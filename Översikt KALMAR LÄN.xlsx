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73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2250-2024</t>
        </is>
      </c>
      <c r="B2" t="inlineStr">
        <is>
          <t>samrådsanmälan</t>
        </is>
      </c>
      <c r="C2" t="inlineStr">
        <is>
          <t>Annan skogsbruksåtgärd</t>
        </is>
      </c>
      <c r="D2" s="1" t="n">
        <v>45461</v>
      </c>
      <c r="E2" s="1" t="n">
        <v>46323</v>
      </c>
      <c r="F2" t="inlineStr">
        <is>
          <t>KALMAR LÄN</t>
        </is>
      </c>
      <c r="G2" t="inlineStr">
        <is>
          <t>VÄSTERVIK</t>
        </is>
      </c>
      <c r="I2" t="n">
        <v>40.9</v>
      </c>
      <c r="J2" t="n">
        <v>28</v>
      </c>
      <c r="K2" t="n">
        <v>22</v>
      </c>
      <c r="L2" t="n">
        <v>28</v>
      </c>
      <c r="M2" t="n">
        <v>9</v>
      </c>
      <c r="N2" t="n">
        <v>3</v>
      </c>
      <c r="O2" t="n">
        <v>0</v>
      </c>
      <c r="P2" t="n">
        <v>0</v>
      </c>
      <c r="Q2" t="n">
        <v>40</v>
      </c>
      <c r="R2" t="n">
        <v>12</v>
      </c>
      <c r="S2" t="n">
        <v>77</v>
      </c>
      <c r="T2" t="n">
        <v>600</v>
      </c>
      <c r="U2" t="n">
        <v>44</v>
      </c>
      <c r="V2" s="2" t="inlineStr">
        <is>
          <t>Ejder
Havstrut
Skogsalm
Bergand
Ekspik
Glänsande blombagge
Gråtrut
Läderbagge
Matt mjölbagge
Stare
Tornseglare
Ädelkronlav
Apelsinticka
Armadillidium opacum
Blekticka
Blåmussla
Ekticka
Gammelekslav
Gul dropplav
Göktyta
Hjälmbrosklav
Jungfrulin
Korallticka
Korskovall
Mindre hackspett
Mindre tåtelsmygare
Oxtungssvamp
Reliktbock
Rosa skärelav
Scharlakansvaxing
Skeppsvarvsfluga
Skrattmås
Skuggorangelav
Sminkrot
Solvända
Strandskata
Sädesärla
Tallticka
Vintertagging
Åkerkulla
Blanksvart trämyra
Blodvaxing
Blompraktbagge
Blåmossa
Brun nållav
Ekoxe
Fällmossa
Grovticka
Grå skärelav
Guldlockmossa
Gulpudrad spiklav
Hasselsopp
Jättesvampmal
Lundvårlök
Lönnlav
Murgröna
Rostfläck
Rävticka
Scharlakansskål
Sotlav
Sprödvaxing
Vitvaxing agg.
Blåsippa
Spillkråka
Tjäder
Gröngöling
Grönsiska
Kråka
Kungsfågel
Näktergal
Svartvit flugsnappare
Sångsvan
Trädlärka
Ärtsångare
Huggorm
Kopparödla
Vanlig snok</t>
        </is>
      </c>
      <c r="W2">
        <f>HYPERLINK("https://klasma.github.io/Logging_0883/artfynd/S 2250-2024 artfynd.xlsx", "S 2250-2024")</f>
        <v/>
      </c>
      <c r="X2">
        <f>HYPERLINK("https://klasma.github.io/Logging_0883/kartor/S 2250-2024 karta.png", "S 2250-2024")</f>
        <v/>
      </c>
      <c r="Y2">
        <f>HYPERLINK("https://klasma.github.io/Logging_0883/kartor_geotiff/S 2250-2024 georefererad karta.tif", "S 2250-2024")</f>
        <v/>
      </c>
      <c r="AA2">
        <f>HYPERLINK("https://klasma.github.io/Logging_0883/klagomål/S 2250-2024 FSC-klagomål.docx", "S 2250-2024")</f>
        <v/>
      </c>
      <c r="AB2">
        <f>HYPERLINK("https://klasma.github.io/Logging_0883/klagomålsmail/S 2250-2024 FSC-klagomål mail.docx", "S 2250-2024")</f>
        <v/>
      </c>
      <c r="AC2">
        <f>HYPERLINK("https://klasma.github.io/Logging_0883/tillsyn/S 2250-2024 tillsynsbegäran.docx", "S 2250-2024")</f>
        <v/>
      </c>
      <c r="AD2">
        <f>HYPERLINK("https://klasma.github.io/Logging_0883/tillsynsmail/S 2250-2024 tillsynsbegäran mail.docx", "S 2250-2024")</f>
        <v/>
      </c>
      <c r="AE2">
        <f>HYPERLINK("https://klasma.github.io/Logging_0883/fåglar/S 2250-2024 prioriterade fågelarter.docx", "S 2250-2024")</f>
        <v/>
      </c>
    </row>
    <row r="3" ht="15" customHeight="1">
      <c r="A3" t="inlineStr">
        <is>
          <t>S 3528-2025</t>
        </is>
      </c>
      <c r="B3" t="inlineStr">
        <is>
          <t>samrådsanmälan</t>
        </is>
      </c>
      <c r="C3" t="inlineStr">
        <is>
          <t>Annan skogsbruksåtgärd</t>
        </is>
      </c>
      <c r="D3" s="1" t="n">
        <v>46008</v>
      </c>
      <c r="E3" s="1" t="n">
        <v>46323</v>
      </c>
      <c r="F3" t="inlineStr">
        <is>
          <t>KALMAR LÄN</t>
        </is>
      </c>
      <c r="G3" t="inlineStr">
        <is>
          <t>MÖNSTERÅS</t>
        </is>
      </c>
      <c r="I3" t="n">
        <v>58.6</v>
      </c>
      <c r="J3" t="n">
        <v>48</v>
      </c>
      <c r="K3" t="n">
        <v>3</v>
      </c>
      <c r="L3" t="n">
        <v>35</v>
      </c>
      <c r="M3" t="n">
        <v>11</v>
      </c>
      <c r="N3" t="n">
        <v>2</v>
      </c>
      <c r="O3" t="n">
        <v>0</v>
      </c>
      <c r="P3" t="n">
        <v>0</v>
      </c>
      <c r="Q3" t="n">
        <v>48</v>
      </c>
      <c r="R3" t="n">
        <v>13</v>
      </c>
      <c r="S3" t="n">
        <v>69</v>
      </c>
      <c r="T3" t="n">
        <v>199</v>
      </c>
      <c r="U3" t="n">
        <v>7</v>
      </c>
      <c r="V3" s="2" t="inlineStr">
        <is>
          <t>Ejder
Havstrut
Backsippa
Bergand
Gråtrut
Grönfink
Knärot
Pilgrimsfalk
Rödsäv
Sexfläckig bastardsvärmare
Stare
Tofsvipa
Tårticka
Adam och eva
Axveronika
Backtimjan
Björktrast
Bläsand
Drillsnäppa
Duvhök
Ekticka
Entita
Flentimotej
Gammelekslav
Gravand
Grönsångare
Gulsparv
Jungfrulin
Järnsparv
Korskovall
Krusfrö
Kungsfiskare
Matt pricklav
Mindre hackspett
Rosenfink
Rörsångare
Skrattmås
Skräntärna
Strandnarv
Strandskata
Svart skogssnigel
Sädesärla
Tallticka
Talltita
Vinterhämpling
Vårstarr
Ägretthäger
Ängsskära
Grå skärelav
Guldlockmossa
Gulnål
Spillkråka
Sälgsandbi
Gröngöling
Grönsiska
Havsörn
Kråka
Kungsfågel
Näktergal
Salskrake
Större vattensalamander
Sävsparv
Sångsvan
Trana
Törnskata
Ärtsångare
Kopparödla
Grönvit nattviol
Ängsnycklar</t>
        </is>
      </c>
      <c r="W3">
        <f>HYPERLINK("https://klasma.github.io/Logging_0861/artfynd/S 3528-2025 artfynd.xlsx", "S 3528-2025")</f>
        <v/>
      </c>
      <c r="X3">
        <f>HYPERLINK("https://klasma.github.io/Logging_0861/kartor/S 3528-2025 karta.png", "S 3528-2025")</f>
        <v/>
      </c>
      <c r="Y3">
        <f>HYPERLINK("https://klasma.github.io/Logging_0861/kartor_geotiff/S 3528-2025 georefererad karta.tif", "S 3528-2025")</f>
        <v/>
      </c>
      <c r="Z3">
        <f>HYPERLINK("https://klasma.github.io/Logging_0861/knärot/S 3528-2025 karta knärot.png", "S 3528-2025")</f>
        <v/>
      </c>
      <c r="AA3">
        <f>HYPERLINK("https://klasma.github.io/Logging_0861/klagomål/S 3528-2025 FSC-klagomål.docx", "S 3528-2025")</f>
        <v/>
      </c>
      <c r="AB3">
        <f>HYPERLINK("https://klasma.github.io/Logging_0861/klagomålsmail/S 3528-2025 FSC-klagomål mail.docx", "S 3528-2025")</f>
        <v/>
      </c>
      <c r="AC3">
        <f>HYPERLINK("https://klasma.github.io/Logging_0861/tillsyn/S 3528-2025 tillsynsbegäran.docx", "S 3528-2025")</f>
        <v/>
      </c>
      <c r="AD3">
        <f>HYPERLINK("https://klasma.github.io/Logging_0861/tillsynsmail/S 3528-2025 tillsynsbegäran mail.docx", "S 3528-2025")</f>
        <v/>
      </c>
      <c r="AE3">
        <f>HYPERLINK("https://klasma.github.io/Logging_0861/fåglar/S 3528-2025 prioriterade fågelarter.docx", "S 3528-2025")</f>
        <v/>
      </c>
    </row>
    <row r="4" ht="15" customHeight="1">
      <c r="A4" t="inlineStr">
        <is>
          <t>S 1878-2025</t>
        </is>
      </c>
      <c r="B4" t="inlineStr">
        <is>
          <t>samrådsanmälan</t>
        </is>
      </c>
      <c r="C4" t="inlineStr">
        <is>
          <t>Annan skogsbruksåtgärd</t>
        </is>
      </c>
      <c r="D4" s="1" t="n">
        <v>45824</v>
      </c>
      <c r="E4" s="1" t="n">
        <v>46323</v>
      </c>
      <c r="F4" t="inlineStr">
        <is>
          <t>KALMAR LÄN</t>
        </is>
      </c>
      <c r="G4" t="inlineStr">
        <is>
          <t>VÄSTERVIK</t>
        </is>
      </c>
      <c r="H4" t="inlineStr">
        <is>
          <t>Kommuner</t>
        </is>
      </c>
      <c r="I4" t="n">
        <v>15.4</v>
      </c>
      <c r="J4" t="n">
        <v>33</v>
      </c>
      <c r="K4" t="n">
        <v>15</v>
      </c>
      <c r="L4" t="n">
        <v>23</v>
      </c>
      <c r="M4" t="n">
        <v>6</v>
      </c>
      <c r="N4" t="n">
        <v>4</v>
      </c>
      <c r="O4" t="n">
        <v>0</v>
      </c>
      <c r="P4" t="n">
        <v>0</v>
      </c>
      <c r="Q4" t="n">
        <v>33</v>
      </c>
      <c r="R4" t="n">
        <v>10</v>
      </c>
      <c r="S4" t="n">
        <v>66</v>
      </c>
      <c r="T4" t="n">
        <v>298</v>
      </c>
      <c r="U4" t="n">
        <v>8</v>
      </c>
      <c r="V4" s="2" t="inlineStr">
        <is>
          <t>Ask
Havstrut
Klätt
Skogsalm
Grönfink
Hasselsnok
Igelkott
Läderbagge
Stare
Tornseglare
Blekticka
Ekticka
Gammelekslav
Gul dropplav
Hjälmbrosklav
Korallticka
Kricka
Ladusvala
Mindre hackspett
Nordfladdermus
Oxtungssvamp
Parknål
Reliktbock
Rosa skärelav
Rörsångare
Silltrut
Skeppsvarvsfluga
Skuggorangelav
Sparvuggla
Strandskata
Tallticka
Vårärt
Älg
Barkticka
Blanksvart trämyra
Blompraktbagge
Blåmossa
Brun nållav
Ekoxe
Ekskinn
Fällmossa
Gulpudrad spiklav
Lundvårlök
Lönnlav
Mindre märgborre
Murgröna
Myskbock
Rostfläck
Blåsippa
Spillkråka
Dvärgpipistrell
Gröngöling
Grönsiska
Halsbandsflugsnappare
Havsörn
Kråka
Kungsfågel
Näktergal
Stjärtand x gräsand
Trollpipistrell
Trädlärka
Huggorm
Kopparödla
Mindre vattensalamander
Vanlig padda
Vanlig snok</t>
        </is>
      </c>
      <c r="W4">
        <f>HYPERLINK("https://klasma.github.io/Logging_0883/artfynd/S 1878-2025 artfynd.xlsx", "S 1878-2025")</f>
        <v/>
      </c>
      <c r="X4">
        <f>HYPERLINK("https://klasma.github.io/Logging_0883/kartor/S 1878-2025 karta.png", "S 1878-2025")</f>
        <v/>
      </c>
      <c r="Y4">
        <f>HYPERLINK("https://klasma.github.io/Logging_0883/kartor_geotiff/S 1878-2025 georefererad karta.tif", "S 1878-2025")</f>
        <v/>
      </c>
      <c r="AA4">
        <f>HYPERLINK("https://klasma.github.io/Logging_0883/klagomål/S 1878-2025 FSC-klagomål.docx", "S 1878-2025")</f>
        <v/>
      </c>
      <c r="AB4">
        <f>HYPERLINK("https://klasma.github.io/Logging_0883/klagomålsmail/S 1878-2025 FSC-klagomål mail.docx", "S 1878-2025")</f>
        <v/>
      </c>
      <c r="AC4">
        <f>HYPERLINK("https://klasma.github.io/Logging_0883/tillsyn/S 1878-2025 tillsynsbegäran.docx", "S 1878-2025")</f>
        <v/>
      </c>
      <c r="AD4">
        <f>HYPERLINK("https://klasma.github.io/Logging_0883/tillsynsmail/S 1878-2025 tillsynsbegäran mail.docx", "S 1878-2025")</f>
        <v/>
      </c>
      <c r="AE4">
        <f>HYPERLINK("https://klasma.github.io/Logging_0883/fåglar/S 1878-2025 prioriterade fågelarter.docx", "S 1878-2025")</f>
        <v/>
      </c>
    </row>
    <row r="5" ht="15" customHeight="1">
      <c r="A5" t="inlineStr">
        <is>
          <t>S 216-2025</t>
        </is>
      </c>
      <c r="B5" t="inlineStr">
        <is>
          <t>samrådsanmälan</t>
        </is>
      </c>
      <c r="C5" t="inlineStr">
        <is>
          <t>Annan skogsbruksåtgärd</t>
        </is>
      </c>
      <c r="D5" s="1" t="n">
        <v>45680</v>
      </c>
      <c r="E5" s="1" t="n">
        <v>46323</v>
      </c>
      <c r="F5" t="inlineStr">
        <is>
          <t>KALMAR LÄN</t>
        </is>
      </c>
      <c r="G5" t="inlineStr">
        <is>
          <t>VÄSTERVIK</t>
        </is>
      </c>
      <c r="H5" t="inlineStr">
        <is>
          <t>Kommuner</t>
        </is>
      </c>
      <c r="I5" t="n">
        <v>12.4</v>
      </c>
      <c r="J5" t="n">
        <v>20</v>
      </c>
      <c r="K5" t="n">
        <v>14</v>
      </c>
      <c r="L5" t="n">
        <v>18</v>
      </c>
      <c r="M5" t="n">
        <v>3</v>
      </c>
      <c r="N5" t="n">
        <v>3</v>
      </c>
      <c r="O5" t="n">
        <v>0</v>
      </c>
      <c r="P5" t="n">
        <v>0</v>
      </c>
      <c r="Q5" t="n">
        <v>24</v>
      </c>
      <c r="R5" t="n">
        <v>6</v>
      </c>
      <c r="S5" t="n">
        <v>51</v>
      </c>
      <c r="T5" t="n">
        <v>277</v>
      </c>
      <c r="U5" t="n">
        <v>7</v>
      </c>
      <c r="V5" s="2" t="inlineStr">
        <is>
          <t>Ask
Klätt
Skogsalm
Hasselsnok
Läderbagge
Stare
Blekticka
Ekticka
Gammelekslav
Gul dropplav
Hjälmbrosklav
Korallticka
Nordfladdermus
Oxtungssvamp
Parknål
Reliktbock
Rosa skärelav
Rörsångare
Skeppsvarvsfluga
Skuggorangelav
Sparvuggla
Tallticka
Vårärt
Älg
Barkticka
Blanksvart trämyra
Blompraktbagge
Blåmossa
Brun nållav
Ekoxe
Ekskinn
Fällmossa
Gulpudrad spiklav
Lönnlav
Mindre märgborre
Murgröna
Myskbock
Rostfläck
Blåsippa
Spillkråka
Dvärgpipistrell
Gröngöling
Grönsiska
Halsbandsflugsnappare
Kungsfågel
Trollpipistrell
Huggorm
Kopparödla
Mindre vattensalamander
Vanlig padda
Vanlig snok</t>
        </is>
      </c>
      <c r="W5">
        <f>HYPERLINK("https://klasma.github.io/Logging_0883/artfynd/S 216-2025 artfynd.xlsx", "S 216-2025")</f>
        <v/>
      </c>
      <c r="X5">
        <f>HYPERLINK("https://klasma.github.io/Logging_0883/kartor/S 216-2025 karta.png", "S 216-2025")</f>
        <v/>
      </c>
      <c r="Y5">
        <f>HYPERLINK("https://klasma.github.io/Logging_0883/kartor_geotiff/S 216-2025 georefererad karta.tif", "S 216-2025")</f>
        <v/>
      </c>
      <c r="AA5">
        <f>HYPERLINK("https://klasma.github.io/Logging_0883/klagomål/S 216-2025 FSC-klagomål.docx", "S 216-2025")</f>
        <v/>
      </c>
      <c r="AB5">
        <f>HYPERLINK("https://klasma.github.io/Logging_0883/klagomålsmail/S 216-2025 FSC-klagomål mail.docx", "S 216-2025")</f>
        <v/>
      </c>
      <c r="AC5">
        <f>HYPERLINK("https://klasma.github.io/Logging_0883/tillsyn/S 216-2025 tillsynsbegäran.docx", "S 216-2025")</f>
        <v/>
      </c>
      <c r="AD5">
        <f>HYPERLINK("https://klasma.github.io/Logging_0883/tillsynsmail/S 216-2025 tillsynsbegäran mail.docx", "S 216-2025")</f>
        <v/>
      </c>
      <c r="AE5">
        <f>HYPERLINK("https://klasma.github.io/Logging_0883/fåglar/S 216-2025 prioriterade fågelarter.docx", "S 216-2025")</f>
        <v/>
      </c>
    </row>
    <row r="6" ht="15" customHeight="1">
      <c r="A6" t="inlineStr">
        <is>
          <t>A 37896-2022</t>
        </is>
      </c>
      <c r="B6" t="inlineStr">
        <is>
          <t>avverkningsanmälan</t>
        </is>
      </c>
      <c r="C6" t="inlineStr">
        <is>
          <t>Föryngringsavverkning</t>
        </is>
      </c>
      <c r="D6" s="1" t="n">
        <v>44811</v>
      </c>
      <c r="E6" s="1" t="n">
        <v>46323</v>
      </c>
      <c r="F6" t="inlineStr">
        <is>
          <t>KALMAR LÄN</t>
        </is>
      </c>
      <c r="G6" t="inlineStr">
        <is>
          <t>VIMMERBY</t>
        </is>
      </c>
      <c r="I6" t="n">
        <v>62.2</v>
      </c>
      <c r="J6" t="n">
        <v>11</v>
      </c>
      <c r="K6" t="n">
        <v>21</v>
      </c>
      <c r="L6" t="n">
        <v>18</v>
      </c>
      <c r="M6" t="n">
        <v>4</v>
      </c>
      <c r="N6" t="n">
        <v>0</v>
      </c>
      <c r="O6" t="n">
        <v>0</v>
      </c>
      <c r="P6" t="n">
        <v>0</v>
      </c>
      <c r="Q6" t="n">
        <v>22</v>
      </c>
      <c r="R6" t="n">
        <v>4</v>
      </c>
      <c r="S6" t="n">
        <v>50</v>
      </c>
      <c r="T6" t="n">
        <v>232</v>
      </c>
      <c r="U6" t="n">
        <v>232</v>
      </c>
      <c r="V6" s="2" t="inlineStr">
        <is>
          <t>Gropig skägglav
Knärot
Ostticka
Slåttergubbe
Brunpudrad nållav
Dropptaggsvamp
Dvärgbägarlav
Ekticka
Fjällig taggsvamp s.str.
Gammelekslav
Jungfrulin
Mindre hackspett
Rosa skärelav
Rutskinn
Rynkskinn
Skogstrappmossa
Solvända
Tallticka
Talltita
Ullticka
Vedskivlav
Vedtrappmossa
Barkticka
Blomskägglav
Blåmossa
Bronshjon
Dvärgtufs
Flagellkvastmossa
Fällmossa
Grovticka
Grön sköldmossa
Grönpyrola
Guldlockmossa
Gullgröppa
Gulnål
Gulpudrad spiklav
Kornig nållav
Mindre märgborre
Rostfläck
Sotlav
Stubbspretmossa
Vätteros
Vågbandad barkbock
Blåsippa
Mattlummer
Spillkråka
Tjäder
Grönsiska
Kungsfågel
Revlummer</t>
        </is>
      </c>
      <c r="W6">
        <f>HYPERLINK("https://klasma.github.io/Logging_0884/artfynd/A 37896-2022 artfynd.xlsx", "A 37896-2022")</f>
        <v/>
      </c>
      <c r="X6">
        <f>HYPERLINK("https://klasma.github.io/Logging_0884/kartor/A 37896-2022 karta.png", "A 37896-2022")</f>
        <v/>
      </c>
      <c r="Y6">
        <f>HYPERLINK("https://klasma.github.io/Logging_0884/kartor_geotiff/A 37896-2022 georefererad karta.tif", "A 37896-2022")</f>
        <v/>
      </c>
      <c r="Z6">
        <f>HYPERLINK("https://klasma.github.io/Logging_0884/knärot/A 37896-2022 karta knärot.png", "A 37896-2022")</f>
        <v/>
      </c>
      <c r="AA6">
        <f>HYPERLINK("https://klasma.github.io/Logging_0884/klagomål/A 37896-2022 FSC-klagomål.docx", "A 37896-2022")</f>
        <v/>
      </c>
      <c r="AB6">
        <f>HYPERLINK("https://klasma.github.io/Logging_0884/klagomålsmail/A 37896-2022 FSC-klagomål mail.docx", "A 37896-2022")</f>
        <v/>
      </c>
      <c r="AC6">
        <f>HYPERLINK("https://klasma.github.io/Logging_0884/tillsyn/A 37896-2022 tillsynsbegäran.docx", "A 37896-2022")</f>
        <v/>
      </c>
      <c r="AD6">
        <f>HYPERLINK("https://klasma.github.io/Logging_0884/tillsynsmail/A 37896-2022 tillsynsbegäran mail.docx", "A 37896-2022")</f>
        <v/>
      </c>
      <c r="AE6">
        <f>HYPERLINK("https://klasma.github.io/Logging_0884/fåglar/A 37896-2022 prioriterade fågelarter.docx", "A 37896-2022")</f>
        <v/>
      </c>
    </row>
    <row r="7" ht="15" customHeight="1">
      <c r="A7" t="inlineStr">
        <is>
          <t>S 1272-2023</t>
        </is>
      </c>
      <c r="B7" t="inlineStr">
        <is>
          <t>samrådsanmälan</t>
        </is>
      </c>
      <c r="C7" t="inlineStr">
        <is>
          <t>Annan skogsbruksåtgärd</t>
        </is>
      </c>
      <c r="D7" s="1" t="n">
        <v>45029</v>
      </c>
      <c r="E7" s="1" t="n">
        <v>46323</v>
      </c>
      <c r="F7" t="inlineStr">
        <is>
          <t>KALMAR LÄN</t>
        </is>
      </c>
      <c r="G7" t="inlineStr">
        <is>
          <t>BORGHOLM</t>
        </is>
      </c>
      <c r="I7" t="n">
        <v>17.7</v>
      </c>
      <c r="J7" t="n">
        <v>18</v>
      </c>
      <c r="K7" t="n">
        <v>13</v>
      </c>
      <c r="L7" t="n">
        <v>20</v>
      </c>
      <c r="M7" t="n">
        <v>5</v>
      </c>
      <c r="N7" t="n">
        <v>3</v>
      </c>
      <c r="O7" t="n">
        <v>0</v>
      </c>
      <c r="P7" t="n">
        <v>0</v>
      </c>
      <c r="Q7" t="n">
        <v>28</v>
      </c>
      <c r="R7" t="n">
        <v>8</v>
      </c>
      <c r="S7" t="n">
        <v>50</v>
      </c>
      <c r="T7" t="n">
        <v>81</v>
      </c>
      <c r="U7" t="n">
        <v>61</v>
      </c>
      <c r="V7" s="2" t="inlineStr">
        <is>
          <t>Ask
Lundalm
Skogsalm
Filtekspindling
Frostspindling
Grönkantad spindling
Sommarklynne
Väddnätfjäril
Enkelbeckasin
Entita
Grönsångare
Gulprickig vaxskivling
Klasefibbla
Korskovall
Mindre hackspett
Riddarsporre
Rödvingetrast
Skugglosta
Skulderfläckad gaddbagge
Slottsspindling
Solvända
Svartvingad svampbagge
Svinrot
Sågtandad mycelbagge
Vippärt
Vårärt
Ängsskära
Åkerranunkel
Blåmossa
Ekoxe
Grov baronmossa
Guldlockmossa
Murgröna
Noshornsoxe
Nästrot
Platt fjädermossa
Skogsknipprot
Tibast
Traslav
Underviol
Vätteros
Blåsippa
Halsbandsflugsnappare
Kungsfågel
Långbensgroda
Brudsporre
Johannesnycklar
Kärrknipprot
Sankt pers nycklar
Gullviva</t>
        </is>
      </c>
      <c r="W7">
        <f>HYPERLINK("https://klasma.github.io/Logging_0885/artfynd/S 1272-2023 artfynd.xlsx", "S 1272-2023")</f>
        <v/>
      </c>
      <c r="X7">
        <f>HYPERLINK("https://klasma.github.io/Logging_0885/kartor/S 1272-2023 karta.png", "S 1272-2023")</f>
        <v/>
      </c>
      <c r="Y7">
        <f>HYPERLINK("https://klasma.github.io/Logging_0885/kartor_geotiff/S 1272-2023 georefererad karta.tif", "S 1272-2023")</f>
        <v/>
      </c>
      <c r="AA7">
        <f>HYPERLINK("https://klasma.github.io/Logging_0885/klagomål/S 1272-2023 FSC-klagomål.docx", "S 1272-2023")</f>
        <v/>
      </c>
      <c r="AB7">
        <f>HYPERLINK("https://klasma.github.io/Logging_0885/klagomålsmail/S 1272-2023 FSC-klagomål mail.docx", "S 1272-2023")</f>
        <v/>
      </c>
      <c r="AC7">
        <f>HYPERLINK("https://klasma.github.io/Logging_0885/tillsyn/S 1272-2023 tillsynsbegäran.docx", "S 1272-2023")</f>
        <v/>
      </c>
      <c r="AD7">
        <f>HYPERLINK("https://klasma.github.io/Logging_0885/tillsynsmail/S 1272-2023 tillsynsbegäran mail.docx", "S 1272-2023")</f>
        <v/>
      </c>
      <c r="AE7">
        <f>HYPERLINK("https://klasma.github.io/Logging_0885/fåglar/S 1272-2023 prioriterade fågelarter.docx", "S 1272-2023")</f>
        <v/>
      </c>
    </row>
    <row r="8" ht="15" customHeight="1">
      <c r="A8" t="inlineStr">
        <is>
          <t>S 461-2023</t>
        </is>
      </c>
      <c r="B8" t="inlineStr">
        <is>
          <t>samrådsanmälan</t>
        </is>
      </c>
      <c r="C8" t="inlineStr">
        <is>
          <t>Annan skogsbruksåtgärd</t>
        </is>
      </c>
      <c r="D8" s="1" t="n">
        <v>44964</v>
      </c>
      <c r="E8" s="1" t="n">
        <v>46323</v>
      </c>
      <c r="F8" t="inlineStr">
        <is>
          <t>KALMAR LÄN</t>
        </is>
      </c>
      <c r="G8" t="inlineStr">
        <is>
          <t>MÖRBYLÅNGA</t>
        </is>
      </c>
      <c r="H8" t="inlineStr">
        <is>
          <t>Kyrkan</t>
        </is>
      </c>
      <c r="I8" t="n">
        <v>7.4</v>
      </c>
      <c r="J8" t="n">
        <v>25</v>
      </c>
      <c r="K8" t="n">
        <v>12</v>
      </c>
      <c r="L8" t="n">
        <v>13</v>
      </c>
      <c r="M8" t="n">
        <v>3</v>
      </c>
      <c r="N8" t="n">
        <v>3</v>
      </c>
      <c r="O8" t="n">
        <v>1</v>
      </c>
      <c r="P8" t="n">
        <v>0</v>
      </c>
      <c r="Q8" t="n">
        <v>20</v>
      </c>
      <c r="R8" t="n">
        <v>7</v>
      </c>
      <c r="S8" t="n">
        <v>50</v>
      </c>
      <c r="T8" t="n">
        <v>73</v>
      </c>
      <c r="U8" t="n">
        <v>42</v>
      </c>
      <c r="V8" s="2" t="inlineStr">
        <is>
          <t>Järnek
Ask
Lundalm
Skogsalm
Skogsgås
Sommarsopp
Stare
Brunlångöra
Duvhök
Ekticka
Enbandad brunbagge
Etternässla
Gulsparv
Hemicoelus fulvicornis
Hålnunneört
Knottrig rottryffel
Nordfladdermus
Sydspärgel
Turkduva
Åkerranunkel
Droppklibbskivling
Ekoxe
Grå skärelav
Guldlockmossa
Gulfotshätta
Gulpudrad spiklav
Hässleklocka
Liten stinksvamp
Murgröna
Nästrot
Scharlakansskål
Tvåblad
Blåsippa
Gulsippa
Hässlebrodd
Vitsippa
Dvärgpipistrell
Halsbandsflugsnappare
Havsörn
Långbensgroda
Röd glada
Större brunfladdermus
Större vattensalamander
Sångsvan
Trana
Mindre vattensalamander
Vanlig padda
Vanlig snok
Sankt pers nycklar
Gullviva</t>
        </is>
      </c>
      <c r="W8">
        <f>HYPERLINK("https://klasma.github.io/Logging_0840/artfynd/S 461-2023 artfynd.xlsx", "S 461-2023")</f>
        <v/>
      </c>
      <c r="X8">
        <f>HYPERLINK("https://klasma.github.io/Logging_0840/kartor/S 461-2023 karta.png", "S 461-2023")</f>
        <v/>
      </c>
      <c r="Y8">
        <f>HYPERLINK("https://klasma.github.io/Logging_0840/kartor_geotiff/S 461-2023 georefererad karta.tif", "S 461-2023")</f>
        <v/>
      </c>
      <c r="AA8">
        <f>HYPERLINK("https://klasma.github.io/Logging_0840/klagomål/S 461-2023 FSC-klagomål.docx", "S 461-2023")</f>
        <v/>
      </c>
      <c r="AB8">
        <f>HYPERLINK("https://klasma.github.io/Logging_0840/klagomålsmail/S 461-2023 FSC-klagomål mail.docx", "S 461-2023")</f>
        <v/>
      </c>
      <c r="AC8">
        <f>HYPERLINK("https://klasma.github.io/Logging_0840/tillsyn/S 461-2023 tillsynsbegäran.docx", "S 461-2023")</f>
        <v/>
      </c>
      <c r="AD8">
        <f>HYPERLINK("https://klasma.github.io/Logging_0840/tillsynsmail/S 461-2023 tillsynsbegäran mail.docx", "S 461-2023")</f>
        <v/>
      </c>
      <c r="AE8">
        <f>HYPERLINK("https://klasma.github.io/Logging_0840/fåglar/S 461-2023 prioriterade fågelarter.docx", "S 461-2023")</f>
        <v/>
      </c>
    </row>
    <row r="9" ht="15" customHeight="1">
      <c r="A9" t="inlineStr">
        <is>
          <t>S 1761-2022</t>
        </is>
      </c>
      <c r="B9" t="inlineStr">
        <is>
          <t>samrådsanmälan</t>
        </is>
      </c>
      <c r="C9" t="inlineStr">
        <is>
          <t>Annan skogsbruksåtgärd</t>
        </is>
      </c>
      <c r="D9" s="1" t="n">
        <v>44655</v>
      </c>
      <c r="E9" s="1" t="n">
        <v>46323</v>
      </c>
      <c r="F9" t="inlineStr">
        <is>
          <t>KALMAR LÄN</t>
        </is>
      </c>
      <c r="G9" t="inlineStr">
        <is>
          <t>MÖRBYLÅNGA</t>
        </is>
      </c>
      <c r="I9" t="n">
        <v>6.3</v>
      </c>
      <c r="J9" t="n">
        <v>15</v>
      </c>
      <c r="K9" t="n">
        <v>5</v>
      </c>
      <c r="L9" t="n">
        <v>20</v>
      </c>
      <c r="M9" t="n">
        <v>9</v>
      </c>
      <c r="N9" t="n">
        <v>2</v>
      </c>
      <c r="O9" t="n">
        <v>0</v>
      </c>
      <c r="P9" t="n">
        <v>0</v>
      </c>
      <c r="Q9" t="n">
        <v>31</v>
      </c>
      <c r="R9" t="n">
        <v>11</v>
      </c>
      <c r="S9" t="n">
        <v>46</v>
      </c>
      <c r="T9" t="n">
        <v>61</v>
      </c>
      <c r="U9" t="n">
        <v>32</v>
      </c>
      <c r="V9" s="2" t="inlineStr">
        <is>
          <t>Lundalm
Lövkryddspindling
Bombarderbagge
Grov gulmossa
Lövstrimspindling
Mindre blåvinge
Olivfjällskivling
Praktspindling
Sexfläckig bastardsvärmare
Småvänderot
Svartfläckig blåvinge
Almsnabbvinge
Axveronika
Backklöver
Bolmört
Flikros
Gonia capitata
Gulsparv
Göktyta
Jordtistel
Kavelhirs
Korskovall
Mjölspindling
Myntaspetsvivel
Nötkråka
Silversmygare
Solvända
Stallört
Sårläka
Åkerkulla
Öländsk svävfluga
Dorcatoma dresdensis
Hasselticka
Myskmadra
Nästrot
Scharlakansskål
Citronfläckad kärrtrollslända
Långbensgroda
Större vattensalamander
Trädlärka
Ärtsångare
Åkergroda
Mindre vattensalamander
Vanlig padda
Grönvit nattviol
Johannesnycklar</t>
        </is>
      </c>
      <c r="W9">
        <f>HYPERLINK("https://klasma.github.io/Logging_0840/artfynd/S 1761-2022 artfynd.xlsx", "S 1761-2022")</f>
        <v/>
      </c>
      <c r="X9">
        <f>HYPERLINK("https://klasma.github.io/Logging_0840/kartor/S 1761-2022 karta.png", "S 1761-2022")</f>
        <v/>
      </c>
      <c r="Y9">
        <f>HYPERLINK("https://klasma.github.io/Logging_0840/kartor_geotiff/S 1761-2022 georefererad karta.tif", "S 1761-2022")</f>
        <v/>
      </c>
      <c r="AA9">
        <f>HYPERLINK("https://klasma.github.io/Logging_0840/klagomål/S 1761-2022 FSC-klagomål.docx", "S 1761-2022")</f>
        <v/>
      </c>
      <c r="AB9">
        <f>HYPERLINK("https://klasma.github.io/Logging_0840/klagomålsmail/S 1761-2022 FSC-klagomål mail.docx", "S 1761-2022")</f>
        <v/>
      </c>
      <c r="AC9">
        <f>HYPERLINK("https://klasma.github.io/Logging_0840/tillsyn/S 1761-2022 tillsynsbegäran.docx", "S 1761-2022")</f>
        <v/>
      </c>
      <c r="AD9">
        <f>HYPERLINK("https://klasma.github.io/Logging_0840/tillsynsmail/S 1761-2022 tillsynsbegäran mail.docx", "S 1761-2022")</f>
        <v/>
      </c>
      <c r="AE9">
        <f>HYPERLINK("https://klasma.github.io/Logging_0840/fåglar/S 1761-2022 prioriterade fågelarter.docx", "S 1761-2022")</f>
        <v/>
      </c>
    </row>
    <row r="10" ht="15" customHeight="1">
      <c r="A10" t="inlineStr">
        <is>
          <t>A 42099-2023</t>
        </is>
      </c>
      <c r="B10" t="inlineStr">
        <is>
          <t>avverkningsanmälan</t>
        </is>
      </c>
      <c r="C10" t="inlineStr">
        <is>
          <t>Föryngringsavverkning</t>
        </is>
      </c>
      <c r="D10" s="1" t="n">
        <v>45177</v>
      </c>
      <c r="E10" s="1" t="n">
        <v>46323</v>
      </c>
      <c r="F10" t="inlineStr">
        <is>
          <t>KALMAR LÄN</t>
        </is>
      </c>
      <c r="G10" t="inlineStr">
        <is>
          <t>MÖRBYLÅNGA</t>
        </is>
      </c>
      <c r="I10" t="n">
        <v>1.5</v>
      </c>
      <c r="J10" t="n">
        <v>4</v>
      </c>
      <c r="K10" t="n">
        <v>2</v>
      </c>
      <c r="L10" t="n">
        <v>29</v>
      </c>
      <c r="M10" t="n">
        <v>9</v>
      </c>
      <c r="N10" t="n">
        <v>4</v>
      </c>
      <c r="O10" t="n">
        <v>0</v>
      </c>
      <c r="P10" t="n">
        <v>0</v>
      </c>
      <c r="Q10" t="n">
        <v>42</v>
      </c>
      <c r="R10" t="n">
        <v>13</v>
      </c>
      <c r="S10" t="n">
        <v>45</v>
      </c>
      <c r="T10" t="n">
        <v>71</v>
      </c>
      <c r="U10" t="n">
        <v>36</v>
      </c>
      <c r="V10" s="2" t="inlineStr">
        <is>
          <t>Mörk stjälkröksvamp
Sandgeting
Smaragdgrön lundmätare
Tofsäxing
Backsippa
Gulbrunt nejlikfly
Naveljordstjärna
Ryl
Rödbandad fältmätare
Sandspolvivel
Streckhedspinnare
Större vitbandsvecklare
Villa longicornis
Axveronika
Backsilja
Backtimjan
Blyvivel
Brokigt timjansmott
Bågstreckad näbbmal
Dvärgjordstjärna
Flentimotej
Glimmalmätare
Kalkfly
Klocksäckspinnare
Längsbandad strimmätare
Mellanmätare
Mindre mårfältmätare
Mindre purpurmätare
Mosshumla
Månhornsbagge
Månlåsbräken
Månskärerotvecklare
Rosenfink
Rödlätt lövmätare
Sandtimotej
Skiktdynemott
Slåtterfibbla
Stäppröksvamp
Svartbrun klaffmätare
Väpplingblåvinge
Ängsnätfjäril
Öländsk svävfluga
Skogsknipprot
Toppvaxing
Havsörn</t>
        </is>
      </c>
      <c r="W10">
        <f>HYPERLINK("https://klasma.github.io/Logging_0840/artfynd/A 42099-2023 artfynd.xlsx", "A 42099-2023")</f>
        <v/>
      </c>
      <c r="X10">
        <f>HYPERLINK("https://klasma.github.io/Logging_0840/kartor/A 42099-2023 karta.png", "A 42099-2023")</f>
        <v/>
      </c>
      <c r="Y10">
        <f>HYPERLINK("https://klasma.github.io/Logging_0840/kartor_geotiff/A 42099-2023 georefererad karta.tif", "A 42099-2023")</f>
        <v/>
      </c>
      <c r="AA10">
        <f>HYPERLINK("https://klasma.github.io/Logging_0840/klagomål/A 42099-2023 FSC-klagomål.docx", "A 42099-2023")</f>
        <v/>
      </c>
      <c r="AB10">
        <f>HYPERLINK("https://klasma.github.io/Logging_0840/klagomålsmail/A 42099-2023 FSC-klagomål mail.docx", "A 42099-2023")</f>
        <v/>
      </c>
      <c r="AC10">
        <f>HYPERLINK("https://klasma.github.io/Logging_0840/tillsyn/A 42099-2023 tillsynsbegäran.docx", "A 42099-2023")</f>
        <v/>
      </c>
      <c r="AD10">
        <f>HYPERLINK("https://klasma.github.io/Logging_0840/tillsynsmail/A 42099-2023 tillsynsbegäran mail.docx", "A 42099-2023")</f>
        <v/>
      </c>
      <c r="AE10">
        <f>HYPERLINK("https://klasma.github.io/Logging_0840/fåglar/A 42099-2023 prioriterade fågelarter.docx", "A 42099-2023")</f>
        <v/>
      </c>
    </row>
    <row r="11" ht="15" customHeight="1">
      <c r="A11" t="inlineStr">
        <is>
          <t>S 2110-2023</t>
        </is>
      </c>
      <c r="B11" t="inlineStr">
        <is>
          <t>samrådsanmälan</t>
        </is>
      </c>
      <c r="C11" t="inlineStr">
        <is>
          <t>Annan skogsbruksåtgärd</t>
        </is>
      </c>
      <c r="D11" s="1" t="n">
        <v>45096</v>
      </c>
      <c r="E11" s="1" t="n">
        <v>46323</v>
      </c>
      <c r="F11" t="inlineStr">
        <is>
          <t>KALMAR LÄN</t>
        </is>
      </c>
      <c r="G11" t="inlineStr">
        <is>
          <t>MÖRBYLÅNGA</t>
        </is>
      </c>
      <c r="I11" t="n">
        <v>10.5</v>
      </c>
      <c r="J11" t="n">
        <v>9</v>
      </c>
      <c r="K11" t="n">
        <v>16</v>
      </c>
      <c r="L11" t="n">
        <v>11</v>
      </c>
      <c r="M11" t="n">
        <v>8</v>
      </c>
      <c r="N11" t="n">
        <v>3</v>
      </c>
      <c r="O11" t="n">
        <v>1</v>
      </c>
      <c r="P11" t="n">
        <v>0</v>
      </c>
      <c r="Q11" t="n">
        <v>23</v>
      </c>
      <c r="R11" t="n">
        <v>12</v>
      </c>
      <c r="S11" t="n">
        <v>45</v>
      </c>
      <c r="T11" t="n">
        <v>169</v>
      </c>
      <c r="U11" t="n">
        <v>150</v>
      </c>
      <c r="V11" s="2" t="inlineStr">
        <is>
          <t>Vresalm
Flikmurkla
Lundalm
Skorpplätt
Bananspindling
Elastisk spindling
Granatspindling
Grönkantad spindling
Luddfjällskivling
Lövklubbspindling
Praktspindling
Sockelspindling
Grisspindling
Grönsångare
Gulprickig vaxskivling
Juvelspindling
Kungsspindling
Mjölspindling
Olivbrun spindling
Oxtungssvamp
Svart askbastborre
Tusengömming
Vårärt
Ekoxe
Grov baronmossa
Guldlockmossa
Kragjordstjärna
Lönnlav
Murgröna
Narrtagging
Platt fjädermossa
Rostfläck
Rutbläcksvamp
Scharlakansvårskål agg.
Skogsknipprot
Strävlosta
Traslav
Trädporella
Underviol
Blåsippa
Spillkråka
Halsbandsflugsnappare
Fläcknycklar
Sankt pers nycklar
Gullviva</t>
        </is>
      </c>
      <c r="W11">
        <f>HYPERLINK("https://klasma.github.io/Logging_0840/artfynd/S 2110-2023 artfynd.xlsx", "S 2110-2023")</f>
        <v/>
      </c>
      <c r="X11">
        <f>HYPERLINK("https://klasma.github.io/Logging_0840/kartor/S 2110-2023 karta.png", "S 2110-2023")</f>
        <v/>
      </c>
      <c r="Y11">
        <f>HYPERLINK("https://klasma.github.io/Logging_0840/kartor_geotiff/S 2110-2023 georefererad karta.tif", "S 2110-2023")</f>
        <v/>
      </c>
      <c r="AA11">
        <f>HYPERLINK("https://klasma.github.io/Logging_0840/klagomål/S 2110-2023 FSC-klagomål.docx", "S 2110-2023")</f>
        <v/>
      </c>
      <c r="AB11">
        <f>HYPERLINK("https://klasma.github.io/Logging_0840/klagomålsmail/S 2110-2023 FSC-klagomål mail.docx", "S 2110-2023")</f>
        <v/>
      </c>
      <c r="AC11">
        <f>HYPERLINK("https://klasma.github.io/Logging_0840/tillsyn/S 2110-2023 tillsynsbegäran.docx", "S 2110-2023")</f>
        <v/>
      </c>
      <c r="AD11">
        <f>HYPERLINK("https://klasma.github.io/Logging_0840/tillsynsmail/S 2110-2023 tillsynsbegäran mail.docx", "S 2110-2023")</f>
        <v/>
      </c>
      <c r="AE11">
        <f>HYPERLINK("https://klasma.github.io/Logging_0840/fåglar/S 2110-2023 prioriterade fågelarter.docx", "S 2110-2023")</f>
        <v/>
      </c>
    </row>
    <row r="12" ht="15" customHeight="1">
      <c r="A12" t="inlineStr">
        <is>
          <t>S 5806-2022</t>
        </is>
      </c>
      <c r="B12" t="inlineStr">
        <is>
          <t>samrådsanmälan</t>
        </is>
      </c>
      <c r="C12" t="inlineStr">
        <is>
          <t>Askåterföring</t>
        </is>
      </c>
      <c r="D12" s="1" t="n">
        <v>44852</v>
      </c>
      <c r="E12" s="1" t="n">
        <v>46323</v>
      </c>
      <c r="F12" t="inlineStr">
        <is>
          <t>KALMAR LÄN</t>
        </is>
      </c>
      <c r="G12" t="inlineStr">
        <is>
          <t>MÖNSTERÅS</t>
        </is>
      </c>
      <c r="H12" t="inlineStr">
        <is>
          <t>Övriga Aktiebolag</t>
        </is>
      </c>
      <c r="I12" t="n">
        <v>352.3</v>
      </c>
      <c r="J12" t="n">
        <v>21</v>
      </c>
      <c r="K12" t="n">
        <v>11</v>
      </c>
      <c r="L12" t="n">
        <v>13</v>
      </c>
      <c r="M12" t="n">
        <v>0</v>
      </c>
      <c r="N12" t="n">
        <v>1</v>
      </c>
      <c r="O12" t="n">
        <v>0</v>
      </c>
      <c r="P12" t="n">
        <v>0</v>
      </c>
      <c r="Q12" t="n">
        <v>14</v>
      </c>
      <c r="R12" t="n">
        <v>1</v>
      </c>
      <c r="S12" t="n">
        <v>40</v>
      </c>
      <c r="T12" t="n">
        <v>109</v>
      </c>
      <c r="U12" t="n">
        <v>12</v>
      </c>
      <c r="V12" s="2" t="inlineStr">
        <is>
          <t>Ask
Barbastell
Brunlångöra
Kattfotslav
Mindre hackspett
Nordfladdermus
Slåtterfibbla
Solvända
Sotvaxskivling
Sydfladdermus
Talltita
Vedskivlav
Vårärt
Åkerkulla
Björksplintborre
Blomkålssvamp
Flagellkvastmossa
Granbarkgnagare
Grovticka
Kornknutmossa
Sotlav
Stubbspretmossa
Tvåtandad aspborre
Vågbandad barkbock
Zontaggsvamp
Blåsippa
Nattskärra
Spillkråka
Tjäder
Dvärgpipistrell
Gråskimlig fladdermus
Havsörn
Skogsduva
Större brunfladdermus
Sångsvan
Trädlärka
Vattenfladdermus
Huggorm
Kopparödla
Revlummer</t>
        </is>
      </c>
      <c r="W12">
        <f>HYPERLINK("https://klasma.github.io/Logging_0861/artfynd/S 5806-2022 artfynd.xlsx", "S 5806-2022")</f>
        <v/>
      </c>
      <c r="X12">
        <f>HYPERLINK("https://klasma.github.io/Logging_0861/kartor/S 5806-2022 karta.png", "S 5806-2022")</f>
        <v/>
      </c>
      <c r="Y12">
        <f>HYPERLINK("https://klasma.github.io/Logging_0861/kartor_geotiff/S 5806-2022 georefererad karta.tif", "S 5806-2022")</f>
        <v/>
      </c>
      <c r="AA12">
        <f>HYPERLINK("https://klasma.github.io/Logging_0861/klagomål/S 5806-2022 FSC-klagomål.docx", "S 5806-2022")</f>
        <v/>
      </c>
      <c r="AB12">
        <f>HYPERLINK("https://klasma.github.io/Logging_0861/klagomålsmail/S 5806-2022 FSC-klagomål mail.docx", "S 5806-2022")</f>
        <v/>
      </c>
      <c r="AC12">
        <f>HYPERLINK("https://klasma.github.io/Logging_0861/tillsyn/S 5806-2022 tillsynsbegäran.docx", "S 5806-2022")</f>
        <v/>
      </c>
      <c r="AD12">
        <f>HYPERLINK("https://klasma.github.io/Logging_0861/tillsynsmail/S 5806-2022 tillsynsbegäran mail.docx", "S 5806-2022")</f>
        <v/>
      </c>
      <c r="AE12">
        <f>HYPERLINK("https://klasma.github.io/Logging_0861/fåglar/S 5806-2022 prioriterade fågelarter.docx", "S 5806-2022")</f>
        <v/>
      </c>
    </row>
    <row r="13" ht="15" customHeight="1">
      <c r="A13" t="inlineStr">
        <is>
          <t>A 58458-2022</t>
        </is>
      </c>
      <c r="B13" t="inlineStr">
        <is>
          <t>avverkningsanmälan</t>
        </is>
      </c>
      <c r="C13" t="inlineStr">
        <is>
          <t>Föryngringsavverkning</t>
        </is>
      </c>
      <c r="D13" s="1" t="n">
        <v>44902</v>
      </c>
      <c r="E13" s="1" t="n">
        <v>46323</v>
      </c>
      <c r="F13" t="inlineStr">
        <is>
          <t>KALMAR LÄN</t>
        </is>
      </c>
      <c r="G13" t="inlineStr">
        <is>
          <t>VÄSTERVIK</t>
        </is>
      </c>
      <c r="I13" t="n">
        <v>3.3</v>
      </c>
      <c r="J13" t="n">
        <v>23</v>
      </c>
      <c r="K13" t="n">
        <v>4</v>
      </c>
      <c r="L13" t="n">
        <v>10</v>
      </c>
      <c r="M13" t="n">
        <v>6</v>
      </c>
      <c r="N13" t="n">
        <v>1</v>
      </c>
      <c r="O13" t="n">
        <v>0</v>
      </c>
      <c r="P13" t="n">
        <v>0</v>
      </c>
      <c r="Q13" t="n">
        <v>17</v>
      </c>
      <c r="R13" t="n">
        <v>7</v>
      </c>
      <c r="S13" t="n">
        <v>38</v>
      </c>
      <c r="T13" t="n">
        <v>47</v>
      </c>
      <c r="U13" t="n">
        <v>16</v>
      </c>
      <c r="V13" s="2" t="inlineStr">
        <is>
          <t>Brandnäva
Bredbrämad bastardsvärmare
Brunfläckig pärlemorfjäril
Knärot
Mindre bastardsvärmare
Silverblåvinge
Smalsprötad bastardsvärmare
Duvhök
Grönsångare
Gulsparv
Järnsparv
Kandelabersvamp
Klubbsprötad bastardsvärmare
Mindre tåtelsmygare
Silversmygare
Svedjenäva
Vitfläckig guldvinge
Grovticka
Grönpyrola
Purpurknipprot
Tibast
Blåsippa
Mattlummer
Spillkråka
Stjärtmes
Tjäder
Gröngöling
Havsörn
Kungsfågel
Röd glada
Skogsduva
Sångsvan
Törnskata
Huggorm
Kopparödla
Skogsödla
Grönvit nattviol
Kärrknipprot</t>
        </is>
      </c>
      <c r="W13">
        <f>HYPERLINK("https://klasma.github.io/Logging_0883/artfynd/A 58458-2022 artfynd.xlsx", "A 58458-2022")</f>
        <v/>
      </c>
      <c r="X13">
        <f>HYPERLINK("https://klasma.github.io/Logging_0883/kartor/A 58458-2022 karta.png", "A 58458-2022")</f>
        <v/>
      </c>
      <c r="Y13">
        <f>HYPERLINK("https://klasma.github.io/Logging_0883/kartor_geotiff/A 58458-2022 georefererad karta.tif", "A 58458-2022")</f>
        <v/>
      </c>
      <c r="Z13">
        <f>HYPERLINK("https://klasma.github.io/Logging_0883/knärot/A 58458-2022 karta knärot.png", "A 58458-2022")</f>
        <v/>
      </c>
      <c r="AA13">
        <f>HYPERLINK("https://klasma.github.io/Logging_0883/klagomål/A 58458-2022 FSC-klagomål.docx", "A 58458-2022")</f>
        <v/>
      </c>
      <c r="AB13">
        <f>HYPERLINK("https://klasma.github.io/Logging_0883/klagomålsmail/A 58458-2022 FSC-klagomål mail.docx", "A 58458-2022")</f>
        <v/>
      </c>
      <c r="AC13">
        <f>HYPERLINK("https://klasma.github.io/Logging_0883/tillsyn/A 58458-2022 tillsynsbegäran.docx", "A 58458-2022")</f>
        <v/>
      </c>
      <c r="AD13">
        <f>HYPERLINK("https://klasma.github.io/Logging_0883/tillsynsmail/A 58458-2022 tillsynsbegäran mail.docx", "A 58458-2022")</f>
        <v/>
      </c>
      <c r="AE13">
        <f>HYPERLINK("https://klasma.github.io/Logging_0883/fåglar/A 58458-2022 prioriterade fågelarter.docx", "A 58458-2022")</f>
        <v/>
      </c>
    </row>
    <row r="14" ht="15" customHeight="1">
      <c r="A14" t="inlineStr">
        <is>
          <t>A 4152-2025</t>
        </is>
      </c>
      <c r="B14" t="inlineStr">
        <is>
          <t>avverkningsanmälan</t>
        </is>
      </c>
      <c r="C14" t="inlineStr">
        <is>
          <t>Föryngringsavverkning</t>
        </is>
      </c>
      <c r="D14" s="1" t="n">
        <v>45685</v>
      </c>
      <c r="E14" s="1" t="n">
        <v>46323</v>
      </c>
      <c r="F14" t="inlineStr">
        <is>
          <t>KALMAR LÄN</t>
        </is>
      </c>
      <c r="G14" t="inlineStr">
        <is>
          <t>MÖRBYLÅNGA</t>
        </is>
      </c>
      <c r="I14" t="n">
        <v>7.3</v>
      </c>
      <c r="J14" t="n">
        <v>10</v>
      </c>
      <c r="K14" t="n">
        <v>7</v>
      </c>
      <c r="L14" t="n">
        <v>18</v>
      </c>
      <c r="M14" t="n">
        <v>3</v>
      </c>
      <c r="N14" t="n">
        <v>2</v>
      </c>
      <c r="O14" t="n">
        <v>1</v>
      </c>
      <c r="P14" t="n">
        <v>0</v>
      </c>
      <c r="Q14" t="n">
        <v>24</v>
      </c>
      <c r="R14" t="n">
        <v>6</v>
      </c>
      <c r="S14" t="n">
        <v>36</v>
      </c>
      <c r="T14" t="n">
        <v>187</v>
      </c>
      <c r="U14" t="n">
        <v>147</v>
      </c>
      <c r="V14" s="2" t="inlineStr">
        <is>
          <t>Naverlönn
Fjällig stjälkröksvamp
Tofsäxing
Knärot
Mindre bastardsvärmare
Ryl
Axveronika
Backtimjan
Dubbelbandat ljusmott
Flentimotej
Grådådra
Grönsångare
Heddyngbagge
Kalkfly
Kösa
Mellanmätare
Mjukdån
Poppeltofsskivling
Rödlätt lövmätare
Sikelsäckmal
Slåtterfibbla
Solvända
Svartbrun klaffmätare
Vägtornsmätare
Blomkålssvamp
Grönpyrola
Kalktallört
Murgröna
Skogsknipprot
Tvåblad
Vit skogslilja
Spillkråka
Gröngöling
Kungsfågel
Grönvit nattviol
Revlummer</t>
        </is>
      </c>
      <c r="W14">
        <f>HYPERLINK("https://klasma.github.io/Logging_0840/artfynd/A 4152-2025 artfynd.xlsx", "A 4152-2025")</f>
        <v/>
      </c>
      <c r="X14">
        <f>HYPERLINK("https://klasma.github.io/Logging_0840/kartor/A 4152-2025 karta.png", "A 4152-2025")</f>
        <v/>
      </c>
      <c r="Y14">
        <f>HYPERLINK("https://klasma.github.io/Logging_0840/kartor_geotiff/A 4152-2025 georefererad karta.tif", "A 4152-2025")</f>
        <v/>
      </c>
      <c r="Z14">
        <f>HYPERLINK("https://klasma.github.io/Logging_0840/knärot/A 4152-2025 karta knärot.png", "A 4152-2025")</f>
        <v/>
      </c>
      <c r="AA14">
        <f>HYPERLINK("https://klasma.github.io/Logging_0840/klagomål/A 4152-2025 FSC-klagomål.docx", "A 4152-2025")</f>
        <v/>
      </c>
      <c r="AB14">
        <f>HYPERLINK("https://klasma.github.io/Logging_0840/klagomålsmail/A 4152-2025 FSC-klagomål mail.docx", "A 4152-2025")</f>
        <v/>
      </c>
      <c r="AC14">
        <f>HYPERLINK("https://klasma.github.io/Logging_0840/tillsyn/A 4152-2025 tillsynsbegäran.docx", "A 4152-2025")</f>
        <v/>
      </c>
      <c r="AD14">
        <f>HYPERLINK("https://klasma.github.io/Logging_0840/tillsynsmail/A 4152-2025 tillsynsbegäran mail.docx", "A 4152-2025")</f>
        <v/>
      </c>
      <c r="AE14">
        <f>HYPERLINK("https://klasma.github.io/Logging_0840/fåglar/A 4152-2025 prioriterade fågelarter.docx", "A 4152-2025")</f>
        <v/>
      </c>
    </row>
    <row r="15" ht="15" customHeight="1">
      <c r="A15" t="inlineStr">
        <is>
          <t>S 2468-2024</t>
        </is>
      </c>
      <c r="B15" t="inlineStr">
        <is>
          <t>samrådsanmälan</t>
        </is>
      </c>
      <c r="C15" t="inlineStr">
        <is>
          <t>Annan skogsbruksåtgärd</t>
        </is>
      </c>
      <c r="D15" s="1" t="n">
        <v>45470</v>
      </c>
      <c r="E15" s="1" t="n">
        <v>46323</v>
      </c>
      <c r="F15" t="inlineStr">
        <is>
          <t>KALMAR LÄN</t>
        </is>
      </c>
      <c r="G15" t="inlineStr">
        <is>
          <t>MÖNSTERÅS</t>
        </is>
      </c>
      <c r="I15" t="n">
        <v>3.9</v>
      </c>
      <c r="J15" t="n">
        <v>11</v>
      </c>
      <c r="K15" t="n">
        <v>6</v>
      </c>
      <c r="L15" t="n">
        <v>13</v>
      </c>
      <c r="M15" t="n">
        <v>5</v>
      </c>
      <c r="N15" t="n">
        <v>3</v>
      </c>
      <c r="O15" t="n">
        <v>0</v>
      </c>
      <c r="P15" t="n">
        <v>0</v>
      </c>
      <c r="Q15" t="n">
        <v>21</v>
      </c>
      <c r="R15" t="n">
        <v>8</v>
      </c>
      <c r="S15" t="n">
        <v>35</v>
      </c>
      <c r="T15" t="n">
        <v>791</v>
      </c>
      <c r="U15" t="n">
        <v>270</v>
      </c>
      <c r="V15" s="2" t="inlineStr">
        <is>
          <t>Ask
Gulbrokig barkfluga
Hålträdssvampmal
Ekpricklav
Läderbagge
Rosa lundlav
Sydpipistrell
Ullhårig pälsblomfluga
Barbastell
Björktrast
Brunlångöra
Dammfladdermus
Ekmulmbagge
Ekticka
Gammelekslav
Gul dropplav
Matt pricklav
Nordfladdermus
Oxtungssvamp
Rutskinn
Tvåfärgad barksvartbagge
Blanksvart trämyra
Grå skärelav
Gulnål
Lönnlav
Safsa
Tvåfläckig praktbagge
Hässlebrodd
Liljekonvalj
Lundslok
Skogsbingel
Dvärgpipistrell
Större brunfladdermus
Trollpipistrell
Vattenfladdermus</t>
        </is>
      </c>
      <c r="W15">
        <f>HYPERLINK("https://klasma.github.io/Logging_0861/artfynd/S 2468-2024 artfynd.xlsx", "S 2468-2024")</f>
        <v/>
      </c>
      <c r="X15">
        <f>HYPERLINK("https://klasma.github.io/Logging_0861/kartor/S 2468-2024 karta.png", "S 2468-2024")</f>
        <v/>
      </c>
      <c r="Y15">
        <f>HYPERLINK("https://klasma.github.io/Logging_0861/kartor_geotiff/S 2468-2024 georefererad karta.tif", "S 2468-2024")</f>
        <v/>
      </c>
      <c r="AA15">
        <f>HYPERLINK("https://klasma.github.io/Logging_0861/klagomål/S 2468-2024 FSC-klagomål.docx", "S 2468-2024")</f>
        <v/>
      </c>
      <c r="AB15">
        <f>HYPERLINK("https://klasma.github.io/Logging_0861/klagomålsmail/S 2468-2024 FSC-klagomål mail.docx", "S 2468-2024")</f>
        <v/>
      </c>
      <c r="AC15">
        <f>HYPERLINK("https://klasma.github.io/Logging_0861/tillsyn/S 2468-2024 tillsynsbegäran.docx", "S 2468-2024")</f>
        <v/>
      </c>
      <c r="AD15">
        <f>HYPERLINK("https://klasma.github.io/Logging_0861/tillsynsmail/S 2468-2024 tillsynsbegäran mail.docx", "S 2468-2024")</f>
        <v/>
      </c>
      <c r="AE15">
        <f>HYPERLINK("https://klasma.github.io/Logging_0861/fåglar/S 2468-2024 prioriterade fågelarter.docx", "S 2468-2024")</f>
        <v/>
      </c>
    </row>
    <row r="16" ht="15" customHeight="1">
      <c r="A16" t="inlineStr">
        <is>
          <t>S 1019-2022</t>
        </is>
      </c>
      <c r="B16" t="inlineStr">
        <is>
          <t>samrådsanmälan</t>
        </is>
      </c>
      <c r="C16" t="inlineStr">
        <is>
          <t>Askåterföring</t>
        </is>
      </c>
      <c r="D16" s="1" t="n">
        <v>44610</v>
      </c>
      <c r="E16" s="1" t="n">
        <v>46323</v>
      </c>
      <c r="F16" t="inlineStr">
        <is>
          <t>KALMAR LÄN</t>
        </is>
      </c>
      <c r="G16" t="inlineStr">
        <is>
          <t>VÄSTERVIK</t>
        </is>
      </c>
      <c r="H16" t="inlineStr">
        <is>
          <t>Sveaskog</t>
        </is>
      </c>
      <c r="I16" t="n">
        <v>755.2</v>
      </c>
      <c r="J16" t="n">
        <v>17</v>
      </c>
      <c r="K16" t="n">
        <v>10</v>
      </c>
      <c r="L16" t="n">
        <v>13</v>
      </c>
      <c r="M16" t="n">
        <v>2</v>
      </c>
      <c r="N16" t="n">
        <v>0</v>
      </c>
      <c r="O16" t="n">
        <v>0</v>
      </c>
      <c r="P16" t="n">
        <v>0</v>
      </c>
      <c r="Q16" t="n">
        <v>15</v>
      </c>
      <c r="R16" t="n">
        <v>2</v>
      </c>
      <c r="S16" t="n">
        <v>34</v>
      </c>
      <c r="T16" t="n">
        <v>106</v>
      </c>
      <c r="U16" t="n">
        <v>35</v>
      </c>
      <c r="V16" s="2" t="inlineStr">
        <is>
          <t>Hasselsnok
Läderbagge
Barbastell
Brunlångöra
Ekticka
Fransfladdermus
Gammelekslav
Kattfotslav
Lunglav
Motaggsvamp
Nordfladdermus
Rosa skärelav
Rutskinn
Skuggorangelav
Tallticka
Blomskägglav
Ekoxe
Ekskinn
Flagellkvastmossa
Granbarkgnagare
Grå skärelav
Grön sköldmossa
Gulnål
Gulpudrad spiklav
Sotlav
Mattlummer
Tjäder
Dvärgpipistrell
Orre
Trana
Vattenfladdermus
Vanlig groda
Vanlig padda
Fläcknycklar</t>
        </is>
      </c>
      <c r="W16">
        <f>HYPERLINK("https://klasma.github.io/Logging_0883/artfynd/S 1019-2022 artfynd.xlsx", "S 1019-2022")</f>
        <v/>
      </c>
      <c r="X16">
        <f>HYPERLINK("https://klasma.github.io/Logging_0883/kartor/S 1019-2022 karta.png", "S 1019-2022")</f>
        <v/>
      </c>
      <c r="Y16">
        <f>HYPERLINK("https://klasma.github.io/Logging_0883/kartor_geotiff/S 1019-2022 georefererad karta.tif", "S 1019-2022")</f>
        <v/>
      </c>
      <c r="AA16">
        <f>HYPERLINK("https://klasma.github.io/Logging_0883/klagomål/S 1019-2022 FSC-klagomål.docx", "S 1019-2022")</f>
        <v/>
      </c>
      <c r="AB16">
        <f>HYPERLINK("https://klasma.github.io/Logging_0883/klagomålsmail/S 1019-2022 FSC-klagomål mail.docx", "S 1019-2022")</f>
        <v/>
      </c>
      <c r="AC16">
        <f>HYPERLINK("https://klasma.github.io/Logging_0883/tillsyn/S 1019-2022 tillsynsbegäran.docx", "S 1019-2022")</f>
        <v/>
      </c>
      <c r="AD16">
        <f>HYPERLINK("https://klasma.github.io/Logging_0883/tillsynsmail/S 1019-2022 tillsynsbegäran mail.docx", "S 1019-2022")</f>
        <v/>
      </c>
      <c r="AE16">
        <f>HYPERLINK("https://klasma.github.io/Logging_0883/fåglar/S 1019-2022 prioriterade fågelarter.docx", "S 1019-2022")</f>
        <v/>
      </c>
    </row>
    <row r="17" ht="15" customHeight="1">
      <c r="A17" t="inlineStr">
        <is>
          <t>S 3229-2024</t>
        </is>
      </c>
      <c r="B17" t="inlineStr">
        <is>
          <t>samrådsanmälan</t>
        </is>
      </c>
      <c r="C17" t="inlineStr">
        <is>
          <t>Askåterföring</t>
        </is>
      </c>
      <c r="D17" s="1" t="n">
        <v>45525</v>
      </c>
      <c r="E17" s="1" t="n">
        <v>46323</v>
      </c>
      <c r="F17" t="inlineStr">
        <is>
          <t>KALMAR LÄN</t>
        </is>
      </c>
      <c r="G17" t="inlineStr">
        <is>
          <t>MÖNSTERÅS</t>
        </is>
      </c>
      <c r="I17" t="n">
        <v>113</v>
      </c>
      <c r="J17" t="n">
        <v>19</v>
      </c>
      <c r="K17" t="n">
        <v>9</v>
      </c>
      <c r="L17" t="n">
        <v>12</v>
      </c>
      <c r="M17" t="n">
        <v>1</v>
      </c>
      <c r="N17" t="n">
        <v>1</v>
      </c>
      <c r="O17" t="n">
        <v>0</v>
      </c>
      <c r="P17" t="n">
        <v>0</v>
      </c>
      <c r="Q17" t="n">
        <v>14</v>
      </c>
      <c r="R17" t="n">
        <v>2</v>
      </c>
      <c r="S17" t="n">
        <v>34</v>
      </c>
      <c r="T17" t="n">
        <v>147</v>
      </c>
      <c r="U17" t="n">
        <v>2</v>
      </c>
      <c r="V17" s="2" t="inlineStr">
        <is>
          <t>Ask
Knärot
Barbastell
Brunlångöra
Grönsångare
Jungfrulin
Kattfotslav
Motaggsvamp
Nordfladdermus
Nötkråka
Spindelört
Sydfladdermus
Tallticka
Talltita
Björksplintborre
Blåmossa
Bronshjon
Flagellkvastmossa
Kornknutmossa
Mindre märgborre
Murgröna
Stubbspretmossa
Vågbandad barkbock
Nattskärra
Spillkråka
Tjäder
Dvärgpipistrell
Gråskimlig fladdermus
Gröngöling
Större brunfladdermus
Vattenfladdermus
Fläcknycklar
Gullviva
Revlummer</t>
        </is>
      </c>
      <c r="W17">
        <f>HYPERLINK("https://klasma.github.io/Logging_0861/artfynd/S 3229-2024 artfynd.xlsx", "S 3229-2024")</f>
        <v/>
      </c>
      <c r="X17">
        <f>HYPERLINK("https://klasma.github.io/Logging_0861/kartor/S 3229-2024 karta.png", "S 3229-2024")</f>
        <v/>
      </c>
      <c r="Y17">
        <f>HYPERLINK("https://klasma.github.io/Logging_0861/kartor_geotiff/S 3229-2024 georefererad karta.tif", "S 3229-2024")</f>
        <v/>
      </c>
      <c r="Z17">
        <f>HYPERLINK("https://klasma.github.io/Logging_0861/knärot/S 3229-2024 karta knärot.png", "S 3229-2024")</f>
        <v/>
      </c>
      <c r="AA17">
        <f>HYPERLINK("https://klasma.github.io/Logging_0861/klagomål/S 3229-2024 FSC-klagomål.docx", "S 3229-2024")</f>
        <v/>
      </c>
      <c r="AB17">
        <f>HYPERLINK("https://klasma.github.io/Logging_0861/klagomålsmail/S 3229-2024 FSC-klagomål mail.docx", "S 3229-2024")</f>
        <v/>
      </c>
      <c r="AC17">
        <f>HYPERLINK("https://klasma.github.io/Logging_0861/tillsyn/S 3229-2024 tillsynsbegäran.docx", "S 3229-2024")</f>
        <v/>
      </c>
      <c r="AD17">
        <f>HYPERLINK("https://klasma.github.io/Logging_0861/tillsynsmail/S 3229-2024 tillsynsbegäran mail.docx", "S 3229-2024")</f>
        <v/>
      </c>
      <c r="AE17">
        <f>HYPERLINK("https://klasma.github.io/Logging_0861/fåglar/S 3229-2024 prioriterade fågelarter.docx", "S 3229-2024")</f>
        <v/>
      </c>
    </row>
    <row r="18" ht="15" customHeight="1">
      <c r="A18" t="inlineStr">
        <is>
          <t>A 39627-2026</t>
        </is>
      </c>
      <c r="B18" t="inlineStr">
        <is>
          <t>avverkningsanmälan</t>
        </is>
      </c>
      <c r="C18" t="inlineStr">
        <is>
          <t>Föryngringsavverkning</t>
        </is>
      </c>
      <c r="D18" s="1" t="n">
        <v>46289</v>
      </c>
      <c r="E18" s="1" t="n">
        <v>46323</v>
      </c>
      <c r="F18" t="inlineStr">
        <is>
          <t>KALMAR LÄN</t>
        </is>
      </c>
      <c r="G18" t="inlineStr">
        <is>
          <t>MÖRBYLÅNGA</t>
        </is>
      </c>
      <c r="I18" t="n">
        <v>7</v>
      </c>
      <c r="J18" t="n">
        <v>14</v>
      </c>
      <c r="K18" t="n">
        <v>4</v>
      </c>
      <c r="L18" t="n">
        <v>12</v>
      </c>
      <c r="M18" t="n">
        <v>1</v>
      </c>
      <c r="N18" t="n">
        <v>3</v>
      </c>
      <c r="O18" t="n">
        <v>0</v>
      </c>
      <c r="P18" t="n">
        <v>0</v>
      </c>
      <c r="Q18" t="n">
        <v>16</v>
      </c>
      <c r="R18" t="n">
        <v>4</v>
      </c>
      <c r="S18" t="n">
        <v>31</v>
      </c>
      <c r="T18" t="n">
        <v>50</v>
      </c>
      <c r="U18" t="n">
        <v>0</v>
      </c>
      <c r="V18" s="2" t="inlineStr">
        <is>
          <t>Ask
Lundalm
Skogsalm
Toppjungfrulin
Axveronika
Backklöver
Backtimjan
Flentimotej
Göktyta
Jordtistel
Jungfrulin
Korskovall
Solvända
Sädesärla
Sårläka
Vårstarr
Ekoxe
Murgröna
Skogsknipprot
Strävlosta
Blåsippa
Skogsbingel
Halsbandsflugsnappare
Röd glada
Huggorm
Skogsödla
Vanlig padda
Vanlig snok
Johannesnycklar
Sankt pers nycklar
Gullviva</t>
        </is>
      </c>
      <c r="W18">
        <f>HYPERLINK("https://klasma.github.io/Logging_0840/artfynd/A 39627-2026 artfynd.xlsx", "A 39627-2026")</f>
        <v/>
      </c>
      <c r="X18">
        <f>HYPERLINK("https://klasma.github.io/Logging_0840/kartor/A 39627-2026 karta.png", "A 39627-2026")</f>
        <v/>
      </c>
      <c r="Y18">
        <f>HYPERLINK("https://klasma.github.io/Logging_0840/kartor_geotiff/A 39627-2026 georefererad karta.tif", "A 39627-2026")</f>
        <v/>
      </c>
      <c r="AA18">
        <f>HYPERLINK("https://klasma.github.io/Logging_0840/klagomål/A 39627-2026 FSC-klagomål.docx", "A 39627-2026")</f>
        <v/>
      </c>
      <c r="AB18">
        <f>HYPERLINK("https://klasma.github.io/Logging_0840/klagomålsmail/A 39627-2026 FSC-klagomål mail.docx", "A 39627-2026")</f>
        <v/>
      </c>
      <c r="AC18">
        <f>HYPERLINK("https://klasma.github.io/Logging_0840/tillsyn/A 39627-2026 tillsynsbegäran.docx", "A 39627-2026")</f>
        <v/>
      </c>
      <c r="AD18">
        <f>HYPERLINK("https://klasma.github.io/Logging_0840/tillsynsmail/A 39627-2026 tillsynsbegäran mail.docx", "A 39627-2026")</f>
        <v/>
      </c>
      <c r="AE18">
        <f>HYPERLINK("https://klasma.github.io/Logging_0840/fåglar/A 39627-2026 prioriterade fågelarter.docx", "A 39627-2026")</f>
        <v/>
      </c>
    </row>
    <row r="19" ht="15" customHeight="1">
      <c r="A19" t="inlineStr">
        <is>
          <t>S 2739-2022</t>
        </is>
      </c>
      <c r="B19" t="inlineStr">
        <is>
          <t>samrådsanmälan</t>
        </is>
      </c>
      <c r="C19" t="inlineStr">
        <is>
          <t>Annan skogsbruksåtgärd</t>
        </is>
      </c>
      <c r="D19" s="1" t="n">
        <v>44704</v>
      </c>
      <c r="E19" s="1" t="n">
        <v>46323</v>
      </c>
      <c r="F19" t="inlineStr">
        <is>
          <t>KALMAR LÄN</t>
        </is>
      </c>
      <c r="G19" t="inlineStr">
        <is>
          <t>BORGHOLM</t>
        </is>
      </c>
      <c r="I19" t="n">
        <v>15.1</v>
      </c>
      <c r="J19" t="n">
        <v>4</v>
      </c>
      <c r="K19" t="n">
        <v>12</v>
      </c>
      <c r="L19" t="n">
        <v>9</v>
      </c>
      <c r="M19" t="n">
        <v>4</v>
      </c>
      <c r="N19" t="n">
        <v>4</v>
      </c>
      <c r="O19" t="n">
        <v>0</v>
      </c>
      <c r="P19" t="n">
        <v>0</v>
      </c>
      <c r="Q19" t="n">
        <v>17</v>
      </c>
      <c r="R19" t="n">
        <v>8</v>
      </c>
      <c r="S19" t="n">
        <v>31</v>
      </c>
      <c r="T19" t="n">
        <v>62</v>
      </c>
      <c r="U19" t="n">
        <v>39</v>
      </c>
      <c r="V19" s="2" t="inlineStr">
        <is>
          <t>Almlav
Ask
Skogsalm
Svartoxe
Blek kraterlav
Skärrande gräshoppa
Tårticka
Ädellav
Ekticka
Entita
Liten sönderfallslav
Molnfläcksbock
Slät fjällav
Stor sotdyna
Svinrot
Sårläka
Ängsskära
Alsopp
Blanksvart trämyra
Ekoxe
Guldlockmossa
Gulpudrad spiklav
Hasselticka
Havstulpanlav
Läderskål
Myskmadra
Slät lönnlav
Vitskivlav
Vätteros
Blåsippa
Gullviva</t>
        </is>
      </c>
      <c r="W19">
        <f>HYPERLINK("https://klasma.github.io/Logging_0885/artfynd/S 2739-2022 artfynd.xlsx", "S 2739-2022")</f>
        <v/>
      </c>
      <c r="X19">
        <f>HYPERLINK("https://klasma.github.io/Logging_0885/kartor/S 2739-2022 karta.png", "S 2739-2022")</f>
        <v/>
      </c>
      <c r="Y19">
        <f>HYPERLINK("https://klasma.github.io/Logging_0885/kartor_geotiff/S 2739-2022 georefererad karta.tif", "S 2739-2022")</f>
        <v/>
      </c>
      <c r="AA19">
        <f>HYPERLINK("https://klasma.github.io/Logging_0885/klagomål/S 2739-2022 FSC-klagomål.docx", "S 2739-2022")</f>
        <v/>
      </c>
      <c r="AB19">
        <f>HYPERLINK("https://klasma.github.io/Logging_0885/klagomålsmail/S 2739-2022 FSC-klagomål mail.docx", "S 2739-2022")</f>
        <v/>
      </c>
      <c r="AC19">
        <f>HYPERLINK("https://klasma.github.io/Logging_0885/tillsyn/S 2739-2022 tillsynsbegäran.docx", "S 2739-2022")</f>
        <v/>
      </c>
      <c r="AD19">
        <f>HYPERLINK("https://klasma.github.io/Logging_0885/tillsynsmail/S 2739-2022 tillsynsbegäran mail.docx", "S 2739-2022")</f>
        <v/>
      </c>
      <c r="AE19">
        <f>HYPERLINK("https://klasma.github.io/Logging_0885/fåglar/S 2739-2022 prioriterade fågelarter.docx", "S 2739-2022")</f>
        <v/>
      </c>
    </row>
    <row r="20" ht="15" customHeight="1">
      <c r="A20" t="inlineStr">
        <is>
          <t>A 26160-2024</t>
        </is>
      </c>
      <c r="B20" t="inlineStr">
        <is>
          <t>avverkningsanmälan</t>
        </is>
      </c>
      <c r="C20" t="inlineStr">
        <is>
          <t>Avverkning för annat ändamål</t>
        </is>
      </c>
      <c r="D20" s="1" t="n">
        <v>45468</v>
      </c>
      <c r="E20" s="1" t="n">
        <v>46323</v>
      </c>
      <c r="F20" t="inlineStr">
        <is>
          <t>KALMAR LÄN</t>
        </is>
      </c>
      <c r="G20" t="inlineStr">
        <is>
          <t>BORGHOLM</t>
        </is>
      </c>
      <c r="I20" t="n">
        <v>13.5</v>
      </c>
      <c r="J20" t="n">
        <v>13</v>
      </c>
      <c r="K20" t="n">
        <v>6</v>
      </c>
      <c r="L20" t="n">
        <v>9</v>
      </c>
      <c r="M20" t="n">
        <v>1</v>
      </c>
      <c r="N20" t="n">
        <v>1</v>
      </c>
      <c r="O20" t="n">
        <v>0</v>
      </c>
      <c r="P20" t="n">
        <v>0</v>
      </c>
      <c r="Q20" t="n">
        <v>11</v>
      </c>
      <c r="R20" t="n">
        <v>2</v>
      </c>
      <c r="S20" t="n">
        <v>30</v>
      </c>
      <c r="T20" t="n">
        <v>47</v>
      </c>
      <c r="U20" t="n">
        <v>40</v>
      </c>
      <c r="V20" s="2" t="inlineStr">
        <is>
          <t>Lundalm
Staketflamlav
Backklöver
Backruta
Korskovall
Mindre ekbock
Skugglosta
Solvända
Ängsskära
Ängsstarr
Åkerrödtoppa
Ekoxe
Flugblomster
Murgröna
Skogsknipprot
Tvåblad
Underviol
Bergsslok
Gulsippa
Skogsbingel
Tandrot
Kalkkrassing
Bredarun
Brudsporre
Fläcknycklar
Grönvit nattviol
Johannesnycklar
Sankt pers nycklar
Ängsnycklar
Gullviva</t>
        </is>
      </c>
      <c r="W20">
        <f>HYPERLINK("https://klasma.github.io/Logging_0885/artfynd/A 26160-2024 artfynd.xlsx", "A 26160-2024")</f>
        <v/>
      </c>
      <c r="X20">
        <f>HYPERLINK("https://klasma.github.io/Logging_0885/kartor/A 26160-2024 karta.png", "A 26160-2024")</f>
        <v/>
      </c>
      <c r="Y20">
        <f>HYPERLINK("https://klasma.github.io/Logging_0885/kartor_geotiff/A 26160-2024 georefererad karta.tif", "A 26160-2024")</f>
        <v/>
      </c>
      <c r="AA20">
        <f>HYPERLINK("https://klasma.github.io/Logging_0885/klagomål/A 26160-2024 FSC-klagomål.docx", "A 26160-2024")</f>
        <v/>
      </c>
      <c r="AB20">
        <f>HYPERLINK("https://klasma.github.io/Logging_0885/klagomålsmail/A 26160-2024 FSC-klagomål mail.docx", "A 26160-2024")</f>
        <v/>
      </c>
      <c r="AC20">
        <f>HYPERLINK("https://klasma.github.io/Logging_0885/tillsyn/A 26160-2024 tillsynsbegäran.docx", "A 26160-2024")</f>
        <v/>
      </c>
      <c r="AD20">
        <f>HYPERLINK("https://klasma.github.io/Logging_0885/tillsynsmail/A 26160-2024 tillsynsbegäran mail.docx", "A 26160-2024")</f>
        <v/>
      </c>
    </row>
    <row r="21" ht="15" customHeight="1">
      <c r="A21" t="inlineStr">
        <is>
          <t>A 37886-2022</t>
        </is>
      </c>
      <c r="B21" t="inlineStr">
        <is>
          <t>avverkningsanmälan</t>
        </is>
      </c>
      <c r="C21" t="inlineStr">
        <is>
          <t>Föryngringsavverkning</t>
        </is>
      </c>
      <c r="D21" s="1" t="n">
        <v>44811</v>
      </c>
      <c r="E21" s="1" t="n">
        <v>46323</v>
      </c>
      <c r="F21" t="inlineStr">
        <is>
          <t>KALMAR LÄN</t>
        </is>
      </c>
      <c r="G21" t="inlineStr">
        <is>
          <t>VIMMERBY</t>
        </is>
      </c>
      <c r="I21" t="n">
        <v>19.2</v>
      </c>
      <c r="J21" t="n">
        <v>6</v>
      </c>
      <c r="K21" t="n">
        <v>17</v>
      </c>
      <c r="L21" t="n">
        <v>7</v>
      </c>
      <c r="M21" t="n">
        <v>1</v>
      </c>
      <c r="N21" t="n">
        <v>1</v>
      </c>
      <c r="O21" t="n">
        <v>0</v>
      </c>
      <c r="P21" t="n">
        <v>0</v>
      </c>
      <c r="Q21" t="n">
        <v>9</v>
      </c>
      <c r="R21" t="n">
        <v>2</v>
      </c>
      <c r="S21" t="n">
        <v>30</v>
      </c>
      <c r="T21" t="n">
        <v>77</v>
      </c>
      <c r="U21" t="n">
        <v>77</v>
      </c>
      <c r="V21" s="2" t="inlineStr">
        <is>
          <t>Ask
Gulvit blekspik
Dvärgbägarlav
Ekticka
Gransotdyna
Rosa skärelav
Sparvuggla
Vågticka
Vårärt
Barkkornlav
Barkticka
Blodticka
Blomskägglav
Bårdlav
Dvärgtufs
Ekskinn
Fällmossa
Grön sköldmossa
Gulnål
Kornig nållav
Luddlav
Nästlav
Rostfläck
Stubbspretmossa
Trubbfjädermossa
Vätteros
Blåsippa
Hårklomossa
Spillkråka
Gröngöling</t>
        </is>
      </c>
      <c r="W21">
        <f>HYPERLINK("https://klasma.github.io/Logging_0884/artfynd/A 37886-2022 artfynd.xlsx", "A 37886-2022")</f>
        <v/>
      </c>
      <c r="X21">
        <f>HYPERLINK("https://klasma.github.io/Logging_0884/kartor/A 37886-2022 karta.png", "A 37886-2022")</f>
        <v/>
      </c>
      <c r="Y21">
        <f>HYPERLINK("https://klasma.github.io/Logging_0884/kartor_geotiff/A 37886-2022 georefererad karta.tif", "A 37886-2022")</f>
        <v/>
      </c>
      <c r="AA21">
        <f>HYPERLINK("https://klasma.github.io/Logging_0884/klagomål/A 37886-2022 FSC-klagomål.docx", "A 37886-2022")</f>
        <v/>
      </c>
      <c r="AB21">
        <f>HYPERLINK("https://klasma.github.io/Logging_0884/klagomålsmail/A 37886-2022 FSC-klagomål mail.docx", "A 37886-2022")</f>
        <v/>
      </c>
      <c r="AC21">
        <f>HYPERLINK("https://klasma.github.io/Logging_0884/tillsyn/A 37886-2022 tillsynsbegäran.docx", "A 37886-2022")</f>
        <v/>
      </c>
      <c r="AD21">
        <f>HYPERLINK("https://klasma.github.io/Logging_0884/tillsynsmail/A 37886-2022 tillsynsbegäran mail.docx", "A 37886-2022")</f>
        <v/>
      </c>
      <c r="AE21">
        <f>HYPERLINK("https://klasma.github.io/Logging_0884/fåglar/A 37886-2022 prioriterade fågelarter.docx", "A 37886-2022")</f>
        <v/>
      </c>
    </row>
    <row r="22" ht="15" customHeight="1">
      <c r="A22" t="inlineStr">
        <is>
          <t>A 58937-2022</t>
        </is>
      </c>
      <c r="B22" t="inlineStr">
        <is>
          <t>avverkningsanmälan</t>
        </is>
      </c>
      <c r="C22" t="inlineStr">
        <is>
          <t>Föryngringsavverkning</t>
        </is>
      </c>
      <c r="D22" s="1" t="n">
        <v>44896</v>
      </c>
      <c r="E22" s="1" t="n">
        <v>46323</v>
      </c>
      <c r="F22" t="inlineStr">
        <is>
          <t>KALMAR LÄN</t>
        </is>
      </c>
      <c r="G22" t="inlineStr">
        <is>
          <t>VÄSTERVIK</t>
        </is>
      </c>
      <c r="I22" t="n">
        <v>10.6</v>
      </c>
      <c r="J22" t="n">
        <v>9</v>
      </c>
      <c r="K22" t="n">
        <v>12</v>
      </c>
      <c r="L22" t="n">
        <v>8</v>
      </c>
      <c r="M22" t="n">
        <v>3</v>
      </c>
      <c r="N22" t="n">
        <v>0</v>
      </c>
      <c r="O22" t="n">
        <v>0</v>
      </c>
      <c r="P22" t="n">
        <v>0</v>
      </c>
      <c r="Q22" t="n">
        <v>11</v>
      </c>
      <c r="R22" t="n">
        <v>3</v>
      </c>
      <c r="S22" t="n">
        <v>29</v>
      </c>
      <c r="T22" t="n">
        <v>133</v>
      </c>
      <c r="U22" t="n">
        <v>133</v>
      </c>
      <c r="V22" s="2" t="inlineStr">
        <is>
          <t>Fransporing
Gränsticka
Knärot
Apelsinticka
Dvärgbägarlav
Grönsångare
Hornvaxskinn
Kolflarnlav
Tallticka
Talltita
Vedskivlav
Blodticka
Blåmossa
Bronshjon
Flagellkvastmossa
Grovticka
Grönpyrola
Kornknutmossa
Nästlav
Sotlav
Thomsons trägnagare
Vedticka
Vågbandad barkbock
Blåsippa
Spillkråka
Tofsmes
Kungsfågel
Svartvit flugsnappare
Revlummer</t>
        </is>
      </c>
      <c r="W22">
        <f>HYPERLINK("https://klasma.github.io/Logging_0883/artfynd/A 58937-2022 artfynd.xlsx", "A 58937-2022")</f>
        <v/>
      </c>
      <c r="X22">
        <f>HYPERLINK("https://klasma.github.io/Logging_0883/kartor/A 58937-2022 karta.png", "A 58937-2022")</f>
        <v/>
      </c>
      <c r="Y22">
        <f>HYPERLINK("https://klasma.github.io/Logging_0883/kartor_geotiff/A 58937-2022 georefererad karta.tif", "A 58937-2022")</f>
        <v/>
      </c>
      <c r="Z22">
        <f>HYPERLINK("https://klasma.github.io/Logging_0883/knärot/A 58937-2022 karta knärot.png", "A 58937-2022")</f>
        <v/>
      </c>
      <c r="AA22">
        <f>HYPERLINK("https://klasma.github.io/Logging_0883/klagomål/A 58937-2022 FSC-klagomål.docx", "A 58937-2022")</f>
        <v/>
      </c>
      <c r="AB22">
        <f>HYPERLINK("https://klasma.github.io/Logging_0883/klagomålsmail/A 58937-2022 FSC-klagomål mail.docx", "A 58937-2022")</f>
        <v/>
      </c>
      <c r="AC22">
        <f>HYPERLINK("https://klasma.github.io/Logging_0883/tillsyn/A 58937-2022 tillsynsbegäran.docx", "A 58937-2022")</f>
        <v/>
      </c>
      <c r="AD22">
        <f>HYPERLINK("https://klasma.github.io/Logging_0883/tillsynsmail/A 58937-2022 tillsynsbegäran mail.docx", "A 58937-2022")</f>
        <v/>
      </c>
      <c r="AE22">
        <f>HYPERLINK("https://klasma.github.io/Logging_0883/fåglar/A 58937-2022 prioriterade fågelarter.docx", "A 58937-2022")</f>
        <v/>
      </c>
    </row>
    <row r="23" ht="15" customHeight="1">
      <c r="A23" t="inlineStr">
        <is>
          <t>S 1685-2024</t>
        </is>
      </c>
      <c r="B23" t="inlineStr">
        <is>
          <t>samrådsanmälan</t>
        </is>
      </c>
      <c r="C23" t="inlineStr">
        <is>
          <t>Annan skogsbruksåtgärd</t>
        </is>
      </c>
      <c r="D23" s="1" t="n">
        <v>45433</v>
      </c>
      <c r="E23" s="1" t="n">
        <v>46323</v>
      </c>
      <c r="F23" t="inlineStr">
        <is>
          <t>KALMAR LÄN</t>
        </is>
      </c>
      <c r="G23" t="inlineStr">
        <is>
          <t>BORGHOLM</t>
        </is>
      </c>
      <c r="I23" t="n">
        <v>10.8</v>
      </c>
      <c r="J23" t="n">
        <v>5</v>
      </c>
      <c r="K23" t="n">
        <v>12</v>
      </c>
      <c r="L23" t="n">
        <v>8</v>
      </c>
      <c r="M23" t="n">
        <v>2</v>
      </c>
      <c r="N23" t="n">
        <v>3</v>
      </c>
      <c r="O23" t="n">
        <v>0</v>
      </c>
      <c r="P23" t="n">
        <v>0</v>
      </c>
      <c r="Q23" t="n">
        <v>13</v>
      </c>
      <c r="R23" t="n">
        <v>5</v>
      </c>
      <c r="S23" t="n">
        <v>28</v>
      </c>
      <c r="T23" t="n">
        <v>74</v>
      </c>
      <c r="U23" t="n">
        <v>60</v>
      </c>
      <c r="V23" s="2" t="inlineStr">
        <is>
          <t>Ask
Skogsalm
Svartoxe
Slöjröksvamp
Ädellav
Axveronika
Bokvedvivel
Crepis tectorum subsp. tectorum
Dvärgbägarlav
Flentimotej
Knottrig rottryffel
Sårläka
Ängsnätfjäril
Dvärghäxört
Gulfotsskölding
Kragjordstjärna
Lundvårlök
Lömsk flugsvamp
Myskmadra
Nästrot
Scharlakansvårskål agg.
Skogsknipprot
Stor häxört
Svart trolldruva
Vätteros
Blåsippa
Fläcknycklar
Gullviva</t>
        </is>
      </c>
      <c r="W23">
        <f>HYPERLINK("https://klasma.github.io/Logging_0885/artfynd/S 1685-2024 artfynd.xlsx", "S 1685-2024")</f>
        <v/>
      </c>
      <c r="X23">
        <f>HYPERLINK("https://klasma.github.io/Logging_0885/kartor/S 1685-2024 karta.png", "S 1685-2024")</f>
        <v/>
      </c>
      <c r="Y23">
        <f>HYPERLINK("https://klasma.github.io/Logging_0885/kartor_geotiff/S 1685-2024 georefererad karta.tif", "S 1685-2024")</f>
        <v/>
      </c>
      <c r="AA23">
        <f>HYPERLINK("https://klasma.github.io/Logging_0885/klagomål/S 1685-2024 FSC-klagomål.docx", "S 1685-2024")</f>
        <v/>
      </c>
      <c r="AB23">
        <f>HYPERLINK("https://klasma.github.io/Logging_0885/klagomålsmail/S 1685-2024 FSC-klagomål mail.docx", "S 1685-2024")</f>
        <v/>
      </c>
      <c r="AC23">
        <f>HYPERLINK("https://klasma.github.io/Logging_0885/tillsyn/S 1685-2024 tillsynsbegäran.docx", "S 1685-2024")</f>
        <v/>
      </c>
      <c r="AD23">
        <f>HYPERLINK("https://klasma.github.io/Logging_0885/tillsynsmail/S 1685-2024 tillsynsbegäran mail.docx", "S 1685-2024")</f>
        <v/>
      </c>
    </row>
    <row r="24" ht="15" customHeight="1">
      <c r="A24" t="inlineStr">
        <is>
          <t>S 3552-2024</t>
        </is>
      </c>
      <c r="B24" t="inlineStr">
        <is>
          <t>samrådsanmälan</t>
        </is>
      </c>
      <c r="C24" t="inlineStr">
        <is>
          <t>Annan skogsbruksåtgärd</t>
        </is>
      </c>
      <c r="D24" s="1" t="n">
        <v>45544</v>
      </c>
      <c r="E24" s="1" t="n">
        <v>46323</v>
      </c>
      <c r="F24" t="inlineStr">
        <is>
          <t>KALMAR LÄN</t>
        </is>
      </c>
      <c r="G24" t="inlineStr">
        <is>
          <t>BORGHOLM</t>
        </is>
      </c>
      <c r="I24" t="n">
        <v>10.8</v>
      </c>
      <c r="J24" t="n">
        <v>5</v>
      </c>
      <c r="K24" t="n">
        <v>12</v>
      </c>
      <c r="L24" t="n">
        <v>8</v>
      </c>
      <c r="M24" t="n">
        <v>2</v>
      </c>
      <c r="N24" t="n">
        <v>3</v>
      </c>
      <c r="O24" t="n">
        <v>0</v>
      </c>
      <c r="P24" t="n">
        <v>0</v>
      </c>
      <c r="Q24" t="n">
        <v>13</v>
      </c>
      <c r="R24" t="n">
        <v>5</v>
      </c>
      <c r="S24" t="n">
        <v>28</v>
      </c>
      <c r="T24" t="n">
        <v>74</v>
      </c>
      <c r="U24" t="n">
        <v>57</v>
      </c>
      <c r="V24" s="2" t="inlineStr">
        <is>
          <t>Ask
Skogsalm
Svartoxe
Slöjröksvamp
Ädellav
Axveronika
Bokvedvivel
Crepis tectorum subsp. tectorum
Dvärgbägarlav
Flentimotej
Knottrig rottryffel
Sårläka
Ängsnätfjäril
Dvärghäxört
Gulfotsskölding
Kragjordstjärna
Lundvårlök
Lömsk flugsvamp
Myskmadra
Nästrot
Scharlakansvårskål agg.
Skogsknipprot
Stor häxört
Svart trolldruva
Vätteros
Blåsippa
Fläcknycklar
Gullviva</t>
        </is>
      </c>
      <c r="W24">
        <f>HYPERLINK("https://klasma.github.io/Logging_0885/artfynd/S 3552-2024 artfynd.xlsx", "S 3552-2024")</f>
        <v/>
      </c>
      <c r="X24">
        <f>HYPERLINK("https://klasma.github.io/Logging_0885/kartor/S 3552-2024 karta.png", "S 3552-2024")</f>
        <v/>
      </c>
      <c r="Y24">
        <f>HYPERLINK("https://klasma.github.io/Logging_0885/kartor_geotiff/S 3552-2024 georefererad karta.tif", "S 3552-2024")</f>
        <v/>
      </c>
      <c r="AA24">
        <f>HYPERLINK("https://klasma.github.io/Logging_0885/klagomål/S 3552-2024 FSC-klagomål.docx", "S 3552-2024")</f>
        <v/>
      </c>
      <c r="AB24">
        <f>HYPERLINK("https://klasma.github.io/Logging_0885/klagomålsmail/S 3552-2024 FSC-klagomål mail.docx", "S 3552-2024")</f>
        <v/>
      </c>
      <c r="AC24">
        <f>HYPERLINK("https://klasma.github.io/Logging_0885/tillsyn/S 3552-2024 tillsynsbegäran.docx", "S 3552-2024")</f>
        <v/>
      </c>
      <c r="AD24">
        <f>HYPERLINK("https://klasma.github.io/Logging_0885/tillsynsmail/S 3552-2024 tillsynsbegäran mail.docx", "S 3552-2024")</f>
        <v/>
      </c>
    </row>
    <row r="25" ht="15" customHeight="1">
      <c r="A25" t="inlineStr">
        <is>
          <t>S 3790-2024</t>
        </is>
      </c>
      <c r="B25" t="inlineStr">
        <is>
          <t>samrådsanmälan</t>
        </is>
      </c>
      <c r="C25" t="inlineStr">
        <is>
          <t>Annan skogsbruksåtgärd</t>
        </is>
      </c>
      <c r="D25" s="1" t="n">
        <v>45558</v>
      </c>
      <c r="E25" s="1" t="n">
        <v>46323</v>
      </c>
      <c r="F25" t="inlineStr">
        <is>
          <t>KALMAR LÄN</t>
        </is>
      </c>
      <c r="G25" t="inlineStr">
        <is>
          <t>VÄSTERVIK</t>
        </is>
      </c>
      <c r="I25" t="n">
        <v>40.8</v>
      </c>
      <c r="J25" t="n">
        <v>6</v>
      </c>
      <c r="K25" t="n">
        <v>7</v>
      </c>
      <c r="L25" t="n">
        <v>8</v>
      </c>
      <c r="M25" t="n">
        <v>5</v>
      </c>
      <c r="N25" t="n">
        <v>3</v>
      </c>
      <c r="O25" t="n">
        <v>0</v>
      </c>
      <c r="P25" t="n">
        <v>0</v>
      </c>
      <c r="Q25" t="n">
        <v>16</v>
      </c>
      <c r="R25" t="n">
        <v>8</v>
      </c>
      <c r="S25" t="n">
        <v>27</v>
      </c>
      <c r="T25" t="n">
        <v>59</v>
      </c>
      <c r="U25" t="n">
        <v>3</v>
      </c>
      <c r="V25" s="2" t="inlineStr">
        <is>
          <t>Almlav
Ask
Skogsalm
Apelticka
Blek kraterlav
Gulvit blekspik
Läderbagge
Ädellav
Axveronika
Ekticka
Korskovall
Lunglav
Oxtungssvamp
Reliktbock
Skeppsvarvsfluga
Tallticka
Brun nållav
Ekoxe
Fällmossa
Guldlockmossa
Lönnlav
Myskmadra
Rostfläck
Blåsippa
Spillkråka
Kungsfågel
Grönvit nattviol</t>
        </is>
      </c>
      <c r="W25">
        <f>HYPERLINK("https://klasma.github.io/Logging_0883/artfynd/S 3790-2024 artfynd.xlsx", "S 3790-2024")</f>
        <v/>
      </c>
      <c r="X25">
        <f>HYPERLINK("https://klasma.github.io/Logging_0883/kartor/S 3790-2024 karta.png", "S 3790-2024")</f>
        <v/>
      </c>
      <c r="Y25">
        <f>HYPERLINK("https://klasma.github.io/Logging_0883/kartor_geotiff/S 3790-2024 georefererad karta.tif", "S 3790-2024")</f>
        <v/>
      </c>
      <c r="AA25">
        <f>HYPERLINK("https://klasma.github.io/Logging_0883/klagomål/S 3790-2024 FSC-klagomål.docx", "S 3790-2024")</f>
        <v/>
      </c>
      <c r="AB25">
        <f>HYPERLINK("https://klasma.github.io/Logging_0883/klagomålsmail/S 3790-2024 FSC-klagomål mail.docx", "S 3790-2024")</f>
        <v/>
      </c>
      <c r="AC25">
        <f>HYPERLINK("https://klasma.github.io/Logging_0883/tillsyn/S 3790-2024 tillsynsbegäran.docx", "S 3790-2024")</f>
        <v/>
      </c>
      <c r="AD25">
        <f>HYPERLINK("https://klasma.github.io/Logging_0883/tillsynsmail/S 3790-2024 tillsynsbegäran mail.docx", "S 3790-2024")</f>
        <v/>
      </c>
      <c r="AE25">
        <f>HYPERLINK("https://klasma.github.io/Logging_0883/fåglar/S 3790-2024 prioriterade fågelarter.docx", "S 3790-2024")</f>
        <v/>
      </c>
    </row>
    <row r="26" ht="15" customHeight="1">
      <c r="A26" t="inlineStr">
        <is>
          <t>S 1362-2023</t>
        </is>
      </c>
      <c r="B26" t="inlineStr">
        <is>
          <t>samrådsanmälan</t>
        </is>
      </c>
      <c r="C26" t="inlineStr">
        <is>
          <t>Askåterföring</t>
        </is>
      </c>
      <c r="D26" s="1" t="n">
        <v>45040</v>
      </c>
      <c r="E26" s="1" t="n">
        <v>46323</v>
      </c>
      <c r="F26" t="inlineStr">
        <is>
          <t>KALMAR LÄN</t>
        </is>
      </c>
      <c r="G26" t="inlineStr">
        <is>
          <t>HULTSFRED</t>
        </is>
      </c>
      <c r="H26" t="inlineStr">
        <is>
          <t>Sveaskog</t>
        </is>
      </c>
      <c r="I26" t="n">
        <v>818.8</v>
      </c>
      <c r="J26" t="n">
        <v>19</v>
      </c>
      <c r="K26" t="n">
        <v>6</v>
      </c>
      <c r="L26" t="n">
        <v>6</v>
      </c>
      <c r="M26" t="n">
        <v>1</v>
      </c>
      <c r="N26" t="n">
        <v>0</v>
      </c>
      <c r="O26" t="n">
        <v>0</v>
      </c>
      <c r="P26" t="n">
        <v>0</v>
      </c>
      <c r="Q26" t="n">
        <v>7</v>
      </c>
      <c r="R26" t="n">
        <v>1</v>
      </c>
      <c r="S26" t="n">
        <v>27</v>
      </c>
      <c r="T26" t="n">
        <v>103</v>
      </c>
      <c r="U26" t="n">
        <v>6</v>
      </c>
      <c r="V26" s="2" t="inlineStr">
        <is>
          <t>Lappuggla
Entita
Fjällig taggsvamp s.str.
Järnsparv
Mjukdån
Spindelört
Talltita
Blåmossa
Gulnål
Kornknutmossa
Källpraktmossa
Purpurknipprot
Stor revmossa
Blåsippa
Mattlummer
Nattskärra
Spillkråka
Tjäder
Kungsfågel
Orre
Skogsduva
Sångsvan
Vanlig groda
Vanlig padda
Fläcknycklar
Nattviol
Revlummer</t>
        </is>
      </c>
      <c r="W26">
        <f>HYPERLINK("https://klasma.github.io/Logging_0860/artfynd/S 1362-2023 artfynd.xlsx", "S 1362-2023")</f>
        <v/>
      </c>
      <c r="X26">
        <f>HYPERLINK("https://klasma.github.io/Logging_0860/kartor/S 1362-2023 karta.png", "S 1362-2023")</f>
        <v/>
      </c>
      <c r="Y26">
        <f>HYPERLINK("https://klasma.github.io/Logging_0860/kartor_geotiff/S 1362-2023 georefererad karta.tif", "S 1362-2023")</f>
        <v/>
      </c>
      <c r="AA26">
        <f>HYPERLINK("https://klasma.github.io/Logging_0860/klagomål/S 1362-2023 FSC-klagomål.docx", "S 1362-2023")</f>
        <v/>
      </c>
      <c r="AB26">
        <f>HYPERLINK("https://klasma.github.io/Logging_0860/klagomålsmail/S 1362-2023 FSC-klagomål mail.docx", "S 1362-2023")</f>
        <v/>
      </c>
      <c r="AC26">
        <f>HYPERLINK("https://klasma.github.io/Logging_0860/tillsyn/S 1362-2023 tillsynsbegäran.docx", "S 1362-2023")</f>
        <v/>
      </c>
      <c r="AD26">
        <f>HYPERLINK("https://klasma.github.io/Logging_0860/tillsynsmail/S 1362-2023 tillsynsbegäran mail.docx", "S 1362-2023")</f>
        <v/>
      </c>
      <c r="AE26">
        <f>HYPERLINK("https://klasma.github.io/Logging_0860/fåglar/S 1362-2023 prioriterade fågelarter.docx", "S 1362-2023")</f>
        <v/>
      </c>
    </row>
    <row r="27" ht="15" customHeight="1">
      <c r="A27" t="inlineStr">
        <is>
          <t>A 10600-2023</t>
        </is>
      </c>
      <c r="B27" t="inlineStr">
        <is>
          <t>avverkningsanmälan</t>
        </is>
      </c>
      <c r="C27" t="inlineStr">
        <is>
          <t>Föryngringsavverkning</t>
        </is>
      </c>
      <c r="D27" s="1" t="n">
        <v>44984</v>
      </c>
      <c r="E27" s="1" t="n">
        <v>46323</v>
      </c>
      <c r="F27" t="inlineStr">
        <is>
          <t>KALMAR LÄN</t>
        </is>
      </c>
      <c r="G27" t="inlineStr">
        <is>
          <t>OSKARSHAMN</t>
        </is>
      </c>
      <c r="I27" t="n">
        <v>4.3</v>
      </c>
      <c r="J27" t="n">
        <v>4</v>
      </c>
      <c r="K27" t="n">
        <v>11</v>
      </c>
      <c r="L27" t="n">
        <v>10</v>
      </c>
      <c r="M27" t="n">
        <v>2</v>
      </c>
      <c r="N27" t="n">
        <v>0</v>
      </c>
      <c r="O27" t="n">
        <v>0</v>
      </c>
      <c r="P27" t="n">
        <v>0</v>
      </c>
      <c r="Q27" t="n">
        <v>12</v>
      </c>
      <c r="R27" t="n">
        <v>2</v>
      </c>
      <c r="S27" t="n">
        <v>26</v>
      </c>
      <c r="T27" t="n">
        <v>76</v>
      </c>
      <c r="U27" t="n">
        <v>74</v>
      </c>
      <c r="V27" s="2" t="inlineStr">
        <is>
          <t>Gränsticka
Knärot
Dropptaggsvamp
Dvärgbägarlav
Kattfotslav
Lunglav
Rosenticka
Tallticka
Ullticka
Vaddporing
Vedskivlav
Vedtrappmossa
Blomskägglav
Bronshjon
Ekskinn
Fällmossa
Grovticka
Grönpyrola
Guldlockmossa
Klippfrullania
Kornknutmossa
Vedticka
Västlig hakmossa
Blåsippa
Tjäder
Kungsfågel</t>
        </is>
      </c>
      <c r="W27">
        <f>HYPERLINK("https://klasma.github.io/Logging_0882/artfynd/A 10600-2023 artfynd.xlsx", "A 10600-2023")</f>
        <v/>
      </c>
      <c r="X27">
        <f>HYPERLINK("https://klasma.github.io/Logging_0882/kartor/A 10600-2023 karta.png", "A 10600-2023")</f>
        <v/>
      </c>
      <c r="Y27">
        <f>HYPERLINK("https://klasma.github.io/Logging_0882/kartor_geotiff/A 10600-2023 georefererad karta.tif", "A 10600-2023")</f>
        <v/>
      </c>
      <c r="Z27">
        <f>HYPERLINK("https://klasma.github.io/Logging_0882/knärot/A 10600-2023 karta knärot.png", "A 10600-2023")</f>
        <v/>
      </c>
      <c r="AA27">
        <f>HYPERLINK("https://klasma.github.io/Logging_0882/klagomål/A 10600-2023 FSC-klagomål.docx", "A 10600-2023")</f>
        <v/>
      </c>
      <c r="AB27">
        <f>HYPERLINK("https://klasma.github.io/Logging_0882/klagomålsmail/A 10600-2023 FSC-klagomål mail.docx", "A 10600-2023")</f>
        <v/>
      </c>
      <c r="AC27">
        <f>HYPERLINK("https://klasma.github.io/Logging_0882/tillsyn/A 10600-2023 tillsynsbegäran.docx", "A 10600-2023")</f>
        <v/>
      </c>
      <c r="AD27">
        <f>HYPERLINK("https://klasma.github.io/Logging_0882/tillsynsmail/A 10600-2023 tillsynsbegäran mail.docx", "A 10600-2023")</f>
        <v/>
      </c>
      <c r="AE27">
        <f>HYPERLINK("https://klasma.github.io/Logging_0882/fåglar/A 10600-2023 prioriterade fågelarter.docx", "A 10600-2023")</f>
        <v/>
      </c>
    </row>
    <row r="28" ht="15" customHeight="1">
      <c r="A28" t="inlineStr">
        <is>
          <t>S 3556-2023</t>
        </is>
      </c>
      <c r="B28" t="inlineStr">
        <is>
          <t>samrådsanmälan</t>
        </is>
      </c>
      <c r="C28" t="inlineStr">
        <is>
          <t>Annan skogsbruksåtgärd</t>
        </is>
      </c>
      <c r="D28" s="1" t="n">
        <v>45209</v>
      </c>
      <c r="E28" s="1" t="n">
        <v>46323</v>
      </c>
      <c r="F28" t="inlineStr">
        <is>
          <t>KALMAR LÄN</t>
        </is>
      </c>
      <c r="G28" t="inlineStr">
        <is>
          <t>KALMAR</t>
        </is>
      </c>
      <c r="I28" t="n">
        <v>8.5</v>
      </c>
      <c r="J28" t="n">
        <v>7</v>
      </c>
      <c r="K28" t="n">
        <v>8</v>
      </c>
      <c r="L28" t="n">
        <v>9</v>
      </c>
      <c r="M28" t="n">
        <v>2</v>
      </c>
      <c r="N28" t="n">
        <v>2</v>
      </c>
      <c r="O28" t="n">
        <v>0</v>
      </c>
      <c r="P28" t="n">
        <v>0</v>
      </c>
      <c r="Q28" t="n">
        <v>13</v>
      </c>
      <c r="R28" t="n">
        <v>4</v>
      </c>
      <c r="S28" t="n">
        <v>26</v>
      </c>
      <c r="T28" t="n">
        <v>77</v>
      </c>
      <c r="U28" t="n">
        <v>3</v>
      </c>
      <c r="V28" s="2" t="inlineStr">
        <is>
          <t>Ask
Skogsalm
Gulvit blekspik
Skillerticka
Brunlångöra
Ekticka
Gammelekslav
Gul dropplav
Koralltaggsvamp
Nordfladdermus
Parknål
Rödbrun blekspik
Sumpviol
Brun nållav
Grå skärelav
Gulnål
Gulpudrad spiklav
Liten baronmossa
Lönnlav
Safsa
Sotlav
Dvärgpipistrell
Gråskimlig fladdermus
Större brunfladdermus
Vattenfladdermus
Gullviva</t>
        </is>
      </c>
      <c r="W28">
        <f>HYPERLINK("https://klasma.github.io/Logging_0880/artfynd/S 3556-2023 artfynd.xlsx", "S 3556-2023")</f>
        <v/>
      </c>
      <c r="X28">
        <f>HYPERLINK("https://klasma.github.io/Logging_0880/kartor/S 3556-2023 karta.png", "S 3556-2023")</f>
        <v/>
      </c>
      <c r="Y28">
        <f>HYPERLINK("https://klasma.github.io/Logging_0880/kartor_geotiff/S 3556-2023 georefererad karta.tif", "S 3556-2023")</f>
        <v/>
      </c>
      <c r="AA28">
        <f>HYPERLINK("https://klasma.github.io/Logging_0880/klagomål/S 3556-2023 FSC-klagomål.docx", "S 3556-2023")</f>
        <v/>
      </c>
      <c r="AB28">
        <f>HYPERLINK("https://klasma.github.io/Logging_0880/klagomålsmail/S 3556-2023 FSC-klagomål mail.docx", "S 3556-2023")</f>
        <v/>
      </c>
      <c r="AC28">
        <f>HYPERLINK("https://klasma.github.io/Logging_0880/tillsyn/S 3556-2023 tillsynsbegäran.docx", "S 3556-2023")</f>
        <v/>
      </c>
      <c r="AD28">
        <f>HYPERLINK("https://klasma.github.io/Logging_0880/tillsynsmail/S 3556-2023 tillsynsbegäran mail.docx", "S 3556-2023")</f>
        <v/>
      </c>
    </row>
    <row r="29" ht="15" customHeight="1">
      <c r="A29" t="inlineStr">
        <is>
          <t>S 1273-2023</t>
        </is>
      </c>
      <c r="B29" t="inlineStr">
        <is>
          <t>samrådsanmälan</t>
        </is>
      </c>
      <c r="C29" t="inlineStr">
        <is>
          <t>Annan skogsbruksåtgärd</t>
        </is>
      </c>
      <c r="D29" s="1" t="n">
        <v>45029</v>
      </c>
      <c r="E29" s="1" t="n">
        <v>46323</v>
      </c>
      <c r="F29" t="inlineStr">
        <is>
          <t>KALMAR LÄN</t>
        </is>
      </c>
      <c r="G29" t="inlineStr">
        <is>
          <t>BORGHOLM</t>
        </is>
      </c>
      <c r="I29" t="n">
        <v>4.6</v>
      </c>
      <c r="J29" t="n">
        <v>5</v>
      </c>
      <c r="K29" t="n">
        <v>6</v>
      </c>
      <c r="L29" t="n">
        <v>9</v>
      </c>
      <c r="M29" t="n">
        <v>4</v>
      </c>
      <c r="N29" t="n">
        <v>3</v>
      </c>
      <c r="O29" t="n">
        <v>0</v>
      </c>
      <c r="P29" t="n">
        <v>0</v>
      </c>
      <c r="Q29" t="n">
        <v>16</v>
      </c>
      <c r="R29" t="n">
        <v>7</v>
      </c>
      <c r="S29" t="n">
        <v>25</v>
      </c>
      <c r="T29" t="n">
        <v>39</v>
      </c>
      <c r="U29" t="n">
        <v>28</v>
      </c>
      <c r="V29" s="2" t="inlineStr">
        <is>
          <t>Ask
Lundalm
Storviol
Djävulssopp
Småvänderot
Sommarsopp
Strandviol
Korskovall
Majviva
Oxtungssvamp
Skogsklocka
Skugglosta
Solvända
Större aspvårvecklare
Svinrot
Sårläka
Grov baronmossa
Platt fjädermossa
Stinkbrosking
Strävlosta
Tibast
Vit skogslilja
Bredarun
Fläcknycklar
Kärrknipprot</t>
        </is>
      </c>
      <c r="W29">
        <f>HYPERLINK("https://klasma.github.io/Logging_0885/artfynd/S 1273-2023 artfynd.xlsx", "S 1273-2023")</f>
        <v/>
      </c>
      <c r="X29">
        <f>HYPERLINK("https://klasma.github.io/Logging_0885/kartor/S 1273-2023 karta.png", "S 1273-2023")</f>
        <v/>
      </c>
      <c r="Y29">
        <f>HYPERLINK("https://klasma.github.io/Logging_0885/kartor_geotiff/S 1273-2023 georefererad karta.tif", "S 1273-2023")</f>
        <v/>
      </c>
      <c r="AA29">
        <f>HYPERLINK("https://klasma.github.io/Logging_0885/klagomål/S 1273-2023 FSC-klagomål.docx", "S 1273-2023")</f>
        <v/>
      </c>
      <c r="AB29">
        <f>HYPERLINK("https://klasma.github.io/Logging_0885/klagomålsmail/S 1273-2023 FSC-klagomål mail.docx", "S 1273-2023")</f>
        <v/>
      </c>
      <c r="AC29">
        <f>HYPERLINK("https://klasma.github.io/Logging_0885/tillsyn/S 1273-2023 tillsynsbegäran.docx", "S 1273-2023")</f>
        <v/>
      </c>
      <c r="AD29">
        <f>HYPERLINK("https://klasma.github.io/Logging_0885/tillsynsmail/S 1273-2023 tillsynsbegäran mail.docx", "S 1273-2023")</f>
        <v/>
      </c>
    </row>
    <row r="30" ht="15" customHeight="1">
      <c r="A30" t="inlineStr">
        <is>
          <t>S 654-2025</t>
        </is>
      </c>
      <c r="B30" t="inlineStr">
        <is>
          <t>samrådsanmälan</t>
        </is>
      </c>
      <c r="C30" t="inlineStr">
        <is>
          <t>Annan skogsbruksåtgärd</t>
        </is>
      </c>
      <c r="D30" s="1" t="n">
        <v>45715</v>
      </c>
      <c r="E30" s="1" t="n">
        <v>46323</v>
      </c>
      <c r="F30" t="inlineStr">
        <is>
          <t>KALMAR LÄN</t>
        </is>
      </c>
      <c r="G30" t="inlineStr">
        <is>
          <t>MÖNSTERÅS</t>
        </is>
      </c>
      <c r="I30" t="n">
        <v>3.3</v>
      </c>
      <c r="J30" t="n">
        <v>9</v>
      </c>
      <c r="K30" t="n">
        <v>8</v>
      </c>
      <c r="L30" t="n">
        <v>8</v>
      </c>
      <c r="M30" t="n">
        <v>3</v>
      </c>
      <c r="N30" t="n">
        <v>0</v>
      </c>
      <c r="O30" t="n">
        <v>0</v>
      </c>
      <c r="P30" t="n">
        <v>0</v>
      </c>
      <c r="Q30" t="n">
        <v>11</v>
      </c>
      <c r="R30" t="n">
        <v>3</v>
      </c>
      <c r="S30" t="n">
        <v>25</v>
      </c>
      <c r="T30" t="n">
        <v>88</v>
      </c>
      <c r="U30" t="n">
        <v>4</v>
      </c>
      <c r="V30" s="2" t="inlineStr">
        <is>
          <t>Brokig barksvartbagge
Colydium filiforme
Läderbagge
Blekticka
Ekticka
Epålettknäppare
Gammelekslav
Gul dropplav
Oxtungssvamp
Rutskinn
Sädesärla
Dolkstekelsglasvinge
Dorcatoma chrysomelina
Ekoxe
Grå skärelav
Guldlockmossa
Gulnål
Rostfläck
Tvåfläckig praktbagge
Nattskärra
Spillkråka
Fiskgjuse
Havsörn
Röd glada
Gullviva</t>
        </is>
      </c>
      <c r="W30">
        <f>HYPERLINK("https://klasma.github.io/Logging_0861/artfynd/S 654-2025 artfynd.xlsx", "S 654-2025")</f>
        <v/>
      </c>
      <c r="X30">
        <f>HYPERLINK("https://klasma.github.io/Logging_0861/kartor/S 654-2025 karta.png", "S 654-2025")</f>
        <v/>
      </c>
      <c r="Y30">
        <f>HYPERLINK("https://klasma.github.io/Logging_0861/kartor_geotiff/S 654-2025 georefererad karta.tif", "S 654-2025")</f>
        <v/>
      </c>
      <c r="AA30">
        <f>HYPERLINK("https://klasma.github.io/Logging_0861/klagomål/S 654-2025 FSC-klagomål.docx", "S 654-2025")</f>
        <v/>
      </c>
      <c r="AB30">
        <f>HYPERLINK("https://klasma.github.io/Logging_0861/klagomålsmail/S 654-2025 FSC-klagomål mail.docx", "S 654-2025")</f>
        <v/>
      </c>
      <c r="AC30">
        <f>HYPERLINK("https://klasma.github.io/Logging_0861/tillsyn/S 654-2025 tillsynsbegäran.docx", "S 654-2025")</f>
        <v/>
      </c>
      <c r="AD30">
        <f>HYPERLINK("https://klasma.github.io/Logging_0861/tillsynsmail/S 654-2025 tillsynsbegäran mail.docx", "S 654-2025")</f>
        <v/>
      </c>
      <c r="AE30">
        <f>HYPERLINK("https://klasma.github.io/Logging_0861/fåglar/S 654-2025 prioriterade fågelarter.docx", "S 654-2025")</f>
        <v/>
      </c>
    </row>
    <row r="31" ht="15" customHeight="1">
      <c r="A31" t="inlineStr">
        <is>
          <t>S 222-2023</t>
        </is>
      </c>
      <c r="B31" t="inlineStr">
        <is>
          <t>samrådsanmälan</t>
        </is>
      </c>
      <c r="C31" t="inlineStr">
        <is>
          <t>Askåterföring</t>
        </is>
      </c>
      <c r="D31" s="1" t="n">
        <v>44950</v>
      </c>
      <c r="E31" s="1" t="n">
        <v>46323</v>
      </c>
      <c r="F31" t="inlineStr">
        <is>
          <t>KALMAR LÄN</t>
        </is>
      </c>
      <c r="G31" t="inlineStr">
        <is>
          <t>VIMMERBY</t>
        </is>
      </c>
      <c r="H31" t="inlineStr">
        <is>
          <t>Sveaskog</t>
        </is>
      </c>
      <c r="I31" t="n">
        <v>633.1</v>
      </c>
      <c r="J31" t="n">
        <v>10</v>
      </c>
      <c r="K31" t="n">
        <v>6</v>
      </c>
      <c r="L31" t="n">
        <v>5</v>
      </c>
      <c r="M31" t="n">
        <v>1</v>
      </c>
      <c r="N31" t="n">
        <v>1</v>
      </c>
      <c r="O31" t="n">
        <v>0</v>
      </c>
      <c r="P31" t="n">
        <v>0</v>
      </c>
      <c r="Q31" t="n">
        <v>7</v>
      </c>
      <c r="R31" t="n">
        <v>2</v>
      </c>
      <c r="S31" t="n">
        <v>25</v>
      </c>
      <c r="T31" t="n">
        <v>59</v>
      </c>
      <c r="U31" t="n">
        <v>53</v>
      </c>
      <c r="V31" s="2" t="inlineStr">
        <is>
          <t>Ask
Brunfläckig pärlemorfjäril
Jungfrulin
Kattfotslav
Mjukdån
Vårärt
Älg
Björksplintborre
Blåmossa
Fällmossa
Guldlockmossa
Tibast
Vågbandad barkbock
Blåsippa
Järpe
Kransmossa
Mattlummer
Ormbär
Spillkråka
Tjäder
Åkergroda
Vanlig snok
Nattviol
Gullviva
Revlummer</t>
        </is>
      </c>
      <c r="W31">
        <f>HYPERLINK("https://klasma.github.io/Logging_0884/artfynd/S 222-2023 artfynd.xlsx", "S 222-2023")</f>
        <v/>
      </c>
      <c r="X31">
        <f>HYPERLINK("https://klasma.github.io/Logging_0884/kartor/S 222-2023 karta.png", "S 222-2023")</f>
        <v/>
      </c>
      <c r="Y31">
        <f>HYPERLINK("https://klasma.github.io/Logging_0884/kartor_geotiff/S 222-2023 georefererad karta.tif", "S 222-2023")</f>
        <v/>
      </c>
      <c r="AA31">
        <f>HYPERLINK("https://klasma.github.io/Logging_0884/klagomål/S 222-2023 FSC-klagomål.docx", "S 222-2023")</f>
        <v/>
      </c>
      <c r="AB31">
        <f>HYPERLINK("https://klasma.github.io/Logging_0884/klagomålsmail/S 222-2023 FSC-klagomål mail.docx", "S 222-2023")</f>
        <v/>
      </c>
      <c r="AC31">
        <f>HYPERLINK("https://klasma.github.io/Logging_0884/tillsyn/S 222-2023 tillsynsbegäran.docx", "S 222-2023")</f>
        <v/>
      </c>
      <c r="AD31">
        <f>HYPERLINK("https://klasma.github.io/Logging_0884/tillsynsmail/S 222-2023 tillsynsbegäran mail.docx", "S 222-2023")</f>
        <v/>
      </c>
      <c r="AE31">
        <f>HYPERLINK("https://klasma.github.io/Logging_0884/fåglar/S 222-2023 prioriterade fågelarter.docx", "S 222-2023")</f>
        <v/>
      </c>
    </row>
    <row r="32" ht="15" customHeight="1">
      <c r="A32" t="inlineStr">
        <is>
          <t>S 1976-2023</t>
        </is>
      </c>
      <c r="B32" t="inlineStr">
        <is>
          <t>samrådsanmälan</t>
        </is>
      </c>
      <c r="C32" t="inlineStr">
        <is>
          <t>Annan skogsbruksåtgärd</t>
        </is>
      </c>
      <c r="D32" s="1" t="n">
        <v>45084</v>
      </c>
      <c r="E32" s="1" t="n">
        <v>46323</v>
      </c>
      <c r="F32" t="inlineStr">
        <is>
          <t>KALMAR LÄN</t>
        </is>
      </c>
      <c r="G32" t="inlineStr">
        <is>
          <t>VÄSTERVIK</t>
        </is>
      </c>
      <c r="I32" t="n">
        <v>23.3</v>
      </c>
      <c r="J32" t="n">
        <v>10</v>
      </c>
      <c r="K32" t="n">
        <v>11</v>
      </c>
      <c r="L32" t="n">
        <v>6</v>
      </c>
      <c r="M32" t="n">
        <v>2</v>
      </c>
      <c r="N32" t="n">
        <v>0</v>
      </c>
      <c r="O32" t="n">
        <v>0</v>
      </c>
      <c r="P32" t="n">
        <v>0</v>
      </c>
      <c r="Q32" t="n">
        <v>8</v>
      </c>
      <c r="R32" t="n">
        <v>2</v>
      </c>
      <c r="S32" t="n">
        <v>25</v>
      </c>
      <c r="T32" t="n">
        <v>219</v>
      </c>
      <c r="U32" t="n">
        <v>161</v>
      </c>
      <c r="V32" s="2" t="inlineStr">
        <is>
          <t>Knärot
Rotfingersvamp
Entita
Gropticka
Tallticka
Talltita
Ullticka
Vågticka
Barkticka
Blodticka
Blomkålssvamp
Blåmossa
Brandticka
Bronshjon
Grovticka
Grön sköldmossa
Grönpyrola
Rävticka
Vågbandad barkbock
Blåsippa
Järpe
Mattlummer
Spillkråka
Tjäder
Kungsfågel</t>
        </is>
      </c>
      <c r="W32">
        <f>HYPERLINK("https://klasma.github.io/Logging_0883/artfynd/S 1976-2023 artfynd.xlsx", "S 1976-2023")</f>
        <v/>
      </c>
      <c r="X32">
        <f>HYPERLINK("https://klasma.github.io/Logging_0883/kartor/S 1976-2023 karta.png", "S 1976-2023")</f>
        <v/>
      </c>
      <c r="Y32">
        <f>HYPERLINK("https://klasma.github.io/Logging_0883/kartor_geotiff/S 1976-2023 georefererad karta.tif", "S 1976-2023")</f>
        <v/>
      </c>
      <c r="Z32">
        <f>HYPERLINK("https://klasma.github.io/Logging_0883/knärot/S 1976-2023 karta knärot.png", "S 1976-2023")</f>
        <v/>
      </c>
      <c r="AA32">
        <f>HYPERLINK("https://klasma.github.io/Logging_0883/klagomål/S 1976-2023 FSC-klagomål.docx", "S 1976-2023")</f>
        <v/>
      </c>
      <c r="AB32">
        <f>HYPERLINK("https://klasma.github.io/Logging_0883/klagomålsmail/S 1976-2023 FSC-klagomål mail.docx", "S 1976-2023")</f>
        <v/>
      </c>
      <c r="AC32">
        <f>HYPERLINK("https://klasma.github.io/Logging_0883/tillsyn/S 1976-2023 tillsynsbegäran.docx", "S 1976-2023")</f>
        <v/>
      </c>
      <c r="AD32">
        <f>HYPERLINK("https://klasma.github.io/Logging_0883/tillsynsmail/S 1976-2023 tillsynsbegäran mail.docx", "S 1976-2023")</f>
        <v/>
      </c>
      <c r="AE32">
        <f>HYPERLINK("https://klasma.github.io/Logging_0883/fåglar/S 1976-2023 prioriterade fågelarter.docx", "S 1976-2023")</f>
        <v/>
      </c>
    </row>
    <row r="33" ht="15" customHeight="1">
      <c r="A33" t="inlineStr">
        <is>
          <t>A 42892-2025</t>
        </is>
      </c>
      <c r="B33" t="inlineStr">
        <is>
          <t>avverkningsanmälan</t>
        </is>
      </c>
      <c r="C33" t="inlineStr">
        <is>
          <t>Föryngringsavverkning</t>
        </is>
      </c>
      <c r="D33" s="1" t="n">
        <v>45908</v>
      </c>
      <c r="E33" s="1" t="n">
        <v>46323</v>
      </c>
      <c r="F33" t="inlineStr">
        <is>
          <t>KALMAR LÄN</t>
        </is>
      </c>
      <c r="G33" t="inlineStr">
        <is>
          <t>VÄSTERVIK</t>
        </is>
      </c>
      <c r="H33" t="inlineStr">
        <is>
          <t>Holmen skog AB</t>
        </is>
      </c>
      <c r="I33" t="n">
        <v>19.3</v>
      </c>
      <c r="J33" t="n">
        <v>5</v>
      </c>
      <c r="K33" t="n">
        <v>15</v>
      </c>
      <c r="L33" t="n">
        <v>5</v>
      </c>
      <c r="M33" t="n">
        <v>2</v>
      </c>
      <c r="N33" t="n">
        <v>0</v>
      </c>
      <c r="O33" t="n">
        <v>0</v>
      </c>
      <c r="P33" t="n">
        <v>0</v>
      </c>
      <c r="Q33" t="n">
        <v>7</v>
      </c>
      <c r="R33" t="n">
        <v>2</v>
      </c>
      <c r="S33" t="n">
        <v>24</v>
      </c>
      <c r="T33" t="n">
        <v>134</v>
      </c>
      <c r="U33" t="n">
        <v>133</v>
      </c>
      <c r="V33" s="2" t="inlineStr">
        <is>
          <t>Garnlav
Knärot
Ekticka
Spinnfingersvamp
Tallticka
Talltita
Ullticka
Blodticka
Blomkålssvamp
Blomskägglav
Brandticka
Bronshjon
Dolkstekelsglasvinge
Granbarkgnagare
Grön sköldmossa
Grönpyrola
Gullgröppa
Jättesvampmal
Trådticka
Vedticka
Vågbandad barkbock
Zontaggsvamp
Blåsippa
Spillkråka</t>
        </is>
      </c>
      <c r="W33">
        <f>HYPERLINK("https://klasma.github.io/Logging_0883/artfynd/A 42892-2025 artfynd.xlsx", "A 42892-2025")</f>
        <v/>
      </c>
      <c r="X33">
        <f>HYPERLINK("https://klasma.github.io/Logging_0883/kartor/A 42892-2025 karta.png", "A 42892-2025")</f>
        <v/>
      </c>
      <c r="Y33">
        <f>HYPERLINK("https://klasma.github.io/Logging_0883/kartor_geotiff/A 42892-2025 georefererad karta.tif", "A 42892-2025")</f>
        <v/>
      </c>
      <c r="Z33">
        <f>HYPERLINK("https://klasma.github.io/Logging_0883/knärot/A 42892-2025 karta knärot.png", "A 42892-2025")</f>
        <v/>
      </c>
      <c r="AA33">
        <f>HYPERLINK("https://klasma.github.io/Logging_0883/klagomål/A 42892-2025 FSC-klagomål.docx", "A 42892-2025")</f>
        <v/>
      </c>
      <c r="AB33">
        <f>HYPERLINK("https://klasma.github.io/Logging_0883/klagomålsmail/A 42892-2025 FSC-klagomål mail.docx", "A 42892-2025")</f>
        <v/>
      </c>
      <c r="AC33">
        <f>HYPERLINK("https://klasma.github.io/Logging_0883/tillsyn/A 42892-2025 tillsynsbegäran.docx", "A 42892-2025")</f>
        <v/>
      </c>
      <c r="AD33">
        <f>HYPERLINK("https://klasma.github.io/Logging_0883/tillsynsmail/A 42892-2025 tillsynsbegäran mail.docx", "A 42892-2025")</f>
        <v/>
      </c>
      <c r="AE33">
        <f>HYPERLINK("https://klasma.github.io/Logging_0883/fåglar/A 42892-2025 prioriterade fågelarter.docx", "A 42892-2025")</f>
        <v/>
      </c>
    </row>
    <row r="34" ht="15" customHeight="1">
      <c r="A34" t="inlineStr">
        <is>
          <t>S 1001-2023</t>
        </is>
      </c>
      <c r="B34" t="inlineStr">
        <is>
          <t>samrådsanmälan</t>
        </is>
      </c>
      <c r="C34" t="inlineStr">
        <is>
          <t>Annan skogsbruksåtgärd</t>
        </is>
      </c>
      <c r="D34" s="1" t="n">
        <v>45007</v>
      </c>
      <c r="E34" s="1" t="n">
        <v>46323</v>
      </c>
      <c r="F34" t="inlineStr">
        <is>
          <t>KALMAR LÄN</t>
        </is>
      </c>
      <c r="G34" t="inlineStr">
        <is>
          <t>BORGHOLM</t>
        </is>
      </c>
      <c r="H34" t="inlineStr">
        <is>
          <t>Kyrkan</t>
        </is>
      </c>
      <c r="I34" t="n">
        <v>16.5</v>
      </c>
      <c r="J34" t="n">
        <v>5</v>
      </c>
      <c r="K34" t="n">
        <v>8</v>
      </c>
      <c r="L34" t="n">
        <v>9</v>
      </c>
      <c r="M34" t="n">
        <v>1</v>
      </c>
      <c r="N34" t="n">
        <v>2</v>
      </c>
      <c r="O34" t="n">
        <v>0</v>
      </c>
      <c r="P34" t="n">
        <v>0</v>
      </c>
      <c r="Q34" t="n">
        <v>12</v>
      </c>
      <c r="R34" t="n">
        <v>3</v>
      </c>
      <c r="S34" t="n">
        <v>23</v>
      </c>
      <c r="T34" t="n">
        <v>89</v>
      </c>
      <c r="U34" t="n">
        <v>15</v>
      </c>
      <c r="V34" s="2" t="inlineStr">
        <is>
          <t>Ask
Skogsalm
Kretsfly
Desmeknopp
Ekticka
Gammelekslav
Hjälmbrosklav
Liten sönderfallslav
Matt pricklav
Oxtungssvamp
Rutskinn
Stenticka
Grå skärelav
Gulpudrad spiklav
Läderskål
Murgröna
Rostfjällskivling
Skogsknipprot
Tvåblad
Vätteros
Blåsippa
Fläcknycklar
Gullviva</t>
        </is>
      </c>
      <c r="W34">
        <f>HYPERLINK("https://klasma.github.io/Logging_0885/artfynd/S 1001-2023 artfynd.xlsx", "S 1001-2023")</f>
        <v/>
      </c>
      <c r="X34">
        <f>HYPERLINK("https://klasma.github.io/Logging_0885/kartor/S 1001-2023 karta.png", "S 1001-2023")</f>
        <v/>
      </c>
      <c r="Y34">
        <f>HYPERLINK("https://klasma.github.io/Logging_0885/kartor_geotiff/S 1001-2023 georefererad karta.tif", "S 1001-2023")</f>
        <v/>
      </c>
      <c r="AA34">
        <f>HYPERLINK("https://klasma.github.io/Logging_0885/klagomål/S 1001-2023 FSC-klagomål.docx", "S 1001-2023")</f>
        <v/>
      </c>
      <c r="AB34">
        <f>HYPERLINK("https://klasma.github.io/Logging_0885/klagomålsmail/S 1001-2023 FSC-klagomål mail.docx", "S 1001-2023")</f>
        <v/>
      </c>
      <c r="AC34">
        <f>HYPERLINK("https://klasma.github.io/Logging_0885/tillsyn/S 1001-2023 tillsynsbegäran.docx", "S 1001-2023")</f>
        <v/>
      </c>
      <c r="AD34">
        <f>HYPERLINK("https://klasma.github.io/Logging_0885/tillsynsmail/S 1001-2023 tillsynsbegäran mail.docx", "S 1001-2023")</f>
        <v/>
      </c>
    </row>
    <row r="35" ht="15" customHeight="1">
      <c r="A35" t="inlineStr">
        <is>
          <t>S 1214-2022</t>
        </is>
      </c>
      <c r="B35" t="inlineStr">
        <is>
          <t>samrådsanmälan</t>
        </is>
      </c>
      <c r="C35" t="inlineStr">
        <is>
          <t>Askåterföring</t>
        </is>
      </c>
      <c r="D35" s="1" t="n">
        <v>44622</v>
      </c>
      <c r="E35" s="1" t="n">
        <v>46323</v>
      </c>
      <c r="F35" t="inlineStr">
        <is>
          <t>KALMAR LÄN</t>
        </is>
      </c>
      <c r="G35" t="inlineStr">
        <is>
          <t>MÖNSTERÅS</t>
        </is>
      </c>
      <c r="I35" t="n">
        <v>83.09999999999999</v>
      </c>
      <c r="J35" t="n">
        <v>13</v>
      </c>
      <c r="K35" t="n">
        <v>9</v>
      </c>
      <c r="L35" t="n">
        <v>6</v>
      </c>
      <c r="M35" t="n">
        <v>0</v>
      </c>
      <c r="N35" t="n">
        <v>0</v>
      </c>
      <c r="O35" t="n">
        <v>0</v>
      </c>
      <c r="P35" t="n">
        <v>0</v>
      </c>
      <c r="Q35" t="n">
        <v>6</v>
      </c>
      <c r="R35" t="n">
        <v>0</v>
      </c>
      <c r="S35" t="n">
        <v>22</v>
      </c>
      <c r="T35" t="n">
        <v>41</v>
      </c>
      <c r="U35" t="n">
        <v>9</v>
      </c>
      <c r="V35" s="2" t="inlineStr">
        <is>
          <t>Barbastell
Brunlångöra
Nordfladdermus
Nötkråka
Sydfladdermus
Talltita
Blåmossa
Bronshjon
Flagellkvastmossa
Grovticka
Kornknutmossa
Mindre märgborre
Murgröna
Stubbspretmossa
Vågbandad barkbock
Nattskärra
Spillkråka
Tjäder
Dvärgpipistrell
Gråskimlig fladdermus
Gröngöling
Större brunfladdermus</t>
        </is>
      </c>
      <c r="W35">
        <f>HYPERLINK("https://klasma.github.io/Logging_0861/artfynd/S 1214-2022 artfynd.xlsx", "S 1214-2022")</f>
        <v/>
      </c>
      <c r="X35">
        <f>HYPERLINK("https://klasma.github.io/Logging_0861/kartor/S 1214-2022 karta.png", "S 1214-2022")</f>
        <v/>
      </c>
      <c r="Y35">
        <f>HYPERLINK("https://klasma.github.io/Logging_0861/kartor_geotiff/S 1214-2022 georefererad karta.tif", "S 1214-2022")</f>
        <v/>
      </c>
      <c r="AA35">
        <f>HYPERLINK("https://klasma.github.io/Logging_0861/klagomål/S 1214-2022 FSC-klagomål.docx", "S 1214-2022")</f>
        <v/>
      </c>
      <c r="AB35">
        <f>HYPERLINK("https://klasma.github.io/Logging_0861/klagomålsmail/S 1214-2022 FSC-klagomål mail.docx", "S 1214-2022")</f>
        <v/>
      </c>
      <c r="AC35">
        <f>HYPERLINK("https://klasma.github.io/Logging_0861/tillsyn/S 1214-2022 tillsynsbegäran.docx", "S 1214-2022")</f>
        <v/>
      </c>
      <c r="AD35">
        <f>HYPERLINK("https://klasma.github.io/Logging_0861/tillsynsmail/S 1214-2022 tillsynsbegäran mail.docx", "S 1214-2022")</f>
        <v/>
      </c>
      <c r="AE35">
        <f>HYPERLINK("https://klasma.github.io/Logging_0861/fåglar/S 1214-2022 prioriterade fågelarter.docx", "S 1214-2022")</f>
        <v/>
      </c>
    </row>
    <row r="36" ht="15" customHeight="1">
      <c r="A36" t="inlineStr">
        <is>
          <t>S 7016-2022</t>
        </is>
      </c>
      <c r="B36" t="inlineStr">
        <is>
          <t>samrådsanmälan</t>
        </is>
      </c>
      <c r="C36" t="inlineStr">
        <is>
          <t>Annan skogsbruksåtgärd</t>
        </is>
      </c>
      <c r="D36" s="1" t="n">
        <v>44903</v>
      </c>
      <c r="E36" s="1" t="n">
        <v>46323</v>
      </c>
      <c r="F36" t="inlineStr">
        <is>
          <t>KALMAR LÄN</t>
        </is>
      </c>
      <c r="G36" t="inlineStr">
        <is>
          <t>BORGHOLM</t>
        </is>
      </c>
      <c r="I36" t="n">
        <v>9.699999999999999</v>
      </c>
      <c r="J36" t="n">
        <v>4</v>
      </c>
      <c r="K36" t="n">
        <v>4</v>
      </c>
      <c r="L36" t="n">
        <v>6</v>
      </c>
      <c r="M36" t="n">
        <v>3</v>
      </c>
      <c r="N36" t="n">
        <v>4</v>
      </c>
      <c r="O36" t="n">
        <v>1</v>
      </c>
      <c r="P36" t="n">
        <v>0</v>
      </c>
      <c r="Q36" t="n">
        <v>14</v>
      </c>
      <c r="R36" t="n">
        <v>8</v>
      </c>
      <c r="S36" t="n">
        <v>22</v>
      </c>
      <c r="T36" t="n">
        <v>89</v>
      </c>
      <c r="U36" t="n">
        <v>33</v>
      </c>
      <c r="V36" s="2" t="inlineStr">
        <is>
          <t>Vresalm
Ekfingersvamp
Gulgrön spindling
Lundalm
Skogsalm
Ekgräddvaxskivling
Gyllensopp
Sommarsopp
Desmeknopp
Kremlevaxskivling
Mindre ekbock
Molnfläcksbock
Oxtungssvamp
Vårärt
Bolmörtsskivling
Grov baronmossa
Strävlosta
Vätteros
Blåsippa
Skogsduva
Sankt pers nycklar
Gullviva</t>
        </is>
      </c>
      <c r="W36">
        <f>HYPERLINK("https://klasma.github.io/Logging_0885/artfynd/S 7016-2022 artfynd.xlsx", "S 7016-2022")</f>
        <v/>
      </c>
      <c r="X36">
        <f>HYPERLINK("https://klasma.github.io/Logging_0885/kartor/S 7016-2022 karta.png", "S 7016-2022")</f>
        <v/>
      </c>
      <c r="Y36">
        <f>HYPERLINK("https://klasma.github.io/Logging_0885/kartor_geotiff/S 7016-2022 georefererad karta.tif", "S 7016-2022")</f>
        <v/>
      </c>
      <c r="AA36">
        <f>HYPERLINK("https://klasma.github.io/Logging_0885/klagomål/S 7016-2022 FSC-klagomål.docx", "S 7016-2022")</f>
        <v/>
      </c>
      <c r="AB36">
        <f>HYPERLINK("https://klasma.github.io/Logging_0885/klagomålsmail/S 7016-2022 FSC-klagomål mail.docx", "S 7016-2022")</f>
        <v/>
      </c>
      <c r="AC36">
        <f>HYPERLINK("https://klasma.github.io/Logging_0885/tillsyn/S 7016-2022 tillsynsbegäran.docx", "S 7016-2022")</f>
        <v/>
      </c>
      <c r="AD36">
        <f>HYPERLINK("https://klasma.github.io/Logging_0885/tillsynsmail/S 7016-2022 tillsynsbegäran mail.docx", "S 7016-2022")</f>
        <v/>
      </c>
    </row>
    <row r="37" ht="15" customHeight="1">
      <c r="A37" t="inlineStr">
        <is>
          <t>S 921-2026</t>
        </is>
      </c>
      <c r="B37" t="inlineStr">
        <is>
          <t>samrådsanmälan</t>
        </is>
      </c>
      <c r="C37" t="inlineStr">
        <is>
          <t>Askåterföring</t>
        </is>
      </c>
      <c r="D37" s="1" t="n">
        <v>46111</v>
      </c>
      <c r="E37" s="1" t="n">
        <v>46323</v>
      </c>
      <c r="F37" t="inlineStr">
        <is>
          <t>KALMAR LÄN</t>
        </is>
      </c>
      <c r="G37" t="inlineStr">
        <is>
          <t>HÖGSBY</t>
        </is>
      </c>
      <c r="I37" t="n">
        <v>184.4</v>
      </c>
      <c r="J37" t="n">
        <v>10</v>
      </c>
      <c r="K37" t="n">
        <v>2</v>
      </c>
      <c r="L37" t="n">
        <v>9</v>
      </c>
      <c r="M37" t="n">
        <v>2</v>
      </c>
      <c r="N37" t="n">
        <v>2</v>
      </c>
      <c r="O37" t="n">
        <v>0</v>
      </c>
      <c r="P37" t="n">
        <v>0</v>
      </c>
      <c r="Q37" t="n">
        <v>13</v>
      </c>
      <c r="R37" t="n">
        <v>4</v>
      </c>
      <c r="S37" t="n">
        <v>22</v>
      </c>
      <c r="T37" t="n">
        <v>28</v>
      </c>
      <c r="U37" t="n">
        <v>0</v>
      </c>
      <c r="V37" s="2" t="inlineStr">
        <is>
          <t>Ask
Hornuggla
Hasselsnok
Slåttergubbe
Backklöver
Backtimjan
Gullklöver
Jungfrulin
Solvända
Spindelört
Tretåig hackspett
Vippärt
Åkerkål
Blåmossa
Bronshjon
Blåsippa
Spillkråka
Tjäder
Kopparödla
Grönvit nattviol
Nattviol
Gullviva</t>
        </is>
      </c>
      <c r="W37">
        <f>HYPERLINK("https://klasma.github.io/Logging_0821/artfynd/S 921-2026 artfynd.xlsx", "S 921-2026")</f>
        <v/>
      </c>
      <c r="X37">
        <f>HYPERLINK("https://klasma.github.io/Logging_0821/kartor/S 921-2026 karta.png", "S 921-2026")</f>
        <v/>
      </c>
      <c r="Y37">
        <f>HYPERLINK("https://klasma.github.io/Logging_0821/kartor_geotiff/S 921-2026 georefererad karta.tif", "S 921-2026")</f>
        <v/>
      </c>
      <c r="AA37">
        <f>HYPERLINK("https://klasma.github.io/Logging_0821/klagomål/S 921-2026 FSC-klagomål.docx", "S 921-2026")</f>
        <v/>
      </c>
      <c r="AB37">
        <f>HYPERLINK("https://klasma.github.io/Logging_0821/klagomålsmail/S 921-2026 FSC-klagomål mail.docx", "S 921-2026")</f>
        <v/>
      </c>
      <c r="AC37">
        <f>HYPERLINK("https://klasma.github.io/Logging_0821/tillsyn/S 921-2026 tillsynsbegäran.docx", "S 921-2026")</f>
        <v/>
      </c>
      <c r="AD37">
        <f>HYPERLINK("https://klasma.github.io/Logging_0821/tillsynsmail/S 921-2026 tillsynsbegäran mail.docx", "S 921-2026")</f>
        <v/>
      </c>
      <c r="AE37">
        <f>HYPERLINK("https://klasma.github.io/Logging_0821/fåglar/S 921-2026 prioriterade fågelarter.docx", "S 921-2026")</f>
        <v/>
      </c>
    </row>
    <row r="38" ht="15" customHeight="1">
      <c r="A38" t="inlineStr">
        <is>
          <t>A 61319-2021</t>
        </is>
      </c>
      <c r="B38" t="inlineStr">
        <is>
          <t>avverkningsanmälan</t>
        </is>
      </c>
      <c r="C38" t="inlineStr">
        <is>
          <t>Föryngringsavverkning</t>
        </is>
      </c>
      <c r="D38" s="1" t="n">
        <v>44498</v>
      </c>
      <c r="E38" s="1" t="n">
        <v>46323</v>
      </c>
      <c r="F38" t="inlineStr">
        <is>
          <t>KALMAR LÄN</t>
        </is>
      </c>
      <c r="G38" t="inlineStr">
        <is>
          <t>VÄSTERVIK</t>
        </is>
      </c>
      <c r="I38" t="n">
        <v>2.2</v>
      </c>
      <c r="J38" t="n">
        <v>18</v>
      </c>
      <c r="K38" t="n">
        <v>1</v>
      </c>
      <c r="L38" t="n">
        <v>5</v>
      </c>
      <c r="M38" t="n">
        <v>2</v>
      </c>
      <c r="N38" t="n">
        <v>3</v>
      </c>
      <c r="O38" t="n">
        <v>0</v>
      </c>
      <c r="P38" t="n">
        <v>0</v>
      </c>
      <c r="Q38" t="n">
        <v>10</v>
      </c>
      <c r="R38" t="n">
        <v>5</v>
      </c>
      <c r="S38" t="n">
        <v>21</v>
      </c>
      <c r="T38" t="n">
        <v>23</v>
      </c>
      <c r="U38" t="n">
        <v>22</v>
      </c>
      <c r="V38" s="2" t="inlineStr">
        <is>
          <t>Ask
Hornuggla
Klätt
Gråtrut
Sandödla
Ekträdlöpare
Entita
Kricka
Mindre hackspett
Sädesärla
Ekoxe
Gråsiska
Stjärtmes
Tofsmes
Fiskgjuse
Gröngöling
Grönsiska
Havsörn
Trana
Trädlärka
Vanlig padda</t>
        </is>
      </c>
      <c r="W38">
        <f>HYPERLINK("https://klasma.github.io/Logging_0883/artfynd/A 61319-2021 artfynd.xlsx", "A 61319-2021")</f>
        <v/>
      </c>
      <c r="X38">
        <f>HYPERLINK("https://klasma.github.io/Logging_0883/kartor/A 61319-2021 karta.png", "A 61319-2021")</f>
        <v/>
      </c>
      <c r="Y38">
        <f>HYPERLINK("https://klasma.github.io/Logging_0883/kartor_geotiff/A 61319-2021 georefererad karta.tif", "A 61319-2021")</f>
        <v/>
      </c>
      <c r="AA38">
        <f>HYPERLINK("https://klasma.github.io/Logging_0883/klagomål/A 61319-2021 FSC-klagomål.docx", "A 61319-2021")</f>
        <v/>
      </c>
      <c r="AB38">
        <f>HYPERLINK("https://klasma.github.io/Logging_0883/klagomålsmail/A 61319-2021 FSC-klagomål mail.docx", "A 61319-2021")</f>
        <v/>
      </c>
      <c r="AC38">
        <f>HYPERLINK("https://klasma.github.io/Logging_0883/tillsyn/A 61319-2021 tillsynsbegäran.docx", "A 61319-2021")</f>
        <v/>
      </c>
      <c r="AD38">
        <f>HYPERLINK("https://klasma.github.io/Logging_0883/tillsynsmail/A 61319-2021 tillsynsbegäran mail.docx", "A 61319-2021")</f>
        <v/>
      </c>
      <c r="AE38">
        <f>HYPERLINK("https://klasma.github.io/Logging_0883/fåglar/A 61319-2021 prioriterade fågelarter.docx", "A 61319-2021")</f>
        <v/>
      </c>
    </row>
    <row r="39" ht="15" customHeight="1">
      <c r="A39" t="inlineStr">
        <is>
          <t>A 27865-2024</t>
        </is>
      </c>
      <c r="B39" t="inlineStr">
        <is>
          <t>avverkningsanmälan</t>
        </is>
      </c>
      <c r="C39" t="inlineStr">
        <is>
          <t>Föryngringsavverkning</t>
        </is>
      </c>
      <c r="D39" s="1" t="n">
        <v>45475</v>
      </c>
      <c r="E39" s="1" t="n">
        <v>46323</v>
      </c>
      <c r="F39" t="inlineStr">
        <is>
          <t>KALMAR LÄN</t>
        </is>
      </c>
      <c r="G39" t="inlineStr">
        <is>
          <t>MÖRBYLÅNGA</t>
        </is>
      </c>
      <c r="I39" t="n">
        <v>0.7</v>
      </c>
      <c r="J39" t="n">
        <v>8</v>
      </c>
      <c r="K39" t="n">
        <v>7</v>
      </c>
      <c r="L39" t="n">
        <v>10</v>
      </c>
      <c r="M39" t="n">
        <v>0</v>
      </c>
      <c r="N39" t="n">
        <v>0</v>
      </c>
      <c r="O39" t="n">
        <v>0</v>
      </c>
      <c r="P39" t="n">
        <v>0</v>
      </c>
      <c r="Q39" t="n">
        <v>10</v>
      </c>
      <c r="R39" t="n">
        <v>0</v>
      </c>
      <c r="S39" t="n">
        <v>21</v>
      </c>
      <c r="T39" t="n">
        <v>43</v>
      </c>
      <c r="U39" t="n">
        <v>34</v>
      </c>
      <c r="V39" s="2" t="inlineStr">
        <is>
          <t>Bergjohannesört
Blå slemspindling
Fjällig taggsvamp s.str.
Grönsångare
Klasefibbla
Krusfrö
Solvända
Vippärt
Väpplingblåvinge
Ängsskära
Diskvaxskivling
Murgröna
Nästrot
Skogsknipprot
Strävlosta
Tvåblad
Underviol
Blåsippa
Kungsfågel
Bredarun
Grönvit nattviol</t>
        </is>
      </c>
      <c r="W39">
        <f>HYPERLINK("https://klasma.github.io/Logging_0840/artfynd/A 27865-2024 artfynd.xlsx", "A 27865-2024")</f>
        <v/>
      </c>
      <c r="X39">
        <f>HYPERLINK("https://klasma.github.io/Logging_0840/kartor/A 27865-2024 karta.png", "A 27865-2024")</f>
        <v/>
      </c>
      <c r="Y39">
        <f>HYPERLINK("https://klasma.github.io/Logging_0840/kartor_geotiff/A 27865-2024 georefererad karta.tif", "A 27865-2024")</f>
        <v/>
      </c>
      <c r="AA39">
        <f>HYPERLINK("https://klasma.github.io/Logging_0840/klagomål/A 27865-2024 FSC-klagomål.docx", "A 27865-2024")</f>
        <v/>
      </c>
      <c r="AB39">
        <f>HYPERLINK("https://klasma.github.io/Logging_0840/klagomålsmail/A 27865-2024 FSC-klagomål mail.docx", "A 27865-2024")</f>
        <v/>
      </c>
      <c r="AC39">
        <f>HYPERLINK("https://klasma.github.io/Logging_0840/tillsyn/A 27865-2024 tillsynsbegäran.docx", "A 27865-2024")</f>
        <v/>
      </c>
      <c r="AD39">
        <f>HYPERLINK("https://klasma.github.io/Logging_0840/tillsynsmail/A 27865-2024 tillsynsbegäran mail.docx", "A 27865-2024")</f>
        <v/>
      </c>
      <c r="AE39">
        <f>HYPERLINK("https://klasma.github.io/Logging_0840/fåglar/A 27865-2024 prioriterade fågelarter.docx", "A 27865-2024")</f>
        <v/>
      </c>
    </row>
    <row r="40" ht="15" customHeight="1">
      <c r="A40" t="inlineStr">
        <is>
          <t>A 21543-2026</t>
        </is>
      </c>
      <c r="B40" t="inlineStr">
        <is>
          <t>avverkningsanmälan</t>
        </is>
      </c>
      <c r="C40" t="inlineStr">
        <is>
          <t>Föryngringsavverkning</t>
        </is>
      </c>
      <c r="D40" s="1" t="n">
        <v>46148</v>
      </c>
      <c r="E40" s="1" t="n">
        <v>46323</v>
      </c>
      <c r="F40" t="inlineStr">
        <is>
          <t>KALMAR LÄN</t>
        </is>
      </c>
      <c r="G40" t="inlineStr">
        <is>
          <t>MÖNSTERÅS</t>
        </is>
      </c>
      <c r="H40" t="inlineStr">
        <is>
          <t>Kyrkan</t>
        </is>
      </c>
      <c r="I40" t="n">
        <v>3.1</v>
      </c>
      <c r="J40" t="n">
        <v>5</v>
      </c>
      <c r="K40" t="n">
        <v>11</v>
      </c>
      <c r="L40" t="n">
        <v>6</v>
      </c>
      <c r="M40" t="n">
        <v>0</v>
      </c>
      <c r="N40" t="n">
        <v>0</v>
      </c>
      <c r="O40" t="n">
        <v>0</v>
      </c>
      <c r="P40" t="n">
        <v>0</v>
      </c>
      <c r="Q40" t="n">
        <v>6</v>
      </c>
      <c r="R40" t="n">
        <v>0</v>
      </c>
      <c r="S40" t="n">
        <v>21</v>
      </c>
      <c r="T40" t="n">
        <v>56</v>
      </c>
      <c r="U40" t="n">
        <v>36</v>
      </c>
      <c r="V40" s="2" t="inlineStr">
        <is>
          <t>Kolflarnlav
Rynkskinn
Talltita
Ullticka
Vedskivlav
Vedtrappmossa
Blodticka
Blåmossa
Bronshjon
Grovticka
Grön sköldmossa
Kornknutmossa
Stor revmossa
Stubbspretmossa
Vedticka
Västlig hakmossa
Vågbandad barkbock
Skärmstarr
Spillkråka
Kungsfågel
Revlummer</t>
        </is>
      </c>
      <c r="W40">
        <f>HYPERLINK("https://klasma.github.io/Logging_0861/artfynd/A 21543-2026 artfynd.xlsx", "A 21543-2026")</f>
        <v/>
      </c>
      <c r="X40">
        <f>HYPERLINK("https://klasma.github.io/Logging_0861/kartor/A 21543-2026 karta.png", "A 21543-2026")</f>
        <v/>
      </c>
      <c r="Y40">
        <f>HYPERLINK("https://klasma.github.io/Logging_0861/kartor_geotiff/A 21543-2026 georefererad karta.tif", "A 21543-2026")</f>
        <v/>
      </c>
      <c r="AA40">
        <f>HYPERLINK("https://klasma.github.io/Logging_0861/klagomål/A 21543-2026 FSC-klagomål.docx", "A 21543-2026")</f>
        <v/>
      </c>
      <c r="AB40">
        <f>HYPERLINK("https://klasma.github.io/Logging_0861/klagomålsmail/A 21543-2026 FSC-klagomål mail.docx", "A 21543-2026")</f>
        <v/>
      </c>
      <c r="AC40">
        <f>HYPERLINK("https://klasma.github.io/Logging_0861/tillsyn/A 21543-2026 tillsynsbegäran.docx", "A 21543-2026")</f>
        <v/>
      </c>
      <c r="AD40">
        <f>HYPERLINK("https://klasma.github.io/Logging_0861/tillsynsmail/A 21543-2026 tillsynsbegäran mail.docx", "A 21543-2026")</f>
        <v/>
      </c>
      <c r="AE40">
        <f>HYPERLINK("https://klasma.github.io/Logging_0861/fåglar/A 21543-2026 prioriterade fågelarter.docx", "A 21543-2026")</f>
        <v/>
      </c>
    </row>
    <row r="41" ht="15" customHeight="1">
      <c r="A41" t="inlineStr">
        <is>
          <t>S 2477-2025</t>
        </is>
      </c>
      <c r="B41" t="inlineStr">
        <is>
          <t>samrådsanmälan</t>
        </is>
      </c>
      <c r="C41" t="inlineStr">
        <is>
          <t>Annan skogsbruksåtgärd</t>
        </is>
      </c>
      <c r="D41" s="1" t="n">
        <v>45903</v>
      </c>
      <c r="E41" s="1" t="n">
        <v>46323</v>
      </c>
      <c r="F41" t="inlineStr">
        <is>
          <t>KALMAR LÄN</t>
        </is>
      </c>
      <c r="G41" t="inlineStr">
        <is>
          <t>BORGHOLM</t>
        </is>
      </c>
      <c r="I41" t="n">
        <v>15.1</v>
      </c>
      <c r="J41" t="n">
        <v>4</v>
      </c>
      <c r="K41" t="n">
        <v>5</v>
      </c>
      <c r="L41" t="n">
        <v>9</v>
      </c>
      <c r="M41" t="n">
        <v>2</v>
      </c>
      <c r="N41" t="n">
        <v>2</v>
      </c>
      <c r="O41" t="n">
        <v>0</v>
      </c>
      <c r="P41" t="n">
        <v>0</v>
      </c>
      <c r="Q41" t="n">
        <v>13</v>
      </c>
      <c r="R41" t="n">
        <v>4</v>
      </c>
      <c r="S41" t="n">
        <v>21</v>
      </c>
      <c r="T41" t="n">
        <v>29</v>
      </c>
      <c r="U41" t="n">
        <v>17</v>
      </c>
      <c r="V41" s="2" t="inlineStr">
        <is>
          <t>Ask
Säckjordstjärna
Malthinus balteatus
Småvänderot
Askpraktbagge
Bredhornad praktbagge
Gul dropplav
Hasselpraktbagge
Hemicoelus fulvicornis
Skulderfläckad gaddbagge
Svinrot
Ängsskära
Ängsstarr
Bokoxe
Murgröna
Tvåblad
Underviol
Vätteros
Blåsippa
Fläcknycklar
Vanliga ängsnycklar</t>
        </is>
      </c>
      <c r="W41">
        <f>HYPERLINK("https://klasma.github.io/Logging_0885/artfynd/S 2477-2025 artfynd.xlsx", "S 2477-2025")</f>
        <v/>
      </c>
      <c r="X41">
        <f>HYPERLINK("https://klasma.github.io/Logging_0885/kartor/S 2477-2025 karta.png", "S 2477-2025")</f>
        <v/>
      </c>
      <c r="Y41">
        <f>HYPERLINK("https://klasma.github.io/Logging_0885/kartor_geotiff/S 2477-2025 georefererad karta.tif", "S 2477-2025")</f>
        <v/>
      </c>
      <c r="AA41">
        <f>HYPERLINK("https://klasma.github.io/Logging_0885/klagomål/S 2477-2025 FSC-klagomål.docx", "S 2477-2025")</f>
        <v/>
      </c>
      <c r="AB41">
        <f>HYPERLINK("https://klasma.github.io/Logging_0885/klagomålsmail/S 2477-2025 FSC-klagomål mail.docx", "S 2477-2025")</f>
        <v/>
      </c>
      <c r="AC41">
        <f>HYPERLINK("https://klasma.github.io/Logging_0885/tillsyn/S 2477-2025 tillsynsbegäran.docx", "S 2477-2025")</f>
        <v/>
      </c>
      <c r="AD41">
        <f>HYPERLINK("https://klasma.github.io/Logging_0885/tillsynsmail/S 2477-2025 tillsynsbegäran mail.docx", "S 2477-2025")</f>
        <v/>
      </c>
    </row>
    <row r="42" ht="15" customHeight="1">
      <c r="A42" t="inlineStr">
        <is>
          <t>S 2194-2026</t>
        </is>
      </c>
      <c r="B42" t="inlineStr">
        <is>
          <t>samrådsanmälan</t>
        </is>
      </c>
      <c r="C42" t="inlineStr">
        <is>
          <t>Annan skogsbruksåtgärd</t>
        </is>
      </c>
      <c r="D42" s="1" t="n">
        <v>46254</v>
      </c>
      <c r="E42" s="1" t="n">
        <v>46323</v>
      </c>
      <c r="F42" t="inlineStr">
        <is>
          <t>KALMAR LÄN</t>
        </is>
      </c>
      <c r="G42" t="inlineStr">
        <is>
          <t>BORGHOLM</t>
        </is>
      </c>
      <c r="I42" t="n">
        <v>15.1</v>
      </c>
      <c r="J42" t="n">
        <v>4</v>
      </c>
      <c r="K42" t="n">
        <v>5</v>
      </c>
      <c r="L42" t="n">
        <v>9</v>
      </c>
      <c r="M42" t="n">
        <v>2</v>
      </c>
      <c r="N42" t="n">
        <v>2</v>
      </c>
      <c r="O42" t="n">
        <v>0</v>
      </c>
      <c r="P42" t="n">
        <v>0</v>
      </c>
      <c r="Q42" t="n">
        <v>13</v>
      </c>
      <c r="R42" t="n">
        <v>4</v>
      </c>
      <c r="S42" t="n">
        <v>21</v>
      </c>
      <c r="T42" t="n">
        <v>29</v>
      </c>
      <c r="U42" t="n">
        <v>0</v>
      </c>
      <c r="V42" s="2" t="inlineStr">
        <is>
          <t>Ask
Säckjordstjärna
Malthinus balteatus
Småvänderot
Askpraktbagge
Bredhornad praktbagge
Gul dropplav
Hasselpraktbagge
Hemicoelus fulvicornis
Skulderfläckad gaddbagge
Svinrot
Ängsskära
Ängsstarr
Bokoxe
Murgröna
Tvåblad
Underviol
Vätteros
Blåsippa
Fläcknycklar
Vanliga ängsnycklar</t>
        </is>
      </c>
      <c r="W42">
        <f>HYPERLINK("https://klasma.github.io/Logging_0885/artfynd/S 2194-2026 artfynd.xlsx", "S 2194-2026")</f>
        <v/>
      </c>
      <c r="X42">
        <f>HYPERLINK("https://klasma.github.io/Logging_0885/kartor/S 2194-2026 karta.png", "S 2194-2026")</f>
        <v/>
      </c>
      <c r="Y42">
        <f>HYPERLINK("https://klasma.github.io/Logging_0885/kartor_geotiff/S 2194-2026 georefererad karta.tif", "S 2194-2026")</f>
        <v/>
      </c>
      <c r="AA42">
        <f>HYPERLINK("https://klasma.github.io/Logging_0885/klagomål/S 2194-2026 FSC-klagomål.docx", "S 2194-2026")</f>
        <v/>
      </c>
      <c r="AB42">
        <f>HYPERLINK("https://klasma.github.io/Logging_0885/klagomålsmail/S 2194-2026 FSC-klagomål mail.docx", "S 2194-2026")</f>
        <v/>
      </c>
      <c r="AC42">
        <f>HYPERLINK("https://klasma.github.io/Logging_0885/tillsyn/S 2194-2026 tillsynsbegäran.docx", "S 2194-2026")</f>
        <v/>
      </c>
      <c r="AD42">
        <f>HYPERLINK("https://klasma.github.io/Logging_0885/tillsynsmail/S 2194-2026 tillsynsbegäran mail.docx", "S 2194-2026")</f>
        <v/>
      </c>
    </row>
    <row r="43" ht="15" customHeight="1">
      <c r="A43" t="inlineStr">
        <is>
          <t>A 10995-2026</t>
        </is>
      </c>
      <c r="B43" t="inlineStr">
        <is>
          <t>avverkningsanmälan</t>
        </is>
      </c>
      <c r="C43" t="inlineStr">
        <is>
          <t>Avverkning för annat ändamål</t>
        </is>
      </c>
      <c r="D43" s="1" t="n">
        <v>46079</v>
      </c>
      <c r="E43" s="1" t="n">
        <v>46323</v>
      </c>
      <c r="F43" t="inlineStr">
        <is>
          <t>KALMAR LÄN</t>
        </is>
      </c>
      <c r="G43" t="inlineStr">
        <is>
          <t>OSKARSHAMN</t>
        </is>
      </c>
      <c r="I43" t="n">
        <v>2.3</v>
      </c>
      <c r="J43" t="n">
        <v>4</v>
      </c>
      <c r="K43" t="n">
        <v>1</v>
      </c>
      <c r="L43" t="n">
        <v>10</v>
      </c>
      <c r="M43" t="n">
        <v>5</v>
      </c>
      <c r="N43" t="n">
        <v>0</v>
      </c>
      <c r="O43" t="n">
        <v>0</v>
      </c>
      <c r="P43" t="n">
        <v>0</v>
      </c>
      <c r="Q43" t="n">
        <v>15</v>
      </c>
      <c r="R43" t="n">
        <v>5</v>
      </c>
      <c r="S43" t="n">
        <v>20</v>
      </c>
      <c r="T43" t="n">
        <v>20</v>
      </c>
      <c r="U43" t="n">
        <v>2</v>
      </c>
      <c r="V43" s="2" t="inlineStr">
        <is>
          <t>Bredbrämad bastardsvärmare
Brunfläckig pärlemorfjäril
Mindre bastardsvärmare
Violettkantad guldvinge
Ängsblåvinge
Gullklöver
Klubbsprötad bastardsvärmare
Mindre tåtelsmygare
Silversmygare
Skogshare
Smalvingad blombock
Solvända
Vippärt
Vitfläckig guldvinge
Ängsmetallvinge
Ekoxe
Ängskovall
Törnskata
Åkergroda
Nattviol</t>
        </is>
      </c>
      <c r="W43">
        <f>HYPERLINK("https://klasma.github.io/Logging_0882/artfynd/A 10995-2026 artfynd.xlsx", "A 10995-2026")</f>
        <v/>
      </c>
      <c r="X43">
        <f>HYPERLINK("https://klasma.github.io/Logging_0882/kartor/A 10995-2026 karta.png", "A 10995-2026")</f>
        <v/>
      </c>
      <c r="Y43">
        <f>HYPERLINK("https://klasma.github.io/Logging_0882/kartor_geotiff/A 10995-2026 georefererad karta.tif", "A 10995-2026")</f>
        <v/>
      </c>
      <c r="AA43">
        <f>HYPERLINK("https://klasma.github.io/Logging_0882/klagomål/A 10995-2026 FSC-klagomål.docx", "A 10995-2026")</f>
        <v/>
      </c>
      <c r="AB43">
        <f>HYPERLINK("https://klasma.github.io/Logging_0882/klagomålsmail/A 10995-2026 FSC-klagomål mail.docx", "A 10995-2026")</f>
        <v/>
      </c>
      <c r="AC43">
        <f>HYPERLINK("https://klasma.github.io/Logging_0882/tillsyn/A 10995-2026 tillsynsbegäran.docx", "A 10995-2026")</f>
        <v/>
      </c>
      <c r="AD43">
        <f>HYPERLINK("https://klasma.github.io/Logging_0882/tillsynsmail/A 10995-2026 tillsynsbegäran mail.docx", "A 10995-2026")</f>
        <v/>
      </c>
      <c r="AE43">
        <f>HYPERLINK("https://klasma.github.io/Logging_0882/fåglar/A 10995-2026 prioriterade fågelarter.docx", "A 10995-2026")</f>
        <v/>
      </c>
    </row>
    <row r="44" ht="15" customHeight="1">
      <c r="A44" t="inlineStr">
        <is>
          <t>A 21219-2023</t>
        </is>
      </c>
      <c r="B44" t="inlineStr">
        <is>
          <t>avverkningsanmälan</t>
        </is>
      </c>
      <c r="C44" t="inlineStr">
        <is>
          <t>Föryngringsavverkning</t>
        </is>
      </c>
      <c r="D44" s="1" t="n">
        <v>45062</v>
      </c>
      <c r="E44" s="1" t="n">
        <v>46323</v>
      </c>
      <c r="F44" t="inlineStr">
        <is>
          <t>KALMAR LÄN</t>
        </is>
      </c>
      <c r="G44" t="inlineStr">
        <is>
          <t>MÖRBYLÅNGA</t>
        </is>
      </c>
      <c r="I44" t="n">
        <v>2.6</v>
      </c>
      <c r="J44" t="n">
        <v>7</v>
      </c>
      <c r="K44" t="n">
        <v>10</v>
      </c>
      <c r="L44" t="n">
        <v>5</v>
      </c>
      <c r="M44" t="n">
        <v>1</v>
      </c>
      <c r="N44" t="n">
        <v>1</v>
      </c>
      <c r="O44" t="n">
        <v>0</v>
      </c>
      <c r="P44" t="n">
        <v>0</v>
      </c>
      <c r="Q44" t="n">
        <v>7</v>
      </c>
      <c r="R44" t="n">
        <v>2</v>
      </c>
      <c r="S44" t="n">
        <v>20</v>
      </c>
      <c r="T44" t="n">
        <v>94</v>
      </c>
      <c r="U44" t="n">
        <v>94</v>
      </c>
      <c r="V44" s="2" t="inlineStr">
        <is>
          <t>Ask
Mindre bastardsvärmare
Fläckig saffransspindling
Munkspindling
Olivbrun spindling
Svartbrun klaffmätare
Sårläka
Grov baronmossa
Murgröna
Nästrot
Platt fjädermossa
Purpurknipprot
Skogsknipprot
Strimspindling
Traslav
Tvåblad
Underviol
Blåsippa
Fläcknycklar
Gullviva</t>
        </is>
      </c>
      <c r="W44">
        <f>HYPERLINK("https://klasma.github.io/Logging_0840/artfynd/A 21219-2023 artfynd.xlsx", "A 21219-2023")</f>
        <v/>
      </c>
      <c r="X44">
        <f>HYPERLINK("https://klasma.github.io/Logging_0840/kartor/A 21219-2023 karta.png", "A 21219-2023")</f>
        <v/>
      </c>
      <c r="Y44">
        <f>HYPERLINK("https://klasma.github.io/Logging_0840/kartor_geotiff/A 21219-2023 georefererad karta.tif", "A 21219-2023")</f>
        <v/>
      </c>
      <c r="AA44">
        <f>HYPERLINK("https://klasma.github.io/Logging_0840/klagomål/A 21219-2023 FSC-klagomål.docx", "A 21219-2023")</f>
        <v/>
      </c>
      <c r="AB44">
        <f>HYPERLINK("https://klasma.github.io/Logging_0840/klagomålsmail/A 21219-2023 FSC-klagomål mail.docx", "A 21219-2023")</f>
        <v/>
      </c>
      <c r="AC44">
        <f>HYPERLINK("https://klasma.github.io/Logging_0840/tillsyn/A 21219-2023 tillsynsbegäran.docx", "A 21219-2023")</f>
        <v/>
      </c>
      <c r="AD44">
        <f>HYPERLINK("https://klasma.github.io/Logging_0840/tillsynsmail/A 21219-2023 tillsynsbegäran mail.docx", "A 21219-2023")</f>
        <v/>
      </c>
    </row>
    <row r="45" ht="15" customHeight="1">
      <c r="A45" t="inlineStr">
        <is>
          <t>S 2636-2022</t>
        </is>
      </c>
      <c r="B45" t="inlineStr">
        <is>
          <t>samrådsanmälan</t>
        </is>
      </c>
      <c r="C45" t="inlineStr">
        <is>
          <t>Åtgärd i nyckelbiotop</t>
        </is>
      </c>
      <c r="D45" s="1" t="n">
        <v>44699</v>
      </c>
      <c r="E45" s="1" t="n">
        <v>46323</v>
      </c>
      <c r="F45" t="inlineStr">
        <is>
          <t>KALMAR LÄN</t>
        </is>
      </c>
      <c r="G45" t="inlineStr">
        <is>
          <t>VÄSTERVIK</t>
        </is>
      </c>
      <c r="H45" t="inlineStr">
        <is>
          <t>Kommuner</t>
        </is>
      </c>
      <c r="I45" t="n">
        <v>13.9</v>
      </c>
      <c r="J45" t="n">
        <v>11</v>
      </c>
      <c r="K45" t="n">
        <v>4</v>
      </c>
      <c r="L45" t="n">
        <v>5</v>
      </c>
      <c r="M45" t="n">
        <v>4</v>
      </c>
      <c r="N45" t="n">
        <v>0</v>
      </c>
      <c r="O45" t="n">
        <v>0</v>
      </c>
      <c r="P45" t="n">
        <v>0</v>
      </c>
      <c r="Q45" t="n">
        <v>9</v>
      </c>
      <c r="R45" t="n">
        <v>4</v>
      </c>
      <c r="S45" t="n">
        <v>20</v>
      </c>
      <c r="T45" t="n">
        <v>43</v>
      </c>
      <c r="U45" t="n">
        <v>26</v>
      </c>
      <c r="V45" s="2" t="inlineStr">
        <is>
          <t>Hasselsnok
Sandödla
Skogskorn
Stortimjan
Blekticka
Desmeknopp
Mindre hackspett
Svinrot
Vårärt
Ekoxe
Myskmadra
Nästrot
Vätteros
Blåsippa
Mörk lungört
Gröngöling
Grönsiska
Skogsduva
Vanlig padda
Fläcknycklar</t>
        </is>
      </c>
      <c r="W45">
        <f>HYPERLINK("https://klasma.github.io/Logging_0883/artfynd/S 2636-2022 artfynd.xlsx", "S 2636-2022")</f>
        <v/>
      </c>
      <c r="X45">
        <f>HYPERLINK("https://klasma.github.io/Logging_0883/kartor/S 2636-2022 karta.png", "S 2636-2022")</f>
        <v/>
      </c>
      <c r="Y45">
        <f>HYPERLINK("https://klasma.github.io/Logging_0883/kartor_geotiff/S 2636-2022 georefererad karta.tif", "S 2636-2022")</f>
        <v/>
      </c>
      <c r="AA45">
        <f>HYPERLINK("https://klasma.github.io/Logging_0883/klagomål/S 2636-2022 FSC-klagomål.docx", "S 2636-2022")</f>
        <v/>
      </c>
      <c r="AB45">
        <f>HYPERLINK("https://klasma.github.io/Logging_0883/klagomålsmail/S 2636-2022 FSC-klagomål mail.docx", "S 2636-2022")</f>
        <v/>
      </c>
      <c r="AC45">
        <f>HYPERLINK("https://klasma.github.io/Logging_0883/tillsyn/S 2636-2022 tillsynsbegäran.docx", "S 2636-2022")</f>
        <v/>
      </c>
      <c r="AD45">
        <f>HYPERLINK("https://klasma.github.io/Logging_0883/tillsynsmail/S 2636-2022 tillsynsbegäran mail.docx", "S 2636-2022")</f>
        <v/>
      </c>
      <c r="AE45">
        <f>HYPERLINK("https://klasma.github.io/Logging_0883/fåglar/S 2636-2022 prioriterade fågelarter.docx", "S 2636-2022")</f>
        <v/>
      </c>
    </row>
    <row r="46" ht="15" customHeight="1">
      <c r="A46" t="inlineStr">
        <is>
          <t>S 6436-2022</t>
        </is>
      </c>
      <c r="B46" t="inlineStr">
        <is>
          <t>samrådsanmälan</t>
        </is>
      </c>
      <c r="C46" t="inlineStr">
        <is>
          <t>Annan skogsbruksåtgärd</t>
        </is>
      </c>
      <c r="D46" s="1" t="n">
        <v>44876</v>
      </c>
      <c r="E46" s="1" t="n">
        <v>46323</v>
      </c>
      <c r="F46" t="inlineStr">
        <is>
          <t>KALMAR LÄN</t>
        </is>
      </c>
      <c r="G46" t="inlineStr">
        <is>
          <t>KALMAR</t>
        </is>
      </c>
      <c r="I46" t="n">
        <v>9.699999999999999</v>
      </c>
      <c r="J46" t="n">
        <v>6</v>
      </c>
      <c r="K46" t="n">
        <v>5</v>
      </c>
      <c r="L46" t="n">
        <v>9</v>
      </c>
      <c r="M46" t="n">
        <v>2</v>
      </c>
      <c r="N46" t="n">
        <v>0</v>
      </c>
      <c r="O46" t="n">
        <v>0</v>
      </c>
      <c r="P46" t="n">
        <v>0</v>
      </c>
      <c r="Q46" t="n">
        <v>11</v>
      </c>
      <c r="R46" t="n">
        <v>2</v>
      </c>
      <c r="S46" t="n">
        <v>20</v>
      </c>
      <c r="T46" t="n">
        <v>152</v>
      </c>
      <c r="U46" t="n">
        <v>6</v>
      </c>
      <c r="V46" s="2" t="inlineStr">
        <is>
          <t>Knärot
Raggbock
Dropptaggsvamp
Gransotdyna
Orange taggsvamp
Sumpviol
Tallfingersvamp
Tallkötticka
Tallticka
Talltita
Ullticka
Blomkålssvamp
Blåmossa
Bronshjon
Grovticka
Grönpyrola
Spillkråka
Havsörn
Kungsfågel
Röd glada</t>
        </is>
      </c>
      <c r="W46">
        <f>HYPERLINK("https://klasma.github.io/Logging_0880/artfynd/S 6436-2022 artfynd.xlsx", "S 6436-2022")</f>
        <v/>
      </c>
      <c r="X46">
        <f>HYPERLINK("https://klasma.github.io/Logging_0880/kartor/S 6436-2022 karta.png", "S 6436-2022")</f>
        <v/>
      </c>
      <c r="Y46">
        <f>HYPERLINK("https://klasma.github.io/Logging_0880/kartor_geotiff/S 6436-2022 georefererad karta.tif", "S 6436-2022")</f>
        <v/>
      </c>
      <c r="Z46">
        <f>HYPERLINK("https://klasma.github.io/Logging_0880/knärot/S 6436-2022 karta knärot.png", "S 6436-2022")</f>
        <v/>
      </c>
      <c r="AA46">
        <f>HYPERLINK("https://klasma.github.io/Logging_0880/klagomål/S 6436-2022 FSC-klagomål.docx", "S 6436-2022")</f>
        <v/>
      </c>
      <c r="AB46">
        <f>HYPERLINK("https://klasma.github.io/Logging_0880/klagomålsmail/S 6436-2022 FSC-klagomål mail.docx", "S 6436-2022")</f>
        <v/>
      </c>
      <c r="AC46">
        <f>HYPERLINK("https://klasma.github.io/Logging_0880/tillsyn/S 6436-2022 tillsynsbegäran.docx", "S 6436-2022")</f>
        <v/>
      </c>
      <c r="AD46">
        <f>HYPERLINK("https://klasma.github.io/Logging_0880/tillsynsmail/S 6436-2022 tillsynsbegäran mail.docx", "S 6436-2022")</f>
        <v/>
      </c>
      <c r="AE46">
        <f>HYPERLINK("https://klasma.github.io/Logging_0880/fåglar/S 6436-2022 prioriterade fågelarter.docx", "S 6436-2022")</f>
        <v/>
      </c>
    </row>
    <row r="47" ht="15" customHeight="1">
      <c r="A47" t="inlineStr">
        <is>
          <t>A 60440-2024</t>
        </is>
      </c>
      <c r="B47" t="inlineStr">
        <is>
          <t>avverkningsanmälan</t>
        </is>
      </c>
      <c r="C47" t="inlineStr">
        <is>
          <t>Föryngringsavverkning</t>
        </is>
      </c>
      <c r="D47" s="1" t="n">
        <v>45643</v>
      </c>
      <c r="E47" s="1" t="n">
        <v>46323</v>
      </c>
      <c r="F47" t="inlineStr">
        <is>
          <t>KALMAR LÄN</t>
        </is>
      </c>
      <c r="G47" t="inlineStr">
        <is>
          <t>VÄSTERVIK</t>
        </is>
      </c>
      <c r="I47" t="n">
        <v>35.5</v>
      </c>
      <c r="J47" t="n">
        <v>7</v>
      </c>
      <c r="K47" t="n">
        <v>5</v>
      </c>
      <c r="L47" t="n">
        <v>10</v>
      </c>
      <c r="M47" t="n">
        <v>1</v>
      </c>
      <c r="N47" t="n">
        <v>0</v>
      </c>
      <c r="O47" t="n">
        <v>0</v>
      </c>
      <c r="P47" t="n">
        <v>0</v>
      </c>
      <c r="Q47" t="n">
        <v>11</v>
      </c>
      <c r="R47" t="n">
        <v>1</v>
      </c>
      <c r="S47" t="n">
        <v>19</v>
      </c>
      <c r="T47" t="n">
        <v>36</v>
      </c>
      <c r="U47" t="n">
        <v>35</v>
      </c>
      <c r="V47" s="2" t="inlineStr">
        <is>
          <t>Knärot
Apollofjäril
Dropptaggsvamp
Jungfrulin
Motaggsvamp
Reliktbock
Sommarfibbla
Svinrot
Tallticka
Talltita
Vintertagging
Blodticka
Blomkålssvamp
Blåmossa
Grönpyrola
Korallrot
Spillkråka
Kungsfågel
Trädlärka</t>
        </is>
      </c>
      <c r="W47">
        <f>HYPERLINK("https://klasma.github.io/Logging_0883/artfynd/A 60440-2024 artfynd.xlsx", "A 60440-2024")</f>
        <v/>
      </c>
      <c r="X47">
        <f>HYPERLINK("https://klasma.github.io/Logging_0883/kartor/A 60440-2024 karta.png", "A 60440-2024")</f>
        <v/>
      </c>
      <c r="Y47">
        <f>HYPERLINK("https://klasma.github.io/Logging_0883/kartor_geotiff/A 60440-2024 georefererad karta.tif", "A 60440-2024")</f>
        <v/>
      </c>
      <c r="Z47">
        <f>HYPERLINK("https://klasma.github.io/Logging_0883/knärot/A 60440-2024 karta knärot.png", "A 60440-2024")</f>
        <v/>
      </c>
      <c r="AA47">
        <f>HYPERLINK("https://klasma.github.io/Logging_0883/klagomål/A 60440-2024 FSC-klagomål.docx", "A 60440-2024")</f>
        <v/>
      </c>
      <c r="AB47">
        <f>HYPERLINK("https://klasma.github.io/Logging_0883/klagomålsmail/A 60440-2024 FSC-klagomål mail.docx", "A 60440-2024")</f>
        <v/>
      </c>
      <c r="AC47">
        <f>HYPERLINK("https://klasma.github.io/Logging_0883/tillsyn/A 60440-2024 tillsynsbegäran.docx", "A 60440-2024")</f>
        <v/>
      </c>
      <c r="AD47">
        <f>HYPERLINK("https://klasma.github.io/Logging_0883/tillsynsmail/A 60440-2024 tillsynsbegäran mail.docx", "A 60440-2024")</f>
        <v/>
      </c>
      <c r="AE47">
        <f>HYPERLINK("https://klasma.github.io/Logging_0883/fåglar/A 60440-2024 prioriterade fågelarter.docx", "A 60440-2024")</f>
        <v/>
      </c>
    </row>
    <row r="48" ht="15" customHeight="1">
      <c r="A48" t="inlineStr">
        <is>
          <t>A 40522-2023</t>
        </is>
      </c>
      <c r="B48" t="inlineStr">
        <is>
          <t>avverkningsanmälan</t>
        </is>
      </c>
      <c r="C48" t="inlineStr">
        <is>
          <t>Föryngringsavverkning</t>
        </is>
      </c>
      <c r="D48" s="1" t="n">
        <v>45170</v>
      </c>
      <c r="E48" s="1" t="n">
        <v>46323</v>
      </c>
      <c r="F48" t="inlineStr">
        <is>
          <t>KALMAR LÄN</t>
        </is>
      </c>
      <c r="G48" t="inlineStr">
        <is>
          <t>OSKARSHAMN</t>
        </is>
      </c>
      <c r="H48" t="inlineStr">
        <is>
          <t>Kyrkan</t>
        </is>
      </c>
      <c r="I48" t="n">
        <v>6</v>
      </c>
      <c r="J48" t="n">
        <v>6</v>
      </c>
      <c r="K48" t="n">
        <v>7</v>
      </c>
      <c r="L48" t="n">
        <v>7</v>
      </c>
      <c r="M48" t="n">
        <v>1</v>
      </c>
      <c r="N48" t="n">
        <v>0</v>
      </c>
      <c r="O48" t="n">
        <v>0</v>
      </c>
      <c r="P48" t="n">
        <v>0</v>
      </c>
      <c r="Q48" t="n">
        <v>8</v>
      </c>
      <c r="R48" t="n">
        <v>1</v>
      </c>
      <c r="S48" t="n">
        <v>19</v>
      </c>
      <c r="T48" t="n">
        <v>37</v>
      </c>
      <c r="U48" t="n">
        <v>25</v>
      </c>
      <c r="V48" s="2" t="inlineStr">
        <is>
          <t>Knärot
Dofttaggsvamp
Dropptaggsvamp
Fjällig taggsvamp s.str.
Koralltaggsvamp
Orange taggsvamp
Talltita
Vedtrappmossa
Björksplintborre
Blomkålssvamp
Fällmossa
Grovticka
Grönpyrola
Murgröna
Svart trolldruva
Blåsippa
Järpe
Mattlummer
Gröngöling</t>
        </is>
      </c>
      <c r="W48">
        <f>HYPERLINK("https://klasma.github.io/Logging_0882/artfynd/A 40522-2023 artfynd.xlsx", "A 40522-2023")</f>
        <v/>
      </c>
      <c r="X48">
        <f>HYPERLINK("https://klasma.github.io/Logging_0882/kartor/A 40522-2023 karta.png", "A 40522-2023")</f>
        <v/>
      </c>
      <c r="Y48">
        <f>HYPERLINK("https://klasma.github.io/Logging_0882/kartor_geotiff/A 40522-2023 georefererad karta.tif", "A 40522-2023")</f>
        <v/>
      </c>
      <c r="Z48">
        <f>HYPERLINK("https://klasma.github.io/Logging_0882/knärot/A 40522-2023 karta knärot.png", "A 40522-2023")</f>
        <v/>
      </c>
      <c r="AA48">
        <f>HYPERLINK("https://klasma.github.io/Logging_0882/klagomål/A 40522-2023 FSC-klagomål.docx", "A 40522-2023")</f>
        <v/>
      </c>
      <c r="AB48">
        <f>HYPERLINK("https://klasma.github.io/Logging_0882/klagomålsmail/A 40522-2023 FSC-klagomål mail.docx", "A 40522-2023")</f>
        <v/>
      </c>
      <c r="AC48">
        <f>HYPERLINK("https://klasma.github.io/Logging_0882/tillsyn/A 40522-2023 tillsynsbegäran.docx", "A 40522-2023")</f>
        <v/>
      </c>
      <c r="AD48">
        <f>HYPERLINK("https://klasma.github.io/Logging_0882/tillsynsmail/A 40522-2023 tillsynsbegäran mail.docx", "A 40522-2023")</f>
        <v/>
      </c>
      <c r="AE48">
        <f>HYPERLINK("https://klasma.github.io/Logging_0882/fåglar/A 40522-2023 prioriterade fågelarter.docx", "A 40522-2023")</f>
        <v/>
      </c>
    </row>
    <row r="49" ht="15" customHeight="1">
      <c r="A49" t="inlineStr">
        <is>
          <t>A 34948-2022</t>
        </is>
      </c>
      <c r="B49" t="inlineStr">
        <is>
          <t>avverkningsanmälan</t>
        </is>
      </c>
      <c r="C49" t="inlineStr">
        <is>
          <t>Avverkning för att bevara och utveckla /försöksver</t>
        </is>
      </c>
      <c r="D49" s="1" t="n">
        <v>44796</v>
      </c>
      <c r="E49" s="1" t="n">
        <v>46323</v>
      </c>
      <c r="F49" t="inlineStr">
        <is>
          <t>KALMAR LÄN</t>
        </is>
      </c>
      <c r="G49" t="inlineStr">
        <is>
          <t>BORGHOLM</t>
        </is>
      </c>
      <c r="H49" t="inlineStr">
        <is>
          <t>Sveaskog</t>
        </is>
      </c>
      <c r="I49" t="n">
        <v>2.8</v>
      </c>
      <c r="J49" t="n">
        <v>3</v>
      </c>
      <c r="K49" t="n">
        <v>4</v>
      </c>
      <c r="L49" t="n">
        <v>5</v>
      </c>
      <c r="M49" t="n">
        <v>8</v>
      </c>
      <c r="N49" t="n">
        <v>1</v>
      </c>
      <c r="O49" t="n">
        <v>0</v>
      </c>
      <c r="P49" t="n">
        <v>0</v>
      </c>
      <c r="Q49" t="n">
        <v>14</v>
      </c>
      <c r="R49" t="n">
        <v>9</v>
      </c>
      <c r="S49" t="n">
        <v>19</v>
      </c>
      <c r="T49" t="n">
        <v>27</v>
      </c>
      <c r="U49" t="n">
        <v>21</v>
      </c>
      <c r="V49" s="2" t="inlineStr">
        <is>
          <t>Tallkejsarspindling
Blåfotad fagerspindling
Brödmusseron
Fågelträcksspindling
Gulsträngad fagerspindling
Silverfotsspindling
Skillerticka
Svartgrön spindling
Trollspindling
Barrfagerspindling
Bittermusseron
Fjällig taggsvamp s.str.
Juvelspindling
Persiljespindling
Fransig jordstjärna
Murgröna
Purpurknipprot
Skogsknipprot
Blåsippa</t>
        </is>
      </c>
      <c r="W49">
        <f>HYPERLINK("https://klasma.github.io/Logging_0885/artfynd/A 34948-2022 artfynd.xlsx", "A 34948-2022")</f>
        <v/>
      </c>
      <c r="X49">
        <f>HYPERLINK("https://klasma.github.io/Logging_0885/kartor/A 34948-2022 karta.png", "A 34948-2022")</f>
        <v/>
      </c>
      <c r="Y49">
        <f>HYPERLINK("https://klasma.github.io/Logging_0885/kartor_geotiff/A 34948-2022 georefererad karta.tif", "A 34948-2022")</f>
        <v/>
      </c>
      <c r="AA49">
        <f>HYPERLINK("https://klasma.github.io/Logging_0885/klagomål/A 34948-2022 FSC-klagomål.docx", "A 34948-2022")</f>
        <v/>
      </c>
      <c r="AB49">
        <f>HYPERLINK("https://klasma.github.io/Logging_0885/klagomålsmail/A 34948-2022 FSC-klagomål mail.docx", "A 34948-2022")</f>
        <v/>
      </c>
      <c r="AC49">
        <f>HYPERLINK("https://klasma.github.io/Logging_0885/tillsyn/A 34948-2022 tillsynsbegäran.docx", "A 34948-2022")</f>
        <v/>
      </c>
      <c r="AD49">
        <f>HYPERLINK("https://klasma.github.io/Logging_0885/tillsynsmail/A 34948-2022 tillsynsbegäran mail.docx", "A 34948-2022")</f>
        <v/>
      </c>
    </row>
    <row r="50" ht="15" customHeight="1">
      <c r="A50" t="inlineStr">
        <is>
          <t>A 28146-2026</t>
        </is>
      </c>
      <c r="B50" t="inlineStr">
        <is>
          <t>avverkningsanmälan</t>
        </is>
      </c>
      <c r="C50" t="inlineStr">
        <is>
          <t>Avverkning för annat ändamål</t>
        </is>
      </c>
      <c r="D50" s="1" t="n">
        <v>46195</v>
      </c>
      <c r="E50" s="1" t="n">
        <v>46323</v>
      </c>
      <c r="F50" t="inlineStr">
        <is>
          <t>KALMAR LÄN</t>
        </is>
      </c>
      <c r="G50" t="inlineStr">
        <is>
          <t>MÖRBYLÅNGA</t>
        </is>
      </c>
      <c r="I50" t="n">
        <v>8.4</v>
      </c>
      <c r="J50" t="n">
        <v>8</v>
      </c>
      <c r="K50" t="n">
        <v>2</v>
      </c>
      <c r="L50" t="n">
        <v>10</v>
      </c>
      <c r="M50" t="n">
        <v>0</v>
      </c>
      <c r="N50" t="n">
        <v>0</v>
      </c>
      <c r="O50" t="n">
        <v>0</v>
      </c>
      <c r="P50" t="n">
        <v>0</v>
      </c>
      <c r="Q50" t="n">
        <v>10</v>
      </c>
      <c r="R50" t="n">
        <v>0</v>
      </c>
      <c r="S50" t="n">
        <v>19</v>
      </c>
      <c r="T50" t="n">
        <v>20</v>
      </c>
      <c r="U50" t="n">
        <v>0</v>
      </c>
      <c r="V50" s="2" t="inlineStr">
        <is>
          <t>Askpraktbagge
Hasselpraktbagge
Hemicoelus fulvicornis
Jordtistel
Klasefibbla
Korskovall
Malthinus facialis
Skulderfläckad gaddbagge
Svinrot
Ängsstarr
Flugblomster
Platt fjädermossa
Blåsippa
Brudsporre
Fläcknycklar
Johannesnycklar
Kärrknipprot
Nattviol
Vanliga ängsnycklar</t>
        </is>
      </c>
      <c r="W50">
        <f>HYPERLINK("https://klasma.github.io/Logging_0840/artfynd/A 28146-2026 artfynd.xlsx", "A 28146-2026")</f>
        <v/>
      </c>
      <c r="X50">
        <f>HYPERLINK("https://klasma.github.io/Logging_0840/kartor/A 28146-2026 karta.png", "A 28146-2026")</f>
        <v/>
      </c>
      <c r="Y50">
        <f>HYPERLINK("https://klasma.github.io/Logging_0840/kartor_geotiff/A 28146-2026 georefererad karta.tif", "A 28146-2026")</f>
        <v/>
      </c>
      <c r="AA50">
        <f>HYPERLINK("https://klasma.github.io/Logging_0840/klagomål/A 28146-2026 FSC-klagomål.docx", "A 28146-2026")</f>
        <v/>
      </c>
      <c r="AB50">
        <f>HYPERLINK("https://klasma.github.io/Logging_0840/klagomålsmail/A 28146-2026 FSC-klagomål mail.docx", "A 28146-2026")</f>
        <v/>
      </c>
      <c r="AC50">
        <f>HYPERLINK("https://klasma.github.io/Logging_0840/tillsyn/A 28146-2026 tillsynsbegäran.docx", "A 28146-2026")</f>
        <v/>
      </c>
      <c r="AD50">
        <f>HYPERLINK("https://klasma.github.io/Logging_0840/tillsynsmail/A 28146-2026 tillsynsbegäran mail.docx", "A 28146-2026")</f>
        <v/>
      </c>
    </row>
    <row r="51" ht="15" customHeight="1">
      <c r="A51" t="inlineStr">
        <is>
          <t>A 27727-2024</t>
        </is>
      </c>
      <c r="B51" t="inlineStr">
        <is>
          <t>avverkningsanmälan</t>
        </is>
      </c>
      <c r="C51" t="inlineStr">
        <is>
          <t>Föryngringsavverkning</t>
        </is>
      </c>
      <c r="D51" s="1" t="n">
        <v>45475</v>
      </c>
      <c r="E51" s="1" t="n">
        <v>46323</v>
      </c>
      <c r="F51" t="inlineStr">
        <is>
          <t>KALMAR LÄN</t>
        </is>
      </c>
      <c r="G51" t="inlineStr">
        <is>
          <t>VÄSTERVIK</t>
        </is>
      </c>
      <c r="H51" t="inlineStr">
        <is>
          <t>Holmen skog AB</t>
        </is>
      </c>
      <c r="I51" t="n">
        <v>9.800000000000001</v>
      </c>
      <c r="J51" t="n">
        <v>10</v>
      </c>
      <c r="K51" t="n">
        <v>3</v>
      </c>
      <c r="L51" t="n">
        <v>8</v>
      </c>
      <c r="M51" t="n">
        <v>1</v>
      </c>
      <c r="N51" t="n">
        <v>0</v>
      </c>
      <c r="O51" t="n">
        <v>0</v>
      </c>
      <c r="P51" t="n">
        <v>0</v>
      </c>
      <c r="Q51" t="n">
        <v>9</v>
      </c>
      <c r="R51" t="n">
        <v>1</v>
      </c>
      <c r="S51" t="n">
        <v>19</v>
      </c>
      <c r="T51" t="n">
        <v>42</v>
      </c>
      <c r="U51" t="n">
        <v>41</v>
      </c>
      <c r="V51" s="2" t="inlineStr">
        <is>
          <t>Knärot
Ekticka
Entita
Kandelabersvamp
Mindre hackspett
Oxtungssvamp
Tallticka
Talltita
Ullticka
Blåmossa
Grön sköldmossa
Rostfläck
Bergfink
Blåsippa
Mattlummer
Skriftlav
Spillkråka
Timmerticka
Tofsmes</t>
        </is>
      </c>
      <c r="W51">
        <f>HYPERLINK("https://klasma.github.io/Logging_0883/artfynd/A 27727-2024 artfynd.xlsx", "A 27727-2024")</f>
        <v/>
      </c>
      <c r="X51">
        <f>HYPERLINK("https://klasma.github.io/Logging_0883/kartor/A 27727-2024 karta.png", "A 27727-2024")</f>
        <v/>
      </c>
      <c r="Y51">
        <f>HYPERLINK("https://klasma.github.io/Logging_0883/kartor_geotiff/A 27727-2024 georefererad karta.tif", "A 27727-2024")</f>
        <v/>
      </c>
      <c r="Z51">
        <f>HYPERLINK("https://klasma.github.io/Logging_0883/knärot/A 27727-2024 karta knärot.png", "A 27727-2024")</f>
        <v/>
      </c>
      <c r="AA51">
        <f>HYPERLINK("https://klasma.github.io/Logging_0883/klagomål/A 27727-2024 FSC-klagomål.docx", "A 27727-2024")</f>
        <v/>
      </c>
      <c r="AB51">
        <f>HYPERLINK("https://klasma.github.io/Logging_0883/klagomålsmail/A 27727-2024 FSC-klagomål mail.docx", "A 27727-2024")</f>
        <v/>
      </c>
      <c r="AC51">
        <f>HYPERLINK("https://klasma.github.io/Logging_0883/tillsyn/A 27727-2024 tillsynsbegäran.docx", "A 27727-2024")</f>
        <v/>
      </c>
      <c r="AD51">
        <f>HYPERLINK("https://klasma.github.io/Logging_0883/tillsynsmail/A 27727-2024 tillsynsbegäran mail.docx", "A 27727-2024")</f>
        <v/>
      </c>
      <c r="AE51">
        <f>HYPERLINK("https://klasma.github.io/Logging_0883/fåglar/A 27727-2024 prioriterade fågelarter.docx", "A 27727-2024")</f>
        <v/>
      </c>
    </row>
    <row r="52" ht="15" customHeight="1">
      <c r="A52" t="inlineStr">
        <is>
          <t>S 1766-2026</t>
        </is>
      </c>
      <c r="B52" t="inlineStr">
        <is>
          <t>samrådsanmälan</t>
        </is>
      </c>
      <c r="C52" t="inlineStr">
        <is>
          <t>Annan skogsbruksåtgärd</t>
        </is>
      </c>
      <c r="D52" s="1" t="n">
        <v>46189</v>
      </c>
      <c r="E52" s="1" t="n">
        <v>46323</v>
      </c>
      <c r="F52" t="inlineStr">
        <is>
          <t>KALMAR LÄN</t>
        </is>
      </c>
      <c r="G52" t="inlineStr">
        <is>
          <t>MÖRBYLÅNGA</t>
        </is>
      </c>
      <c r="I52" t="n">
        <v>4.1</v>
      </c>
      <c r="J52" t="n">
        <v>1</v>
      </c>
      <c r="K52" t="n">
        <v>4</v>
      </c>
      <c r="L52" t="n">
        <v>6</v>
      </c>
      <c r="M52" t="n">
        <v>3</v>
      </c>
      <c r="N52" t="n">
        <v>5</v>
      </c>
      <c r="O52" t="n">
        <v>0</v>
      </c>
      <c r="P52" t="n">
        <v>0</v>
      </c>
      <c r="Q52" t="n">
        <v>14</v>
      </c>
      <c r="R52" t="n">
        <v>8</v>
      </c>
      <c r="S52" t="n">
        <v>19</v>
      </c>
      <c r="T52" t="n">
        <v>23</v>
      </c>
      <c r="U52" t="n">
        <v>0</v>
      </c>
      <c r="V52" s="2" t="inlineStr">
        <is>
          <t>Ask
Fyllitspindling
Lundalm
Skogsalm
Sötdoftande spindling
Elastisk spindling
Frostspindling
Karamellspindling
Grisspindling
Munkspindling
Pilfotsspindling
Slottsspindling
Vippärt
Vårärt
Lindspindling
Murgröna
Strävlosta
Underviol
Blåsippa</t>
        </is>
      </c>
      <c r="W52">
        <f>HYPERLINK("https://klasma.github.io/Logging_0840/artfynd/S 1766-2026 artfynd.xlsx", "S 1766-2026")</f>
        <v/>
      </c>
      <c r="X52">
        <f>HYPERLINK("https://klasma.github.io/Logging_0840/kartor/S 1766-2026 karta.png", "S 1766-2026")</f>
        <v/>
      </c>
      <c r="Y52">
        <f>HYPERLINK("https://klasma.github.io/Logging_0840/kartor_geotiff/S 1766-2026 georefererad karta.tif", "S 1766-2026")</f>
        <v/>
      </c>
      <c r="AA52">
        <f>HYPERLINK("https://klasma.github.io/Logging_0840/klagomål/S 1766-2026 FSC-klagomål.docx", "S 1766-2026")</f>
        <v/>
      </c>
      <c r="AB52">
        <f>HYPERLINK("https://klasma.github.io/Logging_0840/klagomålsmail/S 1766-2026 FSC-klagomål mail.docx", "S 1766-2026")</f>
        <v/>
      </c>
      <c r="AC52">
        <f>HYPERLINK("https://klasma.github.io/Logging_0840/tillsyn/S 1766-2026 tillsynsbegäran.docx", "S 1766-2026")</f>
        <v/>
      </c>
      <c r="AD52">
        <f>HYPERLINK("https://klasma.github.io/Logging_0840/tillsynsmail/S 1766-2026 tillsynsbegäran mail.docx", "S 1766-2026")</f>
        <v/>
      </c>
    </row>
    <row r="53" ht="15" customHeight="1">
      <c r="A53" t="inlineStr">
        <is>
          <t>A 54601-2022</t>
        </is>
      </c>
      <c r="B53" t="inlineStr">
        <is>
          <t>avverkningsanmälan</t>
        </is>
      </c>
      <c r="C53" t="inlineStr">
        <is>
          <t>Föryngringsavverkning</t>
        </is>
      </c>
      <c r="D53" s="1" t="n">
        <v>44883</v>
      </c>
      <c r="E53" s="1" t="n">
        <v>46323</v>
      </c>
      <c r="F53" t="inlineStr">
        <is>
          <t>KALMAR LÄN</t>
        </is>
      </c>
      <c r="G53" t="inlineStr">
        <is>
          <t>VÄSTERVIK</t>
        </is>
      </c>
      <c r="I53" t="n">
        <v>3.4</v>
      </c>
      <c r="J53" t="n">
        <v>7</v>
      </c>
      <c r="K53" t="n">
        <v>3</v>
      </c>
      <c r="L53" t="n">
        <v>9</v>
      </c>
      <c r="M53" t="n">
        <v>0</v>
      </c>
      <c r="N53" t="n">
        <v>1</v>
      </c>
      <c r="O53" t="n">
        <v>0</v>
      </c>
      <c r="P53" t="n">
        <v>0</v>
      </c>
      <c r="Q53" t="n">
        <v>10</v>
      </c>
      <c r="R53" t="n">
        <v>1</v>
      </c>
      <c r="S53" t="n">
        <v>18</v>
      </c>
      <c r="T53" t="n">
        <v>25</v>
      </c>
      <c r="U53" t="n">
        <v>13</v>
      </c>
      <c r="V53" s="2" t="inlineStr">
        <is>
          <t>Tallharticka
Dropptaggsvamp
Fjällig taggsvamp s.str.
Göktyta
Kandelabersvamp
Koralltaggsvamp
Mindre hackspett
Orange taggsvamp
Ullticka
Vårstarr
Grönpyrola
Rävticka
Zontaggsvamp
Spillkråka
Havsörn
Kungsfågel
Skogsduva
Skogsödla</t>
        </is>
      </c>
      <c r="W53">
        <f>HYPERLINK("https://klasma.github.io/Logging_0883/artfynd/A 54601-2022 artfynd.xlsx", "A 54601-2022")</f>
        <v/>
      </c>
      <c r="X53">
        <f>HYPERLINK("https://klasma.github.io/Logging_0883/kartor/A 54601-2022 karta.png", "A 54601-2022")</f>
        <v/>
      </c>
      <c r="Y53">
        <f>HYPERLINK("https://klasma.github.io/Logging_0883/kartor_geotiff/A 54601-2022 georefererad karta.tif", "A 54601-2022")</f>
        <v/>
      </c>
      <c r="AA53">
        <f>HYPERLINK("https://klasma.github.io/Logging_0883/klagomål/A 54601-2022 FSC-klagomål.docx", "A 54601-2022")</f>
        <v/>
      </c>
      <c r="AB53">
        <f>HYPERLINK("https://klasma.github.io/Logging_0883/klagomålsmail/A 54601-2022 FSC-klagomål mail.docx", "A 54601-2022")</f>
        <v/>
      </c>
      <c r="AC53">
        <f>HYPERLINK("https://klasma.github.io/Logging_0883/tillsyn/A 54601-2022 tillsynsbegäran.docx", "A 54601-2022")</f>
        <v/>
      </c>
      <c r="AD53">
        <f>HYPERLINK("https://klasma.github.io/Logging_0883/tillsynsmail/A 54601-2022 tillsynsbegäran mail.docx", "A 54601-2022")</f>
        <v/>
      </c>
      <c r="AE53">
        <f>HYPERLINK("https://klasma.github.io/Logging_0883/fåglar/A 54601-2022 prioriterade fågelarter.docx", "A 54601-2022")</f>
        <v/>
      </c>
    </row>
    <row r="54" ht="15" customHeight="1">
      <c r="A54" t="inlineStr">
        <is>
          <t>A 14086-2025</t>
        </is>
      </c>
      <c r="B54" t="inlineStr">
        <is>
          <t>avverkningsanmälan</t>
        </is>
      </c>
      <c r="C54" t="inlineStr">
        <is>
          <t>Föryngringsavverkning</t>
        </is>
      </c>
      <c r="D54" s="1" t="n">
        <v>45740</v>
      </c>
      <c r="E54" s="1" t="n">
        <v>46323</v>
      </c>
      <c r="F54" t="inlineStr">
        <is>
          <t>KALMAR LÄN</t>
        </is>
      </c>
      <c r="G54" t="inlineStr">
        <is>
          <t>VÄSTERVIK</t>
        </is>
      </c>
      <c r="H54" t="inlineStr">
        <is>
          <t>Sveaskog</t>
        </is>
      </c>
      <c r="I54" t="n">
        <v>3.2</v>
      </c>
      <c r="J54" t="n">
        <v>16</v>
      </c>
      <c r="K54" t="n">
        <v>2</v>
      </c>
      <c r="L54" t="n">
        <v>3</v>
      </c>
      <c r="M54" t="n">
        <v>3</v>
      </c>
      <c r="N54" t="n">
        <v>0</v>
      </c>
      <c r="O54" t="n">
        <v>0</v>
      </c>
      <c r="P54" t="n">
        <v>0</v>
      </c>
      <c r="Q54" t="n">
        <v>6</v>
      </c>
      <c r="R54" t="n">
        <v>3</v>
      </c>
      <c r="S54" t="n">
        <v>18</v>
      </c>
      <c r="T54" t="n">
        <v>18</v>
      </c>
      <c r="U54" t="n">
        <v>6</v>
      </c>
      <c r="V54" s="2" t="inlineStr">
        <is>
          <t>Bredbrämad bastardsvärmare
Grönfink
Sandödla
Brunlångöra
Entita
Nordfladdermus
Ekoxe
Skogsbräsma
Grönsiska
Kungsfågel
Svartvit flugsnappare
Åkergroda
Huggorm
Kopparödla
Skogsödla
Vanlig groda
Vanlig padda
Vanlig snok</t>
        </is>
      </c>
      <c r="W54">
        <f>HYPERLINK("https://klasma.github.io/Logging_0883/artfynd/A 14086-2025 artfynd.xlsx", "A 14086-2025")</f>
        <v/>
      </c>
      <c r="X54">
        <f>HYPERLINK("https://klasma.github.io/Logging_0883/kartor/A 14086-2025 karta.png", "A 14086-2025")</f>
        <v/>
      </c>
      <c r="Y54">
        <f>HYPERLINK("https://klasma.github.io/Logging_0883/kartor_geotiff/A 14086-2025 georefererad karta.tif", "A 14086-2025")</f>
        <v/>
      </c>
      <c r="AA54">
        <f>HYPERLINK("https://klasma.github.io/Logging_0883/klagomål/A 14086-2025 FSC-klagomål.docx", "A 14086-2025")</f>
        <v/>
      </c>
      <c r="AB54">
        <f>HYPERLINK("https://klasma.github.io/Logging_0883/klagomålsmail/A 14086-2025 FSC-klagomål mail.docx", "A 14086-2025")</f>
        <v/>
      </c>
      <c r="AC54">
        <f>HYPERLINK("https://klasma.github.io/Logging_0883/tillsyn/A 14086-2025 tillsynsbegäran.docx", "A 14086-2025")</f>
        <v/>
      </c>
      <c r="AD54">
        <f>HYPERLINK("https://klasma.github.io/Logging_0883/tillsynsmail/A 14086-2025 tillsynsbegäran mail.docx", "A 14086-2025")</f>
        <v/>
      </c>
      <c r="AE54">
        <f>HYPERLINK("https://klasma.github.io/Logging_0883/fåglar/A 14086-2025 prioriterade fågelarter.docx", "A 14086-2025")</f>
        <v/>
      </c>
    </row>
    <row r="55" ht="15" customHeight="1">
      <c r="A55" t="inlineStr">
        <is>
          <t>A 42153-2025</t>
        </is>
      </c>
      <c r="B55" t="inlineStr">
        <is>
          <t>avverkningsanmälan</t>
        </is>
      </c>
      <c r="C55" t="inlineStr">
        <is>
          <t>Föryngringsavverkning</t>
        </is>
      </c>
      <c r="D55" s="1" t="n">
        <v>45904</v>
      </c>
      <c r="E55" s="1" t="n">
        <v>46323</v>
      </c>
      <c r="F55" t="inlineStr">
        <is>
          <t>KALMAR LÄN</t>
        </is>
      </c>
      <c r="G55" t="inlineStr">
        <is>
          <t>MÖNSTERÅS</t>
        </is>
      </c>
      <c r="I55" t="n">
        <v>6.4</v>
      </c>
      <c r="J55" t="n">
        <v>7</v>
      </c>
      <c r="K55" t="n">
        <v>5</v>
      </c>
      <c r="L55" t="n">
        <v>7</v>
      </c>
      <c r="M55" t="n">
        <v>0</v>
      </c>
      <c r="N55" t="n">
        <v>0</v>
      </c>
      <c r="O55" t="n">
        <v>0</v>
      </c>
      <c r="P55" t="n">
        <v>0</v>
      </c>
      <c r="Q55" t="n">
        <v>7</v>
      </c>
      <c r="R55" t="n">
        <v>0</v>
      </c>
      <c r="S55" t="n">
        <v>18</v>
      </c>
      <c r="T55" t="n">
        <v>57</v>
      </c>
      <c r="U55" t="n">
        <v>57</v>
      </c>
      <c r="V55" s="2" t="inlineStr">
        <is>
          <t>Kolflarnlav
Motaggsvamp
Rynkskinn
Tallticka
Talltita
Ullticka
Vedskivlav
Blodticka
Blåmossa
Brandticka
Grovticka
Vågbandad barkbock
Spillkråka
Stjärtmes
Tjäder
Tofsmes
Kungsfågel
Vanlig groda</t>
        </is>
      </c>
      <c r="W55">
        <f>HYPERLINK("https://klasma.github.io/Logging_0861/artfynd/A 42153-2025 artfynd.xlsx", "A 42153-2025")</f>
        <v/>
      </c>
      <c r="X55">
        <f>HYPERLINK("https://klasma.github.io/Logging_0861/kartor/A 42153-2025 karta.png", "A 42153-2025")</f>
        <v/>
      </c>
      <c r="Y55">
        <f>HYPERLINK("https://klasma.github.io/Logging_0861/kartor_geotiff/A 42153-2025 georefererad karta.tif", "A 42153-2025")</f>
        <v/>
      </c>
      <c r="AA55">
        <f>HYPERLINK("https://klasma.github.io/Logging_0861/klagomål/A 42153-2025 FSC-klagomål.docx", "A 42153-2025")</f>
        <v/>
      </c>
      <c r="AB55">
        <f>HYPERLINK("https://klasma.github.io/Logging_0861/klagomålsmail/A 42153-2025 FSC-klagomål mail.docx", "A 42153-2025")</f>
        <v/>
      </c>
      <c r="AC55">
        <f>HYPERLINK("https://klasma.github.io/Logging_0861/tillsyn/A 42153-2025 tillsynsbegäran.docx", "A 42153-2025")</f>
        <v/>
      </c>
      <c r="AD55">
        <f>HYPERLINK("https://klasma.github.io/Logging_0861/tillsynsmail/A 42153-2025 tillsynsbegäran mail.docx", "A 42153-2025")</f>
        <v/>
      </c>
      <c r="AE55">
        <f>HYPERLINK("https://klasma.github.io/Logging_0861/fåglar/A 42153-2025 prioriterade fågelarter.docx", "A 42153-2025")</f>
        <v/>
      </c>
    </row>
    <row r="56" ht="15" customHeight="1">
      <c r="A56" t="inlineStr">
        <is>
          <t>A 51898-2025</t>
        </is>
      </c>
      <c r="B56" t="inlineStr">
        <is>
          <t>avverkningsanmälan</t>
        </is>
      </c>
      <c r="C56" t="inlineStr">
        <is>
          <t>Föryngringsavverkning</t>
        </is>
      </c>
      <c r="D56" s="1" t="n">
        <v>45952</v>
      </c>
      <c r="E56" s="1" t="n">
        <v>46323</v>
      </c>
      <c r="F56" t="inlineStr">
        <is>
          <t>KALMAR LÄN</t>
        </is>
      </c>
      <c r="G56" t="inlineStr">
        <is>
          <t>KALMAR</t>
        </is>
      </c>
      <c r="I56" t="n">
        <v>1.1</v>
      </c>
      <c r="J56" t="n">
        <v>12</v>
      </c>
      <c r="K56" t="n">
        <v>3</v>
      </c>
      <c r="L56" t="n">
        <v>6</v>
      </c>
      <c r="M56" t="n">
        <v>2</v>
      </c>
      <c r="N56" t="n">
        <v>1</v>
      </c>
      <c r="O56" t="n">
        <v>0</v>
      </c>
      <c r="P56" t="n">
        <v>0</v>
      </c>
      <c r="Q56" t="n">
        <v>9</v>
      </c>
      <c r="R56" t="n">
        <v>3</v>
      </c>
      <c r="S56" t="n">
        <v>18</v>
      </c>
      <c r="T56" t="n">
        <v>18</v>
      </c>
      <c r="U56" t="n">
        <v>0</v>
      </c>
      <c r="V56" s="2" t="inlineStr">
        <is>
          <t>Vit lavmätare
Grönfink
Mindre bastardsvärmare
Entita
Grönsångare
Mindre hackspett
Större aspvårvecklare
Sädesärla
Vasspetsad sikelvinge
Ekoxe
Spindelbock
Trollspinnare
Spillkråka
Kungsfågel
Röd glada
Svartvit flugsnappare
Sångsvan
Trana</t>
        </is>
      </c>
      <c r="W56">
        <f>HYPERLINK("https://klasma.github.io/Logging_0880/artfynd/A 51898-2025 artfynd.xlsx", "A 51898-2025")</f>
        <v/>
      </c>
      <c r="X56">
        <f>HYPERLINK("https://klasma.github.io/Logging_0880/kartor/A 51898-2025 karta.png", "A 51898-2025")</f>
        <v/>
      </c>
      <c r="Y56">
        <f>HYPERLINK("https://klasma.github.io/Logging_0880/kartor_geotiff/A 51898-2025 georefererad karta.tif", "A 51898-2025")</f>
        <v/>
      </c>
      <c r="AA56">
        <f>HYPERLINK("https://klasma.github.io/Logging_0880/klagomål/A 51898-2025 FSC-klagomål.docx", "A 51898-2025")</f>
        <v/>
      </c>
      <c r="AB56">
        <f>HYPERLINK("https://klasma.github.io/Logging_0880/klagomålsmail/A 51898-2025 FSC-klagomål mail.docx", "A 51898-2025")</f>
        <v/>
      </c>
      <c r="AC56">
        <f>HYPERLINK("https://klasma.github.io/Logging_0880/tillsyn/A 51898-2025 tillsynsbegäran.docx", "A 51898-2025")</f>
        <v/>
      </c>
      <c r="AD56">
        <f>HYPERLINK("https://klasma.github.io/Logging_0880/tillsynsmail/A 51898-2025 tillsynsbegäran mail.docx", "A 51898-2025")</f>
        <v/>
      </c>
      <c r="AE56">
        <f>HYPERLINK("https://klasma.github.io/Logging_0880/fåglar/A 51898-2025 prioriterade fågelarter.docx", "A 51898-2025")</f>
        <v/>
      </c>
    </row>
    <row r="57" ht="15" customHeight="1">
      <c r="A57" t="inlineStr">
        <is>
          <t>S 514-2024</t>
        </is>
      </c>
      <c r="B57" t="inlineStr">
        <is>
          <t>samrådsanmälan</t>
        </is>
      </c>
      <c r="C57" t="inlineStr">
        <is>
          <t>Annan skogsbruksåtgärd</t>
        </is>
      </c>
      <c r="D57" s="1" t="n">
        <v>45345</v>
      </c>
      <c r="E57" s="1" t="n">
        <v>46323</v>
      </c>
      <c r="F57" t="inlineStr">
        <is>
          <t>KALMAR LÄN</t>
        </is>
      </c>
      <c r="G57" t="inlineStr">
        <is>
          <t>KALMAR</t>
        </is>
      </c>
      <c r="I57" t="n">
        <v>6.1</v>
      </c>
      <c r="J57" t="n">
        <v>5</v>
      </c>
      <c r="K57" t="n">
        <v>5</v>
      </c>
      <c r="L57" t="n">
        <v>8</v>
      </c>
      <c r="M57" t="n">
        <v>1</v>
      </c>
      <c r="N57" t="n">
        <v>0</v>
      </c>
      <c r="O57" t="n">
        <v>0</v>
      </c>
      <c r="P57" t="n">
        <v>0</v>
      </c>
      <c r="Q57" t="n">
        <v>9</v>
      </c>
      <c r="R57" t="n">
        <v>1</v>
      </c>
      <c r="S57" t="n">
        <v>17</v>
      </c>
      <c r="T57" t="n">
        <v>143</v>
      </c>
      <c r="U57" t="n">
        <v>4</v>
      </c>
      <c r="V57" s="2" t="inlineStr">
        <is>
          <t>Knärot
Dropptaggsvamp
Orange taggsvamp
Sumpviol
Tallfingersvamp
Tallkötticka
Tallticka
Talltita
Ullticka
Blomkålssvamp
Blåmossa
Bronshjon
Grovticka
Grönpyrola
Spillkråka
Havsörn
Röd glada</t>
        </is>
      </c>
      <c r="W57">
        <f>HYPERLINK("https://klasma.github.io/Logging_0880/artfynd/S 514-2024 artfynd.xlsx", "S 514-2024")</f>
        <v/>
      </c>
      <c r="X57">
        <f>HYPERLINK("https://klasma.github.io/Logging_0880/kartor/S 514-2024 karta.png", "S 514-2024")</f>
        <v/>
      </c>
      <c r="Y57">
        <f>HYPERLINK("https://klasma.github.io/Logging_0880/kartor_geotiff/S 514-2024 georefererad karta.tif", "S 514-2024")</f>
        <v/>
      </c>
      <c r="Z57">
        <f>HYPERLINK("https://klasma.github.io/Logging_0880/knärot/S 514-2024 karta knärot.png", "S 514-2024")</f>
        <v/>
      </c>
      <c r="AA57">
        <f>HYPERLINK("https://klasma.github.io/Logging_0880/klagomål/S 514-2024 FSC-klagomål.docx", "S 514-2024")</f>
        <v/>
      </c>
      <c r="AB57">
        <f>HYPERLINK("https://klasma.github.io/Logging_0880/klagomålsmail/S 514-2024 FSC-klagomål mail.docx", "S 514-2024")</f>
        <v/>
      </c>
      <c r="AC57">
        <f>HYPERLINK("https://klasma.github.io/Logging_0880/tillsyn/S 514-2024 tillsynsbegäran.docx", "S 514-2024")</f>
        <v/>
      </c>
      <c r="AD57">
        <f>HYPERLINK("https://klasma.github.io/Logging_0880/tillsynsmail/S 514-2024 tillsynsbegäran mail.docx", "S 514-2024")</f>
        <v/>
      </c>
      <c r="AE57">
        <f>HYPERLINK("https://klasma.github.io/Logging_0880/fåglar/S 514-2024 prioriterade fågelarter.docx", "S 514-2024")</f>
        <v/>
      </c>
    </row>
    <row r="58" ht="15" customHeight="1">
      <c r="A58" t="inlineStr">
        <is>
          <t>S 581-2023</t>
        </is>
      </c>
      <c r="B58" t="inlineStr">
        <is>
          <t>samrådsanmälan</t>
        </is>
      </c>
      <c r="C58" t="inlineStr">
        <is>
          <t>Askåterföring</t>
        </is>
      </c>
      <c r="D58" s="1" t="n">
        <v>44971</v>
      </c>
      <c r="E58" s="1" t="n">
        <v>46323</v>
      </c>
      <c r="F58" t="inlineStr">
        <is>
          <t>KALMAR LÄN</t>
        </is>
      </c>
      <c r="G58" t="inlineStr">
        <is>
          <t>TORSÅS</t>
        </is>
      </c>
      <c r="I58" t="n">
        <v>86.09999999999999</v>
      </c>
      <c r="J58" t="n">
        <v>9</v>
      </c>
      <c r="K58" t="n">
        <v>3</v>
      </c>
      <c r="L58" t="n">
        <v>8</v>
      </c>
      <c r="M58" t="n">
        <v>1</v>
      </c>
      <c r="N58" t="n">
        <v>0</v>
      </c>
      <c r="O58" t="n">
        <v>0</v>
      </c>
      <c r="P58" t="n">
        <v>0</v>
      </c>
      <c r="Q58" t="n">
        <v>9</v>
      </c>
      <c r="R58" t="n">
        <v>1</v>
      </c>
      <c r="S58" t="n">
        <v>17</v>
      </c>
      <c r="T58" t="n">
        <v>24</v>
      </c>
      <c r="U58" t="n">
        <v>7</v>
      </c>
      <c r="V58" s="2" t="inlineStr">
        <is>
          <t>Rosa lundlav
Barbastell
Bokvårtlav
Brunlångöra
Fransfladdermus
Gullklöver
Motaggsvamp
Nordfladdermus
Tallticka
Havstulpanlav
Sotlav
Stor revmossa
Dvärgpipistrell
Större brunfladdermus
Trollpipistrell
Vattenfladdermus
Gullviva</t>
        </is>
      </c>
      <c r="W58">
        <f>HYPERLINK("https://klasma.github.io/Logging_0834/artfynd/S 581-2023 artfynd.xlsx", "S 581-2023")</f>
        <v/>
      </c>
      <c r="X58">
        <f>HYPERLINK("https://klasma.github.io/Logging_0834/kartor/S 581-2023 karta.png", "S 581-2023")</f>
        <v/>
      </c>
      <c r="Y58">
        <f>HYPERLINK("https://klasma.github.io/Logging_0834/kartor_geotiff/S 581-2023 georefererad karta.tif", "S 581-2023")</f>
        <v/>
      </c>
      <c r="AA58">
        <f>HYPERLINK("https://klasma.github.io/Logging_0834/klagomål/S 581-2023 FSC-klagomål.docx", "S 581-2023")</f>
        <v/>
      </c>
      <c r="AB58">
        <f>HYPERLINK("https://klasma.github.io/Logging_0834/klagomålsmail/S 581-2023 FSC-klagomål mail.docx", "S 581-2023")</f>
        <v/>
      </c>
      <c r="AC58">
        <f>HYPERLINK("https://klasma.github.io/Logging_0834/tillsyn/S 581-2023 tillsynsbegäran.docx", "S 581-2023")</f>
        <v/>
      </c>
      <c r="AD58">
        <f>HYPERLINK("https://klasma.github.io/Logging_0834/tillsynsmail/S 581-2023 tillsynsbegäran mail.docx", "S 581-2023")</f>
        <v/>
      </c>
    </row>
    <row r="59" ht="15" customHeight="1">
      <c r="A59" t="inlineStr">
        <is>
          <t>S 7176-2022</t>
        </is>
      </c>
      <c r="B59" t="inlineStr">
        <is>
          <t>samrådsanmälan</t>
        </is>
      </c>
      <c r="C59" t="inlineStr">
        <is>
          <t>Annan skogsbruksåtgärd</t>
        </is>
      </c>
      <c r="D59" s="1" t="n">
        <v>44916</v>
      </c>
      <c r="E59" s="1" t="n">
        <v>46323</v>
      </c>
      <c r="F59" t="inlineStr">
        <is>
          <t>KALMAR LÄN</t>
        </is>
      </c>
      <c r="G59" t="inlineStr">
        <is>
          <t>OSKARSHAMN</t>
        </is>
      </c>
      <c r="I59" t="n">
        <v>6.9</v>
      </c>
      <c r="J59" t="n">
        <v>0</v>
      </c>
      <c r="K59" t="n">
        <v>8</v>
      </c>
      <c r="L59" t="n">
        <v>4</v>
      </c>
      <c r="M59" t="n">
        <v>2</v>
      </c>
      <c r="N59" t="n">
        <v>3</v>
      </c>
      <c r="O59" t="n">
        <v>0</v>
      </c>
      <c r="P59" t="n">
        <v>0</v>
      </c>
      <c r="Q59" t="n">
        <v>9</v>
      </c>
      <c r="R59" t="n">
        <v>5</v>
      </c>
      <c r="S59" t="n">
        <v>17</v>
      </c>
      <c r="T59" t="n">
        <v>42</v>
      </c>
      <c r="U59" t="n">
        <v>26</v>
      </c>
      <c r="V59" s="2" t="inlineStr">
        <is>
          <t>Almlav
Ask
Skogsalm
Blek kraterlav
Gulvit blekspik
Korskovall
Skeppsvarvsfluga
Skumticka
Svartöra
Bårdlav
Fällmossa
Grov baronmossa
Guldlockmossa
Myskmadra
Platt fjädermossa
Scytinium lichenoides s.lat.
Trädporella</t>
        </is>
      </c>
      <c r="W59">
        <f>HYPERLINK("https://klasma.github.io/Logging_0882/artfynd/S 7176-2022 artfynd.xlsx", "S 7176-2022")</f>
        <v/>
      </c>
      <c r="X59">
        <f>HYPERLINK("https://klasma.github.io/Logging_0882/kartor/S 7176-2022 karta.png", "S 7176-2022")</f>
        <v/>
      </c>
      <c r="Y59">
        <f>HYPERLINK("https://klasma.github.io/Logging_0882/kartor_geotiff/S 7176-2022 georefererad karta.tif", "S 7176-2022")</f>
        <v/>
      </c>
      <c r="AA59">
        <f>HYPERLINK("https://klasma.github.io/Logging_0882/klagomål/S 7176-2022 FSC-klagomål.docx", "S 7176-2022")</f>
        <v/>
      </c>
      <c r="AB59">
        <f>HYPERLINK("https://klasma.github.io/Logging_0882/klagomålsmail/S 7176-2022 FSC-klagomål mail.docx", "S 7176-2022")</f>
        <v/>
      </c>
      <c r="AC59">
        <f>HYPERLINK("https://klasma.github.io/Logging_0882/tillsyn/S 7176-2022 tillsynsbegäran.docx", "S 7176-2022")</f>
        <v/>
      </c>
      <c r="AD59">
        <f>HYPERLINK("https://klasma.github.io/Logging_0882/tillsynsmail/S 7176-2022 tillsynsbegäran mail.docx", "S 7176-2022")</f>
        <v/>
      </c>
    </row>
    <row r="60" ht="15" customHeight="1">
      <c r="A60" t="inlineStr">
        <is>
          <t>A 37889-2022</t>
        </is>
      </c>
      <c r="B60" t="inlineStr">
        <is>
          <t>avverkningsanmälan</t>
        </is>
      </c>
      <c r="C60" t="inlineStr">
        <is>
          <t>Föryngringsavverkning</t>
        </is>
      </c>
      <c r="D60" s="1" t="n">
        <v>44811</v>
      </c>
      <c r="E60" s="1" t="n">
        <v>46323</v>
      </c>
      <c r="F60" t="inlineStr">
        <is>
          <t>KALMAR LÄN</t>
        </is>
      </c>
      <c r="G60" t="inlineStr">
        <is>
          <t>VIMMERBY</t>
        </is>
      </c>
      <c r="I60" t="n">
        <v>0.9</v>
      </c>
      <c r="J60" t="n">
        <v>4</v>
      </c>
      <c r="K60" t="n">
        <v>4</v>
      </c>
      <c r="L60" t="n">
        <v>10</v>
      </c>
      <c r="M60" t="n">
        <v>1</v>
      </c>
      <c r="N60" t="n">
        <v>0</v>
      </c>
      <c r="O60" t="n">
        <v>0</v>
      </c>
      <c r="P60" t="n">
        <v>0</v>
      </c>
      <c r="Q60" t="n">
        <v>11</v>
      </c>
      <c r="R60" t="n">
        <v>1</v>
      </c>
      <c r="S60" t="n">
        <v>16</v>
      </c>
      <c r="T60" t="n">
        <v>33</v>
      </c>
      <c r="U60" t="n">
        <v>33</v>
      </c>
      <c r="V60" s="2" t="inlineStr">
        <is>
          <t>Läderbagge
Blekticka
Dvärgbägarlav
Entita
Gammelekslav
Hjälmbrosklav
Mindre hackspett
Rosa skärelav
Skuggorangelav
Tallticka
Vedskivlav
Brun nållav
Gulpudrad spiklav
Kornig nållav
Mindre märgborre
Blåsippa</t>
        </is>
      </c>
      <c r="W60">
        <f>HYPERLINK("https://klasma.github.io/Logging_0884/artfynd/A 37889-2022 artfynd.xlsx", "A 37889-2022")</f>
        <v/>
      </c>
      <c r="X60">
        <f>HYPERLINK("https://klasma.github.io/Logging_0884/kartor/A 37889-2022 karta.png", "A 37889-2022")</f>
        <v/>
      </c>
      <c r="Y60">
        <f>HYPERLINK("https://klasma.github.io/Logging_0884/kartor_geotiff/A 37889-2022 georefererad karta.tif", "A 37889-2022")</f>
        <v/>
      </c>
      <c r="AA60">
        <f>HYPERLINK("https://klasma.github.io/Logging_0884/klagomål/A 37889-2022 FSC-klagomål.docx", "A 37889-2022")</f>
        <v/>
      </c>
      <c r="AB60">
        <f>HYPERLINK("https://klasma.github.io/Logging_0884/klagomålsmail/A 37889-2022 FSC-klagomål mail.docx", "A 37889-2022")</f>
        <v/>
      </c>
      <c r="AC60">
        <f>HYPERLINK("https://klasma.github.io/Logging_0884/tillsyn/A 37889-2022 tillsynsbegäran.docx", "A 37889-2022")</f>
        <v/>
      </c>
      <c r="AD60">
        <f>HYPERLINK("https://klasma.github.io/Logging_0884/tillsynsmail/A 37889-2022 tillsynsbegäran mail.docx", "A 37889-2022")</f>
        <v/>
      </c>
      <c r="AE60">
        <f>HYPERLINK("https://klasma.github.io/Logging_0884/fåglar/A 37889-2022 prioriterade fågelarter.docx", "A 37889-2022")</f>
        <v/>
      </c>
    </row>
    <row r="61" ht="15" customHeight="1">
      <c r="A61" t="inlineStr">
        <is>
          <t>A 30779-2023</t>
        </is>
      </c>
      <c r="B61" t="inlineStr">
        <is>
          <t>avverkningsanmälan</t>
        </is>
      </c>
      <c r="C61" t="inlineStr">
        <is>
          <t>Föryngringsavverkning</t>
        </is>
      </c>
      <c r="D61" s="1" t="n">
        <v>45112</v>
      </c>
      <c r="E61" s="1" t="n">
        <v>46323</v>
      </c>
      <c r="F61" t="inlineStr">
        <is>
          <t>KALMAR LÄN</t>
        </is>
      </c>
      <c r="G61" t="inlineStr">
        <is>
          <t>VÄSTERVIK</t>
        </is>
      </c>
      <c r="I61" t="n">
        <v>14.5</v>
      </c>
      <c r="J61" t="n">
        <v>5</v>
      </c>
      <c r="K61" t="n">
        <v>3</v>
      </c>
      <c r="L61" t="n">
        <v>8</v>
      </c>
      <c r="M61" t="n">
        <v>3</v>
      </c>
      <c r="N61" t="n">
        <v>0</v>
      </c>
      <c r="O61" t="n">
        <v>0</v>
      </c>
      <c r="P61" t="n">
        <v>0</v>
      </c>
      <c r="Q61" t="n">
        <v>11</v>
      </c>
      <c r="R61" t="n">
        <v>3</v>
      </c>
      <c r="S61" t="n">
        <v>16</v>
      </c>
      <c r="T61" t="n">
        <v>71</v>
      </c>
      <c r="U61" t="n">
        <v>71</v>
      </c>
      <c r="V61" s="2" t="inlineStr">
        <is>
          <t>Apelticka
Knärot
Sandödla
Knölspindel
Koralltaggsvamp
Motaggsvamp
Orange taggsvamp
Svartvit taggsvamp
Tallticka
Talltita
Tjockfotad fingersvamp
Blåmossa
Grovticka
Grönpyrola
Spillkråka
Kungsfågel</t>
        </is>
      </c>
      <c r="W61">
        <f>HYPERLINK("https://klasma.github.io/Logging_0883/artfynd/A 30779-2023 artfynd.xlsx", "A 30779-2023")</f>
        <v/>
      </c>
      <c r="X61">
        <f>HYPERLINK("https://klasma.github.io/Logging_0883/kartor/A 30779-2023 karta.png", "A 30779-2023")</f>
        <v/>
      </c>
      <c r="Y61">
        <f>HYPERLINK("https://klasma.github.io/Logging_0883/kartor_geotiff/A 30779-2023 georefererad karta.tif", "A 30779-2023")</f>
        <v/>
      </c>
      <c r="Z61">
        <f>HYPERLINK("https://klasma.github.io/Logging_0883/knärot/A 30779-2023 karta knärot.png", "A 30779-2023")</f>
        <v/>
      </c>
      <c r="AA61">
        <f>HYPERLINK("https://klasma.github.io/Logging_0883/klagomål/A 30779-2023 FSC-klagomål.docx", "A 30779-2023")</f>
        <v/>
      </c>
      <c r="AB61">
        <f>HYPERLINK("https://klasma.github.io/Logging_0883/klagomålsmail/A 30779-2023 FSC-klagomål mail.docx", "A 30779-2023")</f>
        <v/>
      </c>
      <c r="AC61">
        <f>HYPERLINK("https://klasma.github.io/Logging_0883/tillsyn/A 30779-2023 tillsynsbegäran.docx", "A 30779-2023")</f>
        <v/>
      </c>
      <c r="AD61">
        <f>HYPERLINK("https://klasma.github.io/Logging_0883/tillsynsmail/A 30779-2023 tillsynsbegäran mail.docx", "A 30779-2023")</f>
        <v/>
      </c>
      <c r="AE61">
        <f>HYPERLINK("https://klasma.github.io/Logging_0883/fåglar/A 30779-2023 prioriterade fågelarter.docx", "A 30779-2023")</f>
        <v/>
      </c>
    </row>
    <row r="62" ht="15" customHeight="1">
      <c r="A62" t="inlineStr">
        <is>
          <t>A 59540-2023</t>
        </is>
      </c>
      <c r="B62" t="inlineStr">
        <is>
          <t>avverkningsanmälan</t>
        </is>
      </c>
      <c r="C62" t="inlineStr">
        <is>
          <t>Avverkning för annat ändamål</t>
        </is>
      </c>
      <c r="D62" s="1" t="n">
        <v>45254</v>
      </c>
      <c r="E62" s="1" t="n">
        <v>46323</v>
      </c>
      <c r="F62" t="inlineStr">
        <is>
          <t>KALMAR LÄN</t>
        </is>
      </c>
      <c r="G62" t="inlineStr">
        <is>
          <t>MÖRBYLÅNGA</t>
        </is>
      </c>
      <c r="I62" t="n">
        <v>2.8</v>
      </c>
      <c r="J62" t="n">
        <v>16</v>
      </c>
      <c r="K62" t="n">
        <v>0</v>
      </c>
      <c r="L62" t="n">
        <v>6</v>
      </c>
      <c r="M62" t="n">
        <v>2</v>
      </c>
      <c r="N62" t="n">
        <v>0</v>
      </c>
      <c r="O62" t="n">
        <v>0</v>
      </c>
      <c r="P62" t="n">
        <v>0</v>
      </c>
      <c r="Q62" t="n">
        <v>8</v>
      </c>
      <c r="R62" t="n">
        <v>2</v>
      </c>
      <c r="S62" t="n">
        <v>16</v>
      </c>
      <c r="T62" t="n">
        <v>16</v>
      </c>
      <c r="U62" t="n">
        <v>0</v>
      </c>
      <c r="V62" s="2" t="inlineStr">
        <is>
          <t>Grönfink
Tornseglare
Björktrast
Grönsångare
Göktyta
Järnsparv
Rödvingetrast
Sädesärla
Nattskärra
Spillkråka
Gröngöling
Grönsiska
Kungsfågel
Svartvit flugsnappare
Trädlärka
Ärtsångare</t>
        </is>
      </c>
      <c r="W62">
        <f>HYPERLINK("https://klasma.github.io/Logging_0840/artfynd/A 59540-2023 artfynd.xlsx", "A 59540-2023")</f>
        <v/>
      </c>
      <c r="X62">
        <f>HYPERLINK("https://klasma.github.io/Logging_0840/kartor/A 59540-2023 karta.png", "A 59540-2023")</f>
        <v/>
      </c>
      <c r="Y62">
        <f>HYPERLINK("https://klasma.github.io/Logging_0840/kartor_geotiff/A 59540-2023 georefererad karta.tif", "A 59540-2023")</f>
        <v/>
      </c>
      <c r="AA62">
        <f>HYPERLINK("https://klasma.github.io/Logging_0840/klagomål/A 59540-2023 FSC-klagomål.docx", "A 59540-2023")</f>
        <v/>
      </c>
      <c r="AB62">
        <f>HYPERLINK("https://klasma.github.io/Logging_0840/klagomålsmail/A 59540-2023 FSC-klagomål mail.docx", "A 59540-2023")</f>
        <v/>
      </c>
      <c r="AC62">
        <f>HYPERLINK("https://klasma.github.io/Logging_0840/tillsyn/A 59540-2023 tillsynsbegäran.docx", "A 59540-2023")</f>
        <v/>
      </c>
      <c r="AD62">
        <f>HYPERLINK("https://klasma.github.io/Logging_0840/tillsynsmail/A 59540-2023 tillsynsbegäran mail.docx", "A 59540-2023")</f>
        <v/>
      </c>
      <c r="AE62">
        <f>HYPERLINK("https://klasma.github.io/Logging_0840/fåglar/A 59540-2023 prioriterade fågelarter.docx", "A 59540-2023")</f>
        <v/>
      </c>
    </row>
    <row r="63" ht="15" customHeight="1">
      <c r="A63" t="inlineStr">
        <is>
          <t>A 61809-2024</t>
        </is>
      </c>
      <c r="B63" t="inlineStr">
        <is>
          <t>avverkningsanmälan</t>
        </is>
      </c>
      <c r="C63" t="inlineStr">
        <is>
          <t>Föryngringsavverkning</t>
        </is>
      </c>
      <c r="D63" s="1" t="n">
        <v>45649</v>
      </c>
      <c r="E63" s="1" t="n">
        <v>46323</v>
      </c>
      <c r="F63" t="inlineStr">
        <is>
          <t>KALMAR LÄN</t>
        </is>
      </c>
      <c r="G63" t="inlineStr">
        <is>
          <t>NYBRO</t>
        </is>
      </c>
      <c r="I63" t="n">
        <v>15.8</v>
      </c>
      <c r="J63" t="n">
        <v>4</v>
      </c>
      <c r="K63" t="n">
        <v>5</v>
      </c>
      <c r="L63" t="n">
        <v>5</v>
      </c>
      <c r="M63" t="n">
        <v>1</v>
      </c>
      <c r="N63" t="n">
        <v>0</v>
      </c>
      <c r="O63" t="n">
        <v>0</v>
      </c>
      <c r="P63" t="n">
        <v>0</v>
      </c>
      <c r="Q63" t="n">
        <v>6</v>
      </c>
      <c r="R63" t="n">
        <v>1</v>
      </c>
      <c r="S63" t="n">
        <v>16</v>
      </c>
      <c r="T63" t="n">
        <v>23</v>
      </c>
      <c r="U63" t="n">
        <v>22</v>
      </c>
      <c r="V63" s="2" t="inlineStr">
        <is>
          <t>Knärot
Brunpudrad nållav
Skuggblåslav
Svart skogssnigel
Talltita
Vedtrappmossa
Björksplintborre
Blodticka
Kornknutmossa
Stekelbock
Vågbandad barkbock
Kärrviol
Skogsstjärna
Stjärnstarr
Tjäder
Fläcknycklar</t>
        </is>
      </c>
      <c r="W63">
        <f>HYPERLINK("https://klasma.github.io/Logging_0881/artfynd/A 61809-2024 artfynd.xlsx", "A 61809-2024")</f>
        <v/>
      </c>
      <c r="X63">
        <f>HYPERLINK("https://klasma.github.io/Logging_0881/kartor/A 61809-2024 karta.png", "A 61809-2024")</f>
        <v/>
      </c>
      <c r="Y63">
        <f>HYPERLINK("https://klasma.github.io/Logging_0881/kartor_geotiff/A 61809-2024 georefererad karta.tif", "A 61809-2024")</f>
        <v/>
      </c>
      <c r="Z63">
        <f>HYPERLINK("https://klasma.github.io/Logging_0881/knärot/A 61809-2024 karta knärot.png", "A 61809-2024")</f>
        <v/>
      </c>
      <c r="AA63">
        <f>HYPERLINK("https://klasma.github.io/Logging_0881/klagomål/A 61809-2024 FSC-klagomål.docx", "A 61809-2024")</f>
        <v/>
      </c>
      <c r="AB63">
        <f>HYPERLINK("https://klasma.github.io/Logging_0881/klagomålsmail/A 61809-2024 FSC-klagomål mail.docx", "A 61809-2024")</f>
        <v/>
      </c>
      <c r="AC63">
        <f>HYPERLINK("https://klasma.github.io/Logging_0881/tillsyn/A 61809-2024 tillsynsbegäran.docx", "A 61809-2024")</f>
        <v/>
      </c>
      <c r="AD63">
        <f>HYPERLINK("https://klasma.github.io/Logging_0881/tillsynsmail/A 61809-2024 tillsynsbegäran mail.docx", "A 61809-2024")</f>
        <v/>
      </c>
      <c r="AE63">
        <f>HYPERLINK("https://klasma.github.io/Logging_0881/fåglar/A 61809-2024 prioriterade fågelarter.docx", "A 61809-2024")</f>
        <v/>
      </c>
    </row>
    <row r="64" ht="15" customHeight="1">
      <c r="A64" t="inlineStr">
        <is>
          <t>S 2637-2022</t>
        </is>
      </c>
      <c r="B64" t="inlineStr">
        <is>
          <t>samrådsanmälan</t>
        </is>
      </c>
      <c r="C64" t="inlineStr">
        <is>
          <t>Åtgärd i nyckelbiotop</t>
        </is>
      </c>
      <c r="D64" s="1" t="n">
        <v>44699</v>
      </c>
      <c r="E64" s="1" t="n">
        <v>46323</v>
      </c>
      <c r="F64" t="inlineStr">
        <is>
          <t>KALMAR LÄN</t>
        </is>
      </c>
      <c r="G64" t="inlineStr">
        <is>
          <t>VÄSTERVIK</t>
        </is>
      </c>
      <c r="H64" t="inlineStr">
        <is>
          <t>Kommuner</t>
        </is>
      </c>
      <c r="I64" t="n">
        <v>8.300000000000001</v>
      </c>
      <c r="J64" t="n">
        <v>4</v>
      </c>
      <c r="K64" t="n">
        <v>4</v>
      </c>
      <c r="L64" t="n">
        <v>5</v>
      </c>
      <c r="M64" t="n">
        <v>4</v>
      </c>
      <c r="N64" t="n">
        <v>1</v>
      </c>
      <c r="O64" t="n">
        <v>0</v>
      </c>
      <c r="P64" t="n">
        <v>0</v>
      </c>
      <c r="Q64" t="n">
        <v>10</v>
      </c>
      <c r="R64" t="n">
        <v>5</v>
      </c>
      <c r="S64" t="n">
        <v>16</v>
      </c>
      <c r="T64" t="n">
        <v>23</v>
      </c>
      <c r="U64" t="n">
        <v>7</v>
      </c>
      <c r="V64" s="2" t="inlineStr">
        <is>
          <t>Skogsalm
Ekspik
Hasselsnok
Kortskaftad parasitspik
Linddyna
Blekticka
Ekticka
Gul dropplav
Skuggorangelav
Tallticka
Ekoxe
Ekskinn
Gulnål
Gulpudrad spiklav
Huggorm
Vanlig snok</t>
        </is>
      </c>
      <c r="W64">
        <f>HYPERLINK("https://klasma.github.io/Logging_0883/artfynd/S 2637-2022 artfynd.xlsx", "S 2637-2022")</f>
        <v/>
      </c>
      <c r="X64">
        <f>HYPERLINK("https://klasma.github.io/Logging_0883/kartor/S 2637-2022 karta.png", "S 2637-2022")</f>
        <v/>
      </c>
      <c r="Y64">
        <f>HYPERLINK("https://klasma.github.io/Logging_0883/kartor_geotiff/S 2637-2022 georefererad karta.tif", "S 2637-2022")</f>
        <v/>
      </c>
      <c r="AA64">
        <f>HYPERLINK("https://klasma.github.io/Logging_0883/klagomål/S 2637-2022 FSC-klagomål.docx", "S 2637-2022")</f>
        <v/>
      </c>
      <c r="AB64">
        <f>HYPERLINK("https://klasma.github.io/Logging_0883/klagomålsmail/S 2637-2022 FSC-klagomål mail.docx", "S 2637-2022")</f>
        <v/>
      </c>
      <c r="AC64">
        <f>HYPERLINK("https://klasma.github.io/Logging_0883/tillsyn/S 2637-2022 tillsynsbegäran.docx", "S 2637-2022")</f>
        <v/>
      </c>
      <c r="AD64">
        <f>HYPERLINK("https://klasma.github.io/Logging_0883/tillsynsmail/S 2637-2022 tillsynsbegäran mail.docx", "S 2637-2022")</f>
        <v/>
      </c>
    </row>
    <row r="65" ht="15" customHeight="1">
      <c r="A65" t="inlineStr">
        <is>
          <t>S 1522-2023</t>
        </is>
      </c>
      <c r="B65" t="inlineStr">
        <is>
          <t>samrådsanmälan</t>
        </is>
      </c>
      <c r="C65" t="inlineStr">
        <is>
          <t>Annan skogsbruksåtgärd</t>
        </is>
      </c>
      <c r="D65" s="1" t="n">
        <v>45055</v>
      </c>
      <c r="E65" s="1" t="n">
        <v>46323</v>
      </c>
      <c r="F65" t="inlineStr">
        <is>
          <t>KALMAR LÄN</t>
        </is>
      </c>
      <c r="G65" t="inlineStr">
        <is>
          <t>VÄSTERVIK</t>
        </is>
      </c>
      <c r="H65" t="inlineStr">
        <is>
          <t>Kommuner</t>
        </is>
      </c>
      <c r="I65" t="n">
        <v>10.6</v>
      </c>
      <c r="J65" t="n">
        <v>1</v>
      </c>
      <c r="K65" t="n">
        <v>4</v>
      </c>
      <c r="L65" t="n">
        <v>8</v>
      </c>
      <c r="M65" t="n">
        <v>0</v>
      </c>
      <c r="N65" t="n">
        <v>2</v>
      </c>
      <c r="O65" t="n">
        <v>0</v>
      </c>
      <c r="P65" t="n">
        <v>0</v>
      </c>
      <c r="Q65" t="n">
        <v>10</v>
      </c>
      <c r="R65" t="n">
        <v>2</v>
      </c>
      <c r="S65" t="n">
        <v>16</v>
      </c>
      <c r="T65" t="n">
        <v>26</v>
      </c>
      <c r="U65" t="n">
        <v>13</v>
      </c>
      <c r="V65" s="2" t="inlineStr">
        <is>
          <t>Ask
Skogsalm
Desmeknopp
Ekticka
Gammelekslav
Hålskenknäppare
Korallticka
Sårläka
Vippärt
Vårärt
Dorcatoma dresdensis
Myskmadra
Vätteros
Ängsvaxing agg.
Blåsippa
Tandrot</t>
        </is>
      </c>
      <c r="W65">
        <f>HYPERLINK("https://klasma.github.io/Logging_0883/artfynd/S 1522-2023 artfynd.xlsx", "S 1522-2023")</f>
        <v/>
      </c>
      <c r="X65">
        <f>HYPERLINK("https://klasma.github.io/Logging_0883/kartor/S 1522-2023 karta.png", "S 1522-2023")</f>
        <v/>
      </c>
      <c r="Y65">
        <f>HYPERLINK("https://klasma.github.io/Logging_0883/kartor_geotiff/S 1522-2023 georefererad karta.tif", "S 1522-2023")</f>
        <v/>
      </c>
      <c r="AA65">
        <f>HYPERLINK("https://klasma.github.io/Logging_0883/klagomål/S 1522-2023 FSC-klagomål.docx", "S 1522-2023")</f>
        <v/>
      </c>
      <c r="AB65">
        <f>HYPERLINK("https://klasma.github.io/Logging_0883/klagomålsmail/S 1522-2023 FSC-klagomål mail.docx", "S 1522-2023")</f>
        <v/>
      </c>
      <c r="AC65">
        <f>HYPERLINK("https://klasma.github.io/Logging_0883/tillsyn/S 1522-2023 tillsynsbegäran.docx", "S 1522-2023")</f>
        <v/>
      </c>
      <c r="AD65">
        <f>HYPERLINK("https://klasma.github.io/Logging_0883/tillsynsmail/S 1522-2023 tillsynsbegäran mail.docx", "S 1522-2023")</f>
        <v/>
      </c>
    </row>
    <row r="66" ht="15" customHeight="1">
      <c r="A66" t="inlineStr">
        <is>
          <t>A 37421-2022</t>
        </is>
      </c>
      <c r="B66" t="inlineStr">
        <is>
          <t>avverkningsanmälan</t>
        </is>
      </c>
      <c r="C66" t="inlineStr">
        <is>
          <t>Avverkning för annat ändamål</t>
        </is>
      </c>
      <c r="D66" s="1" t="n">
        <v>44809</v>
      </c>
      <c r="E66" s="1" t="n">
        <v>46323</v>
      </c>
      <c r="F66" t="inlineStr">
        <is>
          <t>KALMAR LÄN</t>
        </is>
      </c>
      <c r="G66" t="inlineStr">
        <is>
          <t>BORGHOLM</t>
        </is>
      </c>
      <c r="I66" t="n">
        <v>3.4</v>
      </c>
      <c r="J66" t="n">
        <v>10</v>
      </c>
      <c r="K66" t="n">
        <v>5</v>
      </c>
      <c r="L66" t="n">
        <v>4</v>
      </c>
      <c r="M66" t="n">
        <v>0</v>
      </c>
      <c r="N66" t="n">
        <v>0</v>
      </c>
      <c r="O66" t="n">
        <v>0</v>
      </c>
      <c r="P66" t="n">
        <v>0</v>
      </c>
      <c r="Q66" t="n">
        <v>4</v>
      </c>
      <c r="R66" t="n">
        <v>0</v>
      </c>
      <c r="S66" t="n">
        <v>15</v>
      </c>
      <c r="T66" t="n">
        <v>37</v>
      </c>
      <c r="U66" t="n">
        <v>33</v>
      </c>
      <c r="V66" s="2" t="inlineStr">
        <is>
          <t>Höstlåsbräken
Loppstarr
Majviva
Sammetsfrölöpare
Murgröna
Skogsknipprot
Tvåblad
Vit skogslilja
Ögonpyrola
Halsbandsflugsnappare
Vanlig padda
Bredarun
Fläcknycklar
Kärrknipprot
Nattviol</t>
        </is>
      </c>
      <c r="W66">
        <f>HYPERLINK("https://klasma.github.io/Logging_0885/artfynd/A 37421-2022 artfynd.xlsx", "A 37421-2022")</f>
        <v/>
      </c>
      <c r="X66">
        <f>HYPERLINK("https://klasma.github.io/Logging_0885/kartor/A 37421-2022 karta.png", "A 37421-2022")</f>
        <v/>
      </c>
      <c r="Y66">
        <f>HYPERLINK("https://klasma.github.io/Logging_0885/kartor_geotiff/A 37421-2022 georefererad karta.tif", "A 37421-2022")</f>
        <v/>
      </c>
      <c r="AA66">
        <f>HYPERLINK("https://klasma.github.io/Logging_0885/klagomål/A 37421-2022 FSC-klagomål.docx", "A 37421-2022")</f>
        <v/>
      </c>
      <c r="AB66">
        <f>HYPERLINK("https://klasma.github.io/Logging_0885/klagomålsmail/A 37421-2022 FSC-klagomål mail.docx", "A 37421-2022")</f>
        <v/>
      </c>
      <c r="AC66">
        <f>HYPERLINK("https://klasma.github.io/Logging_0885/tillsyn/A 37421-2022 tillsynsbegäran.docx", "A 37421-2022")</f>
        <v/>
      </c>
      <c r="AD66">
        <f>HYPERLINK("https://klasma.github.io/Logging_0885/tillsynsmail/A 37421-2022 tillsynsbegäran mail.docx", "A 37421-2022")</f>
        <v/>
      </c>
      <c r="AE66">
        <f>HYPERLINK("https://klasma.github.io/Logging_0885/fåglar/A 37421-2022 prioriterade fågelarter.docx", "A 37421-2022")</f>
        <v/>
      </c>
    </row>
    <row r="67" ht="15" customHeight="1">
      <c r="A67" t="inlineStr">
        <is>
          <t>A 45006-2025</t>
        </is>
      </c>
      <c r="B67" t="inlineStr">
        <is>
          <t>avverkningsanmälan</t>
        </is>
      </c>
      <c r="C67" t="inlineStr">
        <is>
          <t>Avverkning för annat ändamål</t>
        </is>
      </c>
      <c r="D67" s="1" t="n">
        <v>45918</v>
      </c>
      <c r="E67" s="1" t="n">
        <v>46323</v>
      </c>
      <c r="F67" t="inlineStr">
        <is>
          <t>KALMAR LÄN</t>
        </is>
      </c>
      <c r="G67" t="inlineStr">
        <is>
          <t>BORGHOLM</t>
        </is>
      </c>
      <c r="I67" t="n">
        <v>7.8</v>
      </c>
      <c r="J67" t="n">
        <v>6</v>
      </c>
      <c r="K67" t="n">
        <v>6</v>
      </c>
      <c r="L67" t="n">
        <v>5</v>
      </c>
      <c r="M67" t="n">
        <v>1</v>
      </c>
      <c r="N67" t="n">
        <v>0</v>
      </c>
      <c r="O67" t="n">
        <v>0</v>
      </c>
      <c r="P67" t="n">
        <v>0</v>
      </c>
      <c r="Q67" t="n">
        <v>6</v>
      </c>
      <c r="R67" t="n">
        <v>1</v>
      </c>
      <c r="S67" t="n">
        <v>15</v>
      </c>
      <c r="T67" t="n">
        <v>22</v>
      </c>
      <c r="U67" t="n">
        <v>21</v>
      </c>
      <c r="V67" s="2" t="inlineStr">
        <is>
          <t>Skogskorn
Axveronika
Kattfotslav
Mindre ekbock
Skugglosta
Vårstarr
Gulpudrad spiklav
Murgröna
Myskmadra
Skogsknipprot
Tvåblad
Vit skogslilja
Johannesnycklar
Krutbrännare
Gullviva</t>
        </is>
      </c>
      <c r="W67">
        <f>HYPERLINK("https://klasma.github.io/Logging_0885/artfynd/A 45006-2025 artfynd.xlsx", "A 45006-2025")</f>
        <v/>
      </c>
      <c r="X67">
        <f>HYPERLINK("https://klasma.github.io/Logging_0885/kartor/A 45006-2025 karta.png", "A 45006-2025")</f>
        <v/>
      </c>
      <c r="Y67">
        <f>HYPERLINK("https://klasma.github.io/Logging_0885/kartor_geotiff/A 45006-2025 georefererad karta.tif", "A 45006-2025")</f>
        <v/>
      </c>
      <c r="AA67">
        <f>HYPERLINK("https://klasma.github.io/Logging_0885/klagomål/A 45006-2025 FSC-klagomål.docx", "A 45006-2025")</f>
        <v/>
      </c>
      <c r="AB67">
        <f>HYPERLINK("https://klasma.github.io/Logging_0885/klagomålsmail/A 45006-2025 FSC-klagomål mail.docx", "A 45006-2025")</f>
        <v/>
      </c>
      <c r="AC67">
        <f>HYPERLINK("https://klasma.github.io/Logging_0885/tillsyn/A 45006-2025 tillsynsbegäran.docx", "A 45006-2025")</f>
        <v/>
      </c>
      <c r="AD67">
        <f>HYPERLINK("https://klasma.github.io/Logging_0885/tillsynsmail/A 45006-2025 tillsynsbegäran mail.docx", "A 45006-2025")</f>
        <v/>
      </c>
    </row>
    <row r="68" ht="15" customHeight="1">
      <c r="A68" t="inlineStr">
        <is>
          <t>S 1703-2024</t>
        </is>
      </c>
      <c r="B68" t="inlineStr">
        <is>
          <t>samrådsanmälan</t>
        </is>
      </c>
      <c r="C68" t="inlineStr">
        <is>
          <t>Askåterföring</t>
        </is>
      </c>
      <c r="D68" s="1" t="n">
        <v>45434</v>
      </c>
      <c r="E68" s="1" t="n">
        <v>46323</v>
      </c>
      <c r="F68" t="inlineStr">
        <is>
          <t>KALMAR LÄN</t>
        </is>
      </c>
      <c r="G68" t="inlineStr">
        <is>
          <t>MÖNSTERÅS</t>
        </is>
      </c>
      <c r="I68" t="n">
        <v>30.3</v>
      </c>
      <c r="J68" t="n">
        <v>12</v>
      </c>
      <c r="K68" t="n">
        <v>2</v>
      </c>
      <c r="L68" t="n">
        <v>6</v>
      </c>
      <c r="M68" t="n">
        <v>2</v>
      </c>
      <c r="N68" t="n">
        <v>0</v>
      </c>
      <c r="O68" t="n">
        <v>0</v>
      </c>
      <c r="P68" t="n">
        <v>0</v>
      </c>
      <c r="Q68" t="n">
        <v>8</v>
      </c>
      <c r="R68" t="n">
        <v>2</v>
      </c>
      <c r="S68" t="n">
        <v>15</v>
      </c>
      <c r="T68" t="n">
        <v>39</v>
      </c>
      <c r="U68" t="n">
        <v>13</v>
      </c>
      <c r="V68" s="2" t="inlineStr">
        <is>
          <t>Knärot
Sydpipistrell
Barbastell
Brunlångöra
Dammfladdermus
Fransfladdermus
Kandelabersvamp
Nordfladdermus
Grovticka
Grå skärelav
Dvärgpipistrell
Gråskimlig fladdermus
Större brunfladdermus
Trollpipistrell
Vattenfladdermus</t>
        </is>
      </c>
      <c r="W68">
        <f>HYPERLINK("https://klasma.github.io/Logging_0861/artfynd/S 1703-2024 artfynd.xlsx", "S 1703-2024")</f>
        <v/>
      </c>
      <c r="X68">
        <f>HYPERLINK("https://klasma.github.io/Logging_0861/kartor/S 1703-2024 karta.png", "S 1703-2024")</f>
        <v/>
      </c>
      <c r="Y68">
        <f>HYPERLINK("https://klasma.github.io/Logging_0861/kartor_geotiff/S 1703-2024 georefererad karta.tif", "S 1703-2024")</f>
        <v/>
      </c>
      <c r="Z68">
        <f>HYPERLINK("https://klasma.github.io/Logging_0861/knärot/S 1703-2024 karta knärot.png", "S 1703-2024")</f>
        <v/>
      </c>
      <c r="AA68">
        <f>HYPERLINK("https://klasma.github.io/Logging_0861/klagomål/S 1703-2024 FSC-klagomål.docx", "S 1703-2024")</f>
        <v/>
      </c>
      <c r="AB68">
        <f>HYPERLINK("https://klasma.github.io/Logging_0861/klagomålsmail/S 1703-2024 FSC-klagomål mail.docx", "S 1703-2024")</f>
        <v/>
      </c>
      <c r="AC68">
        <f>HYPERLINK("https://klasma.github.io/Logging_0861/tillsyn/S 1703-2024 tillsynsbegäran.docx", "S 1703-2024")</f>
        <v/>
      </c>
      <c r="AD68">
        <f>HYPERLINK("https://klasma.github.io/Logging_0861/tillsynsmail/S 1703-2024 tillsynsbegäran mail.docx", "S 1703-2024")</f>
        <v/>
      </c>
    </row>
    <row r="69" ht="15" customHeight="1">
      <c r="A69" t="inlineStr">
        <is>
          <t>A 21214-2023</t>
        </is>
      </c>
      <c r="B69" t="inlineStr">
        <is>
          <t>avverkningsanmälan</t>
        </is>
      </c>
      <c r="C69" t="inlineStr">
        <is>
          <t>Föryngringsavverkning</t>
        </is>
      </c>
      <c r="D69" s="1" t="n">
        <v>45062</v>
      </c>
      <c r="E69" s="1" t="n">
        <v>46323</v>
      </c>
      <c r="F69" t="inlineStr">
        <is>
          <t>KALMAR LÄN</t>
        </is>
      </c>
      <c r="G69" t="inlineStr">
        <is>
          <t>MÖRBYLÅNGA</t>
        </is>
      </c>
      <c r="I69" t="n">
        <v>3.5</v>
      </c>
      <c r="J69" t="n">
        <v>4</v>
      </c>
      <c r="K69" t="n">
        <v>6</v>
      </c>
      <c r="L69" t="n">
        <v>5</v>
      </c>
      <c r="M69" t="n">
        <v>0</v>
      </c>
      <c r="N69" t="n">
        <v>0</v>
      </c>
      <c r="O69" t="n">
        <v>0</v>
      </c>
      <c r="P69" t="n">
        <v>0</v>
      </c>
      <c r="Q69" t="n">
        <v>5</v>
      </c>
      <c r="R69" t="n">
        <v>0</v>
      </c>
      <c r="S69" t="n">
        <v>14</v>
      </c>
      <c r="T69" t="n">
        <v>37</v>
      </c>
      <c r="U69" t="n">
        <v>37</v>
      </c>
      <c r="V69" s="2" t="inlineStr">
        <is>
          <t>Grisspindling
Mjölspindling
Svart askbastborre
Sårläka
Tallticka
Guldlockmossa
Hasselticka
Mindre märgborre
Murgröna
Platt fjädermossa
Skogsknipprot
Blåsippa
Spillkråka
Gullviva</t>
        </is>
      </c>
      <c r="W69">
        <f>HYPERLINK("https://klasma.github.io/Logging_0840/artfynd/A 21214-2023 artfynd.xlsx", "A 21214-2023")</f>
        <v/>
      </c>
      <c r="X69">
        <f>HYPERLINK("https://klasma.github.io/Logging_0840/kartor/A 21214-2023 karta.png", "A 21214-2023")</f>
        <v/>
      </c>
      <c r="Y69">
        <f>HYPERLINK("https://klasma.github.io/Logging_0840/kartor_geotiff/A 21214-2023 georefererad karta.tif", "A 21214-2023")</f>
        <v/>
      </c>
      <c r="AA69">
        <f>HYPERLINK("https://klasma.github.io/Logging_0840/klagomål/A 21214-2023 FSC-klagomål.docx", "A 21214-2023")</f>
        <v/>
      </c>
      <c r="AB69">
        <f>HYPERLINK("https://klasma.github.io/Logging_0840/klagomålsmail/A 21214-2023 FSC-klagomål mail.docx", "A 21214-2023")</f>
        <v/>
      </c>
      <c r="AC69">
        <f>HYPERLINK("https://klasma.github.io/Logging_0840/tillsyn/A 21214-2023 tillsynsbegäran.docx", "A 21214-2023")</f>
        <v/>
      </c>
      <c r="AD69">
        <f>HYPERLINK("https://klasma.github.io/Logging_0840/tillsynsmail/A 21214-2023 tillsynsbegäran mail.docx", "A 21214-2023")</f>
        <v/>
      </c>
      <c r="AE69">
        <f>HYPERLINK("https://klasma.github.io/Logging_0840/fåglar/A 21214-2023 prioriterade fågelarter.docx", "A 21214-2023")</f>
        <v/>
      </c>
    </row>
    <row r="70" ht="15" customHeight="1">
      <c r="A70" t="inlineStr">
        <is>
          <t>A 48739-2025</t>
        </is>
      </c>
      <c r="B70" t="inlineStr">
        <is>
          <t>avverkningsanmälan</t>
        </is>
      </c>
      <c r="C70" t="inlineStr">
        <is>
          <t>Föryngringsavverkning</t>
        </is>
      </c>
      <c r="D70" s="1" t="n">
        <v>45936</v>
      </c>
      <c r="E70" s="1" t="n">
        <v>46323</v>
      </c>
      <c r="F70" t="inlineStr">
        <is>
          <t>KALMAR LÄN</t>
        </is>
      </c>
      <c r="G70" t="inlineStr">
        <is>
          <t>VÄSTERVIK</t>
        </is>
      </c>
      <c r="I70" t="n">
        <v>5.6</v>
      </c>
      <c r="J70" t="n">
        <v>9</v>
      </c>
      <c r="K70" t="n">
        <v>3</v>
      </c>
      <c r="L70" t="n">
        <v>4</v>
      </c>
      <c r="M70" t="n">
        <v>1</v>
      </c>
      <c r="N70" t="n">
        <v>0</v>
      </c>
      <c r="O70" t="n">
        <v>0</v>
      </c>
      <c r="P70" t="n">
        <v>0</v>
      </c>
      <c r="Q70" t="n">
        <v>5</v>
      </c>
      <c r="R70" t="n">
        <v>1</v>
      </c>
      <c r="S70" t="n">
        <v>14</v>
      </c>
      <c r="T70" t="n">
        <v>54</v>
      </c>
      <c r="U70" t="n">
        <v>53</v>
      </c>
      <c r="V70" s="2" t="inlineStr">
        <is>
          <t>Knärot
Dropptaggsvamp
Motaggsvamp
Nötkråka
Talltita
Blomkålssvamp
Grönpyrola
Purpurknipprot
Mattlummer
Spillkråka
Timmerticka
Tofsmes
Grönsiska
Kungsfågel</t>
        </is>
      </c>
      <c r="W70">
        <f>HYPERLINK("https://klasma.github.io/Logging_0883/artfynd/A 48739-2025 artfynd.xlsx", "A 48739-2025")</f>
        <v/>
      </c>
      <c r="X70">
        <f>HYPERLINK("https://klasma.github.io/Logging_0883/kartor/A 48739-2025 karta.png", "A 48739-2025")</f>
        <v/>
      </c>
      <c r="Y70">
        <f>HYPERLINK("https://klasma.github.io/Logging_0883/kartor_geotiff/A 48739-2025 georefererad karta.tif", "A 48739-2025")</f>
        <v/>
      </c>
      <c r="Z70">
        <f>HYPERLINK("https://klasma.github.io/Logging_0883/knärot/A 48739-2025 karta knärot.png", "A 48739-2025")</f>
        <v/>
      </c>
      <c r="AA70">
        <f>HYPERLINK("https://klasma.github.io/Logging_0883/klagomål/A 48739-2025 FSC-klagomål.docx", "A 48739-2025")</f>
        <v/>
      </c>
      <c r="AB70">
        <f>HYPERLINK("https://klasma.github.io/Logging_0883/klagomålsmail/A 48739-2025 FSC-klagomål mail.docx", "A 48739-2025")</f>
        <v/>
      </c>
      <c r="AC70">
        <f>HYPERLINK("https://klasma.github.io/Logging_0883/tillsyn/A 48739-2025 tillsynsbegäran.docx", "A 48739-2025")</f>
        <v/>
      </c>
      <c r="AD70">
        <f>HYPERLINK("https://klasma.github.io/Logging_0883/tillsynsmail/A 48739-2025 tillsynsbegäran mail.docx", "A 48739-2025")</f>
        <v/>
      </c>
      <c r="AE70">
        <f>HYPERLINK("https://klasma.github.io/Logging_0883/fåglar/A 48739-2025 prioriterade fågelarter.docx", "A 48739-2025")</f>
        <v/>
      </c>
    </row>
    <row r="71" ht="15" customHeight="1">
      <c r="A71" t="inlineStr">
        <is>
          <t>A 31889-2025</t>
        </is>
      </c>
      <c r="B71" t="inlineStr">
        <is>
          <t>avverkningsanmälan</t>
        </is>
      </c>
      <c r="C71" t="inlineStr">
        <is>
          <t>Föryngringsavverkning</t>
        </is>
      </c>
      <c r="D71" s="1" t="n">
        <v>45834</v>
      </c>
      <c r="E71" s="1" t="n">
        <v>46323</v>
      </c>
      <c r="F71" t="inlineStr">
        <is>
          <t>KALMAR LÄN</t>
        </is>
      </c>
      <c r="G71" t="inlineStr">
        <is>
          <t>MÖNSTERÅS</t>
        </is>
      </c>
      <c r="I71" t="n">
        <v>4.3</v>
      </c>
      <c r="J71" t="n">
        <v>11</v>
      </c>
      <c r="K71" t="n">
        <v>2</v>
      </c>
      <c r="L71" t="n">
        <v>3</v>
      </c>
      <c r="M71" t="n">
        <v>0</v>
      </c>
      <c r="N71" t="n">
        <v>0</v>
      </c>
      <c r="O71" t="n">
        <v>0</v>
      </c>
      <c r="P71" t="n">
        <v>0</v>
      </c>
      <c r="Q71" t="n">
        <v>3</v>
      </c>
      <c r="R71" t="n">
        <v>0</v>
      </c>
      <c r="S71" t="n">
        <v>14</v>
      </c>
      <c r="T71" t="n">
        <v>21</v>
      </c>
      <c r="U71" t="n">
        <v>19</v>
      </c>
      <c r="V71" s="2" t="inlineStr">
        <is>
          <t>Grönsångare
Talltita
Vedskivlav
Blåmossa
Fällmossa
Spillkråka
Tofsmes
Grönsiska
Havsörn
Kråka
Kungsfågel
Svartvit flugsnappare
Törnskata
Ärtsångare</t>
        </is>
      </c>
      <c r="W71">
        <f>HYPERLINK("https://klasma.github.io/Logging_0861/artfynd/A 31889-2025 artfynd.xlsx", "A 31889-2025")</f>
        <v/>
      </c>
      <c r="X71">
        <f>HYPERLINK("https://klasma.github.io/Logging_0861/kartor/A 31889-2025 karta.png", "A 31889-2025")</f>
        <v/>
      </c>
      <c r="Y71">
        <f>HYPERLINK("https://klasma.github.io/Logging_0861/kartor_geotiff/A 31889-2025 georefererad karta.tif", "A 31889-2025")</f>
        <v/>
      </c>
      <c r="AA71">
        <f>HYPERLINK("https://klasma.github.io/Logging_0861/klagomål/A 31889-2025 FSC-klagomål.docx", "A 31889-2025")</f>
        <v/>
      </c>
      <c r="AB71">
        <f>HYPERLINK("https://klasma.github.io/Logging_0861/klagomålsmail/A 31889-2025 FSC-klagomål mail.docx", "A 31889-2025")</f>
        <v/>
      </c>
      <c r="AC71">
        <f>HYPERLINK("https://klasma.github.io/Logging_0861/tillsyn/A 31889-2025 tillsynsbegäran.docx", "A 31889-2025")</f>
        <v/>
      </c>
      <c r="AD71">
        <f>HYPERLINK("https://klasma.github.io/Logging_0861/tillsynsmail/A 31889-2025 tillsynsbegäran mail.docx", "A 31889-2025")</f>
        <v/>
      </c>
      <c r="AE71">
        <f>HYPERLINK("https://klasma.github.io/Logging_0861/fåglar/A 31889-2025 prioriterade fågelarter.docx", "A 31889-2025")</f>
        <v/>
      </c>
    </row>
    <row r="72" ht="15" customHeight="1">
      <c r="A72" t="inlineStr">
        <is>
          <t>A 22095-2026</t>
        </is>
      </c>
      <c r="B72" t="inlineStr">
        <is>
          <t>avverkningsanmälan</t>
        </is>
      </c>
      <c r="C72" t="inlineStr">
        <is>
          <t>Föryngringsavverkning</t>
        </is>
      </c>
      <c r="D72" s="1" t="n">
        <v>46153</v>
      </c>
      <c r="E72" s="1" t="n">
        <v>46323</v>
      </c>
      <c r="F72" t="inlineStr">
        <is>
          <t>KALMAR LÄN</t>
        </is>
      </c>
      <c r="G72" t="inlineStr">
        <is>
          <t>NYBRO</t>
        </is>
      </c>
      <c r="H72" t="inlineStr">
        <is>
          <t>Sveaskog</t>
        </is>
      </c>
      <c r="I72" t="n">
        <v>15.3</v>
      </c>
      <c r="J72" t="n">
        <v>13</v>
      </c>
      <c r="K72" t="n">
        <v>1</v>
      </c>
      <c r="L72" t="n">
        <v>7</v>
      </c>
      <c r="M72" t="n">
        <v>0</v>
      </c>
      <c r="N72" t="n">
        <v>0</v>
      </c>
      <c r="O72" t="n">
        <v>0</v>
      </c>
      <c r="P72" t="n">
        <v>0</v>
      </c>
      <c r="Q72" t="n">
        <v>7</v>
      </c>
      <c r="R72" t="n">
        <v>0</v>
      </c>
      <c r="S72" t="n">
        <v>14</v>
      </c>
      <c r="T72" t="n">
        <v>58</v>
      </c>
      <c r="U72" t="n">
        <v>1</v>
      </c>
      <c r="V72" s="2" t="inlineStr">
        <is>
          <t>Barbastell
Brunlångöra
Dammfladdermus
Duvhök
Mindre hackspett
Nordfladdermus
Talltita
Blomkålssvamp
Spillkråka
Tjäder
Dvärgpipistrell
Större brunfladdermus
Sångsvan
Trana</t>
        </is>
      </c>
      <c r="W72">
        <f>HYPERLINK("https://klasma.github.io/Logging_0881/artfynd/A 22095-2026 artfynd.xlsx", "A 22095-2026")</f>
        <v/>
      </c>
      <c r="X72">
        <f>HYPERLINK("https://klasma.github.io/Logging_0881/kartor/A 22095-2026 karta.png", "A 22095-2026")</f>
        <v/>
      </c>
      <c r="Y72">
        <f>HYPERLINK("https://klasma.github.io/Logging_0881/kartor_geotiff/A 22095-2026 georefererad karta.tif", "A 22095-2026")</f>
        <v/>
      </c>
      <c r="AA72">
        <f>HYPERLINK("https://klasma.github.io/Logging_0881/klagomål/A 22095-2026 FSC-klagomål.docx", "A 22095-2026")</f>
        <v/>
      </c>
      <c r="AB72">
        <f>HYPERLINK("https://klasma.github.io/Logging_0881/klagomålsmail/A 22095-2026 FSC-klagomål mail.docx", "A 22095-2026")</f>
        <v/>
      </c>
      <c r="AC72">
        <f>HYPERLINK("https://klasma.github.io/Logging_0881/tillsyn/A 22095-2026 tillsynsbegäran.docx", "A 22095-2026")</f>
        <v/>
      </c>
      <c r="AD72">
        <f>HYPERLINK("https://klasma.github.io/Logging_0881/tillsynsmail/A 22095-2026 tillsynsbegäran mail.docx", "A 22095-2026")</f>
        <v/>
      </c>
      <c r="AE72">
        <f>HYPERLINK("https://klasma.github.io/Logging_0881/fåglar/A 22095-2026 prioriterade fågelarter.docx", "A 22095-2026")</f>
        <v/>
      </c>
    </row>
    <row r="73" ht="15" customHeight="1">
      <c r="A73" t="inlineStr">
        <is>
          <t>S 388-2026</t>
        </is>
      </c>
      <c r="B73" t="inlineStr">
        <is>
          <t>samrådsanmälan</t>
        </is>
      </c>
      <c r="C73" t="inlineStr">
        <is>
          <t>Annan skogsbruksåtgärd</t>
        </is>
      </c>
      <c r="D73" s="1" t="n">
        <v>46066</v>
      </c>
      <c r="E73" s="1" t="n">
        <v>46323</v>
      </c>
      <c r="F73" t="inlineStr">
        <is>
          <t>KALMAR LÄN</t>
        </is>
      </c>
      <c r="G73" t="inlineStr">
        <is>
          <t>KALMAR</t>
        </is>
      </c>
      <c r="H73" t="inlineStr">
        <is>
          <t>Kyrkan</t>
        </is>
      </c>
      <c r="I73" t="n">
        <v>3.7</v>
      </c>
      <c r="J73" t="n">
        <v>1</v>
      </c>
      <c r="K73" t="n">
        <v>10</v>
      </c>
      <c r="L73" t="n">
        <v>3</v>
      </c>
      <c r="M73" t="n">
        <v>1</v>
      </c>
      <c r="N73" t="n">
        <v>0</v>
      </c>
      <c r="O73" t="n">
        <v>0</v>
      </c>
      <c r="P73" t="n">
        <v>0</v>
      </c>
      <c r="Q73" t="n">
        <v>4</v>
      </c>
      <c r="R73" t="n">
        <v>1</v>
      </c>
      <c r="S73" t="n">
        <v>14</v>
      </c>
      <c r="T73" t="n">
        <v>24</v>
      </c>
      <c r="U73" t="n">
        <v>0</v>
      </c>
      <c r="V73" s="2" t="inlineStr">
        <is>
          <t>Gulvit blekspik
Ekticka
Rutskinn
Rödbrun blekspik
Barkticka
Ekoxe
Ekskinn
Guldlockmossa
Gulnål
Gulpudrad spiklav
Lönnlav
Rostfläck
Rävticka
Sotlav</t>
        </is>
      </c>
      <c r="W73">
        <f>HYPERLINK("https://klasma.github.io/Logging_0880/artfynd/S 388-2026 artfynd.xlsx", "S 388-2026")</f>
        <v/>
      </c>
      <c r="X73">
        <f>HYPERLINK("https://klasma.github.io/Logging_0880/kartor/S 388-2026 karta.png", "S 388-2026")</f>
        <v/>
      </c>
      <c r="Y73">
        <f>HYPERLINK("https://klasma.github.io/Logging_0880/kartor_geotiff/S 388-2026 georefererad karta.tif", "S 388-2026")</f>
        <v/>
      </c>
      <c r="AA73">
        <f>HYPERLINK("https://klasma.github.io/Logging_0880/klagomål/S 388-2026 FSC-klagomål.docx", "S 388-2026")</f>
        <v/>
      </c>
      <c r="AB73">
        <f>HYPERLINK("https://klasma.github.io/Logging_0880/klagomålsmail/S 388-2026 FSC-klagomål mail.docx", "S 388-2026")</f>
        <v/>
      </c>
      <c r="AC73">
        <f>HYPERLINK("https://klasma.github.io/Logging_0880/tillsyn/S 388-2026 tillsynsbegäran.docx", "S 388-2026")</f>
        <v/>
      </c>
      <c r="AD73">
        <f>HYPERLINK("https://klasma.github.io/Logging_0880/tillsynsmail/S 388-2026 tillsynsbegäran mail.docx", "S 388-2026")</f>
        <v/>
      </c>
    </row>
    <row r="74" ht="15" customHeight="1">
      <c r="A74" t="inlineStr">
        <is>
          <t>S 1795-2026</t>
        </is>
      </c>
      <c r="B74" t="inlineStr">
        <is>
          <t>samrådsanmälan</t>
        </is>
      </c>
      <c r="C74" t="inlineStr">
        <is>
          <t>Annan skogsbruksåtgärd</t>
        </is>
      </c>
      <c r="D74" s="1" t="n">
        <v>46196</v>
      </c>
      <c r="E74" s="1" t="n">
        <v>46323</v>
      </c>
      <c r="F74" t="inlineStr">
        <is>
          <t>KALMAR LÄN</t>
        </is>
      </c>
      <c r="G74" t="inlineStr">
        <is>
          <t>MÖNSTERÅS</t>
        </is>
      </c>
      <c r="I74" t="n">
        <v>18.8</v>
      </c>
      <c r="J74" t="n">
        <v>1</v>
      </c>
      <c r="K74" t="n">
        <v>4</v>
      </c>
      <c r="L74" t="n">
        <v>9</v>
      </c>
      <c r="M74" t="n">
        <v>1</v>
      </c>
      <c r="N74" t="n">
        <v>0</v>
      </c>
      <c r="O74" t="n">
        <v>0</v>
      </c>
      <c r="P74" t="n">
        <v>0</v>
      </c>
      <c r="Q74" t="n">
        <v>10</v>
      </c>
      <c r="R74" t="n">
        <v>1</v>
      </c>
      <c r="S74" t="n">
        <v>14</v>
      </c>
      <c r="T74" t="n">
        <v>36</v>
      </c>
      <c r="U74" t="n">
        <v>0</v>
      </c>
      <c r="V74" s="2" t="inlineStr">
        <is>
          <t>Läderbagge
Ekticka
Gammelekslav
Gul dropplav
Korallticka
Matt pricklav
Puderfläck
Sadelrödrock
Tallticka
Ängsskära
Fällmossa
Grå skärelav
Gulnål
Jättesvampmal</t>
        </is>
      </c>
      <c r="W74">
        <f>HYPERLINK("https://klasma.github.io/Logging_0861/artfynd/S 1795-2026 artfynd.xlsx", "S 1795-2026")</f>
        <v/>
      </c>
      <c r="X74">
        <f>HYPERLINK("https://klasma.github.io/Logging_0861/kartor/S 1795-2026 karta.png", "S 1795-2026")</f>
        <v/>
      </c>
      <c r="Y74">
        <f>HYPERLINK("https://klasma.github.io/Logging_0861/kartor_geotiff/S 1795-2026 georefererad karta.tif", "S 1795-2026")</f>
        <v/>
      </c>
      <c r="AA74">
        <f>HYPERLINK("https://klasma.github.io/Logging_0861/klagomål/S 1795-2026 FSC-klagomål.docx", "S 1795-2026")</f>
        <v/>
      </c>
      <c r="AB74">
        <f>HYPERLINK("https://klasma.github.io/Logging_0861/klagomålsmail/S 1795-2026 FSC-klagomål mail.docx", "S 1795-2026")</f>
        <v/>
      </c>
      <c r="AC74">
        <f>HYPERLINK("https://klasma.github.io/Logging_0861/tillsyn/S 1795-2026 tillsynsbegäran.docx", "S 1795-2026")</f>
        <v/>
      </c>
      <c r="AD74">
        <f>HYPERLINK("https://klasma.github.io/Logging_0861/tillsynsmail/S 1795-2026 tillsynsbegäran mail.docx", "S 1795-2026")</f>
        <v/>
      </c>
    </row>
    <row r="75" ht="15" customHeight="1">
      <c r="A75" t="inlineStr">
        <is>
          <t>S 2786-2026</t>
        </is>
      </c>
      <c r="B75" t="inlineStr">
        <is>
          <t>samrådsanmälan</t>
        </is>
      </c>
      <c r="C75" t="inlineStr">
        <is>
          <t>Annan skogsbruksåtgärd</t>
        </is>
      </c>
      <c r="D75" s="1" t="n">
        <v>46318</v>
      </c>
      <c r="E75" s="1" t="n">
        <v>46323</v>
      </c>
      <c r="F75" t="inlineStr">
        <is>
          <t>KALMAR LÄN</t>
        </is>
      </c>
      <c r="G75" t="inlineStr">
        <is>
          <t>MÖNSTERÅS</t>
        </is>
      </c>
      <c r="H75" t="inlineStr">
        <is>
          <t>Kyrkan</t>
        </is>
      </c>
      <c r="I75" t="n">
        <v>7.2</v>
      </c>
      <c r="J75" t="n">
        <v>3</v>
      </c>
      <c r="K75" t="n">
        <v>4</v>
      </c>
      <c r="L75" t="n">
        <v>5</v>
      </c>
      <c r="M75" t="n">
        <v>3</v>
      </c>
      <c r="N75" t="n">
        <v>0</v>
      </c>
      <c r="O75" t="n">
        <v>0</v>
      </c>
      <c r="P75" t="n">
        <v>0</v>
      </c>
      <c r="Q75" t="n">
        <v>8</v>
      </c>
      <c r="R75" t="n">
        <v>3</v>
      </c>
      <c r="S75" t="n">
        <v>14</v>
      </c>
      <c r="T75" t="n">
        <v>16</v>
      </c>
      <c r="U75" t="n">
        <v>0</v>
      </c>
      <c r="V75" s="2" t="inlineStr">
        <is>
          <t>Glänsande blombagge
Hjärtstilla
Linddyna
Enfärgad brandsvampbagge
Mindre hackspett
Oxtungssvamp
Svartspetsad rödrock
Vårärt
Bokoxe
Fällmossa
Guldlockmossa
Lindbock
Blåsippa
Gullviva</t>
        </is>
      </c>
      <c r="W75">
        <f>HYPERLINK("https://klasma.github.io/Logging_0861/artfynd/S 2786-2026 artfynd.xlsx", "S 2786-2026")</f>
        <v/>
      </c>
      <c r="X75">
        <f>HYPERLINK("https://klasma.github.io/Logging_0861/kartor/S 2786-2026 karta.png", "S 2786-2026")</f>
        <v/>
      </c>
      <c r="Y75">
        <f>HYPERLINK("https://klasma.github.io/Logging_0861/kartor_geotiff/S 2786-2026 georefererad karta.tif", "S 2786-2026")</f>
        <v/>
      </c>
      <c r="AA75">
        <f>HYPERLINK("https://klasma.github.io/Logging_0861/klagomål/S 2786-2026 FSC-klagomål.docx", "S 2786-2026")</f>
        <v/>
      </c>
      <c r="AB75">
        <f>HYPERLINK("https://klasma.github.io/Logging_0861/klagomålsmail/S 2786-2026 FSC-klagomål mail.docx", "S 2786-2026")</f>
        <v/>
      </c>
      <c r="AC75">
        <f>HYPERLINK("https://klasma.github.io/Logging_0861/tillsyn/S 2786-2026 tillsynsbegäran.docx", "S 2786-2026")</f>
        <v/>
      </c>
      <c r="AD75">
        <f>HYPERLINK("https://klasma.github.io/Logging_0861/tillsynsmail/S 2786-2026 tillsynsbegäran mail.docx", "S 2786-2026")</f>
        <v/>
      </c>
      <c r="AE75">
        <f>HYPERLINK("https://klasma.github.io/Logging_0861/fåglar/S 2786-2026 prioriterade fågelarter.docx", "S 2786-2026")</f>
        <v/>
      </c>
    </row>
    <row r="76" ht="15" customHeight="1">
      <c r="A76" t="inlineStr">
        <is>
          <t>A 9633-2025</t>
        </is>
      </c>
      <c r="B76" t="inlineStr">
        <is>
          <t>avverkningsanmälan</t>
        </is>
      </c>
      <c r="C76" t="inlineStr">
        <is>
          <t>Föryngringsavverkning</t>
        </is>
      </c>
      <c r="D76" s="1" t="n">
        <v>45715</v>
      </c>
      <c r="E76" s="1" t="n">
        <v>46323</v>
      </c>
      <c r="F76" t="inlineStr">
        <is>
          <t>KALMAR LÄN</t>
        </is>
      </c>
      <c r="G76" t="inlineStr">
        <is>
          <t>OSKARSHAMN</t>
        </is>
      </c>
      <c r="I76" t="n">
        <v>3.5</v>
      </c>
      <c r="J76" t="n">
        <v>11</v>
      </c>
      <c r="K76" t="n">
        <v>0</v>
      </c>
      <c r="L76" t="n">
        <v>3</v>
      </c>
      <c r="M76" t="n">
        <v>1</v>
      </c>
      <c r="N76" t="n">
        <v>0</v>
      </c>
      <c r="O76" t="n">
        <v>1</v>
      </c>
      <c r="P76" t="n">
        <v>0</v>
      </c>
      <c r="Q76" t="n">
        <v>5</v>
      </c>
      <c r="R76" t="n">
        <v>2</v>
      </c>
      <c r="S76" t="n">
        <v>13</v>
      </c>
      <c r="T76" t="n">
        <v>21</v>
      </c>
      <c r="U76" t="n">
        <v>21</v>
      </c>
      <c r="V76" s="2" t="inlineStr">
        <is>
          <t>Kritsuga
Grönfink
Mindre hackspett
Sårläka
Tjockfotad fingersvamp
Blåsippa
Nattskärra
Spillkråka
Hasselmus
Ärtsångare
Kopparödla
Vanlig padda
Gullviva</t>
        </is>
      </c>
      <c r="W76">
        <f>HYPERLINK("https://klasma.github.io/Logging_0882/artfynd/A 9633-2025 artfynd.xlsx", "A 9633-2025")</f>
        <v/>
      </c>
      <c r="X76">
        <f>HYPERLINK("https://klasma.github.io/Logging_0882/kartor/A 9633-2025 karta.png", "A 9633-2025")</f>
        <v/>
      </c>
      <c r="Y76">
        <f>HYPERLINK("https://klasma.github.io/Logging_0882/kartor_geotiff/A 9633-2025 georefererad karta.tif", "A 9633-2025")</f>
        <v/>
      </c>
      <c r="AA76">
        <f>HYPERLINK("https://klasma.github.io/Logging_0882/klagomål/A 9633-2025 FSC-klagomål.docx", "A 9633-2025")</f>
        <v/>
      </c>
      <c r="AB76">
        <f>HYPERLINK("https://klasma.github.io/Logging_0882/klagomålsmail/A 9633-2025 FSC-klagomål mail.docx", "A 9633-2025")</f>
        <v/>
      </c>
      <c r="AC76">
        <f>HYPERLINK("https://klasma.github.io/Logging_0882/tillsyn/A 9633-2025 tillsynsbegäran.docx", "A 9633-2025")</f>
        <v/>
      </c>
      <c r="AD76">
        <f>HYPERLINK("https://klasma.github.io/Logging_0882/tillsynsmail/A 9633-2025 tillsynsbegäran mail.docx", "A 9633-2025")</f>
        <v/>
      </c>
      <c r="AE76">
        <f>HYPERLINK("https://klasma.github.io/Logging_0882/fåglar/A 9633-2025 prioriterade fågelarter.docx", "A 9633-2025")</f>
        <v/>
      </c>
    </row>
    <row r="77" ht="15" customHeight="1">
      <c r="A77" t="inlineStr">
        <is>
          <t>A 37525-2025</t>
        </is>
      </c>
      <c r="B77" t="inlineStr">
        <is>
          <t>avverkningsanmälan</t>
        </is>
      </c>
      <c r="C77" t="inlineStr">
        <is>
          <t>Föryngringsavverkning</t>
        </is>
      </c>
      <c r="D77" s="1" t="n">
        <v>45877</v>
      </c>
      <c r="E77" s="1" t="n">
        <v>46323</v>
      </c>
      <c r="F77" t="inlineStr">
        <is>
          <t>KALMAR LÄN</t>
        </is>
      </c>
      <c r="G77" t="inlineStr">
        <is>
          <t>VÄSTERVIK</t>
        </is>
      </c>
      <c r="I77" t="n">
        <v>2.4</v>
      </c>
      <c r="J77" t="n">
        <v>8</v>
      </c>
      <c r="K77" t="n">
        <v>2</v>
      </c>
      <c r="L77" t="n">
        <v>5</v>
      </c>
      <c r="M77" t="n">
        <v>1</v>
      </c>
      <c r="N77" t="n">
        <v>1</v>
      </c>
      <c r="O77" t="n">
        <v>0</v>
      </c>
      <c r="P77" t="n">
        <v>0</v>
      </c>
      <c r="Q77" t="n">
        <v>7</v>
      </c>
      <c r="R77" t="n">
        <v>2</v>
      </c>
      <c r="S77" t="n">
        <v>13</v>
      </c>
      <c r="T77" t="n">
        <v>19</v>
      </c>
      <c r="U77" t="n">
        <v>19</v>
      </c>
      <c r="V77" s="2" t="inlineStr">
        <is>
          <t>Tallharticka
Knärot
Entita
Mindre hackspett
Persiljespindling
Tallticka
Talltita
Blomkålssvamp
Grönpyrola
Spillkråka
Tjäder
Gröngöling
Kungsfågel</t>
        </is>
      </c>
      <c r="W77">
        <f>HYPERLINK("https://klasma.github.io/Logging_0883/artfynd/A 37525-2025 artfynd.xlsx", "A 37525-2025")</f>
        <v/>
      </c>
      <c r="X77">
        <f>HYPERLINK("https://klasma.github.io/Logging_0883/kartor/A 37525-2025 karta.png", "A 37525-2025")</f>
        <v/>
      </c>
      <c r="Y77">
        <f>HYPERLINK("https://klasma.github.io/Logging_0883/kartor_geotiff/A 37525-2025 georefererad karta.tif", "A 37525-2025")</f>
        <v/>
      </c>
      <c r="Z77">
        <f>HYPERLINK("https://klasma.github.io/Logging_0883/knärot/A 37525-2025 karta knärot.png", "A 37525-2025")</f>
        <v/>
      </c>
      <c r="AA77">
        <f>HYPERLINK("https://klasma.github.io/Logging_0883/klagomål/A 37525-2025 FSC-klagomål.docx", "A 37525-2025")</f>
        <v/>
      </c>
      <c r="AB77">
        <f>HYPERLINK("https://klasma.github.io/Logging_0883/klagomålsmail/A 37525-2025 FSC-klagomål mail.docx", "A 37525-2025")</f>
        <v/>
      </c>
      <c r="AC77">
        <f>HYPERLINK("https://klasma.github.io/Logging_0883/tillsyn/A 37525-2025 tillsynsbegäran.docx", "A 37525-2025")</f>
        <v/>
      </c>
      <c r="AD77">
        <f>HYPERLINK("https://klasma.github.io/Logging_0883/tillsynsmail/A 37525-2025 tillsynsbegäran mail.docx", "A 37525-2025")</f>
        <v/>
      </c>
      <c r="AE77">
        <f>HYPERLINK("https://klasma.github.io/Logging_0883/fåglar/A 37525-2025 prioriterade fågelarter.docx", "A 37525-2025")</f>
        <v/>
      </c>
    </row>
    <row r="78" ht="15" customHeight="1">
      <c r="A78" t="inlineStr">
        <is>
          <t>A 37906-2022</t>
        </is>
      </c>
      <c r="B78" t="inlineStr">
        <is>
          <t>avverkningsanmälan</t>
        </is>
      </c>
      <c r="C78" t="inlineStr">
        <is>
          <t>Föryngringsavverkning</t>
        </is>
      </c>
      <c r="D78" s="1" t="n">
        <v>44811</v>
      </c>
      <c r="E78" s="1" t="n">
        <v>46323</v>
      </c>
      <c r="F78" t="inlineStr">
        <is>
          <t>KALMAR LÄN</t>
        </is>
      </c>
      <c r="G78" t="inlineStr">
        <is>
          <t>VIMMERBY</t>
        </is>
      </c>
      <c r="I78" t="n">
        <v>3.5</v>
      </c>
      <c r="J78" t="n">
        <v>2</v>
      </c>
      <c r="K78" t="n">
        <v>5</v>
      </c>
      <c r="L78" t="n">
        <v>6</v>
      </c>
      <c r="M78" t="n">
        <v>1</v>
      </c>
      <c r="N78" t="n">
        <v>0</v>
      </c>
      <c r="O78" t="n">
        <v>0</v>
      </c>
      <c r="P78" t="n">
        <v>0</v>
      </c>
      <c r="Q78" t="n">
        <v>7</v>
      </c>
      <c r="R78" t="n">
        <v>1</v>
      </c>
      <c r="S78" t="n">
        <v>13</v>
      </c>
      <c r="T78" t="n">
        <v>26</v>
      </c>
      <c r="U78" t="n">
        <v>26</v>
      </c>
      <c r="V78" s="2" t="inlineStr">
        <is>
          <t>Knärot
Dropptaggsvamp
Dvärgbägarlav
Rynkskinn
Rödbrun blekspik
Ullticka
Vedskivlav
Barkticka
Fällmossa
Granbarkgnagare
Gulpudrad spiklav
Sotlav
Spillkråka</t>
        </is>
      </c>
      <c r="W78">
        <f>HYPERLINK("https://klasma.github.io/Logging_0884/artfynd/A 37906-2022 artfynd.xlsx", "A 37906-2022")</f>
        <v/>
      </c>
      <c r="X78">
        <f>HYPERLINK("https://klasma.github.io/Logging_0884/kartor/A 37906-2022 karta.png", "A 37906-2022")</f>
        <v/>
      </c>
      <c r="Y78">
        <f>HYPERLINK("https://klasma.github.io/Logging_0884/kartor_geotiff/A 37906-2022 georefererad karta.tif", "A 37906-2022")</f>
        <v/>
      </c>
      <c r="Z78">
        <f>HYPERLINK("https://klasma.github.io/Logging_0884/knärot/A 37906-2022 karta knärot.png", "A 37906-2022")</f>
        <v/>
      </c>
      <c r="AA78">
        <f>HYPERLINK("https://klasma.github.io/Logging_0884/klagomål/A 37906-2022 FSC-klagomål.docx", "A 37906-2022")</f>
        <v/>
      </c>
      <c r="AB78">
        <f>HYPERLINK("https://klasma.github.io/Logging_0884/klagomålsmail/A 37906-2022 FSC-klagomål mail.docx", "A 37906-2022")</f>
        <v/>
      </c>
      <c r="AC78">
        <f>HYPERLINK("https://klasma.github.io/Logging_0884/tillsyn/A 37906-2022 tillsynsbegäran.docx", "A 37906-2022")</f>
        <v/>
      </c>
      <c r="AD78">
        <f>HYPERLINK("https://klasma.github.io/Logging_0884/tillsynsmail/A 37906-2022 tillsynsbegäran mail.docx", "A 37906-2022")</f>
        <v/>
      </c>
      <c r="AE78">
        <f>HYPERLINK("https://klasma.github.io/Logging_0884/fåglar/A 37906-2022 prioriterade fågelarter.docx", "A 37906-2022")</f>
        <v/>
      </c>
    </row>
    <row r="79" ht="15" customHeight="1">
      <c r="A79" t="inlineStr">
        <is>
          <t>A 52987-2024</t>
        </is>
      </c>
      <c r="B79" t="inlineStr">
        <is>
          <t>avverkningsanmälan</t>
        </is>
      </c>
      <c r="C79" t="inlineStr">
        <is>
          <t>Föryngringsavverkning</t>
        </is>
      </c>
      <c r="D79" s="1" t="n">
        <v>45611</v>
      </c>
      <c r="E79" s="1" t="n">
        <v>46323</v>
      </c>
      <c r="F79" t="inlineStr">
        <is>
          <t>KALMAR LÄN</t>
        </is>
      </c>
      <c r="G79" t="inlineStr">
        <is>
          <t>HÖGSBY</t>
        </is>
      </c>
      <c r="I79" t="n">
        <v>5.9</v>
      </c>
      <c r="J79" t="n">
        <v>6</v>
      </c>
      <c r="K79" t="n">
        <v>3</v>
      </c>
      <c r="L79" t="n">
        <v>6</v>
      </c>
      <c r="M79" t="n">
        <v>1</v>
      </c>
      <c r="N79" t="n">
        <v>1</v>
      </c>
      <c r="O79" t="n">
        <v>0</v>
      </c>
      <c r="P79" t="n">
        <v>0</v>
      </c>
      <c r="Q79" t="n">
        <v>8</v>
      </c>
      <c r="R79" t="n">
        <v>2</v>
      </c>
      <c r="S79" t="n">
        <v>13</v>
      </c>
      <c r="T79" t="n">
        <v>29</v>
      </c>
      <c r="U79" t="n">
        <v>29</v>
      </c>
      <c r="V79" s="2" t="inlineStr">
        <is>
          <t>Svartoxe
Knärot
Enkelbeckasin
Entita
Grönhjon
Sparvuggla
Större flatbagge
Ullticka
Barkticka
Brandticka
Västlig hakmossa
Blåsippa
Spillkråka</t>
        </is>
      </c>
      <c r="W79">
        <f>HYPERLINK("https://klasma.github.io/Logging_0821/artfynd/A 52987-2024 artfynd.xlsx", "A 52987-2024")</f>
        <v/>
      </c>
      <c r="X79">
        <f>HYPERLINK("https://klasma.github.io/Logging_0821/kartor/A 52987-2024 karta.png", "A 52987-2024")</f>
        <v/>
      </c>
      <c r="Y79">
        <f>HYPERLINK("https://klasma.github.io/Logging_0821/kartor_geotiff/A 52987-2024 georefererad karta.tif", "A 52987-2024")</f>
        <v/>
      </c>
      <c r="Z79">
        <f>HYPERLINK("https://klasma.github.io/Logging_0821/knärot/A 52987-2024 karta knärot.png", "A 52987-2024")</f>
        <v/>
      </c>
      <c r="AA79">
        <f>HYPERLINK("https://klasma.github.io/Logging_0821/klagomål/A 52987-2024 FSC-klagomål.docx", "A 52987-2024")</f>
        <v/>
      </c>
      <c r="AB79">
        <f>HYPERLINK("https://klasma.github.io/Logging_0821/klagomålsmail/A 52987-2024 FSC-klagomål mail.docx", "A 52987-2024")</f>
        <v/>
      </c>
      <c r="AC79">
        <f>HYPERLINK("https://klasma.github.io/Logging_0821/tillsyn/A 52987-2024 tillsynsbegäran.docx", "A 52987-2024")</f>
        <v/>
      </c>
      <c r="AD79">
        <f>HYPERLINK("https://klasma.github.io/Logging_0821/tillsynsmail/A 52987-2024 tillsynsbegäran mail.docx", "A 52987-2024")</f>
        <v/>
      </c>
      <c r="AE79">
        <f>HYPERLINK("https://klasma.github.io/Logging_0821/fåglar/A 52987-2024 prioriterade fågelarter.docx", "A 52987-2024")</f>
        <v/>
      </c>
    </row>
    <row r="80" ht="15" customHeight="1">
      <c r="A80" t="inlineStr">
        <is>
          <t>S 6434-2022</t>
        </is>
      </c>
      <c r="B80" t="inlineStr">
        <is>
          <t>samrådsanmälan</t>
        </is>
      </c>
      <c r="C80" t="inlineStr">
        <is>
          <t>Annan skogsbruksåtgärd</t>
        </is>
      </c>
      <c r="D80" s="1" t="n">
        <v>44876</v>
      </c>
      <c r="E80" s="1" t="n">
        <v>46323</v>
      </c>
      <c r="F80" t="inlineStr">
        <is>
          <t>KALMAR LÄN</t>
        </is>
      </c>
      <c r="G80" t="inlineStr">
        <is>
          <t>KALMAR</t>
        </is>
      </c>
      <c r="I80" t="n">
        <v>5.4</v>
      </c>
      <c r="J80" t="n">
        <v>5</v>
      </c>
      <c r="K80" t="n">
        <v>2</v>
      </c>
      <c r="L80" t="n">
        <v>5</v>
      </c>
      <c r="M80" t="n">
        <v>3</v>
      </c>
      <c r="N80" t="n">
        <v>0</v>
      </c>
      <c r="O80" t="n">
        <v>0</v>
      </c>
      <c r="P80" t="n">
        <v>0</v>
      </c>
      <c r="Q80" t="n">
        <v>8</v>
      </c>
      <c r="R80" t="n">
        <v>3</v>
      </c>
      <c r="S80" t="n">
        <v>13</v>
      </c>
      <c r="T80" t="n">
        <v>45</v>
      </c>
      <c r="U80" t="n">
        <v>6</v>
      </c>
      <c r="V80" s="2" t="inlineStr">
        <is>
          <t>Gränsticka
Knärot
Ulltickeporing
Dropptaggsvamp
Orange taggsvamp
Tallticka
Talltita
Ullticka
Blomkålssvamp
Blåmossa
Spillkråka
Havsörn
Kungsfågel</t>
        </is>
      </c>
      <c r="W80">
        <f>HYPERLINK("https://klasma.github.io/Logging_0880/artfynd/S 6434-2022 artfynd.xlsx", "S 6434-2022")</f>
        <v/>
      </c>
      <c r="X80">
        <f>HYPERLINK("https://klasma.github.io/Logging_0880/kartor/S 6434-2022 karta.png", "S 6434-2022")</f>
        <v/>
      </c>
      <c r="Y80">
        <f>HYPERLINK("https://klasma.github.io/Logging_0880/kartor_geotiff/S 6434-2022 georefererad karta.tif", "S 6434-2022")</f>
        <v/>
      </c>
      <c r="Z80">
        <f>HYPERLINK("https://klasma.github.io/Logging_0880/knärot/S 6434-2022 karta knärot.png", "S 6434-2022")</f>
        <v/>
      </c>
      <c r="AA80">
        <f>HYPERLINK("https://klasma.github.io/Logging_0880/klagomål/S 6434-2022 FSC-klagomål.docx", "S 6434-2022")</f>
        <v/>
      </c>
      <c r="AB80">
        <f>HYPERLINK("https://klasma.github.io/Logging_0880/klagomålsmail/S 6434-2022 FSC-klagomål mail.docx", "S 6434-2022")</f>
        <v/>
      </c>
      <c r="AC80">
        <f>HYPERLINK("https://klasma.github.io/Logging_0880/tillsyn/S 6434-2022 tillsynsbegäran.docx", "S 6434-2022")</f>
        <v/>
      </c>
      <c r="AD80">
        <f>HYPERLINK("https://klasma.github.io/Logging_0880/tillsynsmail/S 6434-2022 tillsynsbegäran mail.docx", "S 6434-2022")</f>
        <v/>
      </c>
      <c r="AE80">
        <f>HYPERLINK("https://klasma.github.io/Logging_0880/fåglar/S 6434-2022 prioriterade fågelarter.docx", "S 6434-2022")</f>
        <v/>
      </c>
    </row>
    <row r="81" ht="15" customHeight="1">
      <c r="A81" t="inlineStr">
        <is>
          <t>S 984-2023</t>
        </is>
      </c>
      <c r="B81" t="inlineStr">
        <is>
          <t>samrådsanmälan</t>
        </is>
      </c>
      <c r="C81" t="inlineStr">
        <is>
          <t>Annan skogsbruksåtgärd</t>
        </is>
      </c>
      <c r="D81" s="1" t="n">
        <v>45006</v>
      </c>
      <c r="E81" s="1" t="n">
        <v>46323</v>
      </c>
      <c r="F81" t="inlineStr">
        <is>
          <t>KALMAR LÄN</t>
        </is>
      </c>
      <c r="G81" t="inlineStr">
        <is>
          <t>NYBRO</t>
        </is>
      </c>
      <c r="I81" t="n">
        <v>8</v>
      </c>
      <c r="J81" t="n">
        <v>3</v>
      </c>
      <c r="K81" t="n">
        <v>7</v>
      </c>
      <c r="L81" t="n">
        <v>3</v>
      </c>
      <c r="M81" t="n">
        <v>0</v>
      </c>
      <c r="N81" t="n">
        <v>1</v>
      </c>
      <c r="O81" t="n">
        <v>0</v>
      </c>
      <c r="P81" t="n">
        <v>0</v>
      </c>
      <c r="Q81" t="n">
        <v>4</v>
      </c>
      <c r="R81" t="n">
        <v>1</v>
      </c>
      <c r="S81" t="n">
        <v>13</v>
      </c>
      <c r="T81" t="n">
        <v>14</v>
      </c>
      <c r="U81" t="n">
        <v>10</v>
      </c>
      <c r="V81" s="2" t="inlineStr">
        <is>
          <t>Ask
Brunag
Mindre träfjäril
Vårärt
Hasselticka
Kruskantarell
Murgröna
Myskmadra
Nästrot
Svart trolldruva
Vätteros
Blåsippa
Revlummer</t>
        </is>
      </c>
      <c r="W81">
        <f>HYPERLINK("https://klasma.github.io/Logging_0881/artfynd/S 984-2023 artfynd.xlsx", "S 984-2023")</f>
        <v/>
      </c>
      <c r="X81">
        <f>HYPERLINK("https://klasma.github.io/Logging_0881/kartor/S 984-2023 karta.png", "S 984-2023")</f>
        <v/>
      </c>
      <c r="Y81">
        <f>HYPERLINK("https://klasma.github.io/Logging_0881/kartor_geotiff/S 984-2023 georefererad karta.tif", "S 984-2023")</f>
        <v/>
      </c>
      <c r="AA81">
        <f>HYPERLINK("https://klasma.github.io/Logging_0881/klagomål/S 984-2023 FSC-klagomål.docx", "S 984-2023")</f>
        <v/>
      </c>
      <c r="AB81">
        <f>HYPERLINK("https://klasma.github.io/Logging_0881/klagomålsmail/S 984-2023 FSC-klagomål mail.docx", "S 984-2023")</f>
        <v/>
      </c>
      <c r="AC81">
        <f>HYPERLINK("https://klasma.github.io/Logging_0881/tillsyn/S 984-2023 tillsynsbegäran.docx", "S 984-2023")</f>
        <v/>
      </c>
      <c r="AD81">
        <f>HYPERLINK("https://klasma.github.io/Logging_0881/tillsynsmail/S 984-2023 tillsynsbegäran mail.docx", "S 984-2023")</f>
        <v/>
      </c>
    </row>
    <row r="82" ht="15" customHeight="1">
      <c r="A82" t="inlineStr">
        <is>
          <t>S 758-2023</t>
        </is>
      </c>
      <c r="B82" t="inlineStr">
        <is>
          <t>samrådsanmälan</t>
        </is>
      </c>
      <c r="C82" t="inlineStr">
        <is>
          <t>Askåterföring</t>
        </is>
      </c>
      <c r="D82" s="1" t="n">
        <v>44981</v>
      </c>
      <c r="E82" s="1" t="n">
        <v>46323</v>
      </c>
      <c r="F82" t="inlineStr">
        <is>
          <t>KALMAR LÄN</t>
        </is>
      </c>
      <c r="G82" t="inlineStr">
        <is>
          <t>MÖNSTERÅS</t>
        </is>
      </c>
      <c r="I82" t="n">
        <v>25.8</v>
      </c>
      <c r="J82" t="n">
        <v>10</v>
      </c>
      <c r="K82" t="n">
        <v>0</v>
      </c>
      <c r="L82" t="n">
        <v>7</v>
      </c>
      <c r="M82" t="n">
        <v>0</v>
      </c>
      <c r="N82" t="n">
        <v>0</v>
      </c>
      <c r="O82" t="n">
        <v>0</v>
      </c>
      <c r="P82" t="n">
        <v>0</v>
      </c>
      <c r="Q82" t="n">
        <v>7</v>
      </c>
      <c r="R82" t="n">
        <v>0</v>
      </c>
      <c r="S82" t="n">
        <v>13</v>
      </c>
      <c r="T82" t="n">
        <v>46</v>
      </c>
      <c r="U82" t="n">
        <v>1</v>
      </c>
      <c r="V82" s="2" t="inlineStr">
        <is>
          <t>Barbastell
Grönsångare
Jungfrulin
Nordfladdermus
Solvända
Spindelört
Talltita
Nattskärra
Tjäder
Dvärgpipistrell
Större brunfladdermus
Fläcknycklar
Gullviva</t>
        </is>
      </c>
      <c r="W82">
        <f>HYPERLINK("https://klasma.github.io/Logging_0861/artfynd/S 758-2023 artfynd.xlsx", "S 758-2023")</f>
        <v/>
      </c>
      <c r="X82">
        <f>HYPERLINK("https://klasma.github.io/Logging_0861/kartor/S 758-2023 karta.png", "S 758-2023")</f>
        <v/>
      </c>
      <c r="Y82">
        <f>HYPERLINK("https://klasma.github.io/Logging_0861/kartor_geotiff/S 758-2023 georefererad karta.tif", "S 758-2023")</f>
        <v/>
      </c>
      <c r="AA82">
        <f>HYPERLINK("https://klasma.github.io/Logging_0861/klagomål/S 758-2023 FSC-klagomål.docx", "S 758-2023")</f>
        <v/>
      </c>
      <c r="AB82">
        <f>HYPERLINK("https://klasma.github.io/Logging_0861/klagomålsmail/S 758-2023 FSC-klagomål mail.docx", "S 758-2023")</f>
        <v/>
      </c>
      <c r="AC82">
        <f>HYPERLINK("https://klasma.github.io/Logging_0861/tillsyn/S 758-2023 tillsynsbegäran.docx", "S 758-2023")</f>
        <v/>
      </c>
      <c r="AD82">
        <f>HYPERLINK("https://klasma.github.io/Logging_0861/tillsynsmail/S 758-2023 tillsynsbegäran mail.docx", "S 758-2023")</f>
        <v/>
      </c>
      <c r="AE82">
        <f>HYPERLINK("https://klasma.github.io/Logging_0861/fåglar/S 758-2023 prioriterade fågelarter.docx", "S 758-2023")</f>
        <v/>
      </c>
    </row>
    <row r="83" ht="15" customHeight="1">
      <c r="A83" t="inlineStr">
        <is>
          <t>S 925-2026</t>
        </is>
      </c>
      <c r="B83" t="inlineStr">
        <is>
          <t>samrådsanmälan</t>
        </is>
      </c>
      <c r="C83" t="inlineStr">
        <is>
          <t>Askåterföring</t>
        </is>
      </c>
      <c r="D83" s="1" t="n">
        <v>46111</v>
      </c>
      <c r="E83" s="1" t="n">
        <v>46323</v>
      </c>
      <c r="F83" t="inlineStr">
        <is>
          <t>KALMAR LÄN</t>
        </is>
      </c>
      <c r="G83" t="inlineStr">
        <is>
          <t>HÖGSBY</t>
        </is>
      </c>
      <c r="I83" t="n">
        <v>82.8</v>
      </c>
      <c r="J83" t="n">
        <v>2</v>
      </c>
      <c r="K83" t="n">
        <v>0</v>
      </c>
      <c r="L83" t="n">
        <v>8</v>
      </c>
      <c r="M83" t="n">
        <v>2</v>
      </c>
      <c r="N83" t="n">
        <v>2</v>
      </c>
      <c r="O83" t="n">
        <v>0</v>
      </c>
      <c r="P83" t="n">
        <v>0</v>
      </c>
      <c r="Q83" t="n">
        <v>12</v>
      </c>
      <c r="R83" t="n">
        <v>4</v>
      </c>
      <c r="S83" t="n">
        <v>13</v>
      </c>
      <c r="T83" t="n">
        <v>29</v>
      </c>
      <c r="U83" t="n">
        <v>0</v>
      </c>
      <c r="V83" s="2" t="inlineStr">
        <is>
          <t>Ask
Skogsalm
Hjärtstilla
Läderbagge
Ekticka
Flentimotej
Kavelhirs
Korskovall
Slåtterfibbla
Svinrot
Vippärt
Vårärt
Nattviol</t>
        </is>
      </c>
      <c r="W83">
        <f>HYPERLINK("https://klasma.github.io/Logging_0821/artfynd/S 925-2026 artfynd.xlsx", "S 925-2026")</f>
        <v/>
      </c>
      <c r="X83">
        <f>HYPERLINK("https://klasma.github.io/Logging_0821/kartor/S 925-2026 karta.png", "S 925-2026")</f>
        <v/>
      </c>
      <c r="Y83">
        <f>HYPERLINK("https://klasma.github.io/Logging_0821/kartor_geotiff/S 925-2026 georefererad karta.tif", "S 925-2026")</f>
        <v/>
      </c>
      <c r="AA83">
        <f>HYPERLINK("https://klasma.github.io/Logging_0821/klagomål/S 925-2026 FSC-klagomål.docx", "S 925-2026")</f>
        <v/>
      </c>
      <c r="AB83">
        <f>HYPERLINK("https://klasma.github.io/Logging_0821/klagomålsmail/S 925-2026 FSC-klagomål mail.docx", "S 925-2026")</f>
        <v/>
      </c>
      <c r="AC83">
        <f>HYPERLINK("https://klasma.github.io/Logging_0821/tillsyn/S 925-2026 tillsynsbegäran.docx", "S 925-2026")</f>
        <v/>
      </c>
      <c r="AD83">
        <f>HYPERLINK("https://klasma.github.io/Logging_0821/tillsynsmail/S 925-2026 tillsynsbegäran mail.docx", "S 925-2026")</f>
        <v/>
      </c>
    </row>
    <row r="84" ht="15" customHeight="1">
      <c r="A84" t="inlineStr">
        <is>
          <t>S 2659-2026</t>
        </is>
      </c>
      <c r="B84" t="inlineStr">
        <is>
          <t>samrådsanmälan</t>
        </is>
      </c>
      <c r="C84" t="inlineStr">
        <is>
          <t>Annan skogsbruksåtgärd</t>
        </is>
      </c>
      <c r="D84" s="1" t="n">
        <v>46307</v>
      </c>
      <c r="E84" s="1" t="n">
        <v>46323</v>
      </c>
      <c r="F84" t="inlineStr">
        <is>
          <t>KALMAR LÄN</t>
        </is>
      </c>
      <c r="G84" t="inlineStr">
        <is>
          <t>BORGHOLM</t>
        </is>
      </c>
      <c r="I84" t="n">
        <v>15.2</v>
      </c>
      <c r="J84" t="n">
        <v>4</v>
      </c>
      <c r="K84" t="n">
        <v>4</v>
      </c>
      <c r="L84" t="n">
        <v>3</v>
      </c>
      <c r="M84" t="n">
        <v>1</v>
      </c>
      <c r="N84" t="n">
        <v>2</v>
      </c>
      <c r="O84" t="n">
        <v>0</v>
      </c>
      <c r="P84" t="n">
        <v>0</v>
      </c>
      <c r="Q84" t="n">
        <v>6</v>
      </c>
      <c r="R84" t="n">
        <v>3</v>
      </c>
      <c r="S84" t="n">
        <v>13</v>
      </c>
      <c r="T84" t="n">
        <v>18</v>
      </c>
      <c r="U84" t="n">
        <v>0</v>
      </c>
      <c r="V84" s="2" t="inlineStr">
        <is>
          <t>Ask
Säckjordstjärna
Småvänderot
Svinrot
Ängsskära
Ängsstarr
Murgröna
Tvåblad
Underviol
Vätteros
Blåsippa
Fläcknycklar
Vanliga ängsnycklar</t>
        </is>
      </c>
      <c r="W84">
        <f>HYPERLINK("https://klasma.github.io/Logging_0885/artfynd/S 2659-2026 artfynd.xlsx", "S 2659-2026")</f>
        <v/>
      </c>
      <c r="X84">
        <f>HYPERLINK("https://klasma.github.io/Logging_0885/kartor/S 2659-2026 karta.png", "S 2659-2026")</f>
        <v/>
      </c>
      <c r="Y84">
        <f>HYPERLINK("https://klasma.github.io/Logging_0885/kartor_geotiff/S 2659-2026 georefererad karta.tif", "S 2659-2026")</f>
        <v/>
      </c>
      <c r="AA84">
        <f>HYPERLINK("https://klasma.github.io/Logging_0885/klagomål/S 2659-2026 FSC-klagomål.docx", "S 2659-2026")</f>
        <v/>
      </c>
      <c r="AB84">
        <f>HYPERLINK("https://klasma.github.io/Logging_0885/klagomålsmail/S 2659-2026 FSC-klagomål mail.docx", "S 2659-2026")</f>
        <v/>
      </c>
      <c r="AC84">
        <f>HYPERLINK("https://klasma.github.io/Logging_0885/tillsyn/S 2659-2026 tillsynsbegäran.docx", "S 2659-2026")</f>
        <v/>
      </c>
      <c r="AD84">
        <f>HYPERLINK("https://klasma.github.io/Logging_0885/tillsynsmail/S 2659-2026 tillsynsbegäran mail.docx", "S 2659-2026")</f>
        <v/>
      </c>
    </row>
    <row r="85" ht="15" customHeight="1">
      <c r="A85" t="inlineStr">
        <is>
          <t>A 63779-2021</t>
        </is>
      </c>
      <c r="B85" t="inlineStr">
        <is>
          <t>avverkningsanmälan</t>
        </is>
      </c>
      <c r="C85" t="inlineStr">
        <is>
          <t>Avverkning för annat ändamål</t>
        </is>
      </c>
      <c r="D85" s="1" t="n">
        <v>44508</v>
      </c>
      <c r="E85" s="1" t="n">
        <v>46323</v>
      </c>
      <c r="F85" t="inlineStr">
        <is>
          <t>KALMAR LÄN</t>
        </is>
      </c>
      <c r="G85" t="inlineStr">
        <is>
          <t>MÖRBYLÅNGA</t>
        </is>
      </c>
      <c r="I85" t="n">
        <v>5.1</v>
      </c>
      <c r="J85" t="n">
        <v>8</v>
      </c>
      <c r="K85" t="n">
        <v>2</v>
      </c>
      <c r="L85" t="n">
        <v>2</v>
      </c>
      <c r="M85" t="n">
        <v>0</v>
      </c>
      <c r="N85" t="n">
        <v>1</v>
      </c>
      <c r="O85" t="n">
        <v>0</v>
      </c>
      <c r="P85" t="n">
        <v>0</v>
      </c>
      <c r="Q85" t="n">
        <v>3</v>
      </c>
      <c r="R85" t="n">
        <v>1</v>
      </c>
      <c r="S85" t="n">
        <v>12</v>
      </c>
      <c r="T85" t="n">
        <v>16</v>
      </c>
      <c r="U85" t="n">
        <v>8</v>
      </c>
      <c r="V85" s="2" t="inlineStr">
        <is>
          <t>Skogsalm
Entita
Roststumpbagge
Kragjordstjärna
Scharlakansskål
Halsbandsflugsnappare
Havsörn
Kungsfågel
Röd glada
Skogsduva
Huggorm
Kopparödla</t>
        </is>
      </c>
      <c r="W85">
        <f>HYPERLINK("https://klasma.github.io/Logging_0840/artfynd/A 63779-2021 artfynd.xlsx", "A 63779-2021")</f>
        <v/>
      </c>
      <c r="X85">
        <f>HYPERLINK("https://klasma.github.io/Logging_0840/kartor/A 63779-2021 karta.png", "A 63779-2021")</f>
        <v/>
      </c>
      <c r="Y85">
        <f>HYPERLINK("https://klasma.github.io/Logging_0840/kartor_geotiff/A 63779-2021 georefererad karta.tif", "A 63779-2021")</f>
        <v/>
      </c>
      <c r="AA85">
        <f>HYPERLINK("https://klasma.github.io/Logging_0840/klagomål/A 63779-2021 FSC-klagomål.docx", "A 63779-2021")</f>
        <v/>
      </c>
      <c r="AB85">
        <f>HYPERLINK("https://klasma.github.io/Logging_0840/klagomålsmail/A 63779-2021 FSC-klagomål mail.docx", "A 63779-2021")</f>
        <v/>
      </c>
      <c r="AC85">
        <f>HYPERLINK("https://klasma.github.io/Logging_0840/tillsyn/A 63779-2021 tillsynsbegäran.docx", "A 63779-2021")</f>
        <v/>
      </c>
      <c r="AD85">
        <f>HYPERLINK("https://klasma.github.io/Logging_0840/tillsynsmail/A 63779-2021 tillsynsbegäran mail.docx", "A 63779-2021")</f>
        <v/>
      </c>
      <c r="AE85">
        <f>HYPERLINK("https://klasma.github.io/Logging_0840/fåglar/A 63779-2021 prioriterade fågelarter.docx", "A 63779-2021")</f>
        <v/>
      </c>
    </row>
    <row r="86" ht="15" customHeight="1">
      <c r="A86" t="inlineStr">
        <is>
          <t>A 25231-2023</t>
        </is>
      </c>
      <c r="B86" t="inlineStr">
        <is>
          <t>avverkningsanmälan</t>
        </is>
      </c>
      <c r="C86" t="inlineStr">
        <is>
          <t>Föryngringsavverkning</t>
        </is>
      </c>
      <c r="D86" s="1" t="n">
        <v>45086</v>
      </c>
      <c r="E86" s="1" t="n">
        <v>46323</v>
      </c>
      <c r="F86" t="inlineStr">
        <is>
          <t>KALMAR LÄN</t>
        </is>
      </c>
      <c r="G86" t="inlineStr">
        <is>
          <t>MÖNSTERÅS</t>
        </is>
      </c>
      <c r="I86" t="n">
        <v>6.4</v>
      </c>
      <c r="J86" t="n">
        <v>12</v>
      </c>
      <c r="K86" t="n">
        <v>0</v>
      </c>
      <c r="L86" t="n">
        <v>6</v>
      </c>
      <c r="M86" t="n">
        <v>0</v>
      </c>
      <c r="N86" t="n">
        <v>0</v>
      </c>
      <c r="O86" t="n">
        <v>0</v>
      </c>
      <c r="P86" t="n">
        <v>0</v>
      </c>
      <c r="Q86" t="n">
        <v>6</v>
      </c>
      <c r="R86" t="n">
        <v>0</v>
      </c>
      <c r="S86" t="n">
        <v>12</v>
      </c>
      <c r="T86" t="n">
        <v>17</v>
      </c>
      <c r="U86" t="n">
        <v>5</v>
      </c>
      <c r="V86" s="2" t="inlineStr">
        <is>
          <t>Barbastell
Brunlångöra
Dammfladdermus
Fransfladdermus
Nordfladdermus
Talltita
Dvärgpipistrell
Gråskimlig fladdermus
Hasselmus
Större brunfladdermus
Trollpipistrell
Vattenfladdermus</t>
        </is>
      </c>
      <c r="W86">
        <f>HYPERLINK("https://klasma.github.io/Logging_0861/artfynd/A 25231-2023 artfynd.xlsx", "A 25231-2023")</f>
        <v/>
      </c>
      <c r="X86">
        <f>HYPERLINK("https://klasma.github.io/Logging_0861/kartor/A 25231-2023 karta.png", "A 25231-2023")</f>
        <v/>
      </c>
      <c r="Y86">
        <f>HYPERLINK("https://klasma.github.io/Logging_0861/kartor_geotiff/A 25231-2023 georefererad karta.tif", "A 25231-2023")</f>
        <v/>
      </c>
      <c r="AA86">
        <f>HYPERLINK("https://klasma.github.io/Logging_0861/klagomål/A 25231-2023 FSC-klagomål.docx", "A 25231-2023")</f>
        <v/>
      </c>
      <c r="AB86">
        <f>HYPERLINK("https://klasma.github.io/Logging_0861/klagomålsmail/A 25231-2023 FSC-klagomål mail.docx", "A 25231-2023")</f>
        <v/>
      </c>
      <c r="AC86">
        <f>HYPERLINK("https://klasma.github.io/Logging_0861/tillsyn/A 25231-2023 tillsynsbegäran.docx", "A 25231-2023")</f>
        <v/>
      </c>
      <c r="AD86">
        <f>HYPERLINK("https://klasma.github.io/Logging_0861/tillsynsmail/A 25231-2023 tillsynsbegäran mail.docx", "A 25231-2023")</f>
        <v/>
      </c>
      <c r="AE86">
        <f>HYPERLINK("https://klasma.github.io/Logging_0861/fåglar/A 25231-2023 prioriterade fågelarter.docx", "A 25231-2023")</f>
        <v/>
      </c>
    </row>
    <row r="87" ht="15" customHeight="1">
      <c r="A87" t="inlineStr">
        <is>
          <t>A 21612-2026</t>
        </is>
      </c>
      <c r="B87" t="inlineStr">
        <is>
          <t>avverkningsanmälan</t>
        </is>
      </c>
      <c r="C87" t="inlineStr">
        <is>
          <t>Föryngringsavverkning</t>
        </is>
      </c>
      <c r="D87" s="1" t="n">
        <v>46149</v>
      </c>
      <c r="E87" s="1" t="n">
        <v>46323</v>
      </c>
      <c r="F87" t="inlineStr">
        <is>
          <t>KALMAR LÄN</t>
        </is>
      </c>
      <c r="G87" t="inlineStr">
        <is>
          <t>OSKARSHAMN</t>
        </is>
      </c>
      <c r="I87" t="n">
        <v>10</v>
      </c>
      <c r="J87" t="n">
        <v>6</v>
      </c>
      <c r="K87" t="n">
        <v>2</v>
      </c>
      <c r="L87" t="n">
        <v>5</v>
      </c>
      <c r="M87" t="n">
        <v>0</v>
      </c>
      <c r="N87" t="n">
        <v>0</v>
      </c>
      <c r="O87" t="n">
        <v>0</v>
      </c>
      <c r="P87" t="n">
        <v>0</v>
      </c>
      <c r="Q87" t="n">
        <v>5</v>
      </c>
      <c r="R87" t="n">
        <v>0</v>
      </c>
      <c r="S87" t="n">
        <v>12</v>
      </c>
      <c r="T87" t="n">
        <v>43</v>
      </c>
      <c r="U87" t="n">
        <v>43</v>
      </c>
      <c r="V87" s="2" t="inlineStr">
        <is>
          <t>Dropptaggsvamp
Dvärgbägarlav
Tallticka
Talltita
Vedskivlav
Blåmossa
Grovticka
Spillkråka
Tjäder
Tofsmes
Havsörn
Skogsödla</t>
        </is>
      </c>
      <c r="W87">
        <f>HYPERLINK("https://klasma.github.io/Logging_0882/artfynd/A 21612-2026 artfynd.xlsx", "A 21612-2026")</f>
        <v/>
      </c>
      <c r="X87">
        <f>HYPERLINK("https://klasma.github.io/Logging_0882/kartor/A 21612-2026 karta.png", "A 21612-2026")</f>
        <v/>
      </c>
      <c r="Y87">
        <f>HYPERLINK("https://klasma.github.io/Logging_0882/kartor_geotiff/A 21612-2026 georefererad karta.tif", "A 21612-2026")</f>
        <v/>
      </c>
      <c r="AA87">
        <f>HYPERLINK("https://klasma.github.io/Logging_0882/klagomål/A 21612-2026 FSC-klagomål.docx", "A 21612-2026")</f>
        <v/>
      </c>
      <c r="AB87">
        <f>HYPERLINK("https://klasma.github.io/Logging_0882/klagomålsmail/A 21612-2026 FSC-klagomål mail.docx", "A 21612-2026")</f>
        <v/>
      </c>
      <c r="AC87">
        <f>HYPERLINK("https://klasma.github.io/Logging_0882/tillsyn/A 21612-2026 tillsynsbegäran.docx", "A 21612-2026")</f>
        <v/>
      </c>
      <c r="AD87">
        <f>HYPERLINK("https://klasma.github.io/Logging_0882/tillsynsmail/A 21612-2026 tillsynsbegäran mail.docx", "A 21612-2026")</f>
        <v/>
      </c>
      <c r="AE87">
        <f>HYPERLINK("https://klasma.github.io/Logging_0882/fåglar/A 21612-2026 prioriterade fågelarter.docx", "A 21612-2026")</f>
        <v/>
      </c>
    </row>
    <row r="88" ht="15" customHeight="1">
      <c r="A88" t="inlineStr">
        <is>
          <t>A 23021-2025</t>
        </is>
      </c>
      <c r="B88" t="inlineStr">
        <is>
          <t>avverkningsanmälan</t>
        </is>
      </c>
      <c r="C88" t="inlineStr">
        <is>
          <t>Föryngringsavverkning</t>
        </is>
      </c>
      <c r="D88" s="1" t="n">
        <v>45790</v>
      </c>
      <c r="E88" s="1" t="n">
        <v>46323</v>
      </c>
      <c r="F88" t="inlineStr">
        <is>
          <t>KALMAR LÄN</t>
        </is>
      </c>
      <c r="G88" t="inlineStr">
        <is>
          <t>VÄSTERVIK</t>
        </is>
      </c>
      <c r="I88" t="n">
        <v>5</v>
      </c>
      <c r="J88" t="n">
        <v>6</v>
      </c>
      <c r="K88" t="n">
        <v>1</v>
      </c>
      <c r="L88" t="n">
        <v>8</v>
      </c>
      <c r="M88" t="n">
        <v>1</v>
      </c>
      <c r="N88" t="n">
        <v>0</v>
      </c>
      <c r="O88" t="n">
        <v>0</v>
      </c>
      <c r="P88" t="n">
        <v>0</v>
      </c>
      <c r="Q88" t="n">
        <v>9</v>
      </c>
      <c r="R88" t="n">
        <v>1</v>
      </c>
      <c r="S88" t="n">
        <v>12</v>
      </c>
      <c r="T88" t="n">
        <v>28</v>
      </c>
      <c r="U88" t="n">
        <v>28</v>
      </c>
      <c r="V88" s="2" t="inlineStr">
        <is>
          <t>Stare
Entita
Grönsångare
Kandelabersvamp
Koralltaggsvamp
Mindre hackspett
Tallticka
Vintertagging
Vågticka
Mandelriska
Spillkråka
Skogsduva</t>
        </is>
      </c>
      <c r="W88">
        <f>HYPERLINK("https://klasma.github.io/Logging_0883/artfynd/A 23021-2025 artfynd.xlsx", "A 23021-2025")</f>
        <v/>
      </c>
      <c r="X88">
        <f>HYPERLINK("https://klasma.github.io/Logging_0883/kartor/A 23021-2025 karta.png", "A 23021-2025")</f>
        <v/>
      </c>
      <c r="Y88">
        <f>HYPERLINK("https://klasma.github.io/Logging_0883/kartor_geotiff/A 23021-2025 georefererad karta.tif", "A 23021-2025")</f>
        <v/>
      </c>
      <c r="AA88">
        <f>HYPERLINK("https://klasma.github.io/Logging_0883/klagomål/A 23021-2025 FSC-klagomål.docx", "A 23021-2025")</f>
        <v/>
      </c>
      <c r="AB88">
        <f>HYPERLINK("https://klasma.github.io/Logging_0883/klagomålsmail/A 23021-2025 FSC-klagomål mail.docx", "A 23021-2025")</f>
        <v/>
      </c>
      <c r="AC88">
        <f>HYPERLINK("https://klasma.github.io/Logging_0883/tillsyn/A 23021-2025 tillsynsbegäran.docx", "A 23021-2025")</f>
        <v/>
      </c>
      <c r="AD88">
        <f>HYPERLINK("https://klasma.github.io/Logging_0883/tillsynsmail/A 23021-2025 tillsynsbegäran mail.docx", "A 23021-2025")</f>
        <v/>
      </c>
      <c r="AE88">
        <f>HYPERLINK("https://klasma.github.io/Logging_0883/fåglar/A 23021-2025 prioriterade fågelarter.docx", "A 23021-2025")</f>
        <v/>
      </c>
    </row>
    <row r="89" ht="15" customHeight="1">
      <c r="A89" t="inlineStr">
        <is>
          <t>A 16996-2025</t>
        </is>
      </c>
      <c r="B89" t="inlineStr">
        <is>
          <t>avverkningsanmälan</t>
        </is>
      </c>
      <c r="C89" t="inlineStr">
        <is>
          <t>Föryngringsavverkning</t>
        </is>
      </c>
      <c r="D89" s="1" t="n">
        <v>45755</v>
      </c>
      <c r="E89" s="1" t="n">
        <v>46323</v>
      </c>
      <c r="F89" t="inlineStr">
        <is>
          <t>KALMAR LÄN</t>
        </is>
      </c>
      <c r="G89" t="inlineStr">
        <is>
          <t>VÄSTERVIK</t>
        </is>
      </c>
      <c r="I89" t="n">
        <v>2.1</v>
      </c>
      <c r="J89" t="n">
        <v>3</v>
      </c>
      <c r="K89" t="n">
        <v>7</v>
      </c>
      <c r="L89" t="n">
        <v>3</v>
      </c>
      <c r="M89" t="n">
        <v>1</v>
      </c>
      <c r="N89" t="n">
        <v>0</v>
      </c>
      <c r="O89" t="n">
        <v>0</v>
      </c>
      <c r="P89" t="n">
        <v>0</v>
      </c>
      <c r="Q89" t="n">
        <v>4</v>
      </c>
      <c r="R89" t="n">
        <v>1</v>
      </c>
      <c r="S89" t="n">
        <v>12</v>
      </c>
      <c r="T89" t="n">
        <v>21</v>
      </c>
      <c r="U89" t="n">
        <v>7</v>
      </c>
      <c r="V89" s="2" t="inlineStr">
        <is>
          <t>Knärot
Tallticka
Vedskivlav
Vippärt
Blomkålssvamp
Fällmossa
Grön sköldmossa
Grönpyrola
Guldlockmossa
Platt fjädermossa
Trädporella
Blåsippa</t>
        </is>
      </c>
      <c r="W89">
        <f>HYPERLINK("https://klasma.github.io/Logging_0883/artfynd/A 16996-2025 artfynd.xlsx", "A 16996-2025")</f>
        <v/>
      </c>
      <c r="X89">
        <f>HYPERLINK("https://klasma.github.io/Logging_0883/kartor/A 16996-2025 karta.png", "A 16996-2025")</f>
        <v/>
      </c>
      <c r="Y89">
        <f>HYPERLINK("https://klasma.github.io/Logging_0883/kartor_geotiff/A 16996-2025 georefererad karta.tif", "A 16996-2025")</f>
        <v/>
      </c>
      <c r="Z89">
        <f>HYPERLINK("https://klasma.github.io/Logging_0883/knärot/A 16996-2025 karta knärot.png", "A 16996-2025")</f>
        <v/>
      </c>
      <c r="AA89">
        <f>HYPERLINK("https://klasma.github.io/Logging_0883/klagomål/A 16996-2025 FSC-klagomål.docx", "A 16996-2025")</f>
        <v/>
      </c>
      <c r="AB89">
        <f>HYPERLINK("https://klasma.github.io/Logging_0883/klagomålsmail/A 16996-2025 FSC-klagomål mail.docx", "A 16996-2025")</f>
        <v/>
      </c>
      <c r="AC89">
        <f>HYPERLINK("https://klasma.github.io/Logging_0883/tillsyn/A 16996-2025 tillsynsbegäran.docx", "A 16996-2025")</f>
        <v/>
      </c>
      <c r="AD89">
        <f>HYPERLINK("https://klasma.github.io/Logging_0883/tillsynsmail/A 16996-2025 tillsynsbegäran mail.docx", "A 16996-2025")</f>
        <v/>
      </c>
    </row>
    <row r="90" ht="15" customHeight="1">
      <c r="A90" t="inlineStr">
        <is>
          <t>A 27737-2024</t>
        </is>
      </c>
      <c r="B90" t="inlineStr">
        <is>
          <t>avverkningsanmälan</t>
        </is>
      </c>
      <c r="C90" t="inlineStr">
        <is>
          <t>Föryngringsavverkning</t>
        </is>
      </c>
      <c r="D90" s="1" t="n">
        <v>45475</v>
      </c>
      <c r="E90" s="1" t="n">
        <v>46323</v>
      </c>
      <c r="F90" t="inlineStr">
        <is>
          <t>KALMAR LÄN</t>
        </is>
      </c>
      <c r="G90" t="inlineStr">
        <is>
          <t>VÄSTERVIK</t>
        </is>
      </c>
      <c r="H90" t="inlineStr">
        <is>
          <t>Holmen skog AB</t>
        </is>
      </c>
      <c r="I90" t="n">
        <v>2.7</v>
      </c>
      <c r="J90" t="n">
        <v>7</v>
      </c>
      <c r="K90" t="n">
        <v>2</v>
      </c>
      <c r="L90" t="n">
        <v>5</v>
      </c>
      <c r="M90" t="n">
        <v>0</v>
      </c>
      <c r="N90" t="n">
        <v>0</v>
      </c>
      <c r="O90" t="n">
        <v>0</v>
      </c>
      <c r="P90" t="n">
        <v>0</v>
      </c>
      <c r="Q90" t="n">
        <v>5</v>
      </c>
      <c r="R90" t="n">
        <v>0</v>
      </c>
      <c r="S90" t="n">
        <v>12</v>
      </c>
      <c r="T90" t="n">
        <v>19</v>
      </c>
      <c r="U90" t="n">
        <v>17</v>
      </c>
      <c r="V90" s="2" t="inlineStr">
        <is>
          <t>Ekticka
Mindre hackspett
Oxtungssvamp
Talltita
Ullticka
Grön sköldmossa
Rostfläck
Blåsippa
Kransmossa
Mattlummer
Spillkråka
Tofsmes</t>
        </is>
      </c>
      <c r="W90">
        <f>HYPERLINK("https://klasma.github.io/Logging_0883/artfynd/A 27737-2024 artfynd.xlsx", "A 27737-2024")</f>
        <v/>
      </c>
      <c r="X90">
        <f>HYPERLINK("https://klasma.github.io/Logging_0883/kartor/A 27737-2024 karta.png", "A 27737-2024")</f>
        <v/>
      </c>
      <c r="Y90">
        <f>HYPERLINK("https://klasma.github.io/Logging_0883/kartor_geotiff/A 27737-2024 georefererad karta.tif", "A 27737-2024")</f>
        <v/>
      </c>
      <c r="AA90">
        <f>HYPERLINK("https://klasma.github.io/Logging_0883/klagomål/A 27737-2024 FSC-klagomål.docx", "A 27737-2024")</f>
        <v/>
      </c>
      <c r="AB90">
        <f>HYPERLINK("https://klasma.github.io/Logging_0883/klagomålsmail/A 27737-2024 FSC-klagomål mail.docx", "A 27737-2024")</f>
        <v/>
      </c>
      <c r="AC90">
        <f>HYPERLINK("https://klasma.github.io/Logging_0883/tillsyn/A 27737-2024 tillsynsbegäran.docx", "A 27737-2024")</f>
        <v/>
      </c>
      <c r="AD90">
        <f>HYPERLINK("https://klasma.github.io/Logging_0883/tillsynsmail/A 27737-2024 tillsynsbegäran mail.docx", "A 27737-2024")</f>
        <v/>
      </c>
      <c r="AE90">
        <f>HYPERLINK("https://klasma.github.io/Logging_0883/fåglar/A 27737-2024 prioriterade fågelarter.docx", "A 27737-2024")</f>
        <v/>
      </c>
    </row>
    <row r="91" ht="15" customHeight="1">
      <c r="A91" t="inlineStr">
        <is>
          <t>S 797-2020</t>
        </is>
      </c>
      <c r="B91" t="inlineStr">
        <is>
          <t>samrådsanmälan</t>
        </is>
      </c>
      <c r="C91" t="inlineStr">
        <is>
          <t>Åtgärd i nyckelbiotop</t>
        </is>
      </c>
      <c r="D91" s="1" t="n">
        <v>43929</v>
      </c>
      <c r="E91" s="1" t="n">
        <v>46323</v>
      </c>
      <c r="F91" t="inlineStr">
        <is>
          <t>KALMAR LÄN</t>
        </is>
      </c>
      <c r="G91" t="inlineStr">
        <is>
          <t>NYBRO</t>
        </is>
      </c>
      <c r="I91" t="n">
        <v>1.2</v>
      </c>
      <c r="J91" t="n">
        <v>0</v>
      </c>
      <c r="K91" t="n">
        <v>8</v>
      </c>
      <c r="L91" t="n">
        <v>2</v>
      </c>
      <c r="M91" t="n">
        <v>2</v>
      </c>
      <c r="N91" t="n">
        <v>0</v>
      </c>
      <c r="O91" t="n">
        <v>0</v>
      </c>
      <c r="P91" t="n">
        <v>0</v>
      </c>
      <c r="Q91" t="n">
        <v>4</v>
      </c>
      <c r="R91" t="n">
        <v>2</v>
      </c>
      <c r="S91" t="n">
        <v>12</v>
      </c>
      <c r="T91" t="n">
        <v>19</v>
      </c>
      <c r="U91" t="n">
        <v>19</v>
      </c>
      <c r="V91" s="2" t="inlineStr">
        <is>
          <t>Gulvit blekspik
Klosterlav
Grynig filtlav
Stjärnnästing
Fällmossa
Guldlockmossa
Platt fjädermossa
Rostfläck
Sotlav
Traslav
Trubbfjädermossa
Trädporella</t>
        </is>
      </c>
      <c r="W91">
        <f>HYPERLINK("https://klasma.github.io/Logging_0881/artfynd/S 797-2020 artfynd.xlsx", "S 797-2020")</f>
        <v/>
      </c>
      <c r="X91">
        <f>HYPERLINK("https://klasma.github.io/Logging_0881/kartor/S 797-2020 karta.png", "S 797-2020")</f>
        <v/>
      </c>
      <c r="Y91">
        <f>HYPERLINK("https://klasma.github.io/Logging_0881/kartor_geotiff/S 797-2020 georefererad karta.tif", "S 797-2020")</f>
        <v/>
      </c>
      <c r="AA91">
        <f>HYPERLINK("https://klasma.github.io/Logging_0881/klagomål/S 797-2020 FSC-klagomål.docx", "S 797-2020")</f>
        <v/>
      </c>
      <c r="AB91">
        <f>HYPERLINK("https://klasma.github.io/Logging_0881/klagomålsmail/S 797-2020 FSC-klagomål mail.docx", "S 797-2020")</f>
        <v/>
      </c>
      <c r="AC91">
        <f>HYPERLINK("https://klasma.github.io/Logging_0881/tillsyn/S 797-2020 tillsynsbegäran.docx", "S 797-2020")</f>
        <v/>
      </c>
      <c r="AD91">
        <f>HYPERLINK("https://klasma.github.io/Logging_0881/tillsynsmail/S 797-2020 tillsynsbegäran mail.docx", "S 797-2020")</f>
        <v/>
      </c>
    </row>
    <row r="92" ht="15" customHeight="1">
      <c r="A92" t="inlineStr">
        <is>
          <t>S 2590-2020</t>
        </is>
      </c>
      <c r="B92" t="inlineStr">
        <is>
          <t>samrådsanmälan</t>
        </is>
      </c>
      <c r="C92" t="inlineStr">
        <is>
          <t>Åtgärd i nyckelbiotop</t>
        </is>
      </c>
      <c r="D92" s="1" t="n">
        <v>44165</v>
      </c>
      <c r="E92" s="1" t="n">
        <v>46323</v>
      </c>
      <c r="F92" t="inlineStr">
        <is>
          <t>KALMAR LÄN</t>
        </is>
      </c>
      <c r="G92" t="inlineStr">
        <is>
          <t>OSKARSHAMN</t>
        </is>
      </c>
      <c r="I92" t="n">
        <v>0.7</v>
      </c>
      <c r="J92" t="n">
        <v>1</v>
      </c>
      <c r="K92" t="n">
        <v>3</v>
      </c>
      <c r="L92" t="n">
        <v>8</v>
      </c>
      <c r="M92" t="n">
        <v>1</v>
      </c>
      <c r="N92" t="n">
        <v>0</v>
      </c>
      <c r="O92" t="n">
        <v>0</v>
      </c>
      <c r="P92" t="n">
        <v>0</v>
      </c>
      <c r="Q92" t="n">
        <v>9</v>
      </c>
      <c r="R92" t="n">
        <v>1</v>
      </c>
      <c r="S92" t="n">
        <v>12</v>
      </c>
      <c r="T92" t="n">
        <v>61</v>
      </c>
      <c r="U92" t="n">
        <v>21</v>
      </c>
      <c r="V92" s="2" t="inlineStr">
        <is>
          <t>Läderbagge
Gammelekslav
Gul dropplav
Lunglav
Parknål
Rosa skärelav
Rödbrun blekspik
Skuggorangelav
Tallticka
Fällmossa
Gulnål
Gulpudrad spiklav</t>
        </is>
      </c>
      <c r="W92">
        <f>HYPERLINK("https://klasma.github.io/Logging_0882/artfynd/S 2590-2020 artfynd.xlsx", "S 2590-2020")</f>
        <v/>
      </c>
      <c r="X92">
        <f>HYPERLINK("https://klasma.github.io/Logging_0882/kartor/S 2590-2020 karta.png", "S 2590-2020")</f>
        <v/>
      </c>
      <c r="Y92">
        <f>HYPERLINK("https://klasma.github.io/Logging_0882/kartor_geotiff/S 2590-2020 georefererad karta.tif", "S 2590-2020")</f>
        <v/>
      </c>
      <c r="AA92">
        <f>HYPERLINK("https://klasma.github.io/Logging_0882/klagomål/S 2590-2020 FSC-klagomål.docx", "S 2590-2020")</f>
        <v/>
      </c>
      <c r="AB92">
        <f>HYPERLINK("https://klasma.github.io/Logging_0882/klagomålsmail/S 2590-2020 FSC-klagomål mail.docx", "S 2590-2020")</f>
        <v/>
      </c>
      <c r="AC92">
        <f>HYPERLINK("https://klasma.github.io/Logging_0882/tillsyn/S 2590-2020 tillsynsbegäran.docx", "S 2590-2020")</f>
        <v/>
      </c>
      <c r="AD92">
        <f>HYPERLINK("https://klasma.github.io/Logging_0882/tillsynsmail/S 2590-2020 tillsynsbegäran mail.docx", "S 2590-2020")</f>
        <v/>
      </c>
    </row>
    <row r="93" ht="15" customHeight="1">
      <c r="A93" t="inlineStr">
        <is>
          <t>S 4708-2022</t>
        </is>
      </c>
      <c r="B93" t="inlineStr">
        <is>
          <t>samrådsanmälan</t>
        </is>
      </c>
      <c r="C93" t="inlineStr">
        <is>
          <t>Åtgärd i nyckelbiotop</t>
        </is>
      </c>
      <c r="D93" s="1" t="n">
        <v>44798</v>
      </c>
      <c r="E93" s="1" t="n">
        <v>46323</v>
      </c>
      <c r="F93" t="inlineStr">
        <is>
          <t>KALMAR LÄN</t>
        </is>
      </c>
      <c r="G93" t="inlineStr">
        <is>
          <t>OSKARSHAMN</t>
        </is>
      </c>
      <c r="I93" t="n">
        <v>3</v>
      </c>
      <c r="J93" t="n">
        <v>2</v>
      </c>
      <c r="K93" t="n">
        <v>6</v>
      </c>
      <c r="L93" t="n">
        <v>3</v>
      </c>
      <c r="M93" t="n">
        <v>0</v>
      </c>
      <c r="N93" t="n">
        <v>1</v>
      </c>
      <c r="O93" t="n">
        <v>0</v>
      </c>
      <c r="P93" t="n">
        <v>0</v>
      </c>
      <c r="Q93" t="n">
        <v>4</v>
      </c>
      <c r="R93" t="n">
        <v>1</v>
      </c>
      <c r="S93" t="n">
        <v>12</v>
      </c>
      <c r="T93" t="n">
        <v>37</v>
      </c>
      <c r="U93" t="n">
        <v>30</v>
      </c>
      <c r="V93" s="2" t="inlineStr">
        <is>
          <t>Ask
Lönnvedvivel
Scharlakansvaxing
Tvåtandad plattbagge
Fällmossa
Guldlockmossa
Myskmadra
Rostfläck
Tvåfläckig praktbagge
Ängsvaxing agg.
Blåsippa
Gullviva</t>
        </is>
      </c>
      <c r="W93">
        <f>HYPERLINK("https://klasma.github.io/Logging_0882/artfynd/S 4708-2022 artfynd.xlsx", "S 4708-2022")</f>
        <v/>
      </c>
      <c r="X93">
        <f>HYPERLINK("https://klasma.github.io/Logging_0882/kartor/S 4708-2022 karta.png", "S 4708-2022")</f>
        <v/>
      </c>
      <c r="Y93">
        <f>HYPERLINK("https://klasma.github.io/Logging_0882/kartor_geotiff/S 4708-2022 georefererad karta.tif", "S 4708-2022")</f>
        <v/>
      </c>
      <c r="AA93">
        <f>HYPERLINK("https://klasma.github.io/Logging_0882/klagomål/S 4708-2022 FSC-klagomål.docx", "S 4708-2022")</f>
        <v/>
      </c>
      <c r="AB93">
        <f>HYPERLINK("https://klasma.github.io/Logging_0882/klagomålsmail/S 4708-2022 FSC-klagomål mail.docx", "S 4708-2022")</f>
        <v/>
      </c>
      <c r="AC93">
        <f>HYPERLINK("https://klasma.github.io/Logging_0882/tillsyn/S 4708-2022 tillsynsbegäran.docx", "S 4708-2022")</f>
        <v/>
      </c>
      <c r="AD93">
        <f>HYPERLINK("https://klasma.github.io/Logging_0882/tillsynsmail/S 4708-2022 tillsynsbegäran mail.docx", "S 4708-2022")</f>
        <v/>
      </c>
    </row>
    <row r="94" ht="15" customHeight="1">
      <c r="A94" t="inlineStr">
        <is>
          <t>S 4436-2023</t>
        </is>
      </c>
      <c r="B94" t="inlineStr">
        <is>
          <t>samrådsanmälan</t>
        </is>
      </c>
      <c r="C94" t="inlineStr">
        <is>
          <t>Annan skogsbruksåtgärd</t>
        </is>
      </c>
      <c r="D94" s="1" t="n">
        <v>45267</v>
      </c>
      <c r="E94" s="1" t="n">
        <v>46323</v>
      </c>
      <c r="F94" t="inlineStr">
        <is>
          <t>KALMAR LÄN</t>
        </is>
      </c>
      <c r="G94" t="inlineStr">
        <is>
          <t>VÄSTERVIK</t>
        </is>
      </c>
      <c r="I94" t="n">
        <v>7.9</v>
      </c>
      <c r="J94" t="n">
        <v>1</v>
      </c>
      <c r="K94" t="n">
        <v>6</v>
      </c>
      <c r="L94" t="n">
        <v>4</v>
      </c>
      <c r="M94" t="n">
        <v>1</v>
      </c>
      <c r="N94" t="n">
        <v>0</v>
      </c>
      <c r="O94" t="n">
        <v>0</v>
      </c>
      <c r="P94" t="n">
        <v>0</v>
      </c>
      <c r="Q94" t="n">
        <v>5</v>
      </c>
      <c r="R94" t="n">
        <v>1</v>
      </c>
      <c r="S94" t="n">
        <v>12</v>
      </c>
      <c r="T94" t="n">
        <v>14</v>
      </c>
      <c r="U94" t="n">
        <v>0</v>
      </c>
      <c r="V94" s="2" t="inlineStr">
        <is>
          <t>Västlig njurlav
Grynig filtlav
Lunglav
Skumticka
Vårärt
Blomskägglav
Fällmossa
Guldlockmossa
Scytinium lichenoides s.lat.
Slanklav
Trädporella
Blåsippa</t>
        </is>
      </c>
      <c r="W94">
        <f>HYPERLINK("https://klasma.github.io/Logging_0883/artfynd/S 4436-2023 artfynd.xlsx", "S 4436-2023")</f>
        <v/>
      </c>
      <c r="X94">
        <f>HYPERLINK("https://klasma.github.io/Logging_0883/kartor/S 4436-2023 karta.png", "S 4436-2023")</f>
        <v/>
      </c>
      <c r="Y94">
        <f>HYPERLINK("https://klasma.github.io/Logging_0883/kartor_geotiff/S 4436-2023 georefererad karta.tif", "S 4436-2023")</f>
        <v/>
      </c>
      <c r="AA94">
        <f>HYPERLINK("https://klasma.github.io/Logging_0883/klagomål/S 4436-2023 FSC-klagomål.docx", "S 4436-2023")</f>
        <v/>
      </c>
      <c r="AB94">
        <f>HYPERLINK("https://klasma.github.io/Logging_0883/klagomålsmail/S 4436-2023 FSC-klagomål mail.docx", "S 4436-2023")</f>
        <v/>
      </c>
      <c r="AC94">
        <f>HYPERLINK("https://klasma.github.io/Logging_0883/tillsyn/S 4436-2023 tillsynsbegäran.docx", "S 4436-2023")</f>
        <v/>
      </c>
      <c r="AD94">
        <f>HYPERLINK("https://klasma.github.io/Logging_0883/tillsynsmail/S 4436-2023 tillsynsbegäran mail.docx", "S 4436-2023")</f>
        <v/>
      </c>
    </row>
    <row r="95" ht="15" customHeight="1">
      <c r="A95" t="inlineStr">
        <is>
          <t>S 2210-2023</t>
        </is>
      </c>
      <c r="B95" t="inlineStr">
        <is>
          <t>samrådsanmälan</t>
        </is>
      </c>
      <c r="C95" t="inlineStr">
        <is>
          <t>Annan skogsbruksåtgärd</t>
        </is>
      </c>
      <c r="D95" s="1" t="n">
        <v>45099</v>
      </c>
      <c r="E95" s="1" t="n">
        <v>46323</v>
      </c>
      <c r="F95" t="inlineStr">
        <is>
          <t>KALMAR LÄN</t>
        </is>
      </c>
      <c r="G95" t="inlineStr">
        <is>
          <t>NYBRO</t>
        </is>
      </c>
      <c r="I95" t="n">
        <v>6</v>
      </c>
      <c r="J95" t="n">
        <v>0</v>
      </c>
      <c r="K95" t="n">
        <v>8</v>
      </c>
      <c r="L95" t="n">
        <v>0</v>
      </c>
      <c r="M95" t="n">
        <v>3</v>
      </c>
      <c r="N95" t="n">
        <v>1</v>
      </c>
      <c r="O95" t="n">
        <v>0</v>
      </c>
      <c r="P95" t="n">
        <v>0</v>
      </c>
      <c r="Q95" t="n">
        <v>4</v>
      </c>
      <c r="R95" t="n">
        <v>4</v>
      </c>
      <c r="S95" t="n">
        <v>12</v>
      </c>
      <c r="T95" t="n">
        <v>15</v>
      </c>
      <c r="U95" t="n">
        <v>0</v>
      </c>
      <c r="V95" s="2" t="inlineStr">
        <is>
          <t>Skogsalm
Gulvit blekspik
Klosterlav
Småländsk rufsfibbla
Dvärgtufs
Fällmossa
Kornig nållav
Platt fjädermossa
Rostfläck
Traslav
Trubbfjädermossa
Trädporella</t>
        </is>
      </c>
      <c r="W95">
        <f>HYPERLINK("https://klasma.github.io/Logging_0881/artfynd/S 2210-2023 artfynd.xlsx", "S 2210-2023")</f>
        <v/>
      </c>
      <c r="X95">
        <f>HYPERLINK("https://klasma.github.io/Logging_0881/kartor/S 2210-2023 karta.png", "S 2210-2023")</f>
        <v/>
      </c>
      <c r="Y95">
        <f>HYPERLINK("https://klasma.github.io/Logging_0881/kartor_geotiff/S 2210-2023 georefererad karta.tif", "S 2210-2023")</f>
        <v/>
      </c>
      <c r="AA95">
        <f>HYPERLINK("https://klasma.github.io/Logging_0881/klagomål/S 2210-2023 FSC-klagomål.docx", "S 2210-2023")</f>
        <v/>
      </c>
      <c r="AB95">
        <f>HYPERLINK("https://klasma.github.io/Logging_0881/klagomålsmail/S 2210-2023 FSC-klagomål mail.docx", "S 2210-2023")</f>
        <v/>
      </c>
      <c r="AC95">
        <f>HYPERLINK("https://klasma.github.io/Logging_0881/tillsyn/S 2210-2023 tillsynsbegäran.docx", "S 2210-2023")</f>
        <v/>
      </c>
      <c r="AD95">
        <f>HYPERLINK("https://klasma.github.io/Logging_0881/tillsynsmail/S 2210-2023 tillsynsbegäran mail.docx", "S 2210-2023")</f>
        <v/>
      </c>
    </row>
    <row r="96" ht="15" customHeight="1">
      <c r="A96" t="inlineStr">
        <is>
          <t>S 3727-2023</t>
        </is>
      </c>
      <c r="B96" t="inlineStr">
        <is>
          <t>samrådsanmälan</t>
        </is>
      </c>
      <c r="C96" t="inlineStr">
        <is>
          <t>Annan skogsbruksåtgärd</t>
        </is>
      </c>
      <c r="D96" s="1" t="n">
        <v>45222</v>
      </c>
      <c r="E96" s="1" t="n">
        <v>46323</v>
      </c>
      <c r="F96" t="inlineStr">
        <is>
          <t>KALMAR LÄN</t>
        </is>
      </c>
      <c r="G96" t="inlineStr">
        <is>
          <t>MÖNSTERÅS</t>
        </is>
      </c>
      <c r="H96" t="inlineStr">
        <is>
          <t>Övriga Aktiebolag</t>
        </is>
      </c>
      <c r="I96" t="n">
        <v>25.6</v>
      </c>
      <c r="J96" t="n">
        <v>0</v>
      </c>
      <c r="K96" t="n">
        <v>4</v>
      </c>
      <c r="L96" t="n">
        <v>7</v>
      </c>
      <c r="M96" t="n">
        <v>0</v>
      </c>
      <c r="N96" t="n">
        <v>1</v>
      </c>
      <c r="O96" t="n">
        <v>0</v>
      </c>
      <c r="P96" t="n">
        <v>0</v>
      </c>
      <c r="Q96" t="n">
        <v>8</v>
      </c>
      <c r="R96" t="n">
        <v>1</v>
      </c>
      <c r="S96" t="n">
        <v>12</v>
      </c>
      <c r="T96" t="n">
        <v>42</v>
      </c>
      <c r="U96" t="n">
        <v>0</v>
      </c>
      <c r="V96" s="2" t="inlineStr">
        <is>
          <t>Ask
Ekticka
Gammelekslav
Kandelabersvamp
Parknål
Puderfläck
Rutskinn
Skuggorangelav
Ekskinn
Gulpudrad spiklav
Rävticka
Sotlav</t>
        </is>
      </c>
      <c r="W96">
        <f>HYPERLINK("https://klasma.github.io/Logging_0861/artfynd/S 3727-2023 artfynd.xlsx", "S 3727-2023")</f>
        <v/>
      </c>
      <c r="X96">
        <f>HYPERLINK("https://klasma.github.io/Logging_0861/kartor/S 3727-2023 karta.png", "S 3727-2023")</f>
        <v/>
      </c>
      <c r="Y96">
        <f>HYPERLINK("https://klasma.github.io/Logging_0861/kartor_geotiff/S 3727-2023 georefererad karta.tif", "S 3727-2023")</f>
        <v/>
      </c>
      <c r="AA96">
        <f>HYPERLINK("https://klasma.github.io/Logging_0861/klagomål/S 3727-2023 FSC-klagomål.docx", "S 3727-2023")</f>
        <v/>
      </c>
      <c r="AB96">
        <f>HYPERLINK("https://klasma.github.io/Logging_0861/klagomålsmail/S 3727-2023 FSC-klagomål mail.docx", "S 3727-2023")</f>
        <v/>
      </c>
      <c r="AC96">
        <f>HYPERLINK("https://klasma.github.io/Logging_0861/tillsyn/S 3727-2023 tillsynsbegäran.docx", "S 3727-2023")</f>
        <v/>
      </c>
      <c r="AD96">
        <f>HYPERLINK("https://klasma.github.io/Logging_0861/tillsynsmail/S 3727-2023 tillsynsbegäran mail.docx", "S 3727-2023")</f>
        <v/>
      </c>
    </row>
    <row r="97" ht="15" customHeight="1">
      <c r="A97" t="inlineStr">
        <is>
          <t>S 298-2026</t>
        </is>
      </c>
      <c r="B97" t="inlineStr">
        <is>
          <t>samrådsanmälan</t>
        </is>
      </c>
      <c r="C97" t="inlineStr">
        <is>
          <t>Askåterföring</t>
        </is>
      </c>
      <c r="D97" s="1" t="n">
        <v>46058</v>
      </c>
      <c r="E97" s="1" t="n">
        <v>46323</v>
      </c>
      <c r="F97" t="inlineStr">
        <is>
          <t>KALMAR LÄN</t>
        </is>
      </c>
      <c r="G97" t="inlineStr">
        <is>
          <t>KALMAR</t>
        </is>
      </c>
      <c r="I97" t="n">
        <v>83.3</v>
      </c>
      <c r="J97" t="n">
        <v>6</v>
      </c>
      <c r="K97" t="n">
        <v>3</v>
      </c>
      <c r="L97" t="n">
        <v>2</v>
      </c>
      <c r="M97" t="n">
        <v>3</v>
      </c>
      <c r="N97" t="n">
        <v>0</v>
      </c>
      <c r="O97" t="n">
        <v>0</v>
      </c>
      <c r="P97" t="n">
        <v>0</v>
      </c>
      <c r="Q97" t="n">
        <v>5</v>
      </c>
      <c r="R97" t="n">
        <v>3</v>
      </c>
      <c r="S97" t="n">
        <v>12</v>
      </c>
      <c r="T97" t="n">
        <v>13</v>
      </c>
      <c r="U97" t="n">
        <v>0</v>
      </c>
      <c r="V97" s="2" t="inlineStr">
        <is>
          <t>Igelkott
Silverblåvinge
Slåttergubbe
Grönsångare
Talltita
Blåmossa
Guldlockmossa
Murgröna
Nattskärra
Vanlig padda
Gullviva
Revlummer</t>
        </is>
      </c>
      <c r="W97">
        <f>HYPERLINK("https://klasma.github.io/Logging_0880/artfynd/S 298-2026 artfynd.xlsx", "S 298-2026")</f>
        <v/>
      </c>
      <c r="X97">
        <f>HYPERLINK("https://klasma.github.io/Logging_0880/kartor/S 298-2026 karta.png", "S 298-2026")</f>
        <v/>
      </c>
      <c r="Y97">
        <f>HYPERLINK("https://klasma.github.io/Logging_0880/kartor_geotiff/S 298-2026 georefererad karta.tif", "S 298-2026")</f>
        <v/>
      </c>
      <c r="Z97">
        <f>HYPERLINK("https://klasma.github.io/Logging_0880/knärot/S 298-2026 karta knärot.png", "S 298-2026")</f>
        <v/>
      </c>
      <c r="AA97">
        <f>HYPERLINK("https://klasma.github.io/Logging_0880/klagomål/S 298-2026 FSC-klagomål.docx", "S 298-2026")</f>
        <v/>
      </c>
      <c r="AB97">
        <f>HYPERLINK("https://klasma.github.io/Logging_0880/klagomålsmail/S 298-2026 FSC-klagomål mail.docx", "S 298-2026")</f>
        <v/>
      </c>
      <c r="AC97">
        <f>HYPERLINK("https://klasma.github.io/Logging_0880/tillsyn/S 298-2026 tillsynsbegäran.docx", "S 298-2026")</f>
        <v/>
      </c>
      <c r="AD97">
        <f>HYPERLINK("https://klasma.github.io/Logging_0880/tillsynsmail/S 298-2026 tillsynsbegäran mail.docx", "S 298-2026")</f>
        <v/>
      </c>
      <c r="AE97">
        <f>HYPERLINK("https://klasma.github.io/Logging_0880/fåglar/S 298-2026 prioriterade fågelarter.docx", "S 298-2026")</f>
        <v/>
      </c>
    </row>
    <row r="98" ht="15" customHeight="1">
      <c r="A98" t="inlineStr">
        <is>
          <t>A 28212-2024</t>
        </is>
      </c>
      <c r="B98" t="inlineStr">
        <is>
          <t>avverkningsanmälan</t>
        </is>
      </c>
      <c r="C98" t="inlineStr">
        <is>
          <t>Föryngringsavverkning</t>
        </is>
      </c>
      <c r="D98" s="1" t="n">
        <v>45477</v>
      </c>
      <c r="E98" s="1" t="n">
        <v>46323</v>
      </c>
      <c r="F98" t="inlineStr">
        <is>
          <t>KALMAR LÄN</t>
        </is>
      </c>
      <c r="G98" t="inlineStr">
        <is>
          <t>HULTSFRED</t>
        </is>
      </c>
      <c r="I98" t="n">
        <v>3.4</v>
      </c>
      <c r="J98" t="n">
        <v>4</v>
      </c>
      <c r="K98" t="n">
        <v>5</v>
      </c>
      <c r="L98" t="n">
        <v>2</v>
      </c>
      <c r="M98" t="n">
        <v>1</v>
      </c>
      <c r="N98" t="n">
        <v>0</v>
      </c>
      <c r="O98" t="n">
        <v>0</v>
      </c>
      <c r="P98" t="n">
        <v>0</v>
      </c>
      <c r="Q98" t="n">
        <v>3</v>
      </c>
      <c r="R98" t="n">
        <v>1</v>
      </c>
      <c r="S98" t="n">
        <v>11</v>
      </c>
      <c r="T98" t="n">
        <v>21</v>
      </c>
      <c r="U98" t="n">
        <v>21</v>
      </c>
      <c r="V98" s="2" t="inlineStr">
        <is>
          <t>Knärot
Dropptaggsvamp
Dvärgbägarlav
Bronshjon
Grovticka
Grönpyrola
Gulnål
Kornig nållav
Blåsippa
Spillkråka
Vanlig groda</t>
        </is>
      </c>
      <c r="W98">
        <f>HYPERLINK("https://klasma.github.io/Logging_0860/artfynd/A 28212-2024 artfynd.xlsx", "A 28212-2024")</f>
        <v/>
      </c>
      <c r="X98">
        <f>HYPERLINK("https://klasma.github.io/Logging_0860/kartor/A 28212-2024 karta.png", "A 28212-2024")</f>
        <v/>
      </c>
      <c r="Y98">
        <f>HYPERLINK("https://klasma.github.io/Logging_0860/kartor_geotiff/A 28212-2024 georefererad karta.tif", "A 28212-2024")</f>
        <v/>
      </c>
      <c r="Z98">
        <f>HYPERLINK("https://klasma.github.io/Logging_0860/knärot/A 28212-2024 karta knärot.png", "A 28212-2024")</f>
        <v/>
      </c>
      <c r="AA98">
        <f>HYPERLINK("https://klasma.github.io/Logging_0860/klagomål/A 28212-2024 FSC-klagomål.docx", "A 28212-2024")</f>
        <v/>
      </c>
      <c r="AB98">
        <f>HYPERLINK("https://klasma.github.io/Logging_0860/klagomålsmail/A 28212-2024 FSC-klagomål mail.docx", "A 28212-2024")</f>
        <v/>
      </c>
      <c r="AC98">
        <f>HYPERLINK("https://klasma.github.io/Logging_0860/tillsyn/A 28212-2024 tillsynsbegäran.docx", "A 28212-2024")</f>
        <v/>
      </c>
      <c r="AD98">
        <f>HYPERLINK("https://klasma.github.io/Logging_0860/tillsynsmail/A 28212-2024 tillsynsbegäran mail.docx", "A 28212-2024")</f>
        <v/>
      </c>
      <c r="AE98">
        <f>HYPERLINK("https://klasma.github.io/Logging_0860/fåglar/A 28212-2024 prioriterade fågelarter.docx", "A 28212-2024")</f>
        <v/>
      </c>
    </row>
    <row r="99" ht="15" customHeight="1">
      <c r="A99" t="inlineStr">
        <is>
          <t>A 44885-2025</t>
        </is>
      </c>
      <c r="B99" t="inlineStr">
        <is>
          <t>avverkningsanmälan</t>
        </is>
      </c>
      <c r="C99" t="inlineStr">
        <is>
          <t>Föryngringsavverkning</t>
        </is>
      </c>
      <c r="D99" s="1" t="n">
        <v>45918</v>
      </c>
      <c r="E99" s="1" t="n">
        <v>46323</v>
      </c>
      <c r="F99" t="inlineStr">
        <is>
          <t>KALMAR LÄN</t>
        </is>
      </c>
      <c r="G99" t="inlineStr">
        <is>
          <t>BORGHOLM</t>
        </is>
      </c>
      <c r="I99" t="n">
        <v>4.4</v>
      </c>
      <c r="J99" t="n">
        <v>3</v>
      </c>
      <c r="K99" t="n">
        <v>4</v>
      </c>
      <c r="L99" t="n">
        <v>2</v>
      </c>
      <c r="M99" t="n">
        <v>1</v>
      </c>
      <c r="N99" t="n">
        <v>2</v>
      </c>
      <c r="O99" t="n">
        <v>0</v>
      </c>
      <c r="P99" t="n">
        <v>0</v>
      </c>
      <c r="Q99" t="n">
        <v>5</v>
      </c>
      <c r="R99" t="n">
        <v>3</v>
      </c>
      <c r="S99" t="n">
        <v>11</v>
      </c>
      <c r="T99" t="n">
        <v>11</v>
      </c>
      <c r="U99" t="n">
        <v>11</v>
      </c>
      <c r="V99" s="2" t="inlineStr">
        <is>
          <t>Ask
Skogsalm
Skogskorn
Rosa skärelav
Solvända
Murgröna
Myskmadra
Skogsknipprot
Strävlosta
Blåsippa
Brudsporre</t>
        </is>
      </c>
      <c r="W99">
        <f>HYPERLINK("https://klasma.github.io/Logging_0885/artfynd/A 44885-2025 artfynd.xlsx", "A 44885-2025")</f>
        <v/>
      </c>
      <c r="X99">
        <f>HYPERLINK("https://klasma.github.io/Logging_0885/kartor/A 44885-2025 karta.png", "A 44885-2025")</f>
        <v/>
      </c>
      <c r="Y99">
        <f>HYPERLINK("https://klasma.github.io/Logging_0885/kartor_geotiff/A 44885-2025 georefererad karta.tif", "A 44885-2025")</f>
        <v/>
      </c>
      <c r="AA99">
        <f>HYPERLINK("https://klasma.github.io/Logging_0885/klagomål/A 44885-2025 FSC-klagomål.docx", "A 44885-2025")</f>
        <v/>
      </c>
      <c r="AB99">
        <f>HYPERLINK("https://klasma.github.io/Logging_0885/klagomålsmail/A 44885-2025 FSC-klagomål mail.docx", "A 44885-2025")</f>
        <v/>
      </c>
      <c r="AC99">
        <f>HYPERLINK("https://klasma.github.io/Logging_0885/tillsyn/A 44885-2025 tillsynsbegäran.docx", "A 44885-2025")</f>
        <v/>
      </c>
      <c r="AD99">
        <f>HYPERLINK("https://klasma.github.io/Logging_0885/tillsynsmail/A 44885-2025 tillsynsbegäran mail.docx", "A 44885-2025")</f>
        <v/>
      </c>
    </row>
    <row r="100" ht="15" customHeight="1">
      <c r="A100" t="inlineStr">
        <is>
          <t>A 11444-2025</t>
        </is>
      </c>
      <c r="B100" t="inlineStr">
        <is>
          <t>avverkningsanmälan</t>
        </is>
      </c>
      <c r="C100" t="inlineStr">
        <is>
          <t>Föryngringsavverkning</t>
        </is>
      </c>
      <c r="D100" s="1" t="n">
        <v>45726</v>
      </c>
      <c r="E100" s="1" t="n">
        <v>46323</v>
      </c>
      <c r="F100" t="inlineStr">
        <is>
          <t>KALMAR LÄN</t>
        </is>
      </c>
      <c r="G100" t="inlineStr">
        <is>
          <t>VÄSTERVIK</t>
        </is>
      </c>
      <c r="I100" t="n">
        <v>8.800000000000001</v>
      </c>
      <c r="J100" t="n">
        <v>5</v>
      </c>
      <c r="K100" t="n">
        <v>3</v>
      </c>
      <c r="L100" t="n">
        <v>4</v>
      </c>
      <c r="M100" t="n">
        <v>1</v>
      </c>
      <c r="N100" t="n">
        <v>0</v>
      </c>
      <c r="O100" t="n">
        <v>0</v>
      </c>
      <c r="P100" t="n">
        <v>0</v>
      </c>
      <c r="Q100" t="n">
        <v>5</v>
      </c>
      <c r="R100" t="n">
        <v>1</v>
      </c>
      <c r="S100" t="n">
        <v>11</v>
      </c>
      <c r="T100" t="n">
        <v>53</v>
      </c>
      <c r="U100" t="n">
        <v>53</v>
      </c>
      <c r="V100" s="2" t="inlineStr">
        <is>
          <t>Knärot
Dropptaggsvamp
Tallticka
Talltita
Ullticka
Blåmossa
Grovticka
Grönpyrola
Spillkråka
Kungsfågel
Revlummer</t>
        </is>
      </c>
      <c r="W100">
        <f>HYPERLINK("https://klasma.github.io/Logging_0883/artfynd/A 11444-2025 artfynd.xlsx", "A 11444-2025")</f>
        <v/>
      </c>
      <c r="X100">
        <f>HYPERLINK("https://klasma.github.io/Logging_0883/kartor/A 11444-2025 karta.png", "A 11444-2025")</f>
        <v/>
      </c>
      <c r="Y100">
        <f>HYPERLINK("https://klasma.github.io/Logging_0883/kartor_geotiff/A 11444-2025 georefererad karta.tif", "A 11444-2025")</f>
        <v/>
      </c>
      <c r="Z100">
        <f>HYPERLINK("https://klasma.github.io/Logging_0883/knärot/A 11444-2025 karta knärot.png", "A 11444-2025")</f>
        <v/>
      </c>
      <c r="AA100">
        <f>HYPERLINK("https://klasma.github.io/Logging_0883/klagomål/A 11444-2025 FSC-klagomål.docx", "A 11444-2025")</f>
        <v/>
      </c>
      <c r="AB100">
        <f>HYPERLINK("https://klasma.github.io/Logging_0883/klagomålsmail/A 11444-2025 FSC-klagomål mail.docx", "A 11444-2025")</f>
        <v/>
      </c>
      <c r="AC100">
        <f>HYPERLINK("https://klasma.github.io/Logging_0883/tillsyn/A 11444-2025 tillsynsbegäran.docx", "A 11444-2025")</f>
        <v/>
      </c>
      <c r="AD100">
        <f>HYPERLINK("https://klasma.github.io/Logging_0883/tillsynsmail/A 11444-2025 tillsynsbegäran mail.docx", "A 11444-2025")</f>
        <v/>
      </c>
      <c r="AE100">
        <f>HYPERLINK("https://klasma.github.io/Logging_0883/fåglar/A 11444-2025 prioriterade fågelarter.docx", "A 11444-2025")</f>
        <v/>
      </c>
    </row>
    <row r="101" ht="15" customHeight="1">
      <c r="A101" t="inlineStr">
        <is>
          <t>A 56737-2023</t>
        </is>
      </c>
      <c r="B101" t="inlineStr">
        <is>
          <t>avverkningsanmälan</t>
        </is>
      </c>
      <c r="C101" t="inlineStr">
        <is>
          <t>Föryngringsavverkning</t>
        </is>
      </c>
      <c r="D101" s="1" t="n">
        <v>45244</v>
      </c>
      <c r="E101" s="1" t="n">
        <v>46323</v>
      </c>
      <c r="F101" t="inlineStr">
        <is>
          <t>KALMAR LÄN</t>
        </is>
      </c>
      <c r="G101" t="inlineStr">
        <is>
          <t>VÄSTERVIK</t>
        </is>
      </c>
      <c r="I101" t="n">
        <v>5.5</v>
      </c>
      <c r="J101" t="n">
        <v>2</v>
      </c>
      <c r="K101" t="n">
        <v>5</v>
      </c>
      <c r="L101" t="n">
        <v>4</v>
      </c>
      <c r="M101" t="n">
        <v>1</v>
      </c>
      <c r="N101" t="n">
        <v>0</v>
      </c>
      <c r="O101" t="n">
        <v>0</v>
      </c>
      <c r="P101" t="n">
        <v>0</v>
      </c>
      <c r="Q101" t="n">
        <v>5</v>
      </c>
      <c r="R101" t="n">
        <v>1</v>
      </c>
      <c r="S101" t="n">
        <v>11</v>
      </c>
      <c r="T101" t="n">
        <v>68</v>
      </c>
      <c r="U101" t="n">
        <v>58</v>
      </c>
      <c r="V101" s="2" t="inlineStr">
        <is>
          <t>Knärot
Dropptaggsvamp
Motaggsvamp
Tallticka
Ullticka
Blomskägglav
Bronshjon
Fällmossa
Grovticka
Grönpyrola
Spillkråka</t>
        </is>
      </c>
      <c r="W101">
        <f>HYPERLINK("https://klasma.github.io/Logging_0883/artfynd/A 56737-2023 artfynd.xlsx", "A 56737-2023")</f>
        <v/>
      </c>
      <c r="X101">
        <f>HYPERLINK("https://klasma.github.io/Logging_0883/kartor/A 56737-2023 karta.png", "A 56737-2023")</f>
        <v/>
      </c>
      <c r="Y101">
        <f>HYPERLINK("https://klasma.github.io/Logging_0883/kartor_geotiff/A 56737-2023 georefererad karta.tif", "A 56737-2023")</f>
        <v/>
      </c>
      <c r="Z101">
        <f>HYPERLINK("https://klasma.github.io/Logging_0883/knärot/A 56737-2023 karta knärot.png", "A 56737-2023")</f>
        <v/>
      </c>
      <c r="AA101">
        <f>HYPERLINK("https://klasma.github.io/Logging_0883/klagomål/A 56737-2023 FSC-klagomål.docx", "A 56737-2023")</f>
        <v/>
      </c>
      <c r="AB101">
        <f>HYPERLINK("https://klasma.github.io/Logging_0883/klagomålsmail/A 56737-2023 FSC-klagomål mail.docx", "A 56737-2023")</f>
        <v/>
      </c>
      <c r="AC101">
        <f>HYPERLINK("https://klasma.github.io/Logging_0883/tillsyn/A 56737-2023 tillsynsbegäran.docx", "A 56737-2023")</f>
        <v/>
      </c>
      <c r="AD101">
        <f>HYPERLINK("https://klasma.github.io/Logging_0883/tillsynsmail/A 56737-2023 tillsynsbegäran mail.docx", "A 56737-2023")</f>
        <v/>
      </c>
      <c r="AE101">
        <f>HYPERLINK("https://klasma.github.io/Logging_0883/fåglar/A 56737-2023 prioriterade fågelarter.docx", "A 56737-2023")</f>
        <v/>
      </c>
    </row>
    <row r="102" ht="15" customHeight="1">
      <c r="A102" t="inlineStr">
        <is>
          <t>A 60875-2025</t>
        </is>
      </c>
      <c r="B102" t="inlineStr">
        <is>
          <t>avverkningsanmälan</t>
        </is>
      </c>
      <c r="C102" t="inlineStr">
        <is>
          <t>Föryngringsavverkning</t>
        </is>
      </c>
      <c r="D102" s="1" t="n">
        <v>45999</v>
      </c>
      <c r="E102" s="1" t="n">
        <v>46323</v>
      </c>
      <c r="F102" t="inlineStr">
        <is>
          <t>KALMAR LÄN</t>
        </is>
      </c>
      <c r="G102" t="inlineStr">
        <is>
          <t>MÖRBYLÅNGA</t>
        </is>
      </c>
      <c r="I102" t="n">
        <v>2.1</v>
      </c>
      <c r="J102" t="n">
        <v>8</v>
      </c>
      <c r="K102" t="n">
        <v>1</v>
      </c>
      <c r="L102" t="n">
        <v>5</v>
      </c>
      <c r="M102" t="n">
        <v>0</v>
      </c>
      <c r="N102" t="n">
        <v>1</v>
      </c>
      <c r="O102" t="n">
        <v>1</v>
      </c>
      <c r="P102" t="n">
        <v>0</v>
      </c>
      <c r="Q102" t="n">
        <v>7</v>
      </c>
      <c r="R102" t="n">
        <v>2</v>
      </c>
      <c r="S102" t="n">
        <v>11</v>
      </c>
      <c r="T102" t="n">
        <v>12</v>
      </c>
      <c r="U102" t="n">
        <v>3</v>
      </c>
      <c r="V102" s="2" t="inlineStr">
        <is>
          <t>Järnek
Mosippa
Grönsångare
Gulsparv
Göktyta
Mindre hackspett
Svinrot
Murgröna
Spillkråka
Kråka
Skogsduva</t>
        </is>
      </c>
      <c r="W102">
        <f>HYPERLINK("https://klasma.github.io/Logging_0840/artfynd/A 60875-2025 artfynd.xlsx", "A 60875-2025")</f>
        <v/>
      </c>
      <c r="X102">
        <f>HYPERLINK("https://klasma.github.io/Logging_0840/kartor/A 60875-2025 karta.png", "A 60875-2025")</f>
        <v/>
      </c>
      <c r="Y102">
        <f>HYPERLINK("https://klasma.github.io/Logging_0840/kartor_geotiff/A 60875-2025 georefererad karta.tif", "A 60875-2025")</f>
        <v/>
      </c>
      <c r="AA102">
        <f>HYPERLINK("https://klasma.github.io/Logging_0840/klagomål/A 60875-2025 FSC-klagomål.docx", "A 60875-2025")</f>
        <v/>
      </c>
      <c r="AB102">
        <f>HYPERLINK("https://klasma.github.io/Logging_0840/klagomålsmail/A 60875-2025 FSC-klagomål mail.docx", "A 60875-2025")</f>
        <v/>
      </c>
      <c r="AC102">
        <f>HYPERLINK("https://klasma.github.io/Logging_0840/tillsyn/A 60875-2025 tillsynsbegäran.docx", "A 60875-2025")</f>
        <v/>
      </c>
      <c r="AD102">
        <f>HYPERLINK("https://klasma.github.io/Logging_0840/tillsynsmail/A 60875-2025 tillsynsbegäran mail.docx", "A 60875-2025")</f>
        <v/>
      </c>
      <c r="AE102">
        <f>HYPERLINK("https://klasma.github.io/Logging_0840/fåglar/A 60875-2025 prioriterade fågelarter.docx", "A 60875-2025")</f>
        <v/>
      </c>
    </row>
    <row r="103" ht="15" customHeight="1">
      <c r="A103" t="inlineStr">
        <is>
          <t>A 8258-2026</t>
        </is>
      </c>
      <c r="B103" t="inlineStr">
        <is>
          <t>avverkningsanmälan</t>
        </is>
      </c>
      <c r="C103" t="inlineStr">
        <is>
          <t>Föryngringsavverkning</t>
        </is>
      </c>
      <c r="D103" s="1" t="n">
        <v>46063</v>
      </c>
      <c r="E103" s="1" t="n">
        <v>46323</v>
      </c>
      <c r="F103" t="inlineStr">
        <is>
          <t>KALMAR LÄN</t>
        </is>
      </c>
      <c r="G103" t="inlineStr">
        <is>
          <t>OSKARSHAMN</t>
        </is>
      </c>
      <c r="I103" t="n">
        <v>3.9</v>
      </c>
      <c r="J103" t="n">
        <v>6</v>
      </c>
      <c r="K103" t="n">
        <v>3</v>
      </c>
      <c r="L103" t="n">
        <v>4</v>
      </c>
      <c r="M103" t="n">
        <v>0</v>
      </c>
      <c r="N103" t="n">
        <v>0</v>
      </c>
      <c r="O103" t="n">
        <v>0</v>
      </c>
      <c r="P103" t="n">
        <v>0</v>
      </c>
      <c r="Q103" t="n">
        <v>4</v>
      </c>
      <c r="R103" t="n">
        <v>0</v>
      </c>
      <c r="S103" t="n">
        <v>11</v>
      </c>
      <c r="T103" t="n">
        <v>17</v>
      </c>
      <c r="U103" t="n">
        <v>16</v>
      </c>
      <c r="V103" s="2" t="inlineStr">
        <is>
          <t>Ekticka
Entita
Mindre hackspett
Vedskivlav
Fällmossa
Jättesvampmal
Myskmadra
Spillkråka
Stjärtmes
Trana
Utter</t>
        </is>
      </c>
      <c r="W103">
        <f>HYPERLINK("https://klasma.github.io/Logging_0882/artfynd/A 8258-2026 artfynd.xlsx", "A 8258-2026")</f>
        <v/>
      </c>
      <c r="X103">
        <f>HYPERLINK("https://klasma.github.io/Logging_0882/kartor/A 8258-2026 karta.png", "A 8258-2026")</f>
        <v/>
      </c>
      <c r="Y103">
        <f>HYPERLINK("https://klasma.github.io/Logging_0882/kartor_geotiff/A 8258-2026 georefererad karta.tif", "A 8258-2026")</f>
        <v/>
      </c>
      <c r="AA103">
        <f>HYPERLINK("https://klasma.github.io/Logging_0882/klagomål/A 8258-2026 FSC-klagomål.docx", "A 8258-2026")</f>
        <v/>
      </c>
      <c r="AB103">
        <f>HYPERLINK("https://klasma.github.io/Logging_0882/klagomålsmail/A 8258-2026 FSC-klagomål mail.docx", "A 8258-2026")</f>
        <v/>
      </c>
      <c r="AC103">
        <f>HYPERLINK("https://klasma.github.io/Logging_0882/tillsyn/A 8258-2026 tillsynsbegäran.docx", "A 8258-2026")</f>
        <v/>
      </c>
      <c r="AD103">
        <f>HYPERLINK("https://klasma.github.io/Logging_0882/tillsynsmail/A 8258-2026 tillsynsbegäran mail.docx", "A 8258-2026")</f>
        <v/>
      </c>
      <c r="AE103">
        <f>HYPERLINK("https://klasma.github.io/Logging_0882/fåglar/A 8258-2026 prioriterade fågelarter.docx", "A 8258-2026")</f>
        <v/>
      </c>
    </row>
    <row r="104" ht="15" customHeight="1">
      <c r="A104" t="inlineStr">
        <is>
          <t>A 11756-2026</t>
        </is>
      </c>
      <c r="B104" t="inlineStr">
        <is>
          <t>avverkningsanmälan</t>
        </is>
      </c>
      <c r="C104" t="inlineStr">
        <is>
          <t>Föryngringsavverkning</t>
        </is>
      </c>
      <c r="D104" s="1" t="n">
        <v>46084</v>
      </c>
      <c r="E104" s="1" t="n">
        <v>46323</v>
      </c>
      <c r="F104" t="inlineStr">
        <is>
          <t>KALMAR LÄN</t>
        </is>
      </c>
      <c r="G104" t="inlineStr">
        <is>
          <t>VÄSTERVIK</t>
        </is>
      </c>
      <c r="H104" t="inlineStr">
        <is>
          <t>Kyrkan</t>
        </is>
      </c>
      <c r="I104" t="n">
        <v>26</v>
      </c>
      <c r="J104" t="n">
        <v>5</v>
      </c>
      <c r="K104" t="n">
        <v>3</v>
      </c>
      <c r="L104" t="n">
        <v>3</v>
      </c>
      <c r="M104" t="n">
        <v>2</v>
      </c>
      <c r="N104" t="n">
        <v>0</v>
      </c>
      <c r="O104" t="n">
        <v>0</v>
      </c>
      <c r="P104" t="n">
        <v>0</v>
      </c>
      <c r="Q104" t="n">
        <v>5</v>
      </c>
      <c r="R104" t="n">
        <v>2</v>
      </c>
      <c r="S104" t="n">
        <v>11</v>
      </c>
      <c r="T104" t="n">
        <v>26</v>
      </c>
      <c r="U104" t="n">
        <v>26</v>
      </c>
      <c r="V104" s="2" t="inlineStr">
        <is>
          <t>Knärot
Laxporing
Mindre hackspett
Talltita
Vedskivlav
Blomkålssvamp
Blåmossa
Murgröna
Spillkråka
Timmerticka
Tofsmes</t>
        </is>
      </c>
      <c r="W104">
        <f>HYPERLINK("https://klasma.github.io/Logging_0883/artfynd/A 11756-2026 artfynd.xlsx", "A 11756-2026")</f>
        <v/>
      </c>
      <c r="X104">
        <f>HYPERLINK("https://klasma.github.io/Logging_0883/kartor/A 11756-2026 karta.png", "A 11756-2026")</f>
        <v/>
      </c>
      <c r="Y104">
        <f>HYPERLINK("https://klasma.github.io/Logging_0883/kartor_geotiff/A 11756-2026 georefererad karta.tif", "A 11756-2026")</f>
        <v/>
      </c>
      <c r="Z104">
        <f>HYPERLINK("https://klasma.github.io/Logging_0883/knärot/A 11756-2026 karta knärot.png", "A 11756-2026")</f>
        <v/>
      </c>
      <c r="AA104">
        <f>HYPERLINK("https://klasma.github.io/Logging_0883/klagomål/A 11756-2026 FSC-klagomål.docx", "A 11756-2026")</f>
        <v/>
      </c>
      <c r="AB104">
        <f>HYPERLINK("https://klasma.github.io/Logging_0883/klagomålsmail/A 11756-2026 FSC-klagomål mail.docx", "A 11756-2026")</f>
        <v/>
      </c>
      <c r="AC104">
        <f>HYPERLINK("https://klasma.github.io/Logging_0883/tillsyn/A 11756-2026 tillsynsbegäran.docx", "A 11756-2026")</f>
        <v/>
      </c>
      <c r="AD104">
        <f>HYPERLINK("https://klasma.github.io/Logging_0883/tillsynsmail/A 11756-2026 tillsynsbegäran mail.docx", "A 11756-2026")</f>
        <v/>
      </c>
      <c r="AE104">
        <f>HYPERLINK("https://klasma.github.io/Logging_0883/fåglar/A 11756-2026 prioriterade fågelarter.docx", "A 11756-2026")</f>
        <v/>
      </c>
    </row>
    <row r="105" ht="15" customHeight="1">
      <c r="A105" t="inlineStr">
        <is>
          <t>A 51234-2025</t>
        </is>
      </c>
      <c r="B105" t="inlineStr">
        <is>
          <t>avverkningsanmälan</t>
        </is>
      </c>
      <c r="C105" t="inlineStr">
        <is>
          <t>Föryngringsavverkning</t>
        </is>
      </c>
      <c r="D105" s="1" t="n">
        <v>45947</v>
      </c>
      <c r="E105" s="1" t="n">
        <v>46323</v>
      </c>
      <c r="F105" t="inlineStr">
        <is>
          <t>KALMAR LÄN</t>
        </is>
      </c>
      <c r="G105" t="inlineStr">
        <is>
          <t>VÄSTERVIK</t>
        </is>
      </c>
      <c r="I105" t="n">
        <v>11.7</v>
      </c>
      <c r="J105" t="n">
        <v>8</v>
      </c>
      <c r="K105" t="n">
        <v>3</v>
      </c>
      <c r="L105" t="n">
        <v>1</v>
      </c>
      <c r="M105" t="n">
        <v>1</v>
      </c>
      <c r="N105" t="n">
        <v>0</v>
      </c>
      <c r="O105" t="n">
        <v>0</v>
      </c>
      <c r="P105" t="n">
        <v>0</v>
      </c>
      <c r="Q105" t="n">
        <v>2</v>
      </c>
      <c r="R105" t="n">
        <v>1</v>
      </c>
      <c r="S105" t="n">
        <v>11</v>
      </c>
      <c r="T105" t="n">
        <v>56</v>
      </c>
      <c r="U105" t="n">
        <v>56</v>
      </c>
      <c r="V105" s="2" t="inlineStr">
        <is>
          <t>Knärot
Talltita
Blodticka
Blomkålssvamp
Murgröna
Blåsippa
Järpe
Spillkråka
Tofsmes
Kungsfågel
Trana</t>
        </is>
      </c>
      <c r="W105">
        <f>HYPERLINK("https://klasma.github.io/Logging_0883/artfynd/A 51234-2025 artfynd.xlsx", "A 51234-2025")</f>
        <v/>
      </c>
      <c r="X105">
        <f>HYPERLINK("https://klasma.github.io/Logging_0883/kartor/A 51234-2025 karta.png", "A 51234-2025")</f>
        <v/>
      </c>
      <c r="Y105">
        <f>HYPERLINK("https://klasma.github.io/Logging_0883/kartor_geotiff/A 51234-2025 georefererad karta.tif", "A 51234-2025")</f>
        <v/>
      </c>
      <c r="Z105">
        <f>HYPERLINK("https://klasma.github.io/Logging_0883/knärot/A 51234-2025 karta knärot.png", "A 51234-2025")</f>
        <v/>
      </c>
      <c r="AA105">
        <f>HYPERLINK("https://klasma.github.io/Logging_0883/klagomål/A 51234-2025 FSC-klagomål.docx", "A 51234-2025")</f>
        <v/>
      </c>
      <c r="AB105">
        <f>HYPERLINK("https://klasma.github.io/Logging_0883/klagomålsmail/A 51234-2025 FSC-klagomål mail.docx", "A 51234-2025")</f>
        <v/>
      </c>
      <c r="AC105">
        <f>HYPERLINK("https://klasma.github.io/Logging_0883/tillsyn/A 51234-2025 tillsynsbegäran.docx", "A 51234-2025")</f>
        <v/>
      </c>
      <c r="AD105">
        <f>HYPERLINK("https://klasma.github.io/Logging_0883/tillsynsmail/A 51234-2025 tillsynsbegäran mail.docx", "A 51234-2025")</f>
        <v/>
      </c>
      <c r="AE105">
        <f>HYPERLINK("https://klasma.github.io/Logging_0883/fåglar/A 51234-2025 prioriterade fågelarter.docx", "A 51234-2025")</f>
        <v/>
      </c>
    </row>
    <row r="106" ht="15" customHeight="1">
      <c r="A106" t="inlineStr">
        <is>
          <t>A 24778-2022</t>
        </is>
      </c>
      <c r="B106" t="inlineStr">
        <is>
          <t>avverkningsanmälan</t>
        </is>
      </c>
      <c r="C106" t="inlineStr">
        <is>
          <t>Föryngringsavverkning</t>
        </is>
      </c>
      <c r="D106" s="1" t="n">
        <v>44728</v>
      </c>
      <c r="E106" s="1" t="n">
        <v>46323</v>
      </c>
      <c r="F106" t="inlineStr">
        <is>
          <t>KALMAR LÄN</t>
        </is>
      </c>
      <c r="G106" t="inlineStr">
        <is>
          <t>MÖRBYLÅNGA</t>
        </is>
      </c>
      <c r="I106" t="n">
        <v>1</v>
      </c>
      <c r="J106" t="n">
        <v>1</v>
      </c>
      <c r="K106" t="n">
        <v>2</v>
      </c>
      <c r="L106" t="n">
        <v>7</v>
      </c>
      <c r="M106" t="n">
        <v>0</v>
      </c>
      <c r="N106" t="n">
        <v>1</v>
      </c>
      <c r="O106" t="n">
        <v>0</v>
      </c>
      <c r="P106" t="n">
        <v>0</v>
      </c>
      <c r="Q106" t="n">
        <v>8</v>
      </c>
      <c r="R106" t="n">
        <v>1</v>
      </c>
      <c r="S106" t="n">
        <v>11</v>
      </c>
      <c r="T106" t="n">
        <v>20</v>
      </c>
      <c r="U106" t="n">
        <v>20</v>
      </c>
      <c r="V106" s="2" t="inlineStr">
        <is>
          <t>Tofsäxing
Backtimjan
Flentimotej
Grådådra
Poppeltofsskivling
Slåtterfibbla
Sminkrot
Solvända
Kalktallört
Murgröna
Blåsippa</t>
        </is>
      </c>
      <c r="W106">
        <f>HYPERLINK("https://klasma.github.io/Logging_0840/artfynd/A 24778-2022 artfynd.xlsx", "A 24778-2022")</f>
        <v/>
      </c>
      <c r="X106">
        <f>HYPERLINK("https://klasma.github.io/Logging_0840/kartor/A 24778-2022 karta.png", "A 24778-2022")</f>
        <v/>
      </c>
      <c r="Y106">
        <f>HYPERLINK("https://klasma.github.io/Logging_0840/kartor_geotiff/A 24778-2022 georefererad karta.tif", "A 24778-2022")</f>
        <v/>
      </c>
      <c r="AA106">
        <f>HYPERLINK("https://klasma.github.io/Logging_0840/klagomål/A 24778-2022 FSC-klagomål.docx", "A 24778-2022")</f>
        <v/>
      </c>
      <c r="AB106">
        <f>HYPERLINK("https://klasma.github.io/Logging_0840/klagomålsmail/A 24778-2022 FSC-klagomål mail.docx", "A 24778-2022")</f>
        <v/>
      </c>
      <c r="AC106">
        <f>HYPERLINK("https://klasma.github.io/Logging_0840/tillsyn/A 24778-2022 tillsynsbegäran.docx", "A 24778-2022")</f>
        <v/>
      </c>
      <c r="AD106">
        <f>HYPERLINK("https://klasma.github.io/Logging_0840/tillsynsmail/A 24778-2022 tillsynsbegäran mail.docx", "A 24778-2022")</f>
        <v/>
      </c>
    </row>
    <row r="107" ht="15" customHeight="1">
      <c r="A107" t="inlineStr">
        <is>
          <t>A 38039-2022</t>
        </is>
      </c>
      <c r="B107" t="inlineStr">
        <is>
          <t>avverkningsanmälan</t>
        </is>
      </c>
      <c r="C107" t="inlineStr">
        <is>
          <t>Avverkning för annat ändamål</t>
        </is>
      </c>
      <c r="D107" s="1" t="n">
        <v>44811</v>
      </c>
      <c r="E107" s="1" t="n">
        <v>46323</v>
      </c>
      <c r="F107" t="inlineStr">
        <is>
          <t>KALMAR LÄN</t>
        </is>
      </c>
      <c r="G107" t="inlineStr">
        <is>
          <t>MÖRBYLÅNGA</t>
        </is>
      </c>
      <c r="I107" t="n">
        <v>7.4</v>
      </c>
      <c r="J107" t="n">
        <v>4</v>
      </c>
      <c r="K107" t="n">
        <v>1</v>
      </c>
      <c r="L107" t="n">
        <v>4</v>
      </c>
      <c r="M107" t="n">
        <v>1</v>
      </c>
      <c r="N107" t="n">
        <v>1</v>
      </c>
      <c r="O107" t="n">
        <v>0</v>
      </c>
      <c r="P107" t="n">
        <v>0</v>
      </c>
      <c r="Q107" t="n">
        <v>6</v>
      </c>
      <c r="R107" t="n">
        <v>2</v>
      </c>
      <c r="S107" t="n">
        <v>11</v>
      </c>
      <c r="T107" t="n">
        <v>13</v>
      </c>
      <c r="U107" t="n">
        <v>12</v>
      </c>
      <c r="V107" s="2" t="inlineStr">
        <is>
          <t>Ask
Grov gulmossa
Backtimjan
Dvärgjordstjärna
Solvända
Ängsstarr
Murgröna
Alvarmalört
Grönvit nattviol
Krutbrännare
Gullviva</t>
        </is>
      </c>
      <c r="W107">
        <f>HYPERLINK("https://klasma.github.io/Logging_0840/artfynd/A 38039-2022 artfynd.xlsx", "A 38039-2022")</f>
        <v/>
      </c>
      <c r="X107">
        <f>HYPERLINK("https://klasma.github.io/Logging_0840/kartor/A 38039-2022 karta.png", "A 38039-2022")</f>
        <v/>
      </c>
      <c r="Y107">
        <f>HYPERLINK("https://klasma.github.io/Logging_0840/kartor_geotiff/A 38039-2022 georefererad karta.tif", "A 38039-2022")</f>
        <v/>
      </c>
      <c r="AA107">
        <f>HYPERLINK("https://klasma.github.io/Logging_0840/klagomål/A 38039-2022 FSC-klagomål.docx", "A 38039-2022")</f>
        <v/>
      </c>
      <c r="AB107">
        <f>HYPERLINK("https://klasma.github.io/Logging_0840/klagomålsmail/A 38039-2022 FSC-klagomål mail.docx", "A 38039-2022")</f>
        <v/>
      </c>
      <c r="AC107">
        <f>HYPERLINK("https://klasma.github.io/Logging_0840/tillsyn/A 38039-2022 tillsynsbegäran.docx", "A 38039-2022")</f>
        <v/>
      </c>
      <c r="AD107">
        <f>HYPERLINK("https://klasma.github.io/Logging_0840/tillsynsmail/A 38039-2022 tillsynsbegäran mail.docx", "A 38039-2022")</f>
        <v/>
      </c>
    </row>
    <row r="108" ht="15" customHeight="1">
      <c r="A108" t="inlineStr">
        <is>
          <t>A 58927-2022</t>
        </is>
      </c>
      <c r="B108" t="inlineStr">
        <is>
          <t>avverkningsanmälan</t>
        </is>
      </c>
      <c r="C108" t="inlineStr">
        <is>
          <t>Föryngringsavverkning</t>
        </is>
      </c>
      <c r="D108" s="1" t="n">
        <v>44896</v>
      </c>
      <c r="E108" s="1" t="n">
        <v>46323</v>
      </c>
      <c r="F108" t="inlineStr">
        <is>
          <t>KALMAR LÄN</t>
        </is>
      </c>
      <c r="G108" t="inlineStr">
        <is>
          <t>VÄSTERVIK</t>
        </is>
      </c>
      <c r="I108" t="n">
        <v>2.5</v>
      </c>
      <c r="J108" t="n">
        <v>0</v>
      </c>
      <c r="K108" t="n">
        <v>7</v>
      </c>
      <c r="L108" t="n">
        <v>4</v>
      </c>
      <c r="M108" t="n">
        <v>0</v>
      </c>
      <c r="N108" t="n">
        <v>0</v>
      </c>
      <c r="O108" t="n">
        <v>0</v>
      </c>
      <c r="P108" t="n">
        <v>0</v>
      </c>
      <c r="Q108" t="n">
        <v>4</v>
      </c>
      <c r="R108" t="n">
        <v>0</v>
      </c>
      <c r="S108" t="n">
        <v>11</v>
      </c>
      <c r="T108" t="n">
        <v>13</v>
      </c>
      <c r="U108" t="n">
        <v>13</v>
      </c>
      <c r="V108" s="2" t="inlineStr">
        <is>
          <t>Ekticka
Grynig filtlav
Lunglav
Vit vedfingersvamp
Barkkornlav
Fällmossa
Guldlockmossa
Gulpudrad spiklav
Liten baronmossa
Platt fjädermossa
Trädporella</t>
        </is>
      </c>
      <c r="W108">
        <f>HYPERLINK("https://klasma.github.io/Logging_0883/artfynd/A 58927-2022 artfynd.xlsx", "A 58927-2022")</f>
        <v/>
      </c>
      <c r="X108">
        <f>HYPERLINK("https://klasma.github.io/Logging_0883/kartor/A 58927-2022 karta.png", "A 58927-2022")</f>
        <v/>
      </c>
      <c r="Y108">
        <f>HYPERLINK("https://klasma.github.io/Logging_0883/kartor_geotiff/A 58927-2022 georefererad karta.tif", "A 58927-2022")</f>
        <v/>
      </c>
      <c r="AA108">
        <f>HYPERLINK("https://klasma.github.io/Logging_0883/klagomål/A 58927-2022 FSC-klagomål.docx", "A 58927-2022")</f>
        <v/>
      </c>
      <c r="AB108">
        <f>HYPERLINK("https://klasma.github.io/Logging_0883/klagomålsmail/A 58927-2022 FSC-klagomål mail.docx", "A 58927-2022")</f>
        <v/>
      </c>
      <c r="AC108">
        <f>HYPERLINK("https://klasma.github.io/Logging_0883/tillsyn/A 58927-2022 tillsynsbegäran.docx", "A 58927-2022")</f>
        <v/>
      </c>
      <c r="AD108">
        <f>HYPERLINK("https://klasma.github.io/Logging_0883/tillsynsmail/A 58927-2022 tillsynsbegäran mail.docx", "A 58927-2022")</f>
        <v/>
      </c>
    </row>
    <row r="109" ht="15" customHeight="1">
      <c r="A109" t="inlineStr">
        <is>
          <t>A 27636-2023</t>
        </is>
      </c>
      <c r="B109" t="inlineStr">
        <is>
          <t>avverkningsanmälan</t>
        </is>
      </c>
      <c r="C109" t="inlineStr">
        <is>
          <t>Avverkning för annat ändamål</t>
        </is>
      </c>
      <c r="D109" s="1" t="n">
        <v>45097</v>
      </c>
      <c r="E109" s="1" t="n">
        <v>46323</v>
      </c>
      <c r="F109" t="inlineStr">
        <is>
          <t>KALMAR LÄN</t>
        </is>
      </c>
      <c r="G109" t="inlineStr">
        <is>
          <t>MÖRBYLÅNGA</t>
        </is>
      </c>
      <c r="I109" t="n">
        <v>7.4</v>
      </c>
      <c r="J109" t="n">
        <v>4</v>
      </c>
      <c r="K109" t="n">
        <v>1</v>
      </c>
      <c r="L109" t="n">
        <v>4</v>
      </c>
      <c r="M109" t="n">
        <v>1</v>
      </c>
      <c r="N109" t="n">
        <v>1</v>
      </c>
      <c r="O109" t="n">
        <v>0</v>
      </c>
      <c r="P109" t="n">
        <v>0</v>
      </c>
      <c r="Q109" t="n">
        <v>6</v>
      </c>
      <c r="R109" t="n">
        <v>2</v>
      </c>
      <c r="S109" t="n">
        <v>11</v>
      </c>
      <c r="T109" t="n">
        <v>13</v>
      </c>
      <c r="U109" t="n">
        <v>11</v>
      </c>
      <c r="V109" s="2" t="inlineStr">
        <is>
          <t>Ask
Grov gulmossa
Backtimjan
Dvärgjordstjärna
Solvända
Ängsstarr
Murgröna
Alvarmalört
Grönvit nattviol
Krutbrännare
Gullviva</t>
        </is>
      </c>
      <c r="W109">
        <f>HYPERLINK("https://klasma.github.io/Logging_0840/artfynd/A 27636-2023 artfynd.xlsx", "A 27636-2023")</f>
        <v/>
      </c>
      <c r="X109">
        <f>HYPERLINK("https://klasma.github.io/Logging_0840/kartor/A 27636-2023 karta.png", "A 27636-2023")</f>
        <v/>
      </c>
      <c r="Y109">
        <f>HYPERLINK("https://klasma.github.io/Logging_0840/kartor_geotiff/A 27636-2023 georefererad karta.tif", "A 27636-2023")</f>
        <v/>
      </c>
      <c r="AA109">
        <f>HYPERLINK("https://klasma.github.io/Logging_0840/klagomål/A 27636-2023 FSC-klagomål.docx", "A 27636-2023")</f>
        <v/>
      </c>
      <c r="AB109">
        <f>HYPERLINK("https://klasma.github.io/Logging_0840/klagomålsmail/A 27636-2023 FSC-klagomål mail.docx", "A 27636-2023")</f>
        <v/>
      </c>
      <c r="AC109">
        <f>HYPERLINK("https://klasma.github.io/Logging_0840/tillsyn/A 27636-2023 tillsynsbegäran.docx", "A 27636-2023")</f>
        <v/>
      </c>
      <c r="AD109">
        <f>HYPERLINK("https://klasma.github.io/Logging_0840/tillsynsmail/A 27636-2023 tillsynsbegäran mail.docx", "A 27636-2023")</f>
        <v/>
      </c>
    </row>
    <row r="110" ht="15" customHeight="1">
      <c r="A110" t="inlineStr">
        <is>
          <t>A 4041-2023</t>
        </is>
      </c>
      <c r="B110" t="inlineStr">
        <is>
          <t>avverkningsanmälan</t>
        </is>
      </c>
      <c r="C110" t="inlineStr">
        <is>
          <t>Föryngringsavverkning</t>
        </is>
      </c>
      <c r="D110" s="1" t="n">
        <v>44952</v>
      </c>
      <c r="E110" s="1" t="n">
        <v>46323</v>
      </c>
      <c r="F110" t="inlineStr">
        <is>
          <t>KALMAR LÄN</t>
        </is>
      </c>
      <c r="G110" t="inlineStr">
        <is>
          <t>OSKARSHAMN</t>
        </is>
      </c>
      <c r="H110" t="inlineStr">
        <is>
          <t>Kommuner</t>
        </is>
      </c>
      <c r="I110" t="n">
        <v>1.7</v>
      </c>
      <c r="J110" t="n">
        <v>5</v>
      </c>
      <c r="K110" t="n">
        <v>4</v>
      </c>
      <c r="L110" t="n">
        <v>2</v>
      </c>
      <c r="M110" t="n">
        <v>2</v>
      </c>
      <c r="N110" t="n">
        <v>0</v>
      </c>
      <c r="O110" t="n">
        <v>0</v>
      </c>
      <c r="P110" t="n">
        <v>0</v>
      </c>
      <c r="Q110" t="n">
        <v>4</v>
      </c>
      <c r="R110" t="n">
        <v>2</v>
      </c>
      <c r="S110" t="n">
        <v>11</v>
      </c>
      <c r="T110" t="n">
        <v>57</v>
      </c>
      <c r="U110" t="n">
        <v>57</v>
      </c>
      <c r="V110" s="2" t="inlineStr">
        <is>
          <t>Grönfink
Knärot
Fjällig taggsvamp s.str.
Tallticka
Blåmossa
Granbarkgnagare
Mindre märgborre
Murgröna
Blåsippa
Spillkråka
Grönsiska</t>
        </is>
      </c>
      <c r="W110">
        <f>HYPERLINK("https://klasma.github.io/Logging_0882/artfynd/A 4041-2023 artfynd.xlsx", "A 4041-2023")</f>
        <v/>
      </c>
      <c r="X110">
        <f>HYPERLINK("https://klasma.github.io/Logging_0882/kartor/A 4041-2023 karta.png", "A 4041-2023")</f>
        <v/>
      </c>
      <c r="Y110">
        <f>HYPERLINK("https://klasma.github.io/Logging_0882/kartor_geotiff/A 4041-2023 georefererad karta.tif", "A 4041-2023")</f>
        <v/>
      </c>
      <c r="Z110">
        <f>HYPERLINK("https://klasma.github.io/Logging_0882/knärot/A 4041-2023 karta knärot.png", "A 4041-2023")</f>
        <v/>
      </c>
      <c r="AA110">
        <f>HYPERLINK("https://klasma.github.io/Logging_0882/klagomål/A 4041-2023 FSC-klagomål.docx", "A 4041-2023")</f>
        <v/>
      </c>
      <c r="AB110">
        <f>HYPERLINK("https://klasma.github.io/Logging_0882/klagomålsmail/A 4041-2023 FSC-klagomål mail.docx", "A 4041-2023")</f>
        <v/>
      </c>
      <c r="AC110">
        <f>HYPERLINK("https://klasma.github.io/Logging_0882/tillsyn/A 4041-2023 tillsynsbegäran.docx", "A 4041-2023")</f>
        <v/>
      </c>
      <c r="AD110">
        <f>HYPERLINK("https://klasma.github.io/Logging_0882/tillsynsmail/A 4041-2023 tillsynsbegäran mail.docx", "A 4041-2023")</f>
        <v/>
      </c>
      <c r="AE110">
        <f>HYPERLINK("https://klasma.github.io/Logging_0882/fåglar/A 4041-2023 prioriterade fågelarter.docx", "A 4041-2023")</f>
        <v/>
      </c>
    </row>
    <row r="111" ht="15" customHeight="1">
      <c r="A111" t="inlineStr">
        <is>
          <t>A 67432-2021</t>
        </is>
      </c>
      <c r="B111" t="inlineStr">
        <is>
          <t>avverkningsanmälan</t>
        </is>
      </c>
      <c r="C111" t="inlineStr">
        <is>
          <t>Föryngringsavverkning</t>
        </is>
      </c>
      <c r="D111" s="1" t="n">
        <v>44523</v>
      </c>
      <c r="E111" s="1" t="n">
        <v>46323</v>
      </c>
      <c r="F111" t="inlineStr">
        <is>
          <t>KALMAR LÄN</t>
        </is>
      </c>
      <c r="G111" t="inlineStr">
        <is>
          <t>BORGHOLM</t>
        </is>
      </c>
      <c r="I111" t="n">
        <v>35</v>
      </c>
      <c r="J111" t="n">
        <v>4</v>
      </c>
      <c r="K111" t="n">
        <v>7</v>
      </c>
      <c r="L111" t="n">
        <v>1</v>
      </c>
      <c r="M111" t="n">
        <v>1</v>
      </c>
      <c r="N111" t="n">
        <v>0</v>
      </c>
      <c r="O111" t="n">
        <v>0</v>
      </c>
      <c r="P111" t="n">
        <v>0</v>
      </c>
      <c r="Q111" t="n">
        <v>2</v>
      </c>
      <c r="R111" t="n">
        <v>1</v>
      </c>
      <c r="S111" t="n">
        <v>11</v>
      </c>
      <c r="T111" t="n">
        <v>17</v>
      </c>
      <c r="U111" t="n">
        <v>10</v>
      </c>
      <c r="V111" s="2" t="inlineStr">
        <is>
          <t>Grov gulmossa
Sårläka
Diskvaxskivling
Grov baronmossa
Guldlockmossa
Murgröna
Nästrot
Skogsknipprot
Svavelriska
Blåsippa
Långbensgroda</t>
        </is>
      </c>
      <c r="W111">
        <f>HYPERLINK("https://klasma.github.io/Logging_0885/artfynd/A 67432-2021 artfynd.xlsx", "A 67432-2021")</f>
        <v/>
      </c>
      <c r="X111">
        <f>HYPERLINK("https://klasma.github.io/Logging_0885/kartor/A 67432-2021 karta.png", "A 67432-2021")</f>
        <v/>
      </c>
      <c r="Y111">
        <f>HYPERLINK("https://klasma.github.io/Logging_0885/kartor_geotiff/A 67432-2021 georefererad karta.tif", "A 67432-2021")</f>
        <v/>
      </c>
      <c r="AA111">
        <f>HYPERLINK("https://klasma.github.io/Logging_0885/klagomål/A 67432-2021 FSC-klagomål.docx", "A 67432-2021")</f>
        <v/>
      </c>
      <c r="AB111">
        <f>HYPERLINK("https://klasma.github.io/Logging_0885/klagomålsmail/A 67432-2021 FSC-klagomål mail.docx", "A 67432-2021")</f>
        <v/>
      </c>
      <c r="AC111">
        <f>HYPERLINK("https://klasma.github.io/Logging_0885/tillsyn/A 67432-2021 tillsynsbegäran.docx", "A 67432-2021")</f>
        <v/>
      </c>
      <c r="AD111">
        <f>HYPERLINK("https://klasma.github.io/Logging_0885/tillsynsmail/A 67432-2021 tillsynsbegäran mail.docx", "A 67432-2021")</f>
        <v/>
      </c>
    </row>
    <row r="112" ht="15" customHeight="1">
      <c r="A112" t="inlineStr">
        <is>
          <t>A 22084-2026</t>
        </is>
      </c>
      <c r="B112" t="inlineStr">
        <is>
          <t>avverkningsanmälan</t>
        </is>
      </c>
      <c r="C112" t="inlineStr">
        <is>
          <t>Föryngringsavverkning</t>
        </is>
      </c>
      <c r="D112" s="1" t="n">
        <v>46153</v>
      </c>
      <c r="E112" s="1" t="n">
        <v>46323</v>
      </c>
      <c r="F112" t="inlineStr">
        <is>
          <t>KALMAR LÄN</t>
        </is>
      </c>
      <c r="G112" t="inlineStr">
        <is>
          <t>NYBRO</t>
        </is>
      </c>
      <c r="H112" t="inlineStr">
        <is>
          <t>Sveaskog</t>
        </is>
      </c>
      <c r="I112" t="n">
        <v>4.6</v>
      </c>
      <c r="J112" t="n">
        <v>10</v>
      </c>
      <c r="K112" t="n">
        <v>1</v>
      </c>
      <c r="L112" t="n">
        <v>4</v>
      </c>
      <c r="M112" t="n">
        <v>0</v>
      </c>
      <c r="N112" t="n">
        <v>0</v>
      </c>
      <c r="O112" t="n">
        <v>0</v>
      </c>
      <c r="P112" t="n">
        <v>0</v>
      </c>
      <c r="Q112" t="n">
        <v>4</v>
      </c>
      <c r="R112" t="n">
        <v>0</v>
      </c>
      <c r="S112" t="n">
        <v>11</v>
      </c>
      <c r="T112" t="n">
        <v>16</v>
      </c>
      <c r="U112" t="n">
        <v>0</v>
      </c>
      <c r="V112" s="2" t="inlineStr">
        <is>
          <t>Barbastell
Fransfladdermus
Nordfladdermus
Talltita
Blomkålssvamp
Järpe
Spillkråka
Dvärgpipistrell
Grönsiska
Kungsfågel
Större brunfladdermus</t>
        </is>
      </c>
      <c r="W112">
        <f>HYPERLINK("https://klasma.github.io/Logging_0881/artfynd/A 22084-2026 artfynd.xlsx", "A 22084-2026")</f>
        <v/>
      </c>
      <c r="X112">
        <f>HYPERLINK("https://klasma.github.io/Logging_0881/kartor/A 22084-2026 karta.png", "A 22084-2026")</f>
        <v/>
      </c>
      <c r="Y112">
        <f>HYPERLINK("https://klasma.github.io/Logging_0881/kartor_geotiff/A 22084-2026 georefererad karta.tif", "A 22084-2026")</f>
        <v/>
      </c>
      <c r="AA112">
        <f>HYPERLINK("https://klasma.github.io/Logging_0881/klagomål/A 22084-2026 FSC-klagomål.docx", "A 22084-2026")</f>
        <v/>
      </c>
      <c r="AB112">
        <f>HYPERLINK("https://klasma.github.io/Logging_0881/klagomålsmail/A 22084-2026 FSC-klagomål mail.docx", "A 22084-2026")</f>
        <v/>
      </c>
      <c r="AC112">
        <f>HYPERLINK("https://klasma.github.io/Logging_0881/tillsyn/A 22084-2026 tillsynsbegäran.docx", "A 22084-2026")</f>
        <v/>
      </c>
      <c r="AD112">
        <f>HYPERLINK("https://klasma.github.io/Logging_0881/tillsynsmail/A 22084-2026 tillsynsbegäran mail.docx", "A 22084-2026")</f>
        <v/>
      </c>
      <c r="AE112">
        <f>HYPERLINK("https://klasma.github.io/Logging_0881/fåglar/A 22084-2026 prioriterade fågelarter.docx", "A 22084-2026")</f>
        <v/>
      </c>
    </row>
    <row r="113" ht="15" customHeight="1">
      <c r="A113" t="inlineStr">
        <is>
          <t>S 3342-2024</t>
        </is>
      </c>
      <c r="B113" t="inlineStr">
        <is>
          <t>samrådsanmälan</t>
        </is>
      </c>
      <c r="C113" t="inlineStr">
        <is>
          <t>Annan skogsbruksåtgärd</t>
        </is>
      </c>
      <c r="D113" s="1" t="n">
        <v>45531</v>
      </c>
      <c r="E113" s="1" t="n">
        <v>46323</v>
      </c>
      <c r="F113" t="inlineStr">
        <is>
          <t>KALMAR LÄN</t>
        </is>
      </c>
      <c r="G113" t="inlineStr">
        <is>
          <t>VÄSTERVIK</t>
        </is>
      </c>
      <c r="H113" t="inlineStr">
        <is>
          <t>Kommuner</t>
        </is>
      </c>
      <c r="I113" t="n">
        <v>4.7</v>
      </c>
      <c r="J113" t="n">
        <v>4</v>
      </c>
      <c r="K113" t="n">
        <v>1</v>
      </c>
      <c r="L113" t="n">
        <v>6</v>
      </c>
      <c r="M113" t="n">
        <v>0</v>
      </c>
      <c r="N113" t="n">
        <v>1</v>
      </c>
      <c r="O113" t="n">
        <v>1</v>
      </c>
      <c r="P113" t="n">
        <v>0</v>
      </c>
      <c r="Q113" t="n">
        <v>8</v>
      </c>
      <c r="R113" t="n">
        <v>2</v>
      </c>
      <c r="S113" t="n">
        <v>11</v>
      </c>
      <c r="T113" t="n">
        <v>17</v>
      </c>
      <c r="U113" t="n">
        <v>1</v>
      </c>
      <c r="V113" s="2" t="inlineStr">
        <is>
          <t>Naverlönn
Ask
Adam och eva
Apollofjäril
Flikros
Lamellsnäcka
Myskmåra
Tallticka
Guldlockmossa
Blåsippa
Gullviva</t>
        </is>
      </c>
      <c r="W113">
        <f>HYPERLINK("https://klasma.github.io/Logging_0883/artfynd/S 3342-2024 artfynd.xlsx", "S 3342-2024")</f>
        <v/>
      </c>
      <c r="X113">
        <f>HYPERLINK("https://klasma.github.io/Logging_0883/kartor/S 3342-2024 karta.png", "S 3342-2024")</f>
        <v/>
      </c>
      <c r="Y113">
        <f>HYPERLINK("https://klasma.github.io/Logging_0883/kartor_geotiff/S 3342-2024 georefererad karta.tif", "S 3342-2024")</f>
        <v/>
      </c>
      <c r="AA113">
        <f>HYPERLINK("https://klasma.github.io/Logging_0883/klagomål/S 3342-2024 FSC-klagomål.docx", "S 3342-2024")</f>
        <v/>
      </c>
      <c r="AB113">
        <f>HYPERLINK("https://klasma.github.io/Logging_0883/klagomålsmail/S 3342-2024 FSC-klagomål mail.docx", "S 3342-2024")</f>
        <v/>
      </c>
      <c r="AC113">
        <f>HYPERLINK("https://klasma.github.io/Logging_0883/tillsyn/S 3342-2024 tillsynsbegäran.docx", "S 3342-2024")</f>
        <v/>
      </c>
      <c r="AD113">
        <f>HYPERLINK("https://klasma.github.io/Logging_0883/tillsynsmail/S 3342-2024 tillsynsbegäran mail.docx", "S 3342-2024")</f>
        <v/>
      </c>
    </row>
    <row r="114" ht="15" customHeight="1">
      <c r="A114" t="inlineStr">
        <is>
          <t>S 10038-2021</t>
        </is>
      </c>
      <c r="B114" t="inlineStr">
        <is>
          <t>samrådsanmälan</t>
        </is>
      </c>
      <c r="C114" t="inlineStr">
        <is>
          <t>Åtgärd i nyckelbiotop</t>
        </is>
      </c>
      <c r="D114" s="1" t="n">
        <v>44537</v>
      </c>
      <c r="E114" s="1" t="n">
        <v>46323</v>
      </c>
      <c r="F114" t="inlineStr">
        <is>
          <t>KALMAR LÄN</t>
        </is>
      </c>
      <c r="G114" t="inlineStr">
        <is>
          <t>MÖNSTERÅS</t>
        </is>
      </c>
      <c r="H114" t="inlineStr">
        <is>
          <t>Kyrkan</t>
        </is>
      </c>
      <c r="I114" t="n">
        <v>5.4</v>
      </c>
      <c r="J114" t="n">
        <v>3</v>
      </c>
      <c r="K114" t="n">
        <v>2</v>
      </c>
      <c r="L114" t="n">
        <v>4</v>
      </c>
      <c r="M114" t="n">
        <v>3</v>
      </c>
      <c r="N114" t="n">
        <v>0</v>
      </c>
      <c r="O114" t="n">
        <v>0</v>
      </c>
      <c r="P114" t="n">
        <v>0</v>
      </c>
      <c r="Q114" t="n">
        <v>7</v>
      </c>
      <c r="R114" t="n">
        <v>3</v>
      </c>
      <c r="S114" t="n">
        <v>11</v>
      </c>
      <c r="T114" t="n">
        <v>12</v>
      </c>
      <c r="U114" t="n">
        <v>3</v>
      </c>
      <c r="V114" s="2" t="inlineStr">
        <is>
          <t>Glänsande blombagge
Hjärtstilla
Linddyna
Enfärgad brandsvampbagge
Mindre hackspett
Svartspetsad rödrock
Vårärt
Bokoxe
Lindbock
Blåsippa
Gullviva</t>
        </is>
      </c>
      <c r="W114">
        <f>HYPERLINK("https://klasma.github.io/Logging_0861/artfynd/S 10038-2021 artfynd.xlsx", "S 10038-2021")</f>
        <v/>
      </c>
      <c r="X114">
        <f>HYPERLINK("https://klasma.github.io/Logging_0861/kartor/S 10038-2021 karta.png", "S 10038-2021")</f>
        <v/>
      </c>
      <c r="Y114">
        <f>HYPERLINK("https://klasma.github.io/Logging_0861/kartor_geotiff/S 10038-2021 georefererad karta.tif", "S 10038-2021")</f>
        <v/>
      </c>
      <c r="AA114">
        <f>HYPERLINK("https://klasma.github.io/Logging_0861/klagomål/S 10038-2021 FSC-klagomål.docx", "S 10038-2021")</f>
        <v/>
      </c>
      <c r="AB114">
        <f>HYPERLINK("https://klasma.github.io/Logging_0861/klagomålsmail/S 10038-2021 FSC-klagomål mail.docx", "S 10038-2021")</f>
        <v/>
      </c>
      <c r="AC114">
        <f>HYPERLINK("https://klasma.github.io/Logging_0861/tillsyn/S 10038-2021 tillsynsbegäran.docx", "S 10038-2021")</f>
        <v/>
      </c>
      <c r="AD114">
        <f>HYPERLINK("https://klasma.github.io/Logging_0861/tillsynsmail/S 10038-2021 tillsynsbegäran mail.docx", "S 10038-2021")</f>
        <v/>
      </c>
      <c r="AE114">
        <f>HYPERLINK("https://klasma.github.io/Logging_0861/fåglar/S 10038-2021 prioriterade fågelarter.docx", "S 10038-2021")</f>
        <v/>
      </c>
    </row>
    <row r="115" ht="15" customHeight="1">
      <c r="A115" t="inlineStr">
        <is>
          <t>S 2346-2024</t>
        </is>
      </c>
      <c r="B115" t="inlineStr">
        <is>
          <t>samrådsanmälan</t>
        </is>
      </c>
      <c r="C115" t="inlineStr">
        <is>
          <t>Annan skogsbruksåtgärd</t>
        </is>
      </c>
      <c r="D115" s="1" t="n">
        <v>45467</v>
      </c>
      <c r="E115" s="1" t="n">
        <v>46323</v>
      </c>
      <c r="F115" t="inlineStr">
        <is>
          <t>KALMAR LÄN</t>
        </is>
      </c>
      <c r="G115" t="inlineStr">
        <is>
          <t>VÄSTERVIK</t>
        </is>
      </c>
      <c r="H115" t="inlineStr">
        <is>
          <t>Kommuner</t>
        </is>
      </c>
      <c r="I115" t="n">
        <v>3.4</v>
      </c>
      <c r="J115" t="n">
        <v>3</v>
      </c>
      <c r="K115" t="n">
        <v>3</v>
      </c>
      <c r="L115" t="n">
        <v>5</v>
      </c>
      <c r="M115" t="n">
        <v>1</v>
      </c>
      <c r="N115" t="n">
        <v>0</v>
      </c>
      <c r="O115" t="n">
        <v>0</v>
      </c>
      <c r="P115" t="n">
        <v>0</v>
      </c>
      <c r="Q115" t="n">
        <v>6</v>
      </c>
      <c r="R115" t="n">
        <v>1</v>
      </c>
      <c r="S115" t="n">
        <v>11</v>
      </c>
      <c r="T115" t="n">
        <v>29</v>
      </c>
      <c r="U115" t="n">
        <v>15</v>
      </c>
      <c r="V115" s="2" t="inlineStr">
        <is>
          <t>Skogskorn
Blekticka
Desmeknopp
Mindre hackspett
Svinrot
Vårärt
Myskmadra
Nästrot
Vätteros
Blåsippa
Mörk lungört</t>
        </is>
      </c>
      <c r="W115">
        <f>HYPERLINK("https://klasma.github.io/Logging_0883/artfynd/S 2346-2024 artfynd.xlsx", "S 2346-2024")</f>
        <v/>
      </c>
      <c r="X115">
        <f>HYPERLINK("https://klasma.github.io/Logging_0883/kartor/S 2346-2024 karta.png", "S 2346-2024")</f>
        <v/>
      </c>
      <c r="Y115">
        <f>HYPERLINK("https://klasma.github.io/Logging_0883/kartor_geotiff/S 2346-2024 georefererad karta.tif", "S 2346-2024")</f>
        <v/>
      </c>
      <c r="AA115">
        <f>HYPERLINK("https://klasma.github.io/Logging_0883/klagomål/S 2346-2024 FSC-klagomål.docx", "S 2346-2024")</f>
        <v/>
      </c>
      <c r="AB115">
        <f>HYPERLINK("https://klasma.github.io/Logging_0883/klagomålsmail/S 2346-2024 FSC-klagomål mail.docx", "S 2346-2024")</f>
        <v/>
      </c>
      <c r="AC115">
        <f>HYPERLINK("https://klasma.github.io/Logging_0883/tillsyn/S 2346-2024 tillsynsbegäran.docx", "S 2346-2024")</f>
        <v/>
      </c>
      <c r="AD115">
        <f>HYPERLINK("https://klasma.github.io/Logging_0883/tillsynsmail/S 2346-2024 tillsynsbegäran mail.docx", "S 2346-2024")</f>
        <v/>
      </c>
      <c r="AE115">
        <f>HYPERLINK("https://klasma.github.io/Logging_0883/fåglar/S 2346-2024 prioriterade fågelarter.docx", "S 2346-2024")</f>
        <v/>
      </c>
    </row>
    <row r="116" ht="15" customHeight="1">
      <c r="A116" t="inlineStr">
        <is>
          <t>A 29656-2023</t>
        </is>
      </c>
      <c r="B116" t="inlineStr">
        <is>
          <t>avverkningsanmälan</t>
        </is>
      </c>
      <c r="C116" t="inlineStr">
        <is>
          <t>Föryngringsavverkning</t>
        </is>
      </c>
      <c r="D116" s="1" t="n">
        <v>45107</v>
      </c>
      <c r="E116" s="1" t="n">
        <v>46323</v>
      </c>
      <c r="F116" t="inlineStr">
        <is>
          <t>KALMAR LÄN</t>
        </is>
      </c>
      <c r="G116" t="inlineStr">
        <is>
          <t>BORGHOLM</t>
        </is>
      </c>
      <c r="I116" t="n">
        <v>4.1</v>
      </c>
      <c r="J116" t="n">
        <v>0</v>
      </c>
      <c r="K116" t="n">
        <v>4</v>
      </c>
      <c r="L116" t="n">
        <v>3</v>
      </c>
      <c r="M116" t="n">
        <v>3</v>
      </c>
      <c r="N116" t="n">
        <v>0</v>
      </c>
      <c r="O116" t="n">
        <v>0</v>
      </c>
      <c r="P116" t="n">
        <v>0</v>
      </c>
      <c r="Q116" t="n">
        <v>6</v>
      </c>
      <c r="R116" t="n">
        <v>3</v>
      </c>
      <c r="S116" t="n">
        <v>10</v>
      </c>
      <c r="T116" t="n">
        <v>15</v>
      </c>
      <c r="U116" t="n">
        <v>1</v>
      </c>
      <c r="V116" s="2" t="inlineStr">
        <is>
          <t>Blå halmlav
Klosterlav
Mörk kraterlav
Gammelekslav
Gul dropplav
Oxtungssvamp
Grå skärelav
Gulpudrad spiklav
Lönnlav
Tvåfläckig praktbagge</t>
        </is>
      </c>
      <c r="W116">
        <f>HYPERLINK("https://klasma.github.io/Logging_0885/artfynd/A 29656-2023 artfynd.xlsx", "A 29656-2023")</f>
        <v/>
      </c>
      <c r="X116">
        <f>HYPERLINK("https://klasma.github.io/Logging_0885/kartor/A 29656-2023 karta.png", "A 29656-2023")</f>
        <v/>
      </c>
      <c r="Y116">
        <f>HYPERLINK("https://klasma.github.io/Logging_0885/kartor_geotiff/A 29656-2023 georefererad karta.tif", "A 29656-2023")</f>
        <v/>
      </c>
      <c r="AA116">
        <f>HYPERLINK("https://klasma.github.io/Logging_0885/klagomål/A 29656-2023 FSC-klagomål.docx", "A 29656-2023")</f>
        <v/>
      </c>
      <c r="AB116">
        <f>HYPERLINK("https://klasma.github.io/Logging_0885/klagomålsmail/A 29656-2023 FSC-klagomål mail.docx", "A 29656-2023")</f>
        <v/>
      </c>
      <c r="AC116">
        <f>HYPERLINK("https://klasma.github.io/Logging_0885/tillsyn/A 29656-2023 tillsynsbegäran.docx", "A 29656-2023")</f>
        <v/>
      </c>
      <c r="AD116">
        <f>HYPERLINK("https://klasma.github.io/Logging_0885/tillsynsmail/A 29656-2023 tillsynsbegäran mail.docx", "A 29656-2023")</f>
        <v/>
      </c>
    </row>
    <row r="117" ht="15" customHeight="1">
      <c r="A117" t="inlineStr">
        <is>
          <t>A 8929-2023</t>
        </is>
      </c>
      <c r="B117" t="inlineStr">
        <is>
          <t>avverkningsanmälan</t>
        </is>
      </c>
      <c r="C117" t="inlineStr">
        <is>
          <t>Avverkning för annat ändamål</t>
        </is>
      </c>
      <c r="D117" s="1" t="n">
        <v>44979</v>
      </c>
      <c r="E117" s="1" t="n">
        <v>46323</v>
      </c>
      <c r="F117" t="inlineStr">
        <is>
          <t>KALMAR LÄN</t>
        </is>
      </c>
      <c r="G117" t="inlineStr">
        <is>
          <t>KALMAR</t>
        </is>
      </c>
      <c r="I117" t="n">
        <v>33.1</v>
      </c>
      <c r="J117" t="n">
        <v>8</v>
      </c>
      <c r="K117" t="n">
        <v>0</v>
      </c>
      <c r="L117" t="n">
        <v>3</v>
      </c>
      <c r="M117" t="n">
        <v>3</v>
      </c>
      <c r="N117" t="n">
        <v>0</v>
      </c>
      <c r="O117" t="n">
        <v>0</v>
      </c>
      <c r="P117" t="n">
        <v>0</v>
      </c>
      <c r="Q117" t="n">
        <v>6</v>
      </c>
      <c r="R117" t="n">
        <v>3</v>
      </c>
      <c r="S117" t="n">
        <v>10</v>
      </c>
      <c r="T117" t="n">
        <v>11</v>
      </c>
      <c r="U117" t="n">
        <v>5</v>
      </c>
      <c r="V117" s="2" t="inlineStr">
        <is>
          <t>Gråtrut
Sandödla
Tofsvipa
Gullklöver
Kandelabersvamp
Ladusvala
Större vattensalamander
Sångsvan
Trana
Vanlig snok</t>
        </is>
      </c>
      <c r="W117">
        <f>HYPERLINK("https://klasma.github.io/Logging_0880/artfynd/A 8929-2023 artfynd.xlsx", "A 8929-2023")</f>
        <v/>
      </c>
      <c r="X117">
        <f>HYPERLINK("https://klasma.github.io/Logging_0880/kartor/A 8929-2023 karta.png", "A 8929-2023")</f>
        <v/>
      </c>
      <c r="Y117">
        <f>HYPERLINK("https://klasma.github.io/Logging_0880/kartor_geotiff/A 8929-2023 georefererad karta.tif", "A 8929-2023")</f>
        <v/>
      </c>
      <c r="AA117">
        <f>HYPERLINK("https://klasma.github.io/Logging_0880/klagomål/A 8929-2023 FSC-klagomål.docx", "A 8929-2023")</f>
        <v/>
      </c>
      <c r="AB117">
        <f>HYPERLINK("https://klasma.github.io/Logging_0880/klagomålsmail/A 8929-2023 FSC-klagomål mail.docx", "A 8929-2023")</f>
        <v/>
      </c>
      <c r="AC117">
        <f>HYPERLINK("https://klasma.github.io/Logging_0880/tillsyn/A 8929-2023 tillsynsbegäran.docx", "A 8929-2023")</f>
        <v/>
      </c>
      <c r="AD117">
        <f>HYPERLINK("https://klasma.github.io/Logging_0880/tillsynsmail/A 8929-2023 tillsynsbegäran mail.docx", "A 8929-2023")</f>
        <v/>
      </c>
      <c r="AE117">
        <f>HYPERLINK("https://klasma.github.io/Logging_0880/fåglar/A 8929-2023 prioriterade fågelarter.docx", "A 8929-2023")</f>
        <v/>
      </c>
    </row>
    <row r="118" ht="15" customHeight="1">
      <c r="A118" t="inlineStr">
        <is>
          <t>A 10887-2025</t>
        </is>
      </c>
      <c r="B118" t="inlineStr">
        <is>
          <t>avverkningsanmälan</t>
        </is>
      </c>
      <c r="C118" t="inlineStr">
        <is>
          <t>Föryngringsavverkning</t>
        </is>
      </c>
      <c r="D118" s="1" t="n">
        <v>45722</v>
      </c>
      <c r="E118" s="1" t="n">
        <v>46323</v>
      </c>
      <c r="F118" t="inlineStr">
        <is>
          <t>KALMAR LÄN</t>
        </is>
      </c>
      <c r="G118" t="inlineStr">
        <is>
          <t>OSKARSHAMN</t>
        </is>
      </c>
      <c r="I118" t="n">
        <v>1.5</v>
      </c>
      <c r="J118" t="n">
        <v>4</v>
      </c>
      <c r="K118" t="n">
        <v>0</v>
      </c>
      <c r="L118" t="n">
        <v>6</v>
      </c>
      <c r="M118" t="n">
        <v>1</v>
      </c>
      <c r="N118" t="n">
        <v>0</v>
      </c>
      <c r="O118" t="n">
        <v>0</v>
      </c>
      <c r="P118" t="n">
        <v>0</v>
      </c>
      <c r="Q118" t="n">
        <v>7</v>
      </c>
      <c r="R118" t="n">
        <v>1</v>
      </c>
      <c r="S118" t="n">
        <v>10</v>
      </c>
      <c r="T118" t="n">
        <v>11</v>
      </c>
      <c r="U118" t="n">
        <v>10</v>
      </c>
      <c r="V118" s="2" t="inlineStr">
        <is>
          <t>Bredgentiana
Backklöver
Gullklöver
Jungfrulin
Slåtterfibbla
Solvända
Spindelört
Brudsporre
Nattviol
Gullviva</t>
        </is>
      </c>
      <c r="W118">
        <f>HYPERLINK("https://klasma.github.io/Logging_0882/artfynd/A 10887-2025 artfynd.xlsx", "A 10887-2025")</f>
        <v/>
      </c>
      <c r="X118">
        <f>HYPERLINK("https://klasma.github.io/Logging_0882/kartor/A 10887-2025 karta.png", "A 10887-2025")</f>
        <v/>
      </c>
      <c r="Y118">
        <f>HYPERLINK("https://klasma.github.io/Logging_0882/kartor_geotiff/A 10887-2025 georefererad karta.tif", "A 10887-2025")</f>
        <v/>
      </c>
      <c r="AA118">
        <f>HYPERLINK("https://klasma.github.io/Logging_0882/klagomål/A 10887-2025 FSC-klagomål.docx", "A 10887-2025")</f>
        <v/>
      </c>
      <c r="AB118">
        <f>HYPERLINK("https://klasma.github.io/Logging_0882/klagomålsmail/A 10887-2025 FSC-klagomål mail.docx", "A 10887-2025")</f>
        <v/>
      </c>
      <c r="AC118">
        <f>HYPERLINK("https://klasma.github.io/Logging_0882/tillsyn/A 10887-2025 tillsynsbegäran.docx", "A 10887-2025")</f>
        <v/>
      </c>
      <c r="AD118">
        <f>HYPERLINK("https://klasma.github.io/Logging_0882/tillsynsmail/A 10887-2025 tillsynsbegäran mail.docx", "A 10887-2025")</f>
        <v/>
      </c>
    </row>
    <row r="119" ht="15" customHeight="1">
      <c r="A119" t="inlineStr">
        <is>
          <t>A 32178-2022</t>
        </is>
      </c>
      <c r="B119" t="inlineStr">
        <is>
          <t>avverkningsanmälan</t>
        </is>
      </c>
      <c r="C119" t="inlineStr">
        <is>
          <t>Avverkning för att bevara och utveckla /försöksver</t>
        </is>
      </c>
      <c r="D119" s="1" t="n">
        <v>44781</v>
      </c>
      <c r="E119" s="1" t="n">
        <v>46323</v>
      </c>
      <c r="F119" t="inlineStr">
        <is>
          <t>KALMAR LÄN</t>
        </is>
      </c>
      <c r="G119" t="inlineStr">
        <is>
          <t>BORGHOLM</t>
        </is>
      </c>
      <c r="H119" t="inlineStr">
        <is>
          <t>Sveaskog</t>
        </is>
      </c>
      <c r="I119" t="n">
        <v>3.8</v>
      </c>
      <c r="J119" t="n">
        <v>4</v>
      </c>
      <c r="K119" t="n">
        <v>4</v>
      </c>
      <c r="L119" t="n">
        <v>3</v>
      </c>
      <c r="M119" t="n">
        <v>0</v>
      </c>
      <c r="N119" t="n">
        <v>1</v>
      </c>
      <c r="O119" t="n">
        <v>1</v>
      </c>
      <c r="P119" t="n">
        <v>0</v>
      </c>
      <c r="Q119" t="n">
        <v>5</v>
      </c>
      <c r="R119" t="n">
        <v>2</v>
      </c>
      <c r="S119" t="n">
        <v>10</v>
      </c>
      <c r="T119" t="n">
        <v>22</v>
      </c>
      <c r="U119" t="n">
        <v>12</v>
      </c>
      <c r="V119" s="2" t="inlineStr">
        <is>
          <t>Järnek
Skogsalm
Fyrflikig jordstjärna
Grantaggsvamp
Grönsångare
Kalktallört
Kamjordstjärna
Skogsknipprot
Tvåblad
Kungsfågel</t>
        </is>
      </c>
      <c r="W119">
        <f>HYPERLINK("https://klasma.github.io/Logging_0885/artfynd/A 32178-2022 artfynd.xlsx", "A 32178-2022")</f>
        <v/>
      </c>
      <c r="X119">
        <f>HYPERLINK("https://klasma.github.io/Logging_0885/kartor/A 32178-2022 karta.png", "A 32178-2022")</f>
        <v/>
      </c>
      <c r="Y119">
        <f>HYPERLINK("https://klasma.github.io/Logging_0885/kartor_geotiff/A 32178-2022 georefererad karta.tif", "A 32178-2022")</f>
        <v/>
      </c>
      <c r="AA119">
        <f>HYPERLINK("https://klasma.github.io/Logging_0885/klagomål/A 32178-2022 FSC-klagomål.docx", "A 32178-2022")</f>
        <v/>
      </c>
      <c r="AB119">
        <f>HYPERLINK("https://klasma.github.io/Logging_0885/klagomålsmail/A 32178-2022 FSC-klagomål mail.docx", "A 32178-2022")</f>
        <v/>
      </c>
      <c r="AC119">
        <f>HYPERLINK("https://klasma.github.io/Logging_0885/tillsyn/A 32178-2022 tillsynsbegäran.docx", "A 32178-2022")</f>
        <v/>
      </c>
      <c r="AD119">
        <f>HYPERLINK("https://klasma.github.io/Logging_0885/tillsynsmail/A 32178-2022 tillsynsbegäran mail.docx", "A 32178-2022")</f>
        <v/>
      </c>
      <c r="AE119">
        <f>HYPERLINK("https://klasma.github.io/Logging_0885/fåglar/A 32178-2022 prioriterade fågelarter.docx", "A 32178-2022")</f>
        <v/>
      </c>
    </row>
    <row r="120" ht="15" customHeight="1">
      <c r="A120" t="inlineStr">
        <is>
          <t>A 3290-2025</t>
        </is>
      </c>
      <c r="B120" t="inlineStr">
        <is>
          <t>avverkningsanmälan</t>
        </is>
      </c>
      <c r="C120" t="inlineStr">
        <is>
          <t>Föryngringsavverkning</t>
        </is>
      </c>
      <c r="D120" s="1" t="n">
        <v>45679</v>
      </c>
      <c r="E120" s="1" t="n">
        <v>46323</v>
      </c>
      <c r="F120" t="inlineStr">
        <is>
          <t>KALMAR LÄN</t>
        </is>
      </c>
      <c r="G120" t="inlineStr">
        <is>
          <t>MÖNSTERÅS</t>
        </is>
      </c>
      <c r="I120" t="n">
        <v>3.5</v>
      </c>
      <c r="J120" t="n">
        <v>7</v>
      </c>
      <c r="K120" t="n">
        <v>2</v>
      </c>
      <c r="L120" t="n">
        <v>3</v>
      </c>
      <c r="M120" t="n">
        <v>1</v>
      </c>
      <c r="N120" t="n">
        <v>0</v>
      </c>
      <c r="O120" t="n">
        <v>0</v>
      </c>
      <c r="P120" t="n">
        <v>0</v>
      </c>
      <c r="Q120" t="n">
        <v>4</v>
      </c>
      <c r="R120" t="n">
        <v>1</v>
      </c>
      <c r="S120" t="n">
        <v>10</v>
      </c>
      <c r="T120" t="n">
        <v>65</v>
      </c>
      <c r="U120" t="n">
        <v>49</v>
      </c>
      <c r="V120" s="2" t="inlineStr">
        <is>
          <t>Knärot
Duvhök
Mindre hackspett
Tallticka
Blåmossa
Grönpyrola
Mattlummer
Spillkråka
Grönsiska
Kungsfågel</t>
        </is>
      </c>
      <c r="W120">
        <f>HYPERLINK("https://klasma.github.io/Logging_0861/artfynd/A 3290-2025 artfynd.xlsx", "A 3290-2025")</f>
        <v/>
      </c>
      <c r="X120">
        <f>HYPERLINK("https://klasma.github.io/Logging_0861/kartor/A 3290-2025 karta.png", "A 3290-2025")</f>
        <v/>
      </c>
      <c r="Y120">
        <f>HYPERLINK("https://klasma.github.io/Logging_0861/kartor_geotiff/A 3290-2025 georefererad karta.tif", "A 3290-2025")</f>
        <v/>
      </c>
      <c r="Z120">
        <f>HYPERLINK("https://klasma.github.io/Logging_0861/knärot/A 3290-2025 karta knärot.png", "A 3290-2025")</f>
        <v/>
      </c>
      <c r="AA120">
        <f>HYPERLINK("https://klasma.github.io/Logging_0861/klagomål/A 3290-2025 FSC-klagomål.docx", "A 3290-2025")</f>
        <v/>
      </c>
      <c r="AB120">
        <f>HYPERLINK("https://klasma.github.io/Logging_0861/klagomålsmail/A 3290-2025 FSC-klagomål mail.docx", "A 3290-2025")</f>
        <v/>
      </c>
      <c r="AC120">
        <f>HYPERLINK("https://klasma.github.io/Logging_0861/tillsyn/A 3290-2025 tillsynsbegäran.docx", "A 3290-2025")</f>
        <v/>
      </c>
      <c r="AD120">
        <f>HYPERLINK("https://klasma.github.io/Logging_0861/tillsynsmail/A 3290-2025 tillsynsbegäran mail.docx", "A 3290-2025")</f>
        <v/>
      </c>
      <c r="AE120">
        <f>HYPERLINK("https://klasma.github.io/Logging_0861/fåglar/A 3290-2025 prioriterade fågelarter.docx", "A 3290-2025")</f>
        <v/>
      </c>
    </row>
    <row r="121" ht="15" customHeight="1">
      <c r="A121" t="inlineStr">
        <is>
          <t>A 15600-2025</t>
        </is>
      </c>
      <c r="B121" t="inlineStr">
        <is>
          <t>avverkningsanmälan</t>
        </is>
      </c>
      <c r="C121" t="inlineStr">
        <is>
          <t>Avverkning för annat ändamål</t>
        </is>
      </c>
      <c r="D121" s="1" t="n">
        <v>45747</v>
      </c>
      <c r="E121" s="1" t="n">
        <v>46323</v>
      </c>
      <c r="F121" t="inlineStr">
        <is>
          <t>KALMAR LÄN</t>
        </is>
      </c>
      <c r="G121" t="inlineStr">
        <is>
          <t>MÖRBYLÅNGA</t>
        </is>
      </c>
      <c r="I121" t="n">
        <v>1.1</v>
      </c>
      <c r="J121" t="n">
        <v>3</v>
      </c>
      <c r="K121" t="n">
        <v>4</v>
      </c>
      <c r="L121" t="n">
        <v>0</v>
      </c>
      <c r="M121" t="n">
        <v>0</v>
      </c>
      <c r="N121" t="n">
        <v>1</v>
      </c>
      <c r="O121" t="n">
        <v>0</v>
      </c>
      <c r="P121" t="n">
        <v>0</v>
      </c>
      <c r="Q121" t="n">
        <v>1</v>
      </c>
      <c r="R121" t="n">
        <v>1</v>
      </c>
      <c r="S121" t="n">
        <v>10</v>
      </c>
      <c r="T121" t="n">
        <v>20</v>
      </c>
      <c r="U121" t="n">
        <v>18</v>
      </c>
      <c r="V121" s="2" t="inlineStr">
        <is>
          <t>Ask
Kragjordstjärna
Murgröna
Scharlakansvårskål agg.
Tibast
Blåsippa
Skärmstarr
Spillkråka
Storrams
Röd glada</t>
        </is>
      </c>
      <c r="W121">
        <f>HYPERLINK("https://klasma.github.io/Logging_0840/artfynd/A 15600-2025 artfynd.xlsx", "A 15600-2025")</f>
        <v/>
      </c>
      <c r="X121">
        <f>HYPERLINK("https://klasma.github.io/Logging_0840/kartor/A 15600-2025 karta.png", "A 15600-2025")</f>
        <v/>
      </c>
      <c r="Y121">
        <f>HYPERLINK("https://klasma.github.io/Logging_0840/kartor_geotiff/A 15600-2025 georefererad karta.tif", "A 15600-2025")</f>
        <v/>
      </c>
      <c r="AA121">
        <f>HYPERLINK("https://klasma.github.io/Logging_0840/klagomål/A 15600-2025 FSC-klagomål.docx", "A 15600-2025")</f>
        <v/>
      </c>
      <c r="AB121">
        <f>HYPERLINK("https://klasma.github.io/Logging_0840/klagomålsmail/A 15600-2025 FSC-klagomål mail.docx", "A 15600-2025")</f>
        <v/>
      </c>
      <c r="AC121">
        <f>HYPERLINK("https://klasma.github.io/Logging_0840/tillsyn/A 15600-2025 tillsynsbegäran.docx", "A 15600-2025")</f>
        <v/>
      </c>
      <c r="AD121">
        <f>HYPERLINK("https://klasma.github.io/Logging_0840/tillsynsmail/A 15600-2025 tillsynsbegäran mail.docx", "A 15600-2025")</f>
        <v/>
      </c>
      <c r="AE121">
        <f>HYPERLINK("https://klasma.github.io/Logging_0840/fåglar/A 15600-2025 prioriterade fågelarter.docx", "A 15600-2025")</f>
        <v/>
      </c>
    </row>
    <row r="122" ht="15" customHeight="1">
      <c r="A122" t="inlineStr">
        <is>
          <t>A 52175-2023</t>
        </is>
      </c>
      <c r="B122" t="inlineStr">
        <is>
          <t>avverkningsanmälan</t>
        </is>
      </c>
      <c r="C122" t="inlineStr">
        <is>
          <t>Föryngringsavverkning</t>
        </is>
      </c>
      <c r="D122" s="1" t="n">
        <v>45224</v>
      </c>
      <c r="E122" s="1" t="n">
        <v>46323</v>
      </c>
      <c r="F122" t="inlineStr">
        <is>
          <t>KALMAR LÄN</t>
        </is>
      </c>
      <c r="G122" t="inlineStr">
        <is>
          <t>HÖGSBY</t>
        </is>
      </c>
      <c r="I122" t="n">
        <v>17.1</v>
      </c>
      <c r="J122" t="n">
        <v>2</v>
      </c>
      <c r="K122" t="n">
        <v>4</v>
      </c>
      <c r="L122" t="n">
        <v>4</v>
      </c>
      <c r="M122" t="n">
        <v>0</v>
      </c>
      <c r="N122" t="n">
        <v>0</v>
      </c>
      <c r="O122" t="n">
        <v>0</v>
      </c>
      <c r="P122" t="n">
        <v>0</v>
      </c>
      <c r="Q122" t="n">
        <v>4</v>
      </c>
      <c r="R122" t="n">
        <v>0</v>
      </c>
      <c r="S122" t="n">
        <v>10</v>
      </c>
      <c r="T122" t="n">
        <v>20</v>
      </c>
      <c r="U122" t="n">
        <v>20</v>
      </c>
      <c r="V122" s="2" t="inlineStr">
        <is>
          <t>Dvärgbägarlav
Motaggsvamp
Tallticka
Vedskivlav
Blomskägglav
Blåmossa
Flagellkvastmossa
Mindre märgborre
Spillkråka
Lopplummer (aggregat)</t>
        </is>
      </c>
      <c r="W122">
        <f>HYPERLINK("https://klasma.github.io/Logging_0821/artfynd/A 52175-2023 artfynd.xlsx", "A 52175-2023")</f>
        <v/>
      </c>
      <c r="X122">
        <f>HYPERLINK("https://klasma.github.io/Logging_0821/kartor/A 52175-2023 karta.png", "A 52175-2023")</f>
        <v/>
      </c>
      <c r="Y122">
        <f>HYPERLINK("https://klasma.github.io/Logging_0821/kartor_geotiff/A 52175-2023 georefererad karta.tif", "A 52175-2023")</f>
        <v/>
      </c>
      <c r="AA122">
        <f>HYPERLINK("https://klasma.github.io/Logging_0821/klagomål/A 52175-2023 FSC-klagomål.docx", "A 52175-2023")</f>
        <v/>
      </c>
      <c r="AB122">
        <f>HYPERLINK("https://klasma.github.io/Logging_0821/klagomålsmail/A 52175-2023 FSC-klagomål mail.docx", "A 52175-2023")</f>
        <v/>
      </c>
      <c r="AC122">
        <f>HYPERLINK("https://klasma.github.io/Logging_0821/tillsyn/A 52175-2023 tillsynsbegäran.docx", "A 52175-2023")</f>
        <v/>
      </c>
      <c r="AD122">
        <f>HYPERLINK("https://klasma.github.io/Logging_0821/tillsynsmail/A 52175-2023 tillsynsbegäran mail.docx", "A 52175-2023")</f>
        <v/>
      </c>
      <c r="AE122">
        <f>HYPERLINK("https://klasma.github.io/Logging_0821/fåglar/A 52175-2023 prioriterade fågelarter.docx", "A 52175-2023")</f>
        <v/>
      </c>
    </row>
    <row r="123" ht="15" customHeight="1">
      <c r="A123" t="inlineStr">
        <is>
          <t>A 29379-2026</t>
        </is>
      </c>
      <c r="B123" t="inlineStr">
        <is>
          <t>avverkningsanmälan</t>
        </is>
      </c>
      <c r="C123" t="inlineStr">
        <is>
          <t>Föryngringsavverkning</t>
        </is>
      </c>
      <c r="D123" s="1" t="n">
        <v>46203</v>
      </c>
      <c r="E123" s="1" t="n">
        <v>46323</v>
      </c>
      <c r="F123" t="inlineStr">
        <is>
          <t>KALMAR LÄN</t>
        </is>
      </c>
      <c r="G123" t="inlineStr">
        <is>
          <t>MÖNSTERÅS</t>
        </is>
      </c>
      <c r="I123" t="n">
        <v>4.5</v>
      </c>
      <c r="J123" t="n">
        <v>4</v>
      </c>
      <c r="K123" t="n">
        <v>3</v>
      </c>
      <c r="L123" t="n">
        <v>3</v>
      </c>
      <c r="M123" t="n">
        <v>1</v>
      </c>
      <c r="N123" t="n">
        <v>0</v>
      </c>
      <c r="O123" t="n">
        <v>0</v>
      </c>
      <c r="P123" t="n">
        <v>0</v>
      </c>
      <c r="Q123" t="n">
        <v>4</v>
      </c>
      <c r="R123" t="n">
        <v>1</v>
      </c>
      <c r="S123" t="n">
        <v>10</v>
      </c>
      <c r="T123" t="n">
        <v>34</v>
      </c>
      <c r="U123" t="n">
        <v>34</v>
      </c>
      <c r="V123" s="2" t="inlineStr">
        <is>
          <t>Knärot
Gropticka
Motaggsvamp
Tallticka
Blomkålssvamp
Blåmossa
Grönpyrola
Spillkråka
Tofsmes
Revlummer</t>
        </is>
      </c>
      <c r="W123">
        <f>HYPERLINK("https://klasma.github.io/Logging_0861/artfynd/A 29379-2026 artfynd.xlsx", "A 29379-2026")</f>
        <v/>
      </c>
      <c r="X123">
        <f>HYPERLINK("https://klasma.github.io/Logging_0861/kartor/A 29379-2026 karta.png", "A 29379-2026")</f>
        <v/>
      </c>
      <c r="Y123">
        <f>HYPERLINK("https://klasma.github.io/Logging_0861/kartor_geotiff/A 29379-2026 georefererad karta.tif", "A 29379-2026")</f>
        <v/>
      </c>
      <c r="Z123">
        <f>HYPERLINK("https://klasma.github.io/Logging_0861/knärot/A 29379-2026 karta knärot.png", "A 29379-2026")</f>
        <v/>
      </c>
      <c r="AA123">
        <f>HYPERLINK("https://klasma.github.io/Logging_0861/klagomål/A 29379-2026 FSC-klagomål.docx", "A 29379-2026")</f>
        <v/>
      </c>
      <c r="AB123">
        <f>HYPERLINK("https://klasma.github.io/Logging_0861/klagomålsmail/A 29379-2026 FSC-klagomål mail.docx", "A 29379-2026")</f>
        <v/>
      </c>
      <c r="AC123">
        <f>HYPERLINK("https://klasma.github.io/Logging_0861/tillsyn/A 29379-2026 tillsynsbegäran.docx", "A 29379-2026")</f>
        <v/>
      </c>
      <c r="AD123">
        <f>HYPERLINK("https://klasma.github.io/Logging_0861/tillsynsmail/A 29379-2026 tillsynsbegäran mail.docx", "A 29379-2026")</f>
        <v/>
      </c>
      <c r="AE123">
        <f>HYPERLINK("https://klasma.github.io/Logging_0861/fåglar/A 29379-2026 prioriterade fågelarter.docx", "A 29379-2026")</f>
        <v/>
      </c>
    </row>
    <row r="124" ht="15" customHeight="1">
      <c r="A124" t="inlineStr">
        <is>
          <t>A 14121-2025</t>
        </is>
      </c>
      <c r="B124" t="inlineStr">
        <is>
          <t>avverkningsanmälan</t>
        </is>
      </c>
      <c r="C124" t="inlineStr">
        <is>
          <t>Avverkning för att bevara och utveckla /försöksver</t>
        </is>
      </c>
      <c r="D124" s="1" t="n">
        <v>45740</v>
      </c>
      <c r="E124" s="1" t="n">
        <v>46323</v>
      </c>
      <c r="F124" t="inlineStr">
        <is>
          <t>KALMAR LÄN</t>
        </is>
      </c>
      <c r="G124" t="inlineStr">
        <is>
          <t>VÄSTERVIK</t>
        </is>
      </c>
      <c r="H124" t="inlineStr">
        <is>
          <t>Sveaskog</t>
        </is>
      </c>
      <c r="I124" t="n">
        <v>3.4</v>
      </c>
      <c r="J124" t="n">
        <v>6</v>
      </c>
      <c r="K124" t="n">
        <v>3</v>
      </c>
      <c r="L124" t="n">
        <v>3</v>
      </c>
      <c r="M124" t="n">
        <v>2</v>
      </c>
      <c r="N124" t="n">
        <v>0</v>
      </c>
      <c r="O124" t="n">
        <v>0</v>
      </c>
      <c r="P124" t="n">
        <v>0</v>
      </c>
      <c r="Q124" t="n">
        <v>5</v>
      </c>
      <c r="R124" t="n">
        <v>2</v>
      </c>
      <c r="S124" t="n">
        <v>10</v>
      </c>
      <c r="T124" t="n">
        <v>11</v>
      </c>
      <c r="U124" t="n">
        <v>8</v>
      </c>
      <c r="V124" s="2" t="inlineStr">
        <is>
          <t>Bredbrämad bastardsvärmare
Smalsprötad bastardsvärmare
Entita
Grönsångare
Mindre hackspett
Myskmadra
Purpurknipprot
Tibast
Spillkråka
Skogsduva</t>
        </is>
      </c>
      <c r="W124">
        <f>HYPERLINK("https://klasma.github.io/Logging_0883/artfynd/A 14121-2025 artfynd.xlsx", "A 14121-2025")</f>
        <v/>
      </c>
      <c r="X124">
        <f>HYPERLINK("https://klasma.github.io/Logging_0883/kartor/A 14121-2025 karta.png", "A 14121-2025")</f>
        <v/>
      </c>
      <c r="Y124">
        <f>HYPERLINK("https://klasma.github.io/Logging_0883/kartor_geotiff/A 14121-2025 georefererad karta.tif", "A 14121-2025")</f>
        <v/>
      </c>
      <c r="AA124">
        <f>HYPERLINK("https://klasma.github.io/Logging_0883/klagomål/A 14121-2025 FSC-klagomål.docx", "A 14121-2025")</f>
        <v/>
      </c>
      <c r="AB124">
        <f>HYPERLINK("https://klasma.github.io/Logging_0883/klagomålsmail/A 14121-2025 FSC-klagomål mail.docx", "A 14121-2025")</f>
        <v/>
      </c>
      <c r="AC124">
        <f>HYPERLINK("https://klasma.github.io/Logging_0883/tillsyn/A 14121-2025 tillsynsbegäran.docx", "A 14121-2025")</f>
        <v/>
      </c>
      <c r="AD124">
        <f>HYPERLINK("https://klasma.github.io/Logging_0883/tillsynsmail/A 14121-2025 tillsynsbegäran mail.docx", "A 14121-2025")</f>
        <v/>
      </c>
      <c r="AE124">
        <f>HYPERLINK("https://klasma.github.io/Logging_0883/fåglar/A 14121-2025 prioriterade fågelarter.docx", "A 14121-2025")</f>
        <v/>
      </c>
    </row>
    <row r="125" ht="15" customHeight="1">
      <c r="A125" t="inlineStr">
        <is>
          <t>A 34414-2024</t>
        </is>
      </c>
      <c r="B125" t="inlineStr">
        <is>
          <t>avverkningsanmälan</t>
        </is>
      </c>
      <c r="C125" t="inlineStr">
        <is>
          <t>Föryngringsavverkning</t>
        </is>
      </c>
      <c r="D125" s="1" t="n">
        <v>45525</v>
      </c>
      <c r="E125" s="1" t="n">
        <v>46323</v>
      </c>
      <c r="F125" t="inlineStr">
        <is>
          <t>KALMAR LÄN</t>
        </is>
      </c>
      <c r="G125" t="inlineStr">
        <is>
          <t>VÄSTERVIK</t>
        </is>
      </c>
      <c r="H125" t="inlineStr">
        <is>
          <t>Holmen skog AB</t>
        </is>
      </c>
      <c r="I125" t="n">
        <v>8.9</v>
      </c>
      <c r="J125" t="n">
        <v>3</v>
      </c>
      <c r="K125" t="n">
        <v>4</v>
      </c>
      <c r="L125" t="n">
        <v>4</v>
      </c>
      <c r="M125" t="n">
        <v>1</v>
      </c>
      <c r="N125" t="n">
        <v>0</v>
      </c>
      <c r="O125" t="n">
        <v>0</v>
      </c>
      <c r="P125" t="n">
        <v>0</v>
      </c>
      <c r="Q125" t="n">
        <v>5</v>
      </c>
      <c r="R125" t="n">
        <v>1</v>
      </c>
      <c r="S125" t="n">
        <v>10</v>
      </c>
      <c r="T125" t="n">
        <v>31</v>
      </c>
      <c r="U125" t="n">
        <v>30</v>
      </c>
      <c r="V125" s="2" t="inlineStr">
        <is>
          <t>Knärot
Dropptaggsvamp
Orange taggsvamp
Tallticka
Talltita
Blomkålssvamp
Blåmossa
Brandticka
Zontaggsvamp
Tjäder</t>
        </is>
      </c>
      <c r="W125">
        <f>HYPERLINK("https://klasma.github.io/Logging_0883/artfynd/A 34414-2024 artfynd.xlsx", "A 34414-2024")</f>
        <v/>
      </c>
      <c r="X125">
        <f>HYPERLINK("https://klasma.github.io/Logging_0883/kartor/A 34414-2024 karta.png", "A 34414-2024")</f>
        <v/>
      </c>
      <c r="Y125">
        <f>HYPERLINK("https://klasma.github.io/Logging_0883/kartor_geotiff/A 34414-2024 georefererad karta.tif", "A 34414-2024")</f>
        <v/>
      </c>
      <c r="Z125">
        <f>HYPERLINK("https://klasma.github.io/Logging_0883/knärot/A 34414-2024 karta knärot.png", "A 34414-2024")</f>
        <v/>
      </c>
      <c r="AA125">
        <f>HYPERLINK("https://klasma.github.io/Logging_0883/klagomål/A 34414-2024 FSC-klagomål.docx", "A 34414-2024")</f>
        <v/>
      </c>
      <c r="AB125">
        <f>HYPERLINK("https://klasma.github.io/Logging_0883/klagomålsmail/A 34414-2024 FSC-klagomål mail.docx", "A 34414-2024")</f>
        <v/>
      </c>
      <c r="AC125">
        <f>HYPERLINK("https://klasma.github.io/Logging_0883/tillsyn/A 34414-2024 tillsynsbegäran.docx", "A 34414-2024")</f>
        <v/>
      </c>
      <c r="AD125">
        <f>HYPERLINK("https://klasma.github.io/Logging_0883/tillsynsmail/A 34414-2024 tillsynsbegäran mail.docx", "A 34414-2024")</f>
        <v/>
      </c>
      <c r="AE125">
        <f>HYPERLINK("https://klasma.github.io/Logging_0883/fåglar/A 34414-2024 prioriterade fågelarter.docx", "A 34414-2024")</f>
        <v/>
      </c>
    </row>
    <row r="126" ht="15" customHeight="1">
      <c r="A126" t="inlineStr">
        <is>
          <t>A 34337-2025</t>
        </is>
      </c>
      <c r="B126" t="inlineStr">
        <is>
          <t>avverkningsanmälan</t>
        </is>
      </c>
      <c r="C126" t="inlineStr">
        <is>
          <t>Föryngringsavverkning</t>
        </is>
      </c>
      <c r="D126" s="1" t="n">
        <v>45846</v>
      </c>
      <c r="E126" s="1" t="n">
        <v>46323</v>
      </c>
      <c r="F126" t="inlineStr">
        <is>
          <t>KALMAR LÄN</t>
        </is>
      </c>
      <c r="G126" t="inlineStr">
        <is>
          <t>MÖNSTERÅS</t>
        </is>
      </c>
      <c r="I126" t="n">
        <v>4.5</v>
      </c>
      <c r="J126" t="n">
        <v>7</v>
      </c>
      <c r="K126" t="n">
        <v>1</v>
      </c>
      <c r="L126" t="n">
        <v>4</v>
      </c>
      <c r="M126" t="n">
        <v>0</v>
      </c>
      <c r="N126" t="n">
        <v>0</v>
      </c>
      <c r="O126" t="n">
        <v>0</v>
      </c>
      <c r="P126" t="n">
        <v>0</v>
      </c>
      <c r="Q126" t="n">
        <v>4</v>
      </c>
      <c r="R126" t="n">
        <v>0</v>
      </c>
      <c r="S126" t="n">
        <v>10</v>
      </c>
      <c r="T126" t="n">
        <v>23</v>
      </c>
      <c r="U126" t="n">
        <v>21</v>
      </c>
      <c r="V126" s="2" t="inlineStr">
        <is>
          <t>Grönsångare
Tallticka
Talltita
Vedskivlav
Fällmossa
Spillkråka
Havsörn
Kråka
Kungsfågel
Svartvit flugsnappare</t>
        </is>
      </c>
      <c r="W126">
        <f>HYPERLINK("https://klasma.github.io/Logging_0861/artfynd/A 34337-2025 artfynd.xlsx", "A 34337-2025")</f>
        <v/>
      </c>
      <c r="X126">
        <f>HYPERLINK("https://klasma.github.io/Logging_0861/kartor/A 34337-2025 karta.png", "A 34337-2025")</f>
        <v/>
      </c>
      <c r="Y126">
        <f>HYPERLINK("https://klasma.github.io/Logging_0861/kartor_geotiff/A 34337-2025 georefererad karta.tif", "A 34337-2025")</f>
        <v/>
      </c>
      <c r="AA126">
        <f>HYPERLINK("https://klasma.github.io/Logging_0861/klagomål/A 34337-2025 FSC-klagomål.docx", "A 34337-2025")</f>
        <v/>
      </c>
      <c r="AB126">
        <f>HYPERLINK("https://klasma.github.io/Logging_0861/klagomålsmail/A 34337-2025 FSC-klagomål mail.docx", "A 34337-2025")</f>
        <v/>
      </c>
      <c r="AC126">
        <f>HYPERLINK("https://klasma.github.io/Logging_0861/tillsyn/A 34337-2025 tillsynsbegäran.docx", "A 34337-2025")</f>
        <v/>
      </c>
      <c r="AD126">
        <f>HYPERLINK("https://klasma.github.io/Logging_0861/tillsynsmail/A 34337-2025 tillsynsbegäran mail.docx", "A 34337-2025")</f>
        <v/>
      </c>
      <c r="AE126">
        <f>HYPERLINK("https://klasma.github.io/Logging_0861/fåglar/A 34337-2025 prioriterade fågelarter.docx", "A 34337-2025")</f>
        <v/>
      </c>
    </row>
    <row r="127" ht="15" customHeight="1">
      <c r="A127" t="inlineStr">
        <is>
          <t>A 39320-2024</t>
        </is>
      </c>
      <c r="B127" t="inlineStr">
        <is>
          <t>avverkningsanmälan</t>
        </is>
      </c>
      <c r="C127" t="inlineStr">
        <is>
          <t>Avverkning för annat ändamål</t>
        </is>
      </c>
      <c r="D127" s="1" t="n">
        <v>45551</v>
      </c>
      <c r="E127" s="1" t="n">
        <v>46323</v>
      </c>
      <c r="F127" t="inlineStr">
        <is>
          <t>KALMAR LÄN</t>
        </is>
      </c>
      <c r="G127" t="inlineStr">
        <is>
          <t>MÖRBYLÅNGA</t>
        </is>
      </c>
      <c r="I127" t="n">
        <v>3.3</v>
      </c>
      <c r="J127" t="n">
        <v>1</v>
      </c>
      <c r="K127" t="n">
        <v>2</v>
      </c>
      <c r="L127" t="n">
        <v>4</v>
      </c>
      <c r="M127" t="n">
        <v>1</v>
      </c>
      <c r="N127" t="n">
        <v>1</v>
      </c>
      <c r="O127" t="n">
        <v>1</v>
      </c>
      <c r="P127" t="n">
        <v>0</v>
      </c>
      <c r="Q127" t="n">
        <v>7</v>
      </c>
      <c r="R127" t="n">
        <v>3</v>
      </c>
      <c r="S127" t="n">
        <v>10</v>
      </c>
      <c r="T127" t="n">
        <v>11</v>
      </c>
      <c r="U127" t="n">
        <v>10</v>
      </c>
      <c r="V127" s="2" t="inlineStr">
        <is>
          <t>Vresalm
Lundalm
Toppjungfrulin
Gulprickig vaxskivling
Korskovall
Sårläka
Vårärt
Strävlosta
Underviol
Skogsduva</t>
        </is>
      </c>
      <c r="W127">
        <f>HYPERLINK("https://klasma.github.io/Logging_0840/artfynd/A 39320-2024 artfynd.xlsx", "A 39320-2024")</f>
        <v/>
      </c>
      <c r="X127">
        <f>HYPERLINK("https://klasma.github.io/Logging_0840/kartor/A 39320-2024 karta.png", "A 39320-2024")</f>
        <v/>
      </c>
      <c r="Y127">
        <f>HYPERLINK("https://klasma.github.io/Logging_0840/kartor_geotiff/A 39320-2024 georefererad karta.tif", "A 39320-2024")</f>
        <v/>
      </c>
      <c r="AA127">
        <f>HYPERLINK("https://klasma.github.io/Logging_0840/klagomål/A 39320-2024 FSC-klagomål.docx", "A 39320-2024")</f>
        <v/>
      </c>
      <c r="AB127">
        <f>HYPERLINK("https://klasma.github.io/Logging_0840/klagomålsmail/A 39320-2024 FSC-klagomål mail.docx", "A 39320-2024")</f>
        <v/>
      </c>
      <c r="AC127">
        <f>HYPERLINK("https://klasma.github.io/Logging_0840/tillsyn/A 39320-2024 tillsynsbegäran.docx", "A 39320-2024")</f>
        <v/>
      </c>
      <c r="AD127">
        <f>HYPERLINK("https://klasma.github.io/Logging_0840/tillsynsmail/A 39320-2024 tillsynsbegäran mail.docx", "A 39320-2024")</f>
        <v/>
      </c>
    </row>
    <row r="128" ht="15" customHeight="1">
      <c r="A128" t="inlineStr">
        <is>
          <t>A 74479-2021</t>
        </is>
      </c>
      <c r="B128" t="inlineStr">
        <is>
          <t>avverkningsanmälan</t>
        </is>
      </c>
      <c r="C128" t="inlineStr">
        <is>
          <t>Föryngringsavverkning</t>
        </is>
      </c>
      <c r="D128" s="1" t="n">
        <v>44559</v>
      </c>
      <c r="E128" s="1" t="n">
        <v>46323</v>
      </c>
      <c r="F128" t="inlineStr">
        <is>
          <t>KALMAR LÄN</t>
        </is>
      </c>
      <c r="G128" t="inlineStr">
        <is>
          <t>HÖGSBY</t>
        </is>
      </c>
      <c r="I128" t="n">
        <v>9.6</v>
      </c>
      <c r="J128" t="n">
        <v>5</v>
      </c>
      <c r="K128" t="n">
        <v>4</v>
      </c>
      <c r="L128" t="n">
        <v>2</v>
      </c>
      <c r="M128" t="n">
        <v>1</v>
      </c>
      <c r="N128" t="n">
        <v>0</v>
      </c>
      <c r="O128" t="n">
        <v>0</v>
      </c>
      <c r="P128" t="n">
        <v>0</v>
      </c>
      <c r="Q128" t="n">
        <v>3</v>
      </c>
      <c r="R128" t="n">
        <v>1</v>
      </c>
      <c r="S128" t="n">
        <v>10</v>
      </c>
      <c r="T128" t="n">
        <v>36</v>
      </c>
      <c r="U128" t="n">
        <v>35</v>
      </c>
      <c r="V128" s="2" t="inlineStr">
        <is>
          <t>Knärot
Gransotdyna
Talltita
Grönpyrola
Thomsons trägnagare
Vedticka
Västlig hakmossa
Blåsippa
Spillkråka
Kungsfågel</t>
        </is>
      </c>
      <c r="W128">
        <f>HYPERLINK("https://klasma.github.io/Logging_0821/artfynd/A 74479-2021 artfynd.xlsx", "A 74479-2021")</f>
        <v/>
      </c>
      <c r="X128">
        <f>HYPERLINK("https://klasma.github.io/Logging_0821/kartor/A 74479-2021 karta.png", "A 74479-2021")</f>
        <v/>
      </c>
      <c r="Y128">
        <f>HYPERLINK("https://klasma.github.io/Logging_0821/kartor_geotiff/A 74479-2021 georefererad karta.tif", "A 74479-2021")</f>
        <v/>
      </c>
      <c r="Z128">
        <f>HYPERLINK("https://klasma.github.io/Logging_0821/knärot/A 74479-2021 karta knärot.png", "A 74479-2021")</f>
        <v/>
      </c>
      <c r="AA128">
        <f>HYPERLINK("https://klasma.github.io/Logging_0821/klagomål/A 74479-2021 FSC-klagomål.docx", "A 74479-2021")</f>
        <v/>
      </c>
      <c r="AB128">
        <f>HYPERLINK("https://klasma.github.io/Logging_0821/klagomålsmail/A 74479-2021 FSC-klagomål mail.docx", "A 74479-2021")</f>
        <v/>
      </c>
      <c r="AC128">
        <f>HYPERLINK("https://klasma.github.io/Logging_0821/tillsyn/A 74479-2021 tillsynsbegäran.docx", "A 74479-2021")</f>
        <v/>
      </c>
      <c r="AD128">
        <f>HYPERLINK("https://klasma.github.io/Logging_0821/tillsynsmail/A 74479-2021 tillsynsbegäran mail.docx", "A 74479-2021")</f>
        <v/>
      </c>
      <c r="AE128">
        <f>HYPERLINK("https://klasma.github.io/Logging_0821/fåglar/A 74479-2021 prioriterade fågelarter.docx", "A 74479-2021")</f>
        <v/>
      </c>
    </row>
    <row r="129" ht="15" customHeight="1">
      <c r="A129" t="inlineStr">
        <is>
          <t>A 47936-2023</t>
        </is>
      </c>
      <c r="B129" t="inlineStr">
        <is>
          <t>avverkningsanmälan</t>
        </is>
      </c>
      <c r="C129" t="inlineStr">
        <is>
          <t>Föryngringsavverkning</t>
        </is>
      </c>
      <c r="D129" s="1" t="n">
        <v>45204</v>
      </c>
      <c r="E129" s="1" t="n">
        <v>46323</v>
      </c>
      <c r="F129" t="inlineStr">
        <is>
          <t>KALMAR LÄN</t>
        </is>
      </c>
      <c r="G129" t="inlineStr">
        <is>
          <t>VÄSTERVIK</t>
        </is>
      </c>
      <c r="I129" t="n">
        <v>6.3</v>
      </c>
      <c r="J129" t="n">
        <v>4</v>
      </c>
      <c r="K129" t="n">
        <v>4</v>
      </c>
      <c r="L129" t="n">
        <v>3</v>
      </c>
      <c r="M129" t="n">
        <v>2</v>
      </c>
      <c r="N129" t="n">
        <v>0</v>
      </c>
      <c r="O129" t="n">
        <v>0</v>
      </c>
      <c r="P129" t="n">
        <v>0</v>
      </c>
      <c r="Q129" t="n">
        <v>5</v>
      </c>
      <c r="R129" t="n">
        <v>2</v>
      </c>
      <c r="S129" t="n">
        <v>10</v>
      </c>
      <c r="T129" t="n">
        <v>55</v>
      </c>
      <c r="U129" t="n">
        <v>54</v>
      </c>
      <c r="V129" s="2" t="inlineStr">
        <is>
          <t>Knärot
Läderbagge
Motaggsvamp
Tallticka
Talltita
Blomkålssvamp
Blåmossa
Grovticka
Grönpyrola
Blåsippa</t>
        </is>
      </c>
      <c r="W129">
        <f>HYPERLINK("https://klasma.github.io/Logging_0883/artfynd/A 47936-2023 artfynd.xlsx", "A 47936-2023")</f>
        <v/>
      </c>
      <c r="X129">
        <f>HYPERLINK("https://klasma.github.io/Logging_0883/kartor/A 47936-2023 karta.png", "A 47936-2023")</f>
        <v/>
      </c>
      <c r="Y129">
        <f>HYPERLINK("https://klasma.github.io/Logging_0883/kartor_geotiff/A 47936-2023 georefererad karta.tif", "A 47936-2023")</f>
        <v/>
      </c>
      <c r="Z129">
        <f>HYPERLINK("https://klasma.github.io/Logging_0883/knärot/A 47936-2023 karta knärot.png", "A 47936-2023")</f>
        <v/>
      </c>
      <c r="AA129">
        <f>HYPERLINK("https://klasma.github.io/Logging_0883/klagomål/A 47936-2023 FSC-klagomål.docx", "A 47936-2023")</f>
        <v/>
      </c>
      <c r="AB129">
        <f>HYPERLINK("https://klasma.github.io/Logging_0883/klagomålsmail/A 47936-2023 FSC-klagomål mail.docx", "A 47936-2023")</f>
        <v/>
      </c>
      <c r="AC129">
        <f>HYPERLINK("https://klasma.github.io/Logging_0883/tillsyn/A 47936-2023 tillsynsbegäran.docx", "A 47936-2023")</f>
        <v/>
      </c>
      <c r="AD129">
        <f>HYPERLINK("https://klasma.github.io/Logging_0883/tillsynsmail/A 47936-2023 tillsynsbegäran mail.docx", "A 47936-2023")</f>
        <v/>
      </c>
      <c r="AE129">
        <f>HYPERLINK("https://klasma.github.io/Logging_0883/fåglar/A 47936-2023 prioriterade fågelarter.docx", "A 47936-2023")</f>
        <v/>
      </c>
    </row>
    <row r="130" ht="15" customHeight="1">
      <c r="A130" t="inlineStr">
        <is>
          <t>S 2019-2022</t>
        </is>
      </c>
      <c r="B130" t="inlineStr">
        <is>
          <t>samrådsanmälan</t>
        </is>
      </c>
      <c r="C130" t="inlineStr">
        <is>
          <t>Annan skogsbruksåtgärd</t>
        </is>
      </c>
      <c r="D130" s="1" t="n">
        <v>44665</v>
      </c>
      <c r="E130" s="1" t="n">
        <v>46323</v>
      </c>
      <c r="F130" t="inlineStr">
        <is>
          <t>KALMAR LÄN</t>
        </is>
      </c>
      <c r="G130" t="inlineStr">
        <is>
          <t>MÖNSTERÅS</t>
        </is>
      </c>
      <c r="I130" t="n">
        <v>10.4</v>
      </c>
      <c r="J130" t="n">
        <v>10</v>
      </c>
      <c r="K130" t="n">
        <v>0</v>
      </c>
      <c r="L130" t="n">
        <v>3</v>
      </c>
      <c r="M130" t="n">
        <v>0</v>
      </c>
      <c r="N130" t="n">
        <v>0</v>
      </c>
      <c r="O130" t="n">
        <v>0</v>
      </c>
      <c r="P130" t="n">
        <v>0</v>
      </c>
      <c r="Q130" t="n">
        <v>3</v>
      </c>
      <c r="R130" t="n">
        <v>0</v>
      </c>
      <c r="S130" t="n">
        <v>10</v>
      </c>
      <c r="T130" t="n">
        <v>28</v>
      </c>
      <c r="U130" t="n">
        <v>1</v>
      </c>
      <c r="V130" s="2" t="inlineStr">
        <is>
          <t>Barbastell
Brunlångöra
Nordfladdermus
Dvärgpipistrell
Större brunfladdermus
Trollpipistrell
Vattenfladdermus
Kopparödla
Mindre vattensalamander
Skogsödla</t>
        </is>
      </c>
      <c r="W130">
        <f>HYPERLINK("https://klasma.github.io/Logging_0861/artfynd/S 2019-2022 artfynd.xlsx", "S 2019-2022")</f>
        <v/>
      </c>
      <c r="X130">
        <f>HYPERLINK("https://klasma.github.io/Logging_0861/kartor/S 2019-2022 karta.png", "S 2019-2022")</f>
        <v/>
      </c>
      <c r="Y130">
        <f>HYPERLINK("https://klasma.github.io/Logging_0861/kartor_geotiff/S 2019-2022 georefererad karta.tif", "S 2019-2022")</f>
        <v/>
      </c>
      <c r="AA130">
        <f>HYPERLINK("https://klasma.github.io/Logging_0861/klagomål/S 2019-2022 FSC-klagomål.docx", "S 2019-2022")</f>
        <v/>
      </c>
      <c r="AB130">
        <f>HYPERLINK("https://klasma.github.io/Logging_0861/klagomålsmail/S 2019-2022 FSC-klagomål mail.docx", "S 2019-2022")</f>
        <v/>
      </c>
      <c r="AC130">
        <f>HYPERLINK("https://klasma.github.io/Logging_0861/tillsyn/S 2019-2022 tillsynsbegäran.docx", "S 2019-2022")</f>
        <v/>
      </c>
      <c r="AD130">
        <f>HYPERLINK("https://klasma.github.io/Logging_0861/tillsynsmail/S 2019-2022 tillsynsbegäran mail.docx", "S 2019-2022")</f>
        <v/>
      </c>
    </row>
    <row r="131" ht="15" customHeight="1">
      <c r="A131" t="inlineStr">
        <is>
          <t>S 1022-2022</t>
        </is>
      </c>
      <c r="B131" t="inlineStr">
        <is>
          <t>samrådsanmälan</t>
        </is>
      </c>
      <c r="C131" t="inlineStr">
        <is>
          <t>Askåterföring</t>
        </is>
      </c>
      <c r="D131" s="1" t="n">
        <v>44610</v>
      </c>
      <c r="E131" s="1" t="n">
        <v>46323</v>
      </c>
      <c r="F131" t="inlineStr">
        <is>
          <t>KALMAR LÄN</t>
        </is>
      </c>
      <c r="G131" t="inlineStr">
        <is>
          <t>VÄSTERVIK</t>
        </is>
      </c>
      <c r="H131" t="inlineStr">
        <is>
          <t>Sveaskog</t>
        </is>
      </c>
      <c r="I131" t="n">
        <v>106.2</v>
      </c>
      <c r="J131" t="n">
        <v>9</v>
      </c>
      <c r="K131" t="n">
        <v>1</v>
      </c>
      <c r="L131" t="n">
        <v>2</v>
      </c>
      <c r="M131" t="n">
        <v>0</v>
      </c>
      <c r="N131" t="n">
        <v>0</v>
      </c>
      <c r="O131" t="n">
        <v>0</v>
      </c>
      <c r="P131" t="n">
        <v>0</v>
      </c>
      <c r="Q131" t="n">
        <v>2</v>
      </c>
      <c r="R131" t="n">
        <v>0</v>
      </c>
      <c r="S131" t="n">
        <v>10</v>
      </c>
      <c r="T131" t="n">
        <v>22</v>
      </c>
      <c r="U131" t="n">
        <v>22</v>
      </c>
      <c r="V131" s="2" t="inlineStr">
        <is>
          <t>Drillsnäppa
Talltita
Blomskägglav
Blåsippa
Nattskärra
Spillkråka
Gröngöling
Havsörn
Svartvit flugsnappare
Revlummer</t>
        </is>
      </c>
      <c r="W131">
        <f>HYPERLINK("https://klasma.github.io/Logging_0883/artfynd/S 1022-2022 artfynd.xlsx", "S 1022-2022")</f>
        <v/>
      </c>
      <c r="X131">
        <f>HYPERLINK("https://klasma.github.io/Logging_0883/kartor/S 1022-2022 karta.png", "S 1022-2022")</f>
        <v/>
      </c>
      <c r="Y131">
        <f>HYPERLINK("https://klasma.github.io/Logging_0883/kartor_geotiff/S 1022-2022 georefererad karta.tif", "S 1022-2022")</f>
        <v/>
      </c>
      <c r="AA131">
        <f>HYPERLINK("https://klasma.github.io/Logging_0883/klagomål/S 1022-2022 FSC-klagomål.docx", "S 1022-2022")</f>
        <v/>
      </c>
      <c r="AB131">
        <f>HYPERLINK("https://klasma.github.io/Logging_0883/klagomålsmail/S 1022-2022 FSC-klagomål mail.docx", "S 1022-2022")</f>
        <v/>
      </c>
      <c r="AC131">
        <f>HYPERLINK("https://klasma.github.io/Logging_0883/tillsyn/S 1022-2022 tillsynsbegäran.docx", "S 1022-2022")</f>
        <v/>
      </c>
      <c r="AD131">
        <f>HYPERLINK("https://klasma.github.io/Logging_0883/tillsynsmail/S 1022-2022 tillsynsbegäran mail.docx", "S 1022-2022")</f>
        <v/>
      </c>
      <c r="AE131">
        <f>HYPERLINK("https://klasma.github.io/Logging_0883/fåglar/S 1022-2022 prioriterade fågelarter.docx", "S 1022-2022")</f>
        <v/>
      </c>
    </row>
    <row r="132" ht="15" customHeight="1">
      <c r="A132" t="inlineStr">
        <is>
          <t>S 1122-2022</t>
        </is>
      </c>
      <c r="B132" t="inlineStr">
        <is>
          <t>samrådsanmälan</t>
        </is>
      </c>
      <c r="C132" t="inlineStr">
        <is>
          <t>Annan skogsbruksåtgärd</t>
        </is>
      </c>
      <c r="D132" s="1" t="n">
        <v>44616</v>
      </c>
      <c r="E132" s="1" t="n">
        <v>46323</v>
      </c>
      <c r="F132" t="inlineStr">
        <is>
          <t>KALMAR LÄN</t>
        </is>
      </c>
      <c r="G132" t="inlineStr">
        <is>
          <t>MÖRBYLÅNGA</t>
        </is>
      </c>
      <c r="I132" t="n">
        <v>2.6</v>
      </c>
      <c r="J132" t="n">
        <v>2</v>
      </c>
      <c r="K132" t="n">
        <v>3</v>
      </c>
      <c r="L132" t="n">
        <v>3</v>
      </c>
      <c r="M132" t="n">
        <v>0</v>
      </c>
      <c r="N132" t="n">
        <v>3</v>
      </c>
      <c r="O132" t="n">
        <v>0</v>
      </c>
      <c r="P132" t="n">
        <v>0</v>
      </c>
      <c r="Q132" t="n">
        <v>6</v>
      </c>
      <c r="R132" t="n">
        <v>3</v>
      </c>
      <c r="S132" t="n">
        <v>10</v>
      </c>
      <c r="T132" t="n">
        <v>16</v>
      </c>
      <c r="U132" t="n">
        <v>15</v>
      </c>
      <c r="V132" s="2" t="inlineStr">
        <is>
          <t>Ask
Lundalm
Skogsalm
Desmeknopp
Ängsskära
Åkerkulla
Hässleklocka
Tvåblad
Underviol
Sankt pers nycklar</t>
        </is>
      </c>
      <c r="W132">
        <f>HYPERLINK("https://klasma.github.io/Logging_0840/artfynd/S 1122-2022 artfynd.xlsx", "S 1122-2022")</f>
        <v/>
      </c>
      <c r="X132">
        <f>HYPERLINK("https://klasma.github.io/Logging_0840/kartor/S 1122-2022 karta.png", "S 1122-2022")</f>
        <v/>
      </c>
      <c r="Y132">
        <f>HYPERLINK("https://klasma.github.io/Logging_0840/kartor_geotiff/S 1122-2022 georefererad karta.tif", "S 1122-2022")</f>
        <v/>
      </c>
      <c r="AA132">
        <f>HYPERLINK("https://klasma.github.io/Logging_0840/klagomål/S 1122-2022 FSC-klagomål.docx", "S 1122-2022")</f>
        <v/>
      </c>
      <c r="AB132">
        <f>HYPERLINK("https://klasma.github.io/Logging_0840/klagomålsmail/S 1122-2022 FSC-klagomål mail.docx", "S 1122-2022")</f>
        <v/>
      </c>
      <c r="AC132">
        <f>HYPERLINK("https://klasma.github.io/Logging_0840/tillsyn/S 1122-2022 tillsynsbegäran.docx", "S 1122-2022")</f>
        <v/>
      </c>
      <c r="AD132">
        <f>HYPERLINK("https://klasma.github.io/Logging_0840/tillsynsmail/S 1122-2022 tillsynsbegäran mail.docx", "S 1122-2022")</f>
        <v/>
      </c>
    </row>
    <row r="133" ht="15" customHeight="1">
      <c r="A133" t="inlineStr">
        <is>
          <t>S 2786-2023</t>
        </is>
      </c>
      <c r="B133" t="inlineStr">
        <is>
          <t>samrådsanmälan</t>
        </is>
      </c>
      <c r="C133" t="inlineStr">
        <is>
          <t>Annan skogsbruksåtgärd</t>
        </is>
      </c>
      <c r="D133" s="1" t="n">
        <v>45161</v>
      </c>
      <c r="E133" s="1" t="n">
        <v>46323</v>
      </c>
      <c r="F133" t="inlineStr">
        <is>
          <t>KALMAR LÄN</t>
        </is>
      </c>
      <c r="G133" t="inlineStr">
        <is>
          <t>BORGHOLM</t>
        </is>
      </c>
      <c r="I133" t="n">
        <v>6.2</v>
      </c>
      <c r="J133" t="n">
        <v>6</v>
      </c>
      <c r="K133" t="n">
        <v>1</v>
      </c>
      <c r="L133" t="n">
        <v>3</v>
      </c>
      <c r="M133" t="n">
        <v>0</v>
      </c>
      <c r="N133" t="n">
        <v>1</v>
      </c>
      <c r="O133" t="n">
        <v>0</v>
      </c>
      <c r="P133" t="n">
        <v>0</v>
      </c>
      <c r="Q133" t="n">
        <v>4</v>
      </c>
      <c r="R133" t="n">
        <v>1</v>
      </c>
      <c r="S133" t="n">
        <v>10</v>
      </c>
      <c r="T133" t="n">
        <v>21</v>
      </c>
      <c r="U133" t="n">
        <v>12</v>
      </c>
      <c r="V133" s="2" t="inlineStr">
        <is>
          <t>Ask
Jordtistel
Korskovall
Vårärt
Tvåblad
Blåsippa
Johannesnycklar
Krutbrännare
Sankt pers nycklar
Gullviva</t>
        </is>
      </c>
      <c r="W133">
        <f>HYPERLINK("https://klasma.github.io/Logging_0885/artfynd/S 2786-2023 artfynd.xlsx", "S 2786-2023")</f>
        <v/>
      </c>
      <c r="X133">
        <f>HYPERLINK("https://klasma.github.io/Logging_0885/kartor/S 2786-2023 karta.png", "S 2786-2023")</f>
        <v/>
      </c>
      <c r="Y133">
        <f>HYPERLINK("https://klasma.github.io/Logging_0885/kartor_geotiff/S 2786-2023 georefererad karta.tif", "S 2786-2023")</f>
        <v/>
      </c>
      <c r="AA133">
        <f>HYPERLINK("https://klasma.github.io/Logging_0885/klagomål/S 2786-2023 FSC-klagomål.docx", "S 2786-2023")</f>
        <v/>
      </c>
      <c r="AB133">
        <f>HYPERLINK("https://klasma.github.io/Logging_0885/klagomålsmail/S 2786-2023 FSC-klagomål mail.docx", "S 2786-2023")</f>
        <v/>
      </c>
      <c r="AC133">
        <f>HYPERLINK("https://klasma.github.io/Logging_0885/tillsyn/S 2786-2023 tillsynsbegäran.docx", "S 2786-2023")</f>
        <v/>
      </c>
      <c r="AD133">
        <f>HYPERLINK("https://klasma.github.io/Logging_0885/tillsynsmail/S 2786-2023 tillsynsbegäran mail.docx", "S 2786-2023")</f>
        <v/>
      </c>
    </row>
    <row r="134" ht="15" customHeight="1">
      <c r="A134" t="inlineStr">
        <is>
          <t>S 3730-2023</t>
        </is>
      </c>
      <c r="B134" t="inlineStr">
        <is>
          <t>samrådsanmälan</t>
        </is>
      </c>
      <c r="C134" t="inlineStr">
        <is>
          <t>Annan skogsbruksåtgärd</t>
        </is>
      </c>
      <c r="D134" s="1" t="n">
        <v>45222</v>
      </c>
      <c r="E134" s="1" t="n">
        <v>46323</v>
      </c>
      <c r="F134" t="inlineStr">
        <is>
          <t>KALMAR LÄN</t>
        </is>
      </c>
      <c r="G134" t="inlineStr">
        <is>
          <t>MÖNSTERÅS</t>
        </is>
      </c>
      <c r="H134" t="inlineStr">
        <is>
          <t>Övriga Aktiebolag</t>
        </is>
      </c>
      <c r="I134" t="n">
        <v>5.3</v>
      </c>
      <c r="J134" t="n">
        <v>2</v>
      </c>
      <c r="K134" t="n">
        <v>2</v>
      </c>
      <c r="L134" t="n">
        <v>6</v>
      </c>
      <c r="M134" t="n">
        <v>1</v>
      </c>
      <c r="N134" t="n">
        <v>0</v>
      </c>
      <c r="O134" t="n">
        <v>0</v>
      </c>
      <c r="P134" t="n">
        <v>0</v>
      </c>
      <c r="Q134" t="n">
        <v>7</v>
      </c>
      <c r="R134" t="n">
        <v>1</v>
      </c>
      <c r="S134" t="n">
        <v>10</v>
      </c>
      <c r="T134" t="n">
        <v>27</v>
      </c>
      <c r="U134" t="n">
        <v>0</v>
      </c>
      <c r="V134" s="2" t="inlineStr">
        <is>
          <t>Läderbagge
Gammelekslav
Gul dropplav
Parknål
Rödbrun blekspik
Skuggorangelav
Vippärt
Gulpudrad spiklav
Sotlav
Utter</t>
        </is>
      </c>
      <c r="W134">
        <f>HYPERLINK("https://klasma.github.io/Logging_0861/artfynd/S 3730-2023 artfynd.xlsx", "S 3730-2023")</f>
        <v/>
      </c>
      <c r="X134">
        <f>HYPERLINK("https://klasma.github.io/Logging_0861/kartor/S 3730-2023 karta.png", "S 3730-2023")</f>
        <v/>
      </c>
      <c r="Y134">
        <f>HYPERLINK("https://klasma.github.io/Logging_0861/kartor_geotiff/S 3730-2023 georefererad karta.tif", "S 3730-2023")</f>
        <v/>
      </c>
      <c r="AA134">
        <f>HYPERLINK("https://klasma.github.io/Logging_0861/klagomål/S 3730-2023 FSC-klagomål.docx", "S 3730-2023")</f>
        <v/>
      </c>
      <c r="AB134">
        <f>HYPERLINK("https://klasma.github.io/Logging_0861/klagomålsmail/S 3730-2023 FSC-klagomål mail.docx", "S 3730-2023")</f>
        <v/>
      </c>
      <c r="AC134">
        <f>HYPERLINK("https://klasma.github.io/Logging_0861/tillsyn/S 3730-2023 tillsynsbegäran.docx", "S 3730-2023")</f>
        <v/>
      </c>
      <c r="AD134">
        <f>HYPERLINK("https://klasma.github.io/Logging_0861/tillsynsmail/S 3730-2023 tillsynsbegäran mail.docx", "S 3730-2023")</f>
        <v/>
      </c>
    </row>
    <row r="135" ht="15" customHeight="1">
      <c r="A135" t="inlineStr">
        <is>
          <t>S 2604-2023</t>
        </is>
      </c>
      <c r="B135" t="inlineStr">
        <is>
          <t>samrådsanmälan</t>
        </is>
      </c>
      <c r="C135" t="inlineStr">
        <is>
          <t>Annan skogsbruksåtgärd</t>
        </is>
      </c>
      <c r="D135" s="1" t="n">
        <v>45146</v>
      </c>
      <c r="E135" s="1" t="n">
        <v>46323</v>
      </c>
      <c r="F135" t="inlineStr">
        <is>
          <t>KALMAR LÄN</t>
        </is>
      </c>
      <c r="G135" t="inlineStr">
        <is>
          <t>BORGHOLM</t>
        </is>
      </c>
      <c r="I135" t="n">
        <v>5</v>
      </c>
      <c r="J135" t="n">
        <v>3</v>
      </c>
      <c r="K135" t="n">
        <v>3</v>
      </c>
      <c r="L135" t="n">
        <v>5</v>
      </c>
      <c r="M135" t="n">
        <v>0</v>
      </c>
      <c r="N135" t="n">
        <v>0</v>
      </c>
      <c r="O135" t="n">
        <v>0</v>
      </c>
      <c r="P135" t="n">
        <v>0</v>
      </c>
      <c r="Q135" t="n">
        <v>5</v>
      </c>
      <c r="R135" t="n">
        <v>0</v>
      </c>
      <c r="S135" t="n">
        <v>10</v>
      </c>
      <c r="T135" t="n">
        <v>16</v>
      </c>
      <c r="U135" t="n">
        <v>16</v>
      </c>
      <c r="V135" s="2" t="inlineStr">
        <is>
          <t>Desmeknopp
Hålnunneört
Sårläka
Vårärt
Ängsskära
Tvåblad
Underviol
Vätteros
Blåsippa
Sankt pers nycklar</t>
        </is>
      </c>
      <c r="W135">
        <f>HYPERLINK("https://klasma.github.io/Logging_0885/artfynd/S 2604-2023 artfynd.xlsx", "S 2604-2023")</f>
        <v/>
      </c>
      <c r="X135">
        <f>HYPERLINK("https://klasma.github.io/Logging_0885/kartor/S 2604-2023 karta.png", "S 2604-2023")</f>
        <v/>
      </c>
      <c r="Y135">
        <f>HYPERLINK("https://klasma.github.io/Logging_0885/kartor_geotiff/S 2604-2023 georefererad karta.tif", "S 2604-2023")</f>
        <v/>
      </c>
      <c r="AA135">
        <f>HYPERLINK("https://klasma.github.io/Logging_0885/klagomål/S 2604-2023 FSC-klagomål.docx", "S 2604-2023")</f>
        <v/>
      </c>
      <c r="AB135">
        <f>HYPERLINK("https://klasma.github.io/Logging_0885/klagomålsmail/S 2604-2023 FSC-klagomål mail.docx", "S 2604-2023")</f>
        <v/>
      </c>
      <c r="AC135">
        <f>HYPERLINK("https://klasma.github.io/Logging_0885/tillsyn/S 2604-2023 tillsynsbegäran.docx", "S 2604-2023")</f>
        <v/>
      </c>
      <c r="AD135">
        <f>HYPERLINK("https://klasma.github.io/Logging_0885/tillsynsmail/S 2604-2023 tillsynsbegäran mail.docx", "S 2604-2023")</f>
        <v/>
      </c>
    </row>
    <row r="136" ht="15" customHeight="1">
      <c r="A136" t="inlineStr">
        <is>
          <t>S 932-2025</t>
        </is>
      </c>
      <c r="B136" t="inlineStr">
        <is>
          <t>samrådsanmälan</t>
        </is>
      </c>
      <c r="C136" t="inlineStr">
        <is>
          <t>Annan skogsbruksåtgärd</t>
        </is>
      </c>
      <c r="D136" s="1" t="n">
        <v>45740</v>
      </c>
      <c r="E136" s="1" t="n">
        <v>46323</v>
      </c>
      <c r="F136" t="inlineStr">
        <is>
          <t>KALMAR LÄN</t>
        </is>
      </c>
      <c r="G136" t="inlineStr">
        <is>
          <t>VÄSTERVIK</t>
        </is>
      </c>
      <c r="H136" t="inlineStr">
        <is>
          <t>Sveaskog</t>
        </is>
      </c>
      <c r="I136" t="n">
        <v>3.4</v>
      </c>
      <c r="J136" t="n">
        <v>6</v>
      </c>
      <c r="K136" t="n">
        <v>3</v>
      </c>
      <c r="L136" t="n">
        <v>3</v>
      </c>
      <c r="M136" t="n">
        <v>2</v>
      </c>
      <c r="N136" t="n">
        <v>0</v>
      </c>
      <c r="O136" t="n">
        <v>0</v>
      </c>
      <c r="P136" t="n">
        <v>0</v>
      </c>
      <c r="Q136" t="n">
        <v>5</v>
      </c>
      <c r="R136" t="n">
        <v>2</v>
      </c>
      <c r="S136" t="n">
        <v>10</v>
      </c>
      <c r="T136" t="n">
        <v>11</v>
      </c>
      <c r="U136" t="n">
        <v>8</v>
      </c>
      <c r="V136" s="2" t="inlineStr">
        <is>
          <t>Bredbrämad bastardsvärmare
Smalsprötad bastardsvärmare
Entita
Grönsångare
Mindre hackspett
Myskmadra
Purpurknipprot
Tibast
Spillkråka
Skogsduva</t>
        </is>
      </c>
      <c r="W136">
        <f>HYPERLINK("https://klasma.github.io/Logging_0883/artfynd/S 932-2025 artfynd.xlsx", "S 932-2025")</f>
        <v/>
      </c>
      <c r="X136">
        <f>HYPERLINK("https://klasma.github.io/Logging_0883/kartor/S 932-2025 karta.png", "S 932-2025")</f>
        <v/>
      </c>
      <c r="Y136">
        <f>HYPERLINK("https://klasma.github.io/Logging_0883/kartor_geotiff/S 932-2025 georefererad karta.tif", "S 932-2025")</f>
        <v/>
      </c>
      <c r="AA136">
        <f>HYPERLINK("https://klasma.github.io/Logging_0883/klagomål/S 932-2025 FSC-klagomål.docx", "S 932-2025")</f>
        <v/>
      </c>
      <c r="AB136">
        <f>HYPERLINK("https://klasma.github.io/Logging_0883/klagomålsmail/S 932-2025 FSC-klagomål mail.docx", "S 932-2025")</f>
        <v/>
      </c>
      <c r="AC136">
        <f>HYPERLINK("https://klasma.github.io/Logging_0883/tillsyn/S 932-2025 tillsynsbegäran.docx", "S 932-2025")</f>
        <v/>
      </c>
      <c r="AD136">
        <f>HYPERLINK("https://klasma.github.io/Logging_0883/tillsynsmail/S 932-2025 tillsynsbegäran mail.docx", "S 932-2025")</f>
        <v/>
      </c>
      <c r="AE136">
        <f>HYPERLINK("https://klasma.github.io/Logging_0883/fåglar/S 932-2025 prioriterade fågelarter.docx", "S 932-2025")</f>
        <v/>
      </c>
    </row>
    <row r="137" ht="15" customHeight="1">
      <c r="A137" t="inlineStr">
        <is>
          <t>S 747-2022</t>
        </is>
      </c>
      <c r="B137" t="inlineStr">
        <is>
          <t>samrådsanmälan</t>
        </is>
      </c>
      <c r="C137" t="inlineStr">
        <is>
          <t>Åtgärd i nyckelbiotop</t>
        </is>
      </c>
      <c r="D137" s="1" t="n">
        <v>44601</v>
      </c>
      <c r="E137" s="1" t="n">
        <v>46323</v>
      </c>
      <c r="F137" t="inlineStr">
        <is>
          <t>KALMAR LÄN</t>
        </is>
      </c>
      <c r="G137" t="inlineStr">
        <is>
          <t>KALMAR</t>
        </is>
      </c>
      <c r="I137" t="n">
        <v>2.3</v>
      </c>
      <c r="J137" t="n">
        <v>6</v>
      </c>
      <c r="K137" t="n">
        <v>3</v>
      </c>
      <c r="L137" t="n">
        <v>4</v>
      </c>
      <c r="M137" t="n">
        <v>1</v>
      </c>
      <c r="N137" t="n">
        <v>0</v>
      </c>
      <c r="O137" t="n">
        <v>0</v>
      </c>
      <c r="P137" t="n">
        <v>0</v>
      </c>
      <c r="Q137" t="n">
        <v>5</v>
      </c>
      <c r="R137" t="n">
        <v>1</v>
      </c>
      <c r="S137" t="n">
        <v>10</v>
      </c>
      <c r="T137" t="n">
        <v>13</v>
      </c>
      <c r="U137" t="n">
        <v>5</v>
      </c>
      <c r="V137" s="2" t="inlineStr">
        <is>
          <t>Knärot
Barbastell
Brunlångöra
Nordfladdermus
Sårläka
Blomkålssvamp
Brandticka
Grönpyrola
Större brunfladdermus
Vattenfladdermus</t>
        </is>
      </c>
      <c r="W137">
        <f>HYPERLINK("https://klasma.github.io/Logging_0880/artfynd/S 747-2022 artfynd.xlsx", "S 747-2022")</f>
        <v/>
      </c>
      <c r="X137">
        <f>HYPERLINK("https://klasma.github.io/Logging_0880/kartor/S 747-2022 karta.png", "S 747-2022")</f>
        <v/>
      </c>
      <c r="Y137">
        <f>HYPERLINK("https://klasma.github.io/Logging_0880/kartor_geotiff/S 747-2022 georefererad karta.tif", "S 747-2022")</f>
        <v/>
      </c>
      <c r="Z137">
        <f>HYPERLINK("https://klasma.github.io/Logging_0880/knärot/S 747-2022 karta knärot.png", "S 747-2022")</f>
        <v/>
      </c>
      <c r="AA137">
        <f>HYPERLINK("https://klasma.github.io/Logging_0880/klagomål/S 747-2022 FSC-klagomål.docx", "S 747-2022")</f>
        <v/>
      </c>
      <c r="AB137">
        <f>HYPERLINK("https://klasma.github.io/Logging_0880/klagomålsmail/S 747-2022 FSC-klagomål mail.docx", "S 747-2022")</f>
        <v/>
      </c>
      <c r="AC137">
        <f>HYPERLINK("https://klasma.github.io/Logging_0880/tillsyn/S 747-2022 tillsynsbegäran.docx", "S 747-2022")</f>
        <v/>
      </c>
      <c r="AD137">
        <f>HYPERLINK("https://klasma.github.io/Logging_0880/tillsynsmail/S 747-2022 tillsynsbegäran mail.docx", "S 747-2022")</f>
        <v/>
      </c>
    </row>
    <row r="138" ht="15" customHeight="1">
      <c r="A138" t="inlineStr">
        <is>
          <t>S 2747-2025</t>
        </is>
      </c>
      <c r="B138" t="inlineStr">
        <is>
          <t>samrådsanmälan</t>
        </is>
      </c>
      <c r="C138" t="inlineStr">
        <is>
          <t>Annan skogsbruksåtgärd</t>
        </is>
      </c>
      <c r="D138" s="1" t="n">
        <v>45933</v>
      </c>
      <c r="E138" s="1" t="n">
        <v>46323</v>
      </c>
      <c r="F138" t="inlineStr">
        <is>
          <t>KALMAR LÄN</t>
        </is>
      </c>
      <c r="G138" t="inlineStr">
        <is>
          <t>HULTSFRED</t>
        </is>
      </c>
      <c r="I138" t="n">
        <v>4.9</v>
      </c>
      <c r="J138" t="n">
        <v>7</v>
      </c>
      <c r="K138" t="n">
        <v>1</v>
      </c>
      <c r="L138" t="n">
        <v>3</v>
      </c>
      <c r="M138" t="n">
        <v>3</v>
      </c>
      <c r="N138" t="n">
        <v>1</v>
      </c>
      <c r="O138" t="n">
        <v>0</v>
      </c>
      <c r="P138" t="n">
        <v>0</v>
      </c>
      <c r="Q138" t="n">
        <v>7</v>
      </c>
      <c r="R138" t="n">
        <v>4</v>
      </c>
      <c r="S138" t="n">
        <v>10</v>
      </c>
      <c r="T138" t="n">
        <v>33</v>
      </c>
      <c r="U138" t="n">
        <v>0</v>
      </c>
      <c r="V138" s="2" t="inlineStr">
        <is>
          <t>Mosippa
Backsippa
Knärot
Ryl
Mellanlummer
Tallticka
Talltita
Grönpyrola
Blåsippa
Mattlummer</t>
        </is>
      </c>
      <c r="W138">
        <f>HYPERLINK("https://klasma.github.io/Logging_0860/artfynd/S 2747-2025 artfynd.xlsx", "S 2747-2025")</f>
        <v/>
      </c>
      <c r="X138">
        <f>HYPERLINK("https://klasma.github.io/Logging_0860/kartor/S 2747-2025 karta.png", "S 2747-2025")</f>
        <v/>
      </c>
      <c r="Y138">
        <f>HYPERLINK("https://klasma.github.io/Logging_0860/kartor_geotiff/S 2747-2025 georefererad karta.tif", "S 2747-2025")</f>
        <v/>
      </c>
      <c r="Z138">
        <f>HYPERLINK("https://klasma.github.io/Logging_0860/knärot/S 2747-2025 karta knärot.png", "S 2747-2025")</f>
        <v/>
      </c>
      <c r="AA138">
        <f>HYPERLINK("https://klasma.github.io/Logging_0860/klagomål/S 2747-2025 FSC-klagomål.docx", "S 2747-2025")</f>
        <v/>
      </c>
      <c r="AB138">
        <f>HYPERLINK("https://klasma.github.io/Logging_0860/klagomålsmail/S 2747-2025 FSC-klagomål mail.docx", "S 2747-2025")</f>
        <v/>
      </c>
      <c r="AC138">
        <f>HYPERLINK("https://klasma.github.io/Logging_0860/tillsyn/S 2747-2025 tillsynsbegäran.docx", "S 2747-2025")</f>
        <v/>
      </c>
      <c r="AD138">
        <f>HYPERLINK("https://klasma.github.io/Logging_0860/tillsynsmail/S 2747-2025 tillsynsbegäran mail.docx", "S 2747-2025")</f>
        <v/>
      </c>
      <c r="AE138">
        <f>HYPERLINK("https://klasma.github.io/Logging_0860/fåglar/S 2747-2025 prioriterade fågelarter.docx", "S 2747-2025")</f>
        <v/>
      </c>
    </row>
    <row r="139" ht="15" customHeight="1">
      <c r="A139" t="inlineStr">
        <is>
          <t>S 720-2026</t>
        </is>
      </c>
      <c r="B139" t="inlineStr">
        <is>
          <t>samrådsanmälan</t>
        </is>
      </c>
      <c r="C139" t="inlineStr">
        <is>
          <t>Askåterföring</t>
        </is>
      </c>
      <c r="D139" s="1" t="n">
        <v>46093</v>
      </c>
      <c r="E139" s="1" t="n">
        <v>46323</v>
      </c>
      <c r="F139" t="inlineStr">
        <is>
          <t>KALMAR LÄN</t>
        </is>
      </c>
      <c r="G139" t="inlineStr">
        <is>
          <t>MÖNSTERÅS</t>
        </is>
      </c>
      <c r="I139" t="n">
        <v>35.9</v>
      </c>
      <c r="J139" t="n">
        <v>5</v>
      </c>
      <c r="K139" t="n">
        <v>4</v>
      </c>
      <c r="L139" t="n">
        <v>3</v>
      </c>
      <c r="M139" t="n">
        <v>0</v>
      </c>
      <c r="N139" t="n">
        <v>0</v>
      </c>
      <c r="O139" t="n">
        <v>0</v>
      </c>
      <c r="P139" t="n">
        <v>0</v>
      </c>
      <c r="Q139" t="n">
        <v>3</v>
      </c>
      <c r="R139" t="n">
        <v>0</v>
      </c>
      <c r="S139" t="n">
        <v>10</v>
      </c>
      <c r="T139" t="n">
        <v>16</v>
      </c>
      <c r="U139" t="n">
        <v>0</v>
      </c>
      <c r="V139" s="2" t="inlineStr">
        <is>
          <t>Kattfotslav
Nordfladdermus
Talltita
Kornknutmossa
Murgröna
Stor revmossa
Stubbspretmossa
Spillkråka
Dvärgpipistrell
Revlummer</t>
        </is>
      </c>
      <c r="W139">
        <f>HYPERLINK("https://klasma.github.io/Logging_0861/artfynd/S 720-2026 artfynd.xlsx", "S 720-2026")</f>
        <v/>
      </c>
      <c r="X139">
        <f>HYPERLINK("https://klasma.github.io/Logging_0861/kartor/S 720-2026 karta.png", "S 720-2026")</f>
        <v/>
      </c>
      <c r="Y139">
        <f>HYPERLINK("https://klasma.github.io/Logging_0861/kartor_geotiff/S 720-2026 georefererad karta.tif", "S 720-2026")</f>
        <v/>
      </c>
      <c r="AA139">
        <f>HYPERLINK("https://klasma.github.io/Logging_0861/klagomål/S 720-2026 FSC-klagomål.docx", "S 720-2026")</f>
        <v/>
      </c>
      <c r="AB139">
        <f>HYPERLINK("https://klasma.github.io/Logging_0861/klagomålsmail/S 720-2026 FSC-klagomål mail.docx", "S 720-2026")</f>
        <v/>
      </c>
      <c r="AC139">
        <f>HYPERLINK("https://klasma.github.io/Logging_0861/tillsyn/S 720-2026 tillsynsbegäran.docx", "S 720-2026")</f>
        <v/>
      </c>
      <c r="AD139">
        <f>HYPERLINK("https://klasma.github.io/Logging_0861/tillsynsmail/S 720-2026 tillsynsbegäran mail.docx", "S 720-2026")</f>
        <v/>
      </c>
      <c r="AE139">
        <f>HYPERLINK("https://klasma.github.io/Logging_0861/fåglar/S 720-2026 prioriterade fågelarter.docx", "S 720-2026")</f>
        <v/>
      </c>
    </row>
    <row r="140" ht="15" customHeight="1">
      <c r="A140" t="inlineStr">
        <is>
          <t>S 2259-2026</t>
        </is>
      </c>
      <c r="B140" t="inlineStr">
        <is>
          <t>samrådsanmälan</t>
        </is>
      </c>
      <c r="C140" t="inlineStr">
        <is>
          <t>Annan skogsbruksåtgärd</t>
        </is>
      </c>
      <c r="D140" s="1" t="n">
        <v>46262</v>
      </c>
      <c r="E140" s="1" t="n">
        <v>46323</v>
      </c>
      <c r="F140" t="inlineStr">
        <is>
          <t>KALMAR LÄN</t>
        </is>
      </c>
      <c r="G140" t="inlineStr">
        <is>
          <t>VÄSTERVIK</t>
        </is>
      </c>
      <c r="H140" t="inlineStr">
        <is>
          <t>Kommuner</t>
        </is>
      </c>
      <c r="I140" t="n">
        <v>4.9</v>
      </c>
      <c r="J140" t="n">
        <v>3</v>
      </c>
      <c r="K140" t="n">
        <v>2</v>
      </c>
      <c r="L140" t="n">
        <v>4</v>
      </c>
      <c r="M140" t="n">
        <v>1</v>
      </c>
      <c r="N140" t="n">
        <v>1</v>
      </c>
      <c r="O140" t="n">
        <v>0</v>
      </c>
      <c r="P140" t="n">
        <v>0</v>
      </c>
      <c r="Q140" t="n">
        <v>6</v>
      </c>
      <c r="R140" t="n">
        <v>2</v>
      </c>
      <c r="S140" t="n">
        <v>10</v>
      </c>
      <c r="T140" t="n">
        <v>15</v>
      </c>
      <c r="U140" t="n">
        <v>0</v>
      </c>
      <c r="V140" s="2" t="inlineStr">
        <is>
          <t>Skogsalm
Hasselsnok
Blekticka
Ekticka
Rosa skärelav
Skuggorangelav
Gulnål
Gulpudrad spiklav
Huggorm
Vanlig snok</t>
        </is>
      </c>
      <c r="W140">
        <f>HYPERLINK("https://klasma.github.io/Logging_0883/artfynd/S 2259-2026 artfynd.xlsx", "S 2259-2026")</f>
        <v/>
      </c>
      <c r="X140">
        <f>HYPERLINK("https://klasma.github.io/Logging_0883/kartor/S 2259-2026 karta.png", "S 2259-2026")</f>
        <v/>
      </c>
      <c r="Y140">
        <f>HYPERLINK("https://klasma.github.io/Logging_0883/kartor_geotiff/S 2259-2026 georefererad karta.tif", "S 2259-2026")</f>
        <v/>
      </c>
      <c r="AA140">
        <f>HYPERLINK("https://klasma.github.io/Logging_0883/klagomål/S 2259-2026 FSC-klagomål.docx", "S 2259-2026")</f>
        <v/>
      </c>
      <c r="AB140">
        <f>HYPERLINK("https://klasma.github.io/Logging_0883/klagomålsmail/S 2259-2026 FSC-klagomål mail.docx", "S 2259-2026")</f>
        <v/>
      </c>
      <c r="AC140">
        <f>HYPERLINK("https://klasma.github.io/Logging_0883/tillsyn/S 2259-2026 tillsynsbegäran.docx", "S 2259-2026")</f>
        <v/>
      </c>
      <c r="AD140">
        <f>HYPERLINK("https://klasma.github.io/Logging_0883/tillsynsmail/S 2259-2026 tillsynsbegäran mail.docx", "S 2259-2026")</f>
        <v/>
      </c>
    </row>
    <row r="141" ht="15" customHeight="1">
      <c r="A141" t="inlineStr">
        <is>
          <t>S 2795-2026</t>
        </is>
      </c>
      <c r="B141" t="inlineStr">
        <is>
          <t>samrådsanmälan</t>
        </is>
      </c>
      <c r="C141" t="inlineStr">
        <is>
          <t>Annan skogsbruksåtgärd</t>
        </is>
      </c>
      <c r="D141" s="1" t="n">
        <v>46322</v>
      </c>
      <c r="E141" s="1" t="n">
        <v>46323</v>
      </c>
      <c r="F141" t="inlineStr">
        <is>
          <t>KALMAR LÄN</t>
        </is>
      </c>
      <c r="G141" t="inlineStr">
        <is>
          <t>VÄSTERVIK</t>
        </is>
      </c>
      <c r="H141" t="inlineStr">
        <is>
          <t>Kommuner</t>
        </is>
      </c>
      <c r="I141" t="n">
        <v>15.4</v>
      </c>
      <c r="J141" t="n">
        <v>3</v>
      </c>
      <c r="K141" t="n">
        <v>1</v>
      </c>
      <c r="L141" t="n">
        <v>5</v>
      </c>
      <c r="M141" t="n">
        <v>2</v>
      </c>
      <c r="N141" t="n">
        <v>1</v>
      </c>
      <c r="O141" t="n">
        <v>0</v>
      </c>
      <c r="P141" t="n">
        <v>0</v>
      </c>
      <c r="Q141" t="n">
        <v>8</v>
      </c>
      <c r="R141" t="n">
        <v>3</v>
      </c>
      <c r="S141" t="n">
        <v>10</v>
      </c>
      <c r="T141" t="n">
        <v>28</v>
      </c>
      <c r="U141" t="n">
        <v>0</v>
      </c>
      <c r="V141" s="2" t="inlineStr">
        <is>
          <t>Rosensopp
Kvistkrabbspindel
Kärnticka
Blekticka
Ekticka
Gammelekslav
Mindre hackspett
Oxtungssvamp
Ekoxe
Gröngöling</t>
        </is>
      </c>
      <c r="W141">
        <f>HYPERLINK("https://klasma.github.io/Logging_0883/artfynd/S 2795-2026 artfynd.xlsx", "S 2795-2026")</f>
        <v/>
      </c>
      <c r="X141">
        <f>HYPERLINK("https://klasma.github.io/Logging_0883/kartor/S 2795-2026 karta.png", "S 2795-2026")</f>
        <v/>
      </c>
      <c r="Y141">
        <f>HYPERLINK("https://klasma.github.io/Logging_0883/kartor_geotiff/S 2795-2026 georefererad karta.tif", "S 2795-2026")</f>
        <v/>
      </c>
      <c r="AA141">
        <f>HYPERLINK("https://klasma.github.io/Logging_0883/klagomål/S 2795-2026 FSC-klagomål.docx", "S 2795-2026")</f>
        <v/>
      </c>
      <c r="AB141">
        <f>HYPERLINK("https://klasma.github.io/Logging_0883/klagomålsmail/S 2795-2026 FSC-klagomål mail.docx", "S 2795-2026")</f>
        <v/>
      </c>
      <c r="AC141">
        <f>HYPERLINK("https://klasma.github.io/Logging_0883/tillsyn/S 2795-2026 tillsynsbegäran.docx", "S 2795-2026")</f>
        <v/>
      </c>
      <c r="AD141">
        <f>HYPERLINK("https://klasma.github.io/Logging_0883/tillsynsmail/S 2795-2026 tillsynsbegäran mail.docx", "S 2795-2026")</f>
        <v/>
      </c>
      <c r="AE141">
        <f>HYPERLINK("https://klasma.github.io/Logging_0883/fåglar/S 2795-2026 prioriterade fågelarter.docx", "S 2795-2026")</f>
        <v/>
      </c>
    </row>
    <row r="142" ht="15" customHeight="1">
      <c r="A142" t="inlineStr">
        <is>
          <t>A 53138-2022</t>
        </is>
      </c>
      <c r="B142" t="inlineStr">
        <is>
          <t>avverkningsanmälan</t>
        </is>
      </c>
      <c r="C142" t="inlineStr">
        <is>
          <t>Föryngringsavverkning</t>
        </is>
      </c>
      <c r="D142" s="1" t="n">
        <v>44876</v>
      </c>
      <c r="E142" s="1" t="n">
        <v>46323</v>
      </c>
      <c r="F142" t="inlineStr">
        <is>
          <t>KALMAR LÄN</t>
        </is>
      </c>
      <c r="G142" t="inlineStr">
        <is>
          <t>KALMAR</t>
        </is>
      </c>
      <c r="I142" t="n">
        <v>4</v>
      </c>
      <c r="J142" t="n">
        <v>3</v>
      </c>
      <c r="K142" t="n">
        <v>5</v>
      </c>
      <c r="L142" t="n">
        <v>2</v>
      </c>
      <c r="M142" t="n">
        <v>1</v>
      </c>
      <c r="N142" t="n">
        <v>0</v>
      </c>
      <c r="O142" t="n">
        <v>0</v>
      </c>
      <c r="P142" t="n">
        <v>0</v>
      </c>
      <c r="Q142" t="n">
        <v>3</v>
      </c>
      <c r="R142" t="n">
        <v>1</v>
      </c>
      <c r="S142" t="n">
        <v>9</v>
      </c>
      <c r="T142" t="n">
        <v>37</v>
      </c>
      <c r="U142" t="n">
        <v>6</v>
      </c>
      <c r="V142" s="2" t="inlineStr">
        <is>
          <t>Knärot
Motaggsvamp
Talltita
Blomkålssvamp
Brandticka
Flagellkvastmossa
Havstulpanlav
Kornknutmossa
Spillkråka</t>
        </is>
      </c>
      <c r="W142">
        <f>HYPERLINK("https://klasma.github.io/Logging_0880/artfynd/A 53138-2022 artfynd.xlsx", "A 53138-2022")</f>
        <v/>
      </c>
      <c r="X142">
        <f>HYPERLINK("https://klasma.github.io/Logging_0880/kartor/A 53138-2022 karta.png", "A 53138-2022")</f>
        <v/>
      </c>
      <c r="Y142">
        <f>HYPERLINK("https://klasma.github.io/Logging_0880/kartor_geotiff/A 53138-2022 georefererad karta.tif", "A 53138-2022")</f>
        <v/>
      </c>
      <c r="Z142">
        <f>HYPERLINK("https://klasma.github.io/Logging_0880/knärot/A 53138-2022 karta knärot.png", "A 53138-2022")</f>
        <v/>
      </c>
      <c r="AA142">
        <f>HYPERLINK("https://klasma.github.io/Logging_0880/klagomål/A 53138-2022 FSC-klagomål.docx", "A 53138-2022")</f>
        <v/>
      </c>
      <c r="AB142">
        <f>HYPERLINK("https://klasma.github.io/Logging_0880/klagomålsmail/A 53138-2022 FSC-klagomål mail.docx", "A 53138-2022")</f>
        <v/>
      </c>
      <c r="AC142">
        <f>HYPERLINK("https://klasma.github.io/Logging_0880/tillsyn/A 53138-2022 tillsynsbegäran.docx", "A 53138-2022")</f>
        <v/>
      </c>
      <c r="AD142">
        <f>HYPERLINK("https://klasma.github.io/Logging_0880/tillsynsmail/A 53138-2022 tillsynsbegäran mail.docx", "A 53138-2022")</f>
        <v/>
      </c>
      <c r="AE142">
        <f>HYPERLINK("https://klasma.github.io/Logging_0880/fåglar/A 53138-2022 prioriterade fågelarter.docx", "A 53138-2022")</f>
        <v/>
      </c>
    </row>
    <row r="143" ht="15" customHeight="1">
      <c r="A143" t="inlineStr">
        <is>
          <t>A 47471-2025</t>
        </is>
      </c>
      <c r="B143" t="inlineStr">
        <is>
          <t>avverkningsanmälan</t>
        </is>
      </c>
      <c r="C143" t="inlineStr">
        <is>
          <t>Avverkning för att bevara och utveckla /försöksver</t>
        </is>
      </c>
      <c r="D143" s="1" t="n">
        <v>45930</v>
      </c>
      <c r="E143" s="1" t="n">
        <v>46323</v>
      </c>
      <c r="F143" t="inlineStr">
        <is>
          <t>KALMAR LÄN</t>
        </is>
      </c>
      <c r="G143" t="inlineStr">
        <is>
          <t>BORGHOLM</t>
        </is>
      </c>
      <c r="H143" t="inlineStr">
        <is>
          <t>Sveaskog</t>
        </is>
      </c>
      <c r="I143" t="n">
        <v>3.6</v>
      </c>
      <c r="J143" t="n">
        <v>3</v>
      </c>
      <c r="K143" t="n">
        <v>1</v>
      </c>
      <c r="L143" t="n">
        <v>3</v>
      </c>
      <c r="M143" t="n">
        <v>1</v>
      </c>
      <c r="N143" t="n">
        <v>2</v>
      </c>
      <c r="O143" t="n">
        <v>0</v>
      </c>
      <c r="P143" t="n">
        <v>0</v>
      </c>
      <c r="Q143" t="n">
        <v>6</v>
      </c>
      <c r="R143" t="n">
        <v>3</v>
      </c>
      <c r="S143" t="n">
        <v>9</v>
      </c>
      <c r="T143" t="n">
        <v>16</v>
      </c>
      <c r="U143" t="n">
        <v>0</v>
      </c>
      <c r="V143" s="2" t="inlineStr">
        <is>
          <t>Ask
Plattnosad rovfluga
Kvistkrabbspindel
Gul dropplav
Hjälmbrosklav
Tallticka
Vit skogslilja
Blåsippa
Salepsrot</t>
        </is>
      </c>
      <c r="W143">
        <f>HYPERLINK("https://klasma.github.io/Logging_0885/artfynd/A 47471-2025 artfynd.xlsx", "A 47471-2025")</f>
        <v/>
      </c>
      <c r="X143">
        <f>HYPERLINK("https://klasma.github.io/Logging_0885/kartor/A 47471-2025 karta.png", "A 47471-2025")</f>
        <v/>
      </c>
      <c r="Y143">
        <f>HYPERLINK("https://klasma.github.io/Logging_0885/kartor_geotiff/A 47471-2025 georefererad karta.tif", "A 47471-2025")</f>
        <v/>
      </c>
      <c r="AA143">
        <f>HYPERLINK("https://klasma.github.io/Logging_0885/klagomål/A 47471-2025 FSC-klagomål.docx", "A 47471-2025")</f>
        <v/>
      </c>
      <c r="AB143">
        <f>HYPERLINK("https://klasma.github.io/Logging_0885/klagomålsmail/A 47471-2025 FSC-klagomål mail.docx", "A 47471-2025")</f>
        <v/>
      </c>
      <c r="AC143">
        <f>HYPERLINK("https://klasma.github.io/Logging_0885/tillsyn/A 47471-2025 tillsynsbegäran.docx", "A 47471-2025")</f>
        <v/>
      </c>
      <c r="AD143">
        <f>HYPERLINK("https://klasma.github.io/Logging_0885/tillsynsmail/A 47471-2025 tillsynsbegäran mail.docx", "A 47471-2025")</f>
        <v/>
      </c>
    </row>
    <row r="144" ht="15" customHeight="1">
      <c r="A144" t="inlineStr">
        <is>
          <t>A 51110-2025</t>
        </is>
      </c>
      <c r="B144" t="inlineStr">
        <is>
          <t>avverkningsanmälan</t>
        </is>
      </c>
      <c r="C144" t="inlineStr">
        <is>
          <t>Föryngringsavverkning</t>
        </is>
      </c>
      <c r="D144" s="1" t="n">
        <v>45947</v>
      </c>
      <c r="E144" s="1" t="n">
        <v>46323</v>
      </c>
      <c r="F144" t="inlineStr">
        <is>
          <t>KALMAR LÄN</t>
        </is>
      </c>
      <c r="G144" t="inlineStr">
        <is>
          <t>KALMAR</t>
        </is>
      </c>
      <c r="I144" t="n">
        <v>2.2</v>
      </c>
      <c r="J144" t="n">
        <v>3</v>
      </c>
      <c r="K144" t="n">
        <v>3</v>
      </c>
      <c r="L144" t="n">
        <v>4</v>
      </c>
      <c r="M144" t="n">
        <v>1</v>
      </c>
      <c r="N144" t="n">
        <v>0</v>
      </c>
      <c r="O144" t="n">
        <v>0</v>
      </c>
      <c r="P144" t="n">
        <v>0</v>
      </c>
      <c r="Q144" t="n">
        <v>5</v>
      </c>
      <c r="R144" t="n">
        <v>1</v>
      </c>
      <c r="S144" t="n">
        <v>9</v>
      </c>
      <c r="T144" t="n">
        <v>23</v>
      </c>
      <c r="U144" t="n">
        <v>0</v>
      </c>
      <c r="V144" s="2" t="inlineStr">
        <is>
          <t>Knärot
Kattfotslav
Reliktbock
Tallkötticka
Talltita
Blåmossa
Brandticka
Bronshjon
Spillkråka</t>
        </is>
      </c>
      <c r="W144">
        <f>HYPERLINK("https://klasma.github.io/Logging_0880/artfynd/A 51110-2025 artfynd.xlsx", "A 51110-2025")</f>
        <v/>
      </c>
      <c r="X144">
        <f>HYPERLINK("https://klasma.github.io/Logging_0880/kartor/A 51110-2025 karta.png", "A 51110-2025")</f>
        <v/>
      </c>
      <c r="Y144">
        <f>HYPERLINK("https://klasma.github.io/Logging_0880/kartor_geotiff/A 51110-2025 georefererad karta.tif", "A 51110-2025")</f>
        <v/>
      </c>
      <c r="Z144">
        <f>HYPERLINK("https://klasma.github.io/Logging_0880/knärot/A 51110-2025 karta knärot.png", "A 51110-2025")</f>
        <v/>
      </c>
      <c r="AA144">
        <f>HYPERLINK("https://klasma.github.io/Logging_0880/klagomål/A 51110-2025 FSC-klagomål.docx", "A 51110-2025")</f>
        <v/>
      </c>
      <c r="AB144">
        <f>HYPERLINK("https://klasma.github.io/Logging_0880/klagomålsmail/A 51110-2025 FSC-klagomål mail.docx", "A 51110-2025")</f>
        <v/>
      </c>
      <c r="AC144">
        <f>HYPERLINK("https://klasma.github.io/Logging_0880/tillsyn/A 51110-2025 tillsynsbegäran.docx", "A 51110-2025")</f>
        <v/>
      </c>
      <c r="AD144">
        <f>HYPERLINK("https://klasma.github.io/Logging_0880/tillsynsmail/A 51110-2025 tillsynsbegäran mail.docx", "A 51110-2025")</f>
        <v/>
      </c>
      <c r="AE144">
        <f>HYPERLINK("https://klasma.github.io/Logging_0880/fåglar/A 51110-2025 prioriterade fågelarter.docx", "A 51110-2025")</f>
        <v/>
      </c>
    </row>
    <row r="145" ht="15" customHeight="1">
      <c r="A145" t="inlineStr">
        <is>
          <t>A 7475-2023</t>
        </is>
      </c>
      <c r="B145" t="inlineStr">
        <is>
          <t>avverkningsanmälan</t>
        </is>
      </c>
      <c r="C145" t="inlineStr">
        <is>
          <t>Föryngringsavverkning</t>
        </is>
      </c>
      <c r="D145" s="1" t="n">
        <v>44971</v>
      </c>
      <c r="E145" s="1" t="n">
        <v>46323</v>
      </c>
      <c r="F145" t="inlineStr">
        <is>
          <t>KALMAR LÄN</t>
        </is>
      </c>
      <c r="G145" t="inlineStr">
        <is>
          <t>MÖNSTERÅS</t>
        </is>
      </c>
      <c r="I145" t="n">
        <v>3.3</v>
      </c>
      <c r="J145" t="n">
        <v>3</v>
      </c>
      <c r="K145" t="n">
        <v>3</v>
      </c>
      <c r="L145" t="n">
        <v>4</v>
      </c>
      <c r="M145" t="n">
        <v>1</v>
      </c>
      <c r="N145" t="n">
        <v>0</v>
      </c>
      <c r="O145" t="n">
        <v>0</v>
      </c>
      <c r="P145" t="n">
        <v>0</v>
      </c>
      <c r="Q145" t="n">
        <v>5</v>
      </c>
      <c r="R145" t="n">
        <v>1</v>
      </c>
      <c r="S145" t="n">
        <v>9</v>
      </c>
      <c r="T145" t="n">
        <v>44</v>
      </c>
      <c r="U145" t="n">
        <v>44</v>
      </c>
      <c r="V145" s="2" t="inlineStr">
        <is>
          <t>Knärot
Grönsångare
Rynkskinn
Tallticka
Ullticka
Blåmossa
Grovticka
Grönpyrola
Spillkråka</t>
        </is>
      </c>
      <c r="W145">
        <f>HYPERLINK("https://klasma.github.io/Logging_0861/artfynd/A 7475-2023 artfynd.xlsx", "A 7475-2023")</f>
        <v/>
      </c>
      <c r="X145">
        <f>HYPERLINK("https://klasma.github.io/Logging_0861/kartor/A 7475-2023 karta.png", "A 7475-2023")</f>
        <v/>
      </c>
      <c r="Y145">
        <f>HYPERLINK("https://klasma.github.io/Logging_0861/kartor_geotiff/A 7475-2023 georefererad karta.tif", "A 7475-2023")</f>
        <v/>
      </c>
      <c r="Z145">
        <f>HYPERLINK("https://klasma.github.io/Logging_0861/knärot/A 7475-2023 karta knärot.png", "A 7475-2023")</f>
        <v/>
      </c>
      <c r="AA145">
        <f>HYPERLINK("https://klasma.github.io/Logging_0861/klagomål/A 7475-2023 FSC-klagomål.docx", "A 7475-2023")</f>
        <v/>
      </c>
      <c r="AB145">
        <f>HYPERLINK("https://klasma.github.io/Logging_0861/klagomålsmail/A 7475-2023 FSC-klagomål mail.docx", "A 7475-2023")</f>
        <v/>
      </c>
      <c r="AC145">
        <f>HYPERLINK("https://klasma.github.io/Logging_0861/tillsyn/A 7475-2023 tillsynsbegäran.docx", "A 7475-2023")</f>
        <v/>
      </c>
      <c r="AD145">
        <f>HYPERLINK("https://klasma.github.io/Logging_0861/tillsynsmail/A 7475-2023 tillsynsbegäran mail.docx", "A 7475-2023")</f>
        <v/>
      </c>
      <c r="AE145">
        <f>HYPERLINK("https://klasma.github.io/Logging_0861/fåglar/A 7475-2023 prioriterade fågelarter.docx", "A 7475-2023")</f>
        <v/>
      </c>
    </row>
    <row r="146" ht="15" customHeight="1">
      <c r="A146" t="inlineStr">
        <is>
          <t>A 31431-2024</t>
        </is>
      </c>
      <c r="B146" t="inlineStr">
        <is>
          <t>avverkningsanmälan</t>
        </is>
      </c>
      <c r="C146" t="inlineStr">
        <is>
          <t>Föryngringsavverkning</t>
        </is>
      </c>
      <c r="D146" s="1" t="n">
        <v>45505</v>
      </c>
      <c r="E146" s="1" t="n">
        <v>46323</v>
      </c>
      <c r="F146" t="inlineStr">
        <is>
          <t>KALMAR LÄN</t>
        </is>
      </c>
      <c r="G146" t="inlineStr">
        <is>
          <t>VÄSTERVIK</t>
        </is>
      </c>
      <c r="I146" t="n">
        <v>1.3</v>
      </c>
      <c r="J146" t="n">
        <v>0</v>
      </c>
      <c r="K146" t="n">
        <v>6</v>
      </c>
      <c r="L146" t="n">
        <v>2</v>
      </c>
      <c r="M146" t="n">
        <v>0</v>
      </c>
      <c r="N146" t="n">
        <v>1</v>
      </c>
      <c r="O146" t="n">
        <v>0</v>
      </c>
      <c r="P146" t="n">
        <v>0</v>
      </c>
      <c r="Q146" t="n">
        <v>3</v>
      </c>
      <c r="R146" t="n">
        <v>1</v>
      </c>
      <c r="S146" t="n">
        <v>9</v>
      </c>
      <c r="T146" t="n">
        <v>16</v>
      </c>
      <c r="U146" t="n">
        <v>1</v>
      </c>
      <c r="V146" s="2" t="inlineStr">
        <is>
          <t>Skogsalm
Ekticka
Skeppsvarvsfluga
Fällmossa
Guldlockmossa
Gulpudrad spiklav
Myskmadra
Rostfläck
Trädporella</t>
        </is>
      </c>
      <c r="W146">
        <f>HYPERLINK("https://klasma.github.io/Logging_0883/artfynd/A 31431-2024 artfynd.xlsx", "A 31431-2024")</f>
        <v/>
      </c>
      <c r="X146">
        <f>HYPERLINK("https://klasma.github.io/Logging_0883/kartor/A 31431-2024 karta.png", "A 31431-2024")</f>
        <v/>
      </c>
      <c r="Y146">
        <f>HYPERLINK("https://klasma.github.io/Logging_0883/kartor_geotiff/A 31431-2024 georefererad karta.tif", "A 31431-2024")</f>
        <v/>
      </c>
      <c r="AA146">
        <f>HYPERLINK("https://klasma.github.io/Logging_0883/klagomål/A 31431-2024 FSC-klagomål.docx", "A 31431-2024")</f>
        <v/>
      </c>
      <c r="AB146">
        <f>HYPERLINK("https://klasma.github.io/Logging_0883/klagomålsmail/A 31431-2024 FSC-klagomål mail.docx", "A 31431-2024")</f>
        <v/>
      </c>
      <c r="AC146">
        <f>HYPERLINK("https://klasma.github.io/Logging_0883/tillsyn/A 31431-2024 tillsynsbegäran.docx", "A 31431-2024")</f>
        <v/>
      </c>
      <c r="AD146">
        <f>HYPERLINK("https://klasma.github.io/Logging_0883/tillsynsmail/A 31431-2024 tillsynsbegäran mail.docx", "A 31431-2024")</f>
        <v/>
      </c>
    </row>
    <row r="147" ht="15" customHeight="1">
      <c r="A147" t="inlineStr">
        <is>
          <t>A 24641-2024</t>
        </is>
      </c>
      <c r="B147" t="inlineStr">
        <is>
          <t>avverkningsanmälan</t>
        </is>
      </c>
      <c r="C147" t="inlineStr">
        <is>
          <t>Föryngringsavverkning</t>
        </is>
      </c>
      <c r="D147" s="1" t="n">
        <v>45460</v>
      </c>
      <c r="E147" s="1" t="n">
        <v>46323</v>
      </c>
      <c r="F147" t="inlineStr">
        <is>
          <t>KALMAR LÄN</t>
        </is>
      </c>
      <c r="G147" t="inlineStr">
        <is>
          <t>OSKARSHAMN</t>
        </is>
      </c>
      <c r="I147" t="n">
        <v>5.6</v>
      </c>
      <c r="J147" t="n">
        <v>5</v>
      </c>
      <c r="K147" t="n">
        <v>2</v>
      </c>
      <c r="L147" t="n">
        <v>3</v>
      </c>
      <c r="M147" t="n">
        <v>0</v>
      </c>
      <c r="N147" t="n">
        <v>0</v>
      </c>
      <c r="O147" t="n">
        <v>0</v>
      </c>
      <c r="P147" t="n">
        <v>0</v>
      </c>
      <c r="Q147" t="n">
        <v>3</v>
      </c>
      <c r="R147" t="n">
        <v>0</v>
      </c>
      <c r="S147" t="n">
        <v>9</v>
      </c>
      <c r="T147" t="n">
        <v>21</v>
      </c>
      <c r="U147" t="n">
        <v>21</v>
      </c>
      <c r="V147" s="2" t="inlineStr">
        <is>
          <t>Gropticka
Tallticka
Talltita
Blomkålssvamp
Blåmossa
Blåsippa
Spillkråka
Gröngöling
Havsörn</t>
        </is>
      </c>
      <c r="W147">
        <f>HYPERLINK("https://klasma.github.io/Logging_0882/artfynd/A 24641-2024 artfynd.xlsx", "A 24641-2024")</f>
        <v/>
      </c>
      <c r="X147">
        <f>HYPERLINK("https://klasma.github.io/Logging_0882/kartor/A 24641-2024 karta.png", "A 24641-2024")</f>
        <v/>
      </c>
      <c r="Y147">
        <f>HYPERLINK("https://klasma.github.io/Logging_0882/kartor_geotiff/A 24641-2024 georefererad karta.tif", "A 24641-2024")</f>
        <v/>
      </c>
      <c r="AA147">
        <f>HYPERLINK("https://klasma.github.io/Logging_0882/klagomål/A 24641-2024 FSC-klagomål.docx", "A 24641-2024")</f>
        <v/>
      </c>
      <c r="AB147">
        <f>HYPERLINK("https://klasma.github.io/Logging_0882/klagomålsmail/A 24641-2024 FSC-klagomål mail.docx", "A 24641-2024")</f>
        <v/>
      </c>
      <c r="AC147">
        <f>HYPERLINK("https://klasma.github.io/Logging_0882/tillsyn/A 24641-2024 tillsynsbegäran.docx", "A 24641-2024")</f>
        <v/>
      </c>
      <c r="AD147">
        <f>HYPERLINK("https://klasma.github.io/Logging_0882/tillsynsmail/A 24641-2024 tillsynsbegäran mail.docx", "A 24641-2024")</f>
        <v/>
      </c>
      <c r="AE147">
        <f>HYPERLINK("https://klasma.github.io/Logging_0882/fåglar/A 24641-2024 prioriterade fågelarter.docx", "A 24641-2024")</f>
        <v/>
      </c>
    </row>
    <row r="148" ht="15" customHeight="1">
      <c r="A148" t="inlineStr">
        <is>
          <t>A 30937-2026</t>
        </is>
      </c>
      <c r="B148" t="inlineStr">
        <is>
          <t>avverkningsanmälan</t>
        </is>
      </c>
      <c r="C148" t="inlineStr">
        <is>
          <t>Föryngringsavverkning</t>
        </is>
      </c>
      <c r="D148" s="1" t="n">
        <v>46213</v>
      </c>
      <c r="E148" s="1" t="n">
        <v>46323</v>
      </c>
      <c r="F148" t="inlineStr">
        <is>
          <t>KALMAR LÄN</t>
        </is>
      </c>
      <c r="G148" t="inlineStr">
        <is>
          <t>HULTSFRED</t>
        </is>
      </c>
      <c r="I148" t="n">
        <v>3.3</v>
      </c>
      <c r="J148" t="n">
        <v>3</v>
      </c>
      <c r="K148" t="n">
        <v>6</v>
      </c>
      <c r="L148" t="n">
        <v>1</v>
      </c>
      <c r="M148" t="n">
        <v>0</v>
      </c>
      <c r="N148" t="n">
        <v>0</v>
      </c>
      <c r="O148" t="n">
        <v>0</v>
      </c>
      <c r="P148" t="n">
        <v>0</v>
      </c>
      <c r="Q148" t="n">
        <v>1</v>
      </c>
      <c r="R148" t="n">
        <v>0</v>
      </c>
      <c r="S148" t="n">
        <v>9</v>
      </c>
      <c r="T148" t="n">
        <v>20</v>
      </c>
      <c r="U148" t="n">
        <v>0</v>
      </c>
      <c r="V148" s="2" t="inlineStr">
        <is>
          <t>Talltita
Bårdlav
Gulnål
Kornig nållav
Rostfläck
Sotlav
Underviol
Blåsippa
Gullviva</t>
        </is>
      </c>
      <c r="W148">
        <f>HYPERLINK("https://klasma.github.io/Logging_0860/artfynd/A 30937-2026 artfynd.xlsx", "A 30937-2026")</f>
        <v/>
      </c>
      <c r="X148">
        <f>HYPERLINK("https://klasma.github.io/Logging_0860/kartor/A 30937-2026 karta.png", "A 30937-2026")</f>
        <v/>
      </c>
      <c r="Y148">
        <f>HYPERLINK("https://klasma.github.io/Logging_0860/kartor_geotiff/A 30937-2026 georefererad karta.tif", "A 30937-2026")</f>
        <v/>
      </c>
      <c r="AA148">
        <f>HYPERLINK("https://klasma.github.io/Logging_0860/klagomål/A 30937-2026 FSC-klagomål.docx", "A 30937-2026")</f>
        <v/>
      </c>
      <c r="AB148">
        <f>HYPERLINK("https://klasma.github.io/Logging_0860/klagomålsmail/A 30937-2026 FSC-klagomål mail.docx", "A 30937-2026")</f>
        <v/>
      </c>
      <c r="AC148">
        <f>HYPERLINK("https://klasma.github.io/Logging_0860/tillsyn/A 30937-2026 tillsynsbegäran.docx", "A 30937-2026")</f>
        <v/>
      </c>
      <c r="AD148">
        <f>HYPERLINK("https://klasma.github.io/Logging_0860/tillsynsmail/A 30937-2026 tillsynsbegäran mail.docx", "A 30937-2026")</f>
        <v/>
      </c>
      <c r="AE148">
        <f>HYPERLINK("https://klasma.github.io/Logging_0860/fåglar/A 30937-2026 prioriterade fågelarter.docx", "A 30937-2026")</f>
        <v/>
      </c>
    </row>
    <row r="149" ht="15" customHeight="1">
      <c r="A149" t="inlineStr">
        <is>
          <t>A 1773-2025</t>
        </is>
      </c>
      <c r="B149" t="inlineStr">
        <is>
          <t>avverkningsanmälan</t>
        </is>
      </c>
      <c r="C149" t="inlineStr">
        <is>
          <t>Föryngringsavverkning</t>
        </is>
      </c>
      <c r="D149" s="1" t="n">
        <v>45671</v>
      </c>
      <c r="E149" s="1" t="n">
        <v>46323</v>
      </c>
      <c r="F149" t="inlineStr">
        <is>
          <t>KALMAR LÄN</t>
        </is>
      </c>
      <c r="G149" t="inlineStr">
        <is>
          <t>VÄSTERVIK</t>
        </is>
      </c>
      <c r="I149" t="n">
        <v>1.9</v>
      </c>
      <c r="J149" t="n">
        <v>4</v>
      </c>
      <c r="K149" t="n">
        <v>3</v>
      </c>
      <c r="L149" t="n">
        <v>2</v>
      </c>
      <c r="M149" t="n">
        <v>2</v>
      </c>
      <c r="N149" t="n">
        <v>0</v>
      </c>
      <c r="O149" t="n">
        <v>0</v>
      </c>
      <c r="P149" t="n">
        <v>0</v>
      </c>
      <c r="Q149" t="n">
        <v>4</v>
      </c>
      <c r="R149" t="n">
        <v>2</v>
      </c>
      <c r="S149" t="n">
        <v>9</v>
      </c>
      <c r="T149" t="n">
        <v>13</v>
      </c>
      <c r="U149" t="n">
        <v>13</v>
      </c>
      <c r="V149" s="2" t="inlineStr">
        <is>
          <t>Garnlav
Knärot
Talltita
Ullticka
Blåmossa
Granbräken
Grönpyrola
Mattlummer
Kungsfågel</t>
        </is>
      </c>
      <c r="W149">
        <f>HYPERLINK("https://klasma.github.io/Logging_0883/artfynd/A 1773-2025 artfynd.xlsx", "A 1773-2025")</f>
        <v/>
      </c>
      <c r="X149">
        <f>HYPERLINK("https://klasma.github.io/Logging_0883/kartor/A 1773-2025 karta.png", "A 1773-2025")</f>
        <v/>
      </c>
      <c r="Y149">
        <f>HYPERLINK("https://klasma.github.io/Logging_0883/kartor_geotiff/A 1773-2025 georefererad karta.tif", "A 1773-2025")</f>
        <v/>
      </c>
      <c r="Z149">
        <f>HYPERLINK("https://klasma.github.io/Logging_0883/knärot/A 1773-2025 karta knärot.png", "A 1773-2025")</f>
        <v/>
      </c>
      <c r="AA149">
        <f>HYPERLINK("https://klasma.github.io/Logging_0883/klagomål/A 1773-2025 FSC-klagomål.docx", "A 1773-2025")</f>
        <v/>
      </c>
      <c r="AB149">
        <f>HYPERLINK("https://klasma.github.io/Logging_0883/klagomålsmail/A 1773-2025 FSC-klagomål mail.docx", "A 1773-2025")</f>
        <v/>
      </c>
      <c r="AC149">
        <f>HYPERLINK("https://klasma.github.io/Logging_0883/tillsyn/A 1773-2025 tillsynsbegäran.docx", "A 1773-2025")</f>
        <v/>
      </c>
      <c r="AD149">
        <f>HYPERLINK("https://klasma.github.io/Logging_0883/tillsynsmail/A 1773-2025 tillsynsbegäran mail.docx", "A 1773-2025")</f>
        <v/>
      </c>
      <c r="AE149">
        <f>HYPERLINK("https://klasma.github.io/Logging_0883/fåglar/A 1773-2025 prioriterade fågelarter.docx", "A 1773-2025")</f>
        <v/>
      </c>
    </row>
    <row r="150" ht="15" customHeight="1">
      <c r="A150" t="inlineStr">
        <is>
          <t>A 27067-2024</t>
        </is>
      </c>
      <c r="B150" t="inlineStr">
        <is>
          <t>avverkningsanmälan</t>
        </is>
      </c>
      <c r="C150" t="inlineStr">
        <is>
          <t>Föryngringsavverkning</t>
        </is>
      </c>
      <c r="D150" s="1" t="n">
        <v>45471</v>
      </c>
      <c r="E150" s="1" t="n">
        <v>46323</v>
      </c>
      <c r="F150" t="inlineStr">
        <is>
          <t>KALMAR LÄN</t>
        </is>
      </c>
      <c r="G150" t="inlineStr">
        <is>
          <t>VÄSTERVIK</t>
        </is>
      </c>
      <c r="H150" t="inlineStr">
        <is>
          <t>Holmen skog AB</t>
        </is>
      </c>
      <c r="I150" t="n">
        <v>8.4</v>
      </c>
      <c r="J150" t="n">
        <v>5</v>
      </c>
      <c r="K150" t="n">
        <v>1</v>
      </c>
      <c r="L150" t="n">
        <v>6</v>
      </c>
      <c r="M150" t="n">
        <v>0</v>
      </c>
      <c r="N150" t="n">
        <v>0</v>
      </c>
      <c r="O150" t="n">
        <v>0</v>
      </c>
      <c r="P150" t="n">
        <v>0</v>
      </c>
      <c r="Q150" t="n">
        <v>6</v>
      </c>
      <c r="R150" t="n">
        <v>0</v>
      </c>
      <c r="S150" t="n">
        <v>9</v>
      </c>
      <c r="T150" t="n">
        <v>23</v>
      </c>
      <c r="U150" t="n">
        <v>23</v>
      </c>
      <c r="V150" s="2" t="inlineStr">
        <is>
          <t>Ekticka
Mindre hackspett
Nötkråka
Rutskinn
Svartvit taggsvamp
Talltita
Blompraktbagge
Spillkråka
Tofsmes</t>
        </is>
      </c>
      <c r="W150">
        <f>HYPERLINK("https://klasma.github.io/Logging_0883/artfynd/A 27067-2024 artfynd.xlsx", "A 27067-2024")</f>
        <v/>
      </c>
      <c r="X150">
        <f>HYPERLINK("https://klasma.github.io/Logging_0883/kartor/A 27067-2024 karta.png", "A 27067-2024")</f>
        <v/>
      </c>
      <c r="Y150">
        <f>HYPERLINK("https://klasma.github.io/Logging_0883/kartor_geotiff/A 27067-2024 georefererad karta.tif", "A 27067-2024")</f>
        <v/>
      </c>
      <c r="AA150">
        <f>HYPERLINK("https://klasma.github.io/Logging_0883/klagomål/A 27067-2024 FSC-klagomål.docx", "A 27067-2024")</f>
        <v/>
      </c>
      <c r="AB150">
        <f>HYPERLINK("https://klasma.github.io/Logging_0883/klagomålsmail/A 27067-2024 FSC-klagomål mail.docx", "A 27067-2024")</f>
        <v/>
      </c>
      <c r="AC150">
        <f>HYPERLINK("https://klasma.github.io/Logging_0883/tillsyn/A 27067-2024 tillsynsbegäran.docx", "A 27067-2024")</f>
        <v/>
      </c>
      <c r="AD150">
        <f>HYPERLINK("https://klasma.github.io/Logging_0883/tillsynsmail/A 27067-2024 tillsynsbegäran mail.docx", "A 27067-2024")</f>
        <v/>
      </c>
      <c r="AE150">
        <f>HYPERLINK("https://klasma.github.io/Logging_0883/fåglar/A 27067-2024 prioriterade fågelarter.docx", "A 27067-2024")</f>
        <v/>
      </c>
    </row>
    <row r="151" ht="15" customHeight="1">
      <c r="A151" t="inlineStr">
        <is>
          <t>A 14039-2026</t>
        </is>
      </c>
      <c r="B151" t="inlineStr">
        <is>
          <t>avverkningsanmälan</t>
        </is>
      </c>
      <c r="C151" t="inlineStr">
        <is>
          <t>Föryngringsavverkning</t>
        </is>
      </c>
      <c r="D151" s="1" t="n">
        <v>46098</v>
      </c>
      <c r="E151" s="1" t="n">
        <v>46323</v>
      </c>
      <c r="F151" t="inlineStr">
        <is>
          <t>KALMAR LÄN</t>
        </is>
      </c>
      <c r="G151" t="inlineStr">
        <is>
          <t>VÄSTERVIK</t>
        </is>
      </c>
      <c r="H151" t="inlineStr">
        <is>
          <t>Holmen skog AB</t>
        </is>
      </c>
      <c r="I151" t="n">
        <v>2.3</v>
      </c>
      <c r="J151" t="n">
        <v>7</v>
      </c>
      <c r="K151" t="n">
        <v>2</v>
      </c>
      <c r="L151" t="n">
        <v>3</v>
      </c>
      <c r="M151" t="n">
        <v>1</v>
      </c>
      <c r="N151" t="n">
        <v>0</v>
      </c>
      <c r="O151" t="n">
        <v>0</v>
      </c>
      <c r="P151" t="n">
        <v>0</v>
      </c>
      <c r="Q151" t="n">
        <v>4</v>
      </c>
      <c r="R151" t="n">
        <v>1</v>
      </c>
      <c r="S151" t="n">
        <v>9</v>
      </c>
      <c r="T151" t="n">
        <v>11</v>
      </c>
      <c r="U151" t="n">
        <v>11</v>
      </c>
      <c r="V151" s="2" t="inlineStr">
        <is>
          <t>Knärot
Duvhök
Entita
Mindre hackspett
Blodticka
Rävticka
Blåsippa
Grönsiska
Kungsfågel</t>
        </is>
      </c>
      <c r="W151">
        <f>HYPERLINK("https://klasma.github.io/Logging_0883/artfynd/A 14039-2026 artfynd.xlsx", "A 14039-2026")</f>
        <v/>
      </c>
      <c r="X151">
        <f>HYPERLINK("https://klasma.github.io/Logging_0883/kartor/A 14039-2026 karta.png", "A 14039-2026")</f>
        <v/>
      </c>
      <c r="Y151">
        <f>HYPERLINK("https://klasma.github.io/Logging_0883/kartor_geotiff/A 14039-2026 georefererad karta.tif", "A 14039-2026")</f>
        <v/>
      </c>
      <c r="Z151">
        <f>HYPERLINK("https://klasma.github.io/Logging_0883/knärot/A 14039-2026 karta knärot.png", "A 14039-2026")</f>
        <v/>
      </c>
      <c r="AA151">
        <f>HYPERLINK("https://klasma.github.io/Logging_0883/klagomål/A 14039-2026 FSC-klagomål.docx", "A 14039-2026")</f>
        <v/>
      </c>
      <c r="AB151">
        <f>HYPERLINK("https://klasma.github.io/Logging_0883/klagomålsmail/A 14039-2026 FSC-klagomål mail.docx", "A 14039-2026")</f>
        <v/>
      </c>
      <c r="AC151">
        <f>HYPERLINK("https://klasma.github.io/Logging_0883/tillsyn/A 14039-2026 tillsynsbegäran.docx", "A 14039-2026")</f>
        <v/>
      </c>
      <c r="AD151">
        <f>HYPERLINK("https://klasma.github.io/Logging_0883/tillsynsmail/A 14039-2026 tillsynsbegäran mail.docx", "A 14039-2026")</f>
        <v/>
      </c>
      <c r="AE151">
        <f>HYPERLINK("https://klasma.github.io/Logging_0883/fåglar/A 14039-2026 prioriterade fågelarter.docx", "A 14039-2026")</f>
        <v/>
      </c>
    </row>
    <row r="152" ht="15" customHeight="1">
      <c r="A152" t="inlineStr">
        <is>
          <t>A 38705-2026</t>
        </is>
      </c>
      <c r="B152" t="inlineStr">
        <is>
          <t>avverkningsanmälan</t>
        </is>
      </c>
      <c r="C152" t="inlineStr">
        <is>
          <t>Föryngringsavverkning</t>
        </is>
      </c>
      <c r="D152" s="1" t="n">
        <v>46281</v>
      </c>
      <c r="E152" s="1" t="n">
        <v>46323</v>
      </c>
      <c r="F152" t="inlineStr">
        <is>
          <t>KALMAR LÄN</t>
        </is>
      </c>
      <c r="G152" t="inlineStr">
        <is>
          <t>HÖGSBY</t>
        </is>
      </c>
      <c r="I152" t="n">
        <v>2.9</v>
      </c>
      <c r="J152" t="n">
        <v>5</v>
      </c>
      <c r="K152" t="n">
        <v>2</v>
      </c>
      <c r="L152" t="n">
        <v>3</v>
      </c>
      <c r="M152" t="n">
        <v>1</v>
      </c>
      <c r="N152" t="n">
        <v>0</v>
      </c>
      <c r="O152" t="n">
        <v>0</v>
      </c>
      <c r="P152" t="n">
        <v>0</v>
      </c>
      <c r="Q152" t="n">
        <v>4</v>
      </c>
      <c r="R152" t="n">
        <v>1</v>
      </c>
      <c r="S152" t="n">
        <v>9</v>
      </c>
      <c r="T152" t="n">
        <v>14</v>
      </c>
      <c r="U152" t="n">
        <v>14</v>
      </c>
      <c r="V152" s="2" t="inlineStr">
        <is>
          <t>Knärot
Större flatbagge
Talltita
Ullticka
Björksplintborre
Grön sköldmossa
Blåsippa
Kransmossa
Tjäder</t>
        </is>
      </c>
      <c r="W152">
        <f>HYPERLINK("https://klasma.github.io/Logging_0821/artfynd/A 38705-2026 artfynd.xlsx", "A 38705-2026")</f>
        <v/>
      </c>
      <c r="X152">
        <f>HYPERLINK("https://klasma.github.io/Logging_0821/kartor/A 38705-2026 karta.png", "A 38705-2026")</f>
        <v/>
      </c>
      <c r="Y152">
        <f>HYPERLINK("https://klasma.github.io/Logging_0821/kartor_geotiff/A 38705-2026 georefererad karta.tif", "A 38705-2026")</f>
        <v/>
      </c>
      <c r="Z152">
        <f>HYPERLINK("https://klasma.github.io/Logging_0821/knärot/A 38705-2026 karta knärot.png", "A 38705-2026")</f>
        <v/>
      </c>
      <c r="AA152">
        <f>HYPERLINK("https://klasma.github.io/Logging_0821/klagomål/A 38705-2026 FSC-klagomål.docx", "A 38705-2026")</f>
        <v/>
      </c>
      <c r="AB152">
        <f>HYPERLINK("https://klasma.github.io/Logging_0821/klagomålsmail/A 38705-2026 FSC-klagomål mail.docx", "A 38705-2026")</f>
        <v/>
      </c>
      <c r="AC152">
        <f>HYPERLINK("https://klasma.github.io/Logging_0821/tillsyn/A 38705-2026 tillsynsbegäran.docx", "A 38705-2026")</f>
        <v/>
      </c>
      <c r="AD152">
        <f>HYPERLINK("https://klasma.github.io/Logging_0821/tillsynsmail/A 38705-2026 tillsynsbegäran mail.docx", "A 38705-2026")</f>
        <v/>
      </c>
      <c r="AE152">
        <f>HYPERLINK("https://klasma.github.io/Logging_0821/fåglar/A 38705-2026 prioriterade fågelarter.docx", "A 38705-2026")</f>
        <v/>
      </c>
    </row>
    <row r="153" ht="15" customHeight="1">
      <c r="A153" t="inlineStr">
        <is>
          <t>A 56370-2025</t>
        </is>
      </c>
      <c r="B153" t="inlineStr">
        <is>
          <t>avverkningsanmälan</t>
        </is>
      </c>
      <c r="C153" t="inlineStr">
        <is>
          <t>Föryngringsavverkning</t>
        </is>
      </c>
      <c r="D153" s="1" t="n">
        <v>45974</v>
      </c>
      <c r="E153" s="1" t="n">
        <v>46323</v>
      </c>
      <c r="F153" t="inlineStr">
        <is>
          <t>KALMAR LÄN</t>
        </is>
      </c>
      <c r="G153" t="inlineStr">
        <is>
          <t>VÄSTERVIK</t>
        </is>
      </c>
      <c r="H153" t="inlineStr">
        <is>
          <t>Holmen skog AB</t>
        </is>
      </c>
      <c r="I153" t="n">
        <v>5.2</v>
      </c>
      <c r="J153" t="n">
        <v>3</v>
      </c>
      <c r="K153" t="n">
        <v>4</v>
      </c>
      <c r="L153" t="n">
        <v>3</v>
      </c>
      <c r="M153" t="n">
        <v>1</v>
      </c>
      <c r="N153" t="n">
        <v>0</v>
      </c>
      <c r="O153" t="n">
        <v>0</v>
      </c>
      <c r="P153" t="n">
        <v>0</v>
      </c>
      <c r="Q153" t="n">
        <v>4</v>
      </c>
      <c r="R153" t="n">
        <v>1</v>
      </c>
      <c r="S153" t="n">
        <v>9</v>
      </c>
      <c r="T153" t="n">
        <v>22</v>
      </c>
      <c r="U153" t="n">
        <v>22</v>
      </c>
      <c r="V153" s="2" t="inlineStr">
        <is>
          <t>Knärot
Dropptaggsvamp
Kandelabersvamp
Talltita
Blomkålssvamp
Grönpyrola
Murgröna
Rävticka
Spillkråka</t>
        </is>
      </c>
      <c r="W153">
        <f>HYPERLINK("https://klasma.github.io/Logging_0883/artfynd/A 56370-2025 artfynd.xlsx", "A 56370-2025")</f>
        <v/>
      </c>
      <c r="X153">
        <f>HYPERLINK("https://klasma.github.io/Logging_0883/kartor/A 56370-2025 karta.png", "A 56370-2025")</f>
        <v/>
      </c>
      <c r="Y153">
        <f>HYPERLINK("https://klasma.github.io/Logging_0883/kartor_geotiff/A 56370-2025 georefererad karta.tif", "A 56370-2025")</f>
        <v/>
      </c>
      <c r="Z153">
        <f>HYPERLINK("https://klasma.github.io/Logging_0883/knärot/A 56370-2025 karta knärot.png", "A 56370-2025")</f>
        <v/>
      </c>
      <c r="AA153">
        <f>HYPERLINK("https://klasma.github.io/Logging_0883/klagomål/A 56370-2025 FSC-klagomål.docx", "A 56370-2025")</f>
        <v/>
      </c>
      <c r="AB153">
        <f>HYPERLINK("https://klasma.github.io/Logging_0883/klagomålsmail/A 56370-2025 FSC-klagomål mail.docx", "A 56370-2025")</f>
        <v/>
      </c>
      <c r="AC153">
        <f>HYPERLINK("https://klasma.github.io/Logging_0883/tillsyn/A 56370-2025 tillsynsbegäran.docx", "A 56370-2025")</f>
        <v/>
      </c>
      <c r="AD153">
        <f>HYPERLINK("https://klasma.github.io/Logging_0883/tillsynsmail/A 56370-2025 tillsynsbegäran mail.docx", "A 56370-2025")</f>
        <v/>
      </c>
      <c r="AE153">
        <f>HYPERLINK("https://klasma.github.io/Logging_0883/fåglar/A 56370-2025 prioriterade fågelarter.docx", "A 56370-2025")</f>
        <v/>
      </c>
    </row>
    <row r="154" ht="15" customHeight="1">
      <c r="A154" t="inlineStr">
        <is>
          <t>A 42888-2025</t>
        </is>
      </c>
      <c r="B154" t="inlineStr">
        <is>
          <t>avverkningsanmälan</t>
        </is>
      </c>
      <c r="C154" t="inlineStr">
        <is>
          <t>Föryngringsavverkning</t>
        </is>
      </c>
      <c r="D154" s="1" t="n">
        <v>45908</v>
      </c>
      <c r="E154" s="1" t="n">
        <v>46323</v>
      </c>
      <c r="F154" t="inlineStr">
        <is>
          <t>KALMAR LÄN</t>
        </is>
      </c>
      <c r="G154" t="inlineStr">
        <is>
          <t>VÄSTERVIK</t>
        </is>
      </c>
      <c r="H154" t="inlineStr">
        <is>
          <t>Holmen skog AB</t>
        </is>
      </c>
      <c r="I154" t="n">
        <v>4.2</v>
      </c>
      <c r="J154" t="n">
        <v>3</v>
      </c>
      <c r="K154" t="n">
        <v>3</v>
      </c>
      <c r="L154" t="n">
        <v>3</v>
      </c>
      <c r="M154" t="n">
        <v>1</v>
      </c>
      <c r="N154" t="n">
        <v>0</v>
      </c>
      <c r="O154" t="n">
        <v>0</v>
      </c>
      <c r="P154" t="n">
        <v>0</v>
      </c>
      <c r="Q154" t="n">
        <v>4</v>
      </c>
      <c r="R154" t="n">
        <v>1</v>
      </c>
      <c r="S154" t="n">
        <v>9</v>
      </c>
      <c r="T154" t="n">
        <v>19</v>
      </c>
      <c r="U154" t="n">
        <v>19</v>
      </c>
      <c r="V154" s="2" t="inlineStr">
        <is>
          <t>Knärot
Ekticka
Tallticka
Ullticka
Bronshjon
Grön sköldmossa
Vågbandad barkbock
Blåsippa
Krushättemossa</t>
        </is>
      </c>
      <c r="W154">
        <f>HYPERLINK("https://klasma.github.io/Logging_0883/artfynd/A 42888-2025 artfynd.xlsx", "A 42888-2025")</f>
        <v/>
      </c>
      <c r="X154">
        <f>HYPERLINK("https://klasma.github.io/Logging_0883/kartor/A 42888-2025 karta.png", "A 42888-2025")</f>
        <v/>
      </c>
      <c r="Y154">
        <f>HYPERLINK("https://klasma.github.io/Logging_0883/kartor_geotiff/A 42888-2025 georefererad karta.tif", "A 42888-2025")</f>
        <v/>
      </c>
      <c r="Z154">
        <f>HYPERLINK("https://klasma.github.io/Logging_0883/knärot/A 42888-2025 karta knärot.png", "A 42888-2025")</f>
        <v/>
      </c>
      <c r="AA154">
        <f>HYPERLINK("https://klasma.github.io/Logging_0883/klagomål/A 42888-2025 FSC-klagomål.docx", "A 42888-2025")</f>
        <v/>
      </c>
      <c r="AB154">
        <f>HYPERLINK("https://klasma.github.io/Logging_0883/klagomålsmail/A 42888-2025 FSC-klagomål mail.docx", "A 42888-2025")</f>
        <v/>
      </c>
      <c r="AC154">
        <f>HYPERLINK("https://klasma.github.io/Logging_0883/tillsyn/A 42888-2025 tillsynsbegäran.docx", "A 42888-2025")</f>
        <v/>
      </c>
      <c r="AD154">
        <f>HYPERLINK("https://klasma.github.io/Logging_0883/tillsynsmail/A 42888-2025 tillsynsbegäran mail.docx", "A 42888-2025")</f>
        <v/>
      </c>
    </row>
    <row r="155" ht="15" customHeight="1">
      <c r="A155" t="inlineStr">
        <is>
          <t>A 35134-2024</t>
        </is>
      </c>
      <c r="B155" t="inlineStr">
        <is>
          <t>avverkningsanmälan</t>
        </is>
      </c>
      <c r="C155" t="inlineStr">
        <is>
          <t>Föryngringsavverkning</t>
        </is>
      </c>
      <c r="D155" s="1" t="n">
        <v>45530</v>
      </c>
      <c r="E155" s="1" t="n">
        <v>46323</v>
      </c>
      <c r="F155" t="inlineStr">
        <is>
          <t>KALMAR LÄN</t>
        </is>
      </c>
      <c r="G155" t="inlineStr">
        <is>
          <t>VÄSTERVIK</t>
        </is>
      </c>
      <c r="I155" t="n">
        <v>1.9</v>
      </c>
      <c r="J155" t="n">
        <v>4</v>
      </c>
      <c r="K155" t="n">
        <v>4</v>
      </c>
      <c r="L155" t="n">
        <v>3</v>
      </c>
      <c r="M155" t="n">
        <v>1</v>
      </c>
      <c r="N155" t="n">
        <v>0</v>
      </c>
      <c r="O155" t="n">
        <v>0</v>
      </c>
      <c r="P155" t="n">
        <v>0</v>
      </c>
      <c r="Q155" t="n">
        <v>4</v>
      </c>
      <c r="R155" t="n">
        <v>1</v>
      </c>
      <c r="S155" t="n">
        <v>9</v>
      </c>
      <c r="T155" t="n">
        <v>18</v>
      </c>
      <c r="U155" t="n">
        <v>16</v>
      </c>
      <c r="V155" s="2" t="inlineStr">
        <is>
          <t>Knärot
Dropptaggsvamp
Entita
Orange taggsvamp
Blomkålssvamp
Grönpyrola
Murgröna
Purpurknipprot
Spillkråka</t>
        </is>
      </c>
      <c r="W155">
        <f>HYPERLINK("https://klasma.github.io/Logging_0883/artfynd/A 35134-2024 artfynd.xlsx", "A 35134-2024")</f>
        <v/>
      </c>
      <c r="X155">
        <f>HYPERLINK("https://klasma.github.io/Logging_0883/kartor/A 35134-2024 karta.png", "A 35134-2024")</f>
        <v/>
      </c>
      <c r="Y155">
        <f>HYPERLINK("https://klasma.github.io/Logging_0883/kartor_geotiff/A 35134-2024 georefererad karta.tif", "A 35134-2024")</f>
        <v/>
      </c>
      <c r="Z155">
        <f>HYPERLINK("https://klasma.github.io/Logging_0883/knärot/A 35134-2024 karta knärot.png", "A 35134-2024")</f>
        <v/>
      </c>
      <c r="AA155">
        <f>HYPERLINK("https://klasma.github.io/Logging_0883/klagomål/A 35134-2024 FSC-klagomål.docx", "A 35134-2024")</f>
        <v/>
      </c>
      <c r="AB155">
        <f>HYPERLINK("https://klasma.github.io/Logging_0883/klagomålsmail/A 35134-2024 FSC-klagomål mail.docx", "A 35134-2024")</f>
        <v/>
      </c>
      <c r="AC155">
        <f>HYPERLINK("https://klasma.github.io/Logging_0883/tillsyn/A 35134-2024 tillsynsbegäran.docx", "A 35134-2024")</f>
        <v/>
      </c>
      <c r="AD155">
        <f>HYPERLINK("https://klasma.github.io/Logging_0883/tillsynsmail/A 35134-2024 tillsynsbegäran mail.docx", "A 35134-2024")</f>
        <v/>
      </c>
      <c r="AE155">
        <f>HYPERLINK("https://klasma.github.io/Logging_0883/fåglar/A 35134-2024 prioriterade fågelarter.docx", "A 35134-2024")</f>
        <v/>
      </c>
    </row>
    <row r="156" ht="15" customHeight="1">
      <c r="A156" t="inlineStr">
        <is>
          <t>A 56001-2025</t>
        </is>
      </c>
      <c r="B156" t="inlineStr">
        <is>
          <t>avverkningsanmälan</t>
        </is>
      </c>
      <c r="C156" t="inlineStr">
        <is>
          <t>Föryngringsavverkning</t>
        </is>
      </c>
      <c r="D156" s="1" t="n">
        <v>45973</v>
      </c>
      <c r="E156" s="1" t="n">
        <v>46323</v>
      </c>
      <c r="F156" t="inlineStr">
        <is>
          <t>KALMAR LÄN</t>
        </is>
      </c>
      <c r="G156" t="inlineStr">
        <is>
          <t>VÄSTERVIK</t>
        </is>
      </c>
      <c r="I156" t="n">
        <v>2.7</v>
      </c>
      <c r="J156" t="n">
        <v>6</v>
      </c>
      <c r="K156" t="n">
        <v>2</v>
      </c>
      <c r="L156" t="n">
        <v>3</v>
      </c>
      <c r="M156" t="n">
        <v>1</v>
      </c>
      <c r="N156" t="n">
        <v>0</v>
      </c>
      <c r="O156" t="n">
        <v>0</v>
      </c>
      <c r="P156" t="n">
        <v>0</v>
      </c>
      <c r="Q156" t="n">
        <v>4</v>
      </c>
      <c r="R156" t="n">
        <v>1</v>
      </c>
      <c r="S156" t="n">
        <v>9</v>
      </c>
      <c r="T156" t="n">
        <v>9</v>
      </c>
      <c r="U156" t="n">
        <v>8</v>
      </c>
      <c r="V156" s="2" t="inlineStr">
        <is>
          <t>Knärot
Mindre hackspett
Talltita
Vedskivlav
Blåmossa
Grönpyrola
Spillkråka
Tjäder
Gullviva</t>
        </is>
      </c>
      <c r="W156">
        <f>HYPERLINK("https://klasma.github.io/Logging_0883/artfynd/A 56001-2025 artfynd.xlsx", "A 56001-2025")</f>
        <v/>
      </c>
      <c r="X156">
        <f>HYPERLINK("https://klasma.github.io/Logging_0883/kartor/A 56001-2025 karta.png", "A 56001-2025")</f>
        <v/>
      </c>
      <c r="Y156">
        <f>HYPERLINK("https://klasma.github.io/Logging_0883/kartor_geotiff/A 56001-2025 georefererad karta.tif", "A 56001-2025")</f>
        <v/>
      </c>
      <c r="Z156">
        <f>HYPERLINK("https://klasma.github.io/Logging_0883/knärot/A 56001-2025 karta knärot.png", "A 56001-2025")</f>
        <v/>
      </c>
      <c r="AA156">
        <f>HYPERLINK("https://klasma.github.io/Logging_0883/klagomål/A 56001-2025 FSC-klagomål.docx", "A 56001-2025")</f>
        <v/>
      </c>
      <c r="AB156">
        <f>HYPERLINK("https://klasma.github.io/Logging_0883/klagomålsmail/A 56001-2025 FSC-klagomål mail.docx", "A 56001-2025")</f>
        <v/>
      </c>
      <c r="AC156">
        <f>HYPERLINK("https://klasma.github.io/Logging_0883/tillsyn/A 56001-2025 tillsynsbegäran.docx", "A 56001-2025")</f>
        <v/>
      </c>
      <c r="AD156">
        <f>HYPERLINK("https://klasma.github.io/Logging_0883/tillsynsmail/A 56001-2025 tillsynsbegäran mail.docx", "A 56001-2025")</f>
        <v/>
      </c>
      <c r="AE156">
        <f>HYPERLINK("https://klasma.github.io/Logging_0883/fåglar/A 56001-2025 prioriterade fågelarter.docx", "A 56001-2025")</f>
        <v/>
      </c>
    </row>
    <row r="157" ht="15" customHeight="1">
      <c r="A157" t="inlineStr">
        <is>
          <t>S 1302-2022</t>
        </is>
      </c>
      <c r="B157" t="inlineStr">
        <is>
          <t>samrådsanmälan</t>
        </is>
      </c>
      <c r="C157" t="inlineStr">
        <is>
          <t>Åtgärd i nyckelbiotop</t>
        </is>
      </c>
      <c r="D157" s="1" t="n">
        <v>44627</v>
      </c>
      <c r="E157" s="1" t="n">
        <v>46323</v>
      </c>
      <c r="F157" t="inlineStr">
        <is>
          <t>KALMAR LÄN</t>
        </is>
      </c>
      <c r="G157" t="inlineStr">
        <is>
          <t>MÖNSTERÅS</t>
        </is>
      </c>
      <c r="I157" t="n">
        <v>3.2</v>
      </c>
      <c r="J157" t="n">
        <v>5</v>
      </c>
      <c r="K157" t="n">
        <v>4</v>
      </c>
      <c r="L157" t="n">
        <v>1</v>
      </c>
      <c r="M157" t="n">
        <v>0</v>
      </c>
      <c r="N157" t="n">
        <v>0</v>
      </c>
      <c r="O157" t="n">
        <v>0</v>
      </c>
      <c r="P157" t="n">
        <v>0</v>
      </c>
      <c r="Q157" t="n">
        <v>1</v>
      </c>
      <c r="R157" t="n">
        <v>0</v>
      </c>
      <c r="S157" t="n">
        <v>9</v>
      </c>
      <c r="T157" t="n">
        <v>16</v>
      </c>
      <c r="U157" t="n">
        <v>0</v>
      </c>
      <c r="V157" s="2" t="inlineStr">
        <is>
          <t>Kattfotslav
Blåmossa
Grön sköldmossa
Rostfläck
Stubbspretmossa
Gröngöling
Kungsfågel
Skogsduva
Revlummer</t>
        </is>
      </c>
      <c r="W157">
        <f>HYPERLINK("https://klasma.github.io/Logging_0861/artfynd/S 1302-2022 artfynd.xlsx", "S 1302-2022")</f>
        <v/>
      </c>
      <c r="X157">
        <f>HYPERLINK("https://klasma.github.io/Logging_0861/kartor/S 1302-2022 karta.png", "S 1302-2022")</f>
        <v/>
      </c>
      <c r="Y157">
        <f>HYPERLINK("https://klasma.github.io/Logging_0861/kartor_geotiff/S 1302-2022 georefererad karta.tif", "S 1302-2022")</f>
        <v/>
      </c>
      <c r="AA157">
        <f>HYPERLINK("https://klasma.github.io/Logging_0861/klagomål/S 1302-2022 FSC-klagomål.docx", "S 1302-2022")</f>
        <v/>
      </c>
      <c r="AB157">
        <f>HYPERLINK("https://klasma.github.io/Logging_0861/klagomålsmail/S 1302-2022 FSC-klagomål mail.docx", "S 1302-2022")</f>
        <v/>
      </c>
      <c r="AC157">
        <f>HYPERLINK("https://klasma.github.io/Logging_0861/tillsyn/S 1302-2022 tillsynsbegäran.docx", "S 1302-2022")</f>
        <v/>
      </c>
      <c r="AD157">
        <f>HYPERLINK("https://klasma.github.io/Logging_0861/tillsynsmail/S 1302-2022 tillsynsbegäran mail.docx", "S 1302-2022")</f>
        <v/>
      </c>
    </row>
    <row r="158" ht="15" customHeight="1">
      <c r="A158" t="inlineStr">
        <is>
          <t>S 3392-2024</t>
        </is>
      </c>
      <c r="B158" t="inlineStr">
        <is>
          <t>samrådsanmälan</t>
        </is>
      </c>
      <c r="C158" t="inlineStr">
        <is>
          <t>Askåterföring</t>
        </is>
      </c>
      <c r="D158" s="1" t="n">
        <v>45534</v>
      </c>
      <c r="E158" s="1" t="n">
        <v>46323</v>
      </c>
      <c r="F158" t="inlineStr">
        <is>
          <t>KALMAR LÄN</t>
        </is>
      </c>
      <c r="G158" t="inlineStr">
        <is>
          <t>EMMABODA</t>
        </is>
      </c>
      <c r="I158" t="n">
        <v>53.9</v>
      </c>
      <c r="J158" t="n">
        <v>1</v>
      </c>
      <c r="K158" t="n">
        <v>5</v>
      </c>
      <c r="L158" t="n">
        <v>1</v>
      </c>
      <c r="M158" t="n">
        <v>0</v>
      </c>
      <c r="N158" t="n">
        <v>2</v>
      </c>
      <c r="O158" t="n">
        <v>0</v>
      </c>
      <c r="P158" t="n">
        <v>0</v>
      </c>
      <c r="Q158" t="n">
        <v>3</v>
      </c>
      <c r="R158" t="n">
        <v>2</v>
      </c>
      <c r="S158" t="n">
        <v>9</v>
      </c>
      <c r="T158" t="n">
        <v>9</v>
      </c>
      <c r="U158" t="n">
        <v>2</v>
      </c>
      <c r="V158" s="2" t="inlineStr">
        <is>
          <t>Almlav
Skogsalm
Vårärt
Bårdlav
Guldlockmossa
Havstulpanlav
Lindskål
Scytinium lichenoides s.lat.
Blåsippa</t>
        </is>
      </c>
      <c r="W158">
        <f>HYPERLINK("https://klasma.github.io/Logging_0862/artfynd/S 3392-2024 artfynd.xlsx", "S 3392-2024")</f>
        <v/>
      </c>
      <c r="X158">
        <f>HYPERLINK("https://klasma.github.io/Logging_0862/kartor/S 3392-2024 karta.png", "S 3392-2024")</f>
        <v/>
      </c>
      <c r="Y158">
        <f>HYPERLINK("https://klasma.github.io/Logging_0862/kartor_geotiff/S 3392-2024 georefererad karta.tif", "S 3392-2024")</f>
        <v/>
      </c>
      <c r="AA158">
        <f>HYPERLINK("https://klasma.github.io/Logging_0862/klagomål/S 3392-2024 FSC-klagomål.docx", "S 3392-2024")</f>
        <v/>
      </c>
      <c r="AB158">
        <f>HYPERLINK("https://klasma.github.io/Logging_0862/klagomålsmail/S 3392-2024 FSC-klagomål mail.docx", "S 3392-2024")</f>
        <v/>
      </c>
      <c r="AC158">
        <f>HYPERLINK("https://klasma.github.io/Logging_0862/tillsyn/S 3392-2024 tillsynsbegäran.docx", "S 3392-2024")</f>
        <v/>
      </c>
      <c r="AD158">
        <f>HYPERLINK("https://klasma.github.io/Logging_0862/tillsynsmail/S 3392-2024 tillsynsbegäran mail.docx", "S 3392-2024")</f>
        <v/>
      </c>
    </row>
    <row r="159" ht="15" customHeight="1">
      <c r="A159" t="inlineStr">
        <is>
          <t>S 1516-2023</t>
        </is>
      </c>
      <c r="B159" t="inlineStr">
        <is>
          <t>samrådsanmälan</t>
        </is>
      </c>
      <c r="C159" t="inlineStr">
        <is>
          <t>Annan skogsbruksåtgärd</t>
        </is>
      </c>
      <c r="D159" s="1" t="n">
        <v>45055</v>
      </c>
      <c r="E159" s="1" t="n">
        <v>46323</v>
      </c>
      <c r="F159" t="inlineStr">
        <is>
          <t>KALMAR LÄN</t>
        </is>
      </c>
      <c r="G159" t="inlineStr">
        <is>
          <t>VÄSTERVIK</t>
        </is>
      </c>
      <c r="H159" t="inlineStr">
        <is>
          <t>Kommuner</t>
        </is>
      </c>
      <c r="I159" t="n">
        <v>4.1</v>
      </c>
      <c r="J159" t="n">
        <v>3</v>
      </c>
      <c r="K159" t="n">
        <v>1</v>
      </c>
      <c r="L159" t="n">
        <v>4</v>
      </c>
      <c r="M159" t="n">
        <v>0</v>
      </c>
      <c r="N159" t="n">
        <v>1</v>
      </c>
      <c r="O159" t="n">
        <v>1</v>
      </c>
      <c r="P159" t="n">
        <v>0</v>
      </c>
      <c r="Q159" t="n">
        <v>6</v>
      </c>
      <c r="R159" t="n">
        <v>2</v>
      </c>
      <c r="S159" t="n">
        <v>9</v>
      </c>
      <c r="T159" t="n">
        <v>15</v>
      </c>
      <c r="U159" t="n">
        <v>1</v>
      </c>
      <c r="V159" s="2" t="inlineStr">
        <is>
          <t>Naverlönn
Ask
Adam och eva
Lamellsnäcka
Myskmåra
Tallticka
Guldlockmossa
Blåsippa
Gullviva</t>
        </is>
      </c>
      <c r="W159">
        <f>HYPERLINK("https://klasma.github.io/Logging_0883/artfynd/S 1516-2023 artfynd.xlsx", "S 1516-2023")</f>
        <v/>
      </c>
      <c r="X159">
        <f>HYPERLINK("https://klasma.github.io/Logging_0883/kartor/S 1516-2023 karta.png", "S 1516-2023")</f>
        <v/>
      </c>
      <c r="Y159">
        <f>HYPERLINK("https://klasma.github.io/Logging_0883/kartor_geotiff/S 1516-2023 georefererad karta.tif", "S 1516-2023")</f>
        <v/>
      </c>
      <c r="AA159">
        <f>HYPERLINK("https://klasma.github.io/Logging_0883/klagomål/S 1516-2023 FSC-klagomål.docx", "S 1516-2023")</f>
        <v/>
      </c>
      <c r="AB159">
        <f>HYPERLINK("https://klasma.github.io/Logging_0883/klagomålsmail/S 1516-2023 FSC-klagomål mail.docx", "S 1516-2023")</f>
        <v/>
      </c>
      <c r="AC159">
        <f>HYPERLINK("https://klasma.github.io/Logging_0883/tillsyn/S 1516-2023 tillsynsbegäran.docx", "S 1516-2023")</f>
        <v/>
      </c>
      <c r="AD159">
        <f>HYPERLINK("https://klasma.github.io/Logging_0883/tillsynsmail/S 1516-2023 tillsynsbegäran mail.docx", "S 1516-2023")</f>
        <v/>
      </c>
    </row>
    <row r="160" ht="15" customHeight="1">
      <c r="A160" t="inlineStr">
        <is>
          <t>S 929-2023</t>
        </is>
      </c>
      <c r="B160" t="inlineStr">
        <is>
          <t>samrådsanmälan</t>
        </is>
      </c>
      <c r="C160" t="inlineStr">
        <is>
          <t>Annan skogsbruksåtgärd</t>
        </is>
      </c>
      <c r="D160" s="1" t="n">
        <v>45000</v>
      </c>
      <c r="E160" s="1" t="n">
        <v>46323</v>
      </c>
      <c r="F160" t="inlineStr">
        <is>
          <t>KALMAR LÄN</t>
        </is>
      </c>
      <c r="G160" t="inlineStr">
        <is>
          <t>MÖRBYLÅNGA</t>
        </is>
      </c>
      <c r="I160" t="n">
        <v>4.7</v>
      </c>
      <c r="J160" t="n">
        <v>4</v>
      </c>
      <c r="K160" t="n">
        <v>2</v>
      </c>
      <c r="L160" t="n">
        <v>3</v>
      </c>
      <c r="M160" t="n">
        <v>3</v>
      </c>
      <c r="N160" t="n">
        <v>0</v>
      </c>
      <c r="O160" t="n">
        <v>0</v>
      </c>
      <c r="P160" t="n">
        <v>0</v>
      </c>
      <c r="Q160" t="n">
        <v>6</v>
      </c>
      <c r="R160" t="n">
        <v>3</v>
      </c>
      <c r="S160" t="n">
        <v>9</v>
      </c>
      <c r="T160" t="n">
        <v>12</v>
      </c>
      <c r="U160" t="n">
        <v>8</v>
      </c>
      <c r="V160" s="2" t="inlineStr">
        <is>
          <t>Liten jordstjärna
Stare
Stortimjan
Göktyta
Hedröksvamp
Vårstarr
Ekoxe
Murgröna
Kopparödla</t>
        </is>
      </c>
      <c r="W160">
        <f>HYPERLINK("https://klasma.github.io/Logging_0840/artfynd/S 929-2023 artfynd.xlsx", "S 929-2023")</f>
        <v/>
      </c>
      <c r="X160">
        <f>HYPERLINK("https://klasma.github.io/Logging_0840/kartor/S 929-2023 karta.png", "S 929-2023")</f>
        <v/>
      </c>
      <c r="Y160">
        <f>HYPERLINK("https://klasma.github.io/Logging_0840/kartor_geotiff/S 929-2023 georefererad karta.tif", "S 929-2023")</f>
        <v/>
      </c>
      <c r="AA160">
        <f>HYPERLINK("https://klasma.github.io/Logging_0840/klagomål/S 929-2023 FSC-klagomål.docx", "S 929-2023")</f>
        <v/>
      </c>
      <c r="AB160">
        <f>HYPERLINK("https://klasma.github.io/Logging_0840/klagomålsmail/S 929-2023 FSC-klagomål mail.docx", "S 929-2023")</f>
        <v/>
      </c>
      <c r="AC160">
        <f>HYPERLINK("https://klasma.github.io/Logging_0840/tillsyn/S 929-2023 tillsynsbegäran.docx", "S 929-2023")</f>
        <v/>
      </c>
      <c r="AD160">
        <f>HYPERLINK("https://klasma.github.io/Logging_0840/tillsynsmail/S 929-2023 tillsynsbegäran mail.docx", "S 929-2023")</f>
        <v/>
      </c>
      <c r="AE160">
        <f>HYPERLINK("https://klasma.github.io/Logging_0840/fåglar/S 929-2023 prioriterade fågelarter.docx", "S 929-2023")</f>
        <v/>
      </c>
    </row>
    <row r="161" ht="15" customHeight="1">
      <c r="A161" t="inlineStr">
        <is>
          <t>S 2933-2024</t>
        </is>
      </c>
      <c r="B161" t="inlineStr">
        <is>
          <t>samrådsanmälan</t>
        </is>
      </c>
      <c r="C161" t="inlineStr">
        <is>
          <t>Annan skogsbruksåtgärd</t>
        </is>
      </c>
      <c r="D161" s="1" t="n">
        <v>45505</v>
      </c>
      <c r="E161" s="1" t="n">
        <v>46323</v>
      </c>
      <c r="F161" t="inlineStr">
        <is>
          <t>KALMAR LÄN</t>
        </is>
      </c>
      <c r="G161" t="inlineStr">
        <is>
          <t>VÄSTERVIK</t>
        </is>
      </c>
      <c r="I161" t="n">
        <v>1.3</v>
      </c>
      <c r="J161" t="n">
        <v>0</v>
      </c>
      <c r="K161" t="n">
        <v>6</v>
      </c>
      <c r="L161" t="n">
        <v>2</v>
      </c>
      <c r="M161" t="n">
        <v>0</v>
      </c>
      <c r="N161" t="n">
        <v>1</v>
      </c>
      <c r="O161" t="n">
        <v>0</v>
      </c>
      <c r="P161" t="n">
        <v>0</v>
      </c>
      <c r="Q161" t="n">
        <v>3</v>
      </c>
      <c r="R161" t="n">
        <v>1</v>
      </c>
      <c r="S161" t="n">
        <v>9</v>
      </c>
      <c r="T161" t="n">
        <v>16</v>
      </c>
      <c r="U161" t="n">
        <v>1</v>
      </c>
      <c r="V161" s="2" t="inlineStr">
        <is>
          <t>Skogsalm
Ekticka
Skeppsvarvsfluga
Fällmossa
Guldlockmossa
Gulpudrad spiklav
Myskmadra
Rostfläck
Trädporella</t>
        </is>
      </c>
      <c r="W161">
        <f>HYPERLINK("https://klasma.github.io/Logging_0883/artfynd/S 2933-2024 artfynd.xlsx", "S 2933-2024")</f>
        <v/>
      </c>
      <c r="X161">
        <f>HYPERLINK("https://klasma.github.io/Logging_0883/kartor/S 2933-2024 karta.png", "S 2933-2024")</f>
        <v/>
      </c>
      <c r="Y161">
        <f>HYPERLINK("https://klasma.github.io/Logging_0883/kartor_geotiff/S 2933-2024 georefererad karta.tif", "S 2933-2024")</f>
        <v/>
      </c>
      <c r="AA161">
        <f>HYPERLINK("https://klasma.github.io/Logging_0883/klagomål/S 2933-2024 FSC-klagomål.docx", "S 2933-2024")</f>
        <v/>
      </c>
      <c r="AB161">
        <f>HYPERLINK("https://klasma.github.io/Logging_0883/klagomålsmail/S 2933-2024 FSC-klagomål mail.docx", "S 2933-2024")</f>
        <v/>
      </c>
      <c r="AC161">
        <f>HYPERLINK("https://klasma.github.io/Logging_0883/tillsyn/S 2933-2024 tillsynsbegäran.docx", "S 2933-2024")</f>
        <v/>
      </c>
      <c r="AD161">
        <f>HYPERLINK("https://klasma.github.io/Logging_0883/tillsynsmail/S 2933-2024 tillsynsbegäran mail.docx", "S 2933-2024")</f>
        <v/>
      </c>
    </row>
    <row r="162" ht="15" customHeight="1">
      <c r="A162" t="inlineStr">
        <is>
          <t>S 1326-2024</t>
        </is>
      </c>
      <c r="B162" t="inlineStr">
        <is>
          <t>samrådsanmälan</t>
        </is>
      </c>
      <c r="C162" t="inlineStr">
        <is>
          <t>Annan skogsbruksåtgärd</t>
        </is>
      </c>
      <c r="D162" s="1" t="n">
        <v>45406</v>
      </c>
      <c r="E162" s="1" t="n">
        <v>46323</v>
      </c>
      <c r="F162" t="inlineStr">
        <is>
          <t>KALMAR LÄN</t>
        </is>
      </c>
      <c r="G162" t="inlineStr">
        <is>
          <t>MÖNSTERÅS</t>
        </is>
      </c>
      <c r="I162" t="n">
        <v>3.2</v>
      </c>
      <c r="J162" t="n">
        <v>5</v>
      </c>
      <c r="K162" t="n">
        <v>4</v>
      </c>
      <c r="L162" t="n">
        <v>1</v>
      </c>
      <c r="M162" t="n">
        <v>0</v>
      </c>
      <c r="N162" t="n">
        <v>0</v>
      </c>
      <c r="O162" t="n">
        <v>0</v>
      </c>
      <c r="P162" t="n">
        <v>0</v>
      </c>
      <c r="Q162" t="n">
        <v>1</v>
      </c>
      <c r="R162" t="n">
        <v>0</v>
      </c>
      <c r="S162" t="n">
        <v>9</v>
      </c>
      <c r="T162" t="n">
        <v>16</v>
      </c>
      <c r="U162" t="n">
        <v>0</v>
      </c>
      <c r="V162" s="2" t="inlineStr">
        <is>
          <t>Kattfotslav
Blåmossa
Grön sköldmossa
Rostfläck
Stubbspretmossa
Gröngöling
Kungsfågel
Skogsduva
Revlummer</t>
        </is>
      </c>
      <c r="W162">
        <f>HYPERLINK("https://klasma.github.io/Logging_0861/artfynd/S 1326-2024 artfynd.xlsx", "S 1326-2024")</f>
        <v/>
      </c>
      <c r="X162">
        <f>HYPERLINK("https://klasma.github.io/Logging_0861/kartor/S 1326-2024 karta.png", "S 1326-2024")</f>
        <v/>
      </c>
      <c r="Y162">
        <f>HYPERLINK("https://klasma.github.io/Logging_0861/kartor_geotiff/S 1326-2024 georefererad karta.tif", "S 1326-2024")</f>
        <v/>
      </c>
      <c r="AA162">
        <f>HYPERLINK("https://klasma.github.io/Logging_0861/klagomål/S 1326-2024 FSC-klagomål.docx", "S 1326-2024")</f>
        <v/>
      </c>
      <c r="AB162">
        <f>HYPERLINK("https://klasma.github.io/Logging_0861/klagomålsmail/S 1326-2024 FSC-klagomål mail.docx", "S 1326-2024")</f>
        <v/>
      </c>
      <c r="AC162">
        <f>HYPERLINK("https://klasma.github.io/Logging_0861/tillsyn/S 1326-2024 tillsynsbegäran.docx", "S 1326-2024")</f>
        <v/>
      </c>
      <c r="AD162">
        <f>HYPERLINK("https://klasma.github.io/Logging_0861/tillsynsmail/S 1326-2024 tillsynsbegäran mail.docx", "S 1326-2024")</f>
        <v/>
      </c>
    </row>
    <row r="163" ht="15" customHeight="1">
      <c r="A163" t="inlineStr">
        <is>
          <t>S 3980-2024</t>
        </is>
      </c>
      <c r="B163" t="inlineStr">
        <is>
          <t>samrådsanmälan</t>
        </is>
      </c>
      <c r="C163" t="inlineStr">
        <is>
          <t>Annan skogsbruksåtgärd</t>
        </is>
      </c>
      <c r="D163" s="1" t="n">
        <v>45568</v>
      </c>
      <c r="E163" s="1" t="n">
        <v>46323</v>
      </c>
      <c r="F163" t="inlineStr">
        <is>
          <t>KALMAR LÄN</t>
        </is>
      </c>
      <c r="G163" t="inlineStr">
        <is>
          <t>NYBRO</t>
        </is>
      </c>
      <c r="I163" t="n">
        <v>8.300000000000001</v>
      </c>
      <c r="J163" t="n">
        <v>1</v>
      </c>
      <c r="K163" t="n">
        <v>7</v>
      </c>
      <c r="L163" t="n">
        <v>0</v>
      </c>
      <c r="M163" t="n">
        <v>1</v>
      </c>
      <c r="N163" t="n">
        <v>1</v>
      </c>
      <c r="O163" t="n">
        <v>0</v>
      </c>
      <c r="P163" t="n">
        <v>0</v>
      </c>
      <c r="Q163" t="n">
        <v>2</v>
      </c>
      <c r="R163" t="n">
        <v>2</v>
      </c>
      <c r="S163" t="n">
        <v>9</v>
      </c>
      <c r="T163" t="n">
        <v>9</v>
      </c>
      <c r="U163" t="n">
        <v>1</v>
      </c>
      <c r="V163" s="2" t="inlineStr">
        <is>
          <t>Almlav
Gulvit blekspik
Ekoxe
Fällmossa
Guldlockmossa
Platt fjädermossa
Scytinium lichenoides s.lat.
Trubbfjädermossa
Underviol</t>
        </is>
      </c>
      <c r="W163">
        <f>HYPERLINK("https://klasma.github.io/Logging_0881/artfynd/S 3980-2024 artfynd.xlsx", "S 3980-2024")</f>
        <v/>
      </c>
      <c r="X163">
        <f>HYPERLINK("https://klasma.github.io/Logging_0881/kartor/S 3980-2024 karta.png", "S 3980-2024")</f>
        <v/>
      </c>
      <c r="Y163">
        <f>HYPERLINK("https://klasma.github.io/Logging_0881/kartor_geotiff/S 3980-2024 georefererad karta.tif", "S 3980-2024")</f>
        <v/>
      </c>
      <c r="AA163">
        <f>HYPERLINK("https://klasma.github.io/Logging_0881/klagomål/S 3980-2024 FSC-klagomål.docx", "S 3980-2024")</f>
        <v/>
      </c>
      <c r="AB163">
        <f>HYPERLINK("https://klasma.github.io/Logging_0881/klagomålsmail/S 3980-2024 FSC-klagomål mail.docx", "S 3980-2024")</f>
        <v/>
      </c>
      <c r="AC163">
        <f>HYPERLINK("https://klasma.github.io/Logging_0881/tillsyn/S 3980-2024 tillsynsbegäran.docx", "S 3980-2024")</f>
        <v/>
      </c>
      <c r="AD163">
        <f>HYPERLINK("https://klasma.github.io/Logging_0881/tillsynsmail/S 3980-2024 tillsynsbegäran mail.docx", "S 3980-2024")</f>
        <v/>
      </c>
    </row>
    <row r="164" ht="15" customHeight="1">
      <c r="A164" t="inlineStr">
        <is>
          <t>S 2365-2025</t>
        </is>
      </c>
      <c r="B164" t="inlineStr">
        <is>
          <t>samrådsanmälan</t>
        </is>
      </c>
      <c r="C164" t="inlineStr">
        <is>
          <t>Askåterföring</t>
        </is>
      </c>
      <c r="D164" s="1" t="n">
        <v>45889</v>
      </c>
      <c r="E164" s="1" t="n">
        <v>46323</v>
      </c>
      <c r="F164" t="inlineStr">
        <is>
          <t>KALMAR LÄN</t>
        </is>
      </c>
      <c r="G164" t="inlineStr">
        <is>
          <t>NYBRO</t>
        </is>
      </c>
      <c r="H164" t="inlineStr">
        <is>
          <t>Kyrkan</t>
        </is>
      </c>
      <c r="I164" t="n">
        <v>68.8</v>
      </c>
      <c r="J164" t="n">
        <v>8</v>
      </c>
      <c r="K164" t="n">
        <v>0</v>
      </c>
      <c r="L164" t="n">
        <v>3</v>
      </c>
      <c r="M164" t="n">
        <v>2</v>
      </c>
      <c r="N164" t="n">
        <v>0</v>
      </c>
      <c r="O164" t="n">
        <v>0</v>
      </c>
      <c r="P164" t="n">
        <v>0</v>
      </c>
      <c r="Q164" t="n">
        <v>5</v>
      </c>
      <c r="R164" t="n">
        <v>2</v>
      </c>
      <c r="S164" t="n">
        <v>9</v>
      </c>
      <c r="T164" t="n">
        <v>9</v>
      </c>
      <c r="U164" t="n">
        <v>1</v>
      </c>
      <c r="V164" s="2" t="inlineStr">
        <is>
          <t>Bredbrämad bastardsvärmare
Grönfink
Duvhök
Gulsparv
Mindre hackspett
Hasselmus
Kungsfågel
Trädlärka
Törnskata</t>
        </is>
      </c>
      <c r="W164">
        <f>HYPERLINK("https://klasma.github.io/Logging_0881/artfynd/S 2365-2025 artfynd.xlsx", "S 2365-2025")</f>
        <v/>
      </c>
      <c r="X164">
        <f>HYPERLINK("https://klasma.github.io/Logging_0881/kartor/S 2365-2025 karta.png", "S 2365-2025")</f>
        <v/>
      </c>
      <c r="Y164">
        <f>HYPERLINK("https://klasma.github.io/Logging_0881/kartor_geotiff/S 2365-2025 georefererad karta.tif", "S 2365-2025")</f>
        <v/>
      </c>
      <c r="AA164">
        <f>HYPERLINK("https://klasma.github.io/Logging_0881/klagomål/S 2365-2025 FSC-klagomål.docx", "S 2365-2025")</f>
        <v/>
      </c>
      <c r="AB164">
        <f>HYPERLINK("https://klasma.github.io/Logging_0881/klagomålsmail/S 2365-2025 FSC-klagomål mail.docx", "S 2365-2025")</f>
        <v/>
      </c>
      <c r="AC164">
        <f>HYPERLINK("https://klasma.github.io/Logging_0881/tillsyn/S 2365-2025 tillsynsbegäran.docx", "S 2365-2025")</f>
        <v/>
      </c>
      <c r="AD164">
        <f>HYPERLINK("https://klasma.github.io/Logging_0881/tillsynsmail/S 2365-2025 tillsynsbegäran mail.docx", "S 2365-2025")</f>
        <v/>
      </c>
      <c r="AE164">
        <f>HYPERLINK("https://klasma.github.io/Logging_0881/fåglar/S 2365-2025 prioriterade fågelarter.docx", "S 2365-2025")</f>
        <v/>
      </c>
    </row>
    <row r="165" ht="15" customHeight="1">
      <c r="A165" t="inlineStr">
        <is>
          <t>S 2717-2025</t>
        </is>
      </c>
      <c r="B165" t="inlineStr">
        <is>
          <t>samrådsanmälan</t>
        </is>
      </c>
      <c r="C165" t="inlineStr">
        <is>
          <t>Annan skogsbruksåtgärd</t>
        </is>
      </c>
      <c r="D165" s="1" t="n">
        <v>45930</v>
      </c>
      <c r="E165" s="1" t="n">
        <v>46323</v>
      </c>
      <c r="F165" t="inlineStr">
        <is>
          <t>KALMAR LÄN</t>
        </is>
      </c>
      <c r="G165" t="inlineStr">
        <is>
          <t>BORGHOLM</t>
        </is>
      </c>
      <c r="H165" t="inlineStr">
        <is>
          <t>Sveaskog</t>
        </is>
      </c>
      <c r="I165" t="n">
        <v>3.6</v>
      </c>
      <c r="J165" t="n">
        <v>3</v>
      </c>
      <c r="K165" t="n">
        <v>1</v>
      </c>
      <c r="L165" t="n">
        <v>3</v>
      </c>
      <c r="M165" t="n">
        <v>1</v>
      </c>
      <c r="N165" t="n">
        <v>2</v>
      </c>
      <c r="O165" t="n">
        <v>0</v>
      </c>
      <c r="P165" t="n">
        <v>0</v>
      </c>
      <c r="Q165" t="n">
        <v>6</v>
      </c>
      <c r="R165" t="n">
        <v>3</v>
      </c>
      <c r="S165" t="n">
        <v>9</v>
      </c>
      <c r="T165" t="n">
        <v>16</v>
      </c>
      <c r="U165" t="n">
        <v>0</v>
      </c>
      <c r="V165" s="2" t="inlineStr">
        <is>
          <t>Ask
Plattnosad rovfluga
Kvistkrabbspindel
Gul dropplav
Hjälmbrosklav
Tallticka
Vit skogslilja
Blåsippa
Salepsrot</t>
        </is>
      </c>
      <c r="W165">
        <f>HYPERLINK("https://klasma.github.io/Logging_0885/artfynd/S 2717-2025 artfynd.xlsx", "S 2717-2025")</f>
        <v/>
      </c>
      <c r="X165">
        <f>HYPERLINK("https://klasma.github.io/Logging_0885/kartor/S 2717-2025 karta.png", "S 2717-2025")</f>
        <v/>
      </c>
      <c r="Y165">
        <f>HYPERLINK("https://klasma.github.io/Logging_0885/kartor_geotiff/S 2717-2025 georefererad karta.tif", "S 2717-2025")</f>
        <v/>
      </c>
      <c r="AA165">
        <f>HYPERLINK("https://klasma.github.io/Logging_0885/klagomål/S 2717-2025 FSC-klagomål.docx", "S 2717-2025")</f>
        <v/>
      </c>
      <c r="AB165">
        <f>HYPERLINK("https://klasma.github.io/Logging_0885/klagomålsmail/S 2717-2025 FSC-klagomål mail.docx", "S 2717-2025")</f>
        <v/>
      </c>
      <c r="AC165">
        <f>HYPERLINK("https://klasma.github.io/Logging_0885/tillsyn/S 2717-2025 tillsynsbegäran.docx", "S 2717-2025")</f>
        <v/>
      </c>
      <c r="AD165">
        <f>HYPERLINK("https://klasma.github.io/Logging_0885/tillsynsmail/S 2717-2025 tillsynsbegäran mail.docx", "S 2717-2025")</f>
        <v/>
      </c>
    </row>
    <row r="166" ht="15" customHeight="1">
      <c r="A166" t="inlineStr">
        <is>
          <t>S 2229-2026</t>
        </is>
      </c>
      <c r="B166" t="inlineStr">
        <is>
          <t>samrådsanmälan</t>
        </is>
      </c>
      <c r="C166" t="inlineStr">
        <is>
          <t>Annan skogsbruksåtgärd</t>
        </is>
      </c>
      <c r="D166" s="1" t="n">
        <v>46259</v>
      </c>
      <c r="E166" s="1" t="n">
        <v>46323</v>
      </c>
      <c r="F166" t="inlineStr">
        <is>
          <t>KALMAR LÄN</t>
        </is>
      </c>
      <c r="G166" t="inlineStr">
        <is>
          <t>VÄSTERVIK</t>
        </is>
      </c>
      <c r="H166" t="inlineStr">
        <is>
          <t>Kommuner</t>
        </is>
      </c>
      <c r="I166" t="n">
        <v>4.9</v>
      </c>
      <c r="J166" t="n">
        <v>1</v>
      </c>
      <c r="K166" t="n">
        <v>3</v>
      </c>
      <c r="L166" t="n">
        <v>5</v>
      </c>
      <c r="M166" t="n">
        <v>0</v>
      </c>
      <c r="N166" t="n">
        <v>0</v>
      </c>
      <c r="O166" t="n">
        <v>0</v>
      </c>
      <c r="P166" t="n">
        <v>0</v>
      </c>
      <c r="Q166" t="n">
        <v>5</v>
      </c>
      <c r="R166" t="n">
        <v>0</v>
      </c>
      <c r="S166" t="n">
        <v>9</v>
      </c>
      <c r="T166" t="n">
        <v>13</v>
      </c>
      <c r="U166" t="n">
        <v>10</v>
      </c>
      <c r="V166" s="2" t="inlineStr">
        <is>
          <t>Blekticka
Ekticka
Korallticka
Rosa skärelav
Skuggorangelav
Blomskägglav
Toppvaxing
Vitvaxing agg.
Grönvit nattviol</t>
        </is>
      </c>
      <c r="W166">
        <f>HYPERLINK("https://klasma.github.io/Logging_0883/artfynd/S 2229-2026 artfynd.xlsx", "S 2229-2026")</f>
        <v/>
      </c>
      <c r="X166">
        <f>HYPERLINK("https://klasma.github.io/Logging_0883/kartor/S 2229-2026 karta.png", "S 2229-2026")</f>
        <v/>
      </c>
      <c r="Y166">
        <f>HYPERLINK("https://klasma.github.io/Logging_0883/kartor_geotiff/S 2229-2026 georefererad karta.tif", "S 2229-2026")</f>
        <v/>
      </c>
      <c r="AA166">
        <f>HYPERLINK("https://klasma.github.io/Logging_0883/klagomål/S 2229-2026 FSC-klagomål.docx", "S 2229-2026")</f>
        <v/>
      </c>
      <c r="AB166">
        <f>HYPERLINK("https://klasma.github.io/Logging_0883/klagomålsmail/S 2229-2026 FSC-klagomål mail.docx", "S 2229-2026")</f>
        <v/>
      </c>
      <c r="AC166">
        <f>HYPERLINK("https://klasma.github.io/Logging_0883/tillsyn/S 2229-2026 tillsynsbegäran.docx", "S 2229-2026")</f>
        <v/>
      </c>
      <c r="AD166">
        <f>HYPERLINK("https://klasma.github.io/Logging_0883/tillsynsmail/S 2229-2026 tillsynsbegäran mail.docx", "S 2229-2026")</f>
        <v/>
      </c>
    </row>
    <row r="167" ht="15" customHeight="1">
      <c r="A167" t="inlineStr">
        <is>
          <t>A 60996-2021</t>
        </is>
      </c>
      <c r="B167" t="inlineStr">
        <is>
          <t>avverkningsanmälan</t>
        </is>
      </c>
      <c r="C167" t="inlineStr">
        <is>
          <t>Föryngringsavverkning</t>
        </is>
      </c>
      <c r="D167" s="1" t="n">
        <v>44497</v>
      </c>
      <c r="E167" s="1" t="n">
        <v>46323</v>
      </c>
      <c r="F167" t="inlineStr">
        <is>
          <t>KALMAR LÄN</t>
        </is>
      </c>
      <c r="G167" t="inlineStr">
        <is>
          <t>VÄSTERVIK</t>
        </is>
      </c>
      <c r="H167" t="inlineStr">
        <is>
          <t>Kyrkan</t>
        </is>
      </c>
      <c r="I167" t="n">
        <v>7.2</v>
      </c>
      <c r="J167" t="n">
        <v>3</v>
      </c>
      <c r="K167" t="n">
        <v>2</v>
      </c>
      <c r="L167" t="n">
        <v>4</v>
      </c>
      <c r="M167" t="n">
        <v>1</v>
      </c>
      <c r="N167" t="n">
        <v>0</v>
      </c>
      <c r="O167" t="n">
        <v>0</v>
      </c>
      <c r="P167" t="n">
        <v>0</v>
      </c>
      <c r="Q167" t="n">
        <v>5</v>
      </c>
      <c r="R167" t="n">
        <v>1</v>
      </c>
      <c r="S167" t="n">
        <v>8</v>
      </c>
      <c r="T167" t="n">
        <v>16</v>
      </c>
      <c r="U167" t="n">
        <v>10</v>
      </c>
      <c r="V167" s="2" t="inlineStr">
        <is>
          <t>Knärot
Jungfrulin
Tallticka
Talltita
Vedtrappmossa
Grönpyrola
Platt fjädermossa
Revlummer</t>
        </is>
      </c>
      <c r="W167">
        <f>HYPERLINK("https://klasma.github.io/Logging_0883/artfynd/A 60996-2021 artfynd.xlsx", "A 60996-2021")</f>
        <v/>
      </c>
      <c r="X167">
        <f>HYPERLINK("https://klasma.github.io/Logging_0883/kartor/A 60996-2021 karta.png", "A 60996-2021")</f>
        <v/>
      </c>
      <c r="Y167">
        <f>HYPERLINK("https://klasma.github.io/Logging_0883/kartor_geotiff/A 60996-2021 georefererad karta.tif", "A 60996-2021")</f>
        <v/>
      </c>
      <c r="Z167">
        <f>HYPERLINK("https://klasma.github.io/Logging_0883/knärot/A 60996-2021 karta knärot.png", "A 60996-2021")</f>
        <v/>
      </c>
      <c r="AA167">
        <f>HYPERLINK("https://klasma.github.io/Logging_0883/klagomål/A 60996-2021 FSC-klagomål.docx", "A 60996-2021")</f>
        <v/>
      </c>
      <c r="AB167">
        <f>HYPERLINK("https://klasma.github.io/Logging_0883/klagomålsmail/A 60996-2021 FSC-klagomål mail.docx", "A 60996-2021")</f>
        <v/>
      </c>
      <c r="AC167">
        <f>HYPERLINK("https://klasma.github.io/Logging_0883/tillsyn/A 60996-2021 tillsynsbegäran.docx", "A 60996-2021")</f>
        <v/>
      </c>
      <c r="AD167">
        <f>HYPERLINK("https://klasma.github.io/Logging_0883/tillsynsmail/A 60996-2021 tillsynsbegäran mail.docx", "A 60996-2021")</f>
        <v/>
      </c>
      <c r="AE167">
        <f>HYPERLINK("https://klasma.github.io/Logging_0883/fåglar/A 60996-2021 prioriterade fågelarter.docx", "A 60996-2021")</f>
        <v/>
      </c>
    </row>
    <row r="168" ht="15" customHeight="1">
      <c r="A168" t="inlineStr">
        <is>
          <t>A 13558-2025</t>
        </is>
      </c>
      <c r="B168" t="inlineStr">
        <is>
          <t>avverkningsanmälan</t>
        </is>
      </c>
      <c r="C168" t="inlineStr">
        <is>
          <t>Föryngringsavverkning</t>
        </is>
      </c>
      <c r="D168" s="1" t="n">
        <v>45736</v>
      </c>
      <c r="E168" s="1" t="n">
        <v>46323</v>
      </c>
      <c r="F168" t="inlineStr">
        <is>
          <t>KALMAR LÄN</t>
        </is>
      </c>
      <c r="G168" t="inlineStr">
        <is>
          <t>BORGHOLM</t>
        </is>
      </c>
      <c r="I168" t="n">
        <v>0.7</v>
      </c>
      <c r="J168" t="n">
        <v>4</v>
      </c>
      <c r="K168" t="n">
        <v>1</v>
      </c>
      <c r="L168" t="n">
        <v>4</v>
      </c>
      <c r="M168" t="n">
        <v>1</v>
      </c>
      <c r="N168" t="n">
        <v>0</v>
      </c>
      <c r="O168" t="n">
        <v>0</v>
      </c>
      <c r="P168" t="n">
        <v>0</v>
      </c>
      <c r="Q168" t="n">
        <v>5</v>
      </c>
      <c r="R168" t="n">
        <v>1</v>
      </c>
      <c r="S168" t="n">
        <v>8</v>
      </c>
      <c r="T168" t="n">
        <v>8</v>
      </c>
      <c r="U168" t="n">
        <v>8</v>
      </c>
      <c r="V168" s="2" t="inlineStr">
        <is>
          <t>Honungsblomster
Backruta
Jordtistel
Stallört
Ängsstarr
Tvåblad
Kärrknipprot
Gullviva</t>
        </is>
      </c>
      <c r="W168">
        <f>HYPERLINK("https://klasma.github.io/Logging_0885/artfynd/A 13558-2025 artfynd.xlsx", "A 13558-2025")</f>
        <v/>
      </c>
      <c r="X168">
        <f>HYPERLINK("https://klasma.github.io/Logging_0885/kartor/A 13558-2025 karta.png", "A 13558-2025")</f>
        <v/>
      </c>
      <c r="Y168">
        <f>HYPERLINK("https://klasma.github.io/Logging_0885/kartor_geotiff/A 13558-2025 georefererad karta.tif", "A 13558-2025")</f>
        <v/>
      </c>
      <c r="AA168">
        <f>HYPERLINK("https://klasma.github.io/Logging_0885/klagomål/A 13558-2025 FSC-klagomål.docx", "A 13558-2025")</f>
        <v/>
      </c>
      <c r="AB168">
        <f>HYPERLINK("https://klasma.github.io/Logging_0885/klagomålsmail/A 13558-2025 FSC-klagomål mail.docx", "A 13558-2025")</f>
        <v/>
      </c>
      <c r="AC168">
        <f>HYPERLINK("https://klasma.github.io/Logging_0885/tillsyn/A 13558-2025 tillsynsbegäran.docx", "A 13558-2025")</f>
        <v/>
      </c>
      <c r="AD168">
        <f>HYPERLINK("https://klasma.github.io/Logging_0885/tillsynsmail/A 13558-2025 tillsynsbegäran mail.docx", "A 13558-2025")</f>
        <v/>
      </c>
    </row>
    <row r="169" ht="15" customHeight="1">
      <c r="A169" t="inlineStr">
        <is>
          <t>A 36372-2023</t>
        </is>
      </c>
      <c r="B169" t="inlineStr">
        <is>
          <t>avverkningsanmälan</t>
        </is>
      </c>
      <c r="C169" t="inlineStr">
        <is>
          <t>Föryngringsavverkning</t>
        </is>
      </c>
      <c r="D169" s="1" t="n">
        <v>45152</v>
      </c>
      <c r="E169" s="1" t="n">
        <v>46323</v>
      </c>
      <c r="F169" t="inlineStr">
        <is>
          <t>KALMAR LÄN</t>
        </is>
      </c>
      <c r="G169" t="inlineStr">
        <is>
          <t>MÖNSTERÅS</t>
        </is>
      </c>
      <c r="H169" t="inlineStr">
        <is>
          <t>Kommuner</t>
        </is>
      </c>
      <c r="I169" t="n">
        <v>4.2</v>
      </c>
      <c r="J169" t="n">
        <v>2</v>
      </c>
      <c r="K169" t="n">
        <v>5</v>
      </c>
      <c r="L169" t="n">
        <v>1</v>
      </c>
      <c r="M169" t="n">
        <v>1</v>
      </c>
      <c r="N169" t="n">
        <v>0</v>
      </c>
      <c r="O169" t="n">
        <v>0</v>
      </c>
      <c r="P169" t="n">
        <v>0</v>
      </c>
      <c r="Q169" t="n">
        <v>2</v>
      </c>
      <c r="R169" t="n">
        <v>1</v>
      </c>
      <c r="S169" t="n">
        <v>8</v>
      </c>
      <c r="T169" t="n">
        <v>12</v>
      </c>
      <c r="U169" t="n">
        <v>12</v>
      </c>
      <c r="V169" s="2" t="inlineStr">
        <is>
          <t>Knärot
Tallticka
Björksplintborre
Blåmossa
Bronshjon
Sotlav
Thomsons trägnagare
Spillkråka</t>
        </is>
      </c>
      <c r="W169">
        <f>HYPERLINK("https://klasma.github.io/Logging_0861/artfynd/A 36372-2023 artfynd.xlsx", "A 36372-2023")</f>
        <v/>
      </c>
      <c r="X169">
        <f>HYPERLINK("https://klasma.github.io/Logging_0861/kartor/A 36372-2023 karta.png", "A 36372-2023")</f>
        <v/>
      </c>
      <c r="Y169">
        <f>HYPERLINK("https://klasma.github.io/Logging_0861/kartor_geotiff/A 36372-2023 georefererad karta.tif", "A 36372-2023")</f>
        <v/>
      </c>
      <c r="Z169">
        <f>HYPERLINK("https://klasma.github.io/Logging_0861/knärot/A 36372-2023 karta knärot.png", "A 36372-2023")</f>
        <v/>
      </c>
      <c r="AA169">
        <f>HYPERLINK("https://klasma.github.io/Logging_0861/klagomål/A 36372-2023 FSC-klagomål.docx", "A 36372-2023")</f>
        <v/>
      </c>
      <c r="AB169">
        <f>HYPERLINK("https://klasma.github.io/Logging_0861/klagomålsmail/A 36372-2023 FSC-klagomål mail.docx", "A 36372-2023")</f>
        <v/>
      </c>
      <c r="AC169">
        <f>HYPERLINK("https://klasma.github.io/Logging_0861/tillsyn/A 36372-2023 tillsynsbegäran.docx", "A 36372-2023")</f>
        <v/>
      </c>
      <c r="AD169">
        <f>HYPERLINK("https://klasma.github.io/Logging_0861/tillsynsmail/A 36372-2023 tillsynsbegäran mail.docx", "A 36372-2023")</f>
        <v/>
      </c>
      <c r="AE169">
        <f>HYPERLINK("https://klasma.github.io/Logging_0861/fåglar/A 36372-2023 prioriterade fågelarter.docx", "A 36372-2023")</f>
        <v/>
      </c>
    </row>
    <row r="170" ht="15" customHeight="1">
      <c r="A170" t="inlineStr">
        <is>
          <t>A 1960-2023</t>
        </is>
      </c>
      <c r="B170" t="inlineStr">
        <is>
          <t>avverkningsanmälan</t>
        </is>
      </c>
      <c r="C170" t="inlineStr">
        <is>
          <t>Föryngringsavverkning</t>
        </is>
      </c>
      <c r="D170" s="1" t="n">
        <v>44939</v>
      </c>
      <c r="E170" s="1" t="n">
        <v>46323</v>
      </c>
      <c r="F170" t="inlineStr">
        <is>
          <t>KALMAR LÄN</t>
        </is>
      </c>
      <c r="G170" t="inlineStr">
        <is>
          <t>VIMMERBY</t>
        </is>
      </c>
      <c r="I170" t="n">
        <v>4.2</v>
      </c>
      <c r="J170" t="n">
        <v>1</v>
      </c>
      <c r="K170" t="n">
        <v>3</v>
      </c>
      <c r="L170" t="n">
        <v>4</v>
      </c>
      <c r="M170" t="n">
        <v>0</v>
      </c>
      <c r="N170" t="n">
        <v>0</v>
      </c>
      <c r="O170" t="n">
        <v>0</v>
      </c>
      <c r="P170" t="n">
        <v>0</v>
      </c>
      <c r="Q170" t="n">
        <v>4</v>
      </c>
      <c r="R170" t="n">
        <v>0</v>
      </c>
      <c r="S170" t="n">
        <v>8</v>
      </c>
      <c r="T170" t="n">
        <v>9</v>
      </c>
      <c r="U170" t="n">
        <v>0</v>
      </c>
      <c r="V170" s="2" t="inlineStr">
        <is>
          <t>Dropptaggsvamp
Tallticka
Ullticka
Vedskivlav
Bågpraktmossa
Guldlockmossa
Tibast
Blåsippa</t>
        </is>
      </c>
      <c r="W170">
        <f>HYPERLINK("https://klasma.github.io/Logging_0884/artfynd/A 1960-2023 artfynd.xlsx", "A 1960-2023")</f>
        <v/>
      </c>
      <c r="X170">
        <f>HYPERLINK("https://klasma.github.io/Logging_0884/kartor/A 1960-2023 karta.png", "A 1960-2023")</f>
        <v/>
      </c>
      <c r="Y170">
        <f>HYPERLINK("https://klasma.github.io/Logging_0884/kartor_geotiff/A 1960-2023 georefererad karta.tif", "A 1960-2023")</f>
        <v/>
      </c>
      <c r="AA170">
        <f>HYPERLINK("https://klasma.github.io/Logging_0884/klagomål/A 1960-2023 FSC-klagomål.docx", "A 1960-2023")</f>
        <v/>
      </c>
      <c r="AB170">
        <f>HYPERLINK("https://klasma.github.io/Logging_0884/klagomålsmail/A 1960-2023 FSC-klagomål mail.docx", "A 1960-2023")</f>
        <v/>
      </c>
      <c r="AC170">
        <f>HYPERLINK("https://klasma.github.io/Logging_0884/tillsyn/A 1960-2023 tillsynsbegäran.docx", "A 1960-2023")</f>
        <v/>
      </c>
      <c r="AD170">
        <f>HYPERLINK("https://klasma.github.io/Logging_0884/tillsynsmail/A 1960-2023 tillsynsbegäran mail.docx", "A 1960-2023")</f>
        <v/>
      </c>
    </row>
    <row r="171" ht="15" customHeight="1">
      <c r="A171" t="inlineStr">
        <is>
          <t>A 12506-2025</t>
        </is>
      </c>
      <c r="B171" t="inlineStr">
        <is>
          <t>avverkningsanmälan</t>
        </is>
      </c>
      <c r="C171" t="inlineStr">
        <is>
          <t>Föryngringsavverkning</t>
        </is>
      </c>
      <c r="D171" s="1" t="n">
        <v>45730</v>
      </c>
      <c r="E171" s="1" t="n">
        <v>46323</v>
      </c>
      <c r="F171" t="inlineStr">
        <is>
          <t>KALMAR LÄN</t>
        </is>
      </c>
      <c r="G171" t="inlineStr">
        <is>
          <t>NYBRO</t>
        </is>
      </c>
      <c r="H171" t="inlineStr">
        <is>
          <t>Kommuner</t>
        </is>
      </c>
      <c r="I171" t="n">
        <v>2.3</v>
      </c>
      <c r="J171" t="n">
        <v>6</v>
      </c>
      <c r="K171" t="n">
        <v>0</v>
      </c>
      <c r="L171" t="n">
        <v>2</v>
      </c>
      <c r="M171" t="n">
        <v>1</v>
      </c>
      <c r="N171" t="n">
        <v>1</v>
      </c>
      <c r="O171" t="n">
        <v>0</v>
      </c>
      <c r="P171" t="n">
        <v>0</v>
      </c>
      <c r="Q171" t="n">
        <v>4</v>
      </c>
      <c r="R171" t="n">
        <v>2</v>
      </c>
      <c r="S171" t="n">
        <v>8</v>
      </c>
      <c r="T171" t="n">
        <v>11</v>
      </c>
      <c r="U171" t="n">
        <v>9</v>
      </c>
      <c r="V171" s="2" t="inlineStr">
        <is>
          <t>Ask
Grönfink
Aspstumpbagge
Grönsångare
Gröngöling
Svartvit flugsnappare
Vanlig padda
Gullviva</t>
        </is>
      </c>
      <c r="W171">
        <f>HYPERLINK("https://klasma.github.io/Logging_0881/artfynd/A 12506-2025 artfynd.xlsx", "A 12506-2025")</f>
        <v/>
      </c>
      <c r="X171">
        <f>HYPERLINK("https://klasma.github.io/Logging_0881/kartor/A 12506-2025 karta.png", "A 12506-2025")</f>
        <v/>
      </c>
      <c r="Y171">
        <f>HYPERLINK("https://klasma.github.io/Logging_0881/kartor_geotiff/A 12506-2025 georefererad karta.tif", "A 12506-2025")</f>
        <v/>
      </c>
      <c r="AA171">
        <f>HYPERLINK("https://klasma.github.io/Logging_0881/klagomål/A 12506-2025 FSC-klagomål.docx", "A 12506-2025")</f>
        <v/>
      </c>
      <c r="AB171">
        <f>HYPERLINK("https://klasma.github.io/Logging_0881/klagomålsmail/A 12506-2025 FSC-klagomål mail.docx", "A 12506-2025")</f>
        <v/>
      </c>
      <c r="AC171">
        <f>HYPERLINK("https://klasma.github.io/Logging_0881/tillsyn/A 12506-2025 tillsynsbegäran.docx", "A 12506-2025")</f>
        <v/>
      </c>
      <c r="AD171">
        <f>HYPERLINK("https://klasma.github.io/Logging_0881/tillsynsmail/A 12506-2025 tillsynsbegäran mail.docx", "A 12506-2025")</f>
        <v/>
      </c>
      <c r="AE171">
        <f>HYPERLINK("https://klasma.github.io/Logging_0881/fåglar/A 12506-2025 prioriterade fågelarter.docx", "A 12506-2025")</f>
        <v/>
      </c>
    </row>
    <row r="172" ht="15" customHeight="1">
      <c r="A172" t="inlineStr">
        <is>
          <t>A 20013-2023</t>
        </is>
      </c>
      <c r="B172" t="inlineStr">
        <is>
          <t>avverkningsanmälan</t>
        </is>
      </c>
      <c r="C172" t="inlineStr">
        <is>
          <t>Föryngringsavverkning</t>
        </is>
      </c>
      <c r="D172" s="1" t="n">
        <v>45054</v>
      </c>
      <c r="E172" s="1" t="n">
        <v>46323</v>
      </c>
      <c r="F172" t="inlineStr">
        <is>
          <t>KALMAR LÄN</t>
        </is>
      </c>
      <c r="G172" t="inlineStr">
        <is>
          <t>MÖNSTERÅS</t>
        </is>
      </c>
      <c r="H172" t="inlineStr">
        <is>
          <t>Övriga Aktiebolag</t>
        </is>
      </c>
      <c r="I172" t="n">
        <v>6.7</v>
      </c>
      <c r="J172" t="n">
        <v>8</v>
      </c>
      <c r="K172" t="n">
        <v>0</v>
      </c>
      <c r="L172" t="n">
        <v>4</v>
      </c>
      <c r="M172" t="n">
        <v>0</v>
      </c>
      <c r="N172" t="n">
        <v>0</v>
      </c>
      <c r="O172" t="n">
        <v>0</v>
      </c>
      <c r="P172" t="n">
        <v>0</v>
      </c>
      <c r="Q172" t="n">
        <v>4</v>
      </c>
      <c r="R172" t="n">
        <v>0</v>
      </c>
      <c r="S172" t="n">
        <v>8</v>
      </c>
      <c r="T172" t="n">
        <v>11</v>
      </c>
      <c r="U172" t="n">
        <v>4</v>
      </c>
      <c r="V172" s="2" t="inlineStr">
        <is>
          <t>Barbastell
Brunlångöra
Nordfladdermus
Sydfladdermus
Dvärgpipistrell
Gråskimlig fladdermus
Större brunfladdermus
Vattenfladdermus</t>
        </is>
      </c>
      <c r="W172">
        <f>HYPERLINK("https://klasma.github.io/Logging_0861/artfynd/A 20013-2023 artfynd.xlsx", "A 20013-2023")</f>
        <v/>
      </c>
      <c r="X172">
        <f>HYPERLINK("https://klasma.github.io/Logging_0861/kartor/A 20013-2023 karta.png", "A 20013-2023")</f>
        <v/>
      </c>
      <c r="Y172">
        <f>HYPERLINK("https://klasma.github.io/Logging_0861/kartor_geotiff/A 20013-2023 georefererad karta.tif", "A 20013-2023")</f>
        <v/>
      </c>
      <c r="AA172">
        <f>HYPERLINK("https://klasma.github.io/Logging_0861/klagomål/A 20013-2023 FSC-klagomål.docx", "A 20013-2023")</f>
        <v/>
      </c>
      <c r="AB172">
        <f>HYPERLINK("https://klasma.github.io/Logging_0861/klagomålsmail/A 20013-2023 FSC-klagomål mail.docx", "A 20013-2023")</f>
        <v/>
      </c>
      <c r="AC172">
        <f>HYPERLINK("https://klasma.github.io/Logging_0861/tillsyn/A 20013-2023 tillsynsbegäran.docx", "A 20013-2023")</f>
        <v/>
      </c>
      <c r="AD172">
        <f>HYPERLINK("https://klasma.github.io/Logging_0861/tillsynsmail/A 20013-2023 tillsynsbegäran mail.docx", "A 20013-2023")</f>
        <v/>
      </c>
    </row>
    <row r="173" ht="15" customHeight="1">
      <c r="A173" t="inlineStr">
        <is>
          <t>A 63850-2021</t>
        </is>
      </c>
      <c r="B173" t="inlineStr">
        <is>
          <t>avverkningsanmälan</t>
        </is>
      </c>
      <c r="C173" t="inlineStr">
        <is>
          <t>Föryngringsavverkning</t>
        </is>
      </c>
      <c r="D173" s="1" t="n">
        <v>44505</v>
      </c>
      <c r="E173" s="1" t="n">
        <v>46323</v>
      </c>
      <c r="F173" t="inlineStr">
        <is>
          <t>KALMAR LÄN</t>
        </is>
      </c>
      <c r="G173" t="inlineStr">
        <is>
          <t>VÄSTERVIK</t>
        </is>
      </c>
      <c r="I173" t="n">
        <v>2.7</v>
      </c>
      <c r="J173" t="n">
        <v>4</v>
      </c>
      <c r="K173" t="n">
        <v>3</v>
      </c>
      <c r="L173" t="n">
        <v>3</v>
      </c>
      <c r="M173" t="n">
        <v>1</v>
      </c>
      <c r="N173" t="n">
        <v>0</v>
      </c>
      <c r="O173" t="n">
        <v>0</v>
      </c>
      <c r="P173" t="n">
        <v>0</v>
      </c>
      <c r="Q173" t="n">
        <v>4</v>
      </c>
      <c r="R173" t="n">
        <v>1</v>
      </c>
      <c r="S173" t="n">
        <v>8</v>
      </c>
      <c r="T173" t="n">
        <v>30</v>
      </c>
      <c r="U173" t="n">
        <v>30</v>
      </c>
      <c r="V173" s="2" t="inlineStr">
        <is>
          <t>Knärot
Tallticka
Talltita
Ullticka
Grovticka
Grön sköldmossa
Grönpyrola
Spillkråka</t>
        </is>
      </c>
      <c r="W173">
        <f>HYPERLINK("https://klasma.github.io/Logging_0883/artfynd/A 63850-2021 artfynd.xlsx", "A 63850-2021")</f>
        <v/>
      </c>
      <c r="X173">
        <f>HYPERLINK("https://klasma.github.io/Logging_0883/kartor/A 63850-2021 karta.png", "A 63850-2021")</f>
        <v/>
      </c>
      <c r="Y173">
        <f>HYPERLINK("https://klasma.github.io/Logging_0883/kartor_geotiff/A 63850-2021 georefererad karta.tif", "A 63850-2021")</f>
        <v/>
      </c>
      <c r="Z173">
        <f>HYPERLINK("https://klasma.github.io/Logging_0883/knärot/A 63850-2021 karta knärot.png", "A 63850-2021")</f>
        <v/>
      </c>
      <c r="AA173">
        <f>HYPERLINK("https://klasma.github.io/Logging_0883/klagomål/A 63850-2021 FSC-klagomål.docx", "A 63850-2021")</f>
        <v/>
      </c>
      <c r="AB173">
        <f>HYPERLINK("https://klasma.github.io/Logging_0883/klagomålsmail/A 63850-2021 FSC-klagomål mail.docx", "A 63850-2021")</f>
        <v/>
      </c>
      <c r="AC173">
        <f>HYPERLINK("https://klasma.github.io/Logging_0883/tillsyn/A 63850-2021 tillsynsbegäran.docx", "A 63850-2021")</f>
        <v/>
      </c>
      <c r="AD173">
        <f>HYPERLINK("https://klasma.github.io/Logging_0883/tillsynsmail/A 63850-2021 tillsynsbegäran mail.docx", "A 63850-2021")</f>
        <v/>
      </c>
      <c r="AE173">
        <f>HYPERLINK("https://klasma.github.io/Logging_0883/fåglar/A 63850-2021 prioriterade fågelarter.docx", "A 63850-2021")</f>
        <v/>
      </c>
    </row>
    <row r="174" ht="15" customHeight="1">
      <c r="A174" t="inlineStr">
        <is>
          <t>A 12534-2022</t>
        </is>
      </c>
      <c r="B174" t="inlineStr">
        <is>
          <t>avverkningsanmälan</t>
        </is>
      </c>
      <c r="C174" t="inlineStr">
        <is>
          <t>Föryngringsavverkning</t>
        </is>
      </c>
      <c r="D174" s="1" t="n">
        <v>44638</v>
      </c>
      <c r="E174" s="1" t="n">
        <v>46323</v>
      </c>
      <c r="F174" t="inlineStr">
        <is>
          <t>KALMAR LÄN</t>
        </is>
      </c>
      <c r="G174" t="inlineStr">
        <is>
          <t>BORGHOLM</t>
        </is>
      </c>
      <c r="I174" t="n">
        <v>8.6</v>
      </c>
      <c r="J174" t="n">
        <v>3</v>
      </c>
      <c r="K174" t="n">
        <v>0</v>
      </c>
      <c r="L174" t="n">
        <v>5</v>
      </c>
      <c r="M174" t="n">
        <v>0</v>
      </c>
      <c r="N174" t="n">
        <v>0</v>
      </c>
      <c r="O174" t="n">
        <v>0</v>
      </c>
      <c r="P174" t="n">
        <v>0</v>
      </c>
      <c r="Q174" t="n">
        <v>5</v>
      </c>
      <c r="R174" t="n">
        <v>0</v>
      </c>
      <c r="S174" t="n">
        <v>8</v>
      </c>
      <c r="T174" t="n">
        <v>9</v>
      </c>
      <c r="U174" t="n">
        <v>9</v>
      </c>
      <c r="V174" s="2" t="inlineStr">
        <is>
          <t>Backklöver
Backtimjan
Jordtistel
Sårläka
Vårstarr
Krutbrännare
Nattviol
Sankt pers nycklar</t>
        </is>
      </c>
      <c r="W174">
        <f>HYPERLINK("https://klasma.github.io/Logging_0885/artfynd/A 12534-2022 artfynd.xlsx", "A 12534-2022")</f>
        <v/>
      </c>
      <c r="X174">
        <f>HYPERLINK("https://klasma.github.io/Logging_0885/kartor/A 12534-2022 karta.png", "A 12534-2022")</f>
        <v/>
      </c>
      <c r="Y174">
        <f>HYPERLINK("https://klasma.github.io/Logging_0885/kartor_geotiff/A 12534-2022 georefererad karta.tif", "A 12534-2022")</f>
        <v/>
      </c>
      <c r="AA174">
        <f>HYPERLINK("https://klasma.github.io/Logging_0885/klagomål/A 12534-2022 FSC-klagomål.docx", "A 12534-2022")</f>
        <v/>
      </c>
      <c r="AB174">
        <f>HYPERLINK("https://klasma.github.io/Logging_0885/klagomålsmail/A 12534-2022 FSC-klagomål mail.docx", "A 12534-2022")</f>
        <v/>
      </c>
      <c r="AC174">
        <f>HYPERLINK("https://klasma.github.io/Logging_0885/tillsyn/A 12534-2022 tillsynsbegäran.docx", "A 12534-2022")</f>
        <v/>
      </c>
      <c r="AD174">
        <f>HYPERLINK("https://klasma.github.io/Logging_0885/tillsynsmail/A 12534-2022 tillsynsbegäran mail.docx", "A 12534-2022")</f>
        <v/>
      </c>
    </row>
    <row r="175" ht="15" customHeight="1">
      <c r="A175" t="inlineStr">
        <is>
          <t>A 44163-2025</t>
        </is>
      </c>
      <c r="B175" t="inlineStr">
        <is>
          <t>avverkningsanmälan</t>
        </is>
      </c>
      <c r="C175" t="inlineStr">
        <is>
          <t>Föryngringsavverkning</t>
        </is>
      </c>
      <c r="D175" s="1" t="n">
        <v>45915</v>
      </c>
      <c r="E175" s="1" t="n">
        <v>46323</v>
      </c>
      <c r="F175" t="inlineStr">
        <is>
          <t>KALMAR LÄN</t>
        </is>
      </c>
      <c r="G175" t="inlineStr">
        <is>
          <t>KALMAR</t>
        </is>
      </c>
      <c r="I175" t="n">
        <v>1.1</v>
      </c>
      <c r="J175" t="n">
        <v>6</v>
      </c>
      <c r="K175" t="n">
        <v>2</v>
      </c>
      <c r="L175" t="n">
        <v>2</v>
      </c>
      <c r="M175" t="n">
        <v>0</v>
      </c>
      <c r="N175" t="n">
        <v>0</v>
      </c>
      <c r="O175" t="n">
        <v>0</v>
      </c>
      <c r="P175" t="n">
        <v>0</v>
      </c>
      <c r="Q175" t="n">
        <v>2</v>
      </c>
      <c r="R175" t="n">
        <v>0</v>
      </c>
      <c r="S175" t="n">
        <v>8</v>
      </c>
      <c r="T175" t="n">
        <v>10</v>
      </c>
      <c r="U175" t="n">
        <v>10</v>
      </c>
      <c r="V175" s="2" t="inlineStr">
        <is>
          <t>Entita
Talltita
Brandticka
Grovticka
Tjäder
Gröngöling
Grönsiska
Kungsfågel</t>
        </is>
      </c>
      <c r="W175">
        <f>HYPERLINK("https://klasma.github.io/Logging_0880/artfynd/A 44163-2025 artfynd.xlsx", "A 44163-2025")</f>
        <v/>
      </c>
      <c r="X175">
        <f>HYPERLINK("https://klasma.github.io/Logging_0880/kartor/A 44163-2025 karta.png", "A 44163-2025")</f>
        <v/>
      </c>
      <c r="Y175">
        <f>HYPERLINK("https://klasma.github.io/Logging_0880/kartor_geotiff/A 44163-2025 georefererad karta.tif", "A 44163-2025")</f>
        <v/>
      </c>
      <c r="AA175">
        <f>HYPERLINK("https://klasma.github.io/Logging_0880/klagomål/A 44163-2025 FSC-klagomål.docx", "A 44163-2025")</f>
        <v/>
      </c>
      <c r="AB175">
        <f>HYPERLINK("https://klasma.github.io/Logging_0880/klagomålsmail/A 44163-2025 FSC-klagomål mail.docx", "A 44163-2025")</f>
        <v/>
      </c>
      <c r="AC175">
        <f>HYPERLINK("https://klasma.github.io/Logging_0880/tillsyn/A 44163-2025 tillsynsbegäran.docx", "A 44163-2025")</f>
        <v/>
      </c>
      <c r="AD175">
        <f>HYPERLINK("https://klasma.github.io/Logging_0880/tillsynsmail/A 44163-2025 tillsynsbegäran mail.docx", "A 44163-2025")</f>
        <v/>
      </c>
      <c r="AE175">
        <f>HYPERLINK("https://klasma.github.io/Logging_0880/fåglar/A 44163-2025 prioriterade fågelarter.docx", "A 44163-2025")</f>
        <v/>
      </c>
    </row>
    <row r="176" ht="15" customHeight="1">
      <c r="A176" t="inlineStr">
        <is>
          <t>A 30737-2026</t>
        </is>
      </c>
      <c r="B176" t="inlineStr">
        <is>
          <t>avverkningsanmälan</t>
        </is>
      </c>
      <c r="C176" t="inlineStr">
        <is>
          <t>Föryngringsavverkning</t>
        </is>
      </c>
      <c r="D176" s="1" t="n">
        <v>46211</v>
      </c>
      <c r="E176" s="1" t="n">
        <v>46323</v>
      </c>
      <c r="F176" t="inlineStr">
        <is>
          <t>KALMAR LÄN</t>
        </is>
      </c>
      <c r="G176" t="inlineStr">
        <is>
          <t>OSKARSHAMN</t>
        </is>
      </c>
      <c r="I176" t="n">
        <v>6</v>
      </c>
      <c r="J176" t="n">
        <v>6</v>
      </c>
      <c r="K176" t="n">
        <v>3</v>
      </c>
      <c r="L176" t="n">
        <v>0</v>
      </c>
      <c r="M176" t="n">
        <v>1</v>
      </c>
      <c r="N176" t="n">
        <v>0</v>
      </c>
      <c r="O176" t="n">
        <v>0</v>
      </c>
      <c r="P176" t="n">
        <v>0</v>
      </c>
      <c r="Q176" t="n">
        <v>1</v>
      </c>
      <c r="R176" t="n">
        <v>1</v>
      </c>
      <c r="S176" t="n">
        <v>8</v>
      </c>
      <c r="T176" t="n">
        <v>10</v>
      </c>
      <c r="U176" t="n">
        <v>0</v>
      </c>
      <c r="V176" s="2" t="inlineStr">
        <is>
          <t>Sandödla
Ekoxe
Thymalus limbatus
Tvåfläckig praktbagge
Blåsippa
Nattskärra
Spillkråka
Gullviva</t>
        </is>
      </c>
      <c r="W176">
        <f>HYPERLINK("https://klasma.github.io/Logging_0882/artfynd/A 30737-2026 artfynd.xlsx", "A 30737-2026")</f>
        <v/>
      </c>
      <c r="X176">
        <f>HYPERLINK("https://klasma.github.io/Logging_0882/kartor/A 30737-2026 karta.png", "A 30737-2026")</f>
        <v/>
      </c>
      <c r="Y176">
        <f>HYPERLINK("https://klasma.github.io/Logging_0882/kartor_geotiff/A 30737-2026 georefererad karta.tif", "A 30737-2026")</f>
        <v/>
      </c>
      <c r="AA176">
        <f>HYPERLINK("https://klasma.github.io/Logging_0882/klagomål/A 30737-2026 FSC-klagomål.docx", "A 30737-2026")</f>
        <v/>
      </c>
      <c r="AB176">
        <f>HYPERLINK("https://klasma.github.io/Logging_0882/klagomålsmail/A 30737-2026 FSC-klagomål mail.docx", "A 30737-2026")</f>
        <v/>
      </c>
      <c r="AC176">
        <f>HYPERLINK("https://klasma.github.io/Logging_0882/tillsyn/A 30737-2026 tillsynsbegäran.docx", "A 30737-2026")</f>
        <v/>
      </c>
      <c r="AD176">
        <f>HYPERLINK("https://klasma.github.io/Logging_0882/tillsynsmail/A 30737-2026 tillsynsbegäran mail.docx", "A 30737-2026")</f>
        <v/>
      </c>
      <c r="AE176">
        <f>HYPERLINK("https://klasma.github.io/Logging_0882/fåglar/A 30737-2026 prioriterade fågelarter.docx", "A 30737-2026")</f>
        <v/>
      </c>
    </row>
    <row r="177" ht="15" customHeight="1">
      <c r="A177" t="inlineStr">
        <is>
          <t>A 31515-2026</t>
        </is>
      </c>
      <c r="B177" t="inlineStr">
        <is>
          <t>avverkningsanmälan</t>
        </is>
      </c>
      <c r="C177" t="inlineStr">
        <is>
          <t>Avverkning för att bevara och utveckla /försöksver</t>
        </is>
      </c>
      <c r="D177" s="1" t="n">
        <v>46223</v>
      </c>
      <c r="E177" s="1" t="n">
        <v>46323</v>
      </c>
      <c r="F177" t="inlineStr">
        <is>
          <t>KALMAR LÄN</t>
        </is>
      </c>
      <c r="G177" t="inlineStr">
        <is>
          <t>BORGHOLM</t>
        </is>
      </c>
      <c r="H177" t="inlineStr">
        <is>
          <t>Sveaskog</t>
        </is>
      </c>
      <c r="I177" t="n">
        <v>0.8</v>
      </c>
      <c r="J177" t="n">
        <v>3</v>
      </c>
      <c r="K177" t="n">
        <v>3</v>
      </c>
      <c r="L177" t="n">
        <v>3</v>
      </c>
      <c r="M177" t="n">
        <v>0</v>
      </c>
      <c r="N177" t="n">
        <v>0</v>
      </c>
      <c r="O177" t="n">
        <v>0</v>
      </c>
      <c r="P177" t="n">
        <v>0</v>
      </c>
      <c r="Q177" t="n">
        <v>3</v>
      </c>
      <c r="R177" t="n">
        <v>0</v>
      </c>
      <c r="S177" t="n">
        <v>8</v>
      </c>
      <c r="T177" t="n">
        <v>11</v>
      </c>
      <c r="U177" t="n">
        <v>1</v>
      </c>
      <c r="V177" s="2" t="inlineStr">
        <is>
          <t>Blå slemspindling
Sårläka
Vårärt
Anisspindling
Skogsknipprot
Strävlosta
Blåsippa
Grönvit nattviol</t>
        </is>
      </c>
      <c r="W177">
        <f>HYPERLINK("https://klasma.github.io/Logging_0885/artfynd/A 31515-2026 artfynd.xlsx", "A 31515-2026")</f>
        <v/>
      </c>
      <c r="X177">
        <f>HYPERLINK("https://klasma.github.io/Logging_0885/kartor/A 31515-2026 karta.png", "A 31515-2026")</f>
        <v/>
      </c>
      <c r="Y177">
        <f>HYPERLINK("https://klasma.github.io/Logging_0885/kartor_geotiff/A 31515-2026 georefererad karta.tif", "A 31515-2026")</f>
        <v/>
      </c>
      <c r="AA177">
        <f>HYPERLINK("https://klasma.github.io/Logging_0885/klagomål/A 31515-2026 FSC-klagomål.docx", "A 31515-2026")</f>
        <v/>
      </c>
      <c r="AB177">
        <f>HYPERLINK("https://klasma.github.io/Logging_0885/klagomålsmail/A 31515-2026 FSC-klagomål mail.docx", "A 31515-2026")</f>
        <v/>
      </c>
      <c r="AC177">
        <f>HYPERLINK("https://klasma.github.io/Logging_0885/tillsyn/A 31515-2026 tillsynsbegäran.docx", "A 31515-2026")</f>
        <v/>
      </c>
      <c r="AD177">
        <f>HYPERLINK("https://klasma.github.io/Logging_0885/tillsynsmail/A 31515-2026 tillsynsbegäran mail.docx", "A 31515-2026")</f>
        <v/>
      </c>
    </row>
    <row r="178" ht="15" customHeight="1">
      <c r="A178" t="inlineStr">
        <is>
          <t>A 31516-2026</t>
        </is>
      </c>
      <c r="B178" t="inlineStr">
        <is>
          <t>avverkningsanmälan</t>
        </is>
      </c>
      <c r="C178" t="inlineStr">
        <is>
          <t>Avverkning för att bevara och utveckla /försöksver</t>
        </is>
      </c>
      <c r="D178" s="1" t="n">
        <v>46223</v>
      </c>
      <c r="E178" s="1" t="n">
        <v>46323</v>
      </c>
      <c r="F178" t="inlineStr">
        <is>
          <t>KALMAR LÄN</t>
        </is>
      </c>
      <c r="G178" t="inlineStr">
        <is>
          <t>BORGHOLM</t>
        </is>
      </c>
      <c r="H178" t="inlineStr">
        <is>
          <t>Sveaskog</t>
        </is>
      </c>
      <c r="I178" t="n">
        <v>0.8</v>
      </c>
      <c r="J178" t="n">
        <v>3</v>
      </c>
      <c r="K178" t="n">
        <v>3</v>
      </c>
      <c r="L178" t="n">
        <v>3</v>
      </c>
      <c r="M178" t="n">
        <v>0</v>
      </c>
      <c r="N178" t="n">
        <v>0</v>
      </c>
      <c r="O178" t="n">
        <v>0</v>
      </c>
      <c r="P178" t="n">
        <v>0</v>
      </c>
      <c r="Q178" t="n">
        <v>3</v>
      </c>
      <c r="R178" t="n">
        <v>0</v>
      </c>
      <c r="S178" t="n">
        <v>8</v>
      </c>
      <c r="T178" t="n">
        <v>11</v>
      </c>
      <c r="U178" t="n">
        <v>1</v>
      </c>
      <c r="V178" s="2" t="inlineStr">
        <is>
          <t>Blå slemspindling
Sårläka
Vårärt
Anisspindling
Skogsknipprot
Strävlosta
Blåsippa
Grönvit nattviol</t>
        </is>
      </c>
      <c r="W178">
        <f>HYPERLINK("https://klasma.github.io/Logging_0885/artfynd/A 31516-2026 artfynd.xlsx", "A 31516-2026")</f>
        <v/>
      </c>
      <c r="X178">
        <f>HYPERLINK("https://klasma.github.io/Logging_0885/kartor/A 31516-2026 karta.png", "A 31516-2026")</f>
        <v/>
      </c>
      <c r="Y178">
        <f>HYPERLINK("https://klasma.github.io/Logging_0885/kartor_geotiff/A 31516-2026 georefererad karta.tif", "A 31516-2026")</f>
        <v/>
      </c>
      <c r="AA178">
        <f>HYPERLINK("https://klasma.github.io/Logging_0885/klagomål/A 31516-2026 FSC-klagomål.docx", "A 31516-2026")</f>
        <v/>
      </c>
      <c r="AB178">
        <f>HYPERLINK("https://klasma.github.io/Logging_0885/klagomålsmail/A 31516-2026 FSC-klagomål mail.docx", "A 31516-2026")</f>
        <v/>
      </c>
      <c r="AC178">
        <f>HYPERLINK("https://klasma.github.io/Logging_0885/tillsyn/A 31516-2026 tillsynsbegäran.docx", "A 31516-2026")</f>
        <v/>
      </c>
      <c r="AD178">
        <f>HYPERLINK("https://klasma.github.io/Logging_0885/tillsynsmail/A 31516-2026 tillsynsbegäran mail.docx", "A 31516-2026")</f>
        <v/>
      </c>
    </row>
    <row r="179" ht="15" customHeight="1">
      <c r="A179" t="inlineStr">
        <is>
          <t>A 31399-2026</t>
        </is>
      </c>
      <c r="B179" t="inlineStr">
        <is>
          <t>avverkningsanmälan</t>
        </is>
      </c>
      <c r="C179" t="inlineStr">
        <is>
          <t>Föryngringsavverkning</t>
        </is>
      </c>
      <c r="D179" s="1" t="n">
        <v>46220</v>
      </c>
      <c r="E179" s="1" t="n">
        <v>46323</v>
      </c>
      <c r="F179" t="inlineStr">
        <is>
          <t>KALMAR LÄN</t>
        </is>
      </c>
      <c r="G179" t="inlineStr">
        <is>
          <t>BORGHOLM</t>
        </is>
      </c>
      <c r="I179" t="n">
        <v>4.5</v>
      </c>
      <c r="J179" t="n">
        <v>5</v>
      </c>
      <c r="K179" t="n">
        <v>2</v>
      </c>
      <c r="L179" t="n">
        <v>3</v>
      </c>
      <c r="M179" t="n">
        <v>0</v>
      </c>
      <c r="N179" t="n">
        <v>0</v>
      </c>
      <c r="O179" t="n">
        <v>0</v>
      </c>
      <c r="P179" t="n">
        <v>0</v>
      </c>
      <c r="Q179" t="n">
        <v>3</v>
      </c>
      <c r="R179" t="n">
        <v>0</v>
      </c>
      <c r="S179" t="n">
        <v>8</v>
      </c>
      <c r="T179" t="n">
        <v>8</v>
      </c>
      <c r="U179" t="n">
        <v>0</v>
      </c>
      <c r="V179" s="2" t="inlineStr">
        <is>
          <t>Backklöver
Jordtistel
Stallört
Flugblomster
Tvåblad
Grönvit nattviol
Krutbrännare
Vanliga ängsnycklar</t>
        </is>
      </c>
      <c r="W179">
        <f>HYPERLINK("https://klasma.github.io/Logging_0885/artfynd/A 31399-2026 artfynd.xlsx", "A 31399-2026")</f>
        <v/>
      </c>
      <c r="X179">
        <f>HYPERLINK("https://klasma.github.io/Logging_0885/kartor/A 31399-2026 karta.png", "A 31399-2026")</f>
        <v/>
      </c>
      <c r="Y179">
        <f>HYPERLINK("https://klasma.github.io/Logging_0885/kartor_geotiff/A 31399-2026 georefererad karta.tif", "A 31399-2026")</f>
        <v/>
      </c>
      <c r="AA179">
        <f>HYPERLINK("https://klasma.github.io/Logging_0885/klagomål/A 31399-2026 FSC-klagomål.docx", "A 31399-2026")</f>
        <v/>
      </c>
      <c r="AB179">
        <f>HYPERLINK("https://klasma.github.io/Logging_0885/klagomålsmail/A 31399-2026 FSC-klagomål mail.docx", "A 31399-2026")</f>
        <v/>
      </c>
      <c r="AC179">
        <f>HYPERLINK("https://klasma.github.io/Logging_0885/tillsyn/A 31399-2026 tillsynsbegäran.docx", "A 31399-2026")</f>
        <v/>
      </c>
      <c r="AD179">
        <f>HYPERLINK("https://klasma.github.io/Logging_0885/tillsynsmail/A 31399-2026 tillsynsbegäran mail.docx", "A 31399-2026")</f>
        <v/>
      </c>
    </row>
    <row r="180" ht="15" customHeight="1">
      <c r="A180" t="inlineStr">
        <is>
          <t>A 42900-2025</t>
        </is>
      </c>
      <c r="B180" t="inlineStr">
        <is>
          <t>avverkningsanmälan</t>
        </is>
      </c>
      <c r="C180" t="inlineStr">
        <is>
          <t>Föryngringsavverkning</t>
        </is>
      </c>
      <c r="D180" s="1" t="n">
        <v>45908</v>
      </c>
      <c r="E180" s="1" t="n">
        <v>46323</v>
      </c>
      <c r="F180" t="inlineStr">
        <is>
          <t>KALMAR LÄN</t>
        </is>
      </c>
      <c r="G180" t="inlineStr">
        <is>
          <t>VÄSTERVIK</t>
        </is>
      </c>
      <c r="H180" t="inlineStr">
        <is>
          <t>Holmen skog AB</t>
        </is>
      </c>
      <c r="I180" t="n">
        <v>2.6</v>
      </c>
      <c r="J180" t="n">
        <v>3</v>
      </c>
      <c r="K180" t="n">
        <v>3</v>
      </c>
      <c r="L180" t="n">
        <v>2</v>
      </c>
      <c r="M180" t="n">
        <v>0</v>
      </c>
      <c r="N180" t="n">
        <v>0</v>
      </c>
      <c r="O180" t="n">
        <v>0</v>
      </c>
      <c r="P180" t="n">
        <v>0</v>
      </c>
      <c r="Q180" t="n">
        <v>2</v>
      </c>
      <c r="R180" t="n">
        <v>0</v>
      </c>
      <c r="S180" t="n">
        <v>8</v>
      </c>
      <c r="T180" t="n">
        <v>9</v>
      </c>
      <c r="U180" t="n">
        <v>9</v>
      </c>
      <c r="V180" s="2" t="inlineStr">
        <is>
          <t>Ullticka
Vaddporing
Barkticka
Blomkålssvamp
Blomskägglav
Spillkråka
Havsörn
Kungsfågel</t>
        </is>
      </c>
      <c r="W180">
        <f>HYPERLINK("https://klasma.github.io/Logging_0883/artfynd/A 42900-2025 artfynd.xlsx", "A 42900-2025")</f>
        <v/>
      </c>
      <c r="X180">
        <f>HYPERLINK("https://klasma.github.io/Logging_0883/kartor/A 42900-2025 karta.png", "A 42900-2025")</f>
        <v/>
      </c>
      <c r="Y180">
        <f>HYPERLINK("https://klasma.github.io/Logging_0883/kartor_geotiff/A 42900-2025 georefererad karta.tif", "A 42900-2025")</f>
        <v/>
      </c>
      <c r="AA180">
        <f>HYPERLINK("https://klasma.github.io/Logging_0883/klagomål/A 42900-2025 FSC-klagomål.docx", "A 42900-2025")</f>
        <v/>
      </c>
      <c r="AB180">
        <f>HYPERLINK("https://klasma.github.io/Logging_0883/klagomålsmail/A 42900-2025 FSC-klagomål mail.docx", "A 42900-2025")</f>
        <v/>
      </c>
      <c r="AC180">
        <f>HYPERLINK("https://klasma.github.io/Logging_0883/tillsyn/A 42900-2025 tillsynsbegäran.docx", "A 42900-2025")</f>
        <v/>
      </c>
      <c r="AD180">
        <f>HYPERLINK("https://klasma.github.io/Logging_0883/tillsynsmail/A 42900-2025 tillsynsbegäran mail.docx", "A 42900-2025")</f>
        <v/>
      </c>
      <c r="AE180">
        <f>HYPERLINK("https://klasma.github.io/Logging_0883/fåglar/A 42900-2025 prioriterade fågelarter.docx", "A 42900-2025")</f>
        <v/>
      </c>
    </row>
    <row r="181" ht="15" customHeight="1">
      <c r="A181" t="inlineStr">
        <is>
          <t>A 26992-2024</t>
        </is>
      </c>
      <c r="B181" t="inlineStr">
        <is>
          <t>avverkningsanmälan</t>
        </is>
      </c>
      <c r="C181" t="inlineStr">
        <is>
          <t>Föryngringsavverkning</t>
        </is>
      </c>
      <c r="D181" s="1" t="n">
        <v>45471</v>
      </c>
      <c r="E181" s="1" t="n">
        <v>46323</v>
      </c>
      <c r="F181" t="inlineStr">
        <is>
          <t>KALMAR LÄN</t>
        </is>
      </c>
      <c r="G181" t="inlineStr">
        <is>
          <t>VÄSTERVIK</t>
        </is>
      </c>
      <c r="H181" t="inlineStr">
        <is>
          <t>Holmen skog AB</t>
        </is>
      </c>
      <c r="I181" t="n">
        <v>4.6</v>
      </c>
      <c r="J181" t="n">
        <v>6</v>
      </c>
      <c r="K181" t="n">
        <v>0</v>
      </c>
      <c r="L181" t="n">
        <v>3</v>
      </c>
      <c r="M181" t="n">
        <v>0</v>
      </c>
      <c r="N181" t="n">
        <v>0</v>
      </c>
      <c r="O181" t="n">
        <v>0</v>
      </c>
      <c r="P181" t="n">
        <v>0</v>
      </c>
      <c r="Q181" t="n">
        <v>3</v>
      </c>
      <c r="R181" t="n">
        <v>0</v>
      </c>
      <c r="S181" t="n">
        <v>8</v>
      </c>
      <c r="T181" t="n">
        <v>16</v>
      </c>
      <c r="U181" t="n">
        <v>16</v>
      </c>
      <c r="V181" s="2" t="inlineStr">
        <is>
          <t>Kandelabersvamp
Mindre hackspett
Talltita
Bergfink
Spillkråka
Stjärtmes
Timmerticka
Tofsmes</t>
        </is>
      </c>
      <c r="W181">
        <f>HYPERLINK("https://klasma.github.io/Logging_0883/artfynd/A 26992-2024 artfynd.xlsx", "A 26992-2024")</f>
        <v/>
      </c>
      <c r="X181">
        <f>HYPERLINK("https://klasma.github.io/Logging_0883/kartor/A 26992-2024 karta.png", "A 26992-2024")</f>
        <v/>
      </c>
      <c r="Y181">
        <f>HYPERLINK("https://klasma.github.io/Logging_0883/kartor_geotiff/A 26992-2024 georefererad karta.tif", "A 26992-2024")</f>
        <v/>
      </c>
      <c r="AA181">
        <f>HYPERLINK("https://klasma.github.io/Logging_0883/klagomål/A 26992-2024 FSC-klagomål.docx", "A 26992-2024")</f>
        <v/>
      </c>
      <c r="AB181">
        <f>HYPERLINK("https://klasma.github.io/Logging_0883/klagomålsmail/A 26992-2024 FSC-klagomål mail.docx", "A 26992-2024")</f>
        <v/>
      </c>
      <c r="AC181">
        <f>HYPERLINK("https://klasma.github.io/Logging_0883/tillsyn/A 26992-2024 tillsynsbegäran.docx", "A 26992-2024")</f>
        <v/>
      </c>
      <c r="AD181">
        <f>HYPERLINK("https://klasma.github.io/Logging_0883/tillsynsmail/A 26992-2024 tillsynsbegäran mail.docx", "A 26992-2024")</f>
        <v/>
      </c>
      <c r="AE181">
        <f>HYPERLINK("https://klasma.github.io/Logging_0883/fåglar/A 26992-2024 prioriterade fågelarter.docx", "A 26992-2024")</f>
        <v/>
      </c>
    </row>
    <row r="182" ht="15" customHeight="1">
      <c r="A182" t="inlineStr">
        <is>
          <t>A 15095-2024</t>
        </is>
      </c>
      <c r="B182" t="inlineStr">
        <is>
          <t>avverkningsanmälan</t>
        </is>
      </c>
      <c r="C182" t="inlineStr">
        <is>
          <t>Föryngringsavverkning</t>
        </is>
      </c>
      <c r="D182" s="1" t="n">
        <v>45399</v>
      </c>
      <c r="E182" s="1" t="n">
        <v>46323</v>
      </c>
      <c r="F182" t="inlineStr">
        <is>
          <t>KALMAR LÄN</t>
        </is>
      </c>
      <c r="G182" t="inlineStr">
        <is>
          <t>HULTSFRED</t>
        </is>
      </c>
      <c r="I182" t="n">
        <v>1.4</v>
      </c>
      <c r="J182" t="n">
        <v>6</v>
      </c>
      <c r="K182" t="n">
        <v>0</v>
      </c>
      <c r="L182" t="n">
        <v>3</v>
      </c>
      <c r="M182" t="n">
        <v>1</v>
      </c>
      <c r="N182" t="n">
        <v>0</v>
      </c>
      <c r="O182" t="n">
        <v>0</v>
      </c>
      <c r="P182" t="n">
        <v>0</v>
      </c>
      <c r="Q182" t="n">
        <v>4</v>
      </c>
      <c r="R182" t="n">
        <v>1</v>
      </c>
      <c r="S182" t="n">
        <v>8</v>
      </c>
      <c r="T182" t="n">
        <v>28</v>
      </c>
      <c r="U182" t="n">
        <v>27</v>
      </c>
      <c r="V182" s="2" t="inlineStr">
        <is>
          <t>Knärot
Kricka
Tallticka
Ullticka
Kungsfågel
Skogsduva
Vanlig groda
Revlummer</t>
        </is>
      </c>
      <c r="W182">
        <f>HYPERLINK("https://klasma.github.io/Logging_0860/artfynd/A 15095-2024 artfynd.xlsx", "A 15095-2024")</f>
        <v/>
      </c>
      <c r="X182">
        <f>HYPERLINK("https://klasma.github.io/Logging_0860/kartor/A 15095-2024 karta.png", "A 15095-2024")</f>
        <v/>
      </c>
      <c r="Y182">
        <f>HYPERLINK("https://klasma.github.io/Logging_0860/kartor_geotiff/A 15095-2024 georefererad karta.tif", "A 15095-2024")</f>
        <v/>
      </c>
      <c r="Z182">
        <f>HYPERLINK("https://klasma.github.io/Logging_0860/knärot/A 15095-2024 karta knärot.png", "A 15095-2024")</f>
        <v/>
      </c>
      <c r="AA182">
        <f>HYPERLINK("https://klasma.github.io/Logging_0860/klagomål/A 15095-2024 FSC-klagomål.docx", "A 15095-2024")</f>
        <v/>
      </c>
      <c r="AB182">
        <f>HYPERLINK("https://klasma.github.io/Logging_0860/klagomålsmail/A 15095-2024 FSC-klagomål mail.docx", "A 15095-2024")</f>
        <v/>
      </c>
      <c r="AC182">
        <f>HYPERLINK("https://klasma.github.io/Logging_0860/tillsyn/A 15095-2024 tillsynsbegäran.docx", "A 15095-2024")</f>
        <v/>
      </c>
      <c r="AD182">
        <f>HYPERLINK("https://klasma.github.io/Logging_0860/tillsynsmail/A 15095-2024 tillsynsbegäran mail.docx", "A 15095-2024")</f>
        <v/>
      </c>
      <c r="AE182">
        <f>HYPERLINK("https://klasma.github.io/Logging_0860/fåglar/A 15095-2024 prioriterade fågelarter.docx", "A 15095-2024")</f>
        <v/>
      </c>
    </row>
    <row r="183" ht="15" customHeight="1">
      <c r="A183" t="inlineStr">
        <is>
          <t>A 37640-2024</t>
        </is>
      </c>
      <c r="B183" t="inlineStr">
        <is>
          <t>avverkningsanmälan</t>
        </is>
      </c>
      <c r="C183" t="inlineStr">
        <is>
          <t>Föryngringsavverkning</t>
        </is>
      </c>
      <c r="D183" s="1" t="n">
        <v>45541</v>
      </c>
      <c r="E183" s="1" t="n">
        <v>46323</v>
      </c>
      <c r="F183" t="inlineStr">
        <is>
          <t>KALMAR LÄN</t>
        </is>
      </c>
      <c r="G183" t="inlineStr">
        <is>
          <t>HULTSFRED</t>
        </is>
      </c>
      <c r="H183" t="inlineStr">
        <is>
          <t>Övriga Aktiebolag</t>
        </is>
      </c>
      <c r="I183" t="n">
        <v>4.6</v>
      </c>
      <c r="J183" t="n">
        <v>6</v>
      </c>
      <c r="K183" t="n">
        <v>1</v>
      </c>
      <c r="L183" t="n">
        <v>2</v>
      </c>
      <c r="M183" t="n">
        <v>1</v>
      </c>
      <c r="N183" t="n">
        <v>0</v>
      </c>
      <c r="O183" t="n">
        <v>0</v>
      </c>
      <c r="P183" t="n">
        <v>0</v>
      </c>
      <c r="Q183" t="n">
        <v>3</v>
      </c>
      <c r="R183" t="n">
        <v>1</v>
      </c>
      <c r="S183" t="n">
        <v>8</v>
      </c>
      <c r="T183" t="n">
        <v>18</v>
      </c>
      <c r="U183" t="n">
        <v>10</v>
      </c>
      <c r="V183" s="2" t="inlineStr">
        <is>
          <t>Knärot
Tallticka
Talltita
Grönpyrola
Blåsippa
Spillkråka
Ärtsångare
Gullviva</t>
        </is>
      </c>
      <c r="W183">
        <f>HYPERLINK("https://klasma.github.io/Logging_0860/artfynd/A 37640-2024 artfynd.xlsx", "A 37640-2024")</f>
        <v/>
      </c>
      <c r="X183">
        <f>HYPERLINK("https://klasma.github.io/Logging_0860/kartor/A 37640-2024 karta.png", "A 37640-2024")</f>
        <v/>
      </c>
      <c r="Y183">
        <f>HYPERLINK("https://klasma.github.io/Logging_0860/kartor_geotiff/A 37640-2024 georefererad karta.tif", "A 37640-2024")</f>
        <v/>
      </c>
      <c r="Z183">
        <f>HYPERLINK("https://klasma.github.io/Logging_0860/knärot/A 37640-2024 karta knärot.png", "A 37640-2024")</f>
        <v/>
      </c>
      <c r="AA183">
        <f>HYPERLINK("https://klasma.github.io/Logging_0860/klagomål/A 37640-2024 FSC-klagomål.docx", "A 37640-2024")</f>
        <v/>
      </c>
      <c r="AB183">
        <f>HYPERLINK("https://klasma.github.io/Logging_0860/klagomålsmail/A 37640-2024 FSC-klagomål mail.docx", "A 37640-2024")</f>
        <v/>
      </c>
      <c r="AC183">
        <f>HYPERLINK("https://klasma.github.io/Logging_0860/tillsyn/A 37640-2024 tillsynsbegäran.docx", "A 37640-2024")</f>
        <v/>
      </c>
      <c r="AD183">
        <f>HYPERLINK("https://klasma.github.io/Logging_0860/tillsynsmail/A 37640-2024 tillsynsbegäran mail.docx", "A 37640-2024")</f>
        <v/>
      </c>
      <c r="AE183">
        <f>HYPERLINK("https://klasma.github.io/Logging_0860/fåglar/A 37640-2024 prioriterade fågelarter.docx", "A 37640-2024")</f>
        <v/>
      </c>
    </row>
    <row r="184" ht="15" customHeight="1">
      <c r="A184" t="inlineStr">
        <is>
          <t>A 42991-2026</t>
        </is>
      </c>
      <c r="B184" t="inlineStr">
        <is>
          <t>avverkningsanmälan</t>
        </is>
      </c>
      <c r="C184" t="inlineStr">
        <is>
          <t>Föryngringsavverkning</t>
        </is>
      </c>
      <c r="D184" s="1" t="n">
        <v>46310</v>
      </c>
      <c r="E184" s="1" t="n">
        <v>46323</v>
      </c>
      <c r="F184" t="inlineStr">
        <is>
          <t>KALMAR LÄN</t>
        </is>
      </c>
      <c r="G184" t="inlineStr">
        <is>
          <t>VIMMERBY</t>
        </is>
      </c>
      <c r="I184" t="n">
        <v>3.3</v>
      </c>
      <c r="J184" t="n">
        <v>3</v>
      </c>
      <c r="K184" t="n">
        <v>4</v>
      </c>
      <c r="L184" t="n">
        <v>2</v>
      </c>
      <c r="M184" t="n">
        <v>0</v>
      </c>
      <c r="N184" t="n">
        <v>0</v>
      </c>
      <c r="O184" t="n">
        <v>0</v>
      </c>
      <c r="P184" t="n">
        <v>0</v>
      </c>
      <c r="Q184" t="n">
        <v>2</v>
      </c>
      <c r="R184" t="n">
        <v>0</v>
      </c>
      <c r="S184" t="n">
        <v>8</v>
      </c>
      <c r="T184" t="n">
        <v>10</v>
      </c>
      <c r="U184" t="n">
        <v>0</v>
      </c>
      <c r="V184" s="2" t="inlineStr">
        <is>
          <t>Talltita
Vedskivlav
Björksplintborre
Nästrot
Stenporella
Vågbandad barkbock
Kransmossa
Gullviva</t>
        </is>
      </c>
      <c r="W184">
        <f>HYPERLINK("https://klasma.github.io/Logging_0884/artfynd/A 42991-2026 artfynd.xlsx", "A 42991-2026")</f>
        <v/>
      </c>
      <c r="X184">
        <f>HYPERLINK("https://klasma.github.io/Logging_0884/kartor/A 42991-2026 karta.png", "A 42991-2026")</f>
        <v/>
      </c>
      <c r="Y184">
        <f>HYPERLINK("https://klasma.github.io/Logging_0884/kartor_geotiff/A 42991-2026 georefererad karta.tif", "A 42991-2026")</f>
        <v/>
      </c>
      <c r="AA184">
        <f>HYPERLINK("https://klasma.github.io/Logging_0884/klagomål/A 42991-2026 FSC-klagomål.docx", "A 42991-2026")</f>
        <v/>
      </c>
      <c r="AB184">
        <f>HYPERLINK("https://klasma.github.io/Logging_0884/klagomålsmail/A 42991-2026 FSC-klagomål mail.docx", "A 42991-2026")</f>
        <v/>
      </c>
      <c r="AC184">
        <f>HYPERLINK("https://klasma.github.io/Logging_0884/tillsyn/A 42991-2026 tillsynsbegäran.docx", "A 42991-2026")</f>
        <v/>
      </c>
      <c r="AD184">
        <f>HYPERLINK("https://klasma.github.io/Logging_0884/tillsynsmail/A 42991-2026 tillsynsbegäran mail.docx", "A 42991-2026")</f>
        <v/>
      </c>
      <c r="AE184">
        <f>HYPERLINK("https://klasma.github.io/Logging_0884/fåglar/A 42991-2026 prioriterade fågelarter.docx", "A 42991-2026")</f>
        <v/>
      </c>
    </row>
    <row r="185" ht="15" customHeight="1">
      <c r="A185" t="inlineStr">
        <is>
          <t>A 29055-2026</t>
        </is>
      </c>
      <c r="B185" t="inlineStr">
        <is>
          <t>avverkningsanmälan</t>
        </is>
      </c>
      <c r="C185" t="inlineStr">
        <is>
          <t>Föryngringsavverkning</t>
        </is>
      </c>
      <c r="D185" s="1" t="n">
        <v>46199</v>
      </c>
      <c r="E185" s="1" t="n">
        <v>46323</v>
      </c>
      <c r="F185" t="inlineStr">
        <is>
          <t>KALMAR LÄN</t>
        </is>
      </c>
      <c r="G185" t="inlineStr">
        <is>
          <t>VÄSTERVIK</t>
        </is>
      </c>
      <c r="H185" t="inlineStr">
        <is>
          <t>Holmen skog AB</t>
        </is>
      </c>
      <c r="I185" t="n">
        <v>3.3</v>
      </c>
      <c r="J185" t="n">
        <v>4</v>
      </c>
      <c r="K185" t="n">
        <v>2</v>
      </c>
      <c r="L185" t="n">
        <v>4</v>
      </c>
      <c r="M185" t="n">
        <v>1</v>
      </c>
      <c r="N185" t="n">
        <v>0</v>
      </c>
      <c r="O185" t="n">
        <v>0</v>
      </c>
      <c r="P185" t="n">
        <v>0</v>
      </c>
      <c r="Q185" t="n">
        <v>5</v>
      </c>
      <c r="R185" t="n">
        <v>1</v>
      </c>
      <c r="S185" t="n">
        <v>8</v>
      </c>
      <c r="T185" t="n">
        <v>28</v>
      </c>
      <c r="U185" t="n">
        <v>25</v>
      </c>
      <c r="V185" s="2" t="inlineStr">
        <is>
          <t>Knärot
Motaggsvamp
Tallriska
Talltita
Vedskivlav
Blåmossa
Grön sköldmossa
Tjäder</t>
        </is>
      </c>
      <c r="W185">
        <f>HYPERLINK("https://klasma.github.io/Logging_0883/artfynd/A 29055-2026 artfynd.xlsx", "A 29055-2026")</f>
        <v/>
      </c>
      <c r="X185">
        <f>HYPERLINK("https://klasma.github.io/Logging_0883/kartor/A 29055-2026 karta.png", "A 29055-2026")</f>
        <v/>
      </c>
      <c r="Y185">
        <f>HYPERLINK("https://klasma.github.io/Logging_0883/kartor_geotiff/A 29055-2026 georefererad karta.tif", "A 29055-2026")</f>
        <v/>
      </c>
      <c r="Z185">
        <f>HYPERLINK("https://klasma.github.io/Logging_0883/knärot/A 29055-2026 karta knärot.png", "A 29055-2026")</f>
        <v/>
      </c>
      <c r="AA185">
        <f>HYPERLINK("https://klasma.github.io/Logging_0883/klagomål/A 29055-2026 FSC-klagomål.docx", "A 29055-2026")</f>
        <v/>
      </c>
      <c r="AB185">
        <f>HYPERLINK("https://klasma.github.io/Logging_0883/klagomålsmail/A 29055-2026 FSC-klagomål mail.docx", "A 29055-2026")</f>
        <v/>
      </c>
      <c r="AC185">
        <f>HYPERLINK("https://klasma.github.io/Logging_0883/tillsyn/A 29055-2026 tillsynsbegäran.docx", "A 29055-2026")</f>
        <v/>
      </c>
      <c r="AD185">
        <f>HYPERLINK("https://klasma.github.io/Logging_0883/tillsynsmail/A 29055-2026 tillsynsbegäran mail.docx", "A 29055-2026")</f>
        <v/>
      </c>
      <c r="AE185">
        <f>HYPERLINK("https://klasma.github.io/Logging_0883/fåglar/A 29055-2026 prioriterade fågelarter.docx", "A 29055-2026")</f>
        <v/>
      </c>
    </row>
    <row r="186" ht="15" customHeight="1">
      <c r="A186" t="inlineStr">
        <is>
          <t>A 1779-2025</t>
        </is>
      </c>
      <c r="B186" t="inlineStr">
        <is>
          <t>avverkningsanmälan</t>
        </is>
      </c>
      <c r="C186" t="inlineStr">
        <is>
          <t>Föryngringsavverkning</t>
        </is>
      </c>
      <c r="D186" s="1" t="n">
        <v>45671</v>
      </c>
      <c r="E186" s="1" t="n">
        <v>46323</v>
      </c>
      <c r="F186" t="inlineStr">
        <is>
          <t>KALMAR LÄN</t>
        </is>
      </c>
      <c r="G186" t="inlineStr">
        <is>
          <t>VÄSTERVIK</t>
        </is>
      </c>
      <c r="I186" t="n">
        <v>2.1</v>
      </c>
      <c r="J186" t="n">
        <v>4</v>
      </c>
      <c r="K186" t="n">
        <v>2</v>
      </c>
      <c r="L186" t="n">
        <v>2</v>
      </c>
      <c r="M186" t="n">
        <v>2</v>
      </c>
      <c r="N186" t="n">
        <v>0</v>
      </c>
      <c r="O186" t="n">
        <v>0</v>
      </c>
      <c r="P186" t="n">
        <v>0</v>
      </c>
      <c r="Q186" t="n">
        <v>4</v>
      </c>
      <c r="R186" t="n">
        <v>2</v>
      </c>
      <c r="S186" t="n">
        <v>8</v>
      </c>
      <c r="T186" t="n">
        <v>13</v>
      </c>
      <c r="U186" t="n">
        <v>13</v>
      </c>
      <c r="V186" s="2" t="inlineStr">
        <is>
          <t>Knärot
Ryl
Fyrflikig jordstjärna
Talltita
Bronshjon
Granbräken
Spillkråka
Kungsfågel</t>
        </is>
      </c>
      <c r="W186">
        <f>HYPERLINK("https://klasma.github.io/Logging_0883/artfynd/A 1779-2025 artfynd.xlsx", "A 1779-2025")</f>
        <v/>
      </c>
      <c r="X186">
        <f>HYPERLINK("https://klasma.github.io/Logging_0883/kartor/A 1779-2025 karta.png", "A 1779-2025")</f>
        <v/>
      </c>
      <c r="Y186">
        <f>HYPERLINK("https://klasma.github.io/Logging_0883/kartor_geotiff/A 1779-2025 georefererad karta.tif", "A 1779-2025")</f>
        <v/>
      </c>
      <c r="Z186">
        <f>HYPERLINK("https://klasma.github.io/Logging_0883/knärot/A 1779-2025 karta knärot.png", "A 1779-2025")</f>
        <v/>
      </c>
      <c r="AA186">
        <f>HYPERLINK("https://klasma.github.io/Logging_0883/klagomål/A 1779-2025 FSC-klagomål.docx", "A 1779-2025")</f>
        <v/>
      </c>
      <c r="AB186">
        <f>HYPERLINK("https://klasma.github.io/Logging_0883/klagomålsmail/A 1779-2025 FSC-klagomål mail.docx", "A 1779-2025")</f>
        <v/>
      </c>
      <c r="AC186">
        <f>HYPERLINK("https://klasma.github.io/Logging_0883/tillsyn/A 1779-2025 tillsynsbegäran.docx", "A 1779-2025")</f>
        <v/>
      </c>
      <c r="AD186">
        <f>HYPERLINK("https://klasma.github.io/Logging_0883/tillsynsmail/A 1779-2025 tillsynsbegäran mail.docx", "A 1779-2025")</f>
        <v/>
      </c>
      <c r="AE186">
        <f>HYPERLINK("https://klasma.github.io/Logging_0883/fåglar/A 1779-2025 prioriterade fågelarter.docx", "A 1779-2025")</f>
        <v/>
      </c>
    </row>
    <row r="187" ht="15" customHeight="1">
      <c r="A187" t="inlineStr">
        <is>
          <t>A 35242-2024</t>
        </is>
      </c>
      <c r="B187" t="inlineStr">
        <is>
          <t>avverkningsanmälan</t>
        </is>
      </c>
      <c r="C187" t="inlineStr">
        <is>
          <t>Föryngringsavverkning</t>
        </is>
      </c>
      <c r="D187" s="1" t="n">
        <v>45530</v>
      </c>
      <c r="E187" s="1" t="n">
        <v>46323</v>
      </c>
      <c r="F187" t="inlineStr">
        <is>
          <t>KALMAR LÄN</t>
        </is>
      </c>
      <c r="G187" t="inlineStr">
        <is>
          <t>MÖRBYLÅNGA</t>
        </is>
      </c>
      <c r="I187" t="n">
        <v>0.9</v>
      </c>
      <c r="J187" t="n">
        <v>2</v>
      </c>
      <c r="K187" t="n">
        <v>3</v>
      </c>
      <c r="L187" t="n">
        <v>0</v>
      </c>
      <c r="M187" t="n">
        <v>3</v>
      </c>
      <c r="N187" t="n">
        <v>1</v>
      </c>
      <c r="O187" t="n">
        <v>0</v>
      </c>
      <c r="P187" t="n">
        <v>0</v>
      </c>
      <c r="Q187" t="n">
        <v>4</v>
      </c>
      <c r="R187" t="n">
        <v>4</v>
      </c>
      <c r="S187" t="n">
        <v>8</v>
      </c>
      <c r="T187" t="n">
        <v>12</v>
      </c>
      <c r="U187" t="n">
        <v>6</v>
      </c>
      <c r="V187" s="2" t="inlineStr">
        <is>
          <t>Sandgeting
Liten diskröksvamp
Naveljordstjärna
Ryl
Grönpyrola
Murgröna
Skogsknipprot
Blåsippa</t>
        </is>
      </c>
      <c r="W187">
        <f>HYPERLINK("https://klasma.github.io/Logging_0840/artfynd/A 35242-2024 artfynd.xlsx", "A 35242-2024")</f>
        <v/>
      </c>
      <c r="X187">
        <f>HYPERLINK("https://klasma.github.io/Logging_0840/kartor/A 35242-2024 karta.png", "A 35242-2024")</f>
        <v/>
      </c>
      <c r="Y187">
        <f>HYPERLINK("https://klasma.github.io/Logging_0840/kartor_geotiff/A 35242-2024 georefererad karta.tif", "A 35242-2024")</f>
        <v/>
      </c>
      <c r="Z187">
        <f>HYPERLINK("https://klasma.github.io/Logging_0840/knärot/A 35242-2024 karta knärot.png", "A 35242-2024")</f>
        <v/>
      </c>
      <c r="AA187">
        <f>HYPERLINK("https://klasma.github.io/Logging_0840/klagomål/A 35242-2024 FSC-klagomål.docx", "A 35242-2024")</f>
        <v/>
      </c>
      <c r="AB187">
        <f>HYPERLINK("https://klasma.github.io/Logging_0840/klagomålsmail/A 35242-2024 FSC-klagomål mail.docx", "A 35242-2024")</f>
        <v/>
      </c>
      <c r="AC187">
        <f>HYPERLINK("https://klasma.github.io/Logging_0840/tillsyn/A 35242-2024 tillsynsbegäran.docx", "A 35242-2024")</f>
        <v/>
      </c>
      <c r="AD187">
        <f>HYPERLINK("https://klasma.github.io/Logging_0840/tillsynsmail/A 35242-2024 tillsynsbegäran mail.docx", "A 35242-2024")</f>
        <v/>
      </c>
    </row>
    <row r="188" ht="15" customHeight="1">
      <c r="A188" t="inlineStr">
        <is>
          <t>A 59198-2025</t>
        </is>
      </c>
      <c r="B188" t="inlineStr">
        <is>
          <t>avverkningsanmälan</t>
        </is>
      </c>
      <c r="C188" t="inlineStr">
        <is>
          <t>Föryngringsavverkning</t>
        </is>
      </c>
      <c r="D188" s="1" t="n">
        <v>45988</v>
      </c>
      <c r="E188" s="1" t="n">
        <v>46323</v>
      </c>
      <c r="F188" t="inlineStr">
        <is>
          <t>KALMAR LÄN</t>
        </is>
      </c>
      <c r="G188" t="inlineStr">
        <is>
          <t>VÄSTERVIK</t>
        </is>
      </c>
      <c r="H188" t="inlineStr">
        <is>
          <t>Holmen skog AB</t>
        </is>
      </c>
      <c r="I188" t="n">
        <v>0.8</v>
      </c>
      <c r="J188" t="n">
        <v>2</v>
      </c>
      <c r="K188" t="n">
        <v>5</v>
      </c>
      <c r="L188" t="n">
        <v>2</v>
      </c>
      <c r="M188" t="n">
        <v>1</v>
      </c>
      <c r="N188" t="n">
        <v>0</v>
      </c>
      <c r="O188" t="n">
        <v>0</v>
      </c>
      <c r="P188" t="n">
        <v>0</v>
      </c>
      <c r="Q188" t="n">
        <v>3</v>
      </c>
      <c r="R188" t="n">
        <v>1</v>
      </c>
      <c r="S188" t="n">
        <v>8</v>
      </c>
      <c r="T188" t="n">
        <v>10</v>
      </c>
      <c r="U188" t="n">
        <v>10</v>
      </c>
      <c r="V188" s="2" t="inlineStr">
        <is>
          <t>Knärot
Ekticka
Grönsångare
Barkticka
Blomskägglav
Fällmossa
Hasselticka
Rödbrun jordstjärna</t>
        </is>
      </c>
      <c r="W188">
        <f>HYPERLINK("https://klasma.github.io/Logging_0883/artfynd/A 59198-2025 artfynd.xlsx", "A 59198-2025")</f>
        <v/>
      </c>
      <c r="X188">
        <f>HYPERLINK("https://klasma.github.io/Logging_0883/kartor/A 59198-2025 karta.png", "A 59198-2025")</f>
        <v/>
      </c>
      <c r="Y188">
        <f>HYPERLINK("https://klasma.github.io/Logging_0883/kartor_geotiff/A 59198-2025 georefererad karta.tif", "A 59198-2025")</f>
        <v/>
      </c>
      <c r="Z188">
        <f>HYPERLINK("https://klasma.github.io/Logging_0883/knärot/A 59198-2025 karta knärot.png", "A 59198-2025")</f>
        <v/>
      </c>
      <c r="AA188">
        <f>HYPERLINK("https://klasma.github.io/Logging_0883/klagomål/A 59198-2025 FSC-klagomål.docx", "A 59198-2025")</f>
        <v/>
      </c>
      <c r="AB188">
        <f>HYPERLINK("https://klasma.github.io/Logging_0883/klagomålsmail/A 59198-2025 FSC-klagomål mail.docx", "A 59198-2025")</f>
        <v/>
      </c>
      <c r="AC188">
        <f>HYPERLINK("https://klasma.github.io/Logging_0883/tillsyn/A 59198-2025 tillsynsbegäran.docx", "A 59198-2025")</f>
        <v/>
      </c>
      <c r="AD188">
        <f>HYPERLINK("https://klasma.github.io/Logging_0883/tillsynsmail/A 59198-2025 tillsynsbegäran mail.docx", "A 59198-2025")</f>
        <v/>
      </c>
      <c r="AE188">
        <f>HYPERLINK("https://klasma.github.io/Logging_0883/fåglar/A 59198-2025 prioriterade fågelarter.docx", "A 59198-2025")</f>
        <v/>
      </c>
    </row>
    <row r="189" ht="15" customHeight="1">
      <c r="A189" t="inlineStr">
        <is>
          <t>S 2741-2022</t>
        </is>
      </c>
      <c r="B189" t="inlineStr">
        <is>
          <t>samrådsanmälan</t>
        </is>
      </c>
      <c r="C189" t="inlineStr">
        <is>
          <t>Annan skogsbruksåtgärd</t>
        </is>
      </c>
      <c r="D189" s="1" t="n">
        <v>44704</v>
      </c>
      <c r="E189" s="1" t="n">
        <v>46323</v>
      </c>
      <c r="F189" t="inlineStr">
        <is>
          <t>KALMAR LÄN</t>
        </is>
      </c>
      <c r="G189" t="inlineStr">
        <is>
          <t>BORGHOLM</t>
        </is>
      </c>
      <c r="I189" t="n">
        <v>5.2</v>
      </c>
      <c r="J189" t="n">
        <v>1</v>
      </c>
      <c r="K189" t="n">
        <v>5</v>
      </c>
      <c r="L189" t="n">
        <v>1</v>
      </c>
      <c r="M189" t="n">
        <v>0</v>
      </c>
      <c r="N189" t="n">
        <v>2</v>
      </c>
      <c r="O189" t="n">
        <v>0</v>
      </c>
      <c r="P189" t="n">
        <v>0</v>
      </c>
      <c r="Q189" t="n">
        <v>3</v>
      </c>
      <c r="R189" t="n">
        <v>2</v>
      </c>
      <c r="S189" t="n">
        <v>8</v>
      </c>
      <c r="T189" t="n">
        <v>55</v>
      </c>
      <c r="U189" t="n">
        <v>49</v>
      </c>
      <c r="V189" s="2" t="inlineStr">
        <is>
          <t>Almlav
Ask
Korskovall
Ekoxe
Slät lönnlav
Stor häxört
Underviol
Vitskivlav</t>
        </is>
      </c>
      <c r="W189">
        <f>HYPERLINK("https://klasma.github.io/Logging_0885/artfynd/S 2741-2022 artfynd.xlsx", "S 2741-2022")</f>
        <v/>
      </c>
      <c r="X189">
        <f>HYPERLINK("https://klasma.github.io/Logging_0885/kartor/S 2741-2022 karta.png", "S 2741-2022")</f>
        <v/>
      </c>
      <c r="Y189">
        <f>HYPERLINK("https://klasma.github.io/Logging_0885/kartor_geotiff/S 2741-2022 georefererad karta.tif", "S 2741-2022")</f>
        <v/>
      </c>
      <c r="AA189">
        <f>HYPERLINK("https://klasma.github.io/Logging_0885/klagomål/S 2741-2022 FSC-klagomål.docx", "S 2741-2022")</f>
        <v/>
      </c>
      <c r="AB189">
        <f>HYPERLINK("https://klasma.github.io/Logging_0885/klagomålsmail/S 2741-2022 FSC-klagomål mail.docx", "S 2741-2022")</f>
        <v/>
      </c>
      <c r="AC189">
        <f>HYPERLINK("https://klasma.github.io/Logging_0885/tillsyn/S 2741-2022 tillsynsbegäran.docx", "S 2741-2022")</f>
        <v/>
      </c>
      <c r="AD189">
        <f>HYPERLINK("https://klasma.github.io/Logging_0885/tillsynsmail/S 2741-2022 tillsynsbegäran mail.docx", "S 2741-2022")</f>
        <v/>
      </c>
    </row>
    <row r="190" ht="15" customHeight="1">
      <c r="A190" t="inlineStr">
        <is>
          <t>S 753-2022</t>
        </is>
      </c>
      <c r="B190" t="inlineStr">
        <is>
          <t>samrådsanmälan</t>
        </is>
      </c>
      <c r="C190" t="inlineStr">
        <is>
          <t>Åtgärd i nyckelbiotop</t>
        </is>
      </c>
      <c r="D190" s="1" t="n">
        <v>44600</v>
      </c>
      <c r="E190" s="1" t="n">
        <v>46323</v>
      </c>
      <c r="F190" t="inlineStr">
        <is>
          <t>KALMAR LÄN</t>
        </is>
      </c>
      <c r="G190" t="inlineStr">
        <is>
          <t>OSKARSHAMN</t>
        </is>
      </c>
      <c r="H190" t="inlineStr">
        <is>
          <t>Kommuner</t>
        </is>
      </c>
      <c r="I190" t="n">
        <v>1.3</v>
      </c>
      <c r="J190" t="n">
        <v>2</v>
      </c>
      <c r="K190" t="n">
        <v>1</v>
      </c>
      <c r="L190" t="n">
        <v>4</v>
      </c>
      <c r="M190" t="n">
        <v>0</v>
      </c>
      <c r="N190" t="n">
        <v>2</v>
      </c>
      <c r="O190" t="n">
        <v>0</v>
      </c>
      <c r="P190" t="n">
        <v>0</v>
      </c>
      <c r="Q190" t="n">
        <v>6</v>
      </c>
      <c r="R190" t="n">
        <v>2</v>
      </c>
      <c r="S190" t="n">
        <v>8</v>
      </c>
      <c r="T190" t="n">
        <v>12</v>
      </c>
      <c r="U190" t="n">
        <v>11</v>
      </c>
      <c r="V190" s="2" t="inlineStr">
        <is>
          <t>Ask
Skogsalm
Ekticka
Korallticka
Luddvicker
Oxtungssvamp
Ekoxe
Blåsippa</t>
        </is>
      </c>
      <c r="W190">
        <f>HYPERLINK("https://klasma.github.io/Logging_0882/artfynd/S 753-2022 artfynd.xlsx", "S 753-2022")</f>
        <v/>
      </c>
      <c r="X190">
        <f>HYPERLINK("https://klasma.github.io/Logging_0882/kartor/S 753-2022 karta.png", "S 753-2022")</f>
        <v/>
      </c>
      <c r="Y190">
        <f>HYPERLINK("https://klasma.github.io/Logging_0882/kartor_geotiff/S 753-2022 georefererad karta.tif", "S 753-2022")</f>
        <v/>
      </c>
      <c r="AA190">
        <f>HYPERLINK("https://klasma.github.io/Logging_0882/klagomål/S 753-2022 FSC-klagomål.docx", "S 753-2022")</f>
        <v/>
      </c>
      <c r="AB190">
        <f>HYPERLINK("https://klasma.github.io/Logging_0882/klagomålsmail/S 753-2022 FSC-klagomål mail.docx", "S 753-2022")</f>
        <v/>
      </c>
      <c r="AC190">
        <f>HYPERLINK("https://klasma.github.io/Logging_0882/tillsyn/S 753-2022 tillsynsbegäran.docx", "S 753-2022")</f>
        <v/>
      </c>
      <c r="AD190">
        <f>HYPERLINK("https://klasma.github.io/Logging_0882/tillsynsmail/S 753-2022 tillsynsbegäran mail.docx", "S 753-2022")</f>
        <v/>
      </c>
    </row>
    <row r="191" ht="15" customHeight="1">
      <c r="A191" t="inlineStr">
        <is>
          <t>S 3638-2024</t>
        </is>
      </c>
      <c r="B191" t="inlineStr">
        <is>
          <t>samrådsanmälan</t>
        </is>
      </c>
      <c r="C191" t="inlineStr">
        <is>
          <t>Annan skogsbruksåtgärd</t>
        </is>
      </c>
      <c r="D191" s="1" t="n">
        <v>45548</v>
      </c>
      <c r="E191" s="1" t="n">
        <v>46323</v>
      </c>
      <c r="F191" t="inlineStr">
        <is>
          <t>KALMAR LÄN</t>
        </is>
      </c>
      <c r="G191" t="inlineStr">
        <is>
          <t>HULTSFRED</t>
        </is>
      </c>
      <c r="H191" t="inlineStr">
        <is>
          <t>Kyrkan</t>
        </is>
      </c>
      <c r="I191" t="n">
        <v>2.2</v>
      </c>
      <c r="J191" t="n">
        <v>5</v>
      </c>
      <c r="K191" t="n">
        <v>0</v>
      </c>
      <c r="L191" t="n">
        <v>5</v>
      </c>
      <c r="M191" t="n">
        <v>0</v>
      </c>
      <c r="N191" t="n">
        <v>0</v>
      </c>
      <c r="O191" t="n">
        <v>0</v>
      </c>
      <c r="P191" t="n">
        <v>0</v>
      </c>
      <c r="Q191" t="n">
        <v>5</v>
      </c>
      <c r="R191" t="n">
        <v>0</v>
      </c>
      <c r="S191" t="n">
        <v>8</v>
      </c>
      <c r="T191" t="n">
        <v>8</v>
      </c>
      <c r="U191" t="n">
        <v>3</v>
      </c>
      <c r="V191" s="2" t="inlineStr">
        <is>
          <t>Gullklöver
Loppstarr
Mindre hackspett
Talltita
Ullticka
Mattlummer
Spillkråka
Tjäder</t>
        </is>
      </c>
      <c r="W191">
        <f>HYPERLINK("https://klasma.github.io/Logging_0860/artfynd/S 3638-2024 artfynd.xlsx", "S 3638-2024")</f>
        <v/>
      </c>
      <c r="X191">
        <f>HYPERLINK("https://klasma.github.io/Logging_0860/kartor/S 3638-2024 karta.png", "S 3638-2024")</f>
        <v/>
      </c>
      <c r="Y191">
        <f>HYPERLINK("https://klasma.github.io/Logging_0860/kartor_geotiff/S 3638-2024 georefererad karta.tif", "S 3638-2024")</f>
        <v/>
      </c>
      <c r="AA191">
        <f>HYPERLINK("https://klasma.github.io/Logging_0860/klagomål/S 3638-2024 FSC-klagomål.docx", "S 3638-2024")</f>
        <v/>
      </c>
      <c r="AB191">
        <f>HYPERLINK("https://klasma.github.io/Logging_0860/klagomålsmail/S 3638-2024 FSC-klagomål mail.docx", "S 3638-2024")</f>
        <v/>
      </c>
      <c r="AC191">
        <f>HYPERLINK("https://klasma.github.io/Logging_0860/tillsyn/S 3638-2024 tillsynsbegäran.docx", "S 3638-2024")</f>
        <v/>
      </c>
      <c r="AD191">
        <f>HYPERLINK("https://klasma.github.io/Logging_0860/tillsynsmail/S 3638-2024 tillsynsbegäran mail.docx", "S 3638-2024")</f>
        <v/>
      </c>
      <c r="AE191">
        <f>HYPERLINK("https://klasma.github.io/Logging_0860/fåglar/S 3638-2024 prioriterade fågelarter.docx", "S 3638-2024")</f>
        <v/>
      </c>
    </row>
    <row r="192" ht="15" customHeight="1">
      <c r="A192" t="inlineStr">
        <is>
          <t>S 1519-2023</t>
        </is>
      </c>
      <c r="B192" t="inlineStr">
        <is>
          <t>samrådsanmälan</t>
        </is>
      </c>
      <c r="C192" t="inlineStr">
        <is>
          <t>Annan skogsbruksåtgärd</t>
        </is>
      </c>
      <c r="D192" s="1" t="n">
        <v>45055</v>
      </c>
      <c r="E192" s="1" t="n">
        <v>46323</v>
      </c>
      <c r="F192" t="inlineStr">
        <is>
          <t>KALMAR LÄN</t>
        </is>
      </c>
      <c r="G192" t="inlineStr">
        <is>
          <t>VÄSTERVIK</t>
        </is>
      </c>
      <c r="H192" t="inlineStr">
        <is>
          <t>Kommuner</t>
        </is>
      </c>
      <c r="I192" t="n">
        <v>12.1</v>
      </c>
      <c r="J192" t="n">
        <v>3</v>
      </c>
      <c r="K192" t="n">
        <v>2</v>
      </c>
      <c r="L192" t="n">
        <v>3</v>
      </c>
      <c r="M192" t="n">
        <v>1</v>
      </c>
      <c r="N192" t="n">
        <v>1</v>
      </c>
      <c r="O192" t="n">
        <v>0</v>
      </c>
      <c r="P192" t="n">
        <v>0</v>
      </c>
      <c r="Q192" t="n">
        <v>5</v>
      </c>
      <c r="R192" t="n">
        <v>2</v>
      </c>
      <c r="S192" t="n">
        <v>8</v>
      </c>
      <c r="T192" t="n">
        <v>20</v>
      </c>
      <c r="U192" t="n">
        <v>11</v>
      </c>
      <c r="V192" s="2" t="inlineStr">
        <is>
          <t>Ask
Igelkott
Apollofjäril
Reliktbock
Tallticka
Blompraktbagge
Ekoxe
Spillkråka</t>
        </is>
      </c>
      <c r="W192">
        <f>HYPERLINK("https://klasma.github.io/Logging_0883/artfynd/S 1519-2023 artfynd.xlsx", "S 1519-2023")</f>
        <v/>
      </c>
      <c r="X192">
        <f>HYPERLINK("https://klasma.github.io/Logging_0883/kartor/S 1519-2023 karta.png", "S 1519-2023")</f>
        <v/>
      </c>
      <c r="Y192">
        <f>HYPERLINK("https://klasma.github.io/Logging_0883/kartor_geotiff/S 1519-2023 georefererad karta.tif", "S 1519-2023")</f>
        <v/>
      </c>
      <c r="AA192">
        <f>HYPERLINK("https://klasma.github.io/Logging_0883/klagomål/S 1519-2023 FSC-klagomål.docx", "S 1519-2023")</f>
        <v/>
      </c>
      <c r="AB192">
        <f>HYPERLINK("https://klasma.github.io/Logging_0883/klagomålsmail/S 1519-2023 FSC-klagomål mail.docx", "S 1519-2023")</f>
        <v/>
      </c>
      <c r="AC192">
        <f>HYPERLINK("https://klasma.github.io/Logging_0883/tillsyn/S 1519-2023 tillsynsbegäran.docx", "S 1519-2023")</f>
        <v/>
      </c>
      <c r="AD192">
        <f>HYPERLINK("https://klasma.github.io/Logging_0883/tillsynsmail/S 1519-2023 tillsynsbegäran mail.docx", "S 1519-2023")</f>
        <v/>
      </c>
      <c r="AE192">
        <f>HYPERLINK("https://klasma.github.io/Logging_0883/fåglar/S 1519-2023 prioriterade fågelarter.docx", "S 1519-2023")</f>
        <v/>
      </c>
    </row>
    <row r="193" ht="15" customHeight="1">
      <c r="A193" t="inlineStr">
        <is>
          <t>S 6437-2022</t>
        </is>
      </c>
      <c r="B193" t="inlineStr">
        <is>
          <t>samrådsanmälan</t>
        </is>
      </c>
      <c r="C193" t="inlineStr">
        <is>
          <t>Annan skogsbruksåtgärd</t>
        </is>
      </c>
      <c r="D193" s="1" t="n">
        <v>44876</v>
      </c>
      <c r="E193" s="1" t="n">
        <v>46323</v>
      </c>
      <c r="F193" t="inlineStr">
        <is>
          <t>KALMAR LÄN</t>
        </is>
      </c>
      <c r="G193" t="inlineStr">
        <is>
          <t>KALMAR</t>
        </is>
      </c>
      <c r="I193" t="n">
        <v>2.4</v>
      </c>
      <c r="J193" t="n">
        <v>1</v>
      </c>
      <c r="K193" t="n">
        <v>3</v>
      </c>
      <c r="L193" t="n">
        <v>4</v>
      </c>
      <c r="M193" t="n">
        <v>1</v>
      </c>
      <c r="N193" t="n">
        <v>0</v>
      </c>
      <c r="O193" t="n">
        <v>0</v>
      </c>
      <c r="P193" t="n">
        <v>0</v>
      </c>
      <c r="Q193" t="n">
        <v>5</v>
      </c>
      <c r="R193" t="n">
        <v>1</v>
      </c>
      <c r="S193" t="n">
        <v>8</v>
      </c>
      <c r="T193" t="n">
        <v>13</v>
      </c>
      <c r="U193" t="n">
        <v>0</v>
      </c>
      <c r="V193" s="2" t="inlineStr">
        <is>
          <t>Knärot
Dropptaggsvamp
Tallfingersvamp
Tallticka
Ullticka
Blomkålssvamp
Brandticka
Grovticka</t>
        </is>
      </c>
      <c r="W193">
        <f>HYPERLINK("https://klasma.github.io/Logging_0880/artfynd/S 6437-2022 artfynd.xlsx", "S 6437-2022")</f>
        <v/>
      </c>
      <c r="X193">
        <f>HYPERLINK("https://klasma.github.io/Logging_0880/kartor/S 6437-2022 karta.png", "S 6437-2022")</f>
        <v/>
      </c>
      <c r="Y193">
        <f>HYPERLINK("https://klasma.github.io/Logging_0880/kartor_geotiff/S 6437-2022 georefererad karta.tif", "S 6437-2022")</f>
        <v/>
      </c>
      <c r="Z193">
        <f>HYPERLINK("https://klasma.github.io/Logging_0880/knärot/S 6437-2022 karta knärot.png", "S 6437-2022")</f>
        <v/>
      </c>
      <c r="AA193">
        <f>HYPERLINK("https://klasma.github.io/Logging_0880/klagomål/S 6437-2022 FSC-klagomål.docx", "S 6437-2022")</f>
        <v/>
      </c>
      <c r="AB193">
        <f>HYPERLINK("https://klasma.github.io/Logging_0880/klagomålsmail/S 6437-2022 FSC-klagomål mail.docx", "S 6437-2022")</f>
        <v/>
      </c>
      <c r="AC193">
        <f>HYPERLINK("https://klasma.github.io/Logging_0880/tillsyn/S 6437-2022 tillsynsbegäran.docx", "S 6437-2022")</f>
        <v/>
      </c>
      <c r="AD193">
        <f>HYPERLINK("https://klasma.github.io/Logging_0880/tillsynsmail/S 6437-2022 tillsynsbegäran mail.docx", "S 6437-2022")</f>
        <v/>
      </c>
    </row>
    <row r="194" ht="15" customHeight="1">
      <c r="A194" t="inlineStr">
        <is>
          <t>S 3773-2023</t>
        </is>
      </c>
      <c r="B194" t="inlineStr">
        <is>
          <t>samrådsanmälan</t>
        </is>
      </c>
      <c r="C194" t="inlineStr">
        <is>
          <t>Annan skogsbruksåtgärd</t>
        </is>
      </c>
      <c r="D194" s="1" t="n">
        <v>45223</v>
      </c>
      <c r="E194" s="1" t="n">
        <v>46323</v>
      </c>
      <c r="F194" t="inlineStr">
        <is>
          <t>KALMAR LÄN</t>
        </is>
      </c>
      <c r="G194" t="inlineStr">
        <is>
          <t>MÖRBYLÅNGA</t>
        </is>
      </c>
      <c r="I194" t="n">
        <v>0.3</v>
      </c>
      <c r="J194" t="n">
        <v>2</v>
      </c>
      <c r="K194" t="n">
        <v>1</v>
      </c>
      <c r="L194" t="n">
        <v>3</v>
      </c>
      <c r="M194" t="n">
        <v>0</v>
      </c>
      <c r="N194" t="n">
        <v>2</v>
      </c>
      <c r="O194" t="n">
        <v>0</v>
      </c>
      <c r="P194" t="n">
        <v>0</v>
      </c>
      <c r="Q194" t="n">
        <v>5</v>
      </c>
      <c r="R194" t="n">
        <v>2</v>
      </c>
      <c r="S194" t="n">
        <v>8</v>
      </c>
      <c r="T194" t="n">
        <v>9</v>
      </c>
      <c r="U194" t="n">
        <v>9</v>
      </c>
      <c r="V194" s="2" t="inlineStr">
        <is>
          <t>Ask
Lundalm
Sårläka
Vippärt
Ängsskära
Murgröna
Blåsippa
Gullviva</t>
        </is>
      </c>
      <c r="W194">
        <f>HYPERLINK("https://klasma.github.io/Logging_0840/artfynd/S 3773-2023 artfynd.xlsx", "S 3773-2023")</f>
        <v/>
      </c>
      <c r="X194">
        <f>HYPERLINK("https://klasma.github.io/Logging_0840/kartor/S 3773-2023 karta.png", "S 3773-2023")</f>
        <v/>
      </c>
      <c r="Y194">
        <f>HYPERLINK("https://klasma.github.io/Logging_0840/kartor_geotiff/S 3773-2023 georefererad karta.tif", "S 3773-2023")</f>
        <v/>
      </c>
      <c r="AA194">
        <f>HYPERLINK("https://klasma.github.io/Logging_0840/klagomål/S 3773-2023 FSC-klagomål.docx", "S 3773-2023")</f>
        <v/>
      </c>
      <c r="AB194">
        <f>HYPERLINK("https://klasma.github.io/Logging_0840/klagomålsmail/S 3773-2023 FSC-klagomål mail.docx", "S 3773-2023")</f>
        <v/>
      </c>
      <c r="AC194">
        <f>HYPERLINK("https://klasma.github.io/Logging_0840/tillsyn/S 3773-2023 tillsynsbegäran.docx", "S 3773-2023")</f>
        <v/>
      </c>
      <c r="AD194">
        <f>HYPERLINK("https://klasma.github.io/Logging_0840/tillsynsmail/S 3773-2023 tillsynsbegäran mail.docx", "S 3773-2023")</f>
        <v/>
      </c>
    </row>
    <row r="195" ht="15" customHeight="1">
      <c r="A195" t="inlineStr">
        <is>
          <t>S 1833-2023</t>
        </is>
      </c>
      <c r="B195" t="inlineStr">
        <is>
          <t>samrådsanmälan</t>
        </is>
      </c>
      <c r="C195" t="inlineStr">
        <is>
          <t>Annan skogsbruksåtgärd</t>
        </is>
      </c>
      <c r="D195" s="1" t="n">
        <v>45075</v>
      </c>
      <c r="E195" s="1" t="n">
        <v>46323</v>
      </c>
      <c r="F195" t="inlineStr">
        <is>
          <t>KALMAR LÄN</t>
        </is>
      </c>
      <c r="G195" t="inlineStr">
        <is>
          <t>MÖRBYLÅNGA</t>
        </is>
      </c>
      <c r="I195" t="n">
        <v>0.4</v>
      </c>
      <c r="J195" t="n">
        <v>3</v>
      </c>
      <c r="K195" t="n">
        <v>2</v>
      </c>
      <c r="L195" t="n">
        <v>3</v>
      </c>
      <c r="M195" t="n">
        <v>0</v>
      </c>
      <c r="N195" t="n">
        <v>0</v>
      </c>
      <c r="O195" t="n">
        <v>0</v>
      </c>
      <c r="P195" t="n">
        <v>0</v>
      </c>
      <c r="Q195" t="n">
        <v>3</v>
      </c>
      <c r="R195" t="n">
        <v>0</v>
      </c>
      <c r="S195" t="n">
        <v>8</v>
      </c>
      <c r="T195" t="n">
        <v>11</v>
      </c>
      <c r="U195" t="n">
        <v>10</v>
      </c>
      <c r="V195" s="2" t="inlineStr">
        <is>
          <t>Sårläka
Vippärt
Ängsskära
Murgröna
Vätteros
Blåsippa
Sankt pers nycklar
Gullviva</t>
        </is>
      </c>
      <c r="W195">
        <f>HYPERLINK("https://klasma.github.io/Logging_0840/artfynd/S 1833-2023 artfynd.xlsx", "S 1833-2023")</f>
        <v/>
      </c>
      <c r="X195">
        <f>HYPERLINK("https://klasma.github.io/Logging_0840/kartor/S 1833-2023 karta.png", "S 1833-2023")</f>
        <v/>
      </c>
      <c r="Y195">
        <f>HYPERLINK("https://klasma.github.io/Logging_0840/kartor_geotiff/S 1833-2023 georefererad karta.tif", "S 1833-2023")</f>
        <v/>
      </c>
      <c r="AA195">
        <f>HYPERLINK("https://klasma.github.io/Logging_0840/klagomål/S 1833-2023 FSC-klagomål.docx", "S 1833-2023")</f>
        <v/>
      </c>
      <c r="AB195">
        <f>HYPERLINK("https://klasma.github.io/Logging_0840/klagomålsmail/S 1833-2023 FSC-klagomål mail.docx", "S 1833-2023")</f>
        <v/>
      </c>
      <c r="AC195">
        <f>HYPERLINK("https://klasma.github.io/Logging_0840/tillsyn/S 1833-2023 tillsynsbegäran.docx", "S 1833-2023")</f>
        <v/>
      </c>
      <c r="AD195">
        <f>HYPERLINK("https://klasma.github.io/Logging_0840/tillsynsmail/S 1833-2023 tillsynsbegäran mail.docx", "S 1833-2023")</f>
        <v/>
      </c>
    </row>
    <row r="196" ht="15" customHeight="1">
      <c r="A196" t="inlineStr">
        <is>
          <t>S 2381-2025</t>
        </is>
      </c>
      <c r="B196" t="inlineStr">
        <is>
          <t>samrådsanmälan</t>
        </is>
      </c>
      <c r="C196" t="inlineStr">
        <is>
          <t>Askåterföring</t>
        </is>
      </c>
      <c r="D196" s="1" t="n">
        <v>45891</v>
      </c>
      <c r="E196" s="1" t="n">
        <v>46323</v>
      </c>
      <c r="F196" t="inlineStr">
        <is>
          <t>KALMAR LÄN</t>
        </is>
      </c>
      <c r="G196" t="inlineStr">
        <is>
          <t>HULTSFRED</t>
        </is>
      </c>
      <c r="I196" t="n">
        <v>28.9</v>
      </c>
      <c r="J196" t="n">
        <v>7</v>
      </c>
      <c r="K196" t="n">
        <v>0</v>
      </c>
      <c r="L196" t="n">
        <v>2</v>
      </c>
      <c r="M196" t="n">
        <v>0</v>
      </c>
      <c r="N196" t="n">
        <v>1</v>
      </c>
      <c r="O196" t="n">
        <v>0</v>
      </c>
      <c r="P196" t="n">
        <v>0</v>
      </c>
      <c r="Q196" t="n">
        <v>3</v>
      </c>
      <c r="R196" t="n">
        <v>1</v>
      </c>
      <c r="S196" t="n">
        <v>8</v>
      </c>
      <c r="T196" t="n">
        <v>8</v>
      </c>
      <c r="U196" t="n">
        <v>0</v>
      </c>
      <c r="V196" s="2" t="inlineStr">
        <is>
          <t>Pärluggla
Järnsparv
Orange taggsvamp
Nattskärra
Tjäder
Grönsiska
Kungsfågel
Svartvit flugsnappare</t>
        </is>
      </c>
      <c r="W196">
        <f>HYPERLINK("https://klasma.github.io/Logging_0860/artfynd/S 2381-2025 artfynd.xlsx", "S 2381-2025")</f>
        <v/>
      </c>
      <c r="X196">
        <f>HYPERLINK("https://klasma.github.io/Logging_0860/kartor/S 2381-2025 karta.png", "S 2381-2025")</f>
        <v/>
      </c>
      <c r="Y196">
        <f>HYPERLINK("https://klasma.github.io/Logging_0860/kartor_geotiff/S 2381-2025 georefererad karta.tif", "S 2381-2025")</f>
        <v/>
      </c>
      <c r="AA196">
        <f>HYPERLINK("https://klasma.github.io/Logging_0860/klagomål/S 2381-2025 FSC-klagomål.docx", "S 2381-2025")</f>
        <v/>
      </c>
      <c r="AB196">
        <f>HYPERLINK("https://klasma.github.io/Logging_0860/klagomålsmail/S 2381-2025 FSC-klagomål mail.docx", "S 2381-2025")</f>
        <v/>
      </c>
      <c r="AC196">
        <f>HYPERLINK("https://klasma.github.io/Logging_0860/tillsyn/S 2381-2025 tillsynsbegäran.docx", "S 2381-2025")</f>
        <v/>
      </c>
      <c r="AD196">
        <f>HYPERLINK("https://klasma.github.io/Logging_0860/tillsynsmail/S 2381-2025 tillsynsbegäran mail.docx", "S 2381-2025")</f>
        <v/>
      </c>
      <c r="AE196">
        <f>HYPERLINK("https://klasma.github.io/Logging_0860/fåglar/S 2381-2025 prioriterade fågelarter.docx", "S 2381-2025")</f>
        <v/>
      </c>
    </row>
    <row r="197" ht="15" customHeight="1">
      <c r="A197" t="inlineStr">
        <is>
          <t>S 3522-2025</t>
        </is>
      </c>
      <c r="B197" t="inlineStr">
        <is>
          <t>samrådsanmälan</t>
        </is>
      </c>
      <c r="C197" t="inlineStr">
        <is>
          <t>Annan skogsbruksåtgärd</t>
        </is>
      </c>
      <c r="D197" s="1" t="n">
        <v>46008</v>
      </c>
      <c r="E197" s="1" t="n">
        <v>46323</v>
      </c>
      <c r="F197" t="inlineStr">
        <is>
          <t>KALMAR LÄN</t>
        </is>
      </c>
      <c r="G197" t="inlineStr">
        <is>
          <t>MÖNSTERÅS</t>
        </is>
      </c>
      <c r="I197" t="n">
        <v>2.4</v>
      </c>
      <c r="J197" t="n">
        <v>0</v>
      </c>
      <c r="K197" t="n">
        <v>3</v>
      </c>
      <c r="L197" t="n">
        <v>4</v>
      </c>
      <c r="M197" t="n">
        <v>1</v>
      </c>
      <c r="N197" t="n">
        <v>0</v>
      </c>
      <c r="O197" t="n">
        <v>0</v>
      </c>
      <c r="P197" t="n">
        <v>0</v>
      </c>
      <c r="Q197" t="n">
        <v>5</v>
      </c>
      <c r="R197" t="n">
        <v>1</v>
      </c>
      <c r="S197" t="n">
        <v>8</v>
      </c>
      <c r="T197" t="n">
        <v>9</v>
      </c>
      <c r="U197" t="n">
        <v>0</v>
      </c>
      <c r="V197" s="2" t="inlineStr">
        <is>
          <t>Notolaemus unifasciatus
Ekmulmbagge
Ekticka
Hjälmbrosklav
Manda mandibularis
Gulnål
Sotlav
Tvåfläckig praktbagge</t>
        </is>
      </c>
      <c r="W197">
        <f>HYPERLINK("https://klasma.github.io/Logging_0861/artfynd/S 3522-2025 artfynd.xlsx", "S 3522-2025")</f>
        <v/>
      </c>
      <c r="X197">
        <f>HYPERLINK("https://klasma.github.io/Logging_0861/kartor/S 3522-2025 karta.png", "S 3522-2025")</f>
        <v/>
      </c>
      <c r="Y197">
        <f>HYPERLINK("https://klasma.github.io/Logging_0861/kartor_geotiff/S 3522-2025 georefererad karta.tif", "S 3522-2025")</f>
        <v/>
      </c>
      <c r="AA197">
        <f>HYPERLINK("https://klasma.github.io/Logging_0861/klagomål/S 3522-2025 FSC-klagomål.docx", "S 3522-2025")</f>
        <v/>
      </c>
      <c r="AB197">
        <f>HYPERLINK("https://klasma.github.io/Logging_0861/klagomålsmail/S 3522-2025 FSC-klagomål mail.docx", "S 3522-2025")</f>
        <v/>
      </c>
      <c r="AC197">
        <f>HYPERLINK("https://klasma.github.io/Logging_0861/tillsyn/S 3522-2025 tillsynsbegäran.docx", "S 3522-2025")</f>
        <v/>
      </c>
      <c r="AD197">
        <f>HYPERLINK("https://klasma.github.io/Logging_0861/tillsynsmail/S 3522-2025 tillsynsbegäran mail.docx", "S 3522-2025")</f>
        <v/>
      </c>
    </row>
    <row r="198" ht="15" customHeight="1">
      <c r="A198" t="inlineStr">
        <is>
          <t>S 1387-2026</t>
        </is>
      </c>
      <c r="B198" t="inlineStr">
        <is>
          <t>samrådsanmälan</t>
        </is>
      </c>
      <c r="C198" t="inlineStr">
        <is>
          <t>Askåterföring</t>
        </is>
      </c>
      <c r="D198" s="1" t="n">
        <v>46154</v>
      </c>
      <c r="E198" s="1" t="n">
        <v>46323</v>
      </c>
      <c r="F198" t="inlineStr">
        <is>
          <t>KALMAR LÄN</t>
        </is>
      </c>
      <c r="G198" t="inlineStr">
        <is>
          <t>VÄSTERVIK</t>
        </is>
      </c>
      <c r="I198" t="n">
        <v>36.7</v>
      </c>
      <c r="J198" t="n">
        <v>4</v>
      </c>
      <c r="K198" t="n">
        <v>2</v>
      </c>
      <c r="L198" t="n">
        <v>3</v>
      </c>
      <c r="M198" t="n">
        <v>2</v>
      </c>
      <c r="N198" t="n">
        <v>1</v>
      </c>
      <c r="O198" t="n">
        <v>0</v>
      </c>
      <c r="P198" t="n">
        <v>0</v>
      </c>
      <c r="Q198" t="n">
        <v>6</v>
      </c>
      <c r="R198" t="n">
        <v>3</v>
      </c>
      <c r="S198" t="n">
        <v>8</v>
      </c>
      <c r="T198" t="n">
        <v>28</v>
      </c>
      <c r="U198" t="n">
        <v>0</v>
      </c>
      <c r="V198" s="2" t="inlineStr">
        <is>
          <t>Mosippa
Knärot
Sorgfibbla
Jungfrulin
Sparvuggla
Svedjenäva
Dvärghäxört
Purpurknipprot</t>
        </is>
      </c>
      <c r="W198">
        <f>HYPERLINK("https://klasma.github.io/Logging_0883/artfynd/S 1387-2026 artfynd.xlsx", "S 1387-2026")</f>
        <v/>
      </c>
      <c r="X198">
        <f>HYPERLINK("https://klasma.github.io/Logging_0883/kartor/S 1387-2026 karta.png", "S 1387-2026")</f>
        <v/>
      </c>
      <c r="Y198">
        <f>HYPERLINK("https://klasma.github.io/Logging_0883/kartor_geotiff/S 1387-2026 georefererad karta.tif", "S 1387-2026")</f>
        <v/>
      </c>
      <c r="Z198">
        <f>HYPERLINK("https://klasma.github.io/Logging_0883/knärot/S 1387-2026 karta knärot.png", "S 1387-2026")</f>
        <v/>
      </c>
      <c r="AA198">
        <f>HYPERLINK("https://klasma.github.io/Logging_0883/klagomål/S 1387-2026 FSC-klagomål.docx", "S 1387-2026")</f>
        <v/>
      </c>
      <c r="AB198">
        <f>HYPERLINK("https://klasma.github.io/Logging_0883/klagomålsmail/S 1387-2026 FSC-klagomål mail.docx", "S 1387-2026")</f>
        <v/>
      </c>
      <c r="AC198">
        <f>HYPERLINK("https://klasma.github.io/Logging_0883/tillsyn/S 1387-2026 tillsynsbegäran.docx", "S 1387-2026")</f>
        <v/>
      </c>
      <c r="AD198">
        <f>HYPERLINK("https://klasma.github.io/Logging_0883/tillsynsmail/S 1387-2026 tillsynsbegäran mail.docx", "S 1387-2026")</f>
        <v/>
      </c>
      <c r="AE198">
        <f>HYPERLINK("https://klasma.github.io/Logging_0883/fåglar/S 1387-2026 prioriterade fågelarter.docx", "S 1387-2026")</f>
        <v/>
      </c>
    </row>
    <row r="199" ht="15" customHeight="1">
      <c r="A199" t="inlineStr">
        <is>
          <t>S 2057-2026</t>
        </is>
      </c>
      <c r="B199" t="inlineStr">
        <is>
          <t>samrådsanmälan</t>
        </is>
      </c>
      <c r="C199" t="inlineStr">
        <is>
          <t>Annan skogsbruksåtgärd</t>
        </is>
      </c>
      <c r="D199" s="1" t="n">
        <v>46223</v>
      </c>
      <c r="E199" s="1" t="n">
        <v>46323</v>
      </c>
      <c r="F199" t="inlineStr">
        <is>
          <t>KALMAR LÄN</t>
        </is>
      </c>
      <c r="G199" t="inlineStr">
        <is>
          <t>BORGHOLM</t>
        </is>
      </c>
      <c r="H199" t="inlineStr">
        <is>
          <t>Sveaskog</t>
        </is>
      </c>
      <c r="I199" t="n">
        <v>0.8</v>
      </c>
      <c r="J199" t="n">
        <v>3</v>
      </c>
      <c r="K199" t="n">
        <v>3</v>
      </c>
      <c r="L199" t="n">
        <v>3</v>
      </c>
      <c r="M199" t="n">
        <v>0</v>
      </c>
      <c r="N199" t="n">
        <v>0</v>
      </c>
      <c r="O199" t="n">
        <v>0</v>
      </c>
      <c r="P199" t="n">
        <v>0</v>
      </c>
      <c r="Q199" t="n">
        <v>3</v>
      </c>
      <c r="R199" t="n">
        <v>0</v>
      </c>
      <c r="S199" t="n">
        <v>8</v>
      </c>
      <c r="T199" t="n">
        <v>11</v>
      </c>
      <c r="U199" t="n">
        <v>1</v>
      </c>
      <c r="V199" s="2" t="inlineStr">
        <is>
          <t>Blå slemspindling
Sårläka
Vårärt
Anisspindling
Skogsknipprot
Strävlosta
Blåsippa
Grönvit nattviol</t>
        </is>
      </c>
      <c r="W199">
        <f>HYPERLINK("https://klasma.github.io/Logging_0885/artfynd/S 2057-2026 artfynd.xlsx", "S 2057-2026")</f>
        <v/>
      </c>
      <c r="X199">
        <f>HYPERLINK("https://klasma.github.io/Logging_0885/kartor/S 2057-2026 karta.png", "S 2057-2026")</f>
        <v/>
      </c>
      <c r="Y199">
        <f>HYPERLINK("https://klasma.github.io/Logging_0885/kartor_geotiff/S 2057-2026 georefererad karta.tif", "S 2057-2026")</f>
        <v/>
      </c>
      <c r="AA199">
        <f>HYPERLINK("https://klasma.github.io/Logging_0885/klagomål/S 2057-2026 FSC-klagomål.docx", "S 2057-2026")</f>
        <v/>
      </c>
      <c r="AB199">
        <f>HYPERLINK("https://klasma.github.io/Logging_0885/klagomålsmail/S 2057-2026 FSC-klagomål mail.docx", "S 2057-2026")</f>
        <v/>
      </c>
      <c r="AC199">
        <f>HYPERLINK("https://klasma.github.io/Logging_0885/tillsyn/S 2057-2026 tillsynsbegäran.docx", "S 2057-2026")</f>
        <v/>
      </c>
      <c r="AD199">
        <f>HYPERLINK("https://klasma.github.io/Logging_0885/tillsynsmail/S 2057-2026 tillsynsbegäran mail.docx", "S 2057-2026")</f>
        <v/>
      </c>
    </row>
    <row r="200" ht="15" customHeight="1">
      <c r="A200" t="inlineStr">
        <is>
          <t>S 2058-2026</t>
        </is>
      </c>
      <c r="B200" t="inlineStr">
        <is>
          <t>samrådsanmälan</t>
        </is>
      </c>
      <c r="C200" t="inlineStr">
        <is>
          <t>Annan skogsbruksåtgärd</t>
        </is>
      </c>
      <c r="D200" s="1" t="n">
        <v>46223</v>
      </c>
      <c r="E200" s="1" t="n">
        <v>46323</v>
      </c>
      <c r="F200" t="inlineStr">
        <is>
          <t>KALMAR LÄN</t>
        </is>
      </c>
      <c r="G200" t="inlineStr">
        <is>
          <t>BORGHOLM</t>
        </is>
      </c>
      <c r="H200" t="inlineStr">
        <is>
          <t>Sveaskog</t>
        </is>
      </c>
      <c r="I200" t="n">
        <v>0.8</v>
      </c>
      <c r="J200" t="n">
        <v>3</v>
      </c>
      <c r="K200" t="n">
        <v>3</v>
      </c>
      <c r="L200" t="n">
        <v>3</v>
      </c>
      <c r="M200" t="n">
        <v>0</v>
      </c>
      <c r="N200" t="n">
        <v>0</v>
      </c>
      <c r="O200" t="n">
        <v>0</v>
      </c>
      <c r="P200" t="n">
        <v>0</v>
      </c>
      <c r="Q200" t="n">
        <v>3</v>
      </c>
      <c r="R200" t="n">
        <v>0</v>
      </c>
      <c r="S200" t="n">
        <v>8</v>
      </c>
      <c r="T200" t="n">
        <v>11</v>
      </c>
      <c r="U200" t="n">
        <v>1</v>
      </c>
      <c r="V200" s="2" t="inlineStr">
        <is>
          <t>Blå slemspindling
Sårläka
Vårärt
Anisspindling
Skogsknipprot
Strävlosta
Blåsippa
Grönvit nattviol</t>
        </is>
      </c>
      <c r="W200">
        <f>HYPERLINK("https://klasma.github.io/Logging_0885/artfynd/S 2058-2026 artfynd.xlsx", "S 2058-2026")</f>
        <v/>
      </c>
      <c r="X200">
        <f>HYPERLINK("https://klasma.github.io/Logging_0885/kartor/S 2058-2026 karta.png", "S 2058-2026")</f>
        <v/>
      </c>
      <c r="Y200">
        <f>HYPERLINK("https://klasma.github.io/Logging_0885/kartor_geotiff/S 2058-2026 georefererad karta.tif", "S 2058-2026")</f>
        <v/>
      </c>
      <c r="AA200">
        <f>HYPERLINK("https://klasma.github.io/Logging_0885/klagomål/S 2058-2026 FSC-klagomål.docx", "S 2058-2026")</f>
        <v/>
      </c>
      <c r="AB200">
        <f>HYPERLINK("https://klasma.github.io/Logging_0885/klagomålsmail/S 2058-2026 FSC-klagomål mail.docx", "S 2058-2026")</f>
        <v/>
      </c>
      <c r="AC200">
        <f>HYPERLINK("https://klasma.github.io/Logging_0885/tillsyn/S 2058-2026 tillsynsbegäran.docx", "S 2058-2026")</f>
        <v/>
      </c>
      <c r="AD200">
        <f>HYPERLINK("https://klasma.github.io/Logging_0885/tillsynsmail/S 2058-2026 tillsynsbegäran mail.docx", "S 2058-2026")</f>
        <v/>
      </c>
    </row>
    <row r="201" ht="15" customHeight="1">
      <c r="A201" t="inlineStr">
        <is>
          <t>A 50746-2022</t>
        </is>
      </c>
      <c r="B201" t="inlineStr">
        <is>
          <t>avverkningsanmälan</t>
        </is>
      </c>
      <c r="C201" t="inlineStr">
        <is>
          <t>Avverkning för att bevara och utveckla /försöksver</t>
        </is>
      </c>
      <c r="D201" s="1" t="n">
        <v>44867</v>
      </c>
      <c r="E201" s="1" t="n">
        <v>46323</v>
      </c>
      <c r="F201" t="inlineStr">
        <is>
          <t>KALMAR LÄN</t>
        </is>
      </c>
      <c r="G201" t="inlineStr">
        <is>
          <t>HÖGSBY</t>
        </is>
      </c>
      <c r="H201" t="inlineStr">
        <is>
          <t>Sveaskog</t>
        </is>
      </c>
      <c r="I201" t="n">
        <v>5.4</v>
      </c>
      <c r="J201" t="n">
        <v>7</v>
      </c>
      <c r="K201" t="n">
        <v>0</v>
      </c>
      <c r="L201" t="n">
        <v>3</v>
      </c>
      <c r="M201" t="n">
        <v>0</v>
      </c>
      <c r="N201" t="n">
        <v>0</v>
      </c>
      <c r="O201" t="n">
        <v>0</v>
      </c>
      <c r="P201" t="n">
        <v>0</v>
      </c>
      <c r="Q201" t="n">
        <v>3</v>
      </c>
      <c r="R201" t="n">
        <v>0</v>
      </c>
      <c r="S201" t="n">
        <v>7</v>
      </c>
      <c r="T201" t="n">
        <v>13</v>
      </c>
      <c r="U201" t="n">
        <v>13</v>
      </c>
      <c r="V201" s="2" t="inlineStr">
        <is>
          <t>Mindre hackspett
Sädesärla
Talltita
Blåsippa
Skogsduva
Svartvit flugsnappare
Ärtsångare</t>
        </is>
      </c>
      <c r="W201">
        <f>HYPERLINK("https://klasma.github.io/Logging_0821/artfynd/A 50746-2022 artfynd.xlsx", "A 50746-2022")</f>
        <v/>
      </c>
      <c r="X201">
        <f>HYPERLINK("https://klasma.github.io/Logging_0821/kartor/A 50746-2022 karta.png", "A 50746-2022")</f>
        <v/>
      </c>
      <c r="Y201">
        <f>HYPERLINK("https://klasma.github.io/Logging_0821/kartor_geotiff/A 50746-2022 georefererad karta.tif", "A 50746-2022")</f>
        <v/>
      </c>
      <c r="AA201">
        <f>HYPERLINK("https://klasma.github.io/Logging_0821/klagomål/A 50746-2022 FSC-klagomål.docx", "A 50746-2022")</f>
        <v/>
      </c>
      <c r="AB201">
        <f>HYPERLINK("https://klasma.github.io/Logging_0821/klagomålsmail/A 50746-2022 FSC-klagomål mail.docx", "A 50746-2022")</f>
        <v/>
      </c>
      <c r="AC201">
        <f>HYPERLINK("https://klasma.github.io/Logging_0821/tillsyn/A 50746-2022 tillsynsbegäran.docx", "A 50746-2022")</f>
        <v/>
      </c>
      <c r="AD201">
        <f>HYPERLINK("https://klasma.github.io/Logging_0821/tillsynsmail/A 50746-2022 tillsynsbegäran mail.docx", "A 50746-2022")</f>
        <v/>
      </c>
      <c r="AE201">
        <f>HYPERLINK("https://klasma.github.io/Logging_0821/fåglar/A 50746-2022 prioriterade fågelarter.docx", "A 50746-2022")</f>
        <v/>
      </c>
    </row>
    <row r="202" ht="15" customHeight="1">
      <c r="A202" t="inlineStr">
        <is>
          <t>A 12796-2024</t>
        </is>
      </c>
      <c r="B202" t="inlineStr">
        <is>
          <t>avverkningsanmälan</t>
        </is>
      </c>
      <c r="C202" t="inlineStr">
        <is>
          <t>Föryngringsavverkning</t>
        </is>
      </c>
      <c r="D202" s="1" t="n">
        <v>45384</v>
      </c>
      <c r="E202" s="1" t="n">
        <v>46323</v>
      </c>
      <c r="F202" t="inlineStr">
        <is>
          <t>KALMAR LÄN</t>
        </is>
      </c>
      <c r="G202" t="inlineStr">
        <is>
          <t>OSKARSHAMN</t>
        </is>
      </c>
      <c r="I202" t="n">
        <v>14.9</v>
      </c>
      <c r="J202" t="n">
        <v>3</v>
      </c>
      <c r="K202" t="n">
        <v>2</v>
      </c>
      <c r="L202" t="n">
        <v>3</v>
      </c>
      <c r="M202" t="n">
        <v>1</v>
      </c>
      <c r="N202" t="n">
        <v>0</v>
      </c>
      <c r="O202" t="n">
        <v>0</v>
      </c>
      <c r="P202" t="n">
        <v>0</v>
      </c>
      <c r="Q202" t="n">
        <v>4</v>
      </c>
      <c r="R202" t="n">
        <v>1</v>
      </c>
      <c r="S202" t="n">
        <v>7</v>
      </c>
      <c r="T202" t="n">
        <v>12</v>
      </c>
      <c r="U202" t="n">
        <v>12</v>
      </c>
      <c r="V202" s="2" t="inlineStr">
        <is>
          <t>Knärot
Motaggsvamp
Tallticka
Talltita
Blåmossa
Grönpyrola
Spillkråka</t>
        </is>
      </c>
      <c r="W202">
        <f>HYPERLINK("https://klasma.github.io/Logging_0882/artfynd/A 12796-2024 artfynd.xlsx", "A 12796-2024")</f>
        <v/>
      </c>
      <c r="X202">
        <f>HYPERLINK("https://klasma.github.io/Logging_0882/kartor/A 12796-2024 karta.png", "A 12796-2024")</f>
        <v/>
      </c>
      <c r="Y202">
        <f>HYPERLINK("https://klasma.github.io/Logging_0882/kartor_geotiff/A 12796-2024 georefererad karta.tif", "A 12796-2024")</f>
        <v/>
      </c>
      <c r="Z202">
        <f>HYPERLINK("https://klasma.github.io/Logging_0882/knärot/A 12796-2024 karta knärot.png", "A 12796-2024")</f>
        <v/>
      </c>
      <c r="AA202">
        <f>HYPERLINK("https://klasma.github.io/Logging_0882/klagomål/A 12796-2024 FSC-klagomål.docx", "A 12796-2024")</f>
        <v/>
      </c>
      <c r="AB202">
        <f>HYPERLINK("https://klasma.github.io/Logging_0882/klagomålsmail/A 12796-2024 FSC-klagomål mail.docx", "A 12796-2024")</f>
        <v/>
      </c>
      <c r="AC202">
        <f>HYPERLINK("https://klasma.github.io/Logging_0882/tillsyn/A 12796-2024 tillsynsbegäran.docx", "A 12796-2024")</f>
        <v/>
      </c>
      <c r="AD202">
        <f>HYPERLINK("https://klasma.github.io/Logging_0882/tillsynsmail/A 12796-2024 tillsynsbegäran mail.docx", "A 12796-2024")</f>
        <v/>
      </c>
      <c r="AE202">
        <f>HYPERLINK("https://klasma.github.io/Logging_0882/fåglar/A 12796-2024 prioriterade fågelarter.docx", "A 12796-2024")</f>
        <v/>
      </c>
    </row>
    <row r="203" ht="15" customHeight="1">
      <c r="A203" t="inlineStr">
        <is>
          <t>A 51923-2022</t>
        </is>
      </c>
      <c r="B203" t="inlineStr">
        <is>
          <t>avverkningsanmälan</t>
        </is>
      </c>
      <c r="C203" t="inlineStr">
        <is>
          <t>Avverkning för att bevara och utveckla /försöksver</t>
        </is>
      </c>
      <c r="D203" s="1" t="n">
        <v>44868</v>
      </c>
      <c r="E203" s="1" t="n">
        <v>46323</v>
      </c>
      <c r="F203" t="inlineStr">
        <is>
          <t>KALMAR LÄN</t>
        </is>
      </c>
      <c r="G203" t="inlineStr">
        <is>
          <t>VÄSTERVIK</t>
        </is>
      </c>
      <c r="I203" t="n">
        <v>6.5</v>
      </c>
      <c r="J203" t="n">
        <v>3</v>
      </c>
      <c r="K203" t="n">
        <v>3</v>
      </c>
      <c r="L203" t="n">
        <v>2</v>
      </c>
      <c r="M203" t="n">
        <v>0</v>
      </c>
      <c r="N203" t="n">
        <v>0</v>
      </c>
      <c r="O203" t="n">
        <v>0</v>
      </c>
      <c r="P203" t="n">
        <v>0</v>
      </c>
      <c r="Q203" t="n">
        <v>2</v>
      </c>
      <c r="R203" t="n">
        <v>0</v>
      </c>
      <c r="S203" t="n">
        <v>7</v>
      </c>
      <c r="T203" t="n">
        <v>12</v>
      </c>
      <c r="U203" t="n">
        <v>12</v>
      </c>
      <c r="V203" s="2" t="inlineStr">
        <is>
          <t>Apollofjäril
Kandelabersvamp
Hasselticka
Svart trolldruva
Vätteros
Blåsippa
Gröngöling</t>
        </is>
      </c>
      <c r="W203">
        <f>HYPERLINK("https://klasma.github.io/Logging_0883/artfynd/A 51923-2022 artfynd.xlsx", "A 51923-2022")</f>
        <v/>
      </c>
      <c r="X203">
        <f>HYPERLINK("https://klasma.github.io/Logging_0883/kartor/A 51923-2022 karta.png", "A 51923-2022")</f>
        <v/>
      </c>
      <c r="Y203">
        <f>HYPERLINK("https://klasma.github.io/Logging_0883/kartor_geotiff/A 51923-2022 georefererad karta.tif", "A 51923-2022")</f>
        <v/>
      </c>
      <c r="AA203">
        <f>HYPERLINK("https://klasma.github.io/Logging_0883/klagomål/A 51923-2022 FSC-klagomål.docx", "A 51923-2022")</f>
        <v/>
      </c>
      <c r="AB203">
        <f>HYPERLINK("https://klasma.github.io/Logging_0883/klagomålsmail/A 51923-2022 FSC-klagomål mail.docx", "A 51923-2022")</f>
        <v/>
      </c>
      <c r="AC203">
        <f>HYPERLINK("https://klasma.github.io/Logging_0883/tillsyn/A 51923-2022 tillsynsbegäran.docx", "A 51923-2022")</f>
        <v/>
      </c>
      <c r="AD203">
        <f>HYPERLINK("https://klasma.github.io/Logging_0883/tillsynsmail/A 51923-2022 tillsynsbegäran mail.docx", "A 51923-2022")</f>
        <v/>
      </c>
    </row>
    <row r="204" ht="15" customHeight="1">
      <c r="A204" t="inlineStr">
        <is>
          <t>A 45167-2024</t>
        </is>
      </c>
      <c r="B204" t="inlineStr">
        <is>
          <t>avverkningsanmälan</t>
        </is>
      </c>
      <c r="C204" t="inlineStr">
        <is>
          <t>Föryngringsavverkning</t>
        </is>
      </c>
      <c r="D204" s="1" t="n">
        <v>45575</v>
      </c>
      <c r="E204" s="1" t="n">
        <v>46323</v>
      </c>
      <c r="F204" t="inlineStr">
        <is>
          <t>KALMAR LÄN</t>
        </is>
      </c>
      <c r="G204" t="inlineStr">
        <is>
          <t>HULTSFRED</t>
        </is>
      </c>
      <c r="I204" t="n">
        <v>0.8</v>
      </c>
      <c r="J204" t="n">
        <v>2</v>
      </c>
      <c r="K204" t="n">
        <v>1</v>
      </c>
      <c r="L204" t="n">
        <v>4</v>
      </c>
      <c r="M204" t="n">
        <v>1</v>
      </c>
      <c r="N204" t="n">
        <v>1</v>
      </c>
      <c r="O204" t="n">
        <v>0</v>
      </c>
      <c r="P204" t="n">
        <v>0</v>
      </c>
      <c r="Q204" t="n">
        <v>6</v>
      </c>
      <c r="R204" t="n">
        <v>2</v>
      </c>
      <c r="S204" t="n">
        <v>7</v>
      </c>
      <c r="T204" t="n">
        <v>10</v>
      </c>
      <c r="U204" t="n">
        <v>5</v>
      </c>
      <c r="V204" s="2" t="inlineStr">
        <is>
          <t>Karelsk maskros
Backsippa
Grönsångare
Persiljespindling
Slåtterfibbla
Tallticka
Dvärgkällmossa</t>
        </is>
      </c>
      <c r="W204">
        <f>HYPERLINK("https://klasma.github.io/Logging_0860/artfynd/A 45167-2024 artfynd.xlsx", "A 45167-2024")</f>
        <v/>
      </c>
      <c r="X204">
        <f>HYPERLINK("https://klasma.github.io/Logging_0860/kartor/A 45167-2024 karta.png", "A 45167-2024")</f>
        <v/>
      </c>
      <c r="Y204">
        <f>HYPERLINK("https://klasma.github.io/Logging_0860/kartor_geotiff/A 45167-2024 georefererad karta.tif", "A 45167-2024")</f>
        <v/>
      </c>
      <c r="AA204">
        <f>HYPERLINK("https://klasma.github.io/Logging_0860/klagomål/A 45167-2024 FSC-klagomål.docx", "A 45167-2024")</f>
        <v/>
      </c>
      <c r="AB204">
        <f>HYPERLINK("https://klasma.github.io/Logging_0860/klagomålsmail/A 45167-2024 FSC-klagomål mail.docx", "A 45167-2024")</f>
        <v/>
      </c>
      <c r="AC204">
        <f>HYPERLINK("https://klasma.github.io/Logging_0860/tillsyn/A 45167-2024 tillsynsbegäran.docx", "A 45167-2024")</f>
        <v/>
      </c>
      <c r="AD204">
        <f>HYPERLINK("https://klasma.github.io/Logging_0860/tillsynsmail/A 45167-2024 tillsynsbegäran mail.docx", "A 45167-2024")</f>
        <v/>
      </c>
      <c r="AE204">
        <f>HYPERLINK("https://klasma.github.io/Logging_0860/fåglar/A 45167-2024 prioriterade fågelarter.docx", "A 45167-2024")</f>
        <v/>
      </c>
    </row>
    <row r="205" ht="15" customHeight="1">
      <c r="A205" t="inlineStr">
        <is>
          <t>A 610-2025</t>
        </is>
      </c>
      <c r="B205" t="inlineStr">
        <is>
          <t>avverkningsanmälan</t>
        </is>
      </c>
      <c r="C205" t="inlineStr">
        <is>
          <t>Föryngringsavverkning</t>
        </is>
      </c>
      <c r="D205" s="1" t="n">
        <v>45664</v>
      </c>
      <c r="E205" s="1" t="n">
        <v>46323</v>
      </c>
      <c r="F205" t="inlineStr">
        <is>
          <t>KALMAR LÄN</t>
        </is>
      </c>
      <c r="G205" t="inlineStr">
        <is>
          <t>KALMAR</t>
        </is>
      </c>
      <c r="I205" t="n">
        <v>5.3</v>
      </c>
      <c r="J205" t="n">
        <v>3</v>
      </c>
      <c r="K205" t="n">
        <v>3</v>
      </c>
      <c r="L205" t="n">
        <v>2</v>
      </c>
      <c r="M205" t="n">
        <v>1</v>
      </c>
      <c r="N205" t="n">
        <v>0</v>
      </c>
      <c r="O205" t="n">
        <v>0</v>
      </c>
      <c r="P205" t="n">
        <v>0</v>
      </c>
      <c r="Q205" t="n">
        <v>3</v>
      </c>
      <c r="R205" t="n">
        <v>1</v>
      </c>
      <c r="S205" t="n">
        <v>7</v>
      </c>
      <c r="T205" t="n">
        <v>24</v>
      </c>
      <c r="U205" t="n">
        <v>0</v>
      </c>
      <c r="V205" s="2" t="inlineStr">
        <is>
          <t>Knärot
Talltita
Ullticka
Blomkålssvamp
Blåmossa
Vedticka
Spillkråka</t>
        </is>
      </c>
      <c r="W205">
        <f>HYPERLINK("https://klasma.github.io/Logging_0880/artfynd/A 610-2025 artfynd.xlsx", "A 610-2025")</f>
        <v/>
      </c>
      <c r="X205">
        <f>HYPERLINK("https://klasma.github.io/Logging_0880/kartor/A 610-2025 karta.png", "A 610-2025")</f>
        <v/>
      </c>
      <c r="Y205">
        <f>HYPERLINK("https://klasma.github.io/Logging_0880/kartor_geotiff/A 610-2025 georefererad karta.tif", "A 610-2025")</f>
        <v/>
      </c>
      <c r="Z205">
        <f>HYPERLINK("https://klasma.github.io/Logging_0880/knärot/A 610-2025 karta knärot.png", "A 610-2025")</f>
        <v/>
      </c>
      <c r="AA205">
        <f>HYPERLINK("https://klasma.github.io/Logging_0880/klagomål/A 610-2025 FSC-klagomål.docx", "A 610-2025")</f>
        <v/>
      </c>
      <c r="AB205">
        <f>HYPERLINK("https://klasma.github.io/Logging_0880/klagomålsmail/A 610-2025 FSC-klagomål mail.docx", "A 610-2025")</f>
        <v/>
      </c>
      <c r="AC205">
        <f>HYPERLINK("https://klasma.github.io/Logging_0880/tillsyn/A 610-2025 tillsynsbegäran.docx", "A 610-2025")</f>
        <v/>
      </c>
      <c r="AD205">
        <f>HYPERLINK("https://klasma.github.io/Logging_0880/tillsynsmail/A 610-2025 tillsynsbegäran mail.docx", "A 610-2025")</f>
        <v/>
      </c>
      <c r="AE205">
        <f>HYPERLINK("https://klasma.github.io/Logging_0880/fåglar/A 610-2025 prioriterade fågelarter.docx", "A 610-2025")</f>
        <v/>
      </c>
    </row>
    <row r="206" ht="15" customHeight="1">
      <c r="A206" t="inlineStr">
        <is>
          <t>A 21184-2024</t>
        </is>
      </c>
      <c r="B206" t="inlineStr">
        <is>
          <t>avverkningsanmälan</t>
        </is>
      </c>
      <c r="C206" t="inlineStr">
        <is>
          <t>Avverkning för annat ändamål</t>
        </is>
      </c>
      <c r="D206" s="1" t="n">
        <v>45440</v>
      </c>
      <c r="E206" s="1" t="n">
        <v>46323</v>
      </c>
      <c r="F206" t="inlineStr">
        <is>
          <t>KALMAR LÄN</t>
        </is>
      </c>
      <c r="G206" t="inlineStr">
        <is>
          <t>EMMABODA</t>
        </is>
      </c>
      <c r="H206" t="inlineStr">
        <is>
          <t>Kommuner</t>
        </is>
      </c>
      <c r="I206" t="n">
        <v>8.5</v>
      </c>
      <c r="J206" t="n">
        <v>6</v>
      </c>
      <c r="K206" t="n">
        <v>0</v>
      </c>
      <c r="L206" t="n">
        <v>2</v>
      </c>
      <c r="M206" t="n">
        <v>0</v>
      </c>
      <c r="N206" t="n">
        <v>1</v>
      </c>
      <c r="O206" t="n">
        <v>0</v>
      </c>
      <c r="P206" t="n">
        <v>0</v>
      </c>
      <c r="Q206" t="n">
        <v>3</v>
      </c>
      <c r="R206" t="n">
        <v>1</v>
      </c>
      <c r="S206" t="n">
        <v>7</v>
      </c>
      <c r="T206" t="n">
        <v>7</v>
      </c>
      <c r="U206" t="n">
        <v>7</v>
      </c>
      <c r="V206" s="2" t="inlineStr">
        <is>
          <t>Ask
Brunlångöra
Nordfladdermus
Dvärgpipistrell
Större brunfladdermus
Trollpipistrell
Huggorm</t>
        </is>
      </c>
      <c r="W206">
        <f>HYPERLINK("https://klasma.github.io/Logging_0862/artfynd/A 21184-2024 artfynd.xlsx", "A 21184-2024")</f>
        <v/>
      </c>
      <c r="X206">
        <f>HYPERLINK("https://klasma.github.io/Logging_0862/kartor/A 21184-2024 karta.png", "A 21184-2024")</f>
        <v/>
      </c>
      <c r="Y206">
        <f>HYPERLINK("https://klasma.github.io/Logging_0862/kartor_geotiff/A 21184-2024 georefererad karta.tif", "A 21184-2024")</f>
        <v/>
      </c>
      <c r="AA206">
        <f>HYPERLINK("https://klasma.github.io/Logging_0862/klagomål/A 21184-2024 FSC-klagomål.docx", "A 21184-2024")</f>
        <v/>
      </c>
      <c r="AB206">
        <f>HYPERLINK("https://klasma.github.io/Logging_0862/klagomålsmail/A 21184-2024 FSC-klagomål mail.docx", "A 21184-2024")</f>
        <v/>
      </c>
      <c r="AC206">
        <f>HYPERLINK("https://klasma.github.io/Logging_0862/tillsyn/A 21184-2024 tillsynsbegäran.docx", "A 21184-2024")</f>
        <v/>
      </c>
      <c r="AD206">
        <f>HYPERLINK("https://klasma.github.io/Logging_0862/tillsynsmail/A 21184-2024 tillsynsbegäran mail.docx", "A 21184-2024")</f>
        <v/>
      </c>
    </row>
    <row r="207" ht="15" customHeight="1">
      <c r="A207" t="inlineStr">
        <is>
          <t>A 53846-2025</t>
        </is>
      </c>
      <c r="B207" t="inlineStr">
        <is>
          <t>avverkningsanmälan</t>
        </is>
      </c>
      <c r="C207" t="inlineStr">
        <is>
          <t>Avverkning för att bevara och utveckla /försöksver</t>
        </is>
      </c>
      <c r="D207" s="1" t="n">
        <v>45961</v>
      </c>
      <c r="E207" s="1" t="n">
        <v>46323</v>
      </c>
      <c r="F207" t="inlineStr">
        <is>
          <t>KALMAR LÄN</t>
        </is>
      </c>
      <c r="G207" t="inlineStr">
        <is>
          <t>VÄSTERVIK</t>
        </is>
      </c>
      <c r="H207" t="inlineStr">
        <is>
          <t>Sveaskog</t>
        </is>
      </c>
      <c r="I207" t="n">
        <v>2.1</v>
      </c>
      <c r="J207" t="n">
        <v>3</v>
      </c>
      <c r="K207" t="n">
        <v>3</v>
      </c>
      <c r="L207" t="n">
        <v>2</v>
      </c>
      <c r="M207" t="n">
        <v>0</v>
      </c>
      <c r="N207" t="n">
        <v>0</v>
      </c>
      <c r="O207" t="n">
        <v>0</v>
      </c>
      <c r="P207" t="n">
        <v>0</v>
      </c>
      <c r="Q207" t="n">
        <v>2</v>
      </c>
      <c r="R207" t="n">
        <v>0</v>
      </c>
      <c r="S207" t="n">
        <v>7</v>
      </c>
      <c r="T207" t="n">
        <v>8</v>
      </c>
      <c r="U207" t="n">
        <v>4</v>
      </c>
      <c r="V207" s="2" t="inlineStr">
        <is>
          <t>Tallticka
Talltita
Blåmossa
Flagellkvastmossa
Fällmossa
Blåsippa
Spillkråka</t>
        </is>
      </c>
      <c r="W207">
        <f>HYPERLINK("https://klasma.github.io/Logging_0883/artfynd/A 53846-2025 artfynd.xlsx", "A 53846-2025")</f>
        <v/>
      </c>
      <c r="X207">
        <f>HYPERLINK("https://klasma.github.io/Logging_0883/kartor/A 53846-2025 karta.png", "A 53846-2025")</f>
        <v/>
      </c>
      <c r="Y207">
        <f>HYPERLINK("https://klasma.github.io/Logging_0883/kartor_geotiff/A 53846-2025 georefererad karta.tif", "A 53846-2025")</f>
        <v/>
      </c>
      <c r="AA207">
        <f>HYPERLINK("https://klasma.github.io/Logging_0883/klagomål/A 53846-2025 FSC-klagomål.docx", "A 53846-2025")</f>
        <v/>
      </c>
      <c r="AB207">
        <f>HYPERLINK("https://klasma.github.io/Logging_0883/klagomålsmail/A 53846-2025 FSC-klagomål mail.docx", "A 53846-2025")</f>
        <v/>
      </c>
      <c r="AC207">
        <f>HYPERLINK("https://klasma.github.io/Logging_0883/tillsyn/A 53846-2025 tillsynsbegäran.docx", "A 53846-2025")</f>
        <v/>
      </c>
      <c r="AD207">
        <f>HYPERLINK("https://klasma.github.io/Logging_0883/tillsynsmail/A 53846-2025 tillsynsbegäran mail.docx", "A 53846-2025")</f>
        <v/>
      </c>
      <c r="AE207">
        <f>HYPERLINK("https://klasma.github.io/Logging_0883/fåglar/A 53846-2025 prioriterade fågelarter.docx", "A 53846-2025")</f>
        <v/>
      </c>
    </row>
    <row r="208" ht="15" customHeight="1">
      <c r="A208" t="inlineStr">
        <is>
          <t>A 15170-2024</t>
        </is>
      </c>
      <c r="B208" t="inlineStr">
        <is>
          <t>avverkningsanmälan</t>
        </is>
      </c>
      <c r="C208" t="inlineStr">
        <is>
          <t>Föryngringsavverkning</t>
        </is>
      </c>
      <c r="D208" s="1" t="n">
        <v>45400</v>
      </c>
      <c r="E208" s="1" t="n">
        <v>46323</v>
      </c>
      <c r="F208" t="inlineStr">
        <is>
          <t>KALMAR LÄN</t>
        </is>
      </c>
      <c r="G208" t="inlineStr">
        <is>
          <t>HULTSFRED</t>
        </is>
      </c>
      <c r="I208" t="n">
        <v>1.5</v>
      </c>
      <c r="J208" t="n">
        <v>4</v>
      </c>
      <c r="K208" t="n">
        <v>2</v>
      </c>
      <c r="L208" t="n">
        <v>1</v>
      </c>
      <c r="M208" t="n">
        <v>1</v>
      </c>
      <c r="N208" t="n">
        <v>0</v>
      </c>
      <c r="O208" t="n">
        <v>0</v>
      </c>
      <c r="P208" t="n">
        <v>0</v>
      </c>
      <c r="Q208" t="n">
        <v>2</v>
      </c>
      <c r="R208" t="n">
        <v>1</v>
      </c>
      <c r="S208" t="n">
        <v>7</v>
      </c>
      <c r="T208" t="n">
        <v>10</v>
      </c>
      <c r="U208" t="n">
        <v>10</v>
      </c>
      <c r="V208" s="2" t="inlineStr">
        <is>
          <t>Knärot
Vårärt
Blåmossa
Rostfläck
Blåsippa
Tjäder
Skogsduva</t>
        </is>
      </c>
      <c r="W208">
        <f>HYPERLINK("https://klasma.github.io/Logging_0860/artfynd/A 15170-2024 artfynd.xlsx", "A 15170-2024")</f>
        <v/>
      </c>
      <c r="X208">
        <f>HYPERLINK("https://klasma.github.io/Logging_0860/kartor/A 15170-2024 karta.png", "A 15170-2024")</f>
        <v/>
      </c>
      <c r="Y208">
        <f>HYPERLINK("https://klasma.github.io/Logging_0860/kartor_geotiff/A 15170-2024 georefererad karta.tif", "A 15170-2024")</f>
        <v/>
      </c>
      <c r="Z208">
        <f>HYPERLINK("https://klasma.github.io/Logging_0860/knärot/A 15170-2024 karta knärot.png", "A 15170-2024")</f>
        <v/>
      </c>
      <c r="AA208">
        <f>HYPERLINK("https://klasma.github.io/Logging_0860/klagomål/A 15170-2024 FSC-klagomål.docx", "A 15170-2024")</f>
        <v/>
      </c>
      <c r="AB208">
        <f>HYPERLINK("https://klasma.github.io/Logging_0860/klagomålsmail/A 15170-2024 FSC-klagomål mail.docx", "A 15170-2024")</f>
        <v/>
      </c>
      <c r="AC208">
        <f>HYPERLINK("https://klasma.github.io/Logging_0860/tillsyn/A 15170-2024 tillsynsbegäran.docx", "A 15170-2024")</f>
        <v/>
      </c>
      <c r="AD208">
        <f>HYPERLINK("https://klasma.github.io/Logging_0860/tillsynsmail/A 15170-2024 tillsynsbegäran mail.docx", "A 15170-2024")</f>
        <v/>
      </c>
      <c r="AE208">
        <f>HYPERLINK("https://klasma.github.io/Logging_0860/fåglar/A 15170-2024 prioriterade fågelarter.docx", "A 15170-2024")</f>
        <v/>
      </c>
    </row>
    <row r="209" ht="15" customHeight="1">
      <c r="A209" t="inlineStr">
        <is>
          <t>A 73465-2021</t>
        </is>
      </c>
      <c r="B209" t="inlineStr">
        <is>
          <t>avverkningsanmälan</t>
        </is>
      </c>
      <c r="C209" t="inlineStr">
        <is>
          <t>Föryngringsavverkning</t>
        </is>
      </c>
      <c r="D209" s="1" t="n">
        <v>44551</v>
      </c>
      <c r="E209" s="1" t="n">
        <v>46323</v>
      </c>
      <c r="F209" t="inlineStr">
        <is>
          <t>KALMAR LÄN</t>
        </is>
      </c>
      <c r="G209" t="inlineStr">
        <is>
          <t>HULTSFRED</t>
        </is>
      </c>
      <c r="I209" t="n">
        <v>1.4</v>
      </c>
      <c r="J209" t="n">
        <v>5</v>
      </c>
      <c r="K209" t="n">
        <v>1</v>
      </c>
      <c r="L209" t="n">
        <v>2</v>
      </c>
      <c r="M209" t="n">
        <v>1</v>
      </c>
      <c r="N209" t="n">
        <v>0</v>
      </c>
      <c r="O209" t="n">
        <v>0</v>
      </c>
      <c r="P209" t="n">
        <v>0</v>
      </c>
      <c r="Q209" t="n">
        <v>3</v>
      </c>
      <c r="R209" t="n">
        <v>1</v>
      </c>
      <c r="S209" t="n">
        <v>7</v>
      </c>
      <c r="T209" t="n">
        <v>12</v>
      </c>
      <c r="U209" t="n">
        <v>12</v>
      </c>
      <c r="V209" s="2" t="inlineStr">
        <is>
          <t>Knärot
Dropptaggsvamp
Talltita
Tibast
Blåsippa
Kungsfågel
Revlummer</t>
        </is>
      </c>
      <c r="W209">
        <f>HYPERLINK("https://klasma.github.io/Logging_0860/artfynd/A 73465-2021 artfynd.xlsx", "A 73465-2021")</f>
        <v/>
      </c>
      <c r="X209">
        <f>HYPERLINK("https://klasma.github.io/Logging_0860/kartor/A 73465-2021 karta.png", "A 73465-2021")</f>
        <v/>
      </c>
      <c r="Y209">
        <f>HYPERLINK("https://klasma.github.io/Logging_0860/kartor_geotiff/A 73465-2021 georefererad karta.tif", "A 73465-2021")</f>
        <v/>
      </c>
      <c r="Z209">
        <f>HYPERLINK("https://klasma.github.io/Logging_0860/knärot/A 73465-2021 karta knärot.png", "A 73465-2021")</f>
        <v/>
      </c>
      <c r="AA209">
        <f>HYPERLINK("https://klasma.github.io/Logging_0860/klagomål/A 73465-2021 FSC-klagomål.docx", "A 73465-2021")</f>
        <v/>
      </c>
      <c r="AB209">
        <f>HYPERLINK("https://klasma.github.io/Logging_0860/klagomålsmail/A 73465-2021 FSC-klagomål mail.docx", "A 73465-2021")</f>
        <v/>
      </c>
      <c r="AC209">
        <f>HYPERLINK("https://klasma.github.io/Logging_0860/tillsyn/A 73465-2021 tillsynsbegäran.docx", "A 73465-2021")</f>
        <v/>
      </c>
      <c r="AD209">
        <f>HYPERLINK("https://klasma.github.io/Logging_0860/tillsynsmail/A 73465-2021 tillsynsbegäran mail.docx", "A 73465-2021")</f>
        <v/>
      </c>
      <c r="AE209">
        <f>HYPERLINK("https://klasma.github.io/Logging_0860/fåglar/A 73465-2021 prioriterade fågelarter.docx", "A 73465-2021")</f>
        <v/>
      </c>
    </row>
    <row r="210" ht="15" customHeight="1">
      <c r="A210" t="inlineStr">
        <is>
          <t>A 37983-2023</t>
        </is>
      </c>
      <c r="B210" t="inlineStr">
        <is>
          <t>avverkningsanmälan</t>
        </is>
      </c>
      <c r="C210" t="inlineStr">
        <is>
          <t>Föryngringsavverkning</t>
        </is>
      </c>
      <c r="D210" s="1" t="n">
        <v>45160</v>
      </c>
      <c r="E210" s="1" t="n">
        <v>46323</v>
      </c>
      <c r="F210" t="inlineStr">
        <is>
          <t>KALMAR LÄN</t>
        </is>
      </c>
      <c r="G210" t="inlineStr">
        <is>
          <t>MÖNSTERÅS</t>
        </is>
      </c>
      <c r="I210" t="n">
        <v>13.8</v>
      </c>
      <c r="J210" t="n">
        <v>6</v>
      </c>
      <c r="K210" t="n">
        <v>1</v>
      </c>
      <c r="L210" t="n">
        <v>3</v>
      </c>
      <c r="M210" t="n">
        <v>1</v>
      </c>
      <c r="N210" t="n">
        <v>0</v>
      </c>
      <c r="O210" t="n">
        <v>0</v>
      </c>
      <c r="P210" t="n">
        <v>0</v>
      </c>
      <c r="Q210" t="n">
        <v>4</v>
      </c>
      <c r="R210" t="n">
        <v>1</v>
      </c>
      <c r="S210" t="n">
        <v>7</v>
      </c>
      <c r="T210" t="n">
        <v>26</v>
      </c>
      <c r="U210" t="n">
        <v>26</v>
      </c>
      <c r="V210" s="2" t="inlineStr">
        <is>
          <t>Knärot
Barbastell
Brunlångöra
Nordfladdermus
Grönpyrola
Dvärgpipistrell
Större brunfladdermus</t>
        </is>
      </c>
      <c r="W210">
        <f>HYPERLINK("https://klasma.github.io/Logging_0861/artfynd/A 37983-2023 artfynd.xlsx", "A 37983-2023")</f>
        <v/>
      </c>
      <c r="X210">
        <f>HYPERLINK("https://klasma.github.io/Logging_0861/kartor/A 37983-2023 karta.png", "A 37983-2023")</f>
        <v/>
      </c>
      <c r="Y210">
        <f>HYPERLINK("https://klasma.github.io/Logging_0861/kartor_geotiff/A 37983-2023 georefererad karta.tif", "A 37983-2023")</f>
        <v/>
      </c>
      <c r="Z210">
        <f>HYPERLINK("https://klasma.github.io/Logging_0861/knärot/A 37983-2023 karta knärot.png", "A 37983-2023")</f>
        <v/>
      </c>
      <c r="AA210">
        <f>HYPERLINK("https://klasma.github.io/Logging_0861/klagomål/A 37983-2023 FSC-klagomål.docx", "A 37983-2023")</f>
        <v/>
      </c>
      <c r="AB210">
        <f>HYPERLINK("https://klasma.github.io/Logging_0861/klagomålsmail/A 37983-2023 FSC-klagomål mail.docx", "A 37983-2023")</f>
        <v/>
      </c>
      <c r="AC210">
        <f>HYPERLINK("https://klasma.github.io/Logging_0861/tillsyn/A 37983-2023 tillsynsbegäran.docx", "A 37983-2023")</f>
        <v/>
      </c>
      <c r="AD210">
        <f>HYPERLINK("https://klasma.github.io/Logging_0861/tillsynsmail/A 37983-2023 tillsynsbegäran mail.docx", "A 37983-2023")</f>
        <v/>
      </c>
    </row>
    <row r="211" ht="15" customHeight="1">
      <c r="A211" t="inlineStr">
        <is>
          <t>A 9952-2026</t>
        </is>
      </c>
      <c r="B211" t="inlineStr">
        <is>
          <t>avverkningsanmälan</t>
        </is>
      </c>
      <c r="C211" t="inlineStr">
        <is>
          <t>Föryngringsavverkning</t>
        </is>
      </c>
      <c r="D211" s="1" t="n">
        <v>46073</v>
      </c>
      <c r="E211" s="1" t="n">
        <v>46323</v>
      </c>
      <c r="F211" t="inlineStr">
        <is>
          <t>KALMAR LÄN</t>
        </is>
      </c>
      <c r="G211" t="inlineStr">
        <is>
          <t>VÄSTERVIK</t>
        </is>
      </c>
      <c r="I211" t="n">
        <v>3.4</v>
      </c>
      <c r="J211" t="n">
        <v>5</v>
      </c>
      <c r="K211" t="n">
        <v>0</v>
      </c>
      <c r="L211" t="n">
        <v>3</v>
      </c>
      <c r="M211" t="n">
        <v>0</v>
      </c>
      <c r="N211" t="n">
        <v>0</v>
      </c>
      <c r="O211" t="n">
        <v>0</v>
      </c>
      <c r="P211" t="n">
        <v>0</v>
      </c>
      <c r="Q211" t="n">
        <v>3</v>
      </c>
      <c r="R211" t="n">
        <v>0</v>
      </c>
      <c r="S211" t="n">
        <v>7</v>
      </c>
      <c r="T211" t="n">
        <v>12</v>
      </c>
      <c r="U211" t="n">
        <v>11</v>
      </c>
      <c r="V211" s="2" t="inlineStr">
        <is>
          <t>Entita
Krusfrö
Tallticka
Blåsippa
Spillkråka
Stjärtmes
Grönsiska</t>
        </is>
      </c>
      <c r="W211">
        <f>HYPERLINK("https://klasma.github.io/Logging_0883/artfynd/A 9952-2026 artfynd.xlsx", "A 9952-2026")</f>
        <v/>
      </c>
      <c r="X211">
        <f>HYPERLINK("https://klasma.github.io/Logging_0883/kartor/A 9952-2026 karta.png", "A 9952-2026")</f>
        <v/>
      </c>
      <c r="Y211">
        <f>HYPERLINK("https://klasma.github.io/Logging_0883/kartor_geotiff/A 9952-2026 georefererad karta.tif", "A 9952-2026")</f>
        <v/>
      </c>
      <c r="AA211">
        <f>HYPERLINK("https://klasma.github.io/Logging_0883/klagomål/A 9952-2026 FSC-klagomål.docx", "A 9952-2026")</f>
        <v/>
      </c>
      <c r="AB211">
        <f>HYPERLINK("https://klasma.github.io/Logging_0883/klagomålsmail/A 9952-2026 FSC-klagomål mail.docx", "A 9952-2026")</f>
        <v/>
      </c>
      <c r="AC211">
        <f>HYPERLINK("https://klasma.github.io/Logging_0883/tillsyn/A 9952-2026 tillsynsbegäran.docx", "A 9952-2026")</f>
        <v/>
      </c>
      <c r="AD211">
        <f>HYPERLINK("https://klasma.github.io/Logging_0883/tillsynsmail/A 9952-2026 tillsynsbegäran mail.docx", "A 9952-2026")</f>
        <v/>
      </c>
      <c r="AE211">
        <f>HYPERLINK("https://klasma.github.io/Logging_0883/fåglar/A 9952-2026 prioriterade fågelarter.docx", "A 9952-2026")</f>
        <v/>
      </c>
    </row>
    <row r="212" ht="15" customHeight="1">
      <c r="A212" t="inlineStr">
        <is>
          <t>A 43583-2023</t>
        </is>
      </c>
      <c r="B212" t="inlineStr">
        <is>
          <t>avverkningsanmälan</t>
        </is>
      </c>
      <c r="C212" t="inlineStr">
        <is>
          <t>Föryngringsavverkning</t>
        </is>
      </c>
      <c r="D212" s="1" t="n">
        <v>45184</v>
      </c>
      <c r="E212" s="1" t="n">
        <v>46323</v>
      </c>
      <c r="F212" t="inlineStr">
        <is>
          <t>KALMAR LÄN</t>
        </is>
      </c>
      <c r="G212" t="inlineStr">
        <is>
          <t>MÖNSTERÅS</t>
        </is>
      </c>
      <c r="I212" t="n">
        <v>1.1</v>
      </c>
      <c r="J212" t="n">
        <v>7</v>
      </c>
      <c r="K212" t="n">
        <v>0</v>
      </c>
      <c r="L212" t="n">
        <v>1</v>
      </c>
      <c r="M212" t="n">
        <v>2</v>
      </c>
      <c r="N212" t="n">
        <v>0</v>
      </c>
      <c r="O212" t="n">
        <v>0</v>
      </c>
      <c r="P212" t="n">
        <v>0</v>
      </c>
      <c r="Q212" t="n">
        <v>3</v>
      </c>
      <c r="R212" t="n">
        <v>2</v>
      </c>
      <c r="S212" t="n">
        <v>7</v>
      </c>
      <c r="T212" t="n">
        <v>7</v>
      </c>
      <c r="U212" t="n">
        <v>6</v>
      </c>
      <c r="V212" s="2" t="inlineStr">
        <is>
          <t>Grönfink
Stare
Grönsångare
Spillkråka
Kråka
Kungsfågel
Röd glada</t>
        </is>
      </c>
      <c r="W212">
        <f>HYPERLINK("https://klasma.github.io/Logging_0861/artfynd/A 43583-2023 artfynd.xlsx", "A 43583-2023")</f>
        <v/>
      </c>
      <c r="X212">
        <f>HYPERLINK("https://klasma.github.io/Logging_0861/kartor/A 43583-2023 karta.png", "A 43583-2023")</f>
        <v/>
      </c>
      <c r="Y212">
        <f>HYPERLINK("https://klasma.github.io/Logging_0861/kartor_geotiff/A 43583-2023 georefererad karta.tif", "A 43583-2023")</f>
        <v/>
      </c>
      <c r="AA212">
        <f>HYPERLINK("https://klasma.github.io/Logging_0861/klagomål/A 43583-2023 FSC-klagomål.docx", "A 43583-2023")</f>
        <v/>
      </c>
      <c r="AB212">
        <f>HYPERLINK("https://klasma.github.io/Logging_0861/klagomålsmail/A 43583-2023 FSC-klagomål mail.docx", "A 43583-2023")</f>
        <v/>
      </c>
      <c r="AC212">
        <f>HYPERLINK("https://klasma.github.io/Logging_0861/tillsyn/A 43583-2023 tillsynsbegäran.docx", "A 43583-2023")</f>
        <v/>
      </c>
      <c r="AD212">
        <f>HYPERLINK("https://klasma.github.io/Logging_0861/tillsynsmail/A 43583-2023 tillsynsbegäran mail.docx", "A 43583-2023")</f>
        <v/>
      </c>
      <c r="AE212">
        <f>HYPERLINK("https://klasma.github.io/Logging_0861/fåglar/A 43583-2023 prioriterade fågelarter.docx", "A 43583-2023")</f>
        <v/>
      </c>
    </row>
    <row r="213" ht="15" customHeight="1">
      <c r="A213" t="inlineStr">
        <is>
          <t>A 59457-2024</t>
        </is>
      </c>
      <c r="B213" t="inlineStr">
        <is>
          <t>avverkningsanmälan</t>
        </is>
      </c>
      <c r="C213" t="inlineStr">
        <is>
          <t>Föryngringsavverkning</t>
        </is>
      </c>
      <c r="D213" s="1" t="n">
        <v>45638</v>
      </c>
      <c r="E213" s="1" t="n">
        <v>46323</v>
      </c>
      <c r="F213" t="inlineStr">
        <is>
          <t>KALMAR LÄN</t>
        </is>
      </c>
      <c r="G213" t="inlineStr">
        <is>
          <t>VÄSTERVIK</t>
        </is>
      </c>
      <c r="H213" t="inlineStr">
        <is>
          <t>Holmen skog AB</t>
        </is>
      </c>
      <c r="I213" t="n">
        <v>1.3</v>
      </c>
      <c r="J213" t="n">
        <v>4</v>
      </c>
      <c r="K213" t="n">
        <v>2</v>
      </c>
      <c r="L213" t="n">
        <v>2</v>
      </c>
      <c r="M213" t="n">
        <v>0</v>
      </c>
      <c r="N213" t="n">
        <v>0</v>
      </c>
      <c r="O213" t="n">
        <v>0</v>
      </c>
      <c r="P213" t="n">
        <v>0</v>
      </c>
      <c r="Q213" t="n">
        <v>2</v>
      </c>
      <c r="R213" t="n">
        <v>0</v>
      </c>
      <c r="S213" t="n">
        <v>7</v>
      </c>
      <c r="T213" t="n">
        <v>9</v>
      </c>
      <c r="U213" t="n">
        <v>9</v>
      </c>
      <c r="V213" s="2" t="inlineStr">
        <is>
          <t>Tallticka
Talltita
Blåmossa
Flagellkvastmossa
Spillkråka
Kungsfågel
Revlummer</t>
        </is>
      </c>
      <c r="W213">
        <f>HYPERLINK("https://klasma.github.io/Logging_0883/artfynd/A 59457-2024 artfynd.xlsx", "A 59457-2024")</f>
        <v/>
      </c>
      <c r="X213">
        <f>HYPERLINK("https://klasma.github.io/Logging_0883/kartor/A 59457-2024 karta.png", "A 59457-2024")</f>
        <v/>
      </c>
      <c r="Y213">
        <f>HYPERLINK("https://klasma.github.io/Logging_0883/kartor_geotiff/A 59457-2024 georefererad karta.tif", "A 59457-2024")</f>
        <v/>
      </c>
      <c r="AA213">
        <f>HYPERLINK("https://klasma.github.io/Logging_0883/klagomål/A 59457-2024 FSC-klagomål.docx", "A 59457-2024")</f>
        <v/>
      </c>
      <c r="AB213">
        <f>HYPERLINK("https://klasma.github.io/Logging_0883/klagomålsmail/A 59457-2024 FSC-klagomål mail.docx", "A 59457-2024")</f>
        <v/>
      </c>
      <c r="AC213">
        <f>HYPERLINK("https://klasma.github.io/Logging_0883/tillsyn/A 59457-2024 tillsynsbegäran.docx", "A 59457-2024")</f>
        <v/>
      </c>
      <c r="AD213">
        <f>HYPERLINK("https://klasma.github.io/Logging_0883/tillsynsmail/A 59457-2024 tillsynsbegäran mail.docx", "A 59457-2024")</f>
        <v/>
      </c>
      <c r="AE213">
        <f>HYPERLINK("https://klasma.github.io/Logging_0883/fåglar/A 59457-2024 prioriterade fågelarter.docx", "A 59457-2024")</f>
        <v/>
      </c>
    </row>
    <row r="214" ht="15" customHeight="1">
      <c r="A214" t="inlineStr">
        <is>
          <t>A 9186-2024</t>
        </is>
      </c>
      <c r="B214" t="inlineStr">
        <is>
          <t>avverkningsanmälan</t>
        </is>
      </c>
      <c r="C214" t="inlineStr">
        <is>
          <t>Föryngringsavverkning</t>
        </is>
      </c>
      <c r="D214" s="1" t="n">
        <v>45358</v>
      </c>
      <c r="E214" s="1" t="n">
        <v>46323</v>
      </c>
      <c r="F214" t="inlineStr">
        <is>
          <t>KALMAR LÄN</t>
        </is>
      </c>
      <c r="G214" t="inlineStr">
        <is>
          <t>NYBRO</t>
        </is>
      </c>
      <c r="I214" t="n">
        <v>3.8</v>
      </c>
      <c r="J214" t="n">
        <v>5</v>
      </c>
      <c r="K214" t="n">
        <v>1</v>
      </c>
      <c r="L214" t="n">
        <v>1</v>
      </c>
      <c r="M214" t="n">
        <v>0</v>
      </c>
      <c r="N214" t="n">
        <v>0</v>
      </c>
      <c r="O214" t="n">
        <v>0</v>
      </c>
      <c r="P214" t="n">
        <v>0</v>
      </c>
      <c r="Q214" t="n">
        <v>1</v>
      </c>
      <c r="R214" t="n">
        <v>0</v>
      </c>
      <c r="S214" t="n">
        <v>7</v>
      </c>
      <c r="T214" t="n">
        <v>8</v>
      </c>
      <c r="U214" t="n">
        <v>0</v>
      </c>
      <c r="V214" s="2" t="inlineStr">
        <is>
          <t>Dropptaggsvamp
Blåmossa
Fläcknycklar
Nattviol
Lopplummer (aggregat)
Revlummer
Äkta lopplummer</t>
        </is>
      </c>
      <c r="W214">
        <f>HYPERLINK("https://klasma.github.io/Logging_0881/artfynd/A 9186-2024 artfynd.xlsx", "A 9186-2024")</f>
        <v/>
      </c>
      <c r="X214">
        <f>HYPERLINK("https://klasma.github.io/Logging_0881/kartor/A 9186-2024 karta.png", "A 9186-2024")</f>
        <v/>
      </c>
      <c r="Y214">
        <f>HYPERLINK("https://klasma.github.io/Logging_0881/kartor_geotiff/A 9186-2024 georefererad karta.tif", "A 9186-2024")</f>
        <v/>
      </c>
      <c r="AA214">
        <f>HYPERLINK("https://klasma.github.io/Logging_0881/klagomål/A 9186-2024 FSC-klagomål.docx", "A 9186-2024")</f>
        <v/>
      </c>
      <c r="AB214">
        <f>HYPERLINK("https://klasma.github.io/Logging_0881/klagomålsmail/A 9186-2024 FSC-klagomål mail.docx", "A 9186-2024")</f>
        <v/>
      </c>
      <c r="AC214">
        <f>HYPERLINK("https://klasma.github.io/Logging_0881/tillsyn/A 9186-2024 tillsynsbegäran.docx", "A 9186-2024")</f>
        <v/>
      </c>
      <c r="AD214">
        <f>HYPERLINK("https://klasma.github.io/Logging_0881/tillsynsmail/A 9186-2024 tillsynsbegäran mail.docx", "A 9186-2024")</f>
        <v/>
      </c>
    </row>
    <row r="215" ht="15" customHeight="1">
      <c r="A215" t="inlineStr">
        <is>
          <t>A 30089-2026</t>
        </is>
      </c>
      <c r="B215" t="inlineStr">
        <is>
          <t>avverkningsanmälan</t>
        </is>
      </c>
      <c r="C215" t="inlineStr">
        <is>
          <t>Föryngringsavverkning</t>
        </is>
      </c>
      <c r="D215" s="1" t="n">
        <v>46206</v>
      </c>
      <c r="E215" s="1" t="n">
        <v>46323</v>
      </c>
      <c r="F215" t="inlineStr">
        <is>
          <t>KALMAR LÄN</t>
        </is>
      </c>
      <c r="G215" t="inlineStr">
        <is>
          <t>MÖNSTERÅS</t>
        </is>
      </c>
      <c r="H215" t="inlineStr">
        <is>
          <t>Övriga Aktiebolag</t>
        </is>
      </c>
      <c r="I215" t="n">
        <v>5.8</v>
      </c>
      <c r="J215" t="n">
        <v>3</v>
      </c>
      <c r="K215" t="n">
        <v>2</v>
      </c>
      <c r="L215" t="n">
        <v>3</v>
      </c>
      <c r="M215" t="n">
        <v>0</v>
      </c>
      <c r="N215" t="n">
        <v>0</v>
      </c>
      <c r="O215" t="n">
        <v>0</v>
      </c>
      <c r="P215" t="n">
        <v>0</v>
      </c>
      <c r="Q215" t="n">
        <v>3</v>
      </c>
      <c r="R215" t="n">
        <v>0</v>
      </c>
      <c r="S215" t="n">
        <v>7</v>
      </c>
      <c r="T215" t="n">
        <v>20</v>
      </c>
      <c r="U215" t="n">
        <v>20</v>
      </c>
      <c r="V215" s="2" t="inlineStr">
        <is>
          <t>Tallticka
Talltita
Vedskivlav
Grovticka
Murgröna
Spillkråka
Tofsmes</t>
        </is>
      </c>
      <c r="W215">
        <f>HYPERLINK("https://klasma.github.io/Logging_0861/artfynd/A 30089-2026 artfynd.xlsx", "A 30089-2026")</f>
        <v/>
      </c>
      <c r="X215">
        <f>HYPERLINK("https://klasma.github.io/Logging_0861/kartor/A 30089-2026 karta.png", "A 30089-2026")</f>
        <v/>
      </c>
      <c r="Y215">
        <f>HYPERLINK("https://klasma.github.io/Logging_0861/kartor_geotiff/A 30089-2026 georefererad karta.tif", "A 30089-2026")</f>
        <v/>
      </c>
      <c r="AA215">
        <f>HYPERLINK("https://klasma.github.io/Logging_0861/klagomål/A 30089-2026 FSC-klagomål.docx", "A 30089-2026")</f>
        <v/>
      </c>
      <c r="AB215">
        <f>HYPERLINK("https://klasma.github.io/Logging_0861/klagomålsmail/A 30089-2026 FSC-klagomål mail.docx", "A 30089-2026")</f>
        <v/>
      </c>
      <c r="AC215">
        <f>HYPERLINK("https://klasma.github.io/Logging_0861/tillsyn/A 30089-2026 tillsynsbegäran.docx", "A 30089-2026")</f>
        <v/>
      </c>
      <c r="AD215">
        <f>HYPERLINK("https://klasma.github.io/Logging_0861/tillsynsmail/A 30089-2026 tillsynsbegäran mail.docx", "A 30089-2026")</f>
        <v/>
      </c>
      <c r="AE215">
        <f>HYPERLINK("https://klasma.github.io/Logging_0861/fåglar/A 30089-2026 prioriterade fågelarter.docx", "A 30089-2026")</f>
        <v/>
      </c>
    </row>
    <row r="216" ht="15" customHeight="1">
      <c r="A216" t="inlineStr">
        <is>
          <t>A 1650-2022</t>
        </is>
      </c>
      <c r="B216" t="inlineStr">
        <is>
          <t>avverkningsanmälan</t>
        </is>
      </c>
      <c r="C216" t="inlineStr">
        <is>
          <t>Föryngringsavverkning</t>
        </is>
      </c>
      <c r="D216" s="1" t="n">
        <v>44574</v>
      </c>
      <c r="E216" s="1" t="n">
        <v>46323</v>
      </c>
      <c r="F216" t="inlineStr">
        <is>
          <t>KALMAR LÄN</t>
        </is>
      </c>
      <c r="G216" t="inlineStr">
        <is>
          <t>OSKARSHAMN</t>
        </is>
      </c>
      <c r="H216" t="inlineStr">
        <is>
          <t>Kommuner</t>
        </is>
      </c>
      <c r="I216" t="n">
        <v>4</v>
      </c>
      <c r="J216" t="n">
        <v>6</v>
      </c>
      <c r="K216" t="n">
        <v>1</v>
      </c>
      <c r="L216" t="n">
        <v>1</v>
      </c>
      <c r="M216" t="n">
        <v>1</v>
      </c>
      <c r="N216" t="n">
        <v>0</v>
      </c>
      <c r="O216" t="n">
        <v>0</v>
      </c>
      <c r="P216" t="n">
        <v>0</v>
      </c>
      <c r="Q216" t="n">
        <v>2</v>
      </c>
      <c r="R216" t="n">
        <v>1</v>
      </c>
      <c r="S216" t="n">
        <v>7</v>
      </c>
      <c r="T216" t="n">
        <v>25</v>
      </c>
      <c r="U216" t="n">
        <v>25</v>
      </c>
      <c r="V216" s="2" t="inlineStr">
        <is>
          <t>Knärot
Talltita
Grönpyrola
Blåsippa
Spillkråka
Tjäder
Kungsfågel</t>
        </is>
      </c>
      <c r="W216">
        <f>HYPERLINK("https://klasma.github.io/Logging_0882/artfynd/A 1650-2022 artfynd.xlsx", "A 1650-2022")</f>
        <v/>
      </c>
      <c r="X216">
        <f>HYPERLINK("https://klasma.github.io/Logging_0882/kartor/A 1650-2022 karta.png", "A 1650-2022")</f>
        <v/>
      </c>
      <c r="Y216">
        <f>HYPERLINK("https://klasma.github.io/Logging_0882/kartor_geotiff/A 1650-2022 georefererad karta.tif", "A 1650-2022")</f>
        <v/>
      </c>
      <c r="Z216">
        <f>HYPERLINK("https://klasma.github.io/Logging_0882/knärot/A 1650-2022 karta knärot.png", "A 1650-2022")</f>
        <v/>
      </c>
      <c r="AA216">
        <f>HYPERLINK("https://klasma.github.io/Logging_0882/klagomål/A 1650-2022 FSC-klagomål.docx", "A 1650-2022")</f>
        <v/>
      </c>
      <c r="AB216">
        <f>HYPERLINK("https://klasma.github.io/Logging_0882/klagomålsmail/A 1650-2022 FSC-klagomål mail.docx", "A 1650-2022")</f>
        <v/>
      </c>
      <c r="AC216">
        <f>HYPERLINK("https://klasma.github.io/Logging_0882/tillsyn/A 1650-2022 tillsynsbegäran.docx", "A 1650-2022")</f>
        <v/>
      </c>
      <c r="AD216">
        <f>HYPERLINK("https://klasma.github.io/Logging_0882/tillsynsmail/A 1650-2022 tillsynsbegäran mail.docx", "A 1650-2022")</f>
        <v/>
      </c>
      <c r="AE216">
        <f>HYPERLINK("https://klasma.github.io/Logging_0882/fåglar/A 1650-2022 prioriterade fågelarter.docx", "A 1650-2022")</f>
        <v/>
      </c>
    </row>
    <row r="217" ht="15" customHeight="1">
      <c r="A217" t="inlineStr">
        <is>
          <t>A 41640-2023</t>
        </is>
      </c>
      <c r="B217" t="inlineStr">
        <is>
          <t>avverkningsanmälan</t>
        </is>
      </c>
      <c r="C217" t="inlineStr">
        <is>
          <t>Föryngringsavverkning</t>
        </is>
      </c>
      <c r="D217" s="1" t="n">
        <v>45175</v>
      </c>
      <c r="E217" s="1" t="n">
        <v>46323</v>
      </c>
      <c r="F217" t="inlineStr">
        <is>
          <t>KALMAR LÄN</t>
        </is>
      </c>
      <c r="G217" t="inlineStr">
        <is>
          <t>BORGHOLM</t>
        </is>
      </c>
      <c r="I217" t="n">
        <v>5</v>
      </c>
      <c r="J217" t="n">
        <v>5</v>
      </c>
      <c r="K217" t="n">
        <v>2</v>
      </c>
      <c r="L217" t="n">
        <v>2</v>
      </c>
      <c r="M217" t="n">
        <v>0</v>
      </c>
      <c r="N217" t="n">
        <v>0</v>
      </c>
      <c r="O217" t="n">
        <v>0</v>
      </c>
      <c r="P217" t="n">
        <v>0</v>
      </c>
      <c r="Q217" t="n">
        <v>2</v>
      </c>
      <c r="R217" t="n">
        <v>0</v>
      </c>
      <c r="S217" t="n">
        <v>7</v>
      </c>
      <c r="T217" t="n">
        <v>7</v>
      </c>
      <c r="U217" t="n">
        <v>7</v>
      </c>
      <c r="V217" s="2" t="inlineStr">
        <is>
          <t>Jordtistel
Sårläka
Flugblomster
Tvåblad
Blåsippa
Johannesnycklar
Vanliga ängsnycklar</t>
        </is>
      </c>
      <c r="W217">
        <f>HYPERLINK("https://klasma.github.io/Logging_0885/artfynd/A 41640-2023 artfynd.xlsx", "A 41640-2023")</f>
        <v/>
      </c>
      <c r="X217">
        <f>HYPERLINK("https://klasma.github.io/Logging_0885/kartor/A 41640-2023 karta.png", "A 41640-2023")</f>
        <v/>
      </c>
      <c r="Y217">
        <f>HYPERLINK("https://klasma.github.io/Logging_0885/kartor_geotiff/A 41640-2023 georefererad karta.tif", "A 41640-2023")</f>
        <v/>
      </c>
      <c r="AA217">
        <f>HYPERLINK("https://klasma.github.io/Logging_0885/klagomål/A 41640-2023 FSC-klagomål.docx", "A 41640-2023")</f>
        <v/>
      </c>
      <c r="AB217">
        <f>HYPERLINK("https://klasma.github.io/Logging_0885/klagomålsmail/A 41640-2023 FSC-klagomål mail.docx", "A 41640-2023")</f>
        <v/>
      </c>
      <c r="AC217">
        <f>HYPERLINK("https://klasma.github.io/Logging_0885/tillsyn/A 41640-2023 tillsynsbegäran.docx", "A 41640-2023")</f>
        <v/>
      </c>
      <c r="AD217">
        <f>HYPERLINK("https://klasma.github.io/Logging_0885/tillsynsmail/A 41640-2023 tillsynsbegäran mail.docx", "A 41640-2023")</f>
        <v/>
      </c>
    </row>
    <row r="218" ht="15" customHeight="1">
      <c r="A218" t="inlineStr">
        <is>
          <t>A 33241-2022</t>
        </is>
      </c>
      <c r="B218" t="inlineStr">
        <is>
          <t>avverkningsanmälan</t>
        </is>
      </c>
      <c r="C218" t="inlineStr">
        <is>
          <t>Föryngringsavverkning</t>
        </is>
      </c>
      <c r="D218" s="1" t="n">
        <v>44786</v>
      </c>
      <c r="E218" s="1" t="n">
        <v>46323</v>
      </c>
      <c r="F218" t="inlineStr">
        <is>
          <t>KALMAR LÄN</t>
        </is>
      </c>
      <c r="G218" t="inlineStr">
        <is>
          <t>OSKARSHAMN</t>
        </is>
      </c>
      <c r="I218" t="n">
        <v>3</v>
      </c>
      <c r="J218" t="n">
        <v>3</v>
      </c>
      <c r="K218" t="n">
        <v>2</v>
      </c>
      <c r="L218" t="n">
        <v>2</v>
      </c>
      <c r="M218" t="n">
        <v>0</v>
      </c>
      <c r="N218" t="n">
        <v>1</v>
      </c>
      <c r="O218" t="n">
        <v>0</v>
      </c>
      <c r="P218" t="n">
        <v>0</v>
      </c>
      <c r="Q218" t="n">
        <v>3</v>
      </c>
      <c r="R218" t="n">
        <v>1</v>
      </c>
      <c r="S218" t="n">
        <v>7</v>
      </c>
      <c r="T218" t="n">
        <v>16</v>
      </c>
      <c r="U218" t="n">
        <v>15</v>
      </c>
      <c r="V218" s="2" t="inlineStr">
        <is>
          <t>Ask
Gulsparv
Tvåtandad plattbagge
Fällmossa
Tvåfläckig praktbagge
Blåsippa
Gullviva</t>
        </is>
      </c>
      <c r="W218">
        <f>HYPERLINK("https://klasma.github.io/Logging_0882/artfynd/A 33241-2022 artfynd.xlsx", "A 33241-2022")</f>
        <v/>
      </c>
      <c r="X218">
        <f>HYPERLINK("https://klasma.github.io/Logging_0882/kartor/A 33241-2022 karta.png", "A 33241-2022")</f>
        <v/>
      </c>
      <c r="Y218">
        <f>HYPERLINK("https://klasma.github.io/Logging_0882/kartor_geotiff/A 33241-2022 georefererad karta.tif", "A 33241-2022")</f>
        <v/>
      </c>
      <c r="AA218">
        <f>HYPERLINK("https://klasma.github.io/Logging_0882/klagomål/A 33241-2022 FSC-klagomål.docx", "A 33241-2022")</f>
        <v/>
      </c>
      <c r="AB218">
        <f>HYPERLINK("https://klasma.github.io/Logging_0882/klagomålsmail/A 33241-2022 FSC-klagomål mail.docx", "A 33241-2022")</f>
        <v/>
      </c>
      <c r="AC218">
        <f>HYPERLINK("https://klasma.github.io/Logging_0882/tillsyn/A 33241-2022 tillsynsbegäran.docx", "A 33241-2022")</f>
        <v/>
      </c>
      <c r="AD218">
        <f>HYPERLINK("https://klasma.github.io/Logging_0882/tillsynsmail/A 33241-2022 tillsynsbegäran mail.docx", "A 33241-2022")</f>
        <v/>
      </c>
      <c r="AE218">
        <f>HYPERLINK("https://klasma.github.io/Logging_0882/fåglar/A 33241-2022 prioriterade fågelarter.docx", "A 33241-2022")</f>
        <v/>
      </c>
    </row>
    <row r="219" ht="15" customHeight="1">
      <c r="A219" t="inlineStr">
        <is>
          <t>A 40004-2026</t>
        </is>
      </c>
      <c r="B219" t="inlineStr">
        <is>
          <t>avverkningsanmälan</t>
        </is>
      </c>
      <c r="C219" t="inlineStr">
        <is>
          <t>Föryngringsavverkning</t>
        </is>
      </c>
      <c r="D219" s="1" t="n">
        <v>46293</v>
      </c>
      <c r="E219" s="1" t="n">
        <v>46323</v>
      </c>
      <c r="F219" t="inlineStr">
        <is>
          <t>KALMAR LÄN</t>
        </is>
      </c>
      <c r="G219" t="inlineStr">
        <is>
          <t>VÄSTERVIK</t>
        </is>
      </c>
      <c r="I219" t="n">
        <v>2.1</v>
      </c>
      <c r="J219" t="n">
        <v>5</v>
      </c>
      <c r="K219" t="n">
        <v>2</v>
      </c>
      <c r="L219" t="n">
        <v>2</v>
      </c>
      <c r="M219" t="n">
        <v>0</v>
      </c>
      <c r="N219" t="n">
        <v>1</v>
      </c>
      <c r="O219" t="n">
        <v>0</v>
      </c>
      <c r="P219" t="n">
        <v>0</v>
      </c>
      <c r="Q219" t="n">
        <v>3</v>
      </c>
      <c r="R219" t="n">
        <v>1</v>
      </c>
      <c r="S219" t="n">
        <v>7</v>
      </c>
      <c r="T219" t="n">
        <v>7</v>
      </c>
      <c r="U219" t="n">
        <v>0</v>
      </c>
      <c r="V219" s="2" t="inlineStr">
        <is>
          <t>Pärluggla
Mindre hackspett
Silversmygare
Ekoxe
Större aspvedbock
Spillkråka
Orre</t>
        </is>
      </c>
      <c r="W219">
        <f>HYPERLINK("https://klasma.github.io/Logging_0883/artfynd/A 40004-2026 artfynd.xlsx", "A 40004-2026")</f>
        <v/>
      </c>
      <c r="X219">
        <f>HYPERLINK("https://klasma.github.io/Logging_0883/kartor/A 40004-2026 karta.png", "A 40004-2026")</f>
        <v/>
      </c>
      <c r="Y219">
        <f>HYPERLINK("https://klasma.github.io/Logging_0883/kartor_geotiff/A 40004-2026 georefererad karta.tif", "A 40004-2026")</f>
        <v/>
      </c>
      <c r="AA219">
        <f>HYPERLINK("https://klasma.github.io/Logging_0883/klagomål/A 40004-2026 FSC-klagomål.docx", "A 40004-2026")</f>
        <v/>
      </c>
      <c r="AB219">
        <f>HYPERLINK("https://klasma.github.io/Logging_0883/klagomålsmail/A 40004-2026 FSC-klagomål mail.docx", "A 40004-2026")</f>
        <v/>
      </c>
      <c r="AC219">
        <f>HYPERLINK("https://klasma.github.io/Logging_0883/tillsyn/A 40004-2026 tillsynsbegäran.docx", "A 40004-2026")</f>
        <v/>
      </c>
      <c r="AD219">
        <f>HYPERLINK("https://klasma.github.io/Logging_0883/tillsynsmail/A 40004-2026 tillsynsbegäran mail.docx", "A 40004-2026")</f>
        <v/>
      </c>
      <c r="AE219">
        <f>HYPERLINK("https://klasma.github.io/Logging_0883/fåglar/A 40004-2026 prioriterade fågelarter.docx", "A 40004-2026")</f>
        <v/>
      </c>
    </row>
    <row r="220" ht="15" customHeight="1">
      <c r="A220" t="inlineStr">
        <is>
          <t>A 16874-2026</t>
        </is>
      </c>
      <c r="B220" t="inlineStr">
        <is>
          <t>avverkningsanmälan</t>
        </is>
      </c>
      <c r="C220" t="inlineStr">
        <is>
          <t>Föryngringsavverkning</t>
        </is>
      </c>
      <c r="D220" s="1" t="n">
        <v>46113</v>
      </c>
      <c r="E220" s="1" t="n">
        <v>46323</v>
      </c>
      <c r="F220" t="inlineStr">
        <is>
          <t>KALMAR LÄN</t>
        </is>
      </c>
      <c r="G220" t="inlineStr">
        <is>
          <t>MÖNSTERÅS</t>
        </is>
      </c>
      <c r="H220" t="inlineStr">
        <is>
          <t>Kommuner</t>
        </is>
      </c>
      <c r="I220" t="n">
        <v>4.6</v>
      </c>
      <c r="J220" t="n">
        <v>3</v>
      </c>
      <c r="K220" t="n">
        <v>4</v>
      </c>
      <c r="L220" t="n">
        <v>1</v>
      </c>
      <c r="M220" t="n">
        <v>0</v>
      </c>
      <c r="N220" t="n">
        <v>0</v>
      </c>
      <c r="O220" t="n">
        <v>0</v>
      </c>
      <c r="P220" t="n">
        <v>0</v>
      </c>
      <c r="Q220" t="n">
        <v>1</v>
      </c>
      <c r="R220" t="n">
        <v>0</v>
      </c>
      <c r="S220" t="n">
        <v>7</v>
      </c>
      <c r="T220" t="n">
        <v>20</v>
      </c>
      <c r="U220" t="n">
        <v>20</v>
      </c>
      <c r="V220" s="2" t="inlineStr">
        <is>
          <t>Talltita
Björksplintborre
Blåmossa
Brandticka
Grovticka
Spillkråka
Tofsmes</t>
        </is>
      </c>
      <c r="W220">
        <f>HYPERLINK("https://klasma.github.io/Logging_0861/artfynd/A 16874-2026 artfynd.xlsx", "A 16874-2026")</f>
        <v/>
      </c>
      <c r="X220">
        <f>HYPERLINK("https://klasma.github.io/Logging_0861/kartor/A 16874-2026 karta.png", "A 16874-2026")</f>
        <v/>
      </c>
      <c r="Y220">
        <f>HYPERLINK("https://klasma.github.io/Logging_0861/kartor_geotiff/A 16874-2026 georefererad karta.tif", "A 16874-2026")</f>
        <v/>
      </c>
      <c r="AA220">
        <f>HYPERLINK("https://klasma.github.io/Logging_0861/klagomål/A 16874-2026 FSC-klagomål.docx", "A 16874-2026")</f>
        <v/>
      </c>
      <c r="AB220">
        <f>HYPERLINK("https://klasma.github.io/Logging_0861/klagomålsmail/A 16874-2026 FSC-klagomål mail.docx", "A 16874-2026")</f>
        <v/>
      </c>
      <c r="AC220">
        <f>HYPERLINK("https://klasma.github.io/Logging_0861/tillsyn/A 16874-2026 tillsynsbegäran.docx", "A 16874-2026")</f>
        <v/>
      </c>
      <c r="AD220">
        <f>HYPERLINK("https://klasma.github.io/Logging_0861/tillsynsmail/A 16874-2026 tillsynsbegäran mail.docx", "A 16874-2026")</f>
        <v/>
      </c>
      <c r="AE220">
        <f>HYPERLINK("https://klasma.github.io/Logging_0861/fåglar/A 16874-2026 prioriterade fågelarter.docx", "A 16874-2026")</f>
        <v/>
      </c>
    </row>
    <row r="221" ht="15" customHeight="1">
      <c r="A221" t="inlineStr">
        <is>
          <t>A 56162-2025</t>
        </is>
      </c>
      <c r="B221" t="inlineStr">
        <is>
          <t>avverkningsanmälan</t>
        </is>
      </c>
      <c r="C221" t="inlineStr">
        <is>
          <t>Föryngringsavverkning</t>
        </is>
      </c>
      <c r="D221" s="1" t="n">
        <v>45974</v>
      </c>
      <c r="E221" s="1" t="n">
        <v>46323</v>
      </c>
      <c r="F221" t="inlineStr">
        <is>
          <t>KALMAR LÄN</t>
        </is>
      </c>
      <c r="G221" t="inlineStr">
        <is>
          <t>VÄSTERVIK</t>
        </is>
      </c>
      <c r="H221" t="inlineStr">
        <is>
          <t>Holmen skog AB</t>
        </is>
      </c>
      <c r="I221" t="n">
        <v>11.2</v>
      </c>
      <c r="J221" t="n">
        <v>3</v>
      </c>
      <c r="K221" t="n">
        <v>2</v>
      </c>
      <c r="L221" t="n">
        <v>3</v>
      </c>
      <c r="M221" t="n">
        <v>1</v>
      </c>
      <c r="N221" t="n">
        <v>0</v>
      </c>
      <c r="O221" t="n">
        <v>0</v>
      </c>
      <c r="P221" t="n">
        <v>0</v>
      </c>
      <c r="Q221" t="n">
        <v>4</v>
      </c>
      <c r="R221" t="n">
        <v>1</v>
      </c>
      <c r="S221" t="n">
        <v>7</v>
      </c>
      <c r="T221" t="n">
        <v>36</v>
      </c>
      <c r="U221" t="n">
        <v>36</v>
      </c>
      <c r="V221" s="2" t="inlineStr">
        <is>
          <t>Knärot
Dropptaggsvamp
Tallticka
Talltita
Blåmossa
Grönpyrola
Spillkråka</t>
        </is>
      </c>
      <c r="W221">
        <f>HYPERLINK("https://klasma.github.io/Logging_0883/artfynd/A 56162-2025 artfynd.xlsx", "A 56162-2025")</f>
        <v/>
      </c>
      <c r="X221">
        <f>HYPERLINK("https://klasma.github.io/Logging_0883/kartor/A 56162-2025 karta.png", "A 56162-2025")</f>
        <v/>
      </c>
      <c r="Y221">
        <f>HYPERLINK("https://klasma.github.io/Logging_0883/kartor_geotiff/A 56162-2025 georefererad karta.tif", "A 56162-2025")</f>
        <v/>
      </c>
      <c r="Z221">
        <f>HYPERLINK("https://klasma.github.io/Logging_0883/knärot/A 56162-2025 karta knärot.png", "A 56162-2025")</f>
        <v/>
      </c>
      <c r="AA221">
        <f>HYPERLINK("https://klasma.github.io/Logging_0883/klagomål/A 56162-2025 FSC-klagomål.docx", "A 56162-2025")</f>
        <v/>
      </c>
      <c r="AB221">
        <f>HYPERLINK("https://klasma.github.io/Logging_0883/klagomålsmail/A 56162-2025 FSC-klagomål mail.docx", "A 56162-2025")</f>
        <v/>
      </c>
      <c r="AC221">
        <f>HYPERLINK("https://klasma.github.io/Logging_0883/tillsyn/A 56162-2025 tillsynsbegäran.docx", "A 56162-2025")</f>
        <v/>
      </c>
      <c r="AD221">
        <f>HYPERLINK("https://klasma.github.io/Logging_0883/tillsynsmail/A 56162-2025 tillsynsbegäran mail.docx", "A 56162-2025")</f>
        <v/>
      </c>
      <c r="AE221">
        <f>HYPERLINK("https://klasma.github.io/Logging_0883/fåglar/A 56162-2025 prioriterade fågelarter.docx", "A 56162-2025")</f>
        <v/>
      </c>
    </row>
    <row r="222" ht="15" customHeight="1">
      <c r="A222" t="inlineStr">
        <is>
          <t>A 56968-2025</t>
        </is>
      </c>
      <c r="B222" t="inlineStr">
        <is>
          <t>avverkningsanmälan</t>
        </is>
      </c>
      <c r="C222" t="inlineStr">
        <is>
          <t>Föryngringsavverkning</t>
        </is>
      </c>
      <c r="D222" s="1" t="n">
        <v>45978</v>
      </c>
      <c r="E222" s="1" t="n">
        <v>46323</v>
      </c>
      <c r="F222" t="inlineStr">
        <is>
          <t>KALMAR LÄN</t>
        </is>
      </c>
      <c r="G222" t="inlineStr">
        <is>
          <t>VÄSTERVIK</t>
        </is>
      </c>
      <c r="H222" t="inlineStr">
        <is>
          <t>Holmen skog AB</t>
        </is>
      </c>
      <c r="I222" t="n">
        <v>4.1</v>
      </c>
      <c r="J222" t="n">
        <v>4</v>
      </c>
      <c r="K222" t="n">
        <v>1</v>
      </c>
      <c r="L222" t="n">
        <v>4</v>
      </c>
      <c r="M222" t="n">
        <v>0</v>
      </c>
      <c r="N222" t="n">
        <v>0</v>
      </c>
      <c r="O222" t="n">
        <v>0</v>
      </c>
      <c r="P222" t="n">
        <v>0</v>
      </c>
      <c r="Q222" t="n">
        <v>4</v>
      </c>
      <c r="R222" t="n">
        <v>0</v>
      </c>
      <c r="S222" t="n">
        <v>7</v>
      </c>
      <c r="T222" t="n">
        <v>9</v>
      </c>
      <c r="U222" t="n">
        <v>9</v>
      </c>
      <c r="V222" s="2" t="inlineStr">
        <is>
          <t>Blekticka
Ekticka
Mindre hackspett
Talltita
Barkticka
Spillkråka
Grönvit nattviol</t>
        </is>
      </c>
      <c r="W222">
        <f>HYPERLINK("https://klasma.github.io/Logging_0883/artfynd/A 56968-2025 artfynd.xlsx", "A 56968-2025")</f>
        <v/>
      </c>
      <c r="X222">
        <f>HYPERLINK("https://klasma.github.io/Logging_0883/kartor/A 56968-2025 karta.png", "A 56968-2025")</f>
        <v/>
      </c>
      <c r="Y222">
        <f>HYPERLINK("https://klasma.github.io/Logging_0883/kartor_geotiff/A 56968-2025 georefererad karta.tif", "A 56968-2025")</f>
        <v/>
      </c>
      <c r="AA222">
        <f>HYPERLINK("https://klasma.github.io/Logging_0883/klagomål/A 56968-2025 FSC-klagomål.docx", "A 56968-2025")</f>
        <v/>
      </c>
      <c r="AB222">
        <f>HYPERLINK("https://klasma.github.io/Logging_0883/klagomålsmail/A 56968-2025 FSC-klagomål mail.docx", "A 56968-2025")</f>
        <v/>
      </c>
      <c r="AC222">
        <f>HYPERLINK("https://klasma.github.io/Logging_0883/tillsyn/A 56968-2025 tillsynsbegäran.docx", "A 56968-2025")</f>
        <v/>
      </c>
      <c r="AD222">
        <f>HYPERLINK("https://klasma.github.io/Logging_0883/tillsynsmail/A 56968-2025 tillsynsbegäran mail.docx", "A 56968-2025")</f>
        <v/>
      </c>
      <c r="AE222">
        <f>HYPERLINK("https://klasma.github.io/Logging_0883/fåglar/A 56968-2025 prioriterade fågelarter.docx", "A 56968-2025")</f>
        <v/>
      </c>
    </row>
    <row r="223" ht="15" customHeight="1">
      <c r="A223" t="inlineStr">
        <is>
          <t>A 4397-2025</t>
        </is>
      </c>
      <c r="B223" t="inlineStr">
        <is>
          <t>avverkningsanmälan</t>
        </is>
      </c>
      <c r="C223" t="inlineStr">
        <is>
          <t>Föryngringsavverkning</t>
        </is>
      </c>
      <c r="D223" s="1" t="n">
        <v>45686</v>
      </c>
      <c r="E223" s="1" t="n">
        <v>46323</v>
      </c>
      <c r="F223" t="inlineStr">
        <is>
          <t>KALMAR LÄN</t>
        </is>
      </c>
      <c r="G223" t="inlineStr">
        <is>
          <t>VÄSTERVIK</t>
        </is>
      </c>
      <c r="H223" t="inlineStr">
        <is>
          <t>Holmen skog AB</t>
        </is>
      </c>
      <c r="I223" t="n">
        <v>10</v>
      </c>
      <c r="J223" t="n">
        <v>7</v>
      </c>
      <c r="K223" t="n">
        <v>0</v>
      </c>
      <c r="L223" t="n">
        <v>4</v>
      </c>
      <c r="M223" t="n">
        <v>1</v>
      </c>
      <c r="N223" t="n">
        <v>0</v>
      </c>
      <c r="O223" t="n">
        <v>0</v>
      </c>
      <c r="P223" t="n">
        <v>0</v>
      </c>
      <c r="Q223" t="n">
        <v>5</v>
      </c>
      <c r="R223" t="n">
        <v>1</v>
      </c>
      <c r="S223" t="n">
        <v>7</v>
      </c>
      <c r="T223" t="n">
        <v>18</v>
      </c>
      <c r="U223" t="n">
        <v>18</v>
      </c>
      <c r="V223" s="2" t="inlineStr">
        <is>
          <t>Knärot
Entita
Grönsångare
Mindre hackspett
Talltita
Kungsfågel
Skogsduva</t>
        </is>
      </c>
      <c r="W223">
        <f>HYPERLINK("https://klasma.github.io/Logging_0883/artfynd/A 4397-2025 artfynd.xlsx", "A 4397-2025")</f>
        <v/>
      </c>
      <c r="X223">
        <f>HYPERLINK("https://klasma.github.io/Logging_0883/kartor/A 4397-2025 karta.png", "A 4397-2025")</f>
        <v/>
      </c>
      <c r="Y223">
        <f>HYPERLINK("https://klasma.github.io/Logging_0883/kartor_geotiff/A 4397-2025 georefererad karta.tif", "A 4397-2025")</f>
        <v/>
      </c>
      <c r="Z223">
        <f>HYPERLINK("https://klasma.github.io/Logging_0883/knärot/A 4397-2025 karta knärot.png", "A 4397-2025")</f>
        <v/>
      </c>
      <c r="AA223">
        <f>HYPERLINK("https://klasma.github.io/Logging_0883/klagomål/A 4397-2025 FSC-klagomål.docx", "A 4397-2025")</f>
        <v/>
      </c>
      <c r="AB223">
        <f>HYPERLINK("https://klasma.github.io/Logging_0883/klagomålsmail/A 4397-2025 FSC-klagomål mail.docx", "A 4397-2025")</f>
        <v/>
      </c>
      <c r="AC223">
        <f>HYPERLINK("https://klasma.github.io/Logging_0883/tillsyn/A 4397-2025 tillsynsbegäran.docx", "A 4397-2025")</f>
        <v/>
      </c>
      <c r="AD223">
        <f>HYPERLINK("https://klasma.github.io/Logging_0883/tillsynsmail/A 4397-2025 tillsynsbegäran mail.docx", "A 4397-2025")</f>
        <v/>
      </c>
      <c r="AE223">
        <f>HYPERLINK("https://klasma.github.io/Logging_0883/fåglar/A 4397-2025 prioriterade fågelarter.docx", "A 4397-2025")</f>
        <v/>
      </c>
    </row>
    <row r="224" ht="15" customHeight="1">
      <c r="A224" t="inlineStr">
        <is>
          <t>A 37626-2024</t>
        </is>
      </c>
      <c r="B224" t="inlineStr">
        <is>
          <t>avverkningsanmälan</t>
        </is>
      </c>
      <c r="C224" t="inlineStr">
        <is>
          <t>Föryngringsavverkning</t>
        </is>
      </c>
      <c r="D224" s="1" t="n">
        <v>45541</v>
      </c>
      <c r="E224" s="1" t="n">
        <v>46323</v>
      </c>
      <c r="F224" t="inlineStr">
        <is>
          <t>KALMAR LÄN</t>
        </is>
      </c>
      <c r="G224" t="inlineStr">
        <is>
          <t>HULTSFRED</t>
        </is>
      </c>
      <c r="H224" t="inlineStr">
        <is>
          <t>Övriga Aktiebolag</t>
        </is>
      </c>
      <c r="I224" t="n">
        <v>5.7</v>
      </c>
      <c r="J224" t="n">
        <v>4</v>
      </c>
      <c r="K224" t="n">
        <v>0</v>
      </c>
      <c r="L224" t="n">
        <v>3</v>
      </c>
      <c r="M224" t="n">
        <v>2</v>
      </c>
      <c r="N224" t="n">
        <v>0</v>
      </c>
      <c r="O224" t="n">
        <v>0</v>
      </c>
      <c r="P224" t="n">
        <v>0</v>
      </c>
      <c r="Q224" t="n">
        <v>5</v>
      </c>
      <c r="R224" t="n">
        <v>2</v>
      </c>
      <c r="S224" t="n">
        <v>7</v>
      </c>
      <c r="T224" t="n">
        <v>20</v>
      </c>
      <c r="U224" t="n">
        <v>15</v>
      </c>
      <c r="V224" s="2" t="inlineStr">
        <is>
          <t>Knärot
Ryl
Dropptaggsvamp
Svinrot
Talltita
Blåsippa
Spillkråka</t>
        </is>
      </c>
      <c r="W224">
        <f>HYPERLINK("https://klasma.github.io/Logging_0860/artfynd/A 37626-2024 artfynd.xlsx", "A 37626-2024")</f>
        <v/>
      </c>
      <c r="X224">
        <f>HYPERLINK("https://klasma.github.io/Logging_0860/kartor/A 37626-2024 karta.png", "A 37626-2024")</f>
        <v/>
      </c>
      <c r="Y224">
        <f>HYPERLINK("https://klasma.github.io/Logging_0860/kartor_geotiff/A 37626-2024 georefererad karta.tif", "A 37626-2024")</f>
        <v/>
      </c>
      <c r="Z224">
        <f>HYPERLINK("https://klasma.github.io/Logging_0860/knärot/A 37626-2024 karta knärot.png", "A 37626-2024")</f>
        <v/>
      </c>
      <c r="AA224">
        <f>HYPERLINK("https://klasma.github.io/Logging_0860/klagomål/A 37626-2024 FSC-klagomål.docx", "A 37626-2024")</f>
        <v/>
      </c>
      <c r="AB224">
        <f>HYPERLINK("https://klasma.github.io/Logging_0860/klagomålsmail/A 37626-2024 FSC-klagomål mail.docx", "A 37626-2024")</f>
        <v/>
      </c>
      <c r="AC224">
        <f>HYPERLINK("https://klasma.github.io/Logging_0860/tillsyn/A 37626-2024 tillsynsbegäran.docx", "A 37626-2024")</f>
        <v/>
      </c>
      <c r="AD224">
        <f>HYPERLINK("https://klasma.github.io/Logging_0860/tillsynsmail/A 37626-2024 tillsynsbegäran mail.docx", "A 37626-2024")</f>
        <v/>
      </c>
      <c r="AE224">
        <f>HYPERLINK("https://klasma.github.io/Logging_0860/fåglar/A 37626-2024 prioriterade fågelarter.docx", "A 37626-2024")</f>
        <v/>
      </c>
    </row>
    <row r="225" ht="15" customHeight="1">
      <c r="A225" t="inlineStr">
        <is>
          <t>A 22933-2025</t>
        </is>
      </c>
      <c r="B225" t="inlineStr">
        <is>
          <t>avverkningsanmälan</t>
        </is>
      </c>
      <c r="C225" t="inlineStr">
        <is>
          <t>Föryngringsavverkning</t>
        </is>
      </c>
      <c r="D225" s="1" t="n">
        <v>45790</v>
      </c>
      <c r="E225" s="1" t="n">
        <v>46323</v>
      </c>
      <c r="F225" t="inlineStr">
        <is>
          <t>KALMAR LÄN</t>
        </is>
      </c>
      <c r="G225" t="inlineStr">
        <is>
          <t>HULTSFRED</t>
        </is>
      </c>
      <c r="I225" t="n">
        <v>2.3</v>
      </c>
      <c r="J225" t="n">
        <v>2</v>
      </c>
      <c r="K225" t="n">
        <v>1</v>
      </c>
      <c r="L225" t="n">
        <v>1</v>
      </c>
      <c r="M225" t="n">
        <v>2</v>
      </c>
      <c r="N225" t="n">
        <v>1</v>
      </c>
      <c r="O225" t="n">
        <v>0</v>
      </c>
      <c r="P225" t="n">
        <v>0</v>
      </c>
      <c r="Q225" t="n">
        <v>4</v>
      </c>
      <c r="R225" t="n">
        <v>3</v>
      </c>
      <c r="S225" t="n">
        <v>7</v>
      </c>
      <c r="T225" t="n">
        <v>7</v>
      </c>
      <c r="U225" t="n">
        <v>6</v>
      </c>
      <c r="V225" s="2" t="inlineStr">
        <is>
          <t>Ask
Knärot
Mindre bastardsvärmare
Mindre tåtelsmygare
Guldlockmossa
Ängskovall
Gullviva</t>
        </is>
      </c>
      <c r="W225">
        <f>HYPERLINK("https://klasma.github.io/Logging_0860/artfynd/A 22933-2025 artfynd.xlsx", "A 22933-2025")</f>
        <v/>
      </c>
      <c r="X225">
        <f>HYPERLINK("https://klasma.github.io/Logging_0860/kartor/A 22933-2025 karta.png", "A 22933-2025")</f>
        <v/>
      </c>
      <c r="Y225">
        <f>HYPERLINK("https://klasma.github.io/Logging_0860/kartor_geotiff/A 22933-2025 georefererad karta.tif", "A 22933-2025")</f>
        <v/>
      </c>
      <c r="Z225">
        <f>HYPERLINK("https://klasma.github.io/Logging_0860/knärot/A 22933-2025 karta knärot.png", "A 22933-2025")</f>
        <v/>
      </c>
      <c r="AA225">
        <f>HYPERLINK("https://klasma.github.io/Logging_0860/klagomål/A 22933-2025 FSC-klagomål.docx", "A 22933-2025")</f>
        <v/>
      </c>
      <c r="AB225">
        <f>HYPERLINK("https://klasma.github.io/Logging_0860/klagomålsmail/A 22933-2025 FSC-klagomål mail.docx", "A 22933-2025")</f>
        <v/>
      </c>
      <c r="AC225">
        <f>HYPERLINK("https://klasma.github.io/Logging_0860/tillsyn/A 22933-2025 tillsynsbegäran.docx", "A 22933-2025")</f>
        <v/>
      </c>
      <c r="AD225">
        <f>HYPERLINK("https://klasma.github.io/Logging_0860/tillsynsmail/A 22933-2025 tillsynsbegäran mail.docx", "A 22933-2025")</f>
        <v/>
      </c>
    </row>
    <row r="226" ht="15" customHeight="1">
      <c r="A226" t="inlineStr">
        <is>
          <t>A 4183-2024</t>
        </is>
      </c>
      <c r="B226" t="inlineStr">
        <is>
          <t>avverkningsanmälan</t>
        </is>
      </c>
      <c r="C226" t="inlineStr">
        <is>
          <t>Avverkning för annat ändamål</t>
        </is>
      </c>
      <c r="D226" s="1" t="n">
        <v>45324</v>
      </c>
      <c r="E226" s="1" t="n">
        <v>46323</v>
      </c>
      <c r="F226" t="inlineStr">
        <is>
          <t>KALMAR LÄN</t>
        </is>
      </c>
      <c r="G226" t="inlineStr">
        <is>
          <t>KALMAR</t>
        </is>
      </c>
      <c r="I226" t="n">
        <v>3</v>
      </c>
      <c r="J226" t="n">
        <v>3</v>
      </c>
      <c r="K226" t="n">
        <v>1</v>
      </c>
      <c r="L226" t="n">
        <v>3</v>
      </c>
      <c r="M226" t="n">
        <v>1</v>
      </c>
      <c r="N226" t="n">
        <v>0</v>
      </c>
      <c r="O226" t="n">
        <v>0</v>
      </c>
      <c r="P226" t="n">
        <v>0</v>
      </c>
      <c r="Q226" t="n">
        <v>4</v>
      </c>
      <c r="R226" t="n">
        <v>1</v>
      </c>
      <c r="S226" t="n">
        <v>7</v>
      </c>
      <c r="T226" t="n">
        <v>11</v>
      </c>
      <c r="U226" t="n">
        <v>10</v>
      </c>
      <c r="V226" s="2" t="inlineStr">
        <is>
          <t>Backsippa
Flentimotej
Solvända
Tallticka
Murgröna
Blåsippa
Grönvit nattviol</t>
        </is>
      </c>
      <c r="W226">
        <f>HYPERLINK("https://klasma.github.io/Logging_0880/artfynd/A 4183-2024 artfynd.xlsx", "A 4183-2024")</f>
        <v/>
      </c>
      <c r="X226">
        <f>HYPERLINK("https://klasma.github.io/Logging_0880/kartor/A 4183-2024 karta.png", "A 4183-2024")</f>
        <v/>
      </c>
      <c r="Y226">
        <f>HYPERLINK("https://klasma.github.io/Logging_0880/kartor_geotiff/A 4183-2024 georefererad karta.tif", "A 4183-2024")</f>
        <v/>
      </c>
      <c r="AA226">
        <f>HYPERLINK("https://klasma.github.io/Logging_0880/klagomål/A 4183-2024 FSC-klagomål.docx", "A 4183-2024")</f>
        <v/>
      </c>
      <c r="AB226">
        <f>HYPERLINK("https://klasma.github.io/Logging_0880/klagomålsmail/A 4183-2024 FSC-klagomål mail.docx", "A 4183-2024")</f>
        <v/>
      </c>
      <c r="AC226">
        <f>HYPERLINK("https://klasma.github.io/Logging_0880/tillsyn/A 4183-2024 tillsynsbegäran.docx", "A 4183-2024")</f>
        <v/>
      </c>
      <c r="AD226">
        <f>HYPERLINK("https://klasma.github.io/Logging_0880/tillsynsmail/A 4183-2024 tillsynsbegäran mail.docx", "A 4183-2024")</f>
        <v/>
      </c>
    </row>
    <row r="227" ht="15" customHeight="1">
      <c r="A227" t="inlineStr">
        <is>
          <t>A 28899-2026</t>
        </is>
      </c>
      <c r="B227" t="inlineStr">
        <is>
          <t>avverkningsanmälan</t>
        </is>
      </c>
      <c r="C227" t="inlineStr">
        <is>
          <t>Föryngringsavverkning</t>
        </is>
      </c>
      <c r="D227" s="1" t="n">
        <v>46199</v>
      </c>
      <c r="E227" s="1" t="n">
        <v>46323</v>
      </c>
      <c r="F227" t="inlineStr">
        <is>
          <t>KALMAR LÄN</t>
        </is>
      </c>
      <c r="G227" t="inlineStr">
        <is>
          <t>HÖGSBY</t>
        </is>
      </c>
      <c r="I227" t="n">
        <v>1.8</v>
      </c>
      <c r="J227" t="n">
        <v>4</v>
      </c>
      <c r="K227" t="n">
        <v>2</v>
      </c>
      <c r="L227" t="n">
        <v>2</v>
      </c>
      <c r="M227" t="n">
        <v>0</v>
      </c>
      <c r="N227" t="n">
        <v>0</v>
      </c>
      <c r="O227" t="n">
        <v>0</v>
      </c>
      <c r="P227" t="n">
        <v>0</v>
      </c>
      <c r="Q227" t="n">
        <v>2</v>
      </c>
      <c r="R227" t="n">
        <v>0</v>
      </c>
      <c r="S227" t="n">
        <v>7</v>
      </c>
      <c r="T227" t="n">
        <v>7</v>
      </c>
      <c r="U227" t="n">
        <v>7</v>
      </c>
      <c r="V227" s="2" t="inlineStr">
        <is>
          <t>Större flatbagge
Talltita
Björksplintborre
Blomkålssvamp
Blåsippa
Spillkråka
Stjärtmes</t>
        </is>
      </c>
      <c r="W227">
        <f>HYPERLINK("https://klasma.github.io/Logging_0821/artfynd/A 28899-2026 artfynd.xlsx", "A 28899-2026")</f>
        <v/>
      </c>
      <c r="X227">
        <f>HYPERLINK("https://klasma.github.io/Logging_0821/kartor/A 28899-2026 karta.png", "A 28899-2026")</f>
        <v/>
      </c>
      <c r="Y227">
        <f>HYPERLINK("https://klasma.github.io/Logging_0821/kartor_geotiff/A 28899-2026 georefererad karta.tif", "A 28899-2026")</f>
        <v/>
      </c>
      <c r="AA227">
        <f>HYPERLINK("https://klasma.github.io/Logging_0821/klagomål/A 28899-2026 FSC-klagomål.docx", "A 28899-2026")</f>
        <v/>
      </c>
      <c r="AB227">
        <f>HYPERLINK("https://klasma.github.io/Logging_0821/klagomålsmail/A 28899-2026 FSC-klagomål mail.docx", "A 28899-2026")</f>
        <v/>
      </c>
      <c r="AC227">
        <f>HYPERLINK("https://klasma.github.io/Logging_0821/tillsyn/A 28899-2026 tillsynsbegäran.docx", "A 28899-2026")</f>
        <v/>
      </c>
      <c r="AD227">
        <f>HYPERLINK("https://klasma.github.io/Logging_0821/tillsynsmail/A 28899-2026 tillsynsbegäran mail.docx", "A 28899-2026")</f>
        <v/>
      </c>
      <c r="AE227">
        <f>HYPERLINK("https://klasma.github.io/Logging_0821/fåglar/A 28899-2026 prioriterade fågelarter.docx", "A 28899-2026")</f>
        <v/>
      </c>
    </row>
    <row r="228" ht="15" customHeight="1">
      <c r="A228" t="inlineStr">
        <is>
          <t>A 20366-2024</t>
        </is>
      </c>
      <c r="B228" t="inlineStr">
        <is>
          <t>avverkningsanmälan</t>
        </is>
      </c>
      <c r="C228" t="inlineStr">
        <is>
          <t>Föryngringsavverkning</t>
        </is>
      </c>
      <c r="D228" s="1" t="n">
        <v>45435</v>
      </c>
      <c r="E228" s="1" t="n">
        <v>46323</v>
      </c>
      <c r="F228" t="inlineStr">
        <is>
          <t>KALMAR LÄN</t>
        </is>
      </c>
      <c r="G228" t="inlineStr">
        <is>
          <t>VÄSTERVIK</t>
        </is>
      </c>
      <c r="I228" t="n">
        <v>0.8</v>
      </c>
      <c r="J228" t="n">
        <v>5</v>
      </c>
      <c r="K228" t="n">
        <v>2</v>
      </c>
      <c r="L228" t="n">
        <v>3</v>
      </c>
      <c r="M228" t="n">
        <v>1</v>
      </c>
      <c r="N228" t="n">
        <v>0</v>
      </c>
      <c r="O228" t="n">
        <v>0</v>
      </c>
      <c r="P228" t="n">
        <v>0</v>
      </c>
      <c r="Q228" t="n">
        <v>4</v>
      </c>
      <c r="R228" t="n">
        <v>1</v>
      </c>
      <c r="S228" t="n">
        <v>7</v>
      </c>
      <c r="T228" t="n">
        <v>16</v>
      </c>
      <c r="U228" t="n">
        <v>16</v>
      </c>
      <c r="V228" s="2" t="inlineStr">
        <is>
          <t>Smalsprötad bastardsvärmare
Entita
Tallticka
Talltita
Ekoxe
Purpurknipprot
Spillkråka</t>
        </is>
      </c>
      <c r="W228">
        <f>HYPERLINK("https://klasma.github.io/Logging_0883/artfynd/A 20366-2024 artfynd.xlsx", "A 20366-2024")</f>
        <v/>
      </c>
      <c r="X228">
        <f>HYPERLINK("https://klasma.github.io/Logging_0883/kartor/A 20366-2024 karta.png", "A 20366-2024")</f>
        <v/>
      </c>
      <c r="Y228">
        <f>HYPERLINK("https://klasma.github.io/Logging_0883/kartor_geotiff/A 20366-2024 georefererad karta.tif", "A 20366-2024")</f>
        <v/>
      </c>
      <c r="AA228">
        <f>HYPERLINK("https://klasma.github.io/Logging_0883/klagomål/A 20366-2024 FSC-klagomål.docx", "A 20366-2024")</f>
        <v/>
      </c>
      <c r="AB228">
        <f>HYPERLINK("https://klasma.github.io/Logging_0883/klagomålsmail/A 20366-2024 FSC-klagomål mail.docx", "A 20366-2024")</f>
        <v/>
      </c>
      <c r="AC228">
        <f>HYPERLINK("https://klasma.github.io/Logging_0883/tillsyn/A 20366-2024 tillsynsbegäran.docx", "A 20366-2024")</f>
        <v/>
      </c>
      <c r="AD228">
        <f>HYPERLINK("https://klasma.github.io/Logging_0883/tillsynsmail/A 20366-2024 tillsynsbegäran mail.docx", "A 20366-2024")</f>
        <v/>
      </c>
      <c r="AE228">
        <f>HYPERLINK("https://klasma.github.io/Logging_0883/fåglar/A 20366-2024 prioriterade fågelarter.docx", "A 20366-2024")</f>
        <v/>
      </c>
    </row>
    <row r="229" ht="15" customHeight="1">
      <c r="A229" t="inlineStr">
        <is>
          <t>A 40361-2023</t>
        </is>
      </c>
      <c r="B229" t="inlineStr">
        <is>
          <t>avverkningsanmälan</t>
        </is>
      </c>
      <c r="C229" t="inlineStr">
        <is>
          <t>Avverkning för annat ändamål</t>
        </is>
      </c>
      <c r="D229" s="1" t="n">
        <v>45169</v>
      </c>
      <c r="E229" s="1" t="n">
        <v>46323</v>
      </c>
      <c r="F229" t="inlineStr">
        <is>
          <t>KALMAR LÄN</t>
        </is>
      </c>
      <c r="G229" t="inlineStr">
        <is>
          <t>MÖRBYLÅNGA</t>
        </is>
      </c>
      <c r="I229" t="n">
        <v>1.1</v>
      </c>
      <c r="J229" t="n">
        <v>1</v>
      </c>
      <c r="K229" t="n">
        <v>0</v>
      </c>
      <c r="L229" t="n">
        <v>4</v>
      </c>
      <c r="M229" t="n">
        <v>0</v>
      </c>
      <c r="N229" t="n">
        <v>2</v>
      </c>
      <c r="O229" t="n">
        <v>0</v>
      </c>
      <c r="P229" t="n">
        <v>0</v>
      </c>
      <c r="Q229" t="n">
        <v>6</v>
      </c>
      <c r="R229" t="n">
        <v>2</v>
      </c>
      <c r="S229" t="n">
        <v>7</v>
      </c>
      <c r="T229" t="n">
        <v>11</v>
      </c>
      <c r="U229" t="n">
        <v>10</v>
      </c>
      <c r="V229" s="2" t="inlineStr">
        <is>
          <t>Ask
Lundalm
Sminkrot
Vippärt
Ängsskära
Åkerrödtoppa
Näktergal</t>
        </is>
      </c>
      <c r="W229">
        <f>HYPERLINK("https://klasma.github.io/Logging_0840/artfynd/A 40361-2023 artfynd.xlsx", "A 40361-2023")</f>
        <v/>
      </c>
      <c r="X229">
        <f>HYPERLINK("https://klasma.github.io/Logging_0840/kartor/A 40361-2023 karta.png", "A 40361-2023")</f>
        <v/>
      </c>
      <c r="Y229">
        <f>HYPERLINK("https://klasma.github.io/Logging_0840/kartor_geotiff/A 40361-2023 georefererad karta.tif", "A 40361-2023")</f>
        <v/>
      </c>
      <c r="AA229">
        <f>HYPERLINK("https://klasma.github.io/Logging_0840/klagomål/A 40361-2023 FSC-klagomål.docx", "A 40361-2023")</f>
        <v/>
      </c>
      <c r="AB229">
        <f>HYPERLINK("https://klasma.github.io/Logging_0840/klagomålsmail/A 40361-2023 FSC-klagomål mail.docx", "A 40361-2023")</f>
        <v/>
      </c>
      <c r="AC229">
        <f>HYPERLINK("https://klasma.github.io/Logging_0840/tillsyn/A 40361-2023 tillsynsbegäran.docx", "A 40361-2023")</f>
        <v/>
      </c>
      <c r="AD229">
        <f>HYPERLINK("https://klasma.github.io/Logging_0840/tillsynsmail/A 40361-2023 tillsynsbegäran mail.docx", "A 40361-2023")</f>
        <v/>
      </c>
      <c r="AE229">
        <f>HYPERLINK("https://klasma.github.io/Logging_0840/fåglar/A 40361-2023 prioriterade fågelarter.docx", "A 40361-2023")</f>
        <v/>
      </c>
    </row>
    <row r="230" ht="15" customHeight="1">
      <c r="A230" t="inlineStr">
        <is>
          <t>S 2201-2022</t>
        </is>
      </c>
      <c r="B230" t="inlineStr">
        <is>
          <t>samrådsanmälan</t>
        </is>
      </c>
      <c r="C230" t="inlineStr">
        <is>
          <t>Åtgärd i nyckelbiotop</t>
        </is>
      </c>
      <c r="D230" s="1" t="n">
        <v>44679</v>
      </c>
      <c r="E230" s="1" t="n">
        <v>46323</v>
      </c>
      <c r="F230" t="inlineStr">
        <is>
          <t>KALMAR LÄN</t>
        </is>
      </c>
      <c r="G230" t="inlineStr">
        <is>
          <t>HÖGSBY</t>
        </is>
      </c>
      <c r="I230" t="n">
        <v>0.7</v>
      </c>
      <c r="J230" t="n">
        <v>0</v>
      </c>
      <c r="K230" t="n">
        <v>0</v>
      </c>
      <c r="L230" t="n">
        <v>5</v>
      </c>
      <c r="M230" t="n">
        <v>0</v>
      </c>
      <c r="N230" t="n">
        <v>2</v>
      </c>
      <c r="O230" t="n">
        <v>0</v>
      </c>
      <c r="P230" t="n">
        <v>0</v>
      </c>
      <c r="Q230" t="n">
        <v>7</v>
      </c>
      <c r="R230" t="n">
        <v>2</v>
      </c>
      <c r="S230" t="n">
        <v>7</v>
      </c>
      <c r="T230" t="n">
        <v>21</v>
      </c>
      <c r="U230" t="n">
        <v>0</v>
      </c>
      <c r="V230" s="2" t="inlineStr">
        <is>
          <t>Koppartaggsvamp
Raggtaggsvamp
Fjällig taggsvamp s.str.
Luddfingersvamp
Orange taggsvamp
Skarp dropptaggsvamp
Tjockfotad fingersvamp</t>
        </is>
      </c>
      <c r="W230">
        <f>HYPERLINK("https://klasma.github.io/Logging_0821/artfynd/S 2201-2022 artfynd.xlsx", "S 2201-2022")</f>
        <v/>
      </c>
      <c r="X230">
        <f>HYPERLINK("https://klasma.github.io/Logging_0821/kartor/S 2201-2022 karta.png", "S 2201-2022")</f>
        <v/>
      </c>
      <c r="Y230">
        <f>HYPERLINK("https://klasma.github.io/Logging_0821/kartor_geotiff/S 2201-2022 georefererad karta.tif", "S 2201-2022")</f>
        <v/>
      </c>
      <c r="AA230">
        <f>HYPERLINK("https://klasma.github.io/Logging_0821/klagomål/S 2201-2022 FSC-klagomål.docx", "S 2201-2022")</f>
        <v/>
      </c>
      <c r="AB230">
        <f>HYPERLINK("https://klasma.github.io/Logging_0821/klagomålsmail/S 2201-2022 FSC-klagomål mail.docx", "S 2201-2022")</f>
        <v/>
      </c>
      <c r="AC230">
        <f>HYPERLINK("https://klasma.github.io/Logging_0821/tillsyn/S 2201-2022 tillsynsbegäran.docx", "S 2201-2022")</f>
        <v/>
      </c>
      <c r="AD230">
        <f>HYPERLINK("https://klasma.github.io/Logging_0821/tillsynsmail/S 2201-2022 tillsynsbegäran mail.docx", "S 2201-2022")</f>
        <v/>
      </c>
    </row>
    <row r="231" ht="15" customHeight="1">
      <c r="A231" t="inlineStr">
        <is>
          <t>S 2360-2024</t>
        </is>
      </c>
      <c r="B231" t="inlineStr">
        <is>
          <t>samrådsanmälan</t>
        </is>
      </c>
      <c r="C231" t="inlineStr">
        <is>
          <t>Annan skogsbruksåtgärd</t>
        </is>
      </c>
      <c r="D231" s="1" t="n">
        <v>45467</v>
      </c>
      <c r="E231" s="1" t="n">
        <v>46323</v>
      </c>
      <c r="F231" t="inlineStr">
        <is>
          <t>KALMAR LÄN</t>
        </is>
      </c>
      <c r="G231" t="inlineStr">
        <is>
          <t>VÄSTERVIK</t>
        </is>
      </c>
      <c r="H231" t="inlineStr">
        <is>
          <t>Kommuner</t>
        </is>
      </c>
      <c r="I231" t="n">
        <v>1.7</v>
      </c>
      <c r="J231" t="n">
        <v>0</v>
      </c>
      <c r="K231" t="n">
        <v>3</v>
      </c>
      <c r="L231" t="n">
        <v>4</v>
      </c>
      <c r="M231" t="n">
        <v>0</v>
      </c>
      <c r="N231" t="n">
        <v>0</v>
      </c>
      <c r="O231" t="n">
        <v>0</v>
      </c>
      <c r="P231" t="n">
        <v>0</v>
      </c>
      <c r="Q231" t="n">
        <v>4</v>
      </c>
      <c r="R231" t="n">
        <v>0</v>
      </c>
      <c r="S231" t="n">
        <v>7</v>
      </c>
      <c r="T231" t="n">
        <v>16</v>
      </c>
      <c r="U231" t="n">
        <v>0</v>
      </c>
      <c r="V231" s="2" t="inlineStr">
        <is>
          <t>Ekticka
Gammelekslav
Oxtungssvamp
Tallticka
Grå skärelav
Svart trolldruva
Tibast</t>
        </is>
      </c>
      <c r="W231">
        <f>HYPERLINK("https://klasma.github.io/Logging_0883/artfynd/S 2360-2024 artfynd.xlsx", "S 2360-2024")</f>
        <v/>
      </c>
      <c r="X231">
        <f>HYPERLINK("https://klasma.github.io/Logging_0883/kartor/S 2360-2024 karta.png", "S 2360-2024")</f>
        <v/>
      </c>
      <c r="Y231">
        <f>HYPERLINK("https://klasma.github.io/Logging_0883/kartor_geotiff/S 2360-2024 georefererad karta.tif", "S 2360-2024")</f>
        <v/>
      </c>
      <c r="AA231">
        <f>HYPERLINK("https://klasma.github.io/Logging_0883/klagomål/S 2360-2024 FSC-klagomål.docx", "S 2360-2024")</f>
        <v/>
      </c>
      <c r="AB231">
        <f>HYPERLINK("https://klasma.github.io/Logging_0883/klagomålsmail/S 2360-2024 FSC-klagomål mail.docx", "S 2360-2024")</f>
        <v/>
      </c>
      <c r="AC231">
        <f>HYPERLINK("https://klasma.github.io/Logging_0883/tillsyn/S 2360-2024 tillsynsbegäran.docx", "S 2360-2024")</f>
        <v/>
      </c>
      <c r="AD231">
        <f>HYPERLINK("https://klasma.github.io/Logging_0883/tillsynsmail/S 2360-2024 tillsynsbegäran mail.docx", "S 2360-2024")</f>
        <v/>
      </c>
    </row>
    <row r="232" ht="15" customHeight="1">
      <c r="A232" t="inlineStr">
        <is>
          <t>S 5036-2024</t>
        </is>
      </c>
      <c r="B232" t="inlineStr">
        <is>
          <t>samrådsanmälan</t>
        </is>
      </c>
      <c r="C232" t="inlineStr">
        <is>
          <t>Stubbskörd</t>
        </is>
      </c>
      <c r="D232" s="1" t="n">
        <v>45636</v>
      </c>
      <c r="E232" s="1" t="n">
        <v>46323</v>
      </c>
      <c r="F232" t="inlineStr">
        <is>
          <t>KALMAR LÄN</t>
        </is>
      </c>
      <c r="G232" t="inlineStr">
        <is>
          <t>HÖGSBY</t>
        </is>
      </c>
      <c r="H232" t="inlineStr">
        <is>
          <t>Övriga Aktiebolag</t>
        </is>
      </c>
      <c r="I232" t="n">
        <v>13.4</v>
      </c>
      <c r="J232" t="n">
        <v>5</v>
      </c>
      <c r="K232" t="n">
        <v>1</v>
      </c>
      <c r="L232" t="n">
        <v>2</v>
      </c>
      <c r="M232" t="n">
        <v>1</v>
      </c>
      <c r="N232" t="n">
        <v>0</v>
      </c>
      <c r="O232" t="n">
        <v>0</v>
      </c>
      <c r="P232" t="n">
        <v>0</v>
      </c>
      <c r="Q232" t="n">
        <v>3</v>
      </c>
      <c r="R232" t="n">
        <v>1</v>
      </c>
      <c r="S232" t="n">
        <v>7</v>
      </c>
      <c r="T232" t="n">
        <v>27</v>
      </c>
      <c r="U232" t="n">
        <v>0</v>
      </c>
      <c r="V232" s="2" t="inlineStr">
        <is>
          <t>Knärot
Slåtterfibbla
Tallticka
Ekoxe
Blåsippa
Spillkråka
Gullviva</t>
        </is>
      </c>
      <c r="W232">
        <f>HYPERLINK("https://klasma.github.io/Logging_0821/artfynd/S 5036-2024 artfynd.xlsx", "S 5036-2024")</f>
        <v/>
      </c>
      <c r="X232">
        <f>HYPERLINK("https://klasma.github.io/Logging_0821/kartor/S 5036-2024 karta.png", "S 5036-2024")</f>
        <v/>
      </c>
      <c r="Y232">
        <f>HYPERLINK("https://klasma.github.io/Logging_0821/kartor_geotiff/S 5036-2024 georefererad karta.tif", "S 5036-2024")</f>
        <v/>
      </c>
      <c r="Z232">
        <f>HYPERLINK("https://klasma.github.io/Logging_0821/knärot/S 5036-2024 karta knärot.png", "S 5036-2024")</f>
        <v/>
      </c>
      <c r="AA232">
        <f>HYPERLINK("https://klasma.github.io/Logging_0821/klagomål/S 5036-2024 FSC-klagomål.docx", "S 5036-2024")</f>
        <v/>
      </c>
      <c r="AB232">
        <f>HYPERLINK("https://klasma.github.io/Logging_0821/klagomålsmail/S 5036-2024 FSC-klagomål mail.docx", "S 5036-2024")</f>
        <v/>
      </c>
      <c r="AC232">
        <f>HYPERLINK("https://klasma.github.io/Logging_0821/tillsyn/S 5036-2024 tillsynsbegäran.docx", "S 5036-2024")</f>
        <v/>
      </c>
      <c r="AD232">
        <f>HYPERLINK("https://klasma.github.io/Logging_0821/tillsynsmail/S 5036-2024 tillsynsbegäran mail.docx", "S 5036-2024")</f>
        <v/>
      </c>
      <c r="AE232">
        <f>HYPERLINK("https://klasma.github.io/Logging_0821/fåglar/S 5036-2024 prioriterade fågelarter.docx", "S 5036-2024")</f>
        <v/>
      </c>
    </row>
    <row r="233" ht="15" customHeight="1">
      <c r="A233" t="inlineStr">
        <is>
          <t>S 2616-2024</t>
        </is>
      </c>
      <c r="B233" t="inlineStr">
        <is>
          <t>samrådsanmälan</t>
        </is>
      </c>
      <c r="C233" t="inlineStr">
        <is>
          <t>Askåterföring</t>
        </is>
      </c>
      <c r="D233" s="1" t="n">
        <v>45477</v>
      </c>
      <c r="E233" s="1" t="n">
        <v>46323</v>
      </c>
      <c r="F233" t="inlineStr">
        <is>
          <t>KALMAR LÄN</t>
        </is>
      </c>
      <c r="G233" t="inlineStr">
        <is>
          <t>HULTSFRED</t>
        </is>
      </c>
      <c r="I233" t="n">
        <v>87.59999999999999</v>
      </c>
      <c r="J233" t="n">
        <v>6</v>
      </c>
      <c r="K233" t="n">
        <v>1</v>
      </c>
      <c r="L233" t="n">
        <v>3</v>
      </c>
      <c r="M233" t="n">
        <v>0</v>
      </c>
      <c r="N233" t="n">
        <v>0</v>
      </c>
      <c r="O233" t="n">
        <v>0</v>
      </c>
      <c r="P233" t="n">
        <v>0</v>
      </c>
      <c r="Q233" t="n">
        <v>3</v>
      </c>
      <c r="R233" t="n">
        <v>0</v>
      </c>
      <c r="S233" t="n">
        <v>7</v>
      </c>
      <c r="T233" t="n">
        <v>13</v>
      </c>
      <c r="U233" t="n">
        <v>0</v>
      </c>
      <c r="V233" s="2" t="inlineStr">
        <is>
          <t>Brunlångöra
Fransfladdermus
Nordfladdermus
Fällmossa
Blåsippa
Dvärgpipistrell
Vattenfladdermus</t>
        </is>
      </c>
      <c r="W233">
        <f>HYPERLINK("https://klasma.github.io/Logging_0860/artfynd/S 2616-2024 artfynd.xlsx", "S 2616-2024")</f>
        <v/>
      </c>
      <c r="X233">
        <f>HYPERLINK("https://klasma.github.io/Logging_0860/kartor/S 2616-2024 karta.png", "S 2616-2024")</f>
        <v/>
      </c>
      <c r="Y233">
        <f>HYPERLINK("https://klasma.github.io/Logging_0860/kartor_geotiff/S 2616-2024 georefererad karta.tif", "S 2616-2024")</f>
        <v/>
      </c>
      <c r="AA233">
        <f>HYPERLINK("https://klasma.github.io/Logging_0860/klagomål/S 2616-2024 FSC-klagomål.docx", "S 2616-2024")</f>
        <v/>
      </c>
      <c r="AB233">
        <f>HYPERLINK("https://klasma.github.io/Logging_0860/klagomålsmail/S 2616-2024 FSC-klagomål mail.docx", "S 2616-2024")</f>
        <v/>
      </c>
      <c r="AC233">
        <f>HYPERLINK("https://klasma.github.io/Logging_0860/tillsyn/S 2616-2024 tillsynsbegäran.docx", "S 2616-2024")</f>
        <v/>
      </c>
      <c r="AD233">
        <f>HYPERLINK("https://klasma.github.io/Logging_0860/tillsynsmail/S 2616-2024 tillsynsbegäran mail.docx", "S 2616-2024")</f>
        <v/>
      </c>
    </row>
    <row r="234" ht="15" customHeight="1">
      <c r="A234" t="inlineStr">
        <is>
          <t>S 3034-2025</t>
        </is>
      </c>
      <c r="B234" t="inlineStr">
        <is>
          <t>samrådsanmälan</t>
        </is>
      </c>
      <c r="C234" t="inlineStr">
        <is>
          <t>Annan skogsbruksåtgärd</t>
        </is>
      </c>
      <c r="D234" s="1" t="n">
        <v>45961</v>
      </c>
      <c r="E234" s="1" t="n">
        <v>46323</v>
      </c>
      <c r="F234" t="inlineStr">
        <is>
          <t>KALMAR LÄN</t>
        </is>
      </c>
      <c r="G234" t="inlineStr">
        <is>
          <t>VÄSTERVIK</t>
        </is>
      </c>
      <c r="H234" t="inlineStr">
        <is>
          <t>Sveaskog</t>
        </is>
      </c>
      <c r="I234" t="n">
        <v>2.1</v>
      </c>
      <c r="J234" t="n">
        <v>3</v>
      </c>
      <c r="K234" t="n">
        <v>3</v>
      </c>
      <c r="L234" t="n">
        <v>2</v>
      </c>
      <c r="M234" t="n">
        <v>0</v>
      </c>
      <c r="N234" t="n">
        <v>0</v>
      </c>
      <c r="O234" t="n">
        <v>0</v>
      </c>
      <c r="P234" t="n">
        <v>0</v>
      </c>
      <c r="Q234" t="n">
        <v>2</v>
      </c>
      <c r="R234" t="n">
        <v>0</v>
      </c>
      <c r="S234" t="n">
        <v>7</v>
      </c>
      <c r="T234" t="n">
        <v>8</v>
      </c>
      <c r="U234" t="n">
        <v>4</v>
      </c>
      <c r="V234" s="2" t="inlineStr">
        <is>
          <t>Tallticka
Talltita
Blåmossa
Flagellkvastmossa
Fällmossa
Blåsippa
Spillkråka</t>
        </is>
      </c>
      <c r="W234">
        <f>HYPERLINK("https://klasma.github.io/Logging_0883/artfynd/S 3034-2025 artfynd.xlsx", "S 3034-2025")</f>
        <v/>
      </c>
      <c r="X234">
        <f>HYPERLINK("https://klasma.github.io/Logging_0883/kartor/S 3034-2025 karta.png", "S 3034-2025")</f>
        <v/>
      </c>
      <c r="Y234">
        <f>HYPERLINK("https://klasma.github.io/Logging_0883/kartor_geotiff/S 3034-2025 georefererad karta.tif", "S 3034-2025")</f>
        <v/>
      </c>
      <c r="AA234">
        <f>HYPERLINK("https://klasma.github.io/Logging_0883/klagomål/S 3034-2025 FSC-klagomål.docx", "S 3034-2025")</f>
        <v/>
      </c>
      <c r="AB234">
        <f>HYPERLINK("https://klasma.github.io/Logging_0883/klagomålsmail/S 3034-2025 FSC-klagomål mail.docx", "S 3034-2025")</f>
        <v/>
      </c>
      <c r="AC234">
        <f>HYPERLINK("https://klasma.github.io/Logging_0883/tillsyn/S 3034-2025 tillsynsbegäran.docx", "S 3034-2025")</f>
        <v/>
      </c>
      <c r="AD234">
        <f>HYPERLINK("https://klasma.github.io/Logging_0883/tillsynsmail/S 3034-2025 tillsynsbegäran mail.docx", "S 3034-2025")</f>
        <v/>
      </c>
      <c r="AE234">
        <f>HYPERLINK("https://klasma.github.io/Logging_0883/fåglar/S 3034-2025 prioriterade fågelarter.docx", "S 3034-2025")</f>
        <v/>
      </c>
    </row>
    <row r="235" ht="15" customHeight="1">
      <c r="A235" t="inlineStr">
        <is>
          <t>A 71188-2021</t>
        </is>
      </c>
      <c r="B235" t="inlineStr">
        <is>
          <t>avverkningsanmälan</t>
        </is>
      </c>
      <c r="C235" t="inlineStr">
        <is>
          <t>Föryngringsavverkning</t>
        </is>
      </c>
      <c r="D235" s="1" t="n">
        <v>44539</v>
      </c>
      <c r="E235" s="1" t="n">
        <v>46323</v>
      </c>
      <c r="F235" t="inlineStr">
        <is>
          <t>KALMAR LÄN</t>
        </is>
      </c>
      <c r="G235" t="inlineStr">
        <is>
          <t>VÄSTERVIK</t>
        </is>
      </c>
      <c r="I235" t="n">
        <v>0.6</v>
      </c>
      <c r="J235" t="n">
        <v>0</v>
      </c>
      <c r="K235" t="n">
        <v>2</v>
      </c>
      <c r="L235" t="n">
        <v>4</v>
      </c>
      <c r="M235" t="n">
        <v>0</v>
      </c>
      <c r="N235" t="n">
        <v>0</v>
      </c>
      <c r="O235" t="n">
        <v>0</v>
      </c>
      <c r="P235" t="n">
        <v>0</v>
      </c>
      <c r="Q235" t="n">
        <v>4</v>
      </c>
      <c r="R235" t="n">
        <v>0</v>
      </c>
      <c r="S235" t="n">
        <v>6</v>
      </c>
      <c r="T235" t="n">
        <v>10</v>
      </c>
      <c r="U235" t="n">
        <v>0</v>
      </c>
      <c r="V235" s="2" t="inlineStr">
        <is>
          <t>Blå taggsvamp
Dropptaggsvamp
Motaggsvamp
Svartvit taggsvamp
Blomkålssvamp
Grovticka</t>
        </is>
      </c>
      <c r="W235">
        <f>HYPERLINK("https://klasma.github.io/Logging_0883/artfynd/A 71188-2021 artfynd.xlsx", "A 71188-2021")</f>
        <v/>
      </c>
      <c r="X235">
        <f>HYPERLINK("https://klasma.github.io/Logging_0883/kartor/A 71188-2021 karta.png", "A 71188-2021")</f>
        <v/>
      </c>
      <c r="Y235">
        <f>HYPERLINK("https://klasma.github.io/Logging_0883/kartor_geotiff/A 71188-2021 georefererad karta.tif", "A 71188-2021")</f>
        <v/>
      </c>
      <c r="AA235">
        <f>HYPERLINK("https://klasma.github.io/Logging_0883/klagomål/A 71188-2021 FSC-klagomål.docx", "A 71188-2021")</f>
        <v/>
      </c>
      <c r="AB235">
        <f>HYPERLINK("https://klasma.github.io/Logging_0883/klagomålsmail/A 71188-2021 FSC-klagomål mail.docx", "A 71188-2021")</f>
        <v/>
      </c>
      <c r="AC235">
        <f>HYPERLINK("https://klasma.github.io/Logging_0883/tillsyn/A 71188-2021 tillsynsbegäran.docx", "A 71188-2021")</f>
        <v/>
      </c>
      <c r="AD235">
        <f>HYPERLINK("https://klasma.github.io/Logging_0883/tillsynsmail/A 71188-2021 tillsynsbegäran mail.docx", "A 71188-2021")</f>
        <v/>
      </c>
    </row>
    <row r="236" ht="15" customHeight="1">
      <c r="A236" t="inlineStr">
        <is>
          <t>A 41999-2024</t>
        </is>
      </c>
      <c r="B236" t="inlineStr">
        <is>
          <t>avverkningsanmälan</t>
        </is>
      </c>
      <c r="C236" t="inlineStr">
        <is>
          <t>Föryngringsavverkning</t>
        </is>
      </c>
      <c r="D236" s="1" t="n">
        <v>45561</v>
      </c>
      <c r="E236" s="1" t="n">
        <v>46323</v>
      </c>
      <c r="F236" t="inlineStr">
        <is>
          <t>KALMAR LÄN</t>
        </is>
      </c>
      <c r="G236" t="inlineStr">
        <is>
          <t>KALMAR</t>
        </is>
      </c>
      <c r="H236" t="inlineStr">
        <is>
          <t>Kyrkan</t>
        </is>
      </c>
      <c r="I236" t="n">
        <v>1.8</v>
      </c>
      <c r="J236" t="n">
        <v>4</v>
      </c>
      <c r="K236" t="n">
        <v>1</v>
      </c>
      <c r="L236" t="n">
        <v>1</v>
      </c>
      <c r="M236" t="n">
        <v>1</v>
      </c>
      <c r="N236" t="n">
        <v>0</v>
      </c>
      <c r="O236" t="n">
        <v>0</v>
      </c>
      <c r="P236" t="n">
        <v>0</v>
      </c>
      <c r="Q236" t="n">
        <v>2</v>
      </c>
      <c r="R236" t="n">
        <v>1</v>
      </c>
      <c r="S236" t="n">
        <v>6</v>
      </c>
      <c r="T236" t="n">
        <v>6</v>
      </c>
      <c r="U236" t="n">
        <v>6</v>
      </c>
      <c r="V236" s="2" t="inlineStr">
        <is>
          <t>Knärot
Backtimjan
Murgröna
Blåsippa
Gullviva
Revlummer</t>
        </is>
      </c>
      <c r="W236">
        <f>HYPERLINK("https://klasma.github.io/Logging_0880/artfynd/A 41999-2024 artfynd.xlsx", "A 41999-2024")</f>
        <v/>
      </c>
      <c r="X236">
        <f>HYPERLINK("https://klasma.github.io/Logging_0880/kartor/A 41999-2024 karta.png", "A 41999-2024")</f>
        <v/>
      </c>
      <c r="Y236">
        <f>HYPERLINK("https://klasma.github.io/Logging_0880/kartor_geotiff/A 41999-2024 georefererad karta.tif", "A 41999-2024")</f>
        <v/>
      </c>
      <c r="Z236">
        <f>HYPERLINK("https://klasma.github.io/Logging_0880/knärot/A 41999-2024 karta knärot.png", "A 41999-2024")</f>
        <v/>
      </c>
      <c r="AA236">
        <f>HYPERLINK("https://klasma.github.io/Logging_0880/klagomål/A 41999-2024 FSC-klagomål.docx", "A 41999-2024")</f>
        <v/>
      </c>
      <c r="AB236">
        <f>HYPERLINK("https://klasma.github.io/Logging_0880/klagomålsmail/A 41999-2024 FSC-klagomål mail.docx", "A 41999-2024")</f>
        <v/>
      </c>
      <c r="AC236">
        <f>HYPERLINK("https://klasma.github.io/Logging_0880/tillsyn/A 41999-2024 tillsynsbegäran.docx", "A 41999-2024")</f>
        <v/>
      </c>
      <c r="AD236">
        <f>HYPERLINK("https://klasma.github.io/Logging_0880/tillsynsmail/A 41999-2024 tillsynsbegäran mail.docx", "A 41999-2024")</f>
        <v/>
      </c>
    </row>
    <row r="237" ht="15" customHeight="1">
      <c r="A237" t="inlineStr">
        <is>
          <t>A 7218-2022</t>
        </is>
      </c>
      <c r="B237" t="inlineStr">
        <is>
          <t>avverkningsanmälan</t>
        </is>
      </c>
      <c r="C237" t="inlineStr">
        <is>
          <t>Föryngringsavverkning</t>
        </is>
      </c>
      <c r="D237" s="1" t="n">
        <v>44606</v>
      </c>
      <c r="E237" s="1" t="n">
        <v>46323</v>
      </c>
      <c r="F237" t="inlineStr">
        <is>
          <t>KALMAR LÄN</t>
        </is>
      </c>
      <c r="G237" t="inlineStr">
        <is>
          <t>NYBRO</t>
        </is>
      </c>
      <c r="I237" t="n">
        <v>5.1</v>
      </c>
      <c r="J237" t="n">
        <v>0</v>
      </c>
      <c r="K237" t="n">
        <v>3</v>
      </c>
      <c r="L237" t="n">
        <v>3</v>
      </c>
      <c r="M237" t="n">
        <v>0</v>
      </c>
      <c r="N237" t="n">
        <v>0</v>
      </c>
      <c r="O237" t="n">
        <v>0</v>
      </c>
      <c r="P237" t="n">
        <v>0</v>
      </c>
      <c r="Q237" t="n">
        <v>3</v>
      </c>
      <c r="R237" t="n">
        <v>0</v>
      </c>
      <c r="S237" t="n">
        <v>6</v>
      </c>
      <c r="T237" t="n">
        <v>6</v>
      </c>
      <c r="U237" t="n">
        <v>6</v>
      </c>
      <c r="V237" s="2" t="inlineStr">
        <is>
          <t>Gransotdyna
Ullticka
Vedtrappmossa
Blåmossa
Brandticka
Vanlig flatbagge</t>
        </is>
      </c>
      <c r="W237">
        <f>HYPERLINK("https://klasma.github.io/Logging_0881/artfynd/A 7218-2022 artfynd.xlsx", "A 7218-2022")</f>
        <v/>
      </c>
      <c r="X237">
        <f>HYPERLINK("https://klasma.github.io/Logging_0881/kartor/A 7218-2022 karta.png", "A 7218-2022")</f>
        <v/>
      </c>
      <c r="Y237">
        <f>HYPERLINK("https://klasma.github.io/Logging_0881/kartor_geotiff/A 7218-2022 georefererad karta.tif", "A 7218-2022")</f>
        <v/>
      </c>
      <c r="AA237">
        <f>HYPERLINK("https://klasma.github.io/Logging_0881/klagomål/A 7218-2022 FSC-klagomål.docx", "A 7218-2022")</f>
        <v/>
      </c>
      <c r="AB237">
        <f>HYPERLINK("https://klasma.github.io/Logging_0881/klagomålsmail/A 7218-2022 FSC-klagomål mail.docx", "A 7218-2022")</f>
        <v/>
      </c>
      <c r="AC237">
        <f>HYPERLINK("https://klasma.github.io/Logging_0881/tillsyn/A 7218-2022 tillsynsbegäran.docx", "A 7218-2022")</f>
        <v/>
      </c>
      <c r="AD237">
        <f>HYPERLINK("https://klasma.github.io/Logging_0881/tillsynsmail/A 7218-2022 tillsynsbegäran mail.docx", "A 7218-2022")</f>
        <v/>
      </c>
    </row>
    <row r="238" ht="15" customHeight="1">
      <c r="A238" t="inlineStr">
        <is>
          <t>A 974-2023</t>
        </is>
      </c>
      <c r="B238" t="inlineStr">
        <is>
          <t>avverkningsanmälan</t>
        </is>
      </c>
      <c r="C238" t="inlineStr">
        <is>
          <t>Avverkning för annat ändamål</t>
        </is>
      </c>
      <c r="D238" s="1" t="n">
        <v>44935</v>
      </c>
      <c r="E238" s="1" t="n">
        <v>46323</v>
      </c>
      <c r="F238" t="inlineStr">
        <is>
          <t>KALMAR LÄN</t>
        </is>
      </c>
      <c r="G238" t="inlineStr">
        <is>
          <t>VÄSTERVIK</t>
        </is>
      </c>
      <c r="I238" t="n">
        <v>7.2</v>
      </c>
      <c r="J238" t="n">
        <v>1</v>
      </c>
      <c r="K238" t="n">
        <v>5</v>
      </c>
      <c r="L238" t="n">
        <v>0</v>
      </c>
      <c r="M238" t="n">
        <v>1</v>
      </c>
      <c r="N238" t="n">
        <v>0</v>
      </c>
      <c r="O238" t="n">
        <v>0</v>
      </c>
      <c r="P238" t="n">
        <v>0</v>
      </c>
      <c r="Q238" t="n">
        <v>1</v>
      </c>
      <c r="R238" t="n">
        <v>1</v>
      </c>
      <c r="S238" t="n">
        <v>6</v>
      </c>
      <c r="T238" t="n">
        <v>6</v>
      </c>
      <c r="U238" t="n">
        <v>1</v>
      </c>
      <c r="V238" s="2" t="inlineStr">
        <is>
          <t>Läderbagge
Blanksvart trämyra
Fällmossa
Guldlockmossa
Gulpudrad spiklav
Myskmadra</t>
        </is>
      </c>
      <c r="W238">
        <f>HYPERLINK("https://klasma.github.io/Logging_0883/artfynd/A 974-2023 artfynd.xlsx", "A 974-2023")</f>
        <v/>
      </c>
      <c r="X238">
        <f>HYPERLINK("https://klasma.github.io/Logging_0883/kartor/A 974-2023 karta.png", "A 974-2023")</f>
        <v/>
      </c>
      <c r="Y238">
        <f>HYPERLINK("https://klasma.github.io/Logging_0883/kartor_geotiff/A 974-2023 georefererad karta.tif", "A 974-2023")</f>
        <v/>
      </c>
      <c r="AA238">
        <f>HYPERLINK("https://klasma.github.io/Logging_0883/klagomål/A 974-2023 FSC-klagomål.docx", "A 974-2023")</f>
        <v/>
      </c>
      <c r="AB238">
        <f>HYPERLINK("https://klasma.github.io/Logging_0883/klagomålsmail/A 974-2023 FSC-klagomål mail.docx", "A 974-2023")</f>
        <v/>
      </c>
      <c r="AC238">
        <f>HYPERLINK("https://klasma.github.io/Logging_0883/tillsyn/A 974-2023 tillsynsbegäran.docx", "A 974-2023")</f>
        <v/>
      </c>
      <c r="AD238">
        <f>HYPERLINK("https://klasma.github.io/Logging_0883/tillsynsmail/A 974-2023 tillsynsbegäran mail.docx", "A 974-2023")</f>
        <v/>
      </c>
    </row>
    <row r="239" ht="15" customHeight="1">
      <c r="A239" t="inlineStr">
        <is>
          <t>A 44358-2022</t>
        </is>
      </c>
      <c r="B239" t="inlineStr">
        <is>
          <t>avverkningsanmälan</t>
        </is>
      </c>
      <c r="C239" t="inlineStr">
        <is>
          <t>Föryngringsavverkning</t>
        </is>
      </c>
      <c r="D239" s="1" t="n">
        <v>44839</v>
      </c>
      <c r="E239" s="1" t="n">
        <v>46323</v>
      </c>
      <c r="F239" t="inlineStr">
        <is>
          <t>KALMAR LÄN</t>
        </is>
      </c>
      <c r="G239" t="inlineStr">
        <is>
          <t>NYBRO</t>
        </is>
      </c>
      <c r="I239" t="n">
        <v>8.300000000000001</v>
      </c>
      <c r="J239" t="n">
        <v>6</v>
      </c>
      <c r="K239" t="n">
        <v>0</v>
      </c>
      <c r="L239" t="n">
        <v>3</v>
      </c>
      <c r="M239" t="n">
        <v>0</v>
      </c>
      <c r="N239" t="n">
        <v>0</v>
      </c>
      <c r="O239" t="n">
        <v>0</v>
      </c>
      <c r="P239" t="n">
        <v>0</v>
      </c>
      <c r="Q239" t="n">
        <v>3</v>
      </c>
      <c r="R239" t="n">
        <v>0</v>
      </c>
      <c r="S239" t="n">
        <v>6</v>
      </c>
      <c r="T239" t="n">
        <v>6</v>
      </c>
      <c r="U239" t="n">
        <v>1</v>
      </c>
      <c r="V239" s="2" t="inlineStr">
        <is>
          <t>Barbastell
Brunlångöra
Nordfladdermus
Dvärgpipistrell
Större brunfladdermus
Trollpipistrell</t>
        </is>
      </c>
      <c r="W239">
        <f>HYPERLINK("https://klasma.github.io/Logging_0881/artfynd/A 44358-2022 artfynd.xlsx", "A 44358-2022")</f>
        <v/>
      </c>
      <c r="X239">
        <f>HYPERLINK("https://klasma.github.io/Logging_0881/kartor/A 44358-2022 karta.png", "A 44358-2022")</f>
        <v/>
      </c>
      <c r="Y239">
        <f>HYPERLINK("https://klasma.github.io/Logging_0881/kartor_geotiff/A 44358-2022 georefererad karta.tif", "A 44358-2022")</f>
        <v/>
      </c>
      <c r="AA239">
        <f>HYPERLINK("https://klasma.github.io/Logging_0881/klagomål/A 44358-2022 FSC-klagomål.docx", "A 44358-2022")</f>
        <v/>
      </c>
      <c r="AB239">
        <f>HYPERLINK("https://klasma.github.io/Logging_0881/klagomålsmail/A 44358-2022 FSC-klagomål mail.docx", "A 44358-2022")</f>
        <v/>
      </c>
      <c r="AC239">
        <f>HYPERLINK("https://klasma.github.io/Logging_0881/tillsyn/A 44358-2022 tillsynsbegäran.docx", "A 44358-2022")</f>
        <v/>
      </c>
      <c r="AD239">
        <f>HYPERLINK("https://klasma.github.io/Logging_0881/tillsynsmail/A 44358-2022 tillsynsbegäran mail.docx", "A 44358-2022")</f>
        <v/>
      </c>
    </row>
    <row r="240" ht="15" customHeight="1">
      <c r="A240" t="inlineStr">
        <is>
          <t>A 16469-2023</t>
        </is>
      </c>
      <c r="B240" t="inlineStr">
        <is>
          <t>avverkningsanmälan</t>
        </is>
      </c>
      <c r="C240" t="inlineStr">
        <is>
          <t>Avverkning för annat ändamål</t>
        </is>
      </c>
      <c r="D240" s="1" t="n">
        <v>45026</v>
      </c>
      <c r="E240" s="1" t="n">
        <v>46323</v>
      </c>
      <c r="F240" t="inlineStr">
        <is>
          <t>KALMAR LÄN</t>
        </is>
      </c>
      <c r="G240" t="inlineStr">
        <is>
          <t>HULTSFRED</t>
        </is>
      </c>
      <c r="I240" t="n">
        <v>18.5</v>
      </c>
      <c r="J240" t="n">
        <v>0</v>
      </c>
      <c r="K240" t="n">
        <v>0</v>
      </c>
      <c r="L240" t="n">
        <v>4</v>
      </c>
      <c r="M240" t="n">
        <v>2</v>
      </c>
      <c r="N240" t="n">
        <v>0</v>
      </c>
      <c r="O240" t="n">
        <v>0</v>
      </c>
      <c r="P240" t="n">
        <v>0</v>
      </c>
      <c r="Q240" t="n">
        <v>6</v>
      </c>
      <c r="R240" t="n">
        <v>2</v>
      </c>
      <c r="S240" t="n">
        <v>6</v>
      </c>
      <c r="T240" t="n">
        <v>9</v>
      </c>
      <c r="U240" t="n">
        <v>1</v>
      </c>
      <c r="V240" s="2" t="inlineStr">
        <is>
          <t>Silverblåvinge
Smalsprötad bastardsvärmare
Gullklöver
Mindre purpurmätare
Svartvit taggsvamp
Ögonvaxing</t>
        </is>
      </c>
      <c r="W240">
        <f>HYPERLINK("https://klasma.github.io/Logging_0860/artfynd/A 16469-2023 artfynd.xlsx", "A 16469-2023")</f>
        <v/>
      </c>
      <c r="X240">
        <f>HYPERLINK("https://klasma.github.io/Logging_0860/kartor/A 16469-2023 karta.png", "A 16469-2023")</f>
        <v/>
      </c>
      <c r="Y240">
        <f>HYPERLINK("https://klasma.github.io/Logging_0860/kartor_geotiff/A 16469-2023 georefererad karta.tif", "A 16469-2023")</f>
        <v/>
      </c>
      <c r="AA240">
        <f>HYPERLINK("https://klasma.github.io/Logging_0860/klagomål/A 16469-2023 FSC-klagomål.docx", "A 16469-2023")</f>
        <v/>
      </c>
      <c r="AB240">
        <f>HYPERLINK("https://klasma.github.io/Logging_0860/klagomålsmail/A 16469-2023 FSC-klagomål mail.docx", "A 16469-2023")</f>
        <v/>
      </c>
      <c r="AC240">
        <f>HYPERLINK("https://klasma.github.io/Logging_0860/tillsyn/A 16469-2023 tillsynsbegäran.docx", "A 16469-2023")</f>
        <v/>
      </c>
      <c r="AD240">
        <f>HYPERLINK("https://klasma.github.io/Logging_0860/tillsynsmail/A 16469-2023 tillsynsbegäran mail.docx", "A 16469-2023")</f>
        <v/>
      </c>
    </row>
    <row r="241" ht="15" customHeight="1">
      <c r="A241" t="inlineStr">
        <is>
          <t>A 14044-2024</t>
        </is>
      </c>
      <c r="B241" t="inlineStr">
        <is>
          <t>avverkningsanmälan</t>
        </is>
      </c>
      <c r="C241" t="inlineStr">
        <is>
          <t>Föryngringsavverkning</t>
        </is>
      </c>
      <c r="D241" s="1" t="n">
        <v>45392</v>
      </c>
      <c r="E241" s="1" t="n">
        <v>46323</v>
      </c>
      <c r="F241" t="inlineStr">
        <is>
          <t>KALMAR LÄN</t>
        </is>
      </c>
      <c r="G241" t="inlineStr">
        <is>
          <t>OSKARSHAMN</t>
        </is>
      </c>
      <c r="I241" t="n">
        <v>1.5</v>
      </c>
      <c r="J241" t="n">
        <v>3</v>
      </c>
      <c r="K241" t="n">
        <v>2</v>
      </c>
      <c r="L241" t="n">
        <v>2</v>
      </c>
      <c r="M241" t="n">
        <v>0</v>
      </c>
      <c r="N241" t="n">
        <v>0</v>
      </c>
      <c r="O241" t="n">
        <v>0</v>
      </c>
      <c r="P241" t="n">
        <v>0</v>
      </c>
      <c r="Q241" t="n">
        <v>2</v>
      </c>
      <c r="R241" t="n">
        <v>0</v>
      </c>
      <c r="S241" t="n">
        <v>6</v>
      </c>
      <c r="T241" t="n">
        <v>11</v>
      </c>
      <c r="U241" t="n">
        <v>0</v>
      </c>
      <c r="V241" s="2" t="inlineStr">
        <is>
          <t>Talltita
Vedtrappmossa
Björksplintborre
Fällmossa
Blåsippa
Järpe</t>
        </is>
      </c>
      <c r="W241">
        <f>HYPERLINK("https://klasma.github.io/Logging_0882/artfynd/A 14044-2024 artfynd.xlsx", "A 14044-2024")</f>
        <v/>
      </c>
      <c r="X241">
        <f>HYPERLINK("https://klasma.github.io/Logging_0882/kartor/A 14044-2024 karta.png", "A 14044-2024")</f>
        <v/>
      </c>
      <c r="Y241">
        <f>HYPERLINK("https://klasma.github.io/Logging_0882/kartor_geotiff/A 14044-2024 georefererad karta.tif", "A 14044-2024")</f>
        <v/>
      </c>
      <c r="AA241">
        <f>HYPERLINK("https://klasma.github.io/Logging_0882/klagomål/A 14044-2024 FSC-klagomål.docx", "A 14044-2024")</f>
        <v/>
      </c>
      <c r="AB241">
        <f>HYPERLINK("https://klasma.github.io/Logging_0882/klagomålsmail/A 14044-2024 FSC-klagomål mail.docx", "A 14044-2024")</f>
        <v/>
      </c>
      <c r="AC241">
        <f>HYPERLINK("https://klasma.github.io/Logging_0882/tillsyn/A 14044-2024 tillsynsbegäran.docx", "A 14044-2024")</f>
        <v/>
      </c>
      <c r="AD241">
        <f>HYPERLINK("https://klasma.github.io/Logging_0882/tillsynsmail/A 14044-2024 tillsynsbegäran mail.docx", "A 14044-2024")</f>
        <v/>
      </c>
      <c r="AE241">
        <f>HYPERLINK("https://klasma.github.io/Logging_0882/fåglar/A 14044-2024 prioriterade fågelarter.docx", "A 14044-2024")</f>
        <v/>
      </c>
    </row>
    <row r="242" ht="15" customHeight="1">
      <c r="A242" t="inlineStr">
        <is>
          <t>A 16171-2023</t>
        </is>
      </c>
      <c r="B242" t="inlineStr">
        <is>
          <t>avverkningsanmälan</t>
        </is>
      </c>
      <c r="C242" t="inlineStr">
        <is>
          <t>Föryngringsavverkning</t>
        </is>
      </c>
      <c r="D242" s="1" t="n">
        <v>45027</v>
      </c>
      <c r="E242" s="1" t="n">
        <v>46323</v>
      </c>
      <c r="F242" t="inlineStr">
        <is>
          <t>KALMAR LÄN</t>
        </is>
      </c>
      <c r="G242" t="inlineStr">
        <is>
          <t>BORGHOLM</t>
        </is>
      </c>
      <c r="I242" t="n">
        <v>12.2</v>
      </c>
      <c r="J242" t="n">
        <v>2</v>
      </c>
      <c r="K242" t="n">
        <v>1</v>
      </c>
      <c r="L242" t="n">
        <v>2</v>
      </c>
      <c r="M242" t="n">
        <v>0</v>
      </c>
      <c r="N242" t="n">
        <v>0</v>
      </c>
      <c r="O242" t="n">
        <v>0</v>
      </c>
      <c r="P242" t="n">
        <v>0</v>
      </c>
      <c r="Q242" t="n">
        <v>2</v>
      </c>
      <c r="R242" t="n">
        <v>0</v>
      </c>
      <c r="S242" t="n">
        <v>6</v>
      </c>
      <c r="T242" t="n">
        <v>7</v>
      </c>
      <c r="U242" t="n">
        <v>6</v>
      </c>
      <c r="V242" s="2" t="inlineStr">
        <is>
          <t>Sårläka
Älg
Murgröna
Blåsippa
Rostticka
Bredarun</t>
        </is>
      </c>
      <c r="W242">
        <f>HYPERLINK("https://klasma.github.io/Logging_0885/artfynd/A 16171-2023 artfynd.xlsx", "A 16171-2023")</f>
        <v/>
      </c>
      <c r="X242">
        <f>HYPERLINK("https://klasma.github.io/Logging_0885/kartor/A 16171-2023 karta.png", "A 16171-2023")</f>
        <v/>
      </c>
      <c r="Y242">
        <f>HYPERLINK("https://klasma.github.io/Logging_0885/kartor_geotiff/A 16171-2023 georefererad karta.tif", "A 16171-2023")</f>
        <v/>
      </c>
      <c r="AA242">
        <f>HYPERLINK("https://klasma.github.io/Logging_0885/klagomål/A 16171-2023 FSC-klagomål.docx", "A 16171-2023")</f>
        <v/>
      </c>
      <c r="AB242">
        <f>HYPERLINK("https://klasma.github.io/Logging_0885/klagomålsmail/A 16171-2023 FSC-klagomål mail.docx", "A 16171-2023")</f>
        <v/>
      </c>
      <c r="AC242">
        <f>HYPERLINK("https://klasma.github.io/Logging_0885/tillsyn/A 16171-2023 tillsynsbegäran.docx", "A 16171-2023")</f>
        <v/>
      </c>
      <c r="AD242">
        <f>HYPERLINK("https://klasma.github.io/Logging_0885/tillsynsmail/A 16171-2023 tillsynsbegäran mail.docx", "A 16171-2023")</f>
        <v/>
      </c>
    </row>
    <row r="243" ht="15" customHeight="1">
      <c r="A243" t="inlineStr">
        <is>
          <t>A 9975-2024</t>
        </is>
      </c>
      <c r="B243" t="inlineStr">
        <is>
          <t>avverkningsanmälan</t>
        </is>
      </c>
      <c r="C243" t="inlineStr">
        <is>
          <t>Föryngringsavverkning</t>
        </is>
      </c>
      <c r="D243" s="1" t="n">
        <v>45363</v>
      </c>
      <c r="E243" s="1" t="n">
        <v>46323</v>
      </c>
      <c r="F243" t="inlineStr">
        <is>
          <t>KALMAR LÄN</t>
        </is>
      </c>
      <c r="G243" t="inlineStr">
        <is>
          <t>VÄSTERVIK</t>
        </is>
      </c>
      <c r="I243" t="n">
        <v>2.2</v>
      </c>
      <c r="J243" t="n">
        <v>5</v>
      </c>
      <c r="K243" t="n">
        <v>0</v>
      </c>
      <c r="L243" t="n">
        <v>2</v>
      </c>
      <c r="M243" t="n">
        <v>1</v>
      </c>
      <c r="N243" t="n">
        <v>0</v>
      </c>
      <c r="O243" t="n">
        <v>0</v>
      </c>
      <c r="P243" t="n">
        <v>0</v>
      </c>
      <c r="Q243" t="n">
        <v>3</v>
      </c>
      <c r="R243" t="n">
        <v>1</v>
      </c>
      <c r="S243" t="n">
        <v>6</v>
      </c>
      <c r="T243" t="n">
        <v>27</v>
      </c>
      <c r="U243" t="n">
        <v>26</v>
      </c>
      <c r="V243" s="2" t="inlineStr">
        <is>
          <t>Knärot
Tallticka
Talltita
Järpe
Spillkråka
Kungsfågel</t>
        </is>
      </c>
      <c r="W243">
        <f>HYPERLINK("https://klasma.github.io/Logging_0883/artfynd/A 9975-2024 artfynd.xlsx", "A 9975-2024")</f>
        <v/>
      </c>
      <c r="X243">
        <f>HYPERLINK("https://klasma.github.io/Logging_0883/kartor/A 9975-2024 karta.png", "A 9975-2024")</f>
        <v/>
      </c>
      <c r="Y243">
        <f>HYPERLINK("https://klasma.github.io/Logging_0883/kartor_geotiff/A 9975-2024 georefererad karta.tif", "A 9975-2024")</f>
        <v/>
      </c>
      <c r="Z243">
        <f>HYPERLINK("https://klasma.github.io/Logging_0883/knärot/A 9975-2024 karta knärot.png", "A 9975-2024")</f>
        <v/>
      </c>
      <c r="AA243">
        <f>HYPERLINK("https://klasma.github.io/Logging_0883/klagomål/A 9975-2024 FSC-klagomål.docx", "A 9975-2024")</f>
        <v/>
      </c>
      <c r="AB243">
        <f>HYPERLINK("https://klasma.github.io/Logging_0883/klagomålsmail/A 9975-2024 FSC-klagomål mail.docx", "A 9975-2024")</f>
        <v/>
      </c>
      <c r="AC243">
        <f>HYPERLINK("https://klasma.github.io/Logging_0883/tillsyn/A 9975-2024 tillsynsbegäran.docx", "A 9975-2024")</f>
        <v/>
      </c>
      <c r="AD243">
        <f>HYPERLINK("https://klasma.github.io/Logging_0883/tillsynsmail/A 9975-2024 tillsynsbegäran mail.docx", "A 9975-2024")</f>
        <v/>
      </c>
      <c r="AE243">
        <f>HYPERLINK("https://klasma.github.io/Logging_0883/fåglar/A 9975-2024 prioriterade fågelarter.docx", "A 9975-2024")</f>
        <v/>
      </c>
    </row>
    <row r="244" ht="15" customHeight="1">
      <c r="A244" t="inlineStr">
        <is>
          <t>A 43714-2025</t>
        </is>
      </c>
      <c r="B244" t="inlineStr">
        <is>
          <t>avverkningsanmälan</t>
        </is>
      </c>
      <c r="C244" t="inlineStr">
        <is>
          <t>Föryngringsavverkning</t>
        </is>
      </c>
      <c r="D244" s="1" t="n">
        <v>45912</v>
      </c>
      <c r="E244" s="1" t="n">
        <v>46323</v>
      </c>
      <c r="F244" t="inlineStr">
        <is>
          <t>KALMAR LÄN</t>
        </is>
      </c>
      <c r="G244" t="inlineStr">
        <is>
          <t>MÖRBYLÅNGA</t>
        </is>
      </c>
      <c r="I244" t="n">
        <v>7.9</v>
      </c>
      <c r="J244" t="n">
        <v>1</v>
      </c>
      <c r="K244" t="n">
        <v>3</v>
      </c>
      <c r="L244" t="n">
        <v>1</v>
      </c>
      <c r="M244" t="n">
        <v>2</v>
      </c>
      <c r="N244" t="n">
        <v>0</v>
      </c>
      <c r="O244" t="n">
        <v>0</v>
      </c>
      <c r="P244" t="n">
        <v>0</v>
      </c>
      <c r="Q244" t="n">
        <v>3</v>
      </c>
      <c r="R244" t="n">
        <v>2</v>
      </c>
      <c r="S244" t="n">
        <v>6</v>
      </c>
      <c r="T244" t="n">
        <v>8</v>
      </c>
      <c r="U244" t="n">
        <v>2</v>
      </c>
      <c r="V244" s="2" t="inlineStr">
        <is>
          <t>Mindre bastardsvärmare
Sexfläckig bastardsvärmare
Grönsångare
Murgröna
Tibast
Trädporella</t>
        </is>
      </c>
      <c r="W244">
        <f>HYPERLINK("https://klasma.github.io/Logging_0840/artfynd/A 43714-2025 artfynd.xlsx", "A 43714-2025")</f>
        <v/>
      </c>
      <c r="X244">
        <f>HYPERLINK("https://klasma.github.io/Logging_0840/kartor/A 43714-2025 karta.png", "A 43714-2025")</f>
        <v/>
      </c>
      <c r="Y244">
        <f>HYPERLINK("https://klasma.github.io/Logging_0840/kartor_geotiff/A 43714-2025 georefererad karta.tif", "A 43714-2025")</f>
        <v/>
      </c>
      <c r="AA244">
        <f>HYPERLINK("https://klasma.github.io/Logging_0840/klagomål/A 43714-2025 FSC-klagomål.docx", "A 43714-2025")</f>
        <v/>
      </c>
      <c r="AB244">
        <f>HYPERLINK("https://klasma.github.io/Logging_0840/klagomålsmail/A 43714-2025 FSC-klagomål mail.docx", "A 43714-2025")</f>
        <v/>
      </c>
      <c r="AC244">
        <f>HYPERLINK("https://klasma.github.io/Logging_0840/tillsyn/A 43714-2025 tillsynsbegäran.docx", "A 43714-2025")</f>
        <v/>
      </c>
      <c r="AD244">
        <f>HYPERLINK("https://klasma.github.io/Logging_0840/tillsynsmail/A 43714-2025 tillsynsbegäran mail.docx", "A 43714-2025")</f>
        <v/>
      </c>
      <c r="AE244">
        <f>HYPERLINK("https://klasma.github.io/Logging_0840/fåglar/A 43714-2025 prioriterade fågelarter.docx", "A 43714-2025")</f>
        <v/>
      </c>
    </row>
    <row r="245" ht="15" customHeight="1">
      <c r="A245" t="inlineStr">
        <is>
          <t>A 43704-2025</t>
        </is>
      </c>
      <c r="B245" t="inlineStr">
        <is>
          <t>avverkningsanmälan</t>
        </is>
      </c>
      <c r="C245" t="inlineStr">
        <is>
          <t>Föryngringsavverkning</t>
        </is>
      </c>
      <c r="D245" s="1" t="n">
        <v>45912</v>
      </c>
      <c r="E245" s="1" t="n">
        <v>46323</v>
      </c>
      <c r="F245" t="inlineStr">
        <is>
          <t>KALMAR LÄN</t>
        </is>
      </c>
      <c r="G245" t="inlineStr">
        <is>
          <t>MÖRBYLÅNGA</t>
        </is>
      </c>
      <c r="I245" t="n">
        <v>2.7</v>
      </c>
      <c r="J245" t="n">
        <v>5</v>
      </c>
      <c r="K245" t="n">
        <v>1</v>
      </c>
      <c r="L245" t="n">
        <v>0</v>
      </c>
      <c r="M245" t="n">
        <v>0</v>
      </c>
      <c r="N245" t="n">
        <v>0</v>
      </c>
      <c r="O245" t="n">
        <v>0</v>
      </c>
      <c r="P245" t="n">
        <v>0</v>
      </c>
      <c r="Q245" t="n">
        <v>0</v>
      </c>
      <c r="R245" t="n">
        <v>0</v>
      </c>
      <c r="S245" t="n">
        <v>6</v>
      </c>
      <c r="T245" t="n">
        <v>6</v>
      </c>
      <c r="U245" t="n">
        <v>1</v>
      </c>
      <c r="V245" s="2" t="inlineStr">
        <is>
          <t>Blomkålssvamp
Långbensgroda
Större vattensalamander
Åkergroda
Mindre vattensalamander
Vanlig padda</t>
        </is>
      </c>
      <c r="W245">
        <f>HYPERLINK("https://klasma.github.io/Logging_0840/artfynd/A 43704-2025 artfynd.xlsx", "A 43704-2025")</f>
        <v/>
      </c>
      <c r="X245">
        <f>HYPERLINK("https://klasma.github.io/Logging_0840/kartor/A 43704-2025 karta.png", "A 43704-2025")</f>
        <v/>
      </c>
      <c r="Y245">
        <f>HYPERLINK("https://klasma.github.io/Logging_0840/kartor_geotiff/A 43704-2025 georefererad karta.tif", "A 43704-2025")</f>
        <v/>
      </c>
      <c r="AA245">
        <f>HYPERLINK("https://klasma.github.io/Logging_0840/klagomål/A 43704-2025 FSC-klagomål.docx", "A 43704-2025")</f>
        <v/>
      </c>
      <c r="AB245">
        <f>HYPERLINK("https://klasma.github.io/Logging_0840/klagomålsmail/A 43704-2025 FSC-klagomål mail.docx", "A 43704-2025")</f>
        <v/>
      </c>
      <c r="AC245">
        <f>HYPERLINK("https://klasma.github.io/Logging_0840/tillsyn/A 43704-2025 tillsynsbegäran.docx", "A 43704-2025")</f>
        <v/>
      </c>
      <c r="AD245">
        <f>HYPERLINK("https://klasma.github.io/Logging_0840/tillsynsmail/A 43704-2025 tillsynsbegäran mail.docx", "A 43704-2025")</f>
        <v/>
      </c>
    </row>
    <row r="246" ht="15" customHeight="1">
      <c r="A246" t="inlineStr">
        <is>
          <t>A 55286-2023</t>
        </is>
      </c>
      <c r="B246" t="inlineStr">
        <is>
          <t>avverkningsanmälan</t>
        </is>
      </c>
      <c r="C246" t="inlineStr">
        <is>
          <t>Föryngringsavverkning</t>
        </is>
      </c>
      <c r="D246" s="1" t="n">
        <v>45237</v>
      </c>
      <c r="E246" s="1" t="n">
        <v>46323</v>
      </c>
      <c r="F246" t="inlineStr">
        <is>
          <t>KALMAR LÄN</t>
        </is>
      </c>
      <c r="G246" t="inlineStr">
        <is>
          <t>VÄSTERVIK</t>
        </is>
      </c>
      <c r="I246" t="n">
        <v>5.9</v>
      </c>
      <c r="J246" t="n">
        <v>2</v>
      </c>
      <c r="K246" t="n">
        <v>3</v>
      </c>
      <c r="L246" t="n">
        <v>0</v>
      </c>
      <c r="M246" t="n">
        <v>1</v>
      </c>
      <c r="N246" t="n">
        <v>1</v>
      </c>
      <c r="O246" t="n">
        <v>0</v>
      </c>
      <c r="P246" t="n">
        <v>0</v>
      </c>
      <c r="Q246" t="n">
        <v>2</v>
      </c>
      <c r="R246" t="n">
        <v>2</v>
      </c>
      <c r="S246" t="n">
        <v>6</v>
      </c>
      <c r="T246" t="n">
        <v>18</v>
      </c>
      <c r="U246" t="n">
        <v>18</v>
      </c>
      <c r="V246" s="2" t="inlineStr">
        <is>
          <t>Koppartaggsvamp
Knärot
Blomskägglav
Blåmossa
Grovticka
Spillkråka</t>
        </is>
      </c>
      <c r="W246">
        <f>HYPERLINK("https://klasma.github.io/Logging_0883/artfynd/A 55286-2023 artfynd.xlsx", "A 55286-2023")</f>
        <v/>
      </c>
      <c r="X246">
        <f>HYPERLINK("https://klasma.github.io/Logging_0883/kartor/A 55286-2023 karta.png", "A 55286-2023")</f>
        <v/>
      </c>
      <c r="Y246">
        <f>HYPERLINK("https://klasma.github.io/Logging_0883/kartor_geotiff/A 55286-2023 georefererad karta.tif", "A 55286-2023")</f>
        <v/>
      </c>
      <c r="Z246">
        <f>HYPERLINK("https://klasma.github.io/Logging_0883/knärot/A 55286-2023 karta knärot.png", "A 55286-2023")</f>
        <v/>
      </c>
      <c r="AA246">
        <f>HYPERLINK("https://klasma.github.io/Logging_0883/klagomål/A 55286-2023 FSC-klagomål.docx", "A 55286-2023")</f>
        <v/>
      </c>
      <c r="AB246">
        <f>HYPERLINK("https://klasma.github.io/Logging_0883/klagomålsmail/A 55286-2023 FSC-klagomål mail.docx", "A 55286-2023")</f>
        <v/>
      </c>
      <c r="AC246">
        <f>HYPERLINK("https://klasma.github.io/Logging_0883/tillsyn/A 55286-2023 tillsynsbegäran.docx", "A 55286-2023")</f>
        <v/>
      </c>
      <c r="AD246">
        <f>HYPERLINK("https://klasma.github.io/Logging_0883/tillsynsmail/A 55286-2023 tillsynsbegäran mail.docx", "A 55286-2023")</f>
        <v/>
      </c>
      <c r="AE246">
        <f>HYPERLINK("https://klasma.github.io/Logging_0883/fåglar/A 55286-2023 prioriterade fågelarter.docx", "A 55286-2023")</f>
        <v/>
      </c>
    </row>
    <row r="247" ht="15" customHeight="1">
      <c r="A247" t="inlineStr">
        <is>
          <t>A 53849-2025</t>
        </is>
      </c>
      <c r="B247" t="inlineStr">
        <is>
          <t>avverkningsanmälan</t>
        </is>
      </c>
      <c r="C247" t="inlineStr">
        <is>
          <t>Avverkning för att bevara och utveckla /försöksver</t>
        </is>
      </c>
      <c r="D247" s="1" t="n">
        <v>45961</v>
      </c>
      <c r="E247" s="1" t="n">
        <v>46323</v>
      </c>
      <c r="F247" t="inlineStr">
        <is>
          <t>KALMAR LÄN</t>
        </is>
      </c>
      <c r="G247" t="inlineStr">
        <is>
          <t>VÄSTERVIK</t>
        </is>
      </c>
      <c r="H247" t="inlineStr">
        <is>
          <t>Sveaskog</t>
        </is>
      </c>
      <c r="I247" t="n">
        <v>3.4</v>
      </c>
      <c r="J247" t="n">
        <v>4</v>
      </c>
      <c r="K247" t="n">
        <v>2</v>
      </c>
      <c r="L247" t="n">
        <v>1</v>
      </c>
      <c r="M247" t="n">
        <v>0</v>
      </c>
      <c r="N247" t="n">
        <v>0</v>
      </c>
      <c r="O247" t="n">
        <v>0</v>
      </c>
      <c r="P247" t="n">
        <v>0</v>
      </c>
      <c r="Q247" t="n">
        <v>1</v>
      </c>
      <c r="R247" t="n">
        <v>0</v>
      </c>
      <c r="S247" t="n">
        <v>6</v>
      </c>
      <c r="T247" t="n">
        <v>7</v>
      </c>
      <c r="U247" t="n">
        <v>4</v>
      </c>
      <c r="V247" s="2" t="inlineStr">
        <is>
          <t>Talltita
Fällmossa
Murgröna
Blåsippa
Spillkråka
Kungsfågel</t>
        </is>
      </c>
      <c r="W247">
        <f>HYPERLINK("https://klasma.github.io/Logging_0883/artfynd/A 53849-2025 artfynd.xlsx", "A 53849-2025")</f>
        <v/>
      </c>
      <c r="X247">
        <f>HYPERLINK("https://klasma.github.io/Logging_0883/kartor/A 53849-2025 karta.png", "A 53849-2025")</f>
        <v/>
      </c>
      <c r="Y247">
        <f>HYPERLINK("https://klasma.github.io/Logging_0883/kartor_geotiff/A 53849-2025 georefererad karta.tif", "A 53849-2025")</f>
        <v/>
      </c>
      <c r="AA247">
        <f>HYPERLINK("https://klasma.github.io/Logging_0883/klagomål/A 53849-2025 FSC-klagomål.docx", "A 53849-2025")</f>
        <v/>
      </c>
      <c r="AB247">
        <f>HYPERLINK("https://klasma.github.io/Logging_0883/klagomålsmail/A 53849-2025 FSC-klagomål mail.docx", "A 53849-2025")</f>
        <v/>
      </c>
      <c r="AC247">
        <f>HYPERLINK("https://klasma.github.io/Logging_0883/tillsyn/A 53849-2025 tillsynsbegäran.docx", "A 53849-2025")</f>
        <v/>
      </c>
      <c r="AD247">
        <f>HYPERLINK("https://klasma.github.io/Logging_0883/tillsynsmail/A 53849-2025 tillsynsbegäran mail.docx", "A 53849-2025")</f>
        <v/>
      </c>
      <c r="AE247">
        <f>HYPERLINK("https://klasma.github.io/Logging_0883/fåglar/A 53849-2025 prioriterade fågelarter.docx", "A 53849-2025")</f>
        <v/>
      </c>
    </row>
    <row r="248" ht="15" customHeight="1">
      <c r="A248" t="inlineStr">
        <is>
          <t>A 54385-2025</t>
        </is>
      </c>
      <c r="B248" t="inlineStr">
        <is>
          <t>avverkningsanmälan</t>
        </is>
      </c>
      <c r="C248" t="inlineStr">
        <is>
          <t>Föryngringsavverkning</t>
        </is>
      </c>
      <c r="D248" s="1" t="n">
        <v>45965</v>
      </c>
      <c r="E248" s="1" t="n">
        <v>46323</v>
      </c>
      <c r="F248" t="inlineStr">
        <is>
          <t>KALMAR LÄN</t>
        </is>
      </c>
      <c r="G248" t="inlineStr">
        <is>
          <t>OSKARSHAMN</t>
        </is>
      </c>
      <c r="I248" t="n">
        <v>2.6</v>
      </c>
      <c r="J248" t="n">
        <v>6</v>
      </c>
      <c r="K248" t="n">
        <v>0</v>
      </c>
      <c r="L248" t="n">
        <v>3</v>
      </c>
      <c r="M248" t="n">
        <v>0</v>
      </c>
      <c r="N248" t="n">
        <v>0</v>
      </c>
      <c r="O248" t="n">
        <v>0</v>
      </c>
      <c r="P248" t="n">
        <v>0</v>
      </c>
      <c r="Q248" t="n">
        <v>3</v>
      </c>
      <c r="R248" t="n">
        <v>0</v>
      </c>
      <c r="S248" t="n">
        <v>6</v>
      </c>
      <c r="T248" t="n">
        <v>6</v>
      </c>
      <c r="U248" t="n">
        <v>0</v>
      </c>
      <c r="V248" s="2" t="inlineStr">
        <is>
          <t>Barbastell
Brunlångöra
Nordfladdermus
Dvärgpipistrell
Större brunfladdermus
Vattenfladdermus</t>
        </is>
      </c>
      <c r="W248">
        <f>HYPERLINK("https://klasma.github.io/Logging_0882/artfynd/A 54385-2025 artfynd.xlsx", "A 54385-2025")</f>
        <v/>
      </c>
      <c r="X248">
        <f>HYPERLINK("https://klasma.github.io/Logging_0882/kartor/A 54385-2025 karta.png", "A 54385-2025")</f>
        <v/>
      </c>
      <c r="Y248">
        <f>HYPERLINK("https://klasma.github.io/Logging_0882/kartor_geotiff/A 54385-2025 georefererad karta.tif", "A 54385-2025")</f>
        <v/>
      </c>
      <c r="AA248">
        <f>HYPERLINK("https://klasma.github.io/Logging_0882/klagomål/A 54385-2025 FSC-klagomål.docx", "A 54385-2025")</f>
        <v/>
      </c>
      <c r="AB248">
        <f>HYPERLINK("https://klasma.github.io/Logging_0882/klagomålsmail/A 54385-2025 FSC-klagomål mail.docx", "A 54385-2025")</f>
        <v/>
      </c>
      <c r="AC248">
        <f>HYPERLINK("https://klasma.github.io/Logging_0882/tillsyn/A 54385-2025 tillsynsbegäran.docx", "A 54385-2025")</f>
        <v/>
      </c>
      <c r="AD248">
        <f>HYPERLINK("https://klasma.github.io/Logging_0882/tillsynsmail/A 54385-2025 tillsynsbegäran mail.docx", "A 54385-2025")</f>
        <v/>
      </c>
    </row>
    <row r="249" ht="15" customHeight="1">
      <c r="A249" t="inlineStr">
        <is>
          <t>A 62817-2021</t>
        </is>
      </c>
      <c r="B249" t="inlineStr">
        <is>
          <t>avverkningsanmälan</t>
        </is>
      </c>
      <c r="C249" t="inlineStr">
        <is>
          <t>Föryngringsavverkning</t>
        </is>
      </c>
      <c r="D249" s="1" t="n">
        <v>44504</v>
      </c>
      <c r="E249" s="1" t="n">
        <v>46323</v>
      </c>
      <c r="F249" t="inlineStr">
        <is>
          <t>KALMAR LÄN</t>
        </is>
      </c>
      <c r="G249" t="inlineStr">
        <is>
          <t>NYBRO</t>
        </is>
      </c>
      <c r="H249" t="inlineStr">
        <is>
          <t>Sveaskog</t>
        </is>
      </c>
      <c r="I249" t="n">
        <v>0.9</v>
      </c>
      <c r="J249" t="n">
        <v>4</v>
      </c>
      <c r="K249" t="n">
        <v>0</v>
      </c>
      <c r="L249" t="n">
        <v>2</v>
      </c>
      <c r="M249" t="n">
        <v>1</v>
      </c>
      <c r="N249" t="n">
        <v>0</v>
      </c>
      <c r="O249" t="n">
        <v>0</v>
      </c>
      <c r="P249" t="n">
        <v>0</v>
      </c>
      <c r="Q249" t="n">
        <v>3</v>
      </c>
      <c r="R249" t="n">
        <v>1</v>
      </c>
      <c r="S249" t="n">
        <v>6</v>
      </c>
      <c r="T249" t="n">
        <v>10</v>
      </c>
      <c r="U249" t="n">
        <v>10</v>
      </c>
      <c r="V249" s="2" t="inlineStr">
        <is>
          <t>Slåttergubbe
Nordfladdermus
Skogshare
Nattskärra
Tjäder
Orre</t>
        </is>
      </c>
      <c r="W249">
        <f>HYPERLINK("https://klasma.github.io/Logging_0881/artfynd/A 62817-2021 artfynd.xlsx", "A 62817-2021")</f>
        <v/>
      </c>
      <c r="X249">
        <f>HYPERLINK("https://klasma.github.io/Logging_0881/kartor/A 62817-2021 karta.png", "A 62817-2021")</f>
        <v/>
      </c>
      <c r="Y249">
        <f>HYPERLINK("https://klasma.github.io/Logging_0881/kartor_geotiff/A 62817-2021 georefererad karta.tif", "A 62817-2021")</f>
        <v/>
      </c>
      <c r="AA249">
        <f>HYPERLINK("https://klasma.github.io/Logging_0881/klagomål/A 62817-2021 FSC-klagomål.docx", "A 62817-2021")</f>
        <v/>
      </c>
      <c r="AB249">
        <f>HYPERLINK("https://klasma.github.io/Logging_0881/klagomålsmail/A 62817-2021 FSC-klagomål mail.docx", "A 62817-2021")</f>
        <v/>
      </c>
      <c r="AC249">
        <f>HYPERLINK("https://klasma.github.io/Logging_0881/tillsyn/A 62817-2021 tillsynsbegäran.docx", "A 62817-2021")</f>
        <v/>
      </c>
      <c r="AD249">
        <f>HYPERLINK("https://klasma.github.io/Logging_0881/tillsynsmail/A 62817-2021 tillsynsbegäran mail.docx", "A 62817-2021")</f>
        <v/>
      </c>
      <c r="AE249">
        <f>HYPERLINK("https://klasma.github.io/Logging_0881/fåglar/A 62817-2021 prioriterade fågelarter.docx", "A 62817-2021")</f>
        <v/>
      </c>
    </row>
    <row r="250" ht="15" customHeight="1">
      <c r="A250" t="inlineStr">
        <is>
          <t>A 2806-2025</t>
        </is>
      </c>
      <c r="B250" t="inlineStr">
        <is>
          <t>avverkningsanmälan</t>
        </is>
      </c>
      <c r="C250" t="inlineStr">
        <is>
          <t>Föryngringsavverkning</t>
        </is>
      </c>
      <c r="D250" s="1" t="n">
        <v>45677</v>
      </c>
      <c r="E250" s="1" t="n">
        <v>46323</v>
      </c>
      <c r="F250" t="inlineStr">
        <is>
          <t>KALMAR LÄN</t>
        </is>
      </c>
      <c r="G250" t="inlineStr">
        <is>
          <t>VÄSTERVIK</t>
        </is>
      </c>
      <c r="I250" t="n">
        <v>1.5</v>
      </c>
      <c r="J250" t="n">
        <v>3</v>
      </c>
      <c r="K250" t="n">
        <v>1</v>
      </c>
      <c r="L250" t="n">
        <v>2</v>
      </c>
      <c r="M250" t="n">
        <v>2</v>
      </c>
      <c r="N250" t="n">
        <v>0</v>
      </c>
      <c r="O250" t="n">
        <v>0</v>
      </c>
      <c r="P250" t="n">
        <v>0</v>
      </c>
      <c r="Q250" t="n">
        <v>4</v>
      </c>
      <c r="R250" t="n">
        <v>2</v>
      </c>
      <c r="S250" t="n">
        <v>6</v>
      </c>
      <c r="T250" t="n">
        <v>17</v>
      </c>
      <c r="U250" t="n">
        <v>17</v>
      </c>
      <c r="V250" s="2" t="inlineStr">
        <is>
          <t>Knärot
Ryl
Talltita
Ullticka
Grönpyrola
Kungsfågel</t>
        </is>
      </c>
      <c r="W250">
        <f>HYPERLINK("https://klasma.github.io/Logging_0883/artfynd/A 2806-2025 artfynd.xlsx", "A 2806-2025")</f>
        <v/>
      </c>
      <c r="X250">
        <f>HYPERLINK("https://klasma.github.io/Logging_0883/kartor/A 2806-2025 karta.png", "A 2806-2025")</f>
        <v/>
      </c>
      <c r="Y250">
        <f>HYPERLINK("https://klasma.github.io/Logging_0883/kartor_geotiff/A 2806-2025 georefererad karta.tif", "A 2806-2025")</f>
        <v/>
      </c>
      <c r="Z250">
        <f>HYPERLINK("https://klasma.github.io/Logging_0883/knärot/A 2806-2025 karta knärot.png", "A 2806-2025")</f>
        <v/>
      </c>
      <c r="AA250">
        <f>HYPERLINK("https://klasma.github.io/Logging_0883/klagomål/A 2806-2025 FSC-klagomål.docx", "A 2806-2025")</f>
        <v/>
      </c>
      <c r="AB250">
        <f>HYPERLINK("https://klasma.github.io/Logging_0883/klagomålsmail/A 2806-2025 FSC-klagomål mail.docx", "A 2806-2025")</f>
        <v/>
      </c>
      <c r="AC250">
        <f>HYPERLINK("https://klasma.github.io/Logging_0883/tillsyn/A 2806-2025 tillsynsbegäran.docx", "A 2806-2025")</f>
        <v/>
      </c>
      <c r="AD250">
        <f>HYPERLINK("https://klasma.github.io/Logging_0883/tillsynsmail/A 2806-2025 tillsynsbegäran mail.docx", "A 2806-2025")</f>
        <v/>
      </c>
      <c r="AE250">
        <f>HYPERLINK("https://klasma.github.io/Logging_0883/fåglar/A 2806-2025 prioriterade fågelarter.docx", "A 2806-2025")</f>
        <v/>
      </c>
    </row>
    <row r="251" ht="15" customHeight="1">
      <c r="A251" t="inlineStr">
        <is>
          <t>A 58727-2024</t>
        </is>
      </c>
      <c r="B251" t="inlineStr">
        <is>
          <t>avverkningsanmälan</t>
        </is>
      </c>
      <c r="C251" t="inlineStr">
        <is>
          <t>Föryngringsavverkning</t>
        </is>
      </c>
      <c r="D251" s="1" t="n">
        <v>45635</v>
      </c>
      <c r="E251" s="1" t="n">
        <v>46323</v>
      </c>
      <c r="F251" t="inlineStr">
        <is>
          <t>KALMAR LÄN</t>
        </is>
      </c>
      <c r="G251" t="inlineStr">
        <is>
          <t>VÄSTERVIK</t>
        </is>
      </c>
      <c r="H251" t="inlineStr">
        <is>
          <t>Holmen skog AB</t>
        </is>
      </c>
      <c r="I251" t="n">
        <v>2.8</v>
      </c>
      <c r="J251" t="n">
        <v>5</v>
      </c>
      <c r="K251" t="n">
        <v>1</v>
      </c>
      <c r="L251" t="n">
        <v>3</v>
      </c>
      <c r="M251" t="n">
        <v>0</v>
      </c>
      <c r="N251" t="n">
        <v>0</v>
      </c>
      <c r="O251" t="n">
        <v>0</v>
      </c>
      <c r="P251" t="n">
        <v>0</v>
      </c>
      <c r="Q251" t="n">
        <v>3</v>
      </c>
      <c r="R251" t="n">
        <v>0</v>
      </c>
      <c r="S251" t="n">
        <v>6</v>
      </c>
      <c r="T251" t="n">
        <v>6</v>
      </c>
      <c r="U251" t="n">
        <v>6</v>
      </c>
      <c r="V251" s="2" t="inlineStr">
        <is>
          <t>Entita
Nötkråka
Talltita
Blåmossa
Spillkråka
Havsörn</t>
        </is>
      </c>
      <c r="W251">
        <f>HYPERLINK("https://klasma.github.io/Logging_0883/artfynd/A 58727-2024 artfynd.xlsx", "A 58727-2024")</f>
        <v/>
      </c>
      <c r="X251">
        <f>HYPERLINK("https://klasma.github.io/Logging_0883/kartor/A 58727-2024 karta.png", "A 58727-2024")</f>
        <v/>
      </c>
      <c r="Y251">
        <f>HYPERLINK("https://klasma.github.io/Logging_0883/kartor_geotiff/A 58727-2024 georefererad karta.tif", "A 58727-2024")</f>
        <v/>
      </c>
      <c r="AA251">
        <f>HYPERLINK("https://klasma.github.io/Logging_0883/klagomål/A 58727-2024 FSC-klagomål.docx", "A 58727-2024")</f>
        <v/>
      </c>
      <c r="AB251">
        <f>HYPERLINK("https://klasma.github.io/Logging_0883/klagomålsmail/A 58727-2024 FSC-klagomål mail.docx", "A 58727-2024")</f>
        <v/>
      </c>
      <c r="AC251">
        <f>HYPERLINK("https://klasma.github.io/Logging_0883/tillsyn/A 58727-2024 tillsynsbegäran.docx", "A 58727-2024")</f>
        <v/>
      </c>
      <c r="AD251">
        <f>HYPERLINK("https://klasma.github.io/Logging_0883/tillsynsmail/A 58727-2024 tillsynsbegäran mail.docx", "A 58727-2024")</f>
        <v/>
      </c>
      <c r="AE251">
        <f>HYPERLINK("https://klasma.github.io/Logging_0883/fåglar/A 58727-2024 prioriterade fågelarter.docx", "A 58727-2024")</f>
        <v/>
      </c>
    </row>
    <row r="252" ht="15" customHeight="1">
      <c r="A252" t="inlineStr">
        <is>
          <t>A 31558-2026</t>
        </is>
      </c>
      <c r="B252" t="inlineStr">
        <is>
          <t>avverkningsanmälan</t>
        </is>
      </c>
      <c r="C252" t="inlineStr">
        <is>
          <t>Avverkning för att bevara och utveckla /försöksver</t>
        </is>
      </c>
      <c r="D252" s="1" t="n">
        <v>46224</v>
      </c>
      <c r="E252" s="1" t="n">
        <v>46323</v>
      </c>
      <c r="F252" t="inlineStr">
        <is>
          <t>KALMAR LÄN</t>
        </is>
      </c>
      <c r="G252" t="inlineStr">
        <is>
          <t>BORGHOLM</t>
        </is>
      </c>
      <c r="H252" t="inlineStr">
        <is>
          <t>Sveaskog</t>
        </is>
      </c>
      <c r="I252" t="n">
        <v>1</v>
      </c>
      <c r="J252" t="n">
        <v>2</v>
      </c>
      <c r="K252" t="n">
        <v>2</v>
      </c>
      <c r="L252" t="n">
        <v>3</v>
      </c>
      <c r="M252" t="n">
        <v>0</v>
      </c>
      <c r="N252" t="n">
        <v>0</v>
      </c>
      <c r="O252" t="n">
        <v>0</v>
      </c>
      <c r="P252" t="n">
        <v>0</v>
      </c>
      <c r="Q252" t="n">
        <v>3</v>
      </c>
      <c r="R252" t="n">
        <v>0</v>
      </c>
      <c r="S252" t="n">
        <v>6</v>
      </c>
      <c r="T252" t="n">
        <v>8</v>
      </c>
      <c r="U252" t="n">
        <v>1</v>
      </c>
      <c r="V252" s="2" t="inlineStr">
        <is>
          <t>Blå slemspindling
Sårläka
Vårärt
Anisspindling
Skogsknipprot
Grönvit nattviol</t>
        </is>
      </c>
      <c r="W252">
        <f>HYPERLINK("https://klasma.github.io/Logging_0885/artfynd/A 31558-2026 artfynd.xlsx", "A 31558-2026")</f>
        <v/>
      </c>
      <c r="X252">
        <f>HYPERLINK("https://klasma.github.io/Logging_0885/kartor/A 31558-2026 karta.png", "A 31558-2026")</f>
        <v/>
      </c>
      <c r="Y252">
        <f>HYPERLINK("https://klasma.github.io/Logging_0885/kartor_geotiff/A 31558-2026 georefererad karta.tif", "A 31558-2026")</f>
        <v/>
      </c>
      <c r="AA252">
        <f>HYPERLINK("https://klasma.github.io/Logging_0885/klagomål/A 31558-2026 FSC-klagomål.docx", "A 31558-2026")</f>
        <v/>
      </c>
      <c r="AB252">
        <f>HYPERLINK("https://klasma.github.io/Logging_0885/klagomålsmail/A 31558-2026 FSC-klagomål mail.docx", "A 31558-2026")</f>
        <v/>
      </c>
      <c r="AC252">
        <f>HYPERLINK("https://klasma.github.io/Logging_0885/tillsyn/A 31558-2026 tillsynsbegäran.docx", "A 31558-2026")</f>
        <v/>
      </c>
      <c r="AD252">
        <f>HYPERLINK("https://klasma.github.io/Logging_0885/tillsynsmail/A 31558-2026 tillsynsbegäran mail.docx", "A 31558-2026")</f>
        <v/>
      </c>
    </row>
    <row r="253" ht="15" customHeight="1">
      <c r="A253" t="inlineStr">
        <is>
          <t>A 34081-2022</t>
        </is>
      </c>
      <c r="B253" t="inlineStr">
        <is>
          <t>avverkningsanmälan</t>
        </is>
      </c>
      <c r="C253" t="inlineStr">
        <is>
          <t>Föryngringsavverkning</t>
        </is>
      </c>
      <c r="D253" s="1" t="n">
        <v>44791</v>
      </c>
      <c r="E253" s="1" t="n">
        <v>46323</v>
      </c>
      <c r="F253" t="inlineStr">
        <is>
          <t>KALMAR LÄN</t>
        </is>
      </c>
      <c r="G253" t="inlineStr">
        <is>
          <t>MÖNSTERÅS</t>
        </is>
      </c>
      <c r="I253" t="n">
        <v>1.9</v>
      </c>
      <c r="J253" t="n">
        <v>6</v>
      </c>
      <c r="K253" t="n">
        <v>0</v>
      </c>
      <c r="L253" t="n">
        <v>2</v>
      </c>
      <c r="M253" t="n">
        <v>1</v>
      </c>
      <c r="N253" t="n">
        <v>0</v>
      </c>
      <c r="O253" t="n">
        <v>0</v>
      </c>
      <c r="P253" t="n">
        <v>0</v>
      </c>
      <c r="Q253" t="n">
        <v>3</v>
      </c>
      <c r="R253" t="n">
        <v>1</v>
      </c>
      <c r="S253" t="n">
        <v>6</v>
      </c>
      <c r="T253" t="n">
        <v>7</v>
      </c>
      <c r="U253" t="n">
        <v>2</v>
      </c>
      <c r="V253" s="2" t="inlineStr">
        <is>
          <t>Knärot
Barbastell
Nordfladdermus
Dvärgpipistrell
Större brunfladdermus
Trädlärka</t>
        </is>
      </c>
      <c r="W253">
        <f>HYPERLINK("https://klasma.github.io/Logging_0861/artfynd/A 34081-2022 artfynd.xlsx", "A 34081-2022")</f>
        <v/>
      </c>
      <c r="X253">
        <f>HYPERLINK("https://klasma.github.io/Logging_0861/kartor/A 34081-2022 karta.png", "A 34081-2022")</f>
        <v/>
      </c>
      <c r="Y253">
        <f>HYPERLINK("https://klasma.github.io/Logging_0861/kartor_geotiff/A 34081-2022 georefererad karta.tif", "A 34081-2022")</f>
        <v/>
      </c>
      <c r="Z253">
        <f>HYPERLINK("https://klasma.github.io/Logging_0861/knärot/A 34081-2022 karta knärot.png", "A 34081-2022")</f>
        <v/>
      </c>
      <c r="AA253">
        <f>HYPERLINK("https://klasma.github.io/Logging_0861/klagomål/A 34081-2022 FSC-klagomål.docx", "A 34081-2022")</f>
        <v/>
      </c>
      <c r="AB253">
        <f>HYPERLINK("https://klasma.github.io/Logging_0861/klagomålsmail/A 34081-2022 FSC-klagomål mail.docx", "A 34081-2022")</f>
        <v/>
      </c>
      <c r="AC253">
        <f>HYPERLINK("https://klasma.github.io/Logging_0861/tillsyn/A 34081-2022 tillsynsbegäran.docx", "A 34081-2022")</f>
        <v/>
      </c>
      <c r="AD253">
        <f>HYPERLINK("https://klasma.github.io/Logging_0861/tillsynsmail/A 34081-2022 tillsynsbegäran mail.docx", "A 34081-2022")</f>
        <v/>
      </c>
      <c r="AE253">
        <f>HYPERLINK("https://klasma.github.io/Logging_0861/fåglar/A 34081-2022 prioriterade fågelarter.docx", "A 34081-2022")</f>
        <v/>
      </c>
    </row>
    <row r="254" ht="15" customHeight="1">
      <c r="A254" t="inlineStr">
        <is>
          <t>A 34624-2022</t>
        </is>
      </c>
      <c r="B254" t="inlineStr">
        <is>
          <t>avverkningsanmälan</t>
        </is>
      </c>
      <c r="C254" t="inlineStr">
        <is>
          <t>Föryngringsavverkning</t>
        </is>
      </c>
      <c r="D254" s="1" t="n">
        <v>44795</v>
      </c>
      <c r="E254" s="1" t="n">
        <v>46323</v>
      </c>
      <c r="F254" t="inlineStr">
        <is>
          <t>KALMAR LÄN</t>
        </is>
      </c>
      <c r="G254" t="inlineStr">
        <is>
          <t>VÄSTERVIK</t>
        </is>
      </c>
      <c r="I254" t="n">
        <v>14</v>
      </c>
      <c r="J254" t="n">
        <v>2</v>
      </c>
      <c r="K254" t="n">
        <v>3</v>
      </c>
      <c r="L254" t="n">
        <v>2</v>
      </c>
      <c r="M254" t="n">
        <v>1</v>
      </c>
      <c r="N254" t="n">
        <v>0</v>
      </c>
      <c r="O254" t="n">
        <v>0</v>
      </c>
      <c r="P254" t="n">
        <v>0</v>
      </c>
      <c r="Q254" t="n">
        <v>3</v>
      </c>
      <c r="R254" t="n">
        <v>1</v>
      </c>
      <c r="S254" t="n">
        <v>6</v>
      </c>
      <c r="T254" t="n">
        <v>33</v>
      </c>
      <c r="U254" t="n">
        <v>31</v>
      </c>
      <c r="V254" s="2" t="inlineStr">
        <is>
          <t>Knärot
Tallticka
Talltita
Blomkålssvamp
Blåmossa
Grönpyrola</t>
        </is>
      </c>
      <c r="W254">
        <f>HYPERLINK("https://klasma.github.io/Logging_0883/artfynd/A 34624-2022 artfynd.xlsx", "A 34624-2022")</f>
        <v/>
      </c>
      <c r="X254">
        <f>HYPERLINK("https://klasma.github.io/Logging_0883/kartor/A 34624-2022 karta.png", "A 34624-2022")</f>
        <v/>
      </c>
      <c r="Y254">
        <f>HYPERLINK("https://klasma.github.io/Logging_0883/kartor_geotiff/A 34624-2022 georefererad karta.tif", "A 34624-2022")</f>
        <v/>
      </c>
      <c r="Z254">
        <f>HYPERLINK("https://klasma.github.io/Logging_0883/knärot/A 34624-2022 karta knärot.png", "A 34624-2022")</f>
        <v/>
      </c>
      <c r="AA254">
        <f>HYPERLINK("https://klasma.github.io/Logging_0883/klagomål/A 34624-2022 FSC-klagomål.docx", "A 34624-2022")</f>
        <v/>
      </c>
      <c r="AB254">
        <f>HYPERLINK("https://klasma.github.io/Logging_0883/klagomålsmail/A 34624-2022 FSC-klagomål mail.docx", "A 34624-2022")</f>
        <v/>
      </c>
      <c r="AC254">
        <f>HYPERLINK("https://klasma.github.io/Logging_0883/tillsyn/A 34624-2022 tillsynsbegäran.docx", "A 34624-2022")</f>
        <v/>
      </c>
      <c r="AD254">
        <f>HYPERLINK("https://klasma.github.io/Logging_0883/tillsynsmail/A 34624-2022 tillsynsbegäran mail.docx", "A 34624-2022")</f>
        <v/>
      </c>
      <c r="AE254">
        <f>HYPERLINK("https://klasma.github.io/Logging_0883/fåglar/A 34624-2022 prioriterade fågelarter.docx", "A 34624-2022")</f>
        <v/>
      </c>
    </row>
    <row r="255" ht="15" customHeight="1">
      <c r="A255" t="inlineStr">
        <is>
          <t>A 10103-2022</t>
        </is>
      </c>
      <c r="B255" t="inlineStr">
        <is>
          <t>avverkningsanmälan</t>
        </is>
      </c>
      <c r="C255" t="inlineStr">
        <is>
          <t>Föryngringsavverkning</t>
        </is>
      </c>
      <c r="D255" s="1" t="n">
        <v>44621</v>
      </c>
      <c r="E255" s="1" t="n">
        <v>46323</v>
      </c>
      <c r="F255" t="inlineStr">
        <is>
          <t>KALMAR LÄN</t>
        </is>
      </c>
      <c r="G255" t="inlineStr">
        <is>
          <t>MÖNSTERÅS</t>
        </is>
      </c>
      <c r="I255" t="n">
        <v>1.5</v>
      </c>
      <c r="J255" t="n">
        <v>1</v>
      </c>
      <c r="K255" t="n">
        <v>3</v>
      </c>
      <c r="L255" t="n">
        <v>2</v>
      </c>
      <c r="M255" t="n">
        <v>0</v>
      </c>
      <c r="N255" t="n">
        <v>0</v>
      </c>
      <c r="O255" t="n">
        <v>0</v>
      </c>
      <c r="P255" t="n">
        <v>0</v>
      </c>
      <c r="Q255" t="n">
        <v>2</v>
      </c>
      <c r="R255" t="n">
        <v>0</v>
      </c>
      <c r="S255" t="n">
        <v>6</v>
      </c>
      <c r="T255" t="n">
        <v>6</v>
      </c>
      <c r="U255" t="n">
        <v>6</v>
      </c>
      <c r="V255" s="2" t="inlineStr">
        <is>
          <t>Jätteknäppare
Mindre träfjäril
Bronshjon
Gulröd blankbock
Trådticka
Nattskärra</t>
        </is>
      </c>
      <c r="W255">
        <f>HYPERLINK("https://klasma.github.io/Logging_0861/artfynd/A 10103-2022 artfynd.xlsx", "A 10103-2022")</f>
        <v/>
      </c>
      <c r="X255">
        <f>HYPERLINK("https://klasma.github.io/Logging_0861/kartor/A 10103-2022 karta.png", "A 10103-2022")</f>
        <v/>
      </c>
      <c r="Y255">
        <f>HYPERLINK("https://klasma.github.io/Logging_0861/kartor_geotiff/A 10103-2022 georefererad karta.tif", "A 10103-2022")</f>
        <v/>
      </c>
      <c r="AA255">
        <f>HYPERLINK("https://klasma.github.io/Logging_0861/klagomål/A 10103-2022 FSC-klagomål.docx", "A 10103-2022")</f>
        <v/>
      </c>
      <c r="AB255">
        <f>HYPERLINK("https://klasma.github.io/Logging_0861/klagomålsmail/A 10103-2022 FSC-klagomål mail.docx", "A 10103-2022")</f>
        <v/>
      </c>
      <c r="AC255">
        <f>HYPERLINK("https://klasma.github.io/Logging_0861/tillsyn/A 10103-2022 tillsynsbegäran.docx", "A 10103-2022")</f>
        <v/>
      </c>
      <c r="AD255">
        <f>HYPERLINK("https://klasma.github.io/Logging_0861/tillsynsmail/A 10103-2022 tillsynsbegäran mail.docx", "A 10103-2022")</f>
        <v/>
      </c>
      <c r="AE255">
        <f>HYPERLINK("https://klasma.github.io/Logging_0861/fåglar/A 10103-2022 prioriterade fågelarter.docx", "A 10103-2022")</f>
        <v/>
      </c>
    </row>
    <row r="256" ht="15" customHeight="1">
      <c r="A256" t="inlineStr">
        <is>
          <t>A 60670-2025</t>
        </is>
      </c>
      <c r="B256" t="inlineStr">
        <is>
          <t>avverkningsanmälan</t>
        </is>
      </c>
      <c r="C256" t="inlineStr">
        <is>
          <t>Föryngringsavverkning</t>
        </is>
      </c>
      <c r="D256" s="1" t="n">
        <v>45996</v>
      </c>
      <c r="E256" s="1" t="n">
        <v>46323</v>
      </c>
      <c r="F256" t="inlineStr">
        <is>
          <t>KALMAR LÄN</t>
        </is>
      </c>
      <c r="G256" t="inlineStr">
        <is>
          <t>VÄSTERVIK</t>
        </is>
      </c>
      <c r="I256" t="n">
        <v>3.1</v>
      </c>
      <c r="J256" t="n">
        <v>3</v>
      </c>
      <c r="K256" t="n">
        <v>2</v>
      </c>
      <c r="L256" t="n">
        <v>2</v>
      </c>
      <c r="M256" t="n">
        <v>1</v>
      </c>
      <c r="N256" t="n">
        <v>0</v>
      </c>
      <c r="O256" t="n">
        <v>0</v>
      </c>
      <c r="P256" t="n">
        <v>0</v>
      </c>
      <c r="Q256" t="n">
        <v>3</v>
      </c>
      <c r="R256" t="n">
        <v>1</v>
      </c>
      <c r="S256" t="n">
        <v>6</v>
      </c>
      <c r="T256" t="n">
        <v>11</v>
      </c>
      <c r="U256" t="n">
        <v>11</v>
      </c>
      <c r="V256" s="2" t="inlineStr">
        <is>
          <t>Knärot
Motaggsvamp
Talltita
Grovticka
Grönpyrola
Spillkråka</t>
        </is>
      </c>
      <c r="W256">
        <f>HYPERLINK("https://klasma.github.io/Logging_0883/artfynd/A 60670-2025 artfynd.xlsx", "A 60670-2025")</f>
        <v/>
      </c>
      <c r="X256">
        <f>HYPERLINK("https://klasma.github.io/Logging_0883/kartor/A 60670-2025 karta.png", "A 60670-2025")</f>
        <v/>
      </c>
      <c r="Y256">
        <f>HYPERLINK("https://klasma.github.io/Logging_0883/kartor_geotiff/A 60670-2025 georefererad karta.tif", "A 60670-2025")</f>
        <v/>
      </c>
      <c r="Z256">
        <f>HYPERLINK("https://klasma.github.io/Logging_0883/knärot/A 60670-2025 karta knärot.png", "A 60670-2025")</f>
        <v/>
      </c>
      <c r="AA256">
        <f>HYPERLINK("https://klasma.github.io/Logging_0883/klagomål/A 60670-2025 FSC-klagomål.docx", "A 60670-2025")</f>
        <v/>
      </c>
      <c r="AB256">
        <f>HYPERLINK("https://klasma.github.io/Logging_0883/klagomålsmail/A 60670-2025 FSC-klagomål mail.docx", "A 60670-2025")</f>
        <v/>
      </c>
      <c r="AC256">
        <f>HYPERLINK("https://klasma.github.io/Logging_0883/tillsyn/A 60670-2025 tillsynsbegäran.docx", "A 60670-2025")</f>
        <v/>
      </c>
      <c r="AD256">
        <f>HYPERLINK("https://klasma.github.io/Logging_0883/tillsynsmail/A 60670-2025 tillsynsbegäran mail.docx", "A 60670-2025")</f>
        <v/>
      </c>
      <c r="AE256">
        <f>HYPERLINK("https://klasma.github.io/Logging_0883/fåglar/A 60670-2025 prioriterade fågelarter.docx", "A 60670-2025")</f>
        <v/>
      </c>
    </row>
    <row r="257" ht="15" customHeight="1">
      <c r="A257" t="inlineStr">
        <is>
          <t>A 52046-2024</t>
        </is>
      </c>
      <c r="B257" t="inlineStr">
        <is>
          <t>avverkningsanmälan</t>
        </is>
      </c>
      <c r="C257" t="inlineStr">
        <is>
          <t>Föryngringsavverkning</t>
        </is>
      </c>
      <c r="D257" s="1" t="n">
        <v>45608</v>
      </c>
      <c r="E257" s="1" t="n">
        <v>46323</v>
      </c>
      <c r="F257" t="inlineStr">
        <is>
          <t>KALMAR LÄN</t>
        </is>
      </c>
      <c r="G257" t="inlineStr">
        <is>
          <t>VÄSTERVIK</t>
        </is>
      </c>
      <c r="I257" t="n">
        <v>4.6</v>
      </c>
      <c r="J257" t="n">
        <v>1</v>
      </c>
      <c r="K257" t="n">
        <v>2</v>
      </c>
      <c r="L257" t="n">
        <v>4</v>
      </c>
      <c r="M257" t="n">
        <v>0</v>
      </c>
      <c r="N257" t="n">
        <v>0</v>
      </c>
      <c r="O257" t="n">
        <v>0</v>
      </c>
      <c r="P257" t="n">
        <v>0</v>
      </c>
      <c r="Q257" t="n">
        <v>4</v>
      </c>
      <c r="R257" t="n">
        <v>0</v>
      </c>
      <c r="S257" t="n">
        <v>6</v>
      </c>
      <c r="T257" t="n">
        <v>13</v>
      </c>
      <c r="U257" t="n">
        <v>13</v>
      </c>
      <c r="V257" s="2" t="inlineStr">
        <is>
          <t>Dropptaggsvamp
Motaggsvamp
Tallticka
Talltita
Blåmossa
Grovticka</t>
        </is>
      </c>
      <c r="W257">
        <f>HYPERLINK("https://klasma.github.io/Logging_0883/artfynd/A 52046-2024 artfynd.xlsx", "A 52046-2024")</f>
        <v/>
      </c>
      <c r="X257">
        <f>HYPERLINK("https://klasma.github.io/Logging_0883/kartor/A 52046-2024 karta.png", "A 52046-2024")</f>
        <v/>
      </c>
      <c r="Y257">
        <f>HYPERLINK("https://klasma.github.io/Logging_0883/kartor_geotiff/A 52046-2024 georefererad karta.tif", "A 52046-2024")</f>
        <v/>
      </c>
      <c r="AA257">
        <f>HYPERLINK("https://klasma.github.io/Logging_0883/klagomål/A 52046-2024 FSC-klagomål.docx", "A 52046-2024")</f>
        <v/>
      </c>
      <c r="AB257">
        <f>HYPERLINK("https://klasma.github.io/Logging_0883/klagomålsmail/A 52046-2024 FSC-klagomål mail.docx", "A 52046-2024")</f>
        <v/>
      </c>
      <c r="AC257">
        <f>HYPERLINK("https://klasma.github.io/Logging_0883/tillsyn/A 52046-2024 tillsynsbegäran.docx", "A 52046-2024")</f>
        <v/>
      </c>
      <c r="AD257">
        <f>HYPERLINK("https://klasma.github.io/Logging_0883/tillsynsmail/A 52046-2024 tillsynsbegäran mail.docx", "A 52046-2024")</f>
        <v/>
      </c>
      <c r="AE257">
        <f>HYPERLINK("https://klasma.github.io/Logging_0883/fåglar/A 52046-2024 prioriterade fågelarter.docx", "A 52046-2024")</f>
        <v/>
      </c>
    </row>
    <row r="258" ht="15" customHeight="1">
      <c r="A258" t="inlineStr">
        <is>
          <t>A 47774-2025</t>
        </is>
      </c>
      <c r="B258" t="inlineStr">
        <is>
          <t>avverkningsanmälan</t>
        </is>
      </c>
      <c r="C258" t="inlineStr">
        <is>
          <t>Föryngringsavverkning</t>
        </is>
      </c>
      <c r="D258" s="1" t="n">
        <v>45931</v>
      </c>
      <c r="E258" s="1" t="n">
        <v>46323</v>
      </c>
      <c r="F258" t="inlineStr">
        <is>
          <t>KALMAR LÄN</t>
        </is>
      </c>
      <c r="G258" t="inlineStr">
        <is>
          <t>VÄSTERVIK</t>
        </is>
      </c>
      <c r="I258" t="n">
        <v>2.8</v>
      </c>
      <c r="J258" t="n">
        <v>2</v>
      </c>
      <c r="K258" t="n">
        <v>1</v>
      </c>
      <c r="L258" t="n">
        <v>4</v>
      </c>
      <c r="M258" t="n">
        <v>0</v>
      </c>
      <c r="N258" t="n">
        <v>0</v>
      </c>
      <c r="O258" t="n">
        <v>0</v>
      </c>
      <c r="P258" t="n">
        <v>0</v>
      </c>
      <c r="Q258" t="n">
        <v>4</v>
      </c>
      <c r="R258" t="n">
        <v>0</v>
      </c>
      <c r="S258" t="n">
        <v>6</v>
      </c>
      <c r="T258" t="n">
        <v>7</v>
      </c>
      <c r="U258" t="n">
        <v>7</v>
      </c>
      <c r="V258" s="2" t="inlineStr">
        <is>
          <t>Fjällig taggsvamp s.str.
Rynkskinn
Talltita
Vaddporing
Grovticka
Spillkråka</t>
        </is>
      </c>
      <c r="W258">
        <f>HYPERLINK("https://klasma.github.io/Logging_0883/artfynd/A 47774-2025 artfynd.xlsx", "A 47774-2025")</f>
        <v/>
      </c>
      <c r="X258">
        <f>HYPERLINK("https://klasma.github.io/Logging_0883/kartor/A 47774-2025 karta.png", "A 47774-2025")</f>
        <v/>
      </c>
      <c r="Y258">
        <f>HYPERLINK("https://klasma.github.io/Logging_0883/kartor_geotiff/A 47774-2025 georefererad karta.tif", "A 47774-2025")</f>
        <v/>
      </c>
      <c r="AA258">
        <f>HYPERLINK("https://klasma.github.io/Logging_0883/klagomål/A 47774-2025 FSC-klagomål.docx", "A 47774-2025")</f>
        <v/>
      </c>
      <c r="AB258">
        <f>HYPERLINK("https://klasma.github.io/Logging_0883/klagomålsmail/A 47774-2025 FSC-klagomål mail.docx", "A 47774-2025")</f>
        <v/>
      </c>
      <c r="AC258">
        <f>HYPERLINK("https://klasma.github.io/Logging_0883/tillsyn/A 47774-2025 tillsynsbegäran.docx", "A 47774-2025")</f>
        <v/>
      </c>
      <c r="AD258">
        <f>HYPERLINK("https://klasma.github.io/Logging_0883/tillsynsmail/A 47774-2025 tillsynsbegäran mail.docx", "A 47774-2025")</f>
        <v/>
      </c>
      <c r="AE258">
        <f>HYPERLINK("https://klasma.github.io/Logging_0883/fåglar/A 47774-2025 prioriterade fågelarter.docx", "A 47774-2025")</f>
        <v/>
      </c>
    </row>
    <row r="259" ht="15" customHeight="1">
      <c r="A259" t="inlineStr">
        <is>
          <t>A 22297-2024</t>
        </is>
      </c>
      <c r="B259" t="inlineStr">
        <is>
          <t>avverkningsanmälan</t>
        </is>
      </c>
      <c r="C259" t="inlineStr">
        <is>
          <t>Föryngringsavverkning</t>
        </is>
      </c>
      <c r="D259" s="1" t="n">
        <v>45446</v>
      </c>
      <c r="E259" s="1" t="n">
        <v>46323</v>
      </c>
      <c r="F259" t="inlineStr">
        <is>
          <t>KALMAR LÄN</t>
        </is>
      </c>
      <c r="G259" t="inlineStr">
        <is>
          <t>OSKARSHAMN</t>
        </is>
      </c>
      <c r="I259" t="n">
        <v>3.4</v>
      </c>
      <c r="J259" t="n">
        <v>1</v>
      </c>
      <c r="K259" t="n">
        <v>3</v>
      </c>
      <c r="L259" t="n">
        <v>2</v>
      </c>
      <c r="M259" t="n">
        <v>0</v>
      </c>
      <c r="N259" t="n">
        <v>0</v>
      </c>
      <c r="O259" t="n">
        <v>0</v>
      </c>
      <c r="P259" t="n">
        <v>0</v>
      </c>
      <c r="Q259" t="n">
        <v>2</v>
      </c>
      <c r="R259" t="n">
        <v>0</v>
      </c>
      <c r="S259" t="n">
        <v>6</v>
      </c>
      <c r="T259" t="n">
        <v>6</v>
      </c>
      <c r="U259" t="n">
        <v>1</v>
      </c>
      <c r="V259" s="2" t="inlineStr">
        <is>
          <t>Ekticka
Rosa skärelav
Blomskägglav
Guldlockmossa
Platt fjädermossa
Kopparödla</t>
        </is>
      </c>
      <c r="W259">
        <f>HYPERLINK("https://klasma.github.io/Logging_0882/artfynd/A 22297-2024 artfynd.xlsx", "A 22297-2024")</f>
        <v/>
      </c>
      <c r="X259">
        <f>HYPERLINK("https://klasma.github.io/Logging_0882/kartor/A 22297-2024 karta.png", "A 22297-2024")</f>
        <v/>
      </c>
      <c r="Y259">
        <f>HYPERLINK("https://klasma.github.io/Logging_0882/kartor_geotiff/A 22297-2024 georefererad karta.tif", "A 22297-2024")</f>
        <v/>
      </c>
      <c r="AA259">
        <f>HYPERLINK("https://klasma.github.io/Logging_0882/klagomål/A 22297-2024 FSC-klagomål.docx", "A 22297-2024")</f>
        <v/>
      </c>
      <c r="AB259">
        <f>HYPERLINK("https://klasma.github.io/Logging_0882/klagomålsmail/A 22297-2024 FSC-klagomål mail.docx", "A 22297-2024")</f>
        <v/>
      </c>
      <c r="AC259">
        <f>HYPERLINK("https://klasma.github.io/Logging_0882/tillsyn/A 22297-2024 tillsynsbegäran.docx", "A 22297-2024")</f>
        <v/>
      </c>
      <c r="AD259">
        <f>HYPERLINK("https://klasma.github.io/Logging_0882/tillsynsmail/A 22297-2024 tillsynsbegäran mail.docx", "A 22297-2024")</f>
        <v/>
      </c>
    </row>
    <row r="260" ht="15" customHeight="1">
      <c r="A260" t="inlineStr">
        <is>
          <t>A 59178-2022</t>
        </is>
      </c>
      <c r="B260" t="inlineStr">
        <is>
          <t>avverkningsanmälan</t>
        </is>
      </c>
      <c r="C260" t="inlineStr">
        <is>
          <t>Föryngringsavverkning</t>
        </is>
      </c>
      <c r="D260" s="1" t="n">
        <v>44904</v>
      </c>
      <c r="E260" s="1" t="n">
        <v>46323</v>
      </c>
      <c r="F260" t="inlineStr">
        <is>
          <t>KALMAR LÄN</t>
        </is>
      </c>
      <c r="G260" t="inlineStr">
        <is>
          <t>VÄSTERVIK</t>
        </is>
      </c>
      <c r="I260" t="n">
        <v>3.3</v>
      </c>
      <c r="J260" t="n">
        <v>5</v>
      </c>
      <c r="K260" t="n">
        <v>0</v>
      </c>
      <c r="L260" t="n">
        <v>4</v>
      </c>
      <c r="M260" t="n">
        <v>0</v>
      </c>
      <c r="N260" t="n">
        <v>0</v>
      </c>
      <c r="O260" t="n">
        <v>0</v>
      </c>
      <c r="P260" t="n">
        <v>0</v>
      </c>
      <c r="Q260" t="n">
        <v>4</v>
      </c>
      <c r="R260" t="n">
        <v>0</v>
      </c>
      <c r="S260" t="n">
        <v>6</v>
      </c>
      <c r="T260" t="n">
        <v>9</v>
      </c>
      <c r="U260" t="n">
        <v>9</v>
      </c>
      <c r="V260" s="2" t="inlineStr">
        <is>
          <t>Entita
Grönsångare
Tallticka
Talltita
Spillkråka
Kungsfågel</t>
        </is>
      </c>
      <c r="W260">
        <f>HYPERLINK("https://klasma.github.io/Logging_0883/artfynd/A 59178-2022 artfynd.xlsx", "A 59178-2022")</f>
        <v/>
      </c>
      <c r="X260">
        <f>HYPERLINK("https://klasma.github.io/Logging_0883/kartor/A 59178-2022 karta.png", "A 59178-2022")</f>
        <v/>
      </c>
      <c r="Y260">
        <f>HYPERLINK("https://klasma.github.io/Logging_0883/kartor_geotiff/A 59178-2022 georefererad karta.tif", "A 59178-2022")</f>
        <v/>
      </c>
      <c r="AA260">
        <f>HYPERLINK("https://klasma.github.io/Logging_0883/klagomål/A 59178-2022 FSC-klagomål.docx", "A 59178-2022")</f>
        <v/>
      </c>
      <c r="AB260">
        <f>HYPERLINK("https://klasma.github.io/Logging_0883/klagomålsmail/A 59178-2022 FSC-klagomål mail.docx", "A 59178-2022")</f>
        <v/>
      </c>
      <c r="AC260">
        <f>HYPERLINK("https://klasma.github.io/Logging_0883/tillsyn/A 59178-2022 tillsynsbegäran.docx", "A 59178-2022")</f>
        <v/>
      </c>
      <c r="AD260">
        <f>HYPERLINK("https://klasma.github.io/Logging_0883/tillsynsmail/A 59178-2022 tillsynsbegäran mail.docx", "A 59178-2022")</f>
        <v/>
      </c>
      <c r="AE260">
        <f>HYPERLINK("https://klasma.github.io/Logging_0883/fåglar/A 59178-2022 prioriterade fågelarter.docx", "A 59178-2022")</f>
        <v/>
      </c>
    </row>
    <row r="261" ht="15" customHeight="1">
      <c r="A261" t="inlineStr">
        <is>
          <t>A 46794-2025</t>
        </is>
      </c>
      <c r="B261" t="inlineStr">
        <is>
          <t>avverkningsanmälan</t>
        </is>
      </c>
      <c r="C261" t="inlineStr">
        <is>
          <t>Avverkning för annat ändamål</t>
        </is>
      </c>
      <c r="D261" s="1" t="n">
        <v>45926</v>
      </c>
      <c r="E261" s="1" t="n">
        <v>46323</v>
      </c>
      <c r="F261" t="inlineStr">
        <is>
          <t>KALMAR LÄN</t>
        </is>
      </c>
      <c r="G261" t="inlineStr">
        <is>
          <t>BORGHOLM</t>
        </is>
      </c>
      <c r="I261" t="n">
        <v>0.7</v>
      </c>
      <c r="J261" t="n">
        <v>2</v>
      </c>
      <c r="K261" t="n">
        <v>3</v>
      </c>
      <c r="L261" t="n">
        <v>2</v>
      </c>
      <c r="M261" t="n">
        <v>0</v>
      </c>
      <c r="N261" t="n">
        <v>0</v>
      </c>
      <c r="O261" t="n">
        <v>0</v>
      </c>
      <c r="P261" t="n">
        <v>0</v>
      </c>
      <c r="Q261" t="n">
        <v>2</v>
      </c>
      <c r="R261" t="n">
        <v>0</v>
      </c>
      <c r="S261" t="n">
        <v>6</v>
      </c>
      <c r="T261" t="n">
        <v>10</v>
      </c>
      <c r="U261" t="n">
        <v>9</v>
      </c>
      <c r="V261" s="2" t="inlineStr">
        <is>
          <t>Mindre ekbock
Sårläka
Murgröna
Myskmadra
Vit skogslilja
Blåsippa</t>
        </is>
      </c>
      <c r="W261">
        <f>HYPERLINK("https://klasma.github.io/Logging_0885/artfynd/A 46794-2025 artfynd.xlsx", "A 46794-2025")</f>
        <v/>
      </c>
      <c r="X261">
        <f>HYPERLINK("https://klasma.github.io/Logging_0885/kartor/A 46794-2025 karta.png", "A 46794-2025")</f>
        <v/>
      </c>
      <c r="Y261">
        <f>HYPERLINK("https://klasma.github.io/Logging_0885/kartor_geotiff/A 46794-2025 georefererad karta.tif", "A 46794-2025")</f>
        <v/>
      </c>
      <c r="AA261">
        <f>HYPERLINK("https://klasma.github.io/Logging_0885/klagomål/A 46794-2025 FSC-klagomål.docx", "A 46794-2025")</f>
        <v/>
      </c>
      <c r="AB261">
        <f>HYPERLINK("https://klasma.github.io/Logging_0885/klagomålsmail/A 46794-2025 FSC-klagomål mail.docx", "A 46794-2025")</f>
        <v/>
      </c>
      <c r="AC261">
        <f>HYPERLINK("https://klasma.github.io/Logging_0885/tillsyn/A 46794-2025 tillsynsbegäran.docx", "A 46794-2025")</f>
        <v/>
      </c>
      <c r="AD261">
        <f>HYPERLINK("https://klasma.github.io/Logging_0885/tillsynsmail/A 46794-2025 tillsynsbegäran mail.docx", "A 46794-2025")</f>
        <v/>
      </c>
    </row>
    <row r="262" ht="15" customHeight="1">
      <c r="A262" t="inlineStr">
        <is>
          <t>A 56700-2025</t>
        </is>
      </c>
      <c r="B262" t="inlineStr">
        <is>
          <t>avverkningsanmälan</t>
        </is>
      </c>
      <c r="C262" t="inlineStr">
        <is>
          <t>Föryngringsavverkning</t>
        </is>
      </c>
      <c r="D262" s="1" t="n">
        <v>45977</v>
      </c>
      <c r="E262" s="1" t="n">
        <v>46323</v>
      </c>
      <c r="F262" t="inlineStr">
        <is>
          <t>KALMAR LÄN</t>
        </is>
      </c>
      <c r="G262" t="inlineStr">
        <is>
          <t>TORSÅS</t>
        </is>
      </c>
      <c r="I262" t="n">
        <v>5.3</v>
      </c>
      <c r="J262" t="n">
        <v>5</v>
      </c>
      <c r="K262" t="n">
        <v>0</v>
      </c>
      <c r="L262" t="n">
        <v>3</v>
      </c>
      <c r="M262" t="n">
        <v>0</v>
      </c>
      <c r="N262" t="n">
        <v>0</v>
      </c>
      <c r="O262" t="n">
        <v>0</v>
      </c>
      <c r="P262" t="n">
        <v>0</v>
      </c>
      <c r="Q262" t="n">
        <v>3</v>
      </c>
      <c r="R262" t="n">
        <v>0</v>
      </c>
      <c r="S262" t="n">
        <v>6</v>
      </c>
      <c r="T262" t="n">
        <v>7</v>
      </c>
      <c r="U262" t="n">
        <v>7</v>
      </c>
      <c r="V262" s="2" t="inlineStr">
        <is>
          <t>Enkelbeckasin
Oxtungssvamp
Talltita
Spillkråka
Kungsfågel
Trana</t>
        </is>
      </c>
      <c r="W262">
        <f>HYPERLINK("https://klasma.github.io/Logging_0834/artfynd/A 56700-2025 artfynd.xlsx", "A 56700-2025")</f>
        <v/>
      </c>
      <c r="X262">
        <f>HYPERLINK("https://klasma.github.io/Logging_0834/kartor/A 56700-2025 karta.png", "A 56700-2025")</f>
        <v/>
      </c>
      <c r="Y262">
        <f>HYPERLINK("https://klasma.github.io/Logging_0834/kartor_geotiff/A 56700-2025 georefererad karta.tif", "A 56700-2025")</f>
        <v/>
      </c>
      <c r="AA262">
        <f>HYPERLINK("https://klasma.github.io/Logging_0834/klagomål/A 56700-2025 FSC-klagomål.docx", "A 56700-2025")</f>
        <v/>
      </c>
      <c r="AB262">
        <f>HYPERLINK("https://klasma.github.io/Logging_0834/klagomålsmail/A 56700-2025 FSC-klagomål mail.docx", "A 56700-2025")</f>
        <v/>
      </c>
      <c r="AC262">
        <f>HYPERLINK("https://klasma.github.io/Logging_0834/tillsyn/A 56700-2025 tillsynsbegäran.docx", "A 56700-2025")</f>
        <v/>
      </c>
      <c r="AD262">
        <f>HYPERLINK("https://klasma.github.io/Logging_0834/tillsynsmail/A 56700-2025 tillsynsbegäran mail.docx", "A 56700-2025")</f>
        <v/>
      </c>
      <c r="AE262">
        <f>HYPERLINK("https://klasma.github.io/Logging_0834/fåglar/A 56700-2025 prioriterade fågelarter.docx", "A 56700-2025")</f>
        <v/>
      </c>
    </row>
    <row r="263" ht="15" customHeight="1">
      <c r="A263" t="inlineStr">
        <is>
          <t>A 55989-2023</t>
        </is>
      </c>
      <c r="B263" t="inlineStr">
        <is>
          <t>avverkningsanmälan</t>
        </is>
      </c>
      <c r="C263" t="inlineStr">
        <is>
          <t>Föryngringsavverkning</t>
        </is>
      </c>
      <c r="D263" s="1" t="n">
        <v>45240</v>
      </c>
      <c r="E263" s="1" t="n">
        <v>46323</v>
      </c>
      <c r="F263" t="inlineStr">
        <is>
          <t>KALMAR LÄN</t>
        </is>
      </c>
      <c r="G263" t="inlineStr">
        <is>
          <t>OSKARSHAMN</t>
        </is>
      </c>
      <c r="I263" t="n">
        <v>3</v>
      </c>
      <c r="J263" t="n">
        <v>6</v>
      </c>
      <c r="K263" t="n">
        <v>0</v>
      </c>
      <c r="L263" t="n">
        <v>3</v>
      </c>
      <c r="M263" t="n">
        <v>0</v>
      </c>
      <c r="N263" t="n">
        <v>0</v>
      </c>
      <c r="O263" t="n">
        <v>0</v>
      </c>
      <c r="P263" t="n">
        <v>0</v>
      </c>
      <c r="Q263" t="n">
        <v>3</v>
      </c>
      <c r="R263" t="n">
        <v>0</v>
      </c>
      <c r="S263" t="n">
        <v>6</v>
      </c>
      <c r="T263" t="n">
        <v>6</v>
      </c>
      <c r="U263" t="n">
        <v>6</v>
      </c>
      <c r="V263" s="2" t="inlineStr">
        <is>
          <t>Barbastell
Brunlångöra
Nordfladdermus
Dvärgpipistrell
Större brunfladdermus
Vattenfladdermus</t>
        </is>
      </c>
      <c r="W263">
        <f>HYPERLINK("https://klasma.github.io/Logging_0882/artfynd/A 55989-2023 artfynd.xlsx", "A 55989-2023")</f>
        <v/>
      </c>
      <c r="X263">
        <f>HYPERLINK("https://klasma.github.io/Logging_0882/kartor/A 55989-2023 karta.png", "A 55989-2023")</f>
        <v/>
      </c>
      <c r="Y263">
        <f>HYPERLINK("https://klasma.github.io/Logging_0882/kartor_geotiff/A 55989-2023 georefererad karta.tif", "A 55989-2023")</f>
        <v/>
      </c>
      <c r="AA263">
        <f>HYPERLINK("https://klasma.github.io/Logging_0882/klagomål/A 55989-2023 FSC-klagomål.docx", "A 55989-2023")</f>
        <v/>
      </c>
      <c r="AB263">
        <f>HYPERLINK("https://klasma.github.io/Logging_0882/klagomålsmail/A 55989-2023 FSC-klagomål mail.docx", "A 55989-2023")</f>
        <v/>
      </c>
      <c r="AC263">
        <f>HYPERLINK("https://klasma.github.io/Logging_0882/tillsyn/A 55989-2023 tillsynsbegäran.docx", "A 55989-2023")</f>
        <v/>
      </c>
      <c r="AD263">
        <f>HYPERLINK("https://klasma.github.io/Logging_0882/tillsynsmail/A 55989-2023 tillsynsbegäran mail.docx", "A 55989-2023")</f>
        <v/>
      </c>
    </row>
    <row r="264" ht="15" customHeight="1">
      <c r="A264" t="inlineStr">
        <is>
          <t>A 21628-2026</t>
        </is>
      </c>
      <c r="B264" t="inlineStr">
        <is>
          <t>avverkningsanmälan</t>
        </is>
      </c>
      <c r="C264" t="inlineStr">
        <is>
          <t>Föryngringsavverkning</t>
        </is>
      </c>
      <c r="D264" s="1" t="n">
        <v>46149</v>
      </c>
      <c r="E264" s="1" t="n">
        <v>46323</v>
      </c>
      <c r="F264" t="inlineStr">
        <is>
          <t>KALMAR LÄN</t>
        </is>
      </c>
      <c r="G264" t="inlineStr">
        <is>
          <t>OSKARSHAMN</t>
        </is>
      </c>
      <c r="I264" t="n">
        <v>1.4</v>
      </c>
      <c r="J264" t="n">
        <v>2</v>
      </c>
      <c r="K264" t="n">
        <v>0</v>
      </c>
      <c r="L264" t="n">
        <v>4</v>
      </c>
      <c r="M264" t="n">
        <v>0</v>
      </c>
      <c r="N264" t="n">
        <v>0</v>
      </c>
      <c r="O264" t="n">
        <v>0</v>
      </c>
      <c r="P264" t="n">
        <v>0</v>
      </c>
      <c r="Q264" t="n">
        <v>4</v>
      </c>
      <c r="R264" t="n">
        <v>0</v>
      </c>
      <c r="S264" t="n">
        <v>6</v>
      </c>
      <c r="T264" t="n">
        <v>6</v>
      </c>
      <c r="U264" t="n">
        <v>0</v>
      </c>
      <c r="V264" s="2" t="inlineStr">
        <is>
          <t>Jungfrulin
Slåtterfibbla
Solvända
Åkerkulla
Fläcknycklar
Gullviva</t>
        </is>
      </c>
      <c r="W264">
        <f>HYPERLINK("https://klasma.github.io/Logging_0882/artfynd/A 21628-2026 artfynd.xlsx", "A 21628-2026")</f>
        <v/>
      </c>
      <c r="X264">
        <f>HYPERLINK("https://klasma.github.io/Logging_0882/kartor/A 21628-2026 karta.png", "A 21628-2026")</f>
        <v/>
      </c>
      <c r="Y264">
        <f>HYPERLINK("https://klasma.github.io/Logging_0882/kartor_geotiff/A 21628-2026 georefererad karta.tif", "A 21628-2026")</f>
        <v/>
      </c>
      <c r="AA264">
        <f>HYPERLINK("https://klasma.github.io/Logging_0882/klagomål/A 21628-2026 FSC-klagomål.docx", "A 21628-2026")</f>
        <v/>
      </c>
      <c r="AB264">
        <f>HYPERLINK("https://klasma.github.io/Logging_0882/klagomålsmail/A 21628-2026 FSC-klagomål mail.docx", "A 21628-2026")</f>
        <v/>
      </c>
      <c r="AC264">
        <f>HYPERLINK("https://klasma.github.io/Logging_0882/tillsyn/A 21628-2026 tillsynsbegäran.docx", "A 21628-2026")</f>
        <v/>
      </c>
      <c r="AD264">
        <f>HYPERLINK("https://klasma.github.io/Logging_0882/tillsynsmail/A 21628-2026 tillsynsbegäran mail.docx", "A 21628-2026")</f>
        <v/>
      </c>
    </row>
    <row r="265" ht="15" customHeight="1">
      <c r="A265" t="inlineStr">
        <is>
          <t>A 22085-2026</t>
        </is>
      </c>
      <c r="B265" t="inlineStr">
        <is>
          <t>avverkningsanmälan</t>
        </is>
      </c>
      <c r="C265" t="inlineStr">
        <is>
          <t>Föryngringsavverkning</t>
        </is>
      </c>
      <c r="D265" s="1" t="n">
        <v>46153</v>
      </c>
      <c r="E265" s="1" t="n">
        <v>46323</v>
      </c>
      <c r="F265" t="inlineStr">
        <is>
          <t>KALMAR LÄN</t>
        </is>
      </c>
      <c r="G265" t="inlineStr">
        <is>
          <t>NYBRO</t>
        </is>
      </c>
      <c r="H265" t="inlineStr">
        <is>
          <t>Sveaskog</t>
        </is>
      </c>
      <c r="I265" t="n">
        <v>1.5</v>
      </c>
      <c r="J265" t="n">
        <v>6</v>
      </c>
      <c r="K265" t="n">
        <v>0</v>
      </c>
      <c r="L265" t="n">
        <v>4</v>
      </c>
      <c r="M265" t="n">
        <v>0</v>
      </c>
      <c r="N265" t="n">
        <v>0</v>
      </c>
      <c r="O265" t="n">
        <v>0</v>
      </c>
      <c r="P265" t="n">
        <v>0</v>
      </c>
      <c r="Q265" t="n">
        <v>4</v>
      </c>
      <c r="R265" t="n">
        <v>0</v>
      </c>
      <c r="S265" t="n">
        <v>6</v>
      </c>
      <c r="T265" t="n">
        <v>8</v>
      </c>
      <c r="U265" t="n">
        <v>0</v>
      </c>
      <c r="V265" s="2" t="inlineStr">
        <is>
          <t>Barbastell
Fransfladdermus
Nordfladdermus
Talltita
Dvärgpipistrell
Större brunfladdermus</t>
        </is>
      </c>
      <c r="W265">
        <f>HYPERLINK("https://klasma.github.io/Logging_0881/artfynd/A 22085-2026 artfynd.xlsx", "A 22085-2026")</f>
        <v/>
      </c>
      <c r="X265">
        <f>HYPERLINK("https://klasma.github.io/Logging_0881/kartor/A 22085-2026 karta.png", "A 22085-2026")</f>
        <v/>
      </c>
      <c r="Y265">
        <f>HYPERLINK("https://klasma.github.io/Logging_0881/kartor_geotiff/A 22085-2026 georefererad karta.tif", "A 22085-2026")</f>
        <v/>
      </c>
      <c r="AA265">
        <f>HYPERLINK("https://klasma.github.io/Logging_0881/klagomål/A 22085-2026 FSC-klagomål.docx", "A 22085-2026")</f>
        <v/>
      </c>
      <c r="AB265">
        <f>HYPERLINK("https://klasma.github.io/Logging_0881/klagomålsmail/A 22085-2026 FSC-klagomål mail.docx", "A 22085-2026")</f>
        <v/>
      </c>
      <c r="AC265">
        <f>HYPERLINK("https://klasma.github.io/Logging_0881/tillsyn/A 22085-2026 tillsynsbegäran.docx", "A 22085-2026")</f>
        <v/>
      </c>
      <c r="AD265">
        <f>HYPERLINK("https://klasma.github.io/Logging_0881/tillsynsmail/A 22085-2026 tillsynsbegäran mail.docx", "A 22085-2026")</f>
        <v/>
      </c>
      <c r="AE265">
        <f>HYPERLINK("https://klasma.github.io/Logging_0881/fåglar/A 22085-2026 prioriterade fågelarter.docx", "A 22085-2026")</f>
        <v/>
      </c>
    </row>
    <row r="266" ht="15" customHeight="1">
      <c r="A266" t="inlineStr">
        <is>
          <t>A 5067-2025</t>
        </is>
      </c>
      <c r="B266" t="inlineStr">
        <is>
          <t>avverkningsanmälan</t>
        </is>
      </c>
      <c r="C266" t="inlineStr">
        <is>
          <t>Föryngringsavverkning</t>
        </is>
      </c>
      <c r="D266" s="1" t="n">
        <v>45691</v>
      </c>
      <c r="E266" s="1" t="n">
        <v>46323</v>
      </c>
      <c r="F266" t="inlineStr">
        <is>
          <t>KALMAR LÄN</t>
        </is>
      </c>
      <c r="G266" t="inlineStr">
        <is>
          <t>VÄSTERVIK</t>
        </is>
      </c>
      <c r="H266" t="inlineStr">
        <is>
          <t>Holmen skog AB</t>
        </is>
      </c>
      <c r="I266" t="n">
        <v>3.1</v>
      </c>
      <c r="J266" t="n">
        <v>4</v>
      </c>
      <c r="K266" t="n">
        <v>0</v>
      </c>
      <c r="L266" t="n">
        <v>3</v>
      </c>
      <c r="M266" t="n">
        <v>0</v>
      </c>
      <c r="N266" t="n">
        <v>0</v>
      </c>
      <c r="O266" t="n">
        <v>0</v>
      </c>
      <c r="P266" t="n">
        <v>0</v>
      </c>
      <c r="Q266" t="n">
        <v>3</v>
      </c>
      <c r="R266" t="n">
        <v>0</v>
      </c>
      <c r="S266" t="n">
        <v>6</v>
      </c>
      <c r="T266" t="n">
        <v>6</v>
      </c>
      <c r="U266" t="n">
        <v>6</v>
      </c>
      <c r="V266" s="2" t="inlineStr">
        <is>
          <t>Dropptaggsvamp
Orange taggsvamp
Talltita
Spillkråka
Kungsfågel
Revlummer</t>
        </is>
      </c>
      <c r="W266">
        <f>HYPERLINK("https://klasma.github.io/Logging_0883/artfynd/A 5067-2025 artfynd.xlsx", "A 5067-2025")</f>
        <v/>
      </c>
      <c r="X266">
        <f>HYPERLINK("https://klasma.github.io/Logging_0883/kartor/A 5067-2025 karta.png", "A 5067-2025")</f>
        <v/>
      </c>
      <c r="Y266">
        <f>HYPERLINK("https://klasma.github.io/Logging_0883/kartor_geotiff/A 5067-2025 georefererad karta.tif", "A 5067-2025")</f>
        <v/>
      </c>
      <c r="AA266">
        <f>HYPERLINK("https://klasma.github.io/Logging_0883/klagomål/A 5067-2025 FSC-klagomål.docx", "A 5067-2025")</f>
        <v/>
      </c>
      <c r="AB266">
        <f>HYPERLINK("https://klasma.github.io/Logging_0883/klagomålsmail/A 5067-2025 FSC-klagomål mail.docx", "A 5067-2025")</f>
        <v/>
      </c>
      <c r="AC266">
        <f>HYPERLINK("https://klasma.github.io/Logging_0883/tillsyn/A 5067-2025 tillsynsbegäran.docx", "A 5067-2025")</f>
        <v/>
      </c>
      <c r="AD266">
        <f>HYPERLINK("https://klasma.github.io/Logging_0883/tillsynsmail/A 5067-2025 tillsynsbegäran mail.docx", "A 5067-2025")</f>
        <v/>
      </c>
      <c r="AE266">
        <f>HYPERLINK("https://klasma.github.io/Logging_0883/fåglar/A 5067-2025 prioriterade fågelarter.docx", "A 5067-2025")</f>
        <v/>
      </c>
    </row>
    <row r="267" ht="15" customHeight="1">
      <c r="A267" t="inlineStr">
        <is>
          <t>A 24632-2026</t>
        </is>
      </c>
      <c r="B267" t="inlineStr">
        <is>
          <t>avverkningsanmälan</t>
        </is>
      </c>
      <c r="C267" t="inlineStr">
        <is>
          <t>Föryngringsavverkning</t>
        </is>
      </c>
      <c r="D267" s="1" t="n">
        <v>46171</v>
      </c>
      <c r="E267" s="1" t="n">
        <v>46323</v>
      </c>
      <c r="F267" t="inlineStr">
        <is>
          <t>KALMAR LÄN</t>
        </is>
      </c>
      <c r="G267" t="inlineStr">
        <is>
          <t>VÄSTERVIK</t>
        </is>
      </c>
      <c r="H267" t="inlineStr">
        <is>
          <t>Kyrkan</t>
        </is>
      </c>
      <c r="I267" t="n">
        <v>4.6</v>
      </c>
      <c r="J267" t="n">
        <v>3</v>
      </c>
      <c r="K267" t="n">
        <v>2</v>
      </c>
      <c r="L267" t="n">
        <v>2</v>
      </c>
      <c r="M267" t="n">
        <v>0</v>
      </c>
      <c r="N267" t="n">
        <v>0</v>
      </c>
      <c r="O267" t="n">
        <v>0</v>
      </c>
      <c r="P267" t="n">
        <v>0</v>
      </c>
      <c r="Q267" t="n">
        <v>2</v>
      </c>
      <c r="R267" t="n">
        <v>0</v>
      </c>
      <c r="S267" t="n">
        <v>6</v>
      </c>
      <c r="T267" t="n">
        <v>6</v>
      </c>
      <c r="U267" t="n">
        <v>4</v>
      </c>
      <c r="V267" s="2" t="inlineStr">
        <is>
          <t>Grönsångare
Motaggsvamp
Blåmossa
Grön sköldmossa
Spillkråka
Timmerticka</t>
        </is>
      </c>
      <c r="W267">
        <f>HYPERLINK("https://klasma.github.io/Logging_0883/artfynd/A 24632-2026 artfynd.xlsx", "A 24632-2026")</f>
        <v/>
      </c>
      <c r="X267">
        <f>HYPERLINK("https://klasma.github.io/Logging_0883/kartor/A 24632-2026 karta.png", "A 24632-2026")</f>
        <v/>
      </c>
      <c r="Y267">
        <f>HYPERLINK("https://klasma.github.io/Logging_0883/kartor_geotiff/A 24632-2026 georefererad karta.tif", "A 24632-2026")</f>
        <v/>
      </c>
      <c r="AA267">
        <f>HYPERLINK("https://klasma.github.io/Logging_0883/klagomål/A 24632-2026 FSC-klagomål.docx", "A 24632-2026")</f>
        <v/>
      </c>
      <c r="AB267">
        <f>HYPERLINK("https://klasma.github.io/Logging_0883/klagomålsmail/A 24632-2026 FSC-klagomål mail.docx", "A 24632-2026")</f>
        <v/>
      </c>
      <c r="AC267">
        <f>HYPERLINK("https://klasma.github.io/Logging_0883/tillsyn/A 24632-2026 tillsynsbegäran.docx", "A 24632-2026")</f>
        <v/>
      </c>
      <c r="AD267">
        <f>HYPERLINK("https://klasma.github.io/Logging_0883/tillsynsmail/A 24632-2026 tillsynsbegäran mail.docx", "A 24632-2026")</f>
        <v/>
      </c>
      <c r="AE267">
        <f>HYPERLINK("https://klasma.github.io/Logging_0883/fåglar/A 24632-2026 prioriterade fågelarter.docx", "A 24632-2026")</f>
        <v/>
      </c>
    </row>
    <row r="268" ht="15" customHeight="1">
      <c r="A268" t="inlineStr">
        <is>
          <t>A 27298-2026</t>
        </is>
      </c>
      <c r="B268" t="inlineStr">
        <is>
          <t>avverkningsanmälan</t>
        </is>
      </c>
      <c r="C268" t="inlineStr">
        <is>
          <t>Avverkning för att bevara och utveckla /försöksver</t>
        </is>
      </c>
      <c r="D268" s="1" t="n">
        <v>46188</v>
      </c>
      <c r="E268" s="1" t="n">
        <v>46323</v>
      </c>
      <c r="F268" t="inlineStr">
        <is>
          <t>KALMAR LÄN</t>
        </is>
      </c>
      <c r="G268" t="inlineStr">
        <is>
          <t>BORGHOLM</t>
        </is>
      </c>
      <c r="H268" t="inlineStr">
        <is>
          <t>Sveaskog</t>
        </is>
      </c>
      <c r="I268" t="n">
        <v>3.3</v>
      </c>
      <c r="J268" t="n">
        <v>0</v>
      </c>
      <c r="K268" t="n">
        <v>1</v>
      </c>
      <c r="L268" t="n">
        <v>5</v>
      </c>
      <c r="M268" t="n">
        <v>0</v>
      </c>
      <c r="N268" t="n">
        <v>0</v>
      </c>
      <c r="O268" t="n">
        <v>0</v>
      </c>
      <c r="P268" t="n">
        <v>0</v>
      </c>
      <c r="Q268" t="n">
        <v>5</v>
      </c>
      <c r="R268" t="n">
        <v>0</v>
      </c>
      <c r="S268" t="n">
        <v>6</v>
      </c>
      <c r="T268" t="n">
        <v>6</v>
      </c>
      <c r="U268" t="n">
        <v>0</v>
      </c>
      <c r="V268" s="2" t="inlineStr">
        <is>
          <t>Grenplattnos
Jungfrulin
Skugglosta
Sårläka
Älg
Murgröna</t>
        </is>
      </c>
      <c r="W268">
        <f>HYPERLINK("https://klasma.github.io/Logging_0885/artfynd/A 27298-2026 artfynd.xlsx", "A 27298-2026")</f>
        <v/>
      </c>
      <c r="X268">
        <f>HYPERLINK("https://klasma.github.io/Logging_0885/kartor/A 27298-2026 karta.png", "A 27298-2026")</f>
        <v/>
      </c>
      <c r="Y268">
        <f>HYPERLINK("https://klasma.github.io/Logging_0885/kartor_geotiff/A 27298-2026 georefererad karta.tif", "A 27298-2026")</f>
        <v/>
      </c>
      <c r="AA268">
        <f>HYPERLINK("https://klasma.github.io/Logging_0885/klagomål/A 27298-2026 FSC-klagomål.docx", "A 27298-2026")</f>
        <v/>
      </c>
      <c r="AB268">
        <f>HYPERLINK("https://klasma.github.io/Logging_0885/klagomålsmail/A 27298-2026 FSC-klagomål mail.docx", "A 27298-2026")</f>
        <v/>
      </c>
      <c r="AC268">
        <f>HYPERLINK("https://klasma.github.io/Logging_0885/tillsyn/A 27298-2026 tillsynsbegäran.docx", "A 27298-2026")</f>
        <v/>
      </c>
      <c r="AD268">
        <f>HYPERLINK("https://klasma.github.io/Logging_0885/tillsynsmail/A 27298-2026 tillsynsbegäran mail.docx", "A 27298-2026")</f>
        <v/>
      </c>
    </row>
    <row r="269" ht="15" customHeight="1">
      <c r="A269" t="inlineStr">
        <is>
          <t>S 2737-2022</t>
        </is>
      </c>
      <c r="B269" t="inlineStr">
        <is>
          <t>samrådsanmälan</t>
        </is>
      </c>
      <c r="C269" t="inlineStr">
        <is>
          <t>Annan skogsbruksåtgärd</t>
        </is>
      </c>
      <c r="D269" s="1" t="n">
        <v>44704</v>
      </c>
      <c r="E269" s="1" t="n">
        <v>46323</v>
      </c>
      <c r="F269" t="inlineStr">
        <is>
          <t>KALMAR LÄN</t>
        </is>
      </c>
      <c r="G269" t="inlineStr">
        <is>
          <t>BORGHOLM</t>
        </is>
      </c>
      <c r="I269" t="n">
        <v>12.6</v>
      </c>
      <c r="J269" t="n">
        <v>1</v>
      </c>
      <c r="K269" t="n">
        <v>2</v>
      </c>
      <c r="L269" t="n">
        <v>1</v>
      </c>
      <c r="M269" t="n">
        <v>2</v>
      </c>
      <c r="N269" t="n">
        <v>1</v>
      </c>
      <c r="O269" t="n">
        <v>0</v>
      </c>
      <c r="P269" t="n">
        <v>0</v>
      </c>
      <c r="Q269" t="n">
        <v>4</v>
      </c>
      <c r="R269" t="n">
        <v>3</v>
      </c>
      <c r="S269" t="n">
        <v>6</v>
      </c>
      <c r="T269" t="n">
        <v>23</v>
      </c>
      <c r="U269" t="n">
        <v>18</v>
      </c>
      <c r="V269" s="2" t="inlineStr">
        <is>
          <t>Ask
Mörk kraterlav
Skogskorn
Orangepudrad klotterlav
Ekoxe
Guldlockmossa</t>
        </is>
      </c>
      <c r="W269">
        <f>HYPERLINK("https://klasma.github.io/Logging_0885/artfynd/S 2737-2022 artfynd.xlsx", "S 2737-2022")</f>
        <v/>
      </c>
      <c r="X269">
        <f>HYPERLINK("https://klasma.github.io/Logging_0885/kartor/S 2737-2022 karta.png", "S 2737-2022")</f>
        <v/>
      </c>
      <c r="Y269">
        <f>HYPERLINK("https://klasma.github.io/Logging_0885/kartor_geotiff/S 2737-2022 georefererad karta.tif", "S 2737-2022")</f>
        <v/>
      </c>
      <c r="AA269">
        <f>HYPERLINK("https://klasma.github.io/Logging_0885/klagomål/S 2737-2022 FSC-klagomål.docx", "S 2737-2022")</f>
        <v/>
      </c>
      <c r="AB269">
        <f>HYPERLINK("https://klasma.github.io/Logging_0885/klagomålsmail/S 2737-2022 FSC-klagomål mail.docx", "S 2737-2022")</f>
        <v/>
      </c>
      <c r="AC269">
        <f>HYPERLINK("https://klasma.github.io/Logging_0885/tillsyn/S 2737-2022 tillsynsbegäran.docx", "S 2737-2022")</f>
        <v/>
      </c>
      <c r="AD269">
        <f>HYPERLINK("https://klasma.github.io/Logging_0885/tillsynsmail/S 2737-2022 tillsynsbegäran mail.docx", "S 2737-2022")</f>
        <v/>
      </c>
    </row>
    <row r="270" ht="15" customHeight="1">
      <c r="A270" t="inlineStr">
        <is>
          <t>S 2679-2024</t>
        </is>
      </c>
      <c r="B270" t="inlineStr">
        <is>
          <t>samrådsanmälan</t>
        </is>
      </c>
      <c r="C270" t="inlineStr">
        <is>
          <t>Annan skogsbruksåtgärd</t>
        </is>
      </c>
      <c r="D270" s="1" t="n">
        <v>45478</v>
      </c>
      <c r="E270" s="1" t="n">
        <v>46323</v>
      </c>
      <c r="F270" t="inlineStr">
        <is>
          <t>KALMAR LÄN</t>
        </is>
      </c>
      <c r="G270" t="inlineStr">
        <is>
          <t>BORGHOLM</t>
        </is>
      </c>
      <c r="I270" t="n">
        <v>0.3</v>
      </c>
      <c r="J270" t="n">
        <v>0</v>
      </c>
      <c r="K270" t="n">
        <v>2</v>
      </c>
      <c r="L270" t="n">
        <v>0</v>
      </c>
      <c r="M270" t="n">
        <v>1</v>
      </c>
      <c r="N270" t="n">
        <v>3</v>
      </c>
      <c r="O270" t="n">
        <v>0</v>
      </c>
      <c r="P270" t="n">
        <v>0</v>
      </c>
      <c r="Q270" t="n">
        <v>4</v>
      </c>
      <c r="R270" t="n">
        <v>4</v>
      </c>
      <c r="S270" t="n">
        <v>6</v>
      </c>
      <c r="T270" t="n">
        <v>14</v>
      </c>
      <c r="U270" t="n">
        <v>1</v>
      </c>
      <c r="V270" s="2" t="inlineStr">
        <is>
          <t>Almlav
Ask
Skogsalm
Blek kraterlav
Slät lönnlav
Vitskivlav</t>
        </is>
      </c>
      <c r="W270">
        <f>HYPERLINK("https://klasma.github.io/Logging_0885/artfynd/S 2679-2024 artfynd.xlsx", "S 2679-2024")</f>
        <v/>
      </c>
      <c r="X270">
        <f>HYPERLINK("https://klasma.github.io/Logging_0885/kartor/S 2679-2024 karta.png", "S 2679-2024")</f>
        <v/>
      </c>
      <c r="Y270">
        <f>HYPERLINK("https://klasma.github.io/Logging_0885/kartor_geotiff/S 2679-2024 georefererad karta.tif", "S 2679-2024")</f>
        <v/>
      </c>
      <c r="AA270">
        <f>HYPERLINK("https://klasma.github.io/Logging_0885/klagomål/S 2679-2024 FSC-klagomål.docx", "S 2679-2024")</f>
        <v/>
      </c>
      <c r="AB270">
        <f>HYPERLINK("https://klasma.github.io/Logging_0885/klagomålsmail/S 2679-2024 FSC-klagomål mail.docx", "S 2679-2024")</f>
        <v/>
      </c>
      <c r="AC270">
        <f>HYPERLINK("https://klasma.github.io/Logging_0885/tillsyn/S 2679-2024 tillsynsbegäran.docx", "S 2679-2024")</f>
        <v/>
      </c>
      <c r="AD270">
        <f>HYPERLINK("https://klasma.github.io/Logging_0885/tillsynsmail/S 2679-2024 tillsynsbegäran mail.docx", "S 2679-2024")</f>
        <v/>
      </c>
    </row>
    <row r="271" ht="15" customHeight="1">
      <c r="A271" t="inlineStr">
        <is>
          <t>S 1049-2024</t>
        </is>
      </c>
      <c r="B271" t="inlineStr">
        <is>
          <t>samrådsanmälan</t>
        </is>
      </c>
      <c r="C271" t="inlineStr">
        <is>
          <t>Askåterföring</t>
        </is>
      </c>
      <c r="D271" s="1" t="n">
        <v>45387</v>
      </c>
      <c r="E271" s="1" t="n">
        <v>46323</v>
      </c>
      <c r="F271" t="inlineStr">
        <is>
          <t>KALMAR LÄN</t>
        </is>
      </c>
      <c r="G271" t="inlineStr">
        <is>
          <t>EMMABODA</t>
        </is>
      </c>
      <c r="I271" t="n">
        <v>24.1</v>
      </c>
      <c r="J271" t="n">
        <v>2</v>
      </c>
      <c r="K271" t="n">
        <v>3</v>
      </c>
      <c r="L271" t="n">
        <v>1</v>
      </c>
      <c r="M271" t="n">
        <v>0</v>
      </c>
      <c r="N271" t="n">
        <v>0</v>
      </c>
      <c r="O271" t="n">
        <v>0</v>
      </c>
      <c r="P271" t="n">
        <v>0</v>
      </c>
      <c r="Q271" t="n">
        <v>1</v>
      </c>
      <c r="R271" t="n">
        <v>0</v>
      </c>
      <c r="S271" t="n">
        <v>6</v>
      </c>
      <c r="T271" t="n">
        <v>11</v>
      </c>
      <c r="U271" t="n">
        <v>1</v>
      </c>
      <c r="V271" s="2" t="inlineStr">
        <is>
          <t>Gropticka
Blåmossa
Grovticka
Kornknutmossa
Hårklomossa
Vanlig padda</t>
        </is>
      </c>
      <c r="W271">
        <f>HYPERLINK("https://klasma.github.io/Logging_0862/artfynd/S 1049-2024 artfynd.xlsx", "S 1049-2024")</f>
        <v/>
      </c>
      <c r="X271">
        <f>HYPERLINK("https://klasma.github.io/Logging_0862/kartor/S 1049-2024 karta.png", "S 1049-2024")</f>
        <v/>
      </c>
      <c r="Y271">
        <f>HYPERLINK("https://klasma.github.io/Logging_0862/kartor_geotiff/S 1049-2024 georefererad karta.tif", "S 1049-2024")</f>
        <v/>
      </c>
      <c r="AA271">
        <f>HYPERLINK("https://klasma.github.io/Logging_0862/klagomål/S 1049-2024 FSC-klagomål.docx", "S 1049-2024")</f>
        <v/>
      </c>
      <c r="AB271">
        <f>HYPERLINK("https://klasma.github.io/Logging_0862/klagomålsmail/S 1049-2024 FSC-klagomål mail.docx", "S 1049-2024")</f>
        <v/>
      </c>
      <c r="AC271">
        <f>HYPERLINK("https://klasma.github.io/Logging_0862/tillsyn/S 1049-2024 tillsynsbegäran.docx", "S 1049-2024")</f>
        <v/>
      </c>
      <c r="AD271">
        <f>HYPERLINK("https://klasma.github.io/Logging_0862/tillsynsmail/S 1049-2024 tillsynsbegäran mail.docx", "S 1049-2024")</f>
        <v/>
      </c>
    </row>
    <row r="272" ht="15" customHeight="1">
      <c r="A272" t="inlineStr">
        <is>
          <t>S 3437-2023</t>
        </is>
      </c>
      <c r="B272" t="inlineStr">
        <is>
          <t>samrådsanmälan</t>
        </is>
      </c>
      <c r="C272" t="inlineStr">
        <is>
          <t>Askåterföring</t>
        </is>
      </c>
      <c r="D272" s="1" t="n">
        <v>45202</v>
      </c>
      <c r="E272" s="1" t="n">
        <v>46323</v>
      </c>
      <c r="F272" t="inlineStr">
        <is>
          <t>KALMAR LÄN</t>
        </is>
      </c>
      <c r="G272" t="inlineStr">
        <is>
          <t>EMMABODA</t>
        </is>
      </c>
      <c r="I272" t="n">
        <v>133.7</v>
      </c>
      <c r="J272" t="n">
        <v>3</v>
      </c>
      <c r="K272" t="n">
        <v>0</v>
      </c>
      <c r="L272" t="n">
        <v>2</v>
      </c>
      <c r="M272" t="n">
        <v>1</v>
      </c>
      <c r="N272" t="n">
        <v>0</v>
      </c>
      <c r="O272" t="n">
        <v>0</v>
      </c>
      <c r="P272" t="n">
        <v>0</v>
      </c>
      <c r="Q272" t="n">
        <v>3</v>
      </c>
      <c r="R272" t="n">
        <v>1</v>
      </c>
      <c r="S272" t="n">
        <v>6</v>
      </c>
      <c r="T272" t="n">
        <v>6</v>
      </c>
      <c r="U272" t="n">
        <v>4</v>
      </c>
      <c r="V272" s="2" t="inlineStr">
        <is>
          <t>Slåttergubbe
Solvända
Svinrot
Grönsiska
Trädlärka
Gullviva</t>
        </is>
      </c>
      <c r="W272">
        <f>HYPERLINK("https://klasma.github.io/Logging_0862/artfynd/S 3437-2023 artfynd.xlsx", "S 3437-2023")</f>
        <v/>
      </c>
      <c r="X272">
        <f>HYPERLINK("https://klasma.github.io/Logging_0862/kartor/S 3437-2023 karta.png", "S 3437-2023")</f>
        <v/>
      </c>
      <c r="Y272">
        <f>HYPERLINK("https://klasma.github.io/Logging_0862/kartor_geotiff/S 3437-2023 georefererad karta.tif", "S 3437-2023")</f>
        <v/>
      </c>
      <c r="AA272">
        <f>HYPERLINK("https://klasma.github.io/Logging_0862/klagomål/S 3437-2023 FSC-klagomål.docx", "S 3437-2023")</f>
        <v/>
      </c>
      <c r="AB272">
        <f>HYPERLINK("https://klasma.github.io/Logging_0862/klagomålsmail/S 3437-2023 FSC-klagomål mail.docx", "S 3437-2023")</f>
        <v/>
      </c>
      <c r="AC272">
        <f>HYPERLINK("https://klasma.github.io/Logging_0862/tillsyn/S 3437-2023 tillsynsbegäran.docx", "S 3437-2023")</f>
        <v/>
      </c>
      <c r="AD272">
        <f>HYPERLINK("https://klasma.github.io/Logging_0862/tillsynsmail/S 3437-2023 tillsynsbegäran mail.docx", "S 3437-2023")</f>
        <v/>
      </c>
      <c r="AE272">
        <f>HYPERLINK("https://klasma.github.io/Logging_0862/fåglar/S 3437-2023 prioriterade fågelarter.docx", "S 3437-2023")</f>
        <v/>
      </c>
    </row>
    <row r="273" ht="15" customHeight="1">
      <c r="A273" t="inlineStr">
        <is>
          <t>S 864-2024</t>
        </is>
      </c>
      <c r="B273" t="inlineStr">
        <is>
          <t>samrådsanmälan</t>
        </is>
      </c>
      <c r="C273" t="inlineStr">
        <is>
          <t>Askåterföring</t>
        </is>
      </c>
      <c r="D273" s="1" t="n">
        <v>45373</v>
      </c>
      <c r="E273" s="1" t="n">
        <v>46323</v>
      </c>
      <c r="F273" t="inlineStr">
        <is>
          <t>KALMAR LÄN</t>
        </is>
      </c>
      <c r="G273" t="inlineStr">
        <is>
          <t>TORSÅS</t>
        </is>
      </c>
      <c r="I273" t="n">
        <v>114.4</v>
      </c>
      <c r="J273" t="n">
        <v>6</v>
      </c>
      <c r="K273" t="n">
        <v>1</v>
      </c>
      <c r="L273" t="n">
        <v>2</v>
      </c>
      <c r="M273" t="n">
        <v>1</v>
      </c>
      <c r="N273" t="n">
        <v>0</v>
      </c>
      <c r="O273" t="n">
        <v>0</v>
      </c>
      <c r="P273" t="n">
        <v>0</v>
      </c>
      <c r="Q273" t="n">
        <v>3</v>
      </c>
      <c r="R273" t="n">
        <v>1</v>
      </c>
      <c r="S273" t="n">
        <v>6</v>
      </c>
      <c r="T273" t="n">
        <v>6</v>
      </c>
      <c r="U273" t="n">
        <v>2</v>
      </c>
      <c r="V273" s="2" t="inlineStr">
        <is>
          <t>Tofsvipa
Brunlångöra
Nordfladdermus
Ekoxe
Dvärgpipistrell
Trollpipistrell</t>
        </is>
      </c>
      <c r="W273">
        <f>HYPERLINK("https://klasma.github.io/Logging_0834/artfynd/S 864-2024 artfynd.xlsx", "S 864-2024")</f>
        <v/>
      </c>
      <c r="X273">
        <f>HYPERLINK("https://klasma.github.io/Logging_0834/kartor/S 864-2024 karta.png", "S 864-2024")</f>
        <v/>
      </c>
      <c r="Y273">
        <f>HYPERLINK("https://klasma.github.io/Logging_0834/kartor_geotiff/S 864-2024 georefererad karta.tif", "S 864-2024")</f>
        <v/>
      </c>
      <c r="AA273">
        <f>HYPERLINK("https://klasma.github.io/Logging_0834/klagomål/S 864-2024 FSC-klagomål.docx", "S 864-2024")</f>
        <v/>
      </c>
      <c r="AB273">
        <f>HYPERLINK("https://klasma.github.io/Logging_0834/klagomålsmail/S 864-2024 FSC-klagomål mail.docx", "S 864-2024")</f>
        <v/>
      </c>
      <c r="AC273">
        <f>HYPERLINK("https://klasma.github.io/Logging_0834/tillsyn/S 864-2024 tillsynsbegäran.docx", "S 864-2024")</f>
        <v/>
      </c>
      <c r="AD273">
        <f>HYPERLINK("https://klasma.github.io/Logging_0834/tillsynsmail/S 864-2024 tillsynsbegäran mail.docx", "S 864-2024")</f>
        <v/>
      </c>
    </row>
    <row r="274" ht="15" customHeight="1">
      <c r="A274" t="inlineStr">
        <is>
          <t>S 3918-2023</t>
        </is>
      </c>
      <c r="B274" t="inlineStr">
        <is>
          <t>samrådsanmälan</t>
        </is>
      </c>
      <c r="C274" t="inlineStr">
        <is>
          <t>Annan skogsbruksåtgärd</t>
        </is>
      </c>
      <c r="D274" s="1" t="n">
        <v>45233</v>
      </c>
      <c r="E274" s="1" t="n">
        <v>46323</v>
      </c>
      <c r="F274" t="inlineStr">
        <is>
          <t>KALMAR LÄN</t>
        </is>
      </c>
      <c r="G274" t="inlineStr">
        <is>
          <t>VÄSTERVIK</t>
        </is>
      </c>
      <c r="H274" t="inlineStr">
        <is>
          <t>Kommuner</t>
        </is>
      </c>
      <c r="I274" t="n">
        <v>1.8</v>
      </c>
      <c r="J274" t="n">
        <v>0</v>
      </c>
      <c r="K274" t="n">
        <v>2</v>
      </c>
      <c r="L274" t="n">
        <v>4</v>
      </c>
      <c r="M274" t="n">
        <v>0</v>
      </c>
      <c r="N274" t="n">
        <v>0</v>
      </c>
      <c r="O274" t="n">
        <v>0</v>
      </c>
      <c r="P274" t="n">
        <v>0</v>
      </c>
      <c r="Q274" t="n">
        <v>4</v>
      </c>
      <c r="R274" t="n">
        <v>0</v>
      </c>
      <c r="S274" t="n">
        <v>6</v>
      </c>
      <c r="T274" t="n">
        <v>12</v>
      </c>
      <c r="U274" t="n">
        <v>0</v>
      </c>
      <c r="V274" s="2" t="inlineStr">
        <is>
          <t>Ekticka
Gammelekslav
Oxtungssvamp
Tallticka
Grå skärelav
Svart trolldruva</t>
        </is>
      </c>
      <c r="W274">
        <f>HYPERLINK("https://klasma.github.io/Logging_0883/artfynd/S 3918-2023 artfynd.xlsx", "S 3918-2023")</f>
        <v/>
      </c>
      <c r="X274">
        <f>HYPERLINK("https://klasma.github.io/Logging_0883/kartor/S 3918-2023 karta.png", "S 3918-2023")</f>
        <v/>
      </c>
      <c r="Y274">
        <f>HYPERLINK("https://klasma.github.io/Logging_0883/kartor_geotiff/S 3918-2023 georefererad karta.tif", "S 3918-2023")</f>
        <v/>
      </c>
      <c r="AA274">
        <f>HYPERLINK("https://klasma.github.io/Logging_0883/klagomål/S 3918-2023 FSC-klagomål.docx", "S 3918-2023")</f>
        <v/>
      </c>
      <c r="AB274">
        <f>HYPERLINK("https://klasma.github.io/Logging_0883/klagomålsmail/S 3918-2023 FSC-klagomål mail.docx", "S 3918-2023")</f>
        <v/>
      </c>
      <c r="AC274">
        <f>HYPERLINK("https://klasma.github.io/Logging_0883/tillsyn/S 3918-2023 tillsynsbegäran.docx", "S 3918-2023")</f>
        <v/>
      </c>
      <c r="AD274">
        <f>HYPERLINK("https://klasma.github.io/Logging_0883/tillsynsmail/S 3918-2023 tillsynsbegäran mail.docx", "S 3918-2023")</f>
        <v/>
      </c>
    </row>
    <row r="275" ht="15" customHeight="1">
      <c r="A275" t="inlineStr">
        <is>
          <t>S 3888-2024</t>
        </is>
      </c>
      <c r="B275" t="inlineStr">
        <is>
          <t>samrådsanmälan</t>
        </is>
      </c>
      <c r="C275" t="inlineStr">
        <is>
          <t>Annan skogsbruksåtgärd</t>
        </is>
      </c>
      <c r="D275" s="1" t="n">
        <v>45561</v>
      </c>
      <c r="E275" s="1" t="n">
        <v>46323</v>
      </c>
      <c r="F275" t="inlineStr">
        <is>
          <t>KALMAR LÄN</t>
        </is>
      </c>
      <c r="G275" t="inlineStr">
        <is>
          <t>NYBRO</t>
        </is>
      </c>
      <c r="I275" t="n">
        <v>24.1</v>
      </c>
      <c r="J275" t="n">
        <v>5</v>
      </c>
      <c r="K275" t="n">
        <v>1</v>
      </c>
      <c r="L275" t="n">
        <v>2</v>
      </c>
      <c r="M275" t="n">
        <v>0</v>
      </c>
      <c r="N275" t="n">
        <v>0</v>
      </c>
      <c r="O275" t="n">
        <v>0</v>
      </c>
      <c r="P275" t="n">
        <v>0</v>
      </c>
      <c r="Q275" t="n">
        <v>2</v>
      </c>
      <c r="R275" t="n">
        <v>0</v>
      </c>
      <c r="S275" t="n">
        <v>6</v>
      </c>
      <c r="T275" t="n">
        <v>8</v>
      </c>
      <c r="U275" t="n">
        <v>8</v>
      </c>
      <c r="V275" s="2" t="inlineStr">
        <is>
          <t>Gulsparv
Talltita
Blåmossa
Gröngöling
Kungsfågel
Revlummer</t>
        </is>
      </c>
      <c r="W275">
        <f>HYPERLINK("https://klasma.github.io/Logging_0881/artfynd/S 3888-2024 artfynd.xlsx", "S 3888-2024")</f>
        <v/>
      </c>
      <c r="X275">
        <f>HYPERLINK("https://klasma.github.io/Logging_0881/kartor/S 3888-2024 karta.png", "S 3888-2024")</f>
        <v/>
      </c>
      <c r="Y275">
        <f>HYPERLINK("https://klasma.github.io/Logging_0881/kartor_geotiff/S 3888-2024 georefererad karta.tif", "S 3888-2024")</f>
        <v/>
      </c>
      <c r="AA275">
        <f>HYPERLINK("https://klasma.github.io/Logging_0881/klagomål/S 3888-2024 FSC-klagomål.docx", "S 3888-2024")</f>
        <v/>
      </c>
      <c r="AB275">
        <f>HYPERLINK("https://klasma.github.io/Logging_0881/klagomålsmail/S 3888-2024 FSC-klagomål mail.docx", "S 3888-2024")</f>
        <v/>
      </c>
      <c r="AC275">
        <f>HYPERLINK("https://klasma.github.io/Logging_0881/tillsyn/S 3888-2024 tillsynsbegäran.docx", "S 3888-2024")</f>
        <v/>
      </c>
      <c r="AD275">
        <f>HYPERLINK("https://klasma.github.io/Logging_0881/tillsynsmail/S 3888-2024 tillsynsbegäran mail.docx", "S 3888-2024")</f>
        <v/>
      </c>
      <c r="AE275">
        <f>HYPERLINK("https://klasma.github.io/Logging_0881/fåglar/S 3888-2024 prioriterade fågelarter.docx", "S 3888-2024")</f>
        <v/>
      </c>
    </row>
    <row r="276" ht="15" customHeight="1">
      <c r="A276" t="inlineStr">
        <is>
          <t>S 1386-2025</t>
        </is>
      </c>
      <c r="B276" t="inlineStr">
        <is>
          <t>samrådsanmälan</t>
        </is>
      </c>
      <c r="C276" t="inlineStr">
        <is>
          <t>Annan skogsbruksåtgärd</t>
        </is>
      </c>
      <c r="D276" s="1" t="n">
        <v>45777</v>
      </c>
      <c r="E276" s="1" t="n">
        <v>46323</v>
      </c>
      <c r="F276" t="inlineStr">
        <is>
          <t>KALMAR LÄN</t>
        </is>
      </c>
      <c r="G276" t="inlineStr">
        <is>
          <t>VIMMERBY</t>
        </is>
      </c>
      <c r="H276" t="inlineStr">
        <is>
          <t>Sveaskog</t>
        </is>
      </c>
      <c r="I276" t="n">
        <v>3.7</v>
      </c>
      <c r="J276" t="n">
        <v>0</v>
      </c>
      <c r="K276" t="n">
        <v>1</v>
      </c>
      <c r="L276" t="n">
        <v>1</v>
      </c>
      <c r="M276" t="n">
        <v>4</v>
      </c>
      <c r="N276" t="n">
        <v>0</v>
      </c>
      <c r="O276" t="n">
        <v>0</v>
      </c>
      <c r="P276" t="n">
        <v>0</v>
      </c>
      <c r="Q276" t="n">
        <v>5</v>
      </c>
      <c r="R276" t="n">
        <v>4</v>
      </c>
      <c r="S276" t="n">
        <v>6</v>
      </c>
      <c r="T276" t="n">
        <v>7</v>
      </c>
      <c r="U276" t="n">
        <v>0</v>
      </c>
      <c r="V276" s="2" t="inlineStr">
        <is>
          <t>Bredbrämad bastardsvärmare
Mindre bastardsvärmare
Raggbock
Sexfläckig bastardsvärmare
Tallkötticka
Dorcatoma dresdensis</t>
        </is>
      </c>
      <c r="W276">
        <f>HYPERLINK("https://klasma.github.io/Logging_0884/artfynd/S 1386-2025 artfynd.xlsx", "S 1386-2025")</f>
        <v/>
      </c>
      <c r="X276">
        <f>HYPERLINK("https://klasma.github.io/Logging_0884/kartor/S 1386-2025 karta.png", "S 1386-2025")</f>
        <v/>
      </c>
      <c r="Y276">
        <f>HYPERLINK("https://klasma.github.io/Logging_0884/kartor_geotiff/S 1386-2025 georefererad karta.tif", "S 1386-2025")</f>
        <v/>
      </c>
      <c r="AA276">
        <f>HYPERLINK("https://klasma.github.io/Logging_0884/klagomål/S 1386-2025 FSC-klagomål.docx", "S 1386-2025")</f>
        <v/>
      </c>
      <c r="AB276">
        <f>HYPERLINK("https://klasma.github.io/Logging_0884/klagomålsmail/S 1386-2025 FSC-klagomål mail.docx", "S 1386-2025")</f>
        <v/>
      </c>
      <c r="AC276">
        <f>HYPERLINK("https://klasma.github.io/Logging_0884/tillsyn/S 1386-2025 tillsynsbegäran.docx", "S 1386-2025")</f>
        <v/>
      </c>
      <c r="AD276">
        <f>HYPERLINK("https://klasma.github.io/Logging_0884/tillsynsmail/S 1386-2025 tillsynsbegäran mail.docx", "S 1386-2025")</f>
        <v/>
      </c>
    </row>
    <row r="277" ht="15" customHeight="1">
      <c r="A277" t="inlineStr">
        <is>
          <t>S 3035-2025</t>
        </is>
      </c>
      <c r="B277" t="inlineStr">
        <is>
          <t>samrådsanmälan</t>
        </is>
      </c>
      <c r="C277" t="inlineStr">
        <is>
          <t>Annan skogsbruksåtgärd</t>
        </is>
      </c>
      <c r="D277" s="1" t="n">
        <v>45961</v>
      </c>
      <c r="E277" s="1" t="n">
        <v>46323</v>
      </c>
      <c r="F277" t="inlineStr">
        <is>
          <t>KALMAR LÄN</t>
        </is>
      </c>
      <c r="G277" t="inlineStr">
        <is>
          <t>VÄSTERVIK</t>
        </is>
      </c>
      <c r="H277" t="inlineStr">
        <is>
          <t>Sveaskog</t>
        </is>
      </c>
      <c r="I277" t="n">
        <v>3.4</v>
      </c>
      <c r="J277" t="n">
        <v>4</v>
      </c>
      <c r="K277" t="n">
        <v>2</v>
      </c>
      <c r="L277" t="n">
        <v>1</v>
      </c>
      <c r="M277" t="n">
        <v>0</v>
      </c>
      <c r="N277" t="n">
        <v>0</v>
      </c>
      <c r="O277" t="n">
        <v>0</v>
      </c>
      <c r="P277" t="n">
        <v>0</v>
      </c>
      <c r="Q277" t="n">
        <v>1</v>
      </c>
      <c r="R277" t="n">
        <v>0</v>
      </c>
      <c r="S277" t="n">
        <v>6</v>
      </c>
      <c r="T277" t="n">
        <v>7</v>
      </c>
      <c r="U277" t="n">
        <v>4</v>
      </c>
      <c r="V277" s="2" t="inlineStr">
        <is>
          <t>Talltita
Fällmossa
Murgröna
Blåsippa
Spillkråka
Kungsfågel</t>
        </is>
      </c>
      <c r="W277">
        <f>HYPERLINK("https://klasma.github.io/Logging_0883/artfynd/S 3035-2025 artfynd.xlsx", "S 3035-2025")</f>
        <v/>
      </c>
      <c r="X277">
        <f>HYPERLINK("https://klasma.github.io/Logging_0883/kartor/S 3035-2025 karta.png", "S 3035-2025")</f>
        <v/>
      </c>
      <c r="Y277">
        <f>HYPERLINK("https://klasma.github.io/Logging_0883/kartor_geotiff/S 3035-2025 georefererad karta.tif", "S 3035-2025")</f>
        <v/>
      </c>
      <c r="AA277">
        <f>HYPERLINK("https://klasma.github.io/Logging_0883/klagomål/S 3035-2025 FSC-klagomål.docx", "S 3035-2025")</f>
        <v/>
      </c>
      <c r="AB277">
        <f>HYPERLINK("https://klasma.github.io/Logging_0883/klagomålsmail/S 3035-2025 FSC-klagomål mail.docx", "S 3035-2025")</f>
        <v/>
      </c>
      <c r="AC277">
        <f>HYPERLINK("https://klasma.github.io/Logging_0883/tillsyn/S 3035-2025 tillsynsbegäran.docx", "S 3035-2025")</f>
        <v/>
      </c>
      <c r="AD277">
        <f>HYPERLINK("https://klasma.github.io/Logging_0883/tillsynsmail/S 3035-2025 tillsynsbegäran mail.docx", "S 3035-2025")</f>
        <v/>
      </c>
      <c r="AE277">
        <f>HYPERLINK("https://klasma.github.io/Logging_0883/fåglar/S 3035-2025 prioriterade fågelarter.docx", "S 3035-2025")</f>
        <v/>
      </c>
    </row>
    <row r="278" ht="15" customHeight="1">
      <c r="A278" t="inlineStr">
        <is>
          <t>S 592-2026</t>
        </is>
      </c>
      <c r="B278" t="inlineStr">
        <is>
          <t>samrådsanmälan</t>
        </is>
      </c>
      <c r="C278" t="inlineStr">
        <is>
          <t>Annan skogsbruksåtgärd</t>
        </is>
      </c>
      <c r="D278" s="1" t="n">
        <v>46085</v>
      </c>
      <c r="E278" s="1" t="n">
        <v>46323</v>
      </c>
      <c r="F278" t="inlineStr">
        <is>
          <t>KALMAR LÄN</t>
        </is>
      </c>
      <c r="G278" t="inlineStr">
        <is>
          <t>KALMAR</t>
        </is>
      </c>
      <c r="I278" t="n">
        <v>3.6</v>
      </c>
      <c r="J278" t="n">
        <v>0</v>
      </c>
      <c r="K278" t="n">
        <v>3</v>
      </c>
      <c r="L278" t="n">
        <v>2</v>
      </c>
      <c r="M278" t="n">
        <v>0</v>
      </c>
      <c r="N278" t="n">
        <v>1</v>
      </c>
      <c r="O278" t="n">
        <v>0</v>
      </c>
      <c r="P278" t="n">
        <v>0</v>
      </c>
      <c r="Q278" t="n">
        <v>3</v>
      </c>
      <c r="R278" t="n">
        <v>1</v>
      </c>
      <c r="S278" t="n">
        <v>6</v>
      </c>
      <c r="T278" t="n">
        <v>6</v>
      </c>
      <c r="U278" t="n">
        <v>0</v>
      </c>
      <c r="V278" s="2" t="inlineStr">
        <is>
          <t>Ask
Matt pricklav
Rutskinn
Grå skärelav
Guldlockmossa
Gulnål</t>
        </is>
      </c>
      <c r="W278">
        <f>HYPERLINK("https://klasma.github.io/Logging_0880/artfynd/S 592-2026 artfynd.xlsx", "S 592-2026")</f>
        <v/>
      </c>
      <c r="X278">
        <f>HYPERLINK("https://klasma.github.io/Logging_0880/kartor/S 592-2026 karta.png", "S 592-2026")</f>
        <v/>
      </c>
      <c r="Y278">
        <f>HYPERLINK("https://klasma.github.io/Logging_0880/kartor_geotiff/S 592-2026 georefererad karta.tif", "S 592-2026")</f>
        <v/>
      </c>
      <c r="AA278">
        <f>HYPERLINK("https://klasma.github.io/Logging_0880/klagomål/S 592-2026 FSC-klagomål.docx", "S 592-2026")</f>
        <v/>
      </c>
      <c r="AB278">
        <f>HYPERLINK("https://klasma.github.io/Logging_0880/klagomålsmail/S 592-2026 FSC-klagomål mail.docx", "S 592-2026")</f>
        <v/>
      </c>
      <c r="AC278">
        <f>HYPERLINK("https://klasma.github.io/Logging_0880/tillsyn/S 592-2026 tillsynsbegäran.docx", "S 592-2026")</f>
        <v/>
      </c>
      <c r="AD278">
        <f>HYPERLINK("https://klasma.github.io/Logging_0880/tillsynsmail/S 592-2026 tillsynsbegäran mail.docx", "S 592-2026")</f>
        <v/>
      </c>
    </row>
    <row r="279" ht="15" customHeight="1">
      <c r="A279" t="inlineStr">
        <is>
          <t>S 1388-2026</t>
        </is>
      </c>
      <c r="B279" t="inlineStr">
        <is>
          <t>samrådsanmälan</t>
        </is>
      </c>
      <c r="C279" t="inlineStr">
        <is>
          <t>Askåterföring</t>
        </is>
      </c>
      <c r="D279" s="1" t="n">
        <v>46154</v>
      </c>
      <c r="E279" s="1" t="n">
        <v>46323</v>
      </c>
      <c r="F279" t="inlineStr">
        <is>
          <t>KALMAR LÄN</t>
        </is>
      </c>
      <c r="G279" t="inlineStr">
        <is>
          <t>VÄSTERVIK</t>
        </is>
      </c>
      <c r="I279" t="n">
        <v>27</v>
      </c>
      <c r="J279" t="n">
        <v>4</v>
      </c>
      <c r="K279" t="n">
        <v>0</v>
      </c>
      <c r="L279" t="n">
        <v>3</v>
      </c>
      <c r="M279" t="n">
        <v>0</v>
      </c>
      <c r="N279" t="n">
        <v>0</v>
      </c>
      <c r="O279" t="n">
        <v>0</v>
      </c>
      <c r="P279" t="n">
        <v>0</v>
      </c>
      <c r="Q279" t="n">
        <v>3</v>
      </c>
      <c r="R279" t="n">
        <v>0</v>
      </c>
      <c r="S279" t="n">
        <v>6</v>
      </c>
      <c r="T279" t="n">
        <v>7</v>
      </c>
      <c r="U279" t="n">
        <v>0</v>
      </c>
      <c r="V279" s="2" t="inlineStr">
        <is>
          <t>Ekticka
Tallticka
Talltita
Tjäder
Havsörn
Trädlärka</t>
        </is>
      </c>
      <c r="W279">
        <f>HYPERLINK("https://klasma.github.io/Logging_0883/artfynd/S 1388-2026 artfynd.xlsx", "S 1388-2026")</f>
        <v/>
      </c>
      <c r="X279">
        <f>HYPERLINK("https://klasma.github.io/Logging_0883/kartor/S 1388-2026 karta.png", "S 1388-2026")</f>
        <v/>
      </c>
      <c r="Y279">
        <f>HYPERLINK("https://klasma.github.io/Logging_0883/kartor_geotiff/S 1388-2026 georefererad karta.tif", "S 1388-2026")</f>
        <v/>
      </c>
      <c r="Z279">
        <f>HYPERLINK("https://klasma.github.io/Logging_0883/knärot/S 1388-2026 karta knärot.png", "S 1388-2026")</f>
        <v/>
      </c>
      <c r="AA279">
        <f>HYPERLINK("https://klasma.github.io/Logging_0883/klagomål/S 1388-2026 FSC-klagomål.docx", "S 1388-2026")</f>
        <v/>
      </c>
      <c r="AB279">
        <f>HYPERLINK("https://klasma.github.io/Logging_0883/klagomålsmail/S 1388-2026 FSC-klagomål mail.docx", "S 1388-2026")</f>
        <v/>
      </c>
      <c r="AC279">
        <f>HYPERLINK("https://klasma.github.io/Logging_0883/tillsyn/S 1388-2026 tillsynsbegäran.docx", "S 1388-2026")</f>
        <v/>
      </c>
      <c r="AD279">
        <f>HYPERLINK("https://klasma.github.io/Logging_0883/tillsynsmail/S 1388-2026 tillsynsbegäran mail.docx", "S 1388-2026")</f>
        <v/>
      </c>
      <c r="AE279">
        <f>HYPERLINK("https://klasma.github.io/Logging_0883/fåglar/S 1388-2026 prioriterade fågelarter.docx", "S 1388-2026")</f>
        <v/>
      </c>
    </row>
    <row r="280" ht="15" customHeight="1">
      <c r="A280" t="inlineStr">
        <is>
          <t>S 1814-2026</t>
        </is>
      </c>
      <c r="B280" t="inlineStr">
        <is>
          <t>samrådsanmälan</t>
        </is>
      </c>
      <c r="C280" t="inlineStr">
        <is>
          <t>Annan skogsbruksåtgärd</t>
        </is>
      </c>
      <c r="D280" s="1" t="n">
        <v>46190</v>
      </c>
      <c r="E280" s="1" t="n">
        <v>46323</v>
      </c>
      <c r="F280" t="inlineStr">
        <is>
          <t>KALMAR LÄN</t>
        </is>
      </c>
      <c r="G280" t="inlineStr">
        <is>
          <t>MÖRBYLÅNGA</t>
        </is>
      </c>
      <c r="I280" t="n">
        <v>10.7</v>
      </c>
      <c r="J280" t="n">
        <v>3</v>
      </c>
      <c r="K280" t="n">
        <v>0</v>
      </c>
      <c r="L280" t="n">
        <v>2</v>
      </c>
      <c r="M280" t="n">
        <v>1</v>
      </c>
      <c r="N280" t="n">
        <v>0</v>
      </c>
      <c r="O280" t="n">
        <v>0</v>
      </c>
      <c r="P280" t="n">
        <v>0</v>
      </c>
      <c r="Q280" t="n">
        <v>3</v>
      </c>
      <c r="R280" t="n">
        <v>1</v>
      </c>
      <c r="S280" t="n">
        <v>6</v>
      </c>
      <c r="T280" t="n">
        <v>11</v>
      </c>
      <c r="U280" t="n">
        <v>0</v>
      </c>
      <c r="V280" s="2" t="inlineStr">
        <is>
          <t>Småvänderot
Leopardsköldbagge
Ängsstarr
Brudsporre
Kärrknipprot
Ängsnycklar</t>
        </is>
      </c>
      <c r="W280">
        <f>HYPERLINK("https://klasma.github.io/Logging_0840/artfynd/S 1814-2026 artfynd.xlsx", "S 1814-2026")</f>
        <v/>
      </c>
      <c r="X280">
        <f>HYPERLINK("https://klasma.github.io/Logging_0840/kartor/S 1814-2026 karta.png", "S 1814-2026")</f>
        <v/>
      </c>
      <c r="Y280">
        <f>HYPERLINK("https://klasma.github.io/Logging_0840/kartor_geotiff/S 1814-2026 georefererad karta.tif", "S 1814-2026")</f>
        <v/>
      </c>
      <c r="AA280">
        <f>HYPERLINK("https://klasma.github.io/Logging_0840/klagomål/S 1814-2026 FSC-klagomål.docx", "S 1814-2026")</f>
        <v/>
      </c>
      <c r="AB280">
        <f>HYPERLINK("https://klasma.github.io/Logging_0840/klagomålsmail/S 1814-2026 FSC-klagomål mail.docx", "S 1814-2026")</f>
        <v/>
      </c>
      <c r="AC280">
        <f>HYPERLINK("https://klasma.github.io/Logging_0840/tillsyn/S 1814-2026 tillsynsbegäran.docx", "S 1814-2026")</f>
        <v/>
      </c>
      <c r="AD280">
        <f>HYPERLINK("https://klasma.github.io/Logging_0840/tillsynsmail/S 1814-2026 tillsynsbegäran mail.docx", "S 1814-2026")</f>
        <v/>
      </c>
    </row>
    <row r="281" ht="15" customHeight="1">
      <c r="A281" t="inlineStr">
        <is>
          <t>S 1728-2026</t>
        </is>
      </c>
      <c r="B281" t="inlineStr">
        <is>
          <t>samrådsanmälan</t>
        </is>
      </c>
      <c r="C281" t="inlineStr">
        <is>
          <t>Annan skogsbruksåtgärd</t>
        </is>
      </c>
      <c r="D281" s="1" t="n">
        <v>46188</v>
      </c>
      <c r="E281" s="1" t="n">
        <v>46323</v>
      </c>
      <c r="F281" t="inlineStr">
        <is>
          <t>KALMAR LÄN</t>
        </is>
      </c>
      <c r="G281" t="inlineStr">
        <is>
          <t>BORGHOLM</t>
        </is>
      </c>
      <c r="H281" t="inlineStr">
        <is>
          <t>Sveaskog</t>
        </is>
      </c>
      <c r="I281" t="n">
        <v>3.3</v>
      </c>
      <c r="J281" t="n">
        <v>0</v>
      </c>
      <c r="K281" t="n">
        <v>1</v>
      </c>
      <c r="L281" t="n">
        <v>5</v>
      </c>
      <c r="M281" t="n">
        <v>0</v>
      </c>
      <c r="N281" t="n">
        <v>0</v>
      </c>
      <c r="O281" t="n">
        <v>0</v>
      </c>
      <c r="P281" t="n">
        <v>0</v>
      </c>
      <c r="Q281" t="n">
        <v>5</v>
      </c>
      <c r="R281" t="n">
        <v>0</v>
      </c>
      <c r="S281" t="n">
        <v>6</v>
      </c>
      <c r="T281" t="n">
        <v>6</v>
      </c>
      <c r="U281" t="n">
        <v>0</v>
      </c>
      <c r="V281" s="2" t="inlineStr">
        <is>
          <t>Grenplattnos
Jungfrulin
Skugglosta
Sårläka
Älg
Murgröna</t>
        </is>
      </c>
      <c r="W281">
        <f>HYPERLINK("https://klasma.github.io/Logging_0885/artfynd/S 1728-2026 artfynd.xlsx", "S 1728-2026")</f>
        <v/>
      </c>
      <c r="X281">
        <f>HYPERLINK("https://klasma.github.io/Logging_0885/kartor/S 1728-2026 karta.png", "S 1728-2026")</f>
        <v/>
      </c>
      <c r="Y281">
        <f>HYPERLINK("https://klasma.github.io/Logging_0885/kartor_geotiff/S 1728-2026 georefererad karta.tif", "S 1728-2026")</f>
        <v/>
      </c>
      <c r="AA281">
        <f>HYPERLINK("https://klasma.github.io/Logging_0885/klagomål/S 1728-2026 FSC-klagomål.docx", "S 1728-2026")</f>
        <v/>
      </c>
      <c r="AB281">
        <f>HYPERLINK("https://klasma.github.io/Logging_0885/klagomålsmail/S 1728-2026 FSC-klagomål mail.docx", "S 1728-2026")</f>
        <v/>
      </c>
      <c r="AC281">
        <f>HYPERLINK("https://klasma.github.io/Logging_0885/tillsyn/S 1728-2026 tillsynsbegäran.docx", "S 1728-2026")</f>
        <v/>
      </c>
      <c r="AD281">
        <f>HYPERLINK("https://klasma.github.io/Logging_0885/tillsynsmail/S 1728-2026 tillsynsbegäran mail.docx", "S 1728-2026")</f>
        <v/>
      </c>
    </row>
    <row r="282" ht="15" customHeight="1">
      <c r="A282" t="inlineStr">
        <is>
          <t>S 2060-2026</t>
        </is>
      </c>
      <c r="B282" t="inlineStr">
        <is>
          <t>samrådsanmälan</t>
        </is>
      </c>
      <c r="C282" t="inlineStr">
        <is>
          <t>Annan skogsbruksåtgärd</t>
        </is>
      </c>
      <c r="D282" s="1" t="n">
        <v>46224</v>
      </c>
      <c r="E282" s="1" t="n">
        <v>46323</v>
      </c>
      <c r="F282" t="inlineStr">
        <is>
          <t>KALMAR LÄN</t>
        </is>
      </c>
      <c r="G282" t="inlineStr">
        <is>
          <t>BORGHOLM</t>
        </is>
      </c>
      <c r="H282" t="inlineStr">
        <is>
          <t>Sveaskog</t>
        </is>
      </c>
      <c r="I282" t="n">
        <v>1</v>
      </c>
      <c r="J282" t="n">
        <v>2</v>
      </c>
      <c r="K282" t="n">
        <v>2</v>
      </c>
      <c r="L282" t="n">
        <v>3</v>
      </c>
      <c r="M282" t="n">
        <v>0</v>
      </c>
      <c r="N282" t="n">
        <v>0</v>
      </c>
      <c r="O282" t="n">
        <v>0</v>
      </c>
      <c r="P282" t="n">
        <v>0</v>
      </c>
      <c r="Q282" t="n">
        <v>3</v>
      </c>
      <c r="R282" t="n">
        <v>0</v>
      </c>
      <c r="S282" t="n">
        <v>6</v>
      </c>
      <c r="T282" t="n">
        <v>8</v>
      </c>
      <c r="U282" t="n">
        <v>1</v>
      </c>
      <c r="V282" s="2" t="inlineStr">
        <is>
          <t>Blå slemspindling
Sårläka
Vårärt
Anisspindling
Skogsknipprot
Grönvit nattviol</t>
        </is>
      </c>
      <c r="W282">
        <f>HYPERLINK("https://klasma.github.io/Logging_0885/artfynd/S 2060-2026 artfynd.xlsx", "S 2060-2026")</f>
        <v/>
      </c>
      <c r="X282">
        <f>HYPERLINK("https://klasma.github.io/Logging_0885/kartor/S 2060-2026 karta.png", "S 2060-2026")</f>
        <v/>
      </c>
      <c r="Y282">
        <f>HYPERLINK("https://klasma.github.io/Logging_0885/kartor_geotiff/S 2060-2026 georefererad karta.tif", "S 2060-2026")</f>
        <v/>
      </c>
      <c r="AA282">
        <f>HYPERLINK("https://klasma.github.io/Logging_0885/klagomål/S 2060-2026 FSC-klagomål.docx", "S 2060-2026")</f>
        <v/>
      </c>
      <c r="AB282">
        <f>HYPERLINK("https://klasma.github.io/Logging_0885/klagomålsmail/S 2060-2026 FSC-klagomål mail.docx", "S 2060-2026")</f>
        <v/>
      </c>
      <c r="AC282">
        <f>HYPERLINK("https://klasma.github.io/Logging_0885/tillsyn/S 2060-2026 tillsynsbegäran.docx", "S 2060-2026")</f>
        <v/>
      </c>
      <c r="AD282">
        <f>HYPERLINK("https://klasma.github.io/Logging_0885/tillsynsmail/S 2060-2026 tillsynsbegäran mail.docx", "S 2060-2026")</f>
        <v/>
      </c>
    </row>
    <row r="283" ht="15" customHeight="1">
      <c r="A283" t="inlineStr">
        <is>
          <t>A 50623-2022</t>
        </is>
      </c>
      <c r="B283" t="inlineStr">
        <is>
          <t>avverkningsanmälan</t>
        </is>
      </c>
      <c r="C283" t="inlineStr">
        <is>
          <t>Avverkning för att bevara och utveckla /försöksver</t>
        </is>
      </c>
      <c r="D283" s="1" t="n">
        <v>44866</v>
      </c>
      <c r="E283" s="1" t="n">
        <v>46323</v>
      </c>
      <c r="F283" t="inlineStr">
        <is>
          <t>KALMAR LÄN</t>
        </is>
      </c>
      <c r="G283" t="inlineStr">
        <is>
          <t>HÖGSBY</t>
        </is>
      </c>
      <c r="H283" t="inlineStr">
        <is>
          <t>Sveaskog</t>
        </is>
      </c>
      <c r="I283" t="n">
        <v>2.9</v>
      </c>
      <c r="J283" t="n">
        <v>5</v>
      </c>
      <c r="K283" t="n">
        <v>0</v>
      </c>
      <c r="L283" t="n">
        <v>2</v>
      </c>
      <c r="M283" t="n">
        <v>0</v>
      </c>
      <c r="N283" t="n">
        <v>0</v>
      </c>
      <c r="O283" t="n">
        <v>0</v>
      </c>
      <c r="P283" t="n">
        <v>0</v>
      </c>
      <c r="Q283" t="n">
        <v>2</v>
      </c>
      <c r="R283" t="n">
        <v>0</v>
      </c>
      <c r="S283" t="n">
        <v>5</v>
      </c>
      <c r="T283" t="n">
        <v>5</v>
      </c>
      <c r="U283" t="n">
        <v>5</v>
      </c>
      <c r="V283" s="2" t="inlineStr">
        <is>
          <t>Mindre hackspett
Sädesärla
Skogsduva
Svartvit flugsnappare
Ärtsångare</t>
        </is>
      </c>
      <c r="W283">
        <f>HYPERLINK("https://klasma.github.io/Logging_0821/artfynd/A 50623-2022 artfynd.xlsx", "A 50623-2022")</f>
        <v/>
      </c>
      <c r="X283">
        <f>HYPERLINK("https://klasma.github.io/Logging_0821/kartor/A 50623-2022 karta.png", "A 50623-2022")</f>
        <v/>
      </c>
      <c r="Y283">
        <f>HYPERLINK("https://klasma.github.io/Logging_0821/kartor_geotiff/A 50623-2022 georefererad karta.tif", "A 50623-2022")</f>
        <v/>
      </c>
      <c r="AA283">
        <f>HYPERLINK("https://klasma.github.io/Logging_0821/klagomål/A 50623-2022 FSC-klagomål.docx", "A 50623-2022")</f>
        <v/>
      </c>
      <c r="AB283">
        <f>HYPERLINK("https://klasma.github.io/Logging_0821/klagomålsmail/A 50623-2022 FSC-klagomål mail.docx", "A 50623-2022")</f>
        <v/>
      </c>
      <c r="AC283">
        <f>HYPERLINK("https://klasma.github.io/Logging_0821/tillsyn/A 50623-2022 tillsynsbegäran.docx", "A 50623-2022")</f>
        <v/>
      </c>
      <c r="AD283">
        <f>HYPERLINK("https://klasma.github.io/Logging_0821/tillsynsmail/A 50623-2022 tillsynsbegäran mail.docx", "A 50623-2022")</f>
        <v/>
      </c>
      <c r="AE283">
        <f>HYPERLINK("https://klasma.github.io/Logging_0821/fåglar/A 50623-2022 prioriterade fågelarter.docx", "A 50623-2022")</f>
        <v/>
      </c>
    </row>
    <row r="284" ht="15" customHeight="1">
      <c r="A284" t="inlineStr">
        <is>
          <t>A 32645-2023</t>
        </is>
      </c>
      <c r="B284" t="inlineStr">
        <is>
          <t>avverkningsanmälan</t>
        </is>
      </c>
      <c r="C284" t="inlineStr">
        <is>
          <t>Föryngringsavverkning</t>
        </is>
      </c>
      <c r="D284" s="1" t="n">
        <v>45121</v>
      </c>
      <c r="E284" s="1" t="n">
        <v>46323</v>
      </c>
      <c r="F284" t="inlineStr">
        <is>
          <t>KALMAR LÄN</t>
        </is>
      </c>
      <c r="G284" t="inlineStr">
        <is>
          <t>VIMMERBY</t>
        </is>
      </c>
      <c r="H284" t="inlineStr">
        <is>
          <t>Sveaskog</t>
        </is>
      </c>
      <c r="I284" t="n">
        <v>1.5</v>
      </c>
      <c r="J284" t="n">
        <v>2</v>
      </c>
      <c r="K284" t="n">
        <v>1</v>
      </c>
      <c r="L284" t="n">
        <v>3</v>
      </c>
      <c r="M284" t="n">
        <v>0</v>
      </c>
      <c r="N284" t="n">
        <v>0</v>
      </c>
      <c r="O284" t="n">
        <v>0</v>
      </c>
      <c r="P284" t="n">
        <v>0</v>
      </c>
      <c r="Q284" t="n">
        <v>3</v>
      </c>
      <c r="R284" t="n">
        <v>0</v>
      </c>
      <c r="S284" t="n">
        <v>5</v>
      </c>
      <c r="T284" t="n">
        <v>9</v>
      </c>
      <c r="U284" t="n">
        <v>9</v>
      </c>
      <c r="V284" s="2" t="inlineStr">
        <is>
          <t>Dvärgbägarlav
Talltita
Vedtrappmossa
Mindre märgborre
Spillkråka</t>
        </is>
      </c>
      <c r="W284">
        <f>HYPERLINK("https://klasma.github.io/Logging_0884/artfynd/A 32645-2023 artfynd.xlsx", "A 32645-2023")</f>
        <v/>
      </c>
      <c r="X284">
        <f>HYPERLINK("https://klasma.github.io/Logging_0884/kartor/A 32645-2023 karta.png", "A 32645-2023")</f>
        <v/>
      </c>
      <c r="Y284">
        <f>HYPERLINK("https://klasma.github.io/Logging_0884/kartor_geotiff/A 32645-2023 georefererad karta.tif", "A 32645-2023")</f>
        <v/>
      </c>
      <c r="AA284">
        <f>HYPERLINK("https://klasma.github.io/Logging_0884/klagomål/A 32645-2023 FSC-klagomål.docx", "A 32645-2023")</f>
        <v/>
      </c>
      <c r="AB284">
        <f>HYPERLINK("https://klasma.github.io/Logging_0884/klagomålsmail/A 32645-2023 FSC-klagomål mail.docx", "A 32645-2023")</f>
        <v/>
      </c>
      <c r="AC284">
        <f>HYPERLINK("https://klasma.github.io/Logging_0884/tillsyn/A 32645-2023 tillsynsbegäran.docx", "A 32645-2023")</f>
        <v/>
      </c>
      <c r="AD284">
        <f>HYPERLINK("https://klasma.github.io/Logging_0884/tillsynsmail/A 32645-2023 tillsynsbegäran mail.docx", "A 32645-2023")</f>
        <v/>
      </c>
      <c r="AE284">
        <f>HYPERLINK("https://klasma.github.io/Logging_0884/fåglar/A 32645-2023 prioriterade fågelarter.docx", "A 32645-2023")</f>
        <v/>
      </c>
    </row>
    <row r="285" ht="15" customHeight="1">
      <c r="A285" t="inlineStr">
        <is>
          <t>A 37901-2022</t>
        </is>
      </c>
      <c r="B285" t="inlineStr">
        <is>
          <t>avverkningsanmälan</t>
        </is>
      </c>
      <c r="C285" t="inlineStr">
        <is>
          <t>Föryngringsavverkning</t>
        </is>
      </c>
      <c r="D285" s="1" t="n">
        <v>44811</v>
      </c>
      <c r="E285" s="1" t="n">
        <v>46323</v>
      </c>
      <c r="F285" t="inlineStr">
        <is>
          <t>KALMAR LÄN</t>
        </is>
      </c>
      <c r="G285" t="inlineStr">
        <is>
          <t>VIMMERBY</t>
        </is>
      </c>
      <c r="I285" t="n">
        <v>3.9</v>
      </c>
      <c r="J285" t="n">
        <v>1</v>
      </c>
      <c r="K285" t="n">
        <v>3</v>
      </c>
      <c r="L285" t="n">
        <v>1</v>
      </c>
      <c r="M285" t="n">
        <v>0</v>
      </c>
      <c r="N285" t="n">
        <v>0</v>
      </c>
      <c r="O285" t="n">
        <v>0</v>
      </c>
      <c r="P285" t="n">
        <v>0</v>
      </c>
      <c r="Q285" t="n">
        <v>1</v>
      </c>
      <c r="R285" t="n">
        <v>0</v>
      </c>
      <c r="S285" t="n">
        <v>5</v>
      </c>
      <c r="T285" t="n">
        <v>5</v>
      </c>
      <c r="U285" t="n">
        <v>5</v>
      </c>
      <c r="V285" s="2" t="inlineStr">
        <is>
          <t>Tallticka
Dvärgtufs
Kornig nållav
Rävticka
Revlummer</t>
        </is>
      </c>
      <c r="W285">
        <f>HYPERLINK("https://klasma.github.io/Logging_0884/artfynd/A 37901-2022 artfynd.xlsx", "A 37901-2022")</f>
        <v/>
      </c>
      <c r="X285">
        <f>HYPERLINK("https://klasma.github.io/Logging_0884/kartor/A 37901-2022 karta.png", "A 37901-2022")</f>
        <v/>
      </c>
      <c r="Y285">
        <f>HYPERLINK("https://klasma.github.io/Logging_0884/kartor_geotiff/A 37901-2022 georefererad karta.tif", "A 37901-2022")</f>
        <v/>
      </c>
      <c r="AA285">
        <f>HYPERLINK("https://klasma.github.io/Logging_0884/klagomål/A 37901-2022 FSC-klagomål.docx", "A 37901-2022")</f>
        <v/>
      </c>
      <c r="AB285">
        <f>HYPERLINK("https://klasma.github.io/Logging_0884/klagomålsmail/A 37901-2022 FSC-klagomål mail.docx", "A 37901-2022")</f>
        <v/>
      </c>
      <c r="AC285">
        <f>HYPERLINK("https://klasma.github.io/Logging_0884/tillsyn/A 37901-2022 tillsynsbegäran.docx", "A 37901-2022")</f>
        <v/>
      </c>
      <c r="AD285">
        <f>HYPERLINK("https://klasma.github.io/Logging_0884/tillsynsmail/A 37901-2022 tillsynsbegäran mail.docx", "A 37901-2022")</f>
        <v/>
      </c>
    </row>
    <row r="286" ht="15" customHeight="1">
      <c r="A286" t="inlineStr">
        <is>
          <t>A 781-2023</t>
        </is>
      </c>
      <c r="B286" t="inlineStr">
        <is>
          <t>avverkningsanmälan</t>
        </is>
      </c>
      <c r="C286" t="inlineStr">
        <is>
          <t>Avverkning för att bevara och utveckla /försöksver</t>
        </is>
      </c>
      <c r="D286" s="1" t="n">
        <v>44931</v>
      </c>
      <c r="E286" s="1" t="n">
        <v>46323</v>
      </c>
      <c r="F286" t="inlineStr">
        <is>
          <t>KALMAR LÄN</t>
        </is>
      </c>
      <c r="G286" t="inlineStr">
        <is>
          <t>VÄSTERVIK</t>
        </is>
      </c>
      <c r="H286" t="inlineStr">
        <is>
          <t>Holmen skog AB</t>
        </is>
      </c>
      <c r="I286" t="n">
        <v>4.3</v>
      </c>
      <c r="J286" t="n">
        <v>0</v>
      </c>
      <c r="K286" t="n">
        <v>3</v>
      </c>
      <c r="L286" t="n">
        <v>2</v>
      </c>
      <c r="M286" t="n">
        <v>0</v>
      </c>
      <c r="N286" t="n">
        <v>0</v>
      </c>
      <c r="O286" t="n">
        <v>0</v>
      </c>
      <c r="P286" t="n">
        <v>0</v>
      </c>
      <c r="Q286" t="n">
        <v>2</v>
      </c>
      <c r="R286" t="n">
        <v>0</v>
      </c>
      <c r="S286" t="n">
        <v>5</v>
      </c>
      <c r="T286" t="n">
        <v>10</v>
      </c>
      <c r="U286" t="n">
        <v>10</v>
      </c>
      <c r="V286" s="2" t="inlineStr">
        <is>
          <t>Ekticka
Oxtungssvamp
Hasselticka
Läderskål
Stor aspticka</t>
        </is>
      </c>
      <c r="W286">
        <f>HYPERLINK("https://klasma.github.io/Logging_0883/artfynd/A 781-2023 artfynd.xlsx", "A 781-2023")</f>
        <v/>
      </c>
      <c r="X286">
        <f>HYPERLINK("https://klasma.github.io/Logging_0883/kartor/A 781-2023 karta.png", "A 781-2023")</f>
        <v/>
      </c>
      <c r="Y286">
        <f>HYPERLINK("https://klasma.github.io/Logging_0883/kartor_geotiff/A 781-2023 georefererad karta.tif", "A 781-2023")</f>
        <v/>
      </c>
      <c r="AA286">
        <f>HYPERLINK("https://klasma.github.io/Logging_0883/klagomål/A 781-2023 FSC-klagomål.docx", "A 781-2023")</f>
        <v/>
      </c>
      <c r="AB286">
        <f>HYPERLINK("https://klasma.github.io/Logging_0883/klagomålsmail/A 781-2023 FSC-klagomål mail.docx", "A 781-2023")</f>
        <v/>
      </c>
      <c r="AC286">
        <f>HYPERLINK("https://klasma.github.io/Logging_0883/tillsyn/A 781-2023 tillsynsbegäran.docx", "A 781-2023")</f>
        <v/>
      </c>
      <c r="AD286">
        <f>HYPERLINK("https://klasma.github.io/Logging_0883/tillsynsmail/A 781-2023 tillsynsbegäran mail.docx", "A 781-2023")</f>
        <v/>
      </c>
    </row>
    <row r="287" ht="15" customHeight="1">
      <c r="A287" t="inlineStr">
        <is>
          <t>A 12708-2023</t>
        </is>
      </c>
      <c r="B287" t="inlineStr">
        <is>
          <t>avverkningsanmälan</t>
        </is>
      </c>
      <c r="C287" t="inlineStr">
        <is>
          <t>Föryngringsavverkning</t>
        </is>
      </c>
      <c r="D287" s="1" t="n">
        <v>45000</v>
      </c>
      <c r="E287" s="1" t="n">
        <v>46323</v>
      </c>
      <c r="F287" t="inlineStr">
        <is>
          <t>KALMAR LÄN</t>
        </is>
      </c>
      <c r="G287" t="inlineStr">
        <is>
          <t>VÄSTERVIK</t>
        </is>
      </c>
      <c r="I287" t="n">
        <v>8.6</v>
      </c>
      <c r="J287" t="n">
        <v>3</v>
      </c>
      <c r="K287" t="n">
        <v>1</v>
      </c>
      <c r="L287" t="n">
        <v>2</v>
      </c>
      <c r="M287" t="n">
        <v>1</v>
      </c>
      <c r="N287" t="n">
        <v>0</v>
      </c>
      <c r="O287" t="n">
        <v>0</v>
      </c>
      <c r="P287" t="n">
        <v>0</v>
      </c>
      <c r="Q287" t="n">
        <v>3</v>
      </c>
      <c r="R287" t="n">
        <v>1</v>
      </c>
      <c r="S287" t="n">
        <v>5</v>
      </c>
      <c r="T287" t="n">
        <v>9</v>
      </c>
      <c r="U287" t="n">
        <v>9</v>
      </c>
      <c r="V287" s="2" t="inlineStr">
        <is>
          <t>Knärot
Tallticka
Talltita
Grovticka
Trädlärka</t>
        </is>
      </c>
      <c r="W287">
        <f>HYPERLINK("https://klasma.github.io/Logging_0883/artfynd/A 12708-2023 artfynd.xlsx", "A 12708-2023")</f>
        <v/>
      </c>
      <c r="X287">
        <f>HYPERLINK("https://klasma.github.io/Logging_0883/kartor/A 12708-2023 karta.png", "A 12708-2023")</f>
        <v/>
      </c>
      <c r="Y287">
        <f>HYPERLINK("https://klasma.github.io/Logging_0883/kartor_geotiff/A 12708-2023 georefererad karta.tif", "A 12708-2023")</f>
        <v/>
      </c>
      <c r="Z287">
        <f>HYPERLINK("https://klasma.github.io/Logging_0883/knärot/A 12708-2023 karta knärot.png", "A 12708-2023")</f>
        <v/>
      </c>
      <c r="AA287">
        <f>HYPERLINK("https://klasma.github.io/Logging_0883/klagomål/A 12708-2023 FSC-klagomål.docx", "A 12708-2023")</f>
        <v/>
      </c>
      <c r="AB287">
        <f>HYPERLINK("https://klasma.github.io/Logging_0883/klagomålsmail/A 12708-2023 FSC-klagomål mail.docx", "A 12708-2023")</f>
        <v/>
      </c>
      <c r="AC287">
        <f>HYPERLINK("https://klasma.github.io/Logging_0883/tillsyn/A 12708-2023 tillsynsbegäran.docx", "A 12708-2023")</f>
        <v/>
      </c>
      <c r="AD287">
        <f>HYPERLINK("https://klasma.github.io/Logging_0883/tillsynsmail/A 12708-2023 tillsynsbegäran mail.docx", "A 12708-2023")</f>
        <v/>
      </c>
      <c r="AE287">
        <f>HYPERLINK("https://klasma.github.io/Logging_0883/fåglar/A 12708-2023 prioriterade fågelarter.docx", "A 12708-2023")</f>
        <v/>
      </c>
    </row>
    <row r="288" ht="15" customHeight="1">
      <c r="A288" t="inlineStr">
        <is>
          <t>A 26187-2024</t>
        </is>
      </c>
      <c r="B288" t="inlineStr">
        <is>
          <t>avverkningsanmälan</t>
        </is>
      </c>
      <c r="C288" t="inlineStr">
        <is>
          <t>Föryngringsavverkning</t>
        </is>
      </c>
      <c r="D288" s="1" t="n">
        <v>45468</v>
      </c>
      <c r="E288" s="1" t="n">
        <v>46323</v>
      </c>
      <c r="F288" t="inlineStr">
        <is>
          <t>KALMAR LÄN</t>
        </is>
      </c>
      <c r="G288" t="inlineStr">
        <is>
          <t>OSKARSHAMN</t>
        </is>
      </c>
      <c r="H288" t="inlineStr">
        <is>
          <t>Kommuner</t>
        </is>
      </c>
      <c r="I288" t="n">
        <v>1.8</v>
      </c>
      <c r="J288" t="n">
        <v>2</v>
      </c>
      <c r="K288" t="n">
        <v>1</v>
      </c>
      <c r="L288" t="n">
        <v>2</v>
      </c>
      <c r="M288" t="n">
        <v>0</v>
      </c>
      <c r="N288" t="n">
        <v>0</v>
      </c>
      <c r="O288" t="n">
        <v>0</v>
      </c>
      <c r="P288" t="n">
        <v>0</v>
      </c>
      <c r="Q288" t="n">
        <v>2</v>
      </c>
      <c r="R288" t="n">
        <v>0</v>
      </c>
      <c r="S288" t="n">
        <v>5</v>
      </c>
      <c r="T288" t="n">
        <v>17</v>
      </c>
      <c r="U288" t="n">
        <v>17</v>
      </c>
      <c r="V288" s="2" t="inlineStr">
        <is>
          <t>Ekticka
Vippärt
Murgröna
Blåsippa
Spillkråka</t>
        </is>
      </c>
      <c r="W288">
        <f>HYPERLINK("https://klasma.github.io/Logging_0882/artfynd/A 26187-2024 artfynd.xlsx", "A 26187-2024")</f>
        <v/>
      </c>
      <c r="X288">
        <f>HYPERLINK("https://klasma.github.io/Logging_0882/kartor/A 26187-2024 karta.png", "A 26187-2024")</f>
        <v/>
      </c>
      <c r="Y288">
        <f>HYPERLINK("https://klasma.github.io/Logging_0882/kartor_geotiff/A 26187-2024 georefererad karta.tif", "A 26187-2024")</f>
        <v/>
      </c>
      <c r="AA288">
        <f>HYPERLINK("https://klasma.github.io/Logging_0882/klagomål/A 26187-2024 FSC-klagomål.docx", "A 26187-2024")</f>
        <v/>
      </c>
      <c r="AB288">
        <f>HYPERLINK("https://klasma.github.io/Logging_0882/klagomålsmail/A 26187-2024 FSC-klagomål mail.docx", "A 26187-2024")</f>
        <v/>
      </c>
      <c r="AC288">
        <f>HYPERLINK("https://klasma.github.io/Logging_0882/tillsyn/A 26187-2024 tillsynsbegäran.docx", "A 26187-2024")</f>
        <v/>
      </c>
      <c r="AD288">
        <f>HYPERLINK("https://klasma.github.io/Logging_0882/tillsynsmail/A 26187-2024 tillsynsbegäran mail.docx", "A 26187-2024")</f>
        <v/>
      </c>
      <c r="AE288">
        <f>HYPERLINK("https://klasma.github.io/Logging_0882/fåglar/A 26187-2024 prioriterade fågelarter.docx", "A 26187-2024")</f>
        <v/>
      </c>
    </row>
    <row r="289" ht="15" customHeight="1">
      <c r="A289" t="inlineStr">
        <is>
          <t>A 54942-2022</t>
        </is>
      </c>
      <c r="B289" t="inlineStr">
        <is>
          <t>avverkningsanmälan</t>
        </is>
      </c>
      <c r="C289" t="inlineStr">
        <is>
          <t>Föryngringsavverkning</t>
        </is>
      </c>
      <c r="D289" s="1" t="n">
        <v>44886</v>
      </c>
      <c r="E289" s="1" t="n">
        <v>46323</v>
      </c>
      <c r="F289" t="inlineStr">
        <is>
          <t>KALMAR LÄN</t>
        </is>
      </c>
      <c r="G289" t="inlineStr">
        <is>
          <t>HÖGSBY</t>
        </is>
      </c>
      <c r="I289" t="n">
        <v>0.6</v>
      </c>
      <c r="J289" t="n">
        <v>1</v>
      </c>
      <c r="K289" t="n">
        <v>0</v>
      </c>
      <c r="L289" t="n">
        <v>2</v>
      </c>
      <c r="M289" t="n">
        <v>2</v>
      </c>
      <c r="N289" t="n">
        <v>0</v>
      </c>
      <c r="O289" t="n">
        <v>0</v>
      </c>
      <c r="P289" t="n">
        <v>0</v>
      </c>
      <c r="Q289" t="n">
        <v>4</v>
      </c>
      <c r="R289" t="n">
        <v>2</v>
      </c>
      <c r="S289" t="n">
        <v>5</v>
      </c>
      <c r="T289" t="n">
        <v>6</v>
      </c>
      <c r="U289" t="n">
        <v>0</v>
      </c>
      <c r="V289" s="2" t="inlineStr">
        <is>
          <t>Mindre bastardsvärmare
Slåttergubbe
Jungfrulin
Solvända
Gullviva</t>
        </is>
      </c>
      <c r="W289">
        <f>HYPERLINK("https://klasma.github.io/Logging_0821/artfynd/A 54942-2022 artfynd.xlsx", "A 54942-2022")</f>
        <v/>
      </c>
      <c r="X289">
        <f>HYPERLINK("https://klasma.github.io/Logging_0821/kartor/A 54942-2022 karta.png", "A 54942-2022")</f>
        <v/>
      </c>
      <c r="Y289">
        <f>HYPERLINK("https://klasma.github.io/Logging_0821/kartor_geotiff/A 54942-2022 georefererad karta.tif", "A 54942-2022")</f>
        <v/>
      </c>
      <c r="AA289">
        <f>HYPERLINK("https://klasma.github.io/Logging_0821/klagomål/A 54942-2022 FSC-klagomål.docx", "A 54942-2022")</f>
        <v/>
      </c>
      <c r="AB289">
        <f>HYPERLINK("https://klasma.github.io/Logging_0821/klagomålsmail/A 54942-2022 FSC-klagomål mail.docx", "A 54942-2022")</f>
        <v/>
      </c>
      <c r="AC289">
        <f>HYPERLINK("https://klasma.github.io/Logging_0821/tillsyn/A 54942-2022 tillsynsbegäran.docx", "A 54942-2022")</f>
        <v/>
      </c>
      <c r="AD289">
        <f>HYPERLINK("https://klasma.github.io/Logging_0821/tillsynsmail/A 54942-2022 tillsynsbegäran mail.docx", "A 54942-2022")</f>
        <v/>
      </c>
    </row>
    <row r="290" ht="15" customHeight="1">
      <c r="A290" t="inlineStr">
        <is>
          <t>A 50759-2022</t>
        </is>
      </c>
      <c r="B290" t="inlineStr">
        <is>
          <t>avverkningsanmälan</t>
        </is>
      </c>
      <c r="C290" t="inlineStr">
        <is>
          <t>Föryngringsavverkning</t>
        </is>
      </c>
      <c r="D290" s="1" t="n">
        <v>44867</v>
      </c>
      <c r="E290" s="1" t="n">
        <v>46323</v>
      </c>
      <c r="F290" t="inlineStr">
        <is>
          <t>KALMAR LÄN</t>
        </is>
      </c>
      <c r="G290" t="inlineStr">
        <is>
          <t>NYBRO</t>
        </is>
      </c>
      <c r="I290" t="n">
        <v>5.1</v>
      </c>
      <c r="J290" t="n">
        <v>2</v>
      </c>
      <c r="K290" t="n">
        <v>3</v>
      </c>
      <c r="L290" t="n">
        <v>1</v>
      </c>
      <c r="M290" t="n">
        <v>0</v>
      </c>
      <c r="N290" t="n">
        <v>0</v>
      </c>
      <c r="O290" t="n">
        <v>0</v>
      </c>
      <c r="P290" t="n">
        <v>0</v>
      </c>
      <c r="Q290" t="n">
        <v>1</v>
      </c>
      <c r="R290" t="n">
        <v>0</v>
      </c>
      <c r="S290" t="n">
        <v>5</v>
      </c>
      <c r="T290" t="n">
        <v>5</v>
      </c>
      <c r="U290" t="n">
        <v>0</v>
      </c>
      <c r="V290" s="2" t="inlineStr">
        <is>
          <t>Sparvuggla
Blåmossa
Ljus vedstrit
Mindre märgborre
Tjäder</t>
        </is>
      </c>
      <c r="W290">
        <f>HYPERLINK("https://klasma.github.io/Logging_0881/artfynd/A 50759-2022 artfynd.xlsx", "A 50759-2022")</f>
        <v/>
      </c>
      <c r="X290">
        <f>HYPERLINK("https://klasma.github.io/Logging_0881/kartor/A 50759-2022 karta.png", "A 50759-2022")</f>
        <v/>
      </c>
      <c r="Y290">
        <f>HYPERLINK("https://klasma.github.io/Logging_0881/kartor_geotiff/A 50759-2022 georefererad karta.tif", "A 50759-2022")</f>
        <v/>
      </c>
      <c r="AA290">
        <f>HYPERLINK("https://klasma.github.io/Logging_0881/klagomål/A 50759-2022 FSC-klagomål.docx", "A 50759-2022")</f>
        <v/>
      </c>
      <c r="AB290">
        <f>HYPERLINK("https://klasma.github.io/Logging_0881/klagomålsmail/A 50759-2022 FSC-klagomål mail.docx", "A 50759-2022")</f>
        <v/>
      </c>
      <c r="AC290">
        <f>HYPERLINK("https://klasma.github.io/Logging_0881/tillsyn/A 50759-2022 tillsynsbegäran.docx", "A 50759-2022")</f>
        <v/>
      </c>
      <c r="AD290">
        <f>HYPERLINK("https://klasma.github.io/Logging_0881/tillsynsmail/A 50759-2022 tillsynsbegäran mail.docx", "A 50759-2022")</f>
        <v/>
      </c>
      <c r="AE290">
        <f>HYPERLINK("https://klasma.github.io/Logging_0881/fåglar/A 50759-2022 prioriterade fågelarter.docx", "A 50759-2022")</f>
        <v/>
      </c>
    </row>
    <row r="291" ht="15" customHeight="1">
      <c r="A291" t="inlineStr">
        <is>
          <t>A 58899-2023</t>
        </is>
      </c>
      <c r="B291" t="inlineStr">
        <is>
          <t>avverkningsanmälan</t>
        </is>
      </c>
      <c r="C291" t="inlineStr">
        <is>
          <t>Föryngringsavverkning</t>
        </is>
      </c>
      <c r="D291" s="1" t="n">
        <v>45250</v>
      </c>
      <c r="E291" s="1" t="n">
        <v>46323</v>
      </c>
      <c r="F291" t="inlineStr">
        <is>
          <t>KALMAR LÄN</t>
        </is>
      </c>
      <c r="G291" t="inlineStr">
        <is>
          <t>MÖNSTERÅS</t>
        </is>
      </c>
      <c r="I291" t="n">
        <v>1.3</v>
      </c>
      <c r="J291" t="n">
        <v>2</v>
      </c>
      <c r="K291" t="n">
        <v>2</v>
      </c>
      <c r="L291" t="n">
        <v>1</v>
      </c>
      <c r="M291" t="n">
        <v>1</v>
      </c>
      <c r="N291" t="n">
        <v>0</v>
      </c>
      <c r="O291" t="n">
        <v>0</v>
      </c>
      <c r="P291" t="n">
        <v>0</v>
      </c>
      <c r="Q291" t="n">
        <v>2</v>
      </c>
      <c r="R291" t="n">
        <v>1</v>
      </c>
      <c r="S291" t="n">
        <v>5</v>
      </c>
      <c r="T291" t="n">
        <v>20</v>
      </c>
      <c r="U291" t="n">
        <v>2</v>
      </c>
      <c r="V291" s="2" t="inlineStr">
        <is>
          <t>Knärot
Ullticka
Blåmossa
Grönpyrola
Spillkråka</t>
        </is>
      </c>
      <c r="W291">
        <f>HYPERLINK("https://klasma.github.io/Logging_0861/artfynd/A 58899-2023 artfynd.xlsx", "A 58899-2023")</f>
        <v/>
      </c>
      <c r="X291">
        <f>HYPERLINK("https://klasma.github.io/Logging_0861/kartor/A 58899-2023 karta.png", "A 58899-2023")</f>
        <v/>
      </c>
      <c r="Y291">
        <f>HYPERLINK("https://klasma.github.io/Logging_0861/kartor_geotiff/A 58899-2023 georefererad karta.tif", "A 58899-2023")</f>
        <v/>
      </c>
      <c r="Z291">
        <f>HYPERLINK("https://klasma.github.io/Logging_0861/knärot/A 58899-2023 karta knärot.png", "A 58899-2023")</f>
        <v/>
      </c>
      <c r="AA291">
        <f>HYPERLINK("https://klasma.github.io/Logging_0861/klagomål/A 58899-2023 FSC-klagomål.docx", "A 58899-2023")</f>
        <v/>
      </c>
      <c r="AB291">
        <f>HYPERLINK("https://klasma.github.io/Logging_0861/klagomålsmail/A 58899-2023 FSC-klagomål mail.docx", "A 58899-2023")</f>
        <v/>
      </c>
      <c r="AC291">
        <f>HYPERLINK("https://klasma.github.io/Logging_0861/tillsyn/A 58899-2023 tillsynsbegäran.docx", "A 58899-2023")</f>
        <v/>
      </c>
      <c r="AD291">
        <f>HYPERLINK("https://klasma.github.io/Logging_0861/tillsynsmail/A 58899-2023 tillsynsbegäran mail.docx", "A 58899-2023")</f>
        <v/>
      </c>
      <c r="AE291">
        <f>HYPERLINK("https://klasma.github.io/Logging_0861/fåglar/A 58899-2023 prioriterade fågelarter.docx", "A 58899-2023")</f>
        <v/>
      </c>
    </row>
    <row r="292" ht="15" customHeight="1">
      <c r="A292" t="inlineStr">
        <is>
          <t>A 66992-2021</t>
        </is>
      </c>
      <c r="B292" t="inlineStr">
        <is>
          <t>avverkningsanmälan</t>
        </is>
      </c>
      <c r="C292" t="inlineStr">
        <is>
          <t>Föryngringsavverkning</t>
        </is>
      </c>
      <c r="D292" s="1" t="n">
        <v>44522</v>
      </c>
      <c r="E292" s="1" t="n">
        <v>46323</v>
      </c>
      <c r="F292" t="inlineStr">
        <is>
          <t>KALMAR LÄN</t>
        </is>
      </c>
      <c r="G292" t="inlineStr">
        <is>
          <t>KALMAR</t>
        </is>
      </c>
      <c r="I292" t="n">
        <v>2.8</v>
      </c>
      <c r="J292" t="n">
        <v>2</v>
      </c>
      <c r="K292" t="n">
        <v>0</v>
      </c>
      <c r="L292" t="n">
        <v>2</v>
      </c>
      <c r="M292" t="n">
        <v>2</v>
      </c>
      <c r="N292" t="n">
        <v>0</v>
      </c>
      <c r="O292" t="n">
        <v>0</v>
      </c>
      <c r="P292" t="n">
        <v>0</v>
      </c>
      <c r="Q292" t="n">
        <v>4</v>
      </c>
      <c r="R292" t="n">
        <v>2</v>
      </c>
      <c r="S292" t="n">
        <v>5</v>
      </c>
      <c r="T292" t="n">
        <v>12</v>
      </c>
      <c r="U292" t="n">
        <v>8</v>
      </c>
      <c r="V292" s="2" t="inlineStr">
        <is>
          <t>Bredbrämad bastardsvärmare
Sandödla
Gullklöver
Linmåra/småsnärjmåra
Mattlummer</t>
        </is>
      </c>
      <c r="W292">
        <f>HYPERLINK("https://klasma.github.io/Logging_0880/artfynd/A 66992-2021 artfynd.xlsx", "A 66992-2021")</f>
        <v/>
      </c>
      <c r="X292">
        <f>HYPERLINK("https://klasma.github.io/Logging_0880/kartor/A 66992-2021 karta.png", "A 66992-2021")</f>
        <v/>
      </c>
      <c r="Y292">
        <f>HYPERLINK("https://klasma.github.io/Logging_0880/kartor_geotiff/A 66992-2021 georefererad karta.tif", "A 66992-2021")</f>
        <v/>
      </c>
      <c r="AA292">
        <f>HYPERLINK("https://klasma.github.io/Logging_0880/klagomål/A 66992-2021 FSC-klagomål.docx", "A 66992-2021")</f>
        <v/>
      </c>
      <c r="AB292">
        <f>HYPERLINK("https://klasma.github.io/Logging_0880/klagomålsmail/A 66992-2021 FSC-klagomål mail.docx", "A 66992-2021")</f>
        <v/>
      </c>
      <c r="AC292">
        <f>HYPERLINK("https://klasma.github.io/Logging_0880/tillsyn/A 66992-2021 tillsynsbegäran.docx", "A 66992-2021")</f>
        <v/>
      </c>
      <c r="AD292">
        <f>HYPERLINK("https://klasma.github.io/Logging_0880/tillsynsmail/A 66992-2021 tillsynsbegäran mail.docx", "A 66992-2021")</f>
        <v/>
      </c>
    </row>
    <row r="293" ht="15" customHeight="1">
      <c r="A293" t="inlineStr">
        <is>
          <t>A 49412-2025</t>
        </is>
      </c>
      <c r="B293" t="inlineStr">
        <is>
          <t>avverkningsanmälan</t>
        </is>
      </c>
      <c r="C293" t="inlineStr">
        <is>
          <t>Föryngringsavverkning</t>
        </is>
      </c>
      <c r="D293" s="1" t="n">
        <v>45938</v>
      </c>
      <c r="E293" s="1" t="n">
        <v>46323</v>
      </c>
      <c r="F293" t="inlineStr">
        <is>
          <t>KALMAR LÄN</t>
        </is>
      </c>
      <c r="G293" t="inlineStr">
        <is>
          <t>VÄSTERVIK</t>
        </is>
      </c>
      <c r="I293" t="n">
        <v>0.7</v>
      </c>
      <c r="J293" t="n">
        <v>4</v>
      </c>
      <c r="K293" t="n">
        <v>0</v>
      </c>
      <c r="L293" t="n">
        <v>2</v>
      </c>
      <c r="M293" t="n">
        <v>1</v>
      </c>
      <c r="N293" t="n">
        <v>0</v>
      </c>
      <c r="O293" t="n">
        <v>0</v>
      </c>
      <c r="P293" t="n">
        <v>0</v>
      </c>
      <c r="Q293" t="n">
        <v>3</v>
      </c>
      <c r="R293" t="n">
        <v>1</v>
      </c>
      <c r="S293" t="n">
        <v>5</v>
      </c>
      <c r="T293" t="n">
        <v>7</v>
      </c>
      <c r="U293" t="n">
        <v>7</v>
      </c>
      <c r="V293" s="2" t="inlineStr">
        <is>
          <t>Knärot
Motaggsvamp
Talltita
Spillkråka
Kungsfågel</t>
        </is>
      </c>
      <c r="W293">
        <f>HYPERLINK("https://klasma.github.io/Logging_0883/artfynd/A 49412-2025 artfynd.xlsx", "A 49412-2025")</f>
        <v/>
      </c>
      <c r="X293">
        <f>HYPERLINK("https://klasma.github.io/Logging_0883/kartor/A 49412-2025 karta.png", "A 49412-2025")</f>
        <v/>
      </c>
      <c r="Y293">
        <f>HYPERLINK("https://klasma.github.io/Logging_0883/kartor_geotiff/A 49412-2025 georefererad karta.tif", "A 49412-2025")</f>
        <v/>
      </c>
      <c r="Z293">
        <f>HYPERLINK("https://klasma.github.io/Logging_0883/knärot/A 49412-2025 karta knärot.png", "A 49412-2025")</f>
        <v/>
      </c>
      <c r="AA293">
        <f>HYPERLINK("https://klasma.github.io/Logging_0883/klagomål/A 49412-2025 FSC-klagomål.docx", "A 49412-2025")</f>
        <v/>
      </c>
      <c r="AB293">
        <f>HYPERLINK("https://klasma.github.io/Logging_0883/klagomålsmail/A 49412-2025 FSC-klagomål mail.docx", "A 49412-2025")</f>
        <v/>
      </c>
      <c r="AC293">
        <f>HYPERLINK("https://klasma.github.io/Logging_0883/tillsyn/A 49412-2025 tillsynsbegäran.docx", "A 49412-2025")</f>
        <v/>
      </c>
      <c r="AD293">
        <f>HYPERLINK("https://klasma.github.io/Logging_0883/tillsynsmail/A 49412-2025 tillsynsbegäran mail.docx", "A 49412-2025")</f>
        <v/>
      </c>
      <c r="AE293">
        <f>HYPERLINK("https://klasma.github.io/Logging_0883/fåglar/A 49412-2025 prioriterade fågelarter.docx", "A 49412-2025")</f>
        <v/>
      </c>
    </row>
    <row r="294" ht="15" customHeight="1">
      <c r="A294" t="inlineStr">
        <is>
          <t>A 37143-2024</t>
        </is>
      </c>
      <c r="B294" t="inlineStr">
        <is>
          <t>avverkningsanmälan</t>
        </is>
      </c>
      <c r="C294" t="inlineStr">
        <is>
          <t>Föryngringsavverkning</t>
        </is>
      </c>
      <c r="D294" s="1" t="n">
        <v>45539</v>
      </c>
      <c r="E294" s="1" t="n">
        <v>46323</v>
      </c>
      <c r="F294" t="inlineStr">
        <is>
          <t>KALMAR LÄN</t>
        </is>
      </c>
      <c r="G294" t="inlineStr">
        <is>
          <t>MÖNSTERÅS</t>
        </is>
      </c>
      <c r="I294" t="n">
        <v>0.9</v>
      </c>
      <c r="J294" t="n">
        <v>5</v>
      </c>
      <c r="K294" t="n">
        <v>0</v>
      </c>
      <c r="L294" t="n">
        <v>2</v>
      </c>
      <c r="M294" t="n">
        <v>0</v>
      </c>
      <c r="N294" t="n">
        <v>0</v>
      </c>
      <c r="O294" t="n">
        <v>0</v>
      </c>
      <c r="P294" t="n">
        <v>0</v>
      </c>
      <c r="Q294" t="n">
        <v>2</v>
      </c>
      <c r="R294" t="n">
        <v>0</v>
      </c>
      <c r="S294" t="n">
        <v>5</v>
      </c>
      <c r="T294" t="n">
        <v>5</v>
      </c>
      <c r="U294" t="n">
        <v>0</v>
      </c>
      <c r="V294" s="2" t="inlineStr">
        <is>
          <t>Brunlångöra
Nordfladdermus
Dvärgpipistrell
Större brunfladdermus
Vattenfladdermus</t>
        </is>
      </c>
      <c r="W294">
        <f>HYPERLINK("https://klasma.github.io/Logging_0861/artfynd/A 37143-2024 artfynd.xlsx", "A 37143-2024")</f>
        <v/>
      </c>
      <c r="X294">
        <f>HYPERLINK("https://klasma.github.io/Logging_0861/kartor/A 37143-2024 karta.png", "A 37143-2024")</f>
        <v/>
      </c>
      <c r="Y294">
        <f>HYPERLINK("https://klasma.github.io/Logging_0861/kartor_geotiff/A 37143-2024 georefererad karta.tif", "A 37143-2024")</f>
        <v/>
      </c>
      <c r="AA294">
        <f>HYPERLINK("https://klasma.github.io/Logging_0861/klagomål/A 37143-2024 FSC-klagomål.docx", "A 37143-2024")</f>
        <v/>
      </c>
      <c r="AB294">
        <f>HYPERLINK("https://klasma.github.io/Logging_0861/klagomålsmail/A 37143-2024 FSC-klagomål mail.docx", "A 37143-2024")</f>
        <v/>
      </c>
      <c r="AC294">
        <f>HYPERLINK("https://klasma.github.io/Logging_0861/tillsyn/A 37143-2024 tillsynsbegäran.docx", "A 37143-2024")</f>
        <v/>
      </c>
      <c r="AD294">
        <f>HYPERLINK("https://klasma.github.io/Logging_0861/tillsynsmail/A 37143-2024 tillsynsbegäran mail.docx", "A 37143-2024")</f>
        <v/>
      </c>
    </row>
    <row r="295" ht="15" customHeight="1">
      <c r="A295" t="inlineStr">
        <is>
          <t>A 53877-2025</t>
        </is>
      </c>
      <c r="B295" t="inlineStr">
        <is>
          <t>avverkningsanmälan</t>
        </is>
      </c>
      <c r="C295" t="inlineStr">
        <is>
          <t>Avverkning för att bevara och utveckla /försöksver</t>
        </is>
      </c>
      <c r="D295" s="1" t="n">
        <v>45961</v>
      </c>
      <c r="E295" s="1" t="n">
        <v>46323</v>
      </c>
      <c r="F295" t="inlineStr">
        <is>
          <t>KALMAR LÄN</t>
        </is>
      </c>
      <c r="G295" t="inlineStr">
        <is>
          <t>VÄSTERVIK</t>
        </is>
      </c>
      <c r="H295" t="inlineStr">
        <is>
          <t>Sveaskog</t>
        </is>
      </c>
      <c r="I295" t="n">
        <v>2.2</v>
      </c>
      <c r="J295" t="n">
        <v>4</v>
      </c>
      <c r="K295" t="n">
        <v>0</v>
      </c>
      <c r="L295" t="n">
        <v>4</v>
      </c>
      <c r="M295" t="n">
        <v>0</v>
      </c>
      <c r="N295" t="n">
        <v>0</v>
      </c>
      <c r="O295" t="n">
        <v>0</v>
      </c>
      <c r="P295" t="n">
        <v>0</v>
      </c>
      <c r="Q295" t="n">
        <v>4</v>
      </c>
      <c r="R295" t="n">
        <v>0</v>
      </c>
      <c r="S295" t="n">
        <v>5</v>
      </c>
      <c r="T295" t="n">
        <v>6</v>
      </c>
      <c r="U295" t="n">
        <v>0</v>
      </c>
      <c r="V295" s="2" t="inlineStr">
        <is>
          <t>Barbastell
Brunlångöra
Nordfladdermus
Pilblad
Blåsippa</t>
        </is>
      </c>
      <c r="W295">
        <f>HYPERLINK("https://klasma.github.io/Logging_0883/artfynd/A 53877-2025 artfynd.xlsx", "A 53877-2025")</f>
        <v/>
      </c>
      <c r="X295">
        <f>HYPERLINK("https://klasma.github.io/Logging_0883/kartor/A 53877-2025 karta.png", "A 53877-2025")</f>
        <v/>
      </c>
      <c r="Y295">
        <f>HYPERLINK("https://klasma.github.io/Logging_0883/kartor_geotiff/A 53877-2025 georefererad karta.tif", "A 53877-2025")</f>
        <v/>
      </c>
      <c r="AA295">
        <f>HYPERLINK("https://klasma.github.io/Logging_0883/klagomål/A 53877-2025 FSC-klagomål.docx", "A 53877-2025")</f>
        <v/>
      </c>
      <c r="AB295">
        <f>HYPERLINK("https://klasma.github.io/Logging_0883/klagomålsmail/A 53877-2025 FSC-klagomål mail.docx", "A 53877-2025")</f>
        <v/>
      </c>
      <c r="AC295">
        <f>HYPERLINK("https://klasma.github.io/Logging_0883/tillsyn/A 53877-2025 tillsynsbegäran.docx", "A 53877-2025")</f>
        <v/>
      </c>
      <c r="AD295">
        <f>HYPERLINK("https://klasma.github.io/Logging_0883/tillsynsmail/A 53877-2025 tillsynsbegäran mail.docx", "A 53877-2025")</f>
        <v/>
      </c>
    </row>
    <row r="296" ht="15" customHeight="1">
      <c r="A296" t="inlineStr">
        <is>
          <t>A 6933-2023</t>
        </is>
      </c>
      <c r="B296" t="inlineStr">
        <is>
          <t>avverkningsanmälan</t>
        </is>
      </c>
      <c r="C296" t="inlineStr">
        <is>
          <t>Föryngringsavverkning</t>
        </is>
      </c>
      <c r="D296" s="1" t="n">
        <v>44951</v>
      </c>
      <c r="E296" s="1" t="n">
        <v>46323</v>
      </c>
      <c r="F296" t="inlineStr">
        <is>
          <t>KALMAR LÄN</t>
        </is>
      </c>
      <c r="G296" t="inlineStr">
        <is>
          <t>KALMAR</t>
        </is>
      </c>
      <c r="I296" t="n">
        <v>9.6</v>
      </c>
      <c r="J296" t="n">
        <v>1</v>
      </c>
      <c r="K296" t="n">
        <v>2</v>
      </c>
      <c r="L296" t="n">
        <v>2</v>
      </c>
      <c r="M296" t="n">
        <v>1</v>
      </c>
      <c r="N296" t="n">
        <v>0</v>
      </c>
      <c r="O296" t="n">
        <v>0</v>
      </c>
      <c r="P296" t="n">
        <v>0</v>
      </c>
      <c r="Q296" t="n">
        <v>3</v>
      </c>
      <c r="R296" t="n">
        <v>1</v>
      </c>
      <c r="S296" t="n">
        <v>5</v>
      </c>
      <c r="T296" t="n">
        <v>8</v>
      </c>
      <c r="U296" t="n">
        <v>7</v>
      </c>
      <c r="V296" s="2" t="inlineStr">
        <is>
          <t>Knärot
Aspstumpbagge
Fyrflikig jordstjärna
Blåmossa
Rävticka</t>
        </is>
      </c>
      <c r="W296">
        <f>HYPERLINK("https://klasma.github.io/Logging_0880/artfynd/A 6933-2023 artfynd.xlsx", "A 6933-2023")</f>
        <v/>
      </c>
      <c r="X296">
        <f>HYPERLINK("https://klasma.github.io/Logging_0880/kartor/A 6933-2023 karta.png", "A 6933-2023")</f>
        <v/>
      </c>
      <c r="Y296">
        <f>HYPERLINK("https://klasma.github.io/Logging_0880/kartor_geotiff/A 6933-2023 georefererad karta.tif", "A 6933-2023")</f>
        <v/>
      </c>
      <c r="Z296">
        <f>HYPERLINK("https://klasma.github.io/Logging_0880/knärot/A 6933-2023 karta knärot.png", "A 6933-2023")</f>
        <v/>
      </c>
      <c r="AA296">
        <f>HYPERLINK("https://klasma.github.io/Logging_0880/klagomål/A 6933-2023 FSC-klagomål.docx", "A 6933-2023")</f>
        <v/>
      </c>
      <c r="AB296">
        <f>HYPERLINK("https://klasma.github.io/Logging_0880/klagomålsmail/A 6933-2023 FSC-klagomål mail.docx", "A 6933-2023")</f>
        <v/>
      </c>
      <c r="AC296">
        <f>HYPERLINK("https://klasma.github.io/Logging_0880/tillsyn/A 6933-2023 tillsynsbegäran.docx", "A 6933-2023")</f>
        <v/>
      </c>
      <c r="AD296">
        <f>HYPERLINK("https://klasma.github.io/Logging_0880/tillsynsmail/A 6933-2023 tillsynsbegäran mail.docx", "A 6933-2023")</f>
        <v/>
      </c>
    </row>
    <row r="297" ht="15" customHeight="1">
      <c r="A297" t="inlineStr">
        <is>
          <t>A 55518-2025</t>
        </is>
      </c>
      <c r="B297" t="inlineStr">
        <is>
          <t>avverkningsanmälan</t>
        </is>
      </c>
      <c r="C297" t="inlineStr">
        <is>
          <t>Föryngringsavverkning</t>
        </is>
      </c>
      <c r="D297" s="1" t="n">
        <v>45971</v>
      </c>
      <c r="E297" s="1" t="n">
        <v>46323</v>
      </c>
      <c r="F297" t="inlineStr">
        <is>
          <t>KALMAR LÄN</t>
        </is>
      </c>
      <c r="G297" t="inlineStr">
        <is>
          <t>VÄSTERVIK</t>
        </is>
      </c>
      <c r="H297" t="inlineStr">
        <is>
          <t>Holmen skog AB</t>
        </is>
      </c>
      <c r="I297" t="n">
        <v>15</v>
      </c>
      <c r="J297" t="n">
        <v>1</v>
      </c>
      <c r="K297" t="n">
        <v>0</v>
      </c>
      <c r="L297" t="n">
        <v>3</v>
      </c>
      <c r="M297" t="n">
        <v>1</v>
      </c>
      <c r="N297" t="n">
        <v>0</v>
      </c>
      <c r="O297" t="n">
        <v>0</v>
      </c>
      <c r="P297" t="n">
        <v>0</v>
      </c>
      <c r="Q297" t="n">
        <v>4</v>
      </c>
      <c r="R297" t="n">
        <v>1</v>
      </c>
      <c r="S297" t="n">
        <v>5</v>
      </c>
      <c r="T297" t="n">
        <v>5</v>
      </c>
      <c r="U297" t="n">
        <v>0</v>
      </c>
      <c r="V297" s="2" t="inlineStr">
        <is>
          <t>Ljungsnärja
Korskovall
Krusfrö
Vippärt
Grönvit nattviol</t>
        </is>
      </c>
      <c r="W297">
        <f>HYPERLINK("https://klasma.github.io/Logging_0883/artfynd/A 55518-2025 artfynd.xlsx", "A 55518-2025")</f>
        <v/>
      </c>
      <c r="X297">
        <f>HYPERLINK("https://klasma.github.io/Logging_0883/kartor/A 55518-2025 karta.png", "A 55518-2025")</f>
        <v/>
      </c>
      <c r="Y297">
        <f>HYPERLINK("https://klasma.github.io/Logging_0883/kartor_geotiff/A 55518-2025 georefererad karta.tif", "A 55518-2025")</f>
        <v/>
      </c>
      <c r="AA297">
        <f>HYPERLINK("https://klasma.github.io/Logging_0883/klagomål/A 55518-2025 FSC-klagomål.docx", "A 55518-2025")</f>
        <v/>
      </c>
      <c r="AB297">
        <f>HYPERLINK("https://klasma.github.io/Logging_0883/klagomålsmail/A 55518-2025 FSC-klagomål mail.docx", "A 55518-2025")</f>
        <v/>
      </c>
      <c r="AC297">
        <f>HYPERLINK("https://klasma.github.io/Logging_0883/tillsyn/A 55518-2025 tillsynsbegäran.docx", "A 55518-2025")</f>
        <v/>
      </c>
      <c r="AD297">
        <f>HYPERLINK("https://klasma.github.io/Logging_0883/tillsynsmail/A 55518-2025 tillsynsbegäran mail.docx", "A 55518-2025")</f>
        <v/>
      </c>
    </row>
    <row r="298" ht="15" customHeight="1">
      <c r="A298" t="inlineStr">
        <is>
          <t>A 15094-2024</t>
        </is>
      </c>
      <c r="B298" t="inlineStr">
        <is>
          <t>avverkningsanmälan</t>
        </is>
      </c>
      <c r="C298" t="inlineStr">
        <is>
          <t>Föryngringsavverkning</t>
        </is>
      </c>
      <c r="D298" s="1" t="n">
        <v>45399</v>
      </c>
      <c r="E298" s="1" t="n">
        <v>46323</v>
      </c>
      <c r="F298" t="inlineStr">
        <is>
          <t>KALMAR LÄN</t>
        </is>
      </c>
      <c r="G298" t="inlineStr">
        <is>
          <t>HULTSFRED</t>
        </is>
      </c>
      <c r="I298" t="n">
        <v>2.3</v>
      </c>
      <c r="J298" t="n">
        <v>4</v>
      </c>
      <c r="K298" t="n">
        <v>1</v>
      </c>
      <c r="L298" t="n">
        <v>1</v>
      </c>
      <c r="M298" t="n">
        <v>1</v>
      </c>
      <c r="N298" t="n">
        <v>0</v>
      </c>
      <c r="O298" t="n">
        <v>0</v>
      </c>
      <c r="P298" t="n">
        <v>0</v>
      </c>
      <c r="Q298" t="n">
        <v>2</v>
      </c>
      <c r="R298" t="n">
        <v>1</v>
      </c>
      <c r="S298" t="n">
        <v>5</v>
      </c>
      <c r="T298" t="n">
        <v>7</v>
      </c>
      <c r="U298" t="n">
        <v>6</v>
      </c>
      <c r="V298" s="2" t="inlineStr">
        <is>
          <t>Knärot
Grönsångare
Grovticka
Spillkråka
Gullviva</t>
        </is>
      </c>
      <c r="W298">
        <f>HYPERLINK("https://klasma.github.io/Logging_0860/artfynd/A 15094-2024 artfynd.xlsx", "A 15094-2024")</f>
        <v/>
      </c>
      <c r="X298">
        <f>HYPERLINK("https://klasma.github.io/Logging_0860/kartor/A 15094-2024 karta.png", "A 15094-2024")</f>
        <v/>
      </c>
      <c r="Y298">
        <f>HYPERLINK("https://klasma.github.io/Logging_0860/kartor_geotiff/A 15094-2024 georefererad karta.tif", "A 15094-2024")</f>
        <v/>
      </c>
      <c r="Z298">
        <f>HYPERLINK("https://klasma.github.io/Logging_0860/knärot/A 15094-2024 karta knärot.png", "A 15094-2024")</f>
        <v/>
      </c>
      <c r="AA298">
        <f>HYPERLINK("https://klasma.github.io/Logging_0860/klagomål/A 15094-2024 FSC-klagomål.docx", "A 15094-2024")</f>
        <v/>
      </c>
      <c r="AB298">
        <f>HYPERLINK("https://klasma.github.io/Logging_0860/klagomålsmail/A 15094-2024 FSC-klagomål mail.docx", "A 15094-2024")</f>
        <v/>
      </c>
      <c r="AC298">
        <f>HYPERLINK("https://klasma.github.io/Logging_0860/tillsyn/A 15094-2024 tillsynsbegäran.docx", "A 15094-2024")</f>
        <v/>
      </c>
      <c r="AD298">
        <f>HYPERLINK("https://klasma.github.io/Logging_0860/tillsynsmail/A 15094-2024 tillsynsbegäran mail.docx", "A 15094-2024")</f>
        <v/>
      </c>
      <c r="AE298">
        <f>HYPERLINK("https://klasma.github.io/Logging_0860/fåglar/A 15094-2024 prioriterade fågelarter.docx", "A 15094-2024")</f>
        <v/>
      </c>
    </row>
    <row r="299" ht="15" customHeight="1">
      <c r="A299" t="inlineStr">
        <is>
          <t>A 13006-2024</t>
        </is>
      </c>
      <c r="B299" t="inlineStr">
        <is>
          <t>avverkningsanmälan</t>
        </is>
      </c>
      <c r="C299" t="inlineStr">
        <is>
          <t>Föryngringsavverkning</t>
        </is>
      </c>
      <c r="D299" s="1" t="n">
        <v>45385</v>
      </c>
      <c r="E299" s="1" t="n">
        <v>46323</v>
      </c>
      <c r="F299" t="inlineStr">
        <is>
          <t>KALMAR LÄN</t>
        </is>
      </c>
      <c r="G299" t="inlineStr">
        <is>
          <t>HULTSFRED</t>
        </is>
      </c>
      <c r="I299" t="n">
        <v>1.6</v>
      </c>
      <c r="J299" t="n">
        <v>2</v>
      </c>
      <c r="K299" t="n">
        <v>0</v>
      </c>
      <c r="L299" t="n">
        <v>1</v>
      </c>
      <c r="M299" t="n">
        <v>3</v>
      </c>
      <c r="N299" t="n">
        <v>0</v>
      </c>
      <c r="O299" t="n">
        <v>0</v>
      </c>
      <c r="P299" t="n">
        <v>0</v>
      </c>
      <c r="Q299" t="n">
        <v>4</v>
      </c>
      <c r="R299" t="n">
        <v>3</v>
      </c>
      <c r="S299" t="n">
        <v>5</v>
      </c>
      <c r="T299" t="n">
        <v>8</v>
      </c>
      <c r="U299" t="n">
        <v>2</v>
      </c>
      <c r="V299" s="2" t="inlineStr">
        <is>
          <t>Knärot
Slåttergubbe
Slåttergubbemal
Skarp dropptaggsvamp
Blåsippa</t>
        </is>
      </c>
      <c r="W299">
        <f>HYPERLINK("https://klasma.github.io/Logging_0860/artfynd/A 13006-2024 artfynd.xlsx", "A 13006-2024")</f>
        <v/>
      </c>
      <c r="X299">
        <f>HYPERLINK("https://klasma.github.io/Logging_0860/kartor/A 13006-2024 karta.png", "A 13006-2024")</f>
        <v/>
      </c>
      <c r="Y299">
        <f>HYPERLINK("https://klasma.github.io/Logging_0860/kartor_geotiff/A 13006-2024 georefererad karta.tif", "A 13006-2024")</f>
        <v/>
      </c>
      <c r="Z299">
        <f>HYPERLINK("https://klasma.github.io/Logging_0860/knärot/A 13006-2024 karta knärot.png", "A 13006-2024")</f>
        <v/>
      </c>
      <c r="AA299">
        <f>HYPERLINK("https://klasma.github.io/Logging_0860/klagomål/A 13006-2024 FSC-klagomål.docx", "A 13006-2024")</f>
        <v/>
      </c>
      <c r="AB299">
        <f>HYPERLINK("https://klasma.github.io/Logging_0860/klagomålsmail/A 13006-2024 FSC-klagomål mail.docx", "A 13006-2024")</f>
        <v/>
      </c>
      <c r="AC299">
        <f>HYPERLINK("https://klasma.github.io/Logging_0860/tillsyn/A 13006-2024 tillsynsbegäran.docx", "A 13006-2024")</f>
        <v/>
      </c>
      <c r="AD299">
        <f>HYPERLINK("https://klasma.github.io/Logging_0860/tillsynsmail/A 13006-2024 tillsynsbegäran mail.docx", "A 13006-2024")</f>
        <v/>
      </c>
    </row>
    <row r="300" ht="15" customHeight="1">
      <c r="A300" t="inlineStr">
        <is>
          <t>A 25192-2026</t>
        </is>
      </c>
      <c r="B300" t="inlineStr">
        <is>
          <t>avverkningsanmälan</t>
        </is>
      </c>
      <c r="C300" t="inlineStr">
        <is>
          <t>Föryngringsavverkning</t>
        </is>
      </c>
      <c r="D300" s="1" t="n">
        <v>46175</v>
      </c>
      <c r="E300" s="1" t="n">
        <v>46323</v>
      </c>
      <c r="F300" t="inlineStr">
        <is>
          <t>KALMAR LÄN</t>
        </is>
      </c>
      <c r="G300" t="inlineStr">
        <is>
          <t>VIMMERBY</t>
        </is>
      </c>
      <c r="I300" t="n">
        <v>3.2</v>
      </c>
      <c r="J300" t="n">
        <v>4</v>
      </c>
      <c r="K300" t="n">
        <v>0</v>
      </c>
      <c r="L300" t="n">
        <v>2</v>
      </c>
      <c r="M300" t="n">
        <v>1</v>
      </c>
      <c r="N300" t="n">
        <v>0</v>
      </c>
      <c r="O300" t="n">
        <v>0</v>
      </c>
      <c r="P300" t="n">
        <v>0</v>
      </c>
      <c r="Q300" t="n">
        <v>3</v>
      </c>
      <c r="R300" t="n">
        <v>1</v>
      </c>
      <c r="S300" t="n">
        <v>5</v>
      </c>
      <c r="T300" t="n">
        <v>15</v>
      </c>
      <c r="U300" t="n">
        <v>15</v>
      </c>
      <c r="V300" s="2" t="inlineStr">
        <is>
          <t>Knärot
Grönsångare
Tallticka
Fläcknycklar
Revlummer</t>
        </is>
      </c>
      <c r="W300">
        <f>HYPERLINK("https://klasma.github.io/Logging_0884/artfynd/A 25192-2026 artfynd.xlsx", "A 25192-2026")</f>
        <v/>
      </c>
      <c r="X300">
        <f>HYPERLINK("https://klasma.github.io/Logging_0884/kartor/A 25192-2026 karta.png", "A 25192-2026")</f>
        <v/>
      </c>
      <c r="Y300">
        <f>HYPERLINK("https://klasma.github.io/Logging_0884/kartor_geotiff/A 25192-2026 georefererad karta.tif", "A 25192-2026")</f>
        <v/>
      </c>
      <c r="Z300">
        <f>HYPERLINK("https://klasma.github.io/Logging_0884/knärot/A 25192-2026 karta knärot.png", "A 25192-2026")</f>
        <v/>
      </c>
      <c r="AA300">
        <f>HYPERLINK("https://klasma.github.io/Logging_0884/klagomål/A 25192-2026 FSC-klagomål.docx", "A 25192-2026")</f>
        <v/>
      </c>
      <c r="AB300">
        <f>HYPERLINK("https://klasma.github.io/Logging_0884/klagomålsmail/A 25192-2026 FSC-klagomål mail.docx", "A 25192-2026")</f>
        <v/>
      </c>
      <c r="AC300">
        <f>HYPERLINK("https://klasma.github.io/Logging_0884/tillsyn/A 25192-2026 tillsynsbegäran.docx", "A 25192-2026")</f>
        <v/>
      </c>
      <c r="AD300">
        <f>HYPERLINK("https://klasma.github.io/Logging_0884/tillsynsmail/A 25192-2026 tillsynsbegäran mail.docx", "A 25192-2026")</f>
        <v/>
      </c>
      <c r="AE300">
        <f>HYPERLINK("https://klasma.github.io/Logging_0884/fåglar/A 25192-2026 prioriterade fågelarter.docx", "A 25192-2026")</f>
        <v/>
      </c>
    </row>
    <row r="301" ht="15" customHeight="1">
      <c r="A301" t="inlineStr">
        <is>
          <t>A 2571-2025</t>
        </is>
      </c>
      <c r="B301" t="inlineStr">
        <is>
          <t>avverkningsanmälan</t>
        </is>
      </c>
      <c r="C301" t="inlineStr">
        <is>
          <t>Föryngringsavverkning</t>
        </is>
      </c>
      <c r="D301" s="1" t="n">
        <v>45674</v>
      </c>
      <c r="E301" s="1" t="n">
        <v>46323</v>
      </c>
      <c r="F301" t="inlineStr">
        <is>
          <t>KALMAR LÄN</t>
        </is>
      </c>
      <c r="G301" t="inlineStr">
        <is>
          <t>MÖNSTERÅS</t>
        </is>
      </c>
      <c r="I301" t="n">
        <v>0.5</v>
      </c>
      <c r="J301" t="n">
        <v>5</v>
      </c>
      <c r="K301" t="n">
        <v>0</v>
      </c>
      <c r="L301" t="n">
        <v>2</v>
      </c>
      <c r="M301" t="n">
        <v>0</v>
      </c>
      <c r="N301" t="n">
        <v>0</v>
      </c>
      <c r="O301" t="n">
        <v>0</v>
      </c>
      <c r="P301" t="n">
        <v>0</v>
      </c>
      <c r="Q301" t="n">
        <v>2</v>
      </c>
      <c r="R301" t="n">
        <v>0</v>
      </c>
      <c r="S301" t="n">
        <v>5</v>
      </c>
      <c r="T301" t="n">
        <v>5</v>
      </c>
      <c r="U301" t="n">
        <v>0</v>
      </c>
      <c r="V301" s="2" t="inlineStr">
        <is>
          <t>Brunlångöra
Nordfladdermus
Dvärgpipistrell
Större brunfladdermus
Trollpipistrell</t>
        </is>
      </c>
      <c r="W301">
        <f>HYPERLINK("https://klasma.github.io/Logging_0861/artfynd/A 2571-2025 artfynd.xlsx", "A 2571-2025")</f>
        <v/>
      </c>
      <c r="X301">
        <f>HYPERLINK("https://klasma.github.io/Logging_0861/kartor/A 2571-2025 karta.png", "A 2571-2025")</f>
        <v/>
      </c>
      <c r="Y301">
        <f>HYPERLINK("https://klasma.github.io/Logging_0861/kartor_geotiff/A 2571-2025 georefererad karta.tif", "A 2571-2025")</f>
        <v/>
      </c>
      <c r="AA301">
        <f>HYPERLINK("https://klasma.github.io/Logging_0861/klagomål/A 2571-2025 FSC-klagomål.docx", "A 2571-2025")</f>
        <v/>
      </c>
      <c r="AB301">
        <f>HYPERLINK("https://klasma.github.io/Logging_0861/klagomålsmail/A 2571-2025 FSC-klagomål mail.docx", "A 2571-2025")</f>
        <v/>
      </c>
      <c r="AC301">
        <f>HYPERLINK("https://klasma.github.io/Logging_0861/tillsyn/A 2571-2025 tillsynsbegäran.docx", "A 2571-2025")</f>
        <v/>
      </c>
      <c r="AD301">
        <f>HYPERLINK("https://klasma.github.io/Logging_0861/tillsynsmail/A 2571-2025 tillsynsbegäran mail.docx", "A 2571-2025")</f>
        <v/>
      </c>
    </row>
    <row r="302" ht="15" customHeight="1">
      <c r="A302" t="inlineStr">
        <is>
          <t>A 7029-2025</t>
        </is>
      </c>
      <c r="B302" t="inlineStr">
        <is>
          <t>avverkningsanmälan</t>
        </is>
      </c>
      <c r="C302" t="inlineStr">
        <is>
          <t>Föryngringsavverkning</t>
        </is>
      </c>
      <c r="D302" s="1" t="n">
        <v>45701</v>
      </c>
      <c r="E302" s="1" t="n">
        <v>46323</v>
      </c>
      <c r="F302" t="inlineStr">
        <is>
          <t>KALMAR LÄN</t>
        </is>
      </c>
      <c r="G302" t="inlineStr">
        <is>
          <t>OSKARSHAMN</t>
        </is>
      </c>
      <c r="I302" t="n">
        <v>4.8</v>
      </c>
      <c r="J302" t="n">
        <v>2</v>
      </c>
      <c r="K302" t="n">
        <v>2</v>
      </c>
      <c r="L302" t="n">
        <v>1</v>
      </c>
      <c r="M302" t="n">
        <v>0</v>
      </c>
      <c r="N302" t="n">
        <v>0</v>
      </c>
      <c r="O302" t="n">
        <v>0</v>
      </c>
      <c r="P302" t="n">
        <v>0</v>
      </c>
      <c r="Q302" t="n">
        <v>1</v>
      </c>
      <c r="R302" t="n">
        <v>0</v>
      </c>
      <c r="S302" t="n">
        <v>5</v>
      </c>
      <c r="T302" t="n">
        <v>8</v>
      </c>
      <c r="U302" t="n">
        <v>8</v>
      </c>
      <c r="V302" s="2" t="inlineStr">
        <is>
          <t>Tallticka
Blåmossa
Jättesvampmal
Blåsippa
Spillkråka</t>
        </is>
      </c>
      <c r="W302">
        <f>HYPERLINK("https://klasma.github.io/Logging_0882/artfynd/A 7029-2025 artfynd.xlsx", "A 7029-2025")</f>
        <v/>
      </c>
      <c r="X302">
        <f>HYPERLINK("https://klasma.github.io/Logging_0882/kartor/A 7029-2025 karta.png", "A 7029-2025")</f>
        <v/>
      </c>
      <c r="Y302">
        <f>HYPERLINK("https://klasma.github.io/Logging_0882/kartor_geotiff/A 7029-2025 georefererad karta.tif", "A 7029-2025")</f>
        <v/>
      </c>
      <c r="AA302">
        <f>HYPERLINK("https://klasma.github.io/Logging_0882/klagomål/A 7029-2025 FSC-klagomål.docx", "A 7029-2025")</f>
        <v/>
      </c>
      <c r="AB302">
        <f>HYPERLINK("https://klasma.github.io/Logging_0882/klagomålsmail/A 7029-2025 FSC-klagomål mail.docx", "A 7029-2025")</f>
        <v/>
      </c>
      <c r="AC302">
        <f>HYPERLINK("https://klasma.github.io/Logging_0882/tillsyn/A 7029-2025 tillsynsbegäran.docx", "A 7029-2025")</f>
        <v/>
      </c>
      <c r="AD302">
        <f>HYPERLINK("https://klasma.github.io/Logging_0882/tillsynsmail/A 7029-2025 tillsynsbegäran mail.docx", "A 7029-2025")</f>
        <v/>
      </c>
      <c r="AE302">
        <f>HYPERLINK("https://klasma.github.io/Logging_0882/fåglar/A 7029-2025 prioriterade fågelarter.docx", "A 7029-2025")</f>
        <v/>
      </c>
    </row>
    <row r="303" ht="15" customHeight="1">
      <c r="A303" t="inlineStr">
        <is>
          <t>A 58378-2025</t>
        </is>
      </c>
      <c r="B303" t="inlineStr">
        <is>
          <t>avverkningsanmälan</t>
        </is>
      </c>
      <c r="C303" t="inlineStr">
        <is>
          <t>Föryngringsavverkning</t>
        </is>
      </c>
      <c r="D303" s="1" t="n">
        <v>45985</v>
      </c>
      <c r="E303" s="1" t="n">
        <v>46323</v>
      </c>
      <c r="F303" t="inlineStr">
        <is>
          <t>KALMAR LÄN</t>
        </is>
      </c>
      <c r="G303" t="inlineStr">
        <is>
          <t>VÄSTERVIK</t>
        </is>
      </c>
      <c r="I303" t="n">
        <v>4.1</v>
      </c>
      <c r="J303" t="n">
        <v>2</v>
      </c>
      <c r="K303" t="n">
        <v>0</v>
      </c>
      <c r="L303" t="n">
        <v>3</v>
      </c>
      <c r="M303" t="n">
        <v>0</v>
      </c>
      <c r="N303" t="n">
        <v>0</v>
      </c>
      <c r="O303" t="n">
        <v>0</v>
      </c>
      <c r="P303" t="n">
        <v>0</v>
      </c>
      <c r="Q303" t="n">
        <v>3</v>
      </c>
      <c r="R303" t="n">
        <v>0</v>
      </c>
      <c r="S303" t="n">
        <v>5</v>
      </c>
      <c r="T303" t="n">
        <v>6</v>
      </c>
      <c r="U303" t="n">
        <v>6</v>
      </c>
      <c r="V303" s="2" t="inlineStr">
        <is>
          <t>Gropticka
Motaggsvamp
Vedskivlav
Spillkråka
Tjäder</t>
        </is>
      </c>
      <c r="W303">
        <f>HYPERLINK("https://klasma.github.io/Logging_0883/artfynd/A 58378-2025 artfynd.xlsx", "A 58378-2025")</f>
        <v/>
      </c>
      <c r="X303">
        <f>HYPERLINK("https://klasma.github.io/Logging_0883/kartor/A 58378-2025 karta.png", "A 58378-2025")</f>
        <v/>
      </c>
      <c r="Y303">
        <f>HYPERLINK("https://klasma.github.io/Logging_0883/kartor_geotiff/A 58378-2025 georefererad karta.tif", "A 58378-2025")</f>
        <v/>
      </c>
      <c r="AA303">
        <f>HYPERLINK("https://klasma.github.io/Logging_0883/klagomål/A 58378-2025 FSC-klagomål.docx", "A 58378-2025")</f>
        <v/>
      </c>
      <c r="AB303">
        <f>HYPERLINK("https://klasma.github.io/Logging_0883/klagomålsmail/A 58378-2025 FSC-klagomål mail.docx", "A 58378-2025")</f>
        <v/>
      </c>
      <c r="AC303">
        <f>HYPERLINK("https://klasma.github.io/Logging_0883/tillsyn/A 58378-2025 tillsynsbegäran.docx", "A 58378-2025")</f>
        <v/>
      </c>
      <c r="AD303">
        <f>HYPERLINK("https://klasma.github.io/Logging_0883/tillsynsmail/A 58378-2025 tillsynsbegäran mail.docx", "A 58378-2025")</f>
        <v/>
      </c>
      <c r="AE303">
        <f>HYPERLINK("https://klasma.github.io/Logging_0883/fåglar/A 58378-2025 prioriterade fågelarter.docx", "A 58378-2025")</f>
        <v/>
      </c>
    </row>
    <row r="304" ht="15" customHeight="1">
      <c r="A304" t="inlineStr">
        <is>
          <t>A 2864-2026</t>
        </is>
      </c>
      <c r="B304" t="inlineStr">
        <is>
          <t>avverkningsanmälan</t>
        </is>
      </c>
      <c r="C304" t="inlineStr">
        <is>
          <t>Föryngringsavverkning</t>
        </is>
      </c>
      <c r="D304" s="1" t="n">
        <v>46038</v>
      </c>
      <c r="E304" s="1" t="n">
        <v>46323</v>
      </c>
      <c r="F304" t="inlineStr">
        <is>
          <t>KALMAR LÄN</t>
        </is>
      </c>
      <c r="G304" t="inlineStr">
        <is>
          <t>MÖRBYLÅNGA</t>
        </is>
      </c>
      <c r="I304" t="n">
        <v>1</v>
      </c>
      <c r="J304" t="n">
        <v>4</v>
      </c>
      <c r="K304" t="n">
        <v>1</v>
      </c>
      <c r="L304" t="n">
        <v>1</v>
      </c>
      <c r="M304" t="n">
        <v>0</v>
      </c>
      <c r="N304" t="n">
        <v>0</v>
      </c>
      <c r="O304" t="n">
        <v>0</v>
      </c>
      <c r="P304" t="n">
        <v>0</v>
      </c>
      <c r="Q304" t="n">
        <v>1</v>
      </c>
      <c r="R304" t="n">
        <v>0</v>
      </c>
      <c r="S304" t="n">
        <v>5</v>
      </c>
      <c r="T304" t="n">
        <v>8</v>
      </c>
      <c r="U304" t="n">
        <v>3</v>
      </c>
      <c r="V304" s="2" t="inlineStr">
        <is>
          <t>Gulsparv
Mindre märgborre
Blåsippa
Spillkråka
Röd glada</t>
        </is>
      </c>
      <c r="W304">
        <f>HYPERLINK("https://klasma.github.io/Logging_0840/artfynd/A 2864-2026 artfynd.xlsx", "A 2864-2026")</f>
        <v/>
      </c>
      <c r="X304">
        <f>HYPERLINK("https://klasma.github.io/Logging_0840/kartor/A 2864-2026 karta.png", "A 2864-2026")</f>
        <v/>
      </c>
      <c r="Y304">
        <f>HYPERLINK("https://klasma.github.io/Logging_0840/kartor_geotiff/A 2864-2026 georefererad karta.tif", "A 2864-2026")</f>
        <v/>
      </c>
      <c r="AA304">
        <f>HYPERLINK("https://klasma.github.io/Logging_0840/klagomål/A 2864-2026 FSC-klagomål.docx", "A 2864-2026")</f>
        <v/>
      </c>
      <c r="AB304">
        <f>HYPERLINK("https://klasma.github.io/Logging_0840/klagomålsmail/A 2864-2026 FSC-klagomål mail.docx", "A 2864-2026")</f>
        <v/>
      </c>
      <c r="AC304">
        <f>HYPERLINK("https://klasma.github.io/Logging_0840/tillsyn/A 2864-2026 tillsynsbegäran.docx", "A 2864-2026")</f>
        <v/>
      </c>
      <c r="AD304">
        <f>HYPERLINK("https://klasma.github.io/Logging_0840/tillsynsmail/A 2864-2026 tillsynsbegäran mail.docx", "A 2864-2026")</f>
        <v/>
      </c>
      <c r="AE304">
        <f>HYPERLINK("https://klasma.github.io/Logging_0840/fåglar/A 2864-2026 prioriterade fågelarter.docx", "A 2864-2026")</f>
        <v/>
      </c>
    </row>
    <row r="305" ht="15" customHeight="1">
      <c r="A305" t="inlineStr">
        <is>
          <t>A 32318-2026</t>
        </is>
      </c>
      <c r="B305" t="inlineStr">
        <is>
          <t>avverkningsanmälan</t>
        </is>
      </c>
      <c r="C305" t="inlineStr">
        <is>
          <t>Föryngringsavverkning</t>
        </is>
      </c>
      <c r="D305" s="1" t="n">
        <v>46238</v>
      </c>
      <c r="E305" s="1" t="n">
        <v>46323</v>
      </c>
      <c r="F305" t="inlineStr">
        <is>
          <t>KALMAR LÄN</t>
        </is>
      </c>
      <c r="G305" t="inlineStr">
        <is>
          <t>VIMMERBY</t>
        </is>
      </c>
      <c r="I305" t="n">
        <v>3.3</v>
      </c>
      <c r="J305" t="n">
        <v>1</v>
      </c>
      <c r="K305" t="n">
        <v>2</v>
      </c>
      <c r="L305" t="n">
        <v>1</v>
      </c>
      <c r="M305" t="n">
        <v>1</v>
      </c>
      <c r="N305" t="n">
        <v>1</v>
      </c>
      <c r="O305" t="n">
        <v>0</v>
      </c>
      <c r="P305" t="n">
        <v>0</v>
      </c>
      <c r="Q305" t="n">
        <v>3</v>
      </c>
      <c r="R305" t="n">
        <v>2</v>
      </c>
      <c r="S305" t="n">
        <v>5</v>
      </c>
      <c r="T305" t="n">
        <v>7</v>
      </c>
      <c r="U305" t="n">
        <v>7</v>
      </c>
      <c r="V305" s="2" t="inlineStr">
        <is>
          <t>Brödtaggsvamp
Skrovlig taggsvamp
Motaggsvamp
Flagellkvastmossa
Grön sköldmossa</t>
        </is>
      </c>
      <c r="W305">
        <f>HYPERLINK("https://klasma.github.io/Logging_0884/artfynd/A 32318-2026 artfynd.xlsx", "A 32318-2026")</f>
        <v/>
      </c>
      <c r="X305">
        <f>HYPERLINK("https://klasma.github.io/Logging_0884/kartor/A 32318-2026 karta.png", "A 32318-2026")</f>
        <v/>
      </c>
      <c r="Y305">
        <f>HYPERLINK("https://klasma.github.io/Logging_0884/kartor_geotiff/A 32318-2026 georefererad karta.tif", "A 32318-2026")</f>
        <v/>
      </c>
      <c r="AA305">
        <f>HYPERLINK("https://klasma.github.io/Logging_0884/klagomål/A 32318-2026 FSC-klagomål.docx", "A 32318-2026")</f>
        <v/>
      </c>
      <c r="AB305">
        <f>HYPERLINK("https://klasma.github.io/Logging_0884/klagomålsmail/A 32318-2026 FSC-klagomål mail.docx", "A 32318-2026")</f>
        <v/>
      </c>
      <c r="AC305">
        <f>HYPERLINK("https://klasma.github.io/Logging_0884/tillsyn/A 32318-2026 tillsynsbegäran.docx", "A 32318-2026")</f>
        <v/>
      </c>
      <c r="AD305">
        <f>HYPERLINK("https://klasma.github.io/Logging_0884/tillsynsmail/A 32318-2026 tillsynsbegäran mail.docx", "A 32318-2026")</f>
        <v/>
      </c>
    </row>
    <row r="306" ht="15" customHeight="1">
      <c r="A306" t="inlineStr">
        <is>
          <t>A 10673-2024</t>
        </is>
      </c>
      <c r="B306" t="inlineStr">
        <is>
          <t>avverkningsanmälan</t>
        </is>
      </c>
      <c r="C306" t="inlineStr">
        <is>
          <t>Föryngringsavverkning</t>
        </is>
      </c>
      <c r="D306" s="1" t="n">
        <v>45369</v>
      </c>
      <c r="E306" s="1" t="n">
        <v>46323</v>
      </c>
      <c r="F306" t="inlineStr">
        <is>
          <t>KALMAR LÄN</t>
        </is>
      </c>
      <c r="G306" t="inlineStr">
        <is>
          <t>HULTSFRED</t>
        </is>
      </c>
      <c r="I306" t="n">
        <v>2</v>
      </c>
      <c r="J306" t="n">
        <v>4</v>
      </c>
      <c r="K306" t="n">
        <v>1</v>
      </c>
      <c r="L306" t="n">
        <v>1</v>
      </c>
      <c r="M306" t="n">
        <v>1</v>
      </c>
      <c r="N306" t="n">
        <v>0</v>
      </c>
      <c r="O306" t="n">
        <v>0</v>
      </c>
      <c r="P306" t="n">
        <v>0</v>
      </c>
      <c r="Q306" t="n">
        <v>2</v>
      </c>
      <c r="R306" t="n">
        <v>1</v>
      </c>
      <c r="S306" t="n">
        <v>5</v>
      </c>
      <c r="T306" t="n">
        <v>9</v>
      </c>
      <c r="U306" t="n">
        <v>9</v>
      </c>
      <c r="V306" s="2" t="inlineStr">
        <is>
          <t>Knärot
Talltita
Grönpyrola
Blåsippa
Spillkråka</t>
        </is>
      </c>
      <c r="W306">
        <f>HYPERLINK("https://klasma.github.io/Logging_0860/artfynd/A 10673-2024 artfynd.xlsx", "A 10673-2024")</f>
        <v/>
      </c>
      <c r="X306">
        <f>HYPERLINK("https://klasma.github.io/Logging_0860/kartor/A 10673-2024 karta.png", "A 10673-2024")</f>
        <v/>
      </c>
      <c r="Y306">
        <f>HYPERLINK("https://klasma.github.io/Logging_0860/kartor_geotiff/A 10673-2024 georefererad karta.tif", "A 10673-2024")</f>
        <v/>
      </c>
      <c r="Z306">
        <f>HYPERLINK("https://klasma.github.io/Logging_0860/knärot/A 10673-2024 karta knärot.png", "A 10673-2024")</f>
        <v/>
      </c>
      <c r="AA306">
        <f>HYPERLINK("https://klasma.github.io/Logging_0860/klagomål/A 10673-2024 FSC-klagomål.docx", "A 10673-2024")</f>
        <v/>
      </c>
      <c r="AB306">
        <f>HYPERLINK("https://klasma.github.io/Logging_0860/klagomålsmail/A 10673-2024 FSC-klagomål mail.docx", "A 10673-2024")</f>
        <v/>
      </c>
      <c r="AC306">
        <f>HYPERLINK("https://klasma.github.io/Logging_0860/tillsyn/A 10673-2024 tillsynsbegäran.docx", "A 10673-2024")</f>
        <v/>
      </c>
      <c r="AD306">
        <f>HYPERLINK("https://klasma.github.io/Logging_0860/tillsynsmail/A 10673-2024 tillsynsbegäran mail.docx", "A 10673-2024")</f>
        <v/>
      </c>
      <c r="AE306">
        <f>HYPERLINK("https://klasma.github.io/Logging_0860/fåglar/A 10673-2024 prioriterade fågelarter.docx", "A 10673-2024")</f>
        <v/>
      </c>
    </row>
    <row r="307" ht="15" customHeight="1">
      <c r="A307" t="inlineStr">
        <is>
          <t>A 40302-2022</t>
        </is>
      </c>
      <c r="B307" t="inlineStr">
        <is>
          <t>avverkningsanmälan</t>
        </is>
      </c>
      <c r="C307" t="inlineStr">
        <is>
          <t>Föryngringsavverkning</t>
        </is>
      </c>
      <c r="D307" s="1" t="n">
        <v>44822</v>
      </c>
      <c r="E307" s="1" t="n">
        <v>46323</v>
      </c>
      <c r="F307" t="inlineStr">
        <is>
          <t>KALMAR LÄN</t>
        </is>
      </c>
      <c r="G307" t="inlineStr">
        <is>
          <t>HULTSFRED</t>
        </is>
      </c>
      <c r="I307" t="n">
        <v>2.3</v>
      </c>
      <c r="J307" t="n">
        <v>5</v>
      </c>
      <c r="K307" t="n">
        <v>0</v>
      </c>
      <c r="L307" t="n">
        <v>3</v>
      </c>
      <c r="M307" t="n">
        <v>0</v>
      </c>
      <c r="N307" t="n">
        <v>0</v>
      </c>
      <c r="O307" t="n">
        <v>0</v>
      </c>
      <c r="P307" t="n">
        <v>0</v>
      </c>
      <c r="Q307" t="n">
        <v>3</v>
      </c>
      <c r="R307" t="n">
        <v>0</v>
      </c>
      <c r="S307" t="n">
        <v>5</v>
      </c>
      <c r="T307" t="n">
        <v>7</v>
      </c>
      <c r="U307" t="n">
        <v>1</v>
      </c>
      <c r="V307" s="2" t="inlineStr">
        <is>
          <t>Brunlångöra
Fransfladdermus
Nordfladdermus
Dvärgpipistrell
Vattenfladdermus</t>
        </is>
      </c>
      <c r="W307">
        <f>HYPERLINK("https://klasma.github.io/Logging_0860/artfynd/A 40302-2022 artfynd.xlsx", "A 40302-2022")</f>
        <v/>
      </c>
      <c r="X307">
        <f>HYPERLINK("https://klasma.github.io/Logging_0860/kartor/A 40302-2022 karta.png", "A 40302-2022")</f>
        <v/>
      </c>
      <c r="Y307">
        <f>HYPERLINK("https://klasma.github.io/Logging_0860/kartor_geotiff/A 40302-2022 georefererad karta.tif", "A 40302-2022")</f>
        <v/>
      </c>
      <c r="AA307">
        <f>HYPERLINK("https://klasma.github.io/Logging_0860/klagomål/A 40302-2022 FSC-klagomål.docx", "A 40302-2022")</f>
        <v/>
      </c>
      <c r="AB307">
        <f>HYPERLINK("https://klasma.github.io/Logging_0860/klagomålsmail/A 40302-2022 FSC-klagomål mail.docx", "A 40302-2022")</f>
        <v/>
      </c>
      <c r="AC307">
        <f>HYPERLINK("https://klasma.github.io/Logging_0860/tillsyn/A 40302-2022 tillsynsbegäran.docx", "A 40302-2022")</f>
        <v/>
      </c>
      <c r="AD307">
        <f>HYPERLINK("https://klasma.github.io/Logging_0860/tillsynsmail/A 40302-2022 tillsynsbegäran mail.docx", "A 40302-2022")</f>
        <v/>
      </c>
    </row>
    <row r="308" ht="15" customHeight="1">
      <c r="A308" t="inlineStr">
        <is>
          <t>A 24345-2026</t>
        </is>
      </c>
      <c r="B308" t="inlineStr">
        <is>
          <t>avverkningsanmälan</t>
        </is>
      </c>
      <c r="C308" t="inlineStr">
        <is>
          <t>Avverkning för att bevara och utveckla /försöksver</t>
        </is>
      </c>
      <c r="D308" s="1" t="n">
        <v>46169</v>
      </c>
      <c r="E308" s="1" t="n">
        <v>46323</v>
      </c>
      <c r="F308" t="inlineStr">
        <is>
          <t>KALMAR LÄN</t>
        </is>
      </c>
      <c r="G308" t="inlineStr">
        <is>
          <t>BORGHOLM</t>
        </is>
      </c>
      <c r="H308" t="inlineStr">
        <is>
          <t>Sveaskog</t>
        </is>
      </c>
      <c r="I308" t="n">
        <v>7.3</v>
      </c>
      <c r="J308" t="n">
        <v>0</v>
      </c>
      <c r="K308" t="n">
        <v>4</v>
      </c>
      <c r="L308" t="n">
        <v>0</v>
      </c>
      <c r="M308" t="n">
        <v>0</v>
      </c>
      <c r="N308" t="n">
        <v>0</v>
      </c>
      <c r="O308" t="n">
        <v>0</v>
      </c>
      <c r="P308" t="n">
        <v>0</v>
      </c>
      <c r="Q308" t="n">
        <v>0</v>
      </c>
      <c r="R308" t="n">
        <v>0</v>
      </c>
      <c r="S308" t="n">
        <v>5</v>
      </c>
      <c r="T308" t="n">
        <v>5</v>
      </c>
      <c r="U308" t="n">
        <v>5</v>
      </c>
      <c r="V308" s="2" t="inlineStr">
        <is>
          <t>Blåmossa
Kragjordstjärna
Thomsons trägnagare
Vanlig flatbagge
Liljekonvalj</t>
        </is>
      </c>
      <c r="W308">
        <f>HYPERLINK("https://klasma.github.io/Logging_0885/artfynd/A 24345-2026 artfynd.xlsx", "A 24345-2026")</f>
        <v/>
      </c>
      <c r="X308">
        <f>HYPERLINK("https://klasma.github.io/Logging_0885/kartor/A 24345-2026 karta.png", "A 24345-2026")</f>
        <v/>
      </c>
      <c r="Y308">
        <f>HYPERLINK("https://klasma.github.io/Logging_0885/kartor_geotiff/A 24345-2026 georefererad karta.tif", "A 24345-2026")</f>
        <v/>
      </c>
      <c r="AA308">
        <f>HYPERLINK("https://klasma.github.io/Logging_0885/klagomål/A 24345-2026 FSC-klagomål.docx", "A 24345-2026")</f>
        <v/>
      </c>
      <c r="AB308">
        <f>HYPERLINK("https://klasma.github.io/Logging_0885/klagomålsmail/A 24345-2026 FSC-klagomål mail.docx", "A 24345-2026")</f>
        <v/>
      </c>
      <c r="AC308">
        <f>HYPERLINK("https://klasma.github.io/Logging_0885/tillsyn/A 24345-2026 tillsynsbegäran.docx", "A 24345-2026")</f>
        <v/>
      </c>
      <c r="AD308">
        <f>HYPERLINK("https://klasma.github.io/Logging_0885/tillsynsmail/A 24345-2026 tillsynsbegäran mail.docx", "A 24345-2026")</f>
        <v/>
      </c>
    </row>
    <row r="309" ht="15" customHeight="1">
      <c r="A309" t="inlineStr">
        <is>
          <t>A 31881-2023</t>
        </is>
      </c>
      <c r="B309" t="inlineStr">
        <is>
          <t>avverkningsanmälan</t>
        </is>
      </c>
      <c r="C309" t="inlineStr">
        <is>
          <t>Föryngringsavverkning</t>
        </is>
      </c>
      <c r="D309" s="1" t="n">
        <v>45106</v>
      </c>
      <c r="E309" s="1" t="n">
        <v>46323</v>
      </c>
      <c r="F309" t="inlineStr">
        <is>
          <t>KALMAR LÄN</t>
        </is>
      </c>
      <c r="G309" t="inlineStr">
        <is>
          <t>MÖNSTERÅS</t>
        </is>
      </c>
      <c r="I309" t="n">
        <v>5.9</v>
      </c>
      <c r="J309" t="n">
        <v>1</v>
      </c>
      <c r="K309" t="n">
        <v>1</v>
      </c>
      <c r="L309" t="n">
        <v>3</v>
      </c>
      <c r="M309" t="n">
        <v>0</v>
      </c>
      <c r="N309" t="n">
        <v>0</v>
      </c>
      <c r="O309" t="n">
        <v>0</v>
      </c>
      <c r="P309" t="n">
        <v>0</v>
      </c>
      <c r="Q309" t="n">
        <v>3</v>
      </c>
      <c r="R309" t="n">
        <v>0</v>
      </c>
      <c r="S309" t="n">
        <v>5</v>
      </c>
      <c r="T309" t="n">
        <v>5</v>
      </c>
      <c r="U309" t="n">
        <v>5</v>
      </c>
      <c r="V309" s="2" t="inlineStr">
        <is>
          <t>Aspstumpbagge
Klubbsprötad bastardsvärmare
Tvåtandad plattbagge
Vågbandad barkbock
Spillkråka</t>
        </is>
      </c>
      <c r="W309">
        <f>HYPERLINK("https://klasma.github.io/Logging_0861/artfynd/A 31881-2023 artfynd.xlsx", "A 31881-2023")</f>
        <v/>
      </c>
      <c r="X309">
        <f>HYPERLINK("https://klasma.github.io/Logging_0861/kartor/A 31881-2023 karta.png", "A 31881-2023")</f>
        <v/>
      </c>
      <c r="Y309">
        <f>HYPERLINK("https://klasma.github.io/Logging_0861/kartor_geotiff/A 31881-2023 georefererad karta.tif", "A 31881-2023")</f>
        <v/>
      </c>
      <c r="AA309">
        <f>HYPERLINK("https://klasma.github.io/Logging_0861/klagomål/A 31881-2023 FSC-klagomål.docx", "A 31881-2023")</f>
        <v/>
      </c>
      <c r="AB309">
        <f>HYPERLINK("https://klasma.github.io/Logging_0861/klagomålsmail/A 31881-2023 FSC-klagomål mail.docx", "A 31881-2023")</f>
        <v/>
      </c>
      <c r="AC309">
        <f>HYPERLINK("https://klasma.github.io/Logging_0861/tillsyn/A 31881-2023 tillsynsbegäran.docx", "A 31881-2023")</f>
        <v/>
      </c>
      <c r="AD309">
        <f>HYPERLINK("https://klasma.github.io/Logging_0861/tillsynsmail/A 31881-2023 tillsynsbegäran mail.docx", "A 31881-2023")</f>
        <v/>
      </c>
      <c r="AE309">
        <f>HYPERLINK("https://klasma.github.io/Logging_0861/fåglar/A 31881-2023 prioriterade fågelarter.docx", "A 31881-2023")</f>
        <v/>
      </c>
    </row>
    <row r="310" ht="15" customHeight="1">
      <c r="A310" t="inlineStr">
        <is>
          <t>A 41136-2026</t>
        </is>
      </c>
      <c r="B310" t="inlineStr">
        <is>
          <t>avverkningsanmälan</t>
        </is>
      </c>
      <c r="C310" t="inlineStr">
        <is>
          <t>Föryngringsavverkning</t>
        </is>
      </c>
      <c r="D310" s="1" t="n">
        <v>46300</v>
      </c>
      <c r="E310" s="1" t="n">
        <v>46323</v>
      </c>
      <c r="F310" t="inlineStr">
        <is>
          <t>KALMAR LÄN</t>
        </is>
      </c>
      <c r="G310" t="inlineStr">
        <is>
          <t>KALMAR</t>
        </is>
      </c>
      <c r="I310" t="n">
        <v>3.1</v>
      </c>
      <c r="J310" t="n">
        <v>2</v>
      </c>
      <c r="K310" t="n">
        <v>2</v>
      </c>
      <c r="L310" t="n">
        <v>1</v>
      </c>
      <c r="M310" t="n">
        <v>0</v>
      </c>
      <c r="N310" t="n">
        <v>0</v>
      </c>
      <c r="O310" t="n">
        <v>0</v>
      </c>
      <c r="P310" t="n">
        <v>0</v>
      </c>
      <c r="Q310" t="n">
        <v>1</v>
      </c>
      <c r="R310" t="n">
        <v>0</v>
      </c>
      <c r="S310" t="n">
        <v>5</v>
      </c>
      <c r="T310" t="n">
        <v>7</v>
      </c>
      <c r="U310" t="n">
        <v>7</v>
      </c>
      <c r="V310" s="2" t="inlineStr">
        <is>
          <t>Fjällig taggsvamp s.str.
Blåmossa
Grönpyrola
Spillkråka
Revlummer</t>
        </is>
      </c>
      <c r="W310">
        <f>HYPERLINK("https://klasma.github.io/Logging_0880/artfynd/A 41136-2026 artfynd.xlsx", "A 41136-2026")</f>
        <v/>
      </c>
      <c r="X310">
        <f>HYPERLINK("https://klasma.github.io/Logging_0880/kartor/A 41136-2026 karta.png", "A 41136-2026")</f>
        <v/>
      </c>
      <c r="Y310">
        <f>HYPERLINK("https://klasma.github.io/Logging_0880/kartor_geotiff/A 41136-2026 georefererad karta.tif", "A 41136-2026")</f>
        <v/>
      </c>
      <c r="AA310">
        <f>HYPERLINK("https://klasma.github.io/Logging_0880/klagomål/A 41136-2026 FSC-klagomål.docx", "A 41136-2026")</f>
        <v/>
      </c>
      <c r="AB310">
        <f>HYPERLINK("https://klasma.github.io/Logging_0880/klagomålsmail/A 41136-2026 FSC-klagomål mail.docx", "A 41136-2026")</f>
        <v/>
      </c>
      <c r="AC310">
        <f>HYPERLINK("https://klasma.github.io/Logging_0880/tillsyn/A 41136-2026 tillsynsbegäran.docx", "A 41136-2026")</f>
        <v/>
      </c>
      <c r="AD310">
        <f>HYPERLINK("https://klasma.github.io/Logging_0880/tillsynsmail/A 41136-2026 tillsynsbegäran mail.docx", "A 41136-2026")</f>
        <v/>
      </c>
      <c r="AE310">
        <f>HYPERLINK("https://klasma.github.io/Logging_0880/fåglar/A 41136-2026 prioriterade fågelarter.docx", "A 41136-2026")</f>
        <v/>
      </c>
    </row>
    <row r="311" ht="15" customHeight="1">
      <c r="A311" t="inlineStr">
        <is>
          <t>A 25776-2024</t>
        </is>
      </c>
      <c r="B311" t="inlineStr">
        <is>
          <t>avverkningsanmälan</t>
        </is>
      </c>
      <c r="C311" t="inlineStr">
        <is>
          <t>Föryngringsavverkning</t>
        </is>
      </c>
      <c r="D311" s="1" t="n">
        <v>45466</v>
      </c>
      <c r="E311" s="1" t="n">
        <v>46323</v>
      </c>
      <c r="F311" t="inlineStr">
        <is>
          <t>KALMAR LÄN</t>
        </is>
      </c>
      <c r="G311" t="inlineStr">
        <is>
          <t>HULTSFRED</t>
        </is>
      </c>
      <c r="I311" t="n">
        <v>0.7</v>
      </c>
      <c r="J311" t="n">
        <v>5</v>
      </c>
      <c r="K311" t="n">
        <v>0</v>
      </c>
      <c r="L311" t="n">
        <v>2</v>
      </c>
      <c r="M311" t="n">
        <v>0</v>
      </c>
      <c r="N311" t="n">
        <v>0</v>
      </c>
      <c r="O311" t="n">
        <v>0</v>
      </c>
      <c r="P311" t="n">
        <v>0</v>
      </c>
      <c r="Q311" t="n">
        <v>2</v>
      </c>
      <c r="R311" t="n">
        <v>0</v>
      </c>
      <c r="S311" t="n">
        <v>5</v>
      </c>
      <c r="T311" t="n">
        <v>8</v>
      </c>
      <c r="U311" t="n">
        <v>6</v>
      </c>
      <c r="V311" s="2" t="inlineStr">
        <is>
          <t>Gulsparv
Mindre hackspett
Spillkråka
Kungsfågel
Ärtsångare</t>
        </is>
      </c>
      <c r="W311">
        <f>HYPERLINK("https://klasma.github.io/Logging_0860/artfynd/A 25776-2024 artfynd.xlsx", "A 25776-2024")</f>
        <v/>
      </c>
      <c r="X311">
        <f>HYPERLINK("https://klasma.github.io/Logging_0860/kartor/A 25776-2024 karta.png", "A 25776-2024")</f>
        <v/>
      </c>
      <c r="Y311">
        <f>HYPERLINK("https://klasma.github.io/Logging_0860/kartor_geotiff/A 25776-2024 georefererad karta.tif", "A 25776-2024")</f>
        <v/>
      </c>
      <c r="AA311">
        <f>HYPERLINK("https://klasma.github.io/Logging_0860/klagomål/A 25776-2024 FSC-klagomål.docx", "A 25776-2024")</f>
        <v/>
      </c>
      <c r="AB311">
        <f>HYPERLINK("https://klasma.github.io/Logging_0860/klagomålsmail/A 25776-2024 FSC-klagomål mail.docx", "A 25776-2024")</f>
        <v/>
      </c>
      <c r="AC311">
        <f>HYPERLINK("https://klasma.github.io/Logging_0860/tillsyn/A 25776-2024 tillsynsbegäran.docx", "A 25776-2024")</f>
        <v/>
      </c>
      <c r="AD311">
        <f>HYPERLINK("https://klasma.github.io/Logging_0860/tillsynsmail/A 25776-2024 tillsynsbegäran mail.docx", "A 25776-2024")</f>
        <v/>
      </c>
      <c r="AE311">
        <f>HYPERLINK("https://klasma.github.io/Logging_0860/fåglar/A 25776-2024 prioriterade fågelarter.docx", "A 25776-2024")</f>
        <v/>
      </c>
    </row>
    <row r="312" ht="15" customHeight="1">
      <c r="A312" t="inlineStr">
        <is>
          <t>A 41931-2026</t>
        </is>
      </c>
      <c r="B312" t="inlineStr">
        <is>
          <t>avverkningsanmälan</t>
        </is>
      </c>
      <c r="C312" t="inlineStr">
        <is>
          <t>Föryngringsavverkning</t>
        </is>
      </c>
      <c r="D312" s="1" t="n">
        <v>46303</v>
      </c>
      <c r="E312" s="1" t="n">
        <v>46323</v>
      </c>
      <c r="F312" t="inlineStr">
        <is>
          <t>KALMAR LÄN</t>
        </is>
      </c>
      <c r="G312" t="inlineStr">
        <is>
          <t>VÄSTERVIK</t>
        </is>
      </c>
      <c r="H312" t="inlineStr">
        <is>
          <t>Sveaskog</t>
        </is>
      </c>
      <c r="I312" t="n">
        <v>5.3</v>
      </c>
      <c r="J312" t="n">
        <v>3</v>
      </c>
      <c r="K312" t="n">
        <v>0</v>
      </c>
      <c r="L312" t="n">
        <v>3</v>
      </c>
      <c r="M312" t="n">
        <v>0</v>
      </c>
      <c r="N312" t="n">
        <v>0</v>
      </c>
      <c r="O312" t="n">
        <v>0</v>
      </c>
      <c r="P312" t="n">
        <v>0</v>
      </c>
      <c r="Q312" t="n">
        <v>3</v>
      </c>
      <c r="R312" t="n">
        <v>0</v>
      </c>
      <c r="S312" t="n">
        <v>5</v>
      </c>
      <c r="T312" t="n">
        <v>11</v>
      </c>
      <c r="U312" t="n">
        <v>0</v>
      </c>
      <c r="V312" s="2" t="inlineStr">
        <is>
          <t>Ekticka
Motaggsvamp
Talltita
Spillkråka
Tjäder</t>
        </is>
      </c>
      <c r="W312">
        <f>HYPERLINK("https://klasma.github.io/Logging_0883/artfynd/A 41931-2026 artfynd.xlsx", "A 41931-2026")</f>
        <v/>
      </c>
      <c r="X312">
        <f>HYPERLINK("https://klasma.github.io/Logging_0883/kartor/A 41931-2026 karta.png", "A 41931-2026")</f>
        <v/>
      </c>
      <c r="Y312">
        <f>HYPERLINK("https://klasma.github.io/Logging_0883/kartor_geotiff/A 41931-2026 georefererad karta.tif", "A 41931-2026")</f>
        <v/>
      </c>
      <c r="AA312">
        <f>HYPERLINK("https://klasma.github.io/Logging_0883/klagomål/A 41931-2026 FSC-klagomål.docx", "A 41931-2026")</f>
        <v/>
      </c>
      <c r="AB312">
        <f>HYPERLINK("https://klasma.github.io/Logging_0883/klagomålsmail/A 41931-2026 FSC-klagomål mail.docx", "A 41931-2026")</f>
        <v/>
      </c>
      <c r="AC312">
        <f>HYPERLINK("https://klasma.github.io/Logging_0883/tillsyn/A 41931-2026 tillsynsbegäran.docx", "A 41931-2026")</f>
        <v/>
      </c>
      <c r="AD312">
        <f>HYPERLINK("https://klasma.github.io/Logging_0883/tillsynsmail/A 41931-2026 tillsynsbegäran mail.docx", "A 41931-2026")</f>
        <v/>
      </c>
      <c r="AE312">
        <f>HYPERLINK("https://klasma.github.io/Logging_0883/fåglar/A 41931-2026 prioriterade fågelarter.docx", "A 41931-2026")</f>
        <v/>
      </c>
    </row>
    <row r="313" ht="15" customHeight="1">
      <c r="A313" t="inlineStr">
        <is>
          <t>A 62412-2023</t>
        </is>
      </c>
      <c r="B313" t="inlineStr">
        <is>
          <t>avverkningsanmälan</t>
        </is>
      </c>
      <c r="C313" t="inlineStr">
        <is>
          <t>Föryngringsavverkning</t>
        </is>
      </c>
      <c r="D313" s="1" t="n">
        <v>45268</v>
      </c>
      <c r="E313" s="1" t="n">
        <v>46323</v>
      </c>
      <c r="F313" t="inlineStr">
        <is>
          <t>KALMAR LÄN</t>
        </is>
      </c>
      <c r="G313" t="inlineStr">
        <is>
          <t>HÖGSBY</t>
        </is>
      </c>
      <c r="I313" t="n">
        <v>7.7</v>
      </c>
      <c r="J313" t="n">
        <v>1</v>
      </c>
      <c r="K313" t="n">
        <v>3</v>
      </c>
      <c r="L313" t="n">
        <v>1</v>
      </c>
      <c r="M313" t="n">
        <v>0</v>
      </c>
      <c r="N313" t="n">
        <v>0</v>
      </c>
      <c r="O313" t="n">
        <v>0</v>
      </c>
      <c r="P313" t="n">
        <v>0</v>
      </c>
      <c r="Q313" t="n">
        <v>1</v>
      </c>
      <c r="R313" t="n">
        <v>0</v>
      </c>
      <c r="S313" t="n">
        <v>5</v>
      </c>
      <c r="T313" t="n">
        <v>6</v>
      </c>
      <c r="U313" t="n">
        <v>0</v>
      </c>
      <c r="V313" s="2" t="inlineStr">
        <is>
          <t>Vedtrappmossa
Bronshjon
Flagellkvastmossa
Vågbandad barkbock
Tjäder</t>
        </is>
      </c>
      <c r="W313">
        <f>HYPERLINK("https://klasma.github.io/Logging_0821/artfynd/A 62412-2023 artfynd.xlsx", "A 62412-2023")</f>
        <v/>
      </c>
      <c r="X313">
        <f>HYPERLINK("https://klasma.github.io/Logging_0821/kartor/A 62412-2023 karta.png", "A 62412-2023")</f>
        <v/>
      </c>
      <c r="Y313">
        <f>HYPERLINK("https://klasma.github.io/Logging_0821/kartor_geotiff/A 62412-2023 georefererad karta.tif", "A 62412-2023")</f>
        <v/>
      </c>
      <c r="AA313">
        <f>HYPERLINK("https://klasma.github.io/Logging_0821/klagomål/A 62412-2023 FSC-klagomål.docx", "A 62412-2023")</f>
        <v/>
      </c>
      <c r="AB313">
        <f>HYPERLINK("https://klasma.github.io/Logging_0821/klagomålsmail/A 62412-2023 FSC-klagomål mail.docx", "A 62412-2023")</f>
        <v/>
      </c>
      <c r="AC313">
        <f>HYPERLINK("https://klasma.github.io/Logging_0821/tillsyn/A 62412-2023 tillsynsbegäran.docx", "A 62412-2023")</f>
        <v/>
      </c>
      <c r="AD313">
        <f>HYPERLINK("https://klasma.github.io/Logging_0821/tillsynsmail/A 62412-2023 tillsynsbegäran mail.docx", "A 62412-2023")</f>
        <v/>
      </c>
      <c r="AE313">
        <f>HYPERLINK("https://klasma.github.io/Logging_0821/fåglar/A 62412-2023 prioriterade fågelarter.docx", "A 62412-2023")</f>
        <v/>
      </c>
    </row>
    <row r="314" ht="15" customHeight="1">
      <c r="A314" t="inlineStr">
        <is>
          <t>A 1023-2024</t>
        </is>
      </c>
      <c r="B314" t="inlineStr">
        <is>
          <t>avverkningsanmälan</t>
        </is>
      </c>
      <c r="C314" t="inlineStr">
        <is>
          <t>Föryngringsavverkning</t>
        </is>
      </c>
      <c r="D314" s="1" t="n">
        <v>45301</v>
      </c>
      <c r="E314" s="1" t="n">
        <v>46323</v>
      </c>
      <c r="F314" t="inlineStr">
        <is>
          <t>KALMAR LÄN</t>
        </is>
      </c>
      <c r="G314" t="inlineStr">
        <is>
          <t>VIMMERBY</t>
        </is>
      </c>
      <c r="I314" t="n">
        <v>4.4</v>
      </c>
      <c r="J314" t="n">
        <v>4</v>
      </c>
      <c r="K314" t="n">
        <v>0</v>
      </c>
      <c r="L314" t="n">
        <v>2</v>
      </c>
      <c r="M314" t="n">
        <v>1</v>
      </c>
      <c r="N314" t="n">
        <v>0</v>
      </c>
      <c r="O314" t="n">
        <v>0</v>
      </c>
      <c r="P314" t="n">
        <v>0</v>
      </c>
      <c r="Q314" t="n">
        <v>3</v>
      </c>
      <c r="R314" t="n">
        <v>1</v>
      </c>
      <c r="S314" t="n">
        <v>5</v>
      </c>
      <c r="T314" t="n">
        <v>17</v>
      </c>
      <c r="U314" t="n">
        <v>17</v>
      </c>
      <c r="V314" s="2" t="inlineStr">
        <is>
          <t>Knärot
Talltita
Ullticka
Spillkråka
Kungsfågel</t>
        </is>
      </c>
      <c r="W314">
        <f>HYPERLINK("https://klasma.github.io/Logging_0884/artfynd/A 1023-2024 artfynd.xlsx", "A 1023-2024")</f>
        <v/>
      </c>
      <c r="X314">
        <f>HYPERLINK("https://klasma.github.io/Logging_0884/kartor/A 1023-2024 karta.png", "A 1023-2024")</f>
        <v/>
      </c>
      <c r="Y314">
        <f>HYPERLINK("https://klasma.github.io/Logging_0884/kartor_geotiff/A 1023-2024 georefererad karta.tif", "A 1023-2024")</f>
        <v/>
      </c>
      <c r="Z314">
        <f>HYPERLINK("https://klasma.github.io/Logging_0884/knärot/A 1023-2024 karta knärot.png", "A 1023-2024")</f>
        <v/>
      </c>
      <c r="AA314">
        <f>HYPERLINK("https://klasma.github.io/Logging_0884/klagomål/A 1023-2024 FSC-klagomål.docx", "A 1023-2024")</f>
        <v/>
      </c>
      <c r="AB314">
        <f>HYPERLINK("https://klasma.github.io/Logging_0884/klagomålsmail/A 1023-2024 FSC-klagomål mail.docx", "A 1023-2024")</f>
        <v/>
      </c>
      <c r="AC314">
        <f>HYPERLINK("https://klasma.github.io/Logging_0884/tillsyn/A 1023-2024 tillsynsbegäran.docx", "A 1023-2024")</f>
        <v/>
      </c>
      <c r="AD314">
        <f>HYPERLINK("https://klasma.github.io/Logging_0884/tillsynsmail/A 1023-2024 tillsynsbegäran mail.docx", "A 1023-2024")</f>
        <v/>
      </c>
      <c r="AE314">
        <f>HYPERLINK("https://klasma.github.io/Logging_0884/fåglar/A 1023-2024 prioriterade fågelarter.docx", "A 1023-2024")</f>
        <v/>
      </c>
    </row>
    <row r="315" ht="15" customHeight="1">
      <c r="A315" t="inlineStr">
        <is>
          <t>A 42486-2026</t>
        </is>
      </c>
      <c r="B315" t="inlineStr">
        <is>
          <t>avverkningsanmälan</t>
        </is>
      </c>
      <c r="C315" t="inlineStr">
        <is>
          <t>Föryngringsavverkning</t>
        </is>
      </c>
      <c r="D315" s="1" t="n">
        <v>46308</v>
      </c>
      <c r="E315" s="1" t="n">
        <v>46323</v>
      </c>
      <c r="F315" t="inlineStr">
        <is>
          <t>KALMAR LÄN</t>
        </is>
      </c>
      <c r="G315" t="inlineStr">
        <is>
          <t>VÄSTERVIK</t>
        </is>
      </c>
      <c r="I315" t="n">
        <v>3.6</v>
      </c>
      <c r="J315" t="n">
        <v>1</v>
      </c>
      <c r="K315" t="n">
        <v>0</v>
      </c>
      <c r="L315" t="n">
        <v>3</v>
      </c>
      <c r="M315" t="n">
        <v>2</v>
      </c>
      <c r="N315" t="n">
        <v>0</v>
      </c>
      <c r="O315" t="n">
        <v>0</v>
      </c>
      <c r="P315" t="n">
        <v>0</v>
      </c>
      <c r="Q315" t="n">
        <v>5</v>
      </c>
      <c r="R315" t="n">
        <v>2</v>
      </c>
      <c r="S315" t="n">
        <v>5</v>
      </c>
      <c r="T315" t="n">
        <v>6</v>
      </c>
      <c r="U315" t="n">
        <v>0</v>
      </c>
      <c r="V315" s="2" t="inlineStr">
        <is>
          <t>Bredbrämad bastardsvärmare
Silverblåvinge
Apollofjäril
Klubbsprötad bastardsvärmare
Mindre tåtelsmygare</t>
        </is>
      </c>
      <c r="W315">
        <f>HYPERLINK("https://klasma.github.io/Logging_0883/artfynd/A 42486-2026 artfynd.xlsx", "A 42486-2026")</f>
        <v/>
      </c>
      <c r="X315">
        <f>HYPERLINK("https://klasma.github.io/Logging_0883/kartor/A 42486-2026 karta.png", "A 42486-2026")</f>
        <v/>
      </c>
      <c r="Y315">
        <f>HYPERLINK("https://klasma.github.io/Logging_0883/kartor_geotiff/A 42486-2026 georefererad karta.tif", "A 42486-2026")</f>
        <v/>
      </c>
      <c r="AA315">
        <f>HYPERLINK("https://klasma.github.io/Logging_0883/klagomål/A 42486-2026 FSC-klagomål.docx", "A 42486-2026")</f>
        <v/>
      </c>
      <c r="AB315">
        <f>HYPERLINK("https://klasma.github.io/Logging_0883/klagomålsmail/A 42486-2026 FSC-klagomål mail.docx", "A 42486-2026")</f>
        <v/>
      </c>
      <c r="AC315">
        <f>HYPERLINK("https://klasma.github.io/Logging_0883/tillsyn/A 42486-2026 tillsynsbegäran.docx", "A 42486-2026")</f>
        <v/>
      </c>
      <c r="AD315">
        <f>HYPERLINK("https://klasma.github.io/Logging_0883/tillsynsmail/A 42486-2026 tillsynsbegäran mail.docx", "A 42486-2026")</f>
        <v/>
      </c>
    </row>
    <row r="316" ht="15" customHeight="1">
      <c r="A316" t="inlineStr">
        <is>
          <t>A 12708-2025</t>
        </is>
      </c>
      <c r="B316" t="inlineStr">
        <is>
          <t>avverkningsanmälan</t>
        </is>
      </c>
      <c r="C316" t="inlineStr">
        <is>
          <t>Föryngringsavverkning</t>
        </is>
      </c>
      <c r="D316" s="1" t="n">
        <v>45733</v>
      </c>
      <c r="E316" s="1" t="n">
        <v>46323</v>
      </c>
      <c r="F316" t="inlineStr">
        <is>
          <t>KALMAR LÄN</t>
        </is>
      </c>
      <c r="G316" t="inlineStr">
        <is>
          <t>MÖNSTERÅS</t>
        </is>
      </c>
      <c r="I316" t="n">
        <v>4.4</v>
      </c>
      <c r="J316" t="n">
        <v>3</v>
      </c>
      <c r="K316" t="n">
        <v>2</v>
      </c>
      <c r="L316" t="n">
        <v>1</v>
      </c>
      <c r="M316" t="n">
        <v>1</v>
      </c>
      <c r="N316" t="n">
        <v>0</v>
      </c>
      <c r="O316" t="n">
        <v>0</v>
      </c>
      <c r="P316" t="n">
        <v>0</v>
      </c>
      <c r="Q316" t="n">
        <v>2</v>
      </c>
      <c r="R316" t="n">
        <v>1</v>
      </c>
      <c r="S316" t="n">
        <v>5</v>
      </c>
      <c r="T316" t="n">
        <v>40</v>
      </c>
      <c r="U316" t="n">
        <v>0</v>
      </c>
      <c r="V316" s="2" t="inlineStr">
        <is>
          <t>Knärot
Talltita
Blåmossa
Grönpyrola
Spillkråka</t>
        </is>
      </c>
      <c r="W316">
        <f>HYPERLINK("https://klasma.github.io/Logging_0861/artfynd/A 12708-2025 artfynd.xlsx", "A 12708-2025")</f>
        <v/>
      </c>
      <c r="X316">
        <f>HYPERLINK("https://klasma.github.io/Logging_0861/kartor/A 12708-2025 karta.png", "A 12708-2025")</f>
        <v/>
      </c>
      <c r="Y316">
        <f>HYPERLINK("https://klasma.github.io/Logging_0861/kartor_geotiff/A 12708-2025 georefererad karta.tif", "A 12708-2025")</f>
        <v/>
      </c>
      <c r="Z316">
        <f>HYPERLINK("https://klasma.github.io/Logging_0861/knärot/A 12708-2025 karta knärot.png", "A 12708-2025")</f>
        <v/>
      </c>
      <c r="AA316">
        <f>HYPERLINK("https://klasma.github.io/Logging_0861/klagomål/A 12708-2025 FSC-klagomål.docx", "A 12708-2025")</f>
        <v/>
      </c>
      <c r="AB316">
        <f>HYPERLINK("https://klasma.github.io/Logging_0861/klagomålsmail/A 12708-2025 FSC-klagomål mail.docx", "A 12708-2025")</f>
        <v/>
      </c>
      <c r="AC316">
        <f>HYPERLINK("https://klasma.github.io/Logging_0861/tillsyn/A 12708-2025 tillsynsbegäran.docx", "A 12708-2025")</f>
        <v/>
      </c>
      <c r="AD316">
        <f>HYPERLINK("https://klasma.github.io/Logging_0861/tillsynsmail/A 12708-2025 tillsynsbegäran mail.docx", "A 12708-2025")</f>
        <v/>
      </c>
      <c r="AE316">
        <f>HYPERLINK("https://klasma.github.io/Logging_0861/fåglar/A 12708-2025 prioriterade fågelarter.docx", "A 12708-2025")</f>
        <v/>
      </c>
    </row>
    <row r="317" ht="15" customHeight="1">
      <c r="A317" t="inlineStr">
        <is>
          <t>A 64870-2023</t>
        </is>
      </c>
      <c r="B317" t="inlineStr">
        <is>
          <t>avverkningsanmälan</t>
        </is>
      </c>
      <c r="C317" t="inlineStr">
        <is>
          <t>Föryngringsavverkning</t>
        </is>
      </c>
      <c r="D317" s="1" t="n">
        <v>45282</v>
      </c>
      <c r="E317" s="1" t="n">
        <v>46323</v>
      </c>
      <c r="F317" t="inlineStr">
        <is>
          <t>KALMAR LÄN</t>
        </is>
      </c>
      <c r="G317" t="inlineStr">
        <is>
          <t>MÖNSTERÅS</t>
        </is>
      </c>
      <c r="I317" t="n">
        <v>12.3</v>
      </c>
      <c r="J317" t="n">
        <v>3</v>
      </c>
      <c r="K317" t="n">
        <v>2</v>
      </c>
      <c r="L317" t="n">
        <v>1</v>
      </c>
      <c r="M317" t="n">
        <v>1</v>
      </c>
      <c r="N317" t="n">
        <v>0</v>
      </c>
      <c r="O317" t="n">
        <v>0</v>
      </c>
      <c r="P317" t="n">
        <v>0</v>
      </c>
      <c r="Q317" t="n">
        <v>2</v>
      </c>
      <c r="R317" t="n">
        <v>1</v>
      </c>
      <c r="S317" t="n">
        <v>5</v>
      </c>
      <c r="T317" t="n">
        <v>53</v>
      </c>
      <c r="U317" t="n">
        <v>6</v>
      </c>
      <c r="V317" s="2" t="inlineStr">
        <is>
          <t>Knärot
Talltita
Blåmossa
Grönpyrola
Spillkråka</t>
        </is>
      </c>
      <c r="W317">
        <f>HYPERLINK("https://klasma.github.io/Logging_0861/artfynd/A 64870-2023 artfynd.xlsx", "A 64870-2023")</f>
        <v/>
      </c>
      <c r="X317">
        <f>HYPERLINK("https://klasma.github.io/Logging_0861/kartor/A 64870-2023 karta.png", "A 64870-2023")</f>
        <v/>
      </c>
      <c r="Y317">
        <f>HYPERLINK("https://klasma.github.io/Logging_0861/kartor_geotiff/A 64870-2023 georefererad karta.tif", "A 64870-2023")</f>
        <v/>
      </c>
      <c r="Z317">
        <f>HYPERLINK("https://klasma.github.io/Logging_0861/knärot/A 64870-2023 karta knärot.png", "A 64870-2023")</f>
        <v/>
      </c>
      <c r="AA317">
        <f>HYPERLINK("https://klasma.github.io/Logging_0861/klagomål/A 64870-2023 FSC-klagomål.docx", "A 64870-2023")</f>
        <v/>
      </c>
      <c r="AB317">
        <f>HYPERLINK("https://klasma.github.io/Logging_0861/klagomålsmail/A 64870-2023 FSC-klagomål mail.docx", "A 64870-2023")</f>
        <v/>
      </c>
      <c r="AC317">
        <f>HYPERLINK("https://klasma.github.io/Logging_0861/tillsyn/A 64870-2023 tillsynsbegäran.docx", "A 64870-2023")</f>
        <v/>
      </c>
      <c r="AD317">
        <f>HYPERLINK("https://klasma.github.io/Logging_0861/tillsynsmail/A 64870-2023 tillsynsbegäran mail.docx", "A 64870-2023")</f>
        <v/>
      </c>
      <c r="AE317">
        <f>HYPERLINK("https://klasma.github.io/Logging_0861/fåglar/A 64870-2023 prioriterade fågelarter.docx", "A 64870-2023")</f>
        <v/>
      </c>
    </row>
    <row r="318" ht="15" customHeight="1">
      <c r="A318" t="inlineStr">
        <is>
          <t>A 12081-2024</t>
        </is>
      </c>
      <c r="B318" t="inlineStr">
        <is>
          <t>avverkningsanmälan</t>
        </is>
      </c>
      <c r="C318" t="inlineStr">
        <is>
          <t>Föryngringsavverkning</t>
        </is>
      </c>
      <c r="D318" s="1" t="n">
        <v>45377</v>
      </c>
      <c r="E318" s="1" t="n">
        <v>46323</v>
      </c>
      <c r="F318" t="inlineStr">
        <is>
          <t>KALMAR LÄN</t>
        </is>
      </c>
      <c r="G318" t="inlineStr">
        <is>
          <t>VIMMERBY</t>
        </is>
      </c>
      <c r="I318" t="n">
        <v>1.5</v>
      </c>
      <c r="J318" t="n">
        <v>1</v>
      </c>
      <c r="K318" t="n">
        <v>4</v>
      </c>
      <c r="L318" t="n">
        <v>1</v>
      </c>
      <c r="M318" t="n">
        <v>0</v>
      </c>
      <c r="N318" t="n">
        <v>0</v>
      </c>
      <c r="O318" t="n">
        <v>0</v>
      </c>
      <c r="P318" t="n">
        <v>0</v>
      </c>
      <c r="Q318" t="n">
        <v>1</v>
      </c>
      <c r="R318" t="n">
        <v>0</v>
      </c>
      <c r="S318" t="n">
        <v>5</v>
      </c>
      <c r="T318" t="n">
        <v>10</v>
      </c>
      <c r="U318" t="n">
        <v>5</v>
      </c>
      <c r="V318" s="2" t="inlineStr">
        <is>
          <t>Gullklöver
Dvärghäxört
Springkorn
Tibast
Tvåblad</t>
        </is>
      </c>
      <c r="W318">
        <f>HYPERLINK("https://klasma.github.io/Logging_0884/artfynd/A 12081-2024 artfynd.xlsx", "A 12081-2024")</f>
        <v/>
      </c>
      <c r="X318">
        <f>HYPERLINK("https://klasma.github.io/Logging_0884/kartor/A 12081-2024 karta.png", "A 12081-2024")</f>
        <v/>
      </c>
      <c r="Y318">
        <f>HYPERLINK("https://klasma.github.io/Logging_0884/kartor_geotiff/A 12081-2024 georefererad karta.tif", "A 12081-2024")</f>
        <v/>
      </c>
      <c r="AA318">
        <f>HYPERLINK("https://klasma.github.io/Logging_0884/klagomål/A 12081-2024 FSC-klagomål.docx", "A 12081-2024")</f>
        <v/>
      </c>
      <c r="AB318">
        <f>HYPERLINK("https://klasma.github.io/Logging_0884/klagomålsmail/A 12081-2024 FSC-klagomål mail.docx", "A 12081-2024")</f>
        <v/>
      </c>
      <c r="AC318">
        <f>HYPERLINK("https://klasma.github.io/Logging_0884/tillsyn/A 12081-2024 tillsynsbegäran.docx", "A 12081-2024")</f>
        <v/>
      </c>
      <c r="AD318">
        <f>HYPERLINK("https://klasma.github.io/Logging_0884/tillsynsmail/A 12081-2024 tillsynsbegäran mail.docx", "A 12081-2024")</f>
        <v/>
      </c>
    </row>
    <row r="319" ht="15" customHeight="1">
      <c r="A319" t="inlineStr">
        <is>
          <t>A 7410-2024</t>
        </is>
      </c>
      <c r="B319" t="inlineStr">
        <is>
          <t>avverkningsanmälan</t>
        </is>
      </c>
      <c r="C319" t="inlineStr">
        <is>
          <t>Föryngringsavverkning</t>
        </is>
      </c>
      <c r="D319" s="1" t="n">
        <v>45345</v>
      </c>
      <c r="E319" s="1" t="n">
        <v>46323</v>
      </c>
      <c r="F319" t="inlineStr">
        <is>
          <t>KALMAR LÄN</t>
        </is>
      </c>
      <c r="G319" t="inlineStr">
        <is>
          <t>HÖGSBY</t>
        </is>
      </c>
      <c r="I319" t="n">
        <v>2.7</v>
      </c>
      <c r="J319" t="n">
        <v>5</v>
      </c>
      <c r="K319" t="n">
        <v>0</v>
      </c>
      <c r="L319" t="n">
        <v>1</v>
      </c>
      <c r="M319" t="n">
        <v>1</v>
      </c>
      <c r="N319" t="n">
        <v>0</v>
      </c>
      <c r="O319" t="n">
        <v>0</v>
      </c>
      <c r="P319" t="n">
        <v>0</v>
      </c>
      <c r="Q319" t="n">
        <v>2</v>
      </c>
      <c r="R319" t="n">
        <v>1</v>
      </c>
      <c r="S319" t="n">
        <v>5</v>
      </c>
      <c r="T319" t="n">
        <v>16</v>
      </c>
      <c r="U319" t="n">
        <v>0</v>
      </c>
      <c r="V319" s="2" t="inlineStr">
        <is>
          <t>Knärot
Talltita
Blåsippa
Mattlummer
Tjäder</t>
        </is>
      </c>
      <c r="W319">
        <f>HYPERLINK("https://klasma.github.io/Logging_0821/artfynd/A 7410-2024 artfynd.xlsx", "A 7410-2024")</f>
        <v/>
      </c>
      <c r="X319">
        <f>HYPERLINK("https://klasma.github.io/Logging_0821/kartor/A 7410-2024 karta.png", "A 7410-2024")</f>
        <v/>
      </c>
      <c r="Y319">
        <f>HYPERLINK("https://klasma.github.io/Logging_0821/kartor_geotiff/A 7410-2024 georefererad karta.tif", "A 7410-2024")</f>
        <v/>
      </c>
      <c r="Z319">
        <f>HYPERLINK("https://klasma.github.io/Logging_0821/knärot/A 7410-2024 karta knärot.png", "A 7410-2024")</f>
        <v/>
      </c>
      <c r="AA319">
        <f>HYPERLINK("https://klasma.github.io/Logging_0821/klagomål/A 7410-2024 FSC-klagomål.docx", "A 7410-2024")</f>
        <v/>
      </c>
      <c r="AB319">
        <f>HYPERLINK("https://klasma.github.io/Logging_0821/klagomålsmail/A 7410-2024 FSC-klagomål mail.docx", "A 7410-2024")</f>
        <v/>
      </c>
      <c r="AC319">
        <f>HYPERLINK("https://klasma.github.io/Logging_0821/tillsyn/A 7410-2024 tillsynsbegäran.docx", "A 7410-2024")</f>
        <v/>
      </c>
      <c r="AD319">
        <f>HYPERLINK("https://klasma.github.io/Logging_0821/tillsynsmail/A 7410-2024 tillsynsbegäran mail.docx", "A 7410-2024")</f>
        <v/>
      </c>
      <c r="AE319">
        <f>HYPERLINK("https://klasma.github.io/Logging_0821/fåglar/A 7410-2024 prioriterade fågelarter.docx", "A 7410-2024")</f>
        <v/>
      </c>
    </row>
    <row r="320" ht="15" customHeight="1">
      <c r="A320" t="inlineStr">
        <is>
          <t>A 42992-2026</t>
        </is>
      </c>
      <c r="B320" t="inlineStr">
        <is>
          <t>avverkningsanmälan</t>
        </is>
      </c>
      <c r="C320" t="inlineStr">
        <is>
          <t>Föryngringsavverkning</t>
        </is>
      </c>
      <c r="D320" s="1" t="n">
        <v>46310</v>
      </c>
      <c r="E320" s="1" t="n">
        <v>46323</v>
      </c>
      <c r="F320" t="inlineStr">
        <is>
          <t>KALMAR LÄN</t>
        </is>
      </c>
      <c r="G320" t="inlineStr">
        <is>
          <t>VIMMERBY</t>
        </is>
      </c>
      <c r="I320" t="n">
        <v>3.8</v>
      </c>
      <c r="J320" t="n">
        <v>3</v>
      </c>
      <c r="K320" t="n">
        <v>3</v>
      </c>
      <c r="L320" t="n">
        <v>0</v>
      </c>
      <c r="M320" t="n">
        <v>0</v>
      </c>
      <c r="N320" t="n">
        <v>0</v>
      </c>
      <c r="O320" t="n">
        <v>0</v>
      </c>
      <c r="P320" t="n">
        <v>0</v>
      </c>
      <c r="Q320" t="n">
        <v>0</v>
      </c>
      <c r="R320" t="n">
        <v>0</v>
      </c>
      <c r="S320" t="n">
        <v>5</v>
      </c>
      <c r="T320" t="n">
        <v>5</v>
      </c>
      <c r="U320" t="n">
        <v>0</v>
      </c>
      <c r="V320" s="2" t="inlineStr">
        <is>
          <t>Blåmossa
Fällmossa
Nästrot
Blåsippa
Skogsödla</t>
        </is>
      </c>
      <c r="W320">
        <f>HYPERLINK("https://klasma.github.io/Logging_0884/artfynd/A 42992-2026 artfynd.xlsx", "A 42992-2026")</f>
        <v/>
      </c>
      <c r="X320">
        <f>HYPERLINK("https://klasma.github.io/Logging_0884/kartor/A 42992-2026 karta.png", "A 42992-2026")</f>
        <v/>
      </c>
      <c r="Y320">
        <f>HYPERLINK("https://klasma.github.io/Logging_0884/kartor_geotiff/A 42992-2026 georefererad karta.tif", "A 42992-2026")</f>
        <v/>
      </c>
      <c r="AA320">
        <f>HYPERLINK("https://klasma.github.io/Logging_0884/klagomål/A 42992-2026 FSC-klagomål.docx", "A 42992-2026")</f>
        <v/>
      </c>
      <c r="AB320">
        <f>HYPERLINK("https://klasma.github.io/Logging_0884/klagomålsmail/A 42992-2026 FSC-klagomål mail.docx", "A 42992-2026")</f>
        <v/>
      </c>
      <c r="AC320">
        <f>HYPERLINK("https://klasma.github.io/Logging_0884/tillsyn/A 42992-2026 tillsynsbegäran.docx", "A 42992-2026")</f>
        <v/>
      </c>
      <c r="AD320">
        <f>HYPERLINK("https://klasma.github.io/Logging_0884/tillsynsmail/A 42992-2026 tillsynsbegäran mail.docx", "A 42992-2026")</f>
        <v/>
      </c>
    </row>
    <row r="321" ht="15" customHeight="1">
      <c r="A321" t="inlineStr">
        <is>
          <t>A 31060-2024</t>
        </is>
      </c>
      <c r="B321" t="inlineStr">
        <is>
          <t>avverkningsanmälan</t>
        </is>
      </c>
      <c r="C321" t="inlineStr">
        <is>
          <t>Föryngringsavverkning</t>
        </is>
      </c>
      <c r="D321" s="1" t="n">
        <v>45502</v>
      </c>
      <c r="E321" s="1" t="n">
        <v>46323</v>
      </c>
      <c r="F321" t="inlineStr">
        <is>
          <t>KALMAR LÄN</t>
        </is>
      </c>
      <c r="G321" t="inlineStr">
        <is>
          <t>VÄSTERVIK</t>
        </is>
      </c>
      <c r="H321" t="inlineStr">
        <is>
          <t>Holmen skog AB</t>
        </is>
      </c>
      <c r="I321" t="n">
        <v>2.8</v>
      </c>
      <c r="J321" t="n">
        <v>3</v>
      </c>
      <c r="K321" t="n">
        <v>1</v>
      </c>
      <c r="L321" t="n">
        <v>2</v>
      </c>
      <c r="M321" t="n">
        <v>1</v>
      </c>
      <c r="N321" t="n">
        <v>0</v>
      </c>
      <c r="O321" t="n">
        <v>0</v>
      </c>
      <c r="P321" t="n">
        <v>0</v>
      </c>
      <c r="Q321" t="n">
        <v>3</v>
      </c>
      <c r="R321" t="n">
        <v>1</v>
      </c>
      <c r="S321" t="n">
        <v>5</v>
      </c>
      <c r="T321" t="n">
        <v>7</v>
      </c>
      <c r="U321" t="n">
        <v>7</v>
      </c>
      <c r="V321" s="2" t="inlineStr">
        <is>
          <t>Knärot
Tallticka
Talltita
Blåmossa
Spillkråka</t>
        </is>
      </c>
      <c r="W321">
        <f>HYPERLINK("https://klasma.github.io/Logging_0883/artfynd/A 31060-2024 artfynd.xlsx", "A 31060-2024")</f>
        <v/>
      </c>
      <c r="X321">
        <f>HYPERLINK("https://klasma.github.io/Logging_0883/kartor/A 31060-2024 karta.png", "A 31060-2024")</f>
        <v/>
      </c>
      <c r="Y321">
        <f>HYPERLINK("https://klasma.github.io/Logging_0883/kartor_geotiff/A 31060-2024 georefererad karta.tif", "A 31060-2024")</f>
        <v/>
      </c>
      <c r="Z321">
        <f>HYPERLINK("https://klasma.github.io/Logging_0883/knärot/A 31060-2024 karta knärot.png", "A 31060-2024")</f>
        <v/>
      </c>
      <c r="AA321">
        <f>HYPERLINK("https://klasma.github.io/Logging_0883/klagomål/A 31060-2024 FSC-klagomål.docx", "A 31060-2024")</f>
        <v/>
      </c>
      <c r="AB321">
        <f>HYPERLINK("https://klasma.github.io/Logging_0883/klagomålsmail/A 31060-2024 FSC-klagomål mail.docx", "A 31060-2024")</f>
        <v/>
      </c>
      <c r="AC321">
        <f>HYPERLINK("https://klasma.github.io/Logging_0883/tillsyn/A 31060-2024 tillsynsbegäran.docx", "A 31060-2024")</f>
        <v/>
      </c>
      <c r="AD321">
        <f>HYPERLINK("https://klasma.github.io/Logging_0883/tillsynsmail/A 31060-2024 tillsynsbegäran mail.docx", "A 31060-2024")</f>
        <v/>
      </c>
      <c r="AE321">
        <f>HYPERLINK("https://klasma.github.io/Logging_0883/fåglar/A 31060-2024 prioriterade fågelarter.docx", "A 31060-2024")</f>
        <v/>
      </c>
    </row>
    <row r="322" ht="15" customHeight="1">
      <c r="A322" t="inlineStr">
        <is>
          <t>A 51488-2024</t>
        </is>
      </c>
      <c r="B322" t="inlineStr">
        <is>
          <t>avverkningsanmälan</t>
        </is>
      </c>
      <c r="C322" t="inlineStr">
        <is>
          <t>Föryngringsavverkning</t>
        </is>
      </c>
      <c r="D322" s="1" t="n">
        <v>45604</v>
      </c>
      <c r="E322" s="1" t="n">
        <v>46323</v>
      </c>
      <c r="F322" t="inlineStr">
        <is>
          <t>KALMAR LÄN</t>
        </is>
      </c>
      <c r="G322" t="inlineStr">
        <is>
          <t>VÄSTERVIK</t>
        </is>
      </c>
      <c r="H322" t="inlineStr">
        <is>
          <t>Övriga Aktiebolag</t>
        </is>
      </c>
      <c r="I322" t="n">
        <v>2.9</v>
      </c>
      <c r="J322" t="n">
        <v>1</v>
      </c>
      <c r="K322" t="n">
        <v>2</v>
      </c>
      <c r="L322" t="n">
        <v>3</v>
      </c>
      <c r="M322" t="n">
        <v>0</v>
      </c>
      <c r="N322" t="n">
        <v>0</v>
      </c>
      <c r="O322" t="n">
        <v>0</v>
      </c>
      <c r="P322" t="n">
        <v>0</v>
      </c>
      <c r="Q322" t="n">
        <v>3</v>
      </c>
      <c r="R322" t="n">
        <v>0</v>
      </c>
      <c r="S322" t="n">
        <v>5</v>
      </c>
      <c r="T322" t="n">
        <v>7</v>
      </c>
      <c r="U322" t="n">
        <v>3</v>
      </c>
      <c r="V322" s="2" t="inlineStr">
        <is>
          <t>Entita
Gullpudra
Tallticka
Murgröna
Praktscharlakansskål</t>
        </is>
      </c>
      <c r="W322">
        <f>HYPERLINK("https://klasma.github.io/Logging_0883/artfynd/A 51488-2024 artfynd.xlsx", "A 51488-2024")</f>
        <v/>
      </c>
      <c r="X322">
        <f>HYPERLINK("https://klasma.github.io/Logging_0883/kartor/A 51488-2024 karta.png", "A 51488-2024")</f>
        <v/>
      </c>
      <c r="Y322">
        <f>HYPERLINK("https://klasma.github.io/Logging_0883/kartor_geotiff/A 51488-2024 georefererad karta.tif", "A 51488-2024")</f>
        <v/>
      </c>
      <c r="AA322">
        <f>HYPERLINK("https://klasma.github.io/Logging_0883/klagomål/A 51488-2024 FSC-klagomål.docx", "A 51488-2024")</f>
        <v/>
      </c>
      <c r="AB322">
        <f>HYPERLINK("https://klasma.github.io/Logging_0883/klagomålsmail/A 51488-2024 FSC-klagomål mail.docx", "A 51488-2024")</f>
        <v/>
      </c>
      <c r="AC322">
        <f>HYPERLINK("https://klasma.github.io/Logging_0883/tillsyn/A 51488-2024 tillsynsbegäran.docx", "A 51488-2024")</f>
        <v/>
      </c>
      <c r="AD322">
        <f>HYPERLINK("https://klasma.github.io/Logging_0883/tillsynsmail/A 51488-2024 tillsynsbegäran mail.docx", "A 51488-2024")</f>
        <v/>
      </c>
      <c r="AE322">
        <f>HYPERLINK("https://klasma.github.io/Logging_0883/fåglar/A 51488-2024 prioriterade fågelarter.docx", "A 51488-2024")</f>
        <v/>
      </c>
    </row>
    <row r="323" ht="15" customHeight="1">
      <c r="A323" t="inlineStr">
        <is>
          <t>A 41903-2026</t>
        </is>
      </c>
      <c r="B323" t="inlineStr">
        <is>
          <t>avverkningsanmälan</t>
        </is>
      </c>
      <c r="C323" t="inlineStr">
        <is>
          <t>Föryngringsavverkning</t>
        </is>
      </c>
      <c r="D323" s="1" t="n">
        <v>46303</v>
      </c>
      <c r="E323" s="1" t="n">
        <v>46323</v>
      </c>
      <c r="F323" t="inlineStr">
        <is>
          <t>KALMAR LÄN</t>
        </is>
      </c>
      <c r="G323" t="inlineStr">
        <is>
          <t>KALMAR</t>
        </is>
      </c>
      <c r="I323" t="n">
        <v>1.6</v>
      </c>
      <c r="J323" t="n">
        <v>1</v>
      </c>
      <c r="K323" t="n">
        <v>3</v>
      </c>
      <c r="L323" t="n">
        <v>1</v>
      </c>
      <c r="M323" t="n">
        <v>0</v>
      </c>
      <c r="N323" t="n">
        <v>0</v>
      </c>
      <c r="O323" t="n">
        <v>0</v>
      </c>
      <c r="P323" t="n">
        <v>0</v>
      </c>
      <c r="Q323" t="n">
        <v>1</v>
      </c>
      <c r="R323" t="n">
        <v>0</v>
      </c>
      <c r="S323" t="n">
        <v>5</v>
      </c>
      <c r="T323" t="n">
        <v>5</v>
      </c>
      <c r="U323" t="n">
        <v>0</v>
      </c>
      <c r="V323" s="2" t="inlineStr">
        <is>
          <t>Tallticka
Barkticka
Fällmossa
Rävticka
Blåsippa</t>
        </is>
      </c>
      <c r="W323">
        <f>HYPERLINK("https://klasma.github.io/Logging_0880/artfynd/A 41903-2026 artfynd.xlsx", "A 41903-2026")</f>
        <v/>
      </c>
      <c r="X323">
        <f>HYPERLINK("https://klasma.github.io/Logging_0880/kartor/A 41903-2026 karta.png", "A 41903-2026")</f>
        <v/>
      </c>
      <c r="Y323">
        <f>HYPERLINK("https://klasma.github.io/Logging_0880/kartor_geotiff/A 41903-2026 georefererad karta.tif", "A 41903-2026")</f>
        <v/>
      </c>
      <c r="AA323">
        <f>HYPERLINK("https://klasma.github.io/Logging_0880/klagomål/A 41903-2026 FSC-klagomål.docx", "A 41903-2026")</f>
        <v/>
      </c>
      <c r="AB323">
        <f>HYPERLINK("https://klasma.github.io/Logging_0880/klagomålsmail/A 41903-2026 FSC-klagomål mail.docx", "A 41903-2026")</f>
        <v/>
      </c>
      <c r="AC323">
        <f>HYPERLINK("https://klasma.github.io/Logging_0880/tillsyn/A 41903-2026 tillsynsbegäran.docx", "A 41903-2026")</f>
        <v/>
      </c>
      <c r="AD323">
        <f>HYPERLINK("https://klasma.github.io/Logging_0880/tillsynsmail/A 41903-2026 tillsynsbegäran mail.docx", "A 41903-2026")</f>
        <v/>
      </c>
    </row>
    <row r="324" ht="15" customHeight="1">
      <c r="A324" t="inlineStr">
        <is>
          <t>A 12199-2026</t>
        </is>
      </c>
      <c r="B324" t="inlineStr">
        <is>
          <t>avverkningsanmälan</t>
        </is>
      </c>
      <c r="C324" t="inlineStr">
        <is>
          <t>Föryngringsavverkning</t>
        </is>
      </c>
      <c r="D324" s="1" t="n">
        <v>46086</v>
      </c>
      <c r="E324" s="1" t="n">
        <v>46323</v>
      </c>
      <c r="F324" t="inlineStr">
        <is>
          <t>KALMAR LÄN</t>
        </is>
      </c>
      <c r="G324" t="inlineStr">
        <is>
          <t>VÄSTERVIK</t>
        </is>
      </c>
      <c r="H324" t="inlineStr">
        <is>
          <t>Övriga Aktiebolag</t>
        </is>
      </c>
      <c r="I324" t="n">
        <v>6.2</v>
      </c>
      <c r="J324" t="n">
        <v>5</v>
      </c>
      <c r="K324" t="n">
        <v>0</v>
      </c>
      <c r="L324" t="n">
        <v>3</v>
      </c>
      <c r="M324" t="n">
        <v>0</v>
      </c>
      <c r="N324" t="n">
        <v>0</v>
      </c>
      <c r="O324" t="n">
        <v>0</v>
      </c>
      <c r="P324" t="n">
        <v>0</v>
      </c>
      <c r="Q324" t="n">
        <v>3</v>
      </c>
      <c r="R324" t="n">
        <v>0</v>
      </c>
      <c r="S324" t="n">
        <v>5</v>
      </c>
      <c r="T324" t="n">
        <v>5</v>
      </c>
      <c r="U324" t="n">
        <v>1</v>
      </c>
      <c r="V324" s="2" t="inlineStr">
        <is>
          <t>Barbastell
Brunlångöra
Nordfladdermus
Tjäder
Större brunfladdermus</t>
        </is>
      </c>
      <c r="W324">
        <f>HYPERLINK("https://klasma.github.io/Logging_0883/artfynd/A 12199-2026 artfynd.xlsx", "A 12199-2026")</f>
        <v/>
      </c>
      <c r="X324">
        <f>HYPERLINK("https://klasma.github.io/Logging_0883/kartor/A 12199-2026 karta.png", "A 12199-2026")</f>
        <v/>
      </c>
      <c r="Y324">
        <f>HYPERLINK("https://klasma.github.io/Logging_0883/kartor_geotiff/A 12199-2026 georefererad karta.tif", "A 12199-2026")</f>
        <v/>
      </c>
      <c r="AA324">
        <f>HYPERLINK("https://klasma.github.io/Logging_0883/klagomål/A 12199-2026 FSC-klagomål.docx", "A 12199-2026")</f>
        <v/>
      </c>
      <c r="AB324">
        <f>HYPERLINK("https://klasma.github.io/Logging_0883/klagomålsmail/A 12199-2026 FSC-klagomål mail.docx", "A 12199-2026")</f>
        <v/>
      </c>
      <c r="AC324">
        <f>HYPERLINK("https://klasma.github.io/Logging_0883/tillsyn/A 12199-2026 tillsynsbegäran.docx", "A 12199-2026")</f>
        <v/>
      </c>
      <c r="AD324">
        <f>HYPERLINK("https://klasma.github.io/Logging_0883/tillsynsmail/A 12199-2026 tillsynsbegäran mail.docx", "A 12199-2026")</f>
        <v/>
      </c>
      <c r="AE324">
        <f>HYPERLINK("https://klasma.github.io/Logging_0883/fåglar/A 12199-2026 prioriterade fågelarter.docx", "A 12199-2026")</f>
        <v/>
      </c>
    </row>
    <row r="325" ht="15" customHeight="1">
      <c r="A325" t="inlineStr">
        <is>
          <t>A 20160-2026</t>
        </is>
      </c>
      <c r="B325" t="inlineStr">
        <is>
          <t>avverkningsanmälan</t>
        </is>
      </c>
      <c r="C325" t="inlineStr">
        <is>
          <t>Föryngringsavverkning</t>
        </is>
      </c>
      <c r="D325" s="1" t="n">
        <v>46138</v>
      </c>
      <c r="E325" s="1" t="n">
        <v>46323</v>
      </c>
      <c r="F325" t="inlineStr">
        <is>
          <t>KALMAR LÄN</t>
        </is>
      </c>
      <c r="G325" t="inlineStr">
        <is>
          <t>MÖNSTERÅS</t>
        </is>
      </c>
      <c r="I325" t="n">
        <v>14</v>
      </c>
      <c r="J325" t="n">
        <v>3</v>
      </c>
      <c r="K325" t="n">
        <v>1</v>
      </c>
      <c r="L325" t="n">
        <v>2</v>
      </c>
      <c r="M325" t="n">
        <v>0</v>
      </c>
      <c r="N325" t="n">
        <v>0</v>
      </c>
      <c r="O325" t="n">
        <v>0</v>
      </c>
      <c r="P325" t="n">
        <v>0</v>
      </c>
      <c r="Q325" t="n">
        <v>2</v>
      </c>
      <c r="R325" t="n">
        <v>0</v>
      </c>
      <c r="S325" t="n">
        <v>5</v>
      </c>
      <c r="T325" t="n">
        <v>9</v>
      </c>
      <c r="U325" t="n">
        <v>9</v>
      </c>
      <c r="V325" s="2" t="inlineStr">
        <is>
          <t>Drillsnäppa
Vedskivlav
Blåmossa
Spillkråka
Skogsödla</t>
        </is>
      </c>
      <c r="W325">
        <f>HYPERLINK("https://klasma.github.io/Logging_0861/artfynd/A 20160-2026 artfynd.xlsx", "A 20160-2026")</f>
        <v/>
      </c>
      <c r="X325">
        <f>HYPERLINK("https://klasma.github.io/Logging_0861/kartor/A 20160-2026 karta.png", "A 20160-2026")</f>
        <v/>
      </c>
      <c r="Y325">
        <f>HYPERLINK("https://klasma.github.io/Logging_0861/kartor_geotiff/A 20160-2026 georefererad karta.tif", "A 20160-2026")</f>
        <v/>
      </c>
      <c r="AA325">
        <f>HYPERLINK("https://klasma.github.io/Logging_0861/klagomål/A 20160-2026 FSC-klagomål.docx", "A 20160-2026")</f>
        <v/>
      </c>
      <c r="AB325">
        <f>HYPERLINK("https://klasma.github.io/Logging_0861/klagomålsmail/A 20160-2026 FSC-klagomål mail.docx", "A 20160-2026")</f>
        <v/>
      </c>
      <c r="AC325">
        <f>HYPERLINK("https://klasma.github.io/Logging_0861/tillsyn/A 20160-2026 tillsynsbegäran.docx", "A 20160-2026")</f>
        <v/>
      </c>
      <c r="AD325">
        <f>HYPERLINK("https://klasma.github.io/Logging_0861/tillsynsmail/A 20160-2026 tillsynsbegäran mail.docx", "A 20160-2026")</f>
        <v/>
      </c>
      <c r="AE325">
        <f>HYPERLINK("https://klasma.github.io/Logging_0861/fåglar/A 20160-2026 prioriterade fågelarter.docx", "A 20160-2026")</f>
        <v/>
      </c>
    </row>
    <row r="326" ht="15" customHeight="1">
      <c r="A326" t="inlineStr">
        <is>
          <t>A 37887-2026</t>
        </is>
      </c>
      <c r="B326" t="inlineStr">
        <is>
          <t>avverkningsanmälan</t>
        </is>
      </c>
      <c r="C326" t="inlineStr">
        <is>
          <t>Föryngringsavverkning</t>
        </is>
      </c>
      <c r="D326" s="1" t="n">
        <v>46279</v>
      </c>
      <c r="E326" s="1" t="n">
        <v>46323</v>
      </c>
      <c r="F326" t="inlineStr">
        <is>
          <t>KALMAR LÄN</t>
        </is>
      </c>
      <c r="G326" t="inlineStr">
        <is>
          <t>VÄSTERVIK</t>
        </is>
      </c>
      <c r="I326" t="n">
        <v>2.6</v>
      </c>
      <c r="J326" t="n">
        <v>3</v>
      </c>
      <c r="K326" t="n">
        <v>1</v>
      </c>
      <c r="L326" t="n">
        <v>2</v>
      </c>
      <c r="M326" t="n">
        <v>1</v>
      </c>
      <c r="N326" t="n">
        <v>0</v>
      </c>
      <c r="O326" t="n">
        <v>0</v>
      </c>
      <c r="P326" t="n">
        <v>0</v>
      </c>
      <c r="Q326" t="n">
        <v>3</v>
      </c>
      <c r="R326" t="n">
        <v>1</v>
      </c>
      <c r="S326" t="n">
        <v>5</v>
      </c>
      <c r="T326" t="n">
        <v>5</v>
      </c>
      <c r="U326" t="n">
        <v>5</v>
      </c>
      <c r="V326" s="2" t="inlineStr">
        <is>
          <t>Knärot
Talltita
Ullticka
Blåmossa
Tofsmes</t>
        </is>
      </c>
      <c r="W326">
        <f>HYPERLINK("https://klasma.github.io/Logging_0883/artfynd/A 37887-2026 artfynd.xlsx", "A 37887-2026")</f>
        <v/>
      </c>
      <c r="X326">
        <f>HYPERLINK("https://klasma.github.io/Logging_0883/kartor/A 37887-2026 karta.png", "A 37887-2026")</f>
        <v/>
      </c>
      <c r="Y326">
        <f>HYPERLINK("https://klasma.github.io/Logging_0883/kartor_geotiff/A 37887-2026 georefererad karta.tif", "A 37887-2026")</f>
        <v/>
      </c>
      <c r="Z326">
        <f>HYPERLINK("https://klasma.github.io/Logging_0883/knärot/A 37887-2026 karta knärot.png", "A 37887-2026")</f>
        <v/>
      </c>
      <c r="AA326">
        <f>HYPERLINK("https://klasma.github.io/Logging_0883/klagomål/A 37887-2026 FSC-klagomål.docx", "A 37887-2026")</f>
        <v/>
      </c>
      <c r="AB326">
        <f>HYPERLINK("https://klasma.github.io/Logging_0883/klagomålsmail/A 37887-2026 FSC-klagomål mail.docx", "A 37887-2026")</f>
        <v/>
      </c>
      <c r="AC326">
        <f>HYPERLINK("https://klasma.github.io/Logging_0883/tillsyn/A 37887-2026 tillsynsbegäran.docx", "A 37887-2026")</f>
        <v/>
      </c>
      <c r="AD326">
        <f>HYPERLINK("https://klasma.github.io/Logging_0883/tillsynsmail/A 37887-2026 tillsynsbegäran mail.docx", "A 37887-2026")</f>
        <v/>
      </c>
      <c r="AE326">
        <f>HYPERLINK("https://klasma.github.io/Logging_0883/fåglar/A 37887-2026 prioriterade fågelarter.docx", "A 37887-2026")</f>
        <v/>
      </c>
    </row>
    <row r="327" ht="15" customHeight="1">
      <c r="A327" t="inlineStr">
        <is>
          <t>A 22081-2026</t>
        </is>
      </c>
      <c r="B327" t="inlineStr">
        <is>
          <t>avverkningsanmälan</t>
        </is>
      </c>
      <c r="C327" t="inlineStr">
        <is>
          <t>Föryngringsavverkning</t>
        </is>
      </c>
      <c r="D327" s="1" t="n">
        <v>46153</v>
      </c>
      <c r="E327" s="1" t="n">
        <v>46323</v>
      </c>
      <c r="F327" t="inlineStr">
        <is>
          <t>KALMAR LÄN</t>
        </is>
      </c>
      <c r="G327" t="inlineStr">
        <is>
          <t>NYBRO</t>
        </is>
      </c>
      <c r="H327" t="inlineStr">
        <is>
          <t>Sveaskog</t>
        </is>
      </c>
      <c r="I327" t="n">
        <v>0.9</v>
      </c>
      <c r="J327" t="n">
        <v>5</v>
      </c>
      <c r="K327" t="n">
        <v>0</v>
      </c>
      <c r="L327" t="n">
        <v>3</v>
      </c>
      <c r="M327" t="n">
        <v>0</v>
      </c>
      <c r="N327" t="n">
        <v>0</v>
      </c>
      <c r="O327" t="n">
        <v>0</v>
      </c>
      <c r="P327" t="n">
        <v>0</v>
      </c>
      <c r="Q327" t="n">
        <v>3</v>
      </c>
      <c r="R327" t="n">
        <v>0</v>
      </c>
      <c r="S327" t="n">
        <v>5</v>
      </c>
      <c r="T327" t="n">
        <v>5</v>
      </c>
      <c r="U327" t="n">
        <v>0</v>
      </c>
      <c r="V327" s="2" t="inlineStr">
        <is>
          <t>Brunlångöra
Dammfladdermus
Nordfladdermus
Tjäder
Dvärgpipistrell</t>
        </is>
      </c>
      <c r="W327">
        <f>HYPERLINK("https://klasma.github.io/Logging_0881/artfynd/A 22081-2026 artfynd.xlsx", "A 22081-2026")</f>
        <v/>
      </c>
      <c r="X327">
        <f>HYPERLINK("https://klasma.github.io/Logging_0881/kartor/A 22081-2026 karta.png", "A 22081-2026")</f>
        <v/>
      </c>
      <c r="Y327">
        <f>HYPERLINK("https://klasma.github.io/Logging_0881/kartor_geotiff/A 22081-2026 georefererad karta.tif", "A 22081-2026")</f>
        <v/>
      </c>
      <c r="AA327">
        <f>HYPERLINK("https://klasma.github.io/Logging_0881/klagomål/A 22081-2026 FSC-klagomål.docx", "A 22081-2026")</f>
        <v/>
      </c>
      <c r="AB327">
        <f>HYPERLINK("https://klasma.github.io/Logging_0881/klagomålsmail/A 22081-2026 FSC-klagomål mail.docx", "A 22081-2026")</f>
        <v/>
      </c>
      <c r="AC327">
        <f>HYPERLINK("https://klasma.github.io/Logging_0881/tillsyn/A 22081-2026 tillsynsbegäran.docx", "A 22081-2026")</f>
        <v/>
      </c>
      <c r="AD327">
        <f>HYPERLINK("https://klasma.github.io/Logging_0881/tillsynsmail/A 22081-2026 tillsynsbegäran mail.docx", "A 22081-2026")</f>
        <v/>
      </c>
      <c r="AE327">
        <f>HYPERLINK("https://klasma.github.io/Logging_0881/fåglar/A 22081-2026 prioriterade fågelarter.docx", "A 22081-2026")</f>
        <v/>
      </c>
    </row>
    <row r="328" ht="15" customHeight="1">
      <c r="A328" t="inlineStr">
        <is>
          <t>A 22082-2026</t>
        </is>
      </c>
      <c r="B328" t="inlineStr">
        <is>
          <t>avverkningsanmälan</t>
        </is>
      </c>
      <c r="C328" t="inlineStr">
        <is>
          <t>Föryngringsavverkning</t>
        </is>
      </c>
      <c r="D328" s="1" t="n">
        <v>46153</v>
      </c>
      <c r="E328" s="1" t="n">
        <v>46323</v>
      </c>
      <c r="F328" t="inlineStr">
        <is>
          <t>KALMAR LÄN</t>
        </is>
      </c>
      <c r="G328" t="inlineStr">
        <is>
          <t>NYBRO</t>
        </is>
      </c>
      <c r="H328" t="inlineStr">
        <is>
          <t>Sveaskog</t>
        </is>
      </c>
      <c r="I328" t="n">
        <v>2.8</v>
      </c>
      <c r="J328" t="n">
        <v>3</v>
      </c>
      <c r="K328" t="n">
        <v>0</v>
      </c>
      <c r="L328" t="n">
        <v>2</v>
      </c>
      <c r="M328" t="n">
        <v>1</v>
      </c>
      <c r="N328" t="n">
        <v>0</v>
      </c>
      <c r="O328" t="n">
        <v>0</v>
      </c>
      <c r="P328" t="n">
        <v>0</v>
      </c>
      <c r="Q328" t="n">
        <v>3</v>
      </c>
      <c r="R328" t="n">
        <v>1</v>
      </c>
      <c r="S328" t="n">
        <v>5</v>
      </c>
      <c r="T328" t="n">
        <v>14</v>
      </c>
      <c r="U328" t="n">
        <v>0</v>
      </c>
      <c r="V328" s="2" t="inlineStr">
        <is>
          <t>Mindre bastardsvärmare
Spindelört
Talltita
Tjäder
Grönsiska</t>
        </is>
      </c>
      <c r="W328">
        <f>HYPERLINK("https://klasma.github.io/Logging_0881/artfynd/A 22082-2026 artfynd.xlsx", "A 22082-2026")</f>
        <v/>
      </c>
      <c r="X328">
        <f>HYPERLINK("https://klasma.github.io/Logging_0881/kartor/A 22082-2026 karta.png", "A 22082-2026")</f>
        <v/>
      </c>
      <c r="Y328">
        <f>HYPERLINK("https://klasma.github.io/Logging_0881/kartor_geotiff/A 22082-2026 georefererad karta.tif", "A 22082-2026")</f>
        <v/>
      </c>
      <c r="AA328">
        <f>HYPERLINK("https://klasma.github.io/Logging_0881/klagomål/A 22082-2026 FSC-klagomål.docx", "A 22082-2026")</f>
        <v/>
      </c>
      <c r="AB328">
        <f>HYPERLINK("https://klasma.github.io/Logging_0881/klagomålsmail/A 22082-2026 FSC-klagomål mail.docx", "A 22082-2026")</f>
        <v/>
      </c>
      <c r="AC328">
        <f>HYPERLINK("https://klasma.github.io/Logging_0881/tillsyn/A 22082-2026 tillsynsbegäran.docx", "A 22082-2026")</f>
        <v/>
      </c>
      <c r="AD328">
        <f>HYPERLINK("https://klasma.github.io/Logging_0881/tillsynsmail/A 22082-2026 tillsynsbegäran mail.docx", "A 22082-2026")</f>
        <v/>
      </c>
      <c r="AE328">
        <f>HYPERLINK("https://klasma.github.io/Logging_0881/fåglar/A 22082-2026 prioriterade fågelarter.docx", "A 22082-2026")</f>
        <v/>
      </c>
    </row>
    <row r="329" ht="15" customHeight="1">
      <c r="A329" t="inlineStr">
        <is>
          <t>A 61963-2025</t>
        </is>
      </c>
      <c r="B329" t="inlineStr">
        <is>
          <t>avverkningsanmälan</t>
        </is>
      </c>
      <c r="C329" t="inlineStr">
        <is>
          <t>Avverkning för annat ändamål</t>
        </is>
      </c>
      <c r="D329" s="1" t="n">
        <v>46003</v>
      </c>
      <c r="E329" s="1" t="n">
        <v>46323</v>
      </c>
      <c r="F329" t="inlineStr">
        <is>
          <t>KALMAR LÄN</t>
        </is>
      </c>
      <c r="G329" t="inlineStr">
        <is>
          <t>MÖRBYLÅNGA</t>
        </is>
      </c>
      <c r="I329" t="n">
        <v>1.1</v>
      </c>
      <c r="J329" t="n">
        <v>4</v>
      </c>
      <c r="K329" t="n">
        <v>1</v>
      </c>
      <c r="L329" t="n">
        <v>1</v>
      </c>
      <c r="M329" t="n">
        <v>0</v>
      </c>
      <c r="N329" t="n">
        <v>0</v>
      </c>
      <c r="O329" t="n">
        <v>0</v>
      </c>
      <c r="P329" t="n">
        <v>0</v>
      </c>
      <c r="Q329" t="n">
        <v>1</v>
      </c>
      <c r="R329" t="n">
        <v>0</v>
      </c>
      <c r="S329" t="n">
        <v>5</v>
      </c>
      <c r="T329" t="n">
        <v>8</v>
      </c>
      <c r="U329" t="n">
        <v>3</v>
      </c>
      <c r="V329" s="2" t="inlineStr">
        <is>
          <t>Gulsparv
Mindre märgborre
Blåsippa
Spillkråka
Röd glada</t>
        </is>
      </c>
      <c r="W329">
        <f>HYPERLINK("https://klasma.github.io/Logging_0840/artfynd/A 61963-2025 artfynd.xlsx", "A 61963-2025")</f>
        <v/>
      </c>
      <c r="X329">
        <f>HYPERLINK("https://klasma.github.io/Logging_0840/kartor/A 61963-2025 karta.png", "A 61963-2025")</f>
        <v/>
      </c>
      <c r="Y329">
        <f>HYPERLINK("https://klasma.github.io/Logging_0840/kartor_geotiff/A 61963-2025 georefererad karta.tif", "A 61963-2025")</f>
        <v/>
      </c>
      <c r="AA329">
        <f>HYPERLINK("https://klasma.github.io/Logging_0840/klagomål/A 61963-2025 FSC-klagomål.docx", "A 61963-2025")</f>
        <v/>
      </c>
      <c r="AB329">
        <f>HYPERLINK("https://klasma.github.io/Logging_0840/klagomålsmail/A 61963-2025 FSC-klagomål mail.docx", "A 61963-2025")</f>
        <v/>
      </c>
      <c r="AC329">
        <f>HYPERLINK("https://klasma.github.io/Logging_0840/tillsyn/A 61963-2025 tillsynsbegäran.docx", "A 61963-2025")</f>
        <v/>
      </c>
      <c r="AD329">
        <f>HYPERLINK("https://klasma.github.io/Logging_0840/tillsynsmail/A 61963-2025 tillsynsbegäran mail.docx", "A 61963-2025")</f>
        <v/>
      </c>
      <c r="AE329">
        <f>HYPERLINK("https://klasma.github.io/Logging_0840/fåglar/A 61963-2025 prioriterade fågelarter.docx", "A 61963-2025")</f>
        <v/>
      </c>
    </row>
    <row r="330" ht="15" customHeight="1">
      <c r="A330" t="inlineStr">
        <is>
          <t>A 16954-2025</t>
        </is>
      </c>
      <c r="B330" t="inlineStr">
        <is>
          <t>avverkningsanmälan</t>
        </is>
      </c>
      <c r="C330" t="inlineStr">
        <is>
          <t>Föryngringsavverkning</t>
        </is>
      </c>
      <c r="D330" s="1" t="n">
        <v>45755</v>
      </c>
      <c r="E330" s="1" t="n">
        <v>46323</v>
      </c>
      <c r="F330" t="inlineStr">
        <is>
          <t>KALMAR LÄN</t>
        </is>
      </c>
      <c r="G330" t="inlineStr">
        <is>
          <t>VIMMERBY</t>
        </is>
      </c>
      <c r="I330" t="n">
        <v>3.5</v>
      </c>
      <c r="J330" t="n">
        <v>4</v>
      </c>
      <c r="K330" t="n">
        <v>0</v>
      </c>
      <c r="L330" t="n">
        <v>2</v>
      </c>
      <c r="M330" t="n">
        <v>1</v>
      </c>
      <c r="N330" t="n">
        <v>0</v>
      </c>
      <c r="O330" t="n">
        <v>0</v>
      </c>
      <c r="P330" t="n">
        <v>0</v>
      </c>
      <c r="Q330" t="n">
        <v>3</v>
      </c>
      <c r="R330" t="n">
        <v>1</v>
      </c>
      <c r="S330" t="n">
        <v>5</v>
      </c>
      <c r="T330" t="n">
        <v>17</v>
      </c>
      <c r="U330" t="n">
        <v>17</v>
      </c>
      <c r="V330" s="2" t="inlineStr">
        <is>
          <t>Knärot
Talltita
Ullticka
Spillkråka
Kungsfågel</t>
        </is>
      </c>
      <c r="W330">
        <f>HYPERLINK("https://klasma.github.io/Logging_0884/artfynd/A 16954-2025 artfynd.xlsx", "A 16954-2025")</f>
        <v/>
      </c>
      <c r="X330">
        <f>HYPERLINK("https://klasma.github.io/Logging_0884/kartor/A 16954-2025 karta.png", "A 16954-2025")</f>
        <v/>
      </c>
      <c r="Y330">
        <f>HYPERLINK("https://klasma.github.io/Logging_0884/kartor_geotiff/A 16954-2025 georefererad karta.tif", "A 16954-2025")</f>
        <v/>
      </c>
      <c r="Z330">
        <f>HYPERLINK("https://klasma.github.io/Logging_0884/knärot/A 16954-2025 karta knärot.png", "A 16954-2025")</f>
        <v/>
      </c>
      <c r="AA330">
        <f>HYPERLINK("https://klasma.github.io/Logging_0884/klagomål/A 16954-2025 FSC-klagomål.docx", "A 16954-2025")</f>
        <v/>
      </c>
      <c r="AB330">
        <f>HYPERLINK("https://klasma.github.io/Logging_0884/klagomålsmail/A 16954-2025 FSC-klagomål mail.docx", "A 16954-2025")</f>
        <v/>
      </c>
      <c r="AC330">
        <f>HYPERLINK("https://klasma.github.io/Logging_0884/tillsyn/A 16954-2025 tillsynsbegäran.docx", "A 16954-2025")</f>
        <v/>
      </c>
      <c r="AD330">
        <f>HYPERLINK("https://klasma.github.io/Logging_0884/tillsynsmail/A 16954-2025 tillsynsbegäran mail.docx", "A 16954-2025")</f>
        <v/>
      </c>
      <c r="AE330">
        <f>HYPERLINK("https://klasma.github.io/Logging_0884/fåglar/A 16954-2025 prioriterade fågelarter.docx", "A 16954-2025")</f>
        <v/>
      </c>
    </row>
    <row r="331" ht="15" customHeight="1">
      <c r="A331" t="inlineStr">
        <is>
          <t>A 26478-2026</t>
        </is>
      </c>
      <c r="B331" t="inlineStr">
        <is>
          <t>avverkningsanmälan</t>
        </is>
      </c>
      <c r="C331" t="inlineStr">
        <is>
          <t>Avverkning för annat ändamål</t>
        </is>
      </c>
      <c r="D331" s="1" t="n">
        <v>46183</v>
      </c>
      <c r="E331" s="1" t="n">
        <v>46323</v>
      </c>
      <c r="F331" t="inlineStr">
        <is>
          <t>KALMAR LÄN</t>
        </is>
      </c>
      <c r="G331" t="inlineStr">
        <is>
          <t>OSKARSHAMN</t>
        </is>
      </c>
      <c r="H331" t="inlineStr">
        <is>
          <t>Kyrkan</t>
        </is>
      </c>
      <c r="I331" t="n">
        <v>0.4</v>
      </c>
      <c r="J331" t="n">
        <v>1</v>
      </c>
      <c r="K331" t="n">
        <v>1</v>
      </c>
      <c r="L331" t="n">
        <v>3</v>
      </c>
      <c r="M331" t="n">
        <v>0</v>
      </c>
      <c r="N331" t="n">
        <v>0</v>
      </c>
      <c r="O331" t="n">
        <v>0</v>
      </c>
      <c r="P331" t="n">
        <v>0</v>
      </c>
      <c r="Q331" t="n">
        <v>3</v>
      </c>
      <c r="R331" t="n">
        <v>0</v>
      </c>
      <c r="S331" t="n">
        <v>5</v>
      </c>
      <c r="T331" t="n">
        <v>5</v>
      </c>
      <c r="U331" t="n">
        <v>0</v>
      </c>
      <c r="V331" s="2" t="inlineStr">
        <is>
          <t>Kandelabersvamp
Vedtrappmossa
Vårärt
Svart trolldruva
Blåsippa</t>
        </is>
      </c>
      <c r="W331">
        <f>HYPERLINK("https://klasma.github.io/Logging_0882/artfynd/A 26478-2026 artfynd.xlsx", "A 26478-2026")</f>
        <v/>
      </c>
      <c r="X331">
        <f>HYPERLINK("https://klasma.github.io/Logging_0882/kartor/A 26478-2026 karta.png", "A 26478-2026")</f>
        <v/>
      </c>
      <c r="Y331">
        <f>HYPERLINK("https://klasma.github.io/Logging_0882/kartor_geotiff/A 26478-2026 georefererad karta.tif", "A 26478-2026")</f>
        <v/>
      </c>
      <c r="AA331">
        <f>HYPERLINK("https://klasma.github.io/Logging_0882/klagomål/A 26478-2026 FSC-klagomål.docx", "A 26478-2026")</f>
        <v/>
      </c>
      <c r="AB331">
        <f>HYPERLINK("https://klasma.github.io/Logging_0882/klagomålsmail/A 26478-2026 FSC-klagomål mail.docx", "A 26478-2026")</f>
        <v/>
      </c>
      <c r="AC331">
        <f>HYPERLINK("https://klasma.github.io/Logging_0882/tillsyn/A 26478-2026 tillsynsbegäran.docx", "A 26478-2026")</f>
        <v/>
      </c>
      <c r="AD331">
        <f>HYPERLINK("https://klasma.github.io/Logging_0882/tillsynsmail/A 26478-2026 tillsynsbegäran mail.docx", "A 26478-2026")</f>
        <v/>
      </c>
    </row>
    <row r="332" ht="15" customHeight="1">
      <c r="A332" t="inlineStr">
        <is>
          <t>S 4828-2024</t>
        </is>
      </c>
      <c r="B332" t="inlineStr">
        <is>
          <t>samrådsanmälan</t>
        </is>
      </c>
      <c r="C332" t="inlineStr">
        <is>
          <t>Annan skogsbruksåtgärd</t>
        </is>
      </c>
      <c r="D332" s="1" t="n">
        <v>45615</v>
      </c>
      <c r="E332" s="1" t="n">
        <v>46323</v>
      </c>
      <c r="F332" t="inlineStr">
        <is>
          <t>KALMAR LÄN</t>
        </is>
      </c>
      <c r="G332" t="inlineStr">
        <is>
          <t>VÄSTERVIK</t>
        </is>
      </c>
      <c r="H332" t="inlineStr">
        <is>
          <t>Kommuner</t>
        </is>
      </c>
      <c r="I332" t="n">
        <v>3.4</v>
      </c>
      <c r="J332" t="n">
        <v>0</v>
      </c>
      <c r="K332" t="n">
        <v>1</v>
      </c>
      <c r="L332" t="n">
        <v>4</v>
      </c>
      <c r="M332" t="n">
        <v>0</v>
      </c>
      <c r="N332" t="n">
        <v>0</v>
      </c>
      <c r="O332" t="n">
        <v>0</v>
      </c>
      <c r="P332" t="n">
        <v>0</v>
      </c>
      <c r="Q332" t="n">
        <v>4</v>
      </c>
      <c r="R332" t="n">
        <v>0</v>
      </c>
      <c r="S332" t="n">
        <v>5</v>
      </c>
      <c r="T332" t="n">
        <v>6</v>
      </c>
      <c r="U332" t="n">
        <v>0</v>
      </c>
      <c r="V332" s="2" t="inlineStr">
        <is>
          <t>Blekticka
Ekticka
Rosa skärelav
Tallticka
Ekskinn</t>
        </is>
      </c>
      <c r="W332">
        <f>HYPERLINK("https://klasma.github.io/Logging_0883/artfynd/S 4828-2024 artfynd.xlsx", "S 4828-2024")</f>
        <v/>
      </c>
      <c r="X332">
        <f>HYPERLINK("https://klasma.github.io/Logging_0883/kartor/S 4828-2024 karta.png", "S 4828-2024")</f>
        <v/>
      </c>
      <c r="Y332">
        <f>HYPERLINK("https://klasma.github.io/Logging_0883/kartor_geotiff/S 4828-2024 georefererad karta.tif", "S 4828-2024")</f>
        <v/>
      </c>
      <c r="AA332">
        <f>HYPERLINK("https://klasma.github.io/Logging_0883/klagomål/S 4828-2024 FSC-klagomål.docx", "S 4828-2024")</f>
        <v/>
      </c>
      <c r="AB332">
        <f>HYPERLINK("https://klasma.github.io/Logging_0883/klagomålsmail/S 4828-2024 FSC-klagomål mail.docx", "S 4828-2024")</f>
        <v/>
      </c>
      <c r="AC332">
        <f>HYPERLINK("https://klasma.github.io/Logging_0883/tillsyn/S 4828-2024 tillsynsbegäran.docx", "S 4828-2024")</f>
        <v/>
      </c>
      <c r="AD332">
        <f>HYPERLINK("https://klasma.github.io/Logging_0883/tillsynsmail/S 4828-2024 tillsynsbegäran mail.docx", "S 4828-2024")</f>
        <v/>
      </c>
    </row>
    <row r="333" ht="15" customHeight="1">
      <c r="A333" t="inlineStr">
        <is>
          <t>S 1284-2023</t>
        </is>
      </c>
      <c r="B333" t="inlineStr">
        <is>
          <t>samrådsanmälan</t>
        </is>
      </c>
      <c r="C333" t="inlineStr">
        <is>
          <t>Annan skogsbruksåtgärd</t>
        </is>
      </c>
      <c r="D333" s="1" t="n">
        <v>45030</v>
      </c>
      <c r="E333" s="1" t="n">
        <v>46323</v>
      </c>
      <c r="F333" t="inlineStr">
        <is>
          <t>KALMAR LÄN</t>
        </is>
      </c>
      <c r="G333" t="inlineStr">
        <is>
          <t>EMMABODA</t>
        </is>
      </c>
      <c r="I333" t="n">
        <v>4.1</v>
      </c>
      <c r="J333" t="n">
        <v>0</v>
      </c>
      <c r="K333" t="n">
        <v>2</v>
      </c>
      <c r="L333" t="n">
        <v>2</v>
      </c>
      <c r="M333" t="n">
        <v>0</v>
      </c>
      <c r="N333" t="n">
        <v>1</v>
      </c>
      <c r="O333" t="n">
        <v>0</v>
      </c>
      <c r="P333" t="n">
        <v>0</v>
      </c>
      <c r="Q333" t="n">
        <v>3</v>
      </c>
      <c r="R333" t="n">
        <v>1</v>
      </c>
      <c r="S333" t="n">
        <v>5</v>
      </c>
      <c r="T333" t="n">
        <v>5</v>
      </c>
      <c r="U333" t="n">
        <v>5</v>
      </c>
      <c r="V333" s="2" t="inlineStr">
        <is>
          <t>Skogsalm
Sårläka
Vårärt
Rostfläck
Sotlav</t>
        </is>
      </c>
      <c r="W333">
        <f>HYPERLINK("https://klasma.github.io/Logging_0862/artfynd/S 1284-2023 artfynd.xlsx", "S 1284-2023")</f>
        <v/>
      </c>
      <c r="X333">
        <f>HYPERLINK("https://klasma.github.io/Logging_0862/kartor/S 1284-2023 karta.png", "S 1284-2023")</f>
        <v/>
      </c>
      <c r="Y333">
        <f>HYPERLINK("https://klasma.github.io/Logging_0862/kartor_geotiff/S 1284-2023 georefererad karta.tif", "S 1284-2023")</f>
        <v/>
      </c>
      <c r="AA333">
        <f>HYPERLINK("https://klasma.github.io/Logging_0862/klagomål/S 1284-2023 FSC-klagomål.docx", "S 1284-2023")</f>
        <v/>
      </c>
      <c r="AB333">
        <f>HYPERLINK("https://klasma.github.io/Logging_0862/klagomålsmail/S 1284-2023 FSC-klagomål mail.docx", "S 1284-2023")</f>
        <v/>
      </c>
      <c r="AC333">
        <f>HYPERLINK("https://klasma.github.io/Logging_0862/tillsyn/S 1284-2023 tillsynsbegäran.docx", "S 1284-2023")</f>
        <v/>
      </c>
      <c r="AD333">
        <f>HYPERLINK("https://klasma.github.io/Logging_0862/tillsynsmail/S 1284-2023 tillsynsbegäran mail.docx", "S 1284-2023")</f>
        <v/>
      </c>
    </row>
    <row r="334" ht="15" customHeight="1">
      <c r="A334" t="inlineStr">
        <is>
          <t>S 446-2023</t>
        </is>
      </c>
      <c r="B334" t="inlineStr">
        <is>
          <t>samrådsanmälan</t>
        </is>
      </c>
      <c r="C334" t="inlineStr">
        <is>
          <t>Annan skogsbruksåtgärd</t>
        </is>
      </c>
      <c r="D334" s="1" t="n">
        <v>44963</v>
      </c>
      <c r="E334" s="1" t="n">
        <v>46323</v>
      </c>
      <c r="F334" t="inlineStr">
        <is>
          <t>KALMAR LÄN</t>
        </is>
      </c>
      <c r="G334" t="inlineStr">
        <is>
          <t>VÄSTERVIK</t>
        </is>
      </c>
      <c r="H334" t="inlineStr">
        <is>
          <t>Kommuner</t>
        </is>
      </c>
      <c r="I334" t="n">
        <v>0.3</v>
      </c>
      <c r="J334" t="n">
        <v>1</v>
      </c>
      <c r="K334" t="n">
        <v>0</v>
      </c>
      <c r="L334" t="n">
        <v>2</v>
      </c>
      <c r="M334" t="n">
        <v>0</v>
      </c>
      <c r="N334" t="n">
        <v>1</v>
      </c>
      <c r="O334" t="n">
        <v>1</v>
      </c>
      <c r="P334" t="n">
        <v>0</v>
      </c>
      <c r="Q334" t="n">
        <v>4</v>
      </c>
      <c r="R334" t="n">
        <v>2</v>
      </c>
      <c r="S334" t="n">
        <v>5</v>
      </c>
      <c r="T334" t="n">
        <v>6</v>
      </c>
      <c r="U334" t="n">
        <v>0</v>
      </c>
      <c r="V334" s="2" t="inlineStr">
        <is>
          <t>Naverlönn
Ask
Kavelhirs
Sydspärgel
Gullviva</t>
        </is>
      </c>
      <c r="W334">
        <f>HYPERLINK("https://klasma.github.io/Logging_0883/artfynd/S 446-2023 artfynd.xlsx", "S 446-2023")</f>
        <v/>
      </c>
      <c r="X334">
        <f>HYPERLINK("https://klasma.github.io/Logging_0883/kartor/S 446-2023 karta.png", "S 446-2023")</f>
        <v/>
      </c>
      <c r="Y334">
        <f>HYPERLINK("https://klasma.github.io/Logging_0883/kartor_geotiff/S 446-2023 georefererad karta.tif", "S 446-2023")</f>
        <v/>
      </c>
      <c r="AA334">
        <f>HYPERLINK("https://klasma.github.io/Logging_0883/klagomål/S 446-2023 FSC-klagomål.docx", "S 446-2023")</f>
        <v/>
      </c>
      <c r="AB334">
        <f>HYPERLINK("https://klasma.github.io/Logging_0883/klagomålsmail/S 446-2023 FSC-klagomål mail.docx", "S 446-2023")</f>
        <v/>
      </c>
      <c r="AC334">
        <f>HYPERLINK("https://klasma.github.io/Logging_0883/tillsyn/S 446-2023 tillsynsbegäran.docx", "S 446-2023")</f>
        <v/>
      </c>
      <c r="AD334">
        <f>HYPERLINK("https://klasma.github.io/Logging_0883/tillsynsmail/S 446-2023 tillsynsbegäran mail.docx", "S 446-2023")</f>
        <v/>
      </c>
    </row>
    <row r="335" ht="15" customHeight="1">
      <c r="A335" t="inlineStr">
        <is>
          <t>S 5123-2024</t>
        </is>
      </c>
      <c r="B335" t="inlineStr">
        <is>
          <t>samrådsanmälan</t>
        </is>
      </c>
      <c r="C335" t="inlineStr">
        <is>
          <t>Åtgärd i nyckelbiotop</t>
        </is>
      </c>
      <c r="D335" s="1" t="n">
        <v>45643</v>
      </c>
      <c r="E335" s="1" t="n">
        <v>46323</v>
      </c>
      <c r="F335" t="inlineStr">
        <is>
          <t>KALMAR LÄN</t>
        </is>
      </c>
      <c r="G335" t="inlineStr">
        <is>
          <t>NYBRO</t>
        </is>
      </c>
      <c r="I335" t="n">
        <v>2</v>
      </c>
      <c r="J335" t="n">
        <v>1</v>
      </c>
      <c r="K335" t="n">
        <v>3</v>
      </c>
      <c r="L335" t="n">
        <v>1</v>
      </c>
      <c r="M335" t="n">
        <v>0</v>
      </c>
      <c r="N335" t="n">
        <v>0</v>
      </c>
      <c r="O335" t="n">
        <v>0</v>
      </c>
      <c r="P335" t="n">
        <v>0</v>
      </c>
      <c r="Q335" t="n">
        <v>1</v>
      </c>
      <c r="R335" t="n">
        <v>0</v>
      </c>
      <c r="S335" t="n">
        <v>5</v>
      </c>
      <c r="T335" t="n">
        <v>5</v>
      </c>
      <c r="U335" t="n">
        <v>3</v>
      </c>
      <c r="V335" s="2" t="inlineStr">
        <is>
          <t>Backtimjan
Guldlockmossa
Rostfläck
Tibast
Blåsippa</t>
        </is>
      </c>
      <c r="W335">
        <f>HYPERLINK("https://klasma.github.io/Logging_0881/artfynd/S 5123-2024 artfynd.xlsx", "S 5123-2024")</f>
        <v/>
      </c>
      <c r="X335">
        <f>HYPERLINK("https://klasma.github.io/Logging_0881/kartor/S 5123-2024 karta.png", "S 5123-2024")</f>
        <v/>
      </c>
      <c r="Y335">
        <f>HYPERLINK("https://klasma.github.io/Logging_0881/kartor_geotiff/S 5123-2024 georefererad karta.tif", "S 5123-2024")</f>
        <v/>
      </c>
      <c r="AA335">
        <f>HYPERLINK("https://klasma.github.io/Logging_0881/klagomål/S 5123-2024 FSC-klagomål.docx", "S 5123-2024")</f>
        <v/>
      </c>
      <c r="AB335">
        <f>HYPERLINK("https://klasma.github.io/Logging_0881/klagomålsmail/S 5123-2024 FSC-klagomål mail.docx", "S 5123-2024")</f>
        <v/>
      </c>
      <c r="AC335">
        <f>HYPERLINK("https://klasma.github.io/Logging_0881/tillsyn/S 5123-2024 tillsynsbegäran.docx", "S 5123-2024")</f>
        <v/>
      </c>
      <c r="AD335">
        <f>HYPERLINK("https://klasma.github.io/Logging_0881/tillsynsmail/S 5123-2024 tillsynsbegäran mail.docx", "S 5123-2024")</f>
        <v/>
      </c>
    </row>
    <row r="336" ht="15" customHeight="1">
      <c r="A336" t="inlineStr">
        <is>
          <t>S 2966-2023</t>
        </is>
      </c>
      <c r="B336" t="inlineStr">
        <is>
          <t>samrådsanmälan</t>
        </is>
      </c>
      <c r="C336" t="inlineStr">
        <is>
          <t>Annan skogsbruksåtgärd</t>
        </is>
      </c>
      <c r="D336" s="1" t="n">
        <v>45173</v>
      </c>
      <c r="E336" s="1" t="n">
        <v>46323</v>
      </c>
      <c r="F336" t="inlineStr">
        <is>
          <t>KALMAR LÄN</t>
        </is>
      </c>
      <c r="G336" t="inlineStr">
        <is>
          <t>VIMMERBY</t>
        </is>
      </c>
      <c r="I336" t="n">
        <v>1.4</v>
      </c>
      <c r="J336" t="n">
        <v>1</v>
      </c>
      <c r="K336" t="n">
        <v>3</v>
      </c>
      <c r="L336" t="n">
        <v>1</v>
      </c>
      <c r="M336" t="n">
        <v>1</v>
      </c>
      <c r="N336" t="n">
        <v>0</v>
      </c>
      <c r="O336" t="n">
        <v>0</v>
      </c>
      <c r="P336" t="n">
        <v>0</v>
      </c>
      <c r="Q336" t="n">
        <v>2</v>
      </c>
      <c r="R336" t="n">
        <v>1</v>
      </c>
      <c r="S336" t="n">
        <v>5</v>
      </c>
      <c r="T336" t="n">
        <v>6</v>
      </c>
      <c r="U336" t="n">
        <v>0</v>
      </c>
      <c r="V336" s="2" t="inlineStr">
        <is>
          <t>Knärot
Motaggsvamp
Blomkålssvamp
Fällmossa
Thomsons trägnagare</t>
        </is>
      </c>
      <c r="W336">
        <f>HYPERLINK("https://klasma.github.io/Logging_0884/artfynd/S 2966-2023 artfynd.xlsx", "S 2966-2023")</f>
        <v/>
      </c>
      <c r="X336">
        <f>HYPERLINK("https://klasma.github.io/Logging_0884/kartor/S 2966-2023 karta.png", "S 2966-2023")</f>
        <v/>
      </c>
      <c r="Y336">
        <f>HYPERLINK("https://klasma.github.io/Logging_0884/kartor_geotiff/S 2966-2023 georefererad karta.tif", "S 2966-2023")</f>
        <v/>
      </c>
      <c r="Z336">
        <f>HYPERLINK("https://klasma.github.io/Logging_0884/knärot/S 2966-2023 karta knärot.png", "S 2966-2023")</f>
        <v/>
      </c>
      <c r="AA336">
        <f>HYPERLINK("https://klasma.github.io/Logging_0884/klagomål/S 2966-2023 FSC-klagomål.docx", "S 2966-2023")</f>
        <v/>
      </c>
      <c r="AB336">
        <f>HYPERLINK("https://klasma.github.io/Logging_0884/klagomålsmail/S 2966-2023 FSC-klagomål mail.docx", "S 2966-2023")</f>
        <v/>
      </c>
      <c r="AC336">
        <f>HYPERLINK("https://klasma.github.io/Logging_0884/tillsyn/S 2966-2023 tillsynsbegäran.docx", "S 2966-2023")</f>
        <v/>
      </c>
      <c r="AD336">
        <f>HYPERLINK("https://klasma.github.io/Logging_0884/tillsynsmail/S 2966-2023 tillsynsbegäran mail.docx", "S 2966-2023")</f>
        <v/>
      </c>
    </row>
    <row r="337" ht="15" customHeight="1">
      <c r="A337" t="inlineStr">
        <is>
          <t>S 779-2023</t>
        </is>
      </c>
      <c r="B337" t="inlineStr">
        <is>
          <t>samrådsanmälan</t>
        </is>
      </c>
      <c r="C337" t="inlineStr">
        <is>
          <t>Askåterföring</t>
        </is>
      </c>
      <c r="D337" s="1" t="n">
        <v>44984</v>
      </c>
      <c r="E337" s="1" t="n">
        <v>46323</v>
      </c>
      <c r="F337" t="inlineStr">
        <is>
          <t>KALMAR LÄN</t>
        </is>
      </c>
      <c r="G337" t="inlineStr">
        <is>
          <t>KALMAR</t>
        </is>
      </c>
      <c r="I337" t="n">
        <v>20.9</v>
      </c>
      <c r="J337" t="n">
        <v>2</v>
      </c>
      <c r="K337" t="n">
        <v>0</v>
      </c>
      <c r="L337" t="n">
        <v>2</v>
      </c>
      <c r="M337" t="n">
        <v>2</v>
      </c>
      <c r="N337" t="n">
        <v>0</v>
      </c>
      <c r="O337" t="n">
        <v>0</v>
      </c>
      <c r="P337" t="n">
        <v>0</v>
      </c>
      <c r="Q337" t="n">
        <v>4</v>
      </c>
      <c r="R337" t="n">
        <v>2</v>
      </c>
      <c r="S337" t="n">
        <v>5</v>
      </c>
      <c r="T337" t="n">
        <v>10</v>
      </c>
      <c r="U337" t="n">
        <v>1</v>
      </c>
      <c r="V337" s="2" t="inlineStr">
        <is>
          <t>Mindre bastardsvärmare
Sandödla
Klubbsprötad bastardsvärmare
Slåtterfibbla
Röd glada</t>
        </is>
      </c>
      <c r="W337">
        <f>HYPERLINK("https://klasma.github.io/Logging_0880/artfynd/S 779-2023 artfynd.xlsx", "S 779-2023")</f>
        <v/>
      </c>
      <c r="X337">
        <f>HYPERLINK("https://klasma.github.io/Logging_0880/kartor/S 779-2023 karta.png", "S 779-2023")</f>
        <v/>
      </c>
      <c r="Y337">
        <f>HYPERLINK("https://klasma.github.io/Logging_0880/kartor_geotiff/S 779-2023 georefererad karta.tif", "S 779-2023")</f>
        <v/>
      </c>
      <c r="AA337">
        <f>HYPERLINK("https://klasma.github.io/Logging_0880/klagomål/S 779-2023 FSC-klagomål.docx", "S 779-2023")</f>
        <v/>
      </c>
      <c r="AB337">
        <f>HYPERLINK("https://klasma.github.io/Logging_0880/klagomålsmail/S 779-2023 FSC-klagomål mail.docx", "S 779-2023")</f>
        <v/>
      </c>
      <c r="AC337">
        <f>HYPERLINK("https://klasma.github.io/Logging_0880/tillsyn/S 779-2023 tillsynsbegäran.docx", "S 779-2023")</f>
        <v/>
      </c>
      <c r="AD337">
        <f>HYPERLINK("https://klasma.github.io/Logging_0880/tillsynsmail/S 779-2023 tillsynsbegäran mail.docx", "S 779-2023")</f>
        <v/>
      </c>
      <c r="AE337">
        <f>HYPERLINK("https://klasma.github.io/Logging_0880/fåglar/S 779-2023 prioriterade fågelarter.docx", "S 779-2023")</f>
        <v/>
      </c>
    </row>
    <row r="338" ht="15" customHeight="1">
      <c r="A338" t="inlineStr">
        <is>
          <t>S 2304-2024</t>
        </is>
      </c>
      <c r="B338" t="inlineStr">
        <is>
          <t>samrådsanmälan</t>
        </is>
      </c>
      <c r="C338" t="inlineStr">
        <is>
          <t>Annan skogsbruksåtgärd</t>
        </is>
      </c>
      <c r="D338" s="1" t="n">
        <v>45463</v>
      </c>
      <c r="E338" s="1" t="n">
        <v>46323</v>
      </c>
      <c r="F338" t="inlineStr">
        <is>
          <t>KALMAR LÄN</t>
        </is>
      </c>
      <c r="G338" t="inlineStr">
        <is>
          <t>KALMAR</t>
        </is>
      </c>
      <c r="I338" t="n">
        <v>7.7</v>
      </c>
      <c r="J338" t="n">
        <v>2</v>
      </c>
      <c r="K338" t="n">
        <v>2</v>
      </c>
      <c r="L338" t="n">
        <v>2</v>
      </c>
      <c r="M338" t="n">
        <v>1</v>
      </c>
      <c r="N338" t="n">
        <v>0</v>
      </c>
      <c r="O338" t="n">
        <v>0</v>
      </c>
      <c r="P338" t="n">
        <v>0</v>
      </c>
      <c r="Q338" t="n">
        <v>3</v>
      </c>
      <c r="R338" t="n">
        <v>1</v>
      </c>
      <c r="S338" t="n">
        <v>5</v>
      </c>
      <c r="T338" t="n">
        <v>12</v>
      </c>
      <c r="U338" t="n">
        <v>0</v>
      </c>
      <c r="V338" s="2" t="inlineStr">
        <is>
          <t>Knärot
Talltita
Ullticka
Blomkålssvamp
Grönpyrola</t>
        </is>
      </c>
      <c r="W338">
        <f>HYPERLINK("https://klasma.github.io/Logging_0880/artfynd/S 2304-2024 artfynd.xlsx", "S 2304-2024")</f>
        <v/>
      </c>
      <c r="X338">
        <f>HYPERLINK("https://klasma.github.io/Logging_0880/kartor/S 2304-2024 karta.png", "S 2304-2024")</f>
        <v/>
      </c>
      <c r="Y338">
        <f>HYPERLINK("https://klasma.github.io/Logging_0880/kartor_geotiff/S 2304-2024 georefererad karta.tif", "S 2304-2024")</f>
        <v/>
      </c>
      <c r="Z338">
        <f>HYPERLINK("https://klasma.github.io/Logging_0880/knärot/S 2304-2024 karta knärot.png", "S 2304-2024")</f>
        <v/>
      </c>
      <c r="AA338">
        <f>HYPERLINK("https://klasma.github.io/Logging_0880/klagomål/S 2304-2024 FSC-klagomål.docx", "S 2304-2024")</f>
        <v/>
      </c>
      <c r="AB338">
        <f>HYPERLINK("https://klasma.github.io/Logging_0880/klagomålsmail/S 2304-2024 FSC-klagomål mail.docx", "S 2304-2024")</f>
        <v/>
      </c>
      <c r="AC338">
        <f>HYPERLINK("https://klasma.github.io/Logging_0880/tillsyn/S 2304-2024 tillsynsbegäran.docx", "S 2304-2024")</f>
        <v/>
      </c>
      <c r="AD338">
        <f>HYPERLINK("https://klasma.github.io/Logging_0880/tillsynsmail/S 2304-2024 tillsynsbegäran mail.docx", "S 2304-2024")</f>
        <v/>
      </c>
      <c r="AE338">
        <f>HYPERLINK("https://klasma.github.io/Logging_0880/fåglar/S 2304-2024 prioriterade fågelarter.docx", "S 2304-2024")</f>
        <v/>
      </c>
    </row>
    <row r="339" ht="15" customHeight="1">
      <c r="A339" t="inlineStr">
        <is>
          <t>S 1521-2023</t>
        </is>
      </c>
      <c r="B339" t="inlineStr">
        <is>
          <t>samrådsanmälan</t>
        </is>
      </c>
      <c r="C339" t="inlineStr">
        <is>
          <t>Annan skogsbruksåtgärd</t>
        </is>
      </c>
      <c r="D339" s="1" t="n">
        <v>45055</v>
      </c>
      <c r="E339" s="1" t="n">
        <v>46323</v>
      </c>
      <c r="F339" t="inlineStr">
        <is>
          <t>KALMAR LÄN</t>
        </is>
      </c>
      <c r="G339" t="inlineStr">
        <is>
          <t>VÄSTERVIK</t>
        </is>
      </c>
      <c r="H339" t="inlineStr">
        <is>
          <t>Kommuner</t>
        </is>
      </c>
      <c r="I339" t="n">
        <v>4.3</v>
      </c>
      <c r="J339" t="n">
        <v>2</v>
      </c>
      <c r="K339" t="n">
        <v>2</v>
      </c>
      <c r="L339" t="n">
        <v>3</v>
      </c>
      <c r="M339" t="n">
        <v>0</v>
      </c>
      <c r="N339" t="n">
        <v>0</v>
      </c>
      <c r="O339" t="n">
        <v>0</v>
      </c>
      <c r="P339" t="n">
        <v>0</v>
      </c>
      <c r="Q339" t="n">
        <v>3</v>
      </c>
      <c r="R339" t="n">
        <v>0</v>
      </c>
      <c r="S339" t="n">
        <v>5</v>
      </c>
      <c r="T339" t="n">
        <v>5</v>
      </c>
      <c r="U339" t="n">
        <v>1</v>
      </c>
      <c r="V339" s="2" t="inlineStr">
        <is>
          <t>Mindre hackspett
Rosa skärelav
Tallticka
Bokoxe
Ekoxe</t>
        </is>
      </c>
      <c r="W339">
        <f>HYPERLINK("https://klasma.github.io/Logging_0883/artfynd/S 1521-2023 artfynd.xlsx", "S 1521-2023")</f>
        <v/>
      </c>
      <c r="X339">
        <f>HYPERLINK("https://klasma.github.io/Logging_0883/kartor/S 1521-2023 karta.png", "S 1521-2023")</f>
        <v/>
      </c>
      <c r="Y339">
        <f>HYPERLINK("https://klasma.github.io/Logging_0883/kartor_geotiff/S 1521-2023 georefererad karta.tif", "S 1521-2023")</f>
        <v/>
      </c>
      <c r="AA339">
        <f>HYPERLINK("https://klasma.github.io/Logging_0883/klagomål/S 1521-2023 FSC-klagomål.docx", "S 1521-2023")</f>
        <v/>
      </c>
      <c r="AB339">
        <f>HYPERLINK("https://klasma.github.io/Logging_0883/klagomålsmail/S 1521-2023 FSC-klagomål mail.docx", "S 1521-2023")</f>
        <v/>
      </c>
      <c r="AC339">
        <f>HYPERLINK("https://klasma.github.io/Logging_0883/tillsyn/S 1521-2023 tillsynsbegäran.docx", "S 1521-2023")</f>
        <v/>
      </c>
      <c r="AD339">
        <f>HYPERLINK("https://klasma.github.io/Logging_0883/tillsynsmail/S 1521-2023 tillsynsbegäran mail.docx", "S 1521-2023")</f>
        <v/>
      </c>
      <c r="AE339">
        <f>HYPERLINK("https://klasma.github.io/Logging_0883/fåglar/S 1521-2023 prioriterade fågelarter.docx", "S 1521-2023")</f>
        <v/>
      </c>
    </row>
    <row r="340" ht="15" customHeight="1">
      <c r="A340" t="inlineStr">
        <is>
          <t>S 562-2023</t>
        </is>
      </c>
      <c r="B340" t="inlineStr">
        <is>
          <t>samrådsanmälan</t>
        </is>
      </c>
      <c r="C340" t="inlineStr">
        <is>
          <t>Askåterföring</t>
        </is>
      </c>
      <c r="D340" s="1" t="n">
        <v>44970</v>
      </c>
      <c r="E340" s="1" t="n">
        <v>46323</v>
      </c>
      <c r="F340" t="inlineStr">
        <is>
          <t>KALMAR LÄN</t>
        </is>
      </c>
      <c r="G340" t="inlineStr">
        <is>
          <t>KALMAR</t>
        </is>
      </c>
      <c r="H340" t="inlineStr">
        <is>
          <t>Kommuner</t>
        </is>
      </c>
      <c r="I340" t="n">
        <v>37.6</v>
      </c>
      <c r="J340" t="n">
        <v>2</v>
      </c>
      <c r="K340" t="n">
        <v>1</v>
      </c>
      <c r="L340" t="n">
        <v>3</v>
      </c>
      <c r="M340" t="n">
        <v>1</v>
      </c>
      <c r="N340" t="n">
        <v>0</v>
      </c>
      <c r="O340" t="n">
        <v>0</v>
      </c>
      <c r="P340" t="n">
        <v>0</v>
      </c>
      <c r="Q340" t="n">
        <v>4</v>
      </c>
      <c r="R340" t="n">
        <v>1</v>
      </c>
      <c r="S340" t="n">
        <v>5</v>
      </c>
      <c r="T340" t="n">
        <v>6</v>
      </c>
      <c r="U340" t="n">
        <v>4</v>
      </c>
      <c r="V340" s="2" t="inlineStr">
        <is>
          <t>Sandödla
Borsttåg
Gullklöver
Talltita
Gulvaxing</t>
        </is>
      </c>
      <c r="W340">
        <f>HYPERLINK("https://klasma.github.io/Logging_0880/artfynd/S 562-2023 artfynd.xlsx", "S 562-2023")</f>
        <v/>
      </c>
      <c r="X340">
        <f>HYPERLINK("https://klasma.github.io/Logging_0880/kartor/S 562-2023 karta.png", "S 562-2023")</f>
        <v/>
      </c>
      <c r="Y340">
        <f>HYPERLINK("https://klasma.github.io/Logging_0880/kartor_geotiff/S 562-2023 georefererad karta.tif", "S 562-2023")</f>
        <v/>
      </c>
      <c r="AA340">
        <f>HYPERLINK("https://klasma.github.io/Logging_0880/klagomål/S 562-2023 FSC-klagomål.docx", "S 562-2023")</f>
        <v/>
      </c>
      <c r="AB340">
        <f>HYPERLINK("https://klasma.github.io/Logging_0880/klagomålsmail/S 562-2023 FSC-klagomål mail.docx", "S 562-2023")</f>
        <v/>
      </c>
      <c r="AC340">
        <f>HYPERLINK("https://klasma.github.io/Logging_0880/tillsyn/S 562-2023 tillsynsbegäran.docx", "S 562-2023")</f>
        <v/>
      </c>
      <c r="AD340">
        <f>HYPERLINK("https://klasma.github.io/Logging_0880/tillsynsmail/S 562-2023 tillsynsbegäran mail.docx", "S 562-2023")</f>
        <v/>
      </c>
      <c r="AE340">
        <f>HYPERLINK("https://klasma.github.io/Logging_0880/fåglar/S 562-2023 prioriterade fågelarter.docx", "S 562-2023")</f>
        <v/>
      </c>
    </row>
    <row r="341" ht="15" customHeight="1">
      <c r="A341" t="inlineStr">
        <is>
          <t>S 1426-2025</t>
        </is>
      </c>
      <c r="B341" t="inlineStr">
        <is>
          <t>samrådsanmälan</t>
        </is>
      </c>
      <c r="C341" t="inlineStr">
        <is>
          <t>Annan skogsbruksåtgärd</t>
        </is>
      </c>
      <c r="D341" s="1" t="n">
        <v>45783</v>
      </c>
      <c r="E341" s="1" t="n">
        <v>46323</v>
      </c>
      <c r="F341" t="inlineStr">
        <is>
          <t>KALMAR LÄN</t>
        </is>
      </c>
      <c r="G341" t="inlineStr">
        <is>
          <t>HÖGSBY</t>
        </is>
      </c>
      <c r="I341" t="n">
        <v>2.1</v>
      </c>
      <c r="J341" t="n">
        <v>0</v>
      </c>
      <c r="K341" t="n">
        <v>0</v>
      </c>
      <c r="L341" t="n">
        <v>4</v>
      </c>
      <c r="M341" t="n">
        <v>1</v>
      </c>
      <c r="N341" t="n">
        <v>0</v>
      </c>
      <c r="O341" t="n">
        <v>0</v>
      </c>
      <c r="P341" t="n">
        <v>0</v>
      </c>
      <c r="Q341" t="n">
        <v>5</v>
      </c>
      <c r="R341" t="n">
        <v>1</v>
      </c>
      <c r="S341" t="n">
        <v>5</v>
      </c>
      <c r="T341" t="n">
        <v>17</v>
      </c>
      <c r="U341" t="n">
        <v>0</v>
      </c>
      <c r="V341" s="2" t="inlineStr">
        <is>
          <t>Kopparspindling
Fjällig taggsvamp s.str.
Persiljespindling
Skarp dropptaggsvamp
Tjockfotad fingersvamp</t>
        </is>
      </c>
      <c r="W341">
        <f>HYPERLINK("https://klasma.github.io/Logging_0821/artfynd/S 1426-2025 artfynd.xlsx", "S 1426-2025")</f>
        <v/>
      </c>
      <c r="X341">
        <f>HYPERLINK("https://klasma.github.io/Logging_0821/kartor/S 1426-2025 karta.png", "S 1426-2025")</f>
        <v/>
      </c>
      <c r="Y341">
        <f>HYPERLINK("https://klasma.github.io/Logging_0821/kartor_geotiff/S 1426-2025 georefererad karta.tif", "S 1426-2025")</f>
        <v/>
      </c>
      <c r="AA341">
        <f>HYPERLINK("https://klasma.github.io/Logging_0821/klagomål/S 1426-2025 FSC-klagomål.docx", "S 1426-2025")</f>
        <v/>
      </c>
      <c r="AB341">
        <f>HYPERLINK("https://klasma.github.io/Logging_0821/klagomålsmail/S 1426-2025 FSC-klagomål mail.docx", "S 1426-2025")</f>
        <v/>
      </c>
      <c r="AC341">
        <f>HYPERLINK("https://klasma.github.io/Logging_0821/tillsyn/S 1426-2025 tillsynsbegäran.docx", "S 1426-2025")</f>
        <v/>
      </c>
      <c r="AD341">
        <f>HYPERLINK("https://klasma.github.io/Logging_0821/tillsynsmail/S 1426-2025 tillsynsbegäran mail.docx", "S 1426-2025")</f>
        <v/>
      </c>
    </row>
    <row r="342" ht="15" customHeight="1">
      <c r="A342" t="inlineStr">
        <is>
          <t>S 2965-2025</t>
        </is>
      </c>
      <c r="B342" t="inlineStr">
        <is>
          <t>samrådsanmälan</t>
        </is>
      </c>
      <c r="C342" t="inlineStr">
        <is>
          <t>Annan skogsbruksåtgärd</t>
        </is>
      </c>
      <c r="D342" s="1" t="n">
        <v>45953</v>
      </c>
      <c r="E342" s="1" t="n">
        <v>46323</v>
      </c>
      <c r="F342" t="inlineStr">
        <is>
          <t>KALMAR LÄN</t>
        </is>
      </c>
      <c r="G342" t="inlineStr">
        <is>
          <t>KALMAR</t>
        </is>
      </c>
      <c r="I342" t="n">
        <v>4.5</v>
      </c>
      <c r="J342" t="n">
        <v>0</v>
      </c>
      <c r="K342" t="n">
        <v>4</v>
      </c>
      <c r="L342" t="n">
        <v>1</v>
      </c>
      <c r="M342" t="n">
        <v>0</v>
      </c>
      <c r="N342" t="n">
        <v>0</v>
      </c>
      <c r="O342" t="n">
        <v>0</v>
      </c>
      <c r="P342" t="n">
        <v>0</v>
      </c>
      <c r="Q342" t="n">
        <v>1</v>
      </c>
      <c r="R342" t="n">
        <v>0</v>
      </c>
      <c r="S342" t="n">
        <v>5</v>
      </c>
      <c r="T342" t="n">
        <v>6</v>
      </c>
      <c r="U342" t="n">
        <v>0</v>
      </c>
      <c r="V342" s="2" t="inlineStr">
        <is>
          <t>Gammelekslav
Grå skärelav
Gulnål
Rostfläck
Sotlav</t>
        </is>
      </c>
      <c r="W342">
        <f>HYPERLINK("https://klasma.github.io/Logging_0880/artfynd/S 2965-2025 artfynd.xlsx", "S 2965-2025")</f>
        <v/>
      </c>
      <c r="X342">
        <f>HYPERLINK("https://klasma.github.io/Logging_0880/kartor/S 2965-2025 karta.png", "S 2965-2025")</f>
        <v/>
      </c>
      <c r="Y342">
        <f>HYPERLINK("https://klasma.github.io/Logging_0880/kartor_geotiff/S 2965-2025 georefererad karta.tif", "S 2965-2025")</f>
        <v/>
      </c>
      <c r="AA342">
        <f>HYPERLINK("https://klasma.github.io/Logging_0880/klagomål/S 2965-2025 FSC-klagomål.docx", "S 2965-2025")</f>
        <v/>
      </c>
      <c r="AB342">
        <f>HYPERLINK("https://klasma.github.io/Logging_0880/klagomålsmail/S 2965-2025 FSC-klagomål mail.docx", "S 2965-2025")</f>
        <v/>
      </c>
      <c r="AC342">
        <f>HYPERLINK("https://klasma.github.io/Logging_0880/tillsyn/S 2965-2025 tillsynsbegäran.docx", "S 2965-2025")</f>
        <v/>
      </c>
      <c r="AD342">
        <f>HYPERLINK("https://klasma.github.io/Logging_0880/tillsynsmail/S 2965-2025 tillsynsbegäran mail.docx", "S 2965-2025")</f>
        <v/>
      </c>
    </row>
    <row r="343" ht="15" customHeight="1">
      <c r="A343" t="inlineStr">
        <is>
          <t>S 3041-2025</t>
        </is>
      </c>
      <c r="B343" t="inlineStr">
        <is>
          <t>samrådsanmälan</t>
        </is>
      </c>
      <c r="C343" t="inlineStr">
        <is>
          <t>Annan skogsbruksåtgärd</t>
        </is>
      </c>
      <c r="D343" s="1" t="n">
        <v>45961</v>
      </c>
      <c r="E343" s="1" t="n">
        <v>46323</v>
      </c>
      <c r="F343" t="inlineStr">
        <is>
          <t>KALMAR LÄN</t>
        </is>
      </c>
      <c r="G343" t="inlineStr">
        <is>
          <t>VÄSTERVIK</t>
        </is>
      </c>
      <c r="H343" t="inlineStr">
        <is>
          <t>Sveaskog</t>
        </is>
      </c>
      <c r="I343" t="n">
        <v>2.2</v>
      </c>
      <c r="J343" t="n">
        <v>4</v>
      </c>
      <c r="K343" t="n">
        <v>0</v>
      </c>
      <c r="L343" t="n">
        <v>4</v>
      </c>
      <c r="M343" t="n">
        <v>0</v>
      </c>
      <c r="N343" t="n">
        <v>0</v>
      </c>
      <c r="O343" t="n">
        <v>0</v>
      </c>
      <c r="P343" t="n">
        <v>0</v>
      </c>
      <c r="Q343" t="n">
        <v>4</v>
      </c>
      <c r="R343" t="n">
        <v>0</v>
      </c>
      <c r="S343" t="n">
        <v>5</v>
      </c>
      <c r="T343" t="n">
        <v>6</v>
      </c>
      <c r="U343" t="n">
        <v>0</v>
      </c>
      <c r="V343" s="2" t="inlineStr">
        <is>
          <t>Barbastell
Brunlångöra
Nordfladdermus
Pilblad
Blåsippa</t>
        </is>
      </c>
      <c r="W343">
        <f>HYPERLINK("https://klasma.github.io/Logging_0883/artfynd/S 3041-2025 artfynd.xlsx", "S 3041-2025")</f>
        <v/>
      </c>
      <c r="X343">
        <f>HYPERLINK("https://klasma.github.io/Logging_0883/kartor/S 3041-2025 karta.png", "S 3041-2025")</f>
        <v/>
      </c>
      <c r="Y343">
        <f>HYPERLINK("https://klasma.github.io/Logging_0883/kartor_geotiff/S 3041-2025 georefererad karta.tif", "S 3041-2025")</f>
        <v/>
      </c>
      <c r="AA343">
        <f>HYPERLINK("https://klasma.github.io/Logging_0883/klagomål/S 3041-2025 FSC-klagomål.docx", "S 3041-2025")</f>
        <v/>
      </c>
      <c r="AB343">
        <f>HYPERLINK("https://klasma.github.io/Logging_0883/klagomålsmail/S 3041-2025 FSC-klagomål mail.docx", "S 3041-2025")</f>
        <v/>
      </c>
      <c r="AC343">
        <f>HYPERLINK("https://klasma.github.io/Logging_0883/tillsyn/S 3041-2025 tillsynsbegäran.docx", "S 3041-2025")</f>
        <v/>
      </c>
      <c r="AD343">
        <f>HYPERLINK("https://klasma.github.io/Logging_0883/tillsynsmail/S 3041-2025 tillsynsbegäran mail.docx", "S 3041-2025")</f>
        <v/>
      </c>
    </row>
    <row r="344" ht="15" customHeight="1">
      <c r="A344" t="inlineStr">
        <is>
          <t>S 1557-2026</t>
        </is>
      </c>
      <c r="B344" t="inlineStr">
        <is>
          <t>samrådsanmälan</t>
        </is>
      </c>
      <c r="C344" t="inlineStr">
        <is>
          <t>Annan skogsbruksåtgärd</t>
        </is>
      </c>
      <c r="D344" s="1" t="n">
        <v>46169</v>
      </c>
      <c r="E344" s="1" t="n">
        <v>46323</v>
      </c>
      <c r="F344" t="inlineStr">
        <is>
          <t>KALMAR LÄN</t>
        </is>
      </c>
      <c r="G344" t="inlineStr">
        <is>
          <t>BORGHOLM</t>
        </is>
      </c>
      <c r="H344" t="inlineStr">
        <is>
          <t>Sveaskog</t>
        </is>
      </c>
      <c r="I344" t="n">
        <v>7.3</v>
      </c>
      <c r="J344" t="n">
        <v>0</v>
      </c>
      <c r="K344" t="n">
        <v>4</v>
      </c>
      <c r="L344" t="n">
        <v>0</v>
      </c>
      <c r="M344" t="n">
        <v>0</v>
      </c>
      <c r="N344" t="n">
        <v>0</v>
      </c>
      <c r="O344" t="n">
        <v>0</v>
      </c>
      <c r="P344" t="n">
        <v>0</v>
      </c>
      <c r="Q344" t="n">
        <v>0</v>
      </c>
      <c r="R344" t="n">
        <v>0</v>
      </c>
      <c r="S344" t="n">
        <v>5</v>
      </c>
      <c r="T344" t="n">
        <v>5</v>
      </c>
      <c r="U344" t="n">
        <v>5</v>
      </c>
      <c r="V344" s="2" t="inlineStr">
        <is>
          <t>Blåmossa
Kragjordstjärna
Thomsons trägnagare
Vanlig flatbagge
Liljekonvalj</t>
        </is>
      </c>
      <c r="W344">
        <f>HYPERLINK("https://klasma.github.io/Logging_0885/artfynd/S 1557-2026 artfynd.xlsx", "S 1557-2026")</f>
        <v/>
      </c>
      <c r="X344">
        <f>HYPERLINK("https://klasma.github.io/Logging_0885/kartor/S 1557-2026 karta.png", "S 1557-2026")</f>
        <v/>
      </c>
      <c r="Y344">
        <f>HYPERLINK("https://klasma.github.io/Logging_0885/kartor_geotiff/S 1557-2026 georefererad karta.tif", "S 1557-2026")</f>
        <v/>
      </c>
      <c r="AA344">
        <f>HYPERLINK("https://klasma.github.io/Logging_0885/klagomål/S 1557-2026 FSC-klagomål.docx", "S 1557-2026")</f>
        <v/>
      </c>
      <c r="AB344">
        <f>HYPERLINK("https://klasma.github.io/Logging_0885/klagomålsmail/S 1557-2026 FSC-klagomål mail.docx", "S 1557-2026")</f>
        <v/>
      </c>
      <c r="AC344">
        <f>HYPERLINK("https://klasma.github.io/Logging_0885/tillsyn/S 1557-2026 tillsynsbegäran.docx", "S 1557-2026")</f>
        <v/>
      </c>
      <c r="AD344">
        <f>HYPERLINK("https://klasma.github.io/Logging_0885/tillsynsmail/S 1557-2026 tillsynsbegäran mail.docx", "S 1557-2026")</f>
        <v/>
      </c>
    </row>
    <row r="345" ht="15" customHeight="1">
      <c r="A345" t="inlineStr">
        <is>
          <t>S 2631-2026</t>
        </is>
      </c>
      <c r="B345" t="inlineStr">
        <is>
          <t>samrådsanmälan</t>
        </is>
      </c>
      <c r="C345" t="inlineStr">
        <is>
          <t>Annan skogsbruksåtgärd</t>
        </is>
      </c>
      <c r="D345" s="1" t="n">
        <v>46302</v>
      </c>
      <c r="E345" s="1" t="n">
        <v>46323</v>
      </c>
      <c r="F345" t="inlineStr">
        <is>
          <t>KALMAR LÄN</t>
        </is>
      </c>
      <c r="G345" t="inlineStr">
        <is>
          <t>VIMMERBY</t>
        </is>
      </c>
      <c r="H345" t="inlineStr">
        <is>
          <t>Sveaskog</t>
        </is>
      </c>
      <c r="I345" t="n">
        <v>4.6</v>
      </c>
      <c r="J345" t="n">
        <v>0</v>
      </c>
      <c r="K345" t="n">
        <v>0</v>
      </c>
      <c r="L345" t="n">
        <v>4</v>
      </c>
      <c r="M345" t="n">
        <v>0</v>
      </c>
      <c r="N345" t="n">
        <v>1</v>
      </c>
      <c r="O345" t="n">
        <v>0</v>
      </c>
      <c r="P345" t="n">
        <v>0</v>
      </c>
      <c r="Q345" t="n">
        <v>5</v>
      </c>
      <c r="R345" t="n">
        <v>1</v>
      </c>
      <c r="S345" t="n">
        <v>5</v>
      </c>
      <c r="T345" t="n">
        <v>5</v>
      </c>
      <c r="U345" t="n">
        <v>0</v>
      </c>
      <c r="V345" s="2" t="inlineStr">
        <is>
          <t>Ask
Jungfrulin
Klasefibbla
Svinrot
Åkerkulla</t>
        </is>
      </c>
      <c r="W345">
        <f>HYPERLINK("https://klasma.github.io/Logging_0884/artfynd/S 2631-2026 artfynd.xlsx", "S 2631-2026")</f>
        <v/>
      </c>
      <c r="X345">
        <f>HYPERLINK("https://klasma.github.io/Logging_0884/kartor/S 2631-2026 karta.png", "S 2631-2026")</f>
        <v/>
      </c>
      <c r="Y345">
        <f>HYPERLINK("https://klasma.github.io/Logging_0884/kartor_geotiff/S 2631-2026 georefererad karta.tif", "S 2631-2026")</f>
        <v/>
      </c>
      <c r="AA345">
        <f>HYPERLINK("https://klasma.github.io/Logging_0884/klagomål/S 2631-2026 FSC-klagomål.docx", "S 2631-2026")</f>
        <v/>
      </c>
      <c r="AB345">
        <f>HYPERLINK("https://klasma.github.io/Logging_0884/klagomålsmail/S 2631-2026 FSC-klagomål mail.docx", "S 2631-2026")</f>
        <v/>
      </c>
      <c r="AC345">
        <f>HYPERLINK("https://klasma.github.io/Logging_0884/tillsyn/S 2631-2026 tillsynsbegäran.docx", "S 2631-2026")</f>
        <v/>
      </c>
      <c r="AD345">
        <f>HYPERLINK("https://klasma.github.io/Logging_0884/tillsynsmail/S 2631-2026 tillsynsbegäran mail.docx", "S 2631-2026")</f>
        <v/>
      </c>
    </row>
    <row r="346" ht="15" customHeight="1">
      <c r="A346" t="inlineStr">
        <is>
          <t>A 12711-2022</t>
        </is>
      </c>
      <c r="B346" t="inlineStr">
        <is>
          <t>avverkningsanmälan</t>
        </is>
      </c>
      <c r="C346" t="inlineStr">
        <is>
          <t>Föryngringsavverkning</t>
        </is>
      </c>
      <c r="D346" s="1" t="n">
        <v>44641</v>
      </c>
      <c r="E346" s="1" t="n">
        <v>46323</v>
      </c>
      <c r="F346" t="inlineStr">
        <is>
          <t>KALMAR LÄN</t>
        </is>
      </c>
      <c r="G346" t="inlineStr">
        <is>
          <t>HULTSFRED</t>
        </is>
      </c>
      <c r="H346" t="inlineStr">
        <is>
          <t>Kommuner</t>
        </is>
      </c>
      <c r="I346" t="n">
        <v>0.4</v>
      </c>
      <c r="J346" t="n">
        <v>2</v>
      </c>
      <c r="K346" t="n">
        <v>1</v>
      </c>
      <c r="L346" t="n">
        <v>1</v>
      </c>
      <c r="M346" t="n">
        <v>0</v>
      </c>
      <c r="N346" t="n">
        <v>1</v>
      </c>
      <c r="O346" t="n">
        <v>0</v>
      </c>
      <c r="P346" t="n">
        <v>0</v>
      </c>
      <c r="Q346" t="n">
        <v>2</v>
      </c>
      <c r="R346" t="n">
        <v>1</v>
      </c>
      <c r="S346" t="n">
        <v>4</v>
      </c>
      <c r="T346" t="n">
        <v>6</v>
      </c>
      <c r="U346" t="n">
        <v>0</v>
      </c>
      <c r="V346" s="2" t="inlineStr">
        <is>
          <t>Skogsalm
Kungsfiskare
Tibast
Gullviva</t>
        </is>
      </c>
      <c r="W346">
        <f>HYPERLINK("https://klasma.github.io/Logging_0860/artfynd/A 12711-2022 artfynd.xlsx", "A 12711-2022")</f>
        <v/>
      </c>
      <c r="X346">
        <f>HYPERLINK("https://klasma.github.io/Logging_0860/kartor/A 12711-2022 karta.png", "A 12711-2022")</f>
        <v/>
      </c>
      <c r="Y346">
        <f>HYPERLINK("https://klasma.github.io/Logging_0860/kartor_geotiff/A 12711-2022 georefererad karta.tif", "A 12711-2022")</f>
        <v/>
      </c>
      <c r="AA346">
        <f>HYPERLINK("https://klasma.github.io/Logging_0860/klagomål/A 12711-2022 FSC-klagomål.docx", "A 12711-2022")</f>
        <v/>
      </c>
      <c r="AB346">
        <f>HYPERLINK("https://klasma.github.io/Logging_0860/klagomålsmail/A 12711-2022 FSC-klagomål mail.docx", "A 12711-2022")</f>
        <v/>
      </c>
      <c r="AC346">
        <f>HYPERLINK("https://klasma.github.io/Logging_0860/tillsyn/A 12711-2022 tillsynsbegäran.docx", "A 12711-2022")</f>
        <v/>
      </c>
      <c r="AD346">
        <f>HYPERLINK("https://klasma.github.io/Logging_0860/tillsynsmail/A 12711-2022 tillsynsbegäran mail.docx", "A 12711-2022")</f>
        <v/>
      </c>
    </row>
    <row r="347" ht="15" customHeight="1">
      <c r="A347" t="inlineStr">
        <is>
          <t>A 4125-2022</t>
        </is>
      </c>
      <c r="B347" t="inlineStr">
        <is>
          <t>avverkningsanmälan</t>
        </is>
      </c>
      <c r="C347" t="inlineStr">
        <is>
          <t>Föryngringsavverkning</t>
        </is>
      </c>
      <c r="D347" s="1" t="n">
        <v>44587</v>
      </c>
      <c r="E347" s="1" t="n">
        <v>46323</v>
      </c>
      <c r="F347" t="inlineStr">
        <is>
          <t>KALMAR LÄN</t>
        </is>
      </c>
      <c r="G347" t="inlineStr">
        <is>
          <t>NYBRO</t>
        </is>
      </c>
      <c r="I347" t="n">
        <v>0.9</v>
      </c>
      <c r="J347" t="n">
        <v>4</v>
      </c>
      <c r="K347" t="n">
        <v>0</v>
      </c>
      <c r="L347" t="n">
        <v>3</v>
      </c>
      <c r="M347" t="n">
        <v>0</v>
      </c>
      <c r="N347" t="n">
        <v>0</v>
      </c>
      <c r="O347" t="n">
        <v>0</v>
      </c>
      <c r="P347" t="n">
        <v>0</v>
      </c>
      <c r="Q347" t="n">
        <v>3</v>
      </c>
      <c r="R347" t="n">
        <v>0</v>
      </c>
      <c r="S347" t="n">
        <v>4</v>
      </c>
      <c r="T347" t="n">
        <v>4</v>
      </c>
      <c r="U347" t="n">
        <v>1</v>
      </c>
      <c r="V347" s="2" t="inlineStr">
        <is>
          <t>Barbastell
Brunlångöra
Nordfladdermus
Dvärgpipistrell</t>
        </is>
      </c>
      <c r="W347">
        <f>HYPERLINK("https://klasma.github.io/Logging_0881/artfynd/A 4125-2022 artfynd.xlsx", "A 4125-2022")</f>
        <v/>
      </c>
      <c r="X347">
        <f>HYPERLINK("https://klasma.github.io/Logging_0881/kartor/A 4125-2022 karta.png", "A 4125-2022")</f>
        <v/>
      </c>
      <c r="Y347">
        <f>HYPERLINK("https://klasma.github.io/Logging_0881/kartor_geotiff/A 4125-2022 georefererad karta.tif", "A 4125-2022")</f>
        <v/>
      </c>
      <c r="AA347">
        <f>HYPERLINK("https://klasma.github.io/Logging_0881/klagomål/A 4125-2022 FSC-klagomål.docx", "A 4125-2022")</f>
        <v/>
      </c>
      <c r="AB347">
        <f>HYPERLINK("https://klasma.github.io/Logging_0881/klagomålsmail/A 4125-2022 FSC-klagomål mail.docx", "A 4125-2022")</f>
        <v/>
      </c>
      <c r="AC347">
        <f>HYPERLINK("https://klasma.github.io/Logging_0881/tillsyn/A 4125-2022 tillsynsbegäran.docx", "A 4125-2022")</f>
        <v/>
      </c>
      <c r="AD347">
        <f>HYPERLINK("https://klasma.github.io/Logging_0881/tillsynsmail/A 4125-2022 tillsynsbegäran mail.docx", "A 4125-2022")</f>
        <v/>
      </c>
    </row>
    <row r="348" ht="15" customHeight="1">
      <c r="A348" t="inlineStr">
        <is>
          <t>A 33206-2022</t>
        </is>
      </c>
      <c r="B348" t="inlineStr">
        <is>
          <t>avverkningsanmälan</t>
        </is>
      </c>
      <c r="C348" t="inlineStr">
        <is>
          <t>Föryngringsavverkning</t>
        </is>
      </c>
      <c r="D348" s="1" t="n">
        <v>44785</v>
      </c>
      <c r="E348" s="1" t="n">
        <v>46323</v>
      </c>
      <c r="F348" t="inlineStr">
        <is>
          <t>KALMAR LÄN</t>
        </is>
      </c>
      <c r="G348" t="inlineStr">
        <is>
          <t>VÄSTERVIK</t>
        </is>
      </c>
      <c r="I348" t="n">
        <v>1.8</v>
      </c>
      <c r="J348" t="n">
        <v>3</v>
      </c>
      <c r="K348" t="n">
        <v>0</v>
      </c>
      <c r="L348" t="n">
        <v>2</v>
      </c>
      <c r="M348" t="n">
        <v>0</v>
      </c>
      <c r="N348" t="n">
        <v>0</v>
      </c>
      <c r="O348" t="n">
        <v>0</v>
      </c>
      <c r="P348" t="n">
        <v>0</v>
      </c>
      <c r="Q348" t="n">
        <v>2</v>
      </c>
      <c r="R348" t="n">
        <v>0</v>
      </c>
      <c r="S348" t="n">
        <v>4</v>
      </c>
      <c r="T348" t="n">
        <v>4</v>
      </c>
      <c r="U348" t="n">
        <v>4</v>
      </c>
      <c r="V348" s="2" t="inlineStr">
        <is>
          <t>Tallticka
Talltita
Mattlummer
Tofsmes</t>
        </is>
      </c>
      <c r="W348">
        <f>HYPERLINK("https://klasma.github.io/Logging_0883/artfynd/A 33206-2022 artfynd.xlsx", "A 33206-2022")</f>
        <v/>
      </c>
      <c r="X348">
        <f>HYPERLINK("https://klasma.github.io/Logging_0883/kartor/A 33206-2022 karta.png", "A 33206-2022")</f>
        <v/>
      </c>
      <c r="Y348">
        <f>HYPERLINK("https://klasma.github.io/Logging_0883/kartor_geotiff/A 33206-2022 georefererad karta.tif", "A 33206-2022")</f>
        <v/>
      </c>
      <c r="AA348">
        <f>HYPERLINK("https://klasma.github.io/Logging_0883/klagomål/A 33206-2022 FSC-klagomål.docx", "A 33206-2022")</f>
        <v/>
      </c>
      <c r="AB348">
        <f>HYPERLINK("https://klasma.github.io/Logging_0883/klagomålsmail/A 33206-2022 FSC-klagomål mail.docx", "A 33206-2022")</f>
        <v/>
      </c>
      <c r="AC348">
        <f>HYPERLINK("https://klasma.github.io/Logging_0883/tillsyn/A 33206-2022 tillsynsbegäran.docx", "A 33206-2022")</f>
        <v/>
      </c>
      <c r="AD348">
        <f>HYPERLINK("https://klasma.github.io/Logging_0883/tillsynsmail/A 33206-2022 tillsynsbegäran mail.docx", "A 33206-2022")</f>
        <v/>
      </c>
      <c r="AE348">
        <f>HYPERLINK("https://klasma.github.io/Logging_0883/fåglar/A 33206-2022 prioriterade fågelarter.docx", "A 33206-2022")</f>
        <v/>
      </c>
    </row>
    <row r="349" ht="15" customHeight="1">
      <c r="A349" t="inlineStr">
        <is>
          <t>A 11409-2023</t>
        </is>
      </c>
      <c r="B349" t="inlineStr">
        <is>
          <t>avverkningsanmälan</t>
        </is>
      </c>
      <c r="C349" t="inlineStr">
        <is>
          <t>Föryngringsavverkning</t>
        </is>
      </c>
      <c r="D349" s="1" t="n">
        <v>44993</v>
      </c>
      <c r="E349" s="1" t="n">
        <v>46323</v>
      </c>
      <c r="F349" t="inlineStr">
        <is>
          <t>KALMAR LÄN</t>
        </is>
      </c>
      <c r="G349" t="inlineStr">
        <is>
          <t>KALMAR</t>
        </is>
      </c>
      <c r="I349" t="n">
        <v>7.6</v>
      </c>
      <c r="J349" t="n">
        <v>2</v>
      </c>
      <c r="K349" t="n">
        <v>1</v>
      </c>
      <c r="L349" t="n">
        <v>2</v>
      </c>
      <c r="M349" t="n">
        <v>1</v>
      </c>
      <c r="N349" t="n">
        <v>0</v>
      </c>
      <c r="O349" t="n">
        <v>0</v>
      </c>
      <c r="P349" t="n">
        <v>0</v>
      </c>
      <c r="Q349" t="n">
        <v>3</v>
      </c>
      <c r="R349" t="n">
        <v>1</v>
      </c>
      <c r="S349" t="n">
        <v>4</v>
      </c>
      <c r="T349" t="n">
        <v>4</v>
      </c>
      <c r="U349" t="n">
        <v>2</v>
      </c>
      <c r="V349" s="2" t="inlineStr">
        <is>
          <t>Gullvivefjäril
Gullklöver
Nordfladdermus
Ekoxe</t>
        </is>
      </c>
      <c r="W349">
        <f>HYPERLINK("https://klasma.github.io/Logging_0880/artfynd/A 11409-2023 artfynd.xlsx", "A 11409-2023")</f>
        <v/>
      </c>
      <c r="X349">
        <f>HYPERLINK("https://klasma.github.io/Logging_0880/kartor/A 11409-2023 karta.png", "A 11409-2023")</f>
        <v/>
      </c>
      <c r="Y349">
        <f>HYPERLINK("https://klasma.github.io/Logging_0880/kartor_geotiff/A 11409-2023 georefererad karta.tif", "A 11409-2023")</f>
        <v/>
      </c>
      <c r="AA349">
        <f>HYPERLINK("https://klasma.github.io/Logging_0880/klagomål/A 11409-2023 FSC-klagomål.docx", "A 11409-2023")</f>
        <v/>
      </c>
      <c r="AB349">
        <f>HYPERLINK("https://klasma.github.io/Logging_0880/klagomålsmail/A 11409-2023 FSC-klagomål mail.docx", "A 11409-2023")</f>
        <v/>
      </c>
      <c r="AC349">
        <f>HYPERLINK("https://klasma.github.io/Logging_0880/tillsyn/A 11409-2023 tillsynsbegäran.docx", "A 11409-2023")</f>
        <v/>
      </c>
      <c r="AD349">
        <f>HYPERLINK("https://klasma.github.io/Logging_0880/tillsynsmail/A 11409-2023 tillsynsbegäran mail.docx", "A 11409-2023")</f>
        <v/>
      </c>
    </row>
    <row r="350" ht="15" customHeight="1">
      <c r="A350" t="inlineStr">
        <is>
          <t>A 51078-2023</t>
        </is>
      </c>
      <c r="B350" t="inlineStr">
        <is>
          <t>avverkningsanmälan</t>
        </is>
      </c>
      <c r="C350" t="inlineStr">
        <is>
          <t>Avverkning för annat ändamål</t>
        </is>
      </c>
      <c r="D350" s="1" t="n">
        <v>45218</v>
      </c>
      <c r="E350" s="1" t="n">
        <v>46323</v>
      </c>
      <c r="F350" t="inlineStr">
        <is>
          <t>KALMAR LÄN</t>
        </is>
      </c>
      <c r="G350" t="inlineStr">
        <is>
          <t>OSKARSHAMN</t>
        </is>
      </c>
      <c r="I350" t="n">
        <v>2.9</v>
      </c>
      <c r="J350" t="n">
        <v>4</v>
      </c>
      <c r="K350" t="n">
        <v>0</v>
      </c>
      <c r="L350" t="n">
        <v>2</v>
      </c>
      <c r="M350" t="n">
        <v>0</v>
      </c>
      <c r="N350" t="n">
        <v>0</v>
      </c>
      <c r="O350" t="n">
        <v>0</v>
      </c>
      <c r="P350" t="n">
        <v>0</v>
      </c>
      <c r="Q350" t="n">
        <v>2</v>
      </c>
      <c r="R350" t="n">
        <v>0</v>
      </c>
      <c r="S350" t="n">
        <v>4</v>
      </c>
      <c r="T350" t="n">
        <v>4</v>
      </c>
      <c r="U350" t="n">
        <v>0</v>
      </c>
      <c r="V350" s="2" t="inlineStr">
        <is>
          <t>Gulsparv
Nötkråka
Spillkråka
Kungsfågel</t>
        </is>
      </c>
      <c r="W350">
        <f>HYPERLINK("https://klasma.github.io/Logging_0882/artfynd/A 51078-2023 artfynd.xlsx", "A 51078-2023")</f>
        <v/>
      </c>
      <c r="X350">
        <f>HYPERLINK("https://klasma.github.io/Logging_0882/kartor/A 51078-2023 karta.png", "A 51078-2023")</f>
        <v/>
      </c>
      <c r="Y350">
        <f>HYPERLINK("https://klasma.github.io/Logging_0882/kartor_geotiff/A 51078-2023 georefererad karta.tif", "A 51078-2023")</f>
        <v/>
      </c>
      <c r="AA350">
        <f>HYPERLINK("https://klasma.github.io/Logging_0882/klagomål/A 51078-2023 FSC-klagomål.docx", "A 51078-2023")</f>
        <v/>
      </c>
      <c r="AB350">
        <f>HYPERLINK("https://klasma.github.io/Logging_0882/klagomålsmail/A 51078-2023 FSC-klagomål mail.docx", "A 51078-2023")</f>
        <v/>
      </c>
      <c r="AC350">
        <f>HYPERLINK("https://klasma.github.io/Logging_0882/tillsyn/A 51078-2023 tillsynsbegäran.docx", "A 51078-2023")</f>
        <v/>
      </c>
      <c r="AD350">
        <f>HYPERLINK("https://klasma.github.io/Logging_0882/tillsynsmail/A 51078-2023 tillsynsbegäran mail.docx", "A 51078-2023")</f>
        <v/>
      </c>
      <c r="AE350">
        <f>HYPERLINK("https://klasma.github.io/Logging_0882/fåglar/A 51078-2023 prioriterade fågelarter.docx", "A 51078-2023")</f>
        <v/>
      </c>
    </row>
    <row r="351" ht="15" customHeight="1">
      <c r="A351" t="inlineStr">
        <is>
          <t>A 26695-2023</t>
        </is>
      </c>
      <c r="B351" t="inlineStr">
        <is>
          <t>avverkningsanmälan</t>
        </is>
      </c>
      <c r="C351" t="inlineStr">
        <is>
          <t>Föryngringsavverkning</t>
        </is>
      </c>
      <c r="D351" s="1" t="n">
        <v>45093</v>
      </c>
      <c r="E351" s="1" t="n">
        <v>46323</v>
      </c>
      <c r="F351" t="inlineStr">
        <is>
          <t>KALMAR LÄN</t>
        </is>
      </c>
      <c r="G351" t="inlineStr">
        <is>
          <t>NYBRO</t>
        </is>
      </c>
      <c r="I351" t="n">
        <v>1.4</v>
      </c>
      <c r="J351" t="n">
        <v>3</v>
      </c>
      <c r="K351" t="n">
        <v>1</v>
      </c>
      <c r="L351" t="n">
        <v>2</v>
      </c>
      <c r="M351" t="n">
        <v>0</v>
      </c>
      <c r="N351" t="n">
        <v>0</v>
      </c>
      <c r="O351" t="n">
        <v>0</v>
      </c>
      <c r="P351" t="n">
        <v>0</v>
      </c>
      <c r="Q351" t="n">
        <v>2</v>
      </c>
      <c r="R351" t="n">
        <v>0</v>
      </c>
      <c r="S351" t="n">
        <v>4</v>
      </c>
      <c r="T351" t="n">
        <v>4</v>
      </c>
      <c r="U351" t="n">
        <v>4</v>
      </c>
      <c r="V351" s="2" t="inlineStr">
        <is>
          <t>Järnsparv
Talltita
Vågbandad barkbock
Kungsfågel</t>
        </is>
      </c>
      <c r="W351">
        <f>HYPERLINK("https://klasma.github.io/Logging_0881/artfynd/A 26695-2023 artfynd.xlsx", "A 26695-2023")</f>
        <v/>
      </c>
      <c r="X351">
        <f>HYPERLINK("https://klasma.github.io/Logging_0881/kartor/A 26695-2023 karta.png", "A 26695-2023")</f>
        <v/>
      </c>
      <c r="Y351">
        <f>HYPERLINK("https://klasma.github.io/Logging_0881/kartor_geotiff/A 26695-2023 georefererad karta.tif", "A 26695-2023")</f>
        <v/>
      </c>
      <c r="AA351">
        <f>HYPERLINK("https://klasma.github.io/Logging_0881/klagomål/A 26695-2023 FSC-klagomål.docx", "A 26695-2023")</f>
        <v/>
      </c>
      <c r="AB351">
        <f>HYPERLINK("https://klasma.github.io/Logging_0881/klagomålsmail/A 26695-2023 FSC-klagomål mail.docx", "A 26695-2023")</f>
        <v/>
      </c>
      <c r="AC351">
        <f>HYPERLINK("https://klasma.github.io/Logging_0881/tillsyn/A 26695-2023 tillsynsbegäran.docx", "A 26695-2023")</f>
        <v/>
      </c>
      <c r="AD351">
        <f>HYPERLINK("https://klasma.github.io/Logging_0881/tillsynsmail/A 26695-2023 tillsynsbegäran mail.docx", "A 26695-2023")</f>
        <v/>
      </c>
      <c r="AE351">
        <f>HYPERLINK("https://klasma.github.io/Logging_0881/fåglar/A 26695-2023 prioriterade fågelarter.docx", "A 26695-2023")</f>
        <v/>
      </c>
    </row>
    <row r="352" ht="15" customHeight="1">
      <c r="A352" t="inlineStr">
        <is>
          <t>A 57171-2022</t>
        </is>
      </c>
      <c r="B352" t="inlineStr">
        <is>
          <t>avverkningsanmälan</t>
        </is>
      </c>
      <c r="C352" t="inlineStr">
        <is>
          <t>Föryngringsavverkning</t>
        </is>
      </c>
      <c r="D352" s="1" t="n">
        <v>44895</v>
      </c>
      <c r="E352" s="1" t="n">
        <v>46323</v>
      </c>
      <c r="F352" t="inlineStr">
        <is>
          <t>KALMAR LÄN</t>
        </is>
      </c>
      <c r="G352" t="inlineStr">
        <is>
          <t>HÖGSBY</t>
        </is>
      </c>
      <c r="I352" t="n">
        <v>4.3</v>
      </c>
      <c r="J352" t="n">
        <v>3</v>
      </c>
      <c r="K352" t="n">
        <v>0</v>
      </c>
      <c r="L352" t="n">
        <v>3</v>
      </c>
      <c r="M352" t="n">
        <v>0</v>
      </c>
      <c r="N352" t="n">
        <v>0</v>
      </c>
      <c r="O352" t="n">
        <v>0</v>
      </c>
      <c r="P352" t="n">
        <v>0</v>
      </c>
      <c r="Q352" t="n">
        <v>3</v>
      </c>
      <c r="R352" t="n">
        <v>0</v>
      </c>
      <c r="S352" t="n">
        <v>4</v>
      </c>
      <c r="T352" t="n">
        <v>4</v>
      </c>
      <c r="U352" t="n">
        <v>4</v>
      </c>
      <c r="V352" s="2" t="inlineStr">
        <is>
          <t>Gulsparv
Mindre träfjäril
Talltita
Gröngöling</t>
        </is>
      </c>
      <c r="W352">
        <f>HYPERLINK("https://klasma.github.io/Logging_0821/artfynd/A 57171-2022 artfynd.xlsx", "A 57171-2022")</f>
        <v/>
      </c>
      <c r="X352">
        <f>HYPERLINK("https://klasma.github.io/Logging_0821/kartor/A 57171-2022 karta.png", "A 57171-2022")</f>
        <v/>
      </c>
      <c r="Y352">
        <f>HYPERLINK("https://klasma.github.io/Logging_0821/kartor_geotiff/A 57171-2022 georefererad karta.tif", "A 57171-2022")</f>
        <v/>
      </c>
      <c r="AA352">
        <f>HYPERLINK("https://klasma.github.io/Logging_0821/klagomål/A 57171-2022 FSC-klagomål.docx", "A 57171-2022")</f>
        <v/>
      </c>
      <c r="AB352">
        <f>HYPERLINK("https://klasma.github.io/Logging_0821/klagomålsmail/A 57171-2022 FSC-klagomål mail.docx", "A 57171-2022")</f>
        <v/>
      </c>
      <c r="AC352">
        <f>HYPERLINK("https://klasma.github.io/Logging_0821/tillsyn/A 57171-2022 tillsynsbegäran.docx", "A 57171-2022")</f>
        <v/>
      </c>
      <c r="AD352">
        <f>HYPERLINK("https://klasma.github.io/Logging_0821/tillsynsmail/A 57171-2022 tillsynsbegäran mail.docx", "A 57171-2022")</f>
        <v/>
      </c>
      <c r="AE352">
        <f>HYPERLINK("https://klasma.github.io/Logging_0821/fåglar/A 57171-2022 prioriterade fågelarter.docx", "A 57171-2022")</f>
        <v/>
      </c>
    </row>
    <row r="353" ht="15" customHeight="1">
      <c r="A353" t="inlineStr">
        <is>
          <t>A 18694-2024</t>
        </is>
      </c>
      <c r="B353" t="inlineStr">
        <is>
          <t>avverkningsanmälan</t>
        </is>
      </c>
      <c r="C353" t="inlineStr">
        <is>
          <t>Föryngringsavverkning</t>
        </is>
      </c>
      <c r="D353" s="1" t="n">
        <v>45426</v>
      </c>
      <c r="E353" s="1" t="n">
        <v>46323</v>
      </c>
      <c r="F353" t="inlineStr">
        <is>
          <t>KALMAR LÄN</t>
        </is>
      </c>
      <c r="G353" t="inlineStr">
        <is>
          <t>TORSÅS</t>
        </is>
      </c>
      <c r="I353" t="n">
        <v>3</v>
      </c>
      <c r="J353" t="n">
        <v>2</v>
      </c>
      <c r="K353" t="n">
        <v>2</v>
      </c>
      <c r="L353" t="n">
        <v>0</v>
      </c>
      <c r="M353" t="n">
        <v>0</v>
      </c>
      <c r="N353" t="n">
        <v>0</v>
      </c>
      <c r="O353" t="n">
        <v>0</v>
      </c>
      <c r="P353" t="n">
        <v>0</v>
      </c>
      <c r="Q353" t="n">
        <v>0</v>
      </c>
      <c r="R353" t="n">
        <v>0</v>
      </c>
      <c r="S353" t="n">
        <v>4</v>
      </c>
      <c r="T353" t="n">
        <v>4</v>
      </c>
      <c r="U353" t="n">
        <v>4</v>
      </c>
      <c r="V353" s="2" t="inlineStr">
        <is>
          <t>Blåmossa
Grovticka
Spillkråka
Revlummer</t>
        </is>
      </c>
      <c r="W353">
        <f>HYPERLINK("https://klasma.github.io/Logging_0834/artfynd/A 18694-2024 artfynd.xlsx", "A 18694-2024")</f>
        <v/>
      </c>
      <c r="X353">
        <f>HYPERLINK("https://klasma.github.io/Logging_0834/kartor/A 18694-2024 karta.png", "A 18694-2024")</f>
        <v/>
      </c>
      <c r="Y353">
        <f>HYPERLINK("https://klasma.github.io/Logging_0834/kartor_geotiff/A 18694-2024 georefererad karta.tif", "A 18694-2024")</f>
        <v/>
      </c>
      <c r="AA353">
        <f>HYPERLINK("https://klasma.github.io/Logging_0834/klagomål/A 18694-2024 FSC-klagomål.docx", "A 18694-2024")</f>
        <v/>
      </c>
      <c r="AB353">
        <f>HYPERLINK("https://klasma.github.io/Logging_0834/klagomålsmail/A 18694-2024 FSC-klagomål mail.docx", "A 18694-2024")</f>
        <v/>
      </c>
      <c r="AC353">
        <f>HYPERLINK("https://klasma.github.io/Logging_0834/tillsyn/A 18694-2024 tillsynsbegäran.docx", "A 18694-2024")</f>
        <v/>
      </c>
      <c r="AD353">
        <f>HYPERLINK("https://klasma.github.io/Logging_0834/tillsynsmail/A 18694-2024 tillsynsbegäran mail.docx", "A 18694-2024")</f>
        <v/>
      </c>
      <c r="AE353">
        <f>HYPERLINK("https://klasma.github.io/Logging_0834/fåglar/A 18694-2024 prioriterade fågelarter.docx", "A 18694-2024")</f>
        <v/>
      </c>
    </row>
    <row r="354" ht="15" customHeight="1">
      <c r="A354" t="inlineStr">
        <is>
          <t>A 18134-2024</t>
        </is>
      </c>
      <c r="B354" t="inlineStr">
        <is>
          <t>avverkningsanmälan</t>
        </is>
      </c>
      <c r="C354" t="inlineStr">
        <is>
          <t>Avverkning för annat ändamål</t>
        </is>
      </c>
      <c r="D354" s="1" t="n">
        <v>45420</v>
      </c>
      <c r="E354" s="1" t="n">
        <v>46323</v>
      </c>
      <c r="F354" t="inlineStr">
        <is>
          <t>KALMAR LÄN</t>
        </is>
      </c>
      <c r="G354" t="inlineStr">
        <is>
          <t>HULTSFRED</t>
        </is>
      </c>
      <c r="I354" t="n">
        <v>3.1</v>
      </c>
      <c r="J354" t="n">
        <v>4</v>
      </c>
      <c r="K354" t="n">
        <v>0</v>
      </c>
      <c r="L354" t="n">
        <v>2</v>
      </c>
      <c r="M354" t="n">
        <v>0</v>
      </c>
      <c r="N354" t="n">
        <v>0</v>
      </c>
      <c r="O354" t="n">
        <v>0</v>
      </c>
      <c r="P354" t="n">
        <v>0</v>
      </c>
      <c r="Q354" t="n">
        <v>2</v>
      </c>
      <c r="R354" t="n">
        <v>0</v>
      </c>
      <c r="S354" t="n">
        <v>4</v>
      </c>
      <c r="T354" t="n">
        <v>4</v>
      </c>
      <c r="U354" t="n">
        <v>0</v>
      </c>
      <c r="V354" s="2" t="inlineStr">
        <is>
          <t>Gulsparv
Göktyta
Spillkråka
Kungsfågel</t>
        </is>
      </c>
      <c r="W354">
        <f>HYPERLINK("https://klasma.github.io/Logging_0860/artfynd/A 18134-2024 artfynd.xlsx", "A 18134-2024")</f>
        <v/>
      </c>
      <c r="X354">
        <f>HYPERLINK("https://klasma.github.io/Logging_0860/kartor/A 18134-2024 karta.png", "A 18134-2024")</f>
        <v/>
      </c>
      <c r="Y354">
        <f>HYPERLINK("https://klasma.github.io/Logging_0860/kartor_geotiff/A 18134-2024 georefererad karta.tif", "A 18134-2024")</f>
        <v/>
      </c>
      <c r="AA354">
        <f>HYPERLINK("https://klasma.github.io/Logging_0860/klagomål/A 18134-2024 FSC-klagomål.docx", "A 18134-2024")</f>
        <v/>
      </c>
      <c r="AB354">
        <f>HYPERLINK("https://klasma.github.io/Logging_0860/klagomålsmail/A 18134-2024 FSC-klagomål mail.docx", "A 18134-2024")</f>
        <v/>
      </c>
      <c r="AC354">
        <f>HYPERLINK("https://klasma.github.io/Logging_0860/tillsyn/A 18134-2024 tillsynsbegäran.docx", "A 18134-2024")</f>
        <v/>
      </c>
      <c r="AD354">
        <f>HYPERLINK("https://klasma.github.io/Logging_0860/tillsynsmail/A 18134-2024 tillsynsbegäran mail.docx", "A 18134-2024")</f>
        <v/>
      </c>
      <c r="AE354">
        <f>HYPERLINK("https://klasma.github.io/Logging_0860/fåglar/A 18134-2024 prioriterade fågelarter.docx", "A 18134-2024")</f>
        <v/>
      </c>
    </row>
    <row r="355" ht="15" customHeight="1">
      <c r="A355" t="inlineStr">
        <is>
          <t>A 2126-2024</t>
        </is>
      </c>
      <c r="B355" t="inlineStr">
        <is>
          <t>avverkningsanmälan</t>
        </is>
      </c>
      <c r="C355" t="inlineStr">
        <is>
          <t>Föryngringsavverkning</t>
        </is>
      </c>
      <c r="D355" s="1" t="n">
        <v>45309</v>
      </c>
      <c r="E355" s="1" t="n">
        <v>46323</v>
      </c>
      <c r="F355" t="inlineStr">
        <is>
          <t>KALMAR LÄN</t>
        </is>
      </c>
      <c r="G355" t="inlineStr">
        <is>
          <t>VÄSTERVIK</t>
        </is>
      </c>
      <c r="I355" t="n">
        <v>3.8</v>
      </c>
      <c r="J355" t="n">
        <v>3</v>
      </c>
      <c r="K355" t="n">
        <v>0</v>
      </c>
      <c r="L355" t="n">
        <v>2</v>
      </c>
      <c r="M355" t="n">
        <v>1</v>
      </c>
      <c r="N355" t="n">
        <v>0</v>
      </c>
      <c r="O355" t="n">
        <v>0</v>
      </c>
      <c r="P355" t="n">
        <v>0</v>
      </c>
      <c r="Q355" t="n">
        <v>3</v>
      </c>
      <c r="R355" t="n">
        <v>1</v>
      </c>
      <c r="S355" t="n">
        <v>4</v>
      </c>
      <c r="T355" t="n">
        <v>7</v>
      </c>
      <c r="U355" t="n">
        <v>6</v>
      </c>
      <c r="V355" s="2" t="inlineStr">
        <is>
          <t>Knärot
Tallticka
Talltita
Tjäder</t>
        </is>
      </c>
      <c r="W355">
        <f>HYPERLINK("https://klasma.github.io/Logging_0883/artfynd/A 2126-2024 artfynd.xlsx", "A 2126-2024")</f>
        <v/>
      </c>
      <c r="X355">
        <f>HYPERLINK("https://klasma.github.io/Logging_0883/kartor/A 2126-2024 karta.png", "A 2126-2024")</f>
        <v/>
      </c>
      <c r="Y355">
        <f>HYPERLINK("https://klasma.github.io/Logging_0883/kartor_geotiff/A 2126-2024 georefererad karta.tif", "A 2126-2024")</f>
        <v/>
      </c>
      <c r="Z355">
        <f>HYPERLINK("https://klasma.github.io/Logging_0883/knärot/A 2126-2024 karta knärot.png", "A 2126-2024")</f>
        <v/>
      </c>
      <c r="AA355">
        <f>HYPERLINK("https://klasma.github.io/Logging_0883/klagomål/A 2126-2024 FSC-klagomål.docx", "A 2126-2024")</f>
        <v/>
      </c>
      <c r="AB355">
        <f>HYPERLINK("https://klasma.github.io/Logging_0883/klagomålsmail/A 2126-2024 FSC-klagomål mail.docx", "A 2126-2024")</f>
        <v/>
      </c>
      <c r="AC355">
        <f>HYPERLINK("https://klasma.github.io/Logging_0883/tillsyn/A 2126-2024 tillsynsbegäran.docx", "A 2126-2024")</f>
        <v/>
      </c>
      <c r="AD355">
        <f>HYPERLINK("https://klasma.github.io/Logging_0883/tillsynsmail/A 2126-2024 tillsynsbegäran mail.docx", "A 2126-2024")</f>
        <v/>
      </c>
      <c r="AE355">
        <f>HYPERLINK("https://klasma.github.io/Logging_0883/fåglar/A 2126-2024 prioriterade fågelarter.docx", "A 2126-2024")</f>
        <v/>
      </c>
    </row>
    <row r="356" ht="15" customHeight="1">
      <c r="A356" t="inlineStr">
        <is>
          <t>A 33105-2025</t>
        </is>
      </c>
      <c r="B356" t="inlineStr">
        <is>
          <t>avverkningsanmälan</t>
        </is>
      </c>
      <c r="C356" t="inlineStr">
        <is>
          <t>Avverkning för att bevara och utveckla /försöksver</t>
        </is>
      </c>
      <c r="D356" s="1" t="n">
        <v>45840</v>
      </c>
      <c r="E356" s="1" t="n">
        <v>46323</v>
      </c>
      <c r="F356" t="inlineStr">
        <is>
          <t>KALMAR LÄN</t>
        </is>
      </c>
      <c r="G356" t="inlineStr">
        <is>
          <t>MÖNSTERÅS</t>
        </is>
      </c>
      <c r="I356" t="n">
        <v>6</v>
      </c>
      <c r="J356" t="n">
        <v>1</v>
      </c>
      <c r="K356" t="n">
        <v>1</v>
      </c>
      <c r="L356" t="n">
        <v>2</v>
      </c>
      <c r="M356" t="n">
        <v>0</v>
      </c>
      <c r="N356" t="n">
        <v>0</v>
      </c>
      <c r="O356" t="n">
        <v>0</v>
      </c>
      <c r="P356" t="n">
        <v>0</v>
      </c>
      <c r="Q356" t="n">
        <v>2</v>
      </c>
      <c r="R356" t="n">
        <v>0</v>
      </c>
      <c r="S356" t="n">
        <v>4</v>
      </c>
      <c r="T356" t="n">
        <v>23</v>
      </c>
      <c r="U356" t="n">
        <v>23</v>
      </c>
      <c r="V356" s="2" t="inlineStr">
        <is>
          <t>Tallticka
Vedskivlav
Grovticka
Spillkråka</t>
        </is>
      </c>
      <c r="W356">
        <f>HYPERLINK("https://klasma.github.io/Logging_0861/artfynd/A 33105-2025 artfynd.xlsx", "A 33105-2025")</f>
        <v/>
      </c>
      <c r="X356">
        <f>HYPERLINK("https://klasma.github.io/Logging_0861/kartor/A 33105-2025 karta.png", "A 33105-2025")</f>
        <v/>
      </c>
      <c r="Y356">
        <f>HYPERLINK("https://klasma.github.io/Logging_0861/kartor_geotiff/A 33105-2025 georefererad karta.tif", "A 33105-2025")</f>
        <v/>
      </c>
      <c r="AA356">
        <f>HYPERLINK("https://klasma.github.io/Logging_0861/klagomål/A 33105-2025 FSC-klagomål.docx", "A 33105-2025")</f>
        <v/>
      </c>
      <c r="AB356">
        <f>HYPERLINK("https://klasma.github.io/Logging_0861/klagomålsmail/A 33105-2025 FSC-klagomål mail.docx", "A 33105-2025")</f>
        <v/>
      </c>
      <c r="AC356">
        <f>HYPERLINK("https://klasma.github.io/Logging_0861/tillsyn/A 33105-2025 tillsynsbegäran.docx", "A 33105-2025")</f>
        <v/>
      </c>
      <c r="AD356">
        <f>HYPERLINK("https://klasma.github.io/Logging_0861/tillsynsmail/A 33105-2025 tillsynsbegäran mail.docx", "A 33105-2025")</f>
        <v/>
      </c>
      <c r="AE356">
        <f>HYPERLINK("https://klasma.github.io/Logging_0861/fåglar/A 33105-2025 prioriterade fågelarter.docx", "A 33105-2025")</f>
        <v/>
      </c>
    </row>
    <row r="357" ht="15" customHeight="1">
      <c r="A357" t="inlineStr">
        <is>
          <t>A 35214-2025</t>
        </is>
      </c>
      <c r="B357" t="inlineStr">
        <is>
          <t>avverkningsanmälan</t>
        </is>
      </c>
      <c r="C357" t="inlineStr">
        <is>
          <t>Föryngringsavverkning</t>
        </is>
      </c>
      <c r="D357" s="1" t="n">
        <v>45853</v>
      </c>
      <c r="E357" s="1" t="n">
        <v>46323</v>
      </c>
      <c r="F357" t="inlineStr">
        <is>
          <t>KALMAR LÄN</t>
        </is>
      </c>
      <c r="G357" t="inlineStr">
        <is>
          <t>VÄSTERVIK</t>
        </is>
      </c>
      <c r="I357" t="n">
        <v>10.7</v>
      </c>
      <c r="J357" t="n">
        <v>3</v>
      </c>
      <c r="K357" t="n">
        <v>1</v>
      </c>
      <c r="L357" t="n">
        <v>2</v>
      </c>
      <c r="M357" t="n">
        <v>0</v>
      </c>
      <c r="N357" t="n">
        <v>0</v>
      </c>
      <c r="O357" t="n">
        <v>0</v>
      </c>
      <c r="P357" t="n">
        <v>0</v>
      </c>
      <c r="Q357" t="n">
        <v>2</v>
      </c>
      <c r="R357" t="n">
        <v>0</v>
      </c>
      <c r="S357" t="n">
        <v>4</v>
      </c>
      <c r="T357" t="n">
        <v>5</v>
      </c>
      <c r="U357" t="n">
        <v>5</v>
      </c>
      <c r="V357" s="2" t="inlineStr">
        <is>
          <t>Entita
Talltita
Blåmossa
Kungsfågel</t>
        </is>
      </c>
      <c r="W357">
        <f>HYPERLINK("https://klasma.github.io/Logging_0883/artfynd/A 35214-2025 artfynd.xlsx", "A 35214-2025")</f>
        <v/>
      </c>
      <c r="X357">
        <f>HYPERLINK("https://klasma.github.io/Logging_0883/kartor/A 35214-2025 karta.png", "A 35214-2025")</f>
        <v/>
      </c>
      <c r="Y357">
        <f>HYPERLINK("https://klasma.github.io/Logging_0883/kartor_geotiff/A 35214-2025 georefererad karta.tif", "A 35214-2025")</f>
        <v/>
      </c>
      <c r="AA357">
        <f>HYPERLINK("https://klasma.github.io/Logging_0883/klagomål/A 35214-2025 FSC-klagomål.docx", "A 35214-2025")</f>
        <v/>
      </c>
      <c r="AB357">
        <f>HYPERLINK("https://klasma.github.io/Logging_0883/klagomålsmail/A 35214-2025 FSC-klagomål mail.docx", "A 35214-2025")</f>
        <v/>
      </c>
      <c r="AC357">
        <f>HYPERLINK("https://klasma.github.io/Logging_0883/tillsyn/A 35214-2025 tillsynsbegäran.docx", "A 35214-2025")</f>
        <v/>
      </c>
      <c r="AD357">
        <f>HYPERLINK("https://klasma.github.io/Logging_0883/tillsynsmail/A 35214-2025 tillsynsbegäran mail.docx", "A 35214-2025")</f>
        <v/>
      </c>
      <c r="AE357">
        <f>HYPERLINK("https://klasma.github.io/Logging_0883/fåglar/A 35214-2025 prioriterade fågelarter.docx", "A 35214-2025")</f>
        <v/>
      </c>
    </row>
    <row r="358" ht="15" customHeight="1">
      <c r="A358" t="inlineStr">
        <is>
          <t>A 13556-2025</t>
        </is>
      </c>
      <c r="B358" t="inlineStr">
        <is>
          <t>avverkningsanmälan</t>
        </is>
      </c>
      <c r="C358" t="inlineStr">
        <is>
          <t>Föryngringsavverkning</t>
        </is>
      </c>
      <c r="D358" s="1" t="n">
        <v>45736</v>
      </c>
      <c r="E358" s="1" t="n">
        <v>46323</v>
      </c>
      <c r="F358" t="inlineStr">
        <is>
          <t>KALMAR LÄN</t>
        </is>
      </c>
      <c r="G358" t="inlineStr">
        <is>
          <t>BORGHOLM</t>
        </is>
      </c>
      <c r="I358" t="n">
        <v>2.3</v>
      </c>
      <c r="J358" t="n">
        <v>2</v>
      </c>
      <c r="K358" t="n">
        <v>1</v>
      </c>
      <c r="L358" t="n">
        <v>1</v>
      </c>
      <c r="M358" t="n">
        <v>0</v>
      </c>
      <c r="N358" t="n">
        <v>1</v>
      </c>
      <c r="O358" t="n">
        <v>0</v>
      </c>
      <c r="P358" t="n">
        <v>0</v>
      </c>
      <c r="Q358" t="n">
        <v>2</v>
      </c>
      <c r="R358" t="n">
        <v>1</v>
      </c>
      <c r="S358" t="n">
        <v>4</v>
      </c>
      <c r="T358" t="n">
        <v>4</v>
      </c>
      <c r="U358" t="n">
        <v>4</v>
      </c>
      <c r="V358" s="2" t="inlineStr">
        <is>
          <t>Ask
Sårläka
Tvåblad
Nattviol</t>
        </is>
      </c>
      <c r="W358">
        <f>HYPERLINK("https://klasma.github.io/Logging_0885/artfynd/A 13556-2025 artfynd.xlsx", "A 13556-2025")</f>
        <v/>
      </c>
      <c r="X358">
        <f>HYPERLINK("https://klasma.github.io/Logging_0885/kartor/A 13556-2025 karta.png", "A 13556-2025")</f>
        <v/>
      </c>
      <c r="Y358">
        <f>HYPERLINK("https://klasma.github.io/Logging_0885/kartor_geotiff/A 13556-2025 georefererad karta.tif", "A 13556-2025")</f>
        <v/>
      </c>
      <c r="AA358">
        <f>HYPERLINK("https://klasma.github.io/Logging_0885/klagomål/A 13556-2025 FSC-klagomål.docx", "A 13556-2025")</f>
        <v/>
      </c>
      <c r="AB358">
        <f>HYPERLINK("https://klasma.github.io/Logging_0885/klagomålsmail/A 13556-2025 FSC-klagomål mail.docx", "A 13556-2025")</f>
        <v/>
      </c>
      <c r="AC358">
        <f>HYPERLINK("https://klasma.github.io/Logging_0885/tillsyn/A 13556-2025 tillsynsbegäran.docx", "A 13556-2025")</f>
        <v/>
      </c>
      <c r="AD358">
        <f>HYPERLINK("https://klasma.github.io/Logging_0885/tillsynsmail/A 13556-2025 tillsynsbegäran mail.docx", "A 13556-2025")</f>
        <v/>
      </c>
    </row>
    <row r="359" ht="15" customHeight="1">
      <c r="A359" t="inlineStr">
        <is>
          <t>A 54569-2023</t>
        </is>
      </c>
      <c r="B359" t="inlineStr">
        <is>
          <t>avverkningsanmälan</t>
        </is>
      </c>
      <c r="C359" t="inlineStr">
        <is>
          <t>Föryngringsavverkning</t>
        </is>
      </c>
      <c r="D359" s="1" t="n">
        <v>45233</v>
      </c>
      <c r="E359" s="1" t="n">
        <v>46323</v>
      </c>
      <c r="F359" t="inlineStr">
        <is>
          <t>KALMAR LÄN</t>
        </is>
      </c>
      <c r="G359" t="inlineStr">
        <is>
          <t>VÄSTERVIK</t>
        </is>
      </c>
      <c r="H359" t="inlineStr">
        <is>
          <t>Holmen skog AB</t>
        </is>
      </c>
      <c r="I359" t="n">
        <v>1.4</v>
      </c>
      <c r="J359" t="n">
        <v>3</v>
      </c>
      <c r="K359" t="n">
        <v>1</v>
      </c>
      <c r="L359" t="n">
        <v>1</v>
      </c>
      <c r="M359" t="n">
        <v>1</v>
      </c>
      <c r="N359" t="n">
        <v>0</v>
      </c>
      <c r="O359" t="n">
        <v>0</v>
      </c>
      <c r="P359" t="n">
        <v>0</v>
      </c>
      <c r="Q359" t="n">
        <v>2</v>
      </c>
      <c r="R359" t="n">
        <v>1</v>
      </c>
      <c r="S359" t="n">
        <v>4</v>
      </c>
      <c r="T359" t="n">
        <v>4</v>
      </c>
      <c r="U359" t="n">
        <v>4</v>
      </c>
      <c r="V359" s="2" t="inlineStr">
        <is>
          <t>Knärot
Duvhök
Rävticka
Grönsiska</t>
        </is>
      </c>
      <c r="W359">
        <f>HYPERLINK("https://klasma.github.io/Logging_0883/artfynd/A 54569-2023 artfynd.xlsx", "A 54569-2023")</f>
        <v/>
      </c>
      <c r="X359">
        <f>HYPERLINK("https://klasma.github.io/Logging_0883/kartor/A 54569-2023 karta.png", "A 54569-2023")</f>
        <v/>
      </c>
      <c r="Y359">
        <f>HYPERLINK("https://klasma.github.io/Logging_0883/kartor_geotiff/A 54569-2023 georefererad karta.tif", "A 54569-2023")</f>
        <v/>
      </c>
      <c r="Z359">
        <f>HYPERLINK("https://klasma.github.io/Logging_0883/knärot/A 54569-2023 karta knärot.png", "A 54569-2023")</f>
        <v/>
      </c>
      <c r="AA359">
        <f>HYPERLINK("https://klasma.github.io/Logging_0883/klagomål/A 54569-2023 FSC-klagomål.docx", "A 54569-2023")</f>
        <v/>
      </c>
      <c r="AB359">
        <f>HYPERLINK("https://klasma.github.io/Logging_0883/klagomålsmail/A 54569-2023 FSC-klagomål mail.docx", "A 54569-2023")</f>
        <v/>
      </c>
      <c r="AC359">
        <f>HYPERLINK("https://klasma.github.io/Logging_0883/tillsyn/A 54569-2023 tillsynsbegäran.docx", "A 54569-2023")</f>
        <v/>
      </c>
      <c r="AD359">
        <f>HYPERLINK("https://klasma.github.io/Logging_0883/tillsynsmail/A 54569-2023 tillsynsbegäran mail.docx", "A 54569-2023")</f>
        <v/>
      </c>
      <c r="AE359">
        <f>HYPERLINK("https://klasma.github.io/Logging_0883/fåglar/A 54569-2023 prioriterade fågelarter.docx", "A 54569-2023")</f>
        <v/>
      </c>
    </row>
    <row r="360" ht="15" customHeight="1">
      <c r="A360" t="inlineStr">
        <is>
          <t>A 64303-2023</t>
        </is>
      </c>
      <c r="B360" t="inlineStr">
        <is>
          <t>avverkningsanmälan</t>
        </is>
      </c>
      <c r="C360" t="inlineStr">
        <is>
          <t>Avverkning för annat ändamål</t>
        </is>
      </c>
      <c r="D360" s="1" t="n">
        <v>45280</v>
      </c>
      <c r="E360" s="1" t="n">
        <v>46323</v>
      </c>
      <c r="F360" t="inlineStr">
        <is>
          <t>KALMAR LÄN</t>
        </is>
      </c>
      <c r="G360" t="inlineStr">
        <is>
          <t>BORGHOLM</t>
        </is>
      </c>
      <c r="I360" t="n">
        <v>1.2</v>
      </c>
      <c r="J360" t="n">
        <v>0</v>
      </c>
      <c r="K360" t="n">
        <v>1</v>
      </c>
      <c r="L360" t="n">
        <v>2</v>
      </c>
      <c r="M360" t="n">
        <v>1</v>
      </c>
      <c r="N360" t="n">
        <v>0</v>
      </c>
      <c r="O360" t="n">
        <v>0</v>
      </c>
      <c r="P360" t="n">
        <v>0</v>
      </c>
      <c r="Q360" t="n">
        <v>3</v>
      </c>
      <c r="R360" t="n">
        <v>1</v>
      </c>
      <c r="S360" t="n">
        <v>4</v>
      </c>
      <c r="T360" t="n">
        <v>6</v>
      </c>
      <c r="U360" t="n">
        <v>6</v>
      </c>
      <c r="V360" s="2" t="inlineStr">
        <is>
          <t>Skogskorn
Grisspindling
Sårläka
Myskmadra</t>
        </is>
      </c>
      <c r="W360">
        <f>HYPERLINK("https://klasma.github.io/Logging_0885/artfynd/A 64303-2023 artfynd.xlsx", "A 64303-2023")</f>
        <v/>
      </c>
      <c r="X360">
        <f>HYPERLINK("https://klasma.github.io/Logging_0885/kartor/A 64303-2023 karta.png", "A 64303-2023")</f>
        <v/>
      </c>
      <c r="Y360">
        <f>HYPERLINK("https://klasma.github.io/Logging_0885/kartor_geotiff/A 64303-2023 georefererad karta.tif", "A 64303-2023")</f>
        <v/>
      </c>
      <c r="AA360">
        <f>HYPERLINK("https://klasma.github.io/Logging_0885/klagomål/A 64303-2023 FSC-klagomål.docx", "A 64303-2023")</f>
        <v/>
      </c>
      <c r="AB360">
        <f>HYPERLINK("https://klasma.github.io/Logging_0885/klagomålsmail/A 64303-2023 FSC-klagomål mail.docx", "A 64303-2023")</f>
        <v/>
      </c>
      <c r="AC360">
        <f>HYPERLINK("https://klasma.github.io/Logging_0885/tillsyn/A 64303-2023 tillsynsbegäran.docx", "A 64303-2023")</f>
        <v/>
      </c>
      <c r="AD360">
        <f>HYPERLINK("https://klasma.github.io/Logging_0885/tillsynsmail/A 64303-2023 tillsynsbegäran mail.docx", "A 64303-2023")</f>
        <v/>
      </c>
    </row>
    <row r="361" ht="15" customHeight="1">
      <c r="A361" t="inlineStr">
        <is>
          <t>A 15307-2024</t>
        </is>
      </c>
      <c r="B361" t="inlineStr">
        <is>
          <t>avverkningsanmälan</t>
        </is>
      </c>
      <c r="C361" t="inlineStr">
        <is>
          <t>Föryngringsavverkning</t>
        </is>
      </c>
      <c r="D361" s="1" t="n">
        <v>45400</v>
      </c>
      <c r="E361" s="1" t="n">
        <v>46323</v>
      </c>
      <c r="F361" t="inlineStr">
        <is>
          <t>KALMAR LÄN</t>
        </is>
      </c>
      <c r="G361" t="inlineStr">
        <is>
          <t>MÖNSTERÅS</t>
        </is>
      </c>
      <c r="I361" t="n">
        <v>7</v>
      </c>
      <c r="J361" t="n">
        <v>3</v>
      </c>
      <c r="K361" t="n">
        <v>1</v>
      </c>
      <c r="L361" t="n">
        <v>0</v>
      </c>
      <c r="M361" t="n">
        <v>1</v>
      </c>
      <c r="N361" t="n">
        <v>0</v>
      </c>
      <c r="O361" t="n">
        <v>0</v>
      </c>
      <c r="P361" t="n">
        <v>0</v>
      </c>
      <c r="Q361" t="n">
        <v>1</v>
      </c>
      <c r="R361" t="n">
        <v>1</v>
      </c>
      <c r="S361" t="n">
        <v>4</v>
      </c>
      <c r="T361" t="n">
        <v>15</v>
      </c>
      <c r="U361" t="n">
        <v>15</v>
      </c>
      <c r="V361" s="2" t="inlineStr">
        <is>
          <t>Knärot
Grönpyrola
Blåsippa
Spillkråka</t>
        </is>
      </c>
      <c r="W361">
        <f>HYPERLINK("https://klasma.github.io/Logging_0861/artfynd/A 15307-2024 artfynd.xlsx", "A 15307-2024")</f>
        <v/>
      </c>
      <c r="X361">
        <f>HYPERLINK("https://klasma.github.io/Logging_0861/kartor/A 15307-2024 karta.png", "A 15307-2024")</f>
        <v/>
      </c>
      <c r="Y361">
        <f>HYPERLINK("https://klasma.github.io/Logging_0861/kartor_geotiff/A 15307-2024 georefererad karta.tif", "A 15307-2024")</f>
        <v/>
      </c>
      <c r="Z361">
        <f>HYPERLINK("https://klasma.github.io/Logging_0861/knärot/A 15307-2024 karta knärot.png", "A 15307-2024")</f>
        <v/>
      </c>
      <c r="AA361">
        <f>HYPERLINK("https://klasma.github.io/Logging_0861/klagomål/A 15307-2024 FSC-klagomål.docx", "A 15307-2024")</f>
        <v/>
      </c>
      <c r="AB361">
        <f>HYPERLINK("https://klasma.github.io/Logging_0861/klagomålsmail/A 15307-2024 FSC-klagomål mail.docx", "A 15307-2024")</f>
        <v/>
      </c>
      <c r="AC361">
        <f>HYPERLINK("https://klasma.github.io/Logging_0861/tillsyn/A 15307-2024 tillsynsbegäran.docx", "A 15307-2024")</f>
        <v/>
      </c>
      <c r="AD361">
        <f>HYPERLINK("https://klasma.github.io/Logging_0861/tillsynsmail/A 15307-2024 tillsynsbegäran mail.docx", "A 15307-2024")</f>
        <v/>
      </c>
      <c r="AE361">
        <f>HYPERLINK("https://klasma.github.io/Logging_0861/fåglar/A 15307-2024 prioriterade fågelarter.docx", "A 15307-2024")</f>
        <v/>
      </c>
    </row>
    <row r="362" ht="15" customHeight="1">
      <c r="A362" t="inlineStr">
        <is>
          <t>A 14301-2023</t>
        </is>
      </c>
      <c r="B362" t="inlineStr">
        <is>
          <t>avverkningsanmälan</t>
        </is>
      </c>
      <c r="C362" t="inlineStr">
        <is>
          <t>Föryngringsavverkning</t>
        </is>
      </c>
      <c r="D362" s="1" t="n">
        <v>45011</v>
      </c>
      <c r="E362" s="1" t="n">
        <v>46323</v>
      </c>
      <c r="F362" t="inlineStr">
        <is>
          <t>KALMAR LÄN</t>
        </is>
      </c>
      <c r="G362" t="inlineStr">
        <is>
          <t>VÄSTERVIK</t>
        </is>
      </c>
      <c r="I362" t="n">
        <v>4.4</v>
      </c>
      <c r="J362" t="n">
        <v>1</v>
      </c>
      <c r="K362" t="n">
        <v>1</v>
      </c>
      <c r="L362" t="n">
        <v>2</v>
      </c>
      <c r="M362" t="n">
        <v>1</v>
      </c>
      <c r="N362" t="n">
        <v>0</v>
      </c>
      <c r="O362" t="n">
        <v>0</v>
      </c>
      <c r="P362" t="n">
        <v>0</v>
      </c>
      <c r="Q362" t="n">
        <v>3</v>
      </c>
      <c r="R362" t="n">
        <v>1</v>
      </c>
      <c r="S362" t="n">
        <v>4</v>
      </c>
      <c r="T362" t="n">
        <v>19</v>
      </c>
      <c r="U362" t="n">
        <v>19</v>
      </c>
      <c r="V362" s="2" t="inlineStr">
        <is>
          <t>Knärot
Tallticka
Ullticka
Grönpyrola</t>
        </is>
      </c>
      <c r="W362">
        <f>HYPERLINK("https://klasma.github.io/Logging_0883/artfynd/A 14301-2023 artfynd.xlsx", "A 14301-2023")</f>
        <v/>
      </c>
      <c r="X362">
        <f>HYPERLINK("https://klasma.github.io/Logging_0883/kartor/A 14301-2023 karta.png", "A 14301-2023")</f>
        <v/>
      </c>
      <c r="Y362">
        <f>HYPERLINK("https://klasma.github.io/Logging_0883/kartor_geotiff/A 14301-2023 georefererad karta.tif", "A 14301-2023")</f>
        <v/>
      </c>
      <c r="Z362">
        <f>HYPERLINK("https://klasma.github.io/Logging_0883/knärot/A 14301-2023 karta knärot.png", "A 14301-2023")</f>
        <v/>
      </c>
      <c r="AA362">
        <f>HYPERLINK("https://klasma.github.io/Logging_0883/klagomål/A 14301-2023 FSC-klagomål.docx", "A 14301-2023")</f>
        <v/>
      </c>
      <c r="AB362">
        <f>HYPERLINK("https://klasma.github.io/Logging_0883/klagomålsmail/A 14301-2023 FSC-klagomål mail.docx", "A 14301-2023")</f>
        <v/>
      </c>
      <c r="AC362">
        <f>HYPERLINK("https://klasma.github.io/Logging_0883/tillsyn/A 14301-2023 tillsynsbegäran.docx", "A 14301-2023")</f>
        <v/>
      </c>
      <c r="AD362">
        <f>HYPERLINK("https://klasma.github.io/Logging_0883/tillsynsmail/A 14301-2023 tillsynsbegäran mail.docx", "A 14301-2023")</f>
        <v/>
      </c>
    </row>
    <row r="363" ht="15" customHeight="1">
      <c r="A363" t="inlineStr">
        <is>
          <t>A 53167-2022</t>
        </is>
      </c>
      <c r="B363" t="inlineStr">
        <is>
          <t>avverkningsanmälan</t>
        </is>
      </c>
      <c r="C363" t="inlineStr">
        <is>
          <t>Föryngringsavverkning</t>
        </is>
      </c>
      <c r="D363" s="1" t="n">
        <v>44873</v>
      </c>
      <c r="E363" s="1" t="n">
        <v>46323</v>
      </c>
      <c r="F363" t="inlineStr">
        <is>
          <t>KALMAR LÄN</t>
        </is>
      </c>
      <c r="G363" t="inlineStr">
        <is>
          <t>MÖNSTERÅS</t>
        </is>
      </c>
      <c r="H363" t="inlineStr">
        <is>
          <t>Kyrkan</t>
        </is>
      </c>
      <c r="I363" t="n">
        <v>2</v>
      </c>
      <c r="J363" t="n">
        <v>1</v>
      </c>
      <c r="K363" t="n">
        <v>3</v>
      </c>
      <c r="L363" t="n">
        <v>0</v>
      </c>
      <c r="M363" t="n">
        <v>0</v>
      </c>
      <c r="N363" t="n">
        <v>0</v>
      </c>
      <c r="O363" t="n">
        <v>0</v>
      </c>
      <c r="P363" t="n">
        <v>0</v>
      </c>
      <c r="Q363" t="n">
        <v>0</v>
      </c>
      <c r="R363" t="n">
        <v>0</v>
      </c>
      <c r="S363" t="n">
        <v>4</v>
      </c>
      <c r="T363" t="n">
        <v>6</v>
      </c>
      <c r="U363" t="n">
        <v>6</v>
      </c>
      <c r="V363" s="2" t="inlineStr">
        <is>
          <t>Blåmossa
Flagellkvastmossa
Vågbandad barkbock
Spillkråka</t>
        </is>
      </c>
      <c r="W363">
        <f>HYPERLINK("https://klasma.github.io/Logging_0861/artfynd/A 53167-2022 artfynd.xlsx", "A 53167-2022")</f>
        <v/>
      </c>
      <c r="X363">
        <f>HYPERLINK("https://klasma.github.io/Logging_0861/kartor/A 53167-2022 karta.png", "A 53167-2022")</f>
        <v/>
      </c>
      <c r="Y363">
        <f>HYPERLINK("https://klasma.github.io/Logging_0861/kartor_geotiff/A 53167-2022 georefererad karta.tif", "A 53167-2022")</f>
        <v/>
      </c>
      <c r="AA363">
        <f>HYPERLINK("https://klasma.github.io/Logging_0861/klagomål/A 53167-2022 FSC-klagomål.docx", "A 53167-2022")</f>
        <v/>
      </c>
      <c r="AB363">
        <f>HYPERLINK("https://klasma.github.io/Logging_0861/klagomålsmail/A 53167-2022 FSC-klagomål mail.docx", "A 53167-2022")</f>
        <v/>
      </c>
      <c r="AC363">
        <f>HYPERLINK("https://klasma.github.io/Logging_0861/tillsyn/A 53167-2022 tillsynsbegäran.docx", "A 53167-2022")</f>
        <v/>
      </c>
      <c r="AD363">
        <f>HYPERLINK("https://klasma.github.io/Logging_0861/tillsynsmail/A 53167-2022 tillsynsbegäran mail.docx", "A 53167-2022")</f>
        <v/>
      </c>
      <c r="AE363">
        <f>HYPERLINK("https://klasma.github.io/Logging_0861/fåglar/A 53167-2022 prioriterade fågelarter.docx", "A 53167-2022")</f>
        <v/>
      </c>
    </row>
    <row r="364" ht="15" customHeight="1">
      <c r="A364" t="inlineStr">
        <is>
          <t>A 9055-2023</t>
        </is>
      </c>
      <c r="B364" t="inlineStr">
        <is>
          <t>avverkningsanmälan</t>
        </is>
      </c>
      <c r="C364" t="inlineStr">
        <is>
          <t>Föryngringsavverkning</t>
        </is>
      </c>
      <c r="D364" s="1" t="n">
        <v>44979</v>
      </c>
      <c r="E364" s="1" t="n">
        <v>46323</v>
      </c>
      <c r="F364" t="inlineStr">
        <is>
          <t>KALMAR LÄN</t>
        </is>
      </c>
      <c r="G364" t="inlineStr">
        <is>
          <t>KALMAR</t>
        </is>
      </c>
      <c r="I364" t="n">
        <v>3</v>
      </c>
      <c r="J364" t="n">
        <v>4</v>
      </c>
      <c r="K364" t="n">
        <v>0</v>
      </c>
      <c r="L364" t="n">
        <v>1</v>
      </c>
      <c r="M364" t="n">
        <v>0</v>
      </c>
      <c r="N364" t="n">
        <v>0</v>
      </c>
      <c r="O364" t="n">
        <v>0</v>
      </c>
      <c r="P364" t="n">
        <v>0</v>
      </c>
      <c r="Q364" t="n">
        <v>1</v>
      </c>
      <c r="R364" t="n">
        <v>0</v>
      </c>
      <c r="S364" t="n">
        <v>4</v>
      </c>
      <c r="T364" t="n">
        <v>4</v>
      </c>
      <c r="U364" t="n">
        <v>0</v>
      </c>
      <c r="V364" s="2" t="inlineStr">
        <is>
          <t>Nordfladdermus
Dvärgpipistrell
Större brunfladdermus
Vattenfladdermus</t>
        </is>
      </c>
      <c r="W364">
        <f>HYPERLINK("https://klasma.github.io/Logging_0880/artfynd/A 9055-2023 artfynd.xlsx", "A 9055-2023")</f>
        <v/>
      </c>
      <c r="X364">
        <f>HYPERLINK("https://klasma.github.io/Logging_0880/kartor/A 9055-2023 karta.png", "A 9055-2023")</f>
        <v/>
      </c>
      <c r="Y364">
        <f>HYPERLINK("https://klasma.github.io/Logging_0880/kartor_geotiff/A 9055-2023 georefererad karta.tif", "A 9055-2023")</f>
        <v/>
      </c>
      <c r="AA364">
        <f>HYPERLINK("https://klasma.github.io/Logging_0880/klagomål/A 9055-2023 FSC-klagomål.docx", "A 9055-2023")</f>
        <v/>
      </c>
      <c r="AB364">
        <f>HYPERLINK("https://klasma.github.io/Logging_0880/klagomålsmail/A 9055-2023 FSC-klagomål mail.docx", "A 9055-2023")</f>
        <v/>
      </c>
      <c r="AC364">
        <f>HYPERLINK("https://klasma.github.io/Logging_0880/tillsyn/A 9055-2023 tillsynsbegäran.docx", "A 9055-2023")</f>
        <v/>
      </c>
      <c r="AD364">
        <f>HYPERLINK("https://klasma.github.io/Logging_0880/tillsynsmail/A 9055-2023 tillsynsbegäran mail.docx", "A 9055-2023")</f>
        <v/>
      </c>
    </row>
    <row r="365" ht="15" customHeight="1">
      <c r="A365" t="inlineStr">
        <is>
          <t>A 52030-2025</t>
        </is>
      </c>
      <c r="B365" t="inlineStr">
        <is>
          <t>avverkningsanmälan</t>
        </is>
      </c>
      <c r="C365" t="inlineStr">
        <is>
          <t>Föryngringsavverkning</t>
        </is>
      </c>
      <c r="D365" s="1" t="n">
        <v>45952</v>
      </c>
      <c r="E365" s="1" t="n">
        <v>46323</v>
      </c>
      <c r="F365" t="inlineStr">
        <is>
          <t>KALMAR LÄN</t>
        </is>
      </c>
      <c r="G365" t="inlineStr">
        <is>
          <t>VÄSTERVIK</t>
        </is>
      </c>
      <c r="H365" t="inlineStr">
        <is>
          <t>Holmen skog AB</t>
        </is>
      </c>
      <c r="I365" t="n">
        <v>7.3</v>
      </c>
      <c r="J365" t="n">
        <v>0</v>
      </c>
      <c r="K365" t="n">
        <v>2</v>
      </c>
      <c r="L365" t="n">
        <v>2</v>
      </c>
      <c r="M365" t="n">
        <v>0</v>
      </c>
      <c r="N365" t="n">
        <v>0</v>
      </c>
      <c r="O365" t="n">
        <v>0</v>
      </c>
      <c r="P365" t="n">
        <v>0</v>
      </c>
      <c r="Q365" t="n">
        <v>2</v>
      </c>
      <c r="R365" t="n">
        <v>0</v>
      </c>
      <c r="S365" t="n">
        <v>4</v>
      </c>
      <c r="T365" t="n">
        <v>5</v>
      </c>
      <c r="U365" t="n">
        <v>0</v>
      </c>
      <c r="V365" s="2" t="inlineStr">
        <is>
          <t>Ekticka
Oxtungssvamp
Hasselticka
Stor aspticka</t>
        </is>
      </c>
      <c r="W365">
        <f>HYPERLINK("https://klasma.github.io/Logging_0883/artfynd/A 52030-2025 artfynd.xlsx", "A 52030-2025")</f>
        <v/>
      </c>
      <c r="X365">
        <f>HYPERLINK("https://klasma.github.io/Logging_0883/kartor/A 52030-2025 karta.png", "A 52030-2025")</f>
        <v/>
      </c>
      <c r="Y365">
        <f>HYPERLINK("https://klasma.github.io/Logging_0883/kartor_geotiff/A 52030-2025 georefererad karta.tif", "A 52030-2025")</f>
        <v/>
      </c>
      <c r="AA365">
        <f>HYPERLINK("https://klasma.github.io/Logging_0883/klagomål/A 52030-2025 FSC-klagomål.docx", "A 52030-2025")</f>
        <v/>
      </c>
      <c r="AB365">
        <f>HYPERLINK("https://klasma.github.io/Logging_0883/klagomålsmail/A 52030-2025 FSC-klagomål mail.docx", "A 52030-2025")</f>
        <v/>
      </c>
      <c r="AC365">
        <f>HYPERLINK("https://klasma.github.io/Logging_0883/tillsyn/A 52030-2025 tillsynsbegäran.docx", "A 52030-2025")</f>
        <v/>
      </c>
      <c r="AD365">
        <f>HYPERLINK("https://klasma.github.io/Logging_0883/tillsynsmail/A 52030-2025 tillsynsbegäran mail.docx", "A 52030-2025")</f>
        <v/>
      </c>
    </row>
    <row r="366" ht="15" customHeight="1">
      <c r="A366" t="inlineStr">
        <is>
          <t>A 59457-2023</t>
        </is>
      </c>
      <c r="B366" t="inlineStr">
        <is>
          <t>avverkningsanmälan</t>
        </is>
      </c>
      <c r="C366" t="inlineStr">
        <is>
          <t>Föryngringsavverkning</t>
        </is>
      </c>
      <c r="D366" s="1" t="n">
        <v>45254</v>
      </c>
      <c r="E366" s="1" t="n">
        <v>46323</v>
      </c>
      <c r="F366" t="inlineStr">
        <is>
          <t>KALMAR LÄN</t>
        </is>
      </c>
      <c r="G366" t="inlineStr">
        <is>
          <t>KALMAR</t>
        </is>
      </c>
      <c r="I366" t="n">
        <v>3.3</v>
      </c>
      <c r="J366" t="n">
        <v>1</v>
      </c>
      <c r="K366" t="n">
        <v>0</v>
      </c>
      <c r="L366" t="n">
        <v>3</v>
      </c>
      <c r="M366" t="n">
        <v>0</v>
      </c>
      <c r="N366" t="n">
        <v>0</v>
      </c>
      <c r="O366" t="n">
        <v>0</v>
      </c>
      <c r="P366" t="n">
        <v>0</v>
      </c>
      <c r="Q366" t="n">
        <v>3</v>
      </c>
      <c r="R366" t="n">
        <v>0</v>
      </c>
      <c r="S366" t="n">
        <v>4</v>
      </c>
      <c r="T366" t="n">
        <v>4</v>
      </c>
      <c r="U366" t="n">
        <v>4</v>
      </c>
      <c r="V366" s="2" t="inlineStr">
        <is>
          <t>Jungfrulin
Solvända
Vårstarr
Nattviol</t>
        </is>
      </c>
      <c r="W366">
        <f>HYPERLINK("https://klasma.github.io/Logging_0880/artfynd/A 59457-2023 artfynd.xlsx", "A 59457-2023")</f>
        <v/>
      </c>
      <c r="X366">
        <f>HYPERLINK("https://klasma.github.io/Logging_0880/kartor/A 59457-2023 karta.png", "A 59457-2023")</f>
        <v/>
      </c>
      <c r="Y366">
        <f>HYPERLINK("https://klasma.github.io/Logging_0880/kartor_geotiff/A 59457-2023 georefererad karta.tif", "A 59457-2023")</f>
        <v/>
      </c>
      <c r="AA366">
        <f>HYPERLINK("https://klasma.github.io/Logging_0880/klagomål/A 59457-2023 FSC-klagomål.docx", "A 59457-2023")</f>
        <v/>
      </c>
      <c r="AB366">
        <f>HYPERLINK("https://klasma.github.io/Logging_0880/klagomålsmail/A 59457-2023 FSC-klagomål mail.docx", "A 59457-2023")</f>
        <v/>
      </c>
      <c r="AC366">
        <f>HYPERLINK("https://klasma.github.io/Logging_0880/tillsyn/A 59457-2023 tillsynsbegäran.docx", "A 59457-2023")</f>
        <v/>
      </c>
      <c r="AD366">
        <f>HYPERLINK("https://klasma.github.io/Logging_0880/tillsynsmail/A 59457-2023 tillsynsbegäran mail.docx", "A 59457-2023")</f>
        <v/>
      </c>
    </row>
    <row r="367" ht="15" customHeight="1">
      <c r="A367" t="inlineStr">
        <is>
          <t>A 53842-2025</t>
        </is>
      </c>
      <c r="B367" t="inlineStr">
        <is>
          <t>avverkningsanmälan</t>
        </is>
      </c>
      <c r="C367" t="inlineStr">
        <is>
          <t>Avverkning för att bevara och utveckla /försöksver</t>
        </is>
      </c>
      <c r="D367" s="1" t="n">
        <v>45961</v>
      </c>
      <c r="E367" s="1" t="n">
        <v>46323</v>
      </c>
      <c r="F367" t="inlineStr">
        <is>
          <t>KALMAR LÄN</t>
        </is>
      </c>
      <c r="G367" t="inlineStr">
        <is>
          <t>VÄSTERVIK</t>
        </is>
      </c>
      <c r="H367" t="inlineStr">
        <is>
          <t>Sveaskog</t>
        </is>
      </c>
      <c r="I367" t="n">
        <v>4.9</v>
      </c>
      <c r="J367" t="n">
        <v>1</v>
      </c>
      <c r="K367" t="n">
        <v>2</v>
      </c>
      <c r="L367" t="n">
        <v>1</v>
      </c>
      <c r="M367" t="n">
        <v>0</v>
      </c>
      <c r="N367" t="n">
        <v>0</v>
      </c>
      <c r="O367" t="n">
        <v>0</v>
      </c>
      <c r="P367" t="n">
        <v>0</v>
      </c>
      <c r="Q367" t="n">
        <v>1</v>
      </c>
      <c r="R367" t="n">
        <v>0</v>
      </c>
      <c r="S367" t="n">
        <v>4</v>
      </c>
      <c r="T367" t="n">
        <v>4</v>
      </c>
      <c r="U367" t="n">
        <v>0</v>
      </c>
      <c r="V367" s="2" t="inlineStr">
        <is>
          <t>Vårärt
Fällmossa
Platt fjädermossa
Blåsippa</t>
        </is>
      </c>
      <c r="W367">
        <f>HYPERLINK("https://klasma.github.io/Logging_0883/artfynd/A 53842-2025 artfynd.xlsx", "A 53842-2025")</f>
        <v/>
      </c>
      <c r="X367">
        <f>HYPERLINK("https://klasma.github.io/Logging_0883/kartor/A 53842-2025 karta.png", "A 53842-2025")</f>
        <v/>
      </c>
      <c r="Y367">
        <f>HYPERLINK("https://klasma.github.io/Logging_0883/kartor_geotiff/A 53842-2025 georefererad karta.tif", "A 53842-2025")</f>
        <v/>
      </c>
      <c r="AA367">
        <f>HYPERLINK("https://klasma.github.io/Logging_0883/klagomål/A 53842-2025 FSC-klagomål.docx", "A 53842-2025")</f>
        <v/>
      </c>
      <c r="AB367">
        <f>HYPERLINK("https://klasma.github.io/Logging_0883/klagomålsmail/A 53842-2025 FSC-klagomål mail.docx", "A 53842-2025")</f>
        <v/>
      </c>
      <c r="AC367">
        <f>HYPERLINK("https://klasma.github.io/Logging_0883/tillsyn/A 53842-2025 tillsynsbegäran.docx", "A 53842-2025")</f>
        <v/>
      </c>
      <c r="AD367">
        <f>HYPERLINK("https://klasma.github.io/Logging_0883/tillsynsmail/A 53842-2025 tillsynsbegäran mail.docx", "A 53842-2025")</f>
        <v/>
      </c>
    </row>
    <row r="368" ht="15" customHeight="1">
      <c r="A368" t="inlineStr">
        <is>
          <t>A 41442-2023</t>
        </is>
      </c>
      <c r="B368" t="inlineStr">
        <is>
          <t>avverkningsanmälan</t>
        </is>
      </c>
      <c r="C368" t="inlineStr">
        <is>
          <t>Föryngringsavverkning</t>
        </is>
      </c>
      <c r="D368" s="1" t="n">
        <v>45175</v>
      </c>
      <c r="E368" s="1" t="n">
        <v>46323</v>
      </c>
      <c r="F368" t="inlineStr">
        <is>
          <t>KALMAR LÄN</t>
        </is>
      </c>
      <c r="G368" t="inlineStr">
        <is>
          <t>OSKARSHAMN</t>
        </is>
      </c>
      <c r="I368" t="n">
        <v>5.1</v>
      </c>
      <c r="J368" t="n">
        <v>0</v>
      </c>
      <c r="K368" t="n">
        <v>0</v>
      </c>
      <c r="L368" t="n">
        <v>2</v>
      </c>
      <c r="M368" t="n">
        <v>2</v>
      </c>
      <c r="N368" t="n">
        <v>0</v>
      </c>
      <c r="O368" t="n">
        <v>0</v>
      </c>
      <c r="P368" t="n">
        <v>0</v>
      </c>
      <c r="Q368" t="n">
        <v>4</v>
      </c>
      <c r="R368" t="n">
        <v>2</v>
      </c>
      <c r="S368" t="n">
        <v>4</v>
      </c>
      <c r="T368" t="n">
        <v>4</v>
      </c>
      <c r="U368" t="n">
        <v>0</v>
      </c>
      <c r="V368" s="2" t="inlineStr">
        <is>
          <t>Bredbrämad bastardsvärmare
Mindre bastardsvärmare
Klubbsprötad bastardsvärmare
Solvända</t>
        </is>
      </c>
      <c r="W368">
        <f>HYPERLINK("https://klasma.github.io/Logging_0882/artfynd/A 41442-2023 artfynd.xlsx", "A 41442-2023")</f>
        <v/>
      </c>
      <c r="X368">
        <f>HYPERLINK("https://klasma.github.io/Logging_0882/kartor/A 41442-2023 karta.png", "A 41442-2023")</f>
        <v/>
      </c>
      <c r="Y368">
        <f>HYPERLINK("https://klasma.github.io/Logging_0882/kartor_geotiff/A 41442-2023 georefererad karta.tif", "A 41442-2023")</f>
        <v/>
      </c>
      <c r="AA368">
        <f>HYPERLINK("https://klasma.github.io/Logging_0882/klagomål/A 41442-2023 FSC-klagomål.docx", "A 41442-2023")</f>
        <v/>
      </c>
      <c r="AB368">
        <f>HYPERLINK("https://klasma.github.io/Logging_0882/klagomålsmail/A 41442-2023 FSC-klagomål mail.docx", "A 41442-2023")</f>
        <v/>
      </c>
      <c r="AC368">
        <f>HYPERLINK("https://klasma.github.io/Logging_0882/tillsyn/A 41442-2023 tillsynsbegäran.docx", "A 41442-2023")</f>
        <v/>
      </c>
      <c r="AD368">
        <f>HYPERLINK("https://klasma.github.io/Logging_0882/tillsynsmail/A 41442-2023 tillsynsbegäran mail.docx", "A 41442-2023")</f>
        <v/>
      </c>
    </row>
    <row r="369" ht="15" customHeight="1">
      <c r="A369" t="inlineStr">
        <is>
          <t>A 3075-2025</t>
        </is>
      </c>
      <c r="B369" t="inlineStr">
        <is>
          <t>avverkningsanmälan</t>
        </is>
      </c>
      <c r="C369" t="inlineStr">
        <is>
          <t>Föryngringsavverkning</t>
        </is>
      </c>
      <c r="D369" s="1" t="n">
        <v>45678</v>
      </c>
      <c r="E369" s="1" t="n">
        <v>46323</v>
      </c>
      <c r="F369" t="inlineStr">
        <is>
          <t>KALMAR LÄN</t>
        </is>
      </c>
      <c r="G369" t="inlineStr">
        <is>
          <t>VIMMERBY</t>
        </is>
      </c>
      <c r="I369" t="n">
        <v>4.5</v>
      </c>
      <c r="J369" t="n">
        <v>4</v>
      </c>
      <c r="K369" t="n">
        <v>0</v>
      </c>
      <c r="L369" t="n">
        <v>1</v>
      </c>
      <c r="M369" t="n">
        <v>1</v>
      </c>
      <c r="N369" t="n">
        <v>0</v>
      </c>
      <c r="O369" t="n">
        <v>0</v>
      </c>
      <c r="P369" t="n">
        <v>0</v>
      </c>
      <c r="Q369" t="n">
        <v>2</v>
      </c>
      <c r="R369" t="n">
        <v>1</v>
      </c>
      <c r="S369" t="n">
        <v>4</v>
      </c>
      <c r="T369" t="n">
        <v>7</v>
      </c>
      <c r="U369" t="n">
        <v>7</v>
      </c>
      <c r="V369" s="2" t="inlineStr">
        <is>
          <t>Knärot
Talltita
Spillkråka
Kungsfågel</t>
        </is>
      </c>
      <c r="W369">
        <f>HYPERLINK("https://klasma.github.io/Logging_0884/artfynd/A 3075-2025 artfynd.xlsx", "A 3075-2025")</f>
        <v/>
      </c>
      <c r="X369">
        <f>HYPERLINK("https://klasma.github.io/Logging_0884/kartor/A 3075-2025 karta.png", "A 3075-2025")</f>
        <v/>
      </c>
      <c r="Y369">
        <f>HYPERLINK("https://klasma.github.io/Logging_0884/kartor_geotiff/A 3075-2025 georefererad karta.tif", "A 3075-2025")</f>
        <v/>
      </c>
      <c r="Z369">
        <f>HYPERLINK("https://klasma.github.io/Logging_0884/knärot/A 3075-2025 karta knärot.png", "A 3075-2025")</f>
        <v/>
      </c>
      <c r="AA369">
        <f>HYPERLINK("https://klasma.github.io/Logging_0884/klagomål/A 3075-2025 FSC-klagomål.docx", "A 3075-2025")</f>
        <v/>
      </c>
      <c r="AB369">
        <f>HYPERLINK("https://klasma.github.io/Logging_0884/klagomålsmail/A 3075-2025 FSC-klagomål mail.docx", "A 3075-2025")</f>
        <v/>
      </c>
      <c r="AC369">
        <f>HYPERLINK("https://klasma.github.io/Logging_0884/tillsyn/A 3075-2025 tillsynsbegäran.docx", "A 3075-2025")</f>
        <v/>
      </c>
      <c r="AD369">
        <f>HYPERLINK("https://klasma.github.io/Logging_0884/tillsynsmail/A 3075-2025 tillsynsbegäran mail.docx", "A 3075-2025")</f>
        <v/>
      </c>
      <c r="AE369">
        <f>HYPERLINK("https://klasma.github.io/Logging_0884/fåglar/A 3075-2025 prioriterade fågelarter.docx", "A 3075-2025")</f>
        <v/>
      </c>
    </row>
    <row r="370" ht="15" customHeight="1">
      <c r="A370" t="inlineStr">
        <is>
          <t>A 61551-2025</t>
        </is>
      </c>
      <c r="B370" t="inlineStr">
        <is>
          <t>avverkningsanmälan</t>
        </is>
      </c>
      <c r="C370" t="inlineStr">
        <is>
          <t>Föryngringsavverkning</t>
        </is>
      </c>
      <c r="D370" s="1" t="n">
        <v>46001</v>
      </c>
      <c r="E370" s="1" t="n">
        <v>46323</v>
      </c>
      <c r="F370" t="inlineStr">
        <is>
          <t>KALMAR LÄN</t>
        </is>
      </c>
      <c r="G370" t="inlineStr">
        <is>
          <t>VÄSTERVIK</t>
        </is>
      </c>
      <c r="H370" t="inlineStr">
        <is>
          <t>Sveaskog</t>
        </is>
      </c>
      <c r="I370" t="n">
        <v>10.4</v>
      </c>
      <c r="J370" t="n">
        <v>3</v>
      </c>
      <c r="K370" t="n">
        <v>0</v>
      </c>
      <c r="L370" t="n">
        <v>2</v>
      </c>
      <c r="M370" t="n">
        <v>0</v>
      </c>
      <c r="N370" t="n">
        <v>0</v>
      </c>
      <c r="O370" t="n">
        <v>0</v>
      </c>
      <c r="P370" t="n">
        <v>0</v>
      </c>
      <c r="Q370" t="n">
        <v>2</v>
      </c>
      <c r="R370" t="n">
        <v>0</v>
      </c>
      <c r="S370" t="n">
        <v>4</v>
      </c>
      <c r="T370" t="n">
        <v>8</v>
      </c>
      <c r="U370" t="n">
        <v>8</v>
      </c>
      <c r="V370" s="2" t="inlineStr">
        <is>
          <t>Ekticka
Talltita
Havsörn
Kungsfågel</t>
        </is>
      </c>
      <c r="W370">
        <f>HYPERLINK("https://klasma.github.io/Logging_0883/artfynd/A 61551-2025 artfynd.xlsx", "A 61551-2025")</f>
        <v/>
      </c>
      <c r="X370">
        <f>HYPERLINK("https://klasma.github.io/Logging_0883/kartor/A 61551-2025 karta.png", "A 61551-2025")</f>
        <v/>
      </c>
      <c r="Y370">
        <f>HYPERLINK("https://klasma.github.io/Logging_0883/kartor_geotiff/A 61551-2025 georefererad karta.tif", "A 61551-2025")</f>
        <v/>
      </c>
      <c r="AA370">
        <f>HYPERLINK("https://klasma.github.io/Logging_0883/klagomål/A 61551-2025 FSC-klagomål.docx", "A 61551-2025")</f>
        <v/>
      </c>
      <c r="AB370">
        <f>HYPERLINK("https://klasma.github.io/Logging_0883/klagomålsmail/A 61551-2025 FSC-klagomål mail.docx", "A 61551-2025")</f>
        <v/>
      </c>
      <c r="AC370">
        <f>HYPERLINK("https://klasma.github.io/Logging_0883/tillsyn/A 61551-2025 tillsynsbegäran.docx", "A 61551-2025")</f>
        <v/>
      </c>
      <c r="AD370">
        <f>HYPERLINK("https://klasma.github.io/Logging_0883/tillsynsmail/A 61551-2025 tillsynsbegäran mail.docx", "A 61551-2025")</f>
        <v/>
      </c>
      <c r="AE370">
        <f>HYPERLINK("https://klasma.github.io/Logging_0883/fåglar/A 61551-2025 prioriterade fågelarter.docx", "A 61551-2025")</f>
        <v/>
      </c>
    </row>
    <row r="371" ht="15" customHeight="1">
      <c r="A371" t="inlineStr">
        <is>
          <t>A 11926-2023</t>
        </is>
      </c>
      <c r="B371" t="inlineStr">
        <is>
          <t>avverkningsanmälan</t>
        </is>
      </c>
      <c r="C371" t="inlineStr">
        <is>
          <t>Föryngringsavverkning</t>
        </is>
      </c>
      <c r="D371" s="1" t="n">
        <v>44993</v>
      </c>
      <c r="E371" s="1" t="n">
        <v>46323</v>
      </c>
      <c r="F371" t="inlineStr">
        <is>
          <t>KALMAR LÄN</t>
        </is>
      </c>
      <c r="G371" t="inlineStr">
        <is>
          <t>MÖNSTERÅS</t>
        </is>
      </c>
      <c r="I371" t="n">
        <v>3.7</v>
      </c>
      <c r="J371" t="n">
        <v>3</v>
      </c>
      <c r="K371" t="n">
        <v>1</v>
      </c>
      <c r="L371" t="n">
        <v>0</v>
      </c>
      <c r="M371" t="n">
        <v>0</v>
      </c>
      <c r="N371" t="n">
        <v>0</v>
      </c>
      <c r="O371" t="n">
        <v>0</v>
      </c>
      <c r="P371" t="n">
        <v>0</v>
      </c>
      <c r="Q371" t="n">
        <v>0</v>
      </c>
      <c r="R371" t="n">
        <v>0</v>
      </c>
      <c r="S371" t="n">
        <v>4</v>
      </c>
      <c r="T371" t="n">
        <v>4</v>
      </c>
      <c r="U371" t="n">
        <v>4</v>
      </c>
      <c r="V371" s="2" t="inlineStr">
        <is>
          <t>Blåmossa
Nattskärra
Spillkråka
Skogsödla</t>
        </is>
      </c>
      <c r="W371">
        <f>HYPERLINK("https://klasma.github.io/Logging_0861/artfynd/A 11926-2023 artfynd.xlsx", "A 11926-2023")</f>
        <v/>
      </c>
      <c r="X371">
        <f>HYPERLINK("https://klasma.github.io/Logging_0861/kartor/A 11926-2023 karta.png", "A 11926-2023")</f>
        <v/>
      </c>
      <c r="Y371">
        <f>HYPERLINK("https://klasma.github.io/Logging_0861/kartor_geotiff/A 11926-2023 georefererad karta.tif", "A 11926-2023")</f>
        <v/>
      </c>
      <c r="AA371">
        <f>HYPERLINK("https://klasma.github.io/Logging_0861/klagomål/A 11926-2023 FSC-klagomål.docx", "A 11926-2023")</f>
        <v/>
      </c>
      <c r="AB371">
        <f>HYPERLINK("https://klasma.github.io/Logging_0861/klagomålsmail/A 11926-2023 FSC-klagomål mail.docx", "A 11926-2023")</f>
        <v/>
      </c>
      <c r="AC371">
        <f>HYPERLINK("https://klasma.github.io/Logging_0861/tillsyn/A 11926-2023 tillsynsbegäran.docx", "A 11926-2023")</f>
        <v/>
      </c>
      <c r="AD371">
        <f>HYPERLINK("https://klasma.github.io/Logging_0861/tillsynsmail/A 11926-2023 tillsynsbegäran mail.docx", "A 11926-2023")</f>
        <v/>
      </c>
      <c r="AE371">
        <f>HYPERLINK("https://klasma.github.io/Logging_0861/fåglar/A 11926-2023 prioriterade fågelarter.docx", "A 11926-2023")</f>
        <v/>
      </c>
    </row>
    <row r="372" ht="15" customHeight="1">
      <c r="A372" t="inlineStr">
        <is>
          <t>A 60746-2025</t>
        </is>
      </c>
      <c r="B372" t="inlineStr">
        <is>
          <t>avverkningsanmälan</t>
        </is>
      </c>
      <c r="C372" t="inlineStr">
        <is>
          <t>Föryngringsavverkning</t>
        </is>
      </c>
      <c r="D372" s="1" t="n">
        <v>45999</v>
      </c>
      <c r="E372" s="1" t="n">
        <v>46323</v>
      </c>
      <c r="F372" t="inlineStr">
        <is>
          <t>KALMAR LÄN</t>
        </is>
      </c>
      <c r="G372" t="inlineStr">
        <is>
          <t>NYBRO</t>
        </is>
      </c>
      <c r="I372" t="n">
        <v>5.5</v>
      </c>
      <c r="J372" t="n">
        <v>0</v>
      </c>
      <c r="K372" t="n">
        <v>1</v>
      </c>
      <c r="L372" t="n">
        <v>2</v>
      </c>
      <c r="M372" t="n">
        <v>1</v>
      </c>
      <c r="N372" t="n">
        <v>0</v>
      </c>
      <c r="O372" t="n">
        <v>0</v>
      </c>
      <c r="P372" t="n">
        <v>0</v>
      </c>
      <c r="Q372" t="n">
        <v>3</v>
      </c>
      <c r="R372" t="n">
        <v>1</v>
      </c>
      <c r="S372" t="n">
        <v>4</v>
      </c>
      <c r="T372" t="n">
        <v>6</v>
      </c>
      <c r="U372" t="n">
        <v>0</v>
      </c>
      <c r="V372" s="2" t="inlineStr">
        <is>
          <t>Tallgångbagge
Hårig blombock
Mindre träfjäril
Stekelbock</t>
        </is>
      </c>
      <c r="W372">
        <f>HYPERLINK("https://klasma.github.io/Logging_0881/artfynd/A 60746-2025 artfynd.xlsx", "A 60746-2025")</f>
        <v/>
      </c>
      <c r="X372">
        <f>HYPERLINK("https://klasma.github.io/Logging_0881/kartor/A 60746-2025 karta.png", "A 60746-2025")</f>
        <v/>
      </c>
      <c r="Y372">
        <f>HYPERLINK("https://klasma.github.io/Logging_0881/kartor_geotiff/A 60746-2025 georefererad karta.tif", "A 60746-2025")</f>
        <v/>
      </c>
      <c r="AA372">
        <f>HYPERLINK("https://klasma.github.io/Logging_0881/klagomål/A 60746-2025 FSC-klagomål.docx", "A 60746-2025")</f>
        <v/>
      </c>
      <c r="AB372">
        <f>HYPERLINK("https://klasma.github.io/Logging_0881/klagomålsmail/A 60746-2025 FSC-klagomål mail.docx", "A 60746-2025")</f>
        <v/>
      </c>
      <c r="AC372">
        <f>HYPERLINK("https://klasma.github.io/Logging_0881/tillsyn/A 60746-2025 tillsynsbegäran.docx", "A 60746-2025")</f>
        <v/>
      </c>
      <c r="AD372">
        <f>HYPERLINK("https://klasma.github.io/Logging_0881/tillsynsmail/A 60746-2025 tillsynsbegäran mail.docx", "A 60746-2025")</f>
        <v/>
      </c>
    </row>
    <row r="373" ht="15" customHeight="1">
      <c r="A373" t="inlineStr">
        <is>
          <t>A 5639-2022</t>
        </is>
      </c>
      <c r="B373" t="inlineStr">
        <is>
          <t>avverkningsanmälan</t>
        </is>
      </c>
      <c r="C373" t="inlineStr">
        <is>
          <t>Avverkning för annat ändamål</t>
        </is>
      </c>
      <c r="D373" s="1" t="n">
        <v>44595</v>
      </c>
      <c r="E373" s="1" t="n">
        <v>46323</v>
      </c>
      <c r="F373" t="inlineStr">
        <is>
          <t>KALMAR LÄN</t>
        </is>
      </c>
      <c r="G373" t="inlineStr">
        <is>
          <t>MÖNSTERÅS</t>
        </is>
      </c>
      <c r="I373" t="n">
        <v>10.2</v>
      </c>
      <c r="J373" t="n">
        <v>1</v>
      </c>
      <c r="K373" t="n">
        <v>2</v>
      </c>
      <c r="L373" t="n">
        <v>1</v>
      </c>
      <c r="M373" t="n">
        <v>0</v>
      </c>
      <c r="N373" t="n">
        <v>1</v>
      </c>
      <c r="O373" t="n">
        <v>0</v>
      </c>
      <c r="P373" t="n">
        <v>0</v>
      </c>
      <c r="Q373" t="n">
        <v>2</v>
      </c>
      <c r="R373" t="n">
        <v>1</v>
      </c>
      <c r="S373" t="n">
        <v>4</v>
      </c>
      <c r="T373" t="n">
        <v>4</v>
      </c>
      <c r="U373" t="n">
        <v>2</v>
      </c>
      <c r="V373" s="2" t="inlineStr">
        <is>
          <t>Svart guldbagge
Smalvingad blombock
Ekoxe
Gulpudrad spiklav</t>
        </is>
      </c>
      <c r="W373">
        <f>HYPERLINK("https://klasma.github.io/Logging_0861/artfynd/A 5639-2022 artfynd.xlsx", "A 5639-2022")</f>
        <v/>
      </c>
      <c r="X373">
        <f>HYPERLINK("https://klasma.github.io/Logging_0861/kartor/A 5639-2022 karta.png", "A 5639-2022")</f>
        <v/>
      </c>
      <c r="Y373">
        <f>HYPERLINK("https://klasma.github.io/Logging_0861/kartor_geotiff/A 5639-2022 georefererad karta.tif", "A 5639-2022")</f>
        <v/>
      </c>
      <c r="AA373">
        <f>HYPERLINK("https://klasma.github.io/Logging_0861/klagomål/A 5639-2022 FSC-klagomål.docx", "A 5639-2022")</f>
        <v/>
      </c>
      <c r="AB373">
        <f>HYPERLINK("https://klasma.github.io/Logging_0861/klagomålsmail/A 5639-2022 FSC-klagomål mail.docx", "A 5639-2022")</f>
        <v/>
      </c>
      <c r="AC373">
        <f>HYPERLINK("https://klasma.github.io/Logging_0861/tillsyn/A 5639-2022 tillsynsbegäran.docx", "A 5639-2022")</f>
        <v/>
      </c>
      <c r="AD373">
        <f>HYPERLINK("https://klasma.github.io/Logging_0861/tillsynsmail/A 5639-2022 tillsynsbegäran mail.docx", "A 5639-2022")</f>
        <v/>
      </c>
    </row>
    <row r="374" ht="15" customHeight="1">
      <c r="A374" t="inlineStr">
        <is>
          <t>A 54167-2024</t>
        </is>
      </c>
      <c r="B374" t="inlineStr">
        <is>
          <t>avverkningsanmälan</t>
        </is>
      </c>
      <c r="C374" t="inlineStr">
        <is>
          <t>Föryngringsavverkning</t>
        </is>
      </c>
      <c r="D374" s="1" t="n">
        <v>45616</v>
      </c>
      <c r="E374" s="1" t="n">
        <v>46323</v>
      </c>
      <c r="F374" t="inlineStr">
        <is>
          <t>KALMAR LÄN</t>
        </is>
      </c>
      <c r="G374" t="inlineStr">
        <is>
          <t>MÖRBYLÅNGA</t>
        </is>
      </c>
      <c r="I374" t="n">
        <v>1.5</v>
      </c>
      <c r="J374" t="n">
        <v>2</v>
      </c>
      <c r="K374" t="n">
        <v>2</v>
      </c>
      <c r="L374" t="n">
        <v>0</v>
      </c>
      <c r="M374" t="n">
        <v>0</v>
      </c>
      <c r="N374" t="n">
        <v>1</v>
      </c>
      <c r="O374" t="n">
        <v>0</v>
      </c>
      <c r="P374" t="n">
        <v>0</v>
      </c>
      <c r="Q374" t="n">
        <v>1</v>
      </c>
      <c r="R374" t="n">
        <v>1</v>
      </c>
      <c r="S374" t="n">
        <v>4</v>
      </c>
      <c r="T374" t="n">
        <v>8</v>
      </c>
      <c r="U374" t="n">
        <v>8</v>
      </c>
      <c r="V374" s="2" t="inlineStr">
        <is>
          <t>Ask
Murgröna
Tvåblad
Blåsippa</t>
        </is>
      </c>
      <c r="W374">
        <f>HYPERLINK("https://klasma.github.io/Logging_0840/artfynd/A 54167-2024 artfynd.xlsx", "A 54167-2024")</f>
        <v/>
      </c>
      <c r="X374">
        <f>HYPERLINK("https://klasma.github.io/Logging_0840/kartor/A 54167-2024 karta.png", "A 54167-2024")</f>
        <v/>
      </c>
      <c r="Y374">
        <f>HYPERLINK("https://klasma.github.io/Logging_0840/kartor_geotiff/A 54167-2024 georefererad karta.tif", "A 54167-2024")</f>
        <v/>
      </c>
      <c r="AA374">
        <f>HYPERLINK("https://klasma.github.io/Logging_0840/klagomål/A 54167-2024 FSC-klagomål.docx", "A 54167-2024")</f>
        <v/>
      </c>
      <c r="AB374">
        <f>HYPERLINK("https://klasma.github.io/Logging_0840/klagomålsmail/A 54167-2024 FSC-klagomål mail.docx", "A 54167-2024")</f>
        <v/>
      </c>
      <c r="AC374">
        <f>HYPERLINK("https://klasma.github.io/Logging_0840/tillsyn/A 54167-2024 tillsynsbegäran.docx", "A 54167-2024")</f>
        <v/>
      </c>
      <c r="AD374">
        <f>HYPERLINK("https://klasma.github.io/Logging_0840/tillsynsmail/A 54167-2024 tillsynsbegäran mail.docx", "A 54167-2024")</f>
        <v/>
      </c>
    </row>
    <row r="375" ht="15" customHeight="1">
      <c r="A375" t="inlineStr">
        <is>
          <t>A 21797-2024</t>
        </is>
      </c>
      <c r="B375" t="inlineStr">
        <is>
          <t>avverkningsanmälan</t>
        </is>
      </c>
      <c r="C375" t="inlineStr">
        <is>
          <t>Föryngringsavverkning</t>
        </is>
      </c>
      <c r="D375" s="1" t="n">
        <v>45442</v>
      </c>
      <c r="E375" s="1" t="n">
        <v>46323</v>
      </c>
      <c r="F375" t="inlineStr">
        <is>
          <t>KALMAR LÄN</t>
        </is>
      </c>
      <c r="G375" t="inlineStr">
        <is>
          <t>BORGHOLM</t>
        </is>
      </c>
      <c r="I375" t="n">
        <v>1.4</v>
      </c>
      <c r="J375" t="n">
        <v>2</v>
      </c>
      <c r="K375" t="n">
        <v>2</v>
      </c>
      <c r="L375" t="n">
        <v>1</v>
      </c>
      <c r="M375" t="n">
        <v>0</v>
      </c>
      <c r="N375" t="n">
        <v>0</v>
      </c>
      <c r="O375" t="n">
        <v>0</v>
      </c>
      <c r="P375" t="n">
        <v>0</v>
      </c>
      <c r="Q375" t="n">
        <v>1</v>
      </c>
      <c r="R375" t="n">
        <v>0</v>
      </c>
      <c r="S375" t="n">
        <v>4</v>
      </c>
      <c r="T375" t="n">
        <v>11</v>
      </c>
      <c r="U375" t="n">
        <v>6</v>
      </c>
      <c r="V375" s="2" t="inlineStr">
        <is>
          <t>Sydlig kantmusseron
Murgröna
Skogsknipprot
Revlummer</t>
        </is>
      </c>
      <c r="W375">
        <f>HYPERLINK("https://klasma.github.io/Logging_0885/artfynd/A 21797-2024 artfynd.xlsx", "A 21797-2024")</f>
        <v/>
      </c>
      <c r="X375">
        <f>HYPERLINK("https://klasma.github.io/Logging_0885/kartor/A 21797-2024 karta.png", "A 21797-2024")</f>
        <v/>
      </c>
      <c r="Y375">
        <f>HYPERLINK("https://klasma.github.io/Logging_0885/kartor_geotiff/A 21797-2024 georefererad karta.tif", "A 21797-2024")</f>
        <v/>
      </c>
      <c r="AA375">
        <f>HYPERLINK("https://klasma.github.io/Logging_0885/klagomål/A 21797-2024 FSC-klagomål.docx", "A 21797-2024")</f>
        <v/>
      </c>
      <c r="AB375">
        <f>HYPERLINK("https://klasma.github.io/Logging_0885/klagomålsmail/A 21797-2024 FSC-klagomål mail.docx", "A 21797-2024")</f>
        <v/>
      </c>
      <c r="AC375">
        <f>HYPERLINK("https://klasma.github.io/Logging_0885/tillsyn/A 21797-2024 tillsynsbegäran.docx", "A 21797-2024")</f>
        <v/>
      </c>
      <c r="AD375">
        <f>HYPERLINK("https://klasma.github.io/Logging_0885/tillsynsmail/A 21797-2024 tillsynsbegäran mail.docx", "A 21797-2024")</f>
        <v/>
      </c>
    </row>
    <row r="376" ht="15" customHeight="1">
      <c r="A376" t="inlineStr">
        <is>
          <t>A 42868-2025</t>
        </is>
      </c>
      <c r="B376" t="inlineStr">
        <is>
          <t>avverkningsanmälan</t>
        </is>
      </c>
      <c r="C376" t="inlineStr">
        <is>
          <t>Föryngringsavverkning</t>
        </is>
      </c>
      <c r="D376" s="1" t="n">
        <v>45908</v>
      </c>
      <c r="E376" s="1" t="n">
        <v>46323</v>
      </c>
      <c r="F376" t="inlineStr">
        <is>
          <t>KALMAR LÄN</t>
        </is>
      </c>
      <c r="G376" t="inlineStr">
        <is>
          <t>VÄSTERVIK</t>
        </is>
      </c>
      <c r="H376" t="inlineStr">
        <is>
          <t>Holmen skog AB</t>
        </is>
      </c>
      <c r="I376" t="n">
        <v>3.7</v>
      </c>
      <c r="J376" t="n">
        <v>1</v>
      </c>
      <c r="K376" t="n">
        <v>3</v>
      </c>
      <c r="L376" t="n">
        <v>0</v>
      </c>
      <c r="M376" t="n">
        <v>1</v>
      </c>
      <c r="N376" t="n">
        <v>0</v>
      </c>
      <c r="O376" t="n">
        <v>0</v>
      </c>
      <c r="P376" t="n">
        <v>0</v>
      </c>
      <c r="Q376" t="n">
        <v>1</v>
      </c>
      <c r="R376" t="n">
        <v>1</v>
      </c>
      <c r="S376" t="n">
        <v>4</v>
      </c>
      <c r="T376" t="n">
        <v>10</v>
      </c>
      <c r="U376" t="n">
        <v>10</v>
      </c>
      <c r="V376" s="2" t="inlineStr">
        <is>
          <t>Knärot
Brandticka
Grönpyrola
Trådticka</t>
        </is>
      </c>
      <c r="W376">
        <f>HYPERLINK("https://klasma.github.io/Logging_0883/artfynd/A 42868-2025 artfynd.xlsx", "A 42868-2025")</f>
        <v/>
      </c>
      <c r="X376">
        <f>HYPERLINK("https://klasma.github.io/Logging_0883/kartor/A 42868-2025 karta.png", "A 42868-2025")</f>
        <v/>
      </c>
      <c r="Y376">
        <f>HYPERLINK("https://klasma.github.io/Logging_0883/kartor_geotiff/A 42868-2025 georefererad karta.tif", "A 42868-2025")</f>
        <v/>
      </c>
      <c r="Z376">
        <f>HYPERLINK("https://klasma.github.io/Logging_0883/knärot/A 42868-2025 karta knärot.png", "A 42868-2025")</f>
        <v/>
      </c>
      <c r="AA376">
        <f>HYPERLINK("https://klasma.github.io/Logging_0883/klagomål/A 42868-2025 FSC-klagomål.docx", "A 42868-2025")</f>
        <v/>
      </c>
      <c r="AB376">
        <f>HYPERLINK("https://klasma.github.io/Logging_0883/klagomålsmail/A 42868-2025 FSC-klagomål mail.docx", "A 42868-2025")</f>
        <v/>
      </c>
      <c r="AC376">
        <f>HYPERLINK("https://klasma.github.io/Logging_0883/tillsyn/A 42868-2025 tillsynsbegäran.docx", "A 42868-2025")</f>
        <v/>
      </c>
      <c r="AD376">
        <f>HYPERLINK("https://klasma.github.io/Logging_0883/tillsynsmail/A 42868-2025 tillsynsbegäran mail.docx", "A 42868-2025")</f>
        <v/>
      </c>
    </row>
    <row r="377" ht="15" customHeight="1">
      <c r="A377" t="inlineStr">
        <is>
          <t>A 30500-2026</t>
        </is>
      </c>
      <c r="B377" t="inlineStr">
        <is>
          <t>avverkningsanmälan</t>
        </is>
      </c>
      <c r="C377" t="inlineStr">
        <is>
          <t>Föryngringsavverkning</t>
        </is>
      </c>
      <c r="D377" s="1" t="n">
        <v>46210</v>
      </c>
      <c r="E377" s="1" t="n">
        <v>46323</v>
      </c>
      <c r="F377" t="inlineStr">
        <is>
          <t>KALMAR LÄN</t>
        </is>
      </c>
      <c r="G377" t="inlineStr">
        <is>
          <t>NYBRO</t>
        </is>
      </c>
      <c r="I377" t="n">
        <v>3.2</v>
      </c>
      <c r="J377" t="n">
        <v>1</v>
      </c>
      <c r="K377" t="n">
        <v>3</v>
      </c>
      <c r="L377" t="n">
        <v>0</v>
      </c>
      <c r="M377" t="n">
        <v>0</v>
      </c>
      <c r="N377" t="n">
        <v>0</v>
      </c>
      <c r="O377" t="n">
        <v>0</v>
      </c>
      <c r="P377" t="n">
        <v>0</v>
      </c>
      <c r="Q377" t="n">
        <v>0</v>
      </c>
      <c r="R377" t="n">
        <v>0</v>
      </c>
      <c r="S377" t="n">
        <v>4</v>
      </c>
      <c r="T377" t="n">
        <v>4</v>
      </c>
      <c r="U377" t="n">
        <v>0</v>
      </c>
      <c r="V377" s="2" t="inlineStr">
        <is>
          <t>Ekskinn
Fällmossa
Lönnlav
Blåsippa</t>
        </is>
      </c>
      <c r="W377">
        <f>HYPERLINK("https://klasma.github.io/Logging_0881/artfynd/A 30500-2026 artfynd.xlsx", "A 30500-2026")</f>
        <v/>
      </c>
      <c r="X377">
        <f>HYPERLINK("https://klasma.github.io/Logging_0881/kartor/A 30500-2026 karta.png", "A 30500-2026")</f>
        <v/>
      </c>
      <c r="Y377">
        <f>HYPERLINK("https://klasma.github.io/Logging_0881/kartor_geotiff/A 30500-2026 georefererad karta.tif", "A 30500-2026")</f>
        <v/>
      </c>
      <c r="AA377">
        <f>HYPERLINK("https://klasma.github.io/Logging_0881/klagomål/A 30500-2026 FSC-klagomål.docx", "A 30500-2026")</f>
        <v/>
      </c>
      <c r="AB377">
        <f>HYPERLINK("https://klasma.github.io/Logging_0881/klagomålsmail/A 30500-2026 FSC-klagomål mail.docx", "A 30500-2026")</f>
        <v/>
      </c>
      <c r="AC377">
        <f>HYPERLINK("https://klasma.github.io/Logging_0881/tillsyn/A 30500-2026 tillsynsbegäran.docx", "A 30500-2026")</f>
        <v/>
      </c>
      <c r="AD377">
        <f>HYPERLINK("https://klasma.github.io/Logging_0881/tillsynsmail/A 30500-2026 tillsynsbegäran mail.docx", "A 30500-2026")</f>
        <v/>
      </c>
    </row>
    <row r="378" ht="15" customHeight="1">
      <c r="A378" t="inlineStr">
        <is>
          <t>A 11856-2024</t>
        </is>
      </c>
      <c r="B378" t="inlineStr">
        <is>
          <t>avverkningsanmälan</t>
        </is>
      </c>
      <c r="C378" t="inlineStr">
        <is>
          <t>Föryngringsavverkning</t>
        </is>
      </c>
      <c r="D378" s="1" t="n">
        <v>45376</v>
      </c>
      <c r="E378" s="1" t="n">
        <v>46323</v>
      </c>
      <c r="F378" t="inlineStr">
        <is>
          <t>KALMAR LÄN</t>
        </is>
      </c>
      <c r="G378" t="inlineStr">
        <is>
          <t>VÄSTERVIK</t>
        </is>
      </c>
      <c r="H378" t="inlineStr">
        <is>
          <t>Sveaskog</t>
        </is>
      </c>
      <c r="I378" t="n">
        <v>3.4</v>
      </c>
      <c r="J378" t="n">
        <v>1</v>
      </c>
      <c r="K378" t="n">
        <v>2</v>
      </c>
      <c r="L378" t="n">
        <v>1</v>
      </c>
      <c r="M378" t="n">
        <v>0</v>
      </c>
      <c r="N378" t="n">
        <v>0</v>
      </c>
      <c r="O378" t="n">
        <v>0</v>
      </c>
      <c r="P378" t="n">
        <v>0</v>
      </c>
      <c r="Q378" t="n">
        <v>1</v>
      </c>
      <c r="R378" t="n">
        <v>0</v>
      </c>
      <c r="S378" t="n">
        <v>4</v>
      </c>
      <c r="T378" t="n">
        <v>4</v>
      </c>
      <c r="U378" t="n">
        <v>0</v>
      </c>
      <c r="V378" s="2" t="inlineStr">
        <is>
          <t>Lunglav
Fällmossa
Platt fjädermossa
Blåsippa</t>
        </is>
      </c>
      <c r="W378">
        <f>HYPERLINK("https://klasma.github.io/Logging_0883/artfynd/A 11856-2024 artfynd.xlsx", "A 11856-2024")</f>
        <v/>
      </c>
      <c r="X378">
        <f>HYPERLINK("https://klasma.github.io/Logging_0883/kartor/A 11856-2024 karta.png", "A 11856-2024")</f>
        <v/>
      </c>
      <c r="Y378">
        <f>HYPERLINK("https://klasma.github.io/Logging_0883/kartor_geotiff/A 11856-2024 georefererad karta.tif", "A 11856-2024")</f>
        <v/>
      </c>
      <c r="AA378">
        <f>HYPERLINK("https://klasma.github.io/Logging_0883/klagomål/A 11856-2024 FSC-klagomål.docx", "A 11856-2024")</f>
        <v/>
      </c>
      <c r="AB378">
        <f>HYPERLINK("https://klasma.github.io/Logging_0883/klagomålsmail/A 11856-2024 FSC-klagomål mail.docx", "A 11856-2024")</f>
        <v/>
      </c>
      <c r="AC378">
        <f>HYPERLINK("https://klasma.github.io/Logging_0883/tillsyn/A 11856-2024 tillsynsbegäran.docx", "A 11856-2024")</f>
        <v/>
      </c>
      <c r="AD378">
        <f>HYPERLINK("https://klasma.github.io/Logging_0883/tillsynsmail/A 11856-2024 tillsynsbegäran mail.docx", "A 11856-2024")</f>
        <v/>
      </c>
    </row>
    <row r="379" ht="15" customHeight="1">
      <c r="A379" t="inlineStr">
        <is>
          <t>A 58343-2025</t>
        </is>
      </c>
      <c r="B379" t="inlineStr">
        <is>
          <t>avverkningsanmälan</t>
        </is>
      </c>
      <c r="C379" t="inlineStr">
        <is>
          <t>Föryngringsavverkning</t>
        </is>
      </c>
      <c r="D379" s="1" t="n">
        <v>45985</v>
      </c>
      <c r="E379" s="1" t="n">
        <v>46323</v>
      </c>
      <c r="F379" t="inlineStr">
        <is>
          <t>KALMAR LÄN</t>
        </is>
      </c>
      <c r="G379" t="inlineStr">
        <is>
          <t>VÄSTERVIK</t>
        </is>
      </c>
      <c r="I379" t="n">
        <v>5.2</v>
      </c>
      <c r="J379" t="n">
        <v>3</v>
      </c>
      <c r="K379" t="n">
        <v>0</v>
      </c>
      <c r="L379" t="n">
        <v>2</v>
      </c>
      <c r="M379" t="n">
        <v>1</v>
      </c>
      <c r="N379" t="n">
        <v>0</v>
      </c>
      <c r="O379" t="n">
        <v>0</v>
      </c>
      <c r="P379" t="n">
        <v>0</v>
      </c>
      <c r="Q379" t="n">
        <v>3</v>
      </c>
      <c r="R379" t="n">
        <v>1</v>
      </c>
      <c r="S379" t="n">
        <v>4</v>
      </c>
      <c r="T379" t="n">
        <v>7</v>
      </c>
      <c r="U379" t="n">
        <v>7</v>
      </c>
      <c r="V379" s="2" t="inlineStr">
        <is>
          <t>Knärot
Tallticka
Talltita
Spillkråka</t>
        </is>
      </c>
      <c r="W379">
        <f>HYPERLINK("https://klasma.github.io/Logging_0883/artfynd/A 58343-2025 artfynd.xlsx", "A 58343-2025")</f>
        <v/>
      </c>
      <c r="X379">
        <f>HYPERLINK("https://klasma.github.io/Logging_0883/kartor/A 58343-2025 karta.png", "A 58343-2025")</f>
        <v/>
      </c>
      <c r="Y379">
        <f>HYPERLINK("https://klasma.github.io/Logging_0883/kartor_geotiff/A 58343-2025 georefererad karta.tif", "A 58343-2025")</f>
        <v/>
      </c>
      <c r="Z379">
        <f>HYPERLINK("https://klasma.github.io/Logging_0883/knärot/A 58343-2025 karta knärot.png", "A 58343-2025")</f>
        <v/>
      </c>
      <c r="AA379">
        <f>HYPERLINK("https://klasma.github.io/Logging_0883/klagomål/A 58343-2025 FSC-klagomål.docx", "A 58343-2025")</f>
        <v/>
      </c>
      <c r="AB379">
        <f>HYPERLINK("https://klasma.github.io/Logging_0883/klagomålsmail/A 58343-2025 FSC-klagomål mail.docx", "A 58343-2025")</f>
        <v/>
      </c>
      <c r="AC379">
        <f>HYPERLINK("https://klasma.github.io/Logging_0883/tillsyn/A 58343-2025 tillsynsbegäran.docx", "A 58343-2025")</f>
        <v/>
      </c>
      <c r="AD379">
        <f>HYPERLINK("https://klasma.github.io/Logging_0883/tillsynsmail/A 58343-2025 tillsynsbegäran mail.docx", "A 58343-2025")</f>
        <v/>
      </c>
      <c r="AE379">
        <f>HYPERLINK("https://klasma.github.io/Logging_0883/fåglar/A 58343-2025 prioriterade fågelarter.docx", "A 58343-2025")</f>
        <v/>
      </c>
    </row>
    <row r="380" ht="15" customHeight="1">
      <c r="A380" t="inlineStr">
        <is>
          <t>A 58955-2022</t>
        </is>
      </c>
      <c r="B380" t="inlineStr">
        <is>
          <t>avverkningsanmälan</t>
        </is>
      </c>
      <c r="C380" t="inlineStr">
        <is>
          <t>Föryngringsavverkning</t>
        </is>
      </c>
      <c r="D380" s="1" t="n">
        <v>44896</v>
      </c>
      <c r="E380" s="1" t="n">
        <v>46323</v>
      </c>
      <c r="F380" t="inlineStr">
        <is>
          <t>KALMAR LÄN</t>
        </is>
      </c>
      <c r="G380" t="inlineStr">
        <is>
          <t>VÄSTERVIK</t>
        </is>
      </c>
      <c r="I380" t="n">
        <v>4.5</v>
      </c>
      <c r="J380" t="n">
        <v>2</v>
      </c>
      <c r="K380" t="n">
        <v>1</v>
      </c>
      <c r="L380" t="n">
        <v>1</v>
      </c>
      <c r="M380" t="n">
        <v>1</v>
      </c>
      <c r="N380" t="n">
        <v>0</v>
      </c>
      <c r="O380" t="n">
        <v>0</v>
      </c>
      <c r="P380" t="n">
        <v>0</v>
      </c>
      <c r="Q380" t="n">
        <v>2</v>
      </c>
      <c r="R380" t="n">
        <v>1</v>
      </c>
      <c r="S380" t="n">
        <v>4</v>
      </c>
      <c r="T380" t="n">
        <v>7</v>
      </c>
      <c r="U380" t="n">
        <v>7</v>
      </c>
      <c r="V380" s="2" t="inlineStr">
        <is>
          <t>Knärot
Tallticka
Hasselticka
Blåsippa</t>
        </is>
      </c>
      <c r="W380">
        <f>HYPERLINK("https://klasma.github.io/Logging_0883/artfynd/A 58955-2022 artfynd.xlsx", "A 58955-2022")</f>
        <v/>
      </c>
      <c r="X380">
        <f>HYPERLINK("https://klasma.github.io/Logging_0883/kartor/A 58955-2022 karta.png", "A 58955-2022")</f>
        <v/>
      </c>
      <c r="Y380">
        <f>HYPERLINK("https://klasma.github.io/Logging_0883/kartor_geotiff/A 58955-2022 georefererad karta.tif", "A 58955-2022")</f>
        <v/>
      </c>
      <c r="Z380">
        <f>HYPERLINK("https://klasma.github.io/Logging_0883/knärot/A 58955-2022 karta knärot.png", "A 58955-2022")</f>
        <v/>
      </c>
      <c r="AA380">
        <f>HYPERLINK("https://klasma.github.io/Logging_0883/klagomål/A 58955-2022 FSC-klagomål.docx", "A 58955-2022")</f>
        <v/>
      </c>
      <c r="AB380">
        <f>HYPERLINK("https://klasma.github.io/Logging_0883/klagomålsmail/A 58955-2022 FSC-klagomål mail.docx", "A 58955-2022")</f>
        <v/>
      </c>
      <c r="AC380">
        <f>HYPERLINK("https://klasma.github.io/Logging_0883/tillsyn/A 58955-2022 tillsynsbegäran.docx", "A 58955-2022")</f>
        <v/>
      </c>
      <c r="AD380">
        <f>HYPERLINK("https://klasma.github.io/Logging_0883/tillsynsmail/A 58955-2022 tillsynsbegäran mail.docx", "A 58955-2022")</f>
        <v/>
      </c>
    </row>
    <row r="381" ht="15" customHeight="1">
      <c r="A381" t="inlineStr">
        <is>
          <t>A 63366-2023</t>
        </is>
      </c>
      <c r="B381" t="inlineStr">
        <is>
          <t>avverkningsanmälan</t>
        </is>
      </c>
      <c r="C381" t="inlineStr">
        <is>
          <t>Föryngringsavverkning</t>
        </is>
      </c>
      <c r="D381" s="1" t="n">
        <v>45274</v>
      </c>
      <c r="E381" s="1" t="n">
        <v>46323</v>
      </c>
      <c r="F381" t="inlineStr">
        <is>
          <t>KALMAR LÄN</t>
        </is>
      </c>
      <c r="G381" t="inlineStr">
        <is>
          <t>VÄSTERVIK</t>
        </is>
      </c>
      <c r="I381" t="n">
        <v>4.1</v>
      </c>
      <c r="J381" t="n">
        <v>3</v>
      </c>
      <c r="K381" t="n">
        <v>0</v>
      </c>
      <c r="L381" t="n">
        <v>2</v>
      </c>
      <c r="M381" t="n">
        <v>1</v>
      </c>
      <c r="N381" t="n">
        <v>0</v>
      </c>
      <c r="O381" t="n">
        <v>0</v>
      </c>
      <c r="P381" t="n">
        <v>0</v>
      </c>
      <c r="Q381" t="n">
        <v>3</v>
      </c>
      <c r="R381" t="n">
        <v>1</v>
      </c>
      <c r="S381" t="n">
        <v>4</v>
      </c>
      <c r="T381" t="n">
        <v>6</v>
      </c>
      <c r="U381" t="n">
        <v>6</v>
      </c>
      <c r="V381" s="2" t="inlineStr">
        <is>
          <t>Knärot
Tallticka
Talltita
Spillkråka</t>
        </is>
      </c>
      <c r="W381">
        <f>HYPERLINK("https://klasma.github.io/Logging_0883/artfynd/A 63366-2023 artfynd.xlsx", "A 63366-2023")</f>
        <v/>
      </c>
      <c r="X381">
        <f>HYPERLINK("https://klasma.github.io/Logging_0883/kartor/A 63366-2023 karta.png", "A 63366-2023")</f>
        <v/>
      </c>
      <c r="Y381">
        <f>HYPERLINK("https://klasma.github.io/Logging_0883/kartor_geotiff/A 63366-2023 georefererad karta.tif", "A 63366-2023")</f>
        <v/>
      </c>
      <c r="Z381">
        <f>HYPERLINK("https://klasma.github.io/Logging_0883/knärot/A 63366-2023 karta knärot.png", "A 63366-2023")</f>
        <v/>
      </c>
      <c r="AA381">
        <f>HYPERLINK("https://klasma.github.io/Logging_0883/klagomål/A 63366-2023 FSC-klagomål.docx", "A 63366-2023")</f>
        <v/>
      </c>
      <c r="AB381">
        <f>HYPERLINK("https://klasma.github.io/Logging_0883/klagomålsmail/A 63366-2023 FSC-klagomål mail.docx", "A 63366-2023")</f>
        <v/>
      </c>
      <c r="AC381">
        <f>HYPERLINK("https://klasma.github.io/Logging_0883/tillsyn/A 63366-2023 tillsynsbegäran.docx", "A 63366-2023")</f>
        <v/>
      </c>
      <c r="AD381">
        <f>HYPERLINK("https://klasma.github.io/Logging_0883/tillsynsmail/A 63366-2023 tillsynsbegäran mail.docx", "A 63366-2023")</f>
        <v/>
      </c>
      <c r="AE381">
        <f>HYPERLINK("https://klasma.github.io/Logging_0883/fåglar/A 63366-2023 prioriterade fågelarter.docx", "A 63366-2023")</f>
        <v/>
      </c>
    </row>
    <row r="382" ht="15" customHeight="1">
      <c r="A382" t="inlineStr">
        <is>
          <t>A 45301-2023</t>
        </is>
      </c>
      <c r="B382" t="inlineStr">
        <is>
          <t>avverkningsanmälan</t>
        </is>
      </c>
      <c r="C382" t="inlineStr">
        <is>
          <t>Föryngringsavverkning</t>
        </is>
      </c>
      <c r="D382" s="1" t="n">
        <v>45191</v>
      </c>
      <c r="E382" s="1" t="n">
        <v>46323</v>
      </c>
      <c r="F382" t="inlineStr">
        <is>
          <t>KALMAR LÄN</t>
        </is>
      </c>
      <c r="G382" t="inlineStr">
        <is>
          <t>HULTSFRED</t>
        </is>
      </c>
      <c r="H382" t="inlineStr">
        <is>
          <t>Övriga Aktiebolag</t>
        </is>
      </c>
      <c r="I382" t="n">
        <v>2</v>
      </c>
      <c r="J382" t="n">
        <v>1</v>
      </c>
      <c r="K382" t="n">
        <v>2</v>
      </c>
      <c r="L382" t="n">
        <v>1</v>
      </c>
      <c r="M382" t="n">
        <v>1</v>
      </c>
      <c r="N382" t="n">
        <v>0</v>
      </c>
      <c r="O382" t="n">
        <v>0</v>
      </c>
      <c r="P382" t="n">
        <v>0</v>
      </c>
      <c r="Q382" t="n">
        <v>2</v>
      </c>
      <c r="R382" t="n">
        <v>1</v>
      </c>
      <c r="S382" t="n">
        <v>4</v>
      </c>
      <c r="T382" t="n">
        <v>4</v>
      </c>
      <c r="U382" t="n">
        <v>0</v>
      </c>
      <c r="V382" s="2" t="inlineStr">
        <is>
          <t>Knärot
Vedtrappmossa
Fällmossa
Stubbspretmossa</t>
        </is>
      </c>
      <c r="W382">
        <f>HYPERLINK("https://klasma.github.io/Logging_0860/artfynd/A 45301-2023 artfynd.xlsx", "A 45301-2023")</f>
        <v/>
      </c>
      <c r="X382">
        <f>HYPERLINK("https://klasma.github.io/Logging_0860/kartor/A 45301-2023 karta.png", "A 45301-2023")</f>
        <v/>
      </c>
      <c r="Y382">
        <f>HYPERLINK("https://klasma.github.io/Logging_0860/kartor_geotiff/A 45301-2023 georefererad karta.tif", "A 45301-2023")</f>
        <v/>
      </c>
      <c r="Z382">
        <f>HYPERLINK("https://klasma.github.io/Logging_0860/knärot/A 45301-2023 karta knärot.png", "A 45301-2023")</f>
        <v/>
      </c>
      <c r="AA382">
        <f>HYPERLINK("https://klasma.github.io/Logging_0860/klagomål/A 45301-2023 FSC-klagomål.docx", "A 45301-2023")</f>
        <v/>
      </c>
      <c r="AB382">
        <f>HYPERLINK("https://klasma.github.io/Logging_0860/klagomålsmail/A 45301-2023 FSC-klagomål mail.docx", "A 45301-2023")</f>
        <v/>
      </c>
      <c r="AC382">
        <f>HYPERLINK("https://klasma.github.io/Logging_0860/tillsyn/A 45301-2023 tillsynsbegäran.docx", "A 45301-2023")</f>
        <v/>
      </c>
      <c r="AD382">
        <f>HYPERLINK("https://klasma.github.io/Logging_0860/tillsynsmail/A 45301-2023 tillsynsbegäran mail.docx", "A 45301-2023")</f>
        <v/>
      </c>
    </row>
    <row r="383" ht="15" customHeight="1">
      <c r="A383" t="inlineStr">
        <is>
          <t>A 26440-2026</t>
        </is>
      </c>
      <c r="B383" t="inlineStr">
        <is>
          <t>avverkningsanmälan</t>
        </is>
      </c>
      <c r="C383" t="inlineStr">
        <is>
          <t>Avverkning för annat ändamål</t>
        </is>
      </c>
      <c r="D383" s="1" t="n">
        <v>46183</v>
      </c>
      <c r="E383" s="1" t="n">
        <v>46323</v>
      </c>
      <c r="F383" t="inlineStr">
        <is>
          <t>KALMAR LÄN</t>
        </is>
      </c>
      <c r="G383" t="inlineStr">
        <is>
          <t>MÖRBYLÅNGA</t>
        </is>
      </c>
      <c r="I383" t="n">
        <v>1.1</v>
      </c>
      <c r="J383" t="n">
        <v>1</v>
      </c>
      <c r="K383" t="n">
        <v>3</v>
      </c>
      <c r="L383" t="n">
        <v>1</v>
      </c>
      <c r="M383" t="n">
        <v>0</v>
      </c>
      <c r="N383" t="n">
        <v>0</v>
      </c>
      <c r="O383" t="n">
        <v>0</v>
      </c>
      <c r="P383" t="n">
        <v>0</v>
      </c>
      <c r="Q383" t="n">
        <v>1</v>
      </c>
      <c r="R383" t="n">
        <v>0</v>
      </c>
      <c r="S383" t="n">
        <v>4</v>
      </c>
      <c r="T383" t="n">
        <v>5</v>
      </c>
      <c r="U383" t="n">
        <v>0</v>
      </c>
      <c r="V383" s="2" t="inlineStr">
        <is>
          <t>Backstarr
Murgröna
Nästrot
Vätteros</t>
        </is>
      </c>
      <c r="W383">
        <f>HYPERLINK("https://klasma.github.io/Logging_0840/artfynd/A 26440-2026 artfynd.xlsx", "A 26440-2026")</f>
        <v/>
      </c>
      <c r="X383">
        <f>HYPERLINK("https://klasma.github.io/Logging_0840/kartor/A 26440-2026 karta.png", "A 26440-2026")</f>
        <v/>
      </c>
      <c r="Y383">
        <f>HYPERLINK("https://klasma.github.io/Logging_0840/kartor_geotiff/A 26440-2026 georefererad karta.tif", "A 26440-2026")</f>
        <v/>
      </c>
      <c r="AA383">
        <f>HYPERLINK("https://klasma.github.io/Logging_0840/klagomål/A 26440-2026 FSC-klagomål.docx", "A 26440-2026")</f>
        <v/>
      </c>
      <c r="AB383">
        <f>HYPERLINK("https://klasma.github.io/Logging_0840/klagomålsmail/A 26440-2026 FSC-klagomål mail.docx", "A 26440-2026")</f>
        <v/>
      </c>
      <c r="AC383">
        <f>HYPERLINK("https://klasma.github.io/Logging_0840/tillsyn/A 26440-2026 tillsynsbegäran.docx", "A 26440-2026")</f>
        <v/>
      </c>
      <c r="AD383">
        <f>HYPERLINK("https://klasma.github.io/Logging_0840/tillsynsmail/A 26440-2026 tillsynsbegäran mail.docx", "A 26440-2026")</f>
        <v/>
      </c>
    </row>
    <row r="384" ht="15" customHeight="1">
      <c r="A384" t="inlineStr">
        <is>
          <t>A 47935-2023</t>
        </is>
      </c>
      <c r="B384" t="inlineStr">
        <is>
          <t>avverkningsanmälan</t>
        </is>
      </c>
      <c r="C384" t="inlineStr">
        <is>
          <t>Föryngringsavverkning</t>
        </is>
      </c>
      <c r="D384" s="1" t="n">
        <v>45204</v>
      </c>
      <c r="E384" s="1" t="n">
        <v>46323</v>
      </c>
      <c r="F384" t="inlineStr">
        <is>
          <t>KALMAR LÄN</t>
        </is>
      </c>
      <c r="G384" t="inlineStr">
        <is>
          <t>VÄSTERVIK</t>
        </is>
      </c>
      <c r="I384" t="n">
        <v>4.3</v>
      </c>
      <c r="J384" t="n">
        <v>2</v>
      </c>
      <c r="K384" t="n">
        <v>1</v>
      </c>
      <c r="L384" t="n">
        <v>1</v>
      </c>
      <c r="M384" t="n">
        <v>1</v>
      </c>
      <c r="N384" t="n">
        <v>0</v>
      </c>
      <c r="O384" t="n">
        <v>0</v>
      </c>
      <c r="P384" t="n">
        <v>0</v>
      </c>
      <c r="Q384" t="n">
        <v>2</v>
      </c>
      <c r="R384" t="n">
        <v>1</v>
      </c>
      <c r="S384" t="n">
        <v>4</v>
      </c>
      <c r="T384" t="n">
        <v>20</v>
      </c>
      <c r="U384" t="n">
        <v>20</v>
      </c>
      <c r="V384" s="2" t="inlineStr">
        <is>
          <t>Knärot
Tallticka
Blåmossa
Spillkråka</t>
        </is>
      </c>
      <c r="W384">
        <f>HYPERLINK("https://klasma.github.io/Logging_0883/artfynd/A 47935-2023 artfynd.xlsx", "A 47935-2023")</f>
        <v/>
      </c>
      <c r="X384">
        <f>HYPERLINK("https://klasma.github.io/Logging_0883/kartor/A 47935-2023 karta.png", "A 47935-2023")</f>
        <v/>
      </c>
      <c r="Y384">
        <f>HYPERLINK("https://klasma.github.io/Logging_0883/kartor_geotiff/A 47935-2023 georefererad karta.tif", "A 47935-2023")</f>
        <v/>
      </c>
      <c r="Z384">
        <f>HYPERLINK("https://klasma.github.io/Logging_0883/knärot/A 47935-2023 karta knärot.png", "A 47935-2023")</f>
        <v/>
      </c>
      <c r="AA384">
        <f>HYPERLINK("https://klasma.github.io/Logging_0883/klagomål/A 47935-2023 FSC-klagomål.docx", "A 47935-2023")</f>
        <v/>
      </c>
      <c r="AB384">
        <f>HYPERLINK("https://klasma.github.io/Logging_0883/klagomålsmail/A 47935-2023 FSC-klagomål mail.docx", "A 47935-2023")</f>
        <v/>
      </c>
      <c r="AC384">
        <f>HYPERLINK("https://klasma.github.io/Logging_0883/tillsyn/A 47935-2023 tillsynsbegäran.docx", "A 47935-2023")</f>
        <v/>
      </c>
      <c r="AD384">
        <f>HYPERLINK("https://klasma.github.io/Logging_0883/tillsynsmail/A 47935-2023 tillsynsbegäran mail.docx", "A 47935-2023")</f>
        <v/>
      </c>
      <c r="AE384">
        <f>HYPERLINK("https://klasma.github.io/Logging_0883/fåglar/A 47935-2023 prioriterade fågelarter.docx", "A 47935-2023")</f>
        <v/>
      </c>
    </row>
    <row r="385" ht="15" customHeight="1">
      <c r="A385" t="inlineStr">
        <is>
          <t>A 32348-2026</t>
        </is>
      </c>
      <c r="B385" t="inlineStr">
        <is>
          <t>avverkningsanmälan</t>
        </is>
      </c>
      <c r="C385" t="inlineStr">
        <is>
          <t>Föryngringsavverkning</t>
        </is>
      </c>
      <c r="D385" s="1" t="n">
        <v>46238</v>
      </c>
      <c r="E385" s="1" t="n">
        <v>46323</v>
      </c>
      <c r="F385" t="inlineStr">
        <is>
          <t>KALMAR LÄN</t>
        </is>
      </c>
      <c r="G385" t="inlineStr">
        <is>
          <t>VIMMERBY</t>
        </is>
      </c>
      <c r="I385" t="n">
        <v>3.2</v>
      </c>
      <c r="J385" t="n">
        <v>1</v>
      </c>
      <c r="K385" t="n">
        <v>0</v>
      </c>
      <c r="L385" t="n">
        <v>2</v>
      </c>
      <c r="M385" t="n">
        <v>1</v>
      </c>
      <c r="N385" t="n">
        <v>0</v>
      </c>
      <c r="O385" t="n">
        <v>0</v>
      </c>
      <c r="P385" t="n">
        <v>0</v>
      </c>
      <c r="Q385" t="n">
        <v>3</v>
      </c>
      <c r="R385" t="n">
        <v>1</v>
      </c>
      <c r="S385" t="n">
        <v>4</v>
      </c>
      <c r="T385" t="n">
        <v>4</v>
      </c>
      <c r="U385" t="n">
        <v>3</v>
      </c>
      <c r="V385" s="2" t="inlineStr">
        <is>
          <t>Skrovlig taggsvamp
Motaggsvamp
Tallfingersvamp
Kungsfågel</t>
        </is>
      </c>
      <c r="W385">
        <f>HYPERLINK("https://klasma.github.io/Logging_0884/artfynd/A 32348-2026 artfynd.xlsx", "A 32348-2026")</f>
        <v/>
      </c>
      <c r="X385">
        <f>HYPERLINK("https://klasma.github.io/Logging_0884/kartor/A 32348-2026 karta.png", "A 32348-2026")</f>
        <v/>
      </c>
      <c r="Y385">
        <f>HYPERLINK("https://klasma.github.io/Logging_0884/kartor_geotiff/A 32348-2026 georefererad karta.tif", "A 32348-2026")</f>
        <v/>
      </c>
      <c r="AA385">
        <f>HYPERLINK("https://klasma.github.io/Logging_0884/klagomål/A 32348-2026 FSC-klagomål.docx", "A 32348-2026")</f>
        <v/>
      </c>
      <c r="AB385">
        <f>HYPERLINK("https://klasma.github.io/Logging_0884/klagomålsmail/A 32348-2026 FSC-klagomål mail.docx", "A 32348-2026")</f>
        <v/>
      </c>
      <c r="AC385">
        <f>HYPERLINK("https://klasma.github.io/Logging_0884/tillsyn/A 32348-2026 tillsynsbegäran.docx", "A 32348-2026")</f>
        <v/>
      </c>
      <c r="AD385">
        <f>HYPERLINK("https://klasma.github.io/Logging_0884/tillsynsmail/A 32348-2026 tillsynsbegäran mail.docx", "A 32348-2026")</f>
        <v/>
      </c>
    </row>
    <row r="386" ht="15" customHeight="1">
      <c r="A386" t="inlineStr">
        <is>
          <t>A 47451-2022</t>
        </is>
      </c>
      <c r="B386" t="inlineStr">
        <is>
          <t>avverkningsanmälan</t>
        </is>
      </c>
      <c r="C386" t="inlineStr">
        <is>
          <t>Föryngringsavverkning</t>
        </is>
      </c>
      <c r="D386" s="1" t="n">
        <v>44853</v>
      </c>
      <c r="E386" s="1" t="n">
        <v>46323</v>
      </c>
      <c r="F386" t="inlineStr">
        <is>
          <t>KALMAR LÄN</t>
        </is>
      </c>
      <c r="G386" t="inlineStr">
        <is>
          <t>KALMAR</t>
        </is>
      </c>
      <c r="I386" t="n">
        <v>3.8</v>
      </c>
      <c r="J386" t="n">
        <v>1</v>
      </c>
      <c r="K386" t="n">
        <v>3</v>
      </c>
      <c r="L386" t="n">
        <v>0</v>
      </c>
      <c r="M386" t="n">
        <v>1</v>
      </c>
      <c r="N386" t="n">
        <v>0</v>
      </c>
      <c r="O386" t="n">
        <v>0</v>
      </c>
      <c r="P386" t="n">
        <v>0</v>
      </c>
      <c r="Q386" t="n">
        <v>1</v>
      </c>
      <c r="R386" t="n">
        <v>1</v>
      </c>
      <c r="S386" t="n">
        <v>4</v>
      </c>
      <c r="T386" t="n">
        <v>6</v>
      </c>
      <c r="U386" t="n">
        <v>0</v>
      </c>
      <c r="V386" s="2" t="inlineStr">
        <is>
          <t>Knärot
Grönpyrola
Murgröna
Västlig hakmossa</t>
        </is>
      </c>
      <c r="W386">
        <f>HYPERLINK("https://klasma.github.io/Logging_0880/artfynd/A 47451-2022 artfynd.xlsx", "A 47451-2022")</f>
        <v/>
      </c>
      <c r="X386">
        <f>HYPERLINK("https://klasma.github.io/Logging_0880/kartor/A 47451-2022 karta.png", "A 47451-2022")</f>
        <v/>
      </c>
      <c r="Y386">
        <f>HYPERLINK("https://klasma.github.io/Logging_0880/kartor_geotiff/A 47451-2022 georefererad karta.tif", "A 47451-2022")</f>
        <v/>
      </c>
      <c r="Z386">
        <f>HYPERLINK("https://klasma.github.io/Logging_0880/knärot/A 47451-2022 karta knärot.png", "A 47451-2022")</f>
        <v/>
      </c>
      <c r="AA386">
        <f>HYPERLINK("https://klasma.github.io/Logging_0880/klagomål/A 47451-2022 FSC-klagomål.docx", "A 47451-2022")</f>
        <v/>
      </c>
      <c r="AB386">
        <f>HYPERLINK("https://klasma.github.io/Logging_0880/klagomålsmail/A 47451-2022 FSC-klagomål mail.docx", "A 47451-2022")</f>
        <v/>
      </c>
      <c r="AC386">
        <f>HYPERLINK("https://klasma.github.io/Logging_0880/tillsyn/A 47451-2022 tillsynsbegäran.docx", "A 47451-2022")</f>
        <v/>
      </c>
      <c r="AD386">
        <f>HYPERLINK("https://klasma.github.io/Logging_0880/tillsynsmail/A 47451-2022 tillsynsbegäran mail.docx", "A 47451-2022")</f>
        <v/>
      </c>
    </row>
    <row r="387" ht="15" customHeight="1">
      <c r="A387" t="inlineStr">
        <is>
          <t>A 38522-2026</t>
        </is>
      </c>
      <c r="B387" t="inlineStr">
        <is>
          <t>avverkningsanmälan</t>
        </is>
      </c>
      <c r="C387" t="inlineStr">
        <is>
          <t>Avverkning för annat ändamål</t>
        </is>
      </c>
      <c r="D387" s="1" t="n">
        <v>46283</v>
      </c>
      <c r="E387" s="1" t="n">
        <v>46323</v>
      </c>
      <c r="F387" t="inlineStr">
        <is>
          <t>KALMAR LÄN</t>
        </is>
      </c>
      <c r="G387" t="inlineStr">
        <is>
          <t>MÖNSTERÅS</t>
        </is>
      </c>
      <c r="I387" t="n">
        <v>28.2</v>
      </c>
      <c r="J387" t="n">
        <v>3</v>
      </c>
      <c r="K387" t="n">
        <v>0</v>
      </c>
      <c r="L387" t="n">
        <v>2</v>
      </c>
      <c r="M387" t="n">
        <v>0</v>
      </c>
      <c r="N387" t="n">
        <v>1</v>
      </c>
      <c r="O387" t="n">
        <v>0</v>
      </c>
      <c r="P387" t="n">
        <v>0</v>
      </c>
      <c r="Q387" t="n">
        <v>3</v>
      </c>
      <c r="R387" t="n">
        <v>1</v>
      </c>
      <c r="S387" t="n">
        <v>4</v>
      </c>
      <c r="T387" t="n">
        <v>6</v>
      </c>
      <c r="U387" t="n">
        <v>0</v>
      </c>
      <c r="V387" s="2" t="inlineStr">
        <is>
          <t>Brun glada
Gulsparv
Mindre tåtelsmygare
Skogsödla</t>
        </is>
      </c>
      <c r="W387">
        <f>HYPERLINK("https://klasma.github.io/Logging_0861/artfynd/A 38522-2026 artfynd.xlsx", "A 38522-2026")</f>
        <v/>
      </c>
      <c r="X387">
        <f>HYPERLINK("https://klasma.github.io/Logging_0861/kartor/A 38522-2026 karta.png", "A 38522-2026")</f>
        <v/>
      </c>
      <c r="Y387">
        <f>HYPERLINK("https://klasma.github.io/Logging_0861/kartor_geotiff/A 38522-2026 georefererad karta.tif", "A 38522-2026")</f>
        <v/>
      </c>
      <c r="AA387">
        <f>HYPERLINK("https://klasma.github.io/Logging_0861/klagomål/A 38522-2026 FSC-klagomål.docx", "A 38522-2026")</f>
        <v/>
      </c>
      <c r="AB387">
        <f>HYPERLINK("https://klasma.github.io/Logging_0861/klagomålsmail/A 38522-2026 FSC-klagomål mail.docx", "A 38522-2026")</f>
        <v/>
      </c>
      <c r="AC387">
        <f>HYPERLINK("https://klasma.github.io/Logging_0861/tillsyn/A 38522-2026 tillsynsbegäran.docx", "A 38522-2026")</f>
        <v/>
      </c>
      <c r="AD387">
        <f>HYPERLINK("https://klasma.github.io/Logging_0861/tillsynsmail/A 38522-2026 tillsynsbegäran mail.docx", "A 38522-2026")</f>
        <v/>
      </c>
      <c r="AE387">
        <f>HYPERLINK("https://klasma.github.io/Logging_0861/fåglar/A 38522-2026 prioriterade fågelarter.docx", "A 38522-2026")</f>
        <v/>
      </c>
    </row>
    <row r="388" ht="15" customHeight="1">
      <c r="A388" t="inlineStr">
        <is>
          <t>A 46007-2023</t>
        </is>
      </c>
      <c r="B388" t="inlineStr">
        <is>
          <t>avverkningsanmälan</t>
        </is>
      </c>
      <c r="C388" t="inlineStr">
        <is>
          <t>Föryngringsavverkning</t>
        </is>
      </c>
      <c r="D388" s="1" t="n">
        <v>45189</v>
      </c>
      <c r="E388" s="1" t="n">
        <v>46323</v>
      </c>
      <c r="F388" t="inlineStr">
        <is>
          <t>KALMAR LÄN</t>
        </is>
      </c>
      <c r="G388" t="inlineStr">
        <is>
          <t>NYBRO</t>
        </is>
      </c>
      <c r="H388" t="inlineStr">
        <is>
          <t>Kyrkan</t>
        </is>
      </c>
      <c r="I388" t="n">
        <v>0.5</v>
      </c>
      <c r="J388" t="n">
        <v>4</v>
      </c>
      <c r="K388" t="n">
        <v>0</v>
      </c>
      <c r="L388" t="n">
        <v>2</v>
      </c>
      <c r="M388" t="n">
        <v>0</v>
      </c>
      <c r="N388" t="n">
        <v>0</v>
      </c>
      <c r="O388" t="n">
        <v>0</v>
      </c>
      <c r="P388" t="n">
        <v>0</v>
      </c>
      <c r="Q388" t="n">
        <v>2</v>
      </c>
      <c r="R388" t="n">
        <v>0</v>
      </c>
      <c r="S388" t="n">
        <v>4</v>
      </c>
      <c r="T388" t="n">
        <v>6</v>
      </c>
      <c r="U388" t="n">
        <v>6</v>
      </c>
      <c r="V388" s="2" t="inlineStr">
        <is>
          <t>Brunlångöra
Nordfladdermus
Dvärgpipistrell
Större brunfladdermus</t>
        </is>
      </c>
      <c r="W388">
        <f>HYPERLINK("https://klasma.github.io/Logging_0881/artfynd/A 46007-2023 artfynd.xlsx", "A 46007-2023")</f>
        <v/>
      </c>
      <c r="X388">
        <f>HYPERLINK("https://klasma.github.io/Logging_0881/kartor/A 46007-2023 karta.png", "A 46007-2023")</f>
        <v/>
      </c>
      <c r="Y388">
        <f>HYPERLINK("https://klasma.github.io/Logging_0881/kartor_geotiff/A 46007-2023 georefererad karta.tif", "A 46007-2023")</f>
        <v/>
      </c>
      <c r="AA388">
        <f>HYPERLINK("https://klasma.github.io/Logging_0881/klagomål/A 46007-2023 FSC-klagomål.docx", "A 46007-2023")</f>
        <v/>
      </c>
      <c r="AB388">
        <f>HYPERLINK("https://klasma.github.io/Logging_0881/klagomålsmail/A 46007-2023 FSC-klagomål mail.docx", "A 46007-2023")</f>
        <v/>
      </c>
      <c r="AC388">
        <f>HYPERLINK("https://klasma.github.io/Logging_0881/tillsyn/A 46007-2023 tillsynsbegäran.docx", "A 46007-2023")</f>
        <v/>
      </c>
      <c r="AD388">
        <f>HYPERLINK("https://klasma.github.io/Logging_0881/tillsynsmail/A 46007-2023 tillsynsbegäran mail.docx", "A 46007-2023")</f>
        <v/>
      </c>
    </row>
    <row r="389" ht="15" customHeight="1">
      <c r="A389" t="inlineStr">
        <is>
          <t>A 33405-2026</t>
        </is>
      </c>
      <c r="B389" t="inlineStr">
        <is>
          <t>avverkningsanmälan</t>
        </is>
      </c>
      <c r="C389" t="inlineStr">
        <is>
          <t>Föryngringsavverkning</t>
        </is>
      </c>
      <c r="D389" s="1" t="n">
        <v>46247</v>
      </c>
      <c r="E389" s="1" t="n">
        <v>46323</v>
      </c>
      <c r="F389" t="inlineStr">
        <is>
          <t>KALMAR LÄN</t>
        </is>
      </c>
      <c r="G389" t="inlineStr">
        <is>
          <t>NYBRO</t>
        </is>
      </c>
      <c r="H389" t="inlineStr">
        <is>
          <t>Sveaskog</t>
        </is>
      </c>
      <c r="I389" t="n">
        <v>10.1</v>
      </c>
      <c r="J389" t="n">
        <v>2</v>
      </c>
      <c r="K389" t="n">
        <v>1</v>
      </c>
      <c r="L389" t="n">
        <v>1</v>
      </c>
      <c r="M389" t="n">
        <v>0</v>
      </c>
      <c r="N389" t="n">
        <v>0</v>
      </c>
      <c r="O389" t="n">
        <v>0</v>
      </c>
      <c r="P389" t="n">
        <v>0</v>
      </c>
      <c r="Q389" t="n">
        <v>1</v>
      </c>
      <c r="R389" t="n">
        <v>0</v>
      </c>
      <c r="S389" t="n">
        <v>4</v>
      </c>
      <c r="T389" t="n">
        <v>6</v>
      </c>
      <c r="U389" t="n">
        <v>0</v>
      </c>
      <c r="V389" s="2" t="inlineStr">
        <is>
          <t>Svinrot
Blåmossa
Mattlummer
Nattskärra</t>
        </is>
      </c>
      <c r="W389">
        <f>HYPERLINK("https://klasma.github.io/Logging_0881/artfynd/A 33405-2026 artfynd.xlsx", "A 33405-2026")</f>
        <v/>
      </c>
      <c r="X389">
        <f>HYPERLINK("https://klasma.github.io/Logging_0881/kartor/A 33405-2026 karta.png", "A 33405-2026")</f>
        <v/>
      </c>
      <c r="Y389">
        <f>HYPERLINK("https://klasma.github.io/Logging_0881/kartor_geotiff/A 33405-2026 georefererad karta.tif", "A 33405-2026")</f>
        <v/>
      </c>
      <c r="AA389">
        <f>HYPERLINK("https://klasma.github.io/Logging_0881/klagomål/A 33405-2026 FSC-klagomål.docx", "A 33405-2026")</f>
        <v/>
      </c>
      <c r="AB389">
        <f>HYPERLINK("https://klasma.github.io/Logging_0881/klagomålsmail/A 33405-2026 FSC-klagomål mail.docx", "A 33405-2026")</f>
        <v/>
      </c>
      <c r="AC389">
        <f>HYPERLINK("https://klasma.github.io/Logging_0881/tillsyn/A 33405-2026 tillsynsbegäran.docx", "A 33405-2026")</f>
        <v/>
      </c>
      <c r="AD389">
        <f>HYPERLINK("https://klasma.github.io/Logging_0881/tillsynsmail/A 33405-2026 tillsynsbegäran mail.docx", "A 33405-2026")</f>
        <v/>
      </c>
      <c r="AE389">
        <f>HYPERLINK("https://klasma.github.io/Logging_0881/fåglar/A 33405-2026 prioriterade fågelarter.docx", "A 33405-2026")</f>
        <v/>
      </c>
    </row>
    <row r="390" ht="15" customHeight="1">
      <c r="A390" t="inlineStr">
        <is>
          <t>A 24950-2026</t>
        </is>
      </c>
      <c r="B390" t="inlineStr">
        <is>
          <t>avverkningsanmälan</t>
        </is>
      </c>
      <c r="C390" t="inlineStr">
        <is>
          <t>Föryngringsavverkning</t>
        </is>
      </c>
      <c r="D390" s="1" t="n">
        <v>46174</v>
      </c>
      <c r="E390" s="1" t="n">
        <v>46323</v>
      </c>
      <c r="F390" t="inlineStr">
        <is>
          <t>KALMAR LÄN</t>
        </is>
      </c>
      <c r="G390" t="inlineStr">
        <is>
          <t>VÄSTERVIK</t>
        </is>
      </c>
      <c r="I390" t="n">
        <v>3</v>
      </c>
      <c r="J390" t="n">
        <v>3</v>
      </c>
      <c r="K390" t="n">
        <v>0</v>
      </c>
      <c r="L390" t="n">
        <v>1</v>
      </c>
      <c r="M390" t="n">
        <v>0</v>
      </c>
      <c r="N390" t="n">
        <v>0</v>
      </c>
      <c r="O390" t="n">
        <v>0</v>
      </c>
      <c r="P390" t="n">
        <v>0</v>
      </c>
      <c r="Q390" t="n">
        <v>1</v>
      </c>
      <c r="R390" t="n">
        <v>0</v>
      </c>
      <c r="S390" t="n">
        <v>4</v>
      </c>
      <c r="T390" t="n">
        <v>7</v>
      </c>
      <c r="U390" t="n">
        <v>7</v>
      </c>
      <c r="V390" s="2" t="inlineStr">
        <is>
          <t>Talltita
Spillkråka
Timmerticka
Tjäder</t>
        </is>
      </c>
      <c r="W390">
        <f>HYPERLINK("https://klasma.github.io/Logging_0883/artfynd/A 24950-2026 artfynd.xlsx", "A 24950-2026")</f>
        <v/>
      </c>
      <c r="X390">
        <f>HYPERLINK("https://klasma.github.io/Logging_0883/kartor/A 24950-2026 karta.png", "A 24950-2026")</f>
        <v/>
      </c>
      <c r="Y390">
        <f>HYPERLINK("https://klasma.github.io/Logging_0883/kartor_geotiff/A 24950-2026 georefererad karta.tif", "A 24950-2026")</f>
        <v/>
      </c>
      <c r="AA390">
        <f>HYPERLINK("https://klasma.github.io/Logging_0883/klagomål/A 24950-2026 FSC-klagomål.docx", "A 24950-2026")</f>
        <v/>
      </c>
      <c r="AB390">
        <f>HYPERLINK("https://klasma.github.io/Logging_0883/klagomålsmail/A 24950-2026 FSC-klagomål mail.docx", "A 24950-2026")</f>
        <v/>
      </c>
      <c r="AC390">
        <f>HYPERLINK("https://klasma.github.io/Logging_0883/tillsyn/A 24950-2026 tillsynsbegäran.docx", "A 24950-2026")</f>
        <v/>
      </c>
      <c r="AD390">
        <f>HYPERLINK("https://klasma.github.io/Logging_0883/tillsynsmail/A 24950-2026 tillsynsbegäran mail.docx", "A 24950-2026")</f>
        <v/>
      </c>
      <c r="AE390">
        <f>HYPERLINK("https://klasma.github.io/Logging_0883/fåglar/A 24950-2026 prioriterade fågelarter.docx", "A 24950-2026")</f>
        <v/>
      </c>
    </row>
    <row r="391" ht="15" customHeight="1">
      <c r="A391" t="inlineStr">
        <is>
          <t>A 21858-2026</t>
        </is>
      </c>
      <c r="B391" t="inlineStr">
        <is>
          <t>avverkningsanmälan</t>
        </is>
      </c>
      <c r="C391" t="inlineStr">
        <is>
          <t>Föryngringsavverkning</t>
        </is>
      </c>
      <c r="D391" s="1" t="n">
        <v>46150</v>
      </c>
      <c r="E391" s="1" t="n">
        <v>46323</v>
      </c>
      <c r="F391" t="inlineStr">
        <is>
          <t>KALMAR LÄN</t>
        </is>
      </c>
      <c r="G391" t="inlineStr">
        <is>
          <t>VÄSTERVIK</t>
        </is>
      </c>
      <c r="I391" t="n">
        <v>1.3</v>
      </c>
      <c r="J391" t="n">
        <v>2</v>
      </c>
      <c r="K391" t="n">
        <v>1</v>
      </c>
      <c r="L391" t="n">
        <v>1</v>
      </c>
      <c r="M391" t="n">
        <v>0</v>
      </c>
      <c r="N391" t="n">
        <v>0</v>
      </c>
      <c r="O391" t="n">
        <v>0</v>
      </c>
      <c r="P391" t="n">
        <v>0</v>
      </c>
      <c r="Q391" t="n">
        <v>1</v>
      </c>
      <c r="R391" t="n">
        <v>0</v>
      </c>
      <c r="S391" t="n">
        <v>4</v>
      </c>
      <c r="T391" t="n">
        <v>6</v>
      </c>
      <c r="U391" t="n">
        <v>5</v>
      </c>
      <c r="V391" s="2" t="inlineStr">
        <is>
          <t>Svinrot
Björksplintborre
Blåsippa
Svartvit flugsnappare</t>
        </is>
      </c>
      <c r="W391">
        <f>HYPERLINK("https://klasma.github.io/Logging_0883/artfynd/A 21858-2026 artfynd.xlsx", "A 21858-2026")</f>
        <v/>
      </c>
      <c r="X391">
        <f>HYPERLINK("https://klasma.github.io/Logging_0883/kartor/A 21858-2026 karta.png", "A 21858-2026")</f>
        <v/>
      </c>
      <c r="Y391">
        <f>HYPERLINK("https://klasma.github.io/Logging_0883/kartor_geotiff/A 21858-2026 georefererad karta.tif", "A 21858-2026")</f>
        <v/>
      </c>
      <c r="AA391">
        <f>HYPERLINK("https://klasma.github.io/Logging_0883/klagomål/A 21858-2026 FSC-klagomål.docx", "A 21858-2026")</f>
        <v/>
      </c>
      <c r="AB391">
        <f>HYPERLINK("https://klasma.github.io/Logging_0883/klagomålsmail/A 21858-2026 FSC-klagomål mail.docx", "A 21858-2026")</f>
        <v/>
      </c>
      <c r="AC391">
        <f>HYPERLINK("https://klasma.github.io/Logging_0883/tillsyn/A 21858-2026 tillsynsbegäran.docx", "A 21858-2026")</f>
        <v/>
      </c>
      <c r="AD391">
        <f>HYPERLINK("https://klasma.github.io/Logging_0883/tillsynsmail/A 21858-2026 tillsynsbegäran mail.docx", "A 21858-2026")</f>
        <v/>
      </c>
    </row>
    <row r="392" ht="15" customHeight="1">
      <c r="A392" t="inlineStr">
        <is>
          <t>A 58017-2025</t>
        </is>
      </c>
      <c r="B392" t="inlineStr">
        <is>
          <t>avverkningsanmälan</t>
        </is>
      </c>
      <c r="C392" t="inlineStr">
        <is>
          <t>Avverkning för att bevara och utveckla /försöksver</t>
        </is>
      </c>
      <c r="D392" s="1" t="n">
        <v>45982</v>
      </c>
      <c r="E392" s="1" t="n">
        <v>46323</v>
      </c>
      <c r="F392" t="inlineStr">
        <is>
          <t>KALMAR LÄN</t>
        </is>
      </c>
      <c r="G392" t="inlineStr">
        <is>
          <t>HÖGSBY</t>
        </is>
      </c>
      <c r="H392" t="inlineStr">
        <is>
          <t>Sveaskog</t>
        </is>
      </c>
      <c r="I392" t="n">
        <v>8.4</v>
      </c>
      <c r="J392" t="n">
        <v>0</v>
      </c>
      <c r="K392" t="n">
        <v>3</v>
      </c>
      <c r="L392" t="n">
        <v>0</v>
      </c>
      <c r="M392" t="n">
        <v>0</v>
      </c>
      <c r="N392" t="n">
        <v>1</v>
      </c>
      <c r="O392" t="n">
        <v>0</v>
      </c>
      <c r="P392" t="n">
        <v>0</v>
      </c>
      <c r="Q392" t="n">
        <v>1</v>
      </c>
      <c r="R392" t="n">
        <v>1</v>
      </c>
      <c r="S392" t="n">
        <v>4</v>
      </c>
      <c r="T392" t="n">
        <v>4</v>
      </c>
      <c r="U392" t="n">
        <v>4</v>
      </c>
      <c r="V392" s="2" t="inlineStr">
        <is>
          <t>Backvickermal
Björksplintborre
Blåmossa
Kornknutmossa</t>
        </is>
      </c>
      <c r="W392">
        <f>HYPERLINK("https://klasma.github.io/Logging_0821/artfynd/A 58017-2025 artfynd.xlsx", "A 58017-2025")</f>
        <v/>
      </c>
      <c r="X392">
        <f>HYPERLINK("https://klasma.github.io/Logging_0821/kartor/A 58017-2025 karta.png", "A 58017-2025")</f>
        <v/>
      </c>
      <c r="Y392">
        <f>HYPERLINK("https://klasma.github.io/Logging_0821/kartor_geotiff/A 58017-2025 georefererad karta.tif", "A 58017-2025")</f>
        <v/>
      </c>
      <c r="AA392">
        <f>HYPERLINK("https://klasma.github.io/Logging_0821/klagomål/A 58017-2025 FSC-klagomål.docx", "A 58017-2025")</f>
        <v/>
      </c>
      <c r="AB392">
        <f>HYPERLINK("https://klasma.github.io/Logging_0821/klagomålsmail/A 58017-2025 FSC-klagomål mail.docx", "A 58017-2025")</f>
        <v/>
      </c>
      <c r="AC392">
        <f>HYPERLINK("https://klasma.github.io/Logging_0821/tillsyn/A 58017-2025 tillsynsbegäran.docx", "A 58017-2025")</f>
        <v/>
      </c>
      <c r="AD392">
        <f>HYPERLINK("https://klasma.github.io/Logging_0821/tillsynsmail/A 58017-2025 tillsynsbegäran mail.docx", "A 58017-2025")</f>
        <v/>
      </c>
    </row>
    <row r="393" ht="15" customHeight="1">
      <c r="A393" t="inlineStr">
        <is>
          <t>A 40199-2026</t>
        </is>
      </c>
      <c r="B393" t="inlineStr">
        <is>
          <t>avverkningsanmälan</t>
        </is>
      </c>
      <c r="C393" t="inlineStr">
        <is>
          <t>Föryngringsavverkning</t>
        </is>
      </c>
      <c r="D393" s="1" t="n">
        <v>46293</v>
      </c>
      <c r="E393" s="1" t="n">
        <v>46323</v>
      </c>
      <c r="F393" t="inlineStr">
        <is>
          <t>KALMAR LÄN</t>
        </is>
      </c>
      <c r="G393" t="inlineStr">
        <is>
          <t>TORSÅS</t>
        </is>
      </c>
      <c r="I393" t="n">
        <v>1.1</v>
      </c>
      <c r="J393" t="n">
        <v>2</v>
      </c>
      <c r="K393" t="n">
        <v>2</v>
      </c>
      <c r="L393" t="n">
        <v>1</v>
      </c>
      <c r="M393" t="n">
        <v>0</v>
      </c>
      <c r="N393" t="n">
        <v>0</v>
      </c>
      <c r="O393" t="n">
        <v>0</v>
      </c>
      <c r="P393" t="n">
        <v>0</v>
      </c>
      <c r="Q393" t="n">
        <v>1</v>
      </c>
      <c r="R393" t="n">
        <v>0</v>
      </c>
      <c r="S393" t="n">
        <v>4</v>
      </c>
      <c r="T393" t="n">
        <v>4</v>
      </c>
      <c r="U393" t="n">
        <v>0</v>
      </c>
      <c r="V393" s="2" t="inlineStr">
        <is>
          <t>Slåtterfibbla
Tvåblad
Underviol
Gullviva</t>
        </is>
      </c>
      <c r="W393">
        <f>HYPERLINK("https://klasma.github.io/Logging_0834/artfynd/A 40199-2026 artfynd.xlsx", "A 40199-2026")</f>
        <v/>
      </c>
      <c r="X393">
        <f>HYPERLINK("https://klasma.github.io/Logging_0834/kartor/A 40199-2026 karta.png", "A 40199-2026")</f>
        <v/>
      </c>
      <c r="Y393">
        <f>HYPERLINK("https://klasma.github.io/Logging_0834/kartor_geotiff/A 40199-2026 georefererad karta.tif", "A 40199-2026")</f>
        <v/>
      </c>
      <c r="AA393">
        <f>HYPERLINK("https://klasma.github.io/Logging_0834/klagomål/A 40199-2026 FSC-klagomål.docx", "A 40199-2026")</f>
        <v/>
      </c>
      <c r="AB393">
        <f>HYPERLINK("https://klasma.github.io/Logging_0834/klagomålsmail/A 40199-2026 FSC-klagomål mail.docx", "A 40199-2026")</f>
        <v/>
      </c>
      <c r="AC393">
        <f>HYPERLINK("https://klasma.github.io/Logging_0834/tillsyn/A 40199-2026 tillsynsbegäran.docx", "A 40199-2026")</f>
        <v/>
      </c>
      <c r="AD393">
        <f>HYPERLINK("https://klasma.github.io/Logging_0834/tillsynsmail/A 40199-2026 tillsynsbegäran mail.docx", "A 40199-2026")</f>
        <v/>
      </c>
    </row>
    <row r="394" ht="15" customHeight="1">
      <c r="A394" t="inlineStr">
        <is>
          <t>A 15162-2026</t>
        </is>
      </c>
      <c r="B394" t="inlineStr">
        <is>
          <t>avverkningsanmälan</t>
        </is>
      </c>
      <c r="C394" t="inlineStr">
        <is>
          <t>Föryngringsavverkning</t>
        </is>
      </c>
      <c r="D394" s="1" t="n">
        <v>46105</v>
      </c>
      <c r="E394" s="1" t="n">
        <v>46323</v>
      </c>
      <c r="F394" t="inlineStr">
        <is>
          <t>KALMAR LÄN</t>
        </is>
      </c>
      <c r="G394" t="inlineStr">
        <is>
          <t>VÄSTERVIK</t>
        </is>
      </c>
      <c r="H394" t="inlineStr">
        <is>
          <t>Sveaskog</t>
        </is>
      </c>
      <c r="I394" t="n">
        <v>1.4</v>
      </c>
      <c r="J394" t="n">
        <v>4</v>
      </c>
      <c r="K394" t="n">
        <v>0</v>
      </c>
      <c r="L394" t="n">
        <v>1</v>
      </c>
      <c r="M394" t="n">
        <v>0</v>
      </c>
      <c r="N394" t="n">
        <v>0</v>
      </c>
      <c r="O394" t="n">
        <v>0</v>
      </c>
      <c r="P394" t="n">
        <v>0</v>
      </c>
      <c r="Q394" t="n">
        <v>1</v>
      </c>
      <c r="R394" t="n">
        <v>0</v>
      </c>
      <c r="S394" t="n">
        <v>4</v>
      </c>
      <c r="T394" t="n">
        <v>8</v>
      </c>
      <c r="U394" t="n">
        <v>8</v>
      </c>
      <c r="V394" s="2" t="inlineStr">
        <is>
          <t>Mindre hackspett
Spillkråka
Grönsiska
Kråka</t>
        </is>
      </c>
      <c r="W394">
        <f>HYPERLINK("https://klasma.github.io/Logging_0883/artfynd/A 15162-2026 artfynd.xlsx", "A 15162-2026")</f>
        <v/>
      </c>
      <c r="X394">
        <f>HYPERLINK("https://klasma.github.io/Logging_0883/kartor/A 15162-2026 karta.png", "A 15162-2026")</f>
        <v/>
      </c>
      <c r="Y394">
        <f>HYPERLINK("https://klasma.github.io/Logging_0883/kartor_geotiff/A 15162-2026 georefererad karta.tif", "A 15162-2026")</f>
        <v/>
      </c>
      <c r="AA394">
        <f>HYPERLINK("https://klasma.github.io/Logging_0883/klagomål/A 15162-2026 FSC-klagomål.docx", "A 15162-2026")</f>
        <v/>
      </c>
      <c r="AB394">
        <f>HYPERLINK("https://klasma.github.io/Logging_0883/klagomålsmail/A 15162-2026 FSC-klagomål mail.docx", "A 15162-2026")</f>
        <v/>
      </c>
      <c r="AC394">
        <f>HYPERLINK("https://klasma.github.io/Logging_0883/tillsyn/A 15162-2026 tillsynsbegäran.docx", "A 15162-2026")</f>
        <v/>
      </c>
      <c r="AD394">
        <f>HYPERLINK("https://klasma.github.io/Logging_0883/tillsynsmail/A 15162-2026 tillsynsbegäran mail.docx", "A 15162-2026")</f>
        <v/>
      </c>
      <c r="AE394">
        <f>HYPERLINK("https://klasma.github.io/Logging_0883/fåglar/A 15162-2026 prioriterade fågelarter.docx", "A 15162-2026")</f>
        <v/>
      </c>
    </row>
    <row r="395" ht="15" customHeight="1">
      <c r="A395" t="inlineStr">
        <is>
          <t>A 6993-2025</t>
        </is>
      </c>
      <c r="B395" t="inlineStr">
        <is>
          <t>avverkningsanmälan</t>
        </is>
      </c>
      <c r="C395" t="inlineStr">
        <is>
          <t>Föryngringsavverkning</t>
        </is>
      </c>
      <c r="D395" s="1" t="n">
        <v>45701</v>
      </c>
      <c r="E395" s="1" t="n">
        <v>46323</v>
      </c>
      <c r="F395" t="inlineStr">
        <is>
          <t>KALMAR LÄN</t>
        </is>
      </c>
      <c r="G395" t="inlineStr">
        <is>
          <t>OSKARSHAMN</t>
        </is>
      </c>
      <c r="I395" t="n">
        <v>5.8</v>
      </c>
      <c r="J395" t="n">
        <v>2</v>
      </c>
      <c r="K395" t="n">
        <v>1</v>
      </c>
      <c r="L395" t="n">
        <v>1</v>
      </c>
      <c r="M395" t="n">
        <v>0</v>
      </c>
      <c r="N395" t="n">
        <v>0</v>
      </c>
      <c r="O395" t="n">
        <v>0</v>
      </c>
      <c r="P395" t="n">
        <v>0</v>
      </c>
      <c r="Q395" t="n">
        <v>1</v>
      </c>
      <c r="R395" t="n">
        <v>0</v>
      </c>
      <c r="S395" t="n">
        <v>4</v>
      </c>
      <c r="T395" t="n">
        <v>10</v>
      </c>
      <c r="U395" t="n">
        <v>10</v>
      </c>
      <c r="V395" s="2" t="inlineStr">
        <is>
          <t>Tallticka
Blåmossa
Spillkråka
Trädlärka</t>
        </is>
      </c>
      <c r="W395">
        <f>HYPERLINK("https://klasma.github.io/Logging_0882/artfynd/A 6993-2025 artfynd.xlsx", "A 6993-2025")</f>
        <v/>
      </c>
      <c r="X395">
        <f>HYPERLINK("https://klasma.github.io/Logging_0882/kartor/A 6993-2025 karta.png", "A 6993-2025")</f>
        <v/>
      </c>
      <c r="Y395">
        <f>HYPERLINK("https://klasma.github.io/Logging_0882/kartor_geotiff/A 6993-2025 georefererad karta.tif", "A 6993-2025")</f>
        <v/>
      </c>
      <c r="AA395">
        <f>HYPERLINK("https://klasma.github.io/Logging_0882/klagomål/A 6993-2025 FSC-klagomål.docx", "A 6993-2025")</f>
        <v/>
      </c>
      <c r="AB395">
        <f>HYPERLINK("https://klasma.github.io/Logging_0882/klagomålsmail/A 6993-2025 FSC-klagomål mail.docx", "A 6993-2025")</f>
        <v/>
      </c>
      <c r="AC395">
        <f>HYPERLINK("https://klasma.github.io/Logging_0882/tillsyn/A 6993-2025 tillsynsbegäran.docx", "A 6993-2025")</f>
        <v/>
      </c>
      <c r="AD395">
        <f>HYPERLINK("https://klasma.github.io/Logging_0882/tillsynsmail/A 6993-2025 tillsynsbegäran mail.docx", "A 6993-2025")</f>
        <v/>
      </c>
      <c r="AE395">
        <f>HYPERLINK("https://klasma.github.io/Logging_0882/fåglar/A 6993-2025 prioriterade fågelarter.docx", "A 6993-2025")</f>
        <v/>
      </c>
    </row>
    <row r="396" ht="15" customHeight="1">
      <c r="A396" t="inlineStr">
        <is>
          <t>A 4164-2023</t>
        </is>
      </c>
      <c r="B396" t="inlineStr">
        <is>
          <t>avverkningsanmälan</t>
        </is>
      </c>
      <c r="C396" t="inlineStr">
        <is>
          <t>Föryngringsavverkning</t>
        </is>
      </c>
      <c r="D396" s="1" t="n">
        <v>44953</v>
      </c>
      <c r="E396" s="1" t="n">
        <v>46323</v>
      </c>
      <c r="F396" t="inlineStr">
        <is>
          <t>KALMAR LÄN</t>
        </is>
      </c>
      <c r="G396" t="inlineStr">
        <is>
          <t>BORGHOLM</t>
        </is>
      </c>
      <c r="I396" t="n">
        <v>3.3</v>
      </c>
      <c r="J396" t="n">
        <v>1</v>
      </c>
      <c r="K396" t="n">
        <v>1</v>
      </c>
      <c r="L396" t="n">
        <v>2</v>
      </c>
      <c r="M396" t="n">
        <v>0</v>
      </c>
      <c r="N396" t="n">
        <v>0</v>
      </c>
      <c r="O396" t="n">
        <v>0</v>
      </c>
      <c r="P396" t="n">
        <v>0</v>
      </c>
      <c r="Q396" t="n">
        <v>2</v>
      </c>
      <c r="R396" t="n">
        <v>0</v>
      </c>
      <c r="S396" t="n">
        <v>4</v>
      </c>
      <c r="T396" t="n">
        <v>5</v>
      </c>
      <c r="U396" t="n">
        <v>4</v>
      </c>
      <c r="V396" s="2" t="inlineStr">
        <is>
          <t>Crepis tectorum subsp. tectorum
Kösa
Murgröna
Blåsippa</t>
        </is>
      </c>
      <c r="W396">
        <f>HYPERLINK("https://klasma.github.io/Logging_0885/artfynd/A 4164-2023 artfynd.xlsx", "A 4164-2023")</f>
        <v/>
      </c>
      <c r="X396">
        <f>HYPERLINK("https://klasma.github.io/Logging_0885/kartor/A 4164-2023 karta.png", "A 4164-2023")</f>
        <v/>
      </c>
      <c r="Y396">
        <f>HYPERLINK("https://klasma.github.io/Logging_0885/kartor_geotiff/A 4164-2023 georefererad karta.tif", "A 4164-2023")</f>
        <v/>
      </c>
      <c r="AA396">
        <f>HYPERLINK("https://klasma.github.io/Logging_0885/klagomål/A 4164-2023 FSC-klagomål.docx", "A 4164-2023")</f>
        <v/>
      </c>
      <c r="AB396">
        <f>HYPERLINK("https://klasma.github.io/Logging_0885/klagomålsmail/A 4164-2023 FSC-klagomål mail.docx", "A 4164-2023")</f>
        <v/>
      </c>
      <c r="AC396">
        <f>HYPERLINK("https://klasma.github.io/Logging_0885/tillsyn/A 4164-2023 tillsynsbegäran.docx", "A 4164-2023")</f>
        <v/>
      </c>
      <c r="AD396">
        <f>HYPERLINK("https://klasma.github.io/Logging_0885/tillsynsmail/A 4164-2023 tillsynsbegäran mail.docx", "A 4164-2023")</f>
        <v/>
      </c>
    </row>
    <row r="397" ht="15" customHeight="1">
      <c r="A397" t="inlineStr">
        <is>
          <t>A 17959-2026</t>
        </is>
      </c>
      <c r="B397" t="inlineStr">
        <is>
          <t>avverkningsanmälan</t>
        </is>
      </c>
      <c r="C397" t="inlineStr">
        <is>
          <t>Föryngringsavverkning</t>
        </is>
      </c>
      <c r="D397" s="1" t="n">
        <v>46122</v>
      </c>
      <c r="E397" s="1" t="n">
        <v>46323</v>
      </c>
      <c r="F397" t="inlineStr">
        <is>
          <t>KALMAR LÄN</t>
        </is>
      </c>
      <c r="G397" t="inlineStr">
        <is>
          <t>HÖGSBY</t>
        </is>
      </c>
      <c r="I397" t="n">
        <v>1.2</v>
      </c>
      <c r="J397" t="n">
        <v>2</v>
      </c>
      <c r="K397" t="n">
        <v>3</v>
      </c>
      <c r="L397" t="n">
        <v>1</v>
      </c>
      <c r="M397" t="n">
        <v>0</v>
      </c>
      <c r="N397" t="n">
        <v>0</v>
      </c>
      <c r="O397" t="n">
        <v>0</v>
      </c>
      <c r="P397" t="n">
        <v>0</v>
      </c>
      <c r="Q397" t="n">
        <v>1</v>
      </c>
      <c r="R397" t="n">
        <v>0</v>
      </c>
      <c r="S397" t="n">
        <v>4</v>
      </c>
      <c r="T397" t="n">
        <v>4</v>
      </c>
      <c r="U397" t="n">
        <v>0</v>
      </c>
      <c r="V397" s="2" t="inlineStr">
        <is>
          <t>Mindre hackspett
Fällmossa
Källpraktmossa
Skogsknipprot</t>
        </is>
      </c>
      <c r="W397">
        <f>HYPERLINK("https://klasma.github.io/Logging_0821/artfynd/A 17959-2026 artfynd.xlsx", "A 17959-2026")</f>
        <v/>
      </c>
      <c r="X397">
        <f>HYPERLINK("https://klasma.github.io/Logging_0821/kartor/A 17959-2026 karta.png", "A 17959-2026")</f>
        <v/>
      </c>
      <c r="Y397">
        <f>HYPERLINK("https://klasma.github.io/Logging_0821/kartor_geotiff/A 17959-2026 georefererad karta.tif", "A 17959-2026")</f>
        <v/>
      </c>
      <c r="AA397">
        <f>HYPERLINK("https://klasma.github.io/Logging_0821/klagomål/A 17959-2026 FSC-klagomål.docx", "A 17959-2026")</f>
        <v/>
      </c>
      <c r="AB397">
        <f>HYPERLINK("https://klasma.github.io/Logging_0821/klagomålsmail/A 17959-2026 FSC-klagomål mail.docx", "A 17959-2026")</f>
        <v/>
      </c>
      <c r="AC397">
        <f>HYPERLINK("https://klasma.github.io/Logging_0821/tillsyn/A 17959-2026 tillsynsbegäran.docx", "A 17959-2026")</f>
        <v/>
      </c>
      <c r="AD397">
        <f>HYPERLINK("https://klasma.github.io/Logging_0821/tillsynsmail/A 17959-2026 tillsynsbegäran mail.docx", "A 17959-2026")</f>
        <v/>
      </c>
      <c r="AE397">
        <f>HYPERLINK("https://klasma.github.io/Logging_0821/fåglar/A 17959-2026 prioriterade fågelarter.docx", "A 17959-2026")</f>
        <v/>
      </c>
    </row>
    <row r="398" ht="15" customHeight="1">
      <c r="A398" t="inlineStr">
        <is>
          <t>A 34431-2026</t>
        </is>
      </c>
      <c r="B398" t="inlineStr">
        <is>
          <t>avverkningsanmälan</t>
        </is>
      </c>
      <c r="C398" t="inlineStr">
        <is>
          <t>Avverkning för annat ändamål</t>
        </is>
      </c>
      <c r="D398" s="1" t="n">
        <v>46254</v>
      </c>
      <c r="E398" s="1" t="n">
        <v>46323</v>
      </c>
      <c r="F398" t="inlineStr">
        <is>
          <t>KALMAR LÄN</t>
        </is>
      </c>
      <c r="G398" t="inlineStr">
        <is>
          <t>MÖRBYLÅNGA</t>
        </is>
      </c>
      <c r="I398" t="n">
        <v>8.300000000000001</v>
      </c>
      <c r="J398" t="n">
        <v>2</v>
      </c>
      <c r="K398" t="n">
        <v>1</v>
      </c>
      <c r="L398" t="n">
        <v>3</v>
      </c>
      <c r="M398" t="n">
        <v>0</v>
      </c>
      <c r="N398" t="n">
        <v>0</v>
      </c>
      <c r="O398" t="n">
        <v>0</v>
      </c>
      <c r="P398" t="n">
        <v>0</v>
      </c>
      <c r="Q398" t="n">
        <v>3</v>
      </c>
      <c r="R398" t="n">
        <v>0</v>
      </c>
      <c r="S398" t="n">
        <v>4</v>
      </c>
      <c r="T398" t="n">
        <v>5</v>
      </c>
      <c r="U398" t="n">
        <v>1</v>
      </c>
      <c r="V398" s="2" t="inlineStr">
        <is>
          <t>Entita
Mindre hackspett
Sandtimotej
Murgröna</t>
        </is>
      </c>
      <c r="W398">
        <f>HYPERLINK("https://klasma.github.io/Logging_0840/artfynd/A 34431-2026 artfynd.xlsx", "A 34431-2026")</f>
        <v/>
      </c>
      <c r="X398">
        <f>HYPERLINK("https://klasma.github.io/Logging_0840/kartor/A 34431-2026 karta.png", "A 34431-2026")</f>
        <v/>
      </c>
      <c r="Y398">
        <f>HYPERLINK("https://klasma.github.io/Logging_0840/kartor_geotiff/A 34431-2026 georefererad karta.tif", "A 34431-2026")</f>
        <v/>
      </c>
      <c r="AA398">
        <f>HYPERLINK("https://klasma.github.io/Logging_0840/klagomål/A 34431-2026 FSC-klagomål.docx", "A 34431-2026")</f>
        <v/>
      </c>
      <c r="AB398">
        <f>HYPERLINK("https://klasma.github.io/Logging_0840/klagomålsmail/A 34431-2026 FSC-klagomål mail.docx", "A 34431-2026")</f>
        <v/>
      </c>
      <c r="AC398">
        <f>HYPERLINK("https://klasma.github.io/Logging_0840/tillsyn/A 34431-2026 tillsynsbegäran.docx", "A 34431-2026")</f>
        <v/>
      </c>
      <c r="AD398">
        <f>HYPERLINK("https://klasma.github.io/Logging_0840/tillsynsmail/A 34431-2026 tillsynsbegäran mail.docx", "A 34431-2026")</f>
        <v/>
      </c>
      <c r="AE398">
        <f>HYPERLINK("https://klasma.github.io/Logging_0840/fåglar/A 34431-2026 prioriterade fågelarter.docx", "A 34431-2026")</f>
        <v/>
      </c>
    </row>
    <row r="399" ht="15" customHeight="1">
      <c r="A399" t="inlineStr">
        <is>
          <t>A 27094-2024</t>
        </is>
      </c>
      <c r="B399" t="inlineStr">
        <is>
          <t>avverkningsanmälan</t>
        </is>
      </c>
      <c r="C399" t="inlineStr">
        <is>
          <t>Föryngringsavverkning</t>
        </is>
      </c>
      <c r="D399" s="1" t="n">
        <v>45471</v>
      </c>
      <c r="E399" s="1" t="n">
        <v>46323</v>
      </c>
      <c r="F399" t="inlineStr">
        <is>
          <t>KALMAR LÄN</t>
        </is>
      </c>
      <c r="G399" t="inlineStr">
        <is>
          <t>VÄSTERVIK</t>
        </is>
      </c>
      <c r="H399" t="inlineStr">
        <is>
          <t>Holmen skog AB</t>
        </is>
      </c>
      <c r="I399" t="n">
        <v>2.4</v>
      </c>
      <c r="J399" t="n">
        <v>0</v>
      </c>
      <c r="K399" t="n">
        <v>2</v>
      </c>
      <c r="L399" t="n">
        <v>2</v>
      </c>
      <c r="M399" t="n">
        <v>0</v>
      </c>
      <c r="N399" t="n">
        <v>0</v>
      </c>
      <c r="O399" t="n">
        <v>0</v>
      </c>
      <c r="P399" t="n">
        <v>0</v>
      </c>
      <c r="Q399" t="n">
        <v>2</v>
      </c>
      <c r="R399" t="n">
        <v>0</v>
      </c>
      <c r="S399" t="n">
        <v>4</v>
      </c>
      <c r="T399" t="n">
        <v>4</v>
      </c>
      <c r="U399" t="n">
        <v>4</v>
      </c>
      <c r="V399" s="2" t="inlineStr">
        <is>
          <t>Bronspraktbagge
Dvärgbägarlav
Blåmossa
Jättesvampmal</t>
        </is>
      </c>
      <c r="W399">
        <f>HYPERLINK("https://klasma.github.io/Logging_0883/artfynd/A 27094-2024 artfynd.xlsx", "A 27094-2024")</f>
        <v/>
      </c>
      <c r="X399">
        <f>HYPERLINK("https://klasma.github.io/Logging_0883/kartor/A 27094-2024 karta.png", "A 27094-2024")</f>
        <v/>
      </c>
      <c r="Y399">
        <f>HYPERLINK("https://klasma.github.io/Logging_0883/kartor_geotiff/A 27094-2024 georefererad karta.tif", "A 27094-2024")</f>
        <v/>
      </c>
      <c r="Z399">
        <f>HYPERLINK("https://klasma.github.io/Logging_0883/knärot/A 27094-2024 karta knärot.png", "A 27094-2024")</f>
        <v/>
      </c>
      <c r="AA399">
        <f>HYPERLINK("https://klasma.github.io/Logging_0883/klagomål/A 27094-2024 FSC-klagomål.docx", "A 27094-2024")</f>
        <v/>
      </c>
      <c r="AB399">
        <f>HYPERLINK("https://klasma.github.io/Logging_0883/klagomålsmail/A 27094-2024 FSC-klagomål mail.docx", "A 27094-2024")</f>
        <v/>
      </c>
      <c r="AC399">
        <f>HYPERLINK("https://klasma.github.io/Logging_0883/tillsyn/A 27094-2024 tillsynsbegäran.docx", "A 27094-2024")</f>
        <v/>
      </c>
      <c r="AD399">
        <f>HYPERLINK("https://klasma.github.io/Logging_0883/tillsynsmail/A 27094-2024 tillsynsbegäran mail.docx", "A 27094-2024")</f>
        <v/>
      </c>
    </row>
    <row r="400" ht="15" customHeight="1">
      <c r="A400" t="inlineStr">
        <is>
          <t>A 59319-2023</t>
        </is>
      </c>
      <c r="B400" t="inlineStr">
        <is>
          <t>avverkningsanmälan</t>
        </is>
      </c>
      <c r="C400" t="inlineStr">
        <is>
          <t>Föryngringsavverkning</t>
        </is>
      </c>
      <c r="D400" s="1" t="n">
        <v>45253</v>
      </c>
      <c r="E400" s="1" t="n">
        <v>46323</v>
      </c>
      <c r="F400" t="inlineStr">
        <is>
          <t>KALMAR LÄN</t>
        </is>
      </c>
      <c r="G400" t="inlineStr">
        <is>
          <t>VÄSTERVIK</t>
        </is>
      </c>
      <c r="I400" t="n">
        <v>1</v>
      </c>
      <c r="J400" t="n">
        <v>1</v>
      </c>
      <c r="K400" t="n">
        <v>2</v>
      </c>
      <c r="L400" t="n">
        <v>0</v>
      </c>
      <c r="M400" t="n">
        <v>1</v>
      </c>
      <c r="N400" t="n">
        <v>1</v>
      </c>
      <c r="O400" t="n">
        <v>0</v>
      </c>
      <c r="P400" t="n">
        <v>0</v>
      </c>
      <c r="Q400" t="n">
        <v>2</v>
      </c>
      <c r="R400" t="n">
        <v>2</v>
      </c>
      <c r="S400" t="n">
        <v>4</v>
      </c>
      <c r="T400" t="n">
        <v>20</v>
      </c>
      <c r="U400" t="n">
        <v>20</v>
      </c>
      <c r="V400" s="2" t="inlineStr">
        <is>
          <t>Tallharticka
Knärot
Blomkålssvamp
Grönpyrola</t>
        </is>
      </c>
      <c r="W400">
        <f>HYPERLINK("https://klasma.github.io/Logging_0883/artfynd/A 59319-2023 artfynd.xlsx", "A 59319-2023")</f>
        <v/>
      </c>
      <c r="X400">
        <f>HYPERLINK("https://klasma.github.io/Logging_0883/kartor/A 59319-2023 karta.png", "A 59319-2023")</f>
        <v/>
      </c>
      <c r="Y400">
        <f>HYPERLINK("https://klasma.github.io/Logging_0883/kartor_geotiff/A 59319-2023 georefererad karta.tif", "A 59319-2023")</f>
        <v/>
      </c>
      <c r="Z400">
        <f>HYPERLINK("https://klasma.github.io/Logging_0883/knärot/A 59319-2023 karta knärot.png", "A 59319-2023")</f>
        <v/>
      </c>
      <c r="AA400">
        <f>HYPERLINK("https://klasma.github.io/Logging_0883/klagomål/A 59319-2023 FSC-klagomål.docx", "A 59319-2023")</f>
        <v/>
      </c>
      <c r="AB400">
        <f>HYPERLINK("https://klasma.github.io/Logging_0883/klagomålsmail/A 59319-2023 FSC-klagomål mail.docx", "A 59319-2023")</f>
        <v/>
      </c>
      <c r="AC400">
        <f>HYPERLINK("https://klasma.github.io/Logging_0883/tillsyn/A 59319-2023 tillsynsbegäran.docx", "A 59319-2023")</f>
        <v/>
      </c>
      <c r="AD400">
        <f>HYPERLINK("https://klasma.github.io/Logging_0883/tillsynsmail/A 59319-2023 tillsynsbegäran mail.docx", "A 59319-2023")</f>
        <v/>
      </c>
    </row>
    <row r="401" ht="15" customHeight="1">
      <c r="A401" t="inlineStr">
        <is>
          <t>A 2340-2025</t>
        </is>
      </c>
      <c r="B401" t="inlineStr">
        <is>
          <t>avverkningsanmälan</t>
        </is>
      </c>
      <c r="C401" t="inlineStr">
        <is>
          <t>Föryngringsavverkning</t>
        </is>
      </c>
      <c r="D401" s="1" t="n">
        <v>45673</v>
      </c>
      <c r="E401" s="1" t="n">
        <v>46323</v>
      </c>
      <c r="F401" t="inlineStr">
        <is>
          <t>KALMAR LÄN</t>
        </is>
      </c>
      <c r="G401" t="inlineStr">
        <is>
          <t>VÄSTERVIK</t>
        </is>
      </c>
      <c r="I401" t="n">
        <v>3.5</v>
      </c>
      <c r="J401" t="n">
        <v>4</v>
      </c>
      <c r="K401" t="n">
        <v>0</v>
      </c>
      <c r="L401" t="n">
        <v>1</v>
      </c>
      <c r="M401" t="n">
        <v>1</v>
      </c>
      <c r="N401" t="n">
        <v>0</v>
      </c>
      <c r="O401" t="n">
        <v>0</v>
      </c>
      <c r="P401" t="n">
        <v>0</v>
      </c>
      <c r="Q401" t="n">
        <v>2</v>
      </c>
      <c r="R401" t="n">
        <v>1</v>
      </c>
      <c r="S401" t="n">
        <v>4</v>
      </c>
      <c r="T401" t="n">
        <v>7</v>
      </c>
      <c r="U401" t="n">
        <v>4</v>
      </c>
      <c r="V401" s="2" t="inlineStr">
        <is>
          <t>Knärot
Talltita
Spillkråka
Kungsfågel</t>
        </is>
      </c>
      <c r="W401">
        <f>HYPERLINK("https://klasma.github.io/Logging_0883/artfynd/A 2340-2025 artfynd.xlsx", "A 2340-2025")</f>
        <v/>
      </c>
      <c r="X401">
        <f>HYPERLINK("https://klasma.github.io/Logging_0883/kartor/A 2340-2025 karta.png", "A 2340-2025")</f>
        <v/>
      </c>
      <c r="Y401">
        <f>HYPERLINK("https://klasma.github.io/Logging_0883/kartor_geotiff/A 2340-2025 georefererad karta.tif", "A 2340-2025")</f>
        <v/>
      </c>
      <c r="Z401">
        <f>HYPERLINK("https://klasma.github.io/Logging_0883/knärot/A 2340-2025 karta knärot.png", "A 2340-2025")</f>
        <v/>
      </c>
      <c r="AA401">
        <f>HYPERLINK("https://klasma.github.io/Logging_0883/klagomål/A 2340-2025 FSC-klagomål.docx", "A 2340-2025")</f>
        <v/>
      </c>
      <c r="AB401">
        <f>HYPERLINK("https://klasma.github.io/Logging_0883/klagomålsmail/A 2340-2025 FSC-klagomål mail.docx", "A 2340-2025")</f>
        <v/>
      </c>
      <c r="AC401">
        <f>HYPERLINK("https://klasma.github.io/Logging_0883/tillsyn/A 2340-2025 tillsynsbegäran.docx", "A 2340-2025")</f>
        <v/>
      </c>
      <c r="AD401">
        <f>HYPERLINK("https://klasma.github.io/Logging_0883/tillsynsmail/A 2340-2025 tillsynsbegäran mail.docx", "A 2340-2025")</f>
        <v/>
      </c>
      <c r="AE401">
        <f>HYPERLINK("https://klasma.github.io/Logging_0883/fåglar/A 2340-2025 prioriterade fågelarter.docx", "A 2340-2025")</f>
        <v/>
      </c>
    </row>
    <row r="402" ht="15" customHeight="1">
      <c r="A402" t="inlineStr">
        <is>
          <t>A 1373-2024</t>
        </is>
      </c>
      <c r="B402" t="inlineStr">
        <is>
          <t>avverkningsanmälan</t>
        </is>
      </c>
      <c r="C402" t="inlineStr">
        <is>
          <t>Föryngringsavverkning</t>
        </is>
      </c>
      <c r="D402" s="1" t="n">
        <v>45303</v>
      </c>
      <c r="E402" s="1" t="n">
        <v>46323</v>
      </c>
      <c r="F402" t="inlineStr">
        <is>
          <t>KALMAR LÄN</t>
        </is>
      </c>
      <c r="G402" t="inlineStr">
        <is>
          <t>VÄSTERVIK</t>
        </is>
      </c>
      <c r="I402" t="n">
        <v>1.2</v>
      </c>
      <c r="J402" t="n">
        <v>1</v>
      </c>
      <c r="K402" t="n">
        <v>1</v>
      </c>
      <c r="L402" t="n">
        <v>3</v>
      </c>
      <c r="M402" t="n">
        <v>0</v>
      </c>
      <c r="N402" t="n">
        <v>0</v>
      </c>
      <c r="O402" t="n">
        <v>0</v>
      </c>
      <c r="P402" t="n">
        <v>0</v>
      </c>
      <c r="Q402" t="n">
        <v>3</v>
      </c>
      <c r="R402" t="n">
        <v>0</v>
      </c>
      <c r="S402" t="n">
        <v>4</v>
      </c>
      <c r="T402" t="n">
        <v>6</v>
      </c>
      <c r="U402" t="n">
        <v>1</v>
      </c>
      <c r="V402" s="2" t="inlineStr">
        <is>
          <t>Kattfotslav
Tallticka
Talltita
Vågbandad barkbock</t>
        </is>
      </c>
      <c r="W402">
        <f>HYPERLINK("https://klasma.github.io/Logging_0883/artfynd/A 1373-2024 artfynd.xlsx", "A 1373-2024")</f>
        <v/>
      </c>
      <c r="X402">
        <f>HYPERLINK("https://klasma.github.io/Logging_0883/kartor/A 1373-2024 karta.png", "A 1373-2024")</f>
        <v/>
      </c>
      <c r="Y402">
        <f>HYPERLINK("https://klasma.github.io/Logging_0883/kartor_geotiff/A 1373-2024 georefererad karta.tif", "A 1373-2024")</f>
        <v/>
      </c>
      <c r="AA402">
        <f>HYPERLINK("https://klasma.github.io/Logging_0883/klagomål/A 1373-2024 FSC-klagomål.docx", "A 1373-2024")</f>
        <v/>
      </c>
      <c r="AB402">
        <f>HYPERLINK("https://klasma.github.io/Logging_0883/klagomålsmail/A 1373-2024 FSC-klagomål mail.docx", "A 1373-2024")</f>
        <v/>
      </c>
      <c r="AC402">
        <f>HYPERLINK("https://klasma.github.io/Logging_0883/tillsyn/A 1373-2024 tillsynsbegäran.docx", "A 1373-2024")</f>
        <v/>
      </c>
      <c r="AD402">
        <f>HYPERLINK("https://klasma.github.io/Logging_0883/tillsynsmail/A 1373-2024 tillsynsbegäran mail.docx", "A 1373-2024")</f>
        <v/>
      </c>
      <c r="AE402">
        <f>HYPERLINK("https://klasma.github.io/Logging_0883/fåglar/A 1373-2024 prioriterade fågelarter.docx", "A 1373-2024")</f>
        <v/>
      </c>
    </row>
    <row r="403" ht="15" customHeight="1">
      <c r="A403" t="inlineStr">
        <is>
          <t>A 19459-2023</t>
        </is>
      </c>
      <c r="B403" t="inlineStr">
        <is>
          <t>avverkningsanmälan</t>
        </is>
      </c>
      <c r="C403" t="inlineStr">
        <is>
          <t>Avverkning för annat ändamål</t>
        </is>
      </c>
      <c r="D403" s="1" t="n">
        <v>45049</v>
      </c>
      <c r="E403" s="1" t="n">
        <v>46323</v>
      </c>
      <c r="F403" t="inlineStr">
        <is>
          <t>KALMAR LÄN</t>
        </is>
      </c>
      <c r="G403" t="inlineStr">
        <is>
          <t>MÖRBYLÅNGA</t>
        </is>
      </c>
      <c r="I403" t="n">
        <v>1.6</v>
      </c>
      <c r="J403" t="n">
        <v>0</v>
      </c>
      <c r="K403" t="n">
        <v>0</v>
      </c>
      <c r="L403" t="n">
        <v>4</v>
      </c>
      <c r="M403" t="n">
        <v>0</v>
      </c>
      <c r="N403" t="n">
        <v>0</v>
      </c>
      <c r="O403" t="n">
        <v>0</v>
      </c>
      <c r="P403" t="n">
        <v>0</v>
      </c>
      <c r="Q403" t="n">
        <v>4</v>
      </c>
      <c r="R403" t="n">
        <v>0</v>
      </c>
      <c r="S403" t="n">
        <v>4</v>
      </c>
      <c r="T403" t="n">
        <v>4</v>
      </c>
      <c r="U403" t="n">
        <v>4</v>
      </c>
      <c r="V403" s="2" t="inlineStr">
        <is>
          <t>Kavelhirs
Kösa
Luddvicker
Riddarsporre</t>
        </is>
      </c>
      <c r="W403">
        <f>HYPERLINK("https://klasma.github.io/Logging_0840/artfynd/A 19459-2023 artfynd.xlsx", "A 19459-2023")</f>
        <v/>
      </c>
      <c r="X403">
        <f>HYPERLINK("https://klasma.github.io/Logging_0840/kartor/A 19459-2023 karta.png", "A 19459-2023")</f>
        <v/>
      </c>
      <c r="Y403">
        <f>HYPERLINK("https://klasma.github.io/Logging_0840/kartor_geotiff/A 19459-2023 georefererad karta.tif", "A 19459-2023")</f>
        <v/>
      </c>
      <c r="AA403">
        <f>HYPERLINK("https://klasma.github.io/Logging_0840/klagomål/A 19459-2023 FSC-klagomål.docx", "A 19459-2023")</f>
        <v/>
      </c>
      <c r="AB403">
        <f>HYPERLINK("https://klasma.github.io/Logging_0840/klagomålsmail/A 19459-2023 FSC-klagomål mail.docx", "A 19459-2023")</f>
        <v/>
      </c>
      <c r="AC403">
        <f>HYPERLINK("https://klasma.github.io/Logging_0840/tillsyn/A 19459-2023 tillsynsbegäran.docx", "A 19459-2023")</f>
        <v/>
      </c>
      <c r="AD403">
        <f>HYPERLINK("https://klasma.github.io/Logging_0840/tillsynsmail/A 19459-2023 tillsynsbegäran mail.docx", "A 19459-2023")</f>
        <v/>
      </c>
    </row>
    <row r="404" ht="15" customHeight="1">
      <c r="A404" t="inlineStr">
        <is>
          <t>A 42993-2026</t>
        </is>
      </c>
      <c r="B404" t="inlineStr">
        <is>
          <t>avverkningsanmälan</t>
        </is>
      </c>
      <c r="C404" t="inlineStr">
        <is>
          <t>Föryngringsavverkning</t>
        </is>
      </c>
      <c r="D404" s="1" t="n">
        <v>46310</v>
      </c>
      <c r="E404" s="1" t="n">
        <v>46323</v>
      </c>
      <c r="F404" t="inlineStr">
        <is>
          <t>KALMAR LÄN</t>
        </is>
      </c>
      <c r="G404" t="inlineStr">
        <is>
          <t>VIMMERBY</t>
        </is>
      </c>
      <c r="I404" t="n">
        <v>1.7</v>
      </c>
      <c r="J404" t="n">
        <v>2</v>
      </c>
      <c r="K404" t="n">
        <v>0</v>
      </c>
      <c r="L404" t="n">
        <v>1</v>
      </c>
      <c r="M404" t="n">
        <v>1</v>
      </c>
      <c r="N404" t="n">
        <v>0</v>
      </c>
      <c r="O404" t="n">
        <v>0</v>
      </c>
      <c r="P404" t="n">
        <v>0</v>
      </c>
      <c r="Q404" t="n">
        <v>2</v>
      </c>
      <c r="R404" t="n">
        <v>1</v>
      </c>
      <c r="S404" t="n">
        <v>4</v>
      </c>
      <c r="T404" t="n">
        <v>4</v>
      </c>
      <c r="U404" t="n">
        <v>0</v>
      </c>
      <c r="V404" s="2" t="inlineStr">
        <is>
          <t>Brunfläckig pärlemorfjäril
Jungfrulin
Blåsippa
Gullviva</t>
        </is>
      </c>
      <c r="W404">
        <f>HYPERLINK("https://klasma.github.io/Logging_0884/artfynd/A 42993-2026 artfynd.xlsx", "A 42993-2026")</f>
        <v/>
      </c>
      <c r="X404">
        <f>HYPERLINK("https://klasma.github.io/Logging_0884/kartor/A 42993-2026 karta.png", "A 42993-2026")</f>
        <v/>
      </c>
      <c r="Y404">
        <f>HYPERLINK("https://klasma.github.io/Logging_0884/kartor_geotiff/A 42993-2026 georefererad karta.tif", "A 42993-2026")</f>
        <v/>
      </c>
      <c r="AA404">
        <f>HYPERLINK("https://klasma.github.io/Logging_0884/klagomål/A 42993-2026 FSC-klagomål.docx", "A 42993-2026")</f>
        <v/>
      </c>
      <c r="AB404">
        <f>HYPERLINK("https://klasma.github.io/Logging_0884/klagomålsmail/A 42993-2026 FSC-klagomål mail.docx", "A 42993-2026")</f>
        <v/>
      </c>
      <c r="AC404">
        <f>HYPERLINK("https://klasma.github.io/Logging_0884/tillsyn/A 42993-2026 tillsynsbegäran.docx", "A 42993-2026")</f>
        <v/>
      </c>
      <c r="AD404">
        <f>HYPERLINK("https://klasma.github.io/Logging_0884/tillsynsmail/A 42993-2026 tillsynsbegäran mail.docx", "A 42993-2026")</f>
        <v/>
      </c>
    </row>
    <row r="405" ht="15" customHeight="1">
      <c r="A405" t="inlineStr">
        <is>
          <t>A 7960-2023</t>
        </is>
      </c>
      <c r="B405" t="inlineStr">
        <is>
          <t>avverkningsanmälan</t>
        </is>
      </c>
      <c r="C405" t="inlineStr">
        <is>
          <t>Föryngringsavverkning</t>
        </is>
      </c>
      <c r="D405" s="1" t="n">
        <v>44973</v>
      </c>
      <c r="E405" s="1" t="n">
        <v>46323</v>
      </c>
      <c r="F405" t="inlineStr">
        <is>
          <t>KALMAR LÄN</t>
        </is>
      </c>
      <c r="G405" t="inlineStr">
        <is>
          <t>BORGHOLM</t>
        </is>
      </c>
      <c r="I405" t="n">
        <v>2.1</v>
      </c>
      <c r="J405" t="n">
        <v>0</v>
      </c>
      <c r="K405" t="n">
        <v>1</v>
      </c>
      <c r="L405" t="n">
        <v>2</v>
      </c>
      <c r="M405" t="n">
        <v>0</v>
      </c>
      <c r="N405" t="n">
        <v>0</v>
      </c>
      <c r="O405" t="n">
        <v>1</v>
      </c>
      <c r="P405" t="n">
        <v>0</v>
      </c>
      <c r="Q405" t="n">
        <v>3</v>
      </c>
      <c r="R405" t="n">
        <v>1</v>
      </c>
      <c r="S405" t="n">
        <v>4</v>
      </c>
      <c r="T405" t="n">
        <v>4</v>
      </c>
      <c r="U405" t="n">
        <v>3</v>
      </c>
      <c r="V405" s="2" t="inlineStr">
        <is>
          <t>Vresalm
Pilfotsspindling
Vippärt
Strävlosta</t>
        </is>
      </c>
      <c r="W405">
        <f>HYPERLINK("https://klasma.github.io/Logging_0885/artfynd/A 7960-2023 artfynd.xlsx", "A 7960-2023")</f>
        <v/>
      </c>
      <c r="X405">
        <f>HYPERLINK("https://klasma.github.io/Logging_0885/kartor/A 7960-2023 karta.png", "A 7960-2023")</f>
        <v/>
      </c>
      <c r="Y405">
        <f>HYPERLINK("https://klasma.github.io/Logging_0885/kartor_geotiff/A 7960-2023 georefererad karta.tif", "A 7960-2023")</f>
        <v/>
      </c>
      <c r="AA405">
        <f>HYPERLINK("https://klasma.github.io/Logging_0885/klagomål/A 7960-2023 FSC-klagomål.docx", "A 7960-2023")</f>
        <v/>
      </c>
      <c r="AB405">
        <f>HYPERLINK("https://klasma.github.io/Logging_0885/klagomålsmail/A 7960-2023 FSC-klagomål mail.docx", "A 7960-2023")</f>
        <v/>
      </c>
      <c r="AC405">
        <f>HYPERLINK("https://klasma.github.io/Logging_0885/tillsyn/A 7960-2023 tillsynsbegäran.docx", "A 7960-2023")</f>
        <v/>
      </c>
      <c r="AD405">
        <f>HYPERLINK("https://klasma.github.io/Logging_0885/tillsynsmail/A 7960-2023 tillsynsbegäran mail.docx", "A 7960-2023")</f>
        <v/>
      </c>
    </row>
    <row r="406" ht="15" customHeight="1">
      <c r="A406" t="inlineStr">
        <is>
          <t>A 28946-2025</t>
        </is>
      </c>
      <c r="B406" t="inlineStr">
        <is>
          <t>avverkningsanmälan</t>
        </is>
      </c>
      <c r="C406" t="inlineStr">
        <is>
          <t>Avverkning för att bevara och utveckla /försöksver</t>
        </is>
      </c>
      <c r="D406" s="1" t="n">
        <v>45820</v>
      </c>
      <c r="E406" s="1" t="n">
        <v>46323</v>
      </c>
      <c r="F406" t="inlineStr">
        <is>
          <t>KALMAR LÄN</t>
        </is>
      </c>
      <c r="G406" t="inlineStr">
        <is>
          <t>TORSÅS</t>
        </is>
      </c>
      <c r="I406" t="n">
        <v>4.1</v>
      </c>
      <c r="J406" t="n">
        <v>1</v>
      </c>
      <c r="K406" t="n">
        <v>0</v>
      </c>
      <c r="L406" t="n">
        <v>3</v>
      </c>
      <c r="M406" t="n">
        <v>0</v>
      </c>
      <c r="N406" t="n">
        <v>0</v>
      </c>
      <c r="O406" t="n">
        <v>0</v>
      </c>
      <c r="P406" t="n">
        <v>0</v>
      </c>
      <c r="Q406" t="n">
        <v>3</v>
      </c>
      <c r="R406" t="n">
        <v>0</v>
      </c>
      <c r="S406" t="n">
        <v>4</v>
      </c>
      <c r="T406" t="n">
        <v>4</v>
      </c>
      <c r="U406" t="n">
        <v>4</v>
      </c>
      <c r="V406" s="2" t="inlineStr">
        <is>
          <t>Korskovall
Krusfrö
Vippärt
Blåsippa</t>
        </is>
      </c>
      <c r="W406">
        <f>HYPERLINK("https://klasma.github.io/Logging_0834/artfynd/A 28946-2025 artfynd.xlsx", "A 28946-2025")</f>
        <v/>
      </c>
      <c r="X406">
        <f>HYPERLINK("https://klasma.github.io/Logging_0834/kartor/A 28946-2025 karta.png", "A 28946-2025")</f>
        <v/>
      </c>
      <c r="Y406">
        <f>HYPERLINK("https://klasma.github.io/Logging_0834/kartor_geotiff/A 28946-2025 georefererad karta.tif", "A 28946-2025")</f>
        <v/>
      </c>
      <c r="AA406">
        <f>HYPERLINK("https://klasma.github.io/Logging_0834/klagomål/A 28946-2025 FSC-klagomål.docx", "A 28946-2025")</f>
        <v/>
      </c>
      <c r="AB406">
        <f>HYPERLINK("https://klasma.github.io/Logging_0834/klagomålsmail/A 28946-2025 FSC-klagomål mail.docx", "A 28946-2025")</f>
        <v/>
      </c>
      <c r="AC406">
        <f>HYPERLINK("https://klasma.github.io/Logging_0834/tillsyn/A 28946-2025 tillsynsbegäran.docx", "A 28946-2025")</f>
        <v/>
      </c>
      <c r="AD406">
        <f>HYPERLINK("https://klasma.github.io/Logging_0834/tillsynsmail/A 28946-2025 tillsynsbegäran mail.docx", "A 28946-2025")</f>
        <v/>
      </c>
    </row>
    <row r="407" ht="15" customHeight="1">
      <c r="A407" t="inlineStr">
        <is>
          <t>A 27700-2024</t>
        </is>
      </c>
      <c r="B407" t="inlineStr">
        <is>
          <t>avverkningsanmälan</t>
        </is>
      </c>
      <c r="C407" t="inlineStr">
        <is>
          <t>Föryngringsavverkning</t>
        </is>
      </c>
      <c r="D407" s="1" t="n">
        <v>45475</v>
      </c>
      <c r="E407" s="1" t="n">
        <v>46323</v>
      </c>
      <c r="F407" t="inlineStr">
        <is>
          <t>KALMAR LÄN</t>
        </is>
      </c>
      <c r="G407" t="inlineStr">
        <is>
          <t>VÄSTERVIK</t>
        </is>
      </c>
      <c r="H407" t="inlineStr">
        <is>
          <t>Holmen skog AB</t>
        </is>
      </c>
      <c r="I407" t="n">
        <v>1.1</v>
      </c>
      <c r="J407" t="n">
        <v>2</v>
      </c>
      <c r="K407" t="n">
        <v>2</v>
      </c>
      <c r="L407" t="n">
        <v>1</v>
      </c>
      <c r="M407" t="n">
        <v>0</v>
      </c>
      <c r="N407" t="n">
        <v>0</v>
      </c>
      <c r="O407" t="n">
        <v>0</v>
      </c>
      <c r="P407" t="n">
        <v>0</v>
      </c>
      <c r="Q407" t="n">
        <v>1</v>
      </c>
      <c r="R407" t="n">
        <v>0</v>
      </c>
      <c r="S407" t="n">
        <v>4</v>
      </c>
      <c r="T407" t="n">
        <v>4</v>
      </c>
      <c r="U407" t="n">
        <v>4</v>
      </c>
      <c r="V407" s="2" t="inlineStr">
        <is>
          <t>Talltita
Blåmossa
Zontaggsvamp
Spillkråka</t>
        </is>
      </c>
      <c r="W407">
        <f>HYPERLINK("https://klasma.github.io/Logging_0883/artfynd/A 27700-2024 artfynd.xlsx", "A 27700-2024")</f>
        <v/>
      </c>
      <c r="X407">
        <f>HYPERLINK("https://klasma.github.io/Logging_0883/kartor/A 27700-2024 karta.png", "A 27700-2024")</f>
        <v/>
      </c>
      <c r="Y407">
        <f>HYPERLINK("https://klasma.github.io/Logging_0883/kartor_geotiff/A 27700-2024 georefererad karta.tif", "A 27700-2024")</f>
        <v/>
      </c>
      <c r="AA407">
        <f>HYPERLINK("https://klasma.github.io/Logging_0883/klagomål/A 27700-2024 FSC-klagomål.docx", "A 27700-2024")</f>
        <v/>
      </c>
      <c r="AB407">
        <f>HYPERLINK("https://klasma.github.io/Logging_0883/klagomålsmail/A 27700-2024 FSC-klagomål mail.docx", "A 27700-2024")</f>
        <v/>
      </c>
      <c r="AC407">
        <f>HYPERLINK("https://klasma.github.io/Logging_0883/tillsyn/A 27700-2024 tillsynsbegäran.docx", "A 27700-2024")</f>
        <v/>
      </c>
      <c r="AD407">
        <f>HYPERLINK("https://klasma.github.io/Logging_0883/tillsynsmail/A 27700-2024 tillsynsbegäran mail.docx", "A 27700-2024")</f>
        <v/>
      </c>
      <c r="AE407">
        <f>HYPERLINK("https://klasma.github.io/Logging_0883/fåglar/A 27700-2024 prioriterade fågelarter.docx", "A 27700-2024")</f>
        <v/>
      </c>
    </row>
    <row r="408" ht="15" customHeight="1">
      <c r="A408" t="inlineStr">
        <is>
          <t>A 36595-2026</t>
        </is>
      </c>
      <c r="B408" t="inlineStr">
        <is>
          <t>avverkningsanmälan</t>
        </is>
      </c>
      <c r="C408" t="inlineStr">
        <is>
          <t>Föryngringsavverkning</t>
        </is>
      </c>
      <c r="D408" s="1" t="n">
        <v>46269</v>
      </c>
      <c r="E408" s="1" t="n">
        <v>46323</v>
      </c>
      <c r="F408" t="inlineStr">
        <is>
          <t>KALMAR LÄN</t>
        </is>
      </c>
      <c r="G408" t="inlineStr">
        <is>
          <t>VÄSTERVIK</t>
        </is>
      </c>
      <c r="H408" t="inlineStr">
        <is>
          <t>Kyrkan</t>
        </is>
      </c>
      <c r="I408" t="n">
        <v>2</v>
      </c>
      <c r="J408" t="n">
        <v>2</v>
      </c>
      <c r="K408" t="n">
        <v>2</v>
      </c>
      <c r="L408" t="n">
        <v>1</v>
      </c>
      <c r="M408" t="n">
        <v>0</v>
      </c>
      <c r="N408" t="n">
        <v>0</v>
      </c>
      <c r="O408" t="n">
        <v>0</v>
      </c>
      <c r="P408" t="n">
        <v>0</v>
      </c>
      <c r="Q408" t="n">
        <v>1</v>
      </c>
      <c r="R408" t="n">
        <v>0</v>
      </c>
      <c r="S408" t="n">
        <v>4</v>
      </c>
      <c r="T408" t="n">
        <v>8</v>
      </c>
      <c r="U408" t="n">
        <v>8</v>
      </c>
      <c r="V408" s="2" t="inlineStr">
        <is>
          <t>Entita
Granbräken
Tibast
Spillkråka</t>
        </is>
      </c>
      <c r="W408">
        <f>HYPERLINK("https://klasma.github.io/Logging_0883/artfynd/A 36595-2026 artfynd.xlsx", "A 36595-2026")</f>
        <v/>
      </c>
      <c r="X408">
        <f>HYPERLINK("https://klasma.github.io/Logging_0883/kartor/A 36595-2026 karta.png", "A 36595-2026")</f>
        <v/>
      </c>
      <c r="Y408">
        <f>HYPERLINK("https://klasma.github.io/Logging_0883/kartor_geotiff/A 36595-2026 georefererad karta.tif", "A 36595-2026")</f>
        <v/>
      </c>
      <c r="AA408">
        <f>HYPERLINK("https://klasma.github.io/Logging_0883/klagomål/A 36595-2026 FSC-klagomål.docx", "A 36595-2026")</f>
        <v/>
      </c>
      <c r="AB408">
        <f>HYPERLINK("https://klasma.github.io/Logging_0883/klagomålsmail/A 36595-2026 FSC-klagomål mail.docx", "A 36595-2026")</f>
        <v/>
      </c>
      <c r="AC408">
        <f>HYPERLINK("https://klasma.github.io/Logging_0883/tillsyn/A 36595-2026 tillsynsbegäran.docx", "A 36595-2026")</f>
        <v/>
      </c>
      <c r="AD408">
        <f>HYPERLINK("https://klasma.github.io/Logging_0883/tillsynsmail/A 36595-2026 tillsynsbegäran mail.docx", "A 36595-2026")</f>
        <v/>
      </c>
      <c r="AE408">
        <f>HYPERLINK("https://klasma.github.io/Logging_0883/fåglar/A 36595-2026 prioriterade fågelarter.docx", "A 36595-2026")</f>
        <v/>
      </c>
    </row>
    <row r="409" ht="15" customHeight="1">
      <c r="A409" t="inlineStr">
        <is>
          <t>A 10178-2024</t>
        </is>
      </c>
      <c r="B409" t="inlineStr">
        <is>
          <t>avverkningsanmälan</t>
        </is>
      </c>
      <c r="C409" t="inlineStr">
        <is>
          <t>Föryngringsavverkning</t>
        </is>
      </c>
      <c r="D409" s="1" t="n">
        <v>45364</v>
      </c>
      <c r="E409" s="1" t="n">
        <v>46323</v>
      </c>
      <c r="F409" t="inlineStr">
        <is>
          <t>KALMAR LÄN</t>
        </is>
      </c>
      <c r="G409" t="inlineStr">
        <is>
          <t>MÖNSTERÅS</t>
        </is>
      </c>
      <c r="H409" t="inlineStr">
        <is>
          <t>Övriga Aktiebolag</t>
        </is>
      </c>
      <c r="I409" t="n">
        <v>4.8</v>
      </c>
      <c r="J409" t="n">
        <v>4</v>
      </c>
      <c r="K409" t="n">
        <v>0</v>
      </c>
      <c r="L409" t="n">
        <v>1</v>
      </c>
      <c r="M409" t="n">
        <v>0</v>
      </c>
      <c r="N409" t="n">
        <v>0</v>
      </c>
      <c r="O409" t="n">
        <v>0</v>
      </c>
      <c r="P409" t="n">
        <v>0</v>
      </c>
      <c r="Q409" t="n">
        <v>1</v>
      </c>
      <c r="R409" t="n">
        <v>0</v>
      </c>
      <c r="S409" t="n">
        <v>4</v>
      </c>
      <c r="T409" t="n">
        <v>4</v>
      </c>
      <c r="U409" t="n">
        <v>1</v>
      </c>
      <c r="V409" s="2" t="inlineStr">
        <is>
          <t>Nordfladdermus
Spillkråka
Dvärgpipistrell
Havsörn</t>
        </is>
      </c>
      <c r="W409">
        <f>HYPERLINK("https://klasma.github.io/Logging_0861/artfynd/A 10178-2024 artfynd.xlsx", "A 10178-2024")</f>
        <v/>
      </c>
      <c r="X409">
        <f>HYPERLINK("https://klasma.github.io/Logging_0861/kartor/A 10178-2024 karta.png", "A 10178-2024")</f>
        <v/>
      </c>
      <c r="Y409">
        <f>HYPERLINK("https://klasma.github.io/Logging_0861/kartor_geotiff/A 10178-2024 georefererad karta.tif", "A 10178-2024")</f>
        <v/>
      </c>
      <c r="AA409">
        <f>HYPERLINK("https://klasma.github.io/Logging_0861/klagomål/A 10178-2024 FSC-klagomål.docx", "A 10178-2024")</f>
        <v/>
      </c>
      <c r="AB409">
        <f>HYPERLINK("https://klasma.github.io/Logging_0861/klagomålsmail/A 10178-2024 FSC-klagomål mail.docx", "A 10178-2024")</f>
        <v/>
      </c>
      <c r="AC409">
        <f>HYPERLINK("https://klasma.github.io/Logging_0861/tillsyn/A 10178-2024 tillsynsbegäran.docx", "A 10178-2024")</f>
        <v/>
      </c>
      <c r="AD409">
        <f>HYPERLINK("https://klasma.github.io/Logging_0861/tillsynsmail/A 10178-2024 tillsynsbegäran mail.docx", "A 10178-2024")</f>
        <v/>
      </c>
      <c r="AE409">
        <f>HYPERLINK("https://klasma.github.io/Logging_0861/fåglar/A 10178-2024 prioriterade fågelarter.docx", "A 10178-2024")</f>
        <v/>
      </c>
    </row>
    <row r="410" ht="15" customHeight="1">
      <c r="A410" t="inlineStr">
        <is>
          <t>A 3916-2025</t>
        </is>
      </c>
      <c r="B410" t="inlineStr">
        <is>
          <t>avverkningsanmälan</t>
        </is>
      </c>
      <c r="C410" t="inlineStr">
        <is>
          <t>Föryngringsavverkning</t>
        </is>
      </c>
      <c r="D410" s="1" t="n">
        <v>45684</v>
      </c>
      <c r="E410" s="1" t="n">
        <v>46323</v>
      </c>
      <c r="F410" t="inlineStr">
        <is>
          <t>KALMAR LÄN</t>
        </is>
      </c>
      <c r="G410" t="inlineStr">
        <is>
          <t>KALMAR</t>
        </is>
      </c>
      <c r="I410" t="n">
        <v>19.7</v>
      </c>
      <c r="J410" t="n">
        <v>4</v>
      </c>
      <c r="K410" t="n">
        <v>0</v>
      </c>
      <c r="L410" t="n">
        <v>2</v>
      </c>
      <c r="M410" t="n">
        <v>0</v>
      </c>
      <c r="N410" t="n">
        <v>0</v>
      </c>
      <c r="O410" t="n">
        <v>0</v>
      </c>
      <c r="P410" t="n">
        <v>0</v>
      </c>
      <c r="Q410" t="n">
        <v>2</v>
      </c>
      <c r="R410" t="n">
        <v>0</v>
      </c>
      <c r="S410" t="n">
        <v>4</v>
      </c>
      <c r="T410" t="n">
        <v>4</v>
      </c>
      <c r="U410" t="n">
        <v>0</v>
      </c>
      <c r="V410" s="2" t="inlineStr">
        <is>
          <t>Brunlångöra
Nordfladdermus
Dvärgpipistrell
Större brunfladdermus</t>
        </is>
      </c>
      <c r="W410">
        <f>HYPERLINK("https://klasma.github.io/Logging_0880/artfynd/A 3916-2025 artfynd.xlsx", "A 3916-2025")</f>
        <v/>
      </c>
      <c r="X410">
        <f>HYPERLINK("https://klasma.github.io/Logging_0880/kartor/A 3916-2025 karta.png", "A 3916-2025")</f>
        <v/>
      </c>
      <c r="Y410">
        <f>HYPERLINK("https://klasma.github.io/Logging_0880/kartor_geotiff/A 3916-2025 georefererad karta.tif", "A 3916-2025")</f>
        <v/>
      </c>
      <c r="AA410">
        <f>HYPERLINK("https://klasma.github.io/Logging_0880/klagomål/A 3916-2025 FSC-klagomål.docx", "A 3916-2025")</f>
        <v/>
      </c>
      <c r="AB410">
        <f>HYPERLINK("https://klasma.github.io/Logging_0880/klagomålsmail/A 3916-2025 FSC-klagomål mail.docx", "A 3916-2025")</f>
        <v/>
      </c>
      <c r="AC410">
        <f>HYPERLINK("https://klasma.github.io/Logging_0880/tillsyn/A 3916-2025 tillsynsbegäran.docx", "A 3916-2025")</f>
        <v/>
      </c>
      <c r="AD410">
        <f>HYPERLINK("https://klasma.github.io/Logging_0880/tillsynsmail/A 3916-2025 tillsynsbegäran mail.docx", "A 3916-2025")</f>
        <v/>
      </c>
    </row>
    <row r="411" ht="15" customHeight="1">
      <c r="A411" t="inlineStr">
        <is>
          <t>A 22080-2026</t>
        </is>
      </c>
      <c r="B411" t="inlineStr">
        <is>
          <t>avverkningsanmälan</t>
        </is>
      </c>
      <c r="C411" t="inlineStr">
        <is>
          <t>Föryngringsavverkning</t>
        </is>
      </c>
      <c r="D411" s="1" t="n">
        <v>46153</v>
      </c>
      <c r="E411" s="1" t="n">
        <v>46323</v>
      </c>
      <c r="F411" t="inlineStr">
        <is>
          <t>KALMAR LÄN</t>
        </is>
      </c>
      <c r="G411" t="inlineStr">
        <is>
          <t>NYBRO</t>
        </is>
      </c>
      <c r="H411" t="inlineStr">
        <is>
          <t>Sveaskog</t>
        </is>
      </c>
      <c r="I411" t="n">
        <v>2.1</v>
      </c>
      <c r="J411" t="n">
        <v>4</v>
      </c>
      <c r="K411" t="n">
        <v>0</v>
      </c>
      <c r="L411" t="n">
        <v>3</v>
      </c>
      <c r="M411" t="n">
        <v>0</v>
      </c>
      <c r="N411" t="n">
        <v>0</v>
      </c>
      <c r="O411" t="n">
        <v>0</v>
      </c>
      <c r="P411" t="n">
        <v>0</v>
      </c>
      <c r="Q411" t="n">
        <v>3</v>
      </c>
      <c r="R411" t="n">
        <v>0</v>
      </c>
      <c r="S411" t="n">
        <v>4</v>
      </c>
      <c r="T411" t="n">
        <v>4</v>
      </c>
      <c r="U411" t="n">
        <v>0</v>
      </c>
      <c r="V411" s="2" t="inlineStr">
        <is>
          <t>Göktyta
Sparvuggla
Talltita
Spillkråka</t>
        </is>
      </c>
      <c r="W411">
        <f>HYPERLINK("https://klasma.github.io/Logging_0881/artfynd/A 22080-2026 artfynd.xlsx", "A 22080-2026")</f>
        <v/>
      </c>
      <c r="X411">
        <f>HYPERLINK("https://klasma.github.io/Logging_0881/kartor/A 22080-2026 karta.png", "A 22080-2026")</f>
        <v/>
      </c>
      <c r="Y411">
        <f>HYPERLINK("https://klasma.github.io/Logging_0881/kartor_geotiff/A 22080-2026 georefererad karta.tif", "A 22080-2026")</f>
        <v/>
      </c>
      <c r="AA411">
        <f>HYPERLINK("https://klasma.github.io/Logging_0881/klagomål/A 22080-2026 FSC-klagomål.docx", "A 22080-2026")</f>
        <v/>
      </c>
      <c r="AB411">
        <f>HYPERLINK("https://klasma.github.io/Logging_0881/klagomålsmail/A 22080-2026 FSC-klagomål mail.docx", "A 22080-2026")</f>
        <v/>
      </c>
      <c r="AC411">
        <f>HYPERLINK("https://klasma.github.io/Logging_0881/tillsyn/A 22080-2026 tillsynsbegäran.docx", "A 22080-2026")</f>
        <v/>
      </c>
      <c r="AD411">
        <f>HYPERLINK("https://klasma.github.io/Logging_0881/tillsynsmail/A 22080-2026 tillsynsbegäran mail.docx", "A 22080-2026")</f>
        <v/>
      </c>
      <c r="AE411">
        <f>HYPERLINK("https://klasma.github.io/Logging_0881/fåglar/A 22080-2026 prioriterade fågelarter.docx", "A 22080-2026")</f>
        <v/>
      </c>
    </row>
    <row r="412" ht="15" customHeight="1">
      <c r="A412" t="inlineStr">
        <is>
          <t>A 34644-2025</t>
        </is>
      </c>
      <c r="B412" t="inlineStr">
        <is>
          <t>avverkningsanmälan</t>
        </is>
      </c>
      <c r="C412" t="inlineStr">
        <is>
          <t>Föryngringsavverkning</t>
        </is>
      </c>
      <c r="D412" s="1" t="n">
        <v>45848</v>
      </c>
      <c r="E412" s="1" t="n">
        <v>46323</v>
      </c>
      <c r="F412" t="inlineStr">
        <is>
          <t>KALMAR LÄN</t>
        </is>
      </c>
      <c r="G412" t="inlineStr">
        <is>
          <t>VÄSTERVIK</t>
        </is>
      </c>
      <c r="I412" t="n">
        <v>0.5</v>
      </c>
      <c r="J412" t="n">
        <v>2</v>
      </c>
      <c r="K412" t="n">
        <v>1</v>
      </c>
      <c r="L412" t="n">
        <v>2</v>
      </c>
      <c r="M412" t="n">
        <v>1</v>
      </c>
      <c r="N412" t="n">
        <v>0</v>
      </c>
      <c r="O412" t="n">
        <v>0</v>
      </c>
      <c r="P412" t="n">
        <v>0</v>
      </c>
      <c r="Q412" t="n">
        <v>3</v>
      </c>
      <c r="R412" t="n">
        <v>1</v>
      </c>
      <c r="S412" t="n">
        <v>4</v>
      </c>
      <c r="T412" t="n">
        <v>9</v>
      </c>
      <c r="U412" t="n">
        <v>9</v>
      </c>
      <c r="V412" s="2" t="inlineStr">
        <is>
          <t>Knärot
Fyrflikig jordstjärna
Talltita
Blåmossa</t>
        </is>
      </c>
      <c r="W412">
        <f>HYPERLINK("https://klasma.github.io/Logging_0883/artfynd/A 34644-2025 artfynd.xlsx", "A 34644-2025")</f>
        <v/>
      </c>
      <c r="X412">
        <f>HYPERLINK("https://klasma.github.io/Logging_0883/kartor/A 34644-2025 karta.png", "A 34644-2025")</f>
        <v/>
      </c>
      <c r="Y412">
        <f>HYPERLINK("https://klasma.github.io/Logging_0883/kartor_geotiff/A 34644-2025 georefererad karta.tif", "A 34644-2025")</f>
        <v/>
      </c>
      <c r="Z412">
        <f>HYPERLINK("https://klasma.github.io/Logging_0883/knärot/A 34644-2025 karta knärot.png", "A 34644-2025")</f>
        <v/>
      </c>
      <c r="AA412">
        <f>HYPERLINK("https://klasma.github.io/Logging_0883/klagomål/A 34644-2025 FSC-klagomål.docx", "A 34644-2025")</f>
        <v/>
      </c>
      <c r="AB412">
        <f>HYPERLINK("https://klasma.github.io/Logging_0883/klagomålsmail/A 34644-2025 FSC-klagomål mail.docx", "A 34644-2025")</f>
        <v/>
      </c>
      <c r="AC412">
        <f>HYPERLINK("https://klasma.github.io/Logging_0883/tillsyn/A 34644-2025 tillsynsbegäran.docx", "A 34644-2025")</f>
        <v/>
      </c>
      <c r="AD412">
        <f>HYPERLINK("https://klasma.github.io/Logging_0883/tillsynsmail/A 34644-2025 tillsynsbegäran mail.docx", "A 34644-2025")</f>
        <v/>
      </c>
      <c r="AE412">
        <f>HYPERLINK("https://klasma.github.io/Logging_0883/fåglar/A 34644-2025 prioriterade fågelarter.docx", "A 34644-2025")</f>
        <v/>
      </c>
    </row>
    <row r="413" ht="15" customHeight="1">
      <c r="A413" t="inlineStr">
        <is>
          <t>A 23739-2026</t>
        </is>
      </c>
      <c r="B413" t="inlineStr">
        <is>
          <t>avverkningsanmälan</t>
        </is>
      </c>
      <c r="C413" t="inlineStr">
        <is>
          <t>Föryngringsavverkning</t>
        </is>
      </c>
      <c r="D413" s="1" t="n">
        <v>46164</v>
      </c>
      <c r="E413" s="1" t="n">
        <v>46323</v>
      </c>
      <c r="F413" t="inlineStr">
        <is>
          <t>KALMAR LÄN</t>
        </is>
      </c>
      <c r="G413" t="inlineStr">
        <is>
          <t>NYBRO</t>
        </is>
      </c>
      <c r="I413" t="n">
        <v>2.2</v>
      </c>
      <c r="J413" t="n">
        <v>3</v>
      </c>
      <c r="K413" t="n">
        <v>2</v>
      </c>
      <c r="L413" t="n">
        <v>0</v>
      </c>
      <c r="M413" t="n">
        <v>1</v>
      </c>
      <c r="N413" t="n">
        <v>0</v>
      </c>
      <c r="O413" t="n">
        <v>0</v>
      </c>
      <c r="P413" t="n">
        <v>0</v>
      </c>
      <c r="Q413" t="n">
        <v>1</v>
      </c>
      <c r="R413" t="n">
        <v>1</v>
      </c>
      <c r="S413" t="n">
        <v>4</v>
      </c>
      <c r="T413" t="n">
        <v>4</v>
      </c>
      <c r="U413" t="n">
        <v>0</v>
      </c>
      <c r="V413" s="2" t="inlineStr">
        <is>
          <t>Sandödla
Ekoxe
Myskbock
Vanlig groda</t>
        </is>
      </c>
      <c r="W413">
        <f>HYPERLINK("https://klasma.github.io/Logging_0881/artfynd/A 23739-2026 artfynd.xlsx", "A 23739-2026")</f>
        <v/>
      </c>
      <c r="X413">
        <f>HYPERLINK("https://klasma.github.io/Logging_0881/kartor/A 23739-2026 karta.png", "A 23739-2026")</f>
        <v/>
      </c>
      <c r="Y413">
        <f>HYPERLINK("https://klasma.github.io/Logging_0881/kartor_geotiff/A 23739-2026 georefererad karta.tif", "A 23739-2026")</f>
        <v/>
      </c>
      <c r="AA413">
        <f>HYPERLINK("https://klasma.github.io/Logging_0881/klagomål/A 23739-2026 FSC-klagomål.docx", "A 23739-2026")</f>
        <v/>
      </c>
      <c r="AB413">
        <f>HYPERLINK("https://klasma.github.io/Logging_0881/klagomålsmail/A 23739-2026 FSC-klagomål mail.docx", "A 23739-2026")</f>
        <v/>
      </c>
      <c r="AC413">
        <f>HYPERLINK("https://klasma.github.io/Logging_0881/tillsyn/A 23739-2026 tillsynsbegäran.docx", "A 23739-2026")</f>
        <v/>
      </c>
      <c r="AD413">
        <f>HYPERLINK("https://klasma.github.io/Logging_0881/tillsynsmail/A 23739-2026 tillsynsbegäran mail.docx", "A 23739-2026")</f>
        <v/>
      </c>
    </row>
    <row r="414" ht="15" customHeight="1">
      <c r="A414" t="inlineStr">
        <is>
          <t>A 24660-2025</t>
        </is>
      </c>
      <c r="B414" t="inlineStr">
        <is>
          <t>avverkningsanmälan</t>
        </is>
      </c>
      <c r="C414" t="inlineStr">
        <is>
          <t>Föryngringsavverkning</t>
        </is>
      </c>
      <c r="D414" s="1" t="n">
        <v>45798</v>
      </c>
      <c r="E414" s="1" t="n">
        <v>46323</v>
      </c>
      <c r="F414" t="inlineStr">
        <is>
          <t>KALMAR LÄN</t>
        </is>
      </c>
      <c r="G414" t="inlineStr">
        <is>
          <t>TORSÅS</t>
        </is>
      </c>
      <c r="I414" t="n">
        <v>2.3</v>
      </c>
      <c r="J414" t="n">
        <v>4</v>
      </c>
      <c r="K414" t="n">
        <v>0</v>
      </c>
      <c r="L414" t="n">
        <v>1</v>
      </c>
      <c r="M414" t="n">
        <v>1</v>
      </c>
      <c r="N414" t="n">
        <v>0</v>
      </c>
      <c r="O414" t="n">
        <v>0</v>
      </c>
      <c r="P414" t="n">
        <v>0</v>
      </c>
      <c r="Q414" t="n">
        <v>2</v>
      </c>
      <c r="R414" t="n">
        <v>1</v>
      </c>
      <c r="S414" t="n">
        <v>4</v>
      </c>
      <c r="T414" t="n">
        <v>4</v>
      </c>
      <c r="U414" t="n">
        <v>0</v>
      </c>
      <c r="V414" s="2" t="inlineStr">
        <is>
          <t>Sydpipistrell
Nordfladdermus
Dvärgpipistrell
Större brunfladdermus</t>
        </is>
      </c>
      <c r="W414">
        <f>HYPERLINK("https://klasma.github.io/Logging_0834/artfynd/A 24660-2025 artfynd.xlsx", "A 24660-2025")</f>
        <v/>
      </c>
      <c r="X414">
        <f>HYPERLINK("https://klasma.github.io/Logging_0834/kartor/A 24660-2025 karta.png", "A 24660-2025")</f>
        <v/>
      </c>
      <c r="Y414">
        <f>HYPERLINK("https://klasma.github.io/Logging_0834/kartor_geotiff/A 24660-2025 georefererad karta.tif", "A 24660-2025")</f>
        <v/>
      </c>
      <c r="AA414">
        <f>HYPERLINK("https://klasma.github.io/Logging_0834/klagomål/A 24660-2025 FSC-klagomål.docx", "A 24660-2025")</f>
        <v/>
      </c>
      <c r="AB414">
        <f>HYPERLINK("https://klasma.github.io/Logging_0834/klagomålsmail/A 24660-2025 FSC-klagomål mail.docx", "A 24660-2025")</f>
        <v/>
      </c>
      <c r="AC414">
        <f>HYPERLINK("https://klasma.github.io/Logging_0834/tillsyn/A 24660-2025 tillsynsbegäran.docx", "A 24660-2025")</f>
        <v/>
      </c>
      <c r="AD414">
        <f>HYPERLINK("https://klasma.github.io/Logging_0834/tillsynsmail/A 24660-2025 tillsynsbegäran mail.docx", "A 24660-2025")</f>
        <v/>
      </c>
    </row>
    <row r="415" ht="15" customHeight="1">
      <c r="A415" t="inlineStr">
        <is>
          <t>A 56995-2024</t>
        </is>
      </c>
      <c r="B415" t="inlineStr">
        <is>
          <t>avverkningsanmälan</t>
        </is>
      </c>
      <c r="C415" t="inlineStr">
        <is>
          <t>Avverkning för annat ändamål</t>
        </is>
      </c>
      <c r="D415" s="1" t="n">
        <v>45626</v>
      </c>
      <c r="E415" s="1" t="n">
        <v>46323</v>
      </c>
      <c r="F415" t="inlineStr">
        <is>
          <t>KALMAR LÄN</t>
        </is>
      </c>
      <c r="G415" t="inlineStr">
        <is>
          <t>HÖGSBY</t>
        </is>
      </c>
      <c r="I415" t="n">
        <v>2</v>
      </c>
      <c r="J415" t="n">
        <v>3</v>
      </c>
      <c r="K415" t="n">
        <v>1</v>
      </c>
      <c r="L415" t="n">
        <v>0</v>
      </c>
      <c r="M415" t="n">
        <v>0</v>
      </c>
      <c r="N415" t="n">
        <v>0</v>
      </c>
      <c r="O415" t="n">
        <v>0</v>
      </c>
      <c r="P415" t="n">
        <v>0</v>
      </c>
      <c r="Q415" t="n">
        <v>0</v>
      </c>
      <c r="R415" t="n">
        <v>0</v>
      </c>
      <c r="S415" t="n">
        <v>4</v>
      </c>
      <c r="T415" t="n">
        <v>9</v>
      </c>
      <c r="U415" t="n">
        <v>9</v>
      </c>
      <c r="V415" s="2" t="inlineStr">
        <is>
          <t>Underviol
Blåsippa
Spillkråka
Gullviva</t>
        </is>
      </c>
      <c r="W415">
        <f>HYPERLINK("https://klasma.github.io/Logging_0821/artfynd/A 56995-2024 artfynd.xlsx", "A 56995-2024")</f>
        <v/>
      </c>
      <c r="X415">
        <f>HYPERLINK("https://klasma.github.io/Logging_0821/kartor/A 56995-2024 karta.png", "A 56995-2024")</f>
        <v/>
      </c>
      <c r="Y415">
        <f>HYPERLINK("https://klasma.github.io/Logging_0821/kartor_geotiff/A 56995-2024 georefererad karta.tif", "A 56995-2024")</f>
        <v/>
      </c>
      <c r="AA415">
        <f>HYPERLINK("https://klasma.github.io/Logging_0821/klagomål/A 56995-2024 FSC-klagomål.docx", "A 56995-2024")</f>
        <v/>
      </c>
      <c r="AB415">
        <f>HYPERLINK("https://klasma.github.io/Logging_0821/klagomålsmail/A 56995-2024 FSC-klagomål mail.docx", "A 56995-2024")</f>
        <v/>
      </c>
      <c r="AC415">
        <f>HYPERLINK("https://klasma.github.io/Logging_0821/tillsyn/A 56995-2024 tillsynsbegäran.docx", "A 56995-2024")</f>
        <v/>
      </c>
      <c r="AD415">
        <f>HYPERLINK("https://klasma.github.io/Logging_0821/tillsynsmail/A 56995-2024 tillsynsbegäran mail.docx", "A 56995-2024")</f>
        <v/>
      </c>
      <c r="AE415">
        <f>HYPERLINK("https://klasma.github.io/Logging_0821/fåglar/A 56995-2024 prioriterade fågelarter.docx", "A 56995-2024")</f>
        <v/>
      </c>
    </row>
    <row r="416" ht="15" customHeight="1">
      <c r="A416" t="inlineStr">
        <is>
          <t>A 25010-2026</t>
        </is>
      </c>
      <c r="B416" t="inlineStr">
        <is>
          <t>avverkningsanmälan</t>
        </is>
      </c>
      <c r="C416" t="inlineStr">
        <is>
          <t>Föryngringsavverkning</t>
        </is>
      </c>
      <c r="D416" s="1" t="n">
        <v>46174</v>
      </c>
      <c r="E416" s="1" t="n">
        <v>46323</v>
      </c>
      <c r="F416" t="inlineStr">
        <is>
          <t>KALMAR LÄN</t>
        </is>
      </c>
      <c r="G416" t="inlineStr">
        <is>
          <t>VÄSTERVIK</t>
        </is>
      </c>
      <c r="H416" t="inlineStr">
        <is>
          <t>Kyrkan</t>
        </is>
      </c>
      <c r="I416" t="n">
        <v>5</v>
      </c>
      <c r="J416" t="n">
        <v>2</v>
      </c>
      <c r="K416" t="n">
        <v>1</v>
      </c>
      <c r="L416" t="n">
        <v>2</v>
      </c>
      <c r="M416" t="n">
        <v>0</v>
      </c>
      <c r="N416" t="n">
        <v>0</v>
      </c>
      <c r="O416" t="n">
        <v>0</v>
      </c>
      <c r="P416" t="n">
        <v>0</v>
      </c>
      <c r="Q416" t="n">
        <v>2</v>
      </c>
      <c r="R416" t="n">
        <v>0</v>
      </c>
      <c r="S416" t="n">
        <v>4</v>
      </c>
      <c r="T416" t="n">
        <v>4</v>
      </c>
      <c r="U416" t="n">
        <v>4</v>
      </c>
      <c r="V416" s="2" t="inlineStr">
        <is>
          <t>Grönsångare
Tallticka
Björksplintborre
Spillkråka</t>
        </is>
      </c>
      <c r="W416">
        <f>HYPERLINK("https://klasma.github.io/Logging_0883/artfynd/A 25010-2026 artfynd.xlsx", "A 25010-2026")</f>
        <v/>
      </c>
      <c r="X416">
        <f>HYPERLINK("https://klasma.github.io/Logging_0883/kartor/A 25010-2026 karta.png", "A 25010-2026")</f>
        <v/>
      </c>
      <c r="Y416">
        <f>HYPERLINK("https://klasma.github.io/Logging_0883/kartor_geotiff/A 25010-2026 georefererad karta.tif", "A 25010-2026")</f>
        <v/>
      </c>
      <c r="AA416">
        <f>HYPERLINK("https://klasma.github.io/Logging_0883/klagomål/A 25010-2026 FSC-klagomål.docx", "A 25010-2026")</f>
        <v/>
      </c>
      <c r="AB416">
        <f>HYPERLINK("https://klasma.github.io/Logging_0883/klagomålsmail/A 25010-2026 FSC-klagomål mail.docx", "A 25010-2026")</f>
        <v/>
      </c>
      <c r="AC416">
        <f>HYPERLINK("https://klasma.github.io/Logging_0883/tillsyn/A 25010-2026 tillsynsbegäran.docx", "A 25010-2026")</f>
        <v/>
      </c>
      <c r="AD416">
        <f>HYPERLINK("https://klasma.github.io/Logging_0883/tillsynsmail/A 25010-2026 tillsynsbegäran mail.docx", "A 25010-2026")</f>
        <v/>
      </c>
      <c r="AE416">
        <f>HYPERLINK("https://klasma.github.io/Logging_0883/fåglar/A 25010-2026 prioriterade fågelarter.docx", "A 25010-2026")</f>
        <v/>
      </c>
    </row>
    <row r="417" ht="15" customHeight="1">
      <c r="A417" t="inlineStr">
        <is>
          <t>A 25079-2026</t>
        </is>
      </c>
      <c r="B417" t="inlineStr">
        <is>
          <t>avverkningsanmälan</t>
        </is>
      </c>
      <c r="C417" t="inlineStr">
        <is>
          <t>Föryngringsavverkning</t>
        </is>
      </c>
      <c r="D417" s="1" t="n">
        <v>46174</v>
      </c>
      <c r="E417" s="1" t="n">
        <v>46323</v>
      </c>
      <c r="F417" t="inlineStr">
        <is>
          <t>KALMAR LÄN</t>
        </is>
      </c>
      <c r="G417" t="inlineStr">
        <is>
          <t>NYBRO</t>
        </is>
      </c>
      <c r="I417" t="n">
        <v>3.3</v>
      </c>
      <c r="J417" t="n">
        <v>3</v>
      </c>
      <c r="K417" t="n">
        <v>1</v>
      </c>
      <c r="L417" t="n">
        <v>1</v>
      </c>
      <c r="M417" t="n">
        <v>0</v>
      </c>
      <c r="N417" t="n">
        <v>0</v>
      </c>
      <c r="O417" t="n">
        <v>0</v>
      </c>
      <c r="P417" t="n">
        <v>0</v>
      </c>
      <c r="Q417" t="n">
        <v>1</v>
      </c>
      <c r="R417" t="n">
        <v>0</v>
      </c>
      <c r="S417" t="n">
        <v>4</v>
      </c>
      <c r="T417" t="n">
        <v>7</v>
      </c>
      <c r="U417" t="n">
        <v>0</v>
      </c>
      <c r="V417" s="2" t="inlineStr">
        <is>
          <t>Talltita
Vågbandad barkbock
Kungsfågel
Skogsödla</t>
        </is>
      </c>
      <c r="W417">
        <f>HYPERLINK("https://klasma.github.io/Logging_0881/artfynd/A 25079-2026 artfynd.xlsx", "A 25079-2026")</f>
        <v/>
      </c>
      <c r="X417">
        <f>HYPERLINK("https://klasma.github.io/Logging_0881/kartor/A 25079-2026 karta.png", "A 25079-2026")</f>
        <v/>
      </c>
      <c r="Y417">
        <f>HYPERLINK("https://klasma.github.io/Logging_0881/kartor_geotiff/A 25079-2026 georefererad karta.tif", "A 25079-2026")</f>
        <v/>
      </c>
      <c r="AA417">
        <f>HYPERLINK("https://klasma.github.io/Logging_0881/klagomål/A 25079-2026 FSC-klagomål.docx", "A 25079-2026")</f>
        <v/>
      </c>
      <c r="AB417">
        <f>HYPERLINK("https://klasma.github.io/Logging_0881/klagomålsmail/A 25079-2026 FSC-klagomål mail.docx", "A 25079-2026")</f>
        <v/>
      </c>
      <c r="AC417">
        <f>HYPERLINK("https://klasma.github.io/Logging_0881/tillsyn/A 25079-2026 tillsynsbegäran.docx", "A 25079-2026")</f>
        <v/>
      </c>
      <c r="AD417">
        <f>HYPERLINK("https://klasma.github.io/Logging_0881/tillsynsmail/A 25079-2026 tillsynsbegäran mail.docx", "A 25079-2026")</f>
        <v/>
      </c>
      <c r="AE417">
        <f>HYPERLINK("https://klasma.github.io/Logging_0881/fåglar/A 25079-2026 prioriterade fågelarter.docx", "A 25079-2026")</f>
        <v/>
      </c>
    </row>
    <row r="418" ht="15" customHeight="1">
      <c r="A418" t="inlineStr">
        <is>
          <t>A 10781-2025</t>
        </is>
      </c>
      <c r="B418" t="inlineStr">
        <is>
          <t>avverkningsanmälan</t>
        </is>
      </c>
      <c r="C418" t="inlineStr">
        <is>
          <t>Föryngringsavverkning</t>
        </is>
      </c>
      <c r="D418" s="1" t="n">
        <v>45722</v>
      </c>
      <c r="E418" s="1" t="n">
        <v>46323</v>
      </c>
      <c r="F418" t="inlineStr">
        <is>
          <t>KALMAR LÄN</t>
        </is>
      </c>
      <c r="G418" t="inlineStr">
        <is>
          <t>VÄSTERVIK</t>
        </is>
      </c>
      <c r="I418" t="n">
        <v>2.8</v>
      </c>
      <c r="J418" t="n">
        <v>3</v>
      </c>
      <c r="K418" t="n">
        <v>1</v>
      </c>
      <c r="L418" t="n">
        <v>1</v>
      </c>
      <c r="M418" t="n">
        <v>0</v>
      </c>
      <c r="N418" t="n">
        <v>0</v>
      </c>
      <c r="O418" t="n">
        <v>0</v>
      </c>
      <c r="P418" t="n">
        <v>0</v>
      </c>
      <c r="Q418" t="n">
        <v>1</v>
      </c>
      <c r="R418" t="n">
        <v>0</v>
      </c>
      <c r="S418" t="n">
        <v>4</v>
      </c>
      <c r="T418" t="n">
        <v>4</v>
      </c>
      <c r="U418" t="n">
        <v>4</v>
      </c>
      <c r="V418" s="2" t="inlineStr">
        <is>
          <t>Talltita
Grovticka
Spillkråka
Kungsfågel</t>
        </is>
      </c>
      <c r="W418">
        <f>HYPERLINK("https://klasma.github.io/Logging_0883/artfynd/A 10781-2025 artfynd.xlsx", "A 10781-2025")</f>
        <v/>
      </c>
      <c r="X418">
        <f>HYPERLINK("https://klasma.github.io/Logging_0883/kartor/A 10781-2025 karta.png", "A 10781-2025")</f>
        <v/>
      </c>
      <c r="Y418">
        <f>HYPERLINK("https://klasma.github.io/Logging_0883/kartor_geotiff/A 10781-2025 georefererad karta.tif", "A 10781-2025")</f>
        <v/>
      </c>
      <c r="AA418">
        <f>HYPERLINK("https://klasma.github.io/Logging_0883/klagomål/A 10781-2025 FSC-klagomål.docx", "A 10781-2025")</f>
        <v/>
      </c>
      <c r="AB418">
        <f>HYPERLINK("https://klasma.github.io/Logging_0883/klagomålsmail/A 10781-2025 FSC-klagomål mail.docx", "A 10781-2025")</f>
        <v/>
      </c>
      <c r="AC418">
        <f>HYPERLINK("https://klasma.github.io/Logging_0883/tillsyn/A 10781-2025 tillsynsbegäran.docx", "A 10781-2025")</f>
        <v/>
      </c>
      <c r="AD418">
        <f>HYPERLINK("https://klasma.github.io/Logging_0883/tillsynsmail/A 10781-2025 tillsynsbegäran mail.docx", "A 10781-2025")</f>
        <v/>
      </c>
      <c r="AE418">
        <f>HYPERLINK("https://klasma.github.io/Logging_0883/fåglar/A 10781-2025 prioriterade fågelarter.docx", "A 10781-2025")</f>
        <v/>
      </c>
    </row>
    <row r="419" ht="15" customHeight="1">
      <c r="A419" t="inlineStr">
        <is>
          <t>A 6472-2025</t>
        </is>
      </c>
      <c r="B419" t="inlineStr">
        <is>
          <t>avverkningsanmälan</t>
        </is>
      </c>
      <c r="C419" t="inlineStr">
        <is>
          <t>Föryngringsavverkning</t>
        </is>
      </c>
      <c r="D419" s="1" t="n">
        <v>45699</v>
      </c>
      <c r="E419" s="1" t="n">
        <v>46323</v>
      </c>
      <c r="F419" t="inlineStr">
        <is>
          <t>KALMAR LÄN</t>
        </is>
      </c>
      <c r="G419" t="inlineStr">
        <is>
          <t>VÄSTERVIK</t>
        </is>
      </c>
      <c r="H419" t="inlineStr">
        <is>
          <t>Holmen skog AB</t>
        </is>
      </c>
      <c r="I419" t="n">
        <v>4.3</v>
      </c>
      <c r="J419" t="n">
        <v>4</v>
      </c>
      <c r="K419" t="n">
        <v>0</v>
      </c>
      <c r="L419" t="n">
        <v>1</v>
      </c>
      <c r="M419" t="n">
        <v>0</v>
      </c>
      <c r="N419" t="n">
        <v>0</v>
      </c>
      <c r="O419" t="n">
        <v>0</v>
      </c>
      <c r="P419" t="n">
        <v>0</v>
      </c>
      <c r="Q419" t="n">
        <v>1</v>
      </c>
      <c r="R419" t="n">
        <v>0</v>
      </c>
      <c r="S419" t="n">
        <v>4</v>
      </c>
      <c r="T419" t="n">
        <v>5</v>
      </c>
      <c r="U419" t="n">
        <v>5</v>
      </c>
      <c r="V419" s="2" t="inlineStr">
        <is>
          <t>Talltita
Spillkråka
Kungsfågel
Revlummer</t>
        </is>
      </c>
      <c r="W419">
        <f>HYPERLINK("https://klasma.github.io/Logging_0883/artfynd/A 6472-2025 artfynd.xlsx", "A 6472-2025")</f>
        <v/>
      </c>
      <c r="X419">
        <f>HYPERLINK("https://klasma.github.io/Logging_0883/kartor/A 6472-2025 karta.png", "A 6472-2025")</f>
        <v/>
      </c>
      <c r="Y419">
        <f>HYPERLINK("https://klasma.github.io/Logging_0883/kartor_geotiff/A 6472-2025 georefererad karta.tif", "A 6472-2025")</f>
        <v/>
      </c>
      <c r="AA419">
        <f>HYPERLINK("https://klasma.github.io/Logging_0883/klagomål/A 6472-2025 FSC-klagomål.docx", "A 6472-2025")</f>
        <v/>
      </c>
      <c r="AB419">
        <f>HYPERLINK("https://klasma.github.io/Logging_0883/klagomålsmail/A 6472-2025 FSC-klagomål mail.docx", "A 6472-2025")</f>
        <v/>
      </c>
      <c r="AC419">
        <f>HYPERLINK("https://klasma.github.io/Logging_0883/tillsyn/A 6472-2025 tillsynsbegäran.docx", "A 6472-2025")</f>
        <v/>
      </c>
      <c r="AD419">
        <f>HYPERLINK("https://klasma.github.io/Logging_0883/tillsynsmail/A 6472-2025 tillsynsbegäran mail.docx", "A 6472-2025")</f>
        <v/>
      </c>
      <c r="AE419">
        <f>HYPERLINK("https://klasma.github.io/Logging_0883/fåglar/A 6472-2025 prioriterade fågelarter.docx", "A 6472-2025")</f>
        <v/>
      </c>
    </row>
    <row r="420" ht="15" customHeight="1">
      <c r="A420" t="inlineStr">
        <is>
          <t>A 26772-2026</t>
        </is>
      </c>
      <c r="B420" t="inlineStr">
        <is>
          <t>avverkningsanmälan</t>
        </is>
      </c>
      <c r="C420" t="inlineStr">
        <is>
          <t>Föryngringsavverkning</t>
        </is>
      </c>
      <c r="D420" s="1" t="n">
        <v>46184</v>
      </c>
      <c r="E420" s="1" t="n">
        <v>46323</v>
      </c>
      <c r="F420" t="inlineStr">
        <is>
          <t>KALMAR LÄN</t>
        </is>
      </c>
      <c r="G420" t="inlineStr">
        <is>
          <t>HÖGSBY</t>
        </is>
      </c>
      <c r="H420" t="inlineStr">
        <is>
          <t>Sveaskog</t>
        </is>
      </c>
      <c r="I420" t="n">
        <v>7.8</v>
      </c>
      <c r="J420" t="n">
        <v>2</v>
      </c>
      <c r="K420" t="n">
        <v>1</v>
      </c>
      <c r="L420" t="n">
        <v>2</v>
      </c>
      <c r="M420" t="n">
        <v>0</v>
      </c>
      <c r="N420" t="n">
        <v>0</v>
      </c>
      <c r="O420" t="n">
        <v>0</v>
      </c>
      <c r="P420" t="n">
        <v>0</v>
      </c>
      <c r="Q420" t="n">
        <v>2</v>
      </c>
      <c r="R420" t="n">
        <v>0</v>
      </c>
      <c r="S420" t="n">
        <v>4</v>
      </c>
      <c r="T420" t="n">
        <v>4</v>
      </c>
      <c r="U420" t="n">
        <v>0</v>
      </c>
      <c r="V420" s="2" t="inlineStr">
        <is>
          <t>Talltita
Vårärt
Vanlig flatbagge
Blåsippa</t>
        </is>
      </c>
      <c r="W420">
        <f>HYPERLINK("https://klasma.github.io/Logging_0821/artfynd/A 26772-2026 artfynd.xlsx", "A 26772-2026")</f>
        <v/>
      </c>
      <c r="X420">
        <f>HYPERLINK("https://klasma.github.io/Logging_0821/kartor/A 26772-2026 karta.png", "A 26772-2026")</f>
        <v/>
      </c>
      <c r="Y420">
        <f>HYPERLINK("https://klasma.github.io/Logging_0821/kartor_geotiff/A 26772-2026 georefererad karta.tif", "A 26772-2026")</f>
        <v/>
      </c>
      <c r="AA420">
        <f>HYPERLINK("https://klasma.github.io/Logging_0821/klagomål/A 26772-2026 FSC-klagomål.docx", "A 26772-2026")</f>
        <v/>
      </c>
      <c r="AB420">
        <f>HYPERLINK("https://klasma.github.io/Logging_0821/klagomålsmail/A 26772-2026 FSC-klagomål mail.docx", "A 26772-2026")</f>
        <v/>
      </c>
      <c r="AC420">
        <f>HYPERLINK("https://klasma.github.io/Logging_0821/tillsyn/A 26772-2026 tillsynsbegäran.docx", "A 26772-2026")</f>
        <v/>
      </c>
      <c r="AD420">
        <f>HYPERLINK("https://klasma.github.io/Logging_0821/tillsynsmail/A 26772-2026 tillsynsbegäran mail.docx", "A 26772-2026")</f>
        <v/>
      </c>
      <c r="AE420">
        <f>HYPERLINK("https://klasma.github.io/Logging_0821/fåglar/A 26772-2026 prioriterade fågelarter.docx", "A 26772-2026")</f>
        <v/>
      </c>
    </row>
    <row r="421" ht="15" customHeight="1">
      <c r="A421" t="inlineStr">
        <is>
          <t>A 27290-2026</t>
        </is>
      </c>
      <c r="B421" t="inlineStr">
        <is>
          <t>avverkningsanmälan</t>
        </is>
      </c>
      <c r="C421" t="inlineStr">
        <is>
          <t>Avverkning för att bevara och utveckla /försöksver</t>
        </is>
      </c>
      <c r="D421" s="1" t="n">
        <v>46188</v>
      </c>
      <c r="E421" s="1" t="n">
        <v>46323</v>
      </c>
      <c r="F421" t="inlineStr">
        <is>
          <t>KALMAR LÄN</t>
        </is>
      </c>
      <c r="G421" t="inlineStr">
        <is>
          <t>BORGHOLM</t>
        </is>
      </c>
      <c r="H421" t="inlineStr">
        <is>
          <t>Sveaskog</t>
        </is>
      </c>
      <c r="I421" t="n">
        <v>4.1</v>
      </c>
      <c r="J421" t="n">
        <v>2</v>
      </c>
      <c r="K421" t="n">
        <v>1</v>
      </c>
      <c r="L421" t="n">
        <v>0</v>
      </c>
      <c r="M421" t="n">
        <v>1</v>
      </c>
      <c r="N421" t="n">
        <v>1</v>
      </c>
      <c r="O421" t="n">
        <v>0</v>
      </c>
      <c r="P421" t="n">
        <v>0</v>
      </c>
      <c r="Q421" t="n">
        <v>2</v>
      </c>
      <c r="R421" t="n">
        <v>2</v>
      </c>
      <c r="S421" t="n">
        <v>4</v>
      </c>
      <c r="T421" t="n">
        <v>4</v>
      </c>
      <c r="U421" t="n">
        <v>0</v>
      </c>
      <c r="V421" s="2" t="inlineStr">
        <is>
          <t>Ask
Gotlandsmåra
Skogsknipprot
Havsörn</t>
        </is>
      </c>
      <c r="W421">
        <f>HYPERLINK("https://klasma.github.io/Logging_0885/artfynd/A 27290-2026 artfynd.xlsx", "A 27290-2026")</f>
        <v/>
      </c>
      <c r="X421">
        <f>HYPERLINK("https://klasma.github.io/Logging_0885/kartor/A 27290-2026 karta.png", "A 27290-2026")</f>
        <v/>
      </c>
      <c r="Y421">
        <f>HYPERLINK("https://klasma.github.io/Logging_0885/kartor_geotiff/A 27290-2026 georefererad karta.tif", "A 27290-2026")</f>
        <v/>
      </c>
      <c r="AA421">
        <f>HYPERLINK("https://klasma.github.io/Logging_0885/klagomål/A 27290-2026 FSC-klagomål.docx", "A 27290-2026")</f>
        <v/>
      </c>
      <c r="AB421">
        <f>HYPERLINK("https://klasma.github.io/Logging_0885/klagomålsmail/A 27290-2026 FSC-klagomål mail.docx", "A 27290-2026")</f>
        <v/>
      </c>
      <c r="AC421">
        <f>HYPERLINK("https://klasma.github.io/Logging_0885/tillsyn/A 27290-2026 tillsynsbegäran.docx", "A 27290-2026")</f>
        <v/>
      </c>
      <c r="AD421">
        <f>HYPERLINK("https://klasma.github.io/Logging_0885/tillsynsmail/A 27290-2026 tillsynsbegäran mail.docx", "A 27290-2026")</f>
        <v/>
      </c>
      <c r="AE421">
        <f>HYPERLINK("https://klasma.github.io/Logging_0885/fåglar/A 27290-2026 prioriterade fågelarter.docx", "A 27290-2026")</f>
        <v/>
      </c>
    </row>
    <row r="422" ht="15" customHeight="1">
      <c r="A422" t="inlineStr">
        <is>
          <t>S 3173-2022</t>
        </is>
      </c>
      <c r="B422" t="inlineStr">
        <is>
          <t>samrådsanmälan</t>
        </is>
      </c>
      <c r="C422" t="inlineStr">
        <is>
          <t>Åtgärd i nyckelbiotop</t>
        </is>
      </c>
      <c r="D422" s="1" t="n">
        <v>44722</v>
      </c>
      <c r="E422" s="1" t="n">
        <v>46323</v>
      </c>
      <c r="F422" t="inlineStr">
        <is>
          <t>KALMAR LÄN</t>
        </is>
      </c>
      <c r="G422" t="inlineStr">
        <is>
          <t>TORSÅS</t>
        </is>
      </c>
      <c r="I422" t="n">
        <v>8.5</v>
      </c>
      <c r="J422" t="n">
        <v>1</v>
      </c>
      <c r="K422" t="n">
        <v>0</v>
      </c>
      <c r="L422" t="n">
        <v>1</v>
      </c>
      <c r="M422" t="n">
        <v>1</v>
      </c>
      <c r="N422" t="n">
        <v>2</v>
      </c>
      <c r="O422" t="n">
        <v>0</v>
      </c>
      <c r="P422" t="n">
        <v>0</v>
      </c>
      <c r="Q422" t="n">
        <v>4</v>
      </c>
      <c r="R422" t="n">
        <v>3</v>
      </c>
      <c r="S422" t="n">
        <v>4</v>
      </c>
      <c r="T422" t="n">
        <v>5</v>
      </c>
      <c r="U422" t="n">
        <v>2</v>
      </c>
      <c r="V422" s="2" t="inlineStr">
        <is>
          <t>Ask
Kattmynta
Stortimjan
Sumpviol</t>
        </is>
      </c>
      <c r="W422">
        <f>HYPERLINK("https://klasma.github.io/Logging_0834/artfynd/S 3173-2022 artfynd.xlsx", "S 3173-2022")</f>
        <v/>
      </c>
      <c r="X422">
        <f>HYPERLINK("https://klasma.github.io/Logging_0834/kartor/S 3173-2022 karta.png", "S 3173-2022")</f>
        <v/>
      </c>
      <c r="Y422">
        <f>HYPERLINK("https://klasma.github.io/Logging_0834/kartor_geotiff/S 3173-2022 georefererad karta.tif", "S 3173-2022")</f>
        <v/>
      </c>
      <c r="AA422">
        <f>HYPERLINK("https://klasma.github.io/Logging_0834/klagomål/S 3173-2022 FSC-klagomål.docx", "S 3173-2022")</f>
        <v/>
      </c>
      <c r="AB422">
        <f>HYPERLINK("https://klasma.github.io/Logging_0834/klagomålsmail/S 3173-2022 FSC-klagomål mail.docx", "S 3173-2022")</f>
        <v/>
      </c>
      <c r="AC422">
        <f>HYPERLINK("https://klasma.github.io/Logging_0834/tillsyn/S 3173-2022 tillsynsbegäran.docx", "S 3173-2022")</f>
        <v/>
      </c>
      <c r="AD422">
        <f>HYPERLINK("https://klasma.github.io/Logging_0834/tillsynsmail/S 3173-2022 tillsynsbegäran mail.docx", "S 3173-2022")</f>
        <v/>
      </c>
    </row>
    <row r="423" ht="15" customHeight="1">
      <c r="A423" t="inlineStr">
        <is>
          <t>S 2740-2022</t>
        </is>
      </c>
      <c r="B423" t="inlineStr">
        <is>
          <t>samrådsanmälan</t>
        </is>
      </c>
      <c r="C423" t="inlineStr">
        <is>
          <t>Annan skogsbruksåtgärd</t>
        </is>
      </c>
      <c r="D423" s="1" t="n">
        <v>44704</v>
      </c>
      <c r="E423" s="1" t="n">
        <v>46323</v>
      </c>
      <c r="F423" t="inlineStr">
        <is>
          <t>KALMAR LÄN</t>
        </is>
      </c>
      <c r="G423" t="inlineStr">
        <is>
          <t>BORGHOLM</t>
        </is>
      </c>
      <c r="I423" t="n">
        <v>4.4</v>
      </c>
      <c r="J423" t="n">
        <v>3</v>
      </c>
      <c r="K423" t="n">
        <v>1</v>
      </c>
      <c r="L423" t="n">
        <v>1</v>
      </c>
      <c r="M423" t="n">
        <v>0</v>
      </c>
      <c r="N423" t="n">
        <v>1</v>
      </c>
      <c r="O423" t="n">
        <v>0</v>
      </c>
      <c r="P423" t="n">
        <v>0</v>
      </c>
      <c r="Q423" t="n">
        <v>2</v>
      </c>
      <c r="R423" t="n">
        <v>1</v>
      </c>
      <c r="S423" t="n">
        <v>4</v>
      </c>
      <c r="T423" t="n">
        <v>25</v>
      </c>
      <c r="U423" t="n">
        <v>25</v>
      </c>
      <c r="V423" s="2" t="inlineStr">
        <is>
          <t>Ask
Nordfladdermus
Ekoxe
Vanlig padda</t>
        </is>
      </c>
      <c r="W423">
        <f>HYPERLINK("https://klasma.github.io/Logging_0885/artfynd/S 2740-2022 artfynd.xlsx", "S 2740-2022")</f>
        <v/>
      </c>
      <c r="X423">
        <f>HYPERLINK("https://klasma.github.io/Logging_0885/kartor/S 2740-2022 karta.png", "S 2740-2022")</f>
        <v/>
      </c>
      <c r="Y423">
        <f>HYPERLINK("https://klasma.github.io/Logging_0885/kartor_geotiff/S 2740-2022 georefererad karta.tif", "S 2740-2022")</f>
        <v/>
      </c>
      <c r="AA423">
        <f>HYPERLINK("https://klasma.github.io/Logging_0885/klagomål/S 2740-2022 FSC-klagomål.docx", "S 2740-2022")</f>
        <v/>
      </c>
      <c r="AB423">
        <f>HYPERLINK("https://klasma.github.io/Logging_0885/klagomålsmail/S 2740-2022 FSC-klagomål mail.docx", "S 2740-2022")</f>
        <v/>
      </c>
      <c r="AC423">
        <f>HYPERLINK("https://klasma.github.io/Logging_0885/tillsyn/S 2740-2022 tillsynsbegäran.docx", "S 2740-2022")</f>
        <v/>
      </c>
      <c r="AD423">
        <f>HYPERLINK("https://klasma.github.io/Logging_0885/tillsynsmail/S 2740-2022 tillsynsbegäran mail.docx", "S 2740-2022")</f>
        <v/>
      </c>
    </row>
    <row r="424" ht="15" customHeight="1">
      <c r="A424" t="inlineStr">
        <is>
          <t>S 558-2022</t>
        </is>
      </c>
      <c r="B424" t="inlineStr">
        <is>
          <t>samrådsanmälan</t>
        </is>
      </c>
      <c r="C424" t="inlineStr">
        <is>
          <t>Askåterföring</t>
        </is>
      </c>
      <c r="D424" s="1" t="n">
        <v>44592</v>
      </c>
      <c r="E424" s="1" t="n">
        <v>46323</v>
      </c>
      <c r="F424" t="inlineStr">
        <is>
          <t>KALMAR LÄN</t>
        </is>
      </c>
      <c r="G424" t="inlineStr">
        <is>
          <t>NYBRO</t>
        </is>
      </c>
      <c r="I424" t="n">
        <v>16</v>
      </c>
      <c r="J424" t="n">
        <v>3</v>
      </c>
      <c r="K424" t="n">
        <v>0</v>
      </c>
      <c r="L424" t="n">
        <v>0</v>
      </c>
      <c r="M424" t="n">
        <v>0</v>
      </c>
      <c r="N424" t="n">
        <v>0</v>
      </c>
      <c r="O424" t="n">
        <v>0</v>
      </c>
      <c r="P424" t="n">
        <v>0</v>
      </c>
      <c r="Q424" t="n">
        <v>0</v>
      </c>
      <c r="R424" t="n">
        <v>0</v>
      </c>
      <c r="S424" t="n">
        <v>4</v>
      </c>
      <c r="T424" t="n">
        <v>4</v>
      </c>
      <c r="U424" t="n">
        <v>3</v>
      </c>
      <c r="V424" s="2" t="inlineStr">
        <is>
          <t>Stjärnstarr
Röd glada
Vanlig snok
Revlummer</t>
        </is>
      </c>
      <c r="W424">
        <f>HYPERLINK("https://klasma.github.io/Logging_0881/artfynd/S 558-2022 artfynd.xlsx", "S 558-2022")</f>
        <v/>
      </c>
      <c r="X424">
        <f>HYPERLINK("https://klasma.github.io/Logging_0881/kartor/S 558-2022 karta.png", "S 558-2022")</f>
        <v/>
      </c>
      <c r="Y424">
        <f>HYPERLINK("https://klasma.github.io/Logging_0881/kartor_geotiff/S 558-2022 georefererad karta.tif", "S 558-2022")</f>
        <v/>
      </c>
      <c r="AA424">
        <f>HYPERLINK("https://klasma.github.io/Logging_0881/klagomål/S 558-2022 FSC-klagomål.docx", "S 558-2022")</f>
        <v/>
      </c>
      <c r="AB424">
        <f>HYPERLINK("https://klasma.github.io/Logging_0881/klagomålsmail/S 558-2022 FSC-klagomål mail.docx", "S 558-2022")</f>
        <v/>
      </c>
      <c r="AC424">
        <f>HYPERLINK("https://klasma.github.io/Logging_0881/tillsyn/S 558-2022 tillsynsbegäran.docx", "S 558-2022")</f>
        <v/>
      </c>
      <c r="AD424">
        <f>HYPERLINK("https://klasma.github.io/Logging_0881/tillsynsmail/S 558-2022 tillsynsbegäran mail.docx", "S 558-2022")</f>
        <v/>
      </c>
      <c r="AE424">
        <f>HYPERLINK("https://klasma.github.io/Logging_0881/fåglar/S 558-2022 prioriterade fågelarter.docx", "S 558-2022")</f>
        <v/>
      </c>
    </row>
    <row r="425" ht="15" customHeight="1">
      <c r="A425" t="inlineStr">
        <is>
          <t>S 2742-2022</t>
        </is>
      </c>
      <c r="B425" t="inlineStr">
        <is>
          <t>samrådsanmälan</t>
        </is>
      </c>
      <c r="C425" t="inlineStr">
        <is>
          <t>Annan skogsbruksåtgärd</t>
        </is>
      </c>
      <c r="D425" s="1" t="n">
        <v>44704</v>
      </c>
      <c r="E425" s="1" t="n">
        <v>46323</v>
      </c>
      <c r="F425" t="inlineStr">
        <is>
          <t>KALMAR LÄN</t>
        </is>
      </c>
      <c r="G425" t="inlineStr">
        <is>
          <t>BORGHOLM</t>
        </is>
      </c>
      <c r="I425" t="n">
        <v>3.1</v>
      </c>
      <c r="J425" t="n">
        <v>1</v>
      </c>
      <c r="K425" t="n">
        <v>1</v>
      </c>
      <c r="L425" t="n">
        <v>1</v>
      </c>
      <c r="M425" t="n">
        <v>0</v>
      </c>
      <c r="N425" t="n">
        <v>2</v>
      </c>
      <c r="O425" t="n">
        <v>0</v>
      </c>
      <c r="P425" t="n">
        <v>0</v>
      </c>
      <c r="Q425" t="n">
        <v>3</v>
      </c>
      <c r="R425" t="n">
        <v>2</v>
      </c>
      <c r="S425" t="n">
        <v>4</v>
      </c>
      <c r="T425" t="n">
        <v>14</v>
      </c>
      <c r="U425" t="n">
        <v>13</v>
      </c>
      <c r="V425" s="2" t="inlineStr">
        <is>
          <t>Ask
Skogsalm
Vårärt
Ekoxe</t>
        </is>
      </c>
      <c r="W425">
        <f>HYPERLINK("https://klasma.github.io/Logging_0885/artfynd/S 2742-2022 artfynd.xlsx", "S 2742-2022")</f>
        <v/>
      </c>
      <c r="X425">
        <f>HYPERLINK("https://klasma.github.io/Logging_0885/kartor/S 2742-2022 karta.png", "S 2742-2022")</f>
        <v/>
      </c>
      <c r="Y425">
        <f>HYPERLINK("https://klasma.github.io/Logging_0885/kartor_geotiff/S 2742-2022 georefererad karta.tif", "S 2742-2022")</f>
        <v/>
      </c>
      <c r="AA425">
        <f>HYPERLINK("https://klasma.github.io/Logging_0885/klagomål/S 2742-2022 FSC-klagomål.docx", "S 2742-2022")</f>
        <v/>
      </c>
      <c r="AB425">
        <f>HYPERLINK("https://klasma.github.io/Logging_0885/klagomålsmail/S 2742-2022 FSC-klagomål mail.docx", "S 2742-2022")</f>
        <v/>
      </c>
      <c r="AC425">
        <f>HYPERLINK("https://klasma.github.io/Logging_0885/tillsyn/S 2742-2022 tillsynsbegäran.docx", "S 2742-2022")</f>
        <v/>
      </c>
      <c r="AD425">
        <f>HYPERLINK("https://klasma.github.io/Logging_0885/tillsynsmail/S 2742-2022 tillsynsbegäran mail.docx", "S 2742-2022")</f>
        <v/>
      </c>
    </row>
    <row r="426" ht="15" customHeight="1">
      <c r="A426" t="inlineStr">
        <is>
          <t>S 681-2022</t>
        </is>
      </c>
      <c r="B426" t="inlineStr">
        <is>
          <t>samrådsanmälan</t>
        </is>
      </c>
      <c r="C426" t="inlineStr">
        <is>
          <t>Askåterföring</t>
        </is>
      </c>
      <c r="D426" s="1" t="n">
        <v>44595</v>
      </c>
      <c r="E426" s="1" t="n">
        <v>46323</v>
      </c>
      <c r="F426" t="inlineStr">
        <is>
          <t>KALMAR LÄN</t>
        </is>
      </c>
      <c r="G426" t="inlineStr">
        <is>
          <t>KALMAR</t>
        </is>
      </c>
      <c r="I426" t="n">
        <v>11.8</v>
      </c>
      <c r="J426" t="n">
        <v>3</v>
      </c>
      <c r="K426" t="n">
        <v>0</v>
      </c>
      <c r="L426" t="n">
        <v>2</v>
      </c>
      <c r="M426" t="n">
        <v>0</v>
      </c>
      <c r="N426" t="n">
        <v>0</v>
      </c>
      <c r="O426" t="n">
        <v>0</v>
      </c>
      <c r="P426" t="n">
        <v>0</v>
      </c>
      <c r="Q426" t="n">
        <v>2</v>
      </c>
      <c r="R426" t="n">
        <v>0</v>
      </c>
      <c r="S426" t="n">
        <v>4</v>
      </c>
      <c r="T426" t="n">
        <v>4</v>
      </c>
      <c r="U426" t="n">
        <v>0</v>
      </c>
      <c r="V426" s="2" t="inlineStr">
        <is>
          <t>Motaggsvamp
Talltita
Spillkråka
Tjäder</t>
        </is>
      </c>
      <c r="W426">
        <f>HYPERLINK("https://klasma.github.io/Logging_0880/artfynd/S 681-2022 artfynd.xlsx", "S 681-2022")</f>
        <v/>
      </c>
      <c r="X426">
        <f>HYPERLINK("https://klasma.github.io/Logging_0880/kartor/S 681-2022 karta.png", "S 681-2022")</f>
        <v/>
      </c>
      <c r="Y426">
        <f>HYPERLINK("https://klasma.github.io/Logging_0880/kartor_geotiff/S 681-2022 georefererad karta.tif", "S 681-2022")</f>
        <v/>
      </c>
      <c r="AA426">
        <f>HYPERLINK("https://klasma.github.io/Logging_0880/klagomål/S 681-2022 FSC-klagomål.docx", "S 681-2022")</f>
        <v/>
      </c>
      <c r="AB426">
        <f>HYPERLINK("https://klasma.github.io/Logging_0880/klagomålsmail/S 681-2022 FSC-klagomål mail.docx", "S 681-2022")</f>
        <v/>
      </c>
      <c r="AC426">
        <f>HYPERLINK("https://klasma.github.io/Logging_0880/tillsyn/S 681-2022 tillsynsbegäran.docx", "S 681-2022")</f>
        <v/>
      </c>
      <c r="AD426">
        <f>HYPERLINK("https://klasma.github.io/Logging_0880/tillsynsmail/S 681-2022 tillsynsbegäran mail.docx", "S 681-2022")</f>
        <v/>
      </c>
      <c r="AE426">
        <f>HYPERLINK("https://klasma.github.io/Logging_0880/fåglar/S 681-2022 prioriterade fågelarter.docx", "S 681-2022")</f>
        <v/>
      </c>
    </row>
    <row r="427" ht="15" customHeight="1">
      <c r="A427" t="inlineStr">
        <is>
          <t>S 1343-2022</t>
        </is>
      </c>
      <c r="B427" t="inlineStr">
        <is>
          <t>samrådsanmälan</t>
        </is>
      </c>
      <c r="C427" t="inlineStr">
        <is>
          <t>Åtgärd i nyckelbiotop</t>
        </is>
      </c>
      <c r="D427" s="1" t="n">
        <v>44628</v>
      </c>
      <c r="E427" s="1" t="n">
        <v>46323</v>
      </c>
      <c r="F427" t="inlineStr">
        <is>
          <t>KALMAR LÄN</t>
        </is>
      </c>
      <c r="G427" t="inlineStr">
        <is>
          <t>NYBRO</t>
        </is>
      </c>
      <c r="I427" t="n">
        <v>2.3</v>
      </c>
      <c r="J427" t="n">
        <v>0</v>
      </c>
      <c r="K427" t="n">
        <v>2</v>
      </c>
      <c r="L427" t="n">
        <v>2</v>
      </c>
      <c r="M427" t="n">
        <v>0</v>
      </c>
      <c r="N427" t="n">
        <v>0</v>
      </c>
      <c r="O427" t="n">
        <v>0</v>
      </c>
      <c r="P427" t="n">
        <v>0</v>
      </c>
      <c r="Q427" t="n">
        <v>2</v>
      </c>
      <c r="R427" t="n">
        <v>0</v>
      </c>
      <c r="S427" t="n">
        <v>4</v>
      </c>
      <c r="T427" t="n">
        <v>4</v>
      </c>
      <c r="U427" t="n">
        <v>2</v>
      </c>
      <c r="V427" s="2" t="inlineStr">
        <is>
          <t>Gråbrun ängsfingersvamp
Skruvbusksvamp
Hasselticka
Vätteros</t>
        </is>
      </c>
      <c r="W427">
        <f>HYPERLINK("https://klasma.github.io/Logging_0881/artfynd/S 1343-2022 artfynd.xlsx", "S 1343-2022")</f>
        <v/>
      </c>
      <c r="X427">
        <f>HYPERLINK("https://klasma.github.io/Logging_0881/kartor/S 1343-2022 karta.png", "S 1343-2022")</f>
        <v/>
      </c>
      <c r="Y427">
        <f>HYPERLINK("https://klasma.github.io/Logging_0881/kartor_geotiff/S 1343-2022 georefererad karta.tif", "S 1343-2022")</f>
        <v/>
      </c>
      <c r="AA427">
        <f>HYPERLINK("https://klasma.github.io/Logging_0881/klagomål/S 1343-2022 FSC-klagomål.docx", "S 1343-2022")</f>
        <v/>
      </c>
      <c r="AB427">
        <f>HYPERLINK("https://klasma.github.io/Logging_0881/klagomålsmail/S 1343-2022 FSC-klagomål mail.docx", "S 1343-2022")</f>
        <v/>
      </c>
      <c r="AC427">
        <f>HYPERLINK("https://klasma.github.io/Logging_0881/tillsyn/S 1343-2022 tillsynsbegäran.docx", "S 1343-2022")</f>
        <v/>
      </c>
      <c r="AD427">
        <f>HYPERLINK("https://klasma.github.io/Logging_0881/tillsynsmail/S 1343-2022 tillsynsbegäran mail.docx", "S 1343-2022")</f>
        <v/>
      </c>
    </row>
    <row r="428" ht="15" customHeight="1">
      <c r="A428" t="inlineStr">
        <is>
          <t>S 4850-2024</t>
        </is>
      </c>
      <c r="B428" t="inlineStr">
        <is>
          <t>samrådsanmälan</t>
        </is>
      </c>
      <c r="C428" t="inlineStr">
        <is>
          <t>Askåterföring</t>
        </is>
      </c>
      <c r="D428" s="1" t="n">
        <v>45616</v>
      </c>
      <c r="E428" s="1" t="n">
        <v>46323</v>
      </c>
      <c r="F428" t="inlineStr">
        <is>
          <t>KALMAR LÄN</t>
        </is>
      </c>
      <c r="G428" t="inlineStr">
        <is>
          <t>EMMABODA</t>
        </is>
      </c>
      <c r="I428" t="n">
        <v>60.9</v>
      </c>
      <c r="J428" t="n">
        <v>2</v>
      </c>
      <c r="K428" t="n">
        <v>1</v>
      </c>
      <c r="L428" t="n">
        <v>0</v>
      </c>
      <c r="M428" t="n">
        <v>1</v>
      </c>
      <c r="N428" t="n">
        <v>0</v>
      </c>
      <c r="O428" t="n">
        <v>0</v>
      </c>
      <c r="P428" t="n">
        <v>0</v>
      </c>
      <c r="Q428" t="n">
        <v>1</v>
      </c>
      <c r="R428" t="n">
        <v>1</v>
      </c>
      <c r="S428" t="n">
        <v>4</v>
      </c>
      <c r="T428" t="n">
        <v>4</v>
      </c>
      <c r="U428" t="n">
        <v>4</v>
      </c>
      <c r="V428" s="2" t="inlineStr">
        <is>
          <t>Slåttergubbe
Grönpyrola
Lopplummer (aggregat)
Revlummer</t>
        </is>
      </c>
      <c r="W428">
        <f>HYPERLINK("https://klasma.github.io/Logging_0862/artfynd/S 4850-2024 artfynd.xlsx", "S 4850-2024")</f>
        <v/>
      </c>
      <c r="X428">
        <f>HYPERLINK("https://klasma.github.io/Logging_0862/kartor/S 4850-2024 karta.png", "S 4850-2024")</f>
        <v/>
      </c>
      <c r="Y428">
        <f>HYPERLINK("https://klasma.github.io/Logging_0862/kartor_geotiff/S 4850-2024 georefererad karta.tif", "S 4850-2024")</f>
        <v/>
      </c>
      <c r="AA428">
        <f>HYPERLINK("https://klasma.github.io/Logging_0862/klagomål/S 4850-2024 FSC-klagomål.docx", "S 4850-2024")</f>
        <v/>
      </c>
      <c r="AB428">
        <f>HYPERLINK("https://klasma.github.io/Logging_0862/klagomålsmail/S 4850-2024 FSC-klagomål mail.docx", "S 4850-2024")</f>
        <v/>
      </c>
      <c r="AC428">
        <f>HYPERLINK("https://klasma.github.io/Logging_0862/tillsyn/S 4850-2024 tillsynsbegäran.docx", "S 4850-2024")</f>
        <v/>
      </c>
      <c r="AD428">
        <f>HYPERLINK("https://klasma.github.io/Logging_0862/tillsynsmail/S 4850-2024 tillsynsbegäran mail.docx", "S 4850-2024")</f>
        <v/>
      </c>
    </row>
    <row r="429" ht="15" customHeight="1">
      <c r="A429" t="inlineStr">
        <is>
          <t>S 1557-2023</t>
        </is>
      </c>
      <c r="B429" t="inlineStr">
        <is>
          <t>samrådsanmälan</t>
        </is>
      </c>
      <c r="C429" t="inlineStr">
        <is>
          <t>Annan skogsbruksåtgärd</t>
        </is>
      </c>
      <c r="D429" s="1" t="n">
        <v>45055</v>
      </c>
      <c r="E429" s="1" t="n">
        <v>46323</v>
      </c>
      <c r="F429" t="inlineStr">
        <is>
          <t>KALMAR LÄN</t>
        </is>
      </c>
      <c r="G429" t="inlineStr">
        <is>
          <t>VÄSTERVIK</t>
        </is>
      </c>
      <c r="H429" t="inlineStr">
        <is>
          <t>Kommuner</t>
        </is>
      </c>
      <c r="I429" t="n">
        <v>2.9</v>
      </c>
      <c r="J429" t="n">
        <v>1</v>
      </c>
      <c r="K429" t="n">
        <v>1</v>
      </c>
      <c r="L429" t="n">
        <v>2</v>
      </c>
      <c r="M429" t="n">
        <v>0</v>
      </c>
      <c r="N429" t="n">
        <v>0</v>
      </c>
      <c r="O429" t="n">
        <v>0</v>
      </c>
      <c r="P429" t="n">
        <v>0</v>
      </c>
      <c r="Q429" t="n">
        <v>2</v>
      </c>
      <c r="R429" t="n">
        <v>0</v>
      </c>
      <c r="S429" t="n">
        <v>4</v>
      </c>
      <c r="T429" t="n">
        <v>9</v>
      </c>
      <c r="U429" t="n">
        <v>5</v>
      </c>
      <c r="V429" s="2" t="inlineStr">
        <is>
          <t>Ekticka
Sprengelsbjörnbär
Lundvårlök
Havsörn</t>
        </is>
      </c>
      <c r="W429">
        <f>HYPERLINK("https://klasma.github.io/Logging_0883/artfynd/S 1557-2023 artfynd.xlsx", "S 1557-2023")</f>
        <v/>
      </c>
      <c r="X429">
        <f>HYPERLINK("https://klasma.github.io/Logging_0883/kartor/S 1557-2023 karta.png", "S 1557-2023")</f>
        <v/>
      </c>
      <c r="Y429">
        <f>HYPERLINK("https://klasma.github.io/Logging_0883/kartor_geotiff/S 1557-2023 georefererad karta.tif", "S 1557-2023")</f>
        <v/>
      </c>
      <c r="AA429">
        <f>HYPERLINK("https://klasma.github.io/Logging_0883/klagomål/S 1557-2023 FSC-klagomål.docx", "S 1557-2023")</f>
        <v/>
      </c>
      <c r="AB429">
        <f>HYPERLINK("https://klasma.github.io/Logging_0883/klagomålsmail/S 1557-2023 FSC-klagomål mail.docx", "S 1557-2023")</f>
        <v/>
      </c>
      <c r="AC429">
        <f>HYPERLINK("https://klasma.github.io/Logging_0883/tillsyn/S 1557-2023 tillsynsbegäran.docx", "S 1557-2023")</f>
        <v/>
      </c>
      <c r="AD429">
        <f>HYPERLINK("https://klasma.github.io/Logging_0883/tillsynsmail/S 1557-2023 tillsynsbegäran mail.docx", "S 1557-2023")</f>
        <v/>
      </c>
      <c r="AE429">
        <f>HYPERLINK("https://klasma.github.io/Logging_0883/fåglar/S 1557-2023 prioriterade fågelarter.docx", "S 1557-2023")</f>
        <v/>
      </c>
    </row>
    <row r="430" ht="15" customHeight="1">
      <c r="A430" t="inlineStr">
        <is>
          <t>S 2816-2024</t>
        </is>
      </c>
      <c r="B430" t="inlineStr">
        <is>
          <t>samrådsanmälan</t>
        </is>
      </c>
      <c r="C430" t="inlineStr">
        <is>
          <t>Askåterföring</t>
        </is>
      </c>
      <c r="D430" s="1" t="n">
        <v>45490</v>
      </c>
      <c r="E430" s="1" t="n">
        <v>46323</v>
      </c>
      <c r="F430" t="inlineStr">
        <is>
          <t>KALMAR LÄN</t>
        </is>
      </c>
      <c r="G430" t="inlineStr">
        <is>
          <t>MÖNSTERÅS</t>
        </is>
      </c>
      <c r="I430" t="n">
        <v>11.5</v>
      </c>
      <c r="J430" t="n">
        <v>4</v>
      </c>
      <c r="K430" t="n">
        <v>0</v>
      </c>
      <c r="L430" t="n">
        <v>2</v>
      </c>
      <c r="M430" t="n">
        <v>0</v>
      </c>
      <c r="N430" t="n">
        <v>0</v>
      </c>
      <c r="O430" t="n">
        <v>0</v>
      </c>
      <c r="P430" t="n">
        <v>0</v>
      </c>
      <c r="Q430" t="n">
        <v>2</v>
      </c>
      <c r="R430" t="n">
        <v>0</v>
      </c>
      <c r="S430" t="n">
        <v>4</v>
      </c>
      <c r="T430" t="n">
        <v>4</v>
      </c>
      <c r="U430" t="n">
        <v>0</v>
      </c>
      <c r="V430" s="2" t="inlineStr">
        <is>
          <t>Barbastell
Nordfladdermus
Dvärgpipistrell
Större brunfladdermus</t>
        </is>
      </c>
      <c r="W430">
        <f>HYPERLINK("https://klasma.github.io/Logging_0861/artfynd/S 2816-2024 artfynd.xlsx", "S 2816-2024")</f>
        <v/>
      </c>
      <c r="X430">
        <f>HYPERLINK("https://klasma.github.io/Logging_0861/kartor/S 2816-2024 karta.png", "S 2816-2024")</f>
        <v/>
      </c>
      <c r="Y430">
        <f>HYPERLINK("https://klasma.github.io/Logging_0861/kartor_geotiff/S 2816-2024 georefererad karta.tif", "S 2816-2024")</f>
        <v/>
      </c>
      <c r="AA430">
        <f>HYPERLINK("https://klasma.github.io/Logging_0861/klagomål/S 2816-2024 FSC-klagomål.docx", "S 2816-2024")</f>
        <v/>
      </c>
      <c r="AB430">
        <f>HYPERLINK("https://klasma.github.io/Logging_0861/klagomålsmail/S 2816-2024 FSC-klagomål mail.docx", "S 2816-2024")</f>
        <v/>
      </c>
      <c r="AC430">
        <f>HYPERLINK("https://klasma.github.io/Logging_0861/tillsyn/S 2816-2024 tillsynsbegäran.docx", "S 2816-2024")</f>
        <v/>
      </c>
      <c r="AD430">
        <f>HYPERLINK("https://klasma.github.io/Logging_0861/tillsynsmail/S 2816-2024 tillsynsbegäran mail.docx", "S 2816-2024")</f>
        <v/>
      </c>
    </row>
    <row r="431" ht="15" customHeight="1">
      <c r="A431" t="inlineStr">
        <is>
          <t>S 989-2023</t>
        </is>
      </c>
      <c r="B431" t="inlineStr">
        <is>
          <t>samrådsanmälan</t>
        </is>
      </c>
      <c r="C431" t="inlineStr">
        <is>
          <t>Askåterföring</t>
        </is>
      </c>
      <c r="D431" s="1" t="n">
        <v>45006</v>
      </c>
      <c r="E431" s="1" t="n">
        <v>46323</v>
      </c>
      <c r="F431" t="inlineStr">
        <is>
          <t>KALMAR LÄN</t>
        </is>
      </c>
      <c r="G431" t="inlineStr">
        <is>
          <t>VIMMERBY</t>
        </is>
      </c>
      <c r="I431" t="n">
        <v>62</v>
      </c>
      <c r="J431" t="n">
        <v>2</v>
      </c>
      <c r="K431" t="n">
        <v>1</v>
      </c>
      <c r="L431" t="n">
        <v>1</v>
      </c>
      <c r="M431" t="n">
        <v>1</v>
      </c>
      <c r="N431" t="n">
        <v>0</v>
      </c>
      <c r="O431" t="n">
        <v>0</v>
      </c>
      <c r="P431" t="n">
        <v>0</v>
      </c>
      <c r="Q431" t="n">
        <v>2</v>
      </c>
      <c r="R431" t="n">
        <v>1</v>
      </c>
      <c r="S431" t="n">
        <v>4</v>
      </c>
      <c r="T431" t="n">
        <v>9</v>
      </c>
      <c r="U431" t="n">
        <v>0</v>
      </c>
      <c r="V431" s="2" t="inlineStr">
        <is>
          <t>Knärot
Ullticka
Mindre märgborre
Spillkråka</t>
        </is>
      </c>
      <c r="W431">
        <f>HYPERLINK("https://klasma.github.io/Logging_0884/artfynd/S 989-2023 artfynd.xlsx", "S 989-2023")</f>
        <v/>
      </c>
      <c r="X431">
        <f>HYPERLINK("https://klasma.github.io/Logging_0884/kartor/S 989-2023 karta.png", "S 989-2023")</f>
        <v/>
      </c>
      <c r="Y431">
        <f>HYPERLINK("https://klasma.github.io/Logging_0884/kartor_geotiff/S 989-2023 georefererad karta.tif", "S 989-2023")</f>
        <v/>
      </c>
      <c r="Z431">
        <f>HYPERLINK("https://klasma.github.io/Logging_0884/knärot/S 989-2023 karta knärot.png", "S 989-2023")</f>
        <v/>
      </c>
      <c r="AA431">
        <f>HYPERLINK("https://klasma.github.io/Logging_0884/klagomål/S 989-2023 FSC-klagomål.docx", "S 989-2023")</f>
        <v/>
      </c>
      <c r="AB431">
        <f>HYPERLINK("https://klasma.github.io/Logging_0884/klagomålsmail/S 989-2023 FSC-klagomål mail.docx", "S 989-2023")</f>
        <v/>
      </c>
      <c r="AC431">
        <f>HYPERLINK("https://klasma.github.io/Logging_0884/tillsyn/S 989-2023 tillsynsbegäran.docx", "S 989-2023")</f>
        <v/>
      </c>
      <c r="AD431">
        <f>HYPERLINK("https://klasma.github.io/Logging_0884/tillsynsmail/S 989-2023 tillsynsbegäran mail.docx", "S 989-2023")</f>
        <v/>
      </c>
      <c r="AE431">
        <f>HYPERLINK("https://klasma.github.io/Logging_0884/fåglar/S 989-2023 prioriterade fågelarter.docx", "S 989-2023")</f>
        <v/>
      </c>
    </row>
    <row r="432" ht="15" customHeight="1">
      <c r="A432" t="inlineStr">
        <is>
          <t>S 5571-2022</t>
        </is>
      </c>
      <c r="B432" t="inlineStr">
        <is>
          <t>samrådsanmälan</t>
        </is>
      </c>
      <c r="C432" t="inlineStr">
        <is>
          <t>Annan skogsbruksåtgärd</t>
        </is>
      </c>
      <c r="D432" s="1" t="n">
        <v>44838</v>
      </c>
      <c r="E432" s="1" t="n">
        <v>46323</v>
      </c>
      <c r="F432" t="inlineStr">
        <is>
          <t>KALMAR LÄN</t>
        </is>
      </c>
      <c r="G432" t="inlineStr">
        <is>
          <t>OSKARSHAMN</t>
        </is>
      </c>
      <c r="I432" t="n">
        <v>0.9</v>
      </c>
      <c r="J432" t="n">
        <v>2</v>
      </c>
      <c r="K432" t="n">
        <v>1</v>
      </c>
      <c r="L432" t="n">
        <v>1</v>
      </c>
      <c r="M432" t="n">
        <v>0</v>
      </c>
      <c r="N432" t="n">
        <v>0</v>
      </c>
      <c r="O432" t="n">
        <v>0</v>
      </c>
      <c r="P432" t="n">
        <v>0</v>
      </c>
      <c r="Q432" t="n">
        <v>1</v>
      </c>
      <c r="R432" t="n">
        <v>0</v>
      </c>
      <c r="S432" t="n">
        <v>4</v>
      </c>
      <c r="T432" t="n">
        <v>4</v>
      </c>
      <c r="U432" t="n">
        <v>3</v>
      </c>
      <c r="V432" s="2" t="inlineStr">
        <is>
          <t>Ullticka
Brandticka
Spillkråka
Kungsfågel</t>
        </is>
      </c>
      <c r="W432">
        <f>HYPERLINK("https://klasma.github.io/Logging_0882/artfynd/S 5571-2022 artfynd.xlsx", "S 5571-2022")</f>
        <v/>
      </c>
      <c r="X432">
        <f>HYPERLINK("https://klasma.github.io/Logging_0882/kartor/S 5571-2022 karta.png", "S 5571-2022")</f>
        <v/>
      </c>
      <c r="Y432">
        <f>HYPERLINK("https://klasma.github.io/Logging_0882/kartor_geotiff/S 5571-2022 georefererad karta.tif", "S 5571-2022")</f>
        <v/>
      </c>
      <c r="AA432">
        <f>HYPERLINK("https://klasma.github.io/Logging_0882/klagomål/S 5571-2022 FSC-klagomål.docx", "S 5571-2022")</f>
        <v/>
      </c>
      <c r="AB432">
        <f>HYPERLINK("https://klasma.github.io/Logging_0882/klagomålsmail/S 5571-2022 FSC-klagomål mail.docx", "S 5571-2022")</f>
        <v/>
      </c>
      <c r="AC432">
        <f>HYPERLINK("https://klasma.github.io/Logging_0882/tillsyn/S 5571-2022 tillsynsbegäran.docx", "S 5571-2022")</f>
        <v/>
      </c>
      <c r="AD432">
        <f>HYPERLINK("https://klasma.github.io/Logging_0882/tillsynsmail/S 5571-2022 tillsynsbegäran mail.docx", "S 5571-2022")</f>
        <v/>
      </c>
      <c r="AE432">
        <f>HYPERLINK("https://klasma.github.io/Logging_0882/fåglar/S 5571-2022 prioriterade fågelarter.docx", "S 5571-2022")</f>
        <v/>
      </c>
    </row>
    <row r="433" ht="15" customHeight="1">
      <c r="A433" t="inlineStr">
        <is>
          <t>S 1609-2023</t>
        </is>
      </c>
      <c r="B433" t="inlineStr">
        <is>
          <t>samrådsanmälan</t>
        </is>
      </c>
      <c r="C433" t="inlineStr">
        <is>
          <t>Askåterföring</t>
        </is>
      </c>
      <c r="D433" s="1" t="n">
        <v>45056</v>
      </c>
      <c r="E433" s="1" t="n">
        <v>46323</v>
      </c>
      <c r="F433" t="inlineStr">
        <is>
          <t>KALMAR LÄN</t>
        </is>
      </c>
      <c r="G433" t="inlineStr">
        <is>
          <t>NYBRO</t>
        </is>
      </c>
      <c r="I433" t="n">
        <v>10.3</v>
      </c>
      <c r="J433" t="n">
        <v>3</v>
      </c>
      <c r="K433" t="n">
        <v>1</v>
      </c>
      <c r="L433" t="n">
        <v>1</v>
      </c>
      <c r="M433" t="n">
        <v>0</v>
      </c>
      <c r="N433" t="n">
        <v>0</v>
      </c>
      <c r="O433" t="n">
        <v>0</v>
      </c>
      <c r="P433" t="n">
        <v>0</v>
      </c>
      <c r="Q433" t="n">
        <v>1</v>
      </c>
      <c r="R433" t="n">
        <v>0</v>
      </c>
      <c r="S433" t="n">
        <v>4</v>
      </c>
      <c r="T433" t="n">
        <v>5</v>
      </c>
      <c r="U433" t="n">
        <v>5</v>
      </c>
      <c r="V433" s="2" t="inlineStr">
        <is>
          <t>Talltita
Vågbandad barkbock
Kråka
Kungsfågel</t>
        </is>
      </c>
      <c r="W433">
        <f>HYPERLINK("https://klasma.github.io/Logging_0881/artfynd/S 1609-2023 artfynd.xlsx", "S 1609-2023")</f>
        <v/>
      </c>
      <c r="X433">
        <f>HYPERLINK("https://klasma.github.io/Logging_0881/kartor/S 1609-2023 karta.png", "S 1609-2023")</f>
        <v/>
      </c>
      <c r="Y433">
        <f>HYPERLINK("https://klasma.github.io/Logging_0881/kartor_geotiff/S 1609-2023 georefererad karta.tif", "S 1609-2023")</f>
        <v/>
      </c>
      <c r="AA433">
        <f>HYPERLINK("https://klasma.github.io/Logging_0881/klagomål/S 1609-2023 FSC-klagomål.docx", "S 1609-2023")</f>
        <v/>
      </c>
      <c r="AB433">
        <f>HYPERLINK("https://klasma.github.io/Logging_0881/klagomålsmail/S 1609-2023 FSC-klagomål mail.docx", "S 1609-2023")</f>
        <v/>
      </c>
      <c r="AC433">
        <f>HYPERLINK("https://klasma.github.io/Logging_0881/tillsyn/S 1609-2023 tillsynsbegäran.docx", "S 1609-2023")</f>
        <v/>
      </c>
      <c r="AD433">
        <f>HYPERLINK("https://klasma.github.io/Logging_0881/tillsynsmail/S 1609-2023 tillsynsbegäran mail.docx", "S 1609-2023")</f>
        <v/>
      </c>
      <c r="AE433">
        <f>HYPERLINK("https://klasma.github.io/Logging_0881/fåglar/S 1609-2023 prioriterade fågelarter.docx", "S 1609-2023")</f>
        <v/>
      </c>
    </row>
    <row r="434" ht="15" customHeight="1">
      <c r="A434" t="inlineStr">
        <is>
          <t>S 3032-2025</t>
        </is>
      </c>
      <c r="B434" t="inlineStr">
        <is>
          <t>samrådsanmälan</t>
        </is>
      </c>
      <c r="C434" t="inlineStr">
        <is>
          <t>Annan skogsbruksåtgärd</t>
        </is>
      </c>
      <c r="D434" s="1" t="n">
        <v>45961</v>
      </c>
      <c r="E434" s="1" t="n">
        <v>46323</v>
      </c>
      <c r="F434" t="inlineStr">
        <is>
          <t>KALMAR LÄN</t>
        </is>
      </c>
      <c r="G434" t="inlineStr">
        <is>
          <t>VÄSTERVIK</t>
        </is>
      </c>
      <c r="H434" t="inlineStr">
        <is>
          <t>Sveaskog</t>
        </is>
      </c>
      <c r="I434" t="n">
        <v>4.9</v>
      </c>
      <c r="J434" t="n">
        <v>1</v>
      </c>
      <c r="K434" t="n">
        <v>2</v>
      </c>
      <c r="L434" t="n">
        <v>1</v>
      </c>
      <c r="M434" t="n">
        <v>0</v>
      </c>
      <c r="N434" t="n">
        <v>0</v>
      </c>
      <c r="O434" t="n">
        <v>0</v>
      </c>
      <c r="P434" t="n">
        <v>0</v>
      </c>
      <c r="Q434" t="n">
        <v>1</v>
      </c>
      <c r="R434" t="n">
        <v>0</v>
      </c>
      <c r="S434" t="n">
        <v>4</v>
      </c>
      <c r="T434" t="n">
        <v>4</v>
      </c>
      <c r="U434" t="n">
        <v>0</v>
      </c>
      <c r="V434" s="2" t="inlineStr">
        <is>
          <t>Vårärt
Fällmossa
Platt fjädermossa
Blåsippa</t>
        </is>
      </c>
      <c r="W434">
        <f>HYPERLINK("https://klasma.github.io/Logging_0883/artfynd/S 3032-2025 artfynd.xlsx", "S 3032-2025")</f>
        <v/>
      </c>
      <c r="X434">
        <f>HYPERLINK("https://klasma.github.io/Logging_0883/kartor/S 3032-2025 karta.png", "S 3032-2025")</f>
        <v/>
      </c>
      <c r="Y434">
        <f>HYPERLINK("https://klasma.github.io/Logging_0883/kartor_geotiff/S 3032-2025 georefererad karta.tif", "S 3032-2025")</f>
        <v/>
      </c>
      <c r="AA434">
        <f>HYPERLINK("https://klasma.github.io/Logging_0883/klagomål/S 3032-2025 FSC-klagomål.docx", "S 3032-2025")</f>
        <v/>
      </c>
      <c r="AB434">
        <f>HYPERLINK("https://klasma.github.io/Logging_0883/klagomålsmail/S 3032-2025 FSC-klagomål mail.docx", "S 3032-2025")</f>
        <v/>
      </c>
      <c r="AC434">
        <f>HYPERLINK("https://klasma.github.io/Logging_0883/tillsyn/S 3032-2025 tillsynsbegäran.docx", "S 3032-2025")</f>
        <v/>
      </c>
      <c r="AD434">
        <f>HYPERLINK("https://klasma.github.io/Logging_0883/tillsynsmail/S 3032-2025 tillsynsbegäran mail.docx", "S 3032-2025")</f>
        <v/>
      </c>
    </row>
    <row r="435" ht="15" customHeight="1">
      <c r="A435" t="inlineStr">
        <is>
          <t>A 32640-2022</t>
        </is>
      </c>
      <c r="B435" t="inlineStr">
        <is>
          <t>avverkningsanmälan</t>
        </is>
      </c>
      <c r="C435" t="inlineStr">
        <is>
          <t>Avverkning för att bevara och utveckla /försöksver</t>
        </is>
      </c>
      <c r="D435" s="1" t="n">
        <v>44783</v>
      </c>
      <c r="E435" s="1" t="n">
        <v>46323</v>
      </c>
      <c r="F435" t="inlineStr">
        <is>
          <t>KALMAR LÄN</t>
        </is>
      </c>
      <c r="G435" t="inlineStr">
        <is>
          <t>BORGHOLM</t>
        </is>
      </c>
      <c r="H435" t="inlineStr">
        <is>
          <t>Sveaskog</t>
        </is>
      </c>
      <c r="I435" t="n">
        <v>1.2</v>
      </c>
      <c r="J435" t="n">
        <v>0</v>
      </c>
      <c r="K435" t="n">
        <v>3</v>
      </c>
      <c r="L435" t="n">
        <v>0</v>
      </c>
      <c r="M435" t="n">
        <v>0</v>
      </c>
      <c r="N435" t="n">
        <v>0</v>
      </c>
      <c r="O435" t="n">
        <v>0</v>
      </c>
      <c r="P435" t="n">
        <v>0</v>
      </c>
      <c r="Q435" t="n">
        <v>0</v>
      </c>
      <c r="R435" t="n">
        <v>0</v>
      </c>
      <c r="S435" t="n">
        <v>3</v>
      </c>
      <c r="T435" t="n">
        <v>3</v>
      </c>
      <c r="U435" t="n">
        <v>3</v>
      </c>
      <c r="V435" s="2" t="inlineStr">
        <is>
          <t>Kornknutmossa
Murgröna
Svart trolldruva</t>
        </is>
      </c>
      <c r="W435">
        <f>HYPERLINK("https://klasma.github.io/Logging_0885/artfynd/A 32640-2022 artfynd.xlsx", "A 32640-2022")</f>
        <v/>
      </c>
      <c r="X435">
        <f>HYPERLINK("https://klasma.github.io/Logging_0885/kartor/A 32640-2022 karta.png", "A 32640-2022")</f>
        <v/>
      </c>
      <c r="Y435">
        <f>HYPERLINK("https://klasma.github.io/Logging_0885/kartor_geotiff/A 32640-2022 georefererad karta.tif", "A 32640-2022")</f>
        <v/>
      </c>
      <c r="AA435">
        <f>HYPERLINK("https://klasma.github.io/Logging_0885/klagomål/A 32640-2022 FSC-klagomål.docx", "A 32640-2022")</f>
        <v/>
      </c>
      <c r="AB435">
        <f>HYPERLINK("https://klasma.github.io/Logging_0885/klagomålsmail/A 32640-2022 FSC-klagomål mail.docx", "A 32640-2022")</f>
        <v/>
      </c>
      <c r="AC435">
        <f>HYPERLINK("https://klasma.github.io/Logging_0885/tillsyn/A 32640-2022 tillsynsbegäran.docx", "A 32640-2022")</f>
        <v/>
      </c>
      <c r="AD435">
        <f>HYPERLINK("https://klasma.github.io/Logging_0885/tillsynsmail/A 32640-2022 tillsynsbegäran mail.docx", "A 32640-2022")</f>
        <v/>
      </c>
    </row>
    <row r="436" ht="15" customHeight="1">
      <c r="A436" t="inlineStr">
        <is>
          <t>A 48263-2022</t>
        </is>
      </c>
      <c r="B436" t="inlineStr">
        <is>
          <t>avverkningsanmälan</t>
        </is>
      </c>
      <c r="C436" t="inlineStr">
        <is>
          <t>Föryngringsavverkning</t>
        </is>
      </c>
      <c r="D436" s="1" t="n">
        <v>44853</v>
      </c>
      <c r="E436" s="1" t="n">
        <v>46323</v>
      </c>
      <c r="F436" t="inlineStr">
        <is>
          <t>KALMAR LÄN</t>
        </is>
      </c>
      <c r="G436" t="inlineStr">
        <is>
          <t>HÖGSBY</t>
        </is>
      </c>
      <c r="I436" t="n">
        <v>8.199999999999999</v>
      </c>
      <c r="J436" t="n">
        <v>3</v>
      </c>
      <c r="K436" t="n">
        <v>0</v>
      </c>
      <c r="L436" t="n">
        <v>1</v>
      </c>
      <c r="M436" t="n">
        <v>0</v>
      </c>
      <c r="N436" t="n">
        <v>0</v>
      </c>
      <c r="O436" t="n">
        <v>0</v>
      </c>
      <c r="P436" t="n">
        <v>0</v>
      </c>
      <c r="Q436" t="n">
        <v>1</v>
      </c>
      <c r="R436" t="n">
        <v>0</v>
      </c>
      <c r="S436" t="n">
        <v>3</v>
      </c>
      <c r="T436" t="n">
        <v>4</v>
      </c>
      <c r="U436" t="n">
        <v>4</v>
      </c>
      <c r="V436" s="2" t="inlineStr">
        <is>
          <t>Talltita
Spillkråka
Kungsfågel</t>
        </is>
      </c>
      <c r="W436">
        <f>HYPERLINK("https://klasma.github.io/Logging_0821/artfynd/A 48263-2022 artfynd.xlsx", "A 48263-2022")</f>
        <v/>
      </c>
      <c r="X436">
        <f>HYPERLINK("https://klasma.github.io/Logging_0821/kartor/A 48263-2022 karta.png", "A 48263-2022")</f>
        <v/>
      </c>
      <c r="Y436">
        <f>HYPERLINK("https://klasma.github.io/Logging_0821/kartor_geotiff/A 48263-2022 georefererad karta.tif", "A 48263-2022")</f>
        <v/>
      </c>
      <c r="AA436">
        <f>HYPERLINK("https://klasma.github.io/Logging_0821/klagomål/A 48263-2022 FSC-klagomål.docx", "A 48263-2022")</f>
        <v/>
      </c>
      <c r="AB436">
        <f>HYPERLINK("https://klasma.github.io/Logging_0821/klagomålsmail/A 48263-2022 FSC-klagomål mail.docx", "A 48263-2022")</f>
        <v/>
      </c>
      <c r="AC436">
        <f>HYPERLINK("https://klasma.github.io/Logging_0821/tillsyn/A 48263-2022 tillsynsbegäran.docx", "A 48263-2022")</f>
        <v/>
      </c>
      <c r="AD436">
        <f>HYPERLINK("https://klasma.github.io/Logging_0821/tillsynsmail/A 48263-2022 tillsynsbegäran mail.docx", "A 48263-2022")</f>
        <v/>
      </c>
      <c r="AE436">
        <f>HYPERLINK("https://klasma.github.io/Logging_0821/fåglar/A 48263-2022 prioriterade fågelarter.docx", "A 48263-2022")</f>
        <v/>
      </c>
    </row>
    <row r="437" ht="15" customHeight="1">
      <c r="A437" t="inlineStr">
        <is>
          <t>A 41689-2022</t>
        </is>
      </c>
      <c r="B437" t="inlineStr">
        <is>
          <t>avverkningsanmälan</t>
        </is>
      </c>
      <c r="C437" t="inlineStr">
        <is>
          <t>Avverkning för annat ändamål</t>
        </is>
      </c>
      <c r="D437" s="1" t="n">
        <v>44827</v>
      </c>
      <c r="E437" s="1" t="n">
        <v>46323</v>
      </c>
      <c r="F437" t="inlineStr">
        <is>
          <t>KALMAR LÄN</t>
        </is>
      </c>
      <c r="G437" t="inlineStr">
        <is>
          <t>MÖNSTERÅS</t>
        </is>
      </c>
      <c r="I437" t="n">
        <v>0.1</v>
      </c>
      <c r="J437" t="n">
        <v>3</v>
      </c>
      <c r="K437" t="n">
        <v>0</v>
      </c>
      <c r="L437" t="n">
        <v>2</v>
      </c>
      <c r="M437" t="n">
        <v>0</v>
      </c>
      <c r="N437" t="n">
        <v>0</v>
      </c>
      <c r="O437" t="n">
        <v>0</v>
      </c>
      <c r="P437" t="n">
        <v>0</v>
      </c>
      <c r="Q437" t="n">
        <v>2</v>
      </c>
      <c r="R437" t="n">
        <v>0</v>
      </c>
      <c r="S437" t="n">
        <v>3</v>
      </c>
      <c r="T437" t="n">
        <v>3</v>
      </c>
      <c r="U437" t="n">
        <v>1</v>
      </c>
      <c r="V437" s="2" t="inlineStr">
        <is>
          <t>Barbastell
Nordfladdermus
Dvärgpipistrell</t>
        </is>
      </c>
      <c r="W437">
        <f>HYPERLINK("https://klasma.github.io/Logging_0861/artfynd/A 41689-2022 artfynd.xlsx", "A 41689-2022")</f>
        <v/>
      </c>
      <c r="X437">
        <f>HYPERLINK("https://klasma.github.io/Logging_0861/kartor/A 41689-2022 karta.png", "A 41689-2022")</f>
        <v/>
      </c>
      <c r="Y437">
        <f>HYPERLINK("https://klasma.github.io/Logging_0861/kartor_geotiff/A 41689-2022 georefererad karta.tif", "A 41689-2022")</f>
        <v/>
      </c>
      <c r="AA437">
        <f>HYPERLINK("https://klasma.github.io/Logging_0861/klagomål/A 41689-2022 FSC-klagomål.docx", "A 41689-2022")</f>
        <v/>
      </c>
      <c r="AB437">
        <f>HYPERLINK("https://klasma.github.io/Logging_0861/klagomålsmail/A 41689-2022 FSC-klagomål mail.docx", "A 41689-2022")</f>
        <v/>
      </c>
      <c r="AC437">
        <f>HYPERLINK("https://klasma.github.io/Logging_0861/tillsyn/A 41689-2022 tillsynsbegäran.docx", "A 41689-2022")</f>
        <v/>
      </c>
      <c r="AD437">
        <f>HYPERLINK("https://klasma.github.io/Logging_0861/tillsynsmail/A 41689-2022 tillsynsbegäran mail.docx", "A 41689-2022")</f>
        <v/>
      </c>
    </row>
    <row r="438" ht="15" customHeight="1">
      <c r="A438" t="inlineStr">
        <is>
          <t>A 21470-2022</t>
        </is>
      </c>
      <c r="B438" t="inlineStr">
        <is>
          <t>avverkningsanmälan</t>
        </is>
      </c>
      <c r="C438" t="inlineStr">
        <is>
          <t>Föryngringsavverkning</t>
        </is>
      </c>
      <c r="D438" s="1" t="n">
        <v>44706</v>
      </c>
      <c r="E438" s="1" t="n">
        <v>46323</v>
      </c>
      <c r="F438" t="inlineStr">
        <is>
          <t>KALMAR LÄN</t>
        </is>
      </c>
      <c r="G438" t="inlineStr">
        <is>
          <t>EMMABODA</t>
        </is>
      </c>
      <c r="I438" t="n">
        <v>0.7</v>
      </c>
      <c r="J438" t="n">
        <v>3</v>
      </c>
      <c r="K438" t="n">
        <v>0</v>
      </c>
      <c r="L438" t="n">
        <v>1</v>
      </c>
      <c r="M438" t="n">
        <v>0</v>
      </c>
      <c r="N438" t="n">
        <v>0</v>
      </c>
      <c r="O438" t="n">
        <v>0</v>
      </c>
      <c r="P438" t="n">
        <v>0</v>
      </c>
      <c r="Q438" t="n">
        <v>1</v>
      </c>
      <c r="R438" t="n">
        <v>0</v>
      </c>
      <c r="S438" t="n">
        <v>3</v>
      </c>
      <c r="T438" t="n">
        <v>3</v>
      </c>
      <c r="U438" t="n">
        <v>0</v>
      </c>
      <c r="V438" s="2" t="inlineStr">
        <is>
          <t>Sparvuggla
Tjäder
Orre</t>
        </is>
      </c>
      <c r="W438">
        <f>HYPERLINK("https://klasma.github.io/Logging_0862/artfynd/A 21470-2022 artfynd.xlsx", "A 21470-2022")</f>
        <v/>
      </c>
      <c r="X438">
        <f>HYPERLINK("https://klasma.github.io/Logging_0862/kartor/A 21470-2022 karta.png", "A 21470-2022")</f>
        <v/>
      </c>
      <c r="Y438">
        <f>HYPERLINK("https://klasma.github.io/Logging_0862/kartor_geotiff/A 21470-2022 georefererad karta.tif", "A 21470-2022")</f>
        <v/>
      </c>
      <c r="AA438">
        <f>HYPERLINK("https://klasma.github.io/Logging_0862/klagomål/A 21470-2022 FSC-klagomål.docx", "A 21470-2022")</f>
        <v/>
      </c>
      <c r="AB438">
        <f>HYPERLINK("https://klasma.github.io/Logging_0862/klagomålsmail/A 21470-2022 FSC-klagomål mail.docx", "A 21470-2022")</f>
        <v/>
      </c>
      <c r="AC438">
        <f>HYPERLINK("https://klasma.github.io/Logging_0862/tillsyn/A 21470-2022 tillsynsbegäran.docx", "A 21470-2022")</f>
        <v/>
      </c>
      <c r="AD438">
        <f>HYPERLINK("https://klasma.github.io/Logging_0862/tillsynsmail/A 21470-2022 tillsynsbegäran mail.docx", "A 21470-2022")</f>
        <v/>
      </c>
      <c r="AE438">
        <f>HYPERLINK("https://klasma.github.io/Logging_0862/fåglar/A 21470-2022 prioriterade fågelarter.docx", "A 21470-2022")</f>
        <v/>
      </c>
    </row>
    <row r="439" ht="15" customHeight="1">
      <c r="A439" t="inlineStr">
        <is>
          <t>A 5087-2022</t>
        </is>
      </c>
      <c r="B439" t="inlineStr">
        <is>
          <t>avverkningsanmälan</t>
        </is>
      </c>
      <c r="C439" t="inlineStr">
        <is>
          <t>Avverkning för annat ändamål</t>
        </is>
      </c>
      <c r="D439" s="1" t="n">
        <v>44593</v>
      </c>
      <c r="E439" s="1" t="n">
        <v>46323</v>
      </c>
      <c r="F439" t="inlineStr">
        <is>
          <t>KALMAR LÄN</t>
        </is>
      </c>
      <c r="G439" t="inlineStr">
        <is>
          <t>OSKARSHAMN</t>
        </is>
      </c>
      <c r="H439" t="inlineStr">
        <is>
          <t>Sveaskog</t>
        </is>
      </c>
      <c r="I439" t="n">
        <v>0.2</v>
      </c>
      <c r="J439" t="n">
        <v>3</v>
      </c>
      <c r="K439" t="n">
        <v>0</v>
      </c>
      <c r="L439" t="n">
        <v>1</v>
      </c>
      <c r="M439" t="n">
        <v>0</v>
      </c>
      <c r="N439" t="n">
        <v>0</v>
      </c>
      <c r="O439" t="n">
        <v>0</v>
      </c>
      <c r="P439" t="n">
        <v>0</v>
      </c>
      <c r="Q439" t="n">
        <v>1</v>
      </c>
      <c r="R439" t="n">
        <v>0</v>
      </c>
      <c r="S439" t="n">
        <v>3</v>
      </c>
      <c r="T439" t="n">
        <v>4</v>
      </c>
      <c r="U439" t="n">
        <v>4</v>
      </c>
      <c r="V439" s="2" t="inlineStr">
        <is>
          <t>Mindre hackspett
Dvärgpipistrell
Skogsduva</t>
        </is>
      </c>
      <c r="W439">
        <f>HYPERLINK("https://klasma.github.io/Logging_0882/artfynd/A 5087-2022 artfynd.xlsx", "A 5087-2022")</f>
        <v/>
      </c>
      <c r="X439">
        <f>HYPERLINK("https://klasma.github.io/Logging_0882/kartor/A 5087-2022 karta.png", "A 5087-2022")</f>
        <v/>
      </c>
      <c r="Y439">
        <f>HYPERLINK("https://klasma.github.io/Logging_0882/kartor_geotiff/A 5087-2022 georefererad karta.tif", "A 5087-2022")</f>
        <v/>
      </c>
      <c r="AA439">
        <f>HYPERLINK("https://klasma.github.io/Logging_0882/klagomål/A 5087-2022 FSC-klagomål.docx", "A 5087-2022")</f>
        <v/>
      </c>
      <c r="AB439">
        <f>HYPERLINK("https://klasma.github.io/Logging_0882/klagomålsmail/A 5087-2022 FSC-klagomål mail.docx", "A 5087-2022")</f>
        <v/>
      </c>
      <c r="AC439">
        <f>HYPERLINK("https://klasma.github.io/Logging_0882/tillsyn/A 5087-2022 tillsynsbegäran.docx", "A 5087-2022")</f>
        <v/>
      </c>
      <c r="AD439">
        <f>HYPERLINK("https://klasma.github.io/Logging_0882/tillsynsmail/A 5087-2022 tillsynsbegäran mail.docx", "A 5087-2022")</f>
        <v/>
      </c>
      <c r="AE439">
        <f>HYPERLINK("https://klasma.github.io/Logging_0882/fåglar/A 5087-2022 prioriterade fågelarter.docx", "A 5087-2022")</f>
        <v/>
      </c>
    </row>
    <row r="440" ht="15" customHeight="1">
      <c r="A440" t="inlineStr">
        <is>
          <t>A 23413-2023</t>
        </is>
      </c>
      <c r="B440" t="inlineStr">
        <is>
          <t>avverkningsanmälan</t>
        </is>
      </c>
      <c r="C440" t="inlineStr">
        <is>
          <t>Föryngringsavverkning</t>
        </is>
      </c>
      <c r="D440" s="1" t="n">
        <v>45076</v>
      </c>
      <c r="E440" s="1" t="n">
        <v>46323</v>
      </c>
      <c r="F440" t="inlineStr">
        <is>
          <t>KALMAR LÄN</t>
        </is>
      </c>
      <c r="G440" t="inlineStr">
        <is>
          <t>HÖGSBY</t>
        </is>
      </c>
      <c r="H440" t="inlineStr">
        <is>
          <t>Sveaskog</t>
        </is>
      </c>
      <c r="I440" t="n">
        <v>1.2</v>
      </c>
      <c r="J440" t="n">
        <v>0</v>
      </c>
      <c r="K440" t="n">
        <v>0</v>
      </c>
      <c r="L440" t="n">
        <v>2</v>
      </c>
      <c r="M440" t="n">
        <v>1</v>
      </c>
      <c r="N440" t="n">
        <v>0</v>
      </c>
      <c r="O440" t="n">
        <v>0</v>
      </c>
      <c r="P440" t="n">
        <v>0</v>
      </c>
      <c r="Q440" t="n">
        <v>3</v>
      </c>
      <c r="R440" t="n">
        <v>1</v>
      </c>
      <c r="S440" t="n">
        <v>3</v>
      </c>
      <c r="T440" t="n">
        <v>3</v>
      </c>
      <c r="U440" t="n">
        <v>0</v>
      </c>
      <c r="V440" s="2" t="inlineStr">
        <is>
          <t>Mindre bastardsvärmare
Spindelört
Spindelörtskinnbagge</t>
        </is>
      </c>
      <c r="W440">
        <f>HYPERLINK("https://klasma.github.io/Logging_0821/artfynd/A 23413-2023 artfynd.xlsx", "A 23413-2023")</f>
        <v/>
      </c>
      <c r="X440">
        <f>HYPERLINK("https://klasma.github.io/Logging_0821/kartor/A 23413-2023 karta.png", "A 23413-2023")</f>
        <v/>
      </c>
      <c r="Y440">
        <f>HYPERLINK("https://klasma.github.io/Logging_0821/kartor_geotiff/A 23413-2023 georefererad karta.tif", "A 23413-2023")</f>
        <v/>
      </c>
      <c r="AA440">
        <f>HYPERLINK("https://klasma.github.io/Logging_0821/klagomål/A 23413-2023 FSC-klagomål.docx", "A 23413-2023")</f>
        <v/>
      </c>
      <c r="AB440">
        <f>HYPERLINK("https://klasma.github.io/Logging_0821/klagomålsmail/A 23413-2023 FSC-klagomål mail.docx", "A 23413-2023")</f>
        <v/>
      </c>
      <c r="AC440">
        <f>HYPERLINK("https://klasma.github.io/Logging_0821/tillsyn/A 23413-2023 tillsynsbegäran.docx", "A 23413-2023")</f>
        <v/>
      </c>
      <c r="AD440">
        <f>HYPERLINK("https://klasma.github.io/Logging_0821/tillsynsmail/A 23413-2023 tillsynsbegäran mail.docx", "A 23413-2023")</f>
        <v/>
      </c>
    </row>
    <row r="441" ht="15" customHeight="1">
      <c r="A441" t="inlineStr">
        <is>
          <t>A 18881-2023</t>
        </is>
      </c>
      <c r="B441" t="inlineStr">
        <is>
          <t>avverkningsanmälan</t>
        </is>
      </c>
      <c r="C441" t="inlineStr">
        <is>
          <t>Föryngringsavverkning</t>
        </is>
      </c>
      <c r="D441" s="1" t="n">
        <v>45044</v>
      </c>
      <c r="E441" s="1" t="n">
        <v>46323</v>
      </c>
      <c r="F441" t="inlineStr">
        <is>
          <t>KALMAR LÄN</t>
        </is>
      </c>
      <c r="G441" t="inlineStr">
        <is>
          <t>KALMAR</t>
        </is>
      </c>
      <c r="I441" t="n">
        <v>1</v>
      </c>
      <c r="J441" t="n">
        <v>1</v>
      </c>
      <c r="K441" t="n">
        <v>0</v>
      </c>
      <c r="L441" t="n">
        <v>0</v>
      </c>
      <c r="M441" t="n">
        <v>2</v>
      </c>
      <c r="N441" t="n">
        <v>0</v>
      </c>
      <c r="O441" t="n">
        <v>0</v>
      </c>
      <c r="P441" t="n">
        <v>0</v>
      </c>
      <c r="Q441" t="n">
        <v>2</v>
      </c>
      <c r="R441" t="n">
        <v>2</v>
      </c>
      <c r="S441" t="n">
        <v>3</v>
      </c>
      <c r="T441" t="n">
        <v>4</v>
      </c>
      <c r="U441" t="n">
        <v>4</v>
      </c>
      <c r="V441" s="2" t="inlineStr">
        <is>
          <t>Bredbrämad bastardsvärmare
Mindre bastardsvärmare
Gullviva</t>
        </is>
      </c>
      <c r="W441">
        <f>HYPERLINK("https://klasma.github.io/Logging_0880/artfynd/A 18881-2023 artfynd.xlsx", "A 18881-2023")</f>
        <v/>
      </c>
      <c r="X441">
        <f>HYPERLINK("https://klasma.github.io/Logging_0880/kartor/A 18881-2023 karta.png", "A 18881-2023")</f>
        <v/>
      </c>
      <c r="Y441">
        <f>HYPERLINK("https://klasma.github.io/Logging_0880/kartor_geotiff/A 18881-2023 georefererad karta.tif", "A 18881-2023")</f>
        <v/>
      </c>
      <c r="AA441">
        <f>HYPERLINK("https://klasma.github.io/Logging_0880/klagomål/A 18881-2023 FSC-klagomål.docx", "A 18881-2023")</f>
        <v/>
      </c>
      <c r="AB441">
        <f>HYPERLINK("https://klasma.github.io/Logging_0880/klagomålsmail/A 18881-2023 FSC-klagomål mail.docx", "A 18881-2023")</f>
        <v/>
      </c>
      <c r="AC441">
        <f>HYPERLINK("https://klasma.github.io/Logging_0880/tillsyn/A 18881-2023 tillsynsbegäran.docx", "A 18881-2023")</f>
        <v/>
      </c>
      <c r="AD441">
        <f>HYPERLINK("https://klasma.github.io/Logging_0880/tillsynsmail/A 18881-2023 tillsynsbegäran mail.docx", "A 18881-2023")</f>
        <v/>
      </c>
    </row>
    <row r="442" ht="15" customHeight="1">
      <c r="A442" t="inlineStr">
        <is>
          <t>A 32915-2022</t>
        </is>
      </c>
      <c r="B442" t="inlineStr">
        <is>
          <t>avverkningsanmälan</t>
        </is>
      </c>
      <c r="C442" t="inlineStr">
        <is>
          <t>Föryngringsavverkning</t>
        </is>
      </c>
      <c r="D442" s="1" t="n">
        <v>44784</v>
      </c>
      <c r="E442" s="1" t="n">
        <v>46323</v>
      </c>
      <c r="F442" t="inlineStr">
        <is>
          <t>KALMAR LÄN</t>
        </is>
      </c>
      <c r="G442" t="inlineStr">
        <is>
          <t>KALMAR</t>
        </is>
      </c>
      <c r="I442" t="n">
        <v>3.8</v>
      </c>
      <c r="J442" t="n">
        <v>1</v>
      </c>
      <c r="K442" t="n">
        <v>1</v>
      </c>
      <c r="L442" t="n">
        <v>1</v>
      </c>
      <c r="M442" t="n">
        <v>0</v>
      </c>
      <c r="N442" t="n">
        <v>0</v>
      </c>
      <c r="O442" t="n">
        <v>0</v>
      </c>
      <c r="P442" t="n">
        <v>0</v>
      </c>
      <c r="Q442" t="n">
        <v>1</v>
      </c>
      <c r="R442" t="n">
        <v>0</v>
      </c>
      <c r="S442" t="n">
        <v>3</v>
      </c>
      <c r="T442" t="n">
        <v>4</v>
      </c>
      <c r="U442" t="n">
        <v>4</v>
      </c>
      <c r="V442" s="2" t="inlineStr">
        <is>
          <t>Svinrot
Blåmossa
Blåsippa</t>
        </is>
      </c>
      <c r="W442">
        <f>HYPERLINK("https://klasma.github.io/Logging_0880/artfynd/A 32915-2022 artfynd.xlsx", "A 32915-2022")</f>
        <v/>
      </c>
      <c r="X442">
        <f>HYPERLINK("https://klasma.github.io/Logging_0880/kartor/A 32915-2022 karta.png", "A 32915-2022")</f>
        <v/>
      </c>
      <c r="Y442">
        <f>HYPERLINK("https://klasma.github.io/Logging_0880/kartor_geotiff/A 32915-2022 georefererad karta.tif", "A 32915-2022")</f>
        <v/>
      </c>
      <c r="AA442">
        <f>HYPERLINK("https://klasma.github.io/Logging_0880/klagomål/A 32915-2022 FSC-klagomål.docx", "A 32915-2022")</f>
        <v/>
      </c>
      <c r="AB442">
        <f>HYPERLINK("https://klasma.github.io/Logging_0880/klagomålsmail/A 32915-2022 FSC-klagomål mail.docx", "A 32915-2022")</f>
        <v/>
      </c>
      <c r="AC442">
        <f>HYPERLINK("https://klasma.github.io/Logging_0880/tillsyn/A 32915-2022 tillsynsbegäran.docx", "A 32915-2022")</f>
        <v/>
      </c>
      <c r="AD442">
        <f>HYPERLINK("https://klasma.github.io/Logging_0880/tillsynsmail/A 32915-2022 tillsynsbegäran mail.docx", "A 32915-2022")</f>
        <v/>
      </c>
    </row>
    <row r="443" ht="15" customHeight="1">
      <c r="A443" t="inlineStr">
        <is>
          <t>A 6062-2025</t>
        </is>
      </c>
      <c r="B443" t="inlineStr">
        <is>
          <t>avverkningsanmälan</t>
        </is>
      </c>
      <c r="C443" t="inlineStr">
        <is>
          <t>Föryngringsavverkning</t>
        </is>
      </c>
      <c r="D443" s="1" t="n">
        <v>45695</v>
      </c>
      <c r="E443" s="1" t="n">
        <v>46323</v>
      </c>
      <c r="F443" t="inlineStr">
        <is>
          <t>KALMAR LÄN</t>
        </is>
      </c>
      <c r="G443" t="inlineStr">
        <is>
          <t>NYBRO</t>
        </is>
      </c>
      <c r="I443" t="n">
        <v>5.1</v>
      </c>
      <c r="J443" t="n">
        <v>1</v>
      </c>
      <c r="K443" t="n">
        <v>0</v>
      </c>
      <c r="L443" t="n">
        <v>2</v>
      </c>
      <c r="M443" t="n">
        <v>0</v>
      </c>
      <c r="N443" t="n">
        <v>0</v>
      </c>
      <c r="O443" t="n">
        <v>0</v>
      </c>
      <c r="P443" t="n">
        <v>0</v>
      </c>
      <c r="Q443" t="n">
        <v>2</v>
      </c>
      <c r="R443" t="n">
        <v>0</v>
      </c>
      <c r="S443" t="n">
        <v>3</v>
      </c>
      <c r="T443" t="n">
        <v>4</v>
      </c>
      <c r="U443" t="n">
        <v>0</v>
      </c>
      <c r="V443" s="2" t="inlineStr">
        <is>
          <t>Fjällig taggsvamp s.str.
Skarp dropptaggsvamp
Blåsippa</t>
        </is>
      </c>
      <c r="W443">
        <f>HYPERLINK("https://klasma.github.io/Logging_0881/artfynd/A 6062-2025 artfynd.xlsx", "A 6062-2025")</f>
        <v/>
      </c>
      <c r="X443">
        <f>HYPERLINK("https://klasma.github.io/Logging_0881/kartor/A 6062-2025 karta.png", "A 6062-2025")</f>
        <v/>
      </c>
      <c r="Y443">
        <f>HYPERLINK("https://klasma.github.io/Logging_0881/kartor_geotiff/A 6062-2025 georefererad karta.tif", "A 6062-2025")</f>
        <v/>
      </c>
      <c r="Z443">
        <f>HYPERLINK("https://klasma.github.io/Logging_0881/knärot/A 6062-2025 karta knärot.png", "A 6062-2025")</f>
        <v/>
      </c>
      <c r="AA443">
        <f>HYPERLINK("https://klasma.github.io/Logging_0881/klagomål/A 6062-2025 FSC-klagomål.docx", "A 6062-2025")</f>
        <v/>
      </c>
      <c r="AB443">
        <f>HYPERLINK("https://klasma.github.io/Logging_0881/klagomålsmail/A 6062-2025 FSC-klagomål mail.docx", "A 6062-2025")</f>
        <v/>
      </c>
      <c r="AC443">
        <f>HYPERLINK("https://klasma.github.io/Logging_0881/tillsyn/A 6062-2025 tillsynsbegäran.docx", "A 6062-2025")</f>
        <v/>
      </c>
      <c r="AD443">
        <f>HYPERLINK("https://klasma.github.io/Logging_0881/tillsynsmail/A 6062-2025 tillsynsbegäran mail.docx", "A 6062-2025")</f>
        <v/>
      </c>
    </row>
    <row r="444" ht="15" customHeight="1">
      <c r="A444" t="inlineStr">
        <is>
          <t>A 9384-2024</t>
        </is>
      </c>
      <c r="B444" t="inlineStr">
        <is>
          <t>avverkningsanmälan</t>
        </is>
      </c>
      <c r="C444" t="inlineStr">
        <is>
          <t>Föryngringsavverkning</t>
        </is>
      </c>
      <c r="D444" s="1" t="n">
        <v>45359</v>
      </c>
      <c r="E444" s="1" t="n">
        <v>46323</v>
      </c>
      <c r="F444" t="inlineStr">
        <is>
          <t>KALMAR LÄN</t>
        </is>
      </c>
      <c r="G444" t="inlineStr">
        <is>
          <t>HÖGSBY</t>
        </is>
      </c>
      <c r="I444" t="n">
        <v>0.7</v>
      </c>
      <c r="J444" t="n">
        <v>0</v>
      </c>
      <c r="K444" t="n">
        <v>0</v>
      </c>
      <c r="L444" t="n">
        <v>3</v>
      </c>
      <c r="M444" t="n">
        <v>0</v>
      </c>
      <c r="N444" t="n">
        <v>0</v>
      </c>
      <c r="O444" t="n">
        <v>0</v>
      </c>
      <c r="P444" t="n">
        <v>0</v>
      </c>
      <c r="Q444" t="n">
        <v>3</v>
      </c>
      <c r="R444" t="n">
        <v>0</v>
      </c>
      <c r="S444" t="n">
        <v>3</v>
      </c>
      <c r="T444" t="n">
        <v>3</v>
      </c>
      <c r="U444" t="n">
        <v>0</v>
      </c>
      <c r="V444" s="2" t="inlineStr">
        <is>
          <t>Fjällig taggsvamp s.str.
Gultoppig fingersvamp
Skarp dropptaggsvamp</t>
        </is>
      </c>
      <c r="W444">
        <f>HYPERLINK("https://klasma.github.io/Logging_0821/artfynd/A 9384-2024 artfynd.xlsx", "A 9384-2024")</f>
        <v/>
      </c>
      <c r="X444">
        <f>HYPERLINK("https://klasma.github.io/Logging_0821/kartor/A 9384-2024 karta.png", "A 9384-2024")</f>
        <v/>
      </c>
      <c r="Y444">
        <f>HYPERLINK("https://klasma.github.io/Logging_0821/kartor_geotiff/A 9384-2024 georefererad karta.tif", "A 9384-2024")</f>
        <v/>
      </c>
      <c r="AA444">
        <f>HYPERLINK("https://klasma.github.io/Logging_0821/klagomål/A 9384-2024 FSC-klagomål.docx", "A 9384-2024")</f>
        <v/>
      </c>
      <c r="AB444">
        <f>HYPERLINK("https://klasma.github.io/Logging_0821/klagomålsmail/A 9384-2024 FSC-klagomål mail.docx", "A 9384-2024")</f>
        <v/>
      </c>
      <c r="AC444">
        <f>HYPERLINK("https://klasma.github.io/Logging_0821/tillsyn/A 9384-2024 tillsynsbegäran.docx", "A 9384-2024")</f>
        <v/>
      </c>
      <c r="AD444">
        <f>HYPERLINK("https://klasma.github.io/Logging_0821/tillsynsmail/A 9384-2024 tillsynsbegäran mail.docx", "A 9384-2024")</f>
        <v/>
      </c>
    </row>
    <row r="445" ht="15" customHeight="1">
      <c r="A445" t="inlineStr">
        <is>
          <t>A 34207-2022</t>
        </is>
      </c>
      <c r="B445" t="inlineStr">
        <is>
          <t>avverkningsanmälan</t>
        </is>
      </c>
      <c r="C445" t="inlineStr">
        <is>
          <t>Föryngringsavverkning</t>
        </is>
      </c>
      <c r="D445" s="1" t="n">
        <v>44791</v>
      </c>
      <c r="E445" s="1" t="n">
        <v>46323</v>
      </c>
      <c r="F445" t="inlineStr">
        <is>
          <t>KALMAR LÄN</t>
        </is>
      </c>
      <c r="G445" t="inlineStr">
        <is>
          <t>MÖNSTERÅS</t>
        </is>
      </c>
      <c r="I445" t="n">
        <v>3.5</v>
      </c>
      <c r="J445" t="n">
        <v>3</v>
      </c>
      <c r="K445" t="n">
        <v>0</v>
      </c>
      <c r="L445" t="n">
        <v>0</v>
      </c>
      <c r="M445" t="n">
        <v>0</v>
      </c>
      <c r="N445" t="n">
        <v>0</v>
      </c>
      <c r="O445" t="n">
        <v>0</v>
      </c>
      <c r="P445" t="n">
        <v>0</v>
      </c>
      <c r="Q445" t="n">
        <v>0</v>
      </c>
      <c r="R445" t="n">
        <v>0</v>
      </c>
      <c r="S445" t="n">
        <v>3</v>
      </c>
      <c r="T445" t="n">
        <v>3</v>
      </c>
      <c r="U445" t="n">
        <v>3</v>
      </c>
      <c r="V445" s="2" t="inlineStr">
        <is>
          <t>Röd glada
Sävsparv
Trädlärka</t>
        </is>
      </c>
      <c r="W445">
        <f>HYPERLINK("https://klasma.github.io/Logging_0861/artfynd/A 34207-2022 artfynd.xlsx", "A 34207-2022")</f>
        <v/>
      </c>
      <c r="X445">
        <f>HYPERLINK("https://klasma.github.io/Logging_0861/kartor/A 34207-2022 karta.png", "A 34207-2022")</f>
        <v/>
      </c>
      <c r="Y445">
        <f>HYPERLINK("https://klasma.github.io/Logging_0861/kartor_geotiff/A 34207-2022 georefererad karta.tif", "A 34207-2022")</f>
        <v/>
      </c>
      <c r="AA445">
        <f>HYPERLINK("https://klasma.github.io/Logging_0861/klagomål/A 34207-2022 FSC-klagomål.docx", "A 34207-2022")</f>
        <v/>
      </c>
      <c r="AB445">
        <f>HYPERLINK("https://klasma.github.io/Logging_0861/klagomålsmail/A 34207-2022 FSC-klagomål mail.docx", "A 34207-2022")</f>
        <v/>
      </c>
      <c r="AC445">
        <f>HYPERLINK("https://klasma.github.io/Logging_0861/tillsyn/A 34207-2022 tillsynsbegäran.docx", "A 34207-2022")</f>
        <v/>
      </c>
      <c r="AD445">
        <f>HYPERLINK("https://klasma.github.io/Logging_0861/tillsynsmail/A 34207-2022 tillsynsbegäran mail.docx", "A 34207-2022")</f>
        <v/>
      </c>
      <c r="AE445">
        <f>HYPERLINK("https://klasma.github.io/Logging_0861/fåglar/A 34207-2022 prioriterade fågelarter.docx", "A 34207-2022")</f>
        <v/>
      </c>
    </row>
    <row r="446" ht="15" customHeight="1">
      <c r="A446" t="inlineStr">
        <is>
          <t>A 63361-2023</t>
        </is>
      </c>
      <c r="B446" t="inlineStr">
        <is>
          <t>avverkningsanmälan</t>
        </is>
      </c>
      <c r="C446" t="inlineStr">
        <is>
          <t>Föryngringsavverkning</t>
        </is>
      </c>
      <c r="D446" s="1" t="n">
        <v>45274</v>
      </c>
      <c r="E446" s="1" t="n">
        <v>46323</v>
      </c>
      <c r="F446" t="inlineStr">
        <is>
          <t>KALMAR LÄN</t>
        </is>
      </c>
      <c r="G446" t="inlineStr">
        <is>
          <t>VÄSTERVIK</t>
        </is>
      </c>
      <c r="I446" t="n">
        <v>2.2</v>
      </c>
      <c r="J446" t="n">
        <v>0</v>
      </c>
      <c r="K446" t="n">
        <v>0</v>
      </c>
      <c r="L446" t="n">
        <v>1</v>
      </c>
      <c r="M446" t="n">
        <v>2</v>
      </c>
      <c r="N446" t="n">
        <v>0</v>
      </c>
      <c r="O446" t="n">
        <v>0</v>
      </c>
      <c r="P446" t="n">
        <v>0</v>
      </c>
      <c r="Q446" t="n">
        <v>3</v>
      </c>
      <c r="R446" t="n">
        <v>2</v>
      </c>
      <c r="S446" t="n">
        <v>3</v>
      </c>
      <c r="T446" t="n">
        <v>3</v>
      </c>
      <c r="U446" t="n">
        <v>0</v>
      </c>
      <c r="V446" s="2" t="inlineStr">
        <is>
          <t>Sorgfibbla
Växeltandsfibbla
Aspelandsfibbla</t>
        </is>
      </c>
      <c r="W446">
        <f>HYPERLINK("https://klasma.github.io/Logging_0883/artfynd/A 63361-2023 artfynd.xlsx", "A 63361-2023")</f>
        <v/>
      </c>
      <c r="X446">
        <f>HYPERLINK("https://klasma.github.io/Logging_0883/kartor/A 63361-2023 karta.png", "A 63361-2023")</f>
        <v/>
      </c>
      <c r="Y446">
        <f>HYPERLINK("https://klasma.github.io/Logging_0883/kartor_geotiff/A 63361-2023 georefererad karta.tif", "A 63361-2023")</f>
        <v/>
      </c>
      <c r="AA446">
        <f>HYPERLINK("https://klasma.github.io/Logging_0883/klagomål/A 63361-2023 FSC-klagomål.docx", "A 63361-2023")</f>
        <v/>
      </c>
      <c r="AB446">
        <f>HYPERLINK("https://klasma.github.io/Logging_0883/klagomålsmail/A 63361-2023 FSC-klagomål mail.docx", "A 63361-2023")</f>
        <v/>
      </c>
      <c r="AC446">
        <f>HYPERLINK("https://klasma.github.io/Logging_0883/tillsyn/A 63361-2023 tillsynsbegäran.docx", "A 63361-2023")</f>
        <v/>
      </c>
      <c r="AD446">
        <f>HYPERLINK("https://klasma.github.io/Logging_0883/tillsynsmail/A 63361-2023 tillsynsbegäran mail.docx", "A 63361-2023")</f>
        <v/>
      </c>
    </row>
    <row r="447" ht="15" customHeight="1">
      <c r="A447" t="inlineStr">
        <is>
          <t>A 15427-2023</t>
        </is>
      </c>
      <c r="B447" t="inlineStr">
        <is>
          <t>avverkningsanmälan</t>
        </is>
      </c>
      <c r="C447" t="inlineStr">
        <is>
          <t>Föryngringsavverkning</t>
        </is>
      </c>
      <c r="D447" s="1" t="n">
        <v>45020</v>
      </c>
      <c r="E447" s="1" t="n">
        <v>46323</v>
      </c>
      <c r="F447" t="inlineStr">
        <is>
          <t>KALMAR LÄN</t>
        </is>
      </c>
      <c r="G447" t="inlineStr">
        <is>
          <t>VIMMERBY</t>
        </is>
      </c>
      <c r="I447" t="n">
        <v>4.1</v>
      </c>
      <c r="J447" t="n">
        <v>0</v>
      </c>
      <c r="K447" t="n">
        <v>1</v>
      </c>
      <c r="L447" t="n">
        <v>2</v>
      </c>
      <c r="M447" t="n">
        <v>0</v>
      </c>
      <c r="N447" t="n">
        <v>0</v>
      </c>
      <c r="O447" t="n">
        <v>0</v>
      </c>
      <c r="P447" t="n">
        <v>0</v>
      </c>
      <c r="Q447" t="n">
        <v>2</v>
      </c>
      <c r="R447" t="n">
        <v>0</v>
      </c>
      <c r="S447" t="n">
        <v>3</v>
      </c>
      <c r="T447" t="n">
        <v>4</v>
      </c>
      <c r="U447" t="n">
        <v>3</v>
      </c>
      <c r="V447" s="2" t="inlineStr">
        <is>
          <t>Slåtterfibbla
Solvända
Strävlosta</t>
        </is>
      </c>
      <c r="W447">
        <f>HYPERLINK("https://klasma.github.io/Logging_0884/artfynd/A 15427-2023 artfynd.xlsx", "A 15427-2023")</f>
        <v/>
      </c>
      <c r="X447">
        <f>HYPERLINK("https://klasma.github.io/Logging_0884/kartor/A 15427-2023 karta.png", "A 15427-2023")</f>
        <v/>
      </c>
      <c r="Y447">
        <f>HYPERLINK("https://klasma.github.io/Logging_0884/kartor_geotiff/A 15427-2023 georefererad karta.tif", "A 15427-2023")</f>
        <v/>
      </c>
      <c r="AA447">
        <f>HYPERLINK("https://klasma.github.io/Logging_0884/klagomål/A 15427-2023 FSC-klagomål.docx", "A 15427-2023")</f>
        <v/>
      </c>
      <c r="AB447">
        <f>HYPERLINK("https://klasma.github.io/Logging_0884/klagomålsmail/A 15427-2023 FSC-klagomål mail.docx", "A 15427-2023")</f>
        <v/>
      </c>
      <c r="AC447">
        <f>HYPERLINK("https://klasma.github.io/Logging_0884/tillsyn/A 15427-2023 tillsynsbegäran.docx", "A 15427-2023")</f>
        <v/>
      </c>
      <c r="AD447">
        <f>HYPERLINK("https://klasma.github.io/Logging_0884/tillsynsmail/A 15427-2023 tillsynsbegäran mail.docx", "A 15427-2023")</f>
        <v/>
      </c>
    </row>
    <row r="448" ht="15" customHeight="1">
      <c r="A448" t="inlineStr">
        <is>
          <t>A 9858-2024</t>
        </is>
      </c>
      <c r="B448" t="inlineStr">
        <is>
          <t>avverkningsanmälan</t>
        </is>
      </c>
      <c r="C448" t="inlineStr">
        <is>
          <t>Föryngringsavverkning</t>
        </is>
      </c>
      <c r="D448" s="1" t="n">
        <v>45363</v>
      </c>
      <c r="E448" s="1" t="n">
        <v>46323</v>
      </c>
      <c r="F448" t="inlineStr">
        <is>
          <t>KALMAR LÄN</t>
        </is>
      </c>
      <c r="G448" t="inlineStr">
        <is>
          <t>KALMAR</t>
        </is>
      </c>
      <c r="I448" t="n">
        <v>1.8</v>
      </c>
      <c r="J448" t="n">
        <v>1</v>
      </c>
      <c r="K448" t="n">
        <v>1</v>
      </c>
      <c r="L448" t="n">
        <v>1</v>
      </c>
      <c r="M448" t="n">
        <v>1</v>
      </c>
      <c r="N448" t="n">
        <v>0</v>
      </c>
      <c r="O448" t="n">
        <v>0</v>
      </c>
      <c r="P448" t="n">
        <v>0</v>
      </c>
      <c r="Q448" t="n">
        <v>2</v>
      </c>
      <c r="R448" t="n">
        <v>1</v>
      </c>
      <c r="S448" t="n">
        <v>3</v>
      </c>
      <c r="T448" t="n">
        <v>3</v>
      </c>
      <c r="U448" t="n">
        <v>0</v>
      </c>
      <c r="V448" s="2" t="inlineStr">
        <is>
          <t>Knärot
Tallkötticka
Guldlockmossa</t>
        </is>
      </c>
      <c r="W448">
        <f>HYPERLINK("https://klasma.github.io/Logging_0880/artfynd/A 9858-2024 artfynd.xlsx", "A 9858-2024")</f>
        <v/>
      </c>
      <c r="X448">
        <f>HYPERLINK("https://klasma.github.io/Logging_0880/kartor/A 9858-2024 karta.png", "A 9858-2024")</f>
        <v/>
      </c>
      <c r="Y448">
        <f>HYPERLINK("https://klasma.github.io/Logging_0880/kartor_geotiff/A 9858-2024 georefererad karta.tif", "A 9858-2024")</f>
        <v/>
      </c>
      <c r="Z448">
        <f>HYPERLINK("https://klasma.github.io/Logging_0880/knärot/A 9858-2024 karta knärot.png", "A 9858-2024")</f>
        <v/>
      </c>
      <c r="AA448">
        <f>HYPERLINK("https://klasma.github.io/Logging_0880/klagomål/A 9858-2024 FSC-klagomål.docx", "A 9858-2024")</f>
        <v/>
      </c>
      <c r="AB448">
        <f>HYPERLINK("https://klasma.github.io/Logging_0880/klagomålsmail/A 9858-2024 FSC-klagomål mail.docx", "A 9858-2024")</f>
        <v/>
      </c>
      <c r="AC448">
        <f>HYPERLINK("https://klasma.github.io/Logging_0880/tillsyn/A 9858-2024 tillsynsbegäran.docx", "A 9858-2024")</f>
        <v/>
      </c>
      <c r="AD448">
        <f>HYPERLINK("https://klasma.github.io/Logging_0880/tillsynsmail/A 9858-2024 tillsynsbegäran mail.docx", "A 9858-2024")</f>
        <v/>
      </c>
    </row>
    <row r="449" ht="15" customHeight="1">
      <c r="A449" t="inlineStr">
        <is>
          <t>A 15110-2024</t>
        </is>
      </c>
      <c r="B449" t="inlineStr">
        <is>
          <t>avverkningsanmälan</t>
        </is>
      </c>
      <c r="C449" t="inlineStr">
        <is>
          <t>Föryngringsavverkning</t>
        </is>
      </c>
      <c r="D449" s="1" t="n">
        <v>45399</v>
      </c>
      <c r="E449" s="1" t="n">
        <v>46323</v>
      </c>
      <c r="F449" t="inlineStr">
        <is>
          <t>KALMAR LÄN</t>
        </is>
      </c>
      <c r="G449" t="inlineStr">
        <is>
          <t>HULTSFRED</t>
        </is>
      </c>
      <c r="I449" t="n">
        <v>1.1</v>
      </c>
      <c r="J449" t="n">
        <v>1</v>
      </c>
      <c r="K449" t="n">
        <v>2</v>
      </c>
      <c r="L449" t="n">
        <v>1</v>
      </c>
      <c r="M449" t="n">
        <v>0</v>
      </c>
      <c r="N449" t="n">
        <v>0</v>
      </c>
      <c r="O449" t="n">
        <v>0</v>
      </c>
      <c r="P449" t="n">
        <v>0</v>
      </c>
      <c r="Q449" t="n">
        <v>1</v>
      </c>
      <c r="R449" t="n">
        <v>0</v>
      </c>
      <c r="S449" t="n">
        <v>3</v>
      </c>
      <c r="T449" t="n">
        <v>3</v>
      </c>
      <c r="U449" t="n">
        <v>3</v>
      </c>
      <c r="V449" s="2" t="inlineStr">
        <is>
          <t>Grönsångare
Ekskinn
Klippfrullania</t>
        </is>
      </c>
      <c r="W449">
        <f>HYPERLINK("https://klasma.github.io/Logging_0860/artfynd/A 15110-2024 artfynd.xlsx", "A 15110-2024")</f>
        <v/>
      </c>
      <c r="X449">
        <f>HYPERLINK("https://klasma.github.io/Logging_0860/kartor/A 15110-2024 karta.png", "A 15110-2024")</f>
        <v/>
      </c>
      <c r="Y449">
        <f>HYPERLINK("https://klasma.github.io/Logging_0860/kartor_geotiff/A 15110-2024 georefererad karta.tif", "A 15110-2024")</f>
        <v/>
      </c>
      <c r="AA449">
        <f>HYPERLINK("https://klasma.github.io/Logging_0860/klagomål/A 15110-2024 FSC-klagomål.docx", "A 15110-2024")</f>
        <v/>
      </c>
      <c r="AB449">
        <f>HYPERLINK("https://klasma.github.io/Logging_0860/klagomålsmail/A 15110-2024 FSC-klagomål mail.docx", "A 15110-2024")</f>
        <v/>
      </c>
      <c r="AC449">
        <f>HYPERLINK("https://klasma.github.io/Logging_0860/tillsyn/A 15110-2024 tillsynsbegäran.docx", "A 15110-2024")</f>
        <v/>
      </c>
      <c r="AD449">
        <f>HYPERLINK("https://klasma.github.io/Logging_0860/tillsynsmail/A 15110-2024 tillsynsbegäran mail.docx", "A 15110-2024")</f>
        <v/>
      </c>
      <c r="AE449">
        <f>HYPERLINK("https://klasma.github.io/Logging_0860/fåglar/A 15110-2024 prioriterade fågelarter.docx", "A 15110-2024")</f>
        <v/>
      </c>
    </row>
    <row r="450" ht="15" customHeight="1">
      <c r="A450" t="inlineStr">
        <is>
          <t>A 31781-2023</t>
        </is>
      </c>
      <c r="B450" t="inlineStr">
        <is>
          <t>avverkningsanmälan</t>
        </is>
      </c>
      <c r="C450" t="inlineStr">
        <is>
          <t>Föryngringsavverkning</t>
        </is>
      </c>
      <c r="D450" s="1" t="n">
        <v>45118</v>
      </c>
      <c r="E450" s="1" t="n">
        <v>46323</v>
      </c>
      <c r="F450" t="inlineStr">
        <is>
          <t>KALMAR LÄN</t>
        </is>
      </c>
      <c r="G450" t="inlineStr">
        <is>
          <t>KALMAR</t>
        </is>
      </c>
      <c r="I450" t="n">
        <v>7.5</v>
      </c>
      <c r="J450" t="n">
        <v>1</v>
      </c>
      <c r="K450" t="n">
        <v>1</v>
      </c>
      <c r="L450" t="n">
        <v>1</v>
      </c>
      <c r="M450" t="n">
        <v>1</v>
      </c>
      <c r="N450" t="n">
        <v>0</v>
      </c>
      <c r="O450" t="n">
        <v>0</v>
      </c>
      <c r="P450" t="n">
        <v>0</v>
      </c>
      <c r="Q450" t="n">
        <v>2</v>
      </c>
      <c r="R450" t="n">
        <v>1</v>
      </c>
      <c r="S450" t="n">
        <v>3</v>
      </c>
      <c r="T450" t="n">
        <v>5</v>
      </c>
      <c r="U450" t="n">
        <v>0</v>
      </c>
      <c r="V450" s="2" t="inlineStr">
        <is>
          <t>Läderbagge
Gammelekslav
Grå skärelav</t>
        </is>
      </c>
      <c r="W450">
        <f>HYPERLINK("https://klasma.github.io/Logging_0880/artfynd/A 31781-2023 artfynd.xlsx", "A 31781-2023")</f>
        <v/>
      </c>
      <c r="X450">
        <f>HYPERLINK("https://klasma.github.io/Logging_0880/kartor/A 31781-2023 karta.png", "A 31781-2023")</f>
        <v/>
      </c>
      <c r="Y450">
        <f>HYPERLINK("https://klasma.github.io/Logging_0880/kartor_geotiff/A 31781-2023 georefererad karta.tif", "A 31781-2023")</f>
        <v/>
      </c>
      <c r="AA450">
        <f>HYPERLINK("https://klasma.github.io/Logging_0880/klagomål/A 31781-2023 FSC-klagomål.docx", "A 31781-2023")</f>
        <v/>
      </c>
      <c r="AB450">
        <f>HYPERLINK("https://klasma.github.io/Logging_0880/klagomålsmail/A 31781-2023 FSC-klagomål mail.docx", "A 31781-2023")</f>
        <v/>
      </c>
      <c r="AC450">
        <f>HYPERLINK("https://klasma.github.io/Logging_0880/tillsyn/A 31781-2023 tillsynsbegäran.docx", "A 31781-2023")</f>
        <v/>
      </c>
      <c r="AD450">
        <f>HYPERLINK("https://klasma.github.io/Logging_0880/tillsynsmail/A 31781-2023 tillsynsbegäran mail.docx", "A 31781-2023")</f>
        <v/>
      </c>
    </row>
    <row r="451" ht="15" customHeight="1">
      <c r="A451" t="inlineStr">
        <is>
          <t>A 14089-2025</t>
        </is>
      </c>
      <c r="B451" t="inlineStr">
        <is>
          <t>avverkningsanmälan</t>
        </is>
      </c>
      <c r="C451" t="inlineStr">
        <is>
          <t>Föryngringsavverkning</t>
        </is>
      </c>
      <c r="D451" s="1" t="n">
        <v>45740</v>
      </c>
      <c r="E451" s="1" t="n">
        <v>46323</v>
      </c>
      <c r="F451" t="inlineStr">
        <is>
          <t>KALMAR LÄN</t>
        </is>
      </c>
      <c r="G451" t="inlineStr">
        <is>
          <t>VÄSTERVIK</t>
        </is>
      </c>
      <c r="H451" t="inlineStr">
        <is>
          <t>Sveaskog</t>
        </is>
      </c>
      <c r="I451" t="n">
        <v>1.3</v>
      </c>
      <c r="J451" t="n">
        <v>3</v>
      </c>
      <c r="K451" t="n">
        <v>0</v>
      </c>
      <c r="L451" t="n">
        <v>1</v>
      </c>
      <c r="M451" t="n">
        <v>0</v>
      </c>
      <c r="N451" t="n">
        <v>0</v>
      </c>
      <c r="O451" t="n">
        <v>0</v>
      </c>
      <c r="P451" t="n">
        <v>0</v>
      </c>
      <c r="Q451" t="n">
        <v>1</v>
      </c>
      <c r="R451" t="n">
        <v>0</v>
      </c>
      <c r="S451" t="n">
        <v>3</v>
      </c>
      <c r="T451" t="n">
        <v>4</v>
      </c>
      <c r="U451" t="n">
        <v>4</v>
      </c>
      <c r="V451" s="2" t="inlineStr">
        <is>
          <t>Mindre hackspett
Spillkråka
Kungsfågel</t>
        </is>
      </c>
      <c r="W451">
        <f>HYPERLINK("https://klasma.github.io/Logging_0883/artfynd/A 14089-2025 artfynd.xlsx", "A 14089-2025")</f>
        <v/>
      </c>
      <c r="X451">
        <f>HYPERLINK("https://klasma.github.io/Logging_0883/kartor/A 14089-2025 karta.png", "A 14089-2025")</f>
        <v/>
      </c>
      <c r="Y451">
        <f>HYPERLINK("https://klasma.github.io/Logging_0883/kartor_geotiff/A 14089-2025 georefererad karta.tif", "A 14089-2025")</f>
        <v/>
      </c>
      <c r="AA451">
        <f>HYPERLINK("https://klasma.github.io/Logging_0883/klagomål/A 14089-2025 FSC-klagomål.docx", "A 14089-2025")</f>
        <v/>
      </c>
      <c r="AB451">
        <f>HYPERLINK("https://klasma.github.io/Logging_0883/klagomålsmail/A 14089-2025 FSC-klagomål mail.docx", "A 14089-2025")</f>
        <v/>
      </c>
      <c r="AC451">
        <f>HYPERLINK("https://klasma.github.io/Logging_0883/tillsyn/A 14089-2025 tillsynsbegäran.docx", "A 14089-2025")</f>
        <v/>
      </c>
      <c r="AD451">
        <f>HYPERLINK("https://klasma.github.io/Logging_0883/tillsynsmail/A 14089-2025 tillsynsbegäran mail.docx", "A 14089-2025")</f>
        <v/>
      </c>
      <c r="AE451">
        <f>HYPERLINK("https://klasma.github.io/Logging_0883/fåglar/A 14089-2025 prioriterade fågelarter.docx", "A 14089-2025")</f>
        <v/>
      </c>
    </row>
    <row r="452" ht="15" customHeight="1">
      <c r="A452" t="inlineStr">
        <is>
          <t>A 23879-2024</t>
        </is>
      </c>
      <c r="B452" t="inlineStr">
        <is>
          <t>avverkningsanmälan</t>
        </is>
      </c>
      <c r="C452" t="inlineStr">
        <is>
          <t>Avverkning för annat ändamål</t>
        </is>
      </c>
      <c r="D452" s="1" t="n">
        <v>45455</v>
      </c>
      <c r="E452" s="1" t="n">
        <v>46323</v>
      </c>
      <c r="F452" t="inlineStr">
        <is>
          <t>KALMAR LÄN</t>
        </is>
      </c>
      <c r="G452" t="inlineStr">
        <is>
          <t>MÖNSTERÅS</t>
        </is>
      </c>
      <c r="I452" t="n">
        <v>0.6</v>
      </c>
      <c r="J452" t="n">
        <v>0</v>
      </c>
      <c r="K452" t="n">
        <v>2</v>
      </c>
      <c r="L452" t="n">
        <v>1</v>
      </c>
      <c r="M452" t="n">
        <v>0</v>
      </c>
      <c r="N452" t="n">
        <v>0</v>
      </c>
      <c r="O452" t="n">
        <v>0</v>
      </c>
      <c r="P452" t="n">
        <v>0</v>
      </c>
      <c r="Q452" t="n">
        <v>1</v>
      </c>
      <c r="R452" t="n">
        <v>0</v>
      </c>
      <c r="S452" t="n">
        <v>3</v>
      </c>
      <c r="T452" t="n">
        <v>4</v>
      </c>
      <c r="U452" t="n">
        <v>0</v>
      </c>
      <c r="V452" s="2" t="inlineStr">
        <is>
          <t>Ekticka
Grå skärelav
Gulnål</t>
        </is>
      </c>
      <c r="W452">
        <f>HYPERLINK("https://klasma.github.io/Logging_0861/artfynd/A 23879-2024 artfynd.xlsx", "A 23879-2024")</f>
        <v/>
      </c>
      <c r="X452">
        <f>HYPERLINK("https://klasma.github.io/Logging_0861/kartor/A 23879-2024 karta.png", "A 23879-2024")</f>
        <v/>
      </c>
      <c r="Y452">
        <f>HYPERLINK("https://klasma.github.io/Logging_0861/kartor_geotiff/A 23879-2024 georefererad karta.tif", "A 23879-2024")</f>
        <v/>
      </c>
      <c r="AA452">
        <f>HYPERLINK("https://klasma.github.io/Logging_0861/klagomål/A 23879-2024 FSC-klagomål.docx", "A 23879-2024")</f>
        <v/>
      </c>
      <c r="AB452">
        <f>HYPERLINK("https://klasma.github.io/Logging_0861/klagomålsmail/A 23879-2024 FSC-klagomål mail.docx", "A 23879-2024")</f>
        <v/>
      </c>
      <c r="AC452">
        <f>HYPERLINK("https://klasma.github.io/Logging_0861/tillsyn/A 23879-2024 tillsynsbegäran.docx", "A 23879-2024")</f>
        <v/>
      </c>
      <c r="AD452">
        <f>HYPERLINK("https://klasma.github.io/Logging_0861/tillsynsmail/A 23879-2024 tillsynsbegäran mail.docx", "A 23879-2024")</f>
        <v/>
      </c>
    </row>
    <row r="453" ht="15" customHeight="1">
      <c r="A453" t="inlineStr">
        <is>
          <t>A 8427-2023</t>
        </is>
      </c>
      <c r="B453" t="inlineStr">
        <is>
          <t>avverkningsanmälan</t>
        </is>
      </c>
      <c r="C453" t="inlineStr">
        <is>
          <t>Föryngringsavverkning</t>
        </is>
      </c>
      <c r="D453" s="1" t="n">
        <v>44977</v>
      </c>
      <c r="E453" s="1" t="n">
        <v>46323</v>
      </c>
      <c r="F453" t="inlineStr">
        <is>
          <t>KALMAR LÄN</t>
        </is>
      </c>
      <c r="G453" t="inlineStr">
        <is>
          <t>TORSÅS</t>
        </is>
      </c>
      <c r="I453" t="n">
        <v>0.5</v>
      </c>
      <c r="J453" t="n">
        <v>0</v>
      </c>
      <c r="K453" t="n">
        <v>2</v>
      </c>
      <c r="L453" t="n">
        <v>1</v>
      </c>
      <c r="M453" t="n">
        <v>0</v>
      </c>
      <c r="N453" t="n">
        <v>0</v>
      </c>
      <c r="O453" t="n">
        <v>0</v>
      </c>
      <c r="P453" t="n">
        <v>0</v>
      </c>
      <c r="Q453" t="n">
        <v>1</v>
      </c>
      <c r="R453" t="n">
        <v>0</v>
      </c>
      <c r="S453" t="n">
        <v>3</v>
      </c>
      <c r="T453" t="n">
        <v>3</v>
      </c>
      <c r="U453" t="n">
        <v>0</v>
      </c>
      <c r="V453" s="2" t="inlineStr">
        <is>
          <t>Bokvårtlav
Blomkålssvamp
Stubbspretmossa</t>
        </is>
      </c>
      <c r="W453">
        <f>HYPERLINK("https://klasma.github.io/Logging_0834/artfynd/A 8427-2023 artfynd.xlsx", "A 8427-2023")</f>
        <v/>
      </c>
      <c r="X453">
        <f>HYPERLINK("https://klasma.github.io/Logging_0834/kartor/A 8427-2023 karta.png", "A 8427-2023")</f>
        <v/>
      </c>
      <c r="Y453">
        <f>HYPERLINK("https://klasma.github.io/Logging_0834/kartor_geotiff/A 8427-2023 georefererad karta.tif", "A 8427-2023")</f>
        <v/>
      </c>
      <c r="AA453">
        <f>HYPERLINK("https://klasma.github.io/Logging_0834/klagomål/A 8427-2023 FSC-klagomål.docx", "A 8427-2023")</f>
        <v/>
      </c>
      <c r="AB453">
        <f>HYPERLINK("https://klasma.github.io/Logging_0834/klagomålsmail/A 8427-2023 FSC-klagomål mail.docx", "A 8427-2023")</f>
        <v/>
      </c>
      <c r="AC453">
        <f>HYPERLINK("https://klasma.github.io/Logging_0834/tillsyn/A 8427-2023 tillsynsbegäran.docx", "A 8427-2023")</f>
        <v/>
      </c>
      <c r="AD453">
        <f>HYPERLINK("https://klasma.github.io/Logging_0834/tillsynsmail/A 8427-2023 tillsynsbegäran mail.docx", "A 8427-2023")</f>
        <v/>
      </c>
    </row>
    <row r="454" ht="15" customHeight="1">
      <c r="A454" t="inlineStr">
        <is>
          <t>A 38860-2025</t>
        </is>
      </c>
      <c r="B454" t="inlineStr">
        <is>
          <t>avverkningsanmälan</t>
        </is>
      </c>
      <c r="C454" t="inlineStr">
        <is>
          <t>Föryngringsavverkning</t>
        </is>
      </c>
      <c r="D454" s="1" t="n">
        <v>45887</v>
      </c>
      <c r="E454" s="1" t="n">
        <v>46323</v>
      </c>
      <c r="F454" t="inlineStr">
        <is>
          <t>KALMAR LÄN</t>
        </is>
      </c>
      <c r="G454" t="inlineStr">
        <is>
          <t>BORGHOLM</t>
        </is>
      </c>
      <c r="I454" t="n">
        <v>5.6</v>
      </c>
      <c r="J454" t="n">
        <v>2</v>
      </c>
      <c r="K454" t="n">
        <v>1</v>
      </c>
      <c r="L454" t="n">
        <v>0</v>
      </c>
      <c r="M454" t="n">
        <v>0</v>
      </c>
      <c r="N454" t="n">
        <v>1</v>
      </c>
      <c r="O454" t="n">
        <v>0</v>
      </c>
      <c r="P454" t="n">
        <v>0</v>
      </c>
      <c r="Q454" t="n">
        <v>1</v>
      </c>
      <c r="R454" t="n">
        <v>1</v>
      </c>
      <c r="S454" t="n">
        <v>3</v>
      </c>
      <c r="T454" t="n">
        <v>3</v>
      </c>
      <c r="U454" t="n">
        <v>0</v>
      </c>
      <c r="V454" s="2" t="inlineStr">
        <is>
          <t>Ask
Skogsknipprot
Revlummer</t>
        </is>
      </c>
      <c r="W454">
        <f>HYPERLINK("https://klasma.github.io/Logging_0885/artfynd/A 38860-2025 artfynd.xlsx", "A 38860-2025")</f>
        <v/>
      </c>
      <c r="X454">
        <f>HYPERLINK("https://klasma.github.io/Logging_0885/kartor/A 38860-2025 karta.png", "A 38860-2025")</f>
        <v/>
      </c>
      <c r="Y454">
        <f>HYPERLINK("https://klasma.github.io/Logging_0885/kartor_geotiff/A 38860-2025 georefererad karta.tif", "A 38860-2025")</f>
        <v/>
      </c>
      <c r="AA454">
        <f>HYPERLINK("https://klasma.github.io/Logging_0885/klagomål/A 38860-2025 FSC-klagomål.docx", "A 38860-2025")</f>
        <v/>
      </c>
      <c r="AB454">
        <f>HYPERLINK("https://klasma.github.io/Logging_0885/klagomålsmail/A 38860-2025 FSC-klagomål mail.docx", "A 38860-2025")</f>
        <v/>
      </c>
      <c r="AC454">
        <f>HYPERLINK("https://klasma.github.io/Logging_0885/tillsyn/A 38860-2025 tillsynsbegäran.docx", "A 38860-2025")</f>
        <v/>
      </c>
      <c r="AD454">
        <f>HYPERLINK("https://klasma.github.io/Logging_0885/tillsynsmail/A 38860-2025 tillsynsbegäran mail.docx", "A 38860-2025")</f>
        <v/>
      </c>
    </row>
    <row r="455" ht="15" customHeight="1">
      <c r="A455" t="inlineStr">
        <is>
          <t>A 32174-2022</t>
        </is>
      </c>
      <c r="B455" t="inlineStr">
        <is>
          <t>avverkningsanmälan</t>
        </is>
      </c>
      <c r="C455" t="inlineStr">
        <is>
          <t>Avverkning för att bevara och utveckla /försöksver</t>
        </is>
      </c>
      <c r="D455" s="1" t="n">
        <v>44781</v>
      </c>
      <c r="E455" s="1" t="n">
        <v>46323</v>
      </c>
      <c r="F455" t="inlineStr">
        <is>
          <t>KALMAR LÄN</t>
        </is>
      </c>
      <c r="G455" t="inlineStr">
        <is>
          <t>BORGHOLM</t>
        </is>
      </c>
      <c r="H455" t="inlineStr">
        <is>
          <t>Sveaskog</t>
        </is>
      </c>
      <c r="I455" t="n">
        <v>1.6</v>
      </c>
      <c r="J455" t="n">
        <v>2</v>
      </c>
      <c r="K455" t="n">
        <v>2</v>
      </c>
      <c r="L455" t="n">
        <v>1</v>
      </c>
      <c r="M455" t="n">
        <v>0</v>
      </c>
      <c r="N455" t="n">
        <v>0</v>
      </c>
      <c r="O455" t="n">
        <v>0</v>
      </c>
      <c r="P455" t="n">
        <v>0</v>
      </c>
      <c r="Q455" t="n">
        <v>1</v>
      </c>
      <c r="R455" t="n">
        <v>0</v>
      </c>
      <c r="S455" t="n">
        <v>3</v>
      </c>
      <c r="T455" t="n">
        <v>3</v>
      </c>
      <c r="U455" t="n">
        <v>3</v>
      </c>
      <c r="V455" s="2" t="inlineStr">
        <is>
          <t>Backklöver
Tvåblad
Vit skogslilja</t>
        </is>
      </c>
      <c r="W455">
        <f>HYPERLINK("https://klasma.github.io/Logging_0885/artfynd/A 32174-2022 artfynd.xlsx", "A 32174-2022")</f>
        <v/>
      </c>
      <c r="X455">
        <f>HYPERLINK("https://klasma.github.io/Logging_0885/kartor/A 32174-2022 karta.png", "A 32174-2022")</f>
        <v/>
      </c>
      <c r="Y455">
        <f>HYPERLINK("https://klasma.github.io/Logging_0885/kartor_geotiff/A 32174-2022 georefererad karta.tif", "A 32174-2022")</f>
        <v/>
      </c>
      <c r="AA455">
        <f>HYPERLINK("https://klasma.github.io/Logging_0885/klagomål/A 32174-2022 FSC-klagomål.docx", "A 32174-2022")</f>
        <v/>
      </c>
      <c r="AB455">
        <f>HYPERLINK("https://klasma.github.io/Logging_0885/klagomålsmail/A 32174-2022 FSC-klagomål mail.docx", "A 32174-2022")</f>
        <v/>
      </c>
      <c r="AC455">
        <f>HYPERLINK("https://klasma.github.io/Logging_0885/tillsyn/A 32174-2022 tillsynsbegäran.docx", "A 32174-2022")</f>
        <v/>
      </c>
      <c r="AD455">
        <f>HYPERLINK("https://klasma.github.io/Logging_0885/tillsynsmail/A 32174-2022 tillsynsbegäran mail.docx", "A 32174-2022")</f>
        <v/>
      </c>
    </row>
    <row r="456" ht="15" customHeight="1">
      <c r="A456" t="inlineStr">
        <is>
          <t>A 25218-2023</t>
        </is>
      </c>
      <c r="B456" t="inlineStr">
        <is>
          <t>avverkningsanmälan</t>
        </is>
      </c>
      <c r="C456" t="inlineStr">
        <is>
          <t>Föryngringsavverkning</t>
        </is>
      </c>
      <c r="D456" s="1" t="n">
        <v>45086</v>
      </c>
      <c r="E456" s="1" t="n">
        <v>46323</v>
      </c>
      <c r="F456" t="inlineStr">
        <is>
          <t>KALMAR LÄN</t>
        </is>
      </c>
      <c r="G456" t="inlineStr">
        <is>
          <t>MÖNSTERÅS</t>
        </is>
      </c>
      <c r="I456" t="n">
        <v>1.5</v>
      </c>
      <c r="J456" t="n">
        <v>3</v>
      </c>
      <c r="K456" t="n">
        <v>0</v>
      </c>
      <c r="L456" t="n">
        <v>0</v>
      </c>
      <c r="M456" t="n">
        <v>0</v>
      </c>
      <c r="N456" t="n">
        <v>0</v>
      </c>
      <c r="O456" t="n">
        <v>0</v>
      </c>
      <c r="P456" t="n">
        <v>0</v>
      </c>
      <c r="Q456" t="n">
        <v>0</v>
      </c>
      <c r="R456" t="n">
        <v>0</v>
      </c>
      <c r="S456" t="n">
        <v>3</v>
      </c>
      <c r="T456" t="n">
        <v>3</v>
      </c>
      <c r="U456" t="n">
        <v>2</v>
      </c>
      <c r="V456" s="2" t="inlineStr">
        <is>
          <t>Dvärgpipistrell
Hasselmus
Större brunfladdermus</t>
        </is>
      </c>
      <c r="W456">
        <f>HYPERLINK("https://klasma.github.io/Logging_0861/artfynd/A 25218-2023 artfynd.xlsx", "A 25218-2023")</f>
        <v/>
      </c>
      <c r="X456">
        <f>HYPERLINK("https://klasma.github.io/Logging_0861/kartor/A 25218-2023 karta.png", "A 25218-2023")</f>
        <v/>
      </c>
      <c r="Y456">
        <f>HYPERLINK("https://klasma.github.io/Logging_0861/kartor_geotiff/A 25218-2023 georefererad karta.tif", "A 25218-2023")</f>
        <v/>
      </c>
      <c r="AA456">
        <f>HYPERLINK("https://klasma.github.io/Logging_0861/klagomål/A 25218-2023 FSC-klagomål.docx", "A 25218-2023")</f>
        <v/>
      </c>
      <c r="AB456">
        <f>HYPERLINK("https://klasma.github.io/Logging_0861/klagomålsmail/A 25218-2023 FSC-klagomål mail.docx", "A 25218-2023")</f>
        <v/>
      </c>
      <c r="AC456">
        <f>HYPERLINK("https://klasma.github.io/Logging_0861/tillsyn/A 25218-2023 tillsynsbegäran.docx", "A 25218-2023")</f>
        <v/>
      </c>
      <c r="AD456">
        <f>HYPERLINK("https://klasma.github.io/Logging_0861/tillsynsmail/A 25218-2023 tillsynsbegäran mail.docx", "A 25218-2023")</f>
        <v/>
      </c>
    </row>
    <row r="457" ht="15" customHeight="1">
      <c r="A457" t="inlineStr">
        <is>
          <t>A 36129-2024</t>
        </is>
      </c>
      <c r="B457" t="inlineStr">
        <is>
          <t>avverkningsanmälan</t>
        </is>
      </c>
      <c r="C457" t="inlineStr">
        <is>
          <t>Föryngringsavverkning</t>
        </is>
      </c>
      <c r="D457" s="1" t="n">
        <v>45534</v>
      </c>
      <c r="E457" s="1" t="n">
        <v>46323</v>
      </c>
      <c r="F457" t="inlineStr">
        <is>
          <t>KALMAR LÄN</t>
        </is>
      </c>
      <c r="G457" t="inlineStr">
        <is>
          <t>MÖNSTERÅS</t>
        </is>
      </c>
      <c r="I457" t="n">
        <v>15.2</v>
      </c>
      <c r="J457" t="n">
        <v>2</v>
      </c>
      <c r="K457" t="n">
        <v>1</v>
      </c>
      <c r="L457" t="n">
        <v>0</v>
      </c>
      <c r="M457" t="n">
        <v>0</v>
      </c>
      <c r="N457" t="n">
        <v>0</v>
      </c>
      <c r="O457" t="n">
        <v>0</v>
      </c>
      <c r="P457" t="n">
        <v>0</v>
      </c>
      <c r="Q457" t="n">
        <v>0</v>
      </c>
      <c r="R457" t="n">
        <v>0</v>
      </c>
      <c r="S457" t="n">
        <v>3</v>
      </c>
      <c r="T457" t="n">
        <v>5</v>
      </c>
      <c r="U457" t="n">
        <v>0</v>
      </c>
      <c r="V457" s="2" t="inlineStr">
        <is>
          <t>Blåmossa
Spillkråka
Kungsfågel</t>
        </is>
      </c>
      <c r="W457">
        <f>HYPERLINK("https://klasma.github.io/Logging_0861/artfynd/A 36129-2024 artfynd.xlsx", "A 36129-2024")</f>
        <v/>
      </c>
      <c r="X457">
        <f>HYPERLINK("https://klasma.github.io/Logging_0861/kartor/A 36129-2024 karta.png", "A 36129-2024")</f>
        <v/>
      </c>
      <c r="Y457">
        <f>HYPERLINK("https://klasma.github.io/Logging_0861/kartor_geotiff/A 36129-2024 georefererad karta.tif", "A 36129-2024")</f>
        <v/>
      </c>
      <c r="AA457">
        <f>HYPERLINK("https://klasma.github.io/Logging_0861/klagomål/A 36129-2024 FSC-klagomål.docx", "A 36129-2024")</f>
        <v/>
      </c>
      <c r="AB457">
        <f>HYPERLINK("https://klasma.github.io/Logging_0861/klagomålsmail/A 36129-2024 FSC-klagomål mail.docx", "A 36129-2024")</f>
        <v/>
      </c>
      <c r="AC457">
        <f>HYPERLINK("https://klasma.github.io/Logging_0861/tillsyn/A 36129-2024 tillsynsbegäran.docx", "A 36129-2024")</f>
        <v/>
      </c>
      <c r="AD457">
        <f>HYPERLINK("https://klasma.github.io/Logging_0861/tillsynsmail/A 36129-2024 tillsynsbegäran mail.docx", "A 36129-2024")</f>
        <v/>
      </c>
      <c r="AE457">
        <f>HYPERLINK("https://klasma.github.io/Logging_0861/fåglar/A 36129-2024 prioriterade fågelarter.docx", "A 36129-2024")</f>
        <v/>
      </c>
    </row>
    <row r="458" ht="15" customHeight="1">
      <c r="A458" t="inlineStr">
        <is>
          <t>A 61804-2023</t>
        </is>
      </c>
      <c r="B458" t="inlineStr">
        <is>
          <t>avverkningsanmälan</t>
        </is>
      </c>
      <c r="C458" t="inlineStr">
        <is>
          <t>Föryngringsavverkning</t>
        </is>
      </c>
      <c r="D458" s="1" t="n">
        <v>45266</v>
      </c>
      <c r="E458" s="1" t="n">
        <v>46323</v>
      </c>
      <c r="F458" t="inlineStr">
        <is>
          <t>KALMAR LÄN</t>
        </is>
      </c>
      <c r="G458" t="inlineStr">
        <is>
          <t>VÄSTERVIK</t>
        </is>
      </c>
      <c r="I458" t="n">
        <v>2.3</v>
      </c>
      <c r="J458" t="n">
        <v>0</v>
      </c>
      <c r="K458" t="n">
        <v>0</v>
      </c>
      <c r="L458" t="n">
        <v>0</v>
      </c>
      <c r="M458" t="n">
        <v>3</v>
      </c>
      <c r="N458" t="n">
        <v>0</v>
      </c>
      <c r="O458" t="n">
        <v>0</v>
      </c>
      <c r="P458" t="n">
        <v>0</v>
      </c>
      <c r="Q458" t="n">
        <v>3</v>
      </c>
      <c r="R458" t="n">
        <v>3</v>
      </c>
      <c r="S458" t="n">
        <v>3</v>
      </c>
      <c r="T458" t="n">
        <v>3</v>
      </c>
      <c r="U458" t="n">
        <v>0</v>
      </c>
      <c r="V458" s="2" t="inlineStr">
        <is>
          <t>Bredbrämad bastardsvärmare
Mindre bastardsvärmare
Smalsprötad bastardsvärmare</t>
        </is>
      </c>
      <c r="W458">
        <f>HYPERLINK("https://klasma.github.io/Logging_0883/artfynd/A 61804-2023 artfynd.xlsx", "A 61804-2023")</f>
        <v/>
      </c>
      <c r="X458">
        <f>HYPERLINK("https://klasma.github.io/Logging_0883/kartor/A 61804-2023 karta.png", "A 61804-2023")</f>
        <v/>
      </c>
      <c r="Y458">
        <f>HYPERLINK("https://klasma.github.io/Logging_0883/kartor_geotiff/A 61804-2023 georefererad karta.tif", "A 61804-2023")</f>
        <v/>
      </c>
      <c r="AA458">
        <f>HYPERLINK("https://klasma.github.io/Logging_0883/klagomål/A 61804-2023 FSC-klagomål.docx", "A 61804-2023")</f>
        <v/>
      </c>
      <c r="AB458">
        <f>HYPERLINK("https://klasma.github.io/Logging_0883/klagomålsmail/A 61804-2023 FSC-klagomål mail.docx", "A 61804-2023")</f>
        <v/>
      </c>
      <c r="AC458">
        <f>HYPERLINK("https://klasma.github.io/Logging_0883/tillsyn/A 61804-2023 tillsynsbegäran.docx", "A 61804-2023")</f>
        <v/>
      </c>
      <c r="AD458">
        <f>HYPERLINK("https://klasma.github.io/Logging_0883/tillsynsmail/A 61804-2023 tillsynsbegäran mail.docx", "A 61804-2023")</f>
        <v/>
      </c>
    </row>
    <row r="459" ht="15" customHeight="1">
      <c r="A459" t="inlineStr">
        <is>
          <t>A 7107-2023</t>
        </is>
      </c>
      <c r="B459" t="inlineStr">
        <is>
          <t>avverkningsanmälan</t>
        </is>
      </c>
      <c r="C459" t="inlineStr">
        <is>
          <t>Föryngringsavverkning</t>
        </is>
      </c>
      <c r="D459" s="1" t="n">
        <v>44970</v>
      </c>
      <c r="E459" s="1" t="n">
        <v>46323</v>
      </c>
      <c r="F459" t="inlineStr">
        <is>
          <t>KALMAR LÄN</t>
        </is>
      </c>
      <c r="G459" t="inlineStr">
        <is>
          <t>KALMAR</t>
        </is>
      </c>
      <c r="I459" t="n">
        <v>1.1</v>
      </c>
      <c r="J459" t="n">
        <v>0</v>
      </c>
      <c r="K459" t="n">
        <v>2</v>
      </c>
      <c r="L459" t="n">
        <v>1</v>
      </c>
      <c r="M459" t="n">
        <v>0</v>
      </c>
      <c r="N459" t="n">
        <v>0</v>
      </c>
      <c r="O459" t="n">
        <v>0</v>
      </c>
      <c r="P459" t="n">
        <v>0</v>
      </c>
      <c r="Q459" t="n">
        <v>1</v>
      </c>
      <c r="R459" t="n">
        <v>0</v>
      </c>
      <c r="S459" t="n">
        <v>3</v>
      </c>
      <c r="T459" t="n">
        <v>3</v>
      </c>
      <c r="U459" t="n">
        <v>3</v>
      </c>
      <c r="V459" s="2" t="inlineStr">
        <is>
          <t>Vippärt
Barkticka
Fällmossa</t>
        </is>
      </c>
      <c r="W459">
        <f>HYPERLINK("https://klasma.github.io/Logging_0880/artfynd/A 7107-2023 artfynd.xlsx", "A 7107-2023")</f>
        <v/>
      </c>
      <c r="X459">
        <f>HYPERLINK("https://klasma.github.io/Logging_0880/kartor/A 7107-2023 karta.png", "A 7107-2023")</f>
        <v/>
      </c>
      <c r="Y459">
        <f>HYPERLINK("https://klasma.github.io/Logging_0880/kartor_geotiff/A 7107-2023 georefererad karta.tif", "A 7107-2023")</f>
        <v/>
      </c>
      <c r="AA459">
        <f>HYPERLINK("https://klasma.github.io/Logging_0880/klagomål/A 7107-2023 FSC-klagomål.docx", "A 7107-2023")</f>
        <v/>
      </c>
      <c r="AB459">
        <f>HYPERLINK("https://klasma.github.io/Logging_0880/klagomålsmail/A 7107-2023 FSC-klagomål mail.docx", "A 7107-2023")</f>
        <v/>
      </c>
      <c r="AC459">
        <f>HYPERLINK("https://klasma.github.io/Logging_0880/tillsyn/A 7107-2023 tillsynsbegäran.docx", "A 7107-2023")</f>
        <v/>
      </c>
      <c r="AD459">
        <f>HYPERLINK("https://klasma.github.io/Logging_0880/tillsynsmail/A 7107-2023 tillsynsbegäran mail.docx", "A 7107-2023")</f>
        <v/>
      </c>
    </row>
    <row r="460" ht="15" customHeight="1">
      <c r="A460" t="inlineStr">
        <is>
          <t>A 1933-2022</t>
        </is>
      </c>
      <c r="B460" t="inlineStr">
        <is>
          <t>avverkningsanmälan</t>
        </is>
      </c>
      <c r="C460" t="inlineStr">
        <is>
          <t>Föryngringsavverkning</t>
        </is>
      </c>
      <c r="D460" s="1" t="n">
        <v>44575</v>
      </c>
      <c r="E460" s="1" t="n">
        <v>46323</v>
      </c>
      <c r="F460" t="inlineStr">
        <is>
          <t>KALMAR LÄN</t>
        </is>
      </c>
      <c r="G460" t="inlineStr">
        <is>
          <t>KALMAR</t>
        </is>
      </c>
      <c r="I460" t="n">
        <v>3.3</v>
      </c>
      <c r="J460" t="n">
        <v>1</v>
      </c>
      <c r="K460" t="n">
        <v>2</v>
      </c>
      <c r="L460" t="n">
        <v>0</v>
      </c>
      <c r="M460" t="n">
        <v>1</v>
      </c>
      <c r="N460" t="n">
        <v>0</v>
      </c>
      <c r="O460" t="n">
        <v>0</v>
      </c>
      <c r="P460" t="n">
        <v>0</v>
      </c>
      <c r="Q460" t="n">
        <v>1</v>
      </c>
      <c r="R460" t="n">
        <v>1</v>
      </c>
      <c r="S460" t="n">
        <v>3</v>
      </c>
      <c r="T460" t="n">
        <v>8</v>
      </c>
      <c r="U460" t="n">
        <v>8</v>
      </c>
      <c r="V460" s="2" t="inlineStr">
        <is>
          <t>Knärot
Brandticka
Grovticka</t>
        </is>
      </c>
      <c r="W460">
        <f>HYPERLINK("https://klasma.github.io/Logging_0880/artfynd/A 1933-2022 artfynd.xlsx", "A 1933-2022")</f>
        <v/>
      </c>
      <c r="X460">
        <f>HYPERLINK("https://klasma.github.io/Logging_0880/kartor/A 1933-2022 karta.png", "A 1933-2022")</f>
        <v/>
      </c>
      <c r="Y460">
        <f>HYPERLINK("https://klasma.github.io/Logging_0880/kartor_geotiff/A 1933-2022 georefererad karta.tif", "A 1933-2022")</f>
        <v/>
      </c>
      <c r="Z460">
        <f>HYPERLINK("https://klasma.github.io/Logging_0880/knärot/A 1933-2022 karta knärot.png", "A 1933-2022")</f>
        <v/>
      </c>
      <c r="AA460">
        <f>HYPERLINK("https://klasma.github.io/Logging_0880/klagomål/A 1933-2022 FSC-klagomål.docx", "A 1933-2022")</f>
        <v/>
      </c>
      <c r="AB460">
        <f>HYPERLINK("https://klasma.github.io/Logging_0880/klagomålsmail/A 1933-2022 FSC-klagomål mail.docx", "A 1933-2022")</f>
        <v/>
      </c>
      <c r="AC460">
        <f>HYPERLINK("https://klasma.github.io/Logging_0880/tillsyn/A 1933-2022 tillsynsbegäran.docx", "A 1933-2022")</f>
        <v/>
      </c>
      <c r="AD460">
        <f>HYPERLINK("https://klasma.github.io/Logging_0880/tillsynsmail/A 1933-2022 tillsynsbegäran mail.docx", "A 1933-2022")</f>
        <v/>
      </c>
    </row>
    <row r="461" ht="15" customHeight="1">
      <c r="A461" t="inlineStr">
        <is>
          <t>A 3053-2024</t>
        </is>
      </c>
      <c r="B461" t="inlineStr">
        <is>
          <t>avverkningsanmälan</t>
        </is>
      </c>
      <c r="C461" t="inlineStr">
        <is>
          <t>Föryngringsavverkning</t>
        </is>
      </c>
      <c r="D461" s="1" t="n">
        <v>45316</v>
      </c>
      <c r="E461" s="1" t="n">
        <v>46323</v>
      </c>
      <c r="F461" t="inlineStr">
        <is>
          <t>KALMAR LÄN</t>
        </is>
      </c>
      <c r="G461" t="inlineStr">
        <is>
          <t>NYBRO</t>
        </is>
      </c>
      <c r="I461" t="n">
        <v>1.7</v>
      </c>
      <c r="J461" t="n">
        <v>0</v>
      </c>
      <c r="K461" t="n">
        <v>0</v>
      </c>
      <c r="L461" t="n">
        <v>2</v>
      </c>
      <c r="M461" t="n">
        <v>1</v>
      </c>
      <c r="N461" t="n">
        <v>0</v>
      </c>
      <c r="O461" t="n">
        <v>0</v>
      </c>
      <c r="P461" t="n">
        <v>0</v>
      </c>
      <c r="Q461" t="n">
        <v>3</v>
      </c>
      <c r="R461" t="n">
        <v>1</v>
      </c>
      <c r="S461" t="n">
        <v>3</v>
      </c>
      <c r="T461" t="n">
        <v>3</v>
      </c>
      <c r="U461" t="n">
        <v>0</v>
      </c>
      <c r="V461" s="2" t="inlineStr">
        <is>
          <t>Mindre bastardsvärmare
Klubbsprötad bastardsvärmare
Slåtterfibbla</t>
        </is>
      </c>
      <c r="W461">
        <f>HYPERLINK("https://klasma.github.io/Logging_0881/artfynd/A 3053-2024 artfynd.xlsx", "A 3053-2024")</f>
        <v/>
      </c>
      <c r="X461">
        <f>HYPERLINK("https://klasma.github.io/Logging_0881/kartor/A 3053-2024 karta.png", "A 3053-2024")</f>
        <v/>
      </c>
      <c r="Y461">
        <f>HYPERLINK("https://klasma.github.io/Logging_0881/kartor_geotiff/A 3053-2024 georefererad karta.tif", "A 3053-2024")</f>
        <v/>
      </c>
      <c r="AA461">
        <f>HYPERLINK("https://klasma.github.io/Logging_0881/klagomål/A 3053-2024 FSC-klagomål.docx", "A 3053-2024")</f>
        <v/>
      </c>
      <c r="AB461">
        <f>HYPERLINK("https://klasma.github.io/Logging_0881/klagomålsmail/A 3053-2024 FSC-klagomål mail.docx", "A 3053-2024")</f>
        <v/>
      </c>
      <c r="AC461">
        <f>HYPERLINK("https://klasma.github.io/Logging_0881/tillsyn/A 3053-2024 tillsynsbegäran.docx", "A 3053-2024")</f>
        <v/>
      </c>
      <c r="AD461">
        <f>HYPERLINK("https://klasma.github.io/Logging_0881/tillsynsmail/A 3053-2024 tillsynsbegäran mail.docx", "A 3053-2024")</f>
        <v/>
      </c>
    </row>
    <row r="462" ht="15" customHeight="1">
      <c r="A462" t="inlineStr">
        <is>
          <t>A 35939-2024</t>
        </is>
      </c>
      <c r="B462" t="inlineStr">
        <is>
          <t>avverkningsanmälan</t>
        </is>
      </c>
      <c r="C462" t="inlineStr">
        <is>
          <t>Föryngringsavverkning</t>
        </is>
      </c>
      <c r="D462" s="1" t="n">
        <v>45533</v>
      </c>
      <c r="E462" s="1" t="n">
        <v>46323</v>
      </c>
      <c r="F462" t="inlineStr">
        <is>
          <t>KALMAR LÄN</t>
        </is>
      </c>
      <c r="G462" t="inlineStr">
        <is>
          <t>VÄSTERVIK</t>
        </is>
      </c>
      <c r="I462" t="n">
        <v>3.8</v>
      </c>
      <c r="J462" t="n">
        <v>1</v>
      </c>
      <c r="K462" t="n">
        <v>1</v>
      </c>
      <c r="L462" t="n">
        <v>2</v>
      </c>
      <c r="M462" t="n">
        <v>0</v>
      </c>
      <c r="N462" t="n">
        <v>0</v>
      </c>
      <c r="O462" t="n">
        <v>0</v>
      </c>
      <c r="P462" t="n">
        <v>0</v>
      </c>
      <c r="Q462" t="n">
        <v>2</v>
      </c>
      <c r="R462" t="n">
        <v>0</v>
      </c>
      <c r="S462" t="n">
        <v>3</v>
      </c>
      <c r="T462" t="n">
        <v>3</v>
      </c>
      <c r="U462" t="n">
        <v>3</v>
      </c>
      <c r="V462" s="2" t="inlineStr">
        <is>
          <t>Tallticka
Talltita
Blåmossa</t>
        </is>
      </c>
      <c r="W462">
        <f>HYPERLINK("https://klasma.github.io/Logging_0883/artfynd/A 35939-2024 artfynd.xlsx", "A 35939-2024")</f>
        <v/>
      </c>
      <c r="X462">
        <f>HYPERLINK("https://klasma.github.io/Logging_0883/kartor/A 35939-2024 karta.png", "A 35939-2024")</f>
        <v/>
      </c>
      <c r="Y462">
        <f>HYPERLINK("https://klasma.github.io/Logging_0883/kartor_geotiff/A 35939-2024 georefererad karta.tif", "A 35939-2024")</f>
        <v/>
      </c>
      <c r="AA462">
        <f>HYPERLINK("https://klasma.github.io/Logging_0883/klagomål/A 35939-2024 FSC-klagomål.docx", "A 35939-2024")</f>
        <v/>
      </c>
      <c r="AB462">
        <f>HYPERLINK("https://klasma.github.io/Logging_0883/klagomålsmail/A 35939-2024 FSC-klagomål mail.docx", "A 35939-2024")</f>
        <v/>
      </c>
      <c r="AC462">
        <f>HYPERLINK("https://klasma.github.io/Logging_0883/tillsyn/A 35939-2024 tillsynsbegäran.docx", "A 35939-2024")</f>
        <v/>
      </c>
      <c r="AD462">
        <f>HYPERLINK("https://klasma.github.io/Logging_0883/tillsynsmail/A 35939-2024 tillsynsbegäran mail.docx", "A 35939-2024")</f>
        <v/>
      </c>
      <c r="AE462">
        <f>HYPERLINK("https://klasma.github.io/Logging_0883/fåglar/A 35939-2024 prioriterade fågelarter.docx", "A 35939-2024")</f>
        <v/>
      </c>
    </row>
    <row r="463" ht="15" customHeight="1">
      <c r="A463" t="inlineStr">
        <is>
          <t>A 59697-2023</t>
        </is>
      </c>
      <c r="B463" t="inlineStr">
        <is>
          <t>avverkningsanmälan</t>
        </is>
      </c>
      <c r="C463" t="inlineStr">
        <is>
          <t>Föryngringsavverkning</t>
        </is>
      </c>
      <c r="D463" s="1" t="n">
        <v>45256</v>
      </c>
      <c r="E463" s="1" t="n">
        <v>46323</v>
      </c>
      <c r="F463" t="inlineStr">
        <is>
          <t>KALMAR LÄN</t>
        </is>
      </c>
      <c r="G463" t="inlineStr">
        <is>
          <t>OSKARSHAMN</t>
        </is>
      </c>
      <c r="I463" t="n">
        <v>11.9</v>
      </c>
      <c r="J463" t="n">
        <v>0</v>
      </c>
      <c r="K463" t="n">
        <v>0</v>
      </c>
      <c r="L463" t="n">
        <v>0</v>
      </c>
      <c r="M463" t="n">
        <v>1</v>
      </c>
      <c r="N463" t="n">
        <v>2</v>
      </c>
      <c r="O463" t="n">
        <v>0</v>
      </c>
      <c r="P463" t="n">
        <v>0</v>
      </c>
      <c r="Q463" t="n">
        <v>3</v>
      </c>
      <c r="R463" t="n">
        <v>3</v>
      </c>
      <c r="S463" t="n">
        <v>3</v>
      </c>
      <c r="T463" t="n">
        <v>4</v>
      </c>
      <c r="U463" t="n">
        <v>0</v>
      </c>
      <c r="V463" s="2" t="inlineStr">
        <is>
          <t>Almlav
Ask
Blek kraterlav</t>
        </is>
      </c>
      <c r="W463">
        <f>HYPERLINK("https://klasma.github.io/Logging_0882/artfynd/A 59697-2023 artfynd.xlsx", "A 59697-2023")</f>
        <v/>
      </c>
      <c r="X463">
        <f>HYPERLINK("https://klasma.github.io/Logging_0882/kartor/A 59697-2023 karta.png", "A 59697-2023")</f>
        <v/>
      </c>
      <c r="Y463">
        <f>HYPERLINK("https://klasma.github.io/Logging_0882/kartor_geotiff/A 59697-2023 georefererad karta.tif", "A 59697-2023")</f>
        <v/>
      </c>
      <c r="AA463">
        <f>HYPERLINK("https://klasma.github.io/Logging_0882/klagomål/A 59697-2023 FSC-klagomål.docx", "A 59697-2023")</f>
        <v/>
      </c>
      <c r="AB463">
        <f>HYPERLINK("https://klasma.github.io/Logging_0882/klagomålsmail/A 59697-2023 FSC-klagomål mail.docx", "A 59697-2023")</f>
        <v/>
      </c>
      <c r="AC463">
        <f>HYPERLINK("https://klasma.github.io/Logging_0882/tillsyn/A 59697-2023 tillsynsbegäran.docx", "A 59697-2023")</f>
        <v/>
      </c>
      <c r="AD463">
        <f>HYPERLINK("https://klasma.github.io/Logging_0882/tillsynsmail/A 59697-2023 tillsynsbegäran mail.docx", "A 59697-2023")</f>
        <v/>
      </c>
    </row>
    <row r="464" ht="15" customHeight="1">
      <c r="A464" t="inlineStr">
        <is>
          <t>A 61894-2024</t>
        </is>
      </c>
      <c r="B464" t="inlineStr">
        <is>
          <t>avverkningsanmälan</t>
        </is>
      </c>
      <c r="C464" t="inlineStr">
        <is>
          <t>Föryngringsavverkning</t>
        </is>
      </c>
      <c r="D464" s="1" t="n">
        <v>45652</v>
      </c>
      <c r="E464" s="1" t="n">
        <v>46323</v>
      </c>
      <c r="F464" t="inlineStr">
        <is>
          <t>KALMAR LÄN</t>
        </is>
      </c>
      <c r="G464" t="inlineStr">
        <is>
          <t>NYBRO</t>
        </is>
      </c>
      <c r="I464" t="n">
        <v>2.3</v>
      </c>
      <c r="J464" t="n">
        <v>2</v>
      </c>
      <c r="K464" t="n">
        <v>2</v>
      </c>
      <c r="L464" t="n">
        <v>0</v>
      </c>
      <c r="M464" t="n">
        <v>0</v>
      </c>
      <c r="N464" t="n">
        <v>0</v>
      </c>
      <c r="O464" t="n">
        <v>0</v>
      </c>
      <c r="P464" t="n">
        <v>0</v>
      </c>
      <c r="Q464" t="n">
        <v>0</v>
      </c>
      <c r="R464" t="n">
        <v>0</v>
      </c>
      <c r="S464" t="n">
        <v>3</v>
      </c>
      <c r="T464" t="n">
        <v>4</v>
      </c>
      <c r="U464" t="n">
        <v>0</v>
      </c>
      <c r="V464" s="2" t="inlineStr">
        <is>
          <t>Blåmossa
Skogsknipprot
Spillkråka</t>
        </is>
      </c>
      <c r="W464">
        <f>HYPERLINK("https://klasma.github.io/Logging_0881/artfynd/A 61894-2024 artfynd.xlsx", "A 61894-2024")</f>
        <v/>
      </c>
      <c r="X464">
        <f>HYPERLINK("https://klasma.github.io/Logging_0881/kartor/A 61894-2024 karta.png", "A 61894-2024")</f>
        <v/>
      </c>
      <c r="Y464">
        <f>HYPERLINK("https://klasma.github.io/Logging_0881/kartor_geotiff/A 61894-2024 georefererad karta.tif", "A 61894-2024")</f>
        <v/>
      </c>
      <c r="AA464">
        <f>HYPERLINK("https://klasma.github.io/Logging_0881/klagomål/A 61894-2024 FSC-klagomål.docx", "A 61894-2024")</f>
        <v/>
      </c>
      <c r="AB464">
        <f>HYPERLINK("https://klasma.github.io/Logging_0881/klagomålsmail/A 61894-2024 FSC-klagomål mail.docx", "A 61894-2024")</f>
        <v/>
      </c>
      <c r="AC464">
        <f>HYPERLINK("https://klasma.github.io/Logging_0881/tillsyn/A 61894-2024 tillsynsbegäran.docx", "A 61894-2024")</f>
        <v/>
      </c>
      <c r="AD464">
        <f>HYPERLINK("https://klasma.github.io/Logging_0881/tillsynsmail/A 61894-2024 tillsynsbegäran mail.docx", "A 61894-2024")</f>
        <v/>
      </c>
      <c r="AE464">
        <f>HYPERLINK("https://klasma.github.io/Logging_0881/fåglar/A 61894-2024 prioriterade fågelarter.docx", "A 61894-2024")</f>
        <v/>
      </c>
    </row>
    <row r="465" ht="15" customHeight="1">
      <c r="A465" t="inlineStr">
        <is>
          <t>A 3173-2023</t>
        </is>
      </c>
      <c r="B465" t="inlineStr">
        <is>
          <t>avverkningsanmälan</t>
        </is>
      </c>
      <c r="C465" t="inlineStr">
        <is>
          <t>Föryngringsavverkning</t>
        </is>
      </c>
      <c r="D465" s="1" t="n">
        <v>44946</v>
      </c>
      <c r="E465" s="1" t="n">
        <v>46323</v>
      </c>
      <c r="F465" t="inlineStr">
        <is>
          <t>KALMAR LÄN</t>
        </is>
      </c>
      <c r="G465" t="inlineStr">
        <is>
          <t>VÄSTERVIK</t>
        </is>
      </c>
      <c r="I465" t="n">
        <v>4</v>
      </c>
      <c r="J465" t="n">
        <v>2</v>
      </c>
      <c r="K465" t="n">
        <v>0</v>
      </c>
      <c r="L465" t="n">
        <v>1</v>
      </c>
      <c r="M465" t="n">
        <v>1</v>
      </c>
      <c r="N465" t="n">
        <v>0</v>
      </c>
      <c r="O465" t="n">
        <v>0</v>
      </c>
      <c r="P465" t="n">
        <v>0</v>
      </c>
      <c r="Q465" t="n">
        <v>2</v>
      </c>
      <c r="R465" t="n">
        <v>1</v>
      </c>
      <c r="S465" t="n">
        <v>3</v>
      </c>
      <c r="T465" t="n">
        <v>8</v>
      </c>
      <c r="U465" t="n">
        <v>8</v>
      </c>
      <c r="V465" s="2" t="inlineStr">
        <is>
          <t>Knärot
Tallticka
Tjäder</t>
        </is>
      </c>
      <c r="W465">
        <f>HYPERLINK("https://klasma.github.io/Logging_0883/artfynd/A 3173-2023 artfynd.xlsx", "A 3173-2023")</f>
        <v/>
      </c>
      <c r="X465">
        <f>HYPERLINK("https://klasma.github.io/Logging_0883/kartor/A 3173-2023 karta.png", "A 3173-2023")</f>
        <v/>
      </c>
      <c r="Y465">
        <f>HYPERLINK("https://klasma.github.io/Logging_0883/kartor_geotiff/A 3173-2023 georefererad karta.tif", "A 3173-2023")</f>
        <v/>
      </c>
      <c r="Z465">
        <f>HYPERLINK("https://klasma.github.io/Logging_0883/knärot/A 3173-2023 karta knärot.png", "A 3173-2023")</f>
        <v/>
      </c>
      <c r="AA465">
        <f>HYPERLINK("https://klasma.github.io/Logging_0883/klagomål/A 3173-2023 FSC-klagomål.docx", "A 3173-2023")</f>
        <v/>
      </c>
      <c r="AB465">
        <f>HYPERLINK("https://klasma.github.io/Logging_0883/klagomålsmail/A 3173-2023 FSC-klagomål mail.docx", "A 3173-2023")</f>
        <v/>
      </c>
      <c r="AC465">
        <f>HYPERLINK("https://klasma.github.io/Logging_0883/tillsyn/A 3173-2023 tillsynsbegäran.docx", "A 3173-2023")</f>
        <v/>
      </c>
      <c r="AD465">
        <f>HYPERLINK("https://klasma.github.io/Logging_0883/tillsynsmail/A 3173-2023 tillsynsbegäran mail.docx", "A 3173-2023")</f>
        <v/>
      </c>
      <c r="AE465">
        <f>HYPERLINK("https://klasma.github.io/Logging_0883/fåglar/A 3173-2023 prioriterade fågelarter.docx", "A 3173-2023")</f>
        <v/>
      </c>
    </row>
    <row r="466" ht="15" customHeight="1">
      <c r="A466" t="inlineStr">
        <is>
          <t>A 43542-2025</t>
        </is>
      </c>
      <c r="B466" t="inlineStr">
        <is>
          <t>avverkningsanmälan</t>
        </is>
      </c>
      <c r="C466" t="inlineStr">
        <is>
          <t>Föryngringsavverkning</t>
        </is>
      </c>
      <c r="D466" s="1" t="n">
        <v>45911</v>
      </c>
      <c r="E466" s="1" t="n">
        <v>46323</v>
      </c>
      <c r="F466" t="inlineStr">
        <is>
          <t>KALMAR LÄN</t>
        </is>
      </c>
      <c r="G466" t="inlineStr">
        <is>
          <t>BORGHOLM</t>
        </is>
      </c>
      <c r="I466" t="n">
        <v>2.4</v>
      </c>
      <c r="J466" t="n">
        <v>0</v>
      </c>
      <c r="K466" t="n">
        <v>1</v>
      </c>
      <c r="L466" t="n">
        <v>2</v>
      </c>
      <c r="M466" t="n">
        <v>0</v>
      </c>
      <c r="N466" t="n">
        <v>0</v>
      </c>
      <c r="O466" t="n">
        <v>0</v>
      </c>
      <c r="P466" t="n">
        <v>0</v>
      </c>
      <c r="Q466" t="n">
        <v>2</v>
      </c>
      <c r="R466" t="n">
        <v>0</v>
      </c>
      <c r="S466" t="n">
        <v>3</v>
      </c>
      <c r="T466" t="n">
        <v>3</v>
      </c>
      <c r="U466" t="n">
        <v>3</v>
      </c>
      <c r="V466" s="2" t="inlineStr">
        <is>
          <t>Vårärt
Ängsskära
Underviol</t>
        </is>
      </c>
      <c r="W466">
        <f>HYPERLINK("https://klasma.github.io/Logging_0885/artfynd/A 43542-2025 artfynd.xlsx", "A 43542-2025")</f>
        <v/>
      </c>
      <c r="X466">
        <f>HYPERLINK("https://klasma.github.io/Logging_0885/kartor/A 43542-2025 karta.png", "A 43542-2025")</f>
        <v/>
      </c>
      <c r="Y466">
        <f>HYPERLINK("https://klasma.github.io/Logging_0885/kartor_geotiff/A 43542-2025 georefererad karta.tif", "A 43542-2025")</f>
        <v/>
      </c>
      <c r="AA466">
        <f>HYPERLINK("https://klasma.github.io/Logging_0885/klagomål/A 43542-2025 FSC-klagomål.docx", "A 43542-2025")</f>
        <v/>
      </c>
      <c r="AB466">
        <f>HYPERLINK("https://klasma.github.io/Logging_0885/klagomålsmail/A 43542-2025 FSC-klagomål mail.docx", "A 43542-2025")</f>
        <v/>
      </c>
      <c r="AC466">
        <f>HYPERLINK("https://klasma.github.io/Logging_0885/tillsyn/A 43542-2025 tillsynsbegäran.docx", "A 43542-2025")</f>
        <v/>
      </c>
      <c r="AD466">
        <f>HYPERLINK("https://klasma.github.io/Logging_0885/tillsynsmail/A 43542-2025 tillsynsbegäran mail.docx", "A 43542-2025")</f>
        <v/>
      </c>
    </row>
    <row r="467" ht="15" customHeight="1">
      <c r="A467" t="inlineStr">
        <is>
          <t>A 43702-2025</t>
        </is>
      </c>
      <c r="B467" t="inlineStr">
        <is>
          <t>avverkningsanmälan</t>
        </is>
      </c>
      <c r="C467" t="inlineStr">
        <is>
          <t>Föryngringsavverkning</t>
        </is>
      </c>
      <c r="D467" s="1" t="n">
        <v>45912</v>
      </c>
      <c r="E467" s="1" t="n">
        <v>46323</v>
      </c>
      <c r="F467" t="inlineStr">
        <is>
          <t>KALMAR LÄN</t>
        </is>
      </c>
      <c r="G467" t="inlineStr">
        <is>
          <t>MÖRBYLÅNGA</t>
        </is>
      </c>
      <c r="I467" t="n">
        <v>2.6</v>
      </c>
      <c r="J467" t="n">
        <v>0</v>
      </c>
      <c r="K467" t="n">
        <v>2</v>
      </c>
      <c r="L467" t="n">
        <v>1</v>
      </c>
      <c r="M467" t="n">
        <v>0</v>
      </c>
      <c r="N467" t="n">
        <v>0</v>
      </c>
      <c r="O467" t="n">
        <v>0</v>
      </c>
      <c r="P467" t="n">
        <v>0</v>
      </c>
      <c r="Q467" t="n">
        <v>1</v>
      </c>
      <c r="R467" t="n">
        <v>0</v>
      </c>
      <c r="S467" t="n">
        <v>3</v>
      </c>
      <c r="T467" t="n">
        <v>3</v>
      </c>
      <c r="U467" t="n">
        <v>2</v>
      </c>
      <c r="V467" s="2" t="inlineStr">
        <is>
          <t>Sårläka
Murgröna
Tibast</t>
        </is>
      </c>
      <c r="W467">
        <f>HYPERLINK("https://klasma.github.io/Logging_0840/artfynd/A 43702-2025 artfynd.xlsx", "A 43702-2025")</f>
        <v/>
      </c>
      <c r="X467">
        <f>HYPERLINK("https://klasma.github.io/Logging_0840/kartor/A 43702-2025 karta.png", "A 43702-2025")</f>
        <v/>
      </c>
      <c r="Y467">
        <f>HYPERLINK("https://klasma.github.io/Logging_0840/kartor_geotiff/A 43702-2025 georefererad karta.tif", "A 43702-2025")</f>
        <v/>
      </c>
      <c r="AA467">
        <f>HYPERLINK("https://klasma.github.io/Logging_0840/klagomål/A 43702-2025 FSC-klagomål.docx", "A 43702-2025")</f>
        <v/>
      </c>
      <c r="AB467">
        <f>HYPERLINK("https://klasma.github.io/Logging_0840/klagomålsmail/A 43702-2025 FSC-klagomål mail.docx", "A 43702-2025")</f>
        <v/>
      </c>
      <c r="AC467">
        <f>HYPERLINK("https://klasma.github.io/Logging_0840/tillsyn/A 43702-2025 tillsynsbegäran.docx", "A 43702-2025")</f>
        <v/>
      </c>
      <c r="AD467">
        <f>HYPERLINK("https://klasma.github.io/Logging_0840/tillsynsmail/A 43702-2025 tillsynsbegäran mail.docx", "A 43702-2025")</f>
        <v/>
      </c>
    </row>
    <row r="468" ht="15" customHeight="1">
      <c r="A468" t="inlineStr">
        <is>
          <t>A 23602-2023</t>
        </is>
      </c>
      <c r="B468" t="inlineStr">
        <is>
          <t>avverkningsanmälan</t>
        </is>
      </c>
      <c r="C468" t="inlineStr">
        <is>
          <t>Föryngringsavverkning</t>
        </is>
      </c>
      <c r="D468" s="1" t="n">
        <v>45077</v>
      </c>
      <c r="E468" s="1" t="n">
        <v>46323</v>
      </c>
      <c r="F468" t="inlineStr">
        <is>
          <t>KALMAR LÄN</t>
        </is>
      </c>
      <c r="G468" t="inlineStr">
        <is>
          <t>VIMMERBY</t>
        </is>
      </c>
      <c r="I468" t="n">
        <v>1.6</v>
      </c>
      <c r="J468" t="n">
        <v>0</v>
      </c>
      <c r="K468" t="n">
        <v>2</v>
      </c>
      <c r="L468" t="n">
        <v>1</v>
      </c>
      <c r="M468" t="n">
        <v>0</v>
      </c>
      <c r="N468" t="n">
        <v>0</v>
      </c>
      <c r="O468" t="n">
        <v>0</v>
      </c>
      <c r="P468" t="n">
        <v>0</v>
      </c>
      <c r="Q468" t="n">
        <v>1</v>
      </c>
      <c r="R468" t="n">
        <v>0</v>
      </c>
      <c r="S468" t="n">
        <v>3</v>
      </c>
      <c r="T468" t="n">
        <v>3</v>
      </c>
      <c r="U468" t="n">
        <v>0</v>
      </c>
      <c r="V468" s="2" t="inlineStr">
        <is>
          <t>Vedtrappmossa
Terpentinmossa
Vanlig rörsvepemossa</t>
        </is>
      </c>
      <c r="W468">
        <f>HYPERLINK("https://klasma.github.io/Logging_0884/artfynd/A 23602-2023 artfynd.xlsx", "A 23602-2023")</f>
        <v/>
      </c>
      <c r="X468">
        <f>HYPERLINK("https://klasma.github.io/Logging_0884/kartor/A 23602-2023 karta.png", "A 23602-2023")</f>
        <v/>
      </c>
      <c r="Y468">
        <f>HYPERLINK("https://klasma.github.io/Logging_0884/kartor_geotiff/A 23602-2023 georefererad karta.tif", "A 23602-2023")</f>
        <v/>
      </c>
      <c r="AA468">
        <f>HYPERLINK("https://klasma.github.io/Logging_0884/klagomål/A 23602-2023 FSC-klagomål.docx", "A 23602-2023")</f>
        <v/>
      </c>
      <c r="AB468">
        <f>HYPERLINK("https://klasma.github.io/Logging_0884/klagomålsmail/A 23602-2023 FSC-klagomål mail.docx", "A 23602-2023")</f>
        <v/>
      </c>
      <c r="AC468">
        <f>HYPERLINK("https://klasma.github.io/Logging_0884/tillsyn/A 23602-2023 tillsynsbegäran.docx", "A 23602-2023")</f>
        <v/>
      </c>
      <c r="AD468">
        <f>HYPERLINK("https://klasma.github.io/Logging_0884/tillsynsmail/A 23602-2023 tillsynsbegäran mail.docx", "A 23602-2023")</f>
        <v/>
      </c>
    </row>
    <row r="469" ht="15" customHeight="1">
      <c r="A469" t="inlineStr">
        <is>
          <t>A 44562-2025</t>
        </is>
      </c>
      <c r="B469" t="inlineStr">
        <is>
          <t>avverkningsanmälan</t>
        </is>
      </c>
      <c r="C469" t="inlineStr">
        <is>
          <t>Avverkning för att bevara och utveckla /försöksver</t>
        </is>
      </c>
      <c r="D469" s="1" t="n">
        <v>45917</v>
      </c>
      <c r="E469" s="1" t="n">
        <v>46323</v>
      </c>
      <c r="F469" t="inlineStr">
        <is>
          <t>KALMAR LÄN</t>
        </is>
      </c>
      <c r="G469" t="inlineStr">
        <is>
          <t>HULTSFRED</t>
        </is>
      </c>
      <c r="I469" t="n">
        <v>1.9</v>
      </c>
      <c r="J469" t="n">
        <v>2</v>
      </c>
      <c r="K469" t="n">
        <v>0</v>
      </c>
      <c r="L469" t="n">
        <v>2</v>
      </c>
      <c r="M469" t="n">
        <v>0</v>
      </c>
      <c r="N469" t="n">
        <v>0</v>
      </c>
      <c r="O469" t="n">
        <v>0</v>
      </c>
      <c r="P469" t="n">
        <v>0</v>
      </c>
      <c r="Q469" t="n">
        <v>2</v>
      </c>
      <c r="R469" t="n">
        <v>0</v>
      </c>
      <c r="S469" t="n">
        <v>3</v>
      </c>
      <c r="T469" t="n">
        <v>3</v>
      </c>
      <c r="U469" t="n">
        <v>1</v>
      </c>
      <c r="V469" s="2" t="inlineStr">
        <is>
          <t>Ekticka
Sädesärla
Grönvit nattviol</t>
        </is>
      </c>
      <c r="W469">
        <f>HYPERLINK("https://klasma.github.io/Logging_0860/artfynd/A 44562-2025 artfynd.xlsx", "A 44562-2025")</f>
        <v/>
      </c>
      <c r="X469">
        <f>HYPERLINK("https://klasma.github.io/Logging_0860/kartor/A 44562-2025 karta.png", "A 44562-2025")</f>
        <v/>
      </c>
      <c r="Y469">
        <f>HYPERLINK("https://klasma.github.io/Logging_0860/kartor_geotiff/A 44562-2025 georefererad karta.tif", "A 44562-2025")</f>
        <v/>
      </c>
      <c r="AA469">
        <f>HYPERLINK("https://klasma.github.io/Logging_0860/klagomål/A 44562-2025 FSC-klagomål.docx", "A 44562-2025")</f>
        <v/>
      </c>
      <c r="AB469">
        <f>HYPERLINK("https://klasma.github.io/Logging_0860/klagomålsmail/A 44562-2025 FSC-klagomål mail.docx", "A 44562-2025")</f>
        <v/>
      </c>
      <c r="AC469">
        <f>HYPERLINK("https://klasma.github.io/Logging_0860/tillsyn/A 44562-2025 tillsynsbegäran.docx", "A 44562-2025")</f>
        <v/>
      </c>
      <c r="AD469">
        <f>HYPERLINK("https://klasma.github.io/Logging_0860/tillsynsmail/A 44562-2025 tillsynsbegäran mail.docx", "A 44562-2025")</f>
        <v/>
      </c>
      <c r="AE469">
        <f>HYPERLINK("https://klasma.github.io/Logging_0860/fåglar/A 44562-2025 prioriterade fågelarter.docx", "A 44562-2025")</f>
        <v/>
      </c>
    </row>
    <row r="470" ht="15" customHeight="1">
      <c r="A470" t="inlineStr">
        <is>
          <t>A 804-2023</t>
        </is>
      </c>
      <c r="B470" t="inlineStr">
        <is>
          <t>avverkningsanmälan</t>
        </is>
      </c>
      <c r="C470" t="inlineStr">
        <is>
          <t>Avverkning för att bevara och utveckla /försöksver</t>
        </is>
      </c>
      <c r="D470" s="1" t="n">
        <v>44931</v>
      </c>
      <c r="E470" s="1" t="n">
        <v>46323</v>
      </c>
      <c r="F470" t="inlineStr">
        <is>
          <t>KALMAR LÄN</t>
        </is>
      </c>
      <c r="G470" t="inlineStr">
        <is>
          <t>VÄSTERVIK</t>
        </is>
      </c>
      <c r="H470" t="inlineStr">
        <is>
          <t>Holmen skog AB</t>
        </is>
      </c>
      <c r="I470" t="n">
        <v>5.2</v>
      </c>
      <c r="J470" t="n">
        <v>1</v>
      </c>
      <c r="K470" t="n">
        <v>1</v>
      </c>
      <c r="L470" t="n">
        <v>1</v>
      </c>
      <c r="M470" t="n">
        <v>1</v>
      </c>
      <c r="N470" t="n">
        <v>0</v>
      </c>
      <c r="O470" t="n">
        <v>0</v>
      </c>
      <c r="P470" t="n">
        <v>0</v>
      </c>
      <c r="Q470" t="n">
        <v>2</v>
      </c>
      <c r="R470" t="n">
        <v>1</v>
      </c>
      <c r="S470" t="n">
        <v>3</v>
      </c>
      <c r="T470" t="n">
        <v>3</v>
      </c>
      <c r="U470" t="n">
        <v>2</v>
      </c>
      <c r="V470" s="2" t="inlineStr">
        <is>
          <t>Violett fingersvamp
Ekticka
Ekoxe</t>
        </is>
      </c>
      <c r="W470">
        <f>HYPERLINK("https://klasma.github.io/Logging_0883/artfynd/A 804-2023 artfynd.xlsx", "A 804-2023")</f>
        <v/>
      </c>
      <c r="X470">
        <f>HYPERLINK("https://klasma.github.io/Logging_0883/kartor/A 804-2023 karta.png", "A 804-2023")</f>
        <v/>
      </c>
      <c r="Y470">
        <f>HYPERLINK("https://klasma.github.io/Logging_0883/kartor_geotiff/A 804-2023 georefererad karta.tif", "A 804-2023")</f>
        <v/>
      </c>
      <c r="AA470">
        <f>HYPERLINK("https://klasma.github.io/Logging_0883/klagomål/A 804-2023 FSC-klagomål.docx", "A 804-2023")</f>
        <v/>
      </c>
      <c r="AB470">
        <f>HYPERLINK("https://klasma.github.io/Logging_0883/klagomålsmail/A 804-2023 FSC-klagomål mail.docx", "A 804-2023")</f>
        <v/>
      </c>
      <c r="AC470">
        <f>HYPERLINK("https://klasma.github.io/Logging_0883/tillsyn/A 804-2023 tillsynsbegäran.docx", "A 804-2023")</f>
        <v/>
      </c>
      <c r="AD470">
        <f>HYPERLINK("https://klasma.github.io/Logging_0883/tillsynsmail/A 804-2023 tillsynsbegäran mail.docx", "A 804-2023")</f>
        <v/>
      </c>
    </row>
    <row r="471" ht="15" customHeight="1">
      <c r="A471" t="inlineStr">
        <is>
          <t>A 42353-2023</t>
        </is>
      </c>
      <c r="B471" t="inlineStr">
        <is>
          <t>avverkningsanmälan</t>
        </is>
      </c>
      <c r="C471" t="inlineStr">
        <is>
          <t>Föryngringsavverkning</t>
        </is>
      </c>
      <c r="D471" s="1" t="n">
        <v>45180</v>
      </c>
      <c r="E471" s="1" t="n">
        <v>46323</v>
      </c>
      <c r="F471" t="inlineStr">
        <is>
          <t>KALMAR LÄN</t>
        </is>
      </c>
      <c r="G471" t="inlineStr">
        <is>
          <t>VÄSTERVIK</t>
        </is>
      </c>
      <c r="I471" t="n">
        <v>11.3</v>
      </c>
      <c r="J471" t="n">
        <v>1</v>
      </c>
      <c r="K471" t="n">
        <v>1</v>
      </c>
      <c r="L471" t="n">
        <v>1</v>
      </c>
      <c r="M471" t="n">
        <v>1</v>
      </c>
      <c r="N471" t="n">
        <v>0</v>
      </c>
      <c r="O471" t="n">
        <v>0</v>
      </c>
      <c r="P471" t="n">
        <v>0</v>
      </c>
      <c r="Q471" t="n">
        <v>2</v>
      </c>
      <c r="R471" t="n">
        <v>1</v>
      </c>
      <c r="S471" t="n">
        <v>3</v>
      </c>
      <c r="T471" t="n">
        <v>17</v>
      </c>
      <c r="U471" t="n">
        <v>17</v>
      </c>
      <c r="V471" s="2" t="inlineStr">
        <is>
          <t>Knärot
Tallticka
Blomkålssvamp</t>
        </is>
      </c>
      <c r="W471">
        <f>HYPERLINK("https://klasma.github.io/Logging_0883/artfynd/A 42353-2023 artfynd.xlsx", "A 42353-2023")</f>
        <v/>
      </c>
      <c r="X471">
        <f>HYPERLINK("https://klasma.github.io/Logging_0883/kartor/A 42353-2023 karta.png", "A 42353-2023")</f>
        <v/>
      </c>
      <c r="Y471">
        <f>HYPERLINK("https://klasma.github.io/Logging_0883/kartor_geotiff/A 42353-2023 georefererad karta.tif", "A 42353-2023")</f>
        <v/>
      </c>
      <c r="Z471">
        <f>HYPERLINK("https://klasma.github.io/Logging_0883/knärot/A 42353-2023 karta knärot.png", "A 42353-2023")</f>
        <v/>
      </c>
      <c r="AA471">
        <f>HYPERLINK("https://klasma.github.io/Logging_0883/klagomål/A 42353-2023 FSC-klagomål.docx", "A 42353-2023")</f>
        <v/>
      </c>
      <c r="AB471">
        <f>HYPERLINK("https://klasma.github.io/Logging_0883/klagomålsmail/A 42353-2023 FSC-klagomål mail.docx", "A 42353-2023")</f>
        <v/>
      </c>
      <c r="AC471">
        <f>HYPERLINK("https://klasma.github.io/Logging_0883/tillsyn/A 42353-2023 tillsynsbegäran.docx", "A 42353-2023")</f>
        <v/>
      </c>
      <c r="AD471">
        <f>HYPERLINK("https://klasma.github.io/Logging_0883/tillsynsmail/A 42353-2023 tillsynsbegäran mail.docx", "A 42353-2023")</f>
        <v/>
      </c>
    </row>
    <row r="472" ht="15" customHeight="1">
      <c r="A472" t="inlineStr">
        <is>
          <t>A 8303-2024</t>
        </is>
      </c>
      <c r="B472" t="inlineStr">
        <is>
          <t>avverkningsanmälan</t>
        </is>
      </c>
      <c r="C472" t="inlineStr">
        <is>
          <t>Föryngringsavverkning</t>
        </is>
      </c>
      <c r="D472" s="1" t="n">
        <v>45352</v>
      </c>
      <c r="E472" s="1" t="n">
        <v>46323</v>
      </c>
      <c r="F472" t="inlineStr">
        <is>
          <t>KALMAR LÄN</t>
        </is>
      </c>
      <c r="G472" t="inlineStr">
        <is>
          <t>NYBRO</t>
        </is>
      </c>
      <c r="I472" t="n">
        <v>1.9</v>
      </c>
      <c r="J472" t="n">
        <v>0</v>
      </c>
      <c r="K472" t="n">
        <v>0</v>
      </c>
      <c r="L472" t="n">
        <v>2</v>
      </c>
      <c r="M472" t="n">
        <v>1</v>
      </c>
      <c r="N472" t="n">
        <v>0</v>
      </c>
      <c r="O472" t="n">
        <v>0</v>
      </c>
      <c r="P472" t="n">
        <v>0</v>
      </c>
      <c r="Q472" t="n">
        <v>3</v>
      </c>
      <c r="R472" t="n">
        <v>1</v>
      </c>
      <c r="S472" t="n">
        <v>3</v>
      </c>
      <c r="T472" t="n">
        <v>4</v>
      </c>
      <c r="U472" t="n">
        <v>1</v>
      </c>
      <c r="V472" s="2" t="inlineStr">
        <is>
          <t>Slåttergubbe
Spindelört
Spindelörtskinnbagge</t>
        </is>
      </c>
      <c r="W472">
        <f>HYPERLINK("https://klasma.github.io/Logging_0881/artfynd/A 8303-2024 artfynd.xlsx", "A 8303-2024")</f>
        <v/>
      </c>
      <c r="X472">
        <f>HYPERLINK("https://klasma.github.io/Logging_0881/kartor/A 8303-2024 karta.png", "A 8303-2024")</f>
        <v/>
      </c>
      <c r="Y472">
        <f>HYPERLINK("https://klasma.github.io/Logging_0881/kartor_geotiff/A 8303-2024 georefererad karta.tif", "A 8303-2024")</f>
        <v/>
      </c>
      <c r="AA472">
        <f>HYPERLINK("https://klasma.github.io/Logging_0881/klagomål/A 8303-2024 FSC-klagomål.docx", "A 8303-2024")</f>
        <v/>
      </c>
      <c r="AB472">
        <f>HYPERLINK("https://klasma.github.io/Logging_0881/klagomålsmail/A 8303-2024 FSC-klagomål mail.docx", "A 8303-2024")</f>
        <v/>
      </c>
      <c r="AC472">
        <f>HYPERLINK("https://klasma.github.io/Logging_0881/tillsyn/A 8303-2024 tillsynsbegäran.docx", "A 8303-2024")</f>
        <v/>
      </c>
      <c r="AD472">
        <f>HYPERLINK("https://klasma.github.io/Logging_0881/tillsynsmail/A 8303-2024 tillsynsbegäran mail.docx", "A 8303-2024")</f>
        <v/>
      </c>
    </row>
    <row r="473" ht="15" customHeight="1">
      <c r="A473" t="inlineStr">
        <is>
          <t>A 8304-2024</t>
        </is>
      </c>
      <c r="B473" t="inlineStr">
        <is>
          <t>avverkningsanmälan</t>
        </is>
      </c>
      <c r="C473" t="inlineStr">
        <is>
          <t>Avverkning för att bevara och utveckla /försöksver</t>
        </is>
      </c>
      <c r="D473" s="1" t="n">
        <v>45350</v>
      </c>
      <c r="E473" s="1" t="n">
        <v>46323</v>
      </c>
      <c r="F473" t="inlineStr">
        <is>
          <t>KALMAR LÄN</t>
        </is>
      </c>
      <c r="G473" t="inlineStr">
        <is>
          <t>TORSÅS</t>
        </is>
      </c>
      <c r="I473" t="n">
        <v>0.9</v>
      </c>
      <c r="J473" t="n">
        <v>0</v>
      </c>
      <c r="K473" t="n">
        <v>0</v>
      </c>
      <c r="L473" t="n">
        <v>0</v>
      </c>
      <c r="M473" t="n">
        <v>1</v>
      </c>
      <c r="N473" t="n">
        <v>2</v>
      </c>
      <c r="O473" t="n">
        <v>0</v>
      </c>
      <c r="P473" t="n">
        <v>0</v>
      </c>
      <c r="Q473" t="n">
        <v>3</v>
      </c>
      <c r="R473" t="n">
        <v>3</v>
      </c>
      <c r="S473" t="n">
        <v>3</v>
      </c>
      <c r="T473" t="n">
        <v>3</v>
      </c>
      <c r="U473" t="n">
        <v>1</v>
      </c>
      <c r="V473" s="2" t="inlineStr">
        <is>
          <t>Almlav
Korndådra
Gulvit blekspik</t>
        </is>
      </c>
      <c r="W473">
        <f>HYPERLINK("https://klasma.github.io/Logging_0834/artfynd/A 8304-2024 artfynd.xlsx", "A 8304-2024")</f>
        <v/>
      </c>
      <c r="X473">
        <f>HYPERLINK("https://klasma.github.io/Logging_0834/kartor/A 8304-2024 karta.png", "A 8304-2024")</f>
        <v/>
      </c>
      <c r="Y473">
        <f>HYPERLINK("https://klasma.github.io/Logging_0834/kartor_geotiff/A 8304-2024 georefererad karta.tif", "A 8304-2024")</f>
        <v/>
      </c>
      <c r="AA473">
        <f>HYPERLINK("https://klasma.github.io/Logging_0834/klagomål/A 8304-2024 FSC-klagomål.docx", "A 8304-2024")</f>
        <v/>
      </c>
      <c r="AB473">
        <f>HYPERLINK("https://klasma.github.io/Logging_0834/klagomålsmail/A 8304-2024 FSC-klagomål mail.docx", "A 8304-2024")</f>
        <v/>
      </c>
      <c r="AC473">
        <f>HYPERLINK("https://klasma.github.io/Logging_0834/tillsyn/A 8304-2024 tillsynsbegäran.docx", "A 8304-2024")</f>
        <v/>
      </c>
      <c r="AD473">
        <f>HYPERLINK("https://klasma.github.io/Logging_0834/tillsynsmail/A 8304-2024 tillsynsbegäran mail.docx", "A 8304-2024")</f>
        <v/>
      </c>
    </row>
    <row r="474" ht="15" customHeight="1">
      <c r="A474" t="inlineStr">
        <is>
          <t>A 38373-2022</t>
        </is>
      </c>
      <c r="B474" t="inlineStr">
        <is>
          <t>avverkningsanmälan</t>
        </is>
      </c>
      <c r="C474" t="inlineStr">
        <is>
          <t>Föryngringsavverkning</t>
        </is>
      </c>
      <c r="D474" s="1" t="n">
        <v>44812</v>
      </c>
      <c r="E474" s="1" t="n">
        <v>46323</v>
      </c>
      <c r="F474" t="inlineStr">
        <is>
          <t>KALMAR LÄN</t>
        </is>
      </c>
      <c r="G474" t="inlineStr">
        <is>
          <t>VÄSTERVIK</t>
        </is>
      </c>
      <c r="I474" t="n">
        <v>3.1</v>
      </c>
      <c r="J474" t="n">
        <v>2</v>
      </c>
      <c r="K474" t="n">
        <v>1</v>
      </c>
      <c r="L474" t="n">
        <v>0</v>
      </c>
      <c r="M474" t="n">
        <v>1</v>
      </c>
      <c r="N474" t="n">
        <v>0</v>
      </c>
      <c r="O474" t="n">
        <v>0</v>
      </c>
      <c r="P474" t="n">
        <v>0</v>
      </c>
      <c r="Q474" t="n">
        <v>1</v>
      </c>
      <c r="R474" t="n">
        <v>1</v>
      </c>
      <c r="S474" t="n">
        <v>3</v>
      </c>
      <c r="T474" t="n">
        <v>4</v>
      </c>
      <c r="U474" t="n">
        <v>4</v>
      </c>
      <c r="V474" s="2" t="inlineStr">
        <is>
          <t>Knärot
Blåmossa
Tjäder</t>
        </is>
      </c>
      <c r="W474">
        <f>HYPERLINK("https://klasma.github.io/Logging_0883/artfynd/A 38373-2022 artfynd.xlsx", "A 38373-2022")</f>
        <v/>
      </c>
      <c r="X474">
        <f>HYPERLINK("https://klasma.github.io/Logging_0883/kartor/A 38373-2022 karta.png", "A 38373-2022")</f>
        <v/>
      </c>
      <c r="Y474">
        <f>HYPERLINK("https://klasma.github.io/Logging_0883/kartor_geotiff/A 38373-2022 georefererad karta.tif", "A 38373-2022")</f>
        <v/>
      </c>
      <c r="Z474">
        <f>HYPERLINK("https://klasma.github.io/Logging_0883/knärot/A 38373-2022 karta knärot.png", "A 38373-2022")</f>
        <v/>
      </c>
      <c r="AA474">
        <f>HYPERLINK("https://klasma.github.io/Logging_0883/klagomål/A 38373-2022 FSC-klagomål.docx", "A 38373-2022")</f>
        <v/>
      </c>
      <c r="AB474">
        <f>HYPERLINK("https://klasma.github.io/Logging_0883/klagomålsmail/A 38373-2022 FSC-klagomål mail.docx", "A 38373-2022")</f>
        <v/>
      </c>
      <c r="AC474">
        <f>HYPERLINK("https://klasma.github.io/Logging_0883/tillsyn/A 38373-2022 tillsynsbegäran.docx", "A 38373-2022")</f>
        <v/>
      </c>
      <c r="AD474">
        <f>HYPERLINK("https://klasma.github.io/Logging_0883/tillsynsmail/A 38373-2022 tillsynsbegäran mail.docx", "A 38373-2022")</f>
        <v/>
      </c>
      <c r="AE474">
        <f>HYPERLINK("https://klasma.github.io/Logging_0883/fåglar/A 38373-2022 prioriterade fågelarter.docx", "A 38373-2022")</f>
        <v/>
      </c>
    </row>
    <row r="475" ht="15" customHeight="1">
      <c r="A475" t="inlineStr">
        <is>
          <t>A 1370-2024</t>
        </is>
      </c>
      <c r="B475" t="inlineStr">
        <is>
          <t>avverkningsanmälan</t>
        </is>
      </c>
      <c r="C475" t="inlineStr">
        <is>
          <t>Föryngringsavverkning</t>
        </is>
      </c>
      <c r="D475" s="1" t="n">
        <v>45303</v>
      </c>
      <c r="E475" s="1" t="n">
        <v>46323</v>
      </c>
      <c r="F475" t="inlineStr">
        <is>
          <t>KALMAR LÄN</t>
        </is>
      </c>
      <c r="G475" t="inlineStr">
        <is>
          <t>VÄSTERVIK</t>
        </is>
      </c>
      <c r="I475" t="n">
        <v>0.4</v>
      </c>
      <c r="J475" t="n">
        <v>2</v>
      </c>
      <c r="K475" t="n">
        <v>1</v>
      </c>
      <c r="L475" t="n">
        <v>1</v>
      </c>
      <c r="M475" t="n">
        <v>0</v>
      </c>
      <c r="N475" t="n">
        <v>0</v>
      </c>
      <c r="O475" t="n">
        <v>0</v>
      </c>
      <c r="P475" t="n">
        <v>0</v>
      </c>
      <c r="Q475" t="n">
        <v>1</v>
      </c>
      <c r="R475" t="n">
        <v>0</v>
      </c>
      <c r="S475" t="n">
        <v>3</v>
      </c>
      <c r="T475" t="n">
        <v>3</v>
      </c>
      <c r="U475" t="n">
        <v>2</v>
      </c>
      <c r="V475" s="2" t="inlineStr">
        <is>
          <t>Talltita
Brandticka
Järpe</t>
        </is>
      </c>
      <c r="W475">
        <f>HYPERLINK("https://klasma.github.io/Logging_0883/artfynd/A 1370-2024 artfynd.xlsx", "A 1370-2024")</f>
        <v/>
      </c>
      <c r="X475">
        <f>HYPERLINK("https://klasma.github.io/Logging_0883/kartor/A 1370-2024 karta.png", "A 1370-2024")</f>
        <v/>
      </c>
      <c r="Y475">
        <f>HYPERLINK("https://klasma.github.io/Logging_0883/kartor_geotiff/A 1370-2024 georefererad karta.tif", "A 1370-2024")</f>
        <v/>
      </c>
      <c r="AA475">
        <f>HYPERLINK("https://klasma.github.io/Logging_0883/klagomål/A 1370-2024 FSC-klagomål.docx", "A 1370-2024")</f>
        <v/>
      </c>
      <c r="AB475">
        <f>HYPERLINK("https://klasma.github.io/Logging_0883/klagomålsmail/A 1370-2024 FSC-klagomål mail.docx", "A 1370-2024")</f>
        <v/>
      </c>
      <c r="AC475">
        <f>HYPERLINK("https://klasma.github.io/Logging_0883/tillsyn/A 1370-2024 tillsynsbegäran.docx", "A 1370-2024")</f>
        <v/>
      </c>
      <c r="AD475">
        <f>HYPERLINK("https://klasma.github.io/Logging_0883/tillsynsmail/A 1370-2024 tillsynsbegäran mail.docx", "A 1370-2024")</f>
        <v/>
      </c>
      <c r="AE475">
        <f>HYPERLINK("https://klasma.github.io/Logging_0883/fåglar/A 1370-2024 prioriterade fågelarter.docx", "A 1370-2024")</f>
        <v/>
      </c>
    </row>
    <row r="476" ht="15" customHeight="1">
      <c r="A476" t="inlineStr">
        <is>
          <t>A 24108-2024</t>
        </is>
      </c>
      <c r="B476" t="inlineStr">
        <is>
          <t>avverkningsanmälan</t>
        </is>
      </c>
      <c r="C476" t="inlineStr">
        <is>
          <t>Avverkning för att bevara och utveckla /försöksver</t>
        </is>
      </c>
      <c r="D476" s="1" t="n">
        <v>45456</v>
      </c>
      <c r="E476" s="1" t="n">
        <v>46323</v>
      </c>
      <c r="F476" t="inlineStr">
        <is>
          <t>KALMAR LÄN</t>
        </is>
      </c>
      <c r="G476" t="inlineStr">
        <is>
          <t>MÖNSTERÅS</t>
        </is>
      </c>
      <c r="I476" t="n">
        <v>3.5</v>
      </c>
      <c r="J476" t="n">
        <v>1</v>
      </c>
      <c r="K476" t="n">
        <v>1</v>
      </c>
      <c r="L476" t="n">
        <v>1</v>
      </c>
      <c r="M476" t="n">
        <v>1</v>
      </c>
      <c r="N476" t="n">
        <v>0</v>
      </c>
      <c r="O476" t="n">
        <v>0</v>
      </c>
      <c r="P476" t="n">
        <v>0</v>
      </c>
      <c r="Q476" t="n">
        <v>2</v>
      </c>
      <c r="R476" t="n">
        <v>1</v>
      </c>
      <c r="S476" t="n">
        <v>3</v>
      </c>
      <c r="T476" t="n">
        <v>14</v>
      </c>
      <c r="U476" t="n">
        <v>0</v>
      </c>
      <c r="V476" s="2" t="inlineStr">
        <is>
          <t>Läderbagge
Ekticka
Gulnål</t>
        </is>
      </c>
      <c r="W476">
        <f>HYPERLINK("https://klasma.github.io/Logging_0861/artfynd/A 24108-2024 artfynd.xlsx", "A 24108-2024")</f>
        <v/>
      </c>
      <c r="X476">
        <f>HYPERLINK("https://klasma.github.io/Logging_0861/kartor/A 24108-2024 karta.png", "A 24108-2024")</f>
        <v/>
      </c>
      <c r="Y476">
        <f>HYPERLINK("https://klasma.github.io/Logging_0861/kartor_geotiff/A 24108-2024 georefererad karta.tif", "A 24108-2024")</f>
        <v/>
      </c>
      <c r="AA476">
        <f>HYPERLINK("https://klasma.github.io/Logging_0861/klagomål/A 24108-2024 FSC-klagomål.docx", "A 24108-2024")</f>
        <v/>
      </c>
      <c r="AB476">
        <f>HYPERLINK("https://klasma.github.io/Logging_0861/klagomålsmail/A 24108-2024 FSC-klagomål mail.docx", "A 24108-2024")</f>
        <v/>
      </c>
      <c r="AC476">
        <f>HYPERLINK("https://klasma.github.io/Logging_0861/tillsyn/A 24108-2024 tillsynsbegäran.docx", "A 24108-2024")</f>
        <v/>
      </c>
      <c r="AD476">
        <f>HYPERLINK("https://klasma.github.io/Logging_0861/tillsynsmail/A 24108-2024 tillsynsbegäran mail.docx", "A 24108-2024")</f>
        <v/>
      </c>
    </row>
    <row r="477" ht="15" customHeight="1">
      <c r="A477" t="inlineStr">
        <is>
          <t>A 18404-2023</t>
        </is>
      </c>
      <c r="B477" t="inlineStr">
        <is>
          <t>avverkningsanmälan</t>
        </is>
      </c>
      <c r="C477" t="inlineStr">
        <is>
          <t>Föryngringsavverkning</t>
        </is>
      </c>
      <c r="D477" s="1" t="n">
        <v>45042</v>
      </c>
      <c r="E477" s="1" t="n">
        <v>46323</v>
      </c>
      <c r="F477" t="inlineStr">
        <is>
          <t>KALMAR LÄN</t>
        </is>
      </c>
      <c r="G477" t="inlineStr">
        <is>
          <t>NYBRO</t>
        </is>
      </c>
      <c r="I477" t="n">
        <v>5.3</v>
      </c>
      <c r="J477" t="n">
        <v>3</v>
      </c>
      <c r="K477" t="n">
        <v>0</v>
      </c>
      <c r="L477" t="n">
        <v>2</v>
      </c>
      <c r="M477" t="n">
        <v>0</v>
      </c>
      <c r="N477" t="n">
        <v>0</v>
      </c>
      <c r="O477" t="n">
        <v>0</v>
      </c>
      <c r="P477" t="n">
        <v>0</v>
      </c>
      <c r="Q477" t="n">
        <v>2</v>
      </c>
      <c r="R477" t="n">
        <v>0</v>
      </c>
      <c r="S477" t="n">
        <v>3</v>
      </c>
      <c r="T477" t="n">
        <v>3</v>
      </c>
      <c r="U477" t="n">
        <v>3</v>
      </c>
      <c r="V477" s="2" t="inlineStr">
        <is>
          <t>Drillsnäppa
Kricka
Havsörn</t>
        </is>
      </c>
      <c r="W477">
        <f>HYPERLINK("https://klasma.github.io/Logging_0881/artfynd/A 18404-2023 artfynd.xlsx", "A 18404-2023")</f>
        <v/>
      </c>
      <c r="X477">
        <f>HYPERLINK("https://klasma.github.io/Logging_0881/kartor/A 18404-2023 karta.png", "A 18404-2023")</f>
        <v/>
      </c>
      <c r="Y477">
        <f>HYPERLINK("https://klasma.github.io/Logging_0881/kartor_geotiff/A 18404-2023 georefererad karta.tif", "A 18404-2023")</f>
        <v/>
      </c>
      <c r="AA477">
        <f>HYPERLINK("https://klasma.github.io/Logging_0881/klagomål/A 18404-2023 FSC-klagomål.docx", "A 18404-2023")</f>
        <v/>
      </c>
      <c r="AB477">
        <f>HYPERLINK("https://klasma.github.io/Logging_0881/klagomålsmail/A 18404-2023 FSC-klagomål mail.docx", "A 18404-2023")</f>
        <v/>
      </c>
      <c r="AC477">
        <f>HYPERLINK("https://klasma.github.io/Logging_0881/tillsyn/A 18404-2023 tillsynsbegäran.docx", "A 18404-2023")</f>
        <v/>
      </c>
      <c r="AD477">
        <f>HYPERLINK("https://klasma.github.io/Logging_0881/tillsynsmail/A 18404-2023 tillsynsbegäran mail.docx", "A 18404-2023")</f>
        <v/>
      </c>
      <c r="AE477">
        <f>HYPERLINK("https://klasma.github.io/Logging_0881/fåglar/A 18404-2023 prioriterade fågelarter.docx", "A 18404-2023")</f>
        <v/>
      </c>
    </row>
    <row r="478" ht="15" customHeight="1">
      <c r="A478" t="inlineStr">
        <is>
          <t>A 49607-2025</t>
        </is>
      </c>
      <c r="B478" t="inlineStr">
        <is>
          <t>avverkningsanmälan</t>
        </is>
      </c>
      <c r="C478" t="inlineStr">
        <is>
          <t>Föryngringsavverkning</t>
        </is>
      </c>
      <c r="D478" s="1" t="n">
        <v>45939</v>
      </c>
      <c r="E478" s="1" t="n">
        <v>46323</v>
      </c>
      <c r="F478" t="inlineStr">
        <is>
          <t>KALMAR LÄN</t>
        </is>
      </c>
      <c r="G478" t="inlineStr">
        <is>
          <t>VÄSTERVIK</t>
        </is>
      </c>
      <c r="H478" t="inlineStr">
        <is>
          <t>Holmen skog AB</t>
        </is>
      </c>
      <c r="I478" t="n">
        <v>1.2</v>
      </c>
      <c r="J478" t="n">
        <v>3</v>
      </c>
      <c r="K478" t="n">
        <v>0</v>
      </c>
      <c r="L478" t="n">
        <v>1</v>
      </c>
      <c r="M478" t="n">
        <v>0</v>
      </c>
      <c r="N478" t="n">
        <v>0</v>
      </c>
      <c r="O478" t="n">
        <v>0</v>
      </c>
      <c r="P478" t="n">
        <v>0</v>
      </c>
      <c r="Q478" t="n">
        <v>1</v>
      </c>
      <c r="R478" t="n">
        <v>0</v>
      </c>
      <c r="S478" t="n">
        <v>3</v>
      </c>
      <c r="T478" t="n">
        <v>3</v>
      </c>
      <c r="U478" t="n">
        <v>3</v>
      </c>
      <c r="V478" s="2" t="inlineStr">
        <is>
          <t>Talltita
Spillkråka
Tjäder</t>
        </is>
      </c>
      <c r="W478">
        <f>HYPERLINK("https://klasma.github.io/Logging_0883/artfynd/A 49607-2025 artfynd.xlsx", "A 49607-2025")</f>
        <v/>
      </c>
      <c r="X478">
        <f>HYPERLINK("https://klasma.github.io/Logging_0883/kartor/A 49607-2025 karta.png", "A 49607-2025")</f>
        <v/>
      </c>
      <c r="Y478">
        <f>HYPERLINK("https://klasma.github.io/Logging_0883/kartor_geotiff/A 49607-2025 georefererad karta.tif", "A 49607-2025")</f>
        <v/>
      </c>
      <c r="AA478">
        <f>HYPERLINK("https://klasma.github.io/Logging_0883/klagomål/A 49607-2025 FSC-klagomål.docx", "A 49607-2025")</f>
        <v/>
      </c>
      <c r="AB478">
        <f>HYPERLINK("https://klasma.github.io/Logging_0883/klagomålsmail/A 49607-2025 FSC-klagomål mail.docx", "A 49607-2025")</f>
        <v/>
      </c>
      <c r="AC478">
        <f>HYPERLINK("https://klasma.github.io/Logging_0883/tillsyn/A 49607-2025 tillsynsbegäran.docx", "A 49607-2025")</f>
        <v/>
      </c>
      <c r="AD478">
        <f>HYPERLINK("https://klasma.github.io/Logging_0883/tillsynsmail/A 49607-2025 tillsynsbegäran mail.docx", "A 49607-2025")</f>
        <v/>
      </c>
      <c r="AE478">
        <f>HYPERLINK("https://klasma.github.io/Logging_0883/fåglar/A 49607-2025 prioriterade fågelarter.docx", "A 49607-2025")</f>
        <v/>
      </c>
    </row>
    <row r="479" ht="15" customHeight="1">
      <c r="A479" t="inlineStr">
        <is>
          <t>A 7941-2024</t>
        </is>
      </c>
      <c r="B479" t="inlineStr">
        <is>
          <t>avverkningsanmälan</t>
        </is>
      </c>
      <c r="C479" t="inlineStr">
        <is>
          <t>Föryngringsavverkning</t>
        </is>
      </c>
      <c r="D479" s="1" t="n">
        <v>45350</v>
      </c>
      <c r="E479" s="1" t="n">
        <v>46323</v>
      </c>
      <c r="F479" t="inlineStr">
        <is>
          <t>KALMAR LÄN</t>
        </is>
      </c>
      <c r="G479" t="inlineStr">
        <is>
          <t>MÖNSTERÅS</t>
        </is>
      </c>
      <c r="H479" t="inlineStr">
        <is>
          <t>Övriga Aktiebolag</t>
        </is>
      </c>
      <c r="I479" t="n">
        <v>5.6</v>
      </c>
      <c r="J479" t="n">
        <v>3</v>
      </c>
      <c r="K479" t="n">
        <v>0</v>
      </c>
      <c r="L479" t="n">
        <v>1</v>
      </c>
      <c r="M479" t="n">
        <v>0</v>
      </c>
      <c r="N479" t="n">
        <v>0</v>
      </c>
      <c r="O479" t="n">
        <v>0</v>
      </c>
      <c r="P479" t="n">
        <v>0</v>
      </c>
      <c r="Q479" t="n">
        <v>1</v>
      </c>
      <c r="R479" t="n">
        <v>0</v>
      </c>
      <c r="S479" t="n">
        <v>3</v>
      </c>
      <c r="T479" t="n">
        <v>4</v>
      </c>
      <c r="U479" t="n">
        <v>0</v>
      </c>
      <c r="V479" s="2" t="inlineStr">
        <is>
          <t>Kricka
Nattskärra
Spillkråka</t>
        </is>
      </c>
      <c r="W479">
        <f>HYPERLINK("https://klasma.github.io/Logging_0861/artfynd/A 7941-2024 artfynd.xlsx", "A 7941-2024")</f>
        <v/>
      </c>
      <c r="X479">
        <f>HYPERLINK("https://klasma.github.io/Logging_0861/kartor/A 7941-2024 karta.png", "A 7941-2024")</f>
        <v/>
      </c>
      <c r="Y479">
        <f>HYPERLINK("https://klasma.github.io/Logging_0861/kartor_geotiff/A 7941-2024 georefererad karta.tif", "A 7941-2024")</f>
        <v/>
      </c>
      <c r="AA479">
        <f>HYPERLINK("https://klasma.github.io/Logging_0861/klagomål/A 7941-2024 FSC-klagomål.docx", "A 7941-2024")</f>
        <v/>
      </c>
      <c r="AB479">
        <f>HYPERLINK("https://klasma.github.io/Logging_0861/klagomålsmail/A 7941-2024 FSC-klagomål mail.docx", "A 7941-2024")</f>
        <v/>
      </c>
      <c r="AC479">
        <f>HYPERLINK("https://klasma.github.io/Logging_0861/tillsyn/A 7941-2024 tillsynsbegäran.docx", "A 7941-2024")</f>
        <v/>
      </c>
      <c r="AD479">
        <f>HYPERLINK("https://klasma.github.io/Logging_0861/tillsynsmail/A 7941-2024 tillsynsbegäran mail.docx", "A 7941-2024")</f>
        <v/>
      </c>
      <c r="AE479">
        <f>HYPERLINK("https://klasma.github.io/Logging_0861/fåglar/A 7941-2024 prioriterade fågelarter.docx", "A 7941-2024")</f>
        <v/>
      </c>
    </row>
    <row r="480" ht="15" customHeight="1">
      <c r="A480" t="inlineStr">
        <is>
          <t>A 50243-2025</t>
        </is>
      </c>
      <c r="B480" t="inlineStr">
        <is>
          <t>avverkningsanmälan</t>
        </is>
      </c>
      <c r="C480" t="inlineStr">
        <is>
          <t>Avverkning för annat ändamål</t>
        </is>
      </c>
      <c r="D480" s="1" t="n">
        <v>45943</v>
      </c>
      <c r="E480" s="1" t="n">
        <v>46323</v>
      </c>
      <c r="F480" t="inlineStr">
        <is>
          <t>KALMAR LÄN</t>
        </is>
      </c>
      <c r="G480" t="inlineStr">
        <is>
          <t>KALMAR</t>
        </is>
      </c>
      <c r="I480" t="n">
        <v>0.8</v>
      </c>
      <c r="J480" t="n">
        <v>2</v>
      </c>
      <c r="K480" t="n">
        <v>1</v>
      </c>
      <c r="L480" t="n">
        <v>0</v>
      </c>
      <c r="M480" t="n">
        <v>1</v>
      </c>
      <c r="N480" t="n">
        <v>0</v>
      </c>
      <c r="O480" t="n">
        <v>0</v>
      </c>
      <c r="P480" t="n">
        <v>0</v>
      </c>
      <c r="Q480" t="n">
        <v>1</v>
      </c>
      <c r="R480" t="n">
        <v>1</v>
      </c>
      <c r="S480" t="n">
        <v>3</v>
      </c>
      <c r="T480" t="n">
        <v>3</v>
      </c>
      <c r="U480" t="n">
        <v>3</v>
      </c>
      <c r="V480" s="2" t="inlineStr">
        <is>
          <t>Knärot
Blåmossa
Spillkråka</t>
        </is>
      </c>
      <c r="W480">
        <f>HYPERLINK("https://klasma.github.io/Logging_0880/artfynd/A 50243-2025 artfynd.xlsx", "A 50243-2025")</f>
        <v/>
      </c>
      <c r="X480">
        <f>HYPERLINK("https://klasma.github.io/Logging_0880/kartor/A 50243-2025 karta.png", "A 50243-2025")</f>
        <v/>
      </c>
      <c r="Y480">
        <f>HYPERLINK("https://klasma.github.io/Logging_0880/kartor_geotiff/A 50243-2025 georefererad karta.tif", "A 50243-2025")</f>
        <v/>
      </c>
      <c r="Z480">
        <f>HYPERLINK("https://klasma.github.io/Logging_0880/knärot/A 50243-2025 karta knärot.png", "A 50243-2025")</f>
        <v/>
      </c>
      <c r="AA480">
        <f>HYPERLINK("https://klasma.github.io/Logging_0880/klagomål/A 50243-2025 FSC-klagomål.docx", "A 50243-2025")</f>
        <v/>
      </c>
      <c r="AB480">
        <f>HYPERLINK("https://klasma.github.io/Logging_0880/klagomålsmail/A 50243-2025 FSC-klagomål mail.docx", "A 50243-2025")</f>
        <v/>
      </c>
      <c r="AC480">
        <f>HYPERLINK("https://klasma.github.io/Logging_0880/tillsyn/A 50243-2025 tillsynsbegäran.docx", "A 50243-2025")</f>
        <v/>
      </c>
      <c r="AD480">
        <f>HYPERLINK("https://klasma.github.io/Logging_0880/tillsynsmail/A 50243-2025 tillsynsbegäran mail.docx", "A 50243-2025")</f>
        <v/>
      </c>
      <c r="AE480">
        <f>HYPERLINK("https://klasma.github.io/Logging_0880/fåglar/A 50243-2025 prioriterade fågelarter.docx", "A 50243-2025")</f>
        <v/>
      </c>
    </row>
    <row r="481" ht="15" customHeight="1">
      <c r="A481" t="inlineStr">
        <is>
          <t>A 55506-2022</t>
        </is>
      </c>
      <c r="B481" t="inlineStr">
        <is>
          <t>avverkningsanmälan</t>
        </is>
      </c>
      <c r="C481" t="inlineStr">
        <is>
          <t>Föryngringsavverkning</t>
        </is>
      </c>
      <c r="D481" s="1" t="n">
        <v>44887</v>
      </c>
      <c r="E481" s="1" t="n">
        <v>46323</v>
      </c>
      <c r="F481" t="inlineStr">
        <is>
          <t>KALMAR LÄN</t>
        </is>
      </c>
      <c r="G481" t="inlineStr">
        <is>
          <t>VÄSTERVIK</t>
        </is>
      </c>
      <c r="I481" t="n">
        <v>3.4</v>
      </c>
      <c r="J481" t="n">
        <v>0</v>
      </c>
      <c r="K481" t="n">
        <v>1</v>
      </c>
      <c r="L481" t="n">
        <v>2</v>
      </c>
      <c r="M481" t="n">
        <v>0</v>
      </c>
      <c r="N481" t="n">
        <v>0</v>
      </c>
      <c r="O481" t="n">
        <v>0</v>
      </c>
      <c r="P481" t="n">
        <v>0</v>
      </c>
      <c r="Q481" t="n">
        <v>2</v>
      </c>
      <c r="R481" t="n">
        <v>0</v>
      </c>
      <c r="S481" t="n">
        <v>3</v>
      </c>
      <c r="T481" t="n">
        <v>3</v>
      </c>
      <c r="U481" t="n">
        <v>2</v>
      </c>
      <c r="V481" s="2" t="inlineStr">
        <is>
          <t>Tallticka
Ullticka
Trädporella</t>
        </is>
      </c>
      <c r="W481">
        <f>HYPERLINK("https://klasma.github.io/Logging_0883/artfynd/A 55506-2022 artfynd.xlsx", "A 55506-2022")</f>
        <v/>
      </c>
      <c r="X481">
        <f>HYPERLINK("https://klasma.github.io/Logging_0883/kartor/A 55506-2022 karta.png", "A 55506-2022")</f>
        <v/>
      </c>
      <c r="Y481">
        <f>HYPERLINK("https://klasma.github.io/Logging_0883/kartor_geotiff/A 55506-2022 georefererad karta.tif", "A 55506-2022")</f>
        <v/>
      </c>
      <c r="AA481">
        <f>HYPERLINK("https://klasma.github.io/Logging_0883/klagomål/A 55506-2022 FSC-klagomål.docx", "A 55506-2022")</f>
        <v/>
      </c>
      <c r="AB481">
        <f>HYPERLINK("https://klasma.github.io/Logging_0883/klagomålsmail/A 55506-2022 FSC-klagomål mail.docx", "A 55506-2022")</f>
        <v/>
      </c>
      <c r="AC481">
        <f>HYPERLINK("https://klasma.github.io/Logging_0883/tillsyn/A 55506-2022 tillsynsbegäran.docx", "A 55506-2022")</f>
        <v/>
      </c>
      <c r="AD481">
        <f>HYPERLINK("https://klasma.github.io/Logging_0883/tillsynsmail/A 55506-2022 tillsynsbegäran mail.docx", "A 55506-2022")</f>
        <v/>
      </c>
    </row>
    <row r="482" ht="15" customHeight="1">
      <c r="A482" t="inlineStr">
        <is>
          <t>A 73602-2021</t>
        </is>
      </c>
      <c r="B482" t="inlineStr">
        <is>
          <t>avverkningsanmälan</t>
        </is>
      </c>
      <c r="C482" t="inlineStr">
        <is>
          <t>Föryngringsavverkning</t>
        </is>
      </c>
      <c r="D482" s="1" t="n">
        <v>44552</v>
      </c>
      <c r="E482" s="1" t="n">
        <v>46323</v>
      </c>
      <c r="F482" t="inlineStr">
        <is>
          <t>KALMAR LÄN</t>
        </is>
      </c>
      <c r="G482" t="inlineStr">
        <is>
          <t>OSKARSHAMN</t>
        </is>
      </c>
      <c r="I482" t="n">
        <v>4.5</v>
      </c>
      <c r="J482" t="n">
        <v>1</v>
      </c>
      <c r="K482" t="n">
        <v>0</v>
      </c>
      <c r="L482" t="n">
        <v>2</v>
      </c>
      <c r="M482" t="n">
        <v>0</v>
      </c>
      <c r="N482" t="n">
        <v>0</v>
      </c>
      <c r="O482" t="n">
        <v>0</v>
      </c>
      <c r="P482" t="n">
        <v>0</v>
      </c>
      <c r="Q482" t="n">
        <v>2</v>
      </c>
      <c r="R482" t="n">
        <v>0</v>
      </c>
      <c r="S482" t="n">
        <v>3</v>
      </c>
      <c r="T482" t="n">
        <v>3</v>
      </c>
      <c r="U482" t="n">
        <v>3</v>
      </c>
      <c r="V482" s="2" t="inlineStr">
        <is>
          <t>Skogssvingel
Svedjenäva
Blåsippa</t>
        </is>
      </c>
      <c r="W482">
        <f>HYPERLINK("https://klasma.github.io/Logging_0882/artfynd/A 73602-2021 artfynd.xlsx", "A 73602-2021")</f>
        <v/>
      </c>
      <c r="X482">
        <f>HYPERLINK("https://klasma.github.io/Logging_0882/kartor/A 73602-2021 karta.png", "A 73602-2021")</f>
        <v/>
      </c>
      <c r="Y482">
        <f>HYPERLINK("https://klasma.github.io/Logging_0882/kartor_geotiff/A 73602-2021 georefererad karta.tif", "A 73602-2021")</f>
        <v/>
      </c>
      <c r="AA482">
        <f>HYPERLINK("https://klasma.github.io/Logging_0882/klagomål/A 73602-2021 FSC-klagomål.docx", "A 73602-2021")</f>
        <v/>
      </c>
      <c r="AB482">
        <f>HYPERLINK("https://klasma.github.io/Logging_0882/klagomålsmail/A 73602-2021 FSC-klagomål mail.docx", "A 73602-2021")</f>
        <v/>
      </c>
      <c r="AC482">
        <f>HYPERLINK("https://klasma.github.io/Logging_0882/tillsyn/A 73602-2021 tillsynsbegäran.docx", "A 73602-2021")</f>
        <v/>
      </c>
      <c r="AD482">
        <f>HYPERLINK("https://klasma.github.io/Logging_0882/tillsynsmail/A 73602-2021 tillsynsbegäran mail.docx", "A 73602-2021")</f>
        <v/>
      </c>
    </row>
    <row r="483" ht="15" customHeight="1">
      <c r="A483" t="inlineStr">
        <is>
          <t>A 35517-2023</t>
        </is>
      </c>
      <c r="B483" t="inlineStr">
        <is>
          <t>avverkningsanmälan</t>
        </is>
      </c>
      <c r="C483" t="inlineStr">
        <is>
          <t>Föryngringsavverkning</t>
        </is>
      </c>
      <c r="D483" s="1" t="n">
        <v>45147</v>
      </c>
      <c r="E483" s="1" t="n">
        <v>46323</v>
      </c>
      <c r="F483" t="inlineStr">
        <is>
          <t>KALMAR LÄN</t>
        </is>
      </c>
      <c r="G483" t="inlineStr">
        <is>
          <t>HULTSFRED</t>
        </is>
      </c>
      <c r="I483" t="n">
        <v>3.5</v>
      </c>
      <c r="J483" t="n">
        <v>2</v>
      </c>
      <c r="K483" t="n">
        <v>1</v>
      </c>
      <c r="L483" t="n">
        <v>0</v>
      </c>
      <c r="M483" t="n">
        <v>0</v>
      </c>
      <c r="N483" t="n">
        <v>0</v>
      </c>
      <c r="O483" t="n">
        <v>0</v>
      </c>
      <c r="P483" t="n">
        <v>0</v>
      </c>
      <c r="Q483" t="n">
        <v>0</v>
      </c>
      <c r="R483" t="n">
        <v>0</v>
      </c>
      <c r="S483" t="n">
        <v>3</v>
      </c>
      <c r="T483" t="n">
        <v>3</v>
      </c>
      <c r="U483" t="n">
        <v>1</v>
      </c>
      <c r="V483" s="2" t="inlineStr">
        <is>
          <t>Murgröna
Skogsödla
Revlummer</t>
        </is>
      </c>
      <c r="W483">
        <f>HYPERLINK("https://klasma.github.io/Logging_0860/artfynd/A 35517-2023 artfynd.xlsx", "A 35517-2023")</f>
        <v/>
      </c>
      <c r="X483">
        <f>HYPERLINK("https://klasma.github.io/Logging_0860/kartor/A 35517-2023 karta.png", "A 35517-2023")</f>
        <v/>
      </c>
      <c r="Y483">
        <f>HYPERLINK("https://klasma.github.io/Logging_0860/kartor_geotiff/A 35517-2023 georefererad karta.tif", "A 35517-2023")</f>
        <v/>
      </c>
      <c r="AA483">
        <f>HYPERLINK("https://klasma.github.io/Logging_0860/klagomål/A 35517-2023 FSC-klagomål.docx", "A 35517-2023")</f>
        <v/>
      </c>
      <c r="AB483">
        <f>HYPERLINK("https://klasma.github.io/Logging_0860/klagomålsmail/A 35517-2023 FSC-klagomål mail.docx", "A 35517-2023")</f>
        <v/>
      </c>
      <c r="AC483">
        <f>HYPERLINK("https://klasma.github.io/Logging_0860/tillsyn/A 35517-2023 tillsynsbegäran.docx", "A 35517-2023")</f>
        <v/>
      </c>
      <c r="AD483">
        <f>HYPERLINK("https://klasma.github.io/Logging_0860/tillsynsmail/A 35517-2023 tillsynsbegäran mail.docx", "A 35517-2023")</f>
        <v/>
      </c>
    </row>
    <row r="484" ht="15" customHeight="1">
      <c r="A484" t="inlineStr">
        <is>
          <t>A 2719-2024</t>
        </is>
      </c>
      <c r="B484" t="inlineStr">
        <is>
          <t>avverkningsanmälan</t>
        </is>
      </c>
      <c r="C484" t="inlineStr">
        <is>
          <t>Föryngringsavverkning</t>
        </is>
      </c>
      <c r="D484" s="1" t="n">
        <v>45314</v>
      </c>
      <c r="E484" s="1" t="n">
        <v>46323</v>
      </c>
      <c r="F484" t="inlineStr">
        <is>
          <t>KALMAR LÄN</t>
        </is>
      </c>
      <c r="G484" t="inlineStr">
        <is>
          <t>MÖNSTERÅS</t>
        </is>
      </c>
      <c r="I484" t="n">
        <v>3.4</v>
      </c>
      <c r="J484" t="n">
        <v>3</v>
      </c>
      <c r="K484" t="n">
        <v>0</v>
      </c>
      <c r="L484" t="n">
        <v>1</v>
      </c>
      <c r="M484" t="n">
        <v>0</v>
      </c>
      <c r="N484" t="n">
        <v>0</v>
      </c>
      <c r="O484" t="n">
        <v>0</v>
      </c>
      <c r="P484" t="n">
        <v>0</v>
      </c>
      <c r="Q484" t="n">
        <v>1</v>
      </c>
      <c r="R484" t="n">
        <v>0</v>
      </c>
      <c r="S484" t="n">
        <v>3</v>
      </c>
      <c r="T484" t="n">
        <v>3</v>
      </c>
      <c r="U484" t="n">
        <v>0</v>
      </c>
      <c r="V484" s="2" t="inlineStr">
        <is>
          <t>Nordfladdermus
Dvärgpipistrell
Större brunfladdermus</t>
        </is>
      </c>
      <c r="W484">
        <f>HYPERLINK("https://klasma.github.io/Logging_0861/artfynd/A 2719-2024 artfynd.xlsx", "A 2719-2024")</f>
        <v/>
      </c>
      <c r="X484">
        <f>HYPERLINK("https://klasma.github.io/Logging_0861/kartor/A 2719-2024 karta.png", "A 2719-2024")</f>
        <v/>
      </c>
      <c r="Y484">
        <f>HYPERLINK("https://klasma.github.io/Logging_0861/kartor_geotiff/A 2719-2024 georefererad karta.tif", "A 2719-2024")</f>
        <v/>
      </c>
      <c r="AA484">
        <f>HYPERLINK("https://klasma.github.io/Logging_0861/klagomål/A 2719-2024 FSC-klagomål.docx", "A 2719-2024")</f>
        <v/>
      </c>
      <c r="AB484">
        <f>HYPERLINK("https://klasma.github.io/Logging_0861/klagomålsmail/A 2719-2024 FSC-klagomål mail.docx", "A 2719-2024")</f>
        <v/>
      </c>
      <c r="AC484">
        <f>HYPERLINK("https://klasma.github.io/Logging_0861/tillsyn/A 2719-2024 tillsynsbegäran.docx", "A 2719-2024")</f>
        <v/>
      </c>
      <c r="AD484">
        <f>HYPERLINK("https://klasma.github.io/Logging_0861/tillsynsmail/A 2719-2024 tillsynsbegäran mail.docx", "A 2719-2024")</f>
        <v/>
      </c>
    </row>
    <row r="485" ht="15" customHeight="1">
      <c r="A485" t="inlineStr">
        <is>
          <t>A 53899-2025</t>
        </is>
      </c>
      <c r="B485" t="inlineStr">
        <is>
          <t>avverkningsanmälan</t>
        </is>
      </c>
      <c r="C485" t="inlineStr">
        <is>
          <t>Föryngringsavverkning</t>
        </is>
      </c>
      <c r="D485" s="1" t="n">
        <v>45961</v>
      </c>
      <c r="E485" s="1" t="n">
        <v>46323</v>
      </c>
      <c r="F485" t="inlineStr">
        <is>
          <t>KALMAR LÄN</t>
        </is>
      </c>
      <c r="G485" t="inlineStr">
        <is>
          <t>HULTSFRED</t>
        </is>
      </c>
      <c r="H485" t="inlineStr">
        <is>
          <t>Sveaskog</t>
        </is>
      </c>
      <c r="I485" t="n">
        <v>2.2</v>
      </c>
      <c r="J485" t="n">
        <v>0</v>
      </c>
      <c r="K485" t="n">
        <v>0</v>
      </c>
      <c r="L485" t="n">
        <v>2</v>
      </c>
      <c r="M485" t="n">
        <v>1</v>
      </c>
      <c r="N485" t="n">
        <v>0</v>
      </c>
      <c r="O485" t="n">
        <v>0</v>
      </c>
      <c r="P485" t="n">
        <v>0</v>
      </c>
      <c r="Q485" t="n">
        <v>3</v>
      </c>
      <c r="R485" t="n">
        <v>1</v>
      </c>
      <c r="S485" t="n">
        <v>3</v>
      </c>
      <c r="T485" t="n">
        <v>3</v>
      </c>
      <c r="U485" t="n">
        <v>0</v>
      </c>
      <c r="V485" s="2" t="inlineStr">
        <is>
          <t>Slåttergubbe
Jungfrulin
Skogshare</t>
        </is>
      </c>
      <c r="W485">
        <f>HYPERLINK("https://klasma.github.io/Logging_0860/artfynd/A 53899-2025 artfynd.xlsx", "A 53899-2025")</f>
        <v/>
      </c>
      <c r="X485">
        <f>HYPERLINK("https://klasma.github.io/Logging_0860/kartor/A 53899-2025 karta.png", "A 53899-2025")</f>
        <v/>
      </c>
      <c r="Y485">
        <f>HYPERLINK("https://klasma.github.io/Logging_0860/kartor_geotiff/A 53899-2025 georefererad karta.tif", "A 53899-2025")</f>
        <v/>
      </c>
      <c r="AA485">
        <f>HYPERLINK("https://klasma.github.io/Logging_0860/klagomål/A 53899-2025 FSC-klagomål.docx", "A 53899-2025")</f>
        <v/>
      </c>
      <c r="AB485">
        <f>HYPERLINK("https://klasma.github.io/Logging_0860/klagomålsmail/A 53899-2025 FSC-klagomål mail.docx", "A 53899-2025")</f>
        <v/>
      </c>
      <c r="AC485">
        <f>HYPERLINK("https://klasma.github.io/Logging_0860/tillsyn/A 53899-2025 tillsynsbegäran.docx", "A 53899-2025")</f>
        <v/>
      </c>
      <c r="AD485">
        <f>HYPERLINK("https://klasma.github.io/Logging_0860/tillsynsmail/A 53899-2025 tillsynsbegäran mail.docx", "A 53899-2025")</f>
        <v/>
      </c>
    </row>
    <row r="486" ht="15" customHeight="1">
      <c r="A486" t="inlineStr">
        <is>
          <t>A 58750-2024</t>
        </is>
      </c>
      <c r="B486" t="inlineStr">
        <is>
          <t>avverkningsanmälan</t>
        </is>
      </c>
      <c r="C486" t="inlineStr">
        <is>
          <t>Föryngringsavverkning</t>
        </is>
      </c>
      <c r="D486" s="1" t="n">
        <v>45635</v>
      </c>
      <c r="E486" s="1" t="n">
        <v>46323</v>
      </c>
      <c r="F486" t="inlineStr">
        <is>
          <t>KALMAR LÄN</t>
        </is>
      </c>
      <c r="G486" t="inlineStr">
        <is>
          <t>VÄSTERVIK</t>
        </is>
      </c>
      <c r="I486" t="n">
        <v>6.7</v>
      </c>
      <c r="J486" t="n">
        <v>1</v>
      </c>
      <c r="K486" t="n">
        <v>1</v>
      </c>
      <c r="L486" t="n">
        <v>1</v>
      </c>
      <c r="M486" t="n">
        <v>1</v>
      </c>
      <c r="N486" t="n">
        <v>0</v>
      </c>
      <c r="O486" t="n">
        <v>0</v>
      </c>
      <c r="P486" t="n">
        <v>0</v>
      </c>
      <c r="Q486" t="n">
        <v>2</v>
      </c>
      <c r="R486" t="n">
        <v>1</v>
      </c>
      <c r="S486" t="n">
        <v>3</v>
      </c>
      <c r="T486" t="n">
        <v>15</v>
      </c>
      <c r="U486" t="n">
        <v>15</v>
      </c>
      <c r="V486" s="2" t="inlineStr">
        <is>
          <t>Knärot
Tallticka
Blåmossa</t>
        </is>
      </c>
      <c r="W486">
        <f>HYPERLINK("https://klasma.github.io/Logging_0883/artfynd/A 58750-2024 artfynd.xlsx", "A 58750-2024")</f>
        <v/>
      </c>
      <c r="X486">
        <f>HYPERLINK("https://klasma.github.io/Logging_0883/kartor/A 58750-2024 karta.png", "A 58750-2024")</f>
        <v/>
      </c>
      <c r="Y486">
        <f>HYPERLINK("https://klasma.github.io/Logging_0883/kartor_geotiff/A 58750-2024 georefererad karta.tif", "A 58750-2024")</f>
        <v/>
      </c>
      <c r="Z486">
        <f>HYPERLINK("https://klasma.github.io/Logging_0883/knärot/A 58750-2024 karta knärot.png", "A 58750-2024")</f>
        <v/>
      </c>
      <c r="AA486">
        <f>HYPERLINK("https://klasma.github.io/Logging_0883/klagomål/A 58750-2024 FSC-klagomål.docx", "A 58750-2024")</f>
        <v/>
      </c>
      <c r="AB486">
        <f>HYPERLINK("https://klasma.github.io/Logging_0883/klagomålsmail/A 58750-2024 FSC-klagomål mail.docx", "A 58750-2024")</f>
        <v/>
      </c>
      <c r="AC486">
        <f>HYPERLINK("https://klasma.github.io/Logging_0883/tillsyn/A 58750-2024 tillsynsbegäran.docx", "A 58750-2024")</f>
        <v/>
      </c>
      <c r="AD486">
        <f>HYPERLINK("https://klasma.github.io/Logging_0883/tillsynsmail/A 58750-2024 tillsynsbegäran mail.docx", "A 58750-2024")</f>
        <v/>
      </c>
    </row>
    <row r="487" ht="15" customHeight="1">
      <c r="A487" t="inlineStr">
        <is>
          <t>A 14463-2023</t>
        </is>
      </c>
      <c r="B487" t="inlineStr">
        <is>
          <t>avverkningsanmälan</t>
        </is>
      </c>
      <c r="C487" t="inlineStr">
        <is>
          <t>Föryngringsavverkning</t>
        </is>
      </c>
      <c r="D487" s="1" t="n">
        <v>45012</v>
      </c>
      <c r="E487" s="1" t="n">
        <v>46323</v>
      </c>
      <c r="F487" t="inlineStr">
        <is>
          <t>KALMAR LÄN</t>
        </is>
      </c>
      <c r="G487" t="inlineStr">
        <is>
          <t>OSKARSHAMN</t>
        </is>
      </c>
      <c r="I487" t="n">
        <v>8.199999999999999</v>
      </c>
      <c r="J487" t="n">
        <v>1</v>
      </c>
      <c r="K487" t="n">
        <v>1</v>
      </c>
      <c r="L487" t="n">
        <v>1</v>
      </c>
      <c r="M487" t="n">
        <v>0</v>
      </c>
      <c r="N487" t="n">
        <v>0</v>
      </c>
      <c r="O487" t="n">
        <v>0</v>
      </c>
      <c r="P487" t="n">
        <v>0</v>
      </c>
      <c r="Q487" t="n">
        <v>1</v>
      </c>
      <c r="R487" t="n">
        <v>0</v>
      </c>
      <c r="S487" t="n">
        <v>3</v>
      </c>
      <c r="T487" t="n">
        <v>6</v>
      </c>
      <c r="U487" t="n">
        <v>6</v>
      </c>
      <c r="V487" s="2" t="inlineStr">
        <is>
          <t>Klubbsprötad bastardsvärmare
Sotlav
Blåsippa</t>
        </is>
      </c>
      <c r="W487">
        <f>HYPERLINK("https://klasma.github.io/Logging_0882/artfynd/A 14463-2023 artfynd.xlsx", "A 14463-2023")</f>
        <v/>
      </c>
      <c r="X487">
        <f>HYPERLINK("https://klasma.github.io/Logging_0882/kartor/A 14463-2023 karta.png", "A 14463-2023")</f>
        <v/>
      </c>
      <c r="Y487">
        <f>HYPERLINK("https://klasma.github.io/Logging_0882/kartor_geotiff/A 14463-2023 georefererad karta.tif", "A 14463-2023")</f>
        <v/>
      </c>
      <c r="AA487">
        <f>HYPERLINK("https://klasma.github.io/Logging_0882/klagomål/A 14463-2023 FSC-klagomål.docx", "A 14463-2023")</f>
        <v/>
      </c>
      <c r="AB487">
        <f>HYPERLINK("https://klasma.github.io/Logging_0882/klagomålsmail/A 14463-2023 FSC-klagomål mail.docx", "A 14463-2023")</f>
        <v/>
      </c>
      <c r="AC487">
        <f>HYPERLINK("https://klasma.github.io/Logging_0882/tillsyn/A 14463-2023 tillsynsbegäran.docx", "A 14463-2023")</f>
        <v/>
      </c>
      <c r="AD487">
        <f>HYPERLINK("https://klasma.github.io/Logging_0882/tillsynsmail/A 14463-2023 tillsynsbegäran mail.docx", "A 14463-2023")</f>
        <v/>
      </c>
    </row>
    <row r="488" ht="15" customHeight="1">
      <c r="A488" t="inlineStr">
        <is>
          <t>A 43788-2023</t>
        </is>
      </c>
      <c r="B488" t="inlineStr">
        <is>
          <t>avverkningsanmälan</t>
        </is>
      </c>
      <c r="C488" t="inlineStr">
        <is>
          <t>Föryngringsavverkning</t>
        </is>
      </c>
      <c r="D488" s="1" t="n">
        <v>45187</v>
      </c>
      <c r="E488" s="1" t="n">
        <v>46323</v>
      </c>
      <c r="F488" t="inlineStr">
        <is>
          <t>KALMAR LÄN</t>
        </is>
      </c>
      <c r="G488" t="inlineStr">
        <is>
          <t>VÄSTERVIK</t>
        </is>
      </c>
      <c r="I488" t="n">
        <v>4.5</v>
      </c>
      <c r="J488" t="n">
        <v>1</v>
      </c>
      <c r="K488" t="n">
        <v>0</v>
      </c>
      <c r="L488" t="n">
        <v>2</v>
      </c>
      <c r="M488" t="n">
        <v>0</v>
      </c>
      <c r="N488" t="n">
        <v>0</v>
      </c>
      <c r="O488" t="n">
        <v>0</v>
      </c>
      <c r="P488" t="n">
        <v>0</v>
      </c>
      <c r="Q488" t="n">
        <v>2</v>
      </c>
      <c r="R488" t="n">
        <v>0</v>
      </c>
      <c r="S488" t="n">
        <v>3</v>
      </c>
      <c r="T488" t="n">
        <v>6</v>
      </c>
      <c r="U488" t="n">
        <v>5</v>
      </c>
      <c r="V488" s="2" t="inlineStr">
        <is>
          <t>Motaggsvamp
Tallticka
Tjäder</t>
        </is>
      </c>
      <c r="W488">
        <f>HYPERLINK("https://klasma.github.io/Logging_0883/artfynd/A 43788-2023 artfynd.xlsx", "A 43788-2023")</f>
        <v/>
      </c>
      <c r="X488">
        <f>HYPERLINK("https://klasma.github.io/Logging_0883/kartor/A 43788-2023 karta.png", "A 43788-2023")</f>
        <v/>
      </c>
      <c r="Y488">
        <f>HYPERLINK("https://klasma.github.io/Logging_0883/kartor_geotiff/A 43788-2023 georefererad karta.tif", "A 43788-2023")</f>
        <v/>
      </c>
      <c r="AA488">
        <f>HYPERLINK("https://klasma.github.io/Logging_0883/klagomål/A 43788-2023 FSC-klagomål.docx", "A 43788-2023")</f>
        <v/>
      </c>
      <c r="AB488">
        <f>HYPERLINK("https://klasma.github.io/Logging_0883/klagomålsmail/A 43788-2023 FSC-klagomål mail.docx", "A 43788-2023")</f>
        <v/>
      </c>
      <c r="AC488">
        <f>HYPERLINK("https://klasma.github.io/Logging_0883/tillsyn/A 43788-2023 tillsynsbegäran.docx", "A 43788-2023")</f>
        <v/>
      </c>
      <c r="AD488">
        <f>HYPERLINK("https://klasma.github.io/Logging_0883/tillsynsmail/A 43788-2023 tillsynsbegäran mail.docx", "A 43788-2023")</f>
        <v/>
      </c>
      <c r="AE488">
        <f>HYPERLINK("https://klasma.github.io/Logging_0883/fåglar/A 43788-2023 prioriterade fågelarter.docx", "A 43788-2023")</f>
        <v/>
      </c>
    </row>
    <row r="489" ht="15" customHeight="1">
      <c r="A489" t="inlineStr">
        <is>
          <t>A 57053-2025</t>
        </is>
      </c>
      <c r="B489" t="inlineStr">
        <is>
          <t>avverkningsanmälan</t>
        </is>
      </c>
      <c r="C489" t="inlineStr">
        <is>
          <t>Föryngringsavverkning</t>
        </is>
      </c>
      <c r="D489" s="1" t="n">
        <v>45979</v>
      </c>
      <c r="E489" s="1" t="n">
        <v>46323</v>
      </c>
      <c r="F489" t="inlineStr">
        <is>
          <t>KALMAR LÄN</t>
        </is>
      </c>
      <c r="G489" t="inlineStr">
        <is>
          <t>VIMMERBY</t>
        </is>
      </c>
      <c r="H489" t="inlineStr">
        <is>
          <t>Sveaskog</t>
        </is>
      </c>
      <c r="I489" t="n">
        <v>2.1</v>
      </c>
      <c r="J489" t="n">
        <v>2</v>
      </c>
      <c r="K489" t="n">
        <v>0</v>
      </c>
      <c r="L489" t="n">
        <v>0</v>
      </c>
      <c r="M489" t="n">
        <v>2</v>
      </c>
      <c r="N489" t="n">
        <v>0</v>
      </c>
      <c r="O489" t="n">
        <v>0</v>
      </c>
      <c r="P489" t="n">
        <v>0</v>
      </c>
      <c r="Q489" t="n">
        <v>2</v>
      </c>
      <c r="R489" t="n">
        <v>2</v>
      </c>
      <c r="S489" t="n">
        <v>3</v>
      </c>
      <c r="T489" t="n">
        <v>7</v>
      </c>
      <c r="U489" t="n">
        <v>0</v>
      </c>
      <c r="V489" s="2" t="inlineStr">
        <is>
          <t>Aspfjädermossa
Knärot
Blåsippa</t>
        </is>
      </c>
      <c r="W489">
        <f>HYPERLINK("https://klasma.github.io/Logging_0884/artfynd/A 57053-2025 artfynd.xlsx", "A 57053-2025")</f>
        <v/>
      </c>
      <c r="X489">
        <f>HYPERLINK("https://klasma.github.io/Logging_0884/kartor/A 57053-2025 karta.png", "A 57053-2025")</f>
        <v/>
      </c>
      <c r="Y489">
        <f>HYPERLINK("https://klasma.github.io/Logging_0884/kartor_geotiff/A 57053-2025 georefererad karta.tif", "A 57053-2025")</f>
        <v/>
      </c>
      <c r="Z489">
        <f>HYPERLINK("https://klasma.github.io/Logging_0884/knärot/A 57053-2025 karta knärot.png", "A 57053-2025")</f>
        <v/>
      </c>
      <c r="AA489">
        <f>HYPERLINK("https://klasma.github.io/Logging_0884/klagomål/A 57053-2025 FSC-klagomål.docx", "A 57053-2025")</f>
        <v/>
      </c>
      <c r="AB489">
        <f>HYPERLINK("https://klasma.github.io/Logging_0884/klagomålsmail/A 57053-2025 FSC-klagomål mail.docx", "A 57053-2025")</f>
        <v/>
      </c>
      <c r="AC489">
        <f>HYPERLINK("https://klasma.github.io/Logging_0884/tillsyn/A 57053-2025 tillsynsbegäran.docx", "A 57053-2025")</f>
        <v/>
      </c>
      <c r="AD489">
        <f>HYPERLINK("https://klasma.github.io/Logging_0884/tillsynsmail/A 57053-2025 tillsynsbegäran mail.docx", "A 57053-2025")</f>
        <v/>
      </c>
    </row>
    <row r="490" ht="15" customHeight="1">
      <c r="A490" t="inlineStr">
        <is>
          <t>A 14858-2022</t>
        </is>
      </c>
      <c r="B490" t="inlineStr">
        <is>
          <t>avverkningsanmälan</t>
        </is>
      </c>
      <c r="C490" t="inlineStr">
        <is>
          <t>Föryngringsavverkning</t>
        </is>
      </c>
      <c r="D490" s="1" t="n">
        <v>44656</v>
      </c>
      <c r="E490" s="1" t="n">
        <v>46323</v>
      </c>
      <c r="F490" t="inlineStr">
        <is>
          <t>KALMAR LÄN</t>
        </is>
      </c>
      <c r="G490" t="inlineStr">
        <is>
          <t>NYBRO</t>
        </is>
      </c>
      <c r="H490" t="inlineStr">
        <is>
          <t>Kommuner</t>
        </is>
      </c>
      <c r="I490" t="n">
        <v>4.9</v>
      </c>
      <c r="J490" t="n">
        <v>1</v>
      </c>
      <c r="K490" t="n">
        <v>0</v>
      </c>
      <c r="L490" t="n">
        <v>1</v>
      </c>
      <c r="M490" t="n">
        <v>2</v>
      </c>
      <c r="N490" t="n">
        <v>0</v>
      </c>
      <c r="O490" t="n">
        <v>0</v>
      </c>
      <c r="P490" t="n">
        <v>0</v>
      </c>
      <c r="Q490" t="n">
        <v>3</v>
      </c>
      <c r="R490" t="n">
        <v>2</v>
      </c>
      <c r="S490" t="n">
        <v>3</v>
      </c>
      <c r="T490" t="n">
        <v>3</v>
      </c>
      <c r="U490" t="n">
        <v>2</v>
      </c>
      <c r="V490" s="2" t="inlineStr">
        <is>
          <t>Apelticka
Rosenryggat ordensfly
Sparvuggla</t>
        </is>
      </c>
      <c r="W490">
        <f>HYPERLINK("https://klasma.github.io/Logging_0881/artfynd/A 14858-2022 artfynd.xlsx", "A 14858-2022")</f>
        <v/>
      </c>
      <c r="X490">
        <f>HYPERLINK("https://klasma.github.io/Logging_0881/kartor/A 14858-2022 karta.png", "A 14858-2022")</f>
        <v/>
      </c>
      <c r="Y490">
        <f>HYPERLINK("https://klasma.github.io/Logging_0881/kartor_geotiff/A 14858-2022 georefererad karta.tif", "A 14858-2022")</f>
        <v/>
      </c>
      <c r="AA490">
        <f>HYPERLINK("https://klasma.github.io/Logging_0881/klagomål/A 14858-2022 FSC-klagomål.docx", "A 14858-2022")</f>
        <v/>
      </c>
      <c r="AB490">
        <f>HYPERLINK("https://klasma.github.io/Logging_0881/klagomålsmail/A 14858-2022 FSC-klagomål mail.docx", "A 14858-2022")</f>
        <v/>
      </c>
      <c r="AC490">
        <f>HYPERLINK("https://klasma.github.io/Logging_0881/tillsyn/A 14858-2022 tillsynsbegäran.docx", "A 14858-2022")</f>
        <v/>
      </c>
      <c r="AD490">
        <f>HYPERLINK("https://klasma.github.io/Logging_0881/tillsynsmail/A 14858-2022 tillsynsbegäran mail.docx", "A 14858-2022")</f>
        <v/>
      </c>
      <c r="AE490">
        <f>HYPERLINK("https://klasma.github.io/Logging_0881/fåglar/A 14858-2022 prioriterade fågelarter.docx", "A 14858-2022")</f>
        <v/>
      </c>
    </row>
    <row r="491" ht="15" customHeight="1">
      <c r="A491" t="inlineStr">
        <is>
          <t>A 58031-2025</t>
        </is>
      </c>
      <c r="B491" t="inlineStr">
        <is>
          <t>avverkningsanmälan</t>
        </is>
      </c>
      <c r="C491" t="inlineStr">
        <is>
          <t>Föryngringsavverkning</t>
        </is>
      </c>
      <c r="D491" s="1" t="n">
        <v>45982</v>
      </c>
      <c r="E491" s="1" t="n">
        <v>46323</v>
      </c>
      <c r="F491" t="inlineStr">
        <is>
          <t>KALMAR LÄN</t>
        </is>
      </c>
      <c r="G491" t="inlineStr">
        <is>
          <t>HULTSFRED</t>
        </is>
      </c>
      <c r="I491" t="n">
        <v>1.6</v>
      </c>
      <c r="J491" t="n">
        <v>3</v>
      </c>
      <c r="K491" t="n">
        <v>0</v>
      </c>
      <c r="L491" t="n">
        <v>0</v>
      </c>
      <c r="M491" t="n">
        <v>0</v>
      </c>
      <c r="N491" t="n">
        <v>0</v>
      </c>
      <c r="O491" t="n">
        <v>0</v>
      </c>
      <c r="P491" t="n">
        <v>0</v>
      </c>
      <c r="Q491" t="n">
        <v>0</v>
      </c>
      <c r="R491" t="n">
        <v>0</v>
      </c>
      <c r="S491" t="n">
        <v>3</v>
      </c>
      <c r="T491" t="n">
        <v>4</v>
      </c>
      <c r="U491" t="n">
        <v>0</v>
      </c>
      <c r="V491" s="2" t="inlineStr">
        <is>
          <t>Kungsfågel
Skogsduva
Svartvit flugsnappare</t>
        </is>
      </c>
      <c r="W491">
        <f>HYPERLINK("https://klasma.github.io/Logging_0860/artfynd/A 58031-2025 artfynd.xlsx", "A 58031-2025")</f>
        <v/>
      </c>
      <c r="X491">
        <f>HYPERLINK("https://klasma.github.io/Logging_0860/kartor/A 58031-2025 karta.png", "A 58031-2025")</f>
        <v/>
      </c>
      <c r="Y491">
        <f>HYPERLINK("https://klasma.github.io/Logging_0860/kartor_geotiff/A 58031-2025 georefererad karta.tif", "A 58031-2025")</f>
        <v/>
      </c>
      <c r="AA491">
        <f>HYPERLINK("https://klasma.github.io/Logging_0860/klagomål/A 58031-2025 FSC-klagomål.docx", "A 58031-2025")</f>
        <v/>
      </c>
      <c r="AB491">
        <f>HYPERLINK("https://klasma.github.io/Logging_0860/klagomålsmail/A 58031-2025 FSC-klagomål mail.docx", "A 58031-2025")</f>
        <v/>
      </c>
      <c r="AC491">
        <f>HYPERLINK("https://klasma.github.io/Logging_0860/tillsyn/A 58031-2025 tillsynsbegäran.docx", "A 58031-2025")</f>
        <v/>
      </c>
      <c r="AD491">
        <f>HYPERLINK("https://klasma.github.io/Logging_0860/tillsynsmail/A 58031-2025 tillsynsbegäran mail.docx", "A 58031-2025")</f>
        <v/>
      </c>
    </row>
    <row r="492" ht="15" customHeight="1">
      <c r="A492" t="inlineStr">
        <is>
          <t>A 37239-2024</t>
        </is>
      </c>
      <c r="B492" t="inlineStr">
        <is>
          <t>avverkningsanmälan</t>
        </is>
      </c>
      <c r="C492" t="inlineStr">
        <is>
          <t>Föryngringsavverkning</t>
        </is>
      </c>
      <c r="D492" s="1" t="n">
        <v>45540</v>
      </c>
      <c r="E492" s="1" t="n">
        <v>46323</v>
      </c>
      <c r="F492" t="inlineStr">
        <is>
          <t>KALMAR LÄN</t>
        </is>
      </c>
      <c r="G492" t="inlineStr">
        <is>
          <t>MÖNSTERÅS</t>
        </is>
      </c>
      <c r="I492" t="n">
        <v>10.6</v>
      </c>
      <c r="J492" t="n">
        <v>3</v>
      </c>
      <c r="K492" t="n">
        <v>0</v>
      </c>
      <c r="L492" t="n">
        <v>2</v>
      </c>
      <c r="M492" t="n">
        <v>0</v>
      </c>
      <c r="N492" t="n">
        <v>0</v>
      </c>
      <c r="O492" t="n">
        <v>0</v>
      </c>
      <c r="P492" t="n">
        <v>0</v>
      </c>
      <c r="Q492" t="n">
        <v>2</v>
      </c>
      <c r="R492" t="n">
        <v>0</v>
      </c>
      <c r="S492" t="n">
        <v>3</v>
      </c>
      <c r="T492" t="n">
        <v>3</v>
      </c>
      <c r="U492" t="n">
        <v>0</v>
      </c>
      <c r="V492" s="2" t="inlineStr">
        <is>
          <t>Brunlångöra
Nordfladdermus
Dvärgpipistrell</t>
        </is>
      </c>
      <c r="W492">
        <f>HYPERLINK("https://klasma.github.io/Logging_0861/artfynd/A 37239-2024 artfynd.xlsx", "A 37239-2024")</f>
        <v/>
      </c>
      <c r="X492">
        <f>HYPERLINK("https://klasma.github.io/Logging_0861/kartor/A 37239-2024 karta.png", "A 37239-2024")</f>
        <v/>
      </c>
      <c r="Y492">
        <f>HYPERLINK("https://klasma.github.io/Logging_0861/kartor_geotiff/A 37239-2024 georefererad karta.tif", "A 37239-2024")</f>
        <v/>
      </c>
      <c r="AA492">
        <f>HYPERLINK("https://klasma.github.io/Logging_0861/klagomål/A 37239-2024 FSC-klagomål.docx", "A 37239-2024")</f>
        <v/>
      </c>
      <c r="AB492">
        <f>HYPERLINK("https://klasma.github.io/Logging_0861/klagomålsmail/A 37239-2024 FSC-klagomål mail.docx", "A 37239-2024")</f>
        <v/>
      </c>
      <c r="AC492">
        <f>HYPERLINK("https://klasma.github.io/Logging_0861/tillsyn/A 37239-2024 tillsynsbegäran.docx", "A 37239-2024")</f>
        <v/>
      </c>
      <c r="AD492">
        <f>HYPERLINK("https://klasma.github.io/Logging_0861/tillsynsmail/A 37239-2024 tillsynsbegäran mail.docx", "A 37239-2024")</f>
        <v/>
      </c>
    </row>
    <row r="493" ht="15" customHeight="1">
      <c r="A493" t="inlineStr">
        <is>
          <t>A 63387-2025</t>
        </is>
      </c>
      <c r="B493" t="inlineStr">
        <is>
          <t>avverkningsanmälan</t>
        </is>
      </c>
      <c r="C493" t="inlineStr">
        <is>
          <t>Föryngringsavverkning</t>
        </is>
      </c>
      <c r="D493" s="1" t="n">
        <v>46011</v>
      </c>
      <c r="E493" s="1" t="n">
        <v>46323</v>
      </c>
      <c r="F493" t="inlineStr">
        <is>
          <t>KALMAR LÄN</t>
        </is>
      </c>
      <c r="G493" t="inlineStr">
        <is>
          <t>VÄSTERVIK</t>
        </is>
      </c>
      <c r="I493" t="n">
        <v>1.3</v>
      </c>
      <c r="J493" t="n">
        <v>1</v>
      </c>
      <c r="K493" t="n">
        <v>2</v>
      </c>
      <c r="L493" t="n">
        <v>0</v>
      </c>
      <c r="M493" t="n">
        <v>0</v>
      </c>
      <c r="N493" t="n">
        <v>0</v>
      </c>
      <c r="O493" t="n">
        <v>0</v>
      </c>
      <c r="P493" t="n">
        <v>0</v>
      </c>
      <c r="Q493" t="n">
        <v>0</v>
      </c>
      <c r="R493" t="n">
        <v>0</v>
      </c>
      <c r="S493" t="n">
        <v>3</v>
      </c>
      <c r="T493" t="n">
        <v>3</v>
      </c>
      <c r="U493" t="n">
        <v>0</v>
      </c>
      <c r="V493" s="2" t="inlineStr">
        <is>
          <t>Guldlockmossa
Platt fjädermossa
Blåsippa</t>
        </is>
      </c>
      <c r="W493">
        <f>HYPERLINK("https://klasma.github.io/Logging_0883/artfynd/A 63387-2025 artfynd.xlsx", "A 63387-2025")</f>
        <v/>
      </c>
      <c r="X493">
        <f>HYPERLINK("https://klasma.github.io/Logging_0883/kartor/A 63387-2025 karta.png", "A 63387-2025")</f>
        <v/>
      </c>
      <c r="Y493">
        <f>HYPERLINK("https://klasma.github.io/Logging_0883/kartor_geotiff/A 63387-2025 georefererad karta.tif", "A 63387-2025")</f>
        <v/>
      </c>
      <c r="AA493">
        <f>HYPERLINK("https://klasma.github.io/Logging_0883/klagomål/A 63387-2025 FSC-klagomål.docx", "A 63387-2025")</f>
        <v/>
      </c>
      <c r="AB493">
        <f>HYPERLINK("https://klasma.github.io/Logging_0883/klagomålsmail/A 63387-2025 FSC-klagomål mail.docx", "A 63387-2025")</f>
        <v/>
      </c>
      <c r="AC493">
        <f>HYPERLINK("https://klasma.github.io/Logging_0883/tillsyn/A 63387-2025 tillsynsbegäran.docx", "A 63387-2025")</f>
        <v/>
      </c>
      <c r="AD493">
        <f>HYPERLINK("https://klasma.github.io/Logging_0883/tillsynsmail/A 63387-2025 tillsynsbegäran mail.docx", "A 63387-2025")</f>
        <v/>
      </c>
    </row>
    <row r="494" ht="15" customHeight="1">
      <c r="A494" t="inlineStr">
        <is>
          <t>A 28240-2026</t>
        </is>
      </c>
      <c r="B494" t="inlineStr">
        <is>
          <t>avverkningsanmälan</t>
        </is>
      </c>
      <c r="C494" t="inlineStr">
        <is>
          <t>Föryngringsavverkning</t>
        </is>
      </c>
      <c r="D494" s="1" t="n">
        <v>46196</v>
      </c>
      <c r="E494" s="1" t="n">
        <v>46323</v>
      </c>
      <c r="F494" t="inlineStr">
        <is>
          <t>KALMAR LÄN</t>
        </is>
      </c>
      <c r="G494" t="inlineStr">
        <is>
          <t>VÄSTERVIK</t>
        </is>
      </c>
      <c r="H494" t="inlineStr">
        <is>
          <t>Kyrkan</t>
        </is>
      </c>
      <c r="I494" t="n">
        <v>13.9</v>
      </c>
      <c r="J494" t="n">
        <v>1</v>
      </c>
      <c r="K494" t="n">
        <v>1</v>
      </c>
      <c r="L494" t="n">
        <v>0</v>
      </c>
      <c r="M494" t="n">
        <v>1</v>
      </c>
      <c r="N494" t="n">
        <v>0</v>
      </c>
      <c r="O494" t="n">
        <v>1</v>
      </c>
      <c r="P494" t="n">
        <v>0</v>
      </c>
      <c r="Q494" t="n">
        <v>2</v>
      </c>
      <c r="R494" t="n">
        <v>2</v>
      </c>
      <c r="S494" t="n">
        <v>3</v>
      </c>
      <c r="T494" t="n">
        <v>3</v>
      </c>
      <c r="U494" t="n">
        <v>3</v>
      </c>
      <c r="V494" s="2" t="inlineStr">
        <is>
          <t>Saffransticka
Smalsprötad bastardsvärmare
Stor aspticka</t>
        </is>
      </c>
      <c r="W494">
        <f>HYPERLINK("https://klasma.github.io/Logging_0883/artfynd/A 28240-2026 artfynd.xlsx", "A 28240-2026")</f>
        <v/>
      </c>
      <c r="X494">
        <f>HYPERLINK("https://klasma.github.io/Logging_0883/kartor/A 28240-2026 karta.png", "A 28240-2026")</f>
        <v/>
      </c>
      <c r="Y494">
        <f>HYPERLINK("https://klasma.github.io/Logging_0883/kartor_geotiff/A 28240-2026 georefererad karta.tif", "A 28240-2026")</f>
        <v/>
      </c>
      <c r="AA494">
        <f>HYPERLINK("https://klasma.github.io/Logging_0883/klagomål/A 28240-2026 FSC-klagomål.docx", "A 28240-2026")</f>
        <v/>
      </c>
      <c r="AB494">
        <f>HYPERLINK("https://klasma.github.io/Logging_0883/klagomålsmail/A 28240-2026 FSC-klagomål mail.docx", "A 28240-2026")</f>
        <v/>
      </c>
      <c r="AC494">
        <f>HYPERLINK("https://klasma.github.io/Logging_0883/tillsyn/A 28240-2026 tillsynsbegäran.docx", "A 28240-2026")</f>
        <v/>
      </c>
      <c r="AD494">
        <f>HYPERLINK("https://klasma.github.io/Logging_0883/tillsynsmail/A 28240-2026 tillsynsbegäran mail.docx", "A 28240-2026")</f>
        <v/>
      </c>
    </row>
    <row r="495" ht="15" customHeight="1">
      <c r="A495" t="inlineStr">
        <is>
          <t>A 29039-2026</t>
        </is>
      </c>
      <c r="B495" t="inlineStr">
        <is>
          <t>avverkningsanmälan</t>
        </is>
      </c>
      <c r="C495" t="inlineStr">
        <is>
          <t>Föryngringsavverkning</t>
        </is>
      </c>
      <c r="D495" s="1" t="n">
        <v>46199</v>
      </c>
      <c r="E495" s="1" t="n">
        <v>46323</v>
      </c>
      <c r="F495" t="inlineStr">
        <is>
          <t>KALMAR LÄN</t>
        </is>
      </c>
      <c r="G495" t="inlineStr">
        <is>
          <t>VÄSTERVIK</t>
        </is>
      </c>
      <c r="I495" t="n">
        <v>4.6</v>
      </c>
      <c r="J495" t="n">
        <v>0</v>
      </c>
      <c r="K495" t="n">
        <v>1</v>
      </c>
      <c r="L495" t="n">
        <v>2</v>
      </c>
      <c r="M495" t="n">
        <v>0</v>
      </c>
      <c r="N495" t="n">
        <v>0</v>
      </c>
      <c r="O495" t="n">
        <v>0</v>
      </c>
      <c r="P495" t="n">
        <v>0</v>
      </c>
      <c r="Q495" t="n">
        <v>2</v>
      </c>
      <c r="R495" t="n">
        <v>0</v>
      </c>
      <c r="S495" t="n">
        <v>3</v>
      </c>
      <c r="T495" t="n">
        <v>4</v>
      </c>
      <c r="U495" t="n">
        <v>4</v>
      </c>
      <c r="V495" s="2" t="inlineStr">
        <is>
          <t>Tallticka
Vedskivlav
Blåmossa</t>
        </is>
      </c>
      <c r="W495">
        <f>HYPERLINK("https://klasma.github.io/Logging_0883/artfynd/A 29039-2026 artfynd.xlsx", "A 29039-2026")</f>
        <v/>
      </c>
      <c r="X495">
        <f>HYPERLINK("https://klasma.github.io/Logging_0883/kartor/A 29039-2026 karta.png", "A 29039-2026")</f>
        <v/>
      </c>
      <c r="Y495">
        <f>HYPERLINK("https://klasma.github.io/Logging_0883/kartor_geotiff/A 29039-2026 georefererad karta.tif", "A 29039-2026")</f>
        <v/>
      </c>
      <c r="AA495">
        <f>HYPERLINK("https://klasma.github.io/Logging_0883/klagomål/A 29039-2026 FSC-klagomål.docx", "A 29039-2026")</f>
        <v/>
      </c>
      <c r="AB495">
        <f>HYPERLINK("https://klasma.github.io/Logging_0883/klagomålsmail/A 29039-2026 FSC-klagomål mail.docx", "A 29039-2026")</f>
        <v/>
      </c>
      <c r="AC495">
        <f>HYPERLINK("https://klasma.github.io/Logging_0883/tillsyn/A 29039-2026 tillsynsbegäran.docx", "A 29039-2026")</f>
        <v/>
      </c>
      <c r="AD495">
        <f>HYPERLINK("https://klasma.github.io/Logging_0883/tillsynsmail/A 29039-2026 tillsynsbegäran mail.docx", "A 29039-2026")</f>
        <v/>
      </c>
    </row>
    <row r="496" ht="15" customHeight="1">
      <c r="A496" t="inlineStr">
        <is>
          <t>A 31314-2023</t>
        </is>
      </c>
      <c r="B496" t="inlineStr">
        <is>
          <t>avverkningsanmälan</t>
        </is>
      </c>
      <c r="C496" t="inlineStr">
        <is>
          <t>Föryngringsavverkning</t>
        </is>
      </c>
      <c r="D496" s="1" t="n">
        <v>45114</v>
      </c>
      <c r="E496" s="1" t="n">
        <v>46323</v>
      </c>
      <c r="F496" t="inlineStr">
        <is>
          <t>KALMAR LÄN</t>
        </is>
      </c>
      <c r="G496" t="inlineStr">
        <is>
          <t>KALMAR</t>
        </is>
      </c>
      <c r="I496" t="n">
        <v>5.5</v>
      </c>
      <c r="J496" t="n">
        <v>2</v>
      </c>
      <c r="K496" t="n">
        <v>1</v>
      </c>
      <c r="L496" t="n">
        <v>0</v>
      </c>
      <c r="M496" t="n">
        <v>0</v>
      </c>
      <c r="N496" t="n">
        <v>0</v>
      </c>
      <c r="O496" t="n">
        <v>0</v>
      </c>
      <c r="P496" t="n">
        <v>0</v>
      </c>
      <c r="Q496" t="n">
        <v>0</v>
      </c>
      <c r="R496" t="n">
        <v>0</v>
      </c>
      <c r="S496" t="n">
        <v>3</v>
      </c>
      <c r="T496" t="n">
        <v>3</v>
      </c>
      <c r="U496" t="n">
        <v>2</v>
      </c>
      <c r="V496" s="2" t="inlineStr">
        <is>
          <t>Grönpyrola
Blåsippa
Nattskärra</t>
        </is>
      </c>
      <c r="W496">
        <f>HYPERLINK("https://klasma.github.io/Logging_0880/artfynd/A 31314-2023 artfynd.xlsx", "A 31314-2023")</f>
        <v/>
      </c>
      <c r="X496">
        <f>HYPERLINK("https://klasma.github.io/Logging_0880/kartor/A 31314-2023 karta.png", "A 31314-2023")</f>
        <v/>
      </c>
      <c r="Y496">
        <f>HYPERLINK("https://klasma.github.io/Logging_0880/kartor_geotiff/A 31314-2023 georefererad karta.tif", "A 31314-2023")</f>
        <v/>
      </c>
      <c r="AA496">
        <f>HYPERLINK("https://klasma.github.io/Logging_0880/klagomål/A 31314-2023 FSC-klagomål.docx", "A 31314-2023")</f>
        <v/>
      </c>
      <c r="AB496">
        <f>HYPERLINK("https://klasma.github.io/Logging_0880/klagomålsmail/A 31314-2023 FSC-klagomål mail.docx", "A 31314-2023")</f>
        <v/>
      </c>
      <c r="AC496">
        <f>HYPERLINK("https://klasma.github.io/Logging_0880/tillsyn/A 31314-2023 tillsynsbegäran.docx", "A 31314-2023")</f>
        <v/>
      </c>
      <c r="AD496">
        <f>HYPERLINK("https://klasma.github.io/Logging_0880/tillsynsmail/A 31314-2023 tillsynsbegäran mail.docx", "A 31314-2023")</f>
        <v/>
      </c>
      <c r="AE496">
        <f>HYPERLINK("https://klasma.github.io/Logging_0880/fåglar/A 31314-2023 prioriterade fågelarter.docx", "A 31314-2023")</f>
        <v/>
      </c>
    </row>
    <row r="497" ht="15" customHeight="1">
      <c r="A497" t="inlineStr">
        <is>
          <t>A 18399-2026</t>
        </is>
      </c>
      <c r="B497" t="inlineStr">
        <is>
          <t>avverkningsanmälan</t>
        </is>
      </c>
      <c r="C497" t="inlineStr">
        <is>
          <t>Föryngringsavverkning</t>
        </is>
      </c>
      <c r="D497" s="1" t="n">
        <v>46126</v>
      </c>
      <c r="E497" s="1" t="n">
        <v>46323</v>
      </c>
      <c r="F497" t="inlineStr">
        <is>
          <t>KALMAR LÄN</t>
        </is>
      </c>
      <c r="G497" t="inlineStr">
        <is>
          <t>NYBRO</t>
        </is>
      </c>
      <c r="H497" t="inlineStr">
        <is>
          <t>Sveaskog</t>
        </is>
      </c>
      <c r="I497" t="n">
        <v>12.2</v>
      </c>
      <c r="J497" t="n">
        <v>1</v>
      </c>
      <c r="K497" t="n">
        <v>1</v>
      </c>
      <c r="L497" t="n">
        <v>1</v>
      </c>
      <c r="M497" t="n">
        <v>0</v>
      </c>
      <c r="N497" t="n">
        <v>0</v>
      </c>
      <c r="O497" t="n">
        <v>0</v>
      </c>
      <c r="P497" t="n">
        <v>0</v>
      </c>
      <c r="Q497" t="n">
        <v>1</v>
      </c>
      <c r="R497" t="n">
        <v>0</v>
      </c>
      <c r="S497" t="n">
        <v>3</v>
      </c>
      <c r="T497" t="n">
        <v>4</v>
      </c>
      <c r="U497" t="n">
        <v>0</v>
      </c>
      <c r="V497" s="2" t="inlineStr">
        <is>
          <t>Aspstumpbagge
Stekelbock
Spillkråka</t>
        </is>
      </c>
      <c r="W497">
        <f>HYPERLINK("https://klasma.github.io/Logging_0881/artfynd/A 18399-2026 artfynd.xlsx", "A 18399-2026")</f>
        <v/>
      </c>
      <c r="X497">
        <f>HYPERLINK("https://klasma.github.io/Logging_0881/kartor/A 18399-2026 karta.png", "A 18399-2026")</f>
        <v/>
      </c>
      <c r="Y497">
        <f>HYPERLINK("https://klasma.github.io/Logging_0881/kartor_geotiff/A 18399-2026 georefererad karta.tif", "A 18399-2026")</f>
        <v/>
      </c>
      <c r="AA497">
        <f>HYPERLINK("https://klasma.github.io/Logging_0881/klagomål/A 18399-2026 FSC-klagomål.docx", "A 18399-2026")</f>
        <v/>
      </c>
      <c r="AB497">
        <f>HYPERLINK("https://klasma.github.io/Logging_0881/klagomålsmail/A 18399-2026 FSC-klagomål mail.docx", "A 18399-2026")</f>
        <v/>
      </c>
      <c r="AC497">
        <f>HYPERLINK("https://klasma.github.io/Logging_0881/tillsyn/A 18399-2026 tillsynsbegäran.docx", "A 18399-2026")</f>
        <v/>
      </c>
      <c r="AD497">
        <f>HYPERLINK("https://klasma.github.io/Logging_0881/tillsynsmail/A 18399-2026 tillsynsbegäran mail.docx", "A 18399-2026")</f>
        <v/>
      </c>
      <c r="AE497">
        <f>HYPERLINK("https://klasma.github.io/Logging_0881/fåglar/A 18399-2026 prioriterade fågelarter.docx", "A 18399-2026")</f>
        <v/>
      </c>
    </row>
    <row r="498" ht="15" customHeight="1">
      <c r="A498" t="inlineStr">
        <is>
          <t>A 958-2025</t>
        </is>
      </c>
      <c r="B498" t="inlineStr">
        <is>
          <t>avverkningsanmälan</t>
        </is>
      </c>
      <c r="C498" t="inlineStr">
        <is>
          <t>Föryngringsavverkning</t>
        </is>
      </c>
      <c r="D498" s="1" t="n">
        <v>45666</v>
      </c>
      <c r="E498" s="1" t="n">
        <v>46323</v>
      </c>
      <c r="F498" t="inlineStr">
        <is>
          <t>KALMAR LÄN</t>
        </is>
      </c>
      <c r="G498" t="inlineStr">
        <is>
          <t>VÄSTERVIK</t>
        </is>
      </c>
      <c r="I498" t="n">
        <v>2.8</v>
      </c>
      <c r="J498" t="n">
        <v>1</v>
      </c>
      <c r="K498" t="n">
        <v>0</v>
      </c>
      <c r="L498" t="n">
        <v>2</v>
      </c>
      <c r="M498" t="n">
        <v>0</v>
      </c>
      <c r="N498" t="n">
        <v>0</v>
      </c>
      <c r="O498" t="n">
        <v>0</v>
      </c>
      <c r="P498" t="n">
        <v>0</v>
      </c>
      <c r="Q498" t="n">
        <v>2</v>
      </c>
      <c r="R498" t="n">
        <v>0</v>
      </c>
      <c r="S498" t="n">
        <v>3</v>
      </c>
      <c r="T498" t="n">
        <v>3</v>
      </c>
      <c r="U498" t="n">
        <v>2</v>
      </c>
      <c r="V498" s="2" t="inlineStr">
        <is>
          <t>Orange taggsvamp
Älg
Spillkråka</t>
        </is>
      </c>
      <c r="W498">
        <f>HYPERLINK("https://klasma.github.io/Logging_0883/artfynd/A 958-2025 artfynd.xlsx", "A 958-2025")</f>
        <v/>
      </c>
      <c r="X498">
        <f>HYPERLINK("https://klasma.github.io/Logging_0883/kartor/A 958-2025 karta.png", "A 958-2025")</f>
        <v/>
      </c>
      <c r="Y498">
        <f>HYPERLINK("https://klasma.github.io/Logging_0883/kartor_geotiff/A 958-2025 georefererad karta.tif", "A 958-2025")</f>
        <v/>
      </c>
      <c r="AA498">
        <f>HYPERLINK("https://klasma.github.io/Logging_0883/klagomål/A 958-2025 FSC-klagomål.docx", "A 958-2025")</f>
        <v/>
      </c>
      <c r="AB498">
        <f>HYPERLINK("https://klasma.github.io/Logging_0883/klagomålsmail/A 958-2025 FSC-klagomål mail.docx", "A 958-2025")</f>
        <v/>
      </c>
      <c r="AC498">
        <f>HYPERLINK("https://klasma.github.io/Logging_0883/tillsyn/A 958-2025 tillsynsbegäran.docx", "A 958-2025")</f>
        <v/>
      </c>
      <c r="AD498">
        <f>HYPERLINK("https://klasma.github.io/Logging_0883/tillsynsmail/A 958-2025 tillsynsbegäran mail.docx", "A 958-2025")</f>
        <v/>
      </c>
      <c r="AE498">
        <f>HYPERLINK("https://klasma.github.io/Logging_0883/fåglar/A 958-2025 prioriterade fågelarter.docx", "A 958-2025")</f>
        <v/>
      </c>
    </row>
    <row r="499" ht="15" customHeight="1">
      <c r="A499" t="inlineStr">
        <is>
          <t>A 41271-2025</t>
        </is>
      </c>
      <c r="B499" t="inlineStr">
        <is>
          <t>avverkningsanmälan</t>
        </is>
      </c>
      <c r="C499" t="inlineStr">
        <is>
          <t>Föryngringsavverkning</t>
        </is>
      </c>
      <c r="D499" s="1" t="n">
        <v>45898</v>
      </c>
      <c r="E499" s="1" t="n">
        <v>46323</v>
      </c>
      <c r="F499" t="inlineStr">
        <is>
          <t>KALMAR LÄN</t>
        </is>
      </c>
      <c r="G499" t="inlineStr">
        <is>
          <t>VÄSTERVIK</t>
        </is>
      </c>
      <c r="I499" t="n">
        <v>1.1</v>
      </c>
      <c r="J499" t="n">
        <v>2</v>
      </c>
      <c r="K499" t="n">
        <v>0</v>
      </c>
      <c r="L499" t="n">
        <v>2</v>
      </c>
      <c r="M499" t="n">
        <v>1</v>
      </c>
      <c r="N499" t="n">
        <v>0</v>
      </c>
      <c r="O499" t="n">
        <v>0</v>
      </c>
      <c r="P499" t="n">
        <v>0</v>
      </c>
      <c r="Q499" t="n">
        <v>3</v>
      </c>
      <c r="R499" t="n">
        <v>1</v>
      </c>
      <c r="S499" t="n">
        <v>3</v>
      </c>
      <c r="T499" t="n">
        <v>20</v>
      </c>
      <c r="U499" t="n">
        <v>20</v>
      </c>
      <c r="V499" s="2" t="inlineStr">
        <is>
          <t>Knärot
Motaggsvamp
Talltita</t>
        </is>
      </c>
      <c r="W499">
        <f>HYPERLINK("https://klasma.github.io/Logging_0883/artfynd/A 41271-2025 artfynd.xlsx", "A 41271-2025")</f>
        <v/>
      </c>
      <c r="X499">
        <f>HYPERLINK("https://klasma.github.io/Logging_0883/kartor/A 41271-2025 karta.png", "A 41271-2025")</f>
        <v/>
      </c>
      <c r="Y499">
        <f>HYPERLINK("https://klasma.github.io/Logging_0883/kartor_geotiff/A 41271-2025 georefererad karta.tif", "A 41271-2025")</f>
        <v/>
      </c>
      <c r="Z499">
        <f>HYPERLINK("https://klasma.github.io/Logging_0883/knärot/A 41271-2025 karta knärot.png", "A 41271-2025")</f>
        <v/>
      </c>
      <c r="AA499">
        <f>HYPERLINK("https://klasma.github.io/Logging_0883/klagomål/A 41271-2025 FSC-klagomål.docx", "A 41271-2025")</f>
        <v/>
      </c>
      <c r="AB499">
        <f>HYPERLINK("https://klasma.github.io/Logging_0883/klagomålsmail/A 41271-2025 FSC-klagomål mail.docx", "A 41271-2025")</f>
        <v/>
      </c>
      <c r="AC499">
        <f>HYPERLINK("https://klasma.github.io/Logging_0883/tillsyn/A 41271-2025 tillsynsbegäran.docx", "A 41271-2025")</f>
        <v/>
      </c>
      <c r="AD499">
        <f>HYPERLINK("https://klasma.github.io/Logging_0883/tillsynsmail/A 41271-2025 tillsynsbegäran mail.docx", "A 41271-2025")</f>
        <v/>
      </c>
      <c r="AE499">
        <f>HYPERLINK("https://klasma.github.io/Logging_0883/fåglar/A 41271-2025 prioriterade fågelarter.docx", "A 41271-2025")</f>
        <v/>
      </c>
    </row>
    <row r="500" ht="15" customHeight="1">
      <c r="A500" t="inlineStr">
        <is>
          <t>A 24048-2025</t>
        </is>
      </c>
      <c r="B500" t="inlineStr">
        <is>
          <t>avverkningsanmälan</t>
        </is>
      </c>
      <c r="C500" t="inlineStr">
        <is>
          <t>Föryngringsavverkning</t>
        </is>
      </c>
      <c r="D500" s="1" t="n">
        <v>45796</v>
      </c>
      <c r="E500" s="1" t="n">
        <v>46323</v>
      </c>
      <c r="F500" t="inlineStr">
        <is>
          <t>KALMAR LÄN</t>
        </is>
      </c>
      <c r="G500" t="inlineStr">
        <is>
          <t>BORGHOLM</t>
        </is>
      </c>
      <c r="I500" t="n">
        <v>2</v>
      </c>
      <c r="J500" t="n">
        <v>1</v>
      </c>
      <c r="K500" t="n">
        <v>0</v>
      </c>
      <c r="L500" t="n">
        <v>2</v>
      </c>
      <c r="M500" t="n">
        <v>0</v>
      </c>
      <c r="N500" t="n">
        <v>0</v>
      </c>
      <c r="O500" t="n">
        <v>0</v>
      </c>
      <c r="P500" t="n">
        <v>0</v>
      </c>
      <c r="Q500" t="n">
        <v>2</v>
      </c>
      <c r="R500" t="n">
        <v>0</v>
      </c>
      <c r="S500" t="n">
        <v>3</v>
      </c>
      <c r="T500" t="n">
        <v>5</v>
      </c>
      <c r="U500" t="n">
        <v>0</v>
      </c>
      <c r="V500" s="2" t="inlineStr">
        <is>
          <t>Loppstarr
Ängsstarr
Kärrknipprot</t>
        </is>
      </c>
      <c r="W500">
        <f>HYPERLINK("https://klasma.github.io/Logging_0885/artfynd/A 24048-2025 artfynd.xlsx", "A 24048-2025")</f>
        <v/>
      </c>
      <c r="X500">
        <f>HYPERLINK("https://klasma.github.io/Logging_0885/kartor/A 24048-2025 karta.png", "A 24048-2025")</f>
        <v/>
      </c>
      <c r="Y500">
        <f>HYPERLINK("https://klasma.github.io/Logging_0885/kartor_geotiff/A 24048-2025 georefererad karta.tif", "A 24048-2025")</f>
        <v/>
      </c>
      <c r="AA500">
        <f>HYPERLINK("https://klasma.github.io/Logging_0885/klagomål/A 24048-2025 FSC-klagomål.docx", "A 24048-2025")</f>
        <v/>
      </c>
      <c r="AB500">
        <f>HYPERLINK("https://klasma.github.io/Logging_0885/klagomålsmail/A 24048-2025 FSC-klagomål mail.docx", "A 24048-2025")</f>
        <v/>
      </c>
      <c r="AC500">
        <f>HYPERLINK("https://klasma.github.io/Logging_0885/tillsyn/A 24048-2025 tillsynsbegäran.docx", "A 24048-2025")</f>
        <v/>
      </c>
      <c r="AD500">
        <f>HYPERLINK("https://klasma.github.io/Logging_0885/tillsynsmail/A 24048-2025 tillsynsbegäran mail.docx", "A 24048-2025")</f>
        <v/>
      </c>
    </row>
    <row r="501" ht="15" customHeight="1">
      <c r="A501" t="inlineStr">
        <is>
          <t>A 31216-2026</t>
        </is>
      </c>
      <c r="B501" t="inlineStr">
        <is>
          <t>avverkningsanmälan</t>
        </is>
      </c>
      <c r="C501" t="inlineStr">
        <is>
          <t>Föryngringsavverkning</t>
        </is>
      </c>
      <c r="D501" s="1" t="n">
        <v>46217</v>
      </c>
      <c r="E501" s="1" t="n">
        <v>46323</v>
      </c>
      <c r="F501" t="inlineStr">
        <is>
          <t>KALMAR LÄN</t>
        </is>
      </c>
      <c r="G501" t="inlineStr">
        <is>
          <t>VÄSTERVIK</t>
        </is>
      </c>
      <c r="I501" t="n">
        <v>1.1</v>
      </c>
      <c r="J501" t="n">
        <v>2</v>
      </c>
      <c r="K501" t="n">
        <v>3</v>
      </c>
      <c r="L501" t="n">
        <v>0</v>
      </c>
      <c r="M501" t="n">
        <v>0</v>
      </c>
      <c r="N501" t="n">
        <v>0</v>
      </c>
      <c r="O501" t="n">
        <v>0</v>
      </c>
      <c r="P501" t="n">
        <v>0</v>
      </c>
      <c r="Q501" t="n">
        <v>0</v>
      </c>
      <c r="R501" t="n">
        <v>0</v>
      </c>
      <c r="S501" t="n">
        <v>3</v>
      </c>
      <c r="T501" t="n">
        <v>3</v>
      </c>
      <c r="U501" t="n">
        <v>2</v>
      </c>
      <c r="V501" s="2" t="inlineStr">
        <is>
          <t>Ekoxe
Guldlockmossa
Skogsknipprot</t>
        </is>
      </c>
      <c r="W501">
        <f>HYPERLINK("https://klasma.github.io/Logging_0883/artfynd/A 31216-2026 artfynd.xlsx", "A 31216-2026")</f>
        <v/>
      </c>
      <c r="X501">
        <f>HYPERLINK("https://klasma.github.io/Logging_0883/kartor/A 31216-2026 karta.png", "A 31216-2026")</f>
        <v/>
      </c>
      <c r="Y501">
        <f>HYPERLINK("https://klasma.github.io/Logging_0883/kartor_geotiff/A 31216-2026 georefererad karta.tif", "A 31216-2026")</f>
        <v/>
      </c>
      <c r="AA501">
        <f>HYPERLINK("https://klasma.github.io/Logging_0883/klagomål/A 31216-2026 FSC-klagomål.docx", "A 31216-2026")</f>
        <v/>
      </c>
      <c r="AB501">
        <f>HYPERLINK("https://klasma.github.io/Logging_0883/klagomålsmail/A 31216-2026 FSC-klagomål mail.docx", "A 31216-2026")</f>
        <v/>
      </c>
      <c r="AC501">
        <f>HYPERLINK("https://klasma.github.io/Logging_0883/tillsyn/A 31216-2026 tillsynsbegäran.docx", "A 31216-2026")</f>
        <v/>
      </c>
      <c r="AD501">
        <f>HYPERLINK("https://klasma.github.io/Logging_0883/tillsynsmail/A 31216-2026 tillsynsbegäran mail.docx", "A 31216-2026")</f>
        <v/>
      </c>
    </row>
    <row r="502" ht="15" customHeight="1">
      <c r="A502" t="inlineStr">
        <is>
          <t>A 29360-2026</t>
        </is>
      </c>
      <c r="B502" t="inlineStr">
        <is>
          <t>avverkningsanmälan</t>
        </is>
      </c>
      <c r="C502" t="inlineStr">
        <is>
          <t>Avverkning för annat ändamål</t>
        </is>
      </c>
      <c r="D502" s="1" t="n">
        <v>46203</v>
      </c>
      <c r="E502" s="1" t="n">
        <v>46323</v>
      </c>
      <c r="F502" t="inlineStr">
        <is>
          <t>KALMAR LÄN</t>
        </is>
      </c>
      <c r="G502" t="inlineStr">
        <is>
          <t>MÖRBYLÅNGA</t>
        </is>
      </c>
      <c r="I502" t="n">
        <v>2.9</v>
      </c>
      <c r="J502" t="n">
        <v>1</v>
      </c>
      <c r="K502" t="n">
        <v>1</v>
      </c>
      <c r="L502" t="n">
        <v>1</v>
      </c>
      <c r="M502" t="n">
        <v>1</v>
      </c>
      <c r="N502" t="n">
        <v>0</v>
      </c>
      <c r="O502" t="n">
        <v>0</v>
      </c>
      <c r="P502" t="n">
        <v>0</v>
      </c>
      <c r="Q502" t="n">
        <v>2</v>
      </c>
      <c r="R502" t="n">
        <v>1</v>
      </c>
      <c r="S502" t="n">
        <v>3</v>
      </c>
      <c r="T502" t="n">
        <v>3</v>
      </c>
      <c r="U502" t="n">
        <v>1</v>
      </c>
      <c r="V502" s="2" t="inlineStr">
        <is>
          <t>Mindre blåvinge
Silversmygare
Ekoxe</t>
        </is>
      </c>
      <c r="W502">
        <f>HYPERLINK("https://klasma.github.io/Logging_0840/artfynd/A 29360-2026 artfynd.xlsx", "A 29360-2026")</f>
        <v/>
      </c>
      <c r="X502">
        <f>HYPERLINK("https://klasma.github.io/Logging_0840/kartor/A 29360-2026 karta.png", "A 29360-2026")</f>
        <v/>
      </c>
      <c r="Y502">
        <f>HYPERLINK("https://klasma.github.io/Logging_0840/kartor_geotiff/A 29360-2026 georefererad karta.tif", "A 29360-2026")</f>
        <v/>
      </c>
      <c r="AA502">
        <f>HYPERLINK("https://klasma.github.io/Logging_0840/klagomål/A 29360-2026 FSC-klagomål.docx", "A 29360-2026")</f>
        <v/>
      </c>
      <c r="AB502">
        <f>HYPERLINK("https://klasma.github.io/Logging_0840/klagomålsmail/A 29360-2026 FSC-klagomål mail.docx", "A 29360-2026")</f>
        <v/>
      </c>
      <c r="AC502">
        <f>HYPERLINK("https://klasma.github.io/Logging_0840/tillsyn/A 29360-2026 tillsynsbegäran.docx", "A 29360-2026")</f>
        <v/>
      </c>
      <c r="AD502">
        <f>HYPERLINK("https://klasma.github.io/Logging_0840/tillsynsmail/A 29360-2026 tillsynsbegäran mail.docx", "A 29360-2026")</f>
        <v/>
      </c>
    </row>
    <row r="503" ht="15" customHeight="1">
      <c r="A503" t="inlineStr">
        <is>
          <t>A 31520-2026</t>
        </is>
      </c>
      <c r="B503" t="inlineStr">
        <is>
          <t>avverkningsanmälan</t>
        </is>
      </c>
      <c r="C503" t="inlineStr">
        <is>
          <t>Avverkning för att bevara och utveckla /försöksver</t>
        </is>
      </c>
      <c r="D503" s="1" t="n">
        <v>46223</v>
      </c>
      <c r="E503" s="1" t="n">
        <v>46323</v>
      </c>
      <c r="F503" t="inlineStr">
        <is>
          <t>KALMAR LÄN</t>
        </is>
      </c>
      <c r="G503" t="inlineStr">
        <is>
          <t>BORGHOLM</t>
        </is>
      </c>
      <c r="H503" t="inlineStr">
        <is>
          <t>Sveaskog</t>
        </is>
      </c>
      <c r="I503" t="n">
        <v>1.1</v>
      </c>
      <c r="J503" t="n">
        <v>3</v>
      </c>
      <c r="K503" t="n">
        <v>0</v>
      </c>
      <c r="L503" t="n">
        <v>1</v>
      </c>
      <c r="M503" t="n">
        <v>0</v>
      </c>
      <c r="N503" t="n">
        <v>0</v>
      </c>
      <c r="O503" t="n">
        <v>0</v>
      </c>
      <c r="P503" t="n">
        <v>0</v>
      </c>
      <c r="Q503" t="n">
        <v>1</v>
      </c>
      <c r="R503" t="n">
        <v>0</v>
      </c>
      <c r="S503" t="n">
        <v>3</v>
      </c>
      <c r="T503" t="n">
        <v>4</v>
      </c>
      <c r="U503" t="n">
        <v>0</v>
      </c>
      <c r="V503" s="2" t="inlineStr">
        <is>
          <t>Talltita
Grönsiska
Kungsfågel</t>
        </is>
      </c>
      <c r="W503">
        <f>HYPERLINK("https://klasma.github.io/Logging_0885/artfynd/A 31520-2026 artfynd.xlsx", "A 31520-2026")</f>
        <v/>
      </c>
      <c r="X503">
        <f>HYPERLINK("https://klasma.github.io/Logging_0885/kartor/A 31520-2026 karta.png", "A 31520-2026")</f>
        <v/>
      </c>
      <c r="Y503">
        <f>HYPERLINK("https://klasma.github.io/Logging_0885/kartor_geotiff/A 31520-2026 georefererad karta.tif", "A 31520-2026")</f>
        <v/>
      </c>
      <c r="AA503">
        <f>HYPERLINK("https://klasma.github.io/Logging_0885/klagomål/A 31520-2026 FSC-klagomål.docx", "A 31520-2026")</f>
        <v/>
      </c>
      <c r="AB503">
        <f>HYPERLINK("https://klasma.github.io/Logging_0885/klagomålsmail/A 31520-2026 FSC-klagomål mail.docx", "A 31520-2026")</f>
        <v/>
      </c>
      <c r="AC503">
        <f>HYPERLINK("https://klasma.github.io/Logging_0885/tillsyn/A 31520-2026 tillsynsbegäran.docx", "A 31520-2026")</f>
        <v/>
      </c>
      <c r="AD503">
        <f>HYPERLINK("https://klasma.github.io/Logging_0885/tillsynsmail/A 31520-2026 tillsynsbegäran mail.docx", "A 31520-2026")</f>
        <v/>
      </c>
      <c r="AE503">
        <f>HYPERLINK("https://klasma.github.io/Logging_0885/fåglar/A 31520-2026 prioriterade fågelarter.docx", "A 31520-2026")</f>
        <v/>
      </c>
    </row>
    <row r="504" ht="15" customHeight="1">
      <c r="A504" t="inlineStr">
        <is>
          <t>A 46722-2023</t>
        </is>
      </c>
      <c r="B504" t="inlineStr">
        <is>
          <t>avverkningsanmälan</t>
        </is>
      </c>
      <c r="C504" t="inlineStr">
        <is>
          <t>Föryngringsavverkning</t>
        </is>
      </c>
      <c r="D504" s="1" t="n">
        <v>45194</v>
      </c>
      <c r="E504" s="1" t="n">
        <v>46323</v>
      </c>
      <c r="F504" t="inlineStr">
        <is>
          <t>KALMAR LÄN</t>
        </is>
      </c>
      <c r="G504" t="inlineStr">
        <is>
          <t>VÄSTERVIK</t>
        </is>
      </c>
      <c r="I504" t="n">
        <v>0.9</v>
      </c>
      <c r="J504" t="n">
        <v>2</v>
      </c>
      <c r="K504" t="n">
        <v>1</v>
      </c>
      <c r="L504" t="n">
        <v>1</v>
      </c>
      <c r="M504" t="n">
        <v>1</v>
      </c>
      <c r="N504" t="n">
        <v>0</v>
      </c>
      <c r="O504" t="n">
        <v>0</v>
      </c>
      <c r="P504" t="n">
        <v>0</v>
      </c>
      <c r="Q504" t="n">
        <v>2</v>
      </c>
      <c r="R504" t="n">
        <v>1</v>
      </c>
      <c r="S504" t="n">
        <v>3</v>
      </c>
      <c r="T504" t="n">
        <v>5</v>
      </c>
      <c r="U504" t="n">
        <v>0</v>
      </c>
      <c r="V504" s="2" t="inlineStr">
        <is>
          <t>Knärot
Dropptaggsvamp
Grön sköldmossa</t>
        </is>
      </c>
      <c r="W504">
        <f>HYPERLINK("https://klasma.github.io/Logging_0883/artfynd/A 46722-2023 artfynd.xlsx", "A 46722-2023")</f>
        <v/>
      </c>
      <c r="X504">
        <f>HYPERLINK("https://klasma.github.io/Logging_0883/kartor/A 46722-2023 karta.png", "A 46722-2023")</f>
        <v/>
      </c>
      <c r="Y504">
        <f>HYPERLINK("https://klasma.github.io/Logging_0883/kartor_geotiff/A 46722-2023 georefererad karta.tif", "A 46722-2023")</f>
        <v/>
      </c>
      <c r="Z504">
        <f>HYPERLINK("https://klasma.github.io/Logging_0883/knärot/A 46722-2023 karta knärot.png", "A 46722-2023")</f>
        <v/>
      </c>
      <c r="AA504">
        <f>HYPERLINK("https://klasma.github.io/Logging_0883/klagomål/A 46722-2023 FSC-klagomål.docx", "A 46722-2023")</f>
        <v/>
      </c>
      <c r="AB504">
        <f>HYPERLINK("https://klasma.github.io/Logging_0883/klagomålsmail/A 46722-2023 FSC-klagomål mail.docx", "A 46722-2023")</f>
        <v/>
      </c>
      <c r="AC504">
        <f>HYPERLINK("https://klasma.github.io/Logging_0883/tillsyn/A 46722-2023 tillsynsbegäran.docx", "A 46722-2023")</f>
        <v/>
      </c>
      <c r="AD504">
        <f>HYPERLINK("https://klasma.github.io/Logging_0883/tillsynsmail/A 46722-2023 tillsynsbegäran mail.docx", "A 46722-2023")</f>
        <v/>
      </c>
    </row>
    <row r="505" ht="15" customHeight="1">
      <c r="A505" t="inlineStr">
        <is>
          <t>A 33043-2022</t>
        </is>
      </c>
      <c r="B505" t="inlineStr">
        <is>
          <t>avverkningsanmälan</t>
        </is>
      </c>
      <c r="C505" t="inlineStr">
        <is>
          <t>Föryngringsavverkning</t>
        </is>
      </c>
      <c r="D505" s="1" t="n">
        <v>44785</v>
      </c>
      <c r="E505" s="1" t="n">
        <v>46323</v>
      </c>
      <c r="F505" t="inlineStr">
        <is>
          <t>KALMAR LÄN</t>
        </is>
      </c>
      <c r="G505" t="inlineStr">
        <is>
          <t>KALMAR</t>
        </is>
      </c>
      <c r="H505" t="inlineStr">
        <is>
          <t>Kyrkan</t>
        </is>
      </c>
      <c r="I505" t="n">
        <v>1.6</v>
      </c>
      <c r="J505" t="n">
        <v>1</v>
      </c>
      <c r="K505" t="n">
        <v>1</v>
      </c>
      <c r="L505" t="n">
        <v>1</v>
      </c>
      <c r="M505" t="n">
        <v>1</v>
      </c>
      <c r="N505" t="n">
        <v>0</v>
      </c>
      <c r="O505" t="n">
        <v>0</v>
      </c>
      <c r="P505" t="n">
        <v>0</v>
      </c>
      <c r="Q505" t="n">
        <v>2</v>
      </c>
      <c r="R505" t="n">
        <v>1</v>
      </c>
      <c r="S505" t="n">
        <v>3</v>
      </c>
      <c r="T505" t="n">
        <v>14</v>
      </c>
      <c r="U505" t="n">
        <v>14</v>
      </c>
      <c r="V505" s="2" t="inlineStr">
        <is>
          <t>Knärot
Dropptaggsvamp
Murgröna</t>
        </is>
      </c>
      <c r="W505">
        <f>HYPERLINK("https://klasma.github.io/Logging_0880/artfynd/A 33043-2022 artfynd.xlsx", "A 33043-2022")</f>
        <v/>
      </c>
      <c r="X505">
        <f>HYPERLINK("https://klasma.github.io/Logging_0880/kartor/A 33043-2022 karta.png", "A 33043-2022")</f>
        <v/>
      </c>
      <c r="Y505">
        <f>HYPERLINK("https://klasma.github.io/Logging_0880/kartor_geotiff/A 33043-2022 georefererad karta.tif", "A 33043-2022")</f>
        <v/>
      </c>
      <c r="Z505">
        <f>HYPERLINK("https://klasma.github.io/Logging_0880/knärot/A 33043-2022 karta knärot.png", "A 33043-2022")</f>
        <v/>
      </c>
      <c r="AA505">
        <f>HYPERLINK("https://klasma.github.io/Logging_0880/klagomål/A 33043-2022 FSC-klagomål.docx", "A 33043-2022")</f>
        <v/>
      </c>
      <c r="AB505">
        <f>HYPERLINK("https://klasma.github.io/Logging_0880/klagomålsmail/A 33043-2022 FSC-klagomål mail.docx", "A 33043-2022")</f>
        <v/>
      </c>
      <c r="AC505">
        <f>HYPERLINK("https://klasma.github.io/Logging_0880/tillsyn/A 33043-2022 tillsynsbegäran.docx", "A 33043-2022")</f>
        <v/>
      </c>
      <c r="AD505">
        <f>HYPERLINK("https://klasma.github.io/Logging_0880/tillsynsmail/A 33043-2022 tillsynsbegäran mail.docx", "A 33043-2022")</f>
        <v/>
      </c>
    </row>
    <row r="506" ht="15" customHeight="1">
      <c r="A506" t="inlineStr">
        <is>
          <t>A 37524-2025</t>
        </is>
      </c>
      <c r="B506" t="inlineStr">
        <is>
          <t>avverkningsanmälan</t>
        </is>
      </c>
      <c r="C506" t="inlineStr">
        <is>
          <t>Föryngringsavverkning</t>
        </is>
      </c>
      <c r="D506" s="1" t="n">
        <v>45877</v>
      </c>
      <c r="E506" s="1" t="n">
        <v>46323</v>
      </c>
      <c r="F506" t="inlineStr">
        <is>
          <t>KALMAR LÄN</t>
        </is>
      </c>
      <c r="G506" t="inlineStr">
        <is>
          <t>VÄSTERVIK</t>
        </is>
      </c>
      <c r="I506" t="n">
        <v>3.3</v>
      </c>
      <c r="J506" t="n">
        <v>2</v>
      </c>
      <c r="K506" t="n">
        <v>1</v>
      </c>
      <c r="L506" t="n">
        <v>1</v>
      </c>
      <c r="M506" t="n">
        <v>1</v>
      </c>
      <c r="N506" t="n">
        <v>0</v>
      </c>
      <c r="O506" t="n">
        <v>0</v>
      </c>
      <c r="P506" t="n">
        <v>0</v>
      </c>
      <c r="Q506" t="n">
        <v>2</v>
      </c>
      <c r="R506" t="n">
        <v>1</v>
      </c>
      <c r="S506" t="n">
        <v>3</v>
      </c>
      <c r="T506" t="n">
        <v>24</v>
      </c>
      <c r="U506" t="n">
        <v>24</v>
      </c>
      <c r="V506" s="2" t="inlineStr">
        <is>
          <t>Knärot
Talltita
Blomkålssvamp</t>
        </is>
      </c>
      <c r="W506">
        <f>HYPERLINK("https://klasma.github.io/Logging_0883/artfynd/A 37524-2025 artfynd.xlsx", "A 37524-2025")</f>
        <v/>
      </c>
      <c r="X506">
        <f>HYPERLINK("https://klasma.github.io/Logging_0883/kartor/A 37524-2025 karta.png", "A 37524-2025")</f>
        <v/>
      </c>
      <c r="Y506">
        <f>HYPERLINK("https://klasma.github.io/Logging_0883/kartor_geotiff/A 37524-2025 georefererad karta.tif", "A 37524-2025")</f>
        <v/>
      </c>
      <c r="Z506">
        <f>HYPERLINK("https://klasma.github.io/Logging_0883/knärot/A 37524-2025 karta knärot.png", "A 37524-2025")</f>
        <v/>
      </c>
      <c r="AA506">
        <f>HYPERLINK("https://klasma.github.io/Logging_0883/klagomål/A 37524-2025 FSC-klagomål.docx", "A 37524-2025")</f>
        <v/>
      </c>
      <c r="AB506">
        <f>HYPERLINK("https://klasma.github.io/Logging_0883/klagomålsmail/A 37524-2025 FSC-klagomål mail.docx", "A 37524-2025")</f>
        <v/>
      </c>
      <c r="AC506">
        <f>HYPERLINK("https://klasma.github.io/Logging_0883/tillsyn/A 37524-2025 tillsynsbegäran.docx", "A 37524-2025")</f>
        <v/>
      </c>
      <c r="AD506">
        <f>HYPERLINK("https://klasma.github.io/Logging_0883/tillsynsmail/A 37524-2025 tillsynsbegäran mail.docx", "A 37524-2025")</f>
        <v/>
      </c>
      <c r="AE506">
        <f>HYPERLINK("https://klasma.github.io/Logging_0883/fåglar/A 37524-2025 prioriterade fågelarter.docx", "A 37524-2025")</f>
        <v/>
      </c>
    </row>
    <row r="507" ht="15" customHeight="1">
      <c r="A507" t="inlineStr">
        <is>
          <t>A 47236-2023</t>
        </is>
      </c>
      <c r="B507" t="inlineStr">
        <is>
          <t>avverkningsanmälan</t>
        </is>
      </c>
      <c r="C507" t="inlineStr">
        <is>
          <t>Föryngringsavverkning</t>
        </is>
      </c>
      <c r="D507" s="1" t="n">
        <v>45202</v>
      </c>
      <c r="E507" s="1" t="n">
        <v>46323</v>
      </c>
      <c r="F507" t="inlineStr">
        <is>
          <t>KALMAR LÄN</t>
        </is>
      </c>
      <c r="G507" t="inlineStr">
        <is>
          <t>HÖGSBY</t>
        </is>
      </c>
      <c r="I507" t="n">
        <v>13.2</v>
      </c>
      <c r="J507" t="n">
        <v>2</v>
      </c>
      <c r="K507" t="n">
        <v>0</v>
      </c>
      <c r="L507" t="n">
        <v>2</v>
      </c>
      <c r="M507" t="n">
        <v>0</v>
      </c>
      <c r="N507" t="n">
        <v>0</v>
      </c>
      <c r="O507" t="n">
        <v>0</v>
      </c>
      <c r="P507" t="n">
        <v>0</v>
      </c>
      <c r="Q507" t="n">
        <v>2</v>
      </c>
      <c r="R507" t="n">
        <v>0</v>
      </c>
      <c r="S507" t="n">
        <v>3</v>
      </c>
      <c r="T507" t="n">
        <v>3</v>
      </c>
      <c r="U507" t="n">
        <v>0</v>
      </c>
      <c r="V507" s="2" t="inlineStr">
        <is>
          <t>Backklöver
Nötkråka
Revlummer</t>
        </is>
      </c>
      <c r="W507">
        <f>HYPERLINK("https://klasma.github.io/Logging_0821/artfynd/A 47236-2023 artfynd.xlsx", "A 47236-2023")</f>
        <v/>
      </c>
      <c r="X507">
        <f>HYPERLINK("https://klasma.github.io/Logging_0821/kartor/A 47236-2023 karta.png", "A 47236-2023")</f>
        <v/>
      </c>
      <c r="Y507">
        <f>HYPERLINK("https://klasma.github.io/Logging_0821/kartor_geotiff/A 47236-2023 georefererad karta.tif", "A 47236-2023")</f>
        <v/>
      </c>
      <c r="AA507">
        <f>HYPERLINK("https://klasma.github.io/Logging_0821/klagomål/A 47236-2023 FSC-klagomål.docx", "A 47236-2023")</f>
        <v/>
      </c>
      <c r="AB507">
        <f>HYPERLINK("https://klasma.github.io/Logging_0821/klagomålsmail/A 47236-2023 FSC-klagomål mail.docx", "A 47236-2023")</f>
        <v/>
      </c>
      <c r="AC507">
        <f>HYPERLINK("https://klasma.github.io/Logging_0821/tillsyn/A 47236-2023 tillsynsbegäran.docx", "A 47236-2023")</f>
        <v/>
      </c>
      <c r="AD507">
        <f>HYPERLINK("https://klasma.github.io/Logging_0821/tillsynsmail/A 47236-2023 tillsynsbegäran mail.docx", "A 47236-2023")</f>
        <v/>
      </c>
      <c r="AE507">
        <f>HYPERLINK("https://klasma.github.io/Logging_0821/fåglar/A 47236-2023 prioriterade fågelarter.docx", "A 47236-2023")</f>
        <v/>
      </c>
    </row>
    <row r="508" ht="15" customHeight="1">
      <c r="A508" t="inlineStr">
        <is>
          <t>A 24159-2022</t>
        </is>
      </c>
      <c r="B508" t="inlineStr">
        <is>
          <t>avverkningsanmälan</t>
        </is>
      </c>
      <c r="C508" t="inlineStr">
        <is>
          <t>Föryngringsavverkning</t>
        </is>
      </c>
      <c r="D508" s="1" t="n">
        <v>44725</v>
      </c>
      <c r="E508" s="1" t="n">
        <v>46323</v>
      </c>
      <c r="F508" t="inlineStr">
        <is>
          <t>KALMAR LÄN</t>
        </is>
      </c>
      <c r="G508" t="inlineStr">
        <is>
          <t>TORSÅS</t>
        </is>
      </c>
      <c r="I508" t="n">
        <v>1.2</v>
      </c>
      <c r="J508" t="n">
        <v>3</v>
      </c>
      <c r="K508" t="n">
        <v>0</v>
      </c>
      <c r="L508" t="n">
        <v>1</v>
      </c>
      <c r="M508" t="n">
        <v>0</v>
      </c>
      <c r="N508" t="n">
        <v>0</v>
      </c>
      <c r="O508" t="n">
        <v>0</v>
      </c>
      <c r="P508" t="n">
        <v>0</v>
      </c>
      <c r="Q508" t="n">
        <v>1</v>
      </c>
      <c r="R508" t="n">
        <v>0</v>
      </c>
      <c r="S508" t="n">
        <v>3</v>
      </c>
      <c r="T508" t="n">
        <v>3</v>
      </c>
      <c r="U508" t="n">
        <v>0</v>
      </c>
      <c r="V508" s="2" t="inlineStr">
        <is>
          <t>Nordfladdermus
Dvärgpipistrell
Större brunfladdermus</t>
        </is>
      </c>
      <c r="W508">
        <f>HYPERLINK("https://klasma.github.io/Logging_0834/artfynd/A 24159-2022 artfynd.xlsx", "A 24159-2022")</f>
        <v/>
      </c>
      <c r="X508">
        <f>HYPERLINK("https://klasma.github.io/Logging_0834/kartor/A 24159-2022 karta.png", "A 24159-2022")</f>
        <v/>
      </c>
      <c r="Y508">
        <f>HYPERLINK("https://klasma.github.io/Logging_0834/kartor_geotiff/A 24159-2022 georefererad karta.tif", "A 24159-2022")</f>
        <v/>
      </c>
      <c r="AA508">
        <f>HYPERLINK("https://klasma.github.io/Logging_0834/klagomål/A 24159-2022 FSC-klagomål.docx", "A 24159-2022")</f>
        <v/>
      </c>
      <c r="AB508">
        <f>HYPERLINK("https://klasma.github.io/Logging_0834/klagomålsmail/A 24159-2022 FSC-klagomål mail.docx", "A 24159-2022")</f>
        <v/>
      </c>
      <c r="AC508">
        <f>HYPERLINK("https://klasma.github.io/Logging_0834/tillsyn/A 24159-2022 tillsynsbegäran.docx", "A 24159-2022")</f>
        <v/>
      </c>
      <c r="AD508">
        <f>HYPERLINK("https://klasma.github.io/Logging_0834/tillsynsmail/A 24159-2022 tillsynsbegäran mail.docx", "A 24159-2022")</f>
        <v/>
      </c>
    </row>
    <row r="509" ht="15" customHeight="1">
      <c r="A509" t="inlineStr">
        <is>
          <t>A 2657-2024</t>
        </is>
      </c>
      <c r="B509" t="inlineStr">
        <is>
          <t>avverkningsanmälan</t>
        </is>
      </c>
      <c r="C509" t="inlineStr">
        <is>
          <t>Föryngringsavverkning</t>
        </is>
      </c>
      <c r="D509" s="1" t="n">
        <v>45314</v>
      </c>
      <c r="E509" s="1" t="n">
        <v>46323</v>
      </c>
      <c r="F509" t="inlineStr">
        <is>
          <t>KALMAR LÄN</t>
        </is>
      </c>
      <c r="G509" t="inlineStr">
        <is>
          <t>VÄSTERVIK</t>
        </is>
      </c>
      <c r="I509" t="n">
        <v>5.9</v>
      </c>
      <c r="J509" t="n">
        <v>2</v>
      </c>
      <c r="K509" t="n">
        <v>1</v>
      </c>
      <c r="L509" t="n">
        <v>0</v>
      </c>
      <c r="M509" t="n">
        <v>1</v>
      </c>
      <c r="N509" t="n">
        <v>0</v>
      </c>
      <c r="O509" t="n">
        <v>0</v>
      </c>
      <c r="P509" t="n">
        <v>0</v>
      </c>
      <c r="Q509" t="n">
        <v>1</v>
      </c>
      <c r="R509" t="n">
        <v>1</v>
      </c>
      <c r="S509" t="n">
        <v>3</v>
      </c>
      <c r="T509" t="n">
        <v>13</v>
      </c>
      <c r="U509" t="n">
        <v>12</v>
      </c>
      <c r="V509" s="2" t="inlineStr">
        <is>
          <t>Knärot
Grönpyrola
Spillkråka</t>
        </is>
      </c>
      <c r="W509">
        <f>HYPERLINK("https://klasma.github.io/Logging_0883/artfynd/A 2657-2024 artfynd.xlsx", "A 2657-2024")</f>
        <v/>
      </c>
      <c r="X509">
        <f>HYPERLINK("https://klasma.github.io/Logging_0883/kartor/A 2657-2024 karta.png", "A 2657-2024")</f>
        <v/>
      </c>
      <c r="Y509">
        <f>HYPERLINK("https://klasma.github.io/Logging_0883/kartor_geotiff/A 2657-2024 georefererad karta.tif", "A 2657-2024")</f>
        <v/>
      </c>
      <c r="Z509">
        <f>HYPERLINK("https://klasma.github.io/Logging_0883/knärot/A 2657-2024 karta knärot.png", "A 2657-2024")</f>
        <v/>
      </c>
      <c r="AA509">
        <f>HYPERLINK("https://klasma.github.io/Logging_0883/klagomål/A 2657-2024 FSC-klagomål.docx", "A 2657-2024")</f>
        <v/>
      </c>
      <c r="AB509">
        <f>HYPERLINK("https://klasma.github.io/Logging_0883/klagomålsmail/A 2657-2024 FSC-klagomål mail.docx", "A 2657-2024")</f>
        <v/>
      </c>
      <c r="AC509">
        <f>HYPERLINK("https://klasma.github.io/Logging_0883/tillsyn/A 2657-2024 tillsynsbegäran.docx", "A 2657-2024")</f>
        <v/>
      </c>
      <c r="AD509">
        <f>HYPERLINK("https://klasma.github.io/Logging_0883/tillsynsmail/A 2657-2024 tillsynsbegäran mail.docx", "A 2657-2024")</f>
        <v/>
      </c>
      <c r="AE509">
        <f>HYPERLINK("https://klasma.github.io/Logging_0883/fåglar/A 2657-2024 prioriterade fågelarter.docx", "A 2657-2024")</f>
        <v/>
      </c>
    </row>
    <row r="510" ht="15" customHeight="1">
      <c r="A510" t="inlineStr">
        <is>
          <t>A 8654-2026</t>
        </is>
      </c>
      <c r="B510" t="inlineStr">
        <is>
          <t>avverkningsanmälan</t>
        </is>
      </c>
      <c r="C510" t="inlineStr">
        <is>
          <t>Föryngringsavverkning</t>
        </is>
      </c>
      <c r="D510" s="1" t="n">
        <v>46066</v>
      </c>
      <c r="E510" s="1" t="n">
        <v>46323</v>
      </c>
      <c r="F510" t="inlineStr">
        <is>
          <t>KALMAR LÄN</t>
        </is>
      </c>
      <c r="G510" t="inlineStr">
        <is>
          <t>VÄSTERVIK</t>
        </is>
      </c>
      <c r="I510" t="n">
        <v>2.6</v>
      </c>
      <c r="J510" t="n">
        <v>3</v>
      </c>
      <c r="K510" t="n">
        <v>0</v>
      </c>
      <c r="L510" t="n">
        <v>1</v>
      </c>
      <c r="M510" t="n">
        <v>0</v>
      </c>
      <c r="N510" t="n">
        <v>0</v>
      </c>
      <c r="O510" t="n">
        <v>0</v>
      </c>
      <c r="P510" t="n">
        <v>0</v>
      </c>
      <c r="Q510" t="n">
        <v>1</v>
      </c>
      <c r="R510" t="n">
        <v>0</v>
      </c>
      <c r="S510" t="n">
        <v>3</v>
      </c>
      <c r="T510" t="n">
        <v>3</v>
      </c>
      <c r="U510" t="n">
        <v>3</v>
      </c>
      <c r="V510" s="2" t="inlineStr">
        <is>
          <t>Entita
Spillkråka
Kungsfågel</t>
        </is>
      </c>
      <c r="W510">
        <f>HYPERLINK("https://klasma.github.io/Logging_0883/artfynd/A 8654-2026 artfynd.xlsx", "A 8654-2026")</f>
        <v/>
      </c>
      <c r="X510">
        <f>HYPERLINK("https://klasma.github.io/Logging_0883/kartor/A 8654-2026 karta.png", "A 8654-2026")</f>
        <v/>
      </c>
      <c r="Y510">
        <f>HYPERLINK("https://klasma.github.io/Logging_0883/kartor_geotiff/A 8654-2026 georefererad karta.tif", "A 8654-2026")</f>
        <v/>
      </c>
      <c r="AA510">
        <f>HYPERLINK("https://klasma.github.io/Logging_0883/klagomål/A 8654-2026 FSC-klagomål.docx", "A 8654-2026")</f>
        <v/>
      </c>
      <c r="AB510">
        <f>HYPERLINK("https://klasma.github.io/Logging_0883/klagomålsmail/A 8654-2026 FSC-klagomål mail.docx", "A 8654-2026")</f>
        <v/>
      </c>
      <c r="AC510">
        <f>HYPERLINK("https://klasma.github.io/Logging_0883/tillsyn/A 8654-2026 tillsynsbegäran.docx", "A 8654-2026")</f>
        <v/>
      </c>
      <c r="AD510">
        <f>HYPERLINK("https://klasma.github.io/Logging_0883/tillsynsmail/A 8654-2026 tillsynsbegäran mail.docx", "A 8654-2026")</f>
        <v/>
      </c>
      <c r="AE510">
        <f>HYPERLINK("https://klasma.github.io/Logging_0883/fåglar/A 8654-2026 prioriterade fågelarter.docx", "A 8654-2026")</f>
        <v/>
      </c>
    </row>
    <row r="511" ht="15" customHeight="1">
      <c r="A511" t="inlineStr">
        <is>
          <t>A 39753-2026</t>
        </is>
      </c>
      <c r="B511" t="inlineStr">
        <is>
          <t>avverkningsanmälan</t>
        </is>
      </c>
      <c r="C511" t="inlineStr">
        <is>
          <t>Föryngringsavverkning</t>
        </is>
      </c>
      <c r="D511" s="1" t="n">
        <v>46290</v>
      </c>
      <c r="E511" s="1" t="n">
        <v>46323</v>
      </c>
      <c r="F511" t="inlineStr">
        <is>
          <t>KALMAR LÄN</t>
        </is>
      </c>
      <c r="G511" t="inlineStr">
        <is>
          <t>VÄSTERVIK</t>
        </is>
      </c>
      <c r="H511" t="inlineStr">
        <is>
          <t>Sveaskog</t>
        </is>
      </c>
      <c r="I511" t="n">
        <v>6.6</v>
      </c>
      <c r="J511" t="n">
        <v>2</v>
      </c>
      <c r="K511" t="n">
        <v>1</v>
      </c>
      <c r="L511" t="n">
        <v>1</v>
      </c>
      <c r="M511" t="n">
        <v>0</v>
      </c>
      <c r="N511" t="n">
        <v>0</v>
      </c>
      <c r="O511" t="n">
        <v>0</v>
      </c>
      <c r="P511" t="n">
        <v>0</v>
      </c>
      <c r="Q511" t="n">
        <v>1</v>
      </c>
      <c r="R511" t="n">
        <v>0</v>
      </c>
      <c r="S511" t="n">
        <v>3</v>
      </c>
      <c r="T511" t="n">
        <v>3</v>
      </c>
      <c r="U511" t="n">
        <v>0</v>
      </c>
      <c r="V511" s="2" t="inlineStr">
        <is>
          <t>Entita
Grönpyrola
Fläcknycklar</t>
        </is>
      </c>
      <c r="W511">
        <f>HYPERLINK("https://klasma.github.io/Logging_0883/artfynd/A 39753-2026 artfynd.xlsx", "A 39753-2026")</f>
        <v/>
      </c>
      <c r="X511">
        <f>HYPERLINK("https://klasma.github.io/Logging_0883/kartor/A 39753-2026 karta.png", "A 39753-2026")</f>
        <v/>
      </c>
      <c r="Y511">
        <f>HYPERLINK("https://klasma.github.io/Logging_0883/kartor_geotiff/A 39753-2026 georefererad karta.tif", "A 39753-2026")</f>
        <v/>
      </c>
      <c r="AA511">
        <f>HYPERLINK("https://klasma.github.io/Logging_0883/klagomål/A 39753-2026 FSC-klagomål.docx", "A 39753-2026")</f>
        <v/>
      </c>
      <c r="AB511">
        <f>HYPERLINK("https://klasma.github.io/Logging_0883/klagomålsmail/A 39753-2026 FSC-klagomål mail.docx", "A 39753-2026")</f>
        <v/>
      </c>
      <c r="AC511">
        <f>HYPERLINK("https://klasma.github.io/Logging_0883/tillsyn/A 39753-2026 tillsynsbegäran.docx", "A 39753-2026")</f>
        <v/>
      </c>
      <c r="AD511">
        <f>HYPERLINK("https://klasma.github.io/Logging_0883/tillsynsmail/A 39753-2026 tillsynsbegäran mail.docx", "A 39753-2026")</f>
        <v/>
      </c>
      <c r="AE511">
        <f>HYPERLINK("https://klasma.github.io/Logging_0883/fåglar/A 39753-2026 prioriterade fågelarter.docx", "A 39753-2026")</f>
        <v/>
      </c>
    </row>
    <row r="512" ht="15" customHeight="1">
      <c r="A512" t="inlineStr">
        <is>
          <t>A 31854-2025</t>
        </is>
      </c>
      <c r="B512" t="inlineStr">
        <is>
          <t>avverkningsanmälan</t>
        </is>
      </c>
      <c r="C512" t="inlineStr">
        <is>
          <t>Föryngringsavverkning</t>
        </is>
      </c>
      <c r="D512" s="1" t="n">
        <v>45834</v>
      </c>
      <c r="E512" s="1" t="n">
        <v>46323</v>
      </c>
      <c r="F512" t="inlineStr">
        <is>
          <t>KALMAR LÄN</t>
        </is>
      </c>
      <c r="G512" t="inlineStr">
        <is>
          <t>VÄSTERVIK</t>
        </is>
      </c>
      <c r="H512" t="inlineStr">
        <is>
          <t>Holmen skog AB</t>
        </is>
      </c>
      <c r="I512" t="n">
        <v>4.3</v>
      </c>
      <c r="J512" t="n">
        <v>2</v>
      </c>
      <c r="K512" t="n">
        <v>1</v>
      </c>
      <c r="L512" t="n">
        <v>1</v>
      </c>
      <c r="M512" t="n">
        <v>1</v>
      </c>
      <c r="N512" t="n">
        <v>0</v>
      </c>
      <c r="O512" t="n">
        <v>0</v>
      </c>
      <c r="P512" t="n">
        <v>0</v>
      </c>
      <c r="Q512" t="n">
        <v>2</v>
      </c>
      <c r="R512" t="n">
        <v>1</v>
      </c>
      <c r="S512" t="n">
        <v>3</v>
      </c>
      <c r="T512" t="n">
        <v>6</v>
      </c>
      <c r="U512" t="n">
        <v>6</v>
      </c>
      <c r="V512" s="2" t="inlineStr">
        <is>
          <t>Knärot
Talltita
Grönpyrola</t>
        </is>
      </c>
      <c r="W512">
        <f>HYPERLINK("https://klasma.github.io/Logging_0883/artfynd/A 31854-2025 artfynd.xlsx", "A 31854-2025")</f>
        <v/>
      </c>
      <c r="X512">
        <f>HYPERLINK("https://klasma.github.io/Logging_0883/kartor/A 31854-2025 karta.png", "A 31854-2025")</f>
        <v/>
      </c>
      <c r="Y512">
        <f>HYPERLINK("https://klasma.github.io/Logging_0883/kartor_geotiff/A 31854-2025 georefererad karta.tif", "A 31854-2025")</f>
        <v/>
      </c>
      <c r="Z512">
        <f>HYPERLINK("https://klasma.github.io/Logging_0883/knärot/A 31854-2025 karta knärot.png", "A 31854-2025")</f>
        <v/>
      </c>
      <c r="AA512">
        <f>HYPERLINK("https://klasma.github.io/Logging_0883/klagomål/A 31854-2025 FSC-klagomål.docx", "A 31854-2025")</f>
        <v/>
      </c>
      <c r="AB512">
        <f>HYPERLINK("https://klasma.github.io/Logging_0883/klagomålsmail/A 31854-2025 FSC-klagomål mail.docx", "A 31854-2025")</f>
        <v/>
      </c>
      <c r="AC512">
        <f>HYPERLINK("https://klasma.github.io/Logging_0883/tillsyn/A 31854-2025 tillsynsbegäran.docx", "A 31854-2025")</f>
        <v/>
      </c>
      <c r="AD512">
        <f>HYPERLINK("https://klasma.github.io/Logging_0883/tillsynsmail/A 31854-2025 tillsynsbegäran mail.docx", "A 31854-2025")</f>
        <v/>
      </c>
      <c r="AE512">
        <f>HYPERLINK("https://klasma.github.io/Logging_0883/fåglar/A 31854-2025 prioriterade fågelarter.docx", "A 31854-2025")</f>
        <v/>
      </c>
    </row>
    <row r="513" ht="15" customHeight="1">
      <c r="A513" t="inlineStr">
        <is>
          <t>A 60671-2025</t>
        </is>
      </c>
      <c r="B513" t="inlineStr">
        <is>
          <t>avverkningsanmälan</t>
        </is>
      </c>
      <c r="C513" t="inlineStr">
        <is>
          <t>Föryngringsavverkning</t>
        </is>
      </c>
      <c r="D513" s="1" t="n">
        <v>45996</v>
      </c>
      <c r="E513" s="1" t="n">
        <v>46323</v>
      </c>
      <c r="F513" t="inlineStr">
        <is>
          <t>KALMAR LÄN</t>
        </is>
      </c>
      <c r="G513" t="inlineStr">
        <is>
          <t>VÄSTERVIK</t>
        </is>
      </c>
      <c r="I513" t="n">
        <v>1.8</v>
      </c>
      <c r="J513" t="n">
        <v>1</v>
      </c>
      <c r="K513" t="n">
        <v>1</v>
      </c>
      <c r="L513" t="n">
        <v>1</v>
      </c>
      <c r="M513" t="n">
        <v>1</v>
      </c>
      <c r="N513" t="n">
        <v>0</v>
      </c>
      <c r="O513" t="n">
        <v>0</v>
      </c>
      <c r="P513" t="n">
        <v>0</v>
      </c>
      <c r="Q513" t="n">
        <v>2</v>
      </c>
      <c r="R513" t="n">
        <v>1</v>
      </c>
      <c r="S513" t="n">
        <v>3</v>
      </c>
      <c r="T513" t="n">
        <v>6</v>
      </c>
      <c r="U513" t="n">
        <v>6</v>
      </c>
      <c r="V513" s="2" t="inlineStr">
        <is>
          <t>Knärot
Motaggsvamp
Grönpyrola</t>
        </is>
      </c>
      <c r="W513">
        <f>HYPERLINK("https://klasma.github.io/Logging_0883/artfynd/A 60671-2025 artfynd.xlsx", "A 60671-2025")</f>
        <v/>
      </c>
      <c r="X513">
        <f>HYPERLINK("https://klasma.github.io/Logging_0883/kartor/A 60671-2025 karta.png", "A 60671-2025")</f>
        <v/>
      </c>
      <c r="Y513">
        <f>HYPERLINK("https://klasma.github.io/Logging_0883/kartor_geotiff/A 60671-2025 georefererad karta.tif", "A 60671-2025")</f>
        <v/>
      </c>
      <c r="Z513">
        <f>HYPERLINK("https://klasma.github.io/Logging_0883/knärot/A 60671-2025 karta knärot.png", "A 60671-2025")</f>
        <v/>
      </c>
      <c r="AA513">
        <f>HYPERLINK("https://klasma.github.io/Logging_0883/klagomål/A 60671-2025 FSC-klagomål.docx", "A 60671-2025")</f>
        <v/>
      </c>
      <c r="AB513">
        <f>HYPERLINK("https://klasma.github.io/Logging_0883/klagomålsmail/A 60671-2025 FSC-klagomål mail.docx", "A 60671-2025")</f>
        <v/>
      </c>
      <c r="AC513">
        <f>HYPERLINK("https://klasma.github.io/Logging_0883/tillsyn/A 60671-2025 tillsynsbegäran.docx", "A 60671-2025")</f>
        <v/>
      </c>
      <c r="AD513">
        <f>HYPERLINK("https://klasma.github.io/Logging_0883/tillsynsmail/A 60671-2025 tillsynsbegäran mail.docx", "A 60671-2025")</f>
        <v/>
      </c>
    </row>
    <row r="514" ht="15" customHeight="1">
      <c r="A514" t="inlineStr">
        <is>
          <t>A 14426-2026</t>
        </is>
      </c>
      <c r="B514" t="inlineStr">
        <is>
          <t>avverkningsanmälan</t>
        </is>
      </c>
      <c r="C514" t="inlineStr">
        <is>
          <t>Avverkning för att bevara och utveckla /försöksver</t>
        </is>
      </c>
      <c r="D514" s="1" t="n">
        <v>46100</v>
      </c>
      <c r="E514" s="1" t="n">
        <v>46323</v>
      </c>
      <c r="F514" t="inlineStr">
        <is>
          <t>KALMAR LÄN</t>
        </is>
      </c>
      <c r="G514" t="inlineStr">
        <is>
          <t>VIMMERBY</t>
        </is>
      </c>
      <c r="H514" t="inlineStr">
        <is>
          <t>Kyrkan</t>
        </is>
      </c>
      <c r="I514" t="n">
        <v>8.6</v>
      </c>
      <c r="J514" t="n">
        <v>1</v>
      </c>
      <c r="K514" t="n">
        <v>0</v>
      </c>
      <c r="L514" t="n">
        <v>1</v>
      </c>
      <c r="M514" t="n">
        <v>1</v>
      </c>
      <c r="N514" t="n">
        <v>0</v>
      </c>
      <c r="O514" t="n">
        <v>0</v>
      </c>
      <c r="P514" t="n">
        <v>0</v>
      </c>
      <c r="Q514" t="n">
        <v>2</v>
      </c>
      <c r="R514" t="n">
        <v>1</v>
      </c>
      <c r="S514" t="n">
        <v>3</v>
      </c>
      <c r="T514" t="n">
        <v>3</v>
      </c>
      <c r="U514" t="n">
        <v>1</v>
      </c>
      <c r="V514" s="2" t="inlineStr">
        <is>
          <t>Knärot
Tallticka
Linnea</t>
        </is>
      </c>
      <c r="W514">
        <f>HYPERLINK("https://klasma.github.io/Logging_0884/artfynd/A 14426-2026 artfynd.xlsx", "A 14426-2026")</f>
        <v/>
      </c>
      <c r="X514">
        <f>HYPERLINK("https://klasma.github.io/Logging_0884/kartor/A 14426-2026 karta.png", "A 14426-2026")</f>
        <v/>
      </c>
      <c r="Y514">
        <f>HYPERLINK("https://klasma.github.io/Logging_0884/kartor_geotiff/A 14426-2026 georefererad karta.tif", "A 14426-2026")</f>
        <v/>
      </c>
      <c r="Z514">
        <f>HYPERLINK("https://klasma.github.io/Logging_0884/knärot/A 14426-2026 karta knärot.png", "A 14426-2026")</f>
        <v/>
      </c>
      <c r="AA514">
        <f>HYPERLINK("https://klasma.github.io/Logging_0884/klagomål/A 14426-2026 FSC-klagomål.docx", "A 14426-2026")</f>
        <v/>
      </c>
      <c r="AB514">
        <f>HYPERLINK("https://klasma.github.io/Logging_0884/klagomålsmail/A 14426-2026 FSC-klagomål mail.docx", "A 14426-2026")</f>
        <v/>
      </c>
      <c r="AC514">
        <f>HYPERLINK("https://klasma.github.io/Logging_0884/tillsyn/A 14426-2026 tillsynsbegäran.docx", "A 14426-2026")</f>
        <v/>
      </c>
      <c r="AD514">
        <f>HYPERLINK("https://klasma.github.io/Logging_0884/tillsynsmail/A 14426-2026 tillsynsbegäran mail.docx", "A 14426-2026")</f>
        <v/>
      </c>
    </row>
    <row r="515" ht="15" customHeight="1">
      <c r="A515" t="inlineStr">
        <is>
          <t>A 15285-2026</t>
        </is>
      </c>
      <c r="B515" t="inlineStr">
        <is>
          <t>avverkningsanmälan</t>
        </is>
      </c>
      <c r="C515" t="inlineStr">
        <is>
          <t>Avverkning för att bevara och utveckla /försöksver</t>
        </is>
      </c>
      <c r="D515" s="1" t="n">
        <v>46105</v>
      </c>
      <c r="E515" s="1" t="n">
        <v>46323</v>
      </c>
      <c r="F515" t="inlineStr">
        <is>
          <t>KALMAR LÄN</t>
        </is>
      </c>
      <c r="G515" t="inlineStr">
        <is>
          <t>BORGHOLM</t>
        </is>
      </c>
      <c r="H515" t="inlineStr">
        <is>
          <t>Sveaskog</t>
        </is>
      </c>
      <c r="I515" t="n">
        <v>1.7</v>
      </c>
      <c r="J515" t="n">
        <v>3</v>
      </c>
      <c r="K515" t="n">
        <v>0</v>
      </c>
      <c r="L515" t="n">
        <v>1</v>
      </c>
      <c r="M515" t="n">
        <v>0</v>
      </c>
      <c r="N515" t="n">
        <v>0</v>
      </c>
      <c r="O515" t="n">
        <v>0</v>
      </c>
      <c r="P515" t="n">
        <v>0</v>
      </c>
      <c r="Q515" t="n">
        <v>1</v>
      </c>
      <c r="R515" t="n">
        <v>0</v>
      </c>
      <c r="S515" t="n">
        <v>3</v>
      </c>
      <c r="T515" t="n">
        <v>3</v>
      </c>
      <c r="U515" t="n">
        <v>0</v>
      </c>
      <c r="V515" s="2" t="inlineStr">
        <is>
          <t>Talltita
Havsörn
Kungsfågel</t>
        </is>
      </c>
      <c r="W515">
        <f>HYPERLINK("https://klasma.github.io/Logging_0885/artfynd/A 15285-2026 artfynd.xlsx", "A 15285-2026")</f>
        <v/>
      </c>
      <c r="X515">
        <f>HYPERLINK("https://klasma.github.io/Logging_0885/kartor/A 15285-2026 karta.png", "A 15285-2026")</f>
        <v/>
      </c>
      <c r="Y515">
        <f>HYPERLINK("https://klasma.github.io/Logging_0885/kartor_geotiff/A 15285-2026 georefererad karta.tif", "A 15285-2026")</f>
        <v/>
      </c>
      <c r="AA515">
        <f>HYPERLINK("https://klasma.github.io/Logging_0885/klagomål/A 15285-2026 FSC-klagomål.docx", "A 15285-2026")</f>
        <v/>
      </c>
      <c r="AB515">
        <f>HYPERLINK("https://klasma.github.io/Logging_0885/klagomålsmail/A 15285-2026 FSC-klagomål mail.docx", "A 15285-2026")</f>
        <v/>
      </c>
      <c r="AC515">
        <f>HYPERLINK("https://klasma.github.io/Logging_0885/tillsyn/A 15285-2026 tillsynsbegäran.docx", "A 15285-2026")</f>
        <v/>
      </c>
      <c r="AD515">
        <f>HYPERLINK("https://klasma.github.io/Logging_0885/tillsynsmail/A 15285-2026 tillsynsbegäran mail.docx", "A 15285-2026")</f>
        <v/>
      </c>
      <c r="AE515">
        <f>HYPERLINK("https://klasma.github.io/Logging_0885/fåglar/A 15285-2026 prioriterade fågelarter.docx", "A 15285-2026")</f>
        <v/>
      </c>
    </row>
    <row r="516" ht="15" customHeight="1">
      <c r="A516" t="inlineStr">
        <is>
          <t>A 16431-2023</t>
        </is>
      </c>
      <c r="B516" t="inlineStr">
        <is>
          <t>avverkningsanmälan</t>
        </is>
      </c>
      <c r="C516" t="inlineStr">
        <is>
          <t>Avverkning för annat ändamål</t>
        </is>
      </c>
      <c r="D516" s="1" t="n">
        <v>45022</v>
      </c>
      <c r="E516" s="1" t="n">
        <v>46323</v>
      </c>
      <c r="F516" t="inlineStr">
        <is>
          <t>KALMAR LÄN</t>
        </is>
      </c>
      <c r="G516" t="inlineStr">
        <is>
          <t>MÖNSTERÅS</t>
        </is>
      </c>
      <c r="I516" t="n">
        <v>9.4</v>
      </c>
      <c r="J516" t="n">
        <v>0</v>
      </c>
      <c r="K516" t="n">
        <v>1</v>
      </c>
      <c r="L516" t="n">
        <v>2</v>
      </c>
      <c r="M516" t="n">
        <v>0</v>
      </c>
      <c r="N516" t="n">
        <v>0</v>
      </c>
      <c r="O516" t="n">
        <v>0</v>
      </c>
      <c r="P516" t="n">
        <v>0</v>
      </c>
      <c r="Q516" t="n">
        <v>2</v>
      </c>
      <c r="R516" t="n">
        <v>0</v>
      </c>
      <c r="S516" t="n">
        <v>3</v>
      </c>
      <c r="T516" t="n">
        <v>3</v>
      </c>
      <c r="U516" t="n">
        <v>3</v>
      </c>
      <c r="V516" s="2" t="inlineStr">
        <is>
          <t>Gullpudra
Sårläka
Vätteros</t>
        </is>
      </c>
      <c r="W516">
        <f>HYPERLINK("https://klasma.github.io/Logging_0861/artfynd/A 16431-2023 artfynd.xlsx", "A 16431-2023")</f>
        <v/>
      </c>
      <c r="X516">
        <f>HYPERLINK("https://klasma.github.io/Logging_0861/kartor/A 16431-2023 karta.png", "A 16431-2023")</f>
        <v/>
      </c>
      <c r="Y516">
        <f>HYPERLINK("https://klasma.github.io/Logging_0861/kartor_geotiff/A 16431-2023 georefererad karta.tif", "A 16431-2023")</f>
        <v/>
      </c>
      <c r="AA516">
        <f>HYPERLINK("https://klasma.github.io/Logging_0861/klagomål/A 16431-2023 FSC-klagomål.docx", "A 16431-2023")</f>
        <v/>
      </c>
      <c r="AB516">
        <f>HYPERLINK("https://klasma.github.io/Logging_0861/klagomålsmail/A 16431-2023 FSC-klagomål mail.docx", "A 16431-2023")</f>
        <v/>
      </c>
      <c r="AC516">
        <f>HYPERLINK("https://klasma.github.io/Logging_0861/tillsyn/A 16431-2023 tillsynsbegäran.docx", "A 16431-2023")</f>
        <v/>
      </c>
      <c r="AD516">
        <f>HYPERLINK("https://klasma.github.io/Logging_0861/tillsynsmail/A 16431-2023 tillsynsbegäran mail.docx", "A 16431-2023")</f>
        <v/>
      </c>
    </row>
    <row r="517" ht="15" customHeight="1">
      <c r="A517" t="inlineStr">
        <is>
          <t>A 948-2024</t>
        </is>
      </c>
      <c r="B517" t="inlineStr">
        <is>
          <t>avverkningsanmälan</t>
        </is>
      </c>
      <c r="C517" t="inlineStr">
        <is>
          <t>Föryngringsavverkning</t>
        </is>
      </c>
      <c r="D517" s="1" t="n">
        <v>45301</v>
      </c>
      <c r="E517" s="1" t="n">
        <v>46323</v>
      </c>
      <c r="F517" t="inlineStr">
        <is>
          <t>KALMAR LÄN</t>
        </is>
      </c>
      <c r="G517" t="inlineStr">
        <is>
          <t>VÄSTERVIK</t>
        </is>
      </c>
      <c r="I517" t="n">
        <v>4.5</v>
      </c>
      <c r="J517" t="n">
        <v>2</v>
      </c>
      <c r="K517" t="n">
        <v>0</v>
      </c>
      <c r="L517" t="n">
        <v>2</v>
      </c>
      <c r="M517" t="n">
        <v>0</v>
      </c>
      <c r="N517" t="n">
        <v>0</v>
      </c>
      <c r="O517" t="n">
        <v>0</v>
      </c>
      <c r="P517" t="n">
        <v>0</v>
      </c>
      <c r="Q517" t="n">
        <v>2</v>
      </c>
      <c r="R517" t="n">
        <v>0</v>
      </c>
      <c r="S517" t="n">
        <v>3</v>
      </c>
      <c r="T517" t="n">
        <v>3</v>
      </c>
      <c r="U517" t="n">
        <v>3</v>
      </c>
      <c r="V517" s="2" t="inlineStr">
        <is>
          <t>Dropptaggsvamp
Talltita
Tjäder</t>
        </is>
      </c>
      <c r="W517">
        <f>HYPERLINK("https://klasma.github.io/Logging_0883/artfynd/A 948-2024 artfynd.xlsx", "A 948-2024")</f>
        <v/>
      </c>
      <c r="X517">
        <f>HYPERLINK("https://klasma.github.io/Logging_0883/kartor/A 948-2024 karta.png", "A 948-2024")</f>
        <v/>
      </c>
      <c r="Y517">
        <f>HYPERLINK("https://klasma.github.io/Logging_0883/kartor_geotiff/A 948-2024 georefererad karta.tif", "A 948-2024")</f>
        <v/>
      </c>
      <c r="AA517">
        <f>HYPERLINK("https://klasma.github.io/Logging_0883/klagomål/A 948-2024 FSC-klagomål.docx", "A 948-2024")</f>
        <v/>
      </c>
      <c r="AB517">
        <f>HYPERLINK("https://klasma.github.io/Logging_0883/klagomålsmail/A 948-2024 FSC-klagomål mail.docx", "A 948-2024")</f>
        <v/>
      </c>
      <c r="AC517">
        <f>HYPERLINK("https://klasma.github.io/Logging_0883/tillsyn/A 948-2024 tillsynsbegäran.docx", "A 948-2024")</f>
        <v/>
      </c>
      <c r="AD517">
        <f>HYPERLINK("https://klasma.github.io/Logging_0883/tillsynsmail/A 948-2024 tillsynsbegäran mail.docx", "A 948-2024")</f>
        <v/>
      </c>
      <c r="AE517">
        <f>HYPERLINK("https://klasma.github.io/Logging_0883/fåglar/A 948-2024 prioriterade fågelarter.docx", "A 948-2024")</f>
        <v/>
      </c>
    </row>
    <row r="518" ht="15" customHeight="1">
      <c r="A518" t="inlineStr">
        <is>
          <t>A 37932-2022</t>
        </is>
      </c>
      <c r="B518" t="inlineStr">
        <is>
          <t>avverkningsanmälan</t>
        </is>
      </c>
      <c r="C518" t="inlineStr">
        <is>
          <t>Föryngringsavverkning</t>
        </is>
      </c>
      <c r="D518" s="1" t="n">
        <v>44811</v>
      </c>
      <c r="E518" s="1" t="n">
        <v>46323</v>
      </c>
      <c r="F518" t="inlineStr">
        <is>
          <t>KALMAR LÄN</t>
        </is>
      </c>
      <c r="G518" t="inlineStr">
        <is>
          <t>EMMABODA</t>
        </is>
      </c>
      <c r="I518" t="n">
        <v>1.1</v>
      </c>
      <c r="J518" t="n">
        <v>2</v>
      </c>
      <c r="K518" t="n">
        <v>0</v>
      </c>
      <c r="L518" t="n">
        <v>0</v>
      </c>
      <c r="M518" t="n">
        <v>2</v>
      </c>
      <c r="N518" t="n">
        <v>0</v>
      </c>
      <c r="O518" t="n">
        <v>0</v>
      </c>
      <c r="P518" t="n">
        <v>0</v>
      </c>
      <c r="Q518" t="n">
        <v>2</v>
      </c>
      <c r="R518" t="n">
        <v>2</v>
      </c>
      <c r="S518" t="n">
        <v>3</v>
      </c>
      <c r="T518" t="n">
        <v>3</v>
      </c>
      <c r="U518" t="n">
        <v>2</v>
      </c>
      <c r="V518" s="2" t="inlineStr">
        <is>
          <t>Lappuggla
Slåttergubbe
Tjäder</t>
        </is>
      </c>
      <c r="W518">
        <f>HYPERLINK("https://klasma.github.io/Logging_0862/artfynd/A 37932-2022 artfynd.xlsx", "A 37932-2022")</f>
        <v/>
      </c>
      <c r="X518">
        <f>HYPERLINK("https://klasma.github.io/Logging_0862/kartor/A 37932-2022 karta.png", "A 37932-2022")</f>
        <v/>
      </c>
      <c r="Y518">
        <f>HYPERLINK("https://klasma.github.io/Logging_0862/kartor_geotiff/A 37932-2022 georefererad karta.tif", "A 37932-2022")</f>
        <v/>
      </c>
      <c r="AA518">
        <f>HYPERLINK("https://klasma.github.io/Logging_0862/klagomål/A 37932-2022 FSC-klagomål.docx", "A 37932-2022")</f>
        <v/>
      </c>
      <c r="AB518">
        <f>HYPERLINK("https://klasma.github.io/Logging_0862/klagomålsmail/A 37932-2022 FSC-klagomål mail.docx", "A 37932-2022")</f>
        <v/>
      </c>
      <c r="AC518">
        <f>HYPERLINK("https://klasma.github.io/Logging_0862/tillsyn/A 37932-2022 tillsynsbegäran.docx", "A 37932-2022")</f>
        <v/>
      </c>
      <c r="AD518">
        <f>HYPERLINK("https://klasma.github.io/Logging_0862/tillsynsmail/A 37932-2022 tillsynsbegäran mail.docx", "A 37932-2022")</f>
        <v/>
      </c>
      <c r="AE518">
        <f>HYPERLINK("https://klasma.github.io/Logging_0862/fåglar/A 37932-2022 prioriterade fågelarter.docx", "A 37932-2022")</f>
        <v/>
      </c>
    </row>
    <row r="519" ht="15" customHeight="1">
      <c r="A519" t="inlineStr">
        <is>
          <t>A 43756-2022</t>
        </is>
      </c>
      <c r="B519" t="inlineStr">
        <is>
          <t>avverkningsanmälan</t>
        </is>
      </c>
      <c r="C519" t="inlineStr">
        <is>
          <t>Föryngringsavverkning</t>
        </is>
      </c>
      <c r="D519" s="1" t="n">
        <v>44837</v>
      </c>
      <c r="E519" s="1" t="n">
        <v>46323</v>
      </c>
      <c r="F519" t="inlineStr">
        <is>
          <t>KALMAR LÄN</t>
        </is>
      </c>
      <c r="G519" t="inlineStr">
        <is>
          <t>BORGHOLM</t>
        </is>
      </c>
      <c r="I519" t="n">
        <v>2.2</v>
      </c>
      <c r="J519" t="n">
        <v>2</v>
      </c>
      <c r="K519" t="n">
        <v>1</v>
      </c>
      <c r="L519" t="n">
        <v>0</v>
      </c>
      <c r="M519" t="n">
        <v>0</v>
      </c>
      <c r="N519" t="n">
        <v>0</v>
      </c>
      <c r="O519" t="n">
        <v>0</v>
      </c>
      <c r="P519" t="n">
        <v>0</v>
      </c>
      <c r="Q519" t="n">
        <v>0</v>
      </c>
      <c r="R519" t="n">
        <v>0</v>
      </c>
      <c r="S519" t="n">
        <v>3</v>
      </c>
      <c r="T519" t="n">
        <v>5</v>
      </c>
      <c r="U519" t="n">
        <v>5</v>
      </c>
      <c r="V519" s="2" t="inlineStr">
        <is>
          <t>Murgröna
Blåsippa
Gullviva</t>
        </is>
      </c>
      <c r="W519">
        <f>HYPERLINK("https://klasma.github.io/Logging_0885/artfynd/A 43756-2022 artfynd.xlsx", "A 43756-2022")</f>
        <v/>
      </c>
      <c r="X519">
        <f>HYPERLINK("https://klasma.github.io/Logging_0885/kartor/A 43756-2022 karta.png", "A 43756-2022")</f>
        <v/>
      </c>
      <c r="Y519">
        <f>HYPERLINK("https://klasma.github.io/Logging_0885/kartor_geotiff/A 43756-2022 georefererad karta.tif", "A 43756-2022")</f>
        <v/>
      </c>
      <c r="AA519">
        <f>HYPERLINK("https://klasma.github.io/Logging_0885/klagomål/A 43756-2022 FSC-klagomål.docx", "A 43756-2022")</f>
        <v/>
      </c>
      <c r="AB519">
        <f>HYPERLINK("https://klasma.github.io/Logging_0885/klagomålsmail/A 43756-2022 FSC-klagomål mail.docx", "A 43756-2022")</f>
        <v/>
      </c>
      <c r="AC519">
        <f>HYPERLINK("https://klasma.github.io/Logging_0885/tillsyn/A 43756-2022 tillsynsbegäran.docx", "A 43756-2022")</f>
        <v/>
      </c>
      <c r="AD519">
        <f>HYPERLINK("https://klasma.github.io/Logging_0885/tillsynsmail/A 43756-2022 tillsynsbegäran mail.docx", "A 43756-2022")</f>
        <v/>
      </c>
    </row>
    <row r="520" ht="15" customHeight="1">
      <c r="A520" t="inlineStr">
        <is>
          <t>A 41192-2026</t>
        </is>
      </c>
      <c r="B520" t="inlineStr">
        <is>
          <t>avverkningsanmälan</t>
        </is>
      </c>
      <c r="C520" t="inlineStr">
        <is>
          <t>Avverkning för annat ändamål</t>
        </is>
      </c>
      <c r="D520" s="1" t="n">
        <v>46300</v>
      </c>
      <c r="E520" s="1" t="n">
        <v>46323</v>
      </c>
      <c r="F520" t="inlineStr">
        <is>
          <t>KALMAR LÄN</t>
        </is>
      </c>
      <c r="G520" t="inlineStr">
        <is>
          <t>VIMMERBY</t>
        </is>
      </c>
      <c r="I520" t="n">
        <v>3.2</v>
      </c>
      <c r="J520" t="n">
        <v>0</v>
      </c>
      <c r="K520" t="n">
        <v>2</v>
      </c>
      <c r="L520" t="n">
        <v>0</v>
      </c>
      <c r="M520" t="n">
        <v>0</v>
      </c>
      <c r="N520" t="n">
        <v>0</v>
      </c>
      <c r="O520" t="n">
        <v>0</v>
      </c>
      <c r="P520" t="n">
        <v>0</v>
      </c>
      <c r="Q520" t="n">
        <v>0</v>
      </c>
      <c r="R520" t="n">
        <v>0</v>
      </c>
      <c r="S520" t="n">
        <v>3</v>
      </c>
      <c r="T520" t="n">
        <v>4</v>
      </c>
      <c r="U520" t="n">
        <v>0</v>
      </c>
      <c r="V520" s="2" t="inlineStr">
        <is>
          <t>Guldlockmossa
Platt fjädermossa
Kransmossa</t>
        </is>
      </c>
      <c r="W520">
        <f>HYPERLINK("https://klasma.github.io/Logging_0884/artfynd/A 41192-2026 artfynd.xlsx", "A 41192-2026")</f>
        <v/>
      </c>
      <c r="X520">
        <f>HYPERLINK("https://klasma.github.io/Logging_0884/kartor/A 41192-2026 karta.png", "A 41192-2026")</f>
        <v/>
      </c>
      <c r="Y520">
        <f>HYPERLINK("https://klasma.github.io/Logging_0884/kartor_geotiff/A 41192-2026 georefererad karta.tif", "A 41192-2026")</f>
        <v/>
      </c>
      <c r="AA520">
        <f>HYPERLINK("https://klasma.github.io/Logging_0884/klagomål/A 41192-2026 FSC-klagomål.docx", "A 41192-2026")</f>
        <v/>
      </c>
      <c r="AB520">
        <f>HYPERLINK("https://klasma.github.io/Logging_0884/klagomålsmail/A 41192-2026 FSC-klagomål mail.docx", "A 41192-2026")</f>
        <v/>
      </c>
      <c r="AC520">
        <f>HYPERLINK("https://klasma.github.io/Logging_0884/tillsyn/A 41192-2026 tillsynsbegäran.docx", "A 41192-2026")</f>
        <v/>
      </c>
      <c r="AD520">
        <f>HYPERLINK("https://klasma.github.io/Logging_0884/tillsynsmail/A 41192-2026 tillsynsbegäran mail.docx", "A 41192-2026")</f>
        <v/>
      </c>
    </row>
    <row r="521" ht="15" customHeight="1">
      <c r="A521" t="inlineStr">
        <is>
          <t>A 27419-2026</t>
        </is>
      </c>
      <c r="B521" t="inlineStr">
        <is>
          <t>avverkningsanmälan</t>
        </is>
      </c>
      <c r="C521" t="inlineStr">
        <is>
          <t>Föryngringsavverkning</t>
        </is>
      </c>
      <c r="D521" s="1" t="n">
        <v>46189</v>
      </c>
      <c r="E521" s="1" t="n">
        <v>46323</v>
      </c>
      <c r="F521" t="inlineStr">
        <is>
          <t>KALMAR LÄN</t>
        </is>
      </c>
      <c r="G521" t="inlineStr">
        <is>
          <t>VÄSTERVIK</t>
        </is>
      </c>
      <c r="I521" t="n">
        <v>3.6</v>
      </c>
      <c r="J521" t="n">
        <v>2</v>
      </c>
      <c r="K521" t="n">
        <v>0</v>
      </c>
      <c r="L521" t="n">
        <v>2</v>
      </c>
      <c r="M521" t="n">
        <v>1</v>
      </c>
      <c r="N521" t="n">
        <v>0</v>
      </c>
      <c r="O521" t="n">
        <v>0</v>
      </c>
      <c r="P521" t="n">
        <v>0</v>
      </c>
      <c r="Q521" t="n">
        <v>3</v>
      </c>
      <c r="R521" t="n">
        <v>1</v>
      </c>
      <c r="S521" t="n">
        <v>3</v>
      </c>
      <c r="T521" t="n">
        <v>4</v>
      </c>
      <c r="U521" t="n">
        <v>4</v>
      </c>
      <c r="V521" s="2" t="inlineStr">
        <is>
          <t>Knärot
Dropptaggsvamp
Talltita</t>
        </is>
      </c>
      <c r="W521">
        <f>HYPERLINK("https://klasma.github.io/Logging_0883/artfynd/A 27419-2026 artfynd.xlsx", "A 27419-2026")</f>
        <v/>
      </c>
      <c r="X521">
        <f>HYPERLINK("https://klasma.github.io/Logging_0883/kartor/A 27419-2026 karta.png", "A 27419-2026")</f>
        <v/>
      </c>
      <c r="Y521">
        <f>HYPERLINK("https://klasma.github.io/Logging_0883/kartor_geotiff/A 27419-2026 georefererad karta.tif", "A 27419-2026")</f>
        <v/>
      </c>
      <c r="Z521">
        <f>HYPERLINK("https://klasma.github.io/Logging_0883/knärot/A 27419-2026 karta knärot.png", "A 27419-2026")</f>
        <v/>
      </c>
      <c r="AA521">
        <f>HYPERLINK("https://klasma.github.io/Logging_0883/klagomål/A 27419-2026 FSC-klagomål.docx", "A 27419-2026")</f>
        <v/>
      </c>
      <c r="AB521">
        <f>HYPERLINK("https://klasma.github.io/Logging_0883/klagomålsmail/A 27419-2026 FSC-klagomål mail.docx", "A 27419-2026")</f>
        <v/>
      </c>
      <c r="AC521">
        <f>HYPERLINK("https://klasma.github.io/Logging_0883/tillsyn/A 27419-2026 tillsynsbegäran.docx", "A 27419-2026")</f>
        <v/>
      </c>
      <c r="AD521">
        <f>HYPERLINK("https://klasma.github.io/Logging_0883/tillsynsmail/A 27419-2026 tillsynsbegäran mail.docx", "A 27419-2026")</f>
        <v/>
      </c>
      <c r="AE521">
        <f>HYPERLINK("https://klasma.github.io/Logging_0883/fåglar/A 27419-2026 prioriterade fågelarter.docx", "A 27419-2026")</f>
        <v/>
      </c>
    </row>
    <row r="522" ht="15" customHeight="1">
      <c r="A522" t="inlineStr">
        <is>
          <t>A 56336-2025</t>
        </is>
      </c>
      <c r="B522" t="inlineStr">
        <is>
          <t>avverkningsanmälan</t>
        </is>
      </c>
      <c r="C522" t="inlineStr">
        <is>
          <t>Föryngringsavverkning</t>
        </is>
      </c>
      <c r="D522" s="1" t="n">
        <v>45974</v>
      </c>
      <c r="E522" s="1" t="n">
        <v>46323</v>
      </c>
      <c r="F522" t="inlineStr">
        <is>
          <t>KALMAR LÄN</t>
        </is>
      </c>
      <c r="G522" t="inlineStr">
        <is>
          <t>VÄSTERVIK</t>
        </is>
      </c>
      <c r="H522" t="inlineStr">
        <is>
          <t>Holmen skog AB</t>
        </is>
      </c>
      <c r="I522" t="n">
        <v>2.2</v>
      </c>
      <c r="J522" t="n">
        <v>0</v>
      </c>
      <c r="K522" t="n">
        <v>1</v>
      </c>
      <c r="L522" t="n">
        <v>2</v>
      </c>
      <c r="M522" t="n">
        <v>0</v>
      </c>
      <c r="N522" t="n">
        <v>0</v>
      </c>
      <c r="O522" t="n">
        <v>0</v>
      </c>
      <c r="P522" t="n">
        <v>0</v>
      </c>
      <c r="Q522" t="n">
        <v>2</v>
      </c>
      <c r="R522" t="n">
        <v>0</v>
      </c>
      <c r="S522" t="n">
        <v>3</v>
      </c>
      <c r="T522" t="n">
        <v>4</v>
      </c>
      <c r="U522" t="n">
        <v>4</v>
      </c>
      <c r="V522" s="2" t="inlineStr">
        <is>
          <t>Tallticka
Ullticka
Blåmossa</t>
        </is>
      </c>
      <c r="W522">
        <f>HYPERLINK("https://klasma.github.io/Logging_0883/artfynd/A 56336-2025 artfynd.xlsx", "A 56336-2025")</f>
        <v/>
      </c>
      <c r="X522">
        <f>HYPERLINK("https://klasma.github.io/Logging_0883/kartor/A 56336-2025 karta.png", "A 56336-2025")</f>
        <v/>
      </c>
      <c r="Y522">
        <f>HYPERLINK("https://klasma.github.io/Logging_0883/kartor_geotiff/A 56336-2025 georefererad karta.tif", "A 56336-2025")</f>
        <v/>
      </c>
      <c r="AA522">
        <f>HYPERLINK("https://klasma.github.io/Logging_0883/klagomål/A 56336-2025 FSC-klagomål.docx", "A 56336-2025")</f>
        <v/>
      </c>
      <c r="AB522">
        <f>HYPERLINK("https://klasma.github.io/Logging_0883/klagomålsmail/A 56336-2025 FSC-klagomål mail.docx", "A 56336-2025")</f>
        <v/>
      </c>
      <c r="AC522">
        <f>HYPERLINK("https://klasma.github.io/Logging_0883/tillsyn/A 56336-2025 tillsynsbegäran.docx", "A 56336-2025")</f>
        <v/>
      </c>
      <c r="AD522">
        <f>HYPERLINK("https://klasma.github.io/Logging_0883/tillsynsmail/A 56336-2025 tillsynsbegäran mail.docx", "A 56336-2025")</f>
        <v/>
      </c>
    </row>
    <row r="523" ht="15" customHeight="1">
      <c r="A523" t="inlineStr">
        <is>
          <t>A 41315-2026</t>
        </is>
      </c>
      <c r="B523" t="inlineStr">
        <is>
          <t>avverkningsanmälan</t>
        </is>
      </c>
      <c r="C523" t="inlineStr">
        <is>
          <t>Föryngringsavverkning</t>
        </is>
      </c>
      <c r="D523" s="1" t="n">
        <v>46300</v>
      </c>
      <c r="E523" s="1" t="n">
        <v>46323</v>
      </c>
      <c r="F523" t="inlineStr">
        <is>
          <t>KALMAR LÄN</t>
        </is>
      </c>
      <c r="G523" t="inlineStr">
        <is>
          <t>KALMAR</t>
        </is>
      </c>
      <c r="H523" t="inlineStr">
        <is>
          <t>Sveaskog</t>
        </is>
      </c>
      <c r="I523" t="n">
        <v>6.8</v>
      </c>
      <c r="J523" t="n">
        <v>0</v>
      </c>
      <c r="K523" t="n">
        <v>2</v>
      </c>
      <c r="L523" t="n">
        <v>1</v>
      </c>
      <c r="M523" t="n">
        <v>0</v>
      </c>
      <c r="N523" t="n">
        <v>0</v>
      </c>
      <c r="O523" t="n">
        <v>0</v>
      </c>
      <c r="P523" t="n">
        <v>0</v>
      </c>
      <c r="Q523" t="n">
        <v>1</v>
      </c>
      <c r="R523" t="n">
        <v>0</v>
      </c>
      <c r="S523" t="n">
        <v>3</v>
      </c>
      <c r="T523" t="n">
        <v>3</v>
      </c>
      <c r="U523" t="n">
        <v>0</v>
      </c>
      <c r="V523" s="2" t="inlineStr">
        <is>
          <t>Gammelekslav
Grå skärelav
Gulpudrad spiklav</t>
        </is>
      </c>
      <c r="W523">
        <f>HYPERLINK("https://klasma.github.io/Logging_0880/artfynd/A 41315-2026 artfynd.xlsx", "A 41315-2026")</f>
        <v/>
      </c>
      <c r="X523">
        <f>HYPERLINK("https://klasma.github.io/Logging_0880/kartor/A 41315-2026 karta.png", "A 41315-2026")</f>
        <v/>
      </c>
      <c r="Y523">
        <f>HYPERLINK("https://klasma.github.io/Logging_0880/kartor_geotiff/A 41315-2026 georefererad karta.tif", "A 41315-2026")</f>
        <v/>
      </c>
      <c r="AA523">
        <f>HYPERLINK("https://klasma.github.io/Logging_0880/klagomål/A 41315-2026 FSC-klagomål.docx", "A 41315-2026")</f>
        <v/>
      </c>
      <c r="AB523">
        <f>HYPERLINK("https://klasma.github.io/Logging_0880/klagomålsmail/A 41315-2026 FSC-klagomål mail.docx", "A 41315-2026")</f>
        <v/>
      </c>
      <c r="AC523">
        <f>HYPERLINK("https://klasma.github.io/Logging_0880/tillsyn/A 41315-2026 tillsynsbegäran.docx", "A 41315-2026")</f>
        <v/>
      </c>
      <c r="AD523">
        <f>HYPERLINK("https://klasma.github.io/Logging_0880/tillsynsmail/A 41315-2026 tillsynsbegäran mail.docx", "A 41315-2026")</f>
        <v/>
      </c>
    </row>
    <row r="524" ht="15" customHeight="1">
      <c r="A524" t="inlineStr">
        <is>
          <t>A 59210-2022</t>
        </is>
      </c>
      <c r="B524" t="inlineStr">
        <is>
          <t>avverkningsanmälan</t>
        </is>
      </c>
      <c r="C524" t="inlineStr">
        <is>
          <t>Föryngringsavverkning</t>
        </is>
      </c>
      <c r="D524" s="1" t="n">
        <v>44904</v>
      </c>
      <c r="E524" s="1" t="n">
        <v>46323</v>
      </c>
      <c r="F524" t="inlineStr">
        <is>
          <t>KALMAR LÄN</t>
        </is>
      </c>
      <c r="G524" t="inlineStr">
        <is>
          <t>VÄSTERVIK</t>
        </is>
      </c>
      <c r="I524" t="n">
        <v>21.2</v>
      </c>
      <c r="J524" t="n">
        <v>0</v>
      </c>
      <c r="K524" t="n">
        <v>2</v>
      </c>
      <c r="L524" t="n">
        <v>1</v>
      </c>
      <c r="M524" t="n">
        <v>0</v>
      </c>
      <c r="N524" t="n">
        <v>0</v>
      </c>
      <c r="O524" t="n">
        <v>0</v>
      </c>
      <c r="P524" t="n">
        <v>0</v>
      </c>
      <c r="Q524" t="n">
        <v>1</v>
      </c>
      <c r="R524" t="n">
        <v>0</v>
      </c>
      <c r="S524" t="n">
        <v>3</v>
      </c>
      <c r="T524" t="n">
        <v>3</v>
      </c>
      <c r="U524" t="n">
        <v>0</v>
      </c>
      <c r="V524" s="2" t="inlineStr">
        <is>
          <t>Blekticka
Blomskägglav
Rostfläck</t>
        </is>
      </c>
      <c r="W524">
        <f>HYPERLINK("https://klasma.github.io/Logging_0883/artfynd/A 59210-2022 artfynd.xlsx", "A 59210-2022")</f>
        <v/>
      </c>
      <c r="X524">
        <f>HYPERLINK("https://klasma.github.io/Logging_0883/kartor/A 59210-2022 karta.png", "A 59210-2022")</f>
        <v/>
      </c>
      <c r="Y524">
        <f>HYPERLINK("https://klasma.github.io/Logging_0883/kartor_geotiff/A 59210-2022 georefererad karta.tif", "A 59210-2022")</f>
        <v/>
      </c>
      <c r="AA524">
        <f>HYPERLINK("https://klasma.github.io/Logging_0883/klagomål/A 59210-2022 FSC-klagomål.docx", "A 59210-2022")</f>
        <v/>
      </c>
      <c r="AB524">
        <f>HYPERLINK("https://klasma.github.io/Logging_0883/klagomålsmail/A 59210-2022 FSC-klagomål mail.docx", "A 59210-2022")</f>
        <v/>
      </c>
      <c r="AC524">
        <f>HYPERLINK("https://klasma.github.io/Logging_0883/tillsyn/A 59210-2022 tillsynsbegäran.docx", "A 59210-2022")</f>
        <v/>
      </c>
      <c r="AD524">
        <f>HYPERLINK("https://klasma.github.io/Logging_0883/tillsynsmail/A 59210-2022 tillsynsbegäran mail.docx", "A 59210-2022")</f>
        <v/>
      </c>
    </row>
    <row r="525" ht="15" customHeight="1">
      <c r="A525" t="inlineStr">
        <is>
          <t>A 18318-2026</t>
        </is>
      </c>
      <c r="B525" t="inlineStr">
        <is>
          <t>avverkningsanmälan</t>
        </is>
      </c>
      <c r="C525" t="inlineStr">
        <is>
          <t>Föryngringsavverkning</t>
        </is>
      </c>
      <c r="D525" s="1" t="n">
        <v>46126</v>
      </c>
      <c r="E525" s="1" t="n">
        <v>46323</v>
      </c>
      <c r="F525" t="inlineStr">
        <is>
          <t>KALMAR LÄN</t>
        </is>
      </c>
      <c r="G525" t="inlineStr">
        <is>
          <t>OSKARSHAMN</t>
        </is>
      </c>
      <c r="I525" t="n">
        <v>4</v>
      </c>
      <c r="J525" t="n">
        <v>2</v>
      </c>
      <c r="K525" t="n">
        <v>1</v>
      </c>
      <c r="L525" t="n">
        <v>0</v>
      </c>
      <c r="M525" t="n">
        <v>0</v>
      </c>
      <c r="N525" t="n">
        <v>0</v>
      </c>
      <c r="O525" t="n">
        <v>0</v>
      </c>
      <c r="P525" t="n">
        <v>0</v>
      </c>
      <c r="Q525" t="n">
        <v>0</v>
      </c>
      <c r="R525" t="n">
        <v>0</v>
      </c>
      <c r="S525" t="n">
        <v>3</v>
      </c>
      <c r="T525" t="n">
        <v>4</v>
      </c>
      <c r="U525" t="n">
        <v>4</v>
      </c>
      <c r="V525" s="2" t="inlineStr">
        <is>
          <t>Björksplintborre
Grönsiska
Revlummer</t>
        </is>
      </c>
      <c r="W525">
        <f>HYPERLINK("https://klasma.github.io/Logging_0882/artfynd/A 18318-2026 artfynd.xlsx", "A 18318-2026")</f>
        <v/>
      </c>
      <c r="X525">
        <f>HYPERLINK("https://klasma.github.io/Logging_0882/kartor/A 18318-2026 karta.png", "A 18318-2026")</f>
        <v/>
      </c>
      <c r="Y525">
        <f>HYPERLINK("https://klasma.github.io/Logging_0882/kartor_geotiff/A 18318-2026 georefererad karta.tif", "A 18318-2026")</f>
        <v/>
      </c>
      <c r="AA525">
        <f>HYPERLINK("https://klasma.github.io/Logging_0882/klagomål/A 18318-2026 FSC-klagomål.docx", "A 18318-2026")</f>
        <v/>
      </c>
      <c r="AB525">
        <f>HYPERLINK("https://klasma.github.io/Logging_0882/klagomålsmail/A 18318-2026 FSC-klagomål mail.docx", "A 18318-2026")</f>
        <v/>
      </c>
      <c r="AC525">
        <f>HYPERLINK("https://klasma.github.io/Logging_0882/tillsyn/A 18318-2026 tillsynsbegäran.docx", "A 18318-2026")</f>
        <v/>
      </c>
      <c r="AD525">
        <f>HYPERLINK("https://klasma.github.io/Logging_0882/tillsynsmail/A 18318-2026 tillsynsbegäran mail.docx", "A 18318-2026")</f>
        <v/>
      </c>
    </row>
    <row r="526" ht="15" customHeight="1">
      <c r="A526" t="inlineStr">
        <is>
          <t>A 56080-2025</t>
        </is>
      </c>
      <c r="B526" t="inlineStr">
        <is>
          <t>avverkningsanmälan</t>
        </is>
      </c>
      <c r="C526" t="inlineStr">
        <is>
          <t>Föryngringsavverkning</t>
        </is>
      </c>
      <c r="D526" s="1" t="n">
        <v>45973</v>
      </c>
      <c r="E526" s="1" t="n">
        <v>46323</v>
      </c>
      <c r="F526" t="inlineStr">
        <is>
          <t>KALMAR LÄN</t>
        </is>
      </c>
      <c r="G526" t="inlineStr">
        <is>
          <t>VÄSTERVIK</t>
        </is>
      </c>
      <c r="H526" t="inlineStr">
        <is>
          <t>Holmen skog AB</t>
        </is>
      </c>
      <c r="I526" t="n">
        <v>3</v>
      </c>
      <c r="J526" t="n">
        <v>2</v>
      </c>
      <c r="K526" t="n">
        <v>0</v>
      </c>
      <c r="L526" t="n">
        <v>2</v>
      </c>
      <c r="M526" t="n">
        <v>1</v>
      </c>
      <c r="N526" t="n">
        <v>0</v>
      </c>
      <c r="O526" t="n">
        <v>0</v>
      </c>
      <c r="P526" t="n">
        <v>0</v>
      </c>
      <c r="Q526" t="n">
        <v>3</v>
      </c>
      <c r="R526" t="n">
        <v>1</v>
      </c>
      <c r="S526" t="n">
        <v>3</v>
      </c>
      <c r="T526" t="n">
        <v>3</v>
      </c>
      <c r="U526" t="n">
        <v>3</v>
      </c>
      <c r="V526" s="2" t="inlineStr">
        <is>
          <t>Knärot
Dropptaggsvamp
Talltita</t>
        </is>
      </c>
      <c r="W526">
        <f>HYPERLINK("https://klasma.github.io/Logging_0883/artfynd/A 56080-2025 artfynd.xlsx", "A 56080-2025")</f>
        <v/>
      </c>
      <c r="X526">
        <f>HYPERLINK("https://klasma.github.io/Logging_0883/kartor/A 56080-2025 karta.png", "A 56080-2025")</f>
        <v/>
      </c>
      <c r="Y526">
        <f>HYPERLINK("https://klasma.github.io/Logging_0883/kartor_geotiff/A 56080-2025 georefererad karta.tif", "A 56080-2025")</f>
        <v/>
      </c>
      <c r="Z526">
        <f>HYPERLINK("https://klasma.github.io/Logging_0883/knärot/A 56080-2025 karta knärot.png", "A 56080-2025")</f>
        <v/>
      </c>
      <c r="AA526">
        <f>HYPERLINK("https://klasma.github.io/Logging_0883/klagomål/A 56080-2025 FSC-klagomål.docx", "A 56080-2025")</f>
        <v/>
      </c>
      <c r="AB526">
        <f>HYPERLINK("https://klasma.github.io/Logging_0883/klagomålsmail/A 56080-2025 FSC-klagomål mail.docx", "A 56080-2025")</f>
        <v/>
      </c>
      <c r="AC526">
        <f>HYPERLINK("https://klasma.github.io/Logging_0883/tillsyn/A 56080-2025 tillsynsbegäran.docx", "A 56080-2025")</f>
        <v/>
      </c>
      <c r="AD526">
        <f>HYPERLINK("https://klasma.github.io/Logging_0883/tillsynsmail/A 56080-2025 tillsynsbegäran mail.docx", "A 56080-2025")</f>
        <v/>
      </c>
      <c r="AE526">
        <f>HYPERLINK("https://klasma.github.io/Logging_0883/fåglar/A 56080-2025 prioriterade fågelarter.docx", "A 56080-2025")</f>
        <v/>
      </c>
    </row>
    <row r="527" ht="15" customHeight="1">
      <c r="A527" t="inlineStr">
        <is>
          <t>A 8620-2024</t>
        </is>
      </c>
      <c r="B527" t="inlineStr">
        <is>
          <t>avverkningsanmälan</t>
        </is>
      </c>
      <c r="C527" t="inlineStr">
        <is>
          <t>Föryngringsavverkning</t>
        </is>
      </c>
      <c r="D527" s="1" t="n">
        <v>45355</v>
      </c>
      <c r="E527" s="1" t="n">
        <v>46323</v>
      </c>
      <c r="F527" t="inlineStr">
        <is>
          <t>KALMAR LÄN</t>
        </is>
      </c>
      <c r="G527" t="inlineStr">
        <is>
          <t>VÄSTERVIK</t>
        </is>
      </c>
      <c r="I527" t="n">
        <v>0.9</v>
      </c>
      <c r="J527" t="n">
        <v>2</v>
      </c>
      <c r="K527" t="n">
        <v>1</v>
      </c>
      <c r="L527" t="n">
        <v>1</v>
      </c>
      <c r="M527" t="n">
        <v>1</v>
      </c>
      <c r="N527" t="n">
        <v>0</v>
      </c>
      <c r="O527" t="n">
        <v>0</v>
      </c>
      <c r="P527" t="n">
        <v>0</v>
      </c>
      <c r="Q527" t="n">
        <v>2</v>
      </c>
      <c r="R527" t="n">
        <v>1</v>
      </c>
      <c r="S527" t="n">
        <v>3</v>
      </c>
      <c r="T527" t="n">
        <v>22</v>
      </c>
      <c r="U527" t="n">
        <v>22</v>
      </c>
      <c r="V527" s="2" t="inlineStr">
        <is>
          <t>Knärot
Talltita
Blodticka</t>
        </is>
      </c>
      <c r="W527">
        <f>HYPERLINK("https://klasma.github.io/Logging_0883/artfynd/A 8620-2024 artfynd.xlsx", "A 8620-2024")</f>
        <v/>
      </c>
      <c r="X527">
        <f>HYPERLINK("https://klasma.github.io/Logging_0883/kartor/A 8620-2024 karta.png", "A 8620-2024")</f>
        <v/>
      </c>
      <c r="Y527">
        <f>HYPERLINK("https://klasma.github.io/Logging_0883/kartor_geotiff/A 8620-2024 georefererad karta.tif", "A 8620-2024")</f>
        <v/>
      </c>
      <c r="Z527">
        <f>HYPERLINK("https://klasma.github.io/Logging_0883/knärot/A 8620-2024 karta knärot.png", "A 8620-2024")</f>
        <v/>
      </c>
      <c r="AA527">
        <f>HYPERLINK("https://klasma.github.io/Logging_0883/klagomål/A 8620-2024 FSC-klagomål.docx", "A 8620-2024")</f>
        <v/>
      </c>
      <c r="AB527">
        <f>HYPERLINK("https://klasma.github.io/Logging_0883/klagomålsmail/A 8620-2024 FSC-klagomål mail.docx", "A 8620-2024")</f>
        <v/>
      </c>
      <c r="AC527">
        <f>HYPERLINK("https://klasma.github.io/Logging_0883/tillsyn/A 8620-2024 tillsynsbegäran.docx", "A 8620-2024")</f>
        <v/>
      </c>
      <c r="AD527">
        <f>HYPERLINK("https://klasma.github.io/Logging_0883/tillsynsmail/A 8620-2024 tillsynsbegäran mail.docx", "A 8620-2024")</f>
        <v/>
      </c>
      <c r="AE527">
        <f>HYPERLINK("https://klasma.github.io/Logging_0883/fåglar/A 8620-2024 prioriterade fågelarter.docx", "A 8620-2024")</f>
        <v/>
      </c>
    </row>
    <row r="528" ht="15" customHeight="1">
      <c r="A528" t="inlineStr">
        <is>
          <t>A 41711-2026</t>
        </is>
      </c>
      <c r="B528" t="inlineStr">
        <is>
          <t>avverkningsanmälan</t>
        </is>
      </c>
      <c r="C528" t="inlineStr">
        <is>
          <t>Föryngringsavverkning</t>
        </is>
      </c>
      <c r="D528" s="1" t="n">
        <v>46302</v>
      </c>
      <c r="E528" s="1" t="n">
        <v>46323</v>
      </c>
      <c r="F528" t="inlineStr">
        <is>
          <t>KALMAR LÄN</t>
        </is>
      </c>
      <c r="G528" t="inlineStr">
        <is>
          <t>VÄSTERVIK</t>
        </is>
      </c>
      <c r="I528" t="n">
        <v>2.1</v>
      </c>
      <c r="J528" t="n">
        <v>1</v>
      </c>
      <c r="K528" t="n">
        <v>0</v>
      </c>
      <c r="L528" t="n">
        <v>1</v>
      </c>
      <c r="M528" t="n">
        <v>0</v>
      </c>
      <c r="N528" t="n">
        <v>0</v>
      </c>
      <c r="O528" t="n">
        <v>0</v>
      </c>
      <c r="P528" t="n">
        <v>0</v>
      </c>
      <c r="Q528" t="n">
        <v>1</v>
      </c>
      <c r="R528" t="n">
        <v>0</v>
      </c>
      <c r="S528" t="n">
        <v>3</v>
      </c>
      <c r="T528" t="n">
        <v>10</v>
      </c>
      <c r="U528" t="n">
        <v>0</v>
      </c>
      <c r="V528" s="2" t="inlineStr">
        <is>
          <t>Mindre hackspett
Kransmossa
Linnea</t>
        </is>
      </c>
      <c r="W528">
        <f>HYPERLINK("https://klasma.github.io/Logging_0883/artfynd/A 41711-2026 artfynd.xlsx", "A 41711-2026")</f>
        <v/>
      </c>
      <c r="X528">
        <f>HYPERLINK("https://klasma.github.io/Logging_0883/kartor/A 41711-2026 karta.png", "A 41711-2026")</f>
        <v/>
      </c>
      <c r="Y528">
        <f>HYPERLINK("https://klasma.github.io/Logging_0883/kartor_geotiff/A 41711-2026 georefererad karta.tif", "A 41711-2026")</f>
        <v/>
      </c>
      <c r="AA528">
        <f>HYPERLINK("https://klasma.github.io/Logging_0883/klagomål/A 41711-2026 FSC-klagomål.docx", "A 41711-2026")</f>
        <v/>
      </c>
      <c r="AB528">
        <f>HYPERLINK("https://klasma.github.io/Logging_0883/klagomålsmail/A 41711-2026 FSC-klagomål mail.docx", "A 41711-2026")</f>
        <v/>
      </c>
      <c r="AC528">
        <f>HYPERLINK("https://klasma.github.io/Logging_0883/tillsyn/A 41711-2026 tillsynsbegäran.docx", "A 41711-2026")</f>
        <v/>
      </c>
      <c r="AD528">
        <f>HYPERLINK("https://klasma.github.io/Logging_0883/tillsynsmail/A 41711-2026 tillsynsbegäran mail.docx", "A 41711-2026")</f>
        <v/>
      </c>
      <c r="AE528">
        <f>HYPERLINK("https://klasma.github.io/Logging_0883/fåglar/A 41711-2026 prioriterade fågelarter.docx", "A 41711-2026")</f>
        <v/>
      </c>
    </row>
    <row r="529" ht="15" customHeight="1">
      <c r="A529" t="inlineStr">
        <is>
          <t>A 4538-2023</t>
        </is>
      </c>
      <c r="B529" t="inlineStr">
        <is>
          <t>avverkningsanmälan</t>
        </is>
      </c>
      <c r="C529" t="inlineStr">
        <is>
          <t>Föryngringsavverkning</t>
        </is>
      </c>
      <c r="D529" s="1" t="n">
        <v>44951</v>
      </c>
      <c r="E529" s="1" t="n">
        <v>46323</v>
      </c>
      <c r="F529" t="inlineStr">
        <is>
          <t>KALMAR LÄN</t>
        </is>
      </c>
      <c r="G529" t="inlineStr">
        <is>
          <t>KALMAR</t>
        </is>
      </c>
      <c r="I529" t="n">
        <v>3.2</v>
      </c>
      <c r="J529" t="n">
        <v>0</v>
      </c>
      <c r="K529" t="n">
        <v>3</v>
      </c>
      <c r="L529" t="n">
        <v>0</v>
      </c>
      <c r="M529" t="n">
        <v>0</v>
      </c>
      <c r="N529" t="n">
        <v>0</v>
      </c>
      <c r="O529" t="n">
        <v>0</v>
      </c>
      <c r="P529" t="n">
        <v>0</v>
      </c>
      <c r="Q529" t="n">
        <v>0</v>
      </c>
      <c r="R529" t="n">
        <v>0</v>
      </c>
      <c r="S529" t="n">
        <v>3</v>
      </c>
      <c r="T529" t="n">
        <v>3</v>
      </c>
      <c r="U529" t="n">
        <v>3</v>
      </c>
      <c r="V529" s="2" t="inlineStr">
        <is>
          <t>Bronshjon
Kornig nållav
Kornknutmossa</t>
        </is>
      </c>
      <c r="W529">
        <f>HYPERLINK("https://klasma.github.io/Logging_0880/artfynd/A 4538-2023 artfynd.xlsx", "A 4538-2023")</f>
        <v/>
      </c>
      <c r="X529">
        <f>HYPERLINK("https://klasma.github.io/Logging_0880/kartor/A 4538-2023 karta.png", "A 4538-2023")</f>
        <v/>
      </c>
      <c r="Y529">
        <f>HYPERLINK("https://klasma.github.io/Logging_0880/kartor_geotiff/A 4538-2023 georefererad karta.tif", "A 4538-2023")</f>
        <v/>
      </c>
      <c r="AA529">
        <f>HYPERLINK("https://klasma.github.io/Logging_0880/klagomål/A 4538-2023 FSC-klagomål.docx", "A 4538-2023")</f>
        <v/>
      </c>
      <c r="AB529">
        <f>HYPERLINK("https://klasma.github.io/Logging_0880/klagomålsmail/A 4538-2023 FSC-klagomål mail.docx", "A 4538-2023")</f>
        <v/>
      </c>
      <c r="AC529">
        <f>HYPERLINK("https://klasma.github.io/Logging_0880/tillsyn/A 4538-2023 tillsynsbegäran.docx", "A 4538-2023")</f>
        <v/>
      </c>
      <c r="AD529">
        <f>HYPERLINK("https://klasma.github.io/Logging_0880/tillsynsmail/A 4538-2023 tillsynsbegäran mail.docx", "A 4538-2023")</f>
        <v/>
      </c>
    </row>
    <row r="530" ht="15" customHeight="1">
      <c r="A530" t="inlineStr">
        <is>
          <t>A 32394-2026</t>
        </is>
      </c>
      <c r="B530" t="inlineStr">
        <is>
          <t>avverkningsanmälan</t>
        </is>
      </c>
      <c r="C530" t="inlineStr">
        <is>
          <t>Föryngringsavverkning</t>
        </is>
      </c>
      <c r="D530" s="1" t="n">
        <v>46238</v>
      </c>
      <c r="E530" s="1" t="n">
        <v>46323</v>
      </c>
      <c r="F530" t="inlineStr">
        <is>
          <t>KALMAR LÄN</t>
        </is>
      </c>
      <c r="G530" t="inlineStr">
        <is>
          <t>VÄSTERVIK</t>
        </is>
      </c>
      <c r="I530" t="n">
        <v>1.5</v>
      </c>
      <c r="J530" t="n">
        <v>1</v>
      </c>
      <c r="K530" t="n">
        <v>0</v>
      </c>
      <c r="L530" t="n">
        <v>2</v>
      </c>
      <c r="M530" t="n">
        <v>0</v>
      </c>
      <c r="N530" t="n">
        <v>0</v>
      </c>
      <c r="O530" t="n">
        <v>0</v>
      </c>
      <c r="P530" t="n">
        <v>0</v>
      </c>
      <c r="Q530" t="n">
        <v>2</v>
      </c>
      <c r="R530" t="n">
        <v>0</v>
      </c>
      <c r="S530" t="n">
        <v>3</v>
      </c>
      <c r="T530" t="n">
        <v>5</v>
      </c>
      <c r="U530" t="n">
        <v>5</v>
      </c>
      <c r="V530" s="2" t="inlineStr">
        <is>
          <t>Tallticka
Talltita
Timmerticka</t>
        </is>
      </c>
      <c r="W530">
        <f>HYPERLINK("https://klasma.github.io/Logging_0883/artfynd/A 32394-2026 artfynd.xlsx", "A 32394-2026")</f>
        <v/>
      </c>
      <c r="X530">
        <f>HYPERLINK("https://klasma.github.io/Logging_0883/kartor/A 32394-2026 karta.png", "A 32394-2026")</f>
        <v/>
      </c>
      <c r="Y530">
        <f>HYPERLINK("https://klasma.github.io/Logging_0883/kartor_geotiff/A 32394-2026 georefererad karta.tif", "A 32394-2026")</f>
        <v/>
      </c>
      <c r="AA530">
        <f>HYPERLINK("https://klasma.github.io/Logging_0883/klagomål/A 32394-2026 FSC-klagomål.docx", "A 32394-2026")</f>
        <v/>
      </c>
      <c r="AB530">
        <f>HYPERLINK("https://klasma.github.io/Logging_0883/klagomålsmail/A 32394-2026 FSC-klagomål mail.docx", "A 32394-2026")</f>
        <v/>
      </c>
      <c r="AC530">
        <f>HYPERLINK("https://klasma.github.io/Logging_0883/tillsyn/A 32394-2026 tillsynsbegäran.docx", "A 32394-2026")</f>
        <v/>
      </c>
      <c r="AD530">
        <f>HYPERLINK("https://klasma.github.io/Logging_0883/tillsynsmail/A 32394-2026 tillsynsbegäran mail.docx", "A 32394-2026")</f>
        <v/>
      </c>
      <c r="AE530">
        <f>HYPERLINK("https://klasma.github.io/Logging_0883/fåglar/A 32394-2026 prioriterade fågelarter.docx", "A 32394-2026")</f>
        <v/>
      </c>
    </row>
    <row r="531" ht="15" customHeight="1">
      <c r="A531" t="inlineStr">
        <is>
          <t>A 46157-2025</t>
        </is>
      </c>
      <c r="B531" t="inlineStr">
        <is>
          <t>avverkningsanmälan</t>
        </is>
      </c>
      <c r="C531" t="inlineStr">
        <is>
          <t>Föryngringsavverkning</t>
        </is>
      </c>
      <c r="D531" s="1" t="n">
        <v>45924</v>
      </c>
      <c r="E531" s="1" t="n">
        <v>46323</v>
      </c>
      <c r="F531" t="inlineStr">
        <is>
          <t>KALMAR LÄN</t>
        </is>
      </c>
      <c r="G531" t="inlineStr">
        <is>
          <t>VÄSTERVIK</t>
        </is>
      </c>
      <c r="I531" t="n">
        <v>3.1</v>
      </c>
      <c r="J531" t="n">
        <v>2</v>
      </c>
      <c r="K531" t="n">
        <v>0</v>
      </c>
      <c r="L531" t="n">
        <v>1</v>
      </c>
      <c r="M531" t="n">
        <v>0</v>
      </c>
      <c r="N531" t="n">
        <v>0</v>
      </c>
      <c r="O531" t="n">
        <v>0</v>
      </c>
      <c r="P531" t="n">
        <v>0</v>
      </c>
      <c r="Q531" t="n">
        <v>1</v>
      </c>
      <c r="R531" t="n">
        <v>0</v>
      </c>
      <c r="S531" t="n">
        <v>3</v>
      </c>
      <c r="T531" t="n">
        <v>3</v>
      </c>
      <c r="U531" t="n">
        <v>3</v>
      </c>
      <c r="V531" s="2" t="inlineStr">
        <is>
          <t>Fjällig taggsvamp s.str.
Spillkråka
Kungsfågel</t>
        </is>
      </c>
      <c r="W531">
        <f>HYPERLINK("https://klasma.github.io/Logging_0883/artfynd/A 46157-2025 artfynd.xlsx", "A 46157-2025")</f>
        <v/>
      </c>
      <c r="X531">
        <f>HYPERLINK("https://klasma.github.io/Logging_0883/kartor/A 46157-2025 karta.png", "A 46157-2025")</f>
        <v/>
      </c>
      <c r="Y531">
        <f>HYPERLINK("https://klasma.github.io/Logging_0883/kartor_geotiff/A 46157-2025 georefererad karta.tif", "A 46157-2025")</f>
        <v/>
      </c>
      <c r="AA531">
        <f>HYPERLINK("https://klasma.github.io/Logging_0883/klagomål/A 46157-2025 FSC-klagomål.docx", "A 46157-2025")</f>
        <v/>
      </c>
      <c r="AB531">
        <f>HYPERLINK("https://klasma.github.io/Logging_0883/klagomålsmail/A 46157-2025 FSC-klagomål mail.docx", "A 46157-2025")</f>
        <v/>
      </c>
      <c r="AC531">
        <f>HYPERLINK("https://klasma.github.io/Logging_0883/tillsyn/A 46157-2025 tillsynsbegäran.docx", "A 46157-2025")</f>
        <v/>
      </c>
      <c r="AD531">
        <f>HYPERLINK("https://klasma.github.io/Logging_0883/tillsynsmail/A 46157-2025 tillsynsbegäran mail.docx", "A 46157-2025")</f>
        <v/>
      </c>
      <c r="AE531">
        <f>HYPERLINK("https://klasma.github.io/Logging_0883/fåglar/A 46157-2025 prioriterade fågelarter.docx", "A 46157-2025")</f>
        <v/>
      </c>
    </row>
    <row r="532" ht="15" customHeight="1">
      <c r="A532" t="inlineStr">
        <is>
          <t>A 14584-2025</t>
        </is>
      </c>
      <c r="B532" t="inlineStr">
        <is>
          <t>avverkningsanmälan</t>
        </is>
      </c>
      <c r="C532" t="inlineStr">
        <is>
          <t>Föryngringsavverkning</t>
        </is>
      </c>
      <c r="D532" s="1" t="n">
        <v>45742</v>
      </c>
      <c r="E532" s="1" t="n">
        <v>46323</v>
      </c>
      <c r="F532" t="inlineStr">
        <is>
          <t>KALMAR LÄN</t>
        </is>
      </c>
      <c r="G532" t="inlineStr">
        <is>
          <t>VIMMERBY</t>
        </is>
      </c>
      <c r="I532" t="n">
        <v>5.4</v>
      </c>
      <c r="J532" t="n">
        <v>2</v>
      </c>
      <c r="K532" t="n">
        <v>1</v>
      </c>
      <c r="L532" t="n">
        <v>0</v>
      </c>
      <c r="M532" t="n">
        <v>1</v>
      </c>
      <c r="N532" t="n">
        <v>0</v>
      </c>
      <c r="O532" t="n">
        <v>0</v>
      </c>
      <c r="P532" t="n">
        <v>0</v>
      </c>
      <c r="Q532" t="n">
        <v>1</v>
      </c>
      <c r="R532" t="n">
        <v>1</v>
      </c>
      <c r="S532" t="n">
        <v>3</v>
      </c>
      <c r="T532" t="n">
        <v>4</v>
      </c>
      <c r="U532" t="n">
        <v>4</v>
      </c>
      <c r="V532" s="2" t="inlineStr">
        <is>
          <t>Knärot
Blåmossa
Spillkråka</t>
        </is>
      </c>
      <c r="W532">
        <f>HYPERLINK("https://klasma.github.io/Logging_0884/artfynd/A 14584-2025 artfynd.xlsx", "A 14584-2025")</f>
        <v/>
      </c>
      <c r="X532">
        <f>HYPERLINK("https://klasma.github.io/Logging_0884/kartor/A 14584-2025 karta.png", "A 14584-2025")</f>
        <v/>
      </c>
      <c r="Y532">
        <f>HYPERLINK("https://klasma.github.io/Logging_0884/kartor_geotiff/A 14584-2025 georefererad karta.tif", "A 14584-2025")</f>
        <v/>
      </c>
      <c r="Z532">
        <f>HYPERLINK("https://klasma.github.io/Logging_0884/knärot/A 14584-2025 karta knärot.png", "A 14584-2025")</f>
        <v/>
      </c>
      <c r="AA532">
        <f>HYPERLINK("https://klasma.github.io/Logging_0884/klagomål/A 14584-2025 FSC-klagomål.docx", "A 14584-2025")</f>
        <v/>
      </c>
      <c r="AB532">
        <f>HYPERLINK("https://klasma.github.io/Logging_0884/klagomålsmail/A 14584-2025 FSC-klagomål mail.docx", "A 14584-2025")</f>
        <v/>
      </c>
      <c r="AC532">
        <f>HYPERLINK("https://klasma.github.io/Logging_0884/tillsyn/A 14584-2025 tillsynsbegäran.docx", "A 14584-2025")</f>
        <v/>
      </c>
      <c r="AD532">
        <f>HYPERLINK("https://klasma.github.io/Logging_0884/tillsynsmail/A 14584-2025 tillsynsbegäran mail.docx", "A 14584-2025")</f>
        <v/>
      </c>
      <c r="AE532">
        <f>HYPERLINK("https://klasma.github.io/Logging_0884/fåglar/A 14584-2025 prioriterade fågelarter.docx", "A 14584-2025")</f>
        <v/>
      </c>
    </row>
    <row r="533" ht="15" customHeight="1">
      <c r="A533" t="inlineStr">
        <is>
          <t>A 39000-2025</t>
        </is>
      </c>
      <c r="B533" t="inlineStr">
        <is>
          <t>avverkningsanmälan</t>
        </is>
      </c>
      <c r="C533" t="inlineStr">
        <is>
          <t>Föryngringsavverkning</t>
        </is>
      </c>
      <c r="D533" s="1" t="n">
        <v>45888</v>
      </c>
      <c r="E533" s="1" t="n">
        <v>46323</v>
      </c>
      <c r="F533" t="inlineStr">
        <is>
          <t>KALMAR LÄN</t>
        </is>
      </c>
      <c r="G533" t="inlineStr">
        <is>
          <t>NYBRO</t>
        </is>
      </c>
      <c r="I533" t="n">
        <v>1.7</v>
      </c>
      <c r="J533" t="n">
        <v>3</v>
      </c>
      <c r="K533" t="n">
        <v>0</v>
      </c>
      <c r="L533" t="n">
        <v>2</v>
      </c>
      <c r="M533" t="n">
        <v>0</v>
      </c>
      <c r="N533" t="n">
        <v>0</v>
      </c>
      <c r="O533" t="n">
        <v>0</v>
      </c>
      <c r="P533" t="n">
        <v>0</v>
      </c>
      <c r="Q533" t="n">
        <v>2</v>
      </c>
      <c r="R533" t="n">
        <v>0</v>
      </c>
      <c r="S533" t="n">
        <v>3</v>
      </c>
      <c r="T533" t="n">
        <v>3</v>
      </c>
      <c r="U533" t="n">
        <v>1</v>
      </c>
      <c r="V533" s="2" t="inlineStr">
        <is>
          <t>Barbastell
Nordfladdermus
Gråskimlig fladdermus</t>
        </is>
      </c>
      <c r="W533">
        <f>HYPERLINK("https://klasma.github.io/Logging_0881/artfynd/A 39000-2025 artfynd.xlsx", "A 39000-2025")</f>
        <v/>
      </c>
      <c r="X533">
        <f>HYPERLINK("https://klasma.github.io/Logging_0881/kartor/A 39000-2025 karta.png", "A 39000-2025")</f>
        <v/>
      </c>
      <c r="Y533">
        <f>HYPERLINK("https://klasma.github.io/Logging_0881/kartor_geotiff/A 39000-2025 georefererad karta.tif", "A 39000-2025")</f>
        <v/>
      </c>
      <c r="AA533">
        <f>HYPERLINK("https://klasma.github.io/Logging_0881/klagomål/A 39000-2025 FSC-klagomål.docx", "A 39000-2025")</f>
        <v/>
      </c>
      <c r="AB533">
        <f>HYPERLINK("https://klasma.github.io/Logging_0881/klagomålsmail/A 39000-2025 FSC-klagomål mail.docx", "A 39000-2025")</f>
        <v/>
      </c>
      <c r="AC533">
        <f>HYPERLINK("https://klasma.github.io/Logging_0881/tillsyn/A 39000-2025 tillsynsbegäran.docx", "A 39000-2025")</f>
        <v/>
      </c>
      <c r="AD533">
        <f>HYPERLINK("https://klasma.github.io/Logging_0881/tillsynsmail/A 39000-2025 tillsynsbegäran mail.docx", "A 39000-2025")</f>
        <v/>
      </c>
    </row>
    <row r="534" ht="15" customHeight="1">
      <c r="A534" t="inlineStr">
        <is>
          <t>A 28505-2026</t>
        </is>
      </c>
      <c r="B534" t="inlineStr">
        <is>
          <t>avverkningsanmälan</t>
        </is>
      </c>
      <c r="C534" t="inlineStr">
        <is>
          <t>Föryngringsavverkning</t>
        </is>
      </c>
      <c r="D534" s="1" t="n">
        <v>46197</v>
      </c>
      <c r="E534" s="1" t="n">
        <v>46323</v>
      </c>
      <c r="F534" t="inlineStr">
        <is>
          <t>KALMAR LÄN</t>
        </is>
      </c>
      <c r="G534" t="inlineStr">
        <is>
          <t>VÄSTERVIK</t>
        </is>
      </c>
      <c r="I534" t="n">
        <v>2.3</v>
      </c>
      <c r="J534" t="n">
        <v>2</v>
      </c>
      <c r="K534" t="n">
        <v>1</v>
      </c>
      <c r="L534" t="n">
        <v>1</v>
      </c>
      <c r="M534" t="n">
        <v>0</v>
      </c>
      <c r="N534" t="n">
        <v>0</v>
      </c>
      <c r="O534" t="n">
        <v>0</v>
      </c>
      <c r="P534" t="n">
        <v>0</v>
      </c>
      <c r="Q534" t="n">
        <v>1</v>
      </c>
      <c r="R534" t="n">
        <v>0</v>
      </c>
      <c r="S534" t="n">
        <v>3</v>
      </c>
      <c r="T534" t="n">
        <v>10</v>
      </c>
      <c r="U534" t="n">
        <v>10</v>
      </c>
      <c r="V534" s="2" t="inlineStr">
        <is>
          <t>Talltita
Hasselticka
Spillkråka</t>
        </is>
      </c>
      <c r="W534">
        <f>HYPERLINK("https://klasma.github.io/Logging_0883/artfynd/A 28505-2026 artfynd.xlsx", "A 28505-2026")</f>
        <v/>
      </c>
      <c r="X534">
        <f>HYPERLINK("https://klasma.github.io/Logging_0883/kartor/A 28505-2026 karta.png", "A 28505-2026")</f>
        <v/>
      </c>
      <c r="Y534">
        <f>HYPERLINK("https://klasma.github.io/Logging_0883/kartor_geotiff/A 28505-2026 georefererad karta.tif", "A 28505-2026")</f>
        <v/>
      </c>
      <c r="AA534">
        <f>HYPERLINK("https://klasma.github.io/Logging_0883/klagomål/A 28505-2026 FSC-klagomål.docx", "A 28505-2026")</f>
        <v/>
      </c>
      <c r="AB534">
        <f>HYPERLINK("https://klasma.github.io/Logging_0883/klagomålsmail/A 28505-2026 FSC-klagomål mail.docx", "A 28505-2026")</f>
        <v/>
      </c>
      <c r="AC534">
        <f>HYPERLINK("https://klasma.github.io/Logging_0883/tillsyn/A 28505-2026 tillsynsbegäran.docx", "A 28505-2026")</f>
        <v/>
      </c>
      <c r="AD534">
        <f>HYPERLINK("https://klasma.github.io/Logging_0883/tillsynsmail/A 28505-2026 tillsynsbegäran mail.docx", "A 28505-2026")</f>
        <v/>
      </c>
      <c r="AE534">
        <f>HYPERLINK("https://klasma.github.io/Logging_0883/fåglar/A 28505-2026 prioriterade fågelarter.docx", "A 28505-2026")</f>
        <v/>
      </c>
    </row>
    <row r="535" ht="15" customHeight="1">
      <c r="A535" t="inlineStr">
        <is>
          <t>A 46824-2025</t>
        </is>
      </c>
      <c r="B535" t="inlineStr">
        <is>
          <t>avverkningsanmälan</t>
        </is>
      </c>
      <c r="C535" t="inlineStr">
        <is>
          <t>Föryngringsavverkning</t>
        </is>
      </c>
      <c r="D535" s="1" t="n">
        <v>45926</v>
      </c>
      <c r="E535" s="1" t="n">
        <v>46323</v>
      </c>
      <c r="F535" t="inlineStr">
        <is>
          <t>KALMAR LÄN</t>
        </is>
      </c>
      <c r="G535" t="inlineStr">
        <is>
          <t>VIMMERBY</t>
        </is>
      </c>
      <c r="I535" t="n">
        <v>2.8</v>
      </c>
      <c r="J535" t="n">
        <v>1</v>
      </c>
      <c r="K535" t="n">
        <v>0</v>
      </c>
      <c r="L535" t="n">
        <v>2</v>
      </c>
      <c r="M535" t="n">
        <v>1</v>
      </c>
      <c r="N535" t="n">
        <v>0</v>
      </c>
      <c r="O535" t="n">
        <v>0</v>
      </c>
      <c r="P535" t="n">
        <v>0</v>
      </c>
      <c r="Q535" t="n">
        <v>3</v>
      </c>
      <c r="R535" t="n">
        <v>1</v>
      </c>
      <c r="S535" t="n">
        <v>3</v>
      </c>
      <c r="T535" t="n">
        <v>10</v>
      </c>
      <c r="U535" t="n">
        <v>4</v>
      </c>
      <c r="V535" s="2" t="inlineStr">
        <is>
          <t>Knärot
Dropptaggsvamp
Fjällig taggsvamp s.str.</t>
        </is>
      </c>
      <c r="W535">
        <f>HYPERLINK("https://klasma.github.io/Logging_0884/artfynd/A 46824-2025 artfynd.xlsx", "A 46824-2025")</f>
        <v/>
      </c>
      <c r="X535">
        <f>HYPERLINK("https://klasma.github.io/Logging_0884/kartor/A 46824-2025 karta.png", "A 46824-2025")</f>
        <v/>
      </c>
      <c r="Y535">
        <f>HYPERLINK("https://klasma.github.io/Logging_0884/kartor_geotiff/A 46824-2025 georefererad karta.tif", "A 46824-2025")</f>
        <v/>
      </c>
      <c r="Z535">
        <f>HYPERLINK("https://klasma.github.io/Logging_0884/knärot/A 46824-2025 karta knärot.png", "A 46824-2025")</f>
        <v/>
      </c>
      <c r="AA535">
        <f>HYPERLINK("https://klasma.github.io/Logging_0884/klagomål/A 46824-2025 FSC-klagomål.docx", "A 46824-2025")</f>
        <v/>
      </c>
      <c r="AB535">
        <f>HYPERLINK("https://klasma.github.io/Logging_0884/klagomålsmail/A 46824-2025 FSC-klagomål mail.docx", "A 46824-2025")</f>
        <v/>
      </c>
      <c r="AC535">
        <f>HYPERLINK("https://klasma.github.io/Logging_0884/tillsyn/A 46824-2025 tillsynsbegäran.docx", "A 46824-2025")</f>
        <v/>
      </c>
      <c r="AD535">
        <f>HYPERLINK("https://klasma.github.io/Logging_0884/tillsynsmail/A 46824-2025 tillsynsbegäran mail.docx", "A 46824-2025")</f>
        <v/>
      </c>
    </row>
    <row r="536" ht="15" customHeight="1">
      <c r="A536" t="inlineStr">
        <is>
          <t>A 42286-2026</t>
        </is>
      </c>
      <c r="B536" t="inlineStr">
        <is>
          <t>avverkningsanmälan</t>
        </is>
      </c>
      <c r="C536" t="inlineStr">
        <is>
          <t>Föryngringsavverkning</t>
        </is>
      </c>
      <c r="D536" s="1" t="n">
        <v>46307</v>
      </c>
      <c r="E536" s="1" t="n">
        <v>46323</v>
      </c>
      <c r="F536" t="inlineStr">
        <is>
          <t>KALMAR LÄN</t>
        </is>
      </c>
      <c r="G536" t="inlineStr">
        <is>
          <t>HÖGSBY</t>
        </is>
      </c>
      <c r="I536" t="n">
        <v>2</v>
      </c>
      <c r="J536" t="n">
        <v>2</v>
      </c>
      <c r="K536" t="n">
        <v>0</v>
      </c>
      <c r="L536" t="n">
        <v>1</v>
      </c>
      <c r="M536" t="n">
        <v>1</v>
      </c>
      <c r="N536" t="n">
        <v>0</v>
      </c>
      <c r="O536" t="n">
        <v>0</v>
      </c>
      <c r="P536" t="n">
        <v>0</v>
      </c>
      <c r="Q536" t="n">
        <v>2</v>
      </c>
      <c r="R536" t="n">
        <v>1</v>
      </c>
      <c r="S536" t="n">
        <v>3</v>
      </c>
      <c r="T536" t="n">
        <v>5</v>
      </c>
      <c r="U536" t="n">
        <v>0</v>
      </c>
      <c r="V536" s="2" t="inlineStr">
        <is>
          <t>Backsippa
Backklöver
Gullviva</t>
        </is>
      </c>
      <c r="W536">
        <f>HYPERLINK("https://klasma.github.io/Logging_0821/artfynd/A 42286-2026 artfynd.xlsx", "A 42286-2026")</f>
        <v/>
      </c>
      <c r="X536">
        <f>HYPERLINK("https://klasma.github.io/Logging_0821/kartor/A 42286-2026 karta.png", "A 42286-2026")</f>
        <v/>
      </c>
      <c r="Y536">
        <f>HYPERLINK("https://klasma.github.io/Logging_0821/kartor_geotiff/A 42286-2026 georefererad karta.tif", "A 42286-2026")</f>
        <v/>
      </c>
      <c r="AA536">
        <f>HYPERLINK("https://klasma.github.io/Logging_0821/klagomål/A 42286-2026 FSC-klagomål.docx", "A 42286-2026")</f>
        <v/>
      </c>
      <c r="AB536">
        <f>HYPERLINK("https://klasma.github.io/Logging_0821/klagomålsmail/A 42286-2026 FSC-klagomål mail.docx", "A 42286-2026")</f>
        <v/>
      </c>
      <c r="AC536">
        <f>HYPERLINK("https://klasma.github.io/Logging_0821/tillsyn/A 42286-2026 tillsynsbegäran.docx", "A 42286-2026")</f>
        <v/>
      </c>
      <c r="AD536">
        <f>HYPERLINK("https://klasma.github.io/Logging_0821/tillsynsmail/A 42286-2026 tillsynsbegäran mail.docx", "A 42286-2026")</f>
        <v/>
      </c>
    </row>
    <row r="537" ht="15" customHeight="1">
      <c r="A537" t="inlineStr">
        <is>
          <t>A 53075-2024</t>
        </is>
      </c>
      <c r="B537" t="inlineStr">
        <is>
          <t>avverkningsanmälan</t>
        </is>
      </c>
      <c r="C537" t="inlineStr">
        <is>
          <t>Föryngringsavverkning</t>
        </is>
      </c>
      <c r="D537" s="1" t="n">
        <v>45611</v>
      </c>
      <c r="E537" s="1" t="n">
        <v>46323</v>
      </c>
      <c r="F537" t="inlineStr">
        <is>
          <t>KALMAR LÄN</t>
        </is>
      </c>
      <c r="G537" t="inlineStr">
        <is>
          <t>VÄSTERVIK</t>
        </is>
      </c>
      <c r="H537" t="inlineStr">
        <is>
          <t>Holmen skog AB</t>
        </is>
      </c>
      <c r="I537" t="n">
        <v>8.5</v>
      </c>
      <c r="J537" t="n">
        <v>2</v>
      </c>
      <c r="K537" t="n">
        <v>1</v>
      </c>
      <c r="L537" t="n">
        <v>1</v>
      </c>
      <c r="M537" t="n">
        <v>0</v>
      </c>
      <c r="N537" t="n">
        <v>0</v>
      </c>
      <c r="O537" t="n">
        <v>0</v>
      </c>
      <c r="P537" t="n">
        <v>0</v>
      </c>
      <c r="Q537" t="n">
        <v>1</v>
      </c>
      <c r="R537" t="n">
        <v>0</v>
      </c>
      <c r="S537" t="n">
        <v>3</v>
      </c>
      <c r="T537" t="n">
        <v>3</v>
      </c>
      <c r="U537" t="n">
        <v>2</v>
      </c>
      <c r="V537" s="2" t="inlineStr">
        <is>
          <t>Talltita
Brandticka
Tjäder</t>
        </is>
      </c>
      <c r="W537">
        <f>HYPERLINK("https://klasma.github.io/Logging_0883/artfynd/A 53075-2024 artfynd.xlsx", "A 53075-2024")</f>
        <v/>
      </c>
      <c r="X537">
        <f>HYPERLINK("https://klasma.github.io/Logging_0883/kartor/A 53075-2024 karta.png", "A 53075-2024")</f>
        <v/>
      </c>
      <c r="Y537">
        <f>HYPERLINK("https://klasma.github.io/Logging_0883/kartor_geotiff/A 53075-2024 georefererad karta.tif", "A 53075-2024")</f>
        <v/>
      </c>
      <c r="AA537">
        <f>HYPERLINK("https://klasma.github.io/Logging_0883/klagomål/A 53075-2024 FSC-klagomål.docx", "A 53075-2024")</f>
        <v/>
      </c>
      <c r="AB537">
        <f>HYPERLINK("https://klasma.github.io/Logging_0883/klagomålsmail/A 53075-2024 FSC-klagomål mail.docx", "A 53075-2024")</f>
        <v/>
      </c>
      <c r="AC537">
        <f>HYPERLINK("https://klasma.github.io/Logging_0883/tillsyn/A 53075-2024 tillsynsbegäran.docx", "A 53075-2024")</f>
        <v/>
      </c>
      <c r="AD537">
        <f>HYPERLINK("https://klasma.github.io/Logging_0883/tillsynsmail/A 53075-2024 tillsynsbegäran mail.docx", "A 53075-2024")</f>
        <v/>
      </c>
      <c r="AE537">
        <f>HYPERLINK("https://klasma.github.io/Logging_0883/fåglar/A 53075-2024 prioriterade fågelarter.docx", "A 53075-2024")</f>
        <v/>
      </c>
    </row>
    <row r="538" ht="15" customHeight="1">
      <c r="A538" t="inlineStr">
        <is>
          <t>A 52992-2024</t>
        </is>
      </c>
      <c r="B538" t="inlineStr">
        <is>
          <t>avverkningsanmälan</t>
        </is>
      </c>
      <c r="C538" t="inlineStr">
        <is>
          <t>Föryngringsavverkning</t>
        </is>
      </c>
      <c r="D538" s="1" t="n">
        <v>45611</v>
      </c>
      <c r="E538" s="1" t="n">
        <v>46323</v>
      </c>
      <c r="F538" t="inlineStr">
        <is>
          <t>KALMAR LÄN</t>
        </is>
      </c>
      <c r="G538" t="inlineStr">
        <is>
          <t>VÄSTERVIK</t>
        </is>
      </c>
      <c r="H538" t="inlineStr">
        <is>
          <t>Holmen skog AB</t>
        </is>
      </c>
      <c r="I538" t="n">
        <v>5.5</v>
      </c>
      <c r="J538" t="n">
        <v>2</v>
      </c>
      <c r="K538" t="n">
        <v>1</v>
      </c>
      <c r="L538" t="n">
        <v>1</v>
      </c>
      <c r="M538" t="n">
        <v>0</v>
      </c>
      <c r="N538" t="n">
        <v>0</v>
      </c>
      <c r="O538" t="n">
        <v>0</v>
      </c>
      <c r="P538" t="n">
        <v>0</v>
      </c>
      <c r="Q538" t="n">
        <v>1</v>
      </c>
      <c r="R538" t="n">
        <v>0</v>
      </c>
      <c r="S538" t="n">
        <v>3</v>
      </c>
      <c r="T538" t="n">
        <v>4</v>
      </c>
      <c r="U538" t="n">
        <v>4</v>
      </c>
      <c r="V538" s="2" t="inlineStr">
        <is>
          <t>Talltita
Brandticka
Spillkråka</t>
        </is>
      </c>
      <c r="W538">
        <f>HYPERLINK("https://klasma.github.io/Logging_0883/artfynd/A 52992-2024 artfynd.xlsx", "A 52992-2024")</f>
        <v/>
      </c>
      <c r="X538">
        <f>HYPERLINK("https://klasma.github.io/Logging_0883/kartor/A 52992-2024 karta.png", "A 52992-2024")</f>
        <v/>
      </c>
      <c r="Y538">
        <f>HYPERLINK("https://klasma.github.io/Logging_0883/kartor_geotiff/A 52992-2024 georefererad karta.tif", "A 52992-2024")</f>
        <v/>
      </c>
      <c r="AA538">
        <f>HYPERLINK("https://klasma.github.io/Logging_0883/klagomål/A 52992-2024 FSC-klagomål.docx", "A 52992-2024")</f>
        <v/>
      </c>
      <c r="AB538">
        <f>HYPERLINK("https://klasma.github.io/Logging_0883/klagomålsmail/A 52992-2024 FSC-klagomål mail.docx", "A 52992-2024")</f>
        <v/>
      </c>
      <c r="AC538">
        <f>HYPERLINK("https://klasma.github.io/Logging_0883/tillsyn/A 52992-2024 tillsynsbegäran.docx", "A 52992-2024")</f>
        <v/>
      </c>
      <c r="AD538">
        <f>HYPERLINK("https://klasma.github.io/Logging_0883/tillsynsmail/A 52992-2024 tillsynsbegäran mail.docx", "A 52992-2024")</f>
        <v/>
      </c>
      <c r="AE538">
        <f>HYPERLINK("https://klasma.github.io/Logging_0883/fåglar/A 52992-2024 prioriterade fågelarter.docx", "A 52992-2024")</f>
        <v/>
      </c>
    </row>
    <row r="539" ht="15" customHeight="1">
      <c r="A539" t="inlineStr">
        <is>
          <t>A 48318-2024</t>
        </is>
      </c>
      <c r="B539" t="inlineStr">
        <is>
          <t>avverkningsanmälan</t>
        </is>
      </c>
      <c r="C539" t="inlineStr">
        <is>
          <t>Föryngringsavverkning</t>
        </is>
      </c>
      <c r="D539" s="1" t="n">
        <v>45590</v>
      </c>
      <c r="E539" s="1" t="n">
        <v>46323</v>
      </c>
      <c r="F539" t="inlineStr">
        <is>
          <t>KALMAR LÄN</t>
        </is>
      </c>
      <c r="G539" t="inlineStr">
        <is>
          <t>VÄSTERVIK</t>
        </is>
      </c>
      <c r="H539" t="inlineStr">
        <is>
          <t>Holmen skog AB</t>
        </is>
      </c>
      <c r="I539" t="n">
        <v>4</v>
      </c>
      <c r="J539" t="n">
        <v>3</v>
      </c>
      <c r="K539" t="n">
        <v>0</v>
      </c>
      <c r="L539" t="n">
        <v>2</v>
      </c>
      <c r="M539" t="n">
        <v>0</v>
      </c>
      <c r="N539" t="n">
        <v>0</v>
      </c>
      <c r="O539" t="n">
        <v>0</v>
      </c>
      <c r="P539" t="n">
        <v>0</v>
      </c>
      <c r="Q539" t="n">
        <v>2</v>
      </c>
      <c r="R539" t="n">
        <v>0</v>
      </c>
      <c r="S539" t="n">
        <v>3</v>
      </c>
      <c r="T539" t="n">
        <v>4</v>
      </c>
      <c r="U539" t="n">
        <v>0</v>
      </c>
      <c r="V539" s="2" t="inlineStr">
        <is>
          <t>Entita
Talltita
Spillkråka</t>
        </is>
      </c>
      <c r="W539">
        <f>HYPERLINK("https://klasma.github.io/Logging_0883/artfynd/A 48318-2024 artfynd.xlsx", "A 48318-2024")</f>
        <v/>
      </c>
      <c r="X539">
        <f>HYPERLINK("https://klasma.github.io/Logging_0883/kartor/A 48318-2024 karta.png", "A 48318-2024")</f>
        <v/>
      </c>
      <c r="Y539">
        <f>HYPERLINK("https://klasma.github.io/Logging_0883/kartor_geotiff/A 48318-2024 georefererad karta.tif", "A 48318-2024")</f>
        <v/>
      </c>
      <c r="Z539">
        <f>HYPERLINK("https://klasma.github.io/Logging_0883/knärot/A 48318-2024 karta knärot.png", "A 48318-2024")</f>
        <v/>
      </c>
      <c r="AA539">
        <f>HYPERLINK("https://klasma.github.io/Logging_0883/klagomål/A 48318-2024 FSC-klagomål.docx", "A 48318-2024")</f>
        <v/>
      </c>
      <c r="AB539">
        <f>HYPERLINK("https://klasma.github.io/Logging_0883/klagomålsmail/A 48318-2024 FSC-klagomål mail.docx", "A 48318-2024")</f>
        <v/>
      </c>
      <c r="AC539">
        <f>HYPERLINK("https://klasma.github.io/Logging_0883/tillsyn/A 48318-2024 tillsynsbegäran.docx", "A 48318-2024")</f>
        <v/>
      </c>
      <c r="AD539">
        <f>HYPERLINK("https://klasma.github.io/Logging_0883/tillsynsmail/A 48318-2024 tillsynsbegäran mail.docx", "A 48318-2024")</f>
        <v/>
      </c>
      <c r="AE539">
        <f>HYPERLINK("https://klasma.github.io/Logging_0883/fåglar/A 48318-2024 prioriterade fågelarter.docx", "A 48318-2024")</f>
        <v/>
      </c>
    </row>
    <row r="540" ht="15" customHeight="1">
      <c r="A540" t="inlineStr">
        <is>
          <t>A 12198-2026</t>
        </is>
      </c>
      <c r="B540" t="inlineStr">
        <is>
          <t>avverkningsanmälan</t>
        </is>
      </c>
      <c r="C540" t="inlineStr">
        <is>
          <t>Föryngringsavverkning</t>
        </is>
      </c>
      <c r="D540" s="1" t="n">
        <v>46086</v>
      </c>
      <c r="E540" s="1" t="n">
        <v>46323</v>
      </c>
      <c r="F540" t="inlineStr">
        <is>
          <t>KALMAR LÄN</t>
        </is>
      </c>
      <c r="G540" t="inlineStr">
        <is>
          <t>VÄSTERVIK</t>
        </is>
      </c>
      <c r="H540" t="inlineStr">
        <is>
          <t>Övriga Aktiebolag</t>
        </is>
      </c>
      <c r="I540" t="n">
        <v>3.7</v>
      </c>
      <c r="J540" t="n">
        <v>1</v>
      </c>
      <c r="K540" t="n">
        <v>1</v>
      </c>
      <c r="L540" t="n">
        <v>0</v>
      </c>
      <c r="M540" t="n">
        <v>1</v>
      </c>
      <c r="N540" t="n">
        <v>0</v>
      </c>
      <c r="O540" t="n">
        <v>0</v>
      </c>
      <c r="P540" t="n">
        <v>0</v>
      </c>
      <c r="Q540" t="n">
        <v>1</v>
      </c>
      <c r="R540" t="n">
        <v>1</v>
      </c>
      <c r="S540" t="n">
        <v>3</v>
      </c>
      <c r="T540" t="n">
        <v>4</v>
      </c>
      <c r="U540" t="n">
        <v>4</v>
      </c>
      <c r="V540" s="2" t="inlineStr">
        <is>
          <t>Knärot
Grönpyrola
Timmerticka</t>
        </is>
      </c>
      <c r="W540">
        <f>HYPERLINK("https://klasma.github.io/Logging_0883/artfynd/A 12198-2026 artfynd.xlsx", "A 12198-2026")</f>
        <v/>
      </c>
      <c r="X540">
        <f>HYPERLINK("https://klasma.github.io/Logging_0883/kartor/A 12198-2026 karta.png", "A 12198-2026")</f>
        <v/>
      </c>
      <c r="Y540">
        <f>HYPERLINK("https://klasma.github.io/Logging_0883/kartor_geotiff/A 12198-2026 georefererad karta.tif", "A 12198-2026")</f>
        <v/>
      </c>
      <c r="Z540">
        <f>HYPERLINK("https://klasma.github.io/Logging_0883/knärot/A 12198-2026 karta knärot.png", "A 12198-2026")</f>
        <v/>
      </c>
      <c r="AA540">
        <f>HYPERLINK("https://klasma.github.io/Logging_0883/klagomål/A 12198-2026 FSC-klagomål.docx", "A 12198-2026")</f>
        <v/>
      </c>
      <c r="AB540">
        <f>HYPERLINK("https://klasma.github.io/Logging_0883/klagomålsmail/A 12198-2026 FSC-klagomål mail.docx", "A 12198-2026")</f>
        <v/>
      </c>
      <c r="AC540">
        <f>HYPERLINK("https://klasma.github.io/Logging_0883/tillsyn/A 12198-2026 tillsynsbegäran.docx", "A 12198-2026")</f>
        <v/>
      </c>
      <c r="AD540">
        <f>HYPERLINK("https://klasma.github.io/Logging_0883/tillsynsmail/A 12198-2026 tillsynsbegäran mail.docx", "A 12198-2026")</f>
        <v/>
      </c>
    </row>
    <row r="541" ht="15" customHeight="1">
      <c r="A541" t="inlineStr">
        <is>
          <t>A 36433-2026</t>
        </is>
      </c>
      <c r="B541" t="inlineStr">
        <is>
          <t>avverkningsanmälan</t>
        </is>
      </c>
      <c r="C541" t="inlineStr">
        <is>
          <t>Föryngringsavverkning</t>
        </is>
      </c>
      <c r="D541" s="1" t="n">
        <v>46269</v>
      </c>
      <c r="E541" s="1" t="n">
        <v>46323</v>
      </c>
      <c r="F541" t="inlineStr">
        <is>
          <t>KALMAR LÄN</t>
        </is>
      </c>
      <c r="G541" t="inlineStr">
        <is>
          <t>HULTSFRED</t>
        </is>
      </c>
      <c r="I541" t="n">
        <v>1.6</v>
      </c>
      <c r="J541" t="n">
        <v>2</v>
      </c>
      <c r="K541" t="n">
        <v>0</v>
      </c>
      <c r="L541" t="n">
        <v>1</v>
      </c>
      <c r="M541" t="n">
        <v>1</v>
      </c>
      <c r="N541" t="n">
        <v>0</v>
      </c>
      <c r="O541" t="n">
        <v>0</v>
      </c>
      <c r="P541" t="n">
        <v>0</v>
      </c>
      <c r="Q541" t="n">
        <v>2</v>
      </c>
      <c r="R541" t="n">
        <v>1</v>
      </c>
      <c r="S541" t="n">
        <v>3</v>
      </c>
      <c r="T541" t="n">
        <v>3</v>
      </c>
      <c r="U541" t="n">
        <v>0</v>
      </c>
      <c r="V541" s="2" t="inlineStr">
        <is>
          <t>Knärot
Gullpudra
Nattviol</t>
        </is>
      </c>
      <c r="W541">
        <f>HYPERLINK("https://klasma.github.io/Logging_0860/artfynd/A 36433-2026 artfynd.xlsx", "A 36433-2026")</f>
        <v/>
      </c>
      <c r="X541">
        <f>HYPERLINK("https://klasma.github.io/Logging_0860/kartor/A 36433-2026 karta.png", "A 36433-2026")</f>
        <v/>
      </c>
      <c r="Y541">
        <f>HYPERLINK("https://klasma.github.io/Logging_0860/kartor_geotiff/A 36433-2026 georefererad karta.tif", "A 36433-2026")</f>
        <v/>
      </c>
      <c r="Z541">
        <f>HYPERLINK("https://klasma.github.io/Logging_0860/knärot/A 36433-2026 karta knärot.png", "A 36433-2026")</f>
        <v/>
      </c>
      <c r="AA541">
        <f>HYPERLINK("https://klasma.github.io/Logging_0860/klagomål/A 36433-2026 FSC-klagomål.docx", "A 36433-2026")</f>
        <v/>
      </c>
      <c r="AB541">
        <f>HYPERLINK("https://klasma.github.io/Logging_0860/klagomålsmail/A 36433-2026 FSC-klagomål mail.docx", "A 36433-2026")</f>
        <v/>
      </c>
      <c r="AC541">
        <f>HYPERLINK("https://klasma.github.io/Logging_0860/tillsyn/A 36433-2026 tillsynsbegäran.docx", "A 36433-2026")</f>
        <v/>
      </c>
      <c r="AD541">
        <f>HYPERLINK("https://klasma.github.io/Logging_0860/tillsynsmail/A 36433-2026 tillsynsbegäran mail.docx", "A 36433-2026")</f>
        <v/>
      </c>
    </row>
    <row r="542" ht="15" customHeight="1">
      <c r="A542" t="inlineStr">
        <is>
          <t>A 11604-2026</t>
        </is>
      </c>
      <c r="B542" t="inlineStr">
        <is>
          <t>avverkningsanmälan</t>
        </is>
      </c>
      <c r="C542" t="inlineStr">
        <is>
          <t>Föryngringsavverkning</t>
        </is>
      </c>
      <c r="D542" s="1" t="n">
        <v>46084</v>
      </c>
      <c r="E542" s="1" t="n">
        <v>46323</v>
      </c>
      <c r="F542" t="inlineStr">
        <is>
          <t>KALMAR LÄN</t>
        </is>
      </c>
      <c r="G542" t="inlineStr">
        <is>
          <t>VÄSTERVIK</t>
        </is>
      </c>
      <c r="I542" t="n">
        <v>1.3</v>
      </c>
      <c r="J542" t="n">
        <v>1</v>
      </c>
      <c r="K542" t="n">
        <v>1</v>
      </c>
      <c r="L542" t="n">
        <v>2</v>
      </c>
      <c r="M542" t="n">
        <v>0</v>
      </c>
      <c r="N542" t="n">
        <v>0</v>
      </c>
      <c r="O542" t="n">
        <v>0</v>
      </c>
      <c r="P542" t="n">
        <v>0</v>
      </c>
      <c r="Q542" t="n">
        <v>2</v>
      </c>
      <c r="R542" t="n">
        <v>0</v>
      </c>
      <c r="S542" t="n">
        <v>3</v>
      </c>
      <c r="T542" t="n">
        <v>5</v>
      </c>
      <c r="U542" t="n">
        <v>4</v>
      </c>
      <c r="V542" s="2" t="inlineStr">
        <is>
          <t>Tallticka
Talltita
Blåmossa</t>
        </is>
      </c>
      <c r="W542">
        <f>HYPERLINK("https://klasma.github.io/Logging_0883/artfynd/A 11604-2026 artfynd.xlsx", "A 11604-2026")</f>
        <v/>
      </c>
      <c r="X542">
        <f>HYPERLINK("https://klasma.github.io/Logging_0883/kartor/A 11604-2026 karta.png", "A 11604-2026")</f>
        <v/>
      </c>
      <c r="Y542">
        <f>HYPERLINK("https://klasma.github.io/Logging_0883/kartor_geotiff/A 11604-2026 georefererad karta.tif", "A 11604-2026")</f>
        <v/>
      </c>
      <c r="AA542">
        <f>HYPERLINK("https://klasma.github.io/Logging_0883/klagomål/A 11604-2026 FSC-klagomål.docx", "A 11604-2026")</f>
        <v/>
      </c>
      <c r="AB542">
        <f>HYPERLINK("https://klasma.github.io/Logging_0883/klagomålsmail/A 11604-2026 FSC-klagomål mail.docx", "A 11604-2026")</f>
        <v/>
      </c>
      <c r="AC542">
        <f>HYPERLINK("https://klasma.github.io/Logging_0883/tillsyn/A 11604-2026 tillsynsbegäran.docx", "A 11604-2026")</f>
        <v/>
      </c>
      <c r="AD542">
        <f>HYPERLINK("https://klasma.github.io/Logging_0883/tillsynsmail/A 11604-2026 tillsynsbegäran mail.docx", "A 11604-2026")</f>
        <v/>
      </c>
      <c r="AE542">
        <f>HYPERLINK("https://klasma.github.io/Logging_0883/fåglar/A 11604-2026 prioriterade fågelarter.docx", "A 11604-2026")</f>
        <v/>
      </c>
    </row>
    <row r="543" ht="15" customHeight="1">
      <c r="A543" t="inlineStr">
        <is>
          <t>A 34119-2023</t>
        </is>
      </c>
      <c r="B543" t="inlineStr">
        <is>
          <t>avverkningsanmälan</t>
        </is>
      </c>
      <c r="C543" t="inlineStr">
        <is>
          <t>Föryngringsavverkning</t>
        </is>
      </c>
      <c r="D543" s="1" t="n">
        <v>45135</v>
      </c>
      <c r="E543" s="1" t="n">
        <v>46323</v>
      </c>
      <c r="F543" t="inlineStr">
        <is>
          <t>KALMAR LÄN</t>
        </is>
      </c>
      <c r="G543" t="inlineStr">
        <is>
          <t>VÄSTERVIK</t>
        </is>
      </c>
      <c r="I543" t="n">
        <v>3.1</v>
      </c>
      <c r="J543" t="n">
        <v>1</v>
      </c>
      <c r="K543" t="n">
        <v>2</v>
      </c>
      <c r="L543" t="n">
        <v>0</v>
      </c>
      <c r="M543" t="n">
        <v>1</v>
      </c>
      <c r="N543" t="n">
        <v>0</v>
      </c>
      <c r="O543" t="n">
        <v>0</v>
      </c>
      <c r="P543" t="n">
        <v>0</v>
      </c>
      <c r="Q543" t="n">
        <v>1</v>
      </c>
      <c r="R543" t="n">
        <v>1</v>
      </c>
      <c r="S543" t="n">
        <v>3</v>
      </c>
      <c r="T543" t="n">
        <v>12</v>
      </c>
      <c r="U543" t="n">
        <v>12</v>
      </c>
      <c r="V543" s="2" t="inlineStr">
        <is>
          <t>Knärot
Blomkålssvamp
Grönpyrola</t>
        </is>
      </c>
      <c r="W543">
        <f>HYPERLINK("https://klasma.github.io/Logging_0883/artfynd/A 34119-2023 artfynd.xlsx", "A 34119-2023")</f>
        <v/>
      </c>
      <c r="X543">
        <f>HYPERLINK("https://klasma.github.io/Logging_0883/kartor/A 34119-2023 karta.png", "A 34119-2023")</f>
        <v/>
      </c>
      <c r="Y543">
        <f>HYPERLINK("https://klasma.github.io/Logging_0883/kartor_geotiff/A 34119-2023 georefererad karta.tif", "A 34119-2023")</f>
        <v/>
      </c>
      <c r="Z543">
        <f>HYPERLINK("https://klasma.github.io/Logging_0883/knärot/A 34119-2023 karta knärot.png", "A 34119-2023")</f>
        <v/>
      </c>
      <c r="AA543">
        <f>HYPERLINK("https://klasma.github.io/Logging_0883/klagomål/A 34119-2023 FSC-klagomål.docx", "A 34119-2023")</f>
        <v/>
      </c>
      <c r="AB543">
        <f>HYPERLINK("https://klasma.github.io/Logging_0883/klagomålsmail/A 34119-2023 FSC-klagomål mail.docx", "A 34119-2023")</f>
        <v/>
      </c>
      <c r="AC543">
        <f>HYPERLINK("https://klasma.github.io/Logging_0883/tillsyn/A 34119-2023 tillsynsbegäran.docx", "A 34119-2023")</f>
        <v/>
      </c>
      <c r="AD543">
        <f>HYPERLINK("https://klasma.github.io/Logging_0883/tillsynsmail/A 34119-2023 tillsynsbegäran mail.docx", "A 34119-2023")</f>
        <v/>
      </c>
    </row>
    <row r="544" ht="15" customHeight="1">
      <c r="A544" t="inlineStr">
        <is>
          <t>A 1879-2026</t>
        </is>
      </c>
      <c r="B544" t="inlineStr">
        <is>
          <t>avverkningsanmälan</t>
        </is>
      </c>
      <c r="C544" t="inlineStr">
        <is>
          <t>Föryngringsavverkning</t>
        </is>
      </c>
      <c r="D544" s="1" t="n">
        <v>46035</v>
      </c>
      <c r="E544" s="1" t="n">
        <v>46323</v>
      </c>
      <c r="F544" t="inlineStr">
        <is>
          <t>KALMAR LÄN</t>
        </is>
      </c>
      <c r="G544" t="inlineStr">
        <is>
          <t>VÄSTERVIK</t>
        </is>
      </c>
      <c r="I544" t="n">
        <v>1.6</v>
      </c>
      <c r="J544" t="n">
        <v>1</v>
      </c>
      <c r="K544" t="n">
        <v>0</v>
      </c>
      <c r="L544" t="n">
        <v>2</v>
      </c>
      <c r="M544" t="n">
        <v>1</v>
      </c>
      <c r="N544" t="n">
        <v>0</v>
      </c>
      <c r="O544" t="n">
        <v>0</v>
      </c>
      <c r="P544" t="n">
        <v>0</v>
      </c>
      <c r="Q544" t="n">
        <v>3</v>
      </c>
      <c r="R544" t="n">
        <v>1</v>
      </c>
      <c r="S544" t="n">
        <v>3</v>
      </c>
      <c r="T544" t="n">
        <v>5</v>
      </c>
      <c r="U544" t="n">
        <v>0</v>
      </c>
      <c r="V544" s="2" t="inlineStr">
        <is>
          <t>Knärot
Motaggsvamp
Tallticka</t>
        </is>
      </c>
      <c r="W544">
        <f>HYPERLINK("https://klasma.github.io/Logging_0883/artfynd/A 1879-2026 artfynd.xlsx", "A 1879-2026")</f>
        <v/>
      </c>
      <c r="X544">
        <f>HYPERLINK("https://klasma.github.io/Logging_0883/kartor/A 1879-2026 karta.png", "A 1879-2026")</f>
        <v/>
      </c>
      <c r="Y544">
        <f>HYPERLINK("https://klasma.github.io/Logging_0883/kartor_geotiff/A 1879-2026 georefererad karta.tif", "A 1879-2026")</f>
        <v/>
      </c>
      <c r="Z544">
        <f>HYPERLINK("https://klasma.github.io/Logging_0883/knärot/A 1879-2026 karta knärot.png", "A 1879-2026")</f>
        <v/>
      </c>
      <c r="AA544">
        <f>HYPERLINK("https://klasma.github.io/Logging_0883/klagomål/A 1879-2026 FSC-klagomål.docx", "A 1879-2026")</f>
        <v/>
      </c>
      <c r="AB544">
        <f>HYPERLINK("https://klasma.github.io/Logging_0883/klagomålsmail/A 1879-2026 FSC-klagomål mail.docx", "A 1879-2026")</f>
        <v/>
      </c>
      <c r="AC544">
        <f>HYPERLINK("https://klasma.github.io/Logging_0883/tillsyn/A 1879-2026 tillsynsbegäran.docx", "A 1879-2026")</f>
        <v/>
      </c>
      <c r="AD544">
        <f>HYPERLINK("https://klasma.github.io/Logging_0883/tillsynsmail/A 1879-2026 tillsynsbegäran mail.docx", "A 1879-2026")</f>
        <v/>
      </c>
    </row>
    <row r="545" ht="15" customHeight="1">
      <c r="A545" t="inlineStr">
        <is>
          <t>A 43826-2026</t>
        </is>
      </c>
      <c r="B545" t="inlineStr">
        <is>
          <t>avverkningsanmälan</t>
        </is>
      </c>
      <c r="C545" t="inlineStr">
        <is>
          <t>Föryngringsavverkning</t>
        </is>
      </c>
      <c r="D545" s="1" t="n">
        <v>46314</v>
      </c>
      <c r="E545" s="1" t="n">
        <v>46323</v>
      </c>
      <c r="F545" t="inlineStr">
        <is>
          <t>KALMAR LÄN</t>
        </is>
      </c>
      <c r="G545" t="inlineStr">
        <is>
          <t>MÖNSTERÅS</t>
        </is>
      </c>
      <c r="H545" t="inlineStr">
        <is>
          <t>Övriga Aktiebolag</t>
        </is>
      </c>
      <c r="I545" t="n">
        <v>4.9</v>
      </c>
      <c r="J545" t="n">
        <v>3</v>
      </c>
      <c r="K545" t="n">
        <v>0</v>
      </c>
      <c r="L545" t="n">
        <v>2</v>
      </c>
      <c r="M545" t="n">
        <v>0</v>
      </c>
      <c r="N545" t="n">
        <v>0</v>
      </c>
      <c r="O545" t="n">
        <v>0</v>
      </c>
      <c r="P545" t="n">
        <v>0</v>
      </c>
      <c r="Q545" t="n">
        <v>2</v>
      </c>
      <c r="R545" t="n">
        <v>0</v>
      </c>
      <c r="S545" t="n">
        <v>3</v>
      </c>
      <c r="T545" t="n">
        <v>9</v>
      </c>
      <c r="U545" t="n">
        <v>0</v>
      </c>
      <c r="V545" s="2" t="inlineStr">
        <is>
          <t>Nordfladdermus
Talltita
Nattskärra</t>
        </is>
      </c>
      <c r="W545">
        <f>HYPERLINK("https://klasma.github.io/Logging_0861/artfynd/A 43826-2026 artfynd.xlsx", "A 43826-2026")</f>
        <v/>
      </c>
      <c r="X545">
        <f>HYPERLINK("https://klasma.github.io/Logging_0861/kartor/A 43826-2026 karta.png", "A 43826-2026")</f>
        <v/>
      </c>
      <c r="Y545">
        <f>HYPERLINK("https://klasma.github.io/Logging_0861/kartor_geotiff/A 43826-2026 georefererad karta.tif", "A 43826-2026")</f>
        <v/>
      </c>
      <c r="AA545">
        <f>HYPERLINK("https://klasma.github.io/Logging_0861/klagomål/A 43826-2026 FSC-klagomål.docx", "A 43826-2026")</f>
        <v/>
      </c>
      <c r="AB545">
        <f>HYPERLINK("https://klasma.github.io/Logging_0861/klagomålsmail/A 43826-2026 FSC-klagomål mail.docx", "A 43826-2026")</f>
        <v/>
      </c>
      <c r="AC545">
        <f>HYPERLINK("https://klasma.github.io/Logging_0861/tillsyn/A 43826-2026 tillsynsbegäran.docx", "A 43826-2026")</f>
        <v/>
      </c>
      <c r="AD545">
        <f>HYPERLINK("https://klasma.github.io/Logging_0861/tillsynsmail/A 43826-2026 tillsynsbegäran mail.docx", "A 43826-2026")</f>
        <v/>
      </c>
      <c r="AE545">
        <f>HYPERLINK("https://klasma.github.io/Logging_0861/fåglar/A 43826-2026 prioriterade fågelarter.docx", "A 43826-2026")</f>
        <v/>
      </c>
    </row>
    <row r="546" ht="15" customHeight="1">
      <c r="A546" t="inlineStr">
        <is>
          <t>A 33057-2022</t>
        </is>
      </c>
      <c r="B546" t="inlineStr">
        <is>
          <t>avverkningsanmälan</t>
        </is>
      </c>
      <c r="C546" t="inlineStr">
        <is>
          <t>Föryngringsavverkning</t>
        </is>
      </c>
      <c r="D546" s="1" t="n">
        <v>44785</v>
      </c>
      <c r="E546" s="1" t="n">
        <v>46323</v>
      </c>
      <c r="F546" t="inlineStr">
        <is>
          <t>KALMAR LÄN</t>
        </is>
      </c>
      <c r="G546" t="inlineStr">
        <is>
          <t>KALMAR</t>
        </is>
      </c>
      <c r="H546" t="inlineStr">
        <is>
          <t>Kyrkan</t>
        </is>
      </c>
      <c r="I546" t="n">
        <v>3.7</v>
      </c>
      <c r="J546" t="n">
        <v>0</v>
      </c>
      <c r="K546" t="n">
        <v>3</v>
      </c>
      <c r="L546" t="n">
        <v>0</v>
      </c>
      <c r="M546" t="n">
        <v>0</v>
      </c>
      <c r="N546" t="n">
        <v>0</v>
      </c>
      <c r="O546" t="n">
        <v>0</v>
      </c>
      <c r="P546" t="n">
        <v>0</v>
      </c>
      <c r="Q546" t="n">
        <v>0</v>
      </c>
      <c r="R546" t="n">
        <v>0</v>
      </c>
      <c r="S546" t="n">
        <v>3</v>
      </c>
      <c r="T546" t="n">
        <v>6</v>
      </c>
      <c r="U546" t="n">
        <v>6</v>
      </c>
      <c r="V546" s="2" t="inlineStr">
        <is>
          <t>Blåmossa
Grovticka
Grönpyrola</t>
        </is>
      </c>
      <c r="W546">
        <f>HYPERLINK("https://klasma.github.io/Logging_0880/artfynd/A 33057-2022 artfynd.xlsx", "A 33057-2022")</f>
        <v/>
      </c>
      <c r="X546">
        <f>HYPERLINK("https://klasma.github.io/Logging_0880/kartor/A 33057-2022 karta.png", "A 33057-2022")</f>
        <v/>
      </c>
      <c r="Y546">
        <f>HYPERLINK("https://klasma.github.io/Logging_0880/kartor_geotiff/A 33057-2022 georefererad karta.tif", "A 33057-2022")</f>
        <v/>
      </c>
      <c r="AA546">
        <f>HYPERLINK("https://klasma.github.io/Logging_0880/klagomål/A 33057-2022 FSC-klagomål.docx", "A 33057-2022")</f>
        <v/>
      </c>
      <c r="AB546">
        <f>HYPERLINK("https://klasma.github.io/Logging_0880/klagomålsmail/A 33057-2022 FSC-klagomål mail.docx", "A 33057-2022")</f>
        <v/>
      </c>
      <c r="AC546">
        <f>HYPERLINK("https://klasma.github.io/Logging_0880/tillsyn/A 33057-2022 tillsynsbegäran.docx", "A 33057-2022")</f>
        <v/>
      </c>
      <c r="AD546">
        <f>HYPERLINK("https://klasma.github.io/Logging_0880/tillsynsmail/A 33057-2022 tillsynsbegäran mail.docx", "A 33057-2022")</f>
        <v/>
      </c>
    </row>
    <row r="547" ht="15" customHeight="1">
      <c r="A547" t="inlineStr">
        <is>
          <t>A 47385-2023</t>
        </is>
      </c>
      <c r="B547" t="inlineStr">
        <is>
          <t>avverkningsanmälan</t>
        </is>
      </c>
      <c r="C547" t="inlineStr">
        <is>
          <t>Avverkning för annat ändamål</t>
        </is>
      </c>
      <c r="D547" s="1" t="n">
        <v>45202</v>
      </c>
      <c r="E547" s="1" t="n">
        <v>46323</v>
      </c>
      <c r="F547" t="inlineStr">
        <is>
          <t>KALMAR LÄN</t>
        </is>
      </c>
      <c r="G547" t="inlineStr">
        <is>
          <t>TORSÅS</t>
        </is>
      </c>
      <c r="I547" t="n">
        <v>1.2</v>
      </c>
      <c r="J547" t="n">
        <v>3</v>
      </c>
      <c r="K547" t="n">
        <v>0</v>
      </c>
      <c r="L547" t="n">
        <v>1</v>
      </c>
      <c r="M547" t="n">
        <v>0</v>
      </c>
      <c r="N547" t="n">
        <v>0</v>
      </c>
      <c r="O547" t="n">
        <v>0</v>
      </c>
      <c r="P547" t="n">
        <v>0</v>
      </c>
      <c r="Q547" t="n">
        <v>1</v>
      </c>
      <c r="R547" t="n">
        <v>0</v>
      </c>
      <c r="S547" t="n">
        <v>3</v>
      </c>
      <c r="T547" t="n">
        <v>3</v>
      </c>
      <c r="U547" t="n">
        <v>0</v>
      </c>
      <c r="V547" s="2" t="inlineStr">
        <is>
          <t>Nordfladdermus
Större brunfladdermus
Trollpipistrell</t>
        </is>
      </c>
      <c r="W547">
        <f>HYPERLINK("https://klasma.github.io/Logging_0834/artfynd/A 47385-2023 artfynd.xlsx", "A 47385-2023")</f>
        <v/>
      </c>
      <c r="X547">
        <f>HYPERLINK("https://klasma.github.io/Logging_0834/kartor/A 47385-2023 karta.png", "A 47385-2023")</f>
        <v/>
      </c>
      <c r="Y547">
        <f>HYPERLINK("https://klasma.github.io/Logging_0834/kartor_geotiff/A 47385-2023 georefererad karta.tif", "A 47385-2023")</f>
        <v/>
      </c>
      <c r="AA547">
        <f>HYPERLINK("https://klasma.github.io/Logging_0834/klagomål/A 47385-2023 FSC-klagomål.docx", "A 47385-2023")</f>
        <v/>
      </c>
      <c r="AB547">
        <f>HYPERLINK("https://klasma.github.io/Logging_0834/klagomålsmail/A 47385-2023 FSC-klagomål mail.docx", "A 47385-2023")</f>
        <v/>
      </c>
      <c r="AC547">
        <f>HYPERLINK("https://klasma.github.io/Logging_0834/tillsyn/A 47385-2023 tillsynsbegäran.docx", "A 47385-2023")</f>
        <v/>
      </c>
      <c r="AD547">
        <f>HYPERLINK("https://klasma.github.io/Logging_0834/tillsynsmail/A 47385-2023 tillsynsbegäran mail.docx", "A 47385-2023")</f>
        <v/>
      </c>
    </row>
    <row r="548" ht="15" customHeight="1">
      <c r="A548" t="inlineStr">
        <is>
          <t>A 37498-2026</t>
        </is>
      </c>
      <c r="B548" t="inlineStr">
        <is>
          <t>avverkningsanmälan</t>
        </is>
      </c>
      <c r="C548" t="inlineStr">
        <is>
          <t>Föryngringsavverkning</t>
        </is>
      </c>
      <c r="D548" s="1" t="n">
        <v>46275</v>
      </c>
      <c r="E548" s="1" t="n">
        <v>46323</v>
      </c>
      <c r="F548" t="inlineStr">
        <is>
          <t>KALMAR LÄN</t>
        </is>
      </c>
      <c r="G548" t="inlineStr">
        <is>
          <t>MÖNSTERÅS</t>
        </is>
      </c>
      <c r="H548" t="inlineStr">
        <is>
          <t>Övriga Aktiebolag</t>
        </is>
      </c>
      <c r="I548" t="n">
        <v>4.2</v>
      </c>
      <c r="J548" t="n">
        <v>0</v>
      </c>
      <c r="K548" t="n">
        <v>1</v>
      </c>
      <c r="L548" t="n">
        <v>2</v>
      </c>
      <c r="M548" t="n">
        <v>0</v>
      </c>
      <c r="N548" t="n">
        <v>0</v>
      </c>
      <c r="O548" t="n">
        <v>0</v>
      </c>
      <c r="P548" t="n">
        <v>0</v>
      </c>
      <c r="Q548" t="n">
        <v>2</v>
      </c>
      <c r="R548" t="n">
        <v>0</v>
      </c>
      <c r="S548" t="n">
        <v>3</v>
      </c>
      <c r="T548" t="n">
        <v>5</v>
      </c>
      <c r="U548" t="n">
        <v>5</v>
      </c>
      <c r="V548" s="2" t="inlineStr">
        <is>
          <t>Vedflamlav
Vedskivlav
Kornknutmossa</t>
        </is>
      </c>
      <c r="W548">
        <f>HYPERLINK("https://klasma.github.io/Logging_0861/artfynd/A 37498-2026 artfynd.xlsx", "A 37498-2026")</f>
        <v/>
      </c>
      <c r="X548">
        <f>HYPERLINK("https://klasma.github.io/Logging_0861/kartor/A 37498-2026 karta.png", "A 37498-2026")</f>
        <v/>
      </c>
      <c r="Y548">
        <f>HYPERLINK("https://klasma.github.io/Logging_0861/kartor_geotiff/A 37498-2026 georefererad karta.tif", "A 37498-2026")</f>
        <v/>
      </c>
      <c r="AA548">
        <f>HYPERLINK("https://klasma.github.io/Logging_0861/klagomål/A 37498-2026 FSC-klagomål.docx", "A 37498-2026")</f>
        <v/>
      </c>
      <c r="AB548">
        <f>HYPERLINK("https://klasma.github.io/Logging_0861/klagomålsmail/A 37498-2026 FSC-klagomål mail.docx", "A 37498-2026")</f>
        <v/>
      </c>
      <c r="AC548">
        <f>HYPERLINK("https://klasma.github.io/Logging_0861/tillsyn/A 37498-2026 tillsynsbegäran.docx", "A 37498-2026")</f>
        <v/>
      </c>
      <c r="AD548">
        <f>HYPERLINK("https://klasma.github.io/Logging_0861/tillsynsmail/A 37498-2026 tillsynsbegäran mail.docx", "A 37498-2026")</f>
        <v/>
      </c>
    </row>
    <row r="549" ht="15" customHeight="1">
      <c r="A549" t="inlineStr">
        <is>
          <t>A 55060-2023</t>
        </is>
      </c>
      <c r="B549" t="inlineStr">
        <is>
          <t>avverkningsanmälan</t>
        </is>
      </c>
      <c r="C549" t="inlineStr">
        <is>
          <t>Föryngringsavverkning</t>
        </is>
      </c>
      <c r="D549" s="1" t="n">
        <v>45230</v>
      </c>
      <c r="E549" s="1" t="n">
        <v>46323</v>
      </c>
      <c r="F549" t="inlineStr">
        <is>
          <t>KALMAR LÄN</t>
        </is>
      </c>
      <c r="G549" t="inlineStr">
        <is>
          <t>HÖGSBY</t>
        </is>
      </c>
      <c r="I549" t="n">
        <v>3.6</v>
      </c>
      <c r="J549" t="n">
        <v>1</v>
      </c>
      <c r="K549" t="n">
        <v>1</v>
      </c>
      <c r="L549" t="n">
        <v>1</v>
      </c>
      <c r="M549" t="n">
        <v>0</v>
      </c>
      <c r="N549" t="n">
        <v>0</v>
      </c>
      <c r="O549" t="n">
        <v>0</v>
      </c>
      <c r="P549" t="n">
        <v>0</v>
      </c>
      <c r="Q549" t="n">
        <v>1</v>
      </c>
      <c r="R549" t="n">
        <v>0</v>
      </c>
      <c r="S549" t="n">
        <v>3</v>
      </c>
      <c r="T549" t="n">
        <v>6</v>
      </c>
      <c r="U549" t="n">
        <v>6</v>
      </c>
      <c r="V549" s="2" t="inlineStr">
        <is>
          <t>Tallticka
Blodticka
Spillkråka</t>
        </is>
      </c>
      <c r="W549">
        <f>HYPERLINK("https://klasma.github.io/Logging_0821/artfynd/A 55060-2023 artfynd.xlsx", "A 55060-2023")</f>
        <v/>
      </c>
      <c r="X549">
        <f>HYPERLINK("https://klasma.github.io/Logging_0821/kartor/A 55060-2023 karta.png", "A 55060-2023")</f>
        <v/>
      </c>
      <c r="Y549">
        <f>HYPERLINK("https://klasma.github.io/Logging_0821/kartor_geotiff/A 55060-2023 georefererad karta.tif", "A 55060-2023")</f>
        <v/>
      </c>
      <c r="AA549">
        <f>HYPERLINK("https://klasma.github.io/Logging_0821/klagomål/A 55060-2023 FSC-klagomål.docx", "A 55060-2023")</f>
        <v/>
      </c>
      <c r="AB549">
        <f>HYPERLINK("https://klasma.github.io/Logging_0821/klagomålsmail/A 55060-2023 FSC-klagomål mail.docx", "A 55060-2023")</f>
        <v/>
      </c>
      <c r="AC549">
        <f>HYPERLINK("https://klasma.github.io/Logging_0821/tillsyn/A 55060-2023 tillsynsbegäran.docx", "A 55060-2023")</f>
        <v/>
      </c>
      <c r="AD549">
        <f>HYPERLINK("https://klasma.github.io/Logging_0821/tillsynsmail/A 55060-2023 tillsynsbegäran mail.docx", "A 55060-2023")</f>
        <v/>
      </c>
      <c r="AE549">
        <f>HYPERLINK("https://klasma.github.io/Logging_0821/fåglar/A 55060-2023 prioriterade fågelarter.docx", "A 55060-2023")</f>
        <v/>
      </c>
    </row>
    <row r="550" ht="15" customHeight="1">
      <c r="A550" t="inlineStr">
        <is>
          <t>A 27708-2024</t>
        </is>
      </c>
      <c r="B550" t="inlineStr">
        <is>
          <t>avverkningsanmälan</t>
        </is>
      </c>
      <c r="C550" t="inlineStr">
        <is>
          <t>Föryngringsavverkning</t>
        </is>
      </c>
      <c r="D550" s="1" t="n">
        <v>45475</v>
      </c>
      <c r="E550" s="1" t="n">
        <v>46323</v>
      </c>
      <c r="F550" t="inlineStr">
        <is>
          <t>KALMAR LÄN</t>
        </is>
      </c>
      <c r="G550" t="inlineStr">
        <is>
          <t>VÄSTERVIK</t>
        </is>
      </c>
      <c r="H550" t="inlineStr">
        <is>
          <t>Holmen skog AB</t>
        </is>
      </c>
      <c r="I550" t="n">
        <v>1.7</v>
      </c>
      <c r="J550" t="n">
        <v>2</v>
      </c>
      <c r="K550" t="n">
        <v>0</v>
      </c>
      <c r="L550" t="n">
        <v>2</v>
      </c>
      <c r="M550" t="n">
        <v>0</v>
      </c>
      <c r="N550" t="n">
        <v>0</v>
      </c>
      <c r="O550" t="n">
        <v>0</v>
      </c>
      <c r="P550" t="n">
        <v>0</v>
      </c>
      <c r="Q550" t="n">
        <v>2</v>
      </c>
      <c r="R550" t="n">
        <v>0</v>
      </c>
      <c r="S550" t="n">
        <v>3</v>
      </c>
      <c r="T550" t="n">
        <v>4</v>
      </c>
      <c r="U550" t="n">
        <v>3</v>
      </c>
      <c r="V550" s="2" t="inlineStr">
        <is>
          <t>Ekticka
Mindre hackspett
Spillkråka</t>
        </is>
      </c>
      <c r="W550">
        <f>HYPERLINK("https://klasma.github.io/Logging_0883/artfynd/A 27708-2024 artfynd.xlsx", "A 27708-2024")</f>
        <v/>
      </c>
      <c r="X550">
        <f>HYPERLINK("https://klasma.github.io/Logging_0883/kartor/A 27708-2024 karta.png", "A 27708-2024")</f>
        <v/>
      </c>
      <c r="Y550">
        <f>HYPERLINK("https://klasma.github.io/Logging_0883/kartor_geotiff/A 27708-2024 georefererad karta.tif", "A 27708-2024")</f>
        <v/>
      </c>
      <c r="AA550">
        <f>HYPERLINK("https://klasma.github.io/Logging_0883/klagomål/A 27708-2024 FSC-klagomål.docx", "A 27708-2024")</f>
        <v/>
      </c>
      <c r="AB550">
        <f>HYPERLINK("https://klasma.github.io/Logging_0883/klagomålsmail/A 27708-2024 FSC-klagomål mail.docx", "A 27708-2024")</f>
        <v/>
      </c>
      <c r="AC550">
        <f>HYPERLINK("https://klasma.github.io/Logging_0883/tillsyn/A 27708-2024 tillsynsbegäran.docx", "A 27708-2024")</f>
        <v/>
      </c>
      <c r="AD550">
        <f>HYPERLINK("https://klasma.github.io/Logging_0883/tillsynsmail/A 27708-2024 tillsynsbegäran mail.docx", "A 27708-2024")</f>
        <v/>
      </c>
      <c r="AE550">
        <f>HYPERLINK("https://klasma.github.io/Logging_0883/fåglar/A 27708-2024 prioriterade fågelarter.docx", "A 27708-2024")</f>
        <v/>
      </c>
    </row>
    <row r="551" ht="15" customHeight="1">
      <c r="A551" t="inlineStr">
        <is>
          <t>A 26849-2026</t>
        </is>
      </c>
      <c r="B551" t="inlineStr">
        <is>
          <t>avverkningsanmälan</t>
        </is>
      </c>
      <c r="C551" t="inlineStr">
        <is>
          <t>Föryngringsavverkning</t>
        </is>
      </c>
      <c r="D551" s="1" t="n">
        <v>46185</v>
      </c>
      <c r="E551" s="1" t="n">
        <v>46323</v>
      </c>
      <c r="F551" t="inlineStr">
        <is>
          <t>KALMAR LÄN</t>
        </is>
      </c>
      <c r="G551" t="inlineStr">
        <is>
          <t>BORGHOLM</t>
        </is>
      </c>
      <c r="H551" t="inlineStr">
        <is>
          <t>Sveaskog</t>
        </is>
      </c>
      <c r="I551" t="n">
        <v>8.1</v>
      </c>
      <c r="J551" t="n">
        <v>2</v>
      </c>
      <c r="K551" t="n">
        <v>3</v>
      </c>
      <c r="L551" t="n">
        <v>0</v>
      </c>
      <c r="M551" t="n">
        <v>0</v>
      </c>
      <c r="N551" t="n">
        <v>0</v>
      </c>
      <c r="O551" t="n">
        <v>0</v>
      </c>
      <c r="P551" t="n">
        <v>0</v>
      </c>
      <c r="Q551" t="n">
        <v>0</v>
      </c>
      <c r="R551" t="n">
        <v>0</v>
      </c>
      <c r="S551" t="n">
        <v>3</v>
      </c>
      <c r="T551" t="n">
        <v>3</v>
      </c>
      <c r="U551" t="n">
        <v>0</v>
      </c>
      <c r="V551" s="2" t="inlineStr">
        <is>
          <t>Myskmadra
Purpurknipprot
Vit skogslilja</t>
        </is>
      </c>
      <c r="W551">
        <f>HYPERLINK("https://klasma.github.io/Logging_0885/artfynd/A 26849-2026 artfynd.xlsx", "A 26849-2026")</f>
        <v/>
      </c>
      <c r="X551">
        <f>HYPERLINK("https://klasma.github.io/Logging_0885/kartor/A 26849-2026 karta.png", "A 26849-2026")</f>
        <v/>
      </c>
      <c r="Y551">
        <f>HYPERLINK("https://klasma.github.io/Logging_0885/kartor_geotiff/A 26849-2026 georefererad karta.tif", "A 26849-2026")</f>
        <v/>
      </c>
      <c r="AA551">
        <f>HYPERLINK("https://klasma.github.io/Logging_0885/klagomål/A 26849-2026 FSC-klagomål.docx", "A 26849-2026")</f>
        <v/>
      </c>
      <c r="AB551">
        <f>HYPERLINK("https://klasma.github.io/Logging_0885/klagomålsmail/A 26849-2026 FSC-klagomål mail.docx", "A 26849-2026")</f>
        <v/>
      </c>
      <c r="AC551">
        <f>HYPERLINK("https://klasma.github.io/Logging_0885/tillsyn/A 26849-2026 tillsynsbegäran.docx", "A 26849-2026")</f>
        <v/>
      </c>
      <c r="AD551">
        <f>HYPERLINK("https://klasma.github.io/Logging_0885/tillsynsmail/A 26849-2026 tillsynsbegäran mail.docx", "A 26849-2026")</f>
        <v/>
      </c>
    </row>
    <row r="552" ht="15" customHeight="1">
      <c r="A552" t="inlineStr">
        <is>
          <t>A 27283-2026</t>
        </is>
      </c>
      <c r="B552" t="inlineStr">
        <is>
          <t>avverkningsanmälan</t>
        </is>
      </c>
      <c r="C552" t="inlineStr">
        <is>
          <t>Avverkning för att bevara och utveckla /försöksver</t>
        </is>
      </c>
      <c r="D552" s="1" t="n">
        <v>46188</v>
      </c>
      <c r="E552" s="1" t="n">
        <v>46323</v>
      </c>
      <c r="F552" t="inlineStr">
        <is>
          <t>KALMAR LÄN</t>
        </is>
      </c>
      <c r="G552" t="inlineStr">
        <is>
          <t>BORGHOLM</t>
        </is>
      </c>
      <c r="H552" t="inlineStr">
        <is>
          <t>Sveaskog</t>
        </is>
      </c>
      <c r="I552" t="n">
        <v>2</v>
      </c>
      <c r="J552" t="n">
        <v>1</v>
      </c>
      <c r="K552" t="n">
        <v>1</v>
      </c>
      <c r="L552" t="n">
        <v>1</v>
      </c>
      <c r="M552" t="n">
        <v>0</v>
      </c>
      <c r="N552" t="n">
        <v>1</v>
      </c>
      <c r="O552" t="n">
        <v>0</v>
      </c>
      <c r="P552" t="n">
        <v>0</v>
      </c>
      <c r="Q552" t="n">
        <v>2</v>
      </c>
      <c r="R552" t="n">
        <v>1</v>
      </c>
      <c r="S552" t="n">
        <v>3</v>
      </c>
      <c r="T552" t="n">
        <v>3</v>
      </c>
      <c r="U552" t="n">
        <v>0</v>
      </c>
      <c r="V552" s="2" t="inlineStr">
        <is>
          <t>Ask
Mindre poppelglasvinge
Skogsknipprot</t>
        </is>
      </c>
      <c r="W552">
        <f>HYPERLINK("https://klasma.github.io/Logging_0885/artfynd/A 27283-2026 artfynd.xlsx", "A 27283-2026")</f>
        <v/>
      </c>
      <c r="X552">
        <f>HYPERLINK("https://klasma.github.io/Logging_0885/kartor/A 27283-2026 karta.png", "A 27283-2026")</f>
        <v/>
      </c>
      <c r="Y552">
        <f>HYPERLINK("https://klasma.github.io/Logging_0885/kartor_geotiff/A 27283-2026 georefererad karta.tif", "A 27283-2026")</f>
        <v/>
      </c>
      <c r="AA552">
        <f>HYPERLINK("https://klasma.github.io/Logging_0885/klagomål/A 27283-2026 FSC-klagomål.docx", "A 27283-2026")</f>
        <v/>
      </c>
      <c r="AB552">
        <f>HYPERLINK("https://klasma.github.io/Logging_0885/klagomålsmail/A 27283-2026 FSC-klagomål mail.docx", "A 27283-2026")</f>
        <v/>
      </c>
      <c r="AC552">
        <f>HYPERLINK("https://klasma.github.io/Logging_0885/tillsyn/A 27283-2026 tillsynsbegäran.docx", "A 27283-2026")</f>
        <v/>
      </c>
      <c r="AD552">
        <f>HYPERLINK("https://klasma.github.io/Logging_0885/tillsynsmail/A 27283-2026 tillsynsbegäran mail.docx", "A 27283-2026")</f>
        <v/>
      </c>
    </row>
    <row r="553" ht="15" customHeight="1">
      <c r="A553" t="inlineStr">
        <is>
          <t>S 1114-2020</t>
        </is>
      </c>
      <c r="B553" t="inlineStr">
        <is>
          <t>samrådsanmälan</t>
        </is>
      </c>
      <c r="C553" t="inlineStr">
        <is>
          <t>Åtgärd i nyckelbiotop</t>
        </is>
      </c>
      <c r="D553" s="1" t="n">
        <v>43963</v>
      </c>
      <c r="E553" s="1" t="n">
        <v>46323</v>
      </c>
      <c r="F553" t="inlineStr">
        <is>
          <t>KALMAR LÄN</t>
        </is>
      </c>
      <c r="G553" t="inlineStr">
        <is>
          <t>OSKARSHAMN</t>
        </is>
      </c>
      <c r="I553" t="n">
        <v>9</v>
      </c>
      <c r="J553" t="n">
        <v>0</v>
      </c>
      <c r="K553" t="n">
        <v>1</v>
      </c>
      <c r="L553" t="n">
        <v>2</v>
      </c>
      <c r="M553" t="n">
        <v>0</v>
      </c>
      <c r="N553" t="n">
        <v>0</v>
      </c>
      <c r="O553" t="n">
        <v>0</v>
      </c>
      <c r="P553" t="n">
        <v>0</v>
      </c>
      <c r="Q553" t="n">
        <v>2</v>
      </c>
      <c r="R553" t="n">
        <v>0</v>
      </c>
      <c r="S553" t="n">
        <v>3</v>
      </c>
      <c r="T553" t="n">
        <v>6</v>
      </c>
      <c r="U553" t="n">
        <v>3</v>
      </c>
      <c r="V553" s="2" t="inlineStr">
        <is>
          <t>Ekticka
Rosa skärelav
Rostfläck</t>
        </is>
      </c>
      <c r="W553">
        <f>HYPERLINK("https://klasma.github.io/Logging_0882/artfynd/S 1114-2020 artfynd.xlsx", "S 1114-2020")</f>
        <v/>
      </c>
      <c r="X553">
        <f>HYPERLINK("https://klasma.github.io/Logging_0882/kartor/S 1114-2020 karta.png", "S 1114-2020")</f>
        <v/>
      </c>
      <c r="Y553">
        <f>HYPERLINK("https://klasma.github.io/Logging_0882/kartor_geotiff/S 1114-2020 georefererad karta.tif", "S 1114-2020")</f>
        <v/>
      </c>
      <c r="AA553">
        <f>HYPERLINK("https://klasma.github.io/Logging_0882/klagomål/S 1114-2020 FSC-klagomål.docx", "S 1114-2020")</f>
        <v/>
      </c>
      <c r="AB553">
        <f>HYPERLINK("https://klasma.github.io/Logging_0882/klagomålsmail/S 1114-2020 FSC-klagomål mail.docx", "S 1114-2020")</f>
        <v/>
      </c>
      <c r="AC553">
        <f>HYPERLINK("https://klasma.github.io/Logging_0882/tillsyn/S 1114-2020 tillsynsbegäran.docx", "S 1114-2020")</f>
        <v/>
      </c>
      <c r="AD553">
        <f>HYPERLINK("https://klasma.github.io/Logging_0882/tillsynsmail/S 1114-2020 tillsynsbegäran mail.docx", "S 1114-2020")</f>
        <v/>
      </c>
    </row>
    <row r="554" ht="15" customHeight="1">
      <c r="A554" t="inlineStr">
        <is>
          <t>S 507-2023</t>
        </is>
      </c>
      <c r="B554" t="inlineStr">
        <is>
          <t>samrådsanmälan</t>
        </is>
      </c>
      <c r="C554" t="inlineStr">
        <is>
          <t>Askåterföring</t>
        </is>
      </c>
      <c r="D554" s="1" t="n">
        <v>44966</v>
      </c>
      <c r="E554" s="1" t="n">
        <v>46323</v>
      </c>
      <c r="F554" t="inlineStr">
        <is>
          <t>KALMAR LÄN</t>
        </is>
      </c>
      <c r="G554" t="inlineStr">
        <is>
          <t>MÖNSTERÅS</t>
        </is>
      </c>
      <c r="I554" t="n">
        <v>46.1</v>
      </c>
      <c r="J554" t="n">
        <v>3</v>
      </c>
      <c r="K554" t="n">
        <v>0</v>
      </c>
      <c r="L554" t="n">
        <v>1</v>
      </c>
      <c r="M554" t="n">
        <v>0</v>
      </c>
      <c r="N554" t="n">
        <v>0</v>
      </c>
      <c r="O554" t="n">
        <v>0</v>
      </c>
      <c r="P554" t="n">
        <v>0</v>
      </c>
      <c r="Q554" t="n">
        <v>1</v>
      </c>
      <c r="R554" t="n">
        <v>0</v>
      </c>
      <c r="S554" t="n">
        <v>3</v>
      </c>
      <c r="T554" t="n">
        <v>4</v>
      </c>
      <c r="U554" t="n">
        <v>4</v>
      </c>
      <c r="V554" s="2" t="inlineStr">
        <is>
          <t>Skrattmås
Spillkråka
Trädlärka</t>
        </is>
      </c>
      <c r="W554">
        <f>HYPERLINK("https://klasma.github.io/Logging_0861/artfynd/S 507-2023 artfynd.xlsx", "S 507-2023")</f>
        <v/>
      </c>
      <c r="X554">
        <f>HYPERLINK("https://klasma.github.io/Logging_0861/kartor/S 507-2023 karta.png", "S 507-2023")</f>
        <v/>
      </c>
      <c r="Y554">
        <f>HYPERLINK("https://klasma.github.io/Logging_0861/kartor_geotiff/S 507-2023 georefererad karta.tif", "S 507-2023")</f>
        <v/>
      </c>
      <c r="AA554">
        <f>HYPERLINK("https://klasma.github.io/Logging_0861/klagomål/S 507-2023 FSC-klagomål.docx", "S 507-2023")</f>
        <v/>
      </c>
      <c r="AB554">
        <f>HYPERLINK("https://klasma.github.io/Logging_0861/klagomålsmail/S 507-2023 FSC-klagomål mail.docx", "S 507-2023")</f>
        <v/>
      </c>
      <c r="AC554">
        <f>HYPERLINK("https://klasma.github.io/Logging_0861/tillsyn/S 507-2023 tillsynsbegäran.docx", "S 507-2023")</f>
        <v/>
      </c>
      <c r="AD554">
        <f>HYPERLINK("https://klasma.github.io/Logging_0861/tillsynsmail/S 507-2023 tillsynsbegäran mail.docx", "S 507-2023")</f>
        <v/>
      </c>
      <c r="AE554">
        <f>HYPERLINK("https://klasma.github.io/Logging_0861/fåglar/S 507-2023 prioriterade fågelarter.docx", "S 507-2023")</f>
        <v/>
      </c>
    </row>
    <row r="555" ht="15" customHeight="1">
      <c r="A555" t="inlineStr">
        <is>
          <t>S 1125-2022</t>
        </is>
      </c>
      <c r="B555" t="inlineStr">
        <is>
          <t>samrådsanmälan</t>
        </is>
      </c>
      <c r="C555" t="inlineStr">
        <is>
          <t>Annan skogsbruksåtgärd</t>
        </is>
      </c>
      <c r="D555" s="1" t="n">
        <v>44616</v>
      </c>
      <c r="E555" s="1" t="n">
        <v>46323</v>
      </c>
      <c r="F555" t="inlineStr">
        <is>
          <t>KALMAR LÄN</t>
        </is>
      </c>
      <c r="G555" t="inlineStr">
        <is>
          <t>KALMAR</t>
        </is>
      </c>
      <c r="H555" t="inlineStr">
        <is>
          <t>Kyrkan</t>
        </is>
      </c>
      <c r="I555" t="n">
        <v>0.4</v>
      </c>
      <c r="J555" t="n">
        <v>1</v>
      </c>
      <c r="K555" t="n">
        <v>2</v>
      </c>
      <c r="L555" t="n">
        <v>0</v>
      </c>
      <c r="M555" t="n">
        <v>0</v>
      </c>
      <c r="N555" t="n">
        <v>0</v>
      </c>
      <c r="O555" t="n">
        <v>0</v>
      </c>
      <c r="P555" t="n">
        <v>0</v>
      </c>
      <c r="Q555" t="n">
        <v>0</v>
      </c>
      <c r="R555" t="n">
        <v>0</v>
      </c>
      <c r="S555" t="n">
        <v>3</v>
      </c>
      <c r="T555" t="n">
        <v>3</v>
      </c>
      <c r="U555" t="n">
        <v>0</v>
      </c>
      <c r="V555" s="2" t="inlineStr">
        <is>
          <t>Grå skärelav
Sotlav
Havsörn</t>
        </is>
      </c>
      <c r="W555">
        <f>HYPERLINK("https://klasma.github.io/Logging_0880/artfynd/S 1125-2022 artfynd.xlsx", "S 1125-2022")</f>
        <v/>
      </c>
      <c r="X555">
        <f>HYPERLINK("https://klasma.github.io/Logging_0880/kartor/S 1125-2022 karta.png", "S 1125-2022")</f>
        <v/>
      </c>
      <c r="Y555">
        <f>HYPERLINK("https://klasma.github.io/Logging_0880/kartor_geotiff/S 1125-2022 georefererad karta.tif", "S 1125-2022")</f>
        <v/>
      </c>
      <c r="AA555">
        <f>HYPERLINK("https://klasma.github.io/Logging_0880/klagomål/S 1125-2022 FSC-klagomål.docx", "S 1125-2022")</f>
        <v/>
      </c>
      <c r="AB555">
        <f>HYPERLINK("https://klasma.github.io/Logging_0880/klagomålsmail/S 1125-2022 FSC-klagomål mail.docx", "S 1125-2022")</f>
        <v/>
      </c>
      <c r="AC555">
        <f>HYPERLINK("https://klasma.github.io/Logging_0880/tillsyn/S 1125-2022 tillsynsbegäran.docx", "S 1125-2022")</f>
        <v/>
      </c>
      <c r="AD555">
        <f>HYPERLINK("https://klasma.github.io/Logging_0880/tillsynsmail/S 1125-2022 tillsynsbegäran mail.docx", "S 1125-2022")</f>
        <v/>
      </c>
      <c r="AE555">
        <f>HYPERLINK("https://klasma.github.io/Logging_0880/fåglar/S 1125-2022 prioriterade fågelarter.docx", "S 1125-2022")</f>
        <v/>
      </c>
    </row>
    <row r="556" ht="15" customHeight="1">
      <c r="A556" t="inlineStr">
        <is>
          <t>S 661-2022</t>
        </is>
      </c>
      <c r="B556" t="inlineStr">
        <is>
          <t>samrådsanmälan</t>
        </is>
      </c>
      <c r="C556" t="inlineStr">
        <is>
          <t>Askåterföring</t>
        </is>
      </c>
      <c r="D556" s="1" t="n">
        <v>44595</v>
      </c>
      <c r="E556" s="1" t="n">
        <v>46323</v>
      </c>
      <c r="F556" t="inlineStr">
        <is>
          <t>KALMAR LÄN</t>
        </is>
      </c>
      <c r="G556" t="inlineStr">
        <is>
          <t>KALMAR</t>
        </is>
      </c>
      <c r="I556" t="n">
        <v>19.8</v>
      </c>
      <c r="J556" t="n">
        <v>1</v>
      </c>
      <c r="K556" t="n">
        <v>1</v>
      </c>
      <c r="L556" t="n">
        <v>1</v>
      </c>
      <c r="M556" t="n">
        <v>0</v>
      </c>
      <c r="N556" t="n">
        <v>0</v>
      </c>
      <c r="O556" t="n">
        <v>0</v>
      </c>
      <c r="P556" t="n">
        <v>0</v>
      </c>
      <c r="Q556" t="n">
        <v>1</v>
      </c>
      <c r="R556" t="n">
        <v>0</v>
      </c>
      <c r="S556" t="n">
        <v>3</v>
      </c>
      <c r="T556" t="n">
        <v>3</v>
      </c>
      <c r="U556" t="n">
        <v>2</v>
      </c>
      <c r="V556" s="2" t="inlineStr">
        <is>
          <t>Svart skogssnigel
Åttafläckig praktbagge
Nattskärra</t>
        </is>
      </c>
      <c r="W556">
        <f>HYPERLINK("https://klasma.github.io/Logging_0880/artfynd/S 661-2022 artfynd.xlsx", "S 661-2022")</f>
        <v/>
      </c>
      <c r="X556">
        <f>HYPERLINK("https://klasma.github.io/Logging_0880/kartor/S 661-2022 karta.png", "S 661-2022")</f>
        <v/>
      </c>
      <c r="Y556">
        <f>HYPERLINK("https://klasma.github.io/Logging_0880/kartor_geotiff/S 661-2022 georefererad karta.tif", "S 661-2022")</f>
        <v/>
      </c>
      <c r="AA556">
        <f>HYPERLINK("https://klasma.github.io/Logging_0880/klagomål/S 661-2022 FSC-klagomål.docx", "S 661-2022")</f>
        <v/>
      </c>
      <c r="AB556">
        <f>HYPERLINK("https://klasma.github.io/Logging_0880/klagomålsmail/S 661-2022 FSC-klagomål mail.docx", "S 661-2022")</f>
        <v/>
      </c>
      <c r="AC556">
        <f>HYPERLINK("https://klasma.github.io/Logging_0880/tillsyn/S 661-2022 tillsynsbegäran.docx", "S 661-2022")</f>
        <v/>
      </c>
      <c r="AD556">
        <f>HYPERLINK("https://klasma.github.io/Logging_0880/tillsynsmail/S 661-2022 tillsynsbegäran mail.docx", "S 661-2022")</f>
        <v/>
      </c>
      <c r="AE556">
        <f>HYPERLINK("https://klasma.github.io/Logging_0880/fåglar/S 661-2022 prioriterade fågelarter.docx", "S 661-2022")</f>
        <v/>
      </c>
    </row>
    <row r="557" ht="15" customHeight="1">
      <c r="A557" t="inlineStr">
        <is>
          <t>S 2136-2024</t>
        </is>
      </c>
      <c r="B557" t="inlineStr">
        <is>
          <t>samrådsanmälan</t>
        </is>
      </c>
      <c r="C557" t="inlineStr">
        <is>
          <t>Annan skogsbruksåtgärd</t>
        </is>
      </c>
      <c r="D557" s="1" t="n">
        <v>45455</v>
      </c>
      <c r="E557" s="1" t="n">
        <v>46323</v>
      </c>
      <c r="F557" t="inlineStr">
        <is>
          <t>KALMAR LÄN</t>
        </is>
      </c>
      <c r="G557" t="inlineStr">
        <is>
          <t>VÄSTERVIK</t>
        </is>
      </c>
      <c r="H557" t="inlineStr">
        <is>
          <t>Kommuner</t>
        </is>
      </c>
      <c r="I557" t="n">
        <v>0.4</v>
      </c>
      <c r="J557" t="n">
        <v>1</v>
      </c>
      <c r="K557" t="n">
        <v>1</v>
      </c>
      <c r="L557" t="n">
        <v>1</v>
      </c>
      <c r="M557" t="n">
        <v>0</v>
      </c>
      <c r="N557" t="n">
        <v>0</v>
      </c>
      <c r="O557" t="n">
        <v>0</v>
      </c>
      <c r="P557" t="n">
        <v>0</v>
      </c>
      <c r="Q557" t="n">
        <v>1</v>
      </c>
      <c r="R557" t="n">
        <v>0</v>
      </c>
      <c r="S557" t="n">
        <v>3</v>
      </c>
      <c r="T557" t="n">
        <v>3</v>
      </c>
      <c r="U557" t="n">
        <v>0</v>
      </c>
      <c r="V557" s="2" t="inlineStr">
        <is>
          <t>Rosa skärelav
Fällmossa
Blåsippa</t>
        </is>
      </c>
      <c r="W557">
        <f>HYPERLINK("https://klasma.github.io/Logging_0883/artfynd/S 2136-2024 artfynd.xlsx", "S 2136-2024")</f>
        <v/>
      </c>
      <c r="X557">
        <f>HYPERLINK("https://klasma.github.io/Logging_0883/kartor/S 2136-2024 karta.png", "S 2136-2024")</f>
        <v/>
      </c>
      <c r="Y557">
        <f>HYPERLINK("https://klasma.github.io/Logging_0883/kartor_geotiff/S 2136-2024 georefererad karta.tif", "S 2136-2024")</f>
        <v/>
      </c>
      <c r="AA557">
        <f>HYPERLINK("https://klasma.github.io/Logging_0883/klagomål/S 2136-2024 FSC-klagomål.docx", "S 2136-2024")</f>
        <v/>
      </c>
      <c r="AB557">
        <f>HYPERLINK("https://klasma.github.io/Logging_0883/klagomålsmail/S 2136-2024 FSC-klagomål mail.docx", "S 2136-2024")</f>
        <v/>
      </c>
      <c r="AC557">
        <f>HYPERLINK("https://klasma.github.io/Logging_0883/tillsyn/S 2136-2024 tillsynsbegäran.docx", "S 2136-2024")</f>
        <v/>
      </c>
      <c r="AD557">
        <f>HYPERLINK("https://klasma.github.io/Logging_0883/tillsynsmail/S 2136-2024 tillsynsbegäran mail.docx", "S 2136-2024")</f>
        <v/>
      </c>
    </row>
    <row r="558" ht="15" customHeight="1">
      <c r="A558" t="inlineStr">
        <is>
          <t>S 3673-2024</t>
        </is>
      </c>
      <c r="B558" t="inlineStr">
        <is>
          <t>samrådsanmälan</t>
        </is>
      </c>
      <c r="C558" t="inlineStr">
        <is>
          <t>Annan skogsbruksåtgärd</t>
        </is>
      </c>
      <c r="D558" s="1" t="n">
        <v>45552</v>
      </c>
      <c r="E558" s="1" t="n">
        <v>46323</v>
      </c>
      <c r="F558" t="inlineStr">
        <is>
          <t>KALMAR LÄN</t>
        </is>
      </c>
      <c r="G558" t="inlineStr">
        <is>
          <t>VÄSTERVIK</t>
        </is>
      </c>
      <c r="H558" t="inlineStr">
        <is>
          <t>Kommuner</t>
        </is>
      </c>
      <c r="I558" t="n">
        <v>2.3</v>
      </c>
      <c r="J558" t="n">
        <v>0</v>
      </c>
      <c r="K558" t="n">
        <v>1</v>
      </c>
      <c r="L558" t="n">
        <v>2</v>
      </c>
      <c r="M558" t="n">
        <v>0</v>
      </c>
      <c r="N558" t="n">
        <v>0</v>
      </c>
      <c r="O558" t="n">
        <v>0</v>
      </c>
      <c r="P558" t="n">
        <v>0</v>
      </c>
      <c r="Q558" t="n">
        <v>2</v>
      </c>
      <c r="R558" t="n">
        <v>0</v>
      </c>
      <c r="S558" t="n">
        <v>3</v>
      </c>
      <c r="T558" t="n">
        <v>8</v>
      </c>
      <c r="U558" t="n">
        <v>2</v>
      </c>
      <c r="V558" s="2" t="inlineStr">
        <is>
          <t>Ekticka
Sprengelsbjörnbär
Lundvårlök</t>
        </is>
      </c>
      <c r="W558">
        <f>HYPERLINK("https://klasma.github.io/Logging_0883/artfynd/S 3673-2024 artfynd.xlsx", "S 3673-2024")</f>
        <v/>
      </c>
      <c r="X558">
        <f>HYPERLINK("https://klasma.github.io/Logging_0883/kartor/S 3673-2024 karta.png", "S 3673-2024")</f>
        <v/>
      </c>
      <c r="Y558">
        <f>HYPERLINK("https://klasma.github.io/Logging_0883/kartor_geotiff/S 3673-2024 georefererad karta.tif", "S 3673-2024")</f>
        <v/>
      </c>
      <c r="AA558">
        <f>HYPERLINK("https://klasma.github.io/Logging_0883/klagomål/S 3673-2024 FSC-klagomål.docx", "S 3673-2024")</f>
        <v/>
      </c>
      <c r="AB558">
        <f>HYPERLINK("https://klasma.github.io/Logging_0883/klagomålsmail/S 3673-2024 FSC-klagomål mail.docx", "S 3673-2024")</f>
        <v/>
      </c>
      <c r="AC558">
        <f>HYPERLINK("https://klasma.github.io/Logging_0883/tillsyn/S 3673-2024 tillsynsbegäran.docx", "S 3673-2024")</f>
        <v/>
      </c>
      <c r="AD558">
        <f>HYPERLINK("https://klasma.github.io/Logging_0883/tillsynsmail/S 3673-2024 tillsynsbegäran mail.docx", "S 3673-2024")</f>
        <v/>
      </c>
    </row>
    <row r="559" ht="15" customHeight="1">
      <c r="A559" t="inlineStr">
        <is>
          <t>S 9394-2021</t>
        </is>
      </c>
      <c r="B559" t="inlineStr">
        <is>
          <t>samrådsanmälan</t>
        </is>
      </c>
      <c r="C559" t="inlineStr">
        <is>
          <t>Annan skogsbruksåtgärd</t>
        </is>
      </c>
      <c r="D559" s="1" t="n">
        <v>44522</v>
      </c>
      <c r="E559" s="1" t="n">
        <v>46323</v>
      </c>
      <c r="F559" t="inlineStr">
        <is>
          <t>KALMAR LÄN</t>
        </is>
      </c>
      <c r="G559" t="inlineStr">
        <is>
          <t>VÄSTERVIK</t>
        </is>
      </c>
      <c r="I559" t="n">
        <v>5.6</v>
      </c>
      <c r="J559" t="n">
        <v>0</v>
      </c>
      <c r="K559" t="n">
        <v>0</v>
      </c>
      <c r="L559" t="n">
        <v>2</v>
      </c>
      <c r="M559" t="n">
        <v>1</v>
      </c>
      <c r="N559" t="n">
        <v>0</v>
      </c>
      <c r="O559" t="n">
        <v>0</v>
      </c>
      <c r="P559" t="n">
        <v>0</v>
      </c>
      <c r="Q559" t="n">
        <v>3</v>
      </c>
      <c r="R559" t="n">
        <v>1</v>
      </c>
      <c r="S559" t="n">
        <v>3</v>
      </c>
      <c r="T559" t="n">
        <v>3</v>
      </c>
      <c r="U559" t="n">
        <v>2</v>
      </c>
      <c r="V559" s="2" t="inlineStr">
        <is>
          <t>Lungrot
Korskovall
Slåtterfibbla</t>
        </is>
      </c>
      <c r="W559">
        <f>HYPERLINK("https://klasma.github.io/Logging_0883/artfynd/S 9394-2021 artfynd.xlsx", "S 9394-2021")</f>
        <v/>
      </c>
      <c r="X559">
        <f>HYPERLINK("https://klasma.github.io/Logging_0883/kartor/S 9394-2021 karta.png", "S 9394-2021")</f>
        <v/>
      </c>
      <c r="Y559">
        <f>HYPERLINK("https://klasma.github.io/Logging_0883/kartor_geotiff/S 9394-2021 georefererad karta.tif", "S 9394-2021")</f>
        <v/>
      </c>
      <c r="AA559">
        <f>HYPERLINK("https://klasma.github.io/Logging_0883/klagomål/S 9394-2021 FSC-klagomål.docx", "S 9394-2021")</f>
        <v/>
      </c>
      <c r="AB559">
        <f>HYPERLINK("https://klasma.github.io/Logging_0883/klagomålsmail/S 9394-2021 FSC-klagomål mail.docx", "S 9394-2021")</f>
        <v/>
      </c>
      <c r="AC559">
        <f>HYPERLINK("https://klasma.github.io/Logging_0883/tillsyn/S 9394-2021 tillsynsbegäran.docx", "S 9394-2021")</f>
        <v/>
      </c>
      <c r="AD559">
        <f>HYPERLINK("https://klasma.github.io/Logging_0883/tillsynsmail/S 9394-2021 tillsynsbegäran mail.docx", "S 9394-2021")</f>
        <v/>
      </c>
    </row>
    <row r="560" ht="15" customHeight="1">
      <c r="A560" t="inlineStr">
        <is>
          <t>S 532-2023</t>
        </is>
      </c>
      <c r="B560" t="inlineStr">
        <is>
          <t>samrådsanmälan</t>
        </is>
      </c>
      <c r="C560" t="inlineStr">
        <is>
          <t>Annan skogsbruksåtgärd</t>
        </is>
      </c>
      <c r="D560" s="1" t="n">
        <v>44967</v>
      </c>
      <c r="E560" s="1" t="n">
        <v>46323</v>
      </c>
      <c r="F560" t="inlineStr">
        <is>
          <t>KALMAR LÄN</t>
        </is>
      </c>
      <c r="G560" t="inlineStr">
        <is>
          <t>MÖNSTERÅS</t>
        </is>
      </c>
      <c r="I560" t="n">
        <v>1</v>
      </c>
      <c r="J560" t="n">
        <v>0</v>
      </c>
      <c r="K560" t="n">
        <v>2</v>
      </c>
      <c r="L560" t="n">
        <v>0</v>
      </c>
      <c r="M560" t="n">
        <v>1</v>
      </c>
      <c r="N560" t="n">
        <v>0</v>
      </c>
      <c r="O560" t="n">
        <v>0</v>
      </c>
      <c r="P560" t="n">
        <v>0</v>
      </c>
      <c r="Q560" t="n">
        <v>1</v>
      </c>
      <c r="R560" t="n">
        <v>1</v>
      </c>
      <c r="S560" t="n">
        <v>3</v>
      </c>
      <c r="T560" t="n">
        <v>7</v>
      </c>
      <c r="U560" t="n">
        <v>0</v>
      </c>
      <c r="V560" s="2" t="inlineStr">
        <is>
          <t>Matt mjölbagge
Bokoxe
Tvåfläckig praktbagge</t>
        </is>
      </c>
      <c r="W560">
        <f>HYPERLINK("https://klasma.github.io/Logging_0861/artfynd/S 532-2023 artfynd.xlsx", "S 532-2023")</f>
        <v/>
      </c>
      <c r="X560">
        <f>HYPERLINK("https://klasma.github.io/Logging_0861/kartor/S 532-2023 karta.png", "S 532-2023")</f>
        <v/>
      </c>
      <c r="Y560">
        <f>HYPERLINK("https://klasma.github.io/Logging_0861/kartor_geotiff/S 532-2023 georefererad karta.tif", "S 532-2023")</f>
        <v/>
      </c>
      <c r="AA560">
        <f>HYPERLINK("https://klasma.github.io/Logging_0861/klagomål/S 532-2023 FSC-klagomål.docx", "S 532-2023")</f>
        <v/>
      </c>
      <c r="AB560">
        <f>HYPERLINK("https://klasma.github.io/Logging_0861/klagomålsmail/S 532-2023 FSC-klagomål mail.docx", "S 532-2023")</f>
        <v/>
      </c>
      <c r="AC560">
        <f>HYPERLINK("https://klasma.github.io/Logging_0861/tillsyn/S 532-2023 tillsynsbegäran.docx", "S 532-2023")</f>
        <v/>
      </c>
      <c r="AD560">
        <f>HYPERLINK("https://klasma.github.io/Logging_0861/tillsynsmail/S 532-2023 tillsynsbegäran mail.docx", "S 532-2023")</f>
        <v/>
      </c>
    </row>
    <row r="561" ht="15" customHeight="1">
      <c r="A561" t="inlineStr">
        <is>
          <t>S 3227-2024</t>
        </is>
      </c>
      <c r="B561" t="inlineStr">
        <is>
          <t>samrådsanmälan</t>
        </is>
      </c>
      <c r="C561" t="inlineStr">
        <is>
          <t>Askåterföring</t>
        </is>
      </c>
      <c r="D561" s="1" t="n">
        <v>45525</v>
      </c>
      <c r="E561" s="1" t="n">
        <v>46323</v>
      </c>
      <c r="F561" t="inlineStr">
        <is>
          <t>KALMAR LÄN</t>
        </is>
      </c>
      <c r="G561" t="inlineStr">
        <is>
          <t>MÖNSTERÅS</t>
        </is>
      </c>
      <c r="I561" t="n">
        <v>12.2</v>
      </c>
      <c r="J561" t="n">
        <v>0</v>
      </c>
      <c r="K561" t="n">
        <v>3</v>
      </c>
      <c r="L561" t="n">
        <v>0</v>
      </c>
      <c r="M561" t="n">
        <v>0</v>
      </c>
      <c r="N561" t="n">
        <v>0</v>
      </c>
      <c r="O561" t="n">
        <v>0</v>
      </c>
      <c r="P561" t="n">
        <v>0</v>
      </c>
      <c r="Q561" t="n">
        <v>0</v>
      </c>
      <c r="R561" t="n">
        <v>0</v>
      </c>
      <c r="S561" t="n">
        <v>3</v>
      </c>
      <c r="T561" t="n">
        <v>3</v>
      </c>
      <c r="U561" t="n">
        <v>0</v>
      </c>
      <c r="V561" s="2" t="inlineStr">
        <is>
          <t>Björksplintborre
Bronshjon
Vågbandad barkbock</t>
        </is>
      </c>
      <c r="W561">
        <f>HYPERLINK("https://klasma.github.io/Logging_0861/artfynd/S 3227-2024 artfynd.xlsx", "S 3227-2024")</f>
        <v/>
      </c>
      <c r="X561">
        <f>HYPERLINK("https://klasma.github.io/Logging_0861/kartor/S 3227-2024 karta.png", "S 3227-2024")</f>
        <v/>
      </c>
      <c r="Y561">
        <f>HYPERLINK("https://klasma.github.io/Logging_0861/kartor_geotiff/S 3227-2024 georefererad karta.tif", "S 3227-2024")</f>
        <v/>
      </c>
      <c r="AA561">
        <f>HYPERLINK("https://klasma.github.io/Logging_0861/klagomål/S 3227-2024 FSC-klagomål.docx", "S 3227-2024")</f>
        <v/>
      </c>
      <c r="AB561">
        <f>HYPERLINK("https://klasma.github.io/Logging_0861/klagomålsmail/S 3227-2024 FSC-klagomål mail.docx", "S 3227-2024")</f>
        <v/>
      </c>
      <c r="AC561">
        <f>HYPERLINK("https://klasma.github.io/Logging_0861/tillsyn/S 3227-2024 tillsynsbegäran.docx", "S 3227-2024")</f>
        <v/>
      </c>
      <c r="AD561">
        <f>HYPERLINK("https://klasma.github.io/Logging_0861/tillsynsmail/S 3227-2024 tillsynsbegäran mail.docx", "S 3227-2024")</f>
        <v/>
      </c>
    </row>
    <row r="562" ht="15" customHeight="1">
      <c r="A562" t="inlineStr">
        <is>
          <t>S 2901-2024</t>
        </is>
      </c>
      <c r="B562" t="inlineStr">
        <is>
          <t>samrådsanmälan</t>
        </is>
      </c>
      <c r="C562" t="inlineStr">
        <is>
          <t>Askåterföring</t>
        </is>
      </c>
      <c r="D562" s="1" t="n">
        <v>45503</v>
      </c>
      <c r="E562" s="1" t="n">
        <v>46323</v>
      </c>
      <c r="F562" t="inlineStr">
        <is>
          <t>KALMAR LÄN</t>
        </is>
      </c>
      <c r="G562" t="inlineStr">
        <is>
          <t>VÄSTERVIK</t>
        </is>
      </c>
      <c r="I562" t="n">
        <v>26.3</v>
      </c>
      <c r="J562" t="n">
        <v>2</v>
      </c>
      <c r="K562" t="n">
        <v>1</v>
      </c>
      <c r="L562" t="n">
        <v>0</v>
      </c>
      <c r="M562" t="n">
        <v>0</v>
      </c>
      <c r="N562" t="n">
        <v>1</v>
      </c>
      <c r="O562" t="n">
        <v>0</v>
      </c>
      <c r="P562" t="n">
        <v>0</v>
      </c>
      <c r="Q562" t="n">
        <v>1</v>
      </c>
      <c r="R562" t="n">
        <v>1</v>
      </c>
      <c r="S562" t="n">
        <v>3</v>
      </c>
      <c r="T562" t="n">
        <v>3</v>
      </c>
      <c r="U562" t="n">
        <v>2</v>
      </c>
      <c r="V562" s="2" t="inlineStr">
        <is>
          <t>Kornknarr
Scharlakansskål
Lopplummer (aggregat)</t>
        </is>
      </c>
      <c r="W562">
        <f>HYPERLINK("https://klasma.github.io/Logging_0883/artfynd/S 2901-2024 artfynd.xlsx", "S 2901-2024")</f>
        <v/>
      </c>
      <c r="X562">
        <f>HYPERLINK("https://klasma.github.io/Logging_0883/kartor/S 2901-2024 karta.png", "S 2901-2024")</f>
        <v/>
      </c>
      <c r="Y562">
        <f>HYPERLINK("https://klasma.github.io/Logging_0883/kartor_geotiff/S 2901-2024 georefererad karta.tif", "S 2901-2024")</f>
        <v/>
      </c>
      <c r="AA562">
        <f>HYPERLINK("https://klasma.github.io/Logging_0883/klagomål/S 2901-2024 FSC-klagomål.docx", "S 2901-2024")</f>
        <v/>
      </c>
      <c r="AB562">
        <f>HYPERLINK("https://klasma.github.io/Logging_0883/klagomålsmail/S 2901-2024 FSC-klagomål mail.docx", "S 2901-2024")</f>
        <v/>
      </c>
      <c r="AC562">
        <f>HYPERLINK("https://klasma.github.io/Logging_0883/tillsyn/S 2901-2024 tillsynsbegäran.docx", "S 2901-2024")</f>
        <v/>
      </c>
      <c r="AD562">
        <f>HYPERLINK("https://klasma.github.io/Logging_0883/tillsynsmail/S 2901-2024 tillsynsbegäran mail.docx", "S 2901-2024")</f>
        <v/>
      </c>
    </row>
    <row r="563" ht="15" customHeight="1">
      <c r="A563" t="inlineStr">
        <is>
          <t>S 357-2024</t>
        </is>
      </c>
      <c r="B563" t="inlineStr">
        <is>
          <t>samrådsanmälan</t>
        </is>
      </c>
      <c r="C563" t="inlineStr">
        <is>
          <t>Askåterföring</t>
        </is>
      </c>
      <c r="D563" s="1" t="n">
        <v>45330</v>
      </c>
      <c r="E563" s="1" t="n">
        <v>46323</v>
      </c>
      <c r="F563" t="inlineStr">
        <is>
          <t>KALMAR LÄN</t>
        </is>
      </c>
      <c r="G563" t="inlineStr">
        <is>
          <t>EMMABODA</t>
        </is>
      </c>
      <c r="I563" t="n">
        <v>44.9</v>
      </c>
      <c r="J563" t="n">
        <v>0</v>
      </c>
      <c r="K563" t="n">
        <v>0</v>
      </c>
      <c r="L563" t="n">
        <v>3</v>
      </c>
      <c r="M563" t="n">
        <v>0</v>
      </c>
      <c r="N563" t="n">
        <v>0</v>
      </c>
      <c r="O563" t="n">
        <v>0</v>
      </c>
      <c r="P563" t="n">
        <v>0</v>
      </c>
      <c r="Q563" t="n">
        <v>3</v>
      </c>
      <c r="R563" t="n">
        <v>0</v>
      </c>
      <c r="S563" t="n">
        <v>3</v>
      </c>
      <c r="T563" t="n">
        <v>3</v>
      </c>
      <c r="U563" t="n">
        <v>3</v>
      </c>
      <c r="V563" s="2" t="inlineStr">
        <is>
          <t>Jungfrulin
Solvända
Vårstarr</t>
        </is>
      </c>
      <c r="W563">
        <f>HYPERLINK("https://klasma.github.io/Logging_0862/artfynd/S 357-2024 artfynd.xlsx", "S 357-2024")</f>
        <v/>
      </c>
      <c r="X563">
        <f>HYPERLINK("https://klasma.github.io/Logging_0862/kartor/S 357-2024 karta.png", "S 357-2024")</f>
        <v/>
      </c>
      <c r="Y563">
        <f>HYPERLINK("https://klasma.github.io/Logging_0862/kartor_geotiff/S 357-2024 georefererad karta.tif", "S 357-2024")</f>
        <v/>
      </c>
      <c r="AA563">
        <f>HYPERLINK("https://klasma.github.io/Logging_0862/klagomål/S 357-2024 FSC-klagomål.docx", "S 357-2024")</f>
        <v/>
      </c>
      <c r="AB563">
        <f>HYPERLINK("https://klasma.github.io/Logging_0862/klagomålsmail/S 357-2024 FSC-klagomål mail.docx", "S 357-2024")</f>
        <v/>
      </c>
      <c r="AC563">
        <f>HYPERLINK("https://klasma.github.io/Logging_0862/tillsyn/S 357-2024 tillsynsbegäran.docx", "S 357-2024")</f>
        <v/>
      </c>
      <c r="AD563">
        <f>HYPERLINK("https://klasma.github.io/Logging_0862/tillsynsmail/S 357-2024 tillsynsbegäran mail.docx", "S 357-2024")</f>
        <v/>
      </c>
    </row>
    <row r="564" ht="15" customHeight="1">
      <c r="A564" t="inlineStr">
        <is>
          <t>S 356-2024</t>
        </is>
      </c>
      <c r="B564" t="inlineStr">
        <is>
          <t>samrådsanmälan</t>
        </is>
      </c>
      <c r="C564" t="inlineStr">
        <is>
          <t>Askåterföring</t>
        </is>
      </c>
      <c r="D564" s="1" t="n">
        <v>45330</v>
      </c>
      <c r="E564" s="1" t="n">
        <v>46323</v>
      </c>
      <c r="F564" t="inlineStr">
        <is>
          <t>KALMAR LÄN</t>
        </is>
      </c>
      <c r="G564" t="inlineStr">
        <is>
          <t>TORSÅS</t>
        </is>
      </c>
      <c r="I564" t="n">
        <v>34.4</v>
      </c>
      <c r="J564" t="n">
        <v>0</v>
      </c>
      <c r="K564" t="n">
        <v>0</v>
      </c>
      <c r="L564" t="n">
        <v>2</v>
      </c>
      <c r="M564" t="n">
        <v>1</v>
      </c>
      <c r="N564" t="n">
        <v>0</v>
      </c>
      <c r="O564" t="n">
        <v>0</v>
      </c>
      <c r="P564" t="n">
        <v>0</v>
      </c>
      <c r="Q564" t="n">
        <v>3</v>
      </c>
      <c r="R564" t="n">
        <v>1</v>
      </c>
      <c r="S564" t="n">
        <v>3</v>
      </c>
      <c r="T564" t="n">
        <v>3</v>
      </c>
      <c r="U564" t="n">
        <v>3</v>
      </c>
      <c r="V564" s="2" t="inlineStr">
        <is>
          <t>Slåttergubbe
Jungfrulin
Solvända</t>
        </is>
      </c>
      <c r="W564">
        <f>HYPERLINK("https://klasma.github.io/Logging_0834/artfynd/S 356-2024 artfynd.xlsx", "S 356-2024")</f>
        <v/>
      </c>
      <c r="X564">
        <f>HYPERLINK("https://klasma.github.io/Logging_0834/kartor/S 356-2024 karta.png", "S 356-2024")</f>
        <v/>
      </c>
      <c r="Y564">
        <f>HYPERLINK("https://klasma.github.io/Logging_0834/kartor_geotiff/S 356-2024 georefererad karta.tif", "S 356-2024")</f>
        <v/>
      </c>
      <c r="AA564">
        <f>HYPERLINK("https://klasma.github.io/Logging_0834/klagomål/S 356-2024 FSC-klagomål.docx", "S 356-2024")</f>
        <v/>
      </c>
      <c r="AB564">
        <f>HYPERLINK("https://klasma.github.io/Logging_0834/klagomålsmail/S 356-2024 FSC-klagomål mail.docx", "S 356-2024")</f>
        <v/>
      </c>
      <c r="AC564">
        <f>HYPERLINK("https://klasma.github.io/Logging_0834/tillsyn/S 356-2024 tillsynsbegäran.docx", "S 356-2024")</f>
        <v/>
      </c>
      <c r="AD564">
        <f>HYPERLINK("https://klasma.github.io/Logging_0834/tillsynsmail/S 356-2024 tillsynsbegäran mail.docx", "S 356-2024")</f>
        <v/>
      </c>
    </row>
    <row r="565" ht="15" customHeight="1">
      <c r="A565" t="inlineStr">
        <is>
          <t>S 620-2024</t>
        </is>
      </c>
      <c r="B565" t="inlineStr">
        <is>
          <t>samrådsanmälan</t>
        </is>
      </c>
      <c r="C565" t="inlineStr">
        <is>
          <t>Annan skogsbruksåtgärd</t>
        </is>
      </c>
      <c r="D565" s="1" t="n">
        <v>45352</v>
      </c>
      <c r="E565" s="1" t="n">
        <v>46323</v>
      </c>
      <c r="F565" t="inlineStr">
        <is>
          <t>KALMAR LÄN</t>
        </is>
      </c>
      <c r="G565" t="inlineStr">
        <is>
          <t>HÖGSBY</t>
        </is>
      </c>
      <c r="I565" t="n">
        <v>14</v>
      </c>
      <c r="J565" t="n">
        <v>0</v>
      </c>
      <c r="K565" t="n">
        <v>2</v>
      </c>
      <c r="L565" t="n">
        <v>1</v>
      </c>
      <c r="M565" t="n">
        <v>0</v>
      </c>
      <c r="N565" t="n">
        <v>0</v>
      </c>
      <c r="O565" t="n">
        <v>0</v>
      </c>
      <c r="P565" t="n">
        <v>0</v>
      </c>
      <c r="Q565" t="n">
        <v>1</v>
      </c>
      <c r="R565" t="n">
        <v>0</v>
      </c>
      <c r="S565" t="n">
        <v>3</v>
      </c>
      <c r="T565" t="n">
        <v>3</v>
      </c>
      <c r="U565" t="n">
        <v>2</v>
      </c>
      <c r="V565" s="2" t="inlineStr">
        <is>
          <t>Större flatbagge
Fällmossa
Jättesvampmal</t>
        </is>
      </c>
      <c r="W565">
        <f>HYPERLINK("https://klasma.github.io/Logging_0821/artfynd/S 620-2024 artfynd.xlsx", "S 620-2024")</f>
        <v/>
      </c>
      <c r="X565">
        <f>HYPERLINK("https://klasma.github.io/Logging_0821/kartor/S 620-2024 karta.png", "S 620-2024")</f>
        <v/>
      </c>
      <c r="Y565">
        <f>HYPERLINK("https://klasma.github.io/Logging_0821/kartor_geotiff/S 620-2024 georefererad karta.tif", "S 620-2024")</f>
        <v/>
      </c>
      <c r="AA565">
        <f>HYPERLINK("https://klasma.github.io/Logging_0821/klagomål/S 620-2024 FSC-klagomål.docx", "S 620-2024")</f>
        <v/>
      </c>
      <c r="AB565">
        <f>HYPERLINK("https://klasma.github.io/Logging_0821/klagomålsmail/S 620-2024 FSC-klagomål mail.docx", "S 620-2024")</f>
        <v/>
      </c>
      <c r="AC565">
        <f>HYPERLINK("https://klasma.github.io/Logging_0821/tillsyn/S 620-2024 tillsynsbegäran.docx", "S 620-2024")</f>
        <v/>
      </c>
      <c r="AD565">
        <f>HYPERLINK("https://klasma.github.io/Logging_0821/tillsynsmail/S 620-2024 tillsynsbegäran mail.docx", "S 620-2024")</f>
        <v/>
      </c>
    </row>
    <row r="566" ht="15" customHeight="1">
      <c r="A566" t="inlineStr">
        <is>
          <t>S 692-2024</t>
        </is>
      </c>
      <c r="B566" t="inlineStr">
        <is>
          <t>samrådsanmälan</t>
        </is>
      </c>
      <c r="C566" t="inlineStr">
        <is>
          <t>Askåterföring</t>
        </is>
      </c>
      <c r="D566" s="1" t="n">
        <v>45359</v>
      </c>
      <c r="E566" s="1" t="n">
        <v>46323</v>
      </c>
      <c r="F566" t="inlineStr">
        <is>
          <t>KALMAR LÄN</t>
        </is>
      </c>
      <c r="G566" t="inlineStr">
        <is>
          <t>EMMABODA</t>
        </is>
      </c>
      <c r="I566" t="n">
        <v>16.6</v>
      </c>
      <c r="J566" t="n">
        <v>1</v>
      </c>
      <c r="K566" t="n">
        <v>1</v>
      </c>
      <c r="L566" t="n">
        <v>0</v>
      </c>
      <c r="M566" t="n">
        <v>2</v>
      </c>
      <c r="N566" t="n">
        <v>0</v>
      </c>
      <c r="O566" t="n">
        <v>0</v>
      </c>
      <c r="P566" t="n">
        <v>0</v>
      </c>
      <c r="Q566" t="n">
        <v>2</v>
      </c>
      <c r="R566" t="n">
        <v>2</v>
      </c>
      <c r="S566" t="n">
        <v>3</v>
      </c>
      <c r="T566" t="n">
        <v>3</v>
      </c>
      <c r="U566" t="n">
        <v>2</v>
      </c>
      <c r="V566" s="2" t="inlineStr">
        <is>
          <t>Violett fingersvamp
Åkerrättika
Skogsknipprot</t>
        </is>
      </c>
      <c r="W566">
        <f>HYPERLINK("https://klasma.github.io/Logging_0862/artfynd/S 692-2024 artfynd.xlsx", "S 692-2024")</f>
        <v/>
      </c>
      <c r="X566">
        <f>HYPERLINK("https://klasma.github.io/Logging_0862/kartor/S 692-2024 karta.png", "S 692-2024")</f>
        <v/>
      </c>
      <c r="Y566">
        <f>HYPERLINK("https://klasma.github.io/Logging_0862/kartor_geotiff/S 692-2024 georefererad karta.tif", "S 692-2024")</f>
        <v/>
      </c>
      <c r="AA566">
        <f>HYPERLINK("https://klasma.github.io/Logging_0862/klagomål/S 692-2024 FSC-klagomål.docx", "S 692-2024")</f>
        <v/>
      </c>
      <c r="AB566">
        <f>HYPERLINK("https://klasma.github.io/Logging_0862/klagomålsmail/S 692-2024 FSC-klagomål mail.docx", "S 692-2024")</f>
        <v/>
      </c>
      <c r="AC566">
        <f>HYPERLINK("https://klasma.github.io/Logging_0862/tillsyn/S 692-2024 tillsynsbegäran.docx", "S 692-2024")</f>
        <v/>
      </c>
      <c r="AD566">
        <f>HYPERLINK("https://klasma.github.io/Logging_0862/tillsynsmail/S 692-2024 tillsynsbegäran mail.docx", "S 692-2024")</f>
        <v/>
      </c>
    </row>
    <row r="567" ht="15" customHeight="1">
      <c r="A567" t="inlineStr">
        <is>
          <t>S 1450-2024</t>
        </is>
      </c>
      <c r="B567" t="inlineStr">
        <is>
          <t>samrådsanmälan</t>
        </is>
      </c>
      <c r="C567" t="inlineStr">
        <is>
          <t>Annan skogsbruksåtgärd</t>
        </is>
      </c>
      <c r="D567" s="1" t="n">
        <v>45418</v>
      </c>
      <c r="E567" s="1" t="n">
        <v>46323</v>
      </c>
      <c r="F567" t="inlineStr">
        <is>
          <t>KALMAR LÄN</t>
        </is>
      </c>
      <c r="G567" t="inlineStr">
        <is>
          <t>VÄSTERVIK</t>
        </is>
      </c>
      <c r="I567" t="n">
        <v>6.1</v>
      </c>
      <c r="J567" t="n">
        <v>0</v>
      </c>
      <c r="K567" t="n">
        <v>0</v>
      </c>
      <c r="L567" t="n">
        <v>3</v>
      </c>
      <c r="M567" t="n">
        <v>0</v>
      </c>
      <c r="N567" t="n">
        <v>0</v>
      </c>
      <c r="O567" t="n">
        <v>0</v>
      </c>
      <c r="P567" t="n">
        <v>0</v>
      </c>
      <c r="Q567" t="n">
        <v>3</v>
      </c>
      <c r="R567" t="n">
        <v>0</v>
      </c>
      <c r="S567" t="n">
        <v>3</v>
      </c>
      <c r="T567" t="n">
        <v>4</v>
      </c>
      <c r="U567" t="n">
        <v>0</v>
      </c>
      <c r="V567" s="2" t="inlineStr">
        <is>
          <t>Lunglav
Sårläka
Vårärt</t>
        </is>
      </c>
      <c r="W567">
        <f>HYPERLINK("https://klasma.github.io/Logging_0883/artfynd/S 1450-2024 artfynd.xlsx", "S 1450-2024")</f>
        <v/>
      </c>
      <c r="X567">
        <f>HYPERLINK("https://klasma.github.io/Logging_0883/kartor/S 1450-2024 karta.png", "S 1450-2024")</f>
        <v/>
      </c>
      <c r="Y567">
        <f>HYPERLINK("https://klasma.github.io/Logging_0883/kartor_geotiff/S 1450-2024 georefererad karta.tif", "S 1450-2024")</f>
        <v/>
      </c>
      <c r="AA567">
        <f>HYPERLINK("https://klasma.github.io/Logging_0883/klagomål/S 1450-2024 FSC-klagomål.docx", "S 1450-2024")</f>
        <v/>
      </c>
      <c r="AB567">
        <f>HYPERLINK("https://klasma.github.io/Logging_0883/klagomålsmail/S 1450-2024 FSC-klagomål mail.docx", "S 1450-2024")</f>
        <v/>
      </c>
      <c r="AC567">
        <f>HYPERLINK("https://klasma.github.io/Logging_0883/tillsyn/S 1450-2024 tillsynsbegäran.docx", "S 1450-2024")</f>
        <v/>
      </c>
      <c r="AD567">
        <f>HYPERLINK("https://klasma.github.io/Logging_0883/tillsynsmail/S 1450-2024 tillsynsbegäran mail.docx", "S 1450-2024")</f>
        <v/>
      </c>
    </row>
    <row r="568" ht="15" customHeight="1">
      <c r="A568" t="inlineStr">
        <is>
          <t>S 945-2024</t>
        </is>
      </c>
      <c r="B568" t="inlineStr">
        <is>
          <t>samrådsanmälan</t>
        </is>
      </c>
      <c r="C568" t="inlineStr">
        <is>
          <t>Annan skogsbruksåtgärd</t>
        </is>
      </c>
      <c r="D568" s="1" t="n">
        <v>45378</v>
      </c>
      <c r="E568" s="1" t="n">
        <v>46323</v>
      </c>
      <c r="F568" t="inlineStr">
        <is>
          <t>KALMAR LÄN</t>
        </is>
      </c>
      <c r="G568" t="inlineStr">
        <is>
          <t>VIMMERBY</t>
        </is>
      </c>
      <c r="H568" t="inlineStr">
        <is>
          <t>Sveaskog</t>
        </is>
      </c>
      <c r="I568" t="n">
        <v>2.7</v>
      </c>
      <c r="J568" t="n">
        <v>2</v>
      </c>
      <c r="K568" t="n">
        <v>0</v>
      </c>
      <c r="L568" t="n">
        <v>1</v>
      </c>
      <c r="M568" t="n">
        <v>1</v>
      </c>
      <c r="N568" t="n">
        <v>1</v>
      </c>
      <c r="O568" t="n">
        <v>0</v>
      </c>
      <c r="P568" t="n">
        <v>0</v>
      </c>
      <c r="Q568" t="n">
        <v>3</v>
      </c>
      <c r="R568" t="n">
        <v>2</v>
      </c>
      <c r="S568" t="n">
        <v>3</v>
      </c>
      <c r="T568" t="n">
        <v>3</v>
      </c>
      <c r="U568" t="n">
        <v>3</v>
      </c>
      <c r="V568" s="2" t="inlineStr">
        <is>
          <t>Mosippa
Knärot
Dropptaggsvamp</t>
        </is>
      </c>
      <c r="W568">
        <f>HYPERLINK("https://klasma.github.io/Logging_0884/artfynd/S 945-2024 artfynd.xlsx", "S 945-2024")</f>
        <v/>
      </c>
      <c r="X568">
        <f>HYPERLINK("https://klasma.github.io/Logging_0884/kartor/S 945-2024 karta.png", "S 945-2024")</f>
        <v/>
      </c>
      <c r="Y568">
        <f>HYPERLINK("https://klasma.github.io/Logging_0884/kartor_geotiff/S 945-2024 georefererad karta.tif", "S 945-2024")</f>
        <v/>
      </c>
      <c r="Z568">
        <f>HYPERLINK("https://klasma.github.io/Logging_0884/knärot/S 945-2024 karta knärot.png", "S 945-2024")</f>
        <v/>
      </c>
      <c r="AA568">
        <f>HYPERLINK("https://klasma.github.io/Logging_0884/klagomål/S 945-2024 FSC-klagomål.docx", "S 945-2024")</f>
        <v/>
      </c>
      <c r="AB568">
        <f>HYPERLINK("https://klasma.github.io/Logging_0884/klagomålsmail/S 945-2024 FSC-klagomål mail.docx", "S 945-2024")</f>
        <v/>
      </c>
      <c r="AC568">
        <f>HYPERLINK("https://klasma.github.io/Logging_0884/tillsyn/S 945-2024 tillsynsbegäran.docx", "S 945-2024")</f>
        <v/>
      </c>
      <c r="AD568">
        <f>HYPERLINK("https://klasma.github.io/Logging_0884/tillsynsmail/S 945-2024 tillsynsbegäran mail.docx", "S 945-2024")</f>
        <v/>
      </c>
    </row>
    <row r="569" ht="15" customHeight="1">
      <c r="A569" t="inlineStr">
        <is>
          <t>S 2484-2025</t>
        </is>
      </c>
      <c r="B569" t="inlineStr">
        <is>
          <t>samrådsanmälan</t>
        </is>
      </c>
      <c r="C569" t="inlineStr">
        <is>
          <t>Askåterföring</t>
        </is>
      </c>
      <c r="D569" s="1" t="n">
        <v>45903</v>
      </c>
      <c r="E569" s="1" t="n">
        <v>46323</v>
      </c>
      <c r="F569" t="inlineStr">
        <is>
          <t>KALMAR LÄN</t>
        </is>
      </c>
      <c r="G569" t="inlineStr">
        <is>
          <t>KALMAR</t>
        </is>
      </c>
      <c r="I569" t="n">
        <v>22</v>
      </c>
      <c r="J569" t="n">
        <v>0</v>
      </c>
      <c r="K569" t="n">
        <v>2</v>
      </c>
      <c r="L569" t="n">
        <v>1</v>
      </c>
      <c r="M569" t="n">
        <v>0</v>
      </c>
      <c r="N569" t="n">
        <v>0</v>
      </c>
      <c r="O569" t="n">
        <v>0</v>
      </c>
      <c r="P569" t="n">
        <v>0</v>
      </c>
      <c r="Q569" t="n">
        <v>1</v>
      </c>
      <c r="R569" t="n">
        <v>0</v>
      </c>
      <c r="S569" t="n">
        <v>3</v>
      </c>
      <c r="T569" t="n">
        <v>5</v>
      </c>
      <c r="U569" t="n">
        <v>0</v>
      </c>
      <c r="V569" s="2" t="inlineStr">
        <is>
          <t>Grynig filtlav
Bårdlav
Fällmossa</t>
        </is>
      </c>
      <c r="W569">
        <f>HYPERLINK("https://klasma.github.io/Logging_0880/artfynd/S 2484-2025 artfynd.xlsx", "S 2484-2025")</f>
        <v/>
      </c>
      <c r="X569">
        <f>HYPERLINK("https://klasma.github.io/Logging_0880/kartor/S 2484-2025 karta.png", "S 2484-2025")</f>
        <v/>
      </c>
      <c r="Y569">
        <f>HYPERLINK("https://klasma.github.io/Logging_0880/kartor_geotiff/S 2484-2025 georefererad karta.tif", "S 2484-2025")</f>
        <v/>
      </c>
      <c r="AA569">
        <f>HYPERLINK("https://klasma.github.io/Logging_0880/klagomål/S 2484-2025 FSC-klagomål.docx", "S 2484-2025")</f>
        <v/>
      </c>
      <c r="AB569">
        <f>HYPERLINK("https://klasma.github.io/Logging_0880/klagomålsmail/S 2484-2025 FSC-klagomål mail.docx", "S 2484-2025")</f>
        <v/>
      </c>
      <c r="AC569">
        <f>HYPERLINK("https://klasma.github.io/Logging_0880/tillsyn/S 2484-2025 tillsynsbegäran.docx", "S 2484-2025")</f>
        <v/>
      </c>
      <c r="AD569">
        <f>HYPERLINK("https://klasma.github.io/Logging_0880/tillsynsmail/S 2484-2025 tillsynsbegäran mail.docx", "S 2484-2025")</f>
        <v/>
      </c>
    </row>
    <row r="570" ht="15" customHeight="1">
      <c r="A570" t="inlineStr">
        <is>
          <t>S 2978-2025</t>
        </is>
      </c>
      <c r="B570" t="inlineStr">
        <is>
          <t>samrådsanmälan</t>
        </is>
      </c>
      <c r="C570" t="inlineStr">
        <is>
          <t>Annan skogsbruksåtgärd</t>
        </is>
      </c>
      <c r="D570" s="1" t="n">
        <v>45954</v>
      </c>
      <c r="E570" s="1" t="n">
        <v>46323</v>
      </c>
      <c r="F570" t="inlineStr">
        <is>
          <t>KALMAR LÄN</t>
        </is>
      </c>
      <c r="G570" t="inlineStr">
        <is>
          <t>KALMAR</t>
        </is>
      </c>
      <c r="I570" t="n">
        <v>4</v>
      </c>
      <c r="J570" t="n">
        <v>0</v>
      </c>
      <c r="K570" t="n">
        <v>2</v>
      </c>
      <c r="L570" t="n">
        <v>0</v>
      </c>
      <c r="M570" t="n">
        <v>0</v>
      </c>
      <c r="N570" t="n">
        <v>1</v>
      </c>
      <c r="O570" t="n">
        <v>0</v>
      </c>
      <c r="P570" t="n">
        <v>0</v>
      </c>
      <c r="Q570" t="n">
        <v>1</v>
      </c>
      <c r="R570" t="n">
        <v>1</v>
      </c>
      <c r="S570" t="n">
        <v>3</v>
      </c>
      <c r="T570" t="n">
        <v>5</v>
      </c>
      <c r="U570" t="n">
        <v>0</v>
      </c>
      <c r="V570" s="2" t="inlineStr">
        <is>
          <t>Ask
Grå skärelav
Gulnål</t>
        </is>
      </c>
      <c r="W570">
        <f>HYPERLINK("https://klasma.github.io/Logging_0880/artfynd/S 2978-2025 artfynd.xlsx", "S 2978-2025")</f>
        <v/>
      </c>
      <c r="X570">
        <f>HYPERLINK("https://klasma.github.io/Logging_0880/kartor/S 2978-2025 karta.png", "S 2978-2025")</f>
        <v/>
      </c>
      <c r="Y570">
        <f>HYPERLINK("https://klasma.github.io/Logging_0880/kartor_geotiff/S 2978-2025 georefererad karta.tif", "S 2978-2025")</f>
        <v/>
      </c>
      <c r="AA570">
        <f>HYPERLINK("https://klasma.github.io/Logging_0880/klagomål/S 2978-2025 FSC-klagomål.docx", "S 2978-2025")</f>
        <v/>
      </c>
      <c r="AB570">
        <f>HYPERLINK("https://klasma.github.io/Logging_0880/klagomålsmail/S 2978-2025 FSC-klagomål mail.docx", "S 2978-2025")</f>
        <v/>
      </c>
      <c r="AC570">
        <f>HYPERLINK("https://klasma.github.io/Logging_0880/tillsyn/S 2978-2025 tillsynsbegäran.docx", "S 2978-2025")</f>
        <v/>
      </c>
      <c r="AD570">
        <f>HYPERLINK("https://klasma.github.io/Logging_0880/tillsynsmail/S 2978-2025 tillsynsbegäran mail.docx", "S 2978-2025")</f>
        <v/>
      </c>
    </row>
    <row r="571" ht="15" customHeight="1">
      <c r="A571" t="inlineStr">
        <is>
          <t>S 301-2026</t>
        </is>
      </c>
      <c r="B571" t="inlineStr">
        <is>
          <t>samrådsanmälan</t>
        </is>
      </c>
      <c r="C571" t="inlineStr">
        <is>
          <t>Askåterföring</t>
        </is>
      </c>
      <c r="D571" s="1" t="n">
        <v>46058</v>
      </c>
      <c r="E571" s="1" t="n">
        <v>46323</v>
      </c>
      <c r="F571" t="inlineStr">
        <is>
          <t>KALMAR LÄN</t>
        </is>
      </c>
      <c r="G571" t="inlineStr">
        <is>
          <t>NYBRO</t>
        </is>
      </c>
      <c r="I571" t="n">
        <v>4.6</v>
      </c>
      <c r="J571" t="n">
        <v>0</v>
      </c>
      <c r="K571" t="n">
        <v>1</v>
      </c>
      <c r="L571" t="n">
        <v>2</v>
      </c>
      <c r="M571" t="n">
        <v>0</v>
      </c>
      <c r="N571" t="n">
        <v>0</v>
      </c>
      <c r="O571" t="n">
        <v>0</v>
      </c>
      <c r="P571" t="n">
        <v>0</v>
      </c>
      <c r="Q571" t="n">
        <v>2</v>
      </c>
      <c r="R571" t="n">
        <v>0</v>
      </c>
      <c r="S571" t="n">
        <v>3</v>
      </c>
      <c r="T571" t="n">
        <v>3</v>
      </c>
      <c r="U571" t="n">
        <v>0</v>
      </c>
      <c r="V571" s="2" t="inlineStr">
        <is>
          <t>Motaggsvamp
Orange taggsvamp
Blåmossa</t>
        </is>
      </c>
      <c r="W571">
        <f>HYPERLINK("https://klasma.github.io/Logging_0881/artfynd/S 301-2026 artfynd.xlsx", "S 301-2026")</f>
        <v/>
      </c>
      <c r="X571">
        <f>HYPERLINK("https://klasma.github.io/Logging_0881/kartor/S 301-2026 karta.png", "S 301-2026")</f>
        <v/>
      </c>
      <c r="Y571">
        <f>HYPERLINK("https://klasma.github.io/Logging_0881/kartor_geotiff/S 301-2026 georefererad karta.tif", "S 301-2026")</f>
        <v/>
      </c>
      <c r="AA571">
        <f>HYPERLINK("https://klasma.github.io/Logging_0881/klagomål/S 301-2026 FSC-klagomål.docx", "S 301-2026")</f>
        <v/>
      </c>
      <c r="AB571">
        <f>HYPERLINK("https://klasma.github.io/Logging_0881/klagomålsmail/S 301-2026 FSC-klagomål mail.docx", "S 301-2026")</f>
        <v/>
      </c>
      <c r="AC571">
        <f>HYPERLINK("https://klasma.github.io/Logging_0881/tillsyn/S 301-2026 tillsynsbegäran.docx", "S 301-2026")</f>
        <v/>
      </c>
      <c r="AD571">
        <f>HYPERLINK("https://klasma.github.io/Logging_0881/tillsynsmail/S 301-2026 tillsynsbegäran mail.docx", "S 301-2026")</f>
        <v/>
      </c>
    </row>
    <row r="572" ht="15" customHeight="1">
      <c r="A572" t="inlineStr">
        <is>
          <t>S 587-2026</t>
        </is>
      </c>
      <c r="B572" t="inlineStr">
        <is>
          <t>samrådsanmälan</t>
        </is>
      </c>
      <c r="C572" t="inlineStr">
        <is>
          <t>Askåterföring</t>
        </is>
      </c>
      <c r="D572" s="1" t="n">
        <v>46084</v>
      </c>
      <c r="E572" s="1" t="n">
        <v>46323</v>
      </c>
      <c r="F572" t="inlineStr">
        <is>
          <t>KALMAR LÄN</t>
        </is>
      </c>
      <c r="G572" t="inlineStr">
        <is>
          <t>TORSÅS</t>
        </is>
      </c>
      <c r="I572" t="n">
        <v>99.40000000000001</v>
      </c>
      <c r="J572" t="n">
        <v>2</v>
      </c>
      <c r="K572" t="n">
        <v>1</v>
      </c>
      <c r="L572" t="n">
        <v>1</v>
      </c>
      <c r="M572" t="n">
        <v>0</v>
      </c>
      <c r="N572" t="n">
        <v>0</v>
      </c>
      <c r="O572" t="n">
        <v>0</v>
      </c>
      <c r="P572" t="n">
        <v>0</v>
      </c>
      <c r="Q572" t="n">
        <v>1</v>
      </c>
      <c r="R572" t="n">
        <v>0</v>
      </c>
      <c r="S572" t="n">
        <v>3</v>
      </c>
      <c r="T572" t="n">
        <v>4</v>
      </c>
      <c r="U572" t="n">
        <v>0</v>
      </c>
      <c r="V572" s="2" t="inlineStr">
        <is>
          <t>Nordfladdermus
Bollvitmossa
Vanlig padda</t>
        </is>
      </c>
      <c r="W572">
        <f>HYPERLINK("https://klasma.github.io/Logging_0834/artfynd/S 587-2026 artfynd.xlsx", "S 587-2026")</f>
        <v/>
      </c>
      <c r="X572">
        <f>HYPERLINK("https://klasma.github.io/Logging_0834/kartor/S 587-2026 karta.png", "S 587-2026")</f>
        <v/>
      </c>
      <c r="Y572">
        <f>HYPERLINK("https://klasma.github.io/Logging_0834/kartor_geotiff/S 587-2026 georefererad karta.tif", "S 587-2026")</f>
        <v/>
      </c>
      <c r="AA572">
        <f>HYPERLINK("https://klasma.github.io/Logging_0834/klagomål/S 587-2026 FSC-klagomål.docx", "S 587-2026")</f>
        <v/>
      </c>
      <c r="AB572">
        <f>HYPERLINK("https://klasma.github.io/Logging_0834/klagomålsmail/S 587-2026 FSC-klagomål mail.docx", "S 587-2026")</f>
        <v/>
      </c>
      <c r="AC572">
        <f>HYPERLINK("https://klasma.github.io/Logging_0834/tillsyn/S 587-2026 tillsynsbegäran.docx", "S 587-2026")</f>
        <v/>
      </c>
      <c r="AD572">
        <f>HYPERLINK("https://klasma.github.io/Logging_0834/tillsynsmail/S 587-2026 tillsynsbegäran mail.docx", "S 587-2026")</f>
        <v/>
      </c>
    </row>
    <row r="573" ht="15" customHeight="1">
      <c r="A573" t="inlineStr">
        <is>
          <t>S 846-2026</t>
        </is>
      </c>
      <c r="B573" t="inlineStr">
        <is>
          <t>samrådsanmälan</t>
        </is>
      </c>
      <c r="C573" t="inlineStr">
        <is>
          <t>Annan skogsbruksåtgärd</t>
        </is>
      </c>
      <c r="D573" s="1" t="n">
        <v>46105</v>
      </c>
      <c r="E573" s="1" t="n">
        <v>46323</v>
      </c>
      <c r="F573" t="inlineStr">
        <is>
          <t>KALMAR LÄN</t>
        </is>
      </c>
      <c r="G573" t="inlineStr">
        <is>
          <t>BORGHOLM</t>
        </is>
      </c>
      <c r="H573" t="inlineStr">
        <is>
          <t>Sveaskog</t>
        </is>
      </c>
      <c r="I573" t="n">
        <v>1.7</v>
      </c>
      <c r="J573" t="n">
        <v>3</v>
      </c>
      <c r="K573" t="n">
        <v>0</v>
      </c>
      <c r="L573" t="n">
        <v>1</v>
      </c>
      <c r="M573" t="n">
        <v>0</v>
      </c>
      <c r="N573" t="n">
        <v>0</v>
      </c>
      <c r="O573" t="n">
        <v>0</v>
      </c>
      <c r="P573" t="n">
        <v>0</v>
      </c>
      <c r="Q573" t="n">
        <v>1</v>
      </c>
      <c r="R573" t="n">
        <v>0</v>
      </c>
      <c r="S573" t="n">
        <v>3</v>
      </c>
      <c r="T573" t="n">
        <v>3</v>
      </c>
      <c r="U573" t="n">
        <v>0</v>
      </c>
      <c r="V573" s="2" t="inlineStr">
        <is>
          <t>Talltita
Havsörn
Kungsfågel</t>
        </is>
      </c>
      <c r="W573">
        <f>HYPERLINK("https://klasma.github.io/Logging_0885/artfynd/S 846-2026 artfynd.xlsx", "S 846-2026")</f>
        <v/>
      </c>
      <c r="X573">
        <f>HYPERLINK("https://klasma.github.io/Logging_0885/kartor/S 846-2026 karta.png", "S 846-2026")</f>
        <v/>
      </c>
      <c r="Y573">
        <f>HYPERLINK("https://klasma.github.io/Logging_0885/kartor_geotiff/S 846-2026 georefererad karta.tif", "S 846-2026")</f>
        <v/>
      </c>
      <c r="AA573">
        <f>HYPERLINK("https://klasma.github.io/Logging_0885/klagomål/S 846-2026 FSC-klagomål.docx", "S 846-2026")</f>
        <v/>
      </c>
      <c r="AB573">
        <f>HYPERLINK("https://klasma.github.io/Logging_0885/klagomålsmail/S 846-2026 FSC-klagomål mail.docx", "S 846-2026")</f>
        <v/>
      </c>
      <c r="AC573">
        <f>HYPERLINK("https://klasma.github.io/Logging_0885/tillsyn/S 846-2026 tillsynsbegäran.docx", "S 846-2026")</f>
        <v/>
      </c>
      <c r="AD573">
        <f>HYPERLINK("https://klasma.github.io/Logging_0885/tillsynsmail/S 846-2026 tillsynsbegäran mail.docx", "S 846-2026")</f>
        <v/>
      </c>
      <c r="AE573">
        <f>HYPERLINK("https://klasma.github.io/Logging_0885/fåglar/S 846-2026 prioriterade fågelarter.docx", "S 846-2026")</f>
        <v/>
      </c>
    </row>
    <row r="574" ht="15" customHeight="1">
      <c r="A574" t="inlineStr">
        <is>
          <t>S 922-2026</t>
        </is>
      </c>
      <c r="B574" t="inlineStr">
        <is>
          <t>samrådsanmälan</t>
        </is>
      </c>
      <c r="C574" t="inlineStr">
        <is>
          <t>Askåterföring</t>
        </is>
      </c>
      <c r="D574" s="1" t="n">
        <v>46111</v>
      </c>
      <c r="E574" s="1" t="n">
        <v>46323</v>
      </c>
      <c r="F574" t="inlineStr">
        <is>
          <t>KALMAR LÄN</t>
        </is>
      </c>
      <c r="G574" t="inlineStr">
        <is>
          <t>HÖGSBY</t>
        </is>
      </c>
      <c r="I574" t="n">
        <v>25.8</v>
      </c>
      <c r="J574" t="n">
        <v>1</v>
      </c>
      <c r="K574" t="n">
        <v>2</v>
      </c>
      <c r="L574" t="n">
        <v>0</v>
      </c>
      <c r="M574" t="n">
        <v>0</v>
      </c>
      <c r="N574" t="n">
        <v>1</v>
      </c>
      <c r="O574" t="n">
        <v>0</v>
      </c>
      <c r="P574" t="n">
        <v>0</v>
      </c>
      <c r="Q574" t="n">
        <v>1</v>
      </c>
      <c r="R574" t="n">
        <v>1</v>
      </c>
      <c r="S574" t="n">
        <v>3</v>
      </c>
      <c r="T574" t="n">
        <v>3</v>
      </c>
      <c r="U574" t="n">
        <v>0</v>
      </c>
      <c r="V574" s="2" t="inlineStr">
        <is>
          <t>Ask
Ekoxe
Spindelbock</t>
        </is>
      </c>
      <c r="W574">
        <f>HYPERLINK("https://klasma.github.io/Logging_0821/artfynd/S 922-2026 artfynd.xlsx", "S 922-2026")</f>
        <v/>
      </c>
      <c r="X574">
        <f>HYPERLINK("https://klasma.github.io/Logging_0821/kartor/S 922-2026 karta.png", "S 922-2026")</f>
        <v/>
      </c>
      <c r="Y574">
        <f>HYPERLINK("https://klasma.github.io/Logging_0821/kartor_geotiff/S 922-2026 georefererad karta.tif", "S 922-2026")</f>
        <v/>
      </c>
      <c r="AA574">
        <f>HYPERLINK("https://klasma.github.io/Logging_0821/klagomål/S 922-2026 FSC-klagomål.docx", "S 922-2026")</f>
        <v/>
      </c>
      <c r="AB574">
        <f>HYPERLINK("https://klasma.github.io/Logging_0821/klagomålsmail/S 922-2026 FSC-klagomål mail.docx", "S 922-2026")</f>
        <v/>
      </c>
      <c r="AC574">
        <f>HYPERLINK("https://klasma.github.io/Logging_0821/tillsyn/S 922-2026 tillsynsbegäran.docx", "S 922-2026")</f>
        <v/>
      </c>
      <c r="AD574">
        <f>HYPERLINK("https://klasma.github.io/Logging_0821/tillsynsmail/S 922-2026 tillsynsbegäran mail.docx", "S 922-2026")</f>
        <v/>
      </c>
    </row>
    <row r="575" ht="15" customHeight="1">
      <c r="A575" t="inlineStr">
        <is>
          <t>S 1156-2026</t>
        </is>
      </c>
      <c r="B575" t="inlineStr">
        <is>
          <t>samrådsanmälan</t>
        </is>
      </c>
      <c r="C575" t="inlineStr">
        <is>
          <t>Askåterföring</t>
        </is>
      </c>
      <c r="D575" s="1" t="n">
        <v>46136</v>
      </c>
      <c r="E575" s="1" t="n">
        <v>46323</v>
      </c>
      <c r="F575" t="inlineStr">
        <is>
          <t>KALMAR LÄN</t>
        </is>
      </c>
      <c r="G575" t="inlineStr">
        <is>
          <t>EMMABODA</t>
        </is>
      </c>
      <c r="I575" t="n">
        <v>41.9</v>
      </c>
      <c r="J575" t="n">
        <v>3</v>
      </c>
      <c r="K575" t="n">
        <v>0</v>
      </c>
      <c r="L575" t="n">
        <v>0</v>
      </c>
      <c r="M575" t="n">
        <v>1</v>
      </c>
      <c r="N575" t="n">
        <v>0</v>
      </c>
      <c r="O575" t="n">
        <v>0</v>
      </c>
      <c r="P575" t="n">
        <v>0</v>
      </c>
      <c r="Q575" t="n">
        <v>1</v>
      </c>
      <c r="R575" t="n">
        <v>1</v>
      </c>
      <c r="S575" t="n">
        <v>3</v>
      </c>
      <c r="T575" t="n">
        <v>3</v>
      </c>
      <c r="U575" t="n">
        <v>0</v>
      </c>
      <c r="V575" s="2" t="inlineStr">
        <is>
          <t>Knärot
Mattlummer
Hasselmus</t>
        </is>
      </c>
      <c r="W575">
        <f>HYPERLINK("https://klasma.github.io/Logging_0862/artfynd/S 1156-2026 artfynd.xlsx", "S 1156-2026")</f>
        <v/>
      </c>
      <c r="X575">
        <f>HYPERLINK("https://klasma.github.io/Logging_0862/kartor/S 1156-2026 karta.png", "S 1156-2026")</f>
        <v/>
      </c>
      <c r="Y575">
        <f>HYPERLINK("https://klasma.github.io/Logging_0862/kartor_geotiff/S 1156-2026 georefererad karta.tif", "S 1156-2026")</f>
        <v/>
      </c>
      <c r="Z575">
        <f>HYPERLINK("https://klasma.github.io/Logging_0862/knärot/S 1156-2026 karta knärot.png", "S 1156-2026")</f>
        <v/>
      </c>
      <c r="AA575">
        <f>HYPERLINK("https://klasma.github.io/Logging_0862/klagomål/S 1156-2026 FSC-klagomål.docx", "S 1156-2026")</f>
        <v/>
      </c>
      <c r="AB575">
        <f>HYPERLINK("https://klasma.github.io/Logging_0862/klagomålsmail/S 1156-2026 FSC-klagomål mail.docx", "S 1156-2026")</f>
        <v/>
      </c>
      <c r="AC575">
        <f>HYPERLINK("https://klasma.github.io/Logging_0862/tillsyn/S 1156-2026 tillsynsbegäran.docx", "S 1156-2026")</f>
        <v/>
      </c>
      <c r="AD575">
        <f>HYPERLINK("https://klasma.github.io/Logging_0862/tillsynsmail/S 1156-2026 tillsynsbegäran mail.docx", "S 1156-2026")</f>
        <v/>
      </c>
    </row>
    <row r="576" ht="15" customHeight="1">
      <c r="A576" t="inlineStr">
        <is>
          <t>S 1260-2026</t>
        </is>
      </c>
      <c r="B576" t="inlineStr">
        <is>
          <t>samrådsanmälan</t>
        </is>
      </c>
      <c r="C576" t="inlineStr">
        <is>
          <t>Annan skogsbruksåtgärd</t>
        </is>
      </c>
      <c r="D576" s="1" t="n">
        <v>46145</v>
      </c>
      <c r="E576" s="1" t="n">
        <v>46323</v>
      </c>
      <c r="F576" t="inlineStr">
        <is>
          <t>KALMAR LÄN</t>
        </is>
      </c>
      <c r="G576" t="inlineStr">
        <is>
          <t>VIMMERBY</t>
        </is>
      </c>
      <c r="I576" t="n">
        <v>5.3</v>
      </c>
      <c r="J576" t="n">
        <v>2</v>
      </c>
      <c r="K576" t="n">
        <v>1</v>
      </c>
      <c r="L576" t="n">
        <v>0</v>
      </c>
      <c r="M576" t="n">
        <v>1</v>
      </c>
      <c r="N576" t="n">
        <v>0</v>
      </c>
      <c r="O576" t="n">
        <v>0</v>
      </c>
      <c r="P576" t="n">
        <v>0</v>
      </c>
      <c r="Q576" t="n">
        <v>1</v>
      </c>
      <c r="R576" t="n">
        <v>1</v>
      </c>
      <c r="S576" t="n">
        <v>3</v>
      </c>
      <c r="T576" t="n">
        <v>4</v>
      </c>
      <c r="U576" t="n">
        <v>0</v>
      </c>
      <c r="V576" s="2" t="inlineStr">
        <is>
          <t>Knärot
Blåmossa
Spillkråka</t>
        </is>
      </c>
      <c r="W576">
        <f>HYPERLINK("https://klasma.github.io/Logging_0884/artfynd/S 1260-2026 artfynd.xlsx", "S 1260-2026")</f>
        <v/>
      </c>
      <c r="X576">
        <f>HYPERLINK("https://klasma.github.io/Logging_0884/kartor/S 1260-2026 karta.png", "S 1260-2026")</f>
        <v/>
      </c>
      <c r="Y576">
        <f>HYPERLINK("https://klasma.github.io/Logging_0884/kartor_geotiff/S 1260-2026 georefererad karta.tif", "S 1260-2026")</f>
        <v/>
      </c>
      <c r="Z576">
        <f>HYPERLINK("https://klasma.github.io/Logging_0884/knärot/S 1260-2026 karta knärot.png", "S 1260-2026")</f>
        <v/>
      </c>
      <c r="AA576">
        <f>HYPERLINK("https://klasma.github.io/Logging_0884/klagomål/S 1260-2026 FSC-klagomål.docx", "S 1260-2026")</f>
        <v/>
      </c>
      <c r="AB576">
        <f>HYPERLINK("https://klasma.github.io/Logging_0884/klagomålsmail/S 1260-2026 FSC-klagomål mail.docx", "S 1260-2026")</f>
        <v/>
      </c>
      <c r="AC576">
        <f>HYPERLINK("https://klasma.github.io/Logging_0884/tillsyn/S 1260-2026 tillsynsbegäran.docx", "S 1260-2026")</f>
        <v/>
      </c>
      <c r="AD576">
        <f>HYPERLINK("https://klasma.github.io/Logging_0884/tillsynsmail/S 1260-2026 tillsynsbegäran mail.docx", "S 1260-2026")</f>
        <v/>
      </c>
      <c r="AE576">
        <f>HYPERLINK("https://klasma.github.io/Logging_0884/fåglar/S 1260-2026 prioriterade fågelarter.docx", "S 1260-2026")</f>
        <v/>
      </c>
    </row>
    <row r="577" ht="15" customHeight="1">
      <c r="A577" t="inlineStr">
        <is>
          <t>S 1726-2026</t>
        </is>
      </c>
      <c r="B577" t="inlineStr">
        <is>
          <t>samrådsanmälan</t>
        </is>
      </c>
      <c r="C577" t="inlineStr">
        <is>
          <t>Annan skogsbruksåtgärd</t>
        </is>
      </c>
      <c r="D577" s="1" t="n">
        <v>46188</v>
      </c>
      <c r="E577" s="1" t="n">
        <v>46323</v>
      </c>
      <c r="F577" t="inlineStr">
        <is>
          <t>KALMAR LÄN</t>
        </is>
      </c>
      <c r="G577" t="inlineStr">
        <is>
          <t>BORGHOLM</t>
        </is>
      </c>
      <c r="H577" t="inlineStr">
        <is>
          <t>Sveaskog</t>
        </is>
      </c>
      <c r="I577" t="n">
        <v>2</v>
      </c>
      <c r="J577" t="n">
        <v>1</v>
      </c>
      <c r="K577" t="n">
        <v>1</v>
      </c>
      <c r="L577" t="n">
        <v>1</v>
      </c>
      <c r="M577" t="n">
        <v>0</v>
      </c>
      <c r="N577" t="n">
        <v>1</v>
      </c>
      <c r="O577" t="n">
        <v>0</v>
      </c>
      <c r="P577" t="n">
        <v>0</v>
      </c>
      <c r="Q577" t="n">
        <v>2</v>
      </c>
      <c r="R577" t="n">
        <v>1</v>
      </c>
      <c r="S577" t="n">
        <v>3</v>
      </c>
      <c r="T577" t="n">
        <v>3</v>
      </c>
      <c r="U577" t="n">
        <v>0</v>
      </c>
      <c r="V577" s="2" t="inlineStr">
        <is>
          <t>Ask
Mindre poppelglasvinge
Skogsknipprot</t>
        </is>
      </c>
      <c r="W577">
        <f>HYPERLINK("https://klasma.github.io/Logging_0885/artfynd/S 1726-2026 artfynd.xlsx", "S 1726-2026")</f>
        <v/>
      </c>
      <c r="X577">
        <f>HYPERLINK("https://klasma.github.io/Logging_0885/kartor/S 1726-2026 karta.png", "S 1726-2026")</f>
        <v/>
      </c>
      <c r="Y577">
        <f>HYPERLINK("https://klasma.github.io/Logging_0885/kartor_geotiff/S 1726-2026 georefererad karta.tif", "S 1726-2026")</f>
        <v/>
      </c>
      <c r="AA577">
        <f>HYPERLINK("https://klasma.github.io/Logging_0885/klagomål/S 1726-2026 FSC-klagomål.docx", "S 1726-2026")</f>
        <v/>
      </c>
      <c r="AB577">
        <f>HYPERLINK("https://klasma.github.io/Logging_0885/klagomålsmail/S 1726-2026 FSC-klagomål mail.docx", "S 1726-2026")</f>
        <v/>
      </c>
      <c r="AC577">
        <f>HYPERLINK("https://klasma.github.io/Logging_0885/tillsyn/S 1726-2026 tillsynsbegäran.docx", "S 1726-2026")</f>
        <v/>
      </c>
      <c r="AD577">
        <f>HYPERLINK("https://klasma.github.io/Logging_0885/tillsynsmail/S 1726-2026 tillsynsbegäran mail.docx", "S 1726-2026")</f>
        <v/>
      </c>
    </row>
    <row r="578" ht="15" customHeight="1">
      <c r="A578" t="inlineStr">
        <is>
          <t>S 2059-2026</t>
        </is>
      </c>
      <c r="B578" t="inlineStr">
        <is>
          <t>samrådsanmälan</t>
        </is>
      </c>
      <c r="C578" t="inlineStr">
        <is>
          <t>Annan skogsbruksåtgärd</t>
        </is>
      </c>
      <c r="D578" s="1" t="n">
        <v>46223</v>
      </c>
      <c r="E578" s="1" t="n">
        <v>46323</v>
      </c>
      <c r="F578" t="inlineStr">
        <is>
          <t>KALMAR LÄN</t>
        </is>
      </c>
      <c r="G578" t="inlineStr">
        <is>
          <t>BORGHOLM</t>
        </is>
      </c>
      <c r="H578" t="inlineStr">
        <is>
          <t>Sveaskog</t>
        </is>
      </c>
      <c r="I578" t="n">
        <v>1.1</v>
      </c>
      <c r="J578" t="n">
        <v>3</v>
      </c>
      <c r="K578" t="n">
        <v>0</v>
      </c>
      <c r="L578" t="n">
        <v>1</v>
      </c>
      <c r="M578" t="n">
        <v>0</v>
      </c>
      <c r="N578" t="n">
        <v>0</v>
      </c>
      <c r="O578" t="n">
        <v>0</v>
      </c>
      <c r="P578" t="n">
        <v>0</v>
      </c>
      <c r="Q578" t="n">
        <v>1</v>
      </c>
      <c r="R578" t="n">
        <v>0</v>
      </c>
      <c r="S578" t="n">
        <v>3</v>
      </c>
      <c r="T578" t="n">
        <v>4</v>
      </c>
      <c r="U578" t="n">
        <v>0</v>
      </c>
      <c r="V578" s="2" t="inlineStr">
        <is>
          <t>Talltita
Grönsiska
Kungsfågel</t>
        </is>
      </c>
      <c r="W578">
        <f>HYPERLINK("https://klasma.github.io/Logging_0885/artfynd/S 2059-2026 artfynd.xlsx", "S 2059-2026")</f>
        <v/>
      </c>
      <c r="X578">
        <f>HYPERLINK("https://klasma.github.io/Logging_0885/kartor/S 2059-2026 karta.png", "S 2059-2026")</f>
        <v/>
      </c>
      <c r="Y578">
        <f>HYPERLINK("https://klasma.github.io/Logging_0885/kartor_geotiff/S 2059-2026 georefererad karta.tif", "S 2059-2026")</f>
        <v/>
      </c>
      <c r="AA578">
        <f>HYPERLINK("https://klasma.github.io/Logging_0885/klagomål/S 2059-2026 FSC-klagomål.docx", "S 2059-2026")</f>
        <v/>
      </c>
      <c r="AB578">
        <f>HYPERLINK("https://klasma.github.io/Logging_0885/klagomålsmail/S 2059-2026 FSC-klagomål mail.docx", "S 2059-2026")</f>
        <v/>
      </c>
      <c r="AC578">
        <f>HYPERLINK("https://klasma.github.io/Logging_0885/tillsyn/S 2059-2026 tillsynsbegäran.docx", "S 2059-2026")</f>
        <v/>
      </c>
      <c r="AD578">
        <f>HYPERLINK("https://klasma.github.io/Logging_0885/tillsynsmail/S 2059-2026 tillsynsbegäran mail.docx", "S 2059-2026")</f>
        <v/>
      </c>
      <c r="AE578">
        <f>HYPERLINK("https://klasma.github.io/Logging_0885/fåglar/S 2059-2026 prioriterade fågelarter.docx", "S 2059-2026")</f>
        <v/>
      </c>
    </row>
    <row r="579" ht="15" customHeight="1">
      <c r="A579" t="inlineStr">
        <is>
          <t>S 2414-2026</t>
        </is>
      </c>
      <c r="B579" t="inlineStr">
        <is>
          <t>samrådsanmälan</t>
        </is>
      </c>
      <c r="C579" t="inlineStr">
        <is>
          <t>Annan skogsbruksåtgärd</t>
        </is>
      </c>
      <c r="D579" s="1" t="n">
        <v>46280</v>
      </c>
      <c r="E579" s="1" t="n">
        <v>46323</v>
      </c>
      <c r="F579" t="inlineStr">
        <is>
          <t>KALMAR LÄN</t>
        </is>
      </c>
      <c r="G579" t="inlineStr">
        <is>
          <t>HULTSFRED</t>
        </is>
      </c>
      <c r="I579" t="n">
        <v>7</v>
      </c>
      <c r="J579" t="n">
        <v>0</v>
      </c>
      <c r="K579" t="n">
        <v>3</v>
      </c>
      <c r="L579" t="n">
        <v>0</v>
      </c>
      <c r="M579" t="n">
        <v>0</v>
      </c>
      <c r="N579" t="n">
        <v>0</v>
      </c>
      <c r="O579" t="n">
        <v>0</v>
      </c>
      <c r="P579" t="n">
        <v>0</v>
      </c>
      <c r="Q579" t="n">
        <v>0</v>
      </c>
      <c r="R579" t="n">
        <v>0</v>
      </c>
      <c r="S579" t="n">
        <v>3</v>
      </c>
      <c r="T579" t="n">
        <v>3</v>
      </c>
      <c r="U579" t="n">
        <v>0</v>
      </c>
      <c r="V579" s="2" t="inlineStr">
        <is>
          <t>Dvärghäxört
Strutbräken
Tibast</t>
        </is>
      </c>
      <c r="W579">
        <f>HYPERLINK("https://klasma.github.io/Logging_0860/artfynd/S 2414-2026 artfynd.xlsx", "S 2414-2026")</f>
        <v/>
      </c>
      <c r="X579">
        <f>HYPERLINK("https://klasma.github.io/Logging_0860/kartor/S 2414-2026 karta.png", "S 2414-2026")</f>
        <v/>
      </c>
      <c r="Y579">
        <f>HYPERLINK("https://klasma.github.io/Logging_0860/kartor_geotiff/S 2414-2026 georefererad karta.tif", "S 2414-2026")</f>
        <v/>
      </c>
      <c r="AA579">
        <f>HYPERLINK("https://klasma.github.io/Logging_0860/klagomål/S 2414-2026 FSC-klagomål.docx", "S 2414-2026")</f>
        <v/>
      </c>
      <c r="AB579">
        <f>HYPERLINK("https://klasma.github.io/Logging_0860/klagomålsmail/S 2414-2026 FSC-klagomål mail.docx", "S 2414-2026")</f>
        <v/>
      </c>
      <c r="AC579">
        <f>HYPERLINK("https://klasma.github.io/Logging_0860/tillsyn/S 2414-2026 tillsynsbegäran.docx", "S 2414-2026")</f>
        <v/>
      </c>
      <c r="AD579">
        <f>HYPERLINK("https://klasma.github.io/Logging_0860/tillsynsmail/S 2414-2026 tillsynsbegäran mail.docx", "S 2414-2026")</f>
        <v/>
      </c>
    </row>
    <row r="580" ht="15" customHeight="1">
      <c r="A580" t="inlineStr">
        <is>
          <t>A 66092-2021</t>
        </is>
      </c>
      <c r="B580" t="inlineStr">
        <is>
          <t>avverkningsanmälan</t>
        </is>
      </c>
      <c r="C580" t="inlineStr">
        <is>
          <t>Föryngringsavverkning</t>
        </is>
      </c>
      <c r="D580" s="1" t="n">
        <v>44517</v>
      </c>
      <c r="E580" s="1" t="n">
        <v>46323</v>
      </c>
      <c r="F580" t="inlineStr">
        <is>
          <t>KALMAR LÄN</t>
        </is>
      </c>
      <c r="G580" t="inlineStr">
        <is>
          <t>KALMAR</t>
        </is>
      </c>
      <c r="I580" t="n">
        <v>1.4</v>
      </c>
      <c r="J580" t="n">
        <v>2</v>
      </c>
      <c r="K580" t="n">
        <v>0</v>
      </c>
      <c r="L580" t="n">
        <v>0</v>
      </c>
      <c r="M580" t="n">
        <v>0</v>
      </c>
      <c r="N580" t="n">
        <v>0</v>
      </c>
      <c r="O580" t="n">
        <v>0</v>
      </c>
      <c r="P580" t="n">
        <v>0</v>
      </c>
      <c r="Q580" t="n">
        <v>0</v>
      </c>
      <c r="R580" t="n">
        <v>0</v>
      </c>
      <c r="S580" t="n">
        <v>2</v>
      </c>
      <c r="T580" t="n">
        <v>2</v>
      </c>
      <c r="U580" t="n">
        <v>2</v>
      </c>
      <c r="V580" s="2" t="inlineStr">
        <is>
          <t>Spillkråka
Trädlärka</t>
        </is>
      </c>
      <c r="W580">
        <f>HYPERLINK("https://klasma.github.io/Logging_0880/artfynd/A 66092-2021 artfynd.xlsx", "A 66092-2021")</f>
        <v/>
      </c>
      <c r="X580">
        <f>HYPERLINK("https://klasma.github.io/Logging_0880/kartor/A 66092-2021 karta.png", "A 66092-2021")</f>
        <v/>
      </c>
      <c r="Y580">
        <f>HYPERLINK("https://klasma.github.io/Logging_0880/kartor_geotiff/A 66092-2021 georefererad karta.tif", "A 66092-2021")</f>
        <v/>
      </c>
      <c r="AA580">
        <f>HYPERLINK("https://klasma.github.io/Logging_0880/klagomål/A 66092-2021 FSC-klagomål.docx", "A 66092-2021")</f>
        <v/>
      </c>
      <c r="AB580">
        <f>HYPERLINK("https://klasma.github.io/Logging_0880/klagomålsmail/A 66092-2021 FSC-klagomål mail.docx", "A 66092-2021")</f>
        <v/>
      </c>
      <c r="AC580">
        <f>HYPERLINK("https://klasma.github.io/Logging_0880/tillsyn/A 66092-2021 tillsynsbegäran.docx", "A 66092-2021")</f>
        <v/>
      </c>
      <c r="AD580">
        <f>HYPERLINK("https://klasma.github.io/Logging_0880/tillsynsmail/A 66092-2021 tillsynsbegäran mail.docx", "A 66092-2021")</f>
        <v/>
      </c>
      <c r="AE580">
        <f>HYPERLINK("https://klasma.github.io/Logging_0880/fåglar/A 66092-2021 prioriterade fågelarter.docx", "A 66092-2021")</f>
        <v/>
      </c>
    </row>
    <row r="581" ht="15" customHeight="1">
      <c r="A581" t="inlineStr">
        <is>
          <t>A 10348-2022</t>
        </is>
      </c>
      <c r="B581" t="inlineStr">
        <is>
          <t>avverkningsanmälan</t>
        </is>
      </c>
      <c r="C581" t="inlineStr">
        <is>
          <t>Föryngringsavverkning</t>
        </is>
      </c>
      <c r="D581" s="1" t="n">
        <v>44623</v>
      </c>
      <c r="E581" s="1" t="n">
        <v>46323</v>
      </c>
      <c r="F581" t="inlineStr">
        <is>
          <t>KALMAR LÄN</t>
        </is>
      </c>
      <c r="G581" t="inlineStr">
        <is>
          <t>BORGHOLM</t>
        </is>
      </c>
      <c r="I581" t="n">
        <v>0.4</v>
      </c>
      <c r="J581" t="n">
        <v>0</v>
      </c>
      <c r="K581" t="n">
        <v>0</v>
      </c>
      <c r="L581" t="n">
        <v>2</v>
      </c>
      <c r="M581" t="n">
        <v>0</v>
      </c>
      <c r="N581" t="n">
        <v>0</v>
      </c>
      <c r="O581" t="n">
        <v>0</v>
      </c>
      <c r="P581" t="n">
        <v>0</v>
      </c>
      <c r="Q581" t="n">
        <v>2</v>
      </c>
      <c r="R581" t="n">
        <v>0</v>
      </c>
      <c r="S581" t="n">
        <v>2</v>
      </c>
      <c r="T581" t="n">
        <v>5</v>
      </c>
      <c r="U581" t="n">
        <v>0</v>
      </c>
      <c r="V581" s="2" t="inlineStr">
        <is>
          <t>Dvärgjordstjärna
Stjälkröksvamp</t>
        </is>
      </c>
      <c r="W581">
        <f>HYPERLINK("https://klasma.github.io/Logging_0885/artfynd/A 10348-2022 artfynd.xlsx", "A 10348-2022")</f>
        <v/>
      </c>
      <c r="X581">
        <f>HYPERLINK("https://klasma.github.io/Logging_0885/kartor/A 10348-2022 karta.png", "A 10348-2022")</f>
        <v/>
      </c>
      <c r="Y581">
        <f>HYPERLINK("https://klasma.github.io/Logging_0885/kartor_geotiff/A 10348-2022 georefererad karta.tif", "A 10348-2022")</f>
        <v/>
      </c>
      <c r="AA581">
        <f>HYPERLINK("https://klasma.github.io/Logging_0885/klagomål/A 10348-2022 FSC-klagomål.docx", "A 10348-2022")</f>
        <v/>
      </c>
      <c r="AB581">
        <f>HYPERLINK("https://klasma.github.io/Logging_0885/klagomålsmail/A 10348-2022 FSC-klagomål mail.docx", "A 10348-2022")</f>
        <v/>
      </c>
      <c r="AC581">
        <f>HYPERLINK("https://klasma.github.io/Logging_0885/tillsyn/A 10348-2022 tillsynsbegäran.docx", "A 10348-2022")</f>
        <v/>
      </c>
      <c r="AD581">
        <f>HYPERLINK("https://klasma.github.io/Logging_0885/tillsynsmail/A 10348-2022 tillsynsbegäran mail.docx", "A 10348-2022")</f>
        <v/>
      </c>
    </row>
    <row r="582" ht="15" customHeight="1">
      <c r="A582" t="inlineStr">
        <is>
          <t>A 28537-2022</t>
        </is>
      </c>
      <c r="B582" t="inlineStr">
        <is>
          <t>avverkningsanmälan</t>
        </is>
      </c>
      <c r="C582" t="inlineStr">
        <is>
          <t>Föryngringsavverkning</t>
        </is>
      </c>
      <c r="D582" s="1" t="n">
        <v>44748</v>
      </c>
      <c r="E582" s="1" t="n">
        <v>46323</v>
      </c>
      <c r="F582" t="inlineStr">
        <is>
          <t>KALMAR LÄN</t>
        </is>
      </c>
      <c r="G582" t="inlineStr">
        <is>
          <t>NYBRO</t>
        </is>
      </c>
      <c r="I582" t="n">
        <v>0.5</v>
      </c>
      <c r="J582" t="n">
        <v>0</v>
      </c>
      <c r="K582" t="n">
        <v>0</v>
      </c>
      <c r="L582" t="n">
        <v>0</v>
      </c>
      <c r="M582" t="n">
        <v>1</v>
      </c>
      <c r="N582" t="n">
        <v>1</v>
      </c>
      <c r="O582" t="n">
        <v>0</v>
      </c>
      <c r="P582" t="n">
        <v>0</v>
      </c>
      <c r="Q582" t="n">
        <v>2</v>
      </c>
      <c r="R582" t="n">
        <v>2</v>
      </c>
      <c r="S582" t="n">
        <v>2</v>
      </c>
      <c r="T582" t="n">
        <v>5</v>
      </c>
      <c r="U582" t="n">
        <v>5</v>
      </c>
      <c r="V582" s="2" t="inlineStr">
        <is>
          <t>Ask
Gulvit blekspik</t>
        </is>
      </c>
      <c r="W582">
        <f>HYPERLINK("https://klasma.github.io/Logging_0881/artfynd/A 28537-2022 artfynd.xlsx", "A 28537-2022")</f>
        <v/>
      </c>
      <c r="X582">
        <f>HYPERLINK("https://klasma.github.io/Logging_0881/kartor/A 28537-2022 karta.png", "A 28537-2022")</f>
        <v/>
      </c>
      <c r="Y582">
        <f>HYPERLINK("https://klasma.github.io/Logging_0881/kartor_geotiff/A 28537-2022 georefererad karta.tif", "A 28537-2022")</f>
        <v/>
      </c>
      <c r="AA582">
        <f>HYPERLINK("https://klasma.github.io/Logging_0881/klagomål/A 28537-2022 FSC-klagomål.docx", "A 28537-2022")</f>
        <v/>
      </c>
      <c r="AB582">
        <f>HYPERLINK("https://klasma.github.io/Logging_0881/klagomålsmail/A 28537-2022 FSC-klagomål mail.docx", "A 28537-2022")</f>
        <v/>
      </c>
      <c r="AC582">
        <f>HYPERLINK("https://klasma.github.io/Logging_0881/tillsyn/A 28537-2022 tillsynsbegäran.docx", "A 28537-2022")</f>
        <v/>
      </c>
      <c r="AD582">
        <f>HYPERLINK("https://klasma.github.io/Logging_0881/tillsynsmail/A 28537-2022 tillsynsbegäran mail.docx", "A 28537-2022")</f>
        <v/>
      </c>
    </row>
    <row r="583" ht="15" customHeight="1">
      <c r="A583" t="inlineStr">
        <is>
          <t>A 47326-2022</t>
        </is>
      </c>
      <c r="B583" t="inlineStr">
        <is>
          <t>avverkningsanmälan</t>
        </is>
      </c>
      <c r="C583" t="inlineStr">
        <is>
          <t>Föryngringsavverkning</t>
        </is>
      </c>
      <c r="D583" s="1" t="n">
        <v>44853</v>
      </c>
      <c r="E583" s="1" t="n">
        <v>46323</v>
      </c>
      <c r="F583" t="inlineStr">
        <is>
          <t>KALMAR LÄN</t>
        </is>
      </c>
      <c r="G583" t="inlineStr">
        <is>
          <t>NYBRO</t>
        </is>
      </c>
      <c r="I583" t="n">
        <v>2.7</v>
      </c>
      <c r="J583" t="n">
        <v>0</v>
      </c>
      <c r="K583" t="n">
        <v>1</v>
      </c>
      <c r="L583" t="n">
        <v>1</v>
      </c>
      <c r="M583" t="n">
        <v>0</v>
      </c>
      <c r="N583" t="n">
        <v>0</v>
      </c>
      <c r="O583" t="n">
        <v>0</v>
      </c>
      <c r="P583" t="n">
        <v>0</v>
      </c>
      <c r="Q583" t="n">
        <v>1</v>
      </c>
      <c r="R583" t="n">
        <v>0</v>
      </c>
      <c r="S583" t="n">
        <v>2</v>
      </c>
      <c r="T583" t="n">
        <v>3</v>
      </c>
      <c r="U583" t="n">
        <v>0</v>
      </c>
      <c r="V583" s="2" t="inlineStr">
        <is>
          <t>Veckticka
Västlig hakmossa</t>
        </is>
      </c>
      <c r="W583">
        <f>HYPERLINK("https://klasma.github.io/Logging_0881/artfynd/A 47326-2022 artfynd.xlsx", "A 47326-2022")</f>
        <v/>
      </c>
      <c r="X583">
        <f>HYPERLINK("https://klasma.github.io/Logging_0881/kartor/A 47326-2022 karta.png", "A 47326-2022")</f>
        <v/>
      </c>
      <c r="Y583">
        <f>HYPERLINK("https://klasma.github.io/Logging_0881/kartor_geotiff/A 47326-2022 georefererad karta.tif", "A 47326-2022")</f>
        <v/>
      </c>
      <c r="AA583">
        <f>HYPERLINK("https://klasma.github.io/Logging_0881/klagomål/A 47326-2022 FSC-klagomål.docx", "A 47326-2022")</f>
        <v/>
      </c>
      <c r="AB583">
        <f>HYPERLINK("https://klasma.github.io/Logging_0881/klagomålsmail/A 47326-2022 FSC-klagomål mail.docx", "A 47326-2022")</f>
        <v/>
      </c>
      <c r="AC583">
        <f>HYPERLINK("https://klasma.github.io/Logging_0881/tillsyn/A 47326-2022 tillsynsbegäran.docx", "A 47326-2022")</f>
        <v/>
      </c>
      <c r="AD583">
        <f>HYPERLINK("https://klasma.github.io/Logging_0881/tillsynsmail/A 47326-2022 tillsynsbegäran mail.docx", "A 47326-2022")</f>
        <v/>
      </c>
    </row>
    <row r="584" ht="15" customHeight="1">
      <c r="A584" t="inlineStr">
        <is>
          <t>A 5086-2022</t>
        </is>
      </c>
      <c r="B584" t="inlineStr">
        <is>
          <t>avverkningsanmälan</t>
        </is>
      </c>
      <c r="C584" t="inlineStr">
        <is>
          <t>Avverkning för annat ändamål</t>
        </is>
      </c>
      <c r="D584" s="1" t="n">
        <v>44593</v>
      </c>
      <c r="E584" s="1" t="n">
        <v>46323</v>
      </c>
      <c r="F584" t="inlineStr">
        <is>
          <t>KALMAR LÄN</t>
        </is>
      </c>
      <c r="G584" t="inlineStr">
        <is>
          <t>OSKARSHAMN</t>
        </is>
      </c>
      <c r="H584" t="inlineStr">
        <is>
          <t>Sveaskog</t>
        </is>
      </c>
      <c r="I584" t="n">
        <v>1.6</v>
      </c>
      <c r="J584" t="n">
        <v>2</v>
      </c>
      <c r="K584" t="n">
        <v>0</v>
      </c>
      <c r="L584" t="n">
        <v>1</v>
      </c>
      <c r="M584" t="n">
        <v>0</v>
      </c>
      <c r="N584" t="n">
        <v>0</v>
      </c>
      <c r="O584" t="n">
        <v>0</v>
      </c>
      <c r="P584" t="n">
        <v>0</v>
      </c>
      <c r="Q584" t="n">
        <v>1</v>
      </c>
      <c r="R584" t="n">
        <v>0</v>
      </c>
      <c r="S584" t="n">
        <v>2</v>
      </c>
      <c r="T584" t="n">
        <v>6</v>
      </c>
      <c r="U584" t="n">
        <v>6</v>
      </c>
      <c r="V584" s="2" t="inlineStr">
        <is>
          <t>Järnsparv
Kungsfågel</t>
        </is>
      </c>
      <c r="W584">
        <f>HYPERLINK("https://klasma.github.io/Logging_0882/artfynd/A 5086-2022 artfynd.xlsx", "A 5086-2022")</f>
        <v/>
      </c>
      <c r="X584">
        <f>HYPERLINK("https://klasma.github.io/Logging_0882/kartor/A 5086-2022 karta.png", "A 5086-2022")</f>
        <v/>
      </c>
      <c r="Y584">
        <f>HYPERLINK("https://klasma.github.io/Logging_0882/kartor_geotiff/A 5086-2022 georefererad karta.tif", "A 5086-2022")</f>
        <v/>
      </c>
      <c r="AA584">
        <f>HYPERLINK("https://klasma.github.io/Logging_0882/klagomål/A 5086-2022 FSC-klagomål.docx", "A 5086-2022")</f>
        <v/>
      </c>
      <c r="AB584">
        <f>HYPERLINK("https://klasma.github.io/Logging_0882/klagomålsmail/A 5086-2022 FSC-klagomål mail.docx", "A 5086-2022")</f>
        <v/>
      </c>
      <c r="AC584">
        <f>HYPERLINK("https://klasma.github.io/Logging_0882/tillsyn/A 5086-2022 tillsynsbegäran.docx", "A 5086-2022")</f>
        <v/>
      </c>
      <c r="AD584">
        <f>HYPERLINK("https://klasma.github.io/Logging_0882/tillsynsmail/A 5086-2022 tillsynsbegäran mail.docx", "A 5086-2022")</f>
        <v/>
      </c>
      <c r="AE584">
        <f>HYPERLINK("https://klasma.github.io/Logging_0882/fåglar/A 5086-2022 prioriterade fågelarter.docx", "A 5086-2022")</f>
        <v/>
      </c>
    </row>
    <row r="585" ht="15" customHeight="1">
      <c r="A585" t="inlineStr">
        <is>
          <t>A 5099-2022</t>
        </is>
      </c>
      <c r="B585" t="inlineStr">
        <is>
          <t>avverkningsanmälan</t>
        </is>
      </c>
      <c r="C585" t="inlineStr">
        <is>
          <t>Föryngringsavverkning</t>
        </is>
      </c>
      <c r="D585" s="1" t="n">
        <v>44593</v>
      </c>
      <c r="E585" s="1" t="n">
        <v>46323</v>
      </c>
      <c r="F585" t="inlineStr">
        <is>
          <t>KALMAR LÄN</t>
        </is>
      </c>
      <c r="G585" t="inlineStr">
        <is>
          <t>NYBRO</t>
        </is>
      </c>
      <c r="I585" t="n">
        <v>1.9</v>
      </c>
      <c r="J585" t="n">
        <v>1</v>
      </c>
      <c r="K585" t="n">
        <v>1</v>
      </c>
      <c r="L585" t="n">
        <v>0</v>
      </c>
      <c r="M585" t="n">
        <v>0</v>
      </c>
      <c r="N585" t="n">
        <v>0</v>
      </c>
      <c r="O585" t="n">
        <v>0</v>
      </c>
      <c r="P585" t="n">
        <v>0</v>
      </c>
      <c r="Q585" t="n">
        <v>0</v>
      </c>
      <c r="R585" t="n">
        <v>0</v>
      </c>
      <c r="S585" t="n">
        <v>2</v>
      </c>
      <c r="T585" t="n">
        <v>2</v>
      </c>
      <c r="U585" t="n">
        <v>2</v>
      </c>
      <c r="V585" s="2" t="inlineStr">
        <is>
          <t>Blomkålssvamp
Vanlig padda</t>
        </is>
      </c>
      <c r="W585">
        <f>HYPERLINK("https://klasma.github.io/Logging_0881/artfynd/A 5099-2022 artfynd.xlsx", "A 5099-2022")</f>
        <v/>
      </c>
      <c r="X585">
        <f>HYPERLINK("https://klasma.github.io/Logging_0881/kartor/A 5099-2022 karta.png", "A 5099-2022")</f>
        <v/>
      </c>
      <c r="Y585">
        <f>HYPERLINK("https://klasma.github.io/Logging_0881/kartor_geotiff/A 5099-2022 georefererad karta.tif", "A 5099-2022")</f>
        <v/>
      </c>
      <c r="AA585">
        <f>HYPERLINK("https://klasma.github.io/Logging_0881/klagomål/A 5099-2022 FSC-klagomål.docx", "A 5099-2022")</f>
        <v/>
      </c>
      <c r="AB585">
        <f>HYPERLINK("https://klasma.github.io/Logging_0881/klagomålsmail/A 5099-2022 FSC-klagomål mail.docx", "A 5099-2022")</f>
        <v/>
      </c>
      <c r="AC585">
        <f>HYPERLINK("https://klasma.github.io/Logging_0881/tillsyn/A 5099-2022 tillsynsbegäran.docx", "A 5099-2022")</f>
        <v/>
      </c>
      <c r="AD585">
        <f>HYPERLINK("https://klasma.github.io/Logging_0881/tillsynsmail/A 5099-2022 tillsynsbegäran mail.docx", "A 5099-2022")</f>
        <v/>
      </c>
    </row>
    <row r="586" ht="15" customHeight="1">
      <c r="A586" t="inlineStr">
        <is>
          <t>A 40995-2024</t>
        </is>
      </c>
      <c r="B586" t="inlineStr">
        <is>
          <t>avverkningsanmälan</t>
        </is>
      </c>
      <c r="C586" t="inlineStr">
        <is>
          <t>Föryngringsavverkning</t>
        </is>
      </c>
      <c r="D586" s="1" t="n">
        <v>45558</v>
      </c>
      <c r="E586" s="1" t="n">
        <v>46323</v>
      </c>
      <c r="F586" t="inlineStr">
        <is>
          <t>KALMAR LÄN</t>
        </is>
      </c>
      <c r="G586" t="inlineStr">
        <is>
          <t>MÖNSTERÅS</t>
        </is>
      </c>
      <c r="I586" t="n">
        <v>1.8</v>
      </c>
      <c r="J586" t="n">
        <v>1</v>
      </c>
      <c r="K586" t="n">
        <v>0</v>
      </c>
      <c r="L586" t="n">
        <v>1</v>
      </c>
      <c r="M586" t="n">
        <v>0</v>
      </c>
      <c r="N586" t="n">
        <v>0</v>
      </c>
      <c r="O586" t="n">
        <v>0</v>
      </c>
      <c r="P586" t="n">
        <v>0</v>
      </c>
      <c r="Q586" t="n">
        <v>1</v>
      </c>
      <c r="R586" t="n">
        <v>0</v>
      </c>
      <c r="S586" t="n">
        <v>2</v>
      </c>
      <c r="T586" t="n">
        <v>2</v>
      </c>
      <c r="U586" t="n">
        <v>2</v>
      </c>
      <c r="V586" s="2" t="inlineStr">
        <is>
          <t>Åkerkulla
Mattlummer</t>
        </is>
      </c>
      <c r="W586">
        <f>HYPERLINK("https://klasma.github.io/Logging_0861/artfynd/A 40995-2024 artfynd.xlsx", "A 40995-2024")</f>
        <v/>
      </c>
      <c r="X586">
        <f>HYPERLINK("https://klasma.github.io/Logging_0861/kartor/A 40995-2024 karta.png", "A 40995-2024")</f>
        <v/>
      </c>
      <c r="Y586">
        <f>HYPERLINK("https://klasma.github.io/Logging_0861/kartor_geotiff/A 40995-2024 georefererad karta.tif", "A 40995-2024")</f>
        <v/>
      </c>
      <c r="AA586">
        <f>HYPERLINK("https://klasma.github.io/Logging_0861/klagomål/A 40995-2024 FSC-klagomål.docx", "A 40995-2024")</f>
        <v/>
      </c>
      <c r="AB586">
        <f>HYPERLINK("https://klasma.github.io/Logging_0861/klagomålsmail/A 40995-2024 FSC-klagomål mail.docx", "A 40995-2024")</f>
        <v/>
      </c>
      <c r="AC586">
        <f>HYPERLINK("https://klasma.github.io/Logging_0861/tillsyn/A 40995-2024 tillsynsbegäran.docx", "A 40995-2024")</f>
        <v/>
      </c>
      <c r="AD586">
        <f>HYPERLINK("https://klasma.github.io/Logging_0861/tillsynsmail/A 40995-2024 tillsynsbegäran mail.docx", "A 40995-2024")</f>
        <v/>
      </c>
    </row>
    <row r="587" ht="15" customHeight="1">
      <c r="A587" t="inlineStr">
        <is>
          <t>A 40083-2023</t>
        </is>
      </c>
      <c r="B587" t="inlineStr">
        <is>
          <t>avverkningsanmälan</t>
        </is>
      </c>
      <c r="C587" t="inlineStr">
        <is>
          <t>Föryngringsavverkning</t>
        </is>
      </c>
      <c r="D587" s="1" t="n">
        <v>45168</v>
      </c>
      <c r="E587" s="1" t="n">
        <v>46323</v>
      </c>
      <c r="F587" t="inlineStr">
        <is>
          <t>KALMAR LÄN</t>
        </is>
      </c>
      <c r="G587" t="inlineStr">
        <is>
          <t>VIMMERBY</t>
        </is>
      </c>
      <c r="I587" t="n">
        <v>2.2</v>
      </c>
      <c r="J587" t="n">
        <v>2</v>
      </c>
      <c r="K587" t="n">
        <v>0</v>
      </c>
      <c r="L587" t="n">
        <v>1</v>
      </c>
      <c r="M587" t="n">
        <v>0</v>
      </c>
      <c r="N587" t="n">
        <v>0</v>
      </c>
      <c r="O587" t="n">
        <v>0</v>
      </c>
      <c r="P587" t="n">
        <v>0</v>
      </c>
      <c r="Q587" t="n">
        <v>1</v>
      </c>
      <c r="R587" t="n">
        <v>0</v>
      </c>
      <c r="S587" t="n">
        <v>2</v>
      </c>
      <c r="T587" t="n">
        <v>10</v>
      </c>
      <c r="U587" t="n">
        <v>10</v>
      </c>
      <c r="V587" s="2" t="inlineStr">
        <is>
          <t>Grönsångare
Revlummer</t>
        </is>
      </c>
      <c r="W587">
        <f>HYPERLINK("https://klasma.github.io/Logging_0884/artfynd/A 40083-2023 artfynd.xlsx", "A 40083-2023")</f>
        <v/>
      </c>
      <c r="X587">
        <f>HYPERLINK("https://klasma.github.io/Logging_0884/kartor/A 40083-2023 karta.png", "A 40083-2023")</f>
        <v/>
      </c>
      <c r="Y587">
        <f>HYPERLINK("https://klasma.github.io/Logging_0884/kartor_geotiff/A 40083-2023 georefererad karta.tif", "A 40083-2023")</f>
        <v/>
      </c>
      <c r="AA587">
        <f>HYPERLINK("https://klasma.github.io/Logging_0884/klagomål/A 40083-2023 FSC-klagomål.docx", "A 40083-2023")</f>
        <v/>
      </c>
      <c r="AB587">
        <f>HYPERLINK("https://klasma.github.io/Logging_0884/klagomålsmail/A 40083-2023 FSC-klagomål mail.docx", "A 40083-2023")</f>
        <v/>
      </c>
      <c r="AC587">
        <f>HYPERLINK("https://klasma.github.io/Logging_0884/tillsyn/A 40083-2023 tillsynsbegäran.docx", "A 40083-2023")</f>
        <v/>
      </c>
      <c r="AD587">
        <f>HYPERLINK("https://klasma.github.io/Logging_0884/tillsynsmail/A 40083-2023 tillsynsbegäran mail.docx", "A 40083-2023")</f>
        <v/>
      </c>
      <c r="AE587">
        <f>HYPERLINK("https://klasma.github.io/Logging_0884/fåglar/A 40083-2023 prioriterade fågelarter.docx", "A 40083-2023")</f>
        <v/>
      </c>
    </row>
    <row r="588" ht="15" customHeight="1">
      <c r="A588" t="inlineStr">
        <is>
          <t>A 40084-2023</t>
        </is>
      </c>
      <c r="B588" t="inlineStr">
        <is>
          <t>avverkningsanmälan</t>
        </is>
      </c>
      <c r="C588" t="inlineStr">
        <is>
          <t>Föryngringsavverkning</t>
        </is>
      </c>
      <c r="D588" s="1" t="n">
        <v>45168</v>
      </c>
      <c r="E588" s="1" t="n">
        <v>46323</v>
      </c>
      <c r="F588" t="inlineStr">
        <is>
          <t>KALMAR LÄN</t>
        </is>
      </c>
      <c r="G588" t="inlineStr">
        <is>
          <t>VIMMERBY</t>
        </is>
      </c>
      <c r="I588" t="n">
        <v>1.3</v>
      </c>
      <c r="J588" t="n">
        <v>2</v>
      </c>
      <c r="K588" t="n">
        <v>0</v>
      </c>
      <c r="L588" t="n">
        <v>2</v>
      </c>
      <c r="M588" t="n">
        <v>0</v>
      </c>
      <c r="N588" t="n">
        <v>0</v>
      </c>
      <c r="O588" t="n">
        <v>0</v>
      </c>
      <c r="P588" t="n">
        <v>0</v>
      </c>
      <c r="Q588" t="n">
        <v>2</v>
      </c>
      <c r="R588" t="n">
        <v>0</v>
      </c>
      <c r="S588" t="n">
        <v>2</v>
      </c>
      <c r="T588" t="n">
        <v>2</v>
      </c>
      <c r="U588" t="n">
        <v>2</v>
      </c>
      <c r="V588" s="2" t="inlineStr">
        <is>
          <t>Entita
Rödvingetrast</t>
        </is>
      </c>
      <c r="W588">
        <f>HYPERLINK("https://klasma.github.io/Logging_0884/artfynd/A 40084-2023 artfynd.xlsx", "A 40084-2023")</f>
        <v/>
      </c>
      <c r="X588">
        <f>HYPERLINK("https://klasma.github.io/Logging_0884/kartor/A 40084-2023 karta.png", "A 40084-2023")</f>
        <v/>
      </c>
      <c r="Y588">
        <f>HYPERLINK("https://klasma.github.io/Logging_0884/kartor_geotiff/A 40084-2023 georefererad karta.tif", "A 40084-2023")</f>
        <v/>
      </c>
      <c r="AA588">
        <f>HYPERLINK("https://klasma.github.io/Logging_0884/klagomål/A 40084-2023 FSC-klagomål.docx", "A 40084-2023")</f>
        <v/>
      </c>
      <c r="AB588">
        <f>HYPERLINK("https://klasma.github.io/Logging_0884/klagomålsmail/A 40084-2023 FSC-klagomål mail.docx", "A 40084-2023")</f>
        <v/>
      </c>
      <c r="AC588">
        <f>HYPERLINK("https://klasma.github.io/Logging_0884/tillsyn/A 40084-2023 tillsynsbegäran.docx", "A 40084-2023")</f>
        <v/>
      </c>
      <c r="AD588">
        <f>HYPERLINK("https://klasma.github.io/Logging_0884/tillsynsmail/A 40084-2023 tillsynsbegäran mail.docx", "A 40084-2023")</f>
        <v/>
      </c>
      <c r="AE588">
        <f>HYPERLINK("https://klasma.github.io/Logging_0884/fåglar/A 40084-2023 prioriterade fågelarter.docx", "A 40084-2023")</f>
        <v/>
      </c>
    </row>
    <row r="589" ht="15" customHeight="1">
      <c r="A589" t="inlineStr">
        <is>
          <t>A 11732-2023</t>
        </is>
      </c>
      <c r="B589" t="inlineStr">
        <is>
          <t>avverkningsanmälan</t>
        </is>
      </c>
      <c r="C589" t="inlineStr">
        <is>
          <t>Föryngringsavverkning</t>
        </is>
      </c>
      <c r="D589" s="1" t="n">
        <v>44994</v>
      </c>
      <c r="E589" s="1" t="n">
        <v>46323</v>
      </c>
      <c r="F589" t="inlineStr">
        <is>
          <t>KALMAR LÄN</t>
        </is>
      </c>
      <c r="G589" t="inlineStr">
        <is>
          <t>KALMAR</t>
        </is>
      </c>
      <c r="I589" t="n">
        <v>1</v>
      </c>
      <c r="J589" t="n">
        <v>2</v>
      </c>
      <c r="K589" t="n">
        <v>0</v>
      </c>
      <c r="L589" t="n">
        <v>0</v>
      </c>
      <c r="M589" t="n">
        <v>0</v>
      </c>
      <c r="N589" t="n">
        <v>0</v>
      </c>
      <c r="O589" t="n">
        <v>0</v>
      </c>
      <c r="P589" t="n">
        <v>0</v>
      </c>
      <c r="Q589" t="n">
        <v>0</v>
      </c>
      <c r="R589" t="n">
        <v>0</v>
      </c>
      <c r="S589" t="n">
        <v>2</v>
      </c>
      <c r="T589" t="n">
        <v>2</v>
      </c>
      <c r="U589" t="n">
        <v>0</v>
      </c>
      <c r="V589" s="2" t="inlineStr">
        <is>
          <t>Hasselmus
Röd glada</t>
        </is>
      </c>
      <c r="W589">
        <f>HYPERLINK("https://klasma.github.io/Logging_0880/artfynd/A 11732-2023 artfynd.xlsx", "A 11732-2023")</f>
        <v/>
      </c>
      <c r="X589">
        <f>HYPERLINK("https://klasma.github.io/Logging_0880/kartor/A 11732-2023 karta.png", "A 11732-2023")</f>
        <v/>
      </c>
      <c r="Y589">
        <f>HYPERLINK("https://klasma.github.io/Logging_0880/kartor_geotiff/A 11732-2023 georefererad karta.tif", "A 11732-2023")</f>
        <v/>
      </c>
      <c r="AA589">
        <f>HYPERLINK("https://klasma.github.io/Logging_0880/klagomål/A 11732-2023 FSC-klagomål.docx", "A 11732-2023")</f>
        <v/>
      </c>
      <c r="AB589">
        <f>HYPERLINK("https://klasma.github.io/Logging_0880/klagomålsmail/A 11732-2023 FSC-klagomål mail.docx", "A 11732-2023")</f>
        <v/>
      </c>
      <c r="AC589">
        <f>HYPERLINK("https://klasma.github.io/Logging_0880/tillsyn/A 11732-2023 tillsynsbegäran.docx", "A 11732-2023")</f>
        <v/>
      </c>
      <c r="AD589">
        <f>HYPERLINK("https://klasma.github.io/Logging_0880/tillsynsmail/A 11732-2023 tillsynsbegäran mail.docx", "A 11732-2023")</f>
        <v/>
      </c>
      <c r="AE589">
        <f>HYPERLINK("https://klasma.github.io/Logging_0880/fåglar/A 11732-2023 prioriterade fågelarter.docx", "A 11732-2023")</f>
        <v/>
      </c>
    </row>
    <row r="590" ht="15" customHeight="1">
      <c r="A590" t="inlineStr">
        <is>
          <t>A 11735-2023</t>
        </is>
      </c>
      <c r="B590" t="inlineStr">
        <is>
          <t>avverkningsanmälan</t>
        </is>
      </c>
      <c r="C590" t="inlineStr">
        <is>
          <t>Föryngringsavverkning</t>
        </is>
      </c>
      <c r="D590" s="1" t="n">
        <v>44994</v>
      </c>
      <c r="E590" s="1" t="n">
        <v>46323</v>
      </c>
      <c r="F590" t="inlineStr">
        <is>
          <t>KALMAR LÄN</t>
        </is>
      </c>
      <c r="G590" t="inlineStr">
        <is>
          <t>KALMAR</t>
        </is>
      </c>
      <c r="I590" t="n">
        <v>1.1</v>
      </c>
      <c r="J590" t="n">
        <v>2</v>
      </c>
      <c r="K590" t="n">
        <v>0</v>
      </c>
      <c r="L590" t="n">
        <v>0</v>
      </c>
      <c r="M590" t="n">
        <v>1</v>
      </c>
      <c r="N590" t="n">
        <v>0</v>
      </c>
      <c r="O590" t="n">
        <v>0</v>
      </c>
      <c r="P590" t="n">
        <v>0</v>
      </c>
      <c r="Q590" t="n">
        <v>1</v>
      </c>
      <c r="R590" t="n">
        <v>1</v>
      </c>
      <c r="S590" t="n">
        <v>2</v>
      </c>
      <c r="T590" t="n">
        <v>2</v>
      </c>
      <c r="U590" t="n">
        <v>2</v>
      </c>
      <c r="V590" s="2" t="inlineStr">
        <is>
          <t>Hasselsnok
Vanlig snok</t>
        </is>
      </c>
      <c r="W590">
        <f>HYPERLINK("https://klasma.github.io/Logging_0880/artfynd/A 11735-2023 artfynd.xlsx", "A 11735-2023")</f>
        <v/>
      </c>
      <c r="X590">
        <f>HYPERLINK("https://klasma.github.io/Logging_0880/kartor/A 11735-2023 karta.png", "A 11735-2023")</f>
        <v/>
      </c>
      <c r="Y590">
        <f>HYPERLINK("https://klasma.github.io/Logging_0880/kartor_geotiff/A 11735-2023 georefererad karta.tif", "A 11735-2023")</f>
        <v/>
      </c>
      <c r="AA590">
        <f>HYPERLINK("https://klasma.github.io/Logging_0880/klagomål/A 11735-2023 FSC-klagomål.docx", "A 11735-2023")</f>
        <v/>
      </c>
      <c r="AB590">
        <f>HYPERLINK("https://klasma.github.io/Logging_0880/klagomålsmail/A 11735-2023 FSC-klagomål mail.docx", "A 11735-2023")</f>
        <v/>
      </c>
      <c r="AC590">
        <f>HYPERLINK("https://klasma.github.io/Logging_0880/tillsyn/A 11735-2023 tillsynsbegäran.docx", "A 11735-2023")</f>
        <v/>
      </c>
      <c r="AD590">
        <f>HYPERLINK("https://klasma.github.io/Logging_0880/tillsynsmail/A 11735-2023 tillsynsbegäran mail.docx", "A 11735-2023")</f>
        <v/>
      </c>
    </row>
    <row r="591" ht="15" customHeight="1">
      <c r="A591" t="inlineStr">
        <is>
          <t>A 36098-2023</t>
        </is>
      </c>
      <c r="B591" t="inlineStr">
        <is>
          <t>avverkningsanmälan</t>
        </is>
      </c>
      <c r="C591" t="inlineStr">
        <is>
          <t>Föryngringsavverkning</t>
        </is>
      </c>
      <c r="D591" s="1" t="n">
        <v>45149</v>
      </c>
      <c r="E591" s="1" t="n">
        <v>46323</v>
      </c>
      <c r="F591" t="inlineStr">
        <is>
          <t>KALMAR LÄN</t>
        </is>
      </c>
      <c r="G591" t="inlineStr">
        <is>
          <t>NYBRO</t>
        </is>
      </c>
      <c r="I591" t="n">
        <v>2.3</v>
      </c>
      <c r="J591" t="n">
        <v>0</v>
      </c>
      <c r="K591" t="n">
        <v>0</v>
      </c>
      <c r="L591" t="n">
        <v>1</v>
      </c>
      <c r="M591" t="n">
        <v>0</v>
      </c>
      <c r="N591" t="n">
        <v>0</v>
      </c>
      <c r="O591" t="n">
        <v>0</v>
      </c>
      <c r="P591" t="n">
        <v>0</v>
      </c>
      <c r="Q591" t="n">
        <v>1</v>
      </c>
      <c r="R591" t="n">
        <v>0</v>
      </c>
      <c r="S591" t="n">
        <v>2</v>
      </c>
      <c r="T591" t="n">
        <v>2</v>
      </c>
      <c r="U591" t="n">
        <v>2</v>
      </c>
      <c r="V591" s="2" t="inlineStr">
        <is>
          <t>Svart skogssnigel
Kärrviol</t>
        </is>
      </c>
      <c r="W591">
        <f>HYPERLINK("https://klasma.github.io/Logging_0881/artfynd/A 36098-2023 artfynd.xlsx", "A 36098-2023")</f>
        <v/>
      </c>
      <c r="X591">
        <f>HYPERLINK("https://klasma.github.io/Logging_0881/kartor/A 36098-2023 karta.png", "A 36098-2023")</f>
        <v/>
      </c>
      <c r="Y591">
        <f>HYPERLINK("https://klasma.github.io/Logging_0881/kartor_geotiff/A 36098-2023 georefererad karta.tif", "A 36098-2023")</f>
        <v/>
      </c>
      <c r="AA591">
        <f>HYPERLINK("https://klasma.github.io/Logging_0881/klagomål/A 36098-2023 FSC-klagomål.docx", "A 36098-2023")</f>
        <v/>
      </c>
      <c r="AB591">
        <f>HYPERLINK("https://klasma.github.io/Logging_0881/klagomålsmail/A 36098-2023 FSC-klagomål mail.docx", "A 36098-2023")</f>
        <v/>
      </c>
      <c r="AC591">
        <f>HYPERLINK("https://klasma.github.io/Logging_0881/tillsyn/A 36098-2023 tillsynsbegäran.docx", "A 36098-2023")</f>
        <v/>
      </c>
      <c r="AD591">
        <f>HYPERLINK("https://klasma.github.io/Logging_0881/tillsynsmail/A 36098-2023 tillsynsbegäran mail.docx", "A 36098-2023")</f>
        <v/>
      </c>
    </row>
    <row r="592" ht="15" customHeight="1">
      <c r="A592" t="inlineStr">
        <is>
          <t>A 9153-2023</t>
        </is>
      </c>
      <c r="B592" t="inlineStr">
        <is>
          <t>avverkningsanmälan</t>
        </is>
      </c>
      <c r="C592" t="inlineStr">
        <is>
          <t>Föryngringsavverkning</t>
        </is>
      </c>
      <c r="D592" s="1" t="n">
        <v>44980</v>
      </c>
      <c r="E592" s="1" t="n">
        <v>46323</v>
      </c>
      <c r="F592" t="inlineStr">
        <is>
          <t>KALMAR LÄN</t>
        </is>
      </c>
      <c r="G592" t="inlineStr">
        <is>
          <t>NYBRO</t>
        </is>
      </c>
      <c r="I592" t="n">
        <v>2</v>
      </c>
      <c r="J592" t="n">
        <v>2</v>
      </c>
      <c r="K592" t="n">
        <v>0</v>
      </c>
      <c r="L592" t="n">
        <v>1</v>
      </c>
      <c r="M592" t="n">
        <v>1</v>
      </c>
      <c r="N592" t="n">
        <v>0</v>
      </c>
      <c r="O592" t="n">
        <v>0</v>
      </c>
      <c r="P592" t="n">
        <v>0</v>
      </c>
      <c r="Q592" t="n">
        <v>2</v>
      </c>
      <c r="R592" t="n">
        <v>1</v>
      </c>
      <c r="S592" t="n">
        <v>2</v>
      </c>
      <c r="T592" t="n">
        <v>3</v>
      </c>
      <c r="U592" t="n">
        <v>3</v>
      </c>
      <c r="V592" s="2" t="inlineStr">
        <is>
          <t>Sandödla
Mindre hackspett</t>
        </is>
      </c>
      <c r="W592">
        <f>HYPERLINK("https://klasma.github.io/Logging_0881/artfynd/A 9153-2023 artfynd.xlsx", "A 9153-2023")</f>
        <v/>
      </c>
      <c r="X592">
        <f>HYPERLINK("https://klasma.github.io/Logging_0881/kartor/A 9153-2023 karta.png", "A 9153-2023")</f>
        <v/>
      </c>
      <c r="Y592">
        <f>HYPERLINK("https://klasma.github.io/Logging_0881/kartor_geotiff/A 9153-2023 georefererad karta.tif", "A 9153-2023")</f>
        <v/>
      </c>
      <c r="AA592">
        <f>HYPERLINK("https://klasma.github.io/Logging_0881/klagomål/A 9153-2023 FSC-klagomål.docx", "A 9153-2023")</f>
        <v/>
      </c>
      <c r="AB592">
        <f>HYPERLINK("https://klasma.github.io/Logging_0881/klagomålsmail/A 9153-2023 FSC-klagomål mail.docx", "A 9153-2023")</f>
        <v/>
      </c>
      <c r="AC592">
        <f>HYPERLINK("https://klasma.github.io/Logging_0881/tillsyn/A 9153-2023 tillsynsbegäran.docx", "A 9153-2023")</f>
        <v/>
      </c>
      <c r="AD592">
        <f>HYPERLINK("https://klasma.github.io/Logging_0881/tillsynsmail/A 9153-2023 tillsynsbegäran mail.docx", "A 9153-2023")</f>
        <v/>
      </c>
      <c r="AE592">
        <f>HYPERLINK("https://klasma.github.io/Logging_0881/fåglar/A 9153-2023 prioriterade fågelarter.docx", "A 9153-2023")</f>
        <v/>
      </c>
    </row>
    <row r="593" ht="15" customHeight="1">
      <c r="A593" t="inlineStr">
        <is>
          <t>A 69653-2021</t>
        </is>
      </c>
      <c r="B593" t="inlineStr">
        <is>
          <t>avverkningsanmälan</t>
        </is>
      </c>
      <c r="C593" t="inlineStr">
        <is>
          <t>Föryngringsavverkning</t>
        </is>
      </c>
      <c r="D593" s="1" t="n">
        <v>44532</v>
      </c>
      <c r="E593" s="1" t="n">
        <v>46323</v>
      </c>
      <c r="F593" t="inlineStr">
        <is>
          <t>KALMAR LÄN</t>
        </is>
      </c>
      <c r="G593" t="inlineStr">
        <is>
          <t>HULTSFRED</t>
        </is>
      </c>
      <c r="I593" t="n">
        <v>0.5</v>
      </c>
      <c r="J593" t="n">
        <v>1</v>
      </c>
      <c r="K593" t="n">
        <v>1</v>
      </c>
      <c r="L593" t="n">
        <v>1</v>
      </c>
      <c r="M593" t="n">
        <v>0</v>
      </c>
      <c r="N593" t="n">
        <v>0</v>
      </c>
      <c r="O593" t="n">
        <v>0</v>
      </c>
      <c r="P593" t="n">
        <v>0</v>
      </c>
      <c r="Q593" t="n">
        <v>1</v>
      </c>
      <c r="R593" t="n">
        <v>0</v>
      </c>
      <c r="S593" t="n">
        <v>2</v>
      </c>
      <c r="T593" t="n">
        <v>2</v>
      </c>
      <c r="U593" t="n">
        <v>2</v>
      </c>
      <c r="V593" s="2" t="inlineStr">
        <is>
          <t>Gullklöver
Purpurknipprot</t>
        </is>
      </c>
      <c r="W593">
        <f>HYPERLINK("https://klasma.github.io/Logging_0860/artfynd/A 69653-2021 artfynd.xlsx", "A 69653-2021")</f>
        <v/>
      </c>
      <c r="X593">
        <f>HYPERLINK("https://klasma.github.io/Logging_0860/kartor/A 69653-2021 karta.png", "A 69653-2021")</f>
        <v/>
      </c>
      <c r="Y593">
        <f>HYPERLINK("https://klasma.github.io/Logging_0860/kartor_geotiff/A 69653-2021 georefererad karta.tif", "A 69653-2021")</f>
        <v/>
      </c>
      <c r="AA593">
        <f>HYPERLINK("https://klasma.github.io/Logging_0860/klagomål/A 69653-2021 FSC-klagomål.docx", "A 69653-2021")</f>
        <v/>
      </c>
      <c r="AB593">
        <f>HYPERLINK("https://klasma.github.io/Logging_0860/klagomålsmail/A 69653-2021 FSC-klagomål mail.docx", "A 69653-2021")</f>
        <v/>
      </c>
      <c r="AC593">
        <f>HYPERLINK("https://klasma.github.io/Logging_0860/tillsyn/A 69653-2021 tillsynsbegäran.docx", "A 69653-2021")</f>
        <v/>
      </c>
      <c r="AD593">
        <f>HYPERLINK("https://klasma.github.io/Logging_0860/tillsynsmail/A 69653-2021 tillsynsbegäran mail.docx", "A 69653-2021")</f>
        <v/>
      </c>
    </row>
    <row r="594" ht="15" customHeight="1">
      <c r="A594" t="inlineStr">
        <is>
          <t>A 25435-2023</t>
        </is>
      </c>
      <c r="B594" t="inlineStr">
        <is>
          <t>avverkningsanmälan</t>
        </is>
      </c>
      <c r="C594" t="inlineStr">
        <is>
          <t>Föryngringsavverkning</t>
        </is>
      </c>
      <c r="D594" s="1" t="n">
        <v>45089</v>
      </c>
      <c r="E594" s="1" t="n">
        <v>46323</v>
      </c>
      <c r="F594" t="inlineStr">
        <is>
          <t>KALMAR LÄN</t>
        </is>
      </c>
      <c r="G594" t="inlineStr">
        <is>
          <t>VÄSTERVIK</t>
        </is>
      </c>
      <c r="I594" t="n">
        <v>1.6</v>
      </c>
      <c r="J594" t="n">
        <v>2</v>
      </c>
      <c r="K594" t="n">
        <v>0</v>
      </c>
      <c r="L594" t="n">
        <v>0</v>
      </c>
      <c r="M594" t="n">
        <v>1</v>
      </c>
      <c r="N594" t="n">
        <v>0</v>
      </c>
      <c r="O594" t="n">
        <v>0</v>
      </c>
      <c r="P594" t="n">
        <v>0</v>
      </c>
      <c r="Q594" t="n">
        <v>1</v>
      </c>
      <c r="R594" t="n">
        <v>1</v>
      </c>
      <c r="S594" t="n">
        <v>2</v>
      </c>
      <c r="T594" t="n">
        <v>3</v>
      </c>
      <c r="U594" t="n">
        <v>3</v>
      </c>
      <c r="V594" s="2" t="inlineStr">
        <is>
          <t>Knärot
Tjäder</t>
        </is>
      </c>
      <c r="W594">
        <f>HYPERLINK("https://klasma.github.io/Logging_0883/artfynd/A 25435-2023 artfynd.xlsx", "A 25435-2023")</f>
        <v/>
      </c>
      <c r="X594">
        <f>HYPERLINK("https://klasma.github.io/Logging_0883/kartor/A 25435-2023 karta.png", "A 25435-2023")</f>
        <v/>
      </c>
      <c r="Y594">
        <f>HYPERLINK("https://klasma.github.io/Logging_0883/kartor_geotiff/A 25435-2023 georefererad karta.tif", "A 25435-2023")</f>
        <v/>
      </c>
      <c r="Z594">
        <f>HYPERLINK("https://klasma.github.io/Logging_0883/knärot/A 25435-2023 karta knärot.png", "A 25435-2023")</f>
        <v/>
      </c>
      <c r="AA594">
        <f>HYPERLINK("https://klasma.github.io/Logging_0883/klagomål/A 25435-2023 FSC-klagomål.docx", "A 25435-2023")</f>
        <v/>
      </c>
      <c r="AB594">
        <f>HYPERLINK("https://klasma.github.io/Logging_0883/klagomålsmail/A 25435-2023 FSC-klagomål mail.docx", "A 25435-2023")</f>
        <v/>
      </c>
      <c r="AC594">
        <f>HYPERLINK("https://klasma.github.io/Logging_0883/tillsyn/A 25435-2023 tillsynsbegäran.docx", "A 25435-2023")</f>
        <v/>
      </c>
      <c r="AD594">
        <f>HYPERLINK("https://klasma.github.io/Logging_0883/tillsynsmail/A 25435-2023 tillsynsbegäran mail.docx", "A 25435-2023")</f>
        <v/>
      </c>
      <c r="AE594">
        <f>HYPERLINK("https://klasma.github.io/Logging_0883/fåglar/A 25435-2023 prioriterade fågelarter.docx", "A 25435-2023")</f>
        <v/>
      </c>
    </row>
    <row r="595" ht="15" customHeight="1">
      <c r="A595" t="inlineStr">
        <is>
          <t>A 44711-2023</t>
        </is>
      </c>
      <c r="B595" t="inlineStr">
        <is>
          <t>avverkningsanmälan</t>
        </is>
      </c>
      <c r="C595" t="inlineStr">
        <is>
          <t>Föryngringsavverkning</t>
        </is>
      </c>
      <c r="D595" s="1" t="n">
        <v>45190</v>
      </c>
      <c r="E595" s="1" t="n">
        <v>46323</v>
      </c>
      <c r="F595" t="inlineStr">
        <is>
          <t>KALMAR LÄN</t>
        </is>
      </c>
      <c r="G595" t="inlineStr">
        <is>
          <t>KALMAR</t>
        </is>
      </c>
      <c r="I595" t="n">
        <v>0.4</v>
      </c>
      <c r="J595" t="n">
        <v>2</v>
      </c>
      <c r="K595" t="n">
        <v>0</v>
      </c>
      <c r="L595" t="n">
        <v>1</v>
      </c>
      <c r="M595" t="n">
        <v>0</v>
      </c>
      <c r="N595" t="n">
        <v>0</v>
      </c>
      <c r="O595" t="n">
        <v>0</v>
      </c>
      <c r="P595" t="n">
        <v>0</v>
      </c>
      <c r="Q595" t="n">
        <v>1</v>
      </c>
      <c r="R595" t="n">
        <v>0</v>
      </c>
      <c r="S595" t="n">
        <v>2</v>
      </c>
      <c r="T595" t="n">
        <v>2</v>
      </c>
      <c r="U595" t="n">
        <v>0</v>
      </c>
      <c r="V595" s="2" t="inlineStr">
        <is>
          <t>Gulsparv
Havsörn</t>
        </is>
      </c>
      <c r="W595">
        <f>HYPERLINK("https://klasma.github.io/Logging_0880/artfynd/A 44711-2023 artfynd.xlsx", "A 44711-2023")</f>
        <v/>
      </c>
      <c r="X595">
        <f>HYPERLINK("https://klasma.github.io/Logging_0880/kartor/A 44711-2023 karta.png", "A 44711-2023")</f>
        <v/>
      </c>
      <c r="Y595">
        <f>HYPERLINK("https://klasma.github.io/Logging_0880/kartor_geotiff/A 44711-2023 georefererad karta.tif", "A 44711-2023")</f>
        <v/>
      </c>
      <c r="AA595">
        <f>HYPERLINK("https://klasma.github.io/Logging_0880/klagomål/A 44711-2023 FSC-klagomål.docx", "A 44711-2023")</f>
        <v/>
      </c>
      <c r="AB595">
        <f>HYPERLINK("https://klasma.github.io/Logging_0880/klagomålsmail/A 44711-2023 FSC-klagomål mail.docx", "A 44711-2023")</f>
        <v/>
      </c>
      <c r="AC595">
        <f>HYPERLINK("https://klasma.github.io/Logging_0880/tillsyn/A 44711-2023 tillsynsbegäran.docx", "A 44711-2023")</f>
        <v/>
      </c>
      <c r="AD595">
        <f>HYPERLINK("https://klasma.github.io/Logging_0880/tillsynsmail/A 44711-2023 tillsynsbegäran mail.docx", "A 44711-2023")</f>
        <v/>
      </c>
      <c r="AE595">
        <f>HYPERLINK("https://klasma.github.io/Logging_0880/fåglar/A 44711-2023 prioriterade fågelarter.docx", "A 44711-2023")</f>
        <v/>
      </c>
    </row>
    <row r="596" ht="15" customHeight="1">
      <c r="A596" t="inlineStr">
        <is>
          <t>A 3658-2024</t>
        </is>
      </c>
      <c r="B596" t="inlineStr">
        <is>
          <t>avverkningsanmälan</t>
        </is>
      </c>
      <c r="C596" t="inlineStr">
        <is>
          <t>Föryngringsavverkning</t>
        </is>
      </c>
      <c r="D596" s="1" t="n">
        <v>45321</v>
      </c>
      <c r="E596" s="1" t="n">
        <v>46323</v>
      </c>
      <c r="F596" t="inlineStr">
        <is>
          <t>KALMAR LÄN</t>
        </is>
      </c>
      <c r="G596" t="inlineStr">
        <is>
          <t>VÄSTERVIK</t>
        </is>
      </c>
      <c r="I596" t="n">
        <v>2.6</v>
      </c>
      <c r="J596" t="n">
        <v>1</v>
      </c>
      <c r="K596" t="n">
        <v>0</v>
      </c>
      <c r="L596" t="n">
        <v>1</v>
      </c>
      <c r="M596" t="n">
        <v>1</v>
      </c>
      <c r="N596" t="n">
        <v>0</v>
      </c>
      <c r="O596" t="n">
        <v>0</v>
      </c>
      <c r="P596" t="n">
        <v>0</v>
      </c>
      <c r="Q596" t="n">
        <v>2</v>
      </c>
      <c r="R596" t="n">
        <v>1</v>
      </c>
      <c r="S596" t="n">
        <v>2</v>
      </c>
      <c r="T596" t="n">
        <v>16</v>
      </c>
      <c r="U596" t="n">
        <v>16</v>
      </c>
      <c r="V596" s="2" t="inlineStr">
        <is>
          <t>Knärot
Tallticka</t>
        </is>
      </c>
      <c r="W596">
        <f>HYPERLINK("https://klasma.github.io/Logging_0883/artfynd/A 3658-2024 artfynd.xlsx", "A 3658-2024")</f>
        <v/>
      </c>
      <c r="X596">
        <f>HYPERLINK("https://klasma.github.io/Logging_0883/kartor/A 3658-2024 karta.png", "A 3658-2024")</f>
        <v/>
      </c>
      <c r="Y596">
        <f>HYPERLINK("https://klasma.github.io/Logging_0883/kartor_geotiff/A 3658-2024 georefererad karta.tif", "A 3658-2024")</f>
        <v/>
      </c>
      <c r="Z596">
        <f>HYPERLINK("https://klasma.github.io/Logging_0883/knärot/A 3658-2024 karta knärot.png", "A 3658-2024")</f>
        <v/>
      </c>
      <c r="AA596">
        <f>HYPERLINK("https://klasma.github.io/Logging_0883/klagomål/A 3658-2024 FSC-klagomål.docx", "A 3658-2024")</f>
        <v/>
      </c>
      <c r="AB596">
        <f>HYPERLINK("https://klasma.github.io/Logging_0883/klagomålsmail/A 3658-2024 FSC-klagomål mail.docx", "A 3658-2024")</f>
        <v/>
      </c>
      <c r="AC596">
        <f>HYPERLINK("https://klasma.github.io/Logging_0883/tillsyn/A 3658-2024 tillsynsbegäran.docx", "A 3658-2024")</f>
        <v/>
      </c>
      <c r="AD596">
        <f>HYPERLINK("https://klasma.github.io/Logging_0883/tillsynsmail/A 3658-2024 tillsynsbegäran mail.docx", "A 3658-2024")</f>
        <v/>
      </c>
    </row>
    <row r="597" ht="15" customHeight="1">
      <c r="A597" t="inlineStr">
        <is>
          <t>A 62431-2023</t>
        </is>
      </c>
      <c r="B597" t="inlineStr">
        <is>
          <t>avverkningsanmälan</t>
        </is>
      </c>
      <c r="C597" t="inlineStr">
        <is>
          <t>Föryngringsavverkning</t>
        </is>
      </c>
      <c r="D597" s="1" t="n">
        <v>45268</v>
      </c>
      <c r="E597" s="1" t="n">
        <v>46323</v>
      </c>
      <c r="F597" t="inlineStr">
        <is>
          <t>KALMAR LÄN</t>
        </is>
      </c>
      <c r="G597" t="inlineStr">
        <is>
          <t>HÖGSBY</t>
        </is>
      </c>
      <c r="I597" t="n">
        <v>4.3</v>
      </c>
      <c r="J597" t="n">
        <v>1</v>
      </c>
      <c r="K597" t="n">
        <v>0</v>
      </c>
      <c r="L597" t="n">
        <v>1</v>
      </c>
      <c r="M597" t="n">
        <v>0</v>
      </c>
      <c r="N597" t="n">
        <v>0</v>
      </c>
      <c r="O597" t="n">
        <v>0</v>
      </c>
      <c r="P597" t="n">
        <v>0</v>
      </c>
      <c r="Q597" t="n">
        <v>1</v>
      </c>
      <c r="R597" t="n">
        <v>0</v>
      </c>
      <c r="S597" t="n">
        <v>2</v>
      </c>
      <c r="T597" t="n">
        <v>2</v>
      </c>
      <c r="U597" t="n">
        <v>0</v>
      </c>
      <c r="V597" s="2" t="inlineStr">
        <is>
          <t>Tallticka
Tjäder</t>
        </is>
      </c>
      <c r="W597">
        <f>HYPERLINK("https://klasma.github.io/Logging_0821/artfynd/A 62431-2023 artfynd.xlsx", "A 62431-2023")</f>
        <v/>
      </c>
      <c r="X597">
        <f>HYPERLINK("https://klasma.github.io/Logging_0821/kartor/A 62431-2023 karta.png", "A 62431-2023")</f>
        <v/>
      </c>
      <c r="Y597">
        <f>HYPERLINK("https://klasma.github.io/Logging_0821/kartor_geotiff/A 62431-2023 georefererad karta.tif", "A 62431-2023")</f>
        <v/>
      </c>
      <c r="AA597">
        <f>HYPERLINK("https://klasma.github.io/Logging_0821/klagomål/A 62431-2023 FSC-klagomål.docx", "A 62431-2023")</f>
        <v/>
      </c>
      <c r="AB597">
        <f>HYPERLINK("https://klasma.github.io/Logging_0821/klagomålsmail/A 62431-2023 FSC-klagomål mail.docx", "A 62431-2023")</f>
        <v/>
      </c>
      <c r="AC597">
        <f>HYPERLINK("https://klasma.github.io/Logging_0821/tillsyn/A 62431-2023 tillsynsbegäran.docx", "A 62431-2023")</f>
        <v/>
      </c>
      <c r="AD597">
        <f>HYPERLINK("https://klasma.github.io/Logging_0821/tillsynsmail/A 62431-2023 tillsynsbegäran mail.docx", "A 62431-2023")</f>
        <v/>
      </c>
      <c r="AE597">
        <f>HYPERLINK("https://klasma.github.io/Logging_0821/fåglar/A 62431-2023 prioriterade fågelarter.docx", "A 62431-2023")</f>
        <v/>
      </c>
    </row>
    <row r="598" ht="15" customHeight="1">
      <c r="A598" t="inlineStr">
        <is>
          <t>A 60363-2023</t>
        </is>
      </c>
      <c r="B598" t="inlineStr">
        <is>
          <t>avverkningsanmälan</t>
        </is>
      </c>
      <c r="C598" t="inlineStr">
        <is>
          <t>Föryngringsavverkning</t>
        </is>
      </c>
      <c r="D598" s="1" t="n">
        <v>45259</v>
      </c>
      <c r="E598" s="1" t="n">
        <v>46323</v>
      </c>
      <c r="F598" t="inlineStr">
        <is>
          <t>KALMAR LÄN</t>
        </is>
      </c>
      <c r="G598" t="inlineStr">
        <is>
          <t>HULTSFRED</t>
        </is>
      </c>
      <c r="I598" t="n">
        <v>3.8</v>
      </c>
      <c r="J598" t="n">
        <v>2</v>
      </c>
      <c r="K598" t="n">
        <v>0</v>
      </c>
      <c r="L598" t="n">
        <v>1</v>
      </c>
      <c r="M598" t="n">
        <v>0</v>
      </c>
      <c r="N598" t="n">
        <v>0</v>
      </c>
      <c r="O598" t="n">
        <v>0</v>
      </c>
      <c r="P598" t="n">
        <v>0</v>
      </c>
      <c r="Q598" t="n">
        <v>1</v>
      </c>
      <c r="R598" t="n">
        <v>0</v>
      </c>
      <c r="S598" t="n">
        <v>2</v>
      </c>
      <c r="T598" t="n">
        <v>2</v>
      </c>
      <c r="U598" t="n">
        <v>0</v>
      </c>
      <c r="V598" s="2" t="inlineStr">
        <is>
          <t>Gulsparv
Röd glada</t>
        </is>
      </c>
      <c r="W598">
        <f>HYPERLINK("https://klasma.github.io/Logging_0860/artfynd/A 60363-2023 artfynd.xlsx", "A 60363-2023")</f>
        <v/>
      </c>
      <c r="X598">
        <f>HYPERLINK("https://klasma.github.io/Logging_0860/kartor/A 60363-2023 karta.png", "A 60363-2023")</f>
        <v/>
      </c>
      <c r="Y598">
        <f>HYPERLINK("https://klasma.github.io/Logging_0860/kartor_geotiff/A 60363-2023 georefererad karta.tif", "A 60363-2023")</f>
        <v/>
      </c>
      <c r="AA598">
        <f>HYPERLINK("https://klasma.github.io/Logging_0860/klagomål/A 60363-2023 FSC-klagomål.docx", "A 60363-2023")</f>
        <v/>
      </c>
      <c r="AB598">
        <f>HYPERLINK("https://klasma.github.io/Logging_0860/klagomålsmail/A 60363-2023 FSC-klagomål mail.docx", "A 60363-2023")</f>
        <v/>
      </c>
      <c r="AC598">
        <f>HYPERLINK("https://klasma.github.io/Logging_0860/tillsyn/A 60363-2023 tillsynsbegäran.docx", "A 60363-2023")</f>
        <v/>
      </c>
      <c r="AD598">
        <f>HYPERLINK("https://klasma.github.io/Logging_0860/tillsynsmail/A 60363-2023 tillsynsbegäran mail.docx", "A 60363-2023")</f>
        <v/>
      </c>
      <c r="AE598">
        <f>HYPERLINK("https://klasma.github.io/Logging_0860/fåglar/A 60363-2023 prioriterade fågelarter.docx", "A 60363-2023")</f>
        <v/>
      </c>
    </row>
    <row r="599" ht="15" customHeight="1">
      <c r="A599" t="inlineStr">
        <is>
          <t>A 41164-2023</t>
        </is>
      </c>
      <c r="B599" t="inlineStr">
        <is>
          <t>avverkningsanmälan</t>
        </is>
      </c>
      <c r="C599" t="inlineStr">
        <is>
          <t>Föryngringsavverkning</t>
        </is>
      </c>
      <c r="D599" s="1" t="n">
        <v>45174</v>
      </c>
      <c r="E599" s="1" t="n">
        <v>46323</v>
      </c>
      <c r="F599" t="inlineStr">
        <is>
          <t>KALMAR LÄN</t>
        </is>
      </c>
      <c r="G599" t="inlineStr">
        <is>
          <t>NYBRO</t>
        </is>
      </c>
      <c r="I599" t="n">
        <v>1.2</v>
      </c>
      <c r="J599" t="n">
        <v>1</v>
      </c>
      <c r="K599" t="n">
        <v>0</v>
      </c>
      <c r="L599" t="n">
        <v>2</v>
      </c>
      <c r="M599" t="n">
        <v>0</v>
      </c>
      <c r="N599" t="n">
        <v>0</v>
      </c>
      <c r="O599" t="n">
        <v>0</v>
      </c>
      <c r="P599" t="n">
        <v>0</v>
      </c>
      <c r="Q599" t="n">
        <v>2</v>
      </c>
      <c r="R599" t="n">
        <v>0</v>
      </c>
      <c r="S599" t="n">
        <v>2</v>
      </c>
      <c r="T599" t="n">
        <v>2</v>
      </c>
      <c r="U599" t="n">
        <v>2</v>
      </c>
      <c r="V599" s="2" t="inlineStr">
        <is>
          <t>Duvhök
Tallticka</t>
        </is>
      </c>
      <c r="W599">
        <f>HYPERLINK("https://klasma.github.io/Logging_0881/artfynd/A 41164-2023 artfynd.xlsx", "A 41164-2023")</f>
        <v/>
      </c>
      <c r="X599">
        <f>HYPERLINK("https://klasma.github.io/Logging_0881/kartor/A 41164-2023 karta.png", "A 41164-2023")</f>
        <v/>
      </c>
      <c r="Y599">
        <f>HYPERLINK("https://klasma.github.io/Logging_0881/kartor_geotiff/A 41164-2023 georefererad karta.tif", "A 41164-2023")</f>
        <v/>
      </c>
      <c r="AA599">
        <f>HYPERLINK("https://klasma.github.io/Logging_0881/klagomål/A 41164-2023 FSC-klagomål.docx", "A 41164-2023")</f>
        <v/>
      </c>
      <c r="AB599">
        <f>HYPERLINK("https://klasma.github.io/Logging_0881/klagomålsmail/A 41164-2023 FSC-klagomål mail.docx", "A 41164-2023")</f>
        <v/>
      </c>
      <c r="AC599">
        <f>HYPERLINK("https://klasma.github.io/Logging_0881/tillsyn/A 41164-2023 tillsynsbegäran.docx", "A 41164-2023")</f>
        <v/>
      </c>
      <c r="AD599">
        <f>HYPERLINK("https://klasma.github.io/Logging_0881/tillsynsmail/A 41164-2023 tillsynsbegäran mail.docx", "A 41164-2023")</f>
        <v/>
      </c>
      <c r="AE599">
        <f>HYPERLINK("https://klasma.github.io/Logging_0881/fåglar/A 41164-2023 prioriterade fågelarter.docx", "A 41164-2023")</f>
        <v/>
      </c>
    </row>
    <row r="600" ht="15" customHeight="1">
      <c r="A600" t="inlineStr">
        <is>
          <t>A 43548-2022</t>
        </is>
      </c>
      <c r="B600" t="inlineStr">
        <is>
          <t>avverkningsanmälan</t>
        </is>
      </c>
      <c r="C600" t="inlineStr">
        <is>
          <t>Föryngringsavverkning</t>
        </is>
      </c>
      <c r="D600" s="1" t="n">
        <v>44837</v>
      </c>
      <c r="E600" s="1" t="n">
        <v>46323</v>
      </c>
      <c r="F600" t="inlineStr">
        <is>
          <t>KALMAR LÄN</t>
        </is>
      </c>
      <c r="G600" t="inlineStr">
        <is>
          <t>OSKARSHAMN</t>
        </is>
      </c>
      <c r="I600" t="n">
        <v>1.6</v>
      </c>
      <c r="J600" t="n">
        <v>2</v>
      </c>
      <c r="K600" t="n">
        <v>1</v>
      </c>
      <c r="L600" t="n">
        <v>0</v>
      </c>
      <c r="M600" t="n">
        <v>0</v>
      </c>
      <c r="N600" t="n">
        <v>0</v>
      </c>
      <c r="O600" t="n">
        <v>0</v>
      </c>
      <c r="P600" t="n">
        <v>0</v>
      </c>
      <c r="Q600" t="n">
        <v>0</v>
      </c>
      <c r="R600" t="n">
        <v>0</v>
      </c>
      <c r="S600" t="n">
        <v>2</v>
      </c>
      <c r="T600" t="n">
        <v>2</v>
      </c>
      <c r="U600" t="n">
        <v>2</v>
      </c>
      <c r="V600" s="2" t="inlineStr">
        <is>
          <t>Ekoxe
Skogsödla</t>
        </is>
      </c>
      <c r="W600">
        <f>HYPERLINK("https://klasma.github.io/Logging_0882/artfynd/A 43548-2022 artfynd.xlsx", "A 43548-2022")</f>
        <v/>
      </c>
      <c r="X600">
        <f>HYPERLINK("https://klasma.github.io/Logging_0882/kartor/A 43548-2022 karta.png", "A 43548-2022")</f>
        <v/>
      </c>
      <c r="Y600">
        <f>HYPERLINK("https://klasma.github.io/Logging_0882/kartor_geotiff/A 43548-2022 georefererad karta.tif", "A 43548-2022")</f>
        <v/>
      </c>
      <c r="AA600">
        <f>HYPERLINK("https://klasma.github.io/Logging_0882/klagomål/A 43548-2022 FSC-klagomål.docx", "A 43548-2022")</f>
        <v/>
      </c>
      <c r="AB600">
        <f>HYPERLINK("https://klasma.github.io/Logging_0882/klagomålsmail/A 43548-2022 FSC-klagomål mail.docx", "A 43548-2022")</f>
        <v/>
      </c>
      <c r="AC600">
        <f>HYPERLINK("https://klasma.github.io/Logging_0882/tillsyn/A 43548-2022 tillsynsbegäran.docx", "A 43548-2022")</f>
        <v/>
      </c>
      <c r="AD600">
        <f>HYPERLINK("https://klasma.github.io/Logging_0882/tillsynsmail/A 43548-2022 tillsynsbegäran mail.docx", "A 43548-2022")</f>
        <v/>
      </c>
    </row>
    <row r="601" ht="15" customHeight="1">
      <c r="A601" t="inlineStr">
        <is>
          <t>A 33067-2022</t>
        </is>
      </c>
      <c r="B601" t="inlineStr">
        <is>
          <t>avverkningsanmälan</t>
        </is>
      </c>
      <c r="C601" t="inlineStr">
        <is>
          <t>Föryngringsavverkning</t>
        </is>
      </c>
      <c r="D601" s="1" t="n">
        <v>44785</v>
      </c>
      <c r="E601" s="1" t="n">
        <v>46323</v>
      </c>
      <c r="F601" t="inlineStr">
        <is>
          <t>KALMAR LÄN</t>
        </is>
      </c>
      <c r="G601" t="inlineStr">
        <is>
          <t>NYBRO</t>
        </is>
      </c>
      <c r="I601" t="n">
        <v>14.1</v>
      </c>
      <c r="J601" t="n">
        <v>1</v>
      </c>
      <c r="K601" t="n">
        <v>0</v>
      </c>
      <c r="L601" t="n">
        <v>1</v>
      </c>
      <c r="M601" t="n">
        <v>0</v>
      </c>
      <c r="N601" t="n">
        <v>0</v>
      </c>
      <c r="O601" t="n">
        <v>0</v>
      </c>
      <c r="P601" t="n">
        <v>0</v>
      </c>
      <c r="Q601" t="n">
        <v>1</v>
      </c>
      <c r="R601" t="n">
        <v>0</v>
      </c>
      <c r="S601" t="n">
        <v>2</v>
      </c>
      <c r="T601" t="n">
        <v>2</v>
      </c>
      <c r="U601" t="n">
        <v>2</v>
      </c>
      <c r="V601" s="2" t="inlineStr">
        <is>
          <t>Sommarfibbla
Tjäder</t>
        </is>
      </c>
      <c r="W601">
        <f>HYPERLINK("https://klasma.github.io/Logging_0881/artfynd/A 33067-2022 artfynd.xlsx", "A 33067-2022")</f>
        <v/>
      </c>
      <c r="X601">
        <f>HYPERLINK("https://klasma.github.io/Logging_0881/kartor/A 33067-2022 karta.png", "A 33067-2022")</f>
        <v/>
      </c>
      <c r="Y601">
        <f>HYPERLINK("https://klasma.github.io/Logging_0881/kartor_geotiff/A 33067-2022 georefererad karta.tif", "A 33067-2022")</f>
        <v/>
      </c>
      <c r="AA601">
        <f>HYPERLINK("https://klasma.github.io/Logging_0881/klagomål/A 33067-2022 FSC-klagomål.docx", "A 33067-2022")</f>
        <v/>
      </c>
      <c r="AB601">
        <f>HYPERLINK("https://klasma.github.io/Logging_0881/klagomålsmail/A 33067-2022 FSC-klagomål mail.docx", "A 33067-2022")</f>
        <v/>
      </c>
      <c r="AC601">
        <f>HYPERLINK("https://klasma.github.io/Logging_0881/tillsyn/A 33067-2022 tillsynsbegäran.docx", "A 33067-2022")</f>
        <v/>
      </c>
      <c r="AD601">
        <f>HYPERLINK("https://klasma.github.io/Logging_0881/tillsynsmail/A 33067-2022 tillsynsbegäran mail.docx", "A 33067-2022")</f>
        <v/>
      </c>
      <c r="AE601">
        <f>HYPERLINK("https://klasma.github.io/Logging_0881/fåglar/A 33067-2022 prioriterade fågelarter.docx", "A 33067-2022")</f>
        <v/>
      </c>
    </row>
    <row r="602" ht="15" customHeight="1">
      <c r="A602" t="inlineStr">
        <is>
          <t>A 17051-2024</t>
        </is>
      </c>
      <c r="B602" t="inlineStr">
        <is>
          <t>avverkningsanmälan</t>
        </is>
      </c>
      <c r="C602" t="inlineStr">
        <is>
          <t>Föryngringsavverkning</t>
        </is>
      </c>
      <c r="D602" s="1" t="n">
        <v>45412</v>
      </c>
      <c r="E602" s="1" t="n">
        <v>46323</v>
      </c>
      <c r="F602" t="inlineStr">
        <is>
          <t>KALMAR LÄN</t>
        </is>
      </c>
      <c r="G602" t="inlineStr">
        <is>
          <t>OSKARSHAMN</t>
        </is>
      </c>
      <c r="I602" t="n">
        <v>7.1</v>
      </c>
      <c r="J602" t="n">
        <v>0</v>
      </c>
      <c r="K602" t="n">
        <v>0</v>
      </c>
      <c r="L602" t="n">
        <v>2</v>
      </c>
      <c r="M602" t="n">
        <v>0</v>
      </c>
      <c r="N602" t="n">
        <v>0</v>
      </c>
      <c r="O602" t="n">
        <v>0</v>
      </c>
      <c r="P602" t="n">
        <v>0</v>
      </c>
      <c r="Q602" t="n">
        <v>2</v>
      </c>
      <c r="R602" t="n">
        <v>0</v>
      </c>
      <c r="S602" t="n">
        <v>2</v>
      </c>
      <c r="T602" t="n">
        <v>2</v>
      </c>
      <c r="U602" t="n">
        <v>0</v>
      </c>
      <c r="V602" s="2" t="inlineStr">
        <is>
          <t>Solvända
Spindelört</t>
        </is>
      </c>
      <c r="W602">
        <f>HYPERLINK("https://klasma.github.io/Logging_0882/artfynd/A 17051-2024 artfynd.xlsx", "A 17051-2024")</f>
        <v/>
      </c>
      <c r="X602">
        <f>HYPERLINK("https://klasma.github.io/Logging_0882/kartor/A 17051-2024 karta.png", "A 17051-2024")</f>
        <v/>
      </c>
      <c r="Y602">
        <f>HYPERLINK("https://klasma.github.io/Logging_0882/kartor_geotiff/A 17051-2024 georefererad karta.tif", "A 17051-2024")</f>
        <v/>
      </c>
      <c r="AA602">
        <f>HYPERLINK("https://klasma.github.io/Logging_0882/klagomål/A 17051-2024 FSC-klagomål.docx", "A 17051-2024")</f>
        <v/>
      </c>
      <c r="AB602">
        <f>HYPERLINK("https://klasma.github.io/Logging_0882/klagomålsmail/A 17051-2024 FSC-klagomål mail.docx", "A 17051-2024")</f>
        <v/>
      </c>
      <c r="AC602">
        <f>HYPERLINK("https://klasma.github.io/Logging_0882/tillsyn/A 17051-2024 tillsynsbegäran.docx", "A 17051-2024")</f>
        <v/>
      </c>
      <c r="AD602">
        <f>HYPERLINK("https://klasma.github.io/Logging_0882/tillsynsmail/A 17051-2024 tillsynsbegäran mail.docx", "A 17051-2024")</f>
        <v/>
      </c>
    </row>
    <row r="603" ht="15" customHeight="1">
      <c r="A603" t="inlineStr">
        <is>
          <t>A 26699-2023</t>
        </is>
      </c>
      <c r="B603" t="inlineStr">
        <is>
          <t>avverkningsanmälan</t>
        </is>
      </c>
      <c r="C603" t="inlineStr">
        <is>
          <t>Föryngringsavverkning</t>
        </is>
      </c>
      <c r="D603" s="1" t="n">
        <v>45093</v>
      </c>
      <c r="E603" s="1" t="n">
        <v>46323</v>
      </c>
      <c r="F603" t="inlineStr">
        <is>
          <t>KALMAR LÄN</t>
        </is>
      </c>
      <c r="G603" t="inlineStr">
        <is>
          <t>NYBRO</t>
        </is>
      </c>
      <c r="I603" t="n">
        <v>2.1</v>
      </c>
      <c r="J603" t="n">
        <v>0</v>
      </c>
      <c r="K603" t="n">
        <v>1</v>
      </c>
      <c r="L603" t="n">
        <v>1</v>
      </c>
      <c r="M603" t="n">
        <v>0</v>
      </c>
      <c r="N603" t="n">
        <v>0</v>
      </c>
      <c r="O603" t="n">
        <v>0</v>
      </c>
      <c r="P603" t="n">
        <v>0</v>
      </c>
      <c r="Q603" t="n">
        <v>1</v>
      </c>
      <c r="R603" t="n">
        <v>0</v>
      </c>
      <c r="S603" t="n">
        <v>2</v>
      </c>
      <c r="T603" t="n">
        <v>2</v>
      </c>
      <c r="U603" t="n">
        <v>2</v>
      </c>
      <c r="V603" s="2" t="inlineStr">
        <is>
          <t>Grönhjon
Vågbandad barkbock</t>
        </is>
      </c>
      <c r="W603">
        <f>HYPERLINK("https://klasma.github.io/Logging_0881/artfynd/A 26699-2023 artfynd.xlsx", "A 26699-2023")</f>
        <v/>
      </c>
      <c r="X603">
        <f>HYPERLINK("https://klasma.github.io/Logging_0881/kartor/A 26699-2023 karta.png", "A 26699-2023")</f>
        <v/>
      </c>
      <c r="Y603">
        <f>HYPERLINK("https://klasma.github.io/Logging_0881/kartor_geotiff/A 26699-2023 georefererad karta.tif", "A 26699-2023")</f>
        <v/>
      </c>
      <c r="AA603">
        <f>HYPERLINK("https://klasma.github.io/Logging_0881/klagomål/A 26699-2023 FSC-klagomål.docx", "A 26699-2023")</f>
        <v/>
      </c>
      <c r="AB603">
        <f>HYPERLINK("https://klasma.github.io/Logging_0881/klagomålsmail/A 26699-2023 FSC-klagomål mail.docx", "A 26699-2023")</f>
        <v/>
      </c>
      <c r="AC603">
        <f>HYPERLINK("https://klasma.github.io/Logging_0881/tillsyn/A 26699-2023 tillsynsbegäran.docx", "A 26699-2023")</f>
        <v/>
      </c>
      <c r="AD603">
        <f>HYPERLINK("https://klasma.github.io/Logging_0881/tillsynsmail/A 26699-2023 tillsynsbegäran mail.docx", "A 26699-2023")</f>
        <v/>
      </c>
    </row>
    <row r="604" ht="15" customHeight="1">
      <c r="A604" t="inlineStr">
        <is>
          <t>A 34563-2023</t>
        </is>
      </c>
      <c r="B604" t="inlineStr">
        <is>
          <t>avverkningsanmälan</t>
        </is>
      </c>
      <c r="C604" t="inlineStr">
        <is>
          <t>Föryngringsavverkning</t>
        </is>
      </c>
      <c r="D604" s="1" t="n">
        <v>45140</v>
      </c>
      <c r="E604" s="1" t="n">
        <v>46323</v>
      </c>
      <c r="F604" t="inlineStr">
        <is>
          <t>KALMAR LÄN</t>
        </is>
      </c>
      <c r="G604" t="inlineStr">
        <is>
          <t>VÄSTERVIK</t>
        </is>
      </c>
      <c r="I604" t="n">
        <v>1.4</v>
      </c>
      <c r="J604" t="n">
        <v>1</v>
      </c>
      <c r="K604" t="n">
        <v>0</v>
      </c>
      <c r="L604" t="n">
        <v>1</v>
      </c>
      <c r="M604" t="n">
        <v>1</v>
      </c>
      <c r="N604" t="n">
        <v>0</v>
      </c>
      <c r="O604" t="n">
        <v>0</v>
      </c>
      <c r="P604" t="n">
        <v>0</v>
      </c>
      <c r="Q604" t="n">
        <v>2</v>
      </c>
      <c r="R604" t="n">
        <v>1</v>
      </c>
      <c r="S604" t="n">
        <v>2</v>
      </c>
      <c r="T604" t="n">
        <v>2</v>
      </c>
      <c r="U604" t="n">
        <v>2</v>
      </c>
      <c r="V604" s="2" t="inlineStr">
        <is>
          <t>Knärot
Fjällig taggsvamp s.str.</t>
        </is>
      </c>
      <c r="W604">
        <f>HYPERLINK("https://klasma.github.io/Logging_0883/artfynd/A 34563-2023 artfynd.xlsx", "A 34563-2023")</f>
        <v/>
      </c>
      <c r="X604">
        <f>HYPERLINK("https://klasma.github.io/Logging_0883/kartor/A 34563-2023 karta.png", "A 34563-2023")</f>
        <v/>
      </c>
      <c r="Y604">
        <f>HYPERLINK("https://klasma.github.io/Logging_0883/kartor_geotiff/A 34563-2023 georefererad karta.tif", "A 34563-2023")</f>
        <v/>
      </c>
      <c r="Z604">
        <f>HYPERLINK("https://klasma.github.io/Logging_0883/knärot/A 34563-2023 karta knärot.png", "A 34563-2023")</f>
        <v/>
      </c>
      <c r="AA604">
        <f>HYPERLINK("https://klasma.github.io/Logging_0883/klagomål/A 34563-2023 FSC-klagomål.docx", "A 34563-2023")</f>
        <v/>
      </c>
      <c r="AB604">
        <f>HYPERLINK("https://klasma.github.io/Logging_0883/klagomålsmail/A 34563-2023 FSC-klagomål mail.docx", "A 34563-2023")</f>
        <v/>
      </c>
      <c r="AC604">
        <f>HYPERLINK("https://klasma.github.io/Logging_0883/tillsyn/A 34563-2023 tillsynsbegäran.docx", "A 34563-2023")</f>
        <v/>
      </c>
      <c r="AD604">
        <f>HYPERLINK("https://klasma.github.io/Logging_0883/tillsynsmail/A 34563-2023 tillsynsbegäran mail.docx", "A 34563-2023")</f>
        <v/>
      </c>
    </row>
    <row r="605" ht="15" customHeight="1">
      <c r="A605" t="inlineStr">
        <is>
          <t>A 46552-2022</t>
        </is>
      </c>
      <c r="B605" t="inlineStr">
        <is>
          <t>avverkningsanmälan</t>
        </is>
      </c>
      <c r="C605" t="inlineStr">
        <is>
          <t>Föryngringsavverkning</t>
        </is>
      </c>
      <c r="D605" s="1" t="n">
        <v>44848</v>
      </c>
      <c r="E605" s="1" t="n">
        <v>46323</v>
      </c>
      <c r="F605" t="inlineStr">
        <is>
          <t>KALMAR LÄN</t>
        </is>
      </c>
      <c r="G605" t="inlineStr">
        <is>
          <t>VÄSTERVIK</t>
        </is>
      </c>
      <c r="H605" t="inlineStr">
        <is>
          <t>Sveaskog</t>
        </is>
      </c>
      <c r="I605" t="n">
        <v>1.7</v>
      </c>
      <c r="J605" t="n">
        <v>0</v>
      </c>
      <c r="K605" t="n">
        <v>0</v>
      </c>
      <c r="L605" t="n">
        <v>2</v>
      </c>
      <c r="M605" t="n">
        <v>0</v>
      </c>
      <c r="N605" t="n">
        <v>0</v>
      </c>
      <c r="O605" t="n">
        <v>0</v>
      </c>
      <c r="P605" t="n">
        <v>0</v>
      </c>
      <c r="Q605" t="n">
        <v>2</v>
      </c>
      <c r="R605" t="n">
        <v>0</v>
      </c>
      <c r="S605" t="n">
        <v>2</v>
      </c>
      <c r="T605" t="n">
        <v>2</v>
      </c>
      <c r="U605" t="n">
        <v>2</v>
      </c>
      <c r="V605" s="2" t="inlineStr">
        <is>
          <t>Motaggsvamp
Sårläka</t>
        </is>
      </c>
      <c r="W605">
        <f>HYPERLINK("https://klasma.github.io/Logging_0883/artfynd/A 46552-2022 artfynd.xlsx", "A 46552-2022")</f>
        <v/>
      </c>
      <c r="X605">
        <f>HYPERLINK("https://klasma.github.io/Logging_0883/kartor/A 46552-2022 karta.png", "A 46552-2022")</f>
        <v/>
      </c>
      <c r="Y605">
        <f>HYPERLINK("https://klasma.github.io/Logging_0883/kartor_geotiff/A 46552-2022 georefererad karta.tif", "A 46552-2022")</f>
        <v/>
      </c>
      <c r="AA605">
        <f>HYPERLINK("https://klasma.github.io/Logging_0883/klagomål/A 46552-2022 FSC-klagomål.docx", "A 46552-2022")</f>
        <v/>
      </c>
      <c r="AB605">
        <f>HYPERLINK("https://klasma.github.io/Logging_0883/klagomålsmail/A 46552-2022 FSC-klagomål mail.docx", "A 46552-2022")</f>
        <v/>
      </c>
      <c r="AC605">
        <f>HYPERLINK("https://klasma.github.io/Logging_0883/tillsyn/A 46552-2022 tillsynsbegäran.docx", "A 46552-2022")</f>
        <v/>
      </c>
      <c r="AD605">
        <f>HYPERLINK("https://klasma.github.io/Logging_0883/tillsynsmail/A 46552-2022 tillsynsbegäran mail.docx", "A 46552-2022")</f>
        <v/>
      </c>
    </row>
    <row r="606" ht="15" customHeight="1">
      <c r="A606" t="inlineStr">
        <is>
          <t>A 10836-2025</t>
        </is>
      </c>
      <c r="B606" t="inlineStr">
        <is>
          <t>avverkningsanmälan</t>
        </is>
      </c>
      <c r="C606" t="inlineStr">
        <is>
          <t>Föryngringsavverkning</t>
        </is>
      </c>
      <c r="D606" s="1" t="n">
        <v>45722</v>
      </c>
      <c r="E606" s="1" t="n">
        <v>46323</v>
      </c>
      <c r="F606" t="inlineStr">
        <is>
          <t>KALMAR LÄN</t>
        </is>
      </c>
      <c r="G606" t="inlineStr">
        <is>
          <t>KALMAR</t>
        </is>
      </c>
      <c r="H606" t="inlineStr">
        <is>
          <t>Sveaskog</t>
        </is>
      </c>
      <c r="I606" t="n">
        <v>9.300000000000001</v>
      </c>
      <c r="J606" t="n">
        <v>2</v>
      </c>
      <c r="K606" t="n">
        <v>0</v>
      </c>
      <c r="L606" t="n">
        <v>0</v>
      </c>
      <c r="M606" t="n">
        <v>0</v>
      </c>
      <c r="N606" t="n">
        <v>2</v>
      </c>
      <c r="O606" t="n">
        <v>0</v>
      </c>
      <c r="P606" t="n">
        <v>0</v>
      </c>
      <c r="Q606" t="n">
        <v>2</v>
      </c>
      <c r="R606" t="n">
        <v>2</v>
      </c>
      <c r="S606" t="n">
        <v>2</v>
      </c>
      <c r="T606" t="n">
        <v>2</v>
      </c>
      <c r="U606" t="n">
        <v>1</v>
      </c>
      <c r="V606" s="2" t="inlineStr">
        <is>
          <t>Hornuggla
Pärluggla</t>
        </is>
      </c>
      <c r="W606">
        <f>HYPERLINK("https://klasma.github.io/Logging_0880/artfynd/A 10836-2025 artfynd.xlsx", "A 10836-2025")</f>
        <v/>
      </c>
      <c r="X606">
        <f>HYPERLINK("https://klasma.github.io/Logging_0880/kartor/A 10836-2025 karta.png", "A 10836-2025")</f>
        <v/>
      </c>
      <c r="Y606">
        <f>HYPERLINK("https://klasma.github.io/Logging_0880/kartor_geotiff/A 10836-2025 georefererad karta.tif", "A 10836-2025")</f>
        <v/>
      </c>
      <c r="AA606">
        <f>HYPERLINK("https://klasma.github.io/Logging_0880/klagomål/A 10836-2025 FSC-klagomål.docx", "A 10836-2025")</f>
        <v/>
      </c>
      <c r="AB606">
        <f>HYPERLINK("https://klasma.github.io/Logging_0880/klagomålsmail/A 10836-2025 FSC-klagomål mail.docx", "A 10836-2025")</f>
        <v/>
      </c>
      <c r="AC606">
        <f>HYPERLINK("https://klasma.github.io/Logging_0880/tillsyn/A 10836-2025 tillsynsbegäran.docx", "A 10836-2025")</f>
        <v/>
      </c>
      <c r="AD606">
        <f>HYPERLINK("https://klasma.github.io/Logging_0880/tillsynsmail/A 10836-2025 tillsynsbegäran mail.docx", "A 10836-2025")</f>
        <v/>
      </c>
      <c r="AE606">
        <f>HYPERLINK("https://klasma.github.io/Logging_0880/fåglar/A 10836-2025 prioriterade fågelarter.docx", "A 10836-2025")</f>
        <v/>
      </c>
    </row>
    <row r="607" ht="15" customHeight="1">
      <c r="A607" t="inlineStr">
        <is>
          <t>A 10998-2025</t>
        </is>
      </c>
      <c r="B607" t="inlineStr">
        <is>
          <t>avverkningsanmälan</t>
        </is>
      </c>
      <c r="C607" t="inlineStr">
        <is>
          <t>Föryngringsavverkning</t>
        </is>
      </c>
      <c r="D607" s="1" t="n">
        <v>45723</v>
      </c>
      <c r="E607" s="1" t="n">
        <v>46323</v>
      </c>
      <c r="F607" t="inlineStr">
        <is>
          <t>KALMAR LÄN</t>
        </is>
      </c>
      <c r="G607" t="inlineStr">
        <is>
          <t>HULTSFRED</t>
        </is>
      </c>
      <c r="H607" t="inlineStr">
        <is>
          <t>Sveaskog</t>
        </is>
      </c>
      <c r="I607" t="n">
        <v>1.3</v>
      </c>
      <c r="J607" t="n">
        <v>2</v>
      </c>
      <c r="K607" t="n">
        <v>0</v>
      </c>
      <c r="L607" t="n">
        <v>1</v>
      </c>
      <c r="M607" t="n">
        <v>0</v>
      </c>
      <c r="N607" t="n">
        <v>0</v>
      </c>
      <c r="O607" t="n">
        <v>0</v>
      </c>
      <c r="P607" t="n">
        <v>0</v>
      </c>
      <c r="Q607" t="n">
        <v>1</v>
      </c>
      <c r="R607" t="n">
        <v>0</v>
      </c>
      <c r="S607" t="n">
        <v>2</v>
      </c>
      <c r="T607" t="n">
        <v>2</v>
      </c>
      <c r="U607" t="n">
        <v>0</v>
      </c>
      <c r="V607" s="2" t="inlineStr">
        <is>
          <t>Grönsångare
Spillkråka</t>
        </is>
      </c>
      <c r="W607">
        <f>HYPERLINK("https://klasma.github.io/Logging_0860/artfynd/A 10998-2025 artfynd.xlsx", "A 10998-2025")</f>
        <v/>
      </c>
      <c r="X607">
        <f>HYPERLINK("https://klasma.github.io/Logging_0860/kartor/A 10998-2025 karta.png", "A 10998-2025")</f>
        <v/>
      </c>
      <c r="Y607">
        <f>HYPERLINK("https://klasma.github.io/Logging_0860/kartor_geotiff/A 10998-2025 georefererad karta.tif", "A 10998-2025")</f>
        <v/>
      </c>
      <c r="AA607">
        <f>HYPERLINK("https://klasma.github.io/Logging_0860/klagomål/A 10998-2025 FSC-klagomål.docx", "A 10998-2025")</f>
        <v/>
      </c>
      <c r="AB607">
        <f>HYPERLINK("https://klasma.github.io/Logging_0860/klagomålsmail/A 10998-2025 FSC-klagomål mail.docx", "A 10998-2025")</f>
        <v/>
      </c>
      <c r="AC607">
        <f>HYPERLINK("https://klasma.github.io/Logging_0860/tillsyn/A 10998-2025 tillsynsbegäran.docx", "A 10998-2025")</f>
        <v/>
      </c>
      <c r="AD607">
        <f>HYPERLINK("https://klasma.github.io/Logging_0860/tillsynsmail/A 10998-2025 tillsynsbegäran mail.docx", "A 10998-2025")</f>
        <v/>
      </c>
      <c r="AE607">
        <f>HYPERLINK("https://klasma.github.io/Logging_0860/fåglar/A 10998-2025 prioriterade fågelarter.docx", "A 10998-2025")</f>
        <v/>
      </c>
    </row>
    <row r="608" ht="15" customHeight="1">
      <c r="A608" t="inlineStr">
        <is>
          <t>A 65930-2021</t>
        </is>
      </c>
      <c r="B608" t="inlineStr">
        <is>
          <t>avverkningsanmälan</t>
        </is>
      </c>
      <c r="C608" t="inlineStr">
        <is>
          <t>Föryngringsavverkning</t>
        </is>
      </c>
      <c r="D608" s="1" t="n">
        <v>44517</v>
      </c>
      <c r="E608" s="1" t="n">
        <v>46323</v>
      </c>
      <c r="F608" t="inlineStr">
        <is>
          <t>KALMAR LÄN</t>
        </is>
      </c>
      <c r="G608" t="inlineStr">
        <is>
          <t>KALMAR</t>
        </is>
      </c>
      <c r="I608" t="n">
        <v>1</v>
      </c>
      <c r="J608" t="n">
        <v>2</v>
      </c>
      <c r="K608" t="n">
        <v>0</v>
      </c>
      <c r="L608" t="n">
        <v>1</v>
      </c>
      <c r="M608" t="n">
        <v>0</v>
      </c>
      <c r="N608" t="n">
        <v>0</v>
      </c>
      <c r="O608" t="n">
        <v>0</v>
      </c>
      <c r="P608" t="n">
        <v>0</v>
      </c>
      <c r="Q608" t="n">
        <v>1</v>
      </c>
      <c r="R608" t="n">
        <v>0</v>
      </c>
      <c r="S608" t="n">
        <v>2</v>
      </c>
      <c r="T608" t="n">
        <v>2</v>
      </c>
      <c r="U608" t="n">
        <v>2</v>
      </c>
      <c r="V608" s="2" t="inlineStr">
        <is>
          <t>Gulsparv
Spillkråka</t>
        </is>
      </c>
      <c r="W608">
        <f>HYPERLINK("https://klasma.github.io/Logging_0880/artfynd/A 65930-2021 artfynd.xlsx", "A 65930-2021")</f>
        <v/>
      </c>
      <c r="X608">
        <f>HYPERLINK("https://klasma.github.io/Logging_0880/kartor/A 65930-2021 karta.png", "A 65930-2021")</f>
        <v/>
      </c>
      <c r="Y608">
        <f>HYPERLINK("https://klasma.github.io/Logging_0880/kartor_geotiff/A 65930-2021 georefererad karta.tif", "A 65930-2021")</f>
        <v/>
      </c>
      <c r="AA608">
        <f>HYPERLINK("https://klasma.github.io/Logging_0880/klagomål/A 65930-2021 FSC-klagomål.docx", "A 65930-2021")</f>
        <v/>
      </c>
      <c r="AB608">
        <f>HYPERLINK("https://klasma.github.io/Logging_0880/klagomålsmail/A 65930-2021 FSC-klagomål mail.docx", "A 65930-2021")</f>
        <v/>
      </c>
      <c r="AC608">
        <f>HYPERLINK("https://klasma.github.io/Logging_0880/tillsyn/A 65930-2021 tillsynsbegäran.docx", "A 65930-2021")</f>
        <v/>
      </c>
      <c r="AD608">
        <f>HYPERLINK("https://klasma.github.io/Logging_0880/tillsynsmail/A 65930-2021 tillsynsbegäran mail.docx", "A 65930-2021")</f>
        <v/>
      </c>
      <c r="AE608">
        <f>HYPERLINK("https://klasma.github.io/Logging_0880/fåglar/A 65930-2021 prioriterade fågelarter.docx", "A 65930-2021")</f>
        <v/>
      </c>
    </row>
    <row r="609" ht="15" customHeight="1">
      <c r="A609" t="inlineStr">
        <is>
          <t>A 56482-2023</t>
        </is>
      </c>
      <c r="B609" t="inlineStr">
        <is>
          <t>avverkningsanmälan</t>
        </is>
      </c>
      <c r="C609" t="inlineStr">
        <is>
          <t>Föryngringsavverkning</t>
        </is>
      </c>
      <c r="D609" s="1" t="n">
        <v>45243</v>
      </c>
      <c r="E609" s="1" t="n">
        <v>46323</v>
      </c>
      <c r="F609" t="inlineStr">
        <is>
          <t>KALMAR LÄN</t>
        </is>
      </c>
      <c r="G609" t="inlineStr">
        <is>
          <t>KALMAR</t>
        </is>
      </c>
      <c r="I609" t="n">
        <v>2.7</v>
      </c>
      <c r="J609" t="n">
        <v>1</v>
      </c>
      <c r="K609" t="n">
        <v>1</v>
      </c>
      <c r="L609" t="n">
        <v>0</v>
      </c>
      <c r="M609" t="n">
        <v>0</v>
      </c>
      <c r="N609" t="n">
        <v>0</v>
      </c>
      <c r="O609" t="n">
        <v>0</v>
      </c>
      <c r="P609" t="n">
        <v>0</v>
      </c>
      <c r="Q609" t="n">
        <v>0</v>
      </c>
      <c r="R609" t="n">
        <v>0</v>
      </c>
      <c r="S609" t="n">
        <v>2</v>
      </c>
      <c r="T609" t="n">
        <v>2</v>
      </c>
      <c r="U609" t="n">
        <v>1</v>
      </c>
      <c r="V609" s="2" t="inlineStr">
        <is>
          <t>Murgröna
Skogsödla</t>
        </is>
      </c>
      <c r="W609">
        <f>HYPERLINK("https://klasma.github.io/Logging_0880/artfynd/A 56482-2023 artfynd.xlsx", "A 56482-2023")</f>
        <v/>
      </c>
      <c r="X609">
        <f>HYPERLINK("https://klasma.github.io/Logging_0880/kartor/A 56482-2023 karta.png", "A 56482-2023")</f>
        <v/>
      </c>
      <c r="Y609">
        <f>HYPERLINK("https://klasma.github.io/Logging_0880/kartor_geotiff/A 56482-2023 georefererad karta.tif", "A 56482-2023")</f>
        <v/>
      </c>
      <c r="AA609">
        <f>HYPERLINK("https://klasma.github.io/Logging_0880/klagomål/A 56482-2023 FSC-klagomål.docx", "A 56482-2023")</f>
        <v/>
      </c>
      <c r="AB609">
        <f>HYPERLINK("https://klasma.github.io/Logging_0880/klagomålsmail/A 56482-2023 FSC-klagomål mail.docx", "A 56482-2023")</f>
        <v/>
      </c>
      <c r="AC609">
        <f>HYPERLINK("https://klasma.github.io/Logging_0880/tillsyn/A 56482-2023 tillsynsbegäran.docx", "A 56482-2023")</f>
        <v/>
      </c>
      <c r="AD609">
        <f>HYPERLINK("https://klasma.github.io/Logging_0880/tillsynsmail/A 56482-2023 tillsynsbegäran mail.docx", "A 56482-2023")</f>
        <v/>
      </c>
    </row>
    <row r="610" ht="15" customHeight="1">
      <c r="A610" t="inlineStr">
        <is>
          <t>A 28495-2023</t>
        </is>
      </c>
      <c r="B610" t="inlineStr">
        <is>
          <t>avverkningsanmälan</t>
        </is>
      </c>
      <c r="C610" t="inlineStr">
        <is>
          <t>Föryngringsavverkning</t>
        </is>
      </c>
      <c r="D610" s="1" t="n">
        <v>45103</v>
      </c>
      <c r="E610" s="1" t="n">
        <v>46323</v>
      </c>
      <c r="F610" t="inlineStr">
        <is>
          <t>KALMAR LÄN</t>
        </is>
      </c>
      <c r="G610" t="inlineStr">
        <is>
          <t>VÄSTERVIK</t>
        </is>
      </c>
      <c r="I610" t="n">
        <v>3.1</v>
      </c>
      <c r="J610" t="n">
        <v>2</v>
      </c>
      <c r="K610" t="n">
        <v>0</v>
      </c>
      <c r="L610" t="n">
        <v>0</v>
      </c>
      <c r="M610" t="n">
        <v>1</v>
      </c>
      <c r="N610" t="n">
        <v>0</v>
      </c>
      <c r="O610" t="n">
        <v>0</v>
      </c>
      <c r="P610" t="n">
        <v>0</v>
      </c>
      <c r="Q610" t="n">
        <v>1</v>
      </c>
      <c r="R610" t="n">
        <v>1</v>
      </c>
      <c r="S610" t="n">
        <v>2</v>
      </c>
      <c r="T610" t="n">
        <v>4</v>
      </c>
      <c r="U610" t="n">
        <v>0</v>
      </c>
      <c r="V610" s="2" t="inlineStr">
        <is>
          <t>Knärot
Tjäder</t>
        </is>
      </c>
      <c r="W610">
        <f>HYPERLINK("https://klasma.github.io/Logging_0883/artfynd/A 28495-2023 artfynd.xlsx", "A 28495-2023")</f>
        <v/>
      </c>
      <c r="X610">
        <f>HYPERLINK("https://klasma.github.io/Logging_0883/kartor/A 28495-2023 karta.png", "A 28495-2023")</f>
        <v/>
      </c>
      <c r="Y610">
        <f>HYPERLINK("https://klasma.github.io/Logging_0883/kartor_geotiff/A 28495-2023 georefererad karta.tif", "A 28495-2023")</f>
        <v/>
      </c>
      <c r="Z610">
        <f>HYPERLINK("https://klasma.github.io/Logging_0883/knärot/A 28495-2023 karta knärot.png", "A 28495-2023")</f>
        <v/>
      </c>
      <c r="AA610">
        <f>HYPERLINK("https://klasma.github.io/Logging_0883/klagomål/A 28495-2023 FSC-klagomål.docx", "A 28495-2023")</f>
        <v/>
      </c>
      <c r="AB610">
        <f>HYPERLINK("https://klasma.github.io/Logging_0883/klagomålsmail/A 28495-2023 FSC-klagomål mail.docx", "A 28495-2023")</f>
        <v/>
      </c>
      <c r="AC610">
        <f>HYPERLINK("https://klasma.github.io/Logging_0883/tillsyn/A 28495-2023 tillsynsbegäran.docx", "A 28495-2023")</f>
        <v/>
      </c>
      <c r="AD610">
        <f>HYPERLINK("https://klasma.github.io/Logging_0883/tillsynsmail/A 28495-2023 tillsynsbegäran mail.docx", "A 28495-2023")</f>
        <v/>
      </c>
      <c r="AE610">
        <f>HYPERLINK("https://klasma.github.io/Logging_0883/fåglar/A 28495-2023 prioriterade fågelarter.docx", "A 28495-2023")</f>
        <v/>
      </c>
    </row>
    <row r="611" ht="15" customHeight="1">
      <c r="A611" t="inlineStr">
        <is>
          <t>A 57052-2024</t>
        </is>
      </c>
      <c r="B611" t="inlineStr">
        <is>
          <t>avverkningsanmälan</t>
        </is>
      </c>
      <c r="C611" t="inlineStr">
        <is>
          <t>Föryngringsavverkning</t>
        </is>
      </c>
      <c r="D611" s="1" t="n">
        <v>45629</v>
      </c>
      <c r="E611" s="1" t="n">
        <v>46323</v>
      </c>
      <c r="F611" t="inlineStr">
        <is>
          <t>KALMAR LÄN</t>
        </is>
      </c>
      <c r="G611" t="inlineStr">
        <is>
          <t>HULTSFRED</t>
        </is>
      </c>
      <c r="I611" t="n">
        <v>0.6</v>
      </c>
      <c r="J611" t="n">
        <v>2</v>
      </c>
      <c r="K611" t="n">
        <v>1</v>
      </c>
      <c r="L611" t="n">
        <v>0</v>
      </c>
      <c r="M611" t="n">
        <v>0</v>
      </c>
      <c r="N611" t="n">
        <v>0</v>
      </c>
      <c r="O611" t="n">
        <v>0</v>
      </c>
      <c r="P611" t="n">
        <v>0</v>
      </c>
      <c r="Q611" t="n">
        <v>0</v>
      </c>
      <c r="R611" t="n">
        <v>0</v>
      </c>
      <c r="S611" t="n">
        <v>2</v>
      </c>
      <c r="T611" t="n">
        <v>2</v>
      </c>
      <c r="U611" t="n">
        <v>1</v>
      </c>
      <c r="V611" s="2" t="inlineStr">
        <is>
          <t>Plattlummer
Blåsippa</t>
        </is>
      </c>
      <c r="W611">
        <f>HYPERLINK("https://klasma.github.io/Logging_0860/artfynd/A 57052-2024 artfynd.xlsx", "A 57052-2024")</f>
        <v/>
      </c>
      <c r="X611">
        <f>HYPERLINK("https://klasma.github.io/Logging_0860/kartor/A 57052-2024 karta.png", "A 57052-2024")</f>
        <v/>
      </c>
      <c r="Y611">
        <f>HYPERLINK("https://klasma.github.io/Logging_0860/kartor_geotiff/A 57052-2024 georefererad karta.tif", "A 57052-2024")</f>
        <v/>
      </c>
      <c r="Z611">
        <f>HYPERLINK("https://klasma.github.io/Logging_0860/knärot/A 57052-2024 karta knärot.png", "A 57052-2024")</f>
        <v/>
      </c>
      <c r="AA611">
        <f>HYPERLINK("https://klasma.github.io/Logging_0860/klagomål/A 57052-2024 FSC-klagomål.docx", "A 57052-2024")</f>
        <v/>
      </c>
      <c r="AB611">
        <f>HYPERLINK("https://klasma.github.io/Logging_0860/klagomålsmail/A 57052-2024 FSC-klagomål mail.docx", "A 57052-2024")</f>
        <v/>
      </c>
      <c r="AC611">
        <f>HYPERLINK("https://klasma.github.io/Logging_0860/tillsyn/A 57052-2024 tillsynsbegäran.docx", "A 57052-2024")</f>
        <v/>
      </c>
      <c r="AD611">
        <f>HYPERLINK("https://klasma.github.io/Logging_0860/tillsynsmail/A 57052-2024 tillsynsbegäran mail.docx", "A 57052-2024")</f>
        <v/>
      </c>
    </row>
    <row r="612" ht="15" customHeight="1">
      <c r="A612" t="inlineStr">
        <is>
          <t>A 34855-2022</t>
        </is>
      </c>
      <c r="B612" t="inlineStr">
        <is>
          <t>avverkningsanmälan</t>
        </is>
      </c>
      <c r="C612" t="inlineStr">
        <is>
          <t>Föryngringsavverkning</t>
        </is>
      </c>
      <c r="D612" s="1" t="n">
        <v>44796</v>
      </c>
      <c r="E612" s="1" t="n">
        <v>46323</v>
      </c>
      <c r="F612" t="inlineStr">
        <is>
          <t>KALMAR LÄN</t>
        </is>
      </c>
      <c r="G612" t="inlineStr">
        <is>
          <t>KALMAR</t>
        </is>
      </c>
      <c r="I612" t="n">
        <v>1.3</v>
      </c>
      <c r="J612" t="n">
        <v>1</v>
      </c>
      <c r="K612" t="n">
        <v>1</v>
      </c>
      <c r="L612" t="n">
        <v>1</v>
      </c>
      <c r="M612" t="n">
        <v>0</v>
      </c>
      <c r="N612" t="n">
        <v>0</v>
      </c>
      <c r="O612" t="n">
        <v>0</v>
      </c>
      <c r="P612" t="n">
        <v>0</v>
      </c>
      <c r="Q612" t="n">
        <v>1</v>
      </c>
      <c r="R612" t="n">
        <v>0</v>
      </c>
      <c r="S612" t="n">
        <v>2</v>
      </c>
      <c r="T612" t="n">
        <v>2</v>
      </c>
      <c r="U612" t="n">
        <v>2</v>
      </c>
      <c r="V612" s="2" t="inlineStr">
        <is>
          <t>Svart skogssnigel
Ekoxe</t>
        </is>
      </c>
      <c r="W612">
        <f>HYPERLINK("https://klasma.github.io/Logging_0880/artfynd/A 34855-2022 artfynd.xlsx", "A 34855-2022")</f>
        <v/>
      </c>
      <c r="X612">
        <f>HYPERLINK("https://klasma.github.io/Logging_0880/kartor/A 34855-2022 karta.png", "A 34855-2022")</f>
        <v/>
      </c>
      <c r="Y612">
        <f>HYPERLINK("https://klasma.github.io/Logging_0880/kartor_geotiff/A 34855-2022 georefererad karta.tif", "A 34855-2022")</f>
        <v/>
      </c>
      <c r="AA612">
        <f>HYPERLINK("https://klasma.github.io/Logging_0880/klagomål/A 34855-2022 FSC-klagomål.docx", "A 34855-2022")</f>
        <v/>
      </c>
      <c r="AB612">
        <f>HYPERLINK("https://klasma.github.io/Logging_0880/klagomålsmail/A 34855-2022 FSC-klagomål mail.docx", "A 34855-2022")</f>
        <v/>
      </c>
      <c r="AC612">
        <f>HYPERLINK("https://klasma.github.io/Logging_0880/tillsyn/A 34855-2022 tillsynsbegäran.docx", "A 34855-2022")</f>
        <v/>
      </c>
      <c r="AD612">
        <f>HYPERLINK("https://klasma.github.io/Logging_0880/tillsynsmail/A 34855-2022 tillsynsbegäran mail.docx", "A 34855-2022")</f>
        <v/>
      </c>
    </row>
    <row r="613" ht="15" customHeight="1">
      <c r="A613" t="inlineStr">
        <is>
          <t>A 31046-2023</t>
        </is>
      </c>
      <c r="B613" t="inlineStr">
        <is>
          <t>avverkningsanmälan</t>
        </is>
      </c>
      <c r="C613" t="inlineStr">
        <is>
          <t>Föryngringsavverkning</t>
        </is>
      </c>
      <c r="D613" s="1" t="n">
        <v>45113</v>
      </c>
      <c r="E613" s="1" t="n">
        <v>46323</v>
      </c>
      <c r="F613" t="inlineStr">
        <is>
          <t>KALMAR LÄN</t>
        </is>
      </c>
      <c r="G613" t="inlineStr">
        <is>
          <t>HULTSFRED</t>
        </is>
      </c>
      <c r="I613" t="n">
        <v>1.5</v>
      </c>
      <c r="J613" t="n">
        <v>1</v>
      </c>
      <c r="K613" t="n">
        <v>0</v>
      </c>
      <c r="L613" t="n">
        <v>1</v>
      </c>
      <c r="M613" t="n">
        <v>1</v>
      </c>
      <c r="N613" t="n">
        <v>0</v>
      </c>
      <c r="O613" t="n">
        <v>0</v>
      </c>
      <c r="P613" t="n">
        <v>0</v>
      </c>
      <c r="Q613" t="n">
        <v>2</v>
      </c>
      <c r="R613" t="n">
        <v>1</v>
      </c>
      <c r="S613" t="n">
        <v>2</v>
      </c>
      <c r="T613" t="n">
        <v>2</v>
      </c>
      <c r="U613" t="n">
        <v>2</v>
      </c>
      <c r="V613" s="2" t="inlineStr">
        <is>
          <t>Backsippa
Mörk dunört</t>
        </is>
      </c>
      <c r="W613">
        <f>HYPERLINK("https://klasma.github.io/Logging_0860/artfynd/A 31046-2023 artfynd.xlsx", "A 31046-2023")</f>
        <v/>
      </c>
      <c r="X613">
        <f>HYPERLINK("https://klasma.github.io/Logging_0860/kartor/A 31046-2023 karta.png", "A 31046-2023")</f>
        <v/>
      </c>
      <c r="Y613">
        <f>HYPERLINK("https://klasma.github.io/Logging_0860/kartor_geotiff/A 31046-2023 georefererad karta.tif", "A 31046-2023")</f>
        <v/>
      </c>
      <c r="AA613">
        <f>HYPERLINK("https://klasma.github.io/Logging_0860/klagomål/A 31046-2023 FSC-klagomål.docx", "A 31046-2023")</f>
        <v/>
      </c>
      <c r="AB613">
        <f>HYPERLINK("https://klasma.github.io/Logging_0860/klagomålsmail/A 31046-2023 FSC-klagomål mail.docx", "A 31046-2023")</f>
        <v/>
      </c>
      <c r="AC613">
        <f>HYPERLINK("https://klasma.github.io/Logging_0860/tillsyn/A 31046-2023 tillsynsbegäran.docx", "A 31046-2023")</f>
        <v/>
      </c>
      <c r="AD613">
        <f>HYPERLINK("https://klasma.github.io/Logging_0860/tillsynsmail/A 31046-2023 tillsynsbegäran mail.docx", "A 31046-2023")</f>
        <v/>
      </c>
    </row>
    <row r="614" ht="15" customHeight="1">
      <c r="A614" t="inlineStr">
        <is>
          <t>A 36825-2023</t>
        </is>
      </c>
      <c r="B614" t="inlineStr">
        <is>
          <t>avverkningsanmälan</t>
        </is>
      </c>
      <c r="C614" t="inlineStr">
        <is>
          <t>Föryngringsavverkning</t>
        </is>
      </c>
      <c r="D614" s="1" t="n">
        <v>45154</v>
      </c>
      <c r="E614" s="1" t="n">
        <v>46323</v>
      </c>
      <c r="F614" t="inlineStr">
        <is>
          <t>KALMAR LÄN</t>
        </is>
      </c>
      <c r="G614" t="inlineStr">
        <is>
          <t>NYBRO</t>
        </is>
      </c>
      <c r="H614" t="inlineStr">
        <is>
          <t>Sveaskog</t>
        </is>
      </c>
      <c r="I614" t="n">
        <v>20.3</v>
      </c>
      <c r="J614" t="n">
        <v>2</v>
      </c>
      <c r="K614" t="n">
        <v>0</v>
      </c>
      <c r="L614" t="n">
        <v>0</v>
      </c>
      <c r="M614" t="n">
        <v>0</v>
      </c>
      <c r="N614" t="n">
        <v>0</v>
      </c>
      <c r="O614" t="n">
        <v>0</v>
      </c>
      <c r="P614" t="n">
        <v>0</v>
      </c>
      <c r="Q614" t="n">
        <v>0</v>
      </c>
      <c r="R614" t="n">
        <v>0</v>
      </c>
      <c r="S614" t="n">
        <v>2</v>
      </c>
      <c r="T614" t="n">
        <v>3</v>
      </c>
      <c r="U614" t="n">
        <v>0</v>
      </c>
      <c r="V614" s="2" t="inlineStr">
        <is>
          <t>Tjäder
Kungsfågel</t>
        </is>
      </c>
      <c r="W614">
        <f>HYPERLINK("https://klasma.github.io/Logging_0881/artfynd/A 36825-2023 artfynd.xlsx", "A 36825-2023")</f>
        <v/>
      </c>
      <c r="X614">
        <f>HYPERLINK("https://klasma.github.io/Logging_0881/kartor/A 36825-2023 karta.png", "A 36825-2023")</f>
        <v/>
      </c>
      <c r="Y614">
        <f>HYPERLINK("https://klasma.github.io/Logging_0881/kartor_geotiff/A 36825-2023 georefererad karta.tif", "A 36825-2023")</f>
        <v/>
      </c>
      <c r="AA614">
        <f>HYPERLINK("https://klasma.github.io/Logging_0881/klagomål/A 36825-2023 FSC-klagomål.docx", "A 36825-2023")</f>
        <v/>
      </c>
      <c r="AB614">
        <f>HYPERLINK("https://klasma.github.io/Logging_0881/klagomålsmail/A 36825-2023 FSC-klagomål mail.docx", "A 36825-2023")</f>
        <v/>
      </c>
      <c r="AC614">
        <f>HYPERLINK("https://klasma.github.io/Logging_0881/tillsyn/A 36825-2023 tillsynsbegäran.docx", "A 36825-2023")</f>
        <v/>
      </c>
      <c r="AD614">
        <f>HYPERLINK("https://klasma.github.io/Logging_0881/tillsynsmail/A 36825-2023 tillsynsbegäran mail.docx", "A 36825-2023")</f>
        <v/>
      </c>
      <c r="AE614">
        <f>HYPERLINK("https://klasma.github.io/Logging_0881/fåglar/A 36825-2023 prioriterade fågelarter.docx", "A 36825-2023")</f>
        <v/>
      </c>
    </row>
    <row r="615" ht="15" customHeight="1">
      <c r="A615" t="inlineStr">
        <is>
          <t>A 39038-2025</t>
        </is>
      </c>
      <c r="B615" t="inlineStr">
        <is>
          <t>avverkningsanmälan</t>
        </is>
      </c>
      <c r="C615" t="inlineStr">
        <is>
          <t>Föryngringsavverkning</t>
        </is>
      </c>
      <c r="D615" s="1" t="n">
        <v>45888</v>
      </c>
      <c r="E615" s="1" t="n">
        <v>46323</v>
      </c>
      <c r="F615" t="inlineStr">
        <is>
          <t>KALMAR LÄN</t>
        </is>
      </c>
      <c r="G615" t="inlineStr">
        <is>
          <t>NYBRO</t>
        </is>
      </c>
      <c r="I615" t="n">
        <v>1</v>
      </c>
      <c r="J615" t="n">
        <v>2</v>
      </c>
      <c r="K615" t="n">
        <v>0</v>
      </c>
      <c r="L615" t="n">
        <v>1</v>
      </c>
      <c r="M615" t="n">
        <v>0</v>
      </c>
      <c r="N615" t="n">
        <v>0</v>
      </c>
      <c r="O615" t="n">
        <v>0</v>
      </c>
      <c r="P615" t="n">
        <v>0</v>
      </c>
      <c r="Q615" t="n">
        <v>1</v>
      </c>
      <c r="R615" t="n">
        <v>0</v>
      </c>
      <c r="S615" t="n">
        <v>2</v>
      </c>
      <c r="T615" t="n">
        <v>2</v>
      </c>
      <c r="U615" t="n">
        <v>0</v>
      </c>
      <c r="V615" s="2" t="inlineStr">
        <is>
          <t>Talltita
Revlummer</t>
        </is>
      </c>
      <c r="W615">
        <f>HYPERLINK("https://klasma.github.io/Logging_0881/artfynd/A 39038-2025 artfynd.xlsx", "A 39038-2025")</f>
        <v/>
      </c>
      <c r="X615">
        <f>HYPERLINK("https://klasma.github.io/Logging_0881/kartor/A 39038-2025 karta.png", "A 39038-2025")</f>
        <v/>
      </c>
      <c r="Y615">
        <f>HYPERLINK("https://klasma.github.io/Logging_0881/kartor_geotiff/A 39038-2025 georefererad karta.tif", "A 39038-2025")</f>
        <v/>
      </c>
      <c r="AA615">
        <f>HYPERLINK("https://klasma.github.io/Logging_0881/klagomål/A 39038-2025 FSC-klagomål.docx", "A 39038-2025")</f>
        <v/>
      </c>
      <c r="AB615">
        <f>HYPERLINK("https://klasma.github.io/Logging_0881/klagomålsmail/A 39038-2025 FSC-klagomål mail.docx", "A 39038-2025")</f>
        <v/>
      </c>
      <c r="AC615">
        <f>HYPERLINK("https://klasma.github.io/Logging_0881/tillsyn/A 39038-2025 tillsynsbegäran.docx", "A 39038-2025")</f>
        <v/>
      </c>
      <c r="AD615">
        <f>HYPERLINK("https://klasma.github.io/Logging_0881/tillsynsmail/A 39038-2025 tillsynsbegäran mail.docx", "A 39038-2025")</f>
        <v/>
      </c>
      <c r="AE615">
        <f>HYPERLINK("https://klasma.github.io/Logging_0881/fåglar/A 39038-2025 prioriterade fågelarter.docx", "A 39038-2025")</f>
        <v/>
      </c>
    </row>
    <row r="616" ht="15" customHeight="1">
      <c r="A616" t="inlineStr">
        <is>
          <t>A 56857-2023</t>
        </is>
      </c>
      <c r="B616" t="inlineStr">
        <is>
          <t>avverkningsanmälan</t>
        </is>
      </c>
      <c r="C616" t="inlineStr">
        <is>
          <t>Föryngringsavverkning</t>
        </is>
      </c>
      <c r="D616" s="1" t="n">
        <v>45244</v>
      </c>
      <c r="E616" s="1" t="n">
        <v>46323</v>
      </c>
      <c r="F616" t="inlineStr">
        <is>
          <t>KALMAR LÄN</t>
        </is>
      </c>
      <c r="G616" t="inlineStr">
        <is>
          <t>VÄSTERVIK</t>
        </is>
      </c>
      <c r="H616" t="inlineStr">
        <is>
          <t>Kyrkan</t>
        </is>
      </c>
      <c r="I616" t="n">
        <v>7.5</v>
      </c>
      <c r="J616" t="n">
        <v>1</v>
      </c>
      <c r="K616" t="n">
        <v>1</v>
      </c>
      <c r="L616" t="n">
        <v>0</v>
      </c>
      <c r="M616" t="n">
        <v>1</v>
      </c>
      <c r="N616" t="n">
        <v>0</v>
      </c>
      <c r="O616" t="n">
        <v>0</v>
      </c>
      <c r="P616" t="n">
        <v>0</v>
      </c>
      <c r="Q616" t="n">
        <v>1</v>
      </c>
      <c r="R616" t="n">
        <v>1</v>
      </c>
      <c r="S616" t="n">
        <v>2</v>
      </c>
      <c r="T616" t="n">
        <v>14</v>
      </c>
      <c r="U616" t="n">
        <v>14</v>
      </c>
      <c r="V616" s="2" t="inlineStr">
        <is>
          <t>Knärot
Grönpyrola</t>
        </is>
      </c>
      <c r="W616">
        <f>HYPERLINK("https://klasma.github.io/Logging_0883/artfynd/A 56857-2023 artfynd.xlsx", "A 56857-2023")</f>
        <v/>
      </c>
      <c r="X616">
        <f>HYPERLINK("https://klasma.github.io/Logging_0883/kartor/A 56857-2023 karta.png", "A 56857-2023")</f>
        <v/>
      </c>
      <c r="Y616">
        <f>HYPERLINK("https://klasma.github.io/Logging_0883/kartor_geotiff/A 56857-2023 georefererad karta.tif", "A 56857-2023")</f>
        <v/>
      </c>
      <c r="Z616">
        <f>HYPERLINK("https://klasma.github.io/Logging_0883/knärot/A 56857-2023 karta knärot.png", "A 56857-2023")</f>
        <v/>
      </c>
      <c r="AA616">
        <f>HYPERLINK("https://klasma.github.io/Logging_0883/klagomål/A 56857-2023 FSC-klagomål.docx", "A 56857-2023")</f>
        <v/>
      </c>
      <c r="AB616">
        <f>HYPERLINK("https://klasma.github.io/Logging_0883/klagomålsmail/A 56857-2023 FSC-klagomål mail.docx", "A 56857-2023")</f>
        <v/>
      </c>
      <c r="AC616">
        <f>HYPERLINK("https://klasma.github.io/Logging_0883/tillsyn/A 56857-2023 tillsynsbegäran.docx", "A 56857-2023")</f>
        <v/>
      </c>
      <c r="AD616">
        <f>HYPERLINK("https://klasma.github.io/Logging_0883/tillsynsmail/A 56857-2023 tillsynsbegäran mail.docx", "A 56857-2023")</f>
        <v/>
      </c>
    </row>
    <row r="617" ht="15" customHeight="1">
      <c r="A617" t="inlineStr">
        <is>
          <t>A 35871-2022</t>
        </is>
      </c>
      <c r="B617" t="inlineStr">
        <is>
          <t>avverkningsanmälan</t>
        </is>
      </c>
      <c r="C617" t="inlineStr">
        <is>
          <t>Avverkning för annat ändamål</t>
        </is>
      </c>
      <c r="D617" s="1" t="n">
        <v>44802</v>
      </c>
      <c r="E617" s="1" t="n">
        <v>46323</v>
      </c>
      <c r="F617" t="inlineStr">
        <is>
          <t>KALMAR LÄN</t>
        </is>
      </c>
      <c r="G617" t="inlineStr">
        <is>
          <t>KALMAR</t>
        </is>
      </c>
      <c r="I617" t="n">
        <v>1</v>
      </c>
      <c r="J617" t="n">
        <v>2</v>
      </c>
      <c r="K617" t="n">
        <v>0</v>
      </c>
      <c r="L617" t="n">
        <v>1</v>
      </c>
      <c r="M617" t="n">
        <v>0</v>
      </c>
      <c r="N617" t="n">
        <v>0</v>
      </c>
      <c r="O617" t="n">
        <v>0</v>
      </c>
      <c r="P617" t="n">
        <v>0</v>
      </c>
      <c r="Q617" t="n">
        <v>1</v>
      </c>
      <c r="R617" t="n">
        <v>0</v>
      </c>
      <c r="S617" t="n">
        <v>2</v>
      </c>
      <c r="T617" t="n">
        <v>2</v>
      </c>
      <c r="U617" t="n">
        <v>0</v>
      </c>
      <c r="V617" s="2" t="inlineStr">
        <is>
          <t>Nordfladdermus
Större brunfladdermus</t>
        </is>
      </c>
      <c r="W617">
        <f>HYPERLINK("https://klasma.github.io/Logging_0880/artfynd/A 35871-2022 artfynd.xlsx", "A 35871-2022")</f>
        <v/>
      </c>
      <c r="X617">
        <f>HYPERLINK("https://klasma.github.io/Logging_0880/kartor/A 35871-2022 karta.png", "A 35871-2022")</f>
        <v/>
      </c>
      <c r="Y617">
        <f>HYPERLINK("https://klasma.github.io/Logging_0880/kartor_geotiff/A 35871-2022 georefererad karta.tif", "A 35871-2022")</f>
        <v/>
      </c>
      <c r="AA617">
        <f>HYPERLINK("https://klasma.github.io/Logging_0880/klagomål/A 35871-2022 FSC-klagomål.docx", "A 35871-2022")</f>
        <v/>
      </c>
      <c r="AB617">
        <f>HYPERLINK("https://klasma.github.io/Logging_0880/klagomålsmail/A 35871-2022 FSC-klagomål mail.docx", "A 35871-2022")</f>
        <v/>
      </c>
      <c r="AC617">
        <f>HYPERLINK("https://klasma.github.io/Logging_0880/tillsyn/A 35871-2022 tillsynsbegäran.docx", "A 35871-2022")</f>
        <v/>
      </c>
      <c r="AD617">
        <f>HYPERLINK("https://klasma.github.io/Logging_0880/tillsynsmail/A 35871-2022 tillsynsbegäran mail.docx", "A 35871-2022")</f>
        <v/>
      </c>
    </row>
    <row r="618" ht="15" customHeight="1">
      <c r="A618" t="inlineStr">
        <is>
          <t>A 4964-2025</t>
        </is>
      </c>
      <c r="B618" t="inlineStr">
        <is>
          <t>avverkningsanmälan</t>
        </is>
      </c>
      <c r="C618" t="inlineStr">
        <is>
          <t>Föryngringsavverkning</t>
        </is>
      </c>
      <c r="D618" s="1" t="n">
        <v>45690</v>
      </c>
      <c r="E618" s="1" t="n">
        <v>46323</v>
      </c>
      <c r="F618" t="inlineStr">
        <is>
          <t>KALMAR LÄN</t>
        </is>
      </c>
      <c r="G618" t="inlineStr">
        <is>
          <t>HULTSFRED</t>
        </is>
      </c>
      <c r="H618" t="inlineStr">
        <is>
          <t>Sveaskog</t>
        </is>
      </c>
      <c r="I618" t="n">
        <v>12.2</v>
      </c>
      <c r="J618" t="n">
        <v>2</v>
      </c>
      <c r="K618" t="n">
        <v>0</v>
      </c>
      <c r="L618" t="n">
        <v>0</v>
      </c>
      <c r="M618" t="n">
        <v>0</v>
      </c>
      <c r="N618" t="n">
        <v>0</v>
      </c>
      <c r="O618" t="n">
        <v>0</v>
      </c>
      <c r="P618" t="n">
        <v>0</v>
      </c>
      <c r="Q618" t="n">
        <v>0</v>
      </c>
      <c r="R618" t="n">
        <v>0</v>
      </c>
      <c r="S618" t="n">
        <v>2</v>
      </c>
      <c r="T618" t="n">
        <v>7</v>
      </c>
      <c r="U618" t="n">
        <v>0</v>
      </c>
      <c r="V618" s="2" t="inlineStr">
        <is>
          <t>Spillkråka
Tjäder</t>
        </is>
      </c>
      <c r="W618">
        <f>HYPERLINK("https://klasma.github.io/Logging_0860/artfynd/A 4964-2025 artfynd.xlsx", "A 4964-2025")</f>
        <v/>
      </c>
      <c r="X618">
        <f>HYPERLINK("https://klasma.github.io/Logging_0860/kartor/A 4964-2025 karta.png", "A 4964-2025")</f>
        <v/>
      </c>
      <c r="Y618">
        <f>HYPERLINK("https://klasma.github.io/Logging_0860/kartor_geotiff/A 4964-2025 georefererad karta.tif", "A 4964-2025")</f>
        <v/>
      </c>
      <c r="AA618">
        <f>HYPERLINK("https://klasma.github.io/Logging_0860/klagomål/A 4964-2025 FSC-klagomål.docx", "A 4964-2025")</f>
        <v/>
      </c>
      <c r="AB618">
        <f>HYPERLINK("https://klasma.github.io/Logging_0860/klagomålsmail/A 4964-2025 FSC-klagomål mail.docx", "A 4964-2025")</f>
        <v/>
      </c>
      <c r="AC618">
        <f>HYPERLINK("https://klasma.github.io/Logging_0860/tillsyn/A 4964-2025 tillsynsbegäran.docx", "A 4964-2025")</f>
        <v/>
      </c>
      <c r="AD618">
        <f>HYPERLINK("https://klasma.github.io/Logging_0860/tillsynsmail/A 4964-2025 tillsynsbegäran mail.docx", "A 4964-2025")</f>
        <v/>
      </c>
      <c r="AE618">
        <f>HYPERLINK("https://klasma.github.io/Logging_0860/fåglar/A 4964-2025 prioriterade fågelarter.docx", "A 4964-2025")</f>
        <v/>
      </c>
    </row>
    <row r="619" ht="15" customHeight="1">
      <c r="A619" t="inlineStr">
        <is>
          <t>A 46787-2022</t>
        </is>
      </c>
      <c r="B619" t="inlineStr">
        <is>
          <t>avverkningsanmälan</t>
        </is>
      </c>
      <c r="C619" t="inlineStr">
        <is>
          <t>Föryngringsavverkning</t>
        </is>
      </c>
      <c r="D619" s="1" t="n">
        <v>44851</v>
      </c>
      <c r="E619" s="1" t="n">
        <v>46323</v>
      </c>
      <c r="F619" t="inlineStr">
        <is>
          <t>KALMAR LÄN</t>
        </is>
      </c>
      <c r="G619" t="inlineStr">
        <is>
          <t>VÄSTERVIK</t>
        </is>
      </c>
      <c r="I619" t="n">
        <v>4.4</v>
      </c>
      <c r="J619" t="n">
        <v>0</v>
      </c>
      <c r="K619" t="n">
        <v>0</v>
      </c>
      <c r="L619" t="n">
        <v>2</v>
      </c>
      <c r="M619" t="n">
        <v>0</v>
      </c>
      <c r="N619" t="n">
        <v>0</v>
      </c>
      <c r="O619" t="n">
        <v>0</v>
      </c>
      <c r="P619" t="n">
        <v>0</v>
      </c>
      <c r="Q619" t="n">
        <v>2</v>
      </c>
      <c r="R619" t="n">
        <v>0</v>
      </c>
      <c r="S619" t="n">
        <v>2</v>
      </c>
      <c r="T619" t="n">
        <v>2</v>
      </c>
      <c r="U619" t="n">
        <v>2</v>
      </c>
      <c r="V619" s="2" t="inlineStr">
        <is>
          <t>Motaggsvamp
Tallticka</t>
        </is>
      </c>
      <c r="W619">
        <f>HYPERLINK("https://klasma.github.io/Logging_0883/artfynd/A 46787-2022 artfynd.xlsx", "A 46787-2022")</f>
        <v/>
      </c>
      <c r="X619">
        <f>HYPERLINK("https://klasma.github.io/Logging_0883/kartor/A 46787-2022 karta.png", "A 46787-2022")</f>
        <v/>
      </c>
      <c r="Y619">
        <f>HYPERLINK("https://klasma.github.io/Logging_0883/kartor_geotiff/A 46787-2022 georefererad karta.tif", "A 46787-2022")</f>
        <v/>
      </c>
      <c r="AA619">
        <f>HYPERLINK("https://klasma.github.io/Logging_0883/klagomål/A 46787-2022 FSC-klagomål.docx", "A 46787-2022")</f>
        <v/>
      </c>
      <c r="AB619">
        <f>HYPERLINK("https://klasma.github.io/Logging_0883/klagomålsmail/A 46787-2022 FSC-klagomål mail.docx", "A 46787-2022")</f>
        <v/>
      </c>
      <c r="AC619">
        <f>HYPERLINK("https://klasma.github.io/Logging_0883/tillsyn/A 46787-2022 tillsynsbegäran.docx", "A 46787-2022")</f>
        <v/>
      </c>
      <c r="AD619">
        <f>HYPERLINK("https://klasma.github.io/Logging_0883/tillsynsmail/A 46787-2022 tillsynsbegäran mail.docx", "A 46787-2022")</f>
        <v/>
      </c>
    </row>
    <row r="620" ht="15" customHeight="1">
      <c r="A620" t="inlineStr">
        <is>
          <t>A 44678-2022</t>
        </is>
      </c>
      <c r="B620" t="inlineStr">
        <is>
          <t>avverkningsanmälan</t>
        </is>
      </c>
      <c r="C620" t="inlineStr">
        <is>
          <t>Föryngringsavverkning</t>
        </is>
      </c>
      <c r="D620" s="1" t="n">
        <v>44840</v>
      </c>
      <c r="E620" s="1" t="n">
        <v>46323</v>
      </c>
      <c r="F620" t="inlineStr">
        <is>
          <t>KALMAR LÄN</t>
        </is>
      </c>
      <c r="G620" t="inlineStr">
        <is>
          <t>BORGHOLM</t>
        </is>
      </c>
      <c r="I620" t="n">
        <v>2.4</v>
      </c>
      <c r="J620" t="n">
        <v>1</v>
      </c>
      <c r="K620" t="n">
        <v>1</v>
      </c>
      <c r="L620" t="n">
        <v>0</v>
      </c>
      <c r="M620" t="n">
        <v>0</v>
      </c>
      <c r="N620" t="n">
        <v>1</v>
      </c>
      <c r="O620" t="n">
        <v>0</v>
      </c>
      <c r="P620" t="n">
        <v>0</v>
      </c>
      <c r="Q620" t="n">
        <v>1</v>
      </c>
      <c r="R620" t="n">
        <v>1</v>
      </c>
      <c r="S620" t="n">
        <v>2</v>
      </c>
      <c r="T620" t="n">
        <v>2</v>
      </c>
      <c r="U620" t="n">
        <v>1</v>
      </c>
      <c r="V620" s="2" t="inlineStr">
        <is>
          <t>Ask
Skogsknipprot</t>
        </is>
      </c>
      <c r="W620">
        <f>HYPERLINK("https://klasma.github.io/Logging_0885/artfynd/A 44678-2022 artfynd.xlsx", "A 44678-2022")</f>
        <v/>
      </c>
      <c r="X620">
        <f>HYPERLINK("https://klasma.github.io/Logging_0885/kartor/A 44678-2022 karta.png", "A 44678-2022")</f>
        <v/>
      </c>
      <c r="Y620">
        <f>HYPERLINK("https://klasma.github.io/Logging_0885/kartor_geotiff/A 44678-2022 georefererad karta.tif", "A 44678-2022")</f>
        <v/>
      </c>
      <c r="AA620">
        <f>HYPERLINK("https://klasma.github.io/Logging_0885/klagomål/A 44678-2022 FSC-klagomål.docx", "A 44678-2022")</f>
        <v/>
      </c>
      <c r="AB620">
        <f>HYPERLINK("https://klasma.github.io/Logging_0885/klagomålsmail/A 44678-2022 FSC-klagomål mail.docx", "A 44678-2022")</f>
        <v/>
      </c>
      <c r="AC620">
        <f>HYPERLINK("https://klasma.github.io/Logging_0885/tillsyn/A 44678-2022 tillsynsbegäran.docx", "A 44678-2022")</f>
        <v/>
      </c>
      <c r="AD620">
        <f>HYPERLINK("https://klasma.github.io/Logging_0885/tillsynsmail/A 44678-2022 tillsynsbegäran mail.docx", "A 44678-2022")</f>
        <v/>
      </c>
    </row>
    <row r="621" ht="15" customHeight="1">
      <c r="A621" t="inlineStr">
        <is>
          <t>A 55408-2023</t>
        </is>
      </c>
      <c r="B621" t="inlineStr">
        <is>
          <t>avverkningsanmälan</t>
        </is>
      </c>
      <c r="C621" t="inlineStr">
        <is>
          <t>Föryngringsavverkning</t>
        </is>
      </c>
      <c r="D621" s="1" t="n">
        <v>45238</v>
      </c>
      <c r="E621" s="1" t="n">
        <v>46323</v>
      </c>
      <c r="F621" t="inlineStr">
        <is>
          <t>KALMAR LÄN</t>
        </is>
      </c>
      <c r="G621" t="inlineStr">
        <is>
          <t>VÄSTERVIK</t>
        </is>
      </c>
      <c r="I621" t="n">
        <v>2.8</v>
      </c>
      <c r="J621" t="n">
        <v>0</v>
      </c>
      <c r="K621" t="n">
        <v>0</v>
      </c>
      <c r="L621" t="n">
        <v>2</v>
      </c>
      <c r="M621" t="n">
        <v>0</v>
      </c>
      <c r="N621" t="n">
        <v>0</v>
      </c>
      <c r="O621" t="n">
        <v>0</v>
      </c>
      <c r="P621" t="n">
        <v>0</v>
      </c>
      <c r="Q621" t="n">
        <v>2</v>
      </c>
      <c r="R621" t="n">
        <v>0</v>
      </c>
      <c r="S621" t="n">
        <v>2</v>
      </c>
      <c r="T621" t="n">
        <v>6</v>
      </c>
      <c r="U621" t="n">
        <v>6</v>
      </c>
      <c r="V621" s="2" t="inlineStr">
        <is>
          <t>Ekticka
Tallticka</t>
        </is>
      </c>
      <c r="W621">
        <f>HYPERLINK("https://klasma.github.io/Logging_0883/artfynd/A 55408-2023 artfynd.xlsx", "A 55408-2023")</f>
        <v/>
      </c>
      <c r="X621">
        <f>HYPERLINK("https://klasma.github.io/Logging_0883/kartor/A 55408-2023 karta.png", "A 55408-2023")</f>
        <v/>
      </c>
      <c r="Y621">
        <f>HYPERLINK("https://klasma.github.io/Logging_0883/kartor_geotiff/A 55408-2023 georefererad karta.tif", "A 55408-2023")</f>
        <v/>
      </c>
      <c r="AA621">
        <f>HYPERLINK("https://klasma.github.io/Logging_0883/klagomål/A 55408-2023 FSC-klagomål.docx", "A 55408-2023")</f>
        <v/>
      </c>
      <c r="AB621">
        <f>HYPERLINK("https://klasma.github.io/Logging_0883/klagomålsmail/A 55408-2023 FSC-klagomål mail.docx", "A 55408-2023")</f>
        <v/>
      </c>
      <c r="AC621">
        <f>HYPERLINK("https://klasma.github.io/Logging_0883/tillsyn/A 55408-2023 tillsynsbegäran.docx", "A 55408-2023")</f>
        <v/>
      </c>
      <c r="AD621">
        <f>HYPERLINK("https://klasma.github.io/Logging_0883/tillsynsmail/A 55408-2023 tillsynsbegäran mail.docx", "A 55408-2023")</f>
        <v/>
      </c>
    </row>
    <row r="622" ht="15" customHeight="1">
      <c r="A622" t="inlineStr">
        <is>
          <t>A 19158-2023</t>
        </is>
      </c>
      <c r="B622" t="inlineStr">
        <is>
          <t>avverkningsanmälan</t>
        </is>
      </c>
      <c r="C622" t="inlineStr">
        <is>
          <t>Föryngringsavverkning</t>
        </is>
      </c>
      <c r="D622" s="1" t="n">
        <v>45048</v>
      </c>
      <c r="E622" s="1" t="n">
        <v>46323</v>
      </c>
      <c r="F622" t="inlineStr">
        <is>
          <t>KALMAR LÄN</t>
        </is>
      </c>
      <c r="G622" t="inlineStr">
        <is>
          <t>VIMMERBY</t>
        </is>
      </c>
      <c r="I622" t="n">
        <v>2.2</v>
      </c>
      <c r="J622" t="n">
        <v>2</v>
      </c>
      <c r="K622" t="n">
        <v>0</v>
      </c>
      <c r="L622" t="n">
        <v>0</v>
      </c>
      <c r="M622" t="n">
        <v>1</v>
      </c>
      <c r="N622" t="n">
        <v>0</v>
      </c>
      <c r="O622" t="n">
        <v>0</v>
      </c>
      <c r="P622" t="n">
        <v>0</v>
      </c>
      <c r="Q622" t="n">
        <v>1</v>
      </c>
      <c r="R622" t="n">
        <v>1</v>
      </c>
      <c r="S622" t="n">
        <v>2</v>
      </c>
      <c r="T622" t="n">
        <v>4</v>
      </c>
      <c r="U622" t="n">
        <v>4</v>
      </c>
      <c r="V622" s="2" t="inlineStr">
        <is>
          <t>Knärot
Blåsippa</t>
        </is>
      </c>
      <c r="W622">
        <f>HYPERLINK("https://klasma.github.io/Logging_0884/artfynd/A 19158-2023 artfynd.xlsx", "A 19158-2023")</f>
        <v/>
      </c>
      <c r="X622">
        <f>HYPERLINK("https://klasma.github.io/Logging_0884/kartor/A 19158-2023 karta.png", "A 19158-2023")</f>
        <v/>
      </c>
      <c r="Y622">
        <f>HYPERLINK("https://klasma.github.io/Logging_0884/kartor_geotiff/A 19158-2023 georefererad karta.tif", "A 19158-2023")</f>
        <v/>
      </c>
      <c r="Z622">
        <f>HYPERLINK("https://klasma.github.io/Logging_0884/knärot/A 19158-2023 karta knärot.png", "A 19158-2023")</f>
        <v/>
      </c>
      <c r="AA622">
        <f>HYPERLINK("https://klasma.github.io/Logging_0884/klagomål/A 19158-2023 FSC-klagomål.docx", "A 19158-2023")</f>
        <v/>
      </c>
      <c r="AB622">
        <f>HYPERLINK("https://klasma.github.io/Logging_0884/klagomålsmail/A 19158-2023 FSC-klagomål mail.docx", "A 19158-2023")</f>
        <v/>
      </c>
      <c r="AC622">
        <f>HYPERLINK("https://klasma.github.io/Logging_0884/tillsyn/A 19158-2023 tillsynsbegäran.docx", "A 19158-2023")</f>
        <v/>
      </c>
      <c r="AD622">
        <f>HYPERLINK("https://klasma.github.io/Logging_0884/tillsynsmail/A 19158-2023 tillsynsbegäran mail.docx", "A 19158-2023")</f>
        <v/>
      </c>
    </row>
    <row r="623" ht="15" customHeight="1">
      <c r="A623" t="inlineStr">
        <is>
          <t>A 14092-2025</t>
        </is>
      </c>
      <c r="B623" t="inlineStr">
        <is>
          <t>avverkningsanmälan</t>
        </is>
      </c>
      <c r="C623" t="inlineStr">
        <is>
          <t>Föryngringsavverkning</t>
        </is>
      </c>
      <c r="D623" s="1" t="n">
        <v>45740</v>
      </c>
      <c r="E623" s="1" t="n">
        <v>46323</v>
      </c>
      <c r="F623" t="inlineStr">
        <is>
          <t>KALMAR LÄN</t>
        </is>
      </c>
      <c r="G623" t="inlineStr">
        <is>
          <t>VÄSTERVIK</t>
        </is>
      </c>
      <c r="H623" t="inlineStr">
        <is>
          <t>Sveaskog</t>
        </is>
      </c>
      <c r="I623" t="n">
        <v>0.7</v>
      </c>
      <c r="J623" t="n">
        <v>2</v>
      </c>
      <c r="K623" t="n">
        <v>0</v>
      </c>
      <c r="L623" t="n">
        <v>1</v>
      </c>
      <c r="M623" t="n">
        <v>0</v>
      </c>
      <c r="N623" t="n">
        <v>0</v>
      </c>
      <c r="O623" t="n">
        <v>0</v>
      </c>
      <c r="P623" t="n">
        <v>0</v>
      </c>
      <c r="Q623" t="n">
        <v>1</v>
      </c>
      <c r="R623" t="n">
        <v>0</v>
      </c>
      <c r="S623" t="n">
        <v>2</v>
      </c>
      <c r="T623" t="n">
        <v>2</v>
      </c>
      <c r="U623" t="n">
        <v>2</v>
      </c>
      <c r="V623" s="2" t="inlineStr">
        <is>
          <t>Grönsångare
Åkergroda</t>
        </is>
      </c>
      <c r="W623">
        <f>HYPERLINK("https://klasma.github.io/Logging_0883/artfynd/A 14092-2025 artfynd.xlsx", "A 14092-2025")</f>
        <v/>
      </c>
      <c r="X623">
        <f>HYPERLINK("https://klasma.github.io/Logging_0883/kartor/A 14092-2025 karta.png", "A 14092-2025")</f>
        <v/>
      </c>
      <c r="Y623">
        <f>HYPERLINK("https://klasma.github.io/Logging_0883/kartor_geotiff/A 14092-2025 georefererad karta.tif", "A 14092-2025")</f>
        <v/>
      </c>
      <c r="AA623">
        <f>HYPERLINK("https://klasma.github.io/Logging_0883/klagomål/A 14092-2025 FSC-klagomål.docx", "A 14092-2025")</f>
        <v/>
      </c>
      <c r="AB623">
        <f>HYPERLINK("https://klasma.github.io/Logging_0883/klagomålsmail/A 14092-2025 FSC-klagomål mail.docx", "A 14092-2025")</f>
        <v/>
      </c>
      <c r="AC623">
        <f>HYPERLINK("https://klasma.github.io/Logging_0883/tillsyn/A 14092-2025 tillsynsbegäran.docx", "A 14092-2025")</f>
        <v/>
      </c>
      <c r="AD623">
        <f>HYPERLINK("https://klasma.github.io/Logging_0883/tillsynsmail/A 14092-2025 tillsynsbegäran mail.docx", "A 14092-2025")</f>
        <v/>
      </c>
      <c r="AE623">
        <f>HYPERLINK("https://klasma.github.io/Logging_0883/fåglar/A 14092-2025 prioriterade fågelarter.docx", "A 14092-2025")</f>
        <v/>
      </c>
    </row>
    <row r="624" ht="15" customHeight="1">
      <c r="A624" t="inlineStr">
        <is>
          <t>A 42802-2025</t>
        </is>
      </c>
      <c r="B624" t="inlineStr">
        <is>
          <t>avverkningsanmälan</t>
        </is>
      </c>
      <c r="C624" t="inlineStr">
        <is>
          <t>Avverkning för annat ändamål</t>
        </is>
      </c>
      <c r="D624" s="1" t="n">
        <v>45908</v>
      </c>
      <c r="E624" s="1" t="n">
        <v>46323</v>
      </c>
      <c r="F624" t="inlineStr">
        <is>
          <t>KALMAR LÄN</t>
        </is>
      </c>
      <c r="G624" t="inlineStr">
        <is>
          <t>VIMMERBY</t>
        </is>
      </c>
      <c r="I624" t="n">
        <v>2.8</v>
      </c>
      <c r="J624" t="n">
        <v>1</v>
      </c>
      <c r="K624" t="n">
        <v>1</v>
      </c>
      <c r="L624" t="n">
        <v>0</v>
      </c>
      <c r="M624" t="n">
        <v>0</v>
      </c>
      <c r="N624" t="n">
        <v>0</v>
      </c>
      <c r="O624" t="n">
        <v>0</v>
      </c>
      <c r="P624" t="n">
        <v>0</v>
      </c>
      <c r="Q624" t="n">
        <v>0</v>
      </c>
      <c r="R624" t="n">
        <v>0</v>
      </c>
      <c r="S624" t="n">
        <v>2</v>
      </c>
      <c r="T624" t="n">
        <v>2</v>
      </c>
      <c r="U624" t="n">
        <v>2</v>
      </c>
      <c r="V624" s="2" t="inlineStr">
        <is>
          <t>Tibast
Fläcknycklar</t>
        </is>
      </c>
      <c r="W624">
        <f>HYPERLINK("https://klasma.github.io/Logging_0884/artfynd/A 42802-2025 artfynd.xlsx", "A 42802-2025")</f>
        <v/>
      </c>
      <c r="X624">
        <f>HYPERLINK("https://klasma.github.io/Logging_0884/kartor/A 42802-2025 karta.png", "A 42802-2025")</f>
        <v/>
      </c>
      <c r="Y624">
        <f>HYPERLINK("https://klasma.github.io/Logging_0884/kartor_geotiff/A 42802-2025 georefererad karta.tif", "A 42802-2025")</f>
        <v/>
      </c>
      <c r="AA624">
        <f>HYPERLINK("https://klasma.github.io/Logging_0884/klagomål/A 42802-2025 FSC-klagomål.docx", "A 42802-2025")</f>
        <v/>
      </c>
      <c r="AB624">
        <f>HYPERLINK("https://klasma.github.io/Logging_0884/klagomålsmail/A 42802-2025 FSC-klagomål mail.docx", "A 42802-2025")</f>
        <v/>
      </c>
      <c r="AC624">
        <f>HYPERLINK("https://klasma.github.io/Logging_0884/tillsyn/A 42802-2025 tillsynsbegäran.docx", "A 42802-2025")</f>
        <v/>
      </c>
      <c r="AD624">
        <f>HYPERLINK("https://klasma.github.io/Logging_0884/tillsynsmail/A 42802-2025 tillsynsbegäran mail.docx", "A 42802-2025")</f>
        <v/>
      </c>
    </row>
    <row r="625" ht="15" customHeight="1">
      <c r="A625" t="inlineStr">
        <is>
          <t>A 43442-2024</t>
        </is>
      </c>
      <c r="B625" t="inlineStr">
        <is>
          <t>avverkningsanmälan</t>
        </is>
      </c>
      <c r="C625" t="inlineStr">
        <is>
          <t>Avverkning för annat ändamål</t>
        </is>
      </c>
      <c r="D625" s="1" t="n">
        <v>45568</v>
      </c>
      <c r="E625" s="1" t="n">
        <v>46323</v>
      </c>
      <c r="F625" t="inlineStr">
        <is>
          <t>KALMAR LÄN</t>
        </is>
      </c>
      <c r="G625" t="inlineStr">
        <is>
          <t>OSKARSHAMN</t>
        </is>
      </c>
      <c r="H625" t="inlineStr">
        <is>
          <t>Kommuner</t>
        </is>
      </c>
      <c r="I625" t="n">
        <v>1.7</v>
      </c>
      <c r="J625" t="n">
        <v>0</v>
      </c>
      <c r="K625" t="n">
        <v>2</v>
      </c>
      <c r="L625" t="n">
        <v>0</v>
      </c>
      <c r="M625" t="n">
        <v>0</v>
      </c>
      <c r="N625" t="n">
        <v>0</v>
      </c>
      <c r="O625" t="n">
        <v>0</v>
      </c>
      <c r="P625" t="n">
        <v>0</v>
      </c>
      <c r="Q625" t="n">
        <v>0</v>
      </c>
      <c r="R625" t="n">
        <v>0</v>
      </c>
      <c r="S625" t="n">
        <v>2</v>
      </c>
      <c r="T625" t="n">
        <v>3</v>
      </c>
      <c r="U625" t="n">
        <v>3</v>
      </c>
      <c r="V625" s="2" t="inlineStr">
        <is>
          <t>Blåmossa
Vanlig flatbagge</t>
        </is>
      </c>
      <c r="W625">
        <f>HYPERLINK("https://klasma.github.io/Logging_0882/artfynd/A 43442-2024 artfynd.xlsx", "A 43442-2024")</f>
        <v/>
      </c>
      <c r="X625">
        <f>HYPERLINK("https://klasma.github.io/Logging_0882/kartor/A 43442-2024 karta.png", "A 43442-2024")</f>
        <v/>
      </c>
      <c r="Y625">
        <f>HYPERLINK("https://klasma.github.io/Logging_0882/kartor_geotiff/A 43442-2024 georefererad karta.tif", "A 43442-2024")</f>
        <v/>
      </c>
      <c r="AA625">
        <f>HYPERLINK("https://klasma.github.io/Logging_0882/klagomål/A 43442-2024 FSC-klagomål.docx", "A 43442-2024")</f>
        <v/>
      </c>
      <c r="AB625">
        <f>HYPERLINK("https://klasma.github.io/Logging_0882/klagomålsmail/A 43442-2024 FSC-klagomål mail.docx", "A 43442-2024")</f>
        <v/>
      </c>
      <c r="AC625">
        <f>HYPERLINK("https://klasma.github.io/Logging_0882/tillsyn/A 43442-2024 tillsynsbegäran.docx", "A 43442-2024")</f>
        <v/>
      </c>
      <c r="AD625">
        <f>HYPERLINK("https://klasma.github.io/Logging_0882/tillsynsmail/A 43442-2024 tillsynsbegäran mail.docx", "A 43442-2024")</f>
        <v/>
      </c>
    </row>
    <row r="626" ht="15" customHeight="1">
      <c r="A626" t="inlineStr">
        <is>
          <t>A 30933-2023</t>
        </is>
      </c>
      <c r="B626" t="inlineStr">
        <is>
          <t>avverkningsanmälan</t>
        </is>
      </c>
      <c r="C626" t="inlineStr">
        <is>
          <t>Föryngringsavverkning</t>
        </is>
      </c>
      <c r="D626" s="1" t="n">
        <v>45113</v>
      </c>
      <c r="E626" s="1" t="n">
        <v>46323</v>
      </c>
      <c r="F626" t="inlineStr">
        <is>
          <t>KALMAR LÄN</t>
        </is>
      </c>
      <c r="G626" t="inlineStr">
        <is>
          <t>OSKARSHAMN</t>
        </is>
      </c>
      <c r="I626" t="n">
        <v>3.7</v>
      </c>
      <c r="J626" t="n">
        <v>2</v>
      </c>
      <c r="K626" t="n">
        <v>0</v>
      </c>
      <c r="L626" t="n">
        <v>1</v>
      </c>
      <c r="M626" t="n">
        <v>0</v>
      </c>
      <c r="N626" t="n">
        <v>0</v>
      </c>
      <c r="O626" t="n">
        <v>0</v>
      </c>
      <c r="P626" t="n">
        <v>0</v>
      </c>
      <c r="Q626" t="n">
        <v>1</v>
      </c>
      <c r="R626" t="n">
        <v>0</v>
      </c>
      <c r="S626" t="n">
        <v>2</v>
      </c>
      <c r="T626" t="n">
        <v>2</v>
      </c>
      <c r="U626" t="n">
        <v>2</v>
      </c>
      <c r="V626" s="2" t="inlineStr">
        <is>
          <t>Mindre hackspett
Spillkråka</t>
        </is>
      </c>
      <c r="W626">
        <f>HYPERLINK("https://klasma.github.io/Logging_0882/artfynd/A 30933-2023 artfynd.xlsx", "A 30933-2023")</f>
        <v/>
      </c>
      <c r="X626">
        <f>HYPERLINK("https://klasma.github.io/Logging_0882/kartor/A 30933-2023 karta.png", "A 30933-2023")</f>
        <v/>
      </c>
      <c r="Y626">
        <f>HYPERLINK("https://klasma.github.io/Logging_0882/kartor_geotiff/A 30933-2023 georefererad karta.tif", "A 30933-2023")</f>
        <v/>
      </c>
      <c r="AA626">
        <f>HYPERLINK("https://klasma.github.io/Logging_0882/klagomål/A 30933-2023 FSC-klagomål.docx", "A 30933-2023")</f>
        <v/>
      </c>
      <c r="AB626">
        <f>HYPERLINK("https://klasma.github.io/Logging_0882/klagomålsmail/A 30933-2023 FSC-klagomål mail.docx", "A 30933-2023")</f>
        <v/>
      </c>
      <c r="AC626">
        <f>HYPERLINK("https://klasma.github.io/Logging_0882/tillsyn/A 30933-2023 tillsynsbegäran.docx", "A 30933-2023")</f>
        <v/>
      </c>
      <c r="AD626">
        <f>HYPERLINK("https://klasma.github.io/Logging_0882/tillsynsmail/A 30933-2023 tillsynsbegäran mail.docx", "A 30933-2023")</f>
        <v/>
      </c>
      <c r="AE626">
        <f>HYPERLINK("https://klasma.github.io/Logging_0882/fåglar/A 30933-2023 prioriterade fågelarter.docx", "A 30933-2023")</f>
        <v/>
      </c>
    </row>
    <row r="627" ht="15" customHeight="1">
      <c r="A627" t="inlineStr">
        <is>
          <t>A 51406-2022</t>
        </is>
      </c>
      <c r="B627" t="inlineStr">
        <is>
          <t>avverkningsanmälan</t>
        </is>
      </c>
      <c r="C627" t="inlineStr">
        <is>
          <t>Föryngringsavverkning</t>
        </is>
      </c>
      <c r="D627" s="1" t="n">
        <v>44869</v>
      </c>
      <c r="E627" s="1" t="n">
        <v>46323</v>
      </c>
      <c r="F627" t="inlineStr">
        <is>
          <t>KALMAR LÄN</t>
        </is>
      </c>
      <c r="G627" t="inlineStr">
        <is>
          <t>NYBRO</t>
        </is>
      </c>
      <c r="I627" t="n">
        <v>2.6</v>
      </c>
      <c r="J627" t="n">
        <v>2</v>
      </c>
      <c r="K627" t="n">
        <v>0</v>
      </c>
      <c r="L627" t="n">
        <v>1</v>
      </c>
      <c r="M627" t="n">
        <v>0</v>
      </c>
      <c r="N627" t="n">
        <v>0</v>
      </c>
      <c r="O627" t="n">
        <v>0</v>
      </c>
      <c r="P627" t="n">
        <v>0</v>
      </c>
      <c r="Q627" t="n">
        <v>1</v>
      </c>
      <c r="R627" t="n">
        <v>0</v>
      </c>
      <c r="S627" t="n">
        <v>2</v>
      </c>
      <c r="T627" t="n">
        <v>2</v>
      </c>
      <c r="U627" t="n">
        <v>2</v>
      </c>
      <c r="V627" s="2" t="inlineStr">
        <is>
          <t>Nordfladdermus
Större brunfladdermus</t>
        </is>
      </c>
      <c r="W627">
        <f>HYPERLINK("https://klasma.github.io/Logging_0881/artfynd/A 51406-2022 artfynd.xlsx", "A 51406-2022")</f>
        <v/>
      </c>
      <c r="X627">
        <f>HYPERLINK("https://klasma.github.io/Logging_0881/kartor/A 51406-2022 karta.png", "A 51406-2022")</f>
        <v/>
      </c>
      <c r="Y627">
        <f>HYPERLINK("https://klasma.github.io/Logging_0881/kartor_geotiff/A 51406-2022 georefererad karta.tif", "A 51406-2022")</f>
        <v/>
      </c>
      <c r="AA627">
        <f>HYPERLINK("https://klasma.github.io/Logging_0881/klagomål/A 51406-2022 FSC-klagomål.docx", "A 51406-2022")</f>
        <v/>
      </c>
      <c r="AB627">
        <f>HYPERLINK("https://klasma.github.io/Logging_0881/klagomålsmail/A 51406-2022 FSC-klagomål mail.docx", "A 51406-2022")</f>
        <v/>
      </c>
      <c r="AC627">
        <f>HYPERLINK("https://klasma.github.io/Logging_0881/tillsyn/A 51406-2022 tillsynsbegäran.docx", "A 51406-2022")</f>
        <v/>
      </c>
      <c r="AD627">
        <f>HYPERLINK("https://klasma.github.io/Logging_0881/tillsynsmail/A 51406-2022 tillsynsbegäran mail.docx", "A 51406-2022")</f>
        <v/>
      </c>
    </row>
    <row r="628" ht="15" customHeight="1">
      <c r="A628" t="inlineStr">
        <is>
          <t>A 61796-2024</t>
        </is>
      </c>
      <c r="B628" t="inlineStr">
        <is>
          <t>avverkningsanmälan</t>
        </is>
      </c>
      <c r="C628" t="inlineStr">
        <is>
          <t>Föryngringsavverkning</t>
        </is>
      </c>
      <c r="D628" s="1" t="n">
        <v>45649</v>
      </c>
      <c r="E628" s="1" t="n">
        <v>46323</v>
      </c>
      <c r="F628" t="inlineStr">
        <is>
          <t>KALMAR LÄN</t>
        </is>
      </c>
      <c r="G628" t="inlineStr">
        <is>
          <t>NYBRO</t>
        </is>
      </c>
      <c r="I628" t="n">
        <v>4.8</v>
      </c>
      <c r="J628" t="n">
        <v>1</v>
      </c>
      <c r="K628" t="n">
        <v>0</v>
      </c>
      <c r="L628" t="n">
        <v>1</v>
      </c>
      <c r="M628" t="n">
        <v>0</v>
      </c>
      <c r="N628" t="n">
        <v>0</v>
      </c>
      <c r="O628" t="n">
        <v>0</v>
      </c>
      <c r="P628" t="n">
        <v>0</v>
      </c>
      <c r="Q628" t="n">
        <v>1</v>
      </c>
      <c r="R628" t="n">
        <v>0</v>
      </c>
      <c r="S628" t="n">
        <v>2</v>
      </c>
      <c r="T628" t="n">
        <v>2</v>
      </c>
      <c r="U628" t="n">
        <v>2</v>
      </c>
      <c r="V628" s="2" t="inlineStr">
        <is>
          <t>Dvärgbägarlav
Tjäder</t>
        </is>
      </c>
      <c r="W628">
        <f>HYPERLINK("https://klasma.github.io/Logging_0881/artfynd/A 61796-2024 artfynd.xlsx", "A 61796-2024")</f>
        <v/>
      </c>
      <c r="X628">
        <f>HYPERLINK("https://klasma.github.io/Logging_0881/kartor/A 61796-2024 karta.png", "A 61796-2024")</f>
        <v/>
      </c>
      <c r="Y628">
        <f>HYPERLINK("https://klasma.github.io/Logging_0881/kartor_geotiff/A 61796-2024 georefererad karta.tif", "A 61796-2024")</f>
        <v/>
      </c>
      <c r="AA628">
        <f>HYPERLINK("https://klasma.github.io/Logging_0881/klagomål/A 61796-2024 FSC-klagomål.docx", "A 61796-2024")</f>
        <v/>
      </c>
      <c r="AB628">
        <f>HYPERLINK("https://klasma.github.io/Logging_0881/klagomålsmail/A 61796-2024 FSC-klagomål mail.docx", "A 61796-2024")</f>
        <v/>
      </c>
      <c r="AC628">
        <f>HYPERLINK("https://klasma.github.io/Logging_0881/tillsyn/A 61796-2024 tillsynsbegäran.docx", "A 61796-2024")</f>
        <v/>
      </c>
      <c r="AD628">
        <f>HYPERLINK("https://klasma.github.io/Logging_0881/tillsynsmail/A 61796-2024 tillsynsbegäran mail.docx", "A 61796-2024")</f>
        <v/>
      </c>
      <c r="AE628">
        <f>HYPERLINK("https://klasma.github.io/Logging_0881/fåglar/A 61796-2024 prioriterade fågelarter.docx", "A 61796-2024")</f>
        <v/>
      </c>
    </row>
    <row r="629" ht="15" customHeight="1">
      <c r="A629" t="inlineStr">
        <is>
          <t>A 35236-2024</t>
        </is>
      </c>
      <c r="B629" t="inlineStr">
        <is>
          <t>avverkningsanmälan</t>
        </is>
      </c>
      <c r="C629" t="inlineStr">
        <is>
          <t>Föryngringsavverkning</t>
        </is>
      </c>
      <c r="D629" s="1" t="n">
        <v>45530</v>
      </c>
      <c r="E629" s="1" t="n">
        <v>46323</v>
      </c>
      <c r="F629" t="inlineStr">
        <is>
          <t>KALMAR LÄN</t>
        </is>
      </c>
      <c r="G629" t="inlineStr">
        <is>
          <t>VÄSTERVIK</t>
        </is>
      </c>
      <c r="I629" t="n">
        <v>0.9</v>
      </c>
      <c r="J629" t="n">
        <v>1</v>
      </c>
      <c r="K629" t="n">
        <v>1</v>
      </c>
      <c r="L629" t="n">
        <v>0</v>
      </c>
      <c r="M629" t="n">
        <v>1</v>
      </c>
      <c r="N629" t="n">
        <v>0</v>
      </c>
      <c r="O629" t="n">
        <v>0</v>
      </c>
      <c r="P629" t="n">
        <v>0</v>
      </c>
      <c r="Q629" t="n">
        <v>1</v>
      </c>
      <c r="R629" t="n">
        <v>1</v>
      </c>
      <c r="S629" t="n">
        <v>2</v>
      </c>
      <c r="T629" t="n">
        <v>4</v>
      </c>
      <c r="U629" t="n">
        <v>4</v>
      </c>
      <c r="V629" s="2" t="inlineStr">
        <is>
          <t>Knärot
Blåmossa</t>
        </is>
      </c>
      <c r="W629">
        <f>HYPERLINK("https://klasma.github.io/Logging_0883/artfynd/A 35236-2024 artfynd.xlsx", "A 35236-2024")</f>
        <v/>
      </c>
      <c r="X629">
        <f>HYPERLINK("https://klasma.github.io/Logging_0883/kartor/A 35236-2024 karta.png", "A 35236-2024")</f>
        <v/>
      </c>
      <c r="Y629">
        <f>HYPERLINK("https://klasma.github.io/Logging_0883/kartor_geotiff/A 35236-2024 georefererad karta.tif", "A 35236-2024")</f>
        <v/>
      </c>
      <c r="Z629">
        <f>HYPERLINK("https://klasma.github.io/Logging_0883/knärot/A 35236-2024 karta knärot.png", "A 35236-2024")</f>
        <v/>
      </c>
      <c r="AA629">
        <f>HYPERLINK("https://klasma.github.io/Logging_0883/klagomål/A 35236-2024 FSC-klagomål.docx", "A 35236-2024")</f>
        <v/>
      </c>
      <c r="AB629">
        <f>HYPERLINK("https://klasma.github.io/Logging_0883/klagomålsmail/A 35236-2024 FSC-klagomål mail.docx", "A 35236-2024")</f>
        <v/>
      </c>
      <c r="AC629">
        <f>HYPERLINK("https://klasma.github.io/Logging_0883/tillsyn/A 35236-2024 tillsynsbegäran.docx", "A 35236-2024")</f>
        <v/>
      </c>
      <c r="AD629">
        <f>HYPERLINK("https://klasma.github.io/Logging_0883/tillsynsmail/A 35236-2024 tillsynsbegäran mail.docx", "A 35236-2024")</f>
        <v/>
      </c>
    </row>
    <row r="630" ht="15" customHeight="1">
      <c r="A630" t="inlineStr">
        <is>
          <t>A 46095-2025</t>
        </is>
      </c>
      <c r="B630" t="inlineStr">
        <is>
          <t>avverkningsanmälan</t>
        </is>
      </c>
      <c r="C630" t="inlineStr">
        <is>
          <t>Föryngringsavverkning</t>
        </is>
      </c>
      <c r="D630" s="1" t="n">
        <v>45924</v>
      </c>
      <c r="E630" s="1" t="n">
        <v>46323</v>
      </c>
      <c r="F630" t="inlineStr">
        <is>
          <t>KALMAR LÄN</t>
        </is>
      </c>
      <c r="G630" t="inlineStr">
        <is>
          <t>KALMAR</t>
        </is>
      </c>
      <c r="I630" t="n">
        <v>2.3</v>
      </c>
      <c r="J630" t="n">
        <v>0</v>
      </c>
      <c r="K630" t="n">
        <v>1</v>
      </c>
      <c r="L630" t="n">
        <v>1</v>
      </c>
      <c r="M630" t="n">
        <v>0</v>
      </c>
      <c r="N630" t="n">
        <v>0</v>
      </c>
      <c r="O630" t="n">
        <v>0</v>
      </c>
      <c r="P630" t="n">
        <v>0</v>
      </c>
      <c r="Q630" t="n">
        <v>1</v>
      </c>
      <c r="R630" t="n">
        <v>0</v>
      </c>
      <c r="S630" t="n">
        <v>2</v>
      </c>
      <c r="T630" t="n">
        <v>3</v>
      </c>
      <c r="U630" t="n">
        <v>0</v>
      </c>
      <c r="V630" s="2" t="inlineStr">
        <is>
          <t>Motaggsvamp
Blåmossa</t>
        </is>
      </c>
      <c r="W630">
        <f>HYPERLINK("https://klasma.github.io/Logging_0880/artfynd/A 46095-2025 artfynd.xlsx", "A 46095-2025")</f>
        <v/>
      </c>
      <c r="X630">
        <f>HYPERLINK("https://klasma.github.io/Logging_0880/kartor/A 46095-2025 karta.png", "A 46095-2025")</f>
        <v/>
      </c>
      <c r="Y630">
        <f>HYPERLINK("https://klasma.github.io/Logging_0880/kartor_geotiff/A 46095-2025 georefererad karta.tif", "A 46095-2025")</f>
        <v/>
      </c>
      <c r="AA630">
        <f>HYPERLINK("https://klasma.github.io/Logging_0880/klagomål/A 46095-2025 FSC-klagomål.docx", "A 46095-2025")</f>
        <v/>
      </c>
      <c r="AB630">
        <f>HYPERLINK("https://klasma.github.io/Logging_0880/klagomålsmail/A 46095-2025 FSC-klagomål mail.docx", "A 46095-2025")</f>
        <v/>
      </c>
      <c r="AC630">
        <f>HYPERLINK("https://klasma.github.io/Logging_0880/tillsyn/A 46095-2025 tillsynsbegäran.docx", "A 46095-2025")</f>
        <v/>
      </c>
      <c r="AD630">
        <f>HYPERLINK("https://klasma.github.io/Logging_0880/tillsynsmail/A 46095-2025 tillsynsbegäran mail.docx", "A 46095-2025")</f>
        <v/>
      </c>
    </row>
    <row r="631" ht="15" customHeight="1">
      <c r="A631" t="inlineStr">
        <is>
          <t>A 44064-2023</t>
        </is>
      </c>
      <c r="B631" t="inlineStr">
        <is>
          <t>avverkningsanmälan</t>
        </is>
      </c>
      <c r="C631" t="inlineStr">
        <is>
          <t>Föryngringsavverkning</t>
        </is>
      </c>
      <c r="D631" s="1" t="n">
        <v>45188</v>
      </c>
      <c r="E631" s="1" t="n">
        <v>46323</v>
      </c>
      <c r="F631" t="inlineStr">
        <is>
          <t>KALMAR LÄN</t>
        </is>
      </c>
      <c r="G631" t="inlineStr">
        <is>
          <t>NYBRO</t>
        </is>
      </c>
      <c r="I631" t="n">
        <v>1.8</v>
      </c>
      <c r="J631" t="n">
        <v>0</v>
      </c>
      <c r="K631" t="n">
        <v>2</v>
      </c>
      <c r="L631" t="n">
        <v>0</v>
      </c>
      <c r="M631" t="n">
        <v>0</v>
      </c>
      <c r="N631" t="n">
        <v>0</v>
      </c>
      <c r="O631" t="n">
        <v>0</v>
      </c>
      <c r="P631" t="n">
        <v>0</v>
      </c>
      <c r="Q631" t="n">
        <v>0</v>
      </c>
      <c r="R631" t="n">
        <v>0</v>
      </c>
      <c r="S631" t="n">
        <v>2</v>
      </c>
      <c r="T631" t="n">
        <v>3</v>
      </c>
      <c r="U631" t="n">
        <v>0</v>
      </c>
      <c r="V631" s="2" t="inlineStr">
        <is>
          <t>Rostfläck
Sotlav</t>
        </is>
      </c>
      <c r="W631">
        <f>HYPERLINK("https://klasma.github.io/Logging_0881/artfynd/A 44064-2023 artfynd.xlsx", "A 44064-2023")</f>
        <v/>
      </c>
      <c r="X631">
        <f>HYPERLINK("https://klasma.github.io/Logging_0881/kartor/A 44064-2023 karta.png", "A 44064-2023")</f>
        <v/>
      </c>
      <c r="Y631">
        <f>HYPERLINK("https://klasma.github.io/Logging_0881/kartor_geotiff/A 44064-2023 georefererad karta.tif", "A 44064-2023")</f>
        <v/>
      </c>
      <c r="AA631">
        <f>HYPERLINK("https://klasma.github.io/Logging_0881/klagomål/A 44064-2023 FSC-klagomål.docx", "A 44064-2023")</f>
        <v/>
      </c>
      <c r="AB631">
        <f>HYPERLINK("https://klasma.github.io/Logging_0881/klagomålsmail/A 44064-2023 FSC-klagomål mail.docx", "A 44064-2023")</f>
        <v/>
      </c>
      <c r="AC631">
        <f>HYPERLINK("https://klasma.github.io/Logging_0881/tillsyn/A 44064-2023 tillsynsbegäran.docx", "A 44064-2023")</f>
        <v/>
      </c>
      <c r="AD631">
        <f>HYPERLINK("https://klasma.github.io/Logging_0881/tillsynsmail/A 44064-2023 tillsynsbegäran mail.docx", "A 44064-2023")</f>
        <v/>
      </c>
    </row>
    <row r="632" ht="15" customHeight="1">
      <c r="A632" t="inlineStr">
        <is>
          <t>A 45721-2022</t>
        </is>
      </c>
      <c r="B632" t="inlineStr">
        <is>
          <t>avverkningsanmälan</t>
        </is>
      </c>
      <c r="C632" t="inlineStr">
        <is>
          <t>Föryngringsavverkning</t>
        </is>
      </c>
      <c r="D632" s="1" t="n">
        <v>44845</v>
      </c>
      <c r="E632" s="1" t="n">
        <v>46323</v>
      </c>
      <c r="F632" t="inlineStr">
        <is>
          <t>KALMAR LÄN</t>
        </is>
      </c>
      <c r="G632" t="inlineStr">
        <is>
          <t>VÄSTERVIK</t>
        </is>
      </c>
      <c r="H632" t="inlineStr">
        <is>
          <t>Holmen skog AB</t>
        </is>
      </c>
      <c r="I632" t="n">
        <v>3.3</v>
      </c>
      <c r="J632" t="n">
        <v>1</v>
      </c>
      <c r="K632" t="n">
        <v>1</v>
      </c>
      <c r="L632" t="n">
        <v>0</v>
      </c>
      <c r="M632" t="n">
        <v>1</v>
      </c>
      <c r="N632" t="n">
        <v>0</v>
      </c>
      <c r="O632" t="n">
        <v>0</v>
      </c>
      <c r="P632" t="n">
        <v>0</v>
      </c>
      <c r="Q632" t="n">
        <v>1</v>
      </c>
      <c r="R632" t="n">
        <v>1</v>
      </c>
      <c r="S632" t="n">
        <v>2</v>
      </c>
      <c r="T632" t="n">
        <v>6</v>
      </c>
      <c r="U632" t="n">
        <v>6</v>
      </c>
      <c r="V632" s="2" t="inlineStr">
        <is>
          <t>Knärot
Blåmossa</t>
        </is>
      </c>
      <c r="W632">
        <f>HYPERLINK("https://klasma.github.io/Logging_0883/artfynd/A 45721-2022 artfynd.xlsx", "A 45721-2022")</f>
        <v/>
      </c>
      <c r="X632">
        <f>HYPERLINK("https://klasma.github.io/Logging_0883/kartor/A 45721-2022 karta.png", "A 45721-2022")</f>
        <v/>
      </c>
      <c r="Y632">
        <f>HYPERLINK("https://klasma.github.io/Logging_0883/kartor_geotiff/A 45721-2022 georefererad karta.tif", "A 45721-2022")</f>
        <v/>
      </c>
      <c r="Z632">
        <f>HYPERLINK("https://klasma.github.io/Logging_0883/knärot/A 45721-2022 karta knärot.png", "A 45721-2022")</f>
        <v/>
      </c>
      <c r="AA632">
        <f>HYPERLINK("https://klasma.github.io/Logging_0883/klagomål/A 45721-2022 FSC-klagomål.docx", "A 45721-2022")</f>
        <v/>
      </c>
      <c r="AB632">
        <f>HYPERLINK("https://klasma.github.io/Logging_0883/klagomålsmail/A 45721-2022 FSC-klagomål mail.docx", "A 45721-2022")</f>
        <v/>
      </c>
      <c r="AC632">
        <f>HYPERLINK("https://klasma.github.io/Logging_0883/tillsyn/A 45721-2022 tillsynsbegäran.docx", "A 45721-2022")</f>
        <v/>
      </c>
      <c r="AD632">
        <f>HYPERLINK("https://klasma.github.io/Logging_0883/tillsynsmail/A 45721-2022 tillsynsbegäran mail.docx", "A 45721-2022")</f>
        <v/>
      </c>
    </row>
    <row r="633" ht="15" customHeight="1">
      <c r="A633" t="inlineStr">
        <is>
          <t>A 62008-2023</t>
        </is>
      </c>
      <c r="B633" t="inlineStr">
        <is>
          <t>avverkningsanmälan</t>
        </is>
      </c>
      <c r="C633" t="inlineStr">
        <is>
          <t>Föryngringsavverkning</t>
        </is>
      </c>
      <c r="D633" s="1" t="n">
        <v>45266</v>
      </c>
      <c r="E633" s="1" t="n">
        <v>46323</v>
      </c>
      <c r="F633" t="inlineStr">
        <is>
          <t>KALMAR LÄN</t>
        </is>
      </c>
      <c r="G633" t="inlineStr">
        <is>
          <t>VÄSTERVIK</t>
        </is>
      </c>
      <c r="I633" t="n">
        <v>4</v>
      </c>
      <c r="J633" t="n">
        <v>2</v>
      </c>
      <c r="K633" t="n">
        <v>0</v>
      </c>
      <c r="L633" t="n">
        <v>1</v>
      </c>
      <c r="M633" t="n">
        <v>1</v>
      </c>
      <c r="N633" t="n">
        <v>0</v>
      </c>
      <c r="O633" t="n">
        <v>0</v>
      </c>
      <c r="P633" t="n">
        <v>0</v>
      </c>
      <c r="Q633" t="n">
        <v>2</v>
      </c>
      <c r="R633" t="n">
        <v>1</v>
      </c>
      <c r="S633" t="n">
        <v>2</v>
      </c>
      <c r="T633" t="n">
        <v>3</v>
      </c>
      <c r="U633" t="n">
        <v>3</v>
      </c>
      <c r="V633" s="2" t="inlineStr">
        <is>
          <t>Knärot
Talltita</t>
        </is>
      </c>
      <c r="W633">
        <f>HYPERLINK("https://klasma.github.io/Logging_0883/artfynd/A 62008-2023 artfynd.xlsx", "A 62008-2023")</f>
        <v/>
      </c>
      <c r="X633">
        <f>HYPERLINK("https://klasma.github.io/Logging_0883/kartor/A 62008-2023 karta.png", "A 62008-2023")</f>
        <v/>
      </c>
      <c r="Y633">
        <f>HYPERLINK("https://klasma.github.io/Logging_0883/kartor_geotiff/A 62008-2023 georefererad karta.tif", "A 62008-2023")</f>
        <v/>
      </c>
      <c r="Z633">
        <f>HYPERLINK("https://klasma.github.io/Logging_0883/knärot/A 62008-2023 karta knärot.png", "A 62008-2023")</f>
        <v/>
      </c>
      <c r="AA633">
        <f>HYPERLINK("https://klasma.github.io/Logging_0883/klagomål/A 62008-2023 FSC-klagomål.docx", "A 62008-2023")</f>
        <v/>
      </c>
      <c r="AB633">
        <f>HYPERLINK("https://klasma.github.io/Logging_0883/klagomålsmail/A 62008-2023 FSC-klagomål mail.docx", "A 62008-2023")</f>
        <v/>
      </c>
      <c r="AC633">
        <f>HYPERLINK("https://klasma.github.io/Logging_0883/tillsyn/A 62008-2023 tillsynsbegäran.docx", "A 62008-2023")</f>
        <v/>
      </c>
      <c r="AD633">
        <f>HYPERLINK("https://klasma.github.io/Logging_0883/tillsynsmail/A 62008-2023 tillsynsbegäran mail.docx", "A 62008-2023")</f>
        <v/>
      </c>
      <c r="AE633">
        <f>HYPERLINK("https://klasma.github.io/Logging_0883/fåglar/A 62008-2023 prioriterade fågelarter.docx", "A 62008-2023")</f>
        <v/>
      </c>
    </row>
    <row r="634" ht="15" customHeight="1">
      <c r="A634" t="inlineStr">
        <is>
          <t>A 36365-2024</t>
        </is>
      </c>
      <c r="B634" t="inlineStr">
        <is>
          <t>avverkningsanmälan</t>
        </is>
      </c>
      <c r="C634" t="inlineStr">
        <is>
          <t>Föryngringsavverkning</t>
        </is>
      </c>
      <c r="D634" s="1" t="n">
        <v>45534</v>
      </c>
      <c r="E634" s="1" t="n">
        <v>46323</v>
      </c>
      <c r="F634" t="inlineStr">
        <is>
          <t>KALMAR LÄN</t>
        </is>
      </c>
      <c r="G634" t="inlineStr">
        <is>
          <t>MÖNSTERÅS</t>
        </is>
      </c>
      <c r="H634" t="inlineStr">
        <is>
          <t>Kommuner</t>
        </is>
      </c>
      <c r="I634" t="n">
        <v>1.9</v>
      </c>
      <c r="J634" t="n">
        <v>2</v>
      </c>
      <c r="K634" t="n">
        <v>0</v>
      </c>
      <c r="L634" t="n">
        <v>1</v>
      </c>
      <c r="M634" t="n">
        <v>0</v>
      </c>
      <c r="N634" t="n">
        <v>0</v>
      </c>
      <c r="O634" t="n">
        <v>0</v>
      </c>
      <c r="P634" t="n">
        <v>0</v>
      </c>
      <c r="Q634" t="n">
        <v>1</v>
      </c>
      <c r="R634" t="n">
        <v>0</v>
      </c>
      <c r="S634" t="n">
        <v>2</v>
      </c>
      <c r="T634" t="n">
        <v>2</v>
      </c>
      <c r="U634" t="n">
        <v>2</v>
      </c>
      <c r="V634" s="2" t="inlineStr">
        <is>
          <t>Järnsparv
Vanlig padda</t>
        </is>
      </c>
      <c r="W634">
        <f>HYPERLINK("https://klasma.github.io/Logging_0861/artfynd/A 36365-2024 artfynd.xlsx", "A 36365-2024")</f>
        <v/>
      </c>
      <c r="X634">
        <f>HYPERLINK("https://klasma.github.io/Logging_0861/kartor/A 36365-2024 karta.png", "A 36365-2024")</f>
        <v/>
      </c>
      <c r="Y634">
        <f>HYPERLINK("https://klasma.github.io/Logging_0861/kartor_geotiff/A 36365-2024 georefererad karta.tif", "A 36365-2024")</f>
        <v/>
      </c>
      <c r="AA634">
        <f>HYPERLINK("https://klasma.github.io/Logging_0861/klagomål/A 36365-2024 FSC-klagomål.docx", "A 36365-2024")</f>
        <v/>
      </c>
      <c r="AB634">
        <f>HYPERLINK("https://klasma.github.io/Logging_0861/klagomålsmail/A 36365-2024 FSC-klagomål mail.docx", "A 36365-2024")</f>
        <v/>
      </c>
      <c r="AC634">
        <f>HYPERLINK("https://klasma.github.io/Logging_0861/tillsyn/A 36365-2024 tillsynsbegäran.docx", "A 36365-2024")</f>
        <v/>
      </c>
      <c r="AD634">
        <f>HYPERLINK("https://klasma.github.io/Logging_0861/tillsynsmail/A 36365-2024 tillsynsbegäran mail.docx", "A 36365-2024")</f>
        <v/>
      </c>
      <c r="AE634">
        <f>HYPERLINK("https://klasma.github.io/Logging_0861/fåglar/A 36365-2024 prioriterade fågelarter.docx", "A 36365-2024")</f>
        <v/>
      </c>
    </row>
    <row r="635" ht="15" customHeight="1">
      <c r="A635" t="inlineStr">
        <is>
          <t>A 9040-2023</t>
        </is>
      </c>
      <c r="B635" t="inlineStr">
        <is>
          <t>avverkningsanmälan</t>
        </is>
      </c>
      <c r="C635" t="inlineStr">
        <is>
          <t>Föryngringsavverkning</t>
        </is>
      </c>
      <c r="D635" s="1" t="n">
        <v>44979</v>
      </c>
      <c r="E635" s="1" t="n">
        <v>46323</v>
      </c>
      <c r="F635" t="inlineStr">
        <is>
          <t>KALMAR LÄN</t>
        </is>
      </c>
      <c r="G635" t="inlineStr">
        <is>
          <t>VÄSTERVIK</t>
        </is>
      </c>
      <c r="I635" t="n">
        <v>5.1</v>
      </c>
      <c r="J635" t="n">
        <v>1</v>
      </c>
      <c r="K635" t="n">
        <v>1</v>
      </c>
      <c r="L635" t="n">
        <v>0</v>
      </c>
      <c r="M635" t="n">
        <v>1</v>
      </c>
      <c r="N635" t="n">
        <v>0</v>
      </c>
      <c r="O635" t="n">
        <v>0</v>
      </c>
      <c r="P635" t="n">
        <v>0</v>
      </c>
      <c r="Q635" t="n">
        <v>1</v>
      </c>
      <c r="R635" t="n">
        <v>1</v>
      </c>
      <c r="S635" t="n">
        <v>2</v>
      </c>
      <c r="T635" t="n">
        <v>2</v>
      </c>
      <c r="U635" t="n">
        <v>2</v>
      </c>
      <c r="V635" s="2" t="inlineStr">
        <is>
          <t>Knärot
Grönpyrola</t>
        </is>
      </c>
      <c r="W635">
        <f>HYPERLINK("https://klasma.github.io/Logging_0883/artfynd/A 9040-2023 artfynd.xlsx", "A 9040-2023")</f>
        <v/>
      </c>
      <c r="X635">
        <f>HYPERLINK("https://klasma.github.io/Logging_0883/kartor/A 9040-2023 karta.png", "A 9040-2023")</f>
        <v/>
      </c>
      <c r="Y635">
        <f>HYPERLINK("https://klasma.github.io/Logging_0883/kartor_geotiff/A 9040-2023 georefererad karta.tif", "A 9040-2023")</f>
        <v/>
      </c>
      <c r="Z635">
        <f>HYPERLINK("https://klasma.github.io/Logging_0883/knärot/A 9040-2023 karta knärot.png", "A 9040-2023")</f>
        <v/>
      </c>
      <c r="AA635">
        <f>HYPERLINK("https://klasma.github.io/Logging_0883/klagomål/A 9040-2023 FSC-klagomål.docx", "A 9040-2023")</f>
        <v/>
      </c>
      <c r="AB635">
        <f>HYPERLINK("https://klasma.github.io/Logging_0883/klagomålsmail/A 9040-2023 FSC-klagomål mail.docx", "A 9040-2023")</f>
        <v/>
      </c>
      <c r="AC635">
        <f>HYPERLINK("https://klasma.github.io/Logging_0883/tillsyn/A 9040-2023 tillsynsbegäran.docx", "A 9040-2023")</f>
        <v/>
      </c>
      <c r="AD635">
        <f>HYPERLINK("https://klasma.github.io/Logging_0883/tillsynsmail/A 9040-2023 tillsynsbegäran mail.docx", "A 9040-2023")</f>
        <v/>
      </c>
    </row>
    <row r="636" ht="15" customHeight="1">
      <c r="A636" t="inlineStr">
        <is>
          <t>A 1529-2023</t>
        </is>
      </c>
      <c r="B636" t="inlineStr">
        <is>
          <t>avverkningsanmälan</t>
        </is>
      </c>
      <c r="C636" t="inlineStr">
        <is>
          <t>Föryngringsavverkning</t>
        </is>
      </c>
      <c r="D636" s="1" t="n">
        <v>44937</v>
      </c>
      <c r="E636" s="1" t="n">
        <v>46323</v>
      </c>
      <c r="F636" t="inlineStr">
        <is>
          <t>KALMAR LÄN</t>
        </is>
      </c>
      <c r="G636" t="inlineStr">
        <is>
          <t>NYBRO</t>
        </is>
      </c>
      <c r="H636" t="inlineStr">
        <is>
          <t>Sveaskog</t>
        </is>
      </c>
      <c r="I636" t="n">
        <v>4.1</v>
      </c>
      <c r="J636" t="n">
        <v>2</v>
      </c>
      <c r="K636" t="n">
        <v>0</v>
      </c>
      <c r="L636" t="n">
        <v>0</v>
      </c>
      <c r="M636" t="n">
        <v>0</v>
      </c>
      <c r="N636" t="n">
        <v>0</v>
      </c>
      <c r="O636" t="n">
        <v>0</v>
      </c>
      <c r="P636" t="n">
        <v>0</v>
      </c>
      <c r="Q636" t="n">
        <v>0</v>
      </c>
      <c r="R636" t="n">
        <v>0</v>
      </c>
      <c r="S636" t="n">
        <v>2</v>
      </c>
      <c r="T636" t="n">
        <v>2</v>
      </c>
      <c r="U636" t="n">
        <v>2</v>
      </c>
      <c r="V636" s="2" t="inlineStr">
        <is>
          <t>Gröngöling
Trana</t>
        </is>
      </c>
      <c r="W636">
        <f>HYPERLINK("https://klasma.github.io/Logging_0881/artfynd/A 1529-2023 artfynd.xlsx", "A 1529-2023")</f>
        <v/>
      </c>
      <c r="X636">
        <f>HYPERLINK("https://klasma.github.io/Logging_0881/kartor/A 1529-2023 karta.png", "A 1529-2023")</f>
        <v/>
      </c>
      <c r="Y636">
        <f>HYPERLINK("https://klasma.github.io/Logging_0881/kartor_geotiff/A 1529-2023 georefererad karta.tif", "A 1529-2023")</f>
        <v/>
      </c>
      <c r="AA636">
        <f>HYPERLINK("https://klasma.github.io/Logging_0881/klagomål/A 1529-2023 FSC-klagomål.docx", "A 1529-2023")</f>
        <v/>
      </c>
      <c r="AB636">
        <f>HYPERLINK("https://klasma.github.io/Logging_0881/klagomålsmail/A 1529-2023 FSC-klagomål mail.docx", "A 1529-2023")</f>
        <v/>
      </c>
      <c r="AC636">
        <f>HYPERLINK("https://klasma.github.io/Logging_0881/tillsyn/A 1529-2023 tillsynsbegäran.docx", "A 1529-2023")</f>
        <v/>
      </c>
      <c r="AD636">
        <f>HYPERLINK("https://klasma.github.io/Logging_0881/tillsynsmail/A 1529-2023 tillsynsbegäran mail.docx", "A 1529-2023")</f>
        <v/>
      </c>
      <c r="AE636">
        <f>HYPERLINK("https://klasma.github.io/Logging_0881/fåglar/A 1529-2023 prioriterade fågelarter.docx", "A 1529-2023")</f>
        <v/>
      </c>
    </row>
    <row r="637" ht="15" customHeight="1">
      <c r="A637" t="inlineStr">
        <is>
          <t>A 52866-2022</t>
        </is>
      </c>
      <c r="B637" t="inlineStr">
        <is>
          <t>avverkningsanmälan</t>
        </is>
      </c>
      <c r="C637" t="inlineStr">
        <is>
          <t>Avverkning för att bevara och utveckla /försöksver</t>
        </is>
      </c>
      <c r="D637" s="1" t="n">
        <v>44875</v>
      </c>
      <c r="E637" s="1" t="n">
        <v>46323</v>
      </c>
      <c r="F637" t="inlineStr">
        <is>
          <t>KALMAR LÄN</t>
        </is>
      </c>
      <c r="G637" t="inlineStr">
        <is>
          <t>MÖNSTERÅS</t>
        </is>
      </c>
      <c r="I637" t="n">
        <v>1.3</v>
      </c>
      <c r="J637" t="n">
        <v>0</v>
      </c>
      <c r="K637" t="n">
        <v>0</v>
      </c>
      <c r="L637" t="n">
        <v>1</v>
      </c>
      <c r="M637" t="n">
        <v>1</v>
      </c>
      <c r="N637" t="n">
        <v>0</v>
      </c>
      <c r="O637" t="n">
        <v>0</v>
      </c>
      <c r="P637" t="n">
        <v>0</v>
      </c>
      <c r="Q637" t="n">
        <v>2</v>
      </c>
      <c r="R637" t="n">
        <v>1</v>
      </c>
      <c r="S637" t="n">
        <v>2</v>
      </c>
      <c r="T637" t="n">
        <v>2</v>
      </c>
      <c r="U637" t="n">
        <v>0</v>
      </c>
      <c r="V637" s="2" t="inlineStr">
        <is>
          <t>Ekpricklav
Ekticka</t>
        </is>
      </c>
      <c r="W637">
        <f>HYPERLINK("https://klasma.github.io/Logging_0861/artfynd/A 52866-2022 artfynd.xlsx", "A 52866-2022")</f>
        <v/>
      </c>
      <c r="X637">
        <f>HYPERLINK("https://klasma.github.io/Logging_0861/kartor/A 52866-2022 karta.png", "A 52866-2022")</f>
        <v/>
      </c>
      <c r="Y637">
        <f>HYPERLINK("https://klasma.github.io/Logging_0861/kartor_geotiff/A 52866-2022 georefererad karta.tif", "A 52866-2022")</f>
        <v/>
      </c>
      <c r="AA637">
        <f>HYPERLINK("https://klasma.github.io/Logging_0861/klagomål/A 52866-2022 FSC-klagomål.docx", "A 52866-2022")</f>
        <v/>
      </c>
      <c r="AB637">
        <f>HYPERLINK("https://klasma.github.io/Logging_0861/klagomålsmail/A 52866-2022 FSC-klagomål mail.docx", "A 52866-2022")</f>
        <v/>
      </c>
      <c r="AC637">
        <f>HYPERLINK("https://klasma.github.io/Logging_0861/tillsyn/A 52866-2022 tillsynsbegäran.docx", "A 52866-2022")</f>
        <v/>
      </c>
      <c r="AD637">
        <f>HYPERLINK("https://klasma.github.io/Logging_0861/tillsynsmail/A 52866-2022 tillsynsbegäran mail.docx", "A 52866-2022")</f>
        <v/>
      </c>
    </row>
    <row r="638" ht="15" customHeight="1">
      <c r="A638" t="inlineStr">
        <is>
          <t>A 14071-2025</t>
        </is>
      </c>
      <c r="B638" t="inlineStr">
        <is>
          <t>avverkningsanmälan</t>
        </is>
      </c>
      <c r="C638" t="inlineStr">
        <is>
          <t>Föryngringsavverkning</t>
        </is>
      </c>
      <c r="D638" s="1" t="n">
        <v>45740</v>
      </c>
      <c r="E638" s="1" t="n">
        <v>46323</v>
      </c>
      <c r="F638" t="inlineStr">
        <is>
          <t>KALMAR LÄN</t>
        </is>
      </c>
      <c r="G638" t="inlineStr">
        <is>
          <t>VÄSTERVIK</t>
        </is>
      </c>
      <c r="H638" t="inlineStr">
        <is>
          <t>Sveaskog</t>
        </is>
      </c>
      <c r="I638" t="n">
        <v>1.9</v>
      </c>
      <c r="J638" t="n">
        <v>2</v>
      </c>
      <c r="K638" t="n">
        <v>0</v>
      </c>
      <c r="L638" t="n">
        <v>1</v>
      </c>
      <c r="M638" t="n">
        <v>0</v>
      </c>
      <c r="N638" t="n">
        <v>0</v>
      </c>
      <c r="O638" t="n">
        <v>0</v>
      </c>
      <c r="P638" t="n">
        <v>0</v>
      </c>
      <c r="Q638" t="n">
        <v>1</v>
      </c>
      <c r="R638" t="n">
        <v>0</v>
      </c>
      <c r="S638" t="n">
        <v>2</v>
      </c>
      <c r="T638" t="n">
        <v>2</v>
      </c>
      <c r="U638" t="n">
        <v>2</v>
      </c>
      <c r="V638" s="2" t="inlineStr">
        <is>
          <t>Entita
Skogsduva</t>
        </is>
      </c>
      <c r="W638">
        <f>HYPERLINK("https://klasma.github.io/Logging_0883/artfynd/A 14071-2025 artfynd.xlsx", "A 14071-2025")</f>
        <v/>
      </c>
      <c r="X638">
        <f>HYPERLINK("https://klasma.github.io/Logging_0883/kartor/A 14071-2025 karta.png", "A 14071-2025")</f>
        <v/>
      </c>
      <c r="Y638">
        <f>HYPERLINK("https://klasma.github.io/Logging_0883/kartor_geotiff/A 14071-2025 georefererad karta.tif", "A 14071-2025")</f>
        <v/>
      </c>
      <c r="AA638">
        <f>HYPERLINK("https://klasma.github.io/Logging_0883/klagomål/A 14071-2025 FSC-klagomål.docx", "A 14071-2025")</f>
        <v/>
      </c>
      <c r="AB638">
        <f>HYPERLINK("https://klasma.github.io/Logging_0883/klagomålsmail/A 14071-2025 FSC-klagomål mail.docx", "A 14071-2025")</f>
        <v/>
      </c>
      <c r="AC638">
        <f>HYPERLINK("https://klasma.github.io/Logging_0883/tillsyn/A 14071-2025 tillsynsbegäran.docx", "A 14071-2025")</f>
        <v/>
      </c>
      <c r="AD638">
        <f>HYPERLINK("https://klasma.github.io/Logging_0883/tillsynsmail/A 14071-2025 tillsynsbegäran mail.docx", "A 14071-2025")</f>
        <v/>
      </c>
      <c r="AE638">
        <f>HYPERLINK("https://klasma.github.io/Logging_0883/fåglar/A 14071-2025 prioriterade fågelarter.docx", "A 14071-2025")</f>
        <v/>
      </c>
    </row>
    <row r="639" ht="15" customHeight="1">
      <c r="A639" t="inlineStr">
        <is>
          <t>A 48877-2025</t>
        </is>
      </c>
      <c r="B639" t="inlineStr">
        <is>
          <t>avverkningsanmälan</t>
        </is>
      </c>
      <c r="C639" t="inlineStr">
        <is>
          <t>Avverkning för att bevara och utveckla /försöksver</t>
        </is>
      </c>
      <c r="D639" s="1" t="n">
        <v>45937</v>
      </c>
      <c r="E639" s="1" t="n">
        <v>46323</v>
      </c>
      <c r="F639" t="inlineStr">
        <is>
          <t>KALMAR LÄN</t>
        </is>
      </c>
      <c r="G639" t="inlineStr">
        <is>
          <t>VÄSTERVIK</t>
        </is>
      </c>
      <c r="H639" t="inlineStr">
        <is>
          <t>Sveaskog</t>
        </is>
      </c>
      <c r="I639" t="n">
        <v>1.9</v>
      </c>
      <c r="J639" t="n">
        <v>1</v>
      </c>
      <c r="K639" t="n">
        <v>1</v>
      </c>
      <c r="L639" t="n">
        <v>0</v>
      </c>
      <c r="M639" t="n">
        <v>0</v>
      </c>
      <c r="N639" t="n">
        <v>0</v>
      </c>
      <c r="O639" t="n">
        <v>0</v>
      </c>
      <c r="P639" t="n">
        <v>0</v>
      </c>
      <c r="Q639" t="n">
        <v>0</v>
      </c>
      <c r="R639" t="n">
        <v>0</v>
      </c>
      <c r="S639" t="n">
        <v>2</v>
      </c>
      <c r="T639" t="n">
        <v>2</v>
      </c>
      <c r="U639" t="n">
        <v>0</v>
      </c>
      <c r="V639" s="2" t="inlineStr">
        <is>
          <t>Fällmossa
Blåsippa</t>
        </is>
      </c>
      <c r="W639">
        <f>HYPERLINK("https://klasma.github.io/Logging_0883/artfynd/A 48877-2025 artfynd.xlsx", "A 48877-2025")</f>
        <v/>
      </c>
      <c r="X639">
        <f>HYPERLINK("https://klasma.github.io/Logging_0883/kartor/A 48877-2025 karta.png", "A 48877-2025")</f>
        <v/>
      </c>
      <c r="Y639">
        <f>HYPERLINK("https://klasma.github.io/Logging_0883/kartor_geotiff/A 48877-2025 georefererad karta.tif", "A 48877-2025")</f>
        <v/>
      </c>
      <c r="AA639">
        <f>HYPERLINK("https://klasma.github.io/Logging_0883/klagomål/A 48877-2025 FSC-klagomål.docx", "A 48877-2025")</f>
        <v/>
      </c>
      <c r="AB639">
        <f>HYPERLINK("https://klasma.github.io/Logging_0883/klagomålsmail/A 48877-2025 FSC-klagomål mail.docx", "A 48877-2025")</f>
        <v/>
      </c>
      <c r="AC639">
        <f>HYPERLINK("https://klasma.github.io/Logging_0883/tillsyn/A 48877-2025 tillsynsbegäran.docx", "A 48877-2025")</f>
        <v/>
      </c>
      <c r="AD639">
        <f>HYPERLINK("https://klasma.github.io/Logging_0883/tillsynsmail/A 48877-2025 tillsynsbegäran mail.docx", "A 48877-2025")</f>
        <v/>
      </c>
    </row>
    <row r="640" ht="15" customHeight="1">
      <c r="A640" t="inlineStr">
        <is>
          <t>A 48892-2025</t>
        </is>
      </c>
      <c r="B640" t="inlineStr">
        <is>
          <t>avverkningsanmälan</t>
        </is>
      </c>
      <c r="C640" t="inlineStr">
        <is>
          <t>Avverkning för att bevara och utveckla /försöksver</t>
        </is>
      </c>
      <c r="D640" s="1" t="n">
        <v>45937</v>
      </c>
      <c r="E640" s="1" t="n">
        <v>46323</v>
      </c>
      <c r="F640" t="inlineStr">
        <is>
          <t>KALMAR LÄN</t>
        </is>
      </c>
      <c r="G640" t="inlineStr">
        <is>
          <t>VÄSTERVIK</t>
        </is>
      </c>
      <c r="H640" t="inlineStr">
        <is>
          <t>Sveaskog</t>
        </is>
      </c>
      <c r="I640" t="n">
        <v>1.4</v>
      </c>
      <c r="J640" t="n">
        <v>1</v>
      </c>
      <c r="K640" t="n">
        <v>1</v>
      </c>
      <c r="L640" t="n">
        <v>0</v>
      </c>
      <c r="M640" t="n">
        <v>0</v>
      </c>
      <c r="N640" t="n">
        <v>0</v>
      </c>
      <c r="O640" t="n">
        <v>0</v>
      </c>
      <c r="P640" t="n">
        <v>0</v>
      </c>
      <c r="Q640" t="n">
        <v>0</v>
      </c>
      <c r="R640" t="n">
        <v>0</v>
      </c>
      <c r="S640" t="n">
        <v>2</v>
      </c>
      <c r="T640" t="n">
        <v>2</v>
      </c>
      <c r="U640" t="n">
        <v>0</v>
      </c>
      <c r="V640" s="2" t="inlineStr">
        <is>
          <t>Fällmossa
Blåsippa</t>
        </is>
      </c>
      <c r="W640">
        <f>HYPERLINK("https://klasma.github.io/Logging_0883/artfynd/A 48892-2025 artfynd.xlsx", "A 48892-2025")</f>
        <v/>
      </c>
      <c r="X640">
        <f>HYPERLINK("https://klasma.github.io/Logging_0883/kartor/A 48892-2025 karta.png", "A 48892-2025")</f>
        <v/>
      </c>
      <c r="Y640">
        <f>HYPERLINK("https://klasma.github.io/Logging_0883/kartor_geotiff/A 48892-2025 georefererad karta.tif", "A 48892-2025")</f>
        <v/>
      </c>
      <c r="AA640">
        <f>HYPERLINK("https://klasma.github.io/Logging_0883/klagomål/A 48892-2025 FSC-klagomål.docx", "A 48892-2025")</f>
        <v/>
      </c>
      <c r="AB640">
        <f>HYPERLINK("https://klasma.github.io/Logging_0883/klagomålsmail/A 48892-2025 FSC-klagomål mail.docx", "A 48892-2025")</f>
        <v/>
      </c>
      <c r="AC640">
        <f>HYPERLINK("https://klasma.github.io/Logging_0883/tillsyn/A 48892-2025 tillsynsbegäran.docx", "A 48892-2025")</f>
        <v/>
      </c>
      <c r="AD640">
        <f>HYPERLINK("https://klasma.github.io/Logging_0883/tillsynsmail/A 48892-2025 tillsynsbegäran mail.docx", "A 48892-2025")</f>
        <v/>
      </c>
    </row>
    <row r="641" ht="15" customHeight="1">
      <c r="A641" t="inlineStr">
        <is>
          <t>A 23106-2023</t>
        </is>
      </c>
      <c r="B641" t="inlineStr">
        <is>
          <t>avverkningsanmälan</t>
        </is>
      </c>
      <c r="C641" t="inlineStr">
        <is>
          <t>Föryngringsavverkning</t>
        </is>
      </c>
      <c r="D641" s="1" t="n">
        <v>45075</v>
      </c>
      <c r="E641" s="1" t="n">
        <v>46323</v>
      </c>
      <c r="F641" t="inlineStr">
        <is>
          <t>KALMAR LÄN</t>
        </is>
      </c>
      <c r="G641" t="inlineStr">
        <is>
          <t>NYBRO</t>
        </is>
      </c>
      <c r="I641" t="n">
        <v>9.6</v>
      </c>
      <c r="J641" t="n">
        <v>0</v>
      </c>
      <c r="K641" t="n">
        <v>1</v>
      </c>
      <c r="L641" t="n">
        <v>1</v>
      </c>
      <c r="M641" t="n">
        <v>0</v>
      </c>
      <c r="N641" t="n">
        <v>0</v>
      </c>
      <c r="O641" t="n">
        <v>0</v>
      </c>
      <c r="P641" t="n">
        <v>0</v>
      </c>
      <c r="Q641" t="n">
        <v>1</v>
      </c>
      <c r="R641" t="n">
        <v>0</v>
      </c>
      <c r="S641" t="n">
        <v>2</v>
      </c>
      <c r="T641" t="n">
        <v>2</v>
      </c>
      <c r="U641" t="n">
        <v>0</v>
      </c>
      <c r="V641" s="2" t="inlineStr">
        <is>
          <t>Fjällig taggsvamp s.str.
Grovticka</t>
        </is>
      </c>
      <c r="W641">
        <f>HYPERLINK("https://klasma.github.io/Logging_0881/artfynd/A 23106-2023 artfynd.xlsx", "A 23106-2023")</f>
        <v/>
      </c>
      <c r="X641">
        <f>HYPERLINK("https://klasma.github.io/Logging_0881/kartor/A 23106-2023 karta.png", "A 23106-2023")</f>
        <v/>
      </c>
      <c r="Y641">
        <f>HYPERLINK("https://klasma.github.io/Logging_0881/kartor_geotiff/A 23106-2023 georefererad karta.tif", "A 23106-2023")</f>
        <v/>
      </c>
      <c r="AA641">
        <f>HYPERLINK("https://klasma.github.io/Logging_0881/klagomål/A 23106-2023 FSC-klagomål.docx", "A 23106-2023")</f>
        <v/>
      </c>
      <c r="AB641">
        <f>HYPERLINK("https://klasma.github.io/Logging_0881/klagomålsmail/A 23106-2023 FSC-klagomål mail.docx", "A 23106-2023")</f>
        <v/>
      </c>
      <c r="AC641">
        <f>HYPERLINK("https://klasma.github.io/Logging_0881/tillsyn/A 23106-2023 tillsynsbegäran.docx", "A 23106-2023")</f>
        <v/>
      </c>
      <c r="AD641">
        <f>HYPERLINK("https://klasma.github.io/Logging_0881/tillsynsmail/A 23106-2023 tillsynsbegäran mail.docx", "A 23106-2023")</f>
        <v/>
      </c>
    </row>
    <row r="642" ht="15" customHeight="1">
      <c r="A642" t="inlineStr">
        <is>
          <t>A 22316-2024</t>
        </is>
      </c>
      <c r="B642" t="inlineStr">
        <is>
          <t>avverkningsanmälan</t>
        </is>
      </c>
      <c r="C642" t="inlineStr">
        <is>
          <t>Föryngringsavverkning</t>
        </is>
      </c>
      <c r="D642" s="1" t="n">
        <v>45446</v>
      </c>
      <c r="E642" s="1" t="n">
        <v>46323</v>
      </c>
      <c r="F642" t="inlineStr">
        <is>
          <t>KALMAR LÄN</t>
        </is>
      </c>
      <c r="G642" t="inlineStr">
        <is>
          <t>NYBRO</t>
        </is>
      </c>
      <c r="H642" t="inlineStr">
        <is>
          <t>Sveaskog</t>
        </is>
      </c>
      <c r="I642" t="n">
        <v>3</v>
      </c>
      <c r="J642" t="n">
        <v>2</v>
      </c>
      <c r="K642" t="n">
        <v>0</v>
      </c>
      <c r="L642" t="n">
        <v>1</v>
      </c>
      <c r="M642" t="n">
        <v>0</v>
      </c>
      <c r="N642" t="n">
        <v>0</v>
      </c>
      <c r="O642" t="n">
        <v>0</v>
      </c>
      <c r="P642" t="n">
        <v>0</v>
      </c>
      <c r="Q642" t="n">
        <v>1</v>
      </c>
      <c r="R642" t="n">
        <v>0</v>
      </c>
      <c r="S642" t="n">
        <v>2</v>
      </c>
      <c r="T642" t="n">
        <v>2</v>
      </c>
      <c r="U642" t="n">
        <v>0</v>
      </c>
      <c r="V642" s="2" t="inlineStr">
        <is>
          <t>Nordfladdermus
Dvärgpipistrell</t>
        </is>
      </c>
      <c r="W642">
        <f>HYPERLINK("https://klasma.github.io/Logging_0881/artfynd/A 22316-2024 artfynd.xlsx", "A 22316-2024")</f>
        <v/>
      </c>
      <c r="X642">
        <f>HYPERLINK("https://klasma.github.io/Logging_0881/kartor/A 22316-2024 karta.png", "A 22316-2024")</f>
        <v/>
      </c>
      <c r="Y642">
        <f>HYPERLINK("https://klasma.github.io/Logging_0881/kartor_geotiff/A 22316-2024 georefererad karta.tif", "A 22316-2024")</f>
        <v/>
      </c>
      <c r="AA642">
        <f>HYPERLINK("https://klasma.github.io/Logging_0881/klagomål/A 22316-2024 FSC-klagomål.docx", "A 22316-2024")</f>
        <v/>
      </c>
      <c r="AB642">
        <f>HYPERLINK("https://klasma.github.io/Logging_0881/klagomålsmail/A 22316-2024 FSC-klagomål mail.docx", "A 22316-2024")</f>
        <v/>
      </c>
      <c r="AC642">
        <f>HYPERLINK("https://klasma.github.io/Logging_0881/tillsyn/A 22316-2024 tillsynsbegäran.docx", "A 22316-2024")</f>
        <v/>
      </c>
      <c r="AD642">
        <f>HYPERLINK("https://klasma.github.io/Logging_0881/tillsynsmail/A 22316-2024 tillsynsbegäran mail.docx", "A 22316-2024")</f>
        <v/>
      </c>
    </row>
    <row r="643" ht="15" customHeight="1">
      <c r="A643" t="inlineStr">
        <is>
          <t>A 72167-2021</t>
        </is>
      </c>
      <c r="B643" t="inlineStr">
        <is>
          <t>avverkningsanmälan</t>
        </is>
      </c>
      <c r="C643" t="inlineStr">
        <is>
          <t>Föryngringsavverkning</t>
        </is>
      </c>
      <c r="D643" s="1" t="n">
        <v>44544</v>
      </c>
      <c r="E643" s="1" t="n">
        <v>46323</v>
      </c>
      <c r="F643" t="inlineStr">
        <is>
          <t>KALMAR LÄN</t>
        </is>
      </c>
      <c r="G643" t="inlineStr">
        <is>
          <t>MÖRBYLÅNGA</t>
        </is>
      </c>
      <c r="I643" t="n">
        <v>3.5</v>
      </c>
      <c r="J643" t="n">
        <v>1</v>
      </c>
      <c r="K643" t="n">
        <v>1</v>
      </c>
      <c r="L643" t="n">
        <v>0</v>
      </c>
      <c r="M643" t="n">
        <v>0</v>
      </c>
      <c r="N643" t="n">
        <v>0</v>
      </c>
      <c r="O643" t="n">
        <v>0</v>
      </c>
      <c r="P643" t="n">
        <v>0</v>
      </c>
      <c r="Q643" t="n">
        <v>0</v>
      </c>
      <c r="R643" t="n">
        <v>0</v>
      </c>
      <c r="S643" t="n">
        <v>2</v>
      </c>
      <c r="T643" t="n">
        <v>2</v>
      </c>
      <c r="U643" t="n">
        <v>2</v>
      </c>
      <c r="V643" s="2" t="inlineStr">
        <is>
          <t>Murgröna
Röd glada</t>
        </is>
      </c>
      <c r="W643">
        <f>HYPERLINK("https://klasma.github.io/Logging_0840/artfynd/A 72167-2021 artfynd.xlsx", "A 72167-2021")</f>
        <v/>
      </c>
      <c r="X643">
        <f>HYPERLINK("https://klasma.github.io/Logging_0840/kartor/A 72167-2021 karta.png", "A 72167-2021")</f>
        <v/>
      </c>
      <c r="Y643">
        <f>HYPERLINK("https://klasma.github.io/Logging_0840/kartor_geotiff/A 72167-2021 georefererad karta.tif", "A 72167-2021")</f>
        <v/>
      </c>
      <c r="AA643">
        <f>HYPERLINK("https://klasma.github.io/Logging_0840/klagomål/A 72167-2021 FSC-klagomål.docx", "A 72167-2021")</f>
        <v/>
      </c>
      <c r="AB643">
        <f>HYPERLINK("https://klasma.github.io/Logging_0840/klagomålsmail/A 72167-2021 FSC-klagomål mail.docx", "A 72167-2021")</f>
        <v/>
      </c>
      <c r="AC643">
        <f>HYPERLINK("https://klasma.github.io/Logging_0840/tillsyn/A 72167-2021 tillsynsbegäran.docx", "A 72167-2021")</f>
        <v/>
      </c>
      <c r="AD643">
        <f>HYPERLINK("https://klasma.github.io/Logging_0840/tillsynsmail/A 72167-2021 tillsynsbegäran mail.docx", "A 72167-2021")</f>
        <v/>
      </c>
      <c r="AE643">
        <f>HYPERLINK("https://klasma.github.io/Logging_0840/fåglar/A 72167-2021 prioriterade fågelarter.docx", "A 72167-2021")</f>
        <v/>
      </c>
    </row>
    <row r="644" ht="15" customHeight="1">
      <c r="A644" t="inlineStr">
        <is>
          <t>A 16884-2025</t>
        </is>
      </c>
      <c r="B644" t="inlineStr">
        <is>
          <t>avverkningsanmälan</t>
        </is>
      </c>
      <c r="C644" t="inlineStr">
        <is>
          <t>Avverkning för att bevara och utveckla /försöksver</t>
        </is>
      </c>
      <c r="D644" s="1" t="n">
        <v>45755</v>
      </c>
      <c r="E644" s="1" t="n">
        <v>46323</v>
      </c>
      <c r="F644" t="inlineStr">
        <is>
          <t>KALMAR LÄN</t>
        </is>
      </c>
      <c r="G644" t="inlineStr">
        <is>
          <t>HULTSFRED</t>
        </is>
      </c>
      <c r="H644" t="inlineStr">
        <is>
          <t>Sveaskog</t>
        </is>
      </c>
      <c r="I644" t="n">
        <v>7.4</v>
      </c>
      <c r="J644" t="n">
        <v>1</v>
      </c>
      <c r="K644" t="n">
        <v>0</v>
      </c>
      <c r="L644" t="n">
        <v>1</v>
      </c>
      <c r="M644" t="n">
        <v>0</v>
      </c>
      <c r="N644" t="n">
        <v>0</v>
      </c>
      <c r="O644" t="n">
        <v>0</v>
      </c>
      <c r="P644" t="n">
        <v>0</v>
      </c>
      <c r="Q644" t="n">
        <v>1</v>
      </c>
      <c r="R644" t="n">
        <v>0</v>
      </c>
      <c r="S644" t="n">
        <v>2</v>
      </c>
      <c r="T644" t="n">
        <v>2</v>
      </c>
      <c r="U644" t="n">
        <v>1</v>
      </c>
      <c r="V644" s="2" t="inlineStr">
        <is>
          <t>Åkerrödtoppa
Vanlig snok</t>
        </is>
      </c>
      <c r="W644">
        <f>HYPERLINK("https://klasma.github.io/Logging_0860/artfynd/A 16884-2025 artfynd.xlsx", "A 16884-2025")</f>
        <v/>
      </c>
      <c r="X644">
        <f>HYPERLINK("https://klasma.github.io/Logging_0860/kartor/A 16884-2025 karta.png", "A 16884-2025")</f>
        <v/>
      </c>
      <c r="Y644">
        <f>HYPERLINK("https://klasma.github.io/Logging_0860/kartor_geotiff/A 16884-2025 georefererad karta.tif", "A 16884-2025")</f>
        <v/>
      </c>
      <c r="AA644">
        <f>HYPERLINK("https://klasma.github.io/Logging_0860/klagomål/A 16884-2025 FSC-klagomål.docx", "A 16884-2025")</f>
        <v/>
      </c>
      <c r="AB644">
        <f>HYPERLINK("https://klasma.github.io/Logging_0860/klagomålsmail/A 16884-2025 FSC-klagomål mail.docx", "A 16884-2025")</f>
        <v/>
      </c>
      <c r="AC644">
        <f>HYPERLINK("https://klasma.github.io/Logging_0860/tillsyn/A 16884-2025 tillsynsbegäran.docx", "A 16884-2025")</f>
        <v/>
      </c>
      <c r="AD644">
        <f>HYPERLINK("https://klasma.github.io/Logging_0860/tillsynsmail/A 16884-2025 tillsynsbegäran mail.docx", "A 16884-2025")</f>
        <v/>
      </c>
    </row>
    <row r="645" ht="15" customHeight="1">
      <c r="A645" t="inlineStr">
        <is>
          <t>A 1973-2023</t>
        </is>
      </c>
      <c r="B645" t="inlineStr">
        <is>
          <t>avverkningsanmälan</t>
        </is>
      </c>
      <c r="C645" t="inlineStr">
        <is>
          <t>Föryngringsavverkning</t>
        </is>
      </c>
      <c r="D645" s="1" t="n">
        <v>44939</v>
      </c>
      <c r="E645" s="1" t="n">
        <v>46323</v>
      </c>
      <c r="F645" t="inlineStr">
        <is>
          <t>KALMAR LÄN</t>
        </is>
      </c>
      <c r="G645" t="inlineStr">
        <is>
          <t>MÖNSTERÅS</t>
        </is>
      </c>
      <c r="I645" t="n">
        <v>1.4</v>
      </c>
      <c r="J645" t="n">
        <v>0</v>
      </c>
      <c r="K645" t="n">
        <v>1</v>
      </c>
      <c r="L645" t="n">
        <v>0</v>
      </c>
      <c r="M645" t="n">
        <v>1</v>
      </c>
      <c r="N645" t="n">
        <v>0</v>
      </c>
      <c r="O645" t="n">
        <v>0</v>
      </c>
      <c r="P645" t="n">
        <v>0</v>
      </c>
      <c r="Q645" t="n">
        <v>1</v>
      </c>
      <c r="R645" t="n">
        <v>1</v>
      </c>
      <c r="S645" t="n">
        <v>2</v>
      </c>
      <c r="T645" t="n">
        <v>2</v>
      </c>
      <c r="U645" t="n">
        <v>0</v>
      </c>
      <c r="V645" s="2" t="inlineStr">
        <is>
          <t>Notolaemus unifasciatus
Thymalus limbatus</t>
        </is>
      </c>
      <c r="W645">
        <f>HYPERLINK("https://klasma.github.io/Logging_0861/artfynd/A 1973-2023 artfynd.xlsx", "A 1973-2023")</f>
        <v/>
      </c>
      <c r="X645">
        <f>HYPERLINK("https://klasma.github.io/Logging_0861/kartor/A 1973-2023 karta.png", "A 1973-2023")</f>
        <v/>
      </c>
      <c r="Y645">
        <f>HYPERLINK("https://klasma.github.io/Logging_0861/kartor_geotiff/A 1973-2023 georefererad karta.tif", "A 1973-2023")</f>
        <v/>
      </c>
      <c r="AA645">
        <f>HYPERLINK("https://klasma.github.io/Logging_0861/klagomål/A 1973-2023 FSC-klagomål.docx", "A 1973-2023")</f>
        <v/>
      </c>
      <c r="AB645">
        <f>HYPERLINK("https://klasma.github.io/Logging_0861/klagomålsmail/A 1973-2023 FSC-klagomål mail.docx", "A 1973-2023")</f>
        <v/>
      </c>
      <c r="AC645">
        <f>HYPERLINK("https://klasma.github.io/Logging_0861/tillsyn/A 1973-2023 tillsynsbegäran.docx", "A 1973-2023")</f>
        <v/>
      </c>
      <c r="AD645">
        <f>HYPERLINK("https://klasma.github.io/Logging_0861/tillsynsmail/A 1973-2023 tillsynsbegäran mail.docx", "A 1973-2023")</f>
        <v/>
      </c>
    </row>
    <row r="646" ht="15" customHeight="1">
      <c r="A646" t="inlineStr">
        <is>
          <t>A 8618-2024</t>
        </is>
      </c>
      <c r="B646" t="inlineStr">
        <is>
          <t>avverkningsanmälan</t>
        </is>
      </c>
      <c r="C646" t="inlineStr">
        <is>
          <t>Föryngringsavverkning</t>
        </is>
      </c>
      <c r="D646" s="1" t="n">
        <v>45355</v>
      </c>
      <c r="E646" s="1" t="n">
        <v>46323</v>
      </c>
      <c r="F646" t="inlineStr">
        <is>
          <t>KALMAR LÄN</t>
        </is>
      </c>
      <c r="G646" t="inlineStr">
        <is>
          <t>VÄSTERVIK</t>
        </is>
      </c>
      <c r="I646" t="n">
        <v>4.3</v>
      </c>
      <c r="J646" t="n">
        <v>1</v>
      </c>
      <c r="K646" t="n">
        <v>0</v>
      </c>
      <c r="L646" t="n">
        <v>1</v>
      </c>
      <c r="M646" t="n">
        <v>1</v>
      </c>
      <c r="N646" t="n">
        <v>0</v>
      </c>
      <c r="O646" t="n">
        <v>0</v>
      </c>
      <c r="P646" t="n">
        <v>0</v>
      </c>
      <c r="Q646" t="n">
        <v>2</v>
      </c>
      <c r="R646" t="n">
        <v>1</v>
      </c>
      <c r="S646" t="n">
        <v>2</v>
      </c>
      <c r="T646" t="n">
        <v>8</v>
      </c>
      <c r="U646" t="n">
        <v>8</v>
      </c>
      <c r="V646" s="2" t="inlineStr">
        <is>
          <t>Knärot
Tallticka</t>
        </is>
      </c>
      <c r="W646">
        <f>HYPERLINK("https://klasma.github.io/Logging_0883/artfynd/A 8618-2024 artfynd.xlsx", "A 8618-2024")</f>
        <v/>
      </c>
      <c r="X646">
        <f>HYPERLINK("https://klasma.github.io/Logging_0883/kartor/A 8618-2024 karta.png", "A 8618-2024")</f>
        <v/>
      </c>
      <c r="Y646">
        <f>HYPERLINK("https://klasma.github.io/Logging_0883/kartor_geotiff/A 8618-2024 georefererad karta.tif", "A 8618-2024")</f>
        <v/>
      </c>
      <c r="Z646">
        <f>HYPERLINK("https://klasma.github.io/Logging_0883/knärot/A 8618-2024 karta knärot.png", "A 8618-2024")</f>
        <v/>
      </c>
      <c r="AA646">
        <f>HYPERLINK("https://klasma.github.io/Logging_0883/klagomål/A 8618-2024 FSC-klagomål.docx", "A 8618-2024")</f>
        <v/>
      </c>
      <c r="AB646">
        <f>HYPERLINK("https://klasma.github.io/Logging_0883/klagomålsmail/A 8618-2024 FSC-klagomål mail.docx", "A 8618-2024")</f>
        <v/>
      </c>
      <c r="AC646">
        <f>HYPERLINK("https://klasma.github.io/Logging_0883/tillsyn/A 8618-2024 tillsynsbegäran.docx", "A 8618-2024")</f>
        <v/>
      </c>
      <c r="AD646">
        <f>HYPERLINK("https://klasma.github.io/Logging_0883/tillsynsmail/A 8618-2024 tillsynsbegäran mail.docx", "A 8618-2024")</f>
        <v/>
      </c>
    </row>
    <row r="647" ht="15" customHeight="1">
      <c r="A647" t="inlineStr">
        <is>
          <t>A 22683-2024</t>
        </is>
      </c>
      <c r="B647" t="inlineStr">
        <is>
          <t>avverkningsanmälan</t>
        </is>
      </c>
      <c r="C647" t="inlineStr">
        <is>
          <t>Föryngringsavverkning</t>
        </is>
      </c>
      <c r="D647" s="1" t="n">
        <v>45447</v>
      </c>
      <c r="E647" s="1" t="n">
        <v>46323</v>
      </c>
      <c r="F647" t="inlineStr">
        <is>
          <t>KALMAR LÄN</t>
        </is>
      </c>
      <c r="G647" t="inlineStr">
        <is>
          <t>NYBRO</t>
        </is>
      </c>
      <c r="I647" t="n">
        <v>6.7</v>
      </c>
      <c r="J647" t="n">
        <v>2</v>
      </c>
      <c r="K647" t="n">
        <v>2</v>
      </c>
      <c r="L647" t="n">
        <v>0</v>
      </c>
      <c r="M647" t="n">
        <v>0</v>
      </c>
      <c r="N647" t="n">
        <v>0</v>
      </c>
      <c r="O647" t="n">
        <v>0</v>
      </c>
      <c r="P647" t="n">
        <v>0</v>
      </c>
      <c r="Q647" t="n">
        <v>0</v>
      </c>
      <c r="R647" t="n">
        <v>0</v>
      </c>
      <c r="S647" t="n">
        <v>2</v>
      </c>
      <c r="T647" t="n">
        <v>2</v>
      </c>
      <c r="U647" t="n">
        <v>2</v>
      </c>
      <c r="V647" s="2" t="inlineStr">
        <is>
          <t>Purpurknipprot
Skogsknipprot</t>
        </is>
      </c>
      <c r="W647">
        <f>HYPERLINK("https://klasma.github.io/Logging_0881/artfynd/A 22683-2024 artfynd.xlsx", "A 22683-2024")</f>
        <v/>
      </c>
      <c r="X647">
        <f>HYPERLINK("https://klasma.github.io/Logging_0881/kartor/A 22683-2024 karta.png", "A 22683-2024")</f>
        <v/>
      </c>
      <c r="Y647">
        <f>HYPERLINK("https://klasma.github.io/Logging_0881/kartor_geotiff/A 22683-2024 georefererad karta.tif", "A 22683-2024")</f>
        <v/>
      </c>
      <c r="AA647">
        <f>HYPERLINK("https://klasma.github.io/Logging_0881/klagomål/A 22683-2024 FSC-klagomål.docx", "A 22683-2024")</f>
        <v/>
      </c>
      <c r="AB647">
        <f>HYPERLINK("https://klasma.github.io/Logging_0881/klagomålsmail/A 22683-2024 FSC-klagomål mail.docx", "A 22683-2024")</f>
        <v/>
      </c>
      <c r="AC647">
        <f>HYPERLINK("https://klasma.github.io/Logging_0881/tillsyn/A 22683-2024 tillsynsbegäran.docx", "A 22683-2024")</f>
        <v/>
      </c>
      <c r="AD647">
        <f>HYPERLINK("https://klasma.github.io/Logging_0881/tillsynsmail/A 22683-2024 tillsynsbegäran mail.docx", "A 22683-2024")</f>
        <v/>
      </c>
    </row>
    <row r="648" ht="15" customHeight="1">
      <c r="A648" t="inlineStr">
        <is>
          <t>A 8311-2024</t>
        </is>
      </c>
      <c r="B648" t="inlineStr">
        <is>
          <t>avverkningsanmälan</t>
        </is>
      </c>
      <c r="C648" t="inlineStr">
        <is>
          <t>Föryngringsavverkning</t>
        </is>
      </c>
      <c r="D648" s="1" t="n">
        <v>45350</v>
      </c>
      <c r="E648" s="1" t="n">
        <v>46323</v>
      </c>
      <c r="F648" t="inlineStr">
        <is>
          <t>KALMAR LÄN</t>
        </is>
      </c>
      <c r="G648" t="inlineStr">
        <is>
          <t>TORSÅS</t>
        </is>
      </c>
      <c r="I648" t="n">
        <v>3.8</v>
      </c>
      <c r="J648" t="n">
        <v>1</v>
      </c>
      <c r="K648" t="n">
        <v>1</v>
      </c>
      <c r="L648" t="n">
        <v>1</v>
      </c>
      <c r="M648" t="n">
        <v>0</v>
      </c>
      <c r="N648" t="n">
        <v>0</v>
      </c>
      <c r="O648" t="n">
        <v>0</v>
      </c>
      <c r="P648" t="n">
        <v>0</v>
      </c>
      <c r="Q648" t="n">
        <v>1</v>
      </c>
      <c r="R648" t="n">
        <v>0</v>
      </c>
      <c r="S648" t="n">
        <v>2</v>
      </c>
      <c r="T648" t="n">
        <v>2</v>
      </c>
      <c r="U648" t="n">
        <v>1</v>
      </c>
      <c r="V648" s="2" t="inlineStr">
        <is>
          <t>Nordfladdermus
Underviol</t>
        </is>
      </c>
      <c r="W648">
        <f>HYPERLINK("https://klasma.github.io/Logging_0834/artfynd/A 8311-2024 artfynd.xlsx", "A 8311-2024")</f>
        <v/>
      </c>
      <c r="X648">
        <f>HYPERLINK("https://klasma.github.io/Logging_0834/kartor/A 8311-2024 karta.png", "A 8311-2024")</f>
        <v/>
      </c>
      <c r="Y648">
        <f>HYPERLINK("https://klasma.github.io/Logging_0834/kartor_geotiff/A 8311-2024 georefererad karta.tif", "A 8311-2024")</f>
        <v/>
      </c>
      <c r="AA648">
        <f>HYPERLINK("https://klasma.github.io/Logging_0834/klagomål/A 8311-2024 FSC-klagomål.docx", "A 8311-2024")</f>
        <v/>
      </c>
      <c r="AB648">
        <f>HYPERLINK("https://klasma.github.io/Logging_0834/klagomålsmail/A 8311-2024 FSC-klagomål mail.docx", "A 8311-2024")</f>
        <v/>
      </c>
      <c r="AC648">
        <f>HYPERLINK("https://klasma.github.io/Logging_0834/tillsyn/A 8311-2024 tillsynsbegäran.docx", "A 8311-2024")</f>
        <v/>
      </c>
      <c r="AD648">
        <f>HYPERLINK("https://klasma.github.io/Logging_0834/tillsynsmail/A 8311-2024 tillsynsbegäran mail.docx", "A 8311-2024")</f>
        <v/>
      </c>
    </row>
    <row r="649" ht="15" customHeight="1">
      <c r="A649" t="inlineStr">
        <is>
          <t>A 32649-2023</t>
        </is>
      </c>
      <c r="B649" t="inlineStr">
        <is>
          <t>avverkningsanmälan</t>
        </is>
      </c>
      <c r="C649" t="inlineStr">
        <is>
          <t>Föryngringsavverkning</t>
        </is>
      </c>
      <c r="D649" s="1" t="n">
        <v>45121</v>
      </c>
      <c r="E649" s="1" t="n">
        <v>46323</v>
      </c>
      <c r="F649" t="inlineStr">
        <is>
          <t>KALMAR LÄN</t>
        </is>
      </c>
      <c r="G649" t="inlineStr">
        <is>
          <t>VÄSTERVIK</t>
        </is>
      </c>
      <c r="I649" t="n">
        <v>1.7</v>
      </c>
      <c r="J649" t="n">
        <v>1</v>
      </c>
      <c r="K649" t="n">
        <v>1</v>
      </c>
      <c r="L649" t="n">
        <v>0</v>
      </c>
      <c r="M649" t="n">
        <v>1</v>
      </c>
      <c r="N649" t="n">
        <v>0</v>
      </c>
      <c r="O649" t="n">
        <v>0</v>
      </c>
      <c r="P649" t="n">
        <v>0</v>
      </c>
      <c r="Q649" t="n">
        <v>1</v>
      </c>
      <c r="R649" t="n">
        <v>1</v>
      </c>
      <c r="S649" t="n">
        <v>2</v>
      </c>
      <c r="T649" t="n">
        <v>8</v>
      </c>
      <c r="U649" t="n">
        <v>8</v>
      </c>
      <c r="V649" s="2" t="inlineStr">
        <is>
          <t>Knärot
Blåmossa</t>
        </is>
      </c>
      <c r="W649">
        <f>HYPERLINK("https://klasma.github.io/Logging_0883/artfynd/A 32649-2023 artfynd.xlsx", "A 32649-2023")</f>
        <v/>
      </c>
      <c r="X649">
        <f>HYPERLINK("https://klasma.github.io/Logging_0883/kartor/A 32649-2023 karta.png", "A 32649-2023")</f>
        <v/>
      </c>
      <c r="Y649">
        <f>HYPERLINK("https://klasma.github.io/Logging_0883/kartor_geotiff/A 32649-2023 georefererad karta.tif", "A 32649-2023")</f>
        <v/>
      </c>
      <c r="Z649">
        <f>HYPERLINK("https://klasma.github.io/Logging_0883/knärot/A 32649-2023 karta knärot.png", "A 32649-2023")</f>
        <v/>
      </c>
      <c r="AA649">
        <f>HYPERLINK("https://klasma.github.io/Logging_0883/klagomål/A 32649-2023 FSC-klagomål.docx", "A 32649-2023")</f>
        <v/>
      </c>
      <c r="AB649">
        <f>HYPERLINK("https://klasma.github.io/Logging_0883/klagomålsmail/A 32649-2023 FSC-klagomål mail.docx", "A 32649-2023")</f>
        <v/>
      </c>
      <c r="AC649">
        <f>HYPERLINK("https://klasma.github.io/Logging_0883/tillsyn/A 32649-2023 tillsynsbegäran.docx", "A 32649-2023")</f>
        <v/>
      </c>
      <c r="AD649">
        <f>HYPERLINK("https://klasma.github.io/Logging_0883/tillsynsmail/A 32649-2023 tillsynsbegäran mail.docx", "A 32649-2023")</f>
        <v/>
      </c>
    </row>
    <row r="650" ht="15" customHeight="1">
      <c r="A650" t="inlineStr">
        <is>
          <t>A 2063-2023</t>
        </is>
      </c>
      <c r="B650" t="inlineStr">
        <is>
          <t>avverkningsanmälan</t>
        </is>
      </c>
      <c r="C650" t="inlineStr">
        <is>
          <t>Föryngringsavverkning</t>
        </is>
      </c>
      <c r="D650" s="1" t="n">
        <v>44939</v>
      </c>
      <c r="E650" s="1" t="n">
        <v>46323</v>
      </c>
      <c r="F650" t="inlineStr">
        <is>
          <t>KALMAR LÄN</t>
        </is>
      </c>
      <c r="G650" t="inlineStr">
        <is>
          <t>TORSÅS</t>
        </is>
      </c>
      <c r="I650" t="n">
        <v>1.8</v>
      </c>
      <c r="J650" t="n">
        <v>0</v>
      </c>
      <c r="K650" t="n">
        <v>0</v>
      </c>
      <c r="L650" t="n">
        <v>1</v>
      </c>
      <c r="M650" t="n">
        <v>0</v>
      </c>
      <c r="N650" t="n">
        <v>0</v>
      </c>
      <c r="O650" t="n">
        <v>1</v>
      </c>
      <c r="P650" t="n">
        <v>0</v>
      </c>
      <c r="Q650" t="n">
        <v>2</v>
      </c>
      <c r="R650" t="n">
        <v>1</v>
      </c>
      <c r="S650" t="n">
        <v>2</v>
      </c>
      <c r="T650" t="n">
        <v>2</v>
      </c>
      <c r="U650" t="n">
        <v>2</v>
      </c>
      <c r="V650" s="2" t="inlineStr">
        <is>
          <t>Selleri
Kavelhirs</t>
        </is>
      </c>
      <c r="W650">
        <f>HYPERLINK("https://klasma.github.io/Logging_0834/artfynd/A 2063-2023 artfynd.xlsx", "A 2063-2023")</f>
        <v/>
      </c>
      <c r="X650">
        <f>HYPERLINK("https://klasma.github.io/Logging_0834/kartor/A 2063-2023 karta.png", "A 2063-2023")</f>
        <v/>
      </c>
      <c r="Y650">
        <f>HYPERLINK("https://klasma.github.io/Logging_0834/kartor_geotiff/A 2063-2023 georefererad karta.tif", "A 2063-2023")</f>
        <v/>
      </c>
      <c r="AA650">
        <f>HYPERLINK("https://klasma.github.io/Logging_0834/klagomål/A 2063-2023 FSC-klagomål.docx", "A 2063-2023")</f>
        <v/>
      </c>
      <c r="AB650">
        <f>HYPERLINK("https://klasma.github.io/Logging_0834/klagomålsmail/A 2063-2023 FSC-klagomål mail.docx", "A 2063-2023")</f>
        <v/>
      </c>
      <c r="AC650">
        <f>HYPERLINK("https://klasma.github.io/Logging_0834/tillsyn/A 2063-2023 tillsynsbegäran.docx", "A 2063-2023")</f>
        <v/>
      </c>
      <c r="AD650">
        <f>HYPERLINK("https://klasma.github.io/Logging_0834/tillsynsmail/A 2063-2023 tillsynsbegäran mail.docx", "A 2063-2023")</f>
        <v/>
      </c>
    </row>
    <row r="651" ht="15" customHeight="1">
      <c r="A651" t="inlineStr">
        <is>
          <t>A 28880-2023</t>
        </is>
      </c>
      <c r="B651" t="inlineStr">
        <is>
          <t>avverkningsanmälan</t>
        </is>
      </c>
      <c r="C651" t="inlineStr">
        <is>
          <t>Föryngringsavverkning</t>
        </is>
      </c>
      <c r="D651" s="1" t="n">
        <v>45104</v>
      </c>
      <c r="E651" s="1" t="n">
        <v>46323</v>
      </c>
      <c r="F651" t="inlineStr">
        <is>
          <t>KALMAR LÄN</t>
        </is>
      </c>
      <c r="G651" t="inlineStr">
        <is>
          <t>NYBRO</t>
        </is>
      </c>
      <c r="H651" t="inlineStr">
        <is>
          <t>Sveaskog</t>
        </is>
      </c>
      <c r="I651" t="n">
        <v>1.9</v>
      </c>
      <c r="J651" t="n">
        <v>2</v>
      </c>
      <c r="K651" t="n">
        <v>0</v>
      </c>
      <c r="L651" t="n">
        <v>0</v>
      </c>
      <c r="M651" t="n">
        <v>0</v>
      </c>
      <c r="N651" t="n">
        <v>0</v>
      </c>
      <c r="O651" t="n">
        <v>0</v>
      </c>
      <c r="P651" t="n">
        <v>0</v>
      </c>
      <c r="Q651" t="n">
        <v>0</v>
      </c>
      <c r="R651" t="n">
        <v>0</v>
      </c>
      <c r="S651" t="n">
        <v>2</v>
      </c>
      <c r="T651" t="n">
        <v>2</v>
      </c>
      <c r="U651" t="n">
        <v>0</v>
      </c>
      <c r="V651" s="2" t="inlineStr">
        <is>
          <t>Mattlummer
Nattskärra</t>
        </is>
      </c>
      <c r="W651">
        <f>HYPERLINK("https://klasma.github.io/Logging_0881/artfynd/A 28880-2023 artfynd.xlsx", "A 28880-2023")</f>
        <v/>
      </c>
      <c r="X651">
        <f>HYPERLINK("https://klasma.github.io/Logging_0881/kartor/A 28880-2023 karta.png", "A 28880-2023")</f>
        <v/>
      </c>
      <c r="Y651">
        <f>HYPERLINK("https://klasma.github.io/Logging_0881/kartor_geotiff/A 28880-2023 georefererad karta.tif", "A 28880-2023")</f>
        <v/>
      </c>
      <c r="AA651">
        <f>HYPERLINK("https://klasma.github.io/Logging_0881/klagomål/A 28880-2023 FSC-klagomål.docx", "A 28880-2023")</f>
        <v/>
      </c>
      <c r="AB651">
        <f>HYPERLINK("https://klasma.github.io/Logging_0881/klagomålsmail/A 28880-2023 FSC-klagomål mail.docx", "A 28880-2023")</f>
        <v/>
      </c>
      <c r="AC651">
        <f>HYPERLINK("https://klasma.github.io/Logging_0881/tillsyn/A 28880-2023 tillsynsbegäran.docx", "A 28880-2023")</f>
        <v/>
      </c>
      <c r="AD651">
        <f>HYPERLINK("https://klasma.github.io/Logging_0881/tillsynsmail/A 28880-2023 tillsynsbegäran mail.docx", "A 28880-2023")</f>
        <v/>
      </c>
      <c r="AE651">
        <f>HYPERLINK("https://klasma.github.io/Logging_0881/fåglar/A 28880-2023 prioriterade fågelarter.docx", "A 28880-2023")</f>
        <v/>
      </c>
    </row>
    <row r="652" ht="15" customHeight="1">
      <c r="A652" t="inlineStr">
        <is>
          <t>A 53129-2025</t>
        </is>
      </c>
      <c r="B652" t="inlineStr">
        <is>
          <t>avverkningsanmälan</t>
        </is>
      </c>
      <c r="C652" t="inlineStr">
        <is>
          <t>Föryngringsavverkning</t>
        </is>
      </c>
      <c r="D652" s="1" t="n">
        <v>45958</v>
      </c>
      <c r="E652" s="1" t="n">
        <v>46323</v>
      </c>
      <c r="F652" t="inlineStr">
        <is>
          <t>KALMAR LÄN</t>
        </is>
      </c>
      <c r="G652" t="inlineStr">
        <is>
          <t>VÄSTERVIK</t>
        </is>
      </c>
      <c r="I652" t="n">
        <v>4.1</v>
      </c>
      <c r="J652" t="n">
        <v>2</v>
      </c>
      <c r="K652" t="n">
        <v>1</v>
      </c>
      <c r="L652" t="n">
        <v>0</v>
      </c>
      <c r="M652" t="n">
        <v>0</v>
      </c>
      <c r="N652" t="n">
        <v>0</v>
      </c>
      <c r="O652" t="n">
        <v>0</v>
      </c>
      <c r="P652" t="n">
        <v>0</v>
      </c>
      <c r="Q652" t="n">
        <v>0</v>
      </c>
      <c r="R652" t="n">
        <v>0</v>
      </c>
      <c r="S652" t="n">
        <v>2</v>
      </c>
      <c r="T652" t="n">
        <v>2</v>
      </c>
      <c r="U652" t="n">
        <v>1</v>
      </c>
      <c r="V652" s="2" t="inlineStr">
        <is>
          <t>Skogsknipprot
Spillkråka</t>
        </is>
      </c>
      <c r="W652">
        <f>HYPERLINK("https://klasma.github.io/Logging_0883/artfynd/A 53129-2025 artfynd.xlsx", "A 53129-2025")</f>
        <v/>
      </c>
      <c r="X652">
        <f>HYPERLINK("https://klasma.github.io/Logging_0883/kartor/A 53129-2025 karta.png", "A 53129-2025")</f>
        <v/>
      </c>
      <c r="Y652">
        <f>HYPERLINK("https://klasma.github.io/Logging_0883/kartor_geotiff/A 53129-2025 georefererad karta.tif", "A 53129-2025")</f>
        <v/>
      </c>
      <c r="AA652">
        <f>HYPERLINK("https://klasma.github.io/Logging_0883/klagomål/A 53129-2025 FSC-klagomål.docx", "A 53129-2025")</f>
        <v/>
      </c>
      <c r="AB652">
        <f>HYPERLINK("https://klasma.github.io/Logging_0883/klagomålsmail/A 53129-2025 FSC-klagomål mail.docx", "A 53129-2025")</f>
        <v/>
      </c>
      <c r="AC652">
        <f>HYPERLINK("https://klasma.github.io/Logging_0883/tillsyn/A 53129-2025 tillsynsbegäran.docx", "A 53129-2025")</f>
        <v/>
      </c>
      <c r="AD652">
        <f>HYPERLINK("https://klasma.github.io/Logging_0883/tillsynsmail/A 53129-2025 tillsynsbegäran mail.docx", "A 53129-2025")</f>
        <v/>
      </c>
      <c r="AE652">
        <f>HYPERLINK("https://klasma.github.io/Logging_0883/fåglar/A 53129-2025 prioriterade fågelarter.docx", "A 53129-2025")</f>
        <v/>
      </c>
    </row>
    <row r="653" ht="15" customHeight="1">
      <c r="A653" t="inlineStr">
        <is>
          <t>A 30203-2023</t>
        </is>
      </c>
      <c r="B653" t="inlineStr">
        <is>
          <t>avverkningsanmälan</t>
        </is>
      </c>
      <c r="C653" t="inlineStr">
        <is>
          <t>Avverkning för att bevara och utveckla /försöksver</t>
        </is>
      </c>
      <c r="D653" s="1" t="n">
        <v>45110</v>
      </c>
      <c r="E653" s="1" t="n">
        <v>46323</v>
      </c>
      <c r="F653" t="inlineStr">
        <is>
          <t>KALMAR LÄN</t>
        </is>
      </c>
      <c r="G653" t="inlineStr">
        <is>
          <t>HÖGSBY</t>
        </is>
      </c>
      <c r="H653" t="inlineStr">
        <is>
          <t>Sveaskog</t>
        </is>
      </c>
      <c r="I653" t="n">
        <v>3.4</v>
      </c>
      <c r="J653" t="n">
        <v>2</v>
      </c>
      <c r="K653" t="n">
        <v>0</v>
      </c>
      <c r="L653" t="n">
        <v>0</v>
      </c>
      <c r="M653" t="n">
        <v>0</v>
      </c>
      <c r="N653" t="n">
        <v>0</v>
      </c>
      <c r="O653" t="n">
        <v>0</v>
      </c>
      <c r="P653" t="n">
        <v>0</v>
      </c>
      <c r="Q653" t="n">
        <v>0</v>
      </c>
      <c r="R653" t="n">
        <v>0</v>
      </c>
      <c r="S653" t="n">
        <v>2</v>
      </c>
      <c r="T653" t="n">
        <v>6</v>
      </c>
      <c r="U653" t="n">
        <v>1</v>
      </c>
      <c r="V653" s="2" t="inlineStr">
        <is>
          <t>Mistel
Gullviva</t>
        </is>
      </c>
      <c r="W653">
        <f>HYPERLINK("https://klasma.github.io/Logging_0821/artfynd/A 30203-2023 artfynd.xlsx", "A 30203-2023")</f>
        <v/>
      </c>
      <c r="X653">
        <f>HYPERLINK("https://klasma.github.io/Logging_0821/kartor/A 30203-2023 karta.png", "A 30203-2023")</f>
        <v/>
      </c>
      <c r="Y653">
        <f>HYPERLINK("https://klasma.github.io/Logging_0821/kartor_geotiff/A 30203-2023 georefererad karta.tif", "A 30203-2023")</f>
        <v/>
      </c>
      <c r="AA653">
        <f>HYPERLINK("https://klasma.github.io/Logging_0821/klagomål/A 30203-2023 FSC-klagomål.docx", "A 30203-2023")</f>
        <v/>
      </c>
      <c r="AB653">
        <f>HYPERLINK("https://klasma.github.io/Logging_0821/klagomålsmail/A 30203-2023 FSC-klagomål mail.docx", "A 30203-2023")</f>
        <v/>
      </c>
      <c r="AC653">
        <f>HYPERLINK("https://klasma.github.io/Logging_0821/tillsyn/A 30203-2023 tillsynsbegäran.docx", "A 30203-2023")</f>
        <v/>
      </c>
      <c r="AD653">
        <f>HYPERLINK("https://klasma.github.io/Logging_0821/tillsynsmail/A 30203-2023 tillsynsbegäran mail.docx", "A 30203-2023")</f>
        <v/>
      </c>
    </row>
    <row r="654" ht="15" customHeight="1">
      <c r="A654" t="inlineStr">
        <is>
          <t>A 31695-2023</t>
        </is>
      </c>
      <c r="B654" t="inlineStr">
        <is>
          <t>avverkningsanmälan</t>
        </is>
      </c>
      <c r="C654" t="inlineStr">
        <is>
          <t>Föryngringsavverkning</t>
        </is>
      </c>
      <c r="D654" s="1" t="n">
        <v>45105</v>
      </c>
      <c r="E654" s="1" t="n">
        <v>46323</v>
      </c>
      <c r="F654" t="inlineStr">
        <is>
          <t>KALMAR LÄN</t>
        </is>
      </c>
      <c r="G654" t="inlineStr">
        <is>
          <t>KALMAR</t>
        </is>
      </c>
      <c r="I654" t="n">
        <v>0.7</v>
      </c>
      <c r="J654" t="n">
        <v>0</v>
      </c>
      <c r="K654" t="n">
        <v>2</v>
      </c>
      <c r="L654" t="n">
        <v>0</v>
      </c>
      <c r="M654" t="n">
        <v>0</v>
      </c>
      <c r="N654" t="n">
        <v>0</v>
      </c>
      <c r="O654" t="n">
        <v>0</v>
      </c>
      <c r="P654" t="n">
        <v>0</v>
      </c>
      <c r="Q654" t="n">
        <v>0</v>
      </c>
      <c r="R654" t="n">
        <v>0</v>
      </c>
      <c r="S654" t="n">
        <v>2</v>
      </c>
      <c r="T654" t="n">
        <v>2</v>
      </c>
      <c r="U654" t="n">
        <v>2</v>
      </c>
      <c r="V654" s="2" t="inlineStr">
        <is>
          <t>Blåmossa
Grovticka</t>
        </is>
      </c>
      <c r="W654">
        <f>HYPERLINK("https://klasma.github.io/Logging_0880/artfynd/A 31695-2023 artfynd.xlsx", "A 31695-2023")</f>
        <v/>
      </c>
      <c r="X654">
        <f>HYPERLINK("https://klasma.github.io/Logging_0880/kartor/A 31695-2023 karta.png", "A 31695-2023")</f>
        <v/>
      </c>
      <c r="Y654">
        <f>HYPERLINK("https://klasma.github.io/Logging_0880/kartor_geotiff/A 31695-2023 georefererad karta.tif", "A 31695-2023")</f>
        <v/>
      </c>
      <c r="AA654">
        <f>HYPERLINK("https://klasma.github.io/Logging_0880/klagomål/A 31695-2023 FSC-klagomål.docx", "A 31695-2023")</f>
        <v/>
      </c>
      <c r="AB654">
        <f>HYPERLINK("https://klasma.github.io/Logging_0880/klagomålsmail/A 31695-2023 FSC-klagomål mail.docx", "A 31695-2023")</f>
        <v/>
      </c>
      <c r="AC654">
        <f>HYPERLINK("https://klasma.github.io/Logging_0880/tillsyn/A 31695-2023 tillsynsbegäran.docx", "A 31695-2023")</f>
        <v/>
      </c>
      <c r="AD654">
        <f>HYPERLINK("https://klasma.github.io/Logging_0880/tillsynsmail/A 31695-2023 tillsynsbegäran mail.docx", "A 31695-2023")</f>
        <v/>
      </c>
    </row>
    <row r="655" ht="15" customHeight="1">
      <c r="A655" t="inlineStr">
        <is>
          <t>A 10694-2024</t>
        </is>
      </c>
      <c r="B655" t="inlineStr">
        <is>
          <t>avverkningsanmälan</t>
        </is>
      </c>
      <c r="C655" t="inlineStr">
        <is>
          <t>Föryngringsavverkning</t>
        </is>
      </c>
      <c r="D655" s="1" t="n">
        <v>45369</v>
      </c>
      <c r="E655" s="1" t="n">
        <v>46323</v>
      </c>
      <c r="F655" t="inlineStr">
        <is>
          <t>KALMAR LÄN</t>
        </is>
      </c>
      <c r="G655" t="inlineStr">
        <is>
          <t>EMMABODA</t>
        </is>
      </c>
      <c r="I655" t="n">
        <v>2.8</v>
      </c>
      <c r="J655" t="n">
        <v>2</v>
      </c>
      <c r="K655" t="n">
        <v>0</v>
      </c>
      <c r="L655" t="n">
        <v>0</v>
      </c>
      <c r="M655" t="n">
        <v>1</v>
      </c>
      <c r="N655" t="n">
        <v>0</v>
      </c>
      <c r="O655" t="n">
        <v>0</v>
      </c>
      <c r="P655" t="n">
        <v>0</v>
      </c>
      <c r="Q655" t="n">
        <v>1</v>
      </c>
      <c r="R655" t="n">
        <v>1</v>
      </c>
      <c r="S655" t="n">
        <v>2</v>
      </c>
      <c r="T655" t="n">
        <v>15</v>
      </c>
      <c r="U655" t="n">
        <v>15</v>
      </c>
      <c r="V655" s="2" t="inlineStr">
        <is>
          <t>Knärot
Spillkråka</t>
        </is>
      </c>
      <c r="W655">
        <f>HYPERLINK("https://klasma.github.io/Logging_0862/artfynd/A 10694-2024 artfynd.xlsx", "A 10694-2024")</f>
        <v/>
      </c>
      <c r="X655">
        <f>HYPERLINK("https://klasma.github.io/Logging_0862/kartor/A 10694-2024 karta.png", "A 10694-2024")</f>
        <v/>
      </c>
      <c r="Y655">
        <f>HYPERLINK("https://klasma.github.io/Logging_0862/kartor_geotiff/A 10694-2024 georefererad karta.tif", "A 10694-2024")</f>
        <v/>
      </c>
      <c r="Z655">
        <f>HYPERLINK("https://klasma.github.io/Logging_0862/knärot/A 10694-2024 karta knärot.png", "A 10694-2024")</f>
        <v/>
      </c>
      <c r="AA655">
        <f>HYPERLINK("https://klasma.github.io/Logging_0862/klagomål/A 10694-2024 FSC-klagomål.docx", "A 10694-2024")</f>
        <v/>
      </c>
      <c r="AB655">
        <f>HYPERLINK("https://klasma.github.io/Logging_0862/klagomålsmail/A 10694-2024 FSC-klagomål mail.docx", "A 10694-2024")</f>
        <v/>
      </c>
      <c r="AC655">
        <f>HYPERLINK("https://klasma.github.io/Logging_0862/tillsyn/A 10694-2024 tillsynsbegäran.docx", "A 10694-2024")</f>
        <v/>
      </c>
      <c r="AD655">
        <f>HYPERLINK("https://klasma.github.io/Logging_0862/tillsynsmail/A 10694-2024 tillsynsbegäran mail.docx", "A 10694-2024")</f>
        <v/>
      </c>
      <c r="AE655">
        <f>HYPERLINK("https://klasma.github.io/Logging_0862/fåglar/A 10694-2024 prioriterade fågelarter.docx", "A 10694-2024")</f>
        <v/>
      </c>
    </row>
    <row r="656" ht="15" customHeight="1">
      <c r="A656" t="inlineStr">
        <is>
          <t>A 65529-2021</t>
        </is>
      </c>
      <c r="B656" t="inlineStr">
        <is>
          <t>avverkningsanmälan</t>
        </is>
      </c>
      <c r="C656" t="inlineStr">
        <is>
          <t>Föryngringsavverkning</t>
        </is>
      </c>
      <c r="D656" s="1" t="n">
        <v>44516</v>
      </c>
      <c r="E656" s="1" t="n">
        <v>46323</v>
      </c>
      <c r="F656" t="inlineStr">
        <is>
          <t>KALMAR LÄN</t>
        </is>
      </c>
      <c r="G656" t="inlineStr">
        <is>
          <t>HULTSFRED</t>
        </is>
      </c>
      <c r="I656" t="n">
        <v>2.3</v>
      </c>
      <c r="J656" t="n">
        <v>0</v>
      </c>
      <c r="K656" t="n">
        <v>1</v>
      </c>
      <c r="L656" t="n">
        <v>1</v>
      </c>
      <c r="M656" t="n">
        <v>0</v>
      </c>
      <c r="N656" t="n">
        <v>0</v>
      </c>
      <c r="O656" t="n">
        <v>0</v>
      </c>
      <c r="P656" t="n">
        <v>0</v>
      </c>
      <c r="Q656" t="n">
        <v>1</v>
      </c>
      <c r="R656" t="n">
        <v>0</v>
      </c>
      <c r="S656" t="n">
        <v>2</v>
      </c>
      <c r="T656" t="n">
        <v>2</v>
      </c>
      <c r="U656" t="n">
        <v>1</v>
      </c>
      <c r="V656" s="2" t="inlineStr">
        <is>
          <t>Aspelandsfibbla
Källmossa</t>
        </is>
      </c>
      <c r="W656">
        <f>HYPERLINK("https://klasma.github.io/Logging_0860/artfynd/A 65529-2021 artfynd.xlsx", "A 65529-2021")</f>
        <v/>
      </c>
      <c r="X656">
        <f>HYPERLINK("https://klasma.github.io/Logging_0860/kartor/A 65529-2021 karta.png", "A 65529-2021")</f>
        <v/>
      </c>
      <c r="Y656">
        <f>HYPERLINK("https://klasma.github.io/Logging_0860/kartor_geotiff/A 65529-2021 georefererad karta.tif", "A 65529-2021")</f>
        <v/>
      </c>
      <c r="AA656">
        <f>HYPERLINK("https://klasma.github.io/Logging_0860/klagomål/A 65529-2021 FSC-klagomål.docx", "A 65529-2021")</f>
        <v/>
      </c>
      <c r="AB656">
        <f>HYPERLINK("https://klasma.github.io/Logging_0860/klagomålsmail/A 65529-2021 FSC-klagomål mail.docx", "A 65529-2021")</f>
        <v/>
      </c>
      <c r="AC656">
        <f>HYPERLINK("https://klasma.github.io/Logging_0860/tillsyn/A 65529-2021 tillsynsbegäran.docx", "A 65529-2021")</f>
        <v/>
      </c>
      <c r="AD656">
        <f>HYPERLINK("https://klasma.github.io/Logging_0860/tillsynsmail/A 65529-2021 tillsynsbegäran mail.docx", "A 65529-2021")</f>
        <v/>
      </c>
    </row>
    <row r="657" ht="15" customHeight="1">
      <c r="A657" t="inlineStr">
        <is>
          <t>A 30121-2023</t>
        </is>
      </c>
      <c r="B657" t="inlineStr">
        <is>
          <t>avverkningsanmälan</t>
        </is>
      </c>
      <c r="C657" t="inlineStr">
        <is>
          <t>Föryngringsavverkning</t>
        </is>
      </c>
      <c r="D657" s="1" t="n">
        <v>45110</v>
      </c>
      <c r="E657" s="1" t="n">
        <v>46323</v>
      </c>
      <c r="F657" t="inlineStr">
        <is>
          <t>KALMAR LÄN</t>
        </is>
      </c>
      <c r="G657" t="inlineStr">
        <is>
          <t>NYBRO</t>
        </is>
      </c>
      <c r="H657" t="inlineStr">
        <is>
          <t>Kommuner</t>
        </is>
      </c>
      <c r="I657" t="n">
        <v>4.9</v>
      </c>
      <c r="J657" t="n">
        <v>1</v>
      </c>
      <c r="K657" t="n">
        <v>1</v>
      </c>
      <c r="L657" t="n">
        <v>0</v>
      </c>
      <c r="M657" t="n">
        <v>0</v>
      </c>
      <c r="N657" t="n">
        <v>0</v>
      </c>
      <c r="O657" t="n">
        <v>0</v>
      </c>
      <c r="P657" t="n">
        <v>0</v>
      </c>
      <c r="Q657" t="n">
        <v>0</v>
      </c>
      <c r="R657" t="n">
        <v>0</v>
      </c>
      <c r="S657" t="n">
        <v>2</v>
      </c>
      <c r="T657" t="n">
        <v>2</v>
      </c>
      <c r="U657" t="n">
        <v>0</v>
      </c>
      <c r="V657" s="2" t="inlineStr">
        <is>
          <t>Vanlig flatbagge
Grönsiska</t>
        </is>
      </c>
      <c r="W657">
        <f>HYPERLINK("https://klasma.github.io/Logging_0881/artfynd/A 30121-2023 artfynd.xlsx", "A 30121-2023")</f>
        <v/>
      </c>
      <c r="X657">
        <f>HYPERLINK("https://klasma.github.io/Logging_0881/kartor/A 30121-2023 karta.png", "A 30121-2023")</f>
        <v/>
      </c>
      <c r="Y657">
        <f>HYPERLINK("https://klasma.github.io/Logging_0881/kartor_geotiff/A 30121-2023 georefererad karta.tif", "A 30121-2023")</f>
        <v/>
      </c>
      <c r="AA657">
        <f>HYPERLINK("https://klasma.github.io/Logging_0881/klagomål/A 30121-2023 FSC-klagomål.docx", "A 30121-2023")</f>
        <v/>
      </c>
      <c r="AB657">
        <f>HYPERLINK("https://klasma.github.io/Logging_0881/klagomålsmail/A 30121-2023 FSC-klagomål mail.docx", "A 30121-2023")</f>
        <v/>
      </c>
      <c r="AC657">
        <f>HYPERLINK("https://klasma.github.io/Logging_0881/tillsyn/A 30121-2023 tillsynsbegäran.docx", "A 30121-2023")</f>
        <v/>
      </c>
      <c r="AD657">
        <f>HYPERLINK("https://klasma.github.io/Logging_0881/tillsynsmail/A 30121-2023 tillsynsbegäran mail.docx", "A 30121-2023")</f>
        <v/>
      </c>
    </row>
    <row r="658" ht="15" customHeight="1">
      <c r="A658" t="inlineStr">
        <is>
          <t>A 10603-2023</t>
        </is>
      </c>
      <c r="B658" t="inlineStr">
        <is>
          <t>avverkningsanmälan</t>
        </is>
      </c>
      <c r="C658" t="inlineStr">
        <is>
          <t>Föryngringsavverkning</t>
        </is>
      </c>
      <c r="D658" s="1" t="n">
        <v>44988</v>
      </c>
      <c r="E658" s="1" t="n">
        <v>46323</v>
      </c>
      <c r="F658" t="inlineStr">
        <is>
          <t>KALMAR LÄN</t>
        </is>
      </c>
      <c r="G658" t="inlineStr">
        <is>
          <t>TORSÅS</t>
        </is>
      </c>
      <c r="I658" t="n">
        <v>0.9</v>
      </c>
      <c r="J658" t="n">
        <v>2</v>
      </c>
      <c r="K658" t="n">
        <v>0</v>
      </c>
      <c r="L658" t="n">
        <v>0</v>
      </c>
      <c r="M658" t="n">
        <v>1</v>
      </c>
      <c r="N658" t="n">
        <v>0</v>
      </c>
      <c r="O658" t="n">
        <v>0</v>
      </c>
      <c r="P658" t="n">
        <v>0</v>
      </c>
      <c r="Q658" t="n">
        <v>1</v>
      </c>
      <c r="R658" t="n">
        <v>1</v>
      </c>
      <c r="S658" t="n">
        <v>2</v>
      </c>
      <c r="T658" t="n">
        <v>2</v>
      </c>
      <c r="U658" t="n">
        <v>2</v>
      </c>
      <c r="V658" s="2" t="inlineStr">
        <is>
          <t>Stare
Skogsödla</t>
        </is>
      </c>
      <c r="W658">
        <f>HYPERLINK("https://klasma.github.io/Logging_0834/artfynd/A 10603-2023 artfynd.xlsx", "A 10603-2023")</f>
        <v/>
      </c>
      <c r="X658">
        <f>HYPERLINK("https://klasma.github.io/Logging_0834/kartor/A 10603-2023 karta.png", "A 10603-2023")</f>
        <v/>
      </c>
      <c r="Y658">
        <f>HYPERLINK("https://klasma.github.io/Logging_0834/kartor_geotiff/A 10603-2023 georefererad karta.tif", "A 10603-2023")</f>
        <v/>
      </c>
      <c r="AA658">
        <f>HYPERLINK("https://klasma.github.io/Logging_0834/klagomål/A 10603-2023 FSC-klagomål.docx", "A 10603-2023")</f>
        <v/>
      </c>
      <c r="AB658">
        <f>HYPERLINK("https://klasma.github.io/Logging_0834/klagomålsmail/A 10603-2023 FSC-klagomål mail.docx", "A 10603-2023")</f>
        <v/>
      </c>
      <c r="AC658">
        <f>HYPERLINK("https://klasma.github.io/Logging_0834/tillsyn/A 10603-2023 tillsynsbegäran.docx", "A 10603-2023")</f>
        <v/>
      </c>
      <c r="AD658">
        <f>HYPERLINK("https://klasma.github.io/Logging_0834/tillsynsmail/A 10603-2023 tillsynsbegäran mail.docx", "A 10603-2023")</f>
        <v/>
      </c>
      <c r="AE658">
        <f>HYPERLINK("https://klasma.github.io/Logging_0834/fåglar/A 10603-2023 prioriterade fågelarter.docx", "A 10603-2023")</f>
        <v/>
      </c>
    </row>
    <row r="659" ht="15" customHeight="1">
      <c r="A659" t="inlineStr">
        <is>
          <t>A 2515-2023</t>
        </is>
      </c>
      <c r="B659" t="inlineStr">
        <is>
          <t>avverkningsanmälan</t>
        </is>
      </c>
      <c r="C659" t="inlineStr">
        <is>
          <t>Föryngringsavverkning</t>
        </is>
      </c>
      <c r="D659" s="1" t="n">
        <v>44943</v>
      </c>
      <c r="E659" s="1" t="n">
        <v>46323</v>
      </c>
      <c r="F659" t="inlineStr">
        <is>
          <t>KALMAR LÄN</t>
        </is>
      </c>
      <c r="G659" t="inlineStr">
        <is>
          <t>VÄSTERVIK</t>
        </is>
      </c>
      <c r="I659" t="n">
        <v>1.3</v>
      </c>
      <c r="J659" t="n">
        <v>1</v>
      </c>
      <c r="K659" t="n">
        <v>1</v>
      </c>
      <c r="L659" t="n">
        <v>0</v>
      </c>
      <c r="M659" t="n">
        <v>1</v>
      </c>
      <c r="N659" t="n">
        <v>0</v>
      </c>
      <c r="O659" t="n">
        <v>0</v>
      </c>
      <c r="P659" t="n">
        <v>0</v>
      </c>
      <c r="Q659" t="n">
        <v>1</v>
      </c>
      <c r="R659" t="n">
        <v>1</v>
      </c>
      <c r="S659" t="n">
        <v>2</v>
      </c>
      <c r="T659" t="n">
        <v>3</v>
      </c>
      <c r="U659" t="n">
        <v>3</v>
      </c>
      <c r="V659" s="2" t="inlineStr">
        <is>
          <t>Knärot
Grönpyrola</t>
        </is>
      </c>
      <c r="W659">
        <f>HYPERLINK("https://klasma.github.io/Logging_0883/artfynd/A 2515-2023 artfynd.xlsx", "A 2515-2023")</f>
        <v/>
      </c>
      <c r="X659">
        <f>HYPERLINK("https://klasma.github.io/Logging_0883/kartor/A 2515-2023 karta.png", "A 2515-2023")</f>
        <v/>
      </c>
      <c r="Y659">
        <f>HYPERLINK("https://klasma.github.io/Logging_0883/kartor_geotiff/A 2515-2023 georefererad karta.tif", "A 2515-2023")</f>
        <v/>
      </c>
      <c r="Z659">
        <f>HYPERLINK("https://klasma.github.io/Logging_0883/knärot/A 2515-2023 karta knärot.png", "A 2515-2023")</f>
        <v/>
      </c>
      <c r="AA659">
        <f>HYPERLINK("https://klasma.github.io/Logging_0883/klagomål/A 2515-2023 FSC-klagomål.docx", "A 2515-2023")</f>
        <v/>
      </c>
      <c r="AB659">
        <f>HYPERLINK("https://klasma.github.io/Logging_0883/klagomålsmail/A 2515-2023 FSC-klagomål mail.docx", "A 2515-2023")</f>
        <v/>
      </c>
      <c r="AC659">
        <f>HYPERLINK("https://klasma.github.io/Logging_0883/tillsyn/A 2515-2023 tillsynsbegäran.docx", "A 2515-2023")</f>
        <v/>
      </c>
      <c r="AD659">
        <f>HYPERLINK("https://klasma.github.io/Logging_0883/tillsynsmail/A 2515-2023 tillsynsbegäran mail.docx", "A 2515-2023")</f>
        <v/>
      </c>
    </row>
    <row r="660" ht="15" customHeight="1">
      <c r="A660" t="inlineStr">
        <is>
          <t>A 2518-2023</t>
        </is>
      </c>
      <c r="B660" t="inlineStr">
        <is>
          <t>avverkningsanmälan</t>
        </is>
      </c>
      <c r="C660" t="inlineStr">
        <is>
          <t>Föryngringsavverkning</t>
        </is>
      </c>
      <c r="D660" s="1" t="n">
        <v>44943</v>
      </c>
      <c r="E660" s="1" t="n">
        <v>46323</v>
      </c>
      <c r="F660" t="inlineStr">
        <is>
          <t>KALMAR LÄN</t>
        </is>
      </c>
      <c r="G660" t="inlineStr">
        <is>
          <t>VIMMERBY</t>
        </is>
      </c>
      <c r="I660" t="n">
        <v>6.1</v>
      </c>
      <c r="J660" t="n">
        <v>1</v>
      </c>
      <c r="K660" t="n">
        <v>1</v>
      </c>
      <c r="L660" t="n">
        <v>0</v>
      </c>
      <c r="M660" t="n">
        <v>1</v>
      </c>
      <c r="N660" t="n">
        <v>0</v>
      </c>
      <c r="O660" t="n">
        <v>0</v>
      </c>
      <c r="P660" t="n">
        <v>0</v>
      </c>
      <c r="Q660" t="n">
        <v>1</v>
      </c>
      <c r="R660" t="n">
        <v>1</v>
      </c>
      <c r="S660" t="n">
        <v>2</v>
      </c>
      <c r="T660" t="n">
        <v>15</v>
      </c>
      <c r="U660" t="n">
        <v>15</v>
      </c>
      <c r="V660" s="2" t="inlineStr">
        <is>
          <t>Knärot
Grönpyrola</t>
        </is>
      </c>
      <c r="W660">
        <f>HYPERLINK("https://klasma.github.io/Logging_0884/artfynd/A 2518-2023 artfynd.xlsx", "A 2518-2023")</f>
        <v/>
      </c>
      <c r="X660">
        <f>HYPERLINK("https://klasma.github.io/Logging_0884/kartor/A 2518-2023 karta.png", "A 2518-2023")</f>
        <v/>
      </c>
      <c r="Y660">
        <f>HYPERLINK("https://klasma.github.io/Logging_0884/kartor_geotiff/A 2518-2023 georefererad karta.tif", "A 2518-2023")</f>
        <v/>
      </c>
      <c r="Z660">
        <f>HYPERLINK("https://klasma.github.io/Logging_0884/knärot/A 2518-2023 karta knärot.png", "A 2518-2023")</f>
        <v/>
      </c>
      <c r="AA660">
        <f>HYPERLINK("https://klasma.github.io/Logging_0884/klagomål/A 2518-2023 FSC-klagomål.docx", "A 2518-2023")</f>
        <v/>
      </c>
      <c r="AB660">
        <f>HYPERLINK("https://klasma.github.io/Logging_0884/klagomålsmail/A 2518-2023 FSC-klagomål mail.docx", "A 2518-2023")</f>
        <v/>
      </c>
      <c r="AC660">
        <f>HYPERLINK("https://klasma.github.io/Logging_0884/tillsyn/A 2518-2023 tillsynsbegäran.docx", "A 2518-2023")</f>
        <v/>
      </c>
      <c r="AD660">
        <f>HYPERLINK("https://klasma.github.io/Logging_0884/tillsynsmail/A 2518-2023 tillsynsbegäran mail.docx", "A 2518-2023")</f>
        <v/>
      </c>
    </row>
    <row r="661" ht="15" customHeight="1">
      <c r="A661" t="inlineStr">
        <is>
          <t>A 47112-2023</t>
        </is>
      </c>
      <c r="B661" t="inlineStr">
        <is>
          <t>avverkningsanmälan</t>
        </is>
      </c>
      <c r="C661" t="inlineStr">
        <is>
          <t>Föryngringsavverkning</t>
        </is>
      </c>
      <c r="D661" s="1" t="n">
        <v>45201</v>
      </c>
      <c r="E661" s="1" t="n">
        <v>46323</v>
      </c>
      <c r="F661" t="inlineStr">
        <is>
          <t>KALMAR LÄN</t>
        </is>
      </c>
      <c r="G661" t="inlineStr">
        <is>
          <t>VÄSTERVIK</t>
        </is>
      </c>
      <c r="I661" t="n">
        <v>1</v>
      </c>
      <c r="J661" t="n">
        <v>1</v>
      </c>
      <c r="K661" t="n">
        <v>0</v>
      </c>
      <c r="L661" t="n">
        <v>2</v>
      </c>
      <c r="M661" t="n">
        <v>0</v>
      </c>
      <c r="N661" t="n">
        <v>0</v>
      </c>
      <c r="O661" t="n">
        <v>0</v>
      </c>
      <c r="P661" t="n">
        <v>0</v>
      </c>
      <c r="Q661" t="n">
        <v>2</v>
      </c>
      <c r="R661" t="n">
        <v>0</v>
      </c>
      <c r="S661" t="n">
        <v>2</v>
      </c>
      <c r="T661" t="n">
        <v>3</v>
      </c>
      <c r="U661" t="n">
        <v>3</v>
      </c>
      <c r="V661" s="2" t="inlineStr">
        <is>
          <t>Apollofjäril
Tallticka</t>
        </is>
      </c>
      <c r="W661">
        <f>HYPERLINK("https://klasma.github.io/Logging_0883/artfynd/A 47112-2023 artfynd.xlsx", "A 47112-2023")</f>
        <v/>
      </c>
      <c r="X661">
        <f>HYPERLINK("https://klasma.github.io/Logging_0883/kartor/A 47112-2023 karta.png", "A 47112-2023")</f>
        <v/>
      </c>
      <c r="Y661">
        <f>HYPERLINK("https://klasma.github.io/Logging_0883/kartor_geotiff/A 47112-2023 georefererad karta.tif", "A 47112-2023")</f>
        <v/>
      </c>
      <c r="AA661">
        <f>HYPERLINK("https://klasma.github.io/Logging_0883/klagomål/A 47112-2023 FSC-klagomål.docx", "A 47112-2023")</f>
        <v/>
      </c>
      <c r="AB661">
        <f>HYPERLINK("https://klasma.github.io/Logging_0883/klagomålsmail/A 47112-2023 FSC-klagomål mail.docx", "A 47112-2023")</f>
        <v/>
      </c>
      <c r="AC661">
        <f>HYPERLINK("https://klasma.github.io/Logging_0883/tillsyn/A 47112-2023 tillsynsbegäran.docx", "A 47112-2023")</f>
        <v/>
      </c>
      <c r="AD661">
        <f>HYPERLINK("https://klasma.github.io/Logging_0883/tillsynsmail/A 47112-2023 tillsynsbegäran mail.docx", "A 47112-2023")</f>
        <v/>
      </c>
    </row>
    <row r="662" ht="15" customHeight="1">
      <c r="A662" t="inlineStr">
        <is>
          <t>A 17935-2025</t>
        </is>
      </c>
      <c r="B662" t="inlineStr">
        <is>
          <t>avverkningsanmälan</t>
        </is>
      </c>
      <c r="C662" t="inlineStr">
        <is>
          <t>Föryngringsavverkning</t>
        </is>
      </c>
      <c r="D662" s="1" t="n">
        <v>45760</v>
      </c>
      <c r="E662" s="1" t="n">
        <v>46323</v>
      </c>
      <c r="F662" t="inlineStr">
        <is>
          <t>KALMAR LÄN</t>
        </is>
      </c>
      <c r="G662" t="inlineStr">
        <is>
          <t>VIMMERBY</t>
        </is>
      </c>
      <c r="I662" t="n">
        <v>2.2</v>
      </c>
      <c r="J662" t="n">
        <v>1</v>
      </c>
      <c r="K662" t="n">
        <v>1</v>
      </c>
      <c r="L662" t="n">
        <v>0</v>
      </c>
      <c r="M662" t="n">
        <v>0</v>
      </c>
      <c r="N662" t="n">
        <v>0</v>
      </c>
      <c r="O662" t="n">
        <v>0</v>
      </c>
      <c r="P662" t="n">
        <v>0</v>
      </c>
      <c r="Q662" t="n">
        <v>0</v>
      </c>
      <c r="R662" t="n">
        <v>0</v>
      </c>
      <c r="S662" t="n">
        <v>2</v>
      </c>
      <c r="T662" t="n">
        <v>2</v>
      </c>
      <c r="U662" t="n">
        <v>2</v>
      </c>
      <c r="V662" s="2" t="inlineStr">
        <is>
          <t>Gräsull
Fläcknycklar</t>
        </is>
      </c>
      <c r="W662">
        <f>HYPERLINK("https://klasma.github.io/Logging_0884/artfynd/A 17935-2025 artfynd.xlsx", "A 17935-2025")</f>
        <v/>
      </c>
      <c r="X662">
        <f>HYPERLINK("https://klasma.github.io/Logging_0884/kartor/A 17935-2025 karta.png", "A 17935-2025")</f>
        <v/>
      </c>
      <c r="Y662">
        <f>HYPERLINK("https://klasma.github.io/Logging_0884/kartor_geotiff/A 17935-2025 georefererad karta.tif", "A 17935-2025")</f>
        <v/>
      </c>
      <c r="AA662">
        <f>HYPERLINK("https://klasma.github.io/Logging_0884/klagomål/A 17935-2025 FSC-klagomål.docx", "A 17935-2025")</f>
        <v/>
      </c>
      <c r="AB662">
        <f>HYPERLINK("https://klasma.github.io/Logging_0884/klagomålsmail/A 17935-2025 FSC-klagomål mail.docx", "A 17935-2025")</f>
        <v/>
      </c>
      <c r="AC662">
        <f>HYPERLINK("https://klasma.github.io/Logging_0884/tillsyn/A 17935-2025 tillsynsbegäran.docx", "A 17935-2025")</f>
        <v/>
      </c>
      <c r="AD662">
        <f>HYPERLINK("https://klasma.github.io/Logging_0884/tillsynsmail/A 17935-2025 tillsynsbegäran mail.docx", "A 17935-2025")</f>
        <v/>
      </c>
    </row>
    <row r="663" ht="15" customHeight="1">
      <c r="A663" t="inlineStr">
        <is>
          <t>A 11002-2025</t>
        </is>
      </c>
      <c r="B663" t="inlineStr">
        <is>
          <t>avverkningsanmälan</t>
        </is>
      </c>
      <c r="C663" t="inlineStr">
        <is>
          <t>Föryngringsavverkning</t>
        </is>
      </c>
      <c r="D663" s="1" t="n">
        <v>45723</v>
      </c>
      <c r="E663" s="1" t="n">
        <v>46323</v>
      </c>
      <c r="F663" t="inlineStr">
        <is>
          <t>KALMAR LÄN</t>
        </is>
      </c>
      <c r="G663" t="inlineStr">
        <is>
          <t>HULTSFRED</t>
        </is>
      </c>
      <c r="H663" t="inlineStr">
        <is>
          <t>Sveaskog</t>
        </is>
      </c>
      <c r="I663" t="n">
        <v>3.1</v>
      </c>
      <c r="J663" t="n">
        <v>2</v>
      </c>
      <c r="K663" t="n">
        <v>0</v>
      </c>
      <c r="L663" t="n">
        <v>1</v>
      </c>
      <c r="M663" t="n">
        <v>0</v>
      </c>
      <c r="N663" t="n">
        <v>0</v>
      </c>
      <c r="O663" t="n">
        <v>0</v>
      </c>
      <c r="P663" t="n">
        <v>0</v>
      </c>
      <c r="Q663" t="n">
        <v>1</v>
      </c>
      <c r="R663" t="n">
        <v>0</v>
      </c>
      <c r="S663" t="n">
        <v>2</v>
      </c>
      <c r="T663" t="n">
        <v>2</v>
      </c>
      <c r="U663" t="n">
        <v>0</v>
      </c>
      <c r="V663" s="2" t="inlineStr">
        <is>
          <t>Grönsångare
Spillkråka</t>
        </is>
      </c>
      <c r="W663">
        <f>HYPERLINK("https://klasma.github.io/Logging_0860/artfynd/A 11002-2025 artfynd.xlsx", "A 11002-2025")</f>
        <v/>
      </c>
      <c r="X663">
        <f>HYPERLINK("https://klasma.github.io/Logging_0860/kartor/A 11002-2025 karta.png", "A 11002-2025")</f>
        <v/>
      </c>
      <c r="Y663">
        <f>HYPERLINK("https://klasma.github.io/Logging_0860/kartor_geotiff/A 11002-2025 georefererad karta.tif", "A 11002-2025")</f>
        <v/>
      </c>
      <c r="AA663">
        <f>HYPERLINK("https://klasma.github.io/Logging_0860/klagomål/A 11002-2025 FSC-klagomål.docx", "A 11002-2025")</f>
        <v/>
      </c>
      <c r="AB663">
        <f>HYPERLINK("https://klasma.github.io/Logging_0860/klagomålsmail/A 11002-2025 FSC-klagomål mail.docx", "A 11002-2025")</f>
        <v/>
      </c>
      <c r="AC663">
        <f>HYPERLINK("https://klasma.github.io/Logging_0860/tillsyn/A 11002-2025 tillsynsbegäran.docx", "A 11002-2025")</f>
        <v/>
      </c>
      <c r="AD663">
        <f>HYPERLINK("https://klasma.github.io/Logging_0860/tillsynsmail/A 11002-2025 tillsynsbegäran mail.docx", "A 11002-2025")</f>
        <v/>
      </c>
      <c r="AE663">
        <f>HYPERLINK("https://klasma.github.io/Logging_0860/fåglar/A 11002-2025 prioriterade fågelarter.docx", "A 11002-2025")</f>
        <v/>
      </c>
    </row>
    <row r="664" ht="15" customHeight="1">
      <c r="A664" t="inlineStr">
        <is>
          <t>A 635-2022</t>
        </is>
      </c>
      <c r="B664" t="inlineStr">
        <is>
          <t>avverkningsanmälan</t>
        </is>
      </c>
      <c r="C664" t="inlineStr">
        <is>
          <t>Föryngringsavverkning</t>
        </is>
      </c>
      <c r="D664" s="1" t="n">
        <v>44568</v>
      </c>
      <c r="E664" s="1" t="n">
        <v>46323</v>
      </c>
      <c r="F664" t="inlineStr">
        <is>
          <t>KALMAR LÄN</t>
        </is>
      </c>
      <c r="G664" t="inlineStr">
        <is>
          <t>OSKARSHAMN</t>
        </is>
      </c>
      <c r="I664" t="n">
        <v>6.2</v>
      </c>
      <c r="J664" t="n">
        <v>0</v>
      </c>
      <c r="K664" t="n">
        <v>0</v>
      </c>
      <c r="L664" t="n">
        <v>2</v>
      </c>
      <c r="M664" t="n">
        <v>0</v>
      </c>
      <c r="N664" t="n">
        <v>0</v>
      </c>
      <c r="O664" t="n">
        <v>0</v>
      </c>
      <c r="P664" t="n">
        <v>0</v>
      </c>
      <c r="Q664" t="n">
        <v>2</v>
      </c>
      <c r="R664" t="n">
        <v>0</v>
      </c>
      <c r="S664" t="n">
        <v>2</v>
      </c>
      <c r="T664" t="n">
        <v>4</v>
      </c>
      <c r="U664" t="n">
        <v>4</v>
      </c>
      <c r="V664" s="2" t="inlineStr">
        <is>
          <t>Jungfrulin
Orange taggsvamp</t>
        </is>
      </c>
      <c r="W664">
        <f>HYPERLINK("https://klasma.github.io/Logging_0882/artfynd/A 635-2022 artfynd.xlsx", "A 635-2022")</f>
        <v/>
      </c>
      <c r="X664">
        <f>HYPERLINK("https://klasma.github.io/Logging_0882/kartor/A 635-2022 karta.png", "A 635-2022")</f>
        <v/>
      </c>
      <c r="Y664">
        <f>HYPERLINK("https://klasma.github.io/Logging_0882/kartor_geotiff/A 635-2022 georefererad karta.tif", "A 635-2022")</f>
        <v/>
      </c>
      <c r="AA664">
        <f>HYPERLINK("https://klasma.github.io/Logging_0882/klagomål/A 635-2022 FSC-klagomål.docx", "A 635-2022")</f>
        <v/>
      </c>
      <c r="AB664">
        <f>HYPERLINK("https://klasma.github.io/Logging_0882/klagomålsmail/A 635-2022 FSC-klagomål mail.docx", "A 635-2022")</f>
        <v/>
      </c>
      <c r="AC664">
        <f>HYPERLINK("https://klasma.github.io/Logging_0882/tillsyn/A 635-2022 tillsynsbegäran.docx", "A 635-2022")</f>
        <v/>
      </c>
      <c r="AD664">
        <f>HYPERLINK("https://klasma.github.io/Logging_0882/tillsynsmail/A 635-2022 tillsynsbegäran mail.docx", "A 635-2022")</f>
        <v/>
      </c>
    </row>
    <row r="665" ht="15" customHeight="1">
      <c r="A665" t="inlineStr">
        <is>
          <t>A 1775-2025</t>
        </is>
      </c>
      <c r="B665" t="inlineStr">
        <is>
          <t>avverkningsanmälan</t>
        </is>
      </c>
      <c r="C665" t="inlineStr">
        <is>
          <t>Föryngringsavverkning</t>
        </is>
      </c>
      <c r="D665" s="1" t="n">
        <v>45671</v>
      </c>
      <c r="E665" s="1" t="n">
        <v>46323</v>
      </c>
      <c r="F665" t="inlineStr">
        <is>
          <t>KALMAR LÄN</t>
        </is>
      </c>
      <c r="G665" t="inlineStr">
        <is>
          <t>VÄSTERVIK</t>
        </is>
      </c>
      <c r="I665" t="n">
        <v>0.9</v>
      </c>
      <c r="J665" t="n">
        <v>1</v>
      </c>
      <c r="K665" t="n">
        <v>0</v>
      </c>
      <c r="L665" t="n">
        <v>1</v>
      </c>
      <c r="M665" t="n">
        <v>0</v>
      </c>
      <c r="N665" t="n">
        <v>0</v>
      </c>
      <c r="O665" t="n">
        <v>0</v>
      </c>
      <c r="P665" t="n">
        <v>0</v>
      </c>
      <c r="Q665" t="n">
        <v>1</v>
      </c>
      <c r="R665" t="n">
        <v>0</v>
      </c>
      <c r="S665" t="n">
        <v>2</v>
      </c>
      <c r="T665" t="n">
        <v>2</v>
      </c>
      <c r="U665" t="n">
        <v>2</v>
      </c>
      <c r="V665" s="2" t="inlineStr">
        <is>
          <t>Tallticka
Kungsfågel</t>
        </is>
      </c>
      <c r="W665">
        <f>HYPERLINK("https://klasma.github.io/Logging_0883/artfynd/A 1775-2025 artfynd.xlsx", "A 1775-2025")</f>
        <v/>
      </c>
      <c r="X665">
        <f>HYPERLINK("https://klasma.github.io/Logging_0883/kartor/A 1775-2025 karta.png", "A 1775-2025")</f>
        <v/>
      </c>
      <c r="Y665">
        <f>HYPERLINK("https://klasma.github.io/Logging_0883/kartor_geotiff/A 1775-2025 georefererad karta.tif", "A 1775-2025")</f>
        <v/>
      </c>
      <c r="AA665">
        <f>HYPERLINK("https://klasma.github.io/Logging_0883/klagomål/A 1775-2025 FSC-klagomål.docx", "A 1775-2025")</f>
        <v/>
      </c>
      <c r="AB665">
        <f>HYPERLINK("https://klasma.github.io/Logging_0883/klagomålsmail/A 1775-2025 FSC-klagomål mail.docx", "A 1775-2025")</f>
        <v/>
      </c>
      <c r="AC665">
        <f>HYPERLINK("https://klasma.github.io/Logging_0883/tillsyn/A 1775-2025 tillsynsbegäran.docx", "A 1775-2025")</f>
        <v/>
      </c>
      <c r="AD665">
        <f>HYPERLINK("https://klasma.github.io/Logging_0883/tillsynsmail/A 1775-2025 tillsynsbegäran mail.docx", "A 1775-2025")</f>
        <v/>
      </c>
    </row>
    <row r="666" ht="15" customHeight="1">
      <c r="A666" t="inlineStr">
        <is>
          <t>A 63620-2023</t>
        </is>
      </c>
      <c r="B666" t="inlineStr">
        <is>
          <t>avverkningsanmälan</t>
        </is>
      </c>
      <c r="C666" t="inlineStr">
        <is>
          <t>Föryngringsavverkning</t>
        </is>
      </c>
      <c r="D666" s="1" t="n">
        <v>45275</v>
      </c>
      <c r="E666" s="1" t="n">
        <v>46323</v>
      </c>
      <c r="F666" t="inlineStr">
        <is>
          <t>KALMAR LÄN</t>
        </is>
      </c>
      <c r="G666" t="inlineStr">
        <is>
          <t>KALMAR</t>
        </is>
      </c>
      <c r="H666" t="inlineStr">
        <is>
          <t>Kommuner</t>
        </is>
      </c>
      <c r="I666" t="n">
        <v>4.2</v>
      </c>
      <c r="J666" t="n">
        <v>1</v>
      </c>
      <c r="K666" t="n">
        <v>1</v>
      </c>
      <c r="L666" t="n">
        <v>1</v>
      </c>
      <c r="M666" t="n">
        <v>0</v>
      </c>
      <c r="N666" t="n">
        <v>0</v>
      </c>
      <c r="O666" t="n">
        <v>0</v>
      </c>
      <c r="P666" t="n">
        <v>0</v>
      </c>
      <c r="Q666" t="n">
        <v>1</v>
      </c>
      <c r="R666" t="n">
        <v>0</v>
      </c>
      <c r="S666" t="n">
        <v>2</v>
      </c>
      <c r="T666" t="n">
        <v>2</v>
      </c>
      <c r="U666" t="n">
        <v>0</v>
      </c>
      <c r="V666" s="2" t="inlineStr">
        <is>
          <t>Motaggsvamp
Ekoxe</t>
        </is>
      </c>
      <c r="W666">
        <f>HYPERLINK("https://klasma.github.io/Logging_0880/artfynd/A 63620-2023 artfynd.xlsx", "A 63620-2023")</f>
        <v/>
      </c>
      <c r="X666">
        <f>HYPERLINK("https://klasma.github.io/Logging_0880/kartor/A 63620-2023 karta.png", "A 63620-2023")</f>
        <v/>
      </c>
      <c r="Y666">
        <f>HYPERLINK("https://klasma.github.io/Logging_0880/kartor_geotiff/A 63620-2023 georefererad karta.tif", "A 63620-2023")</f>
        <v/>
      </c>
      <c r="AA666">
        <f>HYPERLINK("https://klasma.github.io/Logging_0880/klagomål/A 63620-2023 FSC-klagomål.docx", "A 63620-2023")</f>
        <v/>
      </c>
      <c r="AB666">
        <f>HYPERLINK("https://klasma.github.io/Logging_0880/klagomålsmail/A 63620-2023 FSC-klagomål mail.docx", "A 63620-2023")</f>
        <v/>
      </c>
      <c r="AC666">
        <f>HYPERLINK("https://klasma.github.io/Logging_0880/tillsyn/A 63620-2023 tillsynsbegäran.docx", "A 63620-2023")</f>
        <v/>
      </c>
      <c r="AD666">
        <f>HYPERLINK("https://klasma.github.io/Logging_0880/tillsynsmail/A 63620-2023 tillsynsbegäran mail.docx", "A 63620-2023")</f>
        <v/>
      </c>
    </row>
    <row r="667" ht="15" customHeight="1">
      <c r="A667" t="inlineStr">
        <is>
          <t>A 62394-2023</t>
        </is>
      </c>
      <c r="B667" t="inlineStr">
        <is>
          <t>avverkningsanmälan</t>
        </is>
      </c>
      <c r="C667" t="inlineStr">
        <is>
          <t>Föryngringsavverkning</t>
        </is>
      </c>
      <c r="D667" s="1" t="n">
        <v>45268</v>
      </c>
      <c r="E667" s="1" t="n">
        <v>46323</v>
      </c>
      <c r="F667" t="inlineStr">
        <is>
          <t>KALMAR LÄN</t>
        </is>
      </c>
      <c r="G667" t="inlineStr">
        <is>
          <t>HÖGSBY</t>
        </is>
      </c>
      <c r="I667" t="n">
        <v>4.1</v>
      </c>
      <c r="J667" t="n">
        <v>0</v>
      </c>
      <c r="K667" t="n">
        <v>1</v>
      </c>
      <c r="L667" t="n">
        <v>1</v>
      </c>
      <c r="M667" t="n">
        <v>0</v>
      </c>
      <c r="N667" t="n">
        <v>0</v>
      </c>
      <c r="O667" t="n">
        <v>0</v>
      </c>
      <c r="P667" t="n">
        <v>0</v>
      </c>
      <c r="Q667" t="n">
        <v>1</v>
      </c>
      <c r="R667" t="n">
        <v>0</v>
      </c>
      <c r="S667" t="n">
        <v>2</v>
      </c>
      <c r="T667" t="n">
        <v>2</v>
      </c>
      <c r="U667" t="n">
        <v>0</v>
      </c>
      <c r="V667" s="2" t="inlineStr">
        <is>
          <t>Kattfotslav
Flagellkvastmossa</t>
        </is>
      </c>
      <c r="W667">
        <f>HYPERLINK("https://klasma.github.io/Logging_0821/artfynd/A 62394-2023 artfynd.xlsx", "A 62394-2023")</f>
        <v/>
      </c>
      <c r="X667">
        <f>HYPERLINK("https://klasma.github.io/Logging_0821/kartor/A 62394-2023 karta.png", "A 62394-2023")</f>
        <v/>
      </c>
      <c r="Y667">
        <f>HYPERLINK("https://klasma.github.io/Logging_0821/kartor_geotiff/A 62394-2023 georefererad karta.tif", "A 62394-2023")</f>
        <v/>
      </c>
      <c r="AA667">
        <f>HYPERLINK("https://klasma.github.io/Logging_0821/klagomål/A 62394-2023 FSC-klagomål.docx", "A 62394-2023")</f>
        <v/>
      </c>
      <c r="AB667">
        <f>HYPERLINK("https://klasma.github.io/Logging_0821/klagomålsmail/A 62394-2023 FSC-klagomål mail.docx", "A 62394-2023")</f>
        <v/>
      </c>
      <c r="AC667">
        <f>HYPERLINK("https://klasma.github.io/Logging_0821/tillsyn/A 62394-2023 tillsynsbegäran.docx", "A 62394-2023")</f>
        <v/>
      </c>
      <c r="AD667">
        <f>HYPERLINK("https://klasma.github.io/Logging_0821/tillsynsmail/A 62394-2023 tillsynsbegäran mail.docx", "A 62394-2023")</f>
        <v/>
      </c>
    </row>
    <row r="668" ht="15" customHeight="1">
      <c r="A668" t="inlineStr">
        <is>
          <t>A 9616-2022</t>
        </is>
      </c>
      <c r="B668" t="inlineStr">
        <is>
          <t>avverkningsanmälan</t>
        </is>
      </c>
      <c r="C668" t="inlineStr">
        <is>
          <t>Föryngringsavverkning</t>
        </is>
      </c>
      <c r="D668" s="1" t="n">
        <v>44617</v>
      </c>
      <c r="E668" s="1" t="n">
        <v>46323</v>
      </c>
      <c r="F668" t="inlineStr">
        <is>
          <t>KALMAR LÄN</t>
        </is>
      </c>
      <c r="G668" t="inlineStr">
        <is>
          <t>HÖGSBY</t>
        </is>
      </c>
      <c r="I668" t="n">
        <v>6.4</v>
      </c>
      <c r="J668" t="n">
        <v>1</v>
      </c>
      <c r="K668" t="n">
        <v>0</v>
      </c>
      <c r="L668" t="n">
        <v>2</v>
      </c>
      <c r="M668" t="n">
        <v>0</v>
      </c>
      <c r="N668" t="n">
        <v>0</v>
      </c>
      <c r="O668" t="n">
        <v>0</v>
      </c>
      <c r="P668" t="n">
        <v>0</v>
      </c>
      <c r="Q668" t="n">
        <v>2</v>
      </c>
      <c r="R668" t="n">
        <v>0</v>
      </c>
      <c r="S668" t="n">
        <v>2</v>
      </c>
      <c r="T668" t="n">
        <v>2</v>
      </c>
      <c r="U668" t="n">
        <v>0</v>
      </c>
      <c r="V668" s="2" t="inlineStr">
        <is>
          <t>Knippnejlika
Solvända</t>
        </is>
      </c>
      <c r="W668">
        <f>HYPERLINK("https://klasma.github.io/Logging_0821/artfynd/A 9616-2022 artfynd.xlsx", "A 9616-2022")</f>
        <v/>
      </c>
      <c r="X668">
        <f>HYPERLINK("https://klasma.github.io/Logging_0821/kartor/A 9616-2022 karta.png", "A 9616-2022")</f>
        <v/>
      </c>
      <c r="Y668">
        <f>HYPERLINK("https://klasma.github.io/Logging_0821/kartor_geotiff/A 9616-2022 georefererad karta.tif", "A 9616-2022")</f>
        <v/>
      </c>
      <c r="AA668">
        <f>HYPERLINK("https://klasma.github.io/Logging_0821/klagomål/A 9616-2022 FSC-klagomål.docx", "A 9616-2022")</f>
        <v/>
      </c>
      <c r="AB668">
        <f>HYPERLINK("https://klasma.github.io/Logging_0821/klagomålsmail/A 9616-2022 FSC-klagomål mail.docx", "A 9616-2022")</f>
        <v/>
      </c>
      <c r="AC668">
        <f>HYPERLINK("https://klasma.github.io/Logging_0821/tillsyn/A 9616-2022 tillsynsbegäran.docx", "A 9616-2022")</f>
        <v/>
      </c>
      <c r="AD668">
        <f>HYPERLINK("https://klasma.github.io/Logging_0821/tillsynsmail/A 9616-2022 tillsynsbegäran mail.docx", "A 9616-2022")</f>
        <v/>
      </c>
    </row>
    <row r="669" ht="15" customHeight="1">
      <c r="A669" t="inlineStr">
        <is>
          <t>A 57977-2025</t>
        </is>
      </c>
      <c r="B669" t="inlineStr">
        <is>
          <t>avverkningsanmälan</t>
        </is>
      </c>
      <c r="C669" t="inlineStr">
        <is>
          <t>Föryngringsavverkning</t>
        </is>
      </c>
      <c r="D669" s="1" t="n">
        <v>45982</v>
      </c>
      <c r="E669" s="1" t="n">
        <v>46323</v>
      </c>
      <c r="F669" t="inlineStr">
        <is>
          <t>KALMAR LÄN</t>
        </is>
      </c>
      <c r="G669" t="inlineStr">
        <is>
          <t>VÄSTERVIK</t>
        </is>
      </c>
      <c r="H669" t="inlineStr">
        <is>
          <t>Holmen skog AB</t>
        </is>
      </c>
      <c r="I669" t="n">
        <v>6.5</v>
      </c>
      <c r="J669" t="n">
        <v>0</v>
      </c>
      <c r="K669" t="n">
        <v>1</v>
      </c>
      <c r="L669" t="n">
        <v>1</v>
      </c>
      <c r="M669" t="n">
        <v>0</v>
      </c>
      <c r="N669" t="n">
        <v>0</v>
      </c>
      <c r="O669" t="n">
        <v>0</v>
      </c>
      <c r="P669" t="n">
        <v>0</v>
      </c>
      <c r="Q669" t="n">
        <v>1</v>
      </c>
      <c r="R669" t="n">
        <v>0</v>
      </c>
      <c r="S669" t="n">
        <v>2</v>
      </c>
      <c r="T669" t="n">
        <v>2</v>
      </c>
      <c r="U669" t="n">
        <v>2</v>
      </c>
      <c r="V669" s="2" t="inlineStr">
        <is>
          <t>Orange taggsvamp
Blåmossa</t>
        </is>
      </c>
      <c r="W669">
        <f>HYPERLINK("https://klasma.github.io/Logging_0883/artfynd/A 57977-2025 artfynd.xlsx", "A 57977-2025")</f>
        <v/>
      </c>
      <c r="X669">
        <f>HYPERLINK("https://klasma.github.io/Logging_0883/kartor/A 57977-2025 karta.png", "A 57977-2025")</f>
        <v/>
      </c>
      <c r="Y669">
        <f>HYPERLINK("https://klasma.github.io/Logging_0883/kartor_geotiff/A 57977-2025 georefererad karta.tif", "A 57977-2025")</f>
        <v/>
      </c>
      <c r="AA669">
        <f>HYPERLINK("https://klasma.github.io/Logging_0883/klagomål/A 57977-2025 FSC-klagomål.docx", "A 57977-2025")</f>
        <v/>
      </c>
      <c r="AB669">
        <f>HYPERLINK("https://klasma.github.io/Logging_0883/klagomålsmail/A 57977-2025 FSC-klagomål mail.docx", "A 57977-2025")</f>
        <v/>
      </c>
      <c r="AC669">
        <f>HYPERLINK("https://klasma.github.io/Logging_0883/tillsyn/A 57977-2025 tillsynsbegäran.docx", "A 57977-2025")</f>
        <v/>
      </c>
      <c r="AD669">
        <f>HYPERLINK("https://klasma.github.io/Logging_0883/tillsynsmail/A 57977-2025 tillsynsbegäran mail.docx", "A 57977-2025")</f>
        <v/>
      </c>
    </row>
    <row r="670" ht="15" customHeight="1">
      <c r="A670" t="inlineStr">
        <is>
          <t>A 58348-2025</t>
        </is>
      </c>
      <c r="B670" t="inlineStr">
        <is>
          <t>avverkningsanmälan</t>
        </is>
      </c>
      <c r="C670" t="inlineStr">
        <is>
          <t>Föryngringsavverkning</t>
        </is>
      </c>
      <c r="D670" s="1" t="n">
        <v>45985</v>
      </c>
      <c r="E670" s="1" t="n">
        <v>46323</v>
      </c>
      <c r="F670" t="inlineStr">
        <is>
          <t>KALMAR LÄN</t>
        </is>
      </c>
      <c r="G670" t="inlineStr">
        <is>
          <t>VÄSTERVIK</t>
        </is>
      </c>
      <c r="I670" t="n">
        <v>2.6</v>
      </c>
      <c r="J670" t="n">
        <v>0</v>
      </c>
      <c r="K670" t="n">
        <v>1</v>
      </c>
      <c r="L670" t="n">
        <v>1</v>
      </c>
      <c r="M670" t="n">
        <v>0</v>
      </c>
      <c r="N670" t="n">
        <v>0</v>
      </c>
      <c r="O670" t="n">
        <v>0</v>
      </c>
      <c r="P670" t="n">
        <v>0</v>
      </c>
      <c r="Q670" t="n">
        <v>1</v>
      </c>
      <c r="R670" t="n">
        <v>0</v>
      </c>
      <c r="S670" t="n">
        <v>2</v>
      </c>
      <c r="T670" t="n">
        <v>2</v>
      </c>
      <c r="U670" t="n">
        <v>2</v>
      </c>
      <c r="V670" s="2" t="inlineStr">
        <is>
          <t>Tallkötticka
Grovticka</t>
        </is>
      </c>
      <c r="W670">
        <f>HYPERLINK("https://klasma.github.io/Logging_0883/artfynd/A 58348-2025 artfynd.xlsx", "A 58348-2025")</f>
        <v/>
      </c>
      <c r="X670">
        <f>HYPERLINK("https://klasma.github.io/Logging_0883/kartor/A 58348-2025 karta.png", "A 58348-2025")</f>
        <v/>
      </c>
      <c r="Y670">
        <f>HYPERLINK("https://klasma.github.io/Logging_0883/kartor_geotiff/A 58348-2025 georefererad karta.tif", "A 58348-2025")</f>
        <v/>
      </c>
      <c r="AA670">
        <f>HYPERLINK("https://klasma.github.io/Logging_0883/klagomål/A 58348-2025 FSC-klagomål.docx", "A 58348-2025")</f>
        <v/>
      </c>
      <c r="AB670">
        <f>HYPERLINK("https://klasma.github.io/Logging_0883/klagomålsmail/A 58348-2025 FSC-klagomål mail.docx", "A 58348-2025")</f>
        <v/>
      </c>
      <c r="AC670">
        <f>HYPERLINK("https://klasma.github.io/Logging_0883/tillsyn/A 58348-2025 tillsynsbegäran.docx", "A 58348-2025")</f>
        <v/>
      </c>
      <c r="AD670">
        <f>HYPERLINK("https://klasma.github.io/Logging_0883/tillsynsmail/A 58348-2025 tillsynsbegäran mail.docx", "A 58348-2025")</f>
        <v/>
      </c>
    </row>
    <row r="671" ht="15" customHeight="1">
      <c r="A671" t="inlineStr">
        <is>
          <t>A 74390-2021</t>
        </is>
      </c>
      <c r="B671" t="inlineStr">
        <is>
          <t>avverkningsanmälan</t>
        </is>
      </c>
      <c r="C671" t="inlineStr">
        <is>
          <t>Föryngringsavverkning</t>
        </is>
      </c>
      <c r="D671" s="1" t="n">
        <v>44559</v>
      </c>
      <c r="E671" s="1" t="n">
        <v>46323</v>
      </c>
      <c r="F671" t="inlineStr">
        <is>
          <t>KALMAR LÄN</t>
        </is>
      </c>
      <c r="G671" t="inlineStr">
        <is>
          <t>HULTSFRED</t>
        </is>
      </c>
      <c r="I671" t="n">
        <v>1.6</v>
      </c>
      <c r="J671" t="n">
        <v>0</v>
      </c>
      <c r="K671" t="n">
        <v>2</v>
      </c>
      <c r="L671" t="n">
        <v>0</v>
      </c>
      <c r="M671" t="n">
        <v>0</v>
      </c>
      <c r="N671" t="n">
        <v>0</v>
      </c>
      <c r="O671" t="n">
        <v>0</v>
      </c>
      <c r="P671" t="n">
        <v>0</v>
      </c>
      <c r="Q671" t="n">
        <v>0</v>
      </c>
      <c r="R671" t="n">
        <v>0</v>
      </c>
      <c r="S671" t="n">
        <v>2</v>
      </c>
      <c r="T671" t="n">
        <v>2</v>
      </c>
      <c r="U671" t="n">
        <v>0</v>
      </c>
      <c r="V671" s="2" t="inlineStr">
        <is>
          <t>Dvärgkällmossa
Källmossa</t>
        </is>
      </c>
      <c r="W671">
        <f>HYPERLINK("https://klasma.github.io/Logging_0860/artfynd/A 74390-2021 artfynd.xlsx", "A 74390-2021")</f>
        <v/>
      </c>
      <c r="X671">
        <f>HYPERLINK("https://klasma.github.io/Logging_0860/kartor/A 74390-2021 karta.png", "A 74390-2021")</f>
        <v/>
      </c>
      <c r="Y671">
        <f>HYPERLINK("https://klasma.github.io/Logging_0860/kartor_geotiff/A 74390-2021 georefererad karta.tif", "A 74390-2021")</f>
        <v/>
      </c>
      <c r="AA671">
        <f>HYPERLINK("https://klasma.github.io/Logging_0860/klagomål/A 74390-2021 FSC-klagomål.docx", "A 74390-2021")</f>
        <v/>
      </c>
      <c r="AB671">
        <f>HYPERLINK("https://klasma.github.io/Logging_0860/klagomålsmail/A 74390-2021 FSC-klagomål mail.docx", "A 74390-2021")</f>
        <v/>
      </c>
      <c r="AC671">
        <f>HYPERLINK("https://klasma.github.io/Logging_0860/tillsyn/A 74390-2021 tillsynsbegäran.docx", "A 74390-2021")</f>
        <v/>
      </c>
      <c r="AD671">
        <f>HYPERLINK("https://klasma.github.io/Logging_0860/tillsynsmail/A 74390-2021 tillsynsbegäran mail.docx", "A 74390-2021")</f>
        <v/>
      </c>
    </row>
    <row r="672" ht="15" customHeight="1">
      <c r="A672" t="inlineStr">
        <is>
          <t>A 17699-2025</t>
        </is>
      </c>
      <c r="B672" t="inlineStr">
        <is>
          <t>avverkningsanmälan</t>
        </is>
      </c>
      <c r="C672" t="inlineStr">
        <is>
          <t>Föryngringsavverkning</t>
        </is>
      </c>
      <c r="D672" s="1" t="n">
        <v>45758</v>
      </c>
      <c r="E672" s="1" t="n">
        <v>46323</v>
      </c>
      <c r="F672" t="inlineStr">
        <is>
          <t>KALMAR LÄN</t>
        </is>
      </c>
      <c r="G672" t="inlineStr">
        <is>
          <t>BORGHOLM</t>
        </is>
      </c>
      <c r="I672" t="n">
        <v>0.7</v>
      </c>
      <c r="J672" t="n">
        <v>0</v>
      </c>
      <c r="K672" t="n">
        <v>0</v>
      </c>
      <c r="L672" t="n">
        <v>2</v>
      </c>
      <c r="M672" t="n">
        <v>0</v>
      </c>
      <c r="N672" t="n">
        <v>0</v>
      </c>
      <c r="O672" t="n">
        <v>0</v>
      </c>
      <c r="P672" t="n">
        <v>0</v>
      </c>
      <c r="Q672" t="n">
        <v>2</v>
      </c>
      <c r="R672" t="n">
        <v>0</v>
      </c>
      <c r="S672" t="n">
        <v>2</v>
      </c>
      <c r="T672" t="n">
        <v>2</v>
      </c>
      <c r="U672" t="n">
        <v>2</v>
      </c>
      <c r="V672" s="2" t="inlineStr">
        <is>
          <t>Backtimjan
Klibbveronika</t>
        </is>
      </c>
      <c r="W672">
        <f>HYPERLINK("https://klasma.github.io/Logging_0885/artfynd/A 17699-2025 artfynd.xlsx", "A 17699-2025")</f>
        <v/>
      </c>
      <c r="X672">
        <f>HYPERLINK("https://klasma.github.io/Logging_0885/kartor/A 17699-2025 karta.png", "A 17699-2025")</f>
        <v/>
      </c>
      <c r="Y672">
        <f>HYPERLINK("https://klasma.github.io/Logging_0885/kartor_geotiff/A 17699-2025 georefererad karta.tif", "A 17699-2025")</f>
        <v/>
      </c>
      <c r="AA672">
        <f>HYPERLINK("https://klasma.github.io/Logging_0885/klagomål/A 17699-2025 FSC-klagomål.docx", "A 17699-2025")</f>
        <v/>
      </c>
      <c r="AB672">
        <f>HYPERLINK("https://klasma.github.io/Logging_0885/klagomålsmail/A 17699-2025 FSC-klagomål mail.docx", "A 17699-2025")</f>
        <v/>
      </c>
      <c r="AC672">
        <f>HYPERLINK("https://klasma.github.io/Logging_0885/tillsyn/A 17699-2025 tillsynsbegäran.docx", "A 17699-2025")</f>
        <v/>
      </c>
      <c r="AD672">
        <f>HYPERLINK("https://klasma.github.io/Logging_0885/tillsynsmail/A 17699-2025 tillsynsbegäran mail.docx", "A 17699-2025")</f>
        <v/>
      </c>
    </row>
    <row r="673" ht="15" customHeight="1">
      <c r="A673" t="inlineStr">
        <is>
          <t>A 14024-2023</t>
        </is>
      </c>
      <c r="B673" t="inlineStr">
        <is>
          <t>avverkningsanmälan</t>
        </is>
      </c>
      <c r="C673" t="inlineStr">
        <is>
          <t>Föryngringsavverkning</t>
        </is>
      </c>
      <c r="D673" s="1" t="n">
        <v>45008</v>
      </c>
      <c r="E673" s="1" t="n">
        <v>46323</v>
      </c>
      <c r="F673" t="inlineStr">
        <is>
          <t>KALMAR LÄN</t>
        </is>
      </c>
      <c r="G673" t="inlineStr">
        <is>
          <t>VIMMERBY</t>
        </is>
      </c>
      <c r="I673" t="n">
        <v>3.2</v>
      </c>
      <c r="J673" t="n">
        <v>1</v>
      </c>
      <c r="K673" t="n">
        <v>1</v>
      </c>
      <c r="L673" t="n">
        <v>0</v>
      </c>
      <c r="M673" t="n">
        <v>1</v>
      </c>
      <c r="N673" t="n">
        <v>0</v>
      </c>
      <c r="O673" t="n">
        <v>0</v>
      </c>
      <c r="P673" t="n">
        <v>0</v>
      </c>
      <c r="Q673" t="n">
        <v>1</v>
      </c>
      <c r="R673" t="n">
        <v>1</v>
      </c>
      <c r="S673" t="n">
        <v>2</v>
      </c>
      <c r="T673" t="n">
        <v>2</v>
      </c>
      <c r="U673" t="n">
        <v>2</v>
      </c>
      <c r="V673" s="2" t="inlineStr">
        <is>
          <t>Ryl
Purpurknipprot</t>
        </is>
      </c>
      <c r="W673">
        <f>HYPERLINK("https://klasma.github.io/Logging_0884/artfynd/A 14024-2023 artfynd.xlsx", "A 14024-2023")</f>
        <v/>
      </c>
      <c r="X673">
        <f>HYPERLINK("https://klasma.github.io/Logging_0884/kartor/A 14024-2023 karta.png", "A 14024-2023")</f>
        <v/>
      </c>
      <c r="Y673">
        <f>HYPERLINK("https://klasma.github.io/Logging_0884/kartor_geotiff/A 14024-2023 georefererad karta.tif", "A 14024-2023")</f>
        <v/>
      </c>
      <c r="AA673">
        <f>HYPERLINK("https://klasma.github.io/Logging_0884/klagomål/A 14024-2023 FSC-klagomål.docx", "A 14024-2023")</f>
        <v/>
      </c>
      <c r="AB673">
        <f>HYPERLINK("https://klasma.github.io/Logging_0884/klagomålsmail/A 14024-2023 FSC-klagomål mail.docx", "A 14024-2023")</f>
        <v/>
      </c>
      <c r="AC673">
        <f>HYPERLINK("https://klasma.github.io/Logging_0884/tillsyn/A 14024-2023 tillsynsbegäran.docx", "A 14024-2023")</f>
        <v/>
      </c>
      <c r="AD673">
        <f>HYPERLINK("https://klasma.github.io/Logging_0884/tillsynsmail/A 14024-2023 tillsynsbegäran mail.docx", "A 14024-2023")</f>
        <v/>
      </c>
    </row>
    <row r="674" ht="15" customHeight="1">
      <c r="A674" t="inlineStr">
        <is>
          <t>A 63006-2025</t>
        </is>
      </c>
      <c r="B674" t="inlineStr">
        <is>
          <t>avverkningsanmälan</t>
        </is>
      </c>
      <c r="C674" t="inlineStr">
        <is>
          <t>Föryngringsavverkning</t>
        </is>
      </c>
      <c r="D674" s="1" t="n">
        <v>46009</v>
      </c>
      <c r="E674" s="1" t="n">
        <v>46323</v>
      </c>
      <c r="F674" t="inlineStr">
        <is>
          <t>KALMAR LÄN</t>
        </is>
      </c>
      <c r="G674" t="inlineStr">
        <is>
          <t>NYBRO</t>
        </is>
      </c>
      <c r="I674" t="n">
        <v>6.8</v>
      </c>
      <c r="J674" t="n">
        <v>0</v>
      </c>
      <c r="K674" t="n">
        <v>2</v>
      </c>
      <c r="L674" t="n">
        <v>0</v>
      </c>
      <c r="M674" t="n">
        <v>0</v>
      </c>
      <c r="N674" t="n">
        <v>0</v>
      </c>
      <c r="O674" t="n">
        <v>0</v>
      </c>
      <c r="P674" t="n">
        <v>0</v>
      </c>
      <c r="Q674" t="n">
        <v>0</v>
      </c>
      <c r="R674" t="n">
        <v>0</v>
      </c>
      <c r="S674" t="n">
        <v>2</v>
      </c>
      <c r="T674" t="n">
        <v>2</v>
      </c>
      <c r="U674" t="n">
        <v>0</v>
      </c>
      <c r="V674" s="2" t="inlineStr">
        <is>
          <t>Bronshjon
Mindre märgborre</t>
        </is>
      </c>
      <c r="W674">
        <f>HYPERLINK("https://klasma.github.io/Logging_0881/artfynd/A 63006-2025 artfynd.xlsx", "A 63006-2025")</f>
        <v/>
      </c>
      <c r="X674">
        <f>HYPERLINK("https://klasma.github.io/Logging_0881/kartor/A 63006-2025 karta.png", "A 63006-2025")</f>
        <v/>
      </c>
      <c r="Y674">
        <f>HYPERLINK("https://klasma.github.io/Logging_0881/kartor_geotiff/A 63006-2025 georefererad karta.tif", "A 63006-2025")</f>
        <v/>
      </c>
      <c r="AA674">
        <f>HYPERLINK("https://klasma.github.io/Logging_0881/klagomål/A 63006-2025 FSC-klagomål.docx", "A 63006-2025")</f>
        <v/>
      </c>
      <c r="AB674">
        <f>HYPERLINK("https://klasma.github.io/Logging_0881/klagomålsmail/A 63006-2025 FSC-klagomål mail.docx", "A 63006-2025")</f>
        <v/>
      </c>
      <c r="AC674">
        <f>HYPERLINK("https://klasma.github.io/Logging_0881/tillsyn/A 63006-2025 tillsynsbegäran.docx", "A 63006-2025")</f>
        <v/>
      </c>
      <c r="AD674">
        <f>HYPERLINK("https://klasma.github.io/Logging_0881/tillsynsmail/A 63006-2025 tillsynsbegäran mail.docx", "A 63006-2025")</f>
        <v/>
      </c>
    </row>
    <row r="675" ht="15" customHeight="1">
      <c r="A675" t="inlineStr">
        <is>
          <t>A 59654-2025</t>
        </is>
      </c>
      <c r="B675" t="inlineStr">
        <is>
          <t>avverkningsanmälan</t>
        </is>
      </c>
      <c r="C675" t="inlineStr">
        <is>
          <t>Föryngringsavverkning</t>
        </is>
      </c>
      <c r="D675" s="1" t="n">
        <v>45992</v>
      </c>
      <c r="E675" s="1" t="n">
        <v>46323</v>
      </c>
      <c r="F675" t="inlineStr">
        <is>
          <t>KALMAR LÄN</t>
        </is>
      </c>
      <c r="G675" t="inlineStr">
        <is>
          <t>VÄSTERVIK</t>
        </is>
      </c>
      <c r="I675" t="n">
        <v>3.3</v>
      </c>
      <c r="J675" t="n">
        <v>1</v>
      </c>
      <c r="K675" t="n">
        <v>0</v>
      </c>
      <c r="L675" t="n">
        <v>1</v>
      </c>
      <c r="M675" t="n">
        <v>0</v>
      </c>
      <c r="N675" t="n">
        <v>0</v>
      </c>
      <c r="O675" t="n">
        <v>0</v>
      </c>
      <c r="P675" t="n">
        <v>0</v>
      </c>
      <c r="Q675" t="n">
        <v>1</v>
      </c>
      <c r="R675" t="n">
        <v>0</v>
      </c>
      <c r="S675" t="n">
        <v>2</v>
      </c>
      <c r="T675" t="n">
        <v>2</v>
      </c>
      <c r="U675" t="n">
        <v>2</v>
      </c>
      <c r="V675" s="2" t="inlineStr">
        <is>
          <t>Rutskinn
Spillkråka</t>
        </is>
      </c>
      <c r="W675">
        <f>HYPERLINK("https://klasma.github.io/Logging_0883/artfynd/A 59654-2025 artfynd.xlsx", "A 59654-2025")</f>
        <v/>
      </c>
      <c r="X675">
        <f>HYPERLINK("https://klasma.github.io/Logging_0883/kartor/A 59654-2025 karta.png", "A 59654-2025")</f>
        <v/>
      </c>
      <c r="Y675">
        <f>HYPERLINK("https://klasma.github.io/Logging_0883/kartor_geotiff/A 59654-2025 georefererad karta.tif", "A 59654-2025")</f>
        <v/>
      </c>
      <c r="AA675">
        <f>HYPERLINK("https://klasma.github.io/Logging_0883/klagomål/A 59654-2025 FSC-klagomål.docx", "A 59654-2025")</f>
        <v/>
      </c>
      <c r="AB675">
        <f>HYPERLINK("https://klasma.github.io/Logging_0883/klagomålsmail/A 59654-2025 FSC-klagomål mail.docx", "A 59654-2025")</f>
        <v/>
      </c>
      <c r="AC675">
        <f>HYPERLINK("https://klasma.github.io/Logging_0883/tillsyn/A 59654-2025 tillsynsbegäran.docx", "A 59654-2025")</f>
        <v/>
      </c>
      <c r="AD675">
        <f>HYPERLINK("https://klasma.github.io/Logging_0883/tillsynsmail/A 59654-2025 tillsynsbegäran mail.docx", "A 59654-2025")</f>
        <v/>
      </c>
      <c r="AE675">
        <f>HYPERLINK("https://klasma.github.io/Logging_0883/fåglar/A 59654-2025 prioriterade fågelarter.docx", "A 59654-2025")</f>
        <v/>
      </c>
    </row>
    <row r="676" ht="15" customHeight="1">
      <c r="A676" t="inlineStr">
        <is>
          <t>A 17528-2025</t>
        </is>
      </c>
      <c r="B676" t="inlineStr">
        <is>
          <t>avverkningsanmälan</t>
        </is>
      </c>
      <c r="C676" t="inlineStr">
        <is>
          <t>Föryngringsavverkning</t>
        </is>
      </c>
      <c r="D676" s="1" t="n">
        <v>45757</v>
      </c>
      <c r="E676" s="1" t="n">
        <v>46323</v>
      </c>
      <c r="F676" t="inlineStr">
        <is>
          <t>KALMAR LÄN</t>
        </is>
      </c>
      <c r="G676" t="inlineStr">
        <is>
          <t>MÖNSTERÅS</t>
        </is>
      </c>
      <c r="H676" t="inlineStr">
        <is>
          <t>Kyrkan</t>
        </is>
      </c>
      <c r="I676" t="n">
        <v>5.5</v>
      </c>
      <c r="J676" t="n">
        <v>2</v>
      </c>
      <c r="K676" t="n">
        <v>0</v>
      </c>
      <c r="L676" t="n">
        <v>1</v>
      </c>
      <c r="M676" t="n">
        <v>0</v>
      </c>
      <c r="N676" t="n">
        <v>0</v>
      </c>
      <c r="O676" t="n">
        <v>0</v>
      </c>
      <c r="P676" t="n">
        <v>0</v>
      </c>
      <c r="Q676" t="n">
        <v>1</v>
      </c>
      <c r="R676" t="n">
        <v>0</v>
      </c>
      <c r="S676" t="n">
        <v>2</v>
      </c>
      <c r="T676" t="n">
        <v>2</v>
      </c>
      <c r="U676" t="n">
        <v>2</v>
      </c>
      <c r="V676" s="2" t="inlineStr">
        <is>
          <t>Sparvuggla
Spillkråka</t>
        </is>
      </c>
      <c r="W676">
        <f>HYPERLINK("https://klasma.github.io/Logging_0861/artfynd/A 17528-2025 artfynd.xlsx", "A 17528-2025")</f>
        <v/>
      </c>
      <c r="X676">
        <f>HYPERLINK("https://klasma.github.io/Logging_0861/kartor/A 17528-2025 karta.png", "A 17528-2025")</f>
        <v/>
      </c>
      <c r="Y676">
        <f>HYPERLINK("https://klasma.github.io/Logging_0861/kartor_geotiff/A 17528-2025 georefererad karta.tif", "A 17528-2025")</f>
        <v/>
      </c>
      <c r="AA676">
        <f>HYPERLINK("https://klasma.github.io/Logging_0861/klagomål/A 17528-2025 FSC-klagomål.docx", "A 17528-2025")</f>
        <v/>
      </c>
      <c r="AB676">
        <f>HYPERLINK("https://klasma.github.io/Logging_0861/klagomålsmail/A 17528-2025 FSC-klagomål mail.docx", "A 17528-2025")</f>
        <v/>
      </c>
      <c r="AC676">
        <f>HYPERLINK("https://klasma.github.io/Logging_0861/tillsyn/A 17528-2025 tillsynsbegäran.docx", "A 17528-2025")</f>
        <v/>
      </c>
      <c r="AD676">
        <f>HYPERLINK("https://klasma.github.io/Logging_0861/tillsynsmail/A 17528-2025 tillsynsbegäran mail.docx", "A 17528-2025")</f>
        <v/>
      </c>
      <c r="AE676">
        <f>HYPERLINK("https://klasma.github.io/Logging_0861/fåglar/A 17528-2025 prioriterade fågelarter.docx", "A 17528-2025")</f>
        <v/>
      </c>
    </row>
    <row r="677" ht="15" customHeight="1">
      <c r="A677" t="inlineStr">
        <is>
          <t>A 72945-2021</t>
        </is>
      </c>
      <c r="B677" t="inlineStr">
        <is>
          <t>avverkningsanmälan</t>
        </is>
      </c>
      <c r="C677" t="inlineStr">
        <is>
          <t>Föryngringsavverkning</t>
        </is>
      </c>
      <c r="D677" s="1" t="n">
        <v>44547</v>
      </c>
      <c r="E677" s="1" t="n">
        <v>46323</v>
      </c>
      <c r="F677" t="inlineStr">
        <is>
          <t>KALMAR LÄN</t>
        </is>
      </c>
      <c r="G677" t="inlineStr">
        <is>
          <t>VÄSTERVIK</t>
        </is>
      </c>
      <c r="I677" t="n">
        <v>1.6</v>
      </c>
      <c r="J677" t="n">
        <v>0</v>
      </c>
      <c r="K677" t="n">
        <v>1</v>
      </c>
      <c r="L677" t="n">
        <v>1</v>
      </c>
      <c r="M677" t="n">
        <v>0</v>
      </c>
      <c r="N677" t="n">
        <v>0</v>
      </c>
      <c r="O677" t="n">
        <v>0</v>
      </c>
      <c r="P677" t="n">
        <v>0</v>
      </c>
      <c r="Q677" t="n">
        <v>1</v>
      </c>
      <c r="R677" t="n">
        <v>0</v>
      </c>
      <c r="S677" t="n">
        <v>2</v>
      </c>
      <c r="T677" t="n">
        <v>2</v>
      </c>
      <c r="U677" t="n">
        <v>2</v>
      </c>
      <c r="V677" s="2" t="inlineStr">
        <is>
          <t>Veckticka
Rävticka</t>
        </is>
      </c>
      <c r="W677">
        <f>HYPERLINK("https://klasma.github.io/Logging_0883/artfynd/A 72945-2021 artfynd.xlsx", "A 72945-2021")</f>
        <v/>
      </c>
      <c r="X677">
        <f>HYPERLINK("https://klasma.github.io/Logging_0883/kartor/A 72945-2021 karta.png", "A 72945-2021")</f>
        <v/>
      </c>
      <c r="Y677">
        <f>HYPERLINK("https://klasma.github.io/Logging_0883/kartor_geotiff/A 72945-2021 georefererad karta.tif", "A 72945-2021")</f>
        <v/>
      </c>
      <c r="AA677">
        <f>HYPERLINK("https://klasma.github.io/Logging_0883/klagomål/A 72945-2021 FSC-klagomål.docx", "A 72945-2021")</f>
        <v/>
      </c>
      <c r="AB677">
        <f>HYPERLINK("https://klasma.github.io/Logging_0883/klagomålsmail/A 72945-2021 FSC-klagomål mail.docx", "A 72945-2021")</f>
        <v/>
      </c>
      <c r="AC677">
        <f>HYPERLINK("https://klasma.github.io/Logging_0883/tillsyn/A 72945-2021 tillsynsbegäran.docx", "A 72945-2021")</f>
        <v/>
      </c>
      <c r="AD677">
        <f>HYPERLINK("https://klasma.github.io/Logging_0883/tillsynsmail/A 72945-2021 tillsynsbegäran mail.docx", "A 72945-2021")</f>
        <v/>
      </c>
    </row>
    <row r="678" ht="15" customHeight="1">
      <c r="A678" t="inlineStr">
        <is>
          <t>A 60141-2025</t>
        </is>
      </c>
      <c r="B678" t="inlineStr">
        <is>
          <t>avverkningsanmälan</t>
        </is>
      </c>
      <c r="C678" t="inlineStr">
        <is>
          <t>Föryngringsavverkning</t>
        </is>
      </c>
      <c r="D678" s="1" t="n">
        <v>45994</v>
      </c>
      <c r="E678" s="1" t="n">
        <v>46323</v>
      </c>
      <c r="F678" t="inlineStr">
        <is>
          <t>KALMAR LÄN</t>
        </is>
      </c>
      <c r="G678" t="inlineStr">
        <is>
          <t>BORGHOLM</t>
        </is>
      </c>
      <c r="I678" t="n">
        <v>0.7</v>
      </c>
      <c r="J678" t="n">
        <v>1</v>
      </c>
      <c r="K678" t="n">
        <v>1</v>
      </c>
      <c r="L678" t="n">
        <v>0</v>
      </c>
      <c r="M678" t="n">
        <v>0</v>
      </c>
      <c r="N678" t="n">
        <v>0</v>
      </c>
      <c r="O678" t="n">
        <v>0</v>
      </c>
      <c r="P678" t="n">
        <v>0</v>
      </c>
      <c r="Q678" t="n">
        <v>0</v>
      </c>
      <c r="R678" t="n">
        <v>0</v>
      </c>
      <c r="S678" t="n">
        <v>2</v>
      </c>
      <c r="T678" t="n">
        <v>3</v>
      </c>
      <c r="U678" t="n">
        <v>0</v>
      </c>
      <c r="V678" s="2" t="inlineStr">
        <is>
          <t>Strävlosta
Långbensgroda</t>
        </is>
      </c>
      <c r="W678">
        <f>HYPERLINK("https://klasma.github.io/Logging_0885/artfynd/A 60141-2025 artfynd.xlsx", "A 60141-2025")</f>
        <v/>
      </c>
      <c r="X678">
        <f>HYPERLINK("https://klasma.github.io/Logging_0885/kartor/A 60141-2025 karta.png", "A 60141-2025")</f>
        <v/>
      </c>
      <c r="Y678">
        <f>HYPERLINK("https://klasma.github.io/Logging_0885/kartor_geotiff/A 60141-2025 georefererad karta.tif", "A 60141-2025")</f>
        <v/>
      </c>
      <c r="AA678">
        <f>HYPERLINK("https://klasma.github.io/Logging_0885/klagomål/A 60141-2025 FSC-klagomål.docx", "A 60141-2025")</f>
        <v/>
      </c>
      <c r="AB678">
        <f>HYPERLINK("https://klasma.github.io/Logging_0885/klagomålsmail/A 60141-2025 FSC-klagomål mail.docx", "A 60141-2025")</f>
        <v/>
      </c>
      <c r="AC678">
        <f>HYPERLINK("https://klasma.github.io/Logging_0885/tillsyn/A 60141-2025 tillsynsbegäran.docx", "A 60141-2025")</f>
        <v/>
      </c>
      <c r="AD678">
        <f>HYPERLINK("https://klasma.github.io/Logging_0885/tillsynsmail/A 60141-2025 tillsynsbegäran mail.docx", "A 60141-2025")</f>
        <v/>
      </c>
    </row>
    <row r="679" ht="15" customHeight="1">
      <c r="A679" t="inlineStr">
        <is>
          <t>A 60140-2025</t>
        </is>
      </c>
      <c r="B679" t="inlineStr">
        <is>
          <t>avverkningsanmälan</t>
        </is>
      </c>
      <c r="C679" t="inlineStr">
        <is>
          <t>Föryngringsavverkning</t>
        </is>
      </c>
      <c r="D679" s="1" t="n">
        <v>45994</v>
      </c>
      <c r="E679" s="1" t="n">
        <v>46323</v>
      </c>
      <c r="F679" t="inlineStr">
        <is>
          <t>KALMAR LÄN</t>
        </is>
      </c>
      <c r="G679" t="inlineStr">
        <is>
          <t>BORGHOLM</t>
        </is>
      </c>
      <c r="I679" t="n">
        <v>0.8</v>
      </c>
      <c r="J679" t="n">
        <v>1</v>
      </c>
      <c r="K679" t="n">
        <v>2</v>
      </c>
      <c r="L679" t="n">
        <v>0</v>
      </c>
      <c r="M679" t="n">
        <v>0</v>
      </c>
      <c r="N679" t="n">
        <v>0</v>
      </c>
      <c r="O679" t="n">
        <v>0</v>
      </c>
      <c r="P679" t="n">
        <v>0</v>
      </c>
      <c r="Q679" t="n">
        <v>0</v>
      </c>
      <c r="R679" t="n">
        <v>0</v>
      </c>
      <c r="S679" t="n">
        <v>2</v>
      </c>
      <c r="T679" t="n">
        <v>5</v>
      </c>
      <c r="U679" t="n">
        <v>0</v>
      </c>
      <c r="V679" s="2" t="inlineStr">
        <is>
          <t>Skogsknipprot
Strävlosta</t>
        </is>
      </c>
      <c r="W679">
        <f>HYPERLINK("https://klasma.github.io/Logging_0885/artfynd/A 60140-2025 artfynd.xlsx", "A 60140-2025")</f>
        <v/>
      </c>
      <c r="X679">
        <f>HYPERLINK("https://klasma.github.io/Logging_0885/kartor/A 60140-2025 karta.png", "A 60140-2025")</f>
        <v/>
      </c>
      <c r="Y679">
        <f>HYPERLINK("https://klasma.github.io/Logging_0885/kartor_geotiff/A 60140-2025 georefererad karta.tif", "A 60140-2025")</f>
        <v/>
      </c>
      <c r="AA679">
        <f>HYPERLINK("https://klasma.github.io/Logging_0885/klagomål/A 60140-2025 FSC-klagomål.docx", "A 60140-2025")</f>
        <v/>
      </c>
      <c r="AB679">
        <f>HYPERLINK("https://klasma.github.io/Logging_0885/klagomålsmail/A 60140-2025 FSC-klagomål mail.docx", "A 60140-2025")</f>
        <v/>
      </c>
      <c r="AC679">
        <f>HYPERLINK("https://klasma.github.io/Logging_0885/tillsyn/A 60140-2025 tillsynsbegäran.docx", "A 60140-2025")</f>
        <v/>
      </c>
      <c r="AD679">
        <f>HYPERLINK("https://klasma.github.io/Logging_0885/tillsynsmail/A 60140-2025 tillsynsbegäran mail.docx", "A 60140-2025")</f>
        <v/>
      </c>
    </row>
    <row r="680" ht="15" customHeight="1">
      <c r="A680" t="inlineStr">
        <is>
          <t>A 21081-2025</t>
        </is>
      </c>
      <c r="B680" t="inlineStr">
        <is>
          <t>avverkningsanmälan</t>
        </is>
      </c>
      <c r="C680" t="inlineStr">
        <is>
          <t>Föryngringsavverkning</t>
        </is>
      </c>
      <c r="D680" s="1" t="n">
        <v>45777</v>
      </c>
      <c r="E680" s="1" t="n">
        <v>46323</v>
      </c>
      <c r="F680" t="inlineStr">
        <is>
          <t>KALMAR LÄN</t>
        </is>
      </c>
      <c r="G680" t="inlineStr">
        <is>
          <t>VÄSTERVIK</t>
        </is>
      </c>
      <c r="I680" t="n">
        <v>1</v>
      </c>
      <c r="J680" t="n">
        <v>1</v>
      </c>
      <c r="K680" t="n">
        <v>0</v>
      </c>
      <c r="L680" t="n">
        <v>1</v>
      </c>
      <c r="M680" t="n">
        <v>1</v>
      </c>
      <c r="N680" t="n">
        <v>0</v>
      </c>
      <c r="O680" t="n">
        <v>0</v>
      </c>
      <c r="P680" t="n">
        <v>0</v>
      </c>
      <c r="Q680" t="n">
        <v>2</v>
      </c>
      <c r="R680" t="n">
        <v>1</v>
      </c>
      <c r="S680" t="n">
        <v>2</v>
      </c>
      <c r="T680" t="n">
        <v>2</v>
      </c>
      <c r="U680" t="n">
        <v>2</v>
      </c>
      <c r="V680" s="2" t="inlineStr">
        <is>
          <t>Knärot
Ullticka</t>
        </is>
      </c>
      <c r="W680">
        <f>HYPERLINK("https://klasma.github.io/Logging_0883/artfynd/A 21081-2025 artfynd.xlsx", "A 21081-2025")</f>
        <v/>
      </c>
      <c r="X680">
        <f>HYPERLINK("https://klasma.github.io/Logging_0883/kartor/A 21081-2025 karta.png", "A 21081-2025")</f>
        <v/>
      </c>
      <c r="Y680">
        <f>HYPERLINK("https://klasma.github.io/Logging_0883/kartor_geotiff/A 21081-2025 georefererad karta.tif", "A 21081-2025")</f>
        <v/>
      </c>
      <c r="Z680">
        <f>HYPERLINK("https://klasma.github.io/Logging_0883/knärot/A 21081-2025 karta knärot.png", "A 21081-2025")</f>
        <v/>
      </c>
      <c r="AA680">
        <f>HYPERLINK("https://klasma.github.io/Logging_0883/klagomål/A 21081-2025 FSC-klagomål.docx", "A 21081-2025")</f>
        <v/>
      </c>
      <c r="AB680">
        <f>HYPERLINK("https://klasma.github.io/Logging_0883/klagomålsmail/A 21081-2025 FSC-klagomål mail.docx", "A 21081-2025")</f>
        <v/>
      </c>
      <c r="AC680">
        <f>HYPERLINK("https://klasma.github.io/Logging_0883/tillsyn/A 21081-2025 tillsynsbegäran.docx", "A 21081-2025")</f>
        <v/>
      </c>
      <c r="AD680">
        <f>HYPERLINK("https://klasma.github.io/Logging_0883/tillsynsmail/A 21081-2025 tillsynsbegäran mail.docx", "A 21081-2025")</f>
        <v/>
      </c>
    </row>
    <row r="681" ht="15" customHeight="1">
      <c r="A681" t="inlineStr">
        <is>
          <t>A 62371-2023</t>
        </is>
      </c>
      <c r="B681" t="inlineStr">
        <is>
          <t>avverkningsanmälan</t>
        </is>
      </c>
      <c r="C681" t="inlineStr">
        <is>
          <t>Föryngringsavverkning</t>
        </is>
      </c>
      <c r="D681" s="1" t="n">
        <v>45268</v>
      </c>
      <c r="E681" s="1" t="n">
        <v>46323</v>
      </c>
      <c r="F681" t="inlineStr">
        <is>
          <t>KALMAR LÄN</t>
        </is>
      </c>
      <c r="G681" t="inlineStr">
        <is>
          <t>HÖGSBY</t>
        </is>
      </c>
      <c r="I681" t="n">
        <v>4.5</v>
      </c>
      <c r="J681" t="n">
        <v>1</v>
      </c>
      <c r="K681" t="n">
        <v>0</v>
      </c>
      <c r="L681" t="n">
        <v>1</v>
      </c>
      <c r="M681" t="n">
        <v>0</v>
      </c>
      <c r="N681" t="n">
        <v>0</v>
      </c>
      <c r="O681" t="n">
        <v>0</v>
      </c>
      <c r="P681" t="n">
        <v>0</v>
      </c>
      <c r="Q681" t="n">
        <v>1</v>
      </c>
      <c r="R681" t="n">
        <v>0</v>
      </c>
      <c r="S681" t="n">
        <v>2</v>
      </c>
      <c r="T681" t="n">
        <v>2</v>
      </c>
      <c r="U681" t="n">
        <v>0</v>
      </c>
      <c r="V681" s="2" t="inlineStr">
        <is>
          <t>Ullticka
Spillkråka</t>
        </is>
      </c>
      <c r="W681">
        <f>HYPERLINK("https://klasma.github.io/Logging_0821/artfynd/A 62371-2023 artfynd.xlsx", "A 62371-2023")</f>
        <v/>
      </c>
      <c r="X681">
        <f>HYPERLINK("https://klasma.github.io/Logging_0821/kartor/A 62371-2023 karta.png", "A 62371-2023")</f>
        <v/>
      </c>
      <c r="Y681">
        <f>HYPERLINK("https://klasma.github.io/Logging_0821/kartor_geotiff/A 62371-2023 georefererad karta.tif", "A 62371-2023")</f>
        <v/>
      </c>
      <c r="Z681">
        <f>HYPERLINK("https://klasma.github.io/Logging_0821/knärot/A 62371-2023 karta knärot.png", "A 62371-2023")</f>
        <v/>
      </c>
      <c r="AA681">
        <f>HYPERLINK("https://klasma.github.io/Logging_0821/klagomål/A 62371-2023 FSC-klagomål.docx", "A 62371-2023")</f>
        <v/>
      </c>
      <c r="AB681">
        <f>HYPERLINK("https://klasma.github.io/Logging_0821/klagomålsmail/A 62371-2023 FSC-klagomål mail.docx", "A 62371-2023")</f>
        <v/>
      </c>
      <c r="AC681">
        <f>HYPERLINK("https://klasma.github.io/Logging_0821/tillsyn/A 62371-2023 tillsynsbegäran.docx", "A 62371-2023")</f>
        <v/>
      </c>
      <c r="AD681">
        <f>HYPERLINK("https://klasma.github.io/Logging_0821/tillsynsmail/A 62371-2023 tillsynsbegäran mail.docx", "A 62371-2023")</f>
        <v/>
      </c>
      <c r="AE681">
        <f>HYPERLINK("https://klasma.github.io/Logging_0821/fåglar/A 62371-2023 prioriterade fågelarter.docx", "A 62371-2023")</f>
        <v/>
      </c>
    </row>
    <row r="682" ht="15" customHeight="1">
      <c r="A682" t="inlineStr">
        <is>
          <t>A 29411-2026</t>
        </is>
      </c>
      <c r="B682" t="inlineStr">
        <is>
          <t>avverkningsanmälan</t>
        </is>
      </c>
      <c r="C682" t="inlineStr">
        <is>
          <t>Avverkning för att bevara och utveckla /försöksver</t>
        </is>
      </c>
      <c r="D682" s="1" t="n">
        <v>46203</v>
      </c>
      <c r="E682" s="1" t="n">
        <v>46323</v>
      </c>
      <c r="F682" t="inlineStr">
        <is>
          <t>KALMAR LÄN</t>
        </is>
      </c>
      <c r="G682" t="inlineStr">
        <is>
          <t>BORGHOLM</t>
        </is>
      </c>
      <c r="H682" t="inlineStr">
        <is>
          <t>Sveaskog</t>
        </is>
      </c>
      <c r="I682" t="n">
        <v>0.6</v>
      </c>
      <c r="J682" t="n">
        <v>1</v>
      </c>
      <c r="K682" t="n">
        <v>1</v>
      </c>
      <c r="L682" t="n">
        <v>0</v>
      </c>
      <c r="M682" t="n">
        <v>1</v>
      </c>
      <c r="N682" t="n">
        <v>0</v>
      </c>
      <c r="O682" t="n">
        <v>0</v>
      </c>
      <c r="P682" t="n">
        <v>0</v>
      </c>
      <c r="Q682" t="n">
        <v>1</v>
      </c>
      <c r="R682" t="n">
        <v>1</v>
      </c>
      <c r="S682" t="n">
        <v>2</v>
      </c>
      <c r="T682" t="n">
        <v>2</v>
      </c>
      <c r="U682" t="n">
        <v>1</v>
      </c>
      <c r="V682" s="2" t="inlineStr">
        <is>
          <t>Bredbrämad bastardsvärmare
Ekoxe</t>
        </is>
      </c>
      <c r="W682">
        <f>HYPERLINK("https://klasma.github.io/Logging_0885/artfynd/A 29411-2026 artfynd.xlsx", "A 29411-2026")</f>
        <v/>
      </c>
      <c r="X682">
        <f>HYPERLINK("https://klasma.github.io/Logging_0885/kartor/A 29411-2026 karta.png", "A 29411-2026")</f>
        <v/>
      </c>
      <c r="Y682">
        <f>HYPERLINK("https://klasma.github.io/Logging_0885/kartor_geotiff/A 29411-2026 georefererad karta.tif", "A 29411-2026")</f>
        <v/>
      </c>
      <c r="AA682">
        <f>HYPERLINK("https://klasma.github.io/Logging_0885/klagomål/A 29411-2026 FSC-klagomål.docx", "A 29411-2026")</f>
        <v/>
      </c>
      <c r="AB682">
        <f>HYPERLINK("https://klasma.github.io/Logging_0885/klagomålsmail/A 29411-2026 FSC-klagomål mail.docx", "A 29411-2026")</f>
        <v/>
      </c>
      <c r="AC682">
        <f>HYPERLINK("https://klasma.github.io/Logging_0885/tillsyn/A 29411-2026 tillsynsbegäran.docx", "A 29411-2026")</f>
        <v/>
      </c>
      <c r="AD682">
        <f>HYPERLINK("https://klasma.github.io/Logging_0885/tillsynsmail/A 29411-2026 tillsynsbegäran mail.docx", "A 29411-2026")</f>
        <v/>
      </c>
    </row>
    <row r="683" ht="15" customHeight="1">
      <c r="A683" t="inlineStr">
        <is>
          <t>A 44916-2024</t>
        </is>
      </c>
      <c r="B683" t="inlineStr">
        <is>
          <t>avverkningsanmälan</t>
        </is>
      </c>
      <c r="C683" t="inlineStr">
        <is>
          <t>Föryngringsavverkning</t>
        </is>
      </c>
      <c r="D683" s="1" t="n">
        <v>45575</v>
      </c>
      <c r="E683" s="1" t="n">
        <v>46323</v>
      </c>
      <c r="F683" t="inlineStr">
        <is>
          <t>KALMAR LÄN</t>
        </is>
      </c>
      <c r="G683" t="inlineStr">
        <is>
          <t>KALMAR</t>
        </is>
      </c>
      <c r="I683" t="n">
        <v>2.4</v>
      </c>
      <c r="J683" t="n">
        <v>1</v>
      </c>
      <c r="K683" t="n">
        <v>1</v>
      </c>
      <c r="L683" t="n">
        <v>0</v>
      </c>
      <c r="M683" t="n">
        <v>0</v>
      </c>
      <c r="N683" t="n">
        <v>1</v>
      </c>
      <c r="O683" t="n">
        <v>0</v>
      </c>
      <c r="P683" t="n">
        <v>0</v>
      </c>
      <c r="Q683" t="n">
        <v>1</v>
      </c>
      <c r="R683" t="n">
        <v>1</v>
      </c>
      <c r="S683" t="n">
        <v>2</v>
      </c>
      <c r="T683" t="n">
        <v>2</v>
      </c>
      <c r="U683" t="n">
        <v>1</v>
      </c>
      <c r="V683" s="2" t="inlineStr">
        <is>
          <t>Mosippa
Blomkålssvamp</t>
        </is>
      </c>
      <c r="W683">
        <f>HYPERLINK("https://klasma.github.io/Logging_0880/artfynd/A 44916-2024 artfynd.xlsx", "A 44916-2024")</f>
        <v/>
      </c>
      <c r="X683">
        <f>HYPERLINK("https://klasma.github.io/Logging_0880/kartor/A 44916-2024 karta.png", "A 44916-2024")</f>
        <v/>
      </c>
      <c r="Y683">
        <f>HYPERLINK("https://klasma.github.io/Logging_0880/kartor_geotiff/A 44916-2024 georefererad karta.tif", "A 44916-2024")</f>
        <v/>
      </c>
      <c r="AA683">
        <f>HYPERLINK("https://klasma.github.io/Logging_0880/klagomål/A 44916-2024 FSC-klagomål.docx", "A 44916-2024")</f>
        <v/>
      </c>
      <c r="AB683">
        <f>HYPERLINK("https://klasma.github.io/Logging_0880/klagomålsmail/A 44916-2024 FSC-klagomål mail.docx", "A 44916-2024")</f>
        <v/>
      </c>
      <c r="AC683">
        <f>HYPERLINK("https://klasma.github.io/Logging_0880/tillsyn/A 44916-2024 tillsynsbegäran.docx", "A 44916-2024")</f>
        <v/>
      </c>
      <c r="AD683">
        <f>HYPERLINK("https://klasma.github.io/Logging_0880/tillsynsmail/A 44916-2024 tillsynsbegäran mail.docx", "A 44916-2024")</f>
        <v/>
      </c>
    </row>
    <row r="684" ht="15" customHeight="1">
      <c r="A684" t="inlineStr">
        <is>
          <t>A 29986-2026</t>
        </is>
      </c>
      <c r="B684" t="inlineStr">
        <is>
          <t>avverkningsanmälan</t>
        </is>
      </c>
      <c r="C684" t="inlineStr">
        <is>
          <t>Föryngringsavverkning</t>
        </is>
      </c>
      <c r="D684" s="1" t="n">
        <v>46205</v>
      </c>
      <c r="E684" s="1" t="n">
        <v>46323</v>
      </c>
      <c r="F684" t="inlineStr">
        <is>
          <t>KALMAR LÄN</t>
        </is>
      </c>
      <c r="G684" t="inlineStr">
        <is>
          <t>VIMMERBY</t>
        </is>
      </c>
      <c r="I684" t="n">
        <v>0.5</v>
      </c>
      <c r="J684" t="n">
        <v>0</v>
      </c>
      <c r="K684" t="n">
        <v>0</v>
      </c>
      <c r="L684" t="n">
        <v>1</v>
      </c>
      <c r="M684" t="n">
        <v>0</v>
      </c>
      <c r="N684" t="n">
        <v>1</v>
      </c>
      <c r="O684" t="n">
        <v>0</v>
      </c>
      <c r="P684" t="n">
        <v>0</v>
      </c>
      <c r="Q684" t="n">
        <v>2</v>
      </c>
      <c r="R684" t="n">
        <v>1</v>
      </c>
      <c r="S684" t="n">
        <v>2</v>
      </c>
      <c r="T684" t="n">
        <v>2</v>
      </c>
      <c r="U684" t="n">
        <v>0</v>
      </c>
      <c r="V684" s="2" t="inlineStr">
        <is>
          <t>Ask
Gullpudra</t>
        </is>
      </c>
      <c r="W684">
        <f>HYPERLINK("https://klasma.github.io/Logging_0884/artfynd/A 29986-2026 artfynd.xlsx", "A 29986-2026")</f>
        <v/>
      </c>
      <c r="X684">
        <f>HYPERLINK("https://klasma.github.io/Logging_0884/kartor/A 29986-2026 karta.png", "A 29986-2026")</f>
        <v/>
      </c>
      <c r="Y684">
        <f>HYPERLINK("https://klasma.github.io/Logging_0884/kartor_geotiff/A 29986-2026 georefererad karta.tif", "A 29986-2026")</f>
        <v/>
      </c>
      <c r="AA684">
        <f>HYPERLINK("https://klasma.github.io/Logging_0884/klagomål/A 29986-2026 FSC-klagomål.docx", "A 29986-2026")</f>
        <v/>
      </c>
      <c r="AB684">
        <f>HYPERLINK("https://klasma.github.io/Logging_0884/klagomålsmail/A 29986-2026 FSC-klagomål mail.docx", "A 29986-2026")</f>
        <v/>
      </c>
      <c r="AC684">
        <f>HYPERLINK("https://klasma.github.io/Logging_0884/tillsyn/A 29986-2026 tillsynsbegäran.docx", "A 29986-2026")</f>
        <v/>
      </c>
      <c r="AD684">
        <f>HYPERLINK("https://klasma.github.io/Logging_0884/tillsynsmail/A 29986-2026 tillsynsbegäran mail.docx", "A 29986-2026")</f>
        <v/>
      </c>
    </row>
    <row r="685" ht="15" customHeight="1">
      <c r="A685" t="inlineStr">
        <is>
          <t>A 44001-2023</t>
        </is>
      </c>
      <c r="B685" t="inlineStr">
        <is>
          <t>avverkningsanmälan</t>
        </is>
      </c>
      <c r="C685" t="inlineStr">
        <is>
          <t>Föryngringsavverkning</t>
        </is>
      </c>
      <c r="D685" s="1" t="n">
        <v>45188</v>
      </c>
      <c r="E685" s="1" t="n">
        <v>46323</v>
      </c>
      <c r="F685" t="inlineStr">
        <is>
          <t>KALMAR LÄN</t>
        </is>
      </c>
      <c r="G685" t="inlineStr">
        <is>
          <t>MÖNSTERÅS</t>
        </is>
      </c>
      <c r="I685" t="n">
        <v>1.9</v>
      </c>
      <c r="J685" t="n">
        <v>1</v>
      </c>
      <c r="K685" t="n">
        <v>1</v>
      </c>
      <c r="L685" t="n">
        <v>0</v>
      </c>
      <c r="M685" t="n">
        <v>0</v>
      </c>
      <c r="N685" t="n">
        <v>0</v>
      </c>
      <c r="O685" t="n">
        <v>0</v>
      </c>
      <c r="P685" t="n">
        <v>0</v>
      </c>
      <c r="Q685" t="n">
        <v>0</v>
      </c>
      <c r="R685" t="n">
        <v>0</v>
      </c>
      <c r="S685" t="n">
        <v>2</v>
      </c>
      <c r="T685" t="n">
        <v>2</v>
      </c>
      <c r="U685" t="n">
        <v>2</v>
      </c>
      <c r="V685" s="2" t="inlineStr">
        <is>
          <t>Grönpyrola
Kungsfågel</t>
        </is>
      </c>
      <c r="W685">
        <f>HYPERLINK("https://klasma.github.io/Logging_0861/artfynd/A 44001-2023 artfynd.xlsx", "A 44001-2023")</f>
        <v/>
      </c>
      <c r="X685">
        <f>HYPERLINK("https://klasma.github.io/Logging_0861/kartor/A 44001-2023 karta.png", "A 44001-2023")</f>
        <v/>
      </c>
      <c r="Y685">
        <f>HYPERLINK("https://klasma.github.io/Logging_0861/kartor_geotiff/A 44001-2023 georefererad karta.tif", "A 44001-2023")</f>
        <v/>
      </c>
      <c r="AA685">
        <f>HYPERLINK("https://klasma.github.io/Logging_0861/klagomål/A 44001-2023 FSC-klagomål.docx", "A 44001-2023")</f>
        <v/>
      </c>
      <c r="AB685">
        <f>HYPERLINK("https://klasma.github.io/Logging_0861/klagomålsmail/A 44001-2023 FSC-klagomål mail.docx", "A 44001-2023")</f>
        <v/>
      </c>
      <c r="AC685">
        <f>HYPERLINK("https://klasma.github.io/Logging_0861/tillsyn/A 44001-2023 tillsynsbegäran.docx", "A 44001-2023")</f>
        <v/>
      </c>
      <c r="AD685">
        <f>HYPERLINK("https://klasma.github.io/Logging_0861/tillsynsmail/A 44001-2023 tillsynsbegäran mail.docx", "A 44001-2023")</f>
        <v/>
      </c>
    </row>
    <row r="686" ht="15" customHeight="1">
      <c r="A686" t="inlineStr">
        <is>
          <t>A 11849-2024</t>
        </is>
      </c>
      <c r="B686" t="inlineStr">
        <is>
          <t>avverkningsanmälan</t>
        </is>
      </c>
      <c r="C686" t="inlineStr">
        <is>
          <t>Föryngringsavverkning</t>
        </is>
      </c>
      <c r="D686" s="1" t="n">
        <v>45376</v>
      </c>
      <c r="E686" s="1" t="n">
        <v>46323</v>
      </c>
      <c r="F686" t="inlineStr">
        <is>
          <t>KALMAR LÄN</t>
        </is>
      </c>
      <c r="G686" t="inlineStr">
        <is>
          <t>VÄSTERVIK</t>
        </is>
      </c>
      <c r="H686" t="inlineStr">
        <is>
          <t>Sveaskog</t>
        </is>
      </c>
      <c r="I686" t="n">
        <v>5.3</v>
      </c>
      <c r="J686" t="n">
        <v>2</v>
      </c>
      <c r="K686" t="n">
        <v>0</v>
      </c>
      <c r="L686" t="n">
        <v>0</v>
      </c>
      <c r="M686" t="n">
        <v>0</v>
      </c>
      <c r="N686" t="n">
        <v>0</v>
      </c>
      <c r="O686" t="n">
        <v>0</v>
      </c>
      <c r="P686" t="n">
        <v>0</v>
      </c>
      <c r="Q686" t="n">
        <v>0</v>
      </c>
      <c r="R686" t="n">
        <v>0</v>
      </c>
      <c r="S686" t="n">
        <v>2</v>
      </c>
      <c r="T686" t="n">
        <v>2</v>
      </c>
      <c r="U686" t="n">
        <v>2</v>
      </c>
      <c r="V686" s="2" t="inlineStr">
        <is>
          <t>Mattlummer
Revlummer</t>
        </is>
      </c>
      <c r="W686">
        <f>HYPERLINK("https://klasma.github.io/Logging_0883/artfynd/A 11849-2024 artfynd.xlsx", "A 11849-2024")</f>
        <v/>
      </c>
      <c r="X686">
        <f>HYPERLINK("https://klasma.github.io/Logging_0883/kartor/A 11849-2024 karta.png", "A 11849-2024")</f>
        <v/>
      </c>
      <c r="Y686">
        <f>HYPERLINK("https://klasma.github.io/Logging_0883/kartor_geotiff/A 11849-2024 georefererad karta.tif", "A 11849-2024")</f>
        <v/>
      </c>
      <c r="AA686">
        <f>HYPERLINK("https://klasma.github.io/Logging_0883/klagomål/A 11849-2024 FSC-klagomål.docx", "A 11849-2024")</f>
        <v/>
      </c>
      <c r="AB686">
        <f>HYPERLINK("https://klasma.github.io/Logging_0883/klagomålsmail/A 11849-2024 FSC-klagomål mail.docx", "A 11849-2024")</f>
        <v/>
      </c>
      <c r="AC686">
        <f>HYPERLINK("https://klasma.github.io/Logging_0883/tillsyn/A 11849-2024 tillsynsbegäran.docx", "A 11849-2024")</f>
        <v/>
      </c>
      <c r="AD686">
        <f>HYPERLINK("https://klasma.github.io/Logging_0883/tillsynsmail/A 11849-2024 tillsynsbegäran mail.docx", "A 11849-2024")</f>
        <v/>
      </c>
    </row>
    <row r="687" ht="15" customHeight="1">
      <c r="A687" t="inlineStr">
        <is>
          <t>A 30458-2026</t>
        </is>
      </c>
      <c r="B687" t="inlineStr">
        <is>
          <t>avverkningsanmälan</t>
        </is>
      </c>
      <c r="C687" t="inlineStr">
        <is>
          <t>Föryngringsavverkning</t>
        </is>
      </c>
      <c r="D687" s="1" t="n">
        <v>46209</v>
      </c>
      <c r="E687" s="1" t="n">
        <v>46323</v>
      </c>
      <c r="F687" t="inlineStr">
        <is>
          <t>KALMAR LÄN</t>
        </is>
      </c>
      <c r="G687" t="inlineStr">
        <is>
          <t>VÄSTERVIK</t>
        </is>
      </c>
      <c r="I687" t="n">
        <v>4.6</v>
      </c>
      <c r="J687" t="n">
        <v>0</v>
      </c>
      <c r="K687" t="n">
        <v>1</v>
      </c>
      <c r="L687" t="n">
        <v>0</v>
      </c>
      <c r="M687" t="n">
        <v>1</v>
      </c>
      <c r="N687" t="n">
        <v>0</v>
      </c>
      <c r="O687" t="n">
        <v>0</v>
      </c>
      <c r="P687" t="n">
        <v>0</v>
      </c>
      <c r="Q687" t="n">
        <v>1</v>
      </c>
      <c r="R687" t="n">
        <v>1</v>
      </c>
      <c r="S687" t="n">
        <v>2</v>
      </c>
      <c r="T687" t="n">
        <v>4</v>
      </c>
      <c r="U687" t="n">
        <v>1</v>
      </c>
      <c r="V687" s="2" t="inlineStr">
        <is>
          <t>Ljungsnärja
Blåmossa</t>
        </is>
      </c>
      <c r="W687">
        <f>HYPERLINK("https://klasma.github.io/Logging_0883/artfynd/A 30458-2026 artfynd.xlsx", "A 30458-2026")</f>
        <v/>
      </c>
      <c r="X687">
        <f>HYPERLINK("https://klasma.github.io/Logging_0883/kartor/A 30458-2026 karta.png", "A 30458-2026")</f>
        <v/>
      </c>
      <c r="Y687">
        <f>HYPERLINK("https://klasma.github.io/Logging_0883/kartor_geotiff/A 30458-2026 georefererad karta.tif", "A 30458-2026")</f>
        <v/>
      </c>
      <c r="AA687">
        <f>HYPERLINK("https://klasma.github.io/Logging_0883/klagomål/A 30458-2026 FSC-klagomål.docx", "A 30458-2026")</f>
        <v/>
      </c>
      <c r="AB687">
        <f>HYPERLINK("https://klasma.github.io/Logging_0883/klagomålsmail/A 30458-2026 FSC-klagomål mail.docx", "A 30458-2026")</f>
        <v/>
      </c>
      <c r="AC687">
        <f>HYPERLINK("https://klasma.github.io/Logging_0883/tillsyn/A 30458-2026 tillsynsbegäran.docx", "A 30458-2026")</f>
        <v/>
      </c>
      <c r="AD687">
        <f>HYPERLINK("https://klasma.github.io/Logging_0883/tillsynsmail/A 30458-2026 tillsynsbegäran mail.docx", "A 30458-2026")</f>
        <v/>
      </c>
    </row>
    <row r="688" ht="15" customHeight="1">
      <c r="A688" t="inlineStr">
        <is>
          <t>A 22825-2023</t>
        </is>
      </c>
      <c r="B688" t="inlineStr">
        <is>
          <t>avverkningsanmälan</t>
        </is>
      </c>
      <c r="C688" t="inlineStr">
        <is>
          <t>Föryngringsavverkning</t>
        </is>
      </c>
      <c r="D688" s="1" t="n">
        <v>45072</v>
      </c>
      <c r="E688" s="1" t="n">
        <v>46323</v>
      </c>
      <c r="F688" t="inlineStr">
        <is>
          <t>KALMAR LÄN</t>
        </is>
      </c>
      <c r="G688" t="inlineStr">
        <is>
          <t>VIMMERBY</t>
        </is>
      </c>
      <c r="I688" t="n">
        <v>14.1</v>
      </c>
      <c r="J688" t="n">
        <v>0</v>
      </c>
      <c r="K688" t="n">
        <v>0</v>
      </c>
      <c r="L688" t="n">
        <v>2</v>
      </c>
      <c r="M688" t="n">
        <v>0</v>
      </c>
      <c r="N688" t="n">
        <v>0</v>
      </c>
      <c r="O688" t="n">
        <v>0</v>
      </c>
      <c r="P688" t="n">
        <v>0</v>
      </c>
      <c r="Q688" t="n">
        <v>2</v>
      </c>
      <c r="R688" t="n">
        <v>0</v>
      </c>
      <c r="S688" t="n">
        <v>2</v>
      </c>
      <c r="T688" t="n">
        <v>2</v>
      </c>
      <c r="U688" t="n">
        <v>2</v>
      </c>
      <c r="V688" s="2" t="inlineStr">
        <is>
          <t>Klasefibbla
Sommarfibbla</t>
        </is>
      </c>
      <c r="W688">
        <f>HYPERLINK("https://klasma.github.io/Logging_0884/artfynd/A 22825-2023 artfynd.xlsx", "A 22825-2023")</f>
        <v/>
      </c>
      <c r="X688">
        <f>HYPERLINK("https://klasma.github.io/Logging_0884/kartor/A 22825-2023 karta.png", "A 22825-2023")</f>
        <v/>
      </c>
      <c r="Y688">
        <f>HYPERLINK("https://klasma.github.io/Logging_0884/kartor_geotiff/A 22825-2023 georefererad karta.tif", "A 22825-2023")</f>
        <v/>
      </c>
      <c r="AA688">
        <f>HYPERLINK("https://klasma.github.io/Logging_0884/klagomål/A 22825-2023 FSC-klagomål.docx", "A 22825-2023")</f>
        <v/>
      </c>
      <c r="AB688">
        <f>HYPERLINK("https://klasma.github.io/Logging_0884/klagomålsmail/A 22825-2023 FSC-klagomål mail.docx", "A 22825-2023")</f>
        <v/>
      </c>
      <c r="AC688">
        <f>HYPERLINK("https://klasma.github.io/Logging_0884/tillsyn/A 22825-2023 tillsynsbegäran.docx", "A 22825-2023")</f>
        <v/>
      </c>
      <c r="AD688">
        <f>HYPERLINK("https://klasma.github.io/Logging_0884/tillsynsmail/A 22825-2023 tillsynsbegäran mail.docx", "A 22825-2023")</f>
        <v/>
      </c>
    </row>
    <row r="689" ht="15" customHeight="1">
      <c r="A689" t="inlineStr">
        <is>
          <t>A 5667-2026</t>
        </is>
      </c>
      <c r="B689" t="inlineStr">
        <is>
          <t>avverkningsanmälan</t>
        </is>
      </c>
      <c r="C689" t="inlineStr">
        <is>
          <t>Föryngringsavverkning</t>
        </is>
      </c>
      <c r="D689" s="1" t="n">
        <v>46051</v>
      </c>
      <c r="E689" s="1" t="n">
        <v>46323</v>
      </c>
      <c r="F689" t="inlineStr">
        <is>
          <t>KALMAR LÄN</t>
        </is>
      </c>
      <c r="G689" t="inlineStr">
        <is>
          <t>HÖGSBY</t>
        </is>
      </c>
      <c r="H689" t="inlineStr">
        <is>
          <t>Sveaskog</t>
        </is>
      </c>
      <c r="I689" t="n">
        <v>19.8</v>
      </c>
      <c r="J689" t="n">
        <v>0</v>
      </c>
      <c r="K689" t="n">
        <v>0</v>
      </c>
      <c r="L689" t="n">
        <v>0</v>
      </c>
      <c r="M689" t="n">
        <v>2</v>
      </c>
      <c r="N689" t="n">
        <v>0</v>
      </c>
      <c r="O689" t="n">
        <v>0</v>
      </c>
      <c r="P689" t="n">
        <v>0</v>
      </c>
      <c r="Q689" t="n">
        <v>2</v>
      </c>
      <c r="R689" t="n">
        <v>2</v>
      </c>
      <c r="S689" t="n">
        <v>2</v>
      </c>
      <c r="T689" t="n">
        <v>2</v>
      </c>
      <c r="U689" t="n">
        <v>0</v>
      </c>
      <c r="V689" s="2" t="inlineStr">
        <is>
          <t>Slåttergubbe
Slåttergubbemal</t>
        </is>
      </c>
      <c r="W689">
        <f>HYPERLINK("https://klasma.github.io/Logging_0821/artfynd/A 5667-2026 artfynd.xlsx", "A 5667-2026")</f>
        <v/>
      </c>
      <c r="X689">
        <f>HYPERLINK("https://klasma.github.io/Logging_0821/kartor/A 5667-2026 karta.png", "A 5667-2026")</f>
        <v/>
      </c>
      <c r="Y689">
        <f>HYPERLINK("https://klasma.github.io/Logging_0821/kartor_geotiff/A 5667-2026 georefererad karta.tif", "A 5667-2026")</f>
        <v/>
      </c>
      <c r="AA689">
        <f>HYPERLINK("https://klasma.github.io/Logging_0821/klagomål/A 5667-2026 FSC-klagomål.docx", "A 5667-2026")</f>
        <v/>
      </c>
      <c r="AB689">
        <f>HYPERLINK("https://klasma.github.io/Logging_0821/klagomålsmail/A 5667-2026 FSC-klagomål mail.docx", "A 5667-2026")</f>
        <v/>
      </c>
      <c r="AC689">
        <f>HYPERLINK("https://klasma.github.io/Logging_0821/tillsyn/A 5667-2026 tillsynsbegäran.docx", "A 5667-2026")</f>
        <v/>
      </c>
      <c r="AD689">
        <f>HYPERLINK("https://klasma.github.io/Logging_0821/tillsynsmail/A 5667-2026 tillsynsbegäran mail.docx", "A 5667-2026")</f>
        <v/>
      </c>
    </row>
    <row r="690" ht="15" customHeight="1">
      <c r="A690" t="inlineStr">
        <is>
          <t>A 14041-2026</t>
        </is>
      </c>
      <c r="B690" t="inlineStr">
        <is>
          <t>avverkningsanmälan</t>
        </is>
      </c>
      <c r="C690" t="inlineStr">
        <is>
          <t>Föryngringsavverkning</t>
        </is>
      </c>
      <c r="D690" s="1" t="n">
        <v>46098</v>
      </c>
      <c r="E690" s="1" t="n">
        <v>46323</v>
      </c>
      <c r="F690" t="inlineStr">
        <is>
          <t>KALMAR LÄN</t>
        </is>
      </c>
      <c r="G690" t="inlineStr">
        <is>
          <t>VÄSTERVIK</t>
        </is>
      </c>
      <c r="H690" t="inlineStr">
        <is>
          <t>Holmen skog AB</t>
        </is>
      </c>
      <c r="I690" t="n">
        <v>7.8</v>
      </c>
      <c r="J690" t="n">
        <v>2</v>
      </c>
      <c r="K690" t="n">
        <v>0</v>
      </c>
      <c r="L690" t="n">
        <v>2</v>
      </c>
      <c r="M690" t="n">
        <v>0</v>
      </c>
      <c r="N690" t="n">
        <v>0</v>
      </c>
      <c r="O690" t="n">
        <v>0</v>
      </c>
      <c r="P690" t="n">
        <v>0</v>
      </c>
      <c r="Q690" t="n">
        <v>2</v>
      </c>
      <c r="R690" t="n">
        <v>0</v>
      </c>
      <c r="S690" t="n">
        <v>2</v>
      </c>
      <c r="T690" t="n">
        <v>4</v>
      </c>
      <c r="U690" t="n">
        <v>4</v>
      </c>
      <c r="V690" s="2" t="inlineStr">
        <is>
          <t>Duvhök
Talltita</t>
        </is>
      </c>
      <c r="W690">
        <f>HYPERLINK("https://klasma.github.io/Logging_0883/artfynd/A 14041-2026 artfynd.xlsx", "A 14041-2026")</f>
        <v/>
      </c>
      <c r="X690">
        <f>HYPERLINK("https://klasma.github.io/Logging_0883/kartor/A 14041-2026 karta.png", "A 14041-2026")</f>
        <v/>
      </c>
      <c r="Y690">
        <f>HYPERLINK("https://klasma.github.io/Logging_0883/kartor_geotiff/A 14041-2026 georefererad karta.tif", "A 14041-2026")</f>
        <v/>
      </c>
      <c r="AA690">
        <f>HYPERLINK("https://klasma.github.io/Logging_0883/klagomål/A 14041-2026 FSC-klagomål.docx", "A 14041-2026")</f>
        <v/>
      </c>
      <c r="AB690">
        <f>HYPERLINK("https://klasma.github.io/Logging_0883/klagomålsmail/A 14041-2026 FSC-klagomål mail.docx", "A 14041-2026")</f>
        <v/>
      </c>
      <c r="AC690">
        <f>HYPERLINK("https://klasma.github.io/Logging_0883/tillsyn/A 14041-2026 tillsynsbegäran.docx", "A 14041-2026")</f>
        <v/>
      </c>
      <c r="AD690">
        <f>HYPERLINK("https://klasma.github.io/Logging_0883/tillsynsmail/A 14041-2026 tillsynsbegäran mail.docx", "A 14041-2026")</f>
        <v/>
      </c>
      <c r="AE690">
        <f>HYPERLINK("https://klasma.github.io/Logging_0883/fåglar/A 14041-2026 prioriterade fågelarter.docx", "A 14041-2026")</f>
        <v/>
      </c>
    </row>
    <row r="691" ht="15" customHeight="1">
      <c r="A691" t="inlineStr">
        <is>
          <t>A 54865-2025</t>
        </is>
      </c>
      <c r="B691" t="inlineStr">
        <is>
          <t>avverkningsanmälan</t>
        </is>
      </c>
      <c r="C691" t="inlineStr">
        <is>
          <t>Föryngringsavverkning</t>
        </is>
      </c>
      <c r="D691" s="1" t="n">
        <v>45966</v>
      </c>
      <c r="E691" s="1" t="n">
        <v>46323</v>
      </c>
      <c r="F691" t="inlineStr">
        <is>
          <t>KALMAR LÄN</t>
        </is>
      </c>
      <c r="G691" t="inlineStr">
        <is>
          <t>KALMAR</t>
        </is>
      </c>
      <c r="I691" t="n">
        <v>1.8</v>
      </c>
      <c r="J691" t="n">
        <v>0</v>
      </c>
      <c r="K691" t="n">
        <v>1</v>
      </c>
      <c r="L691" t="n">
        <v>1</v>
      </c>
      <c r="M691" t="n">
        <v>0</v>
      </c>
      <c r="N691" t="n">
        <v>0</v>
      </c>
      <c r="O691" t="n">
        <v>0</v>
      </c>
      <c r="P691" t="n">
        <v>0</v>
      </c>
      <c r="Q691" t="n">
        <v>1</v>
      </c>
      <c r="R691" t="n">
        <v>0</v>
      </c>
      <c r="S691" t="n">
        <v>2</v>
      </c>
      <c r="T691" t="n">
        <v>2</v>
      </c>
      <c r="U691" t="n">
        <v>0</v>
      </c>
      <c r="V691" s="2" t="inlineStr">
        <is>
          <t>Cinnoberspindling
Västlig hakmossa</t>
        </is>
      </c>
      <c r="W691">
        <f>HYPERLINK("https://klasma.github.io/Logging_0880/artfynd/A 54865-2025 artfynd.xlsx", "A 54865-2025")</f>
        <v/>
      </c>
      <c r="X691">
        <f>HYPERLINK("https://klasma.github.io/Logging_0880/kartor/A 54865-2025 karta.png", "A 54865-2025")</f>
        <v/>
      </c>
      <c r="Y691">
        <f>HYPERLINK("https://klasma.github.io/Logging_0880/kartor_geotiff/A 54865-2025 georefererad karta.tif", "A 54865-2025")</f>
        <v/>
      </c>
      <c r="AA691">
        <f>HYPERLINK("https://klasma.github.io/Logging_0880/klagomål/A 54865-2025 FSC-klagomål.docx", "A 54865-2025")</f>
        <v/>
      </c>
      <c r="AB691">
        <f>HYPERLINK("https://klasma.github.io/Logging_0880/klagomålsmail/A 54865-2025 FSC-klagomål mail.docx", "A 54865-2025")</f>
        <v/>
      </c>
      <c r="AC691">
        <f>HYPERLINK("https://klasma.github.io/Logging_0880/tillsyn/A 54865-2025 tillsynsbegäran.docx", "A 54865-2025")</f>
        <v/>
      </c>
      <c r="AD691">
        <f>HYPERLINK("https://klasma.github.io/Logging_0880/tillsynsmail/A 54865-2025 tillsynsbegäran mail.docx", "A 54865-2025")</f>
        <v/>
      </c>
    </row>
    <row r="692" ht="15" customHeight="1">
      <c r="A692" t="inlineStr">
        <is>
          <t>A 25145-2022</t>
        </is>
      </c>
      <c r="B692" t="inlineStr">
        <is>
          <t>avverkningsanmälan</t>
        </is>
      </c>
      <c r="C692" t="inlineStr">
        <is>
          <t>Föryngringsavverkning</t>
        </is>
      </c>
      <c r="D692" s="1" t="n">
        <v>44729</v>
      </c>
      <c r="E692" s="1" t="n">
        <v>46323</v>
      </c>
      <c r="F692" t="inlineStr">
        <is>
          <t>KALMAR LÄN</t>
        </is>
      </c>
      <c r="G692" t="inlineStr">
        <is>
          <t>VÄSTERVIK</t>
        </is>
      </c>
      <c r="I692" t="n">
        <v>1.3</v>
      </c>
      <c r="J692" t="n">
        <v>1</v>
      </c>
      <c r="K692" t="n">
        <v>0</v>
      </c>
      <c r="L692" t="n">
        <v>1</v>
      </c>
      <c r="M692" t="n">
        <v>1</v>
      </c>
      <c r="N692" t="n">
        <v>0</v>
      </c>
      <c r="O692" t="n">
        <v>0</v>
      </c>
      <c r="P692" t="n">
        <v>0</v>
      </c>
      <c r="Q692" t="n">
        <v>2</v>
      </c>
      <c r="R692" t="n">
        <v>1</v>
      </c>
      <c r="S692" t="n">
        <v>2</v>
      </c>
      <c r="T692" t="n">
        <v>10</v>
      </c>
      <c r="U692" t="n">
        <v>10</v>
      </c>
      <c r="V692" s="2" t="inlineStr">
        <is>
          <t>Knärot
Tallticka</t>
        </is>
      </c>
      <c r="W692">
        <f>HYPERLINK("https://klasma.github.io/Logging_0883/artfynd/A 25145-2022 artfynd.xlsx", "A 25145-2022")</f>
        <v/>
      </c>
      <c r="X692">
        <f>HYPERLINK("https://klasma.github.io/Logging_0883/kartor/A 25145-2022 karta.png", "A 25145-2022")</f>
        <v/>
      </c>
      <c r="Y692">
        <f>HYPERLINK("https://klasma.github.io/Logging_0883/kartor_geotiff/A 25145-2022 georefererad karta.tif", "A 25145-2022")</f>
        <v/>
      </c>
      <c r="Z692">
        <f>HYPERLINK("https://klasma.github.io/Logging_0883/knärot/A 25145-2022 karta knärot.png", "A 25145-2022")</f>
        <v/>
      </c>
      <c r="AA692">
        <f>HYPERLINK("https://klasma.github.io/Logging_0883/klagomål/A 25145-2022 FSC-klagomål.docx", "A 25145-2022")</f>
        <v/>
      </c>
      <c r="AB692">
        <f>HYPERLINK("https://klasma.github.io/Logging_0883/klagomålsmail/A 25145-2022 FSC-klagomål mail.docx", "A 25145-2022")</f>
        <v/>
      </c>
      <c r="AC692">
        <f>HYPERLINK("https://klasma.github.io/Logging_0883/tillsyn/A 25145-2022 tillsynsbegäran.docx", "A 25145-2022")</f>
        <v/>
      </c>
      <c r="AD692">
        <f>HYPERLINK("https://klasma.github.io/Logging_0883/tillsynsmail/A 25145-2022 tillsynsbegäran mail.docx", "A 25145-2022")</f>
        <v/>
      </c>
    </row>
    <row r="693" ht="15" customHeight="1">
      <c r="A693" t="inlineStr">
        <is>
          <t>A 21908-2022</t>
        </is>
      </c>
      <c r="B693" t="inlineStr">
        <is>
          <t>avverkningsanmälan</t>
        </is>
      </c>
      <c r="C693" t="inlineStr">
        <is>
          <t>Föryngringsavverkning</t>
        </is>
      </c>
      <c r="D693" s="1" t="n">
        <v>44711</v>
      </c>
      <c r="E693" s="1" t="n">
        <v>46323</v>
      </c>
      <c r="F693" t="inlineStr">
        <is>
          <t>KALMAR LÄN</t>
        </is>
      </c>
      <c r="G693" t="inlineStr">
        <is>
          <t>BORGHOLM</t>
        </is>
      </c>
      <c r="I693" t="n">
        <v>4.7</v>
      </c>
      <c r="J693" t="n">
        <v>1</v>
      </c>
      <c r="K693" t="n">
        <v>2</v>
      </c>
      <c r="L693" t="n">
        <v>0</v>
      </c>
      <c r="M693" t="n">
        <v>0</v>
      </c>
      <c r="N693" t="n">
        <v>0</v>
      </c>
      <c r="O693" t="n">
        <v>0</v>
      </c>
      <c r="P693" t="n">
        <v>0</v>
      </c>
      <c r="Q693" t="n">
        <v>0</v>
      </c>
      <c r="R693" t="n">
        <v>0</v>
      </c>
      <c r="S693" t="n">
        <v>2</v>
      </c>
      <c r="T693" t="n">
        <v>2</v>
      </c>
      <c r="U693" t="n">
        <v>2</v>
      </c>
      <c r="V693" s="2" t="inlineStr">
        <is>
          <t>Myskmadra
Skogsknipprot</t>
        </is>
      </c>
      <c r="W693">
        <f>HYPERLINK("https://klasma.github.io/Logging_0885/artfynd/A 21908-2022 artfynd.xlsx", "A 21908-2022")</f>
        <v/>
      </c>
      <c r="X693">
        <f>HYPERLINK("https://klasma.github.io/Logging_0885/kartor/A 21908-2022 karta.png", "A 21908-2022")</f>
        <v/>
      </c>
      <c r="Y693">
        <f>HYPERLINK("https://klasma.github.io/Logging_0885/kartor_geotiff/A 21908-2022 georefererad karta.tif", "A 21908-2022")</f>
        <v/>
      </c>
      <c r="AA693">
        <f>HYPERLINK("https://klasma.github.io/Logging_0885/klagomål/A 21908-2022 FSC-klagomål.docx", "A 21908-2022")</f>
        <v/>
      </c>
      <c r="AB693">
        <f>HYPERLINK("https://klasma.github.io/Logging_0885/klagomålsmail/A 21908-2022 FSC-klagomål mail.docx", "A 21908-2022")</f>
        <v/>
      </c>
      <c r="AC693">
        <f>HYPERLINK("https://klasma.github.io/Logging_0885/tillsyn/A 21908-2022 tillsynsbegäran.docx", "A 21908-2022")</f>
        <v/>
      </c>
      <c r="AD693">
        <f>HYPERLINK("https://klasma.github.io/Logging_0885/tillsynsmail/A 21908-2022 tillsynsbegäran mail.docx", "A 21908-2022")</f>
        <v/>
      </c>
    </row>
    <row r="694" ht="15" customHeight="1">
      <c r="A694" t="inlineStr">
        <is>
          <t>A 24166-2022</t>
        </is>
      </c>
      <c r="B694" t="inlineStr">
        <is>
          <t>avverkningsanmälan</t>
        </is>
      </c>
      <c r="C694" t="inlineStr">
        <is>
          <t>Avverkning för annat ändamål</t>
        </is>
      </c>
      <c r="D694" s="1" t="n">
        <v>44725</v>
      </c>
      <c r="E694" s="1" t="n">
        <v>46323</v>
      </c>
      <c r="F694" t="inlineStr">
        <is>
          <t>KALMAR LÄN</t>
        </is>
      </c>
      <c r="G694" t="inlineStr">
        <is>
          <t>BORGHOLM</t>
        </is>
      </c>
      <c r="I694" t="n">
        <v>10.7</v>
      </c>
      <c r="J694" t="n">
        <v>0</v>
      </c>
      <c r="K694" t="n">
        <v>0</v>
      </c>
      <c r="L694" t="n">
        <v>1</v>
      </c>
      <c r="M694" t="n">
        <v>1</v>
      </c>
      <c r="N694" t="n">
        <v>0</v>
      </c>
      <c r="O694" t="n">
        <v>0</v>
      </c>
      <c r="P694" t="n">
        <v>0</v>
      </c>
      <c r="Q694" t="n">
        <v>2</v>
      </c>
      <c r="R694" t="n">
        <v>1</v>
      </c>
      <c r="S694" t="n">
        <v>2</v>
      </c>
      <c r="T694" t="n">
        <v>2</v>
      </c>
      <c r="U694" t="n">
        <v>1</v>
      </c>
      <c r="V694" s="2" t="inlineStr">
        <is>
          <t>Plattsäv
Jungfrulin</t>
        </is>
      </c>
      <c r="W694">
        <f>HYPERLINK("https://klasma.github.io/Logging_0885/artfynd/A 24166-2022 artfynd.xlsx", "A 24166-2022")</f>
        <v/>
      </c>
      <c r="X694">
        <f>HYPERLINK("https://klasma.github.io/Logging_0885/kartor/A 24166-2022 karta.png", "A 24166-2022")</f>
        <v/>
      </c>
      <c r="Y694">
        <f>HYPERLINK("https://klasma.github.io/Logging_0885/kartor_geotiff/A 24166-2022 georefererad karta.tif", "A 24166-2022")</f>
        <v/>
      </c>
      <c r="AA694">
        <f>HYPERLINK("https://klasma.github.io/Logging_0885/klagomål/A 24166-2022 FSC-klagomål.docx", "A 24166-2022")</f>
        <v/>
      </c>
      <c r="AB694">
        <f>HYPERLINK("https://klasma.github.io/Logging_0885/klagomålsmail/A 24166-2022 FSC-klagomål mail.docx", "A 24166-2022")</f>
        <v/>
      </c>
      <c r="AC694">
        <f>HYPERLINK("https://klasma.github.io/Logging_0885/tillsyn/A 24166-2022 tillsynsbegäran.docx", "A 24166-2022")</f>
        <v/>
      </c>
      <c r="AD694">
        <f>HYPERLINK("https://klasma.github.io/Logging_0885/tillsynsmail/A 24166-2022 tillsynsbegäran mail.docx", "A 24166-2022")</f>
        <v/>
      </c>
    </row>
    <row r="695" ht="15" customHeight="1">
      <c r="A695" t="inlineStr">
        <is>
          <t>A 2733-2024</t>
        </is>
      </c>
      <c r="B695" t="inlineStr">
        <is>
          <t>avverkningsanmälan</t>
        </is>
      </c>
      <c r="C695" t="inlineStr">
        <is>
          <t>Föryngringsavverkning</t>
        </is>
      </c>
      <c r="D695" s="1" t="n">
        <v>45314</v>
      </c>
      <c r="E695" s="1" t="n">
        <v>46323</v>
      </c>
      <c r="F695" t="inlineStr">
        <is>
          <t>KALMAR LÄN</t>
        </is>
      </c>
      <c r="G695" t="inlineStr">
        <is>
          <t>KALMAR</t>
        </is>
      </c>
      <c r="I695" t="n">
        <v>2.5</v>
      </c>
      <c r="J695" t="n">
        <v>1</v>
      </c>
      <c r="K695" t="n">
        <v>1</v>
      </c>
      <c r="L695" t="n">
        <v>1</v>
      </c>
      <c r="M695" t="n">
        <v>0</v>
      </c>
      <c r="N695" t="n">
        <v>0</v>
      </c>
      <c r="O695" t="n">
        <v>0</v>
      </c>
      <c r="P695" t="n">
        <v>0</v>
      </c>
      <c r="Q695" t="n">
        <v>1</v>
      </c>
      <c r="R695" t="n">
        <v>0</v>
      </c>
      <c r="S695" t="n">
        <v>2</v>
      </c>
      <c r="T695" t="n">
        <v>2</v>
      </c>
      <c r="U695" t="n">
        <v>2</v>
      </c>
      <c r="V695" s="2" t="inlineStr">
        <is>
          <t>Tallticka
Ekoxe</t>
        </is>
      </c>
      <c r="W695">
        <f>HYPERLINK("https://klasma.github.io/Logging_0880/artfynd/A 2733-2024 artfynd.xlsx", "A 2733-2024")</f>
        <v/>
      </c>
      <c r="X695">
        <f>HYPERLINK("https://klasma.github.io/Logging_0880/kartor/A 2733-2024 karta.png", "A 2733-2024")</f>
        <v/>
      </c>
      <c r="Y695">
        <f>HYPERLINK("https://klasma.github.io/Logging_0880/kartor_geotiff/A 2733-2024 georefererad karta.tif", "A 2733-2024")</f>
        <v/>
      </c>
      <c r="AA695">
        <f>HYPERLINK("https://klasma.github.io/Logging_0880/klagomål/A 2733-2024 FSC-klagomål.docx", "A 2733-2024")</f>
        <v/>
      </c>
      <c r="AB695">
        <f>HYPERLINK("https://klasma.github.io/Logging_0880/klagomålsmail/A 2733-2024 FSC-klagomål mail.docx", "A 2733-2024")</f>
        <v/>
      </c>
      <c r="AC695">
        <f>HYPERLINK("https://klasma.github.io/Logging_0880/tillsyn/A 2733-2024 tillsynsbegäran.docx", "A 2733-2024")</f>
        <v/>
      </c>
      <c r="AD695">
        <f>HYPERLINK("https://klasma.github.io/Logging_0880/tillsynsmail/A 2733-2024 tillsynsbegäran mail.docx", "A 2733-2024")</f>
        <v/>
      </c>
    </row>
    <row r="696" ht="15" customHeight="1">
      <c r="A696" t="inlineStr">
        <is>
          <t>A 9253-2026</t>
        </is>
      </c>
      <c r="B696" t="inlineStr">
        <is>
          <t>avverkningsanmälan</t>
        </is>
      </c>
      <c r="C696" t="inlineStr">
        <is>
          <t>Föryngringsavverkning</t>
        </is>
      </c>
      <c r="D696" s="1" t="n">
        <v>46070</v>
      </c>
      <c r="E696" s="1" t="n">
        <v>46323</v>
      </c>
      <c r="F696" t="inlineStr">
        <is>
          <t>KALMAR LÄN</t>
        </is>
      </c>
      <c r="G696" t="inlineStr">
        <is>
          <t>BORGHOLM</t>
        </is>
      </c>
      <c r="I696" t="n">
        <v>1.1</v>
      </c>
      <c r="J696" t="n">
        <v>1</v>
      </c>
      <c r="K696" t="n">
        <v>1</v>
      </c>
      <c r="L696" t="n">
        <v>0</v>
      </c>
      <c r="M696" t="n">
        <v>0</v>
      </c>
      <c r="N696" t="n">
        <v>0</v>
      </c>
      <c r="O696" t="n">
        <v>0</v>
      </c>
      <c r="P696" t="n">
        <v>0</v>
      </c>
      <c r="Q696" t="n">
        <v>0</v>
      </c>
      <c r="R696" t="n">
        <v>0</v>
      </c>
      <c r="S696" t="n">
        <v>2</v>
      </c>
      <c r="T696" t="n">
        <v>2</v>
      </c>
      <c r="U696" t="n">
        <v>0</v>
      </c>
      <c r="V696" s="2" t="inlineStr">
        <is>
          <t>Murgröna
Gullviva</t>
        </is>
      </c>
      <c r="W696">
        <f>HYPERLINK("https://klasma.github.io/Logging_0885/artfynd/A 9253-2026 artfynd.xlsx", "A 9253-2026")</f>
        <v/>
      </c>
      <c r="X696">
        <f>HYPERLINK("https://klasma.github.io/Logging_0885/kartor/A 9253-2026 karta.png", "A 9253-2026")</f>
        <v/>
      </c>
      <c r="Y696">
        <f>HYPERLINK("https://klasma.github.io/Logging_0885/kartor_geotiff/A 9253-2026 georefererad karta.tif", "A 9253-2026")</f>
        <v/>
      </c>
      <c r="AA696">
        <f>HYPERLINK("https://klasma.github.io/Logging_0885/klagomål/A 9253-2026 FSC-klagomål.docx", "A 9253-2026")</f>
        <v/>
      </c>
      <c r="AB696">
        <f>HYPERLINK("https://klasma.github.io/Logging_0885/klagomålsmail/A 9253-2026 FSC-klagomål mail.docx", "A 9253-2026")</f>
        <v/>
      </c>
      <c r="AC696">
        <f>HYPERLINK("https://klasma.github.io/Logging_0885/tillsyn/A 9253-2026 tillsynsbegäran.docx", "A 9253-2026")</f>
        <v/>
      </c>
      <c r="AD696">
        <f>HYPERLINK("https://klasma.github.io/Logging_0885/tillsynsmail/A 9253-2026 tillsynsbegäran mail.docx", "A 9253-2026")</f>
        <v/>
      </c>
    </row>
    <row r="697" ht="15" customHeight="1">
      <c r="A697" t="inlineStr">
        <is>
          <t>A 28401-2024</t>
        </is>
      </c>
      <c r="B697" t="inlineStr">
        <is>
          <t>avverkningsanmälan</t>
        </is>
      </c>
      <c r="C697" t="inlineStr">
        <is>
          <t>Föryngringsavverkning</t>
        </is>
      </c>
      <c r="D697" s="1" t="n">
        <v>45477</v>
      </c>
      <c r="E697" s="1" t="n">
        <v>46323</v>
      </c>
      <c r="F697" t="inlineStr">
        <is>
          <t>KALMAR LÄN</t>
        </is>
      </c>
      <c r="G697" t="inlineStr">
        <is>
          <t>VÄSTERVIK</t>
        </is>
      </c>
      <c r="H697" t="inlineStr">
        <is>
          <t>Holmen skog AB</t>
        </is>
      </c>
      <c r="I697" t="n">
        <v>2.4</v>
      </c>
      <c r="J697" t="n">
        <v>2</v>
      </c>
      <c r="K697" t="n">
        <v>0</v>
      </c>
      <c r="L697" t="n">
        <v>1</v>
      </c>
      <c r="M697" t="n">
        <v>0</v>
      </c>
      <c r="N697" t="n">
        <v>0</v>
      </c>
      <c r="O697" t="n">
        <v>0</v>
      </c>
      <c r="P697" t="n">
        <v>0</v>
      </c>
      <c r="Q697" t="n">
        <v>1</v>
      </c>
      <c r="R697" t="n">
        <v>0</v>
      </c>
      <c r="S697" t="n">
        <v>2</v>
      </c>
      <c r="T697" t="n">
        <v>3</v>
      </c>
      <c r="U697" t="n">
        <v>3</v>
      </c>
      <c r="V697" s="2" t="inlineStr">
        <is>
          <t>Talltita
Revlummer</t>
        </is>
      </c>
      <c r="W697">
        <f>HYPERLINK("https://klasma.github.io/Logging_0883/artfynd/A 28401-2024 artfynd.xlsx", "A 28401-2024")</f>
        <v/>
      </c>
      <c r="X697">
        <f>HYPERLINK("https://klasma.github.io/Logging_0883/kartor/A 28401-2024 karta.png", "A 28401-2024")</f>
        <v/>
      </c>
      <c r="Y697">
        <f>HYPERLINK("https://klasma.github.io/Logging_0883/kartor_geotiff/A 28401-2024 georefererad karta.tif", "A 28401-2024")</f>
        <v/>
      </c>
      <c r="AA697">
        <f>HYPERLINK("https://klasma.github.io/Logging_0883/klagomål/A 28401-2024 FSC-klagomål.docx", "A 28401-2024")</f>
        <v/>
      </c>
      <c r="AB697">
        <f>HYPERLINK("https://klasma.github.io/Logging_0883/klagomålsmail/A 28401-2024 FSC-klagomål mail.docx", "A 28401-2024")</f>
        <v/>
      </c>
      <c r="AC697">
        <f>HYPERLINK("https://klasma.github.io/Logging_0883/tillsyn/A 28401-2024 tillsynsbegäran.docx", "A 28401-2024")</f>
        <v/>
      </c>
      <c r="AD697">
        <f>HYPERLINK("https://klasma.github.io/Logging_0883/tillsynsmail/A 28401-2024 tillsynsbegäran mail.docx", "A 28401-2024")</f>
        <v/>
      </c>
      <c r="AE697">
        <f>HYPERLINK("https://klasma.github.io/Logging_0883/fåglar/A 28401-2024 prioriterade fågelarter.docx", "A 28401-2024")</f>
        <v/>
      </c>
    </row>
    <row r="698" ht="15" customHeight="1">
      <c r="A698" t="inlineStr">
        <is>
          <t>A 62231-2023</t>
        </is>
      </c>
      <c r="B698" t="inlineStr">
        <is>
          <t>avverkningsanmälan</t>
        </is>
      </c>
      <c r="C698" t="inlineStr">
        <is>
          <t>Avverkning för annat ändamål</t>
        </is>
      </c>
      <c r="D698" s="1" t="n">
        <v>45267</v>
      </c>
      <c r="E698" s="1" t="n">
        <v>46323</v>
      </c>
      <c r="F698" t="inlineStr">
        <is>
          <t>KALMAR LÄN</t>
        </is>
      </c>
      <c r="G698" t="inlineStr">
        <is>
          <t>MÖRBYLÅNGA</t>
        </is>
      </c>
      <c r="I698" t="n">
        <v>1.6</v>
      </c>
      <c r="J698" t="n">
        <v>1</v>
      </c>
      <c r="K698" t="n">
        <v>1</v>
      </c>
      <c r="L698" t="n">
        <v>0</v>
      </c>
      <c r="M698" t="n">
        <v>0</v>
      </c>
      <c r="N698" t="n">
        <v>0</v>
      </c>
      <c r="O698" t="n">
        <v>0</v>
      </c>
      <c r="P698" t="n">
        <v>0</v>
      </c>
      <c r="Q698" t="n">
        <v>0</v>
      </c>
      <c r="R698" t="n">
        <v>0</v>
      </c>
      <c r="S698" t="n">
        <v>2</v>
      </c>
      <c r="T698" t="n">
        <v>2</v>
      </c>
      <c r="U698" t="n">
        <v>2</v>
      </c>
      <c r="V698" s="2" t="inlineStr">
        <is>
          <t>Murgröna
Blåsippa</t>
        </is>
      </c>
      <c r="W698">
        <f>HYPERLINK("https://klasma.github.io/Logging_0840/artfynd/A 62231-2023 artfynd.xlsx", "A 62231-2023")</f>
        <v/>
      </c>
      <c r="X698">
        <f>HYPERLINK("https://klasma.github.io/Logging_0840/kartor/A 62231-2023 karta.png", "A 62231-2023")</f>
        <v/>
      </c>
      <c r="Y698">
        <f>HYPERLINK("https://klasma.github.io/Logging_0840/kartor_geotiff/A 62231-2023 georefererad karta.tif", "A 62231-2023")</f>
        <v/>
      </c>
      <c r="AA698">
        <f>HYPERLINK("https://klasma.github.io/Logging_0840/klagomål/A 62231-2023 FSC-klagomål.docx", "A 62231-2023")</f>
        <v/>
      </c>
      <c r="AB698">
        <f>HYPERLINK("https://klasma.github.io/Logging_0840/klagomålsmail/A 62231-2023 FSC-klagomål mail.docx", "A 62231-2023")</f>
        <v/>
      </c>
      <c r="AC698">
        <f>HYPERLINK("https://klasma.github.io/Logging_0840/tillsyn/A 62231-2023 tillsynsbegäran.docx", "A 62231-2023")</f>
        <v/>
      </c>
      <c r="AD698">
        <f>HYPERLINK("https://klasma.github.io/Logging_0840/tillsynsmail/A 62231-2023 tillsynsbegäran mail.docx", "A 62231-2023")</f>
        <v/>
      </c>
    </row>
    <row r="699" ht="15" customHeight="1">
      <c r="A699" t="inlineStr">
        <is>
          <t>A 11406-2026</t>
        </is>
      </c>
      <c r="B699" t="inlineStr">
        <is>
          <t>avverkningsanmälan</t>
        </is>
      </c>
      <c r="C699" t="inlineStr">
        <is>
          <t>Föryngringsavverkning</t>
        </is>
      </c>
      <c r="D699" s="1" t="n">
        <v>46083</v>
      </c>
      <c r="E699" s="1" t="n">
        <v>46323</v>
      </c>
      <c r="F699" t="inlineStr">
        <is>
          <t>KALMAR LÄN</t>
        </is>
      </c>
      <c r="G699" t="inlineStr">
        <is>
          <t>HULTSFRED</t>
        </is>
      </c>
      <c r="I699" t="n">
        <v>7.3</v>
      </c>
      <c r="J699" t="n">
        <v>1</v>
      </c>
      <c r="K699" t="n">
        <v>0</v>
      </c>
      <c r="L699" t="n">
        <v>1</v>
      </c>
      <c r="M699" t="n">
        <v>1</v>
      </c>
      <c r="N699" t="n">
        <v>0</v>
      </c>
      <c r="O699" t="n">
        <v>0</v>
      </c>
      <c r="P699" t="n">
        <v>0</v>
      </c>
      <c r="Q699" t="n">
        <v>2</v>
      </c>
      <c r="R699" t="n">
        <v>1</v>
      </c>
      <c r="S699" t="n">
        <v>2</v>
      </c>
      <c r="T699" t="n">
        <v>2</v>
      </c>
      <c r="U699" t="n">
        <v>2</v>
      </c>
      <c r="V699" s="2" t="inlineStr">
        <is>
          <t>Knärot
Tallticka</t>
        </is>
      </c>
      <c r="W699">
        <f>HYPERLINK("https://klasma.github.io/Logging_0860/artfynd/A 11406-2026 artfynd.xlsx", "A 11406-2026")</f>
        <v/>
      </c>
      <c r="X699">
        <f>HYPERLINK("https://klasma.github.io/Logging_0860/kartor/A 11406-2026 karta.png", "A 11406-2026")</f>
        <v/>
      </c>
      <c r="Y699">
        <f>HYPERLINK("https://klasma.github.io/Logging_0860/kartor_geotiff/A 11406-2026 georefererad karta.tif", "A 11406-2026")</f>
        <v/>
      </c>
      <c r="Z699">
        <f>HYPERLINK("https://klasma.github.io/Logging_0860/knärot/A 11406-2026 karta knärot.png", "A 11406-2026")</f>
        <v/>
      </c>
      <c r="AA699">
        <f>HYPERLINK("https://klasma.github.io/Logging_0860/klagomål/A 11406-2026 FSC-klagomål.docx", "A 11406-2026")</f>
        <v/>
      </c>
      <c r="AB699">
        <f>HYPERLINK("https://klasma.github.io/Logging_0860/klagomålsmail/A 11406-2026 FSC-klagomål mail.docx", "A 11406-2026")</f>
        <v/>
      </c>
      <c r="AC699">
        <f>HYPERLINK("https://klasma.github.io/Logging_0860/tillsyn/A 11406-2026 tillsynsbegäran.docx", "A 11406-2026")</f>
        <v/>
      </c>
      <c r="AD699">
        <f>HYPERLINK("https://klasma.github.io/Logging_0860/tillsynsmail/A 11406-2026 tillsynsbegäran mail.docx", "A 11406-2026")</f>
        <v/>
      </c>
    </row>
    <row r="700" ht="15" customHeight="1">
      <c r="A700" t="inlineStr">
        <is>
          <t>A 41542-2022</t>
        </is>
      </c>
      <c r="B700" t="inlineStr">
        <is>
          <t>avverkningsanmälan</t>
        </is>
      </c>
      <c r="C700" t="inlineStr">
        <is>
          <t>Föryngringsavverkning</t>
        </is>
      </c>
      <c r="D700" s="1" t="n">
        <v>44827</v>
      </c>
      <c r="E700" s="1" t="n">
        <v>46323</v>
      </c>
      <c r="F700" t="inlineStr">
        <is>
          <t>KALMAR LÄN</t>
        </is>
      </c>
      <c r="G700" t="inlineStr">
        <is>
          <t>KALMAR</t>
        </is>
      </c>
      <c r="I700" t="n">
        <v>29</v>
      </c>
      <c r="J700" t="n">
        <v>2</v>
      </c>
      <c r="K700" t="n">
        <v>0</v>
      </c>
      <c r="L700" t="n">
        <v>0</v>
      </c>
      <c r="M700" t="n">
        <v>1</v>
      </c>
      <c r="N700" t="n">
        <v>0</v>
      </c>
      <c r="O700" t="n">
        <v>0</v>
      </c>
      <c r="P700" t="n">
        <v>0</v>
      </c>
      <c r="Q700" t="n">
        <v>1</v>
      </c>
      <c r="R700" t="n">
        <v>1</v>
      </c>
      <c r="S700" t="n">
        <v>2</v>
      </c>
      <c r="T700" t="n">
        <v>6</v>
      </c>
      <c r="U700" t="n">
        <v>1</v>
      </c>
      <c r="V700" s="2" t="inlineStr">
        <is>
          <t>Knärot
Långbensgroda</t>
        </is>
      </c>
      <c r="W700">
        <f>HYPERLINK("https://klasma.github.io/Logging_0880/artfynd/A 41542-2022 artfynd.xlsx", "A 41542-2022")</f>
        <v/>
      </c>
      <c r="X700">
        <f>HYPERLINK("https://klasma.github.io/Logging_0880/kartor/A 41542-2022 karta.png", "A 41542-2022")</f>
        <v/>
      </c>
      <c r="Y700">
        <f>HYPERLINK("https://klasma.github.io/Logging_0880/kartor_geotiff/A 41542-2022 georefererad karta.tif", "A 41542-2022")</f>
        <v/>
      </c>
      <c r="Z700">
        <f>HYPERLINK("https://klasma.github.io/Logging_0880/knärot/A 41542-2022 karta knärot.png", "A 41542-2022")</f>
        <v/>
      </c>
      <c r="AA700">
        <f>HYPERLINK("https://klasma.github.io/Logging_0880/klagomål/A 41542-2022 FSC-klagomål.docx", "A 41542-2022")</f>
        <v/>
      </c>
      <c r="AB700">
        <f>HYPERLINK("https://klasma.github.io/Logging_0880/klagomålsmail/A 41542-2022 FSC-klagomål mail.docx", "A 41542-2022")</f>
        <v/>
      </c>
      <c r="AC700">
        <f>HYPERLINK("https://klasma.github.io/Logging_0880/tillsyn/A 41542-2022 tillsynsbegäran.docx", "A 41542-2022")</f>
        <v/>
      </c>
      <c r="AD700">
        <f>HYPERLINK("https://klasma.github.io/Logging_0880/tillsynsmail/A 41542-2022 tillsynsbegäran mail.docx", "A 41542-2022")</f>
        <v/>
      </c>
    </row>
    <row r="701" ht="15" customHeight="1">
      <c r="A701" t="inlineStr">
        <is>
          <t>A 32911-2026</t>
        </is>
      </c>
      <c r="B701" t="inlineStr">
        <is>
          <t>avverkningsanmälan</t>
        </is>
      </c>
      <c r="C701" t="inlineStr">
        <is>
          <t>Föryngringsavverkning</t>
        </is>
      </c>
      <c r="D701" s="1" t="n">
        <v>46244</v>
      </c>
      <c r="E701" s="1" t="n">
        <v>46323</v>
      </c>
      <c r="F701" t="inlineStr">
        <is>
          <t>KALMAR LÄN</t>
        </is>
      </c>
      <c r="G701" t="inlineStr">
        <is>
          <t>HÖGSBY</t>
        </is>
      </c>
      <c r="I701" t="n">
        <v>6.1</v>
      </c>
      <c r="J701" t="n">
        <v>2</v>
      </c>
      <c r="K701" t="n">
        <v>0</v>
      </c>
      <c r="L701" t="n">
        <v>0</v>
      </c>
      <c r="M701" t="n">
        <v>1</v>
      </c>
      <c r="N701" t="n">
        <v>1</v>
      </c>
      <c r="O701" t="n">
        <v>0</v>
      </c>
      <c r="P701" t="n">
        <v>0</v>
      </c>
      <c r="Q701" t="n">
        <v>2</v>
      </c>
      <c r="R701" t="n">
        <v>2</v>
      </c>
      <c r="S701" t="n">
        <v>2</v>
      </c>
      <c r="T701" t="n">
        <v>2</v>
      </c>
      <c r="U701" t="n">
        <v>0</v>
      </c>
      <c r="V701" s="2" t="inlineStr">
        <is>
          <t>Hornuggla
Hasselsnok</t>
        </is>
      </c>
      <c r="W701">
        <f>HYPERLINK("https://klasma.github.io/Logging_0821/artfynd/A 32911-2026 artfynd.xlsx", "A 32911-2026")</f>
        <v/>
      </c>
      <c r="X701">
        <f>HYPERLINK("https://klasma.github.io/Logging_0821/kartor/A 32911-2026 karta.png", "A 32911-2026")</f>
        <v/>
      </c>
      <c r="Y701">
        <f>HYPERLINK("https://klasma.github.io/Logging_0821/kartor_geotiff/A 32911-2026 georefererad karta.tif", "A 32911-2026")</f>
        <v/>
      </c>
      <c r="AA701">
        <f>HYPERLINK("https://klasma.github.io/Logging_0821/klagomål/A 32911-2026 FSC-klagomål.docx", "A 32911-2026")</f>
        <v/>
      </c>
      <c r="AB701">
        <f>HYPERLINK("https://klasma.github.io/Logging_0821/klagomålsmail/A 32911-2026 FSC-klagomål mail.docx", "A 32911-2026")</f>
        <v/>
      </c>
      <c r="AC701">
        <f>HYPERLINK("https://klasma.github.io/Logging_0821/tillsyn/A 32911-2026 tillsynsbegäran.docx", "A 32911-2026")</f>
        <v/>
      </c>
      <c r="AD701">
        <f>HYPERLINK("https://klasma.github.io/Logging_0821/tillsynsmail/A 32911-2026 tillsynsbegäran mail.docx", "A 32911-2026")</f>
        <v/>
      </c>
      <c r="AE701">
        <f>HYPERLINK("https://klasma.github.io/Logging_0821/fåglar/A 32911-2026 prioriterade fågelarter.docx", "A 32911-2026")</f>
        <v/>
      </c>
    </row>
    <row r="702" ht="15" customHeight="1">
      <c r="A702" t="inlineStr">
        <is>
          <t>A 1176-2024</t>
        </is>
      </c>
      <c r="B702" t="inlineStr">
        <is>
          <t>avverkningsanmälan</t>
        </is>
      </c>
      <c r="C702" t="inlineStr">
        <is>
          <t>Föryngringsavverkning</t>
        </is>
      </c>
      <c r="D702" s="1" t="n">
        <v>45302</v>
      </c>
      <c r="E702" s="1" t="n">
        <v>46323</v>
      </c>
      <c r="F702" t="inlineStr">
        <is>
          <t>KALMAR LÄN</t>
        </is>
      </c>
      <c r="G702" t="inlineStr">
        <is>
          <t>VÄSTERVIK</t>
        </is>
      </c>
      <c r="I702" t="n">
        <v>2.5</v>
      </c>
      <c r="J702" t="n">
        <v>1</v>
      </c>
      <c r="K702" t="n">
        <v>0</v>
      </c>
      <c r="L702" t="n">
        <v>1</v>
      </c>
      <c r="M702" t="n">
        <v>0</v>
      </c>
      <c r="N702" t="n">
        <v>0</v>
      </c>
      <c r="O702" t="n">
        <v>0</v>
      </c>
      <c r="P702" t="n">
        <v>0</v>
      </c>
      <c r="Q702" t="n">
        <v>1</v>
      </c>
      <c r="R702" t="n">
        <v>0</v>
      </c>
      <c r="S702" t="n">
        <v>2</v>
      </c>
      <c r="T702" t="n">
        <v>4</v>
      </c>
      <c r="U702" t="n">
        <v>3</v>
      </c>
      <c r="V702" s="2" t="inlineStr">
        <is>
          <t>Tallticka
Mattlummer</t>
        </is>
      </c>
      <c r="W702">
        <f>HYPERLINK("https://klasma.github.io/Logging_0883/artfynd/A 1176-2024 artfynd.xlsx", "A 1176-2024")</f>
        <v/>
      </c>
      <c r="X702">
        <f>HYPERLINK("https://klasma.github.io/Logging_0883/kartor/A 1176-2024 karta.png", "A 1176-2024")</f>
        <v/>
      </c>
      <c r="Y702">
        <f>HYPERLINK("https://klasma.github.io/Logging_0883/kartor_geotiff/A 1176-2024 georefererad karta.tif", "A 1176-2024")</f>
        <v/>
      </c>
      <c r="AA702">
        <f>HYPERLINK("https://klasma.github.io/Logging_0883/klagomål/A 1176-2024 FSC-klagomål.docx", "A 1176-2024")</f>
        <v/>
      </c>
      <c r="AB702">
        <f>HYPERLINK("https://klasma.github.io/Logging_0883/klagomålsmail/A 1176-2024 FSC-klagomål mail.docx", "A 1176-2024")</f>
        <v/>
      </c>
      <c r="AC702">
        <f>HYPERLINK("https://klasma.github.io/Logging_0883/tillsyn/A 1176-2024 tillsynsbegäran.docx", "A 1176-2024")</f>
        <v/>
      </c>
      <c r="AD702">
        <f>HYPERLINK("https://klasma.github.io/Logging_0883/tillsynsmail/A 1176-2024 tillsynsbegäran mail.docx", "A 1176-2024")</f>
        <v/>
      </c>
    </row>
    <row r="703" ht="15" customHeight="1">
      <c r="A703" t="inlineStr">
        <is>
          <t>A 33036-2026</t>
        </is>
      </c>
      <c r="B703" t="inlineStr">
        <is>
          <t>avverkningsanmälan</t>
        </is>
      </c>
      <c r="C703" t="inlineStr">
        <is>
          <t>Avverkning för annat ändamål</t>
        </is>
      </c>
      <c r="D703" s="1" t="n">
        <v>46245</v>
      </c>
      <c r="E703" s="1" t="n">
        <v>46323</v>
      </c>
      <c r="F703" t="inlineStr">
        <is>
          <t>KALMAR LÄN</t>
        </is>
      </c>
      <c r="G703" t="inlineStr">
        <is>
          <t>KALMAR</t>
        </is>
      </c>
      <c r="I703" t="n">
        <v>0.7</v>
      </c>
      <c r="J703" t="n">
        <v>1</v>
      </c>
      <c r="K703" t="n">
        <v>0</v>
      </c>
      <c r="L703" t="n">
        <v>1</v>
      </c>
      <c r="M703" t="n">
        <v>1</v>
      </c>
      <c r="N703" t="n">
        <v>0</v>
      </c>
      <c r="O703" t="n">
        <v>0</v>
      </c>
      <c r="P703" t="n">
        <v>0</v>
      </c>
      <c r="Q703" t="n">
        <v>2</v>
      </c>
      <c r="R703" t="n">
        <v>1</v>
      </c>
      <c r="S703" t="n">
        <v>2</v>
      </c>
      <c r="T703" t="n">
        <v>2</v>
      </c>
      <c r="U703" t="n">
        <v>0</v>
      </c>
      <c r="V703" s="2" t="inlineStr">
        <is>
          <t>Hasselsnok
Iller</t>
        </is>
      </c>
      <c r="W703">
        <f>HYPERLINK("https://klasma.github.io/Logging_0880/artfynd/A 33036-2026 artfynd.xlsx", "A 33036-2026")</f>
        <v/>
      </c>
      <c r="X703">
        <f>HYPERLINK("https://klasma.github.io/Logging_0880/kartor/A 33036-2026 karta.png", "A 33036-2026")</f>
        <v/>
      </c>
      <c r="Y703">
        <f>HYPERLINK("https://klasma.github.io/Logging_0880/kartor_geotiff/A 33036-2026 georefererad karta.tif", "A 33036-2026")</f>
        <v/>
      </c>
      <c r="AA703">
        <f>HYPERLINK("https://klasma.github.io/Logging_0880/klagomål/A 33036-2026 FSC-klagomål.docx", "A 33036-2026")</f>
        <v/>
      </c>
      <c r="AB703">
        <f>HYPERLINK("https://klasma.github.io/Logging_0880/klagomålsmail/A 33036-2026 FSC-klagomål mail.docx", "A 33036-2026")</f>
        <v/>
      </c>
      <c r="AC703">
        <f>HYPERLINK("https://klasma.github.io/Logging_0880/tillsyn/A 33036-2026 tillsynsbegäran.docx", "A 33036-2026")</f>
        <v/>
      </c>
      <c r="AD703">
        <f>HYPERLINK("https://klasma.github.io/Logging_0880/tillsynsmail/A 33036-2026 tillsynsbegäran mail.docx", "A 33036-2026")</f>
        <v/>
      </c>
    </row>
    <row r="704" ht="15" customHeight="1">
      <c r="A704" t="inlineStr">
        <is>
          <t>A 932-2024</t>
        </is>
      </c>
      <c r="B704" t="inlineStr">
        <is>
          <t>avverkningsanmälan</t>
        </is>
      </c>
      <c r="C704" t="inlineStr">
        <is>
          <t>Föryngringsavverkning</t>
        </is>
      </c>
      <c r="D704" s="1" t="n">
        <v>45301</v>
      </c>
      <c r="E704" s="1" t="n">
        <v>46323</v>
      </c>
      <c r="F704" t="inlineStr">
        <is>
          <t>KALMAR LÄN</t>
        </is>
      </c>
      <c r="G704" t="inlineStr">
        <is>
          <t>VÄSTERVIK</t>
        </is>
      </c>
      <c r="I704" t="n">
        <v>3.7</v>
      </c>
      <c r="J704" t="n">
        <v>1</v>
      </c>
      <c r="K704" t="n">
        <v>1</v>
      </c>
      <c r="L704" t="n">
        <v>0</v>
      </c>
      <c r="M704" t="n">
        <v>0</v>
      </c>
      <c r="N704" t="n">
        <v>0</v>
      </c>
      <c r="O704" t="n">
        <v>0</v>
      </c>
      <c r="P704" t="n">
        <v>0</v>
      </c>
      <c r="Q704" t="n">
        <v>0</v>
      </c>
      <c r="R704" t="n">
        <v>0</v>
      </c>
      <c r="S704" t="n">
        <v>2</v>
      </c>
      <c r="T704" t="n">
        <v>2</v>
      </c>
      <c r="U704" t="n">
        <v>1</v>
      </c>
      <c r="V704" s="2" t="inlineStr">
        <is>
          <t>Grovticka
Spillkråka</t>
        </is>
      </c>
      <c r="W704">
        <f>HYPERLINK("https://klasma.github.io/Logging_0883/artfynd/A 932-2024 artfynd.xlsx", "A 932-2024")</f>
        <v/>
      </c>
      <c r="X704">
        <f>HYPERLINK("https://klasma.github.io/Logging_0883/kartor/A 932-2024 karta.png", "A 932-2024")</f>
        <v/>
      </c>
      <c r="Y704">
        <f>HYPERLINK("https://klasma.github.io/Logging_0883/kartor_geotiff/A 932-2024 georefererad karta.tif", "A 932-2024")</f>
        <v/>
      </c>
      <c r="AA704">
        <f>HYPERLINK("https://klasma.github.io/Logging_0883/klagomål/A 932-2024 FSC-klagomål.docx", "A 932-2024")</f>
        <v/>
      </c>
      <c r="AB704">
        <f>HYPERLINK("https://klasma.github.io/Logging_0883/klagomålsmail/A 932-2024 FSC-klagomål mail.docx", "A 932-2024")</f>
        <v/>
      </c>
      <c r="AC704">
        <f>HYPERLINK("https://klasma.github.io/Logging_0883/tillsyn/A 932-2024 tillsynsbegäran.docx", "A 932-2024")</f>
        <v/>
      </c>
      <c r="AD704">
        <f>HYPERLINK("https://klasma.github.io/Logging_0883/tillsynsmail/A 932-2024 tillsynsbegäran mail.docx", "A 932-2024")</f>
        <v/>
      </c>
      <c r="AE704">
        <f>HYPERLINK("https://klasma.github.io/Logging_0883/fåglar/A 932-2024 prioriterade fågelarter.docx", "A 932-2024")</f>
        <v/>
      </c>
    </row>
    <row r="705" ht="15" customHeight="1">
      <c r="A705" t="inlineStr">
        <is>
          <t>A 911-2024</t>
        </is>
      </c>
      <c r="B705" t="inlineStr">
        <is>
          <t>avverkningsanmälan</t>
        </is>
      </c>
      <c r="C705" t="inlineStr">
        <is>
          <t>Föryngringsavverkning</t>
        </is>
      </c>
      <c r="D705" s="1" t="n">
        <v>45301</v>
      </c>
      <c r="E705" s="1" t="n">
        <v>46323</v>
      </c>
      <c r="F705" t="inlineStr">
        <is>
          <t>KALMAR LÄN</t>
        </is>
      </c>
      <c r="G705" t="inlineStr">
        <is>
          <t>VÄSTERVIK</t>
        </is>
      </c>
      <c r="I705" t="n">
        <v>5.6</v>
      </c>
      <c r="J705" t="n">
        <v>1</v>
      </c>
      <c r="K705" t="n">
        <v>1</v>
      </c>
      <c r="L705" t="n">
        <v>1</v>
      </c>
      <c r="M705" t="n">
        <v>0</v>
      </c>
      <c r="N705" t="n">
        <v>0</v>
      </c>
      <c r="O705" t="n">
        <v>0</v>
      </c>
      <c r="P705" t="n">
        <v>0</v>
      </c>
      <c r="Q705" t="n">
        <v>1</v>
      </c>
      <c r="R705" t="n">
        <v>0</v>
      </c>
      <c r="S705" t="n">
        <v>2</v>
      </c>
      <c r="T705" t="n">
        <v>2</v>
      </c>
      <c r="U705" t="n">
        <v>2</v>
      </c>
      <c r="V705" s="2" t="inlineStr">
        <is>
          <t>Talltita
Blodticka</t>
        </is>
      </c>
      <c r="W705">
        <f>HYPERLINK("https://klasma.github.io/Logging_0883/artfynd/A 911-2024 artfynd.xlsx", "A 911-2024")</f>
        <v/>
      </c>
      <c r="X705">
        <f>HYPERLINK("https://klasma.github.io/Logging_0883/kartor/A 911-2024 karta.png", "A 911-2024")</f>
        <v/>
      </c>
      <c r="Y705">
        <f>HYPERLINK("https://klasma.github.io/Logging_0883/kartor_geotiff/A 911-2024 georefererad karta.tif", "A 911-2024")</f>
        <v/>
      </c>
      <c r="AA705">
        <f>HYPERLINK("https://klasma.github.io/Logging_0883/klagomål/A 911-2024 FSC-klagomål.docx", "A 911-2024")</f>
        <v/>
      </c>
      <c r="AB705">
        <f>HYPERLINK("https://klasma.github.io/Logging_0883/klagomålsmail/A 911-2024 FSC-klagomål mail.docx", "A 911-2024")</f>
        <v/>
      </c>
      <c r="AC705">
        <f>HYPERLINK("https://klasma.github.io/Logging_0883/tillsyn/A 911-2024 tillsynsbegäran.docx", "A 911-2024")</f>
        <v/>
      </c>
      <c r="AD705">
        <f>HYPERLINK("https://klasma.github.io/Logging_0883/tillsynsmail/A 911-2024 tillsynsbegäran mail.docx", "A 911-2024")</f>
        <v/>
      </c>
      <c r="AE705">
        <f>HYPERLINK("https://klasma.github.io/Logging_0883/fåglar/A 911-2024 prioriterade fågelarter.docx", "A 911-2024")</f>
        <v/>
      </c>
    </row>
    <row r="706" ht="15" customHeight="1">
      <c r="A706" t="inlineStr">
        <is>
          <t>A 15941-2024</t>
        </is>
      </c>
      <c r="B706" t="inlineStr">
        <is>
          <t>avverkningsanmälan</t>
        </is>
      </c>
      <c r="C706" t="inlineStr">
        <is>
          <t>Föryngringsavverkning</t>
        </is>
      </c>
      <c r="D706" s="1" t="n">
        <v>45405</v>
      </c>
      <c r="E706" s="1" t="n">
        <v>46323</v>
      </c>
      <c r="F706" t="inlineStr">
        <is>
          <t>KALMAR LÄN</t>
        </is>
      </c>
      <c r="G706" t="inlineStr">
        <is>
          <t>MÖNSTERÅS</t>
        </is>
      </c>
      <c r="I706" t="n">
        <v>5.9</v>
      </c>
      <c r="J706" t="n">
        <v>2</v>
      </c>
      <c r="K706" t="n">
        <v>0</v>
      </c>
      <c r="L706" t="n">
        <v>0</v>
      </c>
      <c r="M706" t="n">
        <v>1</v>
      </c>
      <c r="N706" t="n">
        <v>0</v>
      </c>
      <c r="O706" t="n">
        <v>0</v>
      </c>
      <c r="P706" t="n">
        <v>0</v>
      </c>
      <c r="Q706" t="n">
        <v>1</v>
      </c>
      <c r="R706" t="n">
        <v>1</v>
      </c>
      <c r="S706" t="n">
        <v>2</v>
      </c>
      <c r="T706" t="n">
        <v>5</v>
      </c>
      <c r="U706" t="n">
        <v>5</v>
      </c>
      <c r="V706" s="2" t="inlineStr">
        <is>
          <t>Knärot
Spillkråka</t>
        </is>
      </c>
      <c r="W706">
        <f>HYPERLINK("https://klasma.github.io/Logging_0861/artfynd/A 15941-2024 artfynd.xlsx", "A 15941-2024")</f>
        <v/>
      </c>
      <c r="X706">
        <f>HYPERLINK("https://klasma.github.io/Logging_0861/kartor/A 15941-2024 karta.png", "A 15941-2024")</f>
        <v/>
      </c>
      <c r="Y706">
        <f>HYPERLINK("https://klasma.github.io/Logging_0861/kartor_geotiff/A 15941-2024 georefererad karta.tif", "A 15941-2024")</f>
        <v/>
      </c>
      <c r="Z706">
        <f>HYPERLINK("https://klasma.github.io/Logging_0861/knärot/A 15941-2024 karta knärot.png", "A 15941-2024")</f>
        <v/>
      </c>
      <c r="AA706">
        <f>HYPERLINK("https://klasma.github.io/Logging_0861/klagomål/A 15941-2024 FSC-klagomål.docx", "A 15941-2024")</f>
        <v/>
      </c>
      <c r="AB706">
        <f>HYPERLINK("https://klasma.github.io/Logging_0861/klagomålsmail/A 15941-2024 FSC-klagomål mail.docx", "A 15941-2024")</f>
        <v/>
      </c>
      <c r="AC706">
        <f>HYPERLINK("https://klasma.github.io/Logging_0861/tillsyn/A 15941-2024 tillsynsbegäran.docx", "A 15941-2024")</f>
        <v/>
      </c>
      <c r="AD706">
        <f>HYPERLINK("https://klasma.github.io/Logging_0861/tillsynsmail/A 15941-2024 tillsynsbegäran mail.docx", "A 15941-2024")</f>
        <v/>
      </c>
      <c r="AE706">
        <f>HYPERLINK("https://klasma.github.io/Logging_0861/fåglar/A 15941-2024 prioriterade fågelarter.docx", "A 15941-2024")</f>
        <v/>
      </c>
    </row>
    <row r="707" ht="15" customHeight="1">
      <c r="A707" t="inlineStr">
        <is>
          <t>A 15183-2026</t>
        </is>
      </c>
      <c r="B707" t="inlineStr">
        <is>
          <t>avverkningsanmälan</t>
        </is>
      </c>
      <c r="C707" t="inlineStr">
        <is>
          <t>Avverkning för att bevara och utveckla /försöksver</t>
        </is>
      </c>
      <c r="D707" s="1" t="n">
        <v>46105</v>
      </c>
      <c r="E707" s="1" t="n">
        <v>46323</v>
      </c>
      <c r="F707" t="inlineStr">
        <is>
          <t>KALMAR LÄN</t>
        </is>
      </c>
      <c r="G707" t="inlineStr">
        <is>
          <t>VÄSTERVIK</t>
        </is>
      </c>
      <c r="H707" t="inlineStr">
        <is>
          <t>Sveaskog</t>
        </is>
      </c>
      <c r="I707" t="n">
        <v>2.2</v>
      </c>
      <c r="J707" t="n">
        <v>0</v>
      </c>
      <c r="K707" t="n">
        <v>1</v>
      </c>
      <c r="L707" t="n">
        <v>0</v>
      </c>
      <c r="M707" t="n">
        <v>1</v>
      </c>
      <c r="N707" t="n">
        <v>0</v>
      </c>
      <c r="O707" t="n">
        <v>0</v>
      </c>
      <c r="P707" t="n">
        <v>0</v>
      </c>
      <c r="Q707" t="n">
        <v>1</v>
      </c>
      <c r="R707" t="n">
        <v>1</v>
      </c>
      <c r="S707" t="n">
        <v>2</v>
      </c>
      <c r="T707" t="n">
        <v>2</v>
      </c>
      <c r="U707" t="n">
        <v>0</v>
      </c>
      <c r="V707" s="2" t="inlineStr">
        <is>
          <t>Bredbrämad bastardsvärmare
Grovticka</t>
        </is>
      </c>
      <c r="W707">
        <f>HYPERLINK("https://klasma.github.io/Logging_0883/artfynd/A 15183-2026 artfynd.xlsx", "A 15183-2026")</f>
        <v/>
      </c>
      <c r="X707">
        <f>HYPERLINK("https://klasma.github.io/Logging_0883/kartor/A 15183-2026 karta.png", "A 15183-2026")</f>
        <v/>
      </c>
      <c r="Y707">
        <f>HYPERLINK("https://klasma.github.io/Logging_0883/kartor_geotiff/A 15183-2026 georefererad karta.tif", "A 15183-2026")</f>
        <v/>
      </c>
      <c r="AA707">
        <f>HYPERLINK("https://klasma.github.io/Logging_0883/klagomål/A 15183-2026 FSC-klagomål.docx", "A 15183-2026")</f>
        <v/>
      </c>
      <c r="AB707">
        <f>HYPERLINK("https://klasma.github.io/Logging_0883/klagomålsmail/A 15183-2026 FSC-klagomål mail.docx", "A 15183-2026")</f>
        <v/>
      </c>
      <c r="AC707">
        <f>HYPERLINK("https://klasma.github.io/Logging_0883/tillsyn/A 15183-2026 tillsynsbegäran.docx", "A 15183-2026")</f>
        <v/>
      </c>
      <c r="AD707">
        <f>HYPERLINK("https://klasma.github.io/Logging_0883/tillsynsmail/A 15183-2026 tillsynsbegäran mail.docx", "A 15183-2026")</f>
        <v/>
      </c>
    </row>
    <row r="708" ht="15" customHeight="1">
      <c r="A708" t="inlineStr">
        <is>
          <t>A 15165-2026</t>
        </is>
      </c>
      <c r="B708" t="inlineStr">
        <is>
          <t>avverkningsanmälan</t>
        </is>
      </c>
      <c r="C708" t="inlineStr">
        <is>
          <t>Föryngringsavverkning</t>
        </is>
      </c>
      <c r="D708" s="1" t="n">
        <v>46105</v>
      </c>
      <c r="E708" s="1" t="n">
        <v>46323</v>
      </c>
      <c r="F708" t="inlineStr">
        <is>
          <t>KALMAR LÄN</t>
        </is>
      </c>
      <c r="G708" t="inlineStr">
        <is>
          <t>VÄSTERVIK</t>
        </is>
      </c>
      <c r="H708" t="inlineStr">
        <is>
          <t>Sveaskog</t>
        </is>
      </c>
      <c r="I708" t="n">
        <v>1.4</v>
      </c>
      <c r="J708" t="n">
        <v>2</v>
      </c>
      <c r="K708" t="n">
        <v>0</v>
      </c>
      <c r="L708" t="n">
        <v>0</v>
      </c>
      <c r="M708" t="n">
        <v>0</v>
      </c>
      <c r="N708" t="n">
        <v>0</v>
      </c>
      <c r="O708" t="n">
        <v>0</v>
      </c>
      <c r="P708" t="n">
        <v>0</v>
      </c>
      <c r="Q708" t="n">
        <v>0</v>
      </c>
      <c r="R708" t="n">
        <v>0</v>
      </c>
      <c r="S708" t="n">
        <v>2</v>
      </c>
      <c r="T708" t="n">
        <v>2</v>
      </c>
      <c r="U708" t="n">
        <v>2</v>
      </c>
      <c r="V708" s="2" t="inlineStr">
        <is>
          <t>Spillkråka
Grönsiska</t>
        </is>
      </c>
      <c r="W708">
        <f>HYPERLINK("https://klasma.github.io/Logging_0883/artfynd/A 15165-2026 artfynd.xlsx", "A 15165-2026")</f>
        <v/>
      </c>
      <c r="X708">
        <f>HYPERLINK("https://klasma.github.io/Logging_0883/kartor/A 15165-2026 karta.png", "A 15165-2026")</f>
        <v/>
      </c>
      <c r="Y708">
        <f>HYPERLINK("https://klasma.github.io/Logging_0883/kartor_geotiff/A 15165-2026 georefererad karta.tif", "A 15165-2026")</f>
        <v/>
      </c>
      <c r="AA708">
        <f>HYPERLINK("https://klasma.github.io/Logging_0883/klagomål/A 15165-2026 FSC-klagomål.docx", "A 15165-2026")</f>
        <v/>
      </c>
      <c r="AB708">
        <f>HYPERLINK("https://klasma.github.io/Logging_0883/klagomålsmail/A 15165-2026 FSC-klagomål mail.docx", "A 15165-2026")</f>
        <v/>
      </c>
      <c r="AC708">
        <f>HYPERLINK("https://klasma.github.io/Logging_0883/tillsyn/A 15165-2026 tillsynsbegäran.docx", "A 15165-2026")</f>
        <v/>
      </c>
      <c r="AD708">
        <f>HYPERLINK("https://klasma.github.io/Logging_0883/tillsynsmail/A 15165-2026 tillsynsbegäran mail.docx", "A 15165-2026")</f>
        <v/>
      </c>
      <c r="AE708">
        <f>HYPERLINK("https://klasma.github.io/Logging_0883/fåglar/A 15165-2026 prioriterade fågelarter.docx", "A 15165-2026")</f>
        <v/>
      </c>
    </row>
    <row r="709" ht="15" customHeight="1">
      <c r="A709" t="inlineStr">
        <is>
          <t>A 40854-2026</t>
        </is>
      </c>
      <c r="B709" t="inlineStr">
        <is>
          <t>avverkningsanmälan</t>
        </is>
      </c>
      <c r="C709" t="inlineStr">
        <is>
          <t>Föryngringsavverkning</t>
        </is>
      </c>
      <c r="D709" s="1" t="n">
        <v>46296</v>
      </c>
      <c r="E709" s="1" t="n">
        <v>46323</v>
      </c>
      <c r="F709" t="inlineStr">
        <is>
          <t>KALMAR LÄN</t>
        </is>
      </c>
      <c r="G709" t="inlineStr">
        <is>
          <t>VÄSTERVIK</t>
        </is>
      </c>
      <c r="H709" t="inlineStr">
        <is>
          <t>Sveaskog</t>
        </is>
      </c>
      <c r="I709" t="n">
        <v>4.3</v>
      </c>
      <c r="J709" t="n">
        <v>1</v>
      </c>
      <c r="K709" t="n">
        <v>0</v>
      </c>
      <c r="L709" t="n">
        <v>1</v>
      </c>
      <c r="M709" t="n">
        <v>0</v>
      </c>
      <c r="N709" t="n">
        <v>0</v>
      </c>
      <c r="O709" t="n">
        <v>0</v>
      </c>
      <c r="P709" t="n">
        <v>0</v>
      </c>
      <c r="Q709" t="n">
        <v>1</v>
      </c>
      <c r="R709" t="n">
        <v>0</v>
      </c>
      <c r="S709" t="n">
        <v>2</v>
      </c>
      <c r="T709" t="n">
        <v>2</v>
      </c>
      <c r="U709" t="n">
        <v>0</v>
      </c>
      <c r="V709" s="2" t="inlineStr">
        <is>
          <t>Motaggsvamp
Spillkråka</t>
        </is>
      </c>
      <c r="W709">
        <f>HYPERLINK("https://klasma.github.io/Logging_0883/artfynd/A 40854-2026 artfynd.xlsx", "A 40854-2026")</f>
        <v/>
      </c>
      <c r="X709">
        <f>HYPERLINK("https://klasma.github.io/Logging_0883/kartor/A 40854-2026 karta.png", "A 40854-2026")</f>
        <v/>
      </c>
      <c r="Y709">
        <f>HYPERLINK("https://klasma.github.io/Logging_0883/kartor_geotiff/A 40854-2026 georefererad karta.tif", "A 40854-2026")</f>
        <v/>
      </c>
      <c r="AA709">
        <f>HYPERLINK("https://klasma.github.io/Logging_0883/klagomål/A 40854-2026 FSC-klagomål.docx", "A 40854-2026")</f>
        <v/>
      </c>
      <c r="AB709">
        <f>HYPERLINK("https://klasma.github.io/Logging_0883/klagomålsmail/A 40854-2026 FSC-klagomål mail.docx", "A 40854-2026")</f>
        <v/>
      </c>
      <c r="AC709">
        <f>HYPERLINK("https://klasma.github.io/Logging_0883/tillsyn/A 40854-2026 tillsynsbegäran.docx", "A 40854-2026")</f>
        <v/>
      </c>
      <c r="AD709">
        <f>HYPERLINK("https://klasma.github.io/Logging_0883/tillsynsmail/A 40854-2026 tillsynsbegäran mail.docx", "A 40854-2026")</f>
        <v/>
      </c>
      <c r="AE709">
        <f>HYPERLINK("https://klasma.github.io/Logging_0883/fåglar/A 40854-2026 prioriterade fågelarter.docx", "A 40854-2026")</f>
        <v/>
      </c>
    </row>
    <row r="710" ht="15" customHeight="1">
      <c r="A710" t="inlineStr">
        <is>
          <t>A 16956-2026</t>
        </is>
      </c>
      <c r="B710" t="inlineStr">
        <is>
          <t>avverkningsanmälan</t>
        </is>
      </c>
      <c r="C710" t="inlineStr">
        <is>
          <t>Föryngringsavverkning</t>
        </is>
      </c>
      <c r="D710" s="1" t="n">
        <v>46114</v>
      </c>
      <c r="E710" s="1" t="n">
        <v>46323</v>
      </c>
      <c r="F710" t="inlineStr">
        <is>
          <t>KALMAR LÄN</t>
        </is>
      </c>
      <c r="G710" t="inlineStr">
        <is>
          <t>VÄSTERVIK</t>
        </is>
      </c>
      <c r="I710" t="n">
        <v>1.4</v>
      </c>
      <c r="J710" t="n">
        <v>2</v>
      </c>
      <c r="K710" t="n">
        <v>0</v>
      </c>
      <c r="L710" t="n">
        <v>2</v>
      </c>
      <c r="M710" t="n">
        <v>0</v>
      </c>
      <c r="N710" t="n">
        <v>0</v>
      </c>
      <c r="O710" t="n">
        <v>0</v>
      </c>
      <c r="P710" t="n">
        <v>0</v>
      </c>
      <c r="Q710" t="n">
        <v>2</v>
      </c>
      <c r="R710" t="n">
        <v>0</v>
      </c>
      <c r="S710" t="n">
        <v>2</v>
      </c>
      <c r="T710" t="n">
        <v>2</v>
      </c>
      <c r="U710" t="n">
        <v>2</v>
      </c>
      <c r="V710" s="2" t="inlineStr">
        <is>
          <t>Järnsparv
Talltita</t>
        </is>
      </c>
      <c r="W710">
        <f>HYPERLINK("https://klasma.github.io/Logging_0883/artfynd/A 16956-2026 artfynd.xlsx", "A 16956-2026")</f>
        <v/>
      </c>
      <c r="X710">
        <f>HYPERLINK("https://klasma.github.io/Logging_0883/kartor/A 16956-2026 karta.png", "A 16956-2026")</f>
        <v/>
      </c>
      <c r="Y710">
        <f>HYPERLINK("https://klasma.github.io/Logging_0883/kartor_geotiff/A 16956-2026 georefererad karta.tif", "A 16956-2026")</f>
        <v/>
      </c>
      <c r="AA710">
        <f>HYPERLINK("https://klasma.github.io/Logging_0883/klagomål/A 16956-2026 FSC-klagomål.docx", "A 16956-2026")</f>
        <v/>
      </c>
      <c r="AB710">
        <f>HYPERLINK("https://klasma.github.io/Logging_0883/klagomålsmail/A 16956-2026 FSC-klagomål mail.docx", "A 16956-2026")</f>
        <v/>
      </c>
      <c r="AC710">
        <f>HYPERLINK("https://klasma.github.io/Logging_0883/tillsyn/A 16956-2026 tillsynsbegäran.docx", "A 16956-2026")</f>
        <v/>
      </c>
      <c r="AD710">
        <f>HYPERLINK("https://klasma.github.io/Logging_0883/tillsynsmail/A 16956-2026 tillsynsbegäran mail.docx", "A 16956-2026")</f>
        <v/>
      </c>
      <c r="AE710">
        <f>HYPERLINK("https://klasma.github.io/Logging_0883/fåglar/A 16956-2026 prioriterade fågelarter.docx", "A 16956-2026")</f>
        <v/>
      </c>
    </row>
    <row r="711" ht="15" customHeight="1">
      <c r="A711" t="inlineStr">
        <is>
          <t>A 34200-2026</t>
        </is>
      </c>
      <c r="B711" t="inlineStr">
        <is>
          <t>avverkningsanmälan</t>
        </is>
      </c>
      <c r="C711" t="inlineStr">
        <is>
          <t>Föryngringsavverkning</t>
        </is>
      </c>
      <c r="D711" s="1" t="n">
        <v>46253</v>
      </c>
      <c r="E711" s="1" t="n">
        <v>46323</v>
      </c>
      <c r="F711" t="inlineStr">
        <is>
          <t>KALMAR LÄN</t>
        </is>
      </c>
      <c r="G711" t="inlineStr">
        <is>
          <t>KALMAR</t>
        </is>
      </c>
      <c r="I711" t="n">
        <v>6.7</v>
      </c>
      <c r="J711" t="n">
        <v>1</v>
      </c>
      <c r="K711" t="n">
        <v>1</v>
      </c>
      <c r="L711" t="n">
        <v>0</v>
      </c>
      <c r="M711" t="n">
        <v>0</v>
      </c>
      <c r="N711" t="n">
        <v>0</v>
      </c>
      <c r="O711" t="n">
        <v>0</v>
      </c>
      <c r="P711" t="n">
        <v>0</v>
      </c>
      <c r="Q711" t="n">
        <v>0</v>
      </c>
      <c r="R711" t="n">
        <v>0</v>
      </c>
      <c r="S711" t="n">
        <v>2</v>
      </c>
      <c r="T711" t="n">
        <v>2</v>
      </c>
      <c r="U711" t="n">
        <v>2</v>
      </c>
      <c r="V711" s="2" t="inlineStr">
        <is>
          <t>Grönpyrola
Spillkråka</t>
        </is>
      </c>
      <c r="W711">
        <f>HYPERLINK("https://klasma.github.io/Logging_0880/artfynd/A 34200-2026 artfynd.xlsx", "A 34200-2026")</f>
        <v/>
      </c>
      <c r="X711">
        <f>HYPERLINK("https://klasma.github.io/Logging_0880/kartor/A 34200-2026 karta.png", "A 34200-2026")</f>
        <v/>
      </c>
      <c r="Y711">
        <f>HYPERLINK("https://klasma.github.io/Logging_0880/kartor_geotiff/A 34200-2026 georefererad karta.tif", "A 34200-2026")</f>
        <v/>
      </c>
      <c r="AA711">
        <f>HYPERLINK("https://klasma.github.io/Logging_0880/klagomål/A 34200-2026 FSC-klagomål.docx", "A 34200-2026")</f>
        <v/>
      </c>
      <c r="AB711">
        <f>HYPERLINK("https://klasma.github.io/Logging_0880/klagomålsmail/A 34200-2026 FSC-klagomål mail.docx", "A 34200-2026")</f>
        <v/>
      </c>
      <c r="AC711">
        <f>HYPERLINK("https://klasma.github.io/Logging_0880/tillsyn/A 34200-2026 tillsynsbegäran.docx", "A 34200-2026")</f>
        <v/>
      </c>
      <c r="AD711">
        <f>HYPERLINK("https://klasma.github.io/Logging_0880/tillsynsmail/A 34200-2026 tillsynsbegäran mail.docx", "A 34200-2026")</f>
        <v/>
      </c>
      <c r="AE711">
        <f>HYPERLINK("https://klasma.github.io/Logging_0880/fåglar/A 34200-2026 prioriterade fågelarter.docx", "A 34200-2026")</f>
        <v/>
      </c>
    </row>
    <row r="712" ht="15" customHeight="1">
      <c r="A712" t="inlineStr">
        <is>
          <t>A 17374-2026</t>
        </is>
      </c>
      <c r="B712" t="inlineStr">
        <is>
          <t>avverkningsanmälan</t>
        </is>
      </c>
      <c r="C712" t="inlineStr">
        <is>
          <t>Föryngringsavverkning</t>
        </is>
      </c>
      <c r="D712" s="1" t="n">
        <v>46119</v>
      </c>
      <c r="E712" s="1" t="n">
        <v>46323</v>
      </c>
      <c r="F712" t="inlineStr">
        <is>
          <t>KALMAR LÄN</t>
        </is>
      </c>
      <c r="G712" t="inlineStr">
        <is>
          <t>KALMAR</t>
        </is>
      </c>
      <c r="I712" t="n">
        <v>6</v>
      </c>
      <c r="J712" t="n">
        <v>2</v>
      </c>
      <c r="K712" t="n">
        <v>0</v>
      </c>
      <c r="L712" t="n">
        <v>1</v>
      </c>
      <c r="M712" t="n">
        <v>0</v>
      </c>
      <c r="N712" t="n">
        <v>0</v>
      </c>
      <c r="O712" t="n">
        <v>0</v>
      </c>
      <c r="P712" t="n">
        <v>0</v>
      </c>
      <c r="Q712" t="n">
        <v>1</v>
      </c>
      <c r="R712" t="n">
        <v>0</v>
      </c>
      <c r="S712" t="n">
        <v>2</v>
      </c>
      <c r="T712" t="n">
        <v>2</v>
      </c>
      <c r="U712" t="n">
        <v>0</v>
      </c>
      <c r="V712" s="2" t="inlineStr">
        <is>
          <t>Nordfladdermus
Dvärgpipistrell</t>
        </is>
      </c>
      <c r="W712">
        <f>HYPERLINK("https://klasma.github.io/Logging_0880/artfynd/A 17374-2026 artfynd.xlsx", "A 17374-2026")</f>
        <v/>
      </c>
      <c r="X712">
        <f>HYPERLINK("https://klasma.github.io/Logging_0880/kartor/A 17374-2026 karta.png", "A 17374-2026")</f>
        <v/>
      </c>
      <c r="Y712">
        <f>HYPERLINK("https://klasma.github.io/Logging_0880/kartor_geotiff/A 17374-2026 georefererad karta.tif", "A 17374-2026")</f>
        <v/>
      </c>
      <c r="AA712">
        <f>HYPERLINK("https://klasma.github.io/Logging_0880/klagomål/A 17374-2026 FSC-klagomål.docx", "A 17374-2026")</f>
        <v/>
      </c>
      <c r="AB712">
        <f>HYPERLINK("https://klasma.github.io/Logging_0880/klagomålsmail/A 17374-2026 FSC-klagomål mail.docx", "A 17374-2026")</f>
        <v/>
      </c>
      <c r="AC712">
        <f>HYPERLINK("https://klasma.github.io/Logging_0880/tillsyn/A 17374-2026 tillsynsbegäran.docx", "A 17374-2026")</f>
        <v/>
      </c>
      <c r="AD712">
        <f>HYPERLINK("https://klasma.github.io/Logging_0880/tillsynsmail/A 17374-2026 tillsynsbegäran mail.docx", "A 17374-2026")</f>
        <v/>
      </c>
    </row>
    <row r="713" ht="15" customHeight="1">
      <c r="A713" t="inlineStr">
        <is>
          <t>A 41186-2026</t>
        </is>
      </c>
      <c r="B713" t="inlineStr">
        <is>
          <t>avverkningsanmälan</t>
        </is>
      </c>
      <c r="C713" t="inlineStr">
        <is>
          <t>Avverkning för annat ändamål</t>
        </is>
      </c>
      <c r="D713" s="1" t="n">
        <v>46300</v>
      </c>
      <c r="E713" s="1" t="n">
        <v>46323</v>
      </c>
      <c r="F713" t="inlineStr">
        <is>
          <t>KALMAR LÄN</t>
        </is>
      </c>
      <c r="G713" t="inlineStr">
        <is>
          <t>VIMMERBY</t>
        </is>
      </c>
      <c r="I713" t="n">
        <v>0.3</v>
      </c>
      <c r="J713" t="n">
        <v>1</v>
      </c>
      <c r="K713" t="n">
        <v>0</v>
      </c>
      <c r="L713" t="n">
        <v>0</v>
      </c>
      <c r="M713" t="n">
        <v>0</v>
      </c>
      <c r="N713" t="n">
        <v>0</v>
      </c>
      <c r="O713" t="n">
        <v>0</v>
      </c>
      <c r="P713" t="n">
        <v>0</v>
      </c>
      <c r="Q713" t="n">
        <v>0</v>
      </c>
      <c r="R713" t="n">
        <v>0</v>
      </c>
      <c r="S713" t="n">
        <v>2</v>
      </c>
      <c r="T713" t="n">
        <v>2</v>
      </c>
      <c r="U713" t="n">
        <v>0</v>
      </c>
      <c r="V713" s="2" t="inlineStr">
        <is>
          <t>Blåsippa
Kransmossa</t>
        </is>
      </c>
      <c r="W713">
        <f>HYPERLINK("https://klasma.github.io/Logging_0884/artfynd/A 41186-2026 artfynd.xlsx", "A 41186-2026")</f>
        <v/>
      </c>
      <c r="X713">
        <f>HYPERLINK("https://klasma.github.io/Logging_0884/kartor/A 41186-2026 karta.png", "A 41186-2026")</f>
        <v/>
      </c>
      <c r="Y713">
        <f>HYPERLINK("https://klasma.github.io/Logging_0884/kartor_geotiff/A 41186-2026 georefererad karta.tif", "A 41186-2026")</f>
        <v/>
      </c>
      <c r="AA713">
        <f>HYPERLINK("https://klasma.github.io/Logging_0884/klagomål/A 41186-2026 FSC-klagomål.docx", "A 41186-2026")</f>
        <v/>
      </c>
      <c r="AB713">
        <f>HYPERLINK("https://klasma.github.io/Logging_0884/klagomålsmail/A 41186-2026 FSC-klagomål mail.docx", "A 41186-2026")</f>
        <v/>
      </c>
      <c r="AC713">
        <f>HYPERLINK("https://klasma.github.io/Logging_0884/tillsyn/A 41186-2026 tillsynsbegäran.docx", "A 41186-2026")</f>
        <v/>
      </c>
      <c r="AD713">
        <f>HYPERLINK("https://klasma.github.io/Logging_0884/tillsynsmail/A 41186-2026 tillsynsbegäran mail.docx", "A 41186-2026")</f>
        <v/>
      </c>
    </row>
    <row r="714" ht="15" customHeight="1">
      <c r="A714" t="inlineStr">
        <is>
          <t>A 17390-2026</t>
        </is>
      </c>
      <c r="B714" t="inlineStr">
        <is>
          <t>avverkningsanmälan</t>
        </is>
      </c>
      <c r="C714" t="inlineStr">
        <is>
          <t>Föryngringsavverkning</t>
        </is>
      </c>
      <c r="D714" s="1" t="n">
        <v>46119</v>
      </c>
      <c r="E714" s="1" t="n">
        <v>46323</v>
      </c>
      <c r="F714" t="inlineStr">
        <is>
          <t>KALMAR LÄN</t>
        </is>
      </c>
      <c r="G714" t="inlineStr">
        <is>
          <t>KALMAR</t>
        </is>
      </c>
      <c r="I714" t="n">
        <v>7</v>
      </c>
      <c r="J714" t="n">
        <v>0</v>
      </c>
      <c r="K714" t="n">
        <v>2</v>
      </c>
      <c r="L714" t="n">
        <v>0</v>
      </c>
      <c r="M714" t="n">
        <v>0</v>
      </c>
      <c r="N714" t="n">
        <v>0</v>
      </c>
      <c r="O714" t="n">
        <v>0</v>
      </c>
      <c r="P714" t="n">
        <v>0</v>
      </c>
      <c r="Q714" t="n">
        <v>0</v>
      </c>
      <c r="R714" t="n">
        <v>0</v>
      </c>
      <c r="S714" t="n">
        <v>2</v>
      </c>
      <c r="T714" t="n">
        <v>3</v>
      </c>
      <c r="U714" t="n">
        <v>0</v>
      </c>
      <c r="V714" s="2" t="inlineStr">
        <is>
          <t>Blåmossa
Tibast</t>
        </is>
      </c>
      <c r="W714">
        <f>HYPERLINK("https://klasma.github.io/Logging_0880/artfynd/A 17390-2026 artfynd.xlsx", "A 17390-2026")</f>
        <v/>
      </c>
      <c r="X714">
        <f>HYPERLINK("https://klasma.github.io/Logging_0880/kartor/A 17390-2026 karta.png", "A 17390-2026")</f>
        <v/>
      </c>
      <c r="Y714">
        <f>HYPERLINK("https://klasma.github.io/Logging_0880/kartor_geotiff/A 17390-2026 georefererad karta.tif", "A 17390-2026")</f>
        <v/>
      </c>
      <c r="AA714">
        <f>HYPERLINK("https://klasma.github.io/Logging_0880/klagomål/A 17390-2026 FSC-klagomål.docx", "A 17390-2026")</f>
        <v/>
      </c>
      <c r="AB714">
        <f>HYPERLINK("https://klasma.github.io/Logging_0880/klagomålsmail/A 17390-2026 FSC-klagomål mail.docx", "A 17390-2026")</f>
        <v/>
      </c>
      <c r="AC714">
        <f>HYPERLINK("https://klasma.github.io/Logging_0880/tillsyn/A 17390-2026 tillsynsbegäran.docx", "A 17390-2026")</f>
        <v/>
      </c>
      <c r="AD714">
        <f>HYPERLINK("https://klasma.github.io/Logging_0880/tillsynsmail/A 17390-2026 tillsynsbegäran mail.docx", "A 17390-2026")</f>
        <v/>
      </c>
    </row>
    <row r="715" ht="15" customHeight="1">
      <c r="A715" t="inlineStr">
        <is>
          <t>A 61709-2022</t>
        </is>
      </c>
      <c r="B715" t="inlineStr">
        <is>
          <t>avverkningsanmälan</t>
        </is>
      </c>
      <c r="C715" t="inlineStr">
        <is>
          <t>Föryngringsavverkning</t>
        </is>
      </c>
      <c r="D715" s="1" t="n">
        <v>44917</v>
      </c>
      <c r="E715" s="1" t="n">
        <v>46323</v>
      </c>
      <c r="F715" t="inlineStr">
        <is>
          <t>KALMAR LÄN</t>
        </is>
      </c>
      <c r="G715" t="inlineStr">
        <is>
          <t>HULTSFRED</t>
        </is>
      </c>
      <c r="I715" t="n">
        <v>3.7</v>
      </c>
      <c r="J715" t="n">
        <v>1</v>
      </c>
      <c r="K715" t="n">
        <v>1</v>
      </c>
      <c r="L715" t="n">
        <v>0</v>
      </c>
      <c r="M715" t="n">
        <v>1</v>
      </c>
      <c r="N715" t="n">
        <v>0</v>
      </c>
      <c r="O715" t="n">
        <v>0</v>
      </c>
      <c r="P715" t="n">
        <v>0</v>
      </c>
      <c r="Q715" t="n">
        <v>1</v>
      </c>
      <c r="R715" t="n">
        <v>1</v>
      </c>
      <c r="S715" t="n">
        <v>2</v>
      </c>
      <c r="T715" t="n">
        <v>2</v>
      </c>
      <c r="U715" t="n">
        <v>2</v>
      </c>
      <c r="V715" s="2" t="inlineStr">
        <is>
          <t>Knärot
Grönpyrola</t>
        </is>
      </c>
      <c r="W715">
        <f>HYPERLINK("https://klasma.github.io/Logging_0860/artfynd/A 61709-2022 artfynd.xlsx", "A 61709-2022")</f>
        <v/>
      </c>
      <c r="X715">
        <f>HYPERLINK("https://klasma.github.io/Logging_0860/kartor/A 61709-2022 karta.png", "A 61709-2022")</f>
        <v/>
      </c>
      <c r="Y715">
        <f>HYPERLINK("https://klasma.github.io/Logging_0860/kartor_geotiff/A 61709-2022 georefererad karta.tif", "A 61709-2022")</f>
        <v/>
      </c>
      <c r="Z715">
        <f>HYPERLINK("https://klasma.github.io/Logging_0860/knärot/A 61709-2022 karta knärot.png", "A 61709-2022")</f>
        <v/>
      </c>
      <c r="AA715">
        <f>HYPERLINK("https://klasma.github.io/Logging_0860/klagomål/A 61709-2022 FSC-klagomål.docx", "A 61709-2022")</f>
        <v/>
      </c>
      <c r="AB715">
        <f>HYPERLINK("https://klasma.github.io/Logging_0860/klagomålsmail/A 61709-2022 FSC-klagomål mail.docx", "A 61709-2022")</f>
        <v/>
      </c>
      <c r="AC715">
        <f>HYPERLINK("https://klasma.github.io/Logging_0860/tillsyn/A 61709-2022 tillsynsbegäran.docx", "A 61709-2022")</f>
        <v/>
      </c>
      <c r="AD715">
        <f>HYPERLINK("https://klasma.github.io/Logging_0860/tillsynsmail/A 61709-2022 tillsynsbegäran mail.docx", "A 61709-2022")</f>
        <v/>
      </c>
    </row>
    <row r="716" ht="15" customHeight="1">
      <c r="A716" t="inlineStr">
        <is>
          <t>A 59231-2022</t>
        </is>
      </c>
      <c r="B716" t="inlineStr">
        <is>
          <t>avverkningsanmälan</t>
        </is>
      </c>
      <c r="C716" t="inlineStr">
        <is>
          <t>Föryngringsavverkning</t>
        </is>
      </c>
      <c r="D716" s="1" t="n">
        <v>44904</v>
      </c>
      <c r="E716" s="1" t="n">
        <v>46323</v>
      </c>
      <c r="F716" t="inlineStr">
        <is>
          <t>KALMAR LÄN</t>
        </is>
      </c>
      <c r="G716" t="inlineStr">
        <is>
          <t>VÄSTERVIK</t>
        </is>
      </c>
      <c r="I716" t="n">
        <v>1.8</v>
      </c>
      <c r="J716" t="n">
        <v>0</v>
      </c>
      <c r="K716" t="n">
        <v>1</v>
      </c>
      <c r="L716" t="n">
        <v>1</v>
      </c>
      <c r="M716" t="n">
        <v>0</v>
      </c>
      <c r="N716" t="n">
        <v>0</v>
      </c>
      <c r="O716" t="n">
        <v>0</v>
      </c>
      <c r="P716" t="n">
        <v>0</v>
      </c>
      <c r="Q716" t="n">
        <v>1</v>
      </c>
      <c r="R716" t="n">
        <v>0</v>
      </c>
      <c r="S716" t="n">
        <v>2</v>
      </c>
      <c r="T716" t="n">
        <v>2</v>
      </c>
      <c r="U716" t="n">
        <v>2</v>
      </c>
      <c r="V716" s="2" t="inlineStr">
        <is>
          <t>Tallticka
Grönpyrola</t>
        </is>
      </c>
      <c r="W716">
        <f>HYPERLINK("https://klasma.github.io/Logging_0883/artfynd/A 59231-2022 artfynd.xlsx", "A 59231-2022")</f>
        <v/>
      </c>
      <c r="X716">
        <f>HYPERLINK("https://klasma.github.io/Logging_0883/kartor/A 59231-2022 karta.png", "A 59231-2022")</f>
        <v/>
      </c>
      <c r="Y716">
        <f>HYPERLINK("https://klasma.github.io/Logging_0883/kartor_geotiff/A 59231-2022 georefererad karta.tif", "A 59231-2022")</f>
        <v/>
      </c>
      <c r="AA716">
        <f>HYPERLINK("https://klasma.github.io/Logging_0883/klagomål/A 59231-2022 FSC-klagomål.docx", "A 59231-2022")</f>
        <v/>
      </c>
      <c r="AB716">
        <f>HYPERLINK("https://klasma.github.io/Logging_0883/klagomålsmail/A 59231-2022 FSC-klagomål mail.docx", "A 59231-2022")</f>
        <v/>
      </c>
      <c r="AC716">
        <f>HYPERLINK("https://klasma.github.io/Logging_0883/tillsyn/A 59231-2022 tillsynsbegäran.docx", "A 59231-2022")</f>
        <v/>
      </c>
      <c r="AD716">
        <f>HYPERLINK("https://klasma.github.io/Logging_0883/tillsynsmail/A 59231-2022 tillsynsbegäran mail.docx", "A 59231-2022")</f>
        <v/>
      </c>
    </row>
    <row r="717" ht="15" customHeight="1">
      <c r="A717" t="inlineStr">
        <is>
          <t>A 18330-2026</t>
        </is>
      </c>
      <c r="B717" t="inlineStr">
        <is>
          <t>avverkningsanmälan</t>
        </is>
      </c>
      <c r="C717" t="inlineStr">
        <is>
          <t>Föryngringsavverkning</t>
        </is>
      </c>
      <c r="D717" s="1" t="n">
        <v>46126</v>
      </c>
      <c r="E717" s="1" t="n">
        <v>46323</v>
      </c>
      <c r="F717" t="inlineStr">
        <is>
          <t>KALMAR LÄN</t>
        </is>
      </c>
      <c r="G717" t="inlineStr">
        <is>
          <t>OSKARSHAMN</t>
        </is>
      </c>
      <c r="I717" t="n">
        <v>3.1</v>
      </c>
      <c r="J717" t="n">
        <v>1</v>
      </c>
      <c r="K717" t="n">
        <v>0</v>
      </c>
      <c r="L717" t="n">
        <v>0</v>
      </c>
      <c r="M717" t="n">
        <v>0</v>
      </c>
      <c r="N717" t="n">
        <v>0</v>
      </c>
      <c r="O717" t="n">
        <v>0</v>
      </c>
      <c r="P717" t="n">
        <v>1</v>
      </c>
      <c r="Q717" t="n">
        <v>1</v>
      </c>
      <c r="R717" t="n">
        <v>0</v>
      </c>
      <c r="S717" t="n">
        <v>2</v>
      </c>
      <c r="T717" t="n">
        <v>2</v>
      </c>
      <c r="U717" t="n">
        <v>1</v>
      </c>
      <c r="V717" s="2" t="inlineStr">
        <is>
          <t>Pimpinellros
Orre</t>
        </is>
      </c>
      <c r="W717">
        <f>HYPERLINK("https://klasma.github.io/Logging_0882/artfynd/A 18330-2026 artfynd.xlsx", "A 18330-2026")</f>
        <v/>
      </c>
      <c r="X717">
        <f>HYPERLINK("https://klasma.github.io/Logging_0882/kartor/A 18330-2026 karta.png", "A 18330-2026")</f>
        <v/>
      </c>
      <c r="Y717">
        <f>HYPERLINK("https://klasma.github.io/Logging_0882/kartor_geotiff/A 18330-2026 georefererad karta.tif", "A 18330-2026")</f>
        <v/>
      </c>
      <c r="AA717">
        <f>HYPERLINK("https://klasma.github.io/Logging_0882/klagomål/A 18330-2026 FSC-klagomål.docx", "A 18330-2026")</f>
        <v/>
      </c>
      <c r="AB717">
        <f>HYPERLINK("https://klasma.github.io/Logging_0882/klagomålsmail/A 18330-2026 FSC-klagomål mail.docx", "A 18330-2026")</f>
        <v/>
      </c>
      <c r="AC717">
        <f>HYPERLINK("https://klasma.github.io/Logging_0882/tillsyn/A 18330-2026 tillsynsbegäran.docx", "A 18330-2026")</f>
        <v/>
      </c>
      <c r="AD717">
        <f>HYPERLINK("https://klasma.github.io/Logging_0882/tillsynsmail/A 18330-2026 tillsynsbegäran mail.docx", "A 18330-2026")</f>
        <v/>
      </c>
      <c r="AE717">
        <f>HYPERLINK("https://klasma.github.io/Logging_0882/fåglar/A 18330-2026 prioriterade fågelarter.docx", "A 18330-2026")</f>
        <v/>
      </c>
    </row>
    <row r="718" ht="15" customHeight="1">
      <c r="A718" t="inlineStr">
        <is>
          <t>A 41189-2026</t>
        </is>
      </c>
      <c r="B718" t="inlineStr">
        <is>
          <t>avverkningsanmälan</t>
        </is>
      </c>
      <c r="C718" t="inlineStr">
        <is>
          <t>Avverkning för annat ändamål</t>
        </is>
      </c>
      <c r="D718" s="1" t="n">
        <v>46300</v>
      </c>
      <c r="E718" s="1" t="n">
        <v>46323</v>
      </c>
      <c r="F718" t="inlineStr">
        <is>
          <t>KALMAR LÄN</t>
        </is>
      </c>
      <c r="G718" t="inlineStr">
        <is>
          <t>VIMMERBY</t>
        </is>
      </c>
      <c r="I718" t="n">
        <v>1.7</v>
      </c>
      <c r="J718" t="n">
        <v>0</v>
      </c>
      <c r="K718" t="n">
        <v>0</v>
      </c>
      <c r="L718" t="n">
        <v>1</v>
      </c>
      <c r="M718" t="n">
        <v>1</v>
      </c>
      <c r="N718" t="n">
        <v>0</v>
      </c>
      <c r="O718" t="n">
        <v>0</v>
      </c>
      <c r="P718" t="n">
        <v>0</v>
      </c>
      <c r="Q718" t="n">
        <v>2</v>
      </c>
      <c r="R718" t="n">
        <v>1</v>
      </c>
      <c r="S718" t="n">
        <v>2</v>
      </c>
      <c r="T718" t="n">
        <v>2</v>
      </c>
      <c r="U718" t="n">
        <v>0</v>
      </c>
      <c r="V718" s="2" t="inlineStr">
        <is>
          <t>Brunfläckig pärlemorfjäril
Jungfrulin</t>
        </is>
      </c>
      <c r="W718">
        <f>HYPERLINK("https://klasma.github.io/Logging_0884/artfynd/A 41189-2026 artfynd.xlsx", "A 41189-2026")</f>
        <v/>
      </c>
      <c r="X718">
        <f>HYPERLINK("https://klasma.github.io/Logging_0884/kartor/A 41189-2026 karta.png", "A 41189-2026")</f>
        <v/>
      </c>
      <c r="Y718">
        <f>HYPERLINK("https://klasma.github.io/Logging_0884/kartor_geotiff/A 41189-2026 georefererad karta.tif", "A 41189-2026")</f>
        <v/>
      </c>
      <c r="AA718">
        <f>HYPERLINK("https://klasma.github.io/Logging_0884/klagomål/A 41189-2026 FSC-klagomål.docx", "A 41189-2026")</f>
        <v/>
      </c>
      <c r="AB718">
        <f>HYPERLINK("https://klasma.github.io/Logging_0884/klagomålsmail/A 41189-2026 FSC-klagomål mail.docx", "A 41189-2026")</f>
        <v/>
      </c>
      <c r="AC718">
        <f>HYPERLINK("https://klasma.github.io/Logging_0884/tillsyn/A 41189-2026 tillsynsbegäran.docx", "A 41189-2026")</f>
        <v/>
      </c>
      <c r="AD718">
        <f>HYPERLINK("https://klasma.github.io/Logging_0884/tillsynsmail/A 41189-2026 tillsynsbegäran mail.docx", "A 41189-2026")</f>
        <v/>
      </c>
    </row>
    <row r="719" ht="15" customHeight="1">
      <c r="A719" t="inlineStr">
        <is>
          <t>A 53862-2022</t>
        </is>
      </c>
      <c r="B719" t="inlineStr">
        <is>
          <t>avverkningsanmälan</t>
        </is>
      </c>
      <c r="C719" t="inlineStr">
        <is>
          <t>Föryngringsavverkning</t>
        </is>
      </c>
      <c r="D719" s="1" t="n">
        <v>44876</v>
      </c>
      <c r="E719" s="1" t="n">
        <v>46323</v>
      </c>
      <c r="F719" t="inlineStr">
        <is>
          <t>KALMAR LÄN</t>
        </is>
      </c>
      <c r="G719" t="inlineStr">
        <is>
          <t>HULTSFRED</t>
        </is>
      </c>
      <c r="H719" t="inlineStr">
        <is>
          <t>Kommuner</t>
        </is>
      </c>
      <c r="I719" t="n">
        <v>1.7</v>
      </c>
      <c r="J719" t="n">
        <v>1</v>
      </c>
      <c r="K719" t="n">
        <v>1</v>
      </c>
      <c r="L719" t="n">
        <v>0</v>
      </c>
      <c r="M719" t="n">
        <v>0</v>
      </c>
      <c r="N719" t="n">
        <v>0</v>
      </c>
      <c r="O719" t="n">
        <v>0</v>
      </c>
      <c r="P719" t="n">
        <v>0</v>
      </c>
      <c r="Q719" t="n">
        <v>0</v>
      </c>
      <c r="R719" t="n">
        <v>0</v>
      </c>
      <c r="S719" t="n">
        <v>2</v>
      </c>
      <c r="T719" t="n">
        <v>3</v>
      </c>
      <c r="U719" t="n">
        <v>2</v>
      </c>
      <c r="V719" s="2" t="inlineStr">
        <is>
          <t>Stubbspretmossa
Blåsippa</t>
        </is>
      </c>
      <c r="W719">
        <f>HYPERLINK("https://klasma.github.io/Logging_0860/artfynd/A 53862-2022 artfynd.xlsx", "A 53862-2022")</f>
        <v/>
      </c>
      <c r="X719">
        <f>HYPERLINK("https://klasma.github.io/Logging_0860/kartor/A 53862-2022 karta.png", "A 53862-2022")</f>
        <v/>
      </c>
      <c r="Y719">
        <f>HYPERLINK("https://klasma.github.io/Logging_0860/kartor_geotiff/A 53862-2022 georefererad karta.tif", "A 53862-2022")</f>
        <v/>
      </c>
      <c r="AA719">
        <f>HYPERLINK("https://klasma.github.io/Logging_0860/klagomål/A 53862-2022 FSC-klagomål.docx", "A 53862-2022")</f>
        <v/>
      </c>
      <c r="AB719">
        <f>HYPERLINK("https://klasma.github.io/Logging_0860/klagomålsmail/A 53862-2022 FSC-klagomål mail.docx", "A 53862-2022")</f>
        <v/>
      </c>
      <c r="AC719">
        <f>HYPERLINK("https://klasma.github.io/Logging_0860/tillsyn/A 53862-2022 tillsynsbegäran.docx", "A 53862-2022")</f>
        <v/>
      </c>
      <c r="AD719">
        <f>HYPERLINK("https://klasma.github.io/Logging_0860/tillsynsmail/A 53862-2022 tillsynsbegäran mail.docx", "A 53862-2022")</f>
        <v/>
      </c>
    </row>
    <row r="720" ht="15" customHeight="1">
      <c r="A720" t="inlineStr">
        <is>
          <t>A 9770-2024</t>
        </is>
      </c>
      <c r="B720" t="inlineStr">
        <is>
          <t>avverkningsanmälan</t>
        </is>
      </c>
      <c r="C720" t="inlineStr">
        <is>
          <t>Föryngringsavverkning</t>
        </is>
      </c>
      <c r="D720" s="1" t="n">
        <v>45362</v>
      </c>
      <c r="E720" s="1" t="n">
        <v>46323</v>
      </c>
      <c r="F720" t="inlineStr">
        <is>
          <t>KALMAR LÄN</t>
        </is>
      </c>
      <c r="G720" t="inlineStr">
        <is>
          <t>VÄSTERVIK</t>
        </is>
      </c>
      <c r="I720" t="n">
        <v>2.6</v>
      </c>
      <c r="J720" t="n">
        <v>2</v>
      </c>
      <c r="K720" t="n">
        <v>0</v>
      </c>
      <c r="L720" t="n">
        <v>1</v>
      </c>
      <c r="M720" t="n">
        <v>0</v>
      </c>
      <c r="N720" t="n">
        <v>0</v>
      </c>
      <c r="O720" t="n">
        <v>0</v>
      </c>
      <c r="P720" t="n">
        <v>0</v>
      </c>
      <c r="Q720" t="n">
        <v>1</v>
      </c>
      <c r="R720" t="n">
        <v>0</v>
      </c>
      <c r="S720" t="n">
        <v>2</v>
      </c>
      <c r="T720" t="n">
        <v>2</v>
      </c>
      <c r="U720" t="n">
        <v>0</v>
      </c>
      <c r="V720" s="2" t="inlineStr">
        <is>
          <t>Talltita
Tjäder</t>
        </is>
      </c>
      <c r="W720">
        <f>HYPERLINK("https://klasma.github.io/Logging_0883/artfynd/A 9770-2024 artfynd.xlsx", "A 9770-2024")</f>
        <v/>
      </c>
      <c r="X720">
        <f>HYPERLINK("https://klasma.github.io/Logging_0883/kartor/A 9770-2024 karta.png", "A 9770-2024")</f>
        <v/>
      </c>
      <c r="Y720">
        <f>HYPERLINK("https://klasma.github.io/Logging_0883/kartor_geotiff/A 9770-2024 georefererad karta.tif", "A 9770-2024")</f>
        <v/>
      </c>
      <c r="AA720">
        <f>HYPERLINK("https://klasma.github.io/Logging_0883/klagomål/A 9770-2024 FSC-klagomål.docx", "A 9770-2024")</f>
        <v/>
      </c>
      <c r="AB720">
        <f>HYPERLINK("https://klasma.github.io/Logging_0883/klagomålsmail/A 9770-2024 FSC-klagomål mail.docx", "A 9770-2024")</f>
        <v/>
      </c>
      <c r="AC720">
        <f>HYPERLINK("https://klasma.github.io/Logging_0883/tillsyn/A 9770-2024 tillsynsbegäran.docx", "A 9770-2024")</f>
        <v/>
      </c>
      <c r="AD720">
        <f>HYPERLINK("https://klasma.github.io/Logging_0883/tillsynsmail/A 9770-2024 tillsynsbegäran mail.docx", "A 9770-2024")</f>
        <v/>
      </c>
      <c r="AE720">
        <f>HYPERLINK("https://klasma.github.io/Logging_0883/fåglar/A 9770-2024 prioriterade fågelarter.docx", "A 9770-2024")</f>
        <v/>
      </c>
    </row>
    <row r="721" ht="15" customHeight="1">
      <c r="A721" t="inlineStr">
        <is>
          <t>A 26272-2023</t>
        </is>
      </c>
      <c r="B721" t="inlineStr">
        <is>
          <t>avverkningsanmälan</t>
        </is>
      </c>
      <c r="C721" t="inlineStr">
        <is>
          <t>Föryngringsavverkning</t>
        </is>
      </c>
      <c r="D721" s="1" t="n">
        <v>45091</v>
      </c>
      <c r="E721" s="1" t="n">
        <v>46323</v>
      </c>
      <c r="F721" t="inlineStr">
        <is>
          <t>KALMAR LÄN</t>
        </is>
      </c>
      <c r="G721" t="inlineStr">
        <is>
          <t>MÖNSTERÅS</t>
        </is>
      </c>
      <c r="I721" t="n">
        <v>1.6</v>
      </c>
      <c r="J721" t="n">
        <v>2</v>
      </c>
      <c r="K721" t="n">
        <v>0</v>
      </c>
      <c r="L721" t="n">
        <v>0</v>
      </c>
      <c r="M721" t="n">
        <v>0</v>
      </c>
      <c r="N721" t="n">
        <v>0</v>
      </c>
      <c r="O721" t="n">
        <v>0</v>
      </c>
      <c r="P721" t="n">
        <v>0</v>
      </c>
      <c r="Q721" t="n">
        <v>0</v>
      </c>
      <c r="R721" t="n">
        <v>0</v>
      </c>
      <c r="S721" t="n">
        <v>2</v>
      </c>
      <c r="T721" t="n">
        <v>2</v>
      </c>
      <c r="U721" t="n">
        <v>2</v>
      </c>
      <c r="V721" s="2" t="inlineStr">
        <is>
          <t>Dvärgpipistrell
Större brunfladdermus</t>
        </is>
      </c>
      <c r="W721">
        <f>HYPERLINK("https://klasma.github.io/Logging_0861/artfynd/A 26272-2023 artfynd.xlsx", "A 26272-2023")</f>
        <v/>
      </c>
      <c r="X721">
        <f>HYPERLINK("https://klasma.github.io/Logging_0861/kartor/A 26272-2023 karta.png", "A 26272-2023")</f>
        <v/>
      </c>
      <c r="Y721">
        <f>HYPERLINK("https://klasma.github.io/Logging_0861/kartor_geotiff/A 26272-2023 georefererad karta.tif", "A 26272-2023")</f>
        <v/>
      </c>
      <c r="AA721">
        <f>HYPERLINK("https://klasma.github.io/Logging_0861/klagomål/A 26272-2023 FSC-klagomål.docx", "A 26272-2023")</f>
        <v/>
      </c>
      <c r="AB721">
        <f>HYPERLINK("https://klasma.github.io/Logging_0861/klagomålsmail/A 26272-2023 FSC-klagomål mail.docx", "A 26272-2023")</f>
        <v/>
      </c>
      <c r="AC721">
        <f>HYPERLINK("https://klasma.github.io/Logging_0861/tillsyn/A 26272-2023 tillsynsbegäran.docx", "A 26272-2023")</f>
        <v/>
      </c>
      <c r="AD721">
        <f>HYPERLINK("https://klasma.github.io/Logging_0861/tillsynsmail/A 26272-2023 tillsynsbegäran mail.docx", "A 26272-2023")</f>
        <v/>
      </c>
    </row>
    <row r="722" ht="15" customHeight="1">
      <c r="A722" t="inlineStr">
        <is>
          <t>A 29898-2026</t>
        </is>
      </c>
      <c r="B722" t="inlineStr">
        <is>
          <t>avverkningsanmälan</t>
        </is>
      </c>
      <c r="C722" t="inlineStr">
        <is>
          <t>Föryngringsavverkning</t>
        </is>
      </c>
      <c r="D722" s="1" t="n">
        <v>46205</v>
      </c>
      <c r="E722" s="1" t="n">
        <v>46323</v>
      </c>
      <c r="F722" t="inlineStr">
        <is>
          <t>KALMAR LÄN</t>
        </is>
      </c>
      <c r="G722" t="inlineStr">
        <is>
          <t>VÄSTERVIK</t>
        </is>
      </c>
      <c r="I722" t="n">
        <v>5.8</v>
      </c>
      <c r="J722" t="n">
        <v>1</v>
      </c>
      <c r="K722" t="n">
        <v>1</v>
      </c>
      <c r="L722" t="n">
        <v>0</v>
      </c>
      <c r="M722" t="n">
        <v>0</v>
      </c>
      <c r="N722" t="n">
        <v>0</v>
      </c>
      <c r="O722" t="n">
        <v>0</v>
      </c>
      <c r="P722" t="n">
        <v>0</v>
      </c>
      <c r="Q722" t="n">
        <v>0</v>
      </c>
      <c r="R722" t="n">
        <v>0</v>
      </c>
      <c r="S722" t="n">
        <v>2</v>
      </c>
      <c r="T722" t="n">
        <v>3</v>
      </c>
      <c r="U722" t="n">
        <v>3</v>
      </c>
      <c r="V722" s="2" t="inlineStr">
        <is>
          <t>Blåmossa
Spillkråka</t>
        </is>
      </c>
      <c r="W722">
        <f>HYPERLINK("https://klasma.github.io/Logging_0883/artfynd/A 29898-2026 artfynd.xlsx", "A 29898-2026")</f>
        <v/>
      </c>
      <c r="X722">
        <f>HYPERLINK("https://klasma.github.io/Logging_0883/kartor/A 29898-2026 karta.png", "A 29898-2026")</f>
        <v/>
      </c>
      <c r="Y722">
        <f>HYPERLINK("https://klasma.github.io/Logging_0883/kartor_geotiff/A 29898-2026 georefererad karta.tif", "A 29898-2026")</f>
        <v/>
      </c>
      <c r="AA722">
        <f>HYPERLINK("https://klasma.github.io/Logging_0883/klagomål/A 29898-2026 FSC-klagomål.docx", "A 29898-2026")</f>
        <v/>
      </c>
      <c r="AB722">
        <f>HYPERLINK("https://klasma.github.io/Logging_0883/klagomålsmail/A 29898-2026 FSC-klagomål mail.docx", "A 29898-2026")</f>
        <v/>
      </c>
      <c r="AC722">
        <f>HYPERLINK("https://klasma.github.io/Logging_0883/tillsyn/A 29898-2026 tillsynsbegäran.docx", "A 29898-2026")</f>
        <v/>
      </c>
      <c r="AD722">
        <f>HYPERLINK("https://klasma.github.io/Logging_0883/tillsynsmail/A 29898-2026 tillsynsbegäran mail.docx", "A 29898-2026")</f>
        <v/>
      </c>
      <c r="AE722">
        <f>HYPERLINK("https://klasma.github.io/Logging_0883/fåglar/A 29898-2026 prioriterade fågelarter.docx", "A 29898-2026")</f>
        <v/>
      </c>
    </row>
    <row r="723" ht="15" customHeight="1">
      <c r="A723" t="inlineStr">
        <is>
          <t>A 19900-2022</t>
        </is>
      </c>
      <c r="B723" t="inlineStr">
        <is>
          <t>avverkningsanmälan</t>
        </is>
      </c>
      <c r="C723" t="inlineStr">
        <is>
          <t>Föryngringsavverkning</t>
        </is>
      </c>
      <c r="D723" s="1" t="n">
        <v>44697</v>
      </c>
      <c r="E723" s="1" t="n">
        <v>46323</v>
      </c>
      <c r="F723" t="inlineStr">
        <is>
          <t>KALMAR LÄN</t>
        </is>
      </c>
      <c r="G723" t="inlineStr">
        <is>
          <t>VÄSTERVIK</t>
        </is>
      </c>
      <c r="I723" t="n">
        <v>2.4</v>
      </c>
      <c r="J723" t="n">
        <v>1</v>
      </c>
      <c r="K723" t="n">
        <v>0</v>
      </c>
      <c r="L723" t="n">
        <v>1</v>
      </c>
      <c r="M723" t="n">
        <v>1</v>
      </c>
      <c r="N723" t="n">
        <v>0</v>
      </c>
      <c r="O723" t="n">
        <v>0</v>
      </c>
      <c r="P723" t="n">
        <v>0</v>
      </c>
      <c r="Q723" t="n">
        <v>2</v>
      </c>
      <c r="R723" t="n">
        <v>1</v>
      </c>
      <c r="S723" t="n">
        <v>2</v>
      </c>
      <c r="T723" t="n">
        <v>2</v>
      </c>
      <c r="U723" t="n">
        <v>2</v>
      </c>
      <c r="V723" s="2" t="inlineStr">
        <is>
          <t>Knärot
Tallticka</t>
        </is>
      </c>
      <c r="W723">
        <f>HYPERLINK("https://klasma.github.io/Logging_0883/artfynd/A 19900-2022 artfynd.xlsx", "A 19900-2022")</f>
        <v/>
      </c>
      <c r="X723">
        <f>HYPERLINK("https://klasma.github.io/Logging_0883/kartor/A 19900-2022 karta.png", "A 19900-2022")</f>
        <v/>
      </c>
      <c r="Y723">
        <f>HYPERLINK("https://klasma.github.io/Logging_0883/kartor_geotiff/A 19900-2022 georefererad karta.tif", "A 19900-2022")</f>
        <v/>
      </c>
      <c r="Z723">
        <f>HYPERLINK("https://klasma.github.io/Logging_0883/knärot/A 19900-2022 karta knärot.png", "A 19900-2022")</f>
        <v/>
      </c>
      <c r="AA723">
        <f>HYPERLINK("https://klasma.github.io/Logging_0883/klagomål/A 19900-2022 FSC-klagomål.docx", "A 19900-2022")</f>
        <v/>
      </c>
      <c r="AB723">
        <f>HYPERLINK("https://klasma.github.io/Logging_0883/klagomålsmail/A 19900-2022 FSC-klagomål mail.docx", "A 19900-2022")</f>
        <v/>
      </c>
      <c r="AC723">
        <f>HYPERLINK("https://klasma.github.io/Logging_0883/tillsyn/A 19900-2022 tillsynsbegäran.docx", "A 19900-2022")</f>
        <v/>
      </c>
      <c r="AD723">
        <f>HYPERLINK("https://klasma.github.io/Logging_0883/tillsynsmail/A 19900-2022 tillsynsbegäran mail.docx", "A 19900-2022")</f>
        <v/>
      </c>
    </row>
    <row r="724" ht="15" customHeight="1">
      <c r="A724" t="inlineStr">
        <is>
          <t>A 50647-2025</t>
        </is>
      </c>
      <c r="B724" t="inlineStr">
        <is>
          <t>avverkningsanmälan</t>
        </is>
      </c>
      <c r="C724" t="inlineStr">
        <is>
          <t>Föryngringsavverkning</t>
        </is>
      </c>
      <c r="D724" s="1" t="n">
        <v>45945</v>
      </c>
      <c r="E724" s="1" t="n">
        <v>46323</v>
      </c>
      <c r="F724" t="inlineStr">
        <is>
          <t>KALMAR LÄN</t>
        </is>
      </c>
      <c r="G724" t="inlineStr">
        <is>
          <t>VÄSTERVIK</t>
        </is>
      </c>
      <c r="I724" t="n">
        <v>1.7</v>
      </c>
      <c r="J724" t="n">
        <v>1</v>
      </c>
      <c r="K724" t="n">
        <v>1</v>
      </c>
      <c r="L724" t="n">
        <v>0</v>
      </c>
      <c r="M724" t="n">
        <v>1</v>
      </c>
      <c r="N724" t="n">
        <v>0</v>
      </c>
      <c r="O724" t="n">
        <v>0</v>
      </c>
      <c r="P724" t="n">
        <v>0</v>
      </c>
      <c r="Q724" t="n">
        <v>1</v>
      </c>
      <c r="R724" t="n">
        <v>1</v>
      </c>
      <c r="S724" t="n">
        <v>2</v>
      </c>
      <c r="T724" t="n">
        <v>3</v>
      </c>
      <c r="U724" t="n">
        <v>0</v>
      </c>
      <c r="V724" s="2" t="inlineStr">
        <is>
          <t>Knärot
Grönpyrola</t>
        </is>
      </c>
      <c r="W724">
        <f>HYPERLINK("https://klasma.github.io/Logging_0883/artfynd/A 50647-2025 artfynd.xlsx", "A 50647-2025")</f>
        <v/>
      </c>
      <c r="X724">
        <f>HYPERLINK("https://klasma.github.io/Logging_0883/kartor/A 50647-2025 karta.png", "A 50647-2025")</f>
        <v/>
      </c>
      <c r="Y724">
        <f>HYPERLINK("https://klasma.github.io/Logging_0883/kartor_geotiff/A 50647-2025 georefererad karta.tif", "A 50647-2025")</f>
        <v/>
      </c>
      <c r="Z724">
        <f>HYPERLINK("https://klasma.github.io/Logging_0883/knärot/A 50647-2025 karta knärot.png", "A 50647-2025")</f>
        <v/>
      </c>
      <c r="AA724">
        <f>HYPERLINK("https://klasma.github.io/Logging_0883/klagomål/A 50647-2025 FSC-klagomål.docx", "A 50647-2025")</f>
        <v/>
      </c>
      <c r="AB724">
        <f>HYPERLINK("https://klasma.github.io/Logging_0883/klagomålsmail/A 50647-2025 FSC-klagomål mail.docx", "A 50647-2025")</f>
        <v/>
      </c>
      <c r="AC724">
        <f>HYPERLINK("https://klasma.github.io/Logging_0883/tillsyn/A 50647-2025 tillsynsbegäran.docx", "A 50647-2025")</f>
        <v/>
      </c>
      <c r="AD724">
        <f>HYPERLINK("https://klasma.github.io/Logging_0883/tillsynsmail/A 50647-2025 tillsynsbegäran mail.docx", "A 50647-2025")</f>
        <v/>
      </c>
    </row>
    <row r="725" ht="15" customHeight="1">
      <c r="A725" t="inlineStr">
        <is>
          <t>A 51473-2024</t>
        </is>
      </c>
      <c r="B725" t="inlineStr">
        <is>
          <t>avverkningsanmälan</t>
        </is>
      </c>
      <c r="C725" t="inlineStr">
        <is>
          <t>Föryngringsavverkning</t>
        </is>
      </c>
      <c r="D725" s="1" t="n">
        <v>45604</v>
      </c>
      <c r="E725" s="1" t="n">
        <v>46323</v>
      </c>
      <c r="F725" t="inlineStr">
        <is>
          <t>KALMAR LÄN</t>
        </is>
      </c>
      <c r="G725" t="inlineStr">
        <is>
          <t>NYBRO</t>
        </is>
      </c>
      <c r="I725" t="n">
        <v>3.4</v>
      </c>
      <c r="J725" t="n">
        <v>2</v>
      </c>
      <c r="K725" t="n">
        <v>0</v>
      </c>
      <c r="L725" t="n">
        <v>0</v>
      </c>
      <c r="M725" t="n">
        <v>0</v>
      </c>
      <c r="N725" t="n">
        <v>0</v>
      </c>
      <c r="O725" t="n">
        <v>0</v>
      </c>
      <c r="P725" t="n">
        <v>0</v>
      </c>
      <c r="Q725" t="n">
        <v>0</v>
      </c>
      <c r="R725" t="n">
        <v>0</v>
      </c>
      <c r="S725" t="n">
        <v>2</v>
      </c>
      <c r="T725" t="n">
        <v>2</v>
      </c>
      <c r="U725" t="n">
        <v>1</v>
      </c>
      <c r="V725" s="2" t="inlineStr">
        <is>
          <t>Orre
Törnskata</t>
        </is>
      </c>
      <c r="W725">
        <f>HYPERLINK("https://klasma.github.io/Logging_0881/artfynd/A 51473-2024 artfynd.xlsx", "A 51473-2024")</f>
        <v/>
      </c>
      <c r="X725">
        <f>HYPERLINK("https://klasma.github.io/Logging_0881/kartor/A 51473-2024 karta.png", "A 51473-2024")</f>
        <v/>
      </c>
      <c r="Y725">
        <f>HYPERLINK("https://klasma.github.io/Logging_0881/kartor_geotiff/A 51473-2024 georefererad karta.tif", "A 51473-2024")</f>
        <v/>
      </c>
      <c r="AA725">
        <f>HYPERLINK("https://klasma.github.io/Logging_0881/klagomål/A 51473-2024 FSC-klagomål.docx", "A 51473-2024")</f>
        <v/>
      </c>
      <c r="AB725">
        <f>HYPERLINK("https://klasma.github.io/Logging_0881/klagomålsmail/A 51473-2024 FSC-klagomål mail.docx", "A 51473-2024")</f>
        <v/>
      </c>
      <c r="AC725">
        <f>HYPERLINK("https://klasma.github.io/Logging_0881/tillsyn/A 51473-2024 tillsynsbegäran.docx", "A 51473-2024")</f>
        <v/>
      </c>
      <c r="AD725">
        <f>HYPERLINK("https://klasma.github.io/Logging_0881/tillsynsmail/A 51473-2024 tillsynsbegäran mail.docx", "A 51473-2024")</f>
        <v/>
      </c>
      <c r="AE725">
        <f>HYPERLINK("https://klasma.github.io/Logging_0881/fåglar/A 51473-2024 prioriterade fågelarter.docx", "A 51473-2024")</f>
        <v/>
      </c>
    </row>
    <row r="726" ht="15" customHeight="1">
      <c r="A726" t="inlineStr">
        <is>
          <t>A 40331-2024</t>
        </is>
      </c>
      <c r="B726" t="inlineStr">
        <is>
          <t>avverkningsanmälan</t>
        </is>
      </c>
      <c r="C726" t="inlineStr">
        <is>
          <t>Föryngringsavverkning</t>
        </is>
      </c>
      <c r="D726" s="1" t="n">
        <v>45555</v>
      </c>
      <c r="E726" s="1" t="n">
        <v>46323</v>
      </c>
      <c r="F726" t="inlineStr">
        <is>
          <t>KALMAR LÄN</t>
        </is>
      </c>
      <c r="G726" t="inlineStr">
        <is>
          <t>VÄSTERVIK</t>
        </is>
      </c>
      <c r="I726" t="n">
        <v>1.5</v>
      </c>
      <c r="J726" t="n">
        <v>1</v>
      </c>
      <c r="K726" t="n">
        <v>1</v>
      </c>
      <c r="L726" t="n">
        <v>0</v>
      </c>
      <c r="M726" t="n">
        <v>0</v>
      </c>
      <c r="N726" t="n">
        <v>0</v>
      </c>
      <c r="O726" t="n">
        <v>0</v>
      </c>
      <c r="P726" t="n">
        <v>0</v>
      </c>
      <c r="Q726" t="n">
        <v>0</v>
      </c>
      <c r="R726" t="n">
        <v>0</v>
      </c>
      <c r="S726" t="n">
        <v>2</v>
      </c>
      <c r="T726" t="n">
        <v>4</v>
      </c>
      <c r="U726" t="n">
        <v>4</v>
      </c>
      <c r="V726" s="2" t="inlineStr">
        <is>
          <t>Murgröna
Blåsippa</t>
        </is>
      </c>
      <c r="W726">
        <f>HYPERLINK("https://klasma.github.io/Logging_0883/artfynd/A 40331-2024 artfynd.xlsx", "A 40331-2024")</f>
        <v/>
      </c>
      <c r="X726">
        <f>HYPERLINK("https://klasma.github.io/Logging_0883/kartor/A 40331-2024 karta.png", "A 40331-2024")</f>
        <v/>
      </c>
      <c r="Y726">
        <f>HYPERLINK("https://klasma.github.io/Logging_0883/kartor_geotiff/A 40331-2024 georefererad karta.tif", "A 40331-2024")</f>
        <v/>
      </c>
      <c r="AA726">
        <f>HYPERLINK("https://klasma.github.io/Logging_0883/klagomål/A 40331-2024 FSC-klagomål.docx", "A 40331-2024")</f>
        <v/>
      </c>
      <c r="AB726">
        <f>HYPERLINK("https://klasma.github.io/Logging_0883/klagomålsmail/A 40331-2024 FSC-klagomål mail.docx", "A 40331-2024")</f>
        <v/>
      </c>
      <c r="AC726">
        <f>HYPERLINK("https://klasma.github.io/Logging_0883/tillsyn/A 40331-2024 tillsynsbegäran.docx", "A 40331-2024")</f>
        <v/>
      </c>
      <c r="AD726">
        <f>HYPERLINK("https://klasma.github.io/Logging_0883/tillsynsmail/A 40331-2024 tillsynsbegäran mail.docx", "A 40331-2024")</f>
        <v/>
      </c>
    </row>
    <row r="727" ht="15" customHeight="1">
      <c r="A727" t="inlineStr">
        <is>
          <t>A 59221-2022</t>
        </is>
      </c>
      <c r="B727" t="inlineStr">
        <is>
          <t>avverkningsanmälan</t>
        </is>
      </c>
      <c r="C727" t="inlineStr">
        <is>
          <t>Föryngringsavverkning</t>
        </is>
      </c>
      <c r="D727" s="1" t="n">
        <v>44904</v>
      </c>
      <c r="E727" s="1" t="n">
        <v>46323</v>
      </c>
      <c r="F727" t="inlineStr">
        <is>
          <t>KALMAR LÄN</t>
        </is>
      </c>
      <c r="G727" t="inlineStr">
        <is>
          <t>VÄSTERVIK</t>
        </is>
      </c>
      <c r="I727" t="n">
        <v>6.1</v>
      </c>
      <c r="J727" t="n">
        <v>2</v>
      </c>
      <c r="K727" t="n">
        <v>0</v>
      </c>
      <c r="L727" t="n">
        <v>1</v>
      </c>
      <c r="M727" t="n">
        <v>0</v>
      </c>
      <c r="N727" t="n">
        <v>0</v>
      </c>
      <c r="O727" t="n">
        <v>0</v>
      </c>
      <c r="P727" t="n">
        <v>0</v>
      </c>
      <c r="Q727" t="n">
        <v>1</v>
      </c>
      <c r="R727" t="n">
        <v>0</v>
      </c>
      <c r="S727" t="n">
        <v>2</v>
      </c>
      <c r="T727" t="n">
        <v>2</v>
      </c>
      <c r="U727" t="n">
        <v>2</v>
      </c>
      <c r="V727" s="2" t="inlineStr">
        <is>
          <t>Talltita
Tjäder</t>
        </is>
      </c>
      <c r="W727">
        <f>HYPERLINK("https://klasma.github.io/Logging_0883/artfynd/A 59221-2022 artfynd.xlsx", "A 59221-2022")</f>
        <v/>
      </c>
      <c r="X727">
        <f>HYPERLINK("https://klasma.github.io/Logging_0883/kartor/A 59221-2022 karta.png", "A 59221-2022")</f>
        <v/>
      </c>
      <c r="Y727">
        <f>HYPERLINK("https://klasma.github.io/Logging_0883/kartor_geotiff/A 59221-2022 georefererad karta.tif", "A 59221-2022")</f>
        <v/>
      </c>
      <c r="AA727">
        <f>HYPERLINK("https://klasma.github.io/Logging_0883/klagomål/A 59221-2022 FSC-klagomål.docx", "A 59221-2022")</f>
        <v/>
      </c>
      <c r="AB727">
        <f>HYPERLINK("https://klasma.github.io/Logging_0883/klagomålsmail/A 59221-2022 FSC-klagomål mail.docx", "A 59221-2022")</f>
        <v/>
      </c>
      <c r="AC727">
        <f>HYPERLINK("https://klasma.github.io/Logging_0883/tillsyn/A 59221-2022 tillsynsbegäran.docx", "A 59221-2022")</f>
        <v/>
      </c>
      <c r="AD727">
        <f>HYPERLINK("https://klasma.github.io/Logging_0883/tillsynsmail/A 59221-2022 tillsynsbegäran mail.docx", "A 59221-2022")</f>
        <v/>
      </c>
      <c r="AE727">
        <f>HYPERLINK("https://klasma.github.io/Logging_0883/fåglar/A 59221-2022 prioriterade fågelarter.docx", "A 59221-2022")</f>
        <v/>
      </c>
    </row>
    <row r="728" ht="15" customHeight="1">
      <c r="A728" t="inlineStr">
        <is>
          <t>A 36940-2025</t>
        </is>
      </c>
      <c r="B728" t="inlineStr">
        <is>
          <t>avverkningsanmälan</t>
        </is>
      </c>
      <c r="C728" t="inlineStr">
        <is>
          <t>Föryngringsavverkning</t>
        </is>
      </c>
      <c r="D728" s="1" t="n">
        <v>45874</v>
      </c>
      <c r="E728" s="1" t="n">
        <v>46323</v>
      </c>
      <c r="F728" t="inlineStr">
        <is>
          <t>KALMAR LÄN</t>
        </is>
      </c>
      <c r="G728" t="inlineStr">
        <is>
          <t>KALMAR</t>
        </is>
      </c>
      <c r="I728" t="n">
        <v>3.5</v>
      </c>
      <c r="J728" t="n">
        <v>0</v>
      </c>
      <c r="K728" t="n">
        <v>1</v>
      </c>
      <c r="L728" t="n">
        <v>0</v>
      </c>
      <c r="M728" t="n">
        <v>1</v>
      </c>
      <c r="N728" t="n">
        <v>0</v>
      </c>
      <c r="O728" t="n">
        <v>0</v>
      </c>
      <c r="P728" t="n">
        <v>0</v>
      </c>
      <c r="Q728" t="n">
        <v>1</v>
      </c>
      <c r="R728" t="n">
        <v>1</v>
      </c>
      <c r="S728" t="n">
        <v>2</v>
      </c>
      <c r="T728" t="n">
        <v>2</v>
      </c>
      <c r="U728" t="n">
        <v>0</v>
      </c>
      <c r="V728" s="2" t="inlineStr">
        <is>
          <t>Växeltandsfibbla
Flagellkvastmossa</t>
        </is>
      </c>
      <c r="W728">
        <f>HYPERLINK("https://klasma.github.io/Logging_0880/artfynd/A 36940-2025 artfynd.xlsx", "A 36940-2025")</f>
        <v/>
      </c>
      <c r="X728">
        <f>HYPERLINK("https://klasma.github.io/Logging_0880/kartor/A 36940-2025 karta.png", "A 36940-2025")</f>
        <v/>
      </c>
      <c r="Y728">
        <f>HYPERLINK("https://klasma.github.io/Logging_0880/kartor_geotiff/A 36940-2025 georefererad karta.tif", "A 36940-2025")</f>
        <v/>
      </c>
      <c r="AA728">
        <f>HYPERLINK("https://klasma.github.io/Logging_0880/klagomål/A 36940-2025 FSC-klagomål.docx", "A 36940-2025")</f>
        <v/>
      </c>
      <c r="AB728">
        <f>HYPERLINK("https://klasma.github.io/Logging_0880/klagomålsmail/A 36940-2025 FSC-klagomål mail.docx", "A 36940-2025")</f>
        <v/>
      </c>
      <c r="AC728">
        <f>HYPERLINK("https://klasma.github.io/Logging_0880/tillsyn/A 36940-2025 tillsynsbegäran.docx", "A 36940-2025")</f>
        <v/>
      </c>
      <c r="AD728">
        <f>HYPERLINK("https://klasma.github.io/Logging_0880/tillsynsmail/A 36940-2025 tillsynsbegäran mail.docx", "A 36940-2025")</f>
        <v/>
      </c>
    </row>
    <row r="729" ht="15" customHeight="1">
      <c r="A729" t="inlineStr">
        <is>
          <t>A 3673-2025</t>
        </is>
      </c>
      <c r="B729" t="inlineStr">
        <is>
          <t>avverkningsanmälan</t>
        </is>
      </c>
      <c r="C729" t="inlineStr">
        <is>
          <t>Föryngringsavverkning</t>
        </is>
      </c>
      <c r="D729" s="1" t="n">
        <v>45681</v>
      </c>
      <c r="E729" s="1" t="n">
        <v>46323</v>
      </c>
      <c r="F729" t="inlineStr">
        <is>
          <t>KALMAR LÄN</t>
        </is>
      </c>
      <c r="G729" t="inlineStr">
        <is>
          <t>VÄSTERVIK</t>
        </is>
      </c>
      <c r="I729" t="n">
        <v>1.1</v>
      </c>
      <c r="J729" t="n">
        <v>1</v>
      </c>
      <c r="K729" t="n">
        <v>1</v>
      </c>
      <c r="L729" t="n">
        <v>0</v>
      </c>
      <c r="M729" t="n">
        <v>0</v>
      </c>
      <c r="N729" t="n">
        <v>0</v>
      </c>
      <c r="O729" t="n">
        <v>0</v>
      </c>
      <c r="P729" t="n">
        <v>0</v>
      </c>
      <c r="Q729" t="n">
        <v>0</v>
      </c>
      <c r="R729" t="n">
        <v>0</v>
      </c>
      <c r="S729" t="n">
        <v>2</v>
      </c>
      <c r="T729" t="n">
        <v>2</v>
      </c>
      <c r="U729" t="n">
        <v>2</v>
      </c>
      <c r="V729" s="2" t="inlineStr">
        <is>
          <t>Blodticka
Spillkråka</t>
        </is>
      </c>
      <c r="W729">
        <f>HYPERLINK("https://klasma.github.io/Logging_0883/artfynd/A 3673-2025 artfynd.xlsx", "A 3673-2025")</f>
        <v/>
      </c>
      <c r="X729">
        <f>HYPERLINK("https://klasma.github.io/Logging_0883/kartor/A 3673-2025 karta.png", "A 3673-2025")</f>
        <v/>
      </c>
      <c r="Y729">
        <f>HYPERLINK("https://klasma.github.io/Logging_0883/kartor_geotiff/A 3673-2025 georefererad karta.tif", "A 3673-2025")</f>
        <v/>
      </c>
      <c r="AA729">
        <f>HYPERLINK("https://klasma.github.io/Logging_0883/klagomål/A 3673-2025 FSC-klagomål.docx", "A 3673-2025")</f>
        <v/>
      </c>
      <c r="AB729">
        <f>HYPERLINK("https://klasma.github.io/Logging_0883/klagomålsmail/A 3673-2025 FSC-klagomål mail.docx", "A 3673-2025")</f>
        <v/>
      </c>
      <c r="AC729">
        <f>HYPERLINK("https://klasma.github.io/Logging_0883/tillsyn/A 3673-2025 tillsynsbegäran.docx", "A 3673-2025")</f>
        <v/>
      </c>
      <c r="AD729">
        <f>HYPERLINK("https://klasma.github.io/Logging_0883/tillsynsmail/A 3673-2025 tillsynsbegäran mail.docx", "A 3673-2025")</f>
        <v/>
      </c>
      <c r="AE729">
        <f>HYPERLINK("https://klasma.github.io/Logging_0883/fåglar/A 3673-2025 prioriterade fågelarter.docx", "A 3673-2025")</f>
        <v/>
      </c>
    </row>
    <row r="730" ht="15" customHeight="1">
      <c r="A730" t="inlineStr">
        <is>
          <t>A 27568-2024</t>
        </is>
      </c>
      <c r="B730" t="inlineStr">
        <is>
          <t>avverkningsanmälan</t>
        </is>
      </c>
      <c r="C730" t="inlineStr">
        <is>
          <t>Föryngringsavverkning</t>
        </is>
      </c>
      <c r="D730" s="1" t="n">
        <v>45474</v>
      </c>
      <c r="E730" s="1" t="n">
        <v>46323</v>
      </c>
      <c r="F730" t="inlineStr">
        <is>
          <t>KALMAR LÄN</t>
        </is>
      </c>
      <c r="G730" t="inlineStr">
        <is>
          <t>VÄSTERVIK</t>
        </is>
      </c>
      <c r="I730" t="n">
        <v>7.7</v>
      </c>
      <c r="J730" t="n">
        <v>1</v>
      </c>
      <c r="K730" t="n">
        <v>0</v>
      </c>
      <c r="L730" t="n">
        <v>2</v>
      </c>
      <c r="M730" t="n">
        <v>0</v>
      </c>
      <c r="N730" t="n">
        <v>0</v>
      </c>
      <c r="O730" t="n">
        <v>0</v>
      </c>
      <c r="P730" t="n">
        <v>0</v>
      </c>
      <c r="Q730" t="n">
        <v>2</v>
      </c>
      <c r="R730" t="n">
        <v>0</v>
      </c>
      <c r="S730" t="n">
        <v>2</v>
      </c>
      <c r="T730" t="n">
        <v>2</v>
      </c>
      <c r="U730" t="n">
        <v>2</v>
      </c>
      <c r="V730" s="2" t="inlineStr">
        <is>
          <t>Motaggsvamp
Talltita</t>
        </is>
      </c>
      <c r="W730">
        <f>HYPERLINK("https://klasma.github.io/Logging_0883/artfynd/A 27568-2024 artfynd.xlsx", "A 27568-2024")</f>
        <v/>
      </c>
      <c r="X730">
        <f>HYPERLINK("https://klasma.github.io/Logging_0883/kartor/A 27568-2024 karta.png", "A 27568-2024")</f>
        <v/>
      </c>
      <c r="Y730">
        <f>HYPERLINK("https://klasma.github.io/Logging_0883/kartor_geotiff/A 27568-2024 georefererad karta.tif", "A 27568-2024")</f>
        <v/>
      </c>
      <c r="AA730">
        <f>HYPERLINK("https://klasma.github.io/Logging_0883/klagomål/A 27568-2024 FSC-klagomål.docx", "A 27568-2024")</f>
        <v/>
      </c>
      <c r="AB730">
        <f>HYPERLINK("https://klasma.github.io/Logging_0883/klagomålsmail/A 27568-2024 FSC-klagomål mail.docx", "A 27568-2024")</f>
        <v/>
      </c>
      <c r="AC730">
        <f>HYPERLINK("https://klasma.github.io/Logging_0883/tillsyn/A 27568-2024 tillsynsbegäran.docx", "A 27568-2024")</f>
        <v/>
      </c>
      <c r="AD730">
        <f>HYPERLINK("https://klasma.github.io/Logging_0883/tillsynsmail/A 27568-2024 tillsynsbegäran mail.docx", "A 27568-2024")</f>
        <v/>
      </c>
      <c r="AE730">
        <f>HYPERLINK("https://klasma.github.io/Logging_0883/fåglar/A 27568-2024 prioriterade fågelarter.docx", "A 27568-2024")</f>
        <v/>
      </c>
    </row>
    <row r="731" ht="15" customHeight="1">
      <c r="A731" t="inlineStr">
        <is>
          <t>A 6319-2026</t>
        </is>
      </c>
      <c r="B731" t="inlineStr">
        <is>
          <t>avverkningsanmälan</t>
        </is>
      </c>
      <c r="C731" t="inlineStr">
        <is>
          <t>Föryngringsavverkning</t>
        </is>
      </c>
      <c r="D731" s="1" t="n">
        <v>46055</v>
      </c>
      <c r="E731" s="1" t="n">
        <v>46323</v>
      </c>
      <c r="F731" t="inlineStr">
        <is>
          <t>KALMAR LÄN</t>
        </is>
      </c>
      <c r="G731" t="inlineStr">
        <is>
          <t>KALMAR</t>
        </is>
      </c>
      <c r="I731" t="n">
        <v>1</v>
      </c>
      <c r="J731" t="n">
        <v>1</v>
      </c>
      <c r="K731" t="n">
        <v>0</v>
      </c>
      <c r="L731" t="n">
        <v>1</v>
      </c>
      <c r="M731" t="n">
        <v>1</v>
      </c>
      <c r="N731" t="n">
        <v>0</v>
      </c>
      <c r="O731" t="n">
        <v>0</v>
      </c>
      <c r="P731" t="n">
        <v>0</v>
      </c>
      <c r="Q731" t="n">
        <v>2</v>
      </c>
      <c r="R731" t="n">
        <v>1</v>
      </c>
      <c r="S731" t="n">
        <v>2</v>
      </c>
      <c r="T731" t="n">
        <v>2</v>
      </c>
      <c r="U731" t="n">
        <v>0</v>
      </c>
      <c r="V731" s="2" t="inlineStr">
        <is>
          <t>Igelkott
Nordfladdermus</t>
        </is>
      </c>
      <c r="W731">
        <f>HYPERLINK("https://klasma.github.io/Logging_0880/artfynd/A 6319-2026 artfynd.xlsx", "A 6319-2026")</f>
        <v/>
      </c>
      <c r="X731">
        <f>HYPERLINK("https://klasma.github.io/Logging_0880/kartor/A 6319-2026 karta.png", "A 6319-2026")</f>
        <v/>
      </c>
      <c r="Y731">
        <f>HYPERLINK("https://klasma.github.io/Logging_0880/kartor_geotiff/A 6319-2026 georefererad karta.tif", "A 6319-2026")</f>
        <v/>
      </c>
      <c r="AA731">
        <f>HYPERLINK("https://klasma.github.io/Logging_0880/klagomål/A 6319-2026 FSC-klagomål.docx", "A 6319-2026")</f>
        <v/>
      </c>
      <c r="AB731">
        <f>HYPERLINK("https://klasma.github.io/Logging_0880/klagomålsmail/A 6319-2026 FSC-klagomål mail.docx", "A 6319-2026")</f>
        <v/>
      </c>
      <c r="AC731">
        <f>HYPERLINK("https://klasma.github.io/Logging_0880/tillsyn/A 6319-2026 tillsynsbegäran.docx", "A 6319-2026")</f>
        <v/>
      </c>
      <c r="AD731">
        <f>HYPERLINK("https://klasma.github.io/Logging_0880/tillsynsmail/A 6319-2026 tillsynsbegäran mail.docx", "A 6319-2026")</f>
        <v/>
      </c>
    </row>
    <row r="732" ht="15" customHeight="1">
      <c r="A732" t="inlineStr">
        <is>
          <t>A 1024-2023</t>
        </is>
      </c>
      <c r="B732" t="inlineStr">
        <is>
          <t>avverkningsanmälan</t>
        </is>
      </c>
      <c r="C732" t="inlineStr">
        <is>
          <t>Avverkning för att bevara och utveckla /försöksver</t>
        </is>
      </c>
      <c r="D732" s="1" t="n">
        <v>44935</v>
      </c>
      <c r="E732" s="1" t="n">
        <v>46323</v>
      </c>
      <c r="F732" t="inlineStr">
        <is>
          <t>KALMAR LÄN</t>
        </is>
      </c>
      <c r="G732" t="inlineStr">
        <is>
          <t>VÄSTERVIK</t>
        </is>
      </c>
      <c r="H732" t="inlineStr">
        <is>
          <t>Holmen skog AB</t>
        </is>
      </c>
      <c r="I732" t="n">
        <v>1.9</v>
      </c>
      <c r="J732" t="n">
        <v>0</v>
      </c>
      <c r="K732" t="n">
        <v>0</v>
      </c>
      <c r="L732" t="n">
        <v>2</v>
      </c>
      <c r="M732" t="n">
        <v>0</v>
      </c>
      <c r="N732" t="n">
        <v>0</v>
      </c>
      <c r="O732" t="n">
        <v>0</v>
      </c>
      <c r="P732" t="n">
        <v>0</v>
      </c>
      <c r="Q732" t="n">
        <v>2</v>
      </c>
      <c r="R732" t="n">
        <v>0</v>
      </c>
      <c r="S732" t="n">
        <v>2</v>
      </c>
      <c r="T732" t="n">
        <v>3</v>
      </c>
      <c r="U732" t="n">
        <v>3</v>
      </c>
      <c r="V732" s="2" t="inlineStr">
        <is>
          <t>Ekticka
Oxtungssvamp</t>
        </is>
      </c>
      <c r="W732">
        <f>HYPERLINK("https://klasma.github.io/Logging_0883/artfynd/A 1024-2023 artfynd.xlsx", "A 1024-2023")</f>
        <v/>
      </c>
      <c r="X732">
        <f>HYPERLINK("https://klasma.github.io/Logging_0883/kartor/A 1024-2023 karta.png", "A 1024-2023")</f>
        <v/>
      </c>
      <c r="Y732">
        <f>HYPERLINK("https://klasma.github.io/Logging_0883/kartor_geotiff/A 1024-2023 georefererad karta.tif", "A 1024-2023")</f>
        <v/>
      </c>
      <c r="AA732">
        <f>HYPERLINK("https://klasma.github.io/Logging_0883/klagomål/A 1024-2023 FSC-klagomål.docx", "A 1024-2023")</f>
        <v/>
      </c>
      <c r="AB732">
        <f>HYPERLINK("https://klasma.github.io/Logging_0883/klagomålsmail/A 1024-2023 FSC-klagomål mail.docx", "A 1024-2023")</f>
        <v/>
      </c>
      <c r="AC732">
        <f>HYPERLINK("https://klasma.github.io/Logging_0883/tillsyn/A 1024-2023 tillsynsbegäran.docx", "A 1024-2023")</f>
        <v/>
      </c>
      <c r="AD732">
        <f>HYPERLINK("https://klasma.github.io/Logging_0883/tillsynsmail/A 1024-2023 tillsynsbegäran mail.docx", "A 1024-2023")</f>
        <v/>
      </c>
    </row>
    <row r="733" ht="15" customHeight="1">
      <c r="A733" t="inlineStr">
        <is>
          <t>A 42499-2026</t>
        </is>
      </c>
      <c r="B733" t="inlineStr">
        <is>
          <t>avverkningsanmälan</t>
        </is>
      </c>
      <c r="C733" t="inlineStr">
        <is>
          <t>Föryngringsavverkning</t>
        </is>
      </c>
      <c r="D733" s="1" t="n">
        <v>46308</v>
      </c>
      <c r="E733" s="1" t="n">
        <v>46323</v>
      </c>
      <c r="F733" t="inlineStr">
        <is>
          <t>KALMAR LÄN</t>
        </is>
      </c>
      <c r="G733" t="inlineStr">
        <is>
          <t>TORSÅS</t>
        </is>
      </c>
      <c r="I733" t="n">
        <v>3.1</v>
      </c>
      <c r="J733" t="n">
        <v>1</v>
      </c>
      <c r="K733" t="n">
        <v>0</v>
      </c>
      <c r="L733" t="n">
        <v>0</v>
      </c>
      <c r="M733" t="n">
        <v>0</v>
      </c>
      <c r="N733" t="n">
        <v>1</v>
      </c>
      <c r="O733" t="n">
        <v>0</v>
      </c>
      <c r="P733" t="n">
        <v>0</v>
      </c>
      <c r="Q733" t="n">
        <v>1</v>
      </c>
      <c r="R733" t="n">
        <v>1</v>
      </c>
      <c r="S733" t="n">
        <v>2</v>
      </c>
      <c r="T733" t="n">
        <v>2</v>
      </c>
      <c r="U733" t="n">
        <v>0</v>
      </c>
      <c r="V733" s="2" t="inlineStr">
        <is>
          <t>Ask
Blåsippa</t>
        </is>
      </c>
      <c r="W733">
        <f>HYPERLINK("https://klasma.github.io/Logging_0834/artfynd/A 42499-2026 artfynd.xlsx", "A 42499-2026")</f>
        <v/>
      </c>
      <c r="X733">
        <f>HYPERLINK("https://klasma.github.io/Logging_0834/kartor/A 42499-2026 karta.png", "A 42499-2026")</f>
        <v/>
      </c>
      <c r="Y733">
        <f>HYPERLINK("https://klasma.github.io/Logging_0834/kartor_geotiff/A 42499-2026 georefererad karta.tif", "A 42499-2026")</f>
        <v/>
      </c>
      <c r="AA733">
        <f>HYPERLINK("https://klasma.github.io/Logging_0834/klagomål/A 42499-2026 FSC-klagomål.docx", "A 42499-2026")</f>
        <v/>
      </c>
      <c r="AB733">
        <f>HYPERLINK("https://klasma.github.io/Logging_0834/klagomålsmail/A 42499-2026 FSC-klagomål mail.docx", "A 42499-2026")</f>
        <v/>
      </c>
      <c r="AC733">
        <f>HYPERLINK("https://klasma.github.io/Logging_0834/tillsyn/A 42499-2026 tillsynsbegäran.docx", "A 42499-2026")</f>
        <v/>
      </c>
      <c r="AD733">
        <f>HYPERLINK("https://klasma.github.io/Logging_0834/tillsynsmail/A 42499-2026 tillsynsbegäran mail.docx", "A 42499-2026")</f>
        <v/>
      </c>
    </row>
    <row r="734" ht="15" customHeight="1">
      <c r="A734" t="inlineStr">
        <is>
          <t>A 28131-2025</t>
        </is>
      </c>
      <c r="B734" t="inlineStr">
        <is>
          <t>avverkningsanmälan</t>
        </is>
      </c>
      <c r="C734" t="inlineStr">
        <is>
          <t>Föryngringsavverkning</t>
        </is>
      </c>
      <c r="D734" s="1" t="n">
        <v>45818</v>
      </c>
      <c r="E734" s="1" t="n">
        <v>46323</v>
      </c>
      <c r="F734" t="inlineStr">
        <is>
          <t>KALMAR LÄN</t>
        </is>
      </c>
      <c r="G734" t="inlineStr">
        <is>
          <t>NYBRO</t>
        </is>
      </c>
      <c r="I734" t="n">
        <v>1.1</v>
      </c>
      <c r="J734" t="n">
        <v>1</v>
      </c>
      <c r="K734" t="n">
        <v>1</v>
      </c>
      <c r="L734" t="n">
        <v>0</v>
      </c>
      <c r="M734" t="n">
        <v>0</v>
      </c>
      <c r="N734" t="n">
        <v>0</v>
      </c>
      <c r="O734" t="n">
        <v>0</v>
      </c>
      <c r="P734" t="n">
        <v>0</v>
      </c>
      <c r="Q734" t="n">
        <v>0</v>
      </c>
      <c r="R734" t="n">
        <v>0</v>
      </c>
      <c r="S734" t="n">
        <v>2</v>
      </c>
      <c r="T734" t="n">
        <v>2</v>
      </c>
      <c r="U734" t="n">
        <v>0</v>
      </c>
      <c r="V734" s="2" t="inlineStr">
        <is>
          <t>Blåmossa
Spillkråka</t>
        </is>
      </c>
      <c r="W734">
        <f>HYPERLINK("https://klasma.github.io/Logging_0881/artfynd/A 28131-2025 artfynd.xlsx", "A 28131-2025")</f>
        <v/>
      </c>
      <c r="X734">
        <f>HYPERLINK("https://klasma.github.io/Logging_0881/kartor/A 28131-2025 karta.png", "A 28131-2025")</f>
        <v/>
      </c>
      <c r="Y734">
        <f>HYPERLINK("https://klasma.github.io/Logging_0881/kartor_geotiff/A 28131-2025 georefererad karta.tif", "A 28131-2025")</f>
        <v/>
      </c>
      <c r="AA734">
        <f>HYPERLINK("https://klasma.github.io/Logging_0881/klagomål/A 28131-2025 FSC-klagomål.docx", "A 28131-2025")</f>
        <v/>
      </c>
      <c r="AB734">
        <f>HYPERLINK("https://klasma.github.io/Logging_0881/klagomålsmail/A 28131-2025 FSC-klagomål mail.docx", "A 28131-2025")</f>
        <v/>
      </c>
      <c r="AC734">
        <f>HYPERLINK("https://klasma.github.io/Logging_0881/tillsyn/A 28131-2025 tillsynsbegäran.docx", "A 28131-2025")</f>
        <v/>
      </c>
      <c r="AD734">
        <f>HYPERLINK("https://klasma.github.io/Logging_0881/tillsynsmail/A 28131-2025 tillsynsbegäran mail.docx", "A 28131-2025")</f>
        <v/>
      </c>
      <c r="AE734">
        <f>HYPERLINK("https://klasma.github.io/Logging_0881/fåglar/A 28131-2025 prioriterade fågelarter.docx", "A 28131-2025")</f>
        <v/>
      </c>
    </row>
    <row r="735" ht="15" customHeight="1">
      <c r="A735" t="inlineStr">
        <is>
          <t>A 42500-2026</t>
        </is>
      </c>
      <c r="B735" t="inlineStr">
        <is>
          <t>avverkningsanmälan</t>
        </is>
      </c>
      <c r="C735" t="inlineStr">
        <is>
          <t>Avverkning för att bevara och utveckla /försöksver</t>
        </is>
      </c>
      <c r="D735" s="1" t="n">
        <v>46308</v>
      </c>
      <c r="E735" s="1" t="n">
        <v>46323</v>
      </c>
      <c r="F735" t="inlineStr">
        <is>
          <t>KALMAR LÄN</t>
        </is>
      </c>
      <c r="G735" t="inlineStr">
        <is>
          <t>TORSÅS</t>
        </is>
      </c>
      <c r="I735" t="n">
        <v>3.6</v>
      </c>
      <c r="J735" t="n">
        <v>0</v>
      </c>
      <c r="K735" t="n">
        <v>0</v>
      </c>
      <c r="L735" t="n">
        <v>2</v>
      </c>
      <c r="M735" t="n">
        <v>0</v>
      </c>
      <c r="N735" t="n">
        <v>0</v>
      </c>
      <c r="O735" t="n">
        <v>0</v>
      </c>
      <c r="P735" t="n">
        <v>0</v>
      </c>
      <c r="Q735" t="n">
        <v>2</v>
      </c>
      <c r="R735" t="n">
        <v>0</v>
      </c>
      <c r="S735" t="n">
        <v>2</v>
      </c>
      <c r="T735" t="n">
        <v>2</v>
      </c>
      <c r="U735" t="n">
        <v>0</v>
      </c>
      <c r="V735" s="2" t="inlineStr">
        <is>
          <t>Jungfrulin
Solvända</t>
        </is>
      </c>
      <c r="W735">
        <f>HYPERLINK("https://klasma.github.io/Logging_0834/artfynd/A 42500-2026 artfynd.xlsx", "A 42500-2026")</f>
        <v/>
      </c>
      <c r="X735">
        <f>HYPERLINK("https://klasma.github.io/Logging_0834/kartor/A 42500-2026 karta.png", "A 42500-2026")</f>
        <v/>
      </c>
      <c r="Y735">
        <f>HYPERLINK("https://klasma.github.io/Logging_0834/kartor_geotiff/A 42500-2026 georefererad karta.tif", "A 42500-2026")</f>
        <v/>
      </c>
      <c r="AA735">
        <f>HYPERLINK("https://klasma.github.io/Logging_0834/klagomål/A 42500-2026 FSC-klagomål.docx", "A 42500-2026")</f>
        <v/>
      </c>
      <c r="AB735">
        <f>HYPERLINK("https://klasma.github.io/Logging_0834/klagomålsmail/A 42500-2026 FSC-klagomål mail.docx", "A 42500-2026")</f>
        <v/>
      </c>
      <c r="AC735">
        <f>HYPERLINK("https://klasma.github.io/Logging_0834/tillsyn/A 42500-2026 tillsynsbegäran.docx", "A 42500-2026")</f>
        <v/>
      </c>
      <c r="AD735">
        <f>HYPERLINK("https://klasma.github.io/Logging_0834/tillsynsmail/A 42500-2026 tillsynsbegäran mail.docx", "A 42500-2026")</f>
        <v/>
      </c>
    </row>
    <row r="736" ht="15" customHeight="1">
      <c r="A736" t="inlineStr">
        <is>
          <t>A 29434-2026</t>
        </is>
      </c>
      <c r="B736" t="inlineStr">
        <is>
          <t>avverkningsanmälan</t>
        </is>
      </c>
      <c r="C736" t="inlineStr">
        <is>
          <t>Avverkning för att bevara och utveckla /försöksver</t>
        </is>
      </c>
      <c r="D736" s="1" t="n">
        <v>46203</v>
      </c>
      <c r="E736" s="1" t="n">
        <v>46323</v>
      </c>
      <c r="F736" t="inlineStr">
        <is>
          <t>KALMAR LÄN</t>
        </is>
      </c>
      <c r="G736" t="inlineStr">
        <is>
          <t>BORGHOLM</t>
        </is>
      </c>
      <c r="H736" t="inlineStr">
        <is>
          <t>Sveaskog</t>
        </is>
      </c>
      <c r="I736" t="n">
        <v>2.1</v>
      </c>
      <c r="J736" t="n">
        <v>0</v>
      </c>
      <c r="K736" t="n">
        <v>0</v>
      </c>
      <c r="L736" t="n">
        <v>0</v>
      </c>
      <c r="M736" t="n">
        <v>2</v>
      </c>
      <c r="N736" t="n">
        <v>0</v>
      </c>
      <c r="O736" t="n">
        <v>0</v>
      </c>
      <c r="P736" t="n">
        <v>0</v>
      </c>
      <c r="Q736" t="n">
        <v>2</v>
      </c>
      <c r="R736" t="n">
        <v>2</v>
      </c>
      <c r="S736" t="n">
        <v>2</v>
      </c>
      <c r="T736" t="n">
        <v>2</v>
      </c>
      <c r="U736" t="n">
        <v>0</v>
      </c>
      <c r="V736" s="2" t="inlineStr">
        <is>
          <t>Bredbrämad bastardsvärmare
Purpurmusseron</t>
        </is>
      </c>
      <c r="W736">
        <f>HYPERLINK("https://klasma.github.io/Logging_0885/artfynd/A 29434-2026 artfynd.xlsx", "A 29434-2026")</f>
        <v/>
      </c>
      <c r="X736">
        <f>HYPERLINK("https://klasma.github.io/Logging_0885/kartor/A 29434-2026 karta.png", "A 29434-2026")</f>
        <v/>
      </c>
      <c r="Y736">
        <f>HYPERLINK("https://klasma.github.io/Logging_0885/kartor_geotiff/A 29434-2026 georefererad karta.tif", "A 29434-2026")</f>
        <v/>
      </c>
      <c r="AA736">
        <f>HYPERLINK("https://klasma.github.io/Logging_0885/klagomål/A 29434-2026 FSC-klagomål.docx", "A 29434-2026")</f>
        <v/>
      </c>
      <c r="AB736">
        <f>HYPERLINK("https://klasma.github.io/Logging_0885/klagomålsmail/A 29434-2026 FSC-klagomål mail.docx", "A 29434-2026")</f>
        <v/>
      </c>
      <c r="AC736">
        <f>HYPERLINK("https://klasma.github.io/Logging_0885/tillsyn/A 29434-2026 tillsynsbegäran.docx", "A 29434-2026")</f>
        <v/>
      </c>
      <c r="AD736">
        <f>HYPERLINK("https://klasma.github.io/Logging_0885/tillsynsmail/A 29434-2026 tillsynsbegäran mail.docx", "A 29434-2026")</f>
        <v/>
      </c>
    </row>
    <row r="737" ht="15" customHeight="1">
      <c r="A737" t="inlineStr">
        <is>
          <t>A 61771-2022</t>
        </is>
      </c>
      <c r="B737" t="inlineStr">
        <is>
          <t>avverkningsanmälan</t>
        </is>
      </c>
      <c r="C737" t="inlineStr">
        <is>
          <t>Föryngringsavverkning</t>
        </is>
      </c>
      <c r="D737" s="1" t="n">
        <v>44917</v>
      </c>
      <c r="E737" s="1" t="n">
        <v>46323</v>
      </c>
      <c r="F737" t="inlineStr">
        <is>
          <t>KALMAR LÄN</t>
        </is>
      </c>
      <c r="G737" t="inlineStr">
        <is>
          <t>NYBRO</t>
        </is>
      </c>
      <c r="H737" t="inlineStr">
        <is>
          <t>Kommuner</t>
        </is>
      </c>
      <c r="I737" t="n">
        <v>10.4</v>
      </c>
      <c r="J737" t="n">
        <v>2</v>
      </c>
      <c r="K737" t="n">
        <v>0</v>
      </c>
      <c r="L737" t="n">
        <v>1</v>
      </c>
      <c r="M737" t="n">
        <v>0</v>
      </c>
      <c r="N737" t="n">
        <v>0</v>
      </c>
      <c r="O737" t="n">
        <v>0</v>
      </c>
      <c r="P737" t="n">
        <v>0</v>
      </c>
      <c r="Q737" t="n">
        <v>1</v>
      </c>
      <c r="R737" t="n">
        <v>0</v>
      </c>
      <c r="S737" t="n">
        <v>2</v>
      </c>
      <c r="T737" t="n">
        <v>2</v>
      </c>
      <c r="U737" t="n">
        <v>2</v>
      </c>
      <c r="V737" s="2" t="inlineStr">
        <is>
          <t>Talltita
Kungsfågel</t>
        </is>
      </c>
      <c r="W737">
        <f>HYPERLINK("https://klasma.github.io/Logging_0881/artfynd/A 61771-2022 artfynd.xlsx", "A 61771-2022")</f>
        <v/>
      </c>
      <c r="X737">
        <f>HYPERLINK("https://klasma.github.io/Logging_0881/kartor/A 61771-2022 karta.png", "A 61771-2022")</f>
        <v/>
      </c>
      <c r="Y737">
        <f>HYPERLINK("https://klasma.github.io/Logging_0881/kartor_geotiff/A 61771-2022 georefererad karta.tif", "A 61771-2022")</f>
        <v/>
      </c>
      <c r="AA737">
        <f>HYPERLINK("https://klasma.github.io/Logging_0881/klagomål/A 61771-2022 FSC-klagomål.docx", "A 61771-2022")</f>
        <v/>
      </c>
      <c r="AB737">
        <f>HYPERLINK("https://klasma.github.io/Logging_0881/klagomålsmail/A 61771-2022 FSC-klagomål mail.docx", "A 61771-2022")</f>
        <v/>
      </c>
      <c r="AC737">
        <f>HYPERLINK("https://klasma.github.io/Logging_0881/tillsyn/A 61771-2022 tillsynsbegäran.docx", "A 61771-2022")</f>
        <v/>
      </c>
      <c r="AD737">
        <f>HYPERLINK("https://klasma.github.io/Logging_0881/tillsynsmail/A 61771-2022 tillsynsbegäran mail.docx", "A 61771-2022")</f>
        <v/>
      </c>
      <c r="AE737">
        <f>HYPERLINK("https://klasma.github.io/Logging_0881/fåglar/A 61771-2022 prioriterade fågelarter.docx", "A 61771-2022")</f>
        <v/>
      </c>
    </row>
    <row r="738" ht="15" customHeight="1">
      <c r="A738" t="inlineStr">
        <is>
          <t>A 22396-2025</t>
        </is>
      </c>
      <c r="B738" t="inlineStr">
        <is>
          <t>avverkningsanmälan</t>
        </is>
      </c>
      <c r="C738" t="inlineStr">
        <is>
          <t>Föryngringsavverkning</t>
        </is>
      </c>
      <c r="D738" s="1" t="n">
        <v>45786</v>
      </c>
      <c r="E738" s="1" t="n">
        <v>46323</v>
      </c>
      <c r="F738" t="inlineStr">
        <is>
          <t>KALMAR LÄN</t>
        </is>
      </c>
      <c r="G738" t="inlineStr">
        <is>
          <t>VIMMERBY</t>
        </is>
      </c>
      <c r="I738" t="n">
        <v>2.5</v>
      </c>
      <c r="J738" t="n">
        <v>2</v>
      </c>
      <c r="K738" t="n">
        <v>0</v>
      </c>
      <c r="L738" t="n">
        <v>0</v>
      </c>
      <c r="M738" t="n">
        <v>1</v>
      </c>
      <c r="N738" t="n">
        <v>0</v>
      </c>
      <c r="O738" t="n">
        <v>0</v>
      </c>
      <c r="P738" t="n">
        <v>0</v>
      </c>
      <c r="Q738" t="n">
        <v>1</v>
      </c>
      <c r="R738" t="n">
        <v>1</v>
      </c>
      <c r="S738" t="n">
        <v>2</v>
      </c>
      <c r="T738" t="n">
        <v>3</v>
      </c>
      <c r="U738" t="n">
        <v>3</v>
      </c>
      <c r="V738" s="2" t="inlineStr">
        <is>
          <t>Knärot
Kungsfågel</t>
        </is>
      </c>
      <c r="W738">
        <f>HYPERLINK("https://klasma.github.io/Logging_0884/artfynd/A 22396-2025 artfynd.xlsx", "A 22396-2025")</f>
        <v/>
      </c>
      <c r="X738">
        <f>HYPERLINK("https://klasma.github.io/Logging_0884/kartor/A 22396-2025 karta.png", "A 22396-2025")</f>
        <v/>
      </c>
      <c r="Y738">
        <f>HYPERLINK("https://klasma.github.io/Logging_0884/kartor_geotiff/A 22396-2025 georefererad karta.tif", "A 22396-2025")</f>
        <v/>
      </c>
      <c r="Z738">
        <f>HYPERLINK("https://klasma.github.io/Logging_0884/knärot/A 22396-2025 karta knärot.png", "A 22396-2025")</f>
        <v/>
      </c>
      <c r="AA738">
        <f>HYPERLINK("https://klasma.github.io/Logging_0884/klagomål/A 22396-2025 FSC-klagomål.docx", "A 22396-2025")</f>
        <v/>
      </c>
      <c r="AB738">
        <f>HYPERLINK("https://klasma.github.io/Logging_0884/klagomålsmail/A 22396-2025 FSC-klagomål mail.docx", "A 22396-2025")</f>
        <v/>
      </c>
      <c r="AC738">
        <f>HYPERLINK("https://klasma.github.io/Logging_0884/tillsyn/A 22396-2025 tillsynsbegäran.docx", "A 22396-2025")</f>
        <v/>
      </c>
      <c r="AD738">
        <f>HYPERLINK("https://klasma.github.io/Logging_0884/tillsynsmail/A 22396-2025 tillsynsbegäran mail.docx", "A 22396-2025")</f>
        <v/>
      </c>
    </row>
    <row r="739" ht="15" customHeight="1">
      <c r="A739" t="inlineStr">
        <is>
          <t>A 51784-2023</t>
        </is>
      </c>
      <c r="B739" t="inlineStr">
        <is>
          <t>avverkningsanmälan</t>
        </is>
      </c>
      <c r="C739" t="inlineStr">
        <is>
          <t>Föryngringsavverkning</t>
        </is>
      </c>
      <c r="D739" s="1" t="n">
        <v>45222</v>
      </c>
      <c r="E739" s="1" t="n">
        <v>46323</v>
      </c>
      <c r="F739" t="inlineStr">
        <is>
          <t>KALMAR LÄN</t>
        </is>
      </c>
      <c r="G739" t="inlineStr">
        <is>
          <t>NYBRO</t>
        </is>
      </c>
      <c r="I739" t="n">
        <v>1.2</v>
      </c>
      <c r="J739" t="n">
        <v>1</v>
      </c>
      <c r="K739" t="n">
        <v>1</v>
      </c>
      <c r="L739" t="n">
        <v>1</v>
      </c>
      <c r="M739" t="n">
        <v>0</v>
      </c>
      <c r="N739" t="n">
        <v>0</v>
      </c>
      <c r="O739" t="n">
        <v>0</v>
      </c>
      <c r="P739" t="n">
        <v>0</v>
      </c>
      <c r="Q739" t="n">
        <v>1</v>
      </c>
      <c r="R739" t="n">
        <v>0</v>
      </c>
      <c r="S739" t="n">
        <v>2</v>
      </c>
      <c r="T739" t="n">
        <v>2</v>
      </c>
      <c r="U739" t="n">
        <v>2</v>
      </c>
      <c r="V739" s="2" t="inlineStr">
        <is>
          <t>Solvända
Tvåblad</t>
        </is>
      </c>
      <c r="W739">
        <f>HYPERLINK("https://klasma.github.io/Logging_0881/artfynd/A 51784-2023 artfynd.xlsx", "A 51784-2023")</f>
        <v/>
      </c>
      <c r="X739">
        <f>HYPERLINK("https://klasma.github.io/Logging_0881/kartor/A 51784-2023 karta.png", "A 51784-2023")</f>
        <v/>
      </c>
      <c r="Y739">
        <f>HYPERLINK("https://klasma.github.io/Logging_0881/kartor_geotiff/A 51784-2023 georefererad karta.tif", "A 51784-2023")</f>
        <v/>
      </c>
      <c r="AA739">
        <f>HYPERLINK("https://klasma.github.io/Logging_0881/klagomål/A 51784-2023 FSC-klagomål.docx", "A 51784-2023")</f>
        <v/>
      </c>
      <c r="AB739">
        <f>HYPERLINK("https://klasma.github.io/Logging_0881/klagomålsmail/A 51784-2023 FSC-klagomål mail.docx", "A 51784-2023")</f>
        <v/>
      </c>
      <c r="AC739">
        <f>HYPERLINK("https://klasma.github.io/Logging_0881/tillsyn/A 51784-2023 tillsynsbegäran.docx", "A 51784-2023")</f>
        <v/>
      </c>
      <c r="AD739">
        <f>HYPERLINK("https://klasma.github.io/Logging_0881/tillsynsmail/A 51784-2023 tillsynsbegäran mail.docx", "A 51784-2023")</f>
        <v/>
      </c>
    </row>
    <row r="740" ht="15" customHeight="1">
      <c r="A740" t="inlineStr">
        <is>
          <t>A 40815-2026</t>
        </is>
      </c>
      <c r="B740" t="inlineStr">
        <is>
          <t>avverkningsanmälan</t>
        </is>
      </c>
      <c r="C740" t="inlineStr">
        <is>
          <t>Föryngringsavverkning</t>
        </is>
      </c>
      <c r="D740" s="1" t="n">
        <v>46296</v>
      </c>
      <c r="E740" s="1" t="n">
        <v>46323</v>
      </c>
      <c r="F740" t="inlineStr">
        <is>
          <t>KALMAR LÄN</t>
        </is>
      </c>
      <c r="G740" t="inlineStr">
        <is>
          <t>HULTSFRED</t>
        </is>
      </c>
      <c r="H740" t="inlineStr">
        <is>
          <t>Kyrkan</t>
        </is>
      </c>
      <c r="I740" t="n">
        <v>3.9</v>
      </c>
      <c r="J740" t="n">
        <v>2</v>
      </c>
      <c r="K740" t="n">
        <v>0</v>
      </c>
      <c r="L740" t="n">
        <v>0</v>
      </c>
      <c r="M740" t="n">
        <v>0</v>
      </c>
      <c r="N740" t="n">
        <v>0</v>
      </c>
      <c r="O740" t="n">
        <v>0</v>
      </c>
      <c r="P740" t="n">
        <v>0</v>
      </c>
      <c r="Q740" t="n">
        <v>0</v>
      </c>
      <c r="R740" t="n">
        <v>0</v>
      </c>
      <c r="S740" t="n">
        <v>2</v>
      </c>
      <c r="T740" t="n">
        <v>2</v>
      </c>
      <c r="U740" t="n">
        <v>0</v>
      </c>
      <c r="V740" s="2" t="inlineStr">
        <is>
          <t>Järpe
Tjäder</t>
        </is>
      </c>
      <c r="W740">
        <f>HYPERLINK("https://klasma.github.io/Logging_0860/artfynd/A 40815-2026 artfynd.xlsx", "A 40815-2026")</f>
        <v/>
      </c>
      <c r="X740">
        <f>HYPERLINK("https://klasma.github.io/Logging_0860/kartor/A 40815-2026 karta.png", "A 40815-2026")</f>
        <v/>
      </c>
      <c r="Y740">
        <f>HYPERLINK("https://klasma.github.io/Logging_0860/kartor_geotiff/A 40815-2026 georefererad karta.tif", "A 40815-2026")</f>
        <v/>
      </c>
      <c r="AA740">
        <f>HYPERLINK("https://klasma.github.io/Logging_0860/klagomål/A 40815-2026 FSC-klagomål.docx", "A 40815-2026")</f>
        <v/>
      </c>
      <c r="AB740">
        <f>HYPERLINK("https://klasma.github.io/Logging_0860/klagomålsmail/A 40815-2026 FSC-klagomål mail.docx", "A 40815-2026")</f>
        <v/>
      </c>
      <c r="AC740">
        <f>HYPERLINK("https://klasma.github.io/Logging_0860/tillsyn/A 40815-2026 tillsynsbegäran.docx", "A 40815-2026")</f>
        <v/>
      </c>
      <c r="AD740">
        <f>HYPERLINK("https://klasma.github.io/Logging_0860/tillsynsmail/A 40815-2026 tillsynsbegäran mail.docx", "A 40815-2026")</f>
        <v/>
      </c>
      <c r="AE740">
        <f>HYPERLINK("https://klasma.github.io/Logging_0860/fåglar/A 40815-2026 prioriterade fågelarter.docx", "A 40815-2026")</f>
        <v/>
      </c>
    </row>
    <row r="741" ht="15" customHeight="1">
      <c r="A741" t="inlineStr">
        <is>
          <t>A 55609-2025</t>
        </is>
      </c>
      <c r="B741" t="inlineStr">
        <is>
          <t>avverkningsanmälan</t>
        </is>
      </c>
      <c r="C741" t="inlineStr">
        <is>
          <t>Föryngringsavverkning</t>
        </is>
      </c>
      <c r="D741" s="1" t="n">
        <v>45971</v>
      </c>
      <c r="E741" s="1" t="n">
        <v>46323</v>
      </c>
      <c r="F741" t="inlineStr">
        <is>
          <t>KALMAR LÄN</t>
        </is>
      </c>
      <c r="G741" t="inlineStr">
        <is>
          <t>HULTSFRED</t>
        </is>
      </c>
      <c r="I741" t="n">
        <v>2.4</v>
      </c>
      <c r="J741" t="n">
        <v>0</v>
      </c>
      <c r="K741" t="n">
        <v>2</v>
      </c>
      <c r="L741" t="n">
        <v>0</v>
      </c>
      <c r="M741" t="n">
        <v>0</v>
      </c>
      <c r="N741" t="n">
        <v>0</v>
      </c>
      <c r="O741" t="n">
        <v>0</v>
      </c>
      <c r="P741" t="n">
        <v>0</v>
      </c>
      <c r="Q741" t="n">
        <v>0</v>
      </c>
      <c r="R741" t="n">
        <v>0</v>
      </c>
      <c r="S741" t="n">
        <v>2</v>
      </c>
      <c r="T741" t="n">
        <v>2</v>
      </c>
      <c r="U741" t="n">
        <v>0</v>
      </c>
      <c r="V741" s="2" t="inlineStr">
        <is>
          <t>Kornig nållav
Sotlav</t>
        </is>
      </c>
      <c r="W741">
        <f>HYPERLINK("https://klasma.github.io/Logging_0860/artfynd/A 55609-2025 artfynd.xlsx", "A 55609-2025")</f>
        <v/>
      </c>
      <c r="X741">
        <f>HYPERLINK("https://klasma.github.io/Logging_0860/kartor/A 55609-2025 karta.png", "A 55609-2025")</f>
        <v/>
      </c>
      <c r="Y741">
        <f>HYPERLINK("https://klasma.github.io/Logging_0860/kartor_geotiff/A 55609-2025 georefererad karta.tif", "A 55609-2025")</f>
        <v/>
      </c>
      <c r="AA741">
        <f>HYPERLINK("https://klasma.github.io/Logging_0860/klagomål/A 55609-2025 FSC-klagomål.docx", "A 55609-2025")</f>
        <v/>
      </c>
      <c r="AB741">
        <f>HYPERLINK("https://klasma.github.io/Logging_0860/klagomålsmail/A 55609-2025 FSC-klagomål mail.docx", "A 55609-2025")</f>
        <v/>
      </c>
      <c r="AC741">
        <f>HYPERLINK("https://klasma.github.io/Logging_0860/tillsyn/A 55609-2025 tillsynsbegäran.docx", "A 55609-2025")</f>
        <v/>
      </c>
      <c r="AD741">
        <f>HYPERLINK("https://klasma.github.io/Logging_0860/tillsynsmail/A 55609-2025 tillsynsbegäran mail.docx", "A 55609-2025")</f>
        <v/>
      </c>
    </row>
    <row r="742" ht="15" customHeight="1">
      <c r="A742" t="inlineStr">
        <is>
          <t>A 2604-2025</t>
        </is>
      </c>
      <c r="B742" t="inlineStr">
        <is>
          <t>avverkningsanmälan</t>
        </is>
      </c>
      <c r="C742" t="inlineStr">
        <is>
          <t>Föryngringsavverkning</t>
        </is>
      </c>
      <c r="D742" s="1" t="n">
        <v>45674</v>
      </c>
      <c r="E742" s="1" t="n">
        <v>46323</v>
      </c>
      <c r="F742" t="inlineStr">
        <is>
          <t>KALMAR LÄN</t>
        </is>
      </c>
      <c r="G742" t="inlineStr">
        <is>
          <t>VIMMERBY</t>
        </is>
      </c>
      <c r="I742" t="n">
        <v>7.6</v>
      </c>
      <c r="J742" t="n">
        <v>0</v>
      </c>
      <c r="K742" t="n">
        <v>0</v>
      </c>
      <c r="L742" t="n">
        <v>2</v>
      </c>
      <c r="M742" t="n">
        <v>0</v>
      </c>
      <c r="N742" t="n">
        <v>0</v>
      </c>
      <c r="O742" t="n">
        <v>0</v>
      </c>
      <c r="P742" t="n">
        <v>0</v>
      </c>
      <c r="Q742" t="n">
        <v>2</v>
      </c>
      <c r="R742" t="n">
        <v>0</v>
      </c>
      <c r="S742" t="n">
        <v>2</v>
      </c>
      <c r="T742" t="n">
        <v>2</v>
      </c>
      <c r="U742" t="n">
        <v>0</v>
      </c>
      <c r="V742" s="2" t="inlineStr">
        <is>
          <t>Långfibbla
Spretfibbla</t>
        </is>
      </c>
      <c r="W742">
        <f>HYPERLINK("https://klasma.github.io/Logging_0884/artfynd/A 2604-2025 artfynd.xlsx", "A 2604-2025")</f>
        <v/>
      </c>
      <c r="X742">
        <f>HYPERLINK("https://klasma.github.io/Logging_0884/kartor/A 2604-2025 karta.png", "A 2604-2025")</f>
        <v/>
      </c>
      <c r="Y742">
        <f>HYPERLINK("https://klasma.github.io/Logging_0884/kartor_geotiff/A 2604-2025 georefererad karta.tif", "A 2604-2025")</f>
        <v/>
      </c>
      <c r="AA742">
        <f>HYPERLINK("https://klasma.github.io/Logging_0884/klagomål/A 2604-2025 FSC-klagomål.docx", "A 2604-2025")</f>
        <v/>
      </c>
      <c r="AB742">
        <f>HYPERLINK("https://klasma.github.io/Logging_0884/klagomålsmail/A 2604-2025 FSC-klagomål mail.docx", "A 2604-2025")</f>
        <v/>
      </c>
      <c r="AC742">
        <f>HYPERLINK("https://klasma.github.io/Logging_0884/tillsyn/A 2604-2025 tillsynsbegäran.docx", "A 2604-2025")</f>
        <v/>
      </c>
      <c r="AD742">
        <f>HYPERLINK("https://klasma.github.io/Logging_0884/tillsynsmail/A 2604-2025 tillsynsbegäran mail.docx", "A 2604-2025")</f>
        <v/>
      </c>
    </row>
    <row r="743" ht="15" customHeight="1">
      <c r="A743" t="inlineStr">
        <is>
          <t>A 56554-2022</t>
        </is>
      </c>
      <c r="B743" t="inlineStr">
        <is>
          <t>avverkningsanmälan</t>
        </is>
      </c>
      <c r="C743" t="inlineStr">
        <is>
          <t>Föryngringsavverkning</t>
        </is>
      </c>
      <c r="D743" s="1" t="n">
        <v>44893</v>
      </c>
      <c r="E743" s="1" t="n">
        <v>46323</v>
      </c>
      <c r="F743" t="inlineStr">
        <is>
          <t>KALMAR LÄN</t>
        </is>
      </c>
      <c r="G743" t="inlineStr">
        <is>
          <t>HULTSFRED</t>
        </is>
      </c>
      <c r="H743" t="inlineStr">
        <is>
          <t>Kyrkan</t>
        </is>
      </c>
      <c r="I743" t="n">
        <v>1.6</v>
      </c>
      <c r="J743" t="n">
        <v>1</v>
      </c>
      <c r="K743" t="n">
        <v>1</v>
      </c>
      <c r="L743" t="n">
        <v>0</v>
      </c>
      <c r="M743" t="n">
        <v>0</v>
      </c>
      <c r="N743" t="n">
        <v>0</v>
      </c>
      <c r="O743" t="n">
        <v>0</v>
      </c>
      <c r="P743" t="n">
        <v>0</v>
      </c>
      <c r="Q743" t="n">
        <v>0</v>
      </c>
      <c r="R743" t="n">
        <v>0</v>
      </c>
      <c r="S743" t="n">
        <v>2</v>
      </c>
      <c r="T743" t="n">
        <v>2</v>
      </c>
      <c r="U743" t="n">
        <v>0</v>
      </c>
      <c r="V743" s="2" t="inlineStr">
        <is>
          <t>Västlig hakmossa
Revlummer</t>
        </is>
      </c>
      <c r="W743">
        <f>HYPERLINK("https://klasma.github.io/Logging_0860/artfynd/A 56554-2022 artfynd.xlsx", "A 56554-2022")</f>
        <v/>
      </c>
      <c r="X743">
        <f>HYPERLINK("https://klasma.github.io/Logging_0860/kartor/A 56554-2022 karta.png", "A 56554-2022")</f>
        <v/>
      </c>
      <c r="Y743">
        <f>HYPERLINK("https://klasma.github.io/Logging_0860/kartor_geotiff/A 56554-2022 georefererad karta.tif", "A 56554-2022")</f>
        <v/>
      </c>
      <c r="AA743">
        <f>HYPERLINK("https://klasma.github.io/Logging_0860/klagomål/A 56554-2022 FSC-klagomål.docx", "A 56554-2022")</f>
        <v/>
      </c>
      <c r="AB743">
        <f>HYPERLINK("https://klasma.github.io/Logging_0860/klagomålsmail/A 56554-2022 FSC-klagomål mail.docx", "A 56554-2022")</f>
        <v/>
      </c>
      <c r="AC743">
        <f>HYPERLINK("https://klasma.github.io/Logging_0860/tillsyn/A 56554-2022 tillsynsbegäran.docx", "A 56554-2022")</f>
        <v/>
      </c>
      <c r="AD743">
        <f>HYPERLINK("https://klasma.github.io/Logging_0860/tillsynsmail/A 56554-2022 tillsynsbegäran mail.docx", "A 56554-2022")</f>
        <v/>
      </c>
    </row>
    <row r="744" ht="15" customHeight="1">
      <c r="A744" t="inlineStr">
        <is>
          <t>A 35702-2026</t>
        </is>
      </c>
      <c r="B744" t="inlineStr">
        <is>
          <t>avverkningsanmälan</t>
        </is>
      </c>
      <c r="C744" t="inlineStr">
        <is>
          <t>Föryngringsavverkning</t>
        </is>
      </c>
      <c r="D744" s="1" t="n">
        <v>46265</v>
      </c>
      <c r="E744" s="1" t="n">
        <v>46323</v>
      </c>
      <c r="F744" t="inlineStr">
        <is>
          <t>KALMAR LÄN</t>
        </is>
      </c>
      <c r="G744" t="inlineStr">
        <is>
          <t>TORSÅS</t>
        </is>
      </c>
      <c r="I744" t="n">
        <v>5.2</v>
      </c>
      <c r="J744" t="n">
        <v>1</v>
      </c>
      <c r="K744" t="n">
        <v>0</v>
      </c>
      <c r="L744" t="n">
        <v>0</v>
      </c>
      <c r="M744" t="n">
        <v>1</v>
      </c>
      <c r="N744" t="n">
        <v>0</v>
      </c>
      <c r="O744" t="n">
        <v>0</v>
      </c>
      <c r="P744" t="n">
        <v>0</v>
      </c>
      <c r="Q744" t="n">
        <v>1</v>
      </c>
      <c r="R744" t="n">
        <v>1</v>
      </c>
      <c r="S744" t="n">
        <v>2</v>
      </c>
      <c r="T744" t="n">
        <v>3</v>
      </c>
      <c r="U744" t="n">
        <v>0</v>
      </c>
      <c r="V744" s="2" t="inlineStr">
        <is>
          <t>Gullvivefjäril
Gullviva</t>
        </is>
      </c>
      <c r="W744">
        <f>HYPERLINK("https://klasma.github.io/Logging_0834/artfynd/A 35702-2026 artfynd.xlsx", "A 35702-2026")</f>
        <v/>
      </c>
      <c r="X744">
        <f>HYPERLINK("https://klasma.github.io/Logging_0834/kartor/A 35702-2026 karta.png", "A 35702-2026")</f>
        <v/>
      </c>
      <c r="Y744">
        <f>HYPERLINK("https://klasma.github.io/Logging_0834/kartor_geotiff/A 35702-2026 georefererad karta.tif", "A 35702-2026")</f>
        <v/>
      </c>
      <c r="AA744">
        <f>HYPERLINK("https://klasma.github.io/Logging_0834/klagomål/A 35702-2026 FSC-klagomål.docx", "A 35702-2026")</f>
        <v/>
      </c>
      <c r="AB744">
        <f>HYPERLINK("https://klasma.github.io/Logging_0834/klagomålsmail/A 35702-2026 FSC-klagomål mail.docx", "A 35702-2026")</f>
        <v/>
      </c>
      <c r="AC744">
        <f>HYPERLINK("https://klasma.github.io/Logging_0834/tillsyn/A 35702-2026 tillsynsbegäran.docx", "A 35702-2026")</f>
        <v/>
      </c>
      <c r="AD744">
        <f>HYPERLINK("https://klasma.github.io/Logging_0834/tillsynsmail/A 35702-2026 tillsynsbegäran mail.docx", "A 35702-2026")</f>
        <v/>
      </c>
    </row>
    <row r="745" ht="15" customHeight="1">
      <c r="A745" t="inlineStr">
        <is>
          <t>A 20639-2026</t>
        </is>
      </c>
      <c r="B745" t="inlineStr">
        <is>
          <t>avverkningsanmälan</t>
        </is>
      </c>
      <c r="C745" t="inlineStr">
        <is>
          <t>Föryngringsavverkning</t>
        </is>
      </c>
      <c r="D745" s="1" t="n">
        <v>46141</v>
      </c>
      <c r="E745" s="1" t="n">
        <v>46323</v>
      </c>
      <c r="F745" t="inlineStr">
        <is>
          <t>KALMAR LÄN</t>
        </is>
      </c>
      <c r="G745" t="inlineStr">
        <is>
          <t>NYBRO</t>
        </is>
      </c>
      <c r="H745" t="inlineStr">
        <is>
          <t>Sveaskog</t>
        </is>
      </c>
      <c r="I745" t="n">
        <v>2.5</v>
      </c>
      <c r="J745" t="n">
        <v>0</v>
      </c>
      <c r="K745" t="n">
        <v>0</v>
      </c>
      <c r="L745" t="n">
        <v>0</v>
      </c>
      <c r="M745" t="n">
        <v>1</v>
      </c>
      <c r="N745" t="n">
        <v>1</v>
      </c>
      <c r="O745" t="n">
        <v>0</v>
      </c>
      <c r="P745" t="n">
        <v>0</v>
      </c>
      <c r="Q745" t="n">
        <v>2</v>
      </c>
      <c r="R745" t="n">
        <v>2</v>
      </c>
      <c r="S745" t="n">
        <v>2</v>
      </c>
      <c r="T745" t="n">
        <v>2</v>
      </c>
      <c r="U745" t="n">
        <v>0</v>
      </c>
      <c r="V745" s="2" t="inlineStr">
        <is>
          <t>Ljungögontröst
Dvärglin</t>
        </is>
      </c>
      <c r="W745">
        <f>HYPERLINK("https://klasma.github.io/Logging_0881/artfynd/A 20639-2026 artfynd.xlsx", "A 20639-2026")</f>
        <v/>
      </c>
      <c r="X745">
        <f>HYPERLINK("https://klasma.github.io/Logging_0881/kartor/A 20639-2026 karta.png", "A 20639-2026")</f>
        <v/>
      </c>
      <c r="Y745">
        <f>HYPERLINK("https://klasma.github.io/Logging_0881/kartor_geotiff/A 20639-2026 georefererad karta.tif", "A 20639-2026")</f>
        <v/>
      </c>
      <c r="AA745">
        <f>HYPERLINK("https://klasma.github.io/Logging_0881/klagomål/A 20639-2026 FSC-klagomål.docx", "A 20639-2026")</f>
        <v/>
      </c>
      <c r="AB745">
        <f>HYPERLINK("https://klasma.github.io/Logging_0881/klagomålsmail/A 20639-2026 FSC-klagomål mail.docx", "A 20639-2026")</f>
        <v/>
      </c>
      <c r="AC745">
        <f>HYPERLINK("https://klasma.github.io/Logging_0881/tillsyn/A 20639-2026 tillsynsbegäran.docx", "A 20639-2026")</f>
        <v/>
      </c>
      <c r="AD745">
        <f>HYPERLINK("https://klasma.github.io/Logging_0881/tillsynsmail/A 20639-2026 tillsynsbegäran mail.docx", "A 20639-2026")</f>
        <v/>
      </c>
    </row>
    <row r="746" ht="15" customHeight="1">
      <c r="A746" t="inlineStr">
        <is>
          <t>A 7201-2025</t>
        </is>
      </c>
      <c r="B746" t="inlineStr">
        <is>
          <t>avverkningsanmälan</t>
        </is>
      </c>
      <c r="C746" t="inlineStr">
        <is>
          <t>Föryngringsavverkning</t>
        </is>
      </c>
      <c r="D746" s="1" t="n">
        <v>45702</v>
      </c>
      <c r="E746" s="1" t="n">
        <v>46323</v>
      </c>
      <c r="F746" t="inlineStr">
        <is>
          <t>KALMAR LÄN</t>
        </is>
      </c>
      <c r="G746" t="inlineStr">
        <is>
          <t>HULTSFRED</t>
        </is>
      </c>
      <c r="H746" t="inlineStr">
        <is>
          <t>Sveaskog</t>
        </is>
      </c>
      <c r="I746" t="n">
        <v>2.9</v>
      </c>
      <c r="J746" t="n">
        <v>2</v>
      </c>
      <c r="K746" t="n">
        <v>0</v>
      </c>
      <c r="L746" t="n">
        <v>0</v>
      </c>
      <c r="M746" t="n">
        <v>0</v>
      </c>
      <c r="N746" t="n">
        <v>0</v>
      </c>
      <c r="O746" t="n">
        <v>0</v>
      </c>
      <c r="P746" t="n">
        <v>0</v>
      </c>
      <c r="Q746" t="n">
        <v>0</v>
      </c>
      <c r="R746" t="n">
        <v>0</v>
      </c>
      <c r="S746" t="n">
        <v>2</v>
      </c>
      <c r="T746" t="n">
        <v>2</v>
      </c>
      <c r="U746" t="n">
        <v>0</v>
      </c>
      <c r="V746" s="2" t="inlineStr">
        <is>
          <t>Blåsippa
Sångsvan</t>
        </is>
      </c>
      <c r="W746">
        <f>HYPERLINK("https://klasma.github.io/Logging_0860/artfynd/A 7201-2025 artfynd.xlsx", "A 7201-2025")</f>
        <v/>
      </c>
      <c r="X746">
        <f>HYPERLINK("https://klasma.github.io/Logging_0860/kartor/A 7201-2025 karta.png", "A 7201-2025")</f>
        <v/>
      </c>
      <c r="Y746">
        <f>HYPERLINK("https://klasma.github.io/Logging_0860/kartor_geotiff/A 7201-2025 georefererad karta.tif", "A 7201-2025")</f>
        <v/>
      </c>
      <c r="AA746">
        <f>HYPERLINK("https://klasma.github.io/Logging_0860/klagomål/A 7201-2025 FSC-klagomål.docx", "A 7201-2025")</f>
        <v/>
      </c>
      <c r="AB746">
        <f>HYPERLINK("https://klasma.github.io/Logging_0860/klagomålsmail/A 7201-2025 FSC-klagomål mail.docx", "A 7201-2025")</f>
        <v/>
      </c>
      <c r="AC746">
        <f>HYPERLINK("https://klasma.github.io/Logging_0860/tillsyn/A 7201-2025 tillsynsbegäran.docx", "A 7201-2025")</f>
        <v/>
      </c>
      <c r="AD746">
        <f>HYPERLINK("https://klasma.github.io/Logging_0860/tillsynsmail/A 7201-2025 tillsynsbegäran mail.docx", "A 7201-2025")</f>
        <v/>
      </c>
      <c r="AE746">
        <f>HYPERLINK("https://klasma.github.io/Logging_0860/fåglar/A 7201-2025 prioriterade fågelarter.docx", "A 7201-2025")</f>
        <v/>
      </c>
    </row>
    <row r="747" ht="15" customHeight="1">
      <c r="A747" t="inlineStr">
        <is>
          <t>A 31373-2025</t>
        </is>
      </c>
      <c r="B747" t="inlineStr">
        <is>
          <t>avverkningsanmälan</t>
        </is>
      </c>
      <c r="C747" t="inlineStr">
        <is>
          <t>Föryngringsavverkning</t>
        </is>
      </c>
      <c r="D747" s="1" t="n">
        <v>45833</v>
      </c>
      <c r="E747" s="1" t="n">
        <v>46323</v>
      </c>
      <c r="F747" t="inlineStr">
        <is>
          <t>KALMAR LÄN</t>
        </is>
      </c>
      <c r="G747" t="inlineStr">
        <is>
          <t>MÖNSTERÅS</t>
        </is>
      </c>
      <c r="I747" t="n">
        <v>4.2</v>
      </c>
      <c r="J747" t="n">
        <v>2</v>
      </c>
      <c r="K747" t="n">
        <v>0</v>
      </c>
      <c r="L747" t="n">
        <v>1</v>
      </c>
      <c r="M747" t="n">
        <v>0</v>
      </c>
      <c r="N747" t="n">
        <v>0</v>
      </c>
      <c r="O747" t="n">
        <v>0</v>
      </c>
      <c r="P747" t="n">
        <v>0</v>
      </c>
      <c r="Q747" t="n">
        <v>1</v>
      </c>
      <c r="R747" t="n">
        <v>0</v>
      </c>
      <c r="S747" t="n">
        <v>2</v>
      </c>
      <c r="T747" t="n">
        <v>2</v>
      </c>
      <c r="U747" t="n">
        <v>0</v>
      </c>
      <c r="V747" s="2" t="inlineStr">
        <is>
          <t>Nordfladdermus
Nattskärra</t>
        </is>
      </c>
      <c r="W747">
        <f>HYPERLINK("https://klasma.github.io/Logging_0861/artfynd/A 31373-2025 artfynd.xlsx", "A 31373-2025")</f>
        <v/>
      </c>
      <c r="X747">
        <f>HYPERLINK("https://klasma.github.io/Logging_0861/kartor/A 31373-2025 karta.png", "A 31373-2025")</f>
        <v/>
      </c>
      <c r="Y747">
        <f>HYPERLINK("https://klasma.github.io/Logging_0861/kartor_geotiff/A 31373-2025 georefererad karta.tif", "A 31373-2025")</f>
        <v/>
      </c>
      <c r="AA747">
        <f>HYPERLINK("https://klasma.github.io/Logging_0861/klagomål/A 31373-2025 FSC-klagomål.docx", "A 31373-2025")</f>
        <v/>
      </c>
      <c r="AB747">
        <f>HYPERLINK("https://klasma.github.io/Logging_0861/klagomålsmail/A 31373-2025 FSC-klagomål mail.docx", "A 31373-2025")</f>
        <v/>
      </c>
      <c r="AC747">
        <f>HYPERLINK("https://klasma.github.io/Logging_0861/tillsyn/A 31373-2025 tillsynsbegäran.docx", "A 31373-2025")</f>
        <v/>
      </c>
      <c r="AD747">
        <f>HYPERLINK("https://klasma.github.io/Logging_0861/tillsynsmail/A 31373-2025 tillsynsbegäran mail.docx", "A 31373-2025")</f>
        <v/>
      </c>
      <c r="AE747">
        <f>HYPERLINK("https://klasma.github.io/Logging_0861/fåglar/A 31373-2025 prioriterade fågelarter.docx", "A 31373-2025")</f>
        <v/>
      </c>
    </row>
    <row r="748" ht="15" customHeight="1">
      <c r="A748" t="inlineStr">
        <is>
          <t>A 11198-2024</t>
        </is>
      </c>
      <c r="B748" t="inlineStr">
        <is>
          <t>avverkningsanmälan</t>
        </is>
      </c>
      <c r="C748" t="inlineStr">
        <is>
          <t>Föryngringsavverkning</t>
        </is>
      </c>
      <c r="D748" s="1" t="n">
        <v>45371</v>
      </c>
      <c r="E748" s="1" t="n">
        <v>46323</v>
      </c>
      <c r="F748" t="inlineStr">
        <is>
          <t>KALMAR LÄN</t>
        </is>
      </c>
      <c r="G748" t="inlineStr">
        <is>
          <t>VÄSTERVIK</t>
        </is>
      </c>
      <c r="I748" t="n">
        <v>4.1</v>
      </c>
      <c r="J748" t="n">
        <v>1</v>
      </c>
      <c r="K748" t="n">
        <v>1</v>
      </c>
      <c r="L748" t="n">
        <v>0</v>
      </c>
      <c r="M748" t="n">
        <v>0</v>
      </c>
      <c r="N748" t="n">
        <v>0</v>
      </c>
      <c r="O748" t="n">
        <v>0</v>
      </c>
      <c r="P748" t="n">
        <v>0</v>
      </c>
      <c r="Q748" t="n">
        <v>0</v>
      </c>
      <c r="R748" t="n">
        <v>0</v>
      </c>
      <c r="S748" t="n">
        <v>2</v>
      </c>
      <c r="T748" t="n">
        <v>2</v>
      </c>
      <c r="U748" t="n">
        <v>2</v>
      </c>
      <c r="V748" s="2" t="inlineStr">
        <is>
          <t>Blåmossa
Tjäder</t>
        </is>
      </c>
      <c r="W748">
        <f>HYPERLINK("https://klasma.github.io/Logging_0883/artfynd/A 11198-2024 artfynd.xlsx", "A 11198-2024")</f>
        <v/>
      </c>
      <c r="X748">
        <f>HYPERLINK("https://klasma.github.io/Logging_0883/kartor/A 11198-2024 karta.png", "A 11198-2024")</f>
        <v/>
      </c>
      <c r="Y748">
        <f>HYPERLINK("https://klasma.github.io/Logging_0883/kartor_geotiff/A 11198-2024 georefererad karta.tif", "A 11198-2024")</f>
        <v/>
      </c>
      <c r="AA748">
        <f>HYPERLINK("https://klasma.github.io/Logging_0883/klagomål/A 11198-2024 FSC-klagomål.docx", "A 11198-2024")</f>
        <v/>
      </c>
      <c r="AB748">
        <f>HYPERLINK("https://klasma.github.io/Logging_0883/klagomålsmail/A 11198-2024 FSC-klagomål mail.docx", "A 11198-2024")</f>
        <v/>
      </c>
      <c r="AC748">
        <f>HYPERLINK("https://klasma.github.io/Logging_0883/tillsyn/A 11198-2024 tillsynsbegäran.docx", "A 11198-2024")</f>
        <v/>
      </c>
      <c r="AD748">
        <f>HYPERLINK("https://klasma.github.io/Logging_0883/tillsynsmail/A 11198-2024 tillsynsbegäran mail.docx", "A 11198-2024")</f>
        <v/>
      </c>
      <c r="AE748">
        <f>HYPERLINK("https://klasma.github.io/Logging_0883/fåglar/A 11198-2024 prioriterade fågelarter.docx", "A 11198-2024")</f>
        <v/>
      </c>
    </row>
    <row r="749" ht="15" customHeight="1">
      <c r="A749" t="inlineStr">
        <is>
          <t>A 21329-2026</t>
        </is>
      </c>
      <c r="B749" t="inlineStr">
        <is>
          <t>avverkningsanmälan</t>
        </is>
      </c>
      <c r="C749" t="inlineStr">
        <is>
          <t>Föryngringsavverkning</t>
        </is>
      </c>
      <c r="D749" s="1" t="n">
        <v>46147</v>
      </c>
      <c r="E749" s="1" t="n">
        <v>46323</v>
      </c>
      <c r="F749" t="inlineStr">
        <is>
          <t>KALMAR LÄN</t>
        </is>
      </c>
      <c r="G749" t="inlineStr">
        <is>
          <t>VÄSTERVIK</t>
        </is>
      </c>
      <c r="H749" t="inlineStr">
        <is>
          <t>Sveaskog</t>
        </is>
      </c>
      <c r="I749" t="n">
        <v>1.9</v>
      </c>
      <c r="J749" t="n">
        <v>2</v>
      </c>
      <c r="K749" t="n">
        <v>0</v>
      </c>
      <c r="L749" t="n">
        <v>1</v>
      </c>
      <c r="M749" t="n">
        <v>0</v>
      </c>
      <c r="N749" t="n">
        <v>0</v>
      </c>
      <c r="O749" t="n">
        <v>0</v>
      </c>
      <c r="P749" t="n">
        <v>0</v>
      </c>
      <c r="Q749" t="n">
        <v>1</v>
      </c>
      <c r="R749" t="n">
        <v>0</v>
      </c>
      <c r="S749" t="n">
        <v>2</v>
      </c>
      <c r="T749" t="n">
        <v>3</v>
      </c>
      <c r="U749" t="n">
        <v>3</v>
      </c>
      <c r="V749" s="2" t="inlineStr">
        <is>
          <t>Talltita
Spillkråka</t>
        </is>
      </c>
      <c r="W749">
        <f>HYPERLINK("https://klasma.github.io/Logging_0883/artfynd/A 21329-2026 artfynd.xlsx", "A 21329-2026")</f>
        <v/>
      </c>
      <c r="X749">
        <f>HYPERLINK("https://klasma.github.io/Logging_0883/kartor/A 21329-2026 karta.png", "A 21329-2026")</f>
        <v/>
      </c>
      <c r="Y749">
        <f>HYPERLINK("https://klasma.github.io/Logging_0883/kartor_geotiff/A 21329-2026 georefererad karta.tif", "A 21329-2026")</f>
        <v/>
      </c>
      <c r="AA749">
        <f>HYPERLINK("https://klasma.github.io/Logging_0883/klagomål/A 21329-2026 FSC-klagomål.docx", "A 21329-2026")</f>
        <v/>
      </c>
      <c r="AB749">
        <f>HYPERLINK("https://klasma.github.io/Logging_0883/klagomålsmail/A 21329-2026 FSC-klagomål mail.docx", "A 21329-2026")</f>
        <v/>
      </c>
      <c r="AC749">
        <f>HYPERLINK("https://klasma.github.io/Logging_0883/tillsyn/A 21329-2026 tillsynsbegäran.docx", "A 21329-2026")</f>
        <v/>
      </c>
      <c r="AD749">
        <f>HYPERLINK("https://klasma.github.io/Logging_0883/tillsynsmail/A 21329-2026 tillsynsbegäran mail.docx", "A 21329-2026")</f>
        <v/>
      </c>
      <c r="AE749">
        <f>HYPERLINK("https://klasma.github.io/Logging_0883/fåglar/A 21329-2026 prioriterade fågelarter.docx", "A 21329-2026")</f>
        <v/>
      </c>
    </row>
    <row r="750" ht="15" customHeight="1">
      <c r="A750" t="inlineStr">
        <is>
          <t>A 21331-2026</t>
        </is>
      </c>
      <c r="B750" t="inlineStr">
        <is>
          <t>avverkningsanmälan</t>
        </is>
      </c>
      <c r="C750" t="inlineStr">
        <is>
          <t>Föryngringsavverkning</t>
        </is>
      </c>
      <c r="D750" s="1" t="n">
        <v>46147</v>
      </c>
      <c r="E750" s="1" t="n">
        <v>46323</v>
      </c>
      <c r="F750" t="inlineStr">
        <is>
          <t>KALMAR LÄN</t>
        </is>
      </c>
      <c r="G750" t="inlineStr">
        <is>
          <t>VÄSTERVIK</t>
        </is>
      </c>
      <c r="H750" t="inlineStr">
        <is>
          <t>Sveaskog</t>
        </is>
      </c>
      <c r="I750" t="n">
        <v>3.5</v>
      </c>
      <c r="J750" t="n">
        <v>2</v>
      </c>
      <c r="K750" t="n">
        <v>0</v>
      </c>
      <c r="L750" t="n">
        <v>1</v>
      </c>
      <c r="M750" t="n">
        <v>0</v>
      </c>
      <c r="N750" t="n">
        <v>0</v>
      </c>
      <c r="O750" t="n">
        <v>0</v>
      </c>
      <c r="P750" t="n">
        <v>0</v>
      </c>
      <c r="Q750" t="n">
        <v>1</v>
      </c>
      <c r="R750" t="n">
        <v>0</v>
      </c>
      <c r="S750" t="n">
        <v>2</v>
      </c>
      <c r="T750" t="n">
        <v>2</v>
      </c>
      <c r="U750" t="n">
        <v>2</v>
      </c>
      <c r="V750" s="2" t="inlineStr">
        <is>
          <t>Talltita
Spillkråka</t>
        </is>
      </c>
      <c r="W750">
        <f>HYPERLINK("https://klasma.github.io/Logging_0883/artfynd/A 21331-2026 artfynd.xlsx", "A 21331-2026")</f>
        <v/>
      </c>
      <c r="X750">
        <f>HYPERLINK("https://klasma.github.io/Logging_0883/kartor/A 21331-2026 karta.png", "A 21331-2026")</f>
        <v/>
      </c>
      <c r="Y750">
        <f>HYPERLINK("https://klasma.github.io/Logging_0883/kartor_geotiff/A 21331-2026 georefererad karta.tif", "A 21331-2026")</f>
        <v/>
      </c>
      <c r="AA750">
        <f>HYPERLINK("https://klasma.github.io/Logging_0883/klagomål/A 21331-2026 FSC-klagomål.docx", "A 21331-2026")</f>
        <v/>
      </c>
      <c r="AB750">
        <f>HYPERLINK("https://klasma.github.io/Logging_0883/klagomålsmail/A 21331-2026 FSC-klagomål mail.docx", "A 21331-2026")</f>
        <v/>
      </c>
      <c r="AC750">
        <f>HYPERLINK("https://klasma.github.io/Logging_0883/tillsyn/A 21331-2026 tillsynsbegäran.docx", "A 21331-2026")</f>
        <v/>
      </c>
      <c r="AD750">
        <f>HYPERLINK("https://klasma.github.io/Logging_0883/tillsynsmail/A 21331-2026 tillsynsbegäran mail.docx", "A 21331-2026")</f>
        <v/>
      </c>
      <c r="AE750">
        <f>HYPERLINK("https://klasma.github.io/Logging_0883/fåglar/A 21331-2026 prioriterade fågelarter.docx", "A 21331-2026")</f>
        <v/>
      </c>
    </row>
    <row r="751" ht="15" customHeight="1">
      <c r="A751" t="inlineStr">
        <is>
          <t>A 37727-2026</t>
        </is>
      </c>
      <c r="B751" t="inlineStr">
        <is>
          <t>avverkningsanmälan</t>
        </is>
      </c>
      <c r="C751" t="inlineStr">
        <is>
          <t>Föryngringsavverkning</t>
        </is>
      </c>
      <c r="D751" s="1" t="n">
        <v>46279</v>
      </c>
      <c r="E751" s="1" t="n">
        <v>46323</v>
      </c>
      <c r="F751" t="inlineStr">
        <is>
          <t>KALMAR LÄN</t>
        </is>
      </c>
      <c r="G751" t="inlineStr">
        <is>
          <t>KALMAR</t>
        </is>
      </c>
      <c r="I751" t="n">
        <v>1.4</v>
      </c>
      <c r="J751" t="n">
        <v>1</v>
      </c>
      <c r="K751" t="n">
        <v>1</v>
      </c>
      <c r="L751" t="n">
        <v>0</v>
      </c>
      <c r="M751" t="n">
        <v>0</v>
      </c>
      <c r="N751" t="n">
        <v>0</v>
      </c>
      <c r="O751" t="n">
        <v>0</v>
      </c>
      <c r="P751" t="n">
        <v>0</v>
      </c>
      <c r="Q751" t="n">
        <v>0</v>
      </c>
      <c r="R751" t="n">
        <v>0</v>
      </c>
      <c r="S751" t="n">
        <v>2</v>
      </c>
      <c r="T751" t="n">
        <v>2</v>
      </c>
      <c r="U751" t="n">
        <v>0</v>
      </c>
      <c r="V751" s="2" t="inlineStr">
        <is>
          <t>Hasselticka
Spillkråka</t>
        </is>
      </c>
      <c r="W751">
        <f>HYPERLINK("https://klasma.github.io/Logging_0880/artfynd/A 37727-2026 artfynd.xlsx", "A 37727-2026")</f>
        <v/>
      </c>
      <c r="X751">
        <f>HYPERLINK("https://klasma.github.io/Logging_0880/kartor/A 37727-2026 karta.png", "A 37727-2026")</f>
        <v/>
      </c>
      <c r="Y751">
        <f>HYPERLINK("https://klasma.github.io/Logging_0880/kartor_geotiff/A 37727-2026 georefererad karta.tif", "A 37727-2026")</f>
        <v/>
      </c>
      <c r="AA751">
        <f>HYPERLINK("https://klasma.github.io/Logging_0880/klagomål/A 37727-2026 FSC-klagomål.docx", "A 37727-2026")</f>
        <v/>
      </c>
      <c r="AB751">
        <f>HYPERLINK("https://klasma.github.io/Logging_0880/klagomålsmail/A 37727-2026 FSC-klagomål mail.docx", "A 37727-2026")</f>
        <v/>
      </c>
      <c r="AC751">
        <f>HYPERLINK("https://klasma.github.io/Logging_0880/tillsyn/A 37727-2026 tillsynsbegäran.docx", "A 37727-2026")</f>
        <v/>
      </c>
      <c r="AD751">
        <f>HYPERLINK("https://klasma.github.io/Logging_0880/tillsynsmail/A 37727-2026 tillsynsbegäran mail.docx", "A 37727-2026")</f>
        <v/>
      </c>
      <c r="AE751">
        <f>HYPERLINK("https://klasma.github.io/Logging_0880/fåglar/A 37727-2026 prioriterade fågelarter.docx", "A 37727-2026")</f>
        <v/>
      </c>
    </row>
    <row r="752" ht="15" customHeight="1">
      <c r="A752" t="inlineStr">
        <is>
          <t>A 22633-2026</t>
        </is>
      </c>
      <c r="B752" t="inlineStr">
        <is>
          <t>avverkningsanmälan</t>
        </is>
      </c>
      <c r="C752" t="inlineStr">
        <is>
          <t>Avverkning för att bevara och utveckla /försöksver</t>
        </is>
      </c>
      <c r="D752" s="1" t="n">
        <v>46155</v>
      </c>
      <c r="E752" s="1" t="n">
        <v>46323</v>
      </c>
      <c r="F752" t="inlineStr">
        <is>
          <t>KALMAR LÄN</t>
        </is>
      </c>
      <c r="G752" t="inlineStr">
        <is>
          <t>MÖNSTERÅS</t>
        </is>
      </c>
      <c r="H752" t="inlineStr">
        <is>
          <t>Kommuner</t>
        </is>
      </c>
      <c r="I752" t="n">
        <v>2.2</v>
      </c>
      <c r="J752" t="n">
        <v>2</v>
      </c>
      <c r="K752" t="n">
        <v>0</v>
      </c>
      <c r="L752" t="n">
        <v>0</v>
      </c>
      <c r="M752" t="n">
        <v>0</v>
      </c>
      <c r="N752" t="n">
        <v>0</v>
      </c>
      <c r="O752" t="n">
        <v>0</v>
      </c>
      <c r="P752" t="n">
        <v>0</v>
      </c>
      <c r="Q752" t="n">
        <v>0</v>
      </c>
      <c r="R752" t="n">
        <v>0</v>
      </c>
      <c r="S752" t="n">
        <v>2</v>
      </c>
      <c r="T752" t="n">
        <v>2</v>
      </c>
      <c r="U752" t="n">
        <v>0</v>
      </c>
      <c r="V752" s="2" t="inlineStr">
        <is>
          <t>Blåsippa
Hårklomossa</t>
        </is>
      </c>
      <c r="W752">
        <f>HYPERLINK("https://klasma.github.io/Logging_0861/artfynd/A 22633-2026 artfynd.xlsx", "A 22633-2026")</f>
        <v/>
      </c>
      <c r="X752">
        <f>HYPERLINK("https://klasma.github.io/Logging_0861/kartor/A 22633-2026 karta.png", "A 22633-2026")</f>
        <v/>
      </c>
      <c r="Y752">
        <f>HYPERLINK("https://klasma.github.io/Logging_0861/kartor_geotiff/A 22633-2026 georefererad karta.tif", "A 22633-2026")</f>
        <v/>
      </c>
      <c r="AA752">
        <f>HYPERLINK("https://klasma.github.io/Logging_0861/klagomål/A 22633-2026 FSC-klagomål.docx", "A 22633-2026")</f>
        <v/>
      </c>
      <c r="AB752">
        <f>HYPERLINK("https://klasma.github.io/Logging_0861/klagomålsmail/A 22633-2026 FSC-klagomål mail.docx", "A 22633-2026")</f>
        <v/>
      </c>
      <c r="AC752">
        <f>HYPERLINK("https://klasma.github.io/Logging_0861/tillsyn/A 22633-2026 tillsynsbegäran.docx", "A 22633-2026")</f>
        <v/>
      </c>
      <c r="AD752">
        <f>HYPERLINK("https://klasma.github.io/Logging_0861/tillsynsmail/A 22633-2026 tillsynsbegäran mail.docx", "A 22633-2026")</f>
        <v/>
      </c>
    </row>
    <row r="753" ht="15" customHeight="1">
      <c r="A753" t="inlineStr">
        <is>
          <t>A 5211-2026</t>
        </is>
      </c>
      <c r="B753" t="inlineStr">
        <is>
          <t>avverkningsanmälan</t>
        </is>
      </c>
      <c r="C753" t="inlineStr">
        <is>
          <t>Föryngringsavverkning</t>
        </is>
      </c>
      <c r="D753" s="1" t="n">
        <v>46049</v>
      </c>
      <c r="E753" s="1" t="n">
        <v>46323</v>
      </c>
      <c r="F753" t="inlineStr">
        <is>
          <t>KALMAR LÄN</t>
        </is>
      </c>
      <c r="G753" t="inlineStr">
        <is>
          <t>KALMAR</t>
        </is>
      </c>
      <c r="I753" t="n">
        <v>1.8</v>
      </c>
      <c r="J753" t="n">
        <v>2</v>
      </c>
      <c r="K753" t="n">
        <v>0</v>
      </c>
      <c r="L753" t="n">
        <v>0</v>
      </c>
      <c r="M753" t="n">
        <v>1</v>
      </c>
      <c r="N753" t="n">
        <v>0</v>
      </c>
      <c r="O753" t="n">
        <v>0</v>
      </c>
      <c r="P753" t="n">
        <v>0</v>
      </c>
      <c r="Q753" t="n">
        <v>1</v>
      </c>
      <c r="R753" t="n">
        <v>1</v>
      </c>
      <c r="S753" t="n">
        <v>2</v>
      </c>
      <c r="T753" t="n">
        <v>2</v>
      </c>
      <c r="U753" t="n">
        <v>1</v>
      </c>
      <c r="V753" s="2" t="inlineStr">
        <is>
          <t>Sandödla
Grönsiska</t>
        </is>
      </c>
      <c r="W753">
        <f>HYPERLINK("https://klasma.github.io/Logging_0880/artfynd/A 5211-2026 artfynd.xlsx", "A 5211-2026")</f>
        <v/>
      </c>
      <c r="X753">
        <f>HYPERLINK("https://klasma.github.io/Logging_0880/kartor/A 5211-2026 karta.png", "A 5211-2026")</f>
        <v/>
      </c>
      <c r="Y753">
        <f>HYPERLINK("https://klasma.github.io/Logging_0880/kartor_geotiff/A 5211-2026 georefererad karta.tif", "A 5211-2026")</f>
        <v/>
      </c>
      <c r="AA753">
        <f>HYPERLINK("https://klasma.github.io/Logging_0880/klagomål/A 5211-2026 FSC-klagomål.docx", "A 5211-2026")</f>
        <v/>
      </c>
      <c r="AB753">
        <f>HYPERLINK("https://klasma.github.io/Logging_0880/klagomålsmail/A 5211-2026 FSC-klagomål mail.docx", "A 5211-2026")</f>
        <v/>
      </c>
      <c r="AC753">
        <f>HYPERLINK("https://klasma.github.io/Logging_0880/tillsyn/A 5211-2026 tillsynsbegäran.docx", "A 5211-2026")</f>
        <v/>
      </c>
      <c r="AD753">
        <f>HYPERLINK("https://klasma.github.io/Logging_0880/tillsynsmail/A 5211-2026 tillsynsbegäran mail.docx", "A 5211-2026")</f>
        <v/>
      </c>
    </row>
    <row r="754" ht="15" customHeight="1">
      <c r="A754" t="inlineStr">
        <is>
          <t>A 35002-2025</t>
        </is>
      </c>
      <c r="B754" t="inlineStr">
        <is>
          <t>avverkningsanmälan</t>
        </is>
      </c>
      <c r="C754" t="inlineStr">
        <is>
          <t>Föryngringsavverkning</t>
        </is>
      </c>
      <c r="D754" s="1" t="n">
        <v>45850</v>
      </c>
      <c r="E754" s="1" t="n">
        <v>46323</v>
      </c>
      <c r="F754" t="inlineStr">
        <is>
          <t>KALMAR LÄN</t>
        </is>
      </c>
      <c r="G754" t="inlineStr">
        <is>
          <t>NYBRO</t>
        </is>
      </c>
      <c r="I754" t="n">
        <v>1.9</v>
      </c>
      <c r="J754" t="n">
        <v>1</v>
      </c>
      <c r="K754" t="n">
        <v>1</v>
      </c>
      <c r="L754" t="n">
        <v>0</v>
      </c>
      <c r="M754" t="n">
        <v>1</v>
      </c>
      <c r="N754" t="n">
        <v>0</v>
      </c>
      <c r="O754" t="n">
        <v>0</v>
      </c>
      <c r="P754" t="n">
        <v>0</v>
      </c>
      <c r="Q754" t="n">
        <v>1</v>
      </c>
      <c r="R754" t="n">
        <v>1</v>
      </c>
      <c r="S754" t="n">
        <v>2</v>
      </c>
      <c r="T754" t="n">
        <v>10</v>
      </c>
      <c r="U754" t="n">
        <v>0</v>
      </c>
      <c r="V754" s="2" t="inlineStr">
        <is>
          <t>Knärot
Blomkålssvamp</t>
        </is>
      </c>
      <c r="W754">
        <f>HYPERLINK("https://klasma.github.io/Logging_0881/artfynd/A 35002-2025 artfynd.xlsx", "A 35002-2025")</f>
        <v/>
      </c>
      <c r="X754">
        <f>HYPERLINK("https://klasma.github.io/Logging_0881/kartor/A 35002-2025 karta.png", "A 35002-2025")</f>
        <v/>
      </c>
      <c r="Y754">
        <f>HYPERLINK("https://klasma.github.io/Logging_0881/kartor_geotiff/A 35002-2025 georefererad karta.tif", "A 35002-2025")</f>
        <v/>
      </c>
      <c r="Z754">
        <f>HYPERLINK("https://klasma.github.io/Logging_0881/knärot/A 35002-2025 karta knärot.png", "A 35002-2025")</f>
        <v/>
      </c>
      <c r="AA754">
        <f>HYPERLINK("https://klasma.github.io/Logging_0881/klagomål/A 35002-2025 FSC-klagomål.docx", "A 35002-2025")</f>
        <v/>
      </c>
      <c r="AB754">
        <f>HYPERLINK("https://klasma.github.io/Logging_0881/klagomålsmail/A 35002-2025 FSC-klagomål mail.docx", "A 35002-2025")</f>
        <v/>
      </c>
      <c r="AC754">
        <f>HYPERLINK("https://klasma.github.io/Logging_0881/tillsyn/A 35002-2025 tillsynsbegäran.docx", "A 35002-2025")</f>
        <v/>
      </c>
      <c r="AD754">
        <f>HYPERLINK("https://klasma.github.io/Logging_0881/tillsynsmail/A 35002-2025 tillsynsbegäran mail.docx", "A 35002-2025")</f>
        <v/>
      </c>
    </row>
    <row r="755" ht="15" customHeight="1">
      <c r="A755" t="inlineStr">
        <is>
          <t>A 27527-2025</t>
        </is>
      </c>
      <c r="B755" t="inlineStr">
        <is>
          <t>avverkningsanmälan</t>
        </is>
      </c>
      <c r="C755" t="inlineStr">
        <is>
          <t>Föryngringsavverkning</t>
        </is>
      </c>
      <c r="D755" s="1" t="n">
        <v>45813</v>
      </c>
      <c r="E755" s="1" t="n">
        <v>46323</v>
      </c>
      <c r="F755" t="inlineStr">
        <is>
          <t>KALMAR LÄN</t>
        </is>
      </c>
      <c r="G755" t="inlineStr">
        <is>
          <t>HULTSFRED</t>
        </is>
      </c>
      <c r="I755" t="n">
        <v>4</v>
      </c>
      <c r="J755" t="n">
        <v>2</v>
      </c>
      <c r="K755" t="n">
        <v>0</v>
      </c>
      <c r="L755" t="n">
        <v>0</v>
      </c>
      <c r="M755" t="n">
        <v>0</v>
      </c>
      <c r="N755" t="n">
        <v>0</v>
      </c>
      <c r="O755" t="n">
        <v>0</v>
      </c>
      <c r="P755" t="n">
        <v>0</v>
      </c>
      <c r="Q755" t="n">
        <v>0</v>
      </c>
      <c r="R755" t="n">
        <v>0</v>
      </c>
      <c r="S755" t="n">
        <v>2</v>
      </c>
      <c r="T755" t="n">
        <v>7</v>
      </c>
      <c r="U755" t="n">
        <v>0</v>
      </c>
      <c r="V755" s="2" t="inlineStr">
        <is>
          <t>Nattskärra
Tjäder</t>
        </is>
      </c>
      <c r="W755">
        <f>HYPERLINK("https://klasma.github.io/Logging_0860/artfynd/A 27527-2025 artfynd.xlsx", "A 27527-2025")</f>
        <v/>
      </c>
      <c r="X755">
        <f>HYPERLINK("https://klasma.github.io/Logging_0860/kartor/A 27527-2025 karta.png", "A 27527-2025")</f>
        <v/>
      </c>
      <c r="Y755">
        <f>HYPERLINK("https://klasma.github.io/Logging_0860/kartor_geotiff/A 27527-2025 georefererad karta.tif", "A 27527-2025")</f>
        <v/>
      </c>
      <c r="AA755">
        <f>HYPERLINK("https://klasma.github.io/Logging_0860/klagomål/A 27527-2025 FSC-klagomål.docx", "A 27527-2025")</f>
        <v/>
      </c>
      <c r="AB755">
        <f>HYPERLINK("https://klasma.github.io/Logging_0860/klagomålsmail/A 27527-2025 FSC-klagomål mail.docx", "A 27527-2025")</f>
        <v/>
      </c>
      <c r="AC755">
        <f>HYPERLINK("https://klasma.github.io/Logging_0860/tillsyn/A 27527-2025 tillsynsbegäran.docx", "A 27527-2025")</f>
        <v/>
      </c>
      <c r="AD755">
        <f>HYPERLINK("https://klasma.github.io/Logging_0860/tillsynsmail/A 27527-2025 tillsynsbegäran mail.docx", "A 27527-2025")</f>
        <v/>
      </c>
      <c r="AE755">
        <f>HYPERLINK("https://klasma.github.io/Logging_0860/fåglar/A 27527-2025 prioriterade fågelarter.docx", "A 27527-2025")</f>
        <v/>
      </c>
    </row>
    <row r="756" ht="15" customHeight="1">
      <c r="A756" t="inlineStr">
        <is>
          <t>A 36595-2025</t>
        </is>
      </c>
      <c r="B756" t="inlineStr">
        <is>
          <t>avverkningsanmälan</t>
        </is>
      </c>
      <c r="C756" t="inlineStr">
        <is>
          <t>Föryngringsavverkning</t>
        </is>
      </c>
      <c r="D756" s="1" t="n">
        <v>45870</v>
      </c>
      <c r="E756" s="1" t="n">
        <v>46323</v>
      </c>
      <c r="F756" t="inlineStr">
        <is>
          <t>KALMAR LÄN</t>
        </is>
      </c>
      <c r="G756" t="inlineStr">
        <is>
          <t>VÄSTERVIK</t>
        </is>
      </c>
      <c r="I756" t="n">
        <v>1.5</v>
      </c>
      <c r="J756" t="n">
        <v>2</v>
      </c>
      <c r="K756" t="n">
        <v>0</v>
      </c>
      <c r="L756" t="n">
        <v>2</v>
      </c>
      <c r="M756" t="n">
        <v>0</v>
      </c>
      <c r="N756" t="n">
        <v>0</v>
      </c>
      <c r="O756" t="n">
        <v>0</v>
      </c>
      <c r="P756" t="n">
        <v>0</v>
      </c>
      <c r="Q756" t="n">
        <v>2</v>
      </c>
      <c r="R756" t="n">
        <v>0</v>
      </c>
      <c r="S756" t="n">
        <v>2</v>
      </c>
      <c r="T756" t="n">
        <v>4</v>
      </c>
      <c r="U756" t="n">
        <v>4</v>
      </c>
      <c r="V756" s="2" t="inlineStr">
        <is>
          <t>Entita
Talltita</t>
        </is>
      </c>
      <c r="W756">
        <f>HYPERLINK("https://klasma.github.io/Logging_0883/artfynd/A 36595-2025 artfynd.xlsx", "A 36595-2025")</f>
        <v/>
      </c>
      <c r="X756">
        <f>HYPERLINK("https://klasma.github.io/Logging_0883/kartor/A 36595-2025 karta.png", "A 36595-2025")</f>
        <v/>
      </c>
      <c r="Y756">
        <f>HYPERLINK("https://klasma.github.io/Logging_0883/kartor_geotiff/A 36595-2025 georefererad karta.tif", "A 36595-2025")</f>
        <v/>
      </c>
      <c r="AA756">
        <f>HYPERLINK("https://klasma.github.io/Logging_0883/klagomål/A 36595-2025 FSC-klagomål.docx", "A 36595-2025")</f>
        <v/>
      </c>
      <c r="AB756">
        <f>HYPERLINK("https://klasma.github.io/Logging_0883/klagomålsmail/A 36595-2025 FSC-klagomål mail.docx", "A 36595-2025")</f>
        <v/>
      </c>
      <c r="AC756">
        <f>HYPERLINK("https://klasma.github.io/Logging_0883/tillsyn/A 36595-2025 tillsynsbegäran.docx", "A 36595-2025")</f>
        <v/>
      </c>
      <c r="AD756">
        <f>HYPERLINK("https://klasma.github.io/Logging_0883/tillsynsmail/A 36595-2025 tillsynsbegäran mail.docx", "A 36595-2025")</f>
        <v/>
      </c>
      <c r="AE756">
        <f>HYPERLINK("https://klasma.github.io/Logging_0883/fåglar/A 36595-2025 prioriterade fågelarter.docx", "A 36595-2025")</f>
        <v/>
      </c>
    </row>
    <row r="757" ht="15" customHeight="1">
      <c r="A757" t="inlineStr">
        <is>
          <t>A 24322-2026</t>
        </is>
      </c>
      <c r="B757" t="inlineStr">
        <is>
          <t>avverkningsanmälan</t>
        </is>
      </c>
      <c r="C757" t="inlineStr">
        <is>
          <t>Föryngringsavverkning</t>
        </is>
      </c>
      <c r="D757" s="1" t="n">
        <v>46169</v>
      </c>
      <c r="E757" s="1" t="n">
        <v>46323</v>
      </c>
      <c r="F757" t="inlineStr">
        <is>
          <t>KALMAR LÄN</t>
        </is>
      </c>
      <c r="G757" t="inlineStr">
        <is>
          <t>BORGHOLM</t>
        </is>
      </c>
      <c r="H757" t="inlineStr">
        <is>
          <t>Sveaskog</t>
        </is>
      </c>
      <c r="I757" t="n">
        <v>5.5</v>
      </c>
      <c r="J757" t="n">
        <v>2</v>
      </c>
      <c r="K757" t="n">
        <v>2</v>
      </c>
      <c r="L757" t="n">
        <v>0</v>
      </c>
      <c r="M757" t="n">
        <v>0</v>
      </c>
      <c r="N757" t="n">
        <v>0</v>
      </c>
      <c r="O757" t="n">
        <v>0</v>
      </c>
      <c r="P757" t="n">
        <v>0</v>
      </c>
      <c r="Q757" t="n">
        <v>0</v>
      </c>
      <c r="R757" t="n">
        <v>0</v>
      </c>
      <c r="S757" t="n">
        <v>2</v>
      </c>
      <c r="T757" t="n">
        <v>2</v>
      </c>
      <c r="U757" t="n">
        <v>0</v>
      </c>
      <c r="V757" s="2" t="inlineStr">
        <is>
          <t>Purpurknipprot
Skogsknipprot</t>
        </is>
      </c>
      <c r="W757">
        <f>HYPERLINK("https://klasma.github.io/Logging_0885/artfynd/A 24322-2026 artfynd.xlsx", "A 24322-2026")</f>
        <v/>
      </c>
      <c r="X757">
        <f>HYPERLINK("https://klasma.github.io/Logging_0885/kartor/A 24322-2026 karta.png", "A 24322-2026")</f>
        <v/>
      </c>
      <c r="Y757">
        <f>HYPERLINK("https://klasma.github.io/Logging_0885/kartor_geotiff/A 24322-2026 georefererad karta.tif", "A 24322-2026")</f>
        <v/>
      </c>
      <c r="AA757">
        <f>HYPERLINK("https://klasma.github.io/Logging_0885/klagomål/A 24322-2026 FSC-klagomål.docx", "A 24322-2026")</f>
        <v/>
      </c>
      <c r="AB757">
        <f>HYPERLINK("https://klasma.github.io/Logging_0885/klagomålsmail/A 24322-2026 FSC-klagomål mail.docx", "A 24322-2026")</f>
        <v/>
      </c>
      <c r="AC757">
        <f>HYPERLINK("https://klasma.github.io/Logging_0885/tillsyn/A 24322-2026 tillsynsbegäran.docx", "A 24322-2026")</f>
        <v/>
      </c>
      <c r="AD757">
        <f>HYPERLINK("https://klasma.github.io/Logging_0885/tillsynsmail/A 24322-2026 tillsynsbegäran mail.docx", "A 24322-2026")</f>
        <v/>
      </c>
    </row>
    <row r="758" ht="15" customHeight="1">
      <c r="A758" t="inlineStr">
        <is>
          <t>A 4778-2025</t>
        </is>
      </c>
      <c r="B758" t="inlineStr">
        <is>
          <t>avverkningsanmälan</t>
        </is>
      </c>
      <c r="C758" t="inlineStr">
        <is>
          <t>Föryngringsavverkning</t>
        </is>
      </c>
      <c r="D758" s="1" t="n">
        <v>45688</v>
      </c>
      <c r="E758" s="1" t="n">
        <v>46323</v>
      </c>
      <c r="F758" t="inlineStr">
        <is>
          <t>KALMAR LÄN</t>
        </is>
      </c>
      <c r="G758" t="inlineStr">
        <is>
          <t>VÄSTERVIK</t>
        </is>
      </c>
      <c r="H758" t="inlineStr">
        <is>
          <t>Holmen skog AB</t>
        </is>
      </c>
      <c r="I758" t="n">
        <v>3.8</v>
      </c>
      <c r="J758" t="n">
        <v>2</v>
      </c>
      <c r="K758" t="n">
        <v>0</v>
      </c>
      <c r="L758" t="n">
        <v>1</v>
      </c>
      <c r="M758" t="n">
        <v>1</v>
      </c>
      <c r="N758" t="n">
        <v>0</v>
      </c>
      <c r="O758" t="n">
        <v>0</v>
      </c>
      <c r="P758" t="n">
        <v>0</v>
      </c>
      <c r="Q758" t="n">
        <v>2</v>
      </c>
      <c r="R758" t="n">
        <v>1</v>
      </c>
      <c r="S758" t="n">
        <v>2</v>
      </c>
      <c r="T758" t="n">
        <v>4</v>
      </c>
      <c r="U758" t="n">
        <v>4</v>
      </c>
      <c r="V758" s="2" t="inlineStr">
        <is>
          <t>Knärot
Talltita</t>
        </is>
      </c>
      <c r="W758">
        <f>HYPERLINK("https://klasma.github.io/Logging_0883/artfynd/A 4778-2025 artfynd.xlsx", "A 4778-2025")</f>
        <v/>
      </c>
      <c r="X758">
        <f>HYPERLINK("https://klasma.github.io/Logging_0883/kartor/A 4778-2025 karta.png", "A 4778-2025")</f>
        <v/>
      </c>
      <c r="Y758">
        <f>HYPERLINK("https://klasma.github.io/Logging_0883/kartor_geotiff/A 4778-2025 georefererad karta.tif", "A 4778-2025")</f>
        <v/>
      </c>
      <c r="Z758">
        <f>HYPERLINK("https://klasma.github.io/Logging_0883/knärot/A 4778-2025 karta knärot.png", "A 4778-2025")</f>
        <v/>
      </c>
      <c r="AA758">
        <f>HYPERLINK("https://klasma.github.io/Logging_0883/klagomål/A 4778-2025 FSC-klagomål.docx", "A 4778-2025")</f>
        <v/>
      </c>
      <c r="AB758">
        <f>HYPERLINK("https://klasma.github.io/Logging_0883/klagomålsmail/A 4778-2025 FSC-klagomål mail.docx", "A 4778-2025")</f>
        <v/>
      </c>
      <c r="AC758">
        <f>HYPERLINK("https://klasma.github.io/Logging_0883/tillsyn/A 4778-2025 tillsynsbegäran.docx", "A 4778-2025")</f>
        <v/>
      </c>
      <c r="AD758">
        <f>HYPERLINK("https://klasma.github.io/Logging_0883/tillsynsmail/A 4778-2025 tillsynsbegäran mail.docx", "A 4778-2025")</f>
        <v/>
      </c>
      <c r="AE758">
        <f>HYPERLINK("https://klasma.github.io/Logging_0883/fåglar/A 4778-2025 prioriterade fågelarter.docx", "A 4778-2025")</f>
        <v/>
      </c>
    </row>
    <row r="759" ht="15" customHeight="1">
      <c r="A759" t="inlineStr">
        <is>
          <t>A 10784-2025</t>
        </is>
      </c>
      <c r="B759" t="inlineStr">
        <is>
          <t>avverkningsanmälan</t>
        </is>
      </c>
      <c r="C759" t="inlineStr">
        <is>
          <t>Föryngringsavverkning</t>
        </is>
      </c>
      <c r="D759" s="1" t="n">
        <v>45722</v>
      </c>
      <c r="E759" s="1" t="n">
        <v>46323</v>
      </c>
      <c r="F759" t="inlineStr">
        <is>
          <t>KALMAR LÄN</t>
        </is>
      </c>
      <c r="G759" t="inlineStr">
        <is>
          <t>VÄSTERVIK</t>
        </is>
      </c>
      <c r="I759" t="n">
        <v>2.1</v>
      </c>
      <c r="J759" t="n">
        <v>2</v>
      </c>
      <c r="K759" t="n">
        <v>0</v>
      </c>
      <c r="L759" t="n">
        <v>1</v>
      </c>
      <c r="M759" t="n">
        <v>0</v>
      </c>
      <c r="N759" t="n">
        <v>0</v>
      </c>
      <c r="O759" t="n">
        <v>0</v>
      </c>
      <c r="P759" t="n">
        <v>0</v>
      </c>
      <c r="Q759" t="n">
        <v>1</v>
      </c>
      <c r="R759" t="n">
        <v>0</v>
      </c>
      <c r="S759" t="n">
        <v>2</v>
      </c>
      <c r="T759" t="n">
        <v>2</v>
      </c>
      <c r="U759" t="n">
        <v>2</v>
      </c>
      <c r="V759" s="2" t="inlineStr">
        <is>
          <t>Talltita
Kungsfågel</t>
        </is>
      </c>
      <c r="W759">
        <f>HYPERLINK("https://klasma.github.io/Logging_0883/artfynd/A 10784-2025 artfynd.xlsx", "A 10784-2025")</f>
        <v/>
      </c>
      <c r="X759">
        <f>HYPERLINK("https://klasma.github.io/Logging_0883/kartor/A 10784-2025 karta.png", "A 10784-2025")</f>
        <v/>
      </c>
      <c r="Y759">
        <f>HYPERLINK("https://klasma.github.io/Logging_0883/kartor_geotiff/A 10784-2025 georefererad karta.tif", "A 10784-2025")</f>
        <v/>
      </c>
      <c r="AA759">
        <f>HYPERLINK("https://klasma.github.io/Logging_0883/klagomål/A 10784-2025 FSC-klagomål.docx", "A 10784-2025")</f>
        <v/>
      </c>
      <c r="AB759">
        <f>HYPERLINK("https://klasma.github.io/Logging_0883/klagomålsmail/A 10784-2025 FSC-klagomål mail.docx", "A 10784-2025")</f>
        <v/>
      </c>
      <c r="AC759">
        <f>HYPERLINK("https://klasma.github.io/Logging_0883/tillsyn/A 10784-2025 tillsynsbegäran.docx", "A 10784-2025")</f>
        <v/>
      </c>
      <c r="AD759">
        <f>HYPERLINK("https://klasma.github.io/Logging_0883/tillsynsmail/A 10784-2025 tillsynsbegäran mail.docx", "A 10784-2025")</f>
        <v/>
      </c>
      <c r="AE759">
        <f>HYPERLINK("https://klasma.github.io/Logging_0883/fåglar/A 10784-2025 prioriterade fågelarter.docx", "A 10784-2025")</f>
        <v/>
      </c>
    </row>
    <row r="760" ht="15" customHeight="1">
      <c r="A760" t="inlineStr">
        <is>
          <t>A 24951-2026</t>
        </is>
      </c>
      <c r="B760" t="inlineStr">
        <is>
          <t>avverkningsanmälan</t>
        </is>
      </c>
      <c r="C760" t="inlineStr">
        <is>
          <t>Föryngringsavverkning</t>
        </is>
      </c>
      <c r="D760" s="1" t="n">
        <v>46174</v>
      </c>
      <c r="E760" s="1" t="n">
        <v>46323</v>
      </c>
      <c r="F760" t="inlineStr">
        <is>
          <t>KALMAR LÄN</t>
        </is>
      </c>
      <c r="G760" t="inlineStr">
        <is>
          <t>VÄSTERVIK</t>
        </is>
      </c>
      <c r="I760" t="n">
        <v>1.1</v>
      </c>
      <c r="J760" t="n">
        <v>2</v>
      </c>
      <c r="K760" t="n">
        <v>0</v>
      </c>
      <c r="L760" t="n">
        <v>1</v>
      </c>
      <c r="M760" t="n">
        <v>0</v>
      </c>
      <c r="N760" t="n">
        <v>0</v>
      </c>
      <c r="O760" t="n">
        <v>0</v>
      </c>
      <c r="P760" t="n">
        <v>0</v>
      </c>
      <c r="Q760" t="n">
        <v>1</v>
      </c>
      <c r="R760" t="n">
        <v>0</v>
      </c>
      <c r="S760" t="n">
        <v>2</v>
      </c>
      <c r="T760" t="n">
        <v>2</v>
      </c>
      <c r="U760" t="n">
        <v>2</v>
      </c>
      <c r="V760" s="2" t="inlineStr">
        <is>
          <t>Talltita
Spillkråka</t>
        </is>
      </c>
      <c r="W760">
        <f>HYPERLINK("https://klasma.github.io/Logging_0883/artfynd/A 24951-2026 artfynd.xlsx", "A 24951-2026")</f>
        <v/>
      </c>
      <c r="X760">
        <f>HYPERLINK("https://klasma.github.io/Logging_0883/kartor/A 24951-2026 karta.png", "A 24951-2026")</f>
        <v/>
      </c>
      <c r="Y760">
        <f>HYPERLINK("https://klasma.github.io/Logging_0883/kartor_geotiff/A 24951-2026 georefererad karta.tif", "A 24951-2026")</f>
        <v/>
      </c>
      <c r="AA760">
        <f>HYPERLINK("https://klasma.github.io/Logging_0883/klagomål/A 24951-2026 FSC-klagomål.docx", "A 24951-2026")</f>
        <v/>
      </c>
      <c r="AB760">
        <f>HYPERLINK("https://klasma.github.io/Logging_0883/klagomålsmail/A 24951-2026 FSC-klagomål mail.docx", "A 24951-2026")</f>
        <v/>
      </c>
      <c r="AC760">
        <f>HYPERLINK("https://klasma.github.io/Logging_0883/tillsyn/A 24951-2026 tillsynsbegäran.docx", "A 24951-2026")</f>
        <v/>
      </c>
      <c r="AD760">
        <f>HYPERLINK("https://klasma.github.io/Logging_0883/tillsynsmail/A 24951-2026 tillsynsbegäran mail.docx", "A 24951-2026")</f>
        <v/>
      </c>
      <c r="AE760">
        <f>HYPERLINK("https://klasma.github.io/Logging_0883/fåglar/A 24951-2026 prioriterade fågelarter.docx", "A 24951-2026")</f>
        <v/>
      </c>
    </row>
    <row r="761" ht="15" customHeight="1">
      <c r="A761" t="inlineStr">
        <is>
          <t>A 26775-2026</t>
        </is>
      </c>
      <c r="B761" t="inlineStr">
        <is>
          <t>avverkningsanmälan</t>
        </is>
      </c>
      <c r="C761" t="inlineStr">
        <is>
          <t>Avverkning för att bevara och utveckla /försöksver</t>
        </is>
      </c>
      <c r="D761" s="1" t="n">
        <v>46184</v>
      </c>
      <c r="E761" s="1" t="n">
        <v>46323</v>
      </c>
      <c r="F761" t="inlineStr">
        <is>
          <t>KALMAR LÄN</t>
        </is>
      </c>
      <c r="G761" t="inlineStr">
        <is>
          <t>HÖGSBY</t>
        </is>
      </c>
      <c r="H761" t="inlineStr">
        <is>
          <t>Sveaskog</t>
        </is>
      </c>
      <c r="I761" t="n">
        <v>2.4</v>
      </c>
      <c r="J761" t="n">
        <v>1</v>
      </c>
      <c r="K761" t="n">
        <v>0</v>
      </c>
      <c r="L761" t="n">
        <v>1</v>
      </c>
      <c r="M761" t="n">
        <v>0</v>
      </c>
      <c r="N761" t="n">
        <v>0</v>
      </c>
      <c r="O761" t="n">
        <v>0</v>
      </c>
      <c r="P761" t="n">
        <v>0</v>
      </c>
      <c r="Q761" t="n">
        <v>1</v>
      </c>
      <c r="R761" t="n">
        <v>0</v>
      </c>
      <c r="S761" t="n">
        <v>2</v>
      </c>
      <c r="T761" t="n">
        <v>2</v>
      </c>
      <c r="U761" t="n">
        <v>0</v>
      </c>
      <c r="V761" s="2" t="inlineStr">
        <is>
          <t>Vårärt
Blåsippa</t>
        </is>
      </c>
      <c r="W761">
        <f>HYPERLINK("https://klasma.github.io/Logging_0821/artfynd/A 26775-2026 artfynd.xlsx", "A 26775-2026")</f>
        <v/>
      </c>
      <c r="X761">
        <f>HYPERLINK("https://klasma.github.io/Logging_0821/kartor/A 26775-2026 karta.png", "A 26775-2026")</f>
        <v/>
      </c>
      <c r="Y761">
        <f>HYPERLINK("https://klasma.github.io/Logging_0821/kartor_geotiff/A 26775-2026 georefererad karta.tif", "A 26775-2026")</f>
        <v/>
      </c>
      <c r="AA761">
        <f>HYPERLINK("https://klasma.github.io/Logging_0821/klagomål/A 26775-2026 FSC-klagomål.docx", "A 26775-2026")</f>
        <v/>
      </c>
      <c r="AB761">
        <f>HYPERLINK("https://klasma.github.io/Logging_0821/klagomålsmail/A 26775-2026 FSC-klagomål mail.docx", "A 26775-2026")</f>
        <v/>
      </c>
      <c r="AC761">
        <f>HYPERLINK("https://klasma.github.io/Logging_0821/tillsyn/A 26775-2026 tillsynsbegäran.docx", "A 26775-2026")</f>
        <v/>
      </c>
      <c r="AD761">
        <f>HYPERLINK("https://klasma.github.io/Logging_0821/tillsynsmail/A 26775-2026 tillsynsbegäran mail.docx", "A 26775-2026")</f>
        <v/>
      </c>
    </row>
    <row r="762" ht="15" customHeight="1">
      <c r="A762" t="inlineStr">
        <is>
          <t>A 26759-2026</t>
        </is>
      </c>
      <c r="B762" t="inlineStr">
        <is>
          <t>avverkningsanmälan</t>
        </is>
      </c>
      <c r="C762" t="inlineStr">
        <is>
          <t>Föryngringsavverkning</t>
        </is>
      </c>
      <c r="D762" s="1" t="n">
        <v>46184</v>
      </c>
      <c r="E762" s="1" t="n">
        <v>46323</v>
      </c>
      <c r="F762" t="inlineStr">
        <is>
          <t>KALMAR LÄN</t>
        </is>
      </c>
      <c r="G762" t="inlineStr">
        <is>
          <t>HÖGSBY</t>
        </is>
      </c>
      <c r="H762" t="inlineStr">
        <is>
          <t>Sveaskog</t>
        </is>
      </c>
      <c r="I762" t="n">
        <v>5.5</v>
      </c>
      <c r="J762" t="n">
        <v>2</v>
      </c>
      <c r="K762" t="n">
        <v>0</v>
      </c>
      <c r="L762" t="n">
        <v>1</v>
      </c>
      <c r="M762" t="n">
        <v>0</v>
      </c>
      <c r="N762" t="n">
        <v>0</v>
      </c>
      <c r="O762" t="n">
        <v>0</v>
      </c>
      <c r="P762" t="n">
        <v>0</v>
      </c>
      <c r="Q762" t="n">
        <v>1</v>
      </c>
      <c r="R762" t="n">
        <v>0</v>
      </c>
      <c r="S762" t="n">
        <v>2</v>
      </c>
      <c r="T762" t="n">
        <v>2</v>
      </c>
      <c r="U762" t="n">
        <v>0</v>
      </c>
      <c r="V762" s="2" t="inlineStr">
        <is>
          <t>Järnsparv
Kungsfågel</t>
        </is>
      </c>
      <c r="W762">
        <f>HYPERLINK("https://klasma.github.io/Logging_0821/artfynd/A 26759-2026 artfynd.xlsx", "A 26759-2026")</f>
        <v/>
      </c>
      <c r="X762">
        <f>HYPERLINK("https://klasma.github.io/Logging_0821/kartor/A 26759-2026 karta.png", "A 26759-2026")</f>
        <v/>
      </c>
      <c r="Y762">
        <f>HYPERLINK("https://klasma.github.io/Logging_0821/kartor_geotiff/A 26759-2026 georefererad karta.tif", "A 26759-2026")</f>
        <v/>
      </c>
      <c r="AA762">
        <f>HYPERLINK("https://klasma.github.io/Logging_0821/klagomål/A 26759-2026 FSC-klagomål.docx", "A 26759-2026")</f>
        <v/>
      </c>
      <c r="AB762">
        <f>HYPERLINK("https://klasma.github.io/Logging_0821/klagomålsmail/A 26759-2026 FSC-klagomål mail.docx", "A 26759-2026")</f>
        <v/>
      </c>
      <c r="AC762">
        <f>HYPERLINK("https://klasma.github.io/Logging_0821/tillsyn/A 26759-2026 tillsynsbegäran.docx", "A 26759-2026")</f>
        <v/>
      </c>
      <c r="AD762">
        <f>HYPERLINK("https://klasma.github.io/Logging_0821/tillsynsmail/A 26759-2026 tillsynsbegäran mail.docx", "A 26759-2026")</f>
        <v/>
      </c>
      <c r="AE762">
        <f>HYPERLINK("https://klasma.github.io/Logging_0821/fåglar/A 26759-2026 prioriterade fågelarter.docx", "A 26759-2026")</f>
        <v/>
      </c>
    </row>
    <row r="763" ht="15" customHeight="1">
      <c r="A763" t="inlineStr">
        <is>
          <t>S 1613-2022</t>
        </is>
      </c>
      <c r="B763" t="inlineStr">
        <is>
          <t>samrådsanmälan</t>
        </is>
      </c>
      <c r="C763" t="inlineStr">
        <is>
          <t>Askåterföring</t>
        </is>
      </c>
      <c r="D763" s="1" t="n">
        <v>44645</v>
      </c>
      <c r="E763" s="1" t="n">
        <v>46323</v>
      </c>
      <c r="F763" t="inlineStr">
        <is>
          <t>KALMAR LÄN</t>
        </is>
      </c>
      <c r="G763" t="inlineStr">
        <is>
          <t>MÖNSTERÅS</t>
        </is>
      </c>
      <c r="I763" t="n">
        <v>10.5</v>
      </c>
      <c r="J763" t="n">
        <v>2</v>
      </c>
      <c r="K763" t="n">
        <v>0</v>
      </c>
      <c r="L763" t="n">
        <v>1</v>
      </c>
      <c r="M763" t="n">
        <v>0</v>
      </c>
      <c r="N763" t="n">
        <v>0</v>
      </c>
      <c r="O763" t="n">
        <v>0</v>
      </c>
      <c r="P763" t="n">
        <v>0</v>
      </c>
      <c r="Q763" t="n">
        <v>1</v>
      </c>
      <c r="R763" t="n">
        <v>0</v>
      </c>
      <c r="S763" t="n">
        <v>2</v>
      </c>
      <c r="T763" t="n">
        <v>2</v>
      </c>
      <c r="U763" t="n">
        <v>0</v>
      </c>
      <c r="V763" s="2" t="inlineStr">
        <is>
          <t>Nordfladdermus
Dvärgpipistrell</t>
        </is>
      </c>
      <c r="W763">
        <f>HYPERLINK("https://klasma.github.io/Logging_0861/artfynd/S 1613-2022 artfynd.xlsx", "S 1613-2022")</f>
        <v/>
      </c>
      <c r="X763">
        <f>HYPERLINK("https://klasma.github.io/Logging_0861/kartor/S 1613-2022 karta.png", "S 1613-2022")</f>
        <v/>
      </c>
      <c r="Y763">
        <f>HYPERLINK("https://klasma.github.io/Logging_0861/kartor_geotiff/S 1613-2022 georefererad karta.tif", "S 1613-2022")</f>
        <v/>
      </c>
      <c r="AA763">
        <f>HYPERLINK("https://klasma.github.io/Logging_0861/klagomål/S 1613-2022 FSC-klagomål.docx", "S 1613-2022")</f>
        <v/>
      </c>
      <c r="AB763">
        <f>HYPERLINK("https://klasma.github.io/Logging_0861/klagomålsmail/S 1613-2022 FSC-klagomål mail.docx", "S 1613-2022")</f>
        <v/>
      </c>
      <c r="AC763">
        <f>HYPERLINK("https://klasma.github.io/Logging_0861/tillsyn/S 1613-2022 tillsynsbegäran.docx", "S 1613-2022")</f>
        <v/>
      </c>
      <c r="AD763">
        <f>HYPERLINK("https://klasma.github.io/Logging_0861/tillsynsmail/S 1613-2022 tillsynsbegäran mail.docx", "S 1613-2022")</f>
        <v/>
      </c>
    </row>
    <row r="764" ht="15" customHeight="1">
      <c r="A764" t="inlineStr">
        <is>
          <t>S 1650-2022</t>
        </is>
      </c>
      <c r="B764" t="inlineStr">
        <is>
          <t>samrådsanmälan</t>
        </is>
      </c>
      <c r="C764" t="inlineStr">
        <is>
          <t>Åtgärd i nyckelbiotop</t>
        </is>
      </c>
      <c r="D764" s="1" t="n">
        <v>44649</v>
      </c>
      <c r="E764" s="1" t="n">
        <v>46323</v>
      </c>
      <c r="F764" t="inlineStr">
        <is>
          <t>KALMAR LÄN</t>
        </is>
      </c>
      <c r="G764" t="inlineStr">
        <is>
          <t>BORGHOLM</t>
        </is>
      </c>
      <c r="I764" t="n">
        <v>0.1</v>
      </c>
      <c r="J764" t="n">
        <v>0</v>
      </c>
      <c r="K764" t="n">
        <v>2</v>
      </c>
      <c r="L764" t="n">
        <v>0</v>
      </c>
      <c r="M764" t="n">
        <v>0</v>
      </c>
      <c r="N764" t="n">
        <v>0</v>
      </c>
      <c r="O764" t="n">
        <v>0</v>
      </c>
      <c r="P764" t="n">
        <v>0</v>
      </c>
      <c r="Q764" t="n">
        <v>0</v>
      </c>
      <c r="R764" t="n">
        <v>0</v>
      </c>
      <c r="S764" t="n">
        <v>2</v>
      </c>
      <c r="T764" t="n">
        <v>2</v>
      </c>
      <c r="U764" t="n">
        <v>0</v>
      </c>
      <c r="V764" s="2" t="inlineStr">
        <is>
          <t>Guldlockmossa
Gulpudrad spiklav</t>
        </is>
      </c>
      <c r="W764">
        <f>HYPERLINK("https://klasma.github.io/Logging_0885/artfynd/S 1650-2022 artfynd.xlsx", "S 1650-2022")</f>
        <v/>
      </c>
      <c r="X764">
        <f>HYPERLINK("https://klasma.github.io/Logging_0885/kartor/S 1650-2022 karta.png", "S 1650-2022")</f>
        <v/>
      </c>
      <c r="Y764">
        <f>HYPERLINK("https://klasma.github.io/Logging_0885/kartor_geotiff/S 1650-2022 georefererad karta.tif", "S 1650-2022")</f>
        <v/>
      </c>
      <c r="AA764">
        <f>HYPERLINK("https://klasma.github.io/Logging_0885/klagomål/S 1650-2022 FSC-klagomål.docx", "S 1650-2022")</f>
        <v/>
      </c>
      <c r="AB764">
        <f>HYPERLINK("https://klasma.github.io/Logging_0885/klagomålsmail/S 1650-2022 FSC-klagomål mail.docx", "S 1650-2022")</f>
        <v/>
      </c>
      <c r="AC764">
        <f>HYPERLINK("https://klasma.github.io/Logging_0885/tillsyn/S 1650-2022 tillsynsbegäran.docx", "S 1650-2022")</f>
        <v/>
      </c>
      <c r="AD764">
        <f>HYPERLINK("https://klasma.github.io/Logging_0885/tillsynsmail/S 1650-2022 tillsynsbegäran mail.docx", "S 1650-2022")</f>
        <v/>
      </c>
    </row>
    <row r="765" ht="15" customHeight="1">
      <c r="A765" t="inlineStr">
        <is>
          <t>S 2633-2022</t>
        </is>
      </c>
      <c r="B765" t="inlineStr">
        <is>
          <t>samrådsanmälan</t>
        </is>
      </c>
      <c r="C765" t="inlineStr">
        <is>
          <t>Åtgärd i nyckelbiotop</t>
        </is>
      </c>
      <c r="D765" s="1" t="n">
        <v>44699</v>
      </c>
      <c r="E765" s="1" t="n">
        <v>46323</v>
      </c>
      <c r="F765" t="inlineStr">
        <is>
          <t>KALMAR LÄN</t>
        </is>
      </c>
      <c r="G765" t="inlineStr">
        <is>
          <t>VÄSTERVIK</t>
        </is>
      </c>
      <c r="H765" t="inlineStr">
        <is>
          <t>Kommuner</t>
        </is>
      </c>
      <c r="I765" t="n">
        <v>3.6</v>
      </c>
      <c r="J765" t="n">
        <v>0</v>
      </c>
      <c r="K765" t="n">
        <v>0</v>
      </c>
      <c r="L765" t="n">
        <v>1</v>
      </c>
      <c r="M765" t="n">
        <v>0</v>
      </c>
      <c r="N765" t="n">
        <v>1</v>
      </c>
      <c r="O765" t="n">
        <v>0</v>
      </c>
      <c r="P765" t="n">
        <v>0</v>
      </c>
      <c r="Q765" t="n">
        <v>2</v>
      </c>
      <c r="R765" t="n">
        <v>1</v>
      </c>
      <c r="S765" t="n">
        <v>2</v>
      </c>
      <c r="T765" t="n">
        <v>5</v>
      </c>
      <c r="U765" t="n">
        <v>4</v>
      </c>
      <c r="V765" s="2" t="inlineStr">
        <is>
          <t>Ask
Ekticka</t>
        </is>
      </c>
      <c r="W765">
        <f>HYPERLINK("https://klasma.github.io/Logging_0883/artfynd/S 2633-2022 artfynd.xlsx", "S 2633-2022")</f>
        <v/>
      </c>
      <c r="X765">
        <f>HYPERLINK("https://klasma.github.io/Logging_0883/kartor/S 2633-2022 karta.png", "S 2633-2022")</f>
        <v/>
      </c>
      <c r="Y765">
        <f>HYPERLINK("https://klasma.github.io/Logging_0883/kartor_geotiff/S 2633-2022 georefererad karta.tif", "S 2633-2022")</f>
        <v/>
      </c>
      <c r="AA765">
        <f>HYPERLINK("https://klasma.github.io/Logging_0883/klagomål/S 2633-2022 FSC-klagomål.docx", "S 2633-2022")</f>
        <v/>
      </c>
      <c r="AB765">
        <f>HYPERLINK("https://klasma.github.io/Logging_0883/klagomålsmail/S 2633-2022 FSC-klagomål mail.docx", "S 2633-2022")</f>
        <v/>
      </c>
      <c r="AC765">
        <f>HYPERLINK("https://klasma.github.io/Logging_0883/tillsyn/S 2633-2022 tillsynsbegäran.docx", "S 2633-2022")</f>
        <v/>
      </c>
      <c r="AD765">
        <f>HYPERLINK("https://klasma.github.io/Logging_0883/tillsynsmail/S 2633-2022 tillsynsbegäran mail.docx", "S 2633-2022")</f>
        <v/>
      </c>
    </row>
    <row r="766" ht="15" customHeight="1">
      <c r="A766" t="inlineStr">
        <is>
          <t>S 659-2022</t>
        </is>
      </c>
      <c r="B766" t="inlineStr">
        <is>
          <t>samrådsanmälan</t>
        </is>
      </c>
      <c r="C766" t="inlineStr">
        <is>
          <t>Askåterföring</t>
        </is>
      </c>
      <c r="D766" s="1" t="n">
        <v>44595</v>
      </c>
      <c r="E766" s="1" t="n">
        <v>46323</v>
      </c>
      <c r="F766" t="inlineStr">
        <is>
          <t>KALMAR LÄN</t>
        </is>
      </c>
      <c r="G766" t="inlineStr">
        <is>
          <t>NYBRO</t>
        </is>
      </c>
      <c r="I766" t="n">
        <v>22.5</v>
      </c>
      <c r="J766" t="n">
        <v>0</v>
      </c>
      <c r="K766" t="n">
        <v>0</v>
      </c>
      <c r="L766" t="n">
        <v>1</v>
      </c>
      <c r="M766" t="n">
        <v>0</v>
      </c>
      <c r="N766" t="n">
        <v>0</v>
      </c>
      <c r="O766" t="n">
        <v>0</v>
      </c>
      <c r="P766" t="n">
        <v>0</v>
      </c>
      <c r="Q766" t="n">
        <v>1</v>
      </c>
      <c r="R766" t="n">
        <v>0</v>
      </c>
      <c r="S766" t="n">
        <v>2</v>
      </c>
      <c r="T766" t="n">
        <v>2</v>
      </c>
      <c r="U766" t="n">
        <v>2</v>
      </c>
      <c r="V766" s="2" t="inlineStr">
        <is>
          <t>Svart skogssnigel
Ängskovall</t>
        </is>
      </c>
      <c r="W766">
        <f>HYPERLINK("https://klasma.github.io/Logging_0881/artfynd/S 659-2022 artfynd.xlsx", "S 659-2022")</f>
        <v/>
      </c>
      <c r="X766">
        <f>HYPERLINK("https://klasma.github.io/Logging_0881/kartor/S 659-2022 karta.png", "S 659-2022")</f>
        <v/>
      </c>
      <c r="Y766">
        <f>HYPERLINK("https://klasma.github.io/Logging_0881/kartor_geotiff/S 659-2022 georefererad karta.tif", "S 659-2022")</f>
        <v/>
      </c>
      <c r="AA766">
        <f>HYPERLINK("https://klasma.github.io/Logging_0881/klagomål/S 659-2022 FSC-klagomål.docx", "S 659-2022")</f>
        <v/>
      </c>
      <c r="AB766">
        <f>HYPERLINK("https://klasma.github.io/Logging_0881/klagomålsmail/S 659-2022 FSC-klagomål mail.docx", "S 659-2022")</f>
        <v/>
      </c>
      <c r="AC766">
        <f>HYPERLINK("https://klasma.github.io/Logging_0881/tillsyn/S 659-2022 tillsynsbegäran.docx", "S 659-2022")</f>
        <v/>
      </c>
      <c r="AD766">
        <f>HYPERLINK("https://klasma.github.io/Logging_0881/tillsynsmail/S 659-2022 tillsynsbegäran mail.docx", "S 659-2022")</f>
        <v/>
      </c>
    </row>
    <row r="767" ht="15" customHeight="1">
      <c r="A767" t="inlineStr">
        <is>
          <t>S 988-2022</t>
        </is>
      </c>
      <c r="B767" t="inlineStr">
        <is>
          <t>samrådsanmälan</t>
        </is>
      </c>
      <c r="C767" t="inlineStr">
        <is>
          <t>Askåterföring</t>
        </is>
      </c>
      <c r="D767" s="1" t="n">
        <v>44607</v>
      </c>
      <c r="E767" s="1" t="n">
        <v>46323</v>
      </c>
      <c r="F767" t="inlineStr">
        <is>
          <t>KALMAR LÄN</t>
        </is>
      </c>
      <c r="G767" t="inlineStr">
        <is>
          <t>NYBRO</t>
        </is>
      </c>
      <c r="H767" t="inlineStr">
        <is>
          <t>Sveaskog</t>
        </is>
      </c>
      <c r="I767" t="n">
        <v>488.6</v>
      </c>
      <c r="J767" t="n">
        <v>0</v>
      </c>
      <c r="K767" t="n">
        <v>0</v>
      </c>
      <c r="L767" t="n">
        <v>2</v>
      </c>
      <c r="M767" t="n">
        <v>0</v>
      </c>
      <c r="N767" t="n">
        <v>0</v>
      </c>
      <c r="O767" t="n">
        <v>0</v>
      </c>
      <c r="P767" t="n">
        <v>0</v>
      </c>
      <c r="Q767" t="n">
        <v>2</v>
      </c>
      <c r="R767" t="n">
        <v>0</v>
      </c>
      <c r="S767" t="n">
        <v>2</v>
      </c>
      <c r="T767" t="n">
        <v>4</v>
      </c>
      <c r="U767" t="n">
        <v>0</v>
      </c>
      <c r="V767" s="2" t="inlineStr">
        <is>
          <t>Cryptophagus cylindrellus
Kolsvart trädbasbagge</t>
        </is>
      </c>
      <c r="W767">
        <f>HYPERLINK("https://klasma.github.io/Logging_0881/artfynd/S 988-2022 artfynd.xlsx", "S 988-2022")</f>
        <v/>
      </c>
      <c r="X767">
        <f>HYPERLINK("https://klasma.github.io/Logging_0881/kartor/S 988-2022 karta.png", "S 988-2022")</f>
        <v/>
      </c>
      <c r="Y767">
        <f>HYPERLINK("https://klasma.github.io/Logging_0881/kartor_geotiff/S 988-2022 georefererad karta.tif", "S 988-2022")</f>
        <v/>
      </c>
      <c r="AA767">
        <f>HYPERLINK("https://klasma.github.io/Logging_0881/klagomål/S 988-2022 FSC-klagomål.docx", "S 988-2022")</f>
        <v/>
      </c>
      <c r="AB767">
        <f>HYPERLINK("https://klasma.github.io/Logging_0881/klagomålsmail/S 988-2022 FSC-klagomål mail.docx", "S 988-2022")</f>
        <v/>
      </c>
      <c r="AC767">
        <f>HYPERLINK("https://klasma.github.io/Logging_0881/tillsyn/S 988-2022 tillsynsbegäran.docx", "S 988-2022")</f>
        <v/>
      </c>
      <c r="AD767">
        <f>HYPERLINK("https://klasma.github.io/Logging_0881/tillsynsmail/S 988-2022 tillsynsbegäran mail.docx", "S 988-2022")</f>
        <v/>
      </c>
    </row>
    <row r="768" ht="15" customHeight="1">
      <c r="A768" t="inlineStr">
        <is>
          <t>S 2086-2024</t>
        </is>
      </c>
      <c r="B768" t="inlineStr">
        <is>
          <t>samrådsanmälan</t>
        </is>
      </c>
      <c r="C768" t="inlineStr">
        <is>
          <t>Askåterföring</t>
        </is>
      </c>
      <c r="D768" s="1" t="n">
        <v>45453</v>
      </c>
      <c r="E768" s="1" t="n">
        <v>46323</v>
      </c>
      <c r="F768" t="inlineStr">
        <is>
          <t>KALMAR LÄN</t>
        </is>
      </c>
      <c r="G768" t="inlineStr">
        <is>
          <t>MÖNSTERÅS</t>
        </is>
      </c>
      <c r="I768" t="n">
        <v>59.2</v>
      </c>
      <c r="J768" t="n">
        <v>1</v>
      </c>
      <c r="K768" t="n">
        <v>0</v>
      </c>
      <c r="L768" t="n">
        <v>1</v>
      </c>
      <c r="M768" t="n">
        <v>0</v>
      </c>
      <c r="N768" t="n">
        <v>0</v>
      </c>
      <c r="O768" t="n">
        <v>0</v>
      </c>
      <c r="P768" t="n">
        <v>0</v>
      </c>
      <c r="Q768" t="n">
        <v>1</v>
      </c>
      <c r="R768" t="n">
        <v>0</v>
      </c>
      <c r="S768" t="n">
        <v>2</v>
      </c>
      <c r="T768" t="n">
        <v>6</v>
      </c>
      <c r="U768" t="n">
        <v>6</v>
      </c>
      <c r="V768" s="2" t="inlineStr">
        <is>
          <t>Tallticka
Spillkråka</t>
        </is>
      </c>
      <c r="W768">
        <f>HYPERLINK("https://klasma.github.io/Logging_0861/artfynd/S 2086-2024 artfynd.xlsx", "S 2086-2024")</f>
        <v/>
      </c>
      <c r="X768">
        <f>HYPERLINK("https://klasma.github.io/Logging_0861/kartor/S 2086-2024 karta.png", "S 2086-2024")</f>
        <v/>
      </c>
      <c r="Y768">
        <f>HYPERLINK("https://klasma.github.io/Logging_0861/kartor_geotiff/S 2086-2024 georefererad karta.tif", "S 2086-2024")</f>
        <v/>
      </c>
      <c r="AA768">
        <f>HYPERLINK("https://klasma.github.io/Logging_0861/klagomål/S 2086-2024 FSC-klagomål.docx", "S 2086-2024")</f>
        <v/>
      </c>
      <c r="AB768">
        <f>HYPERLINK("https://klasma.github.io/Logging_0861/klagomålsmail/S 2086-2024 FSC-klagomål mail.docx", "S 2086-2024")</f>
        <v/>
      </c>
      <c r="AC768">
        <f>HYPERLINK("https://klasma.github.io/Logging_0861/tillsyn/S 2086-2024 tillsynsbegäran.docx", "S 2086-2024")</f>
        <v/>
      </c>
      <c r="AD768">
        <f>HYPERLINK("https://klasma.github.io/Logging_0861/tillsynsmail/S 2086-2024 tillsynsbegäran mail.docx", "S 2086-2024")</f>
        <v/>
      </c>
      <c r="AE768">
        <f>HYPERLINK("https://klasma.github.io/Logging_0861/fåglar/S 2086-2024 prioriterade fågelarter.docx", "S 2086-2024")</f>
        <v/>
      </c>
    </row>
    <row r="769" ht="15" customHeight="1">
      <c r="A769" t="inlineStr">
        <is>
          <t>S 1993-2023</t>
        </is>
      </c>
      <c r="B769" t="inlineStr">
        <is>
          <t>samrådsanmälan</t>
        </is>
      </c>
      <c r="C769" t="inlineStr">
        <is>
          <t>Askåterföring</t>
        </is>
      </c>
      <c r="D769" s="1" t="n">
        <v>45086</v>
      </c>
      <c r="E769" s="1" t="n">
        <v>46323</v>
      </c>
      <c r="F769" t="inlineStr">
        <is>
          <t>KALMAR LÄN</t>
        </is>
      </c>
      <c r="G769" t="inlineStr">
        <is>
          <t>EMMABODA</t>
        </is>
      </c>
      <c r="I769" t="n">
        <v>23.1</v>
      </c>
      <c r="J769" t="n">
        <v>1</v>
      </c>
      <c r="K769" t="n">
        <v>0</v>
      </c>
      <c r="L769" t="n">
        <v>1</v>
      </c>
      <c r="M769" t="n">
        <v>0</v>
      </c>
      <c r="N769" t="n">
        <v>0</v>
      </c>
      <c r="O769" t="n">
        <v>0</v>
      </c>
      <c r="P769" t="n">
        <v>0</v>
      </c>
      <c r="Q769" t="n">
        <v>1</v>
      </c>
      <c r="R769" t="n">
        <v>0</v>
      </c>
      <c r="S769" t="n">
        <v>2</v>
      </c>
      <c r="T769" t="n">
        <v>2</v>
      </c>
      <c r="U769" t="n">
        <v>2</v>
      </c>
      <c r="V769" s="2" t="inlineStr">
        <is>
          <t>Åkerkål
Mattlummer</t>
        </is>
      </c>
      <c r="W769">
        <f>HYPERLINK("https://klasma.github.io/Logging_0862/artfynd/S 1993-2023 artfynd.xlsx", "S 1993-2023")</f>
        <v/>
      </c>
      <c r="X769">
        <f>HYPERLINK("https://klasma.github.io/Logging_0862/kartor/S 1993-2023 karta.png", "S 1993-2023")</f>
        <v/>
      </c>
      <c r="Y769">
        <f>HYPERLINK("https://klasma.github.io/Logging_0862/kartor_geotiff/S 1993-2023 georefererad karta.tif", "S 1993-2023")</f>
        <v/>
      </c>
      <c r="AA769">
        <f>HYPERLINK("https://klasma.github.io/Logging_0862/klagomål/S 1993-2023 FSC-klagomål.docx", "S 1993-2023")</f>
        <v/>
      </c>
      <c r="AB769">
        <f>HYPERLINK("https://klasma.github.io/Logging_0862/klagomålsmail/S 1993-2023 FSC-klagomål mail.docx", "S 1993-2023")</f>
        <v/>
      </c>
      <c r="AC769">
        <f>HYPERLINK("https://klasma.github.io/Logging_0862/tillsyn/S 1993-2023 tillsynsbegäran.docx", "S 1993-2023")</f>
        <v/>
      </c>
      <c r="AD769">
        <f>HYPERLINK("https://klasma.github.io/Logging_0862/tillsynsmail/S 1993-2023 tillsynsbegäran mail.docx", "S 1993-2023")</f>
        <v/>
      </c>
    </row>
    <row r="770" ht="15" customHeight="1">
      <c r="A770" t="inlineStr">
        <is>
          <t>S 5868-2022</t>
        </is>
      </c>
      <c r="B770" t="inlineStr">
        <is>
          <t>samrådsanmälan</t>
        </is>
      </c>
      <c r="C770" t="inlineStr">
        <is>
          <t>Annan skogsbruksåtgärd</t>
        </is>
      </c>
      <c r="D770" s="1" t="n">
        <v>44853</v>
      </c>
      <c r="E770" s="1" t="n">
        <v>46323</v>
      </c>
      <c r="F770" t="inlineStr">
        <is>
          <t>KALMAR LÄN</t>
        </is>
      </c>
      <c r="G770" t="inlineStr">
        <is>
          <t>NYBRO</t>
        </is>
      </c>
      <c r="I770" t="n">
        <v>19.2</v>
      </c>
      <c r="J770" t="n">
        <v>0</v>
      </c>
      <c r="K770" t="n">
        <v>1</v>
      </c>
      <c r="L770" t="n">
        <v>0</v>
      </c>
      <c r="M770" t="n">
        <v>0</v>
      </c>
      <c r="N770" t="n">
        <v>1</v>
      </c>
      <c r="O770" t="n">
        <v>0</v>
      </c>
      <c r="P770" t="n">
        <v>0</v>
      </c>
      <c r="Q770" t="n">
        <v>1</v>
      </c>
      <c r="R770" t="n">
        <v>1</v>
      </c>
      <c r="S770" t="n">
        <v>2</v>
      </c>
      <c r="T770" t="n">
        <v>2</v>
      </c>
      <c r="U770" t="n">
        <v>0</v>
      </c>
      <c r="V770" s="2" t="inlineStr">
        <is>
          <t>Almlav
Fällmossa</t>
        </is>
      </c>
      <c r="W770">
        <f>HYPERLINK("https://klasma.github.io/Logging_0881/artfynd/S 5868-2022 artfynd.xlsx", "S 5868-2022")</f>
        <v/>
      </c>
      <c r="X770">
        <f>HYPERLINK("https://klasma.github.io/Logging_0881/kartor/S 5868-2022 karta.png", "S 5868-2022")</f>
        <v/>
      </c>
      <c r="Y770">
        <f>HYPERLINK("https://klasma.github.io/Logging_0881/kartor_geotiff/S 5868-2022 georefererad karta.tif", "S 5868-2022")</f>
        <v/>
      </c>
      <c r="AA770">
        <f>HYPERLINK("https://klasma.github.io/Logging_0881/klagomål/S 5868-2022 FSC-klagomål.docx", "S 5868-2022")</f>
        <v/>
      </c>
      <c r="AB770">
        <f>HYPERLINK("https://klasma.github.io/Logging_0881/klagomålsmail/S 5868-2022 FSC-klagomål mail.docx", "S 5868-2022")</f>
        <v/>
      </c>
      <c r="AC770">
        <f>HYPERLINK("https://klasma.github.io/Logging_0881/tillsyn/S 5868-2022 tillsynsbegäran.docx", "S 5868-2022")</f>
        <v/>
      </c>
      <c r="AD770">
        <f>HYPERLINK("https://klasma.github.io/Logging_0881/tillsynsmail/S 5868-2022 tillsynsbegäran mail.docx", "S 5868-2022")</f>
        <v/>
      </c>
    </row>
    <row r="771" ht="15" customHeight="1">
      <c r="A771" t="inlineStr">
        <is>
          <t>S 2490-2024</t>
        </is>
      </c>
      <c r="B771" t="inlineStr">
        <is>
          <t>samrådsanmälan</t>
        </is>
      </c>
      <c r="C771" t="inlineStr">
        <is>
          <t>Askåterföring</t>
        </is>
      </c>
      <c r="D771" s="1" t="n">
        <v>45471</v>
      </c>
      <c r="E771" s="1" t="n">
        <v>46323</v>
      </c>
      <c r="F771" t="inlineStr">
        <is>
          <t>KALMAR LÄN</t>
        </is>
      </c>
      <c r="G771" t="inlineStr">
        <is>
          <t>TORSÅS</t>
        </is>
      </c>
      <c r="I771" t="n">
        <v>14.3</v>
      </c>
      <c r="J771" t="n">
        <v>0</v>
      </c>
      <c r="K771" t="n">
        <v>0</v>
      </c>
      <c r="L771" t="n">
        <v>1</v>
      </c>
      <c r="M771" t="n">
        <v>0</v>
      </c>
      <c r="N771" t="n">
        <v>1</v>
      </c>
      <c r="O771" t="n">
        <v>0</v>
      </c>
      <c r="P771" t="n">
        <v>0</v>
      </c>
      <c r="Q771" t="n">
        <v>2</v>
      </c>
      <c r="R771" t="n">
        <v>1</v>
      </c>
      <c r="S771" t="n">
        <v>2</v>
      </c>
      <c r="T771" t="n">
        <v>2</v>
      </c>
      <c r="U771" t="n">
        <v>0</v>
      </c>
      <c r="V771" s="2" t="inlineStr">
        <is>
          <t>Ask
Korskovall</t>
        </is>
      </c>
      <c r="W771">
        <f>HYPERLINK("https://klasma.github.io/Logging_0834/artfynd/S 2490-2024 artfynd.xlsx", "S 2490-2024")</f>
        <v/>
      </c>
      <c r="X771">
        <f>HYPERLINK("https://klasma.github.io/Logging_0834/kartor/S 2490-2024 karta.png", "S 2490-2024")</f>
        <v/>
      </c>
      <c r="Y771">
        <f>HYPERLINK("https://klasma.github.io/Logging_0834/kartor_geotiff/S 2490-2024 georefererad karta.tif", "S 2490-2024")</f>
        <v/>
      </c>
      <c r="AA771">
        <f>HYPERLINK("https://klasma.github.io/Logging_0834/klagomål/S 2490-2024 FSC-klagomål.docx", "S 2490-2024")</f>
        <v/>
      </c>
      <c r="AB771">
        <f>HYPERLINK("https://klasma.github.io/Logging_0834/klagomålsmail/S 2490-2024 FSC-klagomål mail.docx", "S 2490-2024")</f>
        <v/>
      </c>
      <c r="AC771">
        <f>HYPERLINK("https://klasma.github.io/Logging_0834/tillsyn/S 2490-2024 tillsynsbegäran.docx", "S 2490-2024")</f>
        <v/>
      </c>
      <c r="AD771">
        <f>HYPERLINK("https://klasma.github.io/Logging_0834/tillsynsmail/S 2490-2024 tillsynsbegäran mail.docx", "S 2490-2024")</f>
        <v/>
      </c>
    </row>
    <row r="772" ht="15" customHeight="1">
      <c r="A772" t="inlineStr">
        <is>
          <t>S 6144-2022</t>
        </is>
      </c>
      <c r="B772" t="inlineStr">
        <is>
          <t>samrådsanmälan</t>
        </is>
      </c>
      <c r="C772" t="inlineStr">
        <is>
          <t>Annan skogsbruksåtgärd</t>
        </is>
      </c>
      <c r="D772" s="1" t="n">
        <v>44865</v>
      </c>
      <c r="E772" s="1" t="n">
        <v>46323</v>
      </c>
      <c r="F772" t="inlineStr">
        <is>
          <t>KALMAR LÄN</t>
        </is>
      </c>
      <c r="G772" t="inlineStr">
        <is>
          <t>BORGHOLM</t>
        </is>
      </c>
      <c r="I772" t="n">
        <v>2</v>
      </c>
      <c r="J772" t="n">
        <v>1</v>
      </c>
      <c r="K772" t="n">
        <v>0</v>
      </c>
      <c r="L772" t="n">
        <v>1</v>
      </c>
      <c r="M772" t="n">
        <v>0</v>
      </c>
      <c r="N772" t="n">
        <v>0</v>
      </c>
      <c r="O772" t="n">
        <v>0</v>
      </c>
      <c r="P772" t="n">
        <v>0</v>
      </c>
      <c r="Q772" t="n">
        <v>1</v>
      </c>
      <c r="R772" t="n">
        <v>0</v>
      </c>
      <c r="S772" t="n">
        <v>2</v>
      </c>
      <c r="T772" t="n">
        <v>3</v>
      </c>
      <c r="U772" t="n">
        <v>2</v>
      </c>
      <c r="V772" s="2" t="inlineStr">
        <is>
          <t>Oxtungssvamp
Fläcknycklar</t>
        </is>
      </c>
      <c r="W772">
        <f>HYPERLINK("https://klasma.github.io/Logging_0885/artfynd/S 6144-2022 artfynd.xlsx", "S 6144-2022")</f>
        <v/>
      </c>
      <c r="X772">
        <f>HYPERLINK("https://klasma.github.io/Logging_0885/kartor/S 6144-2022 karta.png", "S 6144-2022")</f>
        <v/>
      </c>
      <c r="Y772">
        <f>HYPERLINK("https://klasma.github.io/Logging_0885/kartor_geotiff/S 6144-2022 georefererad karta.tif", "S 6144-2022")</f>
        <v/>
      </c>
      <c r="AA772">
        <f>HYPERLINK("https://klasma.github.io/Logging_0885/klagomål/S 6144-2022 FSC-klagomål.docx", "S 6144-2022")</f>
        <v/>
      </c>
      <c r="AB772">
        <f>HYPERLINK("https://klasma.github.io/Logging_0885/klagomålsmail/S 6144-2022 FSC-klagomål mail.docx", "S 6144-2022")</f>
        <v/>
      </c>
      <c r="AC772">
        <f>HYPERLINK("https://klasma.github.io/Logging_0885/tillsyn/S 6144-2022 tillsynsbegäran.docx", "S 6144-2022")</f>
        <v/>
      </c>
      <c r="AD772">
        <f>HYPERLINK("https://klasma.github.io/Logging_0885/tillsynsmail/S 6144-2022 tillsynsbegäran mail.docx", "S 6144-2022")</f>
        <v/>
      </c>
    </row>
    <row r="773" ht="15" customHeight="1">
      <c r="A773" t="inlineStr">
        <is>
          <t>S 1556-2023</t>
        </is>
      </c>
      <c r="B773" t="inlineStr">
        <is>
          <t>samrådsanmälan</t>
        </is>
      </c>
      <c r="C773" t="inlineStr">
        <is>
          <t>Annan skogsbruksåtgärd</t>
        </is>
      </c>
      <c r="D773" s="1" t="n">
        <v>45055</v>
      </c>
      <c r="E773" s="1" t="n">
        <v>46323</v>
      </c>
      <c r="F773" t="inlineStr">
        <is>
          <t>KALMAR LÄN</t>
        </is>
      </c>
      <c r="G773" t="inlineStr">
        <is>
          <t>VÄSTERVIK</t>
        </is>
      </c>
      <c r="H773" t="inlineStr">
        <is>
          <t>Kommuner</t>
        </is>
      </c>
      <c r="I773" t="n">
        <v>1.8</v>
      </c>
      <c r="J773" t="n">
        <v>0</v>
      </c>
      <c r="K773" t="n">
        <v>1</v>
      </c>
      <c r="L773" t="n">
        <v>1</v>
      </c>
      <c r="M773" t="n">
        <v>0</v>
      </c>
      <c r="N773" t="n">
        <v>0</v>
      </c>
      <c r="O773" t="n">
        <v>0</v>
      </c>
      <c r="P773" t="n">
        <v>0</v>
      </c>
      <c r="Q773" t="n">
        <v>1</v>
      </c>
      <c r="R773" t="n">
        <v>0</v>
      </c>
      <c r="S773" t="n">
        <v>2</v>
      </c>
      <c r="T773" t="n">
        <v>5</v>
      </c>
      <c r="U773" t="n">
        <v>2</v>
      </c>
      <c r="V773" s="2" t="inlineStr">
        <is>
          <t>Ekticka
Blanksvart trämyra</t>
        </is>
      </c>
      <c r="W773">
        <f>HYPERLINK("https://klasma.github.io/Logging_0883/artfynd/S 1556-2023 artfynd.xlsx", "S 1556-2023")</f>
        <v/>
      </c>
      <c r="X773">
        <f>HYPERLINK("https://klasma.github.io/Logging_0883/kartor/S 1556-2023 karta.png", "S 1556-2023")</f>
        <v/>
      </c>
      <c r="Y773">
        <f>HYPERLINK("https://klasma.github.io/Logging_0883/kartor_geotiff/S 1556-2023 georefererad karta.tif", "S 1556-2023")</f>
        <v/>
      </c>
      <c r="AA773">
        <f>HYPERLINK("https://klasma.github.io/Logging_0883/klagomål/S 1556-2023 FSC-klagomål.docx", "S 1556-2023")</f>
        <v/>
      </c>
      <c r="AB773">
        <f>HYPERLINK("https://klasma.github.io/Logging_0883/klagomålsmail/S 1556-2023 FSC-klagomål mail.docx", "S 1556-2023")</f>
        <v/>
      </c>
      <c r="AC773">
        <f>HYPERLINK("https://klasma.github.io/Logging_0883/tillsyn/S 1556-2023 tillsynsbegäran.docx", "S 1556-2023")</f>
        <v/>
      </c>
      <c r="AD773">
        <f>HYPERLINK("https://klasma.github.io/Logging_0883/tillsynsmail/S 1556-2023 tillsynsbegäran mail.docx", "S 1556-2023")</f>
        <v/>
      </c>
    </row>
    <row r="774" ht="15" customHeight="1">
      <c r="A774" t="inlineStr">
        <is>
          <t>S 941-2024</t>
        </is>
      </c>
      <c r="B774" t="inlineStr">
        <is>
          <t>samrådsanmälan</t>
        </is>
      </c>
      <c r="C774" t="inlineStr">
        <is>
          <t>Annan skogsbruksåtgärd</t>
        </is>
      </c>
      <c r="D774" s="1" t="n">
        <v>45378</v>
      </c>
      <c r="E774" s="1" t="n">
        <v>46323</v>
      </c>
      <c r="F774" t="inlineStr">
        <is>
          <t>KALMAR LÄN</t>
        </is>
      </c>
      <c r="G774" t="inlineStr">
        <is>
          <t>VIMMERBY</t>
        </is>
      </c>
      <c r="H774" t="inlineStr">
        <is>
          <t>Sveaskog</t>
        </is>
      </c>
      <c r="I774" t="n">
        <v>3.3</v>
      </c>
      <c r="J774" t="n">
        <v>0</v>
      </c>
      <c r="K774" t="n">
        <v>0</v>
      </c>
      <c r="L774" t="n">
        <v>2</v>
      </c>
      <c r="M774" t="n">
        <v>0</v>
      </c>
      <c r="N774" t="n">
        <v>0</v>
      </c>
      <c r="O774" t="n">
        <v>0</v>
      </c>
      <c r="P774" t="n">
        <v>0</v>
      </c>
      <c r="Q774" t="n">
        <v>2</v>
      </c>
      <c r="R774" t="n">
        <v>0</v>
      </c>
      <c r="S774" t="n">
        <v>2</v>
      </c>
      <c r="T774" t="n">
        <v>2</v>
      </c>
      <c r="U774" t="n">
        <v>2</v>
      </c>
      <c r="V774" s="2" t="inlineStr">
        <is>
          <t>Dropptaggsvamp
Tallticka</t>
        </is>
      </c>
      <c r="W774">
        <f>HYPERLINK("https://klasma.github.io/Logging_0884/artfynd/S 941-2024 artfynd.xlsx", "S 941-2024")</f>
        <v/>
      </c>
      <c r="X774">
        <f>HYPERLINK("https://klasma.github.io/Logging_0884/kartor/S 941-2024 karta.png", "S 941-2024")</f>
        <v/>
      </c>
      <c r="Y774">
        <f>HYPERLINK("https://klasma.github.io/Logging_0884/kartor_geotiff/S 941-2024 georefererad karta.tif", "S 941-2024")</f>
        <v/>
      </c>
      <c r="AA774">
        <f>HYPERLINK("https://klasma.github.io/Logging_0884/klagomål/S 941-2024 FSC-klagomål.docx", "S 941-2024")</f>
        <v/>
      </c>
      <c r="AB774">
        <f>HYPERLINK("https://klasma.github.io/Logging_0884/klagomålsmail/S 941-2024 FSC-klagomål mail.docx", "S 941-2024")</f>
        <v/>
      </c>
      <c r="AC774">
        <f>HYPERLINK("https://klasma.github.io/Logging_0884/tillsyn/S 941-2024 tillsynsbegäran.docx", "S 941-2024")</f>
        <v/>
      </c>
      <c r="AD774">
        <f>HYPERLINK("https://klasma.github.io/Logging_0884/tillsynsmail/S 941-2024 tillsynsbegäran mail.docx", "S 941-2024")</f>
        <v/>
      </c>
    </row>
    <row r="775" ht="15" customHeight="1">
      <c r="A775" t="inlineStr">
        <is>
          <t>S 757-2023</t>
        </is>
      </c>
      <c r="B775" t="inlineStr">
        <is>
          <t>samrådsanmälan</t>
        </is>
      </c>
      <c r="C775" t="inlineStr">
        <is>
          <t>Askåterföring</t>
        </is>
      </c>
      <c r="D775" s="1" t="n">
        <v>44981</v>
      </c>
      <c r="E775" s="1" t="n">
        <v>46323</v>
      </c>
      <c r="F775" t="inlineStr">
        <is>
          <t>KALMAR LÄN</t>
        </is>
      </c>
      <c r="G775" t="inlineStr">
        <is>
          <t>VÄSTERVIK</t>
        </is>
      </c>
      <c r="H775" t="inlineStr">
        <is>
          <t>Kyrkan</t>
        </is>
      </c>
      <c r="I775" t="n">
        <v>8.699999999999999</v>
      </c>
      <c r="J775" t="n">
        <v>0</v>
      </c>
      <c r="K775" t="n">
        <v>0</v>
      </c>
      <c r="L775" t="n">
        <v>2</v>
      </c>
      <c r="M775" t="n">
        <v>0</v>
      </c>
      <c r="N775" t="n">
        <v>0</v>
      </c>
      <c r="O775" t="n">
        <v>0</v>
      </c>
      <c r="P775" t="n">
        <v>0</v>
      </c>
      <c r="Q775" t="n">
        <v>2</v>
      </c>
      <c r="R775" t="n">
        <v>0</v>
      </c>
      <c r="S775" t="n">
        <v>2</v>
      </c>
      <c r="T775" t="n">
        <v>2</v>
      </c>
      <c r="U775" t="n">
        <v>2</v>
      </c>
      <c r="V775" s="2" t="inlineStr">
        <is>
          <t>Etternässla
Krusfrö</t>
        </is>
      </c>
      <c r="W775">
        <f>HYPERLINK("https://klasma.github.io/Logging_0883/artfynd/S 757-2023 artfynd.xlsx", "S 757-2023")</f>
        <v/>
      </c>
      <c r="X775">
        <f>HYPERLINK("https://klasma.github.io/Logging_0883/kartor/S 757-2023 karta.png", "S 757-2023")</f>
        <v/>
      </c>
      <c r="Y775">
        <f>HYPERLINK("https://klasma.github.io/Logging_0883/kartor_geotiff/S 757-2023 georefererad karta.tif", "S 757-2023")</f>
        <v/>
      </c>
      <c r="AA775">
        <f>HYPERLINK("https://klasma.github.io/Logging_0883/klagomål/S 757-2023 FSC-klagomål.docx", "S 757-2023")</f>
        <v/>
      </c>
      <c r="AB775">
        <f>HYPERLINK("https://klasma.github.io/Logging_0883/klagomålsmail/S 757-2023 FSC-klagomål mail.docx", "S 757-2023")</f>
        <v/>
      </c>
      <c r="AC775">
        <f>HYPERLINK("https://klasma.github.io/Logging_0883/tillsyn/S 757-2023 tillsynsbegäran.docx", "S 757-2023")</f>
        <v/>
      </c>
      <c r="AD775">
        <f>HYPERLINK("https://klasma.github.io/Logging_0883/tillsynsmail/S 757-2023 tillsynsbegäran mail.docx", "S 757-2023")</f>
        <v/>
      </c>
    </row>
    <row r="776" ht="15" customHeight="1">
      <c r="A776" t="inlineStr">
        <is>
          <t>S 1744-2024</t>
        </is>
      </c>
      <c r="B776" t="inlineStr">
        <is>
          <t>samrådsanmälan</t>
        </is>
      </c>
      <c r="C776" t="inlineStr">
        <is>
          <t>Annan skogsbruksåtgärd</t>
        </is>
      </c>
      <c r="D776" s="1" t="n">
        <v>45435</v>
      </c>
      <c r="E776" s="1" t="n">
        <v>46323</v>
      </c>
      <c r="F776" t="inlineStr">
        <is>
          <t>KALMAR LÄN</t>
        </is>
      </c>
      <c r="G776" t="inlineStr">
        <is>
          <t>VÄSTERVIK</t>
        </is>
      </c>
      <c r="I776" t="n">
        <v>3.3</v>
      </c>
      <c r="J776" t="n">
        <v>0</v>
      </c>
      <c r="K776" t="n">
        <v>2</v>
      </c>
      <c r="L776" t="n">
        <v>0</v>
      </c>
      <c r="M776" t="n">
        <v>0</v>
      </c>
      <c r="N776" t="n">
        <v>0</v>
      </c>
      <c r="O776" t="n">
        <v>0</v>
      </c>
      <c r="P776" t="n">
        <v>0</v>
      </c>
      <c r="Q776" t="n">
        <v>0</v>
      </c>
      <c r="R776" t="n">
        <v>0</v>
      </c>
      <c r="S776" t="n">
        <v>2</v>
      </c>
      <c r="T776" t="n">
        <v>3</v>
      </c>
      <c r="U776" t="n">
        <v>0</v>
      </c>
      <c r="V776" s="2" t="inlineStr">
        <is>
          <t>Svart trolldruva
Vätteros</t>
        </is>
      </c>
      <c r="W776">
        <f>HYPERLINK("https://klasma.github.io/Logging_0883/artfynd/S 1744-2024 artfynd.xlsx", "S 1744-2024")</f>
        <v/>
      </c>
      <c r="X776">
        <f>HYPERLINK("https://klasma.github.io/Logging_0883/kartor/S 1744-2024 karta.png", "S 1744-2024")</f>
        <v/>
      </c>
      <c r="Y776">
        <f>HYPERLINK("https://klasma.github.io/Logging_0883/kartor_geotiff/S 1744-2024 georefererad karta.tif", "S 1744-2024")</f>
        <v/>
      </c>
      <c r="AA776">
        <f>HYPERLINK("https://klasma.github.io/Logging_0883/klagomål/S 1744-2024 FSC-klagomål.docx", "S 1744-2024")</f>
        <v/>
      </c>
      <c r="AB776">
        <f>HYPERLINK("https://klasma.github.io/Logging_0883/klagomålsmail/S 1744-2024 FSC-klagomål mail.docx", "S 1744-2024")</f>
        <v/>
      </c>
      <c r="AC776">
        <f>HYPERLINK("https://klasma.github.io/Logging_0883/tillsyn/S 1744-2024 tillsynsbegäran.docx", "S 1744-2024")</f>
        <v/>
      </c>
      <c r="AD776">
        <f>HYPERLINK("https://klasma.github.io/Logging_0883/tillsynsmail/S 1744-2024 tillsynsbegäran mail.docx", "S 1744-2024")</f>
        <v/>
      </c>
    </row>
    <row r="777" ht="15" customHeight="1">
      <c r="A777" t="inlineStr">
        <is>
          <t>S 418-2024</t>
        </is>
      </c>
      <c r="B777" t="inlineStr">
        <is>
          <t>samrådsanmälan</t>
        </is>
      </c>
      <c r="C777" t="inlineStr">
        <is>
          <t>Annan skogsbruksåtgärd</t>
        </is>
      </c>
      <c r="D777" s="1" t="n">
        <v>45335</v>
      </c>
      <c r="E777" s="1" t="n">
        <v>46323</v>
      </c>
      <c r="F777" t="inlineStr">
        <is>
          <t>KALMAR LÄN</t>
        </is>
      </c>
      <c r="G777" t="inlineStr">
        <is>
          <t>NYBRO</t>
        </is>
      </c>
      <c r="I777" t="n">
        <v>9.199999999999999</v>
      </c>
      <c r="J777" t="n">
        <v>1</v>
      </c>
      <c r="K777" t="n">
        <v>0</v>
      </c>
      <c r="L777" t="n">
        <v>0</v>
      </c>
      <c r="M777" t="n">
        <v>0</v>
      </c>
      <c r="N777" t="n">
        <v>1</v>
      </c>
      <c r="O777" t="n">
        <v>0</v>
      </c>
      <c r="P777" t="n">
        <v>0</v>
      </c>
      <c r="Q777" t="n">
        <v>1</v>
      </c>
      <c r="R777" t="n">
        <v>1</v>
      </c>
      <c r="S777" t="n">
        <v>2</v>
      </c>
      <c r="T777" t="n">
        <v>5</v>
      </c>
      <c r="U777" t="n">
        <v>1</v>
      </c>
      <c r="V777" s="2" t="inlineStr">
        <is>
          <t>Ask
Lopplummer (aggregat)</t>
        </is>
      </c>
      <c r="W777">
        <f>HYPERLINK("https://klasma.github.io/Logging_0881/artfynd/S 418-2024 artfynd.xlsx", "S 418-2024")</f>
        <v/>
      </c>
      <c r="X777">
        <f>HYPERLINK("https://klasma.github.io/Logging_0881/kartor/S 418-2024 karta.png", "S 418-2024")</f>
        <v/>
      </c>
      <c r="Y777">
        <f>HYPERLINK("https://klasma.github.io/Logging_0881/kartor_geotiff/S 418-2024 georefererad karta.tif", "S 418-2024")</f>
        <v/>
      </c>
      <c r="AA777">
        <f>HYPERLINK("https://klasma.github.io/Logging_0881/klagomål/S 418-2024 FSC-klagomål.docx", "S 418-2024")</f>
        <v/>
      </c>
      <c r="AB777">
        <f>HYPERLINK("https://klasma.github.io/Logging_0881/klagomålsmail/S 418-2024 FSC-klagomål mail.docx", "S 418-2024")</f>
        <v/>
      </c>
      <c r="AC777">
        <f>HYPERLINK("https://klasma.github.io/Logging_0881/tillsyn/S 418-2024 tillsynsbegäran.docx", "S 418-2024")</f>
        <v/>
      </c>
      <c r="AD777">
        <f>HYPERLINK("https://klasma.github.io/Logging_0881/tillsynsmail/S 418-2024 tillsynsbegäran mail.docx", "S 418-2024")</f>
        <v/>
      </c>
    </row>
    <row r="778" ht="15" customHeight="1">
      <c r="A778" t="inlineStr">
        <is>
          <t>S 2742-2024</t>
        </is>
      </c>
      <c r="B778" t="inlineStr">
        <is>
          <t>samrådsanmälan</t>
        </is>
      </c>
      <c r="C778" t="inlineStr">
        <is>
          <t>Askåterföring</t>
        </is>
      </c>
      <c r="D778" s="1" t="n">
        <v>45484</v>
      </c>
      <c r="E778" s="1" t="n">
        <v>46323</v>
      </c>
      <c r="F778" t="inlineStr">
        <is>
          <t>KALMAR LÄN</t>
        </is>
      </c>
      <c r="G778" t="inlineStr">
        <is>
          <t>HULTSFRED</t>
        </is>
      </c>
      <c r="I778" t="n">
        <v>10.9</v>
      </c>
      <c r="J778" t="n">
        <v>2</v>
      </c>
      <c r="K778" t="n">
        <v>0</v>
      </c>
      <c r="L778" t="n">
        <v>0</v>
      </c>
      <c r="M778" t="n">
        <v>1</v>
      </c>
      <c r="N778" t="n">
        <v>0</v>
      </c>
      <c r="O778" t="n">
        <v>0</v>
      </c>
      <c r="P778" t="n">
        <v>0</v>
      </c>
      <c r="Q778" t="n">
        <v>1</v>
      </c>
      <c r="R778" t="n">
        <v>1</v>
      </c>
      <c r="S778" t="n">
        <v>2</v>
      </c>
      <c r="T778" t="n">
        <v>3</v>
      </c>
      <c r="U778" t="n">
        <v>0</v>
      </c>
      <c r="V778" s="2" t="inlineStr">
        <is>
          <t>Knärot
Spillkråka</t>
        </is>
      </c>
      <c r="W778">
        <f>HYPERLINK("https://klasma.github.io/Logging_0860/artfynd/S 2742-2024 artfynd.xlsx", "S 2742-2024")</f>
        <v/>
      </c>
      <c r="X778">
        <f>HYPERLINK("https://klasma.github.io/Logging_0860/kartor/S 2742-2024 karta.png", "S 2742-2024")</f>
        <v/>
      </c>
      <c r="Y778">
        <f>HYPERLINK("https://klasma.github.io/Logging_0860/kartor_geotiff/S 2742-2024 georefererad karta.tif", "S 2742-2024")</f>
        <v/>
      </c>
      <c r="Z778">
        <f>HYPERLINK("https://klasma.github.io/Logging_0860/knärot/S 2742-2024 karta knärot.png", "S 2742-2024")</f>
        <v/>
      </c>
      <c r="AA778">
        <f>HYPERLINK("https://klasma.github.io/Logging_0860/klagomål/S 2742-2024 FSC-klagomål.docx", "S 2742-2024")</f>
        <v/>
      </c>
      <c r="AB778">
        <f>HYPERLINK("https://klasma.github.io/Logging_0860/klagomålsmail/S 2742-2024 FSC-klagomål mail.docx", "S 2742-2024")</f>
        <v/>
      </c>
      <c r="AC778">
        <f>HYPERLINK("https://klasma.github.io/Logging_0860/tillsyn/S 2742-2024 tillsynsbegäran.docx", "S 2742-2024")</f>
        <v/>
      </c>
      <c r="AD778">
        <f>HYPERLINK("https://klasma.github.io/Logging_0860/tillsynsmail/S 2742-2024 tillsynsbegäran mail.docx", "S 2742-2024")</f>
        <v/>
      </c>
      <c r="AE778">
        <f>HYPERLINK("https://klasma.github.io/Logging_0860/fåglar/S 2742-2024 prioriterade fågelarter.docx", "S 2742-2024")</f>
        <v/>
      </c>
    </row>
    <row r="779" ht="15" customHeight="1">
      <c r="A779" t="inlineStr">
        <is>
          <t>S 851-2023</t>
        </is>
      </c>
      <c r="B779" t="inlineStr">
        <is>
          <t>samrådsanmälan</t>
        </is>
      </c>
      <c r="C779" t="inlineStr">
        <is>
          <t>Annan skogsbruksåtgärd</t>
        </is>
      </c>
      <c r="D779" s="1" t="n">
        <v>44993</v>
      </c>
      <c r="E779" s="1" t="n">
        <v>46323</v>
      </c>
      <c r="F779" t="inlineStr">
        <is>
          <t>KALMAR LÄN</t>
        </is>
      </c>
      <c r="G779" t="inlineStr">
        <is>
          <t>HULTSFRED</t>
        </is>
      </c>
      <c r="I779" t="n">
        <v>0.3</v>
      </c>
      <c r="J779" t="n">
        <v>1</v>
      </c>
      <c r="K779" t="n">
        <v>0</v>
      </c>
      <c r="L779" t="n">
        <v>0</v>
      </c>
      <c r="M779" t="n">
        <v>0</v>
      </c>
      <c r="N779" t="n">
        <v>1</v>
      </c>
      <c r="O779" t="n">
        <v>0</v>
      </c>
      <c r="P779" t="n">
        <v>0</v>
      </c>
      <c r="Q779" t="n">
        <v>1</v>
      </c>
      <c r="R779" t="n">
        <v>1</v>
      </c>
      <c r="S779" t="n">
        <v>2</v>
      </c>
      <c r="T779" t="n">
        <v>2</v>
      </c>
      <c r="U779" t="n">
        <v>0</v>
      </c>
      <c r="V779" s="2" t="inlineStr">
        <is>
          <t>Skogsalm
Blåsippa</t>
        </is>
      </c>
      <c r="W779">
        <f>HYPERLINK("https://klasma.github.io/Logging_0860/artfynd/S 851-2023 artfynd.xlsx", "S 851-2023")</f>
        <v/>
      </c>
      <c r="X779">
        <f>HYPERLINK("https://klasma.github.io/Logging_0860/kartor/S 851-2023 karta.png", "S 851-2023")</f>
        <v/>
      </c>
      <c r="Y779">
        <f>HYPERLINK("https://klasma.github.io/Logging_0860/kartor_geotiff/S 851-2023 georefererad karta.tif", "S 851-2023")</f>
        <v/>
      </c>
      <c r="AA779">
        <f>HYPERLINK("https://klasma.github.io/Logging_0860/klagomål/S 851-2023 FSC-klagomål.docx", "S 851-2023")</f>
        <v/>
      </c>
      <c r="AB779">
        <f>HYPERLINK("https://klasma.github.io/Logging_0860/klagomålsmail/S 851-2023 FSC-klagomål mail.docx", "S 851-2023")</f>
        <v/>
      </c>
      <c r="AC779">
        <f>HYPERLINK("https://klasma.github.io/Logging_0860/tillsyn/S 851-2023 tillsynsbegäran.docx", "S 851-2023")</f>
        <v/>
      </c>
      <c r="AD779">
        <f>HYPERLINK("https://klasma.github.io/Logging_0860/tillsynsmail/S 851-2023 tillsynsbegäran mail.docx", "S 851-2023")</f>
        <v/>
      </c>
    </row>
    <row r="780" ht="15" customHeight="1">
      <c r="A780" t="inlineStr">
        <is>
          <t>S 118-2023</t>
        </is>
      </c>
      <c r="B780" t="inlineStr">
        <is>
          <t>samrådsanmälan</t>
        </is>
      </c>
      <c r="C780" t="inlineStr">
        <is>
          <t>Annan skogsbruksåtgärd</t>
        </is>
      </c>
      <c r="D780" s="1" t="n">
        <v>44937</v>
      </c>
      <c r="E780" s="1" t="n">
        <v>46323</v>
      </c>
      <c r="F780" t="inlineStr">
        <is>
          <t>KALMAR LÄN</t>
        </is>
      </c>
      <c r="G780" t="inlineStr">
        <is>
          <t>EMMABODA</t>
        </is>
      </c>
      <c r="I780" t="n">
        <v>0</v>
      </c>
      <c r="J780" t="n">
        <v>0</v>
      </c>
      <c r="K780" t="n">
        <v>0</v>
      </c>
      <c r="L780" t="n">
        <v>1</v>
      </c>
      <c r="M780" t="n">
        <v>0</v>
      </c>
      <c r="N780" t="n">
        <v>1</v>
      </c>
      <c r="O780" t="n">
        <v>0</v>
      </c>
      <c r="P780" t="n">
        <v>0</v>
      </c>
      <c r="Q780" t="n">
        <v>2</v>
      </c>
      <c r="R780" t="n">
        <v>1</v>
      </c>
      <c r="S780" t="n">
        <v>2</v>
      </c>
      <c r="T780" t="n">
        <v>2</v>
      </c>
      <c r="U780" t="n">
        <v>0</v>
      </c>
      <c r="V780" s="2" t="inlineStr">
        <is>
          <t>Almlav
Falsk allékrimmerlav</t>
        </is>
      </c>
      <c r="W780">
        <f>HYPERLINK("https://klasma.github.io/Logging_0862/artfynd/S 118-2023 artfynd.xlsx", "S 118-2023")</f>
        <v/>
      </c>
      <c r="X780">
        <f>HYPERLINK("https://klasma.github.io/Logging_0862/kartor/S 118-2023 karta.png", "S 118-2023")</f>
        <v/>
      </c>
      <c r="Y780">
        <f>HYPERLINK("https://klasma.github.io/Logging_0862/kartor_geotiff/S 118-2023 georefererad karta.tif", "S 118-2023")</f>
        <v/>
      </c>
      <c r="AA780">
        <f>HYPERLINK("https://klasma.github.io/Logging_0862/klagomål/S 118-2023 FSC-klagomål.docx", "S 118-2023")</f>
        <v/>
      </c>
      <c r="AB780">
        <f>HYPERLINK("https://klasma.github.io/Logging_0862/klagomålsmail/S 118-2023 FSC-klagomål mail.docx", "S 118-2023")</f>
        <v/>
      </c>
      <c r="AC780">
        <f>HYPERLINK("https://klasma.github.io/Logging_0862/tillsyn/S 118-2023 tillsynsbegäran.docx", "S 118-2023")</f>
        <v/>
      </c>
      <c r="AD780">
        <f>HYPERLINK("https://klasma.github.io/Logging_0862/tillsynsmail/S 118-2023 tillsynsbegäran mail.docx", "S 118-2023")</f>
        <v/>
      </c>
    </row>
    <row r="781" ht="15" customHeight="1">
      <c r="A781" t="inlineStr">
        <is>
          <t>S 2748-2024</t>
        </is>
      </c>
      <c r="B781" t="inlineStr">
        <is>
          <t>samrådsanmälan</t>
        </is>
      </c>
      <c r="C781" t="inlineStr">
        <is>
          <t>Askåterföring</t>
        </is>
      </c>
      <c r="D781" s="1" t="n">
        <v>45484</v>
      </c>
      <c r="E781" s="1" t="n">
        <v>46323</v>
      </c>
      <c r="F781" t="inlineStr">
        <is>
          <t>KALMAR LÄN</t>
        </is>
      </c>
      <c r="G781" t="inlineStr">
        <is>
          <t>VIMMERBY</t>
        </is>
      </c>
      <c r="I781" t="n">
        <v>25.9</v>
      </c>
      <c r="J781" t="n">
        <v>0</v>
      </c>
      <c r="K781" t="n">
        <v>0</v>
      </c>
      <c r="L781" t="n">
        <v>1</v>
      </c>
      <c r="M781" t="n">
        <v>1</v>
      </c>
      <c r="N781" t="n">
        <v>0</v>
      </c>
      <c r="O781" t="n">
        <v>0</v>
      </c>
      <c r="P781" t="n">
        <v>0</v>
      </c>
      <c r="Q781" t="n">
        <v>2</v>
      </c>
      <c r="R781" t="n">
        <v>1</v>
      </c>
      <c r="S781" t="n">
        <v>2</v>
      </c>
      <c r="T781" t="n">
        <v>2</v>
      </c>
      <c r="U781" t="n">
        <v>2</v>
      </c>
      <c r="V781" s="2" t="inlineStr">
        <is>
          <t>Åkerrättika
Gullpudra</t>
        </is>
      </c>
      <c r="W781">
        <f>HYPERLINK("https://klasma.github.io/Logging_0884/artfynd/S 2748-2024 artfynd.xlsx", "S 2748-2024")</f>
        <v/>
      </c>
      <c r="X781">
        <f>HYPERLINK("https://klasma.github.io/Logging_0884/kartor/S 2748-2024 karta.png", "S 2748-2024")</f>
        <v/>
      </c>
      <c r="Y781">
        <f>HYPERLINK("https://klasma.github.io/Logging_0884/kartor_geotiff/S 2748-2024 georefererad karta.tif", "S 2748-2024")</f>
        <v/>
      </c>
      <c r="AA781">
        <f>HYPERLINK("https://klasma.github.io/Logging_0884/klagomål/S 2748-2024 FSC-klagomål.docx", "S 2748-2024")</f>
        <v/>
      </c>
      <c r="AB781">
        <f>HYPERLINK("https://klasma.github.io/Logging_0884/klagomålsmail/S 2748-2024 FSC-klagomål mail.docx", "S 2748-2024")</f>
        <v/>
      </c>
      <c r="AC781">
        <f>HYPERLINK("https://klasma.github.io/Logging_0884/tillsyn/S 2748-2024 tillsynsbegäran.docx", "S 2748-2024")</f>
        <v/>
      </c>
      <c r="AD781">
        <f>HYPERLINK("https://klasma.github.io/Logging_0884/tillsynsmail/S 2748-2024 tillsynsbegäran mail.docx", "S 2748-2024")</f>
        <v/>
      </c>
    </row>
    <row r="782" ht="15" customHeight="1">
      <c r="A782" t="inlineStr">
        <is>
          <t>S 787-2023</t>
        </is>
      </c>
      <c r="B782" t="inlineStr">
        <is>
          <t>samrådsanmälan</t>
        </is>
      </c>
      <c r="C782" t="inlineStr">
        <is>
          <t>Askåterföring</t>
        </is>
      </c>
      <c r="D782" s="1" t="n">
        <v>44985</v>
      </c>
      <c r="E782" s="1" t="n">
        <v>46323</v>
      </c>
      <c r="F782" t="inlineStr">
        <is>
          <t>KALMAR LÄN</t>
        </is>
      </c>
      <c r="G782" t="inlineStr">
        <is>
          <t>HÖGSBY</t>
        </is>
      </c>
      <c r="I782" t="n">
        <v>166.6</v>
      </c>
      <c r="J782" t="n">
        <v>1</v>
      </c>
      <c r="K782" t="n">
        <v>1</v>
      </c>
      <c r="L782" t="n">
        <v>0</v>
      </c>
      <c r="M782" t="n">
        <v>1</v>
      </c>
      <c r="N782" t="n">
        <v>0</v>
      </c>
      <c r="O782" t="n">
        <v>0</v>
      </c>
      <c r="P782" t="n">
        <v>0</v>
      </c>
      <c r="Q782" t="n">
        <v>1</v>
      </c>
      <c r="R782" t="n">
        <v>1</v>
      </c>
      <c r="S782" t="n">
        <v>2</v>
      </c>
      <c r="T782" t="n">
        <v>2</v>
      </c>
      <c r="U782" t="n">
        <v>2</v>
      </c>
      <c r="V782" s="2" t="inlineStr">
        <is>
          <t>Knärot
Grönpyrola</t>
        </is>
      </c>
      <c r="W782">
        <f>HYPERLINK("https://klasma.github.io/Logging_0821/artfynd/S 787-2023 artfynd.xlsx", "S 787-2023")</f>
        <v/>
      </c>
      <c r="X782">
        <f>HYPERLINK("https://klasma.github.io/Logging_0821/kartor/S 787-2023 karta.png", "S 787-2023")</f>
        <v/>
      </c>
      <c r="Y782">
        <f>HYPERLINK("https://klasma.github.io/Logging_0821/kartor_geotiff/S 787-2023 georefererad karta.tif", "S 787-2023")</f>
        <v/>
      </c>
      <c r="Z782">
        <f>HYPERLINK("https://klasma.github.io/Logging_0821/knärot/S 787-2023 karta knärot.png", "S 787-2023")</f>
        <v/>
      </c>
      <c r="AA782">
        <f>HYPERLINK("https://klasma.github.io/Logging_0821/klagomål/S 787-2023 FSC-klagomål.docx", "S 787-2023")</f>
        <v/>
      </c>
      <c r="AB782">
        <f>HYPERLINK("https://klasma.github.io/Logging_0821/klagomålsmail/S 787-2023 FSC-klagomål mail.docx", "S 787-2023")</f>
        <v/>
      </c>
      <c r="AC782">
        <f>HYPERLINK("https://klasma.github.io/Logging_0821/tillsyn/S 787-2023 tillsynsbegäran.docx", "S 787-2023")</f>
        <v/>
      </c>
      <c r="AD782">
        <f>HYPERLINK("https://klasma.github.io/Logging_0821/tillsynsmail/S 787-2023 tillsynsbegäran mail.docx", "S 787-2023")</f>
        <v/>
      </c>
    </row>
    <row r="783" ht="15" customHeight="1">
      <c r="A783" t="inlineStr">
        <is>
          <t>S 2534-2024</t>
        </is>
      </c>
      <c r="B783" t="inlineStr">
        <is>
          <t>samrådsanmälan</t>
        </is>
      </c>
      <c r="C783" t="inlineStr">
        <is>
          <t>Annan skogsbruksåtgärd</t>
        </is>
      </c>
      <c r="D783" s="1" t="n">
        <v>45475</v>
      </c>
      <c r="E783" s="1" t="n">
        <v>46323</v>
      </c>
      <c r="F783" t="inlineStr">
        <is>
          <t>KALMAR LÄN</t>
        </is>
      </c>
      <c r="G783" t="inlineStr">
        <is>
          <t>KALMAR</t>
        </is>
      </c>
      <c r="I783" t="n">
        <v>3.3</v>
      </c>
      <c r="J783" t="n">
        <v>0</v>
      </c>
      <c r="K783" t="n">
        <v>1</v>
      </c>
      <c r="L783" t="n">
        <v>1</v>
      </c>
      <c r="M783" t="n">
        <v>0</v>
      </c>
      <c r="N783" t="n">
        <v>0</v>
      </c>
      <c r="O783" t="n">
        <v>0</v>
      </c>
      <c r="P783" t="n">
        <v>0</v>
      </c>
      <c r="Q783" t="n">
        <v>1</v>
      </c>
      <c r="R783" t="n">
        <v>0</v>
      </c>
      <c r="S783" t="n">
        <v>2</v>
      </c>
      <c r="T783" t="n">
        <v>2</v>
      </c>
      <c r="U783" t="n">
        <v>0</v>
      </c>
      <c r="V783" s="2" t="inlineStr">
        <is>
          <t>Jungfrulin
Vitvaxing agg.</t>
        </is>
      </c>
      <c r="W783">
        <f>HYPERLINK("https://klasma.github.io/Logging_0880/artfynd/S 2534-2024 artfynd.xlsx", "S 2534-2024")</f>
        <v/>
      </c>
      <c r="X783">
        <f>HYPERLINK("https://klasma.github.io/Logging_0880/kartor/S 2534-2024 karta.png", "S 2534-2024")</f>
        <v/>
      </c>
      <c r="Y783">
        <f>HYPERLINK("https://klasma.github.io/Logging_0880/kartor_geotiff/S 2534-2024 georefererad karta.tif", "S 2534-2024")</f>
        <v/>
      </c>
      <c r="AA783">
        <f>HYPERLINK("https://klasma.github.io/Logging_0880/klagomål/S 2534-2024 FSC-klagomål.docx", "S 2534-2024")</f>
        <v/>
      </c>
      <c r="AB783">
        <f>HYPERLINK("https://klasma.github.io/Logging_0880/klagomålsmail/S 2534-2024 FSC-klagomål mail.docx", "S 2534-2024")</f>
        <v/>
      </c>
      <c r="AC783">
        <f>HYPERLINK("https://klasma.github.io/Logging_0880/tillsyn/S 2534-2024 tillsynsbegäran.docx", "S 2534-2024")</f>
        <v/>
      </c>
      <c r="AD783">
        <f>HYPERLINK("https://klasma.github.io/Logging_0880/tillsynsmail/S 2534-2024 tillsynsbegäran mail.docx", "S 2534-2024")</f>
        <v/>
      </c>
    </row>
    <row r="784" ht="15" customHeight="1">
      <c r="A784" t="inlineStr">
        <is>
          <t>S 318-2025</t>
        </is>
      </c>
      <c r="B784" t="inlineStr">
        <is>
          <t>samrådsanmälan</t>
        </is>
      </c>
      <c r="C784" t="inlineStr">
        <is>
          <t>Askåterföring</t>
        </is>
      </c>
      <c r="D784" s="1" t="n">
        <v>45688</v>
      </c>
      <c r="E784" s="1" t="n">
        <v>46323</v>
      </c>
      <c r="F784" t="inlineStr">
        <is>
          <t>KALMAR LÄN</t>
        </is>
      </c>
      <c r="G784" t="inlineStr">
        <is>
          <t>MÖNSTERÅS</t>
        </is>
      </c>
      <c r="I784" t="n">
        <v>4.1</v>
      </c>
      <c r="J784" t="n">
        <v>2</v>
      </c>
      <c r="K784" t="n">
        <v>0</v>
      </c>
      <c r="L784" t="n">
        <v>1</v>
      </c>
      <c r="M784" t="n">
        <v>0</v>
      </c>
      <c r="N784" t="n">
        <v>0</v>
      </c>
      <c r="O784" t="n">
        <v>0</v>
      </c>
      <c r="P784" t="n">
        <v>0</v>
      </c>
      <c r="Q784" t="n">
        <v>1</v>
      </c>
      <c r="R784" t="n">
        <v>0</v>
      </c>
      <c r="S784" t="n">
        <v>2</v>
      </c>
      <c r="T784" t="n">
        <v>2</v>
      </c>
      <c r="U784" t="n">
        <v>0</v>
      </c>
      <c r="V784" s="2" t="inlineStr">
        <is>
          <t>Talltita
Spillkråka</t>
        </is>
      </c>
      <c r="W784">
        <f>HYPERLINK("https://klasma.github.io/Logging_0861/artfynd/S 318-2025 artfynd.xlsx", "S 318-2025")</f>
        <v/>
      </c>
      <c r="X784">
        <f>HYPERLINK("https://klasma.github.io/Logging_0861/kartor/S 318-2025 karta.png", "S 318-2025")</f>
        <v/>
      </c>
      <c r="Y784">
        <f>HYPERLINK("https://klasma.github.io/Logging_0861/kartor_geotiff/S 318-2025 georefererad karta.tif", "S 318-2025")</f>
        <v/>
      </c>
      <c r="AA784">
        <f>HYPERLINK("https://klasma.github.io/Logging_0861/klagomål/S 318-2025 FSC-klagomål.docx", "S 318-2025")</f>
        <v/>
      </c>
      <c r="AB784">
        <f>HYPERLINK("https://klasma.github.io/Logging_0861/klagomålsmail/S 318-2025 FSC-klagomål mail.docx", "S 318-2025")</f>
        <v/>
      </c>
      <c r="AC784">
        <f>HYPERLINK("https://klasma.github.io/Logging_0861/tillsyn/S 318-2025 tillsynsbegäran.docx", "S 318-2025")</f>
        <v/>
      </c>
      <c r="AD784">
        <f>HYPERLINK("https://klasma.github.io/Logging_0861/tillsynsmail/S 318-2025 tillsynsbegäran mail.docx", "S 318-2025")</f>
        <v/>
      </c>
      <c r="AE784">
        <f>HYPERLINK("https://klasma.github.io/Logging_0861/fåglar/S 318-2025 prioriterade fågelarter.docx", "S 318-2025")</f>
        <v/>
      </c>
    </row>
    <row r="785" ht="15" customHeight="1">
      <c r="A785" t="inlineStr">
        <is>
          <t>S 5958-2022</t>
        </is>
      </c>
      <c r="B785" t="inlineStr">
        <is>
          <t>samrådsanmälan</t>
        </is>
      </c>
      <c r="C785" t="inlineStr">
        <is>
          <t>Annan skogsbruksåtgärd</t>
        </is>
      </c>
      <c r="D785" s="1" t="n">
        <v>44860</v>
      </c>
      <c r="E785" s="1" t="n">
        <v>46323</v>
      </c>
      <c r="F785" t="inlineStr">
        <is>
          <t>KALMAR LÄN</t>
        </is>
      </c>
      <c r="G785" t="inlineStr">
        <is>
          <t>NYBRO</t>
        </is>
      </c>
      <c r="I785" t="n">
        <v>2.6</v>
      </c>
      <c r="J785" t="n">
        <v>1</v>
      </c>
      <c r="K785" t="n">
        <v>0</v>
      </c>
      <c r="L785" t="n">
        <v>0</v>
      </c>
      <c r="M785" t="n">
        <v>0</v>
      </c>
      <c r="N785" t="n">
        <v>1</v>
      </c>
      <c r="O785" t="n">
        <v>0</v>
      </c>
      <c r="P785" t="n">
        <v>0</v>
      </c>
      <c r="Q785" t="n">
        <v>1</v>
      </c>
      <c r="R785" t="n">
        <v>1</v>
      </c>
      <c r="S785" t="n">
        <v>2</v>
      </c>
      <c r="T785" t="n">
        <v>9</v>
      </c>
      <c r="U785" t="n">
        <v>0</v>
      </c>
      <c r="V785" s="2" t="inlineStr">
        <is>
          <t>Ask
Huggorm</t>
        </is>
      </c>
      <c r="W785">
        <f>HYPERLINK("https://klasma.github.io/Logging_0881/artfynd/S 5958-2022 artfynd.xlsx", "S 5958-2022")</f>
        <v/>
      </c>
      <c r="X785">
        <f>HYPERLINK("https://klasma.github.io/Logging_0881/kartor/S 5958-2022 karta.png", "S 5958-2022")</f>
        <v/>
      </c>
      <c r="Y785">
        <f>HYPERLINK("https://klasma.github.io/Logging_0881/kartor_geotiff/S 5958-2022 georefererad karta.tif", "S 5958-2022")</f>
        <v/>
      </c>
      <c r="AA785">
        <f>HYPERLINK("https://klasma.github.io/Logging_0881/klagomål/S 5958-2022 FSC-klagomål.docx", "S 5958-2022")</f>
        <v/>
      </c>
      <c r="AB785">
        <f>HYPERLINK("https://klasma.github.io/Logging_0881/klagomålsmail/S 5958-2022 FSC-klagomål mail.docx", "S 5958-2022")</f>
        <v/>
      </c>
      <c r="AC785">
        <f>HYPERLINK("https://klasma.github.io/Logging_0881/tillsyn/S 5958-2022 tillsynsbegäran.docx", "S 5958-2022")</f>
        <v/>
      </c>
      <c r="AD785">
        <f>HYPERLINK("https://klasma.github.io/Logging_0881/tillsynsmail/S 5958-2022 tillsynsbegäran mail.docx", "S 5958-2022")</f>
        <v/>
      </c>
    </row>
    <row r="786" ht="15" customHeight="1">
      <c r="A786" t="inlineStr">
        <is>
          <t>S 2345-2024</t>
        </is>
      </c>
      <c r="B786" t="inlineStr">
        <is>
          <t>samrådsanmälan</t>
        </is>
      </c>
      <c r="C786" t="inlineStr">
        <is>
          <t>Annan skogsbruksåtgärd</t>
        </is>
      </c>
      <c r="D786" s="1" t="n">
        <v>45467</v>
      </c>
      <c r="E786" s="1" t="n">
        <v>46323</v>
      </c>
      <c r="F786" t="inlineStr">
        <is>
          <t>KALMAR LÄN</t>
        </is>
      </c>
      <c r="G786" t="inlineStr">
        <is>
          <t>VÄSTERVIK</t>
        </is>
      </c>
      <c r="H786" t="inlineStr">
        <is>
          <t>Kommuner</t>
        </is>
      </c>
      <c r="I786" t="n">
        <v>3</v>
      </c>
      <c r="J786" t="n">
        <v>2</v>
      </c>
      <c r="K786" t="n">
        <v>0</v>
      </c>
      <c r="L786" t="n">
        <v>0</v>
      </c>
      <c r="M786" t="n">
        <v>0</v>
      </c>
      <c r="N786" t="n">
        <v>0</v>
      </c>
      <c r="O786" t="n">
        <v>0</v>
      </c>
      <c r="P786" t="n">
        <v>0</v>
      </c>
      <c r="Q786" t="n">
        <v>0</v>
      </c>
      <c r="R786" t="n">
        <v>0</v>
      </c>
      <c r="S786" t="n">
        <v>2</v>
      </c>
      <c r="T786" t="n">
        <v>2</v>
      </c>
      <c r="U786" t="n">
        <v>2</v>
      </c>
      <c r="V786" s="2" t="inlineStr">
        <is>
          <t>Grönsiska
Vanlig padda</t>
        </is>
      </c>
      <c r="W786">
        <f>HYPERLINK("https://klasma.github.io/Logging_0883/artfynd/S 2345-2024 artfynd.xlsx", "S 2345-2024")</f>
        <v/>
      </c>
      <c r="X786">
        <f>HYPERLINK("https://klasma.github.io/Logging_0883/kartor/S 2345-2024 karta.png", "S 2345-2024")</f>
        <v/>
      </c>
      <c r="Y786">
        <f>HYPERLINK("https://klasma.github.io/Logging_0883/kartor_geotiff/S 2345-2024 georefererad karta.tif", "S 2345-2024")</f>
        <v/>
      </c>
      <c r="AA786">
        <f>HYPERLINK("https://klasma.github.io/Logging_0883/klagomål/S 2345-2024 FSC-klagomål.docx", "S 2345-2024")</f>
        <v/>
      </c>
      <c r="AB786">
        <f>HYPERLINK("https://klasma.github.io/Logging_0883/klagomålsmail/S 2345-2024 FSC-klagomål mail.docx", "S 2345-2024")</f>
        <v/>
      </c>
      <c r="AC786">
        <f>HYPERLINK("https://klasma.github.io/Logging_0883/tillsyn/S 2345-2024 tillsynsbegäran.docx", "S 2345-2024")</f>
        <v/>
      </c>
      <c r="AD786">
        <f>HYPERLINK("https://klasma.github.io/Logging_0883/tillsynsmail/S 2345-2024 tillsynsbegäran mail.docx", "S 2345-2024")</f>
        <v/>
      </c>
    </row>
    <row r="787" ht="15" customHeight="1">
      <c r="A787" t="inlineStr">
        <is>
          <t>S 57-2023</t>
        </is>
      </c>
      <c r="B787" t="inlineStr">
        <is>
          <t>samrådsanmälan</t>
        </is>
      </c>
      <c r="C787" t="inlineStr">
        <is>
          <t>Askåterföring</t>
        </is>
      </c>
      <c r="D787" s="1" t="n">
        <v>44928</v>
      </c>
      <c r="E787" s="1" t="n">
        <v>46323</v>
      </c>
      <c r="F787" t="inlineStr">
        <is>
          <t>KALMAR LÄN</t>
        </is>
      </c>
      <c r="G787" t="inlineStr">
        <is>
          <t>TORSÅS</t>
        </is>
      </c>
      <c r="I787" t="n">
        <v>41.2</v>
      </c>
      <c r="J787" t="n">
        <v>2</v>
      </c>
      <c r="K787" t="n">
        <v>0</v>
      </c>
      <c r="L787" t="n">
        <v>0</v>
      </c>
      <c r="M787" t="n">
        <v>0</v>
      </c>
      <c r="N787" t="n">
        <v>0</v>
      </c>
      <c r="O787" t="n">
        <v>0</v>
      </c>
      <c r="P787" t="n">
        <v>0</v>
      </c>
      <c r="Q787" t="n">
        <v>0</v>
      </c>
      <c r="R787" t="n">
        <v>0</v>
      </c>
      <c r="S787" t="n">
        <v>2</v>
      </c>
      <c r="T787" t="n">
        <v>2</v>
      </c>
      <c r="U787" t="n">
        <v>0</v>
      </c>
      <c r="V787" s="2" t="inlineStr">
        <is>
          <t>Bred paljettdykare
Bredkantad dykare</t>
        </is>
      </c>
      <c r="W787">
        <f>HYPERLINK("https://klasma.github.io/Logging_0834/artfynd/S 57-2023 artfynd.xlsx", "S 57-2023")</f>
        <v/>
      </c>
      <c r="X787">
        <f>HYPERLINK("https://klasma.github.io/Logging_0834/kartor/S 57-2023 karta.png", "S 57-2023")</f>
        <v/>
      </c>
      <c r="Y787">
        <f>HYPERLINK("https://klasma.github.io/Logging_0834/kartor_geotiff/S 57-2023 georefererad karta.tif", "S 57-2023")</f>
        <v/>
      </c>
      <c r="AA787">
        <f>HYPERLINK("https://klasma.github.io/Logging_0834/klagomål/S 57-2023 FSC-klagomål.docx", "S 57-2023")</f>
        <v/>
      </c>
      <c r="AB787">
        <f>HYPERLINK("https://klasma.github.io/Logging_0834/klagomålsmail/S 57-2023 FSC-klagomål mail.docx", "S 57-2023")</f>
        <v/>
      </c>
      <c r="AC787">
        <f>HYPERLINK("https://klasma.github.io/Logging_0834/tillsyn/S 57-2023 tillsynsbegäran.docx", "S 57-2023")</f>
        <v/>
      </c>
      <c r="AD787">
        <f>HYPERLINK("https://klasma.github.io/Logging_0834/tillsynsmail/S 57-2023 tillsynsbegäran mail.docx", "S 57-2023")</f>
        <v/>
      </c>
    </row>
    <row r="788" ht="15" customHeight="1">
      <c r="A788" t="inlineStr">
        <is>
          <t>S 2046-2024</t>
        </is>
      </c>
      <c r="B788" t="inlineStr">
        <is>
          <t>samrådsanmälan</t>
        </is>
      </c>
      <c r="C788" t="inlineStr">
        <is>
          <t>Askåterföring</t>
        </is>
      </c>
      <c r="D788" s="1" t="n">
        <v>45448</v>
      </c>
      <c r="E788" s="1" t="n">
        <v>46323</v>
      </c>
      <c r="F788" t="inlineStr">
        <is>
          <t>KALMAR LÄN</t>
        </is>
      </c>
      <c r="G788" t="inlineStr">
        <is>
          <t>KALMAR</t>
        </is>
      </c>
      <c r="I788" t="n">
        <v>20.7</v>
      </c>
      <c r="J788" t="n">
        <v>1</v>
      </c>
      <c r="K788" t="n">
        <v>0</v>
      </c>
      <c r="L788" t="n">
        <v>1</v>
      </c>
      <c r="M788" t="n">
        <v>0</v>
      </c>
      <c r="N788" t="n">
        <v>0</v>
      </c>
      <c r="O788" t="n">
        <v>0</v>
      </c>
      <c r="P788" t="n">
        <v>0</v>
      </c>
      <c r="Q788" t="n">
        <v>1</v>
      </c>
      <c r="R788" t="n">
        <v>0</v>
      </c>
      <c r="S788" t="n">
        <v>2</v>
      </c>
      <c r="T788" t="n">
        <v>2</v>
      </c>
      <c r="U788" t="n">
        <v>0</v>
      </c>
      <c r="V788" s="2" t="inlineStr">
        <is>
          <t>Hydrochus elongatus
Bred paljettdykare</t>
        </is>
      </c>
      <c r="W788">
        <f>HYPERLINK("https://klasma.github.io/Logging_0880/artfynd/S 2046-2024 artfynd.xlsx", "S 2046-2024")</f>
        <v/>
      </c>
      <c r="X788">
        <f>HYPERLINK("https://klasma.github.io/Logging_0880/kartor/S 2046-2024 karta.png", "S 2046-2024")</f>
        <v/>
      </c>
      <c r="Y788">
        <f>HYPERLINK("https://klasma.github.io/Logging_0880/kartor_geotiff/S 2046-2024 georefererad karta.tif", "S 2046-2024")</f>
        <v/>
      </c>
      <c r="AA788">
        <f>HYPERLINK("https://klasma.github.io/Logging_0880/klagomål/S 2046-2024 FSC-klagomål.docx", "S 2046-2024")</f>
        <v/>
      </c>
      <c r="AB788">
        <f>HYPERLINK("https://klasma.github.io/Logging_0880/klagomålsmail/S 2046-2024 FSC-klagomål mail.docx", "S 2046-2024")</f>
        <v/>
      </c>
      <c r="AC788">
        <f>HYPERLINK("https://klasma.github.io/Logging_0880/tillsyn/S 2046-2024 tillsynsbegäran.docx", "S 2046-2024")</f>
        <v/>
      </c>
      <c r="AD788">
        <f>HYPERLINK("https://klasma.github.io/Logging_0880/tillsynsmail/S 2046-2024 tillsynsbegäran mail.docx", "S 2046-2024")</f>
        <v/>
      </c>
    </row>
    <row r="789" ht="15" customHeight="1">
      <c r="A789" t="inlineStr">
        <is>
          <t>S 47-2023</t>
        </is>
      </c>
      <c r="B789" t="inlineStr">
        <is>
          <t>samrådsanmälan</t>
        </is>
      </c>
      <c r="C789" t="inlineStr">
        <is>
          <t>Askåterföring</t>
        </is>
      </c>
      <c r="D789" s="1" t="n">
        <v>44928</v>
      </c>
      <c r="E789" s="1" t="n">
        <v>46323</v>
      </c>
      <c r="F789" t="inlineStr">
        <is>
          <t>KALMAR LÄN</t>
        </is>
      </c>
      <c r="G789" t="inlineStr">
        <is>
          <t>TORSÅS</t>
        </is>
      </c>
      <c r="I789" t="n">
        <v>44.3</v>
      </c>
      <c r="J789" t="n">
        <v>0</v>
      </c>
      <c r="K789" t="n">
        <v>1</v>
      </c>
      <c r="L789" t="n">
        <v>1</v>
      </c>
      <c r="M789" t="n">
        <v>0</v>
      </c>
      <c r="N789" t="n">
        <v>0</v>
      </c>
      <c r="O789" t="n">
        <v>0</v>
      </c>
      <c r="P789" t="n">
        <v>0</v>
      </c>
      <c r="Q789" t="n">
        <v>1</v>
      </c>
      <c r="R789" t="n">
        <v>0</v>
      </c>
      <c r="S789" t="n">
        <v>2</v>
      </c>
      <c r="T789" t="n">
        <v>6</v>
      </c>
      <c r="U789" t="n">
        <v>6</v>
      </c>
      <c r="V789" s="2" t="inlineStr">
        <is>
          <t>Kavelhirs
Blåmossa</t>
        </is>
      </c>
      <c r="W789">
        <f>HYPERLINK("https://klasma.github.io/Logging_0834/artfynd/S 47-2023 artfynd.xlsx", "S 47-2023")</f>
        <v/>
      </c>
      <c r="X789">
        <f>HYPERLINK("https://klasma.github.io/Logging_0834/kartor/S 47-2023 karta.png", "S 47-2023")</f>
        <v/>
      </c>
      <c r="Y789">
        <f>HYPERLINK("https://klasma.github.io/Logging_0834/kartor_geotiff/S 47-2023 georefererad karta.tif", "S 47-2023")</f>
        <v/>
      </c>
      <c r="AA789">
        <f>HYPERLINK("https://klasma.github.io/Logging_0834/klagomål/S 47-2023 FSC-klagomål.docx", "S 47-2023")</f>
        <v/>
      </c>
      <c r="AB789">
        <f>HYPERLINK("https://klasma.github.io/Logging_0834/klagomålsmail/S 47-2023 FSC-klagomål mail.docx", "S 47-2023")</f>
        <v/>
      </c>
      <c r="AC789">
        <f>HYPERLINK("https://klasma.github.io/Logging_0834/tillsyn/S 47-2023 tillsynsbegäran.docx", "S 47-2023")</f>
        <v/>
      </c>
      <c r="AD789">
        <f>HYPERLINK("https://klasma.github.io/Logging_0834/tillsynsmail/S 47-2023 tillsynsbegäran mail.docx", "S 47-2023")</f>
        <v/>
      </c>
    </row>
    <row r="790" ht="15" customHeight="1">
      <c r="A790" t="inlineStr">
        <is>
          <t>S 1127-2025</t>
        </is>
      </c>
      <c r="B790" t="inlineStr">
        <is>
          <t>samrådsanmälan</t>
        </is>
      </c>
      <c r="C790" t="inlineStr">
        <is>
          <t>Annan skogsbruksåtgärd</t>
        </is>
      </c>
      <c r="D790" s="1" t="n">
        <v>45755</v>
      </c>
      <c r="E790" s="1" t="n">
        <v>46323</v>
      </c>
      <c r="F790" t="inlineStr">
        <is>
          <t>KALMAR LÄN</t>
        </is>
      </c>
      <c r="G790" t="inlineStr">
        <is>
          <t>HULTSFRED</t>
        </is>
      </c>
      <c r="H790" t="inlineStr">
        <is>
          <t>Sveaskog</t>
        </is>
      </c>
      <c r="I790" t="n">
        <v>7.4</v>
      </c>
      <c r="J790" t="n">
        <v>1</v>
      </c>
      <c r="K790" t="n">
        <v>0</v>
      </c>
      <c r="L790" t="n">
        <v>1</v>
      </c>
      <c r="M790" t="n">
        <v>0</v>
      </c>
      <c r="N790" t="n">
        <v>0</v>
      </c>
      <c r="O790" t="n">
        <v>0</v>
      </c>
      <c r="P790" t="n">
        <v>0</v>
      </c>
      <c r="Q790" t="n">
        <v>1</v>
      </c>
      <c r="R790" t="n">
        <v>0</v>
      </c>
      <c r="S790" t="n">
        <v>2</v>
      </c>
      <c r="T790" t="n">
        <v>2</v>
      </c>
      <c r="U790" t="n">
        <v>1</v>
      </c>
      <c r="V790" s="2" t="inlineStr">
        <is>
          <t>Åkerrödtoppa
Vanlig snok</t>
        </is>
      </c>
      <c r="W790">
        <f>HYPERLINK("https://klasma.github.io/Logging_0860/artfynd/S 1127-2025 artfynd.xlsx", "S 1127-2025")</f>
        <v/>
      </c>
      <c r="X790">
        <f>HYPERLINK("https://klasma.github.io/Logging_0860/kartor/S 1127-2025 karta.png", "S 1127-2025")</f>
        <v/>
      </c>
      <c r="Y790">
        <f>HYPERLINK("https://klasma.github.io/Logging_0860/kartor_geotiff/S 1127-2025 georefererad karta.tif", "S 1127-2025")</f>
        <v/>
      </c>
      <c r="AA790">
        <f>HYPERLINK("https://klasma.github.io/Logging_0860/klagomål/S 1127-2025 FSC-klagomål.docx", "S 1127-2025")</f>
        <v/>
      </c>
      <c r="AB790">
        <f>HYPERLINK("https://klasma.github.io/Logging_0860/klagomålsmail/S 1127-2025 FSC-klagomål mail.docx", "S 1127-2025")</f>
        <v/>
      </c>
      <c r="AC790">
        <f>HYPERLINK("https://klasma.github.io/Logging_0860/tillsyn/S 1127-2025 tillsynsbegäran.docx", "S 1127-2025")</f>
        <v/>
      </c>
      <c r="AD790">
        <f>HYPERLINK("https://klasma.github.io/Logging_0860/tillsynsmail/S 1127-2025 tillsynsbegäran mail.docx", "S 1127-2025")</f>
        <v/>
      </c>
    </row>
    <row r="791" ht="15" customHeight="1">
      <c r="A791" t="inlineStr">
        <is>
          <t>S 1228-2025</t>
        </is>
      </c>
      <c r="B791" t="inlineStr">
        <is>
          <t>samrådsanmälan</t>
        </is>
      </c>
      <c r="C791" t="inlineStr">
        <is>
          <t>Annan skogsbruksåtgärd</t>
        </is>
      </c>
      <c r="D791" s="1" t="n">
        <v>45761</v>
      </c>
      <c r="E791" s="1" t="n">
        <v>46323</v>
      </c>
      <c r="F791" t="inlineStr">
        <is>
          <t>KALMAR LÄN</t>
        </is>
      </c>
      <c r="G791" t="inlineStr">
        <is>
          <t>VIMMERBY</t>
        </is>
      </c>
      <c r="H791" t="inlineStr">
        <is>
          <t>Sveaskog</t>
        </is>
      </c>
      <c r="I791" t="n">
        <v>4</v>
      </c>
      <c r="J791" t="n">
        <v>1</v>
      </c>
      <c r="K791" t="n">
        <v>0</v>
      </c>
      <c r="L791" t="n">
        <v>1</v>
      </c>
      <c r="M791" t="n">
        <v>1</v>
      </c>
      <c r="N791" t="n">
        <v>0</v>
      </c>
      <c r="O791" t="n">
        <v>0</v>
      </c>
      <c r="P791" t="n">
        <v>0</v>
      </c>
      <c r="Q791" t="n">
        <v>2</v>
      </c>
      <c r="R791" t="n">
        <v>1</v>
      </c>
      <c r="S791" t="n">
        <v>2</v>
      </c>
      <c r="T791" t="n">
        <v>2</v>
      </c>
      <c r="U791" t="n">
        <v>0</v>
      </c>
      <c r="V791" s="2" t="inlineStr">
        <is>
          <t>Barrskogsspinnare
Talltita</t>
        </is>
      </c>
      <c r="W791">
        <f>HYPERLINK("https://klasma.github.io/Logging_0884/artfynd/S 1228-2025 artfynd.xlsx", "S 1228-2025")</f>
        <v/>
      </c>
      <c r="X791">
        <f>HYPERLINK("https://klasma.github.io/Logging_0884/kartor/S 1228-2025 karta.png", "S 1228-2025")</f>
        <v/>
      </c>
      <c r="Y791">
        <f>HYPERLINK("https://klasma.github.io/Logging_0884/kartor_geotiff/S 1228-2025 georefererad karta.tif", "S 1228-2025")</f>
        <v/>
      </c>
      <c r="AA791">
        <f>HYPERLINK("https://klasma.github.io/Logging_0884/klagomål/S 1228-2025 FSC-klagomål.docx", "S 1228-2025")</f>
        <v/>
      </c>
      <c r="AB791">
        <f>HYPERLINK("https://klasma.github.io/Logging_0884/klagomålsmail/S 1228-2025 FSC-klagomål mail.docx", "S 1228-2025")</f>
        <v/>
      </c>
      <c r="AC791">
        <f>HYPERLINK("https://klasma.github.io/Logging_0884/tillsyn/S 1228-2025 tillsynsbegäran.docx", "S 1228-2025")</f>
        <v/>
      </c>
      <c r="AD791">
        <f>HYPERLINK("https://klasma.github.io/Logging_0884/tillsynsmail/S 1228-2025 tillsynsbegäran mail.docx", "S 1228-2025")</f>
        <v/>
      </c>
      <c r="AE791">
        <f>HYPERLINK("https://klasma.github.io/Logging_0884/fåglar/S 1228-2025 prioriterade fågelarter.docx", "S 1228-2025")</f>
        <v/>
      </c>
    </row>
    <row r="792" ht="15" customHeight="1">
      <c r="A792" t="inlineStr">
        <is>
          <t>S 1245-2025</t>
        </is>
      </c>
      <c r="B792" t="inlineStr">
        <is>
          <t>samrådsanmälan</t>
        </is>
      </c>
      <c r="C792" t="inlineStr">
        <is>
          <t>Annan skogsbruksåtgärd</t>
        </is>
      </c>
      <c r="D792" s="1" t="n">
        <v>45762</v>
      </c>
      <c r="E792" s="1" t="n">
        <v>46323</v>
      </c>
      <c r="F792" t="inlineStr">
        <is>
          <t>KALMAR LÄN</t>
        </is>
      </c>
      <c r="G792" t="inlineStr">
        <is>
          <t>VÄSTERVIK</t>
        </is>
      </c>
      <c r="I792" t="n">
        <v>5.5</v>
      </c>
      <c r="J792" t="n">
        <v>0</v>
      </c>
      <c r="K792" t="n">
        <v>0</v>
      </c>
      <c r="L792" t="n">
        <v>2</v>
      </c>
      <c r="M792" t="n">
        <v>0</v>
      </c>
      <c r="N792" t="n">
        <v>0</v>
      </c>
      <c r="O792" t="n">
        <v>0</v>
      </c>
      <c r="P792" t="n">
        <v>0</v>
      </c>
      <c r="Q792" t="n">
        <v>2</v>
      </c>
      <c r="R792" t="n">
        <v>0</v>
      </c>
      <c r="S792" t="n">
        <v>2</v>
      </c>
      <c r="T792" t="n">
        <v>3</v>
      </c>
      <c r="U792" t="n">
        <v>0</v>
      </c>
      <c r="V792" s="2" t="inlineStr">
        <is>
          <t>Lunglav
Vårärt</t>
        </is>
      </c>
      <c r="W792">
        <f>HYPERLINK("https://klasma.github.io/Logging_0883/artfynd/S 1245-2025 artfynd.xlsx", "S 1245-2025")</f>
        <v/>
      </c>
      <c r="X792">
        <f>HYPERLINK("https://klasma.github.io/Logging_0883/kartor/S 1245-2025 karta.png", "S 1245-2025")</f>
        <v/>
      </c>
      <c r="Y792">
        <f>HYPERLINK("https://klasma.github.io/Logging_0883/kartor_geotiff/S 1245-2025 georefererad karta.tif", "S 1245-2025")</f>
        <v/>
      </c>
      <c r="AA792">
        <f>HYPERLINK("https://klasma.github.io/Logging_0883/klagomål/S 1245-2025 FSC-klagomål.docx", "S 1245-2025")</f>
        <v/>
      </c>
      <c r="AB792">
        <f>HYPERLINK("https://klasma.github.io/Logging_0883/klagomålsmail/S 1245-2025 FSC-klagomål mail.docx", "S 1245-2025")</f>
        <v/>
      </c>
      <c r="AC792">
        <f>HYPERLINK("https://klasma.github.io/Logging_0883/tillsyn/S 1245-2025 tillsynsbegäran.docx", "S 1245-2025")</f>
        <v/>
      </c>
      <c r="AD792">
        <f>HYPERLINK("https://klasma.github.io/Logging_0883/tillsynsmail/S 1245-2025 tillsynsbegäran mail.docx", "S 1245-2025")</f>
        <v/>
      </c>
    </row>
    <row r="793" ht="15" customHeight="1">
      <c r="A793" t="inlineStr">
        <is>
          <t>S 730-2025</t>
        </is>
      </c>
      <c r="B793" t="inlineStr">
        <is>
          <t>samrådsanmälan</t>
        </is>
      </c>
      <c r="C793" t="inlineStr">
        <is>
          <t>Askåterföring</t>
        </is>
      </c>
      <c r="D793" s="1" t="n">
        <v>45722</v>
      </c>
      <c r="E793" s="1" t="n">
        <v>46323</v>
      </c>
      <c r="F793" t="inlineStr">
        <is>
          <t>KALMAR LÄN</t>
        </is>
      </c>
      <c r="G793" t="inlineStr">
        <is>
          <t>VÄSTERVIK</t>
        </is>
      </c>
      <c r="I793" t="n">
        <v>15.4</v>
      </c>
      <c r="J793" t="n">
        <v>0</v>
      </c>
      <c r="K793" t="n">
        <v>1</v>
      </c>
      <c r="L793" t="n">
        <v>1</v>
      </c>
      <c r="M793" t="n">
        <v>0</v>
      </c>
      <c r="N793" t="n">
        <v>0</v>
      </c>
      <c r="O793" t="n">
        <v>0</v>
      </c>
      <c r="P793" t="n">
        <v>0</v>
      </c>
      <c r="Q793" t="n">
        <v>1</v>
      </c>
      <c r="R793" t="n">
        <v>0</v>
      </c>
      <c r="S793" t="n">
        <v>2</v>
      </c>
      <c r="T793" t="n">
        <v>2</v>
      </c>
      <c r="U793" t="n">
        <v>1</v>
      </c>
      <c r="V793" s="2" t="inlineStr">
        <is>
          <t>Slåtterfibbla
Grönpyrola</t>
        </is>
      </c>
      <c r="W793">
        <f>HYPERLINK("https://klasma.github.io/Logging_0883/artfynd/S 730-2025 artfynd.xlsx", "S 730-2025")</f>
        <v/>
      </c>
      <c r="X793">
        <f>HYPERLINK("https://klasma.github.io/Logging_0883/kartor/S 730-2025 karta.png", "S 730-2025")</f>
        <v/>
      </c>
      <c r="Y793">
        <f>HYPERLINK("https://klasma.github.io/Logging_0883/kartor_geotiff/S 730-2025 georefererad karta.tif", "S 730-2025")</f>
        <v/>
      </c>
      <c r="AA793">
        <f>HYPERLINK("https://klasma.github.io/Logging_0883/klagomål/S 730-2025 FSC-klagomål.docx", "S 730-2025")</f>
        <v/>
      </c>
      <c r="AB793">
        <f>HYPERLINK("https://klasma.github.io/Logging_0883/klagomålsmail/S 730-2025 FSC-klagomål mail.docx", "S 730-2025")</f>
        <v/>
      </c>
      <c r="AC793">
        <f>HYPERLINK("https://klasma.github.io/Logging_0883/tillsyn/S 730-2025 tillsynsbegäran.docx", "S 730-2025")</f>
        <v/>
      </c>
      <c r="AD793">
        <f>HYPERLINK("https://klasma.github.io/Logging_0883/tillsynsmail/S 730-2025 tillsynsbegäran mail.docx", "S 730-2025")</f>
        <v/>
      </c>
    </row>
    <row r="794" ht="15" customHeight="1">
      <c r="A794" t="inlineStr">
        <is>
          <t>S 1541-2025</t>
        </is>
      </c>
      <c r="B794" t="inlineStr">
        <is>
          <t>samrådsanmälan</t>
        </is>
      </c>
      <c r="C794" t="inlineStr">
        <is>
          <t>Askåterföring</t>
        </is>
      </c>
      <c r="D794" s="1" t="n">
        <v>45792</v>
      </c>
      <c r="E794" s="1" t="n">
        <v>46323</v>
      </c>
      <c r="F794" t="inlineStr">
        <is>
          <t>KALMAR LÄN</t>
        </is>
      </c>
      <c r="G794" t="inlineStr">
        <is>
          <t>MÖNSTERÅS</t>
        </is>
      </c>
      <c r="I794" t="n">
        <v>27.2</v>
      </c>
      <c r="J794" t="n">
        <v>2</v>
      </c>
      <c r="K794" t="n">
        <v>0</v>
      </c>
      <c r="L794" t="n">
        <v>1</v>
      </c>
      <c r="M794" t="n">
        <v>0</v>
      </c>
      <c r="N794" t="n">
        <v>0</v>
      </c>
      <c r="O794" t="n">
        <v>0</v>
      </c>
      <c r="P794" t="n">
        <v>0</v>
      </c>
      <c r="Q794" t="n">
        <v>1</v>
      </c>
      <c r="R794" t="n">
        <v>0</v>
      </c>
      <c r="S794" t="n">
        <v>2</v>
      </c>
      <c r="T794" t="n">
        <v>2</v>
      </c>
      <c r="U794" t="n">
        <v>0</v>
      </c>
      <c r="V794" s="2" t="inlineStr">
        <is>
          <t>Talltita
Spillkråka</t>
        </is>
      </c>
      <c r="W794">
        <f>HYPERLINK("https://klasma.github.io/Logging_0861/artfynd/S 1541-2025 artfynd.xlsx", "S 1541-2025")</f>
        <v/>
      </c>
      <c r="X794">
        <f>HYPERLINK("https://klasma.github.io/Logging_0861/kartor/S 1541-2025 karta.png", "S 1541-2025")</f>
        <v/>
      </c>
      <c r="Y794">
        <f>HYPERLINK("https://klasma.github.io/Logging_0861/kartor_geotiff/S 1541-2025 georefererad karta.tif", "S 1541-2025")</f>
        <v/>
      </c>
      <c r="AA794">
        <f>HYPERLINK("https://klasma.github.io/Logging_0861/klagomål/S 1541-2025 FSC-klagomål.docx", "S 1541-2025")</f>
        <v/>
      </c>
      <c r="AB794">
        <f>HYPERLINK("https://klasma.github.io/Logging_0861/klagomålsmail/S 1541-2025 FSC-klagomål mail.docx", "S 1541-2025")</f>
        <v/>
      </c>
      <c r="AC794">
        <f>HYPERLINK("https://klasma.github.io/Logging_0861/tillsyn/S 1541-2025 tillsynsbegäran.docx", "S 1541-2025")</f>
        <v/>
      </c>
      <c r="AD794">
        <f>HYPERLINK("https://klasma.github.io/Logging_0861/tillsynsmail/S 1541-2025 tillsynsbegäran mail.docx", "S 1541-2025")</f>
        <v/>
      </c>
      <c r="AE794">
        <f>HYPERLINK("https://klasma.github.io/Logging_0861/fåglar/S 1541-2025 prioriterade fågelarter.docx", "S 1541-2025")</f>
        <v/>
      </c>
    </row>
    <row r="795" ht="15" customHeight="1">
      <c r="A795" t="inlineStr">
        <is>
          <t>S 1776-2025</t>
        </is>
      </c>
      <c r="B795" t="inlineStr">
        <is>
          <t>samrådsanmälan</t>
        </is>
      </c>
      <c r="C795" t="inlineStr">
        <is>
          <t>Askåterföring</t>
        </is>
      </c>
      <c r="D795" s="1" t="n">
        <v>45813</v>
      </c>
      <c r="E795" s="1" t="n">
        <v>46323</v>
      </c>
      <c r="F795" t="inlineStr">
        <is>
          <t>KALMAR LÄN</t>
        </is>
      </c>
      <c r="G795" t="inlineStr">
        <is>
          <t>NYBRO</t>
        </is>
      </c>
      <c r="I795" t="n">
        <v>42.7</v>
      </c>
      <c r="J795" t="n">
        <v>0</v>
      </c>
      <c r="K795" t="n">
        <v>1</v>
      </c>
      <c r="L795" t="n">
        <v>1</v>
      </c>
      <c r="M795" t="n">
        <v>0</v>
      </c>
      <c r="N795" t="n">
        <v>0</v>
      </c>
      <c r="O795" t="n">
        <v>0</v>
      </c>
      <c r="P795" t="n">
        <v>0</v>
      </c>
      <c r="Q795" t="n">
        <v>1</v>
      </c>
      <c r="R795" t="n">
        <v>0</v>
      </c>
      <c r="S795" t="n">
        <v>2</v>
      </c>
      <c r="T795" t="n">
        <v>2</v>
      </c>
      <c r="U795" t="n">
        <v>0</v>
      </c>
      <c r="V795" s="2" t="inlineStr">
        <is>
          <t>Loppstarr
Blåmossa</t>
        </is>
      </c>
      <c r="W795">
        <f>HYPERLINK("https://klasma.github.io/Logging_0881/artfynd/S 1776-2025 artfynd.xlsx", "S 1776-2025")</f>
        <v/>
      </c>
      <c r="X795">
        <f>HYPERLINK("https://klasma.github.io/Logging_0881/kartor/S 1776-2025 karta.png", "S 1776-2025")</f>
        <v/>
      </c>
      <c r="Y795">
        <f>HYPERLINK("https://klasma.github.io/Logging_0881/kartor_geotiff/S 1776-2025 georefererad karta.tif", "S 1776-2025")</f>
        <v/>
      </c>
      <c r="AA795">
        <f>HYPERLINK("https://klasma.github.io/Logging_0881/klagomål/S 1776-2025 FSC-klagomål.docx", "S 1776-2025")</f>
        <v/>
      </c>
      <c r="AB795">
        <f>HYPERLINK("https://klasma.github.io/Logging_0881/klagomålsmail/S 1776-2025 FSC-klagomål mail.docx", "S 1776-2025")</f>
        <v/>
      </c>
      <c r="AC795">
        <f>HYPERLINK("https://klasma.github.io/Logging_0881/tillsyn/S 1776-2025 tillsynsbegäran.docx", "S 1776-2025")</f>
        <v/>
      </c>
      <c r="AD795">
        <f>HYPERLINK("https://klasma.github.io/Logging_0881/tillsynsmail/S 1776-2025 tillsynsbegäran mail.docx", "S 1776-2025")</f>
        <v/>
      </c>
    </row>
    <row r="796" ht="15" customHeight="1">
      <c r="A796" t="inlineStr">
        <is>
          <t>S 2772-2025</t>
        </is>
      </c>
      <c r="B796" t="inlineStr">
        <is>
          <t>samrådsanmälan</t>
        </is>
      </c>
      <c r="C796" t="inlineStr">
        <is>
          <t>Annan skogsbruksåtgärd</t>
        </is>
      </c>
      <c r="D796" s="1" t="n">
        <v>45937</v>
      </c>
      <c r="E796" s="1" t="n">
        <v>46323</v>
      </c>
      <c r="F796" t="inlineStr">
        <is>
          <t>KALMAR LÄN</t>
        </is>
      </c>
      <c r="G796" t="inlineStr">
        <is>
          <t>VÄSTERVIK</t>
        </is>
      </c>
      <c r="H796" t="inlineStr">
        <is>
          <t>Sveaskog</t>
        </is>
      </c>
      <c r="I796" t="n">
        <v>1.9</v>
      </c>
      <c r="J796" t="n">
        <v>1</v>
      </c>
      <c r="K796" t="n">
        <v>1</v>
      </c>
      <c r="L796" t="n">
        <v>0</v>
      </c>
      <c r="M796" t="n">
        <v>0</v>
      </c>
      <c r="N796" t="n">
        <v>0</v>
      </c>
      <c r="O796" t="n">
        <v>0</v>
      </c>
      <c r="P796" t="n">
        <v>0</v>
      </c>
      <c r="Q796" t="n">
        <v>0</v>
      </c>
      <c r="R796" t="n">
        <v>0</v>
      </c>
      <c r="S796" t="n">
        <v>2</v>
      </c>
      <c r="T796" t="n">
        <v>2</v>
      </c>
      <c r="U796" t="n">
        <v>0</v>
      </c>
      <c r="V796" s="2" t="inlineStr">
        <is>
          <t>Fällmossa
Blåsippa</t>
        </is>
      </c>
      <c r="W796">
        <f>HYPERLINK("https://klasma.github.io/Logging_0883/artfynd/S 2772-2025 artfynd.xlsx", "S 2772-2025")</f>
        <v/>
      </c>
      <c r="X796">
        <f>HYPERLINK("https://klasma.github.io/Logging_0883/kartor/S 2772-2025 karta.png", "S 2772-2025")</f>
        <v/>
      </c>
      <c r="Y796">
        <f>HYPERLINK("https://klasma.github.io/Logging_0883/kartor_geotiff/S 2772-2025 georefererad karta.tif", "S 2772-2025")</f>
        <v/>
      </c>
      <c r="AA796">
        <f>HYPERLINK("https://klasma.github.io/Logging_0883/klagomål/S 2772-2025 FSC-klagomål.docx", "S 2772-2025")</f>
        <v/>
      </c>
      <c r="AB796">
        <f>HYPERLINK("https://klasma.github.io/Logging_0883/klagomålsmail/S 2772-2025 FSC-klagomål mail.docx", "S 2772-2025")</f>
        <v/>
      </c>
      <c r="AC796">
        <f>HYPERLINK("https://klasma.github.io/Logging_0883/tillsyn/S 2772-2025 tillsynsbegäran.docx", "S 2772-2025")</f>
        <v/>
      </c>
      <c r="AD796">
        <f>HYPERLINK("https://klasma.github.io/Logging_0883/tillsynsmail/S 2772-2025 tillsynsbegäran mail.docx", "S 2772-2025")</f>
        <v/>
      </c>
    </row>
    <row r="797" ht="15" customHeight="1">
      <c r="A797" t="inlineStr">
        <is>
          <t>S 2773-2025</t>
        </is>
      </c>
      <c r="B797" t="inlineStr">
        <is>
          <t>samrådsanmälan</t>
        </is>
      </c>
      <c r="C797" t="inlineStr">
        <is>
          <t>Annan skogsbruksåtgärd</t>
        </is>
      </c>
      <c r="D797" s="1" t="n">
        <v>45937</v>
      </c>
      <c r="E797" s="1" t="n">
        <v>46323</v>
      </c>
      <c r="F797" t="inlineStr">
        <is>
          <t>KALMAR LÄN</t>
        </is>
      </c>
      <c r="G797" t="inlineStr">
        <is>
          <t>VÄSTERVIK</t>
        </is>
      </c>
      <c r="H797" t="inlineStr">
        <is>
          <t>Sveaskog</t>
        </is>
      </c>
      <c r="I797" t="n">
        <v>1.4</v>
      </c>
      <c r="J797" t="n">
        <v>1</v>
      </c>
      <c r="K797" t="n">
        <v>1</v>
      </c>
      <c r="L797" t="n">
        <v>0</v>
      </c>
      <c r="M797" t="n">
        <v>0</v>
      </c>
      <c r="N797" t="n">
        <v>0</v>
      </c>
      <c r="O797" t="n">
        <v>0</v>
      </c>
      <c r="P797" t="n">
        <v>0</v>
      </c>
      <c r="Q797" t="n">
        <v>0</v>
      </c>
      <c r="R797" t="n">
        <v>0</v>
      </c>
      <c r="S797" t="n">
        <v>2</v>
      </c>
      <c r="T797" t="n">
        <v>2</v>
      </c>
      <c r="U797" t="n">
        <v>0</v>
      </c>
      <c r="V797" s="2" t="inlineStr">
        <is>
          <t>Fällmossa
Blåsippa</t>
        </is>
      </c>
      <c r="W797">
        <f>HYPERLINK("https://klasma.github.io/Logging_0883/artfynd/S 2773-2025 artfynd.xlsx", "S 2773-2025")</f>
        <v/>
      </c>
      <c r="X797">
        <f>HYPERLINK("https://klasma.github.io/Logging_0883/kartor/S 2773-2025 karta.png", "S 2773-2025")</f>
        <v/>
      </c>
      <c r="Y797">
        <f>HYPERLINK("https://klasma.github.io/Logging_0883/kartor_geotiff/S 2773-2025 georefererad karta.tif", "S 2773-2025")</f>
        <v/>
      </c>
      <c r="AA797">
        <f>HYPERLINK("https://klasma.github.io/Logging_0883/klagomål/S 2773-2025 FSC-klagomål.docx", "S 2773-2025")</f>
        <v/>
      </c>
      <c r="AB797">
        <f>HYPERLINK("https://klasma.github.io/Logging_0883/klagomålsmail/S 2773-2025 FSC-klagomål mail.docx", "S 2773-2025")</f>
        <v/>
      </c>
      <c r="AC797">
        <f>HYPERLINK("https://klasma.github.io/Logging_0883/tillsyn/S 2773-2025 tillsynsbegäran.docx", "S 2773-2025")</f>
        <v/>
      </c>
      <c r="AD797">
        <f>HYPERLINK("https://klasma.github.io/Logging_0883/tillsynsmail/S 2773-2025 tillsynsbegäran mail.docx", "S 2773-2025")</f>
        <v/>
      </c>
    </row>
    <row r="798" ht="15" customHeight="1">
      <c r="A798" t="inlineStr">
        <is>
          <t>S 328-2026</t>
        </is>
      </c>
      <c r="B798" t="inlineStr">
        <is>
          <t>samrådsanmälan</t>
        </is>
      </c>
      <c r="C798" t="inlineStr">
        <is>
          <t>Askåterföring</t>
        </is>
      </c>
      <c r="D798" s="1" t="n">
        <v>46062</v>
      </c>
      <c r="E798" s="1" t="n">
        <v>46323</v>
      </c>
      <c r="F798" t="inlineStr">
        <is>
          <t>KALMAR LÄN</t>
        </is>
      </c>
      <c r="G798" t="inlineStr">
        <is>
          <t>EMMABODA</t>
        </is>
      </c>
      <c r="I798" t="n">
        <v>26.5</v>
      </c>
      <c r="J798" t="n">
        <v>2</v>
      </c>
      <c r="K798" t="n">
        <v>0</v>
      </c>
      <c r="L798" t="n">
        <v>0</v>
      </c>
      <c r="M798" t="n">
        <v>1</v>
      </c>
      <c r="N798" t="n">
        <v>0</v>
      </c>
      <c r="O798" t="n">
        <v>0</v>
      </c>
      <c r="P798" t="n">
        <v>0</v>
      </c>
      <c r="Q798" t="n">
        <v>1</v>
      </c>
      <c r="R798" t="n">
        <v>1</v>
      </c>
      <c r="S798" t="n">
        <v>2</v>
      </c>
      <c r="T798" t="n">
        <v>5</v>
      </c>
      <c r="U798" t="n">
        <v>0</v>
      </c>
      <c r="V798" s="2" t="inlineStr">
        <is>
          <t>Knärot
Hårklomossa</t>
        </is>
      </c>
      <c r="W798">
        <f>HYPERLINK("https://klasma.github.io/Logging_0862/artfynd/S 328-2026 artfynd.xlsx", "S 328-2026")</f>
        <v/>
      </c>
      <c r="X798">
        <f>HYPERLINK("https://klasma.github.io/Logging_0862/kartor/S 328-2026 karta.png", "S 328-2026")</f>
        <v/>
      </c>
      <c r="Y798">
        <f>HYPERLINK("https://klasma.github.io/Logging_0862/kartor_geotiff/S 328-2026 georefererad karta.tif", "S 328-2026")</f>
        <v/>
      </c>
      <c r="Z798">
        <f>HYPERLINK("https://klasma.github.io/Logging_0862/knärot/S 328-2026 karta knärot.png", "S 328-2026")</f>
        <v/>
      </c>
      <c r="AA798">
        <f>HYPERLINK("https://klasma.github.io/Logging_0862/klagomål/S 328-2026 FSC-klagomål.docx", "S 328-2026")</f>
        <v/>
      </c>
      <c r="AB798">
        <f>HYPERLINK("https://klasma.github.io/Logging_0862/klagomålsmail/S 328-2026 FSC-klagomål mail.docx", "S 328-2026")</f>
        <v/>
      </c>
      <c r="AC798">
        <f>HYPERLINK("https://klasma.github.io/Logging_0862/tillsyn/S 328-2026 tillsynsbegäran.docx", "S 328-2026")</f>
        <v/>
      </c>
      <c r="AD798">
        <f>HYPERLINK("https://klasma.github.io/Logging_0862/tillsynsmail/S 328-2026 tillsynsbegäran mail.docx", "S 328-2026")</f>
        <v/>
      </c>
    </row>
    <row r="799" ht="15" customHeight="1">
      <c r="A799" t="inlineStr">
        <is>
          <t>S 373-2026</t>
        </is>
      </c>
      <c r="B799" t="inlineStr">
        <is>
          <t>samrådsanmälan</t>
        </is>
      </c>
      <c r="C799" t="inlineStr">
        <is>
          <t>Askåterföring</t>
        </is>
      </c>
      <c r="D799" s="1" t="n">
        <v>46065</v>
      </c>
      <c r="E799" s="1" t="n">
        <v>46323</v>
      </c>
      <c r="F799" t="inlineStr">
        <is>
          <t>KALMAR LÄN</t>
        </is>
      </c>
      <c r="G799" t="inlineStr">
        <is>
          <t>TORSÅS</t>
        </is>
      </c>
      <c r="I799" t="n">
        <v>20.4</v>
      </c>
      <c r="J799" t="n">
        <v>1</v>
      </c>
      <c r="K799" t="n">
        <v>1</v>
      </c>
      <c r="L799" t="n">
        <v>0</v>
      </c>
      <c r="M799" t="n">
        <v>0</v>
      </c>
      <c r="N799" t="n">
        <v>0</v>
      </c>
      <c r="O799" t="n">
        <v>0</v>
      </c>
      <c r="P799" t="n">
        <v>0</v>
      </c>
      <c r="Q799" t="n">
        <v>0</v>
      </c>
      <c r="R799" t="n">
        <v>0</v>
      </c>
      <c r="S799" t="n">
        <v>2</v>
      </c>
      <c r="T799" t="n">
        <v>2</v>
      </c>
      <c r="U799" t="n">
        <v>0</v>
      </c>
      <c r="V799" s="2" t="inlineStr">
        <is>
          <t>Grönpyrola
Mattlummer</t>
        </is>
      </c>
      <c r="W799">
        <f>HYPERLINK("https://klasma.github.io/Logging_0834/artfynd/S 373-2026 artfynd.xlsx", "S 373-2026")</f>
        <v/>
      </c>
      <c r="X799">
        <f>HYPERLINK("https://klasma.github.io/Logging_0834/kartor/S 373-2026 karta.png", "S 373-2026")</f>
        <v/>
      </c>
      <c r="Y799">
        <f>HYPERLINK("https://klasma.github.io/Logging_0834/kartor_geotiff/S 373-2026 georefererad karta.tif", "S 373-2026")</f>
        <v/>
      </c>
      <c r="AA799">
        <f>HYPERLINK("https://klasma.github.io/Logging_0834/klagomål/S 373-2026 FSC-klagomål.docx", "S 373-2026")</f>
        <v/>
      </c>
      <c r="AB799">
        <f>HYPERLINK("https://klasma.github.io/Logging_0834/klagomålsmail/S 373-2026 FSC-klagomål mail.docx", "S 373-2026")</f>
        <v/>
      </c>
      <c r="AC799">
        <f>HYPERLINK("https://klasma.github.io/Logging_0834/tillsyn/S 373-2026 tillsynsbegäran.docx", "S 373-2026")</f>
        <v/>
      </c>
      <c r="AD799">
        <f>HYPERLINK("https://klasma.github.io/Logging_0834/tillsynsmail/S 373-2026 tillsynsbegäran mail.docx", "S 373-2026")</f>
        <v/>
      </c>
    </row>
    <row r="800" ht="15" customHeight="1">
      <c r="A800" t="inlineStr">
        <is>
          <t>S 399-2026</t>
        </is>
      </c>
      <c r="B800" t="inlineStr">
        <is>
          <t>samrådsanmälan</t>
        </is>
      </c>
      <c r="C800" t="inlineStr">
        <is>
          <t>Annan skogsbruksåtgärd</t>
        </is>
      </c>
      <c r="D800" s="1" t="n">
        <v>46069</v>
      </c>
      <c r="E800" s="1" t="n">
        <v>46323</v>
      </c>
      <c r="F800" t="inlineStr">
        <is>
          <t>KALMAR LÄN</t>
        </is>
      </c>
      <c r="G800" t="inlineStr">
        <is>
          <t>EMMABODA</t>
        </is>
      </c>
      <c r="I800" t="n">
        <v>2.2</v>
      </c>
      <c r="J800" t="n">
        <v>1</v>
      </c>
      <c r="K800" t="n">
        <v>1</v>
      </c>
      <c r="L800" t="n">
        <v>0</v>
      </c>
      <c r="M800" t="n">
        <v>0</v>
      </c>
      <c r="N800" t="n">
        <v>0</v>
      </c>
      <c r="O800" t="n">
        <v>0</v>
      </c>
      <c r="P800" t="n">
        <v>0</v>
      </c>
      <c r="Q800" t="n">
        <v>0</v>
      </c>
      <c r="R800" t="n">
        <v>0</v>
      </c>
      <c r="S800" t="n">
        <v>2</v>
      </c>
      <c r="T800" t="n">
        <v>2</v>
      </c>
      <c r="U800" t="n">
        <v>0</v>
      </c>
      <c r="V800" s="2" t="inlineStr">
        <is>
          <t>Underviol
Gullviva</t>
        </is>
      </c>
      <c r="W800">
        <f>HYPERLINK("https://klasma.github.io/Logging_0862/artfynd/S 399-2026 artfynd.xlsx", "S 399-2026")</f>
        <v/>
      </c>
      <c r="X800">
        <f>HYPERLINK("https://klasma.github.io/Logging_0862/kartor/S 399-2026 karta.png", "S 399-2026")</f>
        <v/>
      </c>
      <c r="Y800">
        <f>HYPERLINK("https://klasma.github.io/Logging_0862/kartor_geotiff/S 399-2026 georefererad karta.tif", "S 399-2026")</f>
        <v/>
      </c>
      <c r="AA800">
        <f>HYPERLINK("https://klasma.github.io/Logging_0862/klagomål/S 399-2026 FSC-klagomål.docx", "S 399-2026")</f>
        <v/>
      </c>
      <c r="AB800">
        <f>HYPERLINK("https://klasma.github.io/Logging_0862/klagomålsmail/S 399-2026 FSC-klagomål mail.docx", "S 399-2026")</f>
        <v/>
      </c>
      <c r="AC800">
        <f>HYPERLINK("https://klasma.github.io/Logging_0862/tillsyn/S 399-2026 tillsynsbegäran.docx", "S 399-2026")</f>
        <v/>
      </c>
      <c r="AD800">
        <f>HYPERLINK("https://klasma.github.io/Logging_0862/tillsynsmail/S 399-2026 tillsynsbegäran mail.docx", "S 399-2026")</f>
        <v/>
      </c>
    </row>
    <row r="801" ht="15" customHeight="1">
      <c r="A801" t="inlineStr">
        <is>
          <t>S 839-2026</t>
        </is>
      </c>
      <c r="B801" t="inlineStr">
        <is>
          <t>samrådsanmälan</t>
        </is>
      </c>
      <c r="C801" t="inlineStr">
        <is>
          <t>Annan skogsbruksåtgärd</t>
        </is>
      </c>
      <c r="D801" s="1" t="n">
        <v>46105</v>
      </c>
      <c r="E801" s="1" t="n">
        <v>46323</v>
      </c>
      <c r="F801" t="inlineStr">
        <is>
          <t>KALMAR LÄN</t>
        </is>
      </c>
      <c r="G801" t="inlineStr">
        <is>
          <t>VÄSTERVIK</t>
        </is>
      </c>
      <c r="H801" t="inlineStr">
        <is>
          <t>Sveaskog</t>
        </is>
      </c>
      <c r="I801" t="n">
        <v>2.2</v>
      </c>
      <c r="J801" t="n">
        <v>0</v>
      </c>
      <c r="K801" t="n">
        <v>1</v>
      </c>
      <c r="L801" t="n">
        <v>0</v>
      </c>
      <c r="M801" t="n">
        <v>1</v>
      </c>
      <c r="N801" t="n">
        <v>0</v>
      </c>
      <c r="O801" t="n">
        <v>0</v>
      </c>
      <c r="P801" t="n">
        <v>0</v>
      </c>
      <c r="Q801" t="n">
        <v>1</v>
      </c>
      <c r="R801" t="n">
        <v>1</v>
      </c>
      <c r="S801" t="n">
        <v>2</v>
      </c>
      <c r="T801" t="n">
        <v>2</v>
      </c>
      <c r="U801" t="n">
        <v>0</v>
      </c>
      <c r="V801" s="2" t="inlineStr">
        <is>
          <t>Bredbrämad bastardsvärmare
Grovticka</t>
        </is>
      </c>
      <c r="W801">
        <f>HYPERLINK("https://klasma.github.io/Logging_0883/artfynd/S 839-2026 artfynd.xlsx", "S 839-2026")</f>
        <v/>
      </c>
      <c r="X801">
        <f>HYPERLINK("https://klasma.github.io/Logging_0883/kartor/S 839-2026 karta.png", "S 839-2026")</f>
        <v/>
      </c>
      <c r="Y801">
        <f>HYPERLINK("https://klasma.github.io/Logging_0883/kartor_geotiff/S 839-2026 georefererad karta.tif", "S 839-2026")</f>
        <v/>
      </c>
      <c r="AA801">
        <f>HYPERLINK("https://klasma.github.io/Logging_0883/klagomål/S 839-2026 FSC-klagomål.docx", "S 839-2026")</f>
        <v/>
      </c>
      <c r="AB801">
        <f>HYPERLINK("https://klasma.github.io/Logging_0883/klagomålsmail/S 839-2026 FSC-klagomål mail.docx", "S 839-2026")</f>
        <v/>
      </c>
      <c r="AC801">
        <f>HYPERLINK("https://klasma.github.io/Logging_0883/tillsyn/S 839-2026 tillsynsbegäran.docx", "S 839-2026")</f>
        <v/>
      </c>
      <c r="AD801">
        <f>HYPERLINK("https://klasma.github.io/Logging_0883/tillsynsmail/S 839-2026 tillsynsbegäran mail.docx", "S 839-2026")</f>
        <v/>
      </c>
    </row>
    <row r="802" ht="15" customHeight="1">
      <c r="A802" t="inlineStr">
        <is>
          <t>S 1886-2026</t>
        </is>
      </c>
      <c r="B802" t="inlineStr">
        <is>
          <t>samrådsanmälan</t>
        </is>
      </c>
      <c r="C802" t="inlineStr">
        <is>
          <t>Annan skogsbruksåtgärd</t>
        </is>
      </c>
      <c r="D802" s="1" t="n">
        <v>46203</v>
      </c>
      <c r="E802" s="1" t="n">
        <v>46323</v>
      </c>
      <c r="F802" t="inlineStr">
        <is>
          <t>KALMAR LÄN</t>
        </is>
      </c>
      <c r="G802" t="inlineStr">
        <is>
          <t>BORGHOLM</t>
        </is>
      </c>
      <c r="H802" t="inlineStr">
        <is>
          <t>Sveaskog</t>
        </is>
      </c>
      <c r="I802" t="n">
        <v>0.6</v>
      </c>
      <c r="J802" t="n">
        <v>1</v>
      </c>
      <c r="K802" t="n">
        <v>1</v>
      </c>
      <c r="L802" t="n">
        <v>0</v>
      </c>
      <c r="M802" t="n">
        <v>1</v>
      </c>
      <c r="N802" t="n">
        <v>0</v>
      </c>
      <c r="O802" t="n">
        <v>0</v>
      </c>
      <c r="P802" t="n">
        <v>0</v>
      </c>
      <c r="Q802" t="n">
        <v>1</v>
      </c>
      <c r="R802" t="n">
        <v>1</v>
      </c>
      <c r="S802" t="n">
        <v>2</v>
      </c>
      <c r="T802" t="n">
        <v>2</v>
      </c>
      <c r="U802" t="n">
        <v>1</v>
      </c>
      <c r="V802" s="2" t="inlineStr">
        <is>
          <t>Bredbrämad bastardsvärmare
Ekoxe</t>
        </is>
      </c>
      <c r="W802">
        <f>HYPERLINK("https://klasma.github.io/Logging_0885/artfynd/S 1886-2026 artfynd.xlsx", "S 1886-2026")</f>
        <v/>
      </c>
      <c r="X802">
        <f>HYPERLINK("https://klasma.github.io/Logging_0885/kartor/S 1886-2026 karta.png", "S 1886-2026")</f>
        <v/>
      </c>
      <c r="Y802">
        <f>HYPERLINK("https://klasma.github.io/Logging_0885/kartor_geotiff/S 1886-2026 georefererad karta.tif", "S 1886-2026")</f>
        <v/>
      </c>
      <c r="AA802">
        <f>HYPERLINK("https://klasma.github.io/Logging_0885/klagomål/S 1886-2026 FSC-klagomål.docx", "S 1886-2026")</f>
        <v/>
      </c>
      <c r="AB802">
        <f>HYPERLINK("https://klasma.github.io/Logging_0885/klagomålsmail/S 1886-2026 FSC-klagomål mail.docx", "S 1886-2026")</f>
        <v/>
      </c>
      <c r="AC802">
        <f>HYPERLINK("https://klasma.github.io/Logging_0885/tillsyn/S 1886-2026 tillsynsbegäran.docx", "S 1886-2026")</f>
        <v/>
      </c>
      <c r="AD802">
        <f>HYPERLINK("https://klasma.github.io/Logging_0885/tillsynsmail/S 1886-2026 tillsynsbegäran mail.docx", "S 1886-2026")</f>
        <v/>
      </c>
    </row>
    <row r="803" ht="15" customHeight="1">
      <c r="A803" t="inlineStr">
        <is>
          <t>S 1892-2026</t>
        </is>
      </c>
      <c r="B803" t="inlineStr">
        <is>
          <t>samrådsanmälan</t>
        </is>
      </c>
      <c r="C803" t="inlineStr">
        <is>
          <t>Annan skogsbruksåtgärd</t>
        </is>
      </c>
      <c r="D803" s="1" t="n">
        <v>46203</v>
      </c>
      <c r="E803" s="1" t="n">
        <v>46323</v>
      </c>
      <c r="F803" t="inlineStr">
        <is>
          <t>KALMAR LÄN</t>
        </is>
      </c>
      <c r="G803" t="inlineStr">
        <is>
          <t>BORGHOLM</t>
        </is>
      </c>
      <c r="H803" t="inlineStr">
        <is>
          <t>Sveaskog</t>
        </is>
      </c>
      <c r="I803" t="n">
        <v>2.1</v>
      </c>
      <c r="J803" t="n">
        <v>0</v>
      </c>
      <c r="K803" t="n">
        <v>0</v>
      </c>
      <c r="L803" t="n">
        <v>0</v>
      </c>
      <c r="M803" t="n">
        <v>2</v>
      </c>
      <c r="N803" t="n">
        <v>0</v>
      </c>
      <c r="O803" t="n">
        <v>0</v>
      </c>
      <c r="P803" t="n">
        <v>0</v>
      </c>
      <c r="Q803" t="n">
        <v>2</v>
      </c>
      <c r="R803" t="n">
        <v>2</v>
      </c>
      <c r="S803" t="n">
        <v>2</v>
      </c>
      <c r="T803" t="n">
        <v>2</v>
      </c>
      <c r="U803" t="n">
        <v>0</v>
      </c>
      <c r="V803" s="2" t="inlineStr">
        <is>
          <t>Bredbrämad bastardsvärmare
Purpurmusseron</t>
        </is>
      </c>
      <c r="W803">
        <f>HYPERLINK("https://klasma.github.io/Logging_0885/artfynd/S 1892-2026 artfynd.xlsx", "S 1892-2026")</f>
        <v/>
      </c>
      <c r="X803">
        <f>HYPERLINK("https://klasma.github.io/Logging_0885/kartor/S 1892-2026 karta.png", "S 1892-2026")</f>
        <v/>
      </c>
      <c r="Y803">
        <f>HYPERLINK("https://klasma.github.io/Logging_0885/kartor_geotiff/S 1892-2026 georefererad karta.tif", "S 1892-2026")</f>
        <v/>
      </c>
      <c r="AA803">
        <f>HYPERLINK("https://klasma.github.io/Logging_0885/klagomål/S 1892-2026 FSC-klagomål.docx", "S 1892-2026")</f>
        <v/>
      </c>
      <c r="AB803">
        <f>HYPERLINK("https://klasma.github.io/Logging_0885/klagomålsmail/S 1892-2026 FSC-klagomål mail.docx", "S 1892-2026")</f>
        <v/>
      </c>
      <c r="AC803">
        <f>HYPERLINK("https://klasma.github.io/Logging_0885/tillsyn/S 1892-2026 tillsynsbegäran.docx", "S 1892-2026")</f>
        <v/>
      </c>
      <c r="AD803">
        <f>HYPERLINK("https://klasma.github.io/Logging_0885/tillsynsmail/S 1892-2026 tillsynsbegäran mail.docx", "S 1892-2026")</f>
        <v/>
      </c>
    </row>
    <row r="804" ht="15" customHeight="1">
      <c r="A804" t="inlineStr">
        <is>
          <t>S 2000-2026</t>
        </is>
      </c>
      <c r="B804" t="inlineStr">
        <is>
          <t>samrådsanmälan</t>
        </is>
      </c>
      <c r="C804" t="inlineStr">
        <is>
          <t>Askåterföring</t>
        </is>
      </c>
      <c r="D804" s="1" t="n">
        <v>46214</v>
      </c>
      <c r="E804" s="1" t="n">
        <v>46323</v>
      </c>
      <c r="F804" t="inlineStr">
        <is>
          <t>KALMAR LÄN</t>
        </is>
      </c>
      <c r="G804" t="inlineStr">
        <is>
          <t>EMMABODA</t>
        </is>
      </c>
      <c r="I804" t="n">
        <v>31.1</v>
      </c>
      <c r="J804" t="n">
        <v>1</v>
      </c>
      <c r="K804" t="n">
        <v>0</v>
      </c>
      <c r="L804" t="n">
        <v>1</v>
      </c>
      <c r="M804" t="n">
        <v>0</v>
      </c>
      <c r="N804" t="n">
        <v>0</v>
      </c>
      <c r="O804" t="n">
        <v>0</v>
      </c>
      <c r="P804" t="n">
        <v>0</v>
      </c>
      <c r="Q804" t="n">
        <v>1</v>
      </c>
      <c r="R804" t="n">
        <v>0</v>
      </c>
      <c r="S804" t="n">
        <v>2</v>
      </c>
      <c r="T804" t="n">
        <v>2</v>
      </c>
      <c r="U804" t="n">
        <v>0</v>
      </c>
      <c r="V804" s="2" t="inlineStr">
        <is>
          <t>Gullklöver
Hasselmus</t>
        </is>
      </c>
      <c r="W804">
        <f>HYPERLINK("https://klasma.github.io/Logging_0862/artfynd/S 2000-2026 artfynd.xlsx", "S 2000-2026")</f>
        <v/>
      </c>
      <c r="X804">
        <f>HYPERLINK("https://klasma.github.io/Logging_0862/kartor/S 2000-2026 karta.png", "S 2000-2026")</f>
        <v/>
      </c>
      <c r="Y804">
        <f>HYPERLINK("https://klasma.github.io/Logging_0862/kartor_geotiff/S 2000-2026 georefererad karta.tif", "S 2000-2026")</f>
        <v/>
      </c>
      <c r="AA804">
        <f>HYPERLINK("https://klasma.github.io/Logging_0862/klagomål/S 2000-2026 FSC-klagomål.docx", "S 2000-2026")</f>
        <v/>
      </c>
      <c r="AB804">
        <f>HYPERLINK("https://klasma.github.io/Logging_0862/klagomålsmail/S 2000-2026 FSC-klagomål mail.docx", "S 2000-2026")</f>
        <v/>
      </c>
      <c r="AC804">
        <f>HYPERLINK("https://klasma.github.io/Logging_0862/tillsyn/S 2000-2026 tillsynsbegäran.docx", "S 2000-2026")</f>
        <v/>
      </c>
      <c r="AD804">
        <f>HYPERLINK("https://klasma.github.io/Logging_0862/tillsynsmail/S 2000-2026 tillsynsbegäran mail.docx", "S 2000-2026")</f>
        <v/>
      </c>
    </row>
    <row r="805" ht="15" customHeight="1">
      <c r="A805" t="inlineStr">
        <is>
          <t>S 2138-2026</t>
        </is>
      </c>
      <c r="B805" t="inlineStr">
        <is>
          <t>samrådsanmälan</t>
        </is>
      </c>
      <c r="C805" t="inlineStr">
        <is>
          <t>Annan skogsbruksåtgärd</t>
        </is>
      </c>
      <c r="D805" s="1" t="n">
        <v>46246</v>
      </c>
      <c r="E805" s="1" t="n">
        <v>46323</v>
      </c>
      <c r="F805" t="inlineStr">
        <is>
          <t>KALMAR LÄN</t>
        </is>
      </c>
      <c r="G805" t="inlineStr">
        <is>
          <t>MÖRBYLÅNGA</t>
        </is>
      </c>
      <c r="I805" t="n">
        <v>5.4</v>
      </c>
      <c r="J805" t="n">
        <v>1</v>
      </c>
      <c r="K805" t="n">
        <v>1</v>
      </c>
      <c r="L805" t="n">
        <v>0</v>
      </c>
      <c r="M805" t="n">
        <v>0</v>
      </c>
      <c r="N805" t="n">
        <v>1</v>
      </c>
      <c r="O805" t="n">
        <v>0</v>
      </c>
      <c r="P805" t="n">
        <v>0</v>
      </c>
      <c r="Q805" t="n">
        <v>1</v>
      </c>
      <c r="R805" t="n">
        <v>1</v>
      </c>
      <c r="S805" t="n">
        <v>2</v>
      </c>
      <c r="T805" t="n">
        <v>2</v>
      </c>
      <c r="U805" t="n">
        <v>0</v>
      </c>
      <c r="V805" s="2" t="inlineStr">
        <is>
          <t>Ask
Ekoxe</t>
        </is>
      </c>
      <c r="W805">
        <f>HYPERLINK("https://klasma.github.io/Logging_0840/artfynd/S 2138-2026 artfynd.xlsx", "S 2138-2026")</f>
        <v/>
      </c>
      <c r="X805">
        <f>HYPERLINK("https://klasma.github.io/Logging_0840/kartor/S 2138-2026 karta.png", "S 2138-2026")</f>
        <v/>
      </c>
      <c r="Y805">
        <f>HYPERLINK("https://klasma.github.io/Logging_0840/kartor_geotiff/S 2138-2026 georefererad karta.tif", "S 2138-2026")</f>
        <v/>
      </c>
      <c r="AA805">
        <f>HYPERLINK("https://klasma.github.io/Logging_0840/klagomål/S 2138-2026 FSC-klagomål.docx", "S 2138-2026")</f>
        <v/>
      </c>
      <c r="AB805">
        <f>HYPERLINK("https://klasma.github.io/Logging_0840/klagomålsmail/S 2138-2026 FSC-klagomål mail.docx", "S 2138-2026")</f>
        <v/>
      </c>
      <c r="AC805">
        <f>HYPERLINK("https://klasma.github.io/Logging_0840/tillsyn/S 2138-2026 tillsynsbegäran.docx", "S 2138-2026")</f>
        <v/>
      </c>
      <c r="AD805">
        <f>HYPERLINK("https://klasma.github.io/Logging_0840/tillsynsmail/S 2138-2026 tillsynsbegäran mail.docx", "S 2138-2026")</f>
        <v/>
      </c>
    </row>
    <row r="806" ht="15" customHeight="1">
      <c r="A806" t="inlineStr">
        <is>
          <t>S 2662-2026</t>
        </is>
      </c>
      <c r="B806" t="inlineStr">
        <is>
          <t>samrådsanmälan</t>
        </is>
      </c>
      <c r="C806" t="inlineStr">
        <is>
          <t>Askåterföring</t>
        </is>
      </c>
      <c r="D806" s="1" t="n">
        <v>46308</v>
      </c>
      <c r="E806" s="1" t="n">
        <v>46323</v>
      </c>
      <c r="F806" t="inlineStr">
        <is>
          <t>KALMAR LÄN</t>
        </is>
      </c>
      <c r="G806" t="inlineStr">
        <is>
          <t>NYBRO</t>
        </is>
      </c>
      <c r="I806" t="n">
        <v>7.2</v>
      </c>
      <c r="J806" t="n">
        <v>2</v>
      </c>
      <c r="K806" t="n">
        <v>2</v>
      </c>
      <c r="L806" t="n">
        <v>0</v>
      </c>
      <c r="M806" t="n">
        <v>0</v>
      </c>
      <c r="N806" t="n">
        <v>0</v>
      </c>
      <c r="O806" t="n">
        <v>0</v>
      </c>
      <c r="P806" t="n">
        <v>0</v>
      </c>
      <c r="Q806" t="n">
        <v>0</v>
      </c>
      <c r="R806" t="n">
        <v>0</v>
      </c>
      <c r="S806" t="n">
        <v>2</v>
      </c>
      <c r="T806" t="n">
        <v>2</v>
      </c>
      <c r="U806" t="n">
        <v>0</v>
      </c>
      <c r="V806" s="2" t="inlineStr">
        <is>
          <t>Purpurknipprot
Skogsknipprot</t>
        </is>
      </c>
      <c r="W806">
        <f>HYPERLINK("https://klasma.github.io/Logging_0881/artfynd/S 2662-2026 artfynd.xlsx", "S 2662-2026")</f>
        <v/>
      </c>
      <c r="X806">
        <f>HYPERLINK("https://klasma.github.io/Logging_0881/kartor/S 2662-2026 karta.png", "S 2662-2026")</f>
        <v/>
      </c>
      <c r="Y806">
        <f>HYPERLINK("https://klasma.github.io/Logging_0881/kartor_geotiff/S 2662-2026 georefererad karta.tif", "S 2662-2026")</f>
        <v/>
      </c>
      <c r="AA806">
        <f>HYPERLINK("https://klasma.github.io/Logging_0881/klagomål/S 2662-2026 FSC-klagomål.docx", "S 2662-2026")</f>
        <v/>
      </c>
      <c r="AB806">
        <f>HYPERLINK("https://klasma.github.io/Logging_0881/klagomålsmail/S 2662-2026 FSC-klagomål mail.docx", "S 2662-2026")</f>
        <v/>
      </c>
      <c r="AC806">
        <f>HYPERLINK("https://klasma.github.io/Logging_0881/tillsyn/S 2662-2026 tillsynsbegäran.docx", "S 2662-2026")</f>
        <v/>
      </c>
      <c r="AD806">
        <f>HYPERLINK("https://klasma.github.io/Logging_0881/tillsynsmail/S 2662-2026 tillsynsbegäran mail.docx", "S 2662-2026")</f>
        <v/>
      </c>
    </row>
    <row r="807" ht="15" customHeight="1">
      <c r="A807" t="inlineStr">
        <is>
          <t>S 2344-2026</t>
        </is>
      </c>
      <c r="B807" t="inlineStr">
        <is>
          <t>samrådsanmälan</t>
        </is>
      </c>
      <c r="C807" t="inlineStr">
        <is>
          <t>Askåterföring</t>
        </is>
      </c>
      <c r="D807" s="1" t="n">
        <v>46274</v>
      </c>
      <c r="E807" s="1" t="n">
        <v>46323</v>
      </c>
      <c r="F807" t="inlineStr">
        <is>
          <t>KALMAR LÄN</t>
        </is>
      </c>
      <c r="G807" t="inlineStr">
        <is>
          <t>HULTSFRED</t>
        </is>
      </c>
      <c r="I807" t="n">
        <v>12.8</v>
      </c>
      <c r="J807" t="n">
        <v>0</v>
      </c>
      <c r="K807" t="n">
        <v>2</v>
      </c>
      <c r="L807" t="n">
        <v>0</v>
      </c>
      <c r="M807" t="n">
        <v>0</v>
      </c>
      <c r="N807" t="n">
        <v>0</v>
      </c>
      <c r="O807" t="n">
        <v>0</v>
      </c>
      <c r="P807" t="n">
        <v>0</v>
      </c>
      <c r="Q807" t="n">
        <v>0</v>
      </c>
      <c r="R807" t="n">
        <v>0</v>
      </c>
      <c r="S807" t="n">
        <v>2</v>
      </c>
      <c r="T807" t="n">
        <v>2</v>
      </c>
      <c r="U807" t="n">
        <v>0</v>
      </c>
      <c r="V807" s="2" t="inlineStr">
        <is>
          <t>Källpraktmossa
Tibast</t>
        </is>
      </c>
      <c r="W807">
        <f>HYPERLINK("https://klasma.github.io/Logging_0860/artfynd/S 2344-2026 artfynd.xlsx", "S 2344-2026")</f>
        <v/>
      </c>
      <c r="X807">
        <f>HYPERLINK("https://klasma.github.io/Logging_0860/kartor/S 2344-2026 karta.png", "S 2344-2026")</f>
        <v/>
      </c>
      <c r="Y807">
        <f>HYPERLINK("https://klasma.github.io/Logging_0860/kartor_geotiff/S 2344-2026 georefererad karta.tif", "S 2344-2026")</f>
        <v/>
      </c>
      <c r="AA807">
        <f>HYPERLINK("https://klasma.github.io/Logging_0860/klagomål/S 2344-2026 FSC-klagomål.docx", "S 2344-2026")</f>
        <v/>
      </c>
      <c r="AB807">
        <f>HYPERLINK("https://klasma.github.io/Logging_0860/klagomålsmail/S 2344-2026 FSC-klagomål mail.docx", "S 2344-2026")</f>
        <v/>
      </c>
      <c r="AC807">
        <f>HYPERLINK("https://klasma.github.io/Logging_0860/tillsyn/S 2344-2026 tillsynsbegäran.docx", "S 2344-2026")</f>
        <v/>
      </c>
      <c r="AD807">
        <f>HYPERLINK("https://klasma.github.io/Logging_0860/tillsynsmail/S 2344-2026 tillsynsbegäran mail.docx", "S 2344-2026")</f>
        <v/>
      </c>
    </row>
    <row r="808" ht="15" customHeight="1">
      <c r="A808" t="inlineStr">
        <is>
          <t>S 2534-2026</t>
        </is>
      </c>
      <c r="B808" t="inlineStr">
        <is>
          <t>samrådsanmälan</t>
        </is>
      </c>
      <c r="C808" t="inlineStr">
        <is>
          <t>Annan skogsbruksåtgärd</t>
        </is>
      </c>
      <c r="D808" s="1" t="n">
        <v>46291</v>
      </c>
      <c r="E808" s="1" t="n">
        <v>46323</v>
      </c>
      <c r="F808" t="inlineStr">
        <is>
          <t>KALMAR LÄN</t>
        </is>
      </c>
      <c r="G808" t="inlineStr">
        <is>
          <t>VÄSTERVIK</t>
        </is>
      </c>
      <c r="I808" t="n">
        <v>1.4</v>
      </c>
      <c r="J808" t="n">
        <v>1</v>
      </c>
      <c r="K808" t="n">
        <v>0</v>
      </c>
      <c r="L808" t="n">
        <v>1</v>
      </c>
      <c r="M808" t="n">
        <v>0</v>
      </c>
      <c r="N808" t="n">
        <v>0</v>
      </c>
      <c r="O808" t="n">
        <v>0</v>
      </c>
      <c r="P808" t="n">
        <v>0</v>
      </c>
      <c r="Q808" t="n">
        <v>1</v>
      </c>
      <c r="R808" t="n">
        <v>0</v>
      </c>
      <c r="S808" t="n">
        <v>2</v>
      </c>
      <c r="T808" t="n">
        <v>2</v>
      </c>
      <c r="U808" t="n">
        <v>0</v>
      </c>
      <c r="V808" s="2" t="inlineStr">
        <is>
          <t>Vårärt
Blåsippa</t>
        </is>
      </c>
      <c r="W808">
        <f>HYPERLINK("https://klasma.github.io/Logging_0883/artfynd/S 2534-2026 artfynd.xlsx", "S 2534-2026")</f>
        <v/>
      </c>
      <c r="X808">
        <f>HYPERLINK("https://klasma.github.io/Logging_0883/kartor/S 2534-2026 karta.png", "S 2534-2026")</f>
        <v/>
      </c>
      <c r="Y808">
        <f>HYPERLINK("https://klasma.github.io/Logging_0883/kartor_geotiff/S 2534-2026 georefererad karta.tif", "S 2534-2026")</f>
        <v/>
      </c>
      <c r="AA808">
        <f>HYPERLINK("https://klasma.github.io/Logging_0883/klagomål/S 2534-2026 FSC-klagomål.docx", "S 2534-2026")</f>
        <v/>
      </c>
      <c r="AB808">
        <f>HYPERLINK("https://klasma.github.io/Logging_0883/klagomålsmail/S 2534-2026 FSC-klagomål mail.docx", "S 2534-2026")</f>
        <v/>
      </c>
      <c r="AC808">
        <f>HYPERLINK("https://klasma.github.io/Logging_0883/tillsyn/S 2534-2026 tillsynsbegäran.docx", "S 2534-2026")</f>
        <v/>
      </c>
      <c r="AD808">
        <f>HYPERLINK("https://klasma.github.io/Logging_0883/tillsynsmail/S 2534-2026 tillsynsbegäran mail.docx", "S 2534-2026")</f>
        <v/>
      </c>
    </row>
    <row r="809" ht="15" customHeight="1">
      <c r="A809" t="inlineStr">
        <is>
          <t>A 16288-2022</t>
        </is>
      </c>
      <c r="B809" t="inlineStr">
        <is>
          <t>avverkningsanmälan</t>
        </is>
      </c>
      <c r="C809" t="inlineStr">
        <is>
          <t>Föryngringsavverkning</t>
        </is>
      </c>
      <c r="D809" s="1" t="n">
        <v>44670</v>
      </c>
      <c r="E809" s="1" t="n">
        <v>46323</v>
      </c>
      <c r="F809" t="inlineStr">
        <is>
          <t>KALMAR LÄN</t>
        </is>
      </c>
      <c r="G809" t="inlineStr">
        <is>
          <t>VIMMERBY</t>
        </is>
      </c>
      <c r="I809" t="n">
        <v>1.7</v>
      </c>
      <c r="J809" t="n">
        <v>0</v>
      </c>
      <c r="K809" t="n">
        <v>1</v>
      </c>
      <c r="L809" t="n">
        <v>0</v>
      </c>
      <c r="M809" t="n">
        <v>0</v>
      </c>
      <c r="N809" t="n">
        <v>0</v>
      </c>
      <c r="O809" t="n">
        <v>0</v>
      </c>
      <c r="P809" t="n">
        <v>0</v>
      </c>
      <c r="Q809" t="n">
        <v>0</v>
      </c>
      <c r="R809" t="n">
        <v>0</v>
      </c>
      <c r="S809" t="n">
        <v>1</v>
      </c>
      <c r="T809" t="n">
        <v>1</v>
      </c>
      <c r="U809" t="n">
        <v>1</v>
      </c>
      <c r="V809" s="2" t="inlineStr">
        <is>
          <t>Sotlav</t>
        </is>
      </c>
      <c r="W809">
        <f>HYPERLINK("https://klasma.github.io/Logging_0884/artfynd/A 16288-2022 artfynd.xlsx", "A 16288-2022")</f>
        <v/>
      </c>
      <c r="X809">
        <f>HYPERLINK("https://klasma.github.io/Logging_0884/kartor/A 16288-2022 karta.png", "A 16288-2022")</f>
        <v/>
      </c>
      <c r="Y809">
        <f>HYPERLINK("https://klasma.github.io/Logging_0884/kartor_geotiff/A 16288-2022 georefererad karta.tif", "A 16288-2022")</f>
        <v/>
      </c>
      <c r="AA809">
        <f>HYPERLINK("https://klasma.github.io/Logging_0884/klagomål/A 16288-2022 FSC-klagomål.docx", "A 16288-2022")</f>
        <v/>
      </c>
      <c r="AB809">
        <f>HYPERLINK("https://klasma.github.io/Logging_0884/klagomålsmail/A 16288-2022 FSC-klagomål mail.docx", "A 16288-2022")</f>
        <v/>
      </c>
      <c r="AC809">
        <f>HYPERLINK("https://klasma.github.io/Logging_0884/tillsyn/A 16288-2022 tillsynsbegäran.docx", "A 16288-2022")</f>
        <v/>
      </c>
      <c r="AD809">
        <f>HYPERLINK("https://klasma.github.io/Logging_0884/tillsynsmail/A 16288-2022 tillsynsbegäran mail.docx", "A 16288-2022")</f>
        <v/>
      </c>
    </row>
    <row r="810" ht="15" customHeight="1">
      <c r="A810" t="inlineStr">
        <is>
          <t>A 14976-2022</t>
        </is>
      </c>
      <c r="B810" t="inlineStr">
        <is>
          <t>avverkningsanmälan</t>
        </is>
      </c>
      <c r="C810" t="inlineStr">
        <is>
          <t>Avverkning för att bevara och utveckla /försöksver</t>
        </is>
      </c>
      <c r="D810" s="1" t="n">
        <v>44657</v>
      </c>
      <c r="E810" s="1" t="n">
        <v>46323</v>
      </c>
      <c r="F810" t="inlineStr">
        <is>
          <t>KALMAR LÄN</t>
        </is>
      </c>
      <c r="G810" t="inlineStr">
        <is>
          <t>TORSÅS</t>
        </is>
      </c>
      <c r="I810" t="n">
        <v>1.6</v>
      </c>
      <c r="J810" t="n">
        <v>1</v>
      </c>
      <c r="K810" t="n">
        <v>1</v>
      </c>
      <c r="L810" t="n">
        <v>0</v>
      </c>
      <c r="M810" t="n">
        <v>0</v>
      </c>
      <c r="N810" t="n">
        <v>0</v>
      </c>
      <c r="O810" t="n">
        <v>0</v>
      </c>
      <c r="P810" t="n">
        <v>0</v>
      </c>
      <c r="Q810" t="n">
        <v>0</v>
      </c>
      <c r="R810" t="n">
        <v>0</v>
      </c>
      <c r="S810" t="n">
        <v>1</v>
      </c>
      <c r="T810" t="n">
        <v>1</v>
      </c>
      <c r="U810" t="n">
        <v>1</v>
      </c>
      <c r="V810" s="2" t="inlineStr">
        <is>
          <t>Ekoxe</t>
        </is>
      </c>
      <c r="W810">
        <f>HYPERLINK("https://klasma.github.io/Logging_0834/artfynd/A 14976-2022 artfynd.xlsx", "A 14976-2022")</f>
        <v/>
      </c>
      <c r="X810">
        <f>HYPERLINK("https://klasma.github.io/Logging_0834/kartor/A 14976-2022 karta.png", "A 14976-2022")</f>
        <v/>
      </c>
      <c r="Y810">
        <f>HYPERLINK("https://klasma.github.io/Logging_0834/kartor_geotiff/A 14976-2022 georefererad karta.tif", "A 14976-2022")</f>
        <v/>
      </c>
      <c r="AA810">
        <f>HYPERLINK("https://klasma.github.io/Logging_0834/klagomål/A 14976-2022 FSC-klagomål.docx", "A 14976-2022")</f>
        <v/>
      </c>
      <c r="AB810">
        <f>HYPERLINK("https://klasma.github.io/Logging_0834/klagomålsmail/A 14976-2022 FSC-klagomål mail.docx", "A 14976-2022")</f>
        <v/>
      </c>
      <c r="AC810">
        <f>HYPERLINK("https://klasma.github.io/Logging_0834/tillsyn/A 14976-2022 tillsynsbegäran.docx", "A 14976-2022")</f>
        <v/>
      </c>
      <c r="AD810">
        <f>HYPERLINK("https://klasma.github.io/Logging_0834/tillsynsmail/A 14976-2022 tillsynsbegäran mail.docx", "A 14976-2022")</f>
        <v/>
      </c>
    </row>
    <row r="811" ht="15" customHeight="1">
      <c r="A811" t="inlineStr">
        <is>
          <t>A 8444-2022</t>
        </is>
      </c>
      <c r="B811" t="inlineStr">
        <is>
          <t>avverkningsanmälan</t>
        </is>
      </c>
      <c r="C811" t="inlineStr">
        <is>
          <t>Föryngringsavverkning</t>
        </is>
      </c>
      <c r="D811" s="1" t="n">
        <v>44612</v>
      </c>
      <c r="E811" s="1" t="n">
        <v>46323</v>
      </c>
      <c r="F811" t="inlineStr">
        <is>
          <t>KALMAR LÄN</t>
        </is>
      </c>
      <c r="G811" t="inlineStr">
        <is>
          <t>NYBRO</t>
        </is>
      </c>
      <c r="I811" t="n">
        <v>1.9</v>
      </c>
      <c r="J811" t="n">
        <v>1</v>
      </c>
      <c r="K811" t="n">
        <v>0</v>
      </c>
      <c r="L811" t="n">
        <v>0</v>
      </c>
      <c r="M811" t="n">
        <v>0</v>
      </c>
      <c r="N811" t="n">
        <v>0</v>
      </c>
      <c r="O811" t="n">
        <v>0</v>
      </c>
      <c r="P811" t="n">
        <v>0</v>
      </c>
      <c r="Q811" t="n">
        <v>0</v>
      </c>
      <c r="R811" t="n">
        <v>0</v>
      </c>
      <c r="S811" t="n">
        <v>1</v>
      </c>
      <c r="T811" t="n">
        <v>1</v>
      </c>
      <c r="U811" t="n">
        <v>0</v>
      </c>
      <c r="V811" s="2" t="inlineStr">
        <is>
          <t>Tjäder</t>
        </is>
      </c>
      <c r="W811">
        <f>HYPERLINK("https://klasma.github.io/Logging_0881/artfynd/A 8444-2022 artfynd.xlsx", "A 8444-2022")</f>
        <v/>
      </c>
      <c r="X811">
        <f>HYPERLINK("https://klasma.github.io/Logging_0881/kartor/A 8444-2022 karta.png", "A 8444-2022")</f>
        <v/>
      </c>
      <c r="Y811">
        <f>HYPERLINK("https://klasma.github.io/Logging_0881/kartor_geotiff/A 8444-2022 georefererad karta.tif", "A 8444-2022")</f>
        <v/>
      </c>
      <c r="AA811">
        <f>HYPERLINK("https://klasma.github.io/Logging_0881/klagomål/A 8444-2022 FSC-klagomål.docx", "A 8444-2022")</f>
        <v/>
      </c>
      <c r="AB811">
        <f>HYPERLINK("https://klasma.github.io/Logging_0881/klagomålsmail/A 8444-2022 FSC-klagomål mail.docx", "A 8444-2022")</f>
        <v/>
      </c>
      <c r="AC811">
        <f>HYPERLINK("https://klasma.github.io/Logging_0881/tillsyn/A 8444-2022 tillsynsbegäran.docx", "A 8444-2022")</f>
        <v/>
      </c>
      <c r="AD811">
        <f>HYPERLINK("https://klasma.github.io/Logging_0881/tillsynsmail/A 8444-2022 tillsynsbegäran mail.docx", "A 8444-2022")</f>
        <v/>
      </c>
      <c r="AE811">
        <f>HYPERLINK("https://klasma.github.io/Logging_0881/fåglar/A 8444-2022 prioriterade fågelarter.docx", "A 8444-2022")</f>
        <v/>
      </c>
    </row>
    <row r="812" ht="15" customHeight="1">
      <c r="A812" t="inlineStr">
        <is>
          <t>A 10392-2022</t>
        </is>
      </c>
      <c r="B812" t="inlineStr">
        <is>
          <t>avverkningsanmälan</t>
        </is>
      </c>
      <c r="C812" t="inlineStr">
        <is>
          <t>Föryngringsavverkning</t>
        </is>
      </c>
      <c r="D812" s="1" t="n">
        <v>44623</v>
      </c>
      <c r="E812" s="1" t="n">
        <v>46323</v>
      </c>
      <c r="F812" t="inlineStr">
        <is>
          <t>KALMAR LÄN</t>
        </is>
      </c>
      <c r="G812" t="inlineStr">
        <is>
          <t>KALMAR</t>
        </is>
      </c>
      <c r="I812" t="n">
        <v>2.9</v>
      </c>
      <c r="J812" t="n">
        <v>1</v>
      </c>
      <c r="K812" t="n">
        <v>0</v>
      </c>
      <c r="L812" t="n">
        <v>0</v>
      </c>
      <c r="M812" t="n">
        <v>0</v>
      </c>
      <c r="N812" t="n">
        <v>0</v>
      </c>
      <c r="O812" t="n">
        <v>0</v>
      </c>
      <c r="P812" t="n">
        <v>0</v>
      </c>
      <c r="Q812" t="n">
        <v>0</v>
      </c>
      <c r="R812" t="n">
        <v>0</v>
      </c>
      <c r="S812" t="n">
        <v>1</v>
      </c>
      <c r="T812" t="n">
        <v>1</v>
      </c>
      <c r="U812" t="n">
        <v>0</v>
      </c>
      <c r="V812" s="2" t="inlineStr">
        <is>
          <t>Långbensgroda</t>
        </is>
      </c>
      <c r="W812">
        <f>HYPERLINK("https://klasma.github.io/Logging_0880/artfynd/A 10392-2022 artfynd.xlsx", "A 10392-2022")</f>
        <v/>
      </c>
      <c r="X812">
        <f>HYPERLINK("https://klasma.github.io/Logging_0880/kartor/A 10392-2022 karta.png", "A 10392-2022")</f>
        <v/>
      </c>
      <c r="Y812">
        <f>HYPERLINK("https://klasma.github.io/Logging_0880/kartor_geotiff/A 10392-2022 georefererad karta.tif", "A 10392-2022")</f>
        <v/>
      </c>
      <c r="AA812">
        <f>HYPERLINK("https://klasma.github.io/Logging_0880/klagomål/A 10392-2022 FSC-klagomål.docx", "A 10392-2022")</f>
        <v/>
      </c>
      <c r="AB812">
        <f>HYPERLINK("https://klasma.github.io/Logging_0880/klagomålsmail/A 10392-2022 FSC-klagomål mail.docx", "A 10392-2022")</f>
        <v/>
      </c>
      <c r="AC812">
        <f>HYPERLINK("https://klasma.github.io/Logging_0880/tillsyn/A 10392-2022 tillsynsbegäran.docx", "A 10392-2022")</f>
        <v/>
      </c>
      <c r="AD812">
        <f>HYPERLINK("https://klasma.github.io/Logging_0880/tillsynsmail/A 10392-2022 tillsynsbegäran mail.docx", "A 10392-2022")</f>
        <v/>
      </c>
    </row>
    <row r="813" ht="15" customHeight="1">
      <c r="A813" t="inlineStr">
        <is>
          <t>A 62744-2021</t>
        </is>
      </c>
      <c r="B813" t="inlineStr">
        <is>
          <t>avverkningsanmälan</t>
        </is>
      </c>
      <c r="C813" t="inlineStr">
        <is>
          <t>Föryngringsavverkning</t>
        </is>
      </c>
      <c r="D813" s="1" t="n">
        <v>44504</v>
      </c>
      <c r="E813" s="1" t="n">
        <v>46323</v>
      </c>
      <c r="F813" t="inlineStr">
        <is>
          <t>KALMAR LÄN</t>
        </is>
      </c>
      <c r="G813" t="inlineStr">
        <is>
          <t>HÖGSBY</t>
        </is>
      </c>
      <c r="I813" t="n">
        <v>11.6</v>
      </c>
      <c r="J813" t="n">
        <v>1</v>
      </c>
      <c r="K813" t="n">
        <v>0</v>
      </c>
      <c r="L813" t="n">
        <v>1</v>
      </c>
      <c r="M813" t="n">
        <v>0</v>
      </c>
      <c r="N813" t="n">
        <v>0</v>
      </c>
      <c r="O813" t="n">
        <v>0</v>
      </c>
      <c r="P813" t="n">
        <v>0</v>
      </c>
      <c r="Q813" t="n">
        <v>1</v>
      </c>
      <c r="R813" t="n">
        <v>0</v>
      </c>
      <c r="S813" t="n">
        <v>1</v>
      </c>
      <c r="T813" t="n">
        <v>1</v>
      </c>
      <c r="U813" t="n">
        <v>1</v>
      </c>
      <c r="V813" s="2" t="inlineStr">
        <is>
          <t>Talltita</t>
        </is>
      </c>
      <c r="W813">
        <f>HYPERLINK("https://klasma.github.io/Logging_0821/artfynd/A 62744-2021 artfynd.xlsx", "A 62744-2021")</f>
        <v/>
      </c>
      <c r="X813">
        <f>HYPERLINK("https://klasma.github.io/Logging_0821/kartor/A 62744-2021 karta.png", "A 62744-2021")</f>
        <v/>
      </c>
      <c r="Y813">
        <f>HYPERLINK("https://klasma.github.io/Logging_0821/kartor_geotiff/A 62744-2021 georefererad karta.tif", "A 62744-2021")</f>
        <v/>
      </c>
      <c r="AA813">
        <f>HYPERLINK("https://klasma.github.io/Logging_0821/klagomål/A 62744-2021 FSC-klagomål.docx", "A 62744-2021")</f>
        <v/>
      </c>
      <c r="AB813">
        <f>HYPERLINK("https://klasma.github.io/Logging_0821/klagomålsmail/A 62744-2021 FSC-klagomål mail.docx", "A 62744-2021")</f>
        <v/>
      </c>
      <c r="AC813">
        <f>HYPERLINK("https://klasma.github.io/Logging_0821/tillsyn/A 62744-2021 tillsynsbegäran.docx", "A 62744-2021")</f>
        <v/>
      </c>
      <c r="AD813">
        <f>HYPERLINK("https://klasma.github.io/Logging_0821/tillsynsmail/A 62744-2021 tillsynsbegäran mail.docx", "A 62744-2021")</f>
        <v/>
      </c>
      <c r="AE813">
        <f>HYPERLINK("https://klasma.github.io/Logging_0821/fåglar/A 62744-2021 prioriterade fågelarter.docx", "A 62744-2021")</f>
        <v/>
      </c>
    </row>
    <row r="814" ht="15" customHeight="1">
      <c r="A814" t="inlineStr">
        <is>
          <t>A 11702-2022</t>
        </is>
      </c>
      <c r="B814" t="inlineStr">
        <is>
          <t>avverkningsanmälan</t>
        </is>
      </c>
      <c r="C814" t="inlineStr">
        <is>
          <t>Föryngringsavverkning</t>
        </is>
      </c>
      <c r="D814" s="1" t="n">
        <v>44634</v>
      </c>
      <c r="E814" s="1" t="n">
        <v>46323</v>
      </c>
      <c r="F814" t="inlineStr">
        <is>
          <t>KALMAR LÄN</t>
        </is>
      </c>
      <c r="G814" t="inlineStr">
        <is>
          <t>MÖNSTERÅS</t>
        </is>
      </c>
      <c r="I814" t="n">
        <v>3.1</v>
      </c>
      <c r="J814" t="n">
        <v>1</v>
      </c>
      <c r="K814" t="n">
        <v>0</v>
      </c>
      <c r="L814" t="n">
        <v>0</v>
      </c>
      <c r="M814" t="n">
        <v>0</v>
      </c>
      <c r="N814" t="n">
        <v>0</v>
      </c>
      <c r="O814" t="n">
        <v>0</v>
      </c>
      <c r="P814" t="n">
        <v>0</v>
      </c>
      <c r="Q814" t="n">
        <v>0</v>
      </c>
      <c r="R814" t="n">
        <v>0</v>
      </c>
      <c r="S814" t="n">
        <v>1</v>
      </c>
      <c r="T814" t="n">
        <v>1</v>
      </c>
      <c r="U814" t="n">
        <v>1</v>
      </c>
      <c r="V814" s="2" t="inlineStr">
        <is>
          <t>Röd glada</t>
        </is>
      </c>
      <c r="W814">
        <f>HYPERLINK("https://klasma.github.io/Logging_0861/artfynd/A 11702-2022 artfynd.xlsx", "A 11702-2022")</f>
        <v/>
      </c>
      <c r="X814">
        <f>HYPERLINK("https://klasma.github.io/Logging_0861/kartor/A 11702-2022 karta.png", "A 11702-2022")</f>
        <v/>
      </c>
      <c r="Y814">
        <f>HYPERLINK("https://klasma.github.io/Logging_0861/kartor_geotiff/A 11702-2022 georefererad karta.tif", "A 11702-2022")</f>
        <v/>
      </c>
      <c r="AA814">
        <f>HYPERLINK("https://klasma.github.io/Logging_0861/klagomål/A 11702-2022 FSC-klagomål.docx", "A 11702-2022")</f>
        <v/>
      </c>
      <c r="AB814">
        <f>HYPERLINK("https://klasma.github.io/Logging_0861/klagomålsmail/A 11702-2022 FSC-klagomål mail.docx", "A 11702-2022")</f>
        <v/>
      </c>
      <c r="AC814">
        <f>HYPERLINK("https://klasma.github.io/Logging_0861/tillsyn/A 11702-2022 tillsynsbegäran.docx", "A 11702-2022")</f>
        <v/>
      </c>
      <c r="AD814">
        <f>HYPERLINK("https://klasma.github.io/Logging_0861/tillsynsmail/A 11702-2022 tillsynsbegäran mail.docx", "A 11702-2022")</f>
        <v/>
      </c>
      <c r="AE814">
        <f>HYPERLINK("https://klasma.github.io/Logging_0861/fåglar/A 11702-2022 prioriterade fågelarter.docx", "A 11702-2022")</f>
        <v/>
      </c>
    </row>
    <row r="815" ht="15" customHeight="1">
      <c r="A815" t="inlineStr">
        <is>
          <t>A 6849-2022</t>
        </is>
      </c>
      <c r="B815" t="inlineStr">
        <is>
          <t>avverkningsanmälan</t>
        </is>
      </c>
      <c r="C815" t="inlineStr">
        <is>
          <t>Föryngringsavverkning</t>
        </is>
      </c>
      <c r="D815" s="1" t="n">
        <v>44602</v>
      </c>
      <c r="E815" s="1" t="n">
        <v>46323</v>
      </c>
      <c r="F815" t="inlineStr">
        <is>
          <t>KALMAR LÄN</t>
        </is>
      </c>
      <c r="G815" t="inlineStr">
        <is>
          <t>NYBRO</t>
        </is>
      </c>
      <c r="I815" t="n">
        <v>1.8</v>
      </c>
      <c r="J815" t="n">
        <v>0</v>
      </c>
      <c r="K815" t="n">
        <v>1</v>
      </c>
      <c r="L815" t="n">
        <v>0</v>
      </c>
      <c r="M815" t="n">
        <v>0</v>
      </c>
      <c r="N815" t="n">
        <v>0</v>
      </c>
      <c r="O815" t="n">
        <v>0</v>
      </c>
      <c r="P815" t="n">
        <v>0</v>
      </c>
      <c r="Q815" t="n">
        <v>0</v>
      </c>
      <c r="R815" t="n">
        <v>0</v>
      </c>
      <c r="S815" t="n">
        <v>1</v>
      </c>
      <c r="T815" t="n">
        <v>1</v>
      </c>
      <c r="U815" t="n">
        <v>0</v>
      </c>
      <c r="V815" s="2" t="inlineStr">
        <is>
          <t>Vågbandad barkbock</t>
        </is>
      </c>
      <c r="W815">
        <f>HYPERLINK("https://klasma.github.io/Logging_0881/artfynd/A 6849-2022 artfynd.xlsx", "A 6849-2022")</f>
        <v/>
      </c>
      <c r="X815">
        <f>HYPERLINK("https://klasma.github.io/Logging_0881/kartor/A 6849-2022 karta.png", "A 6849-2022")</f>
        <v/>
      </c>
      <c r="Y815">
        <f>HYPERLINK("https://klasma.github.io/Logging_0881/kartor_geotiff/A 6849-2022 georefererad karta.tif", "A 6849-2022")</f>
        <v/>
      </c>
      <c r="AA815">
        <f>HYPERLINK("https://klasma.github.io/Logging_0881/klagomål/A 6849-2022 FSC-klagomål.docx", "A 6849-2022")</f>
        <v/>
      </c>
      <c r="AB815">
        <f>HYPERLINK("https://klasma.github.io/Logging_0881/klagomålsmail/A 6849-2022 FSC-klagomål mail.docx", "A 6849-2022")</f>
        <v/>
      </c>
      <c r="AC815">
        <f>HYPERLINK("https://klasma.github.io/Logging_0881/tillsyn/A 6849-2022 tillsynsbegäran.docx", "A 6849-2022")</f>
        <v/>
      </c>
      <c r="AD815">
        <f>HYPERLINK("https://klasma.github.io/Logging_0881/tillsynsmail/A 6849-2022 tillsynsbegäran mail.docx", "A 6849-2022")</f>
        <v/>
      </c>
    </row>
    <row r="816" ht="15" customHeight="1">
      <c r="A816" t="inlineStr">
        <is>
          <t>A 831-2022</t>
        </is>
      </c>
      <c r="B816" t="inlineStr">
        <is>
          <t>avverkningsanmälan</t>
        </is>
      </c>
      <c r="C816" t="inlineStr">
        <is>
          <t>Föryngringsavverkning</t>
        </is>
      </c>
      <c r="D816" s="1" t="n">
        <v>44571</v>
      </c>
      <c r="E816" s="1" t="n">
        <v>46323</v>
      </c>
      <c r="F816" t="inlineStr">
        <is>
          <t>KALMAR LÄN</t>
        </is>
      </c>
      <c r="G816" t="inlineStr">
        <is>
          <t>TORSÅS</t>
        </is>
      </c>
      <c r="I816" t="n">
        <v>0.5</v>
      </c>
      <c r="J816" t="n">
        <v>1</v>
      </c>
      <c r="K816" t="n">
        <v>0</v>
      </c>
      <c r="L816" t="n">
        <v>0</v>
      </c>
      <c r="M816" t="n">
        <v>1</v>
      </c>
      <c r="N816" t="n">
        <v>0</v>
      </c>
      <c r="O816" t="n">
        <v>0</v>
      </c>
      <c r="P816" t="n">
        <v>0</v>
      </c>
      <c r="Q816" t="n">
        <v>1</v>
      </c>
      <c r="R816" t="n">
        <v>1</v>
      </c>
      <c r="S816" t="n">
        <v>1</v>
      </c>
      <c r="T816" t="n">
        <v>1</v>
      </c>
      <c r="U816" t="n">
        <v>1</v>
      </c>
      <c r="V816" s="2" t="inlineStr">
        <is>
          <t>Knärot</t>
        </is>
      </c>
      <c r="W816">
        <f>HYPERLINK("https://klasma.github.io/Logging_0834/artfynd/A 831-2022 artfynd.xlsx", "A 831-2022")</f>
        <v/>
      </c>
      <c r="X816">
        <f>HYPERLINK("https://klasma.github.io/Logging_0834/kartor/A 831-2022 karta.png", "A 831-2022")</f>
        <v/>
      </c>
      <c r="Y816">
        <f>HYPERLINK("https://klasma.github.io/Logging_0834/kartor_geotiff/A 831-2022 georefererad karta.tif", "A 831-2022")</f>
        <v/>
      </c>
      <c r="Z816">
        <f>HYPERLINK("https://klasma.github.io/Logging_0834/knärot/A 831-2022 karta knärot.png", "A 831-2022")</f>
        <v/>
      </c>
      <c r="AA816">
        <f>HYPERLINK("https://klasma.github.io/Logging_0834/klagomål/A 831-2022 FSC-klagomål.docx", "A 831-2022")</f>
        <v/>
      </c>
      <c r="AB816">
        <f>HYPERLINK("https://klasma.github.io/Logging_0834/klagomålsmail/A 831-2022 FSC-klagomål mail.docx", "A 831-2022")</f>
        <v/>
      </c>
      <c r="AC816">
        <f>HYPERLINK("https://klasma.github.io/Logging_0834/tillsyn/A 831-2022 tillsynsbegäran.docx", "A 831-2022")</f>
        <v/>
      </c>
      <c r="AD816">
        <f>HYPERLINK("https://klasma.github.io/Logging_0834/tillsynsmail/A 831-2022 tillsynsbegäran mail.docx", "A 831-2022")</f>
        <v/>
      </c>
    </row>
    <row r="817" ht="15" customHeight="1">
      <c r="A817" t="inlineStr">
        <is>
          <t>A 31295-2022</t>
        </is>
      </c>
      <c r="B817" t="inlineStr">
        <is>
          <t>avverkningsanmälan</t>
        </is>
      </c>
      <c r="C817" t="inlineStr">
        <is>
          <t>Avverkning för att bevara och utveckla /försöksver</t>
        </is>
      </c>
      <c r="D817" s="1" t="n">
        <v>44772</v>
      </c>
      <c r="E817" s="1" t="n">
        <v>46323</v>
      </c>
      <c r="F817" t="inlineStr">
        <is>
          <t>KALMAR LÄN</t>
        </is>
      </c>
      <c r="G817" t="inlineStr">
        <is>
          <t>BORGHOLM</t>
        </is>
      </c>
      <c r="H817" t="inlineStr">
        <is>
          <t>Sveaskog</t>
        </is>
      </c>
      <c r="I817" t="n">
        <v>6.1</v>
      </c>
      <c r="J817" t="n">
        <v>0</v>
      </c>
      <c r="K817" t="n">
        <v>0</v>
      </c>
      <c r="L817" t="n">
        <v>0</v>
      </c>
      <c r="M817" t="n">
        <v>1</v>
      </c>
      <c r="N817" t="n">
        <v>0</v>
      </c>
      <c r="O817" t="n">
        <v>0</v>
      </c>
      <c r="P817" t="n">
        <v>0</v>
      </c>
      <c r="Q817" t="n">
        <v>1</v>
      </c>
      <c r="R817" t="n">
        <v>1</v>
      </c>
      <c r="S817" t="n">
        <v>1</v>
      </c>
      <c r="T817" t="n">
        <v>2</v>
      </c>
      <c r="U817" t="n">
        <v>0</v>
      </c>
      <c r="V817" s="2" t="inlineStr">
        <is>
          <t>Skärrande gräshoppa</t>
        </is>
      </c>
      <c r="W817">
        <f>HYPERLINK("https://klasma.github.io/Logging_0885/artfynd/A 31295-2022 artfynd.xlsx", "A 31295-2022")</f>
        <v/>
      </c>
      <c r="X817">
        <f>HYPERLINK("https://klasma.github.io/Logging_0885/kartor/A 31295-2022 karta.png", "A 31295-2022")</f>
        <v/>
      </c>
      <c r="Y817">
        <f>HYPERLINK("https://klasma.github.io/Logging_0885/kartor_geotiff/A 31295-2022 georefererad karta.tif", "A 31295-2022")</f>
        <v/>
      </c>
      <c r="AA817">
        <f>HYPERLINK("https://klasma.github.io/Logging_0885/klagomål/A 31295-2022 FSC-klagomål.docx", "A 31295-2022")</f>
        <v/>
      </c>
      <c r="AB817">
        <f>HYPERLINK("https://klasma.github.io/Logging_0885/klagomålsmail/A 31295-2022 FSC-klagomål mail.docx", "A 31295-2022")</f>
        <v/>
      </c>
      <c r="AC817">
        <f>HYPERLINK("https://klasma.github.io/Logging_0885/tillsyn/A 31295-2022 tillsynsbegäran.docx", "A 31295-2022")</f>
        <v/>
      </c>
      <c r="AD817">
        <f>HYPERLINK("https://klasma.github.io/Logging_0885/tillsynsmail/A 31295-2022 tillsynsbegäran mail.docx", "A 31295-2022")</f>
        <v/>
      </c>
    </row>
    <row r="818" ht="15" customHeight="1">
      <c r="A818" t="inlineStr">
        <is>
          <t>A 10119-2022</t>
        </is>
      </c>
      <c r="B818" t="inlineStr">
        <is>
          <t>avverkningsanmälan</t>
        </is>
      </c>
      <c r="C818" t="inlineStr">
        <is>
          <t>Föryngringsavverkning</t>
        </is>
      </c>
      <c r="D818" s="1" t="n">
        <v>44621</v>
      </c>
      <c r="E818" s="1" t="n">
        <v>46323</v>
      </c>
      <c r="F818" t="inlineStr">
        <is>
          <t>KALMAR LÄN</t>
        </is>
      </c>
      <c r="G818" t="inlineStr">
        <is>
          <t>VÄSTERVIK</t>
        </is>
      </c>
      <c r="I818" t="n">
        <v>0.9</v>
      </c>
      <c r="J818" t="n">
        <v>1</v>
      </c>
      <c r="K818" t="n">
        <v>0</v>
      </c>
      <c r="L818" t="n">
        <v>0</v>
      </c>
      <c r="M818" t="n">
        <v>1</v>
      </c>
      <c r="N818" t="n">
        <v>0</v>
      </c>
      <c r="O818" t="n">
        <v>0</v>
      </c>
      <c r="P818" t="n">
        <v>0</v>
      </c>
      <c r="Q818" t="n">
        <v>1</v>
      </c>
      <c r="R818" t="n">
        <v>1</v>
      </c>
      <c r="S818" t="n">
        <v>1</v>
      </c>
      <c r="T818" t="n">
        <v>1</v>
      </c>
      <c r="U818" t="n">
        <v>1</v>
      </c>
      <c r="V818" s="2" t="inlineStr">
        <is>
          <t>Hasselsnok</t>
        </is>
      </c>
      <c r="W818">
        <f>HYPERLINK("https://klasma.github.io/Logging_0883/artfynd/A 10119-2022 artfynd.xlsx", "A 10119-2022")</f>
        <v/>
      </c>
      <c r="X818">
        <f>HYPERLINK("https://klasma.github.io/Logging_0883/kartor/A 10119-2022 karta.png", "A 10119-2022")</f>
        <v/>
      </c>
      <c r="Y818">
        <f>HYPERLINK("https://klasma.github.io/Logging_0883/kartor_geotiff/A 10119-2022 georefererad karta.tif", "A 10119-2022")</f>
        <v/>
      </c>
      <c r="AA818">
        <f>HYPERLINK("https://klasma.github.io/Logging_0883/klagomål/A 10119-2022 FSC-klagomål.docx", "A 10119-2022")</f>
        <v/>
      </c>
      <c r="AB818">
        <f>HYPERLINK("https://klasma.github.io/Logging_0883/klagomålsmail/A 10119-2022 FSC-klagomål mail.docx", "A 10119-2022")</f>
        <v/>
      </c>
      <c r="AC818">
        <f>HYPERLINK("https://klasma.github.io/Logging_0883/tillsyn/A 10119-2022 tillsynsbegäran.docx", "A 10119-2022")</f>
        <v/>
      </c>
      <c r="AD818">
        <f>HYPERLINK("https://klasma.github.io/Logging_0883/tillsynsmail/A 10119-2022 tillsynsbegäran mail.docx", "A 10119-2022")</f>
        <v/>
      </c>
    </row>
    <row r="819" ht="15" customHeight="1">
      <c r="A819" t="inlineStr">
        <is>
          <t>A 54675-2022</t>
        </is>
      </c>
      <c r="B819" t="inlineStr">
        <is>
          <t>avverkningsanmälan</t>
        </is>
      </c>
      <c r="C819" t="inlineStr">
        <is>
          <t>Föryngringsavverkning</t>
        </is>
      </c>
      <c r="D819" s="1" t="n">
        <v>44883</v>
      </c>
      <c r="E819" s="1" t="n">
        <v>46323</v>
      </c>
      <c r="F819" t="inlineStr">
        <is>
          <t>KALMAR LÄN</t>
        </is>
      </c>
      <c r="G819" t="inlineStr">
        <is>
          <t>HULTSFRED</t>
        </is>
      </c>
      <c r="I819" t="n">
        <v>1.1</v>
      </c>
      <c r="J819" t="n">
        <v>1</v>
      </c>
      <c r="K819" t="n">
        <v>0</v>
      </c>
      <c r="L819" t="n">
        <v>1</v>
      </c>
      <c r="M819" t="n">
        <v>0</v>
      </c>
      <c r="N819" t="n">
        <v>0</v>
      </c>
      <c r="O819" t="n">
        <v>0</v>
      </c>
      <c r="P819" t="n">
        <v>0</v>
      </c>
      <c r="Q819" t="n">
        <v>1</v>
      </c>
      <c r="R819" t="n">
        <v>0</v>
      </c>
      <c r="S819" t="n">
        <v>1</v>
      </c>
      <c r="T819" t="n">
        <v>1</v>
      </c>
      <c r="U819" t="n">
        <v>1</v>
      </c>
      <c r="V819" s="2" t="inlineStr">
        <is>
          <t>Talltita</t>
        </is>
      </c>
      <c r="W819">
        <f>HYPERLINK("https://klasma.github.io/Logging_0860/artfynd/A 54675-2022 artfynd.xlsx", "A 54675-2022")</f>
        <v/>
      </c>
      <c r="X819">
        <f>HYPERLINK("https://klasma.github.io/Logging_0860/kartor/A 54675-2022 karta.png", "A 54675-2022")</f>
        <v/>
      </c>
      <c r="Y819">
        <f>HYPERLINK("https://klasma.github.io/Logging_0860/kartor_geotiff/A 54675-2022 georefererad karta.tif", "A 54675-2022")</f>
        <v/>
      </c>
      <c r="AA819">
        <f>HYPERLINK("https://klasma.github.io/Logging_0860/klagomål/A 54675-2022 FSC-klagomål.docx", "A 54675-2022")</f>
        <v/>
      </c>
      <c r="AB819">
        <f>HYPERLINK("https://klasma.github.io/Logging_0860/klagomålsmail/A 54675-2022 FSC-klagomål mail.docx", "A 54675-2022")</f>
        <v/>
      </c>
      <c r="AC819">
        <f>HYPERLINK("https://klasma.github.io/Logging_0860/tillsyn/A 54675-2022 tillsynsbegäran.docx", "A 54675-2022")</f>
        <v/>
      </c>
      <c r="AD819">
        <f>HYPERLINK("https://klasma.github.io/Logging_0860/tillsynsmail/A 54675-2022 tillsynsbegäran mail.docx", "A 54675-2022")</f>
        <v/>
      </c>
      <c r="AE819">
        <f>HYPERLINK("https://klasma.github.io/Logging_0860/fåglar/A 54675-2022 prioriterade fågelarter.docx", "A 54675-2022")</f>
        <v/>
      </c>
    </row>
    <row r="820" ht="15" customHeight="1">
      <c r="A820" t="inlineStr">
        <is>
          <t>A 5111-2024</t>
        </is>
      </c>
      <c r="B820" t="inlineStr">
        <is>
          <t>avverkningsanmälan</t>
        </is>
      </c>
      <c r="C820" t="inlineStr">
        <is>
          <t>Föryngringsavverkning</t>
        </is>
      </c>
      <c r="D820" s="1" t="n">
        <v>45330</v>
      </c>
      <c r="E820" s="1" t="n">
        <v>46323</v>
      </c>
      <c r="F820" t="inlineStr">
        <is>
          <t>KALMAR LÄN</t>
        </is>
      </c>
      <c r="G820" t="inlineStr">
        <is>
          <t>OSKARSHAMN</t>
        </is>
      </c>
      <c r="I820" t="n">
        <v>1.3</v>
      </c>
      <c r="J820" t="n">
        <v>1</v>
      </c>
      <c r="K820" t="n">
        <v>0</v>
      </c>
      <c r="L820" t="n">
        <v>0</v>
      </c>
      <c r="M820" t="n">
        <v>1</v>
      </c>
      <c r="N820" t="n">
        <v>0</v>
      </c>
      <c r="O820" t="n">
        <v>0</v>
      </c>
      <c r="P820" t="n">
        <v>0</v>
      </c>
      <c r="Q820" t="n">
        <v>1</v>
      </c>
      <c r="R820" t="n">
        <v>1</v>
      </c>
      <c r="S820" t="n">
        <v>1</v>
      </c>
      <c r="T820" t="n">
        <v>1</v>
      </c>
      <c r="U820" t="n">
        <v>1</v>
      </c>
      <c r="V820" s="2" t="inlineStr">
        <is>
          <t>Knärot</t>
        </is>
      </c>
      <c r="W820">
        <f>HYPERLINK("https://klasma.github.io/Logging_0882/artfynd/A 5111-2024 artfynd.xlsx", "A 5111-2024")</f>
        <v/>
      </c>
      <c r="X820">
        <f>HYPERLINK("https://klasma.github.io/Logging_0882/kartor/A 5111-2024 karta.png", "A 5111-2024")</f>
        <v/>
      </c>
      <c r="Y820">
        <f>HYPERLINK("https://klasma.github.io/Logging_0882/kartor_geotiff/A 5111-2024 georefererad karta.tif", "A 5111-2024")</f>
        <v/>
      </c>
      <c r="Z820">
        <f>HYPERLINK("https://klasma.github.io/Logging_0882/knärot/A 5111-2024 karta knärot.png", "A 5111-2024")</f>
        <v/>
      </c>
      <c r="AA820">
        <f>HYPERLINK("https://klasma.github.io/Logging_0882/klagomål/A 5111-2024 FSC-klagomål.docx", "A 5111-2024")</f>
        <v/>
      </c>
      <c r="AB820">
        <f>HYPERLINK("https://klasma.github.io/Logging_0882/klagomålsmail/A 5111-2024 FSC-klagomål mail.docx", "A 5111-2024")</f>
        <v/>
      </c>
      <c r="AC820">
        <f>HYPERLINK("https://klasma.github.io/Logging_0882/tillsyn/A 5111-2024 tillsynsbegäran.docx", "A 5111-2024")</f>
        <v/>
      </c>
      <c r="AD820">
        <f>HYPERLINK("https://klasma.github.io/Logging_0882/tillsynsmail/A 5111-2024 tillsynsbegäran mail.docx", "A 5111-2024")</f>
        <v/>
      </c>
    </row>
    <row r="821" ht="15" customHeight="1">
      <c r="A821" t="inlineStr">
        <is>
          <t>A 51514-2024</t>
        </is>
      </c>
      <c r="B821" t="inlineStr">
        <is>
          <t>avverkningsanmälan</t>
        </is>
      </c>
      <c r="C821" t="inlineStr">
        <is>
          <t>Föryngringsavverkning</t>
        </is>
      </c>
      <c r="D821" s="1" t="n">
        <v>45604</v>
      </c>
      <c r="E821" s="1" t="n">
        <v>46323</v>
      </c>
      <c r="F821" t="inlineStr">
        <is>
          <t>KALMAR LÄN</t>
        </is>
      </c>
      <c r="G821" t="inlineStr">
        <is>
          <t>VÄSTERVIK</t>
        </is>
      </c>
      <c r="H821" t="inlineStr">
        <is>
          <t>Övriga Aktiebolag</t>
        </is>
      </c>
      <c r="I821" t="n">
        <v>2.4</v>
      </c>
      <c r="J821" t="n">
        <v>1</v>
      </c>
      <c r="K821" t="n">
        <v>0</v>
      </c>
      <c r="L821" t="n">
        <v>0</v>
      </c>
      <c r="M821" t="n">
        <v>0</v>
      </c>
      <c r="N821" t="n">
        <v>0</v>
      </c>
      <c r="O821" t="n">
        <v>0</v>
      </c>
      <c r="P821" t="n">
        <v>0</v>
      </c>
      <c r="Q821" t="n">
        <v>0</v>
      </c>
      <c r="R821" t="n">
        <v>0</v>
      </c>
      <c r="S821" t="n">
        <v>1</v>
      </c>
      <c r="T821" t="n">
        <v>2</v>
      </c>
      <c r="U821" t="n">
        <v>0</v>
      </c>
      <c r="V821" s="2" t="inlineStr">
        <is>
          <t>Havsörn</t>
        </is>
      </c>
      <c r="W821">
        <f>HYPERLINK("https://klasma.github.io/Logging_0883/artfynd/A 51514-2024 artfynd.xlsx", "A 51514-2024")</f>
        <v/>
      </c>
      <c r="X821">
        <f>HYPERLINK("https://klasma.github.io/Logging_0883/kartor/A 51514-2024 karta.png", "A 51514-2024")</f>
        <v/>
      </c>
      <c r="Y821">
        <f>HYPERLINK("https://klasma.github.io/Logging_0883/kartor_geotiff/A 51514-2024 georefererad karta.tif", "A 51514-2024")</f>
        <v/>
      </c>
      <c r="AA821">
        <f>HYPERLINK("https://klasma.github.io/Logging_0883/klagomål/A 51514-2024 FSC-klagomål.docx", "A 51514-2024")</f>
        <v/>
      </c>
      <c r="AB821">
        <f>HYPERLINK("https://klasma.github.io/Logging_0883/klagomålsmail/A 51514-2024 FSC-klagomål mail.docx", "A 51514-2024")</f>
        <v/>
      </c>
      <c r="AC821">
        <f>HYPERLINK("https://klasma.github.io/Logging_0883/tillsyn/A 51514-2024 tillsynsbegäran.docx", "A 51514-2024")</f>
        <v/>
      </c>
      <c r="AD821">
        <f>HYPERLINK("https://klasma.github.io/Logging_0883/tillsynsmail/A 51514-2024 tillsynsbegäran mail.docx", "A 51514-2024")</f>
        <v/>
      </c>
      <c r="AE821">
        <f>HYPERLINK("https://klasma.github.io/Logging_0883/fåglar/A 51514-2024 prioriterade fågelarter.docx", "A 51514-2024")</f>
        <v/>
      </c>
    </row>
    <row r="822" ht="15" customHeight="1">
      <c r="A822" t="inlineStr">
        <is>
          <t>A 32180-2022</t>
        </is>
      </c>
      <c r="B822" t="inlineStr">
        <is>
          <t>avverkningsanmälan</t>
        </is>
      </c>
      <c r="C822" t="inlineStr">
        <is>
          <t>Avverkning för att bevara och utveckla /försöksver</t>
        </is>
      </c>
      <c r="D822" s="1" t="n">
        <v>44781</v>
      </c>
      <c r="E822" s="1" t="n">
        <v>46323</v>
      </c>
      <c r="F822" t="inlineStr">
        <is>
          <t>KALMAR LÄN</t>
        </is>
      </c>
      <c r="G822" t="inlineStr">
        <is>
          <t>BORGHOLM</t>
        </is>
      </c>
      <c r="H822" t="inlineStr">
        <is>
          <t>Sveaskog</t>
        </is>
      </c>
      <c r="I822" t="n">
        <v>0.9</v>
      </c>
      <c r="J822" t="n">
        <v>0</v>
      </c>
      <c r="K822" t="n">
        <v>0</v>
      </c>
      <c r="L822" t="n">
        <v>1</v>
      </c>
      <c r="M822" t="n">
        <v>0</v>
      </c>
      <c r="N822" t="n">
        <v>0</v>
      </c>
      <c r="O822" t="n">
        <v>0</v>
      </c>
      <c r="P822" t="n">
        <v>0</v>
      </c>
      <c r="Q822" t="n">
        <v>1</v>
      </c>
      <c r="R822" t="n">
        <v>0</v>
      </c>
      <c r="S822" t="n">
        <v>1</v>
      </c>
      <c r="T822" t="n">
        <v>1</v>
      </c>
      <c r="U822" t="n">
        <v>0</v>
      </c>
      <c r="V822" s="2" t="inlineStr">
        <is>
          <t>Fyrflikig jordstjärna</t>
        </is>
      </c>
      <c r="W822">
        <f>HYPERLINK("https://klasma.github.io/Logging_0885/artfynd/A 32180-2022 artfynd.xlsx", "A 32180-2022")</f>
        <v/>
      </c>
      <c r="X822">
        <f>HYPERLINK("https://klasma.github.io/Logging_0885/kartor/A 32180-2022 karta.png", "A 32180-2022")</f>
        <v/>
      </c>
      <c r="Y822">
        <f>HYPERLINK("https://klasma.github.io/Logging_0885/kartor_geotiff/A 32180-2022 georefererad karta.tif", "A 32180-2022")</f>
        <v/>
      </c>
      <c r="AA822">
        <f>HYPERLINK("https://klasma.github.io/Logging_0885/klagomål/A 32180-2022 FSC-klagomål.docx", "A 32180-2022")</f>
        <v/>
      </c>
      <c r="AB822">
        <f>HYPERLINK("https://klasma.github.io/Logging_0885/klagomålsmail/A 32180-2022 FSC-klagomål mail.docx", "A 32180-2022")</f>
        <v/>
      </c>
      <c r="AC822">
        <f>HYPERLINK("https://klasma.github.io/Logging_0885/tillsyn/A 32180-2022 tillsynsbegäran.docx", "A 32180-2022")</f>
        <v/>
      </c>
      <c r="AD822">
        <f>HYPERLINK("https://klasma.github.io/Logging_0885/tillsynsmail/A 32180-2022 tillsynsbegäran mail.docx", "A 32180-2022")</f>
        <v/>
      </c>
    </row>
    <row r="823" ht="15" customHeight="1">
      <c r="A823" t="inlineStr">
        <is>
          <t>A 975-2023</t>
        </is>
      </c>
      <c r="B823" t="inlineStr">
        <is>
          <t>avverkningsanmälan</t>
        </is>
      </c>
      <c r="C823" t="inlineStr">
        <is>
          <t>Avverkning för annat ändamål</t>
        </is>
      </c>
      <c r="D823" s="1" t="n">
        <v>44935</v>
      </c>
      <c r="E823" s="1" t="n">
        <v>46323</v>
      </c>
      <c r="F823" t="inlineStr">
        <is>
          <t>KALMAR LÄN</t>
        </is>
      </c>
      <c r="G823" t="inlineStr">
        <is>
          <t>VÄSTERVIK</t>
        </is>
      </c>
      <c r="I823" t="n">
        <v>1.7</v>
      </c>
      <c r="J823" t="n">
        <v>1</v>
      </c>
      <c r="K823" t="n">
        <v>0</v>
      </c>
      <c r="L823" t="n">
        <v>0</v>
      </c>
      <c r="M823" t="n">
        <v>1</v>
      </c>
      <c r="N823" t="n">
        <v>0</v>
      </c>
      <c r="O823" t="n">
        <v>0</v>
      </c>
      <c r="P823" t="n">
        <v>0</v>
      </c>
      <c r="Q823" t="n">
        <v>1</v>
      </c>
      <c r="R823" t="n">
        <v>1</v>
      </c>
      <c r="S823" t="n">
        <v>1</v>
      </c>
      <c r="T823" t="n">
        <v>1</v>
      </c>
      <c r="U823" t="n">
        <v>1</v>
      </c>
      <c r="V823" s="2" t="inlineStr">
        <is>
          <t>Läderbagge</t>
        </is>
      </c>
      <c r="W823">
        <f>HYPERLINK("https://klasma.github.io/Logging_0883/artfynd/A 975-2023 artfynd.xlsx", "A 975-2023")</f>
        <v/>
      </c>
      <c r="X823">
        <f>HYPERLINK("https://klasma.github.io/Logging_0883/kartor/A 975-2023 karta.png", "A 975-2023")</f>
        <v/>
      </c>
      <c r="Y823">
        <f>HYPERLINK("https://klasma.github.io/Logging_0883/kartor_geotiff/A 975-2023 georefererad karta.tif", "A 975-2023")</f>
        <v/>
      </c>
      <c r="AA823">
        <f>HYPERLINK("https://klasma.github.io/Logging_0883/klagomål/A 975-2023 FSC-klagomål.docx", "A 975-2023")</f>
        <v/>
      </c>
      <c r="AB823">
        <f>HYPERLINK("https://klasma.github.io/Logging_0883/klagomålsmail/A 975-2023 FSC-klagomål mail.docx", "A 975-2023")</f>
        <v/>
      </c>
      <c r="AC823">
        <f>HYPERLINK("https://klasma.github.io/Logging_0883/tillsyn/A 975-2023 tillsynsbegäran.docx", "A 975-2023")</f>
        <v/>
      </c>
      <c r="AD823">
        <f>HYPERLINK("https://klasma.github.io/Logging_0883/tillsynsmail/A 975-2023 tillsynsbegäran mail.docx", "A 975-2023")</f>
        <v/>
      </c>
    </row>
    <row r="824" ht="15" customHeight="1">
      <c r="A824" t="inlineStr">
        <is>
          <t>A 27054-2022</t>
        </is>
      </c>
      <c r="B824" t="inlineStr">
        <is>
          <t>avverkningsanmälan</t>
        </is>
      </c>
      <c r="C824" t="inlineStr">
        <is>
          <t>Föryngringsavverkning</t>
        </is>
      </c>
      <c r="D824" s="1" t="n">
        <v>44740</v>
      </c>
      <c r="E824" s="1" t="n">
        <v>46323</v>
      </c>
      <c r="F824" t="inlineStr">
        <is>
          <t>KALMAR LÄN</t>
        </is>
      </c>
      <c r="G824" t="inlineStr">
        <is>
          <t>KALMAR</t>
        </is>
      </c>
      <c r="I824" t="n">
        <v>1.1</v>
      </c>
      <c r="J824" t="n">
        <v>1</v>
      </c>
      <c r="K824" t="n">
        <v>0</v>
      </c>
      <c r="L824" t="n">
        <v>0</v>
      </c>
      <c r="M824" t="n">
        <v>0</v>
      </c>
      <c r="N824" t="n">
        <v>0</v>
      </c>
      <c r="O824" t="n">
        <v>0</v>
      </c>
      <c r="P824" t="n">
        <v>0</v>
      </c>
      <c r="Q824" t="n">
        <v>0</v>
      </c>
      <c r="R824" t="n">
        <v>0</v>
      </c>
      <c r="S824" t="n">
        <v>1</v>
      </c>
      <c r="T824" t="n">
        <v>1</v>
      </c>
      <c r="U824" t="n">
        <v>1</v>
      </c>
      <c r="V824" s="2" t="inlineStr">
        <is>
          <t>Blåsippa</t>
        </is>
      </c>
      <c r="W824">
        <f>HYPERLINK("https://klasma.github.io/Logging_0880/artfynd/A 27054-2022 artfynd.xlsx", "A 27054-2022")</f>
        <v/>
      </c>
      <c r="X824">
        <f>HYPERLINK("https://klasma.github.io/Logging_0880/kartor/A 27054-2022 karta.png", "A 27054-2022")</f>
        <v/>
      </c>
      <c r="Y824">
        <f>HYPERLINK("https://klasma.github.io/Logging_0880/kartor_geotiff/A 27054-2022 georefererad karta.tif", "A 27054-2022")</f>
        <v/>
      </c>
      <c r="AA824">
        <f>HYPERLINK("https://klasma.github.io/Logging_0880/klagomål/A 27054-2022 FSC-klagomål.docx", "A 27054-2022")</f>
        <v/>
      </c>
      <c r="AB824">
        <f>HYPERLINK("https://klasma.github.io/Logging_0880/klagomålsmail/A 27054-2022 FSC-klagomål mail.docx", "A 27054-2022")</f>
        <v/>
      </c>
      <c r="AC824">
        <f>HYPERLINK("https://klasma.github.io/Logging_0880/tillsyn/A 27054-2022 tillsynsbegäran.docx", "A 27054-2022")</f>
        <v/>
      </c>
      <c r="AD824">
        <f>HYPERLINK("https://klasma.github.io/Logging_0880/tillsynsmail/A 27054-2022 tillsynsbegäran mail.docx", "A 27054-2022")</f>
        <v/>
      </c>
    </row>
    <row r="825" ht="15" customHeight="1">
      <c r="A825" t="inlineStr">
        <is>
          <t>A 5884-2024</t>
        </is>
      </c>
      <c r="B825" t="inlineStr">
        <is>
          <t>avverkningsanmälan</t>
        </is>
      </c>
      <c r="C825" t="inlineStr">
        <is>
          <t>Föryngringsavverkning</t>
        </is>
      </c>
      <c r="D825" s="1" t="n">
        <v>45335</v>
      </c>
      <c r="E825" s="1" t="n">
        <v>46323</v>
      </c>
      <c r="F825" t="inlineStr">
        <is>
          <t>KALMAR LÄN</t>
        </is>
      </c>
      <c r="G825" t="inlineStr">
        <is>
          <t>EMMABODA</t>
        </is>
      </c>
      <c r="I825" t="n">
        <v>4.7</v>
      </c>
      <c r="J825" t="n">
        <v>1</v>
      </c>
      <c r="K825" t="n">
        <v>1</v>
      </c>
      <c r="L825" t="n">
        <v>0</v>
      </c>
      <c r="M825" t="n">
        <v>0</v>
      </c>
      <c r="N825" t="n">
        <v>0</v>
      </c>
      <c r="O825" t="n">
        <v>0</v>
      </c>
      <c r="P825" t="n">
        <v>0</v>
      </c>
      <c r="Q825" t="n">
        <v>0</v>
      </c>
      <c r="R825" t="n">
        <v>0</v>
      </c>
      <c r="S825" t="n">
        <v>1</v>
      </c>
      <c r="T825" t="n">
        <v>1</v>
      </c>
      <c r="U825" t="n">
        <v>0</v>
      </c>
      <c r="V825" s="2" t="inlineStr">
        <is>
          <t>Grön sköldmossa</t>
        </is>
      </c>
      <c r="W825">
        <f>HYPERLINK("https://klasma.github.io/Logging_0862/artfynd/A 5884-2024 artfynd.xlsx", "A 5884-2024")</f>
        <v/>
      </c>
      <c r="X825">
        <f>HYPERLINK("https://klasma.github.io/Logging_0862/kartor/A 5884-2024 karta.png", "A 5884-2024")</f>
        <v/>
      </c>
      <c r="Y825">
        <f>HYPERLINK("https://klasma.github.io/Logging_0862/kartor_geotiff/A 5884-2024 georefererad karta.tif", "A 5884-2024")</f>
        <v/>
      </c>
      <c r="AA825">
        <f>HYPERLINK("https://klasma.github.io/Logging_0862/klagomål/A 5884-2024 FSC-klagomål.docx", "A 5884-2024")</f>
        <v/>
      </c>
      <c r="AB825">
        <f>HYPERLINK("https://klasma.github.io/Logging_0862/klagomålsmail/A 5884-2024 FSC-klagomål mail.docx", "A 5884-2024")</f>
        <v/>
      </c>
      <c r="AC825">
        <f>HYPERLINK("https://klasma.github.io/Logging_0862/tillsyn/A 5884-2024 tillsynsbegäran.docx", "A 5884-2024")</f>
        <v/>
      </c>
      <c r="AD825">
        <f>HYPERLINK("https://klasma.github.io/Logging_0862/tillsynsmail/A 5884-2024 tillsynsbegäran mail.docx", "A 5884-2024")</f>
        <v/>
      </c>
    </row>
    <row r="826" ht="15" customHeight="1">
      <c r="A826" t="inlineStr">
        <is>
          <t>A 31720-2022</t>
        </is>
      </c>
      <c r="B826" t="inlineStr">
        <is>
          <t>avverkningsanmälan</t>
        </is>
      </c>
      <c r="C826" t="inlineStr">
        <is>
          <t>Föryngringsavverkning</t>
        </is>
      </c>
      <c r="D826" s="1" t="n">
        <v>44776</v>
      </c>
      <c r="E826" s="1" t="n">
        <v>46323</v>
      </c>
      <c r="F826" t="inlineStr">
        <is>
          <t>KALMAR LÄN</t>
        </is>
      </c>
      <c r="G826" t="inlineStr">
        <is>
          <t>BORGHOLM</t>
        </is>
      </c>
      <c r="H826" t="inlineStr">
        <is>
          <t>Sveaskog</t>
        </is>
      </c>
      <c r="I826" t="n">
        <v>4.5</v>
      </c>
      <c r="J826" t="n">
        <v>1</v>
      </c>
      <c r="K826" t="n">
        <v>1</v>
      </c>
      <c r="L826" t="n">
        <v>0</v>
      </c>
      <c r="M826" t="n">
        <v>0</v>
      </c>
      <c r="N826" t="n">
        <v>0</v>
      </c>
      <c r="O826" t="n">
        <v>0</v>
      </c>
      <c r="P826" t="n">
        <v>0</v>
      </c>
      <c r="Q826" t="n">
        <v>0</v>
      </c>
      <c r="R826" t="n">
        <v>0</v>
      </c>
      <c r="S826" t="n">
        <v>1</v>
      </c>
      <c r="T826" t="n">
        <v>1</v>
      </c>
      <c r="U826" t="n">
        <v>1</v>
      </c>
      <c r="V826" s="2" t="inlineStr">
        <is>
          <t>Tvåblad</t>
        </is>
      </c>
      <c r="W826">
        <f>HYPERLINK("https://klasma.github.io/Logging_0885/artfynd/A 31720-2022 artfynd.xlsx", "A 31720-2022")</f>
        <v/>
      </c>
      <c r="X826">
        <f>HYPERLINK("https://klasma.github.io/Logging_0885/kartor/A 31720-2022 karta.png", "A 31720-2022")</f>
        <v/>
      </c>
      <c r="Y826">
        <f>HYPERLINK("https://klasma.github.io/Logging_0885/kartor_geotiff/A 31720-2022 georefererad karta.tif", "A 31720-2022")</f>
        <v/>
      </c>
      <c r="AA826">
        <f>HYPERLINK("https://klasma.github.io/Logging_0885/klagomål/A 31720-2022 FSC-klagomål.docx", "A 31720-2022")</f>
        <v/>
      </c>
      <c r="AB826">
        <f>HYPERLINK("https://klasma.github.io/Logging_0885/klagomålsmail/A 31720-2022 FSC-klagomål mail.docx", "A 31720-2022")</f>
        <v/>
      </c>
      <c r="AC826">
        <f>HYPERLINK("https://klasma.github.io/Logging_0885/tillsyn/A 31720-2022 tillsynsbegäran.docx", "A 31720-2022")</f>
        <v/>
      </c>
      <c r="AD826">
        <f>HYPERLINK("https://klasma.github.io/Logging_0885/tillsynsmail/A 31720-2022 tillsynsbegäran mail.docx", "A 31720-2022")</f>
        <v/>
      </c>
    </row>
    <row r="827" ht="15" customHeight="1">
      <c r="A827" t="inlineStr">
        <is>
          <t>A 30597-2022</t>
        </is>
      </c>
      <c r="B827" t="inlineStr">
        <is>
          <t>avverkningsanmälan</t>
        </is>
      </c>
      <c r="C827" t="inlineStr">
        <is>
          <t>Avverkning för annat ändamål</t>
        </is>
      </c>
      <c r="D827" s="1" t="n">
        <v>44762</v>
      </c>
      <c r="E827" s="1" t="n">
        <v>46323</v>
      </c>
      <c r="F827" t="inlineStr">
        <is>
          <t>KALMAR LÄN</t>
        </is>
      </c>
      <c r="G827" t="inlineStr">
        <is>
          <t>EMMABODA</t>
        </is>
      </c>
      <c r="I827" t="n">
        <v>0.9</v>
      </c>
      <c r="J827" t="n">
        <v>1</v>
      </c>
      <c r="K827" t="n">
        <v>0</v>
      </c>
      <c r="L827" t="n">
        <v>0</v>
      </c>
      <c r="M827" t="n">
        <v>0</v>
      </c>
      <c r="N827" t="n">
        <v>0</v>
      </c>
      <c r="O827" t="n">
        <v>0</v>
      </c>
      <c r="P827" t="n">
        <v>0</v>
      </c>
      <c r="Q827" t="n">
        <v>0</v>
      </c>
      <c r="R827" t="n">
        <v>0</v>
      </c>
      <c r="S827" t="n">
        <v>1</v>
      </c>
      <c r="T827" t="n">
        <v>1</v>
      </c>
      <c r="U827" t="n">
        <v>0</v>
      </c>
      <c r="V827" s="2" t="inlineStr">
        <is>
          <t>Hasselmus</t>
        </is>
      </c>
      <c r="W827">
        <f>HYPERLINK("https://klasma.github.io/Logging_0862/artfynd/A 30597-2022 artfynd.xlsx", "A 30597-2022")</f>
        <v/>
      </c>
      <c r="X827">
        <f>HYPERLINK("https://klasma.github.io/Logging_0862/kartor/A 30597-2022 karta.png", "A 30597-2022")</f>
        <v/>
      </c>
      <c r="Y827">
        <f>HYPERLINK("https://klasma.github.io/Logging_0862/kartor_geotiff/A 30597-2022 georefererad karta.tif", "A 30597-2022")</f>
        <v/>
      </c>
      <c r="AA827">
        <f>HYPERLINK("https://klasma.github.io/Logging_0862/klagomål/A 30597-2022 FSC-klagomål.docx", "A 30597-2022")</f>
        <v/>
      </c>
      <c r="AB827">
        <f>HYPERLINK("https://klasma.github.io/Logging_0862/klagomålsmail/A 30597-2022 FSC-klagomål mail.docx", "A 30597-2022")</f>
        <v/>
      </c>
      <c r="AC827">
        <f>HYPERLINK("https://klasma.github.io/Logging_0862/tillsyn/A 30597-2022 tillsynsbegäran.docx", "A 30597-2022")</f>
        <v/>
      </c>
      <c r="AD827">
        <f>HYPERLINK("https://klasma.github.io/Logging_0862/tillsynsmail/A 30597-2022 tillsynsbegäran mail.docx", "A 30597-2022")</f>
        <v/>
      </c>
    </row>
    <row r="828" ht="15" customHeight="1">
      <c r="A828" t="inlineStr">
        <is>
          <t>A 21522-2023</t>
        </is>
      </c>
      <c r="B828" t="inlineStr">
        <is>
          <t>avverkningsanmälan</t>
        </is>
      </c>
      <c r="C828" t="inlineStr">
        <is>
          <t>Föryngringsavverkning</t>
        </is>
      </c>
      <c r="D828" s="1" t="n">
        <v>45063</v>
      </c>
      <c r="E828" s="1" t="n">
        <v>46323</v>
      </c>
      <c r="F828" t="inlineStr">
        <is>
          <t>KALMAR LÄN</t>
        </is>
      </c>
      <c r="G828" t="inlineStr">
        <is>
          <t>KALMAR</t>
        </is>
      </c>
      <c r="H828" t="inlineStr">
        <is>
          <t>Sveaskog</t>
        </is>
      </c>
      <c r="I828" t="n">
        <v>5.2</v>
      </c>
      <c r="J828" t="n">
        <v>1</v>
      </c>
      <c r="K828" t="n">
        <v>0</v>
      </c>
      <c r="L828" t="n">
        <v>0</v>
      </c>
      <c r="M828" t="n">
        <v>0</v>
      </c>
      <c r="N828" t="n">
        <v>0</v>
      </c>
      <c r="O828" t="n">
        <v>0</v>
      </c>
      <c r="P828" t="n">
        <v>0</v>
      </c>
      <c r="Q828" t="n">
        <v>0</v>
      </c>
      <c r="R828" t="n">
        <v>0</v>
      </c>
      <c r="S828" t="n">
        <v>1</v>
      </c>
      <c r="T828" t="n">
        <v>1</v>
      </c>
      <c r="U828" t="n">
        <v>0</v>
      </c>
      <c r="V828" s="2" t="inlineStr">
        <is>
          <t>Havsörn</t>
        </is>
      </c>
      <c r="W828">
        <f>HYPERLINK("https://klasma.github.io/Logging_0880/artfynd/A 21522-2023 artfynd.xlsx", "A 21522-2023")</f>
        <v/>
      </c>
      <c r="X828">
        <f>HYPERLINK("https://klasma.github.io/Logging_0880/kartor/A 21522-2023 karta.png", "A 21522-2023")</f>
        <v/>
      </c>
      <c r="Y828">
        <f>HYPERLINK("https://klasma.github.io/Logging_0880/kartor_geotiff/A 21522-2023 georefererad karta.tif", "A 21522-2023")</f>
        <v/>
      </c>
      <c r="AA828">
        <f>HYPERLINK("https://klasma.github.io/Logging_0880/klagomål/A 21522-2023 FSC-klagomål.docx", "A 21522-2023")</f>
        <v/>
      </c>
      <c r="AB828">
        <f>HYPERLINK("https://klasma.github.io/Logging_0880/klagomålsmail/A 21522-2023 FSC-klagomål mail.docx", "A 21522-2023")</f>
        <v/>
      </c>
      <c r="AC828">
        <f>HYPERLINK("https://klasma.github.io/Logging_0880/tillsyn/A 21522-2023 tillsynsbegäran.docx", "A 21522-2023")</f>
        <v/>
      </c>
      <c r="AD828">
        <f>HYPERLINK("https://klasma.github.io/Logging_0880/tillsynsmail/A 21522-2023 tillsynsbegäran mail.docx", "A 21522-2023")</f>
        <v/>
      </c>
      <c r="AE828">
        <f>HYPERLINK("https://klasma.github.io/Logging_0880/fåglar/A 21522-2023 prioriterade fågelarter.docx", "A 21522-2023")</f>
        <v/>
      </c>
    </row>
    <row r="829" ht="15" customHeight="1">
      <c r="A829" t="inlineStr">
        <is>
          <t>A 63276-2023</t>
        </is>
      </c>
      <c r="B829" t="inlineStr">
        <is>
          <t>avverkningsanmälan</t>
        </is>
      </c>
      <c r="C829" t="inlineStr">
        <is>
          <t>Föryngringsavverkning</t>
        </is>
      </c>
      <c r="D829" s="1" t="n">
        <v>45273</v>
      </c>
      <c r="E829" s="1" t="n">
        <v>46323</v>
      </c>
      <c r="F829" t="inlineStr">
        <is>
          <t>KALMAR LÄN</t>
        </is>
      </c>
      <c r="G829" t="inlineStr">
        <is>
          <t>BORGHOLM</t>
        </is>
      </c>
      <c r="I829" t="n">
        <v>5</v>
      </c>
      <c r="J829" t="n">
        <v>0</v>
      </c>
      <c r="K829" t="n">
        <v>0</v>
      </c>
      <c r="L829" t="n">
        <v>0</v>
      </c>
      <c r="M829" t="n">
        <v>1</v>
      </c>
      <c r="N829" t="n">
        <v>0</v>
      </c>
      <c r="O829" t="n">
        <v>0</v>
      </c>
      <c r="P829" t="n">
        <v>0</v>
      </c>
      <c r="Q829" t="n">
        <v>1</v>
      </c>
      <c r="R829" t="n">
        <v>1</v>
      </c>
      <c r="S829" t="n">
        <v>1</v>
      </c>
      <c r="T829" t="n">
        <v>1</v>
      </c>
      <c r="U829" t="n">
        <v>0</v>
      </c>
      <c r="V829" s="2" t="inlineStr">
        <is>
          <t>Elaphomyces barrioi</t>
        </is>
      </c>
      <c r="W829">
        <f>HYPERLINK("https://klasma.github.io/Logging_0885/artfynd/A 63276-2023 artfynd.xlsx", "A 63276-2023")</f>
        <v/>
      </c>
      <c r="X829">
        <f>HYPERLINK("https://klasma.github.io/Logging_0885/kartor/A 63276-2023 karta.png", "A 63276-2023")</f>
        <v/>
      </c>
      <c r="Y829">
        <f>HYPERLINK("https://klasma.github.io/Logging_0885/kartor_geotiff/A 63276-2023 georefererad karta.tif", "A 63276-2023")</f>
        <v/>
      </c>
      <c r="AA829">
        <f>HYPERLINK("https://klasma.github.io/Logging_0885/klagomål/A 63276-2023 FSC-klagomål.docx", "A 63276-2023")</f>
        <v/>
      </c>
      <c r="AB829">
        <f>HYPERLINK("https://klasma.github.io/Logging_0885/klagomålsmail/A 63276-2023 FSC-klagomål mail.docx", "A 63276-2023")</f>
        <v/>
      </c>
      <c r="AC829">
        <f>HYPERLINK("https://klasma.github.io/Logging_0885/tillsyn/A 63276-2023 tillsynsbegäran.docx", "A 63276-2023")</f>
        <v/>
      </c>
      <c r="AD829">
        <f>HYPERLINK("https://klasma.github.io/Logging_0885/tillsynsmail/A 63276-2023 tillsynsbegäran mail.docx", "A 63276-2023")</f>
        <v/>
      </c>
    </row>
    <row r="830" ht="15" customHeight="1">
      <c r="A830" t="inlineStr">
        <is>
          <t>A 54314-2022</t>
        </is>
      </c>
      <c r="B830" t="inlineStr">
        <is>
          <t>avverkningsanmälan</t>
        </is>
      </c>
      <c r="C830" t="inlineStr">
        <is>
          <t>Föryngringsavverkning</t>
        </is>
      </c>
      <c r="D830" s="1" t="n">
        <v>44882</v>
      </c>
      <c r="E830" s="1" t="n">
        <v>46323</v>
      </c>
      <c r="F830" t="inlineStr">
        <is>
          <t>KALMAR LÄN</t>
        </is>
      </c>
      <c r="G830" t="inlineStr">
        <is>
          <t>NYBRO</t>
        </is>
      </c>
      <c r="I830" t="n">
        <v>0.5</v>
      </c>
      <c r="J830" t="n">
        <v>0</v>
      </c>
      <c r="K830" t="n">
        <v>0</v>
      </c>
      <c r="L830" t="n">
        <v>0</v>
      </c>
      <c r="M830" t="n">
        <v>0</v>
      </c>
      <c r="N830" t="n">
        <v>1</v>
      </c>
      <c r="O830" t="n">
        <v>0</v>
      </c>
      <c r="P830" t="n">
        <v>0</v>
      </c>
      <c r="Q830" t="n">
        <v>1</v>
      </c>
      <c r="R830" t="n">
        <v>1</v>
      </c>
      <c r="S830" t="n">
        <v>1</v>
      </c>
      <c r="T830" t="n">
        <v>6</v>
      </c>
      <c r="U830" t="n">
        <v>0</v>
      </c>
      <c r="V830" s="2" t="inlineStr">
        <is>
          <t>Ask</t>
        </is>
      </c>
      <c r="W830">
        <f>HYPERLINK("https://klasma.github.io/Logging_0881/artfynd/A 54314-2022 artfynd.xlsx", "A 54314-2022")</f>
        <v/>
      </c>
      <c r="X830">
        <f>HYPERLINK("https://klasma.github.io/Logging_0881/kartor/A 54314-2022 karta.png", "A 54314-2022")</f>
        <v/>
      </c>
      <c r="Y830">
        <f>HYPERLINK("https://klasma.github.io/Logging_0881/kartor_geotiff/A 54314-2022 georefererad karta.tif", "A 54314-2022")</f>
        <v/>
      </c>
      <c r="AA830">
        <f>HYPERLINK("https://klasma.github.io/Logging_0881/klagomål/A 54314-2022 FSC-klagomål.docx", "A 54314-2022")</f>
        <v/>
      </c>
      <c r="AB830">
        <f>HYPERLINK("https://klasma.github.io/Logging_0881/klagomålsmail/A 54314-2022 FSC-klagomål mail.docx", "A 54314-2022")</f>
        <v/>
      </c>
      <c r="AC830">
        <f>HYPERLINK("https://klasma.github.io/Logging_0881/tillsyn/A 54314-2022 tillsynsbegäran.docx", "A 54314-2022")</f>
        <v/>
      </c>
      <c r="AD830">
        <f>HYPERLINK("https://klasma.github.io/Logging_0881/tillsynsmail/A 54314-2022 tillsynsbegäran mail.docx", "A 54314-2022")</f>
        <v/>
      </c>
    </row>
    <row r="831" ht="15" customHeight="1">
      <c r="A831" t="inlineStr">
        <is>
          <t>A 25475-2022</t>
        </is>
      </c>
      <c r="B831" t="inlineStr">
        <is>
          <t>avverkningsanmälan</t>
        </is>
      </c>
      <c r="C831" t="inlineStr">
        <is>
          <t>Föryngringsavverkning</t>
        </is>
      </c>
      <c r="D831" s="1" t="n">
        <v>44732</v>
      </c>
      <c r="E831" s="1" t="n">
        <v>46323</v>
      </c>
      <c r="F831" t="inlineStr">
        <is>
          <t>KALMAR LÄN</t>
        </is>
      </c>
      <c r="G831" t="inlineStr">
        <is>
          <t>HULTSFRED</t>
        </is>
      </c>
      <c r="H831" t="inlineStr">
        <is>
          <t>Kyrkan</t>
        </is>
      </c>
      <c r="I831" t="n">
        <v>6.3</v>
      </c>
      <c r="J831" t="n">
        <v>1</v>
      </c>
      <c r="K831" t="n">
        <v>0</v>
      </c>
      <c r="L831" t="n">
        <v>0</v>
      </c>
      <c r="M831" t="n">
        <v>0</v>
      </c>
      <c r="N831" t="n">
        <v>0</v>
      </c>
      <c r="O831" t="n">
        <v>0</v>
      </c>
      <c r="P831" t="n">
        <v>0</v>
      </c>
      <c r="Q831" t="n">
        <v>0</v>
      </c>
      <c r="R831" t="n">
        <v>0</v>
      </c>
      <c r="S831" t="n">
        <v>1</v>
      </c>
      <c r="T831" t="n">
        <v>1</v>
      </c>
      <c r="U831" t="n">
        <v>0</v>
      </c>
      <c r="V831" s="2" t="inlineStr">
        <is>
          <t>Fläcknycklar</t>
        </is>
      </c>
      <c r="W831">
        <f>HYPERLINK("https://klasma.github.io/Logging_0860/artfynd/A 25475-2022 artfynd.xlsx", "A 25475-2022")</f>
        <v/>
      </c>
      <c r="X831">
        <f>HYPERLINK("https://klasma.github.io/Logging_0860/kartor/A 25475-2022 karta.png", "A 25475-2022")</f>
        <v/>
      </c>
      <c r="Y831">
        <f>HYPERLINK("https://klasma.github.io/Logging_0860/kartor_geotiff/A 25475-2022 georefererad karta.tif", "A 25475-2022")</f>
        <v/>
      </c>
      <c r="AA831">
        <f>HYPERLINK("https://klasma.github.io/Logging_0860/klagomål/A 25475-2022 FSC-klagomål.docx", "A 25475-2022")</f>
        <v/>
      </c>
      <c r="AB831">
        <f>HYPERLINK("https://klasma.github.io/Logging_0860/klagomålsmail/A 25475-2022 FSC-klagomål mail.docx", "A 25475-2022")</f>
        <v/>
      </c>
      <c r="AC831">
        <f>HYPERLINK("https://klasma.github.io/Logging_0860/tillsyn/A 25475-2022 tillsynsbegäran.docx", "A 25475-2022")</f>
        <v/>
      </c>
      <c r="AD831">
        <f>HYPERLINK("https://klasma.github.io/Logging_0860/tillsynsmail/A 25475-2022 tillsynsbegäran mail.docx", "A 25475-2022")</f>
        <v/>
      </c>
    </row>
    <row r="832" ht="15" customHeight="1">
      <c r="A832" t="inlineStr">
        <is>
          <t>A 61806-2023</t>
        </is>
      </c>
      <c r="B832" t="inlineStr">
        <is>
          <t>avverkningsanmälan</t>
        </is>
      </c>
      <c r="C832" t="inlineStr">
        <is>
          <t>Föryngringsavverkning</t>
        </is>
      </c>
      <c r="D832" s="1" t="n">
        <v>45266</v>
      </c>
      <c r="E832" s="1" t="n">
        <v>46323</v>
      </c>
      <c r="F832" t="inlineStr">
        <is>
          <t>KALMAR LÄN</t>
        </is>
      </c>
      <c r="G832" t="inlineStr">
        <is>
          <t>VÄSTERVIK</t>
        </is>
      </c>
      <c r="I832" t="n">
        <v>1.1</v>
      </c>
      <c r="J832" t="n">
        <v>0</v>
      </c>
      <c r="K832" t="n">
        <v>0</v>
      </c>
      <c r="L832" t="n">
        <v>1</v>
      </c>
      <c r="M832" t="n">
        <v>0</v>
      </c>
      <c r="N832" t="n">
        <v>0</v>
      </c>
      <c r="O832" t="n">
        <v>0</v>
      </c>
      <c r="P832" t="n">
        <v>0</v>
      </c>
      <c r="Q832" t="n">
        <v>1</v>
      </c>
      <c r="R832" t="n">
        <v>0</v>
      </c>
      <c r="S832" t="n">
        <v>1</v>
      </c>
      <c r="T832" t="n">
        <v>1</v>
      </c>
      <c r="U832" t="n">
        <v>1</v>
      </c>
      <c r="V832" s="2" t="inlineStr">
        <is>
          <t>Veckticka</t>
        </is>
      </c>
      <c r="W832">
        <f>HYPERLINK("https://klasma.github.io/Logging_0883/artfynd/A 61806-2023 artfynd.xlsx", "A 61806-2023")</f>
        <v/>
      </c>
      <c r="X832">
        <f>HYPERLINK("https://klasma.github.io/Logging_0883/kartor/A 61806-2023 karta.png", "A 61806-2023")</f>
        <v/>
      </c>
      <c r="Y832">
        <f>HYPERLINK("https://klasma.github.io/Logging_0883/kartor_geotiff/A 61806-2023 georefererad karta.tif", "A 61806-2023")</f>
        <v/>
      </c>
      <c r="AA832">
        <f>HYPERLINK("https://klasma.github.io/Logging_0883/klagomål/A 61806-2023 FSC-klagomål.docx", "A 61806-2023")</f>
        <v/>
      </c>
      <c r="AB832">
        <f>HYPERLINK("https://klasma.github.io/Logging_0883/klagomålsmail/A 61806-2023 FSC-klagomål mail.docx", "A 61806-2023")</f>
        <v/>
      </c>
      <c r="AC832">
        <f>HYPERLINK("https://klasma.github.io/Logging_0883/tillsyn/A 61806-2023 tillsynsbegäran.docx", "A 61806-2023")</f>
        <v/>
      </c>
      <c r="AD832">
        <f>HYPERLINK("https://klasma.github.io/Logging_0883/tillsynsmail/A 61806-2023 tillsynsbegäran mail.docx", "A 61806-2023")</f>
        <v/>
      </c>
    </row>
    <row r="833" ht="15" customHeight="1">
      <c r="A833" t="inlineStr">
        <is>
          <t>A 65314-2021</t>
        </is>
      </c>
      <c r="B833" t="inlineStr">
        <is>
          <t>avverkningsanmälan</t>
        </is>
      </c>
      <c r="C833" t="inlineStr">
        <is>
          <t>Föryngringsavverkning</t>
        </is>
      </c>
      <c r="D833" s="1" t="n">
        <v>44515</v>
      </c>
      <c r="E833" s="1" t="n">
        <v>46323</v>
      </c>
      <c r="F833" t="inlineStr">
        <is>
          <t>KALMAR LÄN</t>
        </is>
      </c>
      <c r="G833" t="inlineStr">
        <is>
          <t>OSKARSHAMN</t>
        </is>
      </c>
      <c r="I833" t="n">
        <v>0.5</v>
      </c>
      <c r="J833" t="n">
        <v>0</v>
      </c>
      <c r="K833" t="n">
        <v>0</v>
      </c>
      <c r="L833" t="n">
        <v>1</v>
      </c>
      <c r="M833" t="n">
        <v>0</v>
      </c>
      <c r="N833" t="n">
        <v>0</v>
      </c>
      <c r="O833" t="n">
        <v>0</v>
      </c>
      <c r="P833" t="n">
        <v>0</v>
      </c>
      <c r="Q833" t="n">
        <v>1</v>
      </c>
      <c r="R833" t="n">
        <v>0</v>
      </c>
      <c r="S833" t="n">
        <v>1</v>
      </c>
      <c r="T833" t="n">
        <v>3</v>
      </c>
      <c r="U833" t="n">
        <v>3</v>
      </c>
      <c r="V833" s="2" t="inlineStr">
        <is>
          <t>Klubbsprötad bastardsvärmare</t>
        </is>
      </c>
      <c r="W833">
        <f>HYPERLINK("https://klasma.github.io/Logging_0882/artfynd/A 65314-2021 artfynd.xlsx", "A 65314-2021")</f>
        <v/>
      </c>
      <c r="X833">
        <f>HYPERLINK("https://klasma.github.io/Logging_0882/kartor/A 65314-2021 karta.png", "A 65314-2021")</f>
        <v/>
      </c>
      <c r="Y833">
        <f>HYPERLINK("https://klasma.github.io/Logging_0882/kartor_geotiff/A 65314-2021 georefererad karta.tif", "A 65314-2021")</f>
        <v/>
      </c>
      <c r="AA833">
        <f>HYPERLINK("https://klasma.github.io/Logging_0882/klagomål/A 65314-2021 FSC-klagomål.docx", "A 65314-2021")</f>
        <v/>
      </c>
      <c r="AB833">
        <f>HYPERLINK("https://klasma.github.io/Logging_0882/klagomålsmail/A 65314-2021 FSC-klagomål mail.docx", "A 65314-2021")</f>
        <v/>
      </c>
      <c r="AC833">
        <f>HYPERLINK("https://klasma.github.io/Logging_0882/tillsyn/A 65314-2021 tillsynsbegäran.docx", "A 65314-2021")</f>
        <v/>
      </c>
      <c r="AD833">
        <f>HYPERLINK("https://klasma.github.io/Logging_0882/tillsynsmail/A 65314-2021 tillsynsbegäran mail.docx", "A 65314-2021")</f>
        <v/>
      </c>
    </row>
    <row r="834" ht="15" customHeight="1">
      <c r="A834" t="inlineStr">
        <is>
          <t>A 55616-2024</t>
        </is>
      </c>
      <c r="B834" t="inlineStr">
        <is>
          <t>avverkningsanmälan</t>
        </is>
      </c>
      <c r="C834" t="inlineStr">
        <is>
          <t>Föryngringsavverkning</t>
        </is>
      </c>
      <c r="D834" s="1" t="n">
        <v>45622</v>
      </c>
      <c r="E834" s="1" t="n">
        <v>46323</v>
      </c>
      <c r="F834" t="inlineStr">
        <is>
          <t>KALMAR LÄN</t>
        </is>
      </c>
      <c r="G834" t="inlineStr">
        <is>
          <t>VÄSTERVIK</t>
        </is>
      </c>
      <c r="I834" t="n">
        <v>0.5</v>
      </c>
      <c r="J834" t="n">
        <v>1</v>
      </c>
      <c r="K834" t="n">
        <v>0</v>
      </c>
      <c r="L834" t="n">
        <v>1</v>
      </c>
      <c r="M834" t="n">
        <v>0</v>
      </c>
      <c r="N834" t="n">
        <v>0</v>
      </c>
      <c r="O834" t="n">
        <v>0</v>
      </c>
      <c r="P834" t="n">
        <v>0</v>
      </c>
      <c r="Q834" t="n">
        <v>1</v>
      </c>
      <c r="R834" t="n">
        <v>0</v>
      </c>
      <c r="S834" t="n">
        <v>1</v>
      </c>
      <c r="T834" t="n">
        <v>1</v>
      </c>
      <c r="U834" t="n">
        <v>1</v>
      </c>
      <c r="V834" s="2" t="inlineStr">
        <is>
          <t>Entita</t>
        </is>
      </c>
      <c r="W834">
        <f>HYPERLINK("https://klasma.github.io/Logging_0883/artfynd/A 55616-2024 artfynd.xlsx", "A 55616-2024")</f>
        <v/>
      </c>
      <c r="X834">
        <f>HYPERLINK("https://klasma.github.io/Logging_0883/kartor/A 55616-2024 karta.png", "A 55616-2024")</f>
        <v/>
      </c>
      <c r="Y834">
        <f>HYPERLINK("https://klasma.github.io/Logging_0883/kartor_geotiff/A 55616-2024 georefererad karta.tif", "A 55616-2024")</f>
        <v/>
      </c>
      <c r="AA834">
        <f>HYPERLINK("https://klasma.github.io/Logging_0883/klagomål/A 55616-2024 FSC-klagomål.docx", "A 55616-2024")</f>
        <v/>
      </c>
      <c r="AB834">
        <f>HYPERLINK("https://klasma.github.io/Logging_0883/klagomålsmail/A 55616-2024 FSC-klagomål mail.docx", "A 55616-2024")</f>
        <v/>
      </c>
      <c r="AC834">
        <f>HYPERLINK("https://klasma.github.io/Logging_0883/tillsyn/A 55616-2024 tillsynsbegäran.docx", "A 55616-2024")</f>
        <v/>
      </c>
      <c r="AD834">
        <f>HYPERLINK("https://klasma.github.io/Logging_0883/tillsynsmail/A 55616-2024 tillsynsbegäran mail.docx", "A 55616-2024")</f>
        <v/>
      </c>
      <c r="AE834">
        <f>HYPERLINK("https://klasma.github.io/Logging_0883/fåglar/A 55616-2024 prioriterade fågelarter.docx", "A 55616-2024")</f>
        <v/>
      </c>
    </row>
    <row r="835" ht="15" customHeight="1">
      <c r="A835" t="inlineStr">
        <is>
          <t>A 22266-2023</t>
        </is>
      </c>
      <c r="B835" t="inlineStr">
        <is>
          <t>avverkningsanmälan</t>
        </is>
      </c>
      <c r="C835" t="inlineStr">
        <is>
          <t>Föryngringsavverkning</t>
        </is>
      </c>
      <c r="D835" s="1" t="n">
        <v>45070</v>
      </c>
      <c r="E835" s="1" t="n">
        <v>46323</v>
      </c>
      <c r="F835" t="inlineStr">
        <is>
          <t>KALMAR LÄN</t>
        </is>
      </c>
      <c r="G835" t="inlineStr">
        <is>
          <t>VIMMERBY</t>
        </is>
      </c>
      <c r="I835" t="n">
        <v>0.5</v>
      </c>
      <c r="J835" t="n">
        <v>0</v>
      </c>
      <c r="K835" t="n">
        <v>1</v>
      </c>
      <c r="L835" t="n">
        <v>0</v>
      </c>
      <c r="M835" t="n">
        <v>0</v>
      </c>
      <c r="N835" t="n">
        <v>0</v>
      </c>
      <c r="O835" t="n">
        <v>0</v>
      </c>
      <c r="P835" t="n">
        <v>0</v>
      </c>
      <c r="Q835" t="n">
        <v>0</v>
      </c>
      <c r="R835" t="n">
        <v>0</v>
      </c>
      <c r="S835" t="n">
        <v>1</v>
      </c>
      <c r="T835" t="n">
        <v>1</v>
      </c>
      <c r="U835" t="n">
        <v>0</v>
      </c>
      <c r="V835" s="2" t="inlineStr">
        <is>
          <t>Vätteros</t>
        </is>
      </c>
      <c r="W835">
        <f>HYPERLINK("https://klasma.github.io/Logging_0884/artfynd/A 22266-2023 artfynd.xlsx", "A 22266-2023")</f>
        <v/>
      </c>
      <c r="X835">
        <f>HYPERLINK("https://klasma.github.io/Logging_0884/kartor/A 22266-2023 karta.png", "A 22266-2023")</f>
        <v/>
      </c>
      <c r="Y835">
        <f>HYPERLINK("https://klasma.github.io/Logging_0884/kartor_geotiff/A 22266-2023 georefererad karta.tif", "A 22266-2023")</f>
        <v/>
      </c>
      <c r="AA835">
        <f>HYPERLINK("https://klasma.github.io/Logging_0884/klagomål/A 22266-2023 FSC-klagomål.docx", "A 22266-2023")</f>
        <v/>
      </c>
      <c r="AB835">
        <f>HYPERLINK("https://klasma.github.io/Logging_0884/klagomålsmail/A 22266-2023 FSC-klagomål mail.docx", "A 22266-2023")</f>
        <v/>
      </c>
      <c r="AC835">
        <f>HYPERLINK("https://klasma.github.io/Logging_0884/tillsyn/A 22266-2023 tillsynsbegäran.docx", "A 22266-2023")</f>
        <v/>
      </c>
      <c r="AD835">
        <f>HYPERLINK("https://klasma.github.io/Logging_0884/tillsynsmail/A 22266-2023 tillsynsbegäran mail.docx", "A 22266-2023")</f>
        <v/>
      </c>
    </row>
    <row r="836" ht="15" customHeight="1">
      <c r="A836" t="inlineStr">
        <is>
          <t>A 9549-2024</t>
        </is>
      </c>
      <c r="B836" t="inlineStr">
        <is>
          <t>avverkningsanmälan</t>
        </is>
      </c>
      <c r="C836" t="inlineStr">
        <is>
          <t>Föryngringsavverkning</t>
        </is>
      </c>
      <c r="D836" s="1" t="n">
        <v>45359</v>
      </c>
      <c r="E836" s="1" t="n">
        <v>46323</v>
      </c>
      <c r="F836" t="inlineStr">
        <is>
          <t>KALMAR LÄN</t>
        </is>
      </c>
      <c r="G836" t="inlineStr">
        <is>
          <t>VÄSTERVIK</t>
        </is>
      </c>
      <c r="H836" t="inlineStr">
        <is>
          <t>Holmen skog AB</t>
        </is>
      </c>
      <c r="I836" t="n">
        <v>2.6</v>
      </c>
      <c r="J836" t="n">
        <v>1</v>
      </c>
      <c r="K836" t="n">
        <v>0</v>
      </c>
      <c r="L836" t="n">
        <v>1</v>
      </c>
      <c r="M836" t="n">
        <v>0</v>
      </c>
      <c r="N836" t="n">
        <v>0</v>
      </c>
      <c r="O836" t="n">
        <v>0</v>
      </c>
      <c r="P836" t="n">
        <v>0</v>
      </c>
      <c r="Q836" t="n">
        <v>1</v>
      </c>
      <c r="R836" t="n">
        <v>0</v>
      </c>
      <c r="S836" t="n">
        <v>1</v>
      </c>
      <c r="T836" t="n">
        <v>1</v>
      </c>
      <c r="U836" t="n">
        <v>1</v>
      </c>
      <c r="V836" s="2" t="inlineStr">
        <is>
          <t>Entita</t>
        </is>
      </c>
      <c r="W836">
        <f>HYPERLINK("https://klasma.github.io/Logging_0883/artfynd/A 9549-2024 artfynd.xlsx", "A 9549-2024")</f>
        <v/>
      </c>
      <c r="X836">
        <f>HYPERLINK("https://klasma.github.io/Logging_0883/kartor/A 9549-2024 karta.png", "A 9549-2024")</f>
        <v/>
      </c>
      <c r="Y836">
        <f>HYPERLINK("https://klasma.github.io/Logging_0883/kartor_geotiff/A 9549-2024 georefererad karta.tif", "A 9549-2024")</f>
        <v/>
      </c>
      <c r="AA836">
        <f>HYPERLINK("https://klasma.github.io/Logging_0883/klagomål/A 9549-2024 FSC-klagomål.docx", "A 9549-2024")</f>
        <v/>
      </c>
      <c r="AB836">
        <f>HYPERLINK("https://klasma.github.io/Logging_0883/klagomålsmail/A 9549-2024 FSC-klagomål mail.docx", "A 9549-2024")</f>
        <v/>
      </c>
      <c r="AC836">
        <f>HYPERLINK("https://klasma.github.io/Logging_0883/tillsyn/A 9549-2024 tillsynsbegäran.docx", "A 9549-2024")</f>
        <v/>
      </c>
      <c r="AD836">
        <f>HYPERLINK("https://klasma.github.io/Logging_0883/tillsynsmail/A 9549-2024 tillsynsbegäran mail.docx", "A 9549-2024")</f>
        <v/>
      </c>
      <c r="AE836">
        <f>HYPERLINK("https://klasma.github.io/Logging_0883/fåglar/A 9549-2024 prioriterade fågelarter.docx", "A 9549-2024")</f>
        <v/>
      </c>
    </row>
    <row r="837" ht="15" customHeight="1">
      <c r="A837" t="inlineStr">
        <is>
          <t>A 25436-2023</t>
        </is>
      </c>
      <c r="B837" t="inlineStr">
        <is>
          <t>avverkningsanmälan</t>
        </is>
      </c>
      <c r="C837" t="inlineStr">
        <is>
          <t>Föryngringsavverkning</t>
        </is>
      </c>
      <c r="D837" s="1" t="n">
        <v>45089</v>
      </c>
      <c r="E837" s="1" t="n">
        <v>46323</v>
      </c>
      <c r="F837" t="inlineStr">
        <is>
          <t>KALMAR LÄN</t>
        </is>
      </c>
      <c r="G837" t="inlineStr">
        <is>
          <t>VÄSTERVIK</t>
        </is>
      </c>
      <c r="I837" t="n">
        <v>1.6</v>
      </c>
      <c r="J837" t="n">
        <v>1</v>
      </c>
      <c r="K837" t="n">
        <v>0</v>
      </c>
      <c r="L837" t="n">
        <v>0</v>
      </c>
      <c r="M837" t="n">
        <v>1</v>
      </c>
      <c r="N837" t="n">
        <v>0</v>
      </c>
      <c r="O837" t="n">
        <v>0</v>
      </c>
      <c r="P837" t="n">
        <v>0</v>
      </c>
      <c r="Q837" t="n">
        <v>1</v>
      </c>
      <c r="R837" t="n">
        <v>1</v>
      </c>
      <c r="S837" t="n">
        <v>1</v>
      </c>
      <c r="T837" t="n">
        <v>5</v>
      </c>
      <c r="U837" t="n">
        <v>5</v>
      </c>
      <c r="V837" s="2" t="inlineStr">
        <is>
          <t>Knärot</t>
        </is>
      </c>
      <c r="W837">
        <f>HYPERLINK("https://klasma.github.io/Logging_0883/artfynd/A 25436-2023 artfynd.xlsx", "A 25436-2023")</f>
        <v/>
      </c>
      <c r="X837">
        <f>HYPERLINK("https://klasma.github.io/Logging_0883/kartor/A 25436-2023 karta.png", "A 25436-2023")</f>
        <v/>
      </c>
      <c r="Y837">
        <f>HYPERLINK("https://klasma.github.io/Logging_0883/kartor_geotiff/A 25436-2023 georefererad karta.tif", "A 25436-2023")</f>
        <v/>
      </c>
      <c r="Z837">
        <f>HYPERLINK("https://klasma.github.io/Logging_0883/knärot/A 25436-2023 karta knärot.png", "A 25436-2023")</f>
        <v/>
      </c>
      <c r="AA837">
        <f>HYPERLINK("https://klasma.github.io/Logging_0883/klagomål/A 25436-2023 FSC-klagomål.docx", "A 25436-2023")</f>
        <v/>
      </c>
      <c r="AB837">
        <f>HYPERLINK("https://klasma.github.io/Logging_0883/klagomålsmail/A 25436-2023 FSC-klagomål mail.docx", "A 25436-2023")</f>
        <v/>
      </c>
      <c r="AC837">
        <f>HYPERLINK("https://klasma.github.io/Logging_0883/tillsyn/A 25436-2023 tillsynsbegäran.docx", "A 25436-2023")</f>
        <v/>
      </c>
      <c r="AD837">
        <f>HYPERLINK("https://klasma.github.io/Logging_0883/tillsynsmail/A 25436-2023 tillsynsbegäran mail.docx", "A 25436-2023")</f>
        <v/>
      </c>
    </row>
    <row r="838" ht="15" customHeight="1">
      <c r="A838" t="inlineStr">
        <is>
          <t>A 14095-2023</t>
        </is>
      </c>
      <c r="B838" t="inlineStr">
        <is>
          <t>avverkningsanmälan</t>
        </is>
      </c>
      <c r="C838" t="inlineStr">
        <is>
          <t>Föryngringsavverkning</t>
        </is>
      </c>
      <c r="D838" s="1" t="n">
        <v>45009</v>
      </c>
      <c r="E838" s="1" t="n">
        <v>46323</v>
      </c>
      <c r="F838" t="inlineStr">
        <is>
          <t>KALMAR LÄN</t>
        </is>
      </c>
      <c r="G838" t="inlineStr">
        <is>
          <t>HULTSFRED</t>
        </is>
      </c>
      <c r="I838" t="n">
        <v>5.7</v>
      </c>
      <c r="J838" t="n">
        <v>0</v>
      </c>
      <c r="K838" t="n">
        <v>1</v>
      </c>
      <c r="L838" t="n">
        <v>0</v>
      </c>
      <c r="M838" t="n">
        <v>0</v>
      </c>
      <c r="N838" t="n">
        <v>0</v>
      </c>
      <c r="O838" t="n">
        <v>0</v>
      </c>
      <c r="P838" t="n">
        <v>0</v>
      </c>
      <c r="Q838" t="n">
        <v>0</v>
      </c>
      <c r="R838" t="n">
        <v>0</v>
      </c>
      <c r="S838" t="n">
        <v>1</v>
      </c>
      <c r="T838" t="n">
        <v>1</v>
      </c>
      <c r="U838" t="n">
        <v>1</v>
      </c>
      <c r="V838" s="2" t="inlineStr">
        <is>
          <t>Dvärgkällmossa</t>
        </is>
      </c>
      <c r="W838">
        <f>HYPERLINK("https://klasma.github.io/Logging_0860/artfynd/A 14095-2023 artfynd.xlsx", "A 14095-2023")</f>
        <v/>
      </c>
      <c r="X838">
        <f>HYPERLINK("https://klasma.github.io/Logging_0860/kartor/A 14095-2023 karta.png", "A 14095-2023")</f>
        <v/>
      </c>
      <c r="Y838">
        <f>HYPERLINK("https://klasma.github.io/Logging_0860/kartor_geotiff/A 14095-2023 georefererad karta.tif", "A 14095-2023")</f>
        <v/>
      </c>
      <c r="AA838">
        <f>HYPERLINK("https://klasma.github.io/Logging_0860/klagomål/A 14095-2023 FSC-klagomål.docx", "A 14095-2023")</f>
        <v/>
      </c>
      <c r="AB838">
        <f>HYPERLINK("https://klasma.github.io/Logging_0860/klagomålsmail/A 14095-2023 FSC-klagomål mail.docx", "A 14095-2023")</f>
        <v/>
      </c>
      <c r="AC838">
        <f>HYPERLINK("https://klasma.github.io/Logging_0860/tillsyn/A 14095-2023 tillsynsbegäran.docx", "A 14095-2023")</f>
        <v/>
      </c>
      <c r="AD838">
        <f>HYPERLINK("https://klasma.github.io/Logging_0860/tillsynsmail/A 14095-2023 tillsynsbegäran mail.docx", "A 14095-2023")</f>
        <v/>
      </c>
    </row>
    <row r="839" ht="15" customHeight="1">
      <c r="A839" t="inlineStr">
        <is>
          <t>A 21846-2023</t>
        </is>
      </c>
      <c r="B839" t="inlineStr">
        <is>
          <t>avverkningsanmälan</t>
        </is>
      </c>
      <c r="C839" t="inlineStr">
        <is>
          <t>Föryngringsavverkning</t>
        </is>
      </c>
      <c r="D839" s="1" t="n">
        <v>45068</v>
      </c>
      <c r="E839" s="1" t="n">
        <v>46323</v>
      </c>
      <c r="F839" t="inlineStr">
        <is>
          <t>KALMAR LÄN</t>
        </is>
      </c>
      <c r="G839" t="inlineStr">
        <is>
          <t>EMMABODA</t>
        </is>
      </c>
      <c r="H839" t="inlineStr">
        <is>
          <t>Kommuner</t>
        </is>
      </c>
      <c r="I839" t="n">
        <v>1.4</v>
      </c>
      <c r="J839" t="n">
        <v>0</v>
      </c>
      <c r="K839" t="n">
        <v>0</v>
      </c>
      <c r="L839" t="n">
        <v>1</v>
      </c>
      <c r="M839" t="n">
        <v>0</v>
      </c>
      <c r="N839" t="n">
        <v>0</v>
      </c>
      <c r="O839" t="n">
        <v>0</v>
      </c>
      <c r="P839" t="n">
        <v>0</v>
      </c>
      <c r="Q839" t="n">
        <v>1</v>
      </c>
      <c r="R839" t="n">
        <v>0</v>
      </c>
      <c r="S839" t="n">
        <v>1</v>
      </c>
      <c r="T839" t="n">
        <v>1</v>
      </c>
      <c r="U839" t="n">
        <v>1</v>
      </c>
      <c r="V839" s="2" t="inlineStr">
        <is>
          <t>Åkerkål</t>
        </is>
      </c>
      <c r="W839">
        <f>HYPERLINK("https://klasma.github.io/Logging_0862/artfynd/A 21846-2023 artfynd.xlsx", "A 21846-2023")</f>
        <v/>
      </c>
      <c r="X839">
        <f>HYPERLINK("https://klasma.github.io/Logging_0862/kartor/A 21846-2023 karta.png", "A 21846-2023")</f>
        <v/>
      </c>
      <c r="Y839">
        <f>HYPERLINK("https://klasma.github.io/Logging_0862/kartor_geotiff/A 21846-2023 georefererad karta.tif", "A 21846-2023")</f>
        <v/>
      </c>
      <c r="AA839">
        <f>HYPERLINK("https://klasma.github.io/Logging_0862/klagomål/A 21846-2023 FSC-klagomål.docx", "A 21846-2023")</f>
        <v/>
      </c>
      <c r="AB839">
        <f>HYPERLINK("https://klasma.github.io/Logging_0862/klagomålsmail/A 21846-2023 FSC-klagomål mail.docx", "A 21846-2023")</f>
        <v/>
      </c>
      <c r="AC839">
        <f>HYPERLINK("https://klasma.github.io/Logging_0862/tillsyn/A 21846-2023 tillsynsbegäran.docx", "A 21846-2023")</f>
        <v/>
      </c>
      <c r="AD839">
        <f>HYPERLINK("https://klasma.github.io/Logging_0862/tillsynsmail/A 21846-2023 tillsynsbegäran mail.docx", "A 21846-2023")</f>
        <v/>
      </c>
    </row>
    <row r="840" ht="15" customHeight="1">
      <c r="A840" t="inlineStr">
        <is>
          <t>A 48938-2024</t>
        </is>
      </c>
      <c r="B840" t="inlineStr">
        <is>
          <t>avverkningsanmälan</t>
        </is>
      </c>
      <c r="C840" t="inlineStr">
        <is>
          <t>Föryngringsavverkning</t>
        </is>
      </c>
      <c r="D840" s="1" t="n">
        <v>45594</v>
      </c>
      <c r="E840" s="1" t="n">
        <v>46323</v>
      </c>
      <c r="F840" t="inlineStr">
        <is>
          <t>KALMAR LÄN</t>
        </is>
      </c>
      <c r="G840" t="inlineStr">
        <is>
          <t>HULTSFRED</t>
        </is>
      </c>
      <c r="I840" t="n">
        <v>1.1</v>
      </c>
      <c r="J840" t="n">
        <v>1</v>
      </c>
      <c r="K840" t="n">
        <v>0</v>
      </c>
      <c r="L840" t="n">
        <v>0</v>
      </c>
      <c r="M840" t="n">
        <v>0</v>
      </c>
      <c r="N840" t="n">
        <v>0</v>
      </c>
      <c r="O840" t="n">
        <v>0</v>
      </c>
      <c r="P840" t="n">
        <v>0</v>
      </c>
      <c r="Q840" t="n">
        <v>0</v>
      </c>
      <c r="R840" t="n">
        <v>0</v>
      </c>
      <c r="S840" t="n">
        <v>1</v>
      </c>
      <c r="T840" t="n">
        <v>1</v>
      </c>
      <c r="U840" t="n">
        <v>0</v>
      </c>
      <c r="V840" s="2" t="inlineStr">
        <is>
          <t>Järpe</t>
        </is>
      </c>
      <c r="W840">
        <f>HYPERLINK("https://klasma.github.io/Logging_0860/artfynd/A 48938-2024 artfynd.xlsx", "A 48938-2024")</f>
        <v/>
      </c>
      <c r="X840">
        <f>HYPERLINK("https://klasma.github.io/Logging_0860/kartor/A 48938-2024 karta.png", "A 48938-2024")</f>
        <v/>
      </c>
      <c r="Y840">
        <f>HYPERLINK("https://klasma.github.io/Logging_0860/kartor_geotiff/A 48938-2024 georefererad karta.tif", "A 48938-2024")</f>
        <v/>
      </c>
      <c r="AA840">
        <f>HYPERLINK("https://klasma.github.io/Logging_0860/klagomål/A 48938-2024 FSC-klagomål.docx", "A 48938-2024")</f>
        <v/>
      </c>
      <c r="AB840">
        <f>HYPERLINK("https://klasma.github.io/Logging_0860/klagomålsmail/A 48938-2024 FSC-klagomål mail.docx", "A 48938-2024")</f>
        <v/>
      </c>
      <c r="AC840">
        <f>HYPERLINK("https://klasma.github.io/Logging_0860/tillsyn/A 48938-2024 tillsynsbegäran.docx", "A 48938-2024")</f>
        <v/>
      </c>
      <c r="AD840">
        <f>HYPERLINK("https://klasma.github.io/Logging_0860/tillsynsmail/A 48938-2024 tillsynsbegäran mail.docx", "A 48938-2024")</f>
        <v/>
      </c>
      <c r="AE840">
        <f>HYPERLINK("https://klasma.github.io/Logging_0860/fåglar/A 48938-2024 prioriterade fågelarter.docx", "A 48938-2024")</f>
        <v/>
      </c>
    </row>
    <row r="841" ht="15" customHeight="1">
      <c r="A841" t="inlineStr">
        <is>
          <t>A 11609-2022</t>
        </is>
      </c>
      <c r="B841" t="inlineStr">
        <is>
          <t>avverkningsanmälan</t>
        </is>
      </c>
      <c r="C841" t="inlineStr">
        <is>
          <t>Föryngringsavverkning</t>
        </is>
      </c>
      <c r="D841" s="1" t="n">
        <v>44631</v>
      </c>
      <c r="E841" s="1" t="n">
        <v>46323</v>
      </c>
      <c r="F841" t="inlineStr">
        <is>
          <t>KALMAR LÄN</t>
        </is>
      </c>
      <c r="G841" t="inlineStr">
        <is>
          <t>VÄSTERVIK</t>
        </is>
      </c>
      <c r="H841" t="inlineStr">
        <is>
          <t>Holmen skog AB</t>
        </is>
      </c>
      <c r="I841" t="n">
        <v>3.2</v>
      </c>
      <c r="J841" t="n">
        <v>0</v>
      </c>
      <c r="K841" t="n">
        <v>0</v>
      </c>
      <c r="L841" t="n">
        <v>1</v>
      </c>
      <c r="M841" t="n">
        <v>0</v>
      </c>
      <c r="N841" t="n">
        <v>0</v>
      </c>
      <c r="O841" t="n">
        <v>0</v>
      </c>
      <c r="P841" t="n">
        <v>0</v>
      </c>
      <c r="Q841" t="n">
        <v>1</v>
      </c>
      <c r="R841" t="n">
        <v>0</v>
      </c>
      <c r="S841" t="n">
        <v>1</v>
      </c>
      <c r="T841" t="n">
        <v>1</v>
      </c>
      <c r="U841" t="n">
        <v>1</v>
      </c>
      <c r="V841" s="2" t="inlineStr">
        <is>
          <t>Tallticka</t>
        </is>
      </c>
      <c r="W841">
        <f>HYPERLINK("https://klasma.github.io/Logging_0883/artfynd/A 11609-2022 artfynd.xlsx", "A 11609-2022")</f>
        <v/>
      </c>
      <c r="X841">
        <f>HYPERLINK("https://klasma.github.io/Logging_0883/kartor/A 11609-2022 karta.png", "A 11609-2022")</f>
        <v/>
      </c>
      <c r="Y841">
        <f>HYPERLINK("https://klasma.github.io/Logging_0883/kartor_geotiff/A 11609-2022 georefererad karta.tif", "A 11609-2022")</f>
        <v/>
      </c>
      <c r="Z841">
        <f>HYPERLINK("https://klasma.github.io/Logging_0883/knärot/A 11609-2022 karta knärot.png", "A 11609-2022")</f>
        <v/>
      </c>
      <c r="AA841">
        <f>HYPERLINK("https://klasma.github.io/Logging_0883/klagomål/A 11609-2022 FSC-klagomål.docx", "A 11609-2022")</f>
        <v/>
      </c>
      <c r="AB841">
        <f>HYPERLINK("https://klasma.github.io/Logging_0883/klagomålsmail/A 11609-2022 FSC-klagomål mail.docx", "A 11609-2022")</f>
        <v/>
      </c>
      <c r="AC841">
        <f>HYPERLINK("https://klasma.github.io/Logging_0883/tillsyn/A 11609-2022 tillsynsbegäran.docx", "A 11609-2022")</f>
        <v/>
      </c>
      <c r="AD841">
        <f>HYPERLINK("https://klasma.github.io/Logging_0883/tillsynsmail/A 11609-2022 tillsynsbegäran mail.docx", "A 11609-2022")</f>
        <v/>
      </c>
    </row>
    <row r="842" ht="15" customHeight="1">
      <c r="A842" t="inlineStr">
        <is>
          <t>A 27416-2023</t>
        </is>
      </c>
      <c r="B842" t="inlineStr">
        <is>
          <t>avverkningsanmälan</t>
        </is>
      </c>
      <c r="C842" t="inlineStr">
        <is>
          <t>Föryngringsavverkning</t>
        </is>
      </c>
      <c r="D842" s="1" t="n">
        <v>45092</v>
      </c>
      <c r="E842" s="1" t="n">
        <v>46323</v>
      </c>
      <c r="F842" t="inlineStr">
        <is>
          <t>KALMAR LÄN</t>
        </is>
      </c>
      <c r="G842" t="inlineStr">
        <is>
          <t>EMMABODA</t>
        </is>
      </c>
      <c r="I842" t="n">
        <v>0.8</v>
      </c>
      <c r="J842" t="n">
        <v>1</v>
      </c>
      <c r="K842" t="n">
        <v>0</v>
      </c>
      <c r="L842" t="n">
        <v>0</v>
      </c>
      <c r="M842" t="n">
        <v>0</v>
      </c>
      <c r="N842" t="n">
        <v>0</v>
      </c>
      <c r="O842" t="n">
        <v>0</v>
      </c>
      <c r="P842" t="n">
        <v>0</v>
      </c>
      <c r="Q842" t="n">
        <v>0</v>
      </c>
      <c r="R842" t="n">
        <v>0</v>
      </c>
      <c r="S842" t="n">
        <v>1</v>
      </c>
      <c r="T842" t="n">
        <v>1</v>
      </c>
      <c r="U842" t="n">
        <v>0</v>
      </c>
      <c r="V842" s="2" t="inlineStr">
        <is>
          <t>Gröngöling</t>
        </is>
      </c>
      <c r="W842">
        <f>HYPERLINK("https://klasma.github.io/Logging_0862/artfynd/A 27416-2023 artfynd.xlsx", "A 27416-2023")</f>
        <v/>
      </c>
      <c r="X842">
        <f>HYPERLINK("https://klasma.github.io/Logging_0862/kartor/A 27416-2023 karta.png", "A 27416-2023")</f>
        <v/>
      </c>
      <c r="Y842">
        <f>HYPERLINK("https://klasma.github.io/Logging_0862/kartor_geotiff/A 27416-2023 georefererad karta.tif", "A 27416-2023")</f>
        <v/>
      </c>
      <c r="AA842">
        <f>HYPERLINK("https://klasma.github.io/Logging_0862/klagomål/A 27416-2023 FSC-klagomål.docx", "A 27416-2023")</f>
        <v/>
      </c>
      <c r="AB842">
        <f>HYPERLINK("https://klasma.github.io/Logging_0862/klagomålsmail/A 27416-2023 FSC-klagomål mail.docx", "A 27416-2023")</f>
        <v/>
      </c>
      <c r="AC842">
        <f>HYPERLINK("https://klasma.github.io/Logging_0862/tillsyn/A 27416-2023 tillsynsbegäran.docx", "A 27416-2023")</f>
        <v/>
      </c>
      <c r="AD842">
        <f>HYPERLINK("https://klasma.github.io/Logging_0862/tillsynsmail/A 27416-2023 tillsynsbegäran mail.docx", "A 27416-2023")</f>
        <v/>
      </c>
    </row>
    <row r="843" ht="15" customHeight="1">
      <c r="A843" t="inlineStr">
        <is>
          <t>A 4254-2024</t>
        </is>
      </c>
      <c r="B843" t="inlineStr">
        <is>
          <t>avverkningsanmälan</t>
        </is>
      </c>
      <c r="C843" t="inlineStr">
        <is>
          <t>Föryngringsavverkning</t>
        </is>
      </c>
      <c r="D843" s="1" t="n">
        <v>45324</v>
      </c>
      <c r="E843" s="1" t="n">
        <v>46323</v>
      </c>
      <c r="F843" t="inlineStr">
        <is>
          <t>KALMAR LÄN</t>
        </is>
      </c>
      <c r="G843" t="inlineStr">
        <is>
          <t>HULTSFRED</t>
        </is>
      </c>
      <c r="I843" t="n">
        <v>1.7</v>
      </c>
      <c r="J843" t="n">
        <v>1</v>
      </c>
      <c r="K843" t="n">
        <v>0</v>
      </c>
      <c r="L843" t="n">
        <v>0</v>
      </c>
      <c r="M843" t="n">
        <v>1</v>
      </c>
      <c r="N843" t="n">
        <v>0</v>
      </c>
      <c r="O843" t="n">
        <v>0</v>
      </c>
      <c r="P843" t="n">
        <v>0</v>
      </c>
      <c r="Q843" t="n">
        <v>1</v>
      </c>
      <c r="R843" t="n">
        <v>1</v>
      </c>
      <c r="S843" t="n">
        <v>1</v>
      </c>
      <c r="T843" t="n">
        <v>4</v>
      </c>
      <c r="U843" t="n">
        <v>4</v>
      </c>
      <c r="V843" s="2" t="inlineStr">
        <is>
          <t>Knärot</t>
        </is>
      </c>
      <c r="W843">
        <f>HYPERLINK("https://klasma.github.io/Logging_0860/artfynd/A 4254-2024 artfynd.xlsx", "A 4254-2024")</f>
        <v/>
      </c>
      <c r="X843">
        <f>HYPERLINK("https://klasma.github.io/Logging_0860/kartor/A 4254-2024 karta.png", "A 4254-2024")</f>
        <v/>
      </c>
      <c r="Y843">
        <f>HYPERLINK("https://klasma.github.io/Logging_0860/kartor_geotiff/A 4254-2024 georefererad karta.tif", "A 4254-2024")</f>
        <v/>
      </c>
      <c r="Z843">
        <f>HYPERLINK("https://klasma.github.io/Logging_0860/knärot/A 4254-2024 karta knärot.png", "A 4254-2024")</f>
        <v/>
      </c>
      <c r="AA843">
        <f>HYPERLINK("https://klasma.github.io/Logging_0860/klagomål/A 4254-2024 FSC-klagomål.docx", "A 4254-2024")</f>
        <v/>
      </c>
      <c r="AB843">
        <f>HYPERLINK("https://klasma.github.io/Logging_0860/klagomålsmail/A 4254-2024 FSC-klagomål mail.docx", "A 4254-2024")</f>
        <v/>
      </c>
      <c r="AC843">
        <f>HYPERLINK("https://klasma.github.io/Logging_0860/tillsyn/A 4254-2024 tillsynsbegäran.docx", "A 4254-2024")</f>
        <v/>
      </c>
      <c r="AD843">
        <f>HYPERLINK("https://klasma.github.io/Logging_0860/tillsynsmail/A 4254-2024 tillsynsbegäran mail.docx", "A 4254-2024")</f>
        <v/>
      </c>
    </row>
    <row r="844" ht="15" customHeight="1">
      <c r="A844" t="inlineStr">
        <is>
          <t>A 64315-2023</t>
        </is>
      </c>
      <c r="B844" t="inlineStr">
        <is>
          <t>avverkningsanmälan</t>
        </is>
      </c>
      <c r="C844" t="inlineStr">
        <is>
          <t>Avverkning för annat ändamål</t>
        </is>
      </c>
      <c r="D844" s="1" t="n">
        <v>45279</v>
      </c>
      <c r="E844" s="1" t="n">
        <v>46323</v>
      </c>
      <c r="F844" t="inlineStr">
        <is>
          <t>KALMAR LÄN</t>
        </is>
      </c>
      <c r="G844" t="inlineStr">
        <is>
          <t>NYBRO</t>
        </is>
      </c>
      <c r="I844" t="n">
        <v>3</v>
      </c>
      <c r="J844" t="n">
        <v>0</v>
      </c>
      <c r="K844" t="n">
        <v>0</v>
      </c>
      <c r="L844" t="n">
        <v>0</v>
      </c>
      <c r="M844" t="n">
        <v>0</v>
      </c>
      <c r="N844" t="n">
        <v>1</v>
      </c>
      <c r="O844" t="n">
        <v>0</v>
      </c>
      <c r="P844" t="n">
        <v>0</v>
      </c>
      <c r="Q844" t="n">
        <v>1</v>
      </c>
      <c r="R844" t="n">
        <v>1</v>
      </c>
      <c r="S844" t="n">
        <v>1</v>
      </c>
      <c r="T844" t="n">
        <v>1</v>
      </c>
      <c r="U844" t="n">
        <v>0</v>
      </c>
      <c r="V844" s="2" t="inlineStr">
        <is>
          <t>Ask</t>
        </is>
      </c>
      <c r="W844">
        <f>HYPERLINK("https://klasma.github.io/Logging_0881/artfynd/A 64315-2023 artfynd.xlsx", "A 64315-2023")</f>
        <v/>
      </c>
      <c r="X844">
        <f>HYPERLINK("https://klasma.github.io/Logging_0881/kartor/A 64315-2023 karta.png", "A 64315-2023")</f>
        <v/>
      </c>
      <c r="Y844">
        <f>HYPERLINK("https://klasma.github.io/Logging_0881/kartor_geotiff/A 64315-2023 georefererad karta.tif", "A 64315-2023")</f>
        <v/>
      </c>
      <c r="AA844">
        <f>HYPERLINK("https://klasma.github.io/Logging_0881/klagomål/A 64315-2023 FSC-klagomål.docx", "A 64315-2023")</f>
        <v/>
      </c>
      <c r="AB844">
        <f>HYPERLINK("https://klasma.github.io/Logging_0881/klagomålsmail/A 64315-2023 FSC-klagomål mail.docx", "A 64315-2023")</f>
        <v/>
      </c>
      <c r="AC844">
        <f>HYPERLINK("https://klasma.github.io/Logging_0881/tillsyn/A 64315-2023 tillsynsbegäran.docx", "A 64315-2023")</f>
        <v/>
      </c>
      <c r="AD844">
        <f>HYPERLINK("https://klasma.github.io/Logging_0881/tillsynsmail/A 64315-2023 tillsynsbegäran mail.docx", "A 64315-2023")</f>
        <v/>
      </c>
    </row>
    <row r="845" ht="15" customHeight="1">
      <c r="A845" t="inlineStr">
        <is>
          <t>A 808-2023</t>
        </is>
      </c>
      <c r="B845" t="inlineStr">
        <is>
          <t>avverkningsanmälan</t>
        </is>
      </c>
      <c r="C845" t="inlineStr">
        <is>
          <t>Avverkning för att bevara och utveckla /försöksver</t>
        </is>
      </c>
      <c r="D845" s="1" t="n">
        <v>44931</v>
      </c>
      <c r="E845" s="1" t="n">
        <v>46323</v>
      </c>
      <c r="F845" t="inlineStr">
        <is>
          <t>KALMAR LÄN</t>
        </is>
      </c>
      <c r="G845" t="inlineStr">
        <is>
          <t>VÄSTERVIK</t>
        </is>
      </c>
      <c r="H845" t="inlineStr">
        <is>
          <t>Holmen skog AB</t>
        </is>
      </c>
      <c r="I845" t="n">
        <v>0.3</v>
      </c>
      <c r="J845" t="n">
        <v>1</v>
      </c>
      <c r="K845" t="n">
        <v>1</v>
      </c>
      <c r="L845" t="n">
        <v>0</v>
      </c>
      <c r="M845" t="n">
        <v>0</v>
      </c>
      <c r="N845" t="n">
        <v>0</v>
      </c>
      <c r="O845" t="n">
        <v>0</v>
      </c>
      <c r="P845" t="n">
        <v>0</v>
      </c>
      <c r="Q845" t="n">
        <v>0</v>
      </c>
      <c r="R845" t="n">
        <v>0</v>
      </c>
      <c r="S845" t="n">
        <v>1</v>
      </c>
      <c r="T845" t="n">
        <v>1</v>
      </c>
      <c r="U845" t="n">
        <v>1</v>
      </c>
      <c r="V845" s="2" t="inlineStr">
        <is>
          <t>Ekoxe</t>
        </is>
      </c>
      <c r="W845">
        <f>HYPERLINK("https://klasma.github.io/Logging_0883/artfynd/A 808-2023 artfynd.xlsx", "A 808-2023")</f>
        <v/>
      </c>
      <c r="X845">
        <f>HYPERLINK("https://klasma.github.io/Logging_0883/kartor/A 808-2023 karta.png", "A 808-2023")</f>
        <v/>
      </c>
      <c r="Y845">
        <f>HYPERLINK("https://klasma.github.io/Logging_0883/kartor_geotiff/A 808-2023 georefererad karta.tif", "A 808-2023")</f>
        <v/>
      </c>
      <c r="AA845">
        <f>HYPERLINK("https://klasma.github.io/Logging_0883/klagomål/A 808-2023 FSC-klagomål.docx", "A 808-2023")</f>
        <v/>
      </c>
      <c r="AB845">
        <f>HYPERLINK("https://klasma.github.io/Logging_0883/klagomålsmail/A 808-2023 FSC-klagomål mail.docx", "A 808-2023")</f>
        <v/>
      </c>
      <c r="AC845">
        <f>HYPERLINK("https://klasma.github.io/Logging_0883/tillsyn/A 808-2023 tillsynsbegäran.docx", "A 808-2023")</f>
        <v/>
      </c>
      <c r="AD845">
        <f>HYPERLINK("https://klasma.github.io/Logging_0883/tillsynsmail/A 808-2023 tillsynsbegäran mail.docx", "A 808-2023")</f>
        <v/>
      </c>
    </row>
    <row r="846" ht="15" customHeight="1">
      <c r="A846" t="inlineStr">
        <is>
          <t>A 37797-2022</t>
        </is>
      </c>
      <c r="B846" t="inlineStr">
        <is>
          <t>avverkningsanmälan</t>
        </is>
      </c>
      <c r="C846" t="inlineStr">
        <is>
          <t>Föryngringsavverkning</t>
        </is>
      </c>
      <c r="D846" s="1" t="n">
        <v>44810</v>
      </c>
      <c r="E846" s="1" t="n">
        <v>46323</v>
      </c>
      <c r="F846" t="inlineStr">
        <is>
          <t>KALMAR LÄN</t>
        </is>
      </c>
      <c r="G846" t="inlineStr">
        <is>
          <t>KALMAR</t>
        </is>
      </c>
      <c r="I846" t="n">
        <v>3.8</v>
      </c>
      <c r="J846" t="n">
        <v>0</v>
      </c>
      <c r="K846" t="n">
        <v>0</v>
      </c>
      <c r="L846" t="n">
        <v>1</v>
      </c>
      <c r="M846" t="n">
        <v>0</v>
      </c>
      <c r="N846" t="n">
        <v>0</v>
      </c>
      <c r="O846" t="n">
        <v>0</v>
      </c>
      <c r="P846" t="n">
        <v>0</v>
      </c>
      <c r="Q846" t="n">
        <v>1</v>
      </c>
      <c r="R846" t="n">
        <v>0</v>
      </c>
      <c r="S846" t="n">
        <v>1</v>
      </c>
      <c r="T846" t="n">
        <v>1</v>
      </c>
      <c r="U846" t="n">
        <v>0</v>
      </c>
      <c r="V846" s="2" t="inlineStr">
        <is>
          <t>Skogshare</t>
        </is>
      </c>
      <c r="W846">
        <f>HYPERLINK("https://klasma.github.io/Logging_0880/artfynd/A 37797-2022 artfynd.xlsx", "A 37797-2022")</f>
        <v/>
      </c>
      <c r="X846">
        <f>HYPERLINK("https://klasma.github.io/Logging_0880/kartor/A 37797-2022 karta.png", "A 37797-2022")</f>
        <v/>
      </c>
      <c r="Y846">
        <f>HYPERLINK("https://klasma.github.io/Logging_0880/kartor_geotiff/A 37797-2022 georefererad karta.tif", "A 37797-2022")</f>
        <v/>
      </c>
      <c r="AA846">
        <f>HYPERLINK("https://klasma.github.io/Logging_0880/klagomål/A 37797-2022 FSC-klagomål.docx", "A 37797-2022")</f>
        <v/>
      </c>
      <c r="AB846">
        <f>HYPERLINK("https://klasma.github.io/Logging_0880/klagomålsmail/A 37797-2022 FSC-klagomål mail.docx", "A 37797-2022")</f>
        <v/>
      </c>
      <c r="AC846">
        <f>HYPERLINK("https://klasma.github.io/Logging_0880/tillsyn/A 37797-2022 tillsynsbegäran.docx", "A 37797-2022")</f>
        <v/>
      </c>
      <c r="AD846">
        <f>HYPERLINK("https://klasma.github.io/Logging_0880/tillsynsmail/A 37797-2022 tillsynsbegäran mail.docx", "A 37797-2022")</f>
        <v/>
      </c>
    </row>
    <row r="847" ht="15" customHeight="1">
      <c r="A847" t="inlineStr">
        <is>
          <t>A 13015-2023</t>
        </is>
      </c>
      <c r="B847" t="inlineStr">
        <is>
          <t>avverkningsanmälan</t>
        </is>
      </c>
      <c r="C847" t="inlineStr">
        <is>
          <t>Föryngringsavverkning</t>
        </is>
      </c>
      <c r="D847" s="1" t="n">
        <v>45002</v>
      </c>
      <c r="E847" s="1" t="n">
        <v>46323</v>
      </c>
      <c r="F847" t="inlineStr">
        <is>
          <t>KALMAR LÄN</t>
        </is>
      </c>
      <c r="G847" t="inlineStr">
        <is>
          <t>VIMMERBY</t>
        </is>
      </c>
      <c r="I847" t="n">
        <v>3.2</v>
      </c>
      <c r="J847" t="n">
        <v>0</v>
      </c>
      <c r="K847" t="n">
        <v>0</v>
      </c>
      <c r="L847" t="n">
        <v>0</v>
      </c>
      <c r="M847" t="n">
        <v>1</v>
      </c>
      <c r="N847" t="n">
        <v>0</v>
      </c>
      <c r="O847" t="n">
        <v>0</v>
      </c>
      <c r="P847" t="n">
        <v>0</v>
      </c>
      <c r="Q847" t="n">
        <v>1</v>
      </c>
      <c r="R847" t="n">
        <v>1</v>
      </c>
      <c r="S847" t="n">
        <v>1</v>
      </c>
      <c r="T847" t="n">
        <v>1</v>
      </c>
      <c r="U847" t="n">
        <v>0</v>
      </c>
      <c r="V847" s="2" t="inlineStr">
        <is>
          <t>Bredbrämad bastardsvärmare</t>
        </is>
      </c>
      <c r="W847">
        <f>HYPERLINK("https://klasma.github.io/Logging_0884/artfynd/A 13015-2023 artfynd.xlsx", "A 13015-2023")</f>
        <v/>
      </c>
      <c r="X847">
        <f>HYPERLINK("https://klasma.github.io/Logging_0884/kartor/A 13015-2023 karta.png", "A 13015-2023")</f>
        <v/>
      </c>
      <c r="Y847">
        <f>HYPERLINK("https://klasma.github.io/Logging_0884/kartor_geotiff/A 13015-2023 georefererad karta.tif", "A 13015-2023")</f>
        <v/>
      </c>
      <c r="AA847">
        <f>HYPERLINK("https://klasma.github.io/Logging_0884/klagomål/A 13015-2023 FSC-klagomål.docx", "A 13015-2023")</f>
        <v/>
      </c>
      <c r="AB847">
        <f>HYPERLINK("https://klasma.github.io/Logging_0884/klagomålsmail/A 13015-2023 FSC-klagomål mail.docx", "A 13015-2023")</f>
        <v/>
      </c>
      <c r="AC847">
        <f>HYPERLINK("https://klasma.github.io/Logging_0884/tillsyn/A 13015-2023 tillsynsbegäran.docx", "A 13015-2023")</f>
        <v/>
      </c>
      <c r="AD847">
        <f>HYPERLINK("https://klasma.github.io/Logging_0884/tillsynsmail/A 13015-2023 tillsynsbegäran mail.docx", "A 13015-2023")</f>
        <v/>
      </c>
    </row>
    <row r="848" ht="15" customHeight="1">
      <c r="A848" t="inlineStr">
        <is>
          <t>A 2132-2025</t>
        </is>
      </c>
      <c r="B848" t="inlineStr">
        <is>
          <t>avverkningsanmälan</t>
        </is>
      </c>
      <c r="C848" t="inlineStr">
        <is>
          <t>Föryngringsavverkning</t>
        </is>
      </c>
      <c r="D848" s="1" t="n">
        <v>45672</v>
      </c>
      <c r="E848" s="1" t="n">
        <v>46323</v>
      </c>
      <c r="F848" t="inlineStr">
        <is>
          <t>KALMAR LÄN</t>
        </is>
      </c>
      <c r="G848" t="inlineStr">
        <is>
          <t>TORSÅS</t>
        </is>
      </c>
      <c r="I848" t="n">
        <v>4</v>
      </c>
      <c r="J848" t="n">
        <v>0</v>
      </c>
      <c r="K848" t="n">
        <v>0</v>
      </c>
      <c r="L848" t="n">
        <v>1</v>
      </c>
      <c r="M848" t="n">
        <v>0</v>
      </c>
      <c r="N848" t="n">
        <v>0</v>
      </c>
      <c r="O848" t="n">
        <v>0</v>
      </c>
      <c r="P848" t="n">
        <v>0</v>
      </c>
      <c r="Q848" t="n">
        <v>1</v>
      </c>
      <c r="R848" t="n">
        <v>0</v>
      </c>
      <c r="S848" t="n">
        <v>1</v>
      </c>
      <c r="T848" t="n">
        <v>1</v>
      </c>
      <c r="U848" t="n">
        <v>1</v>
      </c>
      <c r="V848" s="2" t="inlineStr">
        <is>
          <t>Krusfrö</t>
        </is>
      </c>
      <c r="W848">
        <f>HYPERLINK("https://klasma.github.io/Logging_0834/artfynd/A 2132-2025 artfynd.xlsx", "A 2132-2025")</f>
        <v/>
      </c>
      <c r="X848">
        <f>HYPERLINK("https://klasma.github.io/Logging_0834/kartor/A 2132-2025 karta.png", "A 2132-2025")</f>
        <v/>
      </c>
      <c r="Y848">
        <f>HYPERLINK("https://klasma.github.io/Logging_0834/kartor_geotiff/A 2132-2025 georefererad karta.tif", "A 2132-2025")</f>
        <v/>
      </c>
      <c r="AA848">
        <f>HYPERLINK("https://klasma.github.io/Logging_0834/klagomål/A 2132-2025 FSC-klagomål.docx", "A 2132-2025")</f>
        <v/>
      </c>
      <c r="AB848">
        <f>HYPERLINK("https://klasma.github.io/Logging_0834/klagomålsmail/A 2132-2025 FSC-klagomål mail.docx", "A 2132-2025")</f>
        <v/>
      </c>
      <c r="AC848">
        <f>HYPERLINK("https://klasma.github.io/Logging_0834/tillsyn/A 2132-2025 tillsynsbegäran.docx", "A 2132-2025")</f>
        <v/>
      </c>
      <c r="AD848">
        <f>HYPERLINK("https://klasma.github.io/Logging_0834/tillsynsmail/A 2132-2025 tillsynsbegäran mail.docx", "A 2132-2025")</f>
        <v/>
      </c>
    </row>
    <row r="849" ht="15" customHeight="1">
      <c r="A849" t="inlineStr">
        <is>
          <t>A 50008-2023</t>
        </is>
      </c>
      <c r="B849" t="inlineStr">
        <is>
          <t>avverkningsanmälan</t>
        </is>
      </c>
      <c r="C849" t="inlineStr">
        <is>
          <t>Föryngringsavverkning</t>
        </is>
      </c>
      <c r="D849" s="1" t="n">
        <v>45215</v>
      </c>
      <c r="E849" s="1" t="n">
        <v>46323</v>
      </c>
      <c r="F849" t="inlineStr">
        <is>
          <t>KALMAR LÄN</t>
        </is>
      </c>
      <c r="G849" t="inlineStr">
        <is>
          <t>NYBRO</t>
        </is>
      </c>
      <c r="I849" t="n">
        <v>2.1</v>
      </c>
      <c r="J849" t="n">
        <v>0</v>
      </c>
      <c r="K849" t="n">
        <v>0</v>
      </c>
      <c r="L849" t="n">
        <v>0</v>
      </c>
      <c r="M849" t="n">
        <v>1</v>
      </c>
      <c r="N849" t="n">
        <v>0</v>
      </c>
      <c r="O849" t="n">
        <v>0</v>
      </c>
      <c r="P849" t="n">
        <v>0</v>
      </c>
      <c r="Q849" t="n">
        <v>1</v>
      </c>
      <c r="R849" t="n">
        <v>1</v>
      </c>
      <c r="S849" t="n">
        <v>1</v>
      </c>
      <c r="T849" t="n">
        <v>1</v>
      </c>
      <c r="U849" t="n">
        <v>0</v>
      </c>
      <c r="V849" s="2" t="inlineStr">
        <is>
          <t>Mindre bastardsvärmare</t>
        </is>
      </c>
      <c r="W849">
        <f>HYPERLINK("https://klasma.github.io/Logging_0881/artfynd/A 50008-2023 artfynd.xlsx", "A 50008-2023")</f>
        <v/>
      </c>
      <c r="X849">
        <f>HYPERLINK("https://klasma.github.io/Logging_0881/kartor/A 50008-2023 karta.png", "A 50008-2023")</f>
        <v/>
      </c>
      <c r="Y849">
        <f>HYPERLINK("https://klasma.github.io/Logging_0881/kartor_geotiff/A 50008-2023 georefererad karta.tif", "A 50008-2023")</f>
        <v/>
      </c>
      <c r="AA849">
        <f>HYPERLINK("https://klasma.github.io/Logging_0881/klagomål/A 50008-2023 FSC-klagomål.docx", "A 50008-2023")</f>
        <v/>
      </c>
      <c r="AB849">
        <f>HYPERLINK("https://klasma.github.io/Logging_0881/klagomålsmail/A 50008-2023 FSC-klagomål mail.docx", "A 50008-2023")</f>
        <v/>
      </c>
      <c r="AC849">
        <f>HYPERLINK("https://klasma.github.io/Logging_0881/tillsyn/A 50008-2023 tillsynsbegäran.docx", "A 50008-2023")</f>
        <v/>
      </c>
      <c r="AD849">
        <f>HYPERLINK("https://klasma.github.io/Logging_0881/tillsynsmail/A 50008-2023 tillsynsbegäran mail.docx", "A 50008-2023")</f>
        <v/>
      </c>
    </row>
    <row r="850" ht="15" customHeight="1">
      <c r="A850" t="inlineStr">
        <is>
          <t>A 25605-2024</t>
        </is>
      </c>
      <c r="B850" t="inlineStr">
        <is>
          <t>avverkningsanmälan</t>
        </is>
      </c>
      <c r="C850" t="inlineStr">
        <is>
          <t>Föryngringsavverkning</t>
        </is>
      </c>
      <c r="D850" s="1" t="n">
        <v>45463</v>
      </c>
      <c r="E850" s="1" t="n">
        <v>46323</v>
      </c>
      <c r="F850" t="inlineStr">
        <is>
          <t>KALMAR LÄN</t>
        </is>
      </c>
      <c r="G850" t="inlineStr">
        <is>
          <t>MÖNSTERÅS</t>
        </is>
      </c>
      <c r="I850" t="n">
        <v>1</v>
      </c>
      <c r="J850" t="n">
        <v>1</v>
      </c>
      <c r="K850" t="n">
        <v>0</v>
      </c>
      <c r="L850" t="n">
        <v>0</v>
      </c>
      <c r="M850" t="n">
        <v>0</v>
      </c>
      <c r="N850" t="n">
        <v>0</v>
      </c>
      <c r="O850" t="n">
        <v>0</v>
      </c>
      <c r="P850" t="n">
        <v>0</v>
      </c>
      <c r="Q850" t="n">
        <v>0</v>
      </c>
      <c r="R850" t="n">
        <v>0</v>
      </c>
      <c r="S850" t="n">
        <v>1</v>
      </c>
      <c r="T850" t="n">
        <v>1</v>
      </c>
      <c r="U850" t="n">
        <v>1</v>
      </c>
      <c r="V850" s="2" t="inlineStr">
        <is>
          <t>Gullviva</t>
        </is>
      </c>
      <c r="W850">
        <f>HYPERLINK("https://klasma.github.io/Logging_0861/artfynd/A 25605-2024 artfynd.xlsx", "A 25605-2024")</f>
        <v/>
      </c>
      <c r="X850">
        <f>HYPERLINK("https://klasma.github.io/Logging_0861/kartor/A 25605-2024 karta.png", "A 25605-2024")</f>
        <v/>
      </c>
      <c r="Y850">
        <f>HYPERLINK("https://klasma.github.io/Logging_0861/kartor_geotiff/A 25605-2024 georefererad karta.tif", "A 25605-2024")</f>
        <v/>
      </c>
      <c r="AA850">
        <f>HYPERLINK("https://klasma.github.io/Logging_0861/klagomål/A 25605-2024 FSC-klagomål.docx", "A 25605-2024")</f>
        <v/>
      </c>
      <c r="AB850">
        <f>HYPERLINK("https://klasma.github.io/Logging_0861/klagomålsmail/A 25605-2024 FSC-klagomål mail.docx", "A 25605-2024")</f>
        <v/>
      </c>
      <c r="AC850">
        <f>HYPERLINK("https://klasma.github.io/Logging_0861/tillsyn/A 25605-2024 tillsynsbegäran.docx", "A 25605-2024")</f>
        <v/>
      </c>
      <c r="AD850">
        <f>HYPERLINK("https://klasma.github.io/Logging_0861/tillsynsmail/A 25605-2024 tillsynsbegäran mail.docx", "A 25605-2024")</f>
        <v/>
      </c>
    </row>
    <row r="851" ht="15" customHeight="1">
      <c r="A851" t="inlineStr">
        <is>
          <t>A 41665-2022</t>
        </is>
      </c>
      <c r="B851" t="inlineStr">
        <is>
          <t>avverkningsanmälan</t>
        </is>
      </c>
      <c r="C851" t="inlineStr">
        <is>
          <t>Avverkning för att bevara och utveckla /försöksver</t>
        </is>
      </c>
      <c r="D851" s="1" t="n">
        <v>44827</v>
      </c>
      <c r="E851" s="1" t="n">
        <v>46323</v>
      </c>
      <c r="F851" t="inlineStr">
        <is>
          <t>KALMAR LÄN</t>
        </is>
      </c>
      <c r="G851" t="inlineStr">
        <is>
          <t>MÖNSTERÅS</t>
        </is>
      </c>
      <c r="I851" t="n">
        <v>1.7</v>
      </c>
      <c r="J851" t="n">
        <v>0</v>
      </c>
      <c r="K851" t="n">
        <v>1</v>
      </c>
      <c r="L851" t="n">
        <v>0</v>
      </c>
      <c r="M851" t="n">
        <v>0</v>
      </c>
      <c r="N851" t="n">
        <v>0</v>
      </c>
      <c r="O851" t="n">
        <v>0</v>
      </c>
      <c r="P851" t="n">
        <v>0</v>
      </c>
      <c r="Q851" t="n">
        <v>0</v>
      </c>
      <c r="R851" t="n">
        <v>0</v>
      </c>
      <c r="S851" t="n">
        <v>1</v>
      </c>
      <c r="T851" t="n">
        <v>1</v>
      </c>
      <c r="U851" t="n">
        <v>0</v>
      </c>
      <c r="V851" s="2" t="inlineStr">
        <is>
          <t>Trubbfjädermossa</t>
        </is>
      </c>
      <c r="W851">
        <f>HYPERLINK("https://klasma.github.io/Logging_0861/artfynd/A 41665-2022 artfynd.xlsx", "A 41665-2022")</f>
        <v/>
      </c>
      <c r="X851">
        <f>HYPERLINK("https://klasma.github.io/Logging_0861/kartor/A 41665-2022 karta.png", "A 41665-2022")</f>
        <v/>
      </c>
      <c r="Y851">
        <f>HYPERLINK("https://klasma.github.io/Logging_0861/kartor_geotiff/A 41665-2022 georefererad karta.tif", "A 41665-2022")</f>
        <v/>
      </c>
      <c r="AA851">
        <f>HYPERLINK("https://klasma.github.io/Logging_0861/klagomål/A 41665-2022 FSC-klagomål.docx", "A 41665-2022")</f>
        <v/>
      </c>
      <c r="AB851">
        <f>HYPERLINK("https://klasma.github.io/Logging_0861/klagomålsmail/A 41665-2022 FSC-klagomål mail.docx", "A 41665-2022")</f>
        <v/>
      </c>
      <c r="AC851">
        <f>HYPERLINK("https://klasma.github.io/Logging_0861/tillsyn/A 41665-2022 tillsynsbegäran.docx", "A 41665-2022")</f>
        <v/>
      </c>
      <c r="AD851">
        <f>HYPERLINK("https://klasma.github.io/Logging_0861/tillsynsmail/A 41665-2022 tillsynsbegäran mail.docx", "A 41665-2022")</f>
        <v/>
      </c>
    </row>
    <row r="852" ht="15" customHeight="1">
      <c r="A852" t="inlineStr">
        <is>
          <t>A 40258-2022</t>
        </is>
      </c>
      <c r="B852" t="inlineStr">
        <is>
          <t>avverkningsanmälan</t>
        </is>
      </c>
      <c r="C852" t="inlineStr">
        <is>
          <t>Föryngringsavverkning</t>
        </is>
      </c>
      <c r="D852" s="1" t="n">
        <v>44820</v>
      </c>
      <c r="E852" s="1" t="n">
        <v>46323</v>
      </c>
      <c r="F852" t="inlineStr">
        <is>
          <t>KALMAR LÄN</t>
        </is>
      </c>
      <c r="G852" t="inlineStr">
        <is>
          <t>OSKARSHAMN</t>
        </is>
      </c>
      <c r="I852" t="n">
        <v>2.8</v>
      </c>
      <c r="J852" t="n">
        <v>0</v>
      </c>
      <c r="K852" t="n">
        <v>0</v>
      </c>
      <c r="L852" t="n">
        <v>1</v>
      </c>
      <c r="M852" t="n">
        <v>0</v>
      </c>
      <c r="N852" t="n">
        <v>0</v>
      </c>
      <c r="O852" t="n">
        <v>0</v>
      </c>
      <c r="P852" t="n">
        <v>0</v>
      </c>
      <c r="Q852" t="n">
        <v>1</v>
      </c>
      <c r="R852" t="n">
        <v>0</v>
      </c>
      <c r="S852" t="n">
        <v>1</v>
      </c>
      <c r="T852" t="n">
        <v>1</v>
      </c>
      <c r="U852" t="n">
        <v>0</v>
      </c>
      <c r="V852" s="2" t="inlineStr">
        <is>
          <t>Orange taggsvamp</t>
        </is>
      </c>
      <c r="W852">
        <f>HYPERLINK("https://klasma.github.io/Logging_0882/artfynd/A 40258-2022 artfynd.xlsx", "A 40258-2022")</f>
        <v/>
      </c>
      <c r="X852">
        <f>HYPERLINK("https://klasma.github.io/Logging_0882/kartor/A 40258-2022 karta.png", "A 40258-2022")</f>
        <v/>
      </c>
      <c r="Y852">
        <f>HYPERLINK("https://klasma.github.io/Logging_0882/kartor_geotiff/A 40258-2022 georefererad karta.tif", "A 40258-2022")</f>
        <v/>
      </c>
      <c r="AA852">
        <f>HYPERLINK("https://klasma.github.io/Logging_0882/klagomål/A 40258-2022 FSC-klagomål.docx", "A 40258-2022")</f>
        <v/>
      </c>
      <c r="AB852">
        <f>HYPERLINK("https://klasma.github.io/Logging_0882/klagomålsmail/A 40258-2022 FSC-klagomål mail.docx", "A 40258-2022")</f>
        <v/>
      </c>
      <c r="AC852">
        <f>HYPERLINK("https://klasma.github.io/Logging_0882/tillsyn/A 40258-2022 tillsynsbegäran.docx", "A 40258-2022")</f>
        <v/>
      </c>
      <c r="AD852">
        <f>HYPERLINK("https://klasma.github.io/Logging_0882/tillsynsmail/A 40258-2022 tillsynsbegäran mail.docx", "A 40258-2022")</f>
        <v/>
      </c>
    </row>
    <row r="853" ht="15" customHeight="1">
      <c r="A853" t="inlineStr">
        <is>
          <t>A 31226-2022</t>
        </is>
      </c>
      <c r="B853" t="inlineStr">
        <is>
          <t>avverkningsanmälan</t>
        </is>
      </c>
      <c r="C853" t="inlineStr">
        <is>
          <t>Föryngringsavverkning</t>
        </is>
      </c>
      <c r="D853" s="1" t="n">
        <v>44771</v>
      </c>
      <c r="E853" s="1" t="n">
        <v>46323</v>
      </c>
      <c r="F853" t="inlineStr">
        <is>
          <t>KALMAR LÄN</t>
        </is>
      </c>
      <c r="G853" t="inlineStr">
        <is>
          <t>EMMABODA</t>
        </is>
      </c>
      <c r="I853" t="n">
        <v>0</v>
      </c>
      <c r="J853" t="n">
        <v>1</v>
      </c>
      <c r="K853" t="n">
        <v>0</v>
      </c>
      <c r="L853" t="n">
        <v>0</v>
      </c>
      <c r="M853" t="n">
        <v>1</v>
      </c>
      <c r="N853" t="n">
        <v>0</v>
      </c>
      <c r="O853" t="n">
        <v>0</v>
      </c>
      <c r="P853" t="n">
        <v>0</v>
      </c>
      <c r="Q853" t="n">
        <v>1</v>
      </c>
      <c r="R853" t="n">
        <v>1</v>
      </c>
      <c r="S853" t="n">
        <v>1</v>
      </c>
      <c r="T853" t="n">
        <v>1</v>
      </c>
      <c r="U853" t="n">
        <v>1</v>
      </c>
      <c r="V853" s="2" t="inlineStr">
        <is>
          <t>Lappuggla</t>
        </is>
      </c>
      <c r="W853">
        <f>HYPERLINK("https://klasma.github.io/Logging_0862/artfynd/A 31226-2022 artfynd.xlsx", "A 31226-2022")</f>
        <v/>
      </c>
      <c r="X853">
        <f>HYPERLINK("https://klasma.github.io/Logging_0862/kartor/A 31226-2022 karta.png", "A 31226-2022")</f>
        <v/>
      </c>
      <c r="Y853">
        <f>HYPERLINK("https://klasma.github.io/Logging_0862/kartor_geotiff/A 31226-2022 georefererad karta.tif", "A 31226-2022")</f>
        <v/>
      </c>
      <c r="AA853">
        <f>HYPERLINK("https://klasma.github.io/Logging_0862/klagomål/A 31226-2022 FSC-klagomål.docx", "A 31226-2022")</f>
        <v/>
      </c>
      <c r="AB853">
        <f>HYPERLINK("https://klasma.github.io/Logging_0862/klagomålsmail/A 31226-2022 FSC-klagomål mail.docx", "A 31226-2022")</f>
        <v/>
      </c>
      <c r="AC853">
        <f>HYPERLINK("https://klasma.github.io/Logging_0862/tillsyn/A 31226-2022 tillsynsbegäran.docx", "A 31226-2022")</f>
        <v/>
      </c>
      <c r="AD853">
        <f>HYPERLINK("https://klasma.github.io/Logging_0862/tillsynsmail/A 31226-2022 tillsynsbegäran mail.docx", "A 31226-2022")</f>
        <v/>
      </c>
      <c r="AE853">
        <f>HYPERLINK("https://klasma.github.io/Logging_0862/fåglar/A 31226-2022 prioriterade fågelarter.docx", "A 31226-2022")</f>
        <v/>
      </c>
    </row>
    <row r="854" ht="15" customHeight="1">
      <c r="A854" t="inlineStr">
        <is>
          <t>A 56439-2024</t>
        </is>
      </c>
      <c r="B854" t="inlineStr">
        <is>
          <t>avverkningsanmälan</t>
        </is>
      </c>
      <c r="C854" t="inlineStr">
        <is>
          <t>Föryngringsavverkning</t>
        </is>
      </c>
      <c r="D854" s="1" t="n">
        <v>45625</v>
      </c>
      <c r="E854" s="1" t="n">
        <v>46323</v>
      </c>
      <c r="F854" t="inlineStr">
        <is>
          <t>KALMAR LÄN</t>
        </is>
      </c>
      <c r="G854" t="inlineStr">
        <is>
          <t>VÄSTERVIK</t>
        </is>
      </c>
      <c r="H854" t="inlineStr">
        <is>
          <t>Övriga Aktiebolag</t>
        </is>
      </c>
      <c r="I854" t="n">
        <v>3.3</v>
      </c>
      <c r="J854" t="n">
        <v>0</v>
      </c>
      <c r="K854" t="n">
        <v>1</v>
      </c>
      <c r="L854" t="n">
        <v>0</v>
      </c>
      <c r="M854" t="n">
        <v>0</v>
      </c>
      <c r="N854" t="n">
        <v>0</v>
      </c>
      <c r="O854" t="n">
        <v>0</v>
      </c>
      <c r="P854" t="n">
        <v>0</v>
      </c>
      <c r="Q854" t="n">
        <v>0</v>
      </c>
      <c r="R854" t="n">
        <v>0</v>
      </c>
      <c r="S854" t="n">
        <v>1</v>
      </c>
      <c r="T854" t="n">
        <v>1</v>
      </c>
      <c r="U854" t="n">
        <v>1</v>
      </c>
      <c r="V854" s="2" t="inlineStr">
        <is>
          <t>Hasselticka</t>
        </is>
      </c>
      <c r="W854">
        <f>HYPERLINK("https://klasma.github.io/Logging_0883/artfynd/A 56439-2024 artfynd.xlsx", "A 56439-2024")</f>
        <v/>
      </c>
      <c r="X854">
        <f>HYPERLINK("https://klasma.github.io/Logging_0883/kartor/A 56439-2024 karta.png", "A 56439-2024")</f>
        <v/>
      </c>
      <c r="Y854">
        <f>HYPERLINK("https://klasma.github.io/Logging_0883/kartor_geotiff/A 56439-2024 georefererad karta.tif", "A 56439-2024")</f>
        <v/>
      </c>
      <c r="AA854">
        <f>HYPERLINK("https://klasma.github.io/Logging_0883/klagomål/A 56439-2024 FSC-klagomål.docx", "A 56439-2024")</f>
        <v/>
      </c>
      <c r="AB854">
        <f>HYPERLINK("https://klasma.github.io/Logging_0883/klagomålsmail/A 56439-2024 FSC-klagomål mail.docx", "A 56439-2024")</f>
        <v/>
      </c>
      <c r="AC854">
        <f>HYPERLINK("https://klasma.github.io/Logging_0883/tillsyn/A 56439-2024 tillsynsbegäran.docx", "A 56439-2024")</f>
        <v/>
      </c>
      <c r="AD854">
        <f>HYPERLINK("https://klasma.github.io/Logging_0883/tillsynsmail/A 56439-2024 tillsynsbegäran mail.docx", "A 56439-2024")</f>
        <v/>
      </c>
    </row>
    <row r="855" ht="15" customHeight="1">
      <c r="A855" t="inlineStr">
        <is>
          <t>A 46556-2022</t>
        </is>
      </c>
      <c r="B855" t="inlineStr">
        <is>
          <t>avverkningsanmälan</t>
        </is>
      </c>
      <c r="C855" t="inlineStr">
        <is>
          <t>Föryngringsavverkning</t>
        </is>
      </c>
      <c r="D855" s="1" t="n">
        <v>44848</v>
      </c>
      <c r="E855" s="1" t="n">
        <v>46323</v>
      </c>
      <c r="F855" t="inlineStr">
        <is>
          <t>KALMAR LÄN</t>
        </is>
      </c>
      <c r="G855" t="inlineStr">
        <is>
          <t>VÄSTERVIK</t>
        </is>
      </c>
      <c r="H855" t="inlineStr">
        <is>
          <t>Sveaskog</t>
        </is>
      </c>
      <c r="I855" t="n">
        <v>1.5</v>
      </c>
      <c r="J855" t="n">
        <v>0</v>
      </c>
      <c r="K855" t="n">
        <v>0</v>
      </c>
      <c r="L855" t="n">
        <v>1</v>
      </c>
      <c r="M855" t="n">
        <v>0</v>
      </c>
      <c r="N855" t="n">
        <v>0</v>
      </c>
      <c r="O855" t="n">
        <v>0</v>
      </c>
      <c r="P855" t="n">
        <v>0</v>
      </c>
      <c r="Q855" t="n">
        <v>1</v>
      </c>
      <c r="R855" t="n">
        <v>0</v>
      </c>
      <c r="S855" t="n">
        <v>1</v>
      </c>
      <c r="T855" t="n">
        <v>1</v>
      </c>
      <c r="U855" t="n">
        <v>1</v>
      </c>
      <c r="V855" s="2" t="inlineStr">
        <is>
          <t>Fjällig taggsvamp s.str.</t>
        </is>
      </c>
      <c r="W855">
        <f>HYPERLINK("https://klasma.github.io/Logging_0883/artfynd/A 46556-2022 artfynd.xlsx", "A 46556-2022")</f>
        <v/>
      </c>
      <c r="X855">
        <f>HYPERLINK("https://klasma.github.io/Logging_0883/kartor/A 46556-2022 karta.png", "A 46556-2022")</f>
        <v/>
      </c>
      <c r="Y855">
        <f>HYPERLINK("https://klasma.github.io/Logging_0883/kartor_geotiff/A 46556-2022 georefererad karta.tif", "A 46556-2022")</f>
        <v/>
      </c>
      <c r="AA855">
        <f>HYPERLINK("https://klasma.github.io/Logging_0883/klagomål/A 46556-2022 FSC-klagomål.docx", "A 46556-2022")</f>
        <v/>
      </c>
      <c r="AB855">
        <f>HYPERLINK("https://klasma.github.io/Logging_0883/klagomålsmail/A 46556-2022 FSC-klagomål mail.docx", "A 46556-2022")</f>
        <v/>
      </c>
      <c r="AC855">
        <f>HYPERLINK("https://klasma.github.io/Logging_0883/tillsyn/A 46556-2022 tillsynsbegäran.docx", "A 46556-2022")</f>
        <v/>
      </c>
      <c r="AD855">
        <f>HYPERLINK("https://klasma.github.io/Logging_0883/tillsynsmail/A 46556-2022 tillsynsbegäran mail.docx", "A 46556-2022")</f>
        <v/>
      </c>
    </row>
    <row r="856" ht="15" customHeight="1">
      <c r="A856" t="inlineStr">
        <is>
          <t>A 46560-2022</t>
        </is>
      </c>
      <c r="B856" t="inlineStr">
        <is>
          <t>avverkningsanmälan</t>
        </is>
      </c>
      <c r="C856" t="inlineStr">
        <is>
          <t>Föryngringsavverkning</t>
        </is>
      </c>
      <c r="D856" s="1" t="n">
        <v>44848</v>
      </c>
      <c r="E856" s="1" t="n">
        <v>46323</v>
      </c>
      <c r="F856" t="inlineStr">
        <is>
          <t>KALMAR LÄN</t>
        </is>
      </c>
      <c r="G856" t="inlineStr">
        <is>
          <t>VÄSTERVIK</t>
        </is>
      </c>
      <c r="H856" t="inlineStr">
        <is>
          <t>Sveaskog</t>
        </is>
      </c>
      <c r="I856" t="n">
        <v>2</v>
      </c>
      <c r="J856" t="n">
        <v>1</v>
      </c>
      <c r="K856" t="n">
        <v>0</v>
      </c>
      <c r="L856" t="n">
        <v>0</v>
      </c>
      <c r="M856" t="n">
        <v>0</v>
      </c>
      <c r="N856" t="n">
        <v>0</v>
      </c>
      <c r="O856" t="n">
        <v>0</v>
      </c>
      <c r="P856" t="n">
        <v>0</v>
      </c>
      <c r="Q856" t="n">
        <v>0</v>
      </c>
      <c r="R856" t="n">
        <v>0</v>
      </c>
      <c r="S856" t="n">
        <v>1</v>
      </c>
      <c r="T856" t="n">
        <v>1</v>
      </c>
      <c r="U856" t="n">
        <v>0</v>
      </c>
      <c r="V856" s="2" t="inlineStr">
        <is>
          <t>Blåsippa</t>
        </is>
      </c>
      <c r="W856">
        <f>HYPERLINK("https://klasma.github.io/Logging_0883/artfynd/A 46560-2022 artfynd.xlsx", "A 46560-2022")</f>
        <v/>
      </c>
      <c r="X856">
        <f>HYPERLINK("https://klasma.github.io/Logging_0883/kartor/A 46560-2022 karta.png", "A 46560-2022")</f>
        <v/>
      </c>
      <c r="Y856">
        <f>HYPERLINK("https://klasma.github.io/Logging_0883/kartor_geotiff/A 46560-2022 georefererad karta.tif", "A 46560-2022")</f>
        <v/>
      </c>
      <c r="AA856">
        <f>HYPERLINK("https://klasma.github.io/Logging_0883/klagomål/A 46560-2022 FSC-klagomål.docx", "A 46560-2022")</f>
        <v/>
      </c>
      <c r="AB856">
        <f>HYPERLINK("https://klasma.github.io/Logging_0883/klagomålsmail/A 46560-2022 FSC-klagomål mail.docx", "A 46560-2022")</f>
        <v/>
      </c>
      <c r="AC856">
        <f>HYPERLINK("https://klasma.github.io/Logging_0883/tillsyn/A 46560-2022 tillsynsbegäran.docx", "A 46560-2022")</f>
        <v/>
      </c>
      <c r="AD856">
        <f>HYPERLINK("https://klasma.github.io/Logging_0883/tillsynsmail/A 46560-2022 tillsynsbegäran mail.docx", "A 46560-2022")</f>
        <v/>
      </c>
    </row>
    <row r="857" ht="15" customHeight="1">
      <c r="A857" t="inlineStr">
        <is>
          <t>A 37916-2022</t>
        </is>
      </c>
      <c r="B857" t="inlineStr">
        <is>
          <t>avverkningsanmälan</t>
        </is>
      </c>
      <c r="C857" t="inlineStr">
        <is>
          <t>Föryngringsavverkning</t>
        </is>
      </c>
      <c r="D857" s="1" t="n">
        <v>44811</v>
      </c>
      <c r="E857" s="1" t="n">
        <v>46323</v>
      </c>
      <c r="F857" t="inlineStr">
        <is>
          <t>KALMAR LÄN</t>
        </is>
      </c>
      <c r="G857" t="inlineStr">
        <is>
          <t>HULTSFRED</t>
        </is>
      </c>
      <c r="I857" t="n">
        <v>3.8</v>
      </c>
      <c r="J857" t="n">
        <v>1</v>
      </c>
      <c r="K857" t="n">
        <v>0</v>
      </c>
      <c r="L857" t="n">
        <v>0</v>
      </c>
      <c r="M857" t="n">
        <v>0</v>
      </c>
      <c r="N857" t="n">
        <v>0</v>
      </c>
      <c r="O857" t="n">
        <v>0</v>
      </c>
      <c r="P857" t="n">
        <v>0</v>
      </c>
      <c r="Q857" t="n">
        <v>0</v>
      </c>
      <c r="R857" t="n">
        <v>0</v>
      </c>
      <c r="S857" t="n">
        <v>1</v>
      </c>
      <c r="T857" t="n">
        <v>3</v>
      </c>
      <c r="U857" t="n">
        <v>3</v>
      </c>
      <c r="V857" s="2" t="inlineStr">
        <is>
          <t>Blåsippa</t>
        </is>
      </c>
      <c r="W857">
        <f>HYPERLINK("https://klasma.github.io/Logging_0860/artfynd/A 37916-2022 artfynd.xlsx", "A 37916-2022")</f>
        <v/>
      </c>
      <c r="X857">
        <f>HYPERLINK("https://klasma.github.io/Logging_0860/kartor/A 37916-2022 karta.png", "A 37916-2022")</f>
        <v/>
      </c>
      <c r="Y857">
        <f>HYPERLINK("https://klasma.github.io/Logging_0860/kartor_geotiff/A 37916-2022 georefererad karta.tif", "A 37916-2022")</f>
        <v/>
      </c>
      <c r="AA857">
        <f>HYPERLINK("https://klasma.github.io/Logging_0860/klagomål/A 37916-2022 FSC-klagomål.docx", "A 37916-2022")</f>
        <v/>
      </c>
      <c r="AB857">
        <f>HYPERLINK("https://klasma.github.io/Logging_0860/klagomålsmail/A 37916-2022 FSC-klagomål mail.docx", "A 37916-2022")</f>
        <v/>
      </c>
      <c r="AC857">
        <f>HYPERLINK("https://klasma.github.io/Logging_0860/tillsyn/A 37916-2022 tillsynsbegäran.docx", "A 37916-2022")</f>
        <v/>
      </c>
      <c r="AD857">
        <f>HYPERLINK("https://klasma.github.io/Logging_0860/tillsynsmail/A 37916-2022 tillsynsbegäran mail.docx", "A 37916-2022")</f>
        <v/>
      </c>
    </row>
    <row r="858" ht="15" customHeight="1">
      <c r="A858" t="inlineStr">
        <is>
          <t>A 13040-2024</t>
        </is>
      </c>
      <c r="B858" t="inlineStr">
        <is>
          <t>avverkningsanmälan</t>
        </is>
      </c>
      <c r="C858" t="inlineStr">
        <is>
          <t>Avverkning för annat ändamål</t>
        </is>
      </c>
      <c r="D858" s="1" t="n">
        <v>45385</v>
      </c>
      <c r="E858" s="1" t="n">
        <v>46323</v>
      </c>
      <c r="F858" t="inlineStr">
        <is>
          <t>KALMAR LÄN</t>
        </is>
      </c>
      <c r="G858" t="inlineStr">
        <is>
          <t>MÖRBYLÅNGA</t>
        </is>
      </c>
      <c r="I858" t="n">
        <v>1.2</v>
      </c>
      <c r="J858" t="n">
        <v>0</v>
      </c>
      <c r="K858" t="n">
        <v>0</v>
      </c>
      <c r="L858" t="n">
        <v>0</v>
      </c>
      <c r="M858" t="n">
        <v>0</v>
      </c>
      <c r="N858" t="n">
        <v>1</v>
      </c>
      <c r="O858" t="n">
        <v>0</v>
      </c>
      <c r="P858" t="n">
        <v>0</v>
      </c>
      <c r="Q858" t="n">
        <v>1</v>
      </c>
      <c r="R858" t="n">
        <v>1</v>
      </c>
      <c r="S858" t="n">
        <v>1</v>
      </c>
      <c r="T858" t="n">
        <v>1</v>
      </c>
      <c r="U858" t="n">
        <v>1</v>
      </c>
      <c r="V858" s="2" t="inlineStr">
        <is>
          <t>Skogsalm</t>
        </is>
      </c>
      <c r="W858">
        <f>HYPERLINK("https://klasma.github.io/Logging_0840/artfynd/A 13040-2024 artfynd.xlsx", "A 13040-2024")</f>
        <v/>
      </c>
      <c r="X858">
        <f>HYPERLINK("https://klasma.github.io/Logging_0840/kartor/A 13040-2024 karta.png", "A 13040-2024")</f>
        <v/>
      </c>
      <c r="Y858">
        <f>HYPERLINK("https://klasma.github.io/Logging_0840/kartor_geotiff/A 13040-2024 georefererad karta.tif", "A 13040-2024")</f>
        <v/>
      </c>
      <c r="AA858">
        <f>HYPERLINK("https://klasma.github.io/Logging_0840/klagomål/A 13040-2024 FSC-klagomål.docx", "A 13040-2024")</f>
        <v/>
      </c>
      <c r="AB858">
        <f>HYPERLINK("https://klasma.github.io/Logging_0840/klagomålsmail/A 13040-2024 FSC-klagomål mail.docx", "A 13040-2024")</f>
        <v/>
      </c>
      <c r="AC858">
        <f>HYPERLINK("https://klasma.github.io/Logging_0840/tillsyn/A 13040-2024 tillsynsbegäran.docx", "A 13040-2024")</f>
        <v/>
      </c>
      <c r="AD858">
        <f>HYPERLINK("https://klasma.github.io/Logging_0840/tillsynsmail/A 13040-2024 tillsynsbegäran mail.docx", "A 13040-2024")</f>
        <v/>
      </c>
    </row>
    <row r="859" ht="15" customHeight="1">
      <c r="A859" t="inlineStr">
        <is>
          <t>A 41198-2023</t>
        </is>
      </c>
      <c r="B859" t="inlineStr">
        <is>
          <t>avverkningsanmälan</t>
        </is>
      </c>
      <c r="C859" t="inlineStr">
        <is>
          <t>Föryngringsavverkning</t>
        </is>
      </c>
      <c r="D859" s="1" t="n">
        <v>45174</v>
      </c>
      <c r="E859" s="1" t="n">
        <v>46323</v>
      </c>
      <c r="F859" t="inlineStr">
        <is>
          <t>KALMAR LÄN</t>
        </is>
      </c>
      <c r="G859" t="inlineStr">
        <is>
          <t>MÖNSTERÅS</t>
        </is>
      </c>
      <c r="I859" t="n">
        <v>3.5</v>
      </c>
      <c r="J859" t="n">
        <v>1</v>
      </c>
      <c r="K859" t="n">
        <v>0</v>
      </c>
      <c r="L859" t="n">
        <v>0</v>
      </c>
      <c r="M859" t="n">
        <v>0</v>
      </c>
      <c r="N859" t="n">
        <v>0</v>
      </c>
      <c r="O859" t="n">
        <v>0</v>
      </c>
      <c r="P859" t="n">
        <v>0</v>
      </c>
      <c r="Q859" t="n">
        <v>0</v>
      </c>
      <c r="R859" t="n">
        <v>0</v>
      </c>
      <c r="S859" t="n">
        <v>1</v>
      </c>
      <c r="T859" t="n">
        <v>2</v>
      </c>
      <c r="U859" t="n">
        <v>0</v>
      </c>
      <c r="V859" s="2" t="inlineStr">
        <is>
          <t>Revlummer</t>
        </is>
      </c>
      <c r="W859">
        <f>HYPERLINK("https://klasma.github.io/Logging_0861/artfynd/A 41198-2023 artfynd.xlsx", "A 41198-2023")</f>
        <v/>
      </c>
      <c r="X859">
        <f>HYPERLINK("https://klasma.github.io/Logging_0861/kartor/A 41198-2023 karta.png", "A 41198-2023")</f>
        <v/>
      </c>
      <c r="Y859">
        <f>HYPERLINK("https://klasma.github.io/Logging_0861/kartor_geotiff/A 41198-2023 georefererad karta.tif", "A 41198-2023")</f>
        <v/>
      </c>
      <c r="AA859">
        <f>HYPERLINK("https://klasma.github.io/Logging_0861/klagomål/A 41198-2023 FSC-klagomål.docx", "A 41198-2023")</f>
        <v/>
      </c>
      <c r="AB859">
        <f>HYPERLINK("https://klasma.github.io/Logging_0861/klagomålsmail/A 41198-2023 FSC-klagomål mail.docx", "A 41198-2023")</f>
        <v/>
      </c>
      <c r="AC859">
        <f>HYPERLINK("https://klasma.github.io/Logging_0861/tillsyn/A 41198-2023 tillsynsbegäran.docx", "A 41198-2023")</f>
        <v/>
      </c>
      <c r="AD859">
        <f>HYPERLINK("https://klasma.github.io/Logging_0861/tillsynsmail/A 41198-2023 tillsynsbegäran mail.docx", "A 41198-2023")</f>
        <v/>
      </c>
    </row>
    <row r="860" ht="15" customHeight="1">
      <c r="A860" t="inlineStr">
        <is>
          <t>A 57173-2024</t>
        </is>
      </c>
      <c r="B860" t="inlineStr">
        <is>
          <t>avverkningsanmälan</t>
        </is>
      </c>
      <c r="C860" t="inlineStr">
        <is>
          <t>Föryngringsavverkning</t>
        </is>
      </c>
      <c r="D860" s="1" t="n">
        <v>45629</v>
      </c>
      <c r="E860" s="1" t="n">
        <v>46323</v>
      </c>
      <c r="F860" t="inlineStr">
        <is>
          <t>KALMAR LÄN</t>
        </is>
      </c>
      <c r="G860" t="inlineStr">
        <is>
          <t>HULTSFRED</t>
        </is>
      </c>
      <c r="I860" t="n">
        <v>3.4</v>
      </c>
      <c r="J860" t="n">
        <v>0</v>
      </c>
      <c r="K860" t="n">
        <v>1</v>
      </c>
      <c r="L860" t="n">
        <v>0</v>
      </c>
      <c r="M860" t="n">
        <v>0</v>
      </c>
      <c r="N860" t="n">
        <v>0</v>
      </c>
      <c r="O860" t="n">
        <v>0</v>
      </c>
      <c r="P860" t="n">
        <v>0</v>
      </c>
      <c r="Q860" t="n">
        <v>0</v>
      </c>
      <c r="R860" t="n">
        <v>0</v>
      </c>
      <c r="S860" t="n">
        <v>1</v>
      </c>
      <c r="T860" t="n">
        <v>1</v>
      </c>
      <c r="U860" t="n">
        <v>0</v>
      </c>
      <c r="V860" s="2" t="inlineStr">
        <is>
          <t>Brandticka</t>
        </is>
      </c>
      <c r="W860">
        <f>HYPERLINK("https://klasma.github.io/Logging_0860/artfynd/A 57173-2024 artfynd.xlsx", "A 57173-2024")</f>
        <v/>
      </c>
      <c r="X860">
        <f>HYPERLINK("https://klasma.github.io/Logging_0860/kartor/A 57173-2024 karta.png", "A 57173-2024")</f>
        <v/>
      </c>
      <c r="Y860">
        <f>HYPERLINK("https://klasma.github.io/Logging_0860/kartor_geotiff/A 57173-2024 georefererad karta.tif", "A 57173-2024")</f>
        <v/>
      </c>
      <c r="AA860">
        <f>HYPERLINK("https://klasma.github.io/Logging_0860/klagomål/A 57173-2024 FSC-klagomål.docx", "A 57173-2024")</f>
        <v/>
      </c>
      <c r="AB860">
        <f>HYPERLINK("https://klasma.github.io/Logging_0860/klagomålsmail/A 57173-2024 FSC-klagomål mail.docx", "A 57173-2024")</f>
        <v/>
      </c>
      <c r="AC860">
        <f>HYPERLINK("https://klasma.github.io/Logging_0860/tillsyn/A 57173-2024 tillsynsbegäran.docx", "A 57173-2024")</f>
        <v/>
      </c>
      <c r="AD860">
        <f>HYPERLINK("https://klasma.github.io/Logging_0860/tillsynsmail/A 57173-2024 tillsynsbegäran mail.docx", "A 57173-2024")</f>
        <v/>
      </c>
    </row>
    <row r="861" ht="15" customHeight="1">
      <c r="A861" t="inlineStr">
        <is>
          <t>A 58470-2024</t>
        </is>
      </c>
      <c r="B861" t="inlineStr">
        <is>
          <t>avverkningsanmälan</t>
        </is>
      </c>
      <c r="C861" t="inlineStr">
        <is>
          <t>Föryngringsavverkning</t>
        </is>
      </c>
      <c r="D861" s="1" t="n">
        <v>45635</v>
      </c>
      <c r="E861" s="1" t="n">
        <v>46323</v>
      </c>
      <c r="F861" t="inlineStr">
        <is>
          <t>KALMAR LÄN</t>
        </is>
      </c>
      <c r="G861" t="inlineStr">
        <is>
          <t>HULTSFRED</t>
        </is>
      </c>
      <c r="I861" t="n">
        <v>1</v>
      </c>
      <c r="J861" t="n">
        <v>0</v>
      </c>
      <c r="K861" t="n">
        <v>1</v>
      </c>
      <c r="L861" t="n">
        <v>0</v>
      </c>
      <c r="M861" t="n">
        <v>0</v>
      </c>
      <c r="N861" t="n">
        <v>0</v>
      </c>
      <c r="O861" t="n">
        <v>0</v>
      </c>
      <c r="P861" t="n">
        <v>0</v>
      </c>
      <c r="Q861" t="n">
        <v>0</v>
      </c>
      <c r="R861" t="n">
        <v>0</v>
      </c>
      <c r="S861" t="n">
        <v>1</v>
      </c>
      <c r="T861" t="n">
        <v>1</v>
      </c>
      <c r="U861" t="n">
        <v>0</v>
      </c>
      <c r="V861" s="2" t="inlineStr">
        <is>
          <t>Guldlockmossa</t>
        </is>
      </c>
      <c r="W861">
        <f>HYPERLINK("https://klasma.github.io/Logging_0860/artfynd/A 58470-2024 artfynd.xlsx", "A 58470-2024")</f>
        <v/>
      </c>
      <c r="X861">
        <f>HYPERLINK("https://klasma.github.io/Logging_0860/kartor/A 58470-2024 karta.png", "A 58470-2024")</f>
        <v/>
      </c>
      <c r="Y861">
        <f>HYPERLINK("https://klasma.github.io/Logging_0860/kartor_geotiff/A 58470-2024 georefererad karta.tif", "A 58470-2024")</f>
        <v/>
      </c>
      <c r="AA861">
        <f>HYPERLINK("https://klasma.github.io/Logging_0860/klagomål/A 58470-2024 FSC-klagomål.docx", "A 58470-2024")</f>
        <v/>
      </c>
      <c r="AB861">
        <f>HYPERLINK("https://klasma.github.io/Logging_0860/klagomålsmail/A 58470-2024 FSC-klagomål mail.docx", "A 58470-2024")</f>
        <v/>
      </c>
      <c r="AC861">
        <f>HYPERLINK("https://klasma.github.io/Logging_0860/tillsyn/A 58470-2024 tillsynsbegäran.docx", "A 58470-2024")</f>
        <v/>
      </c>
      <c r="AD861">
        <f>HYPERLINK("https://klasma.github.io/Logging_0860/tillsynsmail/A 58470-2024 tillsynsbegäran mail.docx", "A 58470-2024")</f>
        <v/>
      </c>
    </row>
    <row r="862" ht="15" customHeight="1">
      <c r="A862" t="inlineStr">
        <is>
          <t>A 6818-2025</t>
        </is>
      </c>
      <c r="B862" t="inlineStr">
        <is>
          <t>avverkningsanmälan</t>
        </is>
      </c>
      <c r="C862" t="inlineStr">
        <is>
          <t>Föryngringsavverkning</t>
        </is>
      </c>
      <c r="D862" s="1" t="n">
        <v>45700</v>
      </c>
      <c r="E862" s="1" t="n">
        <v>46323</v>
      </c>
      <c r="F862" t="inlineStr">
        <is>
          <t>KALMAR LÄN</t>
        </is>
      </c>
      <c r="G862" t="inlineStr">
        <is>
          <t>OSKARSHAMN</t>
        </is>
      </c>
      <c r="I862" t="n">
        <v>2.4</v>
      </c>
      <c r="J862" t="n">
        <v>1</v>
      </c>
      <c r="K862" t="n">
        <v>0</v>
      </c>
      <c r="L862" t="n">
        <v>0</v>
      </c>
      <c r="M862" t="n">
        <v>0</v>
      </c>
      <c r="N862" t="n">
        <v>0</v>
      </c>
      <c r="O862" t="n">
        <v>0</v>
      </c>
      <c r="P862" t="n">
        <v>0</v>
      </c>
      <c r="Q862" t="n">
        <v>0</v>
      </c>
      <c r="R862" t="n">
        <v>0</v>
      </c>
      <c r="S862" t="n">
        <v>1</v>
      </c>
      <c r="T862" t="n">
        <v>1</v>
      </c>
      <c r="U862" t="n">
        <v>1</v>
      </c>
      <c r="V862" s="2" t="inlineStr">
        <is>
          <t>Spillkråka</t>
        </is>
      </c>
      <c r="W862">
        <f>HYPERLINK("https://klasma.github.io/Logging_0882/artfynd/A 6818-2025 artfynd.xlsx", "A 6818-2025")</f>
        <v/>
      </c>
      <c r="X862">
        <f>HYPERLINK("https://klasma.github.io/Logging_0882/kartor/A 6818-2025 karta.png", "A 6818-2025")</f>
        <v/>
      </c>
      <c r="Y862">
        <f>HYPERLINK("https://klasma.github.io/Logging_0882/kartor_geotiff/A 6818-2025 georefererad karta.tif", "A 6818-2025")</f>
        <v/>
      </c>
      <c r="AA862">
        <f>HYPERLINK("https://klasma.github.io/Logging_0882/klagomål/A 6818-2025 FSC-klagomål.docx", "A 6818-2025")</f>
        <v/>
      </c>
      <c r="AB862">
        <f>HYPERLINK("https://klasma.github.io/Logging_0882/klagomålsmail/A 6818-2025 FSC-klagomål mail.docx", "A 6818-2025")</f>
        <v/>
      </c>
      <c r="AC862">
        <f>HYPERLINK("https://klasma.github.io/Logging_0882/tillsyn/A 6818-2025 tillsynsbegäran.docx", "A 6818-2025")</f>
        <v/>
      </c>
      <c r="AD862">
        <f>HYPERLINK("https://klasma.github.io/Logging_0882/tillsynsmail/A 6818-2025 tillsynsbegäran mail.docx", "A 6818-2025")</f>
        <v/>
      </c>
      <c r="AE862">
        <f>HYPERLINK("https://klasma.github.io/Logging_0882/fåglar/A 6818-2025 prioriterade fågelarter.docx", "A 6818-2025")</f>
        <v/>
      </c>
    </row>
    <row r="863" ht="15" customHeight="1">
      <c r="A863" t="inlineStr">
        <is>
          <t>A 14290-2024</t>
        </is>
      </c>
      <c r="B863" t="inlineStr">
        <is>
          <t>avverkningsanmälan</t>
        </is>
      </c>
      <c r="C863" t="inlineStr">
        <is>
          <t>Föryngringsavverkning</t>
        </is>
      </c>
      <c r="D863" s="1" t="n">
        <v>45393</v>
      </c>
      <c r="E863" s="1" t="n">
        <v>46323</v>
      </c>
      <c r="F863" t="inlineStr">
        <is>
          <t>KALMAR LÄN</t>
        </is>
      </c>
      <c r="G863" t="inlineStr">
        <is>
          <t>HULTSFRED</t>
        </is>
      </c>
      <c r="I863" t="n">
        <v>4</v>
      </c>
      <c r="J863" t="n">
        <v>1</v>
      </c>
      <c r="K863" t="n">
        <v>0</v>
      </c>
      <c r="L863" t="n">
        <v>0</v>
      </c>
      <c r="M863" t="n">
        <v>0</v>
      </c>
      <c r="N863" t="n">
        <v>0</v>
      </c>
      <c r="O863" t="n">
        <v>0</v>
      </c>
      <c r="P863" t="n">
        <v>0</v>
      </c>
      <c r="Q863" t="n">
        <v>0</v>
      </c>
      <c r="R863" t="n">
        <v>0</v>
      </c>
      <c r="S863" t="n">
        <v>1</v>
      </c>
      <c r="T863" t="n">
        <v>1</v>
      </c>
      <c r="U863" t="n">
        <v>0</v>
      </c>
      <c r="V863" s="2" t="inlineStr">
        <is>
          <t>Blåsippa</t>
        </is>
      </c>
      <c r="W863">
        <f>HYPERLINK("https://klasma.github.io/Logging_0860/artfynd/A 14290-2024 artfynd.xlsx", "A 14290-2024")</f>
        <v/>
      </c>
      <c r="X863">
        <f>HYPERLINK("https://klasma.github.io/Logging_0860/kartor/A 14290-2024 karta.png", "A 14290-2024")</f>
        <v/>
      </c>
      <c r="Y863">
        <f>HYPERLINK("https://klasma.github.io/Logging_0860/kartor_geotiff/A 14290-2024 georefererad karta.tif", "A 14290-2024")</f>
        <v/>
      </c>
      <c r="AA863">
        <f>HYPERLINK("https://klasma.github.io/Logging_0860/klagomål/A 14290-2024 FSC-klagomål.docx", "A 14290-2024")</f>
        <v/>
      </c>
      <c r="AB863">
        <f>HYPERLINK("https://klasma.github.io/Logging_0860/klagomålsmail/A 14290-2024 FSC-klagomål mail.docx", "A 14290-2024")</f>
        <v/>
      </c>
      <c r="AC863">
        <f>HYPERLINK("https://klasma.github.io/Logging_0860/tillsyn/A 14290-2024 tillsynsbegäran.docx", "A 14290-2024")</f>
        <v/>
      </c>
      <c r="AD863">
        <f>HYPERLINK("https://klasma.github.io/Logging_0860/tillsynsmail/A 14290-2024 tillsynsbegäran mail.docx", "A 14290-2024")</f>
        <v/>
      </c>
    </row>
    <row r="864" ht="15" customHeight="1">
      <c r="A864" t="inlineStr">
        <is>
          <t>A 24911-2023</t>
        </is>
      </c>
      <c r="B864" t="inlineStr">
        <is>
          <t>avverkningsanmälan</t>
        </is>
      </c>
      <c r="C864" t="inlineStr">
        <is>
          <t>Föryngringsavverkning</t>
        </is>
      </c>
      <c r="D864" s="1" t="n">
        <v>45085</v>
      </c>
      <c r="E864" s="1" t="n">
        <v>46323</v>
      </c>
      <c r="F864" t="inlineStr">
        <is>
          <t>KALMAR LÄN</t>
        </is>
      </c>
      <c r="G864" t="inlineStr">
        <is>
          <t>HÖGSBY</t>
        </is>
      </c>
      <c r="I864" t="n">
        <v>2.9</v>
      </c>
      <c r="J864" t="n">
        <v>0</v>
      </c>
      <c r="K864" t="n">
        <v>1</v>
      </c>
      <c r="L864" t="n">
        <v>0</v>
      </c>
      <c r="M864" t="n">
        <v>0</v>
      </c>
      <c r="N864" t="n">
        <v>0</v>
      </c>
      <c r="O864" t="n">
        <v>0</v>
      </c>
      <c r="P864" t="n">
        <v>0</v>
      </c>
      <c r="Q864" t="n">
        <v>0</v>
      </c>
      <c r="R864" t="n">
        <v>0</v>
      </c>
      <c r="S864" t="n">
        <v>1</v>
      </c>
      <c r="T864" t="n">
        <v>2</v>
      </c>
      <c r="U864" t="n">
        <v>0</v>
      </c>
      <c r="V864" s="2" t="inlineStr">
        <is>
          <t>Sotlav</t>
        </is>
      </c>
      <c r="W864">
        <f>HYPERLINK("https://klasma.github.io/Logging_0821/artfynd/A 24911-2023 artfynd.xlsx", "A 24911-2023")</f>
        <v/>
      </c>
      <c r="X864">
        <f>HYPERLINK("https://klasma.github.io/Logging_0821/kartor/A 24911-2023 karta.png", "A 24911-2023")</f>
        <v/>
      </c>
      <c r="Y864">
        <f>HYPERLINK("https://klasma.github.io/Logging_0821/kartor_geotiff/A 24911-2023 georefererad karta.tif", "A 24911-2023")</f>
        <v/>
      </c>
      <c r="AA864">
        <f>HYPERLINK("https://klasma.github.io/Logging_0821/klagomål/A 24911-2023 FSC-klagomål.docx", "A 24911-2023")</f>
        <v/>
      </c>
      <c r="AB864">
        <f>HYPERLINK("https://klasma.github.io/Logging_0821/klagomålsmail/A 24911-2023 FSC-klagomål mail.docx", "A 24911-2023")</f>
        <v/>
      </c>
      <c r="AC864">
        <f>HYPERLINK("https://klasma.github.io/Logging_0821/tillsyn/A 24911-2023 tillsynsbegäran.docx", "A 24911-2023")</f>
        <v/>
      </c>
      <c r="AD864">
        <f>HYPERLINK("https://klasma.github.io/Logging_0821/tillsynsmail/A 24911-2023 tillsynsbegäran mail.docx", "A 24911-2023")</f>
        <v/>
      </c>
    </row>
    <row r="865" ht="15" customHeight="1">
      <c r="A865" t="inlineStr">
        <is>
          <t>A 25201-2023</t>
        </is>
      </c>
      <c r="B865" t="inlineStr">
        <is>
          <t>avverkningsanmälan</t>
        </is>
      </c>
      <c r="C865" t="inlineStr">
        <is>
          <t>Föryngringsavverkning</t>
        </is>
      </c>
      <c r="D865" s="1" t="n">
        <v>45086</v>
      </c>
      <c r="E865" s="1" t="n">
        <v>46323</v>
      </c>
      <c r="F865" t="inlineStr">
        <is>
          <t>KALMAR LÄN</t>
        </is>
      </c>
      <c r="G865" t="inlineStr">
        <is>
          <t>MÖNSTERÅS</t>
        </is>
      </c>
      <c r="I865" t="n">
        <v>1.9</v>
      </c>
      <c r="J865" t="n">
        <v>1</v>
      </c>
      <c r="K865" t="n">
        <v>0</v>
      </c>
      <c r="L865" t="n">
        <v>0</v>
      </c>
      <c r="M865" t="n">
        <v>0</v>
      </c>
      <c r="N865" t="n">
        <v>0</v>
      </c>
      <c r="O865" t="n">
        <v>0</v>
      </c>
      <c r="P865" t="n">
        <v>0</v>
      </c>
      <c r="Q865" t="n">
        <v>0</v>
      </c>
      <c r="R865" t="n">
        <v>0</v>
      </c>
      <c r="S865" t="n">
        <v>1</v>
      </c>
      <c r="T865" t="n">
        <v>1</v>
      </c>
      <c r="U865" t="n">
        <v>1</v>
      </c>
      <c r="V865" s="2" t="inlineStr">
        <is>
          <t>Dvärgpipistrell</t>
        </is>
      </c>
      <c r="W865">
        <f>HYPERLINK("https://klasma.github.io/Logging_0861/artfynd/A 25201-2023 artfynd.xlsx", "A 25201-2023")</f>
        <v/>
      </c>
      <c r="X865">
        <f>HYPERLINK("https://klasma.github.io/Logging_0861/kartor/A 25201-2023 karta.png", "A 25201-2023")</f>
        <v/>
      </c>
      <c r="Y865">
        <f>HYPERLINK("https://klasma.github.io/Logging_0861/kartor_geotiff/A 25201-2023 georefererad karta.tif", "A 25201-2023")</f>
        <v/>
      </c>
      <c r="AA865">
        <f>HYPERLINK("https://klasma.github.io/Logging_0861/klagomål/A 25201-2023 FSC-klagomål.docx", "A 25201-2023")</f>
        <v/>
      </c>
      <c r="AB865">
        <f>HYPERLINK("https://klasma.github.io/Logging_0861/klagomålsmail/A 25201-2023 FSC-klagomål mail.docx", "A 25201-2023")</f>
        <v/>
      </c>
      <c r="AC865">
        <f>HYPERLINK("https://klasma.github.io/Logging_0861/tillsyn/A 25201-2023 tillsynsbegäran.docx", "A 25201-2023")</f>
        <v/>
      </c>
      <c r="AD865">
        <f>HYPERLINK("https://klasma.github.io/Logging_0861/tillsynsmail/A 25201-2023 tillsynsbegäran mail.docx", "A 25201-2023")</f>
        <v/>
      </c>
    </row>
    <row r="866" ht="15" customHeight="1">
      <c r="A866" t="inlineStr">
        <is>
          <t>A 16879-2025</t>
        </is>
      </c>
      <c r="B866" t="inlineStr">
        <is>
          <t>avverkningsanmälan</t>
        </is>
      </c>
      <c r="C866" t="inlineStr">
        <is>
          <t>Avverkning för att bevara och utveckla /försöksver</t>
        </is>
      </c>
      <c r="D866" s="1" t="n">
        <v>45755</v>
      </c>
      <c r="E866" s="1" t="n">
        <v>46323</v>
      </c>
      <c r="F866" t="inlineStr">
        <is>
          <t>KALMAR LÄN</t>
        </is>
      </c>
      <c r="G866" t="inlineStr">
        <is>
          <t>HULTSFRED</t>
        </is>
      </c>
      <c r="H866" t="inlineStr">
        <is>
          <t>Sveaskog</t>
        </is>
      </c>
      <c r="I866" t="n">
        <v>2.5</v>
      </c>
      <c r="J866" t="n">
        <v>1</v>
      </c>
      <c r="K866" t="n">
        <v>0</v>
      </c>
      <c r="L866" t="n">
        <v>0</v>
      </c>
      <c r="M866" t="n">
        <v>0</v>
      </c>
      <c r="N866" t="n">
        <v>0</v>
      </c>
      <c r="O866" t="n">
        <v>0</v>
      </c>
      <c r="P866" t="n">
        <v>0</v>
      </c>
      <c r="Q866" t="n">
        <v>0</v>
      </c>
      <c r="R866" t="n">
        <v>0</v>
      </c>
      <c r="S866" t="n">
        <v>1</v>
      </c>
      <c r="T866" t="n">
        <v>1</v>
      </c>
      <c r="U866" t="n">
        <v>0</v>
      </c>
      <c r="V866" s="2" t="inlineStr">
        <is>
          <t>Havsörn</t>
        </is>
      </c>
      <c r="W866">
        <f>HYPERLINK("https://klasma.github.io/Logging_0860/artfynd/A 16879-2025 artfynd.xlsx", "A 16879-2025")</f>
        <v/>
      </c>
      <c r="X866">
        <f>HYPERLINK("https://klasma.github.io/Logging_0860/kartor/A 16879-2025 karta.png", "A 16879-2025")</f>
        <v/>
      </c>
      <c r="Y866">
        <f>HYPERLINK("https://klasma.github.io/Logging_0860/kartor_geotiff/A 16879-2025 georefererad karta.tif", "A 16879-2025")</f>
        <v/>
      </c>
      <c r="AA866">
        <f>HYPERLINK("https://klasma.github.io/Logging_0860/klagomål/A 16879-2025 FSC-klagomål.docx", "A 16879-2025")</f>
        <v/>
      </c>
      <c r="AB866">
        <f>HYPERLINK("https://klasma.github.io/Logging_0860/klagomålsmail/A 16879-2025 FSC-klagomål mail.docx", "A 16879-2025")</f>
        <v/>
      </c>
      <c r="AC866">
        <f>HYPERLINK("https://klasma.github.io/Logging_0860/tillsyn/A 16879-2025 tillsynsbegäran.docx", "A 16879-2025")</f>
        <v/>
      </c>
      <c r="AD866">
        <f>HYPERLINK("https://klasma.github.io/Logging_0860/tillsynsmail/A 16879-2025 tillsynsbegäran mail.docx", "A 16879-2025")</f>
        <v/>
      </c>
      <c r="AE866">
        <f>HYPERLINK("https://klasma.github.io/Logging_0860/fåglar/A 16879-2025 prioriterade fågelarter.docx", "A 16879-2025")</f>
        <v/>
      </c>
    </row>
    <row r="867" ht="15" customHeight="1">
      <c r="A867" t="inlineStr">
        <is>
          <t>A 27346-2023</t>
        </is>
      </c>
      <c r="B867" t="inlineStr">
        <is>
          <t>avverkningsanmälan</t>
        </is>
      </c>
      <c r="C867" t="inlineStr">
        <is>
          <t>Föryngringsavverkning</t>
        </is>
      </c>
      <c r="D867" s="1" t="n">
        <v>45096</v>
      </c>
      <c r="E867" s="1" t="n">
        <v>46323</v>
      </c>
      <c r="F867" t="inlineStr">
        <is>
          <t>KALMAR LÄN</t>
        </is>
      </c>
      <c r="G867" t="inlineStr">
        <is>
          <t>NYBRO</t>
        </is>
      </c>
      <c r="I867" t="n">
        <v>1.2</v>
      </c>
      <c r="J867" t="n">
        <v>0</v>
      </c>
      <c r="K867" t="n">
        <v>1</v>
      </c>
      <c r="L867" t="n">
        <v>0</v>
      </c>
      <c r="M867" t="n">
        <v>0</v>
      </c>
      <c r="N867" t="n">
        <v>0</v>
      </c>
      <c r="O867" t="n">
        <v>0</v>
      </c>
      <c r="P867" t="n">
        <v>0</v>
      </c>
      <c r="Q867" t="n">
        <v>0</v>
      </c>
      <c r="R867" t="n">
        <v>0</v>
      </c>
      <c r="S867" t="n">
        <v>1</v>
      </c>
      <c r="T867" t="n">
        <v>1</v>
      </c>
      <c r="U867" t="n">
        <v>0</v>
      </c>
      <c r="V867" s="2" t="inlineStr">
        <is>
          <t>Blanksvart trämyra</t>
        </is>
      </c>
      <c r="W867">
        <f>HYPERLINK("https://klasma.github.io/Logging_0881/artfynd/A 27346-2023 artfynd.xlsx", "A 27346-2023")</f>
        <v/>
      </c>
      <c r="X867">
        <f>HYPERLINK("https://klasma.github.io/Logging_0881/kartor/A 27346-2023 karta.png", "A 27346-2023")</f>
        <v/>
      </c>
      <c r="Y867">
        <f>HYPERLINK("https://klasma.github.io/Logging_0881/kartor_geotiff/A 27346-2023 georefererad karta.tif", "A 27346-2023")</f>
        <v/>
      </c>
      <c r="AA867">
        <f>HYPERLINK("https://klasma.github.io/Logging_0881/klagomål/A 27346-2023 FSC-klagomål.docx", "A 27346-2023")</f>
        <v/>
      </c>
      <c r="AB867">
        <f>HYPERLINK("https://klasma.github.io/Logging_0881/klagomålsmail/A 27346-2023 FSC-klagomål mail.docx", "A 27346-2023")</f>
        <v/>
      </c>
      <c r="AC867">
        <f>HYPERLINK("https://klasma.github.io/Logging_0881/tillsyn/A 27346-2023 tillsynsbegäran.docx", "A 27346-2023")</f>
        <v/>
      </c>
      <c r="AD867">
        <f>HYPERLINK("https://klasma.github.io/Logging_0881/tillsynsmail/A 27346-2023 tillsynsbegäran mail.docx", "A 27346-2023")</f>
        <v/>
      </c>
    </row>
    <row r="868" ht="15" customHeight="1">
      <c r="A868" t="inlineStr">
        <is>
          <t>A 14103-2025</t>
        </is>
      </c>
      <c r="B868" t="inlineStr">
        <is>
          <t>avverkningsanmälan</t>
        </is>
      </c>
      <c r="C868" t="inlineStr">
        <is>
          <t>Föryngringsavverkning</t>
        </is>
      </c>
      <c r="D868" s="1" t="n">
        <v>45740</v>
      </c>
      <c r="E868" s="1" t="n">
        <v>46323</v>
      </c>
      <c r="F868" t="inlineStr">
        <is>
          <t>KALMAR LÄN</t>
        </is>
      </c>
      <c r="G868" t="inlineStr">
        <is>
          <t>VÄSTERVIK</t>
        </is>
      </c>
      <c r="H868" t="inlineStr">
        <is>
          <t>Sveaskog</t>
        </is>
      </c>
      <c r="I868" t="n">
        <v>0.8</v>
      </c>
      <c r="J868" t="n">
        <v>1</v>
      </c>
      <c r="K868" t="n">
        <v>0</v>
      </c>
      <c r="L868" t="n">
        <v>0</v>
      </c>
      <c r="M868" t="n">
        <v>0</v>
      </c>
      <c r="N868" t="n">
        <v>0</v>
      </c>
      <c r="O868" t="n">
        <v>0</v>
      </c>
      <c r="P868" t="n">
        <v>0</v>
      </c>
      <c r="Q868" t="n">
        <v>0</v>
      </c>
      <c r="R868" t="n">
        <v>0</v>
      </c>
      <c r="S868" t="n">
        <v>1</v>
      </c>
      <c r="T868" t="n">
        <v>1</v>
      </c>
      <c r="U868" t="n">
        <v>1</v>
      </c>
      <c r="V868" s="2" t="inlineStr">
        <is>
          <t>Grönvit nattviol</t>
        </is>
      </c>
      <c r="W868">
        <f>HYPERLINK("https://klasma.github.io/Logging_0883/artfynd/A 14103-2025 artfynd.xlsx", "A 14103-2025")</f>
        <v/>
      </c>
      <c r="X868">
        <f>HYPERLINK("https://klasma.github.io/Logging_0883/kartor/A 14103-2025 karta.png", "A 14103-2025")</f>
        <v/>
      </c>
      <c r="Y868">
        <f>HYPERLINK("https://klasma.github.io/Logging_0883/kartor_geotiff/A 14103-2025 georefererad karta.tif", "A 14103-2025")</f>
        <v/>
      </c>
      <c r="AA868">
        <f>HYPERLINK("https://klasma.github.io/Logging_0883/klagomål/A 14103-2025 FSC-klagomål.docx", "A 14103-2025")</f>
        <v/>
      </c>
      <c r="AB868">
        <f>HYPERLINK("https://klasma.github.io/Logging_0883/klagomålsmail/A 14103-2025 FSC-klagomål mail.docx", "A 14103-2025")</f>
        <v/>
      </c>
      <c r="AC868">
        <f>HYPERLINK("https://klasma.github.io/Logging_0883/tillsyn/A 14103-2025 tillsynsbegäran.docx", "A 14103-2025")</f>
        <v/>
      </c>
      <c r="AD868">
        <f>HYPERLINK("https://klasma.github.io/Logging_0883/tillsynsmail/A 14103-2025 tillsynsbegäran mail.docx", "A 14103-2025")</f>
        <v/>
      </c>
    </row>
    <row r="869" ht="15" customHeight="1">
      <c r="A869" t="inlineStr">
        <is>
          <t>A 52690-2023</t>
        </is>
      </c>
      <c r="B869" t="inlineStr">
        <is>
          <t>avverkningsanmälan</t>
        </is>
      </c>
      <c r="C869" t="inlineStr">
        <is>
          <t>Föryngringsavverkning</t>
        </is>
      </c>
      <c r="D869" s="1" t="n">
        <v>45225</v>
      </c>
      <c r="E869" s="1" t="n">
        <v>46323</v>
      </c>
      <c r="F869" t="inlineStr">
        <is>
          <t>KALMAR LÄN</t>
        </is>
      </c>
      <c r="G869" t="inlineStr">
        <is>
          <t>HULTSFRED</t>
        </is>
      </c>
      <c r="I869" t="n">
        <v>1.4</v>
      </c>
      <c r="J869" t="n">
        <v>0</v>
      </c>
      <c r="K869" t="n">
        <v>1</v>
      </c>
      <c r="L869" t="n">
        <v>0</v>
      </c>
      <c r="M869" t="n">
        <v>0</v>
      </c>
      <c r="N869" t="n">
        <v>0</v>
      </c>
      <c r="O869" t="n">
        <v>0</v>
      </c>
      <c r="P869" t="n">
        <v>0</v>
      </c>
      <c r="Q869" t="n">
        <v>0</v>
      </c>
      <c r="R869" t="n">
        <v>0</v>
      </c>
      <c r="S869" t="n">
        <v>1</v>
      </c>
      <c r="T869" t="n">
        <v>1</v>
      </c>
      <c r="U869" t="n">
        <v>1</v>
      </c>
      <c r="V869" s="2" t="inlineStr">
        <is>
          <t>Tibast</t>
        </is>
      </c>
      <c r="W869">
        <f>HYPERLINK("https://klasma.github.io/Logging_0860/artfynd/A 52690-2023 artfynd.xlsx", "A 52690-2023")</f>
        <v/>
      </c>
      <c r="X869">
        <f>HYPERLINK("https://klasma.github.io/Logging_0860/kartor/A 52690-2023 karta.png", "A 52690-2023")</f>
        <v/>
      </c>
      <c r="Y869">
        <f>HYPERLINK("https://klasma.github.io/Logging_0860/kartor_geotiff/A 52690-2023 georefererad karta.tif", "A 52690-2023")</f>
        <v/>
      </c>
      <c r="AA869">
        <f>HYPERLINK("https://klasma.github.io/Logging_0860/klagomål/A 52690-2023 FSC-klagomål.docx", "A 52690-2023")</f>
        <v/>
      </c>
      <c r="AB869">
        <f>HYPERLINK("https://klasma.github.io/Logging_0860/klagomålsmail/A 52690-2023 FSC-klagomål mail.docx", "A 52690-2023")</f>
        <v/>
      </c>
      <c r="AC869">
        <f>HYPERLINK("https://klasma.github.io/Logging_0860/tillsyn/A 52690-2023 tillsynsbegäran.docx", "A 52690-2023")</f>
        <v/>
      </c>
      <c r="AD869">
        <f>HYPERLINK("https://klasma.github.io/Logging_0860/tillsynsmail/A 52690-2023 tillsynsbegäran mail.docx", "A 52690-2023")</f>
        <v/>
      </c>
    </row>
    <row r="870" ht="15" customHeight="1">
      <c r="A870" t="inlineStr">
        <is>
          <t>A 38802-2024</t>
        </is>
      </c>
      <c r="B870" t="inlineStr">
        <is>
          <t>avverkningsanmälan</t>
        </is>
      </c>
      <c r="C870" t="inlineStr">
        <is>
          <t>Avverkning för att bevara och utveckla /försöksver</t>
        </is>
      </c>
      <c r="D870" s="1" t="n">
        <v>45547</v>
      </c>
      <c r="E870" s="1" t="n">
        <v>46323</v>
      </c>
      <c r="F870" t="inlineStr">
        <is>
          <t>KALMAR LÄN</t>
        </is>
      </c>
      <c r="G870" t="inlineStr">
        <is>
          <t>HÖGSBY</t>
        </is>
      </c>
      <c r="H870" t="inlineStr">
        <is>
          <t>Sveaskog</t>
        </is>
      </c>
      <c r="I870" t="n">
        <v>3</v>
      </c>
      <c r="J870" t="n">
        <v>0</v>
      </c>
      <c r="K870" t="n">
        <v>1</v>
      </c>
      <c r="L870" t="n">
        <v>0</v>
      </c>
      <c r="M870" t="n">
        <v>0</v>
      </c>
      <c r="N870" t="n">
        <v>0</v>
      </c>
      <c r="O870" t="n">
        <v>0</v>
      </c>
      <c r="P870" t="n">
        <v>0</v>
      </c>
      <c r="Q870" t="n">
        <v>0</v>
      </c>
      <c r="R870" t="n">
        <v>0</v>
      </c>
      <c r="S870" t="n">
        <v>1</v>
      </c>
      <c r="T870" t="n">
        <v>1</v>
      </c>
      <c r="U870" t="n">
        <v>1</v>
      </c>
      <c r="V870" s="2" t="inlineStr">
        <is>
          <t>Brandticka</t>
        </is>
      </c>
      <c r="W870">
        <f>HYPERLINK("https://klasma.github.io/Logging_0821/artfynd/A 38802-2024 artfynd.xlsx", "A 38802-2024")</f>
        <v/>
      </c>
      <c r="X870">
        <f>HYPERLINK("https://klasma.github.io/Logging_0821/kartor/A 38802-2024 karta.png", "A 38802-2024")</f>
        <v/>
      </c>
      <c r="Y870">
        <f>HYPERLINK("https://klasma.github.io/Logging_0821/kartor_geotiff/A 38802-2024 georefererad karta.tif", "A 38802-2024")</f>
        <v/>
      </c>
      <c r="AA870">
        <f>HYPERLINK("https://klasma.github.io/Logging_0821/klagomål/A 38802-2024 FSC-klagomål.docx", "A 38802-2024")</f>
        <v/>
      </c>
      <c r="AB870">
        <f>HYPERLINK("https://klasma.github.io/Logging_0821/klagomålsmail/A 38802-2024 FSC-klagomål mail.docx", "A 38802-2024")</f>
        <v/>
      </c>
      <c r="AC870">
        <f>HYPERLINK("https://klasma.github.io/Logging_0821/tillsyn/A 38802-2024 tillsynsbegäran.docx", "A 38802-2024")</f>
        <v/>
      </c>
      <c r="AD870">
        <f>HYPERLINK("https://klasma.github.io/Logging_0821/tillsynsmail/A 38802-2024 tillsynsbegäran mail.docx", "A 38802-2024")</f>
        <v/>
      </c>
    </row>
    <row r="871" ht="15" customHeight="1">
      <c r="A871" t="inlineStr">
        <is>
          <t>A 27854-2023</t>
        </is>
      </c>
      <c r="B871" t="inlineStr">
        <is>
          <t>avverkningsanmälan</t>
        </is>
      </c>
      <c r="C871" t="inlineStr">
        <is>
          <t>Föryngringsavverkning</t>
        </is>
      </c>
      <c r="D871" s="1" t="n">
        <v>45098</v>
      </c>
      <c r="E871" s="1" t="n">
        <v>46323</v>
      </c>
      <c r="F871" t="inlineStr">
        <is>
          <t>KALMAR LÄN</t>
        </is>
      </c>
      <c r="G871" t="inlineStr">
        <is>
          <t>OSKARSHAMN</t>
        </is>
      </c>
      <c r="I871" t="n">
        <v>3.3</v>
      </c>
      <c r="J871" t="n">
        <v>0</v>
      </c>
      <c r="K871" t="n">
        <v>0</v>
      </c>
      <c r="L871" t="n">
        <v>1</v>
      </c>
      <c r="M871" t="n">
        <v>0</v>
      </c>
      <c r="N871" t="n">
        <v>0</v>
      </c>
      <c r="O871" t="n">
        <v>0</v>
      </c>
      <c r="P871" t="n">
        <v>0</v>
      </c>
      <c r="Q871" t="n">
        <v>1</v>
      </c>
      <c r="R871" t="n">
        <v>0</v>
      </c>
      <c r="S871" t="n">
        <v>1</v>
      </c>
      <c r="T871" t="n">
        <v>1</v>
      </c>
      <c r="U871" t="n">
        <v>1</v>
      </c>
      <c r="V871" s="2" t="inlineStr">
        <is>
          <t>Åkerkål</t>
        </is>
      </c>
      <c r="W871">
        <f>HYPERLINK("https://klasma.github.io/Logging_0882/artfynd/A 27854-2023 artfynd.xlsx", "A 27854-2023")</f>
        <v/>
      </c>
      <c r="X871">
        <f>HYPERLINK("https://klasma.github.io/Logging_0882/kartor/A 27854-2023 karta.png", "A 27854-2023")</f>
        <v/>
      </c>
      <c r="Y871">
        <f>HYPERLINK("https://klasma.github.io/Logging_0882/kartor_geotiff/A 27854-2023 georefererad karta.tif", "A 27854-2023")</f>
        <v/>
      </c>
      <c r="AA871">
        <f>HYPERLINK("https://klasma.github.io/Logging_0882/klagomål/A 27854-2023 FSC-klagomål.docx", "A 27854-2023")</f>
        <v/>
      </c>
      <c r="AB871">
        <f>HYPERLINK("https://klasma.github.io/Logging_0882/klagomålsmail/A 27854-2023 FSC-klagomål mail.docx", "A 27854-2023")</f>
        <v/>
      </c>
      <c r="AC871">
        <f>HYPERLINK("https://klasma.github.io/Logging_0882/tillsyn/A 27854-2023 tillsynsbegäran.docx", "A 27854-2023")</f>
        <v/>
      </c>
      <c r="AD871">
        <f>HYPERLINK("https://klasma.github.io/Logging_0882/tillsynsmail/A 27854-2023 tillsynsbegäran mail.docx", "A 27854-2023")</f>
        <v/>
      </c>
    </row>
    <row r="872" ht="15" customHeight="1">
      <c r="A872" t="inlineStr">
        <is>
          <t>A 16792-2025</t>
        </is>
      </c>
      <c r="B872" t="inlineStr">
        <is>
          <t>avverkningsanmälan</t>
        </is>
      </c>
      <c r="C872" t="inlineStr">
        <is>
          <t>Föryngringsavverkning</t>
        </is>
      </c>
      <c r="D872" s="1" t="n">
        <v>45754</v>
      </c>
      <c r="E872" s="1" t="n">
        <v>46323</v>
      </c>
      <c r="F872" t="inlineStr">
        <is>
          <t>KALMAR LÄN</t>
        </is>
      </c>
      <c r="G872" t="inlineStr">
        <is>
          <t>OSKARSHAMN</t>
        </is>
      </c>
      <c r="I872" t="n">
        <v>2.6</v>
      </c>
      <c r="J872" t="n">
        <v>0</v>
      </c>
      <c r="K872" t="n">
        <v>1</v>
      </c>
      <c r="L872" t="n">
        <v>0</v>
      </c>
      <c r="M872" t="n">
        <v>0</v>
      </c>
      <c r="N872" t="n">
        <v>0</v>
      </c>
      <c r="O872" t="n">
        <v>0</v>
      </c>
      <c r="P872" t="n">
        <v>0</v>
      </c>
      <c r="Q872" t="n">
        <v>0</v>
      </c>
      <c r="R872" t="n">
        <v>0</v>
      </c>
      <c r="S872" t="n">
        <v>1</v>
      </c>
      <c r="T872" t="n">
        <v>1</v>
      </c>
      <c r="U872" t="n">
        <v>0</v>
      </c>
      <c r="V872" s="2" t="inlineStr">
        <is>
          <t>Västlig hakmossa</t>
        </is>
      </c>
      <c r="W872">
        <f>HYPERLINK("https://klasma.github.io/Logging_0882/artfynd/A 16792-2025 artfynd.xlsx", "A 16792-2025")</f>
        <v/>
      </c>
      <c r="X872">
        <f>HYPERLINK("https://klasma.github.io/Logging_0882/kartor/A 16792-2025 karta.png", "A 16792-2025")</f>
        <v/>
      </c>
      <c r="Y872">
        <f>HYPERLINK("https://klasma.github.io/Logging_0882/kartor_geotiff/A 16792-2025 georefererad karta.tif", "A 16792-2025")</f>
        <v/>
      </c>
      <c r="AA872">
        <f>HYPERLINK("https://klasma.github.io/Logging_0882/klagomål/A 16792-2025 FSC-klagomål.docx", "A 16792-2025")</f>
        <v/>
      </c>
      <c r="AB872">
        <f>HYPERLINK("https://klasma.github.io/Logging_0882/klagomålsmail/A 16792-2025 FSC-klagomål mail.docx", "A 16792-2025")</f>
        <v/>
      </c>
      <c r="AC872">
        <f>HYPERLINK("https://klasma.github.io/Logging_0882/tillsyn/A 16792-2025 tillsynsbegäran.docx", "A 16792-2025")</f>
        <v/>
      </c>
      <c r="AD872">
        <f>HYPERLINK("https://klasma.github.io/Logging_0882/tillsynsmail/A 16792-2025 tillsynsbegäran mail.docx", "A 16792-2025")</f>
        <v/>
      </c>
    </row>
    <row r="873" ht="15" customHeight="1">
      <c r="A873" t="inlineStr">
        <is>
          <t>A 59368-2023</t>
        </is>
      </c>
      <c r="B873" t="inlineStr">
        <is>
          <t>avverkningsanmälan</t>
        </is>
      </c>
      <c r="C873" t="inlineStr">
        <is>
          <t>Föryngringsavverkning</t>
        </is>
      </c>
      <c r="D873" s="1" t="n">
        <v>45253</v>
      </c>
      <c r="E873" s="1" t="n">
        <v>46323</v>
      </c>
      <c r="F873" t="inlineStr">
        <is>
          <t>KALMAR LÄN</t>
        </is>
      </c>
      <c r="G873" t="inlineStr">
        <is>
          <t>VÄSTERVIK</t>
        </is>
      </c>
      <c r="I873" t="n">
        <v>2.4</v>
      </c>
      <c r="J873" t="n">
        <v>1</v>
      </c>
      <c r="K873" t="n">
        <v>0</v>
      </c>
      <c r="L873" t="n">
        <v>0</v>
      </c>
      <c r="M873" t="n">
        <v>1</v>
      </c>
      <c r="N873" t="n">
        <v>0</v>
      </c>
      <c r="O873" t="n">
        <v>0</v>
      </c>
      <c r="P873" t="n">
        <v>0</v>
      </c>
      <c r="Q873" t="n">
        <v>1</v>
      </c>
      <c r="R873" t="n">
        <v>1</v>
      </c>
      <c r="S873" t="n">
        <v>1</v>
      </c>
      <c r="T873" t="n">
        <v>22</v>
      </c>
      <c r="U873" t="n">
        <v>22</v>
      </c>
      <c r="V873" s="2" t="inlineStr">
        <is>
          <t>Knärot</t>
        </is>
      </c>
      <c r="W873">
        <f>HYPERLINK("https://klasma.github.io/Logging_0883/artfynd/A 59368-2023 artfynd.xlsx", "A 59368-2023")</f>
        <v/>
      </c>
      <c r="X873">
        <f>HYPERLINK("https://klasma.github.io/Logging_0883/kartor/A 59368-2023 karta.png", "A 59368-2023")</f>
        <v/>
      </c>
      <c r="Y873">
        <f>HYPERLINK("https://klasma.github.io/Logging_0883/kartor_geotiff/A 59368-2023 georefererad karta.tif", "A 59368-2023")</f>
        <v/>
      </c>
      <c r="Z873">
        <f>HYPERLINK("https://klasma.github.io/Logging_0883/knärot/A 59368-2023 karta knärot.png", "A 59368-2023")</f>
        <v/>
      </c>
      <c r="AA873">
        <f>HYPERLINK("https://klasma.github.io/Logging_0883/klagomål/A 59368-2023 FSC-klagomål.docx", "A 59368-2023")</f>
        <v/>
      </c>
      <c r="AB873">
        <f>HYPERLINK("https://klasma.github.io/Logging_0883/klagomålsmail/A 59368-2023 FSC-klagomål mail.docx", "A 59368-2023")</f>
        <v/>
      </c>
      <c r="AC873">
        <f>HYPERLINK("https://klasma.github.io/Logging_0883/tillsyn/A 59368-2023 tillsynsbegäran.docx", "A 59368-2023")</f>
        <v/>
      </c>
      <c r="AD873">
        <f>HYPERLINK("https://klasma.github.io/Logging_0883/tillsynsmail/A 59368-2023 tillsynsbegäran mail.docx", "A 59368-2023")</f>
        <v/>
      </c>
    </row>
    <row r="874" ht="15" customHeight="1">
      <c r="A874" t="inlineStr">
        <is>
          <t>A 42130-2022</t>
        </is>
      </c>
      <c r="B874" t="inlineStr">
        <is>
          <t>avverkningsanmälan</t>
        </is>
      </c>
      <c r="C874" t="inlineStr">
        <is>
          <t>Föryngringsavverkning</t>
        </is>
      </c>
      <c r="D874" s="1" t="n">
        <v>44830</v>
      </c>
      <c r="E874" s="1" t="n">
        <v>46323</v>
      </c>
      <c r="F874" t="inlineStr">
        <is>
          <t>KALMAR LÄN</t>
        </is>
      </c>
      <c r="G874" t="inlineStr">
        <is>
          <t>VÄSTERVIK</t>
        </is>
      </c>
      <c r="I874" t="n">
        <v>1.8</v>
      </c>
      <c r="J874" t="n">
        <v>0</v>
      </c>
      <c r="K874" t="n">
        <v>1</v>
      </c>
      <c r="L874" t="n">
        <v>0</v>
      </c>
      <c r="M874" t="n">
        <v>0</v>
      </c>
      <c r="N874" t="n">
        <v>0</v>
      </c>
      <c r="O874" t="n">
        <v>0</v>
      </c>
      <c r="P874" t="n">
        <v>0</v>
      </c>
      <c r="Q874" t="n">
        <v>0</v>
      </c>
      <c r="R874" t="n">
        <v>0</v>
      </c>
      <c r="S874" t="n">
        <v>1</v>
      </c>
      <c r="T874" t="n">
        <v>1</v>
      </c>
      <c r="U874" t="n">
        <v>1</v>
      </c>
      <c r="V874" s="2" t="inlineStr">
        <is>
          <t>Blomkålssvamp</t>
        </is>
      </c>
      <c r="W874">
        <f>HYPERLINK("https://klasma.github.io/Logging_0883/artfynd/A 42130-2022 artfynd.xlsx", "A 42130-2022")</f>
        <v/>
      </c>
      <c r="X874">
        <f>HYPERLINK("https://klasma.github.io/Logging_0883/kartor/A 42130-2022 karta.png", "A 42130-2022")</f>
        <v/>
      </c>
      <c r="Y874">
        <f>HYPERLINK("https://klasma.github.io/Logging_0883/kartor_geotiff/A 42130-2022 georefererad karta.tif", "A 42130-2022")</f>
        <v/>
      </c>
      <c r="AA874">
        <f>HYPERLINK("https://klasma.github.io/Logging_0883/klagomål/A 42130-2022 FSC-klagomål.docx", "A 42130-2022")</f>
        <v/>
      </c>
      <c r="AB874">
        <f>HYPERLINK("https://klasma.github.io/Logging_0883/klagomålsmail/A 42130-2022 FSC-klagomål mail.docx", "A 42130-2022")</f>
        <v/>
      </c>
      <c r="AC874">
        <f>HYPERLINK("https://klasma.github.io/Logging_0883/tillsyn/A 42130-2022 tillsynsbegäran.docx", "A 42130-2022")</f>
        <v/>
      </c>
      <c r="AD874">
        <f>HYPERLINK("https://klasma.github.io/Logging_0883/tillsynsmail/A 42130-2022 tillsynsbegäran mail.docx", "A 42130-2022")</f>
        <v/>
      </c>
    </row>
    <row r="875" ht="15" customHeight="1">
      <c r="A875" t="inlineStr">
        <is>
          <t>A 32381-2024</t>
        </is>
      </c>
      <c r="B875" t="inlineStr">
        <is>
          <t>avverkningsanmälan</t>
        </is>
      </c>
      <c r="C875" t="inlineStr">
        <is>
          <t>Föryngringsavverkning</t>
        </is>
      </c>
      <c r="D875" s="1" t="n">
        <v>45512</v>
      </c>
      <c r="E875" s="1" t="n">
        <v>46323</v>
      </c>
      <c r="F875" t="inlineStr">
        <is>
          <t>KALMAR LÄN</t>
        </is>
      </c>
      <c r="G875" t="inlineStr">
        <is>
          <t>HULTSFRED</t>
        </is>
      </c>
      <c r="I875" t="n">
        <v>0.6</v>
      </c>
      <c r="J875" t="n">
        <v>0</v>
      </c>
      <c r="K875" t="n">
        <v>0</v>
      </c>
      <c r="L875" t="n">
        <v>1</v>
      </c>
      <c r="M875" t="n">
        <v>0</v>
      </c>
      <c r="N875" t="n">
        <v>0</v>
      </c>
      <c r="O875" t="n">
        <v>0</v>
      </c>
      <c r="P875" t="n">
        <v>0</v>
      </c>
      <c r="Q875" t="n">
        <v>1</v>
      </c>
      <c r="R875" t="n">
        <v>0</v>
      </c>
      <c r="S875" t="n">
        <v>1</v>
      </c>
      <c r="T875" t="n">
        <v>1</v>
      </c>
      <c r="U875" t="n">
        <v>0</v>
      </c>
      <c r="V875" s="2" t="inlineStr">
        <is>
          <t>Spindelört</t>
        </is>
      </c>
      <c r="W875">
        <f>HYPERLINK("https://klasma.github.io/Logging_0860/artfynd/A 32381-2024 artfynd.xlsx", "A 32381-2024")</f>
        <v/>
      </c>
      <c r="X875">
        <f>HYPERLINK("https://klasma.github.io/Logging_0860/kartor/A 32381-2024 karta.png", "A 32381-2024")</f>
        <v/>
      </c>
      <c r="Y875">
        <f>HYPERLINK("https://klasma.github.io/Logging_0860/kartor_geotiff/A 32381-2024 georefererad karta.tif", "A 32381-2024")</f>
        <v/>
      </c>
      <c r="AA875">
        <f>HYPERLINK("https://klasma.github.io/Logging_0860/klagomål/A 32381-2024 FSC-klagomål.docx", "A 32381-2024")</f>
        <v/>
      </c>
      <c r="AB875">
        <f>HYPERLINK("https://klasma.github.io/Logging_0860/klagomålsmail/A 32381-2024 FSC-klagomål mail.docx", "A 32381-2024")</f>
        <v/>
      </c>
      <c r="AC875">
        <f>HYPERLINK("https://klasma.github.io/Logging_0860/tillsyn/A 32381-2024 tillsynsbegäran.docx", "A 32381-2024")</f>
        <v/>
      </c>
      <c r="AD875">
        <f>HYPERLINK("https://klasma.github.io/Logging_0860/tillsynsmail/A 32381-2024 tillsynsbegäran mail.docx", "A 32381-2024")</f>
        <v/>
      </c>
    </row>
    <row r="876" ht="15" customHeight="1">
      <c r="A876" t="inlineStr">
        <is>
          <t>A 26140-2024</t>
        </is>
      </c>
      <c r="B876" t="inlineStr">
        <is>
          <t>avverkningsanmälan</t>
        </is>
      </c>
      <c r="C876" t="inlineStr">
        <is>
          <t>Föryngringsavverkning</t>
        </is>
      </c>
      <c r="D876" s="1" t="n">
        <v>45468</v>
      </c>
      <c r="E876" s="1" t="n">
        <v>46323</v>
      </c>
      <c r="F876" t="inlineStr">
        <is>
          <t>KALMAR LÄN</t>
        </is>
      </c>
      <c r="G876" t="inlineStr">
        <is>
          <t>VÄSTERVIK</t>
        </is>
      </c>
      <c r="I876" t="n">
        <v>1</v>
      </c>
      <c r="J876" t="n">
        <v>1</v>
      </c>
      <c r="K876" t="n">
        <v>1</v>
      </c>
      <c r="L876" t="n">
        <v>0</v>
      </c>
      <c r="M876" t="n">
        <v>0</v>
      </c>
      <c r="N876" t="n">
        <v>0</v>
      </c>
      <c r="O876" t="n">
        <v>0</v>
      </c>
      <c r="P876" t="n">
        <v>0</v>
      </c>
      <c r="Q876" t="n">
        <v>0</v>
      </c>
      <c r="R876" t="n">
        <v>0</v>
      </c>
      <c r="S876" t="n">
        <v>1</v>
      </c>
      <c r="T876" t="n">
        <v>1</v>
      </c>
      <c r="U876" t="n">
        <v>1</v>
      </c>
      <c r="V876" s="2" t="inlineStr">
        <is>
          <t>Ekoxe</t>
        </is>
      </c>
      <c r="W876">
        <f>HYPERLINK("https://klasma.github.io/Logging_0883/artfynd/A 26140-2024 artfynd.xlsx", "A 26140-2024")</f>
        <v/>
      </c>
      <c r="X876">
        <f>HYPERLINK("https://klasma.github.io/Logging_0883/kartor/A 26140-2024 karta.png", "A 26140-2024")</f>
        <v/>
      </c>
      <c r="Y876">
        <f>HYPERLINK("https://klasma.github.io/Logging_0883/kartor_geotiff/A 26140-2024 georefererad karta.tif", "A 26140-2024")</f>
        <v/>
      </c>
      <c r="AA876">
        <f>HYPERLINK("https://klasma.github.io/Logging_0883/klagomål/A 26140-2024 FSC-klagomål.docx", "A 26140-2024")</f>
        <v/>
      </c>
      <c r="AB876">
        <f>HYPERLINK("https://klasma.github.io/Logging_0883/klagomålsmail/A 26140-2024 FSC-klagomål mail.docx", "A 26140-2024")</f>
        <v/>
      </c>
      <c r="AC876">
        <f>HYPERLINK("https://klasma.github.io/Logging_0883/tillsyn/A 26140-2024 tillsynsbegäran.docx", "A 26140-2024")</f>
        <v/>
      </c>
      <c r="AD876">
        <f>HYPERLINK("https://klasma.github.io/Logging_0883/tillsynsmail/A 26140-2024 tillsynsbegäran mail.docx", "A 26140-2024")</f>
        <v/>
      </c>
    </row>
    <row r="877" ht="15" customHeight="1">
      <c r="A877" t="inlineStr">
        <is>
          <t>A 41228-2025</t>
        </is>
      </c>
      <c r="B877" t="inlineStr">
        <is>
          <t>avverkningsanmälan</t>
        </is>
      </c>
      <c r="C877" t="inlineStr">
        <is>
          <t>Föryngringsavverkning</t>
        </is>
      </c>
      <c r="D877" s="1" t="n">
        <v>45898</v>
      </c>
      <c r="E877" s="1" t="n">
        <v>46323</v>
      </c>
      <c r="F877" t="inlineStr">
        <is>
          <t>KALMAR LÄN</t>
        </is>
      </c>
      <c r="G877" t="inlineStr">
        <is>
          <t>NYBRO</t>
        </is>
      </c>
      <c r="H877" t="inlineStr">
        <is>
          <t>Sveaskog</t>
        </is>
      </c>
      <c r="I877" t="n">
        <v>2.1</v>
      </c>
      <c r="J877" t="n">
        <v>1</v>
      </c>
      <c r="K877" t="n">
        <v>0</v>
      </c>
      <c r="L877" t="n">
        <v>1</v>
      </c>
      <c r="M877" t="n">
        <v>0</v>
      </c>
      <c r="N877" t="n">
        <v>0</v>
      </c>
      <c r="O877" t="n">
        <v>0</v>
      </c>
      <c r="P877" t="n">
        <v>0</v>
      </c>
      <c r="Q877" t="n">
        <v>1</v>
      </c>
      <c r="R877" t="n">
        <v>0</v>
      </c>
      <c r="S877" t="n">
        <v>1</v>
      </c>
      <c r="T877" t="n">
        <v>3</v>
      </c>
      <c r="U877" t="n">
        <v>3</v>
      </c>
      <c r="V877" s="2" t="inlineStr">
        <is>
          <t>Talltita</t>
        </is>
      </c>
      <c r="W877">
        <f>HYPERLINK("https://klasma.github.io/Logging_0881/artfynd/A 41228-2025 artfynd.xlsx", "A 41228-2025")</f>
        <v/>
      </c>
      <c r="X877">
        <f>HYPERLINK("https://klasma.github.io/Logging_0881/kartor/A 41228-2025 karta.png", "A 41228-2025")</f>
        <v/>
      </c>
      <c r="Y877">
        <f>HYPERLINK("https://klasma.github.io/Logging_0881/kartor_geotiff/A 41228-2025 georefererad karta.tif", "A 41228-2025")</f>
        <v/>
      </c>
      <c r="AA877">
        <f>HYPERLINK("https://klasma.github.io/Logging_0881/klagomål/A 41228-2025 FSC-klagomål.docx", "A 41228-2025")</f>
        <v/>
      </c>
      <c r="AB877">
        <f>HYPERLINK("https://klasma.github.io/Logging_0881/klagomålsmail/A 41228-2025 FSC-klagomål mail.docx", "A 41228-2025")</f>
        <v/>
      </c>
      <c r="AC877">
        <f>HYPERLINK("https://klasma.github.io/Logging_0881/tillsyn/A 41228-2025 tillsynsbegäran.docx", "A 41228-2025")</f>
        <v/>
      </c>
      <c r="AD877">
        <f>HYPERLINK("https://klasma.github.io/Logging_0881/tillsynsmail/A 41228-2025 tillsynsbegäran mail.docx", "A 41228-2025")</f>
        <v/>
      </c>
      <c r="AE877">
        <f>HYPERLINK("https://klasma.github.io/Logging_0881/fåglar/A 41228-2025 prioriterade fågelarter.docx", "A 41228-2025")</f>
        <v/>
      </c>
    </row>
    <row r="878" ht="15" customHeight="1">
      <c r="A878" t="inlineStr">
        <is>
          <t>A 9328-2025</t>
        </is>
      </c>
      <c r="B878" t="inlineStr">
        <is>
          <t>avverkningsanmälan</t>
        </is>
      </c>
      <c r="C878" t="inlineStr">
        <is>
          <t>Föryngringsavverkning</t>
        </is>
      </c>
      <c r="D878" s="1" t="n">
        <v>45714</v>
      </c>
      <c r="E878" s="1" t="n">
        <v>46323</v>
      </c>
      <c r="F878" t="inlineStr">
        <is>
          <t>KALMAR LÄN</t>
        </is>
      </c>
      <c r="G878" t="inlineStr">
        <is>
          <t>HULTSFRED</t>
        </is>
      </c>
      <c r="H878" t="inlineStr">
        <is>
          <t>Sveaskog</t>
        </is>
      </c>
      <c r="I878" t="n">
        <v>1.8</v>
      </c>
      <c r="J878" t="n">
        <v>0</v>
      </c>
      <c r="K878" t="n">
        <v>0</v>
      </c>
      <c r="L878" t="n">
        <v>0</v>
      </c>
      <c r="M878" t="n">
        <v>0</v>
      </c>
      <c r="N878" t="n">
        <v>0</v>
      </c>
      <c r="O878" t="n">
        <v>1</v>
      </c>
      <c r="P878" t="n">
        <v>0</v>
      </c>
      <c r="Q878" t="n">
        <v>1</v>
      </c>
      <c r="R878" t="n">
        <v>1</v>
      </c>
      <c r="S878" t="n">
        <v>1</v>
      </c>
      <c r="T878" t="n">
        <v>1</v>
      </c>
      <c r="U878" t="n">
        <v>0</v>
      </c>
      <c r="V878" s="2" t="inlineStr">
        <is>
          <t>Smal sågmossa</t>
        </is>
      </c>
      <c r="W878">
        <f>HYPERLINK("https://klasma.github.io/Logging_0860/artfynd/A 9328-2025 artfynd.xlsx", "A 9328-2025")</f>
        <v/>
      </c>
      <c r="X878">
        <f>HYPERLINK("https://klasma.github.io/Logging_0860/kartor/A 9328-2025 karta.png", "A 9328-2025")</f>
        <v/>
      </c>
      <c r="Y878">
        <f>HYPERLINK("https://klasma.github.io/Logging_0860/kartor_geotiff/A 9328-2025 georefererad karta.tif", "A 9328-2025")</f>
        <v/>
      </c>
      <c r="AA878">
        <f>HYPERLINK("https://klasma.github.io/Logging_0860/klagomål/A 9328-2025 FSC-klagomål.docx", "A 9328-2025")</f>
        <v/>
      </c>
      <c r="AB878">
        <f>HYPERLINK("https://klasma.github.io/Logging_0860/klagomålsmail/A 9328-2025 FSC-klagomål mail.docx", "A 9328-2025")</f>
        <v/>
      </c>
      <c r="AC878">
        <f>HYPERLINK("https://klasma.github.io/Logging_0860/tillsyn/A 9328-2025 tillsynsbegäran.docx", "A 9328-2025")</f>
        <v/>
      </c>
      <c r="AD878">
        <f>HYPERLINK("https://klasma.github.io/Logging_0860/tillsynsmail/A 9328-2025 tillsynsbegäran mail.docx", "A 9328-2025")</f>
        <v/>
      </c>
    </row>
    <row r="879" ht="15" customHeight="1">
      <c r="A879" t="inlineStr">
        <is>
          <t>A 1929-2022</t>
        </is>
      </c>
      <c r="B879" t="inlineStr">
        <is>
          <t>avverkningsanmälan</t>
        </is>
      </c>
      <c r="C879" t="inlineStr">
        <is>
          <t>Föryngringsavverkning</t>
        </is>
      </c>
      <c r="D879" s="1" t="n">
        <v>44575</v>
      </c>
      <c r="E879" s="1" t="n">
        <v>46323</v>
      </c>
      <c r="F879" t="inlineStr">
        <is>
          <t>KALMAR LÄN</t>
        </is>
      </c>
      <c r="G879" t="inlineStr">
        <is>
          <t>KALMAR</t>
        </is>
      </c>
      <c r="I879" t="n">
        <v>3.3</v>
      </c>
      <c r="J879" t="n">
        <v>1</v>
      </c>
      <c r="K879" t="n">
        <v>0</v>
      </c>
      <c r="L879" t="n">
        <v>0</v>
      </c>
      <c r="M879" t="n">
        <v>1</v>
      </c>
      <c r="N879" t="n">
        <v>0</v>
      </c>
      <c r="O879" t="n">
        <v>0</v>
      </c>
      <c r="P879" t="n">
        <v>0</v>
      </c>
      <c r="Q879" t="n">
        <v>1</v>
      </c>
      <c r="R879" t="n">
        <v>1</v>
      </c>
      <c r="S879" t="n">
        <v>1</v>
      </c>
      <c r="T879" t="n">
        <v>1</v>
      </c>
      <c r="U879" t="n">
        <v>1</v>
      </c>
      <c r="V879" s="2" t="inlineStr">
        <is>
          <t>Knärot</t>
        </is>
      </c>
      <c r="W879">
        <f>HYPERLINK("https://klasma.github.io/Logging_0880/artfynd/A 1929-2022 artfynd.xlsx", "A 1929-2022")</f>
        <v/>
      </c>
      <c r="X879">
        <f>HYPERLINK("https://klasma.github.io/Logging_0880/kartor/A 1929-2022 karta.png", "A 1929-2022")</f>
        <v/>
      </c>
      <c r="Y879">
        <f>HYPERLINK("https://klasma.github.io/Logging_0880/kartor_geotiff/A 1929-2022 georefererad karta.tif", "A 1929-2022")</f>
        <v/>
      </c>
      <c r="Z879">
        <f>HYPERLINK("https://klasma.github.io/Logging_0880/knärot/A 1929-2022 karta knärot.png", "A 1929-2022")</f>
        <v/>
      </c>
      <c r="AA879">
        <f>HYPERLINK("https://klasma.github.io/Logging_0880/klagomål/A 1929-2022 FSC-klagomål.docx", "A 1929-2022")</f>
        <v/>
      </c>
      <c r="AB879">
        <f>HYPERLINK("https://klasma.github.io/Logging_0880/klagomålsmail/A 1929-2022 FSC-klagomål mail.docx", "A 1929-2022")</f>
        <v/>
      </c>
      <c r="AC879">
        <f>HYPERLINK("https://klasma.github.io/Logging_0880/tillsyn/A 1929-2022 tillsynsbegäran.docx", "A 1929-2022")</f>
        <v/>
      </c>
      <c r="AD879">
        <f>HYPERLINK("https://klasma.github.io/Logging_0880/tillsynsmail/A 1929-2022 tillsynsbegäran mail.docx", "A 1929-2022")</f>
        <v/>
      </c>
    </row>
    <row r="880" ht="15" customHeight="1">
      <c r="A880" t="inlineStr">
        <is>
          <t>A 24588-2023</t>
        </is>
      </c>
      <c r="B880" t="inlineStr">
        <is>
          <t>avverkningsanmälan</t>
        </is>
      </c>
      <c r="C880" t="inlineStr">
        <is>
          <t>Föryngringsavverkning</t>
        </is>
      </c>
      <c r="D880" s="1" t="n">
        <v>45083</v>
      </c>
      <c r="E880" s="1" t="n">
        <v>46323</v>
      </c>
      <c r="F880" t="inlineStr">
        <is>
          <t>KALMAR LÄN</t>
        </is>
      </c>
      <c r="G880" t="inlineStr">
        <is>
          <t>KALMAR</t>
        </is>
      </c>
      <c r="I880" t="n">
        <v>3.3</v>
      </c>
      <c r="J880" t="n">
        <v>1</v>
      </c>
      <c r="K880" t="n">
        <v>0</v>
      </c>
      <c r="L880" t="n">
        <v>0</v>
      </c>
      <c r="M880" t="n">
        <v>0</v>
      </c>
      <c r="N880" t="n">
        <v>0</v>
      </c>
      <c r="O880" t="n">
        <v>0</v>
      </c>
      <c r="P880" t="n">
        <v>0</v>
      </c>
      <c r="Q880" t="n">
        <v>0</v>
      </c>
      <c r="R880" t="n">
        <v>0</v>
      </c>
      <c r="S880" t="n">
        <v>1</v>
      </c>
      <c r="T880" t="n">
        <v>1</v>
      </c>
      <c r="U880" t="n">
        <v>0</v>
      </c>
      <c r="V880" s="2" t="inlineStr">
        <is>
          <t>Skogsduva</t>
        </is>
      </c>
      <c r="W880">
        <f>HYPERLINK("https://klasma.github.io/Logging_0880/artfynd/A 24588-2023 artfynd.xlsx", "A 24588-2023")</f>
        <v/>
      </c>
      <c r="X880">
        <f>HYPERLINK("https://klasma.github.io/Logging_0880/kartor/A 24588-2023 karta.png", "A 24588-2023")</f>
        <v/>
      </c>
      <c r="Y880">
        <f>HYPERLINK("https://klasma.github.io/Logging_0880/kartor_geotiff/A 24588-2023 georefererad karta.tif", "A 24588-2023")</f>
        <v/>
      </c>
      <c r="AA880">
        <f>HYPERLINK("https://klasma.github.io/Logging_0880/klagomål/A 24588-2023 FSC-klagomål.docx", "A 24588-2023")</f>
        <v/>
      </c>
      <c r="AB880">
        <f>HYPERLINK("https://klasma.github.io/Logging_0880/klagomålsmail/A 24588-2023 FSC-klagomål mail.docx", "A 24588-2023")</f>
        <v/>
      </c>
      <c r="AC880">
        <f>HYPERLINK("https://klasma.github.io/Logging_0880/tillsyn/A 24588-2023 tillsynsbegäran.docx", "A 24588-2023")</f>
        <v/>
      </c>
      <c r="AD880">
        <f>HYPERLINK("https://klasma.github.io/Logging_0880/tillsynsmail/A 24588-2023 tillsynsbegäran mail.docx", "A 24588-2023")</f>
        <v/>
      </c>
    </row>
    <row r="881" ht="15" customHeight="1">
      <c r="A881" t="inlineStr">
        <is>
          <t>A 14131-2025</t>
        </is>
      </c>
      <c r="B881" t="inlineStr">
        <is>
          <t>avverkningsanmälan</t>
        </is>
      </c>
      <c r="C881" t="inlineStr">
        <is>
          <t>Avverkning för att bevara och utveckla /försöksver</t>
        </is>
      </c>
      <c r="D881" s="1" t="n">
        <v>45740</v>
      </c>
      <c r="E881" s="1" t="n">
        <v>46323</v>
      </c>
      <c r="F881" t="inlineStr">
        <is>
          <t>KALMAR LÄN</t>
        </is>
      </c>
      <c r="G881" t="inlineStr">
        <is>
          <t>VÄSTERVIK</t>
        </is>
      </c>
      <c r="H881" t="inlineStr">
        <is>
          <t>Sveaskog</t>
        </is>
      </c>
      <c r="I881" t="n">
        <v>0.7</v>
      </c>
      <c r="J881" t="n">
        <v>1</v>
      </c>
      <c r="K881" t="n">
        <v>0</v>
      </c>
      <c r="L881" t="n">
        <v>0</v>
      </c>
      <c r="M881" t="n">
        <v>0</v>
      </c>
      <c r="N881" t="n">
        <v>0</v>
      </c>
      <c r="O881" t="n">
        <v>0</v>
      </c>
      <c r="P881" t="n">
        <v>0</v>
      </c>
      <c r="Q881" t="n">
        <v>0</v>
      </c>
      <c r="R881" t="n">
        <v>0</v>
      </c>
      <c r="S881" t="n">
        <v>1</v>
      </c>
      <c r="T881" t="n">
        <v>1</v>
      </c>
      <c r="U881" t="n">
        <v>0</v>
      </c>
      <c r="V881" s="2" t="inlineStr">
        <is>
          <t>Blåsippa</t>
        </is>
      </c>
      <c r="W881">
        <f>HYPERLINK("https://klasma.github.io/Logging_0883/artfynd/A 14131-2025 artfynd.xlsx", "A 14131-2025")</f>
        <v/>
      </c>
      <c r="X881">
        <f>HYPERLINK("https://klasma.github.io/Logging_0883/kartor/A 14131-2025 karta.png", "A 14131-2025")</f>
        <v/>
      </c>
      <c r="Y881">
        <f>HYPERLINK("https://klasma.github.io/Logging_0883/kartor_geotiff/A 14131-2025 georefererad karta.tif", "A 14131-2025")</f>
        <v/>
      </c>
      <c r="AA881">
        <f>HYPERLINK("https://klasma.github.io/Logging_0883/klagomål/A 14131-2025 FSC-klagomål.docx", "A 14131-2025")</f>
        <v/>
      </c>
      <c r="AB881">
        <f>HYPERLINK("https://klasma.github.io/Logging_0883/klagomålsmail/A 14131-2025 FSC-klagomål mail.docx", "A 14131-2025")</f>
        <v/>
      </c>
      <c r="AC881">
        <f>HYPERLINK("https://klasma.github.io/Logging_0883/tillsyn/A 14131-2025 tillsynsbegäran.docx", "A 14131-2025")</f>
        <v/>
      </c>
      <c r="AD881">
        <f>HYPERLINK("https://klasma.github.io/Logging_0883/tillsynsmail/A 14131-2025 tillsynsbegäran mail.docx", "A 14131-2025")</f>
        <v/>
      </c>
    </row>
    <row r="882" ht="15" customHeight="1">
      <c r="A882" t="inlineStr">
        <is>
          <t>A 46187-2023</t>
        </is>
      </c>
      <c r="B882" t="inlineStr">
        <is>
          <t>avverkningsanmälan</t>
        </is>
      </c>
      <c r="C882" t="inlineStr">
        <is>
          <t>Föryngringsavverkning</t>
        </is>
      </c>
      <c r="D882" s="1" t="n">
        <v>45196</v>
      </c>
      <c r="E882" s="1" t="n">
        <v>46323</v>
      </c>
      <c r="F882" t="inlineStr">
        <is>
          <t>KALMAR LÄN</t>
        </is>
      </c>
      <c r="G882" t="inlineStr">
        <is>
          <t>EMMABODA</t>
        </is>
      </c>
      <c r="I882" t="n">
        <v>1.6</v>
      </c>
      <c r="J882" t="n">
        <v>1</v>
      </c>
      <c r="K882" t="n">
        <v>0</v>
      </c>
      <c r="L882" t="n">
        <v>0</v>
      </c>
      <c r="M882" t="n">
        <v>0</v>
      </c>
      <c r="N882" t="n">
        <v>0</v>
      </c>
      <c r="O882" t="n">
        <v>0</v>
      </c>
      <c r="P882" t="n">
        <v>0</v>
      </c>
      <c r="Q882" t="n">
        <v>0</v>
      </c>
      <c r="R882" t="n">
        <v>0</v>
      </c>
      <c r="S882" t="n">
        <v>1</v>
      </c>
      <c r="T882" t="n">
        <v>1</v>
      </c>
      <c r="U882" t="n">
        <v>0</v>
      </c>
      <c r="V882" s="2" t="inlineStr">
        <is>
          <t>Kungsfågel</t>
        </is>
      </c>
      <c r="W882">
        <f>HYPERLINK("https://klasma.github.io/Logging_0862/artfynd/A 46187-2023 artfynd.xlsx", "A 46187-2023")</f>
        <v/>
      </c>
      <c r="X882">
        <f>HYPERLINK("https://klasma.github.io/Logging_0862/kartor/A 46187-2023 karta.png", "A 46187-2023")</f>
        <v/>
      </c>
      <c r="Y882">
        <f>HYPERLINK("https://klasma.github.io/Logging_0862/kartor_geotiff/A 46187-2023 georefererad karta.tif", "A 46187-2023")</f>
        <v/>
      </c>
      <c r="AA882">
        <f>HYPERLINK("https://klasma.github.io/Logging_0862/klagomål/A 46187-2023 FSC-klagomål.docx", "A 46187-2023")</f>
        <v/>
      </c>
      <c r="AB882">
        <f>HYPERLINK("https://klasma.github.io/Logging_0862/klagomålsmail/A 46187-2023 FSC-klagomål mail.docx", "A 46187-2023")</f>
        <v/>
      </c>
      <c r="AC882">
        <f>HYPERLINK("https://klasma.github.io/Logging_0862/tillsyn/A 46187-2023 tillsynsbegäran.docx", "A 46187-2023")</f>
        <v/>
      </c>
      <c r="AD882">
        <f>HYPERLINK("https://klasma.github.io/Logging_0862/tillsynsmail/A 46187-2023 tillsynsbegäran mail.docx", "A 46187-2023")</f>
        <v/>
      </c>
    </row>
    <row r="883" ht="15" customHeight="1">
      <c r="A883" t="inlineStr">
        <is>
          <t>A 10837-2023</t>
        </is>
      </c>
      <c r="B883" t="inlineStr">
        <is>
          <t>avverkningsanmälan</t>
        </is>
      </c>
      <c r="C883" t="inlineStr">
        <is>
          <t>Föryngringsavverkning</t>
        </is>
      </c>
      <c r="D883" s="1" t="n">
        <v>44991</v>
      </c>
      <c r="E883" s="1" t="n">
        <v>46323</v>
      </c>
      <c r="F883" t="inlineStr">
        <is>
          <t>KALMAR LÄN</t>
        </is>
      </c>
      <c r="G883" t="inlineStr">
        <is>
          <t>VIMMERBY</t>
        </is>
      </c>
      <c r="I883" t="n">
        <v>7.3</v>
      </c>
      <c r="J883" t="n">
        <v>1</v>
      </c>
      <c r="K883" t="n">
        <v>0</v>
      </c>
      <c r="L883" t="n">
        <v>0</v>
      </c>
      <c r="M883" t="n">
        <v>0</v>
      </c>
      <c r="N883" t="n">
        <v>0</v>
      </c>
      <c r="O883" t="n">
        <v>0</v>
      </c>
      <c r="P883" t="n">
        <v>0</v>
      </c>
      <c r="Q883" t="n">
        <v>0</v>
      </c>
      <c r="R883" t="n">
        <v>0</v>
      </c>
      <c r="S883" t="n">
        <v>1</v>
      </c>
      <c r="T883" t="n">
        <v>1</v>
      </c>
      <c r="U883" t="n">
        <v>1</v>
      </c>
      <c r="V883" s="2" t="inlineStr">
        <is>
          <t>Nattskärra</t>
        </is>
      </c>
      <c r="W883">
        <f>HYPERLINK("https://klasma.github.io/Logging_0884/artfynd/A 10837-2023 artfynd.xlsx", "A 10837-2023")</f>
        <v/>
      </c>
      <c r="X883">
        <f>HYPERLINK("https://klasma.github.io/Logging_0884/kartor/A 10837-2023 karta.png", "A 10837-2023")</f>
        <v/>
      </c>
      <c r="Y883">
        <f>HYPERLINK("https://klasma.github.io/Logging_0884/kartor_geotiff/A 10837-2023 georefererad karta.tif", "A 10837-2023")</f>
        <v/>
      </c>
      <c r="AA883">
        <f>HYPERLINK("https://klasma.github.io/Logging_0884/klagomål/A 10837-2023 FSC-klagomål.docx", "A 10837-2023")</f>
        <v/>
      </c>
      <c r="AB883">
        <f>HYPERLINK("https://klasma.github.io/Logging_0884/klagomålsmail/A 10837-2023 FSC-klagomål mail.docx", "A 10837-2023")</f>
        <v/>
      </c>
      <c r="AC883">
        <f>HYPERLINK("https://klasma.github.io/Logging_0884/tillsyn/A 10837-2023 tillsynsbegäran.docx", "A 10837-2023")</f>
        <v/>
      </c>
      <c r="AD883">
        <f>HYPERLINK("https://klasma.github.io/Logging_0884/tillsynsmail/A 10837-2023 tillsynsbegäran mail.docx", "A 10837-2023")</f>
        <v/>
      </c>
      <c r="AE883">
        <f>HYPERLINK("https://klasma.github.io/Logging_0884/fåglar/A 10837-2023 prioriterade fågelarter.docx", "A 10837-2023")</f>
        <v/>
      </c>
    </row>
    <row r="884" ht="15" customHeight="1">
      <c r="A884" t="inlineStr">
        <is>
          <t>A 10924-2023</t>
        </is>
      </c>
      <c r="B884" t="inlineStr">
        <is>
          <t>avverkningsanmälan</t>
        </is>
      </c>
      <c r="C884" t="inlineStr">
        <is>
          <t>Föryngringsavverkning</t>
        </is>
      </c>
      <c r="D884" s="1" t="n">
        <v>44991</v>
      </c>
      <c r="E884" s="1" t="n">
        <v>46323</v>
      </c>
      <c r="F884" t="inlineStr">
        <is>
          <t>KALMAR LÄN</t>
        </is>
      </c>
      <c r="G884" t="inlineStr">
        <is>
          <t>KALMAR</t>
        </is>
      </c>
      <c r="I884" t="n">
        <v>0.5</v>
      </c>
      <c r="J884" t="n">
        <v>1</v>
      </c>
      <c r="K884" t="n">
        <v>0</v>
      </c>
      <c r="L884" t="n">
        <v>0</v>
      </c>
      <c r="M884" t="n">
        <v>0</v>
      </c>
      <c r="N884" t="n">
        <v>0</v>
      </c>
      <c r="O884" t="n">
        <v>0</v>
      </c>
      <c r="P884" t="n">
        <v>0</v>
      </c>
      <c r="Q884" t="n">
        <v>0</v>
      </c>
      <c r="R884" t="n">
        <v>0</v>
      </c>
      <c r="S884" t="n">
        <v>1</v>
      </c>
      <c r="T884" t="n">
        <v>1</v>
      </c>
      <c r="U884" t="n">
        <v>1</v>
      </c>
      <c r="V884" s="2" t="inlineStr">
        <is>
          <t>Nattviol</t>
        </is>
      </c>
      <c r="W884">
        <f>HYPERLINK("https://klasma.github.io/Logging_0880/artfynd/A 10924-2023 artfynd.xlsx", "A 10924-2023")</f>
        <v/>
      </c>
      <c r="X884">
        <f>HYPERLINK("https://klasma.github.io/Logging_0880/kartor/A 10924-2023 karta.png", "A 10924-2023")</f>
        <v/>
      </c>
      <c r="Y884">
        <f>HYPERLINK("https://klasma.github.io/Logging_0880/kartor_geotiff/A 10924-2023 georefererad karta.tif", "A 10924-2023")</f>
        <v/>
      </c>
      <c r="AA884">
        <f>HYPERLINK("https://klasma.github.io/Logging_0880/klagomål/A 10924-2023 FSC-klagomål.docx", "A 10924-2023")</f>
        <v/>
      </c>
      <c r="AB884">
        <f>HYPERLINK("https://klasma.github.io/Logging_0880/klagomålsmail/A 10924-2023 FSC-klagomål mail.docx", "A 10924-2023")</f>
        <v/>
      </c>
      <c r="AC884">
        <f>HYPERLINK("https://klasma.github.io/Logging_0880/tillsyn/A 10924-2023 tillsynsbegäran.docx", "A 10924-2023")</f>
        <v/>
      </c>
      <c r="AD884">
        <f>HYPERLINK("https://klasma.github.io/Logging_0880/tillsynsmail/A 10924-2023 tillsynsbegäran mail.docx", "A 10924-2023")</f>
        <v/>
      </c>
    </row>
    <row r="885" ht="15" customHeight="1">
      <c r="A885" t="inlineStr">
        <is>
          <t>A 41831-2025</t>
        </is>
      </c>
      <c r="B885" t="inlineStr">
        <is>
          <t>avverkningsanmälan</t>
        </is>
      </c>
      <c r="C885" t="inlineStr">
        <is>
          <t>Föryngringsavverkning</t>
        </is>
      </c>
      <c r="D885" s="1" t="n">
        <v>45902</v>
      </c>
      <c r="E885" s="1" t="n">
        <v>46323</v>
      </c>
      <c r="F885" t="inlineStr">
        <is>
          <t>KALMAR LÄN</t>
        </is>
      </c>
      <c r="G885" t="inlineStr">
        <is>
          <t>BORGHOLM</t>
        </is>
      </c>
      <c r="I885" t="n">
        <v>1.5</v>
      </c>
      <c r="J885" t="n">
        <v>1</v>
      </c>
      <c r="K885" t="n">
        <v>1</v>
      </c>
      <c r="L885" t="n">
        <v>0</v>
      </c>
      <c r="M885" t="n">
        <v>0</v>
      </c>
      <c r="N885" t="n">
        <v>0</v>
      </c>
      <c r="O885" t="n">
        <v>0</v>
      </c>
      <c r="P885" t="n">
        <v>0</v>
      </c>
      <c r="Q885" t="n">
        <v>0</v>
      </c>
      <c r="R885" t="n">
        <v>0</v>
      </c>
      <c r="S885" t="n">
        <v>1</v>
      </c>
      <c r="T885" t="n">
        <v>1</v>
      </c>
      <c r="U885" t="n">
        <v>0</v>
      </c>
      <c r="V885" s="2" t="inlineStr">
        <is>
          <t>Skogsknipprot</t>
        </is>
      </c>
      <c r="W885">
        <f>HYPERLINK("https://klasma.github.io/Logging_0885/artfynd/A 41831-2025 artfynd.xlsx", "A 41831-2025")</f>
        <v/>
      </c>
      <c r="X885">
        <f>HYPERLINK("https://klasma.github.io/Logging_0885/kartor/A 41831-2025 karta.png", "A 41831-2025")</f>
        <v/>
      </c>
      <c r="Y885">
        <f>HYPERLINK("https://klasma.github.io/Logging_0885/kartor_geotiff/A 41831-2025 georefererad karta.tif", "A 41831-2025")</f>
        <v/>
      </c>
      <c r="AA885">
        <f>HYPERLINK("https://klasma.github.io/Logging_0885/klagomål/A 41831-2025 FSC-klagomål.docx", "A 41831-2025")</f>
        <v/>
      </c>
      <c r="AB885">
        <f>HYPERLINK("https://klasma.github.io/Logging_0885/klagomålsmail/A 41831-2025 FSC-klagomål mail.docx", "A 41831-2025")</f>
        <v/>
      </c>
      <c r="AC885">
        <f>HYPERLINK("https://klasma.github.io/Logging_0885/tillsyn/A 41831-2025 tillsynsbegäran.docx", "A 41831-2025")</f>
        <v/>
      </c>
      <c r="AD885">
        <f>HYPERLINK("https://klasma.github.io/Logging_0885/tillsynsmail/A 41831-2025 tillsynsbegäran mail.docx", "A 41831-2025")</f>
        <v/>
      </c>
    </row>
    <row r="886" ht="15" customHeight="1">
      <c r="A886" t="inlineStr">
        <is>
          <t>A 47672-2022</t>
        </is>
      </c>
      <c r="B886" t="inlineStr">
        <is>
          <t>avverkningsanmälan</t>
        </is>
      </c>
      <c r="C886" t="inlineStr">
        <is>
          <t>Föryngringsavverkning</t>
        </is>
      </c>
      <c r="D886" s="1" t="n">
        <v>44854</v>
      </c>
      <c r="E886" s="1" t="n">
        <v>46323</v>
      </c>
      <c r="F886" t="inlineStr">
        <is>
          <t>KALMAR LÄN</t>
        </is>
      </c>
      <c r="G886" t="inlineStr">
        <is>
          <t>MÖNSTERÅS</t>
        </is>
      </c>
      <c r="I886" t="n">
        <v>4.6</v>
      </c>
      <c r="J886" t="n">
        <v>1</v>
      </c>
      <c r="K886" t="n">
        <v>0</v>
      </c>
      <c r="L886" t="n">
        <v>0</v>
      </c>
      <c r="M886" t="n">
        <v>1</v>
      </c>
      <c r="N886" t="n">
        <v>0</v>
      </c>
      <c r="O886" t="n">
        <v>0</v>
      </c>
      <c r="P886" t="n">
        <v>0</v>
      </c>
      <c r="Q886" t="n">
        <v>1</v>
      </c>
      <c r="R886" t="n">
        <v>1</v>
      </c>
      <c r="S886" t="n">
        <v>1</v>
      </c>
      <c r="T886" t="n">
        <v>5</v>
      </c>
      <c r="U886" t="n">
        <v>2</v>
      </c>
      <c r="V886" s="2" t="inlineStr">
        <is>
          <t>Knärot</t>
        </is>
      </c>
      <c r="W886">
        <f>HYPERLINK("https://klasma.github.io/Logging_0861/artfynd/A 47672-2022 artfynd.xlsx", "A 47672-2022")</f>
        <v/>
      </c>
      <c r="X886">
        <f>HYPERLINK("https://klasma.github.io/Logging_0861/kartor/A 47672-2022 karta.png", "A 47672-2022")</f>
        <v/>
      </c>
      <c r="Y886">
        <f>HYPERLINK("https://klasma.github.io/Logging_0861/kartor_geotiff/A 47672-2022 georefererad karta.tif", "A 47672-2022")</f>
        <v/>
      </c>
      <c r="Z886">
        <f>HYPERLINK("https://klasma.github.io/Logging_0861/knärot/A 47672-2022 karta knärot.png", "A 47672-2022")</f>
        <v/>
      </c>
      <c r="AA886">
        <f>HYPERLINK("https://klasma.github.io/Logging_0861/klagomål/A 47672-2022 FSC-klagomål.docx", "A 47672-2022")</f>
        <v/>
      </c>
      <c r="AB886">
        <f>HYPERLINK("https://klasma.github.io/Logging_0861/klagomålsmail/A 47672-2022 FSC-klagomål mail.docx", "A 47672-2022")</f>
        <v/>
      </c>
      <c r="AC886">
        <f>HYPERLINK("https://klasma.github.io/Logging_0861/tillsyn/A 47672-2022 tillsynsbegäran.docx", "A 47672-2022")</f>
        <v/>
      </c>
      <c r="AD886">
        <f>HYPERLINK("https://klasma.github.io/Logging_0861/tillsynsmail/A 47672-2022 tillsynsbegäran mail.docx", "A 47672-2022")</f>
        <v/>
      </c>
    </row>
    <row r="887" ht="15" customHeight="1">
      <c r="A887" t="inlineStr">
        <is>
          <t>A 42759-2025</t>
        </is>
      </c>
      <c r="B887" t="inlineStr">
        <is>
          <t>avverkningsanmälan</t>
        </is>
      </c>
      <c r="C887" t="inlineStr">
        <is>
          <t>Föryngringsavverkning</t>
        </is>
      </c>
      <c r="D887" s="1" t="n">
        <v>45908</v>
      </c>
      <c r="E887" s="1" t="n">
        <v>46323</v>
      </c>
      <c r="F887" t="inlineStr">
        <is>
          <t>KALMAR LÄN</t>
        </is>
      </c>
      <c r="G887" t="inlineStr">
        <is>
          <t>OSKARSHAMN</t>
        </is>
      </c>
      <c r="I887" t="n">
        <v>5.7</v>
      </c>
      <c r="J887" t="n">
        <v>1</v>
      </c>
      <c r="K887" t="n">
        <v>0</v>
      </c>
      <c r="L887" t="n">
        <v>0</v>
      </c>
      <c r="M887" t="n">
        <v>0</v>
      </c>
      <c r="N887" t="n">
        <v>0</v>
      </c>
      <c r="O887" t="n">
        <v>0</v>
      </c>
      <c r="P887" t="n">
        <v>0</v>
      </c>
      <c r="Q887" t="n">
        <v>0</v>
      </c>
      <c r="R887" t="n">
        <v>0</v>
      </c>
      <c r="S887" t="n">
        <v>1</v>
      </c>
      <c r="T887" t="n">
        <v>1</v>
      </c>
      <c r="U887" t="n">
        <v>0</v>
      </c>
      <c r="V887" s="2" t="inlineStr">
        <is>
          <t>Gullviva</t>
        </is>
      </c>
      <c r="W887">
        <f>HYPERLINK("https://klasma.github.io/Logging_0882/artfynd/A 42759-2025 artfynd.xlsx", "A 42759-2025")</f>
        <v/>
      </c>
      <c r="X887">
        <f>HYPERLINK("https://klasma.github.io/Logging_0882/kartor/A 42759-2025 karta.png", "A 42759-2025")</f>
        <v/>
      </c>
      <c r="Y887">
        <f>HYPERLINK("https://klasma.github.io/Logging_0882/kartor_geotiff/A 42759-2025 georefererad karta.tif", "A 42759-2025")</f>
        <v/>
      </c>
      <c r="AA887">
        <f>HYPERLINK("https://klasma.github.io/Logging_0882/klagomål/A 42759-2025 FSC-klagomål.docx", "A 42759-2025")</f>
        <v/>
      </c>
      <c r="AB887">
        <f>HYPERLINK("https://klasma.github.io/Logging_0882/klagomålsmail/A 42759-2025 FSC-klagomål mail.docx", "A 42759-2025")</f>
        <v/>
      </c>
      <c r="AC887">
        <f>HYPERLINK("https://klasma.github.io/Logging_0882/tillsyn/A 42759-2025 tillsynsbegäran.docx", "A 42759-2025")</f>
        <v/>
      </c>
      <c r="AD887">
        <f>HYPERLINK("https://klasma.github.io/Logging_0882/tillsynsmail/A 42759-2025 tillsynsbegäran mail.docx", "A 42759-2025")</f>
        <v/>
      </c>
    </row>
    <row r="888" ht="15" customHeight="1">
      <c r="A888" t="inlineStr">
        <is>
          <t>A 24701-2023</t>
        </is>
      </c>
      <c r="B888" t="inlineStr">
        <is>
          <t>avverkningsanmälan</t>
        </is>
      </c>
      <c r="C888" t="inlineStr">
        <is>
          <t>Föryngringsavverkning</t>
        </is>
      </c>
      <c r="D888" s="1" t="n">
        <v>45084</v>
      </c>
      <c r="E888" s="1" t="n">
        <v>46323</v>
      </c>
      <c r="F888" t="inlineStr">
        <is>
          <t>KALMAR LÄN</t>
        </is>
      </c>
      <c r="G888" t="inlineStr">
        <is>
          <t>BORGHOLM</t>
        </is>
      </c>
      <c r="I888" t="n">
        <v>3</v>
      </c>
      <c r="J888" t="n">
        <v>0</v>
      </c>
      <c r="K888" t="n">
        <v>0</v>
      </c>
      <c r="L888" t="n">
        <v>0</v>
      </c>
      <c r="M888" t="n">
        <v>0</v>
      </c>
      <c r="N888" t="n">
        <v>1</v>
      </c>
      <c r="O888" t="n">
        <v>0</v>
      </c>
      <c r="P888" t="n">
        <v>0</v>
      </c>
      <c r="Q888" t="n">
        <v>1</v>
      </c>
      <c r="R888" t="n">
        <v>1</v>
      </c>
      <c r="S888" t="n">
        <v>1</v>
      </c>
      <c r="T888" t="n">
        <v>3</v>
      </c>
      <c r="U888" t="n">
        <v>0</v>
      </c>
      <c r="V888" s="2" t="inlineStr">
        <is>
          <t>Ask</t>
        </is>
      </c>
      <c r="W888">
        <f>HYPERLINK("https://klasma.github.io/Logging_0885/artfynd/A 24701-2023 artfynd.xlsx", "A 24701-2023")</f>
        <v/>
      </c>
      <c r="X888">
        <f>HYPERLINK("https://klasma.github.io/Logging_0885/kartor/A 24701-2023 karta.png", "A 24701-2023")</f>
        <v/>
      </c>
      <c r="Y888">
        <f>HYPERLINK("https://klasma.github.io/Logging_0885/kartor_geotiff/A 24701-2023 georefererad karta.tif", "A 24701-2023")</f>
        <v/>
      </c>
      <c r="AA888">
        <f>HYPERLINK("https://klasma.github.io/Logging_0885/klagomål/A 24701-2023 FSC-klagomål.docx", "A 24701-2023")</f>
        <v/>
      </c>
      <c r="AB888">
        <f>HYPERLINK("https://klasma.github.io/Logging_0885/klagomålsmail/A 24701-2023 FSC-klagomål mail.docx", "A 24701-2023")</f>
        <v/>
      </c>
      <c r="AC888">
        <f>HYPERLINK("https://klasma.github.io/Logging_0885/tillsyn/A 24701-2023 tillsynsbegäran.docx", "A 24701-2023")</f>
        <v/>
      </c>
      <c r="AD888">
        <f>HYPERLINK("https://klasma.github.io/Logging_0885/tillsynsmail/A 24701-2023 tillsynsbegäran mail.docx", "A 24701-2023")</f>
        <v/>
      </c>
    </row>
    <row r="889" ht="15" customHeight="1">
      <c r="A889" t="inlineStr">
        <is>
          <t>A 22014-2023</t>
        </is>
      </c>
      <c r="B889" t="inlineStr">
        <is>
          <t>avverkningsanmälan</t>
        </is>
      </c>
      <c r="C889" t="inlineStr">
        <is>
          <t>Föryngringsavverkning</t>
        </is>
      </c>
      <c r="D889" s="1" t="n">
        <v>45069</v>
      </c>
      <c r="E889" s="1" t="n">
        <v>46323</v>
      </c>
      <c r="F889" t="inlineStr">
        <is>
          <t>KALMAR LÄN</t>
        </is>
      </c>
      <c r="G889" t="inlineStr">
        <is>
          <t>KALMAR</t>
        </is>
      </c>
      <c r="I889" t="n">
        <v>1.6</v>
      </c>
      <c r="J889" t="n">
        <v>1</v>
      </c>
      <c r="K889" t="n">
        <v>0</v>
      </c>
      <c r="L889" t="n">
        <v>0</v>
      </c>
      <c r="M889" t="n">
        <v>0</v>
      </c>
      <c r="N889" t="n">
        <v>0</v>
      </c>
      <c r="O889" t="n">
        <v>0</v>
      </c>
      <c r="P889" t="n">
        <v>0</v>
      </c>
      <c r="Q889" t="n">
        <v>0</v>
      </c>
      <c r="R889" t="n">
        <v>0</v>
      </c>
      <c r="S889" t="n">
        <v>1</v>
      </c>
      <c r="T889" t="n">
        <v>1</v>
      </c>
      <c r="U889" t="n">
        <v>1</v>
      </c>
      <c r="V889" s="2" t="inlineStr">
        <is>
          <t>Lopplummer (aggregat)</t>
        </is>
      </c>
      <c r="W889">
        <f>HYPERLINK("https://klasma.github.io/Logging_0880/artfynd/A 22014-2023 artfynd.xlsx", "A 22014-2023")</f>
        <v/>
      </c>
      <c r="X889">
        <f>HYPERLINK("https://klasma.github.io/Logging_0880/kartor/A 22014-2023 karta.png", "A 22014-2023")</f>
        <v/>
      </c>
      <c r="Y889">
        <f>HYPERLINK("https://klasma.github.io/Logging_0880/kartor_geotiff/A 22014-2023 georefererad karta.tif", "A 22014-2023")</f>
        <v/>
      </c>
      <c r="AA889">
        <f>HYPERLINK("https://klasma.github.io/Logging_0880/klagomål/A 22014-2023 FSC-klagomål.docx", "A 22014-2023")</f>
        <v/>
      </c>
      <c r="AB889">
        <f>HYPERLINK("https://klasma.github.io/Logging_0880/klagomålsmail/A 22014-2023 FSC-klagomål mail.docx", "A 22014-2023")</f>
        <v/>
      </c>
      <c r="AC889">
        <f>HYPERLINK("https://klasma.github.io/Logging_0880/tillsyn/A 22014-2023 tillsynsbegäran.docx", "A 22014-2023")</f>
        <v/>
      </c>
      <c r="AD889">
        <f>HYPERLINK("https://klasma.github.io/Logging_0880/tillsynsmail/A 22014-2023 tillsynsbegäran mail.docx", "A 22014-2023")</f>
        <v/>
      </c>
    </row>
    <row r="890" ht="15" customHeight="1">
      <c r="A890" t="inlineStr">
        <is>
          <t>A 13725-2023</t>
        </is>
      </c>
      <c r="B890" t="inlineStr">
        <is>
          <t>avverkningsanmälan</t>
        </is>
      </c>
      <c r="C890" t="inlineStr">
        <is>
          <t>Föryngringsavverkning</t>
        </is>
      </c>
      <c r="D890" s="1" t="n">
        <v>45007</v>
      </c>
      <c r="E890" s="1" t="n">
        <v>46323</v>
      </c>
      <c r="F890" t="inlineStr">
        <is>
          <t>KALMAR LÄN</t>
        </is>
      </c>
      <c r="G890" t="inlineStr">
        <is>
          <t>KALMAR</t>
        </is>
      </c>
      <c r="I890" t="n">
        <v>2.2</v>
      </c>
      <c r="J890" t="n">
        <v>1</v>
      </c>
      <c r="K890" t="n">
        <v>0</v>
      </c>
      <c r="L890" t="n">
        <v>1</v>
      </c>
      <c r="M890" t="n">
        <v>0</v>
      </c>
      <c r="N890" t="n">
        <v>0</v>
      </c>
      <c r="O890" t="n">
        <v>0</v>
      </c>
      <c r="P890" t="n">
        <v>0</v>
      </c>
      <c r="Q890" t="n">
        <v>1</v>
      </c>
      <c r="R890" t="n">
        <v>0</v>
      </c>
      <c r="S890" t="n">
        <v>1</v>
      </c>
      <c r="T890" t="n">
        <v>1</v>
      </c>
      <c r="U890" t="n">
        <v>1</v>
      </c>
      <c r="V890" s="2" t="inlineStr">
        <is>
          <t>Gulsparv</t>
        </is>
      </c>
      <c r="W890">
        <f>HYPERLINK("https://klasma.github.io/Logging_0880/artfynd/A 13725-2023 artfynd.xlsx", "A 13725-2023")</f>
        <v/>
      </c>
      <c r="X890">
        <f>HYPERLINK("https://klasma.github.io/Logging_0880/kartor/A 13725-2023 karta.png", "A 13725-2023")</f>
        <v/>
      </c>
      <c r="Y890">
        <f>HYPERLINK("https://klasma.github.io/Logging_0880/kartor_geotiff/A 13725-2023 georefererad karta.tif", "A 13725-2023")</f>
        <v/>
      </c>
      <c r="AA890">
        <f>HYPERLINK("https://klasma.github.io/Logging_0880/klagomål/A 13725-2023 FSC-klagomål.docx", "A 13725-2023")</f>
        <v/>
      </c>
      <c r="AB890">
        <f>HYPERLINK("https://klasma.github.io/Logging_0880/klagomålsmail/A 13725-2023 FSC-klagomål mail.docx", "A 13725-2023")</f>
        <v/>
      </c>
      <c r="AC890">
        <f>HYPERLINK("https://klasma.github.io/Logging_0880/tillsyn/A 13725-2023 tillsynsbegäran.docx", "A 13725-2023")</f>
        <v/>
      </c>
      <c r="AD890">
        <f>HYPERLINK("https://klasma.github.io/Logging_0880/tillsynsmail/A 13725-2023 tillsynsbegäran mail.docx", "A 13725-2023")</f>
        <v/>
      </c>
      <c r="AE890">
        <f>HYPERLINK("https://klasma.github.io/Logging_0880/fåglar/A 13725-2023 prioriterade fågelarter.docx", "A 13725-2023")</f>
        <v/>
      </c>
    </row>
    <row r="891" ht="15" customHeight="1">
      <c r="A891" t="inlineStr">
        <is>
          <t>A 47891-2022</t>
        </is>
      </c>
      <c r="B891" t="inlineStr">
        <is>
          <t>avverkningsanmälan</t>
        </is>
      </c>
      <c r="C891" t="inlineStr">
        <is>
          <t>Avverkning för att bevara och utveckla /försöksver</t>
        </is>
      </c>
      <c r="D891" s="1" t="n">
        <v>44855</v>
      </c>
      <c r="E891" s="1" t="n">
        <v>46323</v>
      </c>
      <c r="F891" t="inlineStr">
        <is>
          <t>KALMAR LÄN</t>
        </is>
      </c>
      <c r="G891" t="inlineStr">
        <is>
          <t>KALMAR</t>
        </is>
      </c>
      <c r="H891" t="inlineStr">
        <is>
          <t>Sveaskog</t>
        </is>
      </c>
      <c r="I891" t="n">
        <v>12.2</v>
      </c>
      <c r="J891" t="n">
        <v>0</v>
      </c>
      <c r="K891" t="n">
        <v>0</v>
      </c>
      <c r="L891" t="n">
        <v>0</v>
      </c>
      <c r="M891" t="n">
        <v>1</v>
      </c>
      <c r="N891" t="n">
        <v>0</v>
      </c>
      <c r="O891" t="n">
        <v>0</v>
      </c>
      <c r="P891" t="n">
        <v>0</v>
      </c>
      <c r="Q891" t="n">
        <v>1</v>
      </c>
      <c r="R891" t="n">
        <v>1</v>
      </c>
      <c r="S891" t="n">
        <v>1</v>
      </c>
      <c r="T891" t="n">
        <v>1</v>
      </c>
      <c r="U891" t="n">
        <v>1</v>
      </c>
      <c r="V891" s="2" t="inlineStr">
        <is>
          <t>Igelkott</t>
        </is>
      </c>
      <c r="W891">
        <f>HYPERLINK("https://klasma.github.io/Logging_0880/artfynd/A 47891-2022 artfynd.xlsx", "A 47891-2022")</f>
        <v/>
      </c>
      <c r="X891">
        <f>HYPERLINK("https://klasma.github.io/Logging_0880/kartor/A 47891-2022 karta.png", "A 47891-2022")</f>
        <v/>
      </c>
      <c r="Y891">
        <f>HYPERLINK("https://klasma.github.io/Logging_0880/kartor_geotiff/A 47891-2022 georefererad karta.tif", "A 47891-2022")</f>
        <v/>
      </c>
      <c r="AA891">
        <f>HYPERLINK("https://klasma.github.io/Logging_0880/klagomål/A 47891-2022 FSC-klagomål.docx", "A 47891-2022")</f>
        <v/>
      </c>
      <c r="AB891">
        <f>HYPERLINK("https://klasma.github.io/Logging_0880/klagomålsmail/A 47891-2022 FSC-klagomål mail.docx", "A 47891-2022")</f>
        <v/>
      </c>
      <c r="AC891">
        <f>HYPERLINK("https://klasma.github.io/Logging_0880/tillsyn/A 47891-2022 tillsynsbegäran.docx", "A 47891-2022")</f>
        <v/>
      </c>
      <c r="AD891">
        <f>HYPERLINK("https://klasma.github.io/Logging_0880/tillsynsmail/A 47891-2022 tillsynsbegäran mail.docx", "A 47891-2022")</f>
        <v/>
      </c>
    </row>
    <row r="892" ht="15" customHeight="1">
      <c r="A892" t="inlineStr">
        <is>
          <t>A 15440-2023</t>
        </is>
      </c>
      <c r="B892" t="inlineStr">
        <is>
          <t>avverkningsanmälan</t>
        </is>
      </c>
      <c r="C892" t="inlineStr">
        <is>
          <t>Föryngringsavverkning</t>
        </is>
      </c>
      <c r="D892" s="1" t="n">
        <v>45016</v>
      </c>
      <c r="E892" s="1" t="n">
        <v>46323</v>
      </c>
      <c r="F892" t="inlineStr">
        <is>
          <t>KALMAR LÄN</t>
        </is>
      </c>
      <c r="G892" t="inlineStr">
        <is>
          <t>HULTSFRED</t>
        </is>
      </c>
      <c r="I892" t="n">
        <v>3.1</v>
      </c>
      <c r="J892" t="n">
        <v>1</v>
      </c>
      <c r="K892" t="n">
        <v>0</v>
      </c>
      <c r="L892" t="n">
        <v>0</v>
      </c>
      <c r="M892" t="n">
        <v>0</v>
      </c>
      <c r="N892" t="n">
        <v>0</v>
      </c>
      <c r="O892" t="n">
        <v>0</v>
      </c>
      <c r="P892" t="n">
        <v>0</v>
      </c>
      <c r="Q892" t="n">
        <v>0</v>
      </c>
      <c r="R892" t="n">
        <v>0</v>
      </c>
      <c r="S892" t="n">
        <v>1</v>
      </c>
      <c r="T892" t="n">
        <v>1</v>
      </c>
      <c r="U892" t="n">
        <v>0</v>
      </c>
      <c r="V892" s="2" t="inlineStr">
        <is>
          <t>Spillkråka</t>
        </is>
      </c>
      <c r="W892">
        <f>HYPERLINK("https://klasma.github.io/Logging_0860/artfynd/A 15440-2023 artfynd.xlsx", "A 15440-2023")</f>
        <v/>
      </c>
      <c r="X892">
        <f>HYPERLINK("https://klasma.github.io/Logging_0860/kartor/A 15440-2023 karta.png", "A 15440-2023")</f>
        <v/>
      </c>
      <c r="Y892">
        <f>HYPERLINK("https://klasma.github.io/Logging_0860/kartor_geotiff/A 15440-2023 georefererad karta.tif", "A 15440-2023")</f>
        <v/>
      </c>
      <c r="AA892">
        <f>HYPERLINK("https://klasma.github.io/Logging_0860/klagomål/A 15440-2023 FSC-klagomål.docx", "A 15440-2023")</f>
        <v/>
      </c>
      <c r="AB892">
        <f>HYPERLINK("https://klasma.github.io/Logging_0860/klagomålsmail/A 15440-2023 FSC-klagomål mail.docx", "A 15440-2023")</f>
        <v/>
      </c>
      <c r="AC892">
        <f>HYPERLINK("https://klasma.github.io/Logging_0860/tillsyn/A 15440-2023 tillsynsbegäran.docx", "A 15440-2023")</f>
        <v/>
      </c>
      <c r="AD892">
        <f>HYPERLINK("https://klasma.github.io/Logging_0860/tillsynsmail/A 15440-2023 tillsynsbegäran mail.docx", "A 15440-2023")</f>
        <v/>
      </c>
      <c r="AE892">
        <f>HYPERLINK("https://klasma.github.io/Logging_0860/fåglar/A 15440-2023 prioriterade fågelarter.docx", "A 15440-2023")</f>
        <v/>
      </c>
    </row>
    <row r="893" ht="15" customHeight="1">
      <c r="A893" t="inlineStr">
        <is>
          <t>A 44569-2025</t>
        </is>
      </c>
      <c r="B893" t="inlineStr">
        <is>
          <t>avverkningsanmälan</t>
        </is>
      </c>
      <c r="C893" t="inlineStr">
        <is>
          <t>Föryngringsavverkning</t>
        </is>
      </c>
      <c r="D893" s="1" t="n">
        <v>45917</v>
      </c>
      <c r="E893" s="1" t="n">
        <v>46323</v>
      </c>
      <c r="F893" t="inlineStr">
        <is>
          <t>KALMAR LÄN</t>
        </is>
      </c>
      <c r="G893" t="inlineStr">
        <is>
          <t>TORSÅS</t>
        </is>
      </c>
      <c r="I893" t="n">
        <v>7</v>
      </c>
      <c r="J893" t="n">
        <v>1</v>
      </c>
      <c r="K893" t="n">
        <v>0</v>
      </c>
      <c r="L893" t="n">
        <v>0</v>
      </c>
      <c r="M893" t="n">
        <v>0</v>
      </c>
      <c r="N893" t="n">
        <v>0</v>
      </c>
      <c r="O893" t="n">
        <v>0</v>
      </c>
      <c r="P893" t="n">
        <v>0</v>
      </c>
      <c r="Q893" t="n">
        <v>0</v>
      </c>
      <c r="R893" t="n">
        <v>0</v>
      </c>
      <c r="S893" t="n">
        <v>1</v>
      </c>
      <c r="T893" t="n">
        <v>1</v>
      </c>
      <c r="U893" t="n">
        <v>0</v>
      </c>
      <c r="V893" s="2" t="inlineStr">
        <is>
          <t>Huggorm</t>
        </is>
      </c>
      <c r="W893">
        <f>HYPERLINK("https://klasma.github.io/Logging_0834/artfynd/A 44569-2025 artfynd.xlsx", "A 44569-2025")</f>
        <v/>
      </c>
      <c r="X893">
        <f>HYPERLINK("https://klasma.github.io/Logging_0834/kartor/A 44569-2025 karta.png", "A 44569-2025")</f>
        <v/>
      </c>
      <c r="Y893">
        <f>HYPERLINK("https://klasma.github.io/Logging_0834/kartor_geotiff/A 44569-2025 georefererad karta.tif", "A 44569-2025")</f>
        <v/>
      </c>
      <c r="AA893">
        <f>HYPERLINK("https://klasma.github.io/Logging_0834/klagomål/A 44569-2025 FSC-klagomål.docx", "A 44569-2025")</f>
        <v/>
      </c>
      <c r="AB893">
        <f>HYPERLINK("https://klasma.github.io/Logging_0834/klagomålsmail/A 44569-2025 FSC-klagomål mail.docx", "A 44569-2025")</f>
        <v/>
      </c>
      <c r="AC893">
        <f>HYPERLINK("https://klasma.github.io/Logging_0834/tillsyn/A 44569-2025 tillsynsbegäran.docx", "A 44569-2025")</f>
        <v/>
      </c>
      <c r="AD893">
        <f>HYPERLINK("https://klasma.github.io/Logging_0834/tillsynsmail/A 44569-2025 tillsynsbegäran mail.docx", "A 44569-2025")</f>
        <v/>
      </c>
    </row>
    <row r="894" ht="15" customHeight="1">
      <c r="A894" t="inlineStr">
        <is>
          <t>A 44618-2025</t>
        </is>
      </c>
      <c r="B894" t="inlineStr">
        <is>
          <t>avverkningsanmälan</t>
        </is>
      </c>
      <c r="C894" t="inlineStr">
        <is>
          <t>Föryngringsavverkning</t>
        </is>
      </c>
      <c r="D894" s="1" t="n">
        <v>45917</v>
      </c>
      <c r="E894" s="1" t="n">
        <v>46323</v>
      </c>
      <c r="F894" t="inlineStr">
        <is>
          <t>KALMAR LÄN</t>
        </is>
      </c>
      <c r="G894" t="inlineStr">
        <is>
          <t>VÄSTERVIK</t>
        </is>
      </c>
      <c r="H894" t="inlineStr">
        <is>
          <t>Övriga Aktiebolag</t>
        </is>
      </c>
      <c r="I894" t="n">
        <v>6.9</v>
      </c>
      <c r="J894" t="n">
        <v>1</v>
      </c>
      <c r="K894" t="n">
        <v>0</v>
      </c>
      <c r="L894" t="n">
        <v>0</v>
      </c>
      <c r="M894" t="n">
        <v>0</v>
      </c>
      <c r="N894" t="n">
        <v>0</v>
      </c>
      <c r="O894" t="n">
        <v>0</v>
      </c>
      <c r="P894" t="n">
        <v>0</v>
      </c>
      <c r="Q894" t="n">
        <v>0</v>
      </c>
      <c r="R894" t="n">
        <v>0</v>
      </c>
      <c r="S894" t="n">
        <v>1</v>
      </c>
      <c r="T894" t="n">
        <v>1</v>
      </c>
      <c r="U894" t="n">
        <v>0</v>
      </c>
      <c r="V894" s="2" t="inlineStr">
        <is>
          <t>Havsörn</t>
        </is>
      </c>
      <c r="W894">
        <f>HYPERLINK("https://klasma.github.io/Logging_0883/artfynd/A 44618-2025 artfynd.xlsx", "A 44618-2025")</f>
        <v/>
      </c>
      <c r="X894">
        <f>HYPERLINK("https://klasma.github.io/Logging_0883/kartor/A 44618-2025 karta.png", "A 44618-2025")</f>
        <v/>
      </c>
      <c r="Y894">
        <f>HYPERLINK("https://klasma.github.io/Logging_0883/kartor_geotiff/A 44618-2025 georefererad karta.tif", "A 44618-2025")</f>
        <v/>
      </c>
      <c r="AA894">
        <f>HYPERLINK("https://klasma.github.io/Logging_0883/klagomål/A 44618-2025 FSC-klagomål.docx", "A 44618-2025")</f>
        <v/>
      </c>
      <c r="AB894">
        <f>HYPERLINK("https://klasma.github.io/Logging_0883/klagomålsmail/A 44618-2025 FSC-klagomål mail.docx", "A 44618-2025")</f>
        <v/>
      </c>
      <c r="AC894">
        <f>HYPERLINK("https://klasma.github.io/Logging_0883/tillsyn/A 44618-2025 tillsynsbegäran.docx", "A 44618-2025")</f>
        <v/>
      </c>
      <c r="AD894">
        <f>HYPERLINK("https://klasma.github.io/Logging_0883/tillsynsmail/A 44618-2025 tillsynsbegäran mail.docx", "A 44618-2025")</f>
        <v/>
      </c>
      <c r="AE894">
        <f>HYPERLINK("https://klasma.github.io/Logging_0883/fåglar/A 44618-2025 prioriterade fågelarter.docx", "A 44618-2025")</f>
        <v/>
      </c>
    </row>
    <row r="895" ht="15" customHeight="1">
      <c r="A895" t="inlineStr">
        <is>
          <t>A 44981-2025</t>
        </is>
      </c>
      <c r="B895" t="inlineStr">
        <is>
          <t>avverkningsanmälan</t>
        </is>
      </c>
      <c r="C895" t="inlineStr">
        <is>
          <t>Föryngringsavverkning</t>
        </is>
      </c>
      <c r="D895" s="1" t="n">
        <v>45918</v>
      </c>
      <c r="E895" s="1" t="n">
        <v>46323</v>
      </c>
      <c r="F895" t="inlineStr">
        <is>
          <t>KALMAR LÄN</t>
        </is>
      </c>
      <c r="G895" t="inlineStr">
        <is>
          <t>VÄSTERVIK</t>
        </is>
      </c>
      <c r="I895" t="n">
        <v>0.4</v>
      </c>
      <c r="J895" t="n">
        <v>1</v>
      </c>
      <c r="K895" t="n">
        <v>0</v>
      </c>
      <c r="L895" t="n">
        <v>0</v>
      </c>
      <c r="M895" t="n">
        <v>0</v>
      </c>
      <c r="N895" t="n">
        <v>0</v>
      </c>
      <c r="O895" t="n">
        <v>0</v>
      </c>
      <c r="P895" t="n">
        <v>0</v>
      </c>
      <c r="Q895" t="n">
        <v>0</v>
      </c>
      <c r="R895" t="n">
        <v>0</v>
      </c>
      <c r="S895" t="n">
        <v>1</v>
      </c>
      <c r="T895" t="n">
        <v>1</v>
      </c>
      <c r="U895" t="n">
        <v>0</v>
      </c>
      <c r="V895" s="2" t="inlineStr">
        <is>
          <t>Tjäder</t>
        </is>
      </c>
      <c r="W895">
        <f>HYPERLINK("https://klasma.github.io/Logging_0883/artfynd/A 44981-2025 artfynd.xlsx", "A 44981-2025")</f>
        <v/>
      </c>
      <c r="X895">
        <f>HYPERLINK("https://klasma.github.io/Logging_0883/kartor/A 44981-2025 karta.png", "A 44981-2025")</f>
        <v/>
      </c>
      <c r="Y895">
        <f>HYPERLINK("https://klasma.github.io/Logging_0883/kartor_geotiff/A 44981-2025 georefererad karta.tif", "A 44981-2025")</f>
        <v/>
      </c>
      <c r="AA895">
        <f>HYPERLINK("https://klasma.github.io/Logging_0883/klagomål/A 44981-2025 FSC-klagomål.docx", "A 44981-2025")</f>
        <v/>
      </c>
      <c r="AB895">
        <f>HYPERLINK("https://klasma.github.io/Logging_0883/klagomålsmail/A 44981-2025 FSC-klagomål mail.docx", "A 44981-2025")</f>
        <v/>
      </c>
      <c r="AC895">
        <f>HYPERLINK("https://klasma.github.io/Logging_0883/tillsyn/A 44981-2025 tillsynsbegäran.docx", "A 44981-2025")</f>
        <v/>
      </c>
      <c r="AD895">
        <f>HYPERLINK("https://klasma.github.io/Logging_0883/tillsynsmail/A 44981-2025 tillsynsbegäran mail.docx", "A 44981-2025")</f>
        <v/>
      </c>
      <c r="AE895">
        <f>HYPERLINK("https://klasma.github.io/Logging_0883/fåglar/A 44981-2025 prioriterade fågelarter.docx", "A 44981-2025")</f>
        <v/>
      </c>
    </row>
    <row r="896" ht="15" customHeight="1">
      <c r="A896" t="inlineStr">
        <is>
          <t>A 42773-2024</t>
        </is>
      </c>
      <c r="B896" t="inlineStr">
        <is>
          <t>avverkningsanmälan</t>
        </is>
      </c>
      <c r="C896" t="inlineStr">
        <is>
          <t>Avverkning för annat ändamål</t>
        </is>
      </c>
      <c r="D896" s="1" t="n">
        <v>45566</v>
      </c>
      <c r="E896" s="1" t="n">
        <v>46323</v>
      </c>
      <c r="F896" t="inlineStr">
        <is>
          <t>KALMAR LÄN</t>
        </is>
      </c>
      <c r="G896" t="inlineStr">
        <is>
          <t>HULTSFRED</t>
        </is>
      </c>
      <c r="I896" t="n">
        <v>0.3</v>
      </c>
      <c r="J896" t="n">
        <v>0</v>
      </c>
      <c r="K896" t="n">
        <v>0</v>
      </c>
      <c r="L896" t="n">
        <v>0</v>
      </c>
      <c r="M896" t="n">
        <v>1</v>
      </c>
      <c r="N896" t="n">
        <v>0</v>
      </c>
      <c r="O896" t="n">
        <v>0</v>
      </c>
      <c r="P896" t="n">
        <v>0</v>
      </c>
      <c r="Q896" t="n">
        <v>1</v>
      </c>
      <c r="R896" t="n">
        <v>1</v>
      </c>
      <c r="S896" t="n">
        <v>1</v>
      </c>
      <c r="T896" t="n">
        <v>2</v>
      </c>
      <c r="U896" t="n">
        <v>0</v>
      </c>
      <c r="V896" s="2" t="inlineStr">
        <is>
          <t>Lungrot</t>
        </is>
      </c>
      <c r="W896">
        <f>HYPERLINK("https://klasma.github.io/Logging_0860/artfynd/A 42773-2024 artfynd.xlsx", "A 42773-2024")</f>
        <v/>
      </c>
      <c r="X896">
        <f>HYPERLINK("https://klasma.github.io/Logging_0860/kartor/A 42773-2024 karta.png", "A 42773-2024")</f>
        <v/>
      </c>
      <c r="Y896">
        <f>HYPERLINK("https://klasma.github.io/Logging_0860/kartor_geotiff/A 42773-2024 georefererad karta.tif", "A 42773-2024")</f>
        <v/>
      </c>
      <c r="AA896">
        <f>HYPERLINK("https://klasma.github.io/Logging_0860/klagomål/A 42773-2024 FSC-klagomål.docx", "A 42773-2024")</f>
        <v/>
      </c>
      <c r="AB896">
        <f>HYPERLINK("https://klasma.github.io/Logging_0860/klagomålsmail/A 42773-2024 FSC-klagomål mail.docx", "A 42773-2024")</f>
        <v/>
      </c>
      <c r="AC896">
        <f>HYPERLINK("https://klasma.github.io/Logging_0860/tillsyn/A 42773-2024 tillsynsbegäran.docx", "A 42773-2024")</f>
        <v/>
      </c>
      <c r="AD896">
        <f>HYPERLINK("https://klasma.github.io/Logging_0860/tillsynsmail/A 42773-2024 tillsynsbegäran mail.docx", "A 42773-2024")</f>
        <v/>
      </c>
    </row>
    <row r="897" ht="15" customHeight="1">
      <c r="A897" t="inlineStr">
        <is>
          <t>A 38729-2023</t>
        </is>
      </c>
      <c r="B897" t="inlineStr">
        <is>
          <t>avverkningsanmälan</t>
        </is>
      </c>
      <c r="C897" t="inlineStr">
        <is>
          <t>Föryngringsavverkning</t>
        </is>
      </c>
      <c r="D897" s="1" t="n">
        <v>45163</v>
      </c>
      <c r="E897" s="1" t="n">
        <v>46323</v>
      </c>
      <c r="F897" t="inlineStr">
        <is>
          <t>KALMAR LÄN</t>
        </is>
      </c>
      <c r="G897" t="inlineStr">
        <is>
          <t>KALMAR</t>
        </is>
      </c>
      <c r="I897" t="n">
        <v>1</v>
      </c>
      <c r="J897" t="n">
        <v>1</v>
      </c>
      <c r="K897" t="n">
        <v>0</v>
      </c>
      <c r="L897" t="n">
        <v>0</v>
      </c>
      <c r="M897" t="n">
        <v>1</v>
      </c>
      <c r="N897" t="n">
        <v>0</v>
      </c>
      <c r="O897" t="n">
        <v>0</v>
      </c>
      <c r="P897" t="n">
        <v>0</v>
      </c>
      <c r="Q897" t="n">
        <v>1</v>
      </c>
      <c r="R897" t="n">
        <v>1</v>
      </c>
      <c r="S897" t="n">
        <v>1</v>
      </c>
      <c r="T897" t="n">
        <v>1</v>
      </c>
      <c r="U897" t="n">
        <v>1</v>
      </c>
      <c r="V897" s="2" t="inlineStr">
        <is>
          <t>Knärot</t>
        </is>
      </c>
      <c r="W897">
        <f>HYPERLINK("https://klasma.github.io/Logging_0880/artfynd/A 38729-2023 artfynd.xlsx", "A 38729-2023")</f>
        <v/>
      </c>
      <c r="X897">
        <f>HYPERLINK("https://klasma.github.io/Logging_0880/kartor/A 38729-2023 karta.png", "A 38729-2023")</f>
        <v/>
      </c>
      <c r="Y897">
        <f>HYPERLINK("https://klasma.github.io/Logging_0880/kartor_geotiff/A 38729-2023 georefererad karta.tif", "A 38729-2023")</f>
        <v/>
      </c>
      <c r="Z897">
        <f>HYPERLINK("https://klasma.github.io/Logging_0880/knärot/A 38729-2023 karta knärot.png", "A 38729-2023")</f>
        <v/>
      </c>
      <c r="AA897">
        <f>HYPERLINK("https://klasma.github.io/Logging_0880/klagomål/A 38729-2023 FSC-klagomål.docx", "A 38729-2023")</f>
        <v/>
      </c>
      <c r="AB897">
        <f>HYPERLINK("https://klasma.github.io/Logging_0880/klagomålsmail/A 38729-2023 FSC-klagomål mail.docx", "A 38729-2023")</f>
        <v/>
      </c>
      <c r="AC897">
        <f>HYPERLINK("https://klasma.github.io/Logging_0880/tillsyn/A 38729-2023 tillsynsbegäran.docx", "A 38729-2023")</f>
        <v/>
      </c>
      <c r="AD897">
        <f>HYPERLINK("https://klasma.github.io/Logging_0880/tillsynsmail/A 38729-2023 tillsynsbegäran mail.docx", "A 38729-2023")</f>
        <v/>
      </c>
    </row>
    <row r="898" ht="15" customHeight="1">
      <c r="A898" t="inlineStr">
        <is>
          <t>A 36418-2023</t>
        </is>
      </c>
      <c r="B898" t="inlineStr">
        <is>
          <t>avverkningsanmälan</t>
        </is>
      </c>
      <c r="C898" t="inlineStr">
        <is>
          <t>Föryngringsavverkning</t>
        </is>
      </c>
      <c r="D898" s="1" t="n">
        <v>45152</v>
      </c>
      <c r="E898" s="1" t="n">
        <v>46323</v>
      </c>
      <c r="F898" t="inlineStr">
        <is>
          <t>KALMAR LÄN</t>
        </is>
      </c>
      <c r="G898" t="inlineStr">
        <is>
          <t>VÄSTERVIK</t>
        </is>
      </c>
      <c r="I898" t="n">
        <v>1.1</v>
      </c>
      <c r="J898" t="n">
        <v>1</v>
      </c>
      <c r="K898" t="n">
        <v>0</v>
      </c>
      <c r="L898" t="n">
        <v>0</v>
      </c>
      <c r="M898" t="n">
        <v>1</v>
      </c>
      <c r="N898" t="n">
        <v>0</v>
      </c>
      <c r="O898" t="n">
        <v>0</v>
      </c>
      <c r="P898" t="n">
        <v>0</v>
      </c>
      <c r="Q898" t="n">
        <v>1</v>
      </c>
      <c r="R898" t="n">
        <v>1</v>
      </c>
      <c r="S898" t="n">
        <v>1</v>
      </c>
      <c r="T898" t="n">
        <v>1</v>
      </c>
      <c r="U898" t="n">
        <v>0</v>
      </c>
      <c r="V898" s="2" t="inlineStr">
        <is>
          <t>Knärot</t>
        </is>
      </c>
      <c r="W898">
        <f>HYPERLINK("https://klasma.github.io/Logging_0883/artfynd/A 36418-2023 artfynd.xlsx", "A 36418-2023")</f>
        <v/>
      </c>
      <c r="X898">
        <f>HYPERLINK("https://klasma.github.io/Logging_0883/kartor/A 36418-2023 karta.png", "A 36418-2023")</f>
        <v/>
      </c>
      <c r="Y898">
        <f>HYPERLINK("https://klasma.github.io/Logging_0883/kartor_geotiff/A 36418-2023 georefererad karta.tif", "A 36418-2023")</f>
        <v/>
      </c>
      <c r="Z898">
        <f>HYPERLINK("https://klasma.github.io/Logging_0883/knärot/A 36418-2023 karta knärot.png", "A 36418-2023")</f>
        <v/>
      </c>
      <c r="AA898">
        <f>HYPERLINK("https://klasma.github.io/Logging_0883/klagomål/A 36418-2023 FSC-klagomål.docx", "A 36418-2023")</f>
        <v/>
      </c>
      <c r="AB898">
        <f>HYPERLINK("https://klasma.github.io/Logging_0883/klagomålsmail/A 36418-2023 FSC-klagomål mail.docx", "A 36418-2023")</f>
        <v/>
      </c>
      <c r="AC898">
        <f>HYPERLINK("https://klasma.github.io/Logging_0883/tillsyn/A 36418-2023 tillsynsbegäran.docx", "A 36418-2023")</f>
        <v/>
      </c>
      <c r="AD898">
        <f>HYPERLINK("https://klasma.github.io/Logging_0883/tillsynsmail/A 36418-2023 tillsynsbegäran mail.docx", "A 36418-2023")</f>
        <v/>
      </c>
    </row>
    <row r="899" ht="15" customHeight="1">
      <c r="A899" t="inlineStr">
        <is>
          <t>A 38119-2023</t>
        </is>
      </c>
      <c r="B899" t="inlineStr">
        <is>
          <t>avverkningsanmälan</t>
        </is>
      </c>
      <c r="C899" t="inlineStr">
        <is>
          <t>Föryngringsavverkning</t>
        </is>
      </c>
      <c r="D899" s="1" t="n">
        <v>45161</v>
      </c>
      <c r="E899" s="1" t="n">
        <v>46323</v>
      </c>
      <c r="F899" t="inlineStr">
        <is>
          <t>KALMAR LÄN</t>
        </is>
      </c>
      <c r="G899" t="inlineStr">
        <is>
          <t>EMMABODA</t>
        </is>
      </c>
      <c r="H899" t="inlineStr">
        <is>
          <t>Kommuner</t>
        </is>
      </c>
      <c r="I899" t="n">
        <v>1.5</v>
      </c>
      <c r="J899" t="n">
        <v>0</v>
      </c>
      <c r="K899" t="n">
        <v>0</v>
      </c>
      <c r="L899" t="n">
        <v>1</v>
      </c>
      <c r="M899" t="n">
        <v>0</v>
      </c>
      <c r="N899" t="n">
        <v>0</v>
      </c>
      <c r="O899" t="n">
        <v>0</v>
      </c>
      <c r="P899" t="n">
        <v>0</v>
      </c>
      <c r="Q899" t="n">
        <v>1</v>
      </c>
      <c r="R899" t="n">
        <v>0</v>
      </c>
      <c r="S899" t="n">
        <v>1</v>
      </c>
      <c r="T899" t="n">
        <v>1</v>
      </c>
      <c r="U899" t="n">
        <v>1</v>
      </c>
      <c r="V899" s="2" t="inlineStr">
        <is>
          <t>Åkerkål</t>
        </is>
      </c>
      <c r="W899">
        <f>HYPERLINK("https://klasma.github.io/Logging_0862/artfynd/A 38119-2023 artfynd.xlsx", "A 38119-2023")</f>
        <v/>
      </c>
      <c r="X899">
        <f>HYPERLINK("https://klasma.github.io/Logging_0862/kartor/A 38119-2023 karta.png", "A 38119-2023")</f>
        <v/>
      </c>
      <c r="Y899">
        <f>HYPERLINK("https://klasma.github.io/Logging_0862/kartor_geotiff/A 38119-2023 georefererad karta.tif", "A 38119-2023")</f>
        <v/>
      </c>
      <c r="AA899">
        <f>HYPERLINK("https://klasma.github.io/Logging_0862/klagomål/A 38119-2023 FSC-klagomål.docx", "A 38119-2023")</f>
        <v/>
      </c>
      <c r="AB899">
        <f>HYPERLINK("https://klasma.github.io/Logging_0862/klagomålsmail/A 38119-2023 FSC-klagomål mail.docx", "A 38119-2023")</f>
        <v/>
      </c>
      <c r="AC899">
        <f>HYPERLINK("https://klasma.github.io/Logging_0862/tillsyn/A 38119-2023 tillsynsbegäran.docx", "A 38119-2023")</f>
        <v/>
      </c>
      <c r="AD899">
        <f>HYPERLINK("https://klasma.github.io/Logging_0862/tillsynsmail/A 38119-2023 tillsynsbegäran mail.docx", "A 38119-2023")</f>
        <v/>
      </c>
    </row>
    <row r="900" ht="15" customHeight="1">
      <c r="A900" t="inlineStr">
        <is>
          <t>A 13043-2024</t>
        </is>
      </c>
      <c r="B900" t="inlineStr">
        <is>
          <t>avverkningsanmälan</t>
        </is>
      </c>
      <c r="C900" t="inlineStr">
        <is>
          <t>Föryngringsavverkning</t>
        </is>
      </c>
      <c r="D900" s="1" t="n">
        <v>45385</v>
      </c>
      <c r="E900" s="1" t="n">
        <v>46323</v>
      </c>
      <c r="F900" t="inlineStr">
        <is>
          <t>KALMAR LÄN</t>
        </is>
      </c>
      <c r="G900" t="inlineStr">
        <is>
          <t>BORGHOLM</t>
        </is>
      </c>
      <c r="I900" t="n">
        <v>0.4</v>
      </c>
      <c r="J900" t="n">
        <v>1</v>
      </c>
      <c r="K900" t="n">
        <v>1</v>
      </c>
      <c r="L900" t="n">
        <v>0</v>
      </c>
      <c r="M900" t="n">
        <v>0</v>
      </c>
      <c r="N900" t="n">
        <v>0</v>
      </c>
      <c r="O900" t="n">
        <v>0</v>
      </c>
      <c r="P900" t="n">
        <v>0</v>
      </c>
      <c r="Q900" t="n">
        <v>0</v>
      </c>
      <c r="R900" t="n">
        <v>0</v>
      </c>
      <c r="S900" t="n">
        <v>1</v>
      </c>
      <c r="T900" t="n">
        <v>1</v>
      </c>
      <c r="U900" t="n">
        <v>0</v>
      </c>
      <c r="V900" s="2" t="inlineStr">
        <is>
          <t>Ekoxe</t>
        </is>
      </c>
      <c r="W900">
        <f>HYPERLINK("https://klasma.github.io/Logging_0885/artfynd/A 13043-2024 artfynd.xlsx", "A 13043-2024")</f>
        <v/>
      </c>
      <c r="X900">
        <f>HYPERLINK("https://klasma.github.io/Logging_0885/kartor/A 13043-2024 karta.png", "A 13043-2024")</f>
        <v/>
      </c>
      <c r="Y900">
        <f>HYPERLINK("https://klasma.github.io/Logging_0885/kartor_geotiff/A 13043-2024 georefererad karta.tif", "A 13043-2024")</f>
        <v/>
      </c>
      <c r="AA900">
        <f>HYPERLINK("https://klasma.github.io/Logging_0885/klagomål/A 13043-2024 FSC-klagomål.docx", "A 13043-2024")</f>
        <v/>
      </c>
      <c r="AB900">
        <f>HYPERLINK("https://klasma.github.io/Logging_0885/klagomålsmail/A 13043-2024 FSC-klagomål mail.docx", "A 13043-2024")</f>
        <v/>
      </c>
      <c r="AC900">
        <f>HYPERLINK("https://klasma.github.io/Logging_0885/tillsyn/A 13043-2024 tillsynsbegäran.docx", "A 13043-2024")</f>
        <v/>
      </c>
      <c r="AD900">
        <f>HYPERLINK("https://klasma.github.io/Logging_0885/tillsynsmail/A 13043-2024 tillsynsbegäran mail.docx", "A 13043-2024")</f>
        <v/>
      </c>
    </row>
    <row r="901" ht="15" customHeight="1">
      <c r="A901" t="inlineStr">
        <is>
          <t>A 46559-2022</t>
        </is>
      </c>
      <c r="B901" t="inlineStr">
        <is>
          <t>avverkningsanmälan</t>
        </is>
      </c>
      <c r="C901" t="inlineStr">
        <is>
          <t>Föryngringsavverkning</t>
        </is>
      </c>
      <c r="D901" s="1" t="n">
        <v>44848</v>
      </c>
      <c r="E901" s="1" t="n">
        <v>46323</v>
      </c>
      <c r="F901" t="inlineStr">
        <is>
          <t>KALMAR LÄN</t>
        </is>
      </c>
      <c r="G901" t="inlineStr">
        <is>
          <t>VÄSTERVIK</t>
        </is>
      </c>
      <c r="H901" t="inlineStr">
        <is>
          <t>Sveaskog</t>
        </is>
      </c>
      <c r="I901" t="n">
        <v>2.2</v>
      </c>
      <c r="J901" t="n">
        <v>1</v>
      </c>
      <c r="K901" t="n">
        <v>0</v>
      </c>
      <c r="L901" t="n">
        <v>0</v>
      </c>
      <c r="M901" t="n">
        <v>0</v>
      </c>
      <c r="N901" t="n">
        <v>0</v>
      </c>
      <c r="O901" t="n">
        <v>0</v>
      </c>
      <c r="P901" t="n">
        <v>0</v>
      </c>
      <c r="Q901" t="n">
        <v>0</v>
      </c>
      <c r="R901" t="n">
        <v>0</v>
      </c>
      <c r="S901" t="n">
        <v>1</v>
      </c>
      <c r="T901" t="n">
        <v>1</v>
      </c>
      <c r="U901" t="n">
        <v>0</v>
      </c>
      <c r="V901" s="2" t="inlineStr">
        <is>
          <t>Blåsippa</t>
        </is>
      </c>
      <c r="W901">
        <f>HYPERLINK("https://klasma.github.io/Logging_0883/artfynd/A 46559-2022 artfynd.xlsx", "A 46559-2022")</f>
        <v/>
      </c>
      <c r="X901">
        <f>HYPERLINK("https://klasma.github.io/Logging_0883/kartor/A 46559-2022 karta.png", "A 46559-2022")</f>
        <v/>
      </c>
      <c r="Y901">
        <f>HYPERLINK("https://klasma.github.io/Logging_0883/kartor_geotiff/A 46559-2022 georefererad karta.tif", "A 46559-2022")</f>
        <v/>
      </c>
      <c r="AA901">
        <f>HYPERLINK("https://klasma.github.io/Logging_0883/klagomål/A 46559-2022 FSC-klagomål.docx", "A 46559-2022")</f>
        <v/>
      </c>
      <c r="AB901">
        <f>HYPERLINK("https://klasma.github.io/Logging_0883/klagomålsmail/A 46559-2022 FSC-klagomål mail.docx", "A 46559-2022")</f>
        <v/>
      </c>
      <c r="AC901">
        <f>HYPERLINK("https://klasma.github.io/Logging_0883/tillsyn/A 46559-2022 tillsynsbegäran.docx", "A 46559-2022")</f>
        <v/>
      </c>
      <c r="AD901">
        <f>HYPERLINK("https://klasma.github.io/Logging_0883/tillsynsmail/A 46559-2022 tillsynsbegäran mail.docx", "A 46559-2022")</f>
        <v/>
      </c>
    </row>
    <row r="902" ht="15" customHeight="1">
      <c r="A902" t="inlineStr">
        <is>
          <t>A 24282-2025</t>
        </is>
      </c>
      <c r="B902" t="inlineStr">
        <is>
          <t>avverkningsanmälan</t>
        </is>
      </c>
      <c r="C902" t="inlineStr">
        <is>
          <t>Föryngringsavverkning</t>
        </is>
      </c>
      <c r="D902" s="1" t="n">
        <v>45797</v>
      </c>
      <c r="E902" s="1" t="n">
        <v>46323</v>
      </c>
      <c r="F902" t="inlineStr">
        <is>
          <t>KALMAR LÄN</t>
        </is>
      </c>
      <c r="G902" t="inlineStr">
        <is>
          <t>EMMABODA</t>
        </is>
      </c>
      <c r="I902" t="n">
        <v>2</v>
      </c>
      <c r="J902" t="n">
        <v>1</v>
      </c>
      <c r="K902" t="n">
        <v>0</v>
      </c>
      <c r="L902" t="n">
        <v>0</v>
      </c>
      <c r="M902" t="n">
        <v>0</v>
      </c>
      <c r="N902" t="n">
        <v>0</v>
      </c>
      <c r="O902" t="n">
        <v>0</v>
      </c>
      <c r="P902" t="n">
        <v>0</v>
      </c>
      <c r="Q902" t="n">
        <v>0</v>
      </c>
      <c r="R902" t="n">
        <v>0</v>
      </c>
      <c r="S902" t="n">
        <v>1</v>
      </c>
      <c r="T902" t="n">
        <v>1</v>
      </c>
      <c r="U902" t="n">
        <v>1</v>
      </c>
      <c r="V902" s="2" t="inlineStr">
        <is>
          <t>Spillkråka</t>
        </is>
      </c>
      <c r="W902">
        <f>HYPERLINK("https://klasma.github.io/Logging_0862/artfynd/A 24282-2025 artfynd.xlsx", "A 24282-2025")</f>
        <v/>
      </c>
      <c r="X902">
        <f>HYPERLINK("https://klasma.github.io/Logging_0862/kartor/A 24282-2025 karta.png", "A 24282-2025")</f>
        <v/>
      </c>
      <c r="Y902">
        <f>HYPERLINK("https://klasma.github.io/Logging_0862/kartor_geotiff/A 24282-2025 georefererad karta.tif", "A 24282-2025")</f>
        <v/>
      </c>
      <c r="AA902">
        <f>HYPERLINK("https://klasma.github.io/Logging_0862/klagomål/A 24282-2025 FSC-klagomål.docx", "A 24282-2025")</f>
        <v/>
      </c>
      <c r="AB902">
        <f>HYPERLINK("https://klasma.github.io/Logging_0862/klagomålsmail/A 24282-2025 FSC-klagomål mail.docx", "A 24282-2025")</f>
        <v/>
      </c>
      <c r="AC902">
        <f>HYPERLINK("https://klasma.github.io/Logging_0862/tillsyn/A 24282-2025 tillsynsbegäran.docx", "A 24282-2025")</f>
        <v/>
      </c>
      <c r="AD902">
        <f>HYPERLINK("https://klasma.github.io/Logging_0862/tillsynsmail/A 24282-2025 tillsynsbegäran mail.docx", "A 24282-2025")</f>
        <v/>
      </c>
      <c r="AE902">
        <f>HYPERLINK("https://klasma.github.io/Logging_0862/fåglar/A 24282-2025 prioriterade fågelarter.docx", "A 24282-2025")</f>
        <v/>
      </c>
    </row>
    <row r="903" ht="15" customHeight="1">
      <c r="A903" t="inlineStr">
        <is>
          <t>A 13384-2023</t>
        </is>
      </c>
      <c r="B903" t="inlineStr">
        <is>
          <t>avverkningsanmälan</t>
        </is>
      </c>
      <c r="C903" t="inlineStr">
        <is>
          <t>Föryngringsavverkning</t>
        </is>
      </c>
      <c r="D903" s="1" t="n">
        <v>45005</v>
      </c>
      <c r="E903" s="1" t="n">
        <v>46323</v>
      </c>
      <c r="F903" t="inlineStr">
        <is>
          <t>KALMAR LÄN</t>
        </is>
      </c>
      <c r="G903" t="inlineStr">
        <is>
          <t>MÖRBYLÅNGA</t>
        </is>
      </c>
      <c r="I903" t="n">
        <v>0.9</v>
      </c>
      <c r="J903" t="n">
        <v>1</v>
      </c>
      <c r="K903" t="n">
        <v>0</v>
      </c>
      <c r="L903" t="n">
        <v>0</v>
      </c>
      <c r="M903" t="n">
        <v>0</v>
      </c>
      <c r="N903" t="n">
        <v>0</v>
      </c>
      <c r="O903" t="n">
        <v>0</v>
      </c>
      <c r="P903" t="n">
        <v>0</v>
      </c>
      <c r="Q903" t="n">
        <v>0</v>
      </c>
      <c r="R903" t="n">
        <v>0</v>
      </c>
      <c r="S903" t="n">
        <v>1</v>
      </c>
      <c r="T903" t="n">
        <v>1</v>
      </c>
      <c r="U903" t="n">
        <v>1</v>
      </c>
      <c r="V903" s="2" t="inlineStr">
        <is>
          <t>Blåsippa</t>
        </is>
      </c>
      <c r="W903">
        <f>HYPERLINK("https://klasma.github.io/Logging_0840/artfynd/A 13384-2023 artfynd.xlsx", "A 13384-2023")</f>
        <v/>
      </c>
      <c r="X903">
        <f>HYPERLINK("https://klasma.github.io/Logging_0840/kartor/A 13384-2023 karta.png", "A 13384-2023")</f>
        <v/>
      </c>
      <c r="Y903">
        <f>HYPERLINK("https://klasma.github.io/Logging_0840/kartor_geotiff/A 13384-2023 georefererad karta.tif", "A 13384-2023")</f>
        <v/>
      </c>
      <c r="AA903">
        <f>HYPERLINK("https://klasma.github.io/Logging_0840/klagomål/A 13384-2023 FSC-klagomål.docx", "A 13384-2023")</f>
        <v/>
      </c>
      <c r="AB903">
        <f>HYPERLINK("https://klasma.github.io/Logging_0840/klagomålsmail/A 13384-2023 FSC-klagomål mail.docx", "A 13384-2023")</f>
        <v/>
      </c>
      <c r="AC903">
        <f>HYPERLINK("https://klasma.github.io/Logging_0840/tillsyn/A 13384-2023 tillsynsbegäran.docx", "A 13384-2023")</f>
        <v/>
      </c>
      <c r="AD903">
        <f>HYPERLINK("https://klasma.github.io/Logging_0840/tillsynsmail/A 13384-2023 tillsynsbegäran mail.docx", "A 13384-2023")</f>
        <v/>
      </c>
    </row>
    <row r="904" ht="15" customHeight="1">
      <c r="A904" t="inlineStr">
        <is>
          <t>A 16891-2025</t>
        </is>
      </c>
      <c r="B904" t="inlineStr">
        <is>
          <t>avverkningsanmälan</t>
        </is>
      </c>
      <c r="C904" t="inlineStr">
        <is>
          <t>Avverkning för att bevara och utveckla /försöksver</t>
        </is>
      </c>
      <c r="D904" s="1" t="n">
        <v>45755</v>
      </c>
      <c r="E904" s="1" t="n">
        <v>46323</v>
      </c>
      <c r="F904" t="inlineStr">
        <is>
          <t>KALMAR LÄN</t>
        </is>
      </c>
      <c r="G904" t="inlineStr">
        <is>
          <t>HULTSFRED</t>
        </is>
      </c>
      <c r="I904" t="n">
        <v>4.3</v>
      </c>
      <c r="J904" t="n">
        <v>0</v>
      </c>
      <c r="K904" t="n">
        <v>0</v>
      </c>
      <c r="L904" t="n">
        <v>1</v>
      </c>
      <c r="M904" t="n">
        <v>0</v>
      </c>
      <c r="N904" t="n">
        <v>0</v>
      </c>
      <c r="O904" t="n">
        <v>0</v>
      </c>
      <c r="P904" t="n">
        <v>0</v>
      </c>
      <c r="Q904" t="n">
        <v>1</v>
      </c>
      <c r="R904" t="n">
        <v>0</v>
      </c>
      <c r="S904" t="n">
        <v>1</v>
      </c>
      <c r="T904" t="n">
        <v>1</v>
      </c>
      <c r="U904" t="n">
        <v>1</v>
      </c>
      <c r="V904" s="2" t="inlineStr">
        <is>
          <t>Fyrflikig jordstjärna</t>
        </is>
      </c>
      <c r="W904">
        <f>HYPERLINK("https://klasma.github.io/Logging_0860/artfynd/A 16891-2025 artfynd.xlsx", "A 16891-2025")</f>
        <v/>
      </c>
      <c r="X904">
        <f>HYPERLINK("https://klasma.github.io/Logging_0860/kartor/A 16891-2025 karta.png", "A 16891-2025")</f>
        <v/>
      </c>
      <c r="Y904">
        <f>HYPERLINK("https://klasma.github.io/Logging_0860/kartor_geotiff/A 16891-2025 georefererad karta.tif", "A 16891-2025")</f>
        <v/>
      </c>
      <c r="AA904">
        <f>HYPERLINK("https://klasma.github.io/Logging_0860/klagomål/A 16891-2025 FSC-klagomål.docx", "A 16891-2025")</f>
        <v/>
      </c>
      <c r="AB904">
        <f>HYPERLINK("https://klasma.github.io/Logging_0860/klagomålsmail/A 16891-2025 FSC-klagomål mail.docx", "A 16891-2025")</f>
        <v/>
      </c>
      <c r="AC904">
        <f>HYPERLINK("https://klasma.github.io/Logging_0860/tillsyn/A 16891-2025 tillsynsbegäran.docx", "A 16891-2025")</f>
        <v/>
      </c>
      <c r="AD904">
        <f>HYPERLINK("https://klasma.github.io/Logging_0860/tillsynsmail/A 16891-2025 tillsynsbegäran mail.docx", "A 16891-2025")</f>
        <v/>
      </c>
    </row>
    <row r="905" ht="15" customHeight="1">
      <c r="A905" t="inlineStr">
        <is>
          <t>A 26208-2024</t>
        </is>
      </c>
      <c r="B905" t="inlineStr">
        <is>
          <t>avverkningsanmälan</t>
        </is>
      </c>
      <c r="C905" t="inlineStr">
        <is>
          <t>Föryngringsavverkning</t>
        </is>
      </c>
      <c r="D905" s="1" t="n">
        <v>45468</v>
      </c>
      <c r="E905" s="1" t="n">
        <v>46323</v>
      </c>
      <c r="F905" t="inlineStr">
        <is>
          <t>KALMAR LÄN</t>
        </is>
      </c>
      <c r="G905" t="inlineStr">
        <is>
          <t>OSKARSHAMN</t>
        </is>
      </c>
      <c r="H905" t="inlineStr">
        <is>
          <t>Kommuner</t>
        </is>
      </c>
      <c r="I905" t="n">
        <v>2.9</v>
      </c>
      <c r="J905" t="n">
        <v>0</v>
      </c>
      <c r="K905" t="n">
        <v>0</v>
      </c>
      <c r="L905" t="n">
        <v>1</v>
      </c>
      <c r="M905" t="n">
        <v>0</v>
      </c>
      <c r="N905" t="n">
        <v>0</v>
      </c>
      <c r="O905" t="n">
        <v>0</v>
      </c>
      <c r="P905" t="n">
        <v>0</v>
      </c>
      <c r="Q905" t="n">
        <v>1</v>
      </c>
      <c r="R905" t="n">
        <v>0</v>
      </c>
      <c r="S905" t="n">
        <v>1</v>
      </c>
      <c r="T905" t="n">
        <v>1</v>
      </c>
      <c r="U905" t="n">
        <v>0</v>
      </c>
      <c r="V905" s="2" t="inlineStr">
        <is>
          <t>Jungfrulin</t>
        </is>
      </c>
      <c r="W905">
        <f>HYPERLINK("https://klasma.github.io/Logging_0882/artfynd/A 26208-2024 artfynd.xlsx", "A 26208-2024")</f>
        <v/>
      </c>
      <c r="X905">
        <f>HYPERLINK("https://klasma.github.io/Logging_0882/kartor/A 26208-2024 karta.png", "A 26208-2024")</f>
        <v/>
      </c>
      <c r="Y905">
        <f>HYPERLINK("https://klasma.github.io/Logging_0882/kartor_geotiff/A 26208-2024 georefererad karta.tif", "A 26208-2024")</f>
        <v/>
      </c>
      <c r="AA905">
        <f>HYPERLINK("https://klasma.github.io/Logging_0882/klagomål/A 26208-2024 FSC-klagomål.docx", "A 26208-2024")</f>
        <v/>
      </c>
      <c r="AB905">
        <f>HYPERLINK("https://klasma.github.io/Logging_0882/klagomålsmail/A 26208-2024 FSC-klagomål mail.docx", "A 26208-2024")</f>
        <v/>
      </c>
      <c r="AC905">
        <f>HYPERLINK("https://klasma.github.io/Logging_0882/tillsyn/A 26208-2024 tillsynsbegäran.docx", "A 26208-2024")</f>
        <v/>
      </c>
      <c r="AD905">
        <f>HYPERLINK("https://klasma.github.io/Logging_0882/tillsynsmail/A 26208-2024 tillsynsbegäran mail.docx", "A 26208-2024")</f>
        <v/>
      </c>
    </row>
    <row r="906" ht="15" customHeight="1">
      <c r="A906" t="inlineStr">
        <is>
          <t>A 37327-2024</t>
        </is>
      </c>
      <c r="B906" t="inlineStr">
        <is>
          <t>avverkningsanmälan</t>
        </is>
      </c>
      <c r="C906" t="inlineStr">
        <is>
          <t>Föryngringsavverkning</t>
        </is>
      </c>
      <c r="D906" s="1" t="n">
        <v>45540</v>
      </c>
      <c r="E906" s="1" t="n">
        <v>46323</v>
      </c>
      <c r="F906" t="inlineStr">
        <is>
          <t>KALMAR LÄN</t>
        </is>
      </c>
      <c r="G906" t="inlineStr">
        <is>
          <t>OSKARSHAMN</t>
        </is>
      </c>
      <c r="I906" t="n">
        <v>5.5</v>
      </c>
      <c r="J906" t="n">
        <v>0</v>
      </c>
      <c r="K906" t="n">
        <v>0</v>
      </c>
      <c r="L906" t="n">
        <v>1</v>
      </c>
      <c r="M906" t="n">
        <v>0</v>
      </c>
      <c r="N906" t="n">
        <v>0</v>
      </c>
      <c r="O906" t="n">
        <v>0</v>
      </c>
      <c r="P906" t="n">
        <v>0</v>
      </c>
      <c r="Q906" t="n">
        <v>1</v>
      </c>
      <c r="R906" t="n">
        <v>0</v>
      </c>
      <c r="S906" t="n">
        <v>1</v>
      </c>
      <c r="T906" t="n">
        <v>2</v>
      </c>
      <c r="U906" t="n">
        <v>2</v>
      </c>
      <c r="V906" s="2" t="inlineStr">
        <is>
          <t>Dropptaggsvamp</t>
        </is>
      </c>
      <c r="W906">
        <f>HYPERLINK("https://klasma.github.io/Logging_0882/artfynd/A 37327-2024 artfynd.xlsx", "A 37327-2024")</f>
        <v/>
      </c>
      <c r="X906">
        <f>HYPERLINK("https://klasma.github.io/Logging_0882/kartor/A 37327-2024 karta.png", "A 37327-2024")</f>
        <v/>
      </c>
      <c r="Y906">
        <f>HYPERLINK("https://klasma.github.io/Logging_0882/kartor_geotiff/A 37327-2024 georefererad karta.tif", "A 37327-2024")</f>
        <v/>
      </c>
      <c r="AA906">
        <f>HYPERLINK("https://klasma.github.io/Logging_0882/klagomål/A 37327-2024 FSC-klagomål.docx", "A 37327-2024")</f>
        <v/>
      </c>
      <c r="AB906">
        <f>HYPERLINK("https://klasma.github.io/Logging_0882/klagomålsmail/A 37327-2024 FSC-klagomål mail.docx", "A 37327-2024")</f>
        <v/>
      </c>
      <c r="AC906">
        <f>HYPERLINK("https://klasma.github.io/Logging_0882/tillsyn/A 37327-2024 tillsynsbegäran.docx", "A 37327-2024")</f>
        <v/>
      </c>
      <c r="AD906">
        <f>HYPERLINK("https://klasma.github.io/Logging_0882/tillsynsmail/A 37327-2024 tillsynsbegäran mail.docx", "A 37327-2024")</f>
        <v/>
      </c>
    </row>
    <row r="907" ht="15" customHeight="1">
      <c r="A907" t="inlineStr">
        <is>
          <t>A 9745-2023</t>
        </is>
      </c>
      <c r="B907" t="inlineStr">
        <is>
          <t>avverkningsanmälan</t>
        </is>
      </c>
      <c r="C907" t="inlineStr">
        <is>
          <t>Föryngringsavverkning</t>
        </is>
      </c>
      <c r="D907" s="1" t="n">
        <v>44984</v>
      </c>
      <c r="E907" s="1" t="n">
        <v>46323</v>
      </c>
      <c r="F907" t="inlineStr">
        <is>
          <t>KALMAR LÄN</t>
        </is>
      </c>
      <c r="G907" t="inlineStr">
        <is>
          <t>BORGHOLM</t>
        </is>
      </c>
      <c r="I907" t="n">
        <v>1.2</v>
      </c>
      <c r="J907" t="n">
        <v>1</v>
      </c>
      <c r="K907" t="n">
        <v>1</v>
      </c>
      <c r="L907" t="n">
        <v>0</v>
      </c>
      <c r="M907" t="n">
        <v>0</v>
      </c>
      <c r="N907" t="n">
        <v>0</v>
      </c>
      <c r="O907" t="n">
        <v>0</v>
      </c>
      <c r="P907" t="n">
        <v>0</v>
      </c>
      <c r="Q907" t="n">
        <v>0</v>
      </c>
      <c r="R907" t="n">
        <v>0</v>
      </c>
      <c r="S907" t="n">
        <v>1</v>
      </c>
      <c r="T907" t="n">
        <v>2</v>
      </c>
      <c r="U907" t="n">
        <v>1</v>
      </c>
      <c r="V907" s="2" t="inlineStr">
        <is>
          <t>Skogsknipprot</t>
        </is>
      </c>
      <c r="W907">
        <f>HYPERLINK("https://klasma.github.io/Logging_0885/artfynd/A 9745-2023 artfynd.xlsx", "A 9745-2023")</f>
        <v/>
      </c>
      <c r="X907">
        <f>HYPERLINK("https://klasma.github.io/Logging_0885/kartor/A 9745-2023 karta.png", "A 9745-2023")</f>
        <v/>
      </c>
      <c r="Y907">
        <f>HYPERLINK("https://klasma.github.io/Logging_0885/kartor_geotiff/A 9745-2023 georefererad karta.tif", "A 9745-2023")</f>
        <v/>
      </c>
      <c r="AA907">
        <f>HYPERLINK("https://klasma.github.io/Logging_0885/klagomål/A 9745-2023 FSC-klagomål.docx", "A 9745-2023")</f>
        <v/>
      </c>
      <c r="AB907">
        <f>HYPERLINK("https://klasma.github.io/Logging_0885/klagomålsmail/A 9745-2023 FSC-klagomål mail.docx", "A 9745-2023")</f>
        <v/>
      </c>
      <c r="AC907">
        <f>HYPERLINK("https://klasma.github.io/Logging_0885/tillsyn/A 9745-2023 tillsynsbegäran.docx", "A 9745-2023")</f>
        <v/>
      </c>
      <c r="AD907">
        <f>HYPERLINK("https://klasma.github.io/Logging_0885/tillsynsmail/A 9745-2023 tillsynsbegäran mail.docx", "A 9745-2023")</f>
        <v/>
      </c>
    </row>
    <row r="908" ht="15" customHeight="1">
      <c r="A908" t="inlineStr">
        <is>
          <t>A 61401-2023</t>
        </is>
      </c>
      <c r="B908" t="inlineStr">
        <is>
          <t>avverkningsanmälan</t>
        </is>
      </c>
      <c r="C908" t="inlineStr">
        <is>
          <t>Föryngringsavverkning</t>
        </is>
      </c>
      <c r="D908" s="1" t="n">
        <v>45264</v>
      </c>
      <c r="E908" s="1" t="n">
        <v>46323</v>
      </c>
      <c r="F908" t="inlineStr">
        <is>
          <t>KALMAR LÄN</t>
        </is>
      </c>
      <c r="G908" t="inlineStr">
        <is>
          <t>KALMAR</t>
        </is>
      </c>
      <c r="I908" t="n">
        <v>1.9</v>
      </c>
      <c r="J908" t="n">
        <v>1</v>
      </c>
      <c r="K908" t="n">
        <v>0</v>
      </c>
      <c r="L908" t="n">
        <v>0</v>
      </c>
      <c r="M908" t="n">
        <v>1</v>
      </c>
      <c r="N908" t="n">
        <v>0</v>
      </c>
      <c r="O908" t="n">
        <v>0</v>
      </c>
      <c r="P908" t="n">
        <v>0</v>
      </c>
      <c r="Q908" t="n">
        <v>1</v>
      </c>
      <c r="R908" t="n">
        <v>1</v>
      </c>
      <c r="S908" t="n">
        <v>1</v>
      </c>
      <c r="T908" t="n">
        <v>3</v>
      </c>
      <c r="U908" t="n">
        <v>0</v>
      </c>
      <c r="V908" s="2" t="inlineStr">
        <is>
          <t>Knärot</t>
        </is>
      </c>
      <c r="W908">
        <f>HYPERLINK("https://klasma.github.io/Logging_0880/artfynd/A 61401-2023 artfynd.xlsx", "A 61401-2023")</f>
        <v/>
      </c>
      <c r="X908">
        <f>HYPERLINK("https://klasma.github.io/Logging_0880/kartor/A 61401-2023 karta.png", "A 61401-2023")</f>
        <v/>
      </c>
      <c r="Y908">
        <f>HYPERLINK("https://klasma.github.io/Logging_0880/kartor_geotiff/A 61401-2023 georefererad karta.tif", "A 61401-2023")</f>
        <v/>
      </c>
      <c r="Z908">
        <f>HYPERLINK("https://klasma.github.io/Logging_0880/knärot/A 61401-2023 karta knärot.png", "A 61401-2023")</f>
        <v/>
      </c>
      <c r="AA908">
        <f>HYPERLINK("https://klasma.github.io/Logging_0880/klagomål/A 61401-2023 FSC-klagomål.docx", "A 61401-2023")</f>
        <v/>
      </c>
      <c r="AB908">
        <f>HYPERLINK("https://klasma.github.io/Logging_0880/klagomålsmail/A 61401-2023 FSC-klagomål mail.docx", "A 61401-2023")</f>
        <v/>
      </c>
      <c r="AC908">
        <f>HYPERLINK("https://klasma.github.io/Logging_0880/tillsyn/A 61401-2023 tillsynsbegäran.docx", "A 61401-2023")</f>
        <v/>
      </c>
      <c r="AD908">
        <f>HYPERLINK("https://klasma.github.io/Logging_0880/tillsynsmail/A 61401-2023 tillsynsbegäran mail.docx", "A 61401-2023")</f>
        <v/>
      </c>
    </row>
    <row r="909" ht="15" customHeight="1">
      <c r="A909" t="inlineStr">
        <is>
          <t>A 57001-2024</t>
        </is>
      </c>
      <c r="B909" t="inlineStr">
        <is>
          <t>avverkningsanmälan</t>
        </is>
      </c>
      <c r="C909" t="inlineStr">
        <is>
          <t>Föryngringsavverkning</t>
        </is>
      </c>
      <c r="D909" s="1" t="n">
        <v>45628</v>
      </c>
      <c r="E909" s="1" t="n">
        <v>46323</v>
      </c>
      <c r="F909" t="inlineStr">
        <is>
          <t>KALMAR LÄN</t>
        </is>
      </c>
      <c r="G909" t="inlineStr">
        <is>
          <t>HULTSFRED</t>
        </is>
      </c>
      <c r="I909" t="n">
        <v>1.5</v>
      </c>
      <c r="J909" t="n">
        <v>0</v>
      </c>
      <c r="K909" t="n">
        <v>1</v>
      </c>
      <c r="L909" t="n">
        <v>0</v>
      </c>
      <c r="M909" t="n">
        <v>0</v>
      </c>
      <c r="N909" t="n">
        <v>0</v>
      </c>
      <c r="O909" t="n">
        <v>0</v>
      </c>
      <c r="P909" t="n">
        <v>0</v>
      </c>
      <c r="Q909" t="n">
        <v>0</v>
      </c>
      <c r="R909" t="n">
        <v>0</v>
      </c>
      <c r="S909" t="n">
        <v>1</v>
      </c>
      <c r="T909" t="n">
        <v>1</v>
      </c>
      <c r="U909" t="n">
        <v>0</v>
      </c>
      <c r="V909" s="2" t="inlineStr">
        <is>
          <t>Dvärgtufs</t>
        </is>
      </c>
      <c r="W909">
        <f>HYPERLINK("https://klasma.github.io/Logging_0860/artfynd/A 57001-2024 artfynd.xlsx", "A 57001-2024")</f>
        <v/>
      </c>
      <c r="X909">
        <f>HYPERLINK("https://klasma.github.io/Logging_0860/kartor/A 57001-2024 karta.png", "A 57001-2024")</f>
        <v/>
      </c>
      <c r="Y909">
        <f>HYPERLINK("https://klasma.github.io/Logging_0860/kartor_geotiff/A 57001-2024 georefererad karta.tif", "A 57001-2024")</f>
        <v/>
      </c>
      <c r="AA909">
        <f>HYPERLINK("https://klasma.github.io/Logging_0860/klagomål/A 57001-2024 FSC-klagomål.docx", "A 57001-2024")</f>
        <v/>
      </c>
      <c r="AB909">
        <f>HYPERLINK("https://klasma.github.io/Logging_0860/klagomålsmail/A 57001-2024 FSC-klagomål mail.docx", "A 57001-2024")</f>
        <v/>
      </c>
      <c r="AC909">
        <f>HYPERLINK("https://klasma.github.io/Logging_0860/tillsyn/A 57001-2024 tillsynsbegäran.docx", "A 57001-2024")</f>
        <v/>
      </c>
      <c r="AD909">
        <f>HYPERLINK("https://klasma.github.io/Logging_0860/tillsynsmail/A 57001-2024 tillsynsbegäran mail.docx", "A 57001-2024")</f>
        <v/>
      </c>
    </row>
    <row r="910" ht="15" customHeight="1">
      <c r="A910" t="inlineStr">
        <is>
          <t>A 37975-2024</t>
        </is>
      </c>
      <c r="B910" t="inlineStr">
        <is>
          <t>avverkningsanmälan</t>
        </is>
      </c>
      <c r="C910" t="inlineStr">
        <is>
          <t>Föryngringsavverkning</t>
        </is>
      </c>
      <c r="D910" s="1" t="n">
        <v>45544</v>
      </c>
      <c r="E910" s="1" t="n">
        <v>46323</v>
      </c>
      <c r="F910" t="inlineStr">
        <is>
          <t>KALMAR LÄN</t>
        </is>
      </c>
      <c r="G910" t="inlineStr">
        <is>
          <t>KALMAR</t>
        </is>
      </c>
      <c r="I910" t="n">
        <v>2.4</v>
      </c>
      <c r="J910" t="n">
        <v>1</v>
      </c>
      <c r="K910" t="n">
        <v>0</v>
      </c>
      <c r="L910" t="n">
        <v>1</v>
      </c>
      <c r="M910" t="n">
        <v>0</v>
      </c>
      <c r="N910" t="n">
        <v>0</v>
      </c>
      <c r="O910" t="n">
        <v>0</v>
      </c>
      <c r="P910" t="n">
        <v>0</v>
      </c>
      <c r="Q910" t="n">
        <v>1</v>
      </c>
      <c r="R910" t="n">
        <v>0</v>
      </c>
      <c r="S910" t="n">
        <v>1</v>
      </c>
      <c r="T910" t="n">
        <v>1</v>
      </c>
      <c r="U910" t="n">
        <v>0</v>
      </c>
      <c r="V910" s="2" t="inlineStr">
        <is>
          <t>Talltita</t>
        </is>
      </c>
      <c r="W910">
        <f>HYPERLINK("https://klasma.github.io/Logging_0880/artfynd/A 37975-2024 artfynd.xlsx", "A 37975-2024")</f>
        <v/>
      </c>
      <c r="X910">
        <f>HYPERLINK("https://klasma.github.io/Logging_0880/kartor/A 37975-2024 karta.png", "A 37975-2024")</f>
        <v/>
      </c>
      <c r="Y910">
        <f>HYPERLINK("https://klasma.github.io/Logging_0880/kartor_geotiff/A 37975-2024 georefererad karta.tif", "A 37975-2024")</f>
        <v/>
      </c>
      <c r="AA910">
        <f>HYPERLINK("https://klasma.github.io/Logging_0880/klagomål/A 37975-2024 FSC-klagomål.docx", "A 37975-2024")</f>
        <v/>
      </c>
      <c r="AB910">
        <f>HYPERLINK("https://klasma.github.io/Logging_0880/klagomålsmail/A 37975-2024 FSC-klagomål mail.docx", "A 37975-2024")</f>
        <v/>
      </c>
      <c r="AC910">
        <f>HYPERLINK("https://klasma.github.io/Logging_0880/tillsyn/A 37975-2024 tillsynsbegäran.docx", "A 37975-2024")</f>
        <v/>
      </c>
      <c r="AD910">
        <f>HYPERLINK("https://klasma.github.io/Logging_0880/tillsynsmail/A 37975-2024 tillsynsbegäran mail.docx", "A 37975-2024")</f>
        <v/>
      </c>
      <c r="AE910">
        <f>HYPERLINK("https://klasma.github.io/Logging_0880/fåglar/A 37975-2024 prioriterade fågelarter.docx", "A 37975-2024")</f>
        <v/>
      </c>
    </row>
    <row r="911" ht="15" customHeight="1">
      <c r="A911" t="inlineStr">
        <is>
          <t>A 20610-2025</t>
        </is>
      </c>
      <c r="B911" t="inlineStr">
        <is>
          <t>avverkningsanmälan</t>
        </is>
      </c>
      <c r="C911" t="inlineStr">
        <is>
          <t>Föryngringsavverkning</t>
        </is>
      </c>
      <c r="D911" s="1" t="n">
        <v>45775</v>
      </c>
      <c r="E911" s="1" t="n">
        <v>46323</v>
      </c>
      <c r="F911" t="inlineStr">
        <is>
          <t>KALMAR LÄN</t>
        </is>
      </c>
      <c r="G911" t="inlineStr">
        <is>
          <t>KALMAR</t>
        </is>
      </c>
      <c r="I911" t="n">
        <v>0.9</v>
      </c>
      <c r="J911" t="n">
        <v>0</v>
      </c>
      <c r="K911" t="n">
        <v>1</v>
      </c>
      <c r="L911" t="n">
        <v>0</v>
      </c>
      <c r="M911" t="n">
        <v>0</v>
      </c>
      <c r="N911" t="n">
        <v>0</v>
      </c>
      <c r="O911" t="n">
        <v>0</v>
      </c>
      <c r="P911" t="n">
        <v>0</v>
      </c>
      <c r="Q911" t="n">
        <v>0</v>
      </c>
      <c r="R911" t="n">
        <v>0</v>
      </c>
      <c r="S911" t="n">
        <v>1</v>
      </c>
      <c r="T911" t="n">
        <v>1</v>
      </c>
      <c r="U911" t="n">
        <v>0</v>
      </c>
      <c r="V911" s="2" t="inlineStr">
        <is>
          <t>Blåmossa</t>
        </is>
      </c>
      <c r="W911">
        <f>HYPERLINK("https://klasma.github.io/Logging_0880/artfynd/A 20610-2025 artfynd.xlsx", "A 20610-2025")</f>
        <v/>
      </c>
      <c r="X911">
        <f>HYPERLINK("https://klasma.github.io/Logging_0880/kartor/A 20610-2025 karta.png", "A 20610-2025")</f>
        <v/>
      </c>
      <c r="Y911">
        <f>HYPERLINK("https://klasma.github.io/Logging_0880/kartor_geotiff/A 20610-2025 georefererad karta.tif", "A 20610-2025")</f>
        <v/>
      </c>
      <c r="AA911">
        <f>HYPERLINK("https://klasma.github.io/Logging_0880/klagomål/A 20610-2025 FSC-klagomål.docx", "A 20610-2025")</f>
        <v/>
      </c>
      <c r="AB911">
        <f>HYPERLINK("https://klasma.github.io/Logging_0880/klagomålsmail/A 20610-2025 FSC-klagomål mail.docx", "A 20610-2025")</f>
        <v/>
      </c>
      <c r="AC911">
        <f>HYPERLINK("https://klasma.github.io/Logging_0880/tillsyn/A 20610-2025 tillsynsbegäran.docx", "A 20610-2025")</f>
        <v/>
      </c>
      <c r="AD911">
        <f>HYPERLINK("https://klasma.github.io/Logging_0880/tillsynsmail/A 20610-2025 tillsynsbegäran mail.docx", "A 20610-2025")</f>
        <v/>
      </c>
    </row>
    <row r="912" ht="15" customHeight="1">
      <c r="A912" t="inlineStr">
        <is>
          <t>A 57212-2022</t>
        </is>
      </c>
      <c r="B912" t="inlineStr">
        <is>
          <t>avverkningsanmälan</t>
        </is>
      </c>
      <c r="C912" t="inlineStr">
        <is>
          <t>Föryngringsavverkning</t>
        </is>
      </c>
      <c r="D912" s="1" t="n">
        <v>44895</v>
      </c>
      <c r="E912" s="1" t="n">
        <v>46323</v>
      </c>
      <c r="F912" t="inlineStr">
        <is>
          <t>KALMAR LÄN</t>
        </is>
      </c>
      <c r="G912" t="inlineStr">
        <is>
          <t>KALMAR</t>
        </is>
      </c>
      <c r="I912" t="n">
        <v>1.7</v>
      </c>
      <c r="J912" t="n">
        <v>0</v>
      </c>
      <c r="K912" t="n">
        <v>1</v>
      </c>
      <c r="L912" t="n">
        <v>0</v>
      </c>
      <c r="M912" t="n">
        <v>0</v>
      </c>
      <c r="N912" t="n">
        <v>0</v>
      </c>
      <c r="O912" t="n">
        <v>0</v>
      </c>
      <c r="P912" t="n">
        <v>0</v>
      </c>
      <c r="Q912" t="n">
        <v>0</v>
      </c>
      <c r="R912" t="n">
        <v>0</v>
      </c>
      <c r="S912" t="n">
        <v>1</v>
      </c>
      <c r="T912" t="n">
        <v>1</v>
      </c>
      <c r="U912" t="n">
        <v>1</v>
      </c>
      <c r="V912" s="2" t="inlineStr">
        <is>
          <t>Kornknutmossa</t>
        </is>
      </c>
      <c r="W912">
        <f>HYPERLINK("https://klasma.github.io/Logging_0880/artfynd/A 57212-2022 artfynd.xlsx", "A 57212-2022")</f>
        <v/>
      </c>
      <c r="X912">
        <f>HYPERLINK("https://klasma.github.io/Logging_0880/kartor/A 57212-2022 karta.png", "A 57212-2022")</f>
        <v/>
      </c>
      <c r="Y912">
        <f>HYPERLINK("https://klasma.github.io/Logging_0880/kartor_geotiff/A 57212-2022 georefererad karta.tif", "A 57212-2022")</f>
        <v/>
      </c>
      <c r="AA912">
        <f>HYPERLINK("https://klasma.github.io/Logging_0880/klagomål/A 57212-2022 FSC-klagomål.docx", "A 57212-2022")</f>
        <v/>
      </c>
      <c r="AB912">
        <f>HYPERLINK("https://klasma.github.io/Logging_0880/klagomålsmail/A 57212-2022 FSC-klagomål mail.docx", "A 57212-2022")</f>
        <v/>
      </c>
      <c r="AC912">
        <f>HYPERLINK("https://klasma.github.io/Logging_0880/tillsyn/A 57212-2022 tillsynsbegäran.docx", "A 57212-2022")</f>
        <v/>
      </c>
      <c r="AD912">
        <f>HYPERLINK("https://klasma.github.io/Logging_0880/tillsynsmail/A 57212-2022 tillsynsbegäran mail.docx", "A 57212-2022")</f>
        <v/>
      </c>
    </row>
    <row r="913" ht="15" customHeight="1">
      <c r="A913" t="inlineStr">
        <is>
          <t>A 2738-2023</t>
        </is>
      </c>
      <c r="B913" t="inlineStr">
        <is>
          <t>avverkningsanmälan</t>
        </is>
      </c>
      <c r="C913" t="inlineStr">
        <is>
          <t>Föryngringsavverkning</t>
        </is>
      </c>
      <c r="D913" s="1" t="n">
        <v>44944</v>
      </c>
      <c r="E913" s="1" t="n">
        <v>46323</v>
      </c>
      <c r="F913" t="inlineStr">
        <is>
          <t>KALMAR LÄN</t>
        </is>
      </c>
      <c r="G913" t="inlineStr">
        <is>
          <t>VÄSTERVIK</t>
        </is>
      </c>
      <c r="I913" t="n">
        <v>3</v>
      </c>
      <c r="J913" t="n">
        <v>0</v>
      </c>
      <c r="K913" t="n">
        <v>0</v>
      </c>
      <c r="L913" t="n">
        <v>1</v>
      </c>
      <c r="M913" t="n">
        <v>0</v>
      </c>
      <c r="N913" t="n">
        <v>0</v>
      </c>
      <c r="O913" t="n">
        <v>0</v>
      </c>
      <c r="P913" t="n">
        <v>0</v>
      </c>
      <c r="Q913" t="n">
        <v>1</v>
      </c>
      <c r="R913" t="n">
        <v>0</v>
      </c>
      <c r="S913" t="n">
        <v>1</v>
      </c>
      <c r="T913" t="n">
        <v>1</v>
      </c>
      <c r="U913" t="n">
        <v>1</v>
      </c>
      <c r="V913" s="2" t="inlineStr">
        <is>
          <t>Tallticka</t>
        </is>
      </c>
      <c r="W913">
        <f>HYPERLINK("https://klasma.github.io/Logging_0883/artfynd/A 2738-2023 artfynd.xlsx", "A 2738-2023")</f>
        <v/>
      </c>
      <c r="X913">
        <f>HYPERLINK("https://klasma.github.io/Logging_0883/kartor/A 2738-2023 karta.png", "A 2738-2023")</f>
        <v/>
      </c>
      <c r="Y913">
        <f>HYPERLINK("https://klasma.github.io/Logging_0883/kartor_geotiff/A 2738-2023 georefererad karta.tif", "A 2738-2023")</f>
        <v/>
      </c>
      <c r="AA913">
        <f>HYPERLINK("https://klasma.github.io/Logging_0883/klagomål/A 2738-2023 FSC-klagomål.docx", "A 2738-2023")</f>
        <v/>
      </c>
      <c r="AB913">
        <f>HYPERLINK("https://klasma.github.io/Logging_0883/klagomålsmail/A 2738-2023 FSC-klagomål mail.docx", "A 2738-2023")</f>
        <v/>
      </c>
      <c r="AC913">
        <f>HYPERLINK("https://klasma.github.io/Logging_0883/tillsyn/A 2738-2023 tillsynsbegäran.docx", "A 2738-2023")</f>
        <v/>
      </c>
      <c r="AD913">
        <f>HYPERLINK("https://klasma.github.io/Logging_0883/tillsynsmail/A 2738-2023 tillsynsbegäran mail.docx", "A 2738-2023")</f>
        <v/>
      </c>
    </row>
    <row r="914" ht="15" customHeight="1">
      <c r="A914" t="inlineStr">
        <is>
          <t>A 20878-2024</t>
        </is>
      </c>
      <c r="B914" t="inlineStr">
        <is>
          <t>avverkningsanmälan</t>
        </is>
      </c>
      <c r="C914" t="inlineStr">
        <is>
          <t>Föryngringsavverkning</t>
        </is>
      </c>
      <c r="D914" s="1" t="n">
        <v>45439</v>
      </c>
      <c r="E914" s="1" t="n">
        <v>46323</v>
      </c>
      <c r="F914" t="inlineStr">
        <is>
          <t>KALMAR LÄN</t>
        </is>
      </c>
      <c r="G914" t="inlineStr">
        <is>
          <t>BORGHOLM</t>
        </is>
      </c>
      <c r="I914" t="n">
        <v>1.9</v>
      </c>
      <c r="J914" t="n">
        <v>1</v>
      </c>
      <c r="K914" t="n">
        <v>0</v>
      </c>
      <c r="L914" t="n">
        <v>0</v>
      </c>
      <c r="M914" t="n">
        <v>0</v>
      </c>
      <c r="N914" t="n">
        <v>0</v>
      </c>
      <c r="O914" t="n">
        <v>0</v>
      </c>
      <c r="P914" t="n">
        <v>0</v>
      </c>
      <c r="Q914" t="n">
        <v>0</v>
      </c>
      <c r="R914" t="n">
        <v>0</v>
      </c>
      <c r="S914" t="n">
        <v>1</v>
      </c>
      <c r="T914" t="n">
        <v>2</v>
      </c>
      <c r="U914" t="n">
        <v>0</v>
      </c>
      <c r="V914" s="2" t="inlineStr">
        <is>
          <t>Fläcknycklar</t>
        </is>
      </c>
      <c r="W914">
        <f>HYPERLINK("https://klasma.github.io/Logging_0885/artfynd/A 20878-2024 artfynd.xlsx", "A 20878-2024")</f>
        <v/>
      </c>
      <c r="X914">
        <f>HYPERLINK("https://klasma.github.io/Logging_0885/kartor/A 20878-2024 karta.png", "A 20878-2024")</f>
        <v/>
      </c>
      <c r="Y914">
        <f>HYPERLINK("https://klasma.github.io/Logging_0885/kartor_geotiff/A 20878-2024 georefererad karta.tif", "A 20878-2024")</f>
        <v/>
      </c>
      <c r="AA914">
        <f>HYPERLINK("https://klasma.github.io/Logging_0885/klagomål/A 20878-2024 FSC-klagomål.docx", "A 20878-2024")</f>
        <v/>
      </c>
      <c r="AB914">
        <f>HYPERLINK("https://klasma.github.io/Logging_0885/klagomålsmail/A 20878-2024 FSC-klagomål mail.docx", "A 20878-2024")</f>
        <v/>
      </c>
      <c r="AC914">
        <f>HYPERLINK("https://klasma.github.io/Logging_0885/tillsyn/A 20878-2024 tillsynsbegäran.docx", "A 20878-2024")</f>
        <v/>
      </c>
      <c r="AD914">
        <f>HYPERLINK("https://klasma.github.io/Logging_0885/tillsynsmail/A 20878-2024 tillsynsbegäran mail.docx", "A 20878-2024")</f>
        <v/>
      </c>
    </row>
    <row r="915" ht="15" customHeight="1">
      <c r="A915" t="inlineStr">
        <is>
          <t>A 52177-2022</t>
        </is>
      </c>
      <c r="B915" t="inlineStr">
        <is>
          <t>avverkningsanmälan</t>
        </is>
      </c>
      <c r="C915" t="inlineStr">
        <is>
          <t>Föryngringsavverkning</t>
        </is>
      </c>
      <c r="D915" s="1" t="n">
        <v>44868</v>
      </c>
      <c r="E915" s="1" t="n">
        <v>46323</v>
      </c>
      <c r="F915" t="inlineStr">
        <is>
          <t>KALMAR LÄN</t>
        </is>
      </c>
      <c r="G915" t="inlineStr">
        <is>
          <t>HÖGSBY</t>
        </is>
      </c>
      <c r="I915" t="n">
        <v>0.9</v>
      </c>
      <c r="J915" t="n">
        <v>1</v>
      </c>
      <c r="K915" t="n">
        <v>0</v>
      </c>
      <c r="L915" t="n">
        <v>1</v>
      </c>
      <c r="M915" t="n">
        <v>0</v>
      </c>
      <c r="N915" t="n">
        <v>0</v>
      </c>
      <c r="O915" t="n">
        <v>0</v>
      </c>
      <c r="P915" t="n">
        <v>0</v>
      </c>
      <c r="Q915" t="n">
        <v>1</v>
      </c>
      <c r="R915" t="n">
        <v>0</v>
      </c>
      <c r="S915" t="n">
        <v>1</v>
      </c>
      <c r="T915" t="n">
        <v>1</v>
      </c>
      <c r="U915" t="n">
        <v>1</v>
      </c>
      <c r="V915" s="2" t="inlineStr">
        <is>
          <t>Nordfladdermus</t>
        </is>
      </c>
      <c r="W915">
        <f>HYPERLINK("https://klasma.github.io/Logging_0821/artfynd/A 52177-2022 artfynd.xlsx", "A 52177-2022")</f>
        <v/>
      </c>
      <c r="X915">
        <f>HYPERLINK("https://klasma.github.io/Logging_0821/kartor/A 52177-2022 karta.png", "A 52177-2022")</f>
        <v/>
      </c>
      <c r="Y915">
        <f>HYPERLINK("https://klasma.github.io/Logging_0821/kartor_geotiff/A 52177-2022 georefererad karta.tif", "A 52177-2022")</f>
        <v/>
      </c>
      <c r="AA915">
        <f>HYPERLINK("https://klasma.github.io/Logging_0821/klagomål/A 52177-2022 FSC-klagomål.docx", "A 52177-2022")</f>
        <v/>
      </c>
      <c r="AB915">
        <f>HYPERLINK("https://klasma.github.io/Logging_0821/klagomålsmail/A 52177-2022 FSC-klagomål mail.docx", "A 52177-2022")</f>
        <v/>
      </c>
      <c r="AC915">
        <f>HYPERLINK("https://klasma.github.io/Logging_0821/tillsyn/A 52177-2022 tillsynsbegäran.docx", "A 52177-2022")</f>
        <v/>
      </c>
      <c r="AD915">
        <f>HYPERLINK("https://klasma.github.io/Logging_0821/tillsynsmail/A 52177-2022 tillsynsbegäran mail.docx", "A 52177-2022")</f>
        <v/>
      </c>
    </row>
    <row r="916" ht="15" customHeight="1">
      <c r="A916" t="inlineStr">
        <is>
          <t>A 37621-2024</t>
        </is>
      </c>
      <c r="B916" t="inlineStr">
        <is>
          <t>avverkningsanmälan</t>
        </is>
      </c>
      <c r="C916" t="inlineStr">
        <is>
          <t>Föryngringsavverkning</t>
        </is>
      </c>
      <c r="D916" s="1" t="n">
        <v>45541</v>
      </c>
      <c r="E916" s="1" t="n">
        <v>46323</v>
      </c>
      <c r="F916" t="inlineStr">
        <is>
          <t>KALMAR LÄN</t>
        </is>
      </c>
      <c r="G916" t="inlineStr">
        <is>
          <t>NYBRO</t>
        </is>
      </c>
      <c r="I916" t="n">
        <v>4.1</v>
      </c>
      <c r="J916" t="n">
        <v>0</v>
      </c>
      <c r="K916" t="n">
        <v>1</v>
      </c>
      <c r="L916" t="n">
        <v>0</v>
      </c>
      <c r="M916" t="n">
        <v>0</v>
      </c>
      <c r="N916" t="n">
        <v>0</v>
      </c>
      <c r="O916" t="n">
        <v>0</v>
      </c>
      <c r="P916" t="n">
        <v>0</v>
      </c>
      <c r="Q916" t="n">
        <v>0</v>
      </c>
      <c r="R916" t="n">
        <v>0</v>
      </c>
      <c r="S916" t="n">
        <v>1</v>
      </c>
      <c r="T916" t="n">
        <v>1</v>
      </c>
      <c r="U916" t="n">
        <v>0</v>
      </c>
      <c r="V916" s="2" t="inlineStr">
        <is>
          <t>Blåmossa</t>
        </is>
      </c>
      <c r="W916">
        <f>HYPERLINK("https://klasma.github.io/Logging_0881/artfynd/A 37621-2024 artfynd.xlsx", "A 37621-2024")</f>
        <v/>
      </c>
      <c r="X916">
        <f>HYPERLINK("https://klasma.github.io/Logging_0881/kartor/A 37621-2024 karta.png", "A 37621-2024")</f>
        <v/>
      </c>
      <c r="Y916">
        <f>HYPERLINK("https://klasma.github.io/Logging_0881/kartor_geotiff/A 37621-2024 georefererad karta.tif", "A 37621-2024")</f>
        <v/>
      </c>
      <c r="AA916">
        <f>HYPERLINK("https://klasma.github.io/Logging_0881/klagomål/A 37621-2024 FSC-klagomål.docx", "A 37621-2024")</f>
        <v/>
      </c>
      <c r="AB916">
        <f>HYPERLINK("https://klasma.github.io/Logging_0881/klagomålsmail/A 37621-2024 FSC-klagomål mail.docx", "A 37621-2024")</f>
        <v/>
      </c>
      <c r="AC916">
        <f>HYPERLINK("https://klasma.github.io/Logging_0881/tillsyn/A 37621-2024 tillsynsbegäran.docx", "A 37621-2024")</f>
        <v/>
      </c>
      <c r="AD916">
        <f>HYPERLINK("https://klasma.github.io/Logging_0881/tillsynsmail/A 37621-2024 tillsynsbegäran mail.docx", "A 37621-2024")</f>
        <v/>
      </c>
    </row>
    <row r="917" ht="15" customHeight="1">
      <c r="A917" t="inlineStr">
        <is>
          <t>A 29859-2023</t>
        </is>
      </c>
      <c r="B917" t="inlineStr">
        <is>
          <t>avverkningsanmälan</t>
        </is>
      </c>
      <c r="C917" t="inlineStr">
        <is>
          <t>Föryngringsavverkning</t>
        </is>
      </c>
      <c r="D917" s="1" t="n">
        <v>45107</v>
      </c>
      <c r="E917" s="1" t="n">
        <v>46323</v>
      </c>
      <c r="F917" t="inlineStr">
        <is>
          <t>KALMAR LÄN</t>
        </is>
      </c>
      <c r="G917" t="inlineStr">
        <is>
          <t>EMMABODA</t>
        </is>
      </c>
      <c r="I917" t="n">
        <v>1.9</v>
      </c>
      <c r="J917" t="n">
        <v>1</v>
      </c>
      <c r="K917" t="n">
        <v>0</v>
      </c>
      <c r="L917" t="n">
        <v>0</v>
      </c>
      <c r="M917" t="n">
        <v>0</v>
      </c>
      <c r="N917" t="n">
        <v>0</v>
      </c>
      <c r="O917" t="n">
        <v>0</v>
      </c>
      <c r="P917" t="n">
        <v>0</v>
      </c>
      <c r="Q917" t="n">
        <v>0</v>
      </c>
      <c r="R917" t="n">
        <v>0</v>
      </c>
      <c r="S917" t="n">
        <v>1</v>
      </c>
      <c r="T917" t="n">
        <v>1</v>
      </c>
      <c r="U917" t="n">
        <v>0</v>
      </c>
      <c r="V917" s="2" t="inlineStr">
        <is>
          <t>Tjäder</t>
        </is>
      </c>
      <c r="W917">
        <f>HYPERLINK("https://klasma.github.io/Logging_0862/artfynd/A 29859-2023 artfynd.xlsx", "A 29859-2023")</f>
        <v/>
      </c>
      <c r="X917">
        <f>HYPERLINK("https://klasma.github.io/Logging_0862/kartor/A 29859-2023 karta.png", "A 29859-2023")</f>
        <v/>
      </c>
      <c r="Y917">
        <f>HYPERLINK("https://klasma.github.io/Logging_0862/kartor_geotiff/A 29859-2023 georefererad karta.tif", "A 29859-2023")</f>
        <v/>
      </c>
      <c r="AA917">
        <f>HYPERLINK("https://klasma.github.io/Logging_0862/klagomål/A 29859-2023 FSC-klagomål.docx", "A 29859-2023")</f>
        <v/>
      </c>
      <c r="AB917">
        <f>HYPERLINK("https://klasma.github.io/Logging_0862/klagomålsmail/A 29859-2023 FSC-klagomål mail.docx", "A 29859-2023")</f>
        <v/>
      </c>
      <c r="AC917">
        <f>HYPERLINK("https://klasma.github.io/Logging_0862/tillsyn/A 29859-2023 tillsynsbegäran.docx", "A 29859-2023")</f>
        <v/>
      </c>
      <c r="AD917">
        <f>HYPERLINK("https://klasma.github.io/Logging_0862/tillsynsmail/A 29859-2023 tillsynsbegäran mail.docx", "A 29859-2023")</f>
        <v/>
      </c>
      <c r="AE917">
        <f>HYPERLINK("https://klasma.github.io/Logging_0862/fåglar/A 29859-2023 prioriterade fågelarter.docx", "A 29859-2023")</f>
        <v/>
      </c>
    </row>
    <row r="918" ht="15" customHeight="1">
      <c r="A918" t="inlineStr">
        <is>
          <t>A 14126-2025</t>
        </is>
      </c>
      <c r="B918" t="inlineStr">
        <is>
          <t>avverkningsanmälan</t>
        </is>
      </c>
      <c r="C918" t="inlineStr">
        <is>
          <t>Avverkning för att bevara och utveckla /försöksver</t>
        </is>
      </c>
      <c r="D918" s="1" t="n">
        <v>45740</v>
      </c>
      <c r="E918" s="1" t="n">
        <v>46323</v>
      </c>
      <c r="F918" t="inlineStr">
        <is>
          <t>KALMAR LÄN</t>
        </is>
      </c>
      <c r="G918" t="inlineStr">
        <is>
          <t>VÄSTERVIK</t>
        </is>
      </c>
      <c r="H918" t="inlineStr">
        <is>
          <t>Sveaskog</t>
        </is>
      </c>
      <c r="I918" t="n">
        <v>1.3</v>
      </c>
      <c r="J918" t="n">
        <v>1</v>
      </c>
      <c r="K918" t="n">
        <v>0</v>
      </c>
      <c r="L918" t="n">
        <v>0</v>
      </c>
      <c r="M918" t="n">
        <v>0</v>
      </c>
      <c r="N918" t="n">
        <v>0</v>
      </c>
      <c r="O918" t="n">
        <v>0</v>
      </c>
      <c r="P918" t="n">
        <v>0</v>
      </c>
      <c r="Q918" t="n">
        <v>0</v>
      </c>
      <c r="R918" t="n">
        <v>0</v>
      </c>
      <c r="S918" t="n">
        <v>1</v>
      </c>
      <c r="T918" t="n">
        <v>1</v>
      </c>
      <c r="U918" t="n">
        <v>0</v>
      </c>
      <c r="V918" s="2" t="inlineStr">
        <is>
          <t>Blåsippa</t>
        </is>
      </c>
      <c r="W918">
        <f>HYPERLINK("https://klasma.github.io/Logging_0883/artfynd/A 14126-2025 artfynd.xlsx", "A 14126-2025")</f>
        <v/>
      </c>
      <c r="X918">
        <f>HYPERLINK("https://klasma.github.io/Logging_0883/kartor/A 14126-2025 karta.png", "A 14126-2025")</f>
        <v/>
      </c>
      <c r="Y918">
        <f>HYPERLINK("https://klasma.github.io/Logging_0883/kartor_geotiff/A 14126-2025 georefererad karta.tif", "A 14126-2025")</f>
        <v/>
      </c>
      <c r="AA918">
        <f>HYPERLINK("https://klasma.github.io/Logging_0883/klagomål/A 14126-2025 FSC-klagomål.docx", "A 14126-2025")</f>
        <v/>
      </c>
      <c r="AB918">
        <f>HYPERLINK("https://klasma.github.io/Logging_0883/klagomålsmail/A 14126-2025 FSC-klagomål mail.docx", "A 14126-2025")</f>
        <v/>
      </c>
      <c r="AC918">
        <f>HYPERLINK("https://klasma.github.io/Logging_0883/tillsyn/A 14126-2025 tillsynsbegäran.docx", "A 14126-2025")</f>
        <v/>
      </c>
      <c r="AD918">
        <f>HYPERLINK("https://klasma.github.io/Logging_0883/tillsynsmail/A 14126-2025 tillsynsbegäran mail.docx", "A 14126-2025")</f>
        <v/>
      </c>
    </row>
    <row r="919" ht="15" customHeight="1">
      <c r="A919" t="inlineStr">
        <is>
          <t>A 58792-2022</t>
        </is>
      </c>
      <c r="B919" t="inlineStr">
        <is>
          <t>avverkningsanmälan</t>
        </is>
      </c>
      <c r="C919" t="inlineStr">
        <is>
          <t>Föryngringsavverkning</t>
        </is>
      </c>
      <c r="D919" s="1" t="n">
        <v>44903</v>
      </c>
      <c r="E919" s="1" t="n">
        <v>46323</v>
      </c>
      <c r="F919" t="inlineStr">
        <is>
          <t>KALMAR LÄN</t>
        </is>
      </c>
      <c r="G919" t="inlineStr">
        <is>
          <t>HÖGSBY</t>
        </is>
      </c>
      <c r="I919" t="n">
        <v>1</v>
      </c>
      <c r="J919" t="n">
        <v>1</v>
      </c>
      <c r="K919" t="n">
        <v>0</v>
      </c>
      <c r="L919" t="n">
        <v>0</v>
      </c>
      <c r="M919" t="n">
        <v>0</v>
      </c>
      <c r="N919" t="n">
        <v>0</v>
      </c>
      <c r="O919" t="n">
        <v>0</v>
      </c>
      <c r="P919" t="n">
        <v>0</v>
      </c>
      <c r="Q919" t="n">
        <v>0</v>
      </c>
      <c r="R919" t="n">
        <v>0</v>
      </c>
      <c r="S919" t="n">
        <v>1</v>
      </c>
      <c r="T919" t="n">
        <v>1</v>
      </c>
      <c r="U919" t="n">
        <v>0</v>
      </c>
      <c r="V919" s="2" t="inlineStr">
        <is>
          <t>Nattviol</t>
        </is>
      </c>
      <c r="W919">
        <f>HYPERLINK("https://klasma.github.io/Logging_0821/artfynd/A 58792-2022 artfynd.xlsx", "A 58792-2022")</f>
        <v/>
      </c>
      <c r="X919">
        <f>HYPERLINK("https://klasma.github.io/Logging_0821/kartor/A 58792-2022 karta.png", "A 58792-2022")</f>
        <v/>
      </c>
      <c r="Y919">
        <f>HYPERLINK("https://klasma.github.io/Logging_0821/kartor_geotiff/A 58792-2022 georefererad karta.tif", "A 58792-2022")</f>
        <v/>
      </c>
      <c r="AA919">
        <f>HYPERLINK("https://klasma.github.io/Logging_0821/klagomål/A 58792-2022 FSC-klagomål.docx", "A 58792-2022")</f>
        <v/>
      </c>
      <c r="AB919">
        <f>HYPERLINK("https://klasma.github.io/Logging_0821/klagomålsmail/A 58792-2022 FSC-klagomål mail.docx", "A 58792-2022")</f>
        <v/>
      </c>
      <c r="AC919">
        <f>HYPERLINK("https://klasma.github.io/Logging_0821/tillsyn/A 58792-2022 tillsynsbegäran.docx", "A 58792-2022")</f>
        <v/>
      </c>
      <c r="AD919">
        <f>HYPERLINK("https://klasma.github.io/Logging_0821/tillsynsmail/A 58792-2022 tillsynsbegäran mail.docx", "A 58792-2022")</f>
        <v/>
      </c>
    </row>
    <row r="920" ht="15" customHeight="1">
      <c r="A920" t="inlineStr">
        <is>
          <t>A 63212-2023</t>
        </is>
      </c>
      <c r="B920" t="inlineStr">
        <is>
          <t>avverkningsanmälan</t>
        </is>
      </c>
      <c r="C920" t="inlineStr">
        <is>
          <t>Föryngringsavverkning</t>
        </is>
      </c>
      <c r="D920" s="1" t="n">
        <v>45273</v>
      </c>
      <c r="E920" s="1" t="n">
        <v>46323</v>
      </c>
      <c r="F920" t="inlineStr">
        <is>
          <t>KALMAR LÄN</t>
        </is>
      </c>
      <c r="G920" t="inlineStr">
        <is>
          <t>HULTSFRED</t>
        </is>
      </c>
      <c r="I920" t="n">
        <v>2.5</v>
      </c>
      <c r="J920" t="n">
        <v>0</v>
      </c>
      <c r="K920" t="n">
        <v>0</v>
      </c>
      <c r="L920" t="n">
        <v>1</v>
      </c>
      <c r="M920" t="n">
        <v>0</v>
      </c>
      <c r="N920" t="n">
        <v>0</v>
      </c>
      <c r="O920" t="n">
        <v>0</v>
      </c>
      <c r="P920" t="n">
        <v>0</v>
      </c>
      <c r="Q920" t="n">
        <v>1</v>
      </c>
      <c r="R920" t="n">
        <v>0</v>
      </c>
      <c r="S920" t="n">
        <v>1</v>
      </c>
      <c r="T920" t="n">
        <v>1</v>
      </c>
      <c r="U920" t="n">
        <v>0</v>
      </c>
      <c r="V920" s="2" t="inlineStr">
        <is>
          <t>Slåtterfibbla</t>
        </is>
      </c>
      <c r="W920">
        <f>HYPERLINK("https://klasma.github.io/Logging_0860/artfynd/A 63212-2023 artfynd.xlsx", "A 63212-2023")</f>
        <v/>
      </c>
      <c r="X920">
        <f>HYPERLINK("https://klasma.github.io/Logging_0860/kartor/A 63212-2023 karta.png", "A 63212-2023")</f>
        <v/>
      </c>
      <c r="Y920">
        <f>HYPERLINK("https://klasma.github.io/Logging_0860/kartor_geotiff/A 63212-2023 georefererad karta.tif", "A 63212-2023")</f>
        <v/>
      </c>
      <c r="AA920">
        <f>HYPERLINK("https://klasma.github.io/Logging_0860/klagomål/A 63212-2023 FSC-klagomål.docx", "A 63212-2023")</f>
        <v/>
      </c>
      <c r="AB920">
        <f>HYPERLINK("https://klasma.github.io/Logging_0860/klagomålsmail/A 63212-2023 FSC-klagomål mail.docx", "A 63212-2023")</f>
        <v/>
      </c>
      <c r="AC920">
        <f>HYPERLINK("https://klasma.github.io/Logging_0860/tillsyn/A 63212-2023 tillsynsbegäran.docx", "A 63212-2023")</f>
        <v/>
      </c>
      <c r="AD920">
        <f>HYPERLINK("https://klasma.github.io/Logging_0860/tillsynsmail/A 63212-2023 tillsynsbegäran mail.docx", "A 63212-2023")</f>
        <v/>
      </c>
    </row>
    <row r="921" ht="15" customHeight="1">
      <c r="A921" t="inlineStr">
        <is>
          <t>A 38265-2024</t>
        </is>
      </c>
      <c r="B921" t="inlineStr">
        <is>
          <t>avverkningsanmälan</t>
        </is>
      </c>
      <c r="C921" t="inlineStr">
        <is>
          <t>Föryngringsavverkning</t>
        </is>
      </c>
      <c r="D921" s="1" t="n">
        <v>45545</v>
      </c>
      <c r="E921" s="1" t="n">
        <v>46323</v>
      </c>
      <c r="F921" t="inlineStr">
        <is>
          <t>KALMAR LÄN</t>
        </is>
      </c>
      <c r="G921" t="inlineStr">
        <is>
          <t>NYBRO</t>
        </is>
      </c>
      <c r="I921" t="n">
        <v>4.2</v>
      </c>
      <c r="J921" t="n">
        <v>0</v>
      </c>
      <c r="K921" t="n">
        <v>0</v>
      </c>
      <c r="L921" t="n">
        <v>0</v>
      </c>
      <c r="M921" t="n">
        <v>1</v>
      </c>
      <c r="N921" t="n">
        <v>0</v>
      </c>
      <c r="O921" t="n">
        <v>0</v>
      </c>
      <c r="P921" t="n">
        <v>0</v>
      </c>
      <c r="Q921" t="n">
        <v>1</v>
      </c>
      <c r="R921" t="n">
        <v>1</v>
      </c>
      <c r="S921" t="n">
        <v>1</v>
      </c>
      <c r="T921" t="n">
        <v>1</v>
      </c>
      <c r="U921" t="n">
        <v>1</v>
      </c>
      <c r="V921" s="2" t="inlineStr">
        <is>
          <t>Mindre bastardsvärmare</t>
        </is>
      </c>
      <c r="W921">
        <f>HYPERLINK("https://klasma.github.io/Logging_0881/artfynd/A 38265-2024 artfynd.xlsx", "A 38265-2024")</f>
        <v/>
      </c>
      <c r="X921">
        <f>HYPERLINK("https://klasma.github.io/Logging_0881/kartor/A 38265-2024 karta.png", "A 38265-2024")</f>
        <v/>
      </c>
      <c r="Y921">
        <f>HYPERLINK("https://klasma.github.io/Logging_0881/kartor_geotiff/A 38265-2024 georefererad karta.tif", "A 38265-2024")</f>
        <v/>
      </c>
      <c r="AA921">
        <f>HYPERLINK("https://klasma.github.io/Logging_0881/klagomål/A 38265-2024 FSC-klagomål.docx", "A 38265-2024")</f>
        <v/>
      </c>
      <c r="AB921">
        <f>HYPERLINK("https://klasma.github.io/Logging_0881/klagomålsmail/A 38265-2024 FSC-klagomål mail.docx", "A 38265-2024")</f>
        <v/>
      </c>
      <c r="AC921">
        <f>HYPERLINK("https://klasma.github.io/Logging_0881/tillsyn/A 38265-2024 tillsynsbegäran.docx", "A 38265-2024")</f>
        <v/>
      </c>
      <c r="AD921">
        <f>HYPERLINK("https://klasma.github.io/Logging_0881/tillsynsmail/A 38265-2024 tillsynsbegäran mail.docx", "A 38265-2024")</f>
        <v/>
      </c>
    </row>
    <row r="922" ht="15" customHeight="1">
      <c r="A922" t="inlineStr">
        <is>
          <t>A 61236-2022</t>
        </is>
      </c>
      <c r="B922" t="inlineStr">
        <is>
          <t>avverkningsanmälan</t>
        </is>
      </c>
      <c r="C922" t="inlineStr">
        <is>
          <t>Föryngringsavverkning</t>
        </is>
      </c>
      <c r="D922" s="1" t="n">
        <v>44915</v>
      </c>
      <c r="E922" s="1" t="n">
        <v>46323</v>
      </c>
      <c r="F922" t="inlineStr">
        <is>
          <t>KALMAR LÄN</t>
        </is>
      </c>
      <c r="G922" t="inlineStr">
        <is>
          <t>KALMAR</t>
        </is>
      </c>
      <c r="I922" t="n">
        <v>1.4</v>
      </c>
      <c r="J922" t="n">
        <v>0</v>
      </c>
      <c r="K922" t="n">
        <v>1</v>
      </c>
      <c r="L922" t="n">
        <v>0</v>
      </c>
      <c r="M922" t="n">
        <v>0</v>
      </c>
      <c r="N922" t="n">
        <v>0</v>
      </c>
      <c r="O922" t="n">
        <v>0</v>
      </c>
      <c r="P922" t="n">
        <v>0</v>
      </c>
      <c r="Q922" t="n">
        <v>0</v>
      </c>
      <c r="R922" t="n">
        <v>0</v>
      </c>
      <c r="S922" t="n">
        <v>1</v>
      </c>
      <c r="T922" t="n">
        <v>1</v>
      </c>
      <c r="U922" t="n">
        <v>1</v>
      </c>
      <c r="V922" s="2" t="inlineStr">
        <is>
          <t>Murgröna</t>
        </is>
      </c>
      <c r="W922">
        <f>HYPERLINK("https://klasma.github.io/Logging_0880/artfynd/A 61236-2022 artfynd.xlsx", "A 61236-2022")</f>
        <v/>
      </c>
      <c r="X922">
        <f>HYPERLINK("https://klasma.github.io/Logging_0880/kartor/A 61236-2022 karta.png", "A 61236-2022")</f>
        <v/>
      </c>
      <c r="Y922">
        <f>HYPERLINK("https://klasma.github.io/Logging_0880/kartor_geotiff/A 61236-2022 georefererad karta.tif", "A 61236-2022")</f>
        <v/>
      </c>
      <c r="AA922">
        <f>HYPERLINK("https://klasma.github.io/Logging_0880/klagomål/A 61236-2022 FSC-klagomål.docx", "A 61236-2022")</f>
        <v/>
      </c>
      <c r="AB922">
        <f>HYPERLINK("https://klasma.github.io/Logging_0880/klagomålsmail/A 61236-2022 FSC-klagomål mail.docx", "A 61236-2022")</f>
        <v/>
      </c>
      <c r="AC922">
        <f>HYPERLINK("https://klasma.github.io/Logging_0880/tillsyn/A 61236-2022 tillsynsbegäran.docx", "A 61236-2022")</f>
        <v/>
      </c>
      <c r="AD922">
        <f>HYPERLINK("https://klasma.github.io/Logging_0880/tillsynsmail/A 61236-2022 tillsynsbegäran mail.docx", "A 61236-2022")</f>
        <v/>
      </c>
    </row>
    <row r="923" ht="15" customHeight="1">
      <c r="A923" t="inlineStr">
        <is>
          <t>A 17511-2024</t>
        </is>
      </c>
      <c r="B923" t="inlineStr">
        <is>
          <t>avverkningsanmälan</t>
        </is>
      </c>
      <c r="C923" t="inlineStr">
        <is>
          <t>Föryngringsavverkning</t>
        </is>
      </c>
      <c r="D923" s="1" t="n">
        <v>45415</v>
      </c>
      <c r="E923" s="1" t="n">
        <v>46323</v>
      </c>
      <c r="F923" t="inlineStr">
        <is>
          <t>KALMAR LÄN</t>
        </is>
      </c>
      <c r="G923" t="inlineStr">
        <is>
          <t>VIMMERBY</t>
        </is>
      </c>
      <c r="I923" t="n">
        <v>5.3</v>
      </c>
      <c r="J923" t="n">
        <v>0</v>
      </c>
      <c r="K923" t="n">
        <v>0</v>
      </c>
      <c r="L923" t="n">
        <v>1</v>
      </c>
      <c r="M923" t="n">
        <v>0</v>
      </c>
      <c r="N923" t="n">
        <v>0</v>
      </c>
      <c r="O923" t="n">
        <v>0</v>
      </c>
      <c r="P923" t="n">
        <v>0</v>
      </c>
      <c r="Q923" t="n">
        <v>1</v>
      </c>
      <c r="R923" t="n">
        <v>0</v>
      </c>
      <c r="S923" t="n">
        <v>1</v>
      </c>
      <c r="T923" t="n">
        <v>1</v>
      </c>
      <c r="U923" t="n">
        <v>0</v>
      </c>
      <c r="V923" s="2" t="inlineStr">
        <is>
          <t>Sydspärgel</t>
        </is>
      </c>
      <c r="W923">
        <f>HYPERLINK("https://klasma.github.io/Logging_0884/artfynd/A 17511-2024 artfynd.xlsx", "A 17511-2024")</f>
        <v/>
      </c>
      <c r="X923">
        <f>HYPERLINK("https://klasma.github.io/Logging_0884/kartor/A 17511-2024 karta.png", "A 17511-2024")</f>
        <v/>
      </c>
      <c r="Y923">
        <f>HYPERLINK("https://klasma.github.io/Logging_0884/kartor_geotiff/A 17511-2024 georefererad karta.tif", "A 17511-2024")</f>
        <v/>
      </c>
      <c r="AA923">
        <f>HYPERLINK("https://klasma.github.io/Logging_0884/klagomål/A 17511-2024 FSC-klagomål.docx", "A 17511-2024")</f>
        <v/>
      </c>
      <c r="AB923">
        <f>HYPERLINK("https://klasma.github.io/Logging_0884/klagomålsmail/A 17511-2024 FSC-klagomål mail.docx", "A 17511-2024")</f>
        <v/>
      </c>
      <c r="AC923">
        <f>HYPERLINK("https://klasma.github.io/Logging_0884/tillsyn/A 17511-2024 tillsynsbegäran.docx", "A 17511-2024")</f>
        <v/>
      </c>
      <c r="AD923">
        <f>HYPERLINK("https://klasma.github.io/Logging_0884/tillsynsmail/A 17511-2024 tillsynsbegäran mail.docx", "A 17511-2024")</f>
        <v/>
      </c>
    </row>
    <row r="924" ht="15" customHeight="1">
      <c r="A924" t="inlineStr">
        <is>
          <t>A 61140-2022</t>
        </is>
      </c>
      <c r="B924" t="inlineStr">
        <is>
          <t>avverkningsanmälan</t>
        </is>
      </c>
      <c r="C924" t="inlineStr">
        <is>
          <t>Föryngringsavverkning</t>
        </is>
      </c>
      <c r="D924" s="1" t="n">
        <v>44908</v>
      </c>
      <c r="E924" s="1" t="n">
        <v>46323</v>
      </c>
      <c r="F924" t="inlineStr">
        <is>
          <t>KALMAR LÄN</t>
        </is>
      </c>
      <c r="G924" t="inlineStr">
        <is>
          <t>NYBRO</t>
        </is>
      </c>
      <c r="I924" t="n">
        <v>0.4</v>
      </c>
      <c r="J924" t="n">
        <v>1</v>
      </c>
      <c r="K924" t="n">
        <v>0</v>
      </c>
      <c r="L924" t="n">
        <v>0</v>
      </c>
      <c r="M924" t="n">
        <v>0</v>
      </c>
      <c r="N924" t="n">
        <v>0</v>
      </c>
      <c r="O924" t="n">
        <v>0</v>
      </c>
      <c r="P924" t="n">
        <v>0</v>
      </c>
      <c r="Q924" t="n">
        <v>0</v>
      </c>
      <c r="R924" t="n">
        <v>0</v>
      </c>
      <c r="S924" t="n">
        <v>1</v>
      </c>
      <c r="T924" t="n">
        <v>1</v>
      </c>
      <c r="U924" t="n">
        <v>0</v>
      </c>
      <c r="V924" s="2" t="inlineStr">
        <is>
          <t>Tjäder</t>
        </is>
      </c>
      <c r="W924">
        <f>HYPERLINK("https://klasma.github.io/Logging_0881/artfynd/A 61140-2022 artfynd.xlsx", "A 61140-2022")</f>
        <v/>
      </c>
      <c r="X924">
        <f>HYPERLINK("https://klasma.github.io/Logging_0881/kartor/A 61140-2022 karta.png", "A 61140-2022")</f>
        <v/>
      </c>
      <c r="Y924">
        <f>HYPERLINK("https://klasma.github.io/Logging_0881/kartor_geotiff/A 61140-2022 georefererad karta.tif", "A 61140-2022")</f>
        <v/>
      </c>
      <c r="AA924">
        <f>HYPERLINK("https://klasma.github.io/Logging_0881/klagomål/A 61140-2022 FSC-klagomål.docx", "A 61140-2022")</f>
        <v/>
      </c>
      <c r="AB924">
        <f>HYPERLINK("https://klasma.github.io/Logging_0881/klagomålsmail/A 61140-2022 FSC-klagomål mail.docx", "A 61140-2022")</f>
        <v/>
      </c>
      <c r="AC924">
        <f>HYPERLINK("https://klasma.github.io/Logging_0881/tillsyn/A 61140-2022 tillsynsbegäran.docx", "A 61140-2022")</f>
        <v/>
      </c>
      <c r="AD924">
        <f>HYPERLINK("https://klasma.github.io/Logging_0881/tillsynsmail/A 61140-2022 tillsynsbegäran mail.docx", "A 61140-2022")</f>
        <v/>
      </c>
      <c r="AE924">
        <f>HYPERLINK("https://klasma.github.io/Logging_0881/fåglar/A 61140-2022 prioriterade fågelarter.docx", "A 61140-2022")</f>
        <v/>
      </c>
    </row>
    <row r="925" ht="15" customHeight="1">
      <c r="A925" t="inlineStr">
        <is>
          <t>A 28871-2023</t>
        </is>
      </c>
      <c r="B925" t="inlineStr">
        <is>
          <t>avverkningsanmälan</t>
        </is>
      </c>
      <c r="C925" t="inlineStr">
        <is>
          <t>Föryngringsavverkning</t>
        </is>
      </c>
      <c r="D925" s="1" t="n">
        <v>45104</v>
      </c>
      <c r="E925" s="1" t="n">
        <v>46323</v>
      </c>
      <c r="F925" t="inlineStr">
        <is>
          <t>KALMAR LÄN</t>
        </is>
      </c>
      <c r="G925" t="inlineStr">
        <is>
          <t>EMMABODA</t>
        </is>
      </c>
      <c r="I925" t="n">
        <v>1.7</v>
      </c>
      <c r="J925" t="n">
        <v>0</v>
      </c>
      <c r="K925" t="n">
        <v>0</v>
      </c>
      <c r="L925" t="n">
        <v>0</v>
      </c>
      <c r="M925" t="n">
        <v>1</v>
      </c>
      <c r="N925" t="n">
        <v>0</v>
      </c>
      <c r="O925" t="n">
        <v>0</v>
      </c>
      <c r="P925" t="n">
        <v>0</v>
      </c>
      <c r="Q925" t="n">
        <v>1</v>
      </c>
      <c r="R925" t="n">
        <v>1</v>
      </c>
      <c r="S925" t="n">
        <v>1</v>
      </c>
      <c r="T925" t="n">
        <v>1</v>
      </c>
      <c r="U925" t="n">
        <v>1</v>
      </c>
      <c r="V925" s="2" t="inlineStr">
        <is>
          <t>Igelkott</t>
        </is>
      </c>
      <c r="W925">
        <f>HYPERLINK("https://klasma.github.io/Logging_0862/artfynd/A 28871-2023 artfynd.xlsx", "A 28871-2023")</f>
        <v/>
      </c>
      <c r="X925">
        <f>HYPERLINK("https://klasma.github.io/Logging_0862/kartor/A 28871-2023 karta.png", "A 28871-2023")</f>
        <v/>
      </c>
      <c r="Y925">
        <f>HYPERLINK("https://klasma.github.io/Logging_0862/kartor_geotiff/A 28871-2023 georefererad karta.tif", "A 28871-2023")</f>
        <v/>
      </c>
      <c r="AA925">
        <f>HYPERLINK("https://klasma.github.io/Logging_0862/klagomål/A 28871-2023 FSC-klagomål.docx", "A 28871-2023")</f>
        <v/>
      </c>
      <c r="AB925">
        <f>HYPERLINK("https://klasma.github.io/Logging_0862/klagomålsmail/A 28871-2023 FSC-klagomål mail.docx", "A 28871-2023")</f>
        <v/>
      </c>
      <c r="AC925">
        <f>HYPERLINK("https://klasma.github.io/Logging_0862/tillsyn/A 28871-2023 tillsynsbegäran.docx", "A 28871-2023")</f>
        <v/>
      </c>
      <c r="AD925">
        <f>HYPERLINK("https://klasma.github.io/Logging_0862/tillsynsmail/A 28871-2023 tillsynsbegäran mail.docx", "A 28871-2023")</f>
        <v/>
      </c>
    </row>
    <row r="926" ht="15" customHeight="1">
      <c r="A926" t="inlineStr">
        <is>
          <t>A 25202-2023</t>
        </is>
      </c>
      <c r="B926" t="inlineStr">
        <is>
          <t>avverkningsanmälan</t>
        </is>
      </c>
      <c r="C926" t="inlineStr">
        <is>
          <t>Föryngringsavverkning</t>
        </is>
      </c>
      <c r="D926" s="1" t="n">
        <v>45086</v>
      </c>
      <c r="E926" s="1" t="n">
        <v>46323</v>
      </c>
      <c r="F926" t="inlineStr">
        <is>
          <t>KALMAR LÄN</t>
        </is>
      </c>
      <c r="G926" t="inlineStr">
        <is>
          <t>KALMAR</t>
        </is>
      </c>
      <c r="I926" t="n">
        <v>1.1</v>
      </c>
      <c r="J926" t="n">
        <v>1</v>
      </c>
      <c r="K926" t="n">
        <v>0</v>
      </c>
      <c r="L926" t="n">
        <v>0</v>
      </c>
      <c r="M926" t="n">
        <v>0</v>
      </c>
      <c r="N926" t="n">
        <v>0</v>
      </c>
      <c r="O926" t="n">
        <v>0</v>
      </c>
      <c r="P926" t="n">
        <v>0</v>
      </c>
      <c r="Q926" t="n">
        <v>0</v>
      </c>
      <c r="R926" t="n">
        <v>0</v>
      </c>
      <c r="S926" t="n">
        <v>1</v>
      </c>
      <c r="T926" t="n">
        <v>1</v>
      </c>
      <c r="U926" t="n">
        <v>0</v>
      </c>
      <c r="V926" s="2" t="inlineStr">
        <is>
          <t>Nattviol</t>
        </is>
      </c>
      <c r="W926">
        <f>HYPERLINK("https://klasma.github.io/Logging_0880/artfynd/A 25202-2023 artfynd.xlsx", "A 25202-2023")</f>
        <v/>
      </c>
      <c r="X926">
        <f>HYPERLINK("https://klasma.github.io/Logging_0880/kartor/A 25202-2023 karta.png", "A 25202-2023")</f>
        <v/>
      </c>
      <c r="Y926">
        <f>HYPERLINK("https://klasma.github.io/Logging_0880/kartor_geotiff/A 25202-2023 georefererad karta.tif", "A 25202-2023")</f>
        <v/>
      </c>
      <c r="AA926">
        <f>HYPERLINK("https://klasma.github.io/Logging_0880/klagomål/A 25202-2023 FSC-klagomål.docx", "A 25202-2023")</f>
        <v/>
      </c>
      <c r="AB926">
        <f>HYPERLINK("https://klasma.github.io/Logging_0880/klagomålsmail/A 25202-2023 FSC-klagomål mail.docx", "A 25202-2023")</f>
        <v/>
      </c>
      <c r="AC926">
        <f>HYPERLINK("https://klasma.github.io/Logging_0880/tillsyn/A 25202-2023 tillsynsbegäran.docx", "A 25202-2023")</f>
        <v/>
      </c>
      <c r="AD926">
        <f>HYPERLINK("https://klasma.github.io/Logging_0880/tillsynsmail/A 25202-2023 tillsynsbegäran mail.docx", "A 25202-2023")</f>
        <v/>
      </c>
    </row>
    <row r="927" ht="15" customHeight="1">
      <c r="A927" t="inlineStr">
        <is>
          <t>A 53173-2022</t>
        </is>
      </c>
      <c r="B927" t="inlineStr">
        <is>
          <t>avverkningsanmälan</t>
        </is>
      </c>
      <c r="C927" t="inlineStr">
        <is>
          <t>Föryngringsavverkning</t>
        </is>
      </c>
      <c r="D927" s="1" t="n">
        <v>44876</v>
      </c>
      <c r="E927" s="1" t="n">
        <v>46323</v>
      </c>
      <c r="F927" t="inlineStr">
        <is>
          <t>KALMAR LÄN</t>
        </is>
      </c>
      <c r="G927" t="inlineStr">
        <is>
          <t>MÖNSTERÅS</t>
        </is>
      </c>
      <c r="I927" t="n">
        <v>1.4</v>
      </c>
      <c r="J927" t="n">
        <v>1</v>
      </c>
      <c r="K927" t="n">
        <v>0</v>
      </c>
      <c r="L927" t="n">
        <v>0</v>
      </c>
      <c r="M927" t="n">
        <v>0</v>
      </c>
      <c r="N927" t="n">
        <v>0</v>
      </c>
      <c r="O927" t="n">
        <v>0</v>
      </c>
      <c r="P927" t="n">
        <v>0</v>
      </c>
      <c r="Q927" t="n">
        <v>0</v>
      </c>
      <c r="R927" t="n">
        <v>0</v>
      </c>
      <c r="S927" t="n">
        <v>1</v>
      </c>
      <c r="T927" t="n">
        <v>1</v>
      </c>
      <c r="U927" t="n">
        <v>1</v>
      </c>
      <c r="V927" s="2" t="inlineStr">
        <is>
          <t>Havsörn</t>
        </is>
      </c>
      <c r="W927">
        <f>HYPERLINK("https://klasma.github.io/Logging_0861/artfynd/A 53173-2022 artfynd.xlsx", "A 53173-2022")</f>
        <v/>
      </c>
      <c r="X927">
        <f>HYPERLINK("https://klasma.github.io/Logging_0861/kartor/A 53173-2022 karta.png", "A 53173-2022")</f>
        <v/>
      </c>
      <c r="Y927">
        <f>HYPERLINK("https://klasma.github.io/Logging_0861/kartor_geotiff/A 53173-2022 georefererad karta.tif", "A 53173-2022")</f>
        <v/>
      </c>
      <c r="AA927">
        <f>HYPERLINK("https://klasma.github.io/Logging_0861/klagomål/A 53173-2022 FSC-klagomål.docx", "A 53173-2022")</f>
        <v/>
      </c>
      <c r="AB927">
        <f>HYPERLINK("https://klasma.github.io/Logging_0861/klagomålsmail/A 53173-2022 FSC-klagomål mail.docx", "A 53173-2022")</f>
        <v/>
      </c>
      <c r="AC927">
        <f>HYPERLINK("https://klasma.github.io/Logging_0861/tillsyn/A 53173-2022 tillsynsbegäran.docx", "A 53173-2022")</f>
        <v/>
      </c>
      <c r="AD927">
        <f>HYPERLINK("https://klasma.github.io/Logging_0861/tillsynsmail/A 53173-2022 tillsynsbegäran mail.docx", "A 53173-2022")</f>
        <v/>
      </c>
      <c r="AE927">
        <f>HYPERLINK("https://klasma.github.io/Logging_0861/fåglar/A 53173-2022 prioriterade fågelarter.docx", "A 53173-2022")</f>
        <v/>
      </c>
    </row>
    <row r="928" ht="15" customHeight="1">
      <c r="A928" t="inlineStr">
        <is>
          <t>A 6025-2024</t>
        </is>
      </c>
      <c r="B928" t="inlineStr">
        <is>
          <t>avverkningsanmälan</t>
        </is>
      </c>
      <c r="C928" t="inlineStr">
        <is>
          <t>Föryngringsavverkning</t>
        </is>
      </c>
      <c r="D928" s="1" t="n">
        <v>45336</v>
      </c>
      <c r="E928" s="1" t="n">
        <v>46323</v>
      </c>
      <c r="F928" t="inlineStr">
        <is>
          <t>KALMAR LÄN</t>
        </is>
      </c>
      <c r="G928" t="inlineStr">
        <is>
          <t>VÄSTERVIK</t>
        </is>
      </c>
      <c r="I928" t="n">
        <v>2.8</v>
      </c>
      <c r="J928" t="n">
        <v>0</v>
      </c>
      <c r="K928" t="n">
        <v>0</v>
      </c>
      <c r="L928" t="n">
        <v>1</v>
      </c>
      <c r="M928" t="n">
        <v>0</v>
      </c>
      <c r="N928" t="n">
        <v>0</v>
      </c>
      <c r="O928" t="n">
        <v>0</v>
      </c>
      <c r="P928" t="n">
        <v>0</v>
      </c>
      <c r="Q928" t="n">
        <v>1</v>
      </c>
      <c r="R928" t="n">
        <v>0</v>
      </c>
      <c r="S928" t="n">
        <v>1</v>
      </c>
      <c r="T928" t="n">
        <v>1</v>
      </c>
      <c r="U928" t="n">
        <v>1</v>
      </c>
      <c r="V928" s="2" t="inlineStr">
        <is>
          <t>Tallticka</t>
        </is>
      </c>
      <c r="W928">
        <f>HYPERLINK("https://klasma.github.io/Logging_0883/artfynd/A 6025-2024 artfynd.xlsx", "A 6025-2024")</f>
        <v/>
      </c>
      <c r="X928">
        <f>HYPERLINK("https://klasma.github.io/Logging_0883/kartor/A 6025-2024 karta.png", "A 6025-2024")</f>
        <v/>
      </c>
      <c r="Y928">
        <f>HYPERLINK("https://klasma.github.io/Logging_0883/kartor_geotiff/A 6025-2024 georefererad karta.tif", "A 6025-2024")</f>
        <v/>
      </c>
      <c r="AA928">
        <f>HYPERLINK("https://klasma.github.io/Logging_0883/klagomål/A 6025-2024 FSC-klagomål.docx", "A 6025-2024")</f>
        <v/>
      </c>
      <c r="AB928">
        <f>HYPERLINK("https://klasma.github.io/Logging_0883/klagomålsmail/A 6025-2024 FSC-klagomål mail.docx", "A 6025-2024")</f>
        <v/>
      </c>
      <c r="AC928">
        <f>HYPERLINK("https://klasma.github.io/Logging_0883/tillsyn/A 6025-2024 tillsynsbegäran.docx", "A 6025-2024")</f>
        <v/>
      </c>
      <c r="AD928">
        <f>HYPERLINK("https://klasma.github.io/Logging_0883/tillsynsmail/A 6025-2024 tillsynsbegäran mail.docx", "A 6025-2024")</f>
        <v/>
      </c>
    </row>
    <row r="929" ht="15" customHeight="1">
      <c r="A929" t="inlineStr">
        <is>
          <t>A 60807-2022</t>
        </is>
      </c>
      <c r="B929" t="inlineStr">
        <is>
          <t>avverkningsanmälan</t>
        </is>
      </c>
      <c r="C929" t="inlineStr">
        <is>
          <t>Föryngringsavverkning</t>
        </is>
      </c>
      <c r="D929" s="1" t="n">
        <v>44914</v>
      </c>
      <c r="E929" s="1" t="n">
        <v>46323</v>
      </c>
      <c r="F929" t="inlineStr">
        <is>
          <t>KALMAR LÄN</t>
        </is>
      </c>
      <c r="G929" t="inlineStr">
        <is>
          <t>KALMAR</t>
        </is>
      </c>
      <c r="I929" t="n">
        <v>0.8</v>
      </c>
      <c r="J929" t="n">
        <v>1</v>
      </c>
      <c r="K929" t="n">
        <v>0</v>
      </c>
      <c r="L929" t="n">
        <v>0</v>
      </c>
      <c r="M929" t="n">
        <v>1</v>
      </c>
      <c r="N929" t="n">
        <v>0</v>
      </c>
      <c r="O929" t="n">
        <v>0</v>
      </c>
      <c r="P929" t="n">
        <v>0</v>
      </c>
      <c r="Q929" t="n">
        <v>1</v>
      </c>
      <c r="R929" t="n">
        <v>1</v>
      </c>
      <c r="S929" t="n">
        <v>1</v>
      </c>
      <c r="T929" t="n">
        <v>1</v>
      </c>
      <c r="U929" t="n">
        <v>0</v>
      </c>
      <c r="V929" s="2" t="inlineStr">
        <is>
          <t>Hedblomster</t>
        </is>
      </c>
      <c r="W929">
        <f>HYPERLINK("https://klasma.github.io/Logging_0880/artfynd/A 60807-2022 artfynd.xlsx", "A 60807-2022")</f>
        <v/>
      </c>
      <c r="X929">
        <f>HYPERLINK("https://klasma.github.io/Logging_0880/kartor/A 60807-2022 karta.png", "A 60807-2022")</f>
        <v/>
      </c>
      <c r="Y929">
        <f>HYPERLINK("https://klasma.github.io/Logging_0880/kartor_geotiff/A 60807-2022 georefererad karta.tif", "A 60807-2022")</f>
        <v/>
      </c>
      <c r="AA929">
        <f>HYPERLINK("https://klasma.github.io/Logging_0880/klagomål/A 60807-2022 FSC-klagomål.docx", "A 60807-2022")</f>
        <v/>
      </c>
      <c r="AB929">
        <f>HYPERLINK("https://klasma.github.io/Logging_0880/klagomålsmail/A 60807-2022 FSC-klagomål mail.docx", "A 60807-2022")</f>
        <v/>
      </c>
      <c r="AC929">
        <f>HYPERLINK("https://klasma.github.io/Logging_0880/tillsyn/A 60807-2022 tillsynsbegäran.docx", "A 60807-2022")</f>
        <v/>
      </c>
      <c r="AD929">
        <f>HYPERLINK("https://klasma.github.io/Logging_0880/tillsynsmail/A 60807-2022 tillsynsbegäran mail.docx", "A 60807-2022")</f>
        <v/>
      </c>
    </row>
    <row r="930" ht="15" customHeight="1">
      <c r="A930" t="inlineStr">
        <is>
          <t>A 32653-2023</t>
        </is>
      </c>
      <c r="B930" t="inlineStr">
        <is>
          <t>avverkningsanmälan</t>
        </is>
      </c>
      <c r="C930" t="inlineStr">
        <is>
          <t>Föryngringsavverkning</t>
        </is>
      </c>
      <c r="D930" s="1" t="n">
        <v>45121</v>
      </c>
      <c r="E930" s="1" t="n">
        <v>46323</v>
      </c>
      <c r="F930" t="inlineStr">
        <is>
          <t>KALMAR LÄN</t>
        </is>
      </c>
      <c r="G930" t="inlineStr">
        <is>
          <t>VÄSTERVIK</t>
        </is>
      </c>
      <c r="I930" t="n">
        <v>1.4</v>
      </c>
      <c r="J930" t="n">
        <v>1</v>
      </c>
      <c r="K930" t="n">
        <v>0</v>
      </c>
      <c r="L930" t="n">
        <v>0</v>
      </c>
      <c r="M930" t="n">
        <v>1</v>
      </c>
      <c r="N930" t="n">
        <v>0</v>
      </c>
      <c r="O930" t="n">
        <v>0</v>
      </c>
      <c r="P930" t="n">
        <v>0</v>
      </c>
      <c r="Q930" t="n">
        <v>1</v>
      </c>
      <c r="R930" t="n">
        <v>1</v>
      </c>
      <c r="S930" t="n">
        <v>1</v>
      </c>
      <c r="T930" t="n">
        <v>2</v>
      </c>
      <c r="U930" t="n">
        <v>2</v>
      </c>
      <c r="V930" s="2" t="inlineStr">
        <is>
          <t>Knärot</t>
        </is>
      </c>
      <c r="W930">
        <f>HYPERLINK("https://klasma.github.io/Logging_0883/artfynd/A 32653-2023 artfynd.xlsx", "A 32653-2023")</f>
        <v/>
      </c>
      <c r="X930">
        <f>HYPERLINK("https://klasma.github.io/Logging_0883/kartor/A 32653-2023 karta.png", "A 32653-2023")</f>
        <v/>
      </c>
      <c r="Y930">
        <f>HYPERLINK("https://klasma.github.io/Logging_0883/kartor_geotiff/A 32653-2023 georefererad karta.tif", "A 32653-2023")</f>
        <v/>
      </c>
      <c r="Z930">
        <f>HYPERLINK("https://klasma.github.io/Logging_0883/knärot/A 32653-2023 karta knärot.png", "A 32653-2023")</f>
        <v/>
      </c>
      <c r="AA930">
        <f>HYPERLINK("https://klasma.github.io/Logging_0883/klagomål/A 32653-2023 FSC-klagomål.docx", "A 32653-2023")</f>
        <v/>
      </c>
      <c r="AB930">
        <f>HYPERLINK("https://klasma.github.io/Logging_0883/klagomålsmail/A 32653-2023 FSC-klagomål mail.docx", "A 32653-2023")</f>
        <v/>
      </c>
      <c r="AC930">
        <f>HYPERLINK("https://klasma.github.io/Logging_0883/tillsyn/A 32653-2023 tillsynsbegäran.docx", "A 32653-2023")</f>
        <v/>
      </c>
      <c r="AD930">
        <f>HYPERLINK("https://klasma.github.io/Logging_0883/tillsynsmail/A 32653-2023 tillsynsbegäran mail.docx", "A 32653-2023")</f>
        <v/>
      </c>
    </row>
    <row r="931" ht="15" customHeight="1">
      <c r="A931" t="inlineStr">
        <is>
          <t>A 50296-2023</t>
        </is>
      </c>
      <c r="B931" t="inlineStr">
        <is>
          <t>avverkningsanmälan</t>
        </is>
      </c>
      <c r="C931" t="inlineStr">
        <is>
          <t>Föryngringsavverkning</t>
        </is>
      </c>
      <c r="D931" s="1" t="n">
        <v>45216</v>
      </c>
      <c r="E931" s="1" t="n">
        <v>46323</v>
      </c>
      <c r="F931" t="inlineStr">
        <is>
          <t>KALMAR LÄN</t>
        </is>
      </c>
      <c r="G931" t="inlineStr">
        <is>
          <t>HULTSFRED</t>
        </is>
      </c>
      <c r="I931" t="n">
        <v>8.5</v>
      </c>
      <c r="J931" t="n">
        <v>1</v>
      </c>
      <c r="K931" t="n">
        <v>0</v>
      </c>
      <c r="L931" t="n">
        <v>0</v>
      </c>
      <c r="M931" t="n">
        <v>1</v>
      </c>
      <c r="N931" t="n">
        <v>0</v>
      </c>
      <c r="O931" t="n">
        <v>0</v>
      </c>
      <c r="P931" t="n">
        <v>0</v>
      </c>
      <c r="Q931" t="n">
        <v>1</v>
      </c>
      <c r="R931" t="n">
        <v>1</v>
      </c>
      <c r="S931" t="n">
        <v>1</v>
      </c>
      <c r="T931" t="n">
        <v>2</v>
      </c>
      <c r="U931" t="n">
        <v>2</v>
      </c>
      <c r="V931" s="2" t="inlineStr">
        <is>
          <t>Knärot</t>
        </is>
      </c>
      <c r="W931">
        <f>HYPERLINK("https://klasma.github.io/Logging_0860/artfynd/A 50296-2023 artfynd.xlsx", "A 50296-2023")</f>
        <v/>
      </c>
      <c r="X931">
        <f>HYPERLINK("https://klasma.github.io/Logging_0860/kartor/A 50296-2023 karta.png", "A 50296-2023")</f>
        <v/>
      </c>
      <c r="Y931">
        <f>HYPERLINK("https://klasma.github.io/Logging_0860/kartor_geotiff/A 50296-2023 georefererad karta.tif", "A 50296-2023")</f>
        <v/>
      </c>
      <c r="Z931">
        <f>HYPERLINK("https://klasma.github.io/Logging_0860/knärot/A 50296-2023 karta knärot.png", "A 50296-2023")</f>
        <v/>
      </c>
      <c r="AA931">
        <f>HYPERLINK("https://klasma.github.io/Logging_0860/klagomål/A 50296-2023 FSC-klagomål.docx", "A 50296-2023")</f>
        <v/>
      </c>
      <c r="AB931">
        <f>HYPERLINK("https://klasma.github.io/Logging_0860/klagomålsmail/A 50296-2023 FSC-klagomål mail.docx", "A 50296-2023")</f>
        <v/>
      </c>
      <c r="AC931">
        <f>HYPERLINK("https://klasma.github.io/Logging_0860/tillsyn/A 50296-2023 tillsynsbegäran.docx", "A 50296-2023")</f>
        <v/>
      </c>
      <c r="AD931">
        <f>HYPERLINK("https://klasma.github.io/Logging_0860/tillsynsmail/A 50296-2023 tillsynsbegäran mail.docx", "A 50296-2023")</f>
        <v/>
      </c>
    </row>
    <row r="932" ht="15" customHeight="1">
      <c r="A932" t="inlineStr">
        <is>
          <t>A 38596-2024</t>
        </is>
      </c>
      <c r="B932" t="inlineStr">
        <is>
          <t>avverkningsanmälan</t>
        </is>
      </c>
      <c r="C932" t="inlineStr">
        <is>
          <t>Föryngringsavverkning</t>
        </is>
      </c>
      <c r="D932" s="1" t="n">
        <v>45546</v>
      </c>
      <c r="E932" s="1" t="n">
        <v>46323</v>
      </c>
      <c r="F932" t="inlineStr">
        <is>
          <t>KALMAR LÄN</t>
        </is>
      </c>
      <c r="G932" t="inlineStr">
        <is>
          <t>HÖGSBY</t>
        </is>
      </c>
      <c r="H932" t="inlineStr">
        <is>
          <t>Sveaskog</t>
        </is>
      </c>
      <c r="I932" t="n">
        <v>3.9</v>
      </c>
      <c r="J932" t="n">
        <v>0</v>
      </c>
      <c r="K932" t="n">
        <v>1</v>
      </c>
      <c r="L932" t="n">
        <v>0</v>
      </c>
      <c r="M932" t="n">
        <v>0</v>
      </c>
      <c r="N932" t="n">
        <v>0</v>
      </c>
      <c r="O932" t="n">
        <v>0</v>
      </c>
      <c r="P932" t="n">
        <v>0</v>
      </c>
      <c r="Q932" t="n">
        <v>0</v>
      </c>
      <c r="R932" t="n">
        <v>0</v>
      </c>
      <c r="S932" t="n">
        <v>1</v>
      </c>
      <c r="T932" t="n">
        <v>1</v>
      </c>
      <c r="U932" t="n">
        <v>1</v>
      </c>
      <c r="V932" s="2" t="inlineStr">
        <is>
          <t>Brandticka</t>
        </is>
      </c>
      <c r="W932">
        <f>HYPERLINK("https://klasma.github.io/Logging_0821/artfynd/A 38596-2024 artfynd.xlsx", "A 38596-2024")</f>
        <v/>
      </c>
      <c r="X932">
        <f>HYPERLINK("https://klasma.github.io/Logging_0821/kartor/A 38596-2024 karta.png", "A 38596-2024")</f>
        <v/>
      </c>
      <c r="Y932">
        <f>HYPERLINK("https://klasma.github.io/Logging_0821/kartor_geotiff/A 38596-2024 georefererad karta.tif", "A 38596-2024")</f>
        <v/>
      </c>
      <c r="AA932">
        <f>HYPERLINK("https://klasma.github.io/Logging_0821/klagomål/A 38596-2024 FSC-klagomål.docx", "A 38596-2024")</f>
        <v/>
      </c>
      <c r="AB932">
        <f>HYPERLINK("https://klasma.github.io/Logging_0821/klagomålsmail/A 38596-2024 FSC-klagomål mail.docx", "A 38596-2024")</f>
        <v/>
      </c>
      <c r="AC932">
        <f>HYPERLINK("https://klasma.github.io/Logging_0821/tillsyn/A 38596-2024 tillsynsbegäran.docx", "A 38596-2024")</f>
        <v/>
      </c>
      <c r="AD932">
        <f>HYPERLINK("https://klasma.github.io/Logging_0821/tillsynsmail/A 38596-2024 tillsynsbegäran mail.docx", "A 38596-2024")</f>
        <v/>
      </c>
    </row>
    <row r="933" ht="15" customHeight="1">
      <c r="A933" t="inlineStr">
        <is>
          <t>A 60263-2022</t>
        </is>
      </c>
      <c r="B933" t="inlineStr">
        <is>
          <t>avverkningsanmälan</t>
        </is>
      </c>
      <c r="C933" t="inlineStr">
        <is>
          <t>Föryngringsavverkning</t>
        </is>
      </c>
      <c r="D933" s="1" t="n">
        <v>44910</v>
      </c>
      <c r="E933" s="1" t="n">
        <v>46323</v>
      </c>
      <c r="F933" t="inlineStr">
        <is>
          <t>KALMAR LÄN</t>
        </is>
      </c>
      <c r="G933" t="inlineStr">
        <is>
          <t>VÄSTERVIK</t>
        </is>
      </c>
      <c r="H933" t="inlineStr">
        <is>
          <t>Sveaskog</t>
        </is>
      </c>
      <c r="I933" t="n">
        <v>1.2</v>
      </c>
      <c r="J933" t="n">
        <v>1</v>
      </c>
      <c r="K933" t="n">
        <v>1</v>
      </c>
      <c r="L933" t="n">
        <v>0</v>
      </c>
      <c r="M933" t="n">
        <v>0</v>
      </c>
      <c r="N933" t="n">
        <v>0</v>
      </c>
      <c r="O933" t="n">
        <v>0</v>
      </c>
      <c r="P933" t="n">
        <v>0</v>
      </c>
      <c r="Q933" t="n">
        <v>0</v>
      </c>
      <c r="R933" t="n">
        <v>0</v>
      </c>
      <c r="S933" t="n">
        <v>1</v>
      </c>
      <c r="T933" t="n">
        <v>1</v>
      </c>
      <c r="U933" t="n">
        <v>1</v>
      </c>
      <c r="V933" s="2" t="inlineStr">
        <is>
          <t>Ekoxe</t>
        </is>
      </c>
      <c r="W933">
        <f>HYPERLINK("https://klasma.github.io/Logging_0883/artfynd/A 60263-2022 artfynd.xlsx", "A 60263-2022")</f>
        <v/>
      </c>
      <c r="X933">
        <f>HYPERLINK("https://klasma.github.io/Logging_0883/kartor/A 60263-2022 karta.png", "A 60263-2022")</f>
        <v/>
      </c>
      <c r="Y933">
        <f>HYPERLINK("https://klasma.github.io/Logging_0883/kartor_geotiff/A 60263-2022 georefererad karta.tif", "A 60263-2022")</f>
        <v/>
      </c>
      <c r="AA933">
        <f>HYPERLINK("https://klasma.github.io/Logging_0883/klagomål/A 60263-2022 FSC-klagomål.docx", "A 60263-2022")</f>
        <v/>
      </c>
      <c r="AB933">
        <f>HYPERLINK("https://klasma.github.io/Logging_0883/klagomålsmail/A 60263-2022 FSC-klagomål mail.docx", "A 60263-2022")</f>
        <v/>
      </c>
      <c r="AC933">
        <f>HYPERLINK("https://klasma.github.io/Logging_0883/tillsyn/A 60263-2022 tillsynsbegäran.docx", "A 60263-2022")</f>
        <v/>
      </c>
      <c r="AD933">
        <f>HYPERLINK("https://klasma.github.io/Logging_0883/tillsynsmail/A 60263-2022 tillsynsbegäran mail.docx", "A 60263-2022")</f>
        <v/>
      </c>
    </row>
    <row r="934" ht="15" customHeight="1">
      <c r="A934" t="inlineStr">
        <is>
          <t>A 2667-2022</t>
        </is>
      </c>
      <c r="B934" t="inlineStr">
        <is>
          <t>avverkningsanmälan</t>
        </is>
      </c>
      <c r="C934" t="inlineStr">
        <is>
          <t>Föryngringsavverkning</t>
        </is>
      </c>
      <c r="D934" s="1" t="n">
        <v>44580</v>
      </c>
      <c r="E934" s="1" t="n">
        <v>46323</v>
      </c>
      <c r="F934" t="inlineStr">
        <is>
          <t>KALMAR LÄN</t>
        </is>
      </c>
      <c r="G934" t="inlineStr">
        <is>
          <t>TORSÅS</t>
        </is>
      </c>
      <c r="I934" t="n">
        <v>3.1</v>
      </c>
      <c r="J934" t="n">
        <v>1</v>
      </c>
      <c r="K934" t="n">
        <v>0</v>
      </c>
      <c r="L934" t="n">
        <v>0</v>
      </c>
      <c r="M934" t="n">
        <v>0</v>
      </c>
      <c r="N934" t="n">
        <v>0</v>
      </c>
      <c r="O934" t="n">
        <v>0</v>
      </c>
      <c r="P934" t="n">
        <v>0</v>
      </c>
      <c r="Q934" t="n">
        <v>0</v>
      </c>
      <c r="R934" t="n">
        <v>0</v>
      </c>
      <c r="S934" t="n">
        <v>1</v>
      </c>
      <c r="T934" t="n">
        <v>1</v>
      </c>
      <c r="U934" t="n">
        <v>0</v>
      </c>
      <c r="V934" s="2" t="inlineStr">
        <is>
          <t>Långbensgroda</t>
        </is>
      </c>
      <c r="W934">
        <f>HYPERLINK("https://klasma.github.io/Logging_0834/artfynd/A 2667-2022 artfynd.xlsx", "A 2667-2022")</f>
        <v/>
      </c>
      <c r="X934">
        <f>HYPERLINK("https://klasma.github.io/Logging_0834/kartor/A 2667-2022 karta.png", "A 2667-2022")</f>
        <v/>
      </c>
      <c r="Y934">
        <f>HYPERLINK("https://klasma.github.io/Logging_0834/kartor_geotiff/A 2667-2022 georefererad karta.tif", "A 2667-2022")</f>
        <v/>
      </c>
      <c r="AA934">
        <f>HYPERLINK("https://klasma.github.io/Logging_0834/klagomål/A 2667-2022 FSC-klagomål.docx", "A 2667-2022")</f>
        <v/>
      </c>
      <c r="AB934">
        <f>HYPERLINK("https://klasma.github.io/Logging_0834/klagomålsmail/A 2667-2022 FSC-klagomål mail.docx", "A 2667-2022")</f>
        <v/>
      </c>
      <c r="AC934">
        <f>HYPERLINK("https://klasma.github.io/Logging_0834/tillsyn/A 2667-2022 tillsynsbegäran.docx", "A 2667-2022")</f>
        <v/>
      </c>
      <c r="AD934">
        <f>HYPERLINK("https://klasma.github.io/Logging_0834/tillsynsmail/A 2667-2022 tillsynsbegäran mail.docx", "A 2667-2022")</f>
        <v/>
      </c>
    </row>
    <row r="935" ht="15" customHeight="1">
      <c r="A935" t="inlineStr">
        <is>
          <t>A 17741-2025</t>
        </is>
      </c>
      <c r="B935" t="inlineStr">
        <is>
          <t>avverkningsanmälan</t>
        </is>
      </c>
      <c r="C935" t="inlineStr">
        <is>
          <t>Avverkning för att bevara och utveckla /försöksver</t>
        </is>
      </c>
      <c r="D935" s="1" t="n">
        <v>45758</v>
      </c>
      <c r="E935" s="1" t="n">
        <v>46323</v>
      </c>
      <c r="F935" t="inlineStr">
        <is>
          <t>KALMAR LÄN</t>
        </is>
      </c>
      <c r="G935" t="inlineStr">
        <is>
          <t>NYBRO</t>
        </is>
      </c>
      <c r="H935" t="inlineStr">
        <is>
          <t>Sveaskog</t>
        </is>
      </c>
      <c r="I935" t="n">
        <v>1.2</v>
      </c>
      <c r="J935" t="n">
        <v>0</v>
      </c>
      <c r="K935" t="n">
        <v>0</v>
      </c>
      <c r="L935" t="n">
        <v>1</v>
      </c>
      <c r="M935" t="n">
        <v>0</v>
      </c>
      <c r="N935" t="n">
        <v>0</v>
      </c>
      <c r="O935" t="n">
        <v>0</v>
      </c>
      <c r="P935" t="n">
        <v>0</v>
      </c>
      <c r="Q935" t="n">
        <v>1</v>
      </c>
      <c r="R935" t="n">
        <v>0</v>
      </c>
      <c r="S935" t="n">
        <v>1</v>
      </c>
      <c r="T935" t="n">
        <v>1</v>
      </c>
      <c r="U935" t="n">
        <v>0</v>
      </c>
      <c r="V935" s="2" t="inlineStr">
        <is>
          <t>Tårkragskivling</t>
        </is>
      </c>
      <c r="W935">
        <f>HYPERLINK("https://klasma.github.io/Logging_0881/artfynd/A 17741-2025 artfynd.xlsx", "A 17741-2025")</f>
        <v/>
      </c>
      <c r="X935">
        <f>HYPERLINK("https://klasma.github.io/Logging_0881/kartor/A 17741-2025 karta.png", "A 17741-2025")</f>
        <v/>
      </c>
      <c r="Y935">
        <f>HYPERLINK("https://klasma.github.io/Logging_0881/kartor_geotiff/A 17741-2025 georefererad karta.tif", "A 17741-2025")</f>
        <v/>
      </c>
      <c r="AA935">
        <f>HYPERLINK("https://klasma.github.io/Logging_0881/klagomål/A 17741-2025 FSC-klagomål.docx", "A 17741-2025")</f>
        <v/>
      </c>
      <c r="AB935">
        <f>HYPERLINK("https://klasma.github.io/Logging_0881/klagomålsmail/A 17741-2025 FSC-klagomål mail.docx", "A 17741-2025")</f>
        <v/>
      </c>
      <c r="AC935">
        <f>HYPERLINK("https://klasma.github.io/Logging_0881/tillsyn/A 17741-2025 tillsynsbegäran.docx", "A 17741-2025")</f>
        <v/>
      </c>
      <c r="AD935">
        <f>HYPERLINK("https://klasma.github.io/Logging_0881/tillsynsmail/A 17741-2025 tillsynsbegäran mail.docx", "A 17741-2025")</f>
        <v/>
      </c>
    </row>
    <row r="936" ht="15" customHeight="1">
      <c r="A936" t="inlineStr">
        <is>
          <t>A 52182-2025</t>
        </is>
      </c>
      <c r="B936" t="inlineStr">
        <is>
          <t>avverkningsanmälan</t>
        </is>
      </c>
      <c r="C936" t="inlineStr">
        <is>
          <t>Föryngringsavverkning</t>
        </is>
      </c>
      <c r="D936" s="1" t="n">
        <v>45953</v>
      </c>
      <c r="E936" s="1" t="n">
        <v>46323</v>
      </c>
      <c r="F936" t="inlineStr">
        <is>
          <t>KALMAR LÄN</t>
        </is>
      </c>
      <c r="G936" t="inlineStr">
        <is>
          <t>EMMABODA</t>
        </is>
      </c>
      <c r="I936" t="n">
        <v>7.6</v>
      </c>
      <c r="J936" t="n">
        <v>1</v>
      </c>
      <c r="K936" t="n">
        <v>0</v>
      </c>
      <c r="L936" t="n">
        <v>1</v>
      </c>
      <c r="M936" t="n">
        <v>0</v>
      </c>
      <c r="N936" t="n">
        <v>0</v>
      </c>
      <c r="O936" t="n">
        <v>0</v>
      </c>
      <c r="P936" t="n">
        <v>0</v>
      </c>
      <c r="Q936" t="n">
        <v>1</v>
      </c>
      <c r="R936" t="n">
        <v>0</v>
      </c>
      <c r="S936" t="n">
        <v>1</v>
      </c>
      <c r="T936" t="n">
        <v>1</v>
      </c>
      <c r="U936" t="n">
        <v>1</v>
      </c>
      <c r="V936" s="2" t="inlineStr">
        <is>
          <t>Göktyta</t>
        </is>
      </c>
      <c r="W936">
        <f>HYPERLINK("https://klasma.github.io/Logging_0862/artfynd/A 52182-2025 artfynd.xlsx", "A 52182-2025")</f>
        <v/>
      </c>
      <c r="X936">
        <f>HYPERLINK("https://klasma.github.io/Logging_0862/kartor/A 52182-2025 karta.png", "A 52182-2025")</f>
        <v/>
      </c>
      <c r="Y936">
        <f>HYPERLINK("https://klasma.github.io/Logging_0862/kartor_geotiff/A 52182-2025 georefererad karta.tif", "A 52182-2025")</f>
        <v/>
      </c>
      <c r="AA936">
        <f>HYPERLINK("https://klasma.github.io/Logging_0862/klagomål/A 52182-2025 FSC-klagomål.docx", "A 52182-2025")</f>
        <v/>
      </c>
      <c r="AB936">
        <f>HYPERLINK("https://klasma.github.io/Logging_0862/klagomålsmail/A 52182-2025 FSC-klagomål mail.docx", "A 52182-2025")</f>
        <v/>
      </c>
      <c r="AC936">
        <f>HYPERLINK("https://klasma.github.io/Logging_0862/tillsyn/A 52182-2025 tillsynsbegäran.docx", "A 52182-2025")</f>
        <v/>
      </c>
      <c r="AD936">
        <f>HYPERLINK("https://klasma.github.io/Logging_0862/tillsynsmail/A 52182-2025 tillsynsbegäran mail.docx", "A 52182-2025")</f>
        <v/>
      </c>
      <c r="AE936">
        <f>HYPERLINK("https://klasma.github.io/Logging_0862/fåglar/A 52182-2025 prioriterade fågelarter.docx", "A 52182-2025")</f>
        <v/>
      </c>
    </row>
    <row r="937" ht="15" customHeight="1">
      <c r="A937" t="inlineStr">
        <is>
          <t>A 53145-2025</t>
        </is>
      </c>
      <c r="B937" t="inlineStr">
        <is>
          <t>avverkningsanmälan</t>
        </is>
      </c>
      <c r="C937" t="inlineStr">
        <is>
          <t>Avverkning för annat ändamål</t>
        </is>
      </c>
      <c r="D937" s="1" t="n">
        <v>45958</v>
      </c>
      <c r="E937" s="1" t="n">
        <v>46323</v>
      </c>
      <c r="F937" t="inlineStr">
        <is>
          <t>KALMAR LÄN</t>
        </is>
      </c>
      <c r="G937" t="inlineStr">
        <is>
          <t>VÄSTERVIK</t>
        </is>
      </c>
      <c r="I937" t="n">
        <v>2.7</v>
      </c>
      <c r="J937" t="n">
        <v>1</v>
      </c>
      <c r="K937" t="n">
        <v>0</v>
      </c>
      <c r="L937" t="n">
        <v>1</v>
      </c>
      <c r="M937" t="n">
        <v>0</v>
      </c>
      <c r="N937" t="n">
        <v>0</v>
      </c>
      <c r="O937" t="n">
        <v>0</v>
      </c>
      <c r="P937" t="n">
        <v>0</v>
      </c>
      <c r="Q937" t="n">
        <v>1</v>
      </c>
      <c r="R937" t="n">
        <v>0</v>
      </c>
      <c r="S937" t="n">
        <v>1</v>
      </c>
      <c r="T937" t="n">
        <v>1</v>
      </c>
      <c r="U937" t="n">
        <v>0</v>
      </c>
      <c r="V937" s="2" t="inlineStr">
        <is>
          <t>Grönsångare</t>
        </is>
      </c>
      <c r="W937">
        <f>HYPERLINK("https://klasma.github.io/Logging_0883/artfynd/A 53145-2025 artfynd.xlsx", "A 53145-2025")</f>
        <v/>
      </c>
      <c r="X937">
        <f>HYPERLINK("https://klasma.github.io/Logging_0883/kartor/A 53145-2025 karta.png", "A 53145-2025")</f>
        <v/>
      </c>
      <c r="Y937">
        <f>HYPERLINK("https://klasma.github.io/Logging_0883/kartor_geotiff/A 53145-2025 georefererad karta.tif", "A 53145-2025")</f>
        <v/>
      </c>
      <c r="AA937">
        <f>HYPERLINK("https://klasma.github.io/Logging_0883/klagomål/A 53145-2025 FSC-klagomål.docx", "A 53145-2025")</f>
        <v/>
      </c>
      <c r="AB937">
        <f>HYPERLINK("https://klasma.github.io/Logging_0883/klagomålsmail/A 53145-2025 FSC-klagomål mail.docx", "A 53145-2025")</f>
        <v/>
      </c>
      <c r="AC937">
        <f>HYPERLINK("https://klasma.github.io/Logging_0883/tillsyn/A 53145-2025 tillsynsbegäran.docx", "A 53145-2025")</f>
        <v/>
      </c>
      <c r="AD937">
        <f>HYPERLINK("https://klasma.github.io/Logging_0883/tillsynsmail/A 53145-2025 tillsynsbegäran mail.docx", "A 53145-2025")</f>
        <v/>
      </c>
      <c r="AE937">
        <f>HYPERLINK("https://klasma.github.io/Logging_0883/fåglar/A 53145-2025 prioriterade fågelarter.docx", "A 53145-2025")</f>
        <v/>
      </c>
    </row>
    <row r="938" ht="15" customHeight="1">
      <c r="A938" t="inlineStr">
        <is>
          <t>A 37016-2023</t>
        </is>
      </c>
      <c r="B938" t="inlineStr">
        <is>
          <t>avverkningsanmälan</t>
        </is>
      </c>
      <c r="C938" t="inlineStr">
        <is>
          <t>Föryngringsavverkning</t>
        </is>
      </c>
      <c r="D938" s="1" t="n">
        <v>45155</v>
      </c>
      <c r="E938" s="1" t="n">
        <v>46323</v>
      </c>
      <c r="F938" t="inlineStr">
        <is>
          <t>KALMAR LÄN</t>
        </is>
      </c>
      <c r="G938" t="inlineStr">
        <is>
          <t>NYBRO</t>
        </is>
      </c>
      <c r="I938" t="n">
        <v>6.4</v>
      </c>
      <c r="J938" t="n">
        <v>0</v>
      </c>
      <c r="K938" t="n">
        <v>0</v>
      </c>
      <c r="L938" t="n">
        <v>0</v>
      </c>
      <c r="M938" t="n">
        <v>1</v>
      </c>
      <c r="N938" t="n">
        <v>0</v>
      </c>
      <c r="O938" t="n">
        <v>0</v>
      </c>
      <c r="P938" t="n">
        <v>0</v>
      </c>
      <c r="Q938" t="n">
        <v>1</v>
      </c>
      <c r="R938" t="n">
        <v>1</v>
      </c>
      <c r="S938" t="n">
        <v>1</v>
      </c>
      <c r="T938" t="n">
        <v>1</v>
      </c>
      <c r="U938" t="n">
        <v>0</v>
      </c>
      <c r="V938" s="2" t="inlineStr">
        <is>
          <t>Slåttergubbe</t>
        </is>
      </c>
      <c r="W938">
        <f>HYPERLINK("https://klasma.github.io/Logging_0881/artfynd/A 37016-2023 artfynd.xlsx", "A 37016-2023")</f>
        <v/>
      </c>
      <c r="X938">
        <f>HYPERLINK("https://klasma.github.io/Logging_0881/kartor/A 37016-2023 karta.png", "A 37016-2023")</f>
        <v/>
      </c>
      <c r="Y938">
        <f>HYPERLINK("https://klasma.github.io/Logging_0881/kartor_geotiff/A 37016-2023 georefererad karta.tif", "A 37016-2023")</f>
        <v/>
      </c>
      <c r="AA938">
        <f>HYPERLINK("https://klasma.github.io/Logging_0881/klagomål/A 37016-2023 FSC-klagomål.docx", "A 37016-2023")</f>
        <v/>
      </c>
      <c r="AB938">
        <f>HYPERLINK("https://klasma.github.io/Logging_0881/klagomålsmail/A 37016-2023 FSC-klagomål mail.docx", "A 37016-2023")</f>
        <v/>
      </c>
      <c r="AC938">
        <f>HYPERLINK("https://klasma.github.io/Logging_0881/tillsyn/A 37016-2023 tillsynsbegäran.docx", "A 37016-2023")</f>
        <v/>
      </c>
      <c r="AD938">
        <f>HYPERLINK("https://klasma.github.io/Logging_0881/tillsynsmail/A 37016-2023 tillsynsbegäran mail.docx", "A 37016-2023")</f>
        <v/>
      </c>
    </row>
    <row r="939" ht="15" customHeight="1">
      <c r="A939" t="inlineStr">
        <is>
          <t>A 59407-2022</t>
        </is>
      </c>
      <c r="B939" t="inlineStr">
        <is>
          <t>avverkningsanmälan</t>
        </is>
      </c>
      <c r="C939" t="inlineStr">
        <is>
          <t>Föryngringsavverkning</t>
        </is>
      </c>
      <c r="D939" s="1" t="n">
        <v>44907</v>
      </c>
      <c r="E939" s="1" t="n">
        <v>46323</v>
      </c>
      <c r="F939" t="inlineStr">
        <is>
          <t>KALMAR LÄN</t>
        </is>
      </c>
      <c r="G939" t="inlineStr">
        <is>
          <t>HÖGSBY</t>
        </is>
      </c>
      <c r="I939" t="n">
        <v>1</v>
      </c>
      <c r="J939" t="n">
        <v>1</v>
      </c>
      <c r="K939" t="n">
        <v>0</v>
      </c>
      <c r="L939" t="n">
        <v>0</v>
      </c>
      <c r="M939" t="n">
        <v>0</v>
      </c>
      <c r="N939" t="n">
        <v>0</v>
      </c>
      <c r="O939" t="n">
        <v>0</v>
      </c>
      <c r="P939" t="n">
        <v>0</v>
      </c>
      <c r="Q939" t="n">
        <v>0</v>
      </c>
      <c r="R939" t="n">
        <v>0</v>
      </c>
      <c r="S939" t="n">
        <v>1</v>
      </c>
      <c r="T939" t="n">
        <v>2</v>
      </c>
      <c r="U939" t="n">
        <v>1</v>
      </c>
      <c r="V939" s="2" t="inlineStr">
        <is>
          <t>Blåsippa</t>
        </is>
      </c>
      <c r="W939">
        <f>HYPERLINK("https://klasma.github.io/Logging_0821/artfynd/A 59407-2022 artfynd.xlsx", "A 59407-2022")</f>
        <v/>
      </c>
      <c r="X939">
        <f>HYPERLINK("https://klasma.github.io/Logging_0821/kartor/A 59407-2022 karta.png", "A 59407-2022")</f>
        <v/>
      </c>
      <c r="Y939">
        <f>HYPERLINK("https://klasma.github.io/Logging_0821/kartor_geotiff/A 59407-2022 georefererad karta.tif", "A 59407-2022")</f>
        <v/>
      </c>
      <c r="AA939">
        <f>HYPERLINK("https://klasma.github.io/Logging_0821/klagomål/A 59407-2022 FSC-klagomål.docx", "A 59407-2022")</f>
        <v/>
      </c>
      <c r="AB939">
        <f>HYPERLINK("https://klasma.github.io/Logging_0821/klagomålsmail/A 59407-2022 FSC-klagomål mail.docx", "A 59407-2022")</f>
        <v/>
      </c>
      <c r="AC939">
        <f>HYPERLINK("https://klasma.github.io/Logging_0821/tillsyn/A 59407-2022 tillsynsbegäran.docx", "A 59407-2022")</f>
        <v/>
      </c>
      <c r="AD939">
        <f>HYPERLINK("https://klasma.github.io/Logging_0821/tillsynsmail/A 59407-2022 tillsynsbegäran mail.docx", "A 59407-2022")</f>
        <v/>
      </c>
    </row>
    <row r="940" ht="15" customHeight="1">
      <c r="A940" t="inlineStr">
        <is>
          <t>A 15376-2023</t>
        </is>
      </c>
      <c r="B940" t="inlineStr">
        <is>
          <t>avverkningsanmälan</t>
        </is>
      </c>
      <c r="C940" t="inlineStr">
        <is>
          <t>Föryngringsavverkning</t>
        </is>
      </c>
      <c r="D940" s="1" t="n">
        <v>45019</v>
      </c>
      <c r="E940" s="1" t="n">
        <v>46323</v>
      </c>
      <c r="F940" t="inlineStr">
        <is>
          <t>KALMAR LÄN</t>
        </is>
      </c>
      <c r="G940" t="inlineStr">
        <is>
          <t>TORSÅS</t>
        </is>
      </c>
      <c r="I940" t="n">
        <v>1.8</v>
      </c>
      <c r="J940" t="n">
        <v>1</v>
      </c>
      <c r="K940" t="n">
        <v>0</v>
      </c>
      <c r="L940" t="n">
        <v>0</v>
      </c>
      <c r="M940" t="n">
        <v>0</v>
      </c>
      <c r="N940" t="n">
        <v>0</v>
      </c>
      <c r="O940" t="n">
        <v>0</v>
      </c>
      <c r="P940" t="n">
        <v>0</v>
      </c>
      <c r="Q940" t="n">
        <v>0</v>
      </c>
      <c r="R940" t="n">
        <v>0</v>
      </c>
      <c r="S940" t="n">
        <v>1</v>
      </c>
      <c r="T940" t="n">
        <v>2</v>
      </c>
      <c r="U940" t="n">
        <v>0</v>
      </c>
      <c r="V940" s="2" t="inlineStr">
        <is>
          <t>Långbensgroda</t>
        </is>
      </c>
      <c r="W940">
        <f>HYPERLINK("https://klasma.github.io/Logging_0834/artfynd/A 15376-2023 artfynd.xlsx", "A 15376-2023")</f>
        <v/>
      </c>
      <c r="X940">
        <f>HYPERLINK("https://klasma.github.io/Logging_0834/kartor/A 15376-2023 karta.png", "A 15376-2023")</f>
        <v/>
      </c>
      <c r="Y940">
        <f>HYPERLINK("https://klasma.github.io/Logging_0834/kartor_geotiff/A 15376-2023 georefererad karta.tif", "A 15376-2023")</f>
        <v/>
      </c>
      <c r="AA940">
        <f>HYPERLINK("https://klasma.github.io/Logging_0834/klagomål/A 15376-2023 FSC-klagomål.docx", "A 15376-2023")</f>
        <v/>
      </c>
      <c r="AB940">
        <f>HYPERLINK("https://klasma.github.io/Logging_0834/klagomålsmail/A 15376-2023 FSC-klagomål mail.docx", "A 15376-2023")</f>
        <v/>
      </c>
      <c r="AC940">
        <f>HYPERLINK("https://klasma.github.io/Logging_0834/tillsyn/A 15376-2023 tillsynsbegäran.docx", "A 15376-2023")</f>
        <v/>
      </c>
      <c r="AD940">
        <f>HYPERLINK("https://klasma.github.io/Logging_0834/tillsynsmail/A 15376-2023 tillsynsbegäran mail.docx", "A 15376-2023")</f>
        <v/>
      </c>
    </row>
    <row r="941" ht="15" customHeight="1">
      <c r="A941" t="inlineStr">
        <is>
          <t>A 53404-2025</t>
        </is>
      </c>
      <c r="B941" t="inlineStr">
        <is>
          <t>avverkningsanmälan</t>
        </is>
      </c>
      <c r="C941" t="inlineStr">
        <is>
          <t>Föryngringsavverkning</t>
        </is>
      </c>
      <c r="D941" s="1" t="n">
        <v>45959</v>
      </c>
      <c r="E941" s="1" t="n">
        <v>46323</v>
      </c>
      <c r="F941" t="inlineStr">
        <is>
          <t>KALMAR LÄN</t>
        </is>
      </c>
      <c r="G941" t="inlineStr">
        <is>
          <t>VIMMERBY</t>
        </is>
      </c>
      <c r="I941" t="n">
        <v>6.4</v>
      </c>
      <c r="J941" t="n">
        <v>1</v>
      </c>
      <c r="K941" t="n">
        <v>0</v>
      </c>
      <c r="L941" t="n">
        <v>0</v>
      </c>
      <c r="M941" t="n">
        <v>1</v>
      </c>
      <c r="N941" t="n">
        <v>0</v>
      </c>
      <c r="O941" t="n">
        <v>0</v>
      </c>
      <c r="P941" t="n">
        <v>0</v>
      </c>
      <c r="Q941" t="n">
        <v>1</v>
      </c>
      <c r="R941" t="n">
        <v>1</v>
      </c>
      <c r="S941" t="n">
        <v>1</v>
      </c>
      <c r="T941" t="n">
        <v>1</v>
      </c>
      <c r="U941" t="n">
        <v>1</v>
      </c>
      <c r="V941" s="2" t="inlineStr">
        <is>
          <t>Knärot</t>
        </is>
      </c>
      <c r="W941">
        <f>HYPERLINK("https://klasma.github.io/Logging_0884/artfynd/A 53404-2025 artfynd.xlsx", "A 53404-2025")</f>
        <v/>
      </c>
      <c r="X941">
        <f>HYPERLINK("https://klasma.github.io/Logging_0884/kartor/A 53404-2025 karta.png", "A 53404-2025")</f>
        <v/>
      </c>
      <c r="Y941">
        <f>HYPERLINK("https://klasma.github.io/Logging_0884/kartor_geotiff/A 53404-2025 georefererad karta.tif", "A 53404-2025")</f>
        <v/>
      </c>
      <c r="Z941">
        <f>HYPERLINK("https://klasma.github.io/Logging_0884/knärot/A 53404-2025 karta knärot.png", "A 53404-2025")</f>
        <v/>
      </c>
      <c r="AA941">
        <f>HYPERLINK("https://klasma.github.io/Logging_0884/klagomål/A 53404-2025 FSC-klagomål.docx", "A 53404-2025")</f>
        <v/>
      </c>
      <c r="AB941">
        <f>HYPERLINK("https://klasma.github.io/Logging_0884/klagomålsmail/A 53404-2025 FSC-klagomål mail.docx", "A 53404-2025")</f>
        <v/>
      </c>
      <c r="AC941">
        <f>HYPERLINK("https://klasma.github.io/Logging_0884/tillsyn/A 53404-2025 tillsynsbegäran.docx", "A 53404-2025")</f>
        <v/>
      </c>
      <c r="AD941">
        <f>HYPERLINK("https://klasma.github.io/Logging_0884/tillsynsmail/A 53404-2025 tillsynsbegäran mail.docx", "A 53404-2025")</f>
        <v/>
      </c>
    </row>
    <row r="942" ht="15" customHeight="1">
      <c r="A942" t="inlineStr">
        <is>
          <t>A 26274-2023</t>
        </is>
      </c>
      <c r="B942" t="inlineStr">
        <is>
          <t>avverkningsanmälan</t>
        </is>
      </c>
      <c r="C942" t="inlineStr">
        <is>
          <t>Föryngringsavverkning</t>
        </is>
      </c>
      <c r="D942" s="1" t="n">
        <v>45091</v>
      </c>
      <c r="E942" s="1" t="n">
        <v>46323</v>
      </c>
      <c r="F942" t="inlineStr">
        <is>
          <t>KALMAR LÄN</t>
        </is>
      </c>
      <c r="G942" t="inlineStr">
        <is>
          <t>MÖNSTERÅS</t>
        </is>
      </c>
      <c r="I942" t="n">
        <v>2.1</v>
      </c>
      <c r="J942" t="n">
        <v>1</v>
      </c>
      <c r="K942" t="n">
        <v>0</v>
      </c>
      <c r="L942" t="n">
        <v>0</v>
      </c>
      <c r="M942" t="n">
        <v>0</v>
      </c>
      <c r="N942" t="n">
        <v>0</v>
      </c>
      <c r="O942" t="n">
        <v>0</v>
      </c>
      <c r="P942" t="n">
        <v>0</v>
      </c>
      <c r="Q942" t="n">
        <v>0</v>
      </c>
      <c r="R942" t="n">
        <v>0</v>
      </c>
      <c r="S942" t="n">
        <v>1</v>
      </c>
      <c r="T942" t="n">
        <v>1</v>
      </c>
      <c r="U942" t="n">
        <v>1</v>
      </c>
      <c r="V942" s="2" t="inlineStr">
        <is>
          <t>Havsörn</t>
        </is>
      </c>
      <c r="W942">
        <f>HYPERLINK("https://klasma.github.io/Logging_0861/artfynd/A 26274-2023 artfynd.xlsx", "A 26274-2023")</f>
        <v/>
      </c>
      <c r="X942">
        <f>HYPERLINK("https://klasma.github.io/Logging_0861/kartor/A 26274-2023 karta.png", "A 26274-2023")</f>
        <v/>
      </c>
      <c r="Y942">
        <f>HYPERLINK("https://klasma.github.io/Logging_0861/kartor_geotiff/A 26274-2023 georefererad karta.tif", "A 26274-2023")</f>
        <v/>
      </c>
      <c r="AA942">
        <f>HYPERLINK("https://klasma.github.io/Logging_0861/klagomål/A 26274-2023 FSC-klagomål.docx", "A 26274-2023")</f>
        <v/>
      </c>
      <c r="AB942">
        <f>HYPERLINK("https://klasma.github.io/Logging_0861/klagomålsmail/A 26274-2023 FSC-klagomål mail.docx", "A 26274-2023")</f>
        <v/>
      </c>
      <c r="AC942">
        <f>HYPERLINK("https://klasma.github.io/Logging_0861/tillsyn/A 26274-2023 tillsynsbegäran.docx", "A 26274-2023")</f>
        <v/>
      </c>
      <c r="AD942">
        <f>HYPERLINK("https://klasma.github.io/Logging_0861/tillsynsmail/A 26274-2023 tillsynsbegäran mail.docx", "A 26274-2023")</f>
        <v/>
      </c>
      <c r="AE942">
        <f>HYPERLINK("https://klasma.github.io/Logging_0861/fåglar/A 26274-2023 prioriterade fågelarter.docx", "A 26274-2023")</f>
        <v/>
      </c>
    </row>
    <row r="943" ht="15" customHeight="1">
      <c r="A943" t="inlineStr">
        <is>
          <t>A 53843-2025</t>
        </is>
      </c>
      <c r="B943" t="inlineStr">
        <is>
          <t>avverkningsanmälan</t>
        </is>
      </c>
      <c r="C943" t="inlineStr">
        <is>
          <t>Avverkning för att bevara och utveckla /försöksver</t>
        </is>
      </c>
      <c r="D943" s="1" t="n">
        <v>45961</v>
      </c>
      <c r="E943" s="1" t="n">
        <v>46323</v>
      </c>
      <c r="F943" t="inlineStr">
        <is>
          <t>KALMAR LÄN</t>
        </is>
      </c>
      <c r="G943" t="inlineStr">
        <is>
          <t>VÄSTERVIK</t>
        </is>
      </c>
      <c r="H943" t="inlineStr">
        <is>
          <t>Sveaskog</t>
        </is>
      </c>
      <c r="I943" t="n">
        <v>6</v>
      </c>
      <c r="J943" t="n">
        <v>1</v>
      </c>
      <c r="K943" t="n">
        <v>0</v>
      </c>
      <c r="L943" t="n">
        <v>0</v>
      </c>
      <c r="M943" t="n">
        <v>0</v>
      </c>
      <c r="N943" t="n">
        <v>0</v>
      </c>
      <c r="O943" t="n">
        <v>0</v>
      </c>
      <c r="P943" t="n">
        <v>0</v>
      </c>
      <c r="Q943" t="n">
        <v>0</v>
      </c>
      <c r="R943" t="n">
        <v>0</v>
      </c>
      <c r="S943" t="n">
        <v>1</v>
      </c>
      <c r="T943" t="n">
        <v>1</v>
      </c>
      <c r="U943" t="n">
        <v>0</v>
      </c>
      <c r="V943" s="2" t="inlineStr">
        <is>
          <t>Blåsippa</t>
        </is>
      </c>
      <c r="W943">
        <f>HYPERLINK("https://klasma.github.io/Logging_0883/artfynd/A 53843-2025 artfynd.xlsx", "A 53843-2025")</f>
        <v/>
      </c>
      <c r="X943">
        <f>HYPERLINK("https://klasma.github.io/Logging_0883/kartor/A 53843-2025 karta.png", "A 53843-2025")</f>
        <v/>
      </c>
      <c r="Y943">
        <f>HYPERLINK("https://klasma.github.io/Logging_0883/kartor_geotiff/A 53843-2025 georefererad karta.tif", "A 53843-2025")</f>
        <v/>
      </c>
      <c r="AA943">
        <f>HYPERLINK("https://klasma.github.io/Logging_0883/klagomål/A 53843-2025 FSC-klagomål.docx", "A 53843-2025")</f>
        <v/>
      </c>
      <c r="AB943">
        <f>HYPERLINK("https://klasma.github.io/Logging_0883/klagomålsmail/A 53843-2025 FSC-klagomål mail.docx", "A 53843-2025")</f>
        <v/>
      </c>
      <c r="AC943">
        <f>HYPERLINK("https://klasma.github.io/Logging_0883/tillsyn/A 53843-2025 tillsynsbegäran.docx", "A 53843-2025")</f>
        <v/>
      </c>
      <c r="AD943">
        <f>HYPERLINK("https://klasma.github.io/Logging_0883/tillsynsmail/A 53843-2025 tillsynsbegäran mail.docx", "A 53843-2025")</f>
        <v/>
      </c>
    </row>
    <row r="944" ht="15" customHeight="1">
      <c r="A944" t="inlineStr">
        <is>
          <t>A 53860-2025</t>
        </is>
      </c>
      <c r="B944" t="inlineStr">
        <is>
          <t>avverkningsanmälan</t>
        </is>
      </c>
      <c r="C944" t="inlineStr">
        <is>
          <t>Avverkning för att bevara och utveckla /försöksver</t>
        </is>
      </c>
      <c r="D944" s="1" t="n">
        <v>45961</v>
      </c>
      <c r="E944" s="1" t="n">
        <v>46323</v>
      </c>
      <c r="F944" t="inlineStr">
        <is>
          <t>KALMAR LÄN</t>
        </is>
      </c>
      <c r="G944" t="inlineStr">
        <is>
          <t>VÄSTERVIK</t>
        </is>
      </c>
      <c r="H944" t="inlineStr">
        <is>
          <t>Sveaskog</t>
        </is>
      </c>
      <c r="I944" t="n">
        <v>1.7</v>
      </c>
      <c r="J944" t="n">
        <v>1</v>
      </c>
      <c r="K944" t="n">
        <v>0</v>
      </c>
      <c r="L944" t="n">
        <v>0</v>
      </c>
      <c r="M944" t="n">
        <v>0</v>
      </c>
      <c r="N944" t="n">
        <v>0</v>
      </c>
      <c r="O944" t="n">
        <v>0</v>
      </c>
      <c r="P944" t="n">
        <v>0</v>
      </c>
      <c r="Q944" t="n">
        <v>0</v>
      </c>
      <c r="R944" t="n">
        <v>0</v>
      </c>
      <c r="S944" t="n">
        <v>1</v>
      </c>
      <c r="T944" t="n">
        <v>1</v>
      </c>
      <c r="U944" t="n">
        <v>0</v>
      </c>
      <c r="V944" s="2" t="inlineStr">
        <is>
          <t>Blåsippa</t>
        </is>
      </c>
      <c r="W944">
        <f>HYPERLINK("https://klasma.github.io/Logging_0883/artfynd/A 53860-2025 artfynd.xlsx", "A 53860-2025")</f>
        <v/>
      </c>
      <c r="X944">
        <f>HYPERLINK("https://klasma.github.io/Logging_0883/kartor/A 53860-2025 karta.png", "A 53860-2025")</f>
        <v/>
      </c>
      <c r="Y944">
        <f>HYPERLINK("https://klasma.github.io/Logging_0883/kartor_geotiff/A 53860-2025 georefererad karta.tif", "A 53860-2025")</f>
        <v/>
      </c>
      <c r="AA944">
        <f>HYPERLINK("https://klasma.github.io/Logging_0883/klagomål/A 53860-2025 FSC-klagomål.docx", "A 53860-2025")</f>
        <v/>
      </c>
      <c r="AB944">
        <f>HYPERLINK("https://klasma.github.io/Logging_0883/klagomålsmail/A 53860-2025 FSC-klagomål mail.docx", "A 53860-2025")</f>
        <v/>
      </c>
      <c r="AC944">
        <f>HYPERLINK("https://klasma.github.io/Logging_0883/tillsyn/A 53860-2025 tillsynsbegäran.docx", "A 53860-2025")</f>
        <v/>
      </c>
      <c r="AD944">
        <f>HYPERLINK("https://klasma.github.io/Logging_0883/tillsynsmail/A 53860-2025 tillsynsbegäran mail.docx", "A 53860-2025")</f>
        <v/>
      </c>
    </row>
    <row r="945" ht="15" customHeight="1">
      <c r="A945" t="inlineStr">
        <is>
          <t>A 53875-2025</t>
        </is>
      </c>
      <c r="B945" t="inlineStr">
        <is>
          <t>avverkningsanmälan</t>
        </is>
      </c>
      <c r="C945" t="inlineStr">
        <is>
          <t>Avverkning för att bevara och utveckla /försöksver</t>
        </is>
      </c>
      <c r="D945" s="1" t="n">
        <v>45961</v>
      </c>
      <c r="E945" s="1" t="n">
        <v>46323</v>
      </c>
      <c r="F945" t="inlineStr">
        <is>
          <t>KALMAR LÄN</t>
        </is>
      </c>
      <c r="G945" t="inlineStr">
        <is>
          <t>VÄSTERVIK</t>
        </is>
      </c>
      <c r="H945" t="inlineStr">
        <is>
          <t>Sveaskog</t>
        </is>
      </c>
      <c r="I945" t="n">
        <v>4.2</v>
      </c>
      <c r="J945" t="n">
        <v>1</v>
      </c>
      <c r="K945" t="n">
        <v>0</v>
      </c>
      <c r="L945" t="n">
        <v>0</v>
      </c>
      <c r="M945" t="n">
        <v>0</v>
      </c>
      <c r="N945" t="n">
        <v>0</v>
      </c>
      <c r="O945" t="n">
        <v>0</v>
      </c>
      <c r="P945" t="n">
        <v>0</v>
      </c>
      <c r="Q945" t="n">
        <v>0</v>
      </c>
      <c r="R945" t="n">
        <v>0</v>
      </c>
      <c r="S945" t="n">
        <v>1</v>
      </c>
      <c r="T945" t="n">
        <v>1</v>
      </c>
      <c r="U945" t="n">
        <v>0</v>
      </c>
      <c r="V945" s="2" t="inlineStr">
        <is>
          <t>Blåsippa</t>
        </is>
      </c>
      <c r="W945">
        <f>HYPERLINK("https://klasma.github.io/Logging_0883/artfynd/A 53875-2025 artfynd.xlsx", "A 53875-2025")</f>
        <v/>
      </c>
      <c r="X945">
        <f>HYPERLINK("https://klasma.github.io/Logging_0883/kartor/A 53875-2025 karta.png", "A 53875-2025")</f>
        <v/>
      </c>
      <c r="Y945">
        <f>HYPERLINK("https://klasma.github.io/Logging_0883/kartor_geotiff/A 53875-2025 georefererad karta.tif", "A 53875-2025")</f>
        <v/>
      </c>
      <c r="AA945">
        <f>HYPERLINK("https://klasma.github.io/Logging_0883/klagomål/A 53875-2025 FSC-klagomål.docx", "A 53875-2025")</f>
        <v/>
      </c>
      <c r="AB945">
        <f>HYPERLINK("https://klasma.github.io/Logging_0883/klagomålsmail/A 53875-2025 FSC-klagomål mail.docx", "A 53875-2025")</f>
        <v/>
      </c>
      <c r="AC945">
        <f>HYPERLINK("https://klasma.github.io/Logging_0883/tillsyn/A 53875-2025 tillsynsbegäran.docx", "A 53875-2025")</f>
        <v/>
      </c>
      <c r="AD945">
        <f>HYPERLINK("https://klasma.github.io/Logging_0883/tillsynsmail/A 53875-2025 tillsynsbegäran mail.docx", "A 53875-2025")</f>
        <v/>
      </c>
    </row>
    <row r="946" ht="15" customHeight="1">
      <c r="A946" t="inlineStr">
        <is>
          <t>A 48980-2024</t>
        </is>
      </c>
      <c r="B946" t="inlineStr">
        <is>
          <t>avverkningsanmälan</t>
        </is>
      </c>
      <c r="C946" t="inlineStr">
        <is>
          <t>Föryngringsavverkning</t>
        </is>
      </c>
      <c r="D946" s="1" t="n">
        <v>45594</v>
      </c>
      <c r="E946" s="1" t="n">
        <v>46323</v>
      </c>
      <c r="F946" t="inlineStr">
        <is>
          <t>KALMAR LÄN</t>
        </is>
      </c>
      <c r="G946" t="inlineStr">
        <is>
          <t>NYBRO</t>
        </is>
      </c>
      <c r="I946" t="n">
        <v>41.9</v>
      </c>
      <c r="J946" t="n">
        <v>0</v>
      </c>
      <c r="K946" t="n">
        <v>0</v>
      </c>
      <c r="L946" t="n">
        <v>0</v>
      </c>
      <c r="M946" t="n">
        <v>1</v>
      </c>
      <c r="N946" t="n">
        <v>0</v>
      </c>
      <c r="O946" t="n">
        <v>0</v>
      </c>
      <c r="P946" t="n">
        <v>0</v>
      </c>
      <c r="Q946" t="n">
        <v>1</v>
      </c>
      <c r="R946" t="n">
        <v>1</v>
      </c>
      <c r="S946" t="n">
        <v>1</v>
      </c>
      <c r="T946" t="n">
        <v>1</v>
      </c>
      <c r="U946" t="n">
        <v>1</v>
      </c>
      <c r="V946" s="2" t="inlineStr">
        <is>
          <t>Hjärtstilla</t>
        </is>
      </c>
      <c r="W946">
        <f>HYPERLINK("https://klasma.github.io/Logging_0881/artfynd/A 48980-2024 artfynd.xlsx", "A 48980-2024")</f>
        <v/>
      </c>
      <c r="X946">
        <f>HYPERLINK("https://klasma.github.io/Logging_0881/kartor/A 48980-2024 karta.png", "A 48980-2024")</f>
        <v/>
      </c>
      <c r="Y946">
        <f>HYPERLINK("https://klasma.github.io/Logging_0881/kartor_geotiff/A 48980-2024 georefererad karta.tif", "A 48980-2024")</f>
        <v/>
      </c>
      <c r="AA946">
        <f>HYPERLINK("https://klasma.github.io/Logging_0881/klagomål/A 48980-2024 FSC-klagomål.docx", "A 48980-2024")</f>
        <v/>
      </c>
      <c r="AB946">
        <f>HYPERLINK("https://klasma.github.io/Logging_0881/klagomålsmail/A 48980-2024 FSC-klagomål mail.docx", "A 48980-2024")</f>
        <v/>
      </c>
      <c r="AC946">
        <f>HYPERLINK("https://klasma.github.io/Logging_0881/tillsyn/A 48980-2024 tillsynsbegäran.docx", "A 48980-2024")</f>
        <v/>
      </c>
      <c r="AD946">
        <f>HYPERLINK("https://klasma.github.io/Logging_0881/tillsynsmail/A 48980-2024 tillsynsbegäran mail.docx", "A 48980-2024")</f>
        <v/>
      </c>
    </row>
    <row r="947" ht="15" customHeight="1">
      <c r="A947" t="inlineStr">
        <is>
          <t>A 54307-2025</t>
        </is>
      </c>
      <c r="B947" t="inlineStr">
        <is>
          <t>avverkningsanmälan</t>
        </is>
      </c>
      <c r="C947" t="inlineStr">
        <is>
          <t>Föryngringsavverkning</t>
        </is>
      </c>
      <c r="D947" s="1" t="n">
        <v>45965</v>
      </c>
      <c r="E947" s="1" t="n">
        <v>46323</v>
      </c>
      <c r="F947" t="inlineStr">
        <is>
          <t>KALMAR LÄN</t>
        </is>
      </c>
      <c r="G947" t="inlineStr">
        <is>
          <t>HULTSFRED</t>
        </is>
      </c>
      <c r="H947" t="inlineStr">
        <is>
          <t>Sveaskog</t>
        </is>
      </c>
      <c r="I947" t="n">
        <v>1.1</v>
      </c>
      <c r="J947" t="n">
        <v>1</v>
      </c>
      <c r="K947" t="n">
        <v>0</v>
      </c>
      <c r="L947" t="n">
        <v>1</v>
      </c>
      <c r="M947" t="n">
        <v>0</v>
      </c>
      <c r="N947" t="n">
        <v>0</v>
      </c>
      <c r="O947" t="n">
        <v>0</v>
      </c>
      <c r="P947" t="n">
        <v>0</v>
      </c>
      <c r="Q947" t="n">
        <v>1</v>
      </c>
      <c r="R947" t="n">
        <v>0</v>
      </c>
      <c r="S947" t="n">
        <v>1</v>
      </c>
      <c r="T947" t="n">
        <v>1</v>
      </c>
      <c r="U947" t="n">
        <v>0</v>
      </c>
      <c r="V947" s="2" t="inlineStr">
        <is>
          <t>Järnsparv</t>
        </is>
      </c>
      <c r="W947">
        <f>HYPERLINK("https://klasma.github.io/Logging_0860/artfynd/A 54307-2025 artfynd.xlsx", "A 54307-2025")</f>
        <v/>
      </c>
      <c r="X947">
        <f>HYPERLINK("https://klasma.github.io/Logging_0860/kartor/A 54307-2025 karta.png", "A 54307-2025")</f>
        <v/>
      </c>
      <c r="Y947">
        <f>HYPERLINK("https://klasma.github.io/Logging_0860/kartor_geotiff/A 54307-2025 georefererad karta.tif", "A 54307-2025")</f>
        <v/>
      </c>
      <c r="AA947">
        <f>HYPERLINK("https://klasma.github.io/Logging_0860/klagomål/A 54307-2025 FSC-klagomål.docx", "A 54307-2025")</f>
        <v/>
      </c>
      <c r="AB947">
        <f>HYPERLINK("https://klasma.github.io/Logging_0860/klagomålsmail/A 54307-2025 FSC-klagomål mail.docx", "A 54307-2025")</f>
        <v/>
      </c>
      <c r="AC947">
        <f>HYPERLINK("https://klasma.github.io/Logging_0860/tillsyn/A 54307-2025 tillsynsbegäran.docx", "A 54307-2025")</f>
        <v/>
      </c>
      <c r="AD947">
        <f>HYPERLINK("https://klasma.github.io/Logging_0860/tillsynsmail/A 54307-2025 tillsynsbegäran mail.docx", "A 54307-2025")</f>
        <v/>
      </c>
      <c r="AE947">
        <f>HYPERLINK("https://klasma.github.io/Logging_0860/fåglar/A 54307-2025 prioriterade fågelarter.docx", "A 54307-2025")</f>
        <v/>
      </c>
    </row>
    <row r="948" ht="15" customHeight="1">
      <c r="A948" t="inlineStr">
        <is>
          <t>A 21268-2022</t>
        </is>
      </c>
      <c r="B948" t="inlineStr">
        <is>
          <t>avverkningsanmälan</t>
        </is>
      </c>
      <c r="C948" t="inlineStr">
        <is>
          <t>Avverkning för annat ändamål</t>
        </is>
      </c>
      <c r="D948" s="1" t="n">
        <v>44705</v>
      </c>
      <c r="E948" s="1" t="n">
        <v>46323</v>
      </c>
      <c r="F948" t="inlineStr">
        <is>
          <t>KALMAR LÄN</t>
        </is>
      </c>
      <c r="G948" t="inlineStr">
        <is>
          <t>HULTSFRED</t>
        </is>
      </c>
      <c r="I948" t="n">
        <v>1.8</v>
      </c>
      <c r="J948" t="n">
        <v>0</v>
      </c>
      <c r="K948" t="n">
        <v>0</v>
      </c>
      <c r="L948" t="n">
        <v>1</v>
      </c>
      <c r="M948" t="n">
        <v>0</v>
      </c>
      <c r="N948" t="n">
        <v>0</v>
      </c>
      <c r="O948" t="n">
        <v>0</v>
      </c>
      <c r="P948" t="n">
        <v>0</v>
      </c>
      <c r="Q948" t="n">
        <v>1</v>
      </c>
      <c r="R948" t="n">
        <v>0</v>
      </c>
      <c r="S948" t="n">
        <v>1</v>
      </c>
      <c r="T948" t="n">
        <v>1</v>
      </c>
      <c r="U948" t="n">
        <v>1</v>
      </c>
      <c r="V948" s="2" t="inlineStr">
        <is>
          <t>Strimsporrebagge</t>
        </is>
      </c>
      <c r="W948">
        <f>HYPERLINK("https://klasma.github.io/Logging_0860/artfynd/A 21268-2022 artfynd.xlsx", "A 21268-2022")</f>
        <v/>
      </c>
      <c r="X948">
        <f>HYPERLINK("https://klasma.github.io/Logging_0860/kartor/A 21268-2022 karta.png", "A 21268-2022")</f>
        <v/>
      </c>
      <c r="Y948">
        <f>HYPERLINK("https://klasma.github.io/Logging_0860/kartor_geotiff/A 21268-2022 georefererad karta.tif", "A 21268-2022")</f>
        <v/>
      </c>
      <c r="AA948">
        <f>HYPERLINK("https://klasma.github.io/Logging_0860/klagomål/A 21268-2022 FSC-klagomål.docx", "A 21268-2022")</f>
        <v/>
      </c>
      <c r="AB948">
        <f>HYPERLINK("https://klasma.github.io/Logging_0860/klagomålsmail/A 21268-2022 FSC-klagomål mail.docx", "A 21268-2022")</f>
        <v/>
      </c>
      <c r="AC948">
        <f>HYPERLINK("https://klasma.github.io/Logging_0860/tillsyn/A 21268-2022 tillsynsbegäran.docx", "A 21268-2022")</f>
        <v/>
      </c>
      <c r="AD948">
        <f>HYPERLINK("https://klasma.github.io/Logging_0860/tillsynsmail/A 21268-2022 tillsynsbegäran mail.docx", "A 21268-2022")</f>
        <v/>
      </c>
    </row>
    <row r="949" ht="15" customHeight="1">
      <c r="A949" t="inlineStr">
        <is>
          <t>A 22952-2024</t>
        </is>
      </c>
      <c r="B949" t="inlineStr">
        <is>
          <t>avverkningsanmälan</t>
        </is>
      </c>
      <c r="C949" t="inlineStr">
        <is>
          <t>Föryngringsavverkning</t>
        </is>
      </c>
      <c r="D949" s="1" t="n">
        <v>45449</v>
      </c>
      <c r="E949" s="1" t="n">
        <v>46323</v>
      </c>
      <c r="F949" t="inlineStr">
        <is>
          <t>KALMAR LÄN</t>
        </is>
      </c>
      <c r="G949" t="inlineStr">
        <is>
          <t>NYBRO</t>
        </is>
      </c>
      <c r="I949" t="n">
        <v>14.1</v>
      </c>
      <c r="J949" t="n">
        <v>1</v>
      </c>
      <c r="K949" t="n">
        <v>0</v>
      </c>
      <c r="L949" t="n">
        <v>0</v>
      </c>
      <c r="M949" t="n">
        <v>0</v>
      </c>
      <c r="N949" t="n">
        <v>0</v>
      </c>
      <c r="O949" t="n">
        <v>0</v>
      </c>
      <c r="P949" t="n">
        <v>0</v>
      </c>
      <c r="Q949" t="n">
        <v>0</v>
      </c>
      <c r="R949" t="n">
        <v>0</v>
      </c>
      <c r="S949" t="n">
        <v>1</v>
      </c>
      <c r="T949" t="n">
        <v>1</v>
      </c>
      <c r="U949" t="n">
        <v>1</v>
      </c>
      <c r="V949" s="2" t="inlineStr">
        <is>
          <t>Revlummer</t>
        </is>
      </c>
      <c r="W949">
        <f>HYPERLINK("https://klasma.github.io/Logging_0881/artfynd/A 22952-2024 artfynd.xlsx", "A 22952-2024")</f>
        <v/>
      </c>
      <c r="X949">
        <f>HYPERLINK("https://klasma.github.io/Logging_0881/kartor/A 22952-2024 karta.png", "A 22952-2024")</f>
        <v/>
      </c>
      <c r="Y949">
        <f>HYPERLINK("https://klasma.github.io/Logging_0881/kartor_geotiff/A 22952-2024 georefererad karta.tif", "A 22952-2024")</f>
        <v/>
      </c>
      <c r="AA949">
        <f>HYPERLINK("https://klasma.github.io/Logging_0881/klagomål/A 22952-2024 FSC-klagomål.docx", "A 22952-2024")</f>
        <v/>
      </c>
      <c r="AB949">
        <f>HYPERLINK("https://klasma.github.io/Logging_0881/klagomålsmail/A 22952-2024 FSC-klagomål mail.docx", "A 22952-2024")</f>
        <v/>
      </c>
      <c r="AC949">
        <f>HYPERLINK("https://klasma.github.io/Logging_0881/tillsyn/A 22952-2024 tillsynsbegäran.docx", "A 22952-2024")</f>
        <v/>
      </c>
      <c r="AD949">
        <f>HYPERLINK("https://klasma.github.io/Logging_0881/tillsynsmail/A 22952-2024 tillsynsbegäran mail.docx", "A 22952-2024")</f>
        <v/>
      </c>
    </row>
    <row r="950" ht="15" customHeight="1">
      <c r="A950" t="inlineStr">
        <is>
          <t>A 39217-2023</t>
        </is>
      </c>
      <c r="B950" t="inlineStr">
        <is>
          <t>avverkningsanmälan</t>
        </is>
      </c>
      <c r="C950" t="inlineStr">
        <is>
          <t>Föryngringsavverkning</t>
        </is>
      </c>
      <c r="D950" s="1" t="n">
        <v>45166</v>
      </c>
      <c r="E950" s="1" t="n">
        <v>46323</v>
      </c>
      <c r="F950" t="inlineStr">
        <is>
          <t>KALMAR LÄN</t>
        </is>
      </c>
      <c r="G950" t="inlineStr">
        <is>
          <t>EMMABODA</t>
        </is>
      </c>
      <c r="I950" t="n">
        <v>1.2</v>
      </c>
      <c r="J950" t="n">
        <v>0</v>
      </c>
      <c r="K950" t="n">
        <v>1</v>
      </c>
      <c r="L950" t="n">
        <v>0</v>
      </c>
      <c r="M950" t="n">
        <v>0</v>
      </c>
      <c r="N950" t="n">
        <v>0</v>
      </c>
      <c r="O950" t="n">
        <v>0</v>
      </c>
      <c r="P950" t="n">
        <v>0</v>
      </c>
      <c r="Q950" t="n">
        <v>0</v>
      </c>
      <c r="R950" t="n">
        <v>0</v>
      </c>
      <c r="S950" t="n">
        <v>1</v>
      </c>
      <c r="T950" t="n">
        <v>1</v>
      </c>
      <c r="U950" t="n">
        <v>0</v>
      </c>
      <c r="V950" s="2" t="inlineStr">
        <is>
          <t>Blomkålssvamp</t>
        </is>
      </c>
      <c r="W950">
        <f>HYPERLINK("https://klasma.github.io/Logging_0862/artfynd/A 39217-2023 artfynd.xlsx", "A 39217-2023")</f>
        <v/>
      </c>
      <c r="X950">
        <f>HYPERLINK("https://klasma.github.io/Logging_0862/kartor/A 39217-2023 karta.png", "A 39217-2023")</f>
        <v/>
      </c>
      <c r="Y950">
        <f>HYPERLINK("https://klasma.github.io/Logging_0862/kartor_geotiff/A 39217-2023 georefererad karta.tif", "A 39217-2023")</f>
        <v/>
      </c>
      <c r="AA950">
        <f>HYPERLINK("https://klasma.github.io/Logging_0862/klagomål/A 39217-2023 FSC-klagomål.docx", "A 39217-2023")</f>
        <v/>
      </c>
      <c r="AB950">
        <f>HYPERLINK("https://klasma.github.io/Logging_0862/klagomålsmail/A 39217-2023 FSC-klagomål mail.docx", "A 39217-2023")</f>
        <v/>
      </c>
      <c r="AC950">
        <f>HYPERLINK("https://klasma.github.io/Logging_0862/tillsyn/A 39217-2023 tillsynsbegäran.docx", "A 39217-2023")</f>
        <v/>
      </c>
      <c r="AD950">
        <f>HYPERLINK("https://klasma.github.io/Logging_0862/tillsynsmail/A 39217-2023 tillsynsbegäran mail.docx", "A 39217-2023")</f>
        <v/>
      </c>
    </row>
    <row r="951" ht="15" customHeight="1">
      <c r="A951" t="inlineStr">
        <is>
          <t>A 54859-2025</t>
        </is>
      </c>
      <c r="B951" t="inlineStr">
        <is>
          <t>avverkningsanmälan</t>
        </is>
      </c>
      <c r="C951" t="inlineStr">
        <is>
          <t>Avverkning för att bevara och utveckla /försöksver</t>
        </is>
      </c>
      <c r="D951" s="1" t="n">
        <v>45966</v>
      </c>
      <c r="E951" s="1" t="n">
        <v>46323</v>
      </c>
      <c r="F951" t="inlineStr">
        <is>
          <t>KALMAR LÄN</t>
        </is>
      </c>
      <c r="G951" t="inlineStr">
        <is>
          <t>VÄSTERVIK</t>
        </is>
      </c>
      <c r="H951" t="inlineStr">
        <is>
          <t>Sveaskog</t>
        </is>
      </c>
      <c r="I951" t="n">
        <v>4.2</v>
      </c>
      <c r="J951" t="n">
        <v>1</v>
      </c>
      <c r="K951" t="n">
        <v>0</v>
      </c>
      <c r="L951" t="n">
        <v>0</v>
      </c>
      <c r="M951" t="n">
        <v>0</v>
      </c>
      <c r="N951" t="n">
        <v>0</v>
      </c>
      <c r="O951" t="n">
        <v>0</v>
      </c>
      <c r="P951" t="n">
        <v>0</v>
      </c>
      <c r="Q951" t="n">
        <v>0</v>
      </c>
      <c r="R951" t="n">
        <v>0</v>
      </c>
      <c r="S951" t="n">
        <v>1</v>
      </c>
      <c r="T951" t="n">
        <v>1</v>
      </c>
      <c r="U951" t="n">
        <v>0</v>
      </c>
      <c r="V951" s="2" t="inlineStr">
        <is>
          <t>Blåsippa</t>
        </is>
      </c>
      <c r="W951">
        <f>HYPERLINK("https://klasma.github.io/Logging_0883/artfynd/A 54859-2025 artfynd.xlsx", "A 54859-2025")</f>
        <v/>
      </c>
      <c r="X951">
        <f>HYPERLINK("https://klasma.github.io/Logging_0883/kartor/A 54859-2025 karta.png", "A 54859-2025")</f>
        <v/>
      </c>
      <c r="Y951">
        <f>HYPERLINK("https://klasma.github.io/Logging_0883/kartor_geotiff/A 54859-2025 georefererad karta.tif", "A 54859-2025")</f>
        <v/>
      </c>
      <c r="AA951">
        <f>HYPERLINK("https://klasma.github.io/Logging_0883/klagomål/A 54859-2025 FSC-klagomål.docx", "A 54859-2025")</f>
        <v/>
      </c>
      <c r="AB951">
        <f>HYPERLINK("https://klasma.github.io/Logging_0883/klagomålsmail/A 54859-2025 FSC-klagomål mail.docx", "A 54859-2025")</f>
        <v/>
      </c>
      <c r="AC951">
        <f>HYPERLINK("https://klasma.github.io/Logging_0883/tillsyn/A 54859-2025 tillsynsbegäran.docx", "A 54859-2025")</f>
        <v/>
      </c>
      <c r="AD951">
        <f>HYPERLINK("https://klasma.github.io/Logging_0883/tillsynsmail/A 54859-2025 tillsynsbegäran mail.docx", "A 54859-2025")</f>
        <v/>
      </c>
    </row>
    <row r="952" ht="15" customHeight="1">
      <c r="A952" t="inlineStr">
        <is>
          <t>A 24704-2023</t>
        </is>
      </c>
      <c r="B952" t="inlineStr">
        <is>
          <t>avverkningsanmälan</t>
        </is>
      </c>
      <c r="C952" t="inlineStr">
        <is>
          <t>Föryngringsavverkning</t>
        </is>
      </c>
      <c r="D952" s="1" t="n">
        <v>45084</v>
      </c>
      <c r="E952" s="1" t="n">
        <v>46323</v>
      </c>
      <c r="F952" t="inlineStr">
        <is>
          <t>KALMAR LÄN</t>
        </is>
      </c>
      <c r="G952" t="inlineStr">
        <is>
          <t>BORGHOLM</t>
        </is>
      </c>
      <c r="I952" t="n">
        <v>3.5</v>
      </c>
      <c r="J952" t="n">
        <v>0</v>
      </c>
      <c r="K952" t="n">
        <v>0</v>
      </c>
      <c r="L952" t="n">
        <v>0</v>
      </c>
      <c r="M952" t="n">
        <v>0</v>
      </c>
      <c r="N952" t="n">
        <v>1</v>
      </c>
      <c r="O952" t="n">
        <v>0</v>
      </c>
      <c r="P952" t="n">
        <v>0</v>
      </c>
      <c r="Q952" t="n">
        <v>1</v>
      </c>
      <c r="R952" t="n">
        <v>1</v>
      </c>
      <c r="S952" t="n">
        <v>1</v>
      </c>
      <c r="T952" t="n">
        <v>2</v>
      </c>
      <c r="U952" t="n">
        <v>0</v>
      </c>
      <c r="V952" s="2" t="inlineStr">
        <is>
          <t>Ask</t>
        </is>
      </c>
      <c r="W952">
        <f>HYPERLINK("https://klasma.github.io/Logging_0885/artfynd/A 24704-2023 artfynd.xlsx", "A 24704-2023")</f>
        <v/>
      </c>
      <c r="X952">
        <f>HYPERLINK("https://klasma.github.io/Logging_0885/kartor/A 24704-2023 karta.png", "A 24704-2023")</f>
        <v/>
      </c>
      <c r="Y952">
        <f>HYPERLINK("https://klasma.github.io/Logging_0885/kartor_geotiff/A 24704-2023 georefererad karta.tif", "A 24704-2023")</f>
        <v/>
      </c>
      <c r="AA952">
        <f>HYPERLINK("https://klasma.github.io/Logging_0885/klagomål/A 24704-2023 FSC-klagomål.docx", "A 24704-2023")</f>
        <v/>
      </c>
      <c r="AB952">
        <f>HYPERLINK("https://klasma.github.io/Logging_0885/klagomålsmail/A 24704-2023 FSC-klagomål mail.docx", "A 24704-2023")</f>
        <v/>
      </c>
      <c r="AC952">
        <f>HYPERLINK("https://klasma.github.io/Logging_0885/tillsyn/A 24704-2023 tillsynsbegäran.docx", "A 24704-2023")</f>
        <v/>
      </c>
      <c r="AD952">
        <f>HYPERLINK("https://klasma.github.io/Logging_0885/tillsynsmail/A 24704-2023 tillsynsbegäran mail.docx", "A 24704-2023")</f>
        <v/>
      </c>
    </row>
    <row r="953" ht="15" customHeight="1">
      <c r="A953" t="inlineStr">
        <is>
          <t>A 60036-2022</t>
        </is>
      </c>
      <c r="B953" t="inlineStr">
        <is>
          <t>avverkningsanmälan</t>
        </is>
      </c>
      <c r="C953" t="inlineStr">
        <is>
          <t>Föryngringsavverkning</t>
        </is>
      </c>
      <c r="D953" s="1" t="n">
        <v>44909</v>
      </c>
      <c r="E953" s="1" t="n">
        <v>46323</v>
      </c>
      <c r="F953" t="inlineStr">
        <is>
          <t>KALMAR LÄN</t>
        </is>
      </c>
      <c r="G953" t="inlineStr">
        <is>
          <t>NYBRO</t>
        </is>
      </c>
      <c r="I953" t="n">
        <v>8.699999999999999</v>
      </c>
      <c r="J953" t="n">
        <v>1</v>
      </c>
      <c r="K953" t="n">
        <v>0</v>
      </c>
      <c r="L953" t="n">
        <v>0</v>
      </c>
      <c r="M953" t="n">
        <v>1</v>
      </c>
      <c r="N953" t="n">
        <v>0</v>
      </c>
      <c r="O953" t="n">
        <v>0</v>
      </c>
      <c r="P953" t="n">
        <v>0</v>
      </c>
      <c r="Q953" t="n">
        <v>1</v>
      </c>
      <c r="R953" t="n">
        <v>1</v>
      </c>
      <c r="S953" t="n">
        <v>1</v>
      </c>
      <c r="T953" t="n">
        <v>13</v>
      </c>
      <c r="U953" t="n">
        <v>0</v>
      </c>
      <c r="V953" s="2" t="inlineStr">
        <is>
          <t>Knärot</t>
        </is>
      </c>
      <c r="W953">
        <f>HYPERLINK("https://klasma.github.io/Logging_0881/artfynd/A 60036-2022 artfynd.xlsx", "A 60036-2022")</f>
        <v/>
      </c>
      <c r="X953">
        <f>HYPERLINK("https://klasma.github.io/Logging_0881/kartor/A 60036-2022 karta.png", "A 60036-2022")</f>
        <v/>
      </c>
      <c r="Y953">
        <f>HYPERLINK("https://klasma.github.io/Logging_0881/kartor_geotiff/A 60036-2022 georefererad karta.tif", "A 60036-2022")</f>
        <v/>
      </c>
      <c r="Z953">
        <f>HYPERLINK("https://klasma.github.io/Logging_0881/knärot/A 60036-2022 karta knärot.png", "A 60036-2022")</f>
        <v/>
      </c>
      <c r="AA953">
        <f>HYPERLINK("https://klasma.github.io/Logging_0881/klagomål/A 60036-2022 FSC-klagomål.docx", "A 60036-2022")</f>
        <v/>
      </c>
      <c r="AB953">
        <f>HYPERLINK("https://klasma.github.io/Logging_0881/klagomålsmail/A 60036-2022 FSC-klagomål mail.docx", "A 60036-2022")</f>
        <v/>
      </c>
      <c r="AC953">
        <f>HYPERLINK("https://klasma.github.io/Logging_0881/tillsyn/A 60036-2022 tillsynsbegäran.docx", "A 60036-2022")</f>
        <v/>
      </c>
      <c r="AD953">
        <f>HYPERLINK("https://klasma.github.io/Logging_0881/tillsynsmail/A 60036-2022 tillsynsbegäran mail.docx", "A 60036-2022")</f>
        <v/>
      </c>
    </row>
    <row r="954" ht="15" customHeight="1">
      <c r="A954" t="inlineStr">
        <is>
          <t>A 46276-2024</t>
        </is>
      </c>
      <c r="B954" t="inlineStr">
        <is>
          <t>avverkningsanmälan</t>
        </is>
      </c>
      <c r="C954" t="inlineStr">
        <is>
          <t>Föryngringsavverkning</t>
        </is>
      </c>
      <c r="D954" s="1" t="n">
        <v>45581</v>
      </c>
      <c r="E954" s="1" t="n">
        <v>46323</v>
      </c>
      <c r="F954" t="inlineStr">
        <is>
          <t>KALMAR LÄN</t>
        </is>
      </c>
      <c r="G954" t="inlineStr">
        <is>
          <t>OSKARSHAMN</t>
        </is>
      </c>
      <c r="I954" t="n">
        <v>0.9</v>
      </c>
      <c r="J954" t="n">
        <v>1</v>
      </c>
      <c r="K954" t="n">
        <v>0</v>
      </c>
      <c r="L954" t="n">
        <v>0</v>
      </c>
      <c r="M954" t="n">
        <v>0</v>
      </c>
      <c r="N954" t="n">
        <v>0</v>
      </c>
      <c r="O954" t="n">
        <v>0</v>
      </c>
      <c r="P954" t="n">
        <v>0</v>
      </c>
      <c r="Q954" t="n">
        <v>0</v>
      </c>
      <c r="R954" t="n">
        <v>0</v>
      </c>
      <c r="S954" t="n">
        <v>1</v>
      </c>
      <c r="T954" t="n">
        <v>2</v>
      </c>
      <c r="U954" t="n">
        <v>0</v>
      </c>
      <c r="V954" s="2" t="inlineStr">
        <is>
          <t>Blåsippa</t>
        </is>
      </c>
      <c r="W954">
        <f>HYPERLINK("https://klasma.github.io/Logging_0882/artfynd/A 46276-2024 artfynd.xlsx", "A 46276-2024")</f>
        <v/>
      </c>
      <c r="X954">
        <f>HYPERLINK("https://klasma.github.io/Logging_0882/kartor/A 46276-2024 karta.png", "A 46276-2024")</f>
        <v/>
      </c>
      <c r="Y954">
        <f>HYPERLINK("https://klasma.github.io/Logging_0882/kartor_geotiff/A 46276-2024 georefererad karta.tif", "A 46276-2024")</f>
        <v/>
      </c>
      <c r="AA954">
        <f>HYPERLINK("https://klasma.github.io/Logging_0882/klagomål/A 46276-2024 FSC-klagomål.docx", "A 46276-2024")</f>
        <v/>
      </c>
      <c r="AB954">
        <f>HYPERLINK("https://klasma.github.io/Logging_0882/klagomålsmail/A 46276-2024 FSC-klagomål mail.docx", "A 46276-2024")</f>
        <v/>
      </c>
      <c r="AC954">
        <f>HYPERLINK("https://klasma.github.io/Logging_0882/tillsyn/A 46276-2024 tillsynsbegäran.docx", "A 46276-2024")</f>
        <v/>
      </c>
      <c r="AD954">
        <f>HYPERLINK("https://klasma.github.io/Logging_0882/tillsynsmail/A 46276-2024 tillsynsbegäran mail.docx", "A 46276-2024")</f>
        <v/>
      </c>
    </row>
    <row r="955" ht="15" customHeight="1">
      <c r="A955" t="inlineStr">
        <is>
          <t>A 9688-2023</t>
        </is>
      </c>
      <c r="B955" t="inlineStr">
        <is>
          <t>avverkningsanmälan</t>
        </is>
      </c>
      <c r="C955" t="inlineStr">
        <is>
          <t>Föryngringsavverkning</t>
        </is>
      </c>
      <c r="D955" s="1" t="n">
        <v>44984</v>
      </c>
      <c r="E955" s="1" t="n">
        <v>46323</v>
      </c>
      <c r="F955" t="inlineStr">
        <is>
          <t>KALMAR LÄN</t>
        </is>
      </c>
      <c r="G955" t="inlineStr">
        <is>
          <t>TORSÅS</t>
        </is>
      </c>
      <c r="I955" t="n">
        <v>3.3</v>
      </c>
      <c r="J955" t="n">
        <v>1</v>
      </c>
      <c r="K955" t="n">
        <v>0</v>
      </c>
      <c r="L955" t="n">
        <v>0</v>
      </c>
      <c r="M955" t="n">
        <v>0</v>
      </c>
      <c r="N955" t="n">
        <v>0</v>
      </c>
      <c r="O955" t="n">
        <v>0</v>
      </c>
      <c r="P955" t="n">
        <v>0</v>
      </c>
      <c r="Q955" t="n">
        <v>0</v>
      </c>
      <c r="R955" t="n">
        <v>0</v>
      </c>
      <c r="S955" t="n">
        <v>1</v>
      </c>
      <c r="T955" t="n">
        <v>1</v>
      </c>
      <c r="U955" t="n">
        <v>1</v>
      </c>
      <c r="V955" s="2" t="inlineStr">
        <is>
          <t>Gullviva</t>
        </is>
      </c>
      <c r="W955">
        <f>HYPERLINK("https://klasma.github.io/Logging_0834/artfynd/A 9688-2023 artfynd.xlsx", "A 9688-2023")</f>
        <v/>
      </c>
      <c r="X955">
        <f>HYPERLINK("https://klasma.github.io/Logging_0834/kartor/A 9688-2023 karta.png", "A 9688-2023")</f>
        <v/>
      </c>
      <c r="Y955">
        <f>HYPERLINK("https://klasma.github.io/Logging_0834/kartor_geotiff/A 9688-2023 georefererad karta.tif", "A 9688-2023")</f>
        <v/>
      </c>
      <c r="AA955">
        <f>HYPERLINK("https://klasma.github.io/Logging_0834/klagomål/A 9688-2023 FSC-klagomål.docx", "A 9688-2023")</f>
        <v/>
      </c>
      <c r="AB955">
        <f>HYPERLINK("https://klasma.github.io/Logging_0834/klagomålsmail/A 9688-2023 FSC-klagomål mail.docx", "A 9688-2023")</f>
        <v/>
      </c>
      <c r="AC955">
        <f>HYPERLINK("https://klasma.github.io/Logging_0834/tillsyn/A 9688-2023 tillsynsbegäran.docx", "A 9688-2023")</f>
        <v/>
      </c>
      <c r="AD955">
        <f>HYPERLINK("https://klasma.github.io/Logging_0834/tillsynsmail/A 9688-2023 tillsynsbegäran mail.docx", "A 9688-2023")</f>
        <v/>
      </c>
    </row>
    <row r="956" ht="15" customHeight="1">
      <c r="A956" t="inlineStr">
        <is>
          <t>A 49265-2024</t>
        </is>
      </c>
      <c r="B956" t="inlineStr">
        <is>
          <t>avverkningsanmälan</t>
        </is>
      </c>
      <c r="C956" t="inlineStr">
        <is>
          <t>Föryngringsavverkning</t>
        </is>
      </c>
      <c r="D956" s="1" t="n">
        <v>45595</v>
      </c>
      <c r="E956" s="1" t="n">
        <v>46323</v>
      </c>
      <c r="F956" t="inlineStr">
        <is>
          <t>KALMAR LÄN</t>
        </is>
      </c>
      <c r="G956" t="inlineStr">
        <is>
          <t>HULTSFRED</t>
        </is>
      </c>
      <c r="I956" t="n">
        <v>4.9</v>
      </c>
      <c r="J956" t="n">
        <v>0</v>
      </c>
      <c r="K956" t="n">
        <v>0</v>
      </c>
      <c r="L956" t="n">
        <v>1</v>
      </c>
      <c r="M956" t="n">
        <v>0</v>
      </c>
      <c r="N956" t="n">
        <v>0</v>
      </c>
      <c r="O956" t="n">
        <v>0</v>
      </c>
      <c r="P956" t="n">
        <v>0</v>
      </c>
      <c r="Q956" t="n">
        <v>1</v>
      </c>
      <c r="R956" t="n">
        <v>0</v>
      </c>
      <c r="S956" t="n">
        <v>1</v>
      </c>
      <c r="T956" t="n">
        <v>1</v>
      </c>
      <c r="U956" t="n">
        <v>0</v>
      </c>
      <c r="V956" s="2" t="inlineStr">
        <is>
          <t>Tennfibbla</t>
        </is>
      </c>
      <c r="W956">
        <f>HYPERLINK("https://klasma.github.io/Logging_0860/artfynd/A 49265-2024 artfynd.xlsx", "A 49265-2024")</f>
        <v/>
      </c>
      <c r="X956">
        <f>HYPERLINK("https://klasma.github.io/Logging_0860/kartor/A 49265-2024 karta.png", "A 49265-2024")</f>
        <v/>
      </c>
      <c r="Y956">
        <f>HYPERLINK("https://klasma.github.io/Logging_0860/kartor_geotiff/A 49265-2024 georefererad karta.tif", "A 49265-2024")</f>
        <v/>
      </c>
      <c r="AA956">
        <f>HYPERLINK("https://klasma.github.io/Logging_0860/klagomål/A 49265-2024 FSC-klagomål.docx", "A 49265-2024")</f>
        <v/>
      </c>
      <c r="AB956">
        <f>HYPERLINK("https://klasma.github.io/Logging_0860/klagomålsmail/A 49265-2024 FSC-klagomål mail.docx", "A 49265-2024")</f>
        <v/>
      </c>
      <c r="AC956">
        <f>HYPERLINK("https://klasma.github.io/Logging_0860/tillsyn/A 49265-2024 tillsynsbegäran.docx", "A 49265-2024")</f>
        <v/>
      </c>
      <c r="AD956">
        <f>HYPERLINK("https://klasma.github.io/Logging_0860/tillsynsmail/A 49265-2024 tillsynsbegäran mail.docx", "A 49265-2024")</f>
        <v/>
      </c>
    </row>
    <row r="957" ht="15" customHeight="1">
      <c r="A957" t="inlineStr">
        <is>
          <t>A 4257-2024</t>
        </is>
      </c>
      <c r="B957" t="inlineStr">
        <is>
          <t>avverkningsanmälan</t>
        </is>
      </c>
      <c r="C957" t="inlineStr">
        <is>
          <t>Föryngringsavverkning</t>
        </is>
      </c>
      <c r="D957" s="1" t="n">
        <v>45324</v>
      </c>
      <c r="E957" s="1" t="n">
        <v>46323</v>
      </c>
      <c r="F957" t="inlineStr">
        <is>
          <t>KALMAR LÄN</t>
        </is>
      </c>
      <c r="G957" t="inlineStr">
        <is>
          <t>HULTSFRED</t>
        </is>
      </c>
      <c r="I957" t="n">
        <v>0.3</v>
      </c>
      <c r="J957" t="n">
        <v>1</v>
      </c>
      <c r="K957" t="n">
        <v>0</v>
      </c>
      <c r="L957" t="n">
        <v>0</v>
      </c>
      <c r="M957" t="n">
        <v>1</v>
      </c>
      <c r="N957" t="n">
        <v>0</v>
      </c>
      <c r="O957" t="n">
        <v>0</v>
      </c>
      <c r="P957" t="n">
        <v>0</v>
      </c>
      <c r="Q957" t="n">
        <v>1</v>
      </c>
      <c r="R957" t="n">
        <v>1</v>
      </c>
      <c r="S957" t="n">
        <v>1</v>
      </c>
      <c r="T957" t="n">
        <v>1</v>
      </c>
      <c r="U957" t="n">
        <v>1</v>
      </c>
      <c r="V957" s="2" t="inlineStr">
        <is>
          <t>Knärot</t>
        </is>
      </c>
      <c r="W957">
        <f>HYPERLINK("https://klasma.github.io/Logging_0860/artfynd/A 4257-2024 artfynd.xlsx", "A 4257-2024")</f>
        <v/>
      </c>
      <c r="X957">
        <f>HYPERLINK("https://klasma.github.io/Logging_0860/kartor/A 4257-2024 karta.png", "A 4257-2024")</f>
        <v/>
      </c>
      <c r="Y957">
        <f>HYPERLINK("https://klasma.github.io/Logging_0860/kartor_geotiff/A 4257-2024 georefererad karta.tif", "A 4257-2024")</f>
        <v/>
      </c>
      <c r="Z957">
        <f>HYPERLINK("https://klasma.github.io/Logging_0860/knärot/A 4257-2024 karta knärot.png", "A 4257-2024")</f>
        <v/>
      </c>
      <c r="AA957">
        <f>HYPERLINK("https://klasma.github.io/Logging_0860/klagomål/A 4257-2024 FSC-klagomål.docx", "A 4257-2024")</f>
        <v/>
      </c>
      <c r="AB957">
        <f>HYPERLINK("https://klasma.github.io/Logging_0860/klagomålsmail/A 4257-2024 FSC-klagomål mail.docx", "A 4257-2024")</f>
        <v/>
      </c>
      <c r="AC957">
        <f>HYPERLINK("https://klasma.github.io/Logging_0860/tillsyn/A 4257-2024 tillsynsbegäran.docx", "A 4257-2024")</f>
        <v/>
      </c>
      <c r="AD957">
        <f>HYPERLINK("https://klasma.github.io/Logging_0860/tillsynsmail/A 4257-2024 tillsynsbegäran mail.docx", "A 4257-2024")</f>
        <v/>
      </c>
    </row>
    <row r="958" ht="15" customHeight="1">
      <c r="A958" t="inlineStr">
        <is>
          <t>A 15122-2024</t>
        </is>
      </c>
      <c r="B958" t="inlineStr">
        <is>
          <t>avverkningsanmälan</t>
        </is>
      </c>
      <c r="C958" t="inlineStr">
        <is>
          <t>Föryngringsavverkning</t>
        </is>
      </c>
      <c r="D958" s="1" t="n">
        <v>45399</v>
      </c>
      <c r="E958" s="1" t="n">
        <v>46323</v>
      </c>
      <c r="F958" t="inlineStr">
        <is>
          <t>KALMAR LÄN</t>
        </is>
      </c>
      <c r="G958" t="inlineStr">
        <is>
          <t>VIMMERBY</t>
        </is>
      </c>
      <c r="I958" t="n">
        <v>1.7</v>
      </c>
      <c r="J958" t="n">
        <v>0</v>
      </c>
      <c r="K958" t="n">
        <v>0</v>
      </c>
      <c r="L958" t="n">
        <v>0</v>
      </c>
      <c r="M958" t="n">
        <v>1</v>
      </c>
      <c r="N958" t="n">
        <v>0</v>
      </c>
      <c r="O958" t="n">
        <v>0</v>
      </c>
      <c r="P958" t="n">
        <v>0</v>
      </c>
      <c r="Q958" t="n">
        <v>1</v>
      </c>
      <c r="R958" t="n">
        <v>1</v>
      </c>
      <c r="S958" t="n">
        <v>1</v>
      </c>
      <c r="T958" t="n">
        <v>1</v>
      </c>
      <c r="U958" t="n">
        <v>0</v>
      </c>
      <c r="V958" s="2" t="inlineStr">
        <is>
          <t>Sågfibbla</t>
        </is>
      </c>
      <c r="W958">
        <f>HYPERLINK("https://klasma.github.io/Logging_0884/artfynd/A 15122-2024 artfynd.xlsx", "A 15122-2024")</f>
        <v/>
      </c>
      <c r="X958">
        <f>HYPERLINK("https://klasma.github.io/Logging_0884/kartor/A 15122-2024 karta.png", "A 15122-2024")</f>
        <v/>
      </c>
      <c r="Y958">
        <f>HYPERLINK("https://klasma.github.io/Logging_0884/kartor_geotiff/A 15122-2024 georefererad karta.tif", "A 15122-2024")</f>
        <v/>
      </c>
      <c r="AA958">
        <f>HYPERLINK("https://klasma.github.io/Logging_0884/klagomål/A 15122-2024 FSC-klagomål.docx", "A 15122-2024")</f>
        <v/>
      </c>
      <c r="AB958">
        <f>HYPERLINK("https://klasma.github.io/Logging_0884/klagomålsmail/A 15122-2024 FSC-klagomål mail.docx", "A 15122-2024")</f>
        <v/>
      </c>
      <c r="AC958">
        <f>HYPERLINK("https://klasma.github.io/Logging_0884/tillsyn/A 15122-2024 tillsynsbegäran.docx", "A 15122-2024")</f>
        <v/>
      </c>
      <c r="AD958">
        <f>HYPERLINK("https://klasma.github.io/Logging_0884/tillsynsmail/A 15122-2024 tillsynsbegäran mail.docx", "A 15122-2024")</f>
        <v/>
      </c>
    </row>
    <row r="959" ht="15" customHeight="1">
      <c r="A959" t="inlineStr">
        <is>
          <t>A 55614-2025</t>
        </is>
      </c>
      <c r="B959" t="inlineStr">
        <is>
          <t>avverkningsanmälan</t>
        </is>
      </c>
      <c r="C959" t="inlineStr">
        <is>
          <t>Föryngringsavverkning</t>
        </is>
      </c>
      <c r="D959" s="1" t="n">
        <v>45971</v>
      </c>
      <c r="E959" s="1" t="n">
        <v>46323</v>
      </c>
      <c r="F959" t="inlineStr">
        <is>
          <t>KALMAR LÄN</t>
        </is>
      </c>
      <c r="G959" t="inlineStr">
        <is>
          <t>HULTSFRED</t>
        </is>
      </c>
      <c r="I959" t="n">
        <v>1.4</v>
      </c>
      <c r="J959" t="n">
        <v>0</v>
      </c>
      <c r="K959" t="n">
        <v>0</v>
      </c>
      <c r="L959" t="n">
        <v>1</v>
      </c>
      <c r="M959" t="n">
        <v>0</v>
      </c>
      <c r="N959" t="n">
        <v>0</v>
      </c>
      <c r="O959" t="n">
        <v>0</v>
      </c>
      <c r="P959" t="n">
        <v>0</v>
      </c>
      <c r="Q959" t="n">
        <v>1</v>
      </c>
      <c r="R959" t="n">
        <v>0</v>
      </c>
      <c r="S959" t="n">
        <v>1</v>
      </c>
      <c r="T959" t="n">
        <v>1</v>
      </c>
      <c r="U959" t="n">
        <v>0</v>
      </c>
      <c r="V959" s="2" t="inlineStr">
        <is>
          <t>Grönhjon</t>
        </is>
      </c>
      <c r="W959">
        <f>HYPERLINK("https://klasma.github.io/Logging_0860/artfynd/A 55614-2025 artfynd.xlsx", "A 55614-2025")</f>
        <v/>
      </c>
      <c r="X959">
        <f>HYPERLINK("https://klasma.github.io/Logging_0860/kartor/A 55614-2025 karta.png", "A 55614-2025")</f>
        <v/>
      </c>
      <c r="Y959">
        <f>HYPERLINK("https://klasma.github.io/Logging_0860/kartor_geotiff/A 55614-2025 georefererad karta.tif", "A 55614-2025")</f>
        <v/>
      </c>
      <c r="AA959">
        <f>HYPERLINK("https://klasma.github.io/Logging_0860/klagomål/A 55614-2025 FSC-klagomål.docx", "A 55614-2025")</f>
        <v/>
      </c>
      <c r="AB959">
        <f>HYPERLINK("https://klasma.github.io/Logging_0860/klagomålsmail/A 55614-2025 FSC-klagomål mail.docx", "A 55614-2025")</f>
        <v/>
      </c>
      <c r="AC959">
        <f>HYPERLINK("https://klasma.github.io/Logging_0860/tillsyn/A 55614-2025 tillsynsbegäran.docx", "A 55614-2025")</f>
        <v/>
      </c>
      <c r="AD959">
        <f>HYPERLINK("https://klasma.github.io/Logging_0860/tillsynsmail/A 55614-2025 tillsynsbegäran mail.docx", "A 55614-2025")</f>
        <v/>
      </c>
    </row>
    <row r="960" ht="15" customHeight="1">
      <c r="A960" t="inlineStr">
        <is>
          <t>A 20201-2024</t>
        </is>
      </c>
      <c r="B960" t="inlineStr">
        <is>
          <t>avverkningsanmälan</t>
        </is>
      </c>
      <c r="C960" t="inlineStr">
        <is>
          <t>Föryngringsavverkning</t>
        </is>
      </c>
      <c r="D960" s="1" t="n">
        <v>45434</v>
      </c>
      <c r="E960" s="1" t="n">
        <v>46323</v>
      </c>
      <c r="F960" t="inlineStr">
        <is>
          <t>KALMAR LÄN</t>
        </is>
      </c>
      <c r="G960" t="inlineStr">
        <is>
          <t>MÖNSTERÅS</t>
        </is>
      </c>
      <c r="H960" t="inlineStr">
        <is>
          <t>Kommuner</t>
        </is>
      </c>
      <c r="I960" t="n">
        <v>2.2</v>
      </c>
      <c r="J960" t="n">
        <v>1</v>
      </c>
      <c r="K960" t="n">
        <v>0</v>
      </c>
      <c r="L960" t="n">
        <v>0</v>
      </c>
      <c r="M960" t="n">
        <v>1</v>
      </c>
      <c r="N960" t="n">
        <v>0</v>
      </c>
      <c r="O960" t="n">
        <v>0</v>
      </c>
      <c r="P960" t="n">
        <v>0</v>
      </c>
      <c r="Q960" t="n">
        <v>1</v>
      </c>
      <c r="R960" t="n">
        <v>1</v>
      </c>
      <c r="S960" t="n">
        <v>1</v>
      </c>
      <c r="T960" t="n">
        <v>1</v>
      </c>
      <c r="U960" t="n">
        <v>0</v>
      </c>
      <c r="V960" s="2" t="inlineStr">
        <is>
          <t>Knärot</t>
        </is>
      </c>
      <c r="W960">
        <f>HYPERLINK("https://klasma.github.io/Logging_0861/artfynd/A 20201-2024 artfynd.xlsx", "A 20201-2024")</f>
        <v/>
      </c>
      <c r="X960">
        <f>HYPERLINK("https://klasma.github.io/Logging_0861/kartor/A 20201-2024 karta.png", "A 20201-2024")</f>
        <v/>
      </c>
      <c r="Y960">
        <f>HYPERLINK("https://klasma.github.io/Logging_0861/kartor_geotiff/A 20201-2024 georefererad karta.tif", "A 20201-2024")</f>
        <v/>
      </c>
      <c r="Z960">
        <f>HYPERLINK("https://klasma.github.io/Logging_0861/knärot/A 20201-2024 karta knärot.png", "A 20201-2024")</f>
        <v/>
      </c>
      <c r="AA960">
        <f>HYPERLINK("https://klasma.github.io/Logging_0861/klagomål/A 20201-2024 FSC-klagomål.docx", "A 20201-2024")</f>
        <v/>
      </c>
      <c r="AB960">
        <f>HYPERLINK("https://klasma.github.io/Logging_0861/klagomålsmail/A 20201-2024 FSC-klagomål mail.docx", "A 20201-2024")</f>
        <v/>
      </c>
      <c r="AC960">
        <f>HYPERLINK("https://klasma.github.io/Logging_0861/tillsyn/A 20201-2024 tillsynsbegäran.docx", "A 20201-2024")</f>
        <v/>
      </c>
      <c r="AD960">
        <f>HYPERLINK("https://klasma.github.io/Logging_0861/tillsynsmail/A 20201-2024 tillsynsbegäran mail.docx", "A 20201-2024")</f>
        <v/>
      </c>
    </row>
    <row r="961" ht="15" customHeight="1">
      <c r="A961" t="inlineStr">
        <is>
          <t>A 46223-2024</t>
        </is>
      </c>
      <c r="B961" t="inlineStr">
        <is>
          <t>avverkningsanmälan</t>
        </is>
      </c>
      <c r="C961" t="inlineStr">
        <is>
          <t>Föryngringsavverkning</t>
        </is>
      </c>
      <c r="D961" s="1" t="n">
        <v>45581</v>
      </c>
      <c r="E961" s="1" t="n">
        <v>46323</v>
      </c>
      <c r="F961" t="inlineStr">
        <is>
          <t>KALMAR LÄN</t>
        </is>
      </c>
      <c r="G961" t="inlineStr">
        <is>
          <t>NYBRO</t>
        </is>
      </c>
      <c r="I961" t="n">
        <v>2.8</v>
      </c>
      <c r="J961" t="n">
        <v>0</v>
      </c>
      <c r="K961" t="n">
        <v>0</v>
      </c>
      <c r="L961" t="n">
        <v>1</v>
      </c>
      <c r="M961" t="n">
        <v>0</v>
      </c>
      <c r="N961" t="n">
        <v>0</v>
      </c>
      <c r="O961" t="n">
        <v>0</v>
      </c>
      <c r="P961" t="n">
        <v>0</v>
      </c>
      <c r="Q961" t="n">
        <v>1</v>
      </c>
      <c r="R961" t="n">
        <v>0</v>
      </c>
      <c r="S961" t="n">
        <v>1</v>
      </c>
      <c r="T961" t="n">
        <v>1</v>
      </c>
      <c r="U961" t="n">
        <v>1</v>
      </c>
      <c r="V961" s="2" t="inlineStr">
        <is>
          <t>Sumpviol</t>
        </is>
      </c>
      <c r="W961">
        <f>HYPERLINK("https://klasma.github.io/Logging_0881/artfynd/A 46223-2024 artfynd.xlsx", "A 46223-2024")</f>
        <v/>
      </c>
      <c r="X961">
        <f>HYPERLINK("https://klasma.github.io/Logging_0881/kartor/A 46223-2024 karta.png", "A 46223-2024")</f>
        <v/>
      </c>
      <c r="Y961">
        <f>HYPERLINK("https://klasma.github.io/Logging_0881/kartor_geotiff/A 46223-2024 georefererad karta.tif", "A 46223-2024")</f>
        <v/>
      </c>
      <c r="AA961">
        <f>HYPERLINK("https://klasma.github.io/Logging_0881/klagomål/A 46223-2024 FSC-klagomål.docx", "A 46223-2024")</f>
        <v/>
      </c>
      <c r="AB961">
        <f>HYPERLINK("https://klasma.github.io/Logging_0881/klagomålsmail/A 46223-2024 FSC-klagomål mail.docx", "A 46223-2024")</f>
        <v/>
      </c>
      <c r="AC961">
        <f>HYPERLINK("https://klasma.github.io/Logging_0881/tillsyn/A 46223-2024 tillsynsbegäran.docx", "A 46223-2024")</f>
        <v/>
      </c>
      <c r="AD961">
        <f>HYPERLINK("https://klasma.github.io/Logging_0881/tillsynsmail/A 46223-2024 tillsynsbegäran mail.docx", "A 46223-2024")</f>
        <v/>
      </c>
    </row>
    <row r="962" ht="15" customHeight="1">
      <c r="A962" t="inlineStr">
        <is>
          <t>A 38798-2024</t>
        </is>
      </c>
      <c r="B962" t="inlineStr">
        <is>
          <t>avverkningsanmälan</t>
        </is>
      </c>
      <c r="C962" t="inlineStr">
        <is>
          <t>Föryngringsavverkning</t>
        </is>
      </c>
      <c r="D962" s="1" t="n">
        <v>45547</v>
      </c>
      <c r="E962" s="1" t="n">
        <v>46323</v>
      </c>
      <c r="F962" t="inlineStr">
        <is>
          <t>KALMAR LÄN</t>
        </is>
      </c>
      <c r="G962" t="inlineStr">
        <is>
          <t>NYBRO</t>
        </is>
      </c>
      <c r="I962" t="n">
        <v>1.9</v>
      </c>
      <c r="J962" t="n">
        <v>1</v>
      </c>
      <c r="K962" t="n">
        <v>0</v>
      </c>
      <c r="L962" t="n">
        <v>0</v>
      </c>
      <c r="M962" t="n">
        <v>0</v>
      </c>
      <c r="N962" t="n">
        <v>0</v>
      </c>
      <c r="O962" t="n">
        <v>0</v>
      </c>
      <c r="P962" t="n">
        <v>0</v>
      </c>
      <c r="Q962" t="n">
        <v>0</v>
      </c>
      <c r="R962" t="n">
        <v>0</v>
      </c>
      <c r="S962" t="n">
        <v>1</v>
      </c>
      <c r="T962" t="n">
        <v>1</v>
      </c>
      <c r="U962" t="n">
        <v>0</v>
      </c>
      <c r="V962" s="2" t="inlineStr">
        <is>
          <t>Nattskärra</t>
        </is>
      </c>
      <c r="W962">
        <f>HYPERLINK("https://klasma.github.io/Logging_0881/artfynd/A 38798-2024 artfynd.xlsx", "A 38798-2024")</f>
        <v/>
      </c>
      <c r="X962">
        <f>HYPERLINK("https://klasma.github.io/Logging_0881/kartor/A 38798-2024 karta.png", "A 38798-2024")</f>
        <v/>
      </c>
      <c r="Y962">
        <f>HYPERLINK("https://klasma.github.io/Logging_0881/kartor_geotiff/A 38798-2024 georefererad karta.tif", "A 38798-2024")</f>
        <v/>
      </c>
      <c r="AA962">
        <f>HYPERLINK("https://klasma.github.io/Logging_0881/klagomål/A 38798-2024 FSC-klagomål.docx", "A 38798-2024")</f>
        <v/>
      </c>
      <c r="AB962">
        <f>HYPERLINK("https://klasma.github.io/Logging_0881/klagomålsmail/A 38798-2024 FSC-klagomål mail.docx", "A 38798-2024")</f>
        <v/>
      </c>
      <c r="AC962">
        <f>HYPERLINK("https://klasma.github.io/Logging_0881/tillsyn/A 38798-2024 tillsynsbegäran.docx", "A 38798-2024")</f>
        <v/>
      </c>
      <c r="AD962">
        <f>HYPERLINK("https://klasma.github.io/Logging_0881/tillsynsmail/A 38798-2024 tillsynsbegäran mail.docx", "A 38798-2024")</f>
        <v/>
      </c>
      <c r="AE962">
        <f>HYPERLINK("https://klasma.github.io/Logging_0881/fåglar/A 38798-2024 prioriterade fågelarter.docx", "A 38798-2024")</f>
        <v/>
      </c>
    </row>
    <row r="963" ht="15" customHeight="1">
      <c r="A963" t="inlineStr">
        <is>
          <t>A 33815-2023</t>
        </is>
      </c>
      <c r="B963" t="inlineStr">
        <is>
          <t>avverkningsanmälan</t>
        </is>
      </c>
      <c r="C963" t="inlineStr">
        <is>
          <t>Föryngringsavverkning</t>
        </is>
      </c>
      <c r="D963" s="1" t="n">
        <v>45133</v>
      </c>
      <c r="E963" s="1" t="n">
        <v>46323</v>
      </c>
      <c r="F963" t="inlineStr">
        <is>
          <t>KALMAR LÄN</t>
        </is>
      </c>
      <c r="G963" t="inlineStr">
        <is>
          <t>VÄSTERVIK</t>
        </is>
      </c>
      <c r="I963" t="n">
        <v>3.4</v>
      </c>
      <c r="J963" t="n">
        <v>0</v>
      </c>
      <c r="K963" t="n">
        <v>1</v>
      </c>
      <c r="L963" t="n">
        <v>0</v>
      </c>
      <c r="M963" t="n">
        <v>0</v>
      </c>
      <c r="N963" t="n">
        <v>0</v>
      </c>
      <c r="O963" t="n">
        <v>0</v>
      </c>
      <c r="P963" t="n">
        <v>0</v>
      </c>
      <c r="Q963" t="n">
        <v>0</v>
      </c>
      <c r="R963" t="n">
        <v>0</v>
      </c>
      <c r="S963" t="n">
        <v>1</v>
      </c>
      <c r="T963" t="n">
        <v>1</v>
      </c>
      <c r="U963" t="n">
        <v>1</v>
      </c>
      <c r="V963" s="2" t="inlineStr">
        <is>
          <t>Grönpyrola</t>
        </is>
      </c>
      <c r="W963">
        <f>HYPERLINK("https://klasma.github.io/Logging_0883/artfynd/A 33815-2023 artfynd.xlsx", "A 33815-2023")</f>
        <v/>
      </c>
      <c r="X963">
        <f>HYPERLINK("https://klasma.github.io/Logging_0883/kartor/A 33815-2023 karta.png", "A 33815-2023")</f>
        <v/>
      </c>
      <c r="Y963">
        <f>HYPERLINK("https://klasma.github.io/Logging_0883/kartor_geotiff/A 33815-2023 georefererad karta.tif", "A 33815-2023")</f>
        <v/>
      </c>
      <c r="AA963">
        <f>HYPERLINK("https://klasma.github.io/Logging_0883/klagomål/A 33815-2023 FSC-klagomål.docx", "A 33815-2023")</f>
        <v/>
      </c>
      <c r="AB963">
        <f>HYPERLINK("https://klasma.github.io/Logging_0883/klagomålsmail/A 33815-2023 FSC-klagomål mail.docx", "A 33815-2023")</f>
        <v/>
      </c>
      <c r="AC963">
        <f>HYPERLINK("https://klasma.github.io/Logging_0883/tillsyn/A 33815-2023 tillsynsbegäran.docx", "A 33815-2023")</f>
        <v/>
      </c>
      <c r="AD963">
        <f>HYPERLINK("https://klasma.github.io/Logging_0883/tillsynsmail/A 33815-2023 tillsynsbegäran mail.docx", "A 33815-2023")</f>
        <v/>
      </c>
    </row>
    <row r="964" ht="15" customHeight="1">
      <c r="A964" t="inlineStr">
        <is>
          <t>A 33816-2023</t>
        </is>
      </c>
      <c r="B964" t="inlineStr">
        <is>
          <t>avverkningsanmälan</t>
        </is>
      </c>
      <c r="C964" t="inlineStr">
        <is>
          <t>Föryngringsavverkning</t>
        </is>
      </c>
      <c r="D964" s="1" t="n">
        <v>45133</v>
      </c>
      <c r="E964" s="1" t="n">
        <v>46323</v>
      </c>
      <c r="F964" t="inlineStr">
        <is>
          <t>KALMAR LÄN</t>
        </is>
      </c>
      <c r="G964" t="inlineStr">
        <is>
          <t>VÄSTERVIK</t>
        </is>
      </c>
      <c r="I964" t="n">
        <v>4.9</v>
      </c>
      <c r="J964" t="n">
        <v>0</v>
      </c>
      <c r="K964" t="n">
        <v>0</v>
      </c>
      <c r="L964" t="n">
        <v>1</v>
      </c>
      <c r="M964" t="n">
        <v>0</v>
      </c>
      <c r="N964" t="n">
        <v>0</v>
      </c>
      <c r="O964" t="n">
        <v>0</v>
      </c>
      <c r="P964" t="n">
        <v>0</v>
      </c>
      <c r="Q964" t="n">
        <v>1</v>
      </c>
      <c r="R964" t="n">
        <v>0</v>
      </c>
      <c r="S964" t="n">
        <v>1</v>
      </c>
      <c r="T964" t="n">
        <v>2</v>
      </c>
      <c r="U964" t="n">
        <v>2</v>
      </c>
      <c r="V964" s="2" t="inlineStr">
        <is>
          <t>Tallticka</t>
        </is>
      </c>
      <c r="W964">
        <f>HYPERLINK("https://klasma.github.io/Logging_0883/artfynd/A 33816-2023 artfynd.xlsx", "A 33816-2023")</f>
        <v/>
      </c>
      <c r="X964">
        <f>HYPERLINK("https://klasma.github.io/Logging_0883/kartor/A 33816-2023 karta.png", "A 33816-2023")</f>
        <v/>
      </c>
      <c r="Y964">
        <f>HYPERLINK("https://klasma.github.io/Logging_0883/kartor_geotiff/A 33816-2023 georefererad karta.tif", "A 33816-2023")</f>
        <v/>
      </c>
      <c r="AA964">
        <f>HYPERLINK("https://klasma.github.io/Logging_0883/klagomål/A 33816-2023 FSC-klagomål.docx", "A 33816-2023")</f>
        <v/>
      </c>
      <c r="AB964">
        <f>HYPERLINK("https://klasma.github.io/Logging_0883/klagomålsmail/A 33816-2023 FSC-klagomål mail.docx", "A 33816-2023")</f>
        <v/>
      </c>
      <c r="AC964">
        <f>HYPERLINK("https://klasma.github.io/Logging_0883/tillsyn/A 33816-2023 tillsynsbegäran.docx", "A 33816-2023")</f>
        <v/>
      </c>
      <c r="AD964">
        <f>HYPERLINK("https://klasma.github.io/Logging_0883/tillsynsmail/A 33816-2023 tillsynsbegäran mail.docx", "A 33816-2023")</f>
        <v/>
      </c>
    </row>
    <row r="965" ht="15" customHeight="1">
      <c r="A965" t="inlineStr">
        <is>
          <t>A 31556-2023</t>
        </is>
      </c>
      <c r="B965" t="inlineStr">
        <is>
          <t>avverkningsanmälan</t>
        </is>
      </c>
      <c r="C965" t="inlineStr">
        <is>
          <t>Föryngringsavverkning</t>
        </is>
      </c>
      <c r="D965" s="1" t="n">
        <v>45117</v>
      </c>
      <c r="E965" s="1" t="n">
        <v>46323</v>
      </c>
      <c r="F965" t="inlineStr">
        <is>
          <t>KALMAR LÄN</t>
        </is>
      </c>
      <c r="G965" t="inlineStr">
        <is>
          <t>KALMAR</t>
        </is>
      </c>
      <c r="I965" t="n">
        <v>11</v>
      </c>
      <c r="J965" t="n">
        <v>0</v>
      </c>
      <c r="K965" t="n">
        <v>1</v>
      </c>
      <c r="L965" t="n">
        <v>0</v>
      </c>
      <c r="M965" t="n">
        <v>0</v>
      </c>
      <c r="N965" t="n">
        <v>0</v>
      </c>
      <c r="O965" t="n">
        <v>0</v>
      </c>
      <c r="P965" t="n">
        <v>0</v>
      </c>
      <c r="Q965" t="n">
        <v>0</v>
      </c>
      <c r="R965" t="n">
        <v>0</v>
      </c>
      <c r="S965" t="n">
        <v>1</v>
      </c>
      <c r="T965" t="n">
        <v>1</v>
      </c>
      <c r="U965" t="n">
        <v>1</v>
      </c>
      <c r="V965" s="2" t="inlineStr">
        <is>
          <t>Murgröna</t>
        </is>
      </c>
      <c r="W965">
        <f>HYPERLINK("https://klasma.github.io/Logging_0880/artfynd/A 31556-2023 artfynd.xlsx", "A 31556-2023")</f>
        <v/>
      </c>
      <c r="X965">
        <f>HYPERLINK("https://klasma.github.io/Logging_0880/kartor/A 31556-2023 karta.png", "A 31556-2023")</f>
        <v/>
      </c>
      <c r="Y965">
        <f>HYPERLINK("https://klasma.github.io/Logging_0880/kartor_geotiff/A 31556-2023 georefererad karta.tif", "A 31556-2023")</f>
        <v/>
      </c>
      <c r="AA965">
        <f>HYPERLINK("https://klasma.github.io/Logging_0880/klagomål/A 31556-2023 FSC-klagomål.docx", "A 31556-2023")</f>
        <v/>
      </c>
      <c r="AB965">
        <f>HYPERLINK("https://klasma.github.io/Logging_0880/klagomålsmail/A 31556-2023 FSC-klagomål mail.docx", "A 31556-2023")</f>
        <v/>
      </c>
      <c r="AC965">
        <f>HYPERLINK("https://klasma.github.io/Logging_0880/tillsyn/A 31556-2023 tillsynsbegäran.docx", "A 31556-2023")</f>
        <v/>
      </c>
      <c r="AD965">
        <f>HYPERLINK("https://klasma.github.io/Logging_0880/tillsynsmail/A 31556-2023 tillsynsbegäran mail.docx", "A 31556-2023")</f>
        <v/>
      </c>
    </row>
    <row r="966" ht="15" customHeight="1">
      <c r="A966" t="inlineStr">
        <is>
          <t>A 57451-2025</t>
        </is>
      </c>
      <c r="B966" t="inlineStr">
        <is>
          <t>avverkningsanmälan</t>
        </is>
      </c>
      <c r="C966" t="inlineStr">
        <is>
          <t>Föryngringsavverkning</t>
        </is>
      </c>
      <c r="D966" s="1" t="n">
        <v>45980</v>
      </c>
      <c r="E966" s="1" t="n">
        <v>46323</v>
      </c>
      <c r="F966" t="inlineStr">
        <is>
          <t>KALMAR LÄN</t>
        </is>
      </c>
      <c r="G966" t="inlineStr">
        <is>
          <t>VÄSTERVIK</t>
        </is>
      </c>
      <c r="I966" t="n">
        <v>2.3</v>
      </c>
      <c r="J966" t="n">
        <v>1</v>
      </c>
      <c r="K966" t="n">
        <v>0</v>
      </c>
      <c r="L966" t="n">
        <v>0</v>
      </c>
      <c r="M966" t="n">
        <v>0</v>
      </c>
      <c r="N966" t="n">
        <v>0</v>
      </c>
      <c r="O966" t="n">
        <v>0</v>
      </c>
      <c r="P966" t="n">
        <v>0</v>
      </c>
      <c r="Q966" t="n">
        <v>0</v>
      </c>
      <c r="R966" t="n">
        <v>0</v>
      </c>
      <c r="S966" t="n">
        <v>1</v>
      </c>
      <c r="T966" t="n">
        <v>1</v>
      </c>
      <c r="U966" t="n">
        <v>1</v>
      </c>
      <c r="V966" s="2" t="inlineStr">
        <is>
          <t>Kungsfågel</t>
        </is>
      </c>
      <c r="W966">
        <f>HYPERLINK("https://klasma.github.io/Logging_0883/artfynd/A 57451-2025 artfynd.xlsx", "A 57451-2025")</f>
        <v/>
      </c>
      <c r="X966">
        <f>HYPERLINK("https://klasma.github.io/Logging_0883/kartor/A 57451-2025 karta.png", "A 57451-2025")</f>
        <v/>
      </c>
      <c r="Y966">
        <f>HYPERLINK("https://klasma.github.io/Logging_0883/kartor_geotiff/A 57451-2025 georefererad karta.tif", "A 57451-2025")</f>
        <v/>
      </c>
      <c r="AA966">
        <f>HYPERLINK("https://klasma.github.io/Logging_0883/klagomål/A 57451-2025 FSC-klagomål.docx", "A 57451-2025")</f>
        <v/>
      </c>
      <c r="AB966">
        <f>HYPERLINK("https://klasma.github.io/Logging_0883/klagomålsmail/A 57451-2025 FSC-klagomål mail.docx", "A 57451-2025")</f>
        <v/>
      </c>
      <c r="AC966">
        <f>HYPERLINK("https://klasma.github.io/Logging_0883/tillsyn/A 57451-2025 tillsynsbegäran.docx", "A 57451-2025")</f>
        <v/>
      </c>
      <c r="AD966">
        <f>HYPERLINK("https://klasma.github.io/Logging_0883/tillsynsmail/A 57451-2025 tillsynsbegäran mail.docx", "A 57451-2025")</f>
        <v/>
      </c>
    </row>
    <row r="967" ht="15" customHeight="1">
      <c r="A967" t="inlineStr">
        <is>
          <t>A 26056-2022</t>
        </is>
      </c>
      <c r="B967" t="inlineStr">
        <is>
          <t>avverkningsanmälan</t>
        </is>
      </c>
      <c r="C967" t="inlineStr">
        <is>
          <t>Avverkning för annat ändamål</t>
        </is>
      </c>
      <c r="D967" s="1" t="n">
        <v>44734</v>
      </c>
      <c r="E967" s="1" t="n">
        <v>46323</v>
      </c>
      <c r="F967" t="inlineStr">
        <is>
          <t>KALMAR LÄN</t>
        </is>
      </c>
      <c r="G967" t="inlineStr">
        <is>
          <t>VÄSTERVIK</t>
        </is>
      </c>
      <c r="I967" t="n">
        <v>1.1</v>
      </c>
      <c r="J967" t="n">
        <v>0</v>
      </c>
      <c r="K967" t="n">
        <v>0</v>
      </c>
      <c r="L967" t="n">
        <v>1</v>
      </c>
      <c r="M967" t="n">
        <v>0</v>
      </c>
      <c r="N967" t="n">
        <v>0</v>
      </c>
      <c r="O967" t="n">
        <v>0</v>
      </c>
      <c r="P967" t="n">
        <v>0</v>
      </c>
      <c r="Q967" t="n">
        <v>1</v>
      </c>
      <c r="R967" t="n">
        <v>0</v>
      </c>
      <c r="S967" t="n">
        <v>1</v>
      </c>
      <c r="T967" t="n">
        <v>1</v>
      </c>
      <c r="U967" t="n">
        <v>0</v>
      </c>
      <c r="V967" s="2" t="inlineStr">
        <is>
          <t>Slåtterfibbla</t>
        </is>
      </c>
      <c r="W967">
        <f>HYPERLINK("https://klasma.github.io/Logging_0883/artfynd/A 26056-2022 artfynd.xlsx", "A 26056-2022")</f>
        <v/>
      </c>
      <c r="X967">
        <f>HYPERLINK("https://klasma.github.io/Logging_0883/kartor/A 26056-2022 karta.png", "A 26056-2022")</f>
        <v/>
      </c>
      <c r="Y967">
        <f>HYPERLINK("https://klasma.github.io/Logging_0883/kartor_geotiff/A 26056-2022 georefererad karta.tif", "A 26056-2022")</f>
        <v/>
      </c>
      <c r="AA967">
        <f>HYPERLINK("https://klasma.github.io/Logging_0883/klagomål/A 26056-2022 FSC-klagomål.docx", "A 26056-2022")</f>
        <v/>
      </c>
      <c r="AB967">
        <f>HYPERLINK("https://klasma.github.io/Logging_0883/klagomålsmail/A 26056-2022 FSC-klagomål mail.docx", "A 26056-2022")</f>
        <v/>
      </c>
      <c r="AC967">
        <f>HYPERLINK("https://klasma.github.io/Logging_0883/tillsyn/A 26056-2022 tillsynsbegäran.docx", "A 26056-2022")</f>
        <v/>
      </c>
      <c r="AD967">
        <f>HYPERLINK("https://klasma.github.io/Logging_0883/tillsynsmail/A 26056-2022 tillsynsbegäran mail.docx", "A 26056-2022")</f>
        <v/>
      </c>
    </row>
    <row r="968" ht="15" customHeight="1">
      <c r="A968" t="inlineStr">
        <is>
          <t>A 13724-2023</t>
        </is>
      </c>
      <c r="B968" t="inlineStr">
        <is>
          <t>avverkningsanmälan</t>
        </is>
      </c>
      <c r="C968" t="inlineStr">
        <is>
          <t>Föryngringsavverkning</t>
        </is>
      </c>
      <c r="D968" s="1" t="n">
        <v>45007</v>
      </c>
      <c r="E968" s="1" t="n">
        <v>46323</v>
      </c>
      <c r="F968" t="inlineStr">
        <is>
          <t>KALMAR LÄN</t>
        </is>
      </c>
      <c r="G968" t="inlineStr">
        <is>
          <t>KALMAR</t>
        </is>
      </c>
      <c r="I968" t="n">
        <v>2.5</v>
      </c>
      <c r="J968" t="n">
        <v>0</v>
      </c>
      <c r="K968" t="n">
        <v>0</v>
      </c>
      <c r="L968" t="n">
        <v>1</v>
      </c>
      <c r="M968" t="n">
        <v>0</v>
      </c>
      <c r="N968" t="n">
        <v>0</v>
      </c>
      <c r="O968" t="n">
        <v>0</v>
      </c>
      <c r="P968" t="n">
        <v>0</v>
      </c>
      <c r="Q968" t="n">
        <v>1</v>
      </c>
      <c r="R968" t="n">
        <v>0</v>
      </c>
      <c r="S968" t="n">
        <v>1</v>
      </c>
      <c r="T968" t="n">
        <v>1</v>
      </c>
      <c r="U968" t="n">
        <v>1</v>
      </c>
      <c r="V968" s="2" t="inlineStr">
        <is>
          <t>Jungfrulin</t>
        </is>
      </c>
      <c r="W968">
        <f>HYPERLINK("https://klasma.github.io/Logging_0880/artfynd/A 13724-2023 artfynd.xlsx", "A 13724-2023")</f>
        <v/>
      </c>
      <c r="X968">
        <f>HYPERLINK("https://klasma.github.io/Logging_0880/kartor/A 13724-2023 karta.png", "A 13724-2023")</f>
        <v/>
      </c>
      <c r="Y968">
        <f>HYPERLINK("https://klasma.github.io/Logging_0880/kartor_geotiff/A 13724-2023 georefererad karta.tif", "A 13724-2023")</f>
        <v/>
      </c>
      <c r="AA968">
        <f>HYPERLINK("https://klasma.github.io/Logging_0880/klagomål/A 13724-2023 FSC-klagomål.docx", "A 13724-2023")</f>
        <v/>
      </c>
      <c r="AB968">
        <f>HYPERLINK("https://klasma.github.io/Logging_0880/klagomålsmail/A 13724-2023 FSC-klagomål mail.docx", "A 13724-2023")</f>
        <v/>
      </c>
      <c r="AC968">
        <f>HYPERLINK("https://klasma.github.io/Logging_0880/tillsyn/A 13724-2023 tillsynsbegäran.docx", "A 13724-2023")</f>
        <v/>
      </c>
      <c r="AD968">
        <f>HYPERLINK("https://klasma.github.io/Logging_0880/tillsynsmail/A 13724-2023 tillsynsbegäran mail.docx", "A 13724-2023")</f>
        <v/>
      </c>
    </row>
    <row r="969" ht="15" customHeight="1">
      <c r="A969" t="inlineStr">
        <is>
          <t>A 57062-2025</t>
        </is>
      </c>
      <c r="B969" t="inlineStr">
        <is>
          <t>avverkningsanmälan</t>
        </is>
      </c>
      <c r="C969" t="inlineStr">
        <is>
          <t>Föryngringsavverkning</t>
        </is>
      </c>
      <c r="D969" s="1" t="n">
        <v>45979</v>
      </c>
      <c r="E969" s="1" t="n">
        <v>46323</v>
      </c>
      <c r="F969" t="inlineStr">
        <is>
          <t>KALMAR LÄN</t>
        </is>
      </c>
      <c r="G969" t="inlineStr">
        <is>
          <t>VIMMERBY</t>
        </is>
      </c>
      <c r="H969" t="inlineStr">
        <is>
          <t>Sveaskog</t>
        </is>
      </c>
      <c r="I969" t="n">
        <v>4.9</v>
      </c>
      <c r="J969" t="n">
        <v>1</v>
      </c>
      <c r="K969" t="n">
        <v>0</v>
      </c>
      <c r="L969" t="n">
        <v>0</v>
      </c>
      <c r="M969" t="n">
        <v>1</v>
      </c>
      <c r="N969" t="n">
        <v>0</v>
      </c>
      <c r="O969" t="n">
        <v>0</v>
      </c>
      <c r="P969" t="n">
        <v>0</v>
      </c>
      <c r="Q969" t="n">
        <v>1</v>
      </c>
      <c r="R969" t="n">
        <v>1</v>
      </c>
      <c r="S969" t="n">
        <v>1</v>
      </c>
      <c r="T969" t="n">
        <v>1</v>
      </c>
      <c r="U969" t="n">
        <v>0</v>
      </c>
      <c r="V969" s="2" t="inlineStr">
        <is>
          <t>Knärot</t>
        </is>
      </c>
      <c r="W969">
        <f>HYPERLINK("https://klasma.github.io/Logging_0884/artfynd/A 57062-2025 artfynd.xlsx", "A 57062-2025")</f>
        <v/>
      </c>
      <c r="X969">
        <f>HYPERLINK("https://klasma.github.io/Logging_0884/kartor/A 57062-2025 karta.png", "A 57062-2025")</f>
        <v/>
      </c>
      <c r="Y969">
        <f>HYPERLINK("https://klasma.github.io/Logging_0884/kartor_geotiff/A 57062-2025 georefererad karta.tif", "A 57062-2025")</f>
        <v/>
      </c>
      <c r="Z969">
        <f>HYPERLINK("https://klasma.github.io/Logging_0884/knärot/A 57062-2025 karta knärot.png", "A 57062-2025")</f>
        <v/>
      </c>
      <c r="AA969">
        <f>HYPERLINK("https://klasma.github.io/Logging_0884/klagomål/A 57062-2025 FSC-klagomål.docx", "A 57062-2025")</f>
        <v/>
      </c>
      <c r="AB969">
        <f>HYPERLINK("https://klasma.github.io/Logging_0884/klagomålsmail/A 57062-2025 FSC-klagomål mail.docx", "A 57062-2025")</f>
        <v/>
      </c>
      <c r="AC969">
        <f>HYPERLINK("https://klasma.github.io/Logging_0884/tillsyn/A 57062-2025 tillsynsbegäran.docx", "A 57062-2025")</f>
        <v/>
      </c>
      <c r="AD969">
        <f>HYPERLINK("https://klasma.github.io/Logging_0884/tillsynsmail/A 57062-2025 tillsynsbegäran mail.docx", "A 57062-2025")</f>
        <v/>
      </c>
    </row>
    <row r="970" ht="15" customHeight="1">
      <c r="A970" t="inlineStr">
        <is>
          <t>A 61613-2025</t>
        </is>
      </c>
      <c r="B970" t="inlineStr">
        <is>
          <t>avverkningsanmälan</t>
        </is>
      </c>
      <c r="C970" t="inlineStr">
        <is>
          <t>Föryngringsavverkning</t>
        </is>
      </c>
      <c r="D970" s="1" t="n">
        <v>46002</v>
      </c>
      <c r="E970" s="1" t="n">
        <v>46323</v>
      </c>
      <c r="F970" t="inlineStr">
        <is>
          <t>KALMAR LÄN</t>
        </is>
      </c>
      <c r="G970" t="inlineStr">
        <is>
          <t>NYBRO</t>
        </is>
      </c>
      <c r="I970" t="n">
        <v>12.2</v>
      </c>
      <c r="J970" t="n">
        <v>1</v>
      </c>
      <c r="K970" t="n">
        <v>0</v>
      </c>
      <c r="L970" t="n">
        <v>0</v>
      </c>
      <c r="M970" t="n">
        <v>0</v>
      </c>
      <c r="N970" t="n">
        <v>0</v>
      </c>
      <c r="O970" t="n">
        <v>0</v>
      </c>
      <c r="P970" t="n">
        <v>0</v>
      </c>
      <c r="Q970" t="n">
        <v>0</v>
      </c>
      <c r="R970" t="n">
        <v>0</v>
      </c>
      <c r="S970" t="n">
        <v>1</v>
      </c>
      <c r="T970" t="n">
        <v>1</v>
      </c>
      <c r="U970" t="n">
        <v>0</v>
      </c>
      <c r="V970" s="2" t="inlineStr">
        <is>
          <t>Nattskärra</t>
        </is>
      </c>
      <c r="W970">
        <f>HYPERLINK("https://klasma.github.io/Logging_0881/artfynd/A 61613-2025 artfynd.xlsx", "A 61613-2025")</f>
        <v/>
      </c>
      <c r="X970">
        <f>HYPERLINK("https://klasma.github.io/Logging_0881/kartor/A 61613-2025 karta.png", "A 61613-2025")</f>
        <v/>
      </c>
      <c r="Y970">
        <f>HYPERLINK("https://klasma.github.io/Logging_0881/kartor_geotiff/A 61613-2025 georefererad karta.tif", "A 61613-2025")</f>
        <v/>
      </c>
      <c r="AA970">
        <f>HYPERLINK("https://klasma.github.io/Logging_0881/klagomål/A 61613-2025 FSC-klagomål.docx", "A 61613-2025")</f>
        <v/>
      </c>
      <c r="AB970">
        <f>HYPERLINK("https://klasma.github.io/Logging_0881/klagomålsmail/A 61613-2025 FSC-klagomål mail.docx", "A 61613-2025")</f>
        <v/>
      </c>
      <c r="AC970">
        <f>HYPERLINK("https://klasma.github.io/Logging_0881/tillsyn/A 61613-2025 tillsynsbegäran.docx", "A 61613-2025")</f>
        <v/>
      </c>
      <c r="AD970">
        <f>HYPERLINK("https://klasma.github.io/Logging_0881/tillsynsmail/A 61613-2025 tillsynsbegäran mail.docx", "A 61613-2025")</f>
        <v/>
      </c>
      <c r="AE970">
        <f>HYPERLINK("https://klasma.github.io/Logging_0881/fåglar/A 61613-2025 prioriterade fågelarter.docx", "A 61613-2025")</f>
        <v/>
      </c>
    </row>
    <row r="971" ht="15" customHeight="1">
      <c r="A971" t="inlineStr">
        <is>
          <t>A 35075-2023</t>
        </is>
      </c>
      <c r="B971" t="inlineStr">
        <is>
          <t>avverkningsanmälan</t>
        </is>
      </c>
      <c r="C971" t="inlineStr">
        <is>
          <t>Föryngringsavverkning</t>
        </is>
      </c>
      <c r="D971" s="1" t="n">
        <v>45145</v>
      </c>
      <c r="E971" s="1" t="n">
        <v>46323</v>
      </c>
      <c r="F971" t="inlineStr">
        <is>
          <t>KALMAR LÄN</t>
        </is>
      </c>
      <c r="G971" t="inlineStr">
        <is>
          <t>HÖGSBY</t>
        </is>
      </c>
      <c r="I971" t="n">
        <v>0.7</v>
      </c>
      <c r="J971" t="n">
        <v>1</v>
      </c>
      <c r="K971" t="n">
        <v>0</v>
      </c>
      <c r="L971" t="n">
        <v>0</v>
      </c>
      <c r="M971" t="n">
        <v>0</v>
      </c>
      <c r="N971" t="n">
        <v>0</v>
      </c>
      <c r="O971" t="n">
        <v>0</v>
      </c>
      <c r="P971" t="n">
        <v>0</v>
      </c>
      <c r="Q971" t="n">
        <v>0</v>
      </c>
      <c r="R971" t="n">
        <v>0</v>
      </c>
      <c r="S971" t="n">
        <v>1</v>
      </c>
      <c r="T971" t="n">
        <v>1</v>
      </c>
      <c r="U971" t="n">
        <v>0</v>
      </c>
      <c r="V971" s="2" t="inlineStr">
        <is>
          <t>Blåsippa</t>
        </is>
      </c>
      <c r="W971">
        <f>HYPERLINK("https://klasma.github.io/Logging_0821/artfynd/A 35075-2023 artfynd.xlsx", "A 35075-2023")</f>
        <v/>
      </c>
      <c r="X971">
        <f>HYPERLINK("https://klasma.github.io/Logging_0821/kartor/A 35075-2023 karta.png", "A 35075-2023")</f>
        <v/>
      </c>
      <c r="Y971">
        <f>HYPERLINK("https://klasma.github.io/Logging_0821/kartor_geotiff/A 35075-2023 georefererad karta.tif", "A 35075-2023")</f>
        <v/>
      </c>
      <c r="AA971">
        <f>HYPERLINK("https://klasma.github.io/Logging_0821/klagomål/A 35075-2023 FSC-klagomål.docx", "A 35075-2023")</f>
        <v/>
      </c>
      <c r="AB971">
        <f>HYPERLINK("https://klasma.github.io/Logging_0821/klagomålsmail/A 35075-2023 FSC-klagomål mail.docx", "A 35075-2023")</f>
        <v/>
      </c>
      <c r="AC971">
        <f>HYPERLINK("https://klasma.github.io/Logging_0821/tillsyn/A 35075-2023 tillsynsbegäran.docx", "A 35075-2023")</f>
        <v/>
      </c>
      <c r="AD971">
        <f>HYPERLINK("https://klasma.github.io/Logging_0821/tillsynsmail/A 35075-2023 tillsynsbegäran mail.docx", "A 35075-2023")</f>
        <v/>
      </c>
    </row>
    <row r="972" ht="15" customHeight="1">
      <c r="A972" t="inlineStr">
        <is>
          <t>A 36886-2024</t>
        </is>
      </c>
      <c r="B972" t="inlineStr">
        <is>
          <t>avverkningsanmälan</t>
        </is>
      </c>
      <c r="C972" t="inlineStr">
        <is>
          <t>Föryngringsavverkning</t>
        </is>
      </c>
      <c r="D972" s="1" t="n">
        <v>45538</v>
      </c>
      <c r="E972" s="1" t="n">
        <v>46323</v>
      </c>
      <c r="F972" t="inlineStr">
        <is>
          <t>KALMAR LÄN</t>
        </is>
      </c>
      <c r="G972" t="inlineStr">
        <is>
          <t>MÖNSTERÅS</t>
        </is>
      </c>
      <c r="I972" t="n">
        <v>10.2</v>
      </c>
      <c r="J972" t="n">
        <v>0</v>
      </c>
      <c r="K972" t="n">
        <v>1</v>
      </c>
      <c r="L972" t="n">
        <v>0</v>
      </c>
      <c r="M972" t="n">
        <v>0</v>
      </c>
      <c r="N972" t="n">
        <v>0</v>
      </c>
      <c r="O972" t="n">
        <v>0</v>
      </c>
      <c r="P972" t="n">
        <v>0</v>
      </c>
      <c r="Q972" t="n">
        <v>0</v>
      </c>
      <c r="R972" t="n">
        <v>0</v>
      </c>
      <c r="S972" t="n">
        <v>1</v>
      </c>
      <c r="T972" t="n">
        <v>1</v>
      </c>
      <c r="U972" t="n">
        <v>1</v>
      </c>
      <c r="V972" s="2" t="inlineStr">
        <is>
          <t>Underviol</t>
        </is>
      </c>
      <c r="W972">
        <f>HYPERLINK("https://klasma.github.io/Logging_0861/artfynd/A 36886-2024 artfynd.xlsx", "A 36886-2024")</f>
        <v/>
      </c>
      <c r="X972">
        <f>HYPERLINK("https://klasma.github.io/Logging_0861/kartor/A 36886-2024 karta.png", "A 36886-2024")</f>
        <v/>
      </c>
      <c r="Y972">
        <f>HYPERLINK("https://klasma.github.io/Logging_0861/kartor_geotiff/A 36886-2024 georefererad karta.tif", "A 36886-2024")</f>
        <v/>
      </c>
      <c r="AA972">
        <f>HYPERLINK("https://klasma.github.io/Logging_0861/klagomål/A 36886-2024 FSC-klagomål.docx", "A 36886-2024")</f>
        <v/>
      </c>
      <c r="AB972">
        <f>HYPERLINK("https://klasma.github.io/Logging_0861/klagomålsmail/A 36886-2024 FSC-klagomål mail.docx", "A 36886-2024")</f>
        <v/>
      </c>
      <c r="AC972">
        <f>HYPERLINK("https://klasma.github.io/Logging_0861/tillsyn/A 36886-2024 tillsynsbegäran.docx", "A 36886-2024")</f>
        <v/>
      </c>
      <c r="AD972">
        <f>HYPERLINK("https://klasma.github.io/Logging_0861/tillsynsmail/A 36886-2024 tillsynsbegäran mail.docx", "A 36886-2024")</f>
        <v/>
      </c>
    </row>
    <row r="973" ht="15" customHeight="1">
      <c r="A973" t="inlineStr">
        <is>
          <t>A 42443-2023</t>
        </is>
      </c>
      <c r="B973" t="inlineStr">
        <is>
          <t>avverkningsanmälan</t>
        </is>
      </c>
      <c r="C973" t="inlineStr">
        <is>
          <t>Föryngringsavverkning</t>
        </is>
      </c>
      <c r="D973" s="1" t="n">
        <v>45175</v>
      </c>
      <c r="E973" s="1" t="n">
        <v>46323</v>
      </c>
      <c r="F973" t="inlineStr">
        <is>
          <t>KALMAR LÄN</t>
        </is>
      </c>
      <c r="G973" t="inlineStr">
        <is>
          <t>OSKARSHAMN</t>
        </is>
      </c>
      <c r="I973" t="n">
        <v>11.4</v>
      </c>
      <c r="J973" t="n">
        <v>0</v>
      </c>
      <c r="K973" t="n">
        <v>1</v>
      </c>
      <c r="L973" t="n">
        <v>0</v>
      </c>
      <c r="M973" t="n">
        <v>0</v>
      </c>
      <c r="N973" t="n">
        <v>0</v>
      </c>
      <c r="O973" t="n">
        <v>0</v>
      </c>
      <c r="P973" t="n">
        <v>0</v>
      </c>
      <c r="Q973" t="n">
        <v>0</v>
      </c>
      <c r="R973" t="n">
        <v>0</v>
      </c>
      <c r="S973" t="n">
        <v>1</v>
      </c>
      <c r="T973" t="n">
        <v>2</v>
      </c>
      <c r="U973" t="n">
        <v>2</v>
      </c>
      <c r="V973" s="2" t="inlineStr">
        <is>
          <t>Blåmossa</t>
        </is>
      </c>
      <c r="W973">
        <f>HYPERLINK("https://klasma.github.io/Logging_0882/artfynd/A 42443-2023 artfynd.xlsx", "A 42443-2023")</f>
        <v/>
      </c>
      <c r="X973">
        <f>HYPERLINK("https://klasma.github.io/Logging_0882/kartor/A 42443-2023 karta.png", "A 42443-2023")</f>
        <v/>
      </c>
      <c r="Y973">
        <f>HYPERLINK("https://klasma.github.io/Logging_0882/kartor_geotiff/A 42443-2023 georefererad karta.tif", "A 42443-2023")</f>
        <v/>
      </c>
      <c r="AA973">
        <f>HYPERLINK("https://klasma.github.io/Logging_0882/klagomål/A 42443-2023 FSC-klagomål.docx", "A 42443-2023")</f>
        <v/>
      </c>
      <c r="AB973">
        <f>HYPERLINK("https://klasma.github.io/Logging_0882/klagomålsmail/A 42443-2023 FSC-klagomål mail.docx", "A 42443-2023")</f>
        <v/>
      </c>
      <c r="AC973">
        <f>HYPERLINK("https://klasma.github.io/Logging_0882/tillsyn/A 42443-2023 tillsynsbegäran.docx", "A 42443-2023")</f>
        <v/>
      </c>
      <c r="AD973">
        <f>HYPERLINK("https://klasma.github.io/Logging_0882/tillsynsmail/A 42443-2023 tillsynsbegäran mail.docx", "A 42443-2023")</f>
        <v/>
      </c>
    </row>
    <row r="974" ht="15" customHeight="1">
      <c r="A974" t="inlineStr">
        <is>
          <t>A 31861-2023</t>
        </is>
      </c>
      <c r="B974" t="inlineStr">
        <is>
          <t>avverkningsanmälan</t>
        </is>
      </c>
      <c r="C974" t="inlineStr">
        <is>
          <t>Föryngringsavverkning</t>
        </is>
      </c>
      <c r="D974" s="1" t="n">
        <v>45118</v>
      </c>
      <c r="E974" s="1" t="n">
        <v>46323</v>
      </c>
      <c r="F974" t="inlineStr">
        <is>
          <t>KALMAR LÄN</t>
        </is>
      </c>
      <c r="G974" t="inlineStr">
        <is>
          <t>NYBRO</t>
        </is>
      </c>
      <c r="I974" t="n">
        <v>0.7</v>
      </c>
      <c r="J974" t="n">
        <v>0</v>
      </c>
      <c r="K974" t="n">
        <v>0</v>
      </c>
      <c r="L974" t="n">
        <v>0</v>
      </c>
      <c r="M974" t="n">
        <v>0</v>
      </c>
      <c r="N974" t="n">
        <v>1</v>
      </c>
      <c r="O974" t="n">
        <v>0</v>
      </c>
      <c r="P974" t="n">
        <v>0</v>
      </c>
      <c r="Q974" t="n">
        <v>1</v>
      </c>
      <c r="R974" t="n">
        <v>1</v>
      </c>
      <c r="S974" t="n">
        <v>1</v>
      </c>
      <c r="T974" t="n">
        <v>3</v>
      </c>
      <c r="U974" t="n">
        <v>0</v>
      </c>
      <c r="V974" s="2" t="inlineStr">
        <is>
          <t>Ask</t>
        </is>
      </c>
      <c r="W974">
        <f>HYPERLINK("https://klasma.github.io/Logging_0881/artfynd/A 31861-2023 artfynd.xlsx", "A 31861-2023")</f>
        <v/>
      </c>
      <c r="X974">
        <f>HYPERLINK("https://klasma.github.io/Logging_0881/kartor/A 31861-2023 karta.png", "A 31861-2023")</f>
        <v/>
      </c>
      <c r="Y974">
        <f>HYPERLINK("https://klasma.github.io/Logging_0881/kartor_geotiff/A 31861-2023 georefererad karta.tif", "A 31861-2023")</f>
        <v/>
      </c>
      <c r="AA974">
        <f>HYPERLINK("https://klasma.github.io/Logging_0881/klagomål/A 31861-2023 FSC-klagomål.docx", "A 31861-2023")</f>
        <v/>
      </c>
      <c r="AB974">
        <f>HYPERLINK("https://klasma.github.io/Logging_0881/klagomålsmail/A 31861-2023 FSC-klagomål mail.docx", "A 31861-2023")</f>
        <v/>
      </c>
      <c r="AC974">
        <f>HYPERLINK("https://klasma.github.io/Logging_0881/tillsyn/A 31861-2023 tillsynsbegäran.docx", "A 31861-2023")</f>
        <v/>
      </c>
      <c r="AD974">
        <f>HYPERLINK("https://klasma.github.io/Logging_0881/tillsynsmail/A 31861-2023 tillsynsbegäran mail.docx", "A 31861-2023")</f>
        <v/>
      </c>
    </row>
    <row r="975" ht="15" customHeight="1">
      <c r="A975" t="inlineStr">
        <is>
          <t>A 61617-2025</t>
        </is>
      </c>
      <c r="B975" t="inlineStr">
        <is>
          <t>avverkningsanmälan</t>
        </is>
      </c>
      <c r="C975" t="inlineStr">
        <is>
          <t>Föryngringsavverkning</t>
        </is>
      </c>
      <c r="D975" s="1" t="n">
        <v>46002</v>
      </c>
      <c r="E975" s="1" t="n">
        <v>46323</v>
      </c>
      <c r="F975" t="inlineStr">
        <is>
          <t>KALMAR LÄN</t>
        </is>
      </c>
      <c r="G975" t="inlineStr">
        <is>
          <t>NYBRO</t>
        </is>
      </c>
      <c r="I975" t="n">
        <v>2.8</v>
      </c>
      <c r="J975" t="n">
        <v>0</v>
      </c>
      <c r="K975" t="n">
        <v>0</v>
      </c>
      <c r="L975" t="n">
        <v>1</v>
      </c>
      <c r="M975" t="n">
        <v>0</v>
      </c>
      <c r="N975" t="n">
        <v>0</v>
      </c>
      <c r="O975" t="n">
        <v>0</v>
      </c>
      <c r="P975" t="n">
        <v>0</v>
      </c>
      <c r="Q975" t="n">
        <v>1</v>
      </c>
      <c r="R975" t="n">
        <v>0</v>
      </c>
      <c r="S975" t="n">
        <v>1</v>
      </c>
      <c r="T975" t="n">
        <v>1</v>
      </c>
      <c r="U975" t="n">
        <v>0</v>
      </c>
      <c r="V975" s="2" t="inlineStr">
        <is>
          <t>Orangefläckig brunbagge</t>
        </is>
      </c>
      <c r="W975">
        <f>HYPERLINK("https://klasma.github.io/Logging_0881/artfynd/A 61617-2025 artfynd.xlsx", "A 61617-2025")</f>
        <v/>
      </c>
      <c r="X975">
        <f>HYPERLINK("https://klasma.github.io/Logging_0881/kartor/A 61617-2025 karta.png", "A 61617-2025")</f>
        <v/>
      </c>
      <c r="Y975">
        <f>HYPERLINK("https://klasma.github.io/Logging_0881/kartor_geotiff/A 61617-2025 georefererad karta.tif", "A 61617-2025")</f>
        <v/>
      </c>
      <c r="AA975">
        <f>HYPERLINK("https://klasma.github.io/Logging_0881/klagomål/A 61617-2025 FSC-klagomål.docx", "A 61617-2025")</f>
        <v/>
      </c>
      <c r="AB975">
        <f>HYPERLINK("https://klasma.github.io/Logging_0881/klagomålsmail/A 61617-2025 FSC-klagomål mail.docx", "A 61617-2025")</f>
        <v/>
      </c>
      <c r="AC975">
        <f>HYPERLINK("https://klasma.github.io/Logging_0881/tillsyn/A 61617-2025 tillsynsbegäran.docx", "A 61617-2025")</f>
        <v/>
      </c>
      <c r="AD975">
        <f>HYPERLINK("https://klasma.github.io/Logging_0881/tillsynsmail/A 61617-2025 tillsynsbegäran mail.docx", "A 61617-2025")</f>
        <v/>
      </c>
    </row>
    <row r="976" ht="15" customHeight="1">
      <c r="A976" t="inlineStr">
        <is>
          <t>A 48753-2025</t>
        </is>
      </c>
      <c r="B976" t="inlineStr">
        <is>
          <t>avverkningsanmälan</t>
        </is>
      </c>
      <c r="C976" t="inlineStr">
        <is>
          <t>Föryngringsavverkning</t>
        </is>
      </c>
      <c r="D976" s="1" t="n">
        <v>45936</v>
      </c>
      <c r="E976" s="1" t="n">
        <v>46323</v>
      </c>
      <c r="F976" t="inlineStr">
        <is>
          <t>KALMAR LÄN</t>
        </is>
      </c>
      <c r="G976" t="inlineStr">
        <is>
          <t>VÄSTERVIK</t>
        </is>
      </c>
      <c r="I976" t="n">
        <v>0.9</v>
      </c>
      <c r="J976" t="n">
        <v>0</v>
      </c>
      <c r="K976" t="n">
        <v>0</v>
      </c>
      <c r="L976" t="n">
        <v>1</v>
      </c>
      <c r="M976" t="n">
        <v>0</v>
      </c>
      <c r="N976" t="n">
        <v>0</v>
      </c>
      <c r="O976" t="n">
        <v>0</v>
      </c>
      <c r="P976" t="n">
        <v>0</v>
      </c>
      <c r="Q976" t="n">
        <v>1</v>
      </c>
      <c r="R976" t="n">
        <v>0</v>
      </c>
      <c r="S976" t="n">
        <v>1</v>
      </c>
      <c r="T976" t="n">
        <v>1</v>
      </c>
      <c r="U976" t="n">
        <v>1</v>
      </c>
      <c r="V976" s="2" t="inlineStr">
        <is>
          <t>Dropptaggsvamp</t>
        </is>
      </c>
      <c r="W976">
        <f>HYPERLINK("https://klasma.github.io/Logging_0883/artfynd/A 48753-2025 artfynd.xlsx", "A 48753-2025")</f>
        <v/>
      </c>
      <c r="X976">
        <f>HYPERLINK("https://klasma.github.io/Logging_0883/kartor/A 48753-2025 karta.png", "A 48753-2025")</f>
        <v/>
      </c>
      <c r="Y976">
        <f>HYPERLINK("https://klasma.github.io/Logging_0883/kartor_geotiff/A 48753-2025 georefererad karta.tif", "A 48753-2025")</f>
        <v/>
      </c>
      <c r="Z976">
        <f>HYPERLINK("https://klasma.github.io/Logging_0883/knärot/A 48753-2025 karta knärot.png", "A 48753-2025")</f>
        <v/>
      </c>
      <c r="AA976">
        <f>HYPERLINK("https://klasma.github.io/Logging_0883/klagomål/A 48753-2025 FSC-klagomål.docx", "A 48753-2025")</f>
        <v/>
      </c>
      <c r="AB976">
        <f>HYPERLINK("https://klasma.github.io/Logging_0883/klagomålsmail/A 48753-2025 FSC-klagomål mail.docx", "A 48753-2025")</f>
        <v/>
      </c>
      <c r="AC976">
        <f>HYPERLINK("https://klasma.github.io/Logging_0883/tillsyn/A 48753-2025 tillsynsbegäran.docx", "A 48753-2025")</f>
        <v/>
      </c>
      <c r="AD976">
        <f>HYPERLINK("https://klasma.github.io/Logging_0883/tillsynsmail/A 48753-2025 tillsynsbegäran mail.docx", "A 48753-2025")</f>
        <v/>
      </c>
    </row>
    <row r="977" ht="15" customHeight="1">
      <c r="A977" t="inlineStr">
        <is>
          <t>A 58883-2022</t>
        </is>
      </c>
      <c r="B977" t="inlineStr">
        <is>
          <t>avverkningsanmälan</t>
        </is>
      </c>
      <c r="C977" t="inlineStr">
        <is>
          <t>Föryngringsavverkning</t>
        </is>
      </c>
      <c r="D977" s="1" t="n">
        <v>44895</v>
      </c>
      <c r="E977" s="1" t="n">
        <v>46323</v>
      </c>
      <c r="F977" t="inlineStr">
        <is>
          <t>KALMAR LÄN</t>
        </is>
      </c>
      <c r="G977" t="inlineStr">
        <is>
          <t>EMMABODA</t>
        </is>
      </c>
      <c r="I977" t="n">
        <v>2.5</v>
      </c>
      <c r="J977" t="n">
        <v>0</v>
      </c>
      <c r="K977" t="n">
        <v>1</v>
      </c>
      <c r="L977" t="n">
        <v>0</v>
      </c>
      <c r="M977" t="n">
        <v>0</v>
      </c>
      <c r="N977" t="n">
        <v>0</v>
      </c>
      <c r="O977" t="n">
        <v>0</v>
      </c>
      <c r="P977" t="n">
        <v>0</v>
      </c>
      <c r="Q977" t="n">
        <v>0</v>
      </c>
      <c r="R977" t="n">
        <v>0</v>
      </c>
      <c r="S977" t="n">
        <v>1</v>
      </c>
      <c r="T977" t="n">
        <v>1</v>
      </c>
      <c r="U977" t="n">
        <v>0</v>
      </c>
      <c r="V977" s="2" t="inlineStr">
        <is>
          <t>Blåmossa</t>
        </is>
      </c>
      <c r="W977">
        <f>HYPERLINK("https://klasma.github.io/Logging_0862/artfynd/A 58883-2022 artfynd.xlsx", "A 58883-2022")</f>
        <v/>
      </c>
      <c r="X977">
        <f>HYPERLINK("https://klasma.github.io/Logging_0862/kartor/A 58883-2022 karta.png", "A 58883-2022")</f>
        <v/>
      </c>
      <c r="Y977">
        <f>HYPERLINK("https://klasma.github.io/Logging_0862/kartor_geotiff/A 58883-2022 georefererad karta.tif", "A 58883-2022")</f>
        <v/>
      </c>
      <c r="AA977">
        <f>HYPERLINK("https://klasma.github.io/Logging_0862/klagomål/A 58883-2022 FSC-klagomål.docx", "A 58883-2022")</f>
        <v/>
      </c>
      <c r="AB977">
        <f>HYPERLINK("https://klasma.github.io/Logging_0862/klagomålsmail/A 58883-2022 FSC-klagomål mail.docx", "A 58883-2022")</f>
        <v/>
      </c>
      <c r="AC977">
        <f>HYPERLINK("https://klasma.github.io/Logging_0862/tillsyn/A 58883-2022 tillsynsbegäran.docx", "A 58883-2022")</f>
        <v/>
      </c>
      <c r="AD977">
        <f>HYPERLINK("https://klasma.github.io/Logging_0862/tillsynsmail/A 58883-2022 tillsynsbegäran mail.docx", "A 58883-2022")</f>
        <v/>
      </c>
    </row>
    <row r="978" ht="15" customHeight="1">
      <c r="A978" t="inlineStr">
        <is>
          <t>A 32985-2023</t>
        </is>
      </c>
      <c r="B978" t="inlineStr">
        <is>
          <t>avverkningsanmälan</t>
        </is>
      </c>
      <c r="C978" t="inlineStr">
        <is>
          <t>Föryngringsavverkning</t>
        </is>
      </c>
      <c r="D978" s="1" t="n">
        <v>45125</v>
      </c>
      <c r="E978" s="1" t="n">
        <v>46323</v>
      </c>
      <c r="F978" t="inlineStr">
        <is>
          <t>KALMAR LÄN</t>
        </is>
      </c>
      <c r="G978" t="inlineStr">
        <is>
          <t>VIMMERBY</t>
        </is>
      </c>
      <c r="I978" t="n">
        <v>1.9</v>
      </c>
      <c r="J978" t="n">
        <v>0</v>
      </c>
      <c r="K978" t="n">
        <v>0</v>
      </c>
      <c r="L978" t="n">
        <v>0</v>
      </c>
      <c r="M978" t="n">
        <v>1</v>
      </c>
      <c r="N978" t="n">
        <v>0</v>
      </c>
      <c r="O978" t="n">
        <v>0</v>
      </c>
      <c r="P978" t="n">
        <v>0</v>
      </c>
      <c r="Q978" t="n">
        <v>1</v>
      </c>
      <c r="R978" t="n">
        <v>1</v>
      </c>
      <c r="S978" t="n">
        <v>1</v>
      </c>
      <c r="T978" t="n">
        <v>1</v>
      </c>
      <c r="U978" t="n">
        <v>1</v>
      </c>
      <c r="V978" s="2" t="inlineStr">
        <is>
          <t>Ryl</t>
        </is>
      </c>
      <c r="W978">
        <f>HYPERLINK("https://klasma.github.io/Logging_0884/artfynd/A 32985-2023 artfynd.xlsx", "A 32985-2023")</f>
        <v/>
      </c>
      <c r="X978">
        <f>HYPERLINK("https://klasma.github.io/Logging_0884/kartor/A 32985-2023 karta.png", "A 32985-2023")</f>
        <v/>
      </c>
      <c r="Y978">
        <f>HYPERLINK("https://klasma.github.io/Logging_0884/kartor_geotiff/A 32985-2023 georefererad karta.tif", "A 32985-2023")</f>
        <v/>
      </c>
      <c r="AA978">
        <f>HYPERLINK("https://klasma.github.io/Logging_0884/klagomål/A 32985-2023 FSC-klagomål.docx", "A 32985-2023")</f>
        <v/>
      </c>
      <c r="AB978">
        <f>HYPERLINK("https://klasma.github.io/Logging_0884/klagomålsmail/A 32985-2023 FSC-klagomål mail.docx", "A 32985-2023")</f>
        <v/>
      </c>
      <c r="AC978">
        <f>HYPERLINK("https://klasma.github.io/Logging_0884/tillsyn/A 32985-2023 tillsynsbegäran.docx", "A 32985-2023")</f>
        <v/>
      </c>
      <c r="AD978">
        <f>HYPERLINK("https://klasma.github.io/Logging_0884/tillsynsmail/A 32985-2023 tillsynsbegäran mail.docx", "A 32985-2023")</f>
        <v/>
      </c>
    </row>
    <row r="979" ht="15" customHeight="1">
      <c r="A979" t="inlineStr">
        <is>
          <t>A 62183-2025</t>
        </is>
      </c>
      <c r="B979" t="inlineStr">
        <is>
          <t>avverkningsanmälan</t>
        </is>
      </c>
      <c r="C979" t="inlineStr">
        <is>
          <t>Föryngringsavverkning</t>
        </is>
      </c>
      <c r="D979" s="1" t="n">
        <v>46006</v>
      </c>
      <c r="E979" s="1" t="n">
        <v>46323</v>
      </c>
      <c r="F979" t="inlineStr">
        <is>
          <t>KALMAR LÄN</t>
        </is>
      </c>
      <c r="G979" t="inlineStr">
        <is>
          <t>MÖRBYLÅNGA</t>
        </is>
      </c>
      <c r="I979" t="n">
        <v>0.8</v>
      </c>
      <c r="J979" t="n">
        <v>0</v>
      </c>
      <c r="K979" t="n">
        <v>0</v>
      </c>
      <c r="L979" t="n">
        <v>1</v>
      </c>
      <c r="M979" t="n">
        <v>0</v>
      </c>
      <c r="N979" t="n">
        <v>0</v>
      </c>
      <c r="O979" t="n">
        <v>0</v>
      </c>
      <c r="P979" t="n">
        <v>0</v>
      </c>
      <c r="Q979" t="n">
        <v>1</v>
      </c>
      <c r="R979" t="n">
        <v>0</v>
      </c>
      <c r="S979" t="n">
        <v>1</v>
      </c>
      <c r="T979" t="n">
        <v>1</v>
      </c>
      <c r="U979" t="n">
        <v>0</v>
      </c>
      <c r="V979" s="2" t="inlineStr">
        <is>
          <t>Kösa</t>
        </is>
      </c>
      <c r="W979">
        <f>HYPERLINK("https://klasma.github.io/Logging_0840/artfynd/A 62183-2025 artfynd.xlsx", "A 62183-2025")</f>
        <v/>
      </c>
      <c r="X979">
        <f>HYPERLINK("https://klasma.github.io/Logging_0840/kartor/A 62183-2025 karta.png", "A 62183-2025")</f>
        <v/>
      </c>
      <c r="Y979">
        <f>HYPERLINK("https://klasma.github.io/Logging_0840/kartor_geotiff/A 62183-2025 georefererad karta.tif", "A 62183-2025")</f>
        <v/>
      </c>
      <c r="AA979">
        <f>HYPERLINK("https://klasma.github.io/Logging_0840/klagomål/A 62183-2025 FSC-klagomål.docx", "A 62183-2025")</f>
        <v/>
      </c>
      <c r="AB979">
        <f>HYPERLINK("https://klasma.github.io/Logging_0840/klagomålsmail/A 62183-2025 FSC-klagomål mail.docx", "A 62183-2025")</f>
        <v/>
      </c>
      <c r="AC979">
        <f>HYPERLINK("https://klasma.github.io/Logging_0840/tillsyn/A 62183-2025 tillsynsbegäran.docx", "A 62183-2025")</f>
        <v/>
      </c>
      <c r="AD979">
        <f>HYPERLINK("https://klasma.github.io/Logging_0840/tillsynsmail/A 62183-2025 tillsynsbegäran mail.docx", "A 62183-2025")</f>
        <v/>
      </c>
    </row>
    <row r="980" ht="15" customHeight="1">
      <c r="A980" t="inlineStr">
        <is>
          <t>A 1519-2022</t>
        </is>
      </c>
      <c r="B980" t="inlineStr">
        <is>
          <t>avverkningsanmälan</t>
        </is>
      </c>
      <c r="C980" t="inlineStr">
        <is>
          <t>Föryngringsavverkning</t>
        </is>
      </c>
      <c r="D980" s="1" t="n">
        <v>44573</v>
      </c>
      <c r="E980" s="1" t="n">
        <v>46323</v>
      </c>
      <c r="F980" t="inlineStr">
        <is>
          <t>KALMAR LÄN</t>
        </is>
      </c>
      <c r="G980" t="inlineStr">
        <is>
          <t>HÖGSBY</t>
        </is>
      </c>
      <c r="I980" t="n">
        <v>2.6</v>
      </c>
      <c r="J980" t="n">
        <v>0</v>
      </c>
      <c r="K980" t="n">
        <v>0</v>
      </c>
      <c r="L980" t="n">
        <v>0</v>
      </c>
      <c r="M980" t="n">
        <v>1</v>
      </c>
      <c r="N980" t="n">
        <v>0</v>
      </c>
      <c r="O980" t="n">
        <v>0</v>
      </c>
      <c r="P980" t="n">
        <v>0</v>
      </c>
      <c r="Q980" t="n">
        <v>1</v>
      </c>
      <c r="R980" t="n">
        <v>1</v>
      </c>
      <c r="S980" t="n">
        <v>1</v>
      </c>
      <c r="T980" t="n">
        <v>1</v>
      </c>
      <c r="U980" t="n">
        <v>0</v>
      </c>
      <c r="V980" s="2" t="inlineStr">
        <is>
          <t>Slåttergubbe</t>
        </is>
      </c>
      <c r="W980">
        <f>HYPERLINK("https://klasma.github.io/Logging_0821/artfynd/A 1519-2022 artfynd.xlsx", "A 1519-2022")</f>
        <v/>
      </c>
      <c r="X980">
        <f>HYPERLINK("https://klasma.github.io/Logging_0821/kartor/A 1519-2022 karta.png", "A 1519-2022")</f>
        <v/>
      </c>
      <c r="Y980">
        <f>HYPERLINK("https://klasma.github.io/Logging_0821/kartor_geotiff/A 1519-2022 georefererad karta.tif", "A 1519-2022")</f>
        <v/>
      </c>
      <c r="AA980">
        <f>HYPERLINK("https://klasma.github.io/Logging_0821/klagomål/A 1519-2022 FSC-klagomål.docx", "A 1519-2022")</f>
        <v/>
      </c>
      <c r="AB980">
        <f>HYPERLINK("https://klasma.github.io/Logging_0821/klagomålsmail/A 1519-2022 FSC-klagomål mail.docx", "A 1519-2022")</f>
        <v/>
      </c>
      <c r="AC980">
        <f>HYPERLINK("https://klasma.github.io/Logging_0821/tillsyn/A 1519-2022 tillsynsbegäran.docx", "A 1519-2022")</f>
        <v/>
      </c>
      <c r="AD980">
        <f>HYPERLINK("https://klasma.github.io/Logging_0821/tillsynsmail/A 1519-2022 tillsynsbegäran mail.docx", "A 1519-2022")</f>
        <v/>
      </c>
    </row>
    <row r="981" ht="15" customHeight="1">
      <c r="A981" t="inlineStr">
        <is>
          <t>A 68096-2021</t>
        </is>
      </c>
      <c r="B981" t="inlineStr">
        <is>
          <t>avverkningsanmälan</t>
        </is>
      </c>
      <c r="C981" t="inlineStr">
        <is>
          <t>Föryngringsavverkning</t>
        </is>
      </c>
      <c r="D981" s="1" t="n">
        <v>44526</v>
      </c>
      <c r="E981" s="1" t="n">
        <v>46323</v>
      </c>
      <c r="F981" t="inlineStr">
        <is>
          <t>KALMAR LÄN</t>
        </is>
      </c>
      <c r="G981" t="inlineStr">
        <is>
          <t>HULTSFRED</t>
        </is>
      </c>
      <c r="I981" t="n">
        <v>5.8</v>
      </c>
      <c r="J981" t="n">
        <v>1</v>
      </c>
      <c r="K981" t="n">
        <v>0</v>
      </c>
      <c r="L981" t="n">
        <v>0</v>
      </c>
      <c r="M981" t="n">
        <v>1</v>
      </c>
      <c r="N981" t="n">
        <v>0</v>
      </c>
      <c r="O981" t="n">
        <v>0</v>
      </c>
      <c r="P981" t="n">
        <v>0</v>
      </c>
      <c r="Q981" t="n">
        <v>1</v>
      </c>
      <c r="R981" t="n">
        <v>1</v>
      </c>
      <c r="S981" t="n">
        <v>1</v>
      </c>
      <c r="T981" t="n">
        <v>8</v>
      </c>
      <c r="U981" t="n">
        <v>8</v>
      </c>
      <c r="V981" s="2" t="inlineStr">
        <is>
          <t>Knärot</t>
        </is>
      </c>
      <c r="W981">
        <f>HYPERLINK("https://klasma.github.io/Logging_0860/artfynd/A 68096-2021 artfynd.xlsx", "A 68096-2021")</f>
        <v/>
      </c>
      <c r="X981">
        <f>HYPERLINK("https://klasma.github.io/Logging_0860/kartor/A 68096-2021 karta.png", "A 68096-2021")</f>
        <v/>
      </c>
      <c r="Y981">
        <f>HYPERLINK("https://klasma.github.io/Logging_0860/kartor_geotiff/A 68096-2021 georefererad karta.tif", "A 68096-2021")</f>
        <v/>
      </c>
      <c r="Z981">
        <f>HYPERLINK("https://klasma.github.io/Logging_0860/knärot/A 68096-2021 karta knärot.png", "A 68096-2021")</f>
        <v/>
      </c>
      <c r="AA981">
        <f>HYPERLINK("https://klasma.github.io/Logging_0860/klagomål/A 68096-2021 FSC-klagomål.docx", "A 68096-2021")</f>
        <v/>
      </c>
      <c r="AB981">
        <f>HYPERLINK("https://klasma.github.io/Logging_0860/klagomålsmail/A 68096-2021 FSC-klagomål mail.docx", "A 68096-2021")</f>
        <v/>
      </c>
      <c r="AC981">
        <f>HYPERLINK("https://klasma.github.io/Logging_0860/tillsyn/A 68096-2021 tillsynsbegäran.docx", "A 68096-2021")</f>
        <v/>
      </c>
      <c r="AD981">
        <f>HYPERLINK("https://klasma.github.io/Logging_0860/tillsynsmail/A 68096-2021 tillsynsbegäran mail.docx", "A 68096-2021")</f>
        <v/>
      </c>
    </row>
    <row r="982" ht="15" customHeight="1">
      <c r="A982" t="inlineStr">
        <is>
          <t>A 5755-2022</t>
        </is>
      </c>
      <c r="B982" t="inlineStr">
        <is>
          <t>avverkningsanmälan</t>
        </is>
      </c>
      <c r="C982" t="inlineStr">
        <is>
          <t>Föryngringsavverkning</t>
        </is>
      </c>
      <c r="D982" s="1" t="n">
        <v>44596</v>
      </c>
      <c r="E982" s="1" t="n">
        <v>46323</v>
      </c>
      <c r="F982" t="inlineStr">
        <is>
          <t>KALMAR LÄN</t>
        </is>
      </c>
      <c r="G982" t="inlineStr">
        <is>
          <t>TORSÅS</t>
        </is>
      </c>
      <c r="I982" t="n">
        <v>1.4</v>
      </c>
      <c r="J982" t="n">
        <v>0</v>
      </c>
      <c r="K982" t="n">
        <v>0</v>
      </c>
      <c r="L982" t="n">
        <v>1</v>
      </c>
      <c r="M982" t="n">
        <v>0</v>
      </c>
      <c r="N982" t="n">
        <v>0</v>
      </c>
      <c r="O982" t="n">
        <v>0</v>
      </c>
      <c r="P982" t="n">
        <v>0</v>
      </c>
      <c r="Q982" t="n">
        <v>1</v>
      </c>
      <c r="R982" t="n">
        <v>0</v>
      </c>
      <c r="S982" t="n">
        <v>1</v>
      </c>
      <c r="T982" t="n">
        <v>1</v>
      </c>
      <c r="U982" t="n">
        <v>1</v>
      </c>
      <c r="V982" s="2" t="inlineStr">
        <is>
          <t>Åkerkål</t>
        </is>
      </c>
      <c r="W982">
        <f>HYPERLINK("https://klasma.github.io/Logging_0834/artfynd/A 5755-2022 artfynd.xlsx", "A 5755-2022")</f>
        <v/>
      </c>
      <c r="X982">
        <f>HYPERLINK("https://klasma.github.io/Logging_0834/kartor/A 5755-2022 karta.png", "A 5755-2022")</f>
        <v/>
      </c>
      <c r="Y982">
        <f>HYPERLINK("https://klasma.github.io/Logging_0834/kartor_geotiff/A 5755-2022 georefererad karta.tif", "A 5755-2022")</f>
        <v/>
      </c>
      <c r="AA982">
        <f>HYPERLINK("https://klasma.github.io/Logging_0834/klagomål/A 5755-2022 FSC-klagomål.docx", "A 5755-2022")</f>
        <v/>
      </c>
      <c r="AB982">
        <f>HYPERLINK("https://klasma.github.io/Logging_0834/klagomålsmail/A 5755-2022 FSC-klagomål mail.docx", "A 5755-2022")</f>
        <v/>
      </c>
      <c r="AC982">
        <f>HYPERLINK("https://klasma.github.io/Logging_0834/tillsyn/A 5755-2022 tillsynsbegäran.docx", "A 5755-2022")</f>
        <v/>
      </c>
      <c r="AD982">
        <f>HYPERLINK("https://klasma.github.io/Logging_0834/tillsynsmail/A 5755-2022 tillsynsbegäran mail.docx", "A 5755-2022")</f>
        <v/>
      </c>
    </row>
    <row r="983" ht="15" customHeight="1">
      <c r="A983" t="inlineStr">
        <is>
          <t>A 6931-2025</t>
        </is>
      </c>
      <c r="B983" t="inlineStr">
        <is>
          <t>avverkningsanmälan</t>
        </is>
      </c>
      <c r="C983" t="inlineStr">
        <is>
          <t>Föryngringsavverkning</t>
        </is>
      </c>
      <c r="D983" s="1" t="n">
        <v>45701</v>
      </c>
      <c r="E983" s="1" t="n">
        <v>46323</v>
      </c>
      <c r="F983" t="inlineStr">
        <is>
          <t>KALMAR LÄN</t>
        </is>
      </c>
      <c r="G983" t="inlineStr">
        <is>
          <t>NYBRO</t>
        </is>
      </c>
      <c r="I983" t="n">
        <v>2.7</v>
      </c>
      <c r="J983" t="n">
        <v>0</v>
      </c>
      <c r="K983" t="n">
        <v>1</v>
      </c>
      <c r="L983" t="n">
        <v>0</v>
      </c>
      <c r="M983" t="n">
        <v>0</v>
      </c>
      <c r="N983" t="n">
        <v>0</v>
      </c>
      <c r="O983" t="n">
        <v>0</v>
      </c>
      <c r="P983" t="n">
        <v>0</v>
      </c>
      <c r="Q983" t="n">
        <v>0</v>
      </c>
      <c r="R983" t="n">
        <v>0</v>
      </c>
      <c r="S983" t="n">
        <v>1</v>
      </c>
      <c r="T983" t="n">
        <v>1</v>
      </c>
      <c r="U983" t="n">
        <v>1</v>
      </c>
      <c r="V983" s="2" t="inlineStr">
        <is>
          <t>Grönpyrola</t>
        </is>
      </c>
      <c r="W983">
        <f>HYPERLINK("https://klasma.github.io/Logging_0881/artfynd/A 6931-2025 artfynd.xlsx", "A 6931-2025")</f>
        <v/>
      </c>
      <c r="X983">
        <f>HYPERLINK("https://klasma.github.io/Logging_0881/kartor/A 6931-2025 karta.png", "A 6931-2025")</f>
        <v/>
      </c>
      <c r="Y983">
        <f>HYPERLINK("https://klasma.github.io/Logging_0881/kartor_geotiff/A 6931-2025 georefererad karta.tif", "A 6931-2025")</f>
        <v/>
      </c>
      <c r="AA983">
        <f>HYPERLINK("https://klasma.github.io/Logging_0881/klagomål/A 6931-2025 FSC-klagomål.docx", "A 6931-2025")</f>
        <v/>
      </c>
      <c r="AB983">
        <f>HYPERLINK("https://klasma.github.io/Logging_0881/klagomålsmail/A 6931-2025 FSC-klagomål mail.docx", "A 6931-2025")</f>
        <v/>
      </c>
      <c r="AC983">
        <f>HYPERLINK("https://klasma.github.io/Logging_0881/tillsyn/A 6931-2025 tillsynsbegäran.docx", "A 6931-2025")</f>
        <v/>
      </c>
      <c r="AD983">
        <f>HYPERLINK("https://klasma.github.io/Logging_0881/tillsynsmail/A 6931-2025 tillsynsbegäran mail.docx", "A 6931-2025")</f>
        <v/>
      </c>
    </row>
    <row r="984" ht="15" customHeight="1">
      <c r="A984" t="inlineStr">
        <is>
          <t>A 23662-2024</t>
        </is>
      </c>
      <c r="B984" t="inlineStr">
        <is>
          <t>avverkningsanmälan</t>
        </is>
      </c>
      <c r="C984" t="inlineStr">
        <is>
          <t>Föryngringsavverkning</t>
        </is>
      </c>
      <c r="D984" s="1" t="n">
        <v>45454</v>
      </c>
      <c r="E984" s="1" t="n">
        <v>46323</v>
      </c>
      <c r="F984" t="inlineStr">
        <is>
          <t>KALMAR LÄN</t>
        </is>
      </c>
      <c r="G984" t="inlineStr">
        <is>
          <t>KALMAR</t>
        </is>
      </c>
      <c r="I984" t="n">
        <v>3</v>
      </c>
      <c r="J984" t="n">
        <v>1</v>
      </c>
      <c r="K984" t="n">
        <v>0</v>
      </c>
      <c r="L984" t="n">
        <v>0</v>
      </c>
      <c r="M984" t="n">
        <v>0</v>
      </c>
      <c r="N984" t="n">
        <v>0</v>
      </c>
      <c r="O984" t="n">
        <v>0</v>
      </c>
      <c r="P984" t="n">
        <v>0</v>
      </c>
      <c r="Q984" t="n">
        <v>0</v>
      </c>
      <c r="R984" t="n">
        <v>0</v>
      </c>
      <c r="S984" t="n">
        <v>1</v>
      </c>
      <c r="T984" t="n">
        <v>1</v>
      </c>
      <c r="U984" t="n">
        <v>0</v>
      </c>
      <c r="V984" s="2" t="inlineStr">
        <is>
          <t>Grönsiska</t>
        </is>
      </c>
      <c r="W984">
        <f>HYPERLINK("https://klasma.github.io/Logging_0880/artfynd/A 23662-2024 artfynd.xlsx", "A 23662-2024")</f>
        <v/>
      </c>
      <c r="X984">
        <f>HYPERLINK("https://klasma.github.io/Logging_0880/kartor/A 23662-2024 karta.png", "A 23662-2024")</f>
        <v/>
      </c>
      <c r="Y984">
        <f>HYPERLINK("https://klasma.github.io/Logging_0880/kartor_geotiff/A 23662-2024 georefererad karta.tif", "A 23662-2024")</f>
        <v/>
      </c>
      <c r="AA984">
        <f>HYPERLINK("https://klasma.github.io/Logging_0880/klagomål/A 23662-2024 FSC-klagomål.docx", "A 23662-2024")</f>
        <v/>
      </c>
      <c r="AB984">
        <f>HYPERLINK("https://klasma.github.io/Logging_0880/klagomålsmail/A 23662-2024 FSC-klagomål mail.docx", "A 23662-2024")</f>
        <v/>
      </c>
      <c r="AC984">
        <f>HYPERLINK("https://klasma.github.io/Logging_0880/tillsyn/A 23662-2024 tillsynsbegäran.docx", "A 23662-2024")</f>
        <v/>
      </c>
      <c r="AD984">
        <f>HYPERLINK("https://klasma.github.io/Logging_0880/tillsynsmail/A 23662-2024 tillsynsbegäran mail.docx", "A 23662-2024")</f>
        <v/>
      </c>
    </row>
    <row r="985" ht="15" customHeight="1">
      <c r="A985" t="inlineStr">
        <is>
          <t>A 40256-2023</t>
        </is>
      </c>
      <c r="B985" t="inlineStr">
        <is>
          <t>avverkningsanmälan</t>
        </is>
      </c>
      <c r="C985" t="inlineStr">
        <is>
          <t>Föryngringsavverkning</t>
        </is>
      </c>
      <c r="D985" s="1" t="n">
        <v>45169</v>
      </c>
      <c r="E985" s="1" t="n">
        <v>46323</v>
      </c>
      <c r="F985" t="inlineStr">
        <is>
          <t>KALMAR LÄN</t>
        </is>
      </c>
      <c r="G985" t="inlineStr">
        <is>
          <t>HULTSFRED</t>
        </is>
      </c>
      <c r="I985" t="n">
        <v>2.2</v>
      </c>
      <c r="J985" t="n">
        <v>1</v>
      </c>
      <c r="K985" t="n">
        <v>0</v>
      </c>
      <c r="L985" t="n">
        <v>0</v>
      </c>
      <c r="M985" t="n">
        <v>1</v>
      </c>
      <c r="N985" t="n">
        <v>0</v>
      </c>
      <c r="O985" t="n">
        <v>0</v>
      </c>
      <c r="P985" t="n">
        <v>0</v>
      </c>
      <c r="Q985" t="n">
        <v>1</v>
      </c>
      <c r="R985" t="n">
        <v>1</v>
      </c>
      <c r="S985" t="n">
        <v>1</v>
      </c>
      <c r="T985" t="n">
        <v>1</v>
      </c>
      <c r="U985" t="n">
        <v>0</v>
      </c>
      <c r="V985" s="2" t="inlineStr">
        <is>
          <t>Tofsvipa</t>
        </is>
      </c>
      <c r="W985">
        <f>HYPERLINK("https://klasma.github.io/Logging_0860/artfynd/A 40256-2023 artfynd.xlsx", "A 40256-2023")</f>
        <v/>
      </c>
      <c r="X985">
        <f>HYPERLINK("https://klasma.github.io/Logging_0860/kartor/A 40256-2023 karta.png", "A 40256-2023")</f>
        <v/>
      </c>
      <c r="Y985">
        <f>HYPERLINK("https://klasma.github.io/Logging_0860/kartor_geotiff/A 40256-2023 georefererad karta.tif", "A 40256-2023")</f>
        <v/>
      </c>
      <c r="AA985">
        <f>HYPERLINK("https://klasma.github.io/Logging_0860/klagomål/A 40256-2023 FSC-klagomål.docx", "A 40256-2023")</f>
        <v/>
      </c>
      <c r="AB985">
        <f>HYPERLINK("https://klasma.github.io/Logging_0860/klagomålsmail/A 40256-2023 FSC-klagomål mail.docx", "A 40256-2023")</f>
        <v/>
      </c>
      <c r="AC985">
        <f>HYPERLINK("https://klasma.github.io/Logging_0860/tillsyn/A 40256-2023 tillsynsbegäran.docx", "A 40256-2023")</f>
        <v/>
      </c>
      <c r="AD985">
        <f>HYPERLINK("https://klasma.github.io/Logging_0860/tillsynsmail/A 40256-2023 tillsynsbegäran mail.docx", "A 40256-2023")</f>
        <v/>
      </c>
    </row>
    <row r="986" ht="15" customHeight="1">
      <c r="A986" t="inlineStr">
        <is>
          <t>A 28852-2023</t>
        </is>
      </c>
      <c r="B986" t="inlineStr">
        <is>
          <t>avverkningsanmälan</t>
        </is>
      </c>
      <c r="C986" t="inlineStr">
        <is>
          <t>Avverkning för annat ändamål</t>
        </is>
      </c>
      <c r="D986" s="1" t="n">
        <v>45104</v>
      </c>
      <c r="E986" s="1" t="n">
        <v>46323</v>
      </c>
      <c r="F986" t="inlineStr">
        <is>
          <t>KALMAR LÄN</t>
        </is>
      </c>
      <c r="G986" t="inlineStr">
        <is>
          <t>VIMMERBY</t>
        </is>
      </c>
      <c r="I986" t="n">
        <v>0.7</v>
      </c>
      <c r="J986" t="n">
        <v>0</v>
      </c>
      <c r="K986" t="n">
        <v>1</v>
      </c>
      <c r="L986" t="n">
        <v>0</v>
      </c>
      <c r="M986" t="n">
        <v>0</v>
      </c>
      <c r="N986" t="n">
        <v>0</v>
      </c>
      <c r="O986" t="n">
        <v>0</v>
      </c>
      <c r="P986" t="n">
        <v>0</v>
      </c>
      <c r="Q986" t="n">
        <v>0</v>
      </c>
      <c r="R986" t="n">
        <v>0</v>
      </c>
      <c r="S986" t="n">
        <v>1</v>
      </c>
      <c r="T986" t="n">
        <v>1</v>
      </c>
      <c r="U986" t="n">
        <v>0</v>
      </c>
      <c r="V986" s="2" t="inlineStr">
        <is>
          <t>Tibast</t>
        </is>
      </c>
      <c r="W986">
        <f>HYPERLINK("https://klasma.github.io/Logging_0884/artfynd/A 28852-2023 artfynd.xlsx", "A 28852-2023")</f>
        <v/>
      </c>
      <c r="X986">
        <f>HYPERLINK("https://klasma.github.io/Logging_0884/kartor/A 28852-2023 karta.png", "A 28852-2023")</f>
        <v/>
      </c>
      <c r="Y986">
        <f>HYPERLINK("https://klasma.github.io/Logging_0884/kartor_geotiff/A 28852-2023 georefererad karta.tif", "A 28852-2023")</f>
        <v/>
      </c>
      <c r="AA986">
        <f>HYPERLINK("https://klasma.github.io/Logging_0884/klagomål/A 28852-2023 FSC-klagomål.docx", "A 28852-2023")</f>
        <v/>
      </c>
      <c r="AB986">
        <f>HYPERLINK("https://klasma.github.io/Logging_0884/klagomålsmail/A 28852-2023 FSC-klagomål mail.docx", "A 28852-2023")</f>
        <v/>
      </c>
      <c r="AC986">
        <f>HYPERLINK("https://klasma.github.io/Logging_0884/tillsyn/A 28852-2023 tillsynsbegäran.docx", "A 28852-2023")</f>
        <v/>
      </c>
      <c r="AD986">
        <f>HYPERLINK("https://klasma.github.io/Logging_0884/tillsynsmail/A 28852-2023 tillsynsbegäran mail.docx", "A 28852-2023")</f>
        <v/>
      </c>
    </row>
    <row r="987" ht="15" customHeight="1">
      <c r="A987" t="inlineStr">
        <is>
          <t>A 28894-2026</t>
        </is>
      </c>
      <c r="B987" t="inlineStr">
        <is>
          <t>avverkningsanmälan</t>
        </is>
      </c>
      <c r="C987" t="inlineStr">
        <is>
          <t>Föryngringsavverkning</t>
        </is>
      </c>
      <c r="D987" s="1" t="n">
        <v>46199</v>
      </c>
      <c r="E987" s="1" t="n">
        <v>46323</v>
      </c>
      <c r="F987" t="inlineStr">
        <is>
          <t>KALMAR LÄN</t>
        </is>
      </c>
      <c r="G987" t="inlineStr">
        <is>
          <t>HÖGSBY</t>
        </is>
      </c>
      <c r="I987" t="n">
        <v>6.3</v>
      </c>
      <c r="J987" t="n">
        <v>1</v>
      </c>
      <c r="K987" t="n">
        <v>0</v>
      </c>
      <c r="L987" t="n">
        <v>0</v>
      </c>
      <c r="M987" t="n">
        <v>0</v>
      </c>
      <c r="N987" t="n">
        <v>0</v>
      </c>
      <c r="O987" t="n">
        <v>0</v>
      </c>
      <c r="P987" t="n">
        <v>0</v>
      </c>
      <c r="Q987" t="n">
        <v>0</v>
      </c>
      <c r="R987" t="n">
        <v>0</v>
      </c>
      <c r="S987" t="n">
        <v>1</v>
      </c>
      <c r="T987" t="n">
        <v>1</v>
      </c>
      <c r="U987" t="n">
        <v>0</v>
      </c>
      <c r="V987" s="2" t="inlineStr">
        <is>
          <t>Spillkråka</t>
        </is>
      </c>
      <c r="W987">
        <f>HYPERLINK("https://klasma.github.io/Logging_0821/artfynd/A 28894-2026 artfynd.xlsx", "A 28894-2026")</f>
        <v/>
      </c>
      <c r="X987">
        <f>HYPERLINK("https://klasma.github.io/Logging_0821/kartor/A 28894-2026 karta.png", "A 28894-2026")</f>
        <v/>
      </c>
      <c r="Y987">
        <f>HYPERLINK("https://klasma.github.io/Logging_0821/kartor_geotiff/A 28894-2026 georefererad karta.tif", "A 28894-2026")</f>
        <v/>
      </c>
      <c r="AA987">
        <f>HYPERLINK("https://klasma.github.io/Logging_0821/klagomål/A 28894-2026 FSC-klagomål.docx", "A 28894-2026")</f>
        <v/>
      </c>
      <c r="AB987">
        <f>HYPERLINK("https://klasma.github.io/Logging_0821/klagomålsmail/A 28894-2026 FSC-klagomål mail.docx", "A 28894-2026")</f>
        <v/>
      </c>
      <c r="AC987">
        <f>HYPERLINK("https://klasma.github.io/Logging_0821/tillsyn/A 28894-2026 tillsynsbegäran.docx", "A 28894-2026")</f>
        <v/>
      </c>
      <c r="AD987">
        <f>HYPERLINK("https://klasma.github.io/Logging_0821/tillsynsmail/A 28894-2026 tillsynsbegäran mail.docx", "A 28894-2026")</f>
        <v/>
      </c>
      <c r="AE987">
        <f>HYPERLINK("https://klasma.github.io/Logging_0821/fåglar/A 28894-2026 prioriterade fågelarter.docx", "A 28894-2026")</f>
        <v/>
      </c>
    </row>
    <row r="988" ht="15" customHeight="1">
      <c r="A988" t="inlineStr">
        <is>
          <t>A 6406-2024</t>
        </is>
      </c>
      <c r="B988" t="inlineStr">
        <is>
          <t>avverkningsanmälan</t>
        </is>
      </c>
      <c r="C988" t="inlineStr">
        <is>
          <t>Avverkning för annat ändamål</t>
        </is>
      </c>
      <c r="D988" s="1" t="n">
        <v>45338</v>
      </c>
      <c r="E988" s="1" t="n">
        <v>46323</v>
      </c>
      <c r="F988" t="inlineStr">
        <is>
          <t>KALMAR LÄN</t>
        </is>
      </c>
      <c r="G988" t="inlineStr">
        <is>
          <t>VÄSTERVIK</t>
        </is>
      </c>
      <c r="I988" t="n">
        <v>5.5</v>
      </c>
      <c r="J988" t="n">
        <v>1</v>
      </c>
      <c r="K988" t="n">
        <v>0</v>
      </c>
      <c r="L988" t="n">
        <v>0</v>
      </c>
      <c r="M988" t="n">
        <v>1</v>
      </c>
      <c r="N988" t="n">
        <v>0</v>
      </c>
      <c r="O988" t="n">
        <v>0</v>
      </c>
      <c r="P988" t="n">
        <v>0</v>
      </c>
      <c r="Q988" t="n">
        <v>1</v>
      </c>
      <c r="R988" t="n">
        <v>1</v>
      </c>
      <c r="S988" t="n">
        <v>1</v>
      </c>
      <c r="T988" t="n">
        <v>3</v>
      </c>
      <c r="U988" t="n">
        <v>3</v>
      </c>
      <c r="V988" s="2" t="inlineStr">
        <is>
          <t>Knärot</t>
        </is>
      </c>
      <c r="W988">
        <f>HYPERLINK("https://klasma.github.io/Logging_0883/artfynd/A 6406-2024 artfynd.xlsx", "A 6406-2024")</f>
        <v/>
      </c>
      <c r="X988">
        <f>HYPERLINK("https://klasma.github.io/Logging_0883/kartor/A 6406-2024 karta.png", "A 6406-2024")</f>
        <v/>
      </c>
      <c r="Y988">
        <f>HYPERLINK("https://klasma.github.io/Logging_0883/kartor_geotiff/A 6406-2024 georefererad karta.tif", "A 6406-2024")</f>
        <v/>
      </c>
      <c r="Z988">
        <f>HYPERLINK("https://klasma.github.io/Logging_0883/knärot/A 6406-2024 karta knärot.png", "A 6406-2024")</f>
        <v/>
      </c>
      <c r="AA988">
        <f>HYPERLINK("https://klasma.github.io/Logging_0883/klagomål/A 6406-2024 FSC-klagomål.docx", "A 6406-2024")</f>
        <v/>
      </c>
      <c r="AB988">
        <f>HYPERLINK("https://klasma.github.io/Logging_0883/klagomålsmail/A 6406-2024 FSC-klagomål mail.docx", "A 6406-2024")</f>
        <v/>
      </c>
      <c r="AC988">
        <f>HYPERLINK("https://klasma.github.io/Logging_0883/tillsyn/A 6406-2024 tillsynsbegäran.docx", "A 6406-2024")</f>
        <v/>
      </c>
      <c r="AD988">
        <f>HYPERLINK("https://klasma.github.io/Logging_0883/tillsynsmail/A 6406-2024 tillsynsbegäran mail.docx", "A 6406-2024")</f>
        <v/>
      </c>
    </row>
    <row r="989" ht="15" customHeight="1">
      <c r="A989" t="inlineStr">
        <is>
          <t>A 13690-2022</t>
        </is>
      </c>
      <c r="B989" t="inlineStr">
        <is>
          <t>avverkningsanmälan</t>
        </is>
      </c>
      <c r="C989" t="inlineStr">
        <is>
          <t>Föryngringsavverkning</t>
        </is>
      </c>
      <c r="D989" s="1" t="n">
        <v>44648</v>
      </c>
      <c r="E989" s="1" t="n">
        <v>46323</v>
      </c>
      <c r="F989" t="inlineStr">
        <is>
          <t>KALMAR LÄN</t>
        </is>
      </c>
      <c r="G989" t="inlineStr">
        <is>
          <t>NYBRO</t>
        </is>
      </c>
      <c r="H989" t="inlineStr">
        <is>
          <t>Kommuner</t>
        </is>
      </c>
      <c r="I989" t="n">
        <v>8.300000000000001</v>
      </c>
      <c r="J989" t="n">
        <v>1</v>
      </c>
      <c r="K989" t="n">
        <v>0</v>
      </c>
      <c r="L989" t="n">
        <v>0</v>
      </c>
      <c r="M989" t="n">
        <v>1</v>
      </c>
      <c r="N989" t="n">
        <v>0</v>
      </c>
      <c r="O989" t="n">
        <v>0</v>
      </c>
      <c r="P989" t="n">
        <v>0</v>
      </c>
      <c r="Q989" t="n">
        <v>1</v>
      </c>
      <c r="R989" t="n">
        <v>1</v>
      </c>
      <c r="S989" t="n">
        <v>1</v>
      </c>
      <c r="T989" t="n">
        <v>7</v>
      </c>
      <c r="U989" t="n">
        <v>7</v>
      </c>
      <c r="V989" s="2" t="inlineStr">
        <is>
          <t>Knärot</t>
        </is>
      </c>
      <c r="W989">
        <f>HYPERLINK("https://klasma.github.io/Logging_0881/artfynd/A 13690-2022 artfynd.xlsx", "A 13690-2022")</f>
        <v/>
      </c>
      <c r="X989">
        <f>HYPERLINK("https://klasma.github.io/Logging_0881/kartor/A 13690-2022 karta.png", "A 13690-2022")</f>
        <v/>
      </c>
      <c r="Y989">
        <f>HYPERLINK("https://klasma.github.io/Logging_0881/kartor_geotiff/A 13690-2022 georefererad karta.tif", "A 13690-2022")</f>
        <v/>
      </c>
      <c r="Z989">
        <f>HYPERLINK("https://klasma.github.io/Logging_0881/knärot/A 13690-2022 karta knärot.png", "A 13690-2022")</f>
        <v/>
      </c>
      <c r="AA989">
        <f>HYPERLINK("https://klasma.github.io/Logging_0881/klagomål/A 13690-2022 FSC-klagomål.docx", "A 13690-2022")</f>
        <v/>
      </c>
      <c r="AB989">
        <f>HYPERLINK("https://klasma.github.io/Logging_0881/klagomålsmail/A 13690-2022 FSC-klagomål mail.docx", "A 13690-2022")</f>
        <v/>
      </c>
      <c r="AC989">
        <f>HYPERLINK("https://klasma.github.io/Logging_0881/tillsyn/A 13690-2022 tillsynsbegäran.docx", "A 13690-2022")</f>
        <v/>
      </c>
      <c r="AD989">
        <f>HYPERLINK("https://klasma.github.io/Logging_0881/tillsynsmail/A 13690-2022 tillsynsbegäran mail.docx", "A 13690-2022")</f>
        <v/>
      </c>
    </row>
    <row r="990" ht="15" customHeight="1">
      <c r="A990" t="inlineStr">
        <is>
          <t>A 28912-2026</t>
        </is>
      </c>
      <c r="B990" t="inlineStr">
        <is>
          <t>avverkningsanmälan</t>
        </is>
      </c>
      <c r="C990" t="inlineStr">
        <is>
          <t>Föryngringsavverkning</t>
        </is>
      </c>
      <c r="D990" s="1" t="n">
        <v>46199</v>
      </c>
      <c r="E990" s="1" t="n">
        <v>46323</v>
      </c>
      <c r="F990" t="inlineStr">
        <is>
          <t>KALMAR LÄN</t>
        </is>
      </c>
      <c r="G990" t="inlineStr">
        <is>
          <t>KALMAR</t>
        </is>
      </c>
      <c r="I990" t="n">
        <v>8.6</v>
      </c>
      <c r="J990" t="n">
        <v>0</v>
      </c>
      <c r="K990" t="n">
        <v>0</v>
      </c>
      <c r="L990" t="n">
        <v>1</v>
      </c>
      <c r="M990" t="n">
        <v>0</v>
      </c>
      <c r="N990" t="n">
        <v>0</v>
      </c>
      <c r="O990" t="n">
        <v>0</v>
      </c>
      <c r="P990" t="n">
        <v>0</v>
      </c>
      <c r="Q990" t="n">
        <v>1</v>
      </c>
      <c r="R990" t="n">
        <v>0</v>
      </c>
      <c r="S990" t="n">
        <v>1</v>
      </c>
      <c r="T990" t="n">
        <v>1</v>
      </c>
      <c r="U990" t="n">
        <v>0</v>
      </c>
      <c r="V990" s="2" t="inlineStr">
        <is>
          <t>Backtimjan</t>
        </is>
      </c>
      <c r="W990">
        <f>HYPERLINK("https://klasma.github.io/Logging_0880/artfynd/A 28912-2026 artfynd.xlsx", "A 28912-2026")</f>
        <v/>
      </c>
      <c r="X990">
        <f>HYPERLINK("https://klasma.github.io/Logging_0880/kartor/A 28912-2026 karta.png", "A 28912-2026")</f>
        <v/>
      </c>
      <c r="Y990">
        <f>HYPERLINK("https://klasma.github.io/Logging_0880/kartor_geotiff/A 28912-2026 georefererad karta.tif", "A 28912-2026")</f>
        <v/>
      </c>
      <c r="AA990">
        <f>HYPERLINK("https://klasma.github.io/Logging_0880/klagomål/A 28912-2026 FSC-klagomål.docx", "A 28912-2026")</f>
        <v/>
      </c>
      <c r="AB990">
        <f>HYPERLINK("https://klasma.github.io/Logging_0880/klagomålsmail/A 28912-2026 FSC-klagomål mail.docx", "A 28912-2026")</f>
        <v/>
      </c>
      <c r="AC990">
        <f>HYPERLINK("https://klasma.github.io/Logging_0880/tillsyn/A 28912-2026 tillsynsbegäran.docx", "A 28912-2026")</f>
        <v/>
      </c>
      <c r="AD990">
        <f>HYPERLINK("https://klasma.github.io/Logging_0880/tillsynsmail/A 28912-2026 tillsynsbegäran mail.docx", "A 28912-2026")</f>
        <v/>
      </c>
    </row>
    <row r="991" ht="15" customHeight="1">
      <c r="A991" t="inlineStr">
        <is>
          <t>A 42452-2023</t>
        </is>
      </c>
      <c r="B991" t="inlineStr">
        <is>
          <t>avverkningsanmälan</t>
        </is>
      </c>
      <c r="C991" t="inlineStr">
        <is>
          <t>Föryngringsavverkning</t>
        </is>
      </c>
      <c r="D991" s="1" t="n">
        <v>45180</v>
      </c>
      <c r="E991" s="1" t="n">
        <v>46323</v>
      </c>
      <c r="F991" t="inlineStr">
        <is>
          <t>KALMAR LÄN</t>
        </is>
      </c>
      <c r="G991" t="inlineStr">
        <is>
          <t>KALMAR</t>
        </is>
      </c>
      <c r="I991" t="n">
        <v>0.5</v>
      </c>
      <c r="J991" t="n">
        <v>1</v>
      </c>
      <c r="K991" t="n">
        <v>0</v>
      </c>
      <c r="L991" t="n">
        <v>1</v>
      </c>
      <c r="M991" t="n">
        <v>0</v>
      </c>
      <c r="N991" t="n">
        <v>0</v>
      </c>
      <c r="O991" t="n">
        <v>0</v>
      </c>
      <c r="P991" t="n">
        <v>0</v>
      </c>
      <c r="Q991" t="n">
        <v>1</v>
      </c>
      <c r="R991" t="n">
        <v>0</v>
      </c>
      <c r="S991" t="n">
        <v>1</v>
      </c>
      <c r="T991" t="n">
        <v>1</v>
      </c>
      <c r="U991" t="n">
        <v>1</v>
      </c>
      <c r="V991" s="2" t="inlineStr">
        <is>
          <t>Talltita</t>
        </is>
      </c>
      <c r="W991">
        <f>HYPERLINK("https://klasma.github.io/Logging_0880/artfynd/A 42452-2023 artfynd.xlsx", "A 42452-2023")</f>
        <v/>
      </c>
      <c r="X991">
        <f>HYPERLINK("https://klasma.github.io/Logging_0880/kartor/A 42452-2023 karta.png", "A 42452-2023")</f>
        <v/>
      </c>
      <c r="Y991">
        <f>HYPERLINK("https://klasma.github.io/Logging_0880/kartor_geotiff/A 42452-2023 georefererad karta.tif", "A 42452-2023")</f>
        <v/>
      </c>
      <c r="AA991">
        <f>HYPERLINK("https://klasma.github.io/Logging_0880/klagomål/A 42452-2023 FSC-klagomål.docx", "A 42452-2023")</f>
        <v/>
      </c>
      <c r="AB991">
        <f>HYPERLINK("https://klasma.github.io/Logging_0880/klagomålsmail/A 42452-2023 FSC-klagomål mail.docx", "A 42452-2023")</f>
        <v/>
      </c>
      <c r="AC991">
        <f>HYPERLINK("https://klasma.github.io/Logging_0880/tillsyn/A 42452-2023 tillsynsbegäran.docx", "A 42452-2023")</f>
        <v/>
      </c>
      <c r="AD991">
        <f>HYPERLINK("https://klasma.github.io/Logging_0880/tillsynsmail/A 42452-2023 tillsynsbegäran mail.docx", "A 42452-2023")</f>
        <v/>
      </c>
      <c r="AE991">
        <f>HYPERLINK("https://klasma.github.io/Logging_0880/fåglar/A 42452-2023 prioriterade fågelarter.docx", "A 42452-2023")</f>
        <v/>
      </c>
    </row>
    <row r="992" ht="15" customHeight="1">
      <c r="A992" t="inlineStr">
        <is>
          <t>A 29238-2026</t>
        </is>
      </c>
      <c r="B992" t="inlineStr">
        <is>
          <t>avverkningsanmälan</t>
        </is>
      </c>
      <c r="C992" t="inlineStr">
        <is>
          <t>Föryngringsavverkning</t>
        </is>
      </c>
      <c r="D992" s="1" t="n">
        <v>46202</v>
      </c>
      <c r="E992" s="1" t="n">
        <v>46323</v>
      </c>
      <c r="F992" t="inlineStr">
        <is>
          <t>KALMAR LÄN</t>
        </is>
      </c>
      <c r="G992" t="inlineStr">
        <is>
          <t>VIMMERBY</t>
        </is>
      </c>
      <c r="I992" t="n">
        <v>2.2</v>
      </c>
      <c r="J992" t="n">
        <v>0</v>
      </c>
      <c r="K992" t="n">
        <v>1</v>
      </c>
      <c r="L992" t="n">
        <v>0</v>
      </c>
      <c r="M992" t="n">
        <v>0</v>
      </c>
      <c r="N992" t="n">
        <v>0</v>
      </c>
      <c r="O992" t="n">
        <v>0</v>
      </c>
      <c r="P992" t="n">
        <v>0</v>
      </c>
      <c r="Q992" t="n">
        <v>0</v>
      </c>
      <c r="R992" t="n">
        <v>0</v>
      </c>
      <c r="S992" t="n">
        <v>1</v>
      </c>
      <c r="T992" t="n">
        <v>1</v>
      </c>
      <c r="U992" t="n">
        <v>0</v>
      </c>
      <c r="V992" s="2" t="inlineStr">
        <is>
          <t>Springkorn</t>
        </is>
      </c>
      <c r="W992">
        <f>HYPERLINK("https://klasma.github.io/Logging_0884/artfynd/A 29238-2026 artfynd.xlsx", "A 29238-2026")</f>
        <v/>
      </c>
      <c r="X992">
        <f>HYPERLINK("https://klasma.github.io/Logging_0884/kartor/A 29238-2026 karta.png", "A 29238-2026")</f>
        <v/>
      </c>
      <c r="Y992">
        <f>HYPERLINK("https://klasma.github.io/Logging_0884/kartor_geotiff/A 29238-2026 georefererad karta.tif", "A 29238-2026")</f>
        <v/>
      </c>
      <c r="AA992">
        <f>HYPERLINK("https://klasma.github.io/Logging_0884/klagomål/A 29238-2026 FSC-klagomål.docx", "A 29238-2026")</f>
        <v/>
      </c>
      <c r="AB992">
        <f>HYPERLINK("https://klasma.github.io/Logging_0884/klagomålsmail/A 29238-2026 FSC-klagomål mail.docx", "A 29238-2026")</f>
        <v/>
      </c>
      <c r="AC992">
        <f>HYPERLINK("https://klasma.github.io/Logging_0884/tillsyn/A 29238-2026 tillsynsbegäran.docx", "A 29238-2026")</f>
        <v/>
      </c>
      <c r="AD992">
        <f>HYPERLINK("https://klasma.github.io/Logging_0884/tillsynsmail/A 29238-2026 tillsynsbegäran mail.docx", "A 29238-2026")</f>
        <v/>
      </c>
    </row>
    <row r="993" ht="15" customHeight="1">
      <c r="A993" t="inlineStr">
        <is>
          <t>A 40924-2022</t>
        </is>
      </c>
      <c r="B993" t="inlineStr">
        <is>
          <t>avverkningsanmälan</t>
        </is>
      </c>
      <c r="C993" t="inlineStr">
        <is>
          <t>Föryngringsavverkning</t>
        </is>
      </c>
      <c r="D993" s="1" t="n">
        <v>44825</v>
      </c>
      <c r="E993" s="1" t="n">
        <v>46323</v>
      </c>
      <c r="F993" t="inlineStr">
        <is>
          <t>KALMAR LÄN</t>
        </is>
      </c>
      <c r="G993" t="inlineStr">
        <is>
          <t>VÄSTERVIK</t>
        </is>
      </c>
      <c r="H993" t="inlineStr">
        <is>
          <t>Sveaskog</t>
        </is>
      </c>
      <c r="I993" t="n">
        <v>0.5</v>
      </c>
      <c r="J993" t="n">
        <v>1</v>
      </c>
      <c r="K993" t="n">
        <v>0</v>
      </c>
      <c r="L993" t="n">
        <v>1</v>
      </c>
      <c r="M993" t="n">
        <v>0</v>
      </c>
      <c r="N993" t="n">
        <v>0</v>
      </c>
      <c r="O993" t="n">
        <v>0</v>
      </c>
      <c r="P993" t="n">
        <v>0</v>
      </c>
      <c r="Q993" t="n">
        <v>1</v>
      </c>
      <c r="R993" t="n">
        <v>0</v>
      </c>
      <c r="S993" t="n">
        <v>1</v>
      </c>
      <c r="T993" t="n">
        <v>1</v>
      </c>
      <c r="U993" t="n">
        <v>1</v>
      </c>
      <c r="V993" s="2" t="inlineStr">
        <is>
          <t>Barbastell</t>
        </is>
      </c>
      <c r="W993">
        <f>HYPERLINK("https://klasma.github.io/Logging_0883/artfynd/A 40924-2022 artfynd.xlsx", "A 40924-2022")</f>
        <v/>
      </c>
      <c r="X993">
        <f>HYPERLINK("https://klasma.github.io/Logging_0883/kartor/A 40924-2022 karta.png", "A 40924-2022")</f>
        <v/>
      </c>
      <c r="Y993">
        <f>HYPERLINK("https://klasma.github.io/Logging_0883/kartor_geotiff/A 40924-2022 georefererad karta.tif", "A 40924-2022")</f>
        <v/>
      </c>
      <c r="AA993">
        <f>HYPERLINK("https://klasma.github.io/Logging_0883/klagomål/A 40924-2022 FSC-klagomål.docx", "A 40924-2022")</f>
        <v/>
      </c>
      <c r="AB993">
        <f>HYPERLINK("https://klasma.github.io/Logging_0883/klagomålsmail/A 40924-2022 FSC-klagomål mail.docx", "A 40924-2022")</f>
        <v/>
      </c>
      <c r="AC993">
        <f>HYPERLINK("https://klasma.github.io/Logging_0883/tillsyn/A 40924-2022 tillsynsbegäran.docx", "A 40924-2022")</f>
        <v/>
      </c>
      <c r="AD993">
        <f>HYPERLINK("https://klasma.github.io/Logging_0883/tillsynsmail/A 40924-2022 tillsynsbegäran mail.docx", "A 40924-2022")</f>
        <v/>
      </c>
    </row>
    <row r="994" ht="15" customHeight="1">
      <c r="A994" t="inlineStr">
        <is>
          <t>A 44515-2024</t>
        </is>
      </c>
      <c r="B994" t="inlineStr">
        <is>
          <t>avverkningsanmälan</t>
        </is>
      </c>
      <c r="C994" t="inlineStr">
        <is>
          <t>Föryngringsavverkning</t>
        </is>
      </c>
      <c r="D994" s="1" t="n">
        <v>45574</v>
      </c>
      <c r="E994" s="1" t="n">
        <v>46323</v>
      </c>
      <c r="F994" t="inlineStr">
        <is>
          <t>KALMAR LÄN</t>
        </is>
      </c>
      <c r="G994" t="inlineStr">
        <is>
          <t>VIMMERBY</t>
        </is>
      </c>
      <c r="I994" t="n">
        <v>1.4</v>
      </c>
      <c r="J994" t="n">
        <v>1</v>
      </c>
      <c r="K994" t="n">
        <v>0</v>
      </c>
      <c r="L994" t="n">
        <v>0</v>
      </c>
      <c r="M994" t="n">
        <v>1</v>
      </c>
      <c r="N994" t="n">
        <v>0</v>
      </c>
      <c r="O994" t="n">
        <v>0</v>
      </c>
      <c r="P994" t="n">
        <v>0</v>
      </c>
      <c r="Q994" t="n">
        <v>1</v>
      </c>
      <c r="R994" t="n">
        <v>1</v>
      </c>
      <c r="S994" t="n">
        <v>1</v>
      </c>
      <c r="T994" t="n">
        <v>1</v>
      </c>
      <c r="U994" t="n">
        <v>0</v>
      </c>
      <c r="V994" s="2" t="inlineStr">
        <is>
          <t>Knärot</t>
        </is>
      </c>
      <c r="W994">
        <f>HYPERLINK("https://klasma.github.io/Logging_0884/artfynd/A 44515-2024 artfynd.xlsx", "A 44515-2024")</f>
        <v/>
      </c>
      <c r="X994">
        <f>HYPERLINK("https://klasma.github.io/Logging_0884/kartor/A 44515-2024 karta.png", "A 44515-2024")</f>
        <v/>
      </c>
      <c r="Y994">
        <f>HYPERLINK("https://klasma.github.io/Logging_0884/kartor_geotiff/A 44515-2024 georefererad karta.tif", "A 44515-2024")</f>
        <v/>
      </c>
      <c r="Z994">
        <f>HYPERLINK("https://klasma.github.io/Logging_0884/knärot/A 44515-2024 karta knärot.png", "A 44515-2024")</f>
        <v/>
      </c>
      <c r="AA994">
        <f>HYPERLINK("https://klasma.github.io/Logging_0884/klagomål/A 44515-2024 FSC-klagomål.docx", "A 44515-2024")</f>
        <v/>
      </c>
      <c r="AB994">
        <f>HYPERLINK("https://klasma.github.io/Logging_0884/klagomålsmail/A 44515-2024 FSC-klagomål mail.docx", "A 44515-2024")</f>
        <v/>
      </c>
      <c r="AC994">
        <f>HYPERLINK("https://klasma.github.io/Logging_0884/tillsyn/A 44515-2024 tillsynsbegäran.docx", "A 44515-2024")</f>
        <v/>
      </c>
      <c r="AD994">
        <f>HYPERLINK("https://klasma.github.io/Logging_0884/tillsynsmail/A 44515-2024 tillsynsbegäran mail.docx", "A 44515-2024")</f>
        <v/>
      </c>
    </row>
    <row r="995" ht="15" customHeight="1">
      <c r="A995" t="inlineStr">
        <is>
          <t>A 23182-2025</t>
        </is>
      </c>
      <c r="B995" t="inlineStr">
        <is>
          <t>avverkningsanmälan</t>
        </is>
      </c>
      <c r="C995" t="inlineStr">
        <is>
          <t>Avverkning för att bevara och utveckla /försöksver</t>
        </is>
      </c>
      <c r="D995" s="1" t="n">
        <v>45791</v>
      </c>
      <c r="E995" s="1" t="n">
        <v>46323</v>
      </c>
      <c r="F995" t="inlineStr">
        <is>
          <t>KALMAR LÄN</t>
        </is>
      </c>
      <c r="G995" t="inlineStr">
        <is>
          <t>KALMAR</t>
        </is>
      </c>
      <c r="I995" t="n">
        <v>6.5</v>
      </c>
      <c r="J995" t="n">
        <v>1</v>
      </c>
      <c r="K995" t="n">
        <v>0</v>
      </c>
      <c r="L995" t="n">
        <v>0</v>
      </c>
      <c r="M995" t="n">
        <v>0</v>
      </c>
      <c r="N995" t="n">
        <v>0</v>
      </c>
      <c r="O995" t="n">
        <v>0</v>
      </c>
      <c r="P995" t="n">
        <v>0</v>
      </c>
      <c r="Q995" t="n">
        <v>0</v>
      </c>
      <c r="R995" t="n">
        <v>0</v>
      </c>
      <c r="S995" t="n">
        <v>1</v>
      </c>
      <c r="T995" t="n">
        <v>1</v>
      </c>
      <c r="U995" t="n">
        <v>1</v>
      </c>
      <c r="V995" s="2" t="inlineStr">
        <is>
          <t>Nattviol</t>
        </is>
      </c>
      <c r="W995">
        <f>HYPERLINK("https://klasma.github.io/Logging_0880/artfynd/A 23182-2025 artfynd.xlsx", "A 23182-2025")</f>
        <v/>
      </c>
      <c r="X995">
        <f>HYPERLINK("https://klasma.github.io/Logging_0880/kartor/A 23182-2025 karta.png", "A 23182-2025")</f>
        <v/>
      </c>
      <c r="Y995">
        <f>HYPERLINK("https://klasma.github.io/Logging_0880/kartor_geotiff/A 23182-2025 georefererad karta.tif", "A 23182-2025")</f>
        <v/>
      </c>
      <c r="AA995">
        <f>HYPERLINK("https://klasma.github.io/Logging_0880/klagomål/A 23182-2025 FSC-klagomål.docx", "A 23182-2025")</f>
        <v/>
      </c>
      <c r="AB995">
        <f>HYPERLINK("https://klasma.github.io/Logging_0880/klagomålsmail/A 23182-2025 FSC-klagomål mail.docx", "A 23182-2025")</f>
        <v/>
      </c>
      <c r="AC995">
        <f>HYPERLINK("https://klasma.github.io/Logging_0880/tillsyn/A 23182-2025 tillsynsbegäran.docx", "A 23182-2025")</f>
        <v/>
      </c>
      <c r="AD995">
        <f>HYPERLINK("https://klasma.github.io/Logging_0880/tillsynsmail/A 23182-2025 tillsynsbegäran mail.docx", "A 23182-2025")</f>
        <v/>
      </c>
    </row>
    <row r="996" ht="15" customHeight="1">
      <c r="A996" t="inlineStr">
        <is>
          <t>A 30186-2026</t>
        </is>
      </c>
      <c r="B996" t="inlineStr">
        <is>
          <t>avverkningsanmälan</t>
        </is>
      </c>
      <c r="C996" t="inlineStr">
        <is>
          <t>Avverkning för att bevara och utveckla /försöksver</t>
        </is>
      </c>
      <c r="D996" s="1" t="n">
        <v>46206</v>
      </c>
      <c r="E996" s="1" t="n">
        <v>46323</v>
      </c>
      <c r="F996" t="inlineStr">
        <is>
          <t>KALMAR LÄN</t>
        </is>
      </c>
      <c r="G996" t="inlineStr">
        <is>
          <t>HÖGSBY</t>
        </is>
      </c>
      <c r="H996" t="inlineStr">
        <is>
          <t>Sveaskog</t>
        </is>
      </c>
      <c r="I996" t="n">
        <v>3.4</v>
      </c>
      <c r="J996" t="n">
        <v>0</v>
      </c>
      <c r="K996" t="n">
        <v>0</v>
      </c>
      <c r="L996" t="n">
        <v>1</v>
      </c>
      <c r="M996" t="n">
        <v>0</v>
      </c>
      <c r="N996" t="n">
        <v>0</v>
      </c>
      <c r="O996" t="n">
        <v>0</v>
      </c>
      <c r="P996" t="n">
        <v>0</v>
      </c>
      <c r="Q996" t="n">
        <v>1</v>
      </c>
      <c r="R996" t="n">
        <v>0</v>
      </c>
      <c r="S996" t="n">
        <v>1</v>
      </c>
      <c r="T996" t="n">
        <v>1</v>
      </c>
      <c r="U996" t="n">
        <v>0</v>
      </c>
      <c r="V996" s="2" t="inlineStr">
        <is>
          <t>Gullklöver</t>
        </is>
      </c>
      <c r="W996">
        <f>HYPERLINK("https://klasma.github.io/Logging_0821/artfynd/A 30186-2026 artfynd.xlsx", "A 30186-2026")</f>
        <v/>
      </c>
      <c r="X996">
        <f>HYPERLINK("https://klasma.github.io/Logging_0821/kartor/A 30186-2026 karta.png", "A 30186-2026")</f>
        <v/>
      </c>
      <c r="Y996">
        <f>HYPERLINK("https://klasma.github.io/Logging_0821/kartor_geotiff/A 30186-2026 georefererad karta.tif", "A 30186-2026")</f>
        <v/>
      </c>
      <c r="AA996">
        <f>HYPERLINK("https://klasma.github.io/Logging_0821/klagomål/A 30186-2026 FSC-klagomål.docx", "A 30186-2026")</f>
        <v/>
      </c>
      <c r="AB996">
        <f>HYPERLINK("https://klasma.github.io/Logging_0821/klagomålsmail/A 30186-2026 FSC-klagomål mail.docx", "A 30186-2026")</f>
        <v/>
      </c>
      <c r="AC996">
        <f>HYPERLINK("https://klasma.github.io/Logging_0821/tillsyn/A 30186-2026 tillsynsbegäran.docx", "A 30186-2026")</f>
        <v/>
      </c>
      <c r="AD996">
        <f>HYPERLINK("https://klasma.github.io/Logging_0821/tillsynsmail/A 30186-2026 tillsynsbegäran mail.docx", "A 30186-2026")</f>
        <v/>
      </c>
    </row>
    <row r="997" ht="15" customHeight="1">
      <c r="A997" t="inlineStr">
        <is>
          <t>A 5987-2025</t>
        </is>
      </c>
      <c r="B997" t="inlineStr">
        <is>
          <t>avverkningsanmälan</t>
        </is>
      </c>
      <c r="C997" t="inlineStr">
        <is>
          <t>Föryngringsavverkning</t>
        </is>
      </c>
      <c r="D997" s="1" t="n">
        <v>45695</v>
      </c>
      <c r="E997" s="1" t="n">
        <v>46323</v>
      </c>
      <c r="F997" t="inlineStr">
        <is>
          <t>KALMAR LÄN</t>
        </is>
      </c>
      <c r="G997" t="inlineStr">
        <is>
          <t>HULTSFRED</t>
        </is>
      </c>
      <c r="H997" t="inlineStr">
        <is>
          <t>Sveaskog</t>
        </is>
      </c>
      <c r="I997" t="n">
        <v>2.2</v>
      </c>
      <c r="J997" t="n">
        <v>1</v>
      </c>
      <c r="K997" t="n">
        <v>0</v>
      </c>
      <c r="L997" t="n">
        <v>0</v>
      </c>
      <c r="M997" t="n">
        <v>0</v>
      </c>
      <c r="N997" t="n">
        <v>0</v>
      </c>
      <c r="O997" t="n">
        <v>0</v>
      </c>
      <c r="P997" t="n">
        <v>0</v>
      </c>
      <c r="Q997" t="n">
        <v>0</v>
      </c>
      <c r="R997" t="n">
        <v>0</v>
      </c>
      <c r="S997" t="n">
        <v>1</v>
      </c>
      <c r="T997" t="n">
        <v>1</v>
      </c>
      <c r="U997" t="n">
        <v>0</v>
      </c>
      <c r="V997" s="2" t="inlineStr">
        <is>
          <t>Revlummer</t>
        </is>
      </c>
      <c r="W997">
        <f>HYPERLINK("https://klasma.github.io/Logging_0860/artfynd/A 5987-2025 artfynd.xlsx", "A 5987-2025")</f>
        <v/>
      </c>
      <c r="X997">
        <f>HYPERLINK("https://klasma.github.io/Logging_0860/kartor/A 5987-2025 karta.png", "A 5987-2025")</f>
        <v/>
      </c>
      <c r="Y997">
        <f>HYPERLINK("https://klasma.github.io/Logging_0860/kartor_geotiff/A 5987-2025 georefererad karta.tif", "A 5987-2025")</f>
        <v/>
      </c>
      <c r="AA997">
        <f>HYPERLINK("https://klasma.github.io/Logging_0860/klagomål/A 5987-2025 FSC-klagomål.docx", "A 5987-2025")</f>
        <v/>
      </c>
      <c r="AB997">
        <f>HYPERLINK("https://klasma.github.io/Logging_0860/klagomålsmail/A 5987-2025 FSC-klagomål mail.docx", "A 5987-2025")</f>
        <v/>
      </c>
      <c r="AC997">
        <f>HYPERLINK("https://klasma.github.io/Logging_0860/tillsyn/A 5987-2025 tillsynsbegäran.docx", "A 5987-2025")</f>
        <v/>
      </c>
      <c r="AD997">
        <f>HYPERLINK("https://klasma.github.io/Logging_0860/tillsynsmail/A 5987-2025 tillsynsbegäran mail.docx", "A 5987-2025")</f>
        <v/>
      </c>
    </row>
    <row r="998" ht="15" customHeight="1">
      <c r="A998" t="inlineStr">
        <is>
          <t>A 5527-2022</t>
        </is>
      </c>
      <c r="B998" t="inlineStr">
        <is>
          <t>avverkningsanmälan</t>
        </is>
      </c>
      <c r="C998" t="inlineStr">
        <is>
          <t>Föryngringsavverkning</t>
        </is>
      </c>
      <c r="D998" s="1" t="n">
        <v>44595</v>
      </c>
      <c r="E998" s="1" t="n">
        <v>46323</v>
      </c>
      <c r="F998" t="inlineStr">
        <is>
          <t>KALMAR LÄN</t>
        </is>
      </c>
      <c r="G998" t="inlineStr">
        <is>
          <t>VIMMERBY</t>
        </is>
      </c>
      <c r="I998" t="n">
        <v>3.6</v>
      </c>
      <c r="J998" t="n">
        <v>0</v>
      </c>
      <c r="K998" t="n">
        <v>0</v>
      </c>
      <c r="L998" t="n">
        <v>1</v>
      </c>
      <c r="M998" t="n">
        <v>0</v>
      </c>
      <c r="N998" t="n">
        <v>0</v>
      </c>
      <c r="O998" t="n">
        <v>0</v>
      </c>
      <c r="P998" t="n">
        <v>0</v>
      </c>
      <c r="Q998" t="n">
        <v>1</v>
      </c>
      <c r="R998" t="n">
        <v>0</v>
      </c>
      <c r="S998" t="n">
        <v>1</v>
      </c>
      <c r="T998" t="n">
        <v>1</v>
      </c>
      <c r="U998" t="n">
        <v>1</v>
      </c>
      <c r="V998" s="2" t="inlineStr">
        <is>
          <t>Koralltaggsvamp</t>
        </is>
      </c>
      <c r="W998">
        <f>HYPERLINK("https://klasma.github.io/Logging_0884/artfynd/A 5527-2022 artfynd.xlsx", "A 5527-2022")</f>
        <v/>
      </c>
      <c r="X998">
        <f>HYPERLINK("https://klasma.github.io/Logging_0884/kartor/A 5527-2022 karta.png", "A 5527-2022")</f>
        <v/>
      </c>
      <c r="Y998">
        <f>HYPERLINK("https://klasma.github.io/Logging_0884/kartor_geotiff/A 5527-2022 georefererad karta.tif", "A 5527-2022")</f>
        <v/>
      </c>
      <c r="AA998">
        <f>HYPERLINK("https://klasma.github.io/Logging_0884/klagomål/A 5527-2022 FSC-klagomål.docx", "A 5527-2022")</f>
        <v/>
      </c>
      <c r="AB998">
        <f>HYPERLINK("https://klasma.github.io/Logging_0884/klagomålsmail/A 5527-2022 FSC-klagomål mail.docx", "A 5527-2022")</f>
        <v/>
      </c>
      <c r="AC998">
        <f>HYPERLINK("https://klasma.github.io/Logging_0884/tillsyn/A 5527-2022 tillsynsbegäran.docx", "A 5527-2022")</f>
        <v/>
      </c>
      <c r="AD998">
        <f>HYPERLINK("https://klasma.github.io/Logging_0884/tillsynsmail/A 5527-2022 tillsynsbegäran mail.docx", "A 5527-2022")</f>
        <v/>
      </c>
    </row>
    <row r="999" ht="15" customHeight="1">
      <c r="A999" t="inlineStr">
        <is>
          <t>A 58221-2025</t>
        </is>
      </c>
      <c r="B999" t="inlineStr">
        <is>
          <t>avverkningsanmälan</t>
        </is>
      </c>
      <c r="C999" t="inlineStr">
        <is>
          <t>Föryngringsavverkning</t>
        </is>
      </c>
      <c r="D999" s="1" t="n">
        <v>45985</v>
      </c>
      <c r="E999" s="1" t="n">
        <v>46323</v>
      </c>
      <c r="F999" t="inlineStr">
        <is>
          <t>KALMAR LÄN</t>
        </is>
      </c>
      <c r="G999" t="inlineStr">
        <is>
          <t>VÄSTERVIK</t>
        </is>
      </c>
      <c r="I999" t="n">
        <v>1.5</v>
      </c>
      <c r="J999" t="n">
        <v>0</v>
      </c>
      <c r="K999" t="n">
        <v>0</v>
      </c>
      <c r="L999" t="n">
        <v>1</v>
      </c>
      <c r="M999" t="n">
        <v>0</v>
      </c>
      <c r="N999" t="n">
        <v>0</v>
      </c>
      <c r="O999" t="n">
        <v>0</v>
      </c>
      <c r="P999" t="n">
        <v>0</v>
      </c>
      <c r="Q999" t="n">
        <v>1</v>
      </c>
      <c r="R999" t="n">
        <v>0</v>
      </c>
      <c r="S999" t="n">
        <v>1</v>
      </c>
      <c r="T999" t="n">
        <v>1</v>
      </c>
      <c r="U999" t="n">
        <v>1</v>
      </c>
      <c r="V999" s="2" t="inlineStr">
        <is>
          <t>Tallticka</t>
        </is>
      </c>
      <c r="W999">
        <f>HYPERLINK("https://klasma.github.io/Logging_0883/artfynd/A 58221-2025 artfynd.xlsx", "A 58221-2025")</f>
        <v/>
      </c>
      <c r="X999">
        <f>HYPERLINK("https://klasma.github.io/Logging_0883/kartor/A 58221-2025 karta.png", "A 58221-2025")</f>
        <v/>
      </c>
      <c r="Y999">
        <f>HYPERLINK("https://klasma.github.io/Logging_0883/kartor_geotiff/A 58221-2025 georefererad karta.tif", "A 58221-2025")</f>
        <v/>
      </c>
      <c r="AA999">
        <f>HYPERLINK("https://klasma.github.io/Logging_0883/klagomål/A 58221-2025 FSC-klagomål.docx", "A 58221-2025")</f>
        <v/>
      </c>
      <c r="AB999">
        <f>HYPERLINK("https://klasma.github.io/Logging_0883/klagomålsmail/A 58221-2025 FSC-klagomål mail.docx", "A 58221-2025")</f>
        <v/>
      </c>
      <c r="AC999">
        <f>HYPERLINK("https://klasma.github.io/Logging_0883/tillsyn/A 58221-2025 tillsynsbegäran.docx", "A 58221-2025")</f>
        <v/>
      </c>
      <c r="AD999">
        <f>HYPERLINK("https://klasma.github.io/Logging_0883/tillsynsmail/A 58221-2025 tillsynsbegäran mail.docx", "A 58221-2025")</f>
        <v/>
      </c>
    </row>
    <row r="1000" ht="15" customHeight="1">
      <c r="A1000" t="inlineStr">
        <is>
          <t>A 53203-2022</t>
        </is>
      </c>
      <c r="B1000" t="inlineStr">
        <is>
          <t>avverkningsanmälan</t>
        </is>
      </c>
      <c r="C1000" t="inlineStr">
        <is>
          <t>Föryngringsavverkning</t>
        </is>
      </c>
      <c r="D1000" s="1" t="n">
        <v>44876</v>
      </c>
      <c r="E1000" s="1" t="n">
        <v>46323</v>
      </c>
      <c r="F1000" t="inlineStr">
        <is>
          <t>KALMAR LÄN</t>
        </is>
      </c>
      <c r="G1000" t="inlineStr">
        <is>
          <t>HULTSFRED</t>
        </is>
      </c>
      <c r="I1000" t="n">
        <v>1.2</v>
      </c>
      <c r="J1000" t="n">
        <v>1</v>
      </c>
      <c r="K1000" t="n">
        <v>0</v>
      </c>
      <c r="L1000" t="n">
        <v>0</v>
      </c>
      <c r="M1000" t="n">
        <v>0</v>
      </c>
      <c r="N1000" t="n">
        <v>0</v>
      </c>
      <c r="O1000" t="n">
        <v>0</v>
      </c>
      <c r="P1000" t="n">
        <v>0</v>
      </c>
      <c r="Q1000" t="n">
        <v>0</v>
      </c>
      <c r="R1000" t="n">
        <v>0</v>
      </c>
      <c r="S1000" t="n">
        <v>1</v>
      </c>
      <c r="T1000" t="n">
        <v>1</v>
      </c>
      <c r="U1000" t="n">
        <v>0</v>
      </c>
      <c r="V1000" s="2" t="inlineStr">
        <is>
          <t>Vanlig padda</t>
        </is>
      </c>
      <c r="W1000">
        <f>HYPERLINK("https://klasma.github.io/Logging_0860/artfynd/A 53203-2022 artfynd.xlsx", "A 53203-2022")</f>
        <v/>
      </c>
      <c r="X1000">
        <f>HYPERLINK("https://klasma.github.io/Logging_0860/kartor/A 53203-2022 karta.png", "A 53203-2022")</f>
        <v/>
      </c>
      <c r="Y1000">
        <f>HYPERLINK("https://klasma.github.io/Logging_0860/kartor_geotiff/A 53203-2022 georefererad karta.tif", "A 53203-2022")</f>
        <v/>
      </c>
      <c r="AA1000">
        <f>HYPERLINK("https://klasma.github.io/Logging_0860/klagomål/A 53203-2022 FSC-klagomål.docx", "A 53203-2022")</f>
        <v/>
      </c>
      <c r="AB1000">
        <f>HYPERLINK("https://klasma.github.io/Logging_0860/klagomålsmail/A 53203-2022 FSC-klagomål mail.docx", "A 53203-2022")</f>
        <v/>
      </c>
      <c r="AC1000">
        <f>HYPERLINK("https://klasma.github.io/Logging_0860/tillsyn/A 53203-2022 tillsynsbegäran.docx", "A 53203-2022")</f>
        <v/>
      </c>
      <c r="AD1000">
        <f>HYPERLINK("https://klasma.github.io/Logging_0860/tillsynsmail/A 53203-2022 tillsynsbegäran mail.docx", "A 53203-2022")</f>
        <v/>
      </c>
    </row>
    <row r="1001" ht="15" customHeight="1">
      <c r="A1001" t="inlineStr">
        <is>
          <t>A 770-2022</t>
        </is>
      </c>
      <c r="B1001" t="inlineStr">
        <is>
          <t>avverkningsanmälan</t>
        </is>
      </c>
      <c r="C1001" t="inlineStr">
        <is>
          <t>Föryngringsavverkning</t>
        </is>
      </c>
      <c r="D1001" s="1" t="n">
        <v>44570</v>
      </c>
      <c r="E1001" s="1" t="n">
        <v>46323</v>
      </c>
      <c r="F1001" t="inlineStr">
        <is>
          <t>KALMAR LÄN</t>
        </is>
      </c>
      <c r="G1001" t="inlineStr">
        <is>
          <t>EMMABODA</t>
        </is>
      </c>
      <c r="I1001" t="n">
        <v>3.7</v>
      </c>
      <c r="J1001" t="n">
        <v>0</v>
      </c>
      <c r="K1001" t="n">
        <v>1</v>
      </c>
      <c r="L1001" t="n">
        <v>0</v>
      </c>
      <c r="M1001" t="n">
        <v>0</v>
      </c>
      <c r="N1001" t="n">
        <v>0</v>
      </c>
      <c r="O1001" t="n">
        <v>0</v>
      </c>
      <c r="P1001" t="n">
        <v>0</v>
      </c>
      <c r="Q1001" t="n">
        <v>0</v>
      </c>
      <c r="R1001" t="n">
        <v>0</v>
      </c>
      <c r="S1001" t="n">
        <v>1</v>
      </c>
      <c r="T1001" t="n">
        <v>1</v>
      </c>
      <c r="U1001" t="n">
        <v>1</v>
      </c>
      <c r="V1001" s="2" t="inlineStr">
        <is>
          <t>Grönpyrola</t>
        </is>
      </c>
      <c r="W1001">
        <f>HYPERLINK("https://klasma.github.io/Logging_0862/artfynd/A 770-2022 artfynd.xlsx", "A 770-2022")</f>
        <v/>
      </c>
      <c r="X1001">
        <f>HYPERLINK("https://klasma.github.io/Logging_0862/kartor/A 770-2022 karta.png", "A 770-2022")</f>
        <v/>
      </c>
      <c r="Y1001">
        <f>HYPERLINK("https://klasma.github.io/Logging_0862/kartor_geotiff/A 770-2022 georefererad karta.tif", "A 770-2022")</f>
        <v/>
      </c>
      <c r="AA1001">
        <f>HYPERLINK("https://klasma.github.io/Logging_0862/klagomål/A 770-2022 FSC-klagomål.docx", "A 770-2022")</f>
        <v/>
      </c>
      <c r="AB1001">
        <f>HYPERLINK("https://klasma.github.io/Logging_0862/klagomålsmail/A 770-2022 FSC-klagomål mail.docx", "A 770-2022")</f>
        <v/>
      </c>
      <c r="AC1001">
        <f>HYPERLINK("https://klasma.github.io/Logging_0862/tillsyn/A 770-2022 tillsynsbegäran.docx", "A 770-2022")</f>
        <v/>
      </c>
      <c r="AD1001">
        <f>HYPERLINK("https://klasma.github.io/Logging_0862/tillsynsmail/A 770-2022 tillsynsbegäran mail.docx", "A 770-2022")</f>
        <v/>
      </c>
    </row>
    <row r="1002" ht="15" customHeight="1">
      <c r="A1002" t="inlineStr">
        <is>
          <t>A 3302-2026</t>
        </is>
      </c>
      <c r="B1002" t="inlineStr">
        <is>
          <t>avverkningsanmälan</t>
        </is>
      </c>
      <c r="C1002" t="inlineStr">
        <is>
          <t>Avverkning för annat ändamål</t>
        </is>
      </c>
      <c r="D1002" s="1" t="n">
        <v>46041</v>
      </c>
      <c r="E1002" s="1" t="n">
        <v>46323</v>
      </c>
      <c r="F1002" t="inlineStr">
        <is>
          <t>KALMAR LÄN</t>
        </is>
      </c>
      <c r="G1002" t="inlineStr">
        <is>
          <t>BORGHOLM</t>
        </is>
      </c>
      <c r="I1002" t="n">
        <v>3.9</v>
      </c>
      <c r="J1002" t="n">
        <v>1</v>
      </c>
      <c r="K1002" t="n">
        <v>0</v>
      </c>
      <c r="L1002" t="n">
        <v>0</v>
      </c>
      <c r="M1002" t="n">
        <v>0</v>
      </c>
      <c r="N1002" t="n">
        <v>0</v>
      </c>
      <c r="O1002" t="n">
        <v>0</v>
      </c>
      <c r="P1002" t="n">
        <v>0</v>
      </c>
      <c r="Q1002" t="n">
        <v>0</v>
      </c>
      <c r="R1002" t="n">
        <v>0</v>
      </c>
      <c r="S1002" t="n">
        <v>1</v>
      </c>
      <c r="T1002" t="n">
        <v>1</v>
      </c>
      <c r="U1002" t="n">
        <v>0</v>
      </c>
      <c r="V1002" s="2" t="inlineStr">
        <is>
          <t>Blåsippa</t>
        </is>
      </c>
      <c r="W1002">
        <f>HYPERLINK("https://klasma.github.io/Logging_0885/artfynd/A 3302-2026 artfynd.xlsx", "A 3302-2026")</f>
        <v/>
      </c>
      <c r="X1002">
        <f>HYPERLINK("https://klasma.github.io/Logging_0885/kartor/A 3302-2026 karta.png", "A 3302-2026")</f>
        <v/>
      </c>
      <c r="Y1002">
        <f>HYPERLINK("https://klasma.github.io/Logging_0885/kartor_geotiff/A 3302-2026 georefererad karta.tif", "A 3302-2026")</f>
        <v/>
      </c>
      <c r="AA1002">
        <f>HYPERLINK("https://klasma.github.io/Logging_0885/klagomål/A 3302-2026 FSC-klagomål.docx", "A 3302-2026")</f>
        <v/>
      </c>
      <c r="AB1002">
        <f>HYPERLINK("https://klasma.github.io/Logging_0885/klagomålsmail/A 3302-2026 FSC-klagomål mail.docx", "A 3302-2026")</f>
        <v/>
      </c>
      <c r="AC1002">
        <f>HYPERLINK("https://klasma.github.io/Logging_0885/tillsyn/A 3302-2026 tillsynsbegäran.docx", "A 3302-2026")</f>
        <v/>
      </c>
      <c r="AD1002">
        <f>HYPERLINK("https://klasma.github.io/Logging_0885/tillsynsmail/A 3302-2026 tillsynsbegäran mail.docx", "A 3302-2026")</f>
        <v/>
      </c>
    </row>
    <row r="1003" ht="15" customHeight="1">
      <c r="A1003" t="inlineStr">
        <is>
          <t>A 33601-2023</t>
        </is>
      </c>
      <c r="B1003" t="inlineStr">
        <is>
          <t>avverkningsanmälan</t>
        </is>
      </c>
      <c r="C1003" t="inlineStr">
        <is>
          <t>Föryngringsavverkning</t>
        </is>
      </c>
      <c r="D1003" s="1" t="n">
        <v>45132</v>
      </c>
      <c r="E1003" s="1" t="n">
        <v>46323</v>
      </c>
      <c r="F1003" t="inlineStr">
        <is>
          <t>KALMAR LÄN</t>
        </is>
      </c>
      <c r="G1003" t="inlineStr">
        <is>
          <t>HULTSFRED</t>
        </is>
      </c>
      <c r="I1003" t="n">
        <v>2.2</v>
      </c>
      <c r="J1003" t="n">
        <v>1</v>
      </c>
      <c r="K1003" t="n">
        <v>0</v>
      </c>
      <c r="L1003" t="n">
        <v>0</v>
      </c>
      <c r="M1003" t="n">
        <v>0</v>
      </c>
      <c r="N1003" t="n">
        <v>0</v>
      </c>
      <c r="O1003" t="n">
        <v>0</v>
      </c>
      <c r="P1003" t="n">
        <v>0</v>
      </c>
      <c r="Q1003" t="n">
        <v>0</v>
      </c>
      <c r="R1003" t="n">
        <v>0</v>
      </c>
      <c r="S1003" t="n">
        <v>1</v>
      </c>
      <c r="T1003" t="n">
        <v>1</v>
      </c>
      <c r="U1003" t="n">
        <v>1</v>
      </c>
      <c r="V1003" s="2" t="inlineStr">
        <is>
          <t>Spillkråka</t>
        </is>
      </c>
      <c r="W1003">
        <f>HYPERLINK("https://klasma.github.io/Logging_0860/artfynd/A 33601-2023 artfynd.xlsx", "A 33601-2023")</f>
        <v/>
      </c>
      <c r="X1003">
        <f>HYPERLINK("https://klasma.github.io/Logging_0860/kartor/A 33601-2023 karta.png", "A 33601-2023")</f>
        <v/>
      </c>
      <c r="Y1003">
        <f>HYPERLINK("https://klasma.github.io/Logging_0860/kartor_geotiff/A 33601-2023 georefererad karta.tif", "A 33601-2023")</f>
        <v/>
      </c>
      <c r="AA1003">
        <f>HYPERLINK("https://klasma.github.io/Logging_0860/klagomål/A 33601-2023 FSC-klagomål.docx", "A 33601-2023")</f>
        <v/>
      </c>
      <c r="AB1003">
        <f>HYPERLINK("https://klasma.github.io/Logging_0860/klagomålsmail/A 33601-2023 FSC-klagomål mail.docx", "A 33601-2023")</f>
        <v/>
      </c>
      <c r="AC1003">
        <f>HYPERLINK("https://klasma.github.io/Logging_0860/tillsyn/A 33601-2023 tillsynsbegäran.docx", "A 33601-2023")</f>
        <v/>
      </c>
      <c r="AD1003">
        <f>HYPERLINK("https://klasma.github.io/Logging_0860/tillsynsmail/A 33601-2023 tillsynsbegäran mail.docx", "A 33601-2023")</f>
        <v/>
      </c>
      <c r="AE1003">
        <f>HYPERLINK("https://klasma.github.io/Logging_0860/fåglar/A 33601-2023 prioriterade fågelarter.docx", "A 33601-2023")</f>
        <v/>
      </c>
    </row>
    <row r="1004" ht="15" customHeight="1">
      <c r="A1004" t="inlineStr">
        <is>
          <t>A 39745-2023</t>
        </is>
      </c>
      <c r="B1004" t="inlineStr">
        <is>
          <t>avverkningsanmälan</t>
        </is>
      </c>
      <c r="C1004" t="inlineStr">
        <is>
          <t>Föryngringsavverkning</t>
        </is>
      </c>
      <c r="D1004" s="1" t="n">
        <v>45167</v>
      </c>
      <c r="E1004" s="1" t="n">
        <v>46323</v>
      </c>
      <c r="F1004" t="inlineStr">
        <is>
          <t>KALMAR LÄN</t>
        </is>
      </c>
      <c r="G1004" t="inlineStr">
        <is>
          <t>KALMAR</t>
        </is>
      </c>
      <c r="I1004" t="n">
        <v>1.3</v>
      </c>
      <c r="J1004" t="n">
        <v>0</v>
      </c>
      <c r="K1004" t="n">
        <v>1</v>
      </c>
      <c r="L1004" t="n">
        <v>0</v>
      </c>
      <c r="M1004" t="n">
        <v>0</v>
      </c>
      <c r="N1004" t="n">
        <v>0</v>
      </c>
      <c r="O1004" t="n">
        <v>0</v>
      </c>
      <c r="P1004" t="n">
        <v>0</v>
      </c>
      <c r="Q1004" t="n">
        <v>0</v>
      </c>
      <c r="R1004" t="n">
        <v>0</v>
      </c>
      <c r="S1004" t="n">
        <v>1</v>
      </c>
      <c r="T1004" t="n">
        <v>1</v>
      </c>
      <c r="U1004" t="n">
        <v>1</v>
      </c>
      <c r="V1004" s="2" t="inlineStr">
        <is>
          <t>Murgröna</t>
        </is>
      </c>
      <c r="W1004">
        <f>HYPERLINK("https://klasma.github.io/Logging_0880/artfynd/A 39745-2023 artfynd.xlsx", "A 39745-2023")</f>
        <v/>
      </c>
      <c r="X1004">
        <f>HYPERLINK("https://klasma.github.io/Logging_0880/kartor/A 39745-2023 karta.png", "A 39745-2023")</f>
        <v/>
      </c>
      <c r="Y1004">
        <f>HYPERLINK("https://klasma.github.io/Logging_0880/kartor_geotiff/A 39745-2023 georefererad karta.tif", "A 39745-2023")</f>
        <v/>
      </c>
      <c r="AA1004">
        <f>HYPERLINK("https://klasma.github.io/Logging_0880/klagomål/A 39745-2023 FSC-klagomål.docx", "A 39745-2023")</f>
        <v/>
      </c>
      <c r="AB1004">
        <f>HYPERLINK("https://klasma.github.io/Logging_0880/klagomålsmail/A 39745-2023 FSC-klagomål mail.docx", "A 39745-2023")</f>
        <v/>
      </c>
      <c r="AC1004">
        <f>HYPERLINK("https://klasma.github.io/Logging_0880/tillsyn/A 39745-2023 tillsynsbegäran.docx", "A 39745-2023")</f>
        <v/>
      </c>
      <c r="AD1004">
        <f>HYPERLINK("https://klasma.github.io/Logging_0880/tillsynsmail/A 39745-2023 tillsynsbegäran mail.docx", "A 39745-2023")</f>
        <v/>
      </c>
    </row>
    <row r="1005" ht="15" customHeight="1">
      <c r="A1005" t="inlineStr">
        <is>
          <t>A 30949-2026</t>
        </is>
      </c>
      <c r="B1005" t="inlineStr">
        <is>
          <t>avverkningsanmälan</t>
        </is>
      </c>
      <c r="C1005" t="inlineStr">
        <is>
          <t>Avverkning för att bevara och utveckla /försöksver</t>
        </is>
      </c>
      <c r="D1005" s="1" t="n">
        <v>46213</v>
      </c>
      <c r="E1005" s="1" t="n">
        <v>46323</v>
      </c>
      <c r="F1005" t="inlineStr">
        <is>
          <t>KALMAR LÄN</t>
        </is>
      </c>
      <c r="G1005" t="inlineStr">
        <is>
          <t>EMMABODA</t>
        </is>
      </c>
      <c r="I1005" t="n">
        <v>3.3</v>
      </c>
      <c r="J1005" t="n">
        <v>0</v>
      </c>
      <c r="K1005" t="n">
        <v>0</v>
      </c>
      <c r="L1005" t="n">
        <v>1</v>
      </c>
      <c r="M1005" t="n">
        <v>0</v>
      </c>
      <c r="N1005" t="n">
        <v>0</v>
      </c>
      <c r="O1005" t="n">
        <v>0</v>
      </c>
      <c r="P1005" t="n">
        <v>0</v>
      </c>
      <c r="Q1005" t="n">
        <v>1</v>
      </c>
      <c r="R1005" t="n">
        <v>0</v>
      </c>
      <c r="S1005" t="n">
        <v>1</v>
      </c>
      <c r="T1005" t="n">
        <v>1</v>
      </c>
      <c r="U1005" t="n">
        <v>0</v>
      </c>
      <c r="V1005" s="2" t="inlineStr">
        <is>
          <t>Mörk dunört</t>
        </is>
      </c>
      <c r="W1005">
        <f>HYPERLINK("https://klasma.github.io/Logging_0862/artfynd/A 30949-2026 artfynd.xlsx", "A 30949-2026")</f>
        <v/>
      </c>
      <c r="X1005">
        <f>HYPERLINK("https://klasma.github.io/Logging_0862/kartor/A 30949-2026 karta.png", "A 30949-2026")</f>
        <v/>
      </c>
      <c r="Y1005">
        <f>HYPERLINK("https://klasma.github.io/Logging_0862/kartor_geotiff/A 30949-2026 georefererad karta.tif", "A 30949-2026")</f>
        <v/>
      </c>
      <c r="AA1005">
        <f>HYPERLINK("https://klasma.github.io/Logging_0862/klagomål/A 30949-2026 FSC-klagomål.docx", "A 30949-2026")</f>
        <v/>
      </c>
      <c r="AB1005">
        <f>HYPERLINK("https://klasma.github.io/Logging_0862/klagomålsmail/A 30949-2026 FSC-klagomål mail.docx", "A 30949-2026")</f>
        <v/>
      </c>
      <c r="AC1005">
        <f>HYPERLINK("https://klasma.github.io/Logging_0862/tillsyn/A 30949-2026 tillsynsbegäran.docx", "A 30949-2026")</f>
        <v/>
      </c>
      <c r="AD1005">
        <f>HYPERLINK("https://klasma.github.io/Logging_0862/tillsynsmail/A 30949-2026 tillsynsbegäran mail.docx", "A 30949-2026")</f>
        <v/>
      </c>
    </row>
    <row r="1006" ht="15" customHeight="1">
      <c r="A1006" t="inlineStr">
        <is>
          <t>A 31024-2026</t>
        </is>
      </c>
      <c r="B1006" t="inlineStr">
        <is>
          <t>avverkningsanmälan</t>
        </is>
      </c>
      <c r="C1006" t="inlineStr">
        <is>
          <t>Avverkning för att bevara och utveckla /försöksver</t>
        </is>
      </c>
      <c r="D1006" s="1" t="n">
        <v>46213</v>
      </c>
      <c r="E1006" s="1" t="n">
        <v>46323</v>
      </c>
      <c r="F1006" t="inlineStr">
        <is>
          <t>KALMAR LÄN</t>
        </is>
      </c>
      <c r="G1006" t="inlineStr">
        <is>
          <t>EMMABODA</t>
        </is>
      </c>
      <c r="I1006" t="n">
        <v>0.7</v>
      </c>
      <c r="J1006" t="n">
        <v>0</v>
      </c>
      <c r="K1006" t="n">
        <v>0</v>
      </c>
      <c r="L1006" t="n">
        <v>0</v>
      </c>
      <c r="M1006" t="n">
        <v>0</v>
      </c>
      <c r="N1006" t="n">
        <v>1</v>
      </c>
      <c r="O1006" t="n">
        <v>0</v>
      </c>
      <c r="P1006" t="n">
        <v>0</v>
      </c>
      <c r="Q1006" t="n">
        <v>1</v>
      </c>
      <c r="R1006" t="n">
        <v>1</v>
      </c>
      <c r="S1006" t="n">
        <v>1</v>
      </c>
      <c r="T1006" t="n">
        <v>9</v>
      </c>
      <c r="U1006" t="n">
        <v>0</v>
      </c>
      <c r="V1006" s="2" t="inlineStr">
        <is>
          <t>Ask</t>
        </is>
      </c>
      <c r="W1006">
        <f>HYPERLINK("https://klasma.github.io/Logging_0862/artfynd/A 31024-2026 artfynd.xlsx", "A 31024-2026")</f>
        <v/>
      </c>
      <c r="X1006">
        <f>HYPERLINK("https://klasma.github.io/Logging_0862/kartor/A 31024-2026 karta.png", "A 31024-2026")</f>
        <v/>
      </c>
      <c r="Y1006">
        <f>HYPERLINK("https://klasma.github.io/Logging_0862/kartor_geotiff/A 31024-2026 georefererad karta.tif", "A 31024-2026")</f>
        <v/>
      </c>
      <c r="AA1006">
        <f>HYPERLINK("https://klasma.github.io/Logging_0862/klagomål/A 31024-2026 FSC-klagomål.docx", "A 31024-2026")</f>
        <v/>
      </c>
      <c r="AB1006">
        <f>HYPERLINK("https://klasma.github.io/Logging_0862/klagomålsmail/A 31024-2026 FSC-klagomål mail.docx", "A 31024-2026")</f>
        <v/>
      </c>
      <c r="AC1006">
        <f>HYPERLINK("https://klasma.github.io/Logging_0862/tillsyn/A 31024-2026 tillsynsbegäran.docx", "A 31024-2026")</f>
        <v/>
      </c>
      <c r="AD1006">
        <f>HYPERLINK("https://klasma.github.io/Logging_0862/tillsynsmail/A 31024-2026 tillsynsbegäran mail.docx", "A 31024-2026")</f>
        <v/>
      </c>
    </row>
    <row r="1007" ht="15" customHeight="1">
      <c r="A1007" t="inlineStr">
        <is>
          <t>A 30800-2026</t>
        </is>
      </c>
      <c r="B1007" t="inlineStr">
        <is>
          <t>avverkningsanmälan</t>
        </is>
      </c>
      <c r="C1007" t="inlineStr">
        <is>
          <t>Föryngringsavverkning</t>
        </is>
      </c>
      <c r="D1007" s="1" t="n">
        <v>46212</v>
      </c>
      <c r="E1007" s="1" t="n">
        <v>46323</v>
      </c>
      <c r="F1007" t="inlineStr">
        <is>
          <t>KALMAR LÄN</t>
        </is>
      </c>
      <c r="G1007" t="inlineStr">
        <is>
          <t>HÖGSBY</t>
        </is>
      </c>
      <c r="H1007" t="inlineStr">
        <is>
          <t>Sveaskog</t>
        </is>
      </c>
      <c r="I1007" t="n">
        <v>3.8</v>
      </c>
      <c r="J1007" t="n">
        <v>0</v>
      </c>
      <c r="K1007" t="n">
        <v>1</v>
      </c>
      <c r="L1007" t="n">
        <v>0</v>
      </c>
      <c r="M1007" t="n">
        <v>0</v>
      </c>
      <c r="N1007" t="n">
        <v>0</v>
      </c>
      <c r="O1007" t="n">
        <v>0</v>
      </c>
      <c r="P1007" t="n">
        <v>0</v>
      </c>
      <c r="Q1007" t="n">
        <v>0</v>
      </c>
      <c r="R1007" t="n">
        <v>0</v>
      </c>
      <c r="S1007" t="n">
        <v>1</v>
      </c>
      <c r="T1007" t="n">
        <v>1</v>
      </c>
      <c r="U1007" t="n">
        <v>0</v>
      </c>
      <c r="V1007" s="2" t="inlineStr">
        <is>
          <t>Grönpyrola</t>
        </is>
      </c>
      <c r="W1007">
        <f>HYPERLINK("https://klasma.github.io/Logging_0821/artfynd/A 30800-2026 artfynd.xlsx", "A 30800-2026")</f>
        <v/>
      </c>
      <c r="X1007">
        <f>HYPERLINK("https://klasma.github.io/Logging_0821/kartor/A 30800-2026 karta.png", "A 30800-2026")</f>
        <v/>
      </c>
      <c r="Y1007">
        <f>HYPERLINK("https://klasma.github.io/Logging_0821/kartor_geotiff/A 30800-2026 georefererad karta.tif", "A 30800-2026")</f>
        <v/>
      </c>
      <c r="AA1007">
        <f>HYPERLINK("https://klasma.github.io/Logging_0821/klagomål/A 30800-2026 FSC-klagomål.docx", "A 30800-2026")</f>
        <v/>
      </c>
      <c r="AB1007">
        <f>HYPERLINK("https://klasma.github.io/Logging_0821/klagomålsmail/A 30800-2026 FSC-klagomål mail.docx", "A 30800-2026")</f>
        <v/>
      </c>
      <c r="AC1007">
        <f>HYPERLINK("https://klasma.github.io/Logging_0821/tillsyn/A 30800-2026 tillsynsbegäran.docx", "A 30800-2026")</f>
        <v/>
      </c>
      <c r="AD1007">
        <f>HYPERLINK("https://klasma.github.io/Logging_0821/tillsynsmail/A 30800-2026 tillsynsbegäran mail.docx", "A 30800-2026")</f>
        <v/>
      </c>
    </row>
    <row r="1008" ht="15" customHeight="1">
      <c r="A1008" t="inlineStr">
        <is>
          <t>A 5563-2026</t>
        </is>
      </c>
      <c r="B1008" t="inlineStr">
        <is>
          <t>avverkningsanmälan</t>
        </is>
      </c>
      <c r="C1008" t="inlineStr">
        <is>
          <t>Föryngringsavverkning</t>
        </is>
      </c>
      <c r="D1008" s="1" t="n">
        <v>46050</v>
      </c>
      <c r="E1008" s="1" t="n">
        <v>46323</v>
      </c>
      <c r="F1008" t="inlineStr">
        <is>
          <t>KALMAR LÄN</t>
        </is>
      </c>
      <c r="G1008" t="inlineStr">
        <is>
          <t>HULTSFRED</t>
        </is>
      </c>
      <c r="I1008" t="n">
        <v>2</v>
      </c>
      <c r="J1008" t="n">
        <v>0</v>
      </c>
      <c r="K1008" t="n">
        <v>0</v>
      </c>
      <c r="L1008" t="n">
        <v>1</v>
      </c>
      <c r="M1008" t="n">
        <v>0</v>
      </c>
      <c r="N1008" t="n">
        <v>0</v>
      </c>
      <c r="O1008" t="n">
        <v>0</v>
      </c>
      <c r="P1008" t="n">
        <v>0</v>
      </c>
      <c r="Q1008" t="n">
        <v>1</v>
      </c>
      <c r="R1008" t="n">
        <v>0</v>
      </c>
      <c r="S1008" t="n">
        <v>1</v>
      </c>
      <c r="T1008" t="n">
        <v>1</v>
      </c>
      <c r="U1008" t="n">
        <v>0</v>
      </c>
      <c r="V1008" s="2" t="inlineStr">
        <is>
          <t>Smal guldkornsfibbla</t>
        </is>
      </c>
      <c r="W1008">
        <f>HYPERLINK("https://klasma.github.io/Logging_0860/artfynd/A 5563-2026 artfynd.xlsx", "A 5563-2026")</f>
        <v/>
      </c>
      <c r="X1008">
        <f>HYPERLINK("https://klasma.github.io/Logging_0860/kartor/A 5563-2026 karta.png", "A 5563-2026")</f>
        <v/>
      </c>
      <c r="Y1008">
        <f>HYPERLINK("https://klasma.github.io/Logging_0860/kartor_geotiff/A 5563-2026 georefererad karta.tif", "A 5563-2026")</f>
        <v/>
      </c>
      <c r="AA1008">
        <f>HYPERLINK("https://klasma.github.io/Logging_0860/klagomål/A 5563-2026 FSC-klagomål.docx", "A 5563-2026")</f>
        <v/>
      </c>
      <c r="AB1008">
        <f>HYPERLINK("https://klasma.github.io/Logging_0860/klagomålsmail/A 5563-2026 FSC-klagomål mail.docx", "A 5563-2026")</f>
        <v/>
      </c>
      <c r="AC1008">
        <f>HYPERLINK("https://klasma.github.io/Logging_0860/tillsyn/A 5563-2026 tillsynsbegäran.docx", "A 5563-2026")</f>
        <v/>
      </c>
      <c r="AD1008">
        <f>HYPERLINK("https://klasma.github.io/Logging_0860/tillsynsmail/A 5563-2026 tillsynsbegäran mail.docx", "A 5563-2026")</f>
        <v/>
      </c>
    </row>
    <row r="1009" ht="15" customHeight="1">
      <c r="A1009" t="inlineStr">
        <is>
          <t>A 31261-2026</t>
        </is>
      </c>
      <c r="B1009" t="inlineStr">
        <is>
          <t>avverkningsanmälan</t>
        </is>
      </c>
      <c r="C1009" t="inlineStr">
        <is>
          <t>Föryngringsavverkning</t>
        </is>
      </c>
      <c r="D1009" s="1" t="n">
        <v>46218</v>
      </c>
      <c r="E1009" s="1" t="n">
        <v>46323</v>
      </c>
      <c r="F1009" t="inlineStr">
        <is>
          <t>KALMAR LÄN</t>
        </is>
      </c>
      <c r="G1009" t="inlineStr">
        <is>
          <t>EMMABODA</t>
        </is>
      </c>
      <c r="I1009" t="n">
        <v>5.7</v>
      </c>
      <c r="J1009" t="n">
        <v>0</v>
      </c>
      <c r="K1009" t="n">
        <v>1</v>
      </c>
      <c r="L1009" t="n">
        <v>0</v>
      </c>
      <c r="M1009" t="n">
        <v>0</v>
      </c>
      <c r="N1009" t="n">
        <v>0</v>
      </c>
      <c r="O1009" t="n">
        <v>0</v>
      </c>
      <c r="P1009" t="n">
        <v>0</v>
      </c>
      <c r="Q1009" t="n">
        <v>0</v>
      </c>
      <c r="R1009" t="n">
        <v>0</v>
      </c>
      <c r="S1009" t="n">
        <v>1</v>
      </c>
      <c r="T1009" t="n">
        <v>1</v>
      </c>
      <c r="U1009" t="n">
        <v>0</v>
      </c>
      <c r="V1009" s="2" t="inlineStr">
        <is>
          <t>Stubbspretmossa</t>
        </is>
      </c>
      <c r="W1009">
        <f>HYPERLINK("https://klasma.github.io/Logging_0862/artfynd/A 31261-2026 artfynd.xlsx", "A 31261-2026")</f>
        <v/>
      </c>
      <c r="X1009">
        <f>HYPERLINK("https://klasma.github.io/Logging_0862/kartor/A 31261-2026 karta.png", "A 31261-2026")</f>
        <v/>
      </c>
      <c r="Y1009">
        <f>HYPERLINK("https://klasma.github.io/Logging_0862/kartor_geotiff/A 31261-2026 georefererad karta.tif", "A 31261-2026")</f>
        <v/>
      </c>
      <c r="AA1009">
        <f>HYPERLINK("https://klasma.github.io/Logging_0862/klagomål/A 31261-2026 FSC-klagomål.docx", "A 31261-2026")</f>
        <v/>
      </c>
      <c r="AB1009">
        <f>HYPERLINK("https://klasma.github.io/Logging_0862/klagomålsmail/A 31261-2026 FSC-klagomål mail.docx", "A 31261-2026")</f>
        <v/>
      </c>
      <c r="AC1009">
        <f>HYPERLINK("https://klasma.github.io/Logging_0862/tillsyn/A 31261-2026 tillsynsbegäran.docx", "A 31261-2026")</f>
        <v/>
      </c>
      <c r="AD1009">
        <f>HYPERLINK("https://klasma.github.io/Logging_0862/tillsynsmail/A 31261-2026 tillsynsbegäran mail.docx", "A 31261-2026")</f>
        <v/>
      </c>
    </row>
    <row r="1010" ht="15" customHeight="1">
      <c r="A1010" t="inlineStr">
        <is>
          <t>A 35962-2023</t>
        </is>
      </c>
      <c r="B1010" t="inlineStr">
        <is>
          <t>avverkningsanmälan</t>
        </is>
      </c>
      <c r="C1010" t="inlineStr">
        <is>
          <t>Föryngringsavverkning</t>
        </is>
      </c>
      <c r="D1010" s="1" t="n">
        <v>45148</v>
      </c>
      <c r="E1010" s="1" t="n">
        <v>46323</v>
      </c>
      <c r="F1010" t="inlineStr">
        <is>
          <t>KALMAR LÄN</t>
        </is>
      </c>
      <c r="G1010" t="inlineStr">
        <is>
          <t>VÄSTERVIK</t>
        </is>
      </c>
      <c r="H1010" t="inlineStr">
        <is>
          <t>Sveaskog</t>
        </is>
      </c>
      <c r="I1010" t="n">
        <v>2.1</v>
      </c>
      <c r="J1010" t="n">
        <v>0</v>
      </c>
      <c r="K1010" t="n">
        <v>0</v>
      </c>
      <c r="L1010" t="n">
        <v>1</v>
      </c>
      <c r="M1010" t="n">
        <v>0</v>
      </c>
      <c r="N1010" t="n">
        <v>0</v>
      </c>
      <c r="O1010" t="n">
        <v>0</v>
      </c>
      <c r="P1010" t="n">
        <v>0</v>
      </c>
      <c r="Q1010" t="n">
        <v>1</v>
      </c>
      <c r="R1010" t="n">
        <v>0</v>
      </c>
      <c r="S1010" t="n">
        <v>1</v>
      </c>
      <c r="T1010" t="n">
        <v>2</v>
      </c>
      <c r="U1010" t="n">
        <v>0</v>
      </c>
      <c r="V1010" s="2" t="inlineStr">
        <is>
          <t>Ekticka</t>
        </is>
      </c>
      <c r="W1010">
        <f>HYPERLINK("https://klasma.github.io/Logging_0883/artfynd/A 35962-2023 artfynd.xlsx", "A 35962-2023")</f>
        <v/>
      </c>
      <c r="X1010">
        <f>HYPERLINK("https://klasma.github.io/Logging_0883/kartor/A 35962-2023 karta.png", "A 35962-2023")</f>
        <v/>
      </c>
      <c r="Y1010">
        <f>HYPERLINK("https://klasma.github.io/Logging_0883/kartor_geotiff/A 35962-2023 georefererad karta.tif", "A 35962-2023")</f>
        <v/>
      </c>
      <c r="AA1010">
        <f>HYPERLINK("https://klasma.github.io/Logging_0883/klagomål/A 35962-2023 FSC-klagomål.docx", "A 35962-2023")</f>
        <v/>
      </c>
      <c r="AB1010">
        <f>HYPERLINK("https://klasma.github.io/Logging_0883/klagomålsmail/A 35962-2023 FSC-klagomål mail.docx", "A 35962-2023")</f>
        <v/>
      </c>
      <c r="AC1010">
        <f>HYPERLINK("https://klasma.github.io/Logging_0883/tillsyn/A 35962-2023 tillsynsbegäran.docx", "A 35962-2023")</f>
        <v/>
      </c>
      <c r="AD1010">
        <f>HYPERLINK("https://klasma.github.io/Logging_0883/tillsynsmail/A 35962-2023 tillsynsbegäran mail.docx", "A 35962-2023")</f>
        <v/>
      </c>
    </row>
    <row r="1011" ht="15" customHeight="1">
      <c r="A1011" t="inlineStr">
        <is>
          <t>A 30492-2026</t>
        </is>
      </c>
      <c r="B1011" t="inlineStr">
        <is>
          <t>avverkningsanmälan</t>
        </is>
      </c>
      <c r="C1011" t="inlineStr">
        <is>
          <t>Avverkning för annat ändamål</t>
        </is>
      </c>
      <c r="D1011" s="1" t="n">
        <v>46210</v>
      </c>
      <c r="E1011" s="1" t="n">
        <v>46323</v>
      </c>
      <c r="F1011" t="inlineStr">
        <is>
          <t>KALMAR LÄN</t>
        </is>
      </c>
      <c r="G1011" t="inlineStr">
        <is>
          <t>MÖRBYLÅNGA</t>
        </is>
      </c>
      <c r="I1011" t="n">
        <v>2</v>
      </c>
      <c r="J1011" t="n">
        <v>0</v>
      </c>
      <c r="K1011" t="n">
        <v>0</v>
      </c>
      <c r="L1011" t="n">
        <v>1</v>
      </c>
      <c r="M1011" t="n">
        <v>0</v>
      </c>
      <c r="N1011" t="n">
        <v>0</v>
      </c>
      <c r="O1011" t="n">
        <v>0</v>
      </c>
      <c r="P1011" t="n">
        <v>0</v>
      </c>
      <c r="Q1011" t="n">
        <v>1</v>
      </c>
      <c r="R1011" t="n">
        <v>0</v>
      </c>
      <c r="S1011" t="n">
        <v>1</v>
      </c>
      <c r="T1011" t="n">
        <v>1</v>
      </c>
      <c r="U1011" t="n">
        <v>0</v>
      </c>
      <c r="V1011" s="2" t="inlineStr">
        <is>
          <t>Jordtistel</t>
        </is>
      </c>
      <c r="W1011">
        <f>HYPERLINK("https://klasma.github.io/Logging_0840/artfynd/A 30492-2026 artfynd.xlsx", "A 30492-2026")</f>
        <v/>
      </c>
      <c r="X1011">
        <f>HYPERLINK("https://klasma.github.io/Logging_0840/kartor/A 30492-2026 karta.png", "A 30492-2026")</f>
        <v/>
      </c>
      <c r="Y1011">
        <f>HYPERLINK("https://klasma.github.io/Logging_0840/kartor_geotiff/A 30492-2026 georefererad karta.tif", "A 30492-2026")</f>
        <v/>
      </c>
      <c r="AA1011">
        <f>HYPERLINK("https://klasma.github.io/Logging_0840/klagomål/A 30492-2026 FSC-klagomål.docx", "A 30492-2026")</f>
        <v/>
      </c>
      <c r="AB1011">
        <f>HYPERLINK("https://klasma.github.io/Logging_0840/klagomålsmail/A 30492-2026 FSC-klagomål mail.docx", "A 30492-2026")</f>
        <v/>
      </c>
      <c r="AC1011">
        <f>HYPERLINK("https://klasma.github.io/Logging_0840/tillsyn/A 30492-2026 tillsynsbegäran.docx", "A 30492-2026")</f>
        <v/>
      </c>
      <c r="AD1011">
        <f>HYPERLINK("https://klasma.github.io/Logging_0840/tillsynsmail/A 30492-2026 tillsynsbegäran mail.docx", "A 30492-2026")</f>
        <v/>
      </c>
    </row>
    <row r="1012" ht="15" customHeight="1">
      <c r="A1012" t="inlineStr">
        <is>
          <t>A 6611-2026</t>
        </is>
      </c>
      <c r="B1012" t="inlineStr">
        <is>
          <t>avverkningsanmälan</t>
        </is>
      </c>
      <c r="C1012" t="inlineStr">
        <is>
          <t>Föryngringsavverkning</t>
        </is>
      </c>
      <c r="D1012" s="1" t="n">
        <v>46056</v>
      </c>
      <c r="E1012" s="1" t="n">
        <v>46323</v>
      </c>
      <c r="F1012" t="inlineStr">
        <is>
          <t>KALMAR LÄN</t>
        </is>
      </c>
      <c r="G1012" t="inlineStr">
        <is>
          <t>TORSÅS</t>
        </is>
      </c>
      <c r="I1012" t="n">
        <v>5.4</v>
      </c>
      <c r="J1012" t="n">
        <v>1</v>
      </c>
      <c r="K1012" t="n">
        <v>0</v>
      </c>
      <c r="L1012" t="n">
        <v>0</v>
      </c>
      <c r="M1012" t="n">
        <v>0</v>
      </c>
      <c r="N1012" t="n">
        <v>0</v>
      </c>
      <c r="O1012" t="n">
        <v>0</v>
      </c>
      <c r="P1012" t="n">
        <v>0</v>
      </c>
      <c r="Q1012" t="n">
        <v>0</v>
      </c>
      <c r="R1012" t="n">
        <v>0</v>
      </c>
      <c r="S1012" t="n">
        <v>1</v>
      </c>
      <c r="T1012" t="n">
        <v>1</v>
      </c>
      <c r="U1012" t="n">
        <v>0</v>
      </c>
      <c r="V1012" s="2" t="inlineStr">
        <is>
          <t>Långbensgroda</t>
        </is>
      </c>
      <c r="W1012">
        <f>HYPERLINK("https://klasma.github.io/Logging_0834/artfynd/A 6611-2026 artfynd.xlsx", "A 6611-2026")</f>
        <v/>
      </c>
      <c r="X1012">
        <f>HYPERLINK("https://klasma.github.io/Logging_0834/kartor/A 6611-2026 karta.png", "A 6611-2026")</f>
        <v/>
      </c>
      <c r="Y1012">
        <f>HYPERLINK("https://klasma.github.io/Logging_0834/kartor_geotiff/A 6611-2026 georefererad karta.tif", "A 6611-2026")</f>
        <v/>
      </c>
      <c r="AA1012">
        <f>HYPERLINK("https://klasma.github.io/Logging_0834/klagomål/A 6611-2026 FSC-klagomål.docx", "A 6611-2026")</f>
        <v/>
      </c>
      <c r="AB1012">
        <f>HYPERLINK("https://klasma.github.io/Logging_0834/klagomålsmail/A 6611-2026 FSC-klagomål mail.docx", "A 6611-2026")</f>
        <v/>
      </c>
      <c r="AC1012">
        <f>HYPERLINK("https://klasma.github.io/Logging_0834/tillsyn/A 6611-2026 tillsynsbegäran.docx", "A 6611-2026")</f>
        <v/>
      </c>
      <c r="AD1012">
        <f>HYPERLINK("https://klasma.github.io/Logging_0834/tillsynsmail/A 6611-2026 tillsynsbegäran mail.docx", "A 6611-2026")</f>
        <v/>
      </c>
    </row>
    <row r="1013" ht="15" customHeight="1">
      <c r="A1013" t="inlineStr">
        <is>
          <t>A 6634-2025</t>
        </is>
      </c>
      <c r="B1013" t="inlineStr">
        <is>
          <t>avverkningsanmälan</t>
        </is>
      </c>
      <c r="C1013" t="inlineStr">
        <is>
          <t>Föryngringsavverkning</t>
        </is>
      </c>
      <c r="D1013" s="1" t="n">
        <v>45700</v>
      </c>
      <c r="E1013" s="1" t="n">
        <v>46323</v>
      </c>
      <c r="F1013" t="inlineStr">
        <is>
          <t>KALMAR LÄN</t>
        </is>
      </c>
      <c r="G1013" t="inlineStr">
        <is>
          <t>VÄSTERVIK</t>
        </is>
      </c>
      <c r="I1013" t="n">
        <v>2.2</v>
      </c>
      <c r="J1013" t="n">
        <v>0</v>
      </c>
      <c r="K1013" t="n">
        <v>1</v>
      </c>
      <c r="L1013" t="n">
        <v>0</v>
      </c>
      <c r="M1013" t="n">
        <v>0</v>
      </c>
      <c r="N1013" t="n">
        <v>0</v>
      </c>
      <c r="O1013" t="n">
        <v>0</v>
      </c>
      <c r="P1013" t="n">
        <v>0</v>
      </c>
      <c r="Q1013" t="n">
        <v>0</v>
      </c>
      <c r="R1013" t="n">
        <v>0</v>
      </c>
      <c r="S1013" t="n">
        <v>1</v>
      </c>
      <c r="T1013" t="n">
        <v>1</v>
      </c>
      <c r="U1013" t="n">
        <v>1</v>
      </c>
      <c r="V1013" s="2" t="inlineStr">
        <is>
          <t>Ögonpyrola</t>
        </is>
      </c>
      <c r="W1013">
        <f>HYPERLINK("https://klasma.github.io/Logging_0883/artfynd/A 6634-2025 artfynd.xlsx", "A 6634-2025")</f>
        <v/>
      </c>
      <c r="X1013">
        <f>HYPERLINK("https://klasma.github.io/Logging_0883/kartor/A 6634-2025 karta.png", "A 6634-2025")</f>
        <v/>
      </c>
      <c r="Y1013">
        <f>HYPERLINK("https://klasma.github.io/Logging_0883/kartor_geotiff/A 6634-2025 georefererad karta.tif", "A 6634-2025")</f>
        <v/>
      </c>
      <c r="AA1013">
        <f>HYPERLINK("https://klasma.github.io/Logging_0883/klagomål/A 6634-2025 FSC-klagomål.docx", "A 6634-2025")</f>
        <v/>
      </c>
      <c r="AB1013">
        <f>HYPERLINK("https://klasma.github.io/Logging_0883/klagomålsmail/A 6634-2025 FSC-klagomål mail.docx", "A 6634-2025")</f>
        <v/>
      </c>
      <c r="AC1013">
        <f>HYPERLINK("https://klasma.github.io/Logging_0883/tillsyn/A 6634-2025 tillsynsbegäran.docx", "A 6634-2025")</f>
        <v/>
      </c>
      <c r="AD1013">
        <f>HYPERLINK("https://klasma.github.io/Logging_0883/tillsynsmail/A 6634-2025 tillsynsbegäran mail.docx", "A 6634-2025")</f>
        <v/>
      </c>
    </row>
    <row r="1014" ht="15" customHeight="1">
      <c r="A1014" t="inlineStr">
        <is>
          <t>A 59361-2023</t>
        </is>
      </c>
      <c r="B1014" t="inlineStr">
        <is>
          <t>avverkningsanmälan</t>
        </is>
      </c>
      <c r="C1014" t="inlineStr">
        <is>
          <t>Avverkning för att bevara och utveckla /försöksver</t>
        </is>
      </c>
      <c r="D1014" s="1" t="n">
        <v>45253</v>
      </c>
      <c r="E1014" s="1" t="n">
        <v>46323</v>
      </c>
      <c r="F1014" t="inlineStr">
        <is>
          <t>KALMAR LÄN</t>
        </is>
      </c>
      <c r="G1014" t="inlineStr">
        <is>
          <t>TORSÅS</t>
        </is>
      </c>
      <c r="I1014" t="n">
        <v>1.7</v>
      </c>
      <c r="J1014" t="n">
        <v>0</v>
      </c>
      <c r="K1014" t="n">
        <v>1</v>
      </c>
      <c r="L1014" t="n">
        <v>0</v>
      </c>
      <c r="M1014" t="n">
        <v>0</v>
      </c>
      <c r="N1014" t="n">
        <v>0</v>
      </c>
      <c r="O1014" t="n">
        <v>0</v>
      </c>
      <c r="P1014" t="n">
        <v>0</v>
      </c>
      <c r="Q1014" t="n">
        <v>0</v>
      </c>
      <c r="R1014" t="n">
        <v>0</v>
      </c>
      <c r="S1014" t="n">
        <v>1</v>
      </c>
      <c r="T1014" t="n">
        <v>1</v>
      </c>
      <c r="U1014" t="n">
        <v>1</v>
      </c>
      <c r="V1014" s="2" t="inlineStr">
        <is>
          <t>Murgröna</t>
        </is>
      </c>
      <c r="W1014">
        <f>HYPERLINK("https://klasma.github.io/Logging_0834/artfynd/A 59361-2023 artfynd.xlsx", "A 59361-2023")</f>
        <v/>
      </c>
      <c r="X1014">
        <f>HYPERLINK("https://klasma.github.io/Logging_0834/kartor/A 59361-2023 karta.png", "A 59361-2023")</f>
        <v/>
      </c>
      <c r="Y1014">
        <f>HYPERLINK("https://klasma.github.io/Logging_0834/kartor_geotiff/A 59361-2023 georefererad karta.tif", "A 59361-2023")</f>
        <v/>
      </c>
      <c r="AA1014">
        <f>HYPERLINK("https://klasma.github.io/Logging_0834/klagomål/A 59361-2023 FSC-klagomål.docx", "A 59361-2023")</f>
        <v/>
      </c>
      <c r="AB1014">
        <f>HYPERLINK("https://klasma.github.io/Logging_0834/klagomålsmail/A 59361-2023 FSC-klagomål mail.docx", "A 59361-2023")</f>
        <v/>
      </c>
      <c r="AC1014">
        <f>HYPERLINK("https://klasma.github.io/Logging_0834/tillsyn/A 59361-2023 tillsynsbegäran.docx", "A 59361-2023")</f>
        <v/>
      </c>
      <c r="AD1014">
        <f>HYPERLINK("https://klasma.github.io/Logging_0834/tillsynsmail/A 59361-2023 tillsynsbegäran mail.docx", "A 59361-2023")</f>
        <v/>
      </c>
    </row>
    <row r="1015" ht="15" customHeight="1">
      <c r="A1015" t="inlineStr">
        <is>
          <t>A 3600-2025</t>
        </is>
      </c>
      <c r="B1015" t="inlineStr">
        <is>
          <t>avverkningsanmälan</t>
        </is>
      </c>
      <c r="C1015" t="inlineStr">
        <is>
          <t>Föryngringsavverkning</t>
        </is>
      </c>
      <c r="D1015" s="1" t="n">
        <v>45681</v>
      </c>
      <c r="E1015" s="1" t="n">
        <v>46323</v>
      </c>
      <c r="F1015" t="inlineStr">
        <is>
          <t>KALMAR LÄN</t>
        </is>
      </c>
      <c r="G1015" t="inlineStr">
        <is>
          <t>VÄSTERVIK</t>
        </is>
      </c>
      <c r="I1015" t="n">
        <v>1</v>
      </c>
      <c r="J1015" t="n">
        <v>1</v>
      </c>
      <c r="K1015" t="n">
        <v>0</v>
      </c>
      <c r="L1015" t="n">
        <v>0</v>
      </c>
      <c r="M1015" t="n">
        <v>0</v>
      </c>
      <c r="N1015" t="n">
        <v>0</v>
      </c>
      <c r="O1015" t="n">
        <v>0</v>
      </c>
      <c r="P1015" t="n">
        <v>0</v>
      </c>
      <c r="Q1015" t="n">
        <v>0</v>
      </c>
      <c r="R1015" t="n">
        <v>0</v>
      </c>
      <c r="S1015" t="n">
        <v>1</v>
      </c>
      <c r="T1015" t="n">
        <v>1</v>
      </c>
      <c r="U1015" t="n">
        <v>1</v>
      </c>
      <c r="V1015" s="2" t="inlineStr">
        <is>
          <t>Spillkråka</t>
        </is>
      </c>
      <c r="W1015">
        <f>HYPERLINK("https://klasma.github.io/Logging_0883/artfynd/A 3600-2025 artfynd.xlsx", "A 3600-2025")</f>
        <v/>
      </c>
      <c r="X1015">
        <f>HYPERLINK("https://klasma.github.io/Logging_0883/kartor/A 3600-2025 karta.png", "A 3600-2025")</f>
        <v/>
      </c>
      <c r="Y1015">
        <f>HYPERLINK("https://klasma.github.io/Logging_0883/kartor_geotiff/A 3600-2025 georefererad karta.tif", "A 3600-2025")</f>
        <v/>
      </c>
      <c r="AA1015">
        <f>HYPERLINK("https://klasma.github.io/Logging_0883/klagomål/A 3600-2025 FSC-klagomål.docx", "A 3600-2025")</f>
        <v/>
      </c>
      <c r="AB1015">
        <f>HYPERLINK("https://klasma.github.io/Logging_0883/klagomålsmail/A 3600-2025 FSC-klagomål mail.docx", "A 3600-2025")</f>
        <v/>
      </c>
      <c r="AC1015">
        <f>HYPERLINK("https://klasma.github.io/Logging_0883/tillsyn/A 3600-2025 tillsynsbegäran.docx", "A 3600-2025")</f>
        <v/>
      </c>
      <c r="AD1015">
        <f>HYPERLINK("https://klasma.github.io/Logging_0883/tillsynsmail/A 3600-2025 tillsynsbegäran mail.docx", "A 3600-2025")</f>
        <v/>
      </c>
      <c r="AE1015">
        <f>HYPERLINK("https://klasma.github.io/Logging_0883/fåglar/A 3600-2025 prioriterade fågelarter.docx", "A 3600-2025")</f>
        <v/>
      </c>
    </row>
    <row r="1016" ht="15" customHeight="1">
      <c r="A1016" t="inlineStr">
        <is>
          <t>A 35072-2023</t>
        </is>
      </c>
      <c r="B1016" t="inlineStr">
        <is>
          <t>avverkningsanmälan</t>
        </is>
      </c>
      <c r="C1016" t="inlineStr">
        <is>
          <t>Föryngringsavverkning</t>
        </is>
      </c>
      <c r="D1016" s="1" t="n">
        <v>45145</v>
      </c>
      <c r="E1016" s="1" t="n">
        <v>46323</v>
      </c>
      <c r="F1016" t="inlineStr">
        <is>
          <t>KALMAR LÄN</t>
        </is>
      </c>
      <c r="G1016" t="inlineStr">
        <is>
          <t>HÖGSBY</t>
        </is>
      </c>
      <c r="I1016" t="n">
        <v>1.3</v>
      </c>
      <c r="J1016" t="n">
        <v>1</v>
      </c>
      <c r="K1016" t="n">
        <v>0</v>
      </c>
      <c r="L1016" t="n">
        <v>0</v>
      </c>
      <c r="M1016" t="n">
        <v>0</v>
      </c>
      <c r="N1016" t="n">
        <v>0</v>
      </c>
      <c r="O1016" t="n">
        <v>0</v>
      </c>
      <c r="P1016" t="n">
        <v>0</v>
      </c>
      <c r="Q1016" t="n">
        <v>0</v>
      </c>
      <c r="R1016" t="n">
        <v>0</v>
      </c>
      <c r="S1016" t="n">
        <v>1</v>
      </c>
      <c r="T1016" t="n">
        <v>1</v>
      </c>
      <c r="U1016" t="n">
        <v>0</v>
      </c>
      <c r="V1016" s="2" t="inlineStr">
        <is>
          <t>Blåsippa</t>
        </is>
      </c>
      <c r="W1016">
        <f>HYPERLINK("https://klasma.github.io/Logging_0821/artfynd/A 35072-2023 artfynd.xlsx", "A 35072-2023")</f>
        <v/>
      </c>
      <c r="X1016">
        <f>HYPERLINK("https://klasma.github.io/Logging_0821/kartor/A 35072-2023 karta.png", "A 35072-2023")</f>
        <v/>
      </c>
      <c r="Y1016">
        <f>HYPERLINK("https://klasma.github.io/Logging_0821/kartor_geotiff/A 35072-2023 georefererad karta.tif", "A 35072-2023")</f>
        <v/>
      </c>
      <c r="AA1016">
        <f>HYPERLINK("https://klasma.github.io/Logging_0821/klagomål/A 35072-2023 FSC-klagomål.docx", "A 35072-2023")</f>
        <v/>
      </c>
      <c r="AB1016">
        <f>HYPERLINK("https://klasma.github.io/Logging_0821/klagomålsmail/A 35072-2023 FSC-klagomål mail.docx", "A 35072-2023")</f>
        <v/>
      </c>
      <c r="AC1016">
        <f>HYPERLINK("https://klasma.github.io/Logging_0821/tillsyn/A 35072-2023 tillsynsbegäran.docx", "A 35072-2023")</f>
        <v/>
      </c>
      <c r="AD1016">
        <f>HYPERLINK("https://klasma.github.io/Logging_0821/tillsynsmail/A 35072-2023 tillsynsbegäran mail.docx", "A 35072-2023")</f>
        <v/>
      </c>
    </row>
    <row r="1017" ht="15" customHeight="1">
      <c r="A1017" t="inlineStr">
        <is>
          <t>A 7038-2026</t>
        </is>
      </c>
      <c r="B1017" t="inlineStr">
        <is>
          <t>avverkningsanmälan</t>
        </is>
      </c>
      <c r="C1017" t="inlineStr">
        <is>
          <t>Föryngringsavverkning</t>
        </is>
      </c>
      <c r="D1017" s="1" t="n">
        <v>46057</v>
      </c>
      <c r="E1017" s="1" t="n">
        <v>46323</v>
      </c>
      <c r="F1017" t="inlineStr">
        <is>
          <t>KALMAR LÄN</t>
        </is>
      </c>
      <c r="G1017" t="inlineStr">
        <is>
          <t>NYBRO</t>
        </is>
      </c>
      <c r="I1017" t="n">
        <v>0.5</v>
      </c>
      <c r="J1017" t="n">
        <v>0</v>
      </c>
      <c r="K1017" t="n">
        <v>1</v>
      </c>
      <c r="L1017" t="n">
        <v>0</v>
      </c>
      <c r="M1017" t="n">
        <v>0</v>
      </c>
      <c r="N1017" t="n">
        <v>0</v>
      </c>
      <c r="O1017" t="n">
        <v>0</v>
      </c>
      <c r="P1017" t="n">
        <v>0</v>
      </c>
      <c r="Q1017" t="n">
        <v>0</v>
      </c>
      <c r="R1017" t="n">
        <v>0</v>
      </c>
      <c r="S1017" t="n">
        <v>1</v>
      </c>
      <c r="T1017" t="n">
        <v>1</v>
      </c>
      <c r="U1017" t="n">
        <v>0</v>
      </c>
      <c r="V1017" s="2" t="inlineStr">
        <is>
          <t>Vanlig flatbagge</t>
        </is>
      </c>
      <c r="W1017">
        <f>HYPERLINK("https://klasma.github.io/Logging_0881/artfynd/A 7038-2026 artfynd.xlsx", "A 7038-2026")</f>
        <v/>
      </c>
      <c r="X1017">
        <f>HYPERLINK("https://klasma.github.io/Logging_0881/kartor/A 7038-2026 karta.png", "A 7038-2026")</f>
        <v/>
      </c>
      <c r="Y1017">
        <f>HYPERLINK("https://klasma.github.io/Logging_0881/kartor_geotiff/A 7038-2026 georefererad karta.tif", "A 7038-2026")</f>
        <v/>
      </c>
      <c r="AA1017">
        <f>HYPERLINK("https://klasma.github.io/Logging_0881/klagomål/A 7038-2026 FSC-klagomål.docx", "A 7038-2026")</f>
        <v/>
      </c>
      <c r="AB1017">
        <f>HYPERLINK("https://klasma.github.io/Logging_0881/klagomålsmail/A 7038-2026 FSC-klagomål mail.docx", "A 7038-2026")</f>
        <v/>
      </c>
      <c r="AC1017">
        <f>HYPERLINK("https://klasma.github.io/Logging_0881/tillsyn/A 7038-2026 tillsynsbegäran.docx", "A 7038-2026")</f>
        <v/>
      </c>
      <c r="AD1017">
        <f>HYPERLINK("https://klasma.github.io/Logging_0881/tillsynsmail/A 7038-2026 tillsynsbegäran mail.docx", "A 7038-2026")</f>
        <v/>
      </c>
    </row>
    <row r="1018" ht="15" customHeight="1">
      <c r="A1018" t="inlineStr">
        <is>
          <t>A 7481-2026</t>
        </is>
      </c>
      <c r="B1018" t="inlineStr">
        <is>
          <t>avverkningsanmälan</t>
        </is>
      </c>
      <c r="C1018" t="inlineStr">
        <is>
          <t>Föryngringsavverkning</t>
        </is>
      </c>
      <c r="D1018" s="1" t="n">
        <v>46059</v>
      </c>
      <c r="E1018" s="1" t="n">
        <v>46323</v>
      </c>
      <c r="F1018" t="inlineStr">
        <is>
          <t>KALMAR LÄN</t>
        </is>
      </c>
      <c r="G1018" t="inlineStr">
        <is>
          <t>BORGHOLM</t>
        </is>
      </c>
      <c r="I1018" t="n">
        <v>1.9</v>
      </c>
      <c r="J1018" t="n">
        <v>1</v>
      </c>
      <c r="K1018" t="n">
        <v>0</v>
      </c>
      <c r="L1018" t="n">
        <v>0</v>
      </c>
      <c r="M1018" t="n">
        <v>0</v>
      </c>
      <c r="N1018" t="n">
        <v>0</v>
      </c>
      <c r="O1018" t="n">
        <v>0</v>
      </c>
      <c r="P1018" t="n">
        <v>0</v>
      </c>
      <c r="Q1018" t="n">
        <v>0</v>
      </c>
      <c r="R1018" t="n">
        <v>0</v>
      </c>
      <c r="S1018" t="n">
        <v>1</v>
      </c>
      <c r="T1018" t="n">
        <v>2</v>
      </c>
      <c r="U1018" t="n">
        <v>0</v>
      </c>
      <c r="V1018" s="2" t="inlineStr">
        <is>
          <t>Fläcknycklar</t>
        </is>
      </c>
      <c r="W1018">
        <f>HYPERLINK("https://klasma.github.io/Logging_0885/artfynd/A 7481-2026 artfynd.xlsx", "A 7481-2026")</f>
        <v/>
      </c>
      <c r="X1018">
        <f>HYPERLINK("https://klasma.github.io/Logging_0885/kartor/A 7481-2026 karta.png", "A 7481-2026")</f>
        <v/>
      </c>
      <c r="Y1018">
        <f>HYPERLINK("https://klasma.github.io/Logging_0885/kartor_geotiff/A 7481-2026 georefererad karta.tif", "A 7481-2026")</f>
        <v/>
      </c>
      <c r="AA1018">
        <f>HYPERLINK("https://klasma.github.io/Logging_0885/klagomål/A 7481-2026 FSC-klagomål.docx", "A 7481-2026")</f>
        <v/>
      </c>
      <c r="AB1018">
        <f>HYPERLINK("https://klasma.github.io/Logging_0885/klagomålsmail/A 7481-2026 FSC-klagomål mail.docx", "A 7481-2026")</f>
        <v/>
      </c>
      <c r="AC1018">
        <f>HYPERLINK("https://klasma.github.io/Logging_0885/tillsyn/A 7481-2026 tillsynsbegäran.docx", "A 7481-2026")</f>
        <v/>
      </c>
      <c r="AD1018">
        <f>HYPERLINK("https://klasma.github.io/Logging_0885/tillsynsmail/A 7481-2026 tillsynsbegäran mail.docx", "A 7481-2026")</f>
        <v/>
      </c>
    </row>
    <row r="1019" ht="15" customHeight="1">
      <c r="A1019" t="inlineStr">
        <is>
          <t>A 40339-2023</t>
        </is>
      </c>
      <c r="B1019" t="inlineStr">
        <is>
          <t>avverkningsanmälan</t>
        </is>
      </c>
      <c r="C1019" t="inlineStr">
        <is>
          <t>Föryngringsavverkning</t>
        </is>
      </c>
      <c r="D1019" s="1" t="n">
        <v>45169</v>
      </c>
      <c r="E1019" s="1" t="n">
        <v>46323</v>
      </c>
      <c r="F1019" t="inlineStr">
        <is>
          <t>KALMAR LÄN</t>
        </is>
      </c>
      <c r="G1019" t="inlineStr">
        <is>
          <t>BORGHOLM</t>
        </is>
      </c>
      <c r="I1019" t="n">
        <v>3.8</v>
      </c>
      <c r="J1019" t="n">
        <v>1</v>
      </c>
      <c r="K1019" t="n">
        <v>1</v>
      </c>
      <c r="L1019" t="n">
        <v>0</v>
      </c>
      <c r="M1019" t="n">
        <v>0</v>
      </c>
      <c r="N1019" t="n">
        <v>0</v>
      </c>
      <c r="O1019" t="n">
        <v>0</v>
      </c>
      <c r="P1019" t="n">
        <v>0</v>
      </c>
      <c r="Q1019" t="n">
        <v>0</v>
      </c>
      <c r="R1019" t="n">
        <v>0</v>
      </c>
      <c r="S1019" t="n">
        <v>1</v>
      </c>
      <c r="T1019" t="n">
        <v>1</v>
      </c>
      <c r="U1019" t="n">
        <v>1</v>
      </c>
      <c r="V1019" s="2" t="inlineStr">
        <is>
          <t>Ekoxe</t>
        </is>
      </c>
      <c r="W1019">
        <f>HYPERLINK("https://klasma.github.io/Logging_0885/artfynd/A 40339-2023 artfynd.xlsx", "A 40339-2023")</f>
        <v/>
      </c>
      <c r="X1019">
        <f>HYPERLINK("https://klasma.github.io/Logging_0885/kartor/A 40339-2023 karta.png", "A 40339-2023")</f>
        <v/>
      </c>
      <c r="Y1019">
        <f>HYPERLINK("https://klasma.github.io/Logging_0885/kartor_geotiff/A 40339-2023 georefererad karta.tif", "A 40339-2023")</f>
        <v/>
      </c>
      <c r="AA1019">
        <f>HYPERLINK("https://klasma.github.io/Logging_0885/klagomål/A 40339-2023 FSC-klagomål.docx", "A 40339-2023")</f>
        <v/>
      </c>
      <c r="AB1019">
        <f>HYPERLINK("https://klasma.github.io/Logging_0885/klagomålsmail/A 40339-2023 FSC-klagomål mail.docx", "A 40339-2023")</f>
        <v/>
      </c>
      <c r="AC1019">
        <f>HYPERLINK("https://klasma.github.io/Logging_0885/tillsyn/A 40339-2023 tillsynsbegäran.docx", "A 40339-2023")</f>
        <v/>
      </c>
      <c r="AD1019">
        <f>HYPERLINK("https://klasma.github.io/Logging_0885/tillsynsmail/A 40339-2023 tillsynsbegäran mail.docx", "A 40339-2023")</f>
        <v/>
      </c>
    </row>
    <row r="1020" ht="15" customHeight="1">
      <c r="A1020" t="inlineStr">
        <is>
          <t>A 55758-2023</t>
        </is>
      </c>
      <c r="B1020" t="inlineStr">
        <is>
          <t>avverkningsanmälan</t>
        </is>
      </c>
      <c r="C1020" t="inlineStr">
        <is>
          <t>Avverkning för annat ändamål</t>
        </is>
      </c>
      <c r="D1020" s="1" t="n">
        <v>45239</v>
      </c>
      <c r="E1020" s="1" t="n">
        <v>46323</v>
      </c>
      <c r="F1020" t="inlineStr">
        <is>
          <t>KALMAR LÄN</t>
        </is>
      </c>
      <c r="G1020" t="inlineStr">
        <is>
          <t>HULTSFRED</t>
        </is>
      </c>
      <c r="I1020" t="n">
        <v>6.7</v>
      </c>
      <c r="J1020" t="n">
        <v>0</v>
      </c>
      <c r="K1020" t="n">
        <v>0</v>
      </c>
      <c r="L1020" t="n">
        <v>1</v>
      </c>
      <c r="M1020" t="n">
        <v>0</v>
      </c>
      <c r="N1020" t="n">
        <v>0</v>
      </c>
      <c r="O1020" t="n">
        <v>0</v>
      </c>
      <c r="P1020" t="n">
        <v>0</v>
      </c>
      <c r="Q1020" t="n">
        <v>1</v>
      </c>
      <c r="R1020" t="n">
        <v>0</v>
      </c>
      <c r="S1020" t="n">
        <v>1</v>
      </c>
      <c r="T1020" t="n">
        <v>1</v>
      </c>
      <c r="U1020" t="n">
        <v>1</v>
      </c>
      <c r="V1020" s="2" t="inlineStr">
        <is>
          <t>Korskovall</t>
        </is>
      </c>
      <c r="W1020">
        <f>HYPERLINK("https://klasma.github.io/Logging_0860/artfynd/A 55758-2023 artfynd.xlsx", "A 55758-2023")</f>
        <v/>
      </c>
      <c r="X1020">
        <f>HYPERLINK("https://klasma.github.io/Logging_0860/kartor/A 55758-2023 karta.png", "A 55758-2023")</f>
        <v/>
      </c>
      <c r="Y1020">
        <f>HYPERLINK("https://klasma.github.io/Logging_0860/kartor_geotiff/A 55758-2023 georefererad karta.tif", "A 55758-2023")</f>
        <v/>
      </c>
      <c r="AA1020">
        <f>HYPERLINK("https://klasma.github.io/Logging_0860/klagomål/A 55758-2023 FSC-klagomål.docx", "A 55758-2023")</f>
        <v/>
      </c>
      <c r="AB1020">
        <f>HYPERLINK("https://klasma.github.io/Logging_0860/klagomålsmail/A 55758-2023 FSC-klagomål mail.docx", "A 55758-2023")</f>
        <v/>
      </c>
      <c r="AC1020">
        <f>HYPERLINK("https://klasma.github.io/Logging_0860/tillsyn/A 55758-2023 tillsynsbegäran.docx", "A 55758-2023")</f>
        <v/>
      </c>
      <c r="AD1020">
        <f>HYPERLINK("https://klasma.github.io/Logging_0860/tillsynsmail/A 55758-2023 tillsynsbegäran mail.docx", "A 55758-2023")</f>
        <v/>
      </c>
    </row>
    <row r="1021" ht="15" customHeight="1">
      <c r="A1021" t="inlineStr">
        <is>
          <t>A 16395-2024</t>
        </is>
      </c>
      <c r="B1021" t="inlineStr">
        <is>
          <t>avverkningsanmälan</t>
        </is>
      </c>
      <c r="C1021" t="inlineStr">
        <is>
          <t>Föryngringsavverkning</t>
        </is>
      </c>
      <c r="D1021" s="1" t="n">
        <v>45407</v>
      </c>
      <c r="E1021" s="1" t="n">
        <v>46323</v>
      </c>
      <c r="F1021" t="inlineStr">
        <is>
          <t>KALMAR LÄN</t>
        </is>
      </c>
      <c r="G1021" t="inlineStr">
        <is>
          <t>VÄSTERVIK</t>
        </is>
      </c>
      <c r="I1021" t="n">
        <v>1.3</v>
      </c>
      <c r="J1021" t="n">
        <v>1</v>
      </c>
      <c r="K1021" t="n">
        <v>0</v>
      </c>
      <c r="L1021" t="n">
        <v>0</v>
      </c>
      <c r="M1021" t="n">
        <v>1</v>
      </c>
      <c r="N1021" t="n">
        <v>0</v>
      </c>
      <c r="O1021" t="n">
        <v>0</v>
      </c>
      <c r="P1021" t="n">
        <v>0</v>
      </c>
      <c r="Q1021" t="n">
        <v>1</v>
      </c>
      <c r="R1021" t="n">
        <v>1</v>
      </c>
      <c r="S1021" t="n">
        <v>1</v>
      </c>
      <c r="T1021" t="n">
        <v>2</v>
      </c>
      <c r="U1021" t="n">
        <v>0</v>
      </c>
      <c r="V1021" s="2" t="inlineStr">
        <is>
          <t>Knärot</t>
        </is>
      </c>
      <c r="W1021">
        <f>HYPERLINK("https://klasma.github.io/Logging_0883/artfynd/A 16395-2024 artfynd.xlsx", "A 16395-2024")</f>
        <v/>
      </c>
      <c r="X1021">
        <f>HYPERLINK("https://klasma.github.io/Logging_0883/kartor/A 16395-2024 karta.png", "A 16395-2024")</f>
        <v/>
      </c>
      <c r="Y1021">
        <f>HYPERLINK("https://klasma.github.io/Logging_0883/kartor_geotiff/A 16395-2024 georefererad karta.tif", "A 16395-2024")</f>
        <v/>
      </c>
      <c r="Z1021">
        <f>HYPERLINK("https://klasma.github.io/Logging_0883/knärot/A 16395-2024 karta knärot.png", "A 16395-2024")</f>
        <v/>
      </c>
      <c r="AA1021">
        <f>HYPERLINK("https://klasma.github.io/Logging_0883/klagomål/A 16395-2024 FSC-klagomål.docx", "A 16395-2024")</f>
        <v/>
      </c>
      <c r="AB1021">
        <f>HYPERLINK("https://klasma.github.io/Logging_0883/klagomålsmail/A 16395-2024 FSC-klagomål mail.docx", "A 16395-2024")</f>
        <v/>
      </c>
      <c r="AC1021">
        <f>HYPERLINK("https://klasma.github.io/Logging_0883/tillsyn/A 16395-2024 tillsynsbegäran.docx", "A 16395-2024")</f>
        <v/>
      </c>
      <c r="AD1021">
        <f>HYPERLINK("https://klasma.github.io/Logging_0883/tillsynsmail/A 16395-2024 tillsynsbegäran mail.docx", "A 16395-2024")</f>
        <v/>
      </c>
    </row>
    <row r="1022" ht="15" customHeight="1">
      <c r="A1022" t="inlineStr">
        <is>
          <t>A 32321-2026</t>
        </is>
      </c>
      <c r="B1022" t="inlineStr">
        <is>
          <t>avverkningsanmälan</t>
        </is>
      </c>
      <c r="C1022" t="inlineStr">
        <is>
          <t>Föryngringsavverkning</t>
        </is>
      </c>
      <c r="D1022" s="1" t="n">
        <v>46238</v>
      </c>
      <c r="E1022" s="1" t="n">
        <v>46323</v>
      </c>
      <c r="F1022" t="inlineStr">
        <is>
          <t>KALMAR LÄN</t>
        </is>
      </c>
      <c r="G1022" t="inlineStr">
        <is>
          <t>VIMMERBY</t>
        </is>
      </c>
      <c r="I1022" t="n">
        <v>5.9</v>
      </c>
      <c r="J1022" t="n">
        <v>0</v>
      </c>
      <c r="K1022" t="n">
        <v>0</v>
      </c>
      <c r="L1022" t="n">
        <v>1</v>
      </c>
      <c r="M1022" t="n">
        <v>0</v>
      </c>
      <c r="N1022" t="n">
        <v>0</v>
      </c>
      <c r="O1022" t="n">
        <v>0</v>
      </c>
      <c r="P1022" t="n">
        <v>0</v>
      </c>
      <c r="Q1022" t="n">
        <v>1</v>
      </c>
      <c r="R1022" t="n">
        <v>0</v>
      </c>
      <c r="S1022" t="n">
        <v>1</v>
      </c>
      <c r="T1022" t="n">
        <v>1</v>
      </c>
      <c r="U1022" t="n">
        <v>1</v>
      </c>
      <c r="V1022" s="2" t="inlineStr">
        <is>
          <t>Tallfingersvamp</t>
        </is>
      </c>
      <c r="W1022">
        <f>HYPERLINK("https://klasma.github.io/Logging_0884/artfynd/A 32321-2026 artfynd.xlsx", "A 32321-2026")</f>
        <v/>
      </c>
      <c r="X1022">
        <f>HYPERLINK("https://klasma.github.io/Logging_0884/kartor/A 32321-2026 karta.png", "A 32321-2026")</f>
        <v/>
      </c>
      <c r="Y1022">
        <f>HYPERLINK("https://klasma.github.io/Logging_0884/kartor_geotiff/A 32321-2026 georefererad karta.tif", "A 32321-2026")</f>
        <v/>
      </c>
      <c r="AA1022">
        <f>HYPERLINK("https://klasma.github.io/Logging_0884/klagomål/A 32321-2026 FSC-klagomål.docx", "A 32321-2026")</f>
        <v/>
      </c>
      <c r="AB1022">
        <f>HYPERLINK("https://klasma.github.io/Logging_0884/klagomålsmail/A 32321-2026 FSC-klagomål mail.docx", "A 32321-2026")</f>
        <v/>
      </c>
      <c r="AC1022">
        <f>HYPERLINK("https://klasma.github.io/Logging_0884/tillsyn/A 32321-2026 tillsynsbegäran.docx", "A 32321-2026")</f>
        <v/>
      </c>
      <c r="AD1022">
        <f>HYPERLINK("https://klasma.github.io/Logging_0884/tillsynsmail/A 32321-2026 tillsynsbegäran mail.docx", "A 32321-2026")</f>
        <v/>
      </c>
    </row>
    <row r="1023" ht="15" customHeight="1">
      <c r="A1023" t="inlineStr">
        <is>
          <t>A 32372-2026</t>
        </is>
      </c>
      <c r="B1023" t="inlineStr">
        <is>
          <t>avverkningsanmälan</t>
        </is>
      </c>
      <c r="C1023" t="inlineStr">
        <is>
          <t>Föryngringsavverkning</t>
        </is>
      </c>
      <c r="D1023" s="1" t="n">
        <v>46238</v>
      </c>
      <c r="E1023" s="1" t="n">
        <v>46323</v>
      </c>
      <c r="F1023" t="inlineStr">
        <is>
          <t>KALMAR LÄN</t>
        </is>
      </c>
      <c r="G1023" t="inlineStr">
        <is>
          <t>MÖNSTERÅS</t>
        </is>
      </c>
      <c r="I1023" t="n">
        <v>2.6</v>
      </c>
      <c r="J1023" t="n">
        <v>0</v>
      </c>
      <c r="K1023" t="n">
        <v>0</v>
      </c>
      <c r="L1023" t="n">
        <v>0</v>
      </c>
      <c r="M1023" t="n">
        <v>0</v>
      </c>
      <c r="N1023" t="n">
        <v>1</v>
      </c>
      <c r="O1023" t="n">
        <v>0</v>
      </c>
      <c r="P1023" t="n">
        <v>0</v>
      </c>
      <c r="Q1023" t="n">
        <v>1</v>
      </c>
      <c r="R1023" t="n">
        <v>1</v>
      </c>
      <c r="S1023" t="n">
        <v>1</v>
      </c>
      <c r="T1023" t="n">
        <v>1</v>
      </c>
      <c r="U1023" t="n">
        <v>0</v>
      </c>
      <c r="V1023" s="2" t="inlineStr">
        <is>
          <t>Ask</t>
        </is>
      </c>
      <c r="W1023">
        <f>HYPERLINK("https://klasma.github.io/Logging_0861/artfynd/A 32372-2026 artfynd.xlsx", "A 32372-2026")</f>
        <v/>
      </c>
      <c r="X1023">
        <f>HYPERLINK("https://klasma.github.io/Logging_0861/kartor/A 32372-2026 karta.png", "A 32372-2026")</f>
        <v/>
      </c>
      <c r="Y1023">
        <f>HYPERLINK("https://klasma.github.io/Logging_0861/kartor_geotiff/A 32372-2026 georefererad karta.tif", "A 32372-2026")</f>
        <v/>
      </c>
      <c r="AA1023">
        <f>HYPERLINK("https://klasma.github.io/Logging_0861/klagomål/A 32372-2026 FSC-klagomål.docx", "A 32372-2026")</f>
        <v/>
      </c>
      <c r="AB1023">
        <f>HYPERLINK("https://klasma.github.io/Logging_0861/klagomålsmail/A 32372-2026 FSC-klagomål mail.docx", "A 32372-2026")</f>
        <v/>
      </c>
      <c r="AC1023">
        <f>HYPERLINK("https://klasma.github.io/Logging_0861/tillsyn/A 32372-2026 tillsynsbegäran.docx", "A 32372-2026")</f>
        <v/>
      </c>
      <c r="AD1023">
        <f>HYPERLINK("https://klasma.github.io/Logging_0861/tillsynsmail/A 32372-2026 tillsynsbegäran mail.docx", "A 32372-2026")</f>
        <v/>
      </c>
    </row>
    <row r="1024" ht="15" customHeight="1">
      <c r="A1024" t="inlineStr">
        <is>
          <t>A 24698-2023</t>
        </is>
      </c>
      <c r="B1024" t="inlineStr">
        <is>
          <t>avverkningsanmälan</t>
        </is>
      </c>
      <c r="C1024" t="inlineStr">
        <is>
          <t>Föryngringsavverkning</t>
        </is>
      </c>
      <c r="D1024" s="1" t="n">
        <v>45084</v>
      </c>
      <c r="E1024" s="1" t="n">
        <v>46323</v>
      </c>
      <c r="F1024" t="inlineStr">
        <is>
          <t>KALMAR LÄN</t>
        </is>
      </c>
      <c r="G1024" t="inlineStr">
        <is>
          <t>MÖRBYLÅNGA</t>
        </is>
      </c>
      <c r="I1024" t="n">
        <v>5.5</v>
      </c>
      <c r="J1024" t="n">
        <v>0</v>
      </c>
      <c r="K1024" t="n">
        <v>0</v>
      </c>
      <c r="L1024" t="n">
        <v>1</v>
      </c>
      <c r="M1024" t="n">
        <v>0</v>
      </c>
      <c r="N1024" t="n">
        <v>0</v>
      </c>
      <c r="O1024" t="n">
        <v>0</v>
      </c>
      <c r="P1024" t="n">
        <v>0</v>
      </c>
      <c r="Q1024" t="n">
        <v>1</v>
      </c>
      <c r="R1024" t="n">
        <v>0</v>
      </c>
      <c r="S1024" t="n">
        <v>1</v>
      </c>
      <c r="T1024" t="n">
        <v>1</v>
      </c>
      <c r="U1024" t="n">
        <v>1</v>
      </c>
      <c r="V1024" s="2" t="inlineStr">
        <is>
          <t>Sårläka</t>
        </is>
      </c>
      <c r="W1024">
        <f>HYPERLINK("https://klasma.github.io/Logging_0840/artfynd/A 24698-2023 artfynd.xlsx", "A 24698-2023")</f>
        <v/>
      </c>
      <c r="X1024">
        <f>HYPERLINK("https://klasma.github.io/Logging_0840/kartor/A 24698-2023 karta.png", "A 24698-2023")</f>
        <v/>
      </c>
      <c r="Y1024">
        <f>HYPERLINK("https://klasma.github.io/Logging_0840/kartor_geotiff/A 24698-2023 georefererad karta.tif", "A 24698-2023")</f>
        <v/>
      </c>
      <c r="AA1024">
        <f>HYPERLINK("https://klasma.github.io/Logging_0840/klagomål/A 24698-2023 FSC-klagomål.docx", "A 24698-2023")</f>
        <v/>
      </c>
      <c r="AB1024">
        <f>HYPERLINK("https://klasma.github.io/Logging_0840/klagomålsmail/A 24698-2023 FSC-klagomål mail.docx", "A 24698-2023")</f>
        <v/>
      </c>
      <c r="AC1024">
        <f>HYPERLINK("https://klasma.github.io/Logging_0840/tillsyn/A 24698-2023 tillsynsbegäran.docx", "A 24698-2023")</f>
        <v/>
      </c>
      <c r="AD1024">
        <f>HYPERLINK("https://klasma.github.io/Logging_0840/tillsynsmail/A 24698-2023 tillsynsbegäran mail.docx", "A 24698-2023")</f>
        <v/>
      </c>
    </row>
    <row r="1025" ht="15" customHeight="1">
      <c r="A1025" t="inlineStr">
        <is>
          <t>A 2629-2023</t>
        </is>
      </c>
      <c r="B1025" t="inlineStr">
        <is>
          <t>avverkningsanmälan</t>
        </is>
      </c>
      <c r="C1025" t="inlineStr">
        <is>
          <t>Avverkning för annat ändamål</t>
        </is>
      </c>
      <c r="D1025" s="1" t="n">
        <v>44942</v>
      </c>
      <c r="E1025" s="1" t="n">
        <v>46323</v>
      </c>
      <c r="F1025" t="inlineStr">
        <is>
          <t>KALMAR LÄN</t>
        </is>
      </c>
      <c r="G1025" t="inlineStr">
        <is>
          <t>HULTSFRED</t>
        </is>
      </c>
      <c r="I1025" t="n">
        <v>58.7</v>
      </c>
      <c r="J1025" t="n">
        <v>0</v>
      </c>
      <c r="K1025" t="n">
        <v>1</v>
      </c>
      <c r="L1025" t="n">
        <v>0</v>
      </c>
      <c r="M1025" t="n">
        <v>0</v>
      </c>
      <c r="N1025" t="n">
        <v>0</v>
      </c>
      <c r="O1025" t="n">
        <v>0</v>
      </c>
      <c r="P1025" t="n">
        <v>0</v>
      </c>
      <c r="Q1025" t="n">
        <v>0</v>
      </c>
      <c r="R1025" t="n">
        <v>0</v>
      </c>
      <c r="S1025" t="n">
        <v>1</v>
      </c>
      <c r="T1025" t="n">
        <v>1</v>
      </c>
      <c r="U1025" t="n">
        <v>0</v>
      </c>
      <c r="V1025" s="2" t="inlineStr">
        <is>
          <t>Brun nållav</t>
        </is>
      </c>
      <c r="W1025">
        <f>HYPERLINK("https://klasma.github.io/Logging_0860/artfynd/A 2629-2023 artfynd.xlsx", "A 2629-2023")</f>
        <v/>
      </c>
      <c r="X1025">
        <f>HYPERLINK("https://klasma.github.io/Logging_0860/kartor/A 2629-2023 karta.png", "A 2629-2023")</f>
        <v/>
      </c>
      <c r="Y1025">
        <f>HYPERLINK("https://klasma.github.io/Logging_0860/kartor_geotiff/A 2629-2023 georefererad karta.tif", "A 2629-2023")</f>
        <v/>
      </c>
      <c r="AA1025">
        <f>HYPERLINK("https://klasma.github.io/Logging_0860/klagomål/A 2629-2023 FSC-klagomål.docx", "A 2629-2023")</f>
        <v/>
      </c>
      <c r="AB1025">
        <f>HYPERLINK("https://klasma.github.io/Logging_0860/klagomålsmail/A 2629-2023 FSC-klagomål mail.docx", "A 2629-2023")</f>
        <v/>
      </c>
      <c r="AC1025">
        <f>HYPERLINK("https://klasma.github.io/Logging_0860/tillsyn/A 2629-2023 tillsynsbegäran.docx", "A 2629-2023")</f>
        <v/>
      </c>
      <c r="AD1025">
        <f>HYPERLINK("https://klasma.github.io/Logging_0860/tillsynsmail/A 2629-2023 tillsynsbegäran mail.docx", "A 2629-2023")</f>
        <v/>
      </c>
    </row>
    <row r="1026" ht="15" customHeight="1">
      <c r="A1026" t="inlineStr">
        <is>
          <t>A 38379-2026</t>
        </is>
      </c>
      <c r="B1026" t="inlineStr">
        <is>
          <t>avverkningsanmälan</t>
        </is>
      </c>
      <c r="C1026" t="inlineStr">
        <is>
          <t>Föryngringsavverkning</t>
        </is>
      </c>
      <c r="D1026" s="1" t="n">
        <v>46282</v>
      </c>
      <c r="E1026" s="1" t="n">
        <v>46323</v>
      </c>
      <c r="F1026" t="inlineStr">
        <is>
          <t>KALMAR LÄN</t>
        </is>
      </c>
      <c r="G1026" t="inlineStr">
        <is>
          <t>EMMABODA</t>
        </is>
      </c>
      <c r="I1026" t="n">
        <v>2.4</v>
      </c>
      <c r="J1026" t="n">
        <v>1</v>
      </c>
      <c r="K1026" t="n">
        <v>0</v>
      </c>
      <c r="L1026" t="n">
        <v>0</v>
      </c>
      <c r="M1026" t="n">
        <v>0</v>
      </c>
      <c r="N1026" t="n">
        <v>0</v>
      </c>
      <c r="O1026" t="n">
        <v>0</v>
      </c>
      <c r="P1026" t="n">
        <v>0</v>
      </c>
      <c r="Q1026" t="n">
        <v>0</v>
      </c>
      <c r="R1026" t="n">
        <v>0</v>
      </c>
      <c r="S1026" t="n">
        <v>1</v>
      </c>
      <c r="T1026" t="n">
        <v>1</v>
      </c>
      <c r="U1026" t="n">
        <v>0</v>
      </c>
      <c r="V1026" s="2" t="inlineStr">
        <is>
          <t>Blåsippa</t>
        </is>
      </c>
      <c r="W1026">
        <f>HYPERLINK("https://klasma.github.io/Logging_0862/artfynd/A 38379-2026 artfynd.xlsx", "A 38379-2026")</f>
        <v/>
      </c>
      <c r="X1026">
        <f>HYPERLINK("https://klasma.github.io/Logging_0862/kartor/A 38379-2026 karta.png", "A 38379-2026")</f>
        <v/>
      </c>
      <c r="Y1026">
        <f>HYPERLINK("https://klasma.github.io/Logging_0862/kartor_geotiff/A 38379-2026 georefererad karta.tif", "A 38379-2026")</f>
        <v/>
      </c>
      <c r="AA1026">
        <f>HYPERLINK("https://klasma.github.io/Logging_0862/klagomål/A 38379-2026 FSC-klagomål.docx", "A 38379-2026")</f>
        <v/>
      </c>
      <c r="AB1026">
        <f>HYPERLINK("https://klasma.github.io/Logging_0862/klagomålsmail/A 38379-2026 FSC-klagomål mail.docx", "A 38379-2026")</f>
        <v/>
      </c>
      <c r="AC1026">
        <f>HYPERLINK("https://klasma.github.io/Logging_0862/tillsyn/A 38379-2026 tillsynsbegäran.docx", "A 38379-2026")</f>
        <v/>
      </c>
      <c r="AD1026">
        <f>HYPERLINK("https://klasma.github.io/Logging_0862/tillsynsmail/A 38379-2026 tillsynsbegäran mail.docx", "A 38379-2026")</f>
        <v/>
      </c>
    </row>
    <row r="1027" ht="15" customHeight="1">
      <c r="A1027" t="inlineStr">
        <is>
          <t>A 44226-2024</t>
        </is>
      </c>
      <c r="B1027" t="inlineStr">
        <is>
          <t>avverkningsanmälan</t>
        </is>
      </c>
      <c r="C1027" t="inlineStr">
        <is>
          <t>Föryngringsavverkning</t>
        </is>
      </c>
      <c r="D1027" s="1" t="n">
        <v>45573</v>
      </c>
      <c r="E1027" s="1" t="n">
        <v>46323</v>
      </c>
      <c r="F1027" t="inlineStr">
        <is>
          <t>KALMAR LÄN</t>
        </is>
      </c>
      <c r="G1027" t="inlineStr">
        <is>
          <t>TORSÅS</t>
        </is>
      </c>
      <c r="H1027" t="inlineStr">
        <is>
          <t>Kommuner</t>
        </is>
      </c>
      <c r="I1027" t="n">
        <v>2.6</v>
      </c>
      <c r="J1027" t="n">
        <v>0</v>
      </c>
      <c r="K1027" t="n">
        <v>0</v>
      </c>
      <c r="L1027" t="n">
        <v>0</v>
      </c>
      <c r="M1027" t="n">
        <v>0</v>
      </c>
      <c r="N1027" t="n">
        <v>1</v>
      </c>
      <c r="O1027" t="n">
        <v>0</v>
      </c>
      <c r="P1027" t="n">
        <v>0</v>
      </c>
      <c r="Q1027" t="n">
        <v>1</v>
      </c>
      <c r="R1027" t="n">
        <v>1</v>
      </c>
      <c r="S1027" t="n">
        <v>1</v>
      </c>
      <c r="T1027" t="n">
        <v>1</v>
      </c>
      <c r="U1027" t="n">
        <v>0</v>
      </c>
      <c r="V1027" s="2" t="inlineStr">
        <is>
          <t>Ask</t>
        </is>
      </c>
      <c r="W1027">
        <f>HYPERLINK("https://klasma.github.io/Logging_0834/artfynd/A 44226-2024 artfynd.xlsx", "A 44226-2024")</f>
        <v/>
      </c>
      <c r="X1027">
        <f>HYPERLINK("https://klasma.github.io/Logging_0834/kartor/A 44226-2024 karta.png", "A 44226-2024")</f>
        <v/>
      </c>
      <c r="Y1027">
        <f>HYPERLINK("https://klasma.github.io/Logging_0834/kartor_geotiff/A 44226-2024 georefererad karta.tif", "A 44226-2024")</f>
        <v/>
      </c>
      <c r="AA1027">
        <f>HYPERLINK("https://klasma.github.io/Logging_0834/klagomål/A 44226-2024 FSC-klagomål.docx", "A 44226-2024")</f>
        <v/>
      </c>
      <c r="AB1027">
        <f>HYPERLINK("https://klasma.github.io/Logging_0834/klagomålsmail/A 44226-2024 FSC-klagomål mail.docx", "A 44226-2024")</f>
        <v/>
      </c>
      <c r="AC1027">
        <f>HYPERLINK("https://klasma.github.io/Logging_0834/tillsyn/A 44226-2024 tillsynsbegäran.docx", "A 44226-2024")</f>
        <v/>
      </c>
      <c r="AD1027">
        <f>HYPERLINK("https://klasma.github.io/Logging_0834/tillsynsmail/A 44226-2024 tillsynsbegäran mail.docx", "A 44226-2024")</f>
        <v/>
      </c>
    </row>
    <row r="1028" ht="15" customHeight="1">
      <c r="A1028" t="inlineStr">
        <is>
          <t>A 9104-2026</t>
        </is>
      </c>
      <c r="B1028" t="inlineStr">
        <is>
          <t>avverkningsanmälan</t>
        </is>
      </c>
      <c r="C1028" t="inlineStr">
        <is>
          <t>Avverkning för annat ändamål</t>
        </is>
      </c>
      <c r="D1028" s="1" t="n">
        <v>46069</v>
      </c>
      <c r="E1028" s="1" t="n">
        <v>46323</v>
      </c>
      <c r="F1028" t="inlineStr">
        <is>
          <t>KALMAR LÄN</t>
        </is>
      </c>
      <c r="G1028" t="inlineStr">
        <is>
          <t>BORGHOLM</t>
        </is>
      </c>
      <c r="I1028" t="n">
        <v>1.3</v>
      </c>
      <c r="J1028" t="n">
        <v>0</v>
      </c>
      <c r="K1028" t="n">
        <v>0</v>
      </c>
      <c r="L1028" t="n">
        <v>0</v>
      </c>
      <c r="M1028" t="n">
        <v>0</v>
      </c>
      <c r="N1028" t="n">
        <v>0</v>
      </c>
      <c r="O1028" t="n">
        <v>0</v>
      </c>
      <c r="P1028" t="n">
        <v>0</v>
      </c>
      <c r="Q1028" t="n">
        <v>0</v>
      </c>
      <c r="R1028" t="n">
        <v>0</v>
      </c>
      <c r="S1028" t="n">
        <v>1</v>
      </c>
      <c r="T1028" t="n">
        <v>1</v>
      </c>
      <c r="U1028" t="n">
        <v>1</v>
      </c>
      <c r="V1028" s="2" t="inlineStr">
        <is>
          <t>Liljekonvalj</t>
        </is>
      </c>
      <c r="W1028">
        <f>HYPERLINK("https://klasma.github.io/Logging_0885/artfynd/A 9104-2026 artfynd.xlsx", "A 9104-2026")</f>
        <v/>
      </c>
      <c r="X1028">
        <f>HYPERLINK("https://klasma.github.io/Logging_0885/kartor/A 9104-2026 karta.png", "A 9104-2026")</f>
        <v/>
      </c>
      <c r="Y1028">
        <f>HYPERLINK("https://klasma.github.io/Logging_0885/kartor_geotiff/A 9104-2026 georefererad karta.tif", "A 9104-2026")</f>
        <v/>
      </c>
      <c r="AA1028">
        <f>HYPERLINK("https://klasma.github.io/Logging_0885/klagomål/A 9104-2026 FSC-klagomål.docx", "A 9104-2026")</f>
        <v/>
      </c>
      <c r="AB1028">
        <f>HYPERLINK("https://klasma.github.io/Logging_0885/klagomålsmail/A 9104-2026 FSC-klagomål mail.docx", "A 9104-2026")</f>
        <v/>
      </c>
      <c r="AC1028">
        <f>HYPERLINK("https://klasma.github.io/Logging_0885/tillsyn/A 9104-2026 tillsynsbegäran.docx", "A 9104-2026")</f>
        <v/>
      </c>
      <c r="AD1028">
        <f>HYPERLINK("https://klasma.github.io/Logging_0885/tillsynsmail/A 9104-2026 tillsynsbegäran mail.docx", "A 9104-2026")</f>
        <v/>
      </c>
    </row>
    <row r="1029" ht="15" customHeight="1">
      <c r="A1029" t="inlineStr">
        <is>
          <t>A 32396-2026</t>
        </is>
      </c>
      <c r="B1029" t="inlineStr">
        <is>
          <t>avverkningsanmälan</t>
        </is>
      </c>
      <c r="C1029" t="inlineStr">
        <is>
          <t>Föryngringsavverkning</t>
        </is>
      </c>
      <c r="D1029" s="1" t="n">
        <v>46238</v>
      </c>
      <c r="E1029" s="1" t="n">
        <v>46323</v>
      </c>
      <c r="F1029" t="inlineStr">
        <is>
          <t>KALMAR LÄN</t>
        </is>
      </c>
      <c r="G1029" t="inlineStr">
        <is>
          <t>VÄSTERVIK</t>
        </is>
      </c>
      <c r="I1029" t="n">
        <v>2.4</v>
      </c>
      <c r="J1029" t="n">
        <v>0</v>
      </c>
      <c r="K1029" t="n">
        <v>0</v>
      </c>
      <c r="L1029" t="n">
        <v>1</v>
      </c>
      <c r="M1029" t="n">
        <v>0</v>
      </c>
      <c r="N1029" t="n">
        <v>0</v>
      </c>
      <c r="O1029" t="n">
        <v>0</v>
      </c>
      <c r="P1029" t="n">
        <v>0</v>
      </c>
      <c r="Q1029" t="n">
        <v>1</v>
      </c>
      <c r="R1029" t="n">
        <v>0</v>
      </c>
      <c r="S1029" t="n">
        <v>1</v>
      </c>
      <c r="T1029" t="n">
        <v>1</v>
      </c>
      <c r="U1029" t="n">
        <v>0</v>
      </c>
      <c r="V1029" s="2" t="inlineStr">
        <is>
          <t>Vårstarr</t>
        </is>
      </c>
      <c r="W1029">
        <f>HYPERLINK("https://klasma.github.io/Logging_0883/artfynd/A 32396-2026 artfynd.xlsx", "A 32396-2026")</f>
        <v/>
      </c>
      <c r="X1029">
        <f>HYPERLINK("https://klasma.github.io/Logging_0883/kartor/A 32396-2026 karta.png", "A 32396-2026")</f>
        <v/>
      </c>
      <c r="Y1029">
        <f>HYPERLINK("https://klasma.github.io/Logging_0883/kartor_geotiff/A 32396-2026 georefererad karta.tif", "A 32396-2026")</f>
        <v/>
      </c>
      <c r="AA1029">
        <f>HYPERLINK("https://klasma.github.io/Logging_0883/klagomål/A 32396-2026 FSC-klagomål.docx", "A 32396-2026")</f>
        <v/>
      </c>
      <c r="AB1029">
        <f>HYPERLINK("https://klasma.github.io/Logging_0883/klagomålsmail/A 32396-2026 FSC-klagomål mail.docx", "A 32396-2026")</f>
        <v/>
      </c>
      <c r="AC1029">
        <f>HYPERLINK("https://klasma.github.io/Logging_0883/tillsyn/A 32396-2026 tillsynsbegäran.docx", "A 32396-2026")</f>
        <v/>
      </c>
      <c r="AD1029">
        <f>HYPERLINK("https://klasma.github.io/Logging_0883/tillsynsmail/A 32396-2026 tillsynsbegäran mail.docx", "A 32396-2026")</f>
        <v/>
      </c>
    </row>
    <row r="1030" ht="15" customHeight="1">
      <c r="A1030" t="inlineStr">
        <is>
          <t>A 6247-2026</t>
        </is>
      </c>
      <c r="B1030" t="inlineStr">
        <is>
          <t>avverkningsanmälan</t>
        </is>
      </c>
      <c r="C1030" t="inlineStr">
        <is>
          <t>Föryngringsavverkning</t>
        </is>
      </c>
      <c r="D1030" s="1" t="n">
        <v>46055</v>
      </c>
      <c r="E1030" s="1" t="n">
        <v>46323</v>
      </c>
      <c r="F1030" t="inlineStr">
        <is>
          <t>KALMAR LÄN</t>
        </is>
      </c>
      <c r="G1030" t="inlineStr">
        <is>
          <t>EMMABODA</t>
        </is>
      </c>
      <c r="I1030" t="n">
        <v>1.2</v>
      </c>
      <c r="J1030" t="n">
        <v>0</v>
      </c>
      <c r="K1030" t="n">
        <v>0</v>
      </c>
      <c r="L1030" t="n">
        <v>0</v>
      </c>
      <c r="M1030" t="n">
        <v>1</v>
      </c>
      <c r="N1030" t="n">
        <v>0</v>
      </c>
      <c r="O1030" t="n">
        <v>0</v>
      </c>
      <c r="P1030" t="n">
        <v>0</v>
      </c>
      <c r="Q1030" t="n">
        <v>1</v>
      </c>
      <c r="R1030" t="n">
        <v>1</v>
      </c>
      <c r="S1030" t="n">
        <v>1</v>
      </c>
      <c r="T1030" t="n">
        <v>1</v>
      </c>
      <c r="U1030" t="n">
        <v>0</v>
      </c>
      <c r="V1030" s="2" t="inlineStr">
        <is>
          <t>Igelkott</t>
        </is>
      </c>
      <c r="W1030">
        <f>HYPERLINK("https://klasma.github.io/Logging_0862/artfynd/A 6247-2026 artfynd.xlsx", "A 6247-2026")</f>
        <v/>
      </c>
      <c r="X1030">
        <f>HYPERLINK("https://klasma.github.io/Logging_0862/kartor/A 6247-2026 karta.png", "A 6247-2026")</f>
        <v/>
      </c>
      <c r="Y1030">
        <f>HYPERLINK("https://klasma.github.io/Logging_0862/kartor_geotiff/A 6247-2026 georefererad karta.tif", "A 6247-2026")</f>
        <v/>
      </c>
      <c r="AA1030">
        <f>HYPERLINK("https://klasma.github.io/Logging_0862/klagomål/A 6247-2026 FSC-klagomål.docx", "A 6247-2026")</f>
        <v/>
      </c>
      <c r="AB1030">
        <f>HYPERLINK("https://klasma.github.io/Logging_0862/klagomålsmail/A 6247-2026 FSC-klagomål mail.docx", "A 6247-2026")</f>
        <v/>
      </c>
      <c r="AC1030">
        <f>HYPERLINK("https://klasma.github.io/Logging_0862/tillsyn/A 6247-2026 tillsynsbegäran.docx", "A 6247-2026")</f>
        <v/>
      </c>
      <c r="AD1030">
        <f>HYPERLINK("https://klasma.github.io/Logging_0862/tillsynsmail/A 6247-2026 tillsynsbegäran mail.docx", "A 6247-2026")</f>
        <v/>
      </c>
    </row>
    <row r="1031" ht="15" customHeight="1">
      <c r="A1031" t="inlineStr">
        <is>
          <t>A 19519-2025</t>
        </is>
      </c>
      <c r="B1031" t="inlineStr">
        <is>
          <t>avverkningsanmälan</t>
        </is>
      </c>
      <c r="C1031" t="inlineStr">
        <is>
          <t>Föryngringsavverkning</t>
        </is>
      </c>
      <c r="D1031" s="1" t="n">
        <v>45770</v>
      </c>
      <c r="E1031" s="1" t="n">
        <v>46323</v>
      </c>
      <c r="F1031" t="inlineStr">
        <is>
          <t>KALMAR LÄN</t>
        </is>
      </c>
      <c r="G1031" t="inlineStr">
        <is>
          <t>HÖGSBY</t>
        </is>
      </c>
      <c r="I1031" t="n">
        <v>3.5</v>
      </c>
      <c r="J1031" t="n">
        <v>0</v>
      </c>
      <c r="K1031" t="n">
        <v>0</v>
      </c>
      <c r="L1031" t="n">
        <v>1</v>
      </c>
      <c r="M1031" t="n">
        <v>0</v>
      </c>
      <c r="N1031" t="n">
        <v>0</v>
      </c>
      <c r="O1031" t="n">
        <v>0</v>
      </c>
      <c r="P1031" t="n">
        <v>0</v>
      </c>
      <c r="Q1031" t="n">
        <v>1</v>
      </c>
      <c r="R1031" t="n">
        <v>0</v>
      </c>
      <c r="S1031" t="n">
        <v>1</v>
      </c>
      <c r="T1031" t="n">
        <v>1</v>
      </c>
      <c r="U1031" t="n">
        <v>1</v>
      </c>
      <c r="V1031" s="2" t="inlineStr">
        <is>
          <t>Dropptaggsvamp</t>
        </is>
      </c>
      <c r="W1031">
        <f>HYPERLINK("https://klasma.github.io/Logging_0821/artfynd/A 19519-2025 artfynd.xlsx", "A 19519-2025")</f>
        <v/>
      </c>
      <c r="X1031">
        <f>HYPERLINK("https://klasma.github.io/Logging_0821/kartor/A 19519-2025 karta.png", "A 19519-2025")</f>
        <v/>
      </c>
      <c r="Y1031">
        <f>HYPERLINK("https://klasma.github.io/Logging_0821/kartor_geotiff/A 19519-2025 georefererad karta.tif", "A 19519-2025")</f>
        <v/>
      </c>
      <c r="AA1031">
        <f>HYPERLINK("https://klasma.github.io/Logging_0821/klagomål/A 19519-2025 FSC-klagomål.docx", "A 19519-2025")</f>
        <v/>
      </c>
      <c r="AB1031">
        <f>HYPERLINK("https://klasma.github.io/Logging_0821/klagomålsmail/A 19519-2025 FSC-klagomål mail.docx", "A 19519-2025")</f>
        <v/>
      </c>
      <c r="AC1031">
        <f>HYPERLINK("https://klasma.github.io/Logging_0821/tillsyn/A 19519-2025 tillsynsbegäran.docx", "A 19519-2025")</f>
        <v/>
      </c>
      <c r="AD1031">
        <f>HYPERLINK("https://klasma.github.io/Logging_0821/tillsynsmail/A 19519-2025 tillsynsbegäran mail.docx", "A 19519-2025")</f>
        <v/>
      </c>
    </row>
    <row r="1032" ht="15" customHeight="1">
      <c r="A1032" t="inlineStr">
        <is>
          <t>A 32689-2026</t>
        </is>
      </c>
      <c r="B1032" t="inlineStr">
        <is>
          <t>avverkningsanmälan</t>
        </is>
      </c>
      <c r="C1032" t="inlineStr">
        <is>
          <t>Föryngringsavverkning</t>
        </is>
      </c>
      <c r="D1032" s="1" t="n">
        <v>46240</v>
      </c>
      <c r="E1032" s="1" t="n">
        <v>46323</v>
      </c>
      <c r="F1032" t="inlineStr">
        <is>
          <t>KALMAR LÄN</t>
        </is>
      </c>
      <c r="G1032" t="inlineStr">
        <is>
          <t>VÄSTERVIK</t>
        </is>
      </c>
      <c r="I1032" t="n">
        <v>4.3</v>
      </c>
      <c r="J1032" t="n">
        <v>1</v>
      </c>
      <c r="K1032" t="n">
        <v>0</v>
      </c>
      <c r="L1032" t="n">
        <v>1</v>
      </c>
      <c r="M1032" t="n">
        <v>0</v>
      </c>
      <c r="N1032" t="n">
        <v>0</v>
      </c>
      <c r="O1032" t="n">
        <v>0</v>
      </c>
      <c r="P1032" t="n">
        <v>0</v>
      </c>
      <c r="Q1032" t="n">
        <v>1</v>
      </c>
      <c r="R1032" t="n">
        <v>0</v>
      </c>
      <c r="S1032" t="n">
        <v>1</v>
      </c>
      <c r="T1032" t="n">
        <v>1</v>
      </c>
      <c r="U1032" t="n">
        <v>0</v>
      </c>
      <c r="V1032" s="2" t="inlineStr">
        <is>
          <t>Adam och eva</t>
        </is>
      </c>
      <c r="W1032">
        <f>HYPERLINK("https://klasma.github.io/Logging_0883/artfynd/A 32689-2026 artfynd.xlsx", "A 32689-2026")</f>
        <v/>
      </c>
      <c r="X1032">
        <f>HYPERLINK("https://klasma.github.io/Logging_0883/kartor/A 32689-2026 karta.png", "A 32689-2026")</f>
        <v/>
      </c>
      <c r="Y1032">
        <f>HYPERLINK("https://klasma.github.io/Logging_0883/kartor_geotiff/A 32689-2026 georefererad karta.tif", "A 32689-2026")</f>
        <v/>
      </c>
      <c r="AA1032">
        <f>HYPERLINK("https://klasma.github.io/Logging_0883/klagomål/A 32689-2026 FSC-klagomål.docx", "A 32689-2026")</f>
        <v/>
      </c>
      <c r="AB1032">
        <f>HYPERLINK("https://klasma.github.io/Logging_0883/klagomålsmail/A 32689-2026 FSC-klagomål mail.docx", "A 32689-2026")</f>
        <v/>
      </c>
      <c r="AC1032">
        <f>HYPERLINK("https://klasma.github.io/Logging_0883/tillsyn/A 32689-2026 tillsynsbegäran.docx", "A 32689-2026")</f>
        <v/>
      </c>
      <c r="AD1032">
        <f>HYPERLINK("https://klasma.github.io/Logging_0883/tillsynsmail/A 32689-2026 tillsynsbegäran mail.docx", "A 32689-2026")</f>
        <v/>
      </c>
    </row>
    <row r="1033" ht="15" customHeight="1">
      <c r="A1033" t="inlineStr">
        <is>
          <t>A 9905-2026</t>
        </is>
      </c>
      <c r="B1033" t="inlineStr">
        <is>
          <t>avverkningsanmälan</t>
        </is>
      </c>
      <c r="C1033" t="inlineStr">
        <is>
          <t>Föryngringsavverkning</t>
        </is>
      </c>
      <c r="D1033" s="1" t="n">
        <v>46073</v>
      </c>
      <c r="E1033" s="1" t="n">
        <v>46323</v>
      </c>
      <c r="F1033" t="inlineStr">
        <is>
          <t>KALMAR LÄN</t>
        </is>
      </c>
      <c r="G1033" t="inlineStr">
        <is>
          <t>BORGHOLM</t>
        </is>
      </c>
      <c r="I1033" t="n">
        <v>1.4</v>
      </c>
      <c r="J1033" t="n">
        <v>0</v>
      </c>
      <c r="K1033" t="n">
        <v>0</v>
      </c>
      <c r="L1033" t="n">
        <v>0</v>
      </c>
      <c r="M1033" t="n">
        <v>0</v>
      </c>
      <c r="N1033" t="n">
        <v>1</v>
      </c>
      <c r="O1033" t="n">
        <v>0</v>
      </c>
      <c r="P1033" t="n">
        <v>0</v>
      </c>
      <c r="Q1033" t="n">
        <v>1</v>
      </c>
      <c r="R1033" t="n">
        <v>1</v>
      </c>
      <c r="S1033" t="n">
        <v>1</v>
      </c>
      <c r="T1033" t="n">
        <v>1</v>
      </c>
      <c r="U1033" t="n">
        <v>0</v>
      </c>
      <c r="V1033" s="2" t="inlineStr">
        <is>
          <t>Ask</t>
        </is>
      </c>
      <c r="W1033">
        <f>HYPERLINK("https://klasma.github.io/Logging_0885/artfynd/A 9905-2026 artfynd.xlsx", "A 9905-2026")</f>
        <v/>
      </c>
      <c r="X1033">
        <f>HYPERLINK("https://klasma.github.io/Logging_0885/kartor/A 9905-2026 karta.png", "A 9905-2026")</f>
        <v/>
      </c>
      <c r="Y1033">
        <f>HYPERLINK("https://klasma.github.io/Logging_0885/kartor_geotiff/A 9905-2026 georefererad karta.tif", "A 9905-2026")</f>
        <v/>
      </c>
      <c r="AA1033">
        <f>HYPERLINK("https://klasma.github.io/Logging_0885/klagomål/A 9905-2026 FSC-klagomål.docx", "A 9905-2026")</f>
        <v/>
      </c>
      <c r="AB1033">
        <f>HYPERLINK("https://klasma.github.io/Logging_0885/klagomålsmail/A 9905-2026 FSC-klagomål mail.docx", "A 9905-2026")</f>
        <v/>
      </c>
      <c r="AC1033">
        <f>HYPERLINK("https://klasma.github.io/Logging_0885/tillsyn/A 9905-2026 tillsynsbegäran.docx", "A 9905-2026")</f>
        <v/>
      </c>
      <c r="AD1033">
        <f>HYPERLINK("https://klasma.github.io/Logging_0885/tillsynsmail/A 9905-2026 tillsynsbegäran mail.docx", "A 9905-2026")</f>
        <v/>
      </c>
    </row>
    <row r="1034" ht="15" customHeight="1">
      <c r="A1034" t="inlineStr">
        <is>
          <t>A 10155-2026</t>
        </is>
      </c>
      <c r="B1034" t="inlineStr">
        <is>
          <t>avverkningsanmälan</t>
        </is>
      </c>
      <c r="C1034" t="inlineStr">
        <is>
          <t>Föryngringsavverkning</t>
        </is>
      </c>
      <c r="D1034" s="1" t="n">
        <v>46076</v>
      </c>
      <c r="E1034" s="1" t="n">
        <v>46323</v>
      </c>
      <c r="F1034" t="inlineStr">
        <is>
          <t>KALMAR LÄN</t>
        </is>
      </c>
      <c r="G1034" t="inlineStr">
        <is>
          <t>MÖNSTERÅS</t>
        </is>
      </c>
      <c r="I1034" t="n">
        <v>2.9</v>
      </c>
      <c r="J1034" t="n">
        <v>0</v>
      </c>
      <c r="K1034" t="n">
        <v>0</v>
      </c>
      <c r="L1034" t="n">
        <v>1</v>
      </c>
      <c r="M1034" t="n">
        <v>0</v>
      </c>
      <c r="N1034" t="n">
        <v>0</v>
      </c>
      <c r="O1034" t="n">
        <v>0</v>
      </c>
      <c r="P1034" t="n">
        <v>0</v>
      </c>
      <c r="Q1034" t="n">
        <v>1</v>
      </c>
      <c r="R1034" t="n">
        <v>0</v>
      </c>
      <c r="S1034" t="n">
        <v>1</v>
      </c>
      <c r="T1034" t="n">
        <v>1</v>
      </c>
      <c r="U1034" t="n">
        <v>0</v>
      </c>
      <c r="V1034" s="2" t="inlineStr">
        <is>
          <t>Åkerkulla</t>
        </is>
      </c>
      <c r="W1034">
        <f>HYPERLINK("https://klasma.github.io/Logging_0861/artfynd/A 10155-2026 artfynd.xlsx", "A 10155-2026")</f>
        <v/>
      </c>
      <c r="X1034">
        <f>HYPERLINK("https://klasma.github.io/Logging_0861/kartor/A 10155-2026 karta.png", "A 10155-2026")</f>
        <v/>
      </c>
      <c r="Y1034">
        <f>HYPERLINK("https://klasma.github.io/Logging_0861/kartor_geotiff/A 10155-2026 georefererad karta.tif", "A 10155-2026")</f>
        <v/>
      </c>
      <c r="AA1034">
        <f>HYPERLINK("https://klasma.github.io/Logging_0861/klagomål/A 10155-2026 FSC-klagomål.docx", "A 10155-2026")</f>
        <v/>
      </c>
      <c r="AB1034">
        <f>HYPERLINK("https://klasma.github.io/Logging_0861/klagomålsmail/A 10155-2026 FSC-klagomål mail.docx", "A 10155-2026")</f>
        <v/>
      </c>
      <c r="AC1034">
        <f>HYPERLINK("https://klasma.github.io/Logging_0861/tillsyn/A 10155-2026 tillsynsbegäran.docx", "A 10155-2026")</f>
        <v/>
      </c>
      <c r="AD1034">
        <f>HYPERLINK("https://klasma.github.io/Logging_0861/tillsynsmail/A 10155-2026 tillsynsbegäran mail.docx", "A 10155-2026")</f>
        <v/>
      </c>
    </row>
    <row r="1035" ht="15" customHeight="1">
      <c r="A1035" t="inlineStr">
        <is>
          <t>A 8334-2024</t>
        </is>
      </c>
      <c r="B1035" t="inlineStr">
        <is>
          <t>avverkningsanmälan</t>
        </is>
      </c>
      <c r="C1035" t="inlineStr">
        <is>
          <t>Föryngringsavverkning</t>
        </is>
      </c>
      <c r="D1035" s="1" t="n">
        <v>45352</v>
      </c>
      <c r="E1035" s="1" t="n">
        <v>46323</v>
      </c>
      <c r="F1035" t="inlineStr">
        <is>
          <t>KALMAR LÄN</t>
        </is>
      </c>
      <c r="G1035" t="inlineStr">
        <is>
          <t>HULTSFRED</t>
        </is>
      </c>
      <c r="I1035" t="n">
        <v>1.8</v>
      </c>
      <c r="J1035" t="n">
        <v>1</v>
      </c>
      <c r="K1035" t="n">
        <v>0</v>
      </c>
      <c r="L1035" t="n">
        <v>0</v>
      </c>
      <c r="M1035" t="n">
        <v>0</v>
      </c>
      <c r="N1035" t="n">
        <v>0</v>
      </c>
      <c r="O1035" t="n">
        <v>0</v>
      </c>
      <c r="P1035" t="n">
        <v>0</v>
      </c>
      <c r="Q1035" t="n">
        <v>0</v>
      </c>
      <c r="R1035" t="n">
        <v>0</v>
      </c>
      <c r="S1035" t="n">
        <v>1</v>
      </c>
      <c r="T1035" t="n">
        <v>1</v>
      </c>
      <c r="U1035" t="n">
        <v>1</v>
      </c>
      <c r="V1035" s="2" t="inlineStr">
        <is>
          <t>Gullviva</t>
        </is>
      </c>
      <c r="W1035">
        <f>HYPERLINK("https://klasma.github.io/Logging_0860/artfynd/A 8334-2024 artfynd.xlsx", "A 8334-2024")</f>
        <v/>
      </c>
      <c r="X1035">
        <f>HYPERLINK("https://klasma.github.io/Logging_0860/kartor/A 8334-2024 karta.png", "A 8334-2024")</f>
        <v/>
      </c>
      <c r="Y1035">
        <f>HYPERLINK("https://klasma.github.io/Logging_0860/kartor_geotiff/A 8334-2024 georefererad karta.tif", "A 8334-2024")</f>
        <v/>
      </c>
      <c r="AA1035">
        <f>HYPERLINK("https://klasma.github.io/Logging_0860/klagomål/A 8334-2024 FSC-klagomål.docx", "A 8334-2024")</f>
        <v/>
      </c>
      <c r="AB1035">
        <f>HYPERLINK("https://klasma.github.io/Logging_0860/klagomålsmail/A 8334-2024 FSC-klagomål mail.docx", "A 8334-2024")</f>
        <v/>
      </c>
      <c r="AC1035">
        <f>HYPERLINK("https://klasma.github.io/Logging_0860/tillsyn/A 8334-2024 tillsynsbegäran.docx", "A 8334-2024")</f>
        <v/>
      </c>
      <c r="AD1035">
        <f>HYPERLINK("https://klasma.github.io/Logging_0860/tillsynsmail/A 8334-2024 tillsynsbegäran mail.docx", "A 8334-2024")</f>
        <v/>
      </c>
    </row>
    <row r="1036" ht="15" customHeight="1">
      <c r="A1036" t="inlineStr">
        <is>
          <t>A 44747-2024</t>
        </is>
      </c>
      <c r="B1036" t="inlineStr">
        <is>
          <t>avverkningsanmälan</t>
        </is>
      </c>
      <c r="C1036" t="inlineStr">
        <is>
          <t>Avverkning för att bevara och utveckla /försöksver</t>
        </is>
      </c>
      <c r="D1036" s="1" t="n">
        <v>45574</v>
      </c>
      <c r="E1036" s="1" t="n">
        <v>46323</v>
      </c>
      <c r="F1036" t="inlineStr">
        <is>
          <t>KALMAR LÄN</t>
        </is>
      </c>
      <c r="G1036" t="inlineStr">
        <is>
          <t>KALMAR</t>
        </is>
      </c>
      <c r="H1036" t="inlineStr">
        <is>
          <t>Kommuner</t>
        </is>
      </c>
      <c r="I1036" t="n">
        <v>1.7</v>
      </c>
      <c r="J1036" t="n">
        <v>0</v>
      </c>
      <c r="K1036" t="n">
        <v>0</v>
      </c>
      <c r="L1036" t="n">
        <v>0</v>
      </c>
      <c r="M1036" t="n">
        <v>1</v>
      </c>
      <c r="N1036" t="n">
        <v>0</v>
      </c>
      <c r="O1036" t="n">
        <v>0</v>
      </c>
      <c r="P1036" t="n">
        <v>0</v>
      </c>
      <c r="Q1036" t="n">
        <v>1</v>
      </c>
      <c r="R1036" t="n">
        <v>1</v>
      </c>
      <c r="S1036" t="n">
        <v>1</v>
      </c>
      <c r="T1036" t="n">
        <v>1</v>
      </c>
      <c r="U1036" t="n">
        <v>1</v>
      </c>
      <c r="V1036" s="2" t="inlineStr">
        <is>
          <t>Lungrot</t>
        </is>
      </c>
      <c r="W1036">
        <f>HYPERLINK("https://klasma.github.io/Logging_0880/artfynd/A 44747-2024 artfynd.xlsx", "A 44747-2024")</f>
        <v/>
      </c>
      <c r="X1036">
        <f>HYPERLINK("https://klasma.github.io/Logging_0880/kartor/A 44747-2024 karta.png", "A 44747-2024")</f>
        <v/>
      </c>
      <c r="Y1036">
        <f>HYPERLINK("https://klasma.github.io/Logging_0880/kartor_geotiff/A 44747-2024 georefererad karta.tif", "A 44747-2024")</f>
        <v/>
      </c>
      <c r="AA1036">
        <f>HYPERLINK("https://klasma.github.io/Logging_0880/klagomål/A 44747-2024 FSC-klagomål.docx", "A 44747-2024")</f>
        <v/>
      </c>
      <c r="AB1036">
        <f>HYPERLINK("https://klasma.github.io/Logging_0880/klagomålsmail/A 44747-2024 FSC-klagomål mail.docx", "A 44747-2024")</f>
        <v/>
      </c>
      <c r="AC1036">
        <f>HYPERLINK("https://klasma.github.io/Logging_0880/tillsyn/A 44747-2024 tillsynsbegäran.docx", "A 44747-2024")</f>
        <v/>
      </c>
      <c r="AD1036">
        <f>HYPERLINK("https://klasma.github.io/Logging_0880/tillsynsmail/A 44747-2024 tillsynsbegäran mail.docx", "A 44747-2024")</f>
        <v/>
      </c>
    </row>
    <row r="1037" ht="15" customHeight="1">
      <c r="A1037" t="inlineStr">
        <is>
          <t>A 36625-2022</t>
        </is>
      </c>
      <c r="B1037" t="inlineStr">
        <is>
          <t>avverkningsanmälan</t>
        </is>
      </c>
      <c r="C1037" t="inlineStr">
        <is>
          <t>Föryngringsavverkning</t>
        </is>
      </c>
      <c r="D1037" s="1" t="n">
        <v>44804</v>
      </c>
      <c r="E1037" s="1" t="n">
        <v>46323</v>
      </c>
      <c r="F1037" t="inlineStr">
        <is>
          <t>KALMAR LÄN</t>
        </is>
      </c>
      <c r="G1037" t="inlineStr">
        <is>
          <t>TORSÅS</t>
        </is>
      </c>
      <c r="I1037" t="n">
        <v>7.5</v>
      </c>
      <c r="J1037" t="n">
        <v>0</v>
      </c>
      <c r="K1037" t="n">
        <v>1</v>
      </c>
      <c r="L1037" t="n">
        <v>0</v>
      </c>
      <c r="M1037" t="n">
        <v>0</v>
      </c>
      <c r="N1037" t="n">
        <v>0</v>
      </c>
      <c r="O1037" t="n">
        <v>0</v>
      </c>
      <c r="P1037" t="n">
        <v>0</v>
      </c>
      <c r="Q1037" t="n">
        <v>0</v>
      </c>
      <c r="R1037" t="n">
        <v>0</v>
      </c>
      <c r="S1037" t="n">
        <v>1</v>
      </c>
      <c r="T1037" t="n">
        <v>1</v>
      </c>
      <c r="U1037" t="n">
        <v>0</v>
      </c>
      <c r="V1037" s="2" t="inlineStr">
        <is>
          <t>Stor revmossa</t>
        </is>
      </c>
      <c r="W1037">
        <f>HYPERLINK("https://klasma.github.io/Logging_0834/artfynd/A 36625-2022 artfynd.xlsx", "A 36625-2022")</f>
        <v/>
      </c>
      <c r="X1037">
        <f>HYPERLINK("https://klasma.github.io/Logging_0834/kartor/A 36625-2022 karta.png", "A 36625-2022")</f>
        <v/>
      </c>
      <c r="Y1037">
        <f>HYPERLINK("https://klasma.github.io/Logging_0834/kartor_geotiff/A 36625-2022 georefererad karta.tif", "A 36625-2022")</f>
        <v/>
      </c>
      <c r="AA1037">
        <f>HYPERLINK("https://klasma.github.io/Logging_0834/klagomål/A 36625-2022 FSC-klagomål.docx", "A 36625-2022")</f>
        <v/>
      </c>
      <c r="AB1037">
        <f>HYPERLINK("https://klasma.github.io/Logging_0834/klagomålsmail/A 36625-2022 FSC-klagomål mail.docx", "A 36625-2022")</f>
        <v/>
      </c>
      <c r="AC1037">
        <f>HYPERLINK("https://klasma.github.io/Logging_0834/tillsyn/A 36625-2022 tillsynsbegäran.docx", "A 36625-2022")</f>
        <v/>
      </c>
      <c r="AD1037">
        <f>HYPERLINK("https://klasma.github.io/Logging_0834/tillsynsmail/A 36625-2022 tillsynsbegäran mail.docx", "A 36625-2022")</f>
        <v/>
      </c>
    </row>
    <row r="1038" ht="15" customHeight="1">
      <c r="A1038" t="inlineStr">
        <is>
          <t>A 11606-2026</t>
        </is>
      </c>
      <c r="B1038" t="inlineStr">
        <is>
          <t>avverkningsanmälan</t>
        </is>
      </c>
      <c r="C1038" t="inlineStr">
        <is>
          <t>Föryngringsavverkning</t>
        </is>
      </c>
      <c r="D1038" s="1" t="n">
        <v>46084</v>
      </c>
      <c r="E1038" s="1" t="n">
        <v>46323</v>
      </c>
      <c r="F1038" t="inlineStr">
        <is>
          <t>KALMAR LÄN</t>
        </is>
      </c>
      <c r="G1038" t="inlineStr">
        <is>
          <t>TORSÅS</t>
        </is>
      </c>
      <c r="I1038" t="n">
        <v>4.8</v>
      </c>
      <c r="J1038" t="n">
        <v>1</v>
      </c>
      <c r="K1038" t="n">
        <v>0</v>
      </c>
      <c r="L1038" t="n">
        <v>0</v>
      </c>
      <c r="M1038" t="n">
        <v>0</v>
      </c>
      <c r="N1038" t="n">
        <v>0</v>
      </c>
      <c r="O1038" t="n">
        <v>0</v>
      </c>
      <c r="P1038" t="n">
        <v>0</v>
      </c>
      <c r="Q1038" t="n">
        <v>0</v>
      </c>
      <c r="R1038" t="n">
        <v>0</v>
      </c>
      <c r="S1038" t="n">
        <v>1</v>
      </c>
      <c r="T1038" t="n">
        <v>1</v>
      </c>
      <c r="U1038" t="n">
        <v>0</v>
      </c>
      <c r="V1038" s="2" t="inlineStr">
        <is>
          <t>Mattlummer</t>
        </is>
      </c>
      <c r="W1038">
        <f>HYPERLINK("https://klasma.github.io/Logging_0834/artfynd/A 11606-2026 artfynd.xlsx", "A 11606-2026")</f>
        <v/>
      </c>
      <c r="X1038">
        <f>HYPERLINK("https://klasma.github.io/Logging_0834/kartor/A 11606-2026 karta.png", "A 11606-2026")</f>
        <v/>
      </c>
      <c r="Y1038">
        <f>HYPERLINK("https://klasma.github.io/Logging_0834/kartor_geotiff/A 11606-2026 georefererad karta.tif", "A 11606-2026")</f>
        <v/>
      </c>
      <c r="AA1038">
        <f>HYPERLINK("https://klasma.github.io/Logging_0834/klagomål/A 11606-2026 FSC-klagomål.docx", "A 11606-2026")</f>
        <v/>
      </c>
      <c r="AB1038">
        <f>HYPERLINK("https://klasma.github.io/Logging_0834/klagomålsmail/A 11606-2026 FSC-klagomål mail.docx", "A 11606-2026")</f>
        <v/>
      </c>
      <c r="AC1038">
        <f>HYPERLINK("https://klasma.github.io/Logging_0834/tillsyn/A 11606-2026 tillsynsbegäran.docx", "A 11606-2026")</f>
        <v/>
      </c>
      <c r="AD1038">
        <f>HYPERLINK("https://klasma.github.io/Logging_0834/tillsynsmail/A 11606-2026 tillsynsbegäran mail.docx", "A 11606-2026")</f>
        <v/>
      </c>
    </row>
    <row r="1039" ht="15" customHeight="1">
      <c r="A1039" t="inlineStr">
        <is>
          <t>A 1717-2024</t>
        </is>
      </c>
      <c r="B1039" t="inlineStr">
        <is>
          <t>avverkningsanmälan</t>
        </is>
      </c>
      <c r="C1039" t="inlineStr">
        <is>
          <t>Avverkning för att bevara och utveckla /försöksver</t>
        </is>
      </c>
      <c r="D1039" s="1" t="n">
        <v>45307</v>
      </c>
      <c r="E1039" s="1" t="n">
        <v>46323</v>
      </c>
      <c r="F1039" t="inlineStr">
        <is>
          <t>KALMAR LÄN</t>
        </is>
      </c>
      <c r="G1039" t="inlineStr">
        <is>
          <t>NYBRO</t>
        </is>
      </c>
      <c r="H1039" t="inlineStr">
        <is>
          <t>Sveaskog</t>
        </is>
      </c>
      <c r="I1039" t="n">
        <v>0.7</v>
      </c>
      <c r="J1039" t="n">
        <v>1</v>
      </c>
      <c r="K1039" t="n">
        <v>0</v>
      </c>
      <c r="L1039" t="n">
        <v>0</v>
      </c>
      <c r="M1039" t="n">
        <v>0</v>
      </c>
      <c r="N1039" t="n">
        <v>0</v>
      </c>
      <c r="O1039" t="n">
        <v>0</v>
      </c>
      <c r="P1039" t="n">
        <v>0</v>
      </c>
      <c r="Q1039" t="n">
        <v>0</v>
      </c>
      <c r="R1039" t="n">
        <v>0</v>
      </c>
      <c r="S1039" t="n">
        <v>1</v>
      </c>
      <c r="T1039" t="n">
        <v>1</v>
      </c>
      <c r="U1039" t="n">
        <v>0</v>
      </c>
      <c r="V1039" s="2" t="inlineStr">
        <is>
          <t>Blåsippa</t>
        </is>
      </c>
      <c r="W1039">
        <f>HYPERLINK("https://klasma.github.io/Logging_0881/artfynd/A 1717-2024 artfynd.xlsx", "A 1717-2024")</f>
        <v/>
      </c>
      <c r="X1039">
        <f>HYPERLINK("https://klasma.github.io/Logging_0881/kartor/A 1717-2024 karta.png", "A 1717-2024")</f>
        <v/>
      </c>
      <c r="Y1039">
        <f>HYPERLINK("https://klasma.github.io/Logging_0881/kartor_geotiff/A 1717-2024 georefererad karta.tif", "A 1717-2024")</f>
        <v/>
      </c>
      <c r="AA1039">
        <f>HYPERLINK("https://klasma.github.io/Logging_0881/klagomål/A 1717-2024 FSC-klagomål.docx", "A 1717-2024")</f>
        <v/>
      </c>
      <c r="AB1039">
        <f>HYPERLINK("https://klasma.github.io/Logging_0881/klagomålsmail/A 1717-2024 FSC-klagomål mail.docx", "A 1717-2024")</f>
        <v/>
      </c>
      <c r="AC1039">
        <f>HYPERLINK("https://klasma.github.io/Logging_0881/tillsyn/A 1717-2024 tillsynsbegäran.docx", "A 1717-2024")</f>
        <v/>
      </c>
      <c r="AD1039">
        <f>HYPERLINK("https://klasma.github.io/Logging_0881/tillsynsmail/A 1717-2024 tillsynsbegäran mail.docx", "A 1717-2024")</f>
        <v/>
      </c>
    </row>
    <row r="1040" ht="15" customHeight="1">
      <c r="A1040" t="inlineStr">
        <is>
          <t>A 11009-2026</t>
        </is>
      </c>
      <c r="B1040" t="inlineStr">
        <is>
          <t>avverkningsanmälan</t>
        </is>
      </c>
      <c r="C1040" t="inlineStr">
        <is>
          <t>Föryngringsavverkning</t>
        </is>
      </c>
      <c r="D1040" s="1" t="n">
        <v>46078</v>
      </c>
      <c r="E1040" s="1" t="n">
        <v>46323</v>
      </c>
      <c r="F1040" t="inlineStr">
        <is>
          <t>KALMAR LÄN</t>
        </is>
      </c>
      <c r="G1040" t="inlineStr">
        <is>
          <t>HULTSFRED</t>
        </is>
      </c>
      <c r="H1040" t="inlineStr">
        <is>
          <t>Kommuner</t>
        </is>
      </c>
      <c r="I1040" t="n">
        <v>16.2</v>
      </c>
      <c r="J1040" t="n">
        <v>1</v>
      </c>
      <c r="K1040" t="n">
        <v>0</v>
      </c>
      <c r="L1040" t="n">
        <v>0</v>
      </c>
      <c r="M1040" t="n">
        <v>0</v>
      </c>
      <c r="N1040" t="n">
        <v>0</v>
      </c>
      <c r="O1040" t="n">
        <v>0</v>
      </c>
      <c r="P1040" t="n">
        <v>0</v>
      </c>
      <c r="Q1040" t="n">
        <v>0</v>
      </c>
      <c r="R1040" t="n">
        <v>0</v>
      </c>
      <c r="S1040" t="n">
        <v>1</v>
      </c>
      <c r="T1040" t="n">
        <v>1</v>
      </c>
      <c r="U1040" t="n">
        <v>1</v>
      </c>
      <c r="V1040" s="2" t="inlineStr">
        <is>
          <t>Revlummer</t>
        </is>
      </c>
      <c r="W1040">
        <f>HYPERLINK("https://klasma.github.io/Logging_0860/artfynd/A 11009-2026 artfynd.xlsx", "A 11009-2026")</f>
        <v/>
      </c>
      <c r="X1040">
        <f>HYPERLINK("https://klasma.github.io/Logging_0860/kartor/A 11009-2026 karta.png", "A 11009-2026")</f>
        <v/>
      </c>
      <c r="Y1040">
        <f>HYPERLINK("https://klasma.github.io/Logging_0860/kartor_geotiff/A 11009-2026 georefererad karta.tif", "A 11009-2026")</f>
        <v/>
      </c>
      <c r="AA1040">
        <f>HYPERLINK("https://klasma.github.io/Logging_0860/klagomål/A 11009-2026 FSC-klagomål.docx", "A 11009-2026")</f>
        <v/>
      </c>
      <c r="AB1040">
        <f>HYPERLINK("https://klasma.github.io/Logging_0860/klagomålsmail/A 11009-2026 FSC-klagomål mail.docx", "A 11009-2026")</f>
        <v/>
      </c>
      <c r="AC1040">
        <f>HYPERLINK("https://klasma.github.io/Logging_0860/tillsyn/A 11009-2026 tillsynsbegäran.docx", "A 11009-2026")</f>
        <v/>
      </c>
      <c r="AD1040">
        <f>HYPERLINK("https://klasma.github.io/Logging_0860/tillsynsmail/A 11009-2026 tillsynsbegäran mail.docx", "A 11009-2026")</f>
        <v/>
      </c>
    </row>
    <row r="1041" ht="15" customHeight="1">
      <c r="A1041" t="inlineStr">
        <is>
          <t>A 12323-2025</t>
        </is>
      </c>
      <c r="B1041" t="inlineStr">
        <is>
          <t>avverkningsanmälan</t>
        </is>
      </c>
      <c r="C1041" t="inlineStr">
        <is>
          <t>Föryngringsavverkning</t>
        </is>
      </c>
      <c r="D1041" s="1" t="n">
        <v>45730</v>
      </c>
      <c r="E1041" s="1" t="n">
        <v>46323</v>
      </c>
      <c r="F1041" t="inlineStr">
        <is>
          <t>KALMAR LÄN</t>
        </is>
      </c>
      <c r="G1041" t="inlineStr">
        <is>
          <t>NYBRO</t>
        </is>
      </c>
      <c r="I1041" t="n">
        <v>14</v>
      </c>
      <c r="J1041" t="n">
        <v>1</v>
      </c>
      <c r="K1041" t="n">
        <v>0</v>
      </c>
      <c r="L1041" t="n">
        <v>1</v>
      </c>
      <c r="M1041" t="n">
        <v>0</v>
      </c>
      <c r="N1041" t="n">
        <v>0</v>
      </c>
      <c r="O1041" t="n">
        <v>0</v>
      </c>
      <c r="P1041" t="n">
        <v>0</v>
      </c>
      <c r="Q1041" t="n">
        <v>1</v>
      </c>
      <c r="R1041" t="n">
        <v>0</v>
      </c>
      <c r="S1041" t="n">
        <v>1</v>
      </c>
      <c r="T1041" t="n">
        <v>1</v>
      </c>
      <c r="U1041" t="n">
        <v>0</v>
      </c>
      <c r="V1041" s="2" t="inlineStr">
        <is>
          <t>Mindre hackspett</t>
        </is>
      </c>
      <c r="W1041">
        <f>HYPERLINK("https://klasma.github.io/Logging_0881/artfynd/A 12323-2025 artfynd.xlsx", "A 12323-2025")</f>
        <v/>
      </c>
      <c r="X1041">
        <f>HYPERLINK("https://klasma.github.io/Logging_0881/kartor/A 12323-2025 karta.png", "A 12323-2025")</f>
        <v/>
      </c>
      <c r="Y1041">
        <f>HYPERLINK("https://klasma.github.io/Logging_0881/kartor_geotiff/A 12323-2025 georefererad karta.tif", "A 12323-2025")</f>
        <v/>
      </c>
      <c r="AA1041">
        <f>HYPERLINK("https://klasma.github.io/Logging_0881/klagomål/A 12323-2025 FSC-klagomål.docx", "A 12323-2025")</f>
        <v/>
      </c>
      <c r="AB1041">
        <f>HYPERLINK("https://klasma.github.io/Logging_0881/klagomålsmail/A 12323-2025 FSC-klagomål mail.docx", "A 12323-2025")</f>
        <v/>
      </c>
      <c r="AC1041">
        <f>HYPERLINK("https://klasma.github.io/Logging_0881/tillsyn/A 12323-2025 tillsynsbegäran.docx", "A 12323-2025")</f>
        <v/>
      </c>
      <c r="AD1041">
        <f>HYPERLINK("https://klasma.github.io/Logging_0881/tillsynsmail/A 12323-2025 tillsynsbegäran mail.docx", "A 12323-2025")</f>
        <v/>
      </c>
      <c r="AE1041">
        <f>HYPERLINK("https://klasma.github.io/Logging_0881/fåglar/A 12323-2025 prioriterade fågelarter.docx", "A 12323-2025")</f>
        <v/>
      </c>
    </row>
    <row r="1042" ht="15" customHeight="1">
      <c r="A1042" t="inlineStr">
        <is>
          <t>A 33384-2026</t>
        </is>
      </c>
      <c r="B1042" t="inlineStr">
        <is>
          <t>avverkningsanmälan</t>
        </is>
      </c>
      <c r="C1042" t="inlineStr">
        <is>
          <t>Föryngringsavverkning</t>
        </is>
      </c>
      <c r="D1042" s="1" t="n">
        <v>46247</v>
      </c>
      <c r="E1042" s="1" t="n">
        <v>46323</v>
      </c>
      <c r="F1042" t="inlineStr">
        <is>
          <t>KALMAR LÄN</t>
        </is>
      </c>
      <c r="G1042" t="inlineStr">
        <is>
          <t>KALMAR</t>
        </is>
      </c>
      <c r="I1042" t="n">
        <v>0.8</v>
      </c>
      <c r="J1042" t="n">
        <v>0</v>
      </c>
      <c r="K1042" t="n">
        <v>0</v>
      </c>
      <c r="L1042" t="n">
        <v>0</v>
      </c>
      <c r="M1042" t="n">
        <v>1</v>
      </c>
      <c r="N1042" t="n">
        <v>0</v>
      </c>
      <c r="O1042" t="n">
        <v>0</v>
      </c>
      <c r="P1042" t="n">
        <v>0</v>
      </c>
      <c r="Q1042" t="n">
        <v>1</v>
      </c>
      <c r="R1042" t="n">
        <v>1</v>
      </c>
      <c r="S1042" t="n">
        <v>1</v>
      </c>
      <c r="T1042" t="n">
        <v>1</v>
      </c>
      <c r="U1042" t="n">
        <v>0</v>
      </c>
      <c r="V1042" s="2" t="inlineStr">
        <is>
          <t>Mindre bastardsvärmare</t>
        </is>
      </c>
      <c r="W1042">
        <f>HYPERLINK("https://klasma.github.io/Logging_0880/artfynd/A 33384-2026 artfynd.xlsx", "A 33384-2026")</f>
        <v/>
      </c>
      <c r="X1042">
        <f>HYPERLINK("https://klasma.github.io/Logging_0880/kartor/A 33384-2026 karta.png", "A 33384-2026")</f>
        <v/>
      </c>
      <c r="Y1042">
        <f>HYPERLINK("https://klasma.github.io/Logging_0880/kartor_geotiff/A 33384-2026 georefererad karta.tif", "A 33384-2026")</f>
        <v/>
      </c>
      <c r="AA1042">
        <f>HYPERLINK("https://klasma.github.io/Logging_0880/klagomål/A 33384-2026 FSC-klagomål.docx", "A 33384-2026")</f>
        <v/>
      </c>
      <c r="AB1042">
        <f>HYPERLINK("https://klasma.github.io/Logging_0880/klagomålsmail/A 33384-2026 FSC-klagomål mail.docx", "A 33384-2026")</f>
        <v/>
      </c>
      <c r="AC1042">
        <f>HYPERLINK("https://klasma.github.io/Logging_0880/tillsyn/A 33384-2026 tillsynsbegäran.docx", "A 33384-2026")</f>
        <v/>
      </c>
      <c r="AD1042">
        <f>HYPERLINK("https://klasma.github.io/Logging_0880/tillsynsmail/A 33384-2026 tillsynsbegäran mail.docx", "A 33384-2026")</f>
        <v/>
      </c>
    </row>
    <row r="1043" ht="15" customHeight="1">
      <c r="A1043" t="inlineStr">
        <is>
          <t>A 33293-2026</t>
        </is>
      </c>
      <c r="B1043" t="inlineStr">
        <is>
          <t>avverkningsanmälan</t>
        </is>
      </c>
      <c r="C1043" t="inlineStr">
        <is>
          <t>Avverkning för att bevara och utveckla /försöksver</t>
        </is>
      </c>
      <c r="D1043" s="1" t="n">
        <v>46246</v>
      </c>
      <c r="E1043" s="1" t="n">
        <v>46323</v>
      </c>
      <c r="F1043" t="inlineStr">
        <is>
          <t>KALMAR LÄN</t>
        </is>
      </c>
      <c r="G1043" t="inlineStr">
        <is>
          <t>BORGHOLM</t>
        </is>
      </c>
      <c r="H1043" t="inlineStr">
        <is>
          <t>Sveaskog</t>
        </is>
      </c>
      <c r="I1043" t="n">
        <v>3.8</v>
      </c>
      <c r="J1043" t="n">
        <v>1</v>
      </c>
      <c r="K1043" t="n">
        <v>1</v>
      </c>
      <c r="L1043" t="n">
        <v>0</v>
      </c>
      <c r="M1043" t="n">
        <v>0</v>
      </c>
      <c r="N1043" t="n">
        <v>0</v>
      </c>
      <c r="O1043" t="n">
        <v>0</v>
      </c>
      <c r="P1043" t="n">
        <v>0</v>
      </c>
      <c r="Q1043" t="n">
        <v>0</v>
      </c>
      <c r="R1043" t="n">
        <v>0</v>
      </c>
      <c r="S1043" t="n">
        <v>1</v>
      </c>
      <c r="T1043" t="n">
        <v>2</v>
      </c>
      <c r="U1043" t="n">
        <v>0</v>
      </c>
      <c r="V1043" s="2" t="inlineStr">
        <is>
          <t>Skogsknipprot</t>
        </is>
      </c>
      <c r="W1043">
        <f>HYPERLINK("https://klasma.github.io/Logging_0885/artfynd/A 33293-2026 artfynd.xlsx", "A 33293-2026")</f>
        <v/>
      </c>
      <c r="X1043">
        <f>HYPERLINK("https://klasma.github.io/Logging_0885/kartor/A 33293-2026 karta.png", "A 33293-2026")</f>
        <v/>
      </c>
      <c r="Y1043">
        <f>HYPERLINK("https://klasma.github.io/Logging_0885/kartor_geotiff/A 33293-2026 georefererad karta.tif", "A 33293-2026")</f>
        <v/>
      </c>
      <c r="AA1043">
        <f>HYPERLINK("https://klasma.github.io/Logging_0885/klagomål/A 33293-2026 FSC-klagomål.docx", "A 33293-2026")</f>
        <v/>
      </c>
      <c r="AB1043">
        <f>HYPERLINK("https://klasma.github.io/Logging_0885/klagomålsmail/A 33293-2026 FSC-klagomål mail.docx", "A 33293-2026")</f>
        <v/>
      </c>
      <c r="AC1043">
        <f>HYPERLINK("https://klasma.github.io/Logging_0885/tillsyn/A 33293-2026 tillsynsbegäran.docx", "A 33293-2026")</f>
        <v/>
      </c>
      <c r="AD1043">
        <f>HYPERLINK("https://klasma.github.io/Logging_0885/tillsynsmail/A 33293-2026 tillsynsbegäran mail.docx", "A 33293-2026")</f>
        <v/>
      </c>
    </row>
    <row r="1044" ht="15" customHeight="1">
      <c r="A1044" t="inlineStr">
        <is>
          <t>A 39491-2026</t>
        </is>
      </c>
      <c r="B1044" t="inlineStr">
        <is>
          <t>avverkningsanmälan</t>
        </is>
      </c>
      <c r="C1044" t="inlineStr">
        <is>
          <t>Föryngringsavverkning</t>
        </is>
      </c>
      <c r="D1044" s="1" t="n">
        <v>46289</v>
      </c>
      <c r="E1044" s="1" t="n">
        <v>46323</v>
      </c>
      <c r="F1044" t="inlineStr">
        <is>
          <t>KALMAR LÄN</t>
        </is>
      </c>
      <c r="G1044" t="inlineStr">
        <is>
          <t>HÖGSBY</t>
        </is>
      </c>
      <c r="H1044" t="inlineStr">
        <is>
          <t>Sveaskog</t>
        </is>
      </c>
      <c r="I1044" t="n">
        <v>33.4</v>
      </c>
      <c r="J1044" t="n">
        <v>0</v>
      </c>
      <c r="K1044" t="n">
        <v>0</v>
      </c>
      <c r="L1044" t="n">
        <v>1</v>
      </c>
      <c r="M1044" t="n">
        <v>0</v>
      </c>
      <c r="N1044" t="n">
        <v>0</v>
      </c>
      <c r="O1044" t="n">
        <v>0</v>
      </c>
      <c r="P1044" t="n">
        <v>0</v>
      </c>
      <c r="Q1044" t="n">
        <v>1</v>
      </c>
      <c r="R1044" t="n">
        <v>0</v>
      </c>
      <c r="S1044" t="n">
        <v>1</v>
      </c>
      <c r="T1044" t="n">
        <v>1</v>
      </c>
      <c r="U1044" t="n">
        <v>0</v>
      </c>
      <c r="V1044" s="2" t="inlineStr">
        <is>
          <t>Tallticka</t>
        </is>
      </c>
      <c r="W1044">
        <f>HYPERLINK("https://klasma.github.io/Logging_0821/artfynd/A 39491-2026 artfynd.xlsx", "A 39491-2026")</f>
        <v/>
      </c>
      <c r="X1044">
        <f>HYPERLINK("https://klasma.github.io/Logging_0821/kartor/A 39491-2026 karta.png", "A 39491-2026")</f>
        <v/>
      </c>
      <c r="Y1044">
        <f>HYPERLINK("https://klasma.github.io/Logging_0821/kartor_geotiff/A 39491-2026 georefererad karta.tif", "A 39491-2026")</f>
        <v/>
      </c>
      <c r="AA1044">
        <f>HYPERLINK("https://klasma.github.io/Logging_0821/klagomål/A 39491-2026 FSC-klagomål.docx", "A 39491-2026")</f>
        <v/>
      </c>
      <c r="AB1044">
        <f>HYPERLINK("https://klasma.github.io/Logging_0821/klagomålsmail/A 39491-2026 FSC-klagomål mail.docx", "A 39491-2026")</f>
        <v/>
      </c>
      <c r="AC1044">
        <f>HYPERLINK("https://klasma.github.io/Logging_0821/tillsyn/A 39491-2026 tillsynsbegäran.docx", "A 39491-2026")</f>
        <v/>
      </c>
      <c r="AD1044">
        <f>HYPERLINK("https://klasma.github.io/Logging_0821/tillsynsmail/A 39491-2026 tillsynsbegäran mail.docx", "A 39491-2026")</f>
        <v/>
      </c>
    </row>
    <row r="1045" ht="15" customHeight="1">
      <c r="A1045" t="inlineStr">
        <is>
          <t>A 33385-2026</t>
        </is>
      </c>
      <c r="B1045" t="inlineStr">
        <is>
          <t>avverkningsanmälan</t>
        </is>
      </c>
      <c r="C1045" t="inlineStr">
        <is>
          <t>Föryngringsavverkning</t>
        </is>
      </c>
      <c r="D1045" s="1" t="n">
        <v>46247</v>
      </c>
      <c r="E1045" s="1" t="n">
        <v>46323</v>
      </c>
      <c r="F1045" t="inlineStr">
        <is>
          <t>KALMAR LÄN</t>
        </is>
      </c>
      <c r="G1045" t="inlineStr">
        <is>
          <t>KALMAR</t>
        </is>
      </c>
      <c r="H1045" t="inlineStr">
        <is>
          <t>Sveaskog</t>
        </is>
      </c>
      <c r="I1045" t="n">
        <v>11.2</v>
      </c>
      <c r="J1045" t="n">
        <v>1</v>
      </c>
      <c r="K1045" t="n">
        <v>0</v>
      </c>
      <c r="L1045" t="n">
        <v>0</v>
      </c>
      <c r="M1045" t="n">
        <v>0</v>
      </c>
      <c r="N1045" t="n">
        <v>0</v>
      </c>
      <c r="O1045" t="n">
        <v>0</v>
      </c>
      <c r="P1045" t="n">
        <v>0</v>
      </c>
      <c r="Q1045" t="n">
        <v>0</v>
      </c>
      <c r="R1045" t="n">
        <v>0</v>
      </c>
      <c r="S1045" t="n">
        <v>1</v>
      </c>
      <c r="T1045" t="n">
        <v>1</v>
      </c>
      <c r="U1045" t="n">
        <v>0</v>
      </c>
      <c r="V1045" s="2" t="inlineStr">
        <is>
          <t>Orre</t>
        </is>
      </c>
      <c r="W1045">
        <f>HYPERLINK("https://klasma.github.io/Logging_0880/artfynd/A 33385-2026 artfynd.xlsx", "A 33385-2026")</f>
        <v/>
      </c>
      <c r="X1045">
        <f>HYPERLINK("https://klasma.github.io/Logging_0880/kartor/A 33385-2026 karta.png", "A 33385-2026")</f>
        <v/>
      </c>
      <c r="Y1045">
        <f>HYPERLINK("https://klasma.github.io/Logging_0880/kartor_geotiff/A 33385-2026 georefererad karta.tif", "A 33385-2026")</f>
        <v/>
      </c>
      <c r="AA1045">
        <f>HYPERLINK("https://klasma.github.io/Logging_0880/klagomål/A 33385-2026 FSC-klagomål.docx", "A 33385-2026")</f>
        <v/>
      </c>
      <c r="AB1045">
        <f>HYPERLINK("https://klasma.github.io/Logging_0880/klagomålsmail/A 33385-2026 FSC-klagomål mail.docx", "A 33385-2026")</f>
        <v/>
      </c>
      <c r="AC1045">
        <f>HYPERLINK("https://klasma.github.io/Logging_0880/tillsyn/A 33385-2026 tillsynsbegäran.docx", "A 33385-2026")</f>
        <v/>
      </c>
      <c r="AD1045">
        <f>HYPERLINK("https://klasma.github.io/Logging_0880/tillsynsmail/A 33385-2026 tillsynsbegäran mail.docx", "A 33385-2026")</f>
        <v/>
      </c>
      <c r="AE1045">
        <f>HYPERLINK("https://klasma.github.io/Logging_0880/fåglar/A 33385-2026 prioriterade fågelarter.docx", "A 33385-2026")</f>
        <v/>
      </c>
    </row>
    <row r="1046" ht="15" customHeight="1">
      <c r="A1046" t="inlineStr">
        <is>
          <t>A 22127-2026</t>
        </is>
      </c>
      <c r="B1046" t="inlineStr">
        <is>
          <t>avverkningsanmälan</t>
        </is>
      </c>
      <c r="C1046" t="inlineStr">
        <is>
          <t>Föryngringsavverkning</t>
        </is>
      </c>
      <c r="D1046" s="1" t="n">
        <v>46153</v>
      </c>
      <c r="E1046" s="1" t="n">
        <v>46323</v>
      </c>
      <c r="F1046" t="inlineStr">
        <is>
          <t>KALMAR LÄN</t>
        </is>
      </c>
      <c r="G1046" t="inlineStr">
        <is>
          <t>NYBRO</t>
        </is>
      </c>
      <c r="I1046" t="n">
        <v>4.3</v>
      </c>
      <c r="J1046" t="n">
        <v>1</v>
      </c>
      <c r="K1046" t="n">
        <v>0</v>
      </c>
      <c r="L1046" t="n">
        <v>1</v>
      </c>
      <c r="M1046" t="n">
        <v>0</v>
      </c>
      <c r="N1046" t="n">
        <v>0</v>
      </c>
      <c r="O1046" t="n">
        <v>0</v>
      </c>
      <c r="P1046" t="n">
        <v>0</v>
      </c>
      <c r="Q1046" t="n">
        <v>1</v>
      </c>
      <c r="R1046" t="n">
        <v>0</v>
      </c>
      <c r="S1046" t="n">
        <v>1</v>
      </c>
      <c r="T1046" t="n">
        <v>1</v>
      </c>
      <c r="U1046" t="n">
        <v>0</v>
      </c>
      <c r="V1046" s="2" t="inlineStr">
        <is>
          <t>Talltita</t>
        </is>
      </c>
      <c r="W1046">
        <f>HYPERLINK("https://klasma.github.io/Logging_0881/artfynd/A 22127-2026 artfynd.xlsx", "A 22127-2026")</f>
        <v/>
      </c>
      <c r="X1046">
        <f>HYPERLINK("https://klasma.github.io/Logging_0881/kartor/A 22127-2026 karta.png", "A 22127-2026")</f>
        <v/>
      </c>
      <c r="Y1046">
        <f>HYPERLINK("https://klasma.github.io/Logging_0881/kartor_geotiff/A 22127-2026 georefererad karta.tif", "A 22127-2026")</f>
        <v/>
      </c>
      <c r="AA1046">
        <f>HYPERLINK("https://klasma.github.io/Logging_0881/klagomål/A 22127-2026 FSC-klagomål.docx", "A 22127-2026")</f>
        <v/>
      </c>
      <c r="AB1046">
        <f>HYPERLINK("https://klasma.github.io/Logging_0881/klagomålsmail/A 22127-2026 FSC-klagomål mail.docx", "A 22127-2026")</f>
        <v/>
      </c>
      <c r="AC1046">
        <f>HYPERLINK("https://klasma.github.io/Logging_0881/tillsyn/A 22127-2026 tillsynsbegäran.docx", "A 22127-2026")</f>
        <v/>
      </c>
      <c r="AD1046">
        <f>HYPERLINK("https://klasma.github.io/Logging_0881/tillsynsmail/A 22127-2026 tillsynsbegäran mail.docx", "A 22127-2026")</f>
        <v/>
      </c>
      <c r="AE1046">
        <f>HYPERLINK("https://klasma.github.io/Logging_0881/fåglar/A 22127-2026 prioriterade fågelarter.docx", "A 22127-2026")</f>
        <v/>
      </c>
    </row>
    <row r="1047" ht="15" customHeight="1">
      <c r="A1047" t="inlineStr">
        <is>
          <t>A 39699-2026</t>
        </is>
      </c>
      <c r="B1047" t="inlineStr">
        <is>
          <t>avverkningsanmälan</t>
        </is>
      </c>
      <c r="C1047" t="inlineStr">
        <is>
          <t>Föryngringsavverkning</t>
        </is>
      </c>
      <c r="D1047" s="1" t="n">
        <v>46289</v>
      </c>
      <c r="E1047" s="1" t="n">
        <v>46323</v>
      </c>
      <c r="F1047" t="inlineStr">
        <is>
          <t>KALMAR LÄN</t>
        </is>
      </c>
      <c r="G1047" t="inlineStr">
        <is>
          <t>TORSÅS</t>
        </is>
      </c>
      <c r="I1047" t="n">
        <v>1.1</v>
      </c>
      <c r="J1047" t="n">
        <v>1</v>
      </c>
      <c r="K1047" t="n">
        <v>0</v>
      </c>
      <c r="L1047" t="n">
        <v>0</v>
      </c>
      <c r="M1047" t="n">
        <v>0</v>
      </c>
      <c r="N1047" t="n">
        <v>0</v>
      </c>
      <c r="O1047" t="n">
        <v>0</v>
      </c>
      <c r="P1047" t="n">
        <v>0</v>
      </c>
      <c r="Q1047" t="n">
        <v>0</v>
      </c>
      <c r="R1047" t="n">
        <v>0</v>
      </c>
      <c r="S1047" t="n">
        <v>1</v>
      </c>
      <c r="T1047" t="n">
        <v>4</v>
      </c>
      <c r="U1047" t="n">
        <v>0</v>
      </c>
      <c r="V1047" s="2" t="inlineStr">
        <is>
          <t>Gullviva</t>
        </is>
      </c>
      <c r="W1047">
        <f>HYPERLINK("https://klasma.github.io/Logging_0834/artfynd/A 39699-2026 artfynd.xlsx", "A 39699-2026")</f>
        <v/>
      </c>
      <c r="X1047">
        <f>HYPERLINK("https://klasma.github.io/Logging_0834/kartor/A 39699-2026 karta.png", "A 39699-2026")</f>
        <v/>
      </c>
      <c r="Y1047">
        <f>HYPERLINK("https://klasma.github.io/Logging_0834/kartor_geotiff/A 39699-2026 georefererad karta.tif", "A 39699-2026")</f>
        <v/>
      </c>
      <c r="AA1047">
        <f>HYPERLINK("https://klasma.github.io/Logging_0834/klagomål/A 39699-2026 FSC-klagomål.docx", "A 39699-2026")</f>
        <v/>
      </c>
      <c r="AB1047">
        <f>HYPERLINK("https://klasma.github.io/Logging_0834/klagomålsmail/A 39699-2026 FSC-klagomål mail.docx", "A 39699-2026")</f>
        <v/>
      </c>
      <c r="AC1047">
        <f>HYPERLINK("https://klasma.github.io/Logging_0834/tillsyn/A 39699-2026 tillsynsbegäran.docx", "A 39699-2026")</f>
        <v/>
      </c>
      <c r="AD1047">
        <f>HYPERLINK("https://klasma.github.io/Logging_0834/tillsynsmail/A 39699-2026 tillsynsbegäran mail.docx", "A 39699-2026")</f>
        <v/>
      </c>
    </row>
    <row r="1048" ht="15" customHeight="1">
      <c r="A1048" t="inlineStr">
        <is>
          <t>A 13715-2026</t>
        </is>
      </c>
      <c r="B1048" t="inlineStr">
        <is>
          <t>avverkningsanmälan</t>
        </is>
      </c>
      <c r="C1048" t="inlineStr">
        <is>
          <t>Föryngringsavverkning</t>
        </is>
      </c>
      <c r="D1048" s="1" t="n">
        <v>46097</v>
      </c>
      <c r="E1048" s="1" t="n">
        <v>46323</v>
      </c>
      <c r="F1048" t="inlineStr">
        <is>
          <t>KALMAR LÄN</t>
        </is>
      </c>
      <c r="G1048" t="inlineStr">
        <is>
          <t>OSKARSHAMN</t>
        </is>
      </c>
      <c r="I1048" t="n">
        <v>9.800000000000001</v>
      </c>
      <c r="J1048" t="n">
        <v>0</v>
      </c>
      <c r="K1048" t="n">
        <v>0</v>
      </c>
      <c r="L1048" t="n">
        <v>1</v>
      </c>
      <c r="M1048" t="n">
        <v>0</v>
      </c>
      <c r="N1048" t="n">
        <v>0</v>
      </c>
      <c r="O1048" t="n">
        <v>0</v>
      </c>
      <c r="P1048" t="n">
        <v>0</v>
      </c>
      <c r="Q1048" t="n">
        <v>1</v>
      </c>
      <c r="R1048" t="n">
        <v>0</v>
      </c>
      <c r="S1048" t="n">
        <v>1</v>
      </c>
      <c r="T1048" t="n">
        <v>1</v>
      </c>
      <c r="U1048" t="n">
        <v>1</v>
      </c>
      <c r="V1048" s="2" t="inlineStr">
        <is>
          <t>Tallticka</t>
        </is>
      </c>
      <c r="W1048">
        <f>HYPERLINK("https://klasma.github.io/Logging_0882/artfynd/A 13715-2026 artfynd.xlsx", "A 13715-2026")</f>
        <v/>
      </c>
      <c r="X1048">
        <f>HYPERLINK("https://klasma.github.io/Logging_0882/kartor/A 13715-2026 karta.png", "A 13715-2026")</f>
        <v/>
      </c>
      <c r="Y1048">
        <f>HYPERLINK("https://klasma.github.io/Logging_0882/kartor_geotiff/A 13715-2026 georefererad karta.tif", "A 13715-2026")</f>
        <v/>
      </c>
      <c r="AA1048">
        <f>HYPERLINK("https://klasma.github.io/Logging_0882/klagomål/A 13715-2026 FSC-klagomål.docx", "A 13715-2026")</f>
        <v/>
      </c>
      <c r="AB1048">
        <f>HYPERLINK("https://klasma.github.io/Logging_0882/klagomålsmail/A 13715-2026 FSC-klagomål mail.docx", "A 13715-2026")</f>
        <v/>
      </c>
      <c r="AC1048">
        <f>HYPERLINK("https://klasma.github.io/Logging_0882/tillsyn/A 13715-2026 tillsynsbegäran.docx", "A 13715-2026")</f>
        <v/>
      </c>
      <c r="AD1048">
        <f>HYPERLINK("https://klasma.github.io/Logging_0882/tillsynsmail/A 13715-2026 tillsynsbegäran mail.docx", "A 13715-2026")</f>
        <v/>
      </c>
    </row>
    <row r="1049" ht="15" customHeight="1">
      <c r="A1049" t="inlineStr">
        <is>
          <t>A 13412-2026</t>
        </is>
      </c>
      <c r="B1049" t="inlineStr">
        <is>
          <t>avverkningsanmälan</t>
        </is>
      </c>
      <c r="C1049" t="inlineStr">
        <is>
          <t>Föryngringsavverkning</t>
        </is>
      </c>
      <c r="D1049" s="1" t="n">
        <v>46094</v>
      </c>
      <c r="E1049" s="1" t="n">
        <v>46323</v>
      </c>
      <c r="F1049" t="inlineStr">
        <is>
          <t>KALMAR LÄN</t>
        </is>
      </c>
      <c r="G1049" t="inlineStr">
        <is>
          <t>NYBRO</t>
        </is>
      </c>
      <c r="I1049" t="n">
        <v>3.2</v>
      </c>
      <c r="J1049" t="n">
        <v>0</v>
      </c>
      <c r="K1049" t="n">
        <v>0</v>
      </c>
      <c r="L1049" t="n">
        <v>1</v>
      </c>
      <c r="M1049" t="n">
        <v>0</v>
      </c>
      <c r="N1049" t="n">
        <v>0</v>
      </c>
      <c r="O1049" t="n">
        <v>0</v>
      </c>
      <c r="P1049" t="n">
        <v>0</v>
      </c>
      <c r="Q1049" t="n">
        <v>1</v>
      </c>
      <c r="R1049" t="n">
        <v>0</v>
      </c>
      <c r="S1049" t="n">
        <v>1</v>
      </c>
      <c r="T1049" t="n">
        <v>1</v>
      </c>
      <c r="U1049" t="n">
        <v>0</v>
      </c>
      <c r="V1049" s="2" t="inlineStr">
        <is>
          <t>Slåtterfibbla</t>
        </is>
      </c>
      <c r="W1049">
        <f>HYPERLINK("https://klasma.github.io/Logging_0881/artfynd/A 13412-2026 artfynd.xlsx", "A 13412-2026")</f>
        <v/>
      </c>
      <c r="X1049">
        <f>HYPERLINK("https://klasma.github.io/Logging_0881/kartor/A 13412-2026 karta.png", "A 13412-2026")</f>
        <v/>
      </c>
      <c r="Y1049">
        <f>HYPERLINK("https://klasma.github.io/Logging_0881/kartor_geotiff/A 13412-2026 georefererad karta.tif", "A 13412-2026")</f>
        <v/>
      </c>
      <c r="AA1049">
        <f>HYPERLINK("https://klasma.github.io/Logging_0881/klagomål/A 13412-2026 FSC-klagomål.docx", "A 13412-2026")</f>
        <v/>
      </c>
      <c r="AB1049">
        <f>HYPERLINK("https://klasma.github.io/Logging_0881/klagomålsmail/A 13412-2026 FSC-klagomål mail.docx", "A 13412-2026")</f>
        <v/>
      </c>
      <c r="AC1049">
        <f>HYPERLINK("https://klasma.github.io/Logging_0881/tillsyn/A 13412-2026 tillsynsbegäran.docx", "A 13412-2026")</f>
        <v/>
      </c>
      <c r="AD1049">
        <f>HYPERLINK("https://klasma.github.io/Logging_0881/tillsynsmail/A 13412-2026 tillsynsbegäran mail.docx", "A 13412-2026")</f>
        <v/>
      </c>
    </row>
    <row r="1050" ht="15" customHeight="1">
      <c r="A1050" t="inlineStr">
        <is>
          <t>A 14075-2025</t>
        </is>
      </c>
      <c r="B1050" t="inlineStr">
        <is>
          <t>avverkningsanmälan</t>
        </is>
      </c>
      <c r="C1050" t="inlineStr">
        <is>
          <t>Föryngringsavverkning</t>
        </is>
      </c>
      <c r="D1050" s="1" t="n">
        <v>45740</v>
      </c>
      <c r="E1050" s="1" t="n">
        <v>46323</v>
      </c>
      <c r="F1050" t="inlineStr">
        <is>
          <t>KALMAR LÄN</t>
        </is>
      </c>
      <c r="G1050" t="inlineStr">
        <is>
          <t>VÄSTERVIK</t>
        </is>
      </c>
      <c r="H1050" t="inlineStr">
        <is>
          <t>Sveaskog</t>
        </is>
      </c>
      <c r="I1050" t="n">
        <v>4.6</v>
      </c>
      <c r="J1050" t="n">
        <v>1</v>
      </c>
      <c r="K1050" t="n">
        <v>0</v>
      </c>
      <c r="L1050" t="n">
        <v>0</v>
      </c>
      <c r="M1050" t="n">
        <v>0</v>
      </c>
      <c r="N1050" t="n">
        <v>0</v>
      </c>
      <c r="O1050" t="n">
        <v>0</v>
      </c>
      <c r="P1050" t="n">
        <v>0</v>
      </c>
      <c r="Q1050" t="n">
        <v>0</v>
      </c>
      <c r="R1050" t="n">
        <v>0</v>
      </c>
      <c r="S1050" t="n">
        <v>1</v>
      </c>
      <c r="T1050" t="n">
        <v>1</v>
      </c>
      <c r="U1050" t="n">
        <v>1</v>
      </c>
      <c r="V1050" s="2" t="inlineStr">
        <is>
          <t>Åkergroda</t>
        </is>
      </c>
      <c r="W1050">
        <f>HYPERLINK("https://klasma.github.io/Logging_0883/artfynd/A 14075-2025 artfynd.xlsx", "A 14075-2025")</f>
        <v/>
      </c>
      <c r="X1050">
        <f>HYPERLINK("https://klasma.github.io/Logging_0883/kartor/A 14075-2025 karta.png", "A 14075-2025")</f>
        <v/>
      </c>
      <c r="Y1050">
        <f>HYPERLINK("https://klasma.github.io/Logging_0883/kartor_geotiff/A 14075-2025 georefererad karta.tif", "A 14075-2025")</f>
        <v/>
      </c>
      <c r="AA1050">
        <f>HYPERLINK("https://klasma.github.io/Logging_0883/klagomål/A 14075-2025 FSC-klagomål.docx", "A 14075-2025")</f>
        <v/>
      </c>
      <c r="AB1050">
        <f>HYPERLINK("https://klasma.github.io/Logging_0883/klagomålsmail/A 14075-2025 FSC-klagomål mail.docx", "A 14075-2025")</f>
        <v/>
      </c>
      <c r="AC1050">
        <f>HYPERLINK("https://klasma.github.io/Logging_0883/tillsyn/A 14075-2025 tillsynsbegäran.docx", "A 14075-2025")</f>
        <v/>
      </c>
      <c r="AD1050">
        <f>HYPERLINK("https://klasma.github.io/Logging_0883/tillsynsmail/A 14075-2025 tillsynsbegäran mail.docx", "A 14075-2025")</f>
        <v/>
      </c>
    </row>
    <row r="1051" ht="15" customHeight="1">
      <c r="A1051" t="inlineStr">
        <is>
          <t>A 40182-2026</t>
        </is>
      </c>
      <c r="B1051" t="inlineStr">
        <is>
          <t>avverkningsanmälan</t>
        </is>
      </c>
      <c r="C1051" t="inlineStr">
        <is>
          <t>Föryngringsavverkning</t>
        </is>
      </c>
      <c r="D1051" s="1" t="n">
        <v>46293</v>
      </c>
      <c r="E1051" s="1" t="n">
        <v>46323</v>
      </c>
      <c r="F1051" t="inlineStr">
        <is>
          <t>KALMAR LÄN</t>
        </is>
      </c>
      <c r="G1051" t="inlineStr">
        <is>
          <t>VIMMERBY</t>
        </is>
      </c>
      <c r="I1051" t="n">
        <v>3.2</v>
      </c>
      <c r="J1051" t="n">
        <v>0</v>
      </c>
      <c r="K1051" t="n">
        <v>1</v>
      </c>
      <c r="L1051" t="n">
        <v>0</v>
      </c>
      <c r="M1051" t="n">
        <v>0</v>
      </c>
      <c r="N1051" t="n">
        <v>0</v>
      </c>
      <c r="O1051" t="n">
        <v>0</v>
      </c>
      <c r="P1051" t="n">
        <v>0</v>
      </c>
      <c r="Q1051" t="n">
        <v>0</v>
      </c>
      <c r="R1051" t="n">
        <v>0</v>
      </c>
      <c r="S1051" t="n">
        <v>1</v>
      </c>
      <c r="T1051" t="n">
        <v>1</v>
      </c>
      <c r="U1051" t="n">
        <v>0</v>
      </c>
      <c r="V1051" s="2" t="inlineStr">
        <is>
          <t>Tibast</t>
        </is>
      </c>
      <c r="W1051">
        <f>HYPERLINK("https://klasma.github.io/Logging_0884/artfynd/A 40182-2026 artfynd.xlsx", "A 40182-2026")</f>
        <v/>
      </c>
      <c r="X1051">
        <f>HYPERLINK("https://klasma.github.io/Logging_0884/kartor/A 40182-2026 karta.png", "A 40182-2026")</f>
        <v/>
      </c>
      <c r="Y1051">
        <f>HYPERLINK("https://klasma.github.io/Logging_0884/kartor_geotiff/A 40182-2026 georefererad karta.tif", "A 40182-2026")</f>
        <v/>
      </c>
      <c r="AA1051">
        <f>HYPERLINK("https://klasma.github.io/Logging_0884/klagomål/A 40182-2026 FSC-klagomål.docx", "A 40182-2026")</f>
        <v/>
      </c>
      <c r="AB1051">
        <f>HYPERLINK("https://klasma.github.io/Logging_0884/klagomålsmail/A 40182-2026 FSC-klagomål mail.docx", "A 40182-2026")</f>
        <v/>
      </c>
      <c r="AC1051">
        <f>HYPERLINK("https://klasma.github.io/Logging_0884/tillsyn/A 40182-2026 tillsynsbegäran.docx", "A 40182-2026")</f>
        <v/>
      </c>
      <c r="AD1051">
        <f>HYPERLINK("https://klasma.github.io/Logging_0884/tillsynsmail/A 40182-2026 tillsynsbegäran mail.docx", "A 40182-2026")</f>
        <v/>
      </c>
    </row>
    <row r="1052" ht="15" customHeight="1">
      <c r="A1052" t="inlineStr">
        <is>
          <t>A 40306-2026</t>
        </is>
      </c>
      <c r="B1052" t="inlineStr">
        <is>
          <t>avverkningsanmälan</t>
        </is>
      </c>
      <c r="C1052" t="inlineStr">
        <is>
          <t>Föryngringsavverkning</t>
        </is>
      </c>
      <c r="D1052" s="1" t="n">
        <v>46293</v>
      </c>
      <c r="E1052" s="1" t="n">
        <v>46323</v>
      </c>
      <c r="F1052" t="inlineStr">
        <is>
          <t>KALMAR LÄN</t>
        </is>
      </c>
      <c r="G1052" t="inlineStr">
        <is>
          <t>TORSÅS</t>
        </is>
      </c>
      <c r="I1052" t="n">
        <v>2.8</v>
      </c>
      <c r="J1052" t="n">
        <v>0</v>
      </c>
      <c r="K1052" t="n">
        <v>0</v>
      </c>
      <c r="L1052" t="n">
        <v>0</v>
      </c>
      <c r="M1052" t="n">
        <v>1</v>
      </c>
      <c r="N1052" t="n">
        <v>0</v>
      </c>
      <c r="O1052" t="n">
        <v>0</v>
      </c>
      <c r="P1052" t="n">
        <v>0</v>
      </c>
      <c r="Q1052" t="n">
        <v>1</v>
      </c>
      <c r="R1052" t="n">
        <v>1</v>
      </c>
      <c r="S1052" t="n">
        <v>1</v>
      </c>
      <c r="T1052" t="n">
        <v>1</v>
      </c>
      <c r="U1052" t="n">
        <v>0</v>
      </c>
      <c r="V1052" s="2" t="inlineStr">
        <is>
          <t>Igelkott</t>
        </is>
      </c>
      <c r="W1052">
        <f>HYPERLINK("https://klasma.github.io/Logging_0834/artfynd/A 40306-2026 artfynd.xlsx", "A 40306-2026")</f>
        <v/>
      </c>
      <c r="X1052">
        <f>HYPERLINK("https://klasma.github.io/Logging_0834/kartor/A 40306-2026 karta.png", "A 40306-2026")</f>
        <v/>
      </c>
      <c r="Y1052">
        <f>HYPERLINK("https://klasma.github.io/Logging_0834/kartor_geotiff/A 40306-2026 georefererad karta.tif", "A 40306-2026")</f>
        <v/>
      </c>
      <c r="AA1052">
        <f>HYPERLINK("https://klasma.github.io/Logging_0834/klagomål/A 40306-2026 FSC-klagomål.docx", "A 40306-2026")</f>
        <v/>
      </c>
      <c r="AB1052">
        <f>HYPERLINK("https://klasma.github.io/Logging_0834/klagomålsmail/A 40306-2026 FSC-klagomål mail.docx", "A 40306-2026")</f>
        <v/>
      </c>
      <c r="AC1052">
        <f>HYPERLINK("https://klasma.github.io/Logging_0834/tillsyn/A 40306-2026 tillsynsbegäran.docx", "A 40306-2026")</f>
        <v/>
      </c>
      <c r="AD1052">
        <f>HYPERLINK("https://klasma.github.io/Logging_0834/tillsynsmail/A 40306-2026 tillsynsbegäran mail.docx", "A 40306-2026")</f>
        <v/>
      </c>
    </row>
    <row r="1053" ht="15" customHeight="1">
      <c r="A1053" t="inlineStr">
        <is>
          <t>A 39629-2022</t>
        </is>
      </c>
      <c r="B1053" t="inlineStr">
        <is>
          <t>avverkningsanmälan</t>
        </is>
      </c>
      <c r="C1053" t="inlineStr">
        <is>
          <t>Föryngringsavverkning</t>
        </is>
      </c>
      <c r="D1053" s="1" t="n">
        <v>44818</v>
      </c>
      <c r="E1053" s="1" t="n">
        <v>46323</v>
      </c>
      <c r="F1053" t="inlineStr">
        <is>
          <t>KALMAR LÄN</t>
        </is>
      </c>
      <c r="G1053" t="inlineStr">
        <is>
          <t>OSKARSHAMN</t>
        </is>
      </c>
      <c r="I1053" t="n">
        <v>14.8</v>
      </c>
      <c r="J1053" t="n">
        <v>0</v>
      </c>
      <c r="K1053" t="n">
        <v>1</v>
      </c>
      <c r="L1053" t="n">
        <v>0</v>
      </c>
      <c r="M1053" t="n">
        <v>0</v>
      </c>
      <c r="N1053" t="n">
        <v>0</v>
      </c>
      <c r="O1053" t="n">
        <v>0</v>
      </c>
      <c r="P1053" t="n">
        <v>0</v>
      </c>
      <c r="Q1053" t="n">
        <v>0</v>
      </c>
      <c r="R1053" t="n">
        <v>0</v>
      </c>
      <c r="S1053" t="n">
        <v>1</v>
      </c>
      <c r="T1053" t="n">
        <v>1</v>
      </c>
      <c r="U1053" t="n">
        <v>1</v>
      </c>
      <c r="V1053" s="2" t="inlineStr">
        <is>
          <t>Åttafläckig praktbagge</t>
        </is>
      </c>
      <c r="W1053">
        <f>HYPERLINK("https://klasma.github.io/Logging_0882/artfynd/A 39629-2022 artfynd.xlsx", "A 39629-2022")</f>
        <v/>
      </c>
      <c r="X1053">
        <f>HYPERLINK("https://klasma.github.io/Logging_0882/kartor/A 39629-2022 karta.png", "A 39629-2022")</f>
        <v/>
      </c>
      <c r="Y1053">
        <f>HYPERLINK("https://klasma.github.io/Logging_0882/kartor_geotiff/A 39629-2022 georefererad karta.tif", "A 39629-2022")</f>
        <v/>
      </c>
      <c r="AA1053">
        <f>HYPERLINK("https://klasma.github.io/Logging_0882/klagomål/A 39629-2022 FSC-klagomål.docx", "A 39629-2022")</f>
        <v/>
      </c>
      <c r="AB1053">
        <f>HYPERLINK("https://klasma.github.io/Logging_0882/klagomålsmail/A 39629-2022 FSC-klagomål mail.docx", "A 39629-2022")</f>
        <v/>
      </c>
      <c r="AC1053">
        <f>HYPERLINK("https://klasma.github.io/Logging_0882/tillsyn/A 39629-2022 tillsynsbegäran.docx", "A 39629-2022")</f>
        <v/>
      </c>
      <c r="AD1053">
        <f>HYPERLINK("https://klasma.github.io/Logging_0882/tillsynsmail/A 39629-2022 tillsynsbegäran mail.docx", "A 39629-2022")</f>
        <v/>
      </c>
    </row>
    <row r="1054" ht="15" customHeight="1">
      <c r="A1054" t="inlineStr">
        <is>
          <t>A 15173-2026</t>
        </is>
      </c>
      <c r="B1054" t="inlineStr">
        <is>
          <t>avverkningsanmälan</t>
        </is>
      </c>
      <c r="C1054" t="inlineStr">
        <is>
          <t>Föryngringsavverkning</t>
        </is>
      </c>
      <c r="D1054" s="1" t="n">
        <v>46105</v>
      </c>
      <c r="E1054" s="1" t="n">
        <v>46323</v>
      </c>
      <c r="F1054" t="inlineStr">
        <is>
          <t>KALMAR LÄN</t>
        </is>
      </c>
      <c r="G1054" t="inlineStr">
        <is>
          <t>VÄSTERVIK</t>
        </is>
      </c>
      <c r="H1054" t="inlineStr">
        <is>
          <t>Sveaskog</t>
        </is>
      </c>
      <c r="I1054" t="n">
        <v>11.7</v>
      </c>
      <c r="J1054" t="n">
        <v>1</v>
      </c>
      <c r="K1054" t="n">
        <v>0</v>
      </c>
      <c r="L1054" t="n">
        <v>0</v>
      </c>
      <c r="M1054" t="n">
        <v>0</v>
      </c>
      <c r="N1054" t="n">
        <v>0</v>
      </c>
      <c r="O1054" t="n">
        <v>0</v>
      </c>
      <c r="P1054" t="n">
        <v>0</v>
      </c>
      <c r="Q1054" t="n">
        <v>0</v>
      </c>
      <c r="R1054" t="n">
        <v>0</v>
      </c>
      <c r="S1054" t="n">
        <v>1</v>
      </c>
      <c r="T1054" t="n">
        <v>1</v>
      </c>
      <c r="U1054" t="n">
        <v>0</v>
      </c>
      <c r="V1054" s="2" t="inlineStr">
        <is>
          <t>Blåsippa</t>
        </is>
      </c>
      <c r="W1054">
        <f>HYPERLINK("https://klasma.github.io/Logging_0883/artfynd/A 15173-2026 artfynd.xlsx", "A 15173-2026")</f>
        <v/>
      </c>
      <c r="X1054">
        <f>HYPERLINK("https://klasma.github.io/Logging_0883/kartor/A 15173-2026 karta.png", "A 15173-2026")</f>
        <v/>
      </c>
      <c r="Y1054">
        <f>HYPERLINK("https://klasma.github.io/Logging_0883/kartor_geotiff/A 15173-2026 georefererad karta.tif", "A 15173-2026")</f>
        <v/>
      </c>
      <c r="AA1054">
        <f>HYPERLINK("https://klasma.github.io/Logging_0883/klagomål/A 15173-2026 FSC-klagomål.docx", "A 15173-2026")</f>
        <v/>
      </c>
      <c r="AB1054">
        <f>HYPERLINK("https://klasma.github.io/Logging_0883/klagomålsmail/A 15173-2026 FSC-klagomål mail.docx", "A 15173-2026")</f>
        <v/>
      </c>
      <c r="AC1054">
        <f>HYPERLINK("https://klasma.github.io/Logging_0883/tillsyn/A 15173-2026 tillsynsbegäran.docx", "A 15173-2026")</f>
        <v/>
      </c>
      <c r="AD1054">
        <f>HYPERLINK("https://klasma.github.io/Logging_0883/tillsynsmail/A 15173-2026 tillsynsbegäran mail.docx", "A 15173-2026")</f>
        <v/>
      </c>
    </row>
    <row r="1055" ht="15" customHeight="1">
      <c r="A1055" t="inlineStr">
        <is>
          <t>A 15180-2026</t>
        </is>
      </c>
      <c r="B1055" t="inlineStr">
        <is>
          <t>avverkningsanmälan</t>
        </is>
      </c>
      <c r="C1055" t="inlineStr">
        <is>
          <t>Avverkning för att bevara och utveckla /försöksver</t>
        </is>
      </c>
      <c r="D1055" s="1" t="n">
        <v>46105</v>
      </c>
      <c r="E1055" s="1" t="n">
        <v>46323</v>
      </c>
      <c r="F1055" t="inlineStr">
        <is>
          <t>KALMAR LÄN</t>
        </is>
      </c>
      <c r="G1055" t="inlineStr">
        <is>
          <t>VÄSTERVIK</t>
        </is>
      </c>
      <c r="H1055" t="inlineStr">
        <is>
          <t>Sveaskog</t>
        </is>
      </c>
      <c r="I1055" t="n">
        <v>1.9</v>
      </c>
      <c r="J1055" t="n">
        <v>1</v>
      </c>
      <c r="K1055" t="n">
        <v>0</v>
      </c>
      <c r="L1055" t="n">
        <v>0</v>
      </c>
      <c r="M1055" t="n">
        <v>0</v>
      </c>
      <c r="N1055" t="n">
        <v>0</v>
      </c>
      <c r="O1055" t="n">
        <v>0</v>
      </c>
      <c r="P1055" t="n">
        <v>0</v>
      </c>
      <c r="Q1055" t="n">
        <v>0</v>
      </c>
      <c r="R1055" t="n">
        <v>0</v>
      </c>
      <c r="S1055" t="n">
        <v>1</v>
      </c>
      <c r="T1055" t="n">
        <v>1</v>
      </c>
      <c r="U1055" t="n">
        <v>0</v>
      </c>
      <c r="V1055" s="2" t="inlineStr">
        <is>
          <t>Blåsippa</t>
        </is>
      </c>
      <c r="W1055">
        <f>HYPERLINK("https://klasma.github.io/Logging_0883/artfynd/A 15180-2026 artfynd.xlsx", "A 15180-2026")</f>
        <v/>
      </c>
      <c r="X1055">
        <f>HYPERLINK("https://klasma.github.io/Logging_0883/kartor/A 15180-2026 karta.png", "A 15180-2026")</f>
        <v/>
      </c>
      <c r="Y1055">
        <f>HYPERLINK("https://klasma.github.io/Logging_0883/kartor_geotiff/A 15180-2026 georefererad karta.tif", "A 15180-2026")</f>
        <v/>
      </c>
      <c r="AA1055">
        <f>HYPERLINK("https://klasma.github.io/Logging_0883/klagomål/A 15180-2026 FSC-klagomål.docx", "A 15180-2026")</f>
        <v/>
      </c>
      <c r="AB1055">
        <f>HYPERLINK("https://klasma.github.io/Logging_0883/klagomålsmail/A 15180-2026 FSC-klagomål mail.docx", "A 15180-2026")</f>
        <v/>
      </c>
      <c r="AC1055">
        <f>HYPERLINK("https://klasma.github.io/Logging_0883/tillsyn/A 15180-2026 tillsynsbegäran.docx", "A 15180-2026")</f>
        <v/>
      </c>
      <c r="AD1055">
        <f>HYPERLINK("https://klasma.github.io/Logging_0883/tillsynsmail/A 15180-2026 tillsynsbegäran mail.docx", "A 15180-2026")</f>
        <v/>
      </c>
    </row>
    <row r="1056" ht="15" customHeight="1">
      <c r="A1056" t="inlineStr">
        <is>
          <t>A 61860-2024</t>
        </is>
      </c>
      <c r="B1056" t="inlineStr">
        <is>
          <t>avverkningsanmälan</t>
        </is>
      </c>
      <c r="C1056" t="inlineStr">
        <is>
          <t>Föryngringsavverkning</t>
        </is>
      </c>
      <c r="D1056" s="1" t="n">
        <v>45649</v>
      </c>
      <c r="E1056" s="1" t="n">
        <v>46323</v>
      </c>
      <c r="F1056" t="inlineStr">
        <is>
          <t>KALMAR LÄN</t>
        </is>
      </c>
      <c r="G1056" t="inlineStr">
        <is>
          <t>VIMMERBY</t>
        </is>
      </c>
      <c r="I1056" t="n">
        <v>4.4</v>
      </c>
      <c r="J1056" t="n">
        <v>1</v>
      </c>
      <c r="K1056" t="n">
        <v>0</v>
      </c>
      <c r="L1056" t="n">
        <v>0</v>
      </c>
      <c r="M1056" t="n">
        <v>1</v>
      </c>
      <c r="N1056" t="n">
        <v>0</v>
      </c>
      <c r="O1056" t="n">
        <v>0</v>
      </c>
      <c r="P1056" t="n">
        <v>0</v>
      </c>
      <c r="Q1056" t="n">
        <v>1</v>
      </c>
      <c r="R1056" t="n">
        <v>1</v>
      </c>
      <c r="S1056" t="n">
        <v>1</v>
      </c>
      <c r="T1056" t="n">
        <v>3</v>
      </c>
      <c r="U1056" t="n">
        <v>3</v>
      </c>
      <c r="V1056" s="2" t="inlineStr">
        <is>
          <t>Knärot</t>
        </is>
      </c>
      <c r="W1056">
        <f>HYPERLINK("https://klasma.github.io/Logging_0884/artfynd/A 61860-2024 artfynd.xlsx", "A 61860-2024")</f>
        <v/>
      </c>
      <c r="X1056">
        <f>HYPERLINK("https://klasma.github.io/Logging_0884/kartor/A 61860-2024 karta.png", "A 61860-2024")</f>
        <v/>
      </c>
      <c r="Y1056">
        <f>HYPERLINK("https://klasma.github.io/Logging_0884/kartor_geotiff/A 61860-2024 georefererad karta.tif", "A 61860-2024")</f>
        <v/>
      </c>
      <c r="Z1056">
        <f>HYPERLINK("https://klasma.github.io/Logging_0884/knärot/A 61860-2024 karta knärot.png", "A 61860-2024")</f>
        <v/>
      </c>
      <c r="AA1056">
        <f>HYPERLINK("https://klasma.github.io/Logging_0884/klagomål/A 61860-2024 FSC-klagomål.docx", "A 61860-2024")</f>
        <v/>
      </c>
      <c r="AB1056">
        <f>HYPERLINK("https://klasma.github.io/Logging_0884/klagomålsmail/A 61860-2024 FSC-klagomål mail.docx", "A 61860-2024")</f>
        <v/>
      </c>
      <c r="AC1056">
        <f>HYPERLINK("https://klasma.github.io/Logging_0884/tillsyn/A 61860-2024 tillsynsbegäran.docx", "A 61860-2024")</f>
        <v/>
      </c>
      <c r="AD1056">
        <f>HYPERLINK("https://klasma.github.io/Logging_0884/tillsynsmail/A 61860-2024 tillsynsbegäran mail.docx", "A 61860-2024")</f>
        <v/>
      </c>
    </row>
    <row r="1057" ht="15" customHeight="1">
      <c r="A1057" t="inlineStr">
        <is>
          <t>A 440-2026</t>
        </is>
      </c>
      <c r="B1057" t="inlineStr">
        <is>
          <t>avverkningsanmälan</t>
        </is>
      </c>
      <c r="C1057" t="inlineStr">
        <is>
          <t>Föryngringsavverkning</t>
        </is>
      </c>
      <c r="D1057" s="1" t="n">
        <v>46029</v>
      </c>
      <c r="E1057" s="1" t="n">
        <v>46323</v>
      </c>
      <c r="F1057" t="inlineStr">
        <is>
          <t>KALMAR LÄN</t>
        </is>
      </c>
      <c r="G1057" t="inlineStr">
        <is>
          <t>VÄSTERVIK</t>
        </is>
      </c>
      <c r="I1057" t="n">
        <v>3.9</v>
      </c>
      <c r="J1057" t="n">
        <v>0</v>
      </c>
      <c r="K1057" t="n">
        <v>0</v>
      </c>
      <c r="L1057" t="n">
        <v>1</v>
      </c>
      <c r="M1057" t="n">
        <v>0</v>
      </c>
      <c r="N1057" t="n">
        <v>0</v>
      </c>
      <c r="O1057" t="n">
        <v>0</v>
      </c>
      <c r="P1057" t="n">
        <v>0</v>
      </c>
      <c r="Q1057" t="n">
        <v>1</v>
      </c>
      <c r="R1057" t="n">
        <v>0</v>
      </c>
      <c r="S1057" t="n">
        <v>1</v>
      </c>
      <c r="T1057" t="n">
        <v>1</v>
      </c>
      <c r="U1057" t="n">
        <v>1</v>
      </c>
      <c r="V1057" s="2" t="inlineStr">
        <is>
          <t>Tallticka</t>
        </is>
      </c>
      <c r="W1057">
        <f>HYPERLINK("https://klasma.github.io/Logging_0883/artfynd/A 440-2026 artfynd.xlsx", "A 440-2026")</f>
        <v/>
      </c>
      <c r="X1057">
        <f>HYPERLINK("https://klasma.github.io/Logging_0883/kartor/A 440-2026 karta.png", "A 440-2026")</f>
        <v/>
      </c>
      <c r="Y1057">
        <f>HYPERLINK("https://klasma.github.io/Logging_0883/kartor_geotiff/A 440-2026 georefererad karta.tif", "A 440-2026")</f>
        <v/>
      </c>
      <c r="AA1057">
        <f>HYPERLINK("https://klasma.github.io/Logging_0883/klagomål/A 440-2026 FSC-klagomål.docx", "A 440-2026")</f>
        <v/>
      </c>
      <c r="AB1057">
        <f>HYPERLINK("https://klasma.github.io/Logging_0883/klagomålsmail/A 440-2026 FSC-klagomål mail.docx", "A 440-2026")</f>
        <v/>
      </c>
      <c r="AC1057">
        <f>HYPERLINK("https://klasma.github.io/Logging_0883/tillsyn/A 440-2026 tillsynsbegäran.docx", "A 440-2026")</f>
        <v/>
      </c>
      <c r="AD1057">
        <f>HYPERLINK("https://klasma.github.io/Logging_0883/tillsynsmail/A 440-2026 tillsynsbegäran mail.docx", "A 440-2026")</f>
        <v/>
      </c>
    </row>
    <row r="1058" ht="15" customHeight="1">
      <c r="A1058" t="inlineStr">
        <is>
          <t>A 15161-2026</t>
        </is>
      </c>
      <c r="B1058" t="inlineStr">
        <is>
          <t>avverkningsanmälan</t>
        </is>
      </c>
      <c r="C1058" t="inlineStr">
        <is>
          <t>Föryngringsavverkning</t>
        </is>
      </c>
      <c r="D1058" s="1" t="n">
        <v>46105</v>
      </c>
      <c r="E1058" s="1" t="n">
        <v>46323</v>
      </c>
      <c r="F1058" t="inlineStr">
        <is>
          <t>KALMAR LÄN</t>
        </is>
      </c>
      <c r="G1058" t="inlineStr">
        <is>
          <t>VÄSTERVIK</t>
        </is>
      </c>
      <c r="H1058" t="inlineStr">
        <is>
          <t>Sveaskog</t>
        </is>
      </c>
      <c r="I1058" t="n">
        <v>6.2</v>
      </c>
      <c r="J1058" t="n">
        <v>1</v>
      </c>
      <c r="K1058" t="n">
        <v>0</v>
      </c>
      <c r="L1058" t="n">
        <v>0</v>
      </c>
      <c r="M1058" t="n">
        <v>0</v>
      </c>
      <c r="N1058" t="n">
        <v>0</v>
      </c>
      <c r="O1058" t="n">
        <v>0</v>
      </c>
      <c r="P1058" t="n">
        <v>0</v>
      </c>
      <c r="Q1058" t="n">
        <v>0</v>
      </c>
      <c r="R1058" t="n">
        <v>0</v>
      </c>
      <c r="S1058" t="n">
        <v>1</v>
      </c>
      <c r="T1058" t="n">
        <v>1</v>
      </c>
      <c r="U1058" t="n">
        <v>1</v>
      </c>
      <c r="V1058" s="2" t="inlineStr">
        <is>
          <t>Grönsiska</t>
        </is>
      </c>
      <c r="W1058">
        <f>HYPERLINK("https://klasma.github.io/Logging_0883/artfynd/A 15161-2026 artfynd.xlsx", "A 15161-2026")</f>
        <v/>
      </c>
      <c r="X1058">
        <f>HYPERLINK("https://klasma.github.io/Logging_0883/kartor/A 15161-2026 karta.png", "A 15161-2026")</f>
        <v/>
      </c>
      <c r="Y1058">
        <f>HYPERLINK("https://klasma.github.io/Logging_0883/kartor_geotiff/A 15161-2026 georefererad karta.tif", "A 15161-2026")</f>
        <v/>
      </c>
      <c r="AA1058">
        <f>HYPERLINK("https://klasma.github.io/Logging_0883/klagomål/A 15161-2026 FSC-klagomål.docx", "A 15161-2026")</f>
        <v/>
      </c>
      <c r="AB1058">
        <f>HYPERLINK("https://klasma.github.io/Logging_0883/klagomålsmail/A 15161-2026 FSC-klagomål mail.docx", "A 15161-2026")</f>
        <v/>
      </c>
      <c r="AC1058">
        <f>HYPERLINK("https://klasma.github.io/Logging_0883/tillsyn/A 15161-2026 tillsynsbegäran.docx", "A 15161-2026")</f>
        <v/>
      </c>
      <c r="AD1058">
        <f>HYPERLINK("https://klasma.github.io/Logging_0883/tillsynsmail/A 15161-2026 tillsynsbegäran mail.docx", "A 15161-2026")</f>
        <v/>
      </c>
    </row>
    <row r="1059" ht="15" customHeight="1">
      <c r="A1059" t="inlineStr">
        <is>
          <t>A 4120-2026</t>
        </is>
      </c>
      <c r="B1059" t="inlineStr">
        <is>
          <t>avverkningsanmälan</t>
        </is>
      </c>
      <c r="C1059" t="inlineStr">
        <is>
          <t>Föryngringsavverkning</t>
        </is>
      </c>
      <c r="D1059" s="1" t="n">
        <v>46044</v>
      </c>
      <c r="E1059" s="1" t="n">
        <v>46323</v>
      </c>
      <c r="F1059" t="inlineStr">
        <is>
          <t>KALMAR LÄN</t>
        </is>
      </c>
      <c r="G1059" t="inlineStr">
        <is>
          <t>VÄSTERVIK</t>
        </is>
      </c>
      <c r="I1059" t="n">
        <v>4</v>
      </c>
      <c r="J1059" t="n">
        <v>1</v>
      </c>
      <c r="K1059" t="n">
        <v>0</v>
      </c>
      <c r="L1059" t="n">
        <v>0</v>
      </c>
      <c r="M1059" t="n">
        <v>0</v>
      </c>
      <c r="N1059" t="n">
        <v>0</v>
      </c>
      <c r="O1059" t="n">
        <v>0</v>
      </c>
      <c r="P1059" t="n">
        <v>0</v>
      </c>
      <c r="Q1059" t="n">
        <v>0</v>
      </c>
      <c r="R1059" t="n">
        <v>0</v>
      </c>
      <c r="S1059" t="n">
        <v>1</v>
      </c>
      <c r="T1059" t="n">
        <v>3</v>
      </c>
      <c r="U1059" t="n">
        <v>3</v>
      </c>
      <c r="V1059" s="2" t="inlineStr">
        <is>
          <t>Tjäder</t>
        </is>
      </c>
      <c r="W1059">
        <f>HYPERLINK("https://klasma.github.io/Logging_0883/artfynd/A 4120-2026 artfynd.xlsx", "A 4120-2026")</f>
        <v/>
      </c>
      <c r="X1059">
        <f>HYPERLINK("https://klasma.github.io/Logging_0883/kartor/A 4120-2026 karta.png", "A 4120-2026")</f>
        <v/>
      </c>
      <c r="Y1059">
        <f>HYPERLINK("https://klasma.github.io/Logging_0883/kartor_geotiff/A 4120-2026 georefererad karta.tif", "A 4120-2026")</f>
        <v/>
      </c>
      <c r="AA1059">
        <f>HYPERLINK("https://klasma.github.io/Logging_0883/klagomål/A 4120-2026 FSC-klagomål.docx", "A 4120-2026")</f>
        <v/>
      </c>
      <c r="AB1059">
        <f>HYPERLINK("https://klasma.github.io/Logging_0883/klagomålsmail/A 4120-2026 FSC-klagomål mail.docx", "A 4120-2026")</f>
        <v/>
      </c>
      <c r="AC1059">
        <f>HYPERLINK("https://klasma.github.io/Logging_0883/tillsyn/A 4120-2026 tillsynsbegäran.docx", "A 4120-2026")</f>
        <v/>
      </c>
      <c r="AD1059">
        <f>HYPERLINK("https://klasma.github.io/Logging_0883/tillsynsmail/A 4120-2026 tillsynsbegäran mail.docx", "A 4120-2026")</f>
        <v/>
      </c>
      <c r="AE1059">
        <f>HYPERLINK("https://klasma.github.io/Logging_0883/fåglar/A 4120-2026 prioriterade fågelarter.docx", "A 4120-2026")</f>
        <v/>
      </c>
    </row>
    <row r="1060" ht="15" customHeight="1">
      <c r="A1060" t="inlineStr">
        <is>
          <t>A 59871-2022</t>
        </is>
      </c>
      <c r="B1060" t="inlineStr">
        <is>
          <t>avverkningsanmälan</t>
        </is>
      </c>
      <c r="C1060" t="inlineStr">
        <is>
          <t>Föryngringsavverkning</t>
        </is>
      </c>
      <c r="D1060" s="1" t="n">
        <v>44908</v>
      </c>
      <c r="E1060" s="1" t="n">
        <v>46323</v>
      </c>
      <c r="F1060" t="inlineStr">
        <is>
          <t>KALMAR LÄN</t>
        </is>
      </c>
      <c r="G1060" t="inlineStr">
        <is>
          <t>VÄSTERVIK</t>
        </is>
      </c>
      <c r="H1060" t="inlineStr">
        <is>
          <t>Övriga Aktiebolag</t>
        </is>
      </c>
      <c r="I1060" t="n">
        <v>0.4</v>
      </c>
      <c r="J1060" t="n">
        <v>1</v>
      </c>
      <c r="K1060" t="n">
        <v>1</v>
      </c>
      <c r="L1060" t="n">
        <v>0</v>
      </c>
      <c r="M1060" t="n">
        <v>0</v>
      </c>
      <c r="N1060" t="n">
        <v>0</v>
      </c>
      <c r="O1060" t="n">
        <v>0</v>
      </c>
      <c r="P1060" t="n">
        <v>0</v>
      </c>
      <c r="Q1060" t="n">
        <v>0</v>
      </c>
      <c r="R1060" t="n">
        <v>0</v>
      </c>
      <c r="S1060" t="n">
        <v>1</v>
      </c>
      <c r="T1060" t="n">
        <v>1</v>
      </c>
      <c r="U1060" t="n">
        <v>0</v>
      </c>
      <c r="V1060" s="2" t="inlineStr">
        <is>
          <t>Grön sköldmossa</t>
        </is>
      </c>
      <c r="W1060">
        <f>HYPERLINK("https://klasma.github.io/Logging_0883/artfynd/A 59871-2022 artfynd.xlsx", "A 59871-2022")</f>
        <v/>
      </c>
      <c r="X1060">
        <f>HYPERLINK("https://klasma.github.io/Logging_0883/kartor/A 59871-2022 karta.png", "A 59871-2022")</f>
        <v/>
      </c>
      <c r="Y1060">
        <f>HYPERLINK("https://klasma.github.io/Logging_0883/kartor_geotiff/A 59871-2022 georefererad karta.tif", "A 59871-2022")</f>
        <v/>
      </c>
      <c r="AA1060">
        <f>HYPERLINK("https://klasma.github.io/Logging_0883/klagomål/A 59871-2022 FSC-klagomål.docx", "A 59871-2022")</f>
        <v/>
      </c>
      <c r="AB1060">
        <f>HYPERLINK("https://klasma.github.io/Logging_0883/klagomålsmail/A 59871-2022 FSC-klagomål mail.docx", "A 59871-2022")</f>
        <v/>
      </c>
      <c r="AC1060">
        <f>HYPERLINK("https://klasma.github.io/Logging_0883/tillsyn/A 59871-2022 tillsynsbegäran.docx", "A 59871-2022")</f>
        <v/>
      </c>
      <c r="AD1060">
        <f>HYPERLINK("https://klasma.github.io/Logging_0883/tillsynsmail/A 59871-2022 tillsynsbegäran mail.docx", "A 59871-2022")</f>
        <v/>
      </c>
    </row>
    <row r="1061" ht="15" customHeight="1">
      <c r="A1061" t="inlineStr">
        <is>
          <t>A 61790-2022</t>
        </is>
      </c>
      <c r="B1061" t="inlineStr">
        <is>
          <t>avverkningsanmälan</t>
        </is>
      </c>
      <c r="C1061" t="inlineStr">
        <is>
          <t>Föryngringsavverkning</t>
        </is>
      </c>
      <c r="D1061" s="1" t="n">
        <v>44917</v>
      </c>
      <c r="E1061" s="1" t="n">
        <v>46323</v>
      </c>
      <c r="F1061" t="inlineStr">
        <is>
          <t>KALMAR LÄN</t>
        </is>
      </c>
      <c r="G1061" t="inlineStr">
        <is>
          <t>NYBRO</t>
        </is>
      </c>
      <c r="H1061" t="inlineStr">
        <is>
          <t>Kommuner</t>
        </is>
      </c>
      <c r="I1061" t="n">
        <v>3.7</v>
      </c>
      <c r="J1061" t="n">
        <v>0</v>
      </c>
      <c r="K1061" t="n">
        <v>1</v>
      </c>
      <c r="L1061" t="n">
        <v>0</v>
      </c>
      <c r="M1061" t="n">
        <v>0</v>
      </c>
      <c r="N1061" t="n">
        <v>0</v>
      </c>
      <c r="O1061" t="n">
        <v>0</v>
      </c>
      <c r="P1061" t="n">
        <v>0</v>
      </c>
      <c r="Q1061" t="n">
        <v>0</v>
      </c>
      <c r="R1061" t="n">
        <v>0</v>
      </c>
      <c r="S1061" t="n">
        <v>1</v>
      </c>
      <c r="T1061" t="n">
        <v>1</v>
      </c>
      <c r="U1061" t="n">
        <v>0</v>
      </c>
      <c r="V1061" s="2" t="inlineStr">
        <is>
          <t>Grönpyrola</t>
        </is>
      </c>
      <c r="W1061">
        <f>HYPERLINK("https://klasma.github.io/Logging_0881/artfynd/A 61790-2022 artfynd.xlsx", "A 61790-2022")</f>
        <v/>
      </c>
      <c r="X1061">
        <f>HYPERLINK("https://klasma.github.io/Logging_0881/kartor/A 61790-2022 karta.png", "A 61790-2022")</f>
        <v/>
      </c>
      <c r="Y1061">
        <f>HYPERLINK("https://klasma.github.io/Logging_0881/kartor_geotiff/A 61790-2022 georefererad karta.tif", "A 61790-2022")</f>
        <v/>
      </c>
      <c r="AA1061">
        <f>HYPERLINK("https://klasma.github.io/Logging_0881/klagomål/A 61790-2022 FSC-klagomål.docx", "A 61790-2022")</f>
        <v/>
      </c>
      <c r="AB1061">
        <f>HYPERLINK("https://klasma.github.io/Logging_0881/klagomålsmail/A 61790-2022 FSC-klagomål mail.docx", "A 61790-2022")</f>
        <v/>
      </c>
      <c r="AC1061">
        <f>HYPERLINK("https://klasma.github.io/Logging_0881/tillsyn/A 61790-2022 tillsynsbegäran.docx", "A 61790-2022")</f>
        <v/>
      </c>
      <c r="AD1061">
        <f>HYPERLINK("https://klasma.github.io/Logging_0881/tillsynsmail/A 61790-2022 tillsynsbegäran mail.docx", "A 61790-2022")</f>
        <v/>
      </c>
    </row>
    <row r="1062" ht="15" customHeight="1">
      <c r="A1062" t="inlineStr">
        <is>
          <t>A 4963-2025</t>
        </is>
      </c>
      <c r="B1062" t="inlineStr">
        <is>
          <t>avverkningsanmälan</t>
        </is>
      </c>
      <c r="C1062" t="inlineStr">
        <is>
          <t>Föryngringsavverkning</t>
        </is>
      </c>
      <c r="D1062" s="1" t="n">
        <v>45690</v>
      </c>
      <c r="E1062" s="1" t="n">
        <v>46323</v>
      </c>
      <c r="F1062" t="inlineStr">
        <is>
          <t>KALMAR LÄN</t>
        </is>
      </c>
      <c r="G1062" t="inlineStr">
        <is>
          <t>HULTSFRED</t>
        </is>
      </c>
      <c r="H1062" t="inlineStr">
        <is>
          <t>Sveaskog</t>
        </is>
      </c>
      <c r="I1062" t="n">
        <v>5.1</v>
      </c>
      <c r="J1062" t="n">
        <v>1</v>
      </c>
      <c r="K1062" t="n">
        <v>0</v>
      </c>
      <c r="L1062" t="n">
        <v>0</v>
      </c>
      <c r="M1062" t="n">
        <v>0</v>
      </c>
      <c r="N1062" t="n">
        <v>0</v>
      </c>
      <c r="O1062" t="n">
        <v>0</v>
      </c>
      <c r="P1062" t="n">
        <v>0</v>
      </c>
      <c r="Q1062" t="n">
        <v>0</v>
      </c>
      <c r="R1062" t="n">
        <v>0</v>
      </c>
      <c r="S1062" t="n">
        <v>1</v>
      </c>
      <c r="T1062" t="n">
        <v>1</v>
      </c>
      <c r="U1062" t="n">
        <v>0</v>
      </c>
      <c r="V1062" s="2" t="inlineStr">
        <is>
          <t>Spillkråka</t>
        </is>
      </c>
      <c r="W1062">
        <f>HYPERLINK("https://klasma.github.io/Logging_0860/artfynd/A 4963-2025 artfynd.xlsx", "A 4963-2025")</f>
        <v/>
      </c>
      <c r="X1062">
        <f>HYPERLINK("https://klasma.github.io/Logging_0860/kartor/A 4963-2025 karta.png", "A 4963-2025")</f>
        <v/>
      </c>
      <c r="Y1062">
        <f>HYPERLINK("https://klasma.github.io/Logging_0860/kartor_geotiff/A 4963-2025 georefererad karta.tif", "A 4963-2025")</f>
        <v/>
      </c>
      <c r="AA1062">
        <f>HYPERLINK("https://klasma.github.io/Logging_0860/klagomål/A 4963-2025 FSC-klagomål.docx", "A 4963-2025")</f>
        <v/>
      </c>
      <c r="AB1062">
        <f>HYPERLINK("https://klasma.github.io/Logging_0860/klagomålsmail/A 4963-2025 FSC-klagomål mail.docx", "A 4963-2025")</f>
        <v/>
      </c>
      <c r="AC1062">
        <f>HYPERLINK("https://klasma.github.io/Logging_0860/tillsyn/A 4963-2025 tillsynsbegäran.docx", "A 4963-2025")</f>
        <v/>
      </c>
      <c r="AD1062">
        <f>HYPERLINK("https://klasma.github.io/Logging_0860/tillsynsmail/A 4963-2025 tillsynsbegäran mail.docx", "A 4963-2025")</f>
        <v/>
      </c>
      <c r="AE1062">
        <f>HYPERLINK("https://klasma.github.io/Logging_0860/fåglar/A 4963-2025 prioriterade fågelarter.docx", "A 4963-2025")</f>
        <v/>
      </c>
    </row>
    <row r="1063" ht="15" customHeight="1">
      <c r="A1063" t="inlineStr">
        <is>
          <t>A 16161-2026</t>
        </is>
      </c>
      <c r="B1063" t="inlineStr">
        <is>
          <t>avverkningsanmälan</t>
        </is>
      </c>
      <c r="C1063" t="inlineStr">
        <is>
          <t>Föryngringsavverkning</t>
        </is>
      </c>
      <c r="D1063" s="1" t="n">
        <v>46109</v>
      </c>
      <c r="E1063" s="1" t="n">
        <v>46323</v>
      </c>
      <c r="F1063" t="inlineStr">
        <is>
          <t>KALMAR LÄN</t>
        </is>
      </c>
      <c r="G1063" t="inlineStr">
        <is>
          <t>NYBRO</t>
        </is>
      </c>
      <c r="I1063" t="n">
        <v>6.1</v>
      </c>
      <c r="J1063" t="n">
        <v>1</v>
      </c>
      <c r="K1063" t="n">
        <v>0</v>
      </c>
      <c r="L1063" t="n">
        <v>0</v>
      </c>
      <c r="M1063" t="n">
        <v>0</v>
      </c>
      <c r="N1063" t="n">
        <v>1</v>
      </c>
      <c r="O1063" t="n">
        <v>0</v>
      </c>
      <c r="P1063" t="n">
        <v>0</v>
      </c>
      <c r="Q1063" t="n">
        <v>1</v>
      </c>
      <c r="R1063" t="n">
        <v>1</v>
      </c>
      <c r="S1063" t="n">
        <v>1</v>
      </c>
      <c r="T1063" t="n">
        <v>2</v>
      </c>
      <c r="U1063" t="n">
        <v>0</v>
      </c>
      <c r="V1063" s="2" t="inlineStr">
        <is>
          <t>Mosippa</t>
        </is>
      </c>
      <c r="W1063">
        <f>HYPERLINK("https://klasma.github.io/Logging_0881/artfynd/A 16161-2026 artfynd.xlsx", "A 16161-2026")</f>
        <v/>
      </c>
      <c r="X1063">
        <f>HYPERLINK("https://klasma.github.io/Logging_0881/kartor/A 16161-2026 karta.png", "A 16161-2026")</f>
        <v/>
      </c>
      <c r="Y1063">
        <f>HYPERLINK("https://klasma.github.io/Logging_0881/kartor_geotiff/A 16161-2026 georefererad karta.tif", "A 16161-2026")</f>
        <v/>
      </c>
      <c r="AA1063">
        <f>HYPERLINK("https://klasma.github.io/Logging_0881/klagomål/A 16161-2026 FSC-klagomål.docx", "A 16161-2026")</f>
        <v/>
      </c>
      <c r="AB1063">
        <f>HYPERLINK("https://klasma.github.io/Logging_0881/klagomålsmail/A 16161-2026 FSC-klagomål mail.docx", "A 16161-2026")</f>
        <v/>
      </c>
      <c r="AC1063">
        <f>HYPERLINK("https://klasma.github.io/Logging_0881/tillsyn/A 16161-2026 tillsynsbegäran.docx", "A 16161-2026")</f>
        <v/>
      </c>
      <c r="AD1063">
        <f>HYPERLINK("https://klasma.github.io/Logging_0881/tillsynsmail/A 16161-2026 tillsynsbegäran mail.docx", "A 16161-2026")</f>
        <v/>
      </c>
    </row>
    <row r="1064" ht="15" customHeight="1">
      <c r="A1064" t="inlineStr">
        <is>
          <t>A 40792-2026</t>
        </is>
      </c>
      <c r="B1064" t="inlineStr">
        <is>
          <t>avverkningsanmälan</t>
        </is>
      </c>
      <c r="C1064" t="inlineStr">
        <is>
          <t>Föryngringsavverkning</t>
        </is>
      </c>
      <c r="D1064" s="1" t="n">
        <v>46296</v>
      </c>
      <c r="E1064" s="1" t="n">
        <v>46323</v>
      </c>
      <c r="F1064" t="inlineStr">
        <is>
          <t>KALMAR LÄN</t>
        </is>
      </c>
      <c r="G1064" t="inlineStr">
        <is>
          <t>VIMMERBY</t>
        </is>
      </c>
      <c r="H1064" t="inlineStr">
        <is>
          <t>Kyrkan</t>
        </is>
      </c>
      <c r="I1064" t="n">
        <v>14.2</v>
      </c>
      <c r="J1064" t="n">
        <v>1</v>
      </c>
      <c r="K1064" t="n">
        <v>1</v>
      </c>
      <c r="L1064" t="n">
        <v>0</v>
      </c>
      <c r="M1064" t="n">
        <v>0</v>
      </c>
      <c r="N1064" t="n">
        <v>0</v>
      </c>
      <c r="O1064" t="n">
        <v>0</v>
      </c>
      <c r="P1064" t="n">
        <v>0</v>
      </c>
      <c r="Q1064" t="n">
        <v>0</v>
      </c>
      <c r="R1064" t="n">
        <v>0</v>
      </c>
      <c r="S1064" t="n">
        <v>1</v>
      </c>
      <c r="T1064" t="n">
        <v>1</v>
      </c>
      <c r="U1064" t="n">
        <v>0</v>
      </c>
      <c r="V1064" s="2" t="inlineStr">
        <is>
          <t>Plattlummer</t>
        </is>
      </c>
      <c r="W1064">
        <f>HYPERLINK("https://klasma.github.io/Logging_0884/artfynd/A 40792-2026 artfynd.xlsx", "A 40792-2026")</f>
        <v/>
      </c>
      <c r="X1064">
        <f>HYPERLINK("https://klasma.github.io/Logging_0884/kartor/A 40792-2026 karta.png", "A 40792-2026")</f>
        <v/>
      </c>
      <c r="Y1064">
        <f>HYPERLINK("https://klasma.github.io/Logging_0884/kartor_geotiff/A 40792-2026 georefererad karta.tif", "A 40792-2026")</f>
        <v/>
      </c>
      <c r="AA1064">
        <f>HYPERLINK("https://klasma.github.io/Logging_0884/klagomål/A 40792-2026 FSC-klagomål.docx", "A 40792-2026")</f>
        <v/>
      </c>
      <c r="AB1064">
        <f>HYPERLINK("https://klasma.github.io/Logging_0884/klagomålsmail/A 40792-2026 FSC-klagomål mail.docx", "A 40792-2026")</f>
        <v/>
      </c>
      <c r="AC1064">
        <f>HYPERLINK("https://klasma.github.io/Logging_0884/tillsyn/A 40792-2026 tillsynsbegäran.docx", "A 40792-2026")</f>
        <v/>
      </c>
      <c r="AD1064">
        <f>HYPERLINK("https://klasma.github.io/Logging_0884/tillsynsmail/A 40792-2026 tillsynsbegäran mail.docx", "A 40792-2026")</f>
        <v/>
      </c>
    </row>
    <row r="1065" ht="15" customHeight="1">
      <c r="A1065" t="inlineStr">
        <is>
          <t>A 33784-2026</t>
        </is>
      </c>
      <c r="B1065" t="inlineStr">
        <is>
          <t>avverkningsanmälan</t>
        </is>
      </c>
      <c r="C1065" t="inlineStr">
        <is>
          <t>Föryngringsavverkning</t>
        </is>
      </c>
      <c r="D1065" s="1" t="n">
        <v>46251</v>
      </c>
      <c r="E1065" s="1" t="n">
        <v>46323</v>
      </c>
      <c r="F1065" t="inlineStr">
        <is>
          <t>KALMAR LÄN</t>
        </is>
      </c>
      <c r="G1065" t="inlineStr">
        <is>
          <t>HÖGSBY</t>
        </is>
      </c>
      <c r="H1065" t="inlineStr">
        <is>
          <t>Sveaskog</t>
        </is>
      </c>
      <c r="I1065" t="n">
        <v>8.699999999999999</v>
      </c>
      <c r="J1065" t="n">
        <v>1</v>
      </c>
      <c r="K1065" t="n">
        <v>0</v>
      </c>
      <c r="L1065" t="n">
        <v>0</v>
      </c>
      <c r="M1065" t="n">
        <v>0</v>
      </c>
      <c r="N1065" t="n">
        <v>0</v>
      </c>
      <c r="O1065" t="n">
        <v>0</v>
      </c>
      <c r="P1065" t="n">
        <v>0</v>
      </c>
      <c r="Q1065" t="n">
        <v>0</v>
      </c>
      <c r="R1065" t="n">
        <v>0</v>
      </c>
      <c r="S1065" t="n">
        <v>1</v>
      </c>
      <c r="T1065" t="n">
        <v>1</v>
      </c>
      <c r="U1065" t="n">
        <v>0</v>
      </c>
      <c r="V1065" s="2" t="inlineStr">
        <is>
          <t>Tjäder</t>
        </is>
      </c>
      <c r="W1065">
        <f>HYPERLINK("https://klasma.github.io/Logging_0821/artfynd/A 33784-2026 artfynd.xlsx", "A 33784-2026")</f>
        <v/>
      </c>
      <c r="X1065">
        <f>HYPERLINK("https://klasma.github.io/Logging_0821/kartor/A 33784-2026 karta.png", "A 33784-2026")</f>
        <v/>
      </c>
      <c r="Y1065">
        <f>HYPERLINK("https://klasma.github.io/Logging_0821/kartor_geotiff/A 33784-2026 georefererad karta.tif", "A 33784-2026")</f>
        <v/>
      </c>
      <c r="AA1065">
        <f>HYPERLINK("https://klasma.github.io/Logging_0821/klagomål/A 33784-2026 FSC-klagomål.docx", "A 33784-2026")</f>
        <v/>
      </c>
      <c r="AB1065">
        <f>HYPERLINK("https://klasma.github.io/Logging_0821/klagomålsmail/A 33784-2026 FSC-klagomål mail.docx", "A 33784-2026")</f>
        <v/>
      </c>
      <c r="AC1065">
        <f>HYPERLINK("https://klasma.github.io/Logging_0821/tillsyn/A 33784-2026 tillsynsbegäran.docx", "A 33784-2026")</f>
        <v/>
      </c>
      <c r="AD1065">
        <f>HYPERLINK("https://klasma.github.io/Logging_0821/tillsynsmail/A 33784-2026 tillsynsbegäran mail.docx", "A 33784-2026")</f>
        <v/>
      </c>
      <c r="AE1065">
        <f>HYPERLINK("https://klasma.github.io/Logging_0821/fåglar/A 33784-2026 prioriterade fågelarter.docx", "A 33784-2026")</f>
        <v/>
      </c>
    </row>
    <row r="1066" ht="15" customHeight="1">
      <c r="A1066" t="inlineStr">
        <is>
          <t>A 16467-2026</t>
        </is>
      </c>
      <c r="B1066" t="inlineStr">
        <is>
          <t>avverkningsanmälan</t>
        </is>
      </c>
      <c r="C1066" t="inlineStr">
        <is>
          <t>Föryngringsavverkning</t>
        </is>
      </c>
      <c r="D1066" s="1" t="n">
        <v>46112</v>
      </c>
      <c r="E1066" s="1" t="n">
        <v>46323</v>
      </c>
      <c r="F1066" t="inlineStr">
        <is>
          <t>KALMAR LÄN</t>
        </is>
      </c>
      <c r="G1066" t="inlineStr">
        <is>
          <t>TORSÅS</t>
        </is>
      </c>
      <c r="I1066" t="n">
        <v>2.3</v>
      </c>
      <c r="J1066" t="n">
        <v>0</v>
      </c>
      <c r="K1066" t="n">
        <v>0</v>
      </c>
      <c r="L1066" t="n">
        <v>1</v>
      </c>
      <c r="M1066" t="n">
        <v>0</v>
      </c>
      <c r="N1066" t="n">
        <v>0</v>
      </c>
      <c r="O1066" t="n">
        <v>0</v>
      </c>
      <c r="P1066" t="n">
        <v>0</v>
      </c>
      <c r="Q1066" t="n">
        <v>1</v>
      </c>
      <c r="R1066" t="n">
        <v>0</v>
      </c>
      <c r="S1066" t="n">
        <v>1</v>
      </c>
      <c r="T1066" t="n">
        <v>1</v>
      </c>
      <c r="U1066" t="n">
        <v>0</v>
      </c>
      <c r="V1066" s="2" t="inlineStr">
        <is>
          <t>Svinrot</t>
        </is>
      </c>
      <c r="W1066">
        <f>HYPERLINK("https://klasma.github.io/Logging_0834/artfynd/A 16467-2026 artfynd.xlsx", "A 16467-2026")</f>
        <v/>
      </c>
      <c r="X1066">
        <f>HYPERLINK("https://klasma.github.io/Logging_0834/kartor/A 16467-2026 karta.png", "A 16467-2026")</f>
        <v/>
      </c>
      <c r="Y1066">
        <f>HYPERLINK("https://klasma.github.io/Logging_0834/kartor_geotiff/A 16467-2026 georefererad karta.tif", "A 16467-2026")</f>
        <v/>
      </c>
      <c r="AA1066">
        <f>HYPERLINK("https://klasma.github.io/Logging_0834/klagomål/A 16467-2026 FSC-klagomål.docx", "A 16467-2026")</f>
        <v/>
      </c>
      <c r="AB1066">
        <f>HYPERLINK("https://klasma.github.io/Logging_0834/klagomålsmail/A 16467-2026 FSC-klagomål mail.docx", "A 16467-2026")</f>
        <v/>
      </c>
      <c r="AC1066">
        <f>HYPERLINK("https://klasma.github.io/Logging_0834/tillsyn/A 16467-2026 tillsynsbegäran.docx", "A 16467-2026")</f>
        <v/>
      </c>
      <c r="AD1066">
        <f>HYPERLINK("https://klasma.github.io/Logging_0834/tillsynsmail/A 16467-2026 tillsynsbegäran mail.docx", "A 16467-2026")</f>
        <v/>
      </c>
    </row>
    <row r="1067" ht="15" customHeight="1">
      <c r="A1067" t="inlineStr">
        <is>
          <t>A 16881-2025</t>
        </is>
      </c>
      <c r="B1067" t="inlineStr">
        <is>
          <t>avverkningsanmälan</t>
        </is>
      </c>
      <c r="C1067" t="inlineStr">
        <is>
          <t>Avverkning för att bevara och utveckla /försöksver</t>
        </is>
      </c>
      <c r="D1067" s="1" t="n">
        <v>45755</v>
      </c>
      <c r="E1067" s="1" t="n">
        <v>46323</v>
      </c>
      <c r="F1067" t="inlineStr">
        <is>
          <t>KALMAR LÄN</t>
        </is>
      </c>
      <c r="G1067" t="inlineStr">
        <is>
          <t>HULTSFRED</t>
        </is>
      </c>
      <c r="H1067" t="inlineStr">
        <is>
          <t>Sveaskog</t>
        </is>
      </c>
      <c r="I1067" t="n">
        <v>3.3</v>
      </c>
      <c r="J1067" t="n">
        <v>1</v>
      </c>
      <c r="K1067" t="n">
        <v>0</v>
      </c>
      <c r="L1067" t="n">
        <v>1</v>
      </c>
      <c r="M1067" t="n">
        <v>0</v>
      </c>
      <c r="N1067" t="n">
        <v>0</v>
      </c>
      <c r="O1067" t="n">
        <v>0</v>
      </c>
      <c r="P1067" t="n">
        <v>0</v>
      </c>
      <c r="Q1067" t="n">
        <v>1</v>
      </c>
      <c r="R1067" t="n">
        <v>0</v>
      </c>
      <c r="S1067" t="n">
        <v>1</v>
      </c>
      <c r="T1067" t="n">
        <v>1</v>
      </c>
      <c r="U1067" t="n">
        <v>0</v>
      </c>
      <c r="V1067" s="2" t="inlineStr">
        <is>
          <t>Enkelbeckasin</t>
        </is>
      </c>
      <c r="W1067">
        <f>HYPERLINK("https://klasma.github.io/Logging_0860/artfynd/A 16881-2025 artfynd.xlsx", "A 16881-2025")</f>
        <v/>
      </c>
      <c r="X1067">
        <f>HYPERLINK("https://klasma.github.io/Logging_0860/kartor/A 16881-2025 karta.png", "A 16881-2025")</f>
        <v/>
      </c>
      <c r="Y1067">
        <f>HYPERLINK("https://klasma.github.io/Logging_0860/kartor_geotiff/A 16881-2025 georefererad karta.tif", "A 16881-2025")</f>
        <v/>
      </c>
      <c r="AA1067">
        <f>HYPERLINK("https://klasma.github.io/Logging_0860/klagomål/A 16881-2025 FSC-klagomål.docx", "A 16881-2025")</f>
        <v/>
      </c>
      <c r="AB1067">
        <f>HYPERLINK("https://klasma.github.io/Logging_0860/klagomålsmail/A 16881-2025 FSC-klagomål mail.docx", "A 16881-2025")</f>
        <v/>
      </c>
      <c r="AC1067">
        <f>HYPERLINK("https://klasma.github.io/Logging_0860/tillsyn/A 16881-2025 tillsynsbegäran.docx", "A 16881-2025")</f>
        <v/>
      </c>
      <c r="AD1067">
        <f>HYPERLINK("https://klasma.github.io/Logging_0860/tillsynsmail/A 16881-2025 tillsynsbegäran mail.docx", "A 16881-2025")</f>
        <v/>
      </c>
      <c r="AE1067">
        <f>HYPERLINK("https://klasma.github.io/Logging_0860/fåglar/A 16881-2025 prioriterade fågelarter.docx", "A 16881-2025")</f>
        <v/>
      </c>
    </row>
    <row r="1068" ht="15" customHeight="1">
      <c r="A1068" t="inlineStr">
        <is>
          <t>A 17343-2026</t>
        </is>
      </c>
      <c r="B1068" t="inlineStr">
        <is>
          <t>avverkningsanmälan</t>
        </is>
      </c>
      <c r="C1068" t="inlineStr">
        <is>
          <t>Föryngringsavverkning</t>
        </is>
      </c>
      <c r="D1068" s="1" t="n">
        <v>46119</v>
      </c>
      <c r="E1068" s="1" t="n">
        <v>46323</v>
      </c>
      <c r="F1068" t="inlineStr">
        <is>
          <t>KALMAR LÄN</t>
        </is>
      </c>
      <c r="G1068" t="inlineStr">
        <is>
          <t>KALMAR</t>
        </is>
      </c>
      <c r="I1068" t="n">
        <v>5.1</v>
      </c>
      <c r="J1068" t="n">
        <v>0</v>
      </c>
      <c r="K1068" t="n">
        <v>0</v>
      </c>
      <c r="L1068" t="n">
        <v>0</v>
      </c>
      <c r="M1068" t="n">
        <v>1</v>
      </c>
      <c r="N1068" t="n">
        <v>0</v>
      </c>
      <c r="O1068" t="n">
        <v>0</v>
      </c>
      <c r="P1068" t="n">
        <v>0</v>
      </c>
      <c r="Q1068" t="n">
        <v>1</v>
      </c>
      <c r="R1068" t="n">
        <v>1</v>
      </c>
      <c r="S1068" t="n">
        <v>1</v>
      </c>
      <c r="T1068" t="n">
        <v>1</v>
      </c>
      <c r="U1068" t="n">
        <v>0</v>
      </c>
      <c r="V1068" s="2" t="inlineStr">
        <is>
          <t>Igelkott</t>
        </is>
      </c>
      <c r="W1068">
        <f>HYPERLINK("https://klasma.github.io/Logging_0880/artfynd/A 17343-2026 artfynd.xlsx", "A 17343-2026")</f>
        <v/>
      </c>
      <c r="X1068">
        <f>HYPERLINK("https://klasma.github.io/Logging_0880/kartor/A 17343-2026 karta.png", "A 17343-2026")</f>
        <v/>
      </c>
      <c r="Y1068">
        <f>HYPERLINK("https://klasma.github.io/Logging_0880/kartor_geotiff/A 17343-2026 georefererad karta.tif", "A 17343-2026")</f>
        <v/>
      </c>
      <c r="AA1068">
        <f>HYPERLINK("https://klasma.github.io/Logging_0880/klagomål/A 17343-2026 FSC-klagomål.docx", "A 17343-2026")</f>
        <v/>
      </c>
      <c r="AB1068">
        <f>HYPERLINK("https://klasma.github.io/Logging_0880/klagomålsmail/A 17343-2026 FSC-klagomål mail.docx", "A 17343-2026")</f>
        <v/>
      </c>
      <c r="AC1068">
        <f>HYPERLINK("https://klasma.github.io/Logging_0880/tillsyn/A 17343-2026 tillsynsbegäran.docx", "A 17343-2026")</f>
        <v/>
      </c>
      <c r="AD1068">
        <f>HYPERLINK("https://klasma.github.io/Logging_0880/tillsynsmail/A 17343-2026 tillsynsbegäran mail.docx", "A 17343-2026")</f>
        <v/>
      </c>
    </row>
    <row r="1069" ht="15" customHeight="1">
      <c r="A1069" t="inlineStr">
        <is>
          <t>A 41217-2026</t>
        </is>
      </c>
      <c r="B1069" t="inlineStr">
        <is>
          <t>avverkningsanmälan</t>
        </is>
      </c>
      <c r="C1069" t="inlineStr">
        <is>
          <t>Föryngringsavverkning</t>
        </is>
      </c>
      <c r="D1069" s="1" t="n">
        <v>46300</v>
      </c>
      <c r="E1069" s="1" t="n">
        <v>46323</v>
      </c>
      <c r="F1069" t="inlineStr">
        <is>
          <t>KALMAR LÄN</t>
        </is>
      </c>
      <c r="G1069" t="inlineStr">
        <is>
          <t>KALMAR</t>
        </is>
      </c>
      <c r="I1069" t="n">
        <v>1.7</v>
      </c>
      <c r="J1069" t="n">
        <v>0</v>
      </c>
      <c r="K1069" t="n">
        <v>0</v>
      </c>
      <c r="L1069" t="n">
        <v>1</v>
      </c>
      <c r="M1069" t="n">
        <v>0</v>
      </c>
      <c r="N1069" t="n">
        <v>0</v>
      </c>
      <c r="O1069" t="n">
        <v>0</v>
      </c>
      <c r="P1069" t="n">
        <v>0</v>
      </c>
      <c r="Q1069" t="n">
        <v>1</v>
      </c>
      <c r="R1069" t="n">
        <v>0</v>
      </c>
      <c r="S1069" t="n">
        <v>1</v>
      </c>
      <c r="T1069" t="n">
        <v>1</v>
      </c>
      <c r="U1069" t="n">
        <v>1</v>
      </c>
      <c r="V1069" s="2" t="inlineStr">
        <is>
          <t>Fjällig taggsvamp s.str.</t>
        </is>
      </c>
      <c r="W1069">
        <f>HYPERLINK("https://klasma.github.io/Logging_0880/artfynd/A 41217-2026 artfynd.xlsx", "A 41217-2026")</f>
        <v/>
      </c>
      <c r="X1069">
        <f>HYPERLINK("https://klasma.github.io/Logging_0880/kartor/A 41217-2026 karta.png", "A 41217-2026")</f>
        <v/>
      </c>
      <c r="Y1069">
        <f>HYPERLINK("https://klasma.github.io/Logging_0880/kartor_geotiff/A 41217-2026 georefererad karta.tif", "A 41217-2026")</f>
        <v/>
      </c>
      <c r="AA1069">
        <f>HYPERLINK("https://klasma.github.io/Logging_0880/klagomål/A 41217-2026 FSC-klagomål.docx", "A 41217-2026")</f>
        <v/>
      </c>
      <c r="AB1069">
        <f>HYPERLINK("https://klasma.github.io/Logging_0880/klagomålsmail/A 41217-2026 FSC-klagomål mail.docx", "A 41217-2026")</f>
        <v/>
      </c>
      <c r="AC1069">
        <f>HYPERLINK("https://klasma.github.io/Logging_0880/tillsyn/A 41217-2026 tillsynsbegäran.docx", "A 41217-2026")</f>
        <v/>
      </c>
      <c r="AD1069">
        <f>HYPERLINK("https://klasma.github.io/Logging_0880/tillsynsmail/A 41217-2026 tillsynsbegäran mail.docx", "A 41217-2026")</f>
        <v/>
      </c>
    </row>
    <row r="1070" ht="15" customHeight="1">
      <c r="A1070" t="inlineStr">
        <is>
          <t>A 41180-2026</t>
        </is>
      </c>
      <c r="B1070" t="inlineStr">
        <is>
          <t>avverkningsanmälan</t>
        </is>
      </c>
      <c r="C1070" t="inlineStr">
        <is>
          <t>Avverkning för annat ändamål</t>
        </is>
      </c>
      <c r="D1070" s="1" t="n">
        <v>46300</v>
      </c>
      <c r="E1070" s="1" t="n">
        <v>46323</v>
      </c>
      <c r="F1070" t="inlineStr">
        <is>
          <t>KALMAR LÄN</t>
        </is>
      </c>
      <c r="G1070" t="inlineStr">
        <is>
          <t>VIMMERBY</t>
        </is>
      </c>
      <c r="I1070" t="n">
        <v>0.5</v>
      </c>
      <c r="J1070" t="n">
        <v>1</v>
      </c>
      <c r="K1070" t="n">
        <v>0</v>
      </c>
      <c r="L1070" t="n">
        <v>1</v>
      </c>
      <c r="M1070" t="n">
        <v>0</v>
      </c>
      <c r="N1070" t="n">
        <v>0</v>
      </c>
      <c r="O1070" t="n">
        <v>0</v>
      </c>
      <c r="P1070" t="n">
        <v>0</v>
      </c>
      <c r="Q1070" t="n">
        <v>1</v>
      </c>
      <c r="R1070" t="n">
        <v>0</v>
      </c>
      <c r="S1070" t="n">
        <v>1</v>
      </c>
      <c r="T1070" t="n">
        <v>1</v>
      </c>
      <c r="U1070" t="n">
        <v>0</v>
      </c>
      <c r="V1070" s="2" t="inlineStr">
        <is>
          <t>Järnsparv</t>
        </is>
      </c>
      <c r="W1070">
        <f>HYPERLINK("https://klasma.github.io/Logging_0884/artfynd/A 41180-2026 artfynd.xlsx", "A 41180-2026")</f>
        <v/>
      </c>
      <c r="X1070">
        <f>HYPERLINK("https://klasma.github.io/Logging_0884/kartor/A 41180-2026 karta.png", "A 41180-2026")</f>
        <v/>
      </c>
      <c r="Y1070">
        <f>HYPERLINK("https://klasma.github.io/Logging_0884/kartor_geotiff/A 41180-2026 georefererad karta.tif", "A 41180-2026")</f>
        <v/>
      </c>
      <c r="AA1070">
        <f>HYPERLINK("https://klasma.github.io/Logging_0884/klagomål/A 41180-2026 FSC-klagomål.docx", "A 41180-2026")</f>
        <v/>
      </c>
      <c r="AB1070">
        <f>HYPERLINK("https://klasma.github.io/Logging_0884/klagomålsmail/A 41180-2026 FSC-klagomål mail.docx", "A 41180-2026")</f>
        <v/>
      </c>
      <c r="AC1070">
        <f>HYPERLINK("https://klasma.github.io/Logging_0884/tillsyn/A 41180-2026 tillsynsbegäran.docx", "A 41180-2026")</f>
        <v/>
      </c>
      <c r="AD1070">
        <f>HYPERLINK("https://klasma.github.io/Logging_0884/tillsynsmail/A 41180-2026 tillsynsbegäran mail.docx", "A 41180-2026")</f>
        <v/>
      </c>
      <c r="AE1070">
        <f>HYPERLINK("https://klasma.github.io/Logging_0884/fåglar/A 41180-2026 prioriterade fågelarter.docx", "A 41180-2026")</f>
        <v/>
      </c>
    </row>
    <row r="1071" ht="15" customHeight="1">
      <c r="A1071" t="inlineStr">
        <is>
          <t>A 19867-2024</t>
        </is>
      </c>
      <c r="B1071" t="inlineStr">
        <is>
          <t>avverkningsanmälan</t>
        </is>
      </c>
      <c r="C1071" t="inlineStr">
        <is>
          <t>Föryngringsavverkning</t>
        </is>
      </c>
      <c r="D1071" s="1" t="n">
        <v>45433</v>
      </c>
      <c r="E1071" s="1" t="n">
        <v>46323</v>
      </c>
      <c r="F1071" t="inlineStr">
        <is>
          <t>KALMAR LÄN</t>
        </is>
      </c>
      <c r="G1071" t="inlineStr">
        <is>
          <t>BORGHOLM</t>
        </is>
      </c>
      <c r="I1071" t="n">
        <v>3.9</v>
      </c>
      <c r="J1071" t="n">
        <v>0</v>
      </c>
      <c r="K1071" t="n">
        <v>0</v>
      </c>
      <c r="L1071" t="n">
        <v>1</v>
      </c>
      <c r="M1071" t="n">
        <v>0</v>
      </c>
      <c r="N1071" t="n">
        <v>0</v>
      </c>
      <c r="O1071" t="n">
        <v>0</v>
      </c>
      <c r="P1071" t="n">
        <v>0</v>
      </c>
      <c r="Q1071" t="n">
        <v>1</v>
      </c>
      <c r="R1071" t="n">
        <v>0</v>
      </c>
      <c r="S1071" t="n">
        <v>1</v>
      </c>
      <c r="T1071" t="n">
        <v>1</v>
      </c>
      <c r="U1071" t="n">
        <v>1</v>
      </c>
      <c r="V1071" s="2" t="inlineStr">
        <is>
          <t>Åkerkulla</t>
        </is>
      </c>
      <c r="W1071">
        <f>HYPERLINK("https://klasma.github.io/Logging_0885/artfynd/A 19867-2024 artfynd.xlsx", "A 19867-2024")</f>
        <v/>
      </c>
      <c r="X1071">
        <f>HYPERLINK("https://klasma.github.io/Logging_0885/kartor/A 19867-2024 karta.png", "A 19867-2024")</f>
        <v/>
      </c>
      <c r="Y1071">
        <f>HYPERLINK("https://klasma.github.io/Logging_0885/kartor_geotiff/A 19867-2024 georefererad karta.tif", "A 19867-2024")</f>
        <v/>
      </c>
      <c r="AA1071">
        <f>HYPERLINK("https://klasma.github.io/Logging_0885/klagomål/A 19867-2024 FSC-klagomål.docx", "A 19867-2024")</f>
        <v/>
      </c>
      <c r="AB1071">
        <f>HYPERLINK("https://klasma.github.io/Logging_0885/klagomålsmail/A 19867-2024 FSC-klagomål mail.docx", "A 19867-2024")</f>
        <v/>
      </c>
      <c r="AC1071">
        <f>HYPERLINK("https://klasma.github.io/Logging_0885/tillsyn/A 19867-2024 tillsynsbegäran.docx", "A 19867-2024")</f>
        <v/>
      </c>
      <c r="AD1071">
        <f>HYPERLINK("https://klasma.github.io/Logging_0885/tillsynsmail/A 19867-2024 tillsynsbegäran mail.docx", "A 19867-2024")</f>
        <v/>
      </c>
    </row>
    <row r="1072" ht="15" customHeight="1">
      <c r="A1072" t="inlineStr">
        <is>
          <t>A 18237-2026</t>
        </is>
      </c>
      <c r="B1072" t="inlineStr">
        <is>
          <t>avverkningsanmälan</t>
        </is>
      </c>
      <c r="C1072" t="inlineStr">
        <is>
          <t>Föryngringsavverkning</t>
        </is>
      </c>
      <c r="D1072" s="1" t="n">
        <v>46126</v>
      </c>
      <c r="E1072" s="1" t="n">
        <v>46323</v>
      </c>
      <c r="F1072" t="inlineStr">
        <is>
          <t>KALMAR LÄN</t>
        </is>
      </c>
      <c r="G1072" t="inlineStr">
        <is>
          <t>VÄSTERVIK</t>
        </is>
      </c>
      <c r="I1072" t="n">
        <v>1.2</v>
      </c>
      <c r="J1072" t="n">
        <v>1</v>
      </c>
      <c r="K1072" t="n">
        <v>1</v>
      </c>
      <c r="L1072" t="n">
        <v>0</v>
      </c>
      <c r="M1072" t="n">
        <v>0</v>
      </c>
      <c r="N1072" t="n">
        <v>0</v>
      </c>
      <c r="O1072" t="n">
        <v>0</v>
      </c>
      <c r="P1072" t="n">
        <v>0</v>
      </c>
      <c r="Q1072" t="n">
        <v>0</v>
      </c>
      <c r="R1072" t="n">
        <v>0</v>
      </c>
      <c r="S1072" t="n">
        <v>1</v>
      </c>
      <c r="T1072" t="n">
        <v>1</v>
      </c>
      <c r="U1072" t="n">
        <v>1</v>
      </c>
      <c r="V1072" s="2" t="inlineStr">
        <is>
          <t>Ekoxe</t>
        </is>
      </c>
      <c r="W1072">
        <f>HYPERLINK("https://klasma.github.io/Logging_0883/artfynd/A 18237-2026 artfynd.xlsx", "A 18237-2026")</f>
        <v/>
      </c>
      <c r="X1072">
        <f>HYPERLINK("https://klasma.github.io/Logging_0883/kartor/A 18237-2026 karta.png", "A 18237-2026")</f>
        <v/>
      </c>
      <c r="Y1072">
        <f>HYPERLINK("https://klasma.github.io/Logging_0883/kartor_geotiff/A 18237-2026 georefererad karta.tif", "A 18237-2026")</f>
        <v/>
      </c>
      <c r="AA1072">
        <f>HYPERLINK("https://klasma.github.io/Logging_0883/klagomål/A 18237-2026 FSC-klagomål.docx", "A 18237-2026")</f>
        <v/>
      </c>
      <c r="AB1072">
        <f>HYPERLINK("https://klasma.github.io/Logging_0883/klagomålsmail/A 18237-2026 FSC-klagomål mail.docx", "A 18237-2026")</f>
        <v/>
      </c>
      <c r="AC1072">
        <f>HYPERLINK("https://klasma.github.io/Logging_0883/tillsyn/A 18237-2026 tillsynsbegäran.docx", "A 18237-2026")</f>
        <v/>
      </c>
      <c r="AD1072">
        <f>HYPERLINK("https://klasma.github.io/Logging_0883/tillsynsmail/A 18237-2026 tillsynsbegäran mail.docx", "A 18237-2026")</f>
        <v/>
      </c>
    </row>
    <row r="1073" ht="15" customHeight="1">
      <c r="A1073" t="inlineStr">
        <is>
          <t>A 34361-2026</t>
        </is>
      </c>
      <c r="B1073" t="inlineStr">
        <is>
          <t>avverkningsanmälan</t>
        </is>
      </c>
      <c r="C1073" t="inlineStr">
        <is>
          <t>Föryngringsavverkning</t>
        </is>
      </c>
      <c r="D1073" s="1" t="n">
        <v>46254</v>
      </c>
      <c r="E1073" s="1" t="n">
        <v>46323</v>
      </c>
      <c r="F1073" t="inlineStr">
        <is>
          <t>KALMAR LÄN</t>
        </is>
      </c>
      <c r="G1073" t="inlineStr">
        <is>
          <t>NYBRO</t>
        </is>
      </c>
      <c r="H1073" t="inlineStr">
        <is>
          <t>Sveaskog</t>
        </is>
      </c>
      <c r="I1073" t="n">
        <v>9.5</v>
      </c>
      <c r="J1073" t="n">
        <v>1</v>
      </c>
      <c r="K1073" t="n">
        <v>0</v>
      </c>
      <c r="L1073" t="n">
        <v>0</v>
      </c>
      <c r="M1073" t="n">
        <v>0</v>
      </c>
      <c r="N1073" t="n">
        <v>0</v>
      </c>
      <c r="O1073" t="n">
        <v>0</v>
      </c>
      <c r="P1073" t="n">
        <v>0</v>
      </c>
      <c r="Q1073" t="n">
        <v>0</v>
      </c>
      <c r="R1073" t="n">
        <v>0</v>
      </c>
      <c r="S1073" t="n">
        <v>1</v>
      </c>
      <c r="T1073" t="n">
        <v>1</v>
      </c>
      <c r="U1073" t="n">
        <v>0</v>
      </c>
      <c r="V1073" s="2" t="inlineStr">
        <is>
          <t>Havsörn</t>
        </is>
      </c>
      <c r="W1073">
        <f>HYPERLINK("https://klasma.github.io/Logging_0881/artfynd/A 34361-2026 artfynd.xlsx", "A 34361-2026")</f>
        <v/>
      </c>
      <c r="X1073">
        <f>HYPERLINK("https://klasma.github.io/Logging_0881/kartor/A 34361-2026 karta.png", "A 34361-2026")</f>
        <v/>
      </c>
      <c r="Y1073">
        <f>HYPERLINK("https://klasma.github.io/Logging_0881/kartor_geotiff/A 34361-2026 georefererad karta.tif", "A 34361-2026")</f>
        <v/>
      </c>
      <c r="AA1073">
        <f>HYPERLINK("https://klasma.github.io/Logging_0881/klagomål/A 34361-2026 FSC-klagomål.docx", "A 34361-2026")</f>
        <v/>
      </c>
      <c r="AB1073">
        <f>HYPERLINK("https://klasma.github.io/Logging_0881/klagomålsmail/A 34361-2026 FSC-klagomål mail.docx", "A 34361-2026")</f>
        <v/>
      </c>
      <c r="AC1073">
        <f>HYPERLINK("https://klasma.github.io/Logging_0881/tillsyn/A 34361-2026 tillsynsbegäran.docx", "A 34361-2026")</f>
        <v/>
      </c>
      <c r="AD1073">
        <f>HYPERLINK("https://klasma.github.io/Logging_0881/tillsynsmail/A 34361-2026 tillsynsbegäran mail.docx", "A 34361-2026")</f>
        <v/>
      </c>
      <c r="AE1073">
        <f>HYPERLINK("https://klasma.github.io/Logging_0881/fåglar/A 34361-2026 prioriterade fågelarter.docx", "A 34361-2026")</f>
        <v/>
      </c>
    </row>
    <row r="1074" ht="15" customHeight="1">
      <c r="A1074" t="inlineStr">
        <is>
          <t>A 41307-2026</t>
        </is>
      </c>
      <c r="B1074" t="inlineStr">
        <is>
          <t>avverkningsanmälan</t>
        </is>
      </c>
      <c r="C1074" t="inlineStr">
        <is>
          <t>Föryngringsavverkning</t>
        </is>
      </c>
      <c r="D1074" s="1" t="n">
        <v>46300</v>
      </c>
      <c r="E1074" s="1" t="n">
        <v>46323</v>
      </c>
      <c r="F1074" t="inlineStr">
        <is>
          <t>KALMAR LÄN</t>
        </is>
      </c>
      <c r="G1074" t="inlineStr">
        <is>
          <t>NYBRO</t>
        </is>
      </c>
      <c r="I1074" t="n">
        <v>5.2</v>
      </c>
      <c r="J1074" t="n">
        <v>1</v>
      </c>
      <c r="K1074" t="n">
        <v>0</v>
      </c>
      <c r="L1074" t="n">
        <v>0</v>
      </c>
      <c r="M1074" t="n">
        <v>0</v>
      </c>
      <c r="N1074" t="n">
        <v>0</v>
      </c>
      <c r="O1074" t="n">
        <v>0</v>
      </c>
      <c r="P1074" t="n">
        <v>0</v>
      </c>
      <c r="Q1074" t="n">
        <v>0</v>
      </c>
      <c r="R1074" t="n">
        <v>0</v>
      </c>
      <c r="S1074" t="n">
        <v>1</v>
      </c>
      <c r="T1074" t="n">
        <v>1</v>
      </c>
      <c r="U1074" t="n">
        <v>0</v>
      </c>
      <c r="V1074" s="2" t="inlineStr">
        <is>
          <t>Vanlig groda</t>
        </is>
      </c>
      <c r="W1074">
        <f>HYPERLINK("https://klasma.github.io/Logging_0881/artfynd/A 41307-2026 artfynd.xlsx", "A 41307-2026")</f>
        <v/>
      </c>
      <c r="X1074">
        <f>HYPERLINK("https://klasma.github.io/Logging_0881/kartor/A 41307-2026 karta.png", "A 41307-2026")</f>
        <v/>
      </c>
      <c r="Y1074">
        <f>HYPERLINK("https://klasma.github.io/Logging_0881/kartor_geotiff/A 41307-2026 georefererad karta.tif", "A 41307-2026")</f>
        <v/>
      </c>
      <c r="AA1074">
        <f>HYPERLINK("https://klasma.github.io/Logging_0881/klagomål/A 41307-2026 FSC-klagomål.docx", "A 41307-2026")</f>
        <v/>
      </c>
      <c r="AB1074">
        <f>HYPERLINK("https://klasma.github.io/Logging_0881/klagomålsmail/A 41307-2026 FSC-klagomål mail.docx", "A 41307-2026")</f>
        <v/>
      </c>
      <c r="AC1074">
        <f>HYPERLINK("https://klasma.github.io/Logging_0881/tillsyn/A 41307-2026 tillsynsbegäran.docx", "A 41307-2026")</f>
        <v/>
      </c>
      <c r="AD1074">
        <f>HYPERLINK("https://klasma.github.io/Logging_0881/tillsynsmail/A 41307-2026 tillsynsbegäran mail.docx", "A 41307-2026")</f>
        <v/>
      </c>
    </row>
    <row r="1075" ht="15" customHeight="1">
      <c r="A1075" t="inlineStr">
        <is>
          <t>A 41311-2026</t>
        </is>
      </c>
      <c r="B1075" t="inlineStr">
        <is>
          <t>avverkningsanmälan</t>
        </is>
      </c>
      <c r="C1075" t="inlineStr">
        <is>
          <t>Föryngringsavverkning</t>
        </is>
      </c>
      <c r="D1075" s="1" t="n">
        <v>46300</v>
      </c>
      <c r="E1075" s="1" t="n">
        <v>46323</v>
      </c>
      <c r="F1075" t="inlineStr">
        <is>
          <t>KALMAR LÄN</t>
        </is>
      </c>
      <c r="G1075" t="inlineStr">
        <is>
          <t>KALMAR</t>
        </is>
      </c>
      <c r="H1075" t="inlineStr">
        <is>
          <t>Sveaskog</t>
        </is>
      </c>
      <c r="I1075" t="n">
        <v>5.8</v>
      </c>
      <c r="J1075" t="n">
        <v>1</v>
      </c>
      <c r="K1075" t="n">
        <v>0</v>
      </c>
      <c r="L1075" t="n">
        <v>0</v>
      </c>
      <c r="M1075" t="n">
        <v>0</v>
      </c>
      <c r="N1075" t="n">
        <v>0</v>
      </c>
      <c r="O1075" t="n">
        <v>0</v>
      </c>
      <c r="P1075" t="n">
        <v>0</v>
      </c>
      <c r="Q1075" t="n">
        <v>0</v>
      </c>
      <c r="R1075" t="n">
        <v>0</v>
      </c>
      <c r="S1075" t="n">
        <v>1</v>
      </c>
      <c r="T1075" t="n">
        <v>1</v>
      </c>
      <c r="U1075" t="n">
        <v>0</v>
      </c>
      <c r="V1075" s="2" t="inlineStr">
        <is>
          <t>Nattskärra</t>
        </is>
      </c>
      <c r="W1075">
        <f>HYPERLINK("https://klasma.github.io/Logging_0880/artfynd/A 41311-2026 artfynd.xlsx", "A 41311-2026")</f>
        <v/>
      </c>
      <c r="X1075">
        <f>HYPERLINK("https://klasma.github.io/Logging_0880/kartor/A 41311-2026 karta.png", "A 41311-2026")</f>
        <v/>
      </c>
      <c r="Y1075">
        <f>HYPERLINK("https://klasma.github.io/Logging_0880/kartor_geotiff/A 41311-2026 georefererad karta.tif", "A 41311-2026")</f>
        <v/>
      </c>
      <c r="AA1075">
        <f>HYPERLINK("https://klasma.github.io/Logging_0880/klagomål/A 41311-2026 FSC-klagomål.docx", "A 41311-2026")</f>
        <v/>
      </c>
      <c r="AB1075">
        <f>HYPERLINK("https://klasma.github.io/Logging_0880/klagomålsmail/A 41311-2026 FSC-klagomål mail.docx", "A 41311-2026")</f>
        <v/>
      </c>
      <c r="AC1075">
        <f>HYPERLINK("https://klasma.github.io/Logging_0880/tillsyn/A 41311-2026 tillsynsbegäran.docx", "A 41311-2026")</f>
        <v/>
      </c>
      <c r="AD1075">
        <f>HYPERLINK("https://klasma.github.io/Logging_0880/tillsynsmail/A 41311-2026 tillsynsbegäran mail.docx", "A 41311-2026")</f>
        <v/>
      </c>
      <c r="AE1075">
        <f>HYPERLINK("https://klasma.github.io/Logging_0880/fåglar/A 41311-2026 prioriterade fågelarter.docx", "A 41311-2026")</f>
        <v/>
      </c>
    </row>
    <row r="1076" ht="15" customHeight="1">
      <c r="A1076" t="inlineStr">
        <is>
          <t>A 24157-2023</t>
        </is>
      </c>
      <c r="B1076" t="inlineStr">
        <is>
          <t>avverkningsanmälan</t>
        </is>
      </c>
      <c r="C1076" t="inlineStr">
        <is>
          <t>Föryngringsavverkning</t>
        </is>
      </c>
      <c r="D1076" s="1" t="n">
        <v>45079</v>
      </c>
      <c r="E1076" s="1" t="n">
        <v>46323</v>
      </c>
      <c r="F1076" t="inlineStr">
        <is>
          <t>KALMAR LÄN</t>
        </is>
      </c>
      <c r="G1076" t="inlineStr">
        <is>
          <t>TORSÅS</t>
        </is>
      </c>
      <c r="I1076" t="n">
        <v>7</v>
      </c>
      <c r="J1076" t="n">
        <v>0</v>
      </c>
      <c r="K1076" t="n">
        <v>1</v>
      </c>
      <c r="L1076" t="n">
        <v>0</v>
      </c>
      <c r="M1076" t="n">
        <v>0</v>
      </c>
      <c r="N1076" t="n">
        <v>0</v>
      </c>
      <c r="O1076" t="n">
        <v>0</v>
      </c>
      <c r="P1076" t="n">
        <v>0</v>
      </c>
      <c r="Q1076" t="n">
        <v>0</v>
      </c>
      <c r="R1076" t="n">
        <v>0</v>
      </c>
      <c r="S1076" t="n">
        <v>1</v>
      </c>
      <c r="T1076" t="n">
        <v>1</v>
      </c>
      <c r="U1076" t="n">
        <v>1</v>
      </c>
      <c r="V1076" s="2" t="inlineStr">
        <is>
          <t>Grovticka</t>
        </is>
      </c>
      <c r="W1076">
        <f>HYPERLINK("https://klasma.github.io/Logging_0834/artfynd/A 24157-2023 artfynd.xlsx", "A 24157-2023")</f>
        <v/>
      </c>
      <c r="X1076">
        <f>HYPERLINK("https://klasma.github.io/Logging_0834/kartor/A 24157-2023 karta.png", "A 24157-2023")</f>
        <v/>
      </c>
      <c r="Y1076">
        <f>HYPERLINK("https://klasma.github.io/Logging_0834/kartor_geotiff/A 24157-2023 georefererad karta.tif", "A 24157-2023")</f>
        <v/>
      </c>
      <c r="AA1076">
        <f>HYPERLINK("https://klasma.github.io/Logging_0834/klagomål/A 24157-2023 FSC-klagomål.docx", "A 24157-2023")</f>
        <v/>
      </c>
      <c r="AB1076">
        <f>HYPERLINK("https://klasma.github.io/Logging_0834/klagomålsmail/A 24157-2023 FSC-klagomål mail.docx", "A 24157-2023")</f>
        <v/>
      </c>
      <c r="AC1076">
        <f>HYPERLINK("https://klasma.github.io/Logging_0834/tillsyn/A 24157-2023 tillsynsbegäran.docx", "A 24157-2023")</f>
        <v/>
      </c>
      <c r="AD1076">
        <f>HYPERLINK("https://klasma.github.io/Logging_0834/tillsynsmail/A 24157-2023 tillsynsbegäran mail.docx", "A 24157-2023")</f>
        <v/>
      </c>
    </row>
    <row r="1077" ht="15" customHeight="1">
      <c r="A1077" t="inlineStr">
        <is>
          <t>A 31066-2026</t>
        </is>
      </c>
      <c r="B1077" t="inlineStr">
        <is>
          <t>avverkningsanmälan</t>
        </is>
      </c>
      <c r="C1077" t="inlineStr">
        <is>
          <t>Avverkning för annat ändamål</t>
        </is>
      </c>
      <c r="D1077" s="1" t="n">
        <v>46215</v>
      </c>
      <c r="E1077" s="1" t="n">
        <v>46323</v>
      </c>
      <c r="F1077" t="inlineStr">
        <is>
          <t>KALMAR LÄN</t>
        </is>
      </c>
      <c r="G1077" t="inlineStr">
        <is>
          <t>VIMMERBY</t>
        </is>
      </c>
      <c r="I1077" t="n">
        <v>0.8</v>
      </c>
      <c r="J1077" t="n">
        <v>0</v>
      </c>
      <c r="K1077" t="n">
        <v>0</v>
      </c>
      <c r="L1077" t="n">
        <v>1</v>
      </c>
      <c r="M1077" t="n">
        <v>0</v>
      </c>
      <c r="N1077" t="n">
        <v>0</v>
      </c>
      <c r="O1077" t="n">
        <v>0</v>
      </c>
      <c r="P1077" t="n">
        <v>0</v>
      </c>
      <c r="Q1077" t="n">
        <v>1</v>
      </c>
      <c r="R1077" t="n">
        <v>0</v>
      </c>
      <c r="S1077" t="n">
        <v>1</v>
      </c>
      <c r="T1077" t="n">
        <v>1</v>
      </c>
      <c r="U1077" t="n">
        <v>0</v>
      </c>
      <c r="V1077" s="2" t="inlineStr">
        <is>
          <t>Slåtterfibbla</t>
        </is>
      </c>
      <c r="W1077">
        <f>HYPERLINK("https://klasma.github.io/Logging_0884/artfynd/A 31066-2026 artfynd.xlsx", "A 31066-2026")</f>
        <v/>
      </c>
      <c r="X1077">
        <f>HYPERLINK("https://klasma.github.io/Logging_0884/kartor/A 31066-2026 karta.png", "A 31066-2026")</f>
        <v/>
      </c>
      <c r="Y1077">
        <f>HYPERLINK("https://klasma.github.io/Logging_0884/kartor_geotiff/A 31066-2026 georefererad karta.tif", "A 31066-2026")</f>
        <v/>
      </c>
      <c r="AA1077">
        <f>HYPERLINK("https://klasma.github.io/Logging_0884/klagomål/A 31066-2026 FSC-klagomål.docx", "A 31066-2026")</f>
        <v/>
      </c>
      <c r="AB1077">
        <f>HYPERLINK("https://klasma.github.io/Logging_0884/klagomålsmail/A 31066-2026 FSC-klagomål mail.docx", "A 31066-2026")</f>
        <v/>
      </c>
      <c r="AC1077">
        <f>HYPERLINK("https://klasma.github.io/Logging_0884/tillsyn/A 31066-2026 tillsynsbegäran.docx", "A 31066-2026")</f>
        <v/>
      </c>
      <c r="AD1077">
        <f>HYPERLINK("https://klasma.github.io/Logging_0884/tillsynsmail/A 31066-2026 tillsynsbegäran mail.docx", "A 31066-2026")</f>
        <v/>
      </c>
    </row>
    <row r="1078" ht="15" customHeight="1">
      <c r="A1078" t="inlineStr">
        <is>
          <t>A 41182-2026</t>
        </is>
      </c>
      <c r="B1078" t="inlineStr">
        <is>
          <t>avverkningsanmälan</t>
        </is>
      </c>
      <c r="C1078" t="inlineStr">
        <is>
          <t>Avverkning för annat ändamål</t>
        </is>
      </c>
      <c r="D1078" s="1" t="n">
        <v>46300</v>
      </c>
      <c r="E1078" s="1" t="n">
        <v>46323</v>
      </c>
      <c r="F1078" t="inlineStr">
        <is>
          <t>KALMAR LÄN</t>
        </is>
      </c>
      <c r="G1078" t="inlineStr">
        <is>
          <t>VIMMERBY</t>
        </is>
      </c>
      <c r="I1078" t="n">
        <v>1.5</v>
      </c>
      <c r="J1078" t="n">
        <v>1</v>
      </c>
      <c r="K1078" t="n">
        <v>0</v>
      </c>
      <c r="L1078" t="n">
        <v>1</v>
      </c>
      <c r="M1078" t="n">
        <v>0</v>
      </c>
      <c r="N1078" t="n">
        <v>0</v>
      </c>
      <c r="O1078" t="n">
        <v>0</v>
      </c>
      <c r="P1078" t="n">
        <v>0</v>
      </c>
      <c r="Q1078" t="n">
        <v>1</v>
      </c>
      <c r="R1078" t="n">
        <v>0</v>
      </c>
      <c r="S1078" t="n">
        <v>1</v>
      </c>
      <c r="T1078" t="n">
        <v>1</v>
      </c>
      <c r="U1078" t="n">
        <v>0</v>
      </c>
      <c r="V1078" s="2" t="inlineStr">
        <is>
          <t>Järnsparv</t>
        </is>
      </c>
      <c r="W1078">
        <f>HYPERLINK("https://klasma.github.io/Logging_0884/artfynd/A 41182-2026 artfynd.xlsx", "A 41182-2026")</f>
        <v/>
      </c>
      <c r="X1078">
        <f>HYPERLINK("https://klasma.github.io/Logging_0884/kartor/A 41182-2026 karta.png", "A 41182-2026")</f>
        <v/>
      </c>
      <c r="Y1078">
        <f>HYPERLINK("https://klasma.github.io/Logging_0884/kartor_geotiff/A 41182-2026 georefererad karta.tif", "A 41182-2026")</f>
        <v/>
      </c>
      <c r="AA1078">
        <f>HYPERLINK("https://klasma.github.io/Logging_0884/klagomål/A 41182-2026 FSC-klagomål.docx", "A 41182-2026")</f>
        <v/>
      </c>
      <c r="AB1078">
        <f>HYPERLINK("https://klasma.github.io/Logging_0884/klagomålsmail/A 41182-2026 FSC-klagomål mail.docx", "A 41182-2026")</f>
        <v/>
      </c>
      <c r="AC1078">
        <f>HYPERLINK("https://klasma.github.io/Logging_0884/tillsyn/A 41182-2026 tillsynsbegäran.docx", "A 41182-2026")</f>
        <v/>
      </c>
      <c r="AD1078">
        <f>HYPERLINK("https://klasma.github.io/Logging_0884/tillsynsmail/A 41182-2026 tillsynsbegäran mail.docx", "A 41182-2026")</f>
        <v/>
      </c>
      <c r="AE1078">
        <f>HYPERLINK("https://klasma.github.io/Logging_0884/fåglar/A 41182-2026 prioriterade fågelarter.docx", "A 41182-2026")</f>
        <v/>
      </c>
    </row>
    <row r="1079" ht="15" customHeight="1">
      <c r="A1079" t="inlineStr">
        <is>
          <t>A 41223-2026</t>
        </is>
      </c>
      <c r="B1079" t="inlineStr">
        <is>
          <t>avverkningsanmälan</t>
        </is>
      </c>
      <c r="C1079" t="inlineStr">
        <is>
          <t>Föryngringsavverkning</t>
        </is>
      </c>
      <c r="D1079" s="1" t="n">
        <v>46300</v>
      </c>
      <c r="E1079" s="1" t="n">
        <v>46323</v>
      </c>
      <c r="F1079" t="inlineStr">
        <is>
          <t>KALMAR LÄN</t>
        </is>
      </c>
      <c r="G1079" t="inlineStr">
        <is>
          <t>VÄSTERVIK</t>
        </is>
      </c>
      <c r="H1079" t="inlineStr">
        <is>
          <t>Sveaskog</t>
        </is>
      </c>
      <c r="I1079" t="n">
        <v>11.1</v>
      </c>
      <c r="J1079" t="n">
        <v>1</v>
      </c>
      <c r="K1079" t="n">
        <v>0</v>
      </c>
      <c r="L1079" t="n">
        <v>0</v>
      </c>
      <c r="M1079" t="n">
        <v>0</v>
      </c>
      <c r="N1079" t="n">
        <v>0</v>
      </c>
      <c r="O1079" t="n">
        <v>0</v>
      </c>
      <c r="P1079" t="n">
        <v>0</v>
      </c>
      <c r="Q1079" t="n">
        <v>0</v>
      </c>
      <c r="R1079" t="n">
        <v>0</v>
      </c>
      <c r="S1079" t="n">
        <v>1</v>
      </c>
      <c r="T1079" t="n">
        <v>1</v>
      </c>
      <c r="U1079" t="n">
        <v>0</v>
      </c>
      <c r="V1079" s="2" t="inlineStr">
        <is>
          <t>Orre</t>
        </is>
      </c>
      <c r="W1079">
        <f>HYPERLINK("https://klasma.github.io/Logging_0883/artfynd/A 41223-2026 artfynd.xlsx", "A 41223-2026")</f>
        <v/>
      </c>
      <c r="X1079">
        <f>HYPERLINK("https://klasma.github.io/Logging_0883/kartor/A 41223-2026 karta.png", "A 41223-2026")</f>
        <v/>
      </c>
      <c r="Y1079">
        <f>HYPERLINK("https://klasma.github.io/Logging_0883/kartor_geotiff/A 41223-2026 georefererad karta.tif", "A 41223-2026")</f>
        <v/>
      </c>
      <c r="AA1079">
        <f>HYPERLINK("https://klasma.github.io/Logging_0883/klagomål/A 41223-2026 FSC-klagomål.docx", "A 41223-2026")</f>
        <v/>
      </c>
      <c r="AB1079">
        <f>HYPERLINK("https://klasma.github.io/Logging_0883/klagomålsmail/A 41223-2026 FSC-klagomål mail.docx", "A 41223-2026")</f>
        <v/>
      </c>
      <c r="AC1079">
        <f>HYPERLINK("https://klasma.github.io/Logging_0883/tillsyn/A 41223-2026 tillsynsbegäran.docx", "A 41223-2026")</f>
        <v/>
      </c>
      <c r="AD1079">
        <f>HYPERLINK("https://klasma.github.io/Logging_0883/tillsynsmail/A 41223-2026 tillsynsbegäran mail.docx", "A 41223-2026")</f>
        <v/>
      </c>
      <c r="AE1079">
        <f>HYPERLINK("https://klasma.github.io/Logging_0883/fåglar/A 41223-2026 prioriterade fågelarter.docx", "A 41223-2026")</f>
        <v/>
      </c>
    </row>
    <row r="1080" ht="15" customHeight="1">
      <c r="A1080" t="inlineStr">
        <is>
          <t>A 21496-2025</t>
        </is>
      </c>
      <c r="B1080" t="inlineStr">
        <is>
          <t>avverkningsanmälan</t>
        </is>
      </c>
      <c r="C1080" t="inlineStr">
        <is>
          <t>Föryngringsavverkning</t>
        </is>
      </c>
      <c r="D1080" s="1" t="n">
        <v>45782</v>
      </c>
      <c r="E1080" s="1" t="n">
        <v>46323</v>
      </c>
      <c r="F1080" t="inlineStr">
        <is>
          <t>KALMAR LÄN</t>
        </is>
      </c>
      <c r="G1080" t="inlineStr">
        <is>
          <t>KALMAR</t>
        </is>
      </c>
      <c r="H1080" t="inlineStr">
        <is>
          <t>Sveaskog</t>
        </is>
      </c>
      <c r="I1080" t="n">
        <v>6.7</v>
      </c>
      <c r="J1080" t="n">
        <v>1</v>
      </c>
      <c r="K1080" t="n">
        <v>0</v>
      </c>
      <c r="L1080" t="n">
        <v>0</v>
      </c>
      <c r="M1080" t="n">
        <v>0</v>
      </c>
      <c r="N1080" t="n">
        <v>0</v>
      </c>
      <c r="O1080" t="n">
        <v>0</v>
      </c>
      <c r="P1080" t="n">
        <v>0</v>
      </c>
      <c r="Q1080" t="n">
        <v>0</v>
      </c>
      <c r="R1080" t="n">
        <v>0</v>
      </c>
      <c r="S1080" t="n">
        <v>1</v>
      </c>
      <c r="T1080" t="n">
        <v>1</v>
      </c>
      <c r="U1080" t="n">
        <v>0</v>
      </c>
      <c r="V1080" s="2" t="inlineStr">
        <is>
          <t>Blåsippa</t>
        </is>
      </c>
      <c r="W1080">
        <f>HYPERLINK("https://klasma.github.io/Logging_0880/artfynd/A 21496-2025 artfynd.xlsx", "A 21496-2025")</f>
        <v/>
      </c>
      <c r="X1080">
        <f>HYPERLINK("https://klasma.github.io/Logging_0880/kartor/A 21496-2025 karta.png", "A 21496-2025")</f>
        <v/>
      </c>
      <c r="Y1080">
        <f>HYPERLINK("https://klasma.github.io/Logging_0880/kartor_geotiff/A 21496-2025 georefererad karta.tif", "A 21496-2025")</f>
        <v/>
      </c>
      <c r="AA1080">
        <f>HYPERLINK("https://klasma.github.io/Logging_0880/klagomål/A 21496-2025 FSC-klagomål.docx", "A 21496-2025")</f>
        <v/>
      </c>
      <c r="AB1080">
        <f>HYPERLINK("https://klasma.github.io/Logging_0880/klagomålsmail/A 21496-2025 FSC-klagomål mail.docx", "A 21496-2025")</f>
        <v/>
      </c>
      <c r="AC1080">
        <f>HYPERLINK("https://klasma.github.io/Logging_0880/tillsyn/A 21496-2025 tillsynsbegäran.docx", "A 21496-2025")</f>
        <v/>
      </c>
      <c r="AD1080">
        <f>HYPERLINK("https://klasma.github.io/Logging_0880/tillsynsmail/A 21496-2025 tillsynsbegäran mail.docx", "A 21496-2025")</f>
        <v/>
      </c>
    </row>
    <row r="1081" ht="15" customHeight="1">
      <c r="A1081" t="inlineStr">
        <is>
          <t>A 34220-2026</t>
        </is>
      </c>
      <c r="B1081" t="inlineStr">
        <is>
          <t>avverkningsanmälan</t>
        </is>
      </c>
      <c r="C1081" t="inlineStr">
        <is>
          <t>Föryngringsavverkning</t>
        </is>
      </c>
      <c r="D1081" s="1" t="n">
        <v>46253</v>
      </c>
      <c r="E1081" s="1" t="n">
        <v>46323</v>
      </c>
      <c r="F1081" t="inlineStr">
        <is>
          <t>KALMAR LÄN</t>
        </is>
      </c>
      <c r="G1081" t="inlineStr">
        <is>
          <t>EMMABODA</t>
        </is>
      </c>
      <c r="I1081" t="n">
        <v>2.9</v>
      </c>
      <c r="J1081" t="n">
        <v>1</v>
      </c>
      <c r="K1081" t="n">
        <v>0</v>
      </c>
      <c r="L1081" t="n">
        <v>0</v>
      </c>
      <c r="M1081" t="n">
        <v>0</v>
      </c>
      <c r="N1081" t="n">
        <v>0</v>
      </c>
      <c r="O1081" t="n">
        <v>0</v>
      </c>
      <c r="P1081" t="n">
        <v>0</v>
      </c>
      <c r="Q1081" t="n">
        <v>0</v>
      </c>
      <c r="R1081" t="n">
        <v>0</v>
      </c>
      <c r="S1081" t="n">
        <v>1</v>
      </c>
      <c r="T1081" t="n">
        <v>1</v>
      </c>
      <c r="U1081" t="n">
        <v>0</v>
      </c>
      <c r="V1081" s="2" t="inlineStr">
        <is>
          <t>Blåsippa</t>
        </is>
      </c>
      <c r="W1081">
        <f>HYPERLINK("https://klasma.github.io/Logging_0862/artfynd/A 34220-2026 artfynd.xlsx", "A 34220-2026")</f>
        <v/>
      </c>
      <c r="X1081">
        <f>HYPERLINK("https://klasma.github.io/Logging_0862/kartor/A 34220-2026 karta.png", "A 34220-2026")</f>
        <v/>
      </c>
      <c r="Y1081">
        <f>HYPERLINK("https://klasma.github.io/Logging_0862/kartor_geotiff/A 34220-2026 georefererad karta.tif", "A 34220-2026")</f>
        <v/>
      </c>
      <c r="AA1081">
        <f>HYPERLINK("https://klasma.github.io/Logging_0862/klagomål/A 34220-2026 FSC-klagomål.docx", "A 34220-2026")</f>
        <v/>
      </c>
      <c r="AB1081">
        <f>HYPERLINK("https://klasma.github.io/Logging_0862/klagomålsmail/A 34220-2026 FSC-klagomål mail.docx", "A 34220-2026")</f>
        <v/>
      </c>
      <c r="AC1081">
        <f>HYPERLINK("https://klasma.github.io/Logging_0862/tillsyn/A 34220-2026 tillsynsbegäran.docx", "A 34220-2026")</f>
        <v/>
      </c>
      <c r="AD1081">
        <f>HYPERLINK("https://klasma.github.io/Logging_0862/tillsynsmail/A 34220-2026 tillsynsbegäran mail.docx", "A 34220-2026")</f>
        <v/>
      </c>
    </row>
    <row r="1082" ht="15" customHeight="1">
      <c r="A1082" t="inlineStr">
        <is>
          <t>A 6358-2022</t>
        </is>
      </c>
      <c r="B1082" t="inlineStr">
        <is>
          <t>avverkningsanmälan</t>
        </is>
      </c>
      <c r="C1082" t="inlineStr">
        <is>
          <t>Föryngringsavverkning</t>
        </is>
      </c>
      <c r="D1082" s="1" t="n">
        <v>44600</v>
      </c>
      <c r="E1082" s="1" t="n">
        <v>46323</v>
      </c>
      <c r="F1082" t="inlineStr">
        <is>
          <t>KALMAR LÄN</t>
        </is>
      </c>
      <c r="G1082" t="inlineStr">
        <is>
          <t>VIMMERBY</t>
        </is>
      </c>
      <c r="I1082" t="n">
        <v>1.7</v>
      </c>
      <c r="J1082" t="n">
        <v>1</v>
      </c>
      <c r="K1082" t="n">
        <v>1</v>
      </c>
      <c r="L1082" t="n">
        <v>0</v>
      </c>
      <c r="M1082" t="n">
        <v>0</v>
      </c>
      <c r="N1082" t="n">
        <v>0</v>
      </c>
      <c r="O1082" t="n">
        <v>0</v>
      </c>
      <c r="P1082" t="n">
        <v>0</v>
      </c>
      <c r="Q1082" t="n">
        <v>0</v>
      </c>
      <c r="R1082" t="n">
        <v>0</v>
      </c>
      <c r="S1082" t="n">
        <v>1</v>
      </c>
      <c r="T1082" t="n">
        <v>1</v>
      </c>
      <c r="U1082" t="n">
        <v>0</v>
      </c>
      <c r="V1082" s="2" t="inlineStr">
        <is>
          <t>Ekoxe</t>
        </is>
      </c>
      <c r="W1082">
        <f>HYPERLINK("https://klasma.github.io/Logging_0884/artfynd/A 6358-2022 artfynd.xlsx", "A 6358-2022")</f>
        <v/>
      </c>
      <c r="X1082">
        <f>HYPERLINK("https://klasma.github.io/Logging_0884/kartor/A 6358-2022 karta.png", "A 6358-2022")</f>
        <v/>
      </c>
      <c r="Y1082">
        <f>HYPERLINK("https://klasma.github.io/Logging_0884/kartor_geotiff/A 6358-2022 georefererad karta.tif", "A 6358-2022")</f>
        <v/>
      </c>
      <c r="AA1082">
        <f>HYPERLINK("https://klasma.github.io/Logging_0884/klagomål/A 6358-2022 FSC-klagomål.docx", "A 6358-2022")</f>
        <v/>
      </c>
      <c r="AB1082">
        <f>HYPERLINK("https://klasma.github.io/Logging_0884/klagomålsmail/A 6358-2022 FSC-klagomål mail.docx", "A 6358-2022")</f>
        <v/>
      </c>
      <c r="AC1082">
        <f>HYPERLINK("https://klasma.github.io/Logging_0884/tillsyn/A 6358-2022 tillsynsbegäran.docx", "A 6358-2022")</f>
        <v/>
      </c>
      <c r="AD1082">
        <f>HYPERLINK("https://klasma.github.io/Logging_0884/tillsynsmail/A 6358-2022 tillsynsbegäran mail.docx", "A 6358-2022")</f>
        <v/>
      </c>
    </row>
    <row r="1083" ht="15" customHeight="1">
      <c r="A1083" t="inlineStr">
        <is>
          <t>A 41317-2026</t>
        </is>
      </c>
      <c r="B1083" t="inlineStr">
        <is>
          <t>avverkningsanmälan</t>
        </is>
      </c>
      <c r="C1083" t="inlineStr">
        <is>
          <t>Föryngringsavverkning</t>
        </is>
      </c>
      <c r="D1083" s="1" t="n">
        <v>46300</v>
      </c>
      <c r="E1083" s="1" t="n">
        <v>46323</v>
      </c>
      <c r="F1083" t="inlineStr">
        <is>
          <t>KALMAR LÄN</t>
        </is>
      </c>
      <c r="G1083" t="inlineStr">
        <is>
          <t>KALMAR</t>
        </is>
      </c>
      <c r="H1083" t="inlineStr">
        <is>
          <t>Sveaskog</t>
        </is>
      </c>
      <c r="I1083" t="n">
        <v>3.8</v>
      </c>
      <c r="J1083" t="n">
        <v>1</v>
      </c>
      <c r="K1083" t="n">
        <v>0</v>
      </c>
      <c r="L1083" t="n">
        <v>0</v>
      </c>
      <c r="M1083" t="n">
        <v>0</v>
      </c>
      <c r="N1083" t="n">
        <v>0</v>
      </c>
      <c r="O1083" t="n">
        <v>0</v>
      </c>
      <c r="P1083" t="n">
        <v>0</v>
      </c>
      <c r="Q1083" t="n">
        <v>0</v>
      </c>
      <c r="R1083" t="n">
        <v>0</v>
      </c>
      <c r="S1083" t="n">
        <v>1</v>
      </c>
      <c r="T1083" t="n">
        <v>1</v>
      </c>
      <c r="U1083" t="n">
        <v>0</v>
      </c>
      <c r="V1083" s="2" t="inlineStr">
        <is>
          <t>Större brunfladdermus</t>
        </is>
      </c>
      <c r="W1083">
        <f>HYPERLINK("https://klasma.github.io/Logging_0880/artfynd/A 41317-2026 artfynd.xlsx", "A 41317-2026")</f>
        <v/>
      </c>
      <c r="X1083">
        <f>HYPERLINK("https://klasma.github.io/Logging_0880/kartor/A 41317-2026 karta.png", "A 41317-2026")</f>
        <v/>
      </c>
      <c r="Y1083">
        <f>HYPERLINK("https://klasma.github.io/Logging_0880/kartor_geotiff/A 41317-2026 georefererad karta.tif", "A 41317-2026")</f>
        <v/>
      </c>
      <c r="AA1083">
        <f>HYPERLINK("https://klasma.github.io/Logging_0880/klagomål/A 41317-2026 FSC-klagomål.docx", "A 41317-2026")</f>
        <v/>
      </c>
      <c r="AB1083">
        <f>HYPERLINK("https://klasma.github.io/Logging_0880/klagomålsmail/A 41317-2026 FSC-klagomål mail.docx", "A 41317-2026")</f>
        <v/>
      </c>
      <c r="AC1083">
        <f>HYPERLINK("https://klasma.github.io/Logging_0880/tillsyn/A 41317-2026 tillsynsbegäran.docx", "A 41317-2026")</f>
        <v/>
      </c>
      <c r="AD1083">
        <f>HYPERLINK("https://klasma.github.io/Logging_0880/tillsynsmail/A 41317-2026 tillsynsbegäran mail.docx", "A 41317-2026")</f>
        <v/>
      </c>
    </row>
    <row r="1084" ht="15" customHeight="1">
      <c r="A1084" t="inlineStr">
        <is>
          <t>A 19463-2026</t>
        </is>
      </c>
      <c r="B1084" t="inlineStr">
        <is>
          <t>avverkningsanmälan</t>
        </is>
      </c>
      <c r="C1084" t="inlineStr">
        <is>
          <t>Föryngringsavverkning</t>
        </is>
      </c>
      <c r="D1084" s="1" t="n">
        <v>46129</v>
      </c>
      <c r="E1084" s="1" t="n">
        <v>46323</v>
      </c>
      <c r="F1084" t="inlineStr">
        <is>
          <t>KALMAR LÄN</t>
        </is>
      </c>
      <c r="G1084" t="inlineStr">
        <is>
          <t>HÖGSBY</t>
        </is>
      </c>
      <c r="I1084" t="n">
        <v>4.1</v>
      </c>
      <c r="J1084" t="n">
        <v>1</v>
      </c>
      <c r="K1084" t="n">
        <v>0</v>
      </c>
      <c r="L1084" t="n">
        <v>0</v>
      </c>
      <c r="M1084" t="n">
        <v>0</v>
      </c>
      <c r="N1084" t="n">
        <v>0</v>
      </c>
      <c r="O1084" t="n">
        <v>0</v>
      </c>
      <c r="P1084" t="n">
        <v>0</v>
      </c>
      <c r="Q1084" t="n">
        <v>0</v>
      </c>
      <c r="R1084" t="n">
        <v>0</v>
      </c>
      <c r="S1084" t="n">
        <v>1</v>
      </c>
      <c r="T1084" t="n">
        <v>1</v>
      </c>
      <c r="U1084" t="n">
        <v>0</v>
      </c>
      <c r="V1084" s="2" t="inlineStr">
        <is>
          <t>Revlummer</t>
        </is>
      </c>
      <c r="W1084">
        <f>HYPERLINK("https://klasma.github.io/Logging_0821/artfynd/A 19463-2026 artfynd.xlsx", "A 19463-2026")</f>
        <v/>
      </c>
      <c r="X1084">
        <f>HYPERLINK("https://klasma.github.io/Logging_0821/kartor/A 19463-2026 karta.png", "A 19463-2026")</f>
        <v/>
      </c>
      <c r="Y1084">
        <f>HYPERLINK("https://klasma.github.io/Logging_0821/kartor_geotiff/A 19463-2026 georefererad karta.tif", "A 19463-2026")</f>
        <v/>
      </c>
      <c r="AA1084">
        <f>HYPERLINK("https://klasma.github.io/Logging_0821/klagomål/A 19463-2026 FSC-klagomål.docx", "A 19463-2026")</f>
        <v/>
      </c>
      <c r="AB1084">
        <f>HYPERLINK("https://klasma.github.io/Logging_0821/klagomålsmail/A 19463-2026 FSC-klagomål mail.docx", "A 19463-2026")</f>
        <v/>
      </c>
      <c r="AC1084">
        <f>HYPERLINK("https://klasma.github.io/Logging_0821/tillsyn/A 19463-2026 tillsynsbegäran.docx", "A 19463-2026")</f>
        <v/>
      </c>
      <c r="AD1084">
        <f>HYPERLINK("https://klasma.github.io/Logging_0821/tillsynsmail/A 19463-2026 tillsynsbegäran mail.docx", "A 19463-2026")</f>
        <v/>
      </c>
    </row>
    <row r="1085" ht="15" customHeight="1">
      <c r="A1085" t="inlineStr">
        <is>
          <t>A 9633-2023</t>
        </is>
      </c>
      <c r="B1085" t="inlineStr">
        <is>
          <t>avverkningsanmälan</t>
        </is>
      </c>
      <c r="C1085" t="inlineStr">
        <is>
          <t>Föryngringsavverkning</t>
        </is>
      </c>
      <c r="D1085" s="1" t="n">
        <v>44984</v>
      </c>
      <c r="E1085" s="1" t="n">
        <v>46323</v>
      </c>
      <c r="F1085" t="inlineStr">
        <is>
          <t>KALMAR LÄN</t>
        </is>
      </c>
      <c r="G1085" t="inlineStr">
        <is>
          <t>EMMABODA</t>
        </is>
      </c>
      <c r="I1085" t="n">
        <v>3.5</v>
      </c>
      <c r="J1085" t="n">
        <v>0</v>
      </c>
      <c r="K1085" t="n">
        <v>0</v>
      </c>
      <c r="L1085" t="n">
        <v>1</v>
      </c>
      <c r="M1085" t="n">
        <v>0</v>
      </c>
      <c r="N1085" t="n">
        <v>0</v>
      </c>
      <c r="O1085" t="n">
        <v>0</v>
      </c>
      <c r="P1085" t="n">
        <v>0</v>
      </c>
      <c r="Q1085" t="n">
        <v>1</v>
      </c>
      <c r="R1085" t="n">
        <v>0</v>
      </c>
      <c r="S1085" t="n">
        <v>1</v>
      </c>
      <c r="T1085" t="n">
        <v>1</v>
      </c>
      <c r="U1085" t="n">
        <v>1</v>
      </c>
      <c r="V1085" s="2" t="inlineStr">
        <is>
          <t>Småjungfrukam</t>
        </is>
      </c>
      <c r="W1085">
        <f>HYPERLINK("https://klasma.github.io/Logging_0862/artfynd/A 9633-2023 artfynd.xlsx", "A 9633-2023")</f>
        <v/>
      </c>
      <c r="X1085">
        <f>HYPERLINK("https://klasma.github.io/Logging_0862/kartor/A 9633-2023 karta.png", "A 9633-2023")</f>
        <v/>
      </c>
      <c r="Y1085">
        <f>HYPERLINK("https://klasma.github.io/Logging_0862/kartor_geotiff/A 9633-2023 georefererad karta.tif", "A 9633-2023")</f>
        <v/>
      </c>
      <c r="AA1085">
        <f>HYPERLINK("https://klasma.github.io/Logging_0862/klagomål/A 9633-2023 FSC-klagomål.docx", "A 9633-2023")</f>
        <v/>
      </c>
      <c r="AB1085">
        <f>HYPERLINK("https://klasma.github.io/Logging_0862/klagomålsmail/A 9633-2023 FSC-klagomål mail.docx", "A 9633-2023")</f>
        <v/>
      </c>
      <c r="AC1085">
        <f>HYPERLINK("https://klasma.github.io/Logging_0862/tillsyn/A 9633-2023 tillsynsbegäran.docx", "A 9633-2023")</f>
        <v/>
      </c>
      <c r="AD1085">
        <f>HYPERLINK("https://klasma.github.io/Logging_0862/tillsynsmail/A 9633-2023 tillsynsbegäran mail.docx", "A 9633-2023")</f>
        <v/>
      </c>
    </row>
    <row r="1086" ht="15" customHeight="1">
      <c r="A1086" t="inlineStr">
        <is>
          <t>A 41719-2026</t>
        </is>
      </c>
      <c r="B1086" t="inlineStr">
        <is>
          <t>avverkningsanmälan</t>
        </is>
      </c>
      <c r="C1086" t="inlineStr">
        <is>
          <t>Föryngringsavverkning</t>
        </is>
      </c>
      <c r="D1086" s="1" t="n">
        <v>46302</v>
      </c>
      <c r="E1086" s="1" t="n">
        <v>46323</v>
      </c>
      <c r="F1086" t="inlineStr">
        <is>
          <t>KALMAR LÄN</t>
        </is>
      </c>
      <c r="G1086" t="inlineStr">
        <is>
          <t>NYBRO</t>
        </is>
      </c>
      <c r="I1086" t="n">
        <v>1.4</v>
      </c>
      <c r="J1086" t="n">
        <v>1</v>
      </c>
      <c r="K1086" t="n">
        <v>0</v>
      </c>
      <c r="L1086" t="n">
        <v>0</v>
      </c>
      <c r="M1086" t="n">
        <v>0</v>
      </c>
      <c r="N1086" t="n">
        <v>0</v>
      </c>
      <c r="O1086" t="n">
        <v>0</v>
      </c>
      <c r="P1086" t="n">
        <v>0</v>
      </c>
      <c r="Q1086" t="n">
        <v>0</v>
      </c>
      <c r="R1086" t="n">
        <v>0</v>
      </c>
      <c r="S1086" t="n">
        <v>1</v>
      </c>
      <c r="T1086" t="n">
        <v>1</v>
      </c>
      <c r="U1086" t="n">
        <v>0</v>
      </c>
      <c r="V1086" s="2" t="inlineStr">
        <is>
          <t>Spillkråka</t>
        </is>
      </c>
      <c r="W1086">
        <f>HYPERLINK("https://klasma.github.io/Logging_0881/artfynd/A 41719-2026 artfynd.xlsx", "A 41719-2026")</f>
        <v/>
      </c>
      <c r="X1086">
        <f>HYPERLINK("https://klasma.github.io/Logging_0881/kartor/A 41719-2026 karta.png", "A 41719-2026")</f>
        <v/>
      </c>
      <c r="Y1086">
        <f>HYPERLINK("https://klasma.github.io/Logging_0881/kartor_geotiff/A 41719-2026 georefererad karta.tif", "A 41719-2026")</f>
        <v/>
      </c>
      <c r="AA1086">
        <f>HYPERLINK("https://klasma.github.io/Logging_0881/klagomål/A 41719-2026 FSC-klagomål.docx", "A 41719-2026")</f>
        <v/>
      </c>
      <c r="AB1086">
        <f>HYPERLINK("https://klasma.github.io/Logging_0881/klagomålsmail/A 41719-2026 FSC-klagomål mail.docx", "A 41719-2026")</f>
        <v/>
      </c>
      <c r="AC1086">
        <f>HYPERLINK("https://klasma.github.io/Logging_0881/tillsyn/A 41719-2026 tillsynsbegäran.docx", "A 41719-2026")</f>
        <v/>
      </c>
      <c r="AD1086">
        <f>HYPERLINK("https://klasma.github.io/Logging_0881/tillsynsmail/A 41719-2026 tillsynsbegäran mail.docx", "A 41719-2026")</f>
        <v/>
      </c>
      <c r="AE1086">
        <f>HYPERLINK("https://klasma.github.io/Logging_0881/fåglar/A 41719-2026 prioriterade fågelarter.docx", "A 41719-2026")</f>
        <v/>
      </c>
    </row>
    <row r="1087" ht="15" customHeight="1">
      <c r="A1087" t="inlineStr">
        <is>
          <t>A 59700-2023</t>
        </is>
      </c>
      <c r="B1087" t="inlineStr">
        <is>
          <t>avverkningsanmälan</t>
        </is>
      </c>
      <c r="C1087" t="inlineStr">
        <is>
          <t>Föryngringsavverkning</t>
        </is>
      </c>
      <c r="D1087" s="1" t="n">
        <v>45256</v>
      </c>
      <c r="E1087" s="1" t="n">
        <v>46323</v>
      </c>
      <c r="F1087" t="inlineStr">
        <is>
          <t>KALMAR LÄN</t>
        </is>
      </c>
      <c r="G1087" t="inlineStr">
        <is>
          <t>HÖGSBY</t>
        </is>
      </c>
      <c r="I1087" t="n">
        <v>0.9</v>
      </c>
      <c r="J1087" t="n">
        <v>1</v>
      </c>
      <c r="K1087" t="n">
        <v>0</v>
      </c>
      <c r="L1087" t="n">
        <v>0</v>
      </c>
      <c r="M1087" t="n">
        <v>0</v>
      </c>
      <c r="N1087" t="n">
        <v>0</v>
      </c>
      <c r="O1087" t="n">
        <v>0</v>
      </c>
      <c r="P1087" t="n">
        <v>0</v>
      </c>
      <c r="Q1087" t="n">
        <v>0</v>
      </c>
      <c r="R1087" t="n">
        <v>0</v>
      </c>
      <c r="S1087" t="n">
        <v>1</v>
      </c>
      <c r="T1087" t="n">
        <v>1</v>
      </c>
      <c r="U1087" t="n">
        <v>0</v>
      </c>
      <c r="V1087" s="2" t="inlineStr">
        <is>
          <t>Tjäder</t>
        </is>
      </c>
      <c r="W1087">
        <f>HYPERLINK("https://klasma.github.io/Logging_0821/artfynd/A 59700-2023 artfynd.xlsx", "A 59700-2023")</f>
        <v/>
      </c>
      <c r="X1087">
        <f>HYPERLINK("https://klasma.github.io/Logging_0821/kartor/A 59700-2023 karta.png", "A 59700-2023")</f>
        <v/>
      </c>
      <c r="Y1087">
        <f>HYPERLINK("https://klasma.github.io/Logging_0821/kartor_geotiff/A 59700-2023 georefererad karta.tif", "A 59700-2023")</f>
        <v/>
      </c>
      <c r="AA1087">
        <f>HYPERLINK("https://klasma.github.io/Logging_0821/klagomål/A 59700-2023 FSC-klagomål.docx", "A 59700-2023")</f>
        <v/>
      </c>
      <c r="AB1087">
        <f>HYPERLINK("https://klasma.github.io/Logging_0821/klagomålsmail/A 59700-2023 FSC-klagomål mail.docx", "A 59700-2023")</f>
        <v/>
      </c>
      <c r="AC1087">
        <f>HYPERLINK("https://klasma.github.io/Logging_0821/tillsyn/A 59700-2023 tillsynsbegäran.docx", "A 59700-2023")</f>
        <v/>
      </c>
      <c r="AD1087">
        <f>HYPERLINK("https://klasma.github.io/Logging_0821/tillsynsmail/A 59700-2023 tillsynsbegäran mail.docx", "A 59700-2023")</f>
        <v/>
      </c>
      <c r="AE1087">
        <f>HYPERLINK("https://klasma.github.io/Logging_0821/fåglar/A 59700-2023 prioriterade fågelarter.docx", "A 59700-2023")</f>
        <v/>
      </c>
    </row>
    <row r="1088" ht="15" customHeight="1">
      <c r="A1088" t="inlineStr">
        <is>
          <t>A 23082-2024</t>
        </is>
      </c>
      <c r="B1088" t="inlineStr">
        <is>
          <t>avverkningsanmälan</t>
        </is>
      </c>
      <c r="C1088" t="inlineStr">
        <is>
          <t>Avverkning för annat ändamål</t>
        </is>
      </c>
      <c r="D1088" s="1" t="n">
        <v>45450</v>
      </c>
      <c r="E1088" s="1" t="n">
        <v>46323</v>
      </c>
      <c r="F1088" t="inlineStr">
        <is>
          <t>KALMAR LÄN</t>
        </is>
      </c>
      <c r="G1088" t="inlineStr">
        <is>
          <t>HULTSFRED</t>
        </is>
      </c>
      <c r="I1088" t="n">
        <v>1.8</v>
      </c>
      <c r="J1088" t="n">
        <v>1</v>
      </c>
      <c r="K1088" t="n">
        <v>0</v>
      </c>
      <c r="L1088" t="n">
        <v>0</v>
      </c>
      <c r="M1088" t="n">
        <v>0</v>
      </c>
      <c r="N1088" t="n">
        <v>0</v>
      </c>
      <c r="O1088" t="n">
        <v>0</v>
      </c>
      <c r="P1088" t="n">
        <v>0</v>
      </c>
      <c r="Q1088" t="n">
        <v>0</v>
      </c>
      <c r="R1088" t="n">
        <v>0</v>
      </c>
      <c r="S1088" t="n">
        <v>1</v>
      </c>
      <c r="T1088" t="n">
        <v>1</v>
      </c>
      <c r="U1088" t="n">
        <v>0</v>
      </c>
      <c r="V1088" s="2" t="inlineStr">
        <is>
          <t>Spillkråka</t>
        </is>
      </c>
      <c r="W1088">
        <f>HYPERLINK("https://klasma.github.io/Logging_0860/artfynd/A 23082-2024 artfynd.xlsx", "A 23082-2024")</f>
        <v/>
      </c>
      <c r="X1088">
        <f>HYPERLINK("https://klasma.github.io/Logging_0860/kartor/A 23082-2024 karta.png", "A 23082-2024")</f>
        <v/>
      </c>
      <c r="Y1088">
        <f>HYPERLINK("https://klasma.github.io/Logging_0860/kartor_geotiff/A 23082-2024 georefererad karta.tif", "A 23082-2024")</f>
        <v/>
      </c>
      <c r="AA1088">
        <f>HYPERLINK("https://klasma.github.io/Logging_0860/klagomål/A 23082-2024 FSC-klagomål.docx", "A 23082-2024")</f>
        <v/>
      </c>
      <c r="AB1088">
        <f>HYPERLINK("https://klasma.github.io/Logging_0860/klagomålsmail/A 23082-2024 FSC-klagomål mail.docx", "A 23082-2024")</f>
        <v/>
      </c>
      <c r="AC1088">
        <f>HYPERLINK("https://klasma.github.io/Logging_0860/tillsyn/A 23082-2024 tillsynsbegäran.docx", "A 23082-2024")</f>
        <v/>
      </c>
      <c r="AD1088">
        <f>HYPERLINK("https://klasma.github.io/Logging_0860/tillsynsmail/A 23082-2024 tillsynsbegäran mail.docx", "A 23082-2024")</f>
        <v/>
      </c>
      <c r="AE1088">
        <f>HYPERLINK("https://klasma.github.io/Logging_0860/fåglar/A 23082-2024 prioriterade fågelarter.docx", "A 23082-2024")</f>
        <v/>
      </c>
    </row>
    <row r="1089" ht="15" customHeight="1">
      <c r="A1089" t="inlineStr">
        <is>
          <t>A 17193-2023</t>
        </is>
      </c>
      <c r="B1089" t="inlineStr">
        <is>
          <t>avverkningsanmälan</t>
        </is>
      </c>
      <c r="C1089" t="inlineStr">
        <is>
          <t>Föryngringsavverkning</t>
        </is>
      </c>
      <c r="D1089" s="1" t="n">
        <v>45034</v>
      </c>
      <c r="E1089" s="1" t="n">
        <v>46323</v>
      </c>
      <c r="F1089" t="inlineStr">
        <is>
          <t>KALMAR LÄN</t>
        </is>
      </c>
      <c r="G1089" t="inlineStr">
        <is>
          <t>OSKARSHAMN</t>
        </is>
      </c>
      <c r="I1089" t="n">
        <v>0.7</v>
      </c>
      <c r="J1089" t="n">
        <v>0</v>
      </c>
      <c r="K1089" t="n">
        <v>0</v>
      </c>
      <c r="L1089" t="n">
        <v>0</v>
      </c>
      <c r="M1089" t="n">
        <v>1</v>
      </c>
      <c r="N1089" t="n">
        <v>0</v>
      </c>
      <c r="O1089" t="n">
        <v>0</v>
      </c>
      <c r="P1089" t="n">
        <v>0</v>
      </c>
      <c r="Q1089" t="n">
        <v>1</v>
      </c>
      <c r="R1089" t="n">
        <v>1</v>
      </c>
      <c r="S1089" t="n">
        <v>1</v>
      </c>
      <c r="T1089" t="n">
        <v>1</v>
      </c>
      <c r="U1089" t="n">
        <v>1</v>
      </c>
      <c r="V1089" s="2" t="inlineStr">
        <is>
          <t>Slåttergubbe</t>
        </is>
      </c>
      <c r="W1089">
        <f>HYPERLINK("https://klasma.github.io/Logging_0882/artfynd/A 17193-2023 artfynd.xlsx", "A 17193-2023")</f>
        <v/>
      </c>
      <c r="X1089">
        <f>HYPERLINK("https://klasma.github.io/Logging_0882/kartor/A 17193-2023 karta.png", "A 17193-2023")</f>
        <v/>
      </c>
      <c r="Y1089">
        <f>HYPERLINK("https://klasma.github.io/Logging_0882/kartor_geotiff/A 17193-2023 georefererad karta.tif", "A 17193-2023")</f>
        <v/>
      </c>
      <c r="AA1089">
        <f>HYPERLINK("https://klasma.github.io/Logging_0882/klagomål/A 17193-2023 FSC-klagomål.docx", "A 17193-2023")</f>
        <v/>
      </c>
      <c r="AB1089">
        <f>HYPERLINK("https://klasma.github.io/Logging_0882/klagomålsmail/A 17193-2023 FSC-klagomål mail.docx", "A 17193-2023")</f>
        <v/>
      </c>
      <c r="AC1089">
        <f>HYPERLINK("https://klasma.github.io/Logging_0882/tillsyn/A 17193-2023 tillsynsbegäran.docx", "A 17193-2023")</f>
        <v/>
      </c>
      <c r="AD1089">
        <f>HYPERLINK("https://klasma.github.io/Logging_0882/tillsynsmail/A 17193-2023 tillsynsbegäran mail.docx", "A 17193-2023")</f>
        <v/>
      </c>
    </row>
    <row r="1090" ht="15" customHeight="1">
      <c r="A1090" t="inlineStr">
        <is>
          <t>A 35388-2022</t>
        </is>
      </c>
      <c r="B1090" t="inlineStr">
        <is>
          <t>avverkningsanmälan</t>
        </is>
      </c>
      <c r="C1090" t="inlineStr">
        <is>
          <t>Föryngringsavverkning</t>
        </is>
      </c>
      <c r="D1090" s="1" t="n">
        <v>44798</v>
      </c>
      <c r="E1090" s="1" t="n">
        <v>46323</v>
      </c>
      <c r="F1090" t="inlineStr">
        <is>
          <t>KALMAR LÄN</t>
        </is>
      </c>
      <c r="G1090" t="inlineStr">
        <is>
          <t>NYBRO</t>
        </is>
      </c>
      <c r="I1090" t="n">
        <v>2</v>
      </c>
      <c r="J1090" t="n">
        <v>0</v>
      </c>
      <c r="K1090" t="n">
        <v>0</v>
      </c>
      <c r="L1090" t="n">
        <v>1</v>
      </c>
      <c r="M1090" t="n">
        <v>0</v>
      </c>
      <c r="N1090" t="n">
        <v>0</v>
      </c>
      <c r="O1090" t="n">
        <v>0</v>
      </c>
      <c r="P1090" t="n">
        <v>0</v>
      </c>
      <c r="Q1090" t="n">
        <v>1</v>
      </c>
      <c r="R1090" t="n">
        <v>0</v>
      </c>
      <c r="S1090" t="n">
        <v>1</v>
      </c>
      <c r="T1090" t="n">
        <v>1</v>
      </c>
      <c r="U1090" t="n">
        <v>1</v>
      </c>
      <c r="V1090" s="2" t="inlineStr">
        <is>
          <t>Motaggsvamp</t>
        </is>
      </c>
      <c r="W1090">
        <f>HYPERLINK("https://klasma.github.io/Logging_0881/artfynd/A 35388-2022 artfynd.xlsx", "A 35388-2022")</f>
        <v/>
      </c>
      <c r="X1090">
        <f>HYPERLINK("https://klasma.github.io/Logging_0881/kartor/A 35388-2022 karta.png", "A 35388-2022")</f>
        <v/>
      </c>
      <c r="Y1090">
        <f>HYPERLINK("https://klasma.github.io/Logging_0881/kartor_geotiff/A 35388-2022 georefererad karta.tif", "A 35388-2022")</f>
        <v/>
      </c>
      <c r="AA1090">
        <f>HYPERLINK("https://klasma.github.io/Logging_0881/klagomål/A 35388-2022 FSC-klagomål.docx", "A 35388-2022")</f>
        <v/>
      </c>
      <c r="AB1090">
        <f>HYPERLINK("https://klasma.github.io/Logging_0881/klagomålsmail/A 35388-2022 FSC-klagomål mail.docx", "A 35388-2022")</f>
        <v/>
      </c>
      <c r="AC1090">
        <f>HYPERLINK("https://klasma.github.io/Logging_0881/tillsyn/A 35388-2022 tillsynsbegäran.docx", "A 35388-2022")</f>
        <v/>
      </c>
      <c r="AD1090">
        <f>HYPERLINK("https://klasma.github.io/Logging_0881/tillsynsmail/A 35388-2022 tillsynsbegäran mail.docx", "A 35388-2022")</f>
        <v/>
      </c>
    </row>
    <row r="1091" ht="15" customHeight="1">
      <c r="A1091" t="inlineStr">
        <is>
          <t>A 41474-2026</t>
        </is>
      </c>
      <c r="B1091" t="inlineStr">
        <is>
          <t>avverkningsanmälan</t>
        </is>
      </c>
      <c r="C1091" t="inlineStr">
        <is>
          <t>Föryngringsavverkning</t>
        </is>
      </c>
      <c r="D1091" s="1" t="n">
        <v>46301</v>
      </c>
      <c r="E1091" s="1" t="n">
        <v>46323</v>
      </c>
      <c r="F1091" t="inlineStr">
        <is>
          <t>KALMAR LÄN</t>
        </is>
      </c>
      <c r="G1091" t="inlineStr">
        <is>
          <t>VIMMERBY</t>
        </is>
      </c>
      <c r="I1091" t="n">
        <v>2.9</v>
      </c>
      <c r="J1091" t="n">
        <v>0</v>
      </c>
      <c r="K1091" t="n">
        <v>0</v>
      </c>
      <c r="L1091" t="n">
        <v>1</v>
      </c>
      <c r="M1091" t="n">
        <v>0</v>
      </c>
      <c r="N1091" t="n">
        <v>0</v>
      </c>
      <c r="O1091" t="n">
        <v>0</v>
      </c>
      <c r="P1091" t="n">
        <v>0</v>
      </c>
      <c r="Q1091" t="n">
        <v>1</v>
      </c>
      <c r="R1091" t="n">
        <v>0</v>
      </c>
      <c r="S1091" t="n">
        <v>1</v>
      </c>
      <c r="T1091" t="n">
        <v>1</v>
      </c>
      <c r="U1091" t="n">
        <v>0</v>
      </c>
      <c r="V1091" s="2" t="inlineStr">
        <is>
          <t>Vårstarr</t>
        </is>
      </c>
      <c r="W1091">
        <f>HYPERLINK("https://klasma.github.io/Logging_0884/artfynd/A 41474-2026 artfynd.xlsx", "A 41474-2026")</f>
        <v/>
      </c>
      <c r="X1091">
        <f>HYPERLINK("https://klasma.github.io/Logging_0884/kartor/A 41474-2026 karta.png", "A 41474-2026")</f>
        <v/>
      </c>
      <c r="Y1091">
        <f>HYPERLINK("https://klasma.github.io/Logging_0884/kartor_geotiff/A 41474-2026 georefererad karta.tif", "A 41474-2026")</f>
        <v/>
      </c>
      <c r="AA1091">
        <f>HYPERLINK("https://klasma.github.io/Logging_0884/klagomål/A 41474-2026 FSC-klagomål.docx", "A 41474-2026")</f>
        <v/>
      </c>
      <c r="AB1091">
        <f>HYPERLINK("https://klasma.github.io/Logging_0884/klagomålsmail/A 41474-2026 FSC-klagomål mail.docx", "A 41474-2026")</f>
        <v/>
      </c>
      <c r="AC1091">
        <f>HYPERLINK("https://klasma.github.io/Logging_0884/tillsyn/A 41474-2026 tillsynsbegäran.docx", "A 41474-2026")</f>
        <v/>
      </c>
      <c r="AD1091">
        <f>HYPERLINK("https://klasma.github.io/Logging_0884/tillsynsmail/A 41474-2026 tillsynsbegäran mail.docx", "A 41474-2026")</f>
        <v/>
      </c>
    </row>
    <row r="1092" ht="15" customHeight="1">
      <c r="A1092" t="inlineStr">
        <is>
          <t>A 19536-2026</t>
        </is>
      </c>
      <c r="B1092" t="inlineStr">
        <is>
          <t>avverkningsanmälan</t>
        </is>
      </c>
      <c r="C1092" t="inlineStr">
        <is>
          <t>Föryngringsavverkning</t>
        </is>
      </c>
      <c r="D1092" s="1" t="n">
        <v>46134</v>
      </c>
      <c r="E1092" s="1" t="n">
        <v>46323</v>
      </c>
      <c r="F1092" t="inlineStr">
        <is>
          <t>KALMAR LÄN</t>
        </is>
      </c>
      <c r="G1092" t="inlineStr">
        <is>
          <t>HÖGSBY</t>
        </is>
      </c>
      <c r="I1092" t="n">
        <v>4.7</v>
      </c>
      <c r="J1092" t="n">
        <v>1</v>
      </c>
      <c r="K1092" t="n">
        <v>0</v>
      </c>
      <c r="L1092" t="n">
        <v>0</v>
      </c>
      <c r="M1092" t="n">
        <v>0</v>
      </c>
      <c r="N1092" t="n">
        <v>0</v>
      </c>
      <c r="O1092" t="n">
        <v>0</v>
      </c>
      <c r="P1092" t="n">
        <v>0</v>
      </c>
      <c r="Q1092" t="n">
        <v>0</v>
      </c>
      <c r="R1092" t="n">
        <v>0</v>
      </c>
      <c r="S1092" t="n">
        <v>1</v>
      </c>
      <c r="T1092" t="n">
        <v>1</v>
      </c>
      <c r="U1092" t="n">
        <v>0</v>
      </c>
      <c r="V1092" s="2" t="inlineStr">
        <is>
          <t>Tjäder</t>
        </is>
      </c>
      <c r="W1092">
        <f>HYPERLINK("https://klasma.github.io/Logging_0821/artfynd/A 19536-2026 artfynd.xlsx", "A 19536-2026")</f>
        <v/>
      </c>
      <c r="X1092">
        <f>HYPERLINK("https://klasma.github.io/Logging_0821/kartor/A 19536-2026 karta.png", "A 19536-2026")</f>
        <v/>
      </c>
      <c r="Y1092">
        <f>HYPERLINK("https://klasma.github.io/Logging_0821/kartor_geotiff/A 19536-2026 georefererad karta.tif", "A 19536-2026")</f>
        <v/>
      </c>
      <c r="AA1092">
        <f>HYPERLINK("https://klasma.github.io/Logging_0821/klagomål/A 19536-2026 FSC-klagomål.docx", "A 19536-2026")</f>
        <v/>
      </c>
      <c r="AB1092">
        <f>HYPERLINK("https://klasma.github.io/Logging_0821/klagomålsmail/A 19536-2026 FSC-klagomål mail.docx", "A 19536-2026")</f>
        <v/>
      </c>
      <c r="AC1092">
        <f>HYPERLINK("https://klasma.github.io/Logging_0821/tillsyn/A 19536-2026 tillsynsbegäran.docx", "A 19536-2026")</f>
        <v/>
      </c>
      <c r="AD1092">
        <f>HYPERLINK("https://klasma.github.io/Logging_0821/tillsynsmail/A 19536-2026 tillsynsbegäran mail.docx", "A 19536-2026")</f>
        <v/>
      </c>
      <c r="AE1092">
        <f>HYPERLINK("https://klasma.github.io/Logging_0821/fåglar/A 19536-2026 prioriterade fågelarter.docx", "A 19536-2026")</f>
        <v/>
      </c>
    </row>
    <row r="1093" ht="15" customHeight="1">
      <c r="A1093" t="inlineStr">
        <is>
          <t>A 54981-2025</t>
        </is>
      </c>
      <c r="B1093" t="inlineStr">
        <is>
          <t>avverkningsanmälan</t>
        </is>
      </c>
      <c r="C1093" t="inlineStr">
        <is>
          <t>Föryngringsavverkning</t>
        </is>
      </c>
      <c r="D1093" s="1" t="n">
        <v>45967</v>
      </c>
      <c r="E1093" s="1" t="n">
        <v>46323</v>
      </c>
      <c r="F1093" t="inlineStr">
        <is>
          <t>KALMAR LÄN</t>
        </is>
      </c>
      <c r="G1093" t="inlineStr">
        <is>
          <t>EMMABODA</t>
        </is>
      </c>
      <c r="I1093" t="n">
        <v>0.7</v>
      </c>
      <c r="J1093" t="n">
        <v>0</v>
      </c>
      <c r="K1093" t="n">
        <v>0</v>
      </c>
      <c r="L1093" t="n">
        <v>1</v>
      </c>
      <c r="M1093" t="n">
        <v>0</v>
      </c>
      <c r="N1093" t="n">
        <v>0</v>
      </c>
      <c r="O1093" t="n">
        <v>0</v>
      </c>
      <c r="P1093" t="n">
        <v>0</v>
      </c>
      <c r="Q1093" t="n">
        <v>1</v>
      </c>
      <c r="R1093" t="n">
        <v>0</v>
      </c>
      <c r="S1093" t="n">
        <v>1</v>
      </c>
      <c r="T1093" t="n">
        <v>1</v>
      </c>
      <c r="U1093" t="n">
        <v>0</v>
      </c>
      <c r="V1093" s="2" t="inlineStr">
        <is>
          <t>Älg</t>
        </is>
      </c>
      <c r="W1093">
        <f>HYPERLINK("https://klasma.github.io/Logging_0862/artfynd/A 54981-2025 artfynd.xlsx", "A 54981-2025")</f>
        <v/>
      </c>
      <c r="X1093">
        <f>HYPERLINK("https://klasma.github.io/Logging_0862/kartor/A 54981-2025 karta.png", "A 54981-2025")</f>
        <v/>
      </c>
      <c r="Y1093">
        <f>HYPERLINK("https://klasma.github.io/Logging_0862/kartor_geotiff/A 54981-2025 georefererad karta.tif", "A 54981-2025")</f>
        <v/>
      </c>
      <c r="AA1093">
        <f>HYPERLINK("https://klasma.github.io/Logging_0862/klagomål/A 54981-2025 FSC-klagomål.docx", "A 54981-2025")</f>
        <v/>
      </c>
      <c r="AB1093">
        <f>HYPERLINK("https://klasma.github.io/Logging_0862/klagomålsmail/A 54981-2025 FSC-klagomål mail.docx", "A 54981-2025")</f>
        <v/>
      </c>
      <c r="AC1093">
        <f>HYPERLINK("https://klasma.github.io/Logging_0862/tillsyn/A 54981-2025 tillsynsbegäran.docx", "A 54981-2025")</f>
        <v/>
      </c>
      <c r="AD1093">
        <f>HYPERLINK("https://klasma.github.io/Logging_0862/tillsynsmail/A 54981-2025 tillsynsbegäran mail.docx", "A 54981-2025")</f>
        <v/>
      </c>
    </row>
    <row r="1094" ht="15" customHeight="1">
      <c r="A1094" t="inlineStr">
        <is>
          <t>A 41417-2026</t>
        </is>
      </c>
      <c r="B1094" t="inlineStr">
        <is>
          <t>avverkningsanmälan</t>
        </is>
      </c>
      <c r="C1094" t="inlineStr">
        <is>
          <t>Föryngringsavverkning</t>
        </is>
      </c>
      <c r="D1094" s="1" t="n">
        <v>46301</v>
      </c>
      <c r="E1094" s="1" t="n">
        <v>46323</v>
      </c>
      <c r="F1094" t="inlineStr">
        <is>
          <t>KALMAR LÄN</t>
        </is>
      </c>
      <c r="G1094" t="inlineStr">
        <is>
          <t>OSKARSHAMN</t>
        </is>
      </c>
      <c r="I1094" t="n">
        <v>1.4</v>
      </c>
      <c r="J1094" t="n">
        <v>1</v>
      </c>
      <c r="K1094" t="n">
        <v>0</v>
      </c>
      <c r="L1094" t="n">
        <v>0</v>
      </c>
      <c r="M1094" t="n">
        <v>0</v>
      </c>
      <c r="N1094" t="n">
        <v>0</v>
      </c>
      <c r="O1094" t="n">
        <v>0</v>
      </c>
      <c r="P1094" t="n">
        <v>0</v>
      </c>
      <c r="Q1094" t="n">
        <v>0</v>
      </c>
      <c r="R1094" t="n">
        <v>0</v>
      </c>
      <c r="S1094" t="n">
        <v>1</v>
      </c>
      <c r="T1094" t="n">
        <v>1</v>
      </c>
      <c r="U1094" t="n">
        <v>0</v>
      </c>
      <c r="V1094" s="2" t="inlineStr">
        <is>
          <t>Tjäder</t>
        </is>
      </c>
      <c r="W1094">
        <f>HYPERLINK("https://klasma.github.io/Logging_0882/artfynd/A 41417-2026 artfynd.xlsx", "A 41417-2026")</f>
        <v/>
      </c>
      <c r="X1094">
        <f>HYPERLINK("https://klasma.github.io/Logging_0882/kartor/A 41417-2026 karta.png", "A 41417-2026")</f>
        <v/>
      </c>
      <c r="Y1094">
        <f>HYPERLINK("https://klasma.github.io/Logging_0882/kartor_geotiff/A 41417-2026 georefererad karta.tif", "A 41417-2026")</f>
        <v/>
      </c>
      <c r="AA1094">
        <f>HYPERLINK("https://klasma.github.io/Logging_0882/klagomål/A 41417-2026 FSC-klagomål.docx", "A 41417-2026")</f>
        <v/>
      </c>
      <c r="AB1094">
        <f>HYPERLINK("https://klasma.github.io/Logging_0882/klagomålsmail/A 41417-2026 FSC-klagomål mail.docx", "A 41417-2026")</f>
        <v/>
      </c>
      <c r="AC1094">
        <f>HYPERLINK("https://klasma.github.io/Logging_0882/tillsyn/A 41417-2026 tillsynsbegäran.docx", "A 41417-2026")</f>
        <v/>
      </c>
      <c r="AD1094">
        <f>HYPERLINK("https://klasma.github.io/Logging_0882/tillsynsmail/A 41417-2026 tillsynsbegäran mail.docx", "A 41417-2026")</f>
        <v/>
      </c>
      <c r="AE1094">
        <f>HYPERLINK("https://klasma.github.io/Logging_0882/fåglar/A 41417-2026 prioriterade fågelarter.docx", "A 41417-2026")</f>
        <v/>
      </c>
    </row>
    <row r="1095" ht="15" customHeight="1">
      <c r="A1095" t="inlineStr">
        <is>
          <t>A 19763-2026</t>
        </is>
      </c>
      <c r="B1095" t="inlineStr">
        <is>
          <t>avverkningsanmälan</t>
        </is>
      </c>
      <c r="C1095" t="inlineStr">
        <is>
          <t>Föryngringsavverkning</t>
        </is>
      </c>
      <c r="D1095" s="1" t="n">
        <v>46135</v>
      </c>
      <c r="E1095" s="1" t="n">
        <v>46323</v>
      </c>
      <c r="F1095" t="inlineStr">
        <is>
          <t>KALMAR LÄN</t>
        </is>
      </c>
      <c r="G1095" t="inlineStr">
        <is>
          <t>EMMABODA</t>
        </is>
      </c>
      <c r="H1095" t="inlineStr">
        <is>
          <t>Sveaskog</t>
        </is>
      </c>
      <c r="I1095" t="n">
        <v>8</v>
      </c>
      <c r="J1095" t="n">
        <v>0</v>
      </c>
      <c r="K1095" t="n">
        <v>0</v>
      </c>
      <c r="L1095" t="n">
        <v>1</v>
      </c>
      <c r="M1095" t="n">
        <v>0</v>
      </c>
      <c r="N1095" t="n">
        <v>0</v>
      </c>
      <c r="O1095" t="n">
        <v>0</v>
      </c>
      <c r="P1095" t="n">
        <v>0</v>
      </c>
      <c r="Q1095" t="n">
        <v>1</v>
      </c>
      <c r="R1095" t="n">
        <v>0</v>
      </c>
      <c r="S1095" t="n">
        <v>1</v>
      </c>
      <c r="T1095" t="n">
        <v>1</v>
      </c>
      <c r="U1095" t="n">
        <v>0</v>
      </c>
      <c r="V1095" s="2" t="inlineStr">
        <is>
          <t>Granspira</t>
        </is>
      </c>
      <c r="W1095">
        <f>HYPERLINK("https://klasma.github.io/Logging_0862/artfynd/A 19763-2026 artfynd.xlsx", "A 19763-2026")</f>
        <v/>
      </c>
      <c r="X1095">
        <f>HYPERLINK("https://klasma.github.io/Logging_0862/kartor/A 19763-2026 karta.png", "A 19763-2026")</f>
        <v/>
      </c>
      <c r="Y1095">
        <f>HYPERLINK("https://klasma.github.io/Logging_0862/kartor_geotiff/A 19763-2026 georefererad karta.tif", "A 19763-2026")</f>
        <v/>
      </c>
      <c r="AA1095">
        <f>HYPERLINK("https://klasma.github.io/Logging_0862/klagomål/A 19763-2026 FSC-klagomål.docx", "A 19763-2026")</f>
        <v/>
      </c>
      <c r="AB1095">
        <f>HYPERLINK("https://klasma.github.io/Logging_0862/klagomålsmail/A 19763-2026 FSC-klagomål mail.docx", "A 19763-2026")</f>
        <v/>
      </c>
      <c r="AC1095">
        <f>HYPERLINK("https://klasma.github.io/Logging_0862/tillsyn/A 19763-2026 tillsynsbegäran.docx", "A 19763-2026")</f>
        <v/>
      </c>
      <c r="AD1095">
        <f>HYPERLINK("https://klasma.github.io/Logging_0862/tillsynsmail/A 19763-2026 tillsynsbegäran mail.docx", "A 19763-2026")</f>
        <v/>
      </c>
    </row>
    <row r="1096" ht="15" customHeight="1">
      <c r="A1096" t="inlineStr">
        <is>
          <t>A 2830-2025</t>
        </is>
      </c>
      <c r="B1096" t="inlineStr">
        <is>
          <t>avverkningsanmälan</t>
        </is>
      </c>
      <c r="C1096" t="inlineStr">
        <is>
          <t>Föryngringsavverkning</t>
        </is>
      </c>
      <c r="D1096" s="1" t="n">
        <v>45677</v>
      </c>
      <c r="E1096" s="1" t="n">
        <v>46323</v>
      </c>
      <c r="F1096" t="inlineStr">
        <is>
          <t>KALMAR LÄN</t>
        </is>
      </c>
      <c r="G1096" t="inlineStr">
        <is>
          <t>VÄSTERVIK</t>
        </is>
      </c>
      <c r="I1096" t="n">
        <v>1.1</v>
      </c>
      <c r="J1096" t="n">
        <v>0</v>
      </c>
      <c r="K1096" t="n">
        <v>1</v>
      </c>
      <c r="L1096" t="n">
        <v>0</v>
      </c>
      <c r="M1096" t="n">
        <v>0</v>
      </c>
      <c r="N1096" t="n">
        <v>0</v>
      </c>
      <c r="O1096" t="n">
        <v>0</v>
      </c>
      <c r="P1096" t="n">
        <v>0</v>
      </c>
      <c r="Q1096" t="n">
        <v>0</v>
      </c>
      <c r="R1096" t="n">
        <v>0</v>
      </c>
      <c r="S1096" t="n">
        <v>1</v>
      </c>
      <c r="T1096" t="n">
        <v>1</v>
      </c>
      <c r="U1096" t="n">
        <v>1</v>
      </c>
      <c r="V1096" s="2" t="inlineStr">
        <is>
          <t>Grönpyrola</t>
        </is>
      </c>
      <c r="W1096">
        <f>HYPERLINK("https://klasma.github.io/Logging_0883/artfynd/A 2830-2025 artfynd.xlsx", "A 2830-2025")</f>
        <v/>
      </c>
      <c r="X1096">
        <f>HYPERLINK("https://klasma.github.io/Logging_0883/kartor/A 2830-2025 karta.png", "A 2830-2025")</f>
        <v/>
      </c>
      <c r="Y1096">
        <f>HYPERLINK("https://klasma.github.io/Logging_0883/kartor_geotiff/A 2830-2025 georefererad karta.tif", "A 2830-2025")</f>
        <v/>
      </c>
      <c r="AA1096">
        <f>HYPERLINK("https://klasma.github.io/Logging_0883/klagomål/A 2830-2025 FSC-klagomål.docx", "A 2830-2025")</f>
        <v/>
      </c>
      <c r="AB1096">
        <f>HYPERLINK("https://klasma.github.io/Logging_0883/klagomålsmail/A 2830-2025 FSC-klagomål mail.docx", "A 2830-2025")</f>
        <v/>
      </c>
      <c r="AC1096">
        <f>HYPERLINK("https://klasma.github.io/Logging_0883/tillsyn/A 2830-2025 tillsynsbegäran.docx", "A 2830-2025")</f>
        <v/>
      </c>
      <c r="AD1096">
        <f>HYPERLINK("https://klasma.github.io/Logging_0883/tillsynsmail/A 2830-2025 tillsynsbegäran mail.docx", "A 2830-2025")</f>
        <v/>
      </c>
    </row>
    <row r="1097" ht="15" customHeight="1">
      <c r="A1097" t="inlineStr">
        <is>
          <t>A 38267-2025</t>
        </is>
      </c>
      <c r="B1097" t="inlineStr">
        <is>
          <t>avverkningsanmälan</t>
        </is>
      </c>
      <c r="C1097" t="inlineStr">
        <is>
          <t>Föryngringsavverkning</t>
        </is>
      </c>
      <c r="D1097" s="1" t="n">
        <v>45883</v>
      </c>
      <c r="E1097" s="1" t="n">
        <v>46323</v>
      </c>
      <c r="F1097" t="inlineStr">
        <is>
          <t>KALMAR LÄN</t>
        </is>
      </c>
      <c r="G1097" t="inlineStr">
        <is>
          <t>HÖGSBY</t>
        </is>
      </c>
      <c r="I1097" t="n">
        <v>1.6</v>
      </c>
      <c r="J1097" t="n">
        <v>0</v>
      </c>
      <c r="K1097" t="n">
        <v>0</v>
      </c>
      <c r="L1097" t="n">
        <v>0</v>
      </c>
      <c r="M1097" t="n">
        <v>1</v>
      </c>
      <c r="N1097" t="n">
        <v>0</v>
      </c>
      <c r="O1097" t="n">
        <v>0</v>
      </c>
      <c r="P1097" t="n">
        <v>0</v>
      </c>
      <c r="Q1097" t="n">
        <v>1</v>
      </c>
      <c r="R1097" t="n">
        <v>1</v>
      </c>
      <c r="S1097" t="n">
        <v>1</v>
      </c>
      <c r="T1097" t="n">
        <v>1</v>
      </c>
      <c r="U1097" t="n">
        <v>0</v>
      </c>
      <c r="V1097" s="2" t="inlineStr">
        <is>
          <t>Flikig tallfibbla</t>
        </is>
      </c>
      <c r="W1097">
        <f>HYPERLINK("https://klasma.github.io/Logging_0821/artfynd/A 38267-2025 artfynd.xlsx", "A 38267-2025")</f>
        <v/>
      </c>
      <c r="X1097">
        <f>HYPERLINK("https://klasma.github.io/Logging_0821/kartor/A 38267-2025 karta.png", "A 38267-2025")</f>
        <v/>
      </c>
      <c r="Y1097">
        <f>HYPERLINK("https://klasma.github.io/Logging_0821/kartor_geotiff/A 38267-2025 georefererad karta.tif", "A 38267-2025")</f>
        <v/>
      </c>
      <c r="AA1097">
        <f>HYPERLINK("https://klasma.github.io/Logging_0821/klagomål/A 38267-2025 FSC-klagomål.docx", "A 38267-2025")</f>
        <v/>
      </c>
      <c r="AB1097">
        <f>HYPERLINK("https://klasma.github.io/Logging_0821/klagomålsmail/A 38267-2025 FSC-klagomål mail.docx", "A 38267-2025")</f>
        <v/>
      </c>
      <c r="AC1097">
        <f>HYPERLINK("https://klasma.github.io/Logging_0821/tillsyn/A 38267-2025 tillsynsbegäran.docx", "A 38267-2025")</f>
        <v/>
      </c>
      <c r="AD1097">
        <f>HYPERLINK("https://klasma.github.io/Logging_0821/tillsynsmail/A 38267-2025 tillsynsbegäran mail.docx", "A 38267-2025")</f>
        <v/>
      </c>
    </row>
    <row r="1098" ht="15" customHeight="1">
      <c r="A1098" t="inlineStr">
        <is>
          <t>A 53370-2023</t>
        </is>
      </c>
      <c r="B1098" t="inlineStr">
        <is>
          <t>avverkningsanmälan</t>
        </is>
      </c>
      <c r="C1098" t="inlineStr">
        <is>
          <t>Föryngringsavverkning</t>
        </is>
      </c>
      <c r="D1098" s="1" t="n">
        <v>45229</v>
      </c>
      <c r="E1098" s="1" t="n">
        <v>46323</v>
      </c>
      <c r="F1098" t="inlineStr">
        <is>
          <t>KALMAR LÄN</t>
        </is>
      </c>
      <c r="G1098" t="inlineStr">
        <is>
          <t>EMMABODA</t>
        </is>
      </c>
      <c r="I1098" t="n">
        <v>2.4</v>
      </c>
      <c r="J1098" t="n">
        <v>1</v>
      </c>
      <c r="K1098" t="n">
        <v>0</v>
      </c>
      <c r="L1098" t="n">
        <v>0</v>
      </c>
      <c r="M1098" t="n">
        <v>1</v>
      </c>
      <c r="N1098" t="n">
        <v>0</v>
      </c>
      <c r="O1098" t="n">
        <v>0</v>
      </c>
      <c r="P1098" t="n">
        <v>0</v>
      </c>
      <c r="Q1098" t="n">
        <v>1</v>
      </c>
      <c r="R1098" t="n">
        <v>1</v>
      </c>
      <c r="S1098" t="n">
        <v>1</v>
      </c>
      <c r="T1098" t="n">
        <v>1</v>
      </c>
      <c r="U1098" t="n">
        <v>1</v>
      </c>
      <c r="V1098" s="2" t="inlineStr">
        <is>
          <t>Knärot</t>
        </is>
      </c>
      <c r="W1098">
        <f>HYPERLINK("https://klasma.github.io/Logging_0862/artfynd/A 53370-2023 artfynd.xlsx", "A 53370-2023")</f>
        <v/>
      </c>
      <c r="X1098">
        <f>HYPERLINK("https://klasma.github.io/Logging_0862/kartor/A 53370-2023 karta.png", "A 53370-2023")</f>
        <v/>
      </c>
      <c r="Y1098">
        <f>HYPERLINK("https://klasma.github.io/Logging_0862/kartor_geotiff/A 53370-2023 georefererad karta.tif", "A 53370-2023")</f>
        <v/>
      </c>
      <c r="Z1098">
        <f>HYPERLINK("https://klasma.github.io/Logging_0862/knärot/A 53370-2023 karta knärot.png", "A 53370-2023")</f>
        <v/>
      </c>
      <c r="AA1098">
        <f>HYPERLINK("https://klasma.github.io/Logging_0862/klagomål/A 53370-2023 FSC-klagomål.docx", "A 53370-2023")</f>
        <v/>
      </c>
      <c r="AB1098">
        <f>HYPERLINK("https://klasma.github.io/Logging_0862/klagomålsmail/A 53370-2023 FSC-klagomål mail.docx", "A 53370-2023")</f>
        <v/>
      </c>
      <c r="AC1098">
        <f>HYPERLINK("https://klasma.github.io/Logging_0862/tillsyn/A 53370-2023 tillsynsbegäran.docx", "A 53370-2023")</f>
        <v/>
      </c>
      <c r="AD1098">
        <f>HYPERLINK("https://klasma.github.io/Logging_0862/tillsynsmail/A 53370-2023 tillsynsbegäran mail.docx", "A 53370-2023")</f>
        <v/>
      </c>
    </row>
    <row r="1099" ht="15" customHeight="1">
      <c r="A1099" t="inlineStr">
        <is>
          <t>A 18621-2025</t>
        </is>
      </c>
      <c r="B1099" t="inlineStr">
        <is>
          <t>avverkningsanmälan</t>
        </is>
      </c>
      <c r="C1099" t="inlineStr">
        <is>
          <t>Föryngringsavverkning</t>
        </is>
      </c>
      <c r="D1099" s="1" t="n">
        <v>45763</v>
      </c>
      <c r="E1099" s="1" t="n">
        <v>46323</v>
      </c>
      <c r="F1099" t="inlineStr">
        <is>
          <t>KALMAR LÄN</t>
        </is>
      </c>
      <c r="G1099" t="inlineStr">
        <is>
          <t>EMMABODA</t>
        </is>
      </c>
      <c r="I1099" t="n">
        <v>1.7</v>
      </c>
      <c r="J1099" t="n">
        <v>1</v>
      </c>
      <c r="K1099" t="n">
        <v>0</v>
      </c>
      <c r="L1099" t="n">
        <v>0</v>
      </c>
      <c r="M1099" t="n">
        <v>0</v>
      </c>
      <c r="N1099" t="n">
        <v>1</v>
      </c>
      <c r="O1099" t="n">
        <v>0</v>
      </c>
      <c r="P1099" t="n">
        <v>0</v>
      </c>
      <c r="Q1099" t="n">
        <v>1</v>
      </c>
      <c r="R1099" t="n">
        <v>1</v>
      </c>
      <c r="S1099" t="n">
        <v>1</v>
      </c>
      <c r="T1099" t="n">
        <v>1</v>
      </c>
      <c r="U1099" t="n">
        <v>0</v>
      </c>
      <c r="V1099" s="2" t="inlineStr">
        <is>
          <t>Pärluggla</t>
        </is>
      </c>
      <c r="W1099">
        <f>HYPERLINK("https://klasma.github.io/Logging_0862/artfynd/A 18621-2025 artfynd.xlsx", "A 18621-2025")</f>
        <v/>
      </c>
      <c r="X1099">
        <f>HYPERLINK("https://klasma.github.io/Logging_0862/kartor/A 18621-2025 karta.png", "A 18621-2025")</f>
        <v/>
      </c>
      <c r="Y1099">
        <f>HYPERLINK("https://klasma.github.io/Logging_0862/kartor_geotiff/A 18621-2025 georefererad karta.tif", "A 18621-2025")</f>
        <v/>
      </c>
      <c r="AA1099">
        <f>HYPERLINK("https://klasma.github.io/Logging_0862/klagomål/A 18621-2025 FSC-klagomål.docx", "A 18621-2025")</f>
        <v/>
      </c>
      <c r="AB1099">
        <f>HYPERLINK("https://klasma.github.io/Logging_0862/klagomålsmail/A 18621-2025 FSC-klagomål mail.docx", "A 18621-2025")</f>
        <v/>
      </c>
      <c r="AC1099">
        <f>HYPERLINK("https://klasma.github.io/Logging_0862/tillsyn/A 18621-2025 tillsynsbegäran.docx", "A 18621-2025")</f>
        <v/>
      </c>
      <c r="AD1099">
        <f>HYPERLINK("https://klasma.github.io/Logging_0862/tillsynsmail/A 18621-2025 tillsynsbegäran mail.docx", "A 18621-2025")</f>
        <v/>
      </c>
      <c r="AE1099">
        <f>HYPERLINK("https://klasma.github.io/Logging_0862/fåglar/A 18621-2025 prioriterade fågelarter.docx", "A 18621-2025")</f>
        <v/>
      </c>
    </row>
    <row r="1100" ht="15" customHeight="1">
      <c r="A1100" t="inlineStr">
        <is>
          <t>A 34873-2026</t>
        </is>
      </c>
      <c r="B1100" t="inlineStr">
        <is>
          <t>avverkningsanmälan</t>
        </is>
      </c>
      <c r="C1100" t="inlineStr">
        <is>
          <t>Föryngringsavverkning</t>
        </is>
      </c>
      <c r="D1100" s="1" t="n">
        <v>46258</v>
      </c>
      <c r="E1100" s="1" t="n">
        <v>46323</v>
      </c>
      <c r="F1100" t="inlineStr">
        <is>
          <t>KALMAR LÄN</t>
        </is>
      </c>
      <c r="G1100" t="inlineStr">
        <is>
          <t>KALMAR</t>
        </is>
      </c>
      <c r="I1100" t="n">
        <v>1.7</v>
      </c>
      <c r="J1100" t="n">
        <v>0</v>
      </c>
      <c r="K1100" t="n">
        <v>1</v>
      </c>
      <c r="L1100" t="n">
        <v>0</v>
      </c>
      <c r="M1100" t="n">
        <v>0</v>
      </c>
      <c r="N1100" t="n">
        <v>0</v>
      </c>
      <c r="O1100" t="n">
        <v>0</v>
      </c>
      <c r="P1100" t="n">
        <v>0</v>
      </c>
      <c r="Q1100" t="n">
        <v>0</v>
      </c>
      <c r="R1100" t="n">
        <v>0</v>
      </c>
      <c r="S1100" t="n">
        <v>1</v>
      </c>
      <c r="T1100" t="n">
        <v>1</v>
      </c>
      <c r="U1100" t="n">
        <v>0</v>
      </c>
      <c r="V1100" s="2" t="inlineStr">
        <is>
          <t>Blåmossa</t>
        </is>
      </c>
      <c r="W1100">
        <f>HYPERLINK("https://klasma.github.io/Logging_0880/artfynd/A 34873-2026 artfynd.xlsx", "A 34873-2026")</f>
        <v/>
      </c>
      <c r="X1100">
        <f>HYPERLINK("https://klasma.github.io/Logging_0880/kartor/A 34873-2026 karta.png", "A 34873-2026")</f>
        <v/>
      </c>
      <c r="Y1100">
        <f>HYPERLINK("https://klasma.github.io/Logging_0880/kartor_geotiff/A 34873-2026 georefererad karta.tif", "A 34873-2026")</f>
        <v/>
      </c>
      <c r="AA1100">
        <f>HYPERLINK("https://klasma.github.io/Logging_0880/klagomål/A 34873-2026 FSC-klagomål.docx", "A 34873-2026")</f>
        <v/>
      </c>
      <c r="AB1100">
        <f>HYPERLINK("https://klasma.github.io/Logging_0880/klagomålsmail/A 34873-2026 FSC-klagomål mail.docx", "A 34873-2026")</f>
        <v/>
      </c>
      <c r="AC1100">
        <f>HYPERLINK("https://klasma.github.io/Logging_0880/tillsyn/A 34873-2026 tillsynsbegäran.docx", "A 34873-2026")</f>
        <v/>
      </c>
      <c r="AD1100">
        <f>HYPERLINK("https://klasma.github.io/Logging_0880/tillsynsmail/A 34873-2026 tillsynsbegäran mail.docx", "A 34873-2026")</f>
        <v/>
      </c>
    </row>
    <row r="1101" ht="15" customHeight="1">
      <c r="A1101" t="inlineStr">
        <is>
          <t>A 44734-2025</t>
        </is>
      </c>
      <c r="B1101" t="inlineStr">
        <is>
          <t>avverkningsanmälan</t>
        </is>
      </c>
      <c r="C1101" t="inlineStr">
        <is>
          <t>Föryngringsavverkning</t>
        </is>
      </c>
      <c r="D1101" s="1" t="n">
        <v>45917</v>
      </c>
      <c r="E1101" s="1" t="n">
        <v>46323</v>
      </c>
      <c r="F1101" t="inlineStr">
        <is>
          <t>KALMAR LÄN</t>
        </is>
      </c>
      <c r="G1101" t="inlineStr">
        <is>
          <t>KALMAR</t>
        </is>
      </c>
      <c r="I1101" t="n">
        <v>4.6</v>
      </c>
      <c r="J1101" t="n">
        <v>1</v>
      </c>
      <c r="K1101" t="n">
        <v>0</v>
      </c>
      <c r="L1101" t="n">
        <v>0</v>
      </c>
      <c r="M1101" t="n">
        <v>0</v>
      </c>
      <c r="N1101" t="n">
        <v>0</v>
      </c>
      <c r="O1101" t="n">
        <v>0</v>
      </c>
      <c r="P1101" t="n">
        <v>0</v>
      </c>
      <c r="Q1101" t="n">
        <v>0</v>
      </c>
      <c r="R1101" t="n">
        <v>0</v>
      </c>
      <c r="S1101" t="n">
        <v>1</v>
      </c>
      <c r="T1101" t="n">
        <v>1</v>
      </c>
      <c r="U1101" t="n">
        <v>0</v>
      </c>
      <c r="V1101" s="2" t="inlineStr">
        <is>
          <t>Blåsippa</t>
        </is>
      </c>
      <c r="W1101">
        <f>HYPERLINK("https://klasma.github.io/Logging_0880/artfynd/A 44734-2025 artfynd.xlsx", "A 44734-2025")</f>
        <v/>
      </c>
      <c r="X1101">
        <f>HYPERLINK("https://klasma.github.io/Logging_0880/kartor/A 44734-2025 karta.png", "A 44734-2025")</f>
        <v/>
      </c>
      <c r="Y1101">
        <f>HYPERLINK("https://klasma.github.io/Logging_0880/kartor_geotiff/A 44734-2025 georefererad karta.tif", "A 44734-2025")</f>
        <v/>
      </c>
      <c r="AA1101">
        <f>HYPERLINK("https://klasma.github.io/Logging_0880/klagomål/A 44734-2025 FSC-klagomål.docx", "A 44734-2025")</f>
        <v/>
      </c>
      <c r="AB1101">
        <f>HYPERLINK("https://klasma.github.io/Logging_0880/klagomålsmail/A 44734-2025 FSC-klagomål mail.docx", "A 44734-2025")</f>
        <v/>
      </c>
      <c r="AC1101">
        <f>HYPERLINK("https://klasma.github.io/Logging_0880/tillsyn/A 44734-2025 tillsynsbegäran.docx", "A 44734-2025")</f>
        <v/>
      </c>
      <c r="AD1101">
        <f>HYPERLINK("https://klasma.github.io/Logging_0880/tillsynsmail/A 44734-2025 tillsynsbegäran mail.docx", "A 44734-2025")</f>
        <v/>
      </c>
    </row>
    <row r="1102" ht="15" customHeight="1">
      <c r="A1102" t="inlineStr">
        <is>
          <t>A 42178-2026</t>
        </is>
      </c>
      <c r="B1102" t="inlineStr">
        <is>
          <t>avverkningsanmälan</t>
        </is>
      </c>
      <c r="C1102" t="inlineStr">
        <is>
          <t>Föryngringsavverkning</t>
        </is>
      </c>
      <c r="D1102" s="1" t="n">
        <v>46304</v>
      </c>
      <c r="E1102" s="1" t="n">
        <v>46323</v>
      </c>
      <c r="F1102" t="inlineStr">
        <is>
          <t>KALMAR LÄN</t>
        </is>
      </c>
      <c r="G1102" t="inlineStr">
        <is>
          <t>KALMAR</t>
        </is>
      </c>
      <c r="I1102" t="n">
        <v>0.7</v>
      </c>
      <c r="J1102" t="n">
        <v>1</v>
      </c>
      <c r="K1102" t="n">
        <v>0</v>
      </c>
      <c r="L1102" t="n">
        <v>0</v>
      </c>
      <c r="M1102" t="n">
        <v>0</v>
      </c>
      <c r="N1102" t="n">
        <v>0</v>
      </c>
      <c r="O1102" t="n">
        <v>0</v>
      </c>
      <c r="P1102" t="n">
        <v>0</v>
      </c>
      <c r="Q1102" t="n">
        <v>0</v>
      </c>
      <c r="R1102" t="n">
        <v>0</v>
      </c>
      <c r="S1102" t="n">
        <v>1</v>
      </c>
      <c r="T1102" t="n">
        <v>1</v>
      </c>
      <c r="U1102" t="n">
        <v>0</v>
      </c>
      <c r="V1102" s="2" t="inlineStr">
        <is>
          <t>Blåsippa</t>
        </is>
      </c>
      <c r="W1102">
        <f>HYPERLINK("https://klasma.github.io/Logging_0880/artfynd/A 42178-2026 artfynd.xlsx", "A 42178-2026")</f>
        <v/>
      </c>
      <c r="X1102">
        <f>HYPERLINK("https://klasma.github.io/Logging_0880/kartor/A 42178-2026 karta.png", "A 42178-2026")</f>
        <v/>
      </c>
      <c r="Y1102">
        <f>HYPERLINK("https://klasma.github.io/Logging_0880/kartor_geotiff/A 42178-2026 georefererad karta.tif", "A 42178-2026")</f>
        <v/>
      </c>
      <c r="AA1102">
        <f>HYPERLINK("https://klasma.github.io/Logging_0880/klagomål/A 42178-2026 FSC-klagomål.docx", "A 42178-2026")</f>
        <v/>
      </c>
      <c r="AB1102">
        <f>HYPERLINK("https://klasma.github.io/Logging_0880/klagomålsmail/A 42178-2026 FSC-klagomål mail.docx", "A 42178-2026")</f>
        <v/>
      </c>
      <c r="AC1102">
        <f>HYPERLINK("https://klasma.github.io/Logging_0880/tillsyn/A 42178-2026 tillsynsbegäran.docx", "A 42178-2026")</f>
        <v/>
      </c>
      <c r="AD1102">
        <f>HYPERLINK("https://klasma.github.io/Logging_0880/tillsynsmail/A 42178-2026 tillsynsbegäran mail.docx", "A 42178-2026")</f>
        <v/>
      </c>
    </row>
    <row r="1103" ht="15" customHeight="1">
      <c r="A1103" t="inlineStr">
        <is>
          <t>A 28282-2025</t>
        </is>
      </c>
      <c r="B1103" t="inlineStr">
        <is>
          <t>avverkningsanmälan</t>
        </is>
      </c>
      <c r="C1103" t="inlineStr">
        <is>
          <t>Föryngringsavverkning</t>
        </is>
      </c>
      <c r="D1103" s="1" t="n">
        <v>45818</v>
      </c>
      <c r="E1103" s="1" t="n">
        <v>46323</v>
      </c>
      <c r="F1103" t="inlineStr">
        <is>
          <t>KALMAR LÄN</t>
        </is>
      </c>
      <c r="G1103" t="inlineStr">
        <is>
          <t>VIMMERBY</t>
        </is>
      </c>
      <c r="H1103" t="inlineStr">
        <is>
          <t>Sveaskog</t>
        </is>
      </c>
      <c r="I1103" t="n">
        <v>0.7</v>
      </c>
      <c r="J1103" t="n">
        <v>0</v>
      </c>
      <c r="K1103" t="n">
        <v>0</v>
      </c>
      <c r="L1103" t="n">
        <v>1</v>
      </c>
      <c r="M1103" t="n">
        <v>0</v>
      </c>
      <c r="N1103" t="n">
        <v>0</v>
      </c>
      <c r="O1103" t="n">
        <v>0</v>
      </c>
      <c r="P1103" t="n">
        <v>0</v>
      </c>
      <c r="Q1103" t="n">
        <v>1</v>
      </c>
      <c r="R1103" t="n">
        <v>0</v>
      </c>
      <c r="S1103" t="n">
        <v>1</v>
      </c>
      <c r="T1103" t="n">
        <v>1</v>
      </c>
      <c r="U1103" t="n">
        <v>1</v>
      </c>
      <c r="V1103" s="2" t="inlineStr">
        <is>
          <t>Tallticka</t>
        </is>
      </c>
      <c r="W1103">
        <f>HYPERLINK("https://klasma.github.io/Logging_0884/artfynd/A 28282-2025 artfynd.xlsx", "A 28282-2025")</f>
        <v/>
      </c>
      <c r="X1103">
        <f>HYPERLINK("https://klasma.github.io/Logging_0884/kartor/A 28282-2025 karta.png", "A 28282-2025")</f>
        <v/>
      </c>
      <c r="Y1103">
        <f>HYPERLINK("https://klasma.github.io/Logging_0884/kartor_geotiff/A 28282-2025 georefererad karta.tif", "A 28282-2025")</f>
        <v/>
      </c>
      <c r="AA1103">
        <f>HYPERLINK("https://klasma.github.io/Logging_0884/klagomål/A 28282-2025 FSC-klagomål.docx", "A 28282-2025")</f>
        <v/>
      </c>
      <c r="AB1103">
        <f>HYPERLINK("https://klasma.github.io/Logging_0884/klagomålsmail/A 28282-2025 FSC-klagomål mail.docx", "A 28282-2025")</f>
        <v/>
      </c>
      <c r="AC1103">
        <f>HYPERLINK("https://klasma.github.io/Logging_0884/tillsyn/A 28282-2025 tillsynsbegäran.docx", "A 28282-2025")</f>
        <v/>
      </c>
      <c r="AD1103">
        <f>HYPERLINK("https://klasma.github.io/Logging_0884/tillsynsmail/A 28282-2025 tillsynsbegäran mail.docx", "A 28282-2025")</f>
        <v/>
      </c>
    </row>
    <row r="1104" ht="15" customHeight="1">
      <c r="A1104" t="inlineStr">
        <is>
          <t>A 49782-2025</t>
        </is>
      </c>
      <c r="B1104" t="inlineStr">
        <is>
          <t>avverkningsanmälan</t>
        </is>
      </c>
      <c r="C1104" t="inlineStr">
        <is>
          <t>Föryngringsavverkning</t>
        </is>
      </c>
      <c r="D1104" s="1" t="n">
        <v>45940</v>
      </c>
      <c r="E1104" s="1" t="n">
        <v>46323</v>
      </c>
      <c r="F1104" t="inlineStr">
        <is>
          <t>KALMAR LÄN</t>
        </is>
      </c>
      <c r="G1104" t="inlineStr">
        <is>
          <t>NYBRO</t>
        </is>
      </c>
      <c r="I1104" t="n">
        <v>5.9</v>
      </c>
      <c r="J1104" t="n">
        <v>1</v>
      </c>
      <c r="K1104" t="n">
        <v>0</v>
      </c>
      <c r="L1104" t="n">
        <v>0</v>
      </c>
      <c r="M1104" t="n">
        <v>0</v>
      </c>
      <c r="N1104" t="n">
        <v>0</v>
      </c>
      <c r="O1104" t="n">
        <v>0</v>
      </c>
      <c r="P1104" t="n">
        <v>0</v>
      </c>
      <c r="Q1104" t="n">
        <v>0</v>
      </c>
      <c r="R1104" t="n">
        <v>0</v>
      </c>
      <c r="S1104" t="n">
        <v>1</v>
      </c>
      <c r="T1104" t="n">
        <v>1</v>
      </c>
      <c r="U1104" t="n">
        <v>0</v>
      </c>
      <c r="V1104" s="2" t="inlineStr">
        <is>
          <t>Röd glada</t>
        </is>
      </c>
      <c r="W1104">
        <f>HYPERLINK("https://klasma.github.io/Logging_0881/artfynd/A 49782-2025 artfynd.xlsx", "A 49782-2025")</f>
        <v/>
      </c>
      <c r="X1104">
        <f>HYPERLINK("https://klasma.github.io/Logging_0881/kartor/A 49782-2025 karta.png", "A 49782-2025")</f>
        <v/>
      </c>
      <c r="Y1104">
        <f>HYPERLINK("https://klasma.github.io/Logging_0881/kartor_geotiff/A 49782-2025 georefererad karta.tif", "A 49782-2025")</f>
        <v/>
      </c>
      <c r="AA1104">
        <f>HYPERLINK("https://klasma.github.io/Logging_0881/klagomål/A 49782-2025 FSC-klagomål.docx", "A 49782-2025")</f>
        <v/>
      </c>
      <c r="AB1104">
        <f>HYPERLINK("https://klasma.github.io/Logging_0881/klagomålsmail/A 49782-2025 FSC-klagomål mail.docx", "A 49782-2025")</f>
        <v/>
      </c>
      <c r="AC1104">
        <f>HYPERLINK("https://klasma.github.io/Logging_0881/tillsyn/A 49782-2025 tillsynsbegäran.docx", "A 49782-2025")</f>
        <v/>
      </c>
      <c r="AD1104">
        <f>HYPERLINK("https://klasma.github.io/Logging_0881/tillsynsmail/A 49782-2025 tillsynsbegäran mail.docx", "A 49782-2025")</f>
        <v/>
      </c>
      <c r="AE1104">
        <f>HYPERLINK("https://klasma.github.io/Logging_0881/fåglar/A 49782-2025 prioriterade fågelarter.docx", "A 49782-2025")</f>
        <v/>
      </c>
    </row>
    <row r="1105" ht="15" customHeight="1">
      <c r="A1105" t="inlineStr">
        <is>
          <t>A 21409-2025</t>
        </is>
      </c>
      <c r="B1105" t="inlineStr">
        <is>
          <t>avverkningsanmälan</t>
        </is>
      </c>
      <c r="C1105" t="inlineStr">
        <is>
          <t>Föryngringsavverkning</t>
        </is>
      </c>
      <c r="D1105" s="1" t="n">
        <v>45782</v>
      </c>
      <c r="E1105" s="1" t="n">
        <v>46323</v>
      </c>
      <c r="F1105" t="inlineStr">
        <is>
          <t>KALMAR LÄN</t>
        </is>
      </c>
      <c r="G1105" t="inlineStr">
        <is>
          <t>VÄSTERVIK</t>
        </is>
      </c>
      <c r="I1105" t="n">
        <v>2.5</v>
      </c>
      <c r="J1105" t="n">
        <v>1</v>
      </c>
      <c r="K1105" t="n">
        <v>0</v>
      </c>
      <c r="L1105" t="n">
        <v>0</v>
      </c>
      <c r="M1105" t="n">
        <v>0</v>
      </c>
      <c r="N1105" t="n">
        <v>0</v>
      </c>
      <c r="O1105" t="n">
        <v>0</v>
      </c>
      <c r="P1105" t="n">
        <v>0</v>
      </c>
      <c r="Q1105" t="n">
        <v>0</v>
      </c>
      <c r="R1105" t="n">
        <v>0</v>
      </c>
      <c r="S1105" t="n">
        <v>1</v>
      </c>
      <c r="T1105" t="n">
        <v>1</v>
      </c>
      <c r="U1105" t="n">
        <v>1</v>
      </c>
      <c r="V1105" s="2" t="inlineStr">
        <is>
          <t>Grönvit nattviol</t>
        </is>
      </c>
      <c r="W1105">
        <f>HYPERLINK("https://klasma.github.io/Logging_0883/artfynd/A 21409-2025 artfynd.xlsx", "A 21409-2025")</f>
        <v/>
      </c>
      <c r="X1105">
        <f>HYPERLINK("https://klasma.github.io/Logging_0883/kartor/A 21409-2025 karta.png", "A 21409-2025")</f>
        <v/>
      </c>
      <c r="Y1105">
        <f>HYPERLINK("https://klasma.github.io/Logging_0883/kartor_geotiff/A 21409-2025 georefererad karta.tif", "A 21409-2025")</f>
        <v/>
      </c>
      <c r="AA1105">
        <f>HYPERLINK("https://klasma.github.io/Logging_0883/klagomål/A 21409-2025 FSC-klagomål.docx", "A 21409-2025")</f>
        <v/>
      </c>
      <c r="AB1105">
        <f>HYPERLINK("https://klasma.github.io/Logging_0883/klagomålsmail/A 21409-2025 FSC-klagomål mail.docx", "A 21409-2025")</f>
        <v/>
      </c>
      <c r="AC1105">
        <f>HYPERLINK("https://klasma.github.io/Logging_0883/tillsyn/A 21409-2025 tillsynsbegäran.docx", "A 21409-2025")</f>
        <v/>
      </c>
      <c r="AD1105">
        <f>HYPERLINK("https://klasma.github.io/Logging_0883/tillsynsmail/A 21409-2025 tillsynsbegäran mail.docx", "A 21409-2025")</f>
        <v/>
      </c>
    </row>
    <row r="1106" ht="15" customHeight="1">
      <c r="A1106" t="inlineStr">
        <is>
          <t>A 30097-2026</t>
        </is>
      </c>
      <c r="B1106" t="inlineStr">
        <is>
          <t>avverkningsanmälan</t>
        </is>
      </c>
      <c r="C1106" t="inlineStr">
        <is>
          <t>Föryngringsavverkning</t>
        </is>
      </c>
      <c r="D1106" s="1" t="n">
        <v>46206</v>
      </c>
      <c r="E1106" s="1" t="n">
        <v>46323</v>
      </c>
      <c r="F1106" t="inlineStr">
        <is>
          <t>KALMAR LÄN</t>
        </is>
      </c>
      <c r="G1106" t="inlineStr">
        <is>
          <t>MÖNSTERÅS</t>
        </is>
      </c>
      <c r="H1106" t="inlineStr">
        <is>
          <t>Övriga Aktiebolag</t>
        </is>
      </c>
      <c r="I1106" t="n">
        <v>4.4</v>
      </c>
      <c r="J1106" t="n">
        <v>0</v>
      </c>
      <c r="K1106" t="n">
        <v>1</v>
      </c>
      <c r="L1106" t="n">
        <v>0</v>
      </c>
      <c r="M1106" t="n">
        <v>0</v>
      </c>
      <c r="N1106" t="n">
        <v>0</v>
      </c>
      <c r="O1106" t="n">
        <v>0</v>
      </c>
      <c r="P1106" t="n">
        <v>0</v>
      </c>
      <c r="Q1106" t="n">
        <v>0</v>
      </c>
      <c r="R1106" t="n">
        <v>0</v>
      </c>
      <c r="S1106" t="n">
        <v>1</v>
      </c>
      <c r="T1106" t="n">
        <v>1</v>
      </c>
      <c r="U1106" t="n">
        <v>1</v>
      </c>
      <c r="V1106" s="2" t="inlineStr">
        <is>
          <t>Björksplintborre</t>
        </is>
      </c>
      <c r="W1106">
        <f>HYPERLINK("https://klasma.github.io/Logging_0861/artfynd/A 30097-2026 artfynd.xlsx", "A 30097-2026")</f>
        <v/>
      </c>
      <c r="X1106">
        <f>HYPERLINK("https://klasma.github.io/Logging_0861/kartor/A 30097-2026 karta.png", "A 30097-2026")</f>
        <v/>
      </c>
      <c r="Y1106">
        <f>HYPERLINK("https://klasma.github.io/Logging_0861/kartor_geotiff/A 30097-2026 georefererad karta.tif", "A 30097-2026")</f>
        <v/>
      </c>
      <c r="AA1106">
        <f>HYPERLINK("https://klasma.github.io/Logging_0861/klagomål/A 30097-2026 FSC-klagomål.docx", "A 30097-2026")</f>
        <v/>
      </c>
      <c r="AB1106">
        <f>HYPERLINK("https://klasma.github.io/Logging_0861/klagomålsmail/A 30097-2026 FSC-klagomål mail.docx", "A 30097-2026")</f>
        <v/>
      </c>
      <c r="AC1106">
        <f>HYPERLINK("https://klasma.github.io/Logging_0861/tillsyn/A 30097-2026 tillsynsbegäran.docx", "A 30097-2026")</f>
        <v/>
      </c>
      <c r="AD1106">
        <f>HYPERLINK("https://klasma.github.io/Logging_0861/tillsynsmail/A 30097-2026 tillsynsbegäran mail.docx", "A 30097-2026")</f>
        <v/>
      </c>
    </row>
    <row r="1107" ht="15" customHeight="1">
      <c r="A1107" t="inlineStr">
        <is>
          <t>A 44865-2025</t>
        </is>
      </c>
      <c r="B1107" t="inlineStr">
        <is>
          <t>avverkningsanmälan</t>
        </is>
      </c>
      <c r="C1107" t="inlineStr">
        <is>
          <t>Föryngringsavverkning</t>
        </is>
      </c>
      <c r="D1107" s="1" t="n">
        <v>45918</v>
      </c>
      <c r="E1107" s="1" t="n">
        <v>46323</v>
      </c>
      <c r="F1107" t="inlineStr">
        <is>
          <t>KALMAR LÄN</t>
        </is>
      </c>
      <c r="G1107" t="inlineStr">
        <is>
          <t>VÄSTERVIK</t>
        </is>
      </c>
      <c r="I1107" t="n">
        <v>1.1</v>
      </c>
      <c r="J1107" t="n">
        <v>1</v>
      </c>
      <c r="K1107" t="n">
        <v>0</v>
      </c>
      <c r="L1107" t="n">
        <v>0</v>
      </c>
      <c r="M1107" t="n">
        <v>1</v>
      </c>
      <c r="N1107" t="n">
        <v>0</v>
      </c>
      <c r="O1107" t="n">
        <v>0</v>
      </c>
      <c r="P1107" t="n">
        <v>0</v>
      </c>
      <c r="Q1107" t="n">
        <v>1</v>
      </c>
      <c r="R1107" t="n">
        <v>1</v>
      </c>
      <c r="S1107" t="n">
        <v>1</v>
      </c>
      <c r="T1107" t="n">
        <v>2</v>
      </c>
      <c r="U1107" t="n">
        <v>0</v>
      </c>
      <c r="V1107" s="2" t="inlineStr">
        <is>
          <t>Knärot</t>
        </is>
      </c>
      <c r="W1107">
        <f>HYPERLINK("https://klasma.github.io/Logging_0883/artfynd/A 44865-2025 artfynd.xlsx", "A 44865-2025")</f>
        <v/>
      </c>
      <c r="X1107">
        <f>HYPERLINK("https://klasma.github.io/Logging_0883/kartor/A 44865-2025 karta.png", "A 44865-2025")</f>
        <v/>
      </c>
      <c r="Y1107">
        <f>HYPERLINK("https://klasma.github.io/Logging_0883/kartor_geotiff/A 44865-2025 georefererad karta.tif", "A 44865-2025")</f>
        <v/>
      </c>
      <c r="Z1107">
        <f>HYPERLINK("https://klasma.github.io/Logging_0883/knärot/A 44865-2025 karta knärot.png", "A 44865-2025")</f>
        <v/>
      </c>
      <c r="AA1107">
        <f>HYPERLINK("https://klasma.github.io/Logging_0883/klagomål/A 44865-2025 FSC-klagomål.docx", "A 44865-2025")</f>
        <v/>
      </c>
      <c r="AB1107">
        <f>HYPERLINK("https://klasma.github.io/Logging_0883/klagomålsmail/A 44865-2025 FSC-klagomål mail.docx", "A 44865-2025")</f>
        <v/>
      </c>
      <c r="AC1107">
        <f>HYPERLINK("https://klasma.github.io/Logging_0883/tillsyn/A 44865-2025 tillsynsbegäran.docx", "A 44865-2025")</f>
        <v/>
      </c>
      <c r="AD1107">
        <f>HYPERLINK("https://klasma.github.io/Logging_0883/tillsynsmail/A 44865-2025 tillsynsbegäran mail.docx", "A 44865-2025")</f>
        <v/>
      </c>
    </row>
    <row r="1108" ht="15" customHeight="1">
      <c r="A1108" t="inlineStr">
        <is>
          <t>A 30794-2025</t>
        </is>
      </c>
      <c r="B1108" t="inlineStr">
        <is>
          <t>avverkningsanmälan</t>
        </is>
      </c>
      <c r="C1108" t="inlineStr">
        <is>
          <t>Föryngringsavverkning</t>
        </is>
      </c>
      <c r="D1108" s="1" t="n">
        <v>45831</v>
      </c>
      <c r="E1108" s="1" t="n">
        <v>46323</v>
      </c>
      <c r="F1108" t="inlineStr">
        <is>
          <t>KALMAR LÄN</t>
        </is>
      </c>
      <c r="G1108" t="inlineStr">
        <is>
          <t>VÄSTERVIK</t>
        </is>
      </c>
      <c r="I1108" t="n">
        <v>4.8</v>
      </c>
      <c r="J1108" t="n">
        <v>0</v>
      </c>
      <c r="K1108" t="n">
        <v>0</v>
      </c>
      <c r="L1108" t="n">
        <v>1</v>
      </c>
      <c r="M1108" t="n">
        <v>0</v>
      </c>
      <c r="N1108" t="n">
        <v>0</v>
      </c>
      <c r="O1108" t="n">
        <v>0</v>
      </c>
      <c r="P1108" t="n">
        <v>0</v>
      </c>
      <c r="Q1108" t="n">
        <v>1</v>
      </c>
      <c r="R1108" t="n">
        <v>0</v>
      </c>
      <c r="S1108" t="n">
        <v>1</v>
      </c>
      <c r="T1108" t="n">
        <v>1</v>
      </c>
      <c r="U1108" t="n">
        <v>1</v>
      </c>
      <c r="V1108" s="2" t="inlineStr">
        <is>
          <t>Tallticka</t>
        </is>
      </c>
      <c r="W1108">
        <f>HYPERLINK("https://klasma.github.io/Logging_0883/artfynd/A 30794-2025 artfynd.xlsx", "A 30794-2025")</f>
        <v/>
      </c>
      <c r="X1108">
        <f>HYPERLINK("https://klasma.github.io/Logging_0883/kartor/A 30794-2025 karta.png", "A 30794-2025")</f>
        <v/>
      </c>
      <c r="Y1108">
        <f>HYPERLINK("https://klasma.github.io/Logging_0883/kartor_geotiff/A 30794-2025 georefererad karta.tif", "A 30794-2025")</f>
        <v/>
      </c>
      <c r="AA1108">
        <f>HYPERLINK("https://klasma.github.io/Logging_0883/klagomål/A 30794-2025 FSC-klagomål.docx", "A 30794-2025")</f>
        <v/>
      </c>
      <c r="AB1108">
        <f>HYPERLINK("https://klasma.github.io/Logging_0883/klagomålsmail/A 30794-2025 FSC-klagomål mail.docx", "A 30794-2025")</f>
        <v/>
      </c>
      <c r="AC1108">
        <f>HYPERLINK("https://klasma.github.io/Logging_0883/tillsyn/A 30794-2025 tillsynsbegäran.docx", "A 30794-2025")</f>
        <v/>
      </c>
      <c r="AD1108">
        <f>HYPERLINK("https://klasma.github.io/Logging_0883/tillsynsmail/A 30794-2025 tillsynsbegäran mail.docx", "A 30794-2025")</f>
        <v/>
      </c>
    </row>
    <row r="1109" ht="15" customHeight="1">
      <c r="A1109" t="inlineStr">
        <is>
          <t>A 22171-2023</t>
        </is>
      </c>
      <c r="B1109" t="inlineStr">
        <is>
          <t>avverkningsanmälan</t>
        </is>
      </c>
      <c r="C1109" t="inlineStr">
        <is>
          <t>Föryngringsavverkning</t>
        </is>
      </c>
      <c r="D1109" s="1" t="n">
        <v>45069</v>
      </c>
      <c r="E1109" s="1" t="n">
        <v>46323</v>
      </c>
      <c r="F1109" t="inlineStr">
        <is>
          <t>KALMAR LÄN</t>
        </is>
      </c>
      <c r="G1109" t="inlineStr">
        <is>
          <t>NYBRO</t>
        </is>
      </c>
      <c r="I1109" t="n">
        <v>3.6</v>
      </c>
      <c r="J1109" t="n">
        <v>0</v>
      </c>
      <c r="K1109" t="n">
        <v>1</v>
      </c>
      <c r="L1109" t="n">
        <v>0</v>
      </c>
      <c r="M1109" t="n">
        <v>0</v>
      </c>
      <c r="N1109" t="n">
        <v>0</v>
      </c>
      <c r="O1109" t="n">
        <v>0</v>
      </c>
      <c r="P1109" t="n">
        <v>0</v>
      </c>
      <c r="Q1109" t="n">
        <v>0</v>
      </c>
      <c r="R1109" t="n">
        <v>0</v>
      </c>
      <c r="S1109" t="n">
        <v>1</v>
      </c>
      <c r="T1109" t="n">
        <v>2</v>
      </c>
      <c r="U1109" t="n">
        <v>2</v>
      </c>
      <c r="V1109" s="2" t="inlineStr">
        <is>
          <t>Blåmossa</t>
        </is>
      </c>
      <c r="W1109">
        <f>HYPERLINK("https://klasma.github.io/Logging_0881/artfynd/A 22171-2023 artfynd.xlsx", "A 22171-2023")</f>
        <v/>
      </c>
      <c r="X1109">
        <f>HYPERLINK("https://klasma.github.io/Logging_0881/kartor/A 22171-2023 karta.png", "A 22171-2023")</f>
        <v/>
      </c>
      <c r="Y1109">
        <f>HYPERLINK("https://klasma.github.io/Logging_0881/kartor_geotiff/A 22171-2023 georefererad karta.tif", "A 22171-2023")</f>
        <v/>
      </c>
      <c r="AA1109">
        <f>HYPERLINK("https://klasma.github.io/Logging_0881/klagomål/A 22171-2023 FSC-klagomål.docx", "A 22171-2023")</f>
        <v/>
      </c>
      <c r="AB1109">
        <f>HYPERLINK("https://klasma.github.io/Logging_0881/klagomålsmail/A 22171-2023 FSC-klagomål mail.docx", "A 22171-2023")</f>
        <v/>
      </c>
      <c r="AC1109">
        <f>HYPERLINK("https://klasma.github.io/Logging_0881/tillsyn/A 22171-2023 tillsynsbegäran.docx", "A 22171-2023")</f>
        <v/>
      </c>
      <c r="AD1109">
        <f>HYPERLINK("https://klasma.github.io/Logging_0881/tillsynsmail/A 22171-2023 tillsynsbegäran mail.docx", "A 22171-2023")</f>
        <v/>
      </c>
    </row>
    <row r="1110" ht="15" customHeight="1">
      <c r="A1110" t="inlineStr">
        <is>
          <t>A 30510-2023</t>
        </is>
      </c>
      <c r="B1110" t="inlineStr">
        <is>
          <t>avverkningsanmälan</t>
        </is>
      </c>
      <c r="C1110" t="inlineStr">
        <is>
          <t>Föryngringsavverkning</t>
        </is>
      </c>
      <c r="D1110" s="1" t="n">
        <v>45111</v>
      </c>
      <c r="E1110" s="1" t="n">
        <v>46323</v>
      </c>
      <c r="F1110" t="inlineStr">
        <is>
          <t>KALMAR LÄN</t>
        </is>
      </c>
      <c r="G1110" t="inlineStr">
        <is>
          <t>NYBRO</t>
        </is>
      </c>
      <c r="I1110" t="n">
        <v>1</v>
      </c>
      <c r="J1110" t="n">
        <v>1</v>
      </c>
      <c r="K1110" t="n">
        <v>0</v>
      </c>
      <c r="L1110" t="n">
        <v>0</v>
      </c>
      <c r="M1110" t="n">
        <v>0</v>
      </c>
      <c r="N1110" t="n">
        <v>0</v>
      </c>
      <c r="O1110" t="n">
        <v>0</v>
      </c>
      <c r="P1110" t="n">
        <v>0</v>
      </c>
      <c r="Q1110" t="n">
        <v>0</v>
      </c>
      <c r="R1110" t="n">
        <v>0</v>
      </c>
      <c r="S1110" t="n">
        <v>1</v>
      </c>
      <c r="T1110" t="n">
        <v>1</v>
      </c>
      <c r="U1110" t="n">
        <v>1</v>
      </c>
      <c r="V1110" s="2" t="inlineStr">
        <is>
          <t>Tjäder</t>
        </is>
      </c>
      <c r="W1110">
        <f>HYPERLINK("https://klasma.github.io/Logging_0881/artfynd/A 30510-2023 artfynd.xlsx", "A 30510-2023")</f>
        <v/>
      </c>
      <c r="X1110">
        <f>HYPERLINK("https://klasma.github.io/Logging_0881/kartor/A 30510-2023 karta.png", "A 30510-2023")</f>
        <v/>
      </c>
      <c r="Y1110">
        <f>HYPERLINK("https://klasma.github.io/Logging_0881/kartor_geotiff/A 30510-2023 georefererad karta.tif", "A 30510-2023")</f>
        <v/>
      </c>
      <c r="AA1110">
        <f>HYPERLINK("https://klasma.github.io/Logging_0881/klagomål/A 30510-2023 FSC-klagomål.docx", "A 30510-2023")</f>
        <v/>
      </c>
      <c r="AB1110">
        <f>HYPERLINK("https://klasma.github.io/Logging_0881/klagomålsmail/A 30510-2023 FSC-klagomål mail.docx", "A 30510-2023")</f>
        <v/>
      </c>
      <c r="AC1110">
        <f>HYPERLINK("https://klasma.github.io/Logging_0881/tillsyn/A 30510-2023 tillsynsbegäran.docx", "A 30510-2023")</f>
        <v/>
      </c>
      <c r="AD1110">
        <f>HYPERLINK("https://klasma.github.io/Logging_0881/tillsynsmail/A 30510-2023 tillsynsbegäran mail.docx", "A 30510-2023")</f>
        <v/>
      </c>
      <c r="AE1110">
        <f>HYPERLINK("https://klasma.github.io/Logging_0881/fåglar/A 30510-2023 prioriterade fågelarter.docx", "A 30510-2023")</f>
        <v/>
      </c>
    </row>
    <row r="1111" ht="15" customHeight="1">
      <c r="A1111" t="inlineStr">
        <is>
          <t>A 13721-2023</t>
        </is>
      </c>
      <c r="B1111" t="inlineStr">
        <is>
          <t>avverkningsanmälan</t>
        </is>
      </c>
      <c r="C1111" t="inlineStr">
        <is>
          <t>Föryngringsavverkning</t>
        </is>
      </c>
      <c r="D1111" s="1" t="n">
        <v>45007</v>
      </c>
      <c r="E1111" s="1" t="n">
        <v>46323</v>
      </c>
      <c r="F1111" t="inlineStr">
        <is>
          <t>KALMAR LÄN</t>
        </is>
      </c>
      <c r="G1111" t="inlineStr">
        <is>
          <t>KALMAR</t>
        </is>
      </c>
      <c r="I1111" t="n">
        <v>5.2</v>
      </c>
      <c r="J1111" t="n">
        <v>0</v>
      </c>
      <c r="K1111" t="n">
        <v>1</v>
      </c>
      <c r="L1111" t="n">
        <v>0</v>
      </c>
      <c r="M1111" t="n">
        <v>0</v>
      </c>
      <c r="N1111" t="n">
        <v>0</v>
      </c>
      <c r="O1111" t="n">
        <v>0</v>
      </c>
      <c r="P1111" t="n">
        <v>0</v>
      </c>
      <c r="Q1111" t="n">
        <v>0</v>
      </c>
      <c r="R1111" t="n">
        <v>0</v>
      </c>
      <c r="S1111" t="n">
        <v>1</v>
      </c>
      <c r="T1111" t="n">
        <v>1</v>
      </c>
      <c r="U1111" t="n">
        <v>1</v>
      </c>
      <c r="V1111" s="2" t="inlineStr">
        <is>
          <t>Ögonpyrola</t>
        </is>
      </c>
      <c r="W1111">
        <f>HYPERLINK("https://klasma.github.io/Logging_0880/artfynd/A 13721-2023 artfynd.xlsx", "A 13721-2023")</f>
        <v/>
      </c>
      <c r="X1111">
        <f>HYPERLINK("https://klasma.github.io/Logging_0880/kartor/A 13721-2023 karta.png", "A 13721-2023")</f>
        <v/>
      </c>
      <c r="Y1111">
        <f>HYPERLINK("https://klasma.github.io/Logging_0880/kartor_geotiff/A 13721-2023 georefererad karta.tif", "A 13721-2023")</f>
        <v/>
      </c>
      <c r="AA1111">
        <f>HYPERLINK("https://klasma.github.io/Logging_0880/klagomål/A 13721-2023 FSC-klagomål.docx", "A 13721-2023")</f>
        <v/>
      </c>
      <c r="AB1111">
        <f>HYPERLINK("https://klasma.github.io/Logging_0880/klagomålsmail/A 13721-2023 FSC-klagomål mail.docx", "A 13721-2023")</f>
        <v/>
      </c>
      <c r="AC1111">
        <f>HYPERLINK("https://klasma.github.io/Logging_0880/tillsyn/A 13721-2023 tillsynsbegäran.docx", "A 13721-2023")</f>
        <v/>
      </c>
      <c r="AD1111">
        <f>HYPERLINK("https://klasma.github.io/Logging_0880/tillsynsmail/A 13721-2023 tillsynsbegäran mail.docx", "A 13721-2023")</f>
        <v/>
      </c>
    </row>
    <row r="1112" ht="15" customHeight="1">
      <c r="A1112" t="inlineStr">
        <is>
          <t>A 47775-2025</t>
        </is>
      </c>
      <c r="B1112" t="inlineStr">
        <is>
          <t>avverkningsanmälan</t>
        </is>
      </c>
      <c r="C1112" t="inlineStr">
        <is>
          <t>Föryngringsavverkning</t>
        </is>
      </c>
      <c r="D1112" s="1" t="n">
        <v>45931</v>
      </c>
      <c r="E1112" s="1" t="n">
        <v>46323</v>
      </c>
      <c r="F1112" t="inlineStr">
        <is>
          <t>KALMAR LÄN</t>
        </is>
      </c>
      <c r="G1112" t="inlineStr">
        <is>
          <t>VÄSTERVIK</t>
        </is>
      </c>
      <c r="I1112" t="n">
        <v>4.2</v>
      </c>
      <c r="J1112" t="n">
        <v>1</v>
      </c>
      <c r="K1112" t="n">
        <v>0</v>
      </c>
      <c r="L1112" t="n">
        <v>1</v>
      </c>
      <c r="M1112" t="n">
        <v>0</v>
      </c>
      <c r="N1112" t="n">
        <v>0</v>
      </c>
      <c r="O1112" t="n">
        <v>0</v>
      </c>
      <c r="P1112" t="n">
        <v>0</v>
      </c>
      <c r="Q1112" t="n">
        <v>1</v>
      </c>
      <c r="R1112" t="n">
        <v>0</v>
      </c>
      <c r="S1112" t="n">
        <v>1</v>
      </c>
      <c r="T1112" t="n">
        <v>1</v>
      </c>
      <c r="U1112" t="n">
        <v>1</v>
      </c>
      <c r="V1112" s="2" t="inlineStr">
        <is>
          <t>Talltita</t>
        </is>
      </c>
      <c r="W1112">
        <f>HYPERLINK("https://klasma.github.io/Logging_0883/artfynd/A 47775-2025 artfynd.xlsx", "A 47775-2025")</f>
        <v/>
      </c>
      <c r="X1112">
        <f>HYPERLINK("https://klasma.github.io/Logging_0883/kartor/A 47775-2025 karta.png", "A 47775-2025")</f>
        <v/>
      </c>
      <c r="Y1112">
        <f>HYPERLINK("https://klasma.github.io/Logging_0883/kartor_geotiff/A 47775-2025 georefererad karta.tif", "A 47775-2025")</f>
        <v/>
      </c>
      <c r="AA1112">
        <f>HYPERLINK("https://klasma.github.io/Logging_0883/klagomål/A 47775-2025 FSC-klagomål.docx", "A 47775-2025")</f>
        <v/>
      </c>
      <c r="AB1112">
        <f>HYPERLINK("https://klasma.github.io/Logging_0883/klagomålsmail/A 47775-2025 FSC-klagomål mail.docx", "A 47775-2025")</f>
        <v/>
      </c>
      <c r="AC1112">
        <f>HYPERLINK("https://klasma.github.io/Logging_0883/tillsyn/A 47775-2025 tillsynsbegäran.docx", "A 47775-2025")</f>
        <v/>
      </c>
      <c r="AD1112">
        <f>HYPERLINK("https://klasma.github.io/Logging_0883/tillsynsmail/A 47775-2025 tillsynsbegäran mail.docx", "A 47775-2025")</f>
        <v/>
      </c>
      <c r="AE1112">
        <f>HYPERLINK("https://klasma.github.io/Logging_0883/fåglar/A 47775-2025 prioriterade fågelarter.docx", "A 47775-2025")</f>
        <v/>
      </c>
    </row>
    <row r="1113" ht="15" customHeight="1">
      <c r="A1113" t="inlineStr">
        <is>
          <t>A 31773-2026</t>
        </is>
      </c>
      <c r="B1113" t="inlineStr">
        <is>
          <t>avverkningsanmälan</t>
        </is>
      </c>
      <c r="C1113" t="inlineStr">
        <is>
          <t>Föryngringsavverkning</t>
        </is>
      </c>
      <c r="D1113" s="1" t="n">
        <v>46230</v>
      </c>
      <c r="E1113" s="1" t="n">
        <v>46323</v>
      </c>
      <c r="F1113" t="inlineStr">
        <is>
          <t>KALMAR LÄN</t>
        </is>
      </c>
      <c r="G1113" t="inlineStr">
        <is>
          <t>NYBRO</t>
        </is>
      </c>
      <c r="I1113" t="n">
        <v>1.1</v>
      </c>
      <c r="J1113" t="n">
        <v>0</v>
      </c>
      <c r="K1113" t="n">
        <v>1</v>
      </c>
      <c r="L1113" t="n">
        <v>0</v>
      </c>
      <c r="M1113" t="n">
        <v>0</v>
      </c>
      <c r="N1113" t="n">
        <v>0</v>
      </c>
      <c r="O1113" t="n">
        <v>0</v>
      </c>
      <c r="P1113" t="n">
        <v>0</v>
      </c>
      <c r="Q1113" t="n">
        <v>0</v>
      </c>
      <c r="R1113" t="n">
        <v>0</v>
      </c>
      <c r="S1113" t="n">
        <v>1</v>
      </c>
      <c r="T1113" t="n">
        <v>1</v>
      </c>
      <c r="U1113" t="n">
        <v>0</v>
      </c>
      <c r="V1113" s="2" t="inlineStr">
        <is>
          <t>Blompraktbagge</t>
        </is>
      </c>
      <c r="W1113">
        <f>HYPERLINK("https://klasma.github.io/Logging_0881/artfynd/A 31773-2026 artfynd.xlsx", "A 31773-2026")</f>
        <v/>
      </c>
      <c r="X1113">
        <f>HYPERLINK("https://klasma.github.io/Logging_0881/kartor/A 31773-2026 karta.png", "A 31773-2026")</f>
        <v/>
      </c>
      <c r="Y1113">
        <f>HYPERLINK("https://klasma.github.io/Logging_0881/kartor_geotiff/A 31773-2026 georefererad karta.tif", "A 31773-2026")</f>
        <v/>
      </c>
      <c r="AA1113">
        <f>HYPERLINK("https://klasma.github.io/Logging_0881/klagomål/A 31773-2026 FSC-klagomål.docx", "A 31773-2026")</f>
        <v/>
      </c>
      <c r="AB1113">
        <f>HYPERLINK("https://klasma.github.io/Logging_0881/klagomålsmail/A 31773-2026 FSC-klagomål mail.docx", "A 31773-2026")</f>
        <v/>
      </c>
      <c r="AC1113">
        <f>HYPERLINK("https://klasma.github.io/Logging_0881/tillsyn/A 31773-2026 tillsynsbegäran.docx", "A 31773-2026")</f>
        <v/>
      </c>
      <c r="AD1113">
        <f>HYPERLINK("https://klasma.github.io/Logging_0881/tillsynsmail/A 31773-2026 tillsynsbegäran mail.docx", "A 31773-2026")</f>
        <v/>
      </c>
    </row>
    <row r="1114" ht="15" customHeight="1">
      <c r="A1114" t="inlineStr">
        <is>
          <t>A 1201-2025</t>
        </is>
      </c>
      <c r="B1114" t="inlineStr">
        <is>
          <t>avverkningsanmälan</t>
        </is>
      </c>
      <c r="C1114" t="inlineStr">
        <is>
          <t>Föryngringsavverkning</t>
        </is>
      </c>
      <c r="D1114" s="1" t="n">
        <v>45667</v>
      </c>
      <c r="E1114" s="1" t="n">
        <v>46323</v>
      </c>
      <c r="F1114" t="inlineStr">
        <is>
          <t>KALMAR LÄN</t>
        </is>
      </c>
      <c r="G1114" t="inlineStr">
        <is>
          <t>VIMMERBY</t>
        </is>
      </c>
      <c r="I1114" t="n">
        <v>6.4</v>
      </c>
      <c r="J1114" t="n">
        <v>1</v>
      </c>
      <c r="K1114" t="n">
        <v>0</v>
      </c>
      <c r="L1114" t="n">
        <v>0</v>
      </c>
      <c r="M1114" t="n">
        <v>1</v>
      </c>
      <c r="N1114" t="n">
        <v>0</v>
      </c>
      <c r="O1114" t="n">
        <v>0</v>
      </c>
      <c r="P1114" t="n">
        <v>0</v>
      </c>
      <c r="Q1114" t="n">
        <v>1</v>
      </c>
      <c r="R1114" t="n">
        <v>1</v>
      </c>
      <c r="S1114" t="n">
        <v>1</v>
      </c>
      <c r="T1114" t="n">
        <v>4</v>
      </c>
      <c r="U1114" t="n">
        <v>4</v>
      </c>
      <c r="V1114" s="2" t="inlineStr">
        <is>
          <t>Knärot</t>
        </is>
      </c>
      <c r="W1114">
        <f>HYPERLINK("https://klasma.github.io/Logging_0884/artfynd/A 1201-2025 artfynd.xlsx", "A 1201-2025")</f>
        <v/>
      </c>
      <c r="X1114">
        <f>HYPERLINK("https://klasma.github.io/Logging_0884/kartor/A 1201-2025 karta.png", "A 1201-2025")</f>
        <v/>
      </c>
      <c r="Y1114">
        <f>HYPERLINK("https://klasma.github.io/Logging_0884/kartor_geotiff/A 1201-2025 georefererad karta.tif", "A 1201-2025")</f>
        <v/>
      </c>
      <c r="Z1114">
        <f>HYPERLINK("https://klasma.github.io/Logging_0884/knärot/A 1201-2025 karta knärot.png", "A 1201-2025")</f>
        <v/>
      </c>
      <c r="AA1114">
        <f>HYPERLINK("https://klasma.github.io/Logging_0884/klagomål/A 1201-2025 FSC-klagomål.docx", "A 1201-2025")</f>
        <v/>
      </c>
      <c r="AB1114">
        <f>HYPERLINK("https://klasma.github.io/Logging_0884/klagomålsmail/A 1201-2025 FSC-klagomål mail.docx", "A 1201-2025")</f>
        <v/>
      </c>
      <c r="AC1114">
        <f>HYPERLINK("https://klasma.github.io/Logging_0884/tillsyn/A 1201-2025 tillsynsbegäran.docx", "A 1201-2025")</f>
        <v/>
      </c>
      <c r="AD1114">
        <f>HYPERLINK("https://klasma.github.io/Logging_0884/tillsynsmail/A 1201-2025 tillsynsbegäran mail.docx", "A 1201-2025")</f>
        <v/>
      </c>
    </row>
    <row r="1115" ht="15" customHeight="1">
      <c r="A1115" t="inlineStr">
        <is>
          <t>A 6612-2023</t>
        </is>
      </c>
      <c r="B1115" t="inlineStr">
        <is>
          <t>avverkningsanmälan</t>
        </is>
      </c>
      <c r="C1115" t="inlineStr">
        <is>
          <t>Föryngringsavverkning</t>
        </is>
      </c>
      <c r="D1115" s="1" t="n">
        <v>44966</v>
      </c>
      <c r="E1115" s="1" t="n">
        <v>46323</v>
      </c>
      <c r="F1115" t="inlineStr">
        <is>
          <t>KALMAR LÄN</t>
        </is>
      </c>
      <c r="G1115" t="inlineStr">
        <is>
          <t>EMMABODA</t>
        </is>
      </c>
      <c r="I1115" t="n">
        <v>1</v>
      </c>
      <c r="J1115" t="n">
        <v>1</v>
      </c>
      <c r="K1115" t="n">
        <v>1</v>
      </c>
      <c r="L1115" t="n">
        <v>0</v>
      </c>
      <c r="M1115" t="n">
        <v>0</v>
      </c>
      <c r="N1115" t="n">
        <v>0</v>
      </c>
      <c r="O1115" t="n">
        <v>0</v>
      </c>
      <c r="P1115" t="n">
        <v>0</v>
      </c>
      <c r="Q1115" t="n">
        <v>0</v>
      </c>
      <c r="R1115" t="n">
        <v>0</v>
      </c>
      <c r="S1115" t="n">
        <v>1</v>
      </c>
      <c r="T1115" t="n">
        <v>1</v>
      </c>
      <c r="U1115" t="n">
        <v>1</v>
      </c>
      <c r="V1115" s="2" t="inlineStr">
        <is>
          <t>Korallrot</t>
        </is>
      </c>
      <c r="W1115">
        <f>HYPERLINK("https://klasma.github.io/Logging_0862/artfynd/A 6612-2023 artfynd.xlsx", "A 6612-2023")</f>
        <v/>
      </c>
      <c r="X1115">
        <f>HYPERLINK("https://klasma.github.io/Logging_0862/kartor/A 6612-2023 karta.png", "A 6612-2023")</f>
        <v/>
      </c>
      <c r="Y1115">
        <f>HYPERLINK("https://klasma.github.io/Logging_0862/kartor_geotiff/A 6612-2023 georefererad karta.tif", "A 6612-2023")</f>
        <v/>
      </c>
      <c r="AA1115">
        <f>HYPERLINK("https://klasma.github.io/Logging_0862/klagomål/A 6612-2023 FSC-klagomål.docx", "A 6612-2023")</f>
        <v/>
      </c>
      <c r="AB1115">
        <f>HYPERLINK("https://klasma.github.io/Logging_0862/klagomålsmail/A 6612-2023 FSC-klagomål mail.docx", "A 6612-2023")</f>
        <v/>
      </c>
      <c r="AC1115">
        <f>HYPERLINK("https://klasma.github.io/Logging_0862/tillsyn/A 6612-2023 tillsynsbegäran.docx", "A 6612-2023")</f>
        <v/>
      </c>
      <c r="AD1115">
        <f>HYPERLINK("https://klasma.github.io/Logging_0862/tillsynsmail/A 6612-2023 tillsynsbegäran mail.docx", "A 6612-2023")</f>
        <v/>
      </c>
    </row>
    <row r="1116" ht="15" customHeight="1">
      <c r="A1116" t="inlineStr">
        <is>
          <t>A 6676-2023</t>
        </is>
      </c>
      <c r="B1116" t="inlineStr">
        <is>
          <t>avverkningsanmälan</t>
        </is>
      </c>
      <c r="C1116" t="inlineStr">
        <is>
          <t>Föryngringsavverkning</t>
        </is>
      </c>
      <c r="D1116" s="1" t="n">
        <v>44966</v>
      </c>
      <c r="E1116" s="1" t="n">
        <v>46323</v>
      </c>
      <c r="F1116" t="inlineStr">
        <is>
          <t>KALMAR LÄN</t>
        </is>
      </c>
      <c r="G1116" t="inlineStr">
        <is>
          <t>NYBRO</t>
        </is>
      </c>
      <c r="I1116" t="n">
        <v>0.7</v>
      </c>
      <c r="J1116" t="n">
        <v>0</v>
      </c>
      <c r="K1116" t="n">
        <v>0</v>
      </c>
      <c r="L1116" t="n">
        <v>1</v>
      </c>
      <c r="M1116" t="n">
        <v>0</v>
      </c>
      <c r="N1116" t="n">
        <v>0</v>
      </c>
      <c r="O1116" t="n">
        <v>0</v>
      </c>
      <c r="P1116" t="n">
        <v>0</v>
      </c>
      <c r="Q1116" t="n">
        <v>1</v>
      </c>
      <c r="R1116" t="n">
        <v>0</v>
      </c>
      <c r="S1116" t="n">
        <v>1</v>
      </c>
      <c r="T1116" t="n">
        <v>1</v>
      </c>
      <c r="U1116" t="n">
        <v>1</v>
      </c>
      <c r="V1116" s="2" t="inlineStr">
        <is>
          <t>Etternässla</t>
        </is>
      </c>
      <c r="W1116">
        <f>HYPERLINK("https://klasma.github.io/Logging_0881/artfynd/A 6676-2023 artfynd.xlsx", "A 6676-2023")</f>
        <v/>
      </c>
      <c r="X1116">
        <f>HYPERLINK("https://klasma.github.io/Logging_0881/kartor/A 6676-2023 karta.png", "A 6676-2023")</f>
        <v/>
      </c>
      <c r="Y1116">
        <f>HYPERLINK("https://klasma.github.io/Logging_0881/kartor_geotiff/A 6676-2023 georefererad karta.tif", "A 6676-2023")</f>
        <v/>
      </c>
      <c r="AA1116">
        <f>HYPERLINK("https://klasma.github.io/Logging_0881/klagomål/A 6676-2023 FSC-klagomål.docx", "A 6676-2023")</f>
        <v/>
      </c>
      <c r="AB1116">
        <f>HYPERLINK("https://klasma.github.io/Logging_0881/klagomålsmail/A 6676-2023 FSC-klagomål mail.docx", "A 6676-2023")</f>
        <v/>
      </c>
      <c r="AC1116">
        <f>HYPERLINK("https://klasma.github.io/Logging_0881/tillsyn/A 6676-2023 tillsynsbegäran.docx", "A 6676-2023")</f>
        <v/>
      </c>
      <c r="AD1116">
        <f>HYPERLINK("https://klasma.github.io/Logging_0881/tillsynsmail/A 6676-2023 tillsynsbegäran mail.docx", "A 6676-2023")</f>
        <v/>
      </c>
    </row>
    <row r="1117" ht="15" customHeight="1">
      <c r="A1117" t="inlineStr">
        <is>
          <t>A 750-2023</t>
        </is>
      </c>
      <c r="B1117" t="inlineStr">
        <is>
          <t>avverkningsanmälan</t>
        </is>
      </c>
      <c r="C1117" t="inlineStr">
        <is>
          <t>Föryngringsavverkning</t>
        </is>
      </c>
      <c r="D1117" s="1" t="n">
        <v>44931</v>
      </c>
      <c r="E1117" s="1" t="n">
        <v>46323</v>
      </c>
      <c r="F1117" t="inlineStr">
        <is>
          <t>KALMAR LÄN</t>
        </is>
      </c>
      <c r="G1117" t="inlineStr">
        <is>
          <t>KALMAR</t>
        </is>
      </c>
      <c r="I1117" t="n">
        <v>2.3</v>
      </c>
      <c r="J1117" t="n">
        <v>0</v>
      </c>
      <c r="K1117" t="n">
        <v>1</v>
      </c>
      <c r="L1117" t="n">
        <v>0</v>
      </c>
      <c r="M1117" t="n">
        <v>0</v>
      </c>
      <c r="N1117" t="n">
        <v>0</v>
      </c>
      <c r="O1117" t="n">
        <v>0</v>
      </c>
      <c r="P1117" t="n">
        <v>0</v>
      </c>
      <c r="Q1117" t="n">
        <v>0</v>
      </c>
      <c r="R1117" t="n">
        <v>0</v>
      </c>
      <c r="S1117" t="n">
        <v>1</v>
      </c>
      <c r="T1117" t="n">
        <v>1</v>
      </c>
      <c r="U1117" t="n">
        <v>0</v>
      </c>
      <c r="V1117" s="2" t="inlineStr">
        <is>
          <t>Blomkålssvamp</t>
        </is>
      </c>
      <c r="W1117">
        <f>HYPERLINK("https://klasma.github.io/Logging_0880/artfynd/A 750-2023 artfynd.xlsx", "A 750-2023")</f>
        <v/>
      </c>
      <c r="X1117">
        <f>HYPERLINK("https://klasma.github.io/Logging_0880/kartor/A 750-2023 karta.png", "A 750-2023")</f>
        <v/>
      </c>
      <c r="Y1117">
        <f>HYPERLINK("https://klasma.github.io/Logging_0880/kartor_geotiff/A 750-2023 georefererad karta.tif", "A 750-2023")</f>
        <v/>
      </c>
      <c r="AA1117">
        <f>HYPERLINK("https://klasma.github.io/Logging_0880/klagomål/A 750-2023 FSC-klagomål.docx", "A 750-2023")</f>
        <v/>
      </c>
      <c r="AB1117">
        <f>HYPERLINK("https://klasma.github.io/Logging_0880/klagomålsmail/A 750-2023 FSC-klagomål mail.docx", "A 750-2023")</f>
        <v/>
      </c>
      <c r="AC1117">
        <f>HYPERLINK("https://klasma.github.io/Logging_0880/tillsyn/A 750-2023 tillsynsbegäran.docx", "A 750-2023")</f>
        <v/>
      </c>
      <c r="AD1117">
        <f>HYPERLINK("https://klasma.github.io/Logging_0880/tillsynsmail/A 750-2023 tillsynsbegäran mail.docx", "A 750-2023")</f>
        <v/>
      </c>
    </row>
    <row r="1118" ht="15" customHeight="1">
      <c r="A1118" t="inlineStr">
        <is>
          <t>A 41879-2022</t>
        </is>
      </c>
      <c r="B1118" t="inlineStr">
        <is>
          <t>avverkningsanmälan</t>
        </is>
      </c>
      <c r="C1118" t="inlineStr">
        <is>
          <t>Föryngringsavverkning</t>
        </is>
      </c>
      <c r="D1118" s="1" t="n">
        <v>44827</v>
      </c>
      <c r="E1118" s="1" t="n">
        <v>46323</v>
      </c>
      <c r="F1118" t="inlineStr">
        <is>
          <t>KALMAR LÄN</t>
        </is>
      </c>
      <c r="G1118" t="inlineStr">
        <is>
          <t>MÖNSTERÅS</t>
        </is>
      </c>
      <c r="H1118" t="inlineStr">
        <is>
          <t>Kyrkan</t>
        </is>
      </c>
      <c r="I1118" t="n">
        <v>1</v>
      </c>
      <c r="J1118" t="n">
        <v>0</v>
      </c>
      <c r="K1118" t="n">
        <v>0</v>
      </c>
      <c r="L1118" t="n">
        <v>1</v>
      </c>
      <c r="M1118" t="n">
        <v>0</v>
      </c>
      <c r="N1118" t="n">
        <v>0</v>
      </c>
      <c r="O1118" t="n">
        <v>0</v>
      </c>
      <c r="P1118" t="n">
        <v>0</v>
      </c>
      <c r="Q1118" t="n">
        <v>1</v>
      </c>
      <c r="R1118" t="n">
        <v>0</v>
      </c>
      <c r="S1118" t="n">
        <v>1</v>
      </c>
      <c r="T1118" t="n">
        <v>1</v>
      </c>
      <c r="U1118" t="n">
        <v>1</v>
      </c>
      <c r="V1118" s="2" t="inlineStr">
        <is>
          <t>Brunag</t>
        </is>
      </c>
      <c r="W1118">
        <f>HYPERLINK("https://klasma.github.io/Logging_0861/artfynd/A 41879-2022 artfynd.xlsx", "A 41879-2022")</f>
        <v/>
      </c>
      <c r="X1118">
        <f>HYPERLINK("https://klasma.github.io/Logging_0861/kartor/A 41879-2022 karta.png", "A 41879-2022")</f>
        <v/>
      </c>
      <c r="Y1118">
        <f>HYPERLINK("https://klasma.github.io/Logging_0861/kartor_geotiff/A 41879-2022 georefererad karta.tif", "A 41879-2022")</f>
        <v/>
      </c>
      <c r="AA1118">
        <f>HYPERLINK("https://klasma.github.io/Logging_0861/klagomål/A 41879-2022 FSC-klagomål.docx", "A 41879-2022")</f>
        <v/>
      </c>
      <c r="AB1118">
        <f>HYPERLINK("https://klasma.github.io/Logging_0861/klagomålsmail/A 41879-2022 FSC-klagomål mail.docx", "A 41879-2022")</f>
        <v/>
      </c>
      <c r="AC1118">
        <f>HYPERLINK("https://klasma.github.io/Logging_0861/tillsyn/A 41879-2022 tillsynsbegäran.docx", "A 41879-2022")</f>
        <v/>
      </c>
      <c r="AD1118">
        <f>HYPERLINK("https://klasma.github.io/Logging_0861/tillsynsmail/A 41879-2022 tillsynsbegäran mail.docx", "A 41879-2022")</f>
        <v/>
      </c>
    </row>
    <row r="1119" ht="15" customHeight="1">
      <c r="A1119" t="inlineStr">
        <is>
          <t>A 2277-2023</t>
        </is>
      </c>
      <c r="B1119" t="inlineStr">
        <is>
          <t>avverkningsanmälan</t>
        </is>
      </c>
      <c r="C1119" t="inlineStr">
        <is>
          <t>Föryngringsavverkning</t>
        </is>
      </c>
      <c r="D1119" s="1" t="n">
        <v>44942</v>
      </c>
      <c r="E1119" s="1" t="n">
        <v>46323</v>
      </c>
      <c r="F1119" t="inlineStr">
        <is>
          <t>KALMAR LÄN</t>
        </is>
      </c>
      <c r="G1119" t="inlineStr">
        <is>
          <t>TORSÅS</t>
        </is>
      </c>
      <c r="I1119" t="n">
        <v>3.5</v>
      </c>
      <c r="J1119" t="n">
        <v>1</v>
      </c>
      <c r="K1119" t="n">
        <v>0</v>
      </c>
      <c r="L1119" t="n">
        <v>0</v>
      </c>
      <c r="M1119" t="n">
        <v>0</v>
      </c>
      <c r="N1119" t="n">
        <v>0</v>
      </c>
      <c r="O1119" t="n">
        <v>0</v>
      </c>
      <c r="P1119" t="n">
        <v>0</v>
      </c>
      <c r="Q1119" t="n">
        <v>0</v>
      </c>
      <c r="R1119" t="n">
        <v>0</v>
      </c>
      <c r="S1119" t="n">
        <v>1</v>
      </c>
      <c r="T1119" t="n">
        <v>1</v>
      </c>
      <c r="U1119" t="n">
        <v>0</v>
      </c>
      <c r="V1119" s="2" t="inlineStr">
        <is>
          <t>Hasselmus</t>
        </is>
      </c>
      <c r="W1119">
        <f>HYPERLINK("https://klasma.github.io/Logging_0834/artfynd/A 2277-2023 artfynd.xlsx", "A 2277-2023")</f>
        <v/>
      </c>
      <c r="X1119">
        <f>HYPERLINK("https://klasma.github.io/Logging_0834/kartor/A 2277-2023 karta.png", "A 2277-2023")</f>
        <v/>
      </c>
      <c r="Y1119">
        <f>HYPERLINK("https://klasma.github.io/Logging_0834/kartor_geotiff/A 2277-2023 georefererad karta.tif", "A 2277-2023")</f>
        <v/>
      </c>
      <c r="AA1119">
        <f>HYPERLINK("https://klasma.github.io/Logging_0834/klagomål/A 2277-2023 FSC-klagomål.docx", "A 2277-2023")</f>
        <v/>
      </c>
      <c r="AB1119">
        <f>HYPERLINK("https://klasma.github.io/Logging_0834/klagomålsmail/A 2277-2023 FSC-klagomål mail.docx", "A 2277-2023")</f>
        <v/>
      </c>
      <c r="AC1119">
        <f>HYPERLINK("https://klasma.github.io/Logging_0834/tillsyn/A 2277-2023 tillsynsbegäran.docx", "A 2277-2023")</f>
        <v/>
      </c>
      <c r="AD1119">
        <f>HYPERLINK("https://klasma.github.io/Logging_0834/tillsynsmail/A 2277-2023 tillsynsbegäran mail.docx", "A 2277-2023")</f>
        <v/>
      </c>
    </row>
    <row r="1120" ht="15" customHeight="1">
      <c r="A1120" t="inlineStr">
        <is>
          <t>A 35715-2026</t>
        </is>
      </c>
      <c r="B1120" t="inlineStr">
        <is>
          <t>avverkningsanmälan</t>
        </is>
      </c>
      <c r="C1120" t="inlineStr">
        <is>
          <t>Föryngringsavverkning</t>
        </is>
      </c>
      <c r="D1120" s="1" t="n">
        <v>46265</v>
      </c>
      <c r="E1120" s="1" t="n">
        <v>46323</v>
      </c>
      <c r="F1120" t="inlineStr">
        <is>
          <t>KALMAR LÄN</t>
        </is>
      </c>
      <c r="G1120" t="inlineStr">
        <is>
          <t>TORSÅS</t>
        </is>
      </c>
      <c r="I1120" t="n">
        <v>1.1</v>
      </c>
      <c r="J1120" t="n">
        <v>1</v>
      </c>
      <c r="K1120" t="n">
        <v>0</v>
      </c>
      <c r="L1120" t="n">
        <v>0</v>
      </c>
      <c r="M1120" t="n">
        <v>0</v>
      </c>
      <c r="N1120" t="n">
        <v>0</v>
      </c>
      <c r="O1120" t="n">
        <v>0</v>
      </c>
      <c r="P1120" t="n">
        <v>0</v>
      </c>
      <c r="Q1120" t="n">
        <v>0</v>
      </c>
      <c r="R1120" t="n">
        <v>0</v>
      </c>
      <c r="S1120" t="n">
        <v>1</v>
      </c>
      <c r="T1120" t="n">
        <v>1</v>
      </c>
      <c r="U1120" t="n">
        <v>0</v>
      </c>
      <c r="V1120" s="2" t="inlineStr">
        <is>
          <t>Gullviva</t>
        </is>
      </c>
      <c r="W1120">
        <f>HYPERLINK("https://klasma.github.io/Logging_0834/artfynd/A 35715-2026 artfynd.xlsx", "A 35715-2026")</f>
        <v/>
      </c>
      <c r="X1120">
        <f>HYPERLINK("https://klasma.github.io/Logging_0834/kartor/A 35715-2026 karta.png", "A 35715-2026")</f>
        <v/>
      </c>
      <c r="Y1120">
        <f>HYPERLINK("https://klasma.github.io/Logging_0834/kartor_geotiff/A 35715-2026 georefererad karta.tif", "A 35715-2026")</f>
        <v/>
      </c>
      <c r="AA1120">
        <f>HYPERLINK("https://klasma.github.io/Logging_0834/klagomål/A 35715-2026 FSC-klagomål.docx", "A 35715-2026")</f>
        <v/>
      </c>
      <c r="AB1120">
        <f>HYPERLINK("https://klasma.github.io/Logging_0834/klagomålsmail/A 35715-2026 FSC-klagomål mail.docx", "A 35715-2026")</f>
        <v/>
      </c>
      <c r="AC1120">
        <f>HYPERLINK("https://klasma.github.io/Logging_0834/tillsyn/A 35715-2026 tillsynsbegäran.docx", "A 35715-2026")</f>
        <v/>
      </c>
      <c r="AD1120">
        <f>HYPERLINK("https://klasma.github.io/Logging_0834/tillsynsmail/A 35715-2026 tillsynsbegäran mail.docx", "A 35715-2026")</f>
        <v/>
      </c>
    </row>
    <row r="1121" ht="15" customHeight="1">
      <c r="A1121" t="inlineStr">
        <is>
          <t>A 3401-2023</t>
        </is>
      </c>
      <c r="B1121" t="inlineStr">
        <is>
          <t>avverkningsanmälan</t>
        </is>
      </c>
      <c r="C1121" t="inlineStr">
        <is>
          <t>Föryngringsavverkning</t>
        </is>
      </c>
      <c r="D1121" s="1" t="n">
        <v>44949</v>
      </c>
      <c r="E1121" s="1" t="n">
        <v>46323</v>
      </c>
      <c r="F1121" t="inlineStr">
        <is>
          <t>KALMAR LÄN</t>
        </is>
      </c>
      <c r="G1121" t="inlineStr">
        <is>
          <t>KALMAR</t>
        </is>
      </c>
      <c r="I1121" t="n">
        <v>2.6</v>
      </c>
      <c r="J1121" t="n">
        <v>1</v>
      </c>
      <c r="K1121" t="n">
        <v>0</v>
      </c>
      <c r="L1121" t="n">
        <v>0</v>
      </c>
      <c r="M1121" t="n">
        <v>0</v>
      </c>
      <c r="N1121" t="n">
        <v>0</v>
      </c>
      <c r="O1121" t="n">
        <v>0</v>
      </c>
      <c r="P1121" t="n">
        <v>0</v>
      </c>
      <c r="Q1121" t="n">
        <v>0</v>
      </c>
      <c r="R1121" t="n">
        <v>0</v>
      </c>
      <c r="S1121" t="n">
        <v>1</v>
      </c>
      <c r="T1121" t="n">
        <v>1</v>
      </c>
      <c r="U1121" t="n">
        <v>0</v>
      </c>
      <c r="V1121" s="2" t="inlineStr">
        <is>
          <t>Mattlummer</t>
        </is>
      </c>
      <c r="W1121">
        <f>HYPERLINK("https://klasma.github.io/Logging_0880/artfynd/A 3401-2023 artfynd.xlsx", "A 3401-2023")</f>
        <v/>
      </c>
      <c r="X1121">
        <f>HYPERLINK("https://klasma.github.io/Logging_0880/kartor/A 3401-2023 karta.png", "A 3401-2023")</f>
        <v/>
      </c>
      <c r="Y1121">
        <f>HYPERLINK("https://klasma.github.io/Logging_0880/kartor_geotiff/A 3401-2023 georefererad karta.tif", "A 3401-2023")</f>
        <v/>
      </c>
      <c r="AA1121">
        <f>HYPERLINK("https://klasma.github.io/Logging_0880/klagomål/A 3401-2023 FSC-klagomål.docx", "A 3401-2023")</f>
        <v/>
      </c>
      <c r="AB1121">
        <f>HYPERLINK("https://klasma.github.io/Logging_0880/klagomålsmail/A 3401-2023 FSC-klagomål mail.docx", "A 3401-2023")</f>
        <v/>
      </c>
      <c r="AC1121">
        <f>HYPERLINK("https://klasma.github.io/Logging_0880/tillsyn/A 3401-2023 tillsynsbegäran.docx", "A 3401-2023")</f>
        <v/>
      </c>
      <c r="AD1121">
        <f>HYPERLINK("https://klasma.github.io/Logging_0880/tillsynsmail/A 3401-2023 tillsynsbegäran mail.docx", "A 3401-2023")</f>
        <v/>
      </c>
    </row>
    <row r="1122" ht="15" customHeight="1">
      <c r="A1122" t="inlineStr">
        <is>
          <t>A 764-2023</t>
        </is>
      </c>
      <c r="B1122" t="inlineStr">
        <is>
          <t>avverkningsanmälan</t>
        </is>
      </c>
      <c r="C1122" t="inlineStr">
        <is>
          <t>Föryngringsavverkning</t>
        </is>
      </c>
      <c r="D1122" s="1" t="n">
        <v>44931</v>
      </c>
      <c r="E1122" s="1" t="n">
        <v>46323</v>
      </c>
      <c r="F1122" t="inlineStr">
        <is>
          <t>KALMAR LÄN</t>
        </is>
      </c>
      <c r="G1122" t="inlineStr">
        <is>
          <t>KALMAR</t>
        </is>
      </c>
      <c r="I1122" t="n">
        <v>4.1</v>
      </c>
      <c r="J1122" t="n">
        <v>0</v>
      </c>
      <c r="K1122" t="n">
        <v>1</v>
      </c>
      <c r="L1122" t="n">
        <v>0</v>
      </c>
      <c r="M1122" t="n">
        <v>0</v>
      </c>
      <c r="N1122" t="n">
        <v>0</v>
      </c>
      <c r="O1122" t="n">
        <v>0</v>
      </c>
      <c r="P1122" t="n">
        <v>0</v>
      </c>
      <c r="Q1122" t="n">
        <v>0</v>
      </c>
      <c r="R1122" t="n">
        <v>0</v>
      </c>
      <c r="S1122" t="n">
        <v>1</v>
      </c>
      <c r="T1122" t="n">
        <v>4</v>
      </c>
      <c r="U1122" t="n">
        <v>4</v>
      </c>
      <c r="V1122" s="2" t="inlineStr">
        <is>
          <t>Blåmossa</t>
        </is>
      </c>
      <c r="W1122">
        <f>HYPERLINK("https://klasma.github.io/Logging_0880/artfynd/A 764-2023 artfynd.xlsx", "A 764-2023")</f>
        <v/>
      </c>
      <c r="X1122">
        <f>HYPERLINK("https://klasma.github.io/Logging_0880/kartor/A 764-2023 karta.png", "A 764-2023")</f>
        <v/>
      </c>
      <c r="Y1122">
        <f>HYPERLINK("https://klasma.github.io/Logging_0880/kartor_geotiff/A 764-2023 georefererad karta.tif", "A 764-2023")</f>
        <v/>
      </c>
      <c r="AA1122">
        <f>HYPERLINK("https://klasma.github.io/Logging_0880/klagomål/A 764-2023 FSC-klagomål.docx", "A 764-2023")</f>
        <v/>
      </c>
      <c r="AB1122">
        <f>HYPERLINK("https://klasma.github.io/Logging_0880/klagomålsmail/A 764-2023 FSC-klagomål mail.docx", "A 764-2023")</f>
        <v/>
      </c>
      <c r="AC1122">
        <f>HYPERLINK("https://klasma.github.io/Logging_0880/tillsyn/A 764-2023 tillsynsbegäran.docx", "A 764-2023")</f>
        <v/>
      </c>
      <c r="AD1122">
        <f>HYPERLINK("https://klasma.github.io/Logging_0880/tillsynsmail/A 764-2023 tillsynsbegäran mail.docx", "A 764-2023")</f>
        <v/>
      </c>
    </row>
    <row r="1123" ht="15" customHeight="1">
      <c r="A1123" t="inlineStr">
        <is>
          <t>A 54272-2023</t>
        </is>
      </c>
      <c r="B1123" t="inlineStr">
        <is>
          <t>avverkningsanmälan</t>
        </is>
      </c>
      <c r="C1123" t="inlineStr">
        <is>
          <t>Föryngringsavverkning</t>
        </is>
      </c>
      <c r="D1123" s="1" t="n">
        <v>45232</v>
      </c>
      <c r="E1123" s="1" t="n">
        <v>46323</v>
      </c>
      <c r="F1123" t="inlineStr">
        <is>
          <t>KALMAR LÄN</t>
        </is>
      </c>
      <c r="G1123" t="inlineStr">
        <is>
          <t>VÄSTERVIK</t>
        </is>
      </c>
      <c r="I1123" t="n">
        <v>1</v>
      </c>
      <c r="J1123" t="n">
        <v>0</v>
      </c>
      <c r="K1123" t="n">
        <v>1</v>
      </c>
      <c r="L1123" t="n">
        <v>0</v>
      </c>
      <c r="M1123" t="n">
        <v>0</v>
      </c>
      <c r="N1123" t="n">
        <v>0</v>
      </c>
      <c r="O1123" t="n">
        <v>0</v>
      </c>
      <c r="P1123" t="n">
        <v>0</v>
      </c>
      <c r="Q1123" t="n">
        <v>0</v>
      </c>
      <c r="R1123" t="n">
        <v>0</v>
      </c>
      <c r="S1123" t="n">
        <v>1</v>
      </c>
      <c r="T1123" t="n">
        <v>1</v>
      </c>
      <c r="U1123" t="n">
        <v>0</v>
      </c>
      <c r="V1123" s="2" t="inlineStr">
        <is>
          <t>Aprikosfingersvamp</t>
        </is>
      </c>
      <c r="W1123">
        <f>HYPERLINK("https://klasma.github.io/Logging_0883/artfynd/A 54272-2023 artfynd.xlsx", "A 54272-2023")</f>
        <v/>
      </c>
      <c r="X1123">
        <f>HYPERLINK("https://klasma.github.io/Logging_0883/kartor/A 54272-2023 karta.png", "A 54272-2023")</f>
        <v/>
      </c>
      <c r="Y1123">
        <f>HYPERLINK("https://klasma.github.io/Logging_0883/kartor_geotiff/A 54272-2023 georefererad karta.tif", "A 54272-2023")</f>
        <v/>
      </c>
      <c r="AA1123">
        <f>HYPERLINK("https://klasma.github.io/Logging_0883/klagomål/A 54272-2023 FSC-klagomål.docx", "A 54272-2023")</f>
        <v/>
      </c>
      <c r="AB1123">
        <f>HYPERLINK("https://klasma.github.io/Logging_0883/klagomålsmail/A 54272-2023 FSC-klagomål mail.docx", "A 54272-2023")</f>
        <v/>
      </c>
      <c r="AC1123">
        <f>HYPERLINK("https://klasma.github.io/Logging_0883/tillsyn/A 54272-2023 tillsynsbegäran.docx", "A 54272-2023")</f>
        <v/>
      </c>
      <c r="AD1123">
        <f>HYPERLINK("https://klasma.github.io/Logging_0883/tillsynsmail/A 54272-2023 tillsynsbegäran mail.docx", "A 54272-2023")</f>
        <v/>
      </c>
    </row>
    <row r="1124" ht="15" customHeight="1">
      <c r="A1124" t="inlineStr">
        <is>
          <t>A 35960-2026</t>
        </is>
      </c>
      <c r="B1124" t="inlineStr">
        <is>
          <t>avverkningsanmälan</t>
        </is>
      </c>
      <c r="C1124" t="inlineStr">
        <is>
          <t>Föryngringsavverkning</t>
        </is>
      </c>
      <c r="D1124" s="1" t="n">
        <v>46266</v>
      </c>
      <c r="E1124" s="1" t="n">
        <v>46323</v>
      </c>
      <c r="F1124" t="inlineStr">
        <is>
          <t>KALMAR LÄN</t>
        </is>
      </c>
      <c r="G1124" t="inlineStr">
        <is>
          <t>VÄSTERVIK</t>
        </is>
      </c>
      <c r="I1124" t="n">
        <v>0.6</v>
      </c>
      <c r="J1124" t="n">
        <v>1</v>
      </c>
      <c r="K1124" t="n">
        <v>0</v>
      </c>
      <c r="L1124" t="n">
        <v>0</v>
      </c>
      <c r="M1124" t="n">
        <v>0</v>
      </c>
      <c r="N1124" t="n">
        <v>0</v>
      </c>
      <c r="O1124" t="n">
        <v>0</v>
      </c>
      <c r="P1124" t="n">
        <v>0</v>
      </c>
      <c r="Q1124" t="n">
        <v>0</v>
      </c>
      <c r="R1124" t="n">
        <v>0</v>
      </c>
      <c r="S1124" t="n">
        <v>1</v>
      </c>
      <c r="T1124" t="n">
        <v>1</v>
      </c>
      <c r="U1124" t="n">
        <v>0</v>
      </c>
      <c r="V1124" s="2" t="inlineStr">
        <is>
          <t>Spillkråka</t>
        </is>
      </c>
      <c r="W1124">
        <f>HYPERLINK("https://klasma.github.io/Logging_0883/artfynd/A 35960-2026 artfynd.xlsx", "A 35960-2026")</f>
        <v/>
      </c>
      <c r="X1124">
        <f>HYPERLINK("https://klasma.github.io/Logging_0883/kartor/A 35960-2026 karta.png", "A 35960-2026")</f>
        <v/>
      </c>
      <c r="Y1124">
        <f>HYPERLINK("https://klasma.github.io/Logging_0883/kartor_geotiff/A 35960-2026 georefererad karta.tif", "A 35960-2026")</f>
        <v/>
      </c>
      <c r="AA1124">
        <f>HYPERLINK("https://klasma.github.io/Logging_0883/klagomål/A 35960-2026 FSC-klagomål.docx", "A 35960-2026")</f>
        <v/>
      </c>
      <c r="AB1124">
        <f>HYPERLINK("https://klasma.github.io/Logging_0883/klagomålsmail/A 35960-2026 FSC-klagomål mail.docx", "A 35960-2026")</f>
        <v/>
      </c>
      <c r="AC1124">
        <f>HYPERLINK("https://klasma.github.io/Logging_0883/tillsyn/A 35960-2026 tillsynsbegäran.docx", "A 35960-2026")</f>
        <v/>
      </c>
      <c r="AD1124">
        <f>HYPERLINK("https://klasma.github.io/Logging_0883/tillsynsmail/A 35960-2026 tillsynsbegäran mail.docx", "A 35960-2026")</f>
        <v/>
      </c>
      <c r="AE1124">
        <f>HYPERLINK("https://klasma.github.io/Logging_0883/fåglar/A 35960-2026 prioriterade fågelarter.docx", "A 35960-2026")</f>
        <v/>
      </c>
    </row>
    <row r="1125" ht="15" customHeight="1">
      <c r="A1125" t="inlineStr">
        <is>
          <t>A 28782-2025</t>
        </is>
      </c>
      <c r="B1125" t="inlineStr">
        <is>
          <t>avverkningsanmälan</t>
        </is>
      </c>
      <c r="C1125" t="inlineStr">
        <is>
          <t>Avverkning för att bevara och utveckla /försöksver</t>
        </is>
      </c>
      <c r="D1125" s="1" t="n">
        <v>45820</v>
      </c>
      <c r="E1125" s="1" t="n">
        <v>46323</v>
      </c>
      <c r="F1125" t="inlineStr">
        <is>
          <t>KALMAR LÄN</t>
        </is>
      </c>
      <c r="G1125" t="inlineStr">
        <is>
          <t>BORGHOLM</t>
        </is>
      </c>
      <c r="H1125" t="inlineStr">
        <is>
          <t>Sveaskog</t>
        </is>
      </c>
      <c r="I1125" t="n">
        <v>0.8</v>
      </c>
      <c r="J1125" t="n">
        <v>1</v>
      </c>
      <c r="K1125" t="n">
        <v>0</v>
      </c>
      <c r="L1125" t="n">
        <v>0</v>
      </c>
      <c r="M1125" t="n">
        <v>0</v>
      </c>
      <c r="N1125" t="n">
        <v>0</v>
      </c>
      <c r="O1125" t="n">
        <v>0</v>
      </c>
      <c r="P1125" t="n">
        <v>0</v>
      </c>
      <c r="Q1125" t="n">
        <v>0</v>
      </c>
      <c r="R1125" t="n">
        <v>0</v>
      </c>
      <c r="S1125" t="n">
        <v>1</v>
      </c>
      <c r="T1125" t="n">
        <v>1</v>
      </c>
      <c r="U1125" t="n">
        <v>0</v>
      </c>
      <c r="V1125" s="2" t="inlineStr">
        <is>
          <t>Havsörn</t>
        </is>
      </c>
      <c r="W1125">
        <f>HYPERLINK("https://klasma.github.io/Logging_0885/artfynd/A 28782-2025 artfynd.xlsx", "A 28782-2025")</f>
        <v/>
      </c>
      <c r="X1125">
        <f>HYPERLINK("https://klasma.github.io/Logging_0885/kartor/A 28782-2025 karta.png", "A 28782-2025")</f>
        <v/>
      </c>
      <c r="Y1125">
        <f>HYPERLINK("https://klasma.github.io/Logging_0885/kartor_geotiff/A 28782-2025 georefererad karta.tif", "A 28782-2025")</f>
        <v/>
      </c>
      <c r="AA1125">
        <f>HYPERLINK("https://klasma.github.io/Logging_0885/klagomål/A 28782-2025 FSC-klagomål.docx", "A 28782-2025")</f>
        <v/>
      </c>
      <c r="AB1125">
        <f>HYPERLINK("https://klasma.github.io/Logging_0885/klagomålsmail/A 28782-2025 FSC-klagomål mail.docx", "A 28782-2025")</f>
        <v/>
      </c>
      <c r="AC1125">
        <f>HYPERLINK("https://klasma.github.io/Logging_0885/tillsyn/A 28782-2025 tillsynsbegäran.docx", "A 28782-2025")</f>
        <v/>
      </c>
      <c r="AD1125">
        <f>HYPERLINK("https://klasma.github.io/Logging_0885/tillsynsmail/A 28782-2025 tillsynsbegäran mail.docx", "A 28782-2025")</f>
        <v/>
      </c>
      <c r="AE1125">
        <f>HYPERLINK("https://klasma.github.io/Logging_0885/fåglar/A 28782-2025 prioriterade fågelarter.docx", "A 28782-2025")</f>
        <v/>
      </c>
    </row>
    <row r="1126" ht="15" customHeight="1">
      <c r="A1126" t="inlineStr">
        <is>
          <t>A 28785-2025</t>
        </is>
      </c>
      <c r="B1126" t="inlineStr">
        <is>
          <t>avverkningsanmälan</t>
        </is>
      </c>
      <c r="C1126" t="inlineStr">
        <is>
          <t>Avverkning för att bevara och utveckla /försöksver</t>
        </is>
      </c>
      <c r="D1126" s="1" t="n">
        <v>45820</v>
      </c>
      <c r="E1126" s="1" t="n">
        <v>46323</v>
      </c>
      <c r="F1126" t="inlineStr">
        <is>
          <t>KALMAR LÄN</t>
        </is>
      </c>
      <c r="G1126" t="inlineStr">
        <is>
          <t>BORGHOLM</t>
        </is>
      </c>
      <c r="H1126" t="inlineStr">
        <is>
          <t>Sveaskog</t>
        </is>
      </c>
      <c r="I1126" t="n">
        <v>2.3</v>
      </c>
      <c r="J1126" t="n">
        <v>1</v>
      </c>
      <c r="K1126" t="n">
        <v>0</v>
      </c>
      <c r="L1126" t="n">
        <v>0</v>
      </c>
      <c r="M1126" t="n">
        <v>0</v>
      </c>
      <c r="N1126" t="n">
        <v>0</v>
      </c>
      <c r="O1126" t="n">
        <v>0</v>
      </c>
      <c r="P1126" t="n">
        <v>0</v>
      </c>
      <c r="Q1126" t="n">
        <v>0</v>
      </c>
      <c r="R1126" t="n">
        <v>0</v>
      </c>
      <c r="S1126" t="n">
        <v>1</v>
      </c>
      <c r="T1126" t="n">
        <v>1</v>
      </c>
      <c r="U1126" t="n">
        <v>0</v>
      </c>
      <c r="V1126" s="2" t="inlineStr">
        <is>
          <t>Havsörn</t>
        </is>
      </c>
      <c r="W1126">
        <f>HYPERLINK("https://klasma.github.io/Logging_0885/artfynd/A 28785-2025 artfynd.xlsx", "A 28785-2025")</f>
        <v/>
      </c>
      <c r="X1126">
        <f>HYPERLINK("https://klasma.github.io/Logging_0885/kartor/A 28785-2025 karta.png", "A 28785-2025")</f>
        <v/>
      </c>
      <c r="Y1126">
        <f>HYPERLINK("https://klasma.github.io/Logging_0885/kartor_geotiff/A 28785-2025 georefererad karta.tif", "A 28785-2025")</f>
        <v/>
      </c>
      <c r="AA1126">
        <f>HYPERLINK("https://klasma.github.io/Logging_0885/klagomål/A 28785-2025 FSC-klagomål.docx", "A 28785-2025")</f>
        <v/>
      </c>
      <c r="AB1126">
        <f>HYPERLINK("https://klasma.github.io/Logging_0885/klagomålsmail/A 28785-2025 FSC-klagomål mail.docx", "A 28785-2025")</f>
        <v/>
      </c>
      <c r="AC1126">
        <f>HYPERLINK("https://klasma.github.io/Logging_0885/tillsyn/A 28785-2025 tillsynsbegäran.docx", "A 28785-2025")</f>
        <v/>
      </c>
      <c r="AD1126">
        <f>HYPERLINK("https://klasma.github.io/Logging_0885/tillsynsmail/A 28785-2025 tillsynsbegäran mail.docx", "A 28785-2025")</f>
        <v/>
      </c>
      <c r="AE1126">
        <f>HYPERLINK("https://klasma.github.io/Logging_0885/fåglar/A 28785-2025 prioriterade fågelarter.docx", "A 28785-2025")</f>
        <v/>
      </c>
    </row>
    <row r="1127" ht="15" customHeight="1">
      <c r="A1127" t="inlineStr">
        <is>
          <t>A 24769-2025</t>
        </is>
      </c>
      <c r="B1127" t="inlineStr">
        <is>
          <t>avverkningsanmälan</t>
        </is>
      </c>
      <c r="C1127" t="inlineStr">
        <is>
          <t>Föryngringsavverkning</t>
        </is>
      </c>
      <c r="D1127" s="1" t="n">
        <v>45799</v>
      </c>
      <c r="E1127" s="1" t="n">
        <v>46323</v>
      </c>
      <c r="F1127" t="inlineStr">
        <is>
          <t>KALMAR LÄN</t>
        </is>
      </c>
      <c r="G1127" t="inlineStr">
        <is>
          <t>OSKARSHAMN</t>
        </is>
      </c>
      <c r="I1127" t="n">
        <v>1.7</v>
      </c>
      <c r="J1127" t="n">
        <v>1</v>
      </c>
      <c r="K1127" t="n">
        <v>0</v>
      </c>
      <c r="L1127" t="n">
        <v>1</v>
      </c>
      <c r="M1127" t="n">
        <v>0</v>
      </c>
      <c r="N1127" t="n">
        <v>0</v>
      </c>
      <c r="O1127" t="n">
        <v>0</v>
      </c>
      <c r="P1127" t="n">
        <v>0</v>
      </c>
      <c r="Q1127" t="n">
        <v>1</v>
      </c>
      <c r="R1127" t="n">
        <v>0</v>
      </c>
      <c r="S1127" t="n">
        <v>1</v>
      </c>
      <c r="T1127" t="n">
        <v>1</v>
      </c>
      <c r="U1127" t="n">
        <v>1</v>
      </c>
      <c r="V1127" s="2" t="inlineStr">
        <is>
          <t>Talltita</t>
        </is>
      </c>
      <c r="W1127">
        <f>HYPERLINK("https://klasma.github.io/Logging_0882/artfynd/A 24769-2025 artfynd.xlsx", "A 24769-2025")</f>
        <v/>
      </c>
      <c r="X1127">
        <f>HYPERLINK("https://klasma.github.io/Logging_0882/kartor/A 24769-2025 karta.png", "A 24769-2025")</f>
        <v/>
      </c>
      <c r="Y1127">
        <f>HYPERLINK("https://klasma.github.io/Logging_0882/kartor_geotiff/A 24769-2025 georefererad karta.tif", "A 24769-2025")</f>
        <v/>
      </c>
      <c r="AA1127">
        <f>HYPERLINK("https://klasma.github.io/Logging_0882/klagomål/A 24769-2025 FSC-klagomål.docx", "A 24769-2025")</f>
        <v/>
      </c>
      <c r="AB1127">
        <f>HYPERLINK("https://klasma.github.io/Logging_0882/klagomålsmail/A 24769-2025 FSC-klagomål mail.docx", "A 24769-2025")</f>
        <v/>
      </c>
      <c r="AC1127">
        <f>HYPERLINK("https://klasma.github.io/Logging_0882/tillsyn/A 24769-2025 tillsynsbegäran.docx", "A 24769-2025")</f>
        <v/>
      </c>
      <c r="AD1127">
        <f>HYPERLINK("https://klasma.github.io/Logging_0882/tillsynsmail/A 24769-2025 tillsynsbegäran mail.docx", "A 24769-2025")</f>
        <v/>
      </c>
      <c r="AE1127">
        <f>HYPERLINK("https://klasma.github.io/Logging_0882/fåglar/A 24769-2025 prioriterade fågelarter.docx", "A 24769-2025")</f>
        <v/>
      </c>
    </row>
    <row r="1128" ht="15" customHeight="1">
      <c r="A1128" t="inlineStr">
        <is>
          <t>A 25732-2023</t>
        </is>
      </c>
      <c r="B1128" t="inlineStr">
        <is>
          <t>avverkningsanmälan</t>
        </is>
      </c>
      <c r="C1128" t="inlineStr">
        <is>
          <t>Föryngringsavverkning</t>
        </is>
      </c>
      <c r="D1128" s="1" t="n">
        <v>45090</v>
      </c>
      <c r="E1128" s="1" t="n">
        <v>46323</v>
      </c>
      <c r="F1128" t="inlineStr">
        <is>
          <t>KALMAR LÄN</t>
        </is>
      </c>
      <c r="G1128" t="inlineStr">
        <is>
          <t>KALMAR</t>
        </is>
      </c>
      <c r="I1128" t="n">
        <v>3.2</v>
      </c>
      <c r="J1128" t="n">
        <v>0</v>
      </c>
      <c r="K1128" t="n">
        <v>0</v>
      </c>
      <c r="L1128" t="n">
        <v>1</v>
      </c>
      <c r="M1128" t="n">
        <v>0</v>
      </c>
      <c r="N1128" t="n">
        <v>0</v>
      </c>
      <c r="O1128" t="n">
        <v>0</v>
      </c>
      <c r="P1128" t="n">
        <v>0</v>
      </c>
      <c r="Q1128" t="n">
        <v>1</v>
      </c>
      <c r="R1128" t="n">
        <v>0</v>
      </c>
      <c r="S1128" t="n">
        <v>1</v>
      </c>
      <c r="T1128" t="n">
        <v>1</v>
      </c>
      <c r="U1128" t="n">
        <v>0</v>
      </c>
      <c r="V1128" s="2" t="inlineStr">
        <is>
          <t>Spinnfingersvamp</t>
        </is>
      </c>
      <c r="W1128">
        <f>HYPERLINK("https://klasma.github.io/Logging_0880/artfynd/A 25732-2023 artfynd.xlsx", "A 25732-2023")</f>
        <v/>
      </c>
      <c r="X1128">
        <f>HYPERLINK("https://klasma.github.io/Logging_0880/kartor/A 25732-2023 karta.png", "A 25732-2023")</f>
        <v/>
      </c>
      <c r="Y1128">
        <f>HYPERLINK("https://klasma.github.io/Logging_0880/kartor_geotiff/A 25732-2023 georefererad karta.tif", "A 25732-2023")</f>
        <v/>
      </c>
      <c r="AA1128">
        <f>HYPERLINK("https://klasma.github.io/Logging_0880/klagomål/A 25732-2023 FSC-klagomål.docx", "A 25732-2023")</f>
        <v/>
      </c>
      <c r="AB1128">
        <f>HYPERLINK("https://klasma.github.io/Logging_0880/klagomålsmail/A 25732-2023 FSC-klagomål mail.docx", "A 25732-2023")</f>
        <v/>
      </c>
      <c r="AC1128">
        <f>HYPERLINK("https://klasma.github.io/Logging_0880/tillsyn/A 25732-2023 tillsynsbegäran.docx", "A 25732-2023")</f>
        <v/>
      </c>
      <c r="AD1128">
        <f>HYPERLINK("https://klasma.github.io/Logging_0880/tillsynsmail/A 25732-2023 tillsynsbegäran mail.docx", "A 25732-2023")</f>
        <v/>
      </c>
    </row>
    <row r="1129" ht="15" customHeight="1">
      <c r="A1129" t="inlineStr">
        <is>
          <t>A 43278-2026</t>
        </is>
      </c>
      <c r="B1129" t="inlineStr">
        <is>
          <t>avverkningsanmälan</t>
        </is>
      </c>
      <c r="C1129" t="inlineStr">
        <is>
          <t>Föryngringsavverkning</t>
        </is>
      </c>
      <c r="D1129" s="1" t="n">
        <v>46314</v>
      </c>
      <c r="E1129" s="1" t="n">
        <v>46323</v>
      </c>
      <c r="F1129" t="inlineStr">
        <is>
          <t>KALMAR LÄN</t>
        </is>
      </c>
      <c r="G1129" t="inlineStr">
        <is>
          <t>VIMMERBY</t>
        </is>
      </c>
      <c r="I1129" t="n">
        <v>1.2</v>
      </c>
      <c r="J1129" t="n">
        <v>1</v>
      </c>
      <c r="K1129" t="n">
        <v>0</v>
      </c>
      <c r="L1129" t="n">
        <v>0</v>
      </c>
      <c r="M1129" t="n">
        <v>0</v>
      </c>
      <c r="N1129" t="n">
        <v>0</v>
      </c>
      <c r="O1129" t="n">
        <v>0</v>
      </c>
      <c r="P1129" t="n">
        <v>0</v>
      </c>
      <c r="Q1129" t="n">
        <v>0</v>
      </c>
      <c r="R1129" t="n">
        <v>0</v>
      </c>
      <c r="S1129" t="n">
        <v>1</v>
      </c>
      <c r="T1129" t="n">
        <v>1</v>
      </c>
      <c r="U1129" t="n">
        <v>0</v>
      </c>
      <c r="V1129" s="2" t="inlineStr">
        <is>
          <t>Röd glada</t>
        </is>
      </c>
      <c r="W1129">
        <f>HYPERLINK("https://klasma.github.io/Logging_0884/artfynd/A 43278-2026 artfynd.xlsx", "A 43278-2026")</f>
        <v/>
      </c>
      <c r="X1129">
        <f>HYPERLINK("https://klasma.github.io/Logging_0884/kartor/A 43278-2026 karta.png", "A 43278-2026")</f>
        <v/>
      </c>
      <c r="Y1129">
        <f>HYPERLINK("https://klasma.github.io/Logging_0884/kartor_geotiff/A 43278-2026 georefererad karta.tif", "A 43278-2026")</f>
        <v/>
      </c>
      <c r="AA1129">
        <f>HYPERLINK("https://klasma.github.io/Logging_0884/klagomål/A 43278-2026 FSC-klagomål.docx", "A 43278-2026")</f>
        <v/>
      </c>
      <c r="AB1129">
        <f>HYPERLINK("https://klasma.github.io/Logging_0884/klagomålsmail/A 43278-2026 FSC-klagomål mail.docx", "A 43278-2026")</f>
        <v/>
      </c>
      <c r="AC1129">
        <f>HYPERLINK("https://klasma.github.io/Logging_0884/tillsyn/A 43278-2026 tillsynsbegäran.docx", "A 43278-2026")</f>
        <v/>
      </c>
      <c r="AD1129">
        <f>HYPERLINK("https://klasma.github.io/Logging_0884/tillsynsmail/A 43278-2026 tillsynsbegäran mail.docx", "A 43278-2026")</f>
        <v/>
      </c>
      <c r="AE1129">
        <f>HYPERLINK("https://klasma.github.io/Logging_0884/fåglar/A 43278-2026 prioriterade fågelarter.docx", "A 43278-2026")</f>
        <v/>
      </c>
    </row>
    <row r="1130" ht="15" customHeight="1">
      <c r="A1130" t="inlineStr">
        <is>
          <t>A 3726-2023</t>
        </is>
      </c>
      <c r="B1130" t="inlineStr">
        <is>
          <t>avverkningsanmälan</t>
        </is>
      </c>
      <c r="C1130" t="inlineStr">
        <is>
          <t>Föryngringsavverkning</t>
        </is>
      </c>
      <c r="D1130" s="1" t="n">
        <v>44951</v>
      </c>
      <c r="E1130" s="1" t="n">
        <v>46323</v>
      </c>
      <c r="F1130" t="inlineStr">
        <is>
          <t>KALMAR LÄN</t>
        </is>
      </c>
      <c r="G1130" t="inlineStr">
        <is>
          <t>NYBRO</t>
        </is>
      </c>
      <c r="I1130" t="n">
        <v>0.6</v>
      </c>
      <c r="J1130" t="n">
        <v>0</v>
      </c>
      <c r="K1130" t="n">
        <v>0</v>
      </c>
      <c r="L1130" t="n">
        <v>0</v>
      </c>
      <c r="M1130" t="n">
        <v>0</v>
      </c>
      <c r="N1130" t="n">
        <v>1</v>
      </c>
      <c r="O1130" t="n">
        <v>0</v>
      </c>
      <c r="P1130" t="n">
        <v>0</v>
      </c>
      <c r="Q1130" t="n">
        <v>1</v>
      </c>
      <c r="R1130" t="n">
        <v>1</v>
      </c>
      <c r="S1130" t="n">
        <v>1</v>
      </c>
      <c r="T1130" t="n">
        <v>1</v>
      </c>
      <c r="U1130" t="n">
        <v>0</v>
      </c>
      <c r="V1130" s="2" t="inlineStr">
        <is>
          <t>Ask</t>
        </is>
      </c>
      <c r="W1130">
        <f>HYPERLINK("https://klasma.github.io/Logging_0881/artfynd/A 3726-2023 artfynd.xlsx", "A 3726-2023")</f>
        <v/>
      </c>
      <c r="X1130">
        <f>HYPERLINK("https://klasma.github.io/Logging_0881/kartor/A 3726-2023 karta.png", "A 3726-2023")</f>
        <v/>
      </c>
      <c r="Y1130">
        <f>HYPERLINK("https://klasma.github.io/Logging_0881/kartor_geotiff/A 3726-2023 georefererad karta.tif", "A 3726-2023")</f>
        <v/>
      </c>
      <c r="AA1130">
        <f>HYPERLINK("https://klasma.github.io/Logging_0881/klagomål/A 3726-2023 FSC-klagomål.docx", "A 3726-2023")</f>
        <v/>
      </c>
      <c r="AB1130">
        <f>HYPERLINK("https://klasma.github.io/Logging_0881/klagomålsmail/A 3726-2023 FSC-klagomål mail.docx", "A 3726-2023")</f>
        <v/>
      </c>
      <c r="AC1130">
        <f>HYPERLINK("https://klasma.github.io/Logging_0881/tillsyn/A 3726-2023 tillsynsbegäran.docx", "A 3726-2023")</f>
        <v/>
      </c>
      <c r="AD1130">
        <f>HYPERLINK("https://klasma.github.io/Logging_0881/tillsynsmail/A 3726-2023 tillsynsbegäran mail.docx", "A 3726-2023")</f>
        <v/>
      </c>
    </row>
    <row r="1131" ht="15" customHeight="1">
      <c r="A1131" t="inlineStr">
        <is>
          <t>A 4677-2024</t>
        </is>
      </c>
      <c r="B1131" t="inlineStr">
        <is>
          <t>avverkningsanmälan</t>
        </is>
      </c>
      <c r="C1131" t="inlineStr">
        <is>
          <t>Föryngringsavverkning</t>
        </is>
      </c>
      <c r="D1131" s="1" t="n">
        <v>45328</v>
      </c>
      <c r="E1131" s="1" t="n">
        <v>46323</v>
      </c>
      <c r="F1131" t="inlineStr">
        <is>
          <t>KALMAR LÄN</t>
        </is>
      </c>
      <c r="G1131" t="inlineStr">
        <is>
          <t>HULTSFRED</t>
        </is>
      </c>
      <c r="I1131" t="n">
        <v>1.7</v>
      </c>
      <c r="J1131" t="n">
        <v>1</v>
      </c>
      <c r="K1131" t="n">
        <v>0</v>
      </c>
      <c r="L1131" t="n">
        <v>0</v>
      </c>
      <c r="M1131" t="n">
        <v>1</v>
      </c>
      <c r="N1131" t="n">
        <v>0</v>
      </c>
      <c r="O1131" t="n">
        <v>0</v>
      </c>
      <c r="P1131" t="n">
        <v>0</v>
      </c>
      <c r="Q1131" t="n">
        <v>1</v>
      </c>
      <c r="R1131" t="n">
        <v>1</v>
      </c>
      <c r="S1131" t="n">
        <v>1</v>
      </c>
      <c r="T1131" t="n">
        <v>1</v>
      </c>
      <c r="U1131" t="n">
        <v>1</v>
      </c>
      <c r="V1131" s="2" t="inlineStr">
        <is>
          <t>Knärot</t>
        </is>
      </c>
      <c r="W1131">
        <f>HYPERLINK("https://klasma.github.io/Logging_0860/artfynd/A 4677-2024 artfynd.xlsx", "A 4677-2024")</f>
        <v/>
      </c>
      <c r="X1131">
        <f>HYPERLINK("https://klasma.github.io/Logging_0860/kartor/A 4677-2024 karta.png", "A 4677-2024")</f>
        <v/>
      </c>
      <c r="Y1131">
        <f>HYPERLINK("https://klasma.github.io/Logging_0860/kartor_geotiff/A 4677-2024 georefererad karta.tif", "A 4677-2024")</f>
        <v/>
      </c>
      <c r="Z1131">
        <f>HYPERLINK("https://klasma.github.io/Logging_0860/knärot/A 4677-2024 karta knärot.png", "A 4677-2024")</f>
        <v/>
      </c>
      <c r="AA1131">
        <f>HYPERLINK("https://klasma.github.io/Logging_0860/klagomål/A 4677-2024 FSC-klagomål.docx", "A 4677-2024")</f>
        <v/>
      </c>
      <c r="AB1131">
        <f>HYPERLINK("https://klasma.github.io/Logging_0860/klagomålsmail/A 4677-2024 FSC-klagomål mail.docx", "A 4677-2024")</f>
        <v/>
      </c>
      <c r="AC1131">
        <f>HYPERLINK("https://klasma.github.io/Logging_0860/tillsyn/A 4677-2024 tillsynsbegäran.docx", "A 4677-2024")</f>
        <v/>
      </c>
      <c r="AD1131">
        <f>HYPERLINK("https://klasma.github.io/Logging_0860/tillsynsmail/A 4677-2024 tillsynsbegäran mail.docx", "A 4677-2024")</f>
        <v/>
      </c>
    </row>
    <row r="1132" ht="15" customHeight="1">
      <c r="A1132" t="inlineStr">
        <is>
          <t>A 21942-2023</t>
        </is>
      </c>
      <c r="B1132" t="inlineStr">
        <is>
          <t>avverkningsanmälan</t>
        </is>
      </c>
      <c r="C1132" t="inlineStr">
        <is>
          <t>Föryngringsavverkning</t>
        </is>
      </c>
      <c r="D1132" s="1" t="n">
        <v>45068</v>
      </c>
      <c r="E1132" s="1" t="n">
        <v>46323</v>
      </c>
      <c r="F1132" t="inlineStr">
        <is>
          <t>KALMAR LÄN</t>
        </is>
      </c>
      <c r="G1132" t="inlineStr">
        <is>
          <t>VÄSTERVIK</t>
        </is>
      </c>
      <c r="I1132" t="n">
        <v>1.3</v>
      </c>
      <c r="J1132" t="n">
        <v>1</v>
      </c>
      <c r="K1132" t="n">
        <v>1</v>
      </c>
      <c r="L1132" t="n">
        <v>0</v>
      </c>
      <c r="M1132" t="n">
        <v>0</v>
      </c>
      <c r="N1132" t="n">
        <v>0</v>
      </c>
      <c r="O1132" t="n">
        <v>0</v>
      </c>
      <c r="P1132" t="n">
        <v>0</v>
      </c>
      <c r="Q1132" t="n">
        <v>0</v>
      </c>
      <c r="R1132" t="n">
        <v>0</v>
      </c>
      <c r="S1132" t="n">
        <v>1</v>
      </c>
      <c r="T1132" t="n">
        <v>1</v>
      </c>
      <c r="U1132" t="n">
        <v>1</v>
      </c>
      <c r="V1132" s="2" t="inlineStr">
        <is>
          <t>Ekoxe</t>
        </is>
      </c>
      <c r="W1132">
        <f>HYPERLINK("https://klasma.github.io/Logging_0883/artfynd/A 21942-2023 artfynd.xlsx", "A 21942-2023")</f>
        <v/>
      </c>
      <c r="X1132">
        <f>HYPERLINK("https://klasma.github.io/Logging_0883/kartor/A 21942-2023 karta.png", "A 21942-2023")</f>
        <v/>
      </c>
      <c r="Y1132">
        <f>HYPERLINK("https://klasma.github.io/Logging_0883/kartor_geotiff/A 21942-2023 georefererad karta.tif", "A 21942-2023")</f>
        <v/>
      </c>
      <c r="AA1132">
        <f>HYPERLINK("https://klasma.github.io/Logging_0883/klagomål/A 21942-2023 FSC-klagomål.docx", "A 21942-2023")</f>
        <v/>
      </c>
      <c r="AB1132">
        <f>HYPERLINK("https://klasma.github.io/Logging_0883/klagomålsmail/A 21942-2023 FSC-klagomål mail.docx", "A 21942-2023")</f>
        <v/>
      </c>
      <c r="AC1132">
        <f>HYPERLINK("https://klasma.github.io/Logging_0883/tillsyn/A 21942-2023 tillsynsbegäran.docx", "A 21942-2023")</f>
        <v/>
      </c>
      <c r="AD1132">
        <f>HYPERLINK("https://klasma.github.io/Logging_0883/tillsynsmail/A 21942-2023 tillsynsbegäran mail.docx", "A 21942-2023")</f>
        <v/>
      </c>
    </row>
    <row r="1133" ht="15" customHeight="1">
      <c r="A1133" t="inlineStr">
        <is>
          <t>A 10745-2026</t>
        </is>
      </c>
      <c r="B1133" t="inlineStr">
        <is>
          <t>avverkningsanmälan</t>
        </is>
      </c>
      <c r="C1133" t="inlineStr">
        <is>
          <t>Föryngringsavverkning</t>
        </is>
      </c>
      <c r="D1133" s="1" t="n">
        <v>46078</v>
      </c>
      <c r="E1133" s="1" t="n">
        <v>46323</v>
      </c>
      <c r="F1133" t="inlineStr">
        <is>
          <t>KALMAR LÄN</t>
        </is>
      </c>
      <c r="G1133" t="inlineStr">
        <is>
          <t>NYBRO</t>
        </is>
      </c>
      <c r="I1133" t="n">
        <v>4</v>
      </c>
      <c r="J1133" t="n">
        <v>0</v>
      </c>
      <c r="K1133" t="n">
        <v>1</v>
      </c>
      <c r="L1133" t="n">
        <v>0</v>
      </c>
      <c r="M1133" t="n">
        <v>0</v>
      </c>
      <c r="N1133" t="n">
        <v>0</v>
      </c>
      <c r="O1133" t="n">
        <v>0</v>
      </c>
      <c r="P1133" t="n">
        <v>0</v>
      </c>
      <c r="Q1133" t="n">
        <v>0</v>
      </c>
      <c r="R1133" t="n">
        <v>0</v>
      </c>
      <c r="S1133" t="n">
        <v>1</v>
      </c>
      <c r="T1133" t="n">
        <v>2</v>
      </c>
      <c r="U1133" t="n">
        <v>2</v>
      </c>
      <c r="V1133" s="2" t="inlineStr">
        <is>
          <t>Blåmossa</t>
        </is>
      </c>
      <c r="W1133">
        <f>HYPERLINK("https://klasma.github.io/Logging_0881/artfynd/A 10745-2026 artfynd.xlsx", "A 10745-2026")</f>
        <v/>
      </c>
      <c r="X1133">
        <f>HYPERLINK("https://klasma.github.io/Logging_0881/kartor/A 10745-2026 karta.png", "A 10745-2026")</f>
        <v/>
      </c>
      <c r="Y1133">
        <f>HYPERLINK("https://klasma.github.io/Logging_0881/kartor_geotiff/A 10745-2026 georefererad karta.tif", "A 10745-2026")</f>
        <v/>
      </c>
      <c r="AA1133">
        <f>HYPERLINK("https://klasma.github.io/Logging_0881/klagomål/A 10745-2026 FSC-klagomål.docx", "A 10745-2026")</f>
        <v/>
      </c>
      <c r="AB1133">
        <f>HYPERLINK("https://klasma.github.io/Logging_0881/klagomålsmail/A 10745-2026 FSC-klagomål mail.docx", "A 10745-2026")</f>
        <v/>
      </c>
      <c r="AC1133">
        <f>HYPERLINK("https://klasma.github.io/Logging_0881/tillsyn/A 10745-2026 tillsynsbegäran.docx", "A 10745-2026")</f>
        <v/>
      </c>
      <c r="AD1133">
        <f>HYPERLINK("https://klasma.github.io/Logging_0881/tillsynsmail/A 10745-2026 tillsynsbegäran mail.docx", "A 10745-2026")</f>
        <v/>
      </c>
    </row>
    <row r="1134" ht="15" customHeight="1">
      <c r="A1134" t="inlineStr">
        <is>
          <t>A 25165-2023</t>
        </is>
      </c>
      <c r="B1134" t="inlineStr">
        <is>
          <t>avverkningsanmälan</t>
        </is>
      </c>
      <c r="C1134" t="inlineStr">
        <is>
          <t>Föryngringsavverkning</t>
        </is>
      </c>
      <c r="D1134" s="1" t="n">
        <v>45086</v>
      </c>
      <c r="E1134" s="1" t="n">
        <v>46323</v>
      </c>
      <c r="F1134" t="inlineStr">
        <is>
          <t>KALMAR LÄN</t>
        </is>
      </c>
      <c r="G1134" t="inlineStr">
        <is>
          <t>MÖNSTERÅS</t>
        </is>
      </c>
      <c r="I1134" t="n">
        <v>2.8</v>
      </c>
      <c r="J1134" t="n">
        <v>1</v>
      </c>
      <c r="K1134" t="n">
        <v>0</v>
      </c>
      <c r="L1134" t="n">
        <v>0</v>
      </c>
      <c r="M1134" t="n">
        <v>0</v>
      </c>
      <c r="N1134" t="n">
        <v>0</v>
      </c>
      <c r="O1134" t="n">
        <v>0</v>
      </c>
      <c r="P1134" t="n">
        <v>0</v>
      </c>
      <c r="Q1134" t="n">
        <v>0</v>
      </c>
      <c r="R1134" t="n">
        <v>0</v>
      </c>
      <c r="S1134" t="n">
        <v>1</v>
      </c>
      <c r="T1134" t="n">
        <v>1</v>
      </c>
      <c r="U1134" t="n">
        <v>0</v>
      </c>
      <c r="V1134" s="2" t="inlineStr">
        <is>
          <t>Blåsippa</t>
        </is>
      </c>
      <c r="W1134">
        <f>HYPERLINK("https://klasma.github.io/Logging_0861/artfynd/A 25165-2023 artfynd.xlsx", "A 25165-2023")</f>
        <v/>
      </c>
      <c r="X1134">
        <f>HYPERLINK("https://klasma.github.io/Logging_0861/kartor/A 25165-2023 karta.png", "A 25165-2023")</f>
        <v/>
      </c>
      <c r="Y1134">
        <f>HYPERLINK("https://klasma.github.io/Logging_0861/kartor_geotiff/A 25165-2023 georefererad karta.tif", "A 25165-2023")</f>
        <v/>
      </c>
      <c r="AA1134">
        <f>HYPERLINK("https://klasma.github.io/Logging_0861/klagomål/A 25165-2023 FSC-klagomål.docx", "A 25165-2023")</f>
        <v/>
      </c>
      <c r="AB1134">
        <f>HYPERLINK("https://klasma.github.io/Logging_0861/klagomålsmail/A 25165-2023 FSC-klagomål mail.docx", "A 25165-2023")</f>
        <v/>
      </c>
      <c r="AC1134">
        <f>HYPERLINK("https://klasma.github.io/Logging_0861/tillsyn/A 25165-2023 tillsynsbegäran.docx", "A 25165-2023")</f>
        <v/>
      </c>
      <c r="AD1134">
        <f>HYPERLINK("https://klasma.github.io/Logging_0861/tillsynsmail/A 25165-2023 tillsynsbegäran mail.docx", "A 25165-2023")</f>
        <v/>
      </c>
    </row>
    <row r="1135" ht="15" customHeight="1">
      <c r="A1135" t="inlineStr">
        <is>
          <t>A 52071-2023</t>
        </is>
      </c>
      <c r="B1135" t="inlineStr">
        <is>
          <t>avverkningsanmälan</t>
        </is>
      </c>
      <c r="C1135" t="inlineStr">
        <is>
          <t>Avverkning för annat ändamål</t>
        </is>
      </c>
      <c r="D1135" s="1" t="n">
        <v>45223</v>
      </c>
      <c r="E1135" s="1" t="n">
        <v>46323</v>
      </c>
      <c r="F1135" t="inlineStr">
        <is>
          <t>KALMAR LÄN</t>
        </is>
      </c>
      <c r="G1135" t="inlineStr">
        <is>
          <t>TORSÅS</t>
        </is>
      </c>
      <c r="I1135" t="n">
        <v>2.8</v>
      </c>
      <c r="J1135" t="n">
        <v>1</v>
      </c>
      <c r="K1135" t="n">
        <v>0</v>
      </c>
      <c r="L1135" t="n">
        <v>0</v>
      </c>
      <c r="M1135" t="n">
        <v>0</v>
      </c>
      <c r="N1135" t="n">
        <v>0</v>
      </c>
      <c r="O1135" t="n">
        <v>0</v>
      </c>
      <c r="P1135" t="n">
        <v>0</v>
      </c>
      <c r="Q1135" t="n">
        <v>0</v>
      </c>
      <c r="R1135" t="n">
        <v>0</v>
      </c>
      <c r="S1135" t="n">
        <v>1</v>
      </c>
      <c r="T1135" t="n">
        <v>3</v>
      </c>
      <c r="U1135" t="n">
        <v>3</v>
      </c>
      <c r="V1135" s="2" t="inlineStr">
        <is>
          <t>Gullviva</t>
        </is>
      </c>
      <c r="W1135">
        <f>HYPERLINK("https://klasma.github.io/Logging_0834/artfynd/A 52071-2023 artfynd.xlsx", "A 52071-2023")</f>
        <v/>
      </c>
      <c r="X1135">
        <f>HYPERLINK("https://klasma.github.io/Logging_0834/kartor/A 52071-2023 karta.png", "A 52071-2023")</f>
        <v/>
      </c>
      <c r="Y1135">
        <f>HYPERLINK("https://klasma.github.io/Logging_0834/kartor_geotiff/A 52071-2023 georefererad karta.tif", "A 52071-2023")</f>
        <v/>
      </c>
      <c r="AA1135">
        <f>HYPERLINK("https://klasma.github.io/Logging_0834/klagomål/A 52071-2023 FSC-klagomål.docx", "A 52071-2023")</f>
        <v/>
      </c>
      <c r="AB1135">
        <f>HYPERLINK("https://klasma.github.io/Logging_0834/klagomålsmail/A 52071-2023 FSC-klagomål mail.docx", "A 52071-2023")</f>
        <v/>
      </c>
      <c r="AC1135">
        <f>HYPERLINK("https://klasma.github.io/Logging_0834/tillsyn/A 52071-2023 tillsynsbegäran.docx", "A 52071-2023")</f>
        <v/>
      </c>
      <c r="AD1135">
        <f>HYPERLINK("https://klasma.github.io/Logging_0834/tillsynsmail/A 52071-2023 tillsynsbegäran mail.docx", "A 52071-2023")</f>
        <v/>
      </c>
    </row>
    <row r="1136" ht="15" customHeight="1">
      <c r="A1136" t="inlineStr">
        <is>
          <t>A 11741-2023</t>
        </is>
      </c>
      <c r="B1136" t="inlineStr">
        <is>
          <t>avverkningsanmälan</t>
        </is>
      </c>
      <c r="C1136" t="inlineStr">
        <is>
          <t>Avverkning för att bevara och utveckla /försöksver</t>
        </is>
      </c>
      <c r="D1136" s="1" t="n">
        <v>44994</v>
      </c>
      <c r="E1136" s="1" t="n">
        <v>46323</v>
      </c>
      <c r="F1136" t="inlineStr">
        <is>
          <t>KALMAR LÄN</t>
        </is>
      </c>
      <c r="G1136" t="inlineStr">
        <is>
          <t>VÄSTERVIK</t>
        </is>
      </c>
      <c r="H1136" t="inlineStr">
        <is>
          <t>Sveaskog</t>
        </is>
      </c>
      <c r="I1136" t="n">
        <v>1.4</v>
      </c>
      <c r="J1136" t="n">
        <v>0</v>
      </c>
      <c r="K1136" t="n">
        <v>0</v>
      </c>
      <c r="L1136" t="n">
        <v>0</v>
      </c>
      <c r="M1136" t="n">
        <v>1</v>
      </c>
      <c r="N1136" t="n">
        <v>0</v>
      </c>
      <c r="O1136" t="n">
        <v>0</v>
      </c>
      <c r="P1136" t="n">
        <v>0</v>
      </c>
      <c r="Q1136" t="n">
        <v>1</v>
      </c>
      <c r="R1136" t="n">
        <v>1</v>
      </c>
      <c r="S1136" t="n">
        <v>1</v>
      </c>
      <c r="T1136" t="n">
        <v>1</v>
      </c>
      <c r="U1136" t="n">
        <v>0</v>
      </c>
      <c r="V1136" s="2" t="inlineStr">
        <is>
          <t>Bredbrämad bastardsvärmare</t>
        </is>
      </c>
      <c r="W1136">
        <f>HYPERLINK("https://klasma.github.io/Logging_0883/artfynd/A 11741-2023 artfynd.xlsx", "A 11741-2023")</f>
        <v/>
      </c>
      <c r="X1136">
        <f>HYPERLINK("https://klasma.github.io/Logging_0883/kartor/A 11741-2023 karta.png", "A 11741-2023")</f>
        <v/>
      </c>
      <c r="Y1136">
        <f>HYPERLINK("https://klasma.github.io/Logging_0883/kartor_geotiff/A 11741-2023 georefererad karta.tif", "A 11741-2023")</f>
        <v/>
      </c>
      <c r="AA1136">
        <f>HYPERLINK("https://klasma.github.io/Logging_0883/klagomål/A 11741-2023 FSC-klagomål.docx", "A 11741-2023")</f>
        <v/>
      </c>
      <c r="AB1136">
        <f>HYPERLINK("https://klasma.github.io/Logging_0883/klagomålsmail/A 11741-2023 FSC-klagomål mail.docx", "A 11741-2023")</f>
        <v/>
      </c>
      <c r="AC1136">
        <f>HYPERLINK("https://klasma.github.io/Logging_0883/tillsyn/A 11741-2023 tillsynsbegäran.docx", "A 11741-2023")</f>
        <v/>
      </c>
      <c r="AD1136">
        <f>HYPERLINK("https://klasma.github.io/Logging_0883/tillsynsmail/A 11741-2023 tillsynsbegäran mail.docx", "A 11741-2023")</f>
        <v/>
      </c>
    </row>
    <row r="1137" ht="15" customHeight="1">
      <c r="A1137" t="inlineStr">
        <is>
          <t>A 63816-2023</t>
        </is>
      </c>
      <c r="B1137" t="inlineStr">
        <is>
          <t>avverkningsanmälan</t>
        </is>
      </c>
      <c r="C1137" t="inlineStr">
        <is>
          <t>Föryngringsavverkning</t>
        </is>
      </c>
      <c r="D1137" s="1" t="n">
        <v>45278</v>
      </c>
      <c r="E1137" s="1" t="n">
        <v>46323</v>
      </c>
      <c r="F1137" t="inlineStr">
        <is>
          <t>KALMAR LÄN</t>
        </is>
      </c>
      <c r="G1137" t="inlineStr">
        <is>
          <t>MÖNSTERÅS</t>
        </is>
      </c>
      <c r="I1137" t="n">
        <v>2.8</v>
      </c>
      <c r="J1137" t="n">
        <v>0</v>
      </c>
      <c r="K1137" t="n">
        <v>0</v>
      </c>
      <c r="L1137" t="n">
        <v>0</v>
      </c>
      <c r="M1137" t="n">
        <v>1</v>
      </c>
      <c r="N1137" t="n">
        <v>0</v>
      </c>
      <c r="O1137" t="n">
        <v>0</v>
      </c>
      <c r="P1137" t="n">
        <v>0</v>
      </c>
      <c r="Q1137" t="n">
        <v>1</v>
      </c>
      <c r="R1137" t="n">
        <v>1</v>
      </c>
      <c r="S1137" t="n">
        <v>1</v>
      </c>
      <c r="T1137" t="n">
        <v>1</v>
      </c>
      <c r="U1137" t="n">
        <v>1</v>
      </c>
      <c r="V1137" s="2" t="inlineStr">
        <is>
          <t>Igelkott</t>
        </is>
      </c>
      <c r="W1137">
        <f>HYPERLINK("https://klasma.github.io/Logging_0861/artfynd/A 63816-2023 artfynd.xlsx", "A 63816-2023")</f>
        <v/>
      </c>
      <c r="X1137">
        <f>HYPERLINK("https://klasma.github.io/Logging_0861/kartor/A 63816-2023 karta.png", "A 63816-2023")</f>
        <v/>
      </c>
      <c r="Y1137">
        <f>HYPERLINK("https://klasma.github.io/Logging_0861/kartor_geotiff/A 63816-2023 georefererad karta.tif", "A 63816-2023")</f>
        <v/>
      </c>
      <c r="AA1137">
        <f>HYPERLINK("https://klasma.github.io/Logging_0861/klagomål/A 63816-2023 FSC-klagomål.docx", "A 63816-2023")</f>
        <v/>
      </c>
      <c r="AB1137">
        <f>HYPERLINK("https://klasma.github.io/Logging_0861/klagomålsmail/A 63816-2023 FSC-klagomål mail.docx", "A 63816-2023")</f>
        <v/>
      </c>
      <c r="AC1137">
        <f>HYPERLINK("https://klasma.github.io/Logging_0861/tillsyn/A 63816-2023 tillsynsbegäran.docx", "A 63816-2023")</f>
        <v/>
      </c>
      <c r="AD1137">
        <f>HYPERLINK("https://klasma.github.io/Logging_0861/tillsynsmail/A 63816-2023 tillsynsbegäran mail.docx", "A 63816-2023")</f>
        <v/>
      </c>
    </row>
    <row r="1138" ht="15" customHeight="1">
      <c r="A1138" t="inlineStr">
        <is>
          <t>A 36928-2026</t>
        </is>
      </c>
      <c r="B1138" t="inlineStr">
        <is>
          <t>avverkningsanmälan</t>
        </is>
      </c>
      <c r="C1138" t="inlineStr">
        <is>
          <t>Föryngringsavverkning</t>
        </is>
      </c>
      <c r="D1138" s="1" t="n">
        <v>46273</v>
      </c>
      <c r="E1138" s="1" t="n">
        <v>46323</v>
      </c>
      <c r="F1138" t="inlineStr">
        <is>
          <t>KALMAR LÄN</t>
        </is>
      </c>
      <c r="G1138" t="inlineStr">
        <is>
          <t>MÖRBYLÅNGA</t>
        </is>
      </c>
      <c r="I1138" t="n">
        <v>1.3</v>
      </c>
      <c r="J1138" t="n">
        <v>1</v>
      </c>
      <c r="K1138" t="n">
        <v>1</v>
      </c>
      <c r="L1138" t="n">
        <v>0</v>
      </c>
      <c r="M1138" t="n">
        <v>0</v>
      </c>
      <c r="N1138" t="n">
        <v>0</v>
      </c>
      <c r="O1138" t="n">
        <v>0</v>
      </c>
      <c r="P1138" t="n">
        <v>0</v>
      </c>
      <c r="Q1138" t="n">
        <v>0</v>
      </c>
      <c r="R1138" t="n">
        <v>0</v>
      </c>
      <c r="S1138" t="n">
        <v>1</v>
      </c>
      <c r="T1138" t="n">
        <v>1</v>
      </c>
      <c r="U1138" t="n">
        <v>0</v>
      </c>
      <c r="V1138" s="2" t="inlineStr">
        <is>
          <t>Tvåblad</t>
        </is>
      </c>
      <c r="W1138">
        <f>HYPERLINK("https://klasma.github.io/Logging_0840/artfynd/A 36928-2026 artfynd.xlsx", "A 36928-2026")</f>
        <v/>
      </c>
      <c r="X1138">
        <f>HYPERLINK("https://klasma.github.io/Logging_0840/kartor/A 36928-2026 karta.png", "A 36928-2026")</f>
        <v/>
      </c>
      <c r="Y1138">
        <f>HYPERLINK("https://klasma.github.io/Logging_0840/kartor_geotiff/A 36928-2026 georefererad karta.tif", "A 36928-2026")</f>
        <v/>
      </c>
      <c r="AA1138">
        <f>HYPERLINK("https://klasma.github.io/Logging_0840/klagomål/A 36928-2026 FSC-klagomål.docx", "A 36928-2026")</f>
        <v/>
      </c>
      <c r="AB1138">
        <f>HYPERLINK("https://klasma.github.io/Logging_0840/klagomålsmail/A 36928-2026 FSC-klagomål mail.docx", "A 36928-2026")</f>
        <v/>
      </c>
      <c r="AC1138">
        <f>HYPERLINK("https://klasma.github.io/Logging_0840/tillsyn/A 36928-2026 tillsynsbegäran.docx", "A 36928-2026")</f>
        <v/>
      </c>
      <c r="AD1138">
        <f>HYPERLINK("https://klasma.github.io/Logging_0840/tillsynsmail/A 36928-2026 tillsynsbegäran mail.docx", "A 36928-2026")</f>
        <v/>
      </c>
    </row>
    <row r="1139" ht="15" customHeight="1">
      <c r="A1139" t="inlineStr">
        <is>
          <t>A 30811-2025</t>
        </is>
      </c>
      <c r="B1139" t="inlineStr">
        <is>
          <t>avverkningsanmälan</t>
        </is>
      </c>
      <c r="C1139" t="inlineStr">
        <is>
          <t>Föryngringsavverkning</t>
        </is>
      </c>
      <c r="D1139" s="1" t="n">
        <v>45831</v>
      </c>
      <c r="E1139" s="1" t="n">
        <v>46323</v>
      </c>
      <c r="F1139" t="inlineStr">
        <is>
          <t>KALMAR LÄN</t>
        </is>
      </c>
      <c r="G1139" t="inlineStr">
        <is>
          <t>VÄSTERVIK</t>
        </is>
      </c>
      <c r="I1139" t="n">
        <v>1.5</v>
      </c>
      <c r="J1139" t="n">
        <v>1</v>
      </c>
      <c r="K1139" t="n">
        <v>0</v>
      </c>
      <c r="L1139" t="n">
        <v>0</v>
      </c>
      <c r="M1139" t="n">
        <v>0</v>
      </c>
      <c r="N1139" t="n">
        <v>0</v>
      </c>
      <c r="O1139" t="n">
        <v>0</v>
      </c>
      <c r="P1139" t="n">
        <v>0</v>
      </c>
      <c r="Q1139" t="n">
        <v>0</v>
      </c>
      <c r="R1139" t="n">
        <v>0</v>
      </c>
      <c r="S1139" t="n">
        <v>1</v>
      </c>
      <c r="T1139" t="n">
        <v>1</v>
      </c>
      <c r="U1139" t="n">
        <v>0</v>
      </c>
      <c r="V1139" s="2" t="inlineStr">
        <is>
          <t>Tjäder</t>
        </is>
      </c>
      <c r="W1139">
        <f>HYPERLINK("https://klasma.github.io/Logging_0883/artfynd/A 30811-2025 artfynd.xlsx", "A 30811-2025")</f>
        <v/>
      </c>
      <c r="X1139">
        <f>HYPERLINK("https://klasma.github.io/Logging_0883/kartor/A 30811-2025 karta.png", "A 30811-2025")</f>
        <v/>
      </c>
      <c r="Y1139">
        <f>HYPERLINK("https://klasma.github.io/Logging_0883/kartor_geotiff/A 30811-2025 georefererad karta.tif", "A 30811-2025")</f>
        <v/>
      </c>
      <c r="AA1139">
        <f>HYPERLINK("https://klasma.github.io/Logging_0883/klagomål/A 30811-2025 FSC-klagomål.docx", "A 30811-2025")</f>
        <v/>
      </c>
      <c r="AB1139">
        <f>HYPERLINK("https://klasma.github.io/Logging_0883/klagomålsmail/A 30811-2025 FSC-klagomål mail.docx", "A 30811-2025")</f>
        <v/>
      </c>
      <c r="AC1139">
        <f>HYPERLINK("https://klasma.github.io/Logging_0883/tillsyn/A 30811-2025 tillsynsbegäran.docx", "A 30811-2025")</f>
        <v/>
      </c>
      <c r="AD1139">
        <f>HYPERLINK("https://klasma.github.io/Logging_0883/tillsynsmail/A 30811-2025 tillsynsbegäran mail.docx", "A 30811-2025")</f>
        <v/>
      </c>
      <c r="AE1139">
        <f>HYPERLINK("https://klasma.github.io/Logging_0883/fåglar/A 30811-2025 prioriterade fågelarter.docx", "A 30811-2025")</f>
        <v/>
      </c>
    </row>
    <row r="1140" ht="15" customHeight="1">
      <c r="A1140" t="inlineStr">
        <is>
          <t>A 56100-2024</t>
        </is>
      </c>
      <c r="B1140" t="inlineStr">
        <is>
          <t>avverkningsanmälan</t>
        </is>
      </c>
      <c r="C1140" t="inlineStr">
        <is>
          <t>Föryngringsavverkning</t>
        </is>
      </c>
      <c r="D1140" s="1" t="n">
        <v>45624</v>
      </c>
      <c r="E1140" s="1" t="n">
        <v>46323</v>
      </c>
      <c r="F1140" t="inlineStr">
        <is>
          <t>KALMAR LÄN</t>
        </is>
      </c>
      <c r="G1140" t="inlineStr">
        <is>
          <t>HULTSFRED</t>
        </is>
      </c>
      <c r="I1140" t="n">
        <v>2.3</v>
      </c>
      <c r="J1140" t="n">
        <v>1</v>
      </c>
      <c r="K1140" t="n">
        <v>0</v>
      </c>
      <c r="L1140" t="n">
        <v>0</v>
      </c>
      <c r="M1140" t="n">
        <v>0</v>
      </c>
      <c r="N1140" t="n">
        <v>0</v>
      </c>
      <c r="O1140" t="n">
        <v>0</v>
      </c>
      <c r="P1140" t="n">
        <v>0</v>
      </c>
      <c r="Q1140" t="n">
        <v>0</v>
      </c>
      <c r="R1140" t="n">
        <v>0</v>
      </c>
      <c r="S1140" t="n">
        <v>1</v>
      </c>
      <c r="T1140" t="n">
        <v>1</v>
      </c>
      <c r="U1140" t="n">
        <v>0</v>
      </c>
      <c r="V1140" s="2" t="inlineStr">
        <is>
          <t>Kungsfågel</t>
        </is>
      </c>
      <c r="W1140">
        <f>HYPERLINK("https://klasma.github.io/Logging_0860/artfynd/A 56100-2024 artfynd.xlsx", "A 56100-2024")</f>
        <v/>
      </c>
      <c r="X1140">
        <f>HYPERLINK("https://klasma.github.io/Logging_0860/kartor/A 56100-2024 karta.png", "A 56100-2024")</f>
        <v/>
      </c>
      <c r="Y1140">
        <f>HYPERLINK("https://klasma.github.io/Logging_0860/kartor_geotiff/A 56100-2024 georefererad karta.tif", "A 56100-2024")</f>
        <v/>
      </c>
      <c r="AA1140">
        <f>HYPERLINK("https://klasma.github.io/Logging_0860/klagomål/A 56100-2024 FSC-klagomål.docx", "A 56100-2024")</f>
        <v/>
      </c>
      <c r="AB1140">
        <f>HYPERLINK("https://klasma.github.io/Logging_0860/klagomålsmail/A 56100-2024 FSC-klagomål mail.docx", "A 56100-2024")</f>
        <v/>
      </c>
      <c r="AC1140">
        <f>HYPERLINK("https://klasma.github.io/Logging_0860/tillsyn/A 56100-2024 tillsynsbegäran.docx", "A 56100-2024")</f>
        <v/>
      </c>
      <c r="AD1140">
        <f>HYPERLINK("https://klasma.github.io/Logging_0860/tillsynsmail/A 56100-2024 tillsynsbegäran mail.docx", "A 56100-2024")</f>
        <v/>
      </c>
    </row>
    <row r="1141" ht="15" customHeight="1">
      <c r="A1141" t="inlineStr">
        <is>
          <t>A 43537-2026</t>
        </is>
      </c>
      <c r="B1141" t="inlineStr">
        <is>
          <t>avverkningsanmälan</t>
        </is>
      </c>
      <c r="C1141" t="inlineStr">
        <is>
          <t>Föryngringsavverkning</t>
        </is>
      </c>
      <c r="D1141" s="1" t="n">
        <v>46315</v>
      </c>
      <c r="E1141" s="1" t="n">
        <v>46323</v>
      </c>
      <c r="F1141" t="inlineStr">
        <is>
          <t>KALMAR LÄN</t>
        </is>
      </c>
      <c r="G1141" t="inlineStr">
        <is>
          <t>OSKARSHAMN</t>
        </is>
      </c>
      <c r="I1141" t="n">
        <v>3</v>
      </c>
      <c r="J1141" t="n">
        <v>1</v>
      </c>
      <c r="K1141" t="n">
        <v>0</v>
      </c>
      <c r="L1141" t="n">
        <v>0</v>
      </c>
      <c r="M1141" t="n">
        <v>0</v>
      </c>
      <c r="N1141" t="n">
        <v>0</v>
      </c>
      <c r="O1141" t="n">
        <v>0</v>
      </c>
      <c r="P1141" t="n">
        <v>0</v>
      </c>
      <c r="Q1141" t="n">
        <v>0</v>
      </c>
      <c r="R1141" t="n">
        <v>0</v>
      </c>
      <c r="S1141" t="n">
        <v>1</v>
      </c>
      <c r="T1141" t="n">
        <v>1</v>
      </c>
      <c r="U1141" t="n">
        <v>0</v>
      </c>
      <c r="V1141" s="2" t="inlineStr">
        <is>
          <t>Tjäder</t>
        </is>
      </c>
      <c r="W1141">
        <f>HYPERLINK("https://klasma.github.io/Logging_0882/artfynd/A 43537-2026 artfynd.xlsx", "A 43537-2026")</f>
        <v/>
      </c>
      <c r="X1141">
        <f>HYPERLINK("https://klasma.github.io/Logging_0882/kartor/A 43537-2026 karta.png", "A 43537-2026")</f>
        <v/>
      </c>
      <c r="Y1141">
        <f>HYPERLINK("https://klasma.github.io/Logging_0882/kartor_geotiff/A 43537-2026 georefererad karta.tif", "A 43537-2026")</f>
        <v/>
      </c>
      <c r="AA1141">
        <f>HYPERLINK("https://klasma.github.io/Logging_0882/klagomål/A 43537-2026 FSC-klagomål.docx", "A 43537-2026")</f>
        <v/>
      </c>
      <c r="AB1141">
        <f>HYPERLINK("https://klasma.github.io/Logging_0882/klagomålsmail/A 43537-2026 FSC-klagomål mail.docx", "A 43537-2026")</f>
        <v/>
      </c>
      <c r="AC1141">
        <f>HYPERLINK("https://klasma.github.io/Logging_0882/tillsyn/A 43537-2026 tillsynsbegäran.docx", "A 43537-2026")</f>
        <v/>
      </c>
      <c r="AD1141">
        <f>HYPERLINK("https://klasma.github.io/Logging_0882/tillsynsmail/A 43537-2026 tillsynsbegäran mail.docx", "A 43537-2026")</f>
        <v/>
      </c>
      <c r="AE1141">
        <f>HYPERLINK("https://klasma.github.io/Logging_0882/fåglar/A 43537-2026 prioriterade fågelarter.docx", "A 43537-2026")</f>
        <v/>
      </c>
    </row>
    <row r="1142" ht="15" customHeight="1">
      <c r="A1142" t="inlineStr">
        <is>
          <t>A 20928-2026</t>
        </is>
      </c>
      <c r="B1142" t="inlineStr">
        <is>
          <t>avverkningsanmälan</t>
        </is>
      </c>
      <c r="C1142" t="inlineStr">
        <is>
          <t>Föryngringsavverkning</t>
        </is>
      </c>
      <c r="D1142" s="1" t="n">
        <v>46142</v>
      </c>
      <c r="E1142" s="1" t="n">
        <v>46323</v>
      </c>
      <c r="F1142" t="inlineStr">
        <is>
          <t>KALMAR LÄN</t>
        </is>
      </c>
      <c r="G1142" t="inlineStr">
        <is>
          <t>HULTSFRED</t>
        </is>
      </c>
      <c r="I1142" t="n">
        <v>5.5</v>
      </c>
      <c r="J1142" t="n">
        <v>0</v>
      </c>
      <c r="K1142" t="n">
        <v>0</v>
      </c>
      <c r="L1142" t="n">
        <v>1</v>
      </c>
      <c r="M1142" t="n">
        <v>0</v>
      </c>
      <c r="N1142" t="n">
        <v>0</v>
      </c>
      <c r="O1142" t="n">
        <v>0</v>
      </c>
      <c r="P1142" t="n">
        <v>0</v>
      </c>
      <c r="Q1142" t="n">
        <v>1</v>
      </c>
      <c r="R1142" t="n">
        <v>0</v>
      </c>
      <c r="S1142" t="n">
        <v>1</v>
      </c>
      <c r="T1142" t="n">
        <v>1</v>
      </c>
      <c r="U1142" t="n">
        <v>0</v>
      </c>
      <c r="V1142" s="2" t="inlineStr">
        <is>
          <t>Gullklöver</t>
        </is>
      </c>
      <c r="W1142">
        <f>HYPERLINK("https://klasma.github.io/Logging_0860/artfynd/A 20928-2026 artfynd.xlsx", "A 20928-2026")</f>
        <v/>
      </c>
      <c r="X1142">
        <f>HYPERLINK("https://klasma.github.io/Logging_0860/kartor/A 20928-2026 karta.png", "A 20928-2026")</f>
        <v/>
      </c>
      <c r="Y1142">
        <f>HYPERLINK("https://klasma.github.io/Logging_0860/kartor_geotiff/A 20928-2026 georefererad karta.tif", "A 20928-2026")</f>
        <v/>
      </c>
      <c r="AA1142">
        <f>HYPERLINK("https://klasma.github.io/Logging_0860/klagomål/A 20928-2026 FSC-klagomål.docx", "A 20928-2026")</f>
        <v/>
      </c>
      <c r="AB1142">
        <f>HYPERLINK("https://klasma.github.io/Logging_0860/klagomålsmail/A 20928-2026 FSC-klagomål mail.docx", "A 20928-2026")</f>
        <v/>
      </c>
      <c r="AC1142">
        <f>HYPERLINK("https://klasma.github.io/Logging_0860/tillsyn/A 20928-2026 tillsynsbegäran.docx", "A 20928-2026")</f>
        <v/>
      </c>
      <c r="AD1142">
        <f>HYPERLINK("https://klasma.github.io/Logging_0860/tillsynsmail/A 20928-2026 tillsynsbegäran mail.docx", "A 20928-2026")</f>
        <v/>
      </c>
    </row>
    <row r="1143" ht="15" customHeight="1">
      <c r="A1143" t="inlineStr">
        <is>
          <t>A 16695-2025</t>
        </is>
      </c>
      <c r="B1143" t="inlineStr">
        <is>
          <t>avverkningsanmälan</t>
        </is>
      </c>
      <c r="C1143" t="inlineStr">
        <is>
          <t>Föryngringsavverkning</t>
        </is>
      </c>
      <c r="D1143" s="1" t="n">
        <v>45754</v>
      </c>
      <c r="E1143" s="1" t="n">
        <v>46323</v>
      </c>
      <c r="F1143" t="inlineStr">
        <is>
          <t>KALMAR LÄN</t>
        </is>
      </c>
      <c r="G1143" t="inlineStr">
        <is>
          <t>VÄSTERVIK</t>
        </is>
      </c>
      <c r="H1143" t="inlineStr">
        <is>
          <t>Sveaskog</t>
        </is>
      </c>
      <c r="I1143" t="n">
        <v>1.8</v>
      </c>
      <c r="J1143" t="n">
        <v>1</v>
      </c>
      <c r="K1143" t="n">
        <v>0</v>
      </c>
      <c r="L1143" t="n">
        <v>0</v>
      </c>
      <c r="M1143" t="n">
        <v>0</v>
      </c>
      <c r="N1143" t="n">
        <v>0</v>
      </c>
      <c r="O1143" t="n">
        <v>0</v>
      </c>
      <c r="P1143" t="n">
        <v>0</v>
      </c>
      <c r="Q1143" t="n">
        <v>0</v>
      </c>
      <c r="R1143" t="n">
        <v>0</v>
      </c>
      <c r="S1143" t="n">
        <v>1</v>
      </c>
      <c r="T1143" t="n">
        <v>1</v>
      </c>
      <c r="U1143" t="n">
        <v>1</v>
      </c>
      <c r="V1143" s="2" t="inlineStr">
        <is>
          <t>Kungsfågel</t>
        </is>
      </c>
      <c r="W1143">
        <f>HYPERLINK("https://klasma.github.io/Logging_0883/artfynd/A 16695-2025 artfynd.xlsx", "A 16695-2025")</f>
        <v/>
      </c>
      <c r="X1143">
        <f>HYPERLINK("https://klasma.github.io/Logging_0883/kartor/A 16695-2025 karta.png", "A 16695-2025")</f>
        <v/>
      </c>
      <c r="Y1143">
        <f>HYPERLINK("https://klasma.github.io/Logging_0883/kartor_geotiff/A 16695-2025 georefererad karta.tif", "A 16695-2025")</f>
        <v/>
      </c>
      <c r="AA1143">
        <f>HYPERLINK("https://klasma.github.io/Logging_0883/klagomål/A 16695-2025 FSC-klagomål.docx", "A 16695-2025")</f>
        <v/>
      </c>
      <c r="AB1143">
        <f>HYPERLINK("https://klasma.github.io/Logging_0883/klagomålsmail/A 16695-2025 FSC-klagomål mail.docx", "A 16695-2025")</f>
        <v/>
      </c>
      <c r="AC1143">
        <f>HYPERLINK("https://klasma.github.io/Logging_0883/tillsyn/A 16695-2025 tillsynsbegäran.docx", "A 16695-2025")</f>
        <v/>
      </c>
      <c r="AD1143">
        <f>HYPERLINK("https://klasma.github.io/Logging_0883/tillsynsmail/A 16695-2025 tillsynsbegäran mail.docx", "A 16695-2025")</f>
        <v/>
      </c>
    </row>
    <row r="1144" ht="15" customHeight="1">
      <c r="A1144" t="inlineStr">
        <is>
          <t>A 20647-2026</t>
        </is>
      </c>
      <c r="B1144" t="inlineStr">
        <is>
          <t>avverkningsanmälan</t>
        </is>
      </c>
      <c r="C1144" t="inlineStr">
        <is>
          <t>Föryngringsavverkning</t>
        </is>
      </c>
      <c r="D1144" s="1" t="n">
        <v>46141</v>
      </c>
      <c r="E1144" s="1" t="n">
        <v>46323</v>
      </c>
      <c r="F1144" t="inlineStr">
        <is>
          <t>KALMAR LÄN</t>
        </is>
      </c>
      <c r="G1144" t="inlineStr">
        <is>
          <t>NYBRO</t>
        </is>
      </c>
      <c r="H1144" t="inlineStr">
        <is>
          <t>Sveaskog</t>
        </is>
      </c>
      <c r="I1144" t="n">
        <v>4.8</v>
      </c>
      <c r="J1144" t="n">
        <v>0</v>
      </c>
      <c r="K1144" t="n">
        <v>0</v>
      </c>
      <c r="L1144" t="n">
        <v>0</v>
      </c>
      <c r="M1144" t="n">
        <v>0</v>
      </c>
      <c r="N1144" t="n">
        <v>1</v>
      </c>
      <c r="O1144" t="n">
        <v>0</v>
      </c>
      <c r="P1144" t="n">
        <v>0</v>
      </c>
      <c r="Q1144" t="n">
        <v>1</v>
      </c>
      <c r="R1144" t="n">
        <v>1</v>
      </c>
      <c r="S1144" t="n">
        <v>1</v>
      </c>
      <c r="T1144" t="n">
        <v>1</v>
      </c>
      <c r="U1144" t="n">
        <v>0</v>
      </c>
      <c r="V1144" s="2" t="inlineStr">
        <is>
          <t>Ljungögontröst</t>
        </is>
      </c>
      <c r="W1144">
        <f>HYPERLINK("https://klasma.github.io/Logging_0881/artfynd/A 20647-2026 artfynd.xlsx", "A 20647-2026")</f>
        <v/>
      </c>
      <c r="X1144">
        <f>HYPERLINK("https://klasma.github.io/Logging_0881/kartor/A 20647-2026 karta.png", "A 20647-2026")</f>
        <v/>
      </c>
      <c r="Y1144">
        <f>HYPERLINK("https://klasma.github.io/Logging_0881/kartor_geotiff/A 20647-2026 georefererad karta.tif", "A 20647-2026")</f>
        <v/>
      </c>
      <c r="AA1144">
        <f>HYPERLINK("https://klasma.github.io/Logging_0881/klagomål/A 20647-2026 FSC-klagomål.docx", "A 20647-2026")</f>
        <v/>
      </c>
      <c r="AB1144">
        <f>HYPERLINK("https://klasma.github.io/Logging_0881/klagomålsmail/A 20647-2026 FSC-klagomål mail.docx", "A 20647-2026")</f>
        <v/>
      </c>
      <c r="AC1144">
        <f>HYPERLINK("https://klasma.github.io/Logging_0881/tillsyn/A 20647-2026 tillsynsbegäran.docx", "A 20647-2026")</f>
        <v/>
      </c>
      <c r="AD1144">
        <f>HYPERLINK("https://klasma.github.io/Logging_0881/tillsynsmail/A 20647-2026 tillsynsbegäran mail.docx", "A 20647-2026")</f>
        <v/>
      </c>
    </row>
    <row r="1145" ht="15" customHeight="1">
      <c r="A1145" t="inlineStr">
        <is>
          <t>A 9110-2023</t>
        </is>
      </c>
      <c r="B1145" t="inlineStr">
        <is>
          <t>avverkningsanmälan</t>
        </is>
      </c>
      <c r="C1145" t="inlineStr">
        <is>
          <t>Föryngringsavverkning</t>
        </is>
      </c>
      <c r="D1145" s="1" t="n">
        <v>44979</v>
      </c>
      <c r="E1145" s="1" t="n">
        <v>46323</v>
      </c>
      <c r="F1145" t="inlineStr">
        <is>
          <t>KALMAR LÄN</t>
        </is>
      </c>
      <c r="G1145" t="inlineStr">
        <is>
          <t>VÄSTERVIK</t>
        </is>
      </c>
      <c r="I1145" t="n">
        <v>1.1</v>
      </c>
      <c r="J1145" t="n">
        <v>0</v>
      </c>
      <c r="K1145" t="n">
        <v>1</v>
      </c>
      <c r="L1145" t="n">
        <v>0</v>
      </c>
      <c r="M1145" t="n">
        <v>0</v>
      </c>
      <c r="N1145" t="n">
        <v>0</v>
      </c>
      <c r="O1145" t="n">
        <v>0</v>
      </c>
      <c r="P1145" t="n">
        <v>0</v>
      </c>
      <c r="Q1145" t="n">
        <v>0</v>
      </c>
      <c r="R1145" t="n">
        <v>0</v>
      </c>
      <c r="S1145" t="n">
        <v>1</v>
      </c>
      <c r="T1145" t="n">
        <v>1</v>
      </c>
      <c r="U1145" t="n">
        <v>1</v>
      </c>
      <c r="V1145" s="2" t="inlineStr">
        <is>
          <t>Blåmossa</t>
        </is>
      </c>
      <c r="W1145">
        <f>HYPERLINK("https://klasma.github.io/Logging_0883/artfynd/A 9110-2023 artfynd.xlsx", "A 9110-2023")</f>
        <v/>
      </c>
      <c r="X1145">
        <f>HYPERLINK("https://klasma.github.io/Logging_0883/kartor/A 9110-2023 karta.png", "A 9110-2023")</f>
        <v/>
      </c>
      <c r="Y1145">
        <f>HYPERLINK("https://klasma.github.io/Logging_0883/kartor_geotiff/A 9110-2023 georefererad karta.tif", "A 9110-2023")</f>
        <v/>
      </c>
      <c r="AA1145">
        <f>HYPERLINK("https://klasma.github.io/Logging_0883/klagomål/A 9110-2023 FSC-klagomål.docx", "A 9110-2023")</f>
        <v/>
      </c>
      <c r="AB1145">
        <f>HYPERLINK("https://klasma.github.io/Logging_0883/klagomålsmail/A 9110-2023 FSC-klagomål mail.docx", "A 9110-2023")</f>
        <v/>
      </c>
      <c r="AC1145">
        <f>HYPERLINK("https://klasma.github.io/Logging_0883/tillsyn/A 9110-2023 tillsynsbegäran.docx", "A 9110-2023")</f>
        <v/>
      </c>
      <c r="AD1145">
        <f>HYPERLINK("https://klasma.github.io/Logging_0883/tillsynsmail/A 9110-2023 tillsynsbegäran mail.docx", "A 9110-2023")</f>
        <v/>
      </c>
    </row>
    <row r="1146" ht="15" customHeight="1">
      <c r="A1146" t="inlineStr">
        <is>
          <t>A 52301-2023</t>
        </is>
      </c>
      <c r="B1146" t="inlineStr">
        <is>
          <t>avverkningsanmälan</t>
        </is>
      </c>
      <c r="C1146" t="inlineStr">
        <is>
          <t>Föryngringsavverkning</t>
        </is>
      </c>
      <c r="D1146" s="1" t="n">
        <v>45224</v>
      </c>
      <c r="E1146" s="1" t="n">
        <v>46323</v>
      </c>
      <c r="F1146" t="inlineStr">
        <is>
          <t>KALMAR LÄN</t>
        </is>
      </c>
      <c r="G1146" t="inlineStr">
        <is>
          <t>VIMMERBY</t>
        </is>
      </c>
      <c r="I1146" t="n">
        <v>5.3</v>
      </c>
      <c r="J1146" t="n">
        <v>0</v>
      </c>
      <c r="K1146" t="n">
        <v>0</v>
      </c>
      <c r="L1146" t="n">
        <v>0</v>
      </c>
      <c r="M1146" t="n">
        <v>0</v>
      </c>
      <c r="N1146" t="n">
        <v>1</v>
      </c>
      <c r="O1146" t="n">
        <v>0</v>
      </c>
      <c r="P1146" t="n">
        <v>0</v>
      </c>
      <c r="Q1146" t="n">
        <v>1</v>
      </c>
      <c r="R1146" t="n">
        <v>1</v>
      </c>
      <c r="S1146" t="n">
        <v>1</v>
      </c>
      <c r="T1146" t="n">
        <v>1</v>
      </c>
      <c r="U1146" t="n">
        <v>1</v>
      </c>
      <c r="V1146" s="2" t="inlineStr">
        <is>
          <t>Ask</t>
        </is>
      </c>
      <c r="W1146">
        <f>HYPERLINK("https://klasma.github.io/Logging_0884/artfynd/A 52301-2023 artfynd.xlsx", "A 52301-2023")</f>
        <v/>
      </c>
      <c r="X1146">
        <f>HYPERLINK("https://klasma.github.io/Logging_0884/kartor/A 52301-2023 karta.png", "A 52301-2023")</f>
        <v/>
      </c>
      <c r="Y1146">
        <f>HYPERLINK("https://klasma.github.io/Logging_0884/kartor_geotiff/A 52301-2023 georefererad karta.tif", "A 52301-2023")</f>
        <v/>
      </c>
      <c r="AA1146">
        <f>HYPERLINK("https://klasma.github.io/Logging_0884/klagomål/A 52301-2023 FSC-klagomål.docx", "A 52301-2023")</f>
        <v/>
      </c>
      <c r="AB1146">
        <f>HYPERLINK("https://klasma.github.io/Logging_0884/klagomålsmail/A 52301-2023 FSC-klagomål mail.docx", "A 52301-2023")</f>
        <v/>
      </c>
      <c r="AC1146">
        <f>HYPERLINK("https://klasma.github.io/Logging_0884/tillsyn/A 52301-2023 tillsynsbegäran.docx", "A 52301-2023")</f>
        <v/>
      </c>
      <c r="AD1146">
        <f>HYPERLINK("https://klasma.github.io/Logging_0884/tillsynsmail/A 52301-2023 tillsynsbegäran mail.docx", "A 52301-2023")</f>
        <v/>
      </c>
    </row>
    <row r="1147" ht="15" customHeight="1">
      <c r="A1147" t="inlineStr">
        <is>
          <t>A 10333-2023</t>
        </is>
      </c>
      <c r="B1147" t="inlineStr">
        <is>
          <t>avverkningsanmälan</t>
        </is>
      </c>
      <c r="C1147" t="inlineStr">
        <is>
          <t>Föryngringsavverkning</t>
        </is>
      </c>
      <c r="D1147" s="1" t="n">
        <v>44980</v>
      </c>
      <c r="E1147" s="1" t="n">
        <v>46323</v>
      </c>
      <c r="F1147" t="inlineStr">
        <is>
          <t>KALMAR LÄN</t>
        </is>
      </c>
      <c r="G1147" t="inlineStr">
        <is>
          <t>HULTSFRED</t>
        </is>
      </c>
      <c r="I1147" t="n">
        <v>5</v>
      </c>
      <c r="J1147" t="n">
        <v>1</v>
      </c>
      <c r="K1147" t="n">
        <v>0</v>
      </c>
      <c r="L1147" t="n">
        <v>0</v>
      </c>
      <c r="M1147" t="n">
        <v>0</v>
      </c>
      <c r="N1147" t="n">
        <v>0</v>
      </c>
      <c r="O1147" t="n">
        <v>0</v>
      </c>
      <c r="P1147" t="n">
        <v>0</v>
      </c>
      <c r="Q1147" t="n">
        <v>0</v>
      </c>
      <c r="R1147" t="n">
        <v>0</v>
      </c>
      <c r="S1147" t="n">
        <v>1</v>
      </c>
      <c r="T1147" t="n">
        <v>1</v>
      </c>
      <c r="U1147" t="n">
        <v>1</v>
      </c>
      <c r="V1147" s="2" t="inlineStr">
        <is>
          <t>Blåsippa</t>
        </is>
      </c>
      <c r="W1147">
        <f>HYPERLINK("https://klasma.github.io/Logging_0860/artfynd/A 10333-2023 artfynd.xlsx", "A 10333-2023")</f>
        <v/>
      </c>
      <c r="X1147">
        <f>HYPERLINK("https://klasma.github.io/Logging_0860/kartor/A 10333-2023 karta.png", "A 10333-2023")</f>
        <v/>
      </c>
      <c r="Y1147">
        <f>HYPERLINK("https://klasma.github.io/Logging_0860/kartor_geotiff/A 10333-2023 georefererad karta.tif", "A 10333-2023")</f>
        <v/>
      </c>
      <c r="AA1147">
        <f>HYPERLINK("https://klasma.github.io/Logging_0860/klagomål/A 10333-2023 FSC-klagomål.docx", "A 10333-2023")</f>
        <v/>
      </c>
      <c r="AB1147">
        <f>HYPERLINK("https://klasma.github.io/Logging_0860/klagomålsmail/A 10333-2023 FSC-klagomål mail.docx", "A 10333-2023")</f>
        <v/>
      </c>
      <c r="AC1147">
        <f>HYPERLINK("https://klasma.github.io/Logging_0860/tillsyn/A 10333-2023 tillsynsbegäran.docx", "A 10333-2023")</f>
        <v/>
      </c>
      <c r="AD1147">
        <f>HYPERLINK("https://klasma.github.io/Logging_0860/tillsynsmail/A 10333-2023 tillsynsbegäran mail.docx", "A 10333-2023")</f>
        <v/>
      </c>
    </row>
    <row r="1148" ht="15" customHeight="1">
      <c r="A1148" t="inlineStr">
        <is>
          <t>A 37195-2026</t>
        </is>
      </c>
      <c r="B1148" t="inlineStr">
        <is>
          <t>avverkningsanmälan</t>
        </is>
      </c>
      <c r="C1148" t="inlineStr">
        <is>
          <t>Föryngringsavverkning</t>
        </is>
      </c>
      <c r="D1148" s="1" t="n">
        <v>46274</v>
      </c>
      <c r="E1148" s="1" t="n">
        <v>46323</v>
      </c>
      <c r="F1148" t="inlineStr">
        <is>
          <t>KALMAR LÄN</t>
        </is>
      </c>
      <c r="G1148" t="inlineStr">
        <is>
          <t>VIMMERBY</t>
        </is>
      </c>
      <c r="I1148" t="n">
        <v>1.5</v>
      </c>
      <c r="J1148" t="n">
        <v>0</v>
      </c>
      <c r="K1148" t="n">
        <v>1</v>
      </c>
      <c r="L1148" t="n">
        <v>0</v>
      </c>
      <c r="M1148" t="n">
        <v>0</v>
      </c>
      <c r="N1148" t="n">
        <v>0</v>
      </c>
      <c r="O1148" t="n">
        <v>0</v>
      </c>
      <c r="P1148" t="n">
        <v>0</v>
      </c>
      <c r="Q1148" t="n">
        <v>0</v>
      </c>
      <c r="R1148" t="n">
        <v>0</v>
      </c>
      <c r="S1148" t="n">
        <v>1</v>
      </c>
      <c r="T1148" t="n">
        <v>1</v>
      </c>
      <c r="U1148" t="n">
        <v>0</v>
      </c>
      <c r="V1148" s="2" t="inlineStr">
        <is>
          <t>Svart trolldruva</t>
        </is>
      </c>
      <c r="W1148">
        <f>HYPERLINK("https://klasma.github.io/Logging_0884/artfynd/A 37195-2026 artfynd.xlsx", "A 37195-2026")</f>
        <v/>
      </c>
      <c r="X1148">
        <f>HYPERLINK("https://klasma.github.io/Logging_0884/kartor/A 37195-2026 karta.png", "A 37195-2026")</f>
        <v/>
      </c>
      <c r="Y1148">
        <f>HYPERLINK("https://klasma.github.io/Logging_0884/kartor_geotiff/A 37195-2026 georefererad karta.tif", "A 37195-2026")</f>
        <v/>
      </c>
      <c r="AA1148">
        <f>HYPERLINK("https://klasma.github.io/Logging_0884/klagomål/A 37195-2026 FSC-klagomål.docx", "A 37195-2026")</f>
        <v/>
      </c>
      <c r="AB1148">
        <f>HYPERLINK("https://klasma.github.io/Logging_0884/klagomålsmail/A 37195-2026 FSC-klagomål mail.docx", "A 37195-2026")</f>
        <v/>
      </c>
      <c r="AC1148">
        <f>HYPERLINK("https://klasma.github.io/Logging_0884/tillsyn/A 37195-2026 tillsynsbegäran.docx", "A 37195-2026")</f>
        <v/>
      </c>
      <c r="AD1148">
        <f>HYPERLINK("https://klasma.github.io/Logging_0884/tillsynsmail/A 37195-2026 tillsynsbegäran mail.docx", "A 37195-2026")</f>
        <v/>
      </c>
    </row>
    <row r="1149" ht="15" customHeight="1">
      <c r="A1149" t="inlineStr">
        <is>
          <t>A 44428-2026</t>
        </is>
      </c>
      <c r="B1149" t="inlineStr">
        <is>
          <t>avverkningsanmälan</t>
        </is>
      </c>
      <c r="C1149" t="inlineStr">
        <is>
          <t>Föryngringsavverkning</t>
        </is>
      </c>
      <c r="D1149" s="1" t="n">
        <v>46321</v>
      </c>
      <c r="E1149" s="1" t="n">
        <v>46323</v>
      </c>
      <c r="F1149" t="inlineStr">
        <is>
          <t>KALMAR LÄN</t>
        </is>
      </c>
      <c r="G1149" t="inlineStr">
        <is>
          <t>NYBRO</t>
        </is>
      </c>
      <c r="H1149" t="inlineStr">
        <is>
          <t>Sveaskog</t>
        </is>
      </c>
      <c r="I1149" t="n">
        <v>3.9</v>
      </c>
      <c r="J1149" t="n">
        <v>0</v>
      </c>
      <c r="K1149" t="n">
        <v>1</v>
      </c>
      <c r="L1149" t="n">
        <v>0</v>
      </c>
      <c r="M1149" t="n">
        <v>0</v>
      </c>
      <c r="N1149" t="n">
        <v>0</v>
      </c>
      <c r="O1149" t="n">
        <v>0</v>
      </c>
      <c r="P1149" t="n">
        <v>0</v>
      </c>
      <c r="Q1149" t="n">
        <v>0</v>
      </c>
      <c r="R1149" t="n">
        <v>0</v>
      </c>
      <c r="S1149" t="n">
        <v>1</v>
      </c>
      <c r="T1149" t="n">
        <v>1</v>
      </c>
      <c r="U1149" t="n">
        <v>0</v>
      </c>
      <c r="V1149" s="2" t="inlineStr">
        <is>
          <t>Stekelbock</t>
        </is>
      </c>
      <c r="W1149">
        <f>HYPERLINK("https://klasma.github.io/Logging_0881/artfynd/A 44428-2026 artfynd.xlsx", "A 44428-2026")</f>
        <v/>
      </c>
      <c r="X1149">
        <f>HYPERLINK("https://klasma.github.io/Logging_0881/kartor/A 44428-2026 karta.png", "A 44428-2026")</f>
        <v/>
      </c>
      <c r="Y1149">
        <f>HYPERLINK("https://klasma.github.io/Logging_0881/kartor_geotiff/A 44428-2026 georefererad karta.tif", "A 44428-2026")</f>
        <v/>
      </c>
      <c r="AA1149">
        <f>HYPERLINK("https://klasma.github.io/Logging_0881/klagomål/A 44428-2026 FSC-klagomål.docx", "A 44428-2026")</f>
        <v/>
      </c>
      <c r="AB1149">
        <f>HYPERLINK("https://klasma.github.io/Logging_0881/klagomålsmail/A 44428-2026 FSC-klagomål mail.docx", "A 44428-2026")</f>
        <v/>
      </c>
      <c r="AC1149">
        <f>HYPERLINK("https://klasma.github.io/Logging_0881/tillsyn/A 44428-2026 tillsynsbegäran.docx", "A 44428-2026")</f>
        <v/>
      </c>
      <c r="AD1149">
        <f>HYPERLINK("https://klasma.github.io/Logging_0881/tillsynsmail/A 44428-2026 tillsynsbegäran mail.docx", "A 44428-2026")</f>
        <v/>
      </c>
    </row>
    <row r="1150" ht="15" customHeight="1">
      <c r="A1150" t="inlineStr">
        <is>
          <t>A 44799-2026</t>
        </is>
      </c>
      <c r="B1150" t="inlineStr">
        <is>
          <t>avverkningsanmälan</t>
        </is>
      </c>
      <c r="C1150" t="inlineStr">
        <is>
          <t>Föryngringsavverkning</t>
        </is>
      </c>
      <c r="D1150" s="1" t="n">
        <v>46318</v>
      </c>
      <c r="E1150" s="1" t="n">
        <v>46323</v>
      </c>
      <c r="F1150" t="inlineStr">
        <is>
          <t>KALMAR LÄN</t>
        </is>
      </c>
      <c r="G1150" t="inlineStr">
        <is>
          <t>MÖNSTERÅS</t>
        </is>
      </c>
      <c r="I1150" t="n">
        <v>11.1</v>
      </c>
      <c r="J1150" t="n">
        <v>0</v>
      </c>
      <c r="K1150" t="n">
        <v>1</v>
      </c>
      <c r="L1150" t="n">
        <v>0</v>
      </c>
      <c r="M1150" t="n">
        <v>0</v>
      </c>
      <c r="N1150" t="n">
        <v>0</v>
      </c>
      <c r="O1150" t="n">
        <v>0</v>
      </c>
      <c r="P1150" t="n">
        <v>0</v>
      </c>
      <c r="Q1150" t="n">
        <v>0</v>
      </c>
      <c r="R1150" t="n">
        <v>0</v>
      </c>
      <c r="S1150" t="n">
        <v>1</v>
      </c>
      <c r="T1150" t="n">
        <v>1</v>
      </c>
      <c r="U1150" t="n">
        <v>0</v>
      </c>
      <c r="V1150" s="2" t="inlineStr">
        <is>
          <t>Blodvaxing</t>
        </is>
      </c>
      <c r="W1150">
        <f>HYPERLINK("https://klasma.github.io/Logging_0861/artfynd/A 44799-2026 artfynd.xlsx", "A 44799-2026")</f>
        <v/>
      </c>
      <c r="X1150">
        <f>HYPERLINK("https://klasma.github.io/Logging_0861/kartor/A 44799-2026 karta.png", "A 44799-2026")</f>
        <v/>
      </c>
      <c r="Y1150">
        <f>HYPERLINK("https://klasma.github.io/Logging_0861/kartor_geotiff/A 44799-2026 georefererad karta.tif", "A 44799-2026")</f>
        <v/>
      </c>
      <c r="AA1150">
        <f>HYPERLINK("https://klasma.github.io/Logging_0861/klagomål/A 44799-2026 FSC-klagomål.docx", "A 44799-2026")</f>
        <v/>
      </c>
      <c r="AB1150">
        <f>HYPERLINK("https://klasma.github.io/Logging_0861/klagomålsmail/A 44799-2026 FSC-klagomål mail.docx", "A 44799-2026")</f>
        <v/>
      </c>
      <c r="AC1150">
        <f>HYPERLINK("https://klasma.github.io/Logging_0861/tillsyn/A 44799-2026 tillsynsbegäran.docx", "A 44799-2026")</f>
        <v/>
      </c>
      <c r="AD1150">
        <f>HYPERLINK("https://klasma.github.io/Logging_0861/tillsynsmail/A 44799-2026 tillsynsbegäran mail.docx", "A 44799-2026")</f>
        <v/>
      </c>
    </row>
    <row r="1151" ht="15" customHeight="1">
      <c r="A1151" t="inlineStr">
        <is>
          <t>A 32748-2026</t>
        </is>
      </c>
      <c r="B1151" t="inlineStr">
        <is>
          <t>avverkningsanmälan</t>
        </is>
      </c>
      <c r="C1151" t="inlineStr">
        <is>
          <t>Föryngringsavverkning</t>
        </is>
      </c>
      <c r="D1151" s="1" t="n">
        <v>46241</v>
      </c>
      <c r="E1151" s="1" t="n">
        <v>46323</v>
      </c>
      <c r="F1151" t="inlineStr">
        <is>
          <t>KALMAR LÄN</t>
        </is>
      </c>
      <c r="G1151" t="inlineStr">
        <is>
          <t>VÄSTERVIK</t>
        </is>
      </c>
      <c r="I1151" t="n">
        <v>2.8</v>
      </c>
      <c r="J1151" t="n">
        <v>1</v>
      </c>
      <c r="K1151" t="n">
        <v>0</v>
      </c>
      <c r="L1151" t="n">
        <v>0</v>
      </c>
      <c r="M1151" t="n">
        <v>0</v>
      </c>
      <c r="N1151" t="n">
        <v>0</v>
      </c>
      <c r="O1151" t="n">
        <v>0</v>
      </c>
      <c r="P1151" t="n">
        <v>0</v>
      </c>
      <c r="Q1151" t="n">
        <v>0</v>
      </c>
      <c r="R1151" t="n">
        <v>0</v>
      </c>
      <c r="S1151" t="n">
        <v>1</v>
      </c>
      <c r="T1151" t="n">
        <v>2</v>
      </c>
      <c r="U1151" t="n">
        <v>0</v>
      </c>
      <c r="V1151" s="2" t="inlineStr">
        <is>
          <t>Tjäder</t>
        </is>
      </c>
      <c r="W1151">
        <f>HYPERLINK("https://klasma.github.io/Logging_0883/artfynd/A 32748-2026 artfynd.xlsx", "A 32748-2026")</f>
        <v/>
      </c>
      <c r="X1151">
        <f>HYPERLINK("https://klasma.github.io/Logging_0883/kartor/A 32748-2026 karta.png", "A 32748-2026")</f>
        <v/>
      </c>
      <c r="Y1151">
        <f>HYPERLINK("https://klasma.github.io/Logging_0883/kartor_geotiff/A 32748-2026 georefererad karta.tif", "A 32748-2026")</f>
        <v/>
      </c>
      <c r="AA1151">
        <f>HYPERLINK("https://klasma.github.io/Logging_0883/klagomål/A 32748-2026 FSC-klagomål.docx", "A 32748-2026")</f>
        <v/>
      </c>
      <c r="AB1151">
        <f>HYPERLINK("https://klasma.github.io/Logging_0883/klagomålsmail/A 32748-2026 FSC-klagomål mail.docx", "A 32748-2026")</f>
        <v/>
      </c>
      <c r="AC1151">
        <f>HYPERLINK("https://klasma.github.io/Logging_0883/tillsyn/A 32748-2026 tillsynsbegäran.docx", "A 32748-2026")</f>
        <v/>
      </c>
      <c r="AD1151">
        <f>HYPERLINK("https://klasma.github.io/Logging_0883/tillsynsmail/A 32748-2026 tillsynsbegäran mail.docx", "A 32748-2026")</f>
        <v/>
      </c>
      <c r="AE1151">
        <f>HYPERLINK("https://klasma.github.io/Logging_0883/fåglar/A 32748-2026 prioriterade fågelarter.docx", "A 32748-2026")</f>
        <v/>
      </c>
    </row>
    <row r="1152" ht="15" customHeight="1">
      <c r="A1152" t="inlineStr">
        <is>
          <t>A 22086-2026</t>
        </is>
      </c>
      <c r="B1152" t="inlineStr">
        <is>
          <t>avverkningsanmälan</t>
        </is>
      </c>
      <c r="C1152" t="inlineStr">
        <is>
          <t>Föryngringsavverkning</t>
        </is>
      </c>
      <c r="D1152" s="1" t="n">
        <v>46153</v>
      </c>
      <c r="E1152" s="1" t="n">
        <v>46323</v>
      </c>
      <c r="F1152" t="inlineStr">
        <is>
          <t>KALMAR LÄN</t>
        </is>
      </c>
      <c r="G1152" t="inlineStr">
        <is>
          <t>NYBRO</t>
        </is>
      </c>
      <c r="H1152" t="inlineStr">
        <is>
          <t>Sveaskog</t>
        </is>
      </c>
      <c r="I1152" t="n">
        <v>2.6</v>
      </c>
      <c r="J1152" t="n">
        <v>1</v>
      </c>
      <c r="K1152" t="n">
        <v>0</v>
      </c>
      <c r="L1152" t="n">
        <v>1</v>
      </c>
      <c r="M1152" t="n">
        <v>0</v>
      </c>
      <c r="N1152" t="n">
        <v>0</v>
      </c>
      <c r="O1152" t="n">
        <v>0</v>
      </c>
      <c r="P1152" t="n">
        <v>0</v>
      </c>
      <c r="Q1152" t="n">
        <v>1</v>
      </c>
      <c r="R1152" t="n">
        <v>0</v>
      </c>
      <c r="S1152" t="n">
        <v>1</v>
      </c>
      <c r="T1152" t="n">
        <v>5</v>
      </c>
      <c r="U1152" t="n">
        <v>0</v>
      </c>
      <c r="V1152" s="2" t="inlineStr">
        <is>
          <t>Talltita</t>
        </is>
      </c>
      <c r="W1152">
        <f>HYPERLINK("https://klasma.github.io/Logging_0881/artfynd/A 22086-2026 artfynd.xlsx", "A 22086-2026")</f>
        <v/>
      </c>
      <c r="X1152">
        <f>HYPERLINK("https://klasma.github.io/Logging_0881/kartor/A 22086-2026 karta.png", "A 22086-2026")</f>
        <v/>
      </c>
      <c r="Y1152">
        <f>HYPERLINK("https://klasma.github.io/Logging_0881/kartor_geotiff/A 22086-2026 georefererad karta.tif", "A 22086-2026")</f>
        <v/>
      </c>
      <c r="AA1152">
        <f>HYPERLINK("https://klasma.github.io/Logging_0881/klagomål/A 22086-2026 FSC-klagomål.docx", "A 22086-2026")</f>
        <v/>
      </c>
      <c r="AB1152">
        <f>HYPERLINK("https://klasma.github.io/Logging_0881/klagomålsmail/A 22086-2026 FSC-klagomål mail.docx", "A 22086-2026")</f>
        <v/>
      </c>
      <c r="AC1152">
        <f>HYPERLINK("https://klasma.github.io/Logging_0881/tillsyn/A 22086-2026 tillsynsbegäran.docx", "A 22086-2026")</f>
        <v/>
      </c>
      <c r="AD1152">
        <f>HYPERLINK("https://klasma.github.io/Logging_0881/tillsynsmail/A 22086-2026 tillsynsbegäran mail.docx", "A 22086-2026")</f>
        <v/>
      </c>
      <c r="AE1152">
        <f>HYPERLINK("https://klasma.github.io/Logging_0881/fåglar/A 22086-2026 prioriterade fågelarter.docx", "A 22086-2026")</f>
        <v/>
      </c>
    </row>
    <row r="1153" ht="15" customHeight="1">
      <c r="A1153" t="inlineStr">
        <is>
          <t>A 22097-2026</t>
        </is>
      </c>
      <c r="B1153" t="inlineStr">
        <is>
          <t>avverkningsanmälan</t>
        </is>
      </c>
      <c r="C1153" t="inlineStr">
        <is>
          <t>Föryngringsavverkning</t>
        </is>
      </c>
      <c r="D1153" s="1" t="n">
        <v>46153</v>
      </c>
      <c r="E1153" s="1" t="n">
        <v>46323</v>
      </c>
      <c r="F1153" t="inlineStr">
        <is>
          <t>KALMAR LÄN</t>
        </is>
      </c>
      <c r="G1153" t="inlineStr">
        <is>
          <t>NYBRO</t>
        </is>
      </c>
      <c r="H1153" t="inlineStr">
        <is>
          <t>Sveaskog</t>
        </is>
      </c>
      <c r="I1153" t="n">
        <v>2.1</v>
      </c>
      <c r="J1153" t="n">
        <v>1</v>
      </c>
      <c r="K1153" t="n">
        <v>0</v>
      </c>
      <c r="L1153" t="n">
        <v>1</v>
      </c>
      <c r="M1153" t="n">
        <v>0</v>
      </c>
      <c r="N1153" t="n">
        <v>0</v>
      </c>
      <c r="O1153" t="n">
        <v>0</v>
      </c>
      <c r="P1153" t="n">
        <v>0</v>
      </c>
      <c r="Q1153" t="n">
        <v>1</v>
      </c>
      <c r="R1153" t="n">
        <v>0</v>
      </c>
      <c r="S1153" t="n">
        <v>1</v>
      </c>
      <c r="T1153" t="n">
        <v>3</v>
      </c>
      <c r="U1153" t="n">
        <v>0</v>
      </c>
      <c r="V1153" s="2" t="inlineStr">
        <is>
          <t>Talltita</t>
        </is>
      </c>
      <c r="W1153">
        <f>HYPERLINK("https://klasma.github.io/Logging_0881/artfynd/A 22097-2026 artfynd.xlsx", "A 22097-2026")</f>
        <v/>
      </c>
      <c r="X1153">
        <f>HYPERLINK("https://klasma.github.io/Logging_0881/kartor/A 22097-2026 karta.png", "A 22097-2026")</f>
        <v/>
      </c>
      <c r="Y1153">
        <f>HYPERLINK("https://klasma.github.io/Logging_0881/kartor_geotiff/A 22097-2026 georefererad karta.tif", "A 22097-2026")</f>
        <v/>
      </c>
      <c r="AA1153">
        <f>HYPERLINK("https://klasma.github.io/Logging_0881/klagomål/A 22097-2026 FSC-klagomål.docx", "A 22097-2026")</f>
        <v/>
      </c>
      <c r="AB1153">
        <f>HYPERLINK("https://klasma.github.io/Logging_0881/klagomålsmail/A 22097-2026 FSC-klagomål mail.docx", "A 22097-2026")</f>
        <v/>
      </c>
      <c r="AC1153">
        <f>HYPERLINK("https://klasma.github.io/Logging_0881/tillsyn/A 22097-2026 tillsynsbegäran.docx", "A 22097-2026")</f>
        <v/>
      </c>
      <c r="AD1153">
        <f>HYPERLINK("https://klasma.github.io/Logging_0881/tillsynsmail/A 22097-2026 tillsynsbegäran mail.docx", "A 22097-2026")</f>
        <v/>
      </c>
      <c r="AE1153">
        <f>HYPERLINK("https://klasma.github.io/Logging_0881/fåglar/A 22097-2026 prioriterade fågelarter.docx", "A 22097-2026")</f>
        <v/>
      </c>
    </row>
    <row r="1154" ht="15" customHeight="1">
      <c r="A1154" t="inlineStr">
        <is>
          <t>A 22089-2026</t>
        </is>
      </c>
      <c r="B1154" t="inlineStr">
        <is>
          <t>avverkningsanmälan</t>
        </is>
      </c>
      <c r="C1154" t="inlineStr">
        <is>
          <t>Föryngringsavverkning</t>
        </is>
      </c>
      <c r="D1154" s="1" t="n">
        <v>46153</v>
      </c>
      <c r="E1154" s="1" t="n">
        <v>46323</v>
      </c>
      <c r="F1154" t="inlineStr">
        <is>
          <t>KALMAR LÄN</t>
        </is>
      </c>
      <c r="G1154" t="inlineStr">
        <is>
          <t>NYBRO</t>
        </is>
      </c>
      <c r="H1154" t="inlineStr">
        <is>
          <t>Sveaskog</t>
        </is>
      </c>
      <c r="I1154" t="n">
        <v>0.7</v>
      </c>
      <c r="J1154" t="n">
        <v>1</v>
      </c>
      <c r="K1154" t="n">
        <v>0</v>
      </c>
      <c r="L1154" t="n">
        <v>1</v>
      </c>
      <c r="M1154" t="n">
        <v>0</v>
      </c>
      <c r="N1154" t="n">
        <v>0</v>
      </c>
      <c r="O1154" t="n">
        <v>0</v>
      </c>
      <c r="P1154" t="n">
        <v>0</v>
      </c>
      <c r="Q1154" t="n">
        <v>1</v>
      </c>
      <c r="R1154" t="n">
        <v>0</v>
      </c>
      <c r="S1154" t="n">
        <v>1</v>
      </c>
      <c r="T1154" t="n">
        <v>2</v>
      </c>
      <c r="U1154" t="n">
        <v>0</v>
      </c>
      <c r="V1154" s="2" t="inlineStr">
        <is>
          <t>Talltita</t>
        </is>
      </c>
      <c r="W1154">
        <f>HYPERLINK("https://klasma.github.io/Logging_0881/artfynd/A 22089-2026 artfynd.xlsx", "A 22089-2026")</f>
        <v/>
      </c>
      <c r="X1154">
        <f>HYPERLINK("https://klasma.github.io/Logging_0881/kartor/A 22089-2026 karta.png", "A 22089-2026")</f>
        <v/>
      </c>
      <c r="Y1154">
        <f>HYPERLINK("https://klasma.github.io/Logging_0881/kartor_geotiff/A 22089-2026 georefererad karta.tif", "A 22089-2026")</f>
        <v/>
      </c>
      <c r="AA1154">
        <f>HYPERLINK("https://klasma.github.io/Logging_0881/klagomål/A 22089-2026 FSC-klagomål.docx", "A 22089-2026")</f>
        <v/>
      </c>
      <c r="AB1154">
        <f>HYPERLINK("https://klasma.github.io/Logging_0881/klagomålsmail/A 22089-2026 FSC-klagomål mail.docx", "A 22089-2026")</f>
        <v/>
      </c>
      <c r="AC1154">
        <f>HYPERLINK("https://klasma.github.io/Logging_0881/tillsyn/A 22089-2026 tillsynsbegäran.docx", "A 22089-2026")</f>
        <v/>
      </c>
      <c r="AD1154">
        <f>HYPERLINK("https://klasma.github.io/Logging_0881/tillsynsmail/A 22089-2026 tillsynsbegäran mail.docx", "A 22089-2026")</f>
        <v/>
      </c>
      <c r="AE1154">
        <f>HYPERLINK("https://klasma.github.io/Logging_0881/fåglar/A 22089-2026 prioriterade fågelarter.docx", "A 22089-2026")</f>
        <v/>
      </c>
    </row>
    <row r="1155" ht="15" customHeight="1">
      <c r="A1155" t="inlineStr">
        <is>
          <t>A 54216-2024</t>
        </is>
      </c>
      <c r="B1155" t="inlineStr">
        <is>
          <t>avverkningsanmälan</t>
        </is>
      </c>
      <c r="C1155" t="inlineStr">
        <is>
          <t>Föryngringsavverkning</t>
        </is>
      </c>
      <c r="D1155" s="1" t="n">
        <v>45616</v>
      </c>
      <c r="E1155" s="1" t="n">
        <v>46323</v>
      </c>
      <c r="F1155" t="inlineStr">
        <is>
          <t>KALMAR LÄN</t>
        </is>
      </c>
      <c r="G1155" t="inlineStr">
        <is>
          <t>NYBRO</t>
        </is>
      </c>
      <c r="I1155" t="n">
        <v>4.4</v>
      </c>
      <c r="J1155" t="n">
        <v>1</v>
      </c>
      <c r="K1155" t="n">
        <v>0</v>
      </c>
      <c r="L1155" t="n">
        <v>0</v>
      </c>
      <c r="M1155" t="n">
        <v>0</v>
      </c>
      <c r="N1155" t="n">
        <v>0</v>
      </c>
      <c r="O1155" t="n">
        <v>0</v>
      </c>
      <c r="P1155" t="n">
        <v>0</v>
      </c>
      <c r="Q1155" t="n">
        <v>0</v>
      </c>
      <c r="R1155" t="n">
        <v>0</v>
      </c>
      <c r="S1155" t="n">
        <v>1</v>
      </c>
      <c r="T1155" t="n">
        <v>1</v>
      </c>
      <c r="U1155" t="n">
        <v>1</v>
      </c>
      <c r="V1155" s="2" t="inlineStr">
        <is>
          <t>Spillkråka</t>
        </is>
      </c>
      <c r="W1155">
        <f>HYPERLINK("https://klasma.github.io/Logging_0881/artfynd/A 54216-2024 artfynd.xlsx", "A 54216-2024")</f>
        <v/>
      </c>
      <c r="X1155">
        <f>HYPERLINK("https://klasma.github.io/Logging_0881/kartor/A 54216-2024 karta.png", "A 54216-2024")</f>
        <v/>
      </c>
      <c r="Y1155">
        <f>HYPERLINK("https://klasma.github.io/Logging_0881/kartor_geotiff/A 54216-2024 georefererad karta.tif", "A 54216-2024")</f>
        <v/>
      </c>
      <c r="AA1155">
        <f>HYPERLINK("https://klasma.github.io/Logging_0881/klagomål/A 54216-2024 FSC-klagomål.docx", "A 54216-2024")</f>
        <v/>
      </c>
      <c r="AB1155">
        <f>HYPERLINK("https://klasma.github.io/Logging_0881/klagomålsmail/A 54216-2024 FSC-klagomål mail.docx", "A 54216-2024")</f>
        <v/>
      </c>
      <c r="AC1155">
        <f>HYPERLINK("https://klasma.github.io/Logging_0881/tillsyn/A 54216-2024 tillsynsbegäran.docx", "A 54216-2024")</f>
        <v/>
      </c>
      <c r="AD1155">
        <f>HYPERLINK("https://klasma.github.io/Logging_0881/tillsynsmail/A 54216-2024 tillsynsbegäran mail.docx", "A 54216-2024")</f>
        <v/>
      </c>
      <c r="AE1155">
        <f>HYPERLINK("https://klasma.github.io/Logging_0881/fåglar/A 54216-2024 prioriterade fågelarter.docx", "A 54216-2024")</f>
        <v/>
      </c>
    </row>
    <row r="1156" ht="15" customHeight="1">
      <c r="A1156" t="inlineStr">
        <is>
          <t>A 16697-2025</t>
        </is>
      </c>
      <c r="B1156" t="inlineStr">
        <is>
          <t>avverkningsanmälan</t>
        </is>
      </c>
      <c r="C1156" t="inlineStr">
        <is>
          <t>Föryngringsavverkning</t>
        </is>
      </c>
      <c r="D1156" s="1" t="n">
        <v>45754</v>
      </c>
      <c r="E1156" s="1" t="n">
        <v>46323</v>
      </c>
      <c r="F1156" t="inlineStr">
        <is>
          <t>KALMAR LÄN</t>
        </is>
      </c>
      <c r="G1156" t="inlineStr">
        <is>
          <t>VÄSTERVIK</t>
        </is>
      </c>
      <c r="H1156" t="inlineStr">
        <is>
          <t>Sveaskog</t>
        </is>
      </c>
      <c r="I1156" t="n">
        <v>1.3</v>
      </c>
      <c r="J1156" t="n">
        <v>1</v>
      </c>
      <c r="K1156" t="n">
        <v>0</v>
      </c>
      <c r="L1156" t="n">
        <v>0</v>
      </c>
      <c r="M1156" t="n">
        <v>0</v>
      </c>
      <c r="N1156" t="n">
        <v>0</v>
      </c>
      <c r="O1156" t="n">
        <v>0</v>
      </c>
      <c r="P1156" t="n">
        <v>0</v>
      </c>
      <c r="Q1156" t="n">
        <v>0</v>
      </c>
      <c r="R1156" t="n">
        <v>0</v>
      </c>
      <c r="S1156" t="n">
        <v>1</v>
      </c>
      <c r="T1156" t="n">
        <v>1</v>
      </c>
      <c r="U1156" t="n">
        <v>1</v>
      </c>
      <c r="V1156" s="2" t="inlineStr">
        <is>
          <t>Spillkråka</t>
        </is>
      </c>
      <c r="W1156">
        <f>HYPERLINK("https://klasma.github.io/Logging_0883/artfynd/A 16697-2025 artfynd.xlsx", "A 16697-2025")</f>
        <v/>
      </c>
      <c r="X1156">
        <f>HYPERLINK("https://klasma.github.io/Logging_0883/kartor/A 16697-2025 karta.png", "A 16697-2025")</f>
        <v/>
      </c>
      <c r="Y1156">
        <f>HYPERLINK("https://klasma.github.io/Logging_0883/kartor_geotiff/A 16697-2025 georefererad karta.tif", "A 16697-2025")</f>
        <v/>
      </c>
      <c r="AA1156">
        <f>HYPERLINK("https://klasma.github.io/Logging_0883/klagomål/A 16697-2025 FSC-klagomål.docx", "A 16697-2025")</f>
        <v/>
      </c>
      <c r="AB1156">
        <f>HYPERLINK("https://klasma.github.io/Logging_0883/klagomålsmail/A 16697-2025 FSC-klagomål mail.docx", "A 16697-2025")</f>
        <v/>
      </c>
      <c r="AC1156">
        <f>HYPERLINK("https://klasma.github.io/Logging_0883/tillsyn/A 16697-2025 tillsynsbegäran.docx", "A 16697-2025")</f>
        <v/>
      </c>
      <c r="AD1156">
        <f>HYPERLINK("https://klasma.github.io/Logging_0883/tillsynsmail/A 16697-2025 tillsynsbegäran mail.docx", "A 16697-2025")</f>
        <v/>
      </c>
      <c r="AE1156">
        <f>HYPERLINK("https://klasma.github.io/Logging_0883/fåglar/A 16697-2025 prioriterade fågelarter.docx", "A 16697-2025")</f>
        <v/>
      </c>
    </row>
    <row r="1157" ht="15" customHeight="1">
      <c r="A1157" t="inlineStr">
        <is>
          <t>A 22757-2026</t>
        </is>
      </c>
      <c r="B1157" t="inlineStr">
        <is>
          <t>avverkningsanmälan</t>
        </is>
      </c>
      <c r="C1157" t="inlineStr">
        <is>
          <t>Föryngringsavverkning</t>
        </is>
      </c>
      <c r="D1157" s="1" t="n">
        <v>46157</v>
      </c>
      <c r="E1157" s="1" t="n">
        <v>46323</v>
      </c>
      <c r="F1157" t="inlineStr">
        <is>
          <t>KALMAR LÄN</t>
        </is>
      </c>
      <c r="G1157" t="inlineStr">
        <is>
          <t>HÖGSBY</t>
        </is>
      </c>
      <c r="I1157" t="n">
        <v>1.1</v>
      </c>
      <c r="J1157" t="n">
        <v>1</v>
      </c>
      <c r="K1157" t="n">
        <v>0</v>
      </c>
      <c r="L1157" t="n">
        <v>0</v>
      </c>
      <c r="M1157" t="n">
        <v>0</v>
      </c>
      <c r="N1157" t="n">
        <v>0</v>
      </c>
      <c r="O1157" t="n">
        <v>0</v>
      </c>
      <c r="P1157" t="n">
        <v>0</v>
      </c>
      <c r="Q1157" t="n">
        <v>0</v>
      </c>
      <c r="R1157" t="n">
        <v>0</v>
      </c>
      <c r="S1157" t="n">
        <v>1</v>
      </c>
      <c r="T1157" t="n">
        <v>4</v>
      </c>
      <c r="U1157" t="n">
        <v>4</v>
      </c>
      <c r="V1157" s="2" t="inlineStr">
        <is>
          <t>Blåsippa</t>
        </is>
      </c>
      <c r="W1157">
        <f>HYPERLINK("https://klasma.github.io/Logging_0821/artfynd/A 22757-2026 artfynd.xlsx", "A 22757-2026")</f>
        <v/>
      </c>
      <c r="X1157">
        <f>HYPERLINK("https://klasma.github.io/Logging_0821/kartor/A 22757-2026 karta.png", "A 22757-2026")</f>
        <v/>
      </c>
      <c r="Y1157">
        <f>HYPERLINK("https://klasma.github.io/Logging_0821/kartor_geotiff/A 22757-2026 georefererad karta.tif", "A 22757-2026")</f>
        <v/>
      </c>
      <c r="AA1157">
        <f>HYPERLINK("https://klasma.github.io/Logging_0821/klagomål/A 22757-2026 FSC-klagomål.docx", "A 22757-2026")</f>
        <v/>
      </c>
      <c r="AB1157">
        <f>HYPERLINK("https://klasma.github.io/Logging_0821/klagomålsmail/A 22757-2026 FSC-klagomål mail.docx", "A 22757-2026")</f>
        <v/>
      </c>
      <c r="AC1157">
        <f>HYPERLINK("https://klasma.github.io/Logging_0821/tillsyn/A 22757-2026 tillsynsbegäran.docx", "A 22757-2026")</f>
        <v/>
      </c>
      <c r="AD1157">
        <f>HYPERLINK("https://klasma.github.io/Logging_0821/tillsynsmail/A 22757-2026 tillsynsbegäran mail.docx", "A 22757-2026")</f>
        <v/>
      </c>
    </row>
    <row r="1158" ht="15" customHeight="1">
      <c r="A1158" t="inlineStr">
        <is>
          <t>A 54924-2022</t>
        </is>
      </c>
      <c r="B1158" t="inlineStr">
        <is>
          <t>avverkningsanmälan</t>
        </is>
      </c>
      <c r="C1158" t="inlineStr">
        <is>
          <t>Föryngringsavverkning</t>
        </is>
      </c>
      <c r="D1158" s="1" t="n">
        <v>44886</v>
      </c>
      <c r="E1158" s="1" t="n">
        <v>46323</v>
      </c>
      <c r="F1158" t="inlineStr">
        <is>
          <t>KALMAR LÄN</t>
        </is>
      </c>
      <c r="G1158" t="inlineStr">
        <is>
          <t>MÖNSTERÅS</t>
        </is>
      </c>
      <c r="I1158" t="n">
        <v>5</v>
      </c>
      <c r="J1158" t="n">
        <v>1</v>
      </c>
      <c r="K1158" t="n">
        <v>0</v>
      </c>
      <c r="L1158" t="n">
        <v>0</v>
      </c>
      <c r="M1158" t="n">
        <v>1</v>
      </c>
      <c r="N1158" t="n">
        <v>0</v>
      </c>
      <c r="O1158" t="n">
        <v>0</v>
      </c>
      <c r="P1158" t="n">
        <v>0</v>
      </c>
      <c r="Q1158" t="n">
        <v>1</v>
      </c>
      <c r="R1158" t="n">
        <v>1</v>
      </c>
      <c r="S1158" t="n">
        <v>1</v>
      </c>
      <c r="T1158" t="n">
        <v>8</v>
      </c>
      <c r="U1158" t="n">
        <v>8</v>
      </c>
      <c r="V1158" s="2" t="inlineStr">
        <is>
          <t>Knärot</t>
        </is>
      </c>
      <c r="W1158">
        <f>HYPERLINK("https://klasma.github.io/Logging_0861/artfynd/A 54924-2022 artfynd.xlsx", "A 54924-2022")</f>
        <v/>
      </c>
      <c r="X1158">
        <f>HYPERLINK("https://klasma.github.io/Logging_0861/kartor/A 54924-2022 karta.png", "A 54924-2022")</f>
        <v/>
      </c>
      <c r="Y1158">
        <f>HYPERLINK("https://klasma.github.io/Logging_0861/kartor_geotiff/A 54924-2022 georefererad karta.tif", "A 54924-2022")</f>
        <v/>
      </c>
      <c r="Z1158">
        <f>HYPERLINK("https://klasma.github.io/Logging_0861/knärot/A 54924-2022 karta knärot.png", "A 54924-2022")</f>
        <v/>
      </c>
      <c r="AA1158">
        <f>HYPERLINK("https://klasma.github.io/Logging_0861/klagomål/A 54924-2022 FSC-klagomål.docx", "A 54924-2022")</f>
        <v/>
      </c>
      <c r="AB1158">
        <f>HYPERLINK("https://klasma.github.io/Logging_0861/klagomålsmail/A 54924-2022 FSC-klagomål mail.docx", "A 54924-2022")</f>
        <v/>
      </c>
      <c r="AC1158">
        <f>HYPERLINK("https://klasma.github.io/Logging_0861/tillsyn/A 54924-2022 tillsynsbegäran.docx", "A 54924-2022")</f>
        <v/>
      </c>
      <c r="AD1158">
        <f>HYPERLINK("https://klasma.github.io/Logging_0861/tillsynsmail/A 54924-2022 tillsynsbegäran mail.docx", "A 54924-2022")</f>
        <v/>
      </c>
    </row>
    <row r="1159" ht="15" customHeight="1">
      <c r="A1159" t="inlineStr">
        <is>
          <t>A 20166-2026</t>
        </is>
      </c>
      <c r="B1159" t="inlineStr">
        <is>
          <t>avverkningsanmälan</t>
        </is>
      </c>
      <c r="C1159" t="inlineStr">
        <is>
          <t>Föryngringsavverkning</t>
        </is>
      </c>
      <c r="D1159" s="1" t="n">
        <v>46139</v>
      </c>
      <c r="E1159" s="1" t="n">
        <v>46323</v>
      </c>
      <c r="F1159" t="inlineStr">
        <is>
          <t>KALMAR LÄN</t>
        </is>
      </c>
      <c r="G1159" t="inlineStr">
        <is>
          <t>OSKARSHAMN</t>
        </is>
      </c>
      <c r="I1159" t="n">
        <v>2.1</v>
      </c>
      <c r="J1159" t="n">
        <v>0</v>
      </c>
      <c r="K1159" t="n">
        <v>1</v>
      </c>
      <c r="L1159" t="n">
        <v>0</v>
      </c>
      <c r="M1159" t="n">
        <v>0</v>
      </c>
      <c r="N1159" t="n">
        <v>0</v>
      </c>
      <c r="O1159" t="n">
        <v>0</v>
      </c>
      <c r="P1159" t="n">
        <v>0</v>
      </c>
      <c r="Q1159" t="n">
        <v>0</v>
      </c>
      <c r="R1159" t="n">
        <v>0</v>
      </c>
      <c r="S1159" t="n">
        <v>1</v>
      </c>
      <c r="T1159" t="n">
        <v>1</v>
      </c>
      <c r="U1159" t="n">
        <v>0</v>
      </c>
      <c r="V1159" s="2" t="inlineStr">
        <is>
          <t>Murgröna</t>
        </is>
      </c>
      <c r="W1159">
        <f>HYPERLINK("https://klasma.github.io/Logging_0882/artfynd/A 20166-2026 artfynd.xlsx", "A 20166-2026")</f>
        <v/>
      </c>
      <c r="X1159">
        <f>HYPERLINK("https://klasma.github.io/Logging_0882/kartor/A 20166-2026 karta.png", "A 20166-2026")</f>
        <v/>
      </c>
      <c r="Y1159">
        <f>HYPERLINK("https://klasma.github.io/Logging_0882/kartor_geotiff/A 20166-2026 georefererad karta.tif", "A 20166-2026")</f>
        <v/>
      </c>
      <c r="AA1159">
        <f>HYPERLINK("https://klasma.github.io/Logging_0882/klagomål/A 20166-2026 FSC-klagomål.docx", "A 20166-2026")</f>
        <v/>
      </c>
      <c r="AB1159">
        <f>HYPERLINK("https://klasma.github.io/Logging_0882/klagomålsmail/A 20166-2026 FSC-klagomål mail.docx", "A 20166-2026")</f>
        <v/>
      </c>
      <c r="AC1159">
        <f>HYPERLINK("https://klasma.github.io/Logging_0882/tillsyn/A 20166-2026 tillsynsbegäran.docx", "A 20166-2026")</f>
        <v/>
      </c>
      <c r="AD1159">
        <f>HYPERLINK("https://klasma.github.io/Logging_0882/tillsynsmail/A 20166-2026 tillsynsbegäran mail.docx", "A 20166-2026")</f>
        <v/>
      </c>
    </row>
    <row r="1160" ht="15" customHeight="1">
      <c r="A1160" t="inlineStr">
        <is>
          <t>A 35769-2025</t>
        </is>
      </c>
      <c r="B1160" t="inlineStr">
        <is>
          <t>avverkningsanmälan</t>
        </is>
      </c>
      <c r="C1160" t="inlineStr">
        <is>
          <t>Föryngringsavverkning</t>
        </is>
      </c>
      <c r="D1160" s="1" t="n">
        <v>45860</v>
      </c>
      <c r="E1160" s="1" t="n">
        <v>46323</v>
      </c>
      <c r="F1160" t="inlineStr">
        <is>
          <t>KALMAR LÄN</t>
        </is>
      </c>
      <c r="G1160" t="inlineStr">
        <is>
          <t>TORSÅS</t>
        </is>
      </c>
      <c r="I1160" t="n">
        <v>1.5</v>
      </c>
      <c r="J1160" t="n">
        <v>1</v>
      </c>
      <c r="K1160" t="n">
        <v>0</v>
      </c>
      <c r="L1160" t="n">
        <v>0</v>
      </c>
      <c r="M1160" t="n">
        <v>0</v>
      </c>
      <c r="N1160" t="n">
        <v>0</v>
      </c>
      <c r="O1160" t="n">
        <v>0</v>
      </c>
      <c r="P1160" t="n">
        <v>0</v>
      </c>
      <c r="Q1160" t="n">
        <v>0</v>
      </c>
      <c r="R1160" t="n">
        <v>0</v>
      </c>
      <c r="S1160" t="n">
        <v>1</v>
      </c>
      <c r="T1160" t="n">
        <v>1</v>
      </c>
      <c r="U1160" t="n">
        <v>0</v>
      </c>
      <c r="V1160" s="2" t="inlineStr">
        <is>
          <t>Större brunfladdermus</t>
        </is>
      </c>
      <c r="W1160">
        <f>HYPERLINK("https://klasma.github.io/Logging_0834/artfynd/A 35769-2025 artfynd.xlsx", "A 35769-2025")</f>
        <v/>
      </c>
      <c r="X1160">
        <f>HYPERLINK("https://klasma.github.io/Logging_0834/kartor/A 35769-2025 karta.png", "A 35769-2025")</f>
        <v/>
      </c>
      <c r="Y1160">
        <f>HYPERLINK("https://klasma.github.io/Logging_0834/kartor_geotiff/A 35769-2025 georefererad karta.tif", "A 35769-2025")</f>
        <v/>
      </c>
      <c r="AA1160">
        <f>HYPERLINK("https://klasma.github.io/Logging_0834/klagomål/A 35769-2025 FSC-klagomål.docx", "A 35769-2025")</f>
        <v/>
      </c>
      <c r="AB1160">
        <f>HYPERLINK("https://klasma.github.io/Logging_0834/klagomålsmail/A 35769-2025 FSC-klagomål mail.docx", "A 35769-2025")</f>
        <v/>
      </c>
      <c r="AC1160">
        <f>HYPERLINK("https://klasma.github.io/Logging_0834/tillsyn/A 35769-2025 tillsynsbegäran.docx", "A 35769-2025")</f>
        <v/>
      </c>
      <c r="AD1160">
        <f>HYPERLINK("https://klasma.github.io/Logging_0834/tillsynsmail/A 35769-2025 tillsynsbegäran mail.docx", "A 35769-2025")</f>
        <v/>
      </c>
    </row>
    <row r="1161" ht="15" customHeight="1">
      <c r="A1161" t="inlineStr">
        <is>
          <t>A 36389-2025</t>
        </is>
      </c>
      <c r="B1161" t="inlineStr">
        <is>
          <t>avverkningsanmälan</t>
        </is>
      </c>
      <c r="C1161" t="inlineStr">
        <is>
          <t>Föryngringsavverkning</t>
        </is>
      </c>
      <c r="D1161" s="1" t="n">
        <v>45868</v>
      </c>
      <c r="E1161" s="1" t="n">
        <v>46323</v>
      </c>
      <c r="F1161" t="inlineStr">
        <is>
          <t>KALMAR LÄN</t>
        </is>
      </c>
      <c r="G1161" t="inlineStr">
        <is>
          <t>KALMAR</t>
        </is>
      </c>
      <c r="I1161" t="n">
        <v>4</v>
      </c>
      <c r="J1161" t="n">
        <v>0</v>
      </c>
      <c r="K1161" t="n">
        <v>1</v>
      </c>
      <c r="L1161" t="n">
        <v>0</v>
      </c>
      <c r="M1161" t="n">
        <v>0</v>
      </c>
      <c r="N1161" t="n">
        <v>0</v>
      </c>
      <c r="O1161" t="n">
        <v>0</v>
      </c>
      <c r="P1161" t="n">
        <v>0</v>
      </c>
      <c r="Q1161" t="n">
        <v>0</v>
      </c>
      <c r="R1161" t="n">
        <v>0</v>
      </c>
      <c r="S1161" t="n">
        <v>1</v>
      </c>
      <c r="T1161" t="n">
        <v>1</v>
      </c>
      <c r="U1161" t="n">
        <v>0</v>
      </c>
      <c r="V1161" s="2" t="inlineStr">
        <is>
          <t>Blåmossa</t>
        </is>
      </c>
      <c r="W1161">
        <f>HYPERLINK("https://klasma.github.io/Logging_0880/artfynd/A 36389-2025 artfynd.xlsx", "A 36389-2025")</f>
        <v/>
      </c>
      <c r="X1161">
        <f>HYPERLINK("https://klasma.github.io/Logging_0880/kartor/A 36389-2025 karta.png", "A 36389-2025")</f>
        <v/>
      </c>
      <c r="Y1161">
        <f>HYPERLINK("https://klasma.github.io/Logging_0880/kartor_geotiff/A 36389-2025 georefererad karta.tif", "A 36389-2025")</f>
        <v/>
      </c>
      <c r="AA1161">
        <f>HYPERLINK("https://klasma.github.io/Logging_0880/klagomål/A 36389-2025 FSC-klagomål.docx", "A 36389-2025")</f>
        <v/>
      </c>
      <c r="AB1161">
        <f>HYPERLINK("https://klasma.github.io/Logging_0880/klagomålsmail/A 36389-2025 FSC-klagomål mail.docx", "A 36389-2025")</f>
        <v/>
      </c>
      <c r="AC1161">
        <f>HYPERLINK("https://klasma.github.io/Logging_0880/tillsyn/A 36389-2025 tillsynsbegäran.docx", "A 36389-2025")</f>
        <v/>
      </c>
      <c r="AD1161">
        <f>HYPERLINK("https://klasma.github.io/Logging_0880/tillsynsmail/A 36389-2025 tillsynsbegäran mail.docx", "A 36389-2025")</f>
        <v/>
      </c>
    </row>
    <row r="1162" ht="15" customHeight="1">
      <c r="A1162" t="inlineStr">
        <is>
          <t>A 23859-2026</t>
        </is>
      </c>
      <c r="B1162" t="inlineStr">
        <is>
          <t>avverkningsanmälan</t>
        </is>
      </c>
      <c r="C1162" t="inlineStr">
        <is>
          <t>Föryngringsavverkning</t>
        </is>
      </c>
      <c r="D1162" s="1" t="n">
        <v>46167</v>
      </c>
      <c r="E1162" s="1" t="n">
        <v>46323</v>
      </c>
      <c r="F1162" t="inlineStr">
        <is>
          <t>KALMAR LÄN</t>
        </is>
      </c>
      <c r="G1162" t="inlineStr">
        <is>
          <t>HÖGSBY</t>
        </is>
      </c>
      <c r="I1162" t="n">
        <v>3.8</v>
      </c>
      <c r="J1162" t="n">
        <v>0</v>
      </c>
      <c r="K1162" t="n">
        <v>0</v>
      </c>
      <c r="L1162" t="n">
        <v>1</v>
      </c>
      <c r="M1162" t="n">
        <v>0</v>
      </c>
      <c r="N1162" t="n">
        <v>0</v>
      </c>
      <c r="O1162" t="n">
        <v>0</v>
      </c>
      <c r="P1162" t="n">
        <v>0</v>
      </c>
      <c r="Q1162" t="n">
        <v>1</v>
      </c>
      <c r="R1162" t="n">
        <v>0</v>
      </c>
      <c r="S1162" t="n">
        <v>1</v>
      </c>
      <c r="T1162" t="n">
        <v>1</v>
      </c>
      <c r="U1162" t="n">
        <v>0</v>
      </c>
      <c r="V1162" s="2" t="inlineStr">
        <is>
          <t>Rödlånke</t>
        </is>
      </c>
      <c r="W1162">
        <f>HYPERLINK("https://klasma.github.io/Logging_0821/artfynd/A 23859-2026 artfynd.xlsx", "A 23859-2026")</f>
        <v/>
      </c>
      <c r="X1162">
        <f>HYPERLINK("https://klasma.github.io/Logging_0821/kartor/A 23859-2026 karta.png", "A 23859-2026")</f>
        <v/>
      </c>
      <c r="Y1162">
        <f>HYPERLINK("https://klasma.github.io/Logging_0821/kartor_geotiff/A 23859-2026 georefererad karta.tif", "A 23859-2026")</f>
        <v/>
      </c>
      <c r="AA1162">
        <f>HYPERLINK("https://klasma.github.io/Logging_0821/klagomål/A 23859-2026 FSC-klagomål.docx", "A 23859-2026")</f>
        <v/>
      </c>
      <c r="AB1162">
        <f>HYPERLINK("https://klasma.github.io/Logging_0821/klagomålsmail/A 23859-2026 FSC-klagomål mail.docx", "A 23859-2026")</f>
        <v/>
      </c>
      <c r="AC1162">
        <f>HYPERLINK("https://klasma.github.io/Logging_0821/tillsyn/A 23859-2026 tillsynsbegäran.docx", "A 23859-2026")</f>
        <v/>
      </c>
      <c r="AD1162">
        <f>HYPERLINK("https://klasma.github.io/Logging_0821/tillsynsmail/A 23859-2026 tillsynsbegäran mail.docx", "A 23859-2026")</f>
        <v/>
      </c>
    </row>
    <row r="1163" ht="15" customHeight="1">
      <c r="A1163" t="inlineStr">
        <is>
          <t>A 24315-2026</t>
        </is>
      </c>
      <c r="B1163" t="inlineStr">
        <is>
          <t>avverkningsanmälan</t>
        </is>
      </c>
      <c r="C1163" t="inlineStr">
        <is>
          <t>Föryngringsavverkning</t>
        </is>
      </c>
      <c r="D1163" s="1" t="n">
        <v>46169</v>
      </c>
      <c r="E1163" s="1" t="n">
        <v>46323</v>
      </c>
      <c r="F1163" t="inlineStr">
        <is>
          <t>KALMAR LÄN</t>
        </is>
      </c>
      <c r="G1163" t="inlineStr">
        <is>
          <t>NYBRO</t>
        </is>
      </c>
      <c r="H1163" t="inlineStr">
        <is>
          <t>Sveaskog</t>
        </is>
      </c>
      <c r="I1163" t="n">
        <v>8.5</v>
      </c>
      <c r="J1163" t="n">
        <v>0</v>
      </c>
      <c r="K1163" t="n">
        <v>1</v>
      </c>
      <c r="L1163" t="n">
        <v>0</v>
      </c>
      <c r="M1163" t="n">
        <v>0</v>
      </c>
      <c r="N1163" t="n">
        <v>0</v>
      </c>
      <c r="O1163" t="n">
        <v>0</v>
      </c>
      <c r="P1163" t="n">
        <v>0</v>
      </c>
      <c r="Q1163" t="n">
        <v>0</v>
      </c>
      <c r="R1163" t="n">
        <v>0</v>
      </c>
      <c r="S1163" t="n">
        <v>1</v>
      </c>
      <c r="T1163" t="n">
        <v>1</v>
      </c>
      <c r="U1163" t="n">
        <v>0</v>
      </c>
      <c r="V1163" s="2" t="inlineStr">
        <is>
          <t>Grönpyrola</t>
        </is>
      </c>
      <c r="W1163">
        <f>HYPERLINK("https://klasma.github.io/Logging_0881/artfynd/A 24315-2026 artfynd.xlsx", "A 24315-2026")</f>
        <v/>
      </c>
      <c r="X1163">
        <f>HYPERLINK("https://klasma.github.io/Logging_0881/kartor/A 24315-2026 karta.png", "A 24315-2026")</f>
        <v/>
      </c>
      <c r="Y1163">
        <f>HYPERLINK("https://klasma.github.io/Logging_0881/kartor_geotiff/A 24315-2026 georefererad karta.tif", "A 24315-2026")</f>
        <v/>
      </c>
      <c r="AA1163">
        <f>HYPERLINK("https://klasma.github.io/Logging_0881/klagomål/A 24315-2026 FSC-klagomål.docx", "A 24315-2026")</f>
        <v/>
      </c>
      <c r="AB1163">
        <f>HYPERLINK("https://klasma.github.io/Logging_0881/klagomålsmail/A 24315-2026 FSC-klagomål mail.docx", "A 24315-2026")</f>
        <v/>
      </c>
      <c r="AC1163">
        <f>HYPERLINK("https://klasma.github.io/Logging_0881/tillsyn/A 24315-2026 tillsynsbegäran.docx", "A 24315-2026")</f>
        <v/>
      </c>
      <c r="AD1163">
        <f>HYPERLINK("https://klasma.github.io/Logging_0881/tillsynsmail/A 24315-2026 tillsynsbegäran mail.docx", "A 24315-2026")</f>
        <v/>
      </c>
    </row>
    <row r="1164" ht="15" customHeight="1">
      <c r="A1164" t="inlineStr">
        <is>
          <t>A 41608-2025</t>
        </is>
      </c>
      <c r="B1164" t="inlineStr">
        <is>
          <t>avverkningsanmälan</t>
        </is>
      </c>
      <c r="C1164" t="inlineStr">
        <is>
          <t>Föryngringsavverkning</t>
        </is>
      </c>
      <c r="D1164" s="1" t="n">
        <v>45901</v>
      </c>
      <c r="E1164" s="1" t="n">
        <v>46323</v>
      </c>
      <c r="F1164" t="inlineStr">
        <is>
          <t>KALMAR LÄN</t>
        </is>
      </c>
      <c r="G1164" t="inlineStr">
        <is>
          <t>HULTSFRED</t>
        </is>
      </c>
      <c r="I1164" t="n">
        <v>7.4</v>
      </c>
      <c r="J1164" t="n">
        <v>1</v>
      </c>
      <c r="K1164" t="n">
        <v>0</v>
      </c>
      <c r="L1164" t="n">
        <v>0</v>
      </c>
      <c r="M1164" t="n">
        <v>0</v>
      </c>
      <c r="N1164" t="n">
        <v>0</v>
      </c>
      <c r="O1164" t="n">
        <v>0</v>
      </c>
      <c r="P1164" t="n">
        <v>0</v>
      </c>
      <c r="Q1164" t="n">
        <v>0</v>
      </c>
      <c r="R1164" t="n">
        <v>0</v>
      </c>
      <c r="S1164" t="n">
        <v>1</v>
      </c>
      <c r="T1164" t="n">
        <v>1</v>
      </c>
      <c r="U1164" t="n">
        <v>1</v>
      </c>
      <c r="V1164" s="2" t="inlineStr">
        <is>
          <t>Tjäder</t>
        </is>
      </c>
      <c r="W1164">
        <f>HYPERLINK("https://klasma.github.io/Logging_0860/artfynd/A 41608-2025 artfynd.xlsx", "A 41608-2025")</f>
        <v/>
      </c>
      <c r="X1164">
        <f>HYPERLINK("https://klasma.github.io/Logging_0860/kartor/A 41608-2025 karta.png", "A 41608-2025")</f>
        <v/>
      </c>
      <c r="Y1164">
        <f>HYPERLINK("https://klasma.github.io/Logging_0860/kartor_geotiff/A 41608-2025 georefererad karta.tif", "A 41608-2025")</f>
        <v/>
      </c>
      <c r="AA1164">
        <f>HYPERLINK("https://klasma.github.io/Logging_0860/klagomål/A 41608-2025 FSC-klagomål.docx", "A 41608-2025")</f>
        <v/>
      </c>
      <c r="AB1164">
        <f>HYPERLINK("https://klasma.github.io/Logging_0860/klagomålsmail/A 41608-2025 FSC-klagomål mail.docx", "A 41608-2025")</f>
        <v/>
      </c>
      <c r="AC1164">
        <f>HYPERLINK("https://klasma.github.io/Logging_0860/tillsyn/A 41608-2025 tillsynsbegäran.docx", "A 41608-2025")</f>
        <v/>
      </c>
      <c r="AD1164">
        <f>HYPERLINK("https://klasma.github.io/Logging_0860/tillsynsmail/A 41608-2025 tillsynsbegäran mail.docx", "A 41608-2025")</f>
        <v/>
      </c>
      <c r="AE1164">
        <f>HYPERLINK("https://klasma.github.io/Logging_0860/fåglar/A 41608-2025 prioriterade fågelarter.docx", "A 41608-2025")</f>
        <v/>
      </c>
    </row>
    <row r="1165" ht="15" customHeight="1">
      <c r="A1165" t="inlineStr">
        <is>
          <t>A 6657-2025</t>
        </is>
      </c>
      <c r="B1165" t="inlineStr">
        <is>
          <t>avverkningsanmälan</t>
        </is>
      </c>
      <c r="C1165" t="inlineStr">
        <is>
          <t>Föryngringsavverkning</t>
        </is>
      </c>
      <c r="D1165" s="1" t="n">
        <v>45700</v>
      </c>
      <c r="E1165" s="1" t="n">
        <v>46323</v>
      </c>
      <c r="F1165" t="inlineStr">
        <is>
          <t>KALMAR LÄN</t>
        </is>
      </c>
      <c r="G1165" t="inlineStr">
        <is>
          <t>VÄSTERVIK</t>
        </is>
      </c>
      <c r="H1165" t="inlineStr">
        <is>
          <t>Holmen skog AB</t>
        </is>
      </c>
      <c r="I1165" t="n">
        <v>3</v>
      </c>
      <c r="J1165" t="n">
        <v>1</v>
      </c>
      <c r="K1165" t="n">
        <v>0</v>
      </c>
      <c r="L1165" t="n">
        <v>0</v>
      </c>
      <c r="M1165" t="n">
        <v>1</v>
      </c>
      <c r="N1165" t="n">
        <v>0</v>
      </c>
      <c r="O1165" t="n">
        <v>0</v>
      </c>
      <c r="P1165" t="n">
        <v>0</v>
      </c>
      <c r="Q1165" t="n">
        <v>1</v>
      </c>
      <c r="R1165" t="n">
        <v>1</v>
      </c>
      <c r="S1165" t="n">
        <v>1</v>
      </c>
      <c r="T1165" t="n">
        <v>1</v>
      </c>
      <c r="U1165" t="n">
        <v>1</v>
      </c>
      <c r="V1165" s="2" t="inlineStr">
        <is>
          <t>Knärot</t>
        </is>
      </c>
      <c r="W1165">
        <f>HYPERLINK("https://klasma.github.io/Logging_0883/artfynd/A 6657-2025 artfynd.xlsx", "A 6657-2025")</f>
        <v/>
      </c>
      <c r="X1165">
        <f>HYPERLINK("https://klasma.github.io/Logging_0883/kartor/A 6657-2025 karta.png", "A 6657-2025")</f>
        <v/>
      </c>
      <c r="Y1165">
        <f>HYPERLINK("https://klasma.github.io/Logging_0883/kartor_geotiff/A 6657-2025 georefererad karta.tif", "A 6657-2025")</f>
        <v/>
      </c>
      <c r="Z1165">
        <f>HYPERLINK("https://klasma.github.io/Logging_0883/knärot/A 6657-2025 karta knärot.png", "A 6657-2025")</f>
        <v/>
      </c>
      <c r="AA1165">
        <f>HYPERLINK("https://klasma.github.io/Logging_0883/klagomål/A 6657-2025 FSC-klagomål.docx", "A 6657-2025")</f>
        <v/>
      </c>
      <c r="AB1165">
        <f>HYPERLINK("https://klasma.github.io/Logging_0883/klagomålsmail/A 6657-2025 FSC-klagomål mail.docx", "A 6657-2025")</f>
        <v/>
      </c>
      <c r="AC1165">
        <f>HYPERLINK("https://klasma.github.io/Logging_0883/tillsyn/A 6657-2025 tillsynsbegäran.docx", "A 6657-2025")</f>
        <v/>
      </c>
      <c r="AD1165">
        <f>HYPERLINK("https://klasma.github.io/Logging_0883/tillsynsmail/A 6657-2025 tillsynsbegäran mail.docx", "A 6657-2025")</f>
        <v/>
      </c>
    </row>
    <row r="1166" ht="15" customHeight="1">
      <c r="A1166" t="inlineStr">
        <is>
          <t>A 25110-2026</t>
        </is>
      </c>
      <c r="B1166" t="inlineStr">
        <is>
          <t>avverkningsanmälan</t>
        </is>
      </c>
      <c r="C1166" t="inlineStr">
        <is>
          <t>Föryngringsavverkning</t>
        </is>
      </c>
      <c r="D1166" s="1" t="n">
        <v>46175</v>
      </c>
      <c r="E1166" s="1" t="n">
        <v>46323</v>
      </c>
      <c r="F1166" t="inlineStr">
        <is>
          <t>KALMAR LÄN</t>
        </is>
      </c>
      <c r="G1166" t="inlineStr">
        <is>
          <t>VÄSTERVIK</t>
        </is>
      </c>
      <c r="I1166" t="n">
        <v>2.3</v>
      </c>
      <c r="J1166" t="n">
        <v>0</v>
      </c>
      <c r="K1166" t="n">
        <v>1</v>
      </c>
      <c r="L1166" t="n">
        <v>0</v>
      </c>
      <c r="M1166" t="n">
        <v>0</v>
      </c>
      <c r="N1166" t="n">
        <v>0</v>
      </c>
      <c r="O1166" t="n">
        <v>0</v>
      </c>
      <c r="P1166" t="n">
        <v>0</v>
      </c>
      <c r="Q1166" t="n">
        <v>0</v>
      </c>
      <c r="R1166" t="n">
        <v>0</v>
      </c>
      <c r="S1166" t="n">
        <v>1</v>
      </c>
      <c r="T1166" t="n">
        <v>1</v>
      </c>
      <c r="U1166" t="n">
        <v>0</v>
      </c>
      <c r="V1166" s="2" t="inlineStr">
        <is>
          <t>Grönpyrola</t>
        </is>
      </c>
      <c r="W1166">
        <f>HYPERLINK("https://klasma.github.io/Logging_0883/artfynd/A 25110-2026 artfynd.xlsx", "A 25110-2026")</f>
        <v/>
      </c>
      <c r="X1166">
        <f>HYPERLINK("https://klasma.github.io/Logging_0883/kartor/A 25110-2026 karta.png", "A 25110-2026")</f>
        <v/>
      </c>
      <c r="Y1166">
        <f>HYPERLINK("https://klasma.github.io/Logging_0883/kartor_geotiff/A 25110-2026 georefererad karta.tif", "A 25110-2026")</f>
        <v/>
      </c>
      <c r="AA1166">
        <f>HYPERLINK("https://klasma.github.io/Logging_0883/klagomål/A 25110-2026 FSC-klagomål.docx", "A 25110-2026")</f>
        <v/>
      </c>
      <c r="AB1166">
        <f>HYPERLINK("https://klasma.github.io/Logging_0883/klagomålsmail/A 25110-2026 FSC-klagomål mail.docx", "A 25110-2026")</f>
        <v/>
      </c>
      <c r="AC1166">
        <f>HYPERLINK("https://klasma.github.io/Logging_0883/tillsyn/A 25110-2026 tillsynsbegäran.docx", "A 25110-2026")</f>
        <v/>
      </c>
      <c r="AD1166">
        <f>HYPERLINK("https://klasma.github.io/Logging_0883/tillsynsmail/A 25110-2026 tillsynsbegäran mail.docx", "A 25110-2026")</f>
        <v/>
      </c>
    </row>
    <row r="1167" ht="15" customHeight="1">
      <c r="A1167" t="inlineStr">
        <is>
          <t>A 4750-2025</t>
        </is>
      </c>
      <c r="B1167" t="inlineStr">
        <is>
          <t>avverkningsanmälan</t>
        </is>
      </c>
      <c r="C1167" t="inlineStr">
        <is>
          <t>Föryngringsavverkning</t>
        </is>
      </c>
      <c r="D1167" s="1" t="n">
        <v>45688</v>
      </c>
      <c r="E1167" s="1" t="n">
        <v>46323</v>
      </c>
      <c r="F1167" t="inlineStr">
        <is>
          <t>KALMAR LÄN</t>
        </is>
      </c>
      <c r="G1167" t="inlineStr">
        <is>
          <t>VÄSTERVIK</t>
        </is>
      </c>
      <c r="H1167" t="inlineStr">
        <is>
          <t>Holmen skog AB</t>
        </is>
      </c>
      <c r="I1167" t="n">
        <v>0.9</v>
      </c>
      <c r="J1167" t="n">
        <v>1</v>
      </c>
      <c r="K1167" t="n">
        <v>0</v>
      </c>
      <c r="L1167" t="n">
        <v>1</v>
      </c>
      <c r="M1167" t="n">
        <v>0</v>
      </c>
      <c r="N1167" t="n">
        <v>0</v>
      </c>
      <c r="O1167" t="n">
        <v>0</v>
      </c>
      <c r="P1167" t="n">
        <v>0</v>
      </c>
      <c r="Q1167" t="n">
        <v>1</v>
      </c>
      <c r="R1167" t="n">
        <v>0</v>
      </c>
      <c r="S1167" t="n">
        <v>1</v>
      </c>
      <c r="T1167" t="n">
        <v>1</v>
      </c>
      <c r="U1167" t="n">
        <v>1</v>
      </c>
      <c r="V1167" s="2" t="inlineStr">
        <is>
          <t>Talltita</t>
        </is>
      </c>
      <c r="W1167">
        <f>HYPERLINK("https://klasma.github.io/Logging_0883/artfynd/A 4750-2025 artfynd.xlsx", "A 4750-2025")</f>
        <v/>
      </c>
      <c r="X1167">
        <f>HYPERLINK("https://klasma.github.io/Logging_0883/kartor/A 4750-2025 karta.png", "A 4750-2025")</f>
        <v/>
      </c>
      <c r="Y1167">
        <f>HYPERLINK("https://klasma.github.io/Logging_0883/kartor_geotiff/A 4750-2025 georefererad karta.tif", "A 4750-2025")</f>
        <v/>
      </c>
      <c r="AA1167">
        <f>HYPERLINK("https://klasma.github.io/Logging_0883/klagomål/A 4750-2025 FSC-klagomål.docx", "A 4750-2025")</f>
        <v/>
      </c>
      <c r="AB1167">
        <f>HYPERLINK("https://klasma.github.io/Logging_0883/klagomålsmail/A 4750-2025 FSC-klagomål mail.docx", "A 4750-2025")</f>
        <v/>
      </c>
      <c r="AC1167">
        <f>HYPERLINK("https://klasma.github.io/Logging_0883/tillsyn/A 4750-2025 tillsynsbegäran.docx", "A 4750-2025")</f>
        <v/>
      </c>
      <c r="AD1167">
        <f>HYPERLINK("https://klasma.github.io/Logging_0883/tillsynsmail/A 4750-2025 tillsynsbegäran mail.docx", "A 4750-2025")</f>
        <v/>
      </c>
      <c r="AE1167">
        <f>HYPERLINK("https://klasma.github.io/Logging_0883/fåglar/A 4750-2025 prioriterade fågelarter.docx", "A 4750-2025")</f>
        <v/>
      </c>
    </row>
    <row r="1168" ht="15" customHeight="1">
      <c r="A1168" t="inlineStr">
        <is>
          <t>A 25506-2026</t>
        </is>
      </c>
      <c r="B1168" t="inlineStr">
        <is>
          <t>avverkningsanmälan</t>
        </is>
      </c>
      <c r="C1168" t="inlineStr">
        <is>
          <t>Föryngringsavverkning</t>
        </is>
      </c>
      <c r="D1168" s="1" t="n">
        <v>46177</v>
      </c>
      <c r="E1168" s="1" t="n">
        <v>46323</v>
      </c>
      <c r="F1168" t="inlineStr">
        <is>
          <t>KALMAR LÄN</t>
        </is>
      </c>
      <c r="G1168" t="inlineStr">
        <is>
          <t>KALMAR</t>
        </is>
      </c>
      <c r="H1168" t="inlineStr">
        <is>
          <t>Sveaskog</t>
        </is>
      </c>
      <c r="I1168" t="n">
        <v>8.199999999999999</v>
      </c>
      <c r="J1168" t="n">
        <v>1</v>
      </c>
      <c r="K1168" t="n">
        <v>0</v>
      </c>
      <c r="L1168" t="n">
        <v>0</v>
      </c>
      <c r="M1168" t="n">
        <v>0</v>
      </c>
      <c r="N1168" t="n">
        <v>0</v>
      </c>
      <c r="O1168" t="n">
        <v>0</v>
      </c>
      <c r="P1168" t="n">
        <v>0</v>
      </c>
      <c r="Q1168" t="n">
        <v>0</v>
      </c>
      <c r="R1168" t="n">
        <v>0</v>
      </c>
      <c r="S1168" t="n">
        <v>1</v>
      </c>
      <c r="T1168" t="n">
        <v>3</v>
      </c>
      <c r="U1168" t="n">
        <v>0</v>
      </c>
      <c r="V1168" s="2" t="inlineStr">
        <is>
          <t>Tjäder</t>
        </is>
      </c>
      <c r="W1168">
        <f>HYPERLINK("https://klasma.github.io/Logging_0880/artfynd/A 25506-2026 artfynd.xlsx", "A 25506-2026")</f>
        <v/>
      </c>
      <c r="X1168">
        <f>HYPERLINK("https://klasma.github.io/Logging_0880/kartor/A 25506-2026 karta.png", "A 25506-2026")</f>
        <v/>
      </c>
      <c r="Y1168">
        <f>HYPERLINK("https://klasma.github.io/Logging_0880/kartor_geotiff/A 25506-2026 georefererad karta.tif", "A 25506-2026")</f>
        <v/>
      </c>
      <c r="AA1168">
        <f>HYPERLINK("https://klasma.github.io/Logging_0880/klagomål/A 25506-2026 FSC-klagomål.docx", "A 25506-2026")</f>
        <v/>
      </c>
      <c r="AB1168">
        <f>HYPERLINK("https://klasma.github.io/Logging_0880/klagomålsmail/A 25506-2026 FSC-klagomål mail.docx", "A 25506-2026")</f>
        <v/>
      </c>
      <c r="AC1168">
        <f>HYPERLINK("https://klasma.github.io/Logging_0880/tillsyn/A 25506-2026 tillsynsbegäran.docx", "A 25506-2026")</f>
        <v/>
      </c>
      <c r="AD1168">
        <f>HYPERLINK("https://klasma.github.io/Logging_0880/tillsynsmail/A 25506-2026 tillsynsbegäran mail.docx", "A 25506-2026")</f>
        <v/>
      </c>
      <c r="AE1168">
        <f>HYPERLINK("https://klasma.github.io/Logging_0880/fåglar/A 25506-2026 prioriterade fågelarter.docx", "A 25506-2026")</f>
        <v/>
      </c>
    </row>
    <row r="1169" ht="15" customHeight="1">
      <c r="A1169" t="inlineStr">
        <is>
          <t>A 26145-2026</t>
        </is>
      </c>
      <c r="B1169" t="inlineStr">
        <is>
          <t>avverkningsanmälan</t>
        </is>
      </c>
      <c r="C1169" t="inlineStr">
        <is>
          <t>Föryngringsavverkning</t>
        </is>
      </c>
      <c r="D1169" s="1" t="n">
        <v>46181</v>
      </c>
      <c r="E1169" s="1" t="n">
        <v>46323</v>
      </c>
      <c r="F1169" t="inlineStr">
        <is>
          <t>KALMAR LÄN</t>
        </is>
      </c>
      <c r="G1169" t="inlineStr">
        <is>
          <t>HÖGSBY</t>
        </is>
      </c>
      <c r="I1169" t="n">
        <v>1.6</v>
      </c>
      <c r="J1169" t="n">
        <v>1</v>
      </c>
      <c r="K1169" t="n">
        <v>0</v>
      </c>
      <c r="L1169" t="n">
        <v>0</v>
      </c>
      <c r="M1169" t="n">
        <v>0</v>
      </c>
      <c r="N1169" t="n">
        <v>0</v>
      </c>
      <c r="O1169" t="n">
        <v>0</v>
      </c>
      <c r="P1169" t="n">
        <v>0</v>
      </c>
      <c r="Q1169" t="n">
        <v>0</v>
      </c>
      <c r="R1169" t="n">
        <v>0</v>
      </c>
      <c r="S1169" t="n">
        <v>1</v>
      </c>
      <c r="T1169" t="n">
        <v>3</v>
      </c>
      <c r="U1169" t="n">
        <v>0</v>
      </c>
      <c r="V1169" s="2" t="inlineStr">
        <is>
          <t>Gullviva</t>
        </is>
      </c>
      <c r="W1169">
        <f>HYPERLINK("https://klasma.github.io/Logging_0821/artfynd/A 26145-2026 artfynd.xlsx", "A 26145-2026")</f>
        <v/>
      </c>
      <c r="X1169">
        <f>HYPERLINK("https://klasma.github.io/Logging_0821/kartor/A 26145-2026 karta.png", "A 26145-2026")</f>
        <v/>
      </c>
      <c r="Y1169">
        <f>HYPERLINK("https://klasma.github.io/Logging_0821/kartor_geotiff/A 26145-2026 georefererad karta.tif", "A 26145-2026")</f>
        <v/>
      </c>
      <c r="AA1169">
        <f>HYPERLINK("https://klasma.github.io/Logging_0821/klagomål/A 26145-2026 FSC-klagomål.docx", "A 26145-2026")</f>
        <v/>
      </c>
      <c r="AB1169">
        <f>HYPERLINK("https://klasma.github.io/Logging_0821/klagomålsmail/A 26145-2026 FSC-klagomål mail.docx", "A 26145-2026")</f>
        <v/>
      </c>
      <c r="AC1169">
        <f>HYPERLINK("https://klasma.github.io/Logging_0821/tillsyn/A 26145-2026 tillsynsbegäran.docx", "A 26145-2026")</f>
        <v/>
      </c>
      <c r="AD1169">
        <f>HYPERLINK("https://klasma.github.io/Logging_0821/tillsynsmail/A 26145-2026 tillsynsbegäran mail.docx", "A 26145-2026")</f>
        <v/>
      </c>
    </row>
    <row r="1170" ht="15" customHeight="1">
      <c r="A1170" t="inlineStr">
        <is>
          <t>A 26463-2026</t>
        </is>
      </c>
      <c r="B1170" t="inlineStr">
        <is>
          <t>avverkningsanmälan</t>
        </is>
      </c>
      <c r="C1170" t="inlineStr">
        <is>
          <t>Föryngringsavverkning</t>
        </is>
      </c>
      <c r="D1170" s="1" t="n">
        <v>46183</v>
      </c>
      <c r="E1170" s="1" t="n">
        <v>46323</v>
      </c>
      <c r="F1170" t="inlineStr">
        <is>
          <t>KALMAR LÄN</t>
        </is>
      </c>
      <c r="G1170" t="inlineStr">
        <is>
          <t>NYBRO</t>
        </is>
      </c>
      <c r="I1170" t="n">
        <v>2.7</v>
      </c>
      <c r="J1170" t="n">
        <v>0</v>
      </c>
      <c r="K1170" t="n">
        <v>1</v>
      </c>
      <c r="L1170" t="n">
        <v>0</v>
      </c>
      <c r="M1170" t="n">
        <v>0</v>
      </c>
      <c r="N1170" t="n">
        <v>0</v>
      </c>
      <c r="O1170" t="n">
        <v>0</v>
      </c>
      <c r="P1170" t="n">
        <v>0</v>
      </c>
      <c r="Q1170" t="n">
        <v>0</v>
      </c>
      <c r="R1170" t="n">
        <v>0</v>
      </c>
      <c r="S1170" t="n">
        <v>1</v>
      </c>
      <c r="T1170" t="n">
        <v>5</v>
      </c>
      <c r="U1170" t="n">
        <v>0</v>
      </c>
      <c r="V1170" s="2" t="inlineStr">
        <is>
          <t>Blåmossa</t>
        </is>
      </c>
      <c r="W1170">
        <f>HYPERLINK("https://klasma.github.io/Logging_0881/artfynd/A 26463-2026 artfynd.xlsx", "A 26463-2026")</f>
        <v/>
      </c>
      <c r="X1170">
        <f>HYPERLINK("https://klasma.github.io/Logging_0881/kartor/A 26463-2026 karta.png", "A 26463-2026")</f>
        <v/>
      </c>
      <c r="Y1170">
        <f>HYPERLINK("https://klasma.github.io/Logging_0881/kartor_geotiff/A 26463-2026 georefererad karta.tif", "A 26463-2026")</f>
        <v/>
      </c>
      <c r="AA1170">
        <f>HYPERLINK("https://klasma.github.io/Logging_0881/klagomål/A 26463-2026 FSC-klagomål.docx", "A 26463-2026")</f>
        <v/>
      </c>
      <c r="AB1170">
        <f>HYPERLINK("https://klasma.github.io/Logging_0881/klagomålsmail/A 26463-2026 FSC-klagomål mail.docx", "A 26463-2026")</f>
        <v/>
      </c>
      <c r="AC1170">
        <f>HYPERLINK("https://klasma.github.io/Logging_0881/tillsyn/A 26463-2026 tillsynsbegäran.docx", "A 26463-2026")</f>
        <v/>
      </c>
      <c r="AD1170">
        <f>HYPERLINK("https://klasma.github.io/Logging_0881/tillsynsmail/A 26463-2026 tillsynsbegäran mail.docx", "A 26463-2026")</f>
        <v/>
      </c>
    </row>
    <row r="1171" ht="15" customHeight="1">
      <c r="A1171" t="inlineStr">
        <is>
          <t>A 27366-2026</t>
        </is>
      </c>
      <c r="B1171" t="inlineStr">
        <is>
          <t>avverkningsanmälan</t>
        </is>
      </c>
      <c r="C1171" t="inlineStr">
        <is>
          <t>Föryngringsavverkning</t>
        </is>
      </c>
      <c r="D1171" s="1" t="n">
        <v>46184</v>
      </c>
      <c r="E1171" s="1" t="n">
        <v>46323</v>
      </c>
      <c r="F1171" t="inlineStr">
        <is>
          <t>KALMAR LÄN</t>
        </is>
      </c>
      <c r="G1171" t="inlineStr">
        <is>
          <t>HÖGSBY</t>
        </is>
      </c>
      <c r="I1171" t="n">
        <v>4.4</v>
      </c>
      <c r="J1171" t="n">
        <v>1</v>
      </c>
      <c r="K1171" t="n">
        <v>0</v>
      </c>
      <c r="L1171" t="n">
        <v>0</v>
      </c>
      <c r="M1171" t="n">
        <v>0</v>
      </c>
      <c r="N1171" t="n">
        <v>0</v>
      </c>
      <c r="O1171" t="n">
        <v>0</v>
      </c>
      <c r="P1171" t="n">
        <v>0</v>
      </c>
      <c r="Q1171" t="n">
        <v>0</v>
      </c>
      <c r="R1171" t="n">
        <v>0</v>
      </c>
      <c r="S1171" t="n">
        <v>1</v>
      </c>
      <c r="T1171" t="n">
        <v>1</v>
      </c>
      <c r="U1171" t="n">
        <v>0</v>
      </c>
      <c r="V1171" s="2" t="inlineStr">
        <is>
          <t>Nattviol</t>
        </is>
      </c>
      <c r="W1171">
        <f>HYPERLINK("https://klasma.github.io/Logging_0821/artfynd/A 27366-2026 artfynd.xlsx", "A 27366-2026")</f>
        <v/>
      </c>
      <c r="X1171">
        <f>HYPERLINK("https://klasma.github.io/Logging_0821/kartor/A 27366-2026 karta.png", "A 27366-2026")</f>
        <v/>
      </c>
      <c r="Y1171">
        <f>HYPERLINK("https://klasma.github.io/Logging_0821/kartor_geotiff/A 27366-2026 georefererad karta.tif", "A 27366-2026")</f>
        <v/>
      </c>
      <c r="AA1171">
        <f>HYPERLINK("https://klasma.github.io/Logging_0821/klagomål/A 27366-2026 FSC-klagomål.docx", "A 27366-2026")</f>
        <v/>
      </c>
      <c r="AB1171">
        <f>HYPERLINK("https://klasma.github.io/Logging_0821/klagomålsmail/A 27366-2026 FSC-klagomål mail.docx", "A 27366-2026")</f>
        <v/>
      </c>
      <c r="AC1171">
        <f>HYPERLINK("https://klasma.github.io/Logging_0821/tillsyn/A 27366-2026 tillsynsbegäran.docx", "A 27366-2026")</f>
        <v/>
      </c>
      <c r="AD1171">
        <f>HYPERLINK("https://klasma.github.io/Logging_0821/tillsynsmail/A 27366-2026 tillsynsbegäran mail.docx", "A 27366-2026")</f>
        <v/>
      </c>
    </row>
    <row r="1172" ht="15" customHeight="1">
      <c r="A1172" t="inlineStr">
        <is>
          <t>A 26840-2026</t>
        </is>
      </c>
      <c r="B1172" t="inlineStr">
        <is>
          <t>avverkningsanmälan</t>
        </is>
      </c>
      <c r="C1172" t="inlineStr">
        <is>
          <t>Avverkning för att bevara och utveckla /försöksver</t>
        </is>
      </c>
      <c r="D1172" s="1" t="n">
        <v>46185</v>
      </c>
      <c r="E1172" s="1" t="n">
        <v>46323</v>
      </c>
      <c r="F1172" t="inlineStr">
        <is>
          <t>KALMAR LÄN</t>
        </is>
      </c>
      <c r="G1172" t="inlineStr">
        <is>
          <t>BORGHOLM</t>
        </is>
      </c>
      <c r="H1172" t="inlineStr">
        <is>
          <t>Sveaskog</t>
        </is>
      </c>
      <c r="I1172" t="n">
        <v>1.4</v>
      </c>
      <c r="J1172" t="n">
        <v>0</v>
      </c>
      <c r="K1172" t="n">
        <v>0</v>
      </c>
      <c r="L1172" t="n">
        <v>0</v>
      </c>
      <c r="M1172" t="n">
        <v>0</v>
      </c>
      <c r="N1172" t="n">
        <v>1</v>
      </c>
      <c r="O1172" t="n">
        <v>0</v>
      </c>
      <c r="P1172" t="n">
        <v>0</v>
      </c>
      <c r="Q1172" t="n">
        <v>1</v>
      </c>
      <c r="R1172" t="n">
        <v>1</v>
      </c>
      <c r="S1172" t="n">
        <v>1</v>
      </c>
      <c r="T1172" t="n">
        <v>3</v>
      </c>
      <c r="U1172" t="n">
        <v>0</v>
      </c>
      <c r="V1172" s="2" t="inlineStr">
        <is>
          <t>Ask</t>
        </is>
      </c>
      <c r="W1172">
        <f>HYPERLINK("https://klasma.github.io/Logging_0885/artfynd/A 26840-2026 artfynd.xlsx", "A 26840-2026")</f>
        <v/>
      </c>
      <c r="X1172">
        <f>HYPERLINK("https://klasma.github.io/Logging_0885/kartor/A 26840-2026 karta.png", "A 26840-2026")</f>
        <v/>
      </c>
      <c r="Y1172">
        <f>HYPERLINK("https://klasma.github.io/Logging_0885/kartor_geotiff/A 26840-2026 georefererad karta.tif", "A 26840-2026")</f>
        <v/>
      </c>
      <c r="AA1172">
        <f>HYPERLINK("https://klasma.github.io/Logging_0885/klagomål/A 26840-2026 FSC-klagomål.docx", "A 26840-2026")</f>
        <v/>
      </c>
      <c r="AB1172">
        <f>HYPERLINK("https://klasma.github.io/Logging_0885/klagomålsmail/A 26840-2026 FSC-klagomål mail.docx", "A 26840-2026")</f>
        <v/>
      </c>
      <c r="AC1172">
        <f>HYPERLINK("https://klasma.github.io/Logging_0885/tillsyn/A 26840-2026 tillsynsbegäran.docx", "A 26840-2026")</f>
        <v/>
      </c>
      <c r="AD1172">
        <f>HYPERLINK("https://klasma.github.io/Logging_0885/tillsynsmail/A 26840-2026 tillsynsbegäran mail.docx", "A 26840-2026")</f>
        <v/>
      </c>
    </row>
    <row r="1173" ht="15" customHeight="1">
      <c r="A1173" t="inlineStr">
        <is>
          <t>A 26640-2026</t>
        </is>
      </c>
      <c r="B1173" t="inlineStr">
        <is>
          <t>avverkningsanmälan</t>
        </is>
      </c>
      <c r="C1173" t="inlineStr">
        <is>
          <t>Föryngringsavverkning</t>
        </is>
      </c>
      <c r="D1173" s="1" t="n">
        <v>46184</v>
      </c>
      <c r="E1173" s="1" t="n">
        <v>46323</v>
      </c>
      <c r="F1173" t="inlineStr">
        <is>
          <t>KALMAR LÄN</t>
        </is>
      </c>
      <c r="G1173" t="inlineStr">
        <is>
          <t>VÄSTERVIK</t>
        </is>
      </c>
      <c r="H1173" t="inlineStr">
        <is>
          <t>Sveaskog</t>
        </is>
      </c>
      <c r="I1173" t="n">
        <v>2.3</v>
      </c>
      <c r="J1173" t="n">
        <v>1</v>
      </c>
      <c r="K1173" t="n">
        <v>0</v>
      </c>
      <c r="L1173" t="n">
        <v>0</v>
      </c>
      <c r="M1173" t="n">
        <v>0</v>
      </c>
      <c r="N1173" t="n">
        <v>0</v>
      </c>
      <c r="O1173" t="n">
        <v>0</v>
      </c>
      <c r="P1173" t="n">
        <v>0</v>
      </c>
      <c r="Q1173" t="n">
        <v>0</v>
      </c>
      <c r="R1173" t="n">
        <v>0</v>
      </c>
      <c r="S1173" t="n">
        <v>1</v>
      </c>
      <c r="T1173" t="n">
        <v>1</v>
      </c>
      <c r="U1173" t="n">
        <v>0</v>
      </c>
      <c r="V1173" s="2" t="inlineStr">
        <is>
          <t>Tjäder</t>
        </is>
      </c>
      <c r="W1173">
        <f>HYPERLINK("https://klasma.github.io/Logging_0883/artfynd/A 26640-2026 artfynd.xlsx", "A 26640-2026")</f>
        <v/>
      </c>
      <c r="X1173">
        <f>HYPERLINK("https://klasma.github.io/Logging_0883/kartor/A 26640-2026 karta.png", "A 26640-2026")</f>
        <v/>
      </c>
      <c r="Y1173">
        <f>HYPERLINK("https://klasma.github.io/Logging_0883/kartor_geotiff/A 26640-2026 georefererad karta.tif", "A 26640-2026")</f>
        <v/>
      </c>
      <c r="AA1173">
        <f>HYPERLINK("https://klasma.github.io/Logging_0883/klagomål/A 26640-2026 FSC-klagomål.docx", "A 26640-2026")</f>
        <v/>
      </c>
      <c r="AB1173">
        <f>HYPERLINK("https://klasma.github.io/Logging_0883/klagomålsmail/A 26640-2026 FSC-klagomål mail.docx", "A 26640-2026")</f>
        <v/>
      </c>
      <c r="AC1173">
        <f>HYPERLINK("https://klasma.github.io/Logging_0883/tillsyn/A 26640-2026 tillsynsbegäran.docx", "A 26640-2026")</f>
        <v/>
      </c>
      <c r="AD1173">
        <f>HYPERLINK("https://klasma.github.io/Logging_0883/tillsynsmail/A 26640-2026 tillsynsbegäran mail.docx", "A 26640-2026")</f>
        <v/>
      </c>
      <c r="AE1173">
        <f>HYPERLINK("https://klasma.github.io/Logging_0883/fåglar/A 26640-2026 prioriterade fågelarter.docx", "A 26640-2026")</f>
        <v/>
      </c>
    </row>
    <row r="1174" ht="15" customHeight="1">
      <c r="A1174" t="inlineStr">
        <is>
          <t>A 26730-2026</t>
        </is>
      </c>
      <c r="B1174" t="inlineStr">
        <is>
          <t>avverkningsanmälan</t>
        </is>
      </c>
      <c r="C1174" t="inlineStr">
        <is>
          <t>Föryngringsavverkning</t>
        </is>
      </c>
      <c r="D1174" s="1" t="n">
        <v>46184</v>
      </c>
      <c r="E1174" s="1" t="n">
        <v>46323</v>
      </c>
      <c r="F1174" t="inlineStr">
        <is>
          <t>KALMAR LÄN</t>
        </is>
      </c>
      <c r="G1174" t="inlineStr">
        <is>
          <t>OSKARSHAMN</t>
        </is>
      </c>
      <c r="I1174" t="n">
        <v>0.6</v>
      </c>
      <c r="J1174" t="n">
        <v>1</v>
      </c>
      <c r="K1174" t="n">
        <v>0</v>
      </c>
      <c r="L1174" t="n">
        <v>0</v>
      </c>
      <c r="M1174" t="n">
        <v>0</v>
      </c>
      <c r="N1174" t="n">
        <v>1</v>
      </c>
      <c r="O1174" t="n">
        <v>0</v>
      </c>
      <c r="P1174" t="n">
        <v>0</v>
      </c>
      <c r="Q1174" t="n">
        <v>1</v>
      </c>
      <c r="R1174" t="n">
        <v>1</v>
      </c>
      <c r="S1174" t="n">
        <v>1</v>
      </c>
      <c r="T1174" t="n">
        <v>1</v>
      </c>
      <c r="U1174" t="n">
        <v>0</v>
      </c>
      <c r="V1174" s="2" t="inlineStr">
        <is>
          <t>Mosippa</t>
        </is>
      </c>
      <c r="W1174">
        <f>HYPERLINK("https://klasma.github.io/Logging_0882/artfynd/A 26730-2026 artfynd.xlsx", "A 26730-2026")</f>
        <v/>
      </c>
      <c r="X1174">
        <f>HYPERLINK("https://klasma.github.io/Logging_0882/kartor/A 26730-2026 karta.png", "A 26730-2026")</f>
        <v/>
      </c>
      <c r="Y1174">
        <f>HYPERLINK("https://klasma.github.io/Logging_0882/kartor_geotiff/A 26730-2026 georefererad karta.tif", "A 26730-2026")</f>
        <v/>
      </c>
      <c r="AA1174">
        <f>HYPERLINK("https://klasma.github.io/Logging_0882/klagomål/A 26730-2026 FSC-klagomål.docx", "A 26730-2026")</f>
        <v/>
      </c>
      <c r="AB1174">
        <f>HYPERLINK("https://klasma.github.io/Logging_0882/klagomålsmail/A 26730-2026 FSC-klagomål mail.docx", "A 26730-2026")</f>
        <v/>
      </c>
      <c r="AC1174">
        <f>HYPERLINK("https://klasma.github.io/Logging_0882/tillsyn/A 26730-2026 tillsynsbegäran.docx", "A 26730-2026")</f>
        <v/>
      </c>
      <c r="AD1174">
        <f>HYPERLINK("https://klasma.github.io/Logging_0882/tillsynsmail/A 26730-2026 tillsynsbegäran mail.docx", "A 26730-2026")</f>
        <v/>
      </c>
    </row>
    <row r="1175" ht="15" customHeight="1">
      <c r="A1175" t="inlineStr">
        <is>
          <t>A 26636-2026</t>
        </is>
      </c>
      <c r="B1175" t="inlineStr">
        <is>
          <t>avverkningsanmälan</t>
        </is>
      </c>
      <c r="C1175" t="inlineStr">
        <is>
          <t>Föryngringsavverkning</t>
        </is>
      </c>
      <c r="D1175" s="1" t="n">
        <v>46184</v>
      </c>
      <c r="E1175" s="1" t="n">
        <v>46323</v>
      </c>
      <c r="F1175" t="inlineStr">
        <is>
          <t>KALMAR LÄN</t>
        </is>
      </c>
      <c r="G1175" t="inlineStr">
        <is>
          <t>VÄSTERVIK</t>
        </is>
      </c>
      <c r="H1175" t="inlineStr">
        <is>
          <t>Sveaskog</t>
        </is>
      </c>
      <c r="I1175" t="n">
        <v>2.1</v>
      </c>
      <c r="J1175" t="n">
        <v>0</v>
      </c>
      <c r="K1175" t="n">
        <v>1</v>
      </c>
      <c r="L1175" t="n">
        <v>0</v>
      </c>
      <c r="M1175" t="n">
        <v>0</v>
      </c>
      <c r="N1175" t="n">
        <v>0</v>
      </c>
      <c r="O1175" t="n">
        <v>0</v>
      </c>
      <c r="P1175" t="n">
        <v>0</v>
      </c>
      <c r="Q1175" t="n">
        <v>0</v>
      </c>
      <c r="R1175" t="n">
        <v>0</v>
      </c>
      <c r="S1175" t="n">
        <v>1</v>
      </c>
      <c r="T1175" t="n">
        <v>1</v>
      </c>
      <c r="U1175" t="n">
        <v>0</v>
      </c>
      <c r="V1175" s="2" t="inlineStr">
        <is>
          <t>Skogstimmia</t>
        </is>
      </c>
      <c r="W1175">
        <f>HYPERLINK("https://klasma.github.io/Logging_0883/artfynd/A 26636-2026 artfynd.xlsx", "A 26636-2026")</f>
        <v/>
      </c>
      <c r="X1175">
        <f>HYPERLINK("https://klasma.github.io/Logging_0883/kartor/A 26636-2026 karta.png", "A 26636-2026")</f>
        <v/>
      </c>
      <c r="Y1175">
        <f>HYPERLINK("https://klasma.github.io/Logging_0883/kartor_geotiff/A 26636-2026 georefererad karta.tif", "A 26636-2026")</f>
        <v/>
      </c>
      <c r="AA1175">
        <f>HYPERLINK("https://klasma.github.io/Logging_0883/klagomål/A 26636-2026 FSC-klagomål.docx", "A 26636-2026")</f>
        <v/>
      </c>
      <c r="AB1175">
        <f>HYPERLINK("https://klasma.github.io/Logging_0883/klagomålsmail/A 26636-2026 FSC-klagomål mail.docx", "A 26636-2026")</f>
        <v/>
      </c>
      <c r="AC1175">
        <f>HYPERLINK("https://klasma.github.io/Logging_0883/tillsyn/A 26636-2026 tillsynsbegäran.docx", "A 26636-2026")</f>
        <v/>
      </c>
      <c r="AD1175">
        <f>HYPERLINK("https://klasma.github.io/Logging_0883/tillsynsmail/A 26636-2026 tillsynsbegäran mail.docx", "A 26636-2026")</f>
        <v/>
      </c>
    </row>
    <row r="1176" ht="15" customHeight="1">
      <c r="A1176" t="inlineStr">
        <is>
          <t>A 27199-2026</t>
        </is>
      </c>
      <c r="B1176" t="inlineStr">
        <is>
          <t>avverkningsanmälan</t>
        </is>
      </c>
      <c r="C1176" t="inlineStr">
        <is>
          <t>Föryngringsavverkning</t>
        </is>
      </c>
      <c r="D1176" s="1" t="n">
        <v>46188</v>
      </c>
      <c r="E1176" s="1" t="n">
        <v>46323</v>
      </c>
      <c r="F1176" t="inlineStr">
        <is>
          <t>KALMAR LÄN</t>
        </is>
      </c>
      <c r="G1176" t="inlineStr">
        <is>
          <t>KALMAR</t>
        </is>
      </c>
      <c r="I1176" t="n">
        <v>1.6</v>
      </c>
      <c r="J1176" t="n">
        <v>0</v>
      </c>
      <c r="K1176" t="n">
        <v>1</v>
      </c>
      <c r="L1176" t="n">
        <v>0</v>
      </c>
      <c r="M1176" t="n">
        <v>0</v>
      </c>
      <c r="N1176" t="n">
        <v>0</v>
      </c>
      <c r="O1176" t="n">
        <v>0</v>
      </c>
      <c r="P1176" t="n">
        <v>0</v>
      </c>
      <c r="Q1176" t="n">
        <v>0</v>
      </c>
      <c r="R1176" t="n">
        <v>0</v>
      </c>
      <c r="S1176" t="n">
        <v>1</v>
      </c>
      <c r="T1176" t="n">
        <v>1</v>
      </c>
      <c r="U1176" t="n">
        <v>0</v>
      </c>
      <c r="V1176" s="2" t="inlineStr">
        <is>
          <t>Blåmossa</t>
        </is>
      </c>
      <c r="W1176">
        <f>HYPERLINK("https://klasma.github.io/Logging_0880/artfynd/A 27199-2026 artfynd.xlsx", "A 27199-2026")</f>
        <v/>
      </c>
      <c r="X1176">
        <f>HYPERLINK("https://klasma.github.io/Logging_0880/kartor/A 27199-2026 karta.png", "A 27199-2026")</f>
        <v/>
      </c>
      <c r="Y1176">
        <f>HYPERLINK("https://klasma.github.io/Logging_0880/kartor_geotiff/A 27199-2026 georefererad karta.tif", "A 27199-2026")</f>
        <v/>
      </c>
      <c r="AA1176">
        <f>HYPERLINK("https://klasma.github.io/Logging_0880/klagomål/A 27199-2026 FSC-klagomål.docx", "A 27199-2026")</f>
        <v/>
      </c>
      <c r="AB1176">
        <f>HYPERLINK("https://klasma.github.io/Logging_0880/klagomålsmail/A 27199-2026 FSC-klagomål mail.docx", "A 27199-2026")</f>
        <v/>
      </c>
      <c r="AC1176">
        <f>HYPERLINK("https://klasma.github.io/Logging_0880/tillsyn/A 27199-2026 tillsynsbegäran.docx", "A 27199-2026")</f>
        <v/>
      </c>
      <c r="AD1176">
        <f>HYPERLINK("https://klasma.github.io/Logging_0880/tillsynsmail/A 27199-2026 tillsynsbegäran mail.docx", "A 27199-2026")</f>
        <v/>
      </c>
    </row>
    <row r="1177" ht="15" customHeight="1">
      <c r="A1177" t="inlineStr">
        <is>
          <t>A 27669-2026</t>
        </is>
      </c>
      <c r="B1177" t="inlineStr">
        <is>
          <t>avverkningsanmälan</t>
        </is>
      </c>
      <c r="C1177" t="inlineStr">
        <is>
          <t>Föryngringsavverkning</t>
        </is>
      </c>
      <c r="D1177" s="1" t="n">
        <v>46190</v>
      </c>
      <c r="E1177" s="1" t="n">
        <v>46323</v>
      </c>
      <c r="F1177" t="inlineStr">
        <is>
          <t>KALMAR LÄN</t>
        </is>
      </c>
      <c r="G1177" t="inlineStr">
        <is>
          <t>NYBRO</t>
        </is>
      </c>
      <c r="I1177" t="n">
        <v>2</v>
      </c>
      <c r="J1177" t="n">
        <v>0</v>
      </c>
      <c r="K1177" t="n">
        <v>1</v>
      </c>
      <c r="L1177" t="n">
        <v>0</v>
      </c>
      <c r="M1177" t="n">
        <v>0</v>
      </c>
      <c r="N1177" t="n">
        <v>0</v>
      </c>
      <c r="O1177" t="n">
        <v>0</v>
      </c>
      <c r="P1177" t="n">
        <v>0</v>
      </c>
      <c r="Q1177" t="n">
        <v>0</v>
      </c>
      <c r="R1177" t="n">
        <v>0</v>
      </c>
      <c r="S1177" t="n">
        <v>1</v>
      </c>
      <c r="T1177" t="n">
        <v>1</v>
      </c>
      <c r="U1177" t="n">
        <v>0</v>
      </c>
      <c r="V1177" s="2" t="inlineStr">
        <is>
          <t>Blomkålssvamp</t>
        </is>
      </c>
      <c r="W1177">
        <f>HYPERLINK("https://klasma.github.io/Logging_0881/artfynd/A 27669-2026 artfynd.xlsx", "A 27669-2026")</f>
        <v/>
      </c>
      <c r="X1177">
        <f>HYPERLINK("https://klasma.github.io/Logging_0881/kartor/A 27669-2026 karta.png", "A 27669-2026")</f>
        <v/>
      </c>
      <c r="Y1177">
        <f>HYPERLINK("https://klasma.github.io/Logging_0881/kartor_geotiff/A 27669-2026 georefererad karta.tif", "A 27669-2026")</f>
        <v/>
      </c>
      <c r="AA1177">
        <f>HYPERLINK("https://klasma.github.io/Logging_0881/klagomål/A 27669-2026 FSC-klagomål.docx", "A 27669-2026")</f>
        <v/>
      </c>
      <c r="AB1177">
        <f>HYPERLINK("https://klasma.github.io/Logging_0881/klagomålsmail/A 27669-2026 FSC-klagomål mail.docx", "A 27669-2026")</f>
        <v/>
      </c>
      <c r="AC1177">
        <f>HYPERLINK("https://klasma.github.io/Logging_0881/tillsyn/A 27669-2026 tillsynsbegäran.docx", "A 27669-2026")</f>
        <v/>
      </c>
      <c r="AD1177">
        <f>HYPERLINK("https://klasma.github.io/Logging_0881/tillsynsmail/A 27669-2026 tillsynsbegäran mail.docx", "A 27669-2026")</f>
        <v/>
      </c>
    </row>
    <row r="1178" ht="15" customHeight="1">
      <c r="A1178" t="inlineStr">
        <is>
          <t>A 28166-2026</t>
        </is>
      </c>
      <c r="B1178" t="inlineStr">
        <is>
          <t>avverkningsanmälan</t>
        </is>
      </c>
      <c r="C1178" t="inlineStr">
        <is>
          <t>Föryngringsavverkning</t>
        </is>
      </c>
      <c r="D1178" s="1" t="n">
        <v>46195</v>
      </c>
      <c r="E1178" s="1" t="n">
        <v>46323</v>
      </c>
      <c r="F1178" t="inlineStr">
        <is>
          <t>KALMAR LÄN</t>
        </is>
      </c>
      <c r="G1178" t="inlineStr">
        <is>
          <t>HULTSFRED</t>
        </is>
      </c>
      <c r="H1178" t="inlineStr">
        <is>
          <t>Kyrkan</t>
        </is>
      </c>
      <c r="I1178" t="n">
        <v>7.6</v>
      </c>
      <c r="J1178" t="n">
        <v>1</v>
      </c>
      <c r="K1178" t="n">
        <v>0</v>
      </c>
      <c r="L1178" t="n">
        <v>0</v>
      </c>
      <c r="M1178" t="n">
        <v>0</v>
      </c>
      <c r="N1178" t="n">
        <v>0</v>
      </c>
      <c r="O1178" t="n">
        <v>0</v>
      </c>
      <c r="P1178" t="n">
        <v>0</v>
      </c>
      <c r="Q1178" t="n">
        <v>0</v>
      </c>
      <c r="R1178" t="n">
        <v>0</v>
      </c>
      <c r="S1178" t="n">
        <v>1</v>
      </c>
      <c r="T1178" t="n">
        <v>1</v>
      </c>
      <c r="U1178" t="n">
        <v>0</v>
      </c>
      <c r="V1178" s="2" t="inlineStr">
        <is>
          <t>Blåsippa</t>
        </is>
      </c>
      <c r="W1178">
        <f>HYPERLINK("https://klasma.github.io/Logging_0860/artfynd/A 28166-2026 artfynd.xlsx", "A 28166-2026")</f>
        <v/>
      </c>
      <c r="X1178">
        <f>HYPERLINK("https://klasma.github.io/Logging_0860/kartor/A 28166-2026 karta.png", "A 28166-2026")</f>
        <v/>
      </c>
      <c r="Y1178">
        <f>HYPERLINK("https://klasma.github.io/Logging_0860/kartor_geotiff/A 28166-2026 georefererad karta.tif", "A 28166-2026")</f>
        <v/>
      </c>
      <c r="AA1178">
        <f>HYPERLINK("https://klasma.github.io/Logging_0860/klagomål/A 28166-2026 FSC-klagomål.docx", "A 28166-2026")</f>
        <v/>
      </c>
      <c r="AB1178">
        <f>HYPERLINK("https://klasma.github.io/Logging_0860/klagomålsmail/A 28166-2026 FSC-klagomål mail.docx", "A 28166-2026")</f>
        <v/>
      </c>
      <c r="AC1178">
        <f>HYPERLINK("https://klasma.github.io/Logging_0860/tillsyn/A 28166-2026 tillsynsbegäran.docx", "A 28166-2026")</f>
        <v/>
      </c>
      <c r="AD1178">
        <f>HYPERLINK("https://klasma.github.io/Logging_0860/tillsynsmail/A 28166-2026 tillsynsbegäran mail.docx", "A 28166-2026")</f>
        <v/>
      </c>
    </row>
    <row r="1179" ht="15" customHeight="1">
      <c r="A1179" t="inlineStr">
        <is>
          <t>A 28430-2026</t>
        </is>
      </c>
      <c r="B1179" t="inlineStr">
        <is>
          <t>avverkningsanmälan</t>
        </is>
      </c>
      <c r="C1179" t="inlineStr">
        <is>
          <t>Avverkning för att bevara och utveckla /försöksver</t>
        </is>
      </c>
      <c r="D1179" s="1" t="n">
        <v>46197</v>
      </c>
      <c r="E1179" s="1" t="n">
        <v>46323</v>
      </c>
      <c r="F1179" t="inlineStr">
        <is>
          <t>KALMAR LÄN</t>
        </is>
      </c>
      <c r="G1179" t="inlineStr">
        <is>
          <t>BORGHOLM</t>
        </is>
      </c>
      <c r="H1179" t="inlineStr">
        <is>
          <t>Sveaskog</t>
        </is>
      </c>
      <c r="I1179" t="n">
        <v>1.8</v>
      </c>
      <c r="J1179" t="n">
        <v>0</v>
      </c>
      <c r="K1179" t="n">
        <v>0</v>
      </c>
      <c r="L1179" t="n">
        <v>1</v>
      </c>
      <c r="M1179" t="n">
        <v>0</v>
      </c>
      <c r="N1179" t="n">
        <v>0</v>
      </c>
      <c r="O1179" t="n">
        <v>0</v>
      </c>
      <c r="P1179" t="n">
        <v>0</v>
      </c>
      <c r="Q1179" t="n">
        <v>1</v>
      </c>
      <c r="R1179" t="n">
        <v>0</v>
      </c>
      <c r="S1179" t="n">
        <v>1</v>
      </c>
      <c r="T1179" t="n">
        <v>2</v>
      </c>
      <c r="U1179" t="n">
        <v>0</v>
      </c>
      <c r="V1179" s="2" t="inlineStr">
        <is>
          <t>Oxtungssvamp</t>
        </is>
      </c>
      <c r="W1179">
        <f>HYPERLINK("https://klasma.github.io/Logging_0885/artfynd/A 28430-2026 artfynd.xlsx", "A 28430-2026")</f>
        <v/>
      </c>
      <c r="X1179">
        <f>HYPERLINK("https://klasma.github.io/Logging_0885/kartor/A 28430-2026 karta.png", "A 28430-2026")</f>
        <v/>
      </c>
      <c r="Y1179">
        <f>HYPERLINK("https://klasma.github.io/Logging_0885/kartor_geotiff/A 28430-2026 georefererad karta.tif", "A 28430-2026")</f>
        <v/>
      </c>
      <c r="AA1179">
        <f>HYPERLINK("https://klasma.github.io/Logging_0885/klagomål/A 28430-2026 FSC-klagomål.docx", "A 28430-2026")</f>
        <v/>
      </c>
      <c r="AB1179">
        <f>HYPERLINK("https://klasma.github.io/Logging_0885/klagomålsmail/A 28430-2026 FSC-klagomål mail.docx", "A 28430-2026")</f>
        <v/>
      </c>
      <c r="AC1179">
        <f>HYPERLINK("https://klasma.github.io/Logging_0885/tillsyn/A 28430-2026 tillsynsbegäran.docx", "A 28430-2026")</f>
        <v/>
      </c>
      <c r="AD1179">
        <f>HYPERLINK("https://klasma.github.io/Logging_0885/tillsynsmail/A 28430-2026 tillsynsbegäran mail.docx", "A 28430-2026")</f>
        <v/>
      </c>
    </row>
    <row r="1180" ht="15" customHeight="1">
      <c r="A1180" t="inlineStr">
        <is>
          <t>A 28374-2026</t>
        </is>
      </c>
      <c r="B1180" t="inlineStr">
        <is>
          <t>avverkningsanmälan</t>
        </is>
      </c>
      <c r="C1180" t="inlineStr">
        <is>
          <t>Avverkning för att bevara och utveckla /försöksver</t>
        </is>
      </c>
      <c r="D1180" s="1" t="n">
        <v>46196</v>
      </c>
      <c r="E1180" s="1" t="n">
        <v>46323</v>
      </c>
      <c r="F1180" t="inlineStr">
        <is>
          <t>KALMAR LÄN</t>
        </is>
      </c>
      <c r="G1180" t="inlineStr">
        <is>
          <t>BORGHOLM</t>
        </is>
      </c>
      <c r="H1180" t="inlineStr">
        <is>
          <t>Sveaskog</t>
        </is>
      </c>
      <c r="I1180" t="n">
        <v>2</v>
      </c>
      <c r="J1180" t="n">
        <v>0</v>
      </c>
      <c r="K1180" t="n">
        <v>0</v>
      </c>
      <c r="L1180" t="n">
        <v>0</v>
      </c>
      <c r="M1180" t="n">
        <v>1</v>
      </c>
      <c r="N1180" t="n">
        <v>0</v>
      </c>
      <c r="O1180" t="n">
        <v>0</v>
      </c>
      <c r="P1180" t="n">
        <v>0</v>
      </c>
      <c r="Q1180" t="n">
        <v>1</v>
      </c>
      <c r="R1180" t="n">
        <v>1</v>
      </c>
      <c r="S1180" t="n">
        <v>1</v>
      </c>
      <c r="T1180" t="n">
        <v>1</v>
      </c>
      <c r="U1180" t="n">
        <v>0</v>
      </c>
      <c r="V1180" s="2" t="inlineStr">
        <is>
          <t>Purpurmusseron</t>
        </is>
      </c>
      <c r="W1180">
        <f>HYPERLINK("https://klasma.github.io/Logging_0885/artfynd/A 28374-2026 artfynd.xlsx", "A 28374-2026")</f>
        <v/>
      </c>
      <c r="X1180">
        <f>HYPERLINK("https://klasma.github.io/Logging_0885/kartor/A 28374-2026 karta.png", "A 28374-2026")</f>
        <v/>
      </c>
      <c r="Y1180">
        <f>HYPERLINK("https://klasma.github.io/Logging_0885/kartor_geotiff/A 28374-2026 georefererad karta.tif", "A 28374-2026")</f>
        <v/>
      </c>
      <c r="AA1180">
        <f>HYPERLINK("https://klasma.github.io/Logging_0885/klagomål/A 28374-2026 FSC-klagomål.docx", "A 28374-2026")</f>
        <v/>
      </c>
      <c r="AB1180">
        <f>HYPERLINK("https://klasma.github.io/Logging_0885/klagomålsmail/A 28374-2026 FSC-klagomål mail.docx", "A 28374-2026")</f>
        <v/>
      </c>
      <c r="AC1180">
        <f>HYPERLINK("https://klasma.github.io/Logging_0885/tillsyn/A 28374-2026 tillsynsbegäran.docx", "A 28374-2026")</f>
        <v/>
      </c>
      <c r="AD1180">
        <f>HYPERLINK("https://klasma.github.io/Logging_0885/tillsynsmail/A 28374-2026 tillsynsbegäran mail.docx", "A 28374-2026")</f>
        <v/>
      </c>
    </row>
    <row r="1181" ht="15" customHeight="1">
      <c r="A1181" t="inlineStr">
        <is>
          <t>S 523-2022</t>
        </is>
      </c>
      <c r="B1181" t="inlineStr">
        <is>
          <t>samrådsanmälan</t>
        </is>
      </c>
      <c r="C1181" t="inlineStr">
        <is>
          <t>Askåterföring</t>
        </is>
      </c>
      <c r="D1181" s="1" t="n">
        <v>44588</v>
      </c>
      <c r="E1181" s="1" t="n">
        <v>46323</v>
      </c>
      <c r="F1181" t="inlineStr">
        <is>
          <t>KALMAR LÄN</t>
        </is>
      </c>
      <c r="G1181" t="inlineStr">
        <is>
          <t>EMMABODA</t>
        </is>
      </c>
      <c r="I1181" t="n">
        <v>21.6</v>
      </c>
      <c r="J1181" t="n">
        <v>0</v>
      </c>
      <c r="K1181" t="n">
        <v>0</v>
      </c>
      <c r="L1181" t="n">
        <v>0</v>
      </c>
      <c r="M1181" t="n">
        <v>1</v>
      </c>
      <c r="N1181" t="n">
        <v>0</v>
      </c>
      <c r="O1181" t="n">
        <v>0</v>
      </c>
      <c r="P1181" t="n">
        <v>0</v>
      </c>
      <c r="Q1181" t="n">
        <v>1</v>
      </c>
      <c r="R1181" t="n">
        <v>1</v>
      </c>
      <c r="S1181" t="n">
        <v>1</v>
      </c>
      <c r="T1181" t="n">
        <v>1</v>
      </c>
      <c r="U1181" t="n">
        <v>1</v>
      </c>
      <c r="V1181" s="2" t="inlineStr">
        <is>
          <t>Revig blodrot</t>
        </is>
      </c>
      <c r="W1181">
        <f>HYPERLINK("https://klasma.github.io/Logging_0862/artfynd/S 523-2022 artfynd.xlsx", "S 523-2022")</f>
        <v/>
      </c>
      <c r="X1181">
        <f>HYPERLINK("https://klasma.github.io/Logging_0862/kartor/S 523-2022 karta.png", "S 523-2022")</f>
        <v/>
      </c>
      <c r="Y1181">
        <f>HYPERLINK("https://klasma.github.io/Logging_0862/kartor_geotiff/S 523-2022 georefererad karta.tif", "S 523-2022")</f>
        <v/>
      </c>
      <c r="AA1181">
        <f>HYPERLINK("https://klasma.github.io/Logging_0862/klagomål/S 523-2022 FSC-klagomål.docx", "S 523-2022")</f>
        <v/>
      </c>
      <c r="AB1181">
        <f>HYPERLINK("https://klasma.github.io/Logging_0862/klagomålsmail/S 523-2022 FSC-klagomål mail.docx", "S 523-2022")</f>
        <v/>
      </c>
      <c r="AC1181">
        <f>HYPERLINK("https://klasma.github.io/Logging_0862/tillsyn/S 523-2022 tillsynsbegäran.docx", "S 523-2022")</f>
        <v/>
      </c>
      <c r="AD1181">
        <f>HYPERLINK("https://klasma.github.io/Logging_0862/tillsynsmail/S 523-2022 tillsynsbegäran mail.docx", "S 523-2022")</f>
        <v/>
      </c>
    </row>
    <row r="1182" ht="15" customHeight="1">
      <c r="A1182" t="inlineStr">
        <is>
          <t>S 2271-2022</t>
        </is>
      </c>
      <c r="B1182" t="inlineStr">
        <is>
          <t>samrådsanmälan</t>
        </is>
      </c>
      <c r="C1182" t="inlineStr">
        <is>
          <t>Åtgärd i nyckelbiotop</t>
        </is>
      </c>
      <c r="D1182" s="1" t="n">
        <v>44683</v>
      </c>
      <c r="E1182" s="1" t="n">
        <v>46323</v>
      </c>
      <c r="F1182" t="inlineStr">
        <is>
          <t>KALMAR LÄN</t>
        </is>
      </c>
      <c r="G1182" t="inlineStr">
        <is>
          <t>HULTSFRED</t>
        </is>
      </c>
      <c r="I1182" t="n">
        <v>0.2</v>
      </c>
      <c r="J1182" t="n">
        <v>0</v>
      </c>
      <c r="K1182" t="n">
        <v>0</v>
      </c>
      <c r="L1182" t="n">
        <v>1</v>
      </c>
      <c r="M1182" t="n">
        <v>0</v>
      </c>
      <c r="N1182" t="n">
        <v>0</v>
      </c>
      <c r="O1182" t="n">
        <v>0</v>
      </c>
      <c r="P1182" t="n">
        <v>0</v>
      </c>
      <c r="Q1182" t="n">
        <v>1</v>
      </c>
      <c r="R1182" t="n">
        <v>0</v>
      </c>
      <c r="S1182" t="n">
        <v>1</v>
      </c>
      <c r="T1182" t="n">
        <v>1</v>
      </c>
      <c r="U1182" t="n">
        <v>1</v>
      </c>
      <c r="V1182" s="2" t="inlineStr">
        <is>
          <t>Gullpudra</t>
        </is>
      </c>
      <c r="W1182">
        <f>HYPERLINK("https://klasma.github.io/Logging_0860/artfynd/S 2271-2022 artfynd.xlsx", "S 2271-2022")</f>
        <v/>
      </c>
      <c r="X1182">
        <f>HYPERLINK("https://klasma.github.io/Logging_0860/kartor/S 2271-2022 karta.png", "S 2271-2022")</f>
        <v/>
      </c>
      <c r="Y1182">
        <f>HYPERLINK("https://klasma.github.io/Logging_0860/kartor_geotiff/S 2271-2022 georefererad karta.tif", "S 2271-2022")</f>
        <v/>
      </c>
      <c r="AA1182">
        <f>HYPERLINK("https://klasma.github.io/Logging_0860/klagomål/S 2271-2022 FSC-klagomål.docx", "S 2271-2022")</f>
        <v/>
      </c>
      <c r="AB1182">
        <f>HYPERLINK("https://klasma.github.io/Logging_0860/klagomålsmail/S 2271-2022 FSC-klagomål mail.docx", "S 2271-2022")</f>
        <v/>
      </c>
      <c r="AC1182">
        <f>HYPERLINK("https://klasma.github.io/Logging_0860/tillsyn/S 2271-2022 tillsynsbegäran.docx", "S 2271-2022")</f>
        <v/>
      </c>
      <c r="AD1182">
        <f>HYPERLINK("https://klasma.github.io/Logging_0860/tillsynsmail/S 2271-2022 tillsynsbegäran mail.docx", "S 2271-2022")</f>
        <v/>
      </c>
    </row>
    <row r="1183" ht="15" customHeight="1">
      <c r="A1183" t="inlineStr">
        <is>
          <t>S 3040-2022</t>
        </is>
      </c>
      <c r="B1183" t="inlineStr">
        <is>
          <t>samrådsanmälan</t>
        </is>
      </c>
      <c r="C1183" t="inlineStr">
        <is>
          <t>Annan skogsbruksåtgärd</t>
        </is>
      </c>
      <c r="D1183" s="1" t="n">
        <v>44715</v>
      </c>
      <c r="E1183" s="1" t="n">
        <v>46323</v>
      </c>
      <c r="F1183" t="inlineStr">
        <is>
          <t>KALMAR LÄN</t>
        </is>
      </c>
      <c r="G1183" t="inlineStr">
        <is>
          <t>VÄSTERVIK</t>
        </is>
      </c>
      <c r="I1183" t="n">
        <v>2.6</v>
      </c>
      <c r="J1183" t="n">
        <v>1</v>
      </c>
      <c r="K1183" t="n">
        <v>0</v>
      </c>
      <c r="L1183" t="n">
        <v>0</v>
      </c>
      <c r="M1183" t="n">
        <v>1</v>
      </c>
      <c r="N1183" t="n">
        <v>0</v>
      </c>
      <c r="O1183" t="n">
        <v>0</v>
      </c>
      <c r="P1183" t="n">
        <v>0</v>
      </c>
      <c r="Q1183" t="n">
        <v>1</v>
      </c>
      <c r="R1183" t="n">
        <v>1</v>
      </c>
      <c r="S1183" t="n">
        <v>1</v>
      </c>
      <c r="T1183" t="n">
        <v>2</v>
      </c>
      <c r="U1183" t="n">
        <v>0</v>
      </c>
      <c r="V1183" s="2" t="inlineStr">
        <is>
          <t>Knärot</t>
        </is>
      </c>
      <c r="W1183">
        <f>HYPERLINK("https://klasma.github.io/Logging_0883/artfynd/S 3040-2022 artfynd.xlsx", "S 3040-2022")</f>
        <v/>
      </c>
      <c r="X1183">
        <f>HYPERLINK("https://klasma.github.io/Logging_0883/kartor/S 3040-2022 karta.png", "S 3040-2022")</f>
        <v/>
      </c>
      <c r="Y1183">
        <f>HYPERLINK("https://klasma.github.io/Logging_0883/kartor_geotiff/S 3040-2022 georefererad karta.tif", "S 3040-2022")</f>
        <v/>
      </c>
      <c r="Z1183">
        <f>HYPERLINK("https://klasma.github.io/Logging_0883/knärot/S 3040-2022 karta knärot.png", "S 3040-2022")</f>
        <v/>
      </c>
      <c r="AA1183">
        <f>HYPERLINK("https://klasma.github.io/Logging_0883/klagomål/S 3040-2022 FSC-klagomål.docx", "S 3040-2022")</f>
        <v/>
      </c>
      <c r="AB1183">
        <f>HYPERLINK("https://klasma.github.io/Logging_0883/klagomålsmail/S 3040-2022 FSC-klagomål mail.docx", "S 3040-2022")</f>
        <v/>
      </c>
      <c r="AC1183">
        <f>HYPERLINK("https://klasma.github.io/Logging_0883/tillsyn/S 3040-2022 tillsynsbegäran.docx", "S 3040-2022")</f>
        <v/>
      </c>
      <c r="AD1183">
        <f>HYPERLINK("https://klasma.github.io/Logging_0883/tillsynsmail/S 3040-2022 tillsynsbegäran mail.docx", "S 3040-2022")</f>
        <v/>
      </c>
    </row>
    <row r="1184" ht="15" customHeight="1">
      <c r="A1184" t="inlineStr">
        <is>
          <t>S 1694-2022</t>
        </is>
      </c>
      <c r="B1184" t="inlineStr">
        <is>
          <t>samrådsanmälan</t>
        </is>
      </c>
      <c r="C1184" t="inlineStr">
        <is>
          <t>Åtgärd i nyckelbiotop</t>
        </is>
      </c>
      <c r="D1184" s="1" t="n">
        <v>44650</v>
      </c>
      <c r="E1184" s="1" t="n">
        <v>46323</v>
      </c>
      <c r="F1184" t="inlineStr">
        <is>
          <t>KALMAR LÄN</t>
        </is>
      </c>
      <c r="G1184" t="inlineStr">
        <is>
          <t>HÖGSBY</t>
        </is>
      </c>
      <c r="I1184" t="n">
        <v>2.2</v>
      </c>
      <c r="J1184" t="n">
        <v>1</v>
      </c>
      <c r="K1184" t="n">
        <v>0</v>
      </c>
      <c r="L1184" t="n">
        <v>0</v>
      </c>
      <c r="M1184" t="n">
        <v>0</v>
      </c>
      <c r="N1184" t="n">
        <v>0</v>
      </c>
      <c r="O1184" t="n">
        <v>0</v>
      </c>
      <c r="P1184" t="n">
        <v>0</v>
      </c>
      <c r="Q1184" t="n">
        <v>0</v>
      </c>
      <c r="R1184" t="n">
        <v>0</v>
      </c>
      <c r="S1184" t="n">
        <v>1</v>
      </c>
      <c r="T1184" t="n">
        <v>1</v>
      </c>
      <c r="U1184" t="n">
        <v>0</v>
      </c>
      <c r="V1184" s="2" t="inlineStr">
        <is>
          <t>Mistel</t>
        </is>
      </c>
      <c r="W1184">
        <f>HYPERLINK("https://klasma.github.io/Logging_0821/artfynd/S 1694-2022 artfynd.xlsx", "S 1694-2022")</f>
        <v/>
      </c>
      <c r="X1184">
        <f>HYPERLINK("https://klasma.github.io/Logging_0821/kartor/S 1694-2022 karta.png", "S 1694-2022")</f>
        <v/>
      </c>
      <c r="Y1184">
        <f>HYPERLINK("https://klasma.github.io/Logging_0821/kartor_geotiff/S 1694-2022 georefererad karta.tif", "S 1694-2022")</f>
        <v/>
      </c>
      <c r="AA1184">
        <f>HYPERLINK("https://klasma.github.io/Logging_0821/klagomål/S 1694-2022 FSC-klagomål.docx", "S 1694-2022")</f>
        <v/>
      </c>
      <c r="AB1184">
        <f>HYPERLINK("https://klasma.github.io/Logging_0821/klagomålsmail/S 1694-2022 FSC-klagomål mail.docx", "S 1694-2022")</f>
        <v/>
      </c>
      <c r="AC1184">
        <f>HYPERLINK("https://klasma.github.io/Logging_0821/tillsyn/S 1694-2022 tillsynsbegäran.docx", "S 1694-2022")</f>
        <v/>
      </c>
      <c r="AD1184">
        <f>HYPERLINK("https://klasma.github.io/Logging_0821/tillsynsmail/S 1694-2022 tillsynsbegäran mail.docx", "S 1694-2022")</f>
        <v/>
      </c>
    </row>
    <row r="1185" ht="15" customHeight="1">
      <c r="A1185" t="inlineStr">
        <is>
          <t>S 850-2022</t>
        </is>
      </c>
      <c r="B1185" t="inlineStr">
        <is>
          <t>samrådsanmälan</t>
        </is>
      </c>
      <c r="C1185" t="inlineStr">
        <is>
          <t>Askåterföring</t>
        </is>
      </c>
      <c r="D1185" s="1" t="n">
        <v>44603</v>
      </c>
      <c r="E1185" s="1" t="n">
        <v>46323</v>
      </c>
      <c r="F1185" t="inlineStr">
        <is>
          <t>KALMAR LÄN</t>
        </is>
      </c>
      <c r="G1185" t="inlineStr">
        <is>
          <t>NYBRO</t>
        </is>
      </c>
      <c r="I1185" t="n">
        <v>35.7</v>
      </c>
      <c r="J1185" t="n">
        <v>0</v>
      </c>
      <c r="K1185" t="n">
        <v>0</v>
      </c>
      <c r="L1185" t="n">
        <v>1</v>
      </c>
      <c r="M1185" t="n">
        <v>0</v>
      </c>
      <c r="N1185" t="n">
        <v>0</v>
      </c>
      <c r="O1185" t="n">
        <v>0</v>
      </c>
      <c r="P1185" t="n">
        <v>0</v>
      </c>
      <c r="Q1185" t="n">
        <v>1</v>
      </c>
      <c r="R1185" t="n">
        <v>0</v>
      </c>
      <c r="S1185" t="n">
        <v>1</v>
      </c>
      <c r="T1185" t="n">
        <v>1</v>
      </c>
      <c r="U1185" t="n">
        <v>0</v>
      </c>
      <c r="V1185" s="2" t="inlineStr">
        <is>
          <t>Dofttaggsvamp</t>
        </is>
      </c>
      <c r="W1185">
        <f>HYPERLINK("https://klasma.github.io/Logging_0881/artfynd/S 850-2022 artfynd.xlsx", "S 850-2022")</f>
        <v/>
      </c>
      <c r="X1185">
        <f>HYPERLINK("https://klasma.github.io/Logging_0881/kartor/S 850-2022 karta.png", "S 850-2022")</f>
        <v/>
      </c>
      <c r="Y1185">
        <f>HYPERLINK("https://klasma.github.io/Logging_0881/kartor_geotiff/S 850-2022 georefererad karta.tif", "S 850-2022")</f>
        <v/>
      </c>
      <c r="AA1185">
        <f>HYPERLINK("https://klasma.github.io/Logging_0881/klagomål/S 850-2022 FSC-klagomål.docx", "S 850-2022")</f>
        <v/>
      </c>
      <c r="AB1185">
        <f>HYPERLINK("https://klasma.github.io/Logging_0881/klagomålsmail/S 850-2022 FSC-klagomål mail.docx", "S 850-2022")</f>
        <v/>
      </c>
      <c r="AC1185">
        <f>HYPERLINK("https://klasma.github.io/Logging_0881/tillsyn/S 850-2022 tillsynsbegäran.docx", "S 850-2022")</f>
        <v/>
      </c>
      <c r="AD1185">
        <f>HYPERLINK("https://klasma.github.io/Logging_0881/tillsynsmail/S 850-2022 tillsynsbegäran mail.docx", "S 850-2022")</f>
        <v/>
      </c>
    </row>
    <row r="1186" ht="15" customHeight="1">
      <c r="A1186" t="inlineStr">
        <is>
          <t>S 557-2022</t>
        </is>
      </c>
      <c r="B1186" t="inlineStr">
        <is>
          <t>samrådsanmälan</t>
        </is>
      </c>
      <c r="C1186" t="inlineStr">
        <is>
          <t>Askåterföring</t>
        </is>
      </c>
      <c r="D1186" s="1" t="n">
        <v>44590</v>
      </c>
      <c r="E1186" s="1" t="n">
        <v>46323</v>
      </c>
      <c r="F1186" t="inlineStr">
        <is>
          <t>KALMAR LÄN</t>
        </is>
      </c>
      <c r="G1186" t="inlineStr">
        <is>
          <t>NYBRO</t>
        </is>
      </c>
      <c r="I1186" t="n">
        <v>47.2</v>
      </c>
      <c r="J1186" t="n">
        <v>0</v>
      </c>
      <c r="K1186" t="n">
        <v>0</v>
      </c>
      <c r="L1186" t="n">
        <v>0</v>
      </c>
      <c r="M1186" t="n">
        <v>1</v>
      </c>
      <c r="N1186" t="n">
        <v>0</v>
      </c>
      <c r="O1186" t="n">
        <v>0</v>
      </c>
      <c r="P1186" t="n">
        <v>0</v>
      </c>
      <c r="Q1186" t="n">
        <v>1</v>
      </c>
      <c r="R1186" t="n">
        <v>1</v>
      </c>
      <c r="S1186" t="n">
        <v>1</v>
      </c>
      <c r="T1186" t="n">
        <v>2</v>
      </c>
      <c r="U1186" t="n">
        <v>2</v>
      </c>
      <c r="V1186" s="2" t="inlineStr">
        <is>
          <t>Bredbrämad bastardsvärmare</t>
        </is>
      </c>
      <c r="W1186">
        <f>HYPERLINK("https://klasma.github.io/Logging_0881/artfynd/S 557-2022 artfynd.xlsx", "S 557-2022")</f>
        <v/>
      </c>
      <c r="X1186">
        <f>HYPERLINK("https://klasma.github.io/Logging_0881/kartor/S 557-2022 karta.png", "S 557-2022")</f>
        <v/>
      </c>
      <c r="Y1186">
        <f>HYPERLINK("https://klasma.github.io/Logging_0881/kartor_geotiff/S 557-2022 georefererad karta.tif", "S 557-2022")</f>
        <v/>
      </c>
      <c r="AA1186">
        <f>HYPERLINK("https://klasma.github.io/Logging_0881/klagomål/S 557-2022 FSC-klagomål.docx", "S 557-2022")</f>
        <v/>
      </c>
      <c r="AB1186">
        <f>HYPERLINK("https://klasma.github.io/Logging_0881/klagomålsmail/S 557-2022 FSC-klagomål mail.docx", "S 557-2022")</f>
        <v/>
      </c>
      <c r="AC1186">
        <f>HYPERLINK("https://klasma.github.io/Logging_0881/tillsyn/S 557-2022 tillsynsbegäran.docx", "S 557-2022")</f>
        <v/>
      </c>
      <c r="AD1186">
        <f>HYPERLINK("https://klasma.github.io/Logging_0881/tillsynsmail/S 557-2022 tillsynsbegäran mail.docx", "S 557-2022")</f>
        <v/>
      </c>
    </row>
    <row r="1187" ht="15" customHeight="1">
      <c r="A1187" t="inlineStr">
        <is>
          <t>S 447-2022</t>
        </is>
      </c>
      <c r="B1187" t="inlineStr">
        <is>
          <t>samrådsanmälan</t>
        </is>
      </c>
      <c r="C1187" t="inlineStr">
        <is>
          <t>Askåterföring</t>
        </is>
      </c>
      <c r="D1187" s="1" t="n">
        <v>44586</v>
      </c>
      <c r="E1187" s="1" t="n">
        <v>46323</v>
      </c>
      <c r="F1187" t="inlineStr">
        <is>
          <t>KALMAR LÄN</t>
        </is>
      </c>
      <c r="G1187" t="inlineStr">
        <is>
          <t>KALMAR</t>
        </is>
      </c>
      <c r="I1187" t="n">
        <v>33.7</v>
      </c>
      <c r="J1187" t="n">
        <v>0</v>
      </c>
      <c r="K1187" t="n">
        <v>0</v>
      </c>
      <c r="L1187" t="n">
        <v>1</v>
      </c>
      <c r="M1187" t="n">
        <v>0</v>
      </c>
      <c r="N1187" t="n">
        <v>0</v>
      </c>
      <c r="O1187" t="n">
        <v>0</v>
      </c>
      <c r="P1187" t="n">
        <v>0</v>
      </c>
      <c r="Q1187" t="n">
        <v>1</v>
      </c>
      <c r="R1187" t="n">
        <v>0</v>
      </c>
      <c r="S1187" t="n">
        <v>1</v>
      </c>
      <c r="T1187" t="n">
        <v>1</v>
      </c>
      <c r="U1187" t="n">
        <v>0</v>
      </c>
      <c r="V1187" s="2" t="inlineStr">
        <is>
          <t>Dropptaggsvamp</t>
        </is>
      </c>
      <c r="W1187">
        <f>HYPERLINK("https://klasma.github.io/Logging_0880/artfynd/S 447-2022 artfynd.xlsx", "S 447-2022")</f>
        <v/>
      </c>
      <c r="X1187">
        <f>HYPERLINK("https://klasma.github.io/Logging_0880/kartor/S 447-2022 karta.png", "S 447-2022")</f>
        <v/>
      </c>
      <c r="Y1187">
        <f>HYPERLINK("https://klasma.github.io/Logging_0880/kartor_geotiff/S 447-2022 georefererad karta.tif", "S 447-2022")</f>
        <v/>
      </c>
      <c r="AA1187">
        <f>HYPERLINK("https://klasma.github.io/Logging_0880/klagomål/S 447-2022 FSC-klagomål.docx", "S 447-2022")</f>
        <v/>
      </c>
      <c r="AB1187">
        <f>HYPERLINK("https://klasma.github.io/Logging_0880/klagomålsmail/S 447-2022 FSC-klagomål mail.docx", "S 447-2022")</f>
        <v/>
      </c>
      <c r="AC1187">
        <f>HYPERLINK("https://klasma.github.io/Logging_0880/tillsyn/S 447-2022 tillsynsbegäran.docx", "S 447-2022")</f>
        <v/>
      </c>
      <c r="AD1187">
        <f>HYPERLINK("https://klasma.github.io/Logging_0880/tillsynsmail/S 447-2022 tillsynsbegäran mail.docx", "S 447-2022")</f>
        <v/>
      </c>
    </row>
    <row r="1188" ht="15" customHeight="1">
      <c r="A1188" t="inlineStr">
        <is>
          <t>S 771-2022</t>
        </is>
      </c>
      <c r="B1188" t="inlineStr">
        <is>
          <t>samrådsanmälan</t>
        </is>
      </c>
      <c r="C1188" t="inlineStr">
        <is>
          <t>Askåterföring</t>
        </is>
      </c>
      <c r="D1188" s="1" t="n">
        <v>44602</v>
      </c>
      <c r="E1188" s="1" t="n">
        <v>46323</v>
      </c>
      <c r="F1188" t="inlineStr">
        <is>
          <t>KALMAR LÄN</t>
        </is>
      </c>
      <c r="G1188" t="inlineStr">
        <is>
          <t>HÖGSBY</t>
        </is>
      </c>
      <c r="I1188" t="n">
        <v>129.1</v>
      </c>
      <c r="J1188" t="n">
        <v>0</v>
      </c>
      <c r="K1188" t="n">
        <v>1</v>
      </c>
      <c r="L1188" t="n">
        <v>0</v>
      </c>
      <c r="M1188" t="n">
        <v>0</v>
      </c>
      <c r="N1188" t="n">
        <v>0</v>
      </c>
      <c r="O1188" t="n">
        <v>0</v>
      </c>
      <c r="P1188" t="n">
        <v>0</v>
      </c>
      <c r="Q1188" t="n">
        <v>0</v>
      </c>
      <c r="R1188" t="n">
        <v>0</v>
      </c>
      <c r="S1188" t="n">
        <v>1</v>
      </c>
      <c r="T1188" t="n">
        <v>1</v>
      </c>
      <c r="U1188" t="n">
        <v>1</v>
      </c>
      <c r="V1188" s="2" t="inlineStr">
        <is>
          <t>Ögonpyrola</t>
        </is>
      </c>
      <c r="W1188">
        <f>HYPERLINK("https://klasma.github.io/Logging_0821/artfynd/S 771-2022 artfynd.xlsx", "S 771-2022")</f>
        <v/>
      </c>
      <c r="X1188">
        <f>HYPERLINK("https://klasma.github.io/Logging_0821/kartor/S 771-2022 karta.png", "S 771-2022")</f>
        <v/>
      </c>
      <c r="Y1188">
        <f>HYPERLINK("https://klasma.github.io/Logging_0821/kartor_geotiff/S 771-2022 georefererad karta.tif", "S 771-2022")</f>
        <v/>
      </c>
      <c r="AA1188">
        <f>HYPERLINK("https://klasma.github.io/Logging_0821/klagomål/S 771-2022 FSC-klagomål.docx", "S 771-2022")</f>
        <v/>
      </c>
      <c r="AB1188">
        <f>HYPERLINK("https://klasma.github.io/Logging_0821/klagomålsmail/S 771-2022 FSC-klagomål mail.docx", "S 771-2022")</f>
        <v/>
      </c>
      <c r="AC1188">
        <f>HYPERLINK("https://klasma.github.io/Logging_0821/tillsyn/S 771-2022 tillsynsbegäran.docx", "S 771-2022")</f>
        <v/>
      </c>
      <c r="AD1188">
        <f>HYPERLINK("https://klasma.github.io/Logging_0821/tillsynsmail/S 771-2022 tillsynsbegäran mail.docx", "S 771-2022")</f>
        <v/>
      </c>
    </row>
    <row r="1189" ht="15" customHeight="1">
      <c r="A1189" t="inlineStr">
        <is>
          <t>S 2638-2022</t>
        </is>
      </c>
      <c r="B1189" t="inlineStr">
        <is>
          <t>samrådsanmälan</t>
        </is>
      </c>
      <c r="C1189" t="inlineStr">
        <is>
          <t>Åtgärd i nyckelbiotop</t>
        </is>
      </c>
      <c r="D1189" s="1" t="n">
        <v>44699</v>
      </c>
      <c r="E1189" s="1" t="n">
        <v>46323</v>
      </c>
      <c r="F1189" t="inlineStr">
        <is>
          <t>KALMAR LÄN</t>
        </is>
      </c>
      <c r="G1189" t="inlineStr">
        <is>
          <t>VÄSTERVIK</t>
        </is>
      </c>
      <c r="H1189" t="inlineStr">
        <is>
          <t>Kommuner</t>
        </is>
      </c>
      <c r="I1189" t="n">
        <v>0.4</v>
      </c>
      <c r="J1189" t="n">
        <v>0</v>
      </c>
      <c r="K1189" t="n">
        <v>0</v>
      </c>
      <c r="L1189" t="n">
        <v>1</v>
      </c>
      <c r="M1189" t="n">
        <v>0</v>
      </c>
      <c r="N1189" t="n">
        <v>0</v>
      </c>
      <c r="O1189" t="n">
        <v>0</v>
      </c>
      <c r="P1189" t="n">
        <v>0</v>
      </c>
      <c r="Q1189" t="n">
        <v>1</v>
      </c>
      <c r="R1189" t="n">
        <v>0</v>
      </c>
      <c r="S1189" t="n">
        <v>1</v>
      </c>
      <c r="T1189" t="n">
        <v>2</v>
      </c>
      <c r="U1189" t="n">
        <v>0</v>
      </c>
      <c r="V1189" s="2" t="inlineStr">
        <is>
          <t>Reliktbock</t>
        </is>
      </c>
      <c r="W1189">
        <f>HYPERLINK("https://klasma.github.io/Logging_0883/artfynd/S 2638-2022 artfynd.xlsx", "S 2638-2022")</f>
        <v/>
      </c>
      <c r="X1189">
        <f>HYPERLINK("https://klasma.github.io/Logging_0883/kartor/S 2638-2022 karta.png", "S 2638-2022")</f>
        <v/>
      </c>
      <c r="Y1189">
        <f>HYPERLINK("https://klasma.github.io/Logging_0883/kartor_geotiff/S 2638-2022 georefererad karta.tif", "S 2638-2022")</f>
        <v/>
      </c>
      <c r="AA1189">
        <f>HYPERLINK("https://klasma.github.io/Logging_0883/klagomål/S 2638-2022 FSC-klagomål.docx", "S 2638-2022")</f>
        <v/>
      </c>
      <c r="AB1189">
        <f>HYPERLINK("https://klasma.github.io/Logging_0883/klagomålsmail/S 2638-2022 FSC-klagomål mail.docx", "S 2638-2022")</f>
        <v/>
      </c>
      <c r="AC1189">
        <f>HYPERLINK("https://klasma.github.io/Logging_0883/tillsyn/S 2638-2022 tillsynsbegäran.docx", "S 2638-2022")</f>
        <v/>
      </c>
      <c r="AD1189">
        <f>HYPERLINK("https://klasma.github.io/Logging_0883/tillsynsmail/S 2638-2022 tillsynsbegäran mail.docx", "S 2638-2022")</f>
        <v/>
      </c>
    </row>
    <row r="1190" ht="15" customHeight="1">
      <c r="A1190" t="inlineStr">
        <is>
          <t>S 562-2022</t>
        </is>
      </c>
      <c r="B1190" t="inlineStr">
        <is>
          <t>samrådsanmälan</t>
        </is>
      </c>
      <c r="C1190" t="inlineStr">
        <is>
          <t>Askåterföring</t>
        </is>
      </c>
      <c r="D1190" s="1" t="n">
        <v>44592</v>
      </c>
      <c r="E1190" s="1" t="n">
        <v>46323</v>
      </c>
      <c r="F1190" t="inlineStr">
        <is>
          <t>KALMAR LÄN</t>
        </is>
      </c>
      <c r="G1190" t="inlineStr">
        <is>
          <t>OSKARSHAMN</t>
        </is>
      </c>
      <c r="I1190" t="n">
        <v>18.6</v>
      </c>
      <c r="J1190" t="n">
        <v>0</v>
      </c>
      <c r="K1190" t="n">
        <v>0</v>
      </c>
      <c r="L1190" t="n">
        <v>1</v>
      </c>
      <c r="M1190" t="n">
        <v>0</v>
      </c>
      <c r="N1190" t="n">
        <v>0</v>
      </c>
      <c r="O1190" t="n">
        <v>0</v>
      </c>
      <c r="P1190" t="n">
        <v>0</v>
      </c>
      <c r="Q1190" t="n">
        <v>1</v>
      </c>
      <c r="R1190" t="n">
        <v>0</v>
      </c>
      <c r="S1190" t="n">
        <v>1</v>
      </c>
      <c r="T1190" t="n">
        <v>1</v>
      </c>
      <c r="U1190" t="n">
        <v>0</v>
      </c>
      <c r="V1190" s="2" t="inlineStr">
        <is>
          <t>Gullklöver</t>
        </is>
      </c>
      <c r="W1190">
        <f>HYPERLINK("https://klasma.github.io/Logging_0882/artfynd/S 562-2022 artfynd.xlsx", "S 562-2022")</f>
        <v/>
      </c>
      <c r="X1190">
        <f>HYPERLINK("https://klasma.github.io/Logging_0882/kartor/S 562-2022 karta.png", "S 562-2022")</f>
        <v/>
      </c>
      <c r="Y1190">
        <f>HYPERLINK("https://klasma.github.io/Logging_0882/kartor_geotiff/S 562-2022 georefererad karta.tif", "S 562-2022")</f>
        <v/>
      </c>
      <c r="AA1190">
        <f>HYPERLINK("https://klasma.github.io/Logging_0882/klagomål/S 562-2022 FSC-klagomål.docx", "S 562-2022")</f>
        <v/>
      </c>
      <c r="AB1190">
        <f>HYPERLINK("https://klasma.github.io/Logging_0882/klagomålsmail/S 562-2022 FSC-klagomål mail.docx", "S 562-2022")</f>
        <v/>
      </c>
      <c r="AC1190">
        <f>HYPERLINK("https://klasma.github.io/Logging_0882/tillsyn/S 562-2022 tillsynsbegäran.docx", "S 562-2022")</f>
        <v/>
      </c>
      <c r="AD1190">
        <f>HYPERLINK("https://klasma.github.io/Logging_0882/tillsynsmail/S 562-2022 tillsynsbegäran mail.docx", "S 562-2022")</f>
        <v/>
      </c>
    </row>
    <row r="1191" ht="15" customHeight="1">
      <c r="A1191" t="inlineStr">
        <is>
          <t>S 699-2022</t>
        </is>
      </c>
      <c r="B1191" t="inlineStr">
        <is>
          <t>samrådsanmälan</t>
        </is>
      </c>
      <c r="C1191" t="inlineStr">
        <is>
          <t>Annan skogsbruksåtgärd</t>
        </is>
      </c>
      <c r="D1191" s="1" t="n">
        <v>44596</v>
      </c>
      <c r="E1191" s="1" t="n">
        <v>46323</v>
      </c>
      <c r="F1191" t="inlineStr">
        <is>
          <t>KALMAR LÄN</t>
        </is>
      </c>
      <c r="G1191" t="inlineStr">
        <is>
          <t>VÄSTERVIK</t>
        </is>
      </c>
      <c r="I1191" t="n">
        <v>0.3</v>
      </c>
      <c r="J1191" t="n">
        <v>1</v>
      </c>
      <c r="K1191" t="n">
        <v>0</v>
      </c>
      <c r="L1191" t="n">
        <v>0</v>
      </c>
      <c r="M1191" t="n">
        <v>1</v>
      </c>
      <c r="N1191" t="n">
        <v>0</v>
      </c>
      <c r="O1191" t="n">
        <v>0</v>
      </c>
      <c r="P1191" t="n">
        <v>0</v>
      </c>
      <c r="Q1191" t="n">
        <v>1</v>
      </c>
      <c r="R1191" t="n">
        <v>1</v>
      </c>
      <c r="S1191" t="n">
        <v>1</v>
      </c>
      <c r="T1191" t="n">
        <v>1</v>
      </c>
      <c r="U1191" t="n">
        <v>0</v>
      </c>
      <c r="V1191" s="2" t="inlineStr">
        <is>
          <t>Knärot</t>
        </is>
      </c>
      <c r="W1191">
        <f>HYPERLINK("https://klasma.github.io/Logging_0883/artfynd/S 699-2022 artfynd.xlsx", "S 699-2022")</f>
        <v/>
      </c>
      <c r="X1191">
        <f>HYPERLINK("https://klasma.github.io/Logging_0883/kartor/S 699-2022 karta.png", "S 699-2022")</f>
        <v/>
      </c>
      <c r="Y1191">
        <f>HYPERLINK("https://klasma.github.io/Logging_0883/kartor_geotiff/S 699-2022 georefererad karta.tif", "S 699-2022")</f>
        <v/>
      </c>
      <c r="Z1191">
        <f>HYPERLINK("https://klasma.github.io/Logging_0883/knärot/S 699-2022 karta knärot.png", "S 699-2022")</f>
        <v/>
      </c>
      <c r="AA1191">
        <f>HYPERLINK("https://klasma.github.io/Logging_0883/klagomål/S 699-2022 FSC-klagomål.docx", "S 699-2022")</f>
        <v/>
      </c>
      <c r="AB1191">
        <f>HYPERLINK("https://klasma.github.io/Logging_0883/klagomålsmail/S 699-2022 FSC-klagomål mail.docx", "S 699-2022")</f>
        <v/>
      </c>
      <c r="AC1191">
        <f>HYPERLINK("https://klasma.github.io/Logging_0883/tillsyn/S 699-2022 tillsynsbegäran.docx", "S 699-2022")</f>
        <v/>
      </c>
      <c r="AD1191">
        <f>HYPERLINK("https://klasma.github.io/Logging_0883/tillsynsmail/S 699-2022 tillsynsbegäran mail.docx", "S 699-2022")</f>
        <v/>
      </c>
    </row>
    <row r="1192" ht="15" customHeight="1">
      <c r="A1192" t="inlineStr">
        <is>
          <t>S 2956-2024</t>
        </is>
      </c>
      <c r="B1192" t="inlineStr">
        <is>
          <t>samrådsanmälan</t>
        </is>
      </c>
      <c r="C1192" t="inlineStr">
        <is>
          <t>Askåterföring</t>
        </is>
      </c>
      <c r="D1192" s="1" t="n">
        <v>45509</v>
      </c>
      <c r="E1192" s="1" t="n">
        <v>46323</v>
      </c>
      <c r="F1192" t="inlineStr">
        <is>
          <t>KALMAR LÄN</t>
        </is>
      </c>
      <c r="G1192" t="inlineStr">
        <is>
          <t>EMMABODA</t>
        </is>
      </c>
      <c r="I1192" t="n">
        <v>84</v>
      </c>
      <c r="J1192" t="n">
        <v>0</v>
      </c>
      <c r="K1192" t="n">
        <v>0</v>
      </c>
      <c r="L1192" t="n">
        <v>0</v>
      </c>
      <c r="M1192" t="n">
        <v>1</v>
      </c>
      <c r="N1192" t="n">
        <v>0</v>
      </c>
      <c r="O1192" t="n">
        <v>0</v>
      </c>
      <c r="P1192" t="n">
        <v>0</v>
      </c>
      <c r="Q1192" t="n">
        <v>1</v>
      </c>
      <c r="R1192" t="n">
        <v>1</v>
      </c>
      <c r="S1192" t="n">
        <v>1</v>
      </c>
      <c r="T1192" t="n">
        <v>1</v>
      </c>
      <c r="U1192" t="n">
        <v>1</v>
      </c>
      <c r="V1192" s="2" t="inlineStr">
        <is>
          <t>Trubbdaggkåpa</t>
        </is>
      </c>
      <c r="W1192">
        <f>HYPERLINK("https://klasma.github.io/Logging_0862/artfynd/S 2956-2024 artfynd.xlsx", "S 2956-2024")</f>
        <v/>
      </c>
      <c r="X1192">
        <f>HYPERLINK("https://klasma.github.io/Logging_0862/kartor/S 2956-2024 karta.png", "S 2956-2024")</f>
        <v/>
      </c>
      <c r="Y1192">
        <f>HYPERLINK("https://klasma.github.io/Logging_0862/kartor_geotiff/S 2956-2024 georefererad karta.tif", "S 2956-2024")</f>
        <v/>
      </c>
      <c r="AA1192">
        <f>HYPERLINK("https://klasma.github.io/Logging_0862/klagomål/S 2956-2024 FSC-klagomål.docx", "S 2956-2024")</f>
        <v/>
      </c>
      <c r="AB1192">
        <f>HYPERLINK("https://klasma.github.io/Logging_0862/klagomålsmail/S 2956-2024 FSC-klagomål mail.docx", "S 2956-2024")</f>
        <v/>
      </c>
      <c r="AC1192">
        <f>HYPERLINK("https://klasma.github.io/Logging_0862/tillsyn/S 2956-2024 tillsynsbegäran.docx", "S 2956-2024")</f>
        <v/>
      </c>
      <c r="AD1192">
        <f>HYPERLINK("https://klasma.github.io/Logging_0862/tillsynsmail/S 2956-2024 tillsynsbegäran mail.docx", "S 2956-2024")</f>
        <v/>
      </c>
    </row>
    <row r="1193" ht="15" customHeight="1">
      <c r="A1193" t="inlineStr">
        <is>
          <t>S 3134-2023</t>
        </is>
      </c>
      <c r="B1193" t="inlineStr">
        <is>
          <t>samrådsanmälan</t>
        </is>
      </c>
      <c r="C1193" t="inlineStr">
        <is>
          <t>Annan skogsbruksåtgärd</t>
        </is>
      </c>
      <c r="D1193" s="1" t="n">
        <v>45188</v>
      </c>
      <c r="E1193" s="1" t="n">
        <v>46323</v>
      </c>
      <c r="F1193" t="inlineStr">
        <is>
          <t>KALMAR LÄN</t>
        </is>
      </c>
      <c r="G1193" t="inlineStr">
        <is>
          <t>VÄSTERVIK</t>
        </is>
      </c>
      <c r="H1193" t="inlineStr">
        <is>
          <t>Kommuner</t>
        </is>
      </c>
      <c r="I1193" t="n">
        <v>0.3</v>
      </c>
      <c r="J1193" t="n">
        <v>0</v>
      </c>
      <c r="K1193" t="n">
        <v>1</v>
      </c>
      <c r="L1193" t="n">
        <v>0</v>
      </c>
      <c r="M1193" t="n">
        <v>0</v>
      </c>
      <c r="N1193" t="n">
        <v>0</v>
      </c>
      <c r="O1193" t="n">
        <v>0</v>
      </c>
      <c r="P1193" t="n">
        <v>0</v>
      </c>
      <c r="Q1193" t="n">
        <v>0</v>
      </c>
      <c r="R1193" t="n">
        <v>0</v>
      </c>
      <c r="S1193" t="n">
        <v>1</v>
      </c>
      <c r="T1193" t="n">
        <v>1</v>
      </c>
      <c r="U1193" t="n">
        <v>0</v>
      </c>
      <c r="V1193" s="2" t="inlineStr">
        <is>
          <t>Sotlav</t>
        </is>
      </c>
      <c r="W1193">
        <f>HYPERLINK("https://klasma.github.io/Logging_0883/artfynd/S 3134-2023 artfynd.xlsx", "S 3134-2023")</f>
        <v/>
      </c>
      <c r="X1193">
        <f>HYPERLINK("https://klasma.github.io/Logging_0883/kartor/S 3134-2023 karta.png", "S 3134-2023")</f>
        <v/>
      </c>
      <c r="Y1193">
        <f>HYPERLINK("https://klasma.github.io/Logging_0883/kartor_geotiff/S 3134-2023 georefererad karta.tif", "S 3134-2023")</f>
        <v/>
      </c>
      <c r="AA1193">
        <f>HYPERLINK("https://klasma.github.io/Logging_0883/klagomål/S 3134-2023 FSC-klagomål.docx", "S 3134-2023")</f>
        <v/>
      </c>
      <c r="AB1193">
        <f>HYPERLINK("https://klasma.github.io/Logging_0883/klagomålsmail/S 3134-2023 FSC-klagomål mail.docx", "S 3134-2023")</f>
        <v/>
      </c>
      <c r="AC1193">
        <f>HYPERLINK("https://klasma.github.io/Logging_0883/tillsyn/S 3134-2023 tillsynsbegäran.docx", "S 3134-2023")</f>
        <v/>
      </c>
      <c r="AD1193">
        <f>HYPERLINK("https://klasma.github.io/Logging_0883/tillsynsmail/S 3134-2023 tillsynsbegäran mail.docx", "S 3134-2023")</f>
        <v/>
      </c>
    </row>
    <row r="1194" ht="15" customHeight="1">
      <c r="A1194" t="inlineStr">
        <is>
          <t>S 1032-2024</t>
        </is>
      </c>
      <c r="B1194" t="inlineStr">
        <is>
          <t>samrådsanmälan</t>
        </is>
      </c>
      <c r="C1194" t="inlineStr">
        <is>
          <t>Askåterföring</t>
        </is>
      </c>
      <c r="D1194" s="1" t="n">
        <v>45387</v>
      </c>
      <c r="E1194" s="1" t="n">
        <v>46323</v>
      </c>
      <c r="F1194" t="inlineStr">
        <is>
          <t>KALMAR LÄN</t>
        </is>
      </c>
      <c r="G1194" t="inlineStr">
        <is>
          <t>EMMABODA</t>
        </is>
      </c>
      <c r="I1194" t="n">
        <v>20.3</v>
      </c>
      <c r="J1194" t="n">
        <v>1</v>
      </c>
      <c r="K1194" t="n">
        <v>0</v>
      </c>
      <c r="L1194" t="n">
        <v>0</v>
      </c>
      <c r="M1194" t="n">
        <v>0</v>
      </c>
      <c r="N1194" t="n">
        <v>0</v>
      </c>
      <c r="O1194" t="n">
        <v>0</v>
      </c>
      <c r="P1194" t="n">
        <v>0</v>
      </c>
      <c r="Q1194" t="n">
        <v>0</v>
      </c>
      <c r="R1194" t="n">
        <v>0</v>
      </c>
      <c r="S1194" t="n">
        <v>1</v>
      </c>
      <c r="T1194" t="n">
        <v>1</v>
      </c>
      <c r="U1194" t="n">
        <v>0</v>
      </c>
      <c r="V1194" s="2" t="inlineStr">
        <is>
          <t>Spillkråka</t>
        </is>
      </c>
      <c r="W1194">
        <f>HYPERLINK("https://klasma.github.io/Logging_0862/artfynd/S 1032-2024 artfynd.xlsx", "S 1032-2024")</f>
        <v/>
      </c>
      <c r="X1194">
        <f>HYPERLINK("https://klasma.github.io/Logging_0862/kartor/S 1032-2024 karta.png", "S 1032-2024")</f>
        <v/>
      </c>
      <c r="Y1194">
        <f>HYPERLINK("https://klasma.github.io/Logging_0862/kartor_geotiff/S 1032-2024 georefererad karta.tif", "S 1032-2024")</f>
        <v/>
      </c>
      <c r="AA1194">
        <f>HYPERLINK("https://klasma.github.io/Logging_0862/klagomål/S 1032-2024 FSC-klagomål.docx", "S 1032-2024")</f>
        <v/>
      </c>
      <c r="AB1194">
        <f>HYPERLINK("https://klasma.github.io/Logging_0862/klagomålsmail/S 1032-2024 FSC-klagomål mail.docx", "S 1032-2024")</f>
        <v/>
      </c>
      <c r="AC1194">
        <f>HYPERLINK("https://klasma.github.io/Logging_0862/tillsyn/S 1032-2024 tillsynsbegäran.docx", "S 1032-2024")</f>
        <v/>
      </c>
      <c r="AD1194">
        <f>HYPERLINK("https://klasma.github.io/Logging_0862/tillsynsmail/S 1032-2024 tillsynsbegäran mail.docx", "S 1032-2024")</f>
        <v/>
      </c>
      <c r="AE1194">
        <f>HYPERLINK("https://klasma.github.io/Logging_0862/fåglar/S 1032-2024 prioriterade fågelarter.docx", "S 1032-2024")</f>
        <v/>
      </c>
    </row>
    <row r="1195" ht="15" customHeight="1">
      <c r="A1195" t="inlineStr">
        <is>
          <t>S 4235-2023</t>
        </is>
      </c>
      <c r="B1195" t="inlineStr">
        <is>
          <t>samrådsanmälan</t>
        </is>
      </c>
      <c r="C1195" t="inlineStr">
        <is>
          <t>Annan skogsbruksåtgärd</t>
        </is>
      </c>
      <c r="D1195" s="1" t="n">
        <v>45253</v>
      </c>
      <c r="E1195" s="1" t="n">
        <v>46323</v>
      </c>
      <c r="F1195" t="inlineStr">
        <is>
          <t>KALMAR LÄN</t>
        </is>
      </c>
      <c r="G1195" t="inlineStr">
        <is>
          <t>TORSÅS</t>
        </is>
      </c>
      <c r="I1195" t="n">
        <v>1.7</v>
      </c>
      <c r="J1195" t="n">
        <v>0</v>
      </c>
      <c r="K1195" t="n">
        <v>1</v>
      </c>
      <c r="L1195" t="n">
        <v>0</v>
      </c>
      <c r="M1195" t="n">
        <v>0</v>
      </c>
      <c r="N1195" t="n">
        <v>0</v>
      </c>
      <c r="O1195" t="n">
        <v>0</v>
      </c>
      <c r="P1195" t="n">
        <v>0</v>
      </c>
      <c r="Q1195" t="n">
        <v>0</v>
      </c>
      <c r="R1195" t="n">
        <v>0</v>
      </c>
      <c r="S1195" t="n">
        <v>1</v>
      </c>
      <c r="T1195" t="n">
        <v>1</v>
      </c>
      <c r="U1195" t="n">
        <v>1</v>
      </c>
      <c r="V1195" s="2" t="inlineStr">
        <is>
          <t>Murgröna</t>
        </is>
      </c>
      <c r="W1195">
        <f>HYPERLINK("https://klasma.github.io/Logging_0834/artfynd/S 4235-2023 artfynd.xlsx", "S 4235-2023")</f>
        <v/>
      </c>
      <c r="X1195">
        <f>HYPERLINK("https://klasma.github.io/Logging_0834/kartor/S 4235-2023 karta.png", "S 4235-2023")</f>
        <v/>
      </c>
      <c r="Y1195">
        <f>HYPERLINK("https://klasma.github.io/Logging_0834/kartor_geotiff/S 4235-2023 georefererad karta.tif", "S 4235-2023")</f>
        <v/>
      </c>
      <c r="AA1195">
        <f>HYPERLINK("https://klasma.github.io/Logging_0834/klagomål/S 4235-2023 FSC-klagomål.docx", "S 4235-2023")</f>
        <v/>
      </c>
      <c r="AB1195">
        <f>HYPERLINK("https://klasma.github.io/Logging_0834/klagomålsmail/S 4235-2023 FSC-klagomål mail.docx", "S 4235-2023")</f>
        <v/>
      </c>
      <c r="AC1195">
        <f>HYPERLINK("https://klasma.github.io/Logging_0834/tillsyn/S 4235-2023 tillsynsbegäran.docx", "S 4235-2023")</f>
        <v/>
      </c>
      <c r="AD1195">
        <f>HYPERLINK("https://klasma.github.io/Logging_0834/tillsynsmail/S 4235-2023 tillsynsbegäran mail.docx", "S 4235-2023")</f>
        <v/>
      </c>
    </row>
    <row r="1196" ht="15" customHeight="1">
      <c r="A1196" t="inlineStr">
        <is>
          <t>S 4798-2022</t>
        </is>
      </c>
      <c r="B1196" t="inlineStr">
        <is>
          <t>samrådsanmälan</t>
        </is>
      </c>
      <c r="C1196" t="inlineStr">
        <is>
          <t>Åtgärd i nyckelbiotop</t>
        </is>
      </c>
      <c r="D1196" s="1" t="n">
        <v>44803</v>
      </c>
      <c r="E1196" s="1" t="n">
        <v>46323</v>
      </c>
      <c r="F1196" t="inlineStr">
        <is>
          <t>KALMAR LÄN</t>
        </is>
      </c>
      <c r="G1196" t="inlineStr">
        <is>
          <t>VIMMERBY</t>
        </is>
      </c>
      <c r="I1196" t="n">
        <v>1.2</v>
      </c>
      <c r="J1196" t="n">
        <v>0</v>
      </c>
      <c r="K1196" t="n">
        <v>0</v>
      </c>
      <c r="L1196" t="n">
        <v>1</v>
      </c>
      <c r="M1196" t="n">
        <v>0</v>
      </c>
      <c r="N1196" t="n">
        <v>0</v>
      </c>
      <c r="O1196" t="n">
        <v>0</v>
      </c>
      <c r="P1196" t="n">
        <v>0</v>
      </c>
      <c r="Q1196" t="n">
        <v>1</v>
      </c>
      <c r="R1196" t="n">
        <v>0</v>
      </c>
      <c r="S1196" t="n">
        <v>1</v>
      </c>
      <c r="T1196" t="n">
        <v>1</v>
      </c>
      <c r="U1196" t="n">
        <v>1</v>
      </c>
      <c r="V1196" s="2" t="inlineStr">
        <is>
          <t>Vårärt</t>
        </is>
      </c>
      <c r="W1196">
        <f>HYPERLINK("https://klasma.github.io/Logging_0884/artfynd/S 4798-2022 artfynd.xlsx", "S 4798-2022")</f>
        <v/>
      </c>
      <c r="X1196">
        <f>HYPERLINK("https://klasma.github.io/Logging_0884/kartor/S 4798-2022 karta.png", "S 4798-2022")</f>
        <v/>
      </c>
      <c r="Y1196">
        <f>HYPERLINK("https://klasma.github.io/Logging_0884/kartor_geotiff/S 4798-2022 georefererad karta.tif", "S 4798-2022")</f>
        <v/>
      </c>
      <c r="AA1196">
        <f>HYPERLINK("https://klasma.github.io/Logging_0884/klagomål/S 4798-2022 FSC-klagomål.docx", "S 4798-2022")</f>
        <v/>
      </c>
      <c r="AB1196">
        <f>HYPERLINK("https://klasma.github.io/Logging_0884/klagomålsmail/S 4798-2022 FSC-klagomål mail.docx", "S 4798-2022")</f>
        <v/>
      </c>
      <c r="AC1196">
        <f>HYPERLINK("https://klasma.github.io/Logging_0884/tillsyn/S 4798-2022 tillsynsbegäran.docx", "S 4798-2022")</f>
        <v/>
      </c>
      <c r="AD1196">
        <f>HYPERLINK("https://klasma.github.io/Logging_0884/tillsynsmail/S 4798-2022 tillsynsbegäran mail.docx", "S 4798-2022")</f>
        <v/>
      </c>
    </row>
    <row r="1197" ht="15" customHeight="1">
      <c r="A1197" t="inlineStr">
        <is>
          <t>S 1065-2024</t>
        </is>
      </c>
      <c r="B1197" t="inlineStr">
        <is>
          <t>samrådsanmälan</t>
        </is>
      </c>
      <c r="C1197" t="inlineStr">
        <is>
          <t>Askåterföring</t>
        </is>
      </c>
      <c r="D1197" s="1" t="n">
        <v>45387</v>
      </c>
      <c r="E1197" s="1" t="n">
        <v>46323</v>
      </c>
      <c r="F1197" t="inlineStr">
        <is>
          <t>KALMAR LÄN</t>
        </is>
      </c>
      <c r="G1197" t="inlineStr">
        <is>
          <t>TORSÅS</t>
        </is>
      </c>
      <c r="I1197" t="n">
        <v>44.1</v>
      </c>
      <c r="J1197" t="n">
        <v>1</v>
      </c>
      <c r="K1197" t="n">
        <v>0</v>
      </c>
      <c r="L1197" t="n">
        <v>0</v>
      </c>
      <c r="M1197" t="n">
        <v>0</v>
      </c>
      <c r="N1197" t="n">
        <v>0</v>
      </c>
      <c r="O1197" t="n">
        <v>0</v>
      </c>
      <c r="P1197" t="n">
        <v>0</v>
      </c>
      <c r="Q1197" t="n">
        <v>0</v>
      </c>
      <c r="R1197" t="n">
        <v>0</v>
      </c>
      <c r="S1197" t="n">
        <v>1</v>
      </c>
      <c r="T1197" t="n">
        <v>1</v>
      </c>
      <c r="U1197" t="n">
        <v>0</v>
      </c>
      <c r="V1197" s="2" t="inlineStr">
        <is>
          <t>Fläcknycklar</t>
        </is>
      </c>
      <c r="W1197">
        <f>HYPERLINK("https://klasma.github.io/Logging_0834/artfynd/S 1065-2024 artfynd.xlsx", "S 1065-2024")</f>
        <v/>
      </c>
      <c r="X1197">
        <f>HYPERLINK("https://klasma.github.io/Logging_0834/kartor/S 1065-2024 karta.png", "S 1065-2024")</f>
        <v/>
      </c>
      <c r="Y1197">
        <f>HYPERLINK("https://klasma.github.io/Logging_0834/kartor_geotiff/S 1065-2024 georefererad karta.tif", "S 1065-2024")</f>
        <v/>
      </c>
      <c r="AA1197">
        <f>HYPERLINK("https://klasma.github.io/Logging_0834/klagomål/S 1065-2024 FSC-klagomål.docx", "S 1065-2024")</f>
        <v/>
      </c>
      <c r="AB1197">
        <f>HYPERLINK("https://klasma.github.io/Logging_0834/klagomålsmail/S 1065-2024 FSC-klagomål mail.docx", "S 1065-2024")</f>
        <v/>
      </c>
      <c r="AC1197">
        <f>HYPERLINK("https://klasma.github.io/Logging_0834/tillsyn/S 1065-2024 tillsynsbegäran.docx", "S 1065-2024")</f>
        <v/>
      </c>
      <c r="AD1197">
        <f>HYPERLINK("https://klasma.github.io/Logging_0834/tillsynsmail/S 1065-2024 tillsynsbegäran mail.docx", "S 1065-2024")</f>
        <v/>
      </c>
    </row>
    <row r="1198" ht="15" customHeight="1">
      <c r="A1198" t="inlineStr">
        <is>
          <t>S 1882-2023</t>
        </is>
      </c>
      <c r="B1198" t="inlineStr">
        <is>
          <t>samrådsanmälan</t>
        </is>
      </c>
      <c r="C1198" t="inlineStr">
        <is>
          <t>Annan skogsbruksåtgärd</t>
        </is>
      </c>
      <c r="D1198" s="1" t="n">
        <v>45082</v>
      </c>
      <c r="E1198" s="1" t="n">
        <v>46323</v>
      </c>
      <c r="F1198" t="inlineStr">
        <is>
          <t>KALMAR LÄN</t>
        </is>
      </c>
      <c r="G1198" t="inlineStr">
        <is>
          <t>VÄSTERVIK</t>
        </is>
      </c>
      <c r="H1198" t="inlineStr">
        <is>
          <t>Kommuner</t>
        </is>
      </c>
      <c r="I1198" t="n">
        <v>0.5</v>
      </c>
      <c r="J1198" t="n">
        <v>1</v>
      </c>
      <c r="K1198" t="n">
        <v>0</v>
      </c>
      <c r="L1198" t="n">
        <v>1</v>
      </c>
      <c r="M1198" t="n">
        <v>0</v>
      </c>
      <c r="N1198" t="n">
        <v>0</v>
      </c>
      <c r="O1198" t="n">
        <v>0</v>
      </c>
      <c r="P1198" t="n">
        <v>0</v>
      </c>
      <c r="Q1198" t="n">
        <v>1</v>
      </c>
      <c r="R1198" t="n">
        <v>0</v>
      </c>
      <c r="S1198" t="n">
        <v>1</v>
      </c>
      <c r="T1198" t="n">
        <v>1</v>
      </c>
      <c r="U1198" t="n">
        <v>1</v>
      </c>
      <c r="V1198" s="2" t="inlineStr">
        <is>
          <t>Mindre hackspett</t>
        </is>
      </c>
      <c r="W1198">
        <f>HYPERLINK("https://klasma.github.io/Logging_0883/artfynd/S 1882-2023 artfynd.xlsx", "S 1882-2023")</f>
        <v/>
      </c>
      <c r="X1198">
        <f>HYPERLINK("https://klasma.github.io/Logging_0883/kartor/S 1882-2023 karta.png", "S 1882-2023")</f>
        <v/>
      </c>
      <c r="Y1198">
        <f>HYPERLINK("https://klasma.github.io/Logging_0883/kartor_geotiff/S 1882-2023 georefererad karta.tif", "S 1882-2023")</f>
        <v/>
      </c>
      <c r="AA1198">
        <f>HYPERLINK("https://klasma.github.io/Logging_0883/klagomål/S 1882-2023 FSC-klagomål.docx", "S 1882-2023")</f>
        <v/>
      </c>
      <c r="AB1198">
        <f>HYPERLINK("https://klasma.github.io/Logging_0883/klagomålsmail/S 1882-2023 FSC-klagomål mail.docx", "S 1882-2023")</f>
        <v/>
      </c>
      <c r="AC1198">
        <f>HYPERLINK("https://klasma.github.io/Logging_0883/tillsyn/S 1882-2023 tillsynsbegäran.docx", "S 1882-2023")</f>
        <v/>
      </c>
      <c r="AD1198">
        <f>HYPERLINK("https://klasma.github.io/Logging_0883/tillsynsmail/S 1882-2023 tillsynsbegäran mail.docx", "S 1882-2023")</f>
        <v/>
      </c>
      <c r="AE1198">
        <f>HYPERLINK("https://klasma.github.io/Logging_0883/fåglar/S 1882-2023 prioriterade fågelarter.docx", "S 1882-2023")</f>
        <v/>
      </c>
    </row>
    <row r="1199" ht="15" customHeight="1">
      <c r="A1199" t="inlineStr">
        <is>
          <t>S 1518-2023</t>
        </is>
      </c>
      <c r="B1199" t="inlineStr">
        <is>
          <t>samrådsanmälan</t>
        </is>
      </c>
      <c r="C1199" t="inlineStr">
        <is>
          <t>Annan skogsbruksåtgärd</t>
        </is>
      </c>
      <c r="D1199" s="1" t="n">
        <v>45055</v>
      </c>
      <c r="E1199" s="1" t="n">
        <v>46323</v>
      </c>
      <c r="F1199" t="inlineStr">
        <is>
          <t>KALMAR LÄN</t>
        </is>
      </c>
      <c r="G1199" t="inlineStr">
        <is>
          <t>VÄSTERVIK</t>
        </is>
      </c>
      <c r="H1199" t="inlineStr">
        <is>
          <t>Kommuner</t>
        </is>
      </c>
      <c r="I1199" t="n">
        <v>9.6</v>
      </c>
      <c r="J1199" t="n">
        <v>1</v>
      </c>
      <c r="K1199" t="n">
        <v>0</v>
      </c>
      <c r="L1199" t="n">
        <v>1</v>
      </c>
      <c r="M1199" t="n">
        <v>0</v>
      </c>
      <c r="N1199" t="n">
        <v>0</v>
      </c>
      <c r="O1199" t="n">
        <v>0</v>
      </c>
      <c r="P1199" t="n">
        <v>0</v>
      </c>
      <c r="Q1199" t="n">
        <v>1</v>
      </c>
      <c r="R1199" t="n">
        <v>0</v>
      </c>
      <c r="S1199" t="n">
        <v>1</v>
      </c>
      <c r="T1199" t="n">
        <v>1</v>
      </c>
      <c r="U1199" t="n">
        <v>0</v>
      </c>
      <c r="V1199" s="2" t="inlineStr">
        <is>
          <t>Kungsfiskare</t>
        </is>
      </c>
      <c r="W1199">
        <f>HYPERLINK("https://klasma.github.io/Logging_0883/artfynd/S 1518-2023 artfynd.xlsx", "S 1518-2023")</f>
        <v/>
      </c>
      <c r="X1199">
        <f>HYPERLINK("https://klasma.github.io/Logging_0883/kartor/S 1518-2023 karta.png", "S 1518-2023")</f>
        <v/>
      </c>
      <c r="Y1199">
        <f>HYPERLINK("https://klasma.github.io/Logging_0883/kartor_geotiff/S 1518-2023 georefererad karta.tif", "S 1518-2023")</f>
        <v/>
      </c>
      <c r="AA1199">
        <f>HYPERLINK("https://klasma.github.io/Logging_0883/klagomål/S 1518-2023 FSC-klagomål.docx", "S 1518-2023")</f>
        <v/>
      </c>
      <c r="AB1199">
        <f>HYPERLINK("https://klasma.github.io/Logging_0883/klagomålsmail/S 1518-2023 FSC-klagomål mail.docx", "S 1518-2023")</f>
        <v/>
      </c>
      <c r="AC1199">
        <f>HYPERLINK("https://klasma.github.io/Logging_0883/tillsyn/S 1518-2023 tillsynsbegäran.docx", "S 1518-2023")</f>
        <v/>
      </c>
      <c r="AD1199">
        <f>HYPERLINK("https://klasma.github.io/Logging_0883/tillsynsmail/S 1518-2023 tillsynsbegäran mail.docx", "S 1518-2023")</f>
        <v/>
      </c>
    </row>
    <row r="1200" ht="15" customHeight="1">
      <c r="A1200" t="inlineStr">
        <is>
          <t>S 4798-2024</t>
        </is>
      </c>
      <c r="B1200" t="inlineStr">
        <is>
          <t>samrådsanmälan</t>
        </is>
      </c>
      <c r="C1200" t="inlineStr">
        <is>
          <t>Askåterföring</t>
        </is>
      </c>
      <c r="D1200" s="1" t="n">
        <v>45611</v>
      </c>
      <c r="E1200" s="1" t="n">
        <v>46323</v>
      </c>
      <c r="F1200" t="inlineStr">
        <is>
          <t>KALMAR LÄN</t>
        </is>
      </c>
      <c r="G1200" t="inlineStr">
        <is>
          <t>EMMABODA</t>
        </is>
      </c>
      <c r="I1200" t="n">
        <v>10.2</v>
      </c>
      <c r="J1200" t="n">
        <v>1</v>
      </c>
      <c r="K1200" t="n">
        <v>0</v>
      </c>
      <c r="L1200" t="n">
        <v>0</v>
      </c>
      <c r="M1200" t="n">
        <v>0</v>
      </c>
      <c r="N1200" t="n">
        <v>0</v>
      </c>
      <c r="O1200" t="n">
        <v>0</v>
      </c>
      <c r="P1200" t="n">
        <v>0</v>
      </c>
      <c r="Q1200" t="n">
        <v>0</v>
      </c>
      <c r="R1200" t="n">
        <v>0</v>
      </c>
      <c r="S1200" t="n">
        <v>1</v>
      </c>
      <c r="T1200" t="n">
        <v>1</v>
      </c>
      <c r="U1200" t="n">
        <v>1</v>
      </c>
      <c r="V1200" s="2" t="inlineStr">
        <is>
          <t>Tjäder</t>
        </is>
      </c>
      <c r="W1200">
        <f>HYPERLINK("https://klasma.github.io/Logging_0862/artfynd/S 4798-2024 artfynd.xlsx", "S 4798-2024")</f>
        <v/>
      </c>
      <c r="X1200">
        <f>HYPERLINK("https://klasma.github.io/Logging_0862/kartor/S 4798-2024 karta.png", "S 4798-2024")</f>
        <v/>
      </c>
      <c r="Y1200">
        <f>HYPERLINK("https://klasma.github.io/Logging_0862/kartor_geotiff/S 4798-2024 georefererad karta.tif", "S 4798-2024")</f>
        <v/>
      </c>
      <c r="AA1200">
        <f>HYPERLINK("https://klasma.github.io/Logging_0862/klagomål/S 4798-2024 FSC-klagomål.docx", "S 4798-2024")</f>
        <v/>
      </c>
      <c r="AB1200">
        <f>HYPERLINK("https://klasma.github.io/Logging_0862/klagomålsmail/S 4798-2024 FSC-klagomål mail.docx", "S 4798-2024")</f>
        <v/>
      </c>
      <c r="AC1200">
        <f>HYPERLINK("https://klasma.github.io/Logging_0862/tillsyn/S 4798-2024 tillsynsbegäran.docx", "S 4798-2024")</f>
        <v/>
      </c>
      <c r="AD1200">
        <f>HYPERLINK("https://klasma.github.io/Logging_0862/tillsynsmail/S 4798-2024 tillsynsbegäran mail.docx", "S 4798-2024")</f>
        <v/>
      </c>
      <c r="AE1200">
        <f>HYPERLINK("https://klasma.github.io/Logging_0862/fåglar/S 4798-2024 prioriterade fågelarter.docx", "S 4798-2024")</f>
        <v/>
      </c>
    </row>
    <row r="1201" ht="15" customHeight="1">
      <c r="A1201" t="inlineStr">
        <is>
          <t>S 352-2023</t>
        </is>
      </c>
      <c r="B1201" t="inlineStr">
        <is>
          <t>samrådsanmälan</t>
        </is>
      </c>
      <c r="C1201" t="inlineStr">
        <is>
          <t>Askåterföring</t>
        </is>
      </c>
      <c r="D1201" s="1" t="n">
        <v>44958</v>
      </c>
      <c r="E1201" s="1" t="n">
        <v>46323</v>
      </c>
      <c r="F1201" t="inlineStr">
        <is>
          <t>KALMAR LÄN</t>
        </is>
      </c>
      <c r="G1201" t="inlineStr">
        <is>
          <t>HÖGSBY</t>
        </is>
      </c>
      <c r="I1201" t="n">
        <v>20.9</v>
      </c>
      <c r="J1201" t="n">
        <v>1</v>
      </c>
      <c r="K1201" t="n">
        <v>0</v>
      </c>
      <c r="L1201" t="n">
        <v>0</v>
      </c>
      <c r="M1201" t="n">
        <v>0</v>
      </c>
      <c r="N1201" t="n">
        <v>0</v>
      </c>
      <c r="O1201" t="n">
        <v>0</v>
      </c>
      <c r="P1201" t="n">
        <v>0</v>
      </c>
      <c r="Q1201" t="n">
        <v>0</v>
      </c>
      <c r="R1201" t="n">
        <v>0</v>
      </c>
      <c r="S1201" t="n">
        <v>1</v>
      </c>
      <c r="T1201" t="n">
        <v>1</v>
      </c>
      <c r="U1201" t="n">
        <v>1</v>
      </c>
      <c r="V1201" s="2" t="inlineStr">
        <is>
          <t>Tjäder</t>
        </is>
      </c>
      <c r="W1201">
        <f>HYPERLINK("https://klasma.github.io/Logging_0821/artfynd/S 352-2023 artfynd.xlsx", "S 352-2023")</f>
        <v/>
      </c>
      <c r="X1201">
        <f>HYPERLINK("https://klasma.github.io/Logging_0821/kartor/S 352-2023 karta.png", "S 352-2023")</f>
        <v/>
      </c>
      <c r="Y1201">
        <f>HYPERLINK("https://klasma.github.io/Logging_0821/kartor_geotiff/S 352-2023 georefererad karta.tif", "S 352-2023")</f>
        <v/>
      </c>
      <c r="Z1201">
        <f>HYPERLINK("https://klasma.github.io/Logging_0821/knärot/S 352-2023 karta knärot.png", "S 352-2023")</f>
        <v/>
      </c>
      <c r="AA1201">
        <f>HYPERLINK("https://klasma.github.io/Logging_0821/klagomål/S 352-2023 FSC-klagomål.docx", "S 352-2023")</f>
        <v/>
      </c>
      <c r="AB1201">
        <f>HYPERLINK("https://klasma.github.io/Logging_0821/klagomålsmail/S 352-2023 FSC-klagomål mail.docx", "S 352-2023")</f>
        <v/>
      </c>
      <c r="AC1201">
        <f>HYPERLINK("https://klasma.github.io/Logging_0821/tillsyn/S 352-2023 tillsynsbegäran.docx", "S 352-2023")</f>
        <v/>
      </c>
      <c r="AD1201">
        <f>HYPERLINK("https://klasma.github.io/Logging_0821/tillsynsmail/S 352-2023 tillsynsbegäran mail.docx", "S 352-2023")</f>
        <v/>
      </c>
      <c r="AE1201">
        <f>HYPERLINK("https://klasma.github.io/Logging_0821/fåglar/S 352-2023 prioriterade fågelarter.docx", "S 352-2023")</f>
        <v/>
      </c>
    </row>
    <row r="1202" ht="15" customHeight="1">
      <c r="A1202" t="inlineStr">
        <is>
          <t>S 1845-2024</t>
        </is>
      </c>
      <c r="B1202" t="inlineStr">
        <is>
          <t>samrådsanmälan</t>
        </is>
      </c>
      <c r="C1202" t="inlineStr">
        <is>
          <t>Askåterföring</t>
        </is>
      </c>
      <c r="D1202" s="1" t="n">
        <v>45440</v>
      </c>
      <c r="E1202" s="1" t="n">
        <v>46323</v>
      </c>
      <c r="F1202" t="inlineStr">
        <is>
          <t>KALMAR LÄN</t>
        </is>
      </c>
      <c r="G1202" t="inlineStr">
        <is>
          <t>TORSÅS</t>
        </is>
      </c>
      <c r="I1202" t="n">
        <v>14.6</v>
      </c>
      <c r="J1202" t="n">
        <v>1</v>
      </c>
      <c r="K1202" t="n">
        <v>0</v>
      </c>
      <c r="L1202" t="n">
        <v>0</v>
      </c>
      <c r="M1202" t="n">
        <v>0</v>
      </c>
      <c r="N1202" t="n">
        <v>0</v>
      </c>
      <c r="O1202" t="n">
        <v>0</v>
      </c>
      <c r="P1202" t="n">
        <v>0</v>
      </c>
      <c r="Q1202" t="n">
        <v>0</v>
      </c>
      <c r="R1202" t="n">
        <v>0</v>
      </c>
      <c r="S1202" t="n">
        <v>1</v>
      </c>
      <c r="T1202" t="n">
        <v>1</v>
      </c>
      <c r="U1202" t="n">
        <v>0</v>
      </c>
      <c r="V1202" s="2" t="inlineStr">
        <is>
          <t>Långbensgroda</t>
        </is>
      </c>
      <c r="W1202">
        <f>HYPERLINK("https://klasma.github.io/Logging_0834/artfynd/S 1845-2024 artfynd.xlsx", "S 1845-2024")</f>
        <v/>
      </c>
      <c r="X1202">
        <f>HYPERLINK("https://klasma.github.io/Logging_0834/kartor/S 1845-2024 karta.png", "S 1845-2024")</f>
        <v/>
      </c>
      <c r="Y1202">
        <f>HYPERLINK("https://klasma.github.io/Logging_0834/kartor_geotiff/S 1845-2024 georefererad karta.tif", "S 1845-2024")</f>
        <v/>
      </c>
      <c r="AA1202">
        <f>HYPERLINK("https://klasma.github.io/Logging_0834/klagomål/S 1845-2024 FSC-klagomål.docx", "S 1845-2024")</f>
        <v/>
      </c>
      <c r="AB1202">
        <f>HYPERLINK("https://klasma.github.io/Logging_0834/klagomålsmail/S 1845-2024 FSC-klagomål mail.docx", "S 1845-2024")</f>
        <v/>
      </c>
      <c r="AC1202">
        <f>HYPERLINK("https://klasma.github.io/Logging_0834/tillsyn/S 1845-2024 tillsynsbegäran.docx", "S 1845-2024")</f>
        <v/>
      </c>
      <c r="AD1202">
        <f>HYPERLINK("https://klasma.github.io/Logging_0834/tillsynsmail/S 1845-2024 tillsynsbegäran mail.docx", "S 1845-2024")</f>
        <v/>
      </c>
    </row>
    <row r="1203" ht="15" customHeight="1">
      <c r="A1203" t="inlineStr">
        <is>
          <t>S 86-2025</t>
        </is>
      </c>
      <c r="B1203" t="inlineStr">
        <is>
          <t>samrådsanmälan</t>
        </is>
      </c>
      <c r="C1203" t="inlineStr">
        <is>
          <t>Annan skogsbruksåtgärd</t>
        </is>
      </c>
      <c r="D1203" s="1" t="n">
        <v>45671</v>
      </c>
      <c r="E1203" s="1" t="n">
        <v>46323</v>
      </c>
      <c r="F1203" t="inlineStr">
        <is>
          <t>KALMAR LÄN</t>
        </is>
      </c>
      <c r="G1203" t="inlineStr">
        <is>
          <t>HULTSFRED</t>
        </is>
      </c>
      <c r="I1203" t="n">
        <v>1</v>
      </c>
      <c r="J1203" t="n">
        <v>0</v>
      </c>
      <c r="K1203" t="n">
        <v>0</v>
      </c>
      <c r="L1203" t="n">
        <v>1</v>
      </c>
      <c r="M1203" t="n">
        <v>0</v>
      </c>
      <c r="N1203" t="n">
        <v>0</v>
      </c>
      <c r="O1203" t="n">
        <v>0</v>
      </c>
      <c r="P1203" t="n">
        <v>0</v>
      </c>
      <c r="Q1203" t="n">
        <v>1</v>
      </c>
      <c r="R1203" t="n">
        <v>0</v>
      </c>
      <c r="S1203" t="n">
        <v>1</v>
      </c>
      <c r="T1203" t="n">
        <v>1</v>
      </c>
      <c r="U1203" t="n">
        <v>0</v>
      </c>
      <c r="V1203" s="2" t="inlineStr">
        <is>
          <t>Spindelört</t>
        </is>
      </c>
      <c r="W1203">
        <f>HYPERLINK("https://klasma.github.io/Logging_0860/artfynd/S 86-2025 artfynd.xlsx", "S 86-2025")</f>
        <v/>
      </c>
      <c r="X1203">
        <f>HYPERLINK("https://klasma.github.io/Logging_0860/kartor/S 86-2025 karta.png", "S 86-2025")</f>
        <v/>
      </c>
      <c r="Y1203">
        <f>HYPERLINK("https://klasma.github.io/Logging_0860/kartor_geotiff/S 86-2025 georefererad karta.tif", "S 86-2025")</f>
        <v/>
      </c>
      <c r="AA1203">
        <f>HYPERLINK("https://klasma.github.io/Logging_0860/klagomål/S 86-2025 FSC-klagomål.docx", "S 86-2025")</f>
        <v/>
      </c>
      <c r="AB1203">
        <f>HYPERLINK("https://klasma.github.io/Logging_0860/klagomålsmail/S 86-2025 FSC-klagomål mail.docx", "S 86-2025")</f>
        <v/>
      </c>
      <c r="AC1203">
        <f>HYPERLINK("https://klasma.github.io/Logging_0860/tillsyn/S 86-2025 tillsynsbegäran.docx", "S 86-2025")</f>
        <v/>
      </c>
      <c r="AD1203">
        <f>HYPERLINK("https://klasma.github.io/Logging_0860/tillsynsmail/S 86-2025 tillsynsbegäran mail.docx", "S 86-2025")</f>
        <v/>
      </c>
    </row>
    <row r="1204" ht="15" customHeight="1">
      <c r="A1204" t="inlineStr">
        <is>
          <t>S 966-2024</t>
        </is>
      </c>
      <c r="B1204" t="inlineStr">
        <is>
          <t>samrådsanmälan</t>
        </is>
      </c>
      <c r="C1204" t="inlineStr">
        <is>
          <t>Annan skogsbruksåtgärd</t>
        </is>
      </c>
      <c r="D1204" s="1" t="n">
        <v>45384</v>
      </c>
      <c r="E1204" s="1" t="n">
        <v>46323</v>
      </c>
      <c r="F1204" t="inlineStr">
        <is>
          <t>KALMAR LÄN</t>
        </is>
      </c>
      <c r="G1204" t="inlineStr">
        <is>
          <t>VÄSTERVIK</t>
        </is>
      </c>
      <c r="I1204" t="n">
        <v>0</v>
      </c>
      <c r="J1204" t="n">
        <v>1</v>
      </c>
      <c r="K1204" t="n">
        <v>0</v>
      </c>
      <c r="L1204" t="n">
        <v>0</v>
      </c>
      <c r="M1204" t="n">
        <v>1</v>
      </c>
      <c r="N1204" t="n">
        <v>0</v>
      </c>
      <c r="O1204" t="n">
        <v>0</v>
      </c>
      <c r="P1204" t="n">
        <v>0</v>
      </c>
      <c r="Q1204" t="n">
        <v>1</v>
      </c>
      <c r="R1204" t="n">
        <v>1</v>
      </c>
      <c r="S1204" t="n">
        <v>1</v>
      </c>
      <c r="T1204" t="n">
        <v>3</v>
      </c>
      <c r="U1204" t="n">
        <v>0</v>
      </c>
      <c r="V1204" s="2" t="inlineStr">
        <is>
          <t>Knärot</t>
        </is>
      </c>
      <c r="W1204">
        <f>HYPERLINK("https://klasma.github.io/Logging_0883/artfynd/S 966-2024 artfynd.xlsx", "S 966-2024")</f>
        <v/>
      </c>
      <c r="X1204">
        <f>HYPERLINK("https://klasma.github.io/Logging_0883/kartor/S 966-2024 karta.png", "S 966-2024")</f>
        <v/>
      </c>
      <c r="Y1204">
        <f>HYPERLINK("https://klasma.github.io/Logging_0883/kartor_geotiff/S 966-2024 georefererad karta.tif", "S 966-2024")</f>
        <v/>
      </c>
      <c r="Z1204">
        <f>HYPERLINK("https://klasma.github.io/Logging_0883/knärot/S 966-2024 karta knärot.png", "S 966-2024")</f>
        <v/>
      </c>
      <c r="AA1204">
        <f>HYPERLINK("https://klasma.github.io/Logging_0883/klagomål/S 966-2024 FSC-klagomål.docx", "S 966-2024")</f>
        <v/>
      </c>
      <c r="AB1204">
        <f>HYPERLINK("https://klasma.github.io/Logging_0883/klagomålsmail/S 966-2024 FSC-klagomål mail.docx", "S 966-2024")</f>
        <v/>
      </c>
      <c r="AC1204">
        <f>HYPERLINK("https://klasma.github.io/Logging_0883/tillsyn/S 966-2024 tillsynsbegäran.docx", "S 966-2024")</f>
        <v/>
      </c>
      <c r="AD1204">
        <f>HYPERLINK("https://klasma.github.io/Logging_0883/tillsynsmail/S 966-2024 tillsynsbegäran mail.docx", "S 966-2024")</f>
        <v/>
      </c>
    </row>
    <row r="1205" ht="15" customHeight="1">
      <c r="A1205" t="inlineStr">
        <is>
          <t>S 2390-2023</t>
        </is>
      </c>
      <c r="B1205" t="inlineStr">
        <is>
          <t>samrådsanmälan</t>
        </is>
      </c>
      <c r="C1205" t="inlineStr">
        <is>
          <t>Annan skogsbruksåtgärd</t>
        </is>
      </c>
      <c r="D1205" s="1" t="n">
        <v>45111</v>
      </c>
      <c r="E1205" s="1" t="n">
        <v>46323</v>
      </c>
      <c r="F1205" t="inlineStr">
        <is>
          <t>KALMAR LÄN</t>
        </is>
      </c>
      <c r="G1205" t="inlineStr">
        <is>
          <t>BORGHOLM</t>
        </is>
      </c>
      <c r="I1205" t="n">
        <v>2.7</v>
      </c>
      <c r="J1205" t="n">
        <v>1</v>
      </c>
      <c r="K1205" t="n">
        <v>0</v>
      </c>
      <c r="L1205" t="n">
        <v>1</v>
      </c>
      <c r="M1205" t="n">
        <v>0</v>
      </c>
      <c r="N1205" t="n">
        <v>0</v>
      </c>
      <c r="O1205" t="n">
        <v>0</v>
      </c>
      <c r="P1205" t="n">
        <v>0</v>
      </c>
      <c r="Q1205" t="n">
        <v>1</v>
      </c>
      <c r="R1205" t="n">
        <v>0</v>
      </c>
      <c r="S1205" t="n">
        <v>1</v>
      </c>
      <c r="T1205" t="n">
        <v>1</v>
      </c>
      <c r="U1205" t="n">
        <v>0</v>
      </c>
      <c r="V1205" s="2" t="inlineStr">
        <is>
          <t>Entita</t>
        </is>
      </c>
      <c r="W1205">
        <f>HYPERLINK("https://klasma.github.io/Logging_0885/artfynd/S 2390-2023 artfynd.xlsx", "S 2390-2023")</f>
        <v/>
      </c>
      <c r="X1205">
        <f>HYPERLINK("https://klasma.github.io/Logging_0885/kartor/S 2390-2023 karta.png", "S 2390-2023")</f>
        <v/>
      </c>
      <c r="Y1205">
        <f>HYPERLINK("https://klasma.github.io/Logging_0885/kartor_geotiff/S 2390-2023 georefererad karta.tif", "S 2390-2023")</f>
        <v/>
      </c>
      <c r="AA1205">
        <f>HYPERLINK("https://klasma.github.io/Logging_0885/klagomål/S 2390-2023 FSC-klagomål.docx", "S 2390-2023")</f>
        <v/>
      </c>
      <c r="AB1205">
        <f>HYPERLINK("https://klasma.github.io/Logging_0885/klagomålsmail/S 2390-2023 FSC-klagomål mail.docx", "S 2390-2023")</f>
        <v/>
      </c>
      <c r="AC1205">
        <f>HYPERLINK("https://klasma.github.io/Logging_0885/tillsyn/S 2390-2023 tillsynsbegäran.docx", "S 2390-2023")</f>
        <v/>
      </c>
      <c r="AD1205">
        <f>HYPERLINK("https://klasma.github.io/Logging_0885/tillsynsmail/S 2390-2023 tillsynsbegäran mail.docx", "S 2390-2023")</f>
        <v/>
      </c>
      <c r="AE1205">
        <f>HYPERLINK("https://klasma.github.io/Logging_0885/fåglar/S 2390-2023 prioriterade fågelarter.docx", "S 2390-2023")</f>
        <v/>
      </c>
    </row>
    <row r="1206" ht="15" customHeight="1">
      <c r="A1206" t="inlineStr">
        <is>
          <t>S 362-2024</t>
        </is>
      </c>
      <c r="B1206" t="inlineStr">
        <is>
          <t>samrådsanmälan</t>
        </is>
      </c>
      <c r="C1206" t="inlineStr">
        <is>
          <t>Askåterföring</t>
        </is>
      </c>
      <c r="D1206" s="1" t="n">
        <v>45330</v>
      </c>
      <c r="E1206" s="1" t="n">
        <v>46323</v>
      </c>
      <c r="F1206" t="inlineStr">
        <is>
          <t>KALMAR LÄN</t>
        </is>
      </c>
      <c r="G1206" t="inlineStr">
        <is>
          <t>EMMABODA</t>
        </is>
      </c>
      <c r="I1206" t="n">
        <v>21.7</v>
      </c>
      <c r="J1206" t="n">
        <v>1</v>
      </c>
      <c r="K1206" t="n">
        <v>0</v>
      </c>
      <c r="L1206" t="n">
        <v>0</v>
      </c>
      <c r="M1206" t="n">
        <v>1</v>
      </c>
      <c r="N1206" t="n">
        <v>0</v>
      </c>
      <c r="O1206" t="n">
        <v>0</v>
      </c>
      <c r="P1206" t="n">
        <v>0</v>
      </c>
      <c r="Q1206" t="n">
        <v>1</v>
      </c>
      <c r="R1206" t="n">
        <v>1</v>
      </c>
      <c r="S1206" t="n">
        <v>1</v>
      </c>
      <c r="T1206" t="n">
        <v>1</v>
      </c>
      <c r="U1206" t="n">
        <v>1</v>
      </c>
      <c r="V1206" s="2" t="inlineStr">
        <is>
          <t>Knärot</t>
        </is>
      </c>
      <c r="W1206">
        <f>HYPERLINK("https://klasma.github.io/Logging_0862/artfynd/S 362-2024 artfynd.xlsx", "S 362-2024")</f>
        <v/>
      </c>
      <c r="X1206">
        <f>HYPERLINK("https://klasma.github.io/Logging_0862/kartor/S 362-2024 karta.png", "S 362-2024")</f>
        <v/>
      </c>
      <c r="Y1206">
        <f>HYPERLINK("https://klasma.github.io/Logging_0862/kartor_geotiff/S 362-2024 georefererad karta.tif", "S 362-2024")</f>
        <v/>
      </c>
      <c r="Z1206">
        <f>HYPERLINK("https://klasma.github.io/Logging_0862/knärot/S 362-2024 karta knärot.png", "S 362-2024")</f>
        <v/>
      </c>
      <c r="AA1206">
        <f>HYPERLINK("https://klasma.github.io/Logging_0862/klagomål/S 362-2024 FSC-klagomål.docx", "S 362-2024")</f>
        <v/>
      </c>
      <c r="AB1206">
        <f>HYPERLINK("https://klasma.github.io/Logging_0862/klagomålsmail/S 362-2024 FSC-klagomål mail.docx", "S 362-2024")</f>
        <v/>
      </c>
      <c r="AC1206">
        <f>HYPERLINK("https://klasma.github.io/Logging_0862/tillsyn/S 362-2024 tillsynsbegäran.docx", "S 362-2024")</f>
        <v/>
      </c>
      <c r="AD1206">
        <f>HYPERLINK("https://klasma.github.io/Logging_0862/tillsynsmail/S 362-2024 tillsynsbegäran mail.docx", "S 362-2024")</f>
        <v/>
      </c>
    </row>
    <row r="1207" ht="15" customHeight="1">
      <c r="A1207" t="inlineStr">
        <is>
          <t>S 760-2023</t>
        </is>
      </c>
      <c r="B1207" t="inlineStr">
        <is>
          <t>samrådsanmälan</t>
        </is>
      </c>
      <c r="C1207" t="inlineStr">
        <is>
          <t>Askåterföring</t>
        </is>
      </c>
      <c r="D1207" s="1" t="n">
        <v>44981</v>
      </c>
      <c r="E1207" s="1" t="n">
        <v>46323</v>
      </c>
      <c r="F1207" t="inlineStr">
        <is>
          <t>KALMAR LÄN</t>
        </is>
      </c>
      <c r="G1207" t="inlineStr">
        <is>
          <t>VÄSTERVIK</t>
        </is>
      </c>
      <c r="H1207" t="inlineStr">
        <is>
          <t>Kyrkan</t>
        </is>
      </c>
      <c r="I1207" t="n">
        <v>80.7</v>
      </c>
      <c r="J1207" t="n">
        <v>0</v>
      </c>
      <c r="K1207" t="n">
        <v>1</v>
      </c>
      <c r="L1207" t="n">
        <v>0</v>
      </c>
      <c r="M1207" t="n">
        <v>0</v>
      </c>
      <c r="N1207" t="n">
        <v>0</v>
      </c>
      <c r="O1207" t="n">
        <v>0</v>
      </c>
      <c r="P1207" t="n">
        <v>0</v>
      </c>
      <c r="Q1207" t="n">
        <v>0</v>
      </c>
      <c r="R1207" t="n">
        <v>0</v>
      </c>
      <c r="S1207" t="n">
        <v>1</v>
      </c>
      <c r="T1207" t="n">
        <v>1</v>
      </c>
      <c r="U1207" t="n">
        <v>0</v>
      </c>
      <c r="V1207" s="2" t="inlineStr">
        <is>
          <t>Ekskinn</t>
        </is>
      </c>
      <c r="W1207">
        <f>HYPERLINK("https://klasma.github.io/Logging_0883/artfynd/S 760-2023 artfynd.xlsx", "S 760-2023")</f>
        <v/>
      </c>
      <c r="X1207">
        <f>HYPERLINK("https://klasma.github.io/Logging_0883/kartor/S 760-2023 karta.png", "S 760-2023")</f>
        <v/>
      </c>
      <c r="Y1207">
        <f>HYPERLINK("https://klasma.github.io/Logging_0883/kartor_geotiff/S 760-2023 georefererad karta.tif", "S 760-2023")</f>
        <v/>
      </c>
      <c r="AA1207">
        <f>HYPERLINK("https://klasma.github.io/Logging_0883/klagomål/S 760-2023 FSC-klagomål.docx", "S 760-2023")</f>
        <v/>
      </c>
      <c r="AB1207">
        <f>HYPERLINK("https://klasma.github.io/Logging_0883/klagomålsmail/S 760-2023 FSC-klagomål mail.docx", "S 760-2023")</f>
        <v/>
      </c>
      <c r="AC1207">
        <f>HYPERLINK("https://klasma.github.io/Logging_0883/tillsyn/S 760-2023 tillsynsbegäran.docx", "S 760-2023")</f>
        <v/>
      </c>
      <c r="AD1207">
        <f>HYPERLINK("https://klasma.github.io/Logging_0883/tillsynsmail/S 760-2023 tillsynsbegäran mail.docx", "S 760-2023")</f>
        <v/>
      </c>
    </row>
    <row r="1208" ht="15" customHeight="1">
      <c r="A1208" t="inlineStr">
        <is>
          <t>S 5807-2022</t>
        </is>
      </c>
      <c r="B1208" t="inlineStr">
        <is>
          <t>samrådsanmälan</t>
        </is>
      </c>
      <c r="C1208" t="inlineStr">
        <is>
          <t>Askåterföring</t>
        </is>
      </c>
      <c r="D1208" s="1" t="n">
        <v>44852</v>
      </c>
      <c r="E1208" s="1" t="n">
        <v>46323</v>
      </c>
      <c r="F1208" t="inlineStr">
        <is>
          <t>KALMAR LÄN</t>
        </is>
      </c>
      <c r="G1208" t="inlineStr">
        <is>
          <t>EMMABODA</t>
        </is>
      </c>
      <c r="I1208" t="n">
        <v>169.1</v>
      </c>
      <c r="J1208" t="n">
        <v>1</v>
      </c>
      <c r="K1208" t="n">
        <v>0</v>
      </c>
      <c r="L1208" t="n">
        <v>0</v>
      </c>
      <c r="M1208" t="n">
        <v>0</v>
      </c>
      <c r="N1208" t="n">
        <v>0</v>
      </c>
      <c r="O1208" t="n">
        <v>0</v>
      </c>
      <c r="P1208" t="n">
        <v>0</v>
      </c>
      <c r="Q1208" t="n">
        <v>0</v>
      </c>
      <c r="R1208" t="n">
        <v>0</v>
      </c>
      <c r="S1208" t="n">
        <v>1</v>
      </c>
      <c r="T1208" t="n">
        <v>1</v>
      </c>
      <c r="U1208" t="n">
        <v>1</v>
      </c>
      <c r="V1208" s="2" t="inlineStr">
        <is>
          <t>Tjäder</t>
        </is>
      </c>
      <c r="W1208">
        <f>HYPERLINK("https://klasma.github.io/Logging_0862/artfynd/S 5807-2022 artfynd.xlsx", "S 5807-2022")</f>
        <v/>
      </c>
      <c r="X1208">
        <f>HYPERLINK("https://klasma.github.io/Logging_0862/kartor/S 5807-2022 karta.png", "S 5807-2022")</f>
        <v/>
      </c>
      <c r="Y1208">
        <f>HYPERLINK("https://klasma.github.io/Logging_0862/kartor_geotiff/S 5807-2022 georefererad karta.tif", "S 5807-2022")</f>
        <v/>
      </c>
      <c r="AA1208">
        <f>HYPERLINK("https://klasma.github.io/Logging_0862/klagomål/S 5807-2022 FSC-klagomål.docx", "S 5807-2022")</f>
        <v/>
      </c>
      <c r="AB1208">
        <f>HYPERLINK("https://klasma.github.io/Logging_0862/klagomålsmail/S 5807-2022 FSC-klagomål mail.docx", "S 5807-2022")</f>
        <v/>
      </c>
      <c r="AC1208">
        <f>HYPERLINK("https://klasma.github.io/Logging_0862/tillsyn/S 5807-2022 tillsynsbegäran.docx", "S 5807-2022")</f>
        <v/>
      </c>
      <c r="AD1208">
        <f>HYPERLINK("https://klasma.github.io/Logging_0862/tillsynsmail/S 5807-2022 tillsynsbegäran mail.docx", "S 5807-2022")</f>
        <v/>
      </c>
      <c r="AE1208">
        <f>HYPERLINK("https://klasma.github.io/Logging_0862/fåglar/S 5807-2022 prioriterade fågelarter.docx", "S 5807-2022")</f>
        <v/>
      </c>
    </row>
    <row r="1209" ht="15" customHeight="1">
      <c r="A1209" t="inlineStr">
        <is>
          <t>S 4937-2022</t>
        </is>
      </c>
      <c r="B1209" t="inlineStr">
        <is>
          <t>samrådsanmälan</t>
        </is>
      </c>
      <c r="C1209" t="inlineStr">
        <is>
          <t>Annan skogsbruksåtgärd</t>
        </is>
      </c>
      <c r="D1209" s="1" t="n">
        <v>44810</v>
      </c>
      <c r="E1209" s="1" t="n">
        <v>46323</v>
      </c>
      <c r="F1209" t="inlineStr">
        <is>
          <t>KALMAR LÄN</t>
        </is>
      </c>
      <c r="G1209" t="inlineStr">
        <is>
          <t>KALMAR</t>
        </is>
      </c>
      <c r="H1209" t="inlineStr">
        <is>
          <t>Kommuner</t>
        </is>
      </c>
      <c r="I1209" t="n">
        <v>3.4</v>
      </c>
      <c r="J1209" t="n">
        <v>0</v>
      </c>
      <c r="K1209" t="n">
        <v>0</v>
      </c>
      <c r="L1209" t="n">
        <v>1</v>
      </c>
      <c r="M1209" t="n">
        <v>0</v>
      </c>
      <c r="N1209" t="n">
        <v>0</v>
      </c>
      <c r="O1209" t="n">
        <v>0</v>
      </c>
      <c r="P1209" t="n">
        <v>0</v>
      </c>
      <c r="Q1209" t="n">
        <v>1</v>
      </c>
      <c r="R1209" t="n">
        <v>0</v>
      </c>
      <c r="S1209" t="n">
        <v>1</v>
      </c>
      <c r="T1209" t="n">
        <v>1</v>
      </c>
      <c r="U1209" t="n">
        <v>0</v>
      </c>
      <c r="V1209" s="2" t="inlineStr">
        <is>
          <t>Gammelekslav</t>
        </is>
      </c>
      <c r="W1209">
        <f>HYPERLINK("https://klasma.github.io/Logging_0880/artfynd/S 4937-2022 artfynd.xlsx", "S 4937-2022")</f>
        <v/>
      </c>
      <c r="X1209">
        <f>HYPERLINK("https://klasma.github.io/Logging_0880/kartor/S 4937-2022 karta.png", "S 4937-2022")</f>
        <v/>
      </c>
      <c r="Y1209">
        <f>HYPERLINK("https://klasma.github.io/Logging_0880/kartor_geotiff/S 4937-2022 georefererad karta.tif", "S 4937-2022")</f>
        <v/>
      </c>
      <c r="AA1209">
        <f>HYPERLINK("https://klasma.github.io/Logging_0880/klagomål/S 4937-2022 FSC-klagomål.docx", "S 4937-2022")</f>
        <v/>
      </c>
      <c r="AB1209">
        <f>HYPERLINK("https://klasma.github.io/Logging_0880/klagomålsmail/S 4937-2022 FSC-klagomål mail.docx", "S 4937-2022")</f>
        <v/>
      </c>
      <c r="AC1209">
        <f>HYPERLINK("https://klasma.github.io/Logging_0880/tillsyn/S 4937-2022 tillsynsbegäran.docx", "S 4937-2022")</f>
        <v/>
      </c>
      <c r="AD1209">
        <f>HYPERLINK("https://klasma.github.io/Logging_0880/tillsynsmail/S 4937-2022 tillsynsbegäran mail.docx", "S 4937-2022")</f>
        <v/>
      </c>
    </row>
    <row r="1210" ht="15" customHeight="1">
      <c r="A1210" t="inlineStr">
        <is>
          <t>S 2667-2024</t>
        </is>
      </c>
      <c r="B1210" t="inlineStr">
        <is>
          <t>samrådsanmälan</t>
        </is>
      </c>
      <c r="C1210" t="inlineStr">
        <is>
          <t>Askåterföring</t>
        </is>
      </c>
      <c r="D1210" s="1" t="n">
        <v>45478</v>
      </c>
      <c r="E1210" s="1" t="n">
        <v>46323</v>
      </c>
      <c r="F1210" t="inlineStr">
        <is>
          <t>KALMAR LÄN</t>
        </is>
      </c>
      <c r="G1210" t="inlineStr">
        <is>
          <t>HULTSFRED</t>
        </is>
      </c>
      <c r="I1210" t="n">
        <v>20.2</v>
      </c>
      <c r="J1210" t="n">
        <v>1</v>
      </c>
      <c r="K1210" t="n">
        <v>0</v>
      </c>
      <c r="L1210" t="n">
        <v>0</v>
      </c>
      <c r="M1210" t="n">
        <v>0</v>
      </c>
      <c r="N1210" t="n">
        <v>0</v>
      </c>
      <c r="O1210" t="n">
        <v>0</v>
      </c>
      <c r="P1210" t="n">
        <v>0</v>
      </c>
      <c r="Q1210" t="n">
        <v>0</v>
      </c>
      <c r="R1210" t="n">
        <v>0</v>
      </c>
      <c r="S1210" t="n">
        <v>1</v>
      </c>
      <c r="T1210" t="n">
        <v>2</v>
      </c>
      <c r="U1210" t="n">
        <v>0</v>
      </c>
      <c r="V1210" s="2" t="inlineStr">
        <is>
          <t>Tjäder</t>
        </is>
      </c>
      <c r="W1210">
        <f>HYPERLINK("https://klasma.github.io/Logging_0860/artfynd/S 2667-2024 artfynd.xlsx", "S 2667-2024")</f>
        <v/>
      </c>
      <c r="X1210">
        <f>HYPERLINK("https://klasma.github.io/Logging_0860/kartor/S 2667-2024 karta.png", "S 2667-2024")</f>
        <v/>
      </c>
      <c r="Y1210">
        <f>HYPERLINK("https://klasma.github.io/Logging_0860/kartor_geotiff/S 2667-2024 georefererad karta.tif", "S 2667-2024")</f>
        <v/>
      </c>
      <c r="AA1210">
        <f>HYPERLINK("https://klasma.github.io/Logging_0860/klagomål/S 2667-2024 FSC-klagomål.docx", "S 2667-2024")</f>
        <v/>
      </c>
      <c r="AB1210">
        <f>HYPERLINK("https://klasma.github.io/Logging_0860/klagomålsmail/S 2667-2024 FSC-klagomål mail.docx", "S 2667-2024")</f>
        <v/>
      </c>
      <c r="AC1210">
        <f>HYPERLINK("https://klasma.github.io/Logging_0860/tillsyn/S 2667-2024 tillsynsbegäran.docx", "S 2667-2024")</f>
        <v/>
      </c>
      <c r="AD1210">
        <f>HYPERLINK("https://klasma.github.io/Logging_0860/tillsynsmail/S 2667-2024 tillsynsbegäran mail.docx", "S 2667-2024")</f>
        <v/>
      </c>
      <c r="AE1210">
        <f>HYPERLINK("https://klasma.github.io/Logging_0860/fåglar/S 2667-2024 prioriterade fågelarter.docx", "S 2667-2024")</f>
        <v/>
      </c>
    </row>
    <row r="1211" ht="15" customHeight="1">
      <c r="A1211" t="inlineStr">
        <is>
          <t>S 298-2025</t>
        </is>
      </c>
      <c r="B1211" t="inlineStr">
        <is>
          <t>samrådsanmälan</t>
        </is>
      </c>
      <c r="C1211" t="inlineStr">
        <is>
          <t>Askåterföring</t>
        </is>
      </c>
      <c r="D1211" s="1" t="n">
        <v>45687</v>
      </c>
      <c r="E1211" s="1" t="n">
        <v>46323</v>
      </c>
      <c r="F1211" t="inlineStr">
        <is>
          <t>KALMAR LÄN</t>
        </is>
      </c>
      <c r="G1211" t="inlineStr">
        <is>
          <t>TORSÅS</t>
        </is>
      </c>
      <c r="I1211" t="n">
        <v>14.3</v>
      </c>
      <c r="J1211" t="n">
        <v>0</v>
      </c>
      <c r="K1211" t="n">
        <v>0</v>
      </c>
      <c r="L1211" t="n">
        <v>1</v>
      </c>
      <c r="M1211" t="n">
        <v>0</v>
      </c>
      <c r="N1211" t="n">
        <v>0</v>
      </c>
      <c r="O1211" t="n">
        <v>0</v>
      </c>
      <c r="P1211" t="n">
        <v>0</v>
      </c>
      <c r="Q1211" t="n">
        <v>1</v>
      </c>
      <c r="R1211" t="n">
        <v>0</v>
      </c>
      <c r="S1211" t="n">
        <v>1</v>
      </c>
      <c r="T1211" t="n">
        <v>1</v>
      </c>
      <c r="U1211" t="n">
        <v>1</v>
      </c>
      <c r="V1211" s="2" t="inlineStr">
        <is>
          <t>Åkerkulla</t>
        </is>
      </c>
      <c r="W1211">
        <f>HYPERLINK("https://klasma.github.io/Logging_0834/artfynd/S 298-2025 artfynd.xlsx", "S 298-2025")</f>
        <v/>
      </c>
      <c r="X1211">
        <f>HYPERLINK("https://klasma.github.io/Logging_0834/kartor/S 298-2025 karta.png", "S 298-2025")</f>
        <v/>
      </c>
      <c r="Y1211">
        <f>HYPERLINK("https://klasma.github.io/Logging_0834/kartor_geotiff/S 298-2025 georefererad karta.tif", "S 298-2025")</f>
        <v/>
      </c>
      <c r="AA1211">
        <f>HYPERLINK("https://klasma.github.io/Logging_0834/klagomål/S 298-2025 FSC-klagomål.docx", "S 298-2025")</f>
        <v/>
      </c>
      <c r="AB1211">
        <f>HYPERLINK("https://klasma.github.io/Logging_0834/klagomålsmail/S 298-2025 FSC-klagomål mail.docx", "S 298-2025")</f>
        <v/>
      </c>
      <c r="AC1211">
        <f>HYPERLINK("https://klasma.github.io/Logging_0834/tillsyn/S 298-2025 tillsynsbegäran.docx", "S 298-2025")</f>
        <v/>
      </c>
      <c r="AD1211">
        <f>HYPERLINK("https://klasma.github.io/Logging_0834/tillsynsmail/S 298-2025 tillsynsbegäran mail.docx", "S 298-2025")</f>
        <v/>
      </c>
    </row>
    <row r="1212" ht="15" customHeight="1">
      <c r="A1212" t="inlineStr">
        <is>
          <t>S 5351-2022</t>
        </is>
      </c>
      <c r="B1212" t="inlineStr">
        <is>
          <t>samrådsanmälan</t>
        </is>
      </c>
      <c r="C1212" t="inlineStr">
        <is>
          <t>Annan skogsbruksåtgärd</t>
        </is>
      </c>
      <c r="D1212" s="1" t="n">
        <v>44830</v>
      </c>
      <c r="E1212" s="1" t="n">
        <v>46323</v>
      </c>
      <c r="F1212" t="inlineStr">
        <is>
          <t>KALMAR LÄN</t>
        </is>
      </c>
      <c r="G1212" t="inlineStr">
        <is>
          <t>NYBRO</t>
        </is>
      </c>
      <c r="I1212" t="n">
        <v>3</v>
      </c>
      <c r="J1212" t="n">
        <v>0</v>
      </c>
      <c r="K1212" t="n">
        <v>0</v>
      </c>
      <c r="L1212" t="n">
        <v>1</v>
      </c>
      <c r="M1212" t="n">
        <v>0</v>
      </c>
      <c r="N1212" t="n">
        <v>0</v>
      </c>
      <c r="O1212" t="n">
        <v>0</v>
      </c>
      <c r="P1212" t="n">
        <v>0</v>
      </c>
      <c r="Q1212" t="n">
        <v>1</v>
      </c>
      <c r="R1212" t="n">
        <v>0</v>
      </c>
      <c r="S1212" t="n">
        <v>1</v>
      </c>
      <c r="T1212" t="n">
        <v>1</v>
      </c>
      <c r="U1212" t="n">
        <v>1</v>
      </c>
      <c r="V1212" s="2" t="inlineStr">
        <is>
          <t>Sumpviol</t>
        </is>
      </c>
      <c r="W1212">
        <f>HYPERLINK("https://klasma.github.io/Logging_0881/artfynd/S 5351-2022 artfynd.xlsx", "S 5351-2022")</f>
        <v/>
      </c>
      <c r="X1212">
        <f>HYPERLINK("https://klasma.github.io/Logging_0881/kartor/S 5351-2022 karta.png", "S 5351-2022")</f>
        <v/>
      </c>
      <c r="Y1212">
        <f>HYPERLINK("https://klasma.github.io/Logging_0881/kartor_geotiff/S 5351-2022 georefererad karta.tif", "S 5351-2022")</f>
        <v/>
      </c>
      <c r="AA1212">
        <f>HYPERLINK("https://klasma.github.io/Logging_0881/klagomål/S 5351-2022 FSC-klagomål.docx", "S 5351-2022")</f>
        <v/>
      </c>
      <c r="AB1212">
        <f>HYPERLINK("https://klasma.github.io/Logging_0881/klagomålsmail/S 5351-2022 FSC-klagomål mail.docx", "S 5351-2022")</f>
        <v/>
      </c>
      <c r="AC1212">
        <f>HYPERLINK("https://klasma.github.io/Logging_0881/tillsyn/S 5351-2022 tillsynsbegäran.docx", "S 5351-2022")</f>
        <v/>
      </c>
      <c r="AD1212">
        <f>HYPERLINK("https://klasma.github.io/Logging_0881/tillsynsmail/S 5351-2022 tillsynsbegäran mail.docx", "S 5351-2022")</f>
        <v/>
      </c>
    </row>
    <row r="1213" ht="15" customHeight="1">
      <c r="A1213" t="inlineStr">
        <is>
          <t>S 595-2023</t>
        </is>
      </c>
      <c r="B1213" t="inlineStr">
        <is>
          <t>samrådsanmälan</t>
        </is>
      </c>
      <c r="C1213" t="inlineStr">
        <is>
          <t>Askåterföring</t>
        </is>
      </c>
      <c r="D1213" s="1" t="n">
        <v>44971</v>
      </c>
      <c r="E1213" s="1" t="n">
        <v>46323</v>
      </c>
      <c r="F1213" t="inlineStr">
        <is>
          <t>KALMAR LÄN</t>
        </is>
      </c>
      <c r="G1213" t="inlineStr">
        <is>
          <t>TORSÅS</t>
        </is>
      </c>
      <c r="I1213" t="n">
        <v>68.8</v>
      </c>
      <c r="J1213" t="n">
        <v>1</v>
      </c>
      <c r="K1213" t="n">
        <v>0</v>
      </c>
      <c r="L1213" t="n">
        <v>0</v>
      </c>
      <c r="M1213" t="n">
        <v>0</v>
      </c>
      <c r="N1213" t="n">
        <v>0</v>
      </c>
      <c r="O1213" t="n">
        <v>0</v>
      </c>
      <c r="P1213" t="n">
        <v>0</v>
      </c>
      <c r="Q1213" t="n">
        <v>0</v>
      </c>
      <c r="R1213" t="n">
        <v>0</v>
      </c>
      <c r="S1213" t="n">
        <v>1</v>
      </c>
      <c r="T1213" t="n">
        <v>1</v>
      </c>
      <c r="U1213" t="n">
        <v>0</v>
      </c>
      <c r="V1213" s="2" t="inlineStr">
        <is>
          <t>Tjäder</t>
        </is>
      </c>
      <c r="W1213">
        <f>HYPERLINK("https://klasma.github.io/Logging_0834/artfynd/S 595-2023 artfynd.xlsx", "S 595-2023")</f>
        <v/>
      </c>
      <c r="X1213">
        <f>HYPERLINK("https://klasma.github.io/Logging_0834/kartor/S 595-2023 karta.png", "S 595-2023")</f>
        <v/>
      </c>
      <c r="Y1213">
        <f>HYPERLINK("https://klasma.github.io/Logging_0834/kartor_geotiff/S 595-2023 georefererad karta.tif", "S 595-2023")</f>
        <v/>
      </c>
      <c r="AA1213">
        <f>HYPERLINK("https://klasma.github.io/Logging_0834/klagomål/S 595-2023 FSC-klagomål.docx", "S 595-2023")</f>
        <v/>
      </c>
      <c r="AB1213">
        <f>HYPERLINK("https://klasma.github.io/Logging_0834/klagomålsmail/S 595-2023 FSC-klagomål mail.docx", "S 595-2023")</f>
        <v/>
      </c>
      <c r="AC1213">
        <f>HYPERLINK("https://klasma.github.io/Logging_0834/tillsyn/S 595-2023 tillsynsbegäran.docx", "S 595-2023")</f>
        <v/>
      </c>
      <c r="AD1213">
        <f>HYPERLINK("https://klasma.github.io/Logging_0834/tillsynsmail/S 595-2023 tillsynsbegäran mail.docx", "S 595-2023")</f>
        <v/>
      </c>
      <c r="AE1213">
        <f>HYPERLINK("https://klasma.github.io/Logging_0834/fåglar/S 595-2023 prioriterade fågelarter.docx", "S 595-2023")</f>
        <v/>
      </c>
    </row>
    <row r="1214" ht="15" customHeight="1">
      <c r="A1214" t="inlineStr">
        <is>
          <t>S 1924-2024</t>
        </is>
      </c>
      <c r="B1214" t="inlineStr">
        <is>
          <t>samrådsanmälan</t>
        </is>
      </c>
      <c r="C1214" t="inlineStr">
        <is>
          <t>Askåterföring</t>
        </is>
      </c>
      <c r="D1214" s="1" t="n">
        <v>45442</v>
      </c>
      <c r="E1214" s="1" t="n">
        <v>46323</v>
      </c>
      <c r="F1214" t="inlineStr">
        <is>
          <t>KALMAR LÄN</t>
        </is>
      </c>
      <c r="G1214" t="inlineStr">
        <is>
          <t>EMMABODA</t>
        </is>
      </c>
      <c r="I1214" t="n">
        <v>129.3</v>
      </c>
      <c r="J1214" t="n">
        <v>0</v>
      </c>
      <c r="K1214" t="n">
        <v>0</v>
      </c>
      <c r="L1214" t="n">
        <v>1</v>
      </c>
      <c r="M1214" t="n">
        <v>0</v>
      </c>
      <c r="N1214" t="n">
        <v>0</v>
      </c>
      <c r="O1214" t="n">
        <v>0</v>
      </c>
      <c r="P1214" t="n">
        <v>0</v>
      </c>
      <c r="Q1214" t="n">
        <v>1</v>
      </c>
      <c r="R1214" t="n">
        <v>0</v>
      </c>
      <c r="S1214" t="n">
        <v>1</v>
      </c>
      <c r="T1214" t="n">
        <v>1</v>
      </c>
      <c r="U1214" t="n">
        <v>1</v>
      </c>
      <c r="V1214" s="2" t="inlineStr">
        <is>
          <t>Åkerkulla</t>
        </is>
      </c>
      <c r="W1214">
        <f>HYPERLINK("https://klasma.github.io/Logging_0862/artfynd/S 1924-2024 artfynd.xlsx", "S 1924-2024")</f>
        <v/>
      </c>
      <c r="X1214">
        <f>HYPERLINK("https://klasma.github.io/Logging_0862/kartor/S 1924-2024 karta.png", "S 1924-2024")</f>
        <v/>
      </c>
      <c r="Y1214">
        <f>HYPERLINK("https://klasma.github.io/Logging_0862/kartor_geotiff/S 1924-2024 georefererad karta.tif", "S 1924-2024")</f>
        <v/>
      </c>
      <c r="AA1214">
        <f>HYPERLINK("https://klasma.github.io/Logging_0862/klagomål/S 1924-2024 FSC-klagomål.docx", "S 1924-2024")</f>
        <v/>
      </c>
      <c r="AB1214">
        <f>HYPERLINK("https://klasma.github.io/Logging_0862/klagomålsmail/S 1924-2024 FSC-klagomål mail.docx", "S 1924-2024")</f>
        <v/>
      </c>
      <c r="AC1214">
        <f>HYPERLINK("https://klasma.github.io/Logging_0862/tillsyn/S 1924-2024 tillsynsbegäran.docx", "S 1924-2024")</f>
        <v/>
      </c>
      <c r="AD1214">
        <f>HYPERLINK("https://klasma.github.io/Logging_0862/tillsynsmail/S 1924-2024 tillsynsbegäran mail.docx", "S 1924-2024")</f>
        <v/>
      </c>
    </row>
    <row r="1215" ht="15" customHeight="1">
      <c r="A1215" t="inlineStr">
        <is>
          <t>S 2684-2023</t>
        </is>
      </c>
      <c r="B1215" t="inlineStr">
        <is>
          <t>samrådsanmälan</t>
        </is>
      </c>
      <c r="C1215" t="inlineStr">
        <is>
          <t>Askåterföring</t>
        </is>
      </c>
      <c r="D1215" s="1" t="n">
        <v>45153</v>
      </c>
      <c r="E1215" s="1" t="n">
        <v>46323</v>
      </c>
      <c r="F1215" t="inlineStr">
        <is>
          <t>KALMAR LÄN</t>
        </is>
      </c>
      <c r="G1215" t="inlineStr">
        <is>
          <t>EMMABODA</t>
        </is>
      </c>
      <c r="I1215" t="n">
        <v>186.1</v>
      </c>
      <c r="J1215" t="n">
        <v>0</v>
      </c>
      <c r="K1215" t="n">
        <v>0</v>
      </c>
      <c r="L1215" t="n">
        <v>0</v>
      </c>
      <c r="M1215" t="n">
        <v>1</v>
      </c>
      <c r="N1215" t="n">
        <v>0</v>
      </c>
      <c r="O1215" t="n">
        <v>0</v>
      </c>
      <c r="P1215" t="n">
        <v>0</v>
      </c>
      <c r="Q1215" t="n">
        <v>1</v>
      </c>
      <c r="R1215" t="n">
        <v>1</v>
      </c>
      <c r="S1215" t="n">
        <v>1</v>
      </c>
      <c r="T1215" t="n">
        <v>2</v>
      </c>
      <c r="U1215" t="n">
        <v>0</v>
      </c>
      <c r="V1215" s="2" t="inlineStr">
        <is>
          <t>Slåttergubbe</t>
        </is>
      </c>
      <c r="W1215">
        <f>HYPERLINK("https://klasma.github.io/Logging_0862/artfynd/S 2684-2023 artfynd.xlsx", "S 2684-2023")</f>
        <v/>
      </c>
      <c r="X1215">
        <f>HYPERLINK("https://klasma.github.io/Logging_0862/kartor/S 2684-2023 karta.png", "S 2684-2023")</f>
        <v/>
      </c>
      <c r="Y1215">
        <f>HYPERLINK("https://klasma.github.io/Logging_0862/kartor_geotiff/S 2684-2023 georefererad karta.tif", "S 2684-2023")</f>
        <v/>
      </c>
      <c r="AA1215">
        <f>HYPERLINK("https://klasma.github.io/Logging_0862/klagomål/S 2684-2023 FSC-klagomål.docx", "S 2684-2023")</f>
        <v/>
      </c>
      <c r="AB1215">
        <f>HYPERLINK("https://klasma.github.io/Logging_0862/klagomålsmail/S 2684-2023 FSC-klagomål mail.docx", "S 2684-2023")</f>
        <v/>
      </c>
      <c r="AC1215">
        <f>HYPERLINK("https://klasma.github.io/Logging_0862/tillsyn/S 2684-2023 tillsynsbegäran.docx", "S 2684-2023")</f>
        <v/>
      </c>
      <c r="AD1215">
        <f>HYPERLINK("https://klasma.github.io/Logging_0862/tillsynsmail/S 2684-2023 tillsynsbegäran mail.docx", "S 2684-2023")</f>
        <v/>
      </c>
    </row>
    <row r="1216" ht="15" customHeight="1">
      <c r="A1216" t="inlineStr">
        <is>
          <t>S 4040-2024</t>
        </is>
      </c>
      <c r="B1216" t="inlineStr">
        <is>
          <t>samrådsanmälan</t>
        </is>
      </c>
      <c r="C1216" t="inlineStr">
        <is>
          <t>Askåterföring</t>
        </is>
      </c>
      <c r="D1216" s="1" t="n">
        <v>45572</v>
      </c>
      <c r="E1216" s="1" t="n">
        <v>46323</v>
      </c>
      <c r="F1216" t="inlineStr">
        <is>
          <t>KALMAR LÄN</t>
        </is>
      </c>
      <c r="G1216" t="inlineStr">
        <is>
          <t>NYBRO</t>
        </is>
      </c>
      <c r="I1216" t="n">
        <v>32.9</v>
      </c>
      <c r="J1216" t="n">
        <v>1</v>
      </c>
      <c r="K1216" t="n">
        <v>0</v>
      </c>
      <c r="L1216" t="n">
        <v>0</v>
      </c>
      <c r="M1216" t="n">
        <v>0</v>
      </c>
      <c r="N1216" t="n">
        <v>0</v>
      </c>
      <c r="O1216" t="n">
        <v>0</v>
      </c>
      <c r="P1216" t="n">
        <v>0</v>
      </c>
      <c r="Q1216" t="n">
        <v>0</v>
      </c>
      <c r="R1216" t="n">
        <v>0</v>
      </c>
      <c r="S1216" t="n">
        <v>1</v>
      </c>
      <c r="T1216" t="n">
        <v>1</v>
      </c>
      <c r="U1216" t="n">
        <v>0</v>
      </c>
      <c r="V1216" s="2" t="inlineStr">
        <is>
          <t>Huggorm</t>
        </is>
      </c>
      <c r="W1216">
        <f>HYPERLINK("https://klasma.github.io/Logging_0881/artfynd/S 4040-2024 artfynd.xlsx", "S 4040-2024")</f>
        <v/>
      </c>
      <c r="X1216">
        <f>HYPERLINK("https://klasma.github.io/Logging_0881/kartor/S 4040-2024 karta.png", "S 4040-2024")</f>
        <v/>
      </c>
      <c r="Y1216">
        <f>HYPERLINK("https://klasma.github.io/Logging_0881/kartor_geotiff/S 4040-2024 georefererad karta.tif", "S 4040-2024")</f>
        <v/>
      </c>
      <c r="AA1216">
        <f>HYPERLINK("https://klasma.github.io/Logging_0881/klagomål/S 4040-2024 FSC-klagomål.docx", "S 4040-2024")</f>
        <v/>
      </c>
      <c r="AB1216">
        <f>HYPERLINK("https://klasma.github.io/Logging_0881/klagomålsmail/S 4040-2024 FSC-klagomål mail.docx", "S 4040-2024")</f>
        <v/>
      </c>
      <c r="AC1216">
        <f>HYPERLINK("https://klasma.github.io/Logging_0881/tillsyn/S 4040-2024 tillsynsbegäran.docx", "S 4040-2024")</f>
        <v/>
      </c>
      <c r="AD1216">
        <f>HYPERLINK("https://klasma.github.io/Logging_0881/tillsynsmail/S 4040-2024 tillsynsbegäran mail.docx", "S 4040-2024")</f>
        <v/>
      </c>
    </row>
    <row r="1217" ht="15" customHeight="1">
      <c r="A1217" t="inlineStr">
        <is>
          <t>S 3231-2024</t>
        </is>
      </c>
      <c r="B1217" t="inlineStr">
        <is>
          <t>samrådsanmälan</t>
        </is>
      </c>
      <c r="C1217" t="inlineStr">
        <is>
          <t>Askåterföring</t>
        </is>
      </c>
      <c r="D1217" s="1" t="n">
        <v>45525</v>
      </c>
      <c r="E1217" s="1" t="n">
        <v>46323</v>
      </c>
      <c r="F1217" t="inlineStr">
        <is>
          <t>KALMAR LÄN</t>
        </is>
      </c>
      <c r="G1217" t="inlineStr">
        <is>
          <t>MÖNSTERÅS</t>
        </is>
      </c>
      <c r="I1217" t="n">
        <v>124.5</v>
      </c>
      <c r="J1217" t="n">
        <v>1</v>
      </c>
      <c r="K1217" t="n">
        <v>0</v>
      </c>
      <c r="L1217" t="n">
        <v>0</v>
      </c>
      <c r="M1217" t="n">
        <v>1</v>
      </c>
      <c r="N1217" t="n">
        <v>0</v>
      </c>
      <c r="O1217" t="n">
        <v>0</v>
      </c>
      <c r="P1217" t="n">
        <v>0</v>
      </c>
      <c r="Q1217" t="n">
        <v>1</v>
      </c>
      <c r="R1217" t="n">
        <v>1</v>
      </c>
      <c r="S1217" t="n">
        <v>1</v>
      </c>
      <c r="T1217" t="n">
        <v>1</v>
      </c>
      <c r="U1217" t="n">
        <v>1</v>
      </c>
      <c r="V1217" s="2" t="inlineStr">
        <is>
          <t>Hasselsnok</t>
        </is>
      </c>
      <c r="W1217">
        <f>HYPERLINK("https://klasma.github.io/Logging_0861/artfynd/S 3231-2024 artfynd.xlsx", "S 3231-2024")</f>
        <v/>
      </c>
      <c r="X1217">
        <f>HYPERLINK("https://klasma.github.io/Logging_0861/kartor/S 3231-2024 karta.png", "S 3231-2024")</f>
        <v/>
      </c>
      <c r="Y1217">
        <f>HYPERLINK("https://klasma.github.io/Logging_0861/kartor_geotiff/S 3231-2024 georefererad karta.tif", "S 3231-2024")</f>
        <v/>
      </c>
      <c r="AA1217">
        <f>HYPERLINK("https://klasma.github.io/Logging_0861/klagomål/S 3231-2024 FSC-klagomål.docx", "S 3231-2024")</f>
        <v/>
      </c>
      <c r="AB1217">
        <f>HYPERLINK("https://klasma.github.io/Logging_0861/klagomålsmail/S 3231-2024 FSC-klagomål mail.docx", "S 3231-2024")</f>
        <v/>
      </c>
      <c r="AC1217">
        <f>HYPERLINK("https://klasma.github.io/Logging_0861/tillsyn/S 3231-2024 tillsynsbegäran.docx", "S 3231-2024")</f>
        <v/>
      </c>
      <c r="AD1217">
        <f>HYPERLINK("https://klasma.github.io/Logging_0861/tillsynsmail/S 3231-2024 tillsynsbegäran mail.docx", "S 3231-2024")</f>
        <v/>
      </c>
    </row>
    <row r="1218" ht="15" customHeight="1">
      <c r="A1218" t="inlineStr">
        <is>
          <t>S 1520-2023</t>
        </is>
      </c>
      <c r="B1218" t="inlineStr">
        <is>
          <t>samrådsanmälan</t>
        </is>
      </c>
      <c r="C1218" t="inlineStr">
        <is>
          <t>Annan skogsbruksåtgärd</t>
        </is>
      </c>
      <c r="D1218" s="1" t="n">
        <v>45055</v>
      </c>
      <c r="E1218" s="1" t="n">
        <v>46323</v>
      </c>
      <c r="F1218" t="inlineStr">
        <is>
          <t>KALMAR LÄN</t>
        </is>
      </c>
      <c r="G1218" t="inlineStr">
        <is>
          <t>VÄSTERVIK</t>
        </is>
      </c>
      <c r="H1218" t="inlineStr">
        <is>
          <t>Kommuner</t>
        </is>
      </c>
      <c r="I1218" t="n">
        <v>5.3</v>
      </c>
      <c r="J1218" t="n">
        <v>1</v>
      </c>
      <c r="K1218" t="n">
        <v>0</v>
      </c>
      <c r="L1218" t="n">
        <v>1</v>
      </c>
      <c r="M1218" t="n">
        <v>0</v>
      </c>
      <c r="N1218" t="n">
        <v>0</v>
      </c>
      <c r="O1218" t="n">
        <v>0</v>
      </c>
      <c r="P1218" t="n">
        <v>0</v>
      </c>
      <c r="Q1218" t="n">
        <v>1</v>
      </c>
      <c r="R1218" t="n">
        <v>0</v>
      </c>
      <c r="S1218" t="n">
        <v>1</v>
      </c>
      <c r="T1218" t="n">
        <v>1</v>
      </c>
      <c r="U1218" t="n">
        <v>1</v>
      </c>
      <c r="V1218" s="2" t="inlineStr">
        <is>
          <t>Apollofjäril</t>
        </is>
      </c>
      <c r="W1218">
        <f>HYPERLINK("https://klasma.github.io/Logging_0883/artfynd/S 1520-2023 artfynd.xlsx", "S 1520-2023")</f>
        <v/>
      </c>
      <c r="X1218">
        <f>HYPERLINK("https://klasma.github.io/Logging_0883/kartor/S 1520-2023 karta.png", "S 1520-2023")</f>
        <v/>
      </c>
      <c r="Y1218">
        <f>HYPERLINK("https://klasma.github.io/Logging_0883/kartor_geotiff/S 1520-2023 georefererad karta.tif", "S 1520-2023")</f>
        <v/>
      </c>
      <c r="AA1218">
        <f>HYPERLINK("https://klasma.github.io/Logging_0883/klagomål/S 1520-2023 FSC-klagomål.docx", "S 1520-2023")</f>
        <v/>
      </c>
      <c r="AB1218">
        <f>HYPERLINK("https://klasma.github.io/Logging_0883/klagomålsmail/S 1520-2023 FSC-klagomål mail.docx", "S 1520-2023")</f>
        <v/>
      </c>
      <c r="AC1218">
        <f>HYPERLINK("https://klasma.github.io/Logging_0883/tillsyn/S 1520-2023 tillsynsbegäran.docx", "S 1520-2023")</f>
        <v/>
      </c>
      <c r="AD1218">
        <f>HYPERLINK("https://klasma.github.io/Logging_0883/tillsynsmail/S 1520-2023 tillsynsbegäran mail.docx", "S 1520-2023")</f>
        <v/>
      </c>
    </row>
    <row r="1219" ht="15" customHeight="1">
      <c r="A1219" t="inlineStr">
        <is>
          <t>S 1802-2023</t>
        </is>
      </c>
      <c r="B1219" t="inlineStr">
        <is>
          <t>samrådsanmälan</t>
        </is>
      </c>
      <c r="C1219" t="inlineStr">
        <is>
          <t>Askåterföring</t>
        </is>
      </c>
      <c r="D1219" s="1" t="n">
        <v>45071</v>
      </c>
      <c r="E1219" s="1" t="n">
        <v>46323</v>
      </c>
      <c r="F1219" t="inlineStr">
        <is>
          <t>KALMAR LÄN</t>
        </is>
      </c>
      <c r="G1219" t="inlineStr">
        <is>
          <t>VIMMERBY</t>
        </is>
      </c>
      <c r="I1219" t="n">
        <v>84.5</v>
      </c>
      <c r="J1219" t="n">
        <v>0</v>
      </c>
      <c r="K1219" t="n">
        <v>0</v>
      </c>
      <c r="L1219" t="n">
        <v>1</v>
      </c>
      <c r="M1219" t="n">
        <v>0</v>
      </c>
      <c r="N1219" t="n">
        <v>0</v>
      </c>
      <c r="O1219" t="n">
        <v>0</v>
      </c>
      <c r="P1219" t="n">
        <v>0</v>
      </c>
      <c r="Q1219" t="n">
        <v>1</v>
      </c>
      <c r="R1219" t="n">
        <v>0</v>
      </c>
      <c r="S1219" t="n">
        <v>1</v>
      </c>
      <c r="T1219" t="n">
        <v>1</v>
      </c>
      <c r="U1219" t="n">
        <v>1</v>
      </c>
      <c r="V1219" s="2" t="inlineStr">
        <is>
          <t>Spindelört</t>
        </is>
      </c>
      <c r="W1219">
        <f>HYPERLINK("https://klasma.github.io/Logging_0884/artfynd/S 1802-2023 artfynd.xlsx", "S 1802-2023")</f>
        <v/>
      </c>
      <c r="X1219">
        <f>HYPERLINK("https://klasma.github.io/Logging_0884/kartor/S 1802-2023 karta.png", "S 1802-2023")</f>
        <v/>
      </c>
      <c r="Y1219">
        <f>HYPERLINK("https://klasma.github.io/Logging_0884/kartor_geotiff/S 1802-2023 georefererad karta.tif", "S 1802-2023")</f>
        <v/>
      </c>
      <c r="AA1219">
        <f>HYPERLINK("https://klasma.github.io/Logging_0884/klagomål/S 1802-2023 FSC-klagomål.docx", "S 1802-2023")</f>
        <v/>
      </c>
      <c r="AB1219">
        <f>HYPERLINK("https://klasma.github.io/Logging_0884/klagomålsmail/S 1802-2023 FSC-klagomål mail.docx", "S 1802-2023")</f>
        <v/>
      </c>
      <c r="AC1219">
        <f>HYPERLINK("https://klasma.github.io/Logging_0884/tillsyn/S 1802-2023 tillsynsbegäran.docx", "S 1802-2023")</f>
        <v/>
      </c>
      <c r="AD1219">
        <f>HYPERLINK("https://klasma.github.io/Logging_0884/tillsynsmail/S 1802-2023 tillsynsbegäran mail.docx", "S 1802-2023")</f>
        <v/>
      </c>
    </row>
    <row r="1220" ht="15" customHeight="1">
      <c r="A1220" t="inlineStr">
        <is>
          <t>S 3345-2024</t>
        </is>
      </c>
      <c r="B1220" t="inlineStr">
        <is>
          <t>samrådsanmälan</t>
        </is>
      </c>
      <c r="C1220" t="inlineStr">
        <is>
          <t>Annan skogsbruksåtgärd</t>
        </is>
      </c>
      <c r="D1220" s="1" t="n">
        <v>45531</v>
      </c>
      <c r="E1220" s="1" t="n">
        <v>46323</v>
      </c>
      <c r="F1220" t="inlineStr">
        <is>
          <t>KALMAR LÄN</t>
        </is>
      </c>
      <c r="G1220" t="inlineStr">
        <is>
          <t>VÄSTERVIK</t>
        </is>
      </c>
      <c r="H1220" t="inlineStr">
        <is>
          <t>Kommuner</t>
        </is>
      </c>
      <c r="I1220" t="n">
        <v>8.6</v>
      </c>
      <c r="J1220" t="n">
        <v>1</v>
      </c>
      <c r="K1220" t="n">
        <v>0</v>
      </c>
      <c r="L1220" t="n">
        <v>1</v>
      </c>
      <c r="M1220" t="n">
        <v>0</v>
      </c>
      <c r="N1220" t="n">
        <v>0</v>
      </c>
      <c r="O1220" t="n">
        <v>0</v>
      </c>
      <c r="P1220" t="n">
        <v>0</v>
      </c>
      <c r="Q1220" t="n">
        <v>1</v>
      </c>
      <c r="R1220" t="n">
        <v>0</v>
      </c>
      <c r="S1220" t="n">
        <v>1</v>
      </c>
      <c r="T1220" t="n">
        <v>1</v>
      </c>
      <c r="U1220" t="n">
        <v>0</v>
      </c>
      <c r="V1220" s="2" t="inlineStr">
        <is>
          <t>Kungsfiskare</t>
        </is>
      </c>
      <c r="W1220">
        <f>HYPERLINK("https://klasma.github.io/Logging_0883/artfynd/S 3345-2024 artfynd.xlsx", "S 3345-2024")</f>
        <v/>
      </c>
      <c r="X1220">
        <f>HYPERLINK("https://klasma.github.io/Logging_0883/kartor/S 3345-2024 karta.png", "S 3345-2024")</f>
        <v/>
      </c>
      <c r="Y1220">
        <f>HYPERLINK("https://klasma.github.io/Logging_0883/kartor_geotiff/S 3345-2024 georefererad karta.tif", "S 3345-2024")</f>
        <v/>
      </c>
      <c r="AA1220">
        <f>HYPERLINK("https://klasma.github.io/Logging_0883/klagomål/S 3345-2024 FSC-klagomål.docx", "S 3345-2024")</f>
        <v/>
      </c>
      <c r="AB1220">
        <f>HYPERLINK("https://klasma.github.io/Logging_0883/klagomålsmail/S 3345-2024 FSC-klagomål mail.docx", "S 3345-2024")</f>
        <v/>
      </c>
      <c r="AC1220">
        <f>HYPERLINK("https://klasma.github.io/Logging_0883/tillsyn/S 3345-2024 tillsynsbegäran.docx", "S 3345-2024")</f>
        <v/>
      </c>
      <c r="AD1220">
        <f>HYPERLINK("https://klasma.github.io/Logging_0883/tillsynsmail/S 3345-2024 tillsynsbegäran mail.docx", "S 3345-2024")</f>
        <v/>
      </c>
    </row>
    <row r="1221" ht="15" customHeight="1">
      <c r="A1221" t="inlineStr">
        <is>
          <t>S 4782-2024</t>
        </is>
      </c>
      <c r="B1221" t="inlineStr">
        <is>
          <t>samrådsanmälan</t>
        </is>
      </c>
      <c r="C1221" t="inlineStr">
        <is>
          <t>Askåterföring</t>
        </is>
      </c>
      <c r="D1221" s="1" t="n">
        <v>45611</v>
      </c>
      <c r="E1221" s="1" t="n">
        <v>46323</v>
      </c>
      <c r="F1221" t="inlineStr">
        <is>
          <t>KALMAR LÄN</t>
        </is>
      </c>
      <c r="G1221" t="inlineStr">
        <is>
          <t>KALMAR</t>
        </is>
      </c>
      <c r="I1221" t="n">
        <v>45</v>
      </c>
      <c r="J1221" t="n">
        <v>0</v>
      </c>
      <c r="K1221" t="n">
        <v>0</v>
      </c>
      <c r="L1221" t="n">
        <v>1</v>
      </c>
      <c r="M1221" t="n">
        <v>0</v>
      </c>
      <c r="N1221" t="n">
        <v>0</v>
      </c>
      <c r="O1221" t="n">
        <v>0</v>
      </c>
      <c r="P1221" t="n">
        <v>0</v>
      </c>
      <c r="Q1221" t="n">
        <v>1</v>
      </c>
      <c r="R1221" t="n">
        <v>0</v>
      </c>
      <c r="S1221" t="n">
        <v>1</v>
      </c>
      <c r="T1221" t="n">
        <v>1</v>
      </c>
      <c r="U1221" t="n">
        <v>0</v>
      </c>
      <c r="V1221" s="2" t="inlineStr">
        <is>
          <t>Slåtterfibbla</t>
        </is>
      </c>
      <c r="W1221">
        <f>HYPERLINK("https://klasma.github.io/Logging_0880/artfynd/S 4782-2024 artfynd.xlsx", "S 4782-2024")</f>
        <v/>
      </c>
      <c r="X1221">
        <f>HYPERLINK("https://klasma.github.io/Logging_0880/kartor/S 4782-2024 karta.png", "S 4782-2024")</f>
        <v/>
      </c>
      <c r="Y1221">
        <f>HYPERLINK("https://klasma.github.io/Logging_0880/kartor_geotiff/S 4782-2024 georefererad karta.tif", "S 4782-2024")</f>
        <v/>
      </c>
      <c r="AA1221">
        <f>HYPERLINK("https://klasma.github.io/Logging_0880/klagomål/S 4782-2024 FSC-klagomål.docx", "S 4782-2024")</f>
        <v/>
      </c>
      <c r="AB1221">
        <f>HYPERLINK("https://klasma.github.io/Logging_0880/klagomålsmail/S 4782-2024 FSC-klagomål mail.docx", "S 4782-2024")</f>
        <v/>
      </c>
      <c r="AC1221">
        <f>HYPERLINK("https://klasma.github.io/Logging_0880/tillsyn/S 4782-2024 tillsynsbegäran.docx", "S 4782-2024")</f>
        <v/>
      </c>
      <c r="AD1221">
        <f>HYPERLINK("https://klasma.github.io/Logging_0880/tillsynsmail/S 4782-2024 tillsynsbegäran mail.docx", "S 4782-2024")</f>
        <v/>
      </c>
    </row>
    <row r="1222" ht="15" customHeight="1">
      <c r="A1222" t="inlineStr">
        <is>
          <t>S 978-2024</t>
        </is>
      </c>
      <c r="B1222" t="inlineStr">
        <is>
          <t>samrådsanmälan</t>
        </is>
      </c>
      <c r="C1222" t="inlineStr">
        <is>
          <t>Annan skogsbruksåtgärd</t>
        </is>
      </c>
      <c r="D1222" s="1" t="n">
        <v>45385</v>
      </c>
      <c r="E1222" s="1" t="n">
        <v>46323</v>
      </c>
      <c r="F1222" t="inlineStr">
        <is>
          <t>KALMAR LÄN</t>
        </is>
      </c>
      <c r="G1222" t="inlineStr">
        <is>
          <t>VÄSTERVIK</t>
        </is>
      </c>
      <c r="H1222" t="inlineStr">
        <is>
          <t>Kommuner</t>
        </is>
      </c>
      <c r="I1222" t="n">
        <v>0.5</v>
      </c>
      <c r="J1222" t="n">
        <v>0</v>
      </c>
      <c r="K1222" t="n">
        <v>0</v>
      </c>
      <c r="L1222" t="n">
        <v>1</v>
      </c>
      <c r="M1222" t="n">
        <v>0</v>
      </c>
      <c r="N1222" t="n">
        <v>0</v>
      </c>
      <c r="O1222" t="n">
        <v>0</v>
      </c>
      <c r="P1222" t="n">
        <v>0</v>
      </c>
      <c r="Q1222" t="n">
        <v>1</v>
      </c>
      <c r="R1222" t="n">
        <v>0</v>
      </c>
      <c r="S1222" t="n">
        <v>1</v>
      </c>
      <c r="T1222" t="n">
        <v>1</v>
      </c>
      <c r="U1222" t="n">
        <v>0</v>
      </c>
      <c r="V1222" s="2" t="inlineStr">
        <is>
          <t>Skogsklocka</t>
        </is>
      </c>
      <c r="W1222">
        <f>HYPERLINK("https://klasma.github.io/Logging_0883/artfynd/S 978-2024 artfynd.xlsx", "S 978-2024")</f>
        <v/>
      </c>
      <c r="X1222">
        <f>HYPERLINK("https://klasma.github.io/Logging_0883/kartor/S 978-2024 karta.png", "S 978-2024")</f>
        <v/>
      </c>
      <c r="Y1222">
        <f>HYPERLINK("https://klasma.github.io/Logging_0883/kartor_geotiff/S 978-2024 georefererad karta.tif", "S 978-2024")</f>
        <v/>
      </c>
      <c r="AA1222">
        <f>HYPERLINK("https://klasma.github.io/Logging_0883/klagomål/S 978-2024 FSC-klagomål.docx", "S 978-2024")</f>
        <v/>
      </c>
      <c r="AB1222">
        <f>HYPERLINK("https://klasma.github.io/Logging_0883/klagomålsmail/S 978-2024 FSC-klagomål mail.docx", "S 978-2024")</f>
        <v/>
      </c>
      <c r="AC1222">
        <f>HYPERLINK("https://klasma.github.io/Logging_0883/tillsyn/S 978-2024 tillsynsbegäran.docx", "S 978-2024")</f>
        <v/>
      </c>
      <c r="AD1222">
        <f>HYPERLINK("https://klasma.github.io/Logging_0883/tillsynsmail/S 978-2024 tillsynsbegäran mail.docx", "S 978-2024")</f>
        <v/>
      </c>
    </row>
    <row r="1223" ht="15" customHeight="1">
      <c r="A1223" t="inlineStr">
        <is>
          <t>S 1054-2024</t>
        </is>
      </c>
      <c r="B1223" t="inlineStr">
        <is>
          <t>samrådsanmälan</t>
        </is>
      </c>
      <c r="C1223" t="inlineStr">
        <is>
          <t>Askåterföring</t>
        </is>
      </c>
      <c r="D1223" s="1" t="n">
        <v>45387</v>
      </c>
      <c r="E1223" s="1" t="n">
        <v>46323</v>
      </c>
      <c r="F1223" t="inlineStr">
        <is>
          <t>KALMAR LÄN</t>
        </is>
      </c>
      <c r="G1223" t="inlineStr">
        <is>
          <t>TORSÅS</t>
        </is>
      </c>
      <c r="I1223" t="n">
        <v>26.1</v>
      </c>
      <c r="J1223" t="n">
        <v>1</v>
      </c>
      <c r="K1223" t="n">
        <v>0</v>
      </c>
      <c r="L1223" t="n">
        <v>0</v>
      </c>
      <c r="M1223" t="n">
        <v>0</v>
      </c>
      <c r="N1223" t="n">
        <v>0</v>
      </c>
      <c r="O1223" t="n">
        <v>0</v>
      </c>
      <c r="P1223" t="n">
        <v>0</v>
      </c>
      <c r="Q1223" t="n">
        <v>0</v>
      </c>
      <c r="R1223" t="n">
        <v>0</v>
      </c>
      <c r="S1223" t="n">
        <v>1</v>
      </c>
      <c r="T1223" t="n">
        <v>1</v>
      </c>
      <c r="U1223" t="n">
        <v>1</v>
      </c>
      <c r="V1223" s="2" t="inlineStr">
        <is>
          <t>Revlummer</t>
        </is>
      </c>
      <c r="W1223">
        <f>HYPERLINK("https://klasma.github.io/Logging_0834/artfynd/S 1054-2024 artfynd.xlsx", "S 1054-2024")</f>
        <v/>
      </c>
      <c r="X1223">
        <f>HYPERLINK("https://klasma.github.io/Logging_0834/kartor/S 1054-2024 karta.png", "S 1054-2024")</f>
        <v/>
      </c>
      <c r="Y1223">
        <f>HYPERLINK("https://klasma.github.io/Logging_0834/kartor_geotiff/S 1054-2024 georefererad karta.tif", "S 1054-2024")</f>
        <v/>
      </c>
      <c r="AA1223">
        <f>HYPERLINK("https://klasma.github.io/Logging_0834/klagomål/S 1054-2024 FSC-klagomål.docx", "S 1054-2024")</f>
        <v/>
      </c>
      <c r="AB1223">
        <f>HYPERLINK("https://klasma.github.io/Logging_0834/klagomålsmail/S 1054-2024 FSC-klagomål mail.docx", "S 1054-2024")</f>
        <v/>
      </c>
      <c r="AC1223">
        <f>HYPERLINK("https://klasma.github.io/Logging_0834/tillsyn/S 1054-2024 tillsynsbegäran.docx", "S 1054-2024")</f>
        <v/>
      </c>
      <c r="AD1223">
        <f>HYPERLINK("https://klasma.github.io/Logging_0834/tillsynsmail/S 1054-2024 tillsynsbegäran mail.docx", "S 1054-2024")</f>
        <v/>
      </c>
    </row>
    <row r="1224" ht="15" customHeight="1">
      <c r="A1224" t="inlineStr">
        <is>
          <t>S 2622-2024</t>
        </is>
      </c>
      <c r="B1224" t="inlineStr">
        <is>
          <t>samrådsanmälan</t>
        </is>
      </c>
      <c r="C1224" t="inlineStr">
        <is>
          <t>Askåterföring</t>
        </is>
      </c>
      <c r="D1224" s="1" t="n">
        <v>45477</v>
      </c>
      <c r="E1224" s="1" t="n">
        <v>46323</v>
      </c>
      <c r="F1224" t="inlineStr">
        <is>
          <t>KALMAR LÄN</t>
        </is>
      </c>
      <c r="G1224" t="inlineStr">
        <is>
          <t>HULTSFRED</t>
        </is>
      </c>
      <c r="I1224" t="n">
        <v>26.7</v>
      </c>
      <c r="J1224" t="n">
        <v>0</v>
      </c>
      <c r="K1224" t="n">
        <v>0</v>
      </c>
      <c r="L1224" t="n">
        <v>0</v>
      </c>
      <c r="M1224" t="n">
        <v>1</v>
      </c>
      <c r="N1224" t="n">
        <v>0</v>
      </c>
      <c r="O1224" t="n">
        <v>0</v>
      </c>
      <c r="P1224" t="n">
        <v>0</v>
      </c>
      <c r="Q1224" t="n">
        <v>1</v>
      </c>
      <c r="R1224" t="n">
        <v>1</v>
      </c>
      <c r="S1224" t="n">
        <v>1</v>
      </c>
      <c r="T1224" t="n">
        <v>1</v>
      </c>
      <c r="U1224" t="n">
        <v>0</v>
      </c>
      <c r="V1224" s="2" t="inlineStr">
        <is>
          <t>Flikig tallfibbla</t>
        </is>
      </c>
      <c r="W1224">
        <f>HYPERLINK("https://klasma.github.io/Logging_0860/artfynd/S 2622-2024 artfynd.xlsx", "S 2622-2024")</f>
        <v/>
      </c>
      <c r="X1224">
        <f>HYPERLINK("https://klasma.github.io/Logging_0860/kartor/S 2622-2024 karta.png", "S 2622-2024")</f>
        <v/>
      </c>
      <c r="Y1224">
        <f>HYPERLINK("https://klasma.github.io/Logging_0860/kartor_geotiff/S 2622-2024 georefererad karta.tif", "S 2622-2024")</f>
        <v/>
      </c>
      <c r="AA1224">
        <f>HYPERLINK("https://klasma.github.io/Logging_0860/klagomål/S 2622-2024 FSC-klagomål.docx", "S 2622-2024")</f>
        <v/>
      </c>
      <c r="AB1224">
        <f>HYPERLINK("https://klasma.github.io/Logging_0860/klagomålsmail/S 2622-2024 FSC-klagomål mail.docx", "S 2622-2024")</f>
        <v/>
      </c>
      <c r="AC1224">
        <f>HYPERLINK("https://klasma.github.io/Logging_0860/tillsyn/S 2622-2024 tillsynsbegäran.docx", "S 2622-2024")</f>
        <v/>
      </c>
      <c r="AD1224">
        <f>HYPERLINK("https://klasma.github.io/Logging_0860/tillsynsmail/S 2622-2024 tillsynsbegäran mail.docx", "S 2622-2024")</f>
        <v/>
      </c>
    </row>
    <row r="1225" ht="15" customHeight="1">
      <c r="A1225" t="inlineStr">
        <is>
          <t>S 1009-2024</t>
        </is>
      </c>
      <c r="B1225" t="inlineStr">
        <is>
          <t>samrådsanmälan</t>
        </is>
      </c>
      <c r="C1225" t="inlineStr">
        <is>
          <t>Askåterföring</t>
        </is>
      </c>
      <c r="D1225" s="1" t="n">
        <v>45386</v>
      </c>
      <c r="E1225" s="1" t="n">
        <v>46323</v>
      </c>
      <c r="F1225" t="inlineStr">
        <is>
          <t>KALMAR LÄN</t>
        </is>
      </c>
      <c r="G1225" t="inlineStr">
        <is>
          <t>EMMABODA</t>
        </is>
      </c>
      <c r="I1225" t="n">
        <v>37.9</v>
      </c>
      <c r="J1225" t="n">
        <v>1</v>
      </c>
      <c r="K1225" t="n">
        <v>1</v>
      </c>
      <c r="L1225" t="n">
        <v>0</v>
      </c>
      <c r="M1225" t="n">
        <v>0</v>
      </c>
      <c r="N1225" t="n">
        <v>0</v>
      </c>
      <c r="O1225" t="n">
        <v>0</v>
      </c>
      <c r="P1225" t="n">
        <v>0</v>
      </c>
      <c r="Q1225" t="n">
        <v>0</v>
      </c>
      <c r="R1225" t="n">
        <v>0</v>
      </c>
      <c r="S1225" t="n">
        <v>1</v>
      </c>
      <c r="T1225" t="n">
        <v>1</v>
      </c>
      <c r="U1225" t="n">
        <v>0</v>
      </c>
      <c r="V1225" s="2" t="inlineStr">
        <is>
          <t>Grön sköldmossa</t>
        </is>
      </c>
      <c r="W1225">
        <f>HYPERLINK("https://klasma.github.io/Logging_0862/artfynd/S 1009-2024 artfynd.xlsx", "S 1009-2024")</f>
        <v/>
      </c>
      <c r="X1225">
        <f>HYPERLINK("https://klasma.github.io/Logging_0862/kartor/S 1009-2024 karta.png", "S 1009-2024")</f>
        <v/>
      </c>
      <c r="Y1225">
        <f>HYPERLINK("https://klasma.github.io/Logging_0862/kartor_geotiff/S 1009-2024 georefererad karta.tif", "S 1009-2024")</f>
        <v/>
      </c>
      <c r="AA1225">
        <f>HYPERLINK("https://klasma.github.io/Logging_0862/klagomål/S 1009-2024 FSC-klagomål.docx", "S 1009-2024")</f>
        <v/>
      </c>
      <c r="AB1225">
        <f>HYPERLINK("https://klasma.github.io/Logging_0862/klagomålsmail/S 1009-2024 FSC-klagomål mail.docx", "S 1009-2024")</f>
        <v/>
      </c>
      <c r="AC1225">
        <f>HYPERLINK("https://klasma.github.io/Logging_0862/tillsyn/S 1009-2024 tillsynsbegäran.docx", "S 1009-2024")</f>
        <v/>
      </c>
      <c r="AD1225">
        <f>HYPERLINK("https://klasma.github.io/Logging_0862/tillsynsmail/S 1009-2024 tillsynsbegäran mail.docx", "S 1009-2024")</f>
        <v/>
      </c>
    </row>
    <row r="1226" ht="15" customHeight="1">
      <c r="A1226" t="inlineStr">
        <is>
          <t>S 272-2025</t>
        </is>
      </c>
      <c r="B1226" t="inlineStr">
        <is>
          <t>samrådsanmälan</t>
        </is>
      </c>
      <c r="C1226" t="inlineStr">
        <is>
          <t>Askåterföring</t>
        </is>
      </c>
      <c r="D1226" s="1" t="n">
        <v>45685</v>
      </c>
      <c r="E1226" s="1" t="n">
        <v>46323</v>
      </c>
      <c r="F1226" t="inlineStr">
        <is>
          <t>KALMAR LÄN</t>
        </is>
      </c>
      <c r="G1226" t="inlineStr">
        <is>
          <t>EMMABODA</t>
        </is>
      </c>
      <c r="I1226" t="n">
        <v>34.1</v>
      </c>
      <c r="J1226" t="n">
        <v>1</v>
      </c>
      <c r="K1226" t="n">
        <v>0</v>
      </c>
      <c r="L1226" t="n">
        <v>0</v>
      </c>
      <c r="M1226" t="n">
        <v>0</v>
      </c>
      <c r="N1226" t="n">
        <v>0</v>
      </c>
      <c r="O1226" t="n">
        <v>0</v>
      </c>
      <c r="P1226" t="n">
        <v>0</v>
      </c>
      <c r="Q1226" t="n">
        <v>0</v>
      </c>
      <c r="R1226" t="n">
        <v>0</v>
      </c>
      <c r="S1226" t="n">
        <v>1</v>
      </c>
      <c r="T1226" t="n">
        <v>1</v>
      </c>
      <c r="U1226" t="n">
        <v>0</v>
      </c>
      <c r="V1226" s="2" t="inlineStr">
        <is>
          <t>Trädlärka</t>
        </is>
      </c>
      <c r="W1226">
        <f>HYPERLINK("https://klasma.github.io/Logging_0862/artfynd/S 272-2025 artfynd.xlsx", "S 272-2025")</f>
        <v/>
      </c>
      <c r="X1226">
        <f>HYPERLINK("https://klasma.github.io/Logging_0862/kartor/S 272-2025 karta.png", "S 272-2025")</f>
        <v/>
      </c>
      <c r="Y1226">
        <f>HYPERLINK("https://klasma.github.io/Logging_0862/kartor_geotiff/S 272-2025 georefererad karta.tif", "S 272-2025")</f>
        <v/>
      </c>
      <c r="AA1226">
        <f>HYPERLINK("https://klasma.github.io/Logging_0862/klagomål/S 272-2025 FSC-klagomål.docx", "S 272-2025")</f>
        <v/>
      </c>
      <c r="AB1226">
        <f>HYPERLINK("https://klasma.github.io/Logging_0862/klagomålsmail/S 272-2025 FSC-klagomål mail.docx", "S 272-2025")</f>
        <v/>
      </c>
      <c r="AC1226">
        <f>HYPERLINK("https://klasma.github.io/Logging_0862/tillsyn/S 272-2025 tillsynsbegäran.docx", "S 272-2025")</f>
        <v/>
      </c>
      <c r="AD1226">
        <f>HYPERLINK("https://klasma.github.io/Logging_0862/tillsynsmail/S 272-2025 tillsynsbegäran mail.docx", "S 272-2025")</f>
        <v/>
      </c>
      <c r="AE1226">
        <f>HYPERLINK("https://klasma.github.io/Logging_0862/fåglar/S 272-2025 prioriterade fågelarter.docx", "S 272-2025")</f>
        <v/>
      </c>
    </row>
    <row r="1227" ht="15" customHeight="1">
      <c r="A1227" t="inlineStr">
        <is>
          <t>S 870-2024</t>
        </is>
      </c>
      <c r="B1227" t="inlineStr">
        <is>
          <t>samrådsanmälan</t>
        </is>
      </c>
      <c r="C1227" t="inlineStr">
        <is>
          <t>Askåterföring</t>
        </is>
      </c>
      <c r="D1227" s="1" t="n">
        <v>45373</v>
      </c>
      <c r="E1227" s="1" t="n">
        <v>46323</v>
      </c>
      <c r="F1227" t="inlineStr">
        <is>
          <t>KALMAR LÄN</t>
        </is>
      </c>
      <c r="G1227" t="inlineStr">
        <is>
          <t>KALMAR</t>
        </is>
      </c>
      <c r="I1227" t="n">
        <v>23.8</v>
      </c>
      <c r="J1227" t="n">
        <v>1</v>
      </c>
      <c r="K1227" t="n">
        <v>0</v>
      </c>
      <c r="L1227" t="n">
        <v>0</v>
      </c>
      <c r="M1227" t="n">
        <v>1</v>
      </c>
      <c r="N1227" t="n">
        <v>0</v>
      </c>
      <c r="O1227" t="n">
        <v>0</v>
      </c>
      <c r="P1227" t="n">
        <v>0</v>
      </c>
      <c r="Q1227" t="n">
        <v>1</v>
      </c>
      <c r="R1227" t="n">
        <v>1</v>
      </c>
      <c r="S1227" t="n">
        <v>1</v>
      </c>
      <c r="T1227" t="n">
        <v>1</v>
      </c>
      <c r="U1227" t="n">
        <v>0</v>
      </c>
      <c r="V1227" s="2" t="inlineStr">
        <is>
          <t>Knärot</t>
        </is>
      </c>
      <c r="W1227">
        <f>HYPERLINK("https://klasma.github.io/Logging_0880/artfynd/S 870-2024 artfynd.xlsx", "S 870-2024")</f>
        <v/>
      </c>
      <c r="X1227">
        <f>HYPERLINK("https://klasma.github.io/Logging_0880/kartor/S 870-2024 karta.png", "S 870-2024")</f>
        <v/>
      </c>
      <c r="Y1227">
        <f>HYPERLINK("https://klasma.github.io/Logging_0880/kartor_geotiff/S 870-2024 georefererad karta.tif", "S 870-2024")</f>
        <v/>
      </c>
      <c r="Z1227">
        <f>HYPERLINK("https://klasma.github.io/Logging_0880/knärot/S 870-2024 karta knärot.png", "S 870-2024")</f>
        <v/>
      </c>
      <c r="AA1227">
        <f>HYPERLINK("https://klasma.github.io/Logging_0880/klagomål/S 870-2024 FSC-klagomål.docx", "S 870-2024")</f>
        <v/>
      </c>
      <c r="AB1227">
        <f>HYPERLINK("https://klasma.github.io/Logging_0880/klagomålsmail/S 870-2024 FSC-klagomål mail.docx", "S 870-2024")</f>
        <v/>
      </c>
      <c r="AC1227">
        <f>HYPERLINK("https://klasma.github.io/Logging_0880/tillsyn/S 870-2024 tillsynsbegäran.docx", "S 870-2024")</f>
        <v/>
      </c>
      <c r="AD1227">
        <f>HYPERLINK("https://klasma.github.io/Logging_0880/tillsynsmail/S 870-2024 tillsynsbegäran mail.docx", "S 870-2024")</f>
        <v/>
      </c>
    </row>
    <row r="1228" ht="15" customHeight="1">
      <c r="A1228" t="inlineStr">
        <is>
          <t>S 1064-2025</t>
        </is>
      </c>
      <c r="B1228" t="inlineStr">
        <is>
          <t>samrådsanmälan</t>
        </is>
      </c>
      <c r="C1228" t="inlineStr">
        <is>
          <t>Annan skogsbruksåtgärd</t>
        </is>
      </c>
      <c r="D1228" s="1" t="n">
        <v>45749</v>
      </c>
      <c r="E1228" s="1" t="n">
        <v>46323</v>
      </c>
      <c r="F1228" t="inlineStr">
        <is>
          <t>KALMAR LÄN</t>
        </is>
      </c>
      <c r="G1228" t="inlineStr">
        <is>
          <t>HÖGSBY</t>
        </is>
      </c>
      <c r="H1228" t="inlineStr">
        <is>
          <t>Sveaskog</t>
        </is>
      </c>
      <c r="I1228" t="n">
        <v>2.5</v>
      </c>
      <c r="J1228" t="n">
        <v>1</v>
      </c>
      <c r="K1228" t="n">
        <v>0</v>
      </c>
      <c r="L1228" t="n">
        <v>0</v>
      </c>
      <c r="M1228" t="n">
        <v>0</v>
      </c>
      <c r="N1228" t="n">
        <v>0</v>
      </c>
      <c r="O1228" t="n">
        <v>0</v>
      </c>
      <c r="P1228" t="n">
        <v>0</v>
      </c>
      <c r="Q1228" t="n">
        <v>0</v>
      </c>
      <c r="R1228" t="n">
        <v>0</v>
      </c>
      <c r="S1228" t="n">
        <v>1</v>
      </c>
      <c r="T1228" t="n">
        <v>1</v>
      </c>
      <c r="U1228" t="n">
        <v>0</v>
      </c>
      <c r="V1228" s="2" t="inlineStr">
        <is>
          <t>Blåsippa</t>
        </is>
      </c>
      <c r="W1228">
        <f>HYPERLINK("https://klasma.github.io/Logging_0821/artfynd/S 1064-2025 artfynd.xlsx", "S 1064-2025")</f>
        <v/>
      </c>
      <c r="X1228">
        <f>HYPERLINK("https://klasma.github.io/Logging_0821/kartor/S 1064-2025 karta.png", "S 1064-2025")</f>
        <v/>
      </c>
      <c r="Y1228">
        <f>HYPERLINK("https://klasma.github.io/Logging_0821/kartor_geotiff/S 1064-2025 georefererad karta.tif", "S 1064-2025")</f>
        <v/>
      </c>
      <c r="AA1228">
        <f>HYPERLINK("https://klasma.github.io/Logging_0821/klagomål/S 1064-2025 FSC-klagomål.docx", "S 1064-2025")</f>
        <v/>
      </c>
      <c r="AB1228">
        <f>HYPERLINK("https://klasma.github.io/Logging_0821/klagomålsmail/S 1064-2025 FSC-klagomål mail.docx", "S 1064-2025")</f>
        <v/>
      </c>
      <c r="AC1228">
        <f>HYPERLINK("https://klasma.github.io/Logging_0821/tillsyn/S 1064-2025 tillsynsbegäran.docx", "S 1064-2025")</f>
        <v/>
      </c>
      <c r="AD1228">
        <f>HYPERLINK("https://klasma.github.io/Logging_0821/tillsynsmail/S 1064-2025 tillsynsbegäran mail.docx", "S 1064-2025")</f>
        <v/>
      </c>
    </row>
    <row r="1229" ht="15" customHeight="1">
      <c r="A1229" t="inlineStr">
        <is>
          <t>S 1126-2025</t>
        </is>
      </c>
      <c r="B1229" t="inlineStr">
        <is>
          <t>samrådsanmälan</t>
        </is>
      </c>
      <c r="C1229" t="inlineStr">
        <is>
          <t>Annan skogsbruksåtgärd</t>
        </is>
      </c>
      <c r="D1229" s="1" t="n">
        <v>45755</v>
      </c>
      <c r="E1229" s="1" t="n">
        <v>46323</v>
      </c>
      <c r="F1229" t="inlineStr">
        <is>
          <t>KALMAR LÄN</t>
        </is>
      </c>
      <c r="G1229" t="inlineStr">
        <is>
          <t>HULTSFRED</t>
        </is>
      </c>
      <c r="H1229" t="inlineStr">
        <is>
          <t>Sveaskog</t>
        </is>
      </c>
      <c r="I1229" t="n">
        <v>3.3</v>
      </c>
      <c r="J1229" t="n">
        <v>1</v>
      </c>
      <c r="K1229" t="n">
        <v>0</v>
      </c>
      <c r="L1229" t="n">
        <v>1</v>
      </c>
      <c r="M1229" t="n">
        <v>0</v>
      </c>
      <c r="N1229" t="n">
        <v>0</v>
      </c>
      <c r="O1229" t="n">
        <v>0</v>
      </c>
      <c r="P1229" t="n">
        <v>0</v>
      </c>
      <c r="Q1229" t="n">
        <v>1</v>
      </c>
      <c r="R1229" t="n">
        <v>0</v>
      </c>
      <c r="S1229" t="n">
        <v>1</v>
      </c>
      <c r="T1229" t="n">
        <v>1</v>
      </c>
      <c r="U1229" t="n">
        <v>0</v>
      </c>
      <c r="V1229" s="2" t="inlineStr">
        <is>
          <t>Enkelbeckasin</t>
        </is>
      </c>
      <c r="W1229">
        <f>HYPERLINK("https://klasma.github.io/Logging_0860/artfynd/S 1126-2025 artfynd.xlsx", "S 1126-2025")</f>
        <v/>
      </c>
      <c r="X1229">
        <f>HYPERLINK("https://klasma.github.io/Logging_0860/kartor/S 1126-2025 karta.png", "S 1126-2025")</f>
        <v/>
      </c>
      <c r="Y1229">
        <f>HYPERLINK("https://klasma.github.io/Logging_0860/kartor_geotiff/S 1126-2025 georefererad karta.tif", "S 1126-2025")</f>
        <v/>
      </c>
      <c r="AA1229">
        <f>HYPERLINK("https://klasma.github.io/Logging_0860/klagomål/S 1126-2025 FSC-klagomål.docx", "S 1126-2025")</f>
        <v/>
      </c>
      <c r="AB1229">
        <f>HYPERLINK("https://klasma.github.io/Logging_0860/klagomålsmail/S 1126-2025 FSC-klagomål mail.docx", "S 1126-2025")</f>
        <v/>
      </c>
      <c r="AC1229">
        <f>HYPERLINK("https://klasma.github.io/Logging_0860/tillsyn/S 1126-2025 tillsynsbegäran.docx", "S 1126-2025")</f>
        <v/>
      </c>
      <c r="AD1229">
        <f>HYPERLINK("https://klasma.github.io/Logging_0860/tillsynsmail/S 1126-2025 tillsynsbegäran mail.docx", "S 1126-2025")</f>
        <v/>
      </c>
      <c r="AE1229">
        <f>HYPERLINK("https://klasma.github.io/Logging_0860/fåglar/S 1126-2025 prioriterade fågelarter.docx", "S 1126-2025")</f>
        <v/>
      </c>
    </row>
    <row r="1230" ht="15" customHeight="1">
      <c r="A1230" t="inlineStr">
        <is>
          <t>S 1216-2025</t>
        </is>
      </c>
      <c r="B1230" t="inlineStr">
        <is>
          <t>samrådsanmälan</t>
        </is>
      </c>
      <c r="C1230" t="inlineStr">
        <is>
          <t>Annan skogsbruksåtgärd</t>
        </is>
      </c>
      <c r="D1230" s="1" t="n">
        <v>45761</v>
      </c>
      <c r="E1230" s="1" t="n">
        <v>46323</v>
      </c>
      <c r="F1230" t="inlineStr">
        <is>
          <t>KALMAR LÄN</t>
        </is>
      </c>
      <c r="G1230" t="inlineStr">
        <is>
          <t>HÖGSBY</t>
        </is>
      </c>
      <c r="I1230" t="n">
        <v>2.9</v>
      </c>
      <c r="J1230" t="n">
        <v>0</v>
      </c>
      <c r="K1230" t="n">
        <v>0</v>
      </c>
      <c r="L1230" t="n">
        <v>1</v>
      </c>
      <c r="M1230" t="n">
        <v>0</v>
      </c>
      <c r="N1230" t="n">
        <v>0</v>
      </c>
      <c r="O1230" t="n">
        <v>0</v>
      </c>
      <c r="P1230" t="n">
        <v>0</v>
      </c>
      <c r="Q1230" t="n">
        <v>1</v>
      </c>
      <c r="R1230" t="n">
        <v>0</v>
      </c>
      <c r="S1230" t="n">
        <v>1</v>
      </c>
      <c r="T1230" t="n">
        <v>1</v>
      </c>
      <c r="U1230" t="n">
        <v>0</v>
      </c>
      <c r="V1230" s="2" t="inlineStr">
        <is>
          <t>Vedtrappmossa</t>
        </is>
      </c>
      <c r="W1230">
        <f>HYPERLINK("https://klasma.github.io/Logging_0821/artfynd/S 1216-2025 artfynd.xlsx", "S 1216-2025")</f>
        <v/>
      </c>
      <c r="X1230">
        <f>HYPERLINK("https://klasma.github.io/Logging_0821/kartor/S 1216-2025 karta.png", "S 1216-2025")</f>
        <v/>
      </c>
      <c r="Y1230">
        <f>HYPERLINK("https://klasma.github.io/Logging_0821/kartor_geotiff/S 1216-2025 georefererad karta.tif", "S 1216-2025")</f>
        <v/>
      </c>
      <c r="AA1230">
        <f>HYPERLINK("https://klasma.github.io/Logging_0821/klagomål/S 1216-2025 FSC-klagomål.docx", "S 1216-2025")</f>
        <v/>
      </c>
      <c r="AB1230">
        <f>HYPERLINK("https://klasma.github.io/Logging_0821/klagomålsmail/S 1216-2025 FSC-klagomål mail.docx", "S 1216-2025")</f>
        <v/>
      </c>
      <c r="AC1230">
        <f>HYPERLINK("https://klasma.github.io/Logging_0821/tillsyn/S 1216-2025 tillsynsbegäran.docx", "S 1216-2025")</f>
        <v/>
      </c>
      <c r="AD1230">
        <f>HYPERLINK("https://klasma.github.io/Logging_0821/tillsynsmail/S 1216-2025 tillsynsbegäran mail.docx", "S 1216-2025")</f>
        <v/>
      </c>
    </row>
    <row r="1231" ht="15" customHeight="1">
      <c r="A1231" t="inlineStr">
        <is>
          <t>S 731-2025</t>
        </is>
      </c>
      <c r="B1231" t="inlineStr">
        <is>
          <t>samrådsanmälan</t>
        </is>
      </c>
      <c r="C1231" t="inlineStr">
        <is>
          <t>Askåterföring</t>
        </is>
      </c>
      <c r="D1231" s="1" t="n">
        <v>45722</v>
      </c>
      <c r="E1231" s="1" t="n">
        <v>46323</v>
      </c>
      <c r="F1231" t="inlineStr">
        <is>
          <t>KALMAR LÄN</t>
        </is>
      </c>
      <c r="G1231" t="inlineStr">
        <is>
          <t>VÄSTERVIK</t>
        </is>
      </c>
      <c r="I1231" t="n">
        <v>13</v>
      </c>
      <c r="J1231" t="n">
        <v>0</v>
      </c>
      <c r="K1231" t="n">
        <v>1</v>
      </c>
      <c r="L1231" t="n">
        <v>0</v>
      </c>
      <c r="M1231" t="n">
        <v>0</v>
      </c>
      <c r="N1231" t="n">
        <v>0</v>
      </c>
      <c r="O1231" t="n">
        <v>0</v>
      </c>
      <c r="P1231" t="n">
        <v>0</v>
      </c>
      <c r="Q1231" t="n">
        <v>0</v>
      </c>
      <c r="R1231" t="n">
        <v>0</v>
      </c>
      <c r="S1231" t="n">
        <v>1</v>
      </c>
      <c r="T1231" t="n">
        <v>1</v>
      </c>
      <c r="U1231" t="n">
        <v>1</v>
      </c>
      <c r="V1231" s="2" t="inlineStr">
        <is>
          <t>Ögonpyrola</t>
        </is>
      </c>
      <c r="W1231">
        <f>HYPERLINK("https://klasma.github.io/Logging_0883/artfynd/S 731-2025 artfynd.xlsx", "S 731-2025")</f>
        <v/>
      </c>
      <c r="X1231">
        <f>HYPERLINK("https://klasma.github.io/Logging_0883/kartor/S 731-2025 karta.png", "S 731-2025")</f>
        <v/>
      </c>
      <c r="Y1231">
        <f>HYPERLINK("https://klasma.github.io/Logging_0883/kartor_geotiff/S 731-2025 georefererad karta.tif", "S 731-2025")</f>
        <v/>
      </c>
      <c r="AA1231">
        <f>HYPERLINK("https://klasma.github.io/Logging_0883/klagomål/S 731-2025 FSC-klagomål.docx", "S 731-2025")</f>
        <v/>
      </c>
      <c r="AB1231">
        <f>HYPERLINK("https://klasma.github.io/Logging_0883/klagomålsmail/S 731-2025 FSC-klagomål mail.docx", "S 731-2025")</f>
        <v/>
      </c>
      <c r="AC1231">
        <f>HYPERLINK("https://klasma.github.io/Logging_0883/tillsyn/S 731-2025 tillsynsbegäran.docx", "S 731-2025")</f>
        <v/>
      </c>
      <c r="AD1231">
        <f>HYPERLINK("https://klasma.github.io/Logging_0883/tillsynsmail/S 731-2025 tillsynsbegäran mail.docx", "S 731-2025")</f>
        <v/>
      </c>
    </row>
    <row r="1232" ht="15" customHeight="1">
      <c r="A1232" t="inlineStr">
        <is>
          <t>S 934-2025</t>
        </is>
      </c>
      <c r="B1232" t="inlineStr">
        <is>
          <t>samrådsanmälan</t>
        </is>
      </c>
      <c r="C1232" t="inlineStr">
        <is>
          <t>Annan skogsbruksåtgärd</t>
        </is>
      </c>
      <c r="D1232" s="1" t="n">
        <v>45740</v>
      </c>
      <c r="E1232" s="1" t="n">
        <v>46323</v>
      </c>
      <c r="F1232" t="inlineStr">
        <is>
          <t>KALMAR LÄN</t>
        </is>
      </c>
      <c r="G1232" t="inlineStr">
        <is>
          <t>VÄSTERVIK</t>
        </is>
      </c>
      <c r="H1232" t="inlineStr">
        <is>
          <t>Sveaskog</t>
        </is>
      </c>
      <c r="I1232" t="n">
        <v>0.7</v>
      </c>
      <c r="J1232" t="n">
        <v>1</v>
      </c>
      <c r="K1232" t="n">
        <v>0</v>
      </c>
      <c r="L1232" t="n">
        <v>0</v>
      </c>
      <c r="M1232" t="n">
        <v>0</v>
      </c>
      <c r="N1232" t="n">
        <v>0</v>
      </c>
      <c r="O1232" t="n">
        <v>0</v>
      </c>
      <c r="P1232" t="n">
        <v>0</v>
      </c>
      <c r="Q1232" t="n">
        <v>0</v>
      </c>
      <c r="R1232" t="n">
        <v>0</v>
      </c>
      <c r="S1232" t="n">
        <v>1</v>
      </c>
      <c r="T1232" t="n">
        <v>1</v>
      </c>
      <c r="U1232" t="n">
        <v>0</v>
      </c>
      <c r="V1232" s="2" t="inlineStr">
        <is>
          <t>Blåsippa</t>
        </is>
      </c>
      <c r="W1232">
        <f>HYPERLINK("https://klasma.github.io/Logging_0883/artfynd/S 934-2025 artfynd.xlsx", "S 934-2025")</f>
        <v/>
      </c>
      <c r="X1232">
        <f>HYPERLINK("https://klasma.github.io/Logging_0883/kartor/S 934-2025 karta.png", "S 934-2025")</f>
        <v/>
      </c>
      <c r="Y1232">
        <f>HYPERLINK("https://klasma.github.io/Logging_0883/kartor_geotiff/S 934-2025 georefererad karta.tif", "S 934-2025")</f>
        <v/>
      </c>
      <c r="AA1232">
        <f>HYPERLINK("https://klasma.github.io/Logging_0883/klagomål/S 934-2025 FSC-klagomål.docx", "S 934-2025")</f>
        <v/>
      </c>
      <c r="AB1232">
        <f>HYPERLINK("https://klasma.github.io/Logging_0883/klagomålsmail/S 934-2025 FSC-klagomål mail.docx", "S 934-2025")</f>
        <v/>
      </c>
      <c r="AC1232">
        <f>HYPERLINK("https://klasma.github.io/Logging_0883/tillsyn/S 934-2025 tillsynsbegäran.docx", "S 934-2025")</f>
        <v/>
      </c>
      <c r="AD1232">
        <f>HYPERLINK("https://klasma.github.io/Logging_0883/tillsynsmail/S 934-2025 tillsynsbegäran mail.docx", "S 934-2025")</f>
        <v/>
      </c>
    </row>
    <row r="1233" ht="15" customHeight="1">
      <c r="A1233" t="inlineStr">
        <is>
          <t>S 933-2025</t>
        </is>
      </c>
      <c r="B1233" t="inlineStr">
        <is>
          <t>samrådsanmälan</t>
        </is>
      </c>
      <c r="C1233" t="inlineStr">
        <is>
          <t>Annan skogsbruksåtgärd</t>
        </is>
      </c>
      <c r="D1233" s="1" t="n">
        <v>45740</v>
      </c>
      <c r="E1233" s="1" t="n">
        <v>46323</v>
      </c>
      <c r="F1233" t="inlineStr">
        <is>
          <t>KALMAR LÄN</t>
        </is>
      </c>
      <c r="G1233" t="inlineStr">
        <is>
          <t>VÄSTERVIK</t>
        </is>
      </c>
      <c r="H1233" t="inlineStr">
        <is>
          <t>Sveaskog</t>
        </is>
      </c>
      <c r="I1233" t="n">
        <v>1.3</v>
      </c>
      <c r="J1233" t="n">
        <v>1</v>
      </c>
      <c r="K1233" t="n">
        <v>0</v>
      </c>
      <c r="L1233" t="n">
        <v>0</v>
      </c>
      <c r="M1233" t="n">
        <v>0</v>
      </c>
      <c r="N1233" t="n">
        <v>0</v>
      </c>
      <c r="O1233" t="n">
        <v>0</v>
      </c>
      <c r="P1233" t="n">
        <v>0</v>
      </c>
      <c r="Q1233" t="n">
        <v>0</v>
      </c>
      <c r="R1233" t="n">
        <v>0</v>
      </c>
      <c r="S1233" t="n">
        <v>1</v>
      </c>
      <c r="T1233" t="n">
        <v>1</v>
      </c>
      <c r="U1233" t="n">
        <v>0</v>
      </c>
      <c r="V1233" s="2" t="inlineStr">
        <is>
          <t>Blåsippa</t>
        </is>
      </c>
      <c r="W1233">
        <f>HYPERLINK("https://klasma.github.io/Logging_0883/artfynd/S 933-2025 artfynd.xlsx", "S 933-2025")</f>
        <v/>
      </c>
      <c r="X1233">
        <f>HYPERLINK("https://klasma.github.io/Logging_0883/kartor/S 933-2025 karta.png", "S 933-2025")</f>
        <v/>
      </c>
      <c r="Y1233">
        <f>HYPERLINK("https://klasma.github.io/Logging_0883/kartor_geotiff/S 933-2025 georefererad karta.tif", "S 933-2025")</f>
        <v/>
      </c>
      <c r="AA1233">
        <f>HYPERLINK("https://klasma.github.io/Logging_0883/klagomål/S 933-2025 FSC-klagomål.docx", "S 933-2025")</f>
        <v/>
      </c>
      <c r="AB1233">
        <f>HYPERLINK("https://klasma.github.io/Logging_0883/klagomålsmail/S 933-2025 FSC-klagomål mail.docx", "S 933-2025")</f>
        <v/>
      </c>
      <c r="AC1233">
        <f>HYPERLINK("https://klasma.github.io/Logging_0883/tillsyn/S 933-2025 tillsynsbegäran.docx", "S 933-2025")</f>
        <v/>
      </c>
      <c r="AD1233">
        <f>HYPERLINK("https://klasma.github.io/Logging_0883/tillsynsmail/S 933-2025 tillsynsbegäran mail.docx", "S 933-2025")</f>
        <v/>
      </c>
    </row>
    <row r="1234" ht="15" customHeight="1">
      <c r="A1234" t="inlineStr">
        <is>
          <t>S 1493-2025</t>
        </is>
      </c>
      <c r="B1234" t="inlineStr">
        <is>
          <t>samrådsanmälan</t>
        </is>
      </c>
      <c r="C1234" t="inlineStr">
        <is>
          <t>Annan skogsbruksåtgärd</t>
        </is>
      </c>
      <c r="D1234" s="1" t="n">
        <v>45789</v>
      </c>
      <c r="E1234" s="1" t="n">
        <v>46323</v>
      </c>
      <c r="F1234" t="inlineStr">
        <is>
          <t>KALMAR LÄN</t>
        </is>
      </c>
      <c r="G1234" t="inlineStr">
        <is>
          <t>VÄSTERVIK</t>
        </is>
      </c>
      <c r="I1234" t="n">
        <v>19.6</v>
      </c>
      <c r="J1234" t="n">
        <v>0</v>
      </c>
      <c r="K1234" t="n">
        <v>1</v>
      </c>
      <c r="L1234" t="n">
        <v>0</v>
      </c>
      <c r="M1234" t="n">
        <v>0</v>
      </c>
      <c r="N1234" t="n">
        <v>0</v>
      </c>
      <c r="O1234" t="n">
        <v>0</v>
      </c>
      <c r="P1234" t="n">
        <v>0</v>
      </c>
      <c r="Q1234" t="n">
        <v>0</v>
      </c>
      <c r="R1234" t="n">
        <v>0</v>
      </c>
      <c r="S1234" t="n">
        <v>1</v>
      </c>
      <c r="T1234" t="n">
        <v>1</v>
      </c>
      <c r="U1234" t="n">
        <v>1</v>
      </c>
      <c r="V1234" s="2" t="inlineStr">
        <is>
          <t>Grovticka</t>
        </is>
      </c>
      <c r="W1234">
        <f>HYPERLINK("https://klasma.github.io/Logging_0883/artfynd/S 1493-2025 artfynd.xlsx", "S 1493-2025")</f>
        <v/>
      </c>
      <c r="X1234">
        <f>HYPERLINK("https://klasma.github.io/Logging_0883/kartor/S 1493-2025 karta.png", "S 1493-2025")</f>
        <v/>
      </c>
      <c r="Y1234">
        <f>HYPERLINK("https://klasma.github.io/Logging_0883/kartor_geotiff/S 1493-2025 georefererad karta.tif", "S 1493-2025")</f>
        <v/>
      </c>
      <c r="AA1234">
        <f>HYPERLINK("https://klasma.github.io/Logging_0883/klagomål/S 1493-2025 FSC-klagomål.docx", "S 1493-2025")</f>
        <v/>
      </c>
      <c r="AB1234">
        <f>HYPERLINK("https://klasma.github.io/Logging_0883/klagomålsmail/S 1493-2025 FSC-klagomål mail.docx", "S 1493-2025")</f>
        <v/>
      </c>
      <c r="AC1234">
        <f>HYPERLINK("https://klasma.github.io/Logging_0883/tillsyn/S 1493-2025 tillsynsbegäran.docx", "S 1493-2025")</f>
        <v/>
      </c>
      <c r="AD1234">
        <f>HYPERLINK("https://klasma.github.io/Logging_0883/tillsynsmail/S 1493-2025 tillsynsbegäran mail.docx", "S 1493-2025")</f>
        <v/>
      </c>
    </row>
    <row r="1235" ht="15" customHeight="1">
      <c r="A1235" t="inlineStr">
        <is>
          <t>S 1773-2025</t>
        </is>
      </c>
      <c r="B1235" t="inlineStr">
        <is>
          <t>samrådsanmälan</t>
        </is>
      </c>
      <c r="C1235" t="inlineStr">
        <is>
          <t>Askåterföring</t>
        </is>
      </c>
      <c r="D1235" s="1" t="n">
        <v>45813</v>
      </c>
      <c r="E1235" s="1" t="n">
        <v>46323</v>
      </c>
      <c r="F1235" t="inlineStr">
        <is>
          <t>KALMAR LÄN</t>
        </is>
      </c>
      <c r="G1235" t="inlineStr">
        <is>
          <t>EMMABODA</t>
        </is>
      </c>
      <c r="I1235" t="n">
        <v>36.9</v>
      </c>
      <c r="J1235" t="n">
        <v>1</v>
      </c>
      <c r="K1235" t="n">
        <v>0</v>
      </c>
      <c r="L1235" t="n">
        <v>0</v>
      </c>
      <c r="M1235" t="n">
        <v>1</v>
      </c>
      <c r="N1235" t="n">
        <v>0</v>
      </c>
      <c r="O1235" t="n">
        <v>0</v>
      </c>
      <c r="P1235" t="n">
        <v>0</v>
      </c>
      <c r="Q1235" t="n">
        <v>1</v>
      </c>
      <c r="R1235" t="n">
        <v>1</v>
      </c>
      <c r="S1235" t="n">
        <v>1</v>
      </c>
      <c r="T1235" t="n">
        <v>1</v>
      </c>
      <c r="U1235" t="n">
        <v>1</v>
      </c>
      <c r="V1235" s="2" t="inlineStr">
        <is>
          <t>Lappuggla</t>
        </is>
      </c>
      <c r="W1235">
        <f>HYPERLINK("https://klasma.github.io/Logging_0862/artfynd/S 1773-2025 artfynd.xlsx", "S 1773-2025")</f>
        <v/>
      </c>
      <c r="X1235">
        <f>HYPERLINK("https://klasma.github.io/Logging_0862/kartor/S 1773-2025 karta.png", "S 1773-2025")</f>
        <v/>
      </c>
      <c r="Y1235">
        <f>HYPERLINK("https://klasma.github.io/Logging_0862/kartor_geotiff/S 1773-2025 georefererad karta.tif", "S 1773-2025")</f>
        <v/>
      </c>
      <c r="AA1235">
        <f>HYPERLINK("https://klasma.github.io/Logging_0862/klagomål/S 1773-2025 FSC-klagomål.docx", "S 1773-2025")</f>
        <v/>
      </c>
      <c r="AB1235">
        <f>HYPERLINK("https://klasma.github.io/Logging_0862/klagomålsmail/S 1773-2025 FSC-klagomål mail.docx", "S 1773-2025")</f>
        <v/>
      </c>
      <c r="AC1235">
        <f>HYPERLINK("https://klasma.github.io/Logging_0862/tillsyn/S 1773-2025 tillsynsbegäran.docx", "S 1773-2025")</f>
        <v/>
      </c>
      <c r="AD1235">
        <f>HYPERLINK("https://klasma.github.io/Logging_0862/tillsynsmail/S 1773-2025 tillsynsbegäran mail.docx", "S 1773-2025")</f>
        <v/>
      </c>
      <c r="AE1235">
        <f>HYPERLINK("https://klasma.github.io/Logging_0862/fåglar/S 1773-2025 prioriterade fågelarter.docx", "S 1773-2025")</f>
        <v/>
      </c>
    </row>
    <row r="1236" ht="15" customHeight="1">
      <c r="A1236" t="inlineStr">
        <is>
          <t>S 2062-2025</t>
        </is>
      </c>
      <c r="B1236" t="inlineStr">
        <is>
          <t>samrådsanmälan</t>
        </is>
      </c>
      <c r="C1236" t="inlineStr">
        <is>
          <t>Askåterföring</t>
        </is>
      </c>
      <c r="D1236" s="1" t="n">
        <v>45839</v>
      </c>
      <c r="E1236" s="1" t="n">
        <v>46323</v>
      </c>
      <c r="F1236" t="inlineStr">
        <is>
          <t>KALMAR LÄN</t>
        </is>
      </c>
      <c r="G1236" t="inlineStr">
        <is>
          <t>HULTSFRED</t>
        </is>
      </c>
      <c r="I1236" t="n">
        <v>18.1</v>
      </c>
      <c r="J1236" t="n">
        <v>1</v>
      </c>
      <c r="K1236" t="n">
        <v>0</v>
      </c>
      <c r="L1236" t="n">
        <v>0</v>
      </c>
      <c r="M1236" t="n">
        <v>0</v>
      </c>
      <c r="N1236" t="n">
        <v>0</v>
      </c>
      <c r="O1236" t="n">
        <v>0</v>
      </c>
      <c r="P1236" t="n">
        <v>0</v>
      </c>
      <c r="Q1236" t="n">
        <v>0</v>
      </c>
      <c r="R1236" t="n">
        <v>0</v>
      </c>
      <c r="S1236" t="n">
        <v>1</v>
      </c>
      <c r="T1236" t="n">
        <v>2</v>
      </c>
      <c r="U1236" t="n">
        <v>0</v>
      </c>
      <c r="V1236" s="2" t="inlineStr">
        <is>
          <t>Blåsippa</t>
        </is>
      </c>
      <c r="W1236">
        <f>HYPERLINK("https://klasma.github.io/Logging_0860/artfynd/S 2062-2025 artfynd.xlsx", "S 2062-2025")</f>
        <v/>
      </c>
      <c r="X1236">
        <f>HYPERLINK("https://klasma.github.io/Logging_0860/kartor/S 2062-2025 karta.png", "S 2062-2025")</f>
        <v/>
      </c>
      <c r="Y1236">
        <f>HYPERLINK("https://klasma.github.io/Logging_0860/kartor_geotiff/S 2062-2025 georefererad karta.tif", "S 2062-2025")</f>
        <v/>
      </c>
      <c r="AA1236">
        <f>HYPERLINK("https://klasma.github.io/Logging_0860/klagomål/S 2062-2025 FSC-klagomål.docx", "S 2062-2025")</f>
        <v/>
      </c>
      <c r="AB1236">
        <f>HYPERLINK("https://klasma.github.io/Logging_0860/klagomålsmail/S 2062-2025 FSC-klagomål mail.docx", "S 2062-2025")</f>
        <v/>
      </c>
      <c r="AC1236">
        <f>HYPERLINK("https://klasma.github.io/Logging_0860/tillsyn/S 2062-2025 tillsynsbegäran.docx", "S 2062-2025")</f>
        <v/>
      </c>
      <c r="AD1236">
        <f>HYPERLINK("https://klasma.github.io/Logging_0860/tillsynsmail/S 2062-2025 tillsynsbegäran mail.docx", "S 2062-2025")</f>
        <v/>
      </c>
    </row>
    <row r="1237" ht="15" customHeight="1">
      <c r="A1237" t="inlineStr">
        <is>
          <t>S 2156-2025</t>
        </is>
      </c>
      <c r="B1237" t="inlineStr">
        <is>
          <t>samrådsanmälan</t>
        </is>
      </c>
      <c r="C1237" t="inlineStr">
        <is>
          <t>Askåterföring</t>
        </is>
      </c>
      <c r="D1237" s="1" t="n">
        <v>45848</v>
      </c>
      <c r="E1237" s="1" t="n">
        <v>46323</v>
      </c>
      <c r="F1237" t="inlineStr">
        <is>
          <t>KALMAR LÄN</t>
        </is>
      </c>
      <c r="G1237" t="inlineStr">
        <is>
          <t>HULTSFRED</t>
        </is>
      </c>
      <c r="I1237" t="n">
        <v>60.5</v>
      </c>
      <c r="J1237" t="n">
        <v>1</v>
      </c>
      <c r="K1237" t="n">
        <v>0</v>
      </c>
      <c r="L1237" t="n">
        <v>1</v>
      </c>
      <c r="M1237" t="n">
        <v>0</v>
      </c>
      <c r="N1237" t="n">
        <v>0</v>
      </c>
      <c r="O1237" t="n">
        <v>0</v>
      </c>
      <c r="P1237" t="n">
        <v>0</v>
      </c>
      <c r="Q1237" t="n">
        <v>1</v>
      </c>
      <c r="R1237" t="n">
        <v>0</v>
      </c>
      <c r="S1237" t="n">
        <v>1</v>
      </c>
      <c r="T1237" t="n">
        <v>1</v>
      </c>
      <c r="U1237" t="n">
        <v>1</v>
      </c>
      <c r="V1237" s="2" t="inlineStr">
        <is>
          <t>Skrattmås</t>
        </is>
      </c>
      <c r="W1237">
        <f>HYPERLINK("https://klasma.github.io/Logging_0860/artfynd/S 2156-2025 artfynd.xlsx", "S 2156-2025")</f>
        <v/>
      </c>
      <c r="X1237">
        <f>HYPERLINK("https://klasma.github.io/Logging_0860/kartor/S 2156-2025 karta.png", "S 2156-2025")</f>
        <v/>
      </c>
      <c r="Y1237">
        <f>HYPERLINK("https://klasma.github.io/Logging_0860/kartor_geotiff/S 2156-2025 georefererad karta.tif", "S 2156-2025")</f>
        <v/>
      </c>
      <c r="AA1237">
        <f>HYPERLINK("https://klasma.github.io/Logging_0860/klagomål/S 2156-2025 FSC-klagomål.docx", "S 2156-2025")</f>
        <v/>
      </c>
      <c r="AB1237">
        <f>HYPERLINK("https://klasma.github.io/Logging_0860/klagomålsmail/S 2156-2025 FSC-klagomål mail.docx", "S 2156-2025")</f>
        <v/>
      </c>
      <c r="AC1237">
        <f>HYPERLINK("https://klasma.github.io/Logging_0860/tillsyn/S 2156-2025 tillsynsbegäran.docx", "S 2156-2025")</f>
        <v/>
      </c>
      <c r="AD1237">
        <f>HYPERLINK("https://klasma.github.io/Logging_0860/tillsynsmail/S 2156-2025 tillsynsbegäran mail.docx", "S 2156-2025")</f>
        <v/>
      </c>
    </row>
    <row r="1238" ht="15" customHeight="1">
      <c r="A1238" t="inlineStr">
        <is>
          <t>S 2148-2025</t>
        </is>
      </c>
      <c r="B1238" t="inlineStr">
        <is>
          <t>samrådsanmälan</t>
        </is>
      </c>
      <c r="C1238" t="inlineStr">
        <is>
          <t>Askåterföring</t>
        </is>
      </c>
      <c r="D1238" s="1" t="n">
        <v>45848</v>
      </c>
      <c r="E1238" s="1" t="n">
        <v>46323</v>
      </c>
      <c r="F1238" t="inlineStr">
        <is>
          <t>KALMAR LÄN</t>
        </is>
      </c>
      <c r="G1238" t="inlineStr">
        <is>
          <t>VIMMERBY</t>
        </is>
      </c>
      <c r="I1238" t="n">
        <v>22.6</v>
      </c>
      <c r="J1238" t="n">
        <v>1</v>
      </c>
      <c r="K1238" t="n">
        <v>0</v>
      </c>
      <c r="L1238" t="n">
        <v>0</v>
      </c>
      <c r="M1238" t="n">
        <v>0</v>
      </c>
      <c r="N1238" t="n">
        <v>1</v>
      </c>
      <c r="O1238" t="n">
        <v>0</v>
      </c>
      <c r="P1238" t="n">
        <v>0</v>
      </c>
      <c r="Q1238" t="n">
        <v>1</v>
      </c>
      <c r="R1238" t="n">
        <v>1</v>
      </c>
      <c r="S1238" t="n">
        <v>1</v>
      </c>
      <c r="T1238" t="n">
        <v>2</v>
      </c>
      <c r="U1238" t="n">
        <v>1</v>
      </c>
      <c r="V1238" s="2" t="inlineStr">
        <is>
          <t>Mosippa</t>
        </is>
      </c>
      <c r="W1238">
        <f>HYPERLINK("https://klasma.github.io/Logging_0884/artfynd/S 2148-2025 artfynd.xlsx", "S 2148-2025")</f>
        <v/>
      </c>
      <c r="X1238">
        <f>HYPERLINK("https://klasma.github.io/Logging_0884/kartor/S 2148-2025 karta.png", "S 2148-2025")</f>
        <v/>
      </c>
      <c r="Y1238">
        <f>HYPERLINK("https://klasma.github.io/Logging_0884/kartor_geotiff/S 2148-2025 georefererad karta.tif", "S 2148-2025")</f>
        <v/>
      </c>
      <c r="AA1238">
        <f>HYPERLINK("https://klasma.github.io/Logging_0884/klagomål/S 2148-2025 FSC-klagomål.docx", "S 2148-2025")</f>
        <v/>
      </c>
      <c r="AB1238">
        <f>HYPERLINK("https://klasma.github.io/Logging_0884/klagomålsmail/S 2148-2025 FSC-klagomål mail.docx", "S 2148-2025")</f>
        <v/>
      </c>
      <c r="AC1238">
        <f>HYPERLINK("https://klasma.github.io/Logging_0884/tillsyn/S 2148-2025 tillsynsbegäran.docx", "S 2148-2025")</f>
        <v/>
      </c>
      <c r="AD1238">
        <f>HYPERLINK("https://klasma.github.io/Logging_0884/tillsynsmail/S 2148-2025 tillsynsbegäran mail.docx", "S 2148-2025")</f>
        <v/>
      </c>
    </row>
    <row r="1239" ht="15" customHeight="1">
      <c r="A1239" t="inlineStr">
        <is>
          <t>S 1729-2025</t>
        </is>
      </c>
      <c r="B1239" t="inlineStr">
        <is>
          <t>samrådsanmälan</t>
        </is>
      </c>
      <c r="C1239" t="inlineStr">
        <is>
          <t>Annan skogsbruksåtgärd</t>
        </is>
      </c>
      <c r="D1239" s="1" t="n">
        <v>45809</v>
      </c>
      <c r="E1239" s="1" t="n">
        <v>46323</v>
      </c>
      <c r="F1239" t="inlineStr">
        <is>
          <t>KALMAR LÄN</t>
        </is>
      </c>
      <c r="G1239" t="inlineStr">
        <is>
          <t>VÄSTERVIK</t>
        </is>
      </c>
      <c r="H1239" t="inlineStr">
        <is>
          <t>Övriga Aktiebolag</t>
        </is>
      </c>
      <c r="I1239" t="n">
        <v>2.6</v>
      </c>
      <c r="J1239" t="n">
        <v>1</v>
      </c>
      <c r="K1239" t="n">
        <v>0</v>
      </c>
      <c r="L1239" t="n">
        <v>0</v>
      </c>
      <c r="M1239" t="n">
        <v>0</v>
      </c>
      <c r="N1239" t="n">
        <v>0</v>
      </c>
      <c r="O1239" t="n">
        <v>0</v>
      </c>
      <c r="P1239" t="n">
        <v>0</v>
      </c>
      <c r="Q1239" t="n">
        <v>0</v>
      </c>
      <c r="R1239" t="n">
        <v>0</v>
      </c>
      <c r="S1239" t="n">
        <v>1</v>
      </c>
      <c r="T1239" t="n">
        <v>2</v>
      </c>
      <c r="U1239" t="n">
        <v>0</v>
      </c>
      <c r="V1239" s="2" t="inlineStr">
        <is>
          <t>Havsörn</t>
        </is>
      </c>
      <c r="W1239">
        <f>HYPERLINK("https://klasma.github.io/Logging_0883/artfynd/S 1729-2025 artfynd.xlsx", "S 1729-2025")</f>
        <v/>
      </c>
      <c r="X1239">
        <f>HYPERLINK("https://klasma.github.io/Logging_0883/kartor/S 1729-2025 karta.png", "S 1729-2025")</f>
        <v/>
      </c>
      <c r="Y1239">
        <f>HYPERLINK("https://klasma.github.io/Logging_0883/kartor_geotiff/S 1729-2025 georefererad karta.tif", "S 1729-2025")</f>
        <v/>
      </c>
      <c r="AA1239">
        <f>HYPERLINK("https://klasma.github.io/Logging_0883/klagomål/S 1729-2025 FSC-klagomål.docx", "S 1729-2025")</f>
        <v/>
      </c>
      <c r="AB1239">
        <f>HYPERLINK("https://klasma.github.io/Logging_0883/klagomålsmail/S 1729-2025 FSC-klagomål mail.docx", "S 1729-2025")</f>
        <v/>
      </c>
      <c r="AC1239">
        <f>HYPERLINK("https://klasma.github.io/Logging_0883/tillsyn/S 1729-2025 tillsynsbegäran.docx", "S 1729-2025")</f>
        <v/>
      </c>
      <c r="AD1239">
        <f>HYPERLINK("https://klasma.github.io/Logging_0883/tillsynsmail/S 1729-2025 tillsynsbegäran mail.docx", "S 1729-2025")</f>
        <v/>
      </c>
      <c r="AE1239">
        <f>HYPERLINK("https://klasma.github.io/Logging_0883/fåglar/S 1729-2025 prioriterade fågelarter.docx", "S 1729-2025")</f>
        <v/>
      </c>
    </row>
    <row r="1240" ht="15" customHeight="1">
      <c r="A1240" t="inlineStr">
        <is>
          <t>S 2489-2025</t>
        </is>
      </c>
      <c r="B1240" t="inlineStr">
        <is>
          <t>samrådsanmälan</t>
        </is>
      </c>
      <c r="C1240" t="inlineStr">
        <is>
          <t>Annan skogsbruksåtgärd</t>
        </is>
      </c>
      <c r="D1240" s="1" t="n">
        <v>45903</v>
      </c>
      <c r="E1240" s="1" t="n">
        <v>46323</v>
      </c>
      <c r="F1240" t="inlineStr">
        <is>
          <t>KALMAR LÄN</t>
        </is>
      </c>
      <c r="G1240" t="inlineStr">
        <is>
          <t>BORGHOLM</t>
        </is>
      </c>
      <c r="I1240" t="n">
        <v>7.7</v>
      </c>
      <c r="J1240" t="n">
        <v>0</v>
      </c>
      <c r="K1240" t="n">
        <v>0</v>
      </c>
      <c r="L1240" t="n">
        <v>1</v>
      </c>
      <c r="M1240" t="n">
        <v>0</v>
      </c>
      <c r="N1240" t="n">
        <v>0</v>
      </c>
      <c r="O1240" t="n">
        <v>0</v>
      </c>
      <c r="P1240" t="n">
        <v>0</v>
      </c>
      <c r="Q1240" t="n">
        <v>1</v>
      </c>
      <c r="R1240" t="n">
        <v>0</v>
      </c>
      <c r="S1240" t="n">
        <v>1</v>
      </c>
      <c r="T1240" t="n">
        <v>1</v>
      </c>
      <c r="U1240" t="n">
        <v>1</v>
      </c>
      <c r="V1240" s="2" t="inlineStr">
        <is>
          <t>Backtimjan</t>
        </is>
      </c>
      <c r="W1240">
        <f>HYPERLINK("https://klasma.github.io/Logging_0885/artfynd/S 2489-2025 artfynd.xlsx", "S 2489-2025")</f>
        <v/>
      </c>
      <c r="X1240">
        <f>HYPERLINK("https://klasma.github.io/Logging_0885/kartor/S 2489-2025 karta.png", "S 2489-2025")</f>
        <v/>
      </c>
      <c r="Y1240">
        <f>HYPERLINK("https://klasma.github.io/Logging_0885/kartor_geotiff/S 2489-2025 georefererad karta.tif", "S 2489-2025")</f>
        <v/>
      </c>
      <c r="AA1240">
        <f>HYPERLINK("https://klasma.github.io/Logging_0885/klagomål/S 2489-2025 FSC-klagomål.docx", "S 2489-2025")</f>
        <v/>
      </c>
      <c r="AB1240">
        <f>HYPERLINK("https://klasma.github.io/Logging_0885/klagomålsmail/S 2489-2025 FSC-klagomål mail.docx", "S 2489-2025")</f>
        <v/>
      </c>
      <c r="AC1240">
        <f>HYPERLINK("https://klasma.github.io/Logging_0885/tillsyn/S 2489-2025 tillsynsbegäran.docx", "S 2489-2025")</f>
        <v/>
      </c>
      <c r="AD1240">
        <f>HYPERLINK("https://klasma.github.io/Logging_0885/tillsynsmail/S 2489-2025 tillsynsbegäran mail.docx", "S 2489-2025")</f>
        <v/>
      </c>
    </row>
    <row r="1241" ht="15" customHeight="1">
      <c r="A1241" t="inlineStr">
        <is>
          <t>S 380-2023</t>
        </is>
      </c>
      <c r="B1241" t="inlineStr">
        <is>
          <t>samrådsanmälan</t>
        </is>
      </c>
      <c r="C1241" t="inlineStr">
        <is>
          <t>Askåterföring</t>
        </is>
      </c>
      <c r="D1241" s="1" t="n">
        <v>44958</v>
      </c>
      <c r="E1241" s="1" t="n">
        <v>46323</v>
      </c>
      <c r="F1241" t="inlineStr">
        <is>
          <t>KALMAR LÄN</t>
        </is>
      </c>
      <c r="G1241" t="inlineStr">
        <is>
          <t>HÖGSBY</t>
        </is>
      </c>
      <c r="I1241" t="n">
        <v>5.4</v>
      </c>
      <c r="J1241" t="n">
        <v>1</v>
      </c>
      <c r="K1241" t="n">
        <v>0</v>
      </c>
      <c r="L1241" t="n">
        <v>0</v>
      </c>
      <c r="M1241" t="n">
        <v>0</v>
      </c>
      <c r="N1241" t="n">
        <v>0</v>
      </c>
      <c r="O1241" t="n">
        <v>0</v>
      </c>
      <c r="P1241" t="n">
        <v>0</v>
      </c>
      <c r="Q1241" t="n">
        <v>0</v>
      </c>
      <c r="R1241" t="n">
        <v>0</v>
      </c>
      <c r="S1241" t="n">
        <v>1</v>
      </c>
      <c r="T1241" t="n">
        <v>1</v>
      </c>
      <c r="U1241" t="n">
        <v>1</v>
      </c>
      <c r="V1241" s="2" t="inlineStr">
        <is>
          <t>Revlummer</t>
        </is>
      </c>
      <c r="W1241">
        <f>HYPERLINK("https://klasma.github.io/Logging_0821/artfynd/S 380-2023 artfynd.xlsx", "S 380-2023")</f>
        <v/>
      </c>
      <c r="X1241">
        <f>HYPERLINK("https://klasma.github.io/Logging_0821/kartor/S 380-2023 karta.png", "S 380-2023")</f>
        <v/>
      </c>
      <c r="Y1241">
        <f>HYPERLINK("https://klasma.github.io/Logging_0821/kartor_geotiff/S 380-2023 georefererad karta.tif", "S 380-2023")</f>
        <v/>
      </c>
      <c r="AA1241">
        <f>HYPERLINK("https://klasma.github.io/Logging_0821/klagomål/S 380-2023 FSC-klagomål.docx", "S 380-2023")</f>
        <v/>
      </c>
      <c r="AB1241">
        <f>HYPERLINK("https://klasma.github.io/Logging_0821/klagomålsmail/S 380-2023 FSC-klagomål mail.docx", "S 380-2023")</f>
        <v/>
      </c>
      <c r="AC1241">
        <f>HYPERLINK("https://klasma.github.io/Logging_0821/tillsyn/S 380-2023 tillsynsbegäran.docx", "S 380-2023")</f>
        <v/>
      </c>
      <c r="AD1241">
        <f>HYPERLINK("https://klasma.github.io/Logging_0821/tillsynsmail/S 380-2023 tillsynsbegäran mail.docx", "S 380-2023")</f>
        <v/>
      </c>
    </row>
    <row r="1242" ht="15" customHeight="1">
      <c r="A1242" t="inlineStr">
        <is>
          <t>S 377-2023</t>
        </is>
      </c>
      <c r="B1242" t="inlineStr">
        <is>
          <t>samrådsanmälan</t>
        </is>
      </c>
      <c r="C1242" t="inlineStr">
        <is>
          <t>Askåterföring</t>
        </is>
      </c>
      <c r="D1242" s="1" t="n">
        <v>44958</v>
      </c>
      <c r="E1242" s="1" t="n">
        <v>46323</v>
      </c>
      <c r="F1242" t="inlineStr">
        <is>
          <t>KALMAR LÄN</t>
        </is>
      </c>
      <c r="G1242" t="inlineStr">
        <is>
          <t>HÖGSBY</t>
        </is>
      </c>
      <c r="I1242" t="n">
        <v>2.5</v>
      </c>
      <c r="J1242" t="n">
        <v>0</v>
      </c>
      <c r="K1242" t="n">
        <v>0</v>
      </c>
      <c r="L1242" t="n">
        <v>0</v>
      </c>
      <c r="M1242" t="n">
        <v>1</v>
      </c>
      <c r="N1242" t="n">
        <v>0</v>
      </c>
      <c r="O1242" t="n">
        <v>0</v>
      </c>
      <c r="P1242" t="n">
        <v>0</v>
      </c>
      <c r="Q1242" t="n">
        <v>1</v>
      </c>
      <c r="R1242" t="n">
        <v>1</v>
      </c>
      <c r="S1242" t="n">
        <v>1</v>
      </c>
      <c r="T1242" t="n">
        <v>1</v>
      </c>
      <c r="U1242" t="n">
        <v>0</v>
      </c>
      <c r="V1242" s="2" t="inlineStr">
        <is>
          <t>Ryl</t>
        </is>
      </c>
      <c r="W1242">
        <f>HYPERLINK("https://klasma.github.io/Logging_0821/artfynd/S 377-2023 artfynd.xlsx", "S 377-2023")</f>
        <v/>
      </c>
      <c r="X1242">
        <f>HYPERLINK("https://klasma.github.io/Logging_0821/kartor/S 377-2023 karta.png", "S 377-2023")</f>
        <v/>
      </c>
      <c r="Y1242">
        <f>HYPERLINK("https://klasma.github.io/Logging_0821/kartor_geotiff/S 377-2023 georefererad karta.tif", "S 377-2023")</f>
        <v/>
      </c>
      <c r="AA1242">
        <f>HYPERLINK("https://klasma.github.io/Logging_0821/klagomål/S 377-2023 FSC-klagomål.docx", "S 377-2023")</f>
        <v/>
      </c>
      <c r="AB1242">
        <f>HYPERLINK("https://klasma.github.io/Logging_0821/klagomålsmail/S 377-2023 FSC-klagomål mail.docx", "S 377-2023")</f>
        <v/>
      </c>
      <c r="AC1242">
        <f>HYPERLINK("https://klasma.github.io/Logging_0821/tillsyn/S 377-2023 tillsynsbegäran.docx", "S 377-2023")</f>
        <v/>
      </c>
      <c r="AD1242">
        <f>HYPERLINK("https://klasma.github.io/Logging_0821/tillsynsmail/S 377-2023 tillsynsbegäran mail.docx", "S 377-2023")</f>
        <v/>
      </c>
    </row>
    <row r="1243" ht="15" customHeight="1">
      <c r="A1243" t="inlineStr">
        <is>
          <t>S 3037-2025</t>
        </is>
      </c>
      <c r="B1243" t="inlineStr">
        <is>
          <t>samrådsanmälan</t>
        </is>
      </c>
      <c r="C1243" t="inlineStr">
        <is>
          <t>Annan skogsbruksåtgärd</t>
        </is>
      </c>
      <c r="D1243" s="1" t="n">
        <v>45961</v>
      </c>
      <c r="E1243" s="1" t="n">
        <v>46323</v>
      </c>
      <c r="F1243" t="inlineStr">
        <is>
          <t>KALMAR LÄN</t>
        </is>
      </c>
      <c r="G1243" t="inlineStr">
        <is>
          <t>VÄSTERVIK</t>
        </is>
      </c>
      <c r="H1243" t="inlineStr">
        <is>
          <t>Sveaskog</t>
        </is>
      </c>
      <c r="I1243" t="n">
        <v>1.7</v>
      </c>
      <c r="J1243" t="n">
        <v>1</v>
      </c>
      <c r="K1243" t="n">
        <v>0</v>
      </c>
      <c r="L1243" t="n">
        <v>0</v>
      </c>
      <c r="M1243" t="n">
        <v>0</v>
      </c>
      <c r="N1243" t="n">
        <v>0</v>
      </c>
      <c r="O1243" t="n">
        <v>0</v>
      </c>
      <c r="P1243" t="n">
        <v>0</v>
      </c>
      <c r="Q1243" t="n">
        <v>0</v>
      </c>
      <c r="R1243" t="n">
        <v>0</v>
      </c>
      <c r="S1243" t="n">
        <v>1</v>
      </c>
      <c r="T1243" t="n">
        <v>1</v>
      </c>
      <c r="U1243" t="n">
        <v>0</v>
      </c>
      <c r="V1243" s="2" t="inlineStr">
        <is>
          <t>Blåsippa</t>
        </is>
      </c>
      <c r="W1243">
        <f>HYPERLINK("https://klasma.github.io/Logging_0883/artfynd/S 3037-2025 artfynd.xlsx", "S 3037-2025")</f>
        <v/>
      </c>
      <c r="X1243">
        <f>HYPERLINK("https://klasma.github.io/Logging_0883/kartor/S 3037-2025 karta.png", "S 3037-2025")</f>
        <v/>
      </c>
      <c r="Y1243">
        <f>HYPERLINK("https://klasma.github.io/Logging_0883/kartor_geotiff/S 3037-2025 georefererad karta.tif", "S 3037-2025")</f>
        <v/>
      </c>
      <c r="AA1243">
        <f>HYPERLINK("https://klasma.github.io/Logging_0883/klagomål/S 3037-2025 FSC-klagomål.docx", "S 3037-2025")</f>
        <v/>
      </c>
      <c r="AB1243">
        <f>HYPERLINK("https://klasma.github.io/Logging_0883/klagomålsmail/S 3037-2025 FSC-klagomål mail.docx", "S 3037-2025")</f>
        <v/>
      </c>
      <c r="AC1243">
        <f>HYPERLINK("https://klasma.github.io/Logging_0883/tillsyn/S 3037-2025 tillsynsbegäran.docx", "S 3037-2025")</f>
        <v/>
      </c>
      <c r="AD1243">
        <f>HYPERLINK("https://klasma.github.io/Logging_0883/tillsynsmail/S 3037-2025 tillsynsbegäran mail.docx", "S 3037-2025")</f>
        <v/>
      </c>
    </row>
    <row r="1244" ht="15" customHeight="1">
      <c r="A1244" t="inlineStr">
        <is>
          <t>S 3040-2025</t>
        </is>
      </c>
      <c r="B1244" t="inlineStr">
        <is>
          <t>samrådsanmälan</t>
        </is>
      </c>
      <c r="C1244" t="inlineStr">
        <is>
          <t>Annan skogsbruksåtgärd</t>
        </is>
      </c>
      <c r="D1244" s="1" t="n">
        <v>45961</v>
      </c>
      <c r="E1244" s="1" t="n">
        <v>46323</v>
      </c>
      <c r="F1244" t="inlineStr">
        <is>
          <t>KALMAR LÄN</t>
        </is>
      </c>
      <c r="G1244" t="inlineStr">
        <is>
          <t>VÄSTERVIK</t>
        </is>
      </c>
      <c r="H1244" t="inlineStr">
        <is>
          <t>Sveaskog</t>
        </is>
      </c>
      <c r="I1244" t="n">
        <v>4.2</v>
      </c>
      <c r="J1244" t="n">
        <v>1</v>
      </c>
      <c r="K1244" t="n">
        <v>0</v>
      </c>
      <c r="L1244" t="n">
        <v>0</v>
      </c>
      <c r="M1244" t="n">
        <v>0</v>
      </c>
      <c r="N1244" t="n">
        <v>0</v>
      </c>
      <c r="O1244" t="n">
        <v>0</v>
      </c>
      <c r="P1244" t="n">
        <v>0</v>
      </c>
      <c r="Q1244" t="n">
        <v>0</v>
      </c>
      <c r="R1244" t="n">
        <v>0</v>
      </c>
      <c r="S1244" t="n">
        <v>1</v>
      </c>
      <c r="T1244" t="n">
        <v>1</v>
      </c>
      <c r="U1244" t="n">
        <v>0</v>
      </c>
      <c r="V1244" s="2" t="inlineStr">
        <is>
          <t>Blåsippa</t>
        </is>
      </c>
      <c r="W1244">
        <f>HYPERLINK("https://klasma.github.io/Logging_0883/artfynd/S 3040-2025 artfynd.xlsx", "S 3040-2025")</f>
        <v/>
      </c>
      <c r="X1244">
        <f>HYPERLINK("https://klasma.github.io/Logging_0883/kartor/S 3040-2025 karta.png", "S 3040-2025")</f>
        <v/>
      </c>
      <c r="Y1244">
        <f>HYPERLINK("https://klasma.github.io/Logging_0883/kartor_geotiff/S 3040-2025 georefererad karta.tif", "S 3040-2025")</f>
        <v/>
      </c>
      <c r="AA1244">
        <f>HYPERLINK("https://klasma.github.io/Logging_0883/klagomål/S 3040-2025 FSC-klagomål.docx", "S 3040-2025")</f>
        <v/>
      </c>
      <c r="AB1244">
        <f>HYPERLINK("https://klasma.github.io/Logging_0883/klagomålsmail/S 3040-2025 FSC-klagomål mail.docx", "S 3040-2025")</f>
        <v/>
      </c>
      <c r="AC1244">
        <f>HYPERLINK("https://klasma.github.io/Logging_0883/tillsyn/S 3040-2025 tillsynsbegäran.docx", "S 3040-2025")</f>
        <v/>
      </c>
      <c r="AD1244">
        <f>HYPERLINK("https://klasma.github.io/Logging_0883/tillsynsmail/S 3040-2025 tillsynsbegäran mail.docx", "S 3040-2025")</f>
        <v/>
      </c>
    </row>
    <row r="1245" ht="15" customHeight="1">
      <c r="A1245" t="inlineStr">
        <is>
          <t>S 3033-2025</t>
        </is>
      </c>
      <c r="B1245" t="inlineStr">
        <is>
          <t>samrådsanmälan</t>
        </is>
      </c>
      <c r="C1245" t="inlineStr">
        <is>
          <t>Annan skogsbruksåtgärd</t>
        </is>
      </c>
      <c r="D1245" s="1" t="n">
        <v>45961</v>
      </c>
      <c r="E1245" s="1" t="n">
        <v>46323</v>
      </c>
      <c r="F1245" t="inlineStr">
        <is>
          <t>KALMAR LÄN</t>
        </is>
      </c>
      <c r="G1245" t="inlineStr">
        <is>
          <t>VÄSTERVIK</t>
        </is>
      </c>
      <c r="H1245" t="inlineStr">
        <is>
          <t>Sveaskog</t>
        </is>
      </c>
      <c r="I1245" t="n">
        <v>6</v>
      </c>
      <c r="J1245" t="n">
        <v>1</v>
      </c>
      <c r="K1245" t="n">
        <v>0</v>
      </c>
      <c r="L1245" t="n">
        <v>0</v>
      </c>
      <c r="M1245" t="n">
        <v>0</v>
      </c>
      <c r="N1245" t="n">
        <v>0</v>
      </c>
      <c r="O1245" t="n">
        <v>0</v>
      </c>
      <c r="P1245" t="n">
        <v>0</v>
      </c>
      <c r="Q1245" t="n">
        <v>0</v>
      </c>
      <c r="R1245" t="n">
        <v>0</v>
      </c>
      <c r="S1245" t="n">
        <v>1</v>
      </c>
      <c r="T1245" t="n">
        <v>1</v>
      </c>
      <c r="U1245" t="n">
        <v>0</v>
      </c>
      <c r="V1245" s="2" t="inlineStr">
        <is>
          <t>Blåsippa</t>
        </is>
      </c>
      <c r="W1245">
        <f>HYPERLINK("https://klasma.github.io/Logging_0883/artfynd/S 3033-2025 artfynd.xlsx", "S 3033-2025")</f>
        <v/>
      </c>
      <c r="X1245">
        <f>HYPERLINK("https://klasma.github.io/Logging_0883/kartor/S 3033-2025 karta.png", "S 3033-2025")</f>
        <v/>
      </c>
      <c r="Y1245">
        <f>HYPERLINK("https://klasma.github.io/Logging_0883/kartor_geotiff/S 3033-2025 georefererad karta.tif", "S 3033-2025")</f>
        <v/>
      </c>
      <c r="AA1245">
        <f>HYPERLINK("https://klasma.github.io/Logging_0883/klagomål/S 3033-2025 FSC-klagomål.docx", "S 3033-2025")</f>
        <v/>
      </c>
      <c r="AB1245">
        <f>HYPERLINK("https://klasma.github.io/Logging_0883/klagomålsmail/S 3033-2025 FSC-klagomål mail.docx", "S 3033-2025")</f>
        <v/>
      </c>
      <c r="AC1245">
        <f>HYPERLINK("https://klasma.github.io/Logging_0883/tillsyn/S 3033-2025 tillsynsbegäran.docx", "S 3033-2025")</f>
        <v/>
      </c>
      <c r="AD1245">
        <f>HYPERLINK("https://klasma.github.io/Logging_0883/tillsynsmail/S 3033-2025 tillsynsbegäran mail.docx", "S 3033-2025")</f>
        <v/>
      </c>
    </row>
    <row r="1246" ht="15" customHeight="1">
      <c r="A1246" t="inlineStr">
        <is>
          <t>S 3078-2025</t>
        </is>
      </c>
      <c r="B1246" t="inlineStr">
        <is>
          <t>samrådsanmälan</t>
        </is>
      </c>
      <c r="C1246" t="inlineStr">
        <is>
          <t>Askåterföring</t>
        </is>
      </c>
      <c r="D1246" s="1" t="n">
        <v>45965</v>
      </c>
      <c r="E1246" s="1" t="n">
        <v>46323</v>
      </c>
      <c r="F1246" t="inlineStr">
        <is>
          <t>KALMAR LÄN</t>
        </is>
      </c>
      <c r="G1246" t="inlineStr">
        <is>
          <t>VÄSTERVIK</t>
        </is>
      </c>
      <c r="I1246" t="n">
        <v>28.9</v>
      </c>
      <c r="J1246" t="n">
        <v>0</v>
      </c>
      <c r="K1246" t="n">
        <v>0</v>
      </c>
      <c r="L1246" t="n">
        <v>1</v>
      </c>
      <c r="M1246" t="n">
        <v>0</v>
      </c>
      <c r="N1246" t="n">
        <v>0</v>
      </c>
      <c r="O1246" t="n">
        <v>0</v>
      </c>
      <c r="P1246" t="n">
        <v>0</v>
      </c>
      <c r="Q1246" t="n">
        <v>1</v>
      </c>
      <c r="R1246" t="n">
        <v>0</v>
      </c>
      <c r="S1246" t="n">
        <v>1</v>
      </c>
      <c r="T1246" t="n">
        <v>1</v>
      </c>
      <c r="U1246" t="n">
        <v>0</v>
      </c>
      <c r="V1246" s="2" t="inlineStr">
        <is>
          <t>Solvända</t>
        </is>
      </c>
      <c r="W1246">
        <f>HYPERLINK("https://klasma.github.io/Logging_0883/artfynd/S 3078-2025 artfynd.xlsx", "S 3078-2025")</f>
        <v/>
      </c>
      <c r="X1246">
        <f>HYPERLINK("https://klasma.github.io/Logging_0883/kartor/S 3078-2025 karta.png", "S 3078-2025")</f>
        <v/>
      </c>
      <c r="Y1246">
        <f>HYPERLINK("https://klasma.github.io/Logging_0883/kartor_geotiff/S 3078-2025 georefererad karta.tif", "S 3078-2025")</f>
        <v/>
      </c>
      <c r="AA1246">
        <f>HYPERLINK("https://klasma.github.io/Logging_0883/klagomål/S 3078-2025 FSC-klagomål.docx", "S 3078-2025")</f>
        <v/>
      </c>
      <c r="AB1246">
        <f>HYPERLINK("https://klasma.github.io/Logging_0883/klagomålsmail/S 3078-2025 FSC-klagomål mail.docx", "S 3078-2025")</f>
        <v/>
      </c>
      <c r="AC1246">
        <f>HYPERLINK("https://klasma.github.io/Logging_0883/tillsyn/S 3078-2025 tillsynsbegäran.docx", "S 3078-2025")</f>
        <v/>
      </c>
      <c r="AD1246">
        <f>HYPERLINK("https://klasma.github.io/Logging_0883/tillsynsmail/S 3078-2025 tillsynsbegäran mail.docx", "S 3078-2025")</f>
        <v/>
      </c>
    </row>
    <row r="1247" ht="15" customHeight="1">
      <c r="A1247" t="inlineStr">
        <is>
          <t>S 3100-2025</t>
        </is>
      </c>
      <c r="B1247" t="inlineStr">
        <is>
          <t>samrådsanmälan</t>
        </is>
      </c>
      <c r="C1247" t="inlineStr">
        <is>
          <t>Annan skogsbruksåtgärd</t>
        </is>
      </c>
      <c r="D1247" s="1" t="n">
        <v>45966</v>
      </c>
      <c r="E1247" s="1" t="n">
        <v>46323</v>
      </c>
      <c r="F1247" t="inlineStr">
        <is>
          <t>KALMAR LÄN</t>
        </is>
      </c>
      <c r="G1247" t="inlineStr">
        <is>
          <t>VÄSTERVIK</t>
        </is>
      </c>
      <c r="H1247" t="inlineStr">
        <is>
          <t>Sveaskog</t>
        </is>
      </c>
      <c r="I1247" t="n">
        <v>4.2</v>
      </c>
      <c r="J1247" t="n">
        <v>1</v>
      </c>
      <c r="K1247" t="n">
        <v>0</v>
      </c>
      <c r="L1247" t="n">
        <v>0</v>
      </c>
      <c r="M1247" t="n">
        <v>0</v>
      </c>
      <c r="N1247" t="n">
        <v>0</v>
      </c>
      <c r="O1247" t="n">
        <v>0</v>
      </c>
      <c r="P1247" t="n">
        <v>0</v>
      </c>
      <c r="Q1247" t="n">
        <v>0</v>
      </c>
      <c r="R1247" t="n">
        <v>0</v>
      </c>
      <c r="S1247" t="n">
        <v>1</v>
      </c>
      <c r="T1247" t="n">
        <v>1</v>
      </c>
      <c r="U1247" t="n">
        <v>0</v>
      </c>
      <c r="V1247" s="2" t="inlineStr">
        <is>
          <t>Blåsippa</t>
        </is>
      </c>
      <c r="W1247">
        <f>HYPERLINK("https://klasma.github.io/Logging_0883/artfynd/S 3100-2025 artfynd.xlsx", "S 3100-2025")</f>
        <v/>
      </c>
      <c r="X1247">
        <f>HYPERLINK("https://klasma.github.io/Logging_0883/kartor/S 3100-2025 karta.png", "S 3100-2025")</f>
        <v/>
      </c>
      <c r="Y1247">
        <f>HYPERLINK("https://klasma.github.io/Logging_0883/kartor_geotiff/S 3100-2025 georefererad karta.tif", "S 3100-2025")</f>
        <v/>
      </c>
      <c r="AA1247">
        <f>HYPERLINK("https://klasma.github.io/Logging_0883/klagomål/S 3100-2025 FSC-klagomål.docx", "S 3100-2025")</f>
        <v/>
      </c>
      <c r="AB1247">
        <f>HYPERLINK("https://klasma.github.io/Logging_0883/klagomålsmail/S 3100-2025 FSC-klagomål mail.docx", "S 3100-2025")</f>
        <v/>
      </c>
      <c r="AC1247">
        <f>HYPERLINK("https://klasma.github.io/Logging_0883/tillsyn/S 3100-2025 tillsynsbegäran.docx", "S 3100-2025")</f>
        <v/>
      </c>
      <c r="AD1247">
        <f>HYPERLINK("https://klasma.github.io/Logging_0883/tillsynsmail/S 3100-2025 tillsynsbegäran mail.docx", "S 3100-2025")</f>
        <v/>
      </c>
    </row>
    <row r="1248" ht="15" customHeight="1">
      <c r="A1248" t="inlineStr">
        <is>
          <t>S 57-2026</t>
        </is>
      </c>
      <c r="B1248" t="inlineStr">
        <is>
          <t>samrådsanmälan</t>
        </is>
      </c>
      <c r="C1248" t="inlineStr">
        <is>
          <t>Askåterföring</t>
        </is>
      </c>
      <c r="D1248" s="1" t="n">
        <v>46034</v>
      </c>
      <c r="E1248" s="1" t="n">
        <v>46323</v>
      </c>
      <c r="F1248" t="inlineStr">
        <is>
          <t>KALMAR LÄN</t>
        </is>
      </c>
      <c r="G1248" t="inlineStr">
        <is>
          <t>NYBRO</t>
        </is>
      </c>
      <c r="I1248" t="n">
        <v>21.7</v>
      </c>
      <c r="J1248" t="n">
        <v>1</v>
      </c>
      <c r="K1248" t="n">
        <v>0</v>
      </c>
      <c r="L1248" t="n">
        <v>0</v>
      </c>
      <c r="M1248" t="n">
        <v>0</v>
      </c>
      <c r="N1248" t="n">
        <v>0</v>
      </c>
      <c r="O1248" t="n">
        <v>0</v>
      </c>
      <c r="P1248" t="n">
        <v>0</v>
      </c>
      <c r="Q1248" t="n">
        <v>0</v>
      </c>
      <c r="R1248" t="n">
        <v>0</v>
      </c>
      <c r="S1248" t="n">
        <v>1</v>
      </c>
      <c r="T1248" t="n">
        <v>1</v>
      </c>
      <c r="U1248" t="n">
        <v>0</v>
      </c>
      <c r="V1248" s="2" t="inlineStr">
        <is>
          <t>Lopplummer (aggregat)</t>
        </is>
      </c>
      <c r="W1248">
        <f>HYPERLINK("https://klasma.github.io/Logging_0881/artfynd/S 57-2026 artfynd.xlsx", "S 57-2026")</f>
        <v/>
      </c>
      <c r="X1248">
        <f>HYPERLINK("https://klasma.github.io/Logging_0881/kartor/S 57-2026 karta.png", "S 57-2026")</f>
        <v/>
      </c>
      <c r="Y1248">
        <f>HYPERLINK("https://klasma.github.io/Logging_0881/kartor_geotiff/S 57-2026 georefererad karta.tif", "S 57-2026")</f>
        <v/>
      </c>
      <c r="AA1248">
        <f>HYPERLINK("https://klasma.github.io/Logging_0881/klagomål/S 57-2026 FSC-klagomål.docx", "S 57-2026")</f>
        <v/>
      </c>
      <c r="AB1248">
        <f>HYPERLINK("https://klasma.github.io/Logging_0881/klagomålsmail/S 57-2026 FSC-klagomål mail.docx", "S 57-2026")</f>
        <v/>
      </c>
      <c r="AC1248">
        <f>HYPERLINK("https://klasma.github.io/Logging_0881/tillsyn/S 57-2026 tillsynsbegäran.docx", "S 57-2026")</f>
        <v/>
      </c>
      <c r="AD1248">
        <f>HYPERLINK("https://klasma.github.io/Logging_0881/tillsynsmail/S 57-2026 tillsynsbegäran mail.docx", "S 57-2026")</f>
        <v/>
      </c>
    </row>
    <row r="1249" ht="15" customHeight="1">
      <c r="A1249" t="inlineStr">
        <is>
          <t>S 340-2026</t>
        </is>
      </c>
      <c r="B1249" t="inlineStr">
        <is>
          <t>samrådsanmälan</t>
        </is>
      </c>
      <c r="C1249" t="inlineStr">
        <is>
          <t>Askåterföring</t>
        </is>
      </c>
      <c r="D1249" s="1" t="n">
        <v>46063</v>
      </c>
      <c r="E1249" s="1" t="n">
        <v>46323</v>
      </c>
      <c r="F1249" t="inlineStr">
        <is>
          <t>KALMAR LÄN</t>
        </is>
      </c>
      <c r="G1249" t="inlineStr">
        <is>
          <t>KALMAR</t>
        </is>
      </c>
      <c r="I1249" t="n">
        <v>61.1</v>
      </c>
      <c r="J1249" t="n">
        <v>0</v>
      </c>
      <c r="K1249" t="n">
        <v>0</v>
      </c>
      <c r="L1249" t="n">
        <v>1</v>
      </c>
      <c r="M1249" t="n">
        <v>0</v>
      </c>
      <c r="N1249" t="n">
        <v>0</v>
      </c>
      <c r="O1249" t="n">
        <v>0</v>
      </c>
      <c r="P1249" t="n">
        <v>0</v>
      </c>
      <c r="Q1249" t="n">
        <v>1</v>
      </c>
      <c r="R1249" t="n">
        <v>0</v>
      </c>
      <c r="S1249" t="n">
        <v>1</v>
      </c>
      <c r="T1249" t="n">
        <v>1</v>
      </c>
      <c r="U1249" t="n">
        <v>0</v>
      </c>
      <c r="V1249" s="2" t="inlineStr">
        <is>
          <t>Motaggsvamp</t>
        </is>
      </c>
      <c r="W1249">
        <f>HYPERLINK("https://klasma.github.io/Logging_0880/artfynd/S 340-2026 artfynd.xlsx", "S 340-2026")</f>
        <v/>
      </c>
      <c r="X1249">
        <f>HYPERLINK("https://klasma.github.io/Logging_0880/kartor/S 340-2026 karta.png", "S 340-2026")</f>
        <v/>
      </c>
      <c r="Y1249">
        <f>HYPERLINK("https://klasma.github.io/Logging_0880/kartor_geotiff/S 340-2026 georefererad karta.tif", "S 340-2026")</f>
        <v/>
      </c>
      <c r="AA1249">
        <f>HYPERLINK("https://klasma.github.io/Logging_0880/klagomål/S 340-2026 FSC-klagomål.docx", "S 340-2026")</f>
        <v/>
      </c>
      <c r="AB1249">
        <f>HYPERLINK("https://klasma.github.io/Logging_0880/klagomålsmail/S 340-2026 FSC-klagomål mail.docx", "S 340-2026")</f>
        <v/>
      </c>
      <c r="AC1249">
        <f>HYPERLINK("https://klasma.github.io/Logging_0880/tillsyn/S 340-2026 tillsynsbegäran.docx", "S 340-2026")</f>
        <v/>
      </c>
      <c r="AD1249">
        <f>HYPERLINK("https://klasma.github.io/Logging_0880/tillsynsmail/S 340-2026 tillsynsbegäran mail.docx", "S 340-2026")</f>
        <v/>
      </c>
    </row>
    <row r="1250" ht="15" customHeight="1">
      <c r="A1250" t="inlineStr">
        <is>
          <t>S 463-2026</t>
        </is>
      </c>
      <c r="B1250" t="inlineStr">
        <is>
          <t>samrådsanmälan</t>
        </is>
      </c>
      <c r="C1250" t="inlineStr">
        <is>
          <t>Annan skogsbruksåtgärd</t>
        </is>
      </c>
      <c r="D1250" s="1" t="n">
        <v>46073</v>
      </c>
      <c r="E1250" s="1" t="n">
        <v>46323</v>
      </c>
      <c r="F1250" t="inlineStr">
        <is>
          <t>KALMAR LÄN</t>
        </is>
      </c>
      <c r="G1250" t="inlineStr">
        <is>
          <t>VIMMERBY</t>
        </is>
      </c>
      <c r="I1250" t="n">
        <v>7.5</v>
      </c>
      <c r="J1250" t="n">
        <v>0</v>
      </c>
      <c r="K1250" t="n">
        <v>0</v>
      </c>
      <c r="L1250" t="n">
        <v>1</v>
      </c>
      <c r="M1250" t="n">
        <v>0</v>
      </c>
      <c r="N1250" t="n">
        <v>0</v>
      </c>
      <c r="O1250" t="n">
        <v>0</v>
      </c>
      <c r="P1250" t="n">
        <v>0</v>
      </c>
      <c r="Q1250" t="n">
        <v>1</v>
      </c>
      <c r="R1250" t="n">
        <v>0</v>
      </c>
      <c r="S1250" t="n">
        <v>1</v>
      </c>
      <c r="T1250" t="n">
        <v>1</v>
      </c>
      <c r="U1250" t="n">
        <v>0</v>
      </c>
      <c r="V1250" s="2" t="inlineStr">
        <is>
          <t>Vårärt</t>
        </is>
      </c>
      <c r="W1250">
        <f>HYPERLINK("https://klasma.github.io/Logging_0884/artfynd/S 463-2026 artfynd.xlsx", "S 463-2026")</f>
        <v/>
      </c>
      <c r="X1250">
        <f>HYPERLINK("https://klasma.github.io/Logging_0884/kartor/S 463-2026 karta.png", "S 463-2026")</f>
        <v/>
      </c>
      <c r="Y1250">
        <f>HYPERLINK("https://klasma.github.io/Logging_0884/kartor_geotiff/S 463-2026 georefererad karta.tif", "S 463-2026")</f>
        <v/>
      </c>
      <c r="AA1250">
        <f>HYPERLINK("https://klasma.github.io/Logging_0884/klagomål/S 463-2026 FSC-klagomål.docx", "S 463-2026")</f>
        <v/>
      </c>
      <c r="AB1250">
        <f>HYPERLINK("https://klasma.github.io/Logging_0884/klagomålsmail/S 463-2026 FSC-klagomål mail.docx", "S 463-2026")</f>
        <v/>
      </c>
      <c r="AC1250">
        <f>HYPERLINK("https://klasma.github.io/Logging_0884/tillsyn/S 463-2026 tillsynsbegäran.docx", "S 463-2026")</f>
        <v/>
      </c>
      <c r="AD1250">
        <f>HYPERLINK("https://klasma.github.io/Logging_0884/tillsynsmail/S 463-2026 tillsynsbegäran mail.docx", "S 463-2026")</f>
        <v/>
      </c>
    </row>
    <row r="1251" ht="15" customHeight="1">
      <c r="A1251" t="inlineStr">
        <is>
          <t>S 586-2026</t>
        </is>
      </c>
      <c r="B1251" t="inlineStr">
        <is>
          <t>samrådsanmälan</t>
        </is>
      </c>
      <c r="C1251" t="inlineStr">
        <is>
          <t>Askåterföring</t>
        </is>
      </c>
      <c r="D1251" s="1" t="n">
        <v>46084</v>
      </c>
      <c r="E1251" s="1" t="n">
        <v>46323</v>
      </c>
      <c r="F1251" t="inlineStr">
        <is>
          <t>KALMAR LÄN</t>
        </is>
      </c>
      <c r="G1251" t="inlineStr">
        <is>
          <t>TORSÅS</t>
        </is>
      </c>
      <c r="I1251" t="n">
        <v>40.4</v>
      </c>
      <c r="J1251" t="n">
        <v>0</v>
      </c>
      <c r="K1251" t="n">
        <v>0</v>
      </c>
      <c r="L1251" t="n">
        <v>1</v>
      </c>
      <c r="M1251" t="n">
        <v>0</v>
      </c>
      <c r="N1251" t="n">
        <v>0</v>
      </c>
      <c r="O1251" t="n">
        <v>0</v>
      </c>
      <c r="P1251" t="n">
        <v>0</v>
      </c>
      <c r="Q1251" t="n">
        <v>1</v>
      </c>
      <c r="R1251" t="n">
        <v>0</v>
      </c>
      <c r="S1251" t="n">
        <v>1</v>
      </c>
      <c r="T1251" t="n">
        <v>1</v>
      </c>
      <c r="U1251" t="n">
        <v>0</v>
      </c>
      <c r="V1251" s="2" t="inlineStr">
        <is>
          <t>Tallticka</t>
        </is>
      </c>
      <c r="W1251">
        <f>HYPERLINK("https://klasma.github.io/Logging_0834/artfynd/S 586-2026 artfynd.xlsx", "S 586-2026")</f>
        <v/>
      </c>
      <c r="X1251">
        <f>HYPERLINK("https://klasma.github.io/Logging_0834/kartor/S 586-2026 karta.png", "S 586-2026")</f>
        <v/>
      </c>
      <c r="Y1251">
        <f>HYPERLINK("https://klasma.github.io/Logging_0834/kartor_geotiff/S 586-2026 georefererad karta.tif", "S 586-2026")</f>
        <v/>
      </c>
      <c r="AA1251">
        <f>HYPERLINK("https://klasma.github.io/Logging_0834/klagomål/S 586-2026 FSC-klagomål.docx", "S 586-2026")</f>
        <v/>
      </c>
      <c r="AB1251">
        <f>HYPERLINK("https://klasma.github.io/Logging_0834/klagomålsmail/S 586-2026 FSC-klagomål mail.docx", "S 586-2026")</f>
        <v/>
      </c>
      <c r="AC1251">
        <f>HYPERLINK("https://klasma.github.io/Logging_0834/tillsyn/S 586-2026 tillsynsbegäran.docx", "S 586-2026")</f>
        <v/>
      </c>
      <c r="AD1251">
        <f>HYPERLINK("https://klasma.github.io/Logging_0834/tillsynsmail/S 586-2026 tillsynsbegäran mail.docx", "S 586-2026")</f>
        <v/>
      </c>
    </row>
    <row r="1252" ht="15" customHeight="1">
      <c r="A1252" t="inlineStr">
        <is>
          <t>S 628-2026</t>
        </is>
      </c>
      <c r="B1252" t="inlineStr">
        <is>
          <t>samrådsanmälan</t>
        </is>
      </c>
      <c r="C1252" t="inlineStr">
        <is>
          <t>Annan skogsbruksåtgärd</t>
        </is>
      </c>
      <c r="D1252" s="1" t="n">
        <v>46087</v>
      </c>
      <c r="E1252" s="1" t="n">
        <v>46323</v>
      </c>
      <c r="F1252" t="inlineStr">
        <is>
          <t>KALMAR LÄN</t>
        </is>
      </c>
      <c r="G1252" t="inlineStr">
        <is>
          <t>KALMAR</t>
        </is>
      </c>
      <c r="I1252" t="n">
        <v>1.5</v>
      </c>
      <c r="J1252" t="n">
        <v>0</v>
      </c>
      <c r="K1252" t="n">
        <v>1</v>
      </c>
      <c r="L1252" t="n">
        <v>0</v>
      </c>
      <c r="M1252" t="n">
        <v>0</v>
      </c>
      <c r="N1252" t="n">
        <v>0</v>
      </c>
      <c r="O1252" t="n">
        <v>0</v>
      </c>
      <c r="P1252" t="n">
        <v>0</v>
      </c>
      <c r="Q1252" t="n">
        <v>0</v>
      </c>
      <c r="R1252" t="n">
        <v>0</v>
      </c>
      <c r="S1252" t="n">
        <v>1</v>
      </c>
      <c r="T1252" t="n">
        <v>1</v>
      </c>
      <c r="U1252" t="n">
        <v>0</v>
      </c>
      <c r="V1252" s="2" t="inlineStr">
        <is>
          <t>Rostfläck</t>
        </is>
      </c>
      <c r="W1252">
        <f>HYPERLINK("https://klasma.github.io/Logging_0880/artfynd/S 628-2026 artfynd.xlsx", "S 628-2026")</f>
        <v/>
      </c>
      <c r="X1252">
        <f>HYPERLINK("https://klasma.github.io/Logging_0880/kartor/S 628-2026 karta.png", "S 628-2026")</f>
        <v/>
      </c>
      <c r="Y1252">
        <f>HYPERLINK("https://klasma.github.io/Logging_0880/kartor_geotiff/S 628-2026 georefererad karta.tif", "S 628-2026")</f>
        <v/>
      </c>
      <c r="AA1252">
        <f>HYPERLINK("https://klasma.github.io/Logging_0880/klagomål/S 628-2026 FSC-klagomål.docx", "S 628-2026")</f>
        <v/>
      </c>
      <c r="AB1252">
        <f>HYPERLINK("https://klasma.github.io/Logging_0880/klagomålsmail/S 628-2026 FSC-klagomål mail.docx", "S 628-2026")</f>
        <v/>
      </c>
      <c r="AC1252">
        <f>HYPERLINK("https://klasma.github.io/Logging_0880/tillsyn/S 628-2026 tillsynsbegäran.docx", "S 628-2026")</f>
        <v/>
      </c>
      <c r="AD1252">
        <f>HYPERLINK("https://klasma.github.io/Logging_0880/tillsynsmail/S 628-2026 tillsynsbegäran mail.docx", "S 628-2026")</f>
        <v/>
      </c>
    </row>
    <row r="1253" ht="15" customHeight="1">
      <c r="A1253" t="inlineStr">
        <is>
          <t>S 838-2026</t>
        </is>
      </c>
      <c r="B1253" t="inlineStr">
        <is>
          <t>samrådsanmälan</t>
        </is>
      </c>
      <c r="C1253" t="inlineStr">
        <is>
          <t>Annan skogsbruksåtgärd</t>
        </is>
      </c>
      <c r="D1253" s="1" t="n">
        <v>46105</v>
      </c>
      <c r="E1253" s="1" t="n">
        <v>46323</v>
      </c>
      <c r="F1253" t="inlineStr">
        <is>
          <t>KALMAR LÄN</t>
        </is>
      </c>
      <c r="G1253" t="inlineStr">
        <is>
          <t>VÄSTERVIK</t>
        </is>
      </c>
      <c r="H1253" t="inlineStr">
        <is>
          <t>Sveaskog</t>
        </is>
      </c>
      <c r="I1253" t="n">
        <v>1.9</v>
      </c>
      <c r="J1253" t="n">
        <v>1</v>
      </c>
      <c r="K1253" t="n">
        <v>0</v>
      </c>
      <c r="L1253" t="n">
        <v>0</v>
      </c>
      <c r="M1253" t="n">
        <v>0</v>
      </c>
      <c r="N1253" t="n">
        <v>0</v>
      </c>
      <c r="O1253" t="n">
        <v>0</v>
      </c>
      <c r="P1253" t="n">
        <v>0</v>
      </c>
      <c r="Q1253" t="n">
        <v>0</v>
      </c>
      <c r="R1253" t="n">
        <v>0</v>
      </c>
      <c r="S1253" t="n">
        <v>1</v>
      </c>
      <c r="T1253" t="n">
        <v>1</v>
      </c>
      <c r="U1253" t="n">
        <v>0</v>
      </c>
      <c r="V1253" s="2" t="inlineStr">
        <is>
          <t>Blåsippa</t>
        </is>
      </c>
      <c r="W1253">
        <f>HYPERLINK("https://klasma.github.io/Logging_0883/artfynd/S 838-2026 artfynd.xlsx", "S 838-2026")</f>
        <v/>
      </c>
      <c r="X1253">
        <f>HYPERLINK("https://klasma.github.io/Logging_0883/kartor/S 838-2026 karta.png", "S 838-2026")</f>
        <v/>
      </c>
      <c r="Y1253">
        <f>HYPERLINK("https://klasma.github.io/Logging_0883/kartor_geotiff/S 838-2026 georefererad karta.tif", "S 838-2026")</f>
        <v/>
      </c>
      <c r="AA1253">
        <f>HYPERLINK("https://klasma.github.io/Logging_0883/klagomål/S 838-2026 FSC-klagomål.docx", "S 838-2026")</f>
        <v/>
      </c>
      <c r="AB1253">
        <f>HYPERLINK("https://klasma.github.io/Logging_0883/klagomålsmail/S 838-2026 FSC-klagomål mail.docx", "S 838-2026")</f>
        <v/>
      </c>
      <c r="AC1253">
        <f>HYPERLINK("https://klasma.github.io/Logging_0883/tillsyn/S 838-2026 tillsynsbegäran.docx", "S 838-2026")</f>
        <v/>
      </c>
      <c r="AD1253">
        <f>HYPERLINK("https://klasma.github.io/Logging_0883/tillsynsmail/S 838-2026 tillsynsbegäran mail.docx", "S 838-2026")</f>
        <v/>
      </c>
    </row>
    <row r="1254" ht="15" customHeight="1">
      <c r="A1254" t="inlineStr">
        <is>
          <t>S 923-2026</t>
        </is>
      </c>
      <c r="B1254" t="inlineStr">
        <is>
          <t>samrådsanmälan</t>
        </is>
      </c>
      <c r="C1254" t="inlineStr">
        <is>
          <t>Askåterföring</t>
        </is>
      </c>
      <c r="D1254" s="1" t="n">
        <v>46111</v>
      </c>
      <c r="E1254" s="1" t="n">
        <v>46323</v>
      </c>
      <c r="F1254" t="inlineStr">
        <is>
          <t>KALMAR LÄN</t>
        </is>
      </c>
      <c r="G1254" t="inlineStr">
        <is>
          <t>HÖGSBY</t>
        </is>
      </c>
      <c r="I1254" t="n">
        <v>65.2</v>
      </c>
      <c r="J1254" t="n">
        <v>0</v>
      </c>
      <c r="K1254" t="n">
        <v>1</v>
      </c>
      <c r="L1254" t="n">
        <v>0</v>
      </c>
      <c r="M1254" t="n">
        <v>0</v>
      </c>
      <c r="N1254" t="n">
        <v>0</v>
      </c>
      <c r="O1254" t="n">
        <v>0</v>
      </c>
      <c r="P1254" t="n">
        <v>0</v>
      </c>
      <c r="Q1254" t="n">
        <v>0</v>
      </c>
      <c r="R1254" t="n">
        <v>0</v>
      </c>
      <c r="S1254" t="n">
        <v>1</v>
      </c>
      <c r="T1254" t="n">
        <v>1</v>
      </c>
      <c r="U1254" t="n">
        <v>0</v>
      </c>
      <c r="V1254" s="2" t="inlineStr">
        <is>
          <t>Blomkålssvamp</t>
        </is>
      </c>
      <c r="W1254">
        <f>HYPERLINK("https://klasma.github.io/Logging_0821/artfynd/S 923-2026 artfynd.xlsx", "S 923-2026")</f>
        <v/>
      </c>
      <c r="X1254">
        <f>HYPERLINK("https://klasma.github.io/Logging_0821/kartor/S 923-2026 karta.png", "S 923-2026")</f>
        <v/>
      </c>
      <c r="Y1254">
        <f>HYPERLINK("https://klasma.github.io/Logging_0821/kartor_geotiff/S 923-2026 georefererad karta.tif", "S 923-2026")</f>
        <v/>
      </c>
      <c r="AA1254">
        <f>HYPERLINK("https://klasma.github.io/Logging_0821/klagomål/S 923-2026 FSC-klagomål.docx", "S 923-2026")</f>
        <v/>
      </c>
      <c r="AB1254">
        <f>HYPERLINK("https://klasma.github.io/Logging_0821/klagomålsmail/S 923-2026 FSC-klagomål mail.docx", "S 923-2026")</f>
        <v/>
      </c>
      <c r="AC1254">
        <f>HYPERLINK("https://klasma.github.io/Logging_0821/tillsyn/S 923-2026 tillsynsbegäran.docx", "S 923-2026")</f>
        <v/>
      </c>
      <c r="AD1254">
        <f>HYPERLINK("https://klasma.github.io/Logging_0821/tillsynsmail/S 923-2026 tillsynsbegäran mail.docx", "S 923-2026")</f>
        <v/>
      </c>
    </row>
    <row r="1255" ht="15" customHeight="1">
      <c r="A1255" t="inlineStr">
        <is>
          <t>S 1320-2026</t>
        </is>
      </c>
      <c r="B1255" t="inlineStr">
        <is>
          <t>samrådsanmälan</t>
        </is>
      </c>
      <c r="C1255" t="inlineStr">
        <is>
          <t>Annan skogsbruksåtgärd</t>
        </is>
      </c>
      <c r="D1255" s="1" t="n">
        <v>46147</v>
      </c>
      <c r="E1255" s="1" t="n">
        <v>46323</v>
      </c>
      <c r="F1255" t="inlineStr">
        <is>
          <t>KALMAR LÄN</t>
        </is>
      </c>
      <c r="G1255" t="inlineStr">
        <is>
          <t>VÄSTERVIK</t>
        </is>
      </c>
      <c r="I1255" t="n">
        <v>0.1</v>
      </c>
      <c r="J1255" t="n">
        <v>1</v>
      </c>
      <c r="K1255" t="n">
        <v>0</v>
      </c>
      <c r="L1255" t="n">
        <v>0</v>
      </c>
      <c r="M1255" t="n">
        <v>1</v>
      </c>
      <c r="N1255" t="n">
        <v>0</v>
      </c>
      <c r="O1255" t="n">
        <v>0</v>
      </c>
      <c r="P1255" t="n">
        <v>0</v>
      </c>
      <c r="Q1255" t="n">
        <v>1</v>
      </c>
      <c r="R1255" t="n">
        <v>1</v>
      </c>
      <c r="S1255" t="n">
        <v>1</v>
      </c>
      <c r="T1255" t="n">
        <v>6</v>
      </c>
      <c r="U1255" t="n">
        <v>0</v>
      </c>
      <c r="V1255" s="2" t="inlineStr">
        <is>
          <t>Knärot</t>
        </is>
      </c>
      <c r="W1255">
        <f>HYPERLINK("https://klasma.github.io/Logging_0883/artfynd/S 1320-2026 artfynd.xlsx", "S 1320-2026")</f>
        <v/>
      </c>
      <c r="X1255">
        <f>HYPERLINK("https://klasma.github.io/Logging_0883/kartor/S 1320-2026 karta.png", "S 1320-2026")</f>
        <v/>
      </c>
      <c r="Y1255">
        <f>HYPERLINK("https://klasma.github.io/Logging_0883/kartor_geotiff/S 1320-2026 georefererad karta.tif", "S 1320-2026")</f>
        <v/>
      </c>
      <c r="Z1255">
        <f>HYPERLINK("https://klasma.github.io/Logging_0883/knärot/S 1320-2026 karta knärot.png", "S 1320-2026")</f>
        <v/>
      </c>
      <c r="AA1255">
        <f>HYPERLINK("https://klasma.github.io/Logging_0883/klagomål/S 1320-2026 FSC-klagomål.docx", "S 1320-2026")</f>
        <v/>
      </c>
      <c r="AB1255">
        <f>HYPERLINK("https://klasma.github.io/Logging_0883/klagomålsmail/S 1320-2026 FSC-klagomål mail.docx", "S 1320-2026")</f>
        <v/>
      </c>
      <c r="AC1255">
        <f>HYPERLINK("https://klasma.github.io/Logging_0883/tillsyn/S 1320-2026 tillsynsbegäran.docx", "S 1320-2026")</f>
        <v/>
      </c>
      <c r="AD1255">
        <f>HYPERLINK("https://klasma.github.io/Logging_0883/tillsynsmail/S 1320-2026 tillsynsbegäran mail.docx", "S 1320-2026")</f>
        <v/>
      </c>
    </row>
    <row r="1256" ht="15" customHeight="1">
      <c r="A1256" t="inlineStr">
        <is>
          <t>S 1575-2026</t>
        </is>
      </c>
      <c r="B1256" t="inlineStr">
        <is>
          <t>samrådsanmälan</t>
        </is>
      </c>
      <c r="C1256" t="inlineStr">
        <is>
          <t>Annan skogsbruksåtgärd</t>
        </is>
      </c>
      <c r="D1256" s="1" t="n">
        <v>46171</v>
      </c>
      <c r="E1256" s="1" t="n">
        <v>46323</v>
      </c>
      <c r="F1256" t="inlineStr">
        <is>
          <t>KALMAR LÄN</t>
        </is>
      </c>
      <c r="G1256" t="inlineStr">
        <is>
          <t>HULTSFRED</t>
        </is>
      </c>
      <c r="I1256" t="n">
        <v>0.9</v>
      </c>
      <c r="J1256" t="n">
        <v>0</v>
      </c>
      <c r="K1256" t="n">
        <v>0</v>
      </c>
      <c r="L1256" t="n">
        <v>0</v>
      </c>
      <c r="M1256" t="n">
        <v>1</v>
      </c>
      <c r="N1256" t="n">
        <v>0</v>
      </c>
      <c r="O1256" t="n">
        <v>0</v>
      </c>
      <c r="P1256" t="n">
        <v>0</v>
      </c>
      <c r="Q1256" t="n">
        <v>1</v>
      </c>
      <c r="R1256" t="n">
        <v>1</v>
      </c>
      <c r="S1256" t="n">
        <v>1</v>
      </c>
      <c r="T1256" t="n">
        <v>1</v>
      </c>
      <c r="U1256" t="n">
        <v>0</v>
      </c>
      <c r="V1256" s="2" t="inlineStr">
        <is>
          <t>Hjärtstilla</t>
        </is>
      </c>
      <c r="W1256">
        <f>HYPERLINK("https://klasma.github.io/Logging_0860/artfynd/S 1575-2026 artfynd.xlsx", "S 1575-2026")</f>
        <v/>
      </c>
      <c r="X1256">
        <f>HYPERLINK("https://klasma.github.io/Logging_0860/kartor/S 1575-2026 karta.png", "S 1575-2026")</f>
        <v/>
      </c>
      <c r="Y1256">
        <f>HYPERLINK("https://klasma.github.io/Logging_0860/kartor_geotiff/S 1575-2026 georefererad karta.tif", "S 1575-2026")</f>
        <v/>
      </c>
      <c r="AA1256">
        <f>HYPERLINK("https://klasma.github.io/Logging_0860/klagomål/S 1575-2026 FSC-klagomål.docx", "S 1575-2026")</f>
        <v/>
      </c>
      <c r="AB1256">
        <f>HYPERLINK("https://klasma.github.io/Logging_0860/klagomålsmail/S 1575-2026 FSC-klagomål mail.docx", "S 1575-2026")</f>
        <v/>
      </c>
      <c r="AC1256">
        <f>HYPERLINK("https://klasma.github.io/Logging_0860/tillsyn/S 1575-2026 tillsynsbegäran.docx", "S 1575-2026")</f>
        <v/>
      </c>
      <c r="AD1256">
        <f>HYPERLINK("https://klasma.github.io/Logging_0860/tillsynsmail/S 1575-2026 tillsynsbegäran mail.docx", "S 1575-2026")</f>
        <v/>
      </c>
    </row>
    <row r="1257" ht="15" customHeight="1">
      <c r="A1257" t="inlineStr">
        <is>
          <t>S 1637-2026</t>
        </is>
      </c>
      <c r="B1257" t="inlineStr">
        <is>
          <t>samrådsanmälan</t>
        </is>
      </c>
      <c r="C1257" t="inlineStr">
        <is>
          <t>Annan skogsbruksåtgärd</t>
        </is>
      </c>
      <c r="D1257" s="1" t="n">
        <v>46177</v>
      </c>
      <c r="E1257" s="1" t="n">
        <v>46323</v>
      </c>
      <c r="F1257" t="inlineStr">
        <is>
          <t>KALMAR LÄN</t>
        </is>
      </c>
      <c r="G1257" t="inlineStr">
        <is>
          <t>VÄSTERVIK</t>
        </is>
      </c>
      <c r="I1257" t="n">
        <v>2.4</v>
      </c>
      <c r="J1257" t="n">
        <v>0</v>
      </c>
      <c r="K1257" t="n">
        <v>0</v>
      </c>
      <c r="L1257" t="n">
        <v>1</v>
      </c>
      <c r="M1257" t="n">
        <v>0</v>
      </c>
      <c r="N1257" t="n">
        <v>0</v>
      </c>
      <c r="O1257" t="n">
        <v>0</v>
      </c>
      <c r="P1257" t="n">
        <v>0</v>
      </c>
      <c r="Q1257" t="n">
        <v>1</v>
      </c>
      <c r="R1257" t="n">
        <v>0</v>
      </c>
      <c r="S1257" t="n">
        <v>1</v>
      </c>
      <c r="T1257" t="n">
        <v>1</v>
      </c>
      <c r="U1257" t="n">
        <v>0</v>
      </c>
      <c r="V1257" s="2" t="inlineStr">
        <is>
          <t>Ekträdlöpare</t>
        </is>
      </c>
      <c r="W1257">
        <f>HYPERLINK("https://klasma.github.io/Logging_0883/artfynd/S 1637-2026 artfynd.xlsx", "S 1637-2026")</f>
        <v/>
      </c>
      <c r="X1257">
        <f>HYPERLINK("https://klasma.github.io/Logging_0883/kartor/S 1637-2026 karta.png", "S 1637-2026")</f>
        <v/>
      </c>
      <c r="Y1257">
        <f>HYPERLINK("https://klasma.github.io/Logging_0883/kartor_geotiff/S 1637-2026 georefererad karta.tif", "S 1637-2026")</f>
        <v/>
      </c>
      <c r="AA1257">
        <f>HYPERLINK("https://klasma.github.io/Logging_0883/klagomål/S 1637-2026 FSC-klagomål.docx", "S 1637-2026")</f>
        <v/>
      </c>
      <c r="AB1257">
        <f>HYPERLINK("https://klasma.github.io/Logging_0883/klagomålsmail/S 1637-2026 FSC-klagomål mail.docx", "S 1637-2026")</f>
        <v/>
      </c>
      <c r="AC1257">
        <f>HYPERLINK("https://klasma.github.io/Logging_0883/tillsyn/S 1637-2026 tillsynsbegäran.docx", "S 1637-2026")</f>
        <v/>
      </c>
      <c r="AD1257">
        <f>HYPERLINK("https://klasma.github.io/Logging_0883/tillsynsmail/S 1637-2026 tillsynsbegäran mail.docx", "S 1637-2026")</f>
        <v/>
      </c>
    </row>
    <row r="1258" ht="15" customHeight="1">
      <c r="A1258" t="inlineStr">
        <is>
          <t>S 1706-2026</t>
        </is>
      </c>
      <c r="B1258" t="inlineStr">
        <is>
          <t>samrådsanmälan</t>
        </is>
      </c>
      <c r="C1258" t="inlineStr">
        <is>
          <t>Annan skogsbruksåtgärd</t>
        </is>
      </c>
      <c r="D1258" s="1" t="n">
        <v>46185</v>
      </c>
      <c r="E1258" s="1" t="n">
        <v>46323</v>
      </c>
      <c r="F1258" t="inlineStr">
        <is>
          <t>KALMAR LÄN</t>
        </is>
      </c>
      <c r="G1258" t="inlineStr">
        <is>
          <t>BORGHOLM</t>
        </is>
      </c>
      <c r="H1258" t="inlineStr">
        <is>
          <t>Sveaskog</t>
        </is>
      </c>
      <c r="I1258" t="n">
        <v>1.4</v>
      </c>
      <c r="J1258" t="n">
        <v>0</v>
      </c>
      <c r="K1258" t="n">
        <v>0</v>
      </c>
      <c r="L1258" t="n">
        <v>0</v>
      </c>
      <c r="M1258" t="n">
        <v>0</v>
      </c>
      <c r="N1258" t="n">
        <v>1</v>
      </c>
      <c r="O1258" t="n">
        <v>0</v>
      </c>
      <c r="P1258" t="n">
        <v>0</v>
      </c>
      <c r="Q1258" t="n">
        <v>1</v>
      </c>
      <c r="R1258" t="n">
        <v>1</v>
      </c>
      <c r="S1258" t="n">
        <v>1</v>
      </c>
      <c r="T1258" t="n">
        <v>3</v>
      </c>
      <c r="U1258" t="n">
        <v>0</v>
      </c>
      <c r="V1258" s="2" t="inlineStr">
        <is>
          <t>Ask</t>
        </is>
      </c>
      <c r="W1258">
        <f>HYPERLINK("https://klasma.github.io/Logging_0885/artfynd/S 1706-2026 artfynd.xlsx", "S 1706-2026")</f>
        <v/>
      </c>
      <c r="X1258">
        <f>HYPERLINK("https://klasma.github.io/Logging_0885/kartor/S 1706-2026 karta.png", "S 1706-2026")</f>
        <v/>
      </c>
      <c r="Y1258">
        <f>HYPERLINK("https://klasma.github.io/Logging_0885/kartor_geotiff/S 1706-2026 georefererad karta.tif", "S 1706-2026")</f>
        <v/>
      </c>
      <c r="AA1258">
        <f>HYPERLINK("https://klasma.github.io/Logging_0885/klagomål/S 1706-2026 FSC-klagomål.docx", "S 1706-2026")</f>
        <v/>
      </c>
      <c r="AB1258">
        <f>HYPERLINK("https://klasma.github.io/Logging_0885/klagomålsmail/S 1706-2026 FSC-klagomål mail.docx", "S 1706-2026")</f>
        <v/>
      </c>
      <c r="AC1258">
        <f>HYPERLINK("https://klasma.github.io/Logging_0885/tillsyn/S 1706-2026 tillsynsbegäran.docx", "S 1706-2026")</f>
        <v/>
      </c>
      <c r="AD1258">
        <f>HYPERLINK("https://klasma.github.io/Logging_0885/tillsynsmail/S 1706-2026 tillsynsbegäran mail.docx", "S 1706-2026")</f>
        <v/>
      </c>
    </row>
    <row r="1259" ht="15" customHeight="1">
      <c r="A1259" t="inlineStr">
        <is>
          <t>S 1813-2026</t>
        </is>
      </c>
      <c r="B1259" t="inlineStr">
        <is>
          <t>samrådsanmälan</t>
        </is>
      </c>
      <c r="C1259" t="inlineStr">
        <is>
          <t>Annan skogsbruksåtgärd</t>
        </is>
      </c>
      <c r="D1259" s="1" t="n">
        <v>46197</v>
      </c>
      <c r="E1259" s="1" t="n">
        <v>46323</v>
      </c>
      <c r="F1259" t="inlineStr">
        <is>
          <t>KALMAR LÄN</t>
        </is>
      </c>
      <c r="G1259" t="inlineStr">
        <is>
          <t>BORGHOLM</t>
        </is>
      </c>
      <c r="H1259" t="inlineStr">
        <is>
          <t>Sveaskog</t>
        </is>
      </c>
      <c r="I1259" t="n">
        <v>1.8</v>
      </c>
      <c r="J1259" t="n">
        <v>0</v>
      </c>
      <c r="K1259" t="n">
        <v>0</v>
      </c>
      <c r="L1259" t="n">
        <v>1</v>
      </c>
      <c r="M1259" t="n">
        <v>0</v>
      </c>
      <c r="N1259" t="n">
        <v>0</v>
      </c>
      <c r="O1259" t="n">
        <v>0</v>
      </c>
      <c r="P1259" t="n">
        <v>0</v>
      </c>
      <c r="Q1259" t="n">
        <v>1</v>
      </c>
      <c r="R1259" t="n">
        <v>0</v>
      </c>
      <c r="S1259" t="n">
        <v>1</v>
      </c>
      <c r="T1259" t="n">
        <v>2</v>
      </c>
      <c r="U1259" t="n">
        <v>0</v>
      </c>
      <c r="V1259" s="2" t="inlineStr">
        <is>
          <t>Oxtungssvamp</t>
        </is>
      </c>
      <c r="W1259">
        <f>HYPERLINK("https://klasma.github.io/Logging_0885/artfynd/S 1813-2026 artfynd.xlsx", "S 1813-2026")</f>
        <v/>
      </c>
      <c r="X1259">
        <f>HYPERLINK("https://klasma.github.io/Logging_0885/kartor/S 1813-2026 karta.png", "S 1813-2026")</f>
        <v/>
      </c>
      <c r="Y1259">
        <f>HYPERLINK("https://klasma.github.io/Logging_0885/kartor_geotiff/S 1813-2026 georefererad karta.tif", "S 1813-2026")</f>
        <v/>
      </c>
      <c r="AA1259">
        <f>HYPERLINK("https://klasma.github.io/Logging_0885/klagomål/S 1813-2026 FSC-klagomål.docx", "S 1813-2026")</f>
        <v/>
      </c>
      <c r="AB1259">
        <f>HYPERLINK("https://klasma.github.io/Logging_0885/klagomålsmail/S 1813-2026 FSC-klagomål mail.docx", "S 1813-2026")</f>
        <v/>
      </c>
      <c r="AC1259">
        <f>HYPERLINK("https://klasma.github.io/Logging_0885/tillsyn/S 1813-2026 tillsynsbegäran.docx", "S 1813-2026")</f>
        <v/>
      </c>
      <c r="AD1259">
        <f>HYPERLINK("https://klasma.github.io/Logging_0885/tillsynsmail/S 1813-2026 tillsynsbegäran mail.docx", "S 1813-2026")</f>
        <v/>
      </c>
    </row>
    <row r="1260" ht="15" customHeight="1">
      <c r="A1260" t="inlineStr">
        <is>
          <t>S 1803-2026</t>
        </is>
      </c>
      <c r="B1260" t="inlineStr">
        <is>
          <t>samrådsanmälan</t>
        </is>
      </c>
      <c r="C1260" t="inlineStr">
        <is>
          <t>Annan skogsbruksåtgärd</t>
        </is>
      </c>
      <c r="D1260" s="1" t="n">
        <v>46196</v>
      </c>
      <c r="E1260" s="1" t="n">
        <v>46323</v>
      </c>
      <c r="F1260" t="inlineStr">
        <is>
          <t>KALMAR LÄN</t>
        </is>
      </c>
      <c r="G1260" t="inlineStr">
        <is>
          <t>BORGHOLM</t>
        </is>
      </c>
      <c r="H1260" t="inlineStr">
        <is>
          <t>Sveaskog</t>
        </is>
      </c>
      <c r="I1260" t="n">
        <v>2</v>
      </c>
      <c r="J1260" t="n">
        <v>0</v>
      </c>
      <c r="K1260" t="n">
        <v>0</v>
      </c>
      <c r="L1260" t="n">
        <v>0</v>
      </c>
      <c r="M1260" t="n">
        <v>1</v>
      </c>
      <c r="N1260" t="n">
        <v>0</v>
      </c>
      <c r="O1260" t="n">
        <v>0</v>
      </c>
      <c r="P1260" t="n">
        <v>0</v>
      </c>
      <c r="Q1260" t="n">
        <v>1</v>
      </c>
      <c r="R1260" t="n">
        <v>1</v>
      </c>
      <c r="S1260" t="n">
        <v>1</v>
      </c>
      <c r="T1260" t="n">
        <v>1</v>
      </c>
      <c r="U1260" t="n">
        <v>0</v>
      </c>
      <c r="V1260" s="2" t="inlineStr">
        <is>
          <t>Purpurmusseron</t>
        </is>
      </c>
      <c r="W1260">
        <f>HYPERLINK("https://klasma.github.io/Logging_0885/artfynd/S 1803-2026 artfynd.xlsx", "S 1803-2026")</f>
        <v/>
      </c>
      <c r="X1260">
        <f>HYPERLINK("https://klasma.github.io/Logging_0885/kartor/S 1803-2026 karta.png", "S 1803-2026")</f>
        <v/>
      </c>
      <c r="Y1260">
        <f>HYPERLINK("https://klasma.github.io/Logging_0885/kartor_geotiff/S 1803-2026 georefererad karta.tif", "S 1803-2026")</f>
        <v/>
      </c>
      <c r="AA1260">
        <f>HYPERLINK("https://klasma.github.io/Logging_0885/klagomål/S 1803-2026 FSC-klagomål.docx", "S 1803-2026")</f>
        <v/>
      </c>
      <c r="AB1260">
        <f>HYPERLINK("https://klasma.github.io/Logging_0885/klagomålsmail/S 1803-2026 FSC-klagomål mail.docx", "S 1803-2026")</f>
        <v/>
      </c>
      <c r="AC1260">
        <f>HYPERLINK("https://klasma.github.io/Logging_0885/tillsyn/S 1803-2026 tillsynsbegäran.docx", "S 1803-2026")</f>
        <v/>
      </c>
      <c r="AD1260">
        <f>HYPERLINK("https://klasma.github.io/Logging_0885/tillsynsmail/S 1803-2026 tillsynsbegäran mail.docx", "S 1803-2026")</f>
        <v/>
      </c>
    </row>
    <row r="1261" ht="15" customHeight="1">
      <c r="A1261" t="inlineStr">
        <is>
          <t>S 2142-2026</t>
        </is>
      </c>
      <c r="B1261" t="inlineStr">
        <is>
          <t>samrådsanmälan</t>
        </is>
      </c>
      <c r="C1261" t="inlineStr">
        <is>
          <t>Annan skogsbruksåtgärd</t>
        </is>
      </c>
      <c r="D1261" s="1" t="n">
        <v>46246</v>
      </c>
      <c r="E1261" s="1" t="n">
        <v>46323</v>
      </c>
      <c r="F1261" t="inlineStr">
        <is>
          <t>KALMAR LÄN</t>
        </is>
      </c>
      <c r="G1261" t="inlineStr">
        <is>
          <t>VÄSTERVIK</t>
        </is>
      </c>
      <c r="H1261" t="inlineStr">
        <is>
          <t>Kommuner</t>
        </is>
      </c>
      <c r="I1261" t="n">
        <v>2</v>
      </c>
      <c r="J1261" t="n">
        <v>1</v>
      </c>
      <c r="K1261" t="n">
        <v>0</v>
      </c>
      <c r="L1261" t="n">
        <v>1</v>
      </c>
      <c r="M1261" t="n">
        <v>0</v>
      </c>
      <c r="N1261" t="n">
        <v>0</v>
      </c>
      <c r="O1261" t="n">
        <v>0</v>
      </c>
      <c r="P1261" t="n">
        <v>0</v>
      </c>
      <c r="Q1261" t="n">
        <v>1</v>
      </c>
      <c r="R1261" t="n">
        <v>0</v>
      </c>
      <c r="S1261" t="n">
        <v>1</v>
      </c>
      <c r="T1261" t="n">
        <v>1</v>
      </c>
      <c r="U1261" t="n">
        <v>0</v>
      </c>
      <c r="V1261" s="2" t="inlineStr">
        <is>
          <t>Kungsfiskare</t>
        </is>
      </c>
      <c r="W1261">
        <f>HYPERLINK("https://klasma.github.io/Logging_0883/artfynd/S 2142-2026 artfynd.xlsx", "S 2142-2026")</f>
        <v/>
      </c>
      <c r="X1261">
        <f>HYPERLINK("https://klasma.github.io/Logging_0883/kartor/S 2142-2026 karta.png", "S 2142-2026")</f>
        <v/>
      </c>
      <c r="Y1261">
        <f>HYPERLINK("https://klasma.github.io/Logging_0883/kartor_geotiff/S 2142-2026 georefererad karta.tif", "S 2142-2026")</f>
        <v/>
      </c>
      <c r="AA1261">
        <f>HYPERLINK("https://klasma.github.io/Logging_0883/klagomål/S 2142-2026 FSC-klagomål.docx", "S 2142-2026")</f>
        <v/>
      </c>
      <c r="AB1261">
        <f>HYPERLINK("https://klasma.github.io/Logging_0883/klagomålsmail/S 2142-2026 FSC-klagomål mail.docx", "S 2142-2026")</f>
        <v/>
      </c>
      <c r="AC1261">
        <f>HYPERLINK("https://klasma.github.io/Logging_0883/tillsyn/S 2142-2026 tillsynsbegäran.docx", "S 2142-2026")</f>
        <v/>
      </c>
      <c r="AD1261">
        <f>HYPERLINK("https://klasma.github.io/Logging_0883/tillsynsmail/S 2142-2026 tillsynsbegäran mail.docx", "S 2142-2026")</f>
        <v/>
      </c>
    </row>
    <row r="1262" ht="15" customHeight="1">
      <c r="A1262" t="inlineStr">
        <is>
          <t>S 2140-2026</t>
        </is>
      </c>
      <c r="B1262" t="inlineStr">
        <is>
          <t>samrådsanmälan</t>
        </is>
      </c>
      <c r="C1262" t="inlineStr">
        <is>
          <t>Annan skogsbruksåtgärd</t>
        </is>
      </c>
      <c r="D1262" s="1" t="n">
        <v>46246</v>
      </c>
      <c r="E1262" s="1" t="n">
        <v>46323</v>
      </c>
      <c r="F1262" t="inlineStr">
        <is>
          <t>KALMAR LÄN</t>
        </is>
      </c>
      <c r="G1262" t="inlineStr">
        <is>
          <t>BORGHOLM</t>
        </is>
      </c>
      <c r="H1262" t="inlineStr">
        <is>
          <t>Sveaskog</t>
        </is>
      </c>
      <c r="I1262" t="n">
        <v>3.8</v>
      </c>
      <c r="J1262" t="n">
        <v>1</v>
      </c>
      <c r="K1262" t="n">
        <v>1</v>
      </c>
      <c r="L1262" t="n">
        <v>0</v>
      </c>
      <c r="M1262" t="n">
        <v>0</v>
      </c>
      <c r="N1262" t="n">
        <v>0</v>
      </c>
      <c r="O1262" t="n">
        <v>0</v>
      </c>
      <c r="P1262" t="n">
        <v>0</v>
      </c>
      <c r="Q1262" t="n">
        <v>0</v>
      </c>
      <c r="R1262" t="n">
        <v>0</v>
      </c>
      <c r="S1262" t="n">
        <v>1</v>
      </c>
      <c r="T1262" t="n">
        <v>2</v>
      </c>
      <c r="U1262" t="n">
        <v>0</v>
      </c>
      <c r="V1262" s="2" t="inlineStr">
        <is>
          <t>Skogsknipprot</t>
        </is>
      </c>
      <c r="W1262">
        <f>HYPERLINK("https://klasma.github.io/Logging_0885/artfynd/S 2140-2026 artfynd.xlsx", "S 2140-2026")</f>
        <v/>
      </c>
      <c r="X1262">
        <f>HYPERLINK("https://klasma.github.io/Logging_0885/kartor/S 2140-2026 karta.png", "S 2140-2026")</f>
        <v/>
      </c>
      <c r="Y1262">
        <f>HYPERLINK("https://klasma.github.io/Logging_0885/kartor_geotiff/S 2140-2026 georefererad karta.tif", "S 2140-2026")</f>
        <v/>
      </c>
      <c r="AA1262">
        <f>HYPERLINK("https://klasma.github.io/Logging_0885/klagomål/S 2140-2026 FSC-klagomål.docx", "S 2140-2026")</f>
        <v/>
      </c>
      <c r="AB1262">
        <f>HYPERLINK("https://klasma.github.io/Logging_0885/klagomålsmail/S 2140-2026 FSC-klagomål mail.docx", "S 2140-2026")</f>
        <v/>
      </c>
      <c r="AC1262">
        <f>HYPERLINK("https://klasma.github.io/Logging_0885/tillsyn/S 2140-2026 tillsynsbegäran.docx", "S 2140-2026")</f>
        <v/>
      </c>
      <c r="AD1262">
        <f>HYPERLINK("https://klasma.github.io/Logging_0885/tillsynsmail/S 2140-2026 tillsynsbegäran mail.docx", "S 2140-2026")</f>
        <v/>
      </c>
    </row>
    <row r="1263" ht="15" customHeight="1">
      <c r="A1263" t="inlineStr">
        <is>
          <t>S 2538-2026</t>
        </is>
      </c>
      <c r="B1263" t="inlineStr">
        <is>
          <t>samrådsanmälan</t>
        </is>
      </c>
      <c r="C1263" t="inlineStr">
        <is>
          <t>Annan skogsbruksåtgärd</t>
        </is>
      </c>
      <c r="D1263" s="1" t="n">
        <v>46293</v>
      </c>
      <c r="E1263" s="1" t="n">
        <v>46323</v>
      </c>
      <c r="F1263" t="inlineStr">
        <is>
          <t>KALMAR LÄN</t>
        </is>
      </c>
      <c r="G1263" t="inlineStr">
        <is>
          <t>NYBRO</t>
        </is>
      </c>
      <c r="I1263" t="n">
        <v>3</v>
      </c>
      <c r="J1263" t="n">
        <v>0</v>
      </c>
      <c r="K1263" t="n">
        <v>1</v>
      </c>
      <c r="L1263" t="n">
        <v>0</v>
      </c>
      <c r="M1263" t="n">
        <v>0</v>
      </c>
      <c r="N1263" t="n">
        <v>0</v>
      </c>
      <c r="O1263" t="n">
        <v>0</v>
      </c>
      <c r="P1263" t="n">
        <v>0</v>
      </c>
      <c r="Q1263" t="n">
        <v>0</v>
      </c>
      <c r="R1263" t="n">
        <v>0</v>
      </c>
      <c r="S1263" t="n">
        <v>1</v>
      </c>
      <c r="T1263" t="n">
        <v>1</v>
      </c>
      <c r="U1263" t="n">
        <v>0</v>
      </c>
      <c r="V1263" s="2" t="inlineStr">
        <is>
          <t>Kornig nållav</t>
        </is>
      </c>
      <c r="W1263">
        <f>HYPERLINK("https://klasma.github.io/Logging_0881/artfynd/S 2538-2026 artfynd.xlsx", "S 2538-2026")</f>
        <v/>
      </c>
      <c r="X1263">
        <f>HYPERLINK("https://klasma.github.io/Logging_0881/kartor/S 2538-2026 karta.png", "S 2538-2026")</f>
        <v/>
      </c>
      <c r="Y1263">
        <f>HYPERLINK("https://klasma.github.io/Logging_0881/kartor_geotiff/S 2538-2026 georefererad karta.tif", "S 2538-2026")</f>
        <v/>
      </c>
      <c r="AA1263">
        <f>HYPERLINK("https://klasma.github.io/Logging_0881/klagomål/S 2538-2026 FSC-klagomål.docx", "S 2538-2026")</f>
        <v/>
      </c>
      <c r="AB1263">
        <f>HYPERLINK("https://klasma.github.io/Logging_0881/klagomålsmail/S 2538-2026 FSC-klagomål mail.docx", "S 2538-2026")</f>
        <v/>
      </c>
      <c r="AC1263">
        <f>HYPERLINK("https://klasma.github.io/Logging_0881/tillsyn/S 2538-2026 tillsynsbegäran.docx", "S 2538-2026")</f>
        <v/>
      </c>
      <c r="AD1263">
        <f>HYPERLINK("https://klasma.github.io/Logging_0881/tillsynsmail/S 2538-2026 tillsynsbegäran mail.docx", "S 2538-2026")</f>
        <v/>
      </c>
    </row>
    <row r="1264" ht="15" customHeight="1">
      <c r="A1264" t="inlineStr">
        <is>
          <t>S 2373-2026</t>
        </is>
      </c>
      <c r="B1264" t="inlineStr">
        <is>
          <t>samrådsanmälan</t>
        </is>
      </c>
      <c r="C1264" t="inlineStr">
        <is>
          <t>Askåterföring</t>
        </is>
      </c>
      <c r="D1264" s="1" t="n">
        <v>46275</v>
      </c>
      <c r="E1264" s="1" t="n">
        <v>46323</v>
      </c>
      <c r="F1264" t="inlineStr">
        <is>
          <t>KALMAR LÄN</t>
        </is>
      </c>
      <c r="G1264" t="inlineStr">
        <is>
          <t>EMMABODA</t>
        </is>
      </c>
      <c r="I1264" t="n">
        <v>50.4</v>
      </c>
      <c r="J1264" t="n">
        <v>1</v>
      </c>
      <c r="K1264" t="n">
        <v>0</v>
      </c>
      <c r="L1264" t="n">
        <v>0</v>
      </c>
      <c r="M1264" t="n">
        <v>0</v>
      </c>
      <c r="N1264" t="n">
        <v>0</v>
      </c>
      <c r="O1264" t="n">
        <v>0</v>
      </c>
      <c r="P1264" t="n">
        <v>0</v>
      </c>
      <c r="Q1264" t="n">
        <v>0</v>
      </c>
      <c r="R1264" t="n">
        <v>0</v>
      </c>
      <c r="S1264" t="n">
        <v>1</v>
      </c>
      <c r="T1264" t="n">
        <v>1</v>
      </c>
      <c r="U1264" t="n">
        <v>0</v>
      </c>
      <c r="V1264" s="2" t="inlineStr">
        <is>
          <t>Spillkråka</t>
        </is>
      </c>
      <c r="W1264">
        <f>HYPERLINK("https://klasma.github.io/Logging_0862/artfynd/S 2373-2026 artfynd.xlsx", "S 2373-2026")</f>
        <v/>
      </c>
      <c r="X1264">
        <f>HYPERLINK("https://klasma.github.io/Logging_0862/kartor/S 2373-2026 karta.png", "S 2373-2026")</f>
        <v/>
      </c>
      <c r="Y1264">
        <f>HYPERLINK("https://klasma.github.io/Logging_0862/kartor_geotiff/S 2373-2026 georefererad karta.tif", "S 2373-2026")</f>
        <v/>
      </c>
      <c r="AA1264">
        <f>HYPERLINK("https://klasma.github.io/Logging_0862/klagomål/S 2373-2026 FSC-klagomål.docx", "S 2373-2026")</f>
        <v/>
      </c>
      <c r="AB1264">
        <f>HYPERLINK("https://klasma.github.io/Logging_0862/klagomålsmail/S 2373-2026 FSC-klagomål mail.docx", "S 2373-2026")</f>
        <v/>
      </c>
      <c r="AC1264">
        <f>HYPERLINK("https://klasma.github.io/Logging_0862/tillsyn/S 2373-2026 tillsynsbegäran.docx", "S 2373-2026")</f>
        <v/>
      </c>
      <c r="AD1264">
        <f>HYPERLINK("https://klasma.github.io/Logging_0862/tillsynsmail/S 2373-2026 tillsynsbegäran mail.docx", "S 2373-2026")</f>
        <v/>
      </c>
      <c r="AE1264">
        <f>HYPERLINK("https://klasma.github.io/Logging_0862/fåglar/S 2373-2026 prioriterade fågelarter.docx", "S 2373-2026")</f>
        <v/>
      </c>
    </row>
    <row r="1265" ht="15" customHeight="1">
      <c r="A1265" t="inlineStr">
        <is>
          <t>S 2334-2026</t>
        </is>
      </c>
      <c r="B1265" t="inlineStr">
        <is>
          <t>samrådsanmälan</t>
        </is>
      </c>
      <c r="C1265" t="inlineStr">
        <is>
          <t>Askåterföring</t>
        </is>
      </c>
      <c r="D1265" s="1" t="n">
        <v>46273</v>
      </c>
      <c r="E1265" s="1" t="n">
        <v>46323</v>
      </c>
      <c r="F1265" t="inlineStr">
        <is>
          <t>KALMAR LÄN</t>
        </is>
      </c>
      <c r="G1265" t="inlineStr">
        <is>
          <t>HULTSFRED</t>
        </is>
      </c>
      <c r="I1265" t="n">
        <v>11.3</v>
      </c>
      <c r="J1265" t="n">
        <v>1</v>
      </c>
      <c r="K1265" t="n">
        <v>0</v>
      </c>
      <c r="L1265" t="n">
        <v>0</v>
      </c>
      <c r="M1265" t="n">
        <v>0</v>
      </c>
      <c r="N1265" t="n">
        <v>0</v>
      </c>
      <c r="O1265" t="n">
        <v>0</v>
      </c>
      <c r="P1265" t="n">
        <v>0</v>
      </c>
      <c r="Q1265" t="n">
        <v>0</v>
      </c>
      <c r="R1265" t="n">
        <v>0</v>
      </c>
      <c r="S1265" t="n">
        <v>1</v>
      </c>
      <c r="T1265" t="n">
        <v>2</v>
      </c>
      <c r="U1265" t="n">
        <v>0</v>
      </c>
      <c r="V1265" s="2" t="inlineStr">
        <is>
          <t>Blåsippa</t>
        </is>
      </c>
      <c r="W1265">
        <f>HYPERLINK("https://klasma.github.io/Logging_0860/artfynd/S 2334-2026 artfynd.xlsx", "S 2334-2026")</f>
        <v/>
      </c>
      <c r="X1265">
        <f>HYPERLINK("https://klasma.github.io/Logging_0860/kartor/S 2334-2026 karta.png", "S 2334-2026")</f>
        <v/>
      </c>
      <c r="Y1265">
        <f>HYPERLINK("https://klasma.github.io/Logging_0860/kartor_geotiff/S 2334-2026 georefererad karta.tif", "S 2334-2026")</f>
        <v/>
      </c>
      <c r="AA1265">
        <f>HYPERLINK("https://klasma.github.io/Logging_0860/klagomål/S 2334-2026 FSC-klagomål.docx", "S 2334-2026")</f>
        <v/>
      </c>
      <c r="AB1265">
        <f>HYPERLINK("https://klasma.github.io/Logging_0860/klagomålsmail/S 2334-2026 FSC-klagomål mail.docx", "S 2334-2026")</f>
        <v/>
      </c>
      <c r="AC1265">
        <f>HYPERLINK("https://klasma.github.io/Logging_0860/tillsyn/S 2334-2026 tillsynsbegäran.docx", "S 2334-2026")</f>
        <v/>
      </c>
      <c r="AD1265">
        <f>HYPERLINK("https://klasma.github.io/Logging_0860/tillsynsmail/S 2334-2026 tillsynsbegäran mail.docx", "S 2334-2026")</f>
        <v/>
      </c>
    </row>
    <row r="1266" ht="15" customHeight="1">
      <c r="A1266" t="inlineStr">
        <is>
          <t>A 36313-2022</t>
        </is>
      </c>
      <c r="B1266" t="inlineStr">
        <is>
          <t>avverkningsanmälan</t>
        </is>
      </c>
      <c r="C1266" t="inlineStr">
        <is>
          <t>Föryngringsavverkning</t>
        </is>
      </c>
      <c r="D1266" s="1" t="n">
        <v>44803</v>
      </c>
      <c r="E1266" s="1" t="n">
        <v>46323</v>
      </c>
      <c r="F1266" t="inlineStr">
        <is>
          <t>KALMAR LÄN</t>
        </is>
      </c>
      <c r="G1266" t="inlineStr">
        <is>
          <t>OSKARSHAMN</t>
        </is>
      </c>
      <c r="I1266" t="n">
        <v>0.5</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61740-2021</t>
        </is>
      </c>
      <c r="B1267" t="inlineStr">
        <is>
          <t>avverkningsanmälan</t>
        </is>
      </c>
      <c r="C1267" t="inlineStr">
        <is>
          <t>Föryngringsavverkning</t>
        </is>
      </c>
      <c r="D1267" s="1" t="n">
        <v>44501</v>
      </c>
      <c r="E1267" s="1" t="n">
        <v>46323</v>
      </c>
      <c r="F1267" t="inlineStr">
        <is>
          <t>KALMAR LÄN</t>
        </is>
      </c>
      <c r="G1267" t="inlineStr">
        <is>
          <t>HÖGSBY</t>
        </is>
      </c>
      <c r="I1267" t="n">
        <v>1</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64550-2021</t>
        </is>
      </c>
      <c r="B1268" t="inlineStr">
        <is>
          <t>avverkningsanmälan</t>
        </is>
      </c>
      <c r="C1268" t="inlineStr">
        <is>
          <t>Föryngringsavverkning</t>
        </is>
      </c>
      <c r="D1268" s="1" t="n">
        <v>44511</v>
      </c>
      <c r="E1268" s="1" t="n">
        <v>46323</v>
      </c>
      <c r="F1268" t="inlineStr">
        <is>
          <t>KALMAR LÄN</t>
        </is>
      </c>
      <c r="G1268" t="inlineStr">
        <is>
          <t>MÖNSTERÅS</t>
        </is>
      </c>
      <c r="I1268" t="n">
        <v>9.1</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44580-2022</t>
        </is>
      </c>
      <c r="B1269" t="inlineStr">
        <is>
          <t>avverkningsanmälan</t>
        </is>
      </c>
      <c r="C1269" t="inlineStr">
        <is>
          <t>Föryngringsavverkning</t>
        </is>
      </c>
      <c r="D1269" s="1" t="n">
        <v>44840</v>
      </c>
      <c r="E1269" s="1" t="n">
        <v>46323</v>
      </c>
      <c r="F1269" t="inlineStr">
        <is>
          <t>KALMAR LÄN</t>
        </is>
      </c>
      <c r="G1269" t="inlineStr">
        <is>
          <t>TORSÅS</t>
        </is>
      </c>
      <c r="I1269" t="n">
        <v>0.7</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A 68897-2021</t>
        </is>
      </c>
      <c r="B1270" t="inlineStr">
        <is>
          <t>avverkningsanmälan</t>
        </is>
      </c>
      <c r="C1270" t="inlineStr">
        <is>
          <t>Föryngringsavverkning</t>
        </is>
      </c>
      <c r="D1270" s="1" t="n">
        <v>44530</v>
      </c>
      <c r="E1270" s="1" t="n">
        <v>46323</v>
      </c>
      <c r="F1270" t="inlineStr">
        <is>
          <t>KALMAR LÄN</t>
        </is>
      </c>
      <c r="G1270" t="inlineStr">
        <is>
          <t>EMMABODA</t>
        </is>
      </c>
      <c r="I1270" t="n">
        <v>1.2</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A 8509-2022</t>
        </is>
      </c>
      <c r="B1271" t="inlineStr">
        <is>
          <t>avverkningsanmälan</t>
        </is>
      </c>
      <c r="C1271" t="inlineStr">
        <is>
          <t>Föryngringsavverkning</t>
        </is>
      </c>
      <c r="D1271" s="1" t="n">
        <v>44613</v>
      </c>
      <c r="E1271" s="1" t="n">
        <v>46323</v>
      </c>
      <c r="F1271" t="inlineStr">
        <is>
          <t>KALMAR LÄN</t>
        </is>
      </c>
      <c r="G1271" t="inlineStr">
        <is>
          <t>TORSÅS</t>
        </is>
      </c>
      <c r="I1271" t="n">
        <v>0.6</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A 17953-2022</t>
        </is>
      </c>
      <c r="B1272" t="inlineStr">
        <is>
          <t>avverkningsanmälan</t>
        </is>
      </c>
      <c r="C1272" t="inlineStr">
        <is>
          <t>Föryngringsavverkning</t>
        </is>
      </c>
      <c r="D1272" s="1" t="n">
        <v>44683</v>
      </c>
      <c r="E1272" s="1" t="n">
        <v>46323</v>
      </c>
      <c r="F1272" t="inlineStr">
        <is>
          <t>KALMAR LÄN</t>
        </is>
      </c>
      <c r="G1272" t="inlineStr">
        <is>
          <t>VÄSTERVIK</t>
        </is>
      </c>
      <c r="H1272" t="inlineStr">
        <is>
          <t>Sveaskog</t>
        </is>
      </c>
      <c r="I1272" t="n">
        <v>0.6</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A 8199-2022</t>
        </is>
      </c>
      <c r="B1273" t="inlineStr">
        <is>
          <t>avverkningsanmälan</t>
        </is>
      </c>
      <c r="C1273" t="inlineStr">
        <is>
          <t>Föryngringsavverkning</t>
        </is>
      </c>
      <c r="D1273" s="1" t="n">
        <v>44609</v>
      </c>
      <c r="E1273" s="1" t="n">
        <v>46323</v>
      </c>
      <c r="F1273" t="inlineStr">
        <is>
          <t>KALMAR LÄN</t>
        </is>
      </c>
      <c r="G1273" t="inlineStr">
        <is>
          <t>HULTSFRED</t>
        </is>
      </c>
      <c r="I1273" t="n">
        <v>2.8</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A 3145-2022</t>
        </is>
      </c>
      <c r="B1274" t="inlineStr">
        <is>
          <t>avverkningsanmälan</t>
        </is>
      </c>
      <c r="C1274" t="inlineStr">
        <is>
          <t>Föryngringsavverkning</t>
        </is>
      </c>
      <c r="D1274" s="1" t="n">
        <v>44582</v>
      </c>
      <c r="E1274" s="1" t="n">
        <v>46323</v>
      </c>
      <c r="F1274" t="inlineStr">
        <is>
          <t>KALMAR LÄN</t>
        </is>
      </c>
      <c r="G1274" t="inlineStr">
        <is>
          <t>VÄSTERVIK</t>
        </is>
      </c>
      <c r="I1274" t="n">
        <v>0.8</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A 11216-2022</t>
        </is>
      </c>
      <c r="B1275" t="inlineStr">
        <is>
          <t>avverkningsanmälan</t>
        </is>
      </c>
      <c r="C1275" t="inlineStr">
        <is>
          <t>Föryngringsavverkning</t>
        </is>
      </c>
      <c r="D1275" s="1" t="n">
        <v>44629</v>
      </c>
      <c r="E1275" s="1" t="n">
        <v>46323</v>
      </c>
      <c r="F1275" t="inlineStr">
        <is>
          <t>KALMAR LÄN</t>
        </is>
      </c>
      <c r="G1275" t="inlineStr">
        <is>
          <t>KALMAR</t>
        </is>
      </c>
      <c r="I1275" t="n">
        <v>1.1</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A 40062-2022</t>
        </is>
      </c>
      <c r="B1276" t="inlineStr">
        <is>
          <t>avverkningsanmälan</t>
        </is>
      </c>
      <c r="C1276" t="inlineStr">
        <is>
          <t>Föryngringsavverkning</t>
        </is>
      </c>
      <c r="D1276" s="1" t="n">
        <v>44820</v>
      </c>
      <c r="E1276" s="1" t="n">
        <v>46323</v>
      </c>
      <c r="F1276" t="inlineStr">
        <is>
          <t>KALMAR LÄN</t>
        </is>
      </c>
      <c r="G1276" t="inlineStr">
        <is>
          <t>VÄSTERVIK</t>
        </is>
      </c>
      <c r="I1276" t="n">
        <v>0.7</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A 68900-2021</t>
        </is>
      </c>
      <c r="B1277" t="inlineStr">
        <is>
          <t>avverkningsanmälan</t>
        </is>
      </c>
      <c r="C1277" t="inlineStr">
        <is>
          <t>Föryngringsavverkning</t>
        </is>
      </c>
      <c r="D1277" s="1" t="n">
        <v>44530</v>
      </c>
      <c r="E1277" s="1" t="n">
        <v>46323</v>
      </c>
      <c r="F1277" t="inlineStr">
        <is>
          <t>KALMAR LÄN</t>
        </is>
      </c>
      <c r="G1277" t="inlineStr">
        <is>
          <t>EMMABODA</t>
        </is>
      </c>
      <c r="I1277" t="n">
        <v>3.9</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A 30744-2022</t>
        </is>
      </c>
      <c r="B1278" t="inlineStr">
        <is>
          <t>avverkningsanmälan</t>
        </is>
      </c>
      <c r="C1278" t="inlineStr">
        <is>
          <t>Föryngringsavverkning</t>
        </is>
      </c>
      <c r="D1278" s="1" t="n">
        <v>44764</v>
      </c>
      <c r="E1278" s="1" t="n">
        <v>46323</v>
      </c>
      <c r="F1278" t="inlineStr">
        <is>
          <t>KALMAR LÄN</t>
        </is>
      </c>
      <c r="G1278" t="inlineStr">
        <is>
          <t>EMMABODA</t>
        </is>
      </c>
      <c r="I1278" t="n">
        <v>0.5</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A 8908-2022</t>
        </is>
      </c>
      <c r="B1279" t="inlineStr">
        <is>
          <t>avverkningsanmälan</t>
        </is>
      </c>
      <c r="C1279" t="inlineStr">
        <is>
          <t>Föryngringsavverkning</t>
        </is>
      </c>
      <c r="D1279" s="1" t="n">
        <v>44614</v>
      </c>
      <c r="E1279" s="1" t="n">
        <v>46323</v>
      </c>
      <c r="F1279" t="inlineStr">
        <is>
          <t>KALMAR LÄN</t>
        </is>
      </c>
      <c r="G1279" t="inlineStr">
        <is>
          <t>VIMMERBY</t>
        </is>
      </c>
      <c r="I1279" t="n">
        <v>0.5</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A 52289-2022</t>
        </is>
      </c>
      <c r="B1280" t="inlineStr">
        <is>
          <t>avverkningsanmälan</t>
        </is>
      </c>
      <c r="C1280" t="inlineStr">
        <is>
          <t>Föryngringsavverkning</t>
        </is>
      </c>
      <c r="D1280" s="1" t="n">
        <v>44873</v>
      </c>
      <c r="E1280" s="1" t="n">
        <v>46323</v>
      </c>
      <c r="F1280" t="inlineStr">
        <is>
          <t>KALMAR LÄN</t>
        </is>
      </c>
      <c r="G1280" t="inlineStr">
        <is>
          <t>VÄSTERVIK</t>
        </is>
      </c>
      <c r="I1280" t="n">
        <v>0.6</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A 298-2022</t>
        </is>
      </c>
      <c r="B1281" t="inlineStr">
        <is>
          <t>avverkningsanmälan</t>
        </is>
      </c>
      <c r="C1281" t="inlineStr">
        <is>
          <t>Föryngringsavverkning</t>
        </is>
      </c>
      <c r="D1281" s="1" t="n">
        <v>44564</v>
      </c>
      <c r="E1281" s="1" t="n">
        <v>46323</v>
      </c>
      <c r="F1281" t="inlineStr">
        <is>
          <t>KALMAR LÄN</t>
        </is>
      </c>
      <c r="G1281" t="inlineStr">
        <is>
          <t>HULTSFRED</t>
        </is>
      </c>
      <c r="I1281" t="n">
        <v>1.6</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A 64822-2021</t>
        </is>
      </c>
      <c r="B1282" t="inlineStr">
        <is>
          <t>avverkningsanmälan</t>
        </is>
      </c>
      <c r="C1282" t="inlineStr">
        <is>
          <t>Föryngringsavverkning</t>
        </is>
      </c>
      <c r="D1282" s="1" t="n">
        <v>44512</v>
      </c>
      <c r="E1282" s="1" t="n">
        <v>46323</v>
      </c>
      <c r="F1282" t="inlineStr">
        <is>
          <t>KALMAR LÄN</t>
        </is>
      </c>
      <c r="G1282" t="inlineStr">
        <is>
          <t>VÄSTERVIK</t>
        </is>
      </c>
      <c r="I1282" t="n">
        <v>0.6</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A 40346-2022</t>
        </is>
      </c>
      <c r="B1283" t="inlineStr">
        <is>
          <t>avverkningsanmälan</t>
        </is>
      </c>
      <c r="C1283" t="inlineStr">
        <is>
          <t>Föryngringsavverkning</t>
        </is>
      </c>
      <c r="D1283" s="1" t="n">
        <v>44823</v>
      </c>
      <c r="E1283" s="1" t="n">
        <v>46323</v>
      </c>
      <c r="F1283" t="inlineStr">
        <is>
          <t>KALMAR LÄN</t>
        </is>
      </c>
      <c r="G1283" t="inlineStr">
        <is>
          <t>KALMAR</t>
        </is>
      </c>
      <c r="I1283" t="n">
        <v>0.6</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A 14038-2022</t>
        </is>
      </c>
      <c r="B1284" t="inlineStr">
        <is>
          <t>avverkningsanmälan</t>
        </is>
      </c>
      <c r="C1284" t="inlineStr">
        <is>
          <t>Föryngringsavverkning</t>
        </is>
      </c>
      <c r="D1284" s="1" t="n">
        <v>44650</v>
      </c>
      <c r="E1284" s="1" t="n">
        <v>46323</v>
      </c>
      <c r="F1284" t="inlineStr">
        <is>
          <t>KALMAR LÄN</t>
        </is>
      </c>
      <c r="G1284" t="inlineStr">
        <is>
          <t>VÄSTERVIK</t>
        </is>
      </c>
      <c r="I1284" t="n">
        <v>0.6</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A 42719-2022</t>
        </is>
      </c>
      <c r="B1285" t="inlineStr">
        <is>
          <t>avverkningsanmälan</t>
        </is>
      </c>
      <c r="C1285" t="inlineStr">
        <is>
          <t>Avverkning för annat ändamål</t>
        </is>
      </c>
      <c r="D1285" s="1" t="n">
        <v>44831</v>
      </c>
      <c r="E1285" s="1" t="n">
        <v>46323</v>
      </c>
      <c r="F1285" t="inlineStr">
        <is>
          <t>KALMAR LÄN</t>
        </is>
      </c>
      <c r="G1285" t="inlineStr">
        <is>
          <t>HÖGSBY</t>
        </is>
      </c>
      <c r="I1285" t="n">
        <v>4</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A 13072-2022</t>
        </is>
      </c>
      <c r="B1286" t="inlineStr">
        <is>
          <t>avverkningsanmälan</t>
        </is>
      </c>
      <c r="C1286" t="inlineStr">
        <is>
          <t>Föryngringsavverkning</t>
        </is>
      </c>
      <c r="D1286" s="1" t="n">
        <v>44643</v>
      </c>
      <c r="E1286" s="1" t="n">
        <v>46323</v>
      </c>
      <c r="F1286" t="inlineStr">
        <is>
          <t>KALMAR LÄN</t>
        </is>
      </c>
      <c r="G1286" t="inlineStr">
        <is>
          <t>KALMAR</t>
        </is>
      </c>
      <c r="I1286" t="n">
        <v>0.7</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A 35715-2022</t>
        </is>
      </c>
      <c r="B1287" t="inlineStr">
        <is>
          <t>avverkningsanmälan</t>
        </is>
      </c>
      <c r="C1287" t="inlineStr">
        <is>
          <t>Föryngringsavverkning</t>
        </is>
      </c>
      <c r="D1287" s="1" t="n">
        <v>44799</v>
      </c>
      <c r="E1287" s="1" t="n">
        <v>46323</v>
      </c>
      <c r="F1287" t="inlineStr">
        <is>
          <t>KALMAR LÄN</t>
        </is>
      </c>
      <c r="G1287" t="inlineStr">
        <is>
          <t>MÖNSTERÅS</t>
        </is>
      </c>
      <c r="I1287" t="n">
        <v>0.8</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A 41728-2022</t>
        </is>
      </c>
      <c r="B1288" t="inlineStr">
        <is>
          <t>avverkningsanmälan</t>
        </is>
      </c>
      <c r="C1288" t="inlineStr">
        <is>
          <t>Föryngringsavverkning</t>
        </is>
      </c>
      <c r="D1288" s="1" t="n">
        <v>44827</v>
      </c>
      <c r="E1288" s="1" t="n">
        <v>46323</v>
      </c>
      <c r="F1288" t="inlineStr">
        <is>
          <t>KALMAR LÄN</t>
        </is>
      </c>
      <c r="G1288" t="inlineStr">
        <is>
          <t>HULTSFRED</t>
        </is>
      </c>
      <c r="I1288" t="n">
        <v>3.4</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A 41729-2022</t>
        </is>
      </c>
      <c r="B1289" t="inlineStr">
        <is>
          <t>avverkningsanmälan</t>
        </is>
      </c>
      <c r="C1289" t="inlineStr">
        <is>
          <t>Föryngringsavverkning</t>
        </is>
      </c>
      <c r="D1289" s="1" t="n">
        <v>44827</v>
      </c>
      <c r="E1289" s="1" t="n">
        <v>46323</v>
      </c>
      <c r="F1289" t="inlineStr">
        <is>
          <t>KALMAR LÄN</t>
        </is>
      </c>
      <c r="G1289" t="inlineStr">
        <is>
          <t>HULTSFRED</t>
        </is>
      </c>
      <c r="I1289" t="n">
        <v>0.5</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A 46893-2022</t>
        </is>
      </c>
      <c r="B1290" t="inlineStr">
        <is>
          <t>avverkningsanmälan</t>
        </is>
      </c>
      <c r="C1290" t="inlineStr">
        <is>
          <t>Avverkning för att bevara och utveckla /försöksver</t>
        </is>
      </c>
      <c r="D1290" s="1" t="n">
        <v>44851</v>
      </c>
      <c r="E1290" s="1" t="n">
        <v>46323</v>
      </c>
      <c r="F1290" t="inlineStr">
        <is>
          <t>KALMAR LÄN</t>
        </is>
      </c>
      <c r="G1290" t="inlineStr">
        <is>
          <t>HÖGSBY</t>
        </is>
      </c>
      <c r="H1290" t="inlineStr">
        <is>
          <t>Sveaskog</t>
        </is>
      </c>
      <c r="I1290" t="n">
        <v>1.4</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A 29347-2022</t>
        </is>
      </c>
      <c r="B1291" t="inlineStr">
        <is>
          <t>avverkningsanmälan</t>
        </is>
      </c>
      <c r="C1291" t="inlineStr">
        <is>
          <t>Föryngringsavverkning</t>
        </is>
      </c>
      <c r="D1291" s="1" t="n">
        <v>44753</v>
      </c>
      <c r="E1291" s="1" t="n">
        <v>46323</v>
      </c>
      <c r="F1291" t="inlineStr">
        <is>
          <t>KALMAR LÄN</t>
        </is>
      </c>
      <c r="G1291" t="inlineStr">
        <is>
          <t>MÖNSTERÅS</t>
        </is>
      </c>
      <c r="I1291" t="n">
        <v>0</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A 43108-2022</t>
        </is>
      </c>
      <c r="B1292" t="inlineStr">
        <is>
          <t>avverkningsanmälan</t>
        </is>
      </c>
      <c r="C1292" t="inlineStr">
        <is>
          <t>Föryngringsavverkning</t>
        </is>
      </c>
      <c r="D1292" s="1" t="n">
        <v>44833</v>
      </c>
      <c r="E1292" s="1" t="n">
        <v>46323</v>
      </c>
      <c r="F1292" t="inlineStr">
        <is>
          <t>KALMAR LÄN</t>
        </is>
      </c>
      <c r="G1292" t="inlineStr">
        <is>
          <t>HULTSFRED</t>
        </is>
      </c>
      <c r="I1292" t="n">
        <v>1</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A 60928-2021</t>
        </is>
      </c>
      <c r="B1293" t="inlineStr">
        <is>
          <t>avverkningsanmälan</t>
        </is>
      </c>
      <c r="C1293" t="inlineStr">
        <is>
          <t>Föryngringsavverkning</t>
        </is>
      </c>
      <c r="D1293" s="1" t="n">
        <v>44497</v>
      </c>
      <c r="E1293" s="1" t="n">
        <v>46323</v>
      </c>
      <c r="F1293" t="inlineStr">
        <is>
          <t>KALMAR LÄN</t>
        </is>
      </c>
      <c r="G1293" t="inlineStr">
        <is>
          <t>KALMAR</t>
        </is>
      </c>
      <c r="I1293" t="n">
        <v>3</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A 66729-2021</t>
        </is>
      </c>
      <c r="B1294" t="inlineStr">
        <is>
          <t>avverkningsanmälan</t>
        </is>
      </c>
      <c r="C1294" t="inlineStr">
        <is>
          <t>Föryngringsavverkning</t>
        </is>
      </c>
      <c r="D1294" s="1" t="n">
        <v>44520</v>
      </c>
      <c r="E1294" s="1" t="n">
        <v>46323</v>
      </c>
      <c r="F1294" t="inlineStr">
        <is>
          <t>KALMAR LÄN</t>
        </is>
      </c>
      <c r="G1294" t="inlineStr">
        <is>
          <t>HULTSFRED</t>
        </is>
      </c>
      <c r="I1294" t="n">
        <v>2.2</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A 16283-2022</t>
        </is>
      </c>
      <c r="B1295" t="inlineStr">
        <is>
          <t>avverkningsanmälan</t>
        </is>
      </c>
      <c r="C1295" t="inlineStr">
        <is>
          <t>Föryngringsavverkning</t>
        </is>
      </c>
      <c r="D1295" s="1" t="n">
        <v>44670</v>
      </c>
      <c r="E1295" s="1" t="n">
        <v>46323</v>
      </c>
      <c r="F1295" t="inlineStr">
        <is>
          <t>KALMAR LÄN</t>
        </is>
      </c>
      <c r="G1295" t="inlineStr">
        <is>
          <t>VIMMERBY</t>
        </is>
      </c>
      <c r="I1295" t="n">
        <v>1.4</v>
      </c>
      <c r="J1295" t="n">
        <v>0</v>
      </c>
      <c r="K1295" t="n">
        <v>0</v>
      </c>
      <c r="L1295" t="n">
        <v>0</v>
      </c>
      <c r="M1295" t="n">
        <v>0</v>
      </c>
      <c r="N1295" t="n">
        <v>0</v>
      </c>
      <c r="O1295" t="n">
        <v>0</v>
      </c>
      <c r="P1295" t="n">
        <v>0</v>
      </c>
      <c r="Q1295" t="n">
        <v>0</v>
      </c>
      <c r="R1295" t="n">
        <v>0</v>
      </c>
      <c r="S1295" t="n">
        <v>0</v>
      </c>
      <c r="T1295" t="n">
        <v>0</v>
      </c>
      <c r="U1295" t="n">
        <v>0</v>
      </c>
      <c r="V1295" s="2" t="inlineStr"/>
    </row>
    <row r="1296" ht="15" customHeight="1">
      <c r="A1296" t="inlineStr">
        <is>
          <t>A 70650-2021</t>
        </is>
      </c>
      <c r="B1296" t="inlineStr">
        <is>
          <t>avverkningsanmälan</t>
        </is>
      </c>
      <c r="C1296" t="inlineStr">
        <is>
          <t>Föryngringsavverkning</t>
        </is>
      </c>
      <c r="D1296" s="1" t="n">
        <v>44537</v>
      </c>
      <c r="E1296" s="1" t="n">
        <v>46323</v>
      </c>
      <c r="F1296" t="inlineStr">
        <is>
          <t>KALMAR LÄN</t>
        </is>
      </c>
      <c r="G1296" t="inlineStr">
        <is>
          <t>MÖNSTERÅS</t>
        </is>
      </c>
      <c r="I1296" t="n">
        <v>0.7</v>
      </c>
      <c r="J1296" t="n">
        <v>0</v>
      </c>
      <c r="K1296" t="n">
        <v>0</v>
      </c>
      <c r="L1296" t="n">
        <v>0</v>
      </c>
      <c r="M1296" t="n">
        <v>0</v>
      </c>
      <c r="N1296" t="n">
        <v>0</v>
      </c>
      <c r="O1296" t="n">
        <v>0</v>
      </c>
      <c r="P1296" t="n">
        <v>0</v>
      </c>
      <c r="Q1296" t="n">
        <v>0</v>
      </c>
      <c r="R1296" t="n">
        <v>0</v>
      </c>
      <c r="S1296" t="n">
        <v>0</v>
      </c>
      <c r="T1296" t="n">
        <v>0</v>
      </c>
      <c r="U1296" t="n">
        <v>0</v>
      </c>
      <c r="V1296" s="2" t="inlineStr"/>
    </row>
    <row r="1297" ht="15" customHeight="1">
      <c r="A1297" t="inlineStr">
        <is>
          <t>A 68509-2021</t>
        </is>
      </c>
      <c r="B1297" t="inlineStr">
        <is>
          <t>avverkningsanmälan</t>
        </is>
      </c>
      <c r="C1297" t="inlineStr">
        <is>
          <t>Föryngringsavverkning</t>
        </is>
      </c>
      <c r="D1297" s="1" t="n">
        <v>44529</v>
      </c>
      <c r="E1297" s="1" t="n">
        <v>46323</v>
      </c>
      <c r="F1297" t="inlineStr">
        <is>
          <t>KALMAR LÄN</t>
        </is>
      </c>
      <c r="G1297" t="inlineStr">
        <is>
          <t>EMMABODA</t>
        </is>
      </c>
      <c r="I1297" t="n">
        <v>0.6</v>
      </c>
      <c r="J1297" t="n">
        <v>0</v>
      </c>
      <c r="K1297" t="n">
        <v>0</v>
      </c>
      <c r="L1297" t="n">
        <v>0</v>
      </c>
      <c r="M1297" t="n">
        <v>0</v>
      </c>
      <c r="N1297" t="n">
        <v>0</v>
      </c>
      <c r="O1297" t="n">
        <v>0</v>
      </c>
      <c r="P1297" t="n">
        <v>0</v>
      </c>
      <c r="Q1297" t="n">
        <v>0</v>
      </c>
      <c r="R1297" t="n">
        <v>0</v>
      </c>
      <c r="S1297" t="n">
        <v>0</v>
      </c>
      <c r="T1297" t="n">
        <v>0</v>
      </c>
      <c r="U1297" t="n">
        <v>0</v>
      </c>
      <c r="V1297" s="2" t="inlineStr"/>
    </row>
    <row r="1298" ht="15" customHeight="1">
      <c r="A1298" t="inlineStr">
        <is>
          <t>A 3398-2022</t>
        </is>
      </c>
      <c r="B1298" t="inlineStr">
        <is>
          <t>avverkningsanmälan</t>
        </is>
      </c>
      <c r="C1298" t="inlineStr">
        <is>
          <t>Föryngringsavverkning</t>
        </is>
      </c>
      <c r="D1298" s="1" t="n">
        <v>44585</v>
      </c>
      <c r="E1298" s="1" t="n">
        <v>46323</v>
      </c>
      <c r="F1298" t="inlineStr">
        <is>
          <t>KALMAR LÄN</t>
        </is>
      </c>
      <c r="G1298" t="inlineStr">
        <is>
          <t>HÖGSBY</t>
        </is>
      </c>
      <c r="I1298" t="n">
        <v>1.1</v>
      </c>
      <c r="J1298" t="n">
        <v>0</v>
      </c>
      <c r="K1298" t="n">
        <v>0</v>
      </c>
      <c r="L1298" t="n">
        <v>0</v>
      </c>
      <c r="M1298" t="n">
        <v>0</v>
      </c>
      <c r="N1298" t="n">
        <v>0</v>
      </c>
      <c r="O1298" t="n">
        <v>0</v>
      </c>
      <c r="P1298" t="n">
        <v>0</v>
      </c>
      <c r="Q1298" t="n">
        <v>0</v>
      </c>
      <c r="R1298" t="n">
        <v>0</v>
      </c>
      <c r="S1298" t="n">
        <v>0</v>
      </c>
      <c r="T1298" t="n">
        <v>0</v>
      </c>
      <c r="U1298" t="n">
        <v>0</v>
      </c>
      <c r="V1298" s="2" t="inlineStr"/>
    </row>
    <row r="1299" ht="15" customHeight="1">
      <c r="A1299" t="inlineStr">
        <is>
          <t>A 6445-2022</t>
        </is>
      </c>
      <c r="B1299" t="inlineStr">
        <is>
          <t>avverkningsanmälan</t>
        </is>
      </c>
      <c r="C1299" t="inlineStr">
        <is>
          <t>Föryngringsavverkning</t>
        </is>
      </c>
      <c r="D1299" s="1" t="n">
        <v>44601</v>
      </c>
      <c r="E1299" s="1" t="n">
        <v>46323</v>
      </c>
      <c r="F1299" t="inlineStr">
        <is>
          <t>KALMAR LÄN</t>
        </is>
      </c>
      <c r="G1299" t="inlineStr">
        <is>
          <t>EMMABODA</t>
        </is>
      </c>
      <c r="I1299" t="n">
        <v>0.5</v>
      </c>
      <c r="J1299" t="n">
        <v>0</v>
      </c>
      <c r="K1299" t="n">
        <v>0</v>
      </c>
      <c r="L1299" t="n">
        <v>0</v>
      </c>
      <c r="M1299" t="n">
        <v>0</v>
      </c>
      <c r="N1299" t="n">
        <v>0</v>
      </c>
      <c r="O1299" t="n">
        <v>0</v>
      </c>
      <c r="P1299" t="n">
        <v>0</v>
      </c>
      <c r="Q1299" t="n">
        <v>0</v>
      </c>
      <c r="R1299" t="n">
        <v>0</v>
      </c>
      <c r="S1299" t="n">
        <v>0</v>
      </c>
      <c r="T1299" t="n">
        <v>0</v>
      </c>
      <c r="U1299" t="n">
        <v>0</v>
      </c>
      <c r="V1299" s="2" t="inlineStr"/>
    </row>
    <row r="1300" ht="15" customHeight="1">
      <c r="A1300" t="inlineStr">
        <is>
          <t>A 6298-2022</t>
        </is>
      </c>
      <c r="B1300" t="inlineStr">
        <is>
          <t>avverkningsanmälan</t>
        </is>
      </c>
      <c r="C1300" t="inlineStr">
        <is>
          <t>Föryngringsavverkning</t>
        </is>
      </c>
      <c r="D1300" s="1" t="n">
        <v>44600</v>
      </c>
      <c r="E1300" s="1" t="n">
        <v>46323</v>
      </c>
      <c r="F1300" t="inlineStr">
        <is>
          <t>KALMAR LÄN</t>
        </is>
      </c>
      <c r="G1300" t="inlineStr">
        <is>
          <t>EMMABODA</t>
        </is>
      </c>
      <c r="I1300" t="n">
        <v>0.8</v>
      </c>
      <c r="J1300" t="n">
        <v>0</v>
      </c>
      <c r="K1300" t="n">
        <v>0</v>
      </c>
      <c r="L1300" t="n">
        <v>0</v>
      </c>
      <c r="M1300" t="n">
        <v>0</v>
      </c>
      <c r="N1300" t="n">
        <v>0</v>
      </c>
      <c r="O1300" t="n">
        <v>0</v>
      </c>
      <c r="P1300" t="n">
        <v>0</v>
      </c>
      <c r="Q1300" t="n">
        <v>0</v>
      </c>
      <c r="R1300" t="n">
        <v>0</v>
      </c>
      <c r="S1300" t="n">
        <v>0</v>
      </c>
      <c r="T1300" t="n">
        <v>0</v>
      </c>
      <c r="U1300" t="n">
        <v>0</v>
      </c>
      <c r="V1300" s="2" t="inlineStr"/>
    </row>
    <row r="1301" ht="15" customHeight="1">
      <c r="A1301" t="inlineStr">
        <is>
          <t>A 63045-2021</t>
        </is>
      </c>
      <c r="B1301" t="inlineStr">
        <is>
          <t>avverkningsanmälan</t>
        </is>
      </c>
      <c r="C1301" t="inlineStr">
        <is>
          <t>Föryngringsavverkning</t>
        </is>
      </c>
      <c r="D1301" s="1" t="n">
        <v>44505</v>
      </c>
      <c r="E1301" s="1" t="n">
        <v>46323</v>
      </c>
      <c r="F1301" t="inlineStr">
        <is>
          <t>KALMAR LÄN</t>
        </is>
      </c>
      <c r="G1301" t="inlineStr">
        <is>
          <t>KALMAR</t>
        </is>
      </c>
      <c r="I1301" t="n">
        <v>2.6</v>
      </c>
      <c r="J1301" t="n">
        <v>0</v>
      </c>
      <c r="K1301" t="n">
        <v>0</v>
      </c>
      <c r="L1301" t="n">
        <v>0</v>
      </c>
      <c r="M1301" t="n">
        <v>0</v>
      </c>
      <c r="N1301" t="n">
        <v>0</v>
      </c>
      <c r="O1301" t="n">
        <v>0</v>
      </c>
      <c r="P1301" t="n">
        <v>0</v>
      </c>
      <c r="Q1301" t="n">
        <v>0</v>
      </c>
      <c r="R1301" t="n">
        <v>0</v>
      </c>
      <c r="S1301" t="n">
        <v>0</v>
      </c>
      <c r="T1301" t="n">
        <v>0</v>
      </c>
      <c r="U1301" t="n">
        <v>0</v>
      </c>
      <c r="V1301" s="2" t="inlineStr"/>
    </row>
    <row r="1302" ht="15" customHeight="1">
      <c r="A1302" t="inlineStr">
        <is>
          <t>A 299-2022</t>
        </is>
      </c>
      <c r="B1302" t="inlineStr">
        <is>
          <t>avverkningsanmälan</t>
        </is>
      </c>
      <c r="C1302" t="inlineStr">
        <is>
          <t>Föryngringsavverkning</t>
        </is>
      </c>
      <c r="D1302" s="1" t="n">
        <v>44564</v>
      </c>
      <c r="E1302" s="1" t="n">
        <v>46323</v>
      </c>
      <c r="F1302" t="inlineStr">
        <is>
          <t>KALMAR LÄN</t>
        </is>
      </c>
      <c r="G1302" t="inlineStr">
        <is>
          <t>HULTSFRED</t>
        </is>
      </c>
      <c r="I1302" t="n">
        <v>1.1</v>
      </c>
      <c r="J1302" t="n">
        <v>0</v>
      </c>
      <c r="K1302" t="n">
        <v>0</v>
      </c>
      <c r="L1302" t="n">
        <v>0</v>
      </c>
      <c r="M1302" t="n">
        <v>0</v>
      </c>
      <c r="N1302" t="n">
        <v>0</v>
      </c>
      <c r="O1302" t="n">
        <v>0</v>
      </c>
      <c r="P1302" t="n">
        <v>0</v>
      </c>
      <c r="Q1302" t="n">
        <v>0</v>
      </c>
      <c r="R1302" t="n">
        <v>0</v>
      </c>
      <c r="S1302" t="n">
        <v>0</v>
      </c>
      <c r="T1302" t="n">
        <v>0</v>
      </c>
      <c r="U1302" t="n">
        <v>0</v>
      </c>
      <c r="V1302" s="2" t="inlineStr"/>
    </row>
    <row r="1303" ht="15" customHeight="1">
      <c r="A1303" t="inlineStr">
        <is>
          <t>A 63926-2021</t>
        </is>
      </c>
      <c r="B1303" t="inlineStr">
        <is>
          <t>avverkningsanmälan</t>
        </is>
      </c>
      <c r="C1303" t="inlineStr">
        <is>
          <t>Föryngringsavverkning</t>
        </is>
      </c>
      <c r="D1303" s="1" t="n">
        <v>44509</v>
      </c>
      <c r="E1303" s="1" t="n">
        <v>46323</v>
      </c>
      <c r="F1303" t="inlineStr">
        <is>
          <t>KALMAR LÄN</t>
        </is>
      </c>
      <c r="G1303" t="inlineStr">
        <is>
          <t>VIMMERBY</t>
        </is>
      </c>
      <c r="I1303" t="n">
        <v>0.7</v>
      </c>
      <c r="J1303" t="n">
        <v>0</v>
      </c>
      <c r="K1303" t="n">
        <v>0</v>
      </c>
      <c r="L1303" t="n">
        <v>0</v>
      </c>
      <c r="M1303" t="n">
        <v>0</v>
      </c>
      <c r="N1303" t="n">
        <v>0</v>
      </c>
      <c r="O1303" t="n">
        <v>0</v>
      </c>
      <c r="P1303" t="n">
        <v>0</v>
      </c>
      <c r="Q1303" t="n">
        <v>0</v>
      </c>
      <c r="R1303" t="n">
        <v>0</v>
      </c>
      <c r="S1303" t="n">
        <v>0</v>
      </c>
      <c r="T1303" t="n">
        <v>0</v>
      </c>
      <c r="U1303" t="n">
        <v>0</v>
      </c>
      <c r="V1303" s="2" t="inlineStr"/>
    </row>
    <row r="1304" ht="15" customHeight="1">
      <c r="A1304" t="inlineStr">
        <is>
          <t>A 74475-2021</t>
        </is>
      </c>
      <c r="B1304" t="inlineStr">
        <is>
          <t>avverkningsanmälan</t>
        </is>
      </c>
      <c r="C1304" t="inlineStr">
        <is>
          <t>Föryngringsavverkning</t>
        </is>
      </c>
      <c r="D1304" s="1" t="n">
        <v>44559</v>
      </c>
      <c r="E1304" s="1" t="n">
        <v>46323</v>
      </c>
      <c r="F1304" t="inlineStr">
        <is>
          <t>KALMAR LÄN</t>
        </is>
      </c>
      <c r="G1304" t="inlineStr">
        <is>
          <t>HÖGSBY</t>
        </is>
      </c>
      <c r="I1304" t="n">
        <v>1.9</v>
      </c>
      <c r="J1304" t="n">
        <v>0</v>
      </c>
      <c r="K1304" t="n">
        <v>0</v>
      </c>
      <c r="L1304" t="n">
        <v>0</v>
      </c>
      <c r="M1304" t="n">
        <v>0</v>
      </c>
      <c r="N1304" t="n">
        <v>0</v>
      </c>
      <c r="O1304" t="n">
        <v>0</v>
      </c>
      <c r="P1304" t="n">
        <v>0</v>
      </c>
      <c r="Q1304" t="n">
        <v>0</v>
      </c>
      <c r="R1304" t="n">
        <v>0</v>
      </c>
      <c r="S1304" t="n">
        <v>0</v>
      </c>
      <c r="T1304" t="n">
        <v>0</v>
      </c>
      <c r="U1304" t="n">
        <v>0</v>
      </c>
      <c r="V1304" s="2" t="inlineStr"/>
    </row>
    <row r="1305" ht="15" customHeight="1">
      <c r="A1305" t="inlineStr">
        <is>
          <t>A 7173-2022</t>
        </is>
      </c>
      <c r="B1305" t="inlineStr">
        <is>
          <t>avverkningsanmälan</t>
        </is>
      </c>
      <c r="C1305" t="inlineStr">
        <is>
          <t>Föryngringsavverkning</t>
        </is>
      </c>
      <c r="D1305" s="1" t="n">
        <v>44604</v>
      </c>
      <c r="E1305" s="1" t="n">
        <v>46323</v>
      </c>
      <c r="F1305" t="inlineStr">
        <is>
          <t>KALMAR LÄN</t>
        </is>
      </c>
      <c r="G1305" t="inlineStr">
        <is>
          <t>MÖNSTERÅS</t>
        </is>
      </c>
      <c r="I1305" t="n">
        <v>1</v>
      </c>
      <c r="J1305" t="n">
        <v>0</v>
      </c>
      <c r="K1305" t="n">
        <v>0</v>
      </c>
      <c r="L1305" t="n">
        <v>0</v>
      </c>
      <c r="M1305" t="n">
        <v>0</v>
      </c>
      <c r="N1305" t="n">
        <v>0</v>
      </c>
      <c r="O1305" t="n">
        <v>0</v>
      </c>
      <c r="P1305" t="n">
        <v>0</v>
      </c>
      <c r="Q1305" t="n">
        <v>0</v>
      </c>
      <c r="R1305" t="n">
        <v>0</v>
      </c>
      <c r="S1305" t="n">
        <v>0</v>
      </c>
      <c r="T1305" t="n">
        <v>0</v>
      </c>
      <c r="U1305" t="n">
        <v>0</v>
      </c>
      <c r="V1305" s="2" t="inlineStr"/>
    </row>
    <row r="1306" ht="15" customHeight="1">
      <c r="A1306" t="inlineStr">
        <is>
          <t>A 7843-2022</t>
        </is>
      </c>
      <c r="B1306" t="inlineStr">
        <is>
          <t>avverkningsanmälan</t>
        </is>
      </c>
      <c r="C1306" t="inlineStr">
        <is>
          <t>Föryngringsavverkning</t>
        </is>
      </c>
      <c r="D1306" s="1" t="n">
        <v>44608</v>
      </c>
      <c r="E1306" s="1" t="n">
        <v>46323</v>
      </c>
      <c r="F1306" t="inlineStr">
        <is>
          <t>KALMAR LÄN</t>
        </is>
      </c>
      <c r="G1306" t="inlineStr">
        <is>
          <t>HULTSFRED</t>
        </is>
      </c>
      <c r="I1306" t="n">
        <v>0.6</v>
      </c>
      <c r="J1306" t="n">
        <v>0</v>
      </c>
      <c r="K1306" t="n">
        <v>0</v>
      </c>
      <c r="L1306" t="n">
        <v>0</v>
      </c>
      <c r="M1306" t="n">
        <v>0</v>
      </c>
      <c r="N1306" t="n">
        <v>0</v>
      </c>
      <c r="O1306" t="n">
        <v>0</v>
      </c>
      <c r="P1306" t="n">
        <v>0</v>
      </c>
      <c r="Q1306" t="n">
        <v>0</v>
      </c>
      <c r="R1306" t="n">
        <v>0</v>
      </c>
      <c r="S1306" t="n">
        <v>0</v>
      </c>
      <c r="T1306" t="n">
        <v>0</v>
      </c>
      <c r="U1306" t="n">
        <v>0</v>
      </c>
      <c r="V1306" s="2" t="inlineStr"/>
    </row>
    <row r="1307" ht="15" customHeight="1">
      <c r="A1307" t="inlineStr">
        <is>
          <t>A 11396-2022</t>
        </is>
      </c>
      <c r="B1307" t="inlineStr">
        <is>
          <t>avverkningsanmälan</t>
        </is>
      </c>
      <c r="C1307" t="inlineStr">
        <is>
          <t>Föryngringsavverkning</t>
        </is>
      </c>
      <c r="D1307" s="1" t="n">
        <v>44630</v>
      </c>
      <c r="E1307" s="1" t="n">
        <v>46323</v>
      </c>
      <c r="F1307" t="inlineStr">
        <is>
          <t>KALMAR LÄN</t>
        </is>
      </c>
      <c r="G1307" t="inlineStr">
        <is>
          <t>NYBRO</t>
        </is>
      </c>
      <c r="I1307" t="n">
        <v>1.9</v>
      </c>
      <c r="J1307" t="n">
        <v>0</v>
      </c>
      <c r="K1307" t="n">
        <v>0</v>
      </c>
      <c r="L1307" t="n">
        <v>0</v>
      </c>
      <c r="M1307" t="n">
        <v>0</v>
      </c>
      <c r="N1307" t="n">
        <v>0</v>
      </c>
      <c r="O1307" t="n">
        <v>0</v>
      </c>
      <c r="P1307" t="n">
        <v>0</v>
      </c>
      <c r="Q1307" t="n">
        <v>0</v>
      </c>
      <c r="R1307" t="n">
        <v>0</v>
      </c>
      <c r="S1307" t="n">
        <v>0</v>
      </c>
      <c r="T1307" t="n">
        <v>0</v>
      </c>
      <c r="U1307" t="n">
        <v>0</v>
      </c>
      <c r="V1307" s="2" t="inlineStr"/>
    </row>
    <row r="1308" ht="15" customHeight="1">
      <c r="A1308" t="inlineStr">
        <is>
          <t>A 63189-2021</t>
        </is>
      </c>
      <c r="B1308" t="inlineStr">
        <is>
          <t>avverkningsanmälan</t>
        </is>
      </c>
      <c r="C1308" t="inlineStr">
        <is>
          <t>Föryngringsavverkning</t>
        </is>
      </c>
      <c r="D1308" s="1" t="n">
        <v>44507</v>
      </c>
      <c r="E1308" s="1" t="n">
        <v>46323</v>
      </c>
      <c r="F1308" t="inlineStr">
        <is>
          <t>KALMAR LÄN</t>
        </is>
      </c>
      <c r="G1308" t="inlineStr">
        <is>
          <t>EMMABODA</t>
        </is>
      </c>
      <c r="I1308" t="n">
        <v>0.5</v>
      </c>
      <c r="J1308" t="n">
        <v>0</v>
      </c>
      <c r="K1308" t="n">
        <v>0</v>
      </c>
      <c r="L1308" t="n">
        <v>0</v>
      </c>
      <c r="M1308" t="n">
        <v>0</v>
      </c>
      <c r="N1308" t="n">
        <v>0</v>
      </c>
      <c r="O1308" t="n">
        <v>0</v>
      </c>
      <c r="P1308" t="n">
        <v>0</v>
      </c>
      <c r="Q1308" t="n">
        <v>0</v>
      </c>
      <c r="R1308" t="n">
        <v>0</v>
      </c>
      <c r="S1308" t="n">
        <v>0</v>
      </c>
      <c r="T1308" t="n">
        <v>0</v>
      </c>
      <c r="U1308" t="n">
        <v>0</v>
      </c>
      <c r="V1308" s="2" t="inlineStr"/>
    </row>
    <row r="1309" ht="15" customHeight="1">
      <c r="A1309" t="inlineStr">
        <is>
          <t>A 63193-2021</t>
        </is>
      </c>
      <c r="B1309" t="inlineStr">
        <is>
          <t>avverkningsanmälan</t>
        </is>
      </c>
      <c r="C1309" t="inlineStr">
        <is>
          <t>Föryngringsavverkning</t>
        </is>
      </c>
      <c r="D1309" s="1" t="n">
        <v>44507</v>
      </c>
      <c r="E1309" s="1" t="n">
        <v>46323</v>
      </c>
      <c r="F1309" t="inlineStr">
        <is>
          <t>KALMAR LÄN</t>
        </is>
      </c>
      <c r="G1309" t="inlineStr">
        <is>
          <t>EMMABODA</t>
        </is>
      </c>
      <c r="I1309" t="n">
        <v>1</v>
      </c>
      <c r="J1309" t="n">
        <v>0</v>
      </c>
      <c r="K1309" t="n">
        <v>0</v>
      </c>
      <c r="L1309" t="n">
        <v>0</v>
      </c>
      <c r="M1309" t="n">
        <v>0</v>
      </c>
      <c r="N1309" t="n">
        <v>0</v>
      </c>
      <c r="O1309" t="n">
        <v>0</v>
      </c>
      <c r="P1309" t="n">
        <v>0</v>
      </c>
      <c r="Q1309" t="n">
        <v>0</v>
      </c>
      <c r="R1309" t="n">
        <v>0</v>
      </c>
      <c r="S1309" t="n">
        <v>0</v>
      </c>
      <c r="T1309" t="n">
        <v>0</v>
      </c>
      <c r="U1309" t="n">
        <v>0</v>
      </c>
      <c r="V1309" s="2" t="inlineStr"/>
    </row>
    <row r="1310" ht="15" customHeight="1">
      <c r="A1310" t="inlineStr">
        <is>
          <t>A 63194-2021</t>
        </is>
      </c>
      <c r="B1310" t="inlineStr">
        <is>
          <t>avverkningsanmälan</t>
        </is>
      </c>
      <c r="C1310" t="inlineStr">
        <is>
          <t>Föryngringsavverkning</t>
        </is>
      </c>
      <c r="D1310" s="1" t="n">
        <v>44507</v>
      </c>
      <c r="E1310" s="1" t="n">
        <v>46323</v>
      </c>
      <c r="F1310" t="inlineStr">
        <is>
          <t>KALMAR LÄN</t>
        </is>
      </c>
      <c r="G1310" t="inlineStr">
        <is>
          <t>EMMABODA</t>
        </is>
      </c>
      <c r="I1310" t="n">
        <v>5.2</v>
      </c>
      <c r="J1310" t="n">
        <v>0</v>
      </c>
      <c r="K1310" t="n">
        <v>0</v>
      </c>
      <c r="L1310" t="n">
        <v>0</v>
      </c>
      <c r="M1310" t="n">
        <v>0</v>
      </c>
      <c r="N1310" t="n">
        <v>0</v>
      </c>
      <c r="O1310" t="n">
        <v>0</v>
      </c>
      <c r="P1310" t="n">
        <v>0</v>
      </c>
      <c r="Q1310" t="n">
        <v>0</v>
      </c>
      <c r="R1310" t="n">
        <v>0</v>
      </c>
      <c r="S1310" t="n">
        <v>0</v>
      </c>
      <c r="T1310" t="n">
        <v>0</v>
      </c>
      <c r="U1310" t="n">
        <v>0</v>
      </c>
      <c r="V1310" s="2" t="inlineStr"/>
    </row>
    <row r="1311" ht="15" customHeight="1">
      <c r="A1311" t="inlineStr">
        <is>
          <t>A 16902-2022</t>
        </is>
      </c>
      <c r="B1311" t="inlineStr">
        <is>
          <t>avverkningsanmälan</t>
        </is>
      </c>
      <c r="C1311" t="inlineStr">
        <is>
          <t>Avverkning för annat ändamål</t>
        </is>
      </c>
      <c r="D1311" s="1" t="n">
        <v>44676</v>
      </c>
      <c r="E1311" s="1" t="n">
        <v>46323</v>
      </c>
      <c r="F1311" t="inlineStr">
        <is>
          <t>KALMAR LÄN</t>
        </is>
      </c>
      <c r="G1311" t="inlineStr">
        <is>
          <t>HULTSFRED</t>
        </is>
      </c>
      <c r="I1311" t="n">
        <v>11</v>
      </c>
      <c r="J1311" t="n">
        <v>0</v>
      </c>
      <c r="K1311" t="n">
        <v>0</v>
      </c>
      <c r="L1311" t="n">
        <v>0</v>
      </c>
      <c r="M1311" t="n">
        <v>0</v>
      </c>
      <c r="N1311" t="n">
        <v>0</v>
      </c>
      <c r="O1311" t="n">
        <v>0</v>
      </c>
      <c r="P1311" t="n">
        <v>0</v>
      </c>
      <c r="Q1311" t="n">
        <v>0</v>
      </c>
      <c r="R1311" t="n">
        <v>0</v>
      </c>
      <c r="S1311" t="n">
        <v>0</v>
      </c>
      <c r="T1311" t="n">
        <v>0</v>
      </c>
      <c r="U1311" t="n">
        <v>0</v>
      </c>
      <c r="V1311" s="2" t="inlineStr"/>
    </row>
    <row r="1312" ht="15" customHeight="1">
      <c r="A1312" t="inlineStr">
        <is>
          <t>A 47158-2022</t>
        </is>
      </c>
      <c r="B1312" t="inlineStr">
        <is>
          <t>avverkningsanmälan</t>
        </is>
      </c>
      <c r="C1312" t="inlineStr">
        <is>
          <t>Föryngringsavverkning</t>
        </is>
      </c>
      <c r="D1312" s="1" t="n">
        <v>44852</v>
      </c>
      <c r="E1312" s="1" t="n">
        <v>46323</v>
      </c>
      <c r="F1312" t="inlineStr">
        <is>
          <t>KALMAR LÄN</t>
        </is>
      </c>
      <c r="G1312" t="inlineStr">
        <is>
          <t>KALMAR</t>
        </is>
      </c>
      <c r="I1312" t="n">
        <v>1.5</v>
      </c>
      <c r="J1312" t="n">
        <v>0</v>
      </c>
      <c r="K1312" t="n">
        <v>0</v>
      </c>
      <c r="L1312" t="n">
        <v>0</v>
      </c>
      <c r="M1312" t="n">
        <v>0</v>
      </c>
      <c r="N1312" t="n">
        <v>0</v>
      </c>
      <c r="O1312" t="n">
        <v>0</v>
      </c>
      <c r="P1312" t="n">
        <v>0</v>
      </c>
      <c r="Q1312" t="n">
        <v>0</v>
      </c>
      <c r="R1312" t="n">
        <v>0</v>
      </c>
      <c r="S1312" t="n">
        <v>0</v>
      </c>
      <c r="T1312" t="n">
        <v>0</v>
      </c>
      <c r="U1312" t="n">
        <v>0</v>
      </c>
      <c r="V1312" s="2" t="inlineStr"/>
    </row>
    <row r="1313" ht="15" customHeight="1">
      <c r="A1313" t="inlineStr">
        <is>
          <t>A 9801-2022</t>
        </is>
      </c>
      <c r="B1313" t="inlineStr">
        <is>
          <t>avverkningsanmälan</t>
        </is>
      </c>
      <c r="C1313" t="inlineStr">
        <is>
          <t>Föryngringsavverkning</t>
        </is>
      </c>
      <c r="D1313" s="1" t="n">
        <v>44620</v>
      </c>
      <c r="E1313" s="1" t="n">
        <v>46323</v>
      </c>
      <c r="F1313" t="inlineStr">
        <is>
          <t>KALMAR LÄN</t>
        </is>
      </c>
      <c r="G1313" t="inlineStr">
        <is>
          <t>OSKARSHAMN</t>
        </is>
      </c>
      <c r="I1313" t="n">
        <v>0.6</v>
      </c>
      <c r="J1313" t="n">
        <v>0</v>
      </c>
      <c r="K1313" t="n">
        <v>0</v>
      </c>
      <c r="L1313" t="n">
        <v>0</v>
      </c>
      <c r="M1313" t="n">
        <v>0</v>
      </c>
      <c r="N1313" t="n">
        <v>0</v>
      </c>
      <c r="O1313" t="n">
        <v>0</v>
      </c>
      <c r="P1313" t="n">
        <v>0</v>
      </c>
      <c r="Q1313" t="n">
        <v>0</v>
      </c>
      <c r="R1313" t="n">
        <v>0</v>
      </c>
      <c r="S1313" t="n">
        <v>0</v>
      </c>
      <c r="T1313" t="n">
        <v>0</v>
      </c>
      <c r="U1313" t="n">
        <v>0</v>
      </c>
      <c r="V1313" s="2" t="inlineStr"/>
    </row>
    <row r="1314" ht="15" customHeight="1">
      <c r="A1314" t="inlineStr">
        <is>
          <t>A 3426-2022</t>
        </is>
      </c>
      <c r="B1314" t="inlineStr">
        <is>
          <t>avverkningsanmälan</t>
        </is>
      </c>
      <c r="C1314" t="inlineStr">
        <is>
          <t>Föryngringsavverkning</t>
        </is>
      </c>
      <c r="D1314" s="1" t="n">
        <v>44585</v>
      </c>
      <c r="E1314" s="1" t="n">
        <v>46323</v>
      </c>
      <c r="F1314" t="inlineStr">
        <is>
          <t>KALMAR LÄN</t>
        </is>
      </c>
      <c r="G1314" t="inlineStr">
        <is>
          <t>VIMMERBY</t>
        </is>
      </c>
      <c r="I1314" t="n">
        <v>1.8</v>
      </c>
      <c r="J1314" t="n">
        <v>0</v>
      </c>
      <c r="K1314" t="n">
        <v>0</v>
      </c>
      <c r="L1314" t="n">
        <v>0</v>
      </c>
      <c r="M1314" t="n">
        <v>0</v>
      </c>
      <c r="N1314" t="n">
        <v>0</v>
      </c>
      <c r="O1314" t="n">
        <v>0</v>
      </c>
      <c r="P1314" t="n">
        <v>0</v>
      </c>
      <c r="Q1314" t="n">
        <v>0</v>
      </c>
      <c r="R1314" t="n">
        <v>0</v>
      </c>
      <c r="S1314" t="n">
        <v>0</v>
      </c>
      <c r="T1314" t="n">
        <v>0</v>
      </c>
      <c r="U1314" t="n">
        <v>0</v>
      </c>
      <c r="V1314" s="2" t="inlineStr"/>
    </row>
    <row r="1315" ht="15" customHeight="1">
      <c r="A1315" t="inlineStr">
        <is>
          <t>A 6135-2022</t>
        </is>
      </c>
      <c r="B1315" t="inlineStr">
        <is>
          <t>avverkningsanmälan</t>
        </is>
      </c>
      <c r="C1315" t="inlineStr">
        <is>
          <t>Föryngringsavverkning</t>
        </is>
      </c>
      <c r="D1315" s="1" t="n">
        <v>44599</v>
      </c>
      <c r="E1315" s="1" t="n">
        <v>46323</v>
      </c>
      <c r="F1315" t="inlineStr">
        <is>
          <t>KALMAR LÄN</t>
        </is>
      </c>
      <c r="G1315" t="inlineStr">
        <is>
          <t>EMMABODA</t>
        </is>
      </c>
      <c r="I1315" t="n">
        <v>0.4</v>
      </c>
      <c r="J1315" t="n">
        <v>0</v>
      </c>
      <c r="K1315" t="n">
        <v>0</v>
      </c>
      <c r="L1315" t="n">
        <v>0</v>
      </c>
      <c r="M1315" t="n">
        <v>0</v>
      </c>
      <c r="N1315" t="n">
        <v>0</v>
      </c>
      <c r="O1315" t="n">
        <v>0</v>
      </c>
      <c r="P1315" t="n">
        <v>0</v>
      </c>
      <c r="Q1315" t="n">
        <v>0</v>
      </c>
      <c r="R1315" t="n">
        <v>0</v>
      </c>
      <c r="S1315" t="n">
        <v>0</v>
      </c>
      <c r="T1315" t="n">
        <v>0</v>
      </c>
      <c r="U1315" t="n">
        <v>0</v>
      </c>
      <c r="V1315" s="2" t="inlineStr"/>
    </row>
    <row r="1316" ht="15" customHeight="1">
      <c r="A1316" t="inlineStr">
        <is>
          <t>A 18113-2022</t>
        </is>
      </c>
      <c r="B1316" t="inlineStr">
        <is>
          <t>avverkningsanmälan</t>
        </is>
      </c>
      <c r="C1316" t="inlineStr">
        <is>
          <t>Föryngringsavverkning</t>
        </is>
      </c>
      <c r="D1316" s="1" t="n">
        <v>44684</v>
      </c>
      <c r="E1316" s="1" t="n">
        <v>46323</v>
      </c>
      <c r="F1316" t="inlineStr">
        <is>
          <t>KALMAR LÄN</t>
        </is>
      </c>
      <c r="G1316" t="inlineStr">
        <is>
          <t>KALMAR</t>
        </is>
      </c>
      <c r="I1316" t="n">
        <v>1.2</v>
      </c>
      <c r="J1316" t="n">
        <v>0</v>
      </c>
      <c r="K1316" t="n">
        <v>0</v>
      </c>
      <c r="L1316" t="n">
        <v>0</v>
      </c>
      <c r="M1316" t="n">
        <v>0</v>
      </c>
      <c r="N1316" t="n">
        <v>0</v>
      </c>
      <c r="O1316" t="n">
        <v>0</v>
      </c>
      <c r="P1316" t="n">
        <v>0</v>
      </c>
      <c r="Q1316" t="n">
        <v>0</v>
      </c>
      <c r="R1316" t="n">
        <v>0</v>
      </c>
      <c r="S1316" t="n">
        <v>0</v>
      </c>
      <c r="T1316" t="n">
        <v>0</v>
      </c>
      <c r="U1316" t="n">
        <v>0</v>
      </c>
      <c r="V1316" s="2" t="inlineStr"/>
    </row>
    <row r="1317" ht="15" customHeight="1">
      <c r="A1317" t="inlineStr">
        <is>
          <t>A 10037-2022</t>
        </is>
      </c>
      <c r="B1317" t="inlineStr">
        <is>
          <t>avverkningsanmälan</t>
        </is>
      </c>
      <c r="C1317" t="inlineStr">
        <is>
          <t>Föryngringsavverkning</t>
        </is>
      </c>
      <c r="D1317" s="1" t="n">
        <v>44621</v>
      </c>
      <c r="E1317" s="1" t="n">
        <v>46323</v>
      </c>
      <c r="F1317" t="inlineStr">
        <is>
          <t>KALMAR LÄN</t>
        </is>
      </c>
      <c r="G1317" t="inlineStr">
        <is>
          <t>TORSÅS</t>
        </is>
      </c>
      <c r="I1317" t="n">
        <v>27.2</v>
      </c>
      <c r="J1317" t="n">
        <v>0</v>
      </c>
      <c r="K1317" t="n">
        <v>0</v>
      </c>
      <c r="L1317" t="n">
        <v>0</v>
      </c>
      <c r="M1317" t="n">
        <v>0</v>
      </c>
      <c r="N1317" t="n">
        <v>0</v>
      </c>
      <c r="O1317" t="n">
        <v>0</v>
      </c>
      <c r="P1317" t="n">
        <v>0</v>
      </c>
      <c r="Q1317" t="n">
        <v>0</v>
      </c>
      <c r="R1317" t="n">
        <v>0</v>
      </c>
      <c r="S1317" t="n">
        <v>0</v>
      </c>
      <c r="T1317" t="n">
        <v>0</v>
      </c>
      <c r="U1317" t="n">
        <v>0</v>
      </c>
      <c r="V1317" s="2" t="inlineStr"/>
    </row>
    <row r="1318" ht="15" customHeight="1">
      <c r="A1318" t="inlineStr">
        <is>
          <t>A 631-2022</t>
        </is>
      </c>
      <c r="B1318" t="inlineStr">
        <is>
          <t>avverkningsanmälan</t>
        </is>
      </c>
      <c r="C1318" t="inlineStr">
        <is>
          <t>Föryngringsavverkning</t>
        </is>
      </c>
      <c r="D1318" s="1" t="n">
        <v>44568</v>
      </c>
      <c r="E1318" s="1" t="n">
        <v>46323</v>
      </c>
      <c r="F1318" t="inlineStr">
        <is>
          <t>KALMAR LÄN</t>
        </is>
      </c>
      <c r="G1318" t="inlineStr">
        <is>
          <t>HÖGSBY</t>
        </is>
      </c>
      <c r="I1318" t="n">
        <v>4.1</v>
      </c>
      <c r="J1318" t="n">
        <v>0</v>
      </c>
      <c r="K1318" t="n">
        <v>0</v>
      </c>
      <c r="L1318" t="n">
        <v>0</v>
      </c>
      <c r="M1318" t="n">
        <v>0</v>
      </c>
      <c r="N1318" t="n">
        <v>0</v>
      </c>
      <c r="O1318" t="n">
        <v>0</v>
      </c>
      <c r="P1318" t="n">
        <v>0</v>
      </c>
      <c r="Q1318" t="n">
        <v>0</v>
      </c>
      <c r="R1318" t="n">
        <v>0</v>
      </c>
      <c r="S1318" t="n">
        <v>0</v>
      </c>
      <c r="T1318" t="n">
        <v>0</v>
      </c>
      <c r="U1318" t="n">
        <v>0</v>
      </c>
      <c r="V1318" s="2" t="inlineStr"/>
    </row>
    <row r="1319" ht="15" customHeight="1">
      <c r="A1319" t="inlineStr">
        <is>
          <t>A 40728-2022</t>
        </is>
      </c>
      <c r="B1319" t="inlineStr">
        <is>
          <t>avverkningsanmälan</t>
        </is>
      </c>
      <c r="C1319" t="inlineStr">
        <is>
          <t>Föryngringsavverkning</t>
        </is>
      </c>
      <c r="D1319" s="1" t="n">
        <v>44824</v>
      </c>
      <c r="E1319" s="1" t="n">
        <v>46323</v>
      </c>
      <c r="F1319" t="inlineStr">
        <is>
          <t>KALMAR LÄN</t>
        </is>
      </c>
      <c r="G1319" t="inlineStr">
        <is>
          <t>VIMMERBY</t>
        </is>
      </c>
      <c r="I1319" t="n">
        <v>1.1</v>
      </c>
      <c r="J1319" t="n">
        <v>0</v>
      </c>
      <c r="K1319" t="n">
        <v>0</v>
      </c>
      <c r="L1319" t="n">
        <v>0</v>
      </c>
      <c r="M1319" t="n">
        <v>0</v>
      </c>
      <c r="N1319" t="n">
        <v>0</v>
      </c>
      <c r="O1319" t="n">
        <v>0</v>
      </c>
      <c r="P1319" t="n">
        <v>0</v>
      </c>
      <c r="Q1319" t="n">
        <v>0</v>
      </c>
      <c r="R1319" t="n">
        <v>0</v>
      </c>
      <c r="S1319" t="n">
        <v>0</v>
      </c>
      <c r="T1319" t="n">
        <v>0</v>
      </c>
      <c r="U1319" t="n">
        <v>0</v>
      </c>
      <c r="V1319" s="2" t="inlineStr"/>
    </row>
    <row r="1320" ht="15" customHeight="1">
      <c r="A1320" t="inlineStr">
        <is>
          <t>A 40817-2022</t>
        </is>
      </c>
      <c r="B1320" t="inlineStr">
        <is>
          <t>avverkningsanmälan</t>
        </is>
      </c>
      <c r="C1320" t="inlineStr">
        <is>
          <t>Föryngringsavverkning</t>
        </is>
      </c>
      <c r="D1320" s="1" t="n">
        <v>44824</v>
      </c>
      <c r="E1320" s="1" t="n">
        <v>46323</v>
      </c>
      <c r="F1320" t="inlineStr">
        <is>
          <t>KALMAR LÄN</t>
        </is>
      </c>
      <c r="G1320" t="inlineStr">
        <is>
          <t>MÖNSTERÅS</t>
        </is>
      </c>
      <c r="I1320" t="n">
        <v>1.2</v>
      </c>
      <c r="J1320" t="n">
        <v>0</v>
      </c>
      <c r="K1320" t="n">
        <v>0</v>
      </c>
      <c r="L1320" t="n">
        <v>0</v>
      </c>
      <c r="M1320" t="n">
        <v>0</v>
      </c>
      <c r="N1320" t="n">
        <v>0</v>
      </c>
      <c r="O1320" t="n">
        <v>0</v>
      </c>
      <c r="P1320" t="n">
        <v>0</v>
      </c>
      <c r="Q1320" t="n">
        <v>0</v>
      </c>
      <c r="R1320" t="n">
        <v>0</v>
      </c>
      <c r="S1320" t="n">
        <v>0</v>
      </c>
      <c r="T1320" t="n">
        <v>0</v>
      </c>
      <c r="U1320" t="n">
        <v>0</v>
      </c>
      <c r="V1320" s="2" t="inlineStr"/>
    </row>
    <row r="1321" ht="15" customHeight="1">
      <c r="A1321" t="inlineStr">
        <is>
          <t>A 32034-2022</t>
        </is>
      </c>
      <c r="B1321" t="inlineStr">
        <is>
          <t>avverkningsanmälan</t>
        </is>
      </c>
      <c r="C1321" t="inlineStr">
        <is>
          <t>Föryngringsavverkning</t>
        </is>
      </c>
      <c r="D1321" s="1" t="n">
        <v>44778</v>
      </c>
      <c r="E1321" s="1" t="n">
        <v>46323</v>
      </c>
      <c r="F1321" t="inlineStr">
        <is>
          <t>KALMAR LÄN</t>
        </is>
      </c>
      <c r="G1321" t="inlineStr">
        <is>
          <t>OSKARSHAMN</t>
        </is>
      </c>
      <c r="I1321" t="n">
        <v>0.5</v>
      </c>
      <c r="J1321" t="n">
        <v>0</v>
      </c>
      <c r="K1321" t="n">
        <v>0</v>
      </c>
      <c r="L1321" t="n">
        <v>0</v>
      </c>
      <c r="M1321" t="n">
        <v>0</v>
      </c>
      <c r="N1321" t="n">
        <v>0</v>
      </c>
      <c r="O1321" t="n">
        <v>0</v>
      </c>
      <c r="P1321" t="n">
        <v>0</v>
      </c>
      <c r="Q1321" t="n">
        <v>0</v>
      </c>
      <c r="R1321" t="n">
        <v>0</v>
      </c>
      <c r="S1321" t="n">
        <v>0</v>
      </c>
      <c r="T1321" t="n">
        <v>0</v>
      </c>
      <c r="U1321" t="n">
        <v>0</v>
      </c>
      <c r="V1321" s="2" t="inlineStr"/>
    </row>
    <row r="1322" ht="15" customHeight="1">
      <c r="A1322" t="inlineStr">
        <is>
          <t>A 24984-2022</t>
        </is>
      </c>
      <c r="B1322" t="inlineStr">
        <is>
          <t>avverkningsanmälan</t>
        </is>
      </c>
      <c r="C1322" t="inlineStr">
        <is>
          <t>Föryngringsavverkning</t>
        </is>
      </c>
      <c r="D1322" s="1" t="n">
        <v>44728</v>
      </c>
      <c r="E1322" s="1" t="n">
        <v>46323</v>
      </c>
      <c r="F1322" t="inlineStr">
        <is>
          <t>KALMAR LÄN</t>
        </is>
      </c>
      <c r="G1322" t="inlineStr">
        <is>
          <t>EMMABODA</t>
        </is>
      </c>
      <c r="I1322" t="n">
        <v>0.3</v>
      </c>
      <c r="J1322" t="n">
        <v>0</v>
      </c>
      <c r="K1322" t="n">
        <v>0</v>
      </c>
      <c r="L1322" t="n">
        <v>0</v>
      </c>
      <c r="M1322" t="n">
        <v>0</v>
      </c>
      <c r="N1322" t="n">
        <v>0</v>
      </c>
      <c r="O1322" t="n">
        <v>0</v>
      </c>
      <c r="P1322" t="n">
        <v>0</v>
      </c>
      <c r="Q1322" t="n">
        <v>0</v>
      </c>
      <c r="R1322" t="n">
        <v>0</v>
      </c>
      <c r="S1322" t="n">
        <v>0</v>
      </c>
      <c r="T1322" t="n">
        <v>0</v>
      </c>
      <c r="U1322" t="n">
        <v>0</v>
      </c>
      <c r="V1322" s="2" t="inlineStr"/>
    </row>
    <row r="1323" ht="15" customHeight="1">
      <c r="A1323" t="inlineStr">
        <is>
          <t>A 19163-2022</t>
        </is>
      </c>
      <c r="B1323" t="inlineStr">
        <is>
          <t>avverkningsanmälan</t>
        </is>
      </c>
      <c r="C1323" t="inlineStr">
        <is>
          <t>Föryngringsavverkning</t>
        </is>
      </c>
      <c r="D1323" s="1" t="n">
        <v>44691</v>
      </c>
      <c r="E1323" s="1" t="n">
        <v>46323</v>
      </c>
      <c r="F1323" t="inlineStr">
        <is>
          <t>KALMAR LÄN</t>
        </is>
      </c>
      <c r="G1323" t="inlineStr">
        <is>
          <t>EMMABODA</t>
        </is>
      </c>
      <c r="I1323" t="n">
        <v>2.4</v>
      </c>
      <c r="J1323" t="n">
        <v>0</v>
      </c>
      <c r="K1323" t="n">
        <v>0</v>
      </c>
      <c r="L1323" t="n">
        <v>0</v>
      </c>
      <c r="M1323" t="n">
        <v>0</v>
      </c>
      <c r="N1323" t="n">
        <v>0</v>
      </c>
      <c r="O1323" t="n">
        <v>0</v>
      </c>
      <c r="P1323" t="n">
        <v>0</v>
      </c>
      <c r="Q1323" t="n">
        <v>0</v>
      </c>
      <c r="R1323" t="n">
        <v>0</v>
      </c>
      <c r="S1323" t="n">
        <v>0</v>
      </c>
      <c r="T1323" t="n">
        <v>0</v>
      </c>
      <c r="U1323" t="n">
        <v>0</v>
      </c>
      <c r="V1323" s="2" t="inlineStr"/>
    </row>
    <row r="1324" ht="15" customHeight="1">
      <c r="A1324" t="inlineStr">
        <is>
          <t>A 29816-2022</t>
        </is>
      </c>
      <c r="B1324" t="inlineStr">
        <is>
          <t>avverkningsanmälan</t>
        </is>
      </c>
      <c r="C1324" t="inlineStr">
        <is>
          <t>Föryngringsavverkning</t>
        </is>
      </c>
      <c r="D1324" s="1" t="n">
        <v>44755</v>
      </c>
      <c r="E1324" s="1" t="n">
        <v>46323</v>
      </c>
      <c r="F1324" t="inlineStr">
        <is>
          <t>KALMAR LÄN</t>
        </is>
      </c>
      <c r="G1324" t="inlineStr">
        <is>
          <t>VÄSTERVIK</t>
        </is>
      </c>
      <c r="H1324" t="inlineStr">
        <is>
          <t>Holmen skog AB</t>
        </is>
      </c>
      <c r="I1324" t="n">
        <v>0.7</v>
      </c>
      <c r="J1324" t="n">
        <v>0</v>
      </c>
      <c r="K1324" t="n">
        <v>0</v>
      </c>
      <c r="L1324" t="n">
        <v>0</v>
      </c>
      <c r="M1324" t="n">
        <v>0</v>
      </c>
      <c r="N1324" t="n">
        <v>0</v>
      </c>
      <c r="O1324" t="n">
        <v>0</v>
      </c>
      <c r="P1324" t="n">
        <v>0</v>
      </c>
      <c r="Q1324" t="n">
        <v>0</v>
      </c>
      <c r="R1324" t="n">
        <v>0</v>
      </c>
      <c r="S1324" t="n">
        <v>0</v>
      </c>
      <c r="T1324" t="n">
        <v>0</v>
      </c>
      <c r="U1324" t="n">
        <v>0</v>
      </c>
      <c r="V1324" s="2" t="inlineStr"/>
    </row>
    <row r="1325" ht="15" customHeight="1">
      <c r="A1325" t="inlineStr">
        <is>
          <t>A 22233-2022</t>
        </is>
      </c>
      <c r="B1325" t="inlineStr">
        <is>
          <t>avverkningsanmälan</t>
        </is>
      </c>
      <c r="C1325" t="inlineStr">
        <is>
          <t>Föryngringsavverkning</t>
        </is>
      </c>
      <c r="D1325" s="1" t="n">
        <v>44712</v>
      </c>
      <c r="E1325" s="1" t="n">
        <v>46323</v>
      </c>
      <c r="F1325" t="inlineStr">
        <is>
          <t>KALMAR LÄN</t>
        </is>
      </c>
      <c r="G1325" t="inlineStr">
        <is>
          <t>HULTSFRED</t>
        </is>
      </c>
      <c r="I1325" t="n">
        <v>0.6</v>
      </c>
      <c r="J1325" t="n">
        <v>0</v>
      </c>
      <c r="K1325" t="n">
        <v>0</v>
      </c>
      <c r="L1325" t="n">
        <v>0</v>
      </c>
      <c r="M1325" t="n">
        <v>0</v>
      </c>
      <c r="N1325" t="n">
        <v>0</v>
      </c>
      <c r="O1325" t="n">
        <v>0</v>
      </c>
      <c r="P1325" t="n">
        <v>0</v>
      </c>
      <c r="Q1325" t="n">
        <v>0</v>
      </c>
      <c r="R1325" t="n">
        <v>0</v>
      </c>
      <c r="S1325" t="n">
        <v>0</v>
      </c>
      <c r="T1325" t="n">
        <v>0</v>
      </c>
      <c r="U1325" t="n">
        <v>0</v>
      </c>
      <c r="V1325" s="2" t="inlineStr"/>
    </row>
    <row r="1326" ht="15" customHeight="1">
      <c r="A1326" t="inlineStr">
        <is>
          <t>A 62735-2021</t>
        </is>
      </c>
      <c r="B1326" t="inlineStr">
        <is>
          <t>avverkningsanmälan</t>
        </is>
      </c>
      <c r="C1326" t="inlineStr">
        <is>
          <t>Föryngringsavverkning</t>
        </is>
      </c>
      <c r="D1326" s="1" t="n">
        <v>44504</v>
      </c>
      <c r="E1326" s="1" t="n">
        <v>46323</v>
      </c>
      <c r="F1326" t="inlineStr">
        <is>
          <t>KALMAR LÄN</t>
        </is>
      </c>
      <c r="G1326" t="inlineStr">
        <is>
          <t>EMMABODA</t>
        </is>
      </c>
      <c r="I1326" t="n">
        <v>0.7</v>
      </c>
      <c r="J1326" t="n">
        <v>0</v>
      </c>
      <c r="K1326" t="n">
        <v>0</v>
      </c>
      <c r="L1326" t="n">
        <v>0</v>
      </c>
      <c r="M1326" t="n">
        <v>0</v>
      </c>
      <c r="N1326" t="n">
        <v>0</v>
      </c>
      <c r="O1326" t="n">
        <v>0</v>
      </c>
      <c r="P1326" t="n">
        <v>0</v>
      </c>
      <c r="Q1326" t="n">
        <v>0</v>
      </c>
      <c r="R1326" t="n">
        <v>0</v>
      </c>
      <c r="S1326" t="n">
        <v>0</v>
      </c>
      <c r="T1326" t="n">
        <v>0</v>
      </c>
      <c r="U1326" t="n">
        <v>0</v>
      </c>
      <c r="V1326" s="2" t="inlineStr"/>
    </row>
    <row r="1327" ht="15" customHeight="1">
      <c r="A1327" t="inlineStr">
        <is>
          <t>A 37377-2022</t>
        </is>
      </c>
      <c r="B1327" t="inlineStr">
        <is>
          <t>avverkningsanmälan</t>
        </is>
      </c>
      <c r="C1327" t="inlineStr">
        <is>
          <t>Föryngringsavverkning</t>
        </is>
      </c>
      <c r="D1327" s="1" t="n">
        <v>44809</v>
      </c>
      <c r="E1327" s="1" t="n">
        <v>46323</v>
      </c>
      <c r="F1327" t="inlineStr">
        <is>
          <t>KALMAR LÄN</t>
        </is>
      </c>
      <c r="G1327" t="inlineStr">
        <is>
          <t>HULTSFRED</t>
        </is>
      </c>
      <c r="H1327" t="inlineStr">
        <is>
          <t>Sveaskog</t>
        </is>
      </c>
      <c r="I1327" t="n">
        <v>1.2</v>
      </c>
      <c r="J1327" t="n">
        <v>0</v>
      </c>
      <c r="K1327" t="n">
        <v>0</v>
      </c>
      <c r="L1327" t="n">
        <v>0</v>
      </c>
      <c r="M1327" t="n">
        <v>0</v>
      </c>
      <c r="N1327" t="n">
        <v>0</v>
      </c>
      <c r="O1327" t="n">
        <v>0</v>
      </c>
      <c r="P1327" t="n">
        <v>0</v>
      </c>
      <c r="Q1327" t="n">
        <v>0</v>
      </c>
      <c r="R1327" t="n">
        <v>0</v>
      </c>
      <c r="S1327" t="n">
        <v>0</v>
      </c>
      <c r="T1327" t="n">
        <v>0</v>
      </c>
      <c r="U1327" t="n">
        <v>0</v>
      </c>
      <c r="V1327" s="2" t="inlineStr"/>
    </row>
    <row r="1328" ht="15" customHeight="1">
      <c r="A1328" t="inlineStr">
        <is>
          <t>A 10954-2022</t>
        </is>
      </c>
      <c r="B1328" t="inlineStr">
        <is>
          <t>avverkningsanmälan</t>
        </is>
      </c>
      <c r="C1328" t="inlineStr">
        <is>
          <t>Föryngringsavverkning</t>
        </is>
      </c>
      <c r="D1328" s="1" t="n">
        <v>44628</v>
      </c>
      <c r="E1328" s="1" t="n">
        <v>46323</v>
      </c>
      <c r="F1328" t="inlineStr">
        <is>
          <t>KALMAR LÄN</t>
        </is>
      </c>
      <c r="G1328" t="inlineStr">
        <is>
          <t>EMMABODA</t>
        </is>
      </c>
      <c r="I1328" t="n">
        <v>0.4</v>
      </c>
      <c r="J1328" t="n">
        <v>0</v>
      </c>
      <c r="K1328" t="n">
        <v>0</v>
      </c>
      <c r="L1328" t="n">
        <v>0</v>
      </c>
      <c r="M1328" t="n">
        <v>0</v>
      </c>
      <c r="N1328" t="n">
        <v>0</v>
      </c>
      <c r="O1328" t="n">
        <v>0</v>
      </c>
      <c r="P1328" t="n">
        <v>0</v>
      </c>
      <c r="Q1328" t="n">
        <v>0</v>
      </c>
      <c r="R1328" t="n">
        <v>0</v>
      </c>
      <c r="S1328" t="n">
        <v>0</v>
      </c>
      <c r="T1328" t="n">
        <v>0</v>
      </c>
      <c r="U1328" t="n">
        <v>0</v>
      </c>
      <c r="V1328" s="2" t="inlineStr"/>
    </row>
    <row r="1329" ht="15" customHeight="1">
      <c r="A1329" t="inlineStr">
        <is>
          <t>A 33051-2022</t>
        </is>
      </c>
      <c r="B1329" t="inlineStr">
        <is>
          <t>avverkningsanmälan</t>
        </is>
      </c>
      <c r="C1329" t="inlineStr">
        <is>
          <t>Föryngringsavverkning</t>
        </is>
      </c>
      <c r="D1329" s="1" t="n">
        <v>44785</v>
      </c>
      <c r="E1329" s="1" t="n">
        <v>46323</v>
      </c>
      <c r="F1329" t="inlineStr">
        <is>
          <t>KALMAR LÄN</t>
        </is>
      </c>
      <c r="G1329" t="inlineStr">
        <is>
          <t>VIMMERBY</t>
        </is>
      </c>
      <c r="I1329" t="n">
        <v>0.3</v>
      </c>
      <c r="J1329" t="n">
        <v>0</v>
      </c>
      <c r="K1329" t="n">
        <v>0</v>
      </c>
      <c r="L1329" t="n">
        <v>0</v>
      </c>
      <c r="M1329" t="n">
        <v>0</v>
      </c>
      <c r="N1329" t="n">
        <v>0</v>
      </c>
      <c r="O1329" t="n">
        <v>0</v>
      </c>
      <c r="P1329" t="n">
        <v>0</v>
      </c>
      <c r="Q1329" t="n">
        <v>0</v>
      </c>
      <c r="R1329" t="n">
        <v>0</v>
      </c>
      <c r="S1329" t="n">
        <v>0</v>
      </c>
      <c r="T1329" t="n">
        <v>0</v>
      </c>
      <c r="U1329" t="n">
        <v>0</v>
      </c>
      <c r="V1329" s="2" t="inlineStr"/>
    </row>
    <row r="1330" ht="15" customHeight="1">
      <c r="A1330" t="inlineStr">
        <is>
          <t>A 65141-2021</t>
        </is>
      </c>
      <c r="B1330" t="inlineStr">
        <is>
          <t>avverkningsanmälan</t>
        </is>
      </c>
      <c r="C1330" t="inlineStr">
        <is>
          <t>Föryngringsavverkning</t>
        </is>
      </c>
      <c r="D1330" s="1" t="n">
        <v>44515</v>
      </c>
      <c r="E1330" s="1" t="n">
        <v>46323</v>
      </c>
      <c r="F1330" t="inlineStr">
        <is>
          <t>KALMAR LÄN</t>
        </is>
      </c>
      <c r="G1330" t="inlineStr">
        <is>
          <t>EMMABODA</t>
        </is>
      </c>
      <c r="I1330" t="n">
        <v>0.6</v>
      </c>
      <c r="J1330" t="n">
        <v>0</v>
      </c>
      <c r="K1330" t="n">
        <v>0</v>
      </c>
      <c r="L1330" t="n">
        <v>0</v>
      </c>
      <c r="M1330" t="n">
        <v>0</v>
      </c>
      <c r="N1330" t="n">
        <v>0</v>
      </c>
      <c r="O1330" t="n">
        <v>0</v>
      </c>
      <c r="P1330" t="n">
        <v>0</v>
      </c>
      <c r="Q1330" t="n">
        <v>0</v>
      </c>
      <c r="R1330" t="n">
        <v>0</v>
      </c>
      <c r="S1330" t="n">
        <v>0</v>
      </c>
      <c r="T1330" t="n">
        <v>0</v>
      </c>
      <c r="U1330" t="n">
        <v>0</v>
      </c>
      <c r="V1330" s="2" t="inlineStr"/>
    </row>
    <row r="1331" ht="15" customHeight="1">
      <c r="A1331" t="inlineStr">
        <is>
          <t>A 71104-2021</t>
        </is>
      </c>
      <c r="B1331" t="inlineStr">
        <is>
          <t>avverkningsanmälan</t>
        </is>
      </c>
      <c r="C1331" t="inlineStr">
        <is>
          <t>Föryngringsavverkning</t>
        </is>
      </c>
      <c r="D1331" s="1" t="n">
        <v>44539</v>
      </c>
      <c r="E1331" s="1" t="n">
        <v>46323</v>
      </c>
      <c r="F1331" t="inlineStr">
        <is>
          <t>KALMAR LÄN</t>
        </is>
      </c>
      <c r="G1331" t="inlineStr">
        <is>
          <t>KALMAR</t>
        </is>
      </c>
      <c r="I1331" t="n">
        <v>1.1</v>
      </c>
      <c r="J1331" t="n">
        <v>0</v>
      </c>
      <c r="K1331" t="n">
        <v>0</v>
      </c>
      <c r="L1331" t="n">
        <v>0</v>
      </c>
      <c r="M1331" t="n">
        <v>0</v>
      </c>
      <c r="N1331" t="n">
        <v>0</v>
      </c>
      <c r="O1331" t="n">
        <v>0</v>
      </c>
      <c r="P1331" t="n">
        <v>0</v>
      </c>
      <c r="Q1331" t="n">
        <v>0</v>
      </c>
      <c r="R1331" t="n">
        <v>0</v>
      </c>
      <c r="S1331" t="n">
        <v>0</v>
      </c>
      <c r="T1331" t="n">
        <v>0</v>
      </c>
      <c r="U1331" t="n">
        <v>0</v>
      </c>
      <c r="V1331" s="2" t="inlineStr"/>
    </row>
    <row r="1332" ht="15" customHeight="1">
      <c r="A1332" t="inlineStr">
        <is>
          <t>A 30647-2022</t>
        </is>
      </c>
      <c r="B1332" t="inlineStr">
        <is>
          <t>avverkningsanmälan</t>
        </is>
      </c>
      <c r="C1332" t="inlineStr">
        <is>
          <t>Föryngringsavverkning</t>
        </is>
      </c>
      <c r="D1332" s="1" t="n">
        <v>44763</v>
      </c>
      <c r="E1332" s="1" t="n">
        <v>46323</v>
      </c>
      <c r="F1332" t="inlineStr">
        <is>
          <t>KALMAR LÄN</t>
        </is>
      </c>
      <c r="G1332" t="inlineStr">
        <is>
          <t>TORSÅS</t>
        </is>
      </c>
      <c r="I1332" t="n">
        <v>0.5</v>
      </c>
      <c r="J1332" t="n">
        <v>0</v>
      </c>
      <c r="K1332" t="n">
        <v>0</v>
      </c>
      <c r="L1332" t="n">
        <v>0</v>
      </c>
      <c r="M1332" t="n">
        <v>0</v>
      </c>
      <c r="N1332" t="n">
        <v>0</v>
      </c>
      <c r="O1332" t="n">
        <v>0</v>
      </c>
      <c r="P1332" t="n">
        <v>0</v>
      </c>
      <c r="Q1332" t="n">
        <v>0</v>
      </c>
      <c r="R1332" t="n">
        <v>0</v>
      </c>
      <c r="S1332" t="n">
        <v>0</v>
      </c>
      <c r="T1332" t="n">
        <v>0</v>
      </c>
      <c r="U1332" t="n">
        <v>0</v>
      </c>
      <c r="V1332" s="2" t="inlineStr"/>
    </row>
    <row r="1333" ht="15" customHeight="1">
      <c r="A1333" t="inlineStr">
        <is>
          <t>A 46721-2022</t>
        </is>
      </c>
      <c r="B1333" t="inlineStr">
        <is>
          <t>avverkningsanmälan</t>
        </is>
      </c>
      <c r="C1333" t="inlineStr">
        <is>
          <t>Föryngringsavverkning</t>
        </is>
      </c>
      <c r="D1333" s="1" t="n">
        <v>44851</v>
      </c>
      <c r="E1333" s="1" t="n">
        <v>46323</v>
      </c>
      <c r="F1333" t="inlineStr">
        <is>
          <t>KALMAR LÄN</t>
        </is>
      </c>
      <c r="G1333" t="inlineStr">
        <is>
          <t>EMMABODA</t>
        </is>
      </c>
      <c r="I1333" t="n">
        <v>0.6</v>
      </c>
      <c r="J1333" t="n">
        <v>0</v>
      </c>
      <c r="K1333" t="n">
        <v>0</v>
      </c>
      <c r="L1333" t="n">
        <v>0</v>
      </c>
      <c r="M1333" t="n">
        <v>0</v>
      </c>
      <c r="N1333" t="n">
        <v>0</v>
      </c>
      <c r="O1333" t="n">
        <v>0</v>
      </c>
      <c r="P1333" t="n">
        <v>0</v>
      </c>
      <c r="Q1333" t="n">
        <v>0</v>
      </c>
      <c r="R1333" t="n">
        <v>0</v>
      </c>
      <c r="S1333" t="n">
        <v>0</v>
      </c>
      <c r="T1333" t="n">
        <v>0</v>
      </c>
      <c r="U1333" t="n">
        <v>0</v>
      </c>
      <c r="V1333" s="2" t="inlineStr"/>
    </row>
    <row r="1334" ht="15" customHeight="1">
      <c r="A1334" t="inlineStr">
        <is>
          <t>A 42436-2022</t>
        </is>
      </c>
      <c r="B1334" t="inlineStr">
        <is>
          <t>avverkningsanmälan</t>
        </is>
      </c>
      <c r="C1334" t="inlineStr">
        <is>
          <t>Avverkning för att bevara och utveckla /försöksver</t>
        </is>
      </c>
      <c r="D1334" s="1" t="n">
        <v>44831</v>
      </c>
      <c r="E1334" s="1" t="n">
        <v>46323</v>
      </c>
      <c r="F1334" t="inlineStr">
        <is>
          <t>KALMAR LÄN</t>
        </is>
      </c>
      <c r="G1334" t="inlineStr">
        <is>
          <t>HULTSFRED</t>
        </is>
      </c>
      <c r="I1334" t="n">
        <v>3.1</v>
      </c>
      <c r="J1334" t="n">
        <v>0</v>
      </c>
      <c r="K1334" t="n">
        <v>0</v>
      </c>
      <c r="L1334" t="n">
        <v>0</v>
      </c>
      <c r="M1334" t="n">
        <v>0</v>
      </c>
      <c r="N1334" t="n">
        <v>0</v>
      </c>
      <c r="O1334" t="n">
        <v>0</v>
      </c>
      <c r="P1334" t="n">
        <v>0</v>
      </c>
      <c r="Q1334" t="n">
        <v>0</v>
      </c>
      <c r="R1334" t="n">
        <v>0</v>
      </c>
      <c r="S1334" t="n">
        <v>0</v>
      </c>
      <c r="T1334" t="n">
        <v>0</v>
      </c>
      <c r="U1334" t="n">
        <v>0</v>
      </c>
      <c r="V1334" s="2" t="inlineStr"/>
    </row>
    <row r="1335" ht="15" customHeight="1">
      <c r="A1335" t="inlineStr">
        <is>
          <t>A 41438-2022</t>
        </is>
      </c>
      <c r="B1335" t="inlineStr">
        <is>
          <t>avverkningsanmälan</t>
        </is>
      </c>
      <c r="C1335" t="inlineStr">
        <is>
          <t>Föryngringsavverkning</t>
        </is>
      </c>
      <c r="D1335" s="1" t="n">
        <v>44826</v>
      </c>
      <c r="E1335" s="1" t="n">
        <v>46323</v>
      </c>
      <c r="F1335" t="inlineStr">
        <is>
          <t>KALMAR LÄN</t>
        </is>
      </c>
      <c r="G1335" t="inlineStr">
        <is>
          <t>VIMMERBY</t>
        </is>
      </c>
      <c r="I1335" t="n">
        <v>3.1</v>
      </c>
      <c r="J1335" t="n">
        <v>0</v>
      </c>
      <c r="K1335" t="n">
        <v>0</v>
      </c>
      <c r="L1335" t="n">
        <v>0</v>
      </c>
      <c r="M1335" t="n">
        <v>0</v>
      </c>
      <c r="N1335" t="n">
        <v>0</v>
      </c>
      <c r="O1335" t="n">
        <v>0</v>
      </c>
      <c r="P1335" t="n">
        <v>0</v>
      </c>
      <c r="Q1335" t="n">
        <v>0</v>
      </c>
      <c r="R1335" t="n">
        <v>0</v>
      </c>
      <c r="S1335" t="n">
        <v>0</v>
      </c>
      <c r="T1335" t="n">
        <v>0</v>
      </c>
      <c r="U1335" t="n">
        <v>0</v>
      </c>
      <c r="V1335" s="2" t="inlineStr"/>
    </row>
    <row r="1336" ht="15" customHeight="1">
      <c r="A1336" t="inlineStr">
        <is>
          <t>A 2183-2022</t>
        </is>
      </c>
      <c r="B1336" t="inlineStr">
        <is>
          <t>avverkningsanmälan</t>
        </is>
      </c>
      <c r="C1336" t="inlineStr">
        <is>
          <t>Föryngringsavverkning</t>
        </is>
      </c>
      <c r="D1336" s="1" t="n">
        <v>44578</v>
      </c>
      <c r="E1336" s="1" t="n">
        <v>46323</v>
      </c>
      <c r="F1336" t="inlineStr">
        <is>
          <t>KALMAR LÄN</t>
        </is>
      </c>
      <c r="G1336" t="inlineStr">
        <is>
          <t>VIMMERBY</t>
        </is>
      </c>
      <c r="I1336" t="n">
        <v>4.8</v>
      </c>
      <c r="J1336" t="n">
        <v>0</v>
      </c>
      <c r="K1336" t="n">
        <v>0</v>
      </c>
      <c r="L1336" t="n">
        <v>0</v>
      </c>
      <c r="M1336" t="n">
        <v>0</v>
      </c>
      <c r="N1336" t="n">
        <v>0</v>
      </c>
      <c r="O1336" t="n">
        <v>0</v>
      </c>
      <c r="P1336" t="n">
        <v>0</v>
      </c>
      <c r="Q1336" t="n">
        <v>0</v>
      </c>
      <c r="R1336" t="n">
        <v>0</v>
      </c>
      <c r="S1336" t="n">
        <v>0</v>
      </c>
      <c r="T1336" t="n">
        <v>0</v>
      </c>
      <c r="U1336" t="n">
        <v>0</v>
      </c>
      <c r="V1336" s="2" t="inlineStr"/>
    </row>
    <row r="1337" ht="15" customHeight="1">
      <c r="A1337" t="inlineStr">
        <is>
          <t>A 65670-2021</t>
        </is>
      </c>
      <c r="B1337" t="inlineStr">
        <is>
          <t>avverkningsanmälan</t>
        </is>
      </c>
      <c r="C1337" t="inlineStr">
        <is>
          <t>Föryngringsavverkning</t>
        </is>
      </c>
      <c r="D1337" s="1" t="n">
        <v>44516</v>
      </c>
      <c r="E1337" s="1" t="n">
        <v>46323</v>
      </c>
      <c r="F1337" t="inlineStr">
        <is>
          <t>KALMAR LÄN</t>
        </is>
      </c>
      <c r="G1337" t="inlineStr">
        <is>
          <t>VIMMERBY</t>
        </is>
      </c>
      <c r="I1337" t="n">
        <v>1.9</v>
      </c>
      <c r="J1337" t="n">
        <v>0</v>
      </c>
      <c r="K1337" t="n">
        <v>0</v>
      </c>
      <c r="L1337" t="n">
        <v>0</v>
      </c>
      <c r="M1337" t="n">
        <v>0</v>
      </c>
      <c r="N1337" t="n">
        <v>0</v>
      </c>
      <c r="O1337" t="n">
        <v>0</v>
      </c>
      <c r="P1337" t="n">
        <v>0</v>
      </c>
      <c r="Q1337" t="n">
        <v>0</v>
      </c>
      <c r="R1337" t="n">
        <v>0</v>
      </c>
      <c r="S1337" t="n">
        <v>0</v>
      </c>
      <c r="T1337" t="n">
        <v>0</v>
      </c>
      <c r="U1337" t="n">
        <v>0</v>
      </c>
      <c r="V1337" s="2" t="inlineStr"/>
    </row>
    <row r="1338" ht="15" customHeight="1">
      <c r="A1338" t="inlineStr">
        <is>
          <t>A 56015-2022</t>
        </is>
      </c>
      <c r="B1338" t="inlineStr">
        <is>
          <t>avverkningsanmälan</t>
        </is>
      </c>
      <c r="C1338" t="inlineStr">
        <is>
          <t>Föryngringsavverkning</t>
        </is>
      </c>
      <c r="D1338" s="1" t="n">
        <v>44889</v>
      </c>
      <c r="E1338" s="1" t="n">
        <v>46323</v>
      </c>
      <c r="F1338" t="inlineStr">
        <is>
          <t>KALMAR LÄN</t>
        </is>
      </c>
      <c r="G1338" t="inlineStr">
        <is>
          <t>NYBRO</t>
        </is>
      </c>
      <c r="I1338" t="n">
        <v>1.2</v>
      </c>
      <c r="J1338" t="n">
        <v>0</v>
      </c>
      <c r="K1338" t="n">
        <v>0</v>
      </c>
      <c r="L1338" t="n">
        <v>0</v>
      </c>
      <c r="M1338" t="n">
        <v>0</v>
      </c>
      <c r="N1338" t="n">
        <v>0</v>
      </c>
      <c r="O1338" t="n">
        <v>0</v>
      </c>
      <c r="P1338" t="n">
        <v>0</v>
      </c>
      <c r="Q1338" t="n">
        <v>0</v>
      </c>
      <c r="R1338" t="n">
        <v>0</v>
      </c>
      <c r="S1338" t="n">
        <v>0</v>
      </c>
      <c r="T1338" t="n">
        <v>0</v>
      </c>
      <c r="U1338" t="n">
        <v>0</v>
      </c>
      <c r="V1338" s="2" t="inlineStr"/>
    </row>
    <row r="1339" ht="15" customHeight="1">
      <c r="A1339" t="inlineStr">
        <is>
          <t>A 50809-2022</t>
        </is>
      </c>
      <c r="B1339" t="inlineStr">
        <is>
          <t>avverkningsanmälan</t>
        </is>
      </c>
      <c r="C1339" t="inlineStr">
        <is>
          <t>Föryngringsavverkning</t>
        </is>
      </c>
      <c r="D1339" s="1" t="n">
        <v>44862</v>
      </c>
      <c r="E1339" s="1" t="n">
        <v>46323</v>
      </c>
      <c r="F1339" t="inlineStr">
        <is>
          <t>KALMAR LÄN</t>
        </is>
      </c>
      <c r="G1339" t="inlineStr">
        <is>
          <t>VIMMERBY</t>
        </is>
      </c>
      <c r="I1339" t="n">
        <v>3.7</v>
      </c>
      <c r="J1339" t="n">
        <v>0</v>
      </c>
      <c r="K1339" t="n">
        <v>0</v>
      </c>
      <c r="L1339" t="n">
        <v>0</v>
      </c>
      <c r="M1339" t="n">
        <v>0</v>
      </c>
      <c r="N1339" t="n">
        <v>0</v>
      </c>
      <c r="O1339" t="n">
        <v>0</v>
      </c>
      <c r="P1339" t="n">
        <v>0</v>
      </c>
      <c r="Q1339" t="n">
        <v>0</v>
      </c>
      <c r="R1339" t="n">
        <v>0</v>
      </c>
      <c r="S1339" t="n">
        <v>0</v>
      </c>
      <c r="T1339" t="n">
        <v>0</v>
      </c>
      <c r="U1339" t="n">
        <v>0</v>
      </c>
      <c r="V1339" s="2" t="inlineStr"/>
    </row>
    <row r="1340" ht="15" customHeight="1">
      <c r="A1340" t="inlineStr">
        <is>
          <t>A 69830-2021</t>
        </is>
      </c>
      <c r="B1340" t="inlineStr">
        <is>
          <t>avverkningsanmälan</t>
        </is>
      </c>
      <c r="C1340" t="inlineStr">
        <is>
          <t>Föryngringsavverkning</t>
        </is>
      </c>
      <c r="D1340" s="1" t="n">
        <v>44532</v>
      </c>
      <c r="E1340" s="1" t="n">
        <v>46323</v>
      </c>
      <c r="F1340" t="inlineStr">
        <is>
          <t>KALMAR LÄN</t>
        </is>
      </c>
      <c r="G1340" t="inlineStr">
        <is>
          <t>HULTSFRED</t>
        </is>
      </c>
      <c r="I1340" t="n">
        <v>2.4</v>
      </c>
      <c r="J1340" t="n">
        <v>0</v>
      </c>
      <c r="K1340" t="n">
        <v>0</v>
      </c>
      <c r="L1340" t="n">
        <v>0</v>
      </c>
      <c r="M1340" t="n">
        <v>0</v>
      </c>
      <c r="N1340" t="n">
        <v>0</v>
      </c>
      <c r="O1340" t="n">
        <v>0</v>
      </c>
      <c r="P1340" t="n">
        <v>0</v>
      </c>
      <c r="Q1340" t="n">
        <v>0</v>
      </c>
      <c r="R1340" t="n">
        <v>0</v>
      </c>
      <c r="S1340" t="n">
        <v>0</v>
      </c>
      <c r="T1340" t="n">
        <v>0</v>
      </c>
      <c r="U1340" t="n">
        <v>0</v>
      </c>
      <c r="V1340" s="2" t="inlineStr"/>
    </row>
    <row r="1341" ht="15" customHeight="1">
      <c r="A1341" t="inlineStr">
        <is>
          <t>A 7035-2022</t>
        </is>
      </c>
      <c r="B1341" t="inlineStr">
        <is>
          <t>avverkningsanmälan</t>
        </is>
      </c>
      <c r="C1341" t="inlineStr">
        <is>
          <t>Föryngringsavverkning</t>
        </is>
      </c>
      <c r="D1341" s="1" t="n">
        <v>44603</v>
      </c>
      <c r="E1341" s="1" t="n">
        <v>46323</v>
      </c>
      <c r="F1341" t="inlineStr">
        <is>
          <t>KALMAR LÄN</t>
        </is>
      </c>
      <c r="G1341" t="inlineStr">
        <is>
          <t>HÖGSBY</t>
        </is>
      </c>
      <c r="I1341" t="n">
        <v>0.7</v>
      </c>
      <c r="J1341" t="n">
        <v>0</v>
      </c>
      <c r="K1341" t="n">
        <v>0</v>
      </c>
      <c r="L1341" t="n">
        <v>0</v>
      </c>
      <c r="M1341" t="n">
        <v>0</v>
      </c>
      <c r="N1341" t="n">
        <v>0</v>
      </c>
      <c r="O1341" t="n">
        <v>0</v>
      </c>
      <c r="P1341" t="n">
        <v>0</v>
      </c>
      <c r="Q1341" t="n">
        <v>0</v>
      </c>
      <c r="R1341" t="n">
        <v>0</v>
      </c>
      <c r="S1341" t="n">
        <v>0</v>
      </c>
      <c r="T1341" t="n">
        <v>0</v>
      </c>
      <c r="U1341" t="n">
        <v>0</v>
      </c>
      <c r="V1341" s="2" t="inlineStr"/>
    </row>
    <row r="1342" ht="15" customHeight="1">
      <c r="A1342" t="inlineStr">
        <is>
          <t>A 7049-2022</t>
        </is>
      </c>
      <c r="B1342" t="inlineStr">
        <is>
          <t>avverkningsanmälan</t>
        </is>
      </c>
      <c r="C1342" t="inlineStr">
        <is>
          <t>Föryngringsavverkning</t>
        </is>
      </c>
      <c r="D1342" s="1" t="n">
        <v>44603</v>
      </c>
      <c r="E1342" s="1" t="n">
        <v>46323</v>
      </c>
      <c r="F1342" t="inlineStr">
        <is>
          <t>KALMAR LÄN</t>
        </is>
      </c>
      <c r="G1342" t="inlineStr">
        <is>
          <t>VIMMERBY</t>
        </is>
      </c>
      <c r="I1342" t="n">
        <v>2.3</v>
      </c>
      <c r="J1342" t="n">
        <v>0</v>
      </c>
      <c r="K1342" t="n">
        <v>0</v>
      </c>
      <c r="L1342" t="n">
        <v>0</v>
      </c>
      <c r="M1342" t="n">
        <v>0</v>
      </c>
      <c r="N1342" t="n">
        <v>0</v>
      </c>
      <c r="O1342" t="n">
        <v>0</v>
      </c>
      <c r="P1342" t="n">
        <v>0</v>
      </c>
      <c r="Q1342" t="n">
        <v>0</v>
      </c>
      <c r="R1342" t="n">
        <v>0</v>
      </c>
      <c r="S1342" t="n">
        <v>0</v>
      </c>
      <c r="T1342" t="n">
        <v>0</v>
      </c>
      <c r="U1342" t="n">
        <v>0</v>
      </c>
      <c r="V1342" s="2" t="inlineStr"/>
    </row>
    <row r="1343" ht="15" customHeight="1">
      <c r="A1343" t="inlineStr">
        <is>
          <t>A 4296-2022</t>
        </is>
      </c>
      <c r="B1343" t="inlineStr">
        <is>
          <t>avverkningsanmälan</t>
        </is>
      </c>
      <c r="C1343" t="inlineStr">
        <is>
          <t>Föryngringsavverkning</t>
        </is>
      </c>
      <c r="D1343" s="1" t="n">
        <v>44588</v>
      </c>
      <c r="E1343" s="1" t="n">
        <v>46323</v>
      </c>
      <c r="F1343" t="inlineStr">
        <is>
          <t>KALMAR LÄN</t>
        </is>
      </c>
      <c r="G1343" t="inlineStr">
        <is>
          <t>VIMMERBY</t>
        </is>
      </c>
      <c r="I1343" t="n">
        <v>1.8</v>
      </c>
      <c r="J1343" t="n">
        <v>0</v>
      </c>
      <c r="K1343" t="n">
        <v>0</v>
      </c>
      <c r="L1343" t="n">
        <v>0</v>
      </c>
      <c r="M1343" t="n">
        <v>0</v>
      </c>
      <c r="N1343" t="n">
        <v>0</v>
      </c>
      <c r="O1343" t="n">
        <v>0</v>
      </c>
      <c r="P1343" t="n">
        <v>0</v>
      </c>
      <c r="Q1343" t="n">
        <v>0</v>
      </c>
      <c r="R1343" t="n">
        <v>0</v>
      </c>
      <c r="S1343" t="n">
        <v>0</v>
      </c>
      <c r="T1343" t="n">
        <v>0</v>
      </c>
      <c r="U1343" t="n">
        <v>0</v>
      </c>
      <c r="V1343" s="2" t="inlineStr"/>
    </row>
    <row r="1344" ht="15" customHeight="1">
      <c r="A1344" t="inlineStr">
        <is>
          <t>A 70376-2021</t>
        </is>
      </c>
      <c r="B1344" t="inlineStr">
        <is>
          <t>avverkningsanmälan</t>
        </is>
      </c>
      <c r="C1344" t="inlineStr">
        <is>
          <t>Föryngringsavverkning</t>
        </is>
      </c>
      <c r="D1344" s="1" t="n">
        <v>44536</v>
      </c>
      <c r="E1344" s="1" t="n">
        <v>46323</v>
      </c>
      <c r="F1344" t="inlineStr">
        <is>
          <t>KALMAR LÄN</t>
        </is>
      </c>
      <c r="G1344" t="inlineStr">
        <is>
          <t>HULTSFRED</t>
        </is>
      </c>
      <c r="I1344" t="n">
        <v>1.3</v>
      </c>
      <c r="J1344" t="n">
        <v>0</v>
      </c>
      <c r="K1344" t="n">
        <v>0</v>
      </c>
      <c r="L1344" t="n">
        <v>0</v>
      </c>
      <c r="M1344" t="n">
        <v>0</v>
      </c>
      <c r="N1344" t="n">
        <v>0</v>
      </c>
      <c r="O1344" t="n">
        <v>0</v>
      </c>
      <c r="P1344" t="n">
        <v>0</v>
      </c>
      <c r="Q1344" t="n">
        <v>0</v>
      </c>
      <c r="R1344" t="n">
        <v>0</v>
      </c>
      <c r="S1344" t="n">
        <v>0</v>
      </c>
      <c r="T1344" t="n">
        <v>0</v>
      </c>
      <c r="U1344" t="n">
        <v>0</v>
      </c>
      <c r="V1344" s="2" t="inlineStr"/>
    </row>
    <row r="1345" ht="15" customHeight="1">
      <c r="A1345" t="inlineStr">
        <is>
          <t>A 61085-2021</t>
        </is>
      </c>
      <c r="B1345" t="inlineStr">
        <is>
          <t>avverkningsanmälan</t>
        </is>
      </c>
      <c r="C1345" t="inlineStr">
        <is>
          <t>Föryngringsavverkning</t>
        </is>
      </c>
      <c r="D1345" s="1" t="n">
        <v>44498</v>
      </c>
      <c r="E1345" s="1" t="n">
        <v>46323</v>
      </c>
      <c r="F1345" t="inlineStr">
        <is>
          <t>KALMAR LÄN</t>
        </is>
      </c>
      <c r="G1345" t="inlineStr">
        <is>
          <t>KALMAR</t>
        </is>
      </c>
      <c r="I1345" t="n">
        <v>1.9</v>
      </c>
      <c r="J1345" t="n">
        <v>0</v>
      </c>
      <c r="K1345" t="n">
        <v>0</v>
      </c>
      <c r="L1345" t="n">
        <v>0</v>
      </c>
      <c r="M1345" t="n">
        <v>0</v>
      </c>
      <c r="N1345" t="n">
        <v>0</v>
      </c>
      <c r="O1345" t="n">
        <v>0</v>
      </c>
      <c r="P1345" t="n">
        <v>0</v>
      </c>
      <c r="Q1345" t="n">
        <v>0</v>
      </c>
      <c r="R1345" t="n">
        <v>0</v>
      </c>
      <c r="S1345" t="n">
        <v>0</v>
      </c>
      <c r="T1345" t="n">
        <v>0</v>
      </c>
      <c r="U1345" t="n">
        <v>0</v>
      </c>
      <c r="V1345" s="2" t="inlineStr"/>
    </row>
    <row r="1346" ht="15" customHeight="1">
      <c r="A1346" t="inlineStr">
        <is>
          <t>A 61086-2021</t>
        </is>
      </c>
      <c r="B1346" t="inlineStr">
        <is>
          <t>avverkningsanmälan</t>
        </is>
      </c>
      <c r="C1346" t="inlineStr">
        <is>
          <t>Föryngringsavverkning</t>
        </is>
      </c>
      <c r="D1346" s="1" t="n">
        <v>44498</v>
      </c>
      <c r="E1346" s="1" t="n">
        <v>46323</v>
      </c>
      <c r="F1346" t="inlineStr">
        <is>
          <t>KALMAR LÄN</t>
        </is>
      </c>
      <c r="G1346" t="inlineStr">
        <is>
          <t>KALMAR</t>
        </is>
      </c>
      <c r="I1346" t="n">
        <v>1.4</v>
      </c>
      <c r="J1346" t="n">
        <v>0</v>
      </c>
      <c r="K1346" t="n">
        <v>0</v>
      </c>
      <c r="L1346" t="n">
        <v>0</v>
      </c>
      <c r="M1346" t="n">
        <v>0</v>
      </c>
      <c r="N1346" t="n">
        <v>0</v>
      </c>
      <c r="O1346" t="n">
        <v>0</v>
      </c>
      <c r="P1346" t="n">
        <v>0</v>
      </c>
      <c r="Q1346" t="n">
        <v>0</v>
      </c>
      <c r="R1346" t="n">
        <v>0</v>
      </c>
      <c r="S1346" t="n">
        <v>0</v>
      </c>
      <c r="T1346" t="n">
        <v>0</v>
      </c>
      <c r="U1346" t="n">
        <v>0</v>
      </c>
      <c r="V1346" s="2" t="inlineStr"/>
    </row>
    <row r="1347" ht="15" customHeight="1">
      <c r="A1347" t="inlineStr">
        <is>
          <t>A 49159-2022</t>
        </is>
      </c>
      <c r="B1347" t="inlineStr">
        <is>
          <t>avverkningsanmälan</t>
        </is>
      </c>
      <c r="C1347" t="inlineStr">
        <is>
          <t>Föryngringsavverkning</t>
        </is>
      </c>
      <c r="D1347" s="1" t="n">
        <v>44860</v>
      </c>
      <c r="E1347" s="1" t="n">
        <v>46323</v>
      </c>
      <c r="F1347" t="inlineStr">
        <is>
          <t>KALMAR LÄN</t>
        </is>
      </c>
      <c r="G1347" t="inlineStr">
        <is>
          <t>EMMABODA</t>
        </is>
      </c>
      <c r="I1347" t="n">
        <v>1</v>
      </c>
      <c r="J1347" t="n">
        <v>0</v>
      </c>
      <c r="K1347" t="n">
        <v>0</v>
      </c>
      <c r="L1347" t="n">
        <v>0</v>
      </c>
      <c r="M1347" t="n">
        <v>0</v>
      </c>
      <c r="N1347" t="n">
        <v>0</v>
      </c>
      <c r="O1347" t="n">
        <v>0</v>
      </c>
      <c r="P1347" t="n">
        <v>0</v>
      </c>
      <c r="Q1347" t="n">
        <v>0</v>
      </c>
      <c r="R1347" t="n">
        <v>0</v>
      </c>
      <c r="S1347" t="n">
        <v>0</v>
      </c>
      <c r="T1347" t="n">
        <v>0</v>
      </c>
      <c r="U1347" t="n">
        <v>0</v>
      </c>
      <c r="V1347" s="2" t="inlineStr"/>
    </row>
    <row r="1348" ht="15" customHeight="1">
      <c r="A1348" t="inlineStr">
        <is>
          <t>A 19102-2022</t>
        </is>
      </c>
      <c r="B1348" t="inlineStr">
        <is>
          <t>avverkningsanmälan</t>
        </is>
      </c>
      <c r="C1348" t="inlineStr">
        <is>
          <t>Föryngringsavverkning</t>
        </is>
      </c>
      <c r="D1348" s="1" t="n">
        <v>44691</v>
      </c>
      <c r="E1348" s="1" t="n">
        <v>46323</v>
      </c>
      <c r="F1348" t="inlineStr">
        <is>
          <t>KALMAR LÄN</t>
        </is>
      </c>
      <c r="G1348" t="inlineStr">
        <is>
          <t>NYBRO</t>
        </is>
      </c>
      <c r="I1348" t="n">
        <v>7.5</v>
      </c>
      <c r="J1348" t="n">
        <v>0</v>
      </c>
      <c r="K1348" t="n">
        <v>0</v>
      </c>
      <c r="L1348" t="n">
        <v>0</v>
      </c>
      <c r="M1348" t="n">
        <v>0</v>
      </c>
      <c r="N1348" t="n">
        <v>0</v>
      </c>
      <c r="O1348" t="n">
        <v>0</v>
      </c>
      <c r="P1348" t="n">
        <v>0</v>
      </c>
      <c r="Q1348" t="n">
        <v>0</v>
      </c>
      <c r="R1348" t="n">
        <v>0</v>
      </c>
      <c r="S1348" t="n">
        <v>0</v>
      </c>
      <c r="T1348" t="n">
        <v>0</v>
      </c>
      <c r="U1348" t="n">
        <v>0</v>
      </c>
      <c r="V1348" s="2" t="inlineStr"/>
    </row>
    <row r="1349" ht="15" customHeight="1">
      <c r="A1349" t="inlineStr">
        <is>
          <t>A 45798-2022</t>
        </is>
      </c>
      <c r="B1349" t="inlineStr">
        <is>
          <t>avverkningsanmälan</t>
        </is>
      </c>
      <c r="C1349" t="inlineStr">
        <is>
          <t>Föryngringsavverkning</t>
        </is>
      </c>
      <c r="D1349" s="1" t="n">
        <v>44846</v>
      </c>
      <c r="E1349" s="1" t="n">
        <v>46323</v>
      </c>
      <c r="F1349" t="inlineStr">
        <is>
          <t>KALMAR LÄN</t>
        </is>
      </c>
      <c r="G1349" t="inlineStr">
        <is>
          <t>TORSÅS</t>
        </is>
      </c>
      <c r="I1349" t="n">
        <v>0.5</v>
      </c>
      <c r="J1349" t="n">
        <v>0</v>
      </c>
      <c r="K1349" t="n">
        <v>0</v>
      </c>
      <c r="L1349" t="n">
        <v>0</v>
      </c>
      <c r="M1349" t="n">
        <v>0</v>
      </c>
      <c r="N1349" t="n">
        <v>0</v>
      </c>
      <c r="O1349" t="n">
        <v>0</v>
      </c>
      <c r="P1349" t="n">
        <v>0</v>
      </c>
      <c r="Q1349" t="n">
        <v>0</v>
      </c>
      <c r="R1349" t="n">
        <v>0</v>
      </c>
      <c r="S1349" t="n">
        <v>0</v>
      </c>
      <c r="T1349" t="n">
        <v>0</v>
      </c>
      <c r="U1349" t="n">
        <v>0</v>
      </c>
      <c r="V1349" s="2" t="inlineStr"/>
    </row>
    <row r="1350" ht="15" customHeight="1">
      <c r="A1350" t="inlineStr">
        <is>
          <t>A 44200-2022</t>
        </is>
      </c>
      <c r="B1350" t="inlineStr">
        <is>
          <t>avverkningsanmälan</t>
        </is>
      </c>
      <c r="C1350" t="inlineStr">
        <is>
          <t>Föryngringsavverkning</t>
        </is>
      </c>
      <c r="D1350" s="1" t="n">
        <v>44839</v>
      </c>
      <c r="E1350" s="1" t="n">
        <v>46323</v>
      </c>
      <c r="F1350" t="inlineStr">
        <is>
          <t>KALMAR LÄN</t>
        </is>
      </c>
      <c r="G1350" t="inlineStr">
        <is>
          <t>HULTSFRED</t>
        </is>
      </c>
      <c r="I1350" t="n">
        <v>1.4</v>
      </c>
      <c r="J1350" t="n">
        <v>0</v>
      </c>
      <c r="K1350" t="n">
        <v>0</v>
      </c>
      <c r="L1350" t="n">
        <v>0</v>
      </c>
      <c r="M1350" t="n">
        <v>0</v>
      </c>
      <c r="N1350" t="n">
        <v>0</v>
      </c>
      <c r="O1350" t="n">
        <v>0</v>
      </c>
      <c r="P1350" t="n">
        <v>0</v>
      </c>
      <c r="Q1350" t="n">
        <v>0</v>
      </c>
      <c r="R1350" t="n">
        <v>0</v>
      </c>
      <c r="S1350" t="n">
        <v>0</v>
      </c>
      <c r="T1350" t="n">
        <v>0</v>
      </c>
      <c r="U1350" t="n">
        <v>0</v>
      </c>
      <c r="V1350" s="2" t="inlineStr"/>
    </row>
    <row r="1351" ht="15" customHeight="1">
      <c r="A1351" t="inlineStr">
        <is>
          <t>A 71626-2021</t>
        </is>
      </c>
      <c r="B1351" t="inlineStr">
        <is>
          <t>avverkningsanmälan</t>
        </is>
      </c>
      <c r="C1351" t="inlineStr">
        <is>
          <t>Föryngringsavverkning</t>
        </is>
      </c>
      <c r="D1351" s="1" t="n">
        <v>44542</v>
      </c>
      <c r="E1351" s="1" t="n">
        <v>46323</v>
      </c>
      <c r="F1351" t="inlineStr">
        <is>
          <t>KALMAR LÄN</t>
        </is>
      </c>
      <c r="G1351" t="inlineStr">
        <is>
          <t>VIMMERBY</t>
        </is>
      </c>
      <c r="I1351" t="n">
        <v>1.1</v>
      </c>
      <c r="J1351" t="n">
        <v>0</v>
      </c>
      <c r="K1351" t="n">
        <v>0</v>
      </c>
      <c r="L1351" t="n">
        <v>0</v>
      </c>
      <c r="M1351" t="n">
        <v>0</v>
      </c>
      <c r="N1351" t="n">
        <v>0</v>
      </c>
      <c r="O1351" t="n">
        <v>0</v>
      </c>
      <c r="P1351" t="n">
        <v>0</v>
      </c>
      <c r="Q1351" t="n">
        <v>0</v>
      </c>
      <c r="R1351" t="n">
        <v>0</v>
      </c>
      <c r="S1351" t="n">
        <v>0</v>
      </c>
      <c r="T1351" t="n">
        <v>0</v>
      </c>
      <c r="U1351" t="n">
        <v>0</v>
      </c>
      <c r="V1351" s="2" t="inlineStr"/>
    </row>
    <row r="1352" ht="15" customHeight="1">
      <c r="A1352" t="inlineStr">
        <is>
          <t>A 48873-2022</t>
        </is>
      </c>
      <c r="B1352" t="inlineStr">
        <is>
          <t>avverkningsanmälan</t>
        </is>
      </c>
      <c r="C1352" t="inlineStr">
        <is>
          <t>Föryngringsavverkning</t>
        </is>
      </c>
      <c r="D1352" s="1" t="n">
        <v>44859</v>
      </c>
      <c r="E1352" s="1" t="n">
        <v>46323</v>
      </c>
      <c r="F1352" t="inlineStr">
        <is>
          <t>KALMAR LÄN</t>
        </is>
      </c>
      <c r="G1352" t="inlineStr">
        <is>
          <t>NYBRO</t>
        </is>
      </c>
      <c r="I1352" t="n">
        <v>2.7</v>
      </c>
      <c r="J1352" t="n">
        <v>0</v>
      </c>
      <c r="K1352" t="n">
        <v>0</v>
      </c>
      <c r="L1352" t="n">
        <v>0</v>
      </c>
      <c r="M1352" t="n">
        <v>0</v>
      </c>
      <c r="N1352" t="n">
        <v>0</v>
      </c>
      <c r="O1352" t="n">
        <v>0</v>
      </c>
      <c r="P1352" t="n">
        <v>0</v>
      </c>
      <c r="Q1352" t="n">
        <v>0</v>
      </c>
      <c r="R1352" t="n">
        <v>0</v>
      </c>
      <c r="S1352" t="n">
        <v>0</v>
      </c>
      <c r="T1352" t="n">
        <v>0</v>
      </c>
      <c r="U1352" t="n">
        <v>0</v>
      </c>
      <c r="V1352" s="2" t="inlineStr"/>
    </row>
    <row r="1353" ht="15" customHeight="1">
      <c r="A1353" t="inlineStr">
        <is>
          <t>A 14165-2022</t>
        </is>
      </c>
      <c r="B1353" t="inlineStr">
        <is>
          <t>avverkningsanmälan</t>
        </is>
      </c>
      <c r="C1353" t="inlineStr">
        <is>
          <t>Föryngringsavverkning</t>
        </is>
      </c>
      <c r="D1353" s="1" t="n">
        <v>44651</v>
      </c>
      <c r="E1353" s="1" t="n">
        <v>46323</v>
      </c>
      <c r="F1353" t="inlineStr">
        <is>
          <t>KALMAR LÄN</t>
        </is>
      </c>
      <c r="G1353" t="inlineStr">
        <is>
          <t>MÖNSTERÅS</t>
        </is>
      </c>
      <c r="I1353" t="n">
        <v>0.6</v>
      </c>
      <c r="J1353" t="n">
        <v>0</v>
      </c>
      <c r="K1353" t="n">
        <v>0</v>
      </c>
      <c r="L1353" t="n">
        <v>0</v>
      </c>
      <c r="M1353" t="n">
        <v>0</v>
      </c>
      <c r="N1353" t="n">
        <v>0</v>
      </c>
      <c r="O1353" t="n">
        <v>0</v>
      </c>
      <c r="P1353" t="n">
        <v>0</v>
      </c>
      <c r="Q1353" t="n">
        <v>0</v>
      </c>
      <c r="R1353" t="n">
        <v>0</v>
      </c>
      <c r="S1353" t="n">
        <v>0</v>
      </c>
      <c r="T1353" t="n">
        <v>0</v>
      </c>
      <c r="U1353" t="n">
        <v>0</v>
      </c>
      <c r="V1353" s="2" t="inlineStr"/>
    </row>
    <row r="1354" ht="15" customHeight="1">
      <c r="A1354" t="inlineStr">
        <is>
          <t>A 64923-2021</t>
        </is>
      </c>
      <c r="B1354" t="inlineStr">
        <is>
          <t>avverkningsanmälan</t>
        </is>
      </c>
      <c r="C1354" t="inlineStr">
        <is>
          <t>Föryngringsavverkning</t>
        </is>
      </c>
      <c r="D1354" s="1" t="n">
        <v>44512</v>
      </c>
      <c r="E1354" s="1" t="n">
        <v>46323</v>
      </c>
      <c r="F1354" t="inlineStr">
        <is>
          <t>KALMAR LÄN</t>
        </is>
      </c>
      <c r="G1354" t="inlineStr">
        <is>
          <t>VIMMERBY</t>
        </is>
      </c>
      <c r="I1354" t="n">
        <v>1</v>
      </c>
      <c r="J1354" t="n">
        <v>0</v>
      </c>
      <c r="K1354" t="n">
        <v>0</v>
      </c>
      <c r="L1354" t="n">
        <v>0</v>
      </c>
      <c r="M1354" t="n">
        <v>0</v>
      </c>
      <c r="N1354" t="n">
        <v>0</v>
      </c>
      <c r="O1354" t="n">
        <v>0</v>
      </c>
      <c r="P1354" t="n">
        <v>0</v>
      </c>
      <c r="Q1354" t="n">
        <v>0</v>
      </c>
      <c r="R1354" t="n">
        <v>0</v>
      </c>
      <c r="S1354" t="n">
        <v>0</v>
      </c>
      <c r="T1354" t="n">
        <v>0</v>
      </c>
      <c r="U1354" t="n">
        <v>0</v>
      </c>
      <c r="V1354" s="2" t="inlineStr"/>
    </row>
    <row r="1355" ht="15" customHeight="1">
      <c r="A1355" t="inlineStr">
        <is>
          <t>A 8667-2022</t>
        </is>
      </c>
      <c r="B1355" t="inlineStr">
        <is>
          <t>avverkningsanmälan</t>
        </is>
      </c>
      <c r="C1355" t="inlineStr">
        <is>
          <t>Föryngringsavverkning</t>
        </is>
      </c>
      <c r="D1355" s="1" t="n">
        <v>44613</v>
      </c>
      <c r="E1355" s="1" t="n">
        <v>46323</v>
      </c>
      <c r="F1355" t="inlineStr">
        <is>
          <t>KALMAR LÄN</t>
        </is>
      </c>
      <c r="G1355" t="inlineStr">
        <is>
          <t>OSKARSHAMN</t>
        </is>
      </c>
      <c r="I1355" t="n">
        <v>4.2</v>
      </c>
      <c r="J1355" t="n">
        <v>0</v>
      </c>
      <c r="K1355" t="n">
        <v>0</v>
      </c>
      <c r="L1355" t="n">
        <v>0</v>
      </c>
      <c r="M1355" t="n">
        <v>0</v>
      </c>
      <c r="N1355" t="n">
        <v>0</v>
      </c>
      <c r="O1355" t="n">
        <v>0</v>
      </c>
      <c r="P1355" t="n">
        <v>0</v>
      </c>
      <c r="Q1355" t="n">
        <v>0</v>
      </c>
      <c r="R1355" t="n">
        <v>0</v>
      </c>
      <c r="S1355" t="n">
        <v>0</v>
      </c>
      <c r="T1355" t="n">
        <v>0</v>
      </c>
      <c r="U1355" t="n">
        <v>0</v>
      </c>
      <c r="V1355" s="2" t="inlineStr"/>
    </row>
    <row r="1356" ht="15" customHeight="1">
      <c r="A1356" t="inlineStr">
        <is>
          <t>A 67721-2021</t>
        </is>
      </c>
      <c r="B1356" t="inlineStr">
        <is>
          <t>avverkningsanmälan</t>
        </is>
      </c>
      <c r="C1356" t="inlineStr">
        <is>
          <t>Föryngringsavverkning</t>
        </is>
      </c>
      <c r="D1356" s="1" t="n">
        <v>44525</v>
      </c>
      <c r="E1356" s="1" t="n">
        <v>46323</v>
      </c>
      <c r="F1356" t="inlineStr">
        <is>
          <t>KALMAR LÄN</t>
        </is>
      </c>
      <c r="G1356" t="inlineStr">
        <is>
          <t>KALMAR</t>
        </is>
      </c>
      <c r="I1356" t="n">
        <v>1.8</v>
      </c>
      <c r="J1356" t="n">
        <v>0</v>
      </c>
      <c r="K1356" t="n">
        <v>0</v>
      </c>
      <c r="L1356" t="n">
        <v>0</v>
      </c>
      <c r="M1356" t="n">
        <v>0</v>
      </c>
      <c r="N1356" t="n">
        <v>0</v>
      </c>
      <c r="O1356" t="n">
        <v>0</v>
      </c>
      <c r="P1356" t="n">
        <v>0</v>
      </c>
      <c r="Q1356" t="n">
        <v>0</v>
      </c>
      <c r="R1356" t="n">
        <v>0</v>
      </c>
      <c r="S1356" t="n">
        <v>0</v>
      </c>
      <c r="T1356" t="n">
        <v>0</v>
      </c>
      <c r="U1356" t="n">
        <v>0</v>
      </c>
      <c r="V1356" s="2" t="inlineStr"/>
    </row>
    <row r="1357" ht="15" customHeight="1">
      <c r="A1357" t="inlineStr">
        <is>
          <t>A 16813-2022</t>
        </is>
      </c>
      <c r="B1357" t="inlineStr">
        <is>
          <t>avverkningsanmälan</t>
        </is>
      </c>
      <c r="C1357" t="inlineStr">
        <is>
          <t>Föryngringsavverkning</t>
        </is>
      </c>
      <c r="D1357" s="1" t="n">
        <v>44673</v>
      </c>
      <c r="E1357" s="1" t="n">
        <v>46323</v>
      </c>
      <c r="F1357" t="inlineStr">
        <is>
          <t>KALMAR LÄN</t>
        </is>
      </c>
      <c r="G1357" t="inlineStr">
        <is>
          <t>HULTSFRED</t>
        </is>
      </c>
      <c r="I1357" t="n">
        <v>1.8</v>
      </c>
      <c r="J1357" t="n">
        <v>0</v>
      </c>
      <c r="K1357" t="n">
        <v>0</v>
      </c>
      <c r="L1357" t="n">
        <v>0</v>
      </c>
      <c r="M1357" t="n">
        <v>0</v>
      </c>
      <c r="N1357" t="n">
        <v>0</v>
      </c>
      <c r="O1357" t="n">
        <v>0</v>
      </c>
      <c r="P1357" t="n">
        <v>0</v>
      </c>
      <c r="Q1357" t="n">
        <v>0</v>
      </c>
      <c r="R1357" t="n">
        <v>0</v>
      </c>
      <c r="S1357" t="n">
        <v>0</v>
      </c>
      <c r="T1357" t="n">
        <v>0</v>
      </c>
      <c r="U1357" t="n">
        <v>0</v>
      </c>
      <c r="V1357" s="2" t="inlineStr"/>
    </row>
    <row r="1358" ht="15" customHeight="1">
      <c r="A1358" t="inlineStr">
        <is>
          <t>A 32665-2022</t>
        </is>
      </c>
      <c r="B1358" t="inlineStr">
        <is>
          <t>avverkningsanmälan</t>
        </is>
      </c>
      <c r="C1358" t="inlineStr">
        <is>
          <t>Avverkning för att bevara och utveckla /försöksver</t>
        </is>
      </c>
      <c r="D1358" s="1" t="n">
        <v>44783</v>
      </c>
      <c r="E1358" s="1" t="n">
        <v>46323</v>
      </c>
      <c r="F1358" t="inlineStr">
        <is>
          <t>KALMAR LÄN</t>
        </is>
      </c>
      <c r="G1358" t="inlineStr">
        <is>
          <t>BORGHOLM</t>
        </is>
      </c>
      <c r="H1358" t="inlineStr">
        <is>
          <t>Sveaskog</t>
        </is>
      </c>
      <c r="I1358" t="n">
        <v>4.2</v>
      </c>
      <c r="J1358" t="n">
        <v>0</v>
      </c>
      <c r="K1358" t="n">
        <v>0</v>
      </c>
      <c r="L1358" t="n">
        <v>0</v>
      </c>
      <c r="M1358" t="n">
        <v>0</v>
      </c>
      <c r="N1358" t="n">
        <v>0</v>
      </c>
      <c r="O1358" t="n">
        <v>0</v>
      </c>
      <c r="P1358" t="n">
        <v>0</v>
      </c>
      <c r="Q1358" t="n">
        <v>0</v>
      </c>
      <c r="R1358" t="n">
        <v>0</v>
      </c>
      <c r="S1358" t="n">
        <v>0</v>
      </c>
      <c r="T1358" t="n">
        <v>0</v>
      </c>
      <c r="U1358" t="n">
        <v>0</v>
      </c>
      <c r="V1358" s="2" t="inlineStr"/>
    </row>
    <row r="1359" ht="15" customHeight="1">
      <c r="A1359" t="inlineStr">
        <is>
          <t>A 4646-2022</t>
        </is>
      </c>
      <c r="B1359" t="inlineStr">
        <is>
          <t>avverkningsanmälan</t>
        </is>
      </c>
      <c r="C1359" t="inlineStr">
        <is>
          <t>Föryngringsavverkning</t>
        </is>
      </c>
      <c r="D1359" s="1" t="n">
        <v>44592</v>
      </c>
      <c r="E1359" s="1" t="n">
        <v>46323</v>
      </c>
      <c r="F1359" t="inlineStr">
        <is>
          <t>KALMAR LÄN</t>
        </is>
      </c>
      <c r="G1359" t="inlineStr">
        <is>
          <t>TORSÅS</t>
        </is>
      </c>
      <c r="I1359" t="n">
        <v>0.5</v>
      </c>
      <c r="J1359" t="n">
        <v>0</v>
      </c>
      <c r="K1359" t="n">
        <v>0</v>
      </c>
      <c r="L1359" t="n">
        <v>0</v>
      </c>
      <c r="M1359" t="n">
        <v>0</v>
      </c>
      <c r="N1359" t="n">
        <v>0</v>
      </c>
      <c r="O1359" t="n">
        <v>0</v>
      </c>
      <c r="P1359" t="n">
        <v>0</v>
      </c>
      <c r="Q1359" t="n">
        <v>0</v>
      </c>
      <c r="R1359" t="n">
        <v>0</v>
      </c>
      <c r="S1359" t="n">
        <v>0</v>
      </c>
      <c r="T1359" t="n">
        <v>0</v>
      </c>
      <c r="U1359" t="n">
        <v>0</v>
      </c>
      <c r="V1359" s="2" t="inlineStr"/>
    </row>
    <row r="1360" ht="15" customHeight="1">
      <c r="A1360" t="inlineStr">
        <is>
          <t>A 20566-2022</t>
        </is>
      </c>
      <c r="B1360" t="inlineStr">
        <is>
          <t>avverkningsanmälan</t>
        </is>
      </c>
      <c r="C1360" t="inlineStr">
        <is>
          <t>Föryngringsavverkning</t>
        </is>
      </c>
      <c r="D1360" s="1" t="n">
        <v>44700</v>
      </c>
      <c r="E1360" s="1" t="n">
        <v>46323</v>
      </c>
      <c r="F1360" t="inlineStr">
        <is>
          <t>KALMAR LÄN</t>
        </is>
      </c>
      <c r="G1360" t="inlineStr">
        <is>
          <t>HULTSFRED</t>
        </is>
      </c>
      <c r="H1360" t="inlineStr">
        <is>
          <t>Sveaskog</t>
        </is>
      </c>
      <c r="I1360" t="n">
        <v>1.4</v>
      </c>
      <c r="J1360" t="n">
        <v>0</v>
      </c>
      <c r="K1360" t="n">
        <v>0</v>
      </c>
      <c r="L1360" t="n">
        <v>0</v>
      </c>
      <c r="M1360" t="n">
        <v>0</v>
      </c>
      <c r="N1360" t="n">
        <v>0</v>
      </c>
      <c r="O1360" t="n">
        <v>0</v>
      </c>
      <c r="P1360" t="n">
        <v>0</v>
      </c>
      <c r="Q1360" t="n">
        <v>0</v>
      </c>
      <c r="R1360" t="n">
        <v>0</v>
      </c>
      <c r="S1360" t="n">
        <v>0</v>
      </c>
      <c r="T1360" t="n">
        <v>0</v>
      </c>
      <c r="U1360" t="n">
        <v>0</v>
      </c>
      <c r="V1360" s="2" t="inlineStr"/>
    </row>
    <row r="1361" ht="15" customHeight="1">
      <c r="A1361" t="inlineStr">
        <is>
          <t>A 21337-2022</t>
        </is>
      </c>
      <c r="B1361" t="inlineStr">
        <is>
          <t>avverkningsanmälan</t>
        </is>
      </c>
      <c r="C1361" t="inlineStr">
        <is>
          <t>Föryngringsavverkning</t>
        </is>
      </c>
      <c r="D1361" s="1" t="n">
        <v>44705</v>
      </c>
      <c r="E1361" s="1" t="n">
        <v>46323</v>
      </c>
      <c r="F1361" t="inlineStr">
        <is>
          <t>KALMAR LÄN</t>
        </is>
      </c>
      <c r="G1361" t="inlineStr">
        <is>
          <t>HULTSFRED</t>
        </is>
      </c>
      <c r="I1361" t="n">
        <v>0.4</v>
      </c>
      <c r="J1361" t="n">
        <v>0</v>
      </c>
      <c r="K1361" t="n">
        <v>0</v>
      </c>
      <c r="L1361" t="n">
        <v>0</v>
      </c>
      <c r="M1361" t="n">
        <v>0</v>
      </c>
      <c r="N1361" t="n">
        <v>0</v>
      </c>
      <c r="O1361" t="n">
        <v>0</v>
      </c>
      <c r="P1361" t="n">
        <v>0</v>
      </c>
      <c r="Q1361" t="n">
        <v>0</v>
      </c>
      <c r="R1361" t="n">
        <v>0</v>
      </c>
      <c r="S1361" t="n">
        <v>0</v>
      </c>
      <c r="T1361" t="n">
        <v>0</v>
      </c>
      <c r="U1361" t="n">
        <v>0</v>
      </c>
      <c r="V1361" s="2" t="inlineStr"/>
    </row>
    <row r="1362" ht="15" customHeight="1">
      <c r="A1362" t="inlineStr">
        <is>
          <t>A 13518-2022</t>
        </is>
      </c>
      <c r="B1362" t="inlineStr">
        <is>
          <t>avverkningsanmälan</t>
        </is>
      </c>
      <c r="C1362" t="inlineStr">
        <is>
          <t>Föryngringsavverkning</t>
        </is>
      </c>
      <c r="D1362" s="1" t="n">
        <v>44648</v>
      </c>
      <c r="E1362" s="1" t="n">
        <v>46323</v>
      </c>
      <c r="F1362" t="inlineStr">
        <is>
          <t>KALMAR LÄN</t>
        </is>
      </c>
      <c r="G1362" t="inlineStr">
        <is>
          <t>EMMABODA</t>
        </is>
      </c>
      <c r="I1362" t="n">
        <v>0.7</v>
      </c>
      <c r="J1362" t="n">
        <v>0</v>
      </c>
      <c r="K1362" t="n">
        <v>0</v>
      </c>
      <c r="L1362" t="n">
        <v>0</v>
      </c>
      <c r="M1362" t="n">
        <v>0</v>
      </c>
      <c r="N1362" t="n">
        <v>0</v>
      </c>
      <c r="O1362" t="n">
        <v>0</v>
      </c>
      <c r="P1362" t="n">
        <v>0</v>
      </c>
      <c r="Q1362" t="n">
        <v>0</v>
      </c>
      <c r="R1362" t="n">
        <v>0</v>
      </c>
      <c r="S1362" t="n">
        <v>0</v>
      </c>
      <c r="T1362" t="n">
        <v>0</v>
      </c>
      <c r="U1362" t="n">
        <v>0</v>
      </c>
      <c r="V1362" s="2" t="inlineStr"/>
    </row>
    <row r="1363" ht="15" customHeight="1">
      <c r="A1363" t="inlineStr">
        <is>
          <t>A 67184-2021</t>
        </is>
      </c>
      <c r="B1363" t="inlineStr">
        <is>
          <t>avverkningsanmälan</t>
        </is>
      </c>
      <c r="C1363" t="inlineStr">
        <is>
          <t>Föryngringsavverkning</t>
        </is>
      </c>
      <c r="D1363" s="1" t="n">
        <v>44523</v>
      </c>
      <c r="E1363" s="1" t="n">
        <v>46323</v>
      </c>
      <c r="F1363" t="inlineStr">
        <is>
          <t>KALMAR LÄN</t>
        </is>
      </c>
      <c r="G1363" t="inlineStr">
        <is>
          <t>EMMABODA</t>
        </is>
      </c>
      <c r="I1363" t="n">
        <v>1.6</v>
      </c>
      <c r="J1363" t="n">
        <v>0</v>
      </c>
      <c r="K1363" t="n">
        <v>0</v>
      </c>
      <c r="L1363" t="n">
        <v>0</v>
      </c>
      <c r="M1363" t="n">
        <v>0</v>
      </c>
      <c r="N1363" t="n">
        <v>0</v>
      </c>
      <c r="O1363" t="n">
        <v>0</v>
      </c>
      <c r="P1363" t="n">
        <v>0</v>
      </c>
      <c r="Q1363" t="n">
        <v>0</v>
      </c>
      <c r="R1363" t="n">
        <v>0</v>
      </c>
      <c r="S1363" t="n">
        <v>0</v>
      </c>
      <c r="T1363" t="n">
        <v>0</v>
      </c>
      <c r="U1363" t="n">
        <v>0</v>
      </c>
      <c r="V1363" s="2" t="inlineStr"/>
    </row>
    <row r="1364" ht="15" customHeight="1">
      <c r="A1364" t="inlineStr">
        <is>
          <t>A 33829-2022</t>
        </is>
      </c>
      <c r="B1364" t="inlineStr">
        <is>
          <t>avverkningsanmälan</t>
        </is>
      </c>
      <c r="C1364" t="inlineStr">
        <is>
          <t>Föryngringsavverkning</t>
        </is>
      </c>
      <c r="D1364" s="1" t="n">
        <v>44790</v>
      </c>
      <c r="E1364" s="1" t="n">
        <v>46323</v>
      </c>
      <c r="F1364" t="inlineStr">
        <is>
          <t>KALMAR LÄN</t>
        </is>
      </c>
      <c r="G1364" t="inlineStr">
        <is>
          <t>VIMMERBY</t>
        </is>
      </c>
      <c r="I1364" t="n">
        <v>1.6</v>
      </c>
      <c r="J1364" t="n">
        <v>0</v>
      </c>
      <c r="K1364" t="n">
        <v>0</v>
      </c>
      <c r="L1364" t="n">
        <v>0</v>
      </c>
      <c r="M1364" t="n">
        <v>0</v>
      </c>
      <c r="N1364" t="n">
        <v>0</v>
      </c>
      <c r="O1364" t="n">
        <v>0</v>
      </c>
      <c r="P1364" t="n">
        <v>0</v>
      </c>
      <c r="Q1364" t="n">
        <v>0</v>
      </c>
      <c r="R1364" t="n">
        <v>0</v>
      </c>
      <c r="S1364" t="n">
        <v>0</v>
      </c>
      <c r="T1364" t="n">
        <v>0</v>
      </c>
      <c r="U1364" t="n">
        <v>0</v>
      </c>
      <c r="V1364" s="2" t="inlineStr"/>
    </row>
    <row r="1365" ht="15" customHeight="1">
      <c r="A1365" t="inlineStr">
        <is>
          <t>A 33830-2022</t>
        </is>
      </c>
      <c r="B1365" t="inlineStr">
        <is>
          <t>avverkningsanmälan</t>
        </is>
      </c>
      <c r="C1365" t="inlineStr">
        <is>
          <t>Föryngringsavverkning</t>
        </is>
      </c>
      <c r="D1365" s="1" t="n">
        <v>44790</v>
      </c>
      <c r="E1365" s="1" t="n">
        <v>46323</v>
      </c>
      <c r="F1365" t="inlineStr">
        <is>
          <t>KALMAR LÄN</t>
        </is>
      </c>
      <c r="G1365" t="inlineStr">
        <is>
          <t>KALMAR</t>
        </is>
      </c>
      <c r="I1365" t="n">
        <v>0.8</v>
      </c>
      <c r="J1365" t="n">
        <v>0</v>
      </c>
      <c r="K1365" t="n">
        <v>0</v>
      </c>
      <c r="L1365" t="n">
        <v>0</v>
      </c>
      <c r="M1365" t="n">
        <v>0</v>
      </c>
      <c r="N1365" t="n">
        <v>0</v>
      </c>
      <c r="O1365" t="n">
        <v>0</v>
      </c>
      <c r="P1365" t="n">
        <v>0</v>
      </c>
      <c r="Q1365" t="n">
        <v>0</v>
      </c>
      <c r="R1365" t="n">
        <v>0</v>
      </c>
      <c r="S1365" t="n">
        <v>0</v>
      </c>
      <c r="T1365" t="n">
        <v>0</v>
      </c>
      <c r="U1365" t="n">
        <v>0</v>
      </c>
      <c r="V1365" s="2" t="inlineStr"/>
    </row>
    <row r="1366" ht="15" customHeight="1">
      <c r="A1366" t="inlineStr">
        <is>
          <t>A 11566-2022</t>
        </is>
      </c>
      <c r="B1366" t="inlineStr">
        <is>
          <t>avverkningsanmälan</t>
        </is>
      </c>
      <c r="C1366" t="inlineStr">
        <is>
          <t>Föryngringsavverkning</t>
        </is>
      </c>
      <c r="D1366" s="1" t="n">
        <v>44631</v>
      </c>
      <c r="E1366" s="1" t="n">
        <v>46323</v>
      </c>
      <c r="F1366" t="inlineStr">
        <is>
          <t>KALMAR LÄN</t>
        </is>
      </c>
      <c r="G1366" t="inlineStr">
        <is>
          <t>HULTSFRED</t>
        </is>
      </c>
      <c r="I1366" t="n">
        <v>0.7</v>
      </c>
      <c r="J1366" t="n">
        <v>0</v>
      </c>
      <c r="K1366" t="n">
        <v>0</v>
      </c>
      <c r="L1366" t="n">
        <v>0</v>
      </c>
      <c r="M1366" t="n">
        <v>0</v>
      </c>
      <c r="N1366" t="n">
        <v>0</v>
      </c>
      <c r="O1366" t="n">
        <v>0</v>
      </c>
      <c r="P1366" t="n">
        <v>0</v>
      </c>
      <c r="Q1366" t="n">
        <v>0</v>
      </c>
      <c r="R1366" t="n">
        <v>0</v>
      </c>
      <c r="S1366" t="n">
        <v>0</v>
      </c>
      <c r="T1366" t="n">
        <v>0</v>
      </c>
      <c r="U1366" t="n">
        <v>0</v>
      </c>
      <c r="V1366" s="2" t="inlineStr"/>
    </row>
    <row r="1367" ht="15" customHeight="1">
      <c r="A1367" t="inlineStr">
        <is>
          <t>A 50470-2022</t>
        </is>
      </c>
      <c r="B1367" t="inlineStr">
        <is>
          <t>avverkningsanmälan</t>
        </is>
      </c>
      <c r="C1367" t="inlineStr">
        <is>
          <t>Föryngringsavverkning</t>
        </is>
      </c>
      <c r="D1367" s="1" t="n">
        <v>44861</v>
      </c>
      <c r="E1367" s="1" t="n">
        <v>46323</v>
      </c>
      <c r="F1367" t="inlineStr">
        <is>
          <t>KALMAR LÄN</t>
        </is>
      </c>
      <c r="G1367" t="inlineStr">
        <is>
          <t>NYBRO</t>
        </is>
      </c>
      <c r="H1367" t="inlineStr">
        <is>
          <t>Kyrkan</t>
        </is>
      </c>
      <c r="I1367" t="n">
        <v>0.8</v>
      </c>
      <c r="J1367" t="n">
        <v>0</v>
      </c>
      <c r="K1367" t="n">
        <v>0</v>
      </c>
      <c r="L1367" t="n">
        <v>0</v>
      </c>
      <c r="M1367" t="n">
        <v>0</v>
      </c>
      <c r="N1367" t="n">
        <v>0</v>
      </c>
      <c r="O1367" t="n">
        <v>0</v>
      </c>
      <c r="P1367" t="n">
        <v>0</v>
      </c>
      <c r="Q1367" t="n">
        <v>0</v>
      </c>
      <c r="R1367" t="n">
        <v>0</v>
      </c>
      <c r="S1367" t="n">
        <v>0</v>
      </c>
      <c r="T1367" t="n">
        <v>0</v>
      </c>
      <c r="U1367" t="n">
        <v>0</v>
      </c>
      <c r="V1367" s="2" t="inlineStr"/>
    </row>
    <row r="1368" ht="15" customHeight="1">
      <c r="A1368" t="inlineStr">
        <is>
          <t>A 40364-2022</t>
        </is>
      </c>
      <c r="B1368" t="inlineStr">
        <is>
          <t>avverkningsanmälan</t>
        </is>
      </c>
      <c r="C1368" t="inlineStr">
        <is>
          <t>Föryngringsavverkning</t>
        </is>
      </c>
      <c r="D1368" s="1" t="n">
        <v>44823</v>
      </c>
      <c r="E1368" s="1" t="n">
        <v>46323</v>
      </c>
      <c r="F1368" t="inlineStr">
        <is>
          <t>KALMAR LÄN</t>
        </is>
      </c>
      <c r="G1368" t="inlineStr">
        <is>
          <t>KALMAR</t>
        </is>
      </c>
      <c r="I1368" t="n">
        <v>0.5</v>
      </c>
      <c r="J1368" t="n">
        <v>0</v>
      </c>
      <c r="K1368" t="n">
        <v>0</v>
      </c>
      <c r="L1368" t="n">
        <v>0</v>
      </c>
      <c r="M1368" t="n">
        <v>0</v>
      </c>
      <c r="N1368" t="n">
        <v>0</v>
      </c>
      <c r="O1368" t="n">
        <v>0</v>
      </c>
      <c r="P1368" t="n">
        <v>0</v>
      </c>
      <c r="Q1368" t="n">
        <v>0</v>
      </c>
      <c r="R1368" t="n">
        <v>0</v>
      </c>
      <c r="S1368" t="n">
        <v>0</v>
      </c>
      <c r="T1368" t="n">
        <v>0</v>
      </c>
      <c r="U1368" t="n">
        <v>0</v>
      </c>
      <c r="V1368" s="2" t="inlineStr"/>
    </row>
    <row r="1369" ht="15" customHeight="1">
      <c r="A1369" t="inlineStr">
        <is>
          <t>A 68840-2021</t>
        </is>
      </c>
      <c r="B1369" t="inlineStr">
        <is>
          <t>avverkningsanmälan</t>
        </is>
      </c>
      <c r="C1369" t="inlineStr">
        <is>
          <t>Föryngringsavverkning</t>
        </is>
      </c>
      <c r="D1369" s="1" t="n">
        <v>44530</v>
      </c>
      <c r="E1369" s="1" t="n">
        <v>46323</v>
      </c>
      <c r="F1369" t="inlineStr">
        <is>
          <t>KALMAR LÄN</t>
        </is>
      </c>
      <c r="G1369" t="inlineStr">
        <is>
          <t>VIMMERBY</t>
        </is>
      </c>
      <c r="I1369" t="n">
        <v>1.4</v>
      </c>
      <c r="J1369" t="n">
        <v>0</v>
      </c>
      <c r="K1369" t="n">
        <v>0</v>
      </c>
      <c r="L1369" t="n">
        <v>0</v>
      </c>
      <c r="M1369" t="n">
        <v>0</v>
      </c>
      <c r="N1369" t="n">
        <v>0</v>
      </c>
      <c r="O1369" t="n">
        <v>0</v>
      </c>
      <c r="P1369" t="n">
        <v>0</v>
      </c>
      <c r="Q1369" t="n">
        <v>0</v>
      </c>
      <c r="R1369" t="n">
        <v>0</v>
      </c>
      <c r="S1369" t="n">
        <v>0</v>
      </c>
      <c r="T1369" t="n">
        <v>0</v>
      </c>
      <c r="U1369" t="n">
        <v>0</v>
      </c>
      <c r="V1369" s="2" t="inlineStr"/>
    </row>
    <row r="1370" ht="15" customHeight="1">
      <c r="A1370" t="inlineStr">
        <is>
          <t>A 68873-2021</t>
        </is>
      </c>
      <c r="B1370" t="inlineStr">
        <is>
          <t>avverkningsanmälan</t>
        </is>
      </c>
      <c r="C1370" t="inlineStr">
        <is>
          <t>Föryngringsavverkning</t>
        </is>
      </c>
      <c r="D1370" s="1" t="n">
        <v>44530</v>
      </c>
      <c r="E1370" s="1" t="n">
        <v>46323</v>
      </c>
      <c r="F1370" t="inlineStr">
        <is>
          <t>KALMAR LÄN</t>
        </is>
      </c>
      <c r="G1370" t="inlineStr">
        <is>
          <t>TORSÅS</t>
        </is>
      </c>
      <c r="I1370" t="n">
        <v>4.7</v>
      </c>
      <c r="J1370" t="n">
        <v>0</v>
      </c>
      <c r="K1370" t="n">
        <v>0</v>
      </c>
      <c r="L1370" t="n">
        <v>0</v>
      </c>
      <c r="M1370" t="n">
        <v>0</v>
      </c>
      <c r="N1370" t="n">
        <v>0</v>
      </c>
      <c r="O1370" t="n">
        <v>0</v>
      </c>
      <c r="P1370" t="n">
        <v>0</v>
      </c>
      <c r="Q1370" t="n">
        <v>0</v>
      </c>
      <c r="R1370" t="n">
        <v>0</v>
      </c>
      <c r="S1370" t="n">
        <v>0</v>
      </c>
      <c r="T1370" t="n">
        <v>0</v>
      </c>
      <c r="U1370" t="n">
        <v>0</v>
      </c>
      <c r="V1370" s="2" t="inlineStr"/>
    </row>
    <row r="1371" ht="15" customHeight="1">
      <c r="A1371" t="inlineStr">
        <is>
          <t>A 50533-2022</t>
        </is>
      </c>
      <c r="B1371" t="inlineStr">
        <is>
          <t>avverkningsanmälan</t>
        </is>
      </c>
      <c r="C1371" t="inlineStr">
        <is>
          <t>Föryngringsavverkning</t>
        </is>
      </c>
      <c r="D1371" s="1" t="n">
        <v>44866</v>
      </c>
      <c r="E1371" s="1" t="n">
        <v>46323</v>
      </c>
      <c r="F1371" t="inlineStr">
        <is>
          <t>KALMAR LÄN</t>
        </is>
      </c>
      <c r="G1371" t="inlineStr">
        <is>
          <t>OSKARSHAMN</t>
        </is>
      </c>
      <c r="I1371" t="n">
        <v>1.8</v>
      </c>
      <c r="J1371" t="n">
        <v>0</v>
      </c>
      <c r="K1371" t="n">
        <v>0</v>
      </c>
      <c r="L1371" t="n">
        <v>0</v>
      </c>
      <c r="M1371" t="n">
        <v>0</v>
      </c>
      <c r="N1371" t="n">
        <v>0</v>
      </c>
      <c r="O1371" t="n">
        <v>0</v>
      </c>
      <c r="P1371" t="n">
        <v>0</v>
      </c>
      <c r="Q1371" t="n">
        <v>0</v>
      </c>
      <c r="R1371" t="n">
        <v>0</v>
      </c>
      <c r="S1371" t="n">
        <v>0</v>
      </c>
      <c r="T1371" t="n">
        <v>0</v>
      </c>
      <c r="U1371" t="n">
        <v>0</v>
      </c>
      <c r="V1371" s="2" t="inlineStr"/>
    </row>
    <row r="1372" ht="15" customHeight="1">
      <c r="A1372" t="inlineStr">
        <is>
          <t>A 18825-2022</t>
        </is>
      </c>
      <c r="B1372" t="inlineStr">
        <is>
          <t>avverkningsanmälan</t>
        </is>
      </c>
      <c r="C1372" t="inlineStr">
        <is>
          <t>Föryngringsavverkning</t>
        </is>
      </c>
      <c r="D1372" s="1" t="n">
        <v>44690</v>
      </c>
      <c r="E1372" s="1" t="n">
        <v>46323</v>
      </c>
      <c r="F1372" t="inlineStr">
        <is>
          <t>KALMAR LÄN</t>
        </is>
      </c>
      <c r="G1372" t="inlineStr">
        <is>
          <t>MÖNSTERÅS</t>
        </is>
      </c>
      <c r="I1372" t="n">
        <v>1.6</v>
      </c>
      <c r="J1372" t="n">
        <v>0</v>
      </c>
      <c r="K1372" t="n">
        <v>0</v>
      </c>
      <c r="L1372" t="n">
        <v>0</v>
      </c>
      <c r="M1372" t="n">
        <v>0</v>
      </c>
      <c r="N1372" t="n">
        <v>0</v>
      </c>
      <c r="O1372" t="n">
        <v>0</v>
      </c>
      <c r="P1372" t="n">
        <v>0</v>
      </c>
      <c r="Q1372" t="n">
        <v>0</v>
      </c>
      <c r="R1372" t="n">
        <v>0</v>
      </c>
      <c r="S1372" t="n">
        <v>0</v>
      </c>
      <c r="T1372" t="n">
        <v>0</v>
      </c>
      <c r="U1372" t="n">
        <v>0</v>
      </c>
      <c r="V1372" s="2" t="inlineStr"/>
    </row>
    <row r="1373" ht="15" customHeight="1">
      <c r="A1373" t="inlineStr">
        <is>
          <t>A 69410-2021</t>
        </is>
      </c>
      <c r="B1373" t="inlineStr">
        <is>
          <t>avverkningsanmälan</t>
        </is>
      </c>
      <c r="C1373" t="inlineStr">
        <is>
          <t>Föryngringsavverkning</t>
        </is>
      </c>
      <c r="D1373" s="1" t="n">
        <v>44531</v>
      </c>
      <c r="E1373" s="1" t="n">
        <v>46323</v>
      </c>
      <c r="F1373" t="inlineStr">
        <is>
          <t>KALMAR LÄN</t>
        </is>
      </c>
      <c r="G1373" t="inlineStr">
        <is>
          <t>KALMAR</t>
        </is>
      </c>
      <c r="I1373" t="n">
        <v>1.6</v>
      </c>
      <c r="J1373" t="n">
        <v>0</v>
      </c>
      <c r="K1373" t="n">
        <v>0</v>
      </c>
      <c r="L1373" t="n">
        <v>0</v>
      </c>
      <c r="M1373" t="n">
        <v>0</v>
      </c>
      <c r="N1373" t="n">
        <v>0</v>
      </c>
      <c r="O1373" t="n">
        <v>0</v>
      </c>
      <c r="P1373" t="n">
        <v>0</v>
      </c>
      <c r="Q1373" t="n">
        <v>0</v>
      </c>
      <c r="R1373" t="n">
        <v>0</v>
      </c>
      <c r="S1373" t="n">
        <v>0</v>
      </c>
      <c r="T1373" t="n">
        <v>0</v>
      </c>
      <c r="U1373" t="n">
        <v>0</v>
      </c>
      <c r="V1373" s="2" t="inlineStr"/>
    </row>
    <row r="1374" ht="15" customHeight="1">
      <c r="A1374" t="inlineStr">
        <is>
          <t>A 65320-2021</t>
        </is>
      </c>
      <c r="B1374" t="inlineStr">
        <is>
          <t>avverkningsanmälan</t>
        </is>
      </c>
      <c r="C1374" t="inlineStr">
        <is>
          <t>Föryngringsavverkning</t>
        </is>
      </c>
      <c r="D1374" s="1" t="n">
        <v>44515</v>
      </c>
      <c r="E1374" s="1" t="n">
        <v>46323</v>
      </c>
      <c r="F1374" t="inlineStr">
        <is>
          <t>KALMAR LÄN</t>
        </is>
      </c>
      <c r="G1374" t="inlineStr">
        <is>
          <t>OSKARSHAMN</t>
        </is>
      </c>
      <c r="I1374" t="n">
        <v>0.5</v>
      </c>
      <c r="J1374" t="n">
        <v>0</v>
      </c>
      <c r="K1374" t="n">
        <v>0</v>
      </c>
      <c r="L1374" t="n">
        <v>0</v>
      </c>
      <c r="M1374" t="n">
        <v>0</v>
      </c>
      <c r="N1374" t="n">
        <v>0</v>
      </c>
      <c r="O1374" t="n">
        <v>0</v>
      </c>
      <c r="P1374" t="n">
        <v>0</v>
      </c>
      <c r="Q1374" t="n">
        <v>0</v>
      </c>
      <c r="R1374" t="n">
        <v>0</v>
      </c>
      <c r="S1374" t="n">
        <v>0</v>
      </c>
      <c r="T1374" t="n">
        <v>0</v>
      </c>
      <c r="U1374" t="n">
        <v>0</v>
      </c>
      <c r="V1374" s="2" t="inlineStr"/>
    </row>
    <row r="1375" ht="15" customHeight="1">
      <c r="A1375" t="inlineStr">
        <is>
          <t>A 10117-2022</t>
        </is>
      </c>
      <c r="B1375" t="inlineStr">
        <is>
          <t>avverkningsanmälan</t>
        </is>
      </c>
      <c r="C1375" t="inlineStr">
        <is>
          <t>Föryngringsavverkning</t>
        </is>
      </c>
      <c r="D1375" s="1" t="n">
        <v>44621</v>
      </c>
      <c r="E1375" s="1" t="n">
        <v>46323</v>
      </c>
      <c r="F1375" t="inlineStr">
        <is>
          <t>KALMAR LÄN</t>
        </is>
      </c>
      <c r="G1375" t="inlineStr">
        <is>
          <t>VÄSTERVIK</t>
        </is>
      </c>
      <c r="I1375" t="n">
        <v>0.6</v>
      </c>
      <c r="J1375" t="n">
        <v>0</v>
      </c>
      <c r="K1375" t="n">
        <v>0</v>
      </c>
      <c r="L1375" t="n">
        <v>0</v>
      </c>
      <c r="M1375" t="n">
        <v>0</v>
      </c>
      <c r="N1375" t="n">
        <v>0</v>
      </c>
      <c r="O1375" t="n">
        <v>0</v>
      </c>
      <c r="P1375" t="n">
        <v>0</v>
      </c>
      <c r="Q1375" t="n">
        <v>0</v>
      </c>
      <c r="R1375" t="n">
        <v>0</v>
      </c>
      <c r="S1375" t="n">
        <v>0</v>
      </c>
      <c r="T1375" t="n">
        <v>0</v>
      </c>
      <c r="U1375" t="n">
        <v>0</v>
      </c>
      <c r="V1375" s="2" t="inlineStr"/>
    </row>
    <row r="1376" ht="15" customHeight="1">
      <c r="A1376" t="inlineStr">
        <is>
          <t>A 10962-2022</t>
        </is>
      </c>
      <c r="B1376" t="inlineStr">
        <is>
          <t>avverkningsanmälan</t>
        </is>
      </c>
      <c r="C1376" t="inlineStr">
        <is>
          <t>Föryngringsavverkning</t>
        </is>
      </c>
      <c r="D1376" s="1" t="n">
        <v>44628</v>
      </c>
      <c r="E1376" s="1" t="n">
        <v>46323</v>
      </c>
      <c r="F1376" t="inlineStr">
        <is>
          <t>KALMAR LÄN</t>
        </is>
      </c>
      <c r="G1376" t="inlineStr">
        <is>
          <t>EMMABODA</t>
        </is>
      </c>
      <c r="I1376" t="n">
        <v>0.7</v>
      </c>
      <c r="J1376" t="n">
        <v>0</v>
      </c>
      <c r="K1376" t="n">
        <v>0</v>
      </c>
      <c r="L1376" t="n">
        <v>0</v>
      </c>
      <c r="M1376" t="n">
        <v>0</v>
      </c>
      <c r="N1376" t="n">
        <v>0</v>
      </c>
      <c r="O1376" t="n">
        <v>0</v>
      </c>
      <c r="P1376" t="n">
        <v>0</v>
      </c>
      <c r="Q1376" t="n">
        <v>0</v>
      </c>
      <c r="R1376" t="n">
        <v>0</v>
      </c>
      <c r="S1376" t="n">
        <v>0</v>
      </c>
      <c r="T1376" t="n">
        <v>0</v>
      </c>
      <c r="U1376" t="n">
        <v>0</v>
      </c>
      <c r="V1376" s="2" t="inlineStr"/>
    </row>
    <row r="1377" ht="15" customHeight="1">
      <c r="A1377" t="inlineStr">
        <is>
          <t>A 2921-2022</t>
        </is>
      </c>
      <c r="B1377" t="inlineStr">
        <is>
          <t>avverkningsanmälan</t>
        </is>
      </c>
      <c r="C1377" t="inlineStr">
        <is>
          <t>Föryngringsavverkning</t>
        </is>
      </c>
      <c r="D1377" s="1" t="n">
        <v>44581</v>
      </c>
      <c r="E1377" s="1" t="n">
        <v>46323</v>
      </c>
      <c r="F1377" t="inlineStr">
        <is>
          <t>KALMAR LÄN</t>
        </is>
      </c>
      <c r="G1377" t="inlineStr">
        <is>
          <t>NYBRO</t>
        </is>
      </c>
      <c r="I1377" t="n">
        <v>1.8</v>
      </c>
      <c r="J1377" t="n">
        <v>0</v>
      </c>
      <c r="K1377" t="n">
        <v>0</v>
      </c>
      <c r="L1377" t="n">
        <v>0</v>
      </c>
      <c r="M1377" t="n">
        <v>0</v>
      </c>
      <c r="N1377" t="n">
        <v>0</v>
      </c>
      <c r="O1377" t="n">
        <v>0</v>
      </c>
      <c r="P1377" t="n">
        <v>0</v>
      </c>
      <c r="Q1377" t="n">
        <v>0</v>
      </c>
      <c r="R1377" t="n">
        <v>0</v>
      </c>
      <c r="S1377" t="n">
        <v>0</v>
      </c>
      <c r="T1377" t="n">
        <v>0</v>
      </c>
      <c r="U1377" t="n">
        <v>0</v>
      </c>
      <c r="V1377" s="2" t="inlineStr"/>
    </row>
    <row r="1378" ht="15" customHeight="1">
      <c r="A1378" t="inlineStr">
        <is>
          <t>A 4118-2022</t>
        </is>
      </c>
      <c r="B1378" t="inlineStr">
        <is>
          <t>avverkningsanmälan</t>
        </is>
      </c>
      <c r="C1378" t="inlineStr">
        <is>
          <t>Föryngringsavverkning</t>
        </is>
      </c>
      <c r="D1378" s="1" t="n">
        <v>44588</v>
      </c>
      <c r="E1378" s="1" t="n">
        <v>46323</v>
      </c>
      <c r="F1378" t="inlineStr">
        <is>
          <t>KALMAR LÄN</t>
        </is>
      </c>
      <c r="G1378" t="inlineStr">
        <is>
          <t>VIMMERBY</t>
        </is>
      </c>
      <c r="I1378" t="n">
        <v>0.5</v>
      </c>
      <c r="J1378" t="n">
        <v>0</v>
      </c>
      <c r="K1378" t="n">
        <v>0</v>
      </c>
      <c r="L1378" t="n">
        <v>0</v>
      </c>
      <c r="M1378" t="n">
        <v>0</v>
      </c>
      <c r="N1378" t="n">
        <v>0</v>
      </c>
      <c r="O1378" t="n">
        <v>0</v>
      </c>
      <c r="P1378" t="n">
        <v>0</v>
      </c>
      <c r="Q1378" t="n">
        <v>0</v>
      </c>
      <c r="R1378" t="n">
        <v>0</v>
      </c>
      <c r="S1378" t="n">
        <v>0</v>
      </c>
      <c r="T1378" t="n">
        <v>0</v>
      </c>
      <c r="U1378" t="n">
        <v>0</v>
      </c>
      <c r="V1378" s="2" t="inlineStr"/>
    </row>
    <row r="1379" ht="15" customHeight="1">
      <c r="A1379" t="inlineStr">
        <is>
          <t>A 72733-2021</t>
        </is>
      </c>
      <c r="B1379" t="inlineStr">
        <is>
          <t>avverkningsanmälan</t>
        </is>
      </c>
      <c r="C1379" t="inlineStr">
        <is>
          <t>Föryngringsavverkning</t>
        </is>
      </c>
      <c r="D1379" s="1" t="n">
        <v>44546</v>
      </c>
      <c r="E1379" s="1" t="n">
        <v>46323</v>
      </c>
      <c r="F1379" t="inlineStr">
        <is>
          <t>KALMAR LÄN</t>
        </is>
      </c>
      <c r="G1379" t="inlineStr">
        <is>
          <t>VÄSTERVIK</t>
        </is>
      </c>
      <c r="I1379" t="n">
        <v>1.2</v>
      </c>
      <c r="J1379" t="n">
        <v>0</v>
      </c>
      <c r="K1379" t="n">
        <v>0</v>
      </c>
      <c r="L1379" t="n">
        <v>0</v>
      </c>
      <c r="M1379" t="n">
        <v>0</v>
      </c>
      <c r="N1379" t="n">
        <v>0</v>
      </c>
      <c r="O1379" t="n">
        <v>0</v>
      </c>
      <c r="P1379" t="n">
        <v>0</v>
      </c>
      <c r="Q1379" t="n">
        <v>0</v>
      </c>
      <c r="R1379" t="n">
        <v>0</v>
      </c>
      <c r="S1379" t="n">
        <v>0</v>
      </c>
      <c r="T1379" t="n">
        <v>0</v>
      </c>
      <c r="U1379" t="n">
        <v>0</v>
      </c>
      <c r="V1379" s="2" t="inlineStr"/>
    </row>
    <row r="1380" ht="15" customHeight="1">
      <c r="A1380" t="inlineStr">
        <is>
          <t>A 72735-2021</t>
        </is>
      </c>
      <c r="B1380" t="inlineStr">
        <is>
          <t>avverkningsanmälan</t>
        </is>
      </c>
      <c r="C1380" t="inlineStr">
        <is>
          <t>Föryngringsavverkning</t>
        </is>
      </c>
      <c r="D1380" s="1" t="n">
        <v>44546</v>
      </c>
      <c r="E1380" s="1" t="n">
        <v>46323</v>
      </c>
      <c r="F1380" t="inlineStr">
        <is>
          <t>KALMAR LÄN</t>
        </is>
      </c>
      <c r="G1380" t="inlineStr">
        <is>
          <t>OSKARSHAMN</t>
        </is>
      </c>
      <c r="H1380" t="inlineStr">
        <is>
          <t>Sveaskog</t>
        </is>
      </c>
      <c r="I1380" t="n">
        <v>0.6</v>
      </c>
      <c r="J1380" t="n">
        <v>0</v>
      </c>
      <c r="K1380" t="n">
        <v>0</v>
      </c>
      <c r="L1380" t="n">
        <v>0</v>
      </c>
      <c r="M1380" t="n">
        <v>0</v>
      </c>
      <c r="N1380" t="n">
        <v>0</v>
      </c>
      <c r="O1380" t="n">
        <v>0</v>
      </c>
      <c r="P1380" t="n">
        <v>0</v>
      </c>
      <c r="Q1380" t="n">
        <v>0</v>
      </c>
      <c r="R1380" t="n">
        <v>0</v>
      </c>
      <c r="S1380" t="n">
        <v>0</v>
      </c>
      <c r="T1380" t="n">
        <v>0</v>
      </c>
      <c r="U1380" t="n">
        <v>0</v>
      </c>
      <c r="V1380" s="2" t="inlineStr"/>
    </row>
    <row r="1381" ht="15" customHeight="1">
      <c r="A1381" t="inlineStr">
        <is>
          <t>A 44117-2022</t>
        </is>
      </c>
      <c r="B1381" t="inlineStr">
        <is>
          <t>avverkningsanmälan</t>
        </is>
      </c>
      <c r="C1381" t="inlineStr">
        <is>
          <t>Föryngringsavverkning</t>
        </is>
      </c>
      <c r="D1381" s="1" t="n">
        <v>44839</v>
      </c>
      <c r="E1381" s="1" t="n">
        <v>46323</v>
      </c>
      <c r="F1381" t="inlineStr">
        <is>
          <t>KALMAR LÄN</t>
        </is>
      </c>
      <c r="G1381" t="inlineStr">
        <is>
          <t>TORSÅS</t>
        </is>
      </c>
      <c r="I1381" t="n">
        <v>1.8</v>
      </c>
      <c r="J1381" t="n">
        <v>0</v>
      </c>
      <c r="K1381" t="n">
        <v>0</v>
      </c>
      <c r="L1381" t="n">
        <v>0</v>
      </c>
      <c r="M1381" t="n">
        <v>0</v>
      </c>
      <c r="N1381" t="n">
        <v>0</v>
      </c>
      <c r="O1381" t="n">
        <v>0</v>
      </c>
      <c r="P1381" t="n">
        <v>0</v>
      </c>
      <c r="Q1381" t="n">
        <v>0</v>
      </c>
      <c r="R1381" t="n">
        <v>0</v>
      </c>
      <c r="S1381" t="n">
        <v>0</v>
      </c>
      <c r="T1381" t="n">
        <v>0</v>
      </c>
      <c r="U1381" t="n">
        <v>0</v>
      </c>
      <c r="V1381" s="2" t="inlineStr"/>
    </row>
    <row r="1382" ht="15" customHeight="1">
      <c r="A1382" t="inlineStr">
        <is>
          <t>A 4126-2022</t>
        </is>
      </c>
      <c r="B1382" t="inlineStr">
        <is>
          <t>avverkningsanmälan</t>
        </is>
      </c>
      <c r="C1382" t="inlineStr">
        <is>
          <t>Föryngringsavverkning</t>
        </is>
      </c>
      <c r="D1382" s="1" t="n">
        <v>44588</v>
      </c>
      <c r="E1382" s="1" t="n">
        <v>46323</v>
      </c>
      <c r="F1382" t="inlineStr">
        <is>
          <t>KALMAR LÄN</t>
        </is>
      </c>
      <c r="G1382" t="inlineStr">
        <is>
          <t>VIMMERBY</t>
        </is>
      </c>
      <c r="I1382" t="n">
        <v>0.6</v>
      </c>
      <c r="J1382" t="n">
        <v>0</v>
      </c>
      <c r="K1382" t="n">
        <v>0</v>
      </c>
      <c r="L1382" t="n">
        <v>0</v>
      </c>
      <c r="M1382" t="n">
        <v>0</v>
      </c>
      <c r="N1382" t="n">
        <v>0</v>
      </c>
      <c r="O1382" t="n">
        <v>0</v>
      </c>
      <c r="P1382" t="n">
        <v>0</v>
      </c>
      <c r="Q1382" t="n">
        <v>0</v>
      </c>
      <c r="R1382" t="n">
        <v>0</v>
      </c>
      <c r="S1382" t="n">
        <v>0</v>
      </c>
      <c r="T1382" t="n">
        <v>0</v>
      </c>
      <c r="U1382" t="n">
        <v>0</v>
      </c>
      <c r="V1382" s="2" t="inlineStr"/>
    </row>
    <row r="1383" ht="15" customHeight="1">
      <c r="A1383" t="inlineStr">
        <is>
          <t>A 33452-2022</t>
        </is>
      </c>
      <c r="B1383" t="inlineStr">
        <is>
          <t>avverkningsanmälan</t>
        </is>
      </c>
      <c r="C1383" t="inlineStr">
        <is>
          <t>Föryngringsavverkning</t>
        </is>
      </c>
      <c r="D1383" s="1" t="n">
        <v>44788</v>
      </c>
      <c r="E1383" s="1" t="n">
        <v>46323</v>
      </c>
      <c r="F1383" t="inlineStr">
        <is>
          <t>KALMAR LÄN</t>
        </is>
      </c>
      <c r="G1383" t="inlineStr">
        <is>
          <t>EMMABODA</t>
        </is>
      </c>
      <c r="I1383" t="n">
        <v>0.6</v>
      </c>
      <c r="J1383" t="n">
        <v>0</v>
      </c>
      <c r="K1383" t="n">
        <v>0</v>
      </c>
      <c r="L1383" t="n">
        <v>0</v>
      </c>
      <c r="M1383" t="n">
        <v>0</v>
      </c>
      <c r="N1383" t="n">
        <v>0</v>
      </c>
      <c r="O1383" t="n">
        <v>0</v>
      </c>
      <c r="P1383" t="n">
        <v>0</v>
      </c>
      <c r="Q1383" t="n">
        <v>0</v>
      </c>
      <c r="R1383" t="n">
        <v>0</v>
      </c>
      <c r="S1383" t="n">
        <v>0</v>
      </c>
      <c r="T1383" t="n">
        <v>0</v>
      </c>
      <c r="U1383" t="n">
        <v>0</v>
      </c>
      <c r="V1383" s="2" t="inlineStr"/>
    </row>
    <row r="1384" ht="15" customHeight="1">
      <c r="A1384" t="inlineStr">
        <is>
          <t>A 7143-2022</t>
        </is>
      </c>
      <c r="B1384" t="inlineStr">
        <is>
          <t>avverkningsanmälan</t>
        </is>
      </c>
      <c r="C1384" t="inlineStr">
        <is>
          <t>Föryngringsavverkning</t>
        </is>
      </c>
      <c r="D1384" s="1" t="n">
        <v>44603</v>
      </c>
      <c r="E1384" s="1" t="n">
        <v>46323</v>
      </c>
      <c r="F1384" t="inlineStr">
        <is>
          <t>KALMAR LÄN</t>
        </is>
      </c>
      <c r="G1384" t="inlineStr">
        <is>
          <t>OSKARSHAMN</t>
        </is>
      </c>
      <c r="I1384" t="n">
        <v>2.8</v>
      </c>
      <c r="J1384" t="n">
        <v>0</v>
      </c>
      <c r="K1384" t="n">
        <v>0</v>
      </c>
      <c r="L1384" t="n">
        <v>0</v>
      </c>
      <c r="M1384" t="n">
        <v>0</v>
      </c>
      <c r="N1384" t="n">
        <v>0</v>
      </c>
      <c r="O1384" t="n">
        <v>0</v>
      </c>
      <c r="P1384" t="n">
        <v>0</v>
      </c>
      <c r="Q1384" t="n">
        <v>0</v>
      </c>
      <c r="R1384" t="n">
        <v>0</v>
      </c>
      <c r="S1384" t="n">
        <v>0</v>
      </c>
      <c r="T1384" t="n">
        <v>0</v>
      </c>
      <c r="U1384" t="n">
        <v>0</v>
      </c>
      <c r="V1384" s="2" t="inlineStr"/>
    </row>
    <row r="1385" ht="15" customHeight="1">
      <c r="A1385" t="inlineStr">
        <is>
          <t>A 38772-2022</t>
        </is>
      </c>
      <c r="B1385" t="inlineStr">
        <is>
          <t>avverkningsanmälan</t>
        </is>
      </c>
      <c r="C1385" t="inlineStr">
        <is>
          <t>Avverkning för annat ändamål</t>
        </is>
      </c>
      <c r="D1385" s="1" t="n">
        <v>44816</v>
      </c>
      <c r="E1385" s="1" t="n">
        <v>46323</v>
      </c>
      <c r="F1385" t="inlineStr">
        <is>
          <t>KALMAR LÄN</t>
        </is>
      </c>
      <c r="G1385" t="inlineStr">
        <is>
          <t>NYBRO</t>
        </is>
      </c>
      <c r="I1385" t="n">
        <v>0.3</v>
      </c>
      <c r="J1385" t="n">
        <v>0</v>
      </c>
      <c r="K1385" t="n">
        <v>0</v>
      </c>
      <c r="L1385" t="n">
        <v>0</v>
      </c>
      <c r="M1385" t="n">
        <v>0</v>
      </c>
      <c r="N1385" t="n">
        <v>0</v>
      </c>
      <c r="O1385" t="n">
        <v>0</v>
      </c>
      <c r="P1385" t="n">
        <v>0</v>
      </c>
      <c r="Q1385" t="n">
        <v>0</v>
      </c>
      <c r="R1385" t="n">
        <v>0</v>
      </c>
      <c r="S1385" t="n">
        <v>0</v>
      </c>
      <c r="T1385" t="n">
        <v>0</v>
      </c>
      <c r="U1385" t="n">
        <v>0</v>
      </c>
      <c r="V1385" s="2" t="inlineStr"/>
    </row>
    <row r="1386" ht="15" customHeight="1">
      <c r="A1386" t="inlineStr">
        <is>
          <t>A 38901-2022</t>
        </is>
      </c>
      <c r="B1386" t="inlineStr">
        <is>
          <t>avverkningsanmälan</t>
        </is>
      </c>
      <c r="C1386" t="inlineStr">
        <is>
          <t>Föryngringsavverkning</t>
        </is>
      </c>
      <c r="D1386" s="1" t="n">
        <v>44816</v>
      </c>
      <c r="E1386" s="1" t="n">
        <v>46323</v>
      </c>
      <c r="F1386" t="inlineStr">
        <is>
          <t>KALMAR LÄN</t>
        </is>
      </c>
      <c r="G1386" t="inlineStr">
        <is>
          <t>HÖGSBY</t>
        </is>
      </c>
      <c r="I1386" t="n">
        <v>0.7</v>
      </c>
      <c r="J1386" t="n">
        <v>0</v>
      </c>
      <c r="K1386" t="n">
        <v>0</v>
      </c>
      <c r="L1386" t="n">
        <v>0</v>
      </c>
      <c r="M1386" t="n">
        <v>0</v>
      </c>
      <c r="N1386" t="n">
        <v>0</v>
      </c>
      <c r="O1386" t="n">
        <v>0</v>
      </c>
      <c r="P1386" t="n">
        <v>0</v>
      </c>
      <c r="Q1386" t="n">
        <v>0</v>
      </c>
      <c r="R1386" t="n">
        <v>0</v>
      </c>
      <c r="S1386" t="n">
        <v>0</v>
      </c>
      <c r="T1386" t="n">
        <v>0</v>
      </c>
      <c r="U1386" t="n">
        <v>0</v>
      </c>
      <c r="V1386" s="2" t="inlineStr"/>
    </row>
    <row r="1387" ht="15" customHeight="1">
      <c r="A1387" t="inlineStr">
        <is>
          <t>A 914-2022</t>
        </is>
      </c>
      <c r="B1387" t="inlineStr">
        <is>
          <t>avverkningsanmälan</t>
        </is>
      </c>
      <c r="C1387" t="inlineStr">
        <is>
          <t>Avverkning för att bevara och utveckla /försöksver</t>
        </is>
      </c>
      <c r="D1387" s="1" t="n">
        <v>44571</v>
      </c>
      <c r="E1387" s="1" t="n">
        <v>46323</v>
      </c>
      <c r="F1387" t="inlineStr">
        <is>
          <t>KALMAR LÄN</t>
        </is>
      </c>
      <c r="G1387" t="inlineStr">
        <is>
          <t>NYBRO</t>
        </is>
      </c>
      <c r="H1387" t="inlineStr">
        <is>
          <t>Sveaskog</t>
        </is>
      </c>
      <c r="I1387" t="n">
        <v>0.5</v>
      </c>
      <c r="J1387" t="n">
        <v>0</v>
      </c>
      <c r="K1387" t="n">
        <v>0</v>
      </c>
      <c r="L1387" t="n">
        <v>0</v>
      </c>
      <c r="M1387" t="n">
        <v>0</v>
      </c>
      <c r="N1387" t="n">
        <v>0</v>
      </c>
      <c r="O1387" t="n">
        <v>0</v>
      </c>
      <c r="P1387" t="n">
        <v>0</v>
      </c>
      <c r="Q1387" t="n">
        <v>0</v>
      </c>
      <c r="R1387" t="n">
        <v>0</v>
      </c>
      <c r="S1387" t="n">
        <v>0</v>
      </c>
      <c r="T1387" t="n">
        <v>0</v>
      </c>
      <c r="U1387" t="n">
        <v>0</v>
      </c>
      <c r="V1387" s="2" t="inlineStr"/>
    </row>
    <row r="1388" ht="15" customHeight="1">
      <c r="A1388" t="inlineStr">
        <is>
          <t>A 2721-2022</t>
        </is>
      </c>
      <c r="B1388" t="inlineStr">
        <is>
          <t>avverkningsanmälan</t>
        </is>
      </c>
      <c r="C1388" t="inlineStr">
        <is>
          <t>Föryngringsavverkning</t>
        </is>
      </c>
      <c r="D1388" s="1" t="n">
        <v>44580</v>
      </c>
      <c r="E1388" s="1" t="n">
        <v>46323</v>
      </c>
      <c r="F1388" t="inlineStr">
        <is>
          <t>KALMAR LÄN</t>
        </is>
      </c>
      <c r="G1388" t="inlineStr">
        <is>
          <t>OSKARSHAMN</t>
        </is>
      </c>
      <c r="I1388" t="n">
        <v>0.5</v>
      </c>
      <c r="J1388" t="n">
        <v>0</v>
      </c>
      <c r="K1388" t="n">
        <v>0</v>
      </c>
      <c r="L1388" t="n">
        <v>0</v>
      </c>
      <c r="M1388" t="n">
        <v>0</v>
      </c>
      <c r="N1388" t="n">
        <v>0</v>
      </c>
      <c r="O1388" t="n">
        <v>0</v>
      </c>
      <c r="P1388" t="n">
        <v>0</v>
      </c>
      <c r="Q1388" t="n">
        <v>0</v>
      </c>
      <c r="R1388" t="n">
        <v>0</v>
      </c>
      <c r="S1388" t="n">
        <v>0</v>
      </c>
      <c r="T1388" t="n">
        <v>0</v>
      </c>
      <c r="U1388" t="n">
        <v>0</v>
      </c>
      <c r="V1388" s="2" t="inlineStr"/>
    </row>
    <row r="1389" ht="15" customHeight="1">
      <c r="A1389" t="inlineStr">
        <is>
          <t>A 6794-2022</t>
        </is>
      </c>
      <c r="B1389" t="inlineStr">
        <is>
          <t>avverkningsanmälan</t>
        </is>
      </c>
      <c r="C1389" t="inlineStr">
        <is>
          <t>Föryngringsavverkning</t>
        </is>
      </c>
      <c r="D1389" s="1" t="n">
        <v>44602</v>
      </c>
      <c r="E1389" s="1" t="n">
        <v>46323</v>
      </c>
      <c r="F1389" t="inlineStr">
        <is>
          <t>KALMAR LÄN</t>
        </is>
      </c>
      <c r="G1389" t="inlineStr">
        <is>
          <t>KALMAR</t>
        </is>
      </c>
      <c r="I1389" t="n">
        <v>0.5</v>
      </c>
      <c r="J1389" t="n">
        <v>0</v>
      </c>
      <c r="K1389" t="n">
        <v>0</v>
      </c>
      <c r="L1389" t="n">
        <v>0</v>
      </c>
      <c r="M1389" t="n">
        <v>0</v>
      </c>
      <c r="N1389" t="n">
        <v>0</v>
      </c>
      <c r="O1389" t="n">
        <v>0</v>
      </c>
      <c r="P1389" t="n">
        <v>0</v>
      </c>
      <c r="Q1389" t="n">
        <v>0</v>
      </c>
      <c r="R1389" t="n">
        <v>0</v>
      </c>
      <c r="S1389" t="n">
        <v>0</v>
      </c>
      <c r="T1389" t="n">
        <v>0</v>
      </c>
      <c r="U1389" t="n">
        <v>0</v>
      </c>
      <c r="V1389" s="2" t="inlineStr"/>
    </row>
    <row r="1390" ht="15" customHeight="1">
      <c r="A1390" t="inlineStr">
        <is>
          <t>A 3664-2022</t>
        </is>
      </c>
      <c r="B1390" t="inlineStr">
        <is>
          <t>avverkningsanmälan</t>
        </is>
      </c>
      <c r="C1390" t="inlineStr">
        <is>
          <t>Föryngringsavverkning</t>
        </is>
      </c>
      <c r="D1390" s="1" t="n">
        <v>44586</v>
      </c>
      <c r="E1390" s="1" t="n">
        <v>46323</v>
      </c>
      <c r="F1390" t="inlineStr">
        <is>
          <t>KALMAR LÄN</t>
        </is>
      </c>
      <c r="G1390" t="inlineStr">
        <is>
          <t>TORSÅS</t>
        </is>
      </c>
      <c r="I1390" t="n">
        <v>0.5</v>
      </c>
      <c r="J1390" t="n">
        <v>0</v>
      </c>
      <c r="K1390" t="n">
        <v>0</v>
      </c>
      <c r="L1390" t="n">
        <v>0</v>
      </c>
      <c r="M1390" t="n">
        <v>0</v>
      </c>
      <c r="N1390" t="n">
        <v>0</v>
      </c>
      <c r="O1390" t="n">
        <v>0</v>
      </c>
      <c r="P1390" t="n">
        <v>0</v>
      </c>
      <c r="Q1390" t="n">
        <v>0</v>
      </c>
      <c r="R1390" t="n">
        <v>0</v>
      </c>
      <c r="S1390" t="n">
        <v>0</v>
      </c>
      <c r="T1390" t="n">
        <v>0</v>
      </c>
      <c r="U1390" t="n">
        <v>0</v>
      </c>
      <c r="V1390" s="2" t="inlineStr"/>
    </row>
    <row r="1391" ht="15" customHeight="1">
      <c r="A1391" t="inlineStr">
        <is>
          <t>A 33820-2022</t>
        </is>
      </c>
      <c r="B1391" t="inlineStr">
        <is>
          <t>avverkningsanmälan</t>
        </is>
      </c>
      <c r="C1391" t="inlineStr">
        <is>
          <t>Föryngringsavverkning</t>
        </is>
      </c>
      <c r="D1391" s="1" t="n">
        <v>44790</v>
      </c>
      <c r="E1391" s="1" t="n">
        <v>46323</v>
      </c>
      <c r="F1391" t="inlineStr">
        <is>
          <t>KALMAR LÄN</t>
        </is>
      </c>
      <c r="G1391" t="inlineStr">
        <is>
          <t>VIMMERBY</t>
        </is>
      </c>
      <c r="I1391" t="n">
        <v>3</v>
      </c>
      <c r="J1391" t="n">
        <v>0</v>
      </c>
      <c r="K1391" t="n">
        <v>0</v>
      </c>
      <c r="L1391" t="n">
        <v>0</v>
      </c>
      <c r="M1391" t="n">
        <v>0</v>
      </c>
      <c r="N1391" t="n">
        <v>0</v>
      </c>
      <c r="O1391" t="n">
        <v>0</v>
      </c>
      <c r="P1391" t="n">
        <v>0</v>
      </c>
      <c r="Q1391" t="n">
        <v>0</v>
      </c>
      <c r="R1391" t="n">
        <v>0</v>
      </c>
      <c r="S1391" t="n">
        <v>0</v>
      </c>
      <c r="T1391" t="n">
        <v>0</v>
      </c>
      <c r="U1391" t="n">
        <v>0</v>
      </c>
      <c r="V1391" s="2" t="inlineStr"/>
    </row>
    <row r="1392" ht="15" customHeight="1">
      <c r="A1392" t="inlineStr">
        <is>
          <t>A 33824-2022</t>
        </is>
      </c>
      <c r="B1392" t="inlineStr">
        <is>
          <t>avverkningsanmälan</t>
        </is>
      </c>
      <c r="C1392" t="inlineStr">
        <is>
          <t>Föryngringsavverkning</t>
        </is>
      </c>
      <c r="D1392" s="1" t="n">
        <v>44790</v>
      </c>
      <c r="E1392" s="1" t="n">
        <v>46323</v>
      </c>
      <c r="F1392" t="inlineStr">
        <is>
          <t>KALMAR LÄN</t>
        </is>
      </c>
      <c r="G1392" t="inlineStr">
        <is>
          <t>VIMMERBY</t>
        </is>
      </c>
      <c r="I1392" t="n">
        <v>2.3</v>
      </c>
      <c r="J1392" t="n">
        <v>0</v>
      </c>
      <c r="K1392" t="n">
        <v>0</v>
      </c>
      <c r="L1392" t="n">
        <v>0</v>
      </c>
      <c r="M1392" t="n">
        <v>0</v>
      </c>
      <c r="N1392" t="n">
        <v>0</v>
      </c>
      <c r="O1392" t="n">
        <v>0</v>
      </c>
      <c r="P1392" t="n">
        <v>0</v>
      </c>
      <c r="Q1392" t="n">
        <v>0</v>
      </c>
      <c r="R1392" t="n">
        <v>0</v>
      </c>
      <c r="S1392" t="n">
        <v>0</v>
      </c>
      <c r="T1392" t="n">
        <v>0</v>
      </c>
      <c r="U1392" t="n">
        <v>0</v>
      </c>
      <c r="V1392" s="2" t="inlineStr"/>
    </row>
    <row r="1393" ht="15" customHeight="1">
      <c r="A1393" t="inlineStr">
        <is>
          <t>A 46781-2022</t>
        </is>
      </c>
      <c r="B1393" t="inlineStr">
        <is>
          <t>avverkningsanmälan</t>
        </is>
      </c>
      <c r="C1393" t="inlineStr">
        <is>
          <t>Föryngringsavverkning</t>
        </is>
      </c>
      <c r="D1393" s="1" t="n">
        <v>44851</v>
      </c>
      <c r="E1393" s="1" t="n">
        <v>46323</v>
      </c>
      <c r="F1393" t="inlineStr">
        <is>
          <t>KALMAR LÄN</t>
        </is>
      </c>
      <c r="G1393" t="inlineStr">
        <is>
          <t>VÄSTERVIK</t>
        </is>
      </c>
      <c r="I1393" t="n">
        <v>13.2</v>
      </c>
      <c r="J1393" t="n">
        <v>0</v>
      </c>
      <c r="K1393" t="n">
        <v>0</v>
      </c>
      <c r="L1393" t="n">
        <v>0</v>
      </c>
      <c r="M1393" t="n">
        <v>0</v>
      </c>
      <c r="N1393" t="n">
        <v>0</v>
      </c>
      <c r="O1393" t="n">
        <v>0</v>
      </c>
      <c r="P1393" t="n">
        <v>0</v>
      </c>
      <c r="Q1393" t="n">
        <v>0</v>
      </c>
      <c r="R1393" t="n">
        <v>0</v>
      </c>
      <c r="S1393" t="n">
        <v>0</v>
      </c>
      <c r="T1393" t="n">
        <v>0</v>
      </c>
      <c r="U1393" t="n">
        <v>0</v>
      </c>
      <c r="V1393" s="2" t="inlineStr"/>
    </row>
    <row r="1394" ht="15" customHeight="1">
      <c r="A1394" t="inlineStr">
        <is>
          <t>A 45413-2022</t>
        </is>
      </c>
      <c r="B1394" t="inlineStr">
        <is>
          <t>avverkningsanmälan</t>
        </is>
      </c>
      <c r="C1394" t="inlineStr">
        <is>
          <t>Föryngringsavverkning</t>
        </is>
      </c>
      <c r="D1394" s="1" t="n">
        <v>44844</v>
      </c>
      <c r="E1394" s="1" t="n">
        <v>46323</v>
      </c>
      <c r="F1394" t="inlineStr">
        <is>
          <t>KALMAR LÄN</t>
        </is>
      </c>
      <c r="G1394" t="inlineStr">
        <is>
          <t>NYBRO</t>
        </is>
      </c>
      <c r="I1394" t="n">
        <v>5.2</v>
      </c>
      <c r="J1394" t="n">
        <v>0</v>
      </c>
      <c r="K1394" t="n">
        <v>0</v>
      </c>
      <c r="L1394" t="n">
        <v>0</v>
      </c>
      <c r="M1394" t="n">
        <v>0</v>
      </c>
      <c r="N1394" t="n">
        <v>0</v>
      </c>
      <c r="O1394" t="n">
        <v>0</v>
      </c>
      <c r="P1394" t="n">
        <v>0</v>
      </c>
      <c r="Q1394" t="n">
        <v>0</v>
      </c>
      <c r="R1394" t="n">
        <v>0</v>
      </c>
      <c r="S1394" t="n">
        <v>0</v>
      </c>
      <c r="T1394" t="n">
        <v>0</v>
      </c>
      <c r="U1394" t="n">
        <v>0</v>
      </c>
      <c r="V1394" s="2" t="inlineStr"/>
    </row>
    <row r="1395" ht="15" customHeight="1">
      <c r="A1395" t="inlineStr">
        <is>
          <t>A 46794-2022</t>
        </is>
      </c>
      <c r="B1395" t="inlineStr">
        <is>
          <t>avverkningsanmälan</t>
        </is>
      </c>
      <c r="C1395" t="inlineStr">
        <is>
          <t>Föryngringsavverkning</t>
        </is>
      </c>
      <c r="D1395" s="1" t="n">
        <v>44851</v>
      </c>
      <c r="E1395" s="1" t="n">
        <v>46323</v>
      </c>
      <c r="F1395" t="inlineStr">
        <is>
          <t>KALMAR LÄN</t>
        </is>
      </c>
      <c r="G1395" t="inlineStr">
        <is>
          <t>OSKARSHAMN</t>
        </is>
      </c>
      <c r="I1395" t="n">
        <v>0.6</v>
      </c>
      <c r="J1395" t="n">
        <v>0</v>
      </c>
      <c r="K1395" t="n">
        <v>0</v>
      </c>
      <c r="L1395" t="n">
        <v>0</v>
      </c>
      <c r="M1395" t="n">
        <v>0</v>
      </c>
      <c r="N1395" t="n">
        <v>0</v>
      </c>
      <c r="O1395" t="n">
        <v>0</v>
      </c>
      <c r="P1395" t="n">
        <v>0</v>
      </c>
      <c r="Q1395" t="n">
        <v>0</v>
      </c>
      <c r="R1395" t="n">
        <v>0</v>
      </c>
      <c r="S1395" t="n">
        <v>0</v>
      </c>
      <c r="T1395" t="n">
        <v>0</v>
      </c>
      <c r="U1395" t="n">
        <v>0</v>
      </c>
      <c r="V1395" s="2" t="inlineStr"/>
    </row>
    <row r="1396" ht="15" customHeight="1">
      <c r="A1396" t="inlineStr">
        <is>
          <t>A 10736-2022</t>
        </is>
      </c>
      <c r="B1396" t="inlineStr">
        <is>
          <t>avverkningsanmälan</t>
        </is>
      </c>
      <c r="C1396" t="inlineStr">
        <is>
          <t>Föryngringsavverkning</t>
        </is>
      </c>
      <c r="D1396" s="1" t="n">
        <v>44627</v>
      </c>
      <c r="E1396" s="1" t="n">
        <v>46323</v>
      </c>
      <c r="F1396" t="inlineStr">
        <is>
          <t>KALMAR LÄN</t>
        </is>
      </c>
      <c r="G1396" t="inlineStr">
        <is>
          <t>EMMABODA</t>
        </is>
      </c>
      <c r="I1396" t="n">
        <v>0.5</v>
      </c>
      <c r="J1396" t="n">
        <v>0</v>
      </c>
      <c r="K1396" t="n">
        <v>0</v>
      </c>
      <c r="L1396" t="n">
        <v>0</v>
      </c>
      <c r="M1396" t="n">
        <v>0</v>
      </c>
      <c r="N1396" t="n">
        <v>0</v>
      </c>
      <c r="O1396" t="n">
        <v>0</v>
      </c>
      <c r="P1396" t="n">
        <v>0</v>
      </c>
      <c r="Q1396" t="n">
        <v>0</v>
      </c>
      <c r="R1396" t="n">
        <v>0</v>
      </c>
      <c r="S1396" t="n">
        <v>0</v>
      </c>
      <c r="T1396" t="n">
        <v>0</v>
      </c>
      <c r="U1396" t="n">
        <v>0</v>
      </c>
      <c r="V1396" s="2" t="inlineStr"/>
    </row>
    <row r="1397" ht="15" customHeight="1">
      <c r="A1397" t="inlineStr">
        <is>
          <t>A 13448-2022</t>
        </is>
      </c>
      <c r="B1397" t="inlineStr">
        <is>
          <t>avverkningsanmälan</t>
        </is>
      </c>
      <c r="C1397" t="inlineStr">
        <is>
          <t>Föryngringsavverkning</t>
        </is>
      </c>
      <c r="D1397" s="1" t="n">
        <v>44645</v>
      </c>
      <c r="E1397" s="1" t="n">
        <v>46323</v>
      </c>
      <c r="F1397" t="inlineStr">
        <is>
          <t>KALMAR LÄN</t>
        </is>
      </c>
      <c r="G1397" t="inlineStr">
        <is>
          <t>NYBRO</t>
        </is>
      </c>
      <c r="I1397" t="n">
        <v>3.1</v>
      </c>
      <c r="J1397" t="n">
        <v>0</v>
      </c>
      <c r="K1397" t="n">
        <v>0</v>
      </c>
      <c r="L1397" t="n">
        <v>0</v>
      </c>
      <c r="M1397" t="n">
        <v>0</v>
      </c>
      <c r="N1397" t="n">
        <v>0</v>
      </c>
      <c r="O1397" t="n">
        <v>0</v>
      </c>
      <c r="P1397" t="n">
        <v>0</v>
      </c>
      <c r="Q1397" t="n">
        <v>0</v>
      </c>
      <c r="R1397" t="n">
        <v>0</v>
      </c>
      <c r="S1397" t="n">
        <v>0</v>
      </c>
      <c r="T1397" t="n">
        <v>0</v>
      </c>
      <c r="U1397" t="n">
        <v>0</v>
      </c>
      <c r="V1397" s="2" t="inlineStr"/>
    </row>
    <row r="1398" ht="15" customHeight="1">
      <c r="A1398" t="inlineStr">
        <is>
          <t>A 28345-2022</t>
        </is>
      </c>
      <c r="B1398" t="inlineStr">
        <is>
          <t>avverkningsanmälan</t>
        </is>
      </c>
      <c r="C1398" t="inlineStr">
        <is>
          <t>Föryngringsavverkning</t>
        </is>
      </c>
      <c r="D1398" s="1" t="n">
        <v>44747</v>
      </c>
      <c r="E1398" s="1" t="n">
        <v>46323</v>
      </c>
      <c r="F1398" t="inlineStr">
        <is>
          <t>KALMAR LÄN</t>
        </is>
      </c>
      <c r="G1398" t="inlineStr">
        <is>
          <t>BORGHOLM</t>
        </is>
      </c>
      <c r="I1398" t="n">
        <v>1.5</v>
      </c>
      <c r="J1398" t="n">
        <v>0</v>
      </c>
      <c r="K1398" t="n">
        <v>0</v>
      </c>
      <c r="L1398" t="n">
        <v>0</v>
      </c>
      <c r="M1398" t="n">
        <v>0</v>
      </c>
      <c r="N1398" t="n">
        <v>0</v>
      </c>
      <c r="O1398" t="n">
        <v>0</v>
      </c>
      <c r="P1398" t="n">
        <v>0</v>
      </c>
      <c r="Q1398" t="n">
        <v>0</v>
      </c>
      <c r="R1398" t="n">
        <v>0</v>
      </c>
      <c r="S1398" t="n">
        <v>0</v>
      </c>
      <c r="T1398" t="n">
        <v>0</v>
      </c>
      <c r="U1398" t="n">
        <v>0</v>
      </c>
      <c r="V1398" s="2" t="inlineStr"/>
    </row>
    <row r="1399" ht="15" customHeight="1">
      <c r="A1399" t="inlineStr">
        <is>
          <t>A 42597-2022</t>
        </is>
      </c>
      <c r="B1399" t="inlineStr">
        <is>
          <t>avverkningsanmälan</t>
        </is>
      </c>
      <c r="C1399" t="inlineStr">
        <is>
          <t>Föryngringsavverkning</t>
        </is>
      </c>
      <c r="D1399" s="1" t="n">
        <v>44831</v>
      </c>
      <c r="E1399" s="1" t="n">
        <v>46323</v>
      </c>
      <c r="F1399" t="inlineStr">
        <is>
          <t>KALMAR LÄN</t>
        </is>
      </c>
      <c r="G1399" t="inlineStr">
        <is>
          <t>HULTSFRED</t>
        </is>
      </c>
      <c r="I1399" t="n">
        <v>4.6</v>
      </c>
      <c r="J1399" t="n">
        <v>0</v>
      </c>
      <c r="K1399" t="n">
        <v>0</v>
      </c>
      <c r="L1399" t="n">
        <v>0</v>
      </c>
      <c r="M1399" t="n">
        <v>0</v>
      </c>
      <c r="N1399" t="n">
        <v>0</v>
      </c>
      <c r="O1399" t="n">
        <v>0</v>
      </c>
      <c r="P1399" t="n">
        <v>0</v>
      </c>
      <c r="Q1399" t="n">
        <v>0</v>
      </c>
      <c r="R1399" t="n">
        <v>0</v>
      </c>
      <c r="S1399" t="n">
        <v>0</v>
      </c>
      <c r="T1399" t="n">
        <v>0</v>
      </c>
      <c r="U1399" t="n">
        <v>0</v>
      </c>
      <c r="V1399" s="2" t="inlineStr"/>
    </row>
    <row r="1400" ht="15" customHeight="1">
      <c r="A1400" t="inlineStr">
        <is>
          <t>A 42598-2022</t>
        </is>
      </c>
      <c r="B1400" t="inlineStr">
        <is>
          <t>avverkningsanmälan</t>
        </is>
      </c>
      <c r="C1400" t="inlineStr">
        <is>
          <t>Föryngringsavverkning</t>
        </is>
      </c>
      <c r="D1400" s="1" t="n">
        <v>44831</v>
      </c>
      <c r="E1400" s="1" t="n">
        <v>46323</v>
      </c>
      <c r="F1400" t="inlineStr">
        <is>
          <t>KALMAR LÄN</t>
        </is>
      </c>
      <c r="G1400" t="inlineStr">
        <is>
          <t>HULTSFRED</t>
        </is>
      </c>
      <c r="I1400" t="n">
        <v>0.6</v>
      </c>
      <c r="J1400" t="n">
        <v>0</v>
      </c>
      <c r="K1400" t="n">
        <v>0</v>
      </c>
      <c r="L1400" t="n">
        <v>0</v>
      </c>
      <c r="M1400" t="n">
        <v>0</v>
      </c>
      <c r="N1400" t="n">
        <v>0</v>
      </c>
      <c r="O1400" t="n">
        <v>0</v>
      </c>
      <c r="P1400" t="n">
        <v>0</v>
      </c>
      <c r="Q1400" t="n">
        <v>0</v>
      </c>
      <c r="R1400" t="n">
        <v>0</v>
      </c>
      <c r="S1400" t="n">
        <v>0</v>
      </c>
      <c r="T1400" t="n">
        <v>0</v>
      </c>
      <c r="U1400" t="n">
        <v>0</v>
      </c>
      <c r="V1400" s="2" t="inlineStr"/>
    </row>
    <row r="1401" ht="15" customHeight="1">
      <c r="A1401" t="inlineStr">
        <is>
          <t>A 48355-2022</t>
        </is>
      </c>
      <c r="B1401" t="inlineStr">
        <is>
          <t>avverkningsanmälan</t>
        </is>
      </c>
      <c r="C1401" t="inlineStr">
        <is>
          <t>Föryngringsavverkning</t>
        </is>
      </c>
      <c r="D1401" s="1" t="n">
        <v>44858</v>
      </c>
      <c r="E1401" s="1" t="n">
        <v>46323</v>
      </c>
      <c r="F1401" t="inlineStr">
        <is>
          <t>KALMAR LÄN</t>
        </is>
      </c>
      <c r="G1401" t="inlineStr">
        <is>
          <t>KALMAR</t>
        </is>
      </c>
      <c r="I1401" t="n">
        <v>1.3</v>
      </c>
      <c r="J1401" t="n">
        <v>0</v>
      </c>
      <c r="K1401" t="n">
        <v>0</v>
      </c>
      <c r="L1401" t="n">
        <v>0</v>
      </c>
      <c r="M1401" t="n">
        <v>0</v>
      </c>
      <c r="N1401" t="n">
        <v>0</v>
      </c>
      <c r="O1401" t="n">
        <v>0</v>
      </c>
      <c r="P1401" t="n">
        <v>0</v>
      </c>
      <c r="Q1401" t="n">
        <v>0</v>
      </c>
      <c r="R1401" t="n">
        <v>0</v>
      </c>
      <c r="S1401" t="n">
        <v>0</v>
      </c>
      <c r="T1401" t="n">
        <v>0</v>
      </c>
      <c r="U1401" t="n">
        <v>0</v>
      </c>
      <c r="V1401" s="2" t="inlineStr"/>
    </row>
    <row r="1402" ht="15" customHeight="1">
      <c r="A1402" t="inlineStr">
        <is>
          <t>A 26876-2022</t>
        </is>
      </c>
      <c r="B1402" t="inlineStr">
        <is>
          <t>avverkningsanmälan</t>
        </is>
      </c>
      <c r="C1402" t="inlineStr">
        <is>
          <t>Avverkning för annat ändamål</t>
        </is>
      </c>
      <c r="D1402" s="1" t="n">
        <v>44740</v>
      </c>
      <c r="E1402" s="1" t="n">
        <v>46323</v>
      </c>
      <c r="F1402" t="inlineStr">
        <is>
          <t>KALMAR LÄN</t>
        </is>
      </c>
      <c r="G1402" t="inlineStr">
        <is>
          <t>MÖRBYLÅNGA</t>
        </is>
      </c>
      <c r="I1402" t="n">
        <v>0.7</v>
      </c>
      <c r="J1402" t="n">
        <v>0</v>
      </c>
      <c r="K1402" t="n">
        <v>0</v>
      </c>
      <c r="L1402" t="n">
        <v>0</v>
      </c>
      <c r="M1402" t="n">
        <v>0</v>
      </c>
      <c r="N1402" t="n">
        <v>0</v>
      </c>
      <c r="O1402" t="n">
        <v>0</v>
      </c>
      <c r="P1402" t="n">
        <v>0</v>
      </c>
      <c r="Q1402" t="n">
        <v>0</v>
      </c>
      <c r="R1402" t="n">
        <v>0</v>
      </c>
      <c r="S1402" t="n">
        <v>0</v>
      </c>
      <c r="T1402" t="n">
        <v>0</v>
      </c>
      <c r="U1402" t="n">
        <v>0</v>
      </c>
      <c r="V1402" s="2" t="inlineStr"/>
    </row>
    <row r="1403" ht="15" customHeight="1">
      <c r="A1403" t="inlineStr">
        <is>
          <t>A 65726-2021</t>
        </is>
      </c>
      <c r="B1403" t="inlineStr">
        <is>
          <t>avverkningsanmälan</t>
        </is>
      </c>
      <c r="C1403" t="inlineStr">
        <is>
          <t>Föryngringsavverkning</t>
        </is>
      </c>
      <c r="D1403" s="1" t="n">
        <v>44516</v>
      </c>
      <c r="E1403" s="1" t="n">
        <v>46323</v>
      </c>
      <c r="F1403" t="inlineStr">
        <is>
          <t>KALMAR LÄN</t>
        </is>
      </c>
      <c r="G1403" t="inlineStr">
        <is>
          <t>OSKARSHAMN</t>
        </is>
      </c>
      <c r="I1403" t="n">
        <v>0.5</v>
      </c>
      <c r="J1403" t="n">
        <v>0</v>
      </c>
      <c r="K1403" t="n">
        <v>0</v>
      </c>
      <c r="L1403" t="n">
        <v>0</v>
      </c>
      <c r="M1403" t="n">
        <v>0</v>
      </c>
      <c r="N1403" t="n">
        <v>0</v>
      </c>
      <c r="O1403" t="n">
        <v>0</v>
      </c>
      <c r="P1403" t="n">
        <v>0</v>
      </c>
      <c r="Q1403" t="n">
        <v>0</v>
      </c>
      <c r="R1403" t="n">
        <v>0</v>
      </c>
      <c r="S1403" t="n">
        <v>0</v>
      </c>
      <c r="T1403" t="n">
        <v>0</v>
      </c>
      <c r="U1403" t="n">
        <v>0</v>
      </c>
      <c r="V1403" s="2" t="inlineStr"/>
    </row>
    <row r="1404" ht="15" customHeight="1">
      <c r="A1404" t="inlineStr">
        <is>
          <t>A 370-2022</t>
        </is>
      </c>
      <c r="B1404" t="inlineStr">
        <is>
          <t>avverkningsanmälan</t>
        </is>
      </c>
      <c r="C1404" t="inlineStr">
        <is>
          <t>Föryngringsavverkning</t>
        </is>
      </c>
      <c r="D1404" s="1" t="n">
        <v>44565</v>
      </c>
      <c r="E1404" s="1" t="n">
        <v>46323</v>
      </c>
      <c r="F1404" t="inlineStr">
        <is>
          <t>KALMAR LÄN</t>
        </is>
      </c>
      <c r="G1404" t="inlineStr">
        <is>
          <t>NYBRO</t>
        </is>
      </c>
      <c r="I1404" t="n">
        <v>3.3</v>
      </c>
      <c r="J1404" t="n">
        <v>0</v>
      </c>
      <c r="K1404" t="n">
        <v>0</v>
      </c>
      <c r="L1404" t="n">
        <v>0</v>
      </c>
      <c r="M1404" t="n">
        <v>0</v>
      </c>
      <c r="N1404" t="n">
        <v>0</v>
      </c>
      <c r="O1404" t="n">
        <v>0</v>
      </c>
      <c r="P1404" t="n">
        <v>0</v>
      </c>
      <c r="Q1404" t="n">
        <v>0</v>
      </c>
      <c r="R1404" t="n">
        <v>0</v>
      </c>
      <c r="S1404" t="n">
        <v>0</v>
      </c>
      <c r="T1404" t="n">
        <v>0</v>
      </c>
      <c r="U1404" t="n">
        <v>0</v>
      </c>
      <c r="V1404" s="2" t="inlineStr"/>
    </row>
    <row r="1405" ht="15" customHeight="1">
      <c r="A1405" t="inlineStr">
        <is>
          <t>A 49683-2022</t>
        </is>
      </c>
      <c r="B1405" t="inlineStr">
        <is>
          <t>avverkningsanmälan</t>
        </is>
      </c>
      <c r="C1405" t="inlineStr">
        <is>
          <t>Föryngringsavverkning</t>
        </is>
      </c>
      <c r="D1405" s="1" t="n">
        <v>44862</v>
      </c>
      <c r="E1405" s="1" t="n">
        <v>46323</v>
      </c>
      <c r="F1405" t="inlineStr">
        <is>
          <t>KALMAR LÄN</t>
        </is>
      </c>
      <c r="G1405" t="inlineStr">
        <is>
          <t>TORSÅS</t>
        </is>
      </c>
      <c r="I1405" t="n">
        <v>0.8</v>
      </c>
      <c r="J1405" t="n">
        <v>0</v>
      </c>
      <c r="K1405" t="n">
        <v>0</v>
      </c>
      <c r="L1405" t="n">
        <v>0</v>
      </c>
      <c r="M1405" t="n">
        <v>0</v>
      </c>
      <c r="N1405" t="n">
        <v>0</v>
      </c>
      <c r="O1405" t="n">
        <v>0</v>
      </c>
      <c r="P1405" t="n">
        <v>0</v>
      </c>
      <c r="Q1405" t="n">
        <v>0</v>
      </c>
      <c r="R1405" t="n">
        <v>0</v>
      </c>
      <c r="S1405" t="n">
        <v>0</v>
      </c>
      <c r="T1405" t="n">
        <v>0</v>
      </c>
      <c r="U1405" t="n">
        <v>0</v>
      </c>
      <c r="V1405" s="2" t="inlineStr"/>
    </row>
    <row r="1406" ht="15" customHeight="1">
      <c r="A1406" t="inlineStr">
        <is>
          <t>A 7994-2022</t>
        </is>
      </c>
      <c r="B1406" t="inlineStr">
        <is>
          <t>avverkningsanmälan</t>
        </is>
      </c>
      <c r="C1406" t="inlineStr">
        <is>
          <t>Föryngringsavverkning</t>
        </is>
      </c>
      <c r="D1406" s="1" t="n">
        <v>44609</v>
      </c>
      <c r="E1406" s="1" t="n">
        <v>46323</v>
      </c>
      <c r="F1406" t="inlineStr">
        <is>
          <t>KALMAR LÄN</t>
        </is>
      </c>
      <c r="G1406" t="inlineStr">
        <is>
          <t>HÖGSBY</t>
        </is>
      </c>
      <c r="I1406" t="n">
        <v>2.9</v>
      </c>
      <c r="J1406" t="n">
        <v>0</v>
      </c>
      <c r="K1406" t="n">
        <v>0</v>
      </c>
      <c r="L1406" t="n">
        <v>0</v>
      </c>
      <c r="M1406" t="n">
        <v>0</v>
      </c>
      <c r="N1406" t="n">
        <v>0</v>
      </c>
      <c r="O1406" t="n">
        <v>0</v>
      </c>
      <c r="P1406" t="n">
        <v>0</v>
      </c>
      <c r="Q1406" t="n">
        <v>0</v>
      </c>
      <c r="R1406" t="n">
        <v>0</v>
      </c>
      <c r="S1406" t="n">
        <v>0</v>
      </c>
      <c r="T1406" t="n">
        <v>0</v>
      </c>
      <c r="U1406" t="n">
        <v>0</v>
      </c>
      <c r="V1406" s="2" t="inlineStr"/>
    </row>
    <row r="1407" ht="15" customHeight="1">
      <c r="A1407" t="inlineStr">
        <is>
          <t>A 66820-2021</t>
        </is>
      </c>
      <c r="B1407" t="inlineStr">
        <is>
          <t>avverkningsanmälan</t>
        </is>
      </c>
      <c r="C1407" t="inlineStr">
        <is>
          <t>Föryngringsavverkning</t>
        </is>
      </c>
      <c r="D1407" s="1" t="n">
        <v>44522</v>
      </c>
      <c r="E1407" s="1" t="n">
        <v>46323</v>
      </c>
      <c r="F1407" t="inlineStr">
        <is>
          <t>KALMAR LÄN</t>
        </is>
      </c>
      <c r="G1407" t="inlineStr">
        <is>
          <t>KALMAR</t>
        </is>
      </c>
      <c r="I1407" t="n">
        <v>2.6</v>
      </c>
      <c r="J1407" t="n">
        <v>0</v>
      </c>
      <c r="K1407" t="n">
        <v>0</v>
      </c>
      <c r="L1407" t="n">
        <v>0</v>
      </c>
      <c r="M1407" t="n">
        <v>0</v>
      </c>
      <c r="N1407" t="n">
        <v>0</v>
      </c>
      <c r="O1407" t="n">
        <v>0</v>
      </c>
      <c r="P1407" t="n">
        <v>0</v>
      </c>
      <c r="Q1407" t="n">
        <v>0</v>
      </c>
      <c r="R1407" t="n">
        <v>0</v>
      </c>
      <c r="S1407" t="n">
        <v>0</v>
      </c>
      <c r="T1407" t="n">
        <v>0</v>
      </c>
      <c r="U1407" t="n">
        <v>0</v>
      </c>
      <c r="V1407" s="2" t="inlineStr"/>
    </row>
    <row r="1408" ht="15" customHeight="1">
      <c r="A1408" t="inlineStr">
        <is>
          <t>A 74471-2021</t>
        </is>
      </c>
      <c r="B1408" t="inlineStr">
        <is>
          <t>avverkningsanmälan</t>
        </is>
      </c>
      <c r="C1408" t="inlineStr">
        <is>
          <t>Föryngringsavverkning</t>
        </is>
      </c>
      <c r="D1408" s="1" t="n">
        <v>44559</v>
      </c>
      <c r="E1408" s="1" t="n">
        <v>46323</v>
      </c>
      <c r="F1408" t="inlineStr">
        <is>
          <t>KALMAR LÄN</t>
        </is>
      </c>
      <c r="G1408" t="inlineStr">
        <is>
          <t>HÖGSBY</t>
        </is>
      </c>
      <c r="I1408" t="n">
        <v>3.2</v>
      </c>
      <c r="J1408" t="n">
        <v>0</v>
      </c>
      <c r="K1408" t="n">
        <v>0</v>
      </c>
      <c r="L1408" t="n">
        <v>0</v>
      </c>
      <c r="M1408" t="n">
        <v>0</v>
      </c>
      <c r="N1408" t="n">
        <v>0</v>
      </c>
      <c r="O1408" t="n">
        <v>0</v>
      </c>
      <c r="P1408" t="n">
        <v>0</v>
      </c>
      <c r="Q1408" t="n">
        <v>0</v>
      </c>
      <c r="R1408" t="n">
        <v>0</v>
      </c>
      <c r="S1408" t="n">
        <v>0</v>
      </c>
      <c r="T1408" t="n">
        <v>0</v>
      </c>
      <c r="U1408" t="n">
        <v>0</v>
      </c>
      <c r="V1408" s="2" t="inlineStr"/>
    </row>
    <row r="1409" ht="15" customHeight="1">
      <c r="A1409" t="inlineStr">
        <is>
          <t>A 61180-2021</t>
        </is>
      </c>
      <c r="B1409" t="inlineStr">
        <is>
          <t>avverkningsanmälan</t>
        </is>
      </c>
      <c r="C1409" t="inlineStr">
        <is>
          <t>Föryngringsavverkning</t>
        </is>
      </c>
      <c r="D1409" s="1" t="n">
        <v>44498</v>
      </c>
      <c r="E1409" s="1" t="n">
        <v>46323</v>
      </c>
      <c r="F1409" t="inlineStr">
        <is>
          <t>KALMAR LÄN</t>
        </is>
      </c>
      <c r="G1409" t="inlineStr">
        <is>
          <t>EMMABODA</t>
        </is>
      </c>
      <c r="I1409" t="n">
        <v>0.7</v>
      </c>
      <c r="J1409" t="n">
        <v>0</v>
      </c>
      <c r="K1409" t="n">
        <v>0</v>
      </c>
      <c r="L1409" t="n">
        <v>0</v>
      </c>
      <c r="M1409" t="n">
        <v>0</v>
      </c>
      <c r="N1409" t="n">
        <v>0</v>
      </c>
      <c r="O1409" t="n">
        <v>0</v>
      </c>
      <c r="P1409" t="n">
        <v>0</v>
      </c>
      <c r="Q1409" t="n">
        <v>0</v>
      </c>
      <c r="R1409" t="n">
        <v>0</v>
      </c>
      <c r="S1409" t="n">
        <v>0</v>
      </c>
      <c r="T1409" t="n">
        <v>0</v>
      </c>
      <c r="U1409" t="n">
        <v>0</v>
      </c>
      <c r="V1409" s="2" t="inlineStr"/>
    </row>
    <row r="1410" ht="15" customHeight="1">
      <c r="A1410" t="inlineStr">
        <is>
          <t>A 40404-2022</t>
        </is>
      </c>
      <c r="B1410" t="inlineStr">
        <is>
          <t>avverkningsanmälan</t>
        </is>
      </c>
      <c r="C1410" t="inlineStr">
        <is>
          <t>Föryngringsavverkning</t>
        </is>
      </c>
      <c r="D1410" s="1" t="n">
        <v>44823</v>
      </c>
      <c r="E1410" s="1" t="n">
        <v>46323</v>
      </c>
      <c r="F1410" t="inlineStr">
        <is>
          <t>KALMAR LÄN</t>
        </is>
      </c>
      <c r="G1410" t="inlineStr">
        <is>
          <t>KALMAR</t>
        </is>
      </c>
      <c r="I1410" t="n">
        <v>1.1</v>
      </c>
      <c r="J1410" t="n">
        <v>0</v>
      </c>
      <c r="K1410" t="n">
        <v>0</v>
      </c>
      <c r="L1410" t="n">
        <v>0</v>
      </c>
      <c r="M1410" t="n">
        <v>0</v>
      </c>
      <c r="N1410" t="n">
        <v>0</v>
      </c>
      <c r="O1410" t="n">
        <v>0</v>
      </c>
      <c r="P1410" t="n">
        <v>0</v>
      </c>
      <c r="Q1410" t="n">
        <v>0</v>
      </c>
      <c r="R1410" t="n">
        <v>0</v>
      </c>
      <c r="S1410" t="n">
        <v>0</v>
      </c>
      <c r="T1410" t="n">
        <v>0</v>
      </c>
      <c r="U1410" t="n">
        <v>0</v>
      </c>
      <c r="V1410" s="2" t="inlineStr"/>
    </row>
    <row r="1411" ht="15" customHeight="1">
      <c r="A1411" t="inlineStr">
        <is>
          <t>A 4648-2022</t>
        </is>
      </c>
      <c r="B1411" t="inlineStr">
        <is>
          <t>avverkningsanmälan</t>
        </is>
      </c>
      <c r="C1411" t="inlineStr">
        <is>
          <t>Föryngringsavverkning</t>
        </is>
      </c>
      <c r="D1411" s="1" t="n">
        <v>44592</v>
      </c>
      <c r="E1411" s="1" t="n">
        <v>46323</v>
      </c>
      <c r="F1411" t="inlineStr">
        <is>
          <t>KALMAR LÄN</t>
        </is>
      </c>
      <c r="G1411" t="inlineStr">
        <is>
          <t>TORSÅS</t>
        </is>
      </c>
      <c r="I1411" t="n">
        <v>0.6</v>
      </c>
      <c r="J1411" t="n">
        <v>0</v>
      </c>
      <c r="K1411" t="n">
        <v>0</v>
      </c>
      <c r="L1411" t="n">
        <v>0</v>
      </c>
      <c r="M1411" t="n">
        <v>0</v>
      </c>
      <c r="N1411" t="n">
        <v>0</v>
      </c>
      <c r="O1411" t="n">
        <v>0</v>
      </c>
      <c r="P1411" t="n">
        <v>0</v>
      </c>
      <c r="Q1411" t="n">
        <v>0</v>
      </c>
      <c r="R1411" t="n">
        <v>0</v>
      </c>
      <c r="S1411" t="n">
        <v>0</v>
      </c>
      <c r="T1411" t="n">
        <v>0</v>
      </c>
      <c r="U1411" t="n">
        <v>0</v>
      </c>
      <c r="V1411" s="2" t="inlineStr"/>
    </row>
    <row r="1412" ht="15" customHeight="1">
      <c r="A1412" t="inlineStr">
        <is>
          <t>A 42465-2022</t>
        </is>
      </c>
      <c r="B1412" t="inlineStr">
        <is>
          <t>avverkningsanmälan</t>
        </is>
      </c>
      <c r="C1412" t="inlineStr">
        <is>
          <t>Föryngringsavverkning</t>
        </is>
      </c>
      <c r="D1412" s="1" t="n">
        <v>44831</v>
      </c>
      <c r="E1412" s="1" t="n">
        <v>46323</v>
      </c>
      <c r="F1412" t="inlineStr">
        <is>
          <t>KALMAR LÄN</t>
        </is>
      </c>
      <c r="G1412" t="inlineStr">
        <is>
          <t>NYBRO</t>
        </is>
      </c>
      <c r="H1412" t="inlineStr">
        <is>
          <t>Sveaskog</t>
        </is>
      </c>
      <c r="I1412" t="n">
        <v>0.8</v>
      </c>
      <c r="J1412" t="n">
        <v>0</v>
      </c>
      <c r="K1412" t="n">
        <v>0</v>
      </c>
      <c r="L1412" t="n">
        <v>0</v>
      </c>
      <c r="M1412" t="n">
        <v>0</v>
      </c>
      <c r="N1412" t="n">
        <v>0</v>
      </c>
      <c r="O1412" t="n">
        <v>0</v>
      </c>
      <c r="P1412" t="n">
        <v>0</v>
      </c>
      <c r="Q1412" t="n">
        <v>0</v>
      </c>
      <c r="R1412" t="n">
        <v>0</v>
      </c>
      <c r="S1412" t="n">
        <v>0</v>
      </c>
      <c r="T1412" t="n">
        <v>0</v>
      </c>
      <c r="U1412" t="n">
        <v>0</v>
      </c>
      <c r="V1412" s="2" t="inlineStr"/>
    </row>
    <row r="1413" ht="15" customHeight="1">
      <c r="A1413" t="inlineStr">
        <is>
          <t>A 20250-2022</t>
        </is>
      </c>
      <c r="B1413" t="inlineStr">
        <is>
          <t>avverkningsanmälan</t>
        </is>
      </c>
      <c r="C1413" t="inlineStr">
        <is>
          <t>Föryngringsavverkning</t>
        </is>
      </c>
      <c r="D1413" s="1" t="n">
        <v>44698</v>
      </c>
      <c r="E1413" s="1" t="n">
        <v>46323</v>
      </c>
      <c r="F1413" t="inlineStr">
        <is>
          <t>KALMAR LÄN</t>
        </is>
      </c>
      <c r="G1413" t="inlineStr">
        <is>
          <t>MÖNSTERÅS</t>
        </is>
      </c>
      <c r="I1413" t="n">
        <v>4.2</v>
      </c>
      <c r="J1413" t="n">
        <v>0</v>
      </c>
      <c r="K1413" t="n">
        <v>0</v>
      </c>
      <c r="L1413" t="n">
        <v>0</v>
      </c>
      <c r="M1413" t="n">
        <v>0</v>
      </c>
      <c r="N1413" t="n">
        <v>0</v>
      </c>
      <c r="O1413" t="n">
        <v>0</v>
      </c>
      <c r="P1413" t="n">
        <v>0</v>
      </c>
      <c r="Q1413" t="n">
        <v>0</v>
      </c>
      <c r="R1413" t="n">
        <v>0</v>
      </c>
      <c r="S1413" t="n">
        <v>0</v>
      </c>
      <c r="T1413" t="n">
        <v>0</v>
      </c>
      <c r="U1413" t="n">
        <v>0</v>
      </c>
      <c r="V1413" s="2" t="inlineStr"/>
    </row>
    <row r="1414" ht="15" customHeight="1">
      <c r="A1414" t="inlineStr">
        <is>
          <t>A 31033-2022</t>
        </is>
      </c>
      <c r="B1414" t="inlineStr">
        <is>
          <t>avverkningsanmälan</t>
        </is>
      </c>
      <c r="C1414" t="inlineStr">
        <is>
          <t>Föryngringsavverkning</t>
        </is>
      </c>
      <c r="D1414" s="1" t="n">
        <v>44768</v>
      </c>
      <c r="E1414" s="1" t="n">
        <v>46323</v>
      </c>
      <c r="F1414" t="inlineStr">
        <is>
          <t>KALMAR LÄN</t>
        </is>
      </c>
      <c r="G1414" t="inlineStr">
        <is>
          <t>EMMABODA</t>
        </is>
      </c>
      <c r="I1414" t="n">
        <v>0.8</v>
      </c>
      <c r="J1414" t="n">
        <v>0</v>
      </c>
      <c r="K1414" t="n">
        <v>0</v>
      </c>
      <c r="L1414" t="n">
        <v>0</v>
      </c>
      <c r="M1414" t="n">
        <v>0</v>
      </c>
      <c r="N1414" t="n">
        <v>0</v>
      </c>
      <c r="O1414" t="n">
        <v>0</v>
      </c>
      <c r="P1414" t="n">
        <v>0</v>
      </c>
      <c r="Q1414" t="n">
        <v>0</v>
      </c>
      <c r="R1414" t="n">
        <v>0</v>
      </c>
      <c r="S1414" t="n">
        <v>0</v>
      </c>
      <c r="T1414" t="n">
        <v>0</v>
      </c>
      <c r="U1414" t="n">
        <v>0</v>
      </c>
      <c r="V1414" s="2" t="inlineStr"/>
    </row>
    <row r="1415" ht="15" customHeight="1">
      <c r="A1415" t="inlineStr">
        <is>
          <t>A 16290-2022</t>
        </is>
      </c>
      <c r="B1415" t="inlineStr">
        <is>
          <t>avverkningsanmälan</t>
        </is>
      </c>
      <c r="C1415" t="inlineStr">
        <is>
          <t>Föryngringsavverkning</t>
        </is>
      </c>
      <c r="D1415" s="1" t="n">
        <v>44670</v>
      </c>
      <c r="E1415" s="1" t="n">
        <v>46323</v>
      </c>
      <c r="F1415" t="inlineStr">
        <is>
          <t>KALMAR LÄN</t>
        </is>
      </c>
      <c r="G1415" t="inlineStr">
        <is>
          <t>VIMMERBY</t>
        </is>
      </c>
      <c r="I1415" t="n">
        <v>1.2</v>
      </c>
      <c r="J1415" t="n">
        <v>0</v>
      </c>
      <c r="K1415" t="n">
        <v>0</v>
      </c>
      <c r="L1415" t="n">
        <v>0</v>
      </c>
      <c r="M1415" t="n">
        <v>0</v>
      </c>
      <c r="N1415" t="n">
        <v>0</v>
      </c>
      <c r="O1415" t="n">
        <v>0</v>
      </c>
      <c r="P1415" t="n">
        <v>0</v>
      </c>
      <c r="Q1415" t="n">
        <v>0</v>
      </c>
      <c r="R1415" t="n">
        <v>0</v>
      </c>
      <c r="S1415" t="n">
        <v>0</v>
      </c>
      <c r="T1415" t="n">
        <v>0</v>
      </c>
      <c r="U1415" t="n">
        <v>0</v>
      </c>
      <c r="V1415" s="2" t="inlineStr"/>
    </row>
    <row r="1416" ht="15" customHeight="1">
      <c r="A1416" t="inlineStr">
        <is>
          <t>A 16765-2022</t>
        </is>
      </c>
      <c r="B1416" t="inlineStr">
        <is>
          <t>avverkningsanmälan</t>
        </is>
      </c>
      <c r="C1416" t="inlineStr">
        <is>
          <t>Föryngringsavverkning</t>
        </is>
      </c>
      <c r="D1416" s="1" t="n">
        <v>44673</v>
      </c>
      <c r="E1416" s="1" t="n">
        <v>46323</v>
      </c>
      <c r="F1416" t="inlineStr">
        <is>
          <t>KALMAR LÄN</t>
        </is>
      </c>
      <c r="G1416" t="inlineStr">
        <is>
          <t>VÄSTERVIK</t>
        </is>
      </c>
      <c r="I1416" t="n">
        <v>0.7</v>
      </c>
      <c r="J1416" t="n">
        <v>0</v>
      </c>
      <c r="K1416" t="n">
        <v>0</v>
      </c>
      <c r="L1416" t="n">
        <v>0</v>
      </c>
      <c r="M1416" t="n">
        <v>0</v>
      </c>
      <c r="N1416" t="n">
        <v>0</v>
      </c>
      <c r="O1416" t="n">
        <v>0</v>
      </c>
      <c r="P1416" t="n">
        <v>0</v>
      </c>
      <c r="Q1416" t="n">
        <v>0</v>
      </c>
      <c r="R1416" t="n">
        <v>0</v>
      </c>
      <c r="S1416" t="n">
        <v>0</v>
      </c>
      <c r="T1416" t="n">
        <v>0</v>
      </c>
      <c r="U1416" t="n">
        <v>0</v>
      </c>
      <c r="V1416" s="2" t="inlineStr"/>
    </row>
    <row r="1417" ht="15" customHeight="1">
      <c r="A1417" t="inlineStr">
        <is>
          <t>A 3102-2022</t>
        </is>
      </c>
      <c r="B1417" t="inlineStr">
        <is>
          <t>avverkningsanmälan</t>
        </is>
      </c>
      <c r="C1417" t="inlineStr">
        <is>
          <t>Föryngringsavverkning</t>
        </is>
      </c>
      <c r="D1417" s="1" t="n">
        <v>44582</v>
      </c>
      <c r="E1417" s="1" t="n">
        <v>46323</v>
      </c>
      <c r="F1417" t="inlineStr">
        <is>
          <t>KALMAR LÄN</t>
        </is>
      </c>
      <c r="G1417" t="inlineStr">
        <is>
          <t>HULTSFRED</t>
        </is>
      </c>
      <c r="I1417" t="n">
        <v>1.3</v>
      </c>
      <c r="J1417" t="n">
        <v>0</v>
      </c>
      <c r="K1417" t="n">
        <v>0</v>
      </c>
      <c r="L1417" t="n">
        <v>0</v>
      </c>
      <c r="M1417" t="n">
        <v>0</v>
      </c>
      <c r="N1417" t="n">
        <v>0</v>
      </c>
      <c r="O1417" t="n">
        <v>0</v>
      </c>
      <c r="P1417" t="n">
        <v>0</v>
      </c>
      <c r="Q1417" t="n">
        <v>0</v>
      </c>
      <c r="R1417" t="n">
        <v>0</v>
      </c>
      <c r="S1417" t="n">
        <v>0</v>
      </c>
      <c r="T1417" t="n">
        <v>0</v>
      </c>
      <c r="U1417" t="n">
        <v>0</v>
      </c>
      <c r="V1417" s="2" t="inlineStr"/>
    </row>
    <row r="1418" ht="15" customHeight="1">
      <c r="A1418" t="inlineStr">
        <is>
          <t>A 44681-2022</t>
        </is>
      </c>
      <c r="B1418" t="inlineStr">
        <is>
          <t>avverkningsanmälan</t>
        </is>
      </c>
      <c r="C1418" t="inlineStr">
        <is>
          <t>Föryngringsavverkning</t>
        </is>
      </c>
      <c r="D1418" s="1" t="n">
        <v>44840</v>
      </c>
      <c r="E1418" s="1" t="n">
        <v>46323</v>
      </c>
      <c r="F1418" t="inlineStr">
        <is>
          <t>KALMAR LÄN</t>
        </is>
      </c>
      <c r="G1418" t="inlineStr">
        <is>
          <t>BORGHOLM</t>
        </is>
      </c>
      <c r="I1418" t="n">
        <v>0.5</v>
      </c>
      <c r="J1418" t="n">
        <v>0</v>
      </c>
      <c r="K1418" t="n">
        <v>0</v>
      </c>
      <c r="L1418" t="n">
        <v>0</v>
      </c>
      <c r="M1418" t="n">
        <v>0</v>
      </c>
      <c r="N1418" t="n">
        <v>0</v>
      </c>
      <c r="O1418" t="n">
        <v>0</v>
      </c>
      <c r="P1418" t="n">
        <v>0</v>
      </c>
      <c r="Q1418" t="n">
        <v>0</v>
      </c>
      <c r="R1418" t="n">
        <v>0</v>
      </c>
      <c r="S1418" t="n">
        <v>0</v>
      </c>
      <c r="T1418" t="n">
        <v>0</v>
      </c>
      <c r="U1418" t="n">
        <v>0</v>
      </c>
      <c r="V1418" s="2" t="inlineStr"/>
    </row>
    <row r="1419" ht="15" customHeight="1">
      <c r="A1419" t="inlineStr">
        <is>
          <t>A 32551-2022</t>
        </is>
      </c>
      <c r="B1419" t="inlineStr">
        <is>
          <t>avverkningsanmälan</t>
        </is>
      </c>
      <c r="C1419" t="inlineStr">
        <is>
          <t>Föryngringsavverkning</t>
        </is>
      </c>
      <c r="D1419" s="1" t="n">
        <v>44783</v>
      </c>
      <c r="E1419" s="1" t="n">
        <v>46323</v>
      </c>
      <c r="F1419" t="inlineStr">
        <is>
          <t>KALMAR LÄN</t>
        </is>
      </c>
      <c r="G1419" t="inlineStr">
        <is>
          <t>NYBRO</t>
        </is>
      </c>
      <c r="I1419" t="n">
        <v>0.6</v>
      </c>
      <c r="J1419" t="n">
        <v>0</v>
      </c>
      <c r="K1419" t="n">
        <v>0</v>
      </c>
      <c r="L1419" t="n">
        <v>0</v>
      </c>
      <c r="M1419" t="n">
        <v>0</v>
      </c>
      <c r="N1419" t="n">
        <v>0</v>
      </c>
      <c r="O1419" t="n">
        <v>0</v>
      </c>
      <c r="P1419" t="n">
        <v>0</v>
      </c>
      <c r="Q1419" t="n">
        <v>0</v>
      </c>
      <c r="R1419" t="n">
        <v>0</v>
      </c>
      <c r="S1419" t="n">
        <v>0</v>
      </c>
      <c r="T1419" t="n">
        <v>0</v>
      </c>
      <c r="U1419" t="n">
        <v>0</v>
      </c>
      <c r="V1419" s="2" t="inlineStr"/>
    </row>
    <row r="1420" ht="15" customHeight="1">
      <c r="A1420" t="inlineStr">
        <is>
          <t>A 39525-2022</t>
        </is>
      </c>
      <c r="B1420" t="inlineStr">
        <is>
          <t>avverkningsanmälan</t>
        </is>
      </c>
      <c r="C1420" t="inlineStr">
        <is>
          <t>Föryngringsavverkning</t>
        </is>
      </c>
      <c r="D1420" s="1" t="n">
        <v>44818</v>
      </c>
      <c r="E1420" s="1" t="n">
        <v>46323</v>
      </c>
      <c r="F1420" t="inlineStr">
        <is>
          <t>KALMAR LÄN</t>
        </is>
      </c>
      <c r="G1420" t="inlineStr">
        <is>
          <t>KALMAR</t>
        </is>
      </c>
      <c r="I1420" t="n">
        <v>0.5</v>
      </c>
      <c r="J1420" t="n">
        <v>0</v>
      </c>
      <c r="K1420" t="n">
        <v>0</v>
      </c>
      <c r="L1420" t="n">
        <v>0</v>
      </c>
      <c r="M1420" t="n">
        <v>0</v>
      </c>
      <c r="N1420" t="n">
        <v>0</v>
      </c>
      <c r="O1420" t="n">
        <v>0</v>
      </c>
      <c r="P1420" t="n">
        <v>0</v>
      </c>
      <c r="Q1420" t="n">
        <v>0</v>
      </c>
      <c r="R1420" t="n">
        <v>0</v>
      </c>
      <c r="S1420" t="n">
        <v>0</v>
      </c>
      <c r="T1420" t="n">
        <v>0</v>
      </c>
      <c r="U1420" t="n">
        <v>0</v>
      </c>
      <c r="V1420" s="2" t="inlineStr"/>
    </row>
    <row r="1421" ht="15" customHeight="1">
      <c r="A1421" t="inlineStr">
        <is>
          <t>A 32608-2022</t>
        </is>
      </c>
      <c r="B1421" t="inlineStr">
        <is>
          <t>avverkningsanmälan</t>
        </is>
      </c>
      <c r="C1421" t="inlineStr">
        <is>
          <t>Avverkning för att bevara och utveckla /försöksver</t>
        </is>
      </c>
      <c r="D1421" s="1" t="n">
        <v>44783</v>
      </c>
      <c r="E1421" s="1" t="n">
        <v>46323</v>
      </c>
      <c r="F1421" t="inlineStr">
        <is>
          <t>KALMAR LÄN</t>
        </is>
      </c>
      <c r="G1421" t="inlineStr">
        <is>
          <t>BORGHOLM</t>
        </is>
      </c>
      <c r="H1421" t="inlineStr">
        <is>
          <t>Sveaskog</t>
        </is>
      </c>
      <c r="I1421" t="n">
        <v>1.6</v>
      </c>
      <c r="J1421" t="n">
        <v>0</v>
      </c>
      <c r="K1421" t="n">
        <v>0</v>
      </c>
      <c r="L1421" t="n">
        <v>0</v>
      </c>
      <c r="M1421" t="n">
        <v>0</v>
      </c>
      <c r="N1421" t="n">
        <v>0</v>
      </c>
      <c r="O1421" t="n">
        <v>0</v>
      </c>
      <c r="P1421" t="n">
        <v>0</v>
      </c>
      <c r="Q1421" t="n">
        <v>0</v>
      </c>
      <c r="R1421" t="n">
        <v>0</v>
      </c>
      <c r="S1421" t="n">
        <v>0</v>
      </c>
      <c r="T1421" t="n">
        <v>0</v>
      </c>
      <c r="U1421" t="n">
        <v>0</v>
      </c>
      <c r="V1421" s="2" t="inlineStr"/>
    </row>
    <row r="1422" ht="15" customHeight="1">
      <c r="A1422" t="inlineStr">
        <is>
          <t>A 54748-2022</t>
        </is>
      </c>
      <c r="B1422" t="inlineStr">
        <is>
          <t>avverkningsanmälan</t>
        </is>
      </c>
      <c r="C1422" t="inlineStr">
        <is>
          <t>Föryngringsavverkning</t>
        </is>
      </c>
      <c r="D1422" s="1" t="n">
        <v>44883</v>
      </c>
      <c r="E1422" s="1" t="n">
        <v>46323</v>
      </c>
      <c r="F1422" t="inlineStr">
        <is>
          <t>KALMAR LÄN</t>
        </is>
      </c>
      <c r="G1422" t="inlineStr">
        <is>
          <t>TORSÅS</t>
        </is>
      </c>
      <c r="I1422" t="n">
        <v>0.7</v>
      </c>
      <c r="J1422" t="n">
        <v>0</v>
      </c>
      <c r="K1422" t="n">
        <v>0</v>
      </c>
      <c r="L1422" t="n">
        <v>0</v>
      </c>
      <c r="M1422" t="n">
        <v>0</v>
      </c>
      <c r="N1422" t="n">
        <v>0</v>
      </c>
      <c r="O1422" t="n">
        <v>0</v>
      </c>
      <c r="P1422" t="n">
        <v>0</v>
      </c>
      <c r="Q1422" t="n">
        <v>0</v>
      </c>
      <c r="R1422" t="n">
        <v>0</v>
      </c>
      <c r="S1422" t="n">
        <v>0</v>
      </c>
      <c r="T1422" t="n">
        <v>0</v>
      </c>
      <c r="U1422" t="n">
        <v>0</v>
      </c>
      <c r="V1422" s="2" t="inlineStr"/>
    </row>
    <row r="1423" ht="15" customHeight="1">
      <c r="A1423" t="inlineStr">
        <is>
          <t>A 47843-2022</t>
        </is>
      </c>
      <c r="B1423" t="inlineStr">
        <is>
          <t>avverkningsanmälan</t>
        </is>
      </c>
      <c r="C1423" t="inlineStr">
        <is>
          <t>Avverkning för att bevara och utveckla /försöksver</t>
        </is>
      </c>
      <c r="D1423" s="1" t="n">
        <v>44855</v>
      </c>
      <c r="E1423" s="1" t="n">
        <v>46323</v>
      </c>
      <c r="F1423" t="inlineStr">
        <is>
          <t>KALMAR LÄN</t>
        </is>
      </c>
      <c r="G1423" t="inlineStr">
        <is>
          <t>OSKARSHAMN</t>
        </is>
      </c>
      <c r="I1423" t="n">
        <v>0.7</v>
      </c>
      <c r="J1423" t="n">
        <v>0</v>
      </c>
      <c r="K1423" t="n">
        <v>0</v>
      </c>
      <c r="L1423" t="n">
        <v>0</v>
      </c>
      <c r="M1423" t="n">
        <v>0</v>
      </c>
      <c r="N1423" t="n">
        <v>0</v>
      </c>
      <c r="O1423" t="n">
        <v>0</v>
      </c>
      <c r="P1423" t="n">
        <v>0</v>
      </c>
      <c r="Q1423" t="n">
        <v>0</v>
      </c>
      <c r="R1423" t="n">
        <v>0</v>
      </c>
      <c r="S1423" t="n">
        <v>0</v>
      </c>
      <c r="T1423" t="n">
        <v>0</v>
      </c>
      <c r="U1423" t="n">
        <v>0</v>
      </c>
      <c r="V1423" s="2" t="inlineStr"/>
    </row>
    <row r="1424" ht="15" customHeight="1">
      <c r="A1424" t="inlineStr">
        <is>
          <t>A 30448-2022</t>
        </is>
      </c>
      <c r="B1424" t="inlineStr">
        <is>
          <t>avverkningsanmälan</t>
        </is>
      </c>
      <c r="C1424" t="inlineStr">
        <is>
          <t>Föryngringsavverkning</t>
        </is>
      </c>
      <c r="D1424" s="1" t="n">
        <v>44761</v>
      </c>
      <c r="E1424" s="1" t="n">
        <v>46323</v>
      </c>
      <c r="F1424" t="inlineStr">
        <is>
          <t>KALMAR LÄN</t>
        </is>
      </c>
      <c r="G1424" t="inlineStr">
        <is>
          <t>OSKARSHAMN</t>
        </is>
      </c>
      <c r="I1424" t="n">
        <v>0.5</v>
      </c>
      <c r="J1424" t="n">
        <v>0</v>
      </c>
      <c r="K1424" t="n">
        <v>0</v>
      </c>
      <c r="L1424" t="n">
        <v>0</v>
      </c>
      <c r="M1424" t="n">
        <v>0</v>
      </c>
      <c r="N1424" t="n">
        <v>0</v>
      </c>
      <c r="O1424" t="n">
        <v>0</v>
      </c>
      <c r="P1424" t="n">
        <v>0</v>
      </c>
      <c r="Q1424" t="n">
        <v>0</v>
      </c>
      <c r="R1424" t="n">
        <v>0</v>
      </c>
      <c r="S1424" t="n">
        <v>0</v>
      </c>
      <c r="T1424" t="n">
        <v>0</v>
      </c>
      <c r="U1424" t="n">
        <v>0</v>
      </c>
      <c r="V1424" s="2" t="inlineStr"/>
    </row>
    <row r="1425" ht="15" customHeight="1">
      <c r="A1425" t="inlineStr">
        <is>
          <t>A 46776-2022</t>
        </is>
      </c>
      <c r="B1425" t="inlineStr">
        <is>
          <t>avverkningsanmälan</t>
        </is>
      </c>
      <c r="C1425" t="inlineStr">
        <is>
          <t>Föryngringsavverkning</t>
        </is>
      </c>
      <c r="D1425" s="1" t="n">
        <v>44851</v>
      </c>
      <c r="E1425" s="1" t="n">
        <v>46323</v>
      </c>
      <c r="F1425" t="inlineStr">
        <is>
          <t>KALMAR LÄN</t>
        </is>
      </c>
      <c r="G1425" t="inlineStr">
        <is>
          <t>EMMABODA</t>
        </is>
      </c>
      <c r="I1425" t="n">
        <v>0.7</v>
      </c>
      <c r="J1425" t="n">
        <v>0</v>
      </c>
      <c r="K1425" t="n">
        <v>0</v>
      </c>
      <c r="L1425" t="n">
        <v>0</v>
      </c>
      <c r="M1425" t="n">
        <v>0</v>
      </c>
      <c r="N1425" t="n">
        <v>0</v>
      </c>
      <c r="O1425" t="n">
        <v>0</v>
      </c>
      <c r="P1425" t="n">
        <v>0</v>
      </c>
      <c r="Q1425" t="n">
        <v>0</v>
      </c>
      <c r="R1425" t="n">
        <v>0</v>
      </c>
      <c r="S1425" t="n">
        <v>0</v>
      </c>
      <c r="T1425" t="n">
        <v>0</v>
      </c>
      <c r="U1425" t="n">
        <v>0</v>
      </c>
      <c r="V1425" s="2" t="inlineStr"/>
    </row>
    <row r="1426" ht="15" customHeight="1">
      <c r="A1426" t="inlineStr">
        <is>
          <t>A 46783-2022</t>
        </is>
      </c>
      <c r="B1426" t="inlineStr">
        <is>
          <t>avverkningsanmälan</t>
        </is>
      </c>
      <c r="C1426" t="inlineStr">
        <is>
          <t>Föryngringsavverkning</t>
        </is>
      </c>
      <c r="D1426" s="1" t="n">
        <v>44851</v>
      </c>
      <c r="E1426" s="1" t="n">
        <v>46323</v>
      </c>
      <c r="F1426" t="inlineStr">
        <is>
          <t>KALMAR LÄN</t>
        </is>
      </c>
      <c r="G1426" t="inlineStr">
        <is>
          <t>VÄSTERVIK</t>
        </is>
      </c>
      <c r="I1426" t="n">
        <v>2</v>
      </c>
      <c r="J1426" t="n">
        <v>0</v>
      </c>
      <c r="K1426" t="n">
        <v>0</v>
      </c>
      <c r="L1426" t="n">
        <v>0</v>
      </c>
      <c r="M1426" t="n">
        <v>0</v>
      </c>
      <c r="N1426" t="n">
        <v>0</v>
      </c>
      <c r="O1426" t="n">
        <v>0</v>
      </c>
      <c r="P1426" t="n">
        <v>0</v>
      </c>
      <c r="Q1426" t="n">
        <v>0</v>
      </c>
      <c r="R1426" t="n">
        <v>0</v>
      </c>
      <c r="S1426" t="n">
        <v>0</v>
      </c>
      <c r="T1426" t="n">
        <v>0</v>
      </c>
      <c r="U1426" t="n">
        <v>0</v>
      </c>
      <c r="V1426" s="2" t="inlineStr"/>
    </row>
    <row r="1427" ht="15" customHeight="1">
      <c r="A1427" t="inlineStr">
        <is>
          <t>A 50112-2022</t>
        </is>
      </c>
      <c r="B1427" t="inlineStr">
        <is>
          <t>avverkningsanmälan</t>
        </is>
      </c>
      <c r="C1427" t="inlineStr">
        <is>
          <t>Föryngringsavverkning</t>
        </is>
      </c>
      <c r="D1427" s="1" t="n">
        <v>44865</v>
      </c>
      <c r="E1427" s="1" t="n">
        <v>46323</v>
      </c>
      <c r="F1427" t="inlineStr">
        <is>
          <t>KALMAR LÄN</t>
        </is>
      </c>
      <c r="G1427" t="inlineStr">
        <is>
          <t>TORSÅS</t>
        </is>
      </c>
      <c r="I1427" t="n">
        <v>0.9</v>
      </c>
      <c r="J1427" t="n">
        <v>0</v>
      </c>
      <c r="K1427" t="n">
        <v>0</v>
      </c>
      <c r="L1427" t="n">
        <v>0</v>
      </c>
      <c r="M1427" t="n">
        <v>0</v>
      </c>
      <c r="N1427" t="n">
        <v>0</v>
      </c>
      <c r="O1427" t="n">
        <v>0</v>
      </c>
      <c r="P1427" t="n">
        <v>0</v>
      </c>
      <c r="Q1427" t="n">
        <v>0</v>
      </c>
      <c r="R1427" t="n">
        <v>0</v>
      </c>
      <c r="S1427" t="n">
        <v>0</v>
      </c>
      <c r="T1427" t="n">
        <v>0</v>
      </c>
      <c r="U1427" t="n">
        <v>0</v>
      </c>
      <c r="V1427" s="2" t="inlineStr"/>
    </row>
    <row r="1428" ht="15" customHeight="1">
      <c r="A1428" t="inlineStr">
        <is>
          <t>A 47080-2022</t>
        </is>
      </c>
      <c r="B1428" t="inlineStr">
        <is>
          <t>avverkningsanmälan</t>
        </is>
      </c>
      <c r="C1428" t="inlineStr">
        <is>
          <t>Föryngringsavverkning</t>
        </is>
      </c>
      <c r="D1428" s="1" t="n">
        <v>44852</v>
      </c>
      <c r="E1428" s="1" t="n">
        <v>46323</v>
      </c>
      <c r="F1428" t="inlineStr">
        <is>
          <t>KALMAR LÄN</t>
        </is>
      </c>
      <c r="G1428" t="inlineStr">
        <is>
          <t>KALMAR</t>
        </is>
      </c>
      <c r="I1428" t="n">
        <v>0.6</v>
      </c>
      <c r="J1428" t="n">
        <v>0</v>
      </c>
      <c r="K1428" t="n">
        <v>0</v>
      </c>
      <c r="L1428" t="n">
        <v>0</v>
      </c>
      <c r="M1428" t="n">
        <v>0</v>
      </c>
      <c r="N1428" t="n">
        <v>0</v>
      </c>
      <c r="O1428" t="n">
        <v>0</v>
      </c>
      <c r="P1428" t="n">
        <v>0</v>
      </c>
      <c r="Q1428" t="n">
        <v>0</v>
      </c>
      <c r="R1428" t="n">
        <v>0</v>
      </c>
      <c r="S1428" t="n">
        <v>0</v>
      </c>
      <c r="T1428" t="n">
        <v>0</v>
      </c>
      <c r="U1428" t="n">
        <v>0</v>
      </c>
      <c r="V1428" s="2" t="inlineStr"/>
    </row>
    <row r="1429" ht="15" customHeight="1">
      <c r="A1429" t="inlineStr">
        <is>
          <t>A 48378-2022</t>
        </is>
      </c>
      <c r="B1429" t="inlineStr">
        <is>
          <t>avverkningsanmälan</t>
        </is>
      </c>
      <c r="C1429" t="inlineStr">
        <is>
          <t>Föryngringsavverkning</t>
        </is>
      </c>
      <c r="D1429" s="1" t="n">
        <v>44858</v>
      </c>
      <c r="E1429" s="1" t="n">
        <v>46323</v>
      </c>
      <c r="F1429" t="inlineStr">
        <is>
          <t>KALMAR LÄN</t>
        </is>
      </c>
      <c r="G1429" t="inlineStr">
        <is>
          <t>KALMAR</t>
        </is>
      </c>
      <c r="I1429" t="n">
        <v>1</v>
      </c>
      <c r="J1429" t="n">
        <v>0</v>
      </c>
      <c r="K1429" t="n">
        <v>0</v>
      </c>
      <c r="L1429" t="n">
        <v>0</v>
      </c>
      <c r="M1429" t="n">
        <v>0</v>
      </c>
      <c r="N1429" t="n">
        <v>0</v>
      </c>
      <c r="O1429" t="n">
        <v>0</v>
      </c>
      <c r="P1429" t="n">
        <v>0</v>
      </c>
      <c r="Q1429" t="n">
        <v>0</v>
      </c>
      <c r="R1429" t="n">
        <v>0</v>
      </c>
      <c r="S1429" t="n">
        <v>0</v>
      </c>
      <c r="T1429" t="n">
        <v>0</v>
      </c>
      <c r="U1429" t="n">
        <v>0</v>
      </c>
      <c r="V1429" s="2" t="inlineStr"/>
    </row>
    <row r="1430" ht="15" customHeight="1">
      <c r="A1430" t="inlineStr">
        <is>
          <t>A 48470-2022</t>
        </is>
      </c>
      <c r="B1430" t="inlineStr">
        <is>
          <t>avverkningsanmälan</t>
        </is>
      </c>
      <c r="C1430" t="inlineStr">
        <is>
          <t>Föryngringsavverkning</t>
        </is>
      </c>
      <c r="D1430" s="1" t="n">
        <v>44858</v>
      </c>
      <c r="E1430" s="1" t="n">
        <v>46323</v>
      </c>
      <c r="F1430" t="inlineStr">
        <is>
          <t>KALMAR LÄN</t>
        </is>
      </c>
      <c r="G1430" t="inlineStr">
        <is>
          <t>KALMAR</t>
        </is>
      </c>
      <c r="I1430" t="n">
        <v>1.5</v>
      </c>
      <c r="J1430" t="n">
        <v>0</v>
      </c>
      <c r="K1430" t="n">
        <v>0</v>
      </c>
      <c r="L1430" t="n">
        <v>0</v>
      </c>
      <c r="M1430" t="n">
        <v>0</v>
      </c>
      <c r="N1430" t="n">
        <v>0</v>
      </c>
      <c r="O1430" t="n">
        <v>0</v>
      </c>
      <c r="P1430" t="n">
        <v>0</v>
      </c>
      <c r="Q1430" t="n">
        <v>0</v>
      </c>
      <c r="R1430" t="n">
        <v>0</v>
      </c>
      <c r="S1430" t="n">
        <v>0</v>
      </c>
      <c r="T1430" t="n">
        <v>0</v>
      </c>
      <c r="U1430" t="n">
        <v>0</v>
      </c>
      <c r="V1430" s="2" t="inlineStr"/>
    </row>
    <row r="1431" ht="15" customHeight="1">
      <c r="A1431" t="inlineStr">
        <is>
          <t>A 50069-2022</t>
        </is>
      </c>
      <c r="B1431" t="inlineStr">
        <is>
          <t>avverkningsanmälan</t>
        </is>
      </c>
      <c r="C1431" t="inlineStr">
        <is>
          <t>Föryngringsavverkning</t>
        </is>
      </c>
      <c r="D1431" s="1" t="n">
        <v>44865</v>
      </c>
      <c r="E1431" s="1" t="n">
        <v>46323</v>
      </c>
      <c r="F1431" t="inlineStr">
        <is>
          <t>KALMAR LÄN</t>
        </is>
      </c>
      <c r="G1431" t="inlineStr">
        <is>
          <t>MÖNSTERÅS</t>
        </is>
      </c>
      <c r="I1431" t="n">
        <v>4.5</v>
      </c>
      <c r="J1431" t="n">
        <v>0</v>
      </c>
      <c r="K1431" t="n">
        <v>0</v>
      </c>
      <c r="L1431" t="n">
        <v>0</v>
      </c>
      <c r="M1431" t="n">
        <v>0</v>
      </c>
      <c r="N1431" t="n">
        <v>0</v>
      </c>
      <c r="O1431" t="n">
        <v>0</v>
      </c>
      <c r="P1431" t="n">
        <v>0</v>
      </c>
      <c r="Q1431" t="n">
        <v>0</v>
      </c>
      <c r="R1431" t="n">
        <v>0</v>
      </c>
      <c r="S1431" t="n">
        <v>0</v>
      </c>
      <c r="T1431" t="n">
        <v>0</v>
      </c>
      <c r="U1431" t="n">
        <v>0</v>
      </c>
      <c r="V1431" s="2" t="inlineStr"/>
    </row>
    <row r="1432" ht="15" customHeight="1">
      <c r="A1432" t="inlineStr">
        <is>
          <t>A 68368-2021</t>
        </is>
      </c>
      <c r="B1432" t="inlineStr">
        <is>
          <t>avverkningsanmälan</t>
        </is>
      </c>
      <c r="C1432" t="inlineStr">
        <is>
          <t>Föryngringsavverkning</t>
        </is>
      </c>
      <c r="D1432" s="1" t="n">
        <v>44529</v>
      </c>
      <c r="E1432" s="1" t="n">
        <v>46323</v>
      </c>
      <c r="F1432" t="inlineStr">
        <is>
          <t>KALMAR LÄN</t>
        </is>
      </c>
      <c r="G1432" t="inlineStr">
        <is>
          <t>EMMABODA</t>
        </is>
      </c>
      <c r="I1432" t="n">
        <v>0.5</v>
      </c>
      <c r="J1432" t="n">
        <v>0</v>
      </c>
      <c r="K1432" t="n">
        <v>0</v>
      </c>
      <c r="L1432" t="n">
        <v>0</v>
      </c>
      <c r="M1432" t="n">
        <v>0</v>
      </c>
      <c r="N1432" t="n">
        <v>0</v>
      </c>
      <c r="O1432" t="n">
        <v>0</v>
      </c>
      <c r="P1432" t="n">
        <v>0</v>
      </c>
      <c r="Q1432" t="n">
        <v>0</v>
      </c>
      <c r="R1432" t="n">
        <v>0</v>
      </c>
      <c r="S1432" t="n">
        <v>0</v>
      </c>
      <c r="T1432" t="n">
        <v>0</v>
      </c>
      <c r="U1432" t="n">
        <v>0</v>
      </c>
      <c r="V1432" s="2" t="inlineStr"/>
    </row>
    <row r="1433" ht="15" customHeight="1">
      <c r="A1433" t="inlineStr">
        <is>
          <t>A 62930-2021</t>
        </is>
      </c>
      <c r="B1433" t="inlineStr">
        <is>
          <t>avverkningsanmälan</t>
        </is>
      </c>
      <c r="C1433" t="inlineStr">
        <is>
          <t>Föryngringsavverkning</t>
        </is>
      </c>
      <c r="D1433" s="1" t="n">
        <v>44504</v>
      </c>
      <c r="E1433" s="1" t="n">
        <v>46323</v>
      </c>
      <c r="F1433" t="inlineStr">
        <is>
          <t>KALMAR LÄN</t>
        </is>
      </c>
      <c r="G1433" t="inlineStr">
        <is>
          <t>VÄSTERVIK</t>
        </is>
      </c>
      <c r="I1433" t="n">
        <v>1.3</v>
      </c>
      <c r="J1433" t="n">
        <v>0</v>
      </c>
      <c r="K1433" t="n">
        <v>0</v>
      </c>
      <c r="L1433" t="n">
        <v>0</v>
      </c>
      <c r="M1433" t="n">
        <v>0</v>
      </c>
      <c r="N1433" t="n">
        <v>0</v>
      </c>
      <c r="O1433" t="n">
        <v>0</v>
      </c>
      <c r="P1433" t="n">
        <v>0</v>
      </c>
      <c r="Q1433" t="n">
        <v>0</v>
      </c>
      <c r="R1433" t="n">
        <v>0</v>
      </c>
      <c r="S1433" t="n">
        <v>0</v>
      </c>
      <c r="T1433" t="n">
        <v>0</v>
      </c>
      <c r="U1433" t="n">
        <v>0</v>
      </c>
      <c r="V1433" s="2" t="inlineStr"/>
    </row>
    <row r="1434" ht="15" customHeight="1">
      <c r="A1434" t="inlineStr">
        <is>
          <t>A 48473-2022</t>
        </is>
      </c>
      <c r="B1434" t="inlineStr">
        <is>
          <t>avverkningsanmälan</t>
        </is>
      </c>
      <c r="C1434" t="inlineStr">
        <is>
          <t>Föryngringsavverkning</t>
        </is>
      </c>
      <c r="D1434" s="1" t="n">
        <v>44858</v>
      </c>
      <c r="E1434" s="1" t="n">
        <v>46323</v>
      </c>
      <c r="F1434" t="inlineStr">
        <is>
          <t>KALMAR LÄN</t>
        </is>
      </c>
      <c r="G1434" t="inlineStr">
        <is>
          <t>KALMAR</t>
        </is>
      </c>
      <c r="I1434" t="n">
        <v>0.8</v>
      </c>
      <c r="J1434" t="n">
        <v>0</v>
      </c>
      <c r="K1434" t="n">
        <v>0</v>
      </c>
      <c r="L1434" t="n">
        <v>0</v>
      </c>
      <c r="M1434" t="n">
        <v>0</v>
      </c>
      <c r="N1434" t="n">
        <v>0</v>
      </c>
      <c r="O1434" t="n">
        <v>0</v>
      </c>
      <c r="P1434" t="n">
        <v>0</v>
      </c>
      <c r="Q1434" t="n">
        <v>0</v>
      </c>
      <c r="R1434" t="n">
        <v>0</v>
      </c>
      <c r="S1434" t="n">
        <v>0</v>
      </c>
      <c r="T1434" t="n">
        <v>0</v>
      </c>
      <c r="U1434" t="n">
        <v>0</v>
      </c>
      <c r="V1434" s="2" t="inlineStr"/>
    </row>
    <row r="1435" ht="15" customHeight="1">
      <c r="A1435" t="inlineStr">
        <is>
          <t>A 2450-2022</t>
        </is>
      </c>
      <c r="B1435" t="inlineStr">
        <is>
          <t>avverkningsanmälan</t>
        </is>
      </c>
      <c r="C1435" t="inlineStr">
        <is>
          <t>Föryngringsavverkning</t>
        </is>
      </c>
      <c r="D1435" s="1" t="n">
        <v>44579</v>
      </c>
      <c r="E1435" s="1" t="n">
        <v>46323</v>
      </c>
      <c r="F1435" t="inlineStr">
        <is>
          <t>KALMAR LÄN</t>
        </is>
      </c>
      <c r="G1435" t="inlineStr">
        <is>
          <t>HÖGSBY</t>
        </is>
      </c>
      <c r="I1435" t="n">
        <v>1.7</v>
      </c>
      <c r="J1435" t="n">
        <v>0</v>
      </c>
      <c r="K1435" t="n">
        <v>0</v>
      </c>
      <c r="L1435" t="n">
        <v>0</v>
      </c>
      <c r="M1435" t="n">
        <v>0</v>
      </c>
      <c r="N1435" t="n">
        <v>0</v>
      </c>
      <c r="O1435" t="n">
        <v>0</v>
      </c>
      <c r="P1435" t="n">
        <v>0</v>
      </c>
      <c r="Q1435" t="n">
        <v>0</v>
      </c>
      <c r="R1435" t="n">
        <v>0</v>
      </c>
      <c r="S1435" t="n">
        <v>0</v>
      </c>
      <c r="T1435" t="n">
        <v>0</v>
      </c>
      <c r="U1435" t="n">
        <v>0</v>
      </c>
      <c r="V1435" s="2" t="inlineStr"/>
    </row>
    <row r="1436" ht="15" customHeight="1">
      <c r="A1436" t="inlineStr">
        <is>
          <t>A 43096-2022</t>
        </is>
      </c>
      <c r="B1436" t="inlineStr">
        <is>
          <t>avverkningsanmälan</t>
        </is>
      </c>
      <c r="C1436" t="inlineStr">
        <is>
          <t>Föryngringsavverkning</t>
        </is>
      </c>
      <c r="D1436" s="1" t="n">
        <v>44833</v>
      </c>
      <c r="E1436" s="1" t="n">
        <v>46323</v>
      </c>
      <c r="F1436" t="inlineStr">
        <is>
          <t>KALMAR LÄN</t>
        </is>
      </c>
      <c r="G1436" t="inlineStr">
        <is>
          <t>HULTSFRED</t>
        </is>
      </c>
      <c r="I1436" t="n">
        <v>2.9</v>
      </c>
      <c r="J1436" t="n">
        <v>0</v>
      </c>
      <c r="K1436" t="n">
        <v>0</v>
      </c>
      <c r="L1436" t="n">
        <v>0</v>
      </c>
      <c r="M1436" t="n">
        <v>0</v>
      </c>
      <c r="N1436" t="n">
        <v>0</v>
      </c>
      <c r="O1436" t="n">
        <v>0</v>
      </c>
      <c r="P1436" t="n">
        <v>0</v>
      </c>
      <c r="Q1436" t="n">
        <v>0</v>
      </c>
      <c r="R1436" t="n">
        <v>0</v>
      </c>
      <c r="S1436" t="n">
        <v>0</v>
      </c>
      <c r="T1436" t="n">
        <v>0</v>
      </c>
      <c r="U1436" t="n">
        <v>0</v>
      </c>
      <c r="V1436" s="2" t="inlineStr"/>
    </row>
    <row r="1437" ht="15" customHeight="1">
      <c r="A1437" t="inlineStr">
        <is>
          <t>A 4321-2022</t>
        </is>
      </c>
      <c r="B1437" t="inlineStr">
        <is>
          <t>avverkningsanmälan</t>
        </is>
      </c>
      <c r="C1437" t="inlineStr">
        <is>
          <t>Föryngringsavverkning</t>
        </is>
      </c>
      <c r="D1437" s="1" t="n">
        <v>44588</v>
      </c>
      <c r="E1437" s="1" t="n">
        <v>46323</v>
      </c>
      <c r="F1437" t="inlineStr">
        <is>
          <t>KALMAR LÄN</t>
        </is>
      </c>
      <c r="G1437" t="inlineStr">
        <is>
          <t>OSKARSHAMN</t>
        </is>
      </c>
      <c r="I1437" t="n">
        <v>0.7</v>
      </c>
      <c r="J1437" t="n">
        <v>0</v>
      </c>
      <c r="K1437" t="n">
        <v>0</v>
      </c>
      <c r="L1437" t="n">
        <v>0</v>
      </c>
      <c r="M1437" t="n">
        <v>0</v>
      </c>
      <c r="N1437" t="n">
        <v>0</v>
      </c>
      <c r="O1437" t="n">
        <v>0</v>
      </c>
      <c r="P1437" t="n">
        <v>0</v>
      </c>
      <c r="Q1437" t="n">
        <v>0</v>
      </c>
      <c r="R1437" t="n">
        <v>0</v>
      </c>
      <c r="S1437" t="n">
        <v>0</v>
      </c>
      <c r="T1437" t="n">
        <v>0</v>
      </c>
      <c r="U1437" t="n">
        <v>0</v>
      </c>
      <c r="V1437" s="2" t="inlineStr"/>
    </row>
    <row r="1438" ht="15" customHeight="1">
      <c r="A1438" t="inlineStr">
        <is>
          <t>A 493-2022</t>
        </is>
      </c>
      <c r="B1438" t="inlineStr">
        <is>
          <t>avverkningsanmälan</t>
        </is>
      </c>
      <c r="C1438" t="inlineStr">
        <is>
          <t>Föryngringsavverkning</t>
        </is>
      </c>
      <c r="D1438" s="1" t="n">
        <v>44566</v>
      </c>
      <c r="E1438" s="1" t="n">
        <v>46323</v>
      </c>
      <c r="F1438" t="inlineStr">
        <is>
          <t>KALMAR LÄN</t>
        </is>
      </c>
      <c r="G1438" t="inlineStr">
        <is>
          <t>NYBRO</t>
        </is>
      </c>
      <c r="I1438" t="n">
        <v>0.8</v>
      </c>
      <c r="J1438" t="n">
        <v>0</v>
      </c>
      <c r="K1438" t="n">
        <v>0</v>
      </c>
      <c r="L1438" t="n">
        <v>0</v>
      </c>
      <c r="M1438" t="n">
        <v>0</v>
      </c>
      <c r="N1438" t="n">
        <v>0</v>
      </c>
      <c r="O1438" t="n">
        <v>0</v>
      </c>
      <c r="P1438" t="n">
        <v>0</v>
      </c>
      <c r="Q1438" t="n">
        <v>0</v>
      </c>
      <c r="R1438" t="n">
        <v>0</v>
      </c>
      <c r="S1438" t="n">
        <v>0</v>
      </c>
      <c r="T1438" t="n">
        <v>0</v>
      </c>
      <c r="U1438" t="n">
        <v>0</v>
      </c>
      <c r="V1438" s="2" t="inlineStr"/>
    </row>
    <row r="1439" ht="15" customHeight="1">
      <c r="A1439" t="inlineStr">
        <is>
          <t>A 18398-2022</t>
        </is>
      </c>
      <c r="B1439" t="inlineStr">
        <is>
          <t>avverkningsanmälan</t>
        </is>
      </c>
      <c r="C1439" t="inlineStr">
        <is>
          <t>Föryngringsavverkning</t>
        </is>
      </c>
      <c r="D1439" s="1" t="n">
        <v>44686</v>
      </c>
      <c r="E1439" s="1" t="n">
        <v>46323</v>
      </c>
      <c r="F1439" t="inlineStr">
        <is>
          <t>KALMAR LÄN</t>
        </is>
      </c>
      <c r="G1439" t="inlineStr">
        <is>
          <t>HÖGSBY</t>
        </is>
      </c>
      <c r="I1439" t="n">
        <v>1.1</v>
      </c>
      <c r="J1439" t="n">
        <v>0</v>
      </c>
      <c r="K1439" t="n">
        <v>0</v>
      </c>
      <c r="L1439" t="n">
        <v>0</v>
      </c>
      <c r="M1439" t="n">
        <v>0</v>
      </c>
      <c r="N1439" t="n">
        <v>0</v>
      </c>
      <c r="O1439" t="n">
        <v>0</v>
      </c>
      <c r="P1439" t="n">
        <v>0</v>
      </c>
      <c r="Q1439" t="n">
        <v>0</v>
      </c>
      <c r="R1439" t="n">
        <v>0</v>
      </c>
      <c r="S1439" t="n">
        <v>0</v>
      </c>
      <c r="T1439" t="n">
        <v>0</v>
      </c>
      <c r="U1439" t="n">
        <v>0</v>
      </c>
      <c r="V1439" s="2" t="inlineStr"/>
    </row>
    <row r="1440" ht="15" customHeight="1">
      <c r="A1440" t="inlineStr">
        <is>
          <t>A 9087-2022</t>
        </is>
      </c>
      <c r="B1440" t="inlineStr">
        <is>
          <t>avverkningsanmälan</t>
        </is>
      </c>
      <c r="C1440" t="inlineStr">
        <is>
          <t>Föryngringsavverkning</t>
        </is>
      </c>
      <c r="D1440" s="1" t="n">
        <v>44615</v>
      </c>
      <c r="E1440" s="1" t="n">
        <v>46323</v>
      </c>
      <c r="F1440" t="inlineStr">
        <is>
          <t>KALMAR LÄN</t>
        </is>
      </c>
      <c r="G1440" t="inlineStr">
        <is>
          <t>KALMAR</t>
        </is>
      </c>
      <c r="I1440" t="n">
        <v>1.1</v>
      </c>
      <c r="J1440" t="n">
        <v>0</v>
      </c>
      <c r="K1440" t="n">
        <v>0</v>
      </c>
      <c r="L1440" t="n">
        <v>0</v>
      </c>
      <c r="M1440" t="n">
        <v>0</v>
      </c>
      <c r="N1440" t="n">
        <v>0</v>
      </c>
      <c r="O1440" t="n">
        <v>0</v>
      </c>
      <c r="P1440" t="n">
        <v>0</v>
      </c>
      <c r="Q1440" t="n">
        <v>0</v>
      </c>
      <c r="R1440" t="n">
        <v>0</v>
      </c>
      <c r="S1440" t="n">
        <v>0</v>
      </c>
      <c r="T1440" t="n">
        <v>0</v>
      </c>
      <c r="U1440" t="n">
        <v>0</v>
      </c>
      <c r="V1440" s="2" t="inlineStr"/>
    </row>
    <row r="1441" ht="15" customHeight="1">
      <c r="A1441" t="inlineStr">
        <is>
          <t>A 5389-2022</t>
        </is>
      </c>
      <c r="B1441" t="inlineStr">
        <is>
          <t>avverkningsanmälan</t>
        </is>
      </c>
      <c r="C1441" t="inlineStr">
        <is>
          <t>Föryngringsavverkning</t>
        </is>
      </c>
      <c r="D1441" s="1" t="n">
        <v>44595</v>
      </c>
      <c r="E1441" s="1" t="n">
        <v>46323</v>
      </c>
      <c r="F1441" t="inlineStr">
        <is>
          <t>KALMAR LÄN</t>
        </is>
      </c>
      <c r="G1441" t="inlineStr">
        <is>
          <t>TORSÅS</t>
        </is>
      </c>
      <c r="I1441" t="n">
        <v>2.6</v>
      </c>
      <c r="J1441" t="n">
        <v>0</v>
      </c>
      <c r="K1441" t="n">
        <v>0</v>
      </c>
      <c r="L1441" t="n">
        <v>0</v>
      </c>
      <c r="M1441" t="n">
        <v>0</v>
      </c>
      <c r="N1441" t="n">
        <v>0</v>
      </c>
      <c r="O1441" t="n">
        <v>0</v>
      </c>
      <c r="P1441" t="n">
        <v>0</v>
      </c>
      <c r="Q1441" t="n">
        <v>0</v>
      </c>
      <c r="R1441" t="n">
        <v>0</v>
      </c>
      <c r="S1441" t="n">
        <v>0</v>
      </c>
      <c r="T1441" t="n">
        <v>0</v>
      </c>
      <c r="U1441" t="n">
        <v>0</v>
      </c>
      <c r="V1441" s="2" t="inlineStr"/>
    </row>
    <row r="1442" ht="15" customHeight="1">
      <c r="A1442" t="inlineStr">
        <is>
          <t>A 25049-2022</t>
        </is>
      </c>
      <c r="B1442" t="inlineStr">
        <is>
          <t>avverkningsanmälan</t>
        </is>
      </c>
      <c r="C1442" t="inlineStr">
        <is>
          <t>Föryngringsavverkning</t>
        </is>
      </c>
      <c r="D1442" s="1" t="n">
        <v>44729</v>
      </c>
      <c r="E1442" s="1" t="n">
        <v>46323</v>
      </c>
      <c r="F1442" t="inlineStr">
        <is>
          <t>KALMAR LÄN</t>
        </is>
      </c>
      <c r="G1442" t="inlineStr">
        <is>
          <t>VIMMERBY</t>
        </is>
      </c>
      <c r="I1442" t="n">
        <v>0.5</v>
      </c>
      <c r="J1442" t="n">
        <v>0</v>
      </c>
      <c r="K1442" t="n">
        <v>0</v>
      </c>
      <c r="L1442" t="n">
        <v>0</v>
      </c>
      <c r="M1442" t="n">
        <v>0</v>
      </c>
      <c r="N1442" t="n">
        <v>0</v>
      </c>
      <c r="O1442" t="n">
        <v>0</v>
      </c>
      <c r="P1442" t="n">
        <v>0</v>
      </c>
      <c r="Q1442" t="n">
        <v>0</v>
      </c>
      <c r="R1442" t="n">
        <v>0</v>
      </c>
      <c r="S1442" t="n">
        <v>0</v>
      </c>
      <c r="T1442" t="n">
        <v>0</v>
      </c>
      <c r="U1442" t="n">
        <v>0</v>
      </c>
      <c r="V1442" s="2" t="inlineStr"/>
    </row>
    <row r="1443" ht="15" customHeight="1">
      <c r="A1443" t="inlineStr">
        <is>
          <t>A 55382-2022</t>
        </is>
      </c>
      <c r="B1443" t="inlineStr">
        <is>
          <t>avverkningsanmälan</t>
        </is>
      </c>
      <c r="C1443" t="inlineStr">
        <is>
          <t>Föryngringsavverkning</t>
        </is>
      </c>
      <c r="D1443" s="1" t="n">
        <v>44887</v>
      </c>
      <c r="E1443" s="1" t="n">
        <v>46323</v>
      </c>
      <c r="F1443" t="inlineStr">
        <is>
          <t>KALMAR LÄN</t>
        </is>
      </c>
      <c r="G1443" t="inlineStr">
        <is>
          <t>VÄSTERVIK</t>
        </is>
      </c>
      <c r="I1443" t="n">
        <v>3.2</v>
      </c>
      <c r="J1443" t="n">
        <v>0</v>
      </c>
      <c r="K1443" t="n">
        <v>0</v>
      </c>
      <c r="L1443" t="n">
        <v>0</v>
      </c>
      <c r="M1443" t="n">
        <v>0</v>
      </c>
      <c r="N1443" t="n">
        <v>0</v>
      </c>
      <c r="O1443" t="n">
        <v>0</v>
      </c>
      <c r="P1443" t="n">
        <v>0</v>
      </c>
      <c r="Q1443" t="n">
        <v>0</v>
      </c>
      <c r="R1443" t="n">
        <v>0</v>
      </c>
      <c r="S1443" t="n">
        <v>0</v>
      </c>
      <c r="T1443" t="n">
        <v>0</v>
      </c>
      <c r="U1443" t="n">
        <v>0</v>
      </c>
      <c r="V1443" s="2" t="inlineStr"/>
    </row>
    <row r="1444" ht="15" customHeight="1">
      <c r="A1444" t="inlineStr">
        <is>
          <t>A 18077-2022</t>
        </is>
      </c>
      <c r="B1444" t="inlineStr">
        <is>
          <t>avverkningsanmälan</t>
        </is>
      </c>
      <c r="C1444" t="inlineStr">
        <is>
          <t>Föryngringsavverkning</t>
        </is>
      </c>
      <c r="D1444" s="1" t="n">
        <v>44684</v>
      </c>
      <c r="E1444" s="1" t="n">
        <v>46323</v>
      </c>
      <c r="F1444" t="inlineStr">
        <is>
          <t>KALMAR LÄN</t>
        </is>
      </c>
      <c r="G1444" t="inlineStr">
        <is>
          <t>NYBRO</t>
        </is>
      </c>
      <c r="I1444" t="n">
        <v>4.1</v>
      </c>
      <c r="J1444" t="n">
        <v>0</v>
      </c>
      <c r="K1444" t="n">
        <v>0</v>
      </c>
      <c r="L1444" t="n">
        <v>0</v>
      </c>
      <c r="M1444" t="n">
        <v>0</v>
      </c>
      <c r="N1444" t="n">
        <v>0</v>
      </c>
      <c r="O1444" t="n">
        <v>0</v>
      </c>
      <c r="P1444" t="n">
        <v>0</v>
      </c>
      <c r="Q1444" t="n">
        <v>0</v>
      </c>
      <c r="R1444" t="n">
        <v>0</v>
      </c>
      <c r="S1444" t="n">
        <v>0</v>
      </c>
      <c r="T1444" t="n">
        <v>0</v>
      </c>
      <c r="U1444" t="n">
        <v>0</v>
      </c>
      <c r="V1444" s="2" t="inlineStr"/>
    </row>
    <row r="1445" ht="15" customHeight="1">
      <c r="A1445" t="inlineStr">
        <is>
          <t>A 3718-2022</t>
        </is>
      </c>
      <c r="B1445" t="inlineStr">
        <is>
          <t>avverkningsanmälan</t>
        </is>
      </c>
      <c r="C1445" t="inlineStr">
        <is>
          <t>Föryngringsavverkning</t>
        </is>
      </c>
      <c r="D1445" s="1" t="n">
        <v>44586</v>
      </c>
      <c r="E1445" s="1" t="n">
        <v>46323</v>
      </c>
      <c r="F1445" t="inlineStr">
        <is>
          <t>KALMAR LÄN</t>
        </is>
      </c>
      <c r="G1445" t="inlineStr">
        <is>
          <t>VÄSTERVIK</t>
        </is>
      </c>
      <c r="I1445" t="n">
        <v>0.8</v>
      </c>
      <c r="J1445" t="n">
        <v>0</v>
      </c>
      <c r="K1445" t="n">
        <v>0</v>
      </c>
      <c r="L1445" t="n">
        <v>0</v>
      </c>
      <c r="M1445" t="n">
        <v>0</v>
      </c>
      <c r="N1445" t="n">
        <v>0</v>
      </c>
      <c r="O1445" t="n">
        <v>0</v>
      </c>
      <c r="P1445" t="n">
        <v>0</v>
      </c>
      <c r="Q1445" t="n">
        <v>0</v>
      </c>
      <c r="R1445" t="n">
        <v>0</v>
      </c>
      <c r="S1445" t="n">
        <v>0</v>
      </c>
      <c r="T1445" t="n">
        <v>0</v>
      </c>
      <c r="U1445" t="n">
        <v>0</v>
      </c>
      <c r="V1445" s="2" t="inlineStr"/>
    </row>
    <row r="1446" ht="15" customHeight="1">
      <c r="A1446" t="inlineStr">
        <is>
          <t>A 3739-2022</t>
        </is>
      </c>
      <c r="B1446" t="inlineStr">
        <is>
          <t>avverkningsanmälan</t>
        </is>
      </c>
      <c r="C1446" t="inlineStr">
        <is>
          <t>Föryngringsavverkning</t>
        </is>
      </c>
      <c r="D1446" s="1" t="n">
        <v>44586</v>
      </c>
      <c r="E1446" s="1" t="n">
        <v>46323</v>
      </c>
      <c r="F1446" t="inlineStr">
        <is>
          <t>KALMAR LÄN</t>
        </is>
      </c>
      <c r="G1446" t="inlineStr">
        <is>
          <t>KALMAR</t>
        </is>
      </c>
      <c r="I1446" t="n">
        <v>1</v>
      </c>
      <c r="J1446" t="n">
        <v>0</v>
      </c>
      <c r="K1446" t="n">
        <v>0</v>
      </c>
      <c r="L1446" t="n">
        <v>0</v>
      </c>
      <c r="M1446" t="n">
        <v>0</v>
      </c>
      <c r="N1446" t="n">
        <v>0</v>
      </c>
      <c r="O1446" t="n">
        <v>0</v>
      </c>
      <c r="P1446" t="n">
        <v>0</v>
      </c>
      <c r="Q1446" t="n">
        <v>0</v>
      </c>
      <c r="R1446" t="n">
        <v>0</v>
      </c>
      <c r="S1446" t="n">
        <v>0</v>
      </c>
      <c r="T1446" t="n">
        <v>0</v>
      </c>
      <c r="U1446" t="n">
        <v>0</v>
      </c>
      <c r="V1446" s="2" t="inlineStr"/>
    </row>
    <row r="1447" ht="15" customHeight="1">
      <c r="A1447" t="inlineStr">
        <is>
          <t>A 31533-2022</t>
        </is>
      </c>
      <c r="B1447" t="inlineStr">
        <is>
          <t>avverkningsanmälan</t>
        </is>
      </c>
      <c r="C1447" t="inlineStr">
        <is>
          <t>Föryngringsavverkning</t>
        </is>
      </c>
      <c r="D1447" s="1" t="n">
        <v>44774</v>
      </c>
      <c r="E1447" s="1" t="n">
        <v>46323</v>
      </c>
      <c r="F1447" t="inlineStr">
        <is>
          <t>KALMAR LÄN</t>
        </is>
      </c>
      <c r="G1447" t="inlineStr">
        <is>
          <t>VIMMERBY</t>
        </is>
      </c>
      <c r="I1447" t="n">
        <v>2.5</v>
      </c>
      <c r="J1447" t="n">
        <v>0</v>
      </c>
      <c r="K1447" t="n">
        <v>0</v>
      </c>
      <c r="L1447" t="n">
        <v>0</v>
      </c>
      <c r="M1447" t="n">
        <v>0</v>
      </c>
      <c r="N1447" t="n">
        <v>0</v>
      </c>
      <c r="O1447" t="n">
        <v>0</v>
      </c>
      <c r="P1447" t="n">
        <v>0</v>
      </c>
      <c r="Q1447" t="n">
        <v>0</v>
      </c>
      <c r="R1447" t="n">
        <v>0</v>
      </c>
      <c r="S1447" t="n">
        <v>0</v>
      </c>
      <c r="T1447" t="n">
        <v>0</v>
      </c>
      <c r="U1447" t="n">
        <v>0</v>
      </c>
      <c r="V1447" s="2" t="inlineStr"/>
    </row>
    <row r="1448" ht="15" customHeight="1">
      <c r="A1448" t="inlineStr">
        <is>
          <t>A 38448-2022</t>
        </is>
      </c>
      <c r="B1448" t="inlineStr">
        <is>
          <t>avverkningsanmälan</t>
        </is>
      </c>
      <c r="C1448" t="inlineStr">
        <is>
          <t>Föryngringsavverkning</t>
        </is>
      </c>
      <c r="D1448" s="1" t="n">
        <v>44813</v>
      </c>
      <c r="E1448" s="1" t="n">
        <v>46323</v>
      </c>
      <c r="F1448" t="inlineStr">
        <is>
          <t>KALMAR LÄN</t>
        </is>
      </c>
      <c r="G1448" t="inlineStr">
        <is>
          <t>EMMABODA</t>
        </is>
      </c>
      <c r="I1448" t="n">
        <v>0.8</v>
      </c>
      <c r="J1448" t="n">
        <v>0</v>
      </c>
      <c r="K1448" t="n">
        <v>0</v>
      </c>
      <c r="L1448" t="n">
        <v>0</v>
      </c>
      <c r="M1448" t="n">
        <v>0</v>
      </c>
      <c r="N1448" t="n">
        <v>0</v>
      </c>
      <c r="O1448" t="n">
        <v>0</v>
      </c>
      <c r="P1448" t="n">
        <v>0</v>
      </c>
      <c r="Q1448" t="n">
        <v>0</v>
      </c>
      <c r="R1448" t="n">
        <v>0</v>
      </c>
      <c r="S1448" t="n">
        <v>0</v>
      </c>
      <c r="T1448" t="n">
        <v>0</v>
      </c>
      <c r="U1448" t="n">
        <v>0</v>
      </c>
      <c r="V1448" s="2" t="inlineStr"/>
    </row>
    <row r="1449" ht="15" customHeight="1">
      <c r="A1449" t="inlineStr">
        <is>
          <t>A 5269-2022</t>
        </is>
      </c>
      <c r="B1449" t="inlineStr">
        <is>
          <t>avverkningsanmälan</t>
        </is>
      </c>
      <c r="C1449" t="inlineStr">
        <is>
          <t>Föryngringsavverkning</t>
        </is>
      </c>
      <c r="D1449" s="1" t="n">
        <v>44594</v>
      </c>
      <c r="E1449" s="1" t="n">
        <v>46323</v>
      </c>
      <c r="F1449" t="inlineStr">
        <is>
          <t>KALMAR LÄN</t>
        </is>
      </c>
      <c r="G1449" t="inlineStr">
        <is>
          <t>HULTSFRED</t>
        </is>
      </c>
      <c r="I1449" t="n">
        <v>3</v>
      </c>
      <c r="J1449" t="n">
        <v>0</v>
      </c>
      <c r="K1449" t="n">
        <v>0</v>
      </c>
      <c r="L1449" t="n">
        <v>0</v>
      </c>
      <c r="M1449" t="n">
        <v>0</v>
      </c>
      <c r="N1449" t="n">
        <v>0</v>
      </c>
      <c r="O1449" t="n">
        <v>0</v>
      </c>
      <c r="P1449" t="n">
        <v>0</v>
      </c>
      <c r="Q1449" t="n">
        <v>0</v>
      </c>
      <c r="R1449" t="n">
        <v>0</v>
      </c>
      <c r="S1449" t="n">
        <v>0</v>
      </c>
      <c r="T1449" t="n">
        <v>0</v>
      </c>
      <c r="U1449" t="n">
        <v>0</v>
      </c>
      <c r="V1449" s="2" t="inlineStr"/>
    </row>
    <row r="1450" ht="15" customHeight="1">
      <c r="A1450" t="inlineStr">
        <is>
          <t>A 5278-2022</t>
        </is>
      </c>
      <c r="B1450" t="inlineStr">
        <is>
          <t>avverkningsanmälan</t>
        </is>
      </c>
      <c r="C1450" t="inlineStr">
        <is>
          <t>Föryngringsavverkning</t>
        </is>
      </c>
      <c r="D1450" s="1" t="n">
        <v>44594</v>
      </c>
      <c r="E1450" s="1" t="n">
        <v>46323</v>
      </c>
      <c r="F1450" t="inlineStr">
        <is>
          <t>KALMAR LÄN</t>
        </is>
      </c>
      <c r="G1450" t="inlineStr">
        <is>
          <t>HULTSFRED</t>
        </is>
      </c>
      <c r="I1450" t="n">
        <v>0.6</v>
      </c>
      <c r="J1450" t="n">
        <v>0</v>
      </c>
      <c r="K1450" t="n">
        <v>0</v>
      </c>
      <c r="L1450" t="n">
        <v>0</v>
      </c>
      <c r="M1450" t="n">
        <v>0</v>
      </c>
      <c r="N1450" t="n">
        <v>0</v>
      </c>
      <c r="O1450" t="n">
        <v>0</v>
      </c>
      <c r="P1450" t="n">
        <v>0</v>
      </c>
      <c r="Q1450" t="n">
        <v>0</v>
      </c>
      <c r="R1450" t="n">
        <v>0</v>
      </c>
      <c r="S1450" t="n">
        <v>0</v>
      </c>
      <c r="T1450" t="n">
        <v>0</v>
      </c>
      <c r="U1450" t="n">
        <v>0</v>
      </c>
      <c r="V1450" s="2" t="inlineStr"/>
    </row>
    <row r="1451" ht="15" customHeight="1">
      <c r="A1451" t="inlineStr">
        <is>
          <t>A 36951-2022</t>
        </is>
      </c>
      <c r="B1451" t="inlineStr">
        <is>
          <t>avverkningsanmälan</t>
        </is>
      </c>
      <c r="C1451" t="inlineStr">
        <is>
          <t>Föryngringsavverkning</t>
        </is>
      </c>
      <c r="D1451" s="1" t="n">
        <v>44806</v>
      </c>
      <c r="E1451" s="1" t="n">
        <v>46323</v>
      </c>
      <c r="F1451" t="inlineStr">
        <is>
          <t>KALMAR LÄN</t>
        </is>
      </c>
      <c r="G1451" t="inlineStr">
        <is>
          <t>NYBRO</t>
        </is>
      </c>
      <c r="I1451" t="n">
        <v>0.9</v>
      </c>
      <c r="J1451" t="n">
        <v>0</v>
      </c>
      <c r="K1451" t="n">
        <v>0</v>
      </c>
      <c r="L1451" t="n">
        <v>0</v>
      </c>
      <c r="M1451" t="n">
        <v>0</v>
      </c>
      <c r="N1451" t="n">
        <v>0</v>
      </c>
      <c r="O1451" t="n">
        <v>0</v>
      </c>
      <c r="P1451" t="n">
        <v>0</v>
      </c>
      <c r="Q1451" t="n">
        <v>0</v>
      </c>
      <c r="R1451" t="n">
        <v>0</v>
      </c>
      <c r="S1451" t="n">
        <v>0</v>
      </c>
      <c r="T1451" t="n">
        <v>0</v>
      </c>
      <c r="U1451" t="n">
        <v>0</v>
      </c>
      <c r="V1451" s="2" t="inlineStr"/>
    </row>
    <row r="1452" ht="15" customHeight="1">
      <c r="A1452" t="inlineStr">
        <is>
          <t>A 25859-2022</t>
        </is>
      </c>
      <c r="B1452" t="inlineStr">
        <is>
          <t>avverkningsanmälan</t>
        </is>
      </c>
      <c r="C1452" t="inlineStr">
        <is>
          <t>Föryngringsavverkning</t>
        </is>
      </c>
      <c r="D1452" s="1" t="n">
        <v>44733</v>
      </c>
      <c r="E1452" s="1" t="n">
        <v>46323</v>
      </c>
      <c r="F1452" t="inlineStr">
        <is>
          <t>KALMAR LÄN</t>
        </is>
      </c>
      <c r="G1452" t="inlineStr">
        <is>
          <t>VIMMERBY</t>
        </is>
      </c>
      <c r="I1452" t="n">
        <v>0.5</v>
      </c>
      <c r="J1452" t="n">
        <v>0</v>
      </c>
      <c r="K1452" t="n">
        <v>0</v>
      </c>
      <c r="L1452" t="n">
        <v>0</v>
      </c>
      <c r="M1452" t="n">
        <v>0</v>
      </c>
      <c r="N1452" t="n">
        <v>0</v>
      </c>
      <c r="O1452" t="n">
        <v>0</v>
      </c>
      <c r="P1452" t="n">
        <v>0</v>
      </c>
      <c r="Q1452" t="n">
        <v>0</v>
      </c>
      <c r="R1452" t="n">
        <v>0</v>
      </c>
      <c r="S1452" t="n">
        <v>0</v>
      </c>
      <c r="T1452" t="n">
        <v>0</v>
      </c>
      <c r="U1452" t="n">
        <v>0</v>
      </c>
      <c r="V1452" s="2" t="inlineStr"/>
    </row>
    <row r="1453" ht="15" customHeight="1">
      <c r="A1453" t="inlineStr">
        <is>
          <t>A 25868-2022</t>
        </is>
      </c>
      <c r="B1453" t="inlineStr">
        <is>
          <t>avverkningsanmälan</t>
        </is>
      </c>
      <c r="C1453" t="inlineStr">
        <is>
          <t>Föryngringsavverkning</t>
        </is>
      </c>
      <c r="D1453" s="1" t="n">
        <v>44733</v>
      </c>
      <c r="E1453" s="1" t="n">
        <v>46323</v>
      </c>
      <c r="F1453" t="inlineStr">
        <is>
          <t>KALMAR LÄN</t>
        </is>
      </c>
      <c r="G1453" t="inlineStr">
        <is>
          <t>VIMMERBY</t>
        </is>
      </c>
      <c r="I1453" t="n">
        <v>1.7</v>
      </c>
      <c r="J1453" t="n">
        <v>0</v>
      </c>
      <c r="K1453" t="n">
        <v>0</v>
      </c>
      <c r="L1453" t="n">
        <v>0</v>
      </c>
      <c r="M1453" t="n">
        <v>0</v>
      </c>
      <c r="N1453" t="n">
        <v>0</v>
      </c>
      <c r="O1453" t="n">
        <v>0</v>
      </c>
      <c r="P1453" t="n">
        <v>0</v>
      </c>
      <c r="Q1453" t="n">
        <v>0</v>
      </c>
      <c r="R1453" t="n">
        <v>0</v>
      </c>
      <c r="S1453" t="n">
        <v>0</v>
      </c>
      <c r="T1453" t="n">
        <v>0</v>
      </c>
      <c r="U1453" t="n">
        <v>0</v>
      </c>
      <c r="V1453" s="2" t="inlineStr"/>
    </row>
    <row r="1454" ht="15" customHeight="1">
      <c r="A1454" t="inlineStr">
        <is>
          <t>A 37405-2022</t>
        </is>
      </c>
      <c r="B1454" t="inlineStr">
        <is>
          <t>avverkningsanmälan</t>
        </is>
      </c>
      <c r="C1454" t="inlineStr">
        <is>
          <t>Föryngringsavverkning</t>
        </is>
      </c>
      <c r="D1454" s="1" t="n">
        <v>44809</v>
      </c>
      <c r="E1454" s="1" t="n">
        <v>46323</v>
      </c>
      <c r="F1454" t="inlineStr">
        <is>
          <t>KALMAR LÄN</t>
        </is>
      </c>
      <c r="G1454" t="inlineStr">
        <is>
          <t>EMMABODA</t>
        </is>
      </c>
      <c r="I1454" t="n">
        <v>5.6</v>
      </c>
      <c r="J1454" t="n">
        <v>0</v>
      </c>
      <c r="K1454" t="n">
        <v>0</v>
      </c>
      <c r="L1454" t="n">
        <v>0</v>
      </c>
      <c r="M1454" t="n">
        <v>0</v>
      </c>
      <c r="N1454" t="n">
        <v>0</v>
      </c>
      <c r="O1454" t="n">
        <v>0</v>
      </c>
      <c r="P1454" t="n">
        <v>0</v>
      </c>
      <c r="Q1454" t="n">
        <v>0</v>
      </c>
      <c r="R1454" t="n">
        <v>0</v>
      </c>
      <c r="S1454" t="n">
        <v>0</v>
      </c>
      <c r="T1454" t="n">
        <v>0</v>
      </c>
      <c r="U1454" t="n">
        <v>0</v>
      </c>
      <c r="V1454" s="2" t="inlineStr"/>
    </row>
    <row r="1455" ht="15" customHeight="1">
      <c r="A1455" t="inlineStr">
        <is>
          <t>A 61828-2021</t>
        </is>
      </c>
      <c r="B1455" t="inlineStr">
        <is>
          <t>avverkningsanmälan</t>
        </is>
      </c>
      <c r="C1455" t="inlineStr">
        <is>
          <t>Föryngringsavverkning</t>
        </is>
      </c>
      <c r="D1455" s="1" t="n">
        <v>44501</v>
      </c>
      <c r="E1455" s="1" t="n">
        <v>46323</v>
      </c>
      <c r="F1455" t="inlineStr">
        <is>
          <t>KALMAR LÄN</t>
        </is>
      </c>
      <c r="G1455" t="inlineStr">
        <is>
          <t>BORGHOLM</t>
        </is>
      </c>
      <c r="I1455" t="n">
        <v>0.5</v>
      </c>
      <c r="J1455" t="n">
        <v>0</v>
      </c>
      <c r="K1455" t="n">
        <v>0</v>
      </c>
      <c r="L1455" t="n">
        <v>0</v>
      </c>
      <c r="M1455" t="n">
        <v>0</v>
      </c>
      <c r="N1455" t="n">
        <v>0</v>
      </c>
      <c r="O1455" t="n">
        <v>0</v>
      </c>
      <c r="P1455" t="n">
        <v>0</v>
      </c>
      <c r="Q1455" t="n">
        <v>0</v>
      </c>
      <c r="R1455" t="n">
        <v>0</v>
      </c>
      <c r="S1455" t="n">
        <v>0</v>
      </c>
      <c r="T1455" t="n">
        <v>0</v>
      </c>
      <c r="U1455" t="n">
        <v>0</v>
      </c>
      <c r="V1455" s="2" t="inlineStr"/>
    </row>
    <row r="1456" ht="15" customHeight="1">
      <c r="A1456" t="inlineStr">
        <is>
          <t>A 43115-2022</t>
        </is>
      </c>
      <c r="B1456" t="inlineStr">
        <is>
          <t>avverkningsanmälan</t>
        </is>
      </c>
      <c r="C1456" t="inlineStr">
        <is>
          <t>Föryngringsavverkning</t>
        </is>
      </c>
      <c r="D1456" s="1" t="n">
        <v>44833</v>
      </c>
      <c r="E1456" s="1" t="n">
        <v>46323</v>
      </c>
      <c r="F1456" t="inlineStr">
        <is>
          <t>KALMAR LÄN</t>
        </is>
      </c>
      <c r="G1456" t="inlineStr">
        <is>
          <t>NYBRO</t>
        </is>
      </c>
      <c r="I1456" t="n">
        <v>0.9</v>
      </c>
      <c r="J1456" t="n">
        <v>0</v>
      </c>
      <c r="K1456" t="n">
        <v>0</v>
      </c>
      <c r="L1456" t="n">
        <v>0</v>
      </c>
      <c r="M1456" t="n">
        <v>0</v>
      </c>
      <c r="N1456" t="n">
        <v>0</v>
      </c>
      <c r="O1456" t="n">
        <v>0</v>
      </c>
      <c r="P1456" t="n">
        <v>0</v>
      </c>
      <c r="Q1456" t="n">
        <v>0</v>
      </c>
      <c r="R1456" t="n">
        <v>0</v>
      </c>
      <c r="S1456" t="n">
        <v>0</v>
      </c>
      <c r="T1456" t="n">
        <v>0</v>
      </c>
      <c r="U1456" t="n">
        <v>0</v>
      </c>
      <c r="V1456" s="2" t="inlineStr"/>
    </row>
    <row r="1457" ht="15" customHeight="1">
      <c r="A1457" t="inlineStr">
        <is>
          <t>A 49377-2022</t>
        </is>
      </c>
      <c r="B1457" t="inlineStr">
        <is>
          <t>avverkningsanmälan</t>
        </is>
      </c>
      <c r="C1457" t="inlineStr">
        <is>
          <t>Föryngringsavverkning</t>
        </is>
      </c>
      <c r="D1457" s="1" t="n">
        <v>44861</v>
      </c>
      <c r="E1457" s="1" t="n">
        <v>46323</v>
      </c>
      <c r="F1457" t="inlineStr">
        <is>
          <t>KALMAR LÄN</t>
        </is>
      </c>
      <c r="G1457" t="inlineStr">
        <is>
          <t>VÄSTERVIK</t>
        </is>
      </c>
      <c r="I1457" t="n">
        <v>1.1</v>
      </c>
      <c r="J1457" t="n">
        <v>0</v>
      </c>
      <c r="K1457" t="n">
        <v>0</v>
      </c>
      <c r="L1457" t="n">
        <v>0</v>
      </c>
      <c r="M1457" t="n">
        <v>0</v>
      </c>
      <c r="N1457" t="n">
        <v>0</v>
      </c>
      <c r="O1457" t="n">
        <v>0</v>
      </c>
      <c r="P1457" t="n">
        <v>0</v>
      </c>
      <c r="Q1457" t="n">
        <v>0</v>
      </c>
      <c r="R1457" t="n">
        <v>0</v>
      </c>
      <c r="S1457" t="n">
        <v>0</v>
      </c>
      <c r="T1457" t="n">
        <v>0</v>
      </c>
      <c r="U1457" t="n">
        <v>0</v>
      </c>
      <c r="V1457" s="2" t="inlineStr"/>
    </row>
    <row r="1458" ht="15" customHeight="1">
      <c r="A1458" t="inlineStr">
        <is>
          <t>A 42315-2022</t>
        </is>
      </c>
      <c r="B1458" t="inlineStr">
        <is>
          <t>avverkningsanmälan</t>
        </is>
      </c>
      <c r="C1458" t="inlineStr">
        <is>
          <t>Föryngringsavverkning</t>
        </is>
      </c>
      <c r="D1458" s="1" t="n">
        <v>44831</v>
      </c>
      <c r="E1458" s="1" t="n">
        <v>46323</v>
      </c>
      <c r="F1458" t="inlineStr">
        <is>
          <t>KALMAR LÄN</t>
        </is>
      </c>
      <c r="G1458" t="inlineStr">
        <is>
          <t>HULTSFRED</t>
        </is>
      </c>
      <c r="I1458" t="n">
        <v>0.6</v>
      </c>
      <c r="J1458" t="n">
        <v>0</v>
      </c>
      <c r="K1458" t="n">
        <v>0</v>
      </c>
      <c r="L1458" t="n">
        <v>0</v>
      </c>
      <c r="M1458" t="n">
        <v>0</v>
      </c>
      <c r="N1458" t="n">
        <v>0</v>
      </c>
      <c r="O1458" t="n">
        <v>0</v>
      </c>
      <c r="P1458" t="n">
        <v>0</v>
      </c>
      <c r="Q1458" t="n">
        <v>0</v>
      </c>
      <c r="R1458" t="n">
        <v>0</v>
      </c>
      <c r="S1458" t="n">
        <v>0</v>
      </c>
      <c r="T1458" t="n">
        <v>0</v>
      </c>
      <c r="U1458" t="n">
        <v>0</v>
      </c>
      <c r="V1458" s="2" t="inlineStr"/>
    </row>
    <row r="1459" ht="15" customHeight="1">
      <c r="A1459" t="inlineStr">
        <is>
          <t>A 50016-2022</t>
        </is>
      </c>
      <c r="B1459" t="inlineStr">
        <is>
          <t>avverkningsanmälan</t>
        </is>
      </c>
      <c r="C1459" t="inlineStr">
        <is>
          <t>Föryngringsavverkning</t>
        </is>
      </c>
      <c r="D1459" s="1" t="n">
        <v>44865</v>
      </c>
      <c r="E1459" s="1" t="n">
        <v>46323</v>
      </c>
      <c r="F1459" t="inlineStr">
        <is>
          <t>KALMAR LÄN</t>
        </is>
      </c>
      <c r="G1459" t="inlineStr">
        <is>
          <t>MÖNSTERÅS</t>
        </is>
      </c>
      <c r="I1459" t="n">
        <v>0.6</v>
      </c>
      <c r="J1459" t="n">
        <v>0</v>
      </c>
      <c r="K1459" t="n">
        <v>0</v>
      </c>
      <c r="L1459" t="n">
        <v>0</v>
      </c>
      <c r="M1459" t="n">
        <v>0</v>
      </c>
      <c r="N1459" t="n">
        <v>0</v>
      </c>
      <c r="O1459" t="n">
        <v>0</v>
      </c>
      <c r="P1459" t="n">
        <v>0</v>
      </c>
      <c r="Q1459" t="n">
        <v>0</v>
      </c>
      <c r="R1459" t="n">
        <v>0</v>
      </c>
      <c r="S1459" t="n">
        <v>0</v>
      </c>
      <c r="T1459" t="n">
        <v>0</v>
      </c>
      <c r="U1459" t="n">
        <v>0</v>
      </c>
      <c r="V1459" s="2" t="inlineStr"/>
    </row>
    <row r="1460" ht="15" customHeight="1">
      <c r="A1460" t="inlineStr">
        <is>
          <t>A 31291-2022</t>
        </is>
      </c>
      <c r="B1460" t="inlineStr">
        <is>
          <t>avverkningsanmälan</t>
        </is>
      </c>
      <c r="C1460" t="inlineStr">
        <is>
          <t>Föryngringsavverkning</t>
        </is>
      </c>
      <c r="D1460" s="1" t="n">
        <v>44771</v>
      </c>
      <c r="E1460" s="1" t="n">
        <v>46323</v>
      </c>
      <c r="F1460" t="inlineStr">
        <is>
          <t>KALMAR LÄN</t>
        </is>
      </c>
      <c r="G1460" t="inlineStr">
        <is>
          <t>EMMABODA</t>
        </is>
      </c>
      <c r="I1460" t="n">
        <v>1</v>
      </c>
      <c r="J1460" t="n">
        <v>0</v>
      </c>
      <c r="K1460" t="n">
        <v>0</v>
      </c>
      <c r="L1460" t="n">
        <v>0</v>
      </c>
      <c r="M1460" t="n">
        <v>0</v>
      </c>
      <c r="N1460" t="n">
        <v>0</v>
      </c>
      <c r="O1460" t="n">
        <v>0</v>
      </c>
      <c r="P1460" t="n">
        <v>0</v>
      </c>
      <c r="Q1460" t="n">
        <v>0</v>
      </c>
      <c r="R1460" t="n">
        <v>0</v>
      </c>
      <c r="S1460" t="n">
        <v>0</v>
      </c>
      <c r="T1460" t="n">
        <v>0</v>
      </c>
      <c r="U1460" t="n">
        <v>0</v>
      </c>
      <c r="V1460" s="2" t="inlineStr"/>
    </row>
    <row r="1461" ht="15" customHeight="1">
      <c r="A1461" t="inlineStr">
        <is>
          <t>A 65912-2021</t>
        </is>
      </c>
      <c r="B1461" t="inlineStr">
        <is>
          <t>avverkningsanmälan</t>
        </is>
      </c>
      <c r="C1461" t="inlineStr">
        <is>
          <t>Föryngringsavverkning</t>
        </is>
      </c>
      <c r="D1461" s="1" t="n">
        <v>44517</v>
      </c>
      <c r="E1461" s="1" t="n">
        <v>46323</v>
      </c>
      <c r="F1461" t="inlineStr">
        <is>
          <t>KALMAR LÄN</t>
        </is>
      </c>
      <c r="G1461" t="inlineStr">
        <is>
          <t>TORSÅS</t>
        </is>
      </c>
      <c r="I1461" t="n">
        <v>0.5</v>
      </c>
      <c r="J1461" t="n">
        <v>0</v>
      </c>
      <c r="K1461" t="n">
        <v>0</v>
      </c>
      <c r="L1461" t="n">
        <v>0</v>
      </c>
      <c r="M1461" t="n">
        <v>0</v>
      </c>
      <c r="N1461" t="n">
        <v>0</v>
      </c>
      <c r="O1461" t="n">
        <v>0</v>
      </c>
      <c r="P1461" t="n">
        <v>0</v>
      </c>
      <c r="Q1461" t="n">
        <v>0</v>
      </c>
      <c r="R1461" t="n">
        <v>0</v>
      </c>
      <c r="S1461" t="n">
        <v>0</v>
      </c>
      <c r="T1461" t="n">
        <v>0</v>
      </c>
      <c r="U1461" t="n">
        <v>0</v>
      </c>
      <c r="V1461" s="2" t="inlineStr"/>
    </row>
    <row r="1462" ht="15" customHeight="1">
      <c r="A1462" t="inlineStr">
        <is>
          <t>A 3859-2022</t>
        </is>
      </c>
      <c r="B1462" t="inlineStr">
        <is>
          <t>avverkningsanmälan</t>
        </is>
      </c>
      <c r="C1462" t="inlineStr">
        <is>
          <t>Föryngringsavverkning</t>
        </is>
      </c>
      <c r="D1462" s="1" t="n">
        <v>44587</v>
      </c>
      <c r="E1462" s="1" t="n">
        <v>46323</v>
      </c>
      <c r="F1462" t="inlineStr">
        <is>
          <t>KALMAR LÄN</t>
        </is>
      </c>
      <c r="G1462" t="inlineStr">
        <is>
          <t>EMMABODA</t>
        </is>
      </c>
      <c r="I1462" t="n">
        <v>0.6</v>
      </c>
      <c r="J1462" t="n">
        <v>0</v>
      </c>
      <c r="K1462" t="n">
        <v>0</v>
      </c>
      <c r="L1462" t="n">
        <v>0</v>
      </c>
      <c r="M1462" t="n">
        <v>0</v>
      </c>
      <c r="N1462" t="n">
        <v>0</v>
      </c>
      <c r="O1462" t="n">
        <v>0</v>
      </c>
      <c r="P1462" t="n">
        <v>0</v>
      </c>
      <c r="Q1462" t="n">
        <v>0</v>
      </c>
      <c r="R1462" t="n">
        <v>0</v>
      </c>
      <c r="S1462" t="n">
        <v>0</v>
      </c>
      <c r="T1462" t="n">
        <v>0</v>
      </c>
      <c r="U1462" t="n">
        <v>0</v>
      </c>
      <c r="V1462" s="2" t="inlineStr"/>
    </row>
    <row r="1463" ht="15" customHeight="1">
      <c r="A1463" t="inlineStr">
        <is>
          <t>A 4141-2022</t>
        </is>
      </c>
      <c r="B1463" t="inlineStr">
        <is>
          <t>avverkningsanmälan</t>
        </is>
      </c>
      <c r="C1463" t="inlineStr">
        <is>
          <t>Föryngringsavverkning</t>
        </is>
      </c>
      <c r="D1463" s="1" t="n">
        <v>44587</v>
      </c>
      <c r="E1463" s="1" t="n">
        <v>46323</v>
      </c>
      <c r="F1463" t="inlineStr">
        <is>
          <t>KALMAR LÄN</t>
        </is>
      </c>
      <c r="G1463" t="inlineStr">
        <is>
          <t>NYBRO</t>
        </is>
      </c>
      <c r="I1463" t="n">
        <v>0.6</v>
      </c>
      <c r="J1463" t="n">
        <v>0</v>
      </c>
      <c r="K1463" t="n">
        <v>0</v>
      </c>
      <c r="L1463" t="n">
        <v>0</v>
      </c>
      <c r="M1463" t="n">
        <v>0</v>
      </c>
      <c r="N1463" t="n">
        <v>0</v>
      </c>
      <c r="O1463" t="n">
        <v>0</v>
      </c>
      <c r="P1463" t="n">
        <v>0</v>
      </c>
      <c r="Q1463" t="n">
        <v>0</v>
      </c>
      <c r="R1463" t="n">
        <v>0</v>
      </c>
      <c r="S1463" t="n">
        <v>0</v>
      </c>
      <c r="T1463" t="n">
        <v>0</v>
      </c>
      <c r="U1463" t="n">
        <v>0</v>
      </c>
      <c r="V1463" s="2" t="inlineStr"/>
    </row>
    <row r="1464" ht="15" customHeight="1">
      <c r="A1464" t="inlineStr">
        <is>
          <t>A 10621-2022</t>
        </is>
      </c>
      <c r="B1464" t="inlineStr">
        <is>
          <t>avverkningsanmälan</t>
        </is>
      </c>
      <c r="C1464" t="inlineStr">
        <is>
          <t>Föryngringsavverkning</t>
        </is>
      </c>
      <c r="D1464" s="1" t="n">
        <v>44624</v>
      </c>
      <c r="E1464" s="1" t="n">
        <v>46323</v>
      </c>
      <c r="F1464" t="inlineStr">
        <is>
          <t>KALMAR LÄN</t>
        </is>
      </c>
      <c r="G1464" t="inlineStr">
        <is>
          <t>NYBRO</t>
        </is>
      </c>
      <c r="I1464" t="n">
        <v>1.8</v>
      </c>
      <c r="J1464" t="n">
        <v>0</v>
      </c>
      <c r="K1464" t="n">
        <v>0</v>
      </c>
      <c r="L1464" t="n">
        <v>0</v>
      </c>
      <c r="M1464" t="n">
        <v>0</v>
      </c>
      <c r="N1464" t="n">
        <v>0</v>
      </c>
      <c r="O1464" t="n">
        <v>0</v>
      </c>
      <c r="P1464" t="n">
        <v>0</v>
      </c>
      <c r="Q1464" t="n">
        <v>0</v>
      </c>
      <c r="R1464" t="n">
        <v>0</v>
      </c>
      <c r="S1464" t="n">
        <v>0</v>
      </c>
      <c r="T1464" t="n">
        <v>0</v>
      </c>
      <c r="U1464" t="n">
        <v>0</v>
      </c>
      <c r="V1464" s="2" t="inlineStr"/>
    </row>
    <row r="1465" ht="15" customHeight="1">
      <c r="A1465" t="inlineStr">
        <is>
          <t>A 61961-2021</t>
        </is>
      </c>
      <c r="B1465" t="inlineStr">
        <is>
          <t>avverkningsanmälan</t>
        </is>
      </c>
      <c r="C1465" t="inlineStr">
        <is>
          <t>Föryngringsavverkning</t>
        </is>
      </c>
      <c r="D1465" s="1" t="n">
        <v>44502</v>
      </c>
      <c r="E1465" s="1" t="n">
        <v>46323</v>
      </c>
      <c r="F1465" t="inlineStr">
        <is>
          <t>KALMAR LÄN</t>
        </is>
      </c>
      <c r="G1465" t="inlineStr">
        <is>
          <t>KALMAR</t>
        </is>
      </c>
      <c r="I1465" t="n">
        <v>1.1</v>
      </c>
      <c r="J1465" t="n">
        <v>0</v>
      </c>
      <c r="K1465" t="n">
        <v>0</v>
      </c>
      <c r="L1465" t="n">
        <v>0</v>
      </c>
      <c r="M1465" t="n">
        <v>0</v>
      </c>
      <c r="N1465" t="n">
        <v>0</v>
      </c>
      <c r="O1465" t="n">
        <v>0</v>
      </c>
      <c r="P1465" t="n">
        <v>0</v>
      </c>
      <c r="Q1465" t="n">
        <v>0</v>
      </c>
      <c r="R1465" t="n">
        <v>0</v>
      </c>
      <c r="S1465" t="n">
        <v>0</v>
      </c>
      <c r="T1465" t="n">
        <v>0</v>
      </c>
      <c r="U1465" t="n">
        <v>0</v>
      </c>
      <c r="V1465" s="2" t="inlineStr"/>
    </row>
    <row r="1466" ht="15" customHeight="1">
      <c r="A1466" t="inlineStr">
        <is>
          <t>A 4042-2022</t>
        </is>
      </c>
      <c r="B1466" t="inlineStr">
        <is>
          <t>avverkningsanmälan</t>
        </is>
      </c>
      <c r="C1466" t="inlineStr">
        <is>
          <t>Föryngringsavverkning</t>
        </is>
      </c>
      <c r="D1466" s="1" t="n">
        <v>44588</v>
      </c>
      <c r="E1466" s="1" t="n">
        <v>46323</v>
      </c>
      <c r="F1466" t="inlineStr">
        <is>
          <t>KALMAR LÄN</t>
        </is>
      </c>
      <c r="G1466" t="inlineStr">
        <is>
          <t>VIMMERBY</t>
        </is>
      </c>
      <c r="I1466" t="n">
        <v>4.7</v>
      </c>
      <c r="J1466" t="n">
        <v>0</v>
      </c>
      <c r="K1466" t="n">
        <v>0</v>
      </c>
      <c r="L1466" t="n">
        <v>0</v>
      </c>
      <c r="M1466" t="n">
        <v>0</v>
      </c>
      <c r="N1466" t="n">
        <v>0</v>
      </c>
      <c r="O1466" t="n">
        <v>0</v>
      </c>
      <c r="P1466" t="n">
        <v>0</v>
      </c>
      <c r="Q1466" t="n">
        <v>0</v>
      </c>
      <c r="R1466" t="n">
        <v>0</v>
      </c>
      <c r="S1466" t="n">
        <v>0</v>
      </c>
      <c r="T1466" t="n">
        <v>0</v>
      </c>
      <c r="U1466" t="n">
        <v>0</v>
      </c>
      <c r="V1466" s="2" t="inlineStr"/>
    </row>
    <row r="1467" ht="15" customHeight="1">
      <c r="A1467" t="inlineStr">
        <is>
          <t>A 4057-2022</t>
        </is>
      </c>
      <c r="B1467" t="inlineStr">
        <is>
          <t>avverkningsanmälan</t>
        </is>
      </c>
      <c r="C1467" t="inlineStr">
        <is>
          <t>Föryngringsavverkning</t>
        </is>
      </c>
      <c r="D1467" s="1" t="n">
        <v>44588</v>
      </c>
      <c r="E1467" s="1" t="n">
        <v>46323</v>
      </c>
      <c r="F1467" t="inlineStr">
        <is>
          <t>KALMAR LÄN</t>
        </is>
      </c>
      <c r="G1467" t="inlineStr">
        <is>
          <t>VÄSTERVIK</t>
        </is>
      </c>
      <c r="H1467" t="inlineStr">
        <is>
          <t>Holmen skog AB</t>
        </is>
      </c>
      <c r="I1467" t="n">
        <v>2.1</v>
      </c>
      <c r="J1467" t="n">
        <v>0</v>
      </c>
      <c r="K1467" t="n">
        <v>0</v>
      </c>
      <c r="L1467" t="n">
        <v>0</v>
      </c>
      <c r="M1467" t="n">
        <v>0</v>
      </c>
      <c r="N1467" t="n">
        <v>0</v>
      </c>
      <c r="O1467" t="n">
        <v>0</v>
      </c>
      <c r="P1467" t="n">
        <v>0</v>
      </c>
      <c r="Q1467" t="n">
        <v>0</v>
      </c>
      <c r="R1467" t="n">
        <v>0</v>
      </c>
      <c r="S1467" t="n">
        <v>0</v>
      </c>
      <c r="T1467" t="n">
        <v>0</v>
      </c>
      <c r="U1467" t="n">
        <v>0</v>
      </c>
      <c r="V1467" s="2" t="inlineStr"/>
    </row>
    <row r="1468" ht="15" customHeight="1">
      <c r="A1468" t="inlineStr">
        <is>
          <t>A 13149-2022</t>
        </is>
      </c>
      <c r="B1468" t="inlineStr">
        <is>
          <t>avverkningsanmälan</t>
        </is>
      </c>
      <c r="C1468" t="inlineStr">
        <is>
          <t>Föryngringsavverkning</t>
        </is>
      </c>
      <c r="D1468" s="1" t="n">
        <v>44644</v>
      </c>
      <c r="E1468" s="1" t="n">
        <v>46323</v>
      </c>
      <c r="F1468" t="inlineStr">
        <is>
          <t>KALMAR LÄN</t>
        </is>
      </c>
      <c r="G1468" t="inlineStr">
        <is>
          <t>HÖGSBY</t>
        </is>
      </c>
      <c r="I1468" t="n">
        <v>0.7</v>
      </c>
      <c r="J1468" t="n">
        <v>0</v>
      </c>
      <c r="K1468" t="n">
        <v>0</v>
      </c>
      <c r="L1468" t="n">
        <v>0</v>
      </c>
      <c r="M1468" t="n">
        <v>0</v>
      </c>
      <c r="N1468" t="n">
        <v>0</v>
      </c>
      <c r="O1468" t="n">
        <v>0</v>
      </c>
      <c r="P1468" t="n">
        <v>0</v>
      </c>
      <c r="Q1468" t="n">
        <v>0</v>
      </c>
      <c r="R1468" t="n">
        <v>0</v>
      </c>
      <c r="S1468" t="n">
        <v>0</v>
      </c>
      <c r="T1468" t="n">
        <v>0</v>
      </c>
      <c r="U1468" t="n">
        <v>0</v>
      </c>
      <c r="V1468" s="2" t="inlineStr"/>
    </row>
    <row r="1469" ht="15" customHeight="1">
      <c r="A1469" t="inlineStr">
        <is>
          <t>A 71346-2021</t>
        </is>
      </c>
      <c r="B1469" t="inlineStr">
        <is>
          <t>avverkningsanmälan</t>
        </is>
      </c>
      <c r="C1469" t="inlineStr">
        <is>
          <t>Föryngringsavverkning</t>
        </is>
      </c>
      <c r="D1469" s="1" t="n">
        <v>44539</v>
      </c>
      <c r="E1469" s="1" t="n">
        <v>46323</v>
      </c>
      <c r="F1469" t="inlineStr">
        <is>
          <t>KALMAR LÄN</t>
        </is>
      </c>
      <c r="G1469" t="inlineStr">
        <is>
          <t>OSKARSHAMN</t>
        </is>
      </c>
      <c r="H1469" t="inlineStr">
        <is>
          <t>Sveaskog</t>
        </is>
      </c>
      <c r="I1469" t="n">
        <v>0.5</v>
      </c>
      <c r="J1469" t="n">
        <v>0</v>
      </c>
      <c r="K1469" t="n">
        <v>0</v>
      </c>
      <c r="L1469" t="n">
        <v>0</v>
      </c>
      <c r="M1469" t="n">
        <v>0</v>
      </c>
      <c r="N1469" t="n">
        <v>0</v>
      </c>
      <c r="O1469" t="n">
        <v>0</v>
      </c>
      <c r="P1469" t="n">
        <v>0</v>
      </c>
      <c r="Q1469" t="n">
        <v>0</v>
      </c>
      <c r="R1469" t="n">
        <v>0</v>
      </c>
      <c r="S1469" t="n">
        <v>0</v>
      </c>
      <c r="T1469" t="n">
        <v>0</v>
      </c>
      <c r="U1469" t="n">
        <v>0</v>
      </c>
      <c r="V1469" s="2" t="inlineStr"/>
    </row>
    <row r="1470" ht="15" customHeight="1">
      <c r="A1470" t="inlineStr">
        <is>
          <t>A 73186-2021</t>
        </is>
      </c>
      <c r="B1470" t="inlineStr">
        <is>
          <t>avverkningsanmälan</t>
        </is>
      </c>
      <c r="C1470" t="inlineStr">
        <is>
          <t>Föryngringsavverkning</t>
        </is>
      </c>
      <c r="D1470" s="1" t="n">
        <v>44546</v>
      </c>
      <c r="E1470" s="1" t="n">
        <v>46323</v>
      </c>
      <c r="F1470" t="inlineStr">
        <is>
          <t>KALMAR LÄN</t>
        </is>
      </c>
      <c r="G1470" t="inlineStr">
        <is>
          <t>MÖNSTERÅS</t>
        </is>
      </c>
      <c r="I1470" t="n">
        <v>2.2</v>
      </c>
      <c r="J1470" t="n">
        <v>0</v>
      </c>
      <c r="K1470" t="n">
        <v>0</v>
      </c>
      <c r="L1470" t="n">
        <v>0</v>
      </c>
      <c r="M1470" t="n">
        <v>0</v>
      </c>
      <c r="N1470" t="n">
        <v>0</v>
      </c>
      <c r="O1470" t="n">
        <v>0</v>
      </c>
      <c r="P1470" t="n">
        <v>0</v>
      </c>
      <c r="Q1470" t="n">
        <v>0</v>
      </c>
      <c r="R1470" t="n">
        <v>0</v>
      </c>
      <c r="S1470" t="n">
        <v>0</v>
      </c>
      <c r="T1470" t="n">
        <v>0</v>
      </c>
      <c r="U1470" t="n">
        <v>0</v>
      </c>
      <c r="V1470" s="2" t="inlineStr"/>
    </row>
    <row r="1471" ht="15" customHeight="1">
      <c r="A1471" t="inlineStr">
        <is>
          <t>A 63181-2021</t>
        </is>
      </c>
      <c r="B1471" t="inlineStr">
        <is>
          <t>avverkningsanmälan</t>
        </is>
      </c>
      <c r="C1471" t="inlineStr">
        <is>
          <t>Föryngringsavverkning</t>
        </is>
      </c>
      <c r="D1471" s="1" t="n">
        <v>44507</v>
      </c>
      <c r="E1471" s="1" t="n">
        <v>46323</v>
      </c>
      <c r="F1471" t="inlineStr">
        <is>
          <t>KALMAR LÄN</t>
        </is>
      </c>
      <c r="G1471" t="inlineStr">
        <is>
          <t>EMMABODA</t>
        </is>
      </c>
      <c r="I1471" t="n">
        <v>3.7</v>
      </c>
      <c r="J1471" t="n">
        <v>0</v>
      </c>
      <c r="K1471" t="n">
        <v>0</v>
      </c>
      <c r="L1471" t="n">
        <v>0</v>
      </c>
      <c r="M1471" t="n">
        <v>0</v>
      </c>
      <c r="N1471" t="n">
        <v>0</v>
      </c>
      <c r="O1471" t="n">
        <v>0</v>
      </c>
      <c r="P1471" t="n">
        <v>0</v>
      </c>
      <c r="Q1471" t="n">
        <v>0</v>
      </c>
      <c r="R1471" t="n">
        <v>0</v>
      </c>
      <c r="S1471" t="n">
        <v>0</v>
      </c>
      <c r="T1471" t="n">
        <v>0</v>
      </c>
      <c r="U1471" t="n">
        <v>0</v>
      </c>
      <c r="V1471" s="2" t="inlineStr"/>
    </row>
    <row r="1472" ht="15" customHeight="1">
      <c r="A1472" t="inlineStr">
        <is>
          <t>A 63191-2021</t>
        </is>
      </c>
      <c r="B1472" t="inlineStr">
        <is>
          <t>avverkningsanmälan</t>
        </is>
      </c>
      <c r="C1472" t="inlineStr">
        <is>
          <t>Föryngringsavverkning</t>
        </is>
      </c>
      <c r="D1472" s="1" t="n">
        <v>44507</v>
      </c>
      <c r="E1472" s="1" t="n">
        <v>46323</v>
      </c>
      <c r="F1472" t="inlineStr">
        <is>
          <t>KALMAR LÄN</t>
        </is>
      </c>
      <c r="G1472" t="inlineStr">
        <is>
          <t>EMMABODA</t>
        </is>
      </c>
      <c r="I1472" t="n">
        <v>1.5</v>
      </c>
      <c r="J1472" t="n">
        <v>0</v>
      </c>
      <c r="K1472" t="n">
        <v>0</v>
      </c>
      <c r="L1472" t="n">
        <v>0</v>
      </c>
      <c r="M1472" t="n">
        <v>0</v>
      </c>
      <c r="N1472" t="n">
        <v>0</v>
      </c>
      <c r="O1472" t="n">
        <v>0</v>
      </c>
      <c r="P1472" t="n">
        <v>0</v>
      </c>
      <c r="Q1472" t="n">
        <v>0</v>
      </c>
      <c r="R1472" t="n">
        <v>0</v>
      </c>
      <c r="S1472" t="n">
        <v>0</v>
      </c>
      <c r="T1472" t="n">
        <v>0</v>
      </c>
      <c r="U1472" t="n">
        <v>0</v>
      </c>
      <c r="V1472" s="2" t="inlineStr"/>
    </row>
    <row r="1473" ht="15" customHeight="1">
      <c r="A1473" t="inlineStr">
        <is>
          <t>A 33690-2022</t>
        </is>
      </c>
      <c r="B1473" t="inlineStr">
        <is>
          <t>avverkningsanmälan</t>
        </is>
      </c>
      <c r="C1473" t="inlineStr">
        <is>
          <t>Föryngringsavverkning</t>
        </is>
      </c>
      <c r="D1473" s="1" t="n">
        <v>44789</v>
      </c>
      <c r="E1473" s="1" t="n">
        <v>46323</v>
      </c>
      <c r="F1473" t="inlineStr">
        <is>
          <t>KALMAR LÄN</t>
        </is>
      </c>
      <c r="G1473" t="inlineStr">
        <is>
          <t>VIMMERBY</t>
        </is>
      </c>
      <c r="I1473" t="n">
        <v>0.5</v>
      </c>
      <c r="J1473" t="n">
        <v>0</v>
      </c>
      <c r="K1473" t="n">
        <v>0</v>
      </c>
      <c r="L1473" t="n">
        <v>0</v>
      </c>
      <c r="M1473" t="n">
        <v>0</v>
      </c>
      <c r="N1473" t="n">
        <v>0</v>
      </c>
      <c r="O1473" t="n">
        <v>0</v>
      </c>
      <c r="P1473" t="n">
        <v>0</v>
      </c>
      <c r="Q1473" t="n">
        <v>0</v>
      </c>
      <c r="R1473" t="n">
        <v>0</v>
      </c>
      <c r="S1473" t="n">
        <v>0</v>
      </c>
      <c r="T1473" t="n">
        <v>0</v>
      </c>
      <c r="U1473" t="n">
        <v>0</v>
      </c>
      <c r="V1473" s="2" t="inlineStr"/>
    </row>
    <row r="1474" ht="15" customHeight="1">
      <c r="A1474" t="inlineStr">
        <is>
          <t>A 68091-2021</t>
        </is>
      </c>
      <c r="B1474" t="inlineStr">
        <is>
          <t>avverkningsanmälan</t>
        </is>
      </c>
      <c r="C1474" t="inlineStr">
        <is>
          <t>Föryngringsavverkning</t>
        </is>
      </c>
      <c r="D1474" s="1" t="n">
        <v>44526</v>
      </c>
      <c r="E1474" s="1" t="n">
        <v>46323</v>
      </c>
      <c r="F1474" t="inlineStr">
        <is>
          <t>KALMAR LÄN</t>
        </is>
      </c>
      <c r="G1474" t="inlineStr">
        <is>
          <t>HULTSFRED</t>
        </is>
      </c>
      <c r="I1474" t="n">
        <v>0.7</v>
      </c>
      <c r="J1474" t="n">
        <v>0</v>
      </c>
      <c r="K1474" t="n">
        <v>0</v>
      </c>
      <c r="L1474" t="n">
        <v>0</v>
      </c>
      <c r="M1474" t="n">
        <v>0</v>
      </c>
      <c r="N1474" t="n">
        <v>0</v>
      </c>
      <c r="O1474" t="n">
        <v>0</v>
      </c>
      <c r="P1474" t="n">
        <v>0</v>
      </c>
      <c r="Q1474" t="n">
        <v>0</v>
      </c>
      <c r="R1474" t="n">
        <v>0</v>
      </c>
      <c r="S1474" t="n">
        <v>0</v>
      </c>
      <c r="T1474" t="n">
        <v>0</v>
      </c>
      <c r="U1474" t="n">
        <v>0</v>
      </c>
      <c r="V1474" s="2" t="inlineStr"/>
    </row>
    <row r="1475" ht="15" customHeight="1">
      <c r="A1475" t="inlineStr">
        <is>
          <t>A 73755-2021</t>
        </is>
      </c>
      <c r="B1475" t="inlineStr">
        <is>
          <t>avverkningsanmälan</t>
        </is>
      </c>
      <c r="C1475" t="inlineStr">
        <is>
          <t>Föryngringsavverkning</t>
        </is>
      </c>
      <c r="D1475" s="1" t="n">
        <v>44552</v>
      </c>
      <c r="E1475" s="1" t="n">
        <v>46323</v>
      </c>
      <c r="F1475" t="inlineStr">
        <is>
          <t>KALMAR LÄN</t>
        </is>
      </c>
      <c r="G1475" t="inlineStr">
        <is>
          <t>KALMAR</t>
        </is>
      </c>
      <c r="I1475" t="n">
        <v>0.7</v>
      </c>
      <c r="J1475" t="n">
        <v>0</v>
      </c>
      <c r="K1475" t="n">
        <v>0</v>
      </c>
      <c r="L1475" t="n">
        <v>0</v>
      </c>
      <c r="M1475" t="n">
        <v>0</v>
      </c>
      <c r="N1475" t="n">
        <v>0</v>
      </c>
      <c r="O1475" t="n">
        <v>0</v>
      </c>
      <c r="P1475" t="n">
        <v>0</v>
      </c>
      <c r="Q1475" t="n">
        <v>0</v>
      </c>
      <c r="R1475" t="n">
        <v>0</v>
      </c>
      <c r="S1475" t="n">
        <v>0</v>
      </c>
      <c r="T1475" t="n">
        <v>0</v>
      </c>
      <c r="U1475" t="n">
        <v>0</v>
      </c>
      <c r="V1475" s="2" t="inlineStr"/>
    </row>
    <row r="1476" ht="15" customHeight="1">
      <c r="A1476" t="inlineStr">
        <is>
          <t>A 71339-2021</t>
        </is>
      </c>
      <c r="B1476" t="inlineStr">
        <is>
          <t>avverkningsanmälan</t>
        </is>
      </c>
      <c r="C1476" t="inlineStr">
        <is>
          <t>Föryngringsavverkning</t>
        </is>
      </c>
      <c r="D1476" s="1" t="n">
        <v>44539</v>
      </c>
      <c r="E1476" s="1" t="n">
        <v>46323</v>
      </c>
      <c r="F1476" t="inlineStr">
        <is>
          <t>KALMAR LÄN</t>
        </is>
      </c>
      <c r="G1476" t="inlineStr">
        <is>
          <t>OSKARSHAMN</t>
        </is>
      </c>
      <c r="H1476" t="inlineStr">
        <is>
          <t>Sveaskog</t>
        </is>
      </c>
      <c r="I1476" t="n">
        <v>0.8</v>
      </c>
      <c r="J1476" t="n">
        <v>0</v>
      </c>
      <c r="K1476" t="n">
        <v>0</v>
      </c>
      <c r="L1476" t="n">
        <v>0</v>
      </c>
      <c r="M1476" t="n">
        <v>0</v>
      </c>
      <c r="N1476" t="n">
        <v>0</v>
      </c>
      <c r="O1476" t="n">
        <v>0</v>
      </c>
      <c r="P1476" t="n">
        <v>0</v>
      </c>
      <c r="Q1476" t="n">
        <v>0</v>
      </c>
      <c r="R1476" t="n">
        <v>0</v>
      </c>
      <c r="S1476" t="n">
        <v>0</v>
      </c>
      <c r="T1476" t="n">
        <v>0</v>
      </c>
      <c r="U1476" t="n">
        <v>0</v>
      </c>
      <c r="V1476" s="2" t="inlineStr"/>
    </row>
    <row r="1477" ht="15" customHeight="1">
      <c r="A1477" t="inlineStr">
        <is>
          <t>A 18-2022</t>
        </is>
      </c>
      <c r="B1477" t="inlineStr">
        <is>
          <t>avverkningsanmälan</t>
        </is>
      </c>
      <c r="C1477" t="inlineStr">
        <is>
          <t>Föryngringsavverkning</t>
        </is>
      </c>
      <c r="D1477" s="1" t="n">
        <v>44564</v>
      </c>
      <c r="E1477" s="1" t="n">
        <v>46323</v>
      </c>
      <c r="F1477" t="inlineStr">
        <is>
          <t>KALMAR LÄN</t>
        </is>
      </c>
      <c r="G1477" t="inlineStr">
        <is>
          <t>TORSÅS</t>
        </is>
      </c>
      <c r="I1477" t="n">
        <v>1.4</v>
      </c>
      <c r="J1477" t="n">
        <v>0</v>
      </c>
      <c r="K1477" t="n">
        <v>0</v>
      </c>
      <c r="L1477" t="n">
        <v>0</v>
      </c>
      <c r="M1477" t="n">
        <v>0</v>
      </c>
      <c r="N1477" t="n">
        <v>0</v>
      </c>
      <c r="O1477" t="n">
        <v>0</v>
      </c>
      <c r="P1477" t="n">
        <v>0</v>
      </c>
      <c r="Q1477" t="n">
        <v>0</v>
      </c>
      <c r="R1477" t="n">
        <v>0</v>
      </c>
      <c r="S1477" t="n">
        <v>0</v>
      </c>
      <c r="T1477" t="n">
        <v>0</v>
      </c>
      <c r="U1477" t="n">
        <v>0</v>
      </c>
      <c r="V1477" s="2" t="inlineStr"/>
    </row>
    <row r="1478" ht="15" customHeight="1">
      <c r="A1478" t="inlineStr">
        <is>
          <t>A 166-2022</t>
        </is>
      </c>
      <c r="B1478" t="inlineStr">
        <is>
          <t>avverkningsanmälan</t>
        </is>
      </c>
      <c r="C1478" t="inlineStr">
        <is>
          <t>Avverkning för annat ändamål</t>
        </is>
      </c>
      <c r="D1478" s="1" t="n">
        <v>44564</v>
      </c>
      <c r="E1478" s="1" t="n">
        <v>46323</v>
      </c>
      <c r="F1478" t="inlineStr">
        <is>
          <t>KALMAR LÄN</t>
        </is>
      </c>
      <c r="G1478" t="inlineStr">
        <is>
          <t>VÄSTERVIK</t>
        </is>
      </c>
      <c r="I1478" t="n">
        <v>1.5</v>
      </c>
      <c r="J1478" t="n">
        <v>0</v>
      </c>
      <c r="K1478" t="n">
        <v>0</v>
      </c>
      <c r="L1478" t="n">
        <v>0</v>
      </c>
      <c r="M1478" t="n">
        <v>0</v>
      </c>
      <c r="N1478" t="n">
        <v>0</v>
      </c>
      <c r="O1478" t="n">
        <v>0</v>
      </c>
      <c r="P1478" t="n">
        <v>0</v>
      </c>
      <c r="Q1478" t="n">
        <v>0</v>
      </c>
      <c r="R1478" t="n">
        <v>0</v>
      </c>
      <c r="S1478" t="n">
        <v>0</v>
      </c>
      <c r="T1478" t="n">
        <v>0</v>
      </c>
      <c r="U1478" t="n">
        <v>0</v>
      </c>
      <c r="V1478" s="2" t="inlineStr"/>
    </row>
    <row r="1479" ht="15" customHeight="1">
      <c r="A1479" t="inlineStr">
        <is>
          <t>A 72736-2021</t>
        </is>
      </c>
      <c r="B1479" t="inlineStr">
        <is>
          <t>avverkningsanmälan</t>
        </is>
      </c>
      <c r="C1479" t="inlineStr">
        <is>
          <t>Föryngringsavverkning</t>
        </is>
      </c>
      <c r="D1479" s="1" t="n">
        <v>44546</v>
      </c>
      <c r="E1479" s="1" t="n">
        <v>46323</v>
      </c>
      <c r="F1479" t="inlineStr">
        <is>
          <t>KALMAR LÄN</t>
        </is>
      </c>
      <c r="G1479" t="inlineStr">
        <is>
          <t>OSKARSHAMN</t>
        </is>
      </c>
      <c r="H1479" t="inlineStr">
        <is>
          <t>Sveaskog</t>
        </is>
      </c>
      <c r="I1479" t="n">
        <v>1</v>
      </c>
      <c r="J1479" t="n">
        <v>0</v>
      </c>
      <c r="K1479" t="n">
        <v>0</v>
      </c>
      <c r="L1479" t="n">
        <v>0</v>
      </c>
      <c r="M1479" t="n">
        <v>0</v>
      </c>
      <c r="N1479" t="n">
        <v>0</v>
      </c>
      <c r="O1479" t="n">
        <v>0</v>
      </c>
      <c r="P1479" t="n">
        <v>0</v>
      </c>
      <c r="Q1479" t="n">
        <v>0</v>
      </c>
      <c r="R1479" t="n">
        <v>0</v>
      </c>
      <c r="S1479" t="n">
        <v>0</v>
      </c>
      <c r="T1479" t="n">
        <v>0</v>
      </c>
      <c r="U1479" t="n">
        <v>0</v>
      </c>
      <c r="V1479" s="2" t="inlineStr"/>
    </row>
    <row r="1480" ht="15" customHeight="1">
      <c r="A1480" t="inlineStr">
        <is>
          <t>A 63244-2021</t>
        </is>
      </c>
      <c r="B1480" t="inlineStr">
        <is>
          <t>avverkningsanmälan</t>
        </is>
      </c>
      <c r="C1480" t="inlineStr">
        <is>
          <t>Föryngringsavverkning</t>
        </is>
      </c>
      <c r="D1480" s="1" t="n">
        <v>44508</v>
      </c>
      <c r="E1480" s="1" t="n">
        <v>46323</v>
      </c>
      <c r="F1480" t="inlineStr">
        <is>
          <t>KALMAR LÄN</t>
        </is>
      </c>
      <c r="G1480" t="inlineStr">
        <is>
          <t>VIMMERBY</t>
        </is>
      </c>
      <c r="H1480" t="inlineStr">
        <is>
          <t>Övriga statliga verk och myndigheter</t>
        </is>
      </c>
      <c r="I1480" t="n">
        <v>0.6</v>
      </c>
      <c r="J1480" t="n">
        <v>0</v>
      </c>
      <c r="K1480" t="n">
        <v>0</v>
      </c>
      <c r="L1480" t="n">
        <v>0</v>
      </c>
      <c r="M1480" t="n">
        <v>0</v>
      </c>
      <c r="N1480" t="n">
        <v>0</v>
      </c>
      <c r="O1480" t="n">
        <v>0</v>
      </c>
      <c r="P1480" t="n">
        <v>0</v>
      </c>
      <c r="Q1480" t="n">
        <v>0</v>
      </c>
      <c r="R1480" t="n">
        <v>0</v>
      </c>
      <c r="S1480" t="n">
        <v>0</v>
      </c>
      <c r="T1480" t="n">
        <v>0</v>
      </c>
      <c r="U1480" t="n">
        <v>0</v>
      </c>
      <c r="V1480" s="2" t="inlineStr"/>
    </row>
    <row r="1481" ht="15" customHeight="1">
      <c r="A1481" t="inlineStr">
        <is>
          <t>A 64991-2021</t>
        </is>
      </c>
      <c r="B1481" t="inlineStr">
        <is>
          <t>avverkningsanmälan</t>
        </is>
      </c>
      <c r="C1481" t="inlineStr">
        <is>
          <t>Föryngringsavverkning</t>
        </is>
      </c>
      <c r="D1481" s="1" t="n">
        <v>44514</v>
      </c>
      <c r="E1481" s="1" t="n">
        <v>46323</v>
      </c>
      <c r="F1481" t="inlineStr">
        <is>
          <t>KALMAR LÄN</t>
        </is>
      </c>
      <c r="G1481" t="inlineStr">
        <is>
          <t>TORSÅS</t>
        </is>
      </c>
      <c r="I1481" t="n">
        <v>1.4</v>
      </c>
      <c r="J1481" t="n">
        <v>0</v>
      </c>
      <c r="K1481" t="n">
        <v>0</v>
      </c>
      <c r="L1481" t="n">
        <v>0</v>
      </c>
      <c r="M1481" t="n">
        <v>0</v>
      </c>
      <c r="N1481" t="n">
        <v>0</v>
      </c>
      <c r="O1481" t="n">
        <v>0</v>
      </c>
      <c r="P1481" t="n">
        <v>0</v>
      </c>
      <c r="Q1481" t="n">
        <v>0</v>
      </c>
      <c r="R1481" t="n">
        <v>0</v>
      </c>
      <c r="S1481" t="n">
        <v>0</v>
      </c>
      <c r="T1481" t="n">
        <v>0</v>
      </c>
      <c r="U1481" t="n">
        <v>0</v>
      </c>
      <c r="V1481" s="2" t="inlineStr"/>
    </row>
    <row r="1482" ht="15" customHeight="1">
      <c r="A1482" t="inlineStr">
        <is>
          <t>A 4890-2022</t>
        </is>
      </c>
      <c r="B1482" t="inlineStr">
        <is>
          <t>avverkningsanmälan</t>
        </is>
      </c>
      <c r="C1482" t="inlineStr">
        <is>
          <t>Föryngringsavverkning</t>
        </is>
      </c>
      <c r="D1482" s="1" t="n">
        <v>44593</v>
      </c>
      <c r="E1482" s="1" t="n">
        <v>46323</v>
      </c>
      <c r="F1482" t="inlineStr">
        <is>
          <t>KALMAR LÄN</t>
        </is>
      </c>
      <c r="G1482" t="inlineStr">
        <is>
          <t>HÖGSBY</t>
        </is>
      </c>
      <c r="I1482" t="n">
        <v>3.4</v>
      </c>
      <c r="J1482" t="n">
        <v>0</v>
      </c>
      <c r="K1482" t="n">
        <v>0</v>
      </c>
      <c r="L1482" t="n">
        <v>0</v>
      </c>
      <c r="M1482" t="n">
        <v>0</v>
      </c>
      <c r="N1482" t="n">
        <v>0</v>
      </c>
      <c r="O1482" t="n">
        <v>0</v>
      </c>
      <c r="P1482" t="n">
        <v>0</v>
      </c>
      <c r="Q1482" t="n">
        <v>0</v>
      </c>
      <c r="R1482" t="n">
        <v>0</v>
      </c>
      <c r="S1482" t="n">
        <v>0</v>
      </c>
      <c r="T1482" t="n">
        <v>0</v>
      </c>
      <c r="U1482" t="n">
        <v>0</v>
      </c>
      <c r="V1482" s="2" t="inlineStr"/>
    </row>
    <row r="1483" ht="15" customHeight="1">
      <c r="A1483" t="inlineStr">
        <is>
          <t>A 40105-2022</t>
        </is>
      </c>
      <c r="B1483" t="inlineStr">
        <is>
          <t>avverkningsanmälan</t>
        </is>
      </c>
      <c r="C1483" t="inlineStr">
        <is>
          <t>Föryngringsavverkning</t>
        </is>
      </c>
      <c r="D1483" s="1" t="n">
        <v>44818</v>
      </c>
      <c r="E1483" s="1" t="n">
        <v>46323</v>
      </c>
      <c r="F1483" t="inlineStr">
        <is>
          <t>KALMAR LÄN</t>
        </is>
      </c>
      <c r="G1483" t="inlineStr">
        <is>
          <t>HÖGSBY</t>
        </is>
      </c>
      <c r="I1483" t="n">
        <v>6.3</v>
      </c>
      <c r="J1483" t="n">
        <v>0</v>
      </c>
      <c r="K1483" t="n">
        <v>0</v>
      </c>
      <c r="L1483" t="n">
        <v>0</v>
      </c>
      <c r="M1483" t="n">
        <v>0</v>
      </c>
      <c r="N1483" t="n">
        <v>0</v>
      </c>
      <c r="O1483" t="n">
        <v>0</v>
      </c>
      <c r="P1483" t="n">
        <v>0</v>
      </c>
      <c r="Q1483" t="n">
        <v>0</v>
      </c>
      <c r="R1483" t="n">
        <v>0</v>
      </c>
      <c r="S1483" t="n">
        <v>0</v>
      </c>
      <c r="T1483" t="n">
        <v>0</v>
      </c>
      <c r="U1483" t="n">
        <v>0</v>
      </c>
      <c r="V1483" s="2" t="inlineStr"/>
    </row>
    <row r="1484" ht="15" customHeight="1">
      <c r="A1484" t="inlineStr">
        <is>
          <t>A 10960-2022</t>
        </is>
      </c>
      <c r="B1484" t="inlineStr">
        <is>
          <t>avverkningsanmälan</t>
        </is>
      </c>
      <c r="C1484" t="inlineStr">
        <is>
          <t>Föryngringsavverkning</t>
        </is>
      </c>
      <c r="D1484" s="1" t="n">
        <v>44628</v>
      </c>
      <c r="E1484" s="1" t="n">
        <v>46323</v>
      </c>
      <c r="F1484" t="inlineStr">
        <is>
          <t>KALMAR LÄN</t>
        </is>
      </c>
      <c r="G1484" t="inlineStr">
        <is>
          <t>EMMABODA</t>
        </is>
      </c>
      <c r="I1484" t="n">
        <v>0.7</v>
      </c>
      <c r="J1484" t="n">
        <v>0</v>
      </c>
      <c r="K1484" t="n">
        <v>0</v>
      </c>
      <c r="L1484" t="n">
        <v>0</v>
      </c>
      <c r="M1484" t="n">
        <v>0</v>
      </c>
      <c r="N1484" t="n">
        <v>0</v>
      </c>
      <c r="O1484" t="n">
        <v>0</v>
      </c>
      <c r="P1484" t="n">
        <v>0</v>
      </c>
      <c r="Q1484" t="n">
        <v>0</v>
      </c>
      <c r="R1484" t="n">
        <v>0</v>
      </c>
      <c r="S1484" t="n">
        <v>0</v>
      </c>
      <c r="T1484" t="n">
        <v>0</v>
      </c>
      <c r="U1484" t="n">
        <v>0</v>
      </c>
      <c r="V1484" s="2" t="inlineStr"/>
    </row>
    <row r="1485" ht="15" customHeight="1">
      <c r="A1485" t="inlineStr">
        <is>
          <t>A 14374-2022</t>
        </is>
      </c>
      <c r="B1485" t="inlineStr">
        <is>
          <t>avverkningsanmälan</t>
        </is>
      </c>
      <c r="C1485" t="inlineStr">
        <is>
          <t>Föryngringsavverkning</t>
        </is>
      </c>
      <c r="D1485" s="1" t="n">
        <v>44652</v>
      </c>
      <c r="E1485" s="1" t="n">
        <v>46323</v>
      </c>
      <c r="F1485" t="inlineStr">
        <is>
          <t>KALMAR LÄN</t>
        </is>
      </c>
      <c r="G1485" t="inlineStr">
        <is>
          <t>EMMABODA</t>
        </is>
      </c>
      <c r="I1485" t="n">
        <v>0.5</v>
      </c>
      <c r="J1485" t="n">
        <v>0</v>
      </c>
      <c r="K1485" t="n">
        <v>0</v>
      </c>
      <c r="L1485" t="n">
        <v>0</v>
      </c>
      <c r="M1485" t="n">
        <v>0</v>
      </c>
      <c r="N1485" t="n">
        <v>0</v>
      </c>
      <c r="O1485" t="n">
        <v>0</v>
      </c>
      <c r="P1485" t="n">
        <v>0</v>
      </c>
      <c r="Q1485" t="n">
        <v>0</v>
      </c>
      <c r="R1485" t="n">
        <v>0</v>
      </c>
      <c r="S1485" t="n">
        <v>0</v>
      </c>
      <c r="T1485" t="n">
        <v>0</v>
      </c>
      <c r="U1485" t="n">
        <v>0</v>
      </c>
      <c r="V1485" s="2" t="inlineStr"/>
    </row>
    <row r="1486" ht="15" customHeight="1">
      <c r="A1486" t="inlineStr">
        <is>
          <t>A 64558-2021</t>
        </is>
      </c>
      <c r="B1486" t="inlineStr">
        <is>
          <t>avverkningsanmälan</t>
        </is>
      </c>
      <c r="C1486" t="inlineStr">
        <is>
          <t>Föryngringsavverkning</t>
        </is>
      </c>
      <c r="D1486" s="1" t="n">
        <v>44511</v>
      </c>
      <c r="E1486" s="1" t="n">
        <v>46323</v>
      </c>
      <c r="F1486" t="inlineStr">
        <is>
          <t>KALMAR LÄN</t>
        </is>
      </c>
      <c r="G1486" t="inlineStr">
        <is>
          <t>VÄSTERVIK</t>
        </is>
      </c>
      <c r="H1486" t="inlineStr">
        <is>
          <t>Övriga Aktiebolag</t>
        </is>
      </c>
      <c r="I1486" t="n">
        <v>0.5</v>
      </c>
      <c r="J1486" t="n">
        <v>0</v>
      </c>
      <c r="K1486" t="n">
        <v>0</v>
      </c>
      <c r="L1486" t="n">
        <v>0</v>
      </c>
      <c r="M1486" t="n">
        <v>0</v>
      </c>
      <c r="N1486" t="n">
        <v>0</v>
      </c>
      <c r="O1486" t="n">
        <v>0</v>
      </c>
      <c r="P1486" t="n">
        <v>0</v>
      </c>
      <c r="Q1486" t="n">
        <v>0</v>
      </c>
      <c r="R1486" t="n">
        <v>0</v>
      </c>
      <c r="S1486" t="n">
        <v>0</v>
      </c>
      <c r="T1486" t="n">
        <v>0</v>
      </c>
      <c r="U1486" t="n">
        <v>0</v>
      </c>
      <c r="V1486" s="2" t="inlineStr"/>
    </row>
    <row r="1487" ht="15" customHeight="1">
      <c r="A1487" t="inlineStr">
        <is>
          <t>A 6347-2022</t>
        </is>
      </c>
      <c r="B1487" t="inlineStr">
        <is>
          <t>avverkningsanmälan</t>
        </is>
      </c>
      <c r="C1487" t="inlineStr">
        <is>
          <t>Föryngringsavverkning</t>
        </is>
      </c>
      <c r="D1487" s="1" t="n">
        <v>44600</v>
      </c>
      <c r="E1487" s="1" t="n">
        <v>46323</v>
      </c>
      <c r="F1487" t="inlineStr">
        <is>
          <t>KALMAR LÄN</t>
        </is>
      </c>
      <c r="G1487" t="inlineStr">
        <is>
          <t>EMMABODA</t>
        </is>
      </c>
      <c r="I1487" t="n">
        <v>0.6</v>
      </c>
      <c r="J1487" t="n">
        <v>0</v>
      </c>
      <c r="K1487" t="n">
        <v>0</v>
      </c>
      <c r="L1487" t="n">
        <v>0</v>
      </c>
      <c r="M1487" t="n">
        <v>0</v>
      </c>
      <c r="N1487" t="n">
        <v>0</v>
      </c>
      <c r="O1487" t="n">
        <v>0</v>
      </c>
      <c r="P1487" t="n">
        <v>0</v>
      </c>
      <c r="Q1487" t="n">
        <v>0</v>
      </c>
      <c r="R1487" t="n">
        <v>0</v>
      </c>
      <c r="S1487" t="n">
        <v>0</v>
      </c>
      <c r="T1487" t="n">
        <v>0</v>
      </c>
      <c r="U1487" t="n">
        <v>0</v>
      </c>
      <c r="V1487" s="2" t="inlineStr"/>
    </row>
    <row r="1488" ht="15" customHeight="1">
      <c r="A1488" t="inlineStr">
        <is>
          <t>A 73435-2021</t>
        </is>
      </c>
      <c r="B1488" t="inlineStr">
        <is>
          <t>avverkningsanmälan</t>
        </is>
      </c>
      <c r="C1488" t="inlineStr">
        <is>
          <t>Föryngringsavverkning</t>
        </is>
      </c>
      <c r="D1488" s="1" t="n">
        <v>44551</v>
      </c>
      <c r="E1488" s="1" t="n">
        <v>46323</v>
      </c>
      <c r="F1488" t="inlineStr">
        <is>
          <t>KALMAR LÄN</t>
        </is>
      </c>
      <c r="G1488" t="inlineStr">
        <is>
          <t>HÖGSBY</t>
        </is>
      </c>
      <c r="I1488" t="n">
        <v>3.8</v>
      </c>
      <c r="J1488" t="n">
        <v>0</v>
      </c>
      <c r="K1488" t="n">
        <v>0</v>
      </c>
      <c r="L1488" t="n">
        <v>0</v>
      </c>
      <c r="M1488" t="n">
        <v>0</v>
      </c>
      <c r="N1488" t="n">
        <v>0</v>
      </c>
      <c r="O1488" t="n">
        <v>0</v>
      </c>
      <c r="P1488" t="n">
        <v>0</v>
      </c>
      <c r="Q1488" t="n">
        <v>0</v>
      </c>
      <c r="R1488" t="n">
        <v>0</v>
      </c>
      <c r="S1488" t="n">
        <v>0</v>
      </c>
      <c r="T1488" t="n">
        <v>0</v>
      </c>
      <c r="U1488" t="n">
        <v>0</v>
      </c>
      <c r="V1488" s="2" t="inlineStr"/>
    </row>
    <row r="1489" ht="15" customHeight="1">
      <c r="A1489" t="inlineStr">
        <is>
          <t>A 37960-2022</t>
        </is>
      </c>
      <c r="B1489" t="inlineStr">
        <is>
          <t>avverkningsanmälan</t>
        </is>
      </c>
      <c r="C1489" t="inlineStr">
        <is>
          <t>Föryngringsavverkning</t>
        </is>
      </c>
      <c r="D1489" s="1" t="n">
        <v>44811</v>
      </c>
      <c r="E1489" s="1" t="n">
        <v>46323</v>
      </c>
      <c r="F1489" t="inlineStr">
        <is>
          <t>KALMAR LÄN</t>
        </is>
      </c>
      <c r="G1489" t="inlineStr">
        <is>
          <t>HULTSFRED</t>
        </is>
      </c>
      <c r="I1489" t="n">
        <v>0.5</v>
      </c>
      <c r="J1489" t="n">
        <v>0</v>
      </c>
      <c r="K1489" t="n">
        <v>0</v>
      </c>
      <c r="L1489" t="n">
        <v>0</v>
      </c>
      <c r="M1489" t="n">
        <v>0</v>
      </c>
      <c r="N1489" t="n">
        <v>0</v>
      </c>
      <c r="O1489" t="n">
        <v>0</v>
      </c>
      <c r="P1489" t="n">
        <v>0</v>
      </c>
      <c r="Q1489" t="n">
        <v>0</v>
      </c>
      <c r="R1489" t="n">
        <v>0</v>
      </c>
      <c r="S1489" t="n">
        <v>0</v>
      </c>
      <c r="T1489" t="n">
        <v>0</v>
      </c>
      <c r="U1489" t="n">
        <v>0</v>
      </c>
      <c r="V1489" s="2" t="inlineStr"/>
    </row>
    <row r="1490" ht="15" customHeight="1">
      <c r="A1490" t="inlineStr">
        <is>
          <t>A 9871-2022</t>
        </is>
      </c>
      <c r="B1490" t="inlineStr">
        <is>
          <t>avverkningsanmälan</t>
        </is>
      </c>
      <c r="C1490" t="inlineStr">
        <is>
          <t>Föryngringsavverkning</t>
        </is>
      </c>
      <c r="D1490" s="1" t="n">
        <v>44620</v>
      </c>
      <c r="E1490" s="1" t="n">
        <v>46323</v>
      </c>
      <c r="F1490" t="inlineStr">
        <is>
          <t>KALMAR LÄN</t>
        </is>
      </c>
      <c r="G1490" t="inlineStr">
        <is>
          <t>KALMAR</t>
        </is>
      </c>
      <c r="I1490" t="n">
        <v>2.5</v>
      </c>
      <c r="J1490" t="n">
        <v>0</v>
      </c>
      <c r="K1490" t="n">
        <v>0</v>
      </c>
      <c r="L1490" t="n">
        <v>0</v>
      </c>
      <c r="M1490" t="n">
        <v>0</v>
      </c>
      <c r="N1490" t="n">
        <v>0</v>
      </c>
      <c r="O1490" t="n">
        <v>0</v>
      </c>
      <c r="P1490" t="n">
        <v>0</v>
      </c>
      <c r="Q1490" t="n">
        <v>0</v>
      </c>
      <c r="R1490" t="n">
        <v>0</v>
      </c>
      <c r="S1490" t="n">
        <v>0</v>
      </c>
      <c r="T1490" t="n">
        <v>0</v>
      </c>
      <c r="U1490" t="n">
        <v>0</v>
      </c>
      <c r="V1490" s="2" t="inlineStr"/>
    </row>
    <row r="1491" ht="15" customHeight="1">
      <c r="A1491" t="inlineStr">
        <is>
          <t>A 7238-2022</t>
        </is>
      </c>
      <c r="B1491" t="inlineStr">
        <is>
          <t>avverkningsanmälan</t>
        </is>
      </c>
      <c r="C1491" t="inlineStr">
        <is>
          <t>Föryngringsavverkning</t>
        </is>
      </c>
      <c r="D1491" s="1" t="n">
        <v>44606</v>
      </c>
      <c r="E1491" s="1" t="n">
        <v>46323</v>
      </c>
      <c r="F1491" t="inlineStr">
        <is>
          <t>KALMAR LÄN</t>
        </is>
      </c>
      <c r="G1491" t="inlineStr">
        <is>
          <t>MÖNSTERÅS</t>
        </is>
      </c>
      <c r="I1491" t="n">
        <v>0.6</v>
      </c>
      <c r="J1491" t="n">
        <v>0</v>
      </c>
      <c r="K1491" t="n">
        <v>0</v>
      </c>
      <c r="L1491" t="n">
        <v>0</v>
      </c>
      <c r="M1491" t="n">
        <v>0</v>
      </c>
      <c r="N1491" t="n">
        <v>0</v>
      </c>
      <c r="O1491" t="n">
        <v>0</v>
      </c>
      <c r="P1491" t="n">
        <v>0</v>
      </c>
      <c r="Q1491" t="n">
        <v>0</v>
      </c>
      <c r="R1491" t="n">
        <v>0</v>
      </c>
      <c r="S1491" t="n">
        <v>0</v>
      </c>
      <c r="T1491" t="n">
        <v>0</v>
      </c>
      <c r="U1491" t="n">
        <v>0</v>
      </c>
      <c r="V1491" s="2" t="inlineStr"/>
    </row>
    <row r="1492" ht="15" customHeight="1">
      <c r="A1492" t="inlineStr">
        <is>
          <t>A 61584-2021</t>
        </is>
      </c>
      <c r="B1492" t="inlineStr">
        <is>
          <t>avverkningsanmälan</t>
        </is>
      </c>
      <c r="C1492" t="inlineStr">
        <is>
          <t>Föryngringsavverkning</t>
        </is>
      </c>
      <c r="D1492" s="1" t="n">
        <v>44501</v>
      </c>
      <c r="E1492" s="1" t="n">
        <v>46323</v>
      </c>
      <c r="F1492" t="inlineStr">
        <is>
          <t>KALMAR LÄN</t>
        </is>
      </c>
      <c r="G1492" t="inlineStr">
        <is>
          <t>VÄSTERVIK</t>
        </is>
      </c>
      <c r="I1492" t="n">
        <v>3.3</v>
      </c>
      <c r="J1492" t="n">
        <v>0</v>
      </c>
      <c r="K1492" t="n">
        <v>0</v>
      </c>
      <c r="L1492" t="n">
        <v>0</v>
      </c>
      <c r="M1492" t="n">
        <v>0</v>
      </c>
      <c r="N1492" t="n">
        <v>0</v>
      </c>
      <c r="O1492" t="n">
        <v>0</v>
      </c>
      <c r="P1492" t="n">
        <v>0</v>
      </c>
      <c r="Q1492" t="n">
        <v>0</v>
      </c>
      <c r="R1492" t="n">
        <v>0</v>
      </c>
      <c r="S1492" t="n">
        <v>0</v>
      </c>
      <c r="T1492" t="n">
        <v>0</v>
      </c>
      <c r="U1492" t="n">
        <v>0</v>
      </c>
      <c r="V1492" s="2" t="inlineStr"/>
    </row>
    <row r="1493" ht="15" customHeight="1">
      <c r="A1493" t="inlineStr">
        <is>
          <t>A 61590-2021</t>
        </is>
      </c>
      <c r="B1493" t="inlineStr">
        <is>
          <t>avverkningsanmälan</t>
        </is>
      </c>
      <c r="C1493" t="inlineStr">
        <is>
          <t>Föryngringsavverkning</t>
        </is>
      </c>
      <c r="D1493" s="1" t="n">
        <v>44501</v>
      </c>
      <c r="E1493" s="1" t="n">
        <v>46323</v>
      </c>
      <c r="F1493" t="inlineStr">
        <is>
          <t>KALMAR LÄN</t>
        </is>
      </c>
      <c r="G1493" t="inlineStr">
        <is>
          <t>EMMABODA</t>
        </is>
      </c>
      <c r="I1493" t="n">
        <v>0.6</v>
      </c>
      <c r="J1493" t="n">
        <v>0</v>
      </c>
      <c r="K1493" t="n">
        <v>0</v>
      </c>
      <c r="L1493" t="n">
        <v>0</v>
      </c>
      <c r="M1493" t="n">
        <v>0</v>
      </c>
      <c r="N1493" t="n">
        <v>0</v>
      </c>
      <c r="O1493" t="n">
        <v>0</v>
      </c>
      <c r="P1493" t="n">
        <v>0</v>
      </c>
      <c r="Q1493" t="n">
        <v>0</v>
      </c>
      <c r="R1493" t="n">
        <v>0</v>
      </c>
      <c r="S1493" t="n">
        <v>0</v>
      </c>
      <c r="T1493" t="n">
        <v>0</v>
      </c>
      <c r="U1493" t="n">
        <v>0</v>
      </c>
      <c r="V1493" s="2" t="inlineStr"/>
    </row>
    <row r="1494" ht="15" customHeight="1">
      <c r="A1494" t="inlineStr">
        <is>
          <t>A 11814-2022</t>
        </is>
      </c>
      <c r="B1494" t="inlineStr">
        <is>
          <t>avverkningsanmälan</t>
        </is>
      </c>
      <c r="C1494" t="inlineStr">
        <is>
          <t>Föryngringsavverkning</t>
        </is>
      </c>
      <c r="D1494" s="1" t="n">
        <v>44634</v>
      </c>
      <c r="E1494" s="1" t="n">
        <v>46323</v>
      </c>
      <c r="F1494" t="inlineStr">
        <is>
          <t>KALMAR LÄN</t>
        </is>
      </c>
      <c r="G1494" t="inlineStr">
        <is>
          <t>VIMMERBY</t>
        </is>
      </c>
      <c r="I1494" t="n">
        <v>0.5</v>
      </c>
      <c r="J1494" t="n">
        <v>0</v>
      </c>
      <c r="K1494" t="n">
        <v>0</v>
      </c>
      <c r="L1494" t="n">
        <v>0</v>
      </c>
      <c r="M1494" t="n">
        <v>0</v>
      </c>
      <c r="N1494" t="n">
        <v>0</v>
      </c>
      <c r="O1494" t="n">
        <v>0</v>
      </c>
      <c r="P1494" t="n">
        <v>0</v>
      </c>
      <c r="Q1494" t="n">
        <v>0</v>
      </c>
      <c r="R1494" t="n">
        <v>0</v>
      </c>
      <c r="S1494" t="n">
        <v>0</v>
      </c>
      <c r="T1494" t="n">
        <v>0</v>
      </c>
      <c r="U1494" t="n">
        <v>0</v>
      </c>
      <c r="V1494" s="2" t="inlineStr"/>
    </row>
    <row r="1495" ht="15" customHeight="1">
      <c r="A1495" t="inlineStr">
        <is>
          <t>A 6259-2022</t>
        </is>
      </c>
      <c r="B1495" t="inlineStr">
        <is>
          <t>avverkningsanmälan</t>
        </is>
      </c>
      <c r="C1495" t="inlineStr">
        <is>
          <t>Föryngringsavverkning</t>
        </is>
      </c>
      <c r="D1495" s="1" t="n">
        <v>44600</v>
      </c>
      <c r="E1495" s="1" t="n">
        <v>46323</v>
      </c>
      <c r="F1495" t="inlineStr">
        <is>
          <t>KALMAR LÄN</t>
        </is>
      </c>
      <c r="G1495" t="inlineStr">
        <is>
          <t>EMMABODA</t>
        </is>
      </c>
      <c r="I1495" t="n">
        <v>1.5</v>
      </c>
      <c r="J1495" t="n">
        <v>0</v>
      </c>
      <c r="K1495" t="n">
        <v>0</v>
      </c>
      <c r="L1495" t="n">
        <v>0</v>
      </c>
      <c r="M1495" t="n">
        <v>0</v>
      </c>
      <c r="N1495" t="n">
        <v>0</v>
      </c>
      <c r="O1495" t="n">
        <v>0</v>
      </c>
      <c r="P1495" t="n">
        <v>0</v>
      </c>
      <c r="Q1495" t="n">
        <v>0</v>
      </c>
      <c r="R1495" t="n">
        <v>0</v>
      </c>
      <c r="S1495" t="n">
        <v>0</v>
      </c>
      <c r="T1495" t="n">
        <v>0</v>
      </c>
      <c r="U1495" t="n">
        <v>0</v>
      </c>
      <c r="V1495" s="2" t="inlineStr"/>
    </row>
    <row r="1496" ht="15" customHeight="1">
      <c r="A1496" t="inlineStr">
        <is>
          <t>A 31709-2022</t>
        </is>
      </c>
      <c r="B1496" t="inlineStr">
        <is>
          <t>avverkningsanmälan</t>
        </is>
      </c>
      <c r="C1496" t="inlineStr">
        <is>
          <t>Föryngringsavverkning</t>
        </is>
      </c>
      <c r="D1496" s="1" t="n">
        <v>44776</v>
      </c>
      <c r="E1496" s="1" t="n">
        <v>46323</v>
      </c>
      <c r="F1496" t="inlineStr">
        <is>
          <t>KALMAR LÄN</t>
        </is>
      </c>
      <c r="G1496" t="inlineStr">
        <is>
          <t>NYBRO</t>
        </is>
      </c>
      <c r="I1496" t="n">
        <v>1.7</v>
      </c>
      <c r="J1496" t="n">
        <v>0</v>
      </c>
      <c r="K1496" t="n">
        <v>0</v>
      </c>
      <c r="L1496" t="n">
        <v>0</v>
      </c>
      <c r="M1496" t="n">
        <v>0</v>
      </c>
      <c r="N1496" t="n">
        <v>0</v>
      </c>
      <c r="O1496" t="n">
        <v>0</v>
      </c>
      <c r="P1496" t="n">
        <v>0</v>
      </c>
      <c r="Q1496" t="n">
        <v>0</v>
      </c>
      <c r="R1496" t="n">
        <v>0</v>
      </c>
      <c r="S1496" t="n">
        <v>0</v>
      </c>
      <c r="T1496" t="n">
        <v>0</v>
      </c>
      <c r="U1496" t="n">
        <v>0</v>
      </c>
      <c r="V1496" s="2" t="inlineStr"/>
    </row>
    <row r="1497" ht="15" customHeight="1">
      <c r="A1497" t="inlineStr">
        <is>
          <t>A 51575-2022</t>
        </is>
      </c>
      <c r="B1497" t="inlineStr">
        <is>
          <t>avverkningsanmälan</t>
        </is>
      </c>
      <c r="C1497" t="inlineStr">
        <is>
          <t>Föryngringsavverkning</t>
        </is>
      </c>
      <c r="D1497" s="1" t="n">
        <v>44870</v>
      </c>
      <c r="E1497" s="1" t="n">
        <v>46323</v>
      </c>
      <c r="F1497" t="inlineStr">
        <is>
          <t>KALMAR LÄN</t>
        </is>
      </c>
      <c r="G1497" t="inlineStr">
        <is>
          <t>NYBRO</t>
        </is>
      </c>
      <c r="I1497" t="n">
        <v>0.5</v>
      </c>
      <c r="J1497" t="n">
        <v>0</v>
      </c>
      <c r="K1497" t="n">
        <v>0</v>
      </c>
      <c r="L1497" t="n">
        <v>0</v>
      </c>
      <c r="M1497" t="n">
        <v>0</v>
      </c>
      <c r="N1497" t="n">
        <v>0</v>
      </c>
      <c r="O1497" t="n">
        <v>0</v>
      </c>
      <c r="P1497" t="n">
        <v>0</v>
      </c>
      <c r="Q1497" t="n">
        <v>0</v>
      </c>
      <c r="R1497" t="n">
        <v>0</v>
      </c>
      <c r="S1497" t="n">
        <v>0</v>
      </c>
      <c r="T1497" t="n">
        <v>0</v>
      </c>
      <c r="U1497" t="n">
        <v>0</v>
      </c>
      <c r="V1497" s="2" t="inlineStr"/>
    </row>
    <row r="1498" ht="15" customHeight="1">
      <c r="A1498" t="inlineStr">
        <is>
          <t>A 31053-2022</t>
        </is>
      </c>
      <c r="B1498" t="inlineStr">
        <is>
          <t>avverkningsanmälan</t>
        </is>
      </c>
      <c r="C1498" t="inlineStr">
        <is>
          <t>Föryngringsavverkning</t>
        </is>
      </c>
      <c r="D1498" s="1" t="n">
        <v>44769</v>
      </c>
      <c r="E1498" s="1" t="n">
        <v>46323</v>
      </c>
      <c r="F1498" t="inlineStr">
        <is>
          <t>KALMAR LÄN</t>
        </is>
      </c>
      <c r="G1498" t="inlineStr">
        <is>
          <t>VIMMERBY</t>
        </is>
      </c>
      <c r="I1498" t="n">
        <v>1.9</v>
      </c>
      <c r="J1498" t="n">
        <v>0</v>
      </c>
      <c r="K1498" t="n">
        <v>0</v>
      </c>
      <c r="L1498" t="n">
        <v>0</v>
      </c>
      <c r="M1498" t="n">
        <v>0</v>
      </c>
      <c r="N1498" t="n">
        <v>0</v>
      </c>
      <c r="O1498" t="n">
        <v>0</v>
      </c>
      <c r="P1498" t="n">
        <v>0</v>
      </c>
      <c r="Q1498" t="n">
        <v>0</v>
      </c>
      <c r="R1498" t="n">
        <v>0</v>
      </c>
      <c r="S1498" t="n">
        <v>0</v>
      </c>
      <c r="T1498" t="n">
        <v>0</v>
      </c>
      <c r="U1498" t="n">
        <v>0</v>
      </c>
      <c r="V1498" s="2" t="inlineStr"/>
    </row>
    <row r="1499" ht="15" customHeight="1">
      <c r="A1499" t="inlineStr">
        <is>
          <t>A 50536-2022</t>
        </is>
      </c>
      <c r="B1499" t="inlineStr">
        <is>
          <t>avverkningsanmälan</t>
        </is>
      </c>
      <c r="C1499" t="inlineStr">
        <is>
          <t>Föryngringsavverkning</t>
        </is>
      </c>
      <c r="D1499" s="1" t="n">
        <v>44866</v>
      </c>
      <c r="E1499" s="1" t="n">
        <v>46323</v>
      </c>
      <c r="F1499" t="inlineStr">
        <is>
          <t>KALMAR LÄN</t>
        </is>
      </c>
      <c r="G1499" t="inlineStr">
        <is>
          <t>OSKARSHAMN</t>
        </is>
      </c>
      <c r="I1499" t="n">
        <v>6.5</v>
      </c>
      <c r="J1499" t="n">
        <v>0</v>
      </c>
      <c r="K1499" t="n">
        <v>0</v>
      </c>
      <c r="L1499" t="n">
        <v>0</v>
      </c>
      <c r="M1499" t="n">
        <v>0</v>
      </c>
      <c r="N1499" t="n">
        <v>0</v>
      </c>
      <c r="O1499" t="n">
        <v>0</v>
      </c>
      <c r="P1499" t="n">
        <v>0</v>
      </c>
      <c r="Q1499" t="n">
        <v>0</v>
      </c>
      <c r="R1499" t="n">
        <v>0</v>
      </c>
      <c r="S1499" t="n">
        <v>0</v>
      </c>
      <c r="T1499" t="n">
        <v>0</v>
      </c>
      <c r="U1499" t="n">
        <v>0</v>
      </c>
      <c r="V1499" s="2" t="inlineStr"/>
    </row>
    <row r="1500" ht="15" customHeight="1">
      <c r="A1500" t="inlineStr">
        <is>
          <t>A 13743-2022</t>
        </is>
      </c>
      <c r="B1500" t="inlineStr">
        <is>
          <t>avverkningsanmälan</t>
        </is>
      </c>
      <c r="C1500" t="inlineStr">
        <is>
          <t>Avverkning för annat ändamål</t>
        </is>
      </c>
      <c r="D1500" s="1" t="n">
        <v>44649</v>
      </c>
      <c r="E1500" s="1" t="n">
        <v>46323</v>
      </c>
      <c r="F1500" t="inlineStr">
        <is>
          <t>KALMAR LÄN</t>
        </is>
      </c>
      <c r="G1500" t="inlineStr">
        <is>
          <t>MÖNSTERÅS</t>
        </is>
      </c>
      <c r="H1500" t="inlineStr">
        <is>
          <t>Kommuner</t>
        </is>
      </c>
      <c r="I1500" t="n">
        <v>5.7</v>
      </c>
      <c r="J1500" t="n">
        <v>0</v>
      </c>
      <c r="K1500" t="n">
        <v>0</v>
      </c>
      <c r="L1500" t="n">
        <v>0</v>
      </c>
      <c r="M1500" t="n">
        <v>0</v>
      </c>
      <c r="N1500" t="n">
        <v>0</v>
      </c>
      <c r="O1500" t="n">
        <v>0</v>
      </c>
      <c r="P1500" t="n">
        <v>0</v>
      </c>
      <c r="Q1500" t="n">
        <v>0</v>
      </c>
      <c r="R1500" t="n">
        <v>0</v>
      </c>
      <c r="S1500" t="n">
        <v>0</v>
      </c>
      <c r="T1500" t="n">
        <v>0</v>
      </c>
      <c r="U1500" t="n">
        <v>0</v>
      </c>
      <c r="V1500" s="2" t="inlineStr"/>
    </row>
    <row r="1501" ht="15" customHeight="1">
      <c r="A1501" t="inlineStr">
        <is>
          <t>A 8454-2022</t>
        </is>
      </c>
      <c r="B1501" t="inlineStr">
        <is>
          <t>avverkningsanmälan</t>
        </is>
      </c>
      <c r="C1501" t="inlineStr">
        <is>
          <t>Föryngringsavverkning</t>
        </is>
      </c>
      <c r="D1501" s="1" t="n">
        <v>44612</v>
      </c>
      <c r="E1501" s="1" t="n">
        <v>46323</v>
      </c>
      <c r="F1501" t="inlineStr">
        <is>
          <t>KALMAR LÄN</t>
        </is>
      </c>
      <c r="G1501" t="inlineStr">
        <is>
          <t>VIMMERBY</t>
        </is>
      </c>
      <c r="I1501" t="n">
        <v>0.6</v>
      </c>
      <c r="J1501" t="n">
        <v>0</v>
      </c>
      <c r="K1501" t="n">
        <v>0</v>
      </c>
      <c r="L1501" t="n">
        <v>0</v>
      </c>
      <c r="M1501" t="n">
        <v>0</v>
      </c>
      <c r="N1501" t="n">
        <v>0</v>
      </c>
      <c r="O1501" t="n">
        <v>0</v>
      </c>
      <c r="P1501" t="n">
        <v>0</v>
      </c>
      <c r="Q1501" t="n">
        <v>0</v>
      </c>
      <c r="R1501" t="n">
        <v>0</v>
      </c>
      <c r="S1501" t="n">
        <v>0</v>
      </c>
      <c r="T1501" t="n">
        <v>0</v>
      </c>
      <c r="U1501" t="n">
        <v>0</v>
      </c>
      <c r="V1501" s="2" t="inlineStr"/>
    </row>
    <row r="1502" ht="15" customHeight="1">
      <c r="A1502" t="inlineStr">
        <is>
          <t>A 60913-2021</t>
        </is>
      </c>
      <c r="B1502" t="inlineStr">
        <is>
          <t>avverkningsanmälan</t>
        </is>
      </c>
      <c r="C1502" t="inlineStr">
        <is>
          <t>Föryngringsavverkning</t>
        </is>
      </c>
      <c r="D1502" s="1" t="n">
        <v>44497</v>
      </c>
      <c r="E1502" s="1" t="n">
        <v>46323</v>
      </c>
      <c r="F1502" t="inlineStr">
        <is>
          <t>KALMAR LÄN</t>
        </is>
      </c>
      <c r="G1502" t="inlineStr">
        <is>
          <t>OSKARSHAMN</t>
        </is>
      </c>
      <c r="I1502" t="n">
        <v>2.8</v>
      </c>
      <c r="J1502" t="n">
        <v>0</v>
      </c>
      <c r="K1502" t="n">
        <v>0</v>
      </c>
      <c r="L1502" t="n">
        <v>0</v>
      </c>
      <c r="M1502" t="n">
        <v>0</v>
      </c>
      <c r="N1502" t="n">
        <v>0</v>
      </c>
      <c r="O1502" t="n">
        <v>0</v>
      </c>
      <c r="P1502" t="n">
        <v>0</v>
      </c>
      <c r="Q1502" t="n">
        <v>0</v>
      </c>
      <c r="R1502" t="n">
        <v>0</v>
      </c>
      <c r="S1502" t="n">
        <v>0</v>
      </c>
      <c r="T1502" t="n">
        <v>0</v>
      </c>
      <c r="U1502" t="n">
        <v>0</v>
      </c>
      <c r="V1502" s="2" t="inlineStr"/>
    </row>
    <row r="1503" ht="15" customHeight="1">
      <c r="A1503" t="inlineStr">
        <is>
          <t>A 47109-2022</t>
        </is>
      </c>
      <c r="B1503" t="inlineStr">
        <is>
          <t>avverkningsanmälan</t>
        </is>
      </c>
      <c r="C1503" t="inlineStr">
        <is>
          <t>Föryngringsavverkning</t>
        </is>
      </c>
      <c r="D1503" s="1" t="n">
        <v>44852</v>
      </c>
      <c r="E1503" s="1" t="n">
        <v>46323</v>
      </c>
      <c r="F1503" t="inlineStr">
        <is>
          <t>KALMAR LÄN</t>
        </is>
      </c>
      <c r="G1503" t="inlineStr">
        <is>
          <t>EMMABODA</t>
        </is>
      </c>
      <c r="I1503" t="n">
        <v>0.7</v>
      </c>
      <c r="J1503" t="n">
        <v>0</v>
      </c>
      <c r="K1503" t="n">
        <v>0</v>
      </c>
      <c r="L1503" t="n">
        <v>0</v>
      </c>
      <c r="M1503" t="n">
        <v>0</v>
      </c>
      <c r="N1503" t="n">
        <v>0</v>
      </c>
      <c r="O1503" t="n">
        <v>0</v>
      </c>
      <c r="P1503" t="n">
        <v>0</v>
      </c>
      <c r="Q1503" t="n">
        <v>0</v>
      </c>
      <c r="R1503" t="n">
        <v>0</v>
      </c>
      <c r="S1503" t="n">
        <v>0</v>
      </c>
      <c r="T1503" t="n">
        <v>0</v>
      </c>
      <c r="U1503" t="n">
        <v>0</v>
      </c>
      <c r="V1503" s="2" t="inlineStr"/>
    </row>
    <row r="1504" ht="15" customHeight="1">
      <c r="A1504" t="inlineStr">
        <is>
          <t>A 70594-2021</t>
        </is>
      </c>
      <c r="B1504" t="inlineStr">
        <is>
          <t>avverkningsanmälan</t>
        </is>
      </c>
      <c r="C1504" t="inlineStr">
        <is>
          <t>Föryngringsavverkning</t>
        </is>
      </c>
      <c r="D1504" s="1" t="n">
        <v>44537</v>
      </c>
      <c r="E1504" s="1" t="n">
        <v>46323</v>
      </c>
      <c r="F1504" t="inlineStr">
        <is>
          <t>KALMAR LÄN</t>
        </is>
      </c>
      <c r="G1504" t="inlineStr">
        <is>
          <t>MÖNSTERÅS</t>
        </is>
      </c>
      <c r="I1504" t="n">
        <v>0.7</v>
      </c>
      <c r="J1504" t="n">
        <v>0</v>
      </c>
      <c r="K1504" t="n">
        <v>0</v>
      </c>
      <c r="L1504" t="n">
        <v>0</v>
      </c>
      <c r="M1504" t="n">
        <v>0</v>
      </c>
      <c r="N1504" t="n">
        <v>0</v>
      </c>
      <c r="O1504" t="n">
        <v>0</v>
      </c>
      <c r="P1504" t="n">
        <v>0</v>
      </c>
      <c r="Q1504" t="n">
        <v>0</v>
      </c>
      <c r="R1504" t="n">
        <v>0</v>
      </c>
      <c r="S1504" t="n">
        <v>0</v>
      </c>
      <c r="T1504" t="n">
        <v>0</v>
      </c>
      <c r="U1504" t="n">
        <v>0</v>
      </c>
      <c r="V1504" s="2" t="inlineStr"/>
    </row>
    <row r="1505" ht="15" customHeight="1">
      <c r="A1505" t="inlineStr">
        <is>
          <t>A 71165-2021</t>
        </is>
      </c>
      <c r="B1505" t="inlineStr">
        <is>
          <t>avverkningsanmälan</t>
        </is>
      </c>
      <c r="C1505" t="inlineStr">
        <is>
          <t>Föryngringsavverkning</t>
        </is>
      </c>
      <c r="D1505" s="1" t="n">
        <v>44539</v>
      </c>
      <c r="E1505" s="1" t="n">
        <v>46323</v>
      </c>
      <c r="F1505" t="inlineStr">
        <is>
          <t>KALMAR LÄN</t>
        </is>
      </c>
      <c r="G1505" t="inlineStr">
        <is>
          <t>HÖGSBY</t>
        </is>
      </c>
      <c r="I1505" t="n">
        <v>4.9</v>
      </c>
      <c r="J1505" t="n">
        <v>0</v>
      </c>
      <c r="K1505" t="n">
        <v>0</v>
      </c>
      <c r="L1505" t="n">
        <v>0</v>
      </c>
      <c r="M1505" t="n">
        <v>0</v>
      </c>
      <c r="N1505" t="n">
        <v>0</v>
      </c>
      <c r="O1505" t="n">
        <v>0</v>
      </c>
      <c r="P1505" t="n">
        <v>0</v>
      </c>
      <c r="Q1505" t="n">
        <v>0</v>
      </c>
      <c r="R1505" t="n">
        <v>0</v>
      </c>
      <c r="S1505" t="n">
        <v>0</v>
      </c>
      <c r="T1505" t="n">
        <v>0</v>
      </c>
      <c r="U1505" t="n">
        <v>0</v>
      </c>
      <c r="V1505" s="2" t="inlineStr"/>
    </row>
    <row r="1506" ht="15" customHeight="1">
      <c r="A1506" t="inlineStr">
        <is>
          <t>A 31222-2022</t>
        </is>
      </c>
      <c r="B1506" t="inlineStr">
        <is>
          <t>avverkningsanmälan</t>
        </is>
      </c>
      <c r="C1506" t="inlineStr">
        <is>
          <t>Föryngringsavverkning</t>
        </is>
      </c>
      <c r="D1506" s="1" t="n">
        <v>44771</v>
      </c>
      <c r="E1506" s="1" t="n">
        <v>46323</v>
      </c>
      <c r="F1506" t="inlineStr">
        <is>
          <t>KALMAR LÄN</t>
        </is>
      </c>
      <c r="G1506" t="inlineStr">
        <is>
          <t>NYBRO</t>
        </is>
      </c>
      <c r="I1506" t="n">
        <v>0.9</v>
      </c>
      <c r="J1506" t="n">
        <v>0</v>
      </c>
      <c r="K1506" t="n">
        <v>0</v>
      </c>
      <c r="L1506" t="n">
        <v>0</v>
      </c>
      <c r="M1506" t="n">
        <v>0</v>
      </c>
      <c r="N1506" t="n">
        <v>0</v>
      </c>
      <c r="O1506" t="n">
        <v>0</v>
      </c>
      <c r="P1506" t="n">
        <v>0</v>
      </c>
      <c r="Q1506" t="n">
        <v>0</v>
      </c>
      <c r="R1506" t="n">
        <v>0</v>
      </c>
      <c r="S1506" t="n">
        <v>0</v>
      </c>
      <c r="T1506" t="n">
        <v>0</v>
      </c>
      <c r="U1506" t="n">
        <v>0</v>
      </c>
      <c r="V1506" s="2" t="inlineStr"/>
    </row>
    <row r="1507" ht="15" customHeight="1">
      <c r="A1507" t="inlineStr">
        <is>
          <t>A 40925-2022</t>
        </is>
      </c>
      <c r="B1507" t="inlineStr">
        <is>
          <t>avverkningsanmälan</t>
        </is>
      </c>
      <c r="C1507" t="inlineStr">
        <is>
          <t>Föryngringsavverkning</t>
        </is>
      </c>
      <c r="D1507" s="1" t="n">
        <v>44825</v>
      </c>
      <c r="E1507" s="1" t="n">
        <v>46323</v>
      </c>
      <c r="F1507" t="inlineStr">
        <is>
          <t>KALMAR LÄN</t>
        </is>
      </c>
      <c r="G1507" t="inlineStr">
        <is>
          <t>VÄSTERVIK</t>
        </is>
      </c>
      <c r="H1507" t="inlineStr">
        <is>
          <t>Sveaskog</t>
        </is>
      </c>
      <c r="I1507" t="n">
        <v>2.4</v>
      </c>
      <c r="J1507" t="n">
        <v>0</v>
      </c>
      <c r="K1507" t="n">
        <v>0</v>
      </c>
      <c r="L1507" t="n">
        <v>0</v>
      </c>
      <c r="M1507" t="n">
        <v>0</v>
      </c>
      <c r="N1507" t="n">
        <v>0</v>
      </c>
      <c r="O1507" t="n">
        <v>0</v>
      </c>
      <c r="P1507" t="n">
        <v>0</v>
      </c>
      <c r="Q1507" t="n">
        <v>0</v>
      </c>
      <c r="R1507" t="n">
        <v>0</v>
      </c>
      <c r="S1507" t="n">
        <v>0</v>
      </c>
      <c r="T1507" t="n">
        <v>0</v>
      </c>
      <c r="U1507" t="n">
        <v>0</v>
      </c>
      <c r="V1507" s="2" t="inlineStr"/>
    </row>
    <row r="1508" ht="15" customHeight="1">
      <c r="A1508" t="inlineStr">
        <is>
          <t>A 66046-2021</t>
        </is>
      </c>
      <c r="B1508" t="inlineStr">
        <is>
          <t>avverkningsanmälan</t>
        </is>
      </c>
      <c r="C1508" t="inlineStr">
        <is>
          <t>Föryngringsavverkning</t>
        </is>
      </c>
      <c r="D1508" s="1" t="n">
        <v>44517</v>
      </c>
      <c r="E1508" s="1" t="n">
        <v>46323</v>
      </c>
      <c r="F1508" t="inlineStr">
        <is>
          <t>KALMAR LÄN</t>
        </is>
      </c>
      <c r="G1508" t="inlineStr">
        <is>
          <t>MÖNSTERÅS</t>
        </is>
      </c>
      <c r="H1508" t="inlineStr">
        <is>
          <t>Kommuner</t>
        </is>
      </c>
      <c r="I1508" t="n">
        <v>3.4</v>
      </c>
      <c r="J1508" t="n">
        <v>0</v>
      </c>
      <c r="K1508" t="n">
        <v>0</v>
      </c>
      <c r="L1508" t="n">
        <v>0</v>
      </c>
      <c r="M1508" t="n">
        <v>0</v>
      </c>
      <c r="N1508" t="n">
        <v>0</v>
      </c>
      <c r="O1508" t="n">
        <v>0</v>
      </c>
      <c r="P1508" t="n">
        <v>0</v>
      </c>
      <c r="Q1508" t="n">
        <v>0</v>
      </c>
      <c r="R1508" t="n">
        <v>0</v>
      </c>
      <c r="S1508" t="n">
        <v>0</v>
      </c>
      <c r="T1508" t="n">
        <v>0</v>
      </c>
      <c r="U1508" t="n">
        <v>0</v>
      </c>
      <c r="V1508" s="2" t="inlineStr"/>
    </row>
    <row r="1509" ht="15" customHeight="1">
      <c r="A1509" t="inlineStr">
        <is>
          <t>A 23105-2022</t>
        </is>
      </c>
      <c r="B1509" t="inlineStr">
        <is>
          <t>avverkningsanmälan</t>
        </is>
      </c>
      <c r="C1509" t="inlineStr">
        <is>
          <t>Föryngringsavverkning</t>
        </is>
      </c>
      <c r="D1509" s="1" t="n">
        <v>44719</v>
      </c>
      <c r="E1509" s="1" t="n">
        <v>46323</v>
      </c>
      <c r="F1509" t="inlineStr">
        <is>
          <t>KALMAR LÄN</t>
        </is>
      </c>
      <c r="G1509" t="inlineStr">
        <is>
          <t>HÖGSBY</t>
        </is>
      </c>
      <c r="I1509" t="n">
        <v>1.3</v>
      </c>
      <c r="J1509" t="n">
        <v>0</v>
      </c>
      <c r="K1509" t="n">
        <v>0</v>
      </c>
      <c r="L1509" t="n">
        <v>0</v>
      </c>
      <c r="M1509" t="n">
        <v>0</v>
      </c>
      <c r="N1509" t="n">
        <v>0</v>
      </c>
      <c r="O1509" t="n">
        <v>0</v>
      </c>
      <c r="P1509" t="n">
        <v>0</v>
      </c>
      <c r="Q1509" t="n">
        <v>0</v>
      </c>
      <c r="R1509" t="n">
        <v>0</v>
      </c>
      <c r="S1509" t="n">
        <v>0</v>
      </c>
      <c r="T1509" t="n">
        <v>0</v>
      </c>
      <c r="U1509" t="n">
        <v>0</v>
      </c>
      <c r="V1509" s="2" t="inlineStr"/>
    </row>
    <row r="1510" ht="15" customHeight="1">
      <c r="A1510" t="inlineStr">
        <is>
          <t>A 65887-2021</t>
        </is>
      </c>
      <c r="B1510" t="inlineStr">
        <is>
          <t>avverkningsanmälan</t>
        </is>
      </c>
      <c r="C1510" t="inlineStr">
        <is>
          <t>Föryngringsavverkning</t>
        </is>
      </c>
      <c r="D1510" s="1" t="n">
        <v>44517</v>
      </c>
      <c r="E1510" s="1" t="n">
        <v>46323</v>
      </c>
      <c r="F1510" t="inlineStr">
        <is>
          <t>KALMAR LÄN</t>
        </is>
      </c>
      <c r="G1510" t="inlineStr">
        <is>
          <t>VIMMERBY</t>
        </is>
      </c>
      <c r="I1510" t="n">
        <v>1.4</v>
      </c>
      <c r="J1510" t="n">
        <v>0</v>
      </c>
      <c r="K1510" t="n">
        <v>0</v>
      </c>
      <c r="L1510" t="n">
        <v>0</v>
      </c>
      <c r="M1510" t="n">
        <v>0</v>
      </c>
      <c r="N1510" t="n">
        <v>0</v>
      </c>
      <c r="O1510" t="n">
        <v>0</v>
      </c>
      <c r="P1510" t="n">
        <v>0</v>
      </c>
      <c r="Q1510" t="n">
        <v>0</v>
      </c>
      <c r="R1510" t="n">
        <v>0</v>
      </c>
      <c r="S1510" t="n">
        <v>0</v>
      </c>
      <c r="T1510" t="n">
        <v>0</v>
      </c>
      <c r="U1510" t="n">
        <v>0</v>
      </c>
      <c r="V1510" s="2" t="inlineStr"/>
    </row>
    <row r="1511" ht="15" customHeight="1">
      <c r="A1511" t="inlineStr">
        <is>
          <t>A 24743-2022</t>
        </is>
      </c>
      <c r="B1511" t="inlineStr">
        <is>
          <t>avverkningsanmälan</t>
        </is>
      </c>
      <c r="C1511" t="inlineStr">
        <is>
          <t>Föryngringsavverkning</t>
        </is>
      </c>
      <c r="D1511" s="1" t="n">
        <v>44727</v>
      </c>
      <c r="E1511" s="1" t="n">
        <v>46323</v>
      </c>
      <c r="F1511" t="inlineStr">
        <is>
          <t>KALMAR LÄN</t>
        </is>
      </c>
      <c r="G1511" t="inlineStr">
        <is>
          <t>MÖNSTERÅS</t>
        </is>
      </c>
      <c r="I1511" t="n">
        <v>1.5</v>
      </c>
      <c r="J1511" t="n">
        <v>0</v>
      </c>
      <c r="K1511" t="n">
        <v>0</v>
      </c>
      <c r="L1511" t="n">
        <v>0</v>
      </c>
      <c r="M1511" t="n">
        <v>0</v>
      </c>
      <c r="N1511" t="n">
        <v>0</v>
      </c>
      <c r="O1511" t="n">
        <v>0</v>
      </c>
      <c r="P1511" t="n">
        <v>0</v>
      </c>
      <c r="Q1511" t="n">
        <v>0</v>
      </c>
      <c r="R1511" t="n">
        <v>0</v>
      </c>
      <c r="S1511" t="n">
        <v>0</v>
      </c>
      <c r="T1511" t="n">
        <v>0</v>
      </c>
      <c r="U1511" t="n">
        <v>0</v>
      </c>
      <c r="V1511" s="2" t="inlineStr"/>
    </row>
    <row r="1512" ht="15" customHeight="1">
      <c r="A1512" t="inlineStr">
        <is>
          <t>A 41731-2022</t>
        </is>
      </c>
      <c r="B1512" t="inlineStr">
        <is>
          <t>avverkningsanmälan</t>
        </is>
      </c>
      <c r="C1512" t="inlineStr">
        <is>
          <t>Föryngringsavverkning</t>
        </is>
      </c>
      <c r="D1512" s="1" t="n">
        <v>44827</v>
      </c>
      <c r="E1512" s="1" t="n">
        <v>46323</v>
      </c>
      <c r="F1512" t="inlineStr">
        <is>
          <t>KALMAR LÄN</t>
        </is>
      </c>
      <c r="G1512" t="inlineStr">
        <is>
          <t>HULTSFRED</t>
        </is>
      </c>
      <c r="I1512" t="n">
        <v>1.9</v>
      </c>
      <c r="J1512" t="n">
        <v>0</v>
      </c>
      <c r="K1512" t="n">
        <v>0</v>
      </c>
      <c r="L1512" t="n">
        <v>0</v>
      </c>
      <c r="M1512" t="n">
        <v>0</v>
      </c>
      <c r="N1512" t="n">
        <v>0</v>
      </c>
      <c r="O1512" t="n">
        <v>0</v>
      </c>
      <c r="P1512" t="n">
        <v>0</v>
      </c>
      <c r="Q1512" t="n">
        <v>0</v>
      </c>
      <c r="R1512" t="n">
        <v>0</v>
      </c>
      <c r="S1512" t="n">
        <v>0</v>
      </c>
      <c r="T1512" t="n">
        <v>0</v>
      </c>
      <c r="U1512" t="n">
        <v>0</v>
      </c>
      <c r="V1512" s="2" t="inlineStr"/>
    </row>
    <row r="1513" ht="15" customHeight="1">
      <c r="A1513" t="inlineStr">
        <is>
          <t>A 39959-2022</t>
        </is>
      </c>
      <c r="B1513" t="inlineStr">
        <is>
          <t>avverkningsanmälan</t>
        </is>
      </c>
      <c r="C1513" t="inlineStr">
        <is>
          <t>Föryngringsavverkning</t>
        </is>
      </c>
      <c r="D1513" s="1" t="n">
        <v>44819</v>
      </c>
      <c r="E1513" s="1" t="n">
        <v>46323</v>
      </c>
      <c r="F1513" t="inlineStr">
        <is>
          <t>KALMAR LÄN</t>
        </is>
      </c>
      <c r="G1513" t="inlineStr">
        <is>
          <t>VIMMERBY</t>
        </is>
      </c>
      <c r="I1513" t="n">
        <v>0.9</v>
      </c>
      <c r="J1513" t="n">
        <v>0</v>
      </c>
      <c r="K1513" t="n">
        <v>0</v>
      </c>
      <c r="L1513" t="n">
        <v>0</v>
      </c>
      <c r="M1513" t="n">
        <v>0</v>
      </c>
      <c r="N1513" t="n">
        <v>0</v>
      </c>
      <c r="O1513" t="n">
        <v>0</v>
      </c>
      <c r="P1513" t="n">
        <v>0</v>
      </c>
      <c r="Q1513" t="n">
        <v>0</v>
      </c>
      <c r="R1513" t="n">
        <v>0</v>
      </c>
      <c r="S1513" t="n">
        <v>0</v>
      </c>
      <c r="T1513" t="n">
        <v>0</v>
      </c>
      <c r="U1513" t="n">
        <v>0</v>
      </c>
      <c r="V1513" s="2" t="inlineStr"/>
    </row>
    <row r="1514" ht="15" customHeight="1">
      <c r="A1514" t="inlineStr">
        <is>
          <t>A 320-2022</t>
        </is>
      </c>
      <c r="B1514" t="inlineStr">
        <is>
          <t>avverkningsanmälan</t>
        </is>
      </c>
      <c r="C1514" t="inlineStr">
        <is>
          <t>Föryngringsavverkning</t>
        </is>
      </c>
      <c r="D1514" s="1" t="n">
        <v>44565</v>
      </c>
      <c r="E1514" s="1" t="n">
        <v>46323</v>
      </c>
      <c r="F1514" t="inlineStr">
        <is>
          <t>KALMAR LÄN</t>
        </is>
      </c>
      <c r="G1514" t="inlineStr">
        <is>
          <t>VÄSTERVIK</t>
        </is>
      </c>
      <c r="I1514" t="n">
        <v>0.8</v>
      </c>
      <c r="J1514" t="n">
        <v>0</v>
      </c>
      <c r="K1514" t="n">
        <v>0</v>
      </c>
      <c r="L1514" t="n">
        <v>0</v>
      </c>
      <c r="M1514" t="n">
        <v>0</v>
      </c>
      <c r="N1514" t="n">
        <v>0</v>
      </c>
      <c r="O1514" t="n">
        <v>0</v>
      </c>
      <c r="P1514" t="n">
        <v>0</v>
      </c>
      <c r="Q1514" t="n">
        <v>0</v>
      </c>
      <c r="R1514" t="n">
        <v>0</v>
      </c>
      <c r="S1514" t="n">
        <v>0</v>
      </c>
      <c r="T1514" t="n">
        <v>0</v>
      </c>
      <c r="U1514" t="n">
        <v>0</v>
      </c>
      <c r="V1514" s="2" t="inlineStr"/>
    </row>
    <row r="1515" ht="15" customHeight="1">
      <c r="A1515" t="inlineStr">
        <is>
          <t>A 1556-2022</t>
        </is>
      </c>
      <c r="B1515" t="inlineStr">
        <is>
          <t>avverkningsanmälan</t>
        </is>
      </c>
      <c r="C1515" t="inlineStr">
        <is>
          <t>Föryngringsavverkning</t>
        </is>
      </c>
      <c r="D1515" s="1" t="n">
        <v>44573</v>
      </c>
      <c r="E1515" s="1" t="n">
        <v>46323</v>
      </c>
      <c r="F1515" t="inlineStr">
        <is>
          <t>KALMAR LÄN</t>
        </is>
      </c>
      <c r="G1515" t="inlineStr">
        <is>
          <t>OSKARSHAMN</t>
        </is>
      </c>
      <c r="I1515" t="n">
        <v>0.5</v>
      </c>
      <c r="J1515" t="n">
        <v>0</v>
      </c>
      <c r="K1515" t="n">
        <v>0</v>
      </c>
      <c r="L1515" t="n">
        <v>0</v>
      </c>
      <c r="M1515" t="n">
        <v>0</v>
      </c>
      <c r="N1515" t="n">
        <v>0</v>
      </c>
      <c r="O1515" t="n">
        <v>0</v>
      </c>
      <c r="P1515" t="n">
        <v>0</v>
      </c>
      <c r="Q1515" t="n">
        <v>0</v>
      </c>
      <c r="R1515" t="n">
        <v>0</v>
      </c>
      <c r="S1515" t="n">
        <v>0</v>
      </c>
      <c r="T1515" t="n">
        <v>0</v>
      </c>
      <c r="U1515" t="n">
        <v>0</v>
      </c>
      <c r="V1515" s="2" t="inlineStr"/>
    </row>
    <row r="1516" ht="15" customHeight="1">
      <c r="A1516" t="inlineStr">
        <is>
          <t>A 44068-2022</t>
        </is>
      </c>
      <c r="B1516" t="inlineStr">
        <is>
          <t>avverkningsanmälan</t>
        </is>
      </c>
      <c r="C1516" t="inlineStr">
        <is>
          <t>Föryngringsavverkning</t>
        </is>
      </c>
      <c r="D1516" s="1" t="n">
        <v>44839</v>
      </c>
      <c r="E1516" s="1" t="n">
        <v>46323</v>
      </c>
      <c r="F1516" t="inlineStr">
        <is>
          <t>KALMAR LÄN</t>
        </is>
      </c>
      <c r="G1516" t="inlineStr">
        <is>
          <t>EMMABODA</t>
        </is>
      </c>
      <c r="I1516" t="n">
        <v>0.5</v>
      </c>
      <c r="J1516" t="n">
        <v>0</v>
      </c>
      <c r="K1516" t="n">
        <v>0</v>
      </c>
      <c r="L1516" t="n">
        <v>0</v>
      </c>
      <c r="M1516" t="n">
        <v>0</v>
      </c>
      <c r="N1516" t="n">
        <v>0</v>
      </c>
      <c r="O1516" t="n">
        <v>0</v>
      </c>
      <c r="P1516" t="n">
        <v>0</v>
      </c>
      <c r="Q1516" t="n">
        <v>0</v>
      </c>
      <c r="R1516" t="n">
        <v>0</v>
      </c>
      <c r="S1516" t="n">
        <v>0</v>
      </c>
      <c r="T1516" t="n">
        <v>0</v>
      </c>
      <c r="U1516" t="n">
        <v>0</v>
      </c>
      <c r="V1516" s="2" t="inlineStr"/>
    </row>
    <row r="1517" ht="15" customHeight="1">
      <c r="A1517" t="inlineStr">
        <is>
          <t>A 14979-2022</t>
        </is>
      </c>
      <c r="B1517" t="inlineStr">
        <is>
          <t>avverkningsanmälan</t>
        </is>
      </c>
      <c r="C1517" t="inlineStr">
        <is>
          <t>Föryngringsavverkning</t>
        </is>
      </c>
      <c r="D1517" s="1" t="n">
        <v>44657</v>
      </c>
      <c r="E1517" s="1" t="n">
        <v>46323</v>
      </c>
      <c r="F1517" t="inlineStr">
        <is>
          <t>KALMAR LÄN</t>
        </is>
      </c>
      <c r="G1517" t="inlineStr">
        <is>
          <t>NYBRO</t>
        </is>
      </c>
      <c r="H1517" t="inlineStr">
        <is>
          <t>Kommuner</t>
        </is>
      </c>
      <c r="I1517" t="n">
        <v>4.1</v>
      </c>
      <c r="J1517" t="n">
        <v>0</v>
      </c>
      <c r="K1517" t="n">
        <v>0</v>
      </c>
      <c r="L1517" t="n">
        <v>0</v>
      </c>
      <c r="M1517" t="n">
        <v>0</v>
      </c>
      <c r="N1517" t="n">
        <v>0</v>
      </c>
      <c r="O1517" t="n">
        <v>0</v>
      </c>
      <c r="P1517" t="n">
        <v>0</v>
      </c>
      <c r="Q1517" t="n">
        <v>0</v>
      </c>
      <c r="R1517" t="n">
        <v>0</v>
      </c>
      <c r="S1517" t="n">
        <v>0</v>
      </c>
      <c r="T1517" t="n">
        <v>0</v>
      </c>
      <c r="U1517" t="n">
        <v>0</v>
      </c>
      <c r="V1517" s="2" t="inlineStr"/>
    </row>
    <row r="1518" ht="15" customHeight="1">
      <c r="A1518" t="inlineStr">
        <is>
          <t>A 72394-2021</t>
        </is>
      </c>
      <c r="B1518" t="inlineStr">
        <is>
          <t>avverkningsanmälan</t>
        </is>
      </c>
      <c r="C1518" t="inlineStr">
        <is>
          <t>Föryngringsavverkning</t>
        </is>
      </c>
      <c r="D1518" s="1" t="n">
        <v>44544</v>
      </c>
      <c r="E1518" s="1" t="n">
        <v>46323</v>
      </c>
      <c r="F1518" t="inlineStr">
        <is>
          <t>KALMAR LÄN</t>
        </is>
      </c>
      <c r="G1518" t="inlineStr">
        <is>
          <t>OSKARSHAMN</t>
        </is>
      </c>
      <c r="I1518" t="n">
        <v>0.7</v>
      </c>
      <c r="J1518" t="n">
        <v>0</v>
      </c>
      <c r="K1518" t="n">
        <v>0</v>
      </c>
      <c r="L1518" t="n">
        <v>0</v>
      </c>
      <c r="M1518" t="n">
        <v>0</v>
      </c>
      <c r="N1518" t="n">
        <v>0</v>
      </c>
      <c r="O1518" t="n">
        <v>0</v>
      </c>
      <c r="P1518" t="n">
        <v>0</v>
      </c>
      <c r="Q1518" t="n">
        <v>0</v>
      </c>
      <c r="R1518" t="n">
        <v>0</v>
      </c>
      <c r="S1518" t="n">
        <v>0</v>
      </c>
      <c r="T1518" t="n">
        <v>0</v>
      </c>
      <c r="U1518" t="n">
        <v>0</v>
      </c>
      <c r="V1518" s="2" t="inlineStr"/>
    </row>
    <row r="1519" ht="15" customHeight="1">
      <c r="A1519" t="inlineStr">
        <is>
          <t>A 69679-2021</t>
        </is>
      </c>
      <c r="B1519" t="inlineStr">
        <is>
          <t>avverkningsanmälan</t>
        </is>
      </c>
      <c r="C1519" t="inlineStr">
        <is>
          <t>Föryngringsavverkning</t>
        </is>
      </c>
      <c r="D1519" s="1" t="n">
        <v>44532</v>
      </c>
      <c r="E1519" s="1" t="n">
        <v>46323</v>
      </c>
      <c r="F1519" t="inlineStr">
        <is>
          <t>KALMAR LÄN</t>
        </is>
      </c>
      <c r="G1519" t="inlineStr">
        <is>
          <t>TORSÅS</t>
        </is>
      </c>
      <c r="I1519" t="n">
        <v>7.5</v>
      </c>
      <c r="J1519" t="n">
        <v>0</v>
      </c>
      <c r="K1519" t="n">
        <v>0</v>
      </c>
      <c r="L1519" t="n">
        <v>0</v>
      </c>
      <c r="M1519" t="n">
        <v>0</v>
      </c>
      <c r="N1519" t="n">
        <v>0</v>
      </c>
      <c r="O1519" t="n">
        <v>0</v>
      </c>
      <c r="P1519" t="n">
        <v>0</v>
      </c>
      <c r="Q1519" t="n">
        <v>0</v>
      </c>
      <c r="R1519" t="n">
        <v>0</v>
      </c>
      <c r="S1519" t="n">
        <v>0</v>
      </c>
      <c r="T1519" t="n">
        <v>0</v>
      </c>
      <c r="U1519" t="n">
        <v>0</v>
      </c>
      <c r="V1519" s="2" t="inlineStr"/>
    </row>
    <row r="1520" ht="15" customHeight="1">
      <c r="A1520" t="inlineStr">
        <is>
          <t>A 54488-2022</t>
        </is>
      </c>
      <c r="B1520" t="inlineStr">
        <is>
          <t>avverkningsanmälan</t>
        </is>
      </c>
      <c r="C1520" t="inlineStr">
        <is>
          <t>Föryngringsavverkning</t>
        </is>
      </c>
      <c r="D1520" s="1" t="n">
        <v>44882</v>
      </c>
      <c r="E1520" s="1" t="n">
        <v>46323</v>
      </c>
      <c r="F1520" t="inlineStr">
        <is>
          <t>KALMAR LÄN</t>
        </is>
      </c>
      <c r="G1520" t="inlineStr">
        <is>
          <t>MÖNSTERÅS</t>
        </is>
      </c>
      <c r="I1520" t="n">
        <v>1</v>
      </c>
      <c r="J1520" t="n">
        <v>0</v>
      </c>
      <c r="K1520" t="n">
        <v>0</v>
      </c>
      <c r="L1520" t="n">
        <v>0</v>
      </c>
      <c r="M1520" t="n">
        <v>0</v>
      </c>
      <c r="N1520" t="n">
        <v>0</v>
      </c>
      <c r="O1520" t="n">
        <v>0</v>
      </c>
      <c r="P1520" t="n">
        <v>0</v>
      </c>
      <c r="Q1520" t="n">
        <v>0</v>
      </c>
      <c r="R1520" t="n">
        <v>0</v>
      </c>
      <c r="S1520" t="n">
        <v>0</v>
      </c>
      <c r="T1520" t="n">
        <v>0</v>
      </c>
      <c r="U1520" t="n">
        <v>0</v>
      </c>
      <c r="V1520" s="2" t="inlineStr"/>
    </row>
    <row r="1521" ht="15" customHeight="1">
      <c r="A1521" t="inlineStr">
        <is>
          <t>A 7917-2022</t>
        </is>
      </c>
      <c r="B1521" t="inlineStr">
        <is>
          <t>avverkningsanmälan</t>
        </is>
      </c>
      <c r="C1521" t="inlineStr">
        <is>
          <t>Föryngringsavverkning</t>
        </is>
      </c>
      <c r="D1521" s="1" t="n">
        <v>44608</v>
      </c>
      <c r="E1521" s="1" t="n">
        <v>46323</v>
      </c>
      <c r="F1521" t="inlineStr">
        <is>
          <t>KALMAR LÄN</t>
        </is>
      </c>
      <c r="G1521" t="inlineStr">
        <is>
          <t>VIMMERBY</t>
        </is>
      </c>
      <c r="I1521" t="n">
        <v>0.6</v>
      </c>
      <c r="J1521" t="n">
        <v>0</v>
      </c>
      <c r="K1521" t="n">
        <v>0</v>
      </c>
      <c r="L1521" t="n">
        <v>0</v>
      </c>
      <c r="M1521" t="n">
        <v>0</v>
      </c>
      <c r="N1521" t="n">
        <v>0</v>
      </c>
      <c r="O1521" t="n">
        <v>0</v>
      </c>
      <c r="P1521" t="n">
        <v>0</v>
      </c>
      <c r="Q1521" t="n">
        <v>0</v>
      </c>
      <c r="R1521" t="n">
        <v>0</v>
      </c>
      <c r="S1521" t="n">
        <v>0</v>
      </c>
      <c r="T1521" t="n">
        <v>0</v>
      </c>
      <c r="U1521" t="n">
        <v>0</v>
      </c>
      <c r="V1521" s="2" t="inlineStr"/>
    </row>
    <row r="1522" ht="15" customHeight="1">
      <c r="A1522" t="inlineStr">
        <is>
          <t>A 9052-2022</t>
        </is>
      </c>
      <c r="B1522" t="inlineStr">
        <is>
          <t>avverkningsanmälan</t>
        </is>
      </c>
      <c r="C1522" t="inlineStr">
        <is>
          <t>Föryngringsavverkning</t>
        </is>
      </c>
      <c r="D1522" s="1" t="n">
        <v>44615</v>
      </c>
      <c r="E1522" s="1" t="n">
        <v>46323</v>
      </c>
      <c r="F1522" t="inlineStr">
        <is>
          <t>KALMAR LÄN</t>
        </is>
      </c>
      <c r="G1522" t="inlineStr">
        <is>
          <t>EMMABODA</t>
        </is>
      </c>
      <c r="H1522" t="inlineStr">
        <is>
          <t>Kommuner</t>
        </is>
      </c>
      <c r="I1522" t="n">
        <v>5.9</v>
      </c>
      <c r="J1522" t="n">
        <v>0</v>
      </c>
      <c r="K1522" t="n">
        <v>0</v>
      </c>
      <c r="L1522" t="n">
        <v>0</v>
      </c>
      <c r="M1522" t="n">
        <v>0</v>
      </c>
      <c r="N1522" t="n">
        <v>0</v>
      </c>
      <c r="O1522" t="n">
        <v>0</v>
      </c>
      <c r="P1522" t="n">
        <v>0</v>
      </c>
      <c r="Q1522" t="n">
        <v>0</v>
      </c>
      <c r="R1522" t="n">
        <v>0</v>
      </c>
      <c r="S1522" t="n">
        <v>0</v>
      </c>
      <c r="T1522" t="n">
        <v>0</v>
      </c>
      <c r="U1522" t="n">
        <v>0</v>
      </c>
      <c r="V1522" s="2" t="inlineStr"/>
    </row>
    <row r="1523" ht="15" customHeight="1">
      <c r="A1523" t="inlineStr">
        <is>
          <t>A 8437-2022</t>
        </is>
      </c>
      <c r="B1523" t="inlineStr">
        <is>
          <t>avverkningsanmälan</t>
        </is>
      </c>
      <c r="C1523" t="inlineStr">
        <is>
          <t>Föryngringsavverkning</t>
        </is>
      </c>
      <c r="D1523" s="1" t="n">
        <v>44612</v>
      </c>
      <c r="E1523" s="1" t="n">
        <v>46323</v>
      </c>
      <c r="F1523" t="inlineStr">
        <is>
          <t>KALMAR LÄN</t>
        </is>
      </c>
      <c r="G1523" t="inlineStr">
        <is>
          <t>NYBRO</t>
        </is>
      </c>
      <c r="I1523" t="n">
        <v>2.7</v>
      </c>
      <c r="J1523" t="n">
        <v>0</v>
      </c>
      <c r="K1523" t="n">
        <v>0</v>
      </c>
      <c r="L1523" t="n">
        <v>0</v>
      </c>
      <c r="M1523" t="n">
        <v>0</v>
      </c>
      <c r="N1523" t="n">
        <v>0</v>
      </c>
      <c r="O1523" t="n">
        <v>0</v>
      </c>
      <c r="P1523" t="n">
        <v>0</v>
      </c>
      <c r="Q1523" t="n">
        <v>0</v>
      </c>
      <c r="R1523" t="n">
        <v>0</v>
      </c>
      <c r="S1523" t="n">
        <v>0</v>
      </c>
      <c r="T1523" t="n">
        <v>0</v>
      </c>
      <c r="U1523" t="n">
        <v>0</v>
      </c>
      <c r="V1523" s="2" t="inlineStr"/>
    </row>
    <row r="1524" ht="15" customHeight="1">
      <c r="A1524" t="inlineStr">
        <is>
          <t>A 10705-2022</t>
        </is>
      </c>
      <c r="B1524" t="inlineStr">
        <is>
          <t>avverkningsanmälan</t>
        </is>
      </c>
      <c r="C1524" t="inlineStr">
        <is>
          <t>Föryngringsavverkning</t>
        </is>
      </c>
      <c r="D1524" s="1" t="n">
        <v>44625</v>
      </c>
      <c r="E1524" s="1" t="n">
        <v>46323</v>
      </c>
      <c r="F1524" t="inlineStr">
        <is>
          <t>KALMAR LÄN</t>
        </is>
      </c>
      <c r="G1524" t="inlineStr">
        <is>
          <t>KALMAR</t>
        </is>
      </c>
      <c r="I1524" t="n">
        <v>0.8</v>
      </c>
      <c r="J1524" t="n">
        <v>0</v>
      </c>
      <c r="K1524" t="n">
        <v>0</v>
      </c>
      <c r="L1524" t="n">
        <v>0</v>
      </c>
      <c r="M1524" t="n">
        <v>0</v>
      </c>
      <c r="N1524" t="n">
        <v>0</v>
      </c>
      <c r="O1524" t="n">
        <v>0</v>
      </c>
      <c r="P1524" t="n">
        <v>0</v>
      </c>
      <c r="Q1524" t="n">
        <v>0</v>
      </c>
      <c r="R1524" t="n">
        <v>0</v>
      </c>
      <c r="S1524" t="n">
        <v>0</v>
      </c>
      <c r="T1524" t="n">
        <v>0</v>
      </c>
      <c r="U1524" t="n">
        <v>0</v>
      </c>
      <c r="V1524" s="2" t="inlineStr"/>
    </row>
    <row r="1525" ht="15" customHeight="1">
      <c r="A1525" t="inlineStr">
        <is>
          <t>A 10219-2022</t>
        </is>
      </c>
      <c r="B1525" t="inlineStr">
        <is>
          <t>avverkningsanmälan</t>
        </is>
      </c>
      <c r="C1525" t="inlineStr">
        <is>
          <t>Föryngringsavverkning</t>
        </is>
      </c>
      <c r="D1525" s="1" t="n">
        <v>44622</v>
      </c>
      <c r="E1525" s="1" t="n">
        <v>46323</v>
      </c>
      <c r="F1525" t="inlineStr">
        <is>
          <t>KALMAR LÄN</t>
        </is>
      </c>
      <c r="G1525" t="inlineStr">
        <is>
          <t>EMMABODA</t>
        </is>
      </c>
      <c r="I1525" t="n">
        <v>0.5</v>
      </c>
      <c r="J1525" t="n">
        <v>0</v>
      </c>
      <c r="K1525" t="n">
        <v>0</v>
      </c>
      <c r="L1525" t="n">
        <v>0</v>
      </c>
      <c r="M1525" t="n">
        <v>0</v>
      </c>
      <c r="N1525" t="n">
        <v>0</v>
      </c>
      <c r="O1525" t="n">
        <v>0</v>
      </c>
      <c r="P1525" t="n">
        <v>0</v>
      </c>
      <c r="Q1525" t="n">
        <v>0</v>
      </c>
      <c r="R1525" t="n">
        <v>0</v>
      </c>
      <c r="S1525" t="n">
        <v>0</v>
      </c>
      <c r="T1525" t="n">
        <v>0</v>
      </c>
      <c r="U1525" t="n">
        <v>0</v>
      </c>
      <c r="V1525" s="2" t="inlineStr"/>
    </row>
    <row r="1526" ht="15" customHeight="1">
      <c r="A1526" t="inlineStr">
        <is>
          <t>A 53808-2022</t>
        </is>
      </c>
      <c r="B1526" t="inlineStr">
        <is>
          <t>avverkningsanmälan</t>
        </is>
      </c>
      <c r="C1526" t="inlineStr">
        <is>
          <t>Föryngringsavverkning</t>
        </is>
      </c>
      <c r="D1526" s="1" t="n">
        <v>44880</v>
      </c>
      <c r="E1526" s="1" t="n">
        <v>46323</v>
      </c>
      <c r="F1526" t="inlineStr">
        <is>
          <t>KALMAR LÄN</t>
        </is>
      </c>
      <c r="G1526" t="inlineStr">
        <is>
          <t>HÖGSBY</t>
        </is>
      </c>
      <c r="I1526" t="n">
        <v>0.7</v>
      </c>
      <c r="J1526" t="n">
        <v>0</v>
      </c>
      <c r="K1526" t="n">
        <v>0</v>
      </c>
      <c r="L1526" t="n">
        <v>0</v>
      </c>
      <c r="M1526" t="n">
        <v>0</v>
      </c>
      <c r="N1526" t="n">
        <v>0</v>
      </c>
      <c r="O1526" t="n">
        <v>0</v>
      </c>
      <c r="P1526" t="n">
        <v>0</v>
      </c>
      <c r="Q1526" t="n">
        <v>0</v>
      </c>
      <c r="R1526" t="n">
        <v>0</v>
      </c>
      <c r="S1526" t="n">
        <v>0</v>
      </c>
      <c r="T1526" t="n">
        <v>0</v>
      </c>
      <c r="U1526" t="n">
        <v>0</v>
      </c>
      <c r="V1526" s="2" t="inlineStr"/>
    </row>
    <row r="1527" ht="15" customHeight="1">
      <c r="A1527" t="inlineStr">
        <is>
          <t>A 46527-2022</t>
        </is>
      </c>
      <c r="B1527" t="inlineStr">
        <is>
          <t>avverkningsanmälan</t>
        </is>
      </c>
      <c r="C1527" t="inlineStr">
        <is>
          <t>Föryngringsavverkning</t>
        </is>
      </c>
      <c r="D1527" s="1" t="n">
        <v>44848</v>
      </c>
      <c r="E1527" s="1" t="n">
        <v>46323</v>
      </c>
      <c r="F1527" t="inlineStr">
        <is>
          <t>KALMAR LÄN</t>
        </is>
      </c>
      <c r="G1527" t="inlineStr">
        <is>
          <t>VÄSTERVIK</t>
        </is>
      </c>
      <c r="I1527" t="n">
        <v>1.7</v>
      </c>
      <c r="J1527" t="n">
        <v>0</v>
      </c>
      <c r="K1527" t="n">
        <v>0</v>
      </c>
      <c r="L1527" t="n">
        <v>0</v>
      </c>
      <c r="M1527" t="n">
        <v>0</v>
      </c>
      <c r="N1527" t="n">
        <v>0</v>
      </c>
      <c r="O1527" t="n">
        <v>0</v>
      </c>
      <c r="P1527" t="n">
        <v>0</v>
      </c>
      <c r="Q1527" t="n">
        <v>0</v>
      </c>
      <c r="R1527" t="n">
        <v>0</v>
      </c>
      <c r="S1527" t="n">
        <v>0</v>
      </c>
      <c r="T1527" t="n">
        <v>0</v>
      </c>
      <c r="U1527" t="n">
        <v>0</v>
      </c>
      <c r="V1527" s="2" t="inlineStr"/>
    </row>
    <row r="1528" ht="15" customHeight="1">
      <c r="A1528" t="inlineStr">
        <is>
          <t>A 17966-2022</t>
        </is>
      </c>
      <c r="B1528" t="inlineStr">
        <is>
          <t>avverkningsanmälan</t>
        </is>
      </c>
      <c r="C1528" t="inlineStr">
        <is>
          <t>Avverkning för annat ändamål</t>
        </is>
      </c>
      <c r="D1528" s="1" t="n">
        <v>44683</v>
      </c>
      <c r="E1528" s="1" t="n">
        <v>46323</v>
      </c>
      <c r="F1528" t="inlineStr">
        <is>
          <t>KALMAR LÄN</t>
        </is>
      </c>
      <c r="G1528" t="inlineStr">
        <is>
          <t>HULTSFRED</t>
        </is>
      </c>
      <c r="I1528" t="n">
        <v>0.6</v>
      </c>
      <c r="J1528" t="n">
        <v>0</v>
      </c>
      <c r="K1528" t="n">
        <v>0</v>
      </c>
      <c r="L1528" t="n">
        <v>0</v>
      </c>
      <c r="M1528" t="n">
        <v>0</v>
      </c>
      <c r="N1528" t="n">
        <v>0</v>
      </c>
      <c r="O1528" t="n">
        <v>0</v>
      </c>
      <c r="P1528" t="n">
        <v>0</v>
      </c>
      <c r="Q1528" t="n">
        <v>0</v>
      </c>
      <c r="R1528" t="n">
        <v>0</v>
      </c>
      <c r="S1528" t="n">
        <v>0</v>
      </c>
      <c r="T1528" t="n">
        <v>0</v>
      </c>
      <c r="U1528" t="n">
        <v>0</v>
      </c>
      <c r="V1528" s="2" t="inlineStr"/>
    </row>
    <row r="1529" ht="15" customHeight="1">
      <c r="A1529" t="inlineStr">
        <is>
          <t>A 22189-2022</t>
        </is>
      </c>
      <c r="B1529" t="inlineStr">
        <is>
          <t>avverkningsanmälan</t>
        </is>
      </c>
      <c r="C1529" t="inlineStr">
        <is>
          <t>Föryngringsavverkning</t>
        </is>
      </c>
      <c r="D1529" s="1" t="n">
        <v>44712</v>
      </c>
      <c r="E1529" s="1" t="n">
        <v>46323</v>
      </c>
      <c r="F1529" t="inlineStr">
        <is>
          <t>KALMAR LÄN</t>
        </is>
      </c>
      <c r="G1529" t="inlineStr">
        <is>
          <t>EMMABODA</t>
        </is>
      </c>
      <c r="I1529" t="n">
        <v>0.5</v>
      </c>
      <c r="J1529" t="n">
        <v>0</v>
      </c>
      <c r="K1529" t="n">
        <v>0</v>
      </c>
      <c r="L1529" t="n">
        <v>0</v>
      </c>
      <c r="M1529" t="n">
        <v>0</v>
      </c>
      <c r="N1529" t="n">
        <v>0</v>
      </c>
      <c r="O1529" t="n">
        <v>0</v>
      </c>
      <c r="P1529" t="n">
        <v>0</v>
      </c>
      <c r="Q1529" t="n">
        <v>0</v>
      </c>
      <c r="R1529" t="n">
        <v>0</v>
      </c>
      <c r="S1529" t="n">
        <v>0</v>
      </c>
      <c r="T1529" t="n">
        <v>0</v>
      </c>
      <c r="U1529" t="n">
        <v>0</v>
      </c>
      <c r="V1529" s="2" t="inlineStr"/>
    </row>
    <row r="1530" ht="15" customHeight="1">
      <c r="A1530" t="inlineStr">
        <is>
          <t>A 67653-2021</t>
        </is>
      </c>
      <c r="B1530" t="inlineStr">
        <is>
          <t>avverkningsanmälan</t>
        </is>
      </c>
      <c r="C1530" t="inlineStr">
        <is>
          <t>Föryngringsavverkning</t>
        </is>
      </c>
      <c r="D1530" s="1" t="n">
        <v>44524</v>
      </c>
      <c r="E1530" s="1" t="n">
        <v>46323</v>
      </c>
      <c r="F1530" t="inlineStr">
        <is>
          <t>KALMAR LÄN</t>
        </is>
      </c>
      <c r="G1530" t="inlineStr">
        <is>
          <t>EMMABODA</t>
        </is>
      </c>
      <c r="I1530" t="n">
        <v>0.8</v>
      </c>
      <c r="J1530" t="n">
        <v>0</v>
      </c>
      <c r="K1530" t="n">
        <v>0</v>
      </c>
      <c r="L1530" t="n">
        <v>0</v>
      </c>
      <c r="M1530" t="n">
        <v>0</v>
      </c>
      <c r="N1530" t="n">
        <v>0</v>
      </c>
      <c r="O1530" t="n">
        <v>0</v>
      </c>
      <c r="P1530" t="n">
        <v>0</v>
      </c>
      <c r="Q1530" t="n">
        <v>0</v>
      </c>
      <c r="R1530" t="n">
        <v>0</v>
      </c>
      <c r="S1530" t="n">
        <v>0</v>
      </c>
      <c r="T1530" t="n">
        <v>0</v>
      </c>
      <c r="U1530" t="n">
        <v>0</v>
      </c>
      <c r="V1530" s="2" t="inlineStr"/>
    </row>
    <row r="1531" ht="15" customHeight="1">
      <c r="A1531" t="inlineStr">
        <is>
          <t>A 9636-2022</t>
        </is>
      </c>
      <c r="B1531" t="inlineStr">
        <is>
          <t>avverkningsanmälan</t>
        </is>
      </c>
      <c r="C1531" t="inlineStr">
        <is>
          <t>Föryngringsavverkning</t>
        </is>
      </c>
      <c r="D1531" s="1" t="n">
        <v>44617</v>
      </c>
      <c r="E1531" s="1" t="n">
        <v>46323</v>
      </c>
      <c r="F1531" t="inlineStr">
        <is>
          <t>KALMAR LÄN</t>
        </is>
      </c>
      <c r="G1531" t="inlineStr">
        <is>
          <t>NYBRO</t>
        </is>
      </c>
      <c r="I1531" t="n">
        <v>0.6</v>
      </c>
      <c r="J1531" t="n">
        <v>0</v>
      </c>
      <c r="K1531" t="n">
        <v>0</v>
      </c>
      <c r="L1531" t="n">
        <v>0</v>
      </c>
      <c r="M1531" t="n">
        <v>0</v>
      </c>
      <c r="N1531" t="n">
        <v>0</v>
      </c>
      <c r="O1531" t="n">
        <v>0</v>
      </c>
      <c r="P1531" t="n">
        <v>0</v>
      </c>
      <c r="Q1531" t="n">
        <v>0</v>
      </c>
      <c r="R1531" t="n">
        <v>0</v>
      </c>
      <c r="S1531" t="n">
        <v>0</v>
      </c>
      <c r="T1531" t="n">
        <v>0</v>
      </c>
      <c r="U1531" t="n">
        <v>0</v>
      </c>
      <c r="V1531" s="2" t="inlineStr"/>
    </row>
    <row r="1532" ht="15" customHeight="1">
      <c r="A1532" t="inlineStr">
        <is>
          <t>A 67952-2021</t>
        </is>
      </c>
      <c r="B1532" t="inlineStr">
        <is>
          <t>avverkningsanmälan</t>
        </is>
      </c>
      <c r="C1532" t="inlineStr">
        <is>
          <t>Föryngringsavverkning</t>
        </is>
      </c>
      <c r="D1532" s="1" t="n">
        <v>44525</v>
      </c>
      <c r="E1532" s="1" t="n">
        <v>46323</v>
      </c>
      <c r="F1532" t="inlineStr">
        <is>
          <t>KALMAR LÄN</t>
        </is>
      </c>
      <c r="G1532" t="inlineStr">
        <is>
          <t>VIMMERBY</t>
        </is>
      </c>
      <c r="I1532" t="n">
        <v>0.6</v>
      </c>
      <c r="J1532" t="n">
        <v>0</v>
      </c>
      <c r="K1532" t="n">
        <v>0</v>
      </c>
      <c r="L1532" t="n">
        <v>0</v>
      </c>
      <c r="M1532" t="n">
        <v>0</v>
      </c>
      <c r="N1532" t="n">
        <v>0</v>
      </c>
      <c r="O1532" t="n">
        <v>0</v>
      </c>
      <c r="P1532" t="n">
        <v>0</v>
      </c>
      <c r="Q1532" t="n">
        <v>0</v>
      </c>
      <c r="R1532" t="n">
        <v>0</v>
      </c>
      <c r="S1532" t="n">
        <v>0</v>
      </c>
      <c r="T1532" t="n">
        <v>0</v>
      </c>
      <c r="U1532" t="n">
        <v>0</v>
      </c>
      <c r="V1532" s="2" t="inlineStr"/>
    </row>
    <row r="1533" ht="15" customHeight="1">
      <c r="A1533" t="inlineStr">
        <is>
          <t>A 15533-2022</t>
        </is>
      </c>
      <c r="B1533" t="inlineStr">
        <is>
          <t>avverkningsanmälan</t>
        </is>
      </c>
      <c r="C1533" t="inlineStr">
        <is>
          <t>Föryngringsavverkning</t>
        </is>
      </c>
      <c r="D1533" s="1" t="n">
        <v>44662</v>
      </c>
      <c r="E1533" s="1" t="n">
        <v>46323</v>
      </c>
      <c r="F1533" t="inlineStr">
        <is>
          <t>KALMAR LÄN</t>
        </is>
      </c>
      <c r="G1533" t="inlineStr">
        <is>
          <t>VIMMERBY</t>
        </is>
      </c>
      <c r="I1533" t="n">
        <v>0.5</v>
      </c>
      <c r="J1533" t="n">
        <v>0</v>
      </c>
      <c r="K1533" t="n">
        <v>0</v>
      </c>
      <c r="L1533" t="n">
        <v>0</v>
      </c>
      <c r="M1533" t="n">
        <v>0</v>
      </c>
      <c r="N1533" t="n">
        <v>0</v>
      </c>
      <c r="O1533" t="n">
        <v>0</v>
      </c>
      <c r="P1533" t="n">
        <v>0</v>
      </c>
      <c r="Q1533" t="n">
        <v>0</v>
      </c>
      <c r="R1533" t="n">
        <v>0</v>
      </c>
      <c r="S1533" t="n">
        <v>0</v>
      </c>
      <c r="T1533" t="n">
        <v>0</v>
      </c>
      <c r="U1533" t="n">
        <v>0</v>
      </c>
      <c r="V1533" s="2" t="inlineStr"/>
    </row>
    <row r="1534" ht="15" customHeight="1">
      <c r="A1534" t="inlineStr">
        <is>
          <t>A 27810-2022</t>
        </is>
      </c>
      <c r="B1534" t="inlineStr">
        <is>
          <t>avverkningsanmälan</t>
        </is>
      </c>
      <c r="C1534" t="inlineStr">
        <is>
          <t>Föryngringsavverkning</t>
        </is>
      </c>
      <c r="D1534" s="1" t="n">
        <v>44743</v>
      </c>
      <c r="E1534" s="1" t="n">
        <v>46323</v>
      </c>
      <c r="F1534" t="inlineStr">
        <is>
          <t>KALMAR LÄN</t>
        </is>
      </c>
      <c r="G1534" t="inlineStr">
        <is>
          <t>HULTSFRED</t>
        </is>
      </c>
      <c r="I1534" t="n">
        <v>1.9</v>
      </c>
      <c r="J1534" t="n">
        <v>0</v>
      </c>
      <c r="K1534" t="n">
        <v>0</v>
      </c>
      <c r="L1534" t="n">
        <v>0</v>
      </c>
      <c r="M1534" t="n">
        <v>0</v>
      </c>
      <c r="N1534" t="n">
        <v>0</v>
      </c>
      <c r="O1534" t="n">
        <v>0</v>
      </c>
      <c r="P1534" t="n">
        <v>0</v>
      </c>
      <c r="Q1534" t="n">
        <v>0</v>
      </c>
      <c r="R1534" t="n">
        <v>0</v>
      </c>
      <c r="S1534" t="n">
        <v>0</v>
      </c>
      <c r="T1534" t="n">
        <v>0</v>
      </c>
      <c r="U1534" t="n">
        <v>0</v>
      </c>
      <c r="V1534" s="2" t="inlineStr"/>
    </row>
    <row r="1535" ht="15" customHeight="1">
      <c r="A1535" t="inlineStr">
        <is>
          <t>A 73336-2021</t>
        </is>
      </c>
      <c r="B1535" t="inlineStr">
        <is>
          <t>avverkningsanmälan</t>
        </is>
      </c>
      <c r="C1535" t="inlineStr">
        <is>
          <t>Föryngringsavverkning</t>
        </is>
      </c>
      <c r="D1535" s="1" t="n">
        <v>44551</v>
      </c>
      <c r="E1535" s="1" t="n">
        <v>46323</v>
      </c>
      <c r="F1535" t="inlineStr">
        <is>
          <t>KALMAR LÄN</t>
        </is>
      </c>
      <c r="G1535" t="inlineStr">
        <is>
          <t>NYBRO</t>
        </is>
      </c>
      <c r="I1535" t="n">
        <v>1.4</v>
      </c>
      <c r="J1535" t="n">
        <v>0</v>
      </c>
      <c r="K1535" t="n">
        <v>0</v>
      </c>
      <c r="L1535" t="n">
        <v>0</v>
      </c>
      <c r="M1535" t="n">
        <v>0</v>
      </c>
      <c r="N1535" t="n">
        <v>0</v>
      </c>
      <c r="O1535" t="n">
        <v>0</v>
      </c>
      <c r="P1535" t="n">
        <v>0</v>
      </c>
      <c r="Q1535" t="n">
        <v>0</v>
      </c>
      <c r="R1535" t="n">
        <v>0</v>
      </c>
      <c r="S1535" t="n">
        <v>0</v>
      </c>
      <c r="T1535" t="n">
        <v>0</v>
      </c>
      <c r="U1535" t="n">
        <v>0</v>
      </c>
      <c r="V1535" s="2" t="inlineStr"/>
    </row>
    <row r="1536" ht="15" customHeight="1">
      <c r="A1536" t="inlineStr">
        <is>
          <t>A 73949-2021</t>
        </is>
      </c>
      <c r="B1536" t="inlineStr">
        <is>
          <t>avverkningsanmälan</t>
        </is>
      </c>
      <c r="C1536" t="inlineStr">
        <is>
          <t>Avverkning för annat ändamål</t>
        </is>
      </c>
      <c r="D1536" s="1" t="n">
        <v>44552</v>
      </c>
      <c r="E1536" s="1" t="n">
        <v>46323</v>
      </c>
      <c r="F1536" t="inlineStr">
        <is>
          <t>KALMAR LÄN</t>
        </is>
      </c>
      <c r="G1536" t="inlineStr">
        <is>
          <t>HULTSFRED</t>
        </is>
      </c>
      <c r="I1536" t="n">
        <v>1.2</v>
      </c>
      <c r="J1536" t="n">
        <v>0</v>
      </c>
      <c r="K1536" t="n">
        <v>0</v>
      </c>
      <c r="L1536" t="n">
        <v>0</v>
      </c>
      <c r="M1536" t="n">
        <v>0</v>
      </c>
      <c r="N1536" t="n">
        <v>0</v>
      </c>
      <c r="O1536" t="n">
        <v>0</v>
      </c>
      <c r="P1536" t="n">
        <v>0</v>
      </c>
      <c r="Q1536" t="n">
        <v>0</v>
      </c>
      <c r="R1536" t="n">
        <v>0</v>
      </c>
      <c r="S1536" t="n">
        <v>0</v>
      </c>
      <c r="T1536" t="n">
        <v>0</v>
      </c>
      <c r="U1536" t="n">
        <v>0</v>
      </c>
      <c r="V1536" s="2" t="inlineStr"/>
    </row>
    <row r="1537" ht="15" customHeight="1">
      <c r="A1537" t="inlineStr">
        <is>
          <t>A 63280-2021</t>
        </is>
      </c>
      <c r="B1537" t="inlineStr">
        <is>
          <t>avverkningsanmälan</t>
        </is>
      </c>
      <c r="C1537" t="inlineStr">
        <is>
          <t>Föryngringsavverkning</t>
        </is>
      </c>
      <c r="D1537" s="1" t="n">
        <v>44508</v>
      </c>
      <c r="E1537" s="1" t="n">
        <v>46323</v>
      </c>
      <c r="F1537" t="inlineStr">
        <is>
          <t>KALMAR LÄN</t>
        </is>
      </c>
      <c r="G1537" t="inlineStr">
        <is>
          <t>NYBRO</t>
        </is>
      </c>
      <c r="I1537" t="n">
        <v>0.7</v>
      </c>
      <c r="J1537" t="n">
        <v>0</v>
      </c>
      <c r="K1537" t="n">
        <v>0</v>
      </c>
      <c r="L1537" t="n">
        <v>0</v>
      </c>
      <c r="M1537" t="n">
        <v>0</v>
      </c>
      <c r="N1537" t="n">
        <v>0</v>
      </c>
      <c r="O1537" t="n">
        <v>0</v>
      </c>
      <c r="P1537" t="n">
        <v>0</v>
      </c>
      <c r="Q1537" t="n">
        <v>0</v>
      </c>
      <c r="R1537" t="n">
        <v>0</v>
      </c>
      <c r="S1537" t="n">
        <v>0</v>
      </c>
      <c r="T1537" t="n">
        <v>0</v>
      </c>
      <c r="U1537" t="n">
        <v>0</v>
      </c>
      <c r="V1537" s="2" t="inlineStr"/>
    </row>
    <row r="1538" ht="15" customHeight="1">
      <c r="A1538" t="inlineStr">
        <is>
          <t>A 165-2022</t>
        </is>
      </c>
      <c r="B1538" t="inlineStr">
        <is>
          <t>avverkningsanmälan</t>
        </is>
      </c>
      <c r="C1538" t="inlineStr">
        <is>
          <t>Föryngringsavverkning</t>
        </is>
      </c>
      <c r="D1538" s="1" t="n">
        <v>44564</v>
      </c>
      <c r="E1538" s="1" t="n">
        <v>46323</v>
      </c>
      <c r="F1538" t="inlineStr">
        <is>
          <t>KALMAR LÄN</t>
        </is>
      </c>
      <c r="G1538" t="inlineStr">
        <is>
          <t>VIMMERBY</t>
        </is>
      </c>
      <c r="I1538" t="n">
        <v>0.7</v>
      </c>
      <c r="J1538" t="n">
        <v>0</v>
      </c>
      <c r="K1538" t="n">
        <v>0</v>
      </c>
      <c r="L1538" t="n">
        <v>0</v>
      </c>
      <c r="M1538" t="n">
        <v>0</v>
      </c>
      <c r="N1538" t="n">
        <v>0</v>
      </c>
      <c r="O1538" t="n">
        <v>0</v>
      </c>
      <c r="P1538" t="n">
        <v>0</v>
      </c>
      <c r="Q1538" t="n">
        <v>0</v>
      </c>
      <c r="R1538" t="n">
        <v>0</v>
      </c>
      <c r="S1538" t="n">
        <v>0</v>
      </c>
      <c r="T1538" t="n">
        <v>0</v>
      </c>
      <c r="U1538" t="n">
        <v>0</v>
      </c>
      <c r="V1538" s="2" t="inlineStr"/>
    </row>
    <row r="1539" ht="15" customHeight="1">
      <c r="A1539" t="inlineStr">
        <is>
          <t>A 70317-2021</t>
        </is>
      </c>
      <c r="B1539" t="inlineStr">
        <is>
          <t>avverkningsanmälan</t>
        </is>
      </c>
      <c r="C1539" t="inlineStr">
        <is>
          <t>Föryngringsavverkning</t>
        </is>
      </c>
      <c r="D1539" s="1" t="n">
        <v>44536</v>
      </c>
      <c r="E1539" s="1" t="n">
        <v>46323</v>
      </c>
      <c r="F1539" t="inlineStr">
        <is>
          <t>KALMAR LÄN</t>
        </is>
      </c>
      <c r="G1539" t="inlineStr">
        <is>
          <t>TORSÅS</t>
        </is>
      </c>
      <c r="I1539" t="n">
        <v>1.5</v>
      </c>
      <c r="J1539" t="n">
        <v>0</v>
      </c>
      <c r="K1539" t="n">
        <v>0</v>
      </c>
      <c r="L1539" t="n">
        <v>0</v>
      </c>
      <c r="M1539" t="n">
        <v>0</v>
      </c>
      <c r="N1539" t="n">
        <v>0</v>
      </c>
      <c r="O1539" t="n">
        <v>0</v>
      </c>
      <c r="P1539" t="n">
        <v>0</v>
      </c>
      <c r="Q1539" t="n">
        <v>0</v>
      </c>
      <c r="R1539" t="n">
        <v>0</v>
      </c>
      <c r="S1539" t="n">
        <v>0</v>
      </c>
      <c r="T1539" t="n">
        <v>0</v>
      </c>
      <c r="U1539" t="n">
        <v>0</v>
      </c>
      <c r="V1539" s="2" t="inlineStr"/>
    </row>
    <row r="1540" ht="15" customHeight="1">
      <c r="A1540" t="inlineStr">
        <is>
          <t>A 38399-2022</t>
        </is>
      </c>
      <c r="B1540" t="inlineStr">
        <is>
          <t>avverkningsanmälan</t>
        </is>
      </c>
      <c r="C1540" t="inlineStr">
        <is>
          <t>Föryngringsavverkning</t>
        </is>
      </c>
      <c r="D1540" s="1" t="n">
        <v>44812</v>
      </c>
      <c r="E1540" s="1" t="n">
        <v>46323</v>
      </c>
      <c r="F1540" t="inlineStr">
        <is>
          <t>KALMAR LÄN</t>
        </is>
      </c>
      <c r="G1540" t="inlineStr">
        <is>
          <t>VÄSTERVIK</t>
        </is>
      </c>
      <c r="I1540" t="n">
        <v>0.5</v>
      </c>
      <c r="J1540" t="n">
        <v>0</v>
      </c>
      <c r="K1540" t="n">
        <v>0</v>
      </c>
      <c r="L1540" t="n">
        <v>0</v>
      </c>
      <c r="M1540" t="n">
        <v>0</v>
      </c>
      <c r="N1540" t="n">
        <v>0</v>
      </c>
      <c r="O1540" t="n">
        <v>0</v>
      </c>
      <c r="P1540" t="n">
        <v>0</v>
      </c>
      <c r="Q1540" t="n">
        <v>0</v>
      </c>
      <c r="R1540" t="n">
        <v>0</v>
      </c>
      <c r="S1540" t="n">
        <v>0</v>
      </c>
      <c r="T1540" t="n">
        <v>0</v>
      </c>
      <c r="U1540" t="n">
        <v>0</v>
      </c>
      <c r="V1540" s="2" t="inlineStr"/>
    </row>
    <row r="1541" ht="15" customHeight="1">
      <c r="A1541" t="inlineStr">
        <is>
          <t>A 30966-2022</t>
        </is>
      </c>
      <c r="B1541" t="inlineStr">
        <is>
          <t>avverkningsanmälan</t>
        </is>
      </c>
      <c r="C1541" t="inlineStr">
        <is>
          <t>Föryngringsavverkning</t>
        </is>
      </c>
      <c r="D1541" s="1" t="n">
        <v>44768</v>
      </c>
      <c r="E1541" s="1" t="n">
        <v>46323</v>
      </c>
      <c r="F1541" t="inlineStr">
        <is>
          <t>KALMAR LÄN</t>
        </is>
      </c>
      <c r="G1541" t="inlineStr">
        <is>
          <t>OSKARSHAMN</t>
        </is>
      </c>
      <c r="H1541" t="inlineStr">
        <is>
          <t>Sveaskog</t>
        </is>
      </c>
      <c r="I1541" t="n">
        <v>0.2</v>
      </c>
      <c r="J1541" t="n">
        <v>0</v>
      </c>
      <c r="K1541" t="n">
        <v>0</v>
      </c>
      <c r="L1541" t="n">
        <v>0</v>
      </c>
      <c r="M1541" t="n">
        <v>0</v>
      </c>
      <c r="N1541" t="n">
        <v>0</v>
      </c>
      <c r="O1541" t="n">
        <v>0</v>
      </c>
      <c r="P1541" t="n">
        <v>0</v>
      </c>
      <c r="Q1541" t="n">
        <v>0</v>
      </c>
      <c r="R1541" t="n">
        <v>0</v>
      </c>
      <c r="S1541" t="n">
        <v>0</v>
      </c>
      <c r="T1541" t="n">
        <v>0</v>
      </c>
      <c r="U1541" t="n">
        <v>0</v>
      </c>
      <c r="V1541" s="2" t="inlineStr"/>
    </row>
    <row r="1542" ht="15" customHeight="1">
      <c r="A1542" t="inlineStr">
        <is>
          <t>A 27437-2022</t>
        </is>
      </c>
      <c r="B1542" t="inlineStr">
        <is>
          <t>avverkningsanmälan</t>
        </is>
      </c>
      <c r="C1542" t="inlineStr">
        <is>
          <t>Föryngringsavverkning</t>
        </is>
      </c>
      <c r="D1542" s="1" t="n">
        <v>44742</v>
      </c>
      <c r="E1542" s="1" t="n">
        <v>46323</v>
      </c>
      <c r="F1542" t="inlineStr">
        <is>
          <t>KALMAR LÄN</t>
        </is>
      </c>
      <c r="G1542" t="inlineStr">
        <is>
          <t>BORGHOLM</t>
        </is>
      </c>
      <c r="I1542" t="n">
        <v>0.6</v>
      </c>
      <c r="J1542" t="n">
        <v>0</v>
      </c>
      <c r="K1542" t="n">
        <v>0</v>
      </c>
      <c r="L1542" t="n">
        <v>0</v>
      </c>
      <c r="M1542" t="n">
        <v>0</v>
      </c>
      <c r="N1542" t="n">
        <v>0</v>
      </c>
      <c r="O1542" t="n">
        <v>0</v>
      </c>
      <c r="P1542" t="n">
        <v>0</v>
      </c>
      <c r="Q1542" t="n">
        <v>0</v>
      </c>
      <c r="R1542" t="n">
        <v>0</v>
      </c>
      <c r="S1542" t="n">
        <v>0</v>
      </c>
      <c r="T1542" t="n">
        <v>0</v>
      </c>
      <c r="U1542" t="n">
        <v>0</v>
      </c>
      <c r="V1542" s="2" t="inlineStr"/>
    </row>
    <row r="1543" ht="15" customHeight="1">
      <c r="A1543" t="inlineStr">
        <is>
          <t>A 66212-2021</t>
        </is>
      </c>
      <c r="B1543" t="inlineStr">
        <is>
          <t>avverkningsanmälan</t>
        </is>
      </c>
      <c r="C1543" t="inlineStr">
        <is>
          <t>Föryngringsavverkning</t>
        </is>
      </c>
      <c r="D1543" s="1" t="n">
        <v>44518</v>
      </c>
      <c r="E1543" s="1" t="n">
        <v>46323</v>
      </c>
      <c r="F1543" t="inlineStr">
        <is>
          <t>KALMAR LÄN</t>
        </is>
      </c>
      <c r="G1543" t="inlineStr">
        <is>
          <t>MÖNSTERÅS</t>
        </is>
      </c>
      <c r="I1543" t="n">
        <v>3.3</v>
      </c>
      <c r="J1543" t="n">
        <v>0</v>
      </c>
      <c r="K1543" t="n">
        <v>0</v>
      </c>
      <c r="L1543" t="n">
        <v>0</v>
      </c>
      <c r="M1543" t="n">
        <v>0</v>
      </c>
      <c r="N1543" t="n">
        <v>0</v>
      </c>
      <c r="O1543" t="n">
        <v>0</v>
      </c>
      <c r="P1543" t="n">
        <v>0</v>
      </c>
      <c r="Q1543" t="n">
        <v>0</v>
      </c>
      <c r="R1543" t="n">
        <v>0</v>
      </c>
      <c r="S1543" t="n">
        <v>0</v>
      </c>
      <c r="T1543" t="n">
        <v>0</v>
      </c>
      <c r="U1543" t="n">
        <v>0</v>
      </c>
      <c r="V1543" s="2" t="inlineStr"/>
    </row>
    <row r="1544" ht="15" customHeight="1">
      <c r="A1544" t="inlineStr">
        <is>
          <t>A 27660-2022</t>
        </is>
      </c>
      <c r="B1544" t="inlineStr">
        <is>
          <t>avverkningsanmälan</t>
        </is>
      </c>
      <c r="C1544" t="inlineStr">
        <is>
          <t>Föryngringsavverkning</t>
        </is>
      </c>
      <c r="D1544" s="1" t="n">
        <v>44743</v>
      </c>
      <c r="E1544" s="1" t="n">
        <v>46323</v>
      </c>
      <c r="F1544" t="inlineStr">
        <is>
          <t>KALMAR LÄN</t>
        </is>
      </c>
      <c r="G1544" t="inlineStr">
        <is>
          <t>EMMABODA</t>
        </is>
      </c>
      <c r="I1544" t="n">
        <v>1.9</v>
      </c>
      <c r="J1544" t="n">
        <v>0</v>
      </c>
      <c r="K1544" t="n">
        <v>0</v>
      </c>
      <c r="L1544" t="n">
        <v>0</v>
      </c>
      <c r="M1544" t="n">
        <v>0</v>
      </c>
      <c r="N1544" t="n">
        <v>0</v>
      </c>
      <c r="O1544" t="n">
        <v>0</v>
      </c>
      <c r="P1544" t="n">
        <v>0</v>
      </c>
      <c r="Q1544" t="n">
        <v>0</v>
      </c>
      <c r="R1544" t="n">
        <v>0</v>
      </c>
      <c r="S1544" t="n">
        <v>0</v>
      </c>
      <c r="T1544" t="n">
        <v>0</v>
      </c>
      <c r="U1544" t="n">
        <v>0</v>
      </c>
      <c r="V1544" s="2" t="inlineStr"/>
    </row>
    <row r="1545" ht="15" customHeight="1">
      <c r="A1545" t="inlineStr">
        <is>
          <t>A 43575-2022</t>
        </is>
      </c>
      <c r="B1545" t="inlineStr">
        <is>
          <t>avverkningsanmälan</t>
        </is>
      </c>
      <c r="C1545" t="inlineStr">
        <is>
          <t>Föryngringsavverkning</t>
        </is>
      </c>
      <c r="D1545" s="1" t="n">
        <v>44837</v>
      </c>
      <c r="E1545" s="1" t="n">
        <v>46323</v>
      </c>
      <c r="F1545" t="inlineStr">
        <is>
          <t>KALMAR LÄN</t>
        </is>
      </c>
      <c r="G1545" t="inlineStr">
        <is>
          <t>TORSÅS</t>
        </is>
      </c>
      <c r="I1545" t="n">
        <v>0.6</v>
      </c>
      <c r="J1545" t="n">
        <v>0</v>
      </c>
      <c r="K1545" t="n">
        <v>0</v>
      </c>
      <c r="L1545" t="n">
        <v>0</v>
      </c>
      <c r="M1545" t="n">
        <v>0</v>
      </c>
      <c r="N1545" t="n">
        <v>0</v>
      </c>
      <c r="O1545" t="n">
        <v>0</v>
      </c>
      <c r="P1545" t="n">
        <v>0</v>
      </c>
      <c r="Q1545" t="n">
        <v>0</v>
      </c>
      <c r="R1545" t="n">
        <v>0</v>
      </c>
      <c r="S1545" t="n">
        <v>0</v>
      </c>
      <c r="T1545" t="n">
        <v>0</v>
      </c>
      <c r="U1545" t="n">
        <v>0</v>
      </c>
      <c r="V1545" s="2" t="inlineStr"/>
    </row>
    <row r="1546" ht="15" customHeight="1">
      <c r="A1546" t="inlineStr">
        <is>
          <t>A 12107-2022</t>
        </is>
      </c>
      <c r="B1546" t="inlineStr">
        <is>
          <t>avverkningsanmälan</t>
        </is>
      </c>
      <c r="C1546" t="inlineStr">
        <is>
          <t>Föryngringsavverkning</t>
        </is>
      </c>
      <c r="D1546" s="1" t="n">
        <v>44636</v>
      </c>
      <c r="E1546" s="1" t="n">
        <v>46323</v>
      </c>
      <c r="F1546" t="inlineStr">
        <is>
          <t>KALMAR LÄN</t>
        </is>
      </c>
      <c r="G1546" t="inlineStr">
        <is>
          <t>VIMMERBY</t>
        </is>
      </c>
      <c r="I1546" t="n">
        <v>1.8</v>
      </c>
      <c r="J1546" t="n">
        <v>0</v>
      </c>
      <c r="K1546" t="n">
        <v>0</v>
      </c>
      <c r="L1546" t="n">
        <v>0</v>
      </c>
      <c r="M1546" t="n">
        <v>0</v>
      </c>
      <c r="N1546" t="n">
        <v>0</v>
      </c>
      <c r="O1546" t="n">
        <v>0</v>
      </c>
      <c r="P1546" t="n">
        <v>0</v>
      </c>
      <c r="Q1546" t="n">
        <v>0</v>
      </c>
      <c r="R1546" t="n">
        <v>0</v>
      </c>
      <c r="S1546" t="n">
        <v>0</v>
      </c>
      <c r="T1546" t="n">
        <v>0</v>
      </c>
      <c r="U1546" t="n">
        <v>0</v>
      </c>
      <c r="V1546" s="2" t="inlineStr"/>
    </row>
    <row r="1547" ht="15" customHeight="1">
      <c r="A1547" t="inlineStr">
        <is>
          <t>A 20128-2022</t>
        </is>
      </c>
      <c r="B1547" t="inlineStr">
        <is>
          <t>avverkningsanmälan</t>
        </is>
      </c>
      <c r="C1547" t="inlineStr">
        <is>
          <t>Föryngringsavverkning</t>
        </is>
      </c>
      <c r="D1547" s="1" t="n">
        <v>44698</v>
      </c>
      <c r="E1547" s="1" t="n">
        <v>46323</v>
      </c>
      <c r="F1547" t="inlineStr">
        <is>
          <t>KALMAR LÄN</t>
        </is>
      </c>
      <c r="G1547" t="inlineStr">
        <is>
          <t>HÖGSBY</t>
        </is>
      </c>
      <c r="H1547" t="inlineStr">
        <is>
          <t>Sveaskog</t>
        </is>
      </c>
      <c r="I1547" t="n">
        <v>0.6</v>
      </c>
      <c r="J1547" t="n">
        <v>0</v>
      </c>
      <c r="K1547" t="n">
        <v>0</v>
      </c>
      <c r="L1547" t="n">
        <v>0</v>
      </c>
      <c r="M1547" t="n">
        <v>0</v>
      </c>
      <c r="N1547" t="n">
        <v>0</v>
      </c>
      <c r="O1547" t="n">
        <v>0</v>
      </c>
      <c r="P1547" t="n">
        <v>0</v>
      </c>
      <c r="Q1547" t="n">
        <v>0</v>
      </c>
      <c r="R1547" t="n">
        <v>0</v>
      </c>
      <c r="S1547" t="n">
        <v>0</v>
      </c>
      <c r="T1547" t="n">
        <v>0</v>
      </c>
      <c r="U1547" t="n">
        <v>0</v>
      </c>
      <c r="V1547" s="2" t="inlineStr"/>
    </row>
    <row r="1548" ht="15" customHeight="1">
      <c r="A1548" t="inlineStr">
        <is>
          <t>A 39225-2022</t>
        </is>
      </c>
      <c r="B1548" t="inlineStr">
        <is>
          <t>avverkningsanmälan</t>
        </is>
      </c>
      <c r="C1548" t="inlineStr">
        <is>
          <t>Föryngringsavverkning</t>
        </is>
      </c>
      <c r="D1548" s="1" t="n">
        <v>44817</v>
      </c>
      <c r="E1548" s="1" t="n">
        <v>46323</v>
      </c>
      <c r="F1548" t="inlineStr">
        <is>
          <t>KALMAR LÄN</t>
        </is>
      </c>
      <c r="G1548" t="inlineStr">
        <is>
          <t>VIMMERBY</t>
        </is>
      </c>
      <c r="I1548" t="n">
        <v>2.2</v>
      </c>
      <c r="J1548" t="n">
        <v>0</v>
      </c>
      <c r="K1548" t="n">
        <v>0</v>
      </c>
      <c r="L1548" t="n">
        <v>0</v>
      </c>
      <c r="M1548" t="n">
        <v>0</v>
      </c>
      <c r="N1548" t="n">
        <v>0</v>
      </c>
      <c r="O1548" t="n">
        <v>0</v>
      </c>
      <c r="P1548" t="n">
        <v>0</v>
      </c>
      <c r="Q1548" t="n">
        <v>0</v>
      </c>
      <c r="R1548" t="n">
        <v>0</v>
      </c>
      <c r="S1548" t="n">
        <v>0</v>
      </c>
      <c r="T1548" t="n">
        <v>0</v>
      </c>
      <c r="U1548" t="n">
        <v>0</v>
      </c>
      <c r="V1548" s="2" t="inlineStr"/>
    </row>
    <row r="1549" ht="15" customHeight="1">
      <c r="A1549" t="inlineStr">
        <is>
          <t>A 62631-2021</t>
        </is>
      </c>
      <c r="B1549" t="inlineStr">
        <is>
          <t>avverkningsanmälan</t>
        </is>
      </c>
      <c r="C1549" t="inlineStr">
        <is>
          <t>Föryngringsavverkning</t>
        </is>
      </c>
      <c r="D1549" s="1" t="n">
        <v>44503</v>
      </c>
      <c r="E1549" s="1" t="n">
        <v>46323</v>
      </c>
      <c r="F1549" t="inlineStr">
        <is>
          <t>KALMAR LÄN</t>
        </is>
      </c>
      <c r="G1549" t="inlineStr">
        <is>
          <t>BORGHOLM</t>
        </is>
      </c>
      <c r="I1549" t="n">
        <v>1</v>
      </c>
      <c r="J1549" t="n">
        <v>0</v>
      </c>
      <c r="K1549" t="n">
        <v>0</v>
      </c>
      <c r="L1549" t="n">
        <v>0</v>
      </c>
      <c r="M1549" t="n">
        <v>0</v>
      </c>
      <c r="N1549" t="n">
        <v>0</v>
      </c>
      <c r="O1549" t="n">
        <v>0</v>
      </c>
      <c r="P1549" t="n">
        <v>0</v>
      </c>
      <c r="Q1549" t="n">
        <v>0</v>
      </c>
      <c r="R1549" t="n">
        <v>0</v>
      </c>
      <c r="S1549" t="n">
        <v>0</v>
      </c>
      <c r="T1549" t="n">
        <v>0</v>
      </c>
      <c r="U1549" t="n">
        <v>0</v>
      </c>
      <c r="V1549" s="2" t="inlineStr"/>
    </row>
    <row r="1550" ht="15" customHeight="1">
      <c r="A1550" t="inlineStr">
        <is>
          <t>A 29741-2022</t>
        </is>
      </c>
      <c r="B1550" t="inlineStr">
        <is>
          <t>avverkningsanmälan</t>
        </is>
      </c>
      <c r="C1550" t="inlineStr">
        <is>
          <t>Föryngringsavverkning</t>
        </is>
      </c>
      <c r="D1550" s="1" t="n">
        <v>44755</v>
      </c>
      <c r="E1550" s="1" t="n">
        <v>46323</v>
      </c>
      <c r="F1550" t="inlineStr">
        <is>
          <t>KALMAR LÄN</t>
        </is>
      </c>
      <c r="G1550" t="inlineStr">
        <is>
          <t>HULTSFRED</t>
        </is>
      </c>
      <c r="I1550" t="n">
        <v>1.2</v>
      </c>
      <c r="J1550" t="n">
        <v>0</v>
      </c>
      <c r="K1550" t="n">
        <v>0</v>
      </c>
      <c r="L1550" t="n">
        <v>0</v>
      </c>
      <c r="M1550" t="n">
        <v>0</v>
      </c>
      <c r="N1550" t="n">
        <v>0</v>
      </c>
      <c r="O1550" t="n">
        <v>0</v>
      </c>
      <c r="P1550" t="n">
        <v>0</v>
      </c>
      <c r="Q1550" t="n">
        <v>0</v>
      </c>
      <c r="R1550" t="n">
        <v>0</v>
      </c>
      <c r="S1550" t="n">
        <v>0</v>
      </c>
      <c r="T1550" t="n">
        <v>0</v>
      </c>
      <c r="U1550" t="n">
        <v>0</v>
      </c>
      <c r="V1550" s="2" t="inlineStr"/>
    </row>
    <row r="1551" ht="15" customHeight="1">
      <c r="A1551" t="inlineStr">
        <is>
          <t>A 32921-2022</t>
        </is>
      </c>
      <c r="B1551" t="inlineStr">
        <is>
          <t>avverkningsanmälan</t>
        </is>
      </c>
      <c r="C1551" t="inlineStr">
        <is>
          <t>Föryngringsavverkning</t>
        </is>
      </c>
      <c r="D1551" s="1" t="n">
        <v>44784</v>
      </c>
      <c r="E1551" s="1" t="n">
        <v>46323</v>
      </c>
      <c r="F1551" t="inlineStr">
        <is>
          <t>KALMAR LÄN</t>
        </is>
      </c>
      <c r="G1551" t="inlineStr">
        <is>
          <t>KALMAR</t>
        </is>
      </c>
      <c r="I1551" t="n">
        <v>1.7</v>
      </c>
      <c r="J1551" t="n">
        <v>0</v>
      </c>
      <c r="K1551" t="n">
        <v>0</v>
      </c>
      <c r="L1551" t="n">
        <v>0</v>
      </c>
      <c r="M1551" t="n">
        <v>0</v>
      </c>
      <c r="N1551" t="n">
        <v>0</v>
      </c>
      <c r="O1551" t="n">
        <v>0</v>
      </c>
      <c r="P1551" t="n">
        <v>0</v>
      </c>
      <c r="Q1551" t="n">
        <v>0</v>
      </c>
      <c r="R1551" t="n">
        <v>0</v>
      </c>
      <c r="S1551" t="n">
        <v>0</v>
      </c>
      <c r="T1551" t="n">
        <v>0</v>
      </c>
      <c r="U1551" t="n">
        <v>0</v>
      </c>
      <c r="V1551" s="2" t="inlineStr"/>
    </row>
    <row r="1552" ht="15" customHeight="1">
      <c r="A1552" t="inlineStr">
        <is>
          <t>A 46705-2022</t>
        </is>
      </c>
      <c r="B1552" t="inlineStr">
        <is>
          <t>avverkningsanmälan</t>
        </is>
      </c>
      <c r="C1552" t="inlineStr">
        <is>
          <t>Föryngringsavverkning</t>
        </is>
      </c>
      <c r="D1552" s="1" t="n">
        <v>44851</v>
      </c>
      <c r="E1552" s="1" t="n">
        <v>46323</v>
      </c>
      <c r="F1552" t="inlineStr">
        <is>
          <t>KALMAR LÄN</t>
        </is>
      </c>
      <c r="G1552" t="inlineStr">
        <is>
          <t>NYBRO</t>
        </is>
      </c>
      <c r="I1552" t="n">
        <v>5</v>
      </c>
      <c r="J1552" t="n">
        <v>0</v>
      </c>
      <c r="K1552" t="n">
        <v>0</v>
      </c>
      <c r="L1552" t="n">
        <v>0</v>
      </c>
      <c r="M1552" t="n">
        <v>0</v>
      </c>
      <c r="N1552" t="n">
        <v>0</v>
      </c>
      <c r="O1552" t="n">
        <v>0</v>
      </c>
      <c r="P1552" t="n">
        <v>0</v>
      </c>
      <c r="Q1552" t="n">
        <v>0</v>
      </c>
      <c r="R1552" t="n">
        <v>0</v>
      </c>
      <c r="S1552" t="n">
        <v>0</v>
      </c>
      <c r="T1552" t="n">
        <v>0</v>
      </c>
      <c r="U1552" t="n">
        <v>0</v>
      </c>
      <c r="V1552" s="2" t="inlineStr"/>
    </row>
    <row r="1553" ht="15" customHeight="1">
      <c r="A1553" t="inlineStr">
        <is>
          <t>A 17029-2022</t>
        </is>
      </c>
      <c r="B1553" t="inlineStr">
        <is>
          <t>avverkningsanmälan</t>
        </is>
      </c>
      <c r="C1553" t="inlineStr">
        <is>
          <t>Föryngringsavverkning</t>
        </is>
      </c>
      <c r="D1553" s="1" t="n">
        <v>44676</v>
      </c>
      <c r="E1553" s="1" t="n">
        <v>46323</v>
      </c>
      <c r="F1553" t="inlineStr">
        <is>
          <t>KALMAR LÄN</t>
        </is>
      </c>
      <c r="G1553" t="inlineStr">
        <is>
          <t>VIMMERBY</t>
        </is>
      </c>
      <c r="I1553" t="n">
        <v>0.6</v>
      </c>
      <c r="J1553" t="n">
        <v>0</v>
      </c>
      <c r="K1553" t="n">
        <v>0</v>
      </c>
      <c r="L1553" t="n">
        <v>0</v>
      </c>
      <c r="M1553" t="n">
        <v>0</v>
      </c>
      <c r="N1553" t="n">
        <v>0</v>
      </c>
      <c r="O1553" t="n">
        <v>0</v>
      </c>
      <c r="P1553" t="n">
        <v>0</v>
      </c>
      <c r="Q1553" t="n">
        <v>0</v>
      </c>
      <c r="R1553" t="n">
        <v>0</v>
      </c>
      <c r="S1553" t="n">
        <v>0</v>
      </c>
      <c r="T1553" t="n">
        <v>0</v>
      </c>
      <c r="U1553" t="n">
        <v>0</v>
      </c>
      <c r="V1553" s="2" t="inlineStr"/>
    </row>
    <row r="1554" ht="15" customHeight="1">
      <c r="A1554" t="inlineStr">
        <is>
          <t>A 7167-2022</t>
        </is>
      </c>
      <c r="B1554" t="inlineStr">
        <is>
          <t>avverkningsanmälan</t>
        </is>
      </c>
      <c r="C1554" t="inlineStr">
        <is>
          <t>Föryngringsavverkning</t>
        </is>
      </c>
      <c r="D1554" s="1" t="n">
        <v>44604</v>
      </c>
      <c r="E1554" s="1" t="n">
        <v>46323</v>
      </c>
      <c r="F1554" t="inlineStr">
        <is>
          <t>KALMAR LÄN</t>
        </is>
      </c>
      <c r="G1554" t="inlineStr">
        <is>
          <t>VIMMERBY</t>
        </is>
      </c>
      <c r="I1554" t="n">
        <v>1.7</v>
      </c>
      <c r="J1554" t="n">
        <v>0</v>
      </c>
      <c r="K1554" t="n">
        <v>0</v>
      </c>
      <c r="L1554" t="n">
        <v>0</v>
      </c>
      <c r="M1554" t="n">
        <v>0</v>
      </c>
      <c r="N1554" t="n">
        <v>0</v>
      </c>
      <c r="O1554" t="n">
        <v>0</v>
      </c>
      <c r="P1554" t="n">
        <v>0</v>
      </c>
      <c r="Q1554" t="n">
        <v>0</v>
      </c>
      <c r="R1554" t="n">
        <v>0</v>
      </c>
      <c r="S1554" t="n">
        <v>0</v>
      </c>
      <c r="T1554" t="n">
        <v>0</v>
      </c>
      <c r="U1554" t="n">
        <v>0</v>
      </c>
      <c r="V1554" s="2" t="inlineStr"/>
    </row>
    <row r="1555" ht="15" customHeight="1">
      <c r="A1555" t="inlineStr">
        <is>
          <t>A 72378-2021</t>
        </is>
      </c>
      <c r="B1555" t="inlineStr">
        <is>
          <t>avverkningsanmälan</t>
        </is>
      </c>
      <c r="C1555" t="inlineStr">
        <is>
          <t>Föryngringsavverkning</t>
        </is>
      </c>
      <c r="D1555" s="1" t="n">
        <v>44545</v>
      </c>
      <c r="E1555" s="1" t="n">
        <v>46323</v>
      </c>
      <c r="F1555" t="inlineStr">
        <is>
          <t>KALMAR LÄN</t>
        </is>
      </c>
      <c r="G1555" t="inlineStr">
        <is>
          <t>VÄSTERVIK</t>
        </is>
      </c>
      <c r="I1555" t="n">
        <v>4.4</v>
      </c>
      <c r="J1555" t="n">
        <v>0</v>
      </c>
      <c r="K1555" t="n">
        <v>0</v>
      </c>
      <c r="L1555" t="n">
        <v>0</v>
      </c>
      <c r="M1555" t="n">
        <v>0</v>
      </c>
      <c r="N1555" t="n">
        <v>0</v>
      </c>
      <c r="O1555" t="n">
        <v>0</v>
      </c>
      <c r="P1555" t="n">
        <v>0</v>
      </c>
      <c r="Q1555" t="n">
        <v>0</v>
      </c>
      <c r="R1555" t="n">
        <v>0</v>
      </c>
      <c r="S1555" t="n">
        <v>0</v>
      </c>
      <c r="T1555" t="n">
        <v>0</v>
      </c>
      <c r="U1555" t="n">
        <v>0</v>
      </c>
      <c r="V1555" s="2" t="inlineStr"/>
    </row>
    <row r="1556" ht="15" customHeight="1">
      <c r="A1556" t="inlineStr">
        <is>
          <t>A 21065-2022</t>
        </is>
      </c>
      <c r="B1556" t="inlineStr">
        <is>
          <t>avverkningsanmälan</t>
        </is>
      </c>
      <c r="C1556" t="inlineStr">
        <is>
          <t>Föryngringsavverkning</t>
        </is>
      </c>
      <c r="D1556" s="1" t="n">
        <v>44704</v>
      </c>
      <c r="E1556" s="1" t="n">
        <v>46323</v>
      </c>
      <c r="F1556" t="inlineStr">
        <is>
          <t>KALMAR LÄN</t>
        </is>
      </c>
      <c r="G1556" t="inlineStr">
        <is>
          <t>OSKARSHAMN</t>
        </is>
      </c>
      <c r="I1556" t="n">
        <v>1.3</v>
      </c>
      <c r="J1556" t="n">
        <v>0</v>
      </c>
      <c r="K1556" t="n">
        <v>0</v>
      </c>
      <c r="L1556" t="n">
        <v>0</v>
      </c>
      <c r="M1556" t="n">
        <v>0</v>
      </c>
      <c r="N1556" t="n">
        <v>0</v>
      </c>
      <c r="O1556" t="n">
        <v>0</v>
      </c>
      <c r="P1556" t="n">
        <v>0</v>
      </c>
      <c r="Q1556" t="n">
        <v>0</v>
      </c>
      <c r="R1556" t="n">
        <v>0</v>
      </c>
      <c r="S1556" t="n">
        <v>0</v>
      </c>
      <c r="T1556" t="n">
        <v>0</v>
      </c>
      <c r="U1556" t="n">
        <v>0</v>
      </c>
      <c r="V1556" s="2" t="inlineStr"/>
    </row>
    <row r="1557" ht="15" customHeight="1">
      <c r="A1557" t="inlineStr">
        <is>
          <t>A 53410-2022</t>
        </is>
      </c>
      <c r="B1557" t="inlineStr">
        <is>
          <t>avverkningsanmälan</t>
        </is>
      </c>
      <c r="C1557" t="inlineStr">
        <is>
          <t>Föryngringsavverkning</t>
        </is>
      </c>
      <c r="D1557" s="1" t="n">
        <v>44879</v>
      </c>
      <c r="E1557" s="1" t="n">
        <v>46323</v>
      </c>
      <c r="F1557" t="inlineStr">
        <is>
          <t>KALMAR LÄN</t>
        </is>
      </c>
      <c r="G1557" t="inlineStr">
        <is>
          <t>TORSÅS</t>
        </is>
      </c>
      <c r="I1557" t="n">
        <v>1.3</v>
      </c>
      <c r="J1557" t="n">
        <v>0</v>
      </c>
      <c r="K1557" t="n">
        <v>0</v>
      </c>
      <c r="L1557" t="n">
        <v>0</v>
      </c>
      <c r="M1557" t="n">
        <v>0</v>
      </c>
      <c r="N1557" t="n">
        <v>0</v>
      </c>
      <c r="O1557" t="n">
        <v>0</v>
      </c>
      <c r="P1557" t="n">
        <v>0</v>
      </c>
      <c r="Q1557" t="n">
        <v>0</v>
      </c>
      <c r="R1557" t="n">
        <v>0</v>
      </c>
      <c r="S1557" t="n">
        <v>0</v>
      </c>
      <c r="T1557" t="n">
        <v>0</v>
      </c>
      <c r="U1557" t="n">
        <v>0</v>
      </c>
      <c r="V1557" s="2" t="inlineStr"/>
    </row>
    <row r="1558" ht="15" customHeight="1">
      <c r="A1558" t="inlineStr">
        <is>
          <t>A 11151-2022</t>
        </is>
      </c>
      <c r="B1558" t="inlineStr">
        <is>
          <t>avverkningsanmälan</t>
        </is>
      </c>
      <c r="C1558" t="inlineStr">
        <is>
          <t>Föryngringsavverkning</t>
        </is>
      </c>
      <c r="D1558" s="1" t="n">
        <v>44629</v>
      </c>
      <c r="E1558" s="1" t="n">
        <v>46323</v>
      </c>
      <c r="F1558" t="inlineStr">
        <is>
          <t>KALMAR LÄN</t>
        </is>
      </c>
      <c r="G1558" t="inlineStr">
        <is>
          <t>NYBRO</t>
        </is>
      </c>
      <c r="I1558" t="n">
        <v>0.8</v>
      </c>
      <c r="J1558" t="n">
        <v>0</v>
      </c>
      <c r="K1558" t="n">
        <v>0</v>
      </c>
      <c r="L1558" t="n">
        <v>0</v>
      </c>
      <c r="M1558" t="n">
        <v>0</v>
      </c>
      <c r="N1558" t="n">
        <v>0</v>
      </c>
      <c r="O1558" t="n">
        <v>0</v>
      </c>
      <c r="P1558" t="n">
        <v>0</v>
      </c>
      <c r="Q1558" t="n">
        <v>0</v>
      </c>
      <c r="R1558" t="n">
        <v>0</v>
      </c>
      <c r="S1558" t="n">
        <v>0</v>
      </c>
      <c r="T1558" t="n">
        <v>0</v>
      </c>
      <c r="U1558" t="n">
        <v>0</v>
      </c>
      <c r="V1558" s="2" t="inlineStr"/>
    </row>
    <row r="1559" ht="15" customHeight="1">
      <c r="A1559" t="inlineStr">
        <is>
          <t>A 21889-2022</t>
        </is>
      </c>
      <c r="B1559" t="inlineStr">
        <is>
          <t>avverkningsanmälan</t>
        </is>
      </c>
      <c r="C1559" t="inlineStr">
        <is>
          <t>Föryngringsavverkning</t>
        </is>
      </c>
      <c r="D1559" s="1" t="n">
        <v>44711</v>
      </c>
      <c r="E1559" s="1" t="n">
        <v>46323</v>
      </c>
      <c r="F1559" t="inlineStr">
        <is>
          <t>KALMAR LÄN</t>
        </is>
      </c>
      <c r="G1559" t="inlineStr">
        <is>
          <t>TORSÅS</t>
        </is>
      </c>
      <c r="I1559" t="n">
        <v>0.7</v>
      </c>
      <c r="J1559" t="n">
        <v>0</v>
      </c>
      <c r="K1559" t="n">
        <v>0</v>
      </c>
      <c r="L1559" t="n">
        <v>0</v>
      </c>
      <c r="M1559" t="n">
        <v>0</v>
      </c>
      <c r="N1559" t="n">
        <v>0</v>
      </c>
      <c r="O1559" t="n">
        <v>0</v>
      </c>
      <c r="P1559" t="n">
        <v>0</v>
      </c>
      <c r="Q1559" t="n">
        <v>0</v>
      </c>
      <c r="R1559" t="n">
        <v>0</v>
      </c>
      <c r="S1559" t="n">
        <v>0</v>
      </c>
      <c r="T1559" t="n">
        <v>0</v>
      </c>
      <c r="U1559" t="n">
        <v>0</v>
      </c>
      <c r="V1559" s="2" t="inlineStr"/>
    </row>
    <row r="1560" ht="15" customHeight="1">
      <c r="A1560" t="inlineStr">
        <is>
          <t>A 4998-2022</t>
        </is>
      </c>
      <c r="B1560" t="inlineStr">
        <is>
          <t>avverkningsanmälan</t>
        </is>
      </c>
      <c r="C1560" t="inlineStr">
        <is>
          <t>Föryngringsavverkning</t>
        </is>
      </c>
      <c r="D1560" s="1" t="n">
        <v>44593</v>
      </c>
      <c r="E1560" s="1" t="n">
        <v>46323</v>
      </c>
      <c r="F1560" t="inlineStr">
        <is>
          <t>KALMAR LÄN</t>
        </is>
      </c>
      <c r="G1560" t="inlineStr">
        <is>
          <t>HULTSFRED</t>
        </is>
      </c>
      <c r="I1560" t="n">
        <v>0.7</v>
      </c>
      <c r="J1560" t="n">
        <v>0</v>
      </c>
      <c r="K1560" t="n">
        <v>0</v>
      </c>
      <c r="L1560" t="n">
        <v>0</v>
      </c>
      <c r="M1560" t="n">
        <v>0</v>
      </c>
      <c r="N1560" t="n">
        <v>0</v>
      </c>
      <c r="O1560" t="n">
        <v>0</v>
      </c>
      <c r="P1560" t="n">
        <v>0</v>
      </c>
      <c r="Q1560" t="n">
        <v>0</v>
      </c>
      <c r="R1560" t="n">
        <v>0</v>
      </c>
      <c r="S1560" t="n">
        <v>0</v>
      </c>
      <c r="T1560" t="n">
        <v>0</v>
      </c>
      <c r="U1560" t="n">
        <v>0</v>
      </c>
      <c r="V1560" s="2" t="inlineStr"/>
    </row>
    <row r="1561" ht="15" customHeight="1">
      <c r="A1561" t="inlineStr">
        <is>
          <t>A 54043-2022</t>
        </is>
      </c>
      <c r="B1561" t="inlineStr">
        <is>
          <t>avverkningsanmälan</t>
        </is>
      </c>
      <c r="C1561" t="inlineStr">
        <is>
          <t>Föryngringsavverkning</t>
        </is>
      </c>
      <c r="D1561" s="1" t="n">
        <v>44881</v>
      </c>
      <c r="E1561" s="1" t="n">
        <v>46323</v>
      </c>
      <c r="F1561" t="inlineStr">
        <is>
          <t>KALMAR LÄN</t>
        </is>
      </c>
      <c r="G1561" t="inlineStr">
        <is>
          <t>NYBRO</t>
        </is>
      </c>
      <c r="I1561" t="n">
        <v>0.8</v>
      </c>
      <c r="J1561" t="n">
        <v>0</v>
      </c>
      <c r="K1561" t="n">
        <v>0</v>
      </c>
      <c r="L1561" t="n">
        <v>0</v>
      </c>
      <c r="M1561" t="n">
        <v>0</v>
      </c>
      <c r="N1561" t="n">
        <v>0</v>
      </c>
      <c r="O1561" t="n">
        <v>0</v>
      </c>
      <c r="P1561" t="n">
        <v>0</v>
      </c>
      <c r="Q1561" t="n">
        <v>0</v>
      </c>
      <c r="R1561" t="n">
        <v>0</v>
      </c>
      <c r="S1561" t="n">
        <v>0</v>
      </c>
      <c r="T1561" t="n">
        <v>0</v>
      </c>
      <c r="U1561" t="n">
        <v>0</v>
      </c>
      <c r="V1561" s="2" t="inlineStr"/>
    </row>
    <row r="1562" ht="15" customHeight="1">
      <c r="A1562" t="inlineStr">
        <is>
          <t>A 34644-2022</t>
        </is>
      </c>
      <c r="B1562" t="inlineStr">
        <is>
          <t>avverkningsanmälan</t>
        </is>
      </c>
      <c r="C1562" t="inlineStr">
        <is>
          <t>Föryngringsavverkning</t>
        </is>
      </c>
      <c r="D1562" s="1" t="n">
        <v>44795</v>
      </c>
      <c r="E1562" s="1" t="n">
        <v>46323</v>
      </c>
      <c r="F1562" t="inlineStr">
        <is>
          <t>KALMAR LÄN</t>
        </is>
      </c>
      <c r="G1562" t="inlineStr">
        <is>
          <t>VÄSTERVIK</t>
        </is>
      </c>
      <c r="I1562" t="n">
        <v>0.5</v>
      </c>
      <c r="J1562" t="n">
        <v>0</v>
      </c>
      <c r="K1562" t="n">
        <v>0</v>
      </c>
      <c r="L1562" t="n">
        <v>0</v>
      </c>
      <c r="M1562" t="n">
        <v>0</v>
      </c>
      <c r="N1562" t="n">
        <v>0</v>
      </c>
      <c r="O1562" t="n">
        <v>0</v>
      </c>
      <c r="P1562" t="n">
        <v>0</v>
      </c>
      <c r="Q1562" t="n">
        <v>0</v>
      </c>
      <c r="R1562" t="n">
        <v>0</v>
      </c>
      <c r="S1562" t="n">
        <v>0</v>
      </c>
      <c r="T1562" t="n">
        <v>0</v>
      </c>
      <c r="U1562" t="n">
        <v>0</v>
      </c>
      <c r="V1562" s="2" t="inlineStr"/>
    </row>
    <row r="1563" ht="15" customHeight="1">
      <c r="A1563" t="inlineStr">
        <is>
          <t>A 47769-2022</t>
        </is>
      </c>
      <c r="B1563" t="inlineStr">
        <is>
          <t>avverkningsanmälan</t>
        </is>
      </c>
      <c r="C1563" t="inlineStr">
        <is>
          <t>Föryngringsavverkning</t>
        </is>
      </c>
      <c r="D1563" s="1" t="n">
        <v>44854</v>
      </c>
      <c r="E1563" s="1" t="n">
        <v>46323</v>
      </c>
      <c r="F1563" t="inlineStr">
        <is>
          <t>KALMAR LÄN</t>
        </is>
      </c>
      <c r="G1563" t="inlineStr">
        <is>
          <t>VIMMERBY</t>
        </is>
      </c>
      <c r="I1563" t="n">
        <v>1.1</v>
      </c>
      <c r="J1563" t="n">
        <v>0</v>
      </c>
      <c r="K1563" t="n">
        <v>0</v>
      </c>
      <c r="L1563" t="n">
        <v>0</v>
      </c>
      <c r="M1563" t="n">
        <v>0</v>
      </c>
      <c r="N1563" t="n">
        <v>0</v>
      </c>
      <c r="O1563" t="n">
        <v>0</v>
      </c>
      <c r="P1563" t="n">
        <v>0</v>
      </c>
      <c r="Q1563" t="n">
        <v>0</v>
      </c>
      <c r="R1563" t="n">
        <v>0</v>
      </c>
      <c r="S1563" t="n">
        <v>0</v>
      </c>
      <c r="T1563" t="n">
        <v>0</v>
      </c>
      <c r="U1563" t="n">
        <v>0</v>
      </c>
      <c r="V1563" s="2" t="inlineStr"/>
    </row>
    <row r="1564" ht="15" customHeight="1">
      <c r="A1564" t="inlineStr">
        <is>
          <t>A 35086-2022</t>
        </is>
      </c>
      <c r="B1564" t="inlineStr">
        <is>
          <t>avverkningsanmälan</t>
        </is>
      </c>
      <c r="C1564" t="inlineStr">
        <is>
          <t>Föryngringsavverkning</t>
        </is>
      </c>
      <c r="D1564" s="1" t="n">
        <v>44796</v>
      </c>
      <c r="E1564" s="1" t="n">
        <v>46323</v>
      </c>
      <c r="F1564" t="inlineStr">
        <is>
          <t>KALMAR LÄN</t>
        </is>
      </c>
      <c r="G1564" t="inlineStr">
        <is>
          <t>NYBRO</t>
        </is>
      </c>
      <c r="H1564" t="inlineStr">
        <is>
          <t>Kyrkan</t>
        </is>
      </c>
      <c r="I1564" t="n">
        <v>7</v>
      </c>
      <c r="J1564" t="n">
        <v>0</v>
      </c>
      <c r="K1564" t="n">
        <v>0</v>
      </c>
      <c r="L1564" t="n">
        <v>0</v>
      </c>
      <c r="M1564" t="n">
        <v>0</v>
      </c>
      <c r="N1564" t="n">
        <v>0</v>
      </c>
      <c r="O1564" t="n">
        <v>0</v>
      </c>
      <c r="P1564" t="n">
        <v>0</v>
      </c>
      <c r="Q1564" t="n">
        <v>0</v>
      </c>
      <c r="R1564" t="n">
        <v>0</v>
      </c>
      <c r="S1564" t="n">
        <v>0</v>
      </c>
      <c r="T1564" t="n">
        <v>0</v>
      </c>
      <c r="U1564" t="n">
        <v>0</v>
      </c>
      <c r="V1564" s="2" t="inlineStr"/>
    </row>
    <row r="1565" ht="15" customHeight="1">
      <c r="A1565" t="inlineStr">
        <is>
          <t>A 73474-2021</t>
        </is>
      </c>
      <c r="B1565" t="inlineStr">
        <is>
          <t>avverkningsanmälan</t>
        </is>
      </c>
      <c r="C1565" t="inlineStr">
        <is>
          <t>Föryngringsavverkning</t>
        </is>
      </c>
      <c r="D1565" s="1" t="n">
        <v>44551</v>
      </c>
      <c r="E1565" s="1" t="n">
        <v>46323</v>
      </c>
      <c r="F1565" t="inlineStr">
        <is>
          <t>KALMAR LÄN</t>
        </is>
      </c>
      <c r="G1565" t="inlineStr">
        <is>
          <t>NYBRO</t>
        </is>
      </c>
      <c r="I1565" t="n">
        <v>0.6</v>
      </c>
      <c r="J1565" t="n">
        <v>0</v>
      </c>
      <c r="K1565" t="n">
        <v>0</v>
      </c>
      <c r="L1565" t="n">
        <v>0</v>
      </c>
      <c r="M1565" t="n">
        <v>0</v>
      </c>
      <c r="N1565" t="n">
        <v>0</v>
      </c>
      <c r="O1565" t="n">
        <v>0</v>
      </c>
      <c r="P1565" t="n">
        <v>0</v>
      </c>
      <c r="Q1565" t="n">
        <v>0</v>
      </c>
      <c r="R1565" t="n">
        <v>0</v>
      </c>
      <c r="S1565" t="n">
        <v>0</v>
      </c>
      <c r="T1565" t="n">
        <v>0</v>
      </c>
      <c r="U1565" t="n">
        <v>0</v>
      </c>
      <c r="V1565" s="2" t="inlineStr"/>
    </row>
    <row r="1566" ht="15" customHeight="1">
      <c r="A1566" t="inlineStr">
        <is>
          <t>A 69857-2021</t>
        </is>
      </c>
      <c r="B1566" t="inlineStr">
        <is>
          <t>avverkningsanmälan</t>
        </is>
      </c>
      <c r="C1566" t="inlineStr">
        <is>
          <t>Föryngringsavverkning</t>
        </is>
      </c>
      <c r="D1566" s="1" t="n">
        <v>44532</v>
      </c>
      <c r="E1566" s="1" t="n">
        <v>46323</v>
      </c>
      <c r="F1566" t="inlineStr">
        <is>
          <t>KALMAR LÄN</t>
        </is>
      </c>
      <c r="G1566" t="inlineStr">
        <is>
          <t>EMMABODA</t>
        </is>
      </c>
      <c r="H1566" t="inlineStr">
        <is>
          <t>Sveaskog</t>
        </is>
      </c>
      <c r="I1566" t="n">
        <v>1.3</v>
      </c>
      <c r="J1566" t="n">
        <v>0</v>
      </c>
      <c r="K1566" t="n">
        <v>0</v>
      </c>
      <c r="L1566" t="n">
        <v>0</v>
      </c>
      <c r="M1566" t="n">
        <v>0</v>
      </c>
      <c r="N1566" t="n">
        <v>0</v>
      </c>
      <c r="O1566" t="n">
        <v>0</v>
      </c>
      <c r="P1566" t="n">
        <v>0</v>
      </c>
      <c r="Q1566" t="n">
        <v>0</v>
      </c>
      <c r="R1566" t="n">
        <v>0</v>
      </c>
      <c r="S1566" t="n">
        <v>0</v>
      </c>
      <c r="T1566" t="n">
        <v>0</v>
      </c>
      <c r="U1566" t="n">
        <v>0</v>
      </c>
      <c r="V1566" s="2" t="inlineStr"/>
    </row>
    <row r="1567" ht="15" customHeight="1">
      <c r="A1567" t="inlineStr">
        <is>
          <t>A 23829-2022</t>
        </is>
      </c>
      <c r="B1567" t="inlineStr">
        <is>
          <t>avverkningsanmälan</t>
        </is>
      </c>
      <c r="C1567" t="inlineStr">
        <is>
          <t>Föryngringsavverkning</t>
        </is>
      </c>
      <c r="D1567" s="1" t="n">
        <v>44722</v>
      </c>
      <c r="E1567" s="1" t="n">
        <v>46323</v>
      </c>
      <c r="F1567" t="inlineStr">
        <is>
          <t>KALMAR LÄN</t>
        </is>
      </c>
      <c r="G1567" t="inlineStr">
        <is>
          <t>EMMABODA</t>
        </is>
      </c>
      <c r="I1567" t="n">
        <v>0.5</v>
      </c>
      <c r="J1567" t="n">
        <v>0</v>
      </c>
      <c r="K1567" t="n">
        <v>0</v>
      </c>
      <c r="L1567" t="n">
        <v>0</v>
      </c>
      <c r="M1567" t="n">
        <v>0</v>
      </c>
      <c r="N1567" t="n">
        <v>0</v>
      </c>
      <c r="O1567" t="n">
        <v>0</v>
      </c>
      <c r="P1567" t="n">
        <v>0</v>
      </c>
      <c r="Q1567" t="n">
        <v>0</v>
      </c>
      <c r="R1567" t="n">
        <v>0</v>
      </c>
      <c r="S1567" t="n">
        <v>0</v>
      </c>
      <c r="T1567" t="n">
        <v>0</v>
      </c>
      <c r="U1567" t="n">
        <v>0</v>
      </c>
      <c r="V1567" s="2" t="inlineStr"/>
    </row>
    <row r="1568" ht="15" customHeight="1">
      <c r="A1568" t="inlineStr">
        <is>
          <t>A 14383-2022</t>
        </is>
      </c>
      <c r="B1568" t="inlineStr">
        <is>
          <t>avverkningsanmälan</t>
        </is>
      </c>
      <c r="C1568" t="inlineStr">
        <is>
          <t>Föryngringsavverkning</t>
        </is>
      </c>
      <c r="D1568" s="1" t="n">
        <v>44652</v>
      </c>
      <c r="E1568" s="1" t="n">
        <v>46323</v>
      </c>
      <c r="F1568" t="inlineStr">
        <is>
          <t>KALMAR LÄN</t>
        </is>
      </c>
      <c r="G1568" t="inlineStr">
        <is>
          <t>TORSÅS</t>
        </is>
      </c>
      <c r="I1568" t="n">
        <v>3.1</v>
      </c>
      <c r="J1568" t="n">
        <v>0</v>
      </c>
      <c r="K1568" t="n">
        <v>0</v>
      </c>
      <c r="L1568" t="n">
        <v>0</v>
      </c>
      <c r="M1568" t="n">
        <v>0</v>
      </c>
      <c r="N1568" t="n">
        <v>0</v>
      </c>
      <c r="O1568" t="n">
        <v>0</v>
      </c>
      <c r="P1568" t="n">
        <v>0</v>
      </c>
      <c r="Q1568" t="n">
        <v>0</v>
      </c>
      <c r="R1568" t="n">
        <v>0</v>
      </c>
      <c r="S1568" t="n">
        <v>0</v>
      </c>
      <c r="T1568" t="n">
        <v>0</v>
      </c>
      <c r="U1568" t="n">
        <v>0</v>
      </c>
      <c r="V1568" s="2" t="inlineStr"/>
    </row>
    <row r="1569" ht="15" customHeight="1">
      <c r="A1569" t="inlineStr">
        <is>
          <t>A 66796-2021</t>
        </is>
      </c>
      <c r="B1569" t="inlineStr">
        <is>
          <t>avverkningsanmälan</t>
        </is>
      </c>
      <c r="C1569" t="inlineStr">
        <is>
          <t>Föryngringsavverkning</t>
        </is>
      </c>
      <c r="D1569" s="1" t="n">
        <v>44519</v>
      </c>
      <c r="E1569" s="1" t="n">
        <v>46323</v>
      </c>
      <c r="F1569" t="inlineStr">
        <is>
          <t>KALMAR LÄN</t>
        </is>
      </c>
      <c r="G1569" t="inlineStr">
        <is>
          <t>MÖNSTERÅS</t>
        </is>
      </c>
      <c r="I1569" t="n">
        <v>1.1</v>
      </c>
      <c r="J1569" t="n">
        <v>0</v>
      </c>
      <c r="K1569" t="n">
        <v>0</v>
      </c>
      <c r="L1569" t="n">
        <v>0</v>
      </c>
      <c r="M1569" t="n">
        <v>0</v>
      </c>
      <c r="N1569" t="n">
        <v>0</v>
      </c>
      <c r="O1569" t="n">
        <v>0</v>
      </c>
      <c r="P1569" t="n">
        <v>0</v>
      </c>
      <c r="Q1569" t="n">
        <v>0</v>
      </c>
      <c r="R1569" t="n">
        <v>0</v>
      </c>
      <c r="S1569" t="n">
        <v>0</v>
      </c>
      <c r="T1569" t="n">
        <v>0</v>
      </c>
      <c r="U1569" t="n">
        <v>0</v>
      </c>
      <c r="V1569" s="2" t="inlineStr"/>
    </row>
    <row r="1570" ht="15" customHeight="1">
      <c r="A1570" t="inlineStr">
        <is>
          <t>A 34622-2022</t>
        </is>
      </c>
      <c r="B1570" t="inlineStr">
        <is>
          <t>avverkningsanmälan</t>
        </is>
      </c>
      <c r="C1570" t="inlineStr">
        <is>
          <t>Föryngringsavverkning</t>
        </is>
      </c>
      <c r="D1570" s="1" t="n">
        <v>44795</v>
      </c>
      <c r="E1570" s="1" t="n">
        <v>46323</v>
      </c>
      <c r="F1570" t="inlineStr">
        <is>
          <t>KALMAR LÄN</t>
        </is>
      </c>
      <c r="G1570" t="inlineStr">
        <is>
          <t>TORSÅS</t>
        </is>
      </c>
      <c r="I1570" t="n">
        <v>0.5</v>
      </c>
      <c r="J1570" t="n">
        <v>0</v>
      </c>
      <c r="K1570" t="n">
        <v>0</v>
      </c>
      <c r="L1570" t="n">
        <v>0</v>
      </c>
      <c r="M1570" t="n">
        <v>0</v>
      </c>
      <c r="N1570" t="n">
        <v>0</v>
      </c>
      <c r="O1570" t="n">
        <v>0</v>
      </c>
      <c r="P1570" t="n">
        <v>0</v>
      </c>
      <c r="Q1570" t="n">
        <v>0</v>
      </c>
      <c r="R1570" t="n">
        <v>0</v>
      </c>
      <c r="S1570" t="n">
        <v>0</v>
      </c>
      <c r="T1570" t="n">
        <v>0</v>
      </c>
      <c r="U1570" t="n">
        <v>0</v>
      </c>
      <c r="V1570" s="2" t="inlineStr"/>
    </row>
    <row r="1571" ht="15" customHeight="1">
      <c r="A1571" t="inlineStr">
        <is>
          <t>A 40472-2022</t>
        </is>
      </c>
      <c r="B1571" t="inlineStr">
        <is>
          <t>avverkningsanmälan</t>
        </is>
      </c>
      <c r="C1571" t="inlineStr">
        <is>
          <t>Avverkning för annat ändamål</t>
        </is>
      </c>
      <c r="D1571" s="1" t="n">
        <v>44823</v>
      </c>
      <c r="E1571" s="1" t="n">
        <v>46323</v>
      </c>
      <c r="F1571" t="inlineStr">
        <is>
          <t>KALMAR LÄN</t>
        </is>
      </c>
      <c r="G1571" t="inlineStr">
        <is>
          <t>VIMMERBY</t>
        </is>
      </c>
      <c r="I1571" t="n">
        <v>2</v>
      </c>
      <c r="J1571" t="n">
        <v>0</v>
      </c>
      <c r="K1571" t="n">
        <v>0</v>
      </c>
      <c r="L1571" t="n">
        <v>0</v>
      </c>
      <c r="M1571" t="n">
        <v>0</v>
      </c>
      <c r="N1571" t="n">
        <v>0</v>
      </c>
      <c r="O1571" t="n">
        <v>0</v>
      </c>
      <c r="P1571" t="n">
        <v>0</v>
      </c>
      <c r="Q1571" t="n">
        <v>0</v>
      </c>
      <c r="R1571" t="n">
        <v>0</v>
      </c>
      <c r="S1571" t="n">
        <v>0</v>
      </c>
      <c r="T1571" t="n">
        <v>0</v>
      </c>
      <c r="U1571" t="n">
        <v>0</v>
      </c>
      <c r="V1571" s="2" t="inlineStr"/>
    </row>
    <row r="1572" ht="15" customHeight="1">
      <c r="A1572" t="inlineStr">
        <is>
          <t>A 66721-2021</t>
        </is>
      </c>
      <c r="B1572" t="inlineStr">
        <is>
          <t>avverkningsanmälan</t>
        </is>
      </c>
      <c r="C1572" t="inlineStr">
        <is>
          <t>Föryngringsavverkning</t>
        </is>
      </c>
      <c r="D1572" s="1" t="n">
        <v>44519</v>
      </c>
      <c r="E1572" s="1" t="n">
        <v>46323</v>
      </c>
      <c r="F1572" t="inlineStr">
        <is>
          <t>KALMAR LÄN</t>
        </is>
      </c>
      <c r="G1572" t="inlineStr">
        <is>
          <t>HULTSFRED</t>
        </is>
      </c>
      <c r="I1572" t="n">
        <v>2</v>
      </c>
      <c r="J1572" t="n">
        <v>0</v>
      </c>
      <c r="K1572" t="n">
        <v>0</v>
      </c>
      <c r="L1572" t="n">
        <v>0</v>
      </c>
      <c r="M1572" t="n">
        <v>0</v>
      </c>
      <c r="N1572" t="n">
        <v>0</v>
      </c>
      <c r="O1572" t="n">
        <v>0</v>
      </c>
      <c r="P1572" t="n">
        <v>0</v>
      </c>
      <c r="Q1572" t="n">
        <v>0</v>
      </c>
      <c r="R1572" t="n">
        <v>0</v>
      </c>
      <c r="S1572" t="n">
        <v>0</v>
      </c>
      <c r="T1572" t="n">
        <v>0</v>
      </c>
      <c r="U1572" t="n">
        <v>0</v>
      </c>
      <c r="V1572" s="2" t="inlineStr"/>
    </row>
    <row r="1573" ht="15" customHeight="1">
      <c r="A1573" t="inlineStr">
        <is>
          <t>A 66725-2021</t>
        </is>
      </c>
      <c r="B1573" t="inlineStr">
        <is>
          <t>avverkningsanmälan</t>
        </is>
      </c>
      <c r="C1573" t="inlineStr">
        <is>
          <t>Föryngringsavverkning</t>
        </is>
      </c>
      <c r="D1573" s="1" t="n">
        <v>44519</v>
      </c>
      <c r="E1573" s="1" t="n">
        <v>46323</v>
      </c>
      <c r="F1573" t="inlineStr">
        <is>
          <t>KALMAR LÄN</t>
        </is>
      </c>
      <c r="G1573" t="inlineStr">
        <is>
          <t>HULTSFRED</t>
        </is>
      </c>
      <c r="I1573" t="n">
        <v>1.3</v>
      </c>
      <c r="J1573" t="n">
        <v>0</v>
      </c>
      <c r="K1573" t="n">
        <v>0</v>
      </c>
      <c r="L1573" t="n">
        <v>0</v>
      </c>
      <c r="M1573" t="n">
        <v>0</v>
      </c>
      <c r="N1573" t="n">
        <v>0</v>
      </c>
      <c r="O1573" t="n">
        <v>0</v>
      </c>
      <c r="P1573" t="n">
        <v>0</v>
      </c>
      <c r="Q1573" t="n">
        <v>0</v>
      </c>
      <c r="R1573" t="n">
        <v>0</v>
      </c>
      <c r="S1573" t="n">
        <v>0</v>
      </c>
      <c r="T1573" t="n">
        <v>0</v>
      </c>
      <c r="U1573" t="n">
        <v>0</v>
      </c>
      <c r="V1573" s="2" t="inlineStr"/>
    </row>
    <row r="1574" ht="15" customHeight="1">
      <c r="A1574" t="inlineStr">
        <is>
          <t>A 66728-2021</t>
        </is>
      </c>
      <c r="B1574" t="inlineStr">
        <is>
          <t>avverkningsanmälan</t>
        </is>
      </c>
      <c r="C1574" t="inlineStr">
        <is>
          <t>Föryngringsavverkning</t>
        </is>
      </c>
      <c r="D1574" s="1" t="n">
        <v>44520</v>
      </c>
      <c r="E1574" s="1" t="n">
        <v>46323</v>
      </c>
      <c r="F1574" t="inlineStr">
        <is>
          <t>KALMAR LÄN</t>
        </is>
      </c>
      <c r="G1574" t="inlineStr">
        <is>
          <t>HULTSFRED</t>
        </is>
      </c>
      <c r="I1574" t="n">
        <v>1.7</v>
      </c>
      <c r="J1574" t="n">
        <v>0</v>
      </c>
      <c r="K1574" t="n">
        <v>0</v>
      </c>
      <c r="L1574" t="n">
        <v>0</v>
      </c>
      <c r="M1574" t="n">
        <v>0</v>
      </c>
      <c r="N1574" t="n">
        <v>0</v>
      </c>
      <c r="O1574" t="n">
        <v>0</v>
      </c>
      <c r="P1574" t="n">
        <v>0</v>
      </c>
      <c r="Q1574" t="n">
        <v>0</v>
      </c>
      <c r="R1574" t="n">
        <v>0</v>
      </c>
      <c r="S1574" t="n">
        <v>0</v>
      </c>
      <c r="T1574" t="n">
        <v>0</v>
      </c>
      <c r="U1574" t="n">
        <v>0</v>
      </c>
      <c r="V1574" s="2" t="inlineStr"/>
    </row>
    <row r="1575" ht="15" customHeight="1">
      <c r="A1575" t="inlineStr">
        <is>
          <t>A 1448-2022</t>
        </is>
      </c>
      <c r="B1575" t="inlineStr">
        <is>
          <t>avverkningsanmälan</t>
        </is>
      </c>
      <c r="C1575" t="inlineStr">
        <is>
          <t>Föryngringsavverkning</t>
        </is>
      </c>
      <c r="D1575" s="1" t="n">
        <v>44573</v>
      </c>
      <c r="E1575" s="1" t="n">
        <v>46323</v>
      </c>
      <c r="F1575" t="inlineStr">
        <is>
          <t>KALMAR LÄN</t>
        </is>
      </c>
      <c r="G1575" t="inlineStr">
        <is>
          <t>MÖNSTERÅS</t>
        </is>
      </c>
      <c r="I1575" t="n">
        <v>1.9</v>
      </c>
      <c r="J1575" t="n">
        <v>0</v>
      </c>
      <c r="K1575" t="n">
        <v>0</v>
      </c>
      <c r="L1575" t="n">
        <v>0</v>
      </c>
      <c r="M1575" t="n">
        <v>0</v>
      </c>
      <c r="N1575" t="n">
        <v>0</v>
      </c>
      <c r="O1575" t="n">
        <v>0</v>
      </c>
      <c r="P1575" t="n">
        <v>0</v>
      </c>
      <c r="Q1575" t="n">
        <v>0</v>
      </c>
      <c r="R1575" t="n">
        <v>0</v>
      </c>
      <c r="S1575" t="n">
        <v>0</v>
      </c>
      <c r="T1575" t="n">
        <v>0</v>
      </c>
      <c r="U1575" t="n">
        <v>0</v>
      </c>
      <c r="V1575" s="2" t="inlineStr"/>
    </row>
    <row r="1576" ht="15" customHeight="1">
      <c r="A1576" t="inlineStr">
        <is>
          <t>A 6021-2022</t>
        </is>
      </c>
      <c r="B1576" t="inlineStr">
        <is>
          <t>avverkningsanmälan</t>
        </is>
      </c>
      <c r="C1576" t="inlineStr">
        <is>
          <t>Föryngringsavverkning</t>
        </is>
      </c>
      <c r="D1576" s="1" t="n">
        <v>44599</v>
      </c>
      <c r="E1576" s="1" t="n">
        <v>46323</v>
      </c>
      <c r="F1576" t="inlineStr">
        <is>
          <t>KALMAR LÄN</t>
        </is>
      </c>
      <c r="G1576" t="inlineStr">
        <is>
          <t>TORSÅS</t>
        </is>
      </c>
      <c r="I1576" t="n">
        <v>1.2</v>
      </c>
      <c r="J1576" t="n">
        <v>0</v>
      </c>
      <c r="K1576" t="n">
        <v>0</v>
      </c>
      <c r="L1576" t="n">
        <v>0</v>
      </c>
      <c r="M1576" t="n">
        <v>0</v>
      </c>
      <c r="N1576" t="n">
        <v>0</v>
      </c>
      <c r="O1576" t="n">
        <v>0</v>
      </c>
      <c r="P1576" t="n">
        <v>0</v>
      </c>
      <c r="Q1576" t="n">
        <v>0</v>
      </c>
      <c r="R1576" t="n">
        <v>0</v>
      </c>
      <c r="S1576" t="n">
        <v>0</v>
      </c>
      <c r="T1576" t="n">
        <v>0</v>
      </c>
      <c r="U1576" t="n">
        <v>0</v>
      </c>
      <c r="V1576" s="2" t="inlineStr"/>
    </row>
    <row r="1577" ht="15" customHeight="1">
      <c r="A1577" t="inlineStr">
        <is>
          <t>A 10107-2022</t>
        </is>
      </c>
      <c r="B1577" t="inlineStr">
        <is>
          <t>avverkningsanmälan</t>
        </is>
      </c>
      <c r="C1577" t="inlineStr">
        <is>
          <t>Föryngringsavverkning</t>
        </is>
      </c>
      <c r="D1577" s="1" t="n">
        <v>44621</v>
      </c>
      <c r="E1577" s="1" t="n">
        <v>46323</v>
      </c>
      <c r="F1577" t="inlineStr">
        <is>
          <t>KALMAR LÄN</t>
        </is>
      </c>
      <c r="G1577" t="inlineStr">
        <is>
          <t>OSKARSHAMN</t>
        </is>
      </c>
      <c r="I1577" t="n">
        <v>1.6</v>
      </c>
      <c r="J1577" t="n">
        <v>0</v>
      </c>
      <c r="K1577" t="n">
        <v>0</v>
      </c>
      <c r="L1577" t="n">
        <v>0</v>
      </c>
      <c r="M1577" t="n">
        <v>0</v>
      </c>
      <c r="N1577" t="n">
        <v>0</v>
      </c>
      <c r="O1577" t="n">
        <v>0</v>
      </c>
      <c r="P1577" t="n">
        <v>0</v>
      </c>
      <c r="Q1577" t="n">
        <v>0</v>
      </c>
      <c r="R1577" t="n">
        <v>0</v>
      </c>
      <c r="S1577" t="n">
        <v>0</v>
      </c>
      <c r="T1577" t="n">
        <v>0</v>
      </c>
      <c r="U1577" t="n">
        <v>0</v>
      </c>
      <c r="V1577" s="2" t="inlineStr"/>
    </row>
    <row r="1578" ht="15" customHeight="1">
      <c r="A1578" t="inlineStr">
        <is>
          <t>A 7703-2022</t>
        </is>
      </c>
      <c r="B1578" t="inlineStr">
        <is>
          <t>avverkningsanmälan</t>
        </is>
      </c>
      <c r="C1578" t="inlineStr">
        <is>
          <t>Föryngringsavverkning</t>
        </is>
      </c>
      <c r="D1578" s="1" t="n">
        <v>44607</v>
      </c>
      <c r="E1578" s="1" t="n">
        <v>46323</v>
      </c>
      <c r="F1578" t="inlineStr">
        <is>
          <t>KALMAR LÄN</t>
        </is>
      </c>
      <c r="G1578" t="inlineStr">
        <is>
          <t>HÖGSBY</t>
        </is>
      </c>
      <c r="I1578" t="n">
        <v>1.5</v>
      </c>
      <c r="J1578" t="n">
        <v>0</v>
      </c>
      <c r="K1578" t="n">
        <v>0</v>
      </c>
      <c r="L1578" t="n">
        <v>0</v>
      </c>
      <c r="M1578" t="n">
        <v>0</v>
      </c>
      <c r="N1578" t="n">
        <v>0</v>
      </c>
      <c r="O1578" t="n">
        <v>0</v>
      </c>
      <c r="P1578" t="n">
        <v>0</v>
      </c>
      <c r="Q1578" t="n">
        <v>0</v>
      </c>
      <c r="R1578" t="n">
        <v>0</v>
      </c>
      <c r="S1578" t="n">
        <v>0</v>
      </c>
      <c r="T1578" t="n">
        <v>0</v>
      </c>
      <c r="U1578" t="n">
        <v>0</v>
      </c>
      <c r="V1578" s="2" t="inlineStr"/>
    </row>
    <row r="1579" ht="15" customHeight="1">
      <c r="A1579" t="inlineStr">
        <is>
          <t>A 47708-2022</t>
        </is>
      </c>
      <c r="B1579" t="inlineStr">
        <is>
          <t>avverkningsanmälan</t>
        </is>
      </c>
      <c r="C1579" t="inlineStr">
        <is>
          <t>Föryngringsavverkning</t>
        </is>
      </c>
      <c r="D1579" s="1" t="n">
        <v>44854</v>
      </c>
      <c r="E1579" s="1" t="n">
        <v>46323</v>
      </c>
      <c r="F1579" t="inlineStr">
        <is>
          <t>KALMAR LÄN</t>
        </is>
      </c>
      <c r="G1579" t="inlineStr">
        <is>
          <t>VIMMERBY</t>
        </is>
      </c>
      <c r="I1579" t="n">
        <v>0.6</v>
      </c>
      <c r="J1579" t="n">
        <v>0</v>
      </c>
      <c r="K1579" t="n">
        <v>0</v>
      </c>
      <c r="L1579" t="n">
        <v>0</v>
      </c>
      <c r="M1579" t="n">
        <v>0</v>
      </c>
      <c r="N1579" t="n">
        <v>0</v>
      </c>
      <c r="O1579" t="n">
        <v>0</v>
      </c>
      <c r="P1579" t="n">
        <v>0</v>
      </c>
      <c r="Q1579" t="n">
        <v>0</v>
      </c>
      <c r="R1579" t="n">
        <v>0</v>
      </c>
      <c r="S1579" t="n">
        <v>0</v>
      </c>
      <c r="T1579" t="n">
        <v>0</v>
      </c>
      <c r="U1579" t="n">
        <v>0</v>
      </c>
      <c r="V1579" s="2" t="inlineStr"/>
    </row>
    <row r="1580" ht="15" customHeight="1">
      <c r="A1580" t="inlineStr">
        <is>
          <t>A 69764-2021</t>
        </is>
      </c>
      <c r="B1580" t="inlineStr">
        <is>
          <t>avverkningsanmälan</t>
        </is>
      </c>
      <c r="C1580" t="inlineStr">
        <is>
          <t>Föryngringsavverkning</t>
        </is>
      </c>
      <c r="D1580" s="1" t="n">
        <v>44532</v>
      </c>
      <c r="E1580" s="1" t="n">
        <v>46323</v>
      </c>
      <c r="F1580" t="inlineStr">
        <is>
          <t>KALMAR LÄN</t>
        </is>
      </c>
      <c r="G1580" t="inlineStr">
        <is>
          <t>HULTSFRED</t>
        </is>
      </c>
      <c r="I1580" t="n">
        <v>0.5</v>
      </c>
      <c r="J1580" t="n">
        <v>0</v>
      </c>
      <c r="K1580" t="n">
        <v>0</v>
      </c>
      <c r="L1580" t="n">
        <v>0</v>
      </c>
      <c r="M1580" t="n">
        <v>0</v>
      </c>
      <c r="N1580" t="n">
        <v>0</v>
      </c>
      <c r="O1580" t="n">
        <v>0</v>
      </c>
      <c r="P1580" t="n">
        <v>0</v>
      </c>
      <c r="Q1580" t="n">
        <v>0</v>
      </c>
      <c r="R1580" t="n">
        <v>0</v>
      </c>
      <c r="S1580" t="n">
        <v>0</v>
      </c>
      <c r="T1580" t="n">
        <v>0</v>
      </c>
      <c r="U1580" t="n">
        <v>0</v>
      </c>
      <c r="V1580" s="2" t="inlineStr"/>
    </row>
    <row r="1581" ht="15" customHeight="1">
      <c r="A1581" t="inlineStr">
        <is>
          <t>A 9918-2022</t>
        </is>
      </c>
      <c r="B1581" t="inlineStr">
        <is>
          <t>avverkningsanmälan</t>
        </is>
      </c>
      <c r="C1581" t="inlineStr">
        <is>
          <t>Föryngringsavverkning</t>
        </is>
      </c>
      <c r="D1581" s="1" t="n">
        <v>44620</v>
      </c>
      <c r="E1581" s="1" t="n">
        <v>46323</v>
      </c>
      <c r="F1581" t="inlineStr">
        <is>
          <t>KALMAR LÄN</t>
        </is>
      </c>
      <c r="G1581" t="inlineStr">
        <is>
          <t>VIMMERBY</t>
        </is>
      </c>
      <c r="I1581" t="n">
        <v>0.5</v>
      </c>
      <c r="J1581" t="n">
        <v>0</v>
      </c>
      <c r="K1581" t="n">
        <v>0</v>
      </c>
      <c r="L1581" t="n">
        <v>0</v>
      </c>
      <c r="M1581" t="n">
        <v>0</v>
      </c>
      <c r="N1581" t="n">
        <v>0</v>
      </c>
      <c r="O1581" t="n">
        <v>0</v>
      </c>
      <c r="P1581" t="n">
        <v>0</v>
      </c>
      <c r="Q1581" t="n">
        <v>0</v>
      </c>
      <c r="R1581" t="n">
        <v>0</v>
      </c>
      <c r="S1581" t="n">
        <v>0</v>
      </c>
      <c r="T1581" t="n">
        <v>0</v>
      </c>
      <c r="U1581" t="n">
        <v>0</v>
      </c>
      <c r="V1581" s="2" t="inlineStr"/>
    </row>
    <row r="1582" ht="15" customHeight="1">
      <c r="A1582" t="inlineStr">
        <is>
          <t>A 69566-2021</t>
        </is>
      </c>
      <c r="B1582" t="inlineStr">
        <is>
          <t>avverkningsanmälan</t>
        </is>
      </c>
      <c r="C1582" t="inlineStr">
        <is>
          <t>Föryngringsavverkning</t>
        </is>
      </c>
      <c r="D1582" s="1" t="n">
        <v>44532</v>
      </c>
      <c r="E1582" s="1" t="n">
        <v>46323</v>
      </c>
      <c r="F1582" t="inlineStr">
        <is>
          <t>KALMAR LÄN</t>
        </is>
      </c>
      <c r="G1582" t="inlineStr">
        <is>
          <t>HULTSFRED</t>
        </is>
      </c>
      <c r="I1582" t="n">
        <v>2.2</v>
      </c>
      <c r="J1582" t="n">
        <v>0</v>
      </c>
      <c r="K1582" t="n">
        <v>0</v>
      </c>
      <c r="L1582" t="n">
        <v>0</v>
      </c>
      <c r="M1582" t="n">
        <v>0</v>
      </c>
      <c r="N1582" t="n">
        <v>0</v>
      </c>
      <c r="O1582" t="n">
        <v>0</v>
      </c>
      <c r="P1582" t="n">
        <v>0</v>
      </c>
      <c r="Q1582" t="n">
        <v>0</v>
      </c>
      <c r="R1582" t="n">
        <v>0</v>
      </c>
      <c r="S1582" t="n">
        <v>0</v>
      </c>
      <c r="T1582" t="n">
        <v>0</v>
      </c>
      <c r="U1582" t="n">
        <v>0</v>
      </c>
      <c r="V1582" s="2" t="inlineStr"/>
    </row>
    <row r="1583" ht="15" customHeight="1">
      <c r="A1583" t="inlineStr">
        <is>
          <t>A 33831-2022</t>
        </is>
      </c>
      <c r="B1583" t="inlineStr">
        <is>
          <t>avverkningsanmälan</t>
        </is>
      </c>
      <c r="C1583" t="inlineStr">
        <is>
          <t>Föryngringsavverkning</t>
        </is>
      </c>
      <c r="D1583" s="1" t="n">
        <v>44790</v>
      </c>
      <c r="E1583" s="1" t="n">
        <v>46323</v>
      </c>
      <c r="F1583" t="inlineStr">
        <is>
          <t>KALMAR LÄN</t>
        </is>
      </c>
      <c r="G1583" t="inlineStr">
        <is>
          <t>VIMMERBY</t>
        </is>
      </c>
      <c r="I1583" t="n">
        <v>1.1</v>
      </c>
      <c r="J1583" t="n">
        <v>0</v>
      </c>
      <c r="K1583" t="n">
        <v>0</v>
      </c>
      <c r="L1583" t="n">
        <v>0</v>
      </c>
      <c r="M1583" t="n">
        <v>0</v>
      </c>
      <c r="N1583" t="n">
        <v>0</v>
      </c>
      <c r="O1583" t="n">
        <v>0</v>
      </c>
      <c r="P1583" t="n">
        <v>0</v>
      </c>
      <c r="Q1583" t="n">
        <v>0</v>
      </c>
      <c r="R1583" t="n">
        <v>0</v>
      </c>
      <c r="S1583" t="n">
        <v>0</v>
      </c>
      <c r="T1583" t="n">
        <v>0</v>
      </c>
      <c r="U1583" t="n">
        <v>0</v>
      </c>
      <c r="V1583" s="2" t="inlineStr"/>
    </row>
    <row r="1584" ht="15" customHeight="1">
      <c r="A1584" t="inlineStr">
        <is>
          <t>A 14381-2022</t>
        </is>
      </c>
      <c r="B1584" t="inlineStr">
        <is>
          <t>avverkningsanmälan</t>
        </is>
      </c>
      <c r="C1584" t="inlineStr">
        <is>
          <t>Föryngringsavverkning</t>
        </is>
      </c>
      <c r="D1584" s="1" t="n">
        <v>44652</v>
      </c>
      <c r="E1584" s="1" t="n">
        <v>46323</v>
      </c>
      <c r="F1584" t="inlineStr">
        <is>
          <t>KALMAR LÄN</t>
        </is>
      </c>
      <c r="G1584" t="inlineStr">
        <is>
          <t>EMMABODA</t>
        </is>
      </c>
      <c r="I1584" t="n">
        <v>2.2</v>
      </c>
      <c r="J1584" t="n">
        <v>0</v>
      </c>
      <c r="K1584" t="n">
        <v>0</v>
      </c>
      <c r="L1584" t="n">
        <v>0</v>
      </c>
      <c r="M1584" t="n">
        <v>0</v>
      </c>
      <c r="N1584" t="n">
        <v>0</v>
      </c>
      <c r="O1584" t="n">
        <v>0</v>
      </c>
      <c r="P1584" t="n">
        <v>0</v>
      </c>
      <c r="Q1584" t="n">
        <v>0</v>
      </c>
      <c r="R1584" t="n">
        <v>0</v>
      </c>
      <c r="S1584" t="n">
        <v>0</v>
      </c>
      <c r="T1584" t="n">
        <v>0</v>
      </c>
      <c r="U1584" t="n">
        <v>0</v>
      </c>
      <c r="V1584" s="2" t="inlineStr"/>
    </row>
    <row r="1585" ht="15" customHeight="1">
      <c r="A1585" t="inlineStr">
        <is>
          <t>A 14478-2022</t>
        </is>
      </c>
      <c r="B1585" t="inlineStr">
        <is>
          <t>avverkningsanmälan</t>
        </is>
      </c>
      <c r="C1585" t="inlineStr">
        <is>
          <t>Föryngringsavverkning</t>
        </is>
      </c>
      <c r="D1585" s="1" t="n">
        <v>44654</v>
      </c>
      <c r="E1585" s="1" t="n">
        <v>46323</v>
      </c>
      <c r="F1585" t="inlineStr">
        <is>
          <t>KALMAR LÄN</t>
        </is>
      </c>
      <c r="G1585" t="inlineStr">
        <is>
          <t>KALMAR</t>
        </is>
      </c>
      <c r="I1585" t="n">
        <v>0.1</v>
      </c>
      <c r="J1585" t="n">
        <v>0</v>
      </c>
      <c r="K1585" t="n">
        <v>0</v>
      </c>
      <c r="L1585" t="n">
        <v>0</v>
      </c>
      <c r="M1585" t="n">
        <v>0</v>
      </c>
      <c r="N1585" t="n">
        <v>0</v>
      </c>
      <c r="O1585" t="n">
        <v>0</v>
      </c>
      <c r="P1585" t="n">
        <v>0</v>
      </c>
      <c r="Q1585" t="n">
        <v>0</v>
      </c>
      <c r="R1585" t="n">
        <v>0</v>
      </c>
      <c r="S1585" t="n">
        <v>0</v>
      </c>
      <c r="T1585" t="n">
        <v>0</v>
      </c>
      <c r="U1585" t="n">
        <v>0</v>
      </c>
      <c r="V1585" s="2" t="inlineStr"/>
    </row>
    <row r="1586" ht="15" customHeight="1">
      <c r="A1586" t="inlineStr">
        <is>
          <t>A 4985-2022</t>
        </is>
      </c>
      <c r="B1586" t="inlineStr">
        <is>
          <t>avverkningsanmälan</t>
        </is>
      </c>
      <c r="C1586" t="inlineStr">
        <is>
          <t>Föryngringsavverkning</t>
        </is>
      </c>
      <c r="D1586" s="1" t="n">
        <v>44593</v>
      </c>
      <c r="E1586" s="1" t="n">
        <v>46323</v>
      </c>
      <c r="F1586" t="inlineStr">
        <is>
          <t>KALMAR LÄN</t>
        </is>
      </c>
      <c r="G1586" t="inlineStr">
        <is>
          <t>NYBRO</t>
        </is>
      </c>
      <c r="I1586" t="n">
        <v>2.6</v>
      </c>
      <c r="J1586" t="n">
        <v>0</v>
      </c>
      <c r="K1586" t="n">
        <v>0</v>
      </c>
      <c r="L1586" t="n">
        <v>0</v>
      </c>
      <c r="M1586" t="n">
        <v>0</v>
      </c>
      <c r="N1586" t="n">
        <v>0</v>
      </c>
      <c r="O1586" t="n">
        <v>0</v>
      </c>
      <c r="P1586" t="n">
        <v>0</v>
      </c>
      <c r="Q1586" t="n">
        <v>0</v>
      </c>
      <c r="R1586" t="n">
        <v>0</v>
      </c>
      <c r="S1586" t="n">
        <v>0</v>
      </c>
      <c r="T1586" t="n">
        <v>0</v>
      </c>
      <c r="U1586" t="n">
        <v>0</v>
      </c>
      <c r="V1586" s="2" t="inlineStr"/>
    </row>
    <row r="1587" ht="15" customHeight="1">
      <c r="A1587" t="inlineStr">
        <is>
          <t>A 5016-2022</t>
        </is>
      </c>
      <c r="B1587" t="inlineStr">
        <is>
          <t>avverkningsanmälan</t>
        </is>
      </c>
      <c r="C1587" t="inlineStr">
        <is>
          <t>Föryngringsavverkning</t>
        </is>
      </c>
      <c r="D1587" s="1" t="n">
        <v>44593</v>
      </c>
      <c r="E1587" s="1" t="n">
        <v>46323</v>
      </c>
      <c r="F1587" t="inlineStr">
        <is>
          <t>KALMAR LÄN</t>
        </is>
      </c>
      <c r="G1587" t="inlineStr">
        <is>
          <t>EMMABODA</t>
        </is>
      </c>
      <c r="I1587" t="n">
        <v>0.2</v>
      </c>
      <c r="J1587" t="n">
        <v>0</v>
      </c>
      <c r="K1587" t="n">
        <v>0</v>
      </c>
      <c r="L1587" t="n">
        <v>0</v>
      </c>
      <c r="M1587" t="n">
        <v>0</v>
      </c>
      <c r="N1587" t="n">
        <v>0</v>
      </c>
      <c r="O1587" t="n">
        <v>0</v>
      </c>
      <c r="P1587" t="n">
        <v>0</v>
      </c>
      <c r="Q1587" t="n">
        <v>0</v>
      </c>
      <c r="R1587" t="n">
        <v>0</v>
      </c>
      <c r="S1587" t="n">
        <v>0</v>
      </c>
      <c r="T1587" t="n">
        <v>0</v>
      </c>
      <c r="U1587" t="n">
        <v>0</v>
      </c>
      <c r="V1587" s="2" t="inlineStr"/>
    </row>
    <row r="1588" ht="15" customHeight="1">
      <c r="A1588" t="inlineStr">
        <is>
          <t>A 34836-2022</t>
        </is>
      </c>
      <c r="B1588" t="inlineStr">
        <is>
          <t>avverkningsanmälan</t>
        </is>
      </c>
      <c r="C1588" t="inlineStr">
        <is>
          <t>Föryngringsavverkning</t>
        </is>
      </c>
      <c r="D1588" s="1" t="n">
        <v>44796</v>
      </c>
      <c r="E1588" s="1" t="n">
        <v>46323</v>
      </c>
      <c r="F1588" t="inlineStr">
        <is>
          <t>KALMAR LÄN</t>
        </is>
      </c>
      <c r="G1588" t="inlineStr">
        <is>
          <t>VÄSTERVIK</t>
        </is>
      </c>
      <c r="I1588" t="n">
        <v>1.3</v>
      </c>
      <c r="J1588" t="n">
        <v>0</v>
      </c>
      <c r="K1588" t="n">
        <v>0</v>
      </c>
      <c r="L1588" t="n">
        <v>0</v>
      </c>
      <c r="M1588" t="n">
        <v>0</v>
      </c>
      <c r="N1588" t="n">
        <v>0</v>
      </c>
      <c r="O1588" t="n">
        <v>0</v>
      </c>
      <c r="P1588" t="n">
        <v>0</v>
      </c>
      <c r="Q1588" t="n">
        <v>0</v>
      </c>
      <c r="R1588" t="n">
        <v>0</v>
      </c>
      <c r="S1588" t="n">
        <v>0</v>
      </c>
      <c r="T1588" t="n">
        <v>0</v>
      </c>
      <c r="U1588" t="n">
        <v>0</v>
      </c>
      <c r="V1588" s="2" t="inlineStr"/>
    </row>
    <row r="1589" ht="15" customHeight="1">
      <c r="A1589" t="inlineStr">
        <is>
          <t>A 38550-2022</t>
        </is>
      </c>
      <c r="B1589" t="inlineStr">
        <is>
          <t>avverkningsanmälan</t>
        </is>
      </c>
      <c r="C1589" t="inlineStr">
        <is>
          <t>Föryngringsavverkning</t>
        </is>
      </c>
      <c r="D1589" s="1" t="n">
        <v>44813</v>
      </c>
      <c r="E1589" s="1" t="n">
        <v>46323</v>
      </c>
      <c r="F1589" t="inlineStr">
        <is>
          <t>KALMAR LÄN</t>
        </is>
      </c>
      <c r="G1589" t="inlineStr">
        <is>
          <t>NYBRO</t>
        </is>
      </c>
      <c r="H1589" t="inlineStr">
        <is>
          <t>Sveaskog</t>
        </is>
      </c>
      <c r="I1589" t="n">
        <v>1</v>
      </c>
      <c r="J1589" t="n">
        <v>0</v>
      </c>
      <c r="K1589" t="n">
        <v>0</v>
      </c>
      <c r="L1589" t="n">
        <v>0</v>
      </c>
      <c r="M1589" t="n">
        <v>0</v>
      </c>
      <c r="N1589" t="n">
        <v>0</v>
      </c>
      <c r="O1589" t="n">
        <v>0</v>
      </c>
      <c r="P1589" t="n">
        <v>0</v>
      </c>
      <c r="Q1589" t="n">
        <v>0</v>
      </c>
      <c r="R1589" t="n">
        <v>0</v>
      </c>
      <c r="S1589" t="n">
        <v>0</v>
      </c>
      <c r="T1589" t="n">
        <v>0</v>
      </c>
      <c r="U1589" t="n">
        <v>0</v>
      </c>
      <c r="V1589" s="2" t="inlineStr"/>
    </row>
    <row r="1590" ht="15" customHeight="1">
      <c r="A1590" t="inlineStr">
        <is>
          <t>A 20504-2022</t>
        </is>
      </c>
      <c r="B1590" t="inlineStr">
        <is>
          <t>avverkningsanmälan</t>
        </is>
      </c>
      <c r="C1590" t="inlineStr">
        <is>
          <t>Föryngringsavverkning</t>
        </is>
      </c>
      <c r="D1590" s="1" t="n">
        <v>44699</v>
      </c>
      <c r="E1590" s="1" t="n">
        <v>46323</v>
      </c>
      <c r="F1590" t="inlineStr">
        <is>
          <t>KALMAR LÄN</t>
        </is>
      </c>
      <c r="G1590" t="inlineStr">
        <is>
          <t>EMMABODA</t>
        </is>
      </c>
      <c r="I1590" t="n">
        <v>1</v>
      </c>
      <c r="J1590" t="n">
        <v>0</v>
      </c>
      <c r="K1590" t="n">
        <v>0</v>
      </c>
      <c r="L1590" t="n">
        <v>0</v>
      </c>
      <c r="M1590" t="n">
        <v>0</v>
      </c>
      <c r="N1590" t="n">
        <v>0</v>
      </c>
      <c r="O1590" t="n">
        <v>0</v>
      </c>
      <c r="P1590" t="n">
        <v>0</v>
      </c>
      <c r="Q1590" t="n">
        <v>0</v>
      </c>
      <c r="R1590" t="n">
        <v>0</v>
      </c>
      <c r="S1590" t="n">
        <v>0</v>
      </c>
      <c r="T1590" t="n">
        <v>0</v>
      </c>
      <c r="U1590" t="n">
        <v>0</v>
      </c>
      <c r="V1590" s="2" t="inlineStr"/>
    </row>
    <row r="1591" ht="15" customHeight="1">
      <c r="A1591" t="inlineStr">
        <is>
          <t>A 5551-2022</t>
        </is>
      </c>
      <c r="B1591" t="inlineStr">
        <is>
          <t>avverkningsanmälan</t>
        </is>
      </c>
      <c r="C1591" t="inlineStr">
        <is>
          <t>Föryngringsavverkning</t>
        </is>
      </c>
      <c r="D1591" s="1" t="n">
        <v>44595</v>
      </c>
      <c r="E1591" s="1" t="n">
        <v>46323</v>
      </c>
      <c r="F1591" t="inlineStr">
        <is>
          <t>KALMAR LÄN</t>
        </is>
      </c>
      <c r="G1591" t="inlineStr">
        <is>
          <t>VÄSTERVIK</t>
        </is>
      </c>
      <c r="I1591" t="n">
        <v>2.1</v>
      </c>
      <c r="J1591" t="n">
        <v>0</v>
      </c>
      <c r="K1591" t="n">
        <v>0</v>
      </c>
      <c r="L1591" t="n">
        <v>0</v>
      </c>
      <c r="M1591" t="n">
        <v>0</v>
      </c>
      <c r="N1591" t="n">
        <v>0</v>
      </c>
      <c r="O1591" t="n">
        <v>0</v>
      </c>
      <c r="P1591" t="n">
        <v>0</v>
      </c>
      <c r="Q1591" t="n">
        <v>0</v>
      </c>
      <c r="R1591" t="n">
        <v>0</v>
      </c>
      <c r="S1591" t="n">
        <v>0</v>
      </c>
      <c r="T1591" t="n">
        <v>0</v>
      </c>
      <c r="U1591" t="n">
        <v>0</v>
      </c>
      <c r="V1591" s="2" t="inlineStr"/>
    </row>
    <row r="1592" ht="15" customHeight="1">
      <c r="A1592" t="inlineStr">
        <is>
          <t>A 5661-2022</t>
        </is>
      </c>
      <c r="B1592" t="inlineStr">
        <is>
          <t>avverkningsanmälan</t>
        </is>
      </c>
      <c r="C1592" t="inlineStr">
        <is>
          <t>Föryngringsavverkning</t>
        </is>
      </c>
      <c r="D1592" s="1" t="n">
        <v>44596</v>
      </c>
      <c r="E1592" s="1" t="n">
        <v>46323</v>
      </c>
      <c r="F1592" t="inlineStr">
        <is>
          <t>KALMAR LÄN</t>
        </is>
      </c>
      <c r="G1592" t="inlineStr">
        <is>
          <t>OSKARSHAMN</t>
        </is>
      </c>
      <c r="H1592" t="inlineStr">
        <is>
          <t>Sveaskog</t>
        </is>
      </c>
      <c r="I1592" t="n">
        <v>3.5</v>
      </c>
      <c r="J1592" t="n">
        <v>0</v>
      </c>
      <c r="K1592" t="n">
        <v>0</v>
      </c>
      <c r="L1592" t="n">
        <v>0</v>
      </c>
      <c r="M1592" t="n">
        <v>0</v>
      </c>
      <c r="N1592" t="n">
        <v>0</v>
      </c>
      <c r="O1592" t="n">
        <v>0</v>
      </c>
      <c r="P1592" t="n">
        <v>0</v>
      </c>
      <c r="Q1592" t="n">
        <v>0</v>
      </c>
      <c r="R1592" t="n">
        <v>0</v>
      </c>
      <c r="S1592" t="n">
        <v>0</v>
      </c>
      <c r="T1592" t="n">
        <v>0</v>
      </c>
      <c r="U1592" t="n">
        <v>0</v>
      </c>
      <c r="V1592" s="2" t="inlineStr"/>
    </row>
    <row r="1593" ht="15" customHeight="1">
      <c r="A1593" t="inlineStr">
        <is>
          <t>A 72059-2021</t>
        </is>
      </c>
      <c r="B1593" t="inlineStr">
        <is>
          <t>avverkningsanmälan</t>
        </is>
      </c>
      <c r="C1593" t="inlineStr">
        <is>
          <t>Föryngringsavverkning</t>
        </is>
      </c>
      <c r="D1593" s="1" t="n">
        <v>44542</v>
      </c>
      <c r="E1593" s="1" t="n">
        <v>46323</v>
      </c>
      <c r="F1593" t="inlineStr">
        <is>
          <t>KALMAR LÄN</t>
        </is>
      </c>
      <c r="G1593" t="inlineStr">
        <is>
          <t>HÖGSBY</t>
        </is>
      </c>
      <c r="I1593" t="n">
        <v>16</v>
      </c>
      <c r="J1593" t="n">
        <v>0</v>
      </c>
      <c r="K1593" t="n">
        <v>0</v>
      </c>
      <c r="L1593" t="n">
        <v>0</v>
      </c>
      <c r="M1593" t="n">
        <v>0</v>
      </c>
      <c r="N1593" t="n">
        <v>0</v>
      </c>
      <c r="O1593" t="n">
        <v>0</v>
      </c>
      <c r="P1593" t="n">
        <v>0</v>
      </c>
      <c r="Q1593" t="n">
        <v>0</v>
      </c>
      <c r="R1593" t="n">
        <v>0</v>
      </c>
      <c r="S1593" t="n">
        <v>0</v>
      </c>
      <c r="T1593" t="n">
        <v>0</v>
      </c>
      <c r="U1593" t="n">
        <v>0</v>
      </c>
      <c r="V1593" s="2" t="inlineStr"/>
    </row>
    <row r="1594" ht="15" customHeight="1">
      <c r="A1594" t="inlineStr">
        <is>
          <t>A 72066-2021</t>
        </is>
      </c>
      <c r="B1594" t="inlineStr">
        <is>
          <t>avverkningsanmälan</t>
        </is>
      </c>
      <c r="C1594" t="inlineStr">
        <is>
          <t>Föryngringsavverkning</t>
        </is>
      </c>
      <c r="D1594" s="1" t="n">
        <v>44542</v>
      </c>
      <c r="E1594" s="1" t="n">
        <v>46323</v>
      </c>
      <c r="F1594" t="inlineStr">
        <is>
          <t>KALMAR LÄN</t>
        </is>
      </c>
      <c r="G1594" t="inlineStr">
        <is>
          <t>HÖGSBY</t>
        </is>
      </c>
      <c r="I1594" t="n">
        <v>3.7</v>
      </c>
      <c r="J1594" t="n">
        <v>0</v>
      </c>
      <c r="K1594" t="n">
        <v>0</v>
      </c>
      <c r="L1594" t="n">
        <v>0</v>
      </c>
      <c r="M1594" t="n">
        <v>0</v>
      </c>
      <c r="N1594" t="n">
        <v>0</v>
      </c>
      <c r="O1594" t="n">
        <v>0</v>
      </c>
      <c r="P1594" t="n">
        <v>0</v>
      </c>
      <c r="Q1594" t="n">
        <v>0</v>
      </c>
      <c r="R1594" t="n">
        <v>0</v>
      </c>
      <c r="S1594" t="n">
        <v>0</v>
      </c>
      <c r="T1594" t="n">
        <v>0</v>
      </c>
      <c r="U1594" t="n">
        <v>0</v>
      </c>
      <c r="V1594" s="2" t="inlineStr"/>
    </row>
    <row r="1595" ht="15" customHeight="1">
      <c r="A1595" t="inlineStr">
        <is>
          <t>A 22443-2022</t>
        </is>
      </c>
      <c r="B1595" t="inlineStr">
        <is>
          <t>avverkningsanmälan</t>
        </is>
      </c>
      <c r="C1595" t="inlineStr">
        <is>
          <t>Föryngringsavverkning</t>
        </is>
      </c>
      <c r="D1595" s="1" t="n">
        <v>44713</v>
      </c>
      <c r="E1595" s="1" t="n">
        <v>46323</v>
      </c>
      <c r="F1595" t="inlineStr">
        <is>
          <t>KALMAR LÄN</t>
        </is>
      </c>
      <c r="G1595" t="inlineStr">
        <is>
          <t>HULTSFRED</t>
        </is>
      </c>
      <c r="I1595" t="n">
        <v>1.2</v>
      </c>
      <c r="J1595" t="n">
        <v>0</v>
      </c>
      <c r="K1595" t="n">
        <v>0</v>
      </c>
      <c r="L1595" t="n">
        <v>0</v>
      </c>
      <c r="M1595" t="n">
        <v>0</v>
      </c>
      <c r="N1595" t="n">
        <v>0</v>
      </c>
      <c r="O1595" t="n">
        <v>0</v>
      </c>
      <c r="P1595" t="n">
        <v>0</v>
      </c>
      <c r="Q1595" t="n">
        <v>0</v>
      </c>
      <c r="R1595" t="n">
        <v>0</v>
      </c>
      <c r="S1595" t="n">
        <v>0</v>
      </c>
      <c r="T1595" t="n">
        <v>0</v>
      </c>
      <c r="U1595" t="n">
        <v>0</v>
      </c>
      <c r="V1595" s="2" t="inlineStr"/>
    </row>
    <row r="1596" ht="15" customHeight="1">
      <c r="A1596" t="inlineStr">
        <is>
          <t>A 360-2022</t>
        </is>
      </c>
      <c r="B1596" t="inlineStr">
        <is>
          <t>avverkningsanmälan</t>
        </is>
      </c>
      <c r="C1596" t="inlineStr">
        <is>
          <t>Föryngringsavverkning</t>
        </is>
      </c>
      <c r="D1596" s="1" t="n">
        <v>44565</v>
      </c>
      <c r="E1596" s="1" t="n">
        <v>46323</v>
      </c>
      <c r="F1596" t="inlineStr">
        <is>
          <t>KALMAR LÄN</t>
        </is>
      </c>
      <c r="G1596" t="inlineStr">
        <is>
          <t>VÄSTERVIK</t>
        </is>
      </c>
      <c r="I1596" t="n">
        <v>0.8</v>
      </c>
      <c r="J1596" t="n">
        <v>0</v>
      </c>
      <c r="K1596" t="n">
        <v>0</v>
      </c>
      <c r="L1596" t="n">
        <v>0</v>
      </c>
      <c r="M1596" t="n">
        <v>0</v>
      </c>
      <c r="N1596" t="n">
        <v>0</v>
      </c>
      <c r="O1596" t="n">
        <v>0</v>
      </c>
      <c r="P1596" t="n">
        <v>0</v>
      </c>
      <c r="Q1596" t="n">
        <v>0</v>
      </c>
      <c r="R1596" t="n">
        <v>0</v>
      </c>
      <c r="S1596" t="n">
        <v>0</v>
      </c>
      <c r="T1596" t="n">
        <v>0</v>
      </c>
      <c r="U1596" t="n">
        <v>0</v>
      </c>
      <c r="V1596" s="2" t="inlineStr"/>
    </row>
    <row r="1597" ht="15" customHeight="1">
      <c r="A1597" t="inlineStr">
        <is>
          <t>A 64525-2021</t>
        </is>
      </c>
      <c r="B1597" t="inlineStr">
        <is>
          <t>avverkningsanmälan</t>
        </is>
      </c>
      <c r="C1597" t="inlineStr">
        <is>
          <t>Föryngringsavverkning</t>
        </is>
      </c>
      <c r="D1597" s="1" t="n">
        <v>44511</v>
      </c>
      <c r="E1597" s="1" t="n">
        <v>46323</v>
      </c>
      <c r="F1597" t="inlineStr">
        <is>
          <t>KALMAR LÄN</t>
        </is>
      </c>
      <c r="G1597" t="inlineStr">
        <is>
          <t>MÖNSTERÅS</t>
        </is>
      </c>
      <c r="I1597" t="n">
        <v>2.4</v>
      </c>
      <c r="J1597" t="n">
        <v>0</v>
      </c>
      <c r="K1597" t="n">
        <v>0</v>
      </c>
      <c r="L1597" t="n">
        <v>0</v>
      </c>
      <c r="M1597" t="n">
        <v>0</v>
      </c>
      <c r="N1597" t="n">
        <v>0</v>
      </c>
      <c r="O1597" t="n">
        <v>0</v>
      </c>
      <c r="P1597" t="n">
        <v>0</v>
      </c>
      <c r="Q1597" t="n">
        <v>0</v>
      </c>
      <c r="R1597" t="n">
        <v>0</v>
      </c>
      <c r="S1597" t="n">
        <v>0</v>
      </c>
      <c r="T1597" t="n">
        <v>0</v>
      </c>
      <c r="U1597" t="n">
        <v>0</v>
      </c>
      <c r="V1597" s="2" t="inlineStr"/>
    </row>
    <row r="1598" ht="15" customHeight="1">
      <c r="A1598" t="inlineStr">
        <is>
          <t>A 40934-2022</t>
        </is>
      </c>
      <c r="B1598" t="inlineStr">
        <is>
          <t>avverkningsanmälan</t>
        </is>
      </c>
      <c r="C1598" t="inlineStr">
        <is>
          <t>Föryngringsavverkning</t>
        </is>
      </c>
      <c r="D1598" s="1" t="n">
        <v>44820</v>
      </c>
      <c r="E1598" s="1" t="n">
        <v>46323</v>
      </c>
      <c r="F1598" t="inlineStr">
        <is>
          <t>KALMAR LÄN</t>
        </is>
      </c>
      <c r="G1598" t="inlineStr">
        <is>
          <t>EMMABODA</t>
        </is>
      </c>
      <c r="H1598" t="inlineStr">
        <is>
          <t>Övriga Aktiebolag</t>
        </is>
      </c>
      <c r="I1598" t="n">
        <v>1.5</v>
      </c>
      <c r="J1598" t="n">
        <v>0</v>
      </c>
      <c r="K1598" t="n">
        <v>0</v>
      </c>
      <c r="L1598" t="n">
        <v>0</v>
      </c>
      <c r="M1598" t="n">
        <v>0</v>
      </c>
      <c r="N1598" t="n">
        <v>0</v>
      </c>
      <c r="O1598" t="n">
        <v>0</v>
      </c>
      <c r="P1598" t="n">
        <v>0</v>
      </c>
      <c r="Q1598" t="n">
        <v>0</v>
      </c>
      <c r="R1598" t="n">
        <v>0</v>
      </c>
      <c r="S1598" t="n">
        <v>0</v>
      </c>
      <c r="T1598" t="n">
        <v>0</v>
      </c>
      <c r="U1598" t="n">
        <v>0</v>
      </c>
      <c r="V1598" s="2" t="inlineStr"/>
    </row>
    <row r="1599" ht="15" customHeight="1">
      <c r="A1599" t="inlineStr">
        <is>
          <t>A 22282-2022</t>
        </is>
      </c>
      <c r="B1599" t="inlineStr">
        <is>
          <t>avverkningsanmälan</t>
        </is>
      </c>
      <c r="C1599" t="inlineStr">
        <is>
          <t>Föryngringsavverkning</t>
        </is>
      </c>
      <c r="D1599" s="1" t="n">
        <v>44712</v>
      </c>
      <c r="E1599" s="1" t="n">
        <v>46323</v>
      </c>
      <c r="F1599" t="inlineStr">
        <is>
          <t>KALMAR LÄN</t>
        </is>
      </c>
      <c r="G1599" t="inlineStr">
        <is>
          <t>OSKARSHAMN</t>
        </is>
      </c>
      <c r="I1599" t="n">
        <v>3.9</v>
      </c>
      <c r="J1599" t="n">
        <v>0</v>
      </c>
      <c r="K1599" t="n">
        <v>0</v>
      </c>
      <c r="L1599" t="n">
        <v>0</v>
      </c>
      <c r="M1599" t="n">
        <v>0</v>
      </c>
      <c r="N1599" t="n">
        <v>0</v>
      </c>
      <c r="O1599" t="n">
        <v>0</v>
      </c>
      <c r="P1599" t="n">
        <v>0</v>
      </c>
      <c r="Q1599" t="n">
        <v>0</v>
      </c>
      <c r="R1599" t="n">
        <v>0</v>
      </c>
      <c r="S1599" t="n">
        <v>0</v>
      </c>
      <c r="T1599" t="n">
        <v>0</v>
      </c>
      <c r="U1599" t="n">
        <v>0</v>
      </c>
      <c r="V1599" s="2" t="inlineStr"/>
    </row>
    <row r="1600" ht="15" customHeight="1">
      <c r="A1600" t="inlineStr">
        <is>
          <t>A 15067-2024</t>
        </is>
      </c>
      <c r="B1600" t="inlineStr">
        <is>
          <t>avverkningsanmälan</t>
        </is>
      </c>
      <c r="C1600" t="inlineStr">
        <is>
          <t>Föryngringsavverkning</t>
        </is>
      </c>
      <c r="D1600" s="1" t="n">
        <v>45399</v>
      </c>
      <c r="E1600" s="1" t="n">
        <v>46323</v>
      </c>
      <c r="F1600" t="inlineStr">
        <is>
          <t>KALMAR LÄN</t>
        </is>
      </c>
      <c r="G1600" t="inlineStr">
        <is>
          <t>MÖNSTERÅS</t>
        </is>
      </c>
      <c r="I1600" t="n">
        <v>0.6</v>
      </c>
      <c r="J1600" t="n">
        <v>0</v>
      </c>
      <c r="K1600" t="n">
        <v>0</v>
      </c>
      <c r="L1600" t="n">
        <v>0</v>
      </c>
      <c r="M1600" t="n">
        <v>0</v>
      </c>
      <c r="N1600" t="n">
        <v>0</v>
      </c>
      <c r="O1600" t="n">
        <v>0</v>
      </c>
      <c r="P1600" t="n">
        <v>0</v>
      </c>
      <c r="Q1600" t="n">
        <v>0</v>
      </c>
      <c r="R1600" t="n">
        <v>0</v>
      </c>
      <c r="S1600" t="n">
        <v>0</v>
      </c>
      <c r="T1600" t="n">
        <v>0</v>
      </c>
      <c r="U1600" t="n">
        <v>0</v>
      </c>
      <c r="V1600" s="2" t="inlineStr"/>
    </row>
    <row r="1601" ht="15" customHeight="1">
      <c r="A1601" t="inlineStr">
        <is>
          <t>A 48957-2023</t>
        </is>
      </c>
      <c r="B1601" t="inlineStr">
        <is>
          <t>avverkningsanmälan</t>
        </is>
      </c>
      <c r="C1601" t="inlineStr">
        <is>
          <t>Föryngringsavverkning</t>
        </is>
      </c>
      <c r="D1601" s="1" t="n">
        <v>45204</v>
      </c>
      <c r="E1601" s="1" t="n">
        <v>46323</v>
      </c>
      <c r="F1601" t="inlineStr">
        <is>
          <t>KALMAR LÄN</t>
        </is>
      </c>
      <c r="G1601" t="inlineStr">
        <is>
          <t>EMMABODA</t>
        </is>
      </c>
      <c r="H1601" t="inlineStr">
        <is>
          <t>Övriga Aktiebolag</t>
        </is>
      </c>
      <c r="I1601" t="n">
        <v>2.6</v>
      </c>
      <c r="J1601" t="n">
        <v>0</v>
      </c>
      <c r="K1601" t="n">
        <v>0</v>
      </c>
      <c r="L1601" t="n">
        <v>0</v>
      </c>
      <c r="M1601" t="n">
        <v>0</v>
      </c>
      <c r="N1601" t="n">
        <v>0</v>
      </c>
      <c r="O1601" t="n">
        <v>0</v>
      </c>
      <c r="P1601" t="n">
        <v>0</v>
      </c>
      <c r="Q1601" t="n">
        <v>0</v>
      </c>
      <c r="R1601" t="n">
        <v>0</v>
      </c>
      <c r="S1601" t="n">
        <v>0</v>
      </c>
      <c r="T1601" t="n">
        <v>0</v>
      </c>
      <c r="U1601" t="n">
        <v>0</v>
      </c>
      <c r="V1601" s="2" t="inlineStr"/>
    </row>
    <row r="1602" ht="15" customHeight="1">
      <c r="A1602" t="inlineStr">
        <is>
          <t>A 5332-2023</t>
        </is>
      </c>
      <c r="B1602" t="inlineStr">
        <is>
          <t>avverkningsanmälan</t>
        </is>
      </c>
      <c r="C1602" t="inlineStr">
        <is>
          <t>Föryngringsavverkning</t>
        </is>
      </c>
      <c r="D1602" s="1" t="n">
        <v>44959</v>
      </c>
      <c r="E1602" s="1" t="n">
        <v>46323</v>
      </c>
      <c r="F1602" t="inlineStr">
        <is>
          <t>KALMAR LÄN</t>
        </is>
      </c>
      <c r="G1602" t="inlineStr">
        <is>
          <t>KALMAR</t>
        </is>
      </c>
      <c r="I1602" t="n">
        <v>1.1</v>
      </c>
      <c r="J1602" t="n">
        <v>0</v>
      </c>
      <c r="K1602" t="n">
        <v>0</v>
      </c>
      <c r="L1602" t="n">
        <v>0</v>
      </c>
      <c r="M1602" t="n">
        <v>0</v>
      </c>
      <c r="N1602" t="n">
        <v>0</v>
      </c>
      <c r="O1602" t="n">
        <v>0</v>
      </c>
      <c r="P1602" t="n">
        <v>0</v>
      </c>
      <c r="Q1602" t="n">
        <v>0</v>
      </c>
      <c r="R1602" t="n">
        <v>0</v>
      </c>
      <c r="S1602" t="n">
        <v>0</v>
      </c>
      <c r="T1602" t="n">
        <v>0</v>
      </c>
      <c r="U1602" t="n">
        <v>0</v>
      </c>
      <c r="V1602" s="2" t="inlineStr"/>
    </row>
    <row r="1603" ht="15" customHeight="1">
      <c r="A1603" t="inlineStr">
        <is>
          <t>A 43606-2024</t>
        </is>
      </c>
      <c r="B1603" t="inlineStr">
        <is>
          <t>avverkningsanmälan</t>
        </is>
      </c>
      <c r="C1603" t="inlineStr">
        <is>
          <t>Föryngringsavverkning</t>
        </is>
      </c>
      <c r="D1603" s="1" t="n">
        <v>45569</v>
      </c>
      <c r="E1603" s="1" t="n">
        <v>46323</v>
      </c>
      <c r="F1603" t="inlineStr">
        <is>
          <t>KALMAR LÄN</t>
        </is>
      </c>
      <c r="G1603" t="inlineStr">
        <is>
          <t>VIMMERBY</t>
        </is>
      </c>
      <c r="I1603" t="n">
        <v>1</v>
      </c>
      <c r="J1603" t="n">
        <v>0</v>
      </c>
      <c r="K1603" t="n">
        <v>0</v>
      </c>
      <c r="L1603" t="n">
        <v>0</v>
      </c>
      <c r="M1603" t="n">
        <v>0</v>
      </c>
      <c r="N1603" t="n">
        <v>0</v>
      </c>
      <c r="O1603" t="n">
        <v>0</v>
      </c>
      <c r="P1603" t="n">
        <v>0</v>
      </c>
      <c r="Q1603" t="n">
        <v>0</v>
      </c>
      <c r="R1603" t="n">
        <v>0</v>
      </c>
      <c r="S1603" t="n">
        <v>0</v>
      </c>
      <c r="T1603" t="n">
        <v>0</v>
      </c>
      <c r="U1603" t="n">
        <v>0</v>
      </c>
      <c r="V1603" s="2" t="inlineStr"/>
    </row>
    <row r="1604" ht="15" customHeight="1">
      <c r="A1604" t="inlineStr">
        <is>
          <t>A 45883-2024</t>
        </is>
      </c>
      <c r="B1604" t="inlineStr">
        <is>
          <t>avverkningsanmälan</t>
        </is>
      </c>
      <c r="C1604" t="inlineStr">
        <is>
          <t>Föryngringsavverkning</t>
        </is>
      </c>
      <c r="D1604" s="1" t="n">
        <v>45580</v>
      </c>
      <c r="E1604" s="1" t="n">
        <v>46323</v>
      </c>
      <c r="F1604" t="inlineStr">
        <is>
          <t>KALMAR LÄN</t>
        </is>
      </c>
      <c r="G1604" t="inlineStr">
        <is>
          <t>OSKARSHAMN</t>
        </is>
      </c>
      <c r="I1604" t="n">
        <v>3</v>
      </c>
      <c r="J1604" t="n">
        <v>0</v>
      </c>
      <c r="K1604" t="n">
        <v>0</v>
      </c>
      <c r="L1604" t="n">
        <v>0</v>
      </c>
      <c r="M1604" t="n">
        <v>0</v>
      </c>
      <c r="N1604" t="n">
        <v>0</v>
      </c>
      <c r="O1604" t="n">
        <v>0</v>
      </c>
      <c r="P1604" t="n">
        <v>0</v>
      </c>
      <c r="Q1604" t="n">
        <v>0</v>
      </c>
      <c r="R1604" t="n">
        <v>0</v>
      </c>
      <c r="S1604" t="n">
        <v>0</v>
      </c>
      <c r="T1604" t="n">
        <v>0</v>
      </c>
      <c r="U1604" t="n">
        <v>0</v>
      </c>
      <c r="V1604" s="2" t="inlineStr"/>
    </row>
    <row r="1605" ht="15" customHeight="1">
      <c r="A1605" t="inlineStr">
        <is>
          <t>A 11819-2022</t>
        </is>
      </c>
      <c r="B1605" t="inlineStr">
        <is>
          <t>avverkningsanmälan</t>
        </is>
      </c>
      <c r="C1605" t="inlineStr">
        <is>
          <t>Föryngringsavverkning</t>
        </is>
      </c>
      <c r="D1605" s="1" t="n">
        <v>44634</v>
      </c>
      <c r="E1605" s="1" t="n">
        <v>46323</v>
      </c>
      <c r="F1605" t="inlineStr">
        <is>
          <t>KALMAR LÄN</t>
        </is>
      </c>
      <c r="G1605" t="inlineStr">
        <is>
          <t>NYBRO</t>
        </is>
      </c>
      <c r="I1605" t="n">
        <v>0.5</v>
      </c>
      <c r="J1605" t="n">
        <v>0</v>
      </c>
      <c r="K1605" t="n">
        <v>0</v>
      </c>
      <c r="L1605" t="n">
        <v>0</v>
      </c>
      <c r="M1605" t="n">
        <v>0</v>
      </c>
      <c r="N1605" t="n">
        <v>0</v>
      </c>
      <c r="O1605" t="n">
        <v>0</v>
      </c>
      <c r="P1605" t="n">
        <v>0</v>
      </c>
      <c r="Q1605" t="n">
        <v>0</v>
      </c>
      <c r="R1605" t="n">
        <v>0</v>
      </c>
      <c r="S1605" t="n">
        <v>0</v>
      </c>
      <c r="T1605" t="n">
        <v>0</v>
      </c>
      <c r="U1605" t="n">
        <v>0</v>
      </c>
      <c r="V1605" s="2" t="inlineStr"/>
    </row>
    <row r="1606" ht="15" customHeight="1">
      <c r="A1606" t="inlineStr">
        <is>
          <t>A 11828-2022</t>
        </is>
      </c>
      <c r="B1606" t="inlineStr">
        <is>
          <t>avverkningsanmälan</t>
        </is>
      </c>
      <c r="C1606" t="inlineStr">
        <is>
          <t>Avverkning för att bevara och utveckla /försöksver</t>
        </is>
      </c>
      <c r="D1606" s="1" t="n">
        <v>44634</v>
      </c>
      <c r="E1606" s="1" t="n">
        <v>46323</v>
      </c>
      <c r="F1606" t="inlineStr">
        <is>
          <t>KALMAR LÄN</t>
        </is>
      </c>
      <c r="G1606" t="inlineStr">
        <is>
          <t>NYBRO</t>
        </is>
      </c>
      <c r="I1606" t="n">
        <v>0.1</v>
      </c>
      <c r="J1606" t="n">
        <v>0</v>
      </c>
      <c r="K1606" t="n">
        <v>0</v>
      </c>
      <c r="L1606" t="n">
        <v>0</v>
      </c>
      <c r="M1606" t="n">
        <v>0</v>
      </c>
      <c r="N1606" t="n">
        <v>0</v>
      </c>
      <c r="O1606" t="n">
        <v>0</v>
      </c>
      <c r="P1606" t="n">
        <v>0</v>
      </c>
      <c r="Q1606" t="n">
        <v>0</v>
      </c>
      <c r="R1606" t="n">
        <v>0</v>
      </c>
      <c r="S1606" t="n">
        <v>0</v>
      </c>
      <c r="T1606" t="n">
        <v>0</v>
      </c>
      <c r="U1606" t="n">
        <v>0</v>
      </c>
      <c r="V1606" s="2" t="inlineStr"/>
    </row>
    <row r="1607" ht="15" customHeight="1">
      <c r="A1607" t="inlineStr">
        <is>
          <t>A 3548-2024</t>
        </is>
      </c>
      <c r="B1607" t="inlineStr">
        <is>
          <t>avverkningsanmälan</t>
        </is>
      </c>
      <c r="C1607" t="inlineStr">
        <is>
          <t>Föryngringsavverkning</t>
        </is>
      </c>
      <c r="D1607" s="1" t="n">
        <v>45320</v>
      </c>
      <c r="E1607" s="1" t="n">
        <v>46323</v>
      </c>
      <c r="F1607" t="inlineStr">
        <is>
          <t>KALMAR LÄN</t>
        </is>
      </c>
      <c r="G1607" t="inlineStr">
        <is>
          <t>HÖGSBY</t>
        </is>
      </c>
      <c r="I1607" t="n">
        <v>0.7</v>
      </c>
      <c r="J1607" t="n">
        <v>0</v>
      </c>
      <c r="K1607" t="n">
        <v>0</v>
      </c>
      <c r="L1607" t="n">
        <v>0</v>
      </c>
      <c r="M1607" t="n">
        <v>0</v>
      </c>
      <c r="N1607" t="n">
        <v>0</v>
      </c>
      <c r="O1607" t="n">
        <v>0</v>
      </c>
      <c r="P1607" t="n">
        <v>0</v>
      </c>
      <c r="Q1607" t="n">
        <v>0</v>
      </c>
      <c r="R1607" t="n">
        <v>0</v>
      </c>
      <c r="S1607" t="n">
        <v>0</v>
      </c>
      <c r="T1607" t="n">
        <v>0</v>
      </c>
      <c r="U1607" t="n">
        <v>0</v>
      </c>
      <c r="V1607" s="2" t="inlineStr"/>
    </row>
    <row r="1608" ht="15" customHeight="1">
      <c r="A1608" t="inlineStr">
        <is>
          <t>A 7944-2024</t>
        </is>
      </c>
      <c r="B1608" t="inlineStr">
        <is>
          <t>avverkningsanmälan</t>
        </is>
      </c>
      <c r="C1608" t="inlineStr">
        <is>
          <t>Föryngringsavverkning</t>
        </is>
      </c>
      <c r="D1608" s="1" t="n">
        <v>45350</v>
      </c>
      <c r="E1608" s="1" t="n">
        <v>46323</v>
      </c>
      <c r="F1608" t="inlineStr">
        <is>
          <t>KALMAR LÄN</t>
        </is>
      </c>
      <c r="G1608" t="inlineStr">
        <is>
          <t>VIMMERBY</t>
        </is>
      </c>
      <c r="I1608" t="n">
        <v>1.2</v>
      </c>
      <c r="J1608" t="n">
        <v>0</v>
      </c>
      <c r="K1608" t="n">
        <v>0</v>
      </c>
      <c r="L1608" t="n">
        <v>0</v>
      </c>
      <c r="M1608" t="n">
        <v>0</v>
      </c>
      <c r="N1608" t="n">
        <v>0</v>
      </c>
      <c r="O1608" t="n">
        <v>0</v>
      </c>
      <c r="P1608" t="n">
        <v>0</v>
      </c>
      <c r="Q1608" t="n">
        <v>0</v>
      </c>
      <c r="R1608" t="n">
        <v>0</v>
      </c>
      <c r="S1608" t="n">
        <v>0</v>
      </c>
      <c r="T1608" t="n">
        <v>0</v>
      </c>
      <c r="U1608" t="n">
        <v>0</v>
      </c>
      <c r="V1608" s="2" t="inlineStr"/>
    </row>
    <row r="1609" ht="15" customHeight="1">
      <c r="A1609" t="inlineStr">
        <is>
          <t>A 45868-2022</t>
        </is>
      </c>
      <c r="B1609" t="inlineStr">
        <is>
          <t>avverkningsanmälan</t>
        </is>
      </c>
      <c r="C1609" t="inlineStr">
        <is>
          <t>Föryngringsavverkning</t>
        </is>
      </c>
      <c r="D1609" s="1" t="n">
        <v>44846</v>
      </c>
      <c r="E1609" s="1" t="n">
        <v>46323</v>
      </c>
      <c r="F1609" t="inlineStr">
        <is>
          <t>KALMAR LÄN</t>
        </is>
      </c>
      <c r="G1609" t="inlineStr">
        <is>
          <t>KALMAR</t>
        </is>
      </c>
      <c r="I1609" t="n">
        <v>1.5</v>
      </c>
      <c r="J1609" t="n">
        <v>0</v>
      </c>
      <c r="K1609" t="n">
        <v>0</v>
      </c>
      <c r="L1609" t="n">
        <v>0</v>
      </c>
      <c r="M1609" t="n">
        <v>0</v>
      </c>
      <c r="N1609" t="n">
        <v>0</v>
      </c>
      <c r="O1609" t="n">
        <v>0</v>
      </c>
      <c r="P1609" t="n">
        <v>0</v>
      </c>
      <c r="Q1609" t="n">
        <v>0</v>
      </c>
      <c r="R1609" t="n">
        <v>0</v>
      </c>
      <c r="S1609" t="n">
        <v>0</v>
      </c>
      <c r="T1609" t="n">
        <v>0</v>
      </c>
      <c r="U1609" t="n">
        <v>0</v>
      </c>
      <c r="V1609" s="2" t="inlineStr"/>
    </row>
    <row r="1610" ht="15" customHeight="1">
      <c r="A1610" t="inlineStr">
        <is>
          <t>A 45841-2023</t>
        </is>
      </c>
      <c r="B1610" t="inlineStr">
        <is>
          <t>avverkningsanmälan</t>
        </is>
      </c>
      <c r="C1610" t="inlineStr">
        <is>
          <t>Föryngringsavverkning</t>
        </is>
      </c>
      <c r="D1610" s="1" t="n">
        <v>45195</v>
      </c>
      <c r="E1610" s="1" t="n">
        <v>46323</v>
      </c>
      <c r="F1610" t="inlineStr">
        <is>
          <t>KALMAR LÄN</t>
        </is>
      </c>
      <c r="G1610" t="inlineStr">
        <is>
          <t>OSKARSHAMN</t>
        </is>
      </c>
      <c r="I1610" t="n">
        <v>1.7</v>
      </c>
      <c r="J1610" t="n">
        <v>0</v>
      </c>
      <c r="K1610" t="n">
        <v>0</v>
      </c>
      <c r="L1610" t="n">
        <v>0</v>
      </c>
      <c r="M1610" t="n">
        <v>0</v>
      </c>
      <c r="N1610" t="n">
        <v>0</v>
      </c>
      <c r="O1610" t="n">
        <v>0</v>
      </c>
      <c r="P1610" t="n">
        <v>0</v>
      </c>
      <c r="Q1610" t="n">
        <v>0</v>
      </c>
      <c r="R1610" t="n">
        <v>0</v>
      </c>
      <c r="S1610" t="n">
        <v>0</v>
      </c>
      <c r="T1610" t="n">
        <v>0</v>
      </c>
      <c r="U1610" t="n">
        <v>0</v>
      </c>
      <c r="V1610" s="2" t="inlineStr"/>
    </row>
    <row r="1611" ht="15" customHeight="1">
      <c r="A1611" t="inlineStr">
        <is>
          <t>A 21291-2023</t>
        </is>
      </c>
      <c r="B1611" t="inlineStr">
        <is>
          <t>avverkningsanmälan</t>
        </is>
      </c>
      <c r="C1611" t="inlineStr">
        <is>
          <t>Föryngringsavverkning</t>
        </is>
      </c>
      <c r="D1611" s="1" t="n">
        <v>45062</v>
      </c>
      <c r="E1611" s="1" t="n">
        <v>46323</v>
      </c>
      <c r="F1611" t="inlineStr">
        <is>
          <t>KALMAR LÄN</t>
        </is>
      </c>
      <c r="G1611" t="inlineStr">
        <is>
          <t>EMMABODA</t>
        </is>
      </c>
      <c r="I1611" t="n">
        <v>0.5</v>
      </c>
      <c r="J1611" t="n">
        <v>0</v>
      </c>
      <c r="K1611" t="n">
        <v>0</v>
      </c>
      <c r="L1611" t="n">
        <v>0</v>
      </c>
      <c r="M1611" t="n">
        <v>0</v>
      </c>
      <c r="N1611" t="n">
        <v>0</v>
      </c>
      <c r="O1611" t="n">
        <v>0</v>
      </c>
      <c r="P1611" t="n">
        <v>0</v>
      </c>
      <c r="Q1611" t="n">
        <v>0</v>
      </c>
      <c r="R1611" t="n">
        <v>0</v>
      </c>
      <c r="S1611" t="n">
        <v>0</v>
      </c>
      <c r="T1611" t="n">
        <v>0</v>
      </c>
      <c r="U1611" t="n">
        <v>0</v>
      </c>
      <c r="V1611" s="2" t="inlineStr"/>
    </row>
    <row r="1612" ht="15" customHeight="1">
      <c r="A1612" t="inlineStr">
        <is>
          <t>A 21384-2023</t>
        </is>
      </c>
      <c r="B1612" t="inlineStr">
        <is>
          <t>avverkningsanmälan</t>
        </is>
      </c>
      <c r="C1612" t="inlineStr">
        <is>
          <t>Föryngringsavverkning</t>
        </is>
      </c>
      <c r="D1612" s="1" t="n">
        <v>45061</v>
      </c>
      <c r="E1612" s="1" t="n">
        <v>46323</v>
      </c>
      <c r="F1612" t="inlineStr">
        <is>
          <t>KALMAR LÄN</t>
        </is>
      </c>
      <c r="G1612" t="inlineStr">
        <is>
          <t>KALMAR</t>
        </is>
      </c>
      <c r="I1612" t="n">
        <v>4.1</v>
      </c>
      <c r="J1612" t="n">
        <v>0</v>
      </c>
      <c r="K1612" t="n">
        <v>0</v>
      </c>
      <c r="L1612" t="n">
        <v>0</v>
      </c>
      <c r="M1612" t="n">
        <v>0</v>
      </c>
      <c r="N1612" t="n">
        <v>0</v>
      </c>
      <c r="O1612" t="n">
        <v>0</v>
      </c>
      <c r="P1612" t="n">
        <v>0</v>
      </c>
      <c r="Q1612" t="n">
        <v>0</v>
      </c>
      <c r="R1612" t="n">
        <v>0</v>
      </c>
      <c r="S1612" t="n">
        <v>0</v>
      </c>
      <c r="T1612" t="n">
        <v>0</v>
      </c>
      <c r="U1612" t="n">
        <v>0</v>
      </c>
      <c r="V1612" s="2" t="inlineStr"/>
    </row>
    <row r="1613" ht="15" customHeight="1">
      <c r="A1613" t="inlineStr">
        <is>
          <t>A 12325-2023</t>
        </is>
      </c>
      <c r="B1613" t="inlineStr">
        <is>
          <t>avverkningsanmälan</t>
        </is>
      </c>
      <c r="C1613" t="inlineStr">
        <is>
          <t>Föryngringsavverkning</t>
        </is>
      </c>
      <c r="D1613" s="1" t="n">
        <v>44999</v>
      </c>
      <c r="E1613" s="1" t="n">
        <v>46323</v>
      </c>
      <c r="F1613" t="inlineStr">
        <is>
          <t>KALMAR LÄN</t>
        </is>
      </c>
      <c r="G1613" t="inlineStr">
        <is>
          <t>VIMMERBY</t>
        </is>
      </c>
      <c r="I1613" t="n">
        <v>3.4</v>
      </c>
      <c r="J1613" t="n">
        <v>0</v>
      </c>
      <c r="K1613" t="n">
        <v>0</v>
      </c>
      <c r="L1613" t="n">
        <v>0</v>
      </c>
      <c r="M1613" t="n">
        <v>0</v>
      </c>
      <c r="N1613" t="n">
        <v>0</v>
      </c>
      <c r="O1613" t="n">
        <v>0</v>
      </c>
      <c r="P1613" t="n">
        <v>0</v>
      </c>
      <c r="Q1613" t="n">
        <v>0</v>
      </c>
      <c r="R1613" t="n">
        <v>0</v>
      </c>
      <c r="S1613" t="n">
        <v>0</v>
      </c>
      <c r="T1613" t="n">
        <v>0</v>
      </c>
      <c r="U1613" t="n">
        <v>0</v>
      </c>
      <c r="V1613" s="2" t="inlineStr"/>
    </row>
    <row r="1614" ht="15" customHeight="1">
      <c r="A1614" t="inlineStr">
        <is>
          <t>A 12461-2022</t>
        </is>
      </c>
      <c r="B1614" t="inlineStr">
        <is>
          <t>avverkningsanmälan</t>
        </is>
      </c>
      <c r="C1614" t="inlineStr">
        <is>
          <t>Föryngringsavverkning</t>
        </is>
      </c>
      <c r="D1614" s="1" t="n">
        <v>44638</v>
      </c>
      <c r="E1614" s="1" t="n">
        <v>46323</v>
      </c>
      <c r="F1614" t="inlineStr">
        <is>
          <t>KALMAR LÄN</t>
        </is>
      </c>
      <c r="G1614" t="inlineStr">
        <is>
          <t>MÖNSTERÅS</t>
        </is>
      </c>
      <c r="I1614" t="n">
        <v>7</v>
      </c>
      <c r="J1614" t="n">
        <v>0</v>
      </c>
      <c r="K1614" t="n">
        <v>0</v>
      </c>
      <c r="L1614" t="n">
        <v>0</v>
      </c>
      <c r="M1614" t="n">
        <v>0</v>
      </c>
      <c r="N1614" t="n">
        <v>0</v>
      </c>
      <c r="O1614" t="n">
        <v>0</v>
      </c>
      <c r="P1614" t="n">
        <v>0</v>
      </c>
      <c r="Q1614" t="n">
        <v>0</v>
      </c>
      <c r="R1614" t="n">
        <v>0</v>
      </c>
      <c r="S1614" t="n">
        <v>0</v>
      </c>
      <c r="T1614" t="n">
        <v>0</v>
      </c>
      <c r="U1614" t="n">
        <v>0</v>
      </c>
      <c r="V1614" s="2" t="inlineStr"/>
    </row>
    <row r="1615" ht="15" customHeight="1">
      <c r="A1615" t="inlineStr">
        <is>
          <t>A 9571-2022</t>
        </is>
      </c>
      <c r="B1615" t="inlineStr">
        <is>
          <t>avverkningsanmälan</t>
        </is>
      </c>
      <c r="C1615" t="inlineStr">
        <is>
          <t>Föryngringsavverkning</t>
        </is>
      </c>
      <c r="D1615" s="1" t="n">
        <v>44617</v>
      </c>
      <c r="E1615" s="1" t="n">
        <v>46323</v>
      </c>
      <c r="F1615" t="inlineStr">
        <is>
          <t>KALMAR LÄN</t>
        </is>
      </c>
      <c r="G1615" t="inlineStr">
        <is>
          <t>HULTSFRED</t>
        </is>
      </c>
      <c r="I1615" t="n">
        <v>0.4</v>
      </c>
      <c r="J1615" t="n">
        <v>0</v>
      </c>
      <c r="K1615" t="n">
        <v>0</v>
      </c>
      <c r="L1615" t="n">
        <v>0</v>
      </c>
      <c r="M1615" t="n">
        <v>0</v>
      </c>
      <c r="N1615" t="n">
        <v>0</v>
      </c>
      <c r="O1615" t="n">
        <v>0</v>
      </c>
      <c r="P1615" t="n">
        <v>0</v>
      </c>
      <c r="Q1615" t="n">
        <v>0</v>
      </c>
      <c r="R1615" t="n">
        <v>0</v>
      </c>
      <c r="S1615" t="n">
        <v>0</v>
      </c>
      <c r="T1615" t="n">
        <v>0</v>
      </c>
      <c r="U1615" t="n">
        <v>0</v>
      </c>
      <c r="V1615" s="2" t="inlineStr"/>
    </row>
    <row r="1616" ht="15" customHeight="1">
      <c r="A1616" t="inlineStr">
        <is>
          <t>A 12060-2022</t>
        </is>
      </c>
      <c r="B1616" t="inlineStr">
        <is>
          <t>avverkningsanmälan</t>
        </is>
      </c>
      <c r="C1616" t="inlineStr">
        <is>
          <t>Föryngringsavverkning</t>
        </is>
      </c>
      <c r="D1616" s="1" t="n">
        <v>44636</v>
      </c>
      <c r="E1616" s="1" t="n">
        <v>46323</v>
      </c>
      <c r="F1616" t="inlineStr">
        <is>
          <t>KALMAR LÄN</t>
        </is>
      </c>
      <c r="G1616" t="inlineStr">
        <is>
          <t>TORSÅS</t>
        </is>
      </c>
      <c r="I1616" t="n">
        <v>0.5</v>
      </c>
      <c r="J1616" t="n">
        <v>0</v>
      </c>
      <c r="K1616" t="n">
        <v>0</v>
      </c>
      <c r="L1616" t="n">
        <v>0</v>
      </c>
      <c r="M1616" t="n">
        <v>0</v>
      </c>
      <c r="N1616" t="n">
        <v>0</v>
      </c>
      <c r="O1616" t="n">
        <v>0</v>
      </c>
      <c r="P1616" t="n">
        <v>0</v>
      </c>
      <c r="Q1616" t="n">
        <v>0</v>
      </c>
      <c r="R1616" t="n">
        <v>0</v>
      </c>
      <c r="S1616" t="n">
        <v>0</v>
      </c>
      <c r="T1616" t="n">
        <v>0</v>
      </c>
      <c r="U1616" t="n">
        <v>0</v>
      </c>
      <c r="V1616" s="2" t="inlineStr"/>
    </row>
    <row r="1617" ht="15" customHeight="1">
      <c r="A1617" t="inlineStr">
        <is>
          <t>A 24573-2022</t>
        </is>
      </c>
      <c r="B1617" t="inlineStr">
        <is>
          <t>avverkningsanmälan</t>
        </is>
      </c>
      <c r="C1617" t="inlineStr">
        <is>
          <t>Föryngringsavverkning</t>
        </is>
      </c>
      <c r="D1617" s="1" t="n">
        <v>44727</v>
      </c>
      <c r="E1617" s="1" t="n">
        <v>46323</v>
      </c>
      <c r="F1617" t="inlineStr">
        <is>
          <t>KALMAR LÄN</t>
        </is>
      </c>
      <c r="G1617" t="inlineStr">
        <is>
          <t>NYBRO</t>
        </is>
      </c>
      <c r="I1617" t="n">
        <v>2</v>
      </c>
      <c r="J1617" t="n">
        <v>0</v>
      </c>
      <c r="K1617" t="n">
        <v>0</v>
      </c>
      <c r="L1617" t="n">
        <v>0</v>
      </c>
      <c r="M1617" t="n">
        <v>0</v>
      </c>
      <c r="N1617" t="n">
        <v>0</v>
      </c>
      <c r="O1617" t="n">
        <v>0</v>
      </c>
      <c r="P1617" t="n">
        <v>0</v>
      </c>
      <c r="Q1617" t="n">
        <v>0</v>
      </c>
      <c r="R1617" t="n">
        <v>0</v>
      </c>
      <c r="S1617" t="n">
        <v>0</v>
      </c>
      <c r="T1617" t="n">
        <v>0</v>
      </c>
      <c r="U1617" t="n">
        <v>0</v>
      </c>
      <c r="V1617" s="2" t="inlineStr"/>
    </row>
    <row r="1618" ht="15" customHeight="1">
      <c r="A1618" t="inlineStr">
        <is>
          <t>A 26097-2023</t>
        </is>
      </c>
      <c r="B1618" t="inlineStr">
        <is>
          <t>avverkningsanmälan</t>
        </is>
      </c>
      <c r="C1618" t="inlineStr">
        <is>
          <t>Föryngringsavverkning</t>
        </is>
      </c>
      <c r="D1618" s="1" t="n">
        <v>45091</v>
      </c>
      <c r="E1618" s="1" t="n">
        <v>46323</v>
      </c>
      <c r="F1618" t="inlineStr">
        <is>
          <t>KALMAR LÄN</t>
        </is>
      </c>
      <c r="G1618" t="inlineStr">
        <is>
          <t>KALMAR</t>
        </is>
      </c>
      <c r="I1618" t="n">
        <v>1.5</v>
      </c>
      <c r="J1618" t="n">
        <v>0</v>
      </c>
      <c r="K1618" t="n">
        <v>0</v>
      </c>
      <c r="L1618" t="n">
        <v>0</v>
      </c>
      <c r="M1618" t="n">
        <v>0</v>
      </c>
      <c r="N1618" t="n">
        <v>0</v>
      </c>
      <c r="O1618" t="n">
        <v>0</v>
      </c>
      <c r="P1618" t="n">
        <v>0</v>
      </c>
      <c r="Q1618" t="n">
        <v>0</v>
      </c>
      <c r="R1618" t="n">
        <v>0</v>
      </c>
      <c r="S1618" t="n">
        <v>0</v>
      </c>
      <c r="T1618" t="n">
        <v>0</v>
      </c>
      <c r="U1618" t="n">
        <v>0</v>
      </c>
      <c r="V1618" s="2" t="inlineStr"/>
    </row>
    <row r="1619" ht="15" customHeight="1">
      <c r="A1619" t="inlineStr">
        <is>
          <t>A 8332-2024</t>
        </is>
      </c>
      <c r="B1619" t="inlineStr">
        <is>
          <t>avverkningsanmälan</t>
        </is>
      </c>
      <c r="C1619" t="inlineStr">
        <is>
          <t>Föryngringsavverkning</t>
        </is>
      </c>
      <c r="D1619" s="1" t="n">
        <v>45352</v>
      </c>
      <c r="E1619" s="1" t="n">
        <v>46323</v>
      </c>
      <c r="F1619" t="inlineStr">
        <is>
          <t>KALMAR LÄN</t>
        </is>
      </c>
      <c r="G1619" t="inlineStr">
        <is>
          <t>HULTSFRED</t>
        </is>
      </c>
      <c r="I1619" t="n">
        <v>8.800000000000001</v>
      </c>
      <c r="J1619" t="n">
        <v>0</v>
      </c>
      <c r="K1619" t="n">
        <v>0</v>
      </c>
      <c r="L1619" t="n">
        <v>0</v>
      </c>
      <c r="M1619" t="n">
        <v>0</v>
      </c>
      <c r="N1619" t="n">
        <v>0</v>
      </c>
      <c r="O1619" t="n">
        <v>0</v>
      </c>
      <c r="P1619" t="n">
        <v>0</v>
      </c>
      <c r="Q1619" t="n">
        <v>0</v>
      </c>
      <c r="R1619" t="n">
        <v>0</v>
      </c>
      <c r="S1619" t="n">
        <v>0</v>
      </c>
      <c r="T1619" t="n">
        <v>0</v>
      </c>
      <c r="U1619" t="n">
        <v>0</v>
      </c>
      <c r="V1619" s="2" t="inlineStr"/>
    </row>
    <row r="1620" ht="15" customHeight="1">
      <c r="A1620" t="inlineStr">
        <is>
          <t>A 33030-2022</t>
        </is>
      </c>
      <c r="B1620" t="inlineStr">
        <is>
          <t>avverkningsanmälan</t>
        </is>
      </c>
      <c r="C1620" t="inlineStr">
        <is>
          <t>Föryngringsavverkning</t>
        </is>
      </c>
      <c r="D1620" s="1" t="n">
        <v>44785</v>
      </c>
      <c r="E1620" s="1" t="n">
        <v>46323</v>
      </c>
      <c r="F1620" t="inlineStr">
        <is>
          <t>KALMAR LÄN</t>
        </is>
      </c>
      <c r="G1620" t="inlineStr">
        <is>
          <t>NYBRO</t>
        </is>
      </c>
      <c r="I1620" t="n">
        <v>2.2</v>
      </c>
      <c r="J1620" t="n">
        <v>0</v>
      </c>
      <c r="K1620" t="n">
        <v>0</v>
      </c>
      <c r="L1620" t="n">
        <v>0</v>
      </c>
      <c r="M1620" t="n">
        <v>0</v>
      </c>
      <c r="N1620" t="n">
        <v>0</v>
      </c>
      <c r="O1620" t="n">
        <v>0</v>
      </c>
      <c r="P1620" t="n">
        <v>0</v>
      </c>
      <c r="Q1620" t="n">
        <v>0</v>
      </c>
      <c r="R1620" t="n">
        <v>0</v>
      </c>
      <c r="S1620" t="n">
        <v>0</v>
      </c>
      <c r="T1620" t="n">
        <v>0</v>
      </c>
      <c r="U1620" t="n">
        <v>0</v>
      </c>
      <c r="V1620" s="2" t="inlineStr"/>
    </row>
    <row r="1621" ht="15" customHeight="1">
      <c r="A1621" t="inlineStr">
        <is>
          <t>A 37433-2023</t>
        </is>
      </c>
      <c r="B1621" t="inlineStr">
        <is>
          <t>avverkningsanmälan</t>
        </is>
      </c>
      <c r="C1621" t="inlineStr">
        <is>
          <t>Föryngringsavverkning</t>
        </is>
      </c>
      <c r="D1621" s="1" t="n">
        <v>45156</v>
      </c>
      <c r="E1621" s="1" t="n">
        <v>46323</v>
      </c>
      <c r="F1621" t="inlineStr">
        <is>
          <t>KALMAR LÄN</t>
        </is>
      </c>
      <c r="G1621" t="inlineStr">
        <is>
          <t>KALMAR</t>
        </is>
      </c>
      <c r="I1621" t="n">
        <v>1.7</v>
      </c>
      <c r="J1621" t="n">
        <v>0</v>
      </c>
      <c r="K1621" t="n">
        <v>0</v>
      </c>
      <c r="L1621" t="n">
        <v>0</v>
      </c>
      <c r="M1621" t="n">
        <v>0</v>
      </c>
      <c r="N1621" t="n">
        <v>0</v>
      </c>
      <c r="O1621" t="n">
        <v>0</v>
      </c>
      <c r="P1621" t="n">
        <v>0</v>
      </c>
      <c r="Q1621" t="n">
        <v>0</v>
      </c>
      <c r="R1621" t="n">
        <v>0</v>
      </c>
      <c r="S1621" t="n">
        <v>0</v>
      </c>
      <c r="T1621" t="n">
        <v>0</v>
      </c>
      <c r="U1621" t="n">
        <v>0</v>
      </c>
      <c r="V1621" s="2" t="inlineStr"/>
    </row>
    <row r="1622" ht="15" customHeight="1">
      <c r="A1622" t="inlineStr">
        <is>
          <t>A 23825-2022</t>
        </is>
      </c>
      <c r="B1622" t="inlineStr">
        <is>
          <t>avverkningsanmälan</t>
        </is>
      </c>
      <c r="C1622" t="inlineStr">
        <is>
          <t>Föryngringsavverkning</t>
        </is>
      </c>
      <c r="D1622" s="1" t="n">
        <v>44722</v>
      </c>
      <c r="E1622" s="1" t="n">
        <v>46323</v>
      </c>
      <c r="F1622" t="inlineStr">
        <is>
          <t>KALMAR LÄN</t>
        </is>
      </c>
      <c r="G1622" t="inlineStr">
        <is>
          <t>VIMMERBY</t>
        </is>
      </c>
      <c r="I1622" t="n">
        <v>0.5</v>
      </c>
      <c r="J1622" t="n">
        <v>0</v>
      </c>
      <c r="K1622" t="n">
        <v>0</v>
      </c>
      <c r="L1622" t="n">
        <v>0</v>
      </c>
      <c r="M1622" t="n">
        <v>0</v>
      </c>
      <c r="N1622" t="n">
        <v>0</v>
      </c>
      <c r="O1622" t="n">
        <v>0</v>
      </c>
      <c r="P1622" t="n">
        <v>0</v>
      </c>
      <c r="Q1622" t="n">
        <v>0</v>
      </c>
      <c r="R1622" t="n">
        <v>0</v>
      </c>
      <c r="S1622" t="n">
        <v>0</v>
      </c>
      <c r="T1622" t="n">
        <v>0</v>
      </c>
      <c r="U1622" t="n">
        <v>0</v>
      </c>
      <c r="V1622" s="2" t="inlineStr"/>
    </row>
    <row r="1623" ht="15" customHeight="1">
      <c r="A1623" t="inlineStr">
        <is>
          <t>A 37966-2022</t>
        </is>
      </c>
      <c r="B1623" t="inlineStr">
        <is>
          <t>avverkningsanmälan</t>
        </is>
      </c>
      <c r="C1623" t="inlineStr">
        <is>
          <t>Föryngringsavverkning</t>
        </is>
      </c>
      <c r="D1623" s="1" t="n">
        <v>44811</v>
      </c>
      <c r="E1623" s="1" t="n">
        <v>46323</v>
      </c>
      <c r="F1623" t="inlineStr">
        <is>
          <t>KALMAR LÄN</t>
        </is>
      </c>
      <c r="G1623" t="inlineStr">
        <is>
          <t>TORSÅS</t>
        </is>
      </c>
      <c r="I1623" t="n">
        <v>0.5</v>
      </c>
      <c r="J1623" t="n">
        <v>0</v>
      </c>
      <c r="K1623" t="n">
        <v>0</v>
      </c>
      <c r="L1623" t="n">
        <v>0</v>
      </c>
      <c r="M1623" t="n">
        <v>0</v>
      </c>
      <c r="N1623" t="n">
        <v>0</v>
      </c>
      <c r="O1623" t="n">
        <v>0</v>
      </c>
      <c r="P1623" t="n">
        <v>0</v>
      </c>
      <c r="Q1623" t="n">
        <v>0</v>
      </c>
      <c r="R1623" t="n">
        <v>0</v>
      </c>
      <c r="S1623" t="n">
        <v>0</v>
      </c>
      <c r="T1623" t="n">
        <v>0</v>
      </c>
      <c r="U1623" t="n">
        <v>0</v>
      </c>
      <c r="V1623" s="2" t="inlineStr"/>
    </row>
    <row r="1624" ht="15" customHeight="1">
      <c r="A1624" t="inlineStr">
        <is>
          <t>A 5880-2024</t>
        </is>
      </c>
      <c r="B1624" t="inlineStr">
        <is>
          <t>avverkningsanmälan</t>
        </is>
      </c>
      <c r="C1624" t="inlineStr">
        <is>
          <t>Föryngringsavverkning</t>
        </is>
      </c>
      <c r="D1624" s="1" t="n">
        <v>45335</v>
      </c>
      <c r="E1624" s="1" t="n">
        <v>46323</v>
      </c>
      <c r="F1624" t="inlineStr">
        <is>
          <t>KALMAR LÄN</t>
        </is>
      </c>
      <c r="G1624" t="inlineStr">
        <is>
          <t>EMMABODA</t>
        </is>
      </c>
      <c r="I1624" t="n">
        <v>0.6</v>
      </c>
      <c r="J1624" t="n">
        <v>0</v>
      </c>
      <c r="K1624" t="n">
        <v>0</v>
      </c>
      <c r="L1624" t="n">
        <v>0</v>
      </c>
      <c r="M1624" t="n">
        <v>0</v>
      </c>
      <c r="N1624" t="n">
        <v>0</v>
      </c>
      <c r="O1624" t="n">
        <v>0</v>
      </c>
      <c r="P1624" t="n">
        <v>0</v>
      </c>
      <c r="Q1624" t="n">
        <v>0</v>
      </c>
      <c r="R1624" t="n">
        <v>0</v>
      </c>
      <c r="S1624" t="n">
        <v>0</v>
      </c>
      <c r="T1624" t="n">
        <v>0</v>
      </c>
      <c r="U1624" t="n">
        <v>0</v>
      </c>
      <c r="V1624" s="2" t="inlineStr"/>
    </row>
    <row r="1625" ht="15" customHeight="1">
      <c r="A1625" t="inlineStr">
        <is>
          <t>A 45226-2023</t>
        </is>
      </c>
      <c r="B1625" t="inlineStr">
        <is>
          <t>avverkningsanmälan</t>
        </is>
      </c>
      <c r="C1625" t="inlineStr">
        <is>
          <t>Föryngringsavverkning</t>
        </is>
      </c>
      <c r="D1625" s="1" t="n">
        <v>45191</v>
      </c>
      <c r="E1625" s="1" t="n">
        <v>46323</v>
      </c>
      <c r="F1625" t="inlineStr">
        <is>
          <t>KALMAR LÄN</t>
        </is>
      </c>
      <c r="G1625" t="inlineStr">
        <is>
          <t>EMMABODA</t>
        </is>
      </c>
      <c r="I1625" t="n">
        <v>1.1</v>
      </c>
      <c r="J1625" t="n">
        <v>0</v>
      </c>
      <c r="K1625" t="n">
        <v>0</v>
      </c>
      <c r="L1625" t="n">
        <v>0</v>
      </c>
      <c r="M1625" t="n">
        <v>0</v>
      </c>
      <c r="N1625" t="n">
        <v>0</v>
      </c>
      <c r="O1625" t="n">
        <v>0</v>
      </c>
      <c r="P1625" t="n">
        <v>0</v>
      </c>
      <c r="Q1625" t="n">
        <v>0</v>
      </c>
      <c r="R1625" t="n">
        <v>0</v>
      </c>
      <c r="S1625" t="n">
        <v>0</v>
      </c>
      <c r="T1625" t="n">
        <v>0</v>
      </c>
      <c r="U1625" t="n">
        <v>0</v>
      </c>
      <c r="V1625" s="2" t="inlineStr"/>
    </row>
    <row r="1626" ht="15" customHeight="1">
      <c r="A1626" t="inlineStr">
        <is>
          <t>A 38781-2022</t>
        </is>
      </c>
      <c r="B1626" t="inlineStr">
        <is>
          <t>avverkningsanmälan</t>
        </is>
      </c>
      <c r="C1626" t="inlineStr">
        <is>
          <t>Föryngringsavverkning</t>
        </is>
      </c>
      <c r="D1626" s="1" t="n">
        <v>44816</v>
      </c>
      <c r="E1626" s="1" t="n">
        <v>46323</v>
      </c>
      <c r="F1626" t="inlineStr">
        <is>
          <t>KALMAR LÄN</t>
        </is>
      </c>
      <c r="G1626" t="inlineStr">
        <is>
          <t>KALMAR</t>
        </is>
      </c>
      <c r="I1626" t="n">
        <v>6.2</v>
      </c>
      <c r="J1626" t="n">
        <v>0</v>
      </c>
      <c r="K1626" t="n">
        <v>0</v>
      </c>
      <c r="L1626" t="n">
        <v>0</v>
      </c>
      <c r="M1626" t="n">
        <v>0</v>
      </c>
      <c r="N1626" t="n">
        <v>0</v>
      </c>
      <c r="O1626" t="n">
        <v>0</v>
      </c>
      <c r="P1626" t="n">
        <v>0</v>
      </c>
      <c r="Q1626" t="n">
        <v>0</v>
      </c>
      <c r="R1626" t="n">
        <v>0</v>
      </c>
      <c r="S1626" t="n">
        <v>0</v>
      </c>
      <c r="T1626" t="n">
        <v>0</v>
      </c>
      <c r="U1626" t="n">
        <v>0</v>
      </c>
      <c r="V1626" s="2" t="inlineStr"/>
    </row>
    <row r="1627" ht="15" customHeight="1">
      <c r="A1627" t="inlineStr">
        <is>
          <t>A 29909-2022</t>
        </is>
      </c>
      <c r="B1627" t="inlineStr">
        <is>
          <t>avverkningsanmälan</t>
        </is>
      </c>
      <c r="C1627" t="inlineStr">
        <is>
          <t>Föryngringsavverkning</t>
        </is>
      </c>
      <c r="D1627" s="1" t="n">
        <v>44756</v>
      </c>
      <c r="E1627" s="1" t="n">
        <v>46323</v>
      </c>
      <c r="F1627" t="inlineStr">
        <is>
          <t>KALMAR LÄN</t>
        </is>
      </c>
      <c r="G1627" t="inlineStr">
        <is>
          <t>VÄSTERVIK</t>
        </is>
      </c>
      <c r="I1627" t="n">
        <v>0.8</v>
      </c>
      <c r="J1627" t="n">
        <v>0</v>
      </c>
      <c r="K1627" t="n">
        <v>0</v>
      </c>
      <c r="L1627" t="n">
        <v>0</v>
      </c>
      <c r="M1627" t="n">
        <v>0</v>
      </c>
      <c r="N1627" t="n">
        <v>0</v>
      </c>
      <c r="O1627" t="n">
        <v>0</v>
      </c>
      <c r="P1627" t="n">
        <v>0</v>
      </c>
      <c r="Q1627" t="n">
        <v>0</v>
      </c>
      <c r="R1627" t="n">
        <v>0</v>
      </c>
      <c r="S1627" t="n">
        <v>0</v>
      </c>
      <c r="T1627" t="n">
        <v>0</v>
      </c>
      <c r="U1627" t="n">
        <v>0</v>
      </c>
      <c r="V1627" s="2" t="inlineStr"/>
    </row>
    <row r="1628" ht="15" customHeight="1">
      <c r="A1628" t="inlineStr">
        <is>
          <t>A 37968-2022</t>
        </is>
      </c>
      <c r="B1628" t="inlineStr">
        <is>
          <t>avverkningsanmälan</t>
        </is>
      </c>
      <c r="C1628" t="inlineStr">
        <is>
          <t>Föryngringsavverkning</t>
        </is>
      </c>
      <c r="D1628" s="1" t="n">
        <v>44811</v>
      </c>
      <c r="E1628" s="1" t="n">
        <v>46323</v>
      </c>
      <c r="F1628" t="inlineStr">
        <is>
          <t>KALMAR LÄN</t>
        </is>
      </c>
      <c r="G1628" t="inlineStr">
        <is>
          <t>TORSÅS</t>
        </is>
      </c>
      <c r="I1628" t="n">
        <v>1</v>
      </c>
      <c r="J1628" t="n">
        <v>0</v>
      </c>
      <c r="K1628" t="n">
        <v>0</v>
      </c>
      <c r="L1628" t="n">
        <v>0</v>
      </c>
      <c r="M1628" t="n">
        <v>0</v>
      </c>
      <c r="N1628" t="n">
        <v>0</v>
      </c>
      <c r="O1628" t="n">
        <v>0</v>
      </c>
      <c r="P1628" t="n">
        <v>0</v>
      </c>
      <c r="Q1628" t="n">
        <v>0</v>
      </c>
      <c r="R1628" t="n">
        <v>0</v>
      </c>
      <c r="S1628" t="n">
        <v>0</v>
      </c>
      <c r="T1628" t="n">
        <v>0</v>
      </c>
      <c r="U1628" t="n">
        <v>0</v>
      </c>
      <c r="V1628" s="2" t="inlineStr"/>
    </row>
    <row r="1629" ht="15" customHeight="1">
      <c r="A1629" t="inlineStr">
        <is>
          <t>A 62940-2023</t>
        </is>
      </c>
      <c r="B1629" t="inlineStr">
        <is>
          <t>avverkningsanmälan</t>
        </is>
      </c>
      <c r="C1629" t="inlineStr">
        <is>
          <t>Föryngringsavverkning</t>
        </is>
      </c>
      <c r="D1629" s="1" t="n">
        <v>45272</v>
      </c>
      <c r="E1629" s="1" t="n">
        <v>46323</v>
      </c>
      <c r="F1629" t="inlineStr">
        <is>
          <t>KALMAR LÄN</t>
        </is>
      </c>
      <c r="G1629" t="inlineStr">
        <is>
          <t>KALMAR</t>
        </is>
      </c>
      <c r="I1629" t="n">
        <v>1.4</v>
      </c>
      <c r="J1629" t="n">
        <v>0</v>
      </c>
      <c r="K1629" t="n">
        <v>0</v>
      </c>
      <c r="L1629" t="n">
        <v>0</v>
      </c>
      <c r="M1629" t="n">
        <v>0</v>
      </c>
      <c r="N1629" t="n">
        <v>0</v>
      </c>
      <c r="O1629" t="n">
        <v>0</v>
      </c>
      <c r="P1629" t="n">
        <v>0</v>
      </c>
      <c r="Q1629" t="n">
        <v>0</v>
      </c>
      <c r="R1629" t="n">
        <v>0</v>
      </c>
      <c r="S1629" t="n">
        <v>0</v>
      </c>
      <c r="T1629" t="n">
        <v>0</v>
      </c>
      <c r="U1629" t="n">
        <v>0</v>
      </c>
      <c r="V1629" s="2" t="inlineStr"/>
    </row>
    <row r="1630" ht="15" customHeight="1">
      <c r="A1630" t="inlineStr">
        <is>
          <t>A 40665-2023</t>
        </is>
      </c>
      <c r="B1630" t="inlineStr">
        <is>
          <t>avverkningsanmälan</t>
        </is>
      </c>
      <c r="C1630" t="inlineStr">
        <is>
          <t>Föryngringsavverkning</t>
        </is>
      </c>
      <c r="D1630" s="1" t="n">
        <v>45170</v>
      </c>
      <c r="E1630" s="1" t="n">
        <v>46323</v>
      </c>
      <c r="F1630" t="inlineStr">
        <is>
          <t>KALMAR LÄN</t>
        </is>
      </c>
      <c r="G1630" t="inlineStr">
        <is>
          <t>VIMMERBY</t>
        </is>
      </c>
      <c r="I1630" t="n">
        <v>2.6</v>
      </c>
      <c r="J1630" t="n">
        <v>0</v>
      </c>
      <c r="K1630" t="n">
        <v>0</v>
      </c>
      <c r="L1630" t="n">
        <v>0</v>
      </c>
      <c r="M1630" t="n">
        <v>0</v>
      </c>
      <c r="N1630" t="n">
        <v>0</v>
      </c>
      <c r="O1630" t="n">
        <v>0</v>
      </c>
      <c r="P1630" t="n">
        <v>0</v>
      </c>
      <c r="Q1630" t="n">
        <v>0</v>
      </c>
      <c r="R1630" t="n">
        <v>0</v>
      </c>
      <c r="S1630" t="n">
        <v>0</v>
      </c>
      <c r="T1630" t="n">
        <v>0</v>
      </c>
      <c r="U1630" t="n">
        <v>0</v>
      </c>
      <c r="V1630" s="2" t="inlineStr"/>
    </row>
    <row r="1631" ht="15" customHeight="1">
      <c r="A1631" t="inlineStr">
        <is>
          <t>A 214-2023</t>
        </is>
      </c>
      <c r="B1631" t="inlineStr">
        <is>
          <t>avverkningsanmälan</t>
        </is>
      </c>
      <c r="C1631" t="inlineStr">
        <is>
          <t>Föryngringsavverkning</t>
        </is>
      </c>
      <c r="D1631" s="1" t="n">
        <v>44928</v>
      </c>
      <c r="E1631" s="1" t="n">
        <v>46323</v>
      </c>
      <c r="F1631" t="inlineStr">
        <is>
          <t>KALMAR LÄN</t>
        </is>
      </c>
      <c r="G1631" t="inlineStr">
        <is>
          <t>MÖNSTERÅS</t>
        </is>
      </c>
      <c r="I1631" t="n">
        <v>5.5</v>
      </c>
      <c r="J1631" t="n">
        <v>0</v>
      </c>
      <c r="K1631" t="n">
        <v>0</v>
      </c>
      <c r="L1631" t="n">
        <v>0</v>
      </c>
      <c r="M1631" t="n">
        <v>0</v>
      </c>
      <c r="N1631" t="n">
        <v>0</v>
      </c>
      <c r="O1631" t="n">
        <v>0</v>
      </c>
      <c r="P1631" t="n">
        <v>0</v>
      </c>
      <c r="Q1631" t="n">
        <v>0</v>
      </c>
      <c r="R1631" t="n">
        <v>0</v>
      </c>
      <c r="S1631" t="n">
        <v>0</v>
      </c>
      <c r="T1631" t="n">
        <v>0</v>
      </c>
      <c r="U1631" t="n">
        <v>0</v>
      </c>
      <c r="V1631" s="2" t="inlineStr"/>
    </row>
    <row r="1632" ht="15" customHeight="1">
      <c r="A1632" t="inlineStr">
        <is>
          <t>A 15828-2023</t>
        </is>
      </c>
      <c r="B1632" t="inlineStr">
        <is>
          <t>avverkningsanmälan</t>
        </is>
      </c>
      <c r="C1632" t="inlineStr">
        <is>
          <t>Föryngringsavverkning</t>
        </is>
      </c>
      <c r="D1632" s="1" t="n">
        <v>45022</v>
      </c>
      <c r="E1632" s="1" t="n">
        <v>46323</v>
      </c>
      <c r="F1632" t="inlineStr">
        <is>
          <t>KALMAR LÄN</t>
        </is>
      </c>
      <c r="G1632" t="inlineStr">
        <is>
          <t>NYBRO</t>
        </is>
      </c>
      <c r="I1632" t="n">
        <v>0.5</v>
      </c>
      <c r="J1632" t="n">
        <v>0</v>
      </c>
      <c r="K1632" t="n">
        <v>0</v>
      </c>
      <c r="L1632" t="n">
        <v>0</v>
      </c>
      <c r="M1632" t="n">
        <v>0</v>
      </c>
      <c r="N1632" t="n">
        <v>0</v>
      </c>
      <c r="O1632" t="n">
        <v>0</v>
      </c>
      <c r="P1632" t="n">
        <v>0</v>
      </c>
      <c r="Q1632" t="n">
        <v>0</v>
      </c>
      <c r="R1632" t="n">
        <v>0</v>
      </c>
      <c r="S1632" t="n">
        <v>0</v>
      </c>
      <c r="T1632" t="n">
        <v>0</v>
      </c>
      <c r="U1632" t="n">
        <v>0</v>
      </c>
      <c r="V1632" s="2" t="inlineStr"/>
    </row>
    <row r="1633" ht="15" customHeight="1">
      <c r="A1633" t="inlineStr">
        <is>
          <t>A 17214-2024</t>
        </is>
      </c>
      <c r="B1633" t="inlineStr">
        <is>
          <t>avverkningsanmälan</t>
        </is>
      </c>
      <c r="C1633" t="inlineStr">
        <is>
          <t>Föryngringsavverkning</t>
        </is>
      </c>
      <c r="D1633" s="1" t="n">
        <v>45414</v>
      </c>
      <c r="E1633" s="1" t="n">
        <v>46323</v>
      </c>
      <c r="F1633" t="inlineStr">
        <is>
          <t>KALMAR LÄN</t>
        </is>
      </c>
      <c r="G1633" t="inlineStr">
        <is>
          <t>VÄSTERVIK</t>
        </is>
      </c>
      <c r="I1633" t="n">
        <v>0.5</v>
      </c>
      <c r="J1633" t="n">
        <v>0</v>
      </c>
      <c r="K1633" t="n">
        <v>0</v>
      </c>
      <c r="L1633" t="n">
        <v>0</v>
      </c>
      <c r="M1633" t="n">
        <v>0</v>
      </c>
      <c r="N1633" t="n">
        <v>0</v>
      </c>
      <c r="O1633" t="n">
        <v>0</v>
      </c>
      <c r="P1633" t="n">
        <v>0</v>
      </c>
      <c r="Q1633" t="n">
        <v>0</v>
      </c>
      <c r="R1633" t="n">
        <v>0</v>
      </c>
      <c r="S1633" t="n">
        <v>0</v>
      </c>
      <c r="T1633" t="n">
        <v>0</v>
      </c>
      <c r="U1633" t="n">
        <v>0</v>
      </c>
      <c r="V1633" s="2" t="inlineStr"/>
    </row>
    <row r="1634" ht="15" customHeight="1">
      <c r="A1634" t="inlineStr">
        <is>
          <t>A 47825-2022</t>
        </is>
      </c>
      <c r="B1634" t="inlineStr">
        <is>
          <t>avverkningsanmälan</t>
        </is>
      </c>
      <c r="C1634" t="inlineStr">
        <is>
          <t>Föryngringsavverkning</t>
        </is>
      </c>
      <c r="D1634" s="1" t="n">
        <v>44855</v>
      </c>
      <c r="E1634" s="1" t="n">
        <v>46323</v>
      </c>
      <c r="F1634" t="inlineStr">
        <is>
          <t>KALMAR LÄN</t>
        </is>
      </c>
      <c r="G1634" t="inlineStr">
        <is>
          <t>KALMAR</t>
        </is>
      </c>
      <c r="I1634" t="n">
        <v>0.6</v>
      </c>
      <c r="J1634" t="n">
        <v>0</v>
      </c>
      <c r="K1634" t="n">
        <v>0</v>
      </c>
      <c r="L1634" t="n">
        <v>0</v>
      </c>
      <c r="M1634" t="n">
        <v>0</v>
      </c>
      <c r="N1634" t="n">
        <v>0</v>
      </c>
      <c r="O1634" t="n">
        <v>0</v>
      </c>
      <c r="P1634" t="n">
        <v>0</v>
      </c>
      <c r="Q1634" t="n">
        <v>0</v>
      </c>
      <c r="R1634" t="n">
        <v>0</v>
      </c>
      <c r="S1634" t="n">
        <v>0</v>
      </c>
      <c r="T1634" t="n">
        <v>0</v>
      </c>
      <c r="U1634" t="n">
        <v>0</v>
      </c>
      <c r="V1634" s="2" t="inlineStr"/>
    </row>
    <row r="1635" ht="15" customHeight="1">
      <c r="A1635" t="inlineStr">
        <is>
          <t>A 27027-2023</t>
        </is>
      </c>
      <c r="B1635" t="inlineStr">
        <is>
          <t>avverkningsanmälan</t>
        </is>
      </c>
      <c r="C1635" t="inlineStr">
        <is>
          <t>Föryngringsavverkning</t>
        </is>
      </c>
      <c r="D1635" s="1" t="n">
        <v>45095</v>
      </c>
      <c r="E1635" s="1" t="n">
        <v>46323</v>
      </c>
      <c r="F1635" t="inlineStr">
        <is>
          <t>KALMAR LÄN</t>
        </is>
      </c>
      <c r="G1635" t="inlineStr">
        <is>
          <t>NYBRO</t>
        </is>
      </c>
      <c r="I1635" t="n">
        <v>0.7</v>
      </c>
      <c r="J1635" t="n">
        <v>0</v>
      </c>
      <c r="K1635" t="n">
        <v>0</v>
      </c>
      <c r="L1635" t="n">
        <v>0</v>
      </c>
      <c r="M1635" t="n">
        <v>0</v>
      </c>
      <c r="N1635" t="n">
        <v>0</v>
      </c>
      <c r="O1635" t="n">
        <v>0</v>
      </c>
      <c r="P1635" t="n">
        <v>0</v>
      </c>
      <c r="Q1635" t="n">
        <v>0</v>
      </c>
      <c r="R1635" t="n">
        <v>0</v>
      </c>
      <c r="S1635" t="n">
        <v>0</v>
      </c>
      <c r="T1635" t="n">
        <v>0</v>
      </c>
      <c r="U1635" t="n">
        <v>0</v>
      </c>
      <c r="V1635" s="2" t="inlineStr"/>
    </row>
    <row r="1636" ht="15" customHeight="1">
      <c r="A1636" t="inlineStr">
        <is>
          <t>A 27028-2023</t>
        </is>
      </c>
      <c r="B1636" t="inlineStr">
        <is>
          <t>avverkningsanmälan</t>
        </is>
      </c>
      <c r="C1636" t="inlineStr">
        <is>
          <t>Föryngringsavverkning</t>
        </is>
      </c>
      <c r="D1636" s="1" t="n">
        <v>45095</v>
      </c>
      <c r="E1636" s="1" t="n">
        <v>46323</v>
      </c>
      <c r="F1636" t="inlineStr">
        <is>
          <t>KALMAR LÄN</t>
        </is>
      </c>
      <c r="G1636" t="inlineStr">
        <is>
          <t>EMMABODA</t>
        </is>
      </c>
      <c r="I1636" t="n">
        <v>11.3</v>
      </c>
      <c r="J1636" t="n">
        <v>0</v>
      </c>
      <c r="K1636" t="n">
        <v>0</v>
      </c>
      <c r="L1636" t="n">
        <v>0</v>
      </c>
      <c r="M1636" t="n">
        <v>0</v>
      </c>
      <c r="N1636" t="n">
        <v>0</v>
      </c>
      <c r="O1636" t="n">
        <v>0</v>
      </c>
      <c r="P1636" t="n">
        <v>0</v>
      </c>
      <c r="Q1636" t="n">
        <v>0</v>
      </c>
      <c r="R1636" t="n">
        <v>0</v>
      </c>
      <c r="S1636" t="n">
        <v>0</v>
      </c>
      <c r="T1636" t="n">
        <v>0</v>
      </c>
      <c r="U1636" t="n">
        <v>0</v>
      </c>
      <c r="V1636" s="2" t="inlineStr"/>
    </row>
    <row r="1637" ht="15" customHeight="1">
      <c r="A1637" t="inlineStr">
        <is>
          <t>A 28034-2022</t>
        </is>
      </c>
      <c r="B1637" t="inlineStr">
        <is>
          <t>avverkningsanmälan</t>
        </is>
      </c>
      <c r="C1637" t="inlineStr">
        <is>
          <t>Föryngringsavverkning</t>
        </is>
      </c>
      <c r="D1637" s="1" t="n">
        <v>44746</v>
      </c>
      <c r="E1637" s="1" t="n">
        <v>46323</v>
      </c>
      <c r="F1637" t="inlineStr">
        <is>
          <t>KALMAR LÄN</t>
        </is>
      </c>
      <c r="G1637" t="inlineStr">
        <is>
          <t>VIMMERBY</t>
        </is>
      </c>
      <c r="I1637" t="n">
        <v>2</v>
      </c>
      <c r="J1637" t="n">
        <v>0</v>
      </c>
      <c r="K1637" t="n">
        <v>0</v>
      </c>
      <c r="L1637" t="n">
        <v>0</v>
      </c>
      <c r="M1637" t="n">
        <v>0</v>
      </c>
      <c r="N1637" t="n">
        <v>0</v>
      </c>
      <c r="O1637" t="n">
        <v>0</v>
      </c>
      <c r="P1637" t="n">
        <v>0</v>
      </c>
      <c r="Q1637" t="n">
        <v>0</v>
      </c>
      <c r="R1637" t="n">
        <v>0</v>
      </c>
      <c r="S1637" t="n">
        <v>0</v>
      </c>
      <c r="T1637" t="n">
        <v>0</v>
      </c>
      <c r="U1637" t="n">
        <v>0</v>
      </c>
      <c r="V1637" s="2" t="inlineStr"/>
    </row>
    <row r="1638" ht="15" customHeight="1">
      <c r="A1638" t="inlineStr">
        <is>
          <t>A 5899-2025</t>
        </is>
      </c>
      <c r="B1638" t="inlineStr">
        <is>
          <t>avverkningsanmälan</t>
        </is>
      </c>
      <c r="C1638" t="inlineStr">
        <is>
          <t>Föryngringsavverkning</t>
        </is>
      </c>
      <c r="D1638" s="1" t="n">
        <v>45695</v>
      </c>
      <c r="E1638" s="1" t="n">
        <v>46323</v>
      </c>
      <c r="F1638" t="inlineStr">
        <is>
          <t>KALMAR LÄN</t>
        </is>
      </c>
      <c r="G1638" t="inlineStr">
        <is>
          <t>OSKARSHAMN</t>
        </is>
      </c>
      <c r="I1638" t="n">
        <v>3.4</v>
      </c>
      <c r="J1638" t="n">
        <v>0</v>
      </c>
      <c r="K1638" t="n">
        <v>0</v>
      </c>
      <c r="L1638" t="n">
        <v>0</v>
      </c>
      <c r="M1638" t="n">
        <v>0</v>
      </c>
      <c r="N1638" t="n">
        <v>0</v>
      </c>
      <c r="O1638" t="n">
        <v>0</v>
      </c>
      <c r="P1638" t="n">
        <v>0</v>
      </c>
      <c r="Q1638" t="n">
        <v>0</v>
      </c>
      <c r="R1638" t="n">
        <v>0</v>
      </c>
      <c r="S1638" t="n">
        <v>0</v>
      </c>
      <c r="T1638" t="n">
        <v>0</v>
      </c>
      <c r="U1638" t="n">
        <v>0</v>
      </c>
      <c r="V1638" s="2" t="inlineStr"/>
    </row>
    <row r="1639" ht="15" customHeight="1">
      <c r="A1639" t="inlineStr">
        <is>
          <t>A 5900-2025</t>
        </is>
      </c>
      <c r="B1639" t="inlineStr">
        <is>
          <t>avverkningsanmälan</t>
        </is>
      </c>
      <c r="C1639" t="inlineStr">
        <is>
          <t>Föryngringsavverkning</t>
        </is>
      </c>
      <c r="D1639" s="1" t="n">
        <v>45695</v>
      </c>
      <c r="E1639" s="1" t="n">
        <v>46323</v>
      </c>
      <c r="F1639" t="inlineStr">
        <is>
          <t>KALMAR LÄN</t>
        </is>
      </c>
      <c r="G1639" t="inlineStr">
        <is>
          <t>OSKARSHAMN</t>
        </is>
      </c>
      <c r="I1639" t="n">
        <v>0.6</v>
      </c>
      <c r="J1639" t="n">
        <v>0</v>
      </c>
      <c r="K1639" t="n">
        <v>0</v>
      </c>
      <c r="L1639" t="n">
        <v>0</v>
      </c>
      <c r="M1639" t="n">
        <v>0</v>
      </c>
      <c r="N1639" t="n">
        <v>0</v>
      </c>
      <c r="O1639" t="n">
        <v>0</v>
      </c>
      <c r="P1639" t="n">
        <v>0</v>
      </c>
      <c r="Q1639" t="n">
        <v>0</v>
      </c>
      <c r="R1639" t="n">
        <v>0</v>
      </c>
      <c r="S1639" t="n">
        <v>0</v>
      </c>
      <c r="T1639" t="n">
        <v>0</v>
      </c>
      <c r="U1639" t="n">
        <v>0</v>
      </c>
      <c r="V1639" s="2" t="inlineStr"/>
    </row>
    <row r="1640" ht="15" customHeight="1">
      <c r="A1640" t="inlineStr">
        <is>
          <t>A 5928-2025</t>
        </is>
      </c>
      <c r="B1640" t="inlineStr">
        <is>
          <t>avverkningsanmälan</t>
        </is>
      </c>
      <c r="C1640" t="inlineStr">
        <is>
          <t>Föryngringsavverkning</t>
        </is>
      </c>
      <c r="D1640" s="1" t="n">
        <v>45695</v>
      </c>
      <c r="E1640" s="1" t="n">
        <v>46323</v>
      </c>
      <c r="F1640" t="inlineStr">
        <is>
          <t>KALMAR LÄN</t>
        </is>
      </c>
      <c r="G1640" t="inlineStr">
        <is>
          <t>NYBRO</t>
        </is>
      </c>
      <c r="I1640" t="n">
        <v>1.1</v>
      </c>
      <c r="J1640" t="n">
        <v>0</v>
      </c>
      <c r="K1640" t="n">
        <v>0</v>
      </c>
      <c r="L1640" t="n">
        <v>0</v>
      </c>
      <c r="M1640" t="n">
        <v>0</v>
      </c>
      <c r="N1640" t="n">
        <v>0</v>
      </c>
      <c r="O1640" t="n">
        <v>0</v>
      </c>
      <c r="P1640" t="n">
        <v>0</v>
      </c>
      <c r="Q1640" t="n">
        <v>0</v>
      </c>
      <c r="R1640" t="n">
        <v>0</v>
      </c>
      <c r="S1640" t="n">
        <v>0</v>
      </c>
      <c r="T1640" t="n">
        <v>0</v>
      </c>
      <c r="U1640" t="n">
        <v>0</v>
      </c>
      <c r="V1640" s="2" t="inlineStr"/>
    </row>
    <row r="1641" ht="15" customHeight="1">
      <c r="A1641" t="inlineStr">
        <is>
          <t>A 6815-2025</t>
        </is>
      </c>
      <c r="B1641" t="inlineStr">
        <is>
          <t>avverkningsanmälan</t>
        </is>
      </c>
      <c r="C1641" t="inlineStr">
        <is>
          <t>Föryngringsavverkning</t>
        </is>
      </c>
      <c r="D1641" s="1" t="n">
        <v>45700</v>
      </c>
      <c r="E1641" s="1" t="n">
        <v>46323</v>
      </c>
      <c r="F1641" t="inlineStr">
        <is>
          <t>KALMAR LÄN</t>
        </is>
      </c>
      <c r="G1641" t="inlineStr">
        <is>
          <t>OSKARSHAMN</t>
        </is>
      </c>
      <c r="I1641" t="n">
        <v>1.4</v>
      </c>
      <c r="J1641" t="n">
        <v>0</v>
      </c>
      <c r="K1641" t="n">
        <v>0</v>
      </c>
      <c r="L1641" t="n">
        <v>0</v>
      </c>
      <c r="M1641" t="n">
        <v>0</v>
      </c>
      <c r="N1641" t="n">
        <v>0</v>
      </c>
      <c r="O1641" t="n">
        <v>0</v>
      </c>
      <c r="P1641" t="n">
        <v>0</v>
      </c>
      <c r="Q1641" t="n">
        <v>0</v>
      </c>
      <c r="R1641" t="n">
        <v>0</v>
      </c>
      <c r="S1641" t="n">
        <v>0</v>
      </c>
      <c r="T1641" t="n">
        <v>0</v>
      </c>
      <c r="U1641" t="n">
        <v>0</v>
      </c>
      <c r="V1641" s="2" t="inlineStr"/>
    </row>
    <row r="1642" ht="15" customHeight="1">
      <c r="A1642" t="inlineStr">
        <is>
          <t>A 51461-2022</t>
        </is>
      </c>
      <c r="B1642" t="inlineStr">
        <is>
          <t>avverkningsanmälan</t>
        </is>
      </c>
      <c r="C1642" t="inlineStr">
        <is>
          <t>Föryngringsavverkning</t>
        </is>
      </c>
      <c r="D1642" s="1" t="n">
        <v>44869</v>
      </c>
      <c r="E1642" s="1" t="n">
        <v>46323</v>
      </c>
      <c r="F1642" t="inlineStr">
        <is>
          <t>KALMAR LÄN</t>
        </is>
      </c>
      <c r="G1642" t="inlineStr">
        <is>
          <t>OSKARSHAMN</t>
        </is>
      </c>
      <c r="I1642" t="n">
        <v>3.9</v>
      </c>
      <c r="J1642" t="n">
        <v>0</v>
      </c>
      <c r="K1642" t="n">
        <v>0</v>
      </c>
      <c r="L1642" t="n">
        <v>0</v>
      </c>
      <c r="M1642" t="n">
        <v>0</v>
      </c>
      <c r="N1642" t="n">
        <v>0</v>
      </c>
      <c r="O1642" t="n">
        <v>0</v>
      </c>
      <c r="P1642" t="n">
        <v>0</v>
      </c>
      <c r="Q1642" t="n">
        <v>0</v>
      </c>
      <c r="R1642" t="n">
        <v>0</v>
      </c>
      <c r="S1642" t="n">
        <v>0</v>
      </c>
      <c r="T1642" t="n">
        <v>0</v>
      </c>
      <c r="U1642" t="n">
        <v>0</v>
      </c>
      <c r="V1642" s="2" t="inlineStr"/>
    </row>
    <row r="1643" ht="15" customHeight="1">
      <c r="A1643" t="inlineStr">
        <is>
          <t>A 40242-2022</t>
        </is>
      </c>
      <c r="B1643" t="inlineStr">
        <is>
          <t>avverkningsanmälan</t>
        </is>
      </c>
      <c r="C1643" t="inlineStr">
        <is>
          <t>Föryngringsavverkning</t>
        </is>
      </c>
      <c r="D1643" s="1" t="n">
        <v>44820</v>
      </c>
      <c r="E1643" s="1" t="n">
        <v>46323</v>
      </c>
      <c r="F1643" t="inlineStr">
        <is>
          <t>KALMAR LÄN</t>
        </is>
      </c>
      <c r="G1643" t="inlineStr">
        <is>
          <t>MÖNSTERÅS</t>
        </is>
      </c>
      <c r="I1643" t="n">
        <v>0.2</v>
      </c>
      <c r="J1643" t="n">
        <v>0</v>
      </c>
      <c r="K1643" t="n">
        <v>0</v>
      </c>
      <c r="L1643" t="n">
        <v>0</v>
      </c>
      <c r="M1643" t="n">
        <v>0</v>
      </c>
      <c r="N1643" t="n">
        <v>0</v>
      </c>
      <c r="O1643" t="n">
        <v>0</v>
      </c>
      <c r="P1643" t="n">
        <v>0</v>
      </c>
      <c r="Q1643" t="n">
        <v>0</v>
      </c>
      <c r="R1643" t="n">
        <v>0</v>
      </c>
      <c r="S1643" t="n">
        <v>0</v>
      </c>
      <c r="T1643" t="n">
        <v>0</v>
      </c>
      <c r="U1643" t="n">
        <v>0</v>
      </c>
      <c r="V1643" s="2" t="inlineStr"/>
    </row>
    <row r="1644" ht="15" customHeight="1">
      <c r="A1644" t="inlineStr">
        <is>
          <t>A 48365-2022</t>
        </is>
      </c>
      <c r="B1644" t="inlineStr">
        <is>
          <t>avverkningsanmälan</t>
        </is>
      </c>
      <c r="C1644" t="inlineStr">
        <is>
          <t>Föryngringsavverkning</t>
        </is>
      </c>
      <c r="D1644" s="1" t="n">
        <v>44858</v>
      </c>
      <c r="E1644" s="1" t="n">
        <v>46323</v>
      </c>
      <c r="F1644" t="inlineStr">
        <is>
          <t>KALMAR LÄN</t>
        </is>
      </c>
      <c r="G1644" t="inlineStr">
        <is>
          <t>KALMAR</t>
        </is>
      </c>
      <c r="I1644" t="n">
        <v>1.1</v>
      </c>
      <c r="J1644" t="n">
        <v>0</v>
      </c>
      <c r="K1644" t="n">
        <v>0</v>
      </c>
      <c r="L1644" t="n">
        <v>0</v>
      </c>
      <c r="M1644" t="n">
        <v>0</v>
      </c>
      <c r="N1644" t="n">
        <v>0</v>
      </c>
      <c r="O1644" t="n">
        <v>0</v>
      </c>
      <c r="P1644" t="n">
        <v>0</v>
      </c>
      <c r="Q1644" t="n">
        <v>0</v>
      </c>
      <c r="R1644" t="n">
        <v>0</v>
      </c>
      <c r="S1644" t="n">
        <v>0</v>
      </c>
      <c r="T1644" t="n">
        <v>0</v>
      </c>
      <c r="U1644" t="n">
        <v>0</v>
      </c>
      <c r="V1644" s="2" t="inlineStr"/>
    </row>
    <row r="1645" ht="15" customHeight="1">
      <c r="A1645" t="inlineStr">
        <is>
          <t>A 24984-2023</t>
        </is>
      </c>
      <c r="B1645" t="inlineStr">
        <is>
          <t>avverkningsanmälan</t>
        </is>
      </c>
      <c r="C1645" t="inlineStr">
        <is>
          <t>Föryngringsavverkning</t>
        </is>
      </c>
      <c r="D1645" s="1" t="n">
        <v>45085</v>
      </c>
      <c r="E1645" s="1" t="n">
        <v>46323</v>
      </c>
      <c r="F1645" t="inlineStr">
        <is>
          <t>KALMAR LÄN</t>
        </is>
      </c>
      <c r="G1645" t="inlineStr">
        <is>
          <t>MÖNSTERÅS</t>
        </is>
      </c>
      <c r="I1645" t="n">
        <v>7.5</v>
      </c>
      <c r="J1645" t="n">
        <v>0</v>
      </c>
      <c r="K1645" t="n">
        <v>0</v>
      </c>
      <c r="L1645" t="n">
        <v>0</v>
      </c>
      <c r="M1645" t="n">
        <v>0</v>
      </c>
      <c r="N1645" t="n">
        <v>0</v>
      </c>
      <c r="O1645" t="n">
        <v>0</v>
      </c>
      <c r="P1645" t="n">
        <v>0</v>
      </c>
      <c r="Q1645" t="n">
        <v>0</v>
      </c>
      <c r="R1645" t="n">
        <v>0</v>
      </c>
      <c r="S1645" t="n">
        <v>0</v>
      </c>
      <c r="T1645" t="n">
        <v>0</v>
      </c>
      <c r="U1645" t="n">
        <v>0</v>
      </c>
      <c r="V1645" s="2" t="inlineStr"/>
    </row>
    <row r="1646" ht="15" customHeight="1">
      <c r="A1646" t="inlineStr">
        <is>
          <t>A 23580-2023</t>
        </is>
      </c>
      <c r="B1646" t="inlineStr">
        <is>
          <t>avverkningsanmälan</t>
        </is>
      </c>
      <c r="C1646" t="inlineStr">
        <is>
          <t>Föryngringsavverkning</t>
        </is>
      </c>
      <c r="D1646" s="1" t="n">
        <v>45077</v>
      </c>
      <c r="E1646" s="1" t="n">
        <v>46323</v>
      </c>
      <c r="F1646" t="inlineStr">
        <is>
          <t>KALMAR LÄN</t>
        </is>
      </c>
      <c r="G1646" t="inlineStr">
        <is>
          <t>VÄSTERVIK</t>
        </is>
      </c>
      <c r="I1646" t="n">
        <v>1.9</v>
      </c>
      <c r="J1646" t="n">
        <v>0</v>
      </c>
      <c r="K1646" t="n">
        <v>0</v>
      </c>
      <c r="L1646" t="n">
        <v>0</v>
      </c>
      <c r="M1646" t="n">
        <v>0</v>
      </c>
      <c r="N1646" t="n">
        <v>0</v>
      </c>
      <c r="O1646" t="n">
        <v>0</v>
      </c>
      <c r="P1646" t="n">
        <v>0</v>
      </c>
      <c r="Q1646" t="n">
        <v>0</v>
      </c>
      <c r="R1646" t="n">
        <v>0</v>
      </c>
      <c r="S1646" t="n">
        <v>0</v>
      </c>
      <c r="T1646" t="n">
        <v>0</v>
      </c>
      <c r="U1646" t="n">
        <v>0</v>
      </c>
      <c r="V1646" s="2" t="inlineStr"/>
    </row>
    <row r="1647" ht="15" customHeight="1">
      <c r="A1647" t="inlineStr">
        <is>
          <t>A 22488-2022</t>
        </is>
      </c>
      <c r="B1647" t="inlineStr">
        <is>
          <t>avverkningsanmälan</t>
        </is>
      </c>
      <c r="C1647" t="inlineStr">
        <is>
          <t>Föryngringsavverkning</t>
        </is>
      </c>
      <c r="D1647" s="1" t="n">
        <v>44713</v>
      </c>
      <c r="E1647" s="1" t="n">
        <v>46323</v>
      </c>
      <c r="F1647" t="inlineStr">
        <is>
          <t>KALMAR LÄN</t>
        </is>
      </c>
      <c r="G1647" t="inlineStr">
        <is>
          <t>NYBRO</t>
        </is>
      </c>
      <c r="I1647" t="n">
        <v>1.2</v>
      </c>
      <c r="J1647" t="n">
        <v>0</v>
      </c>
      <c r="K1647" t="n">
        <v>0</v>
      </c>
      <c r="L1647" t="n">
        <v>0</v>
      </c>
      <c r="M1647" t="n">
        <v>0</v>
      </c>
      <c r="N1647" t="n">
        <v>0</v>
      </c>
      <c r="O1647" t="n">
        <v>0</v>
      </c>
      <c r="P1647" t="n">
        <v>0</v>
      </c>
      <c r="Q1647" t="n">
        <v>0</v>
      </c>
      <c r="R1647" t="n">
        <v>0</v>
      </c>
      <c r="S1647" t="n">
        <v>0</v>
      </c>
      <c r="T1647" t="n">
        <v>0</v>
      </c>
      <c r="U1647" t="n">
        <v>0</v>
      </c>
      <c r="V1647" s="2" t="inlineStr"/>
    </row>
    <row r="1648" ht="15" customHeight="1">
      <c r="A1648" t="inlineStr">
        <is>
          <t>A 22543-2022</t>
        </is>
      </c>
      <c r="B1648" t="inlineStr">
        <is>
          <t>avverkningsanmälan</t>
        </is>
      </c>
      <c r="C1648" t="inlineStr">
        <is>
          <t>Föryngringsavverkning</t>
        </is>
      </c>
      <c r="D1648" s="1" t="n">
        <v>44713</v>
      </c>
      <c r="E1648" s="1" t="n">
        <v>46323</v>
      </c>
      <c r="F1648" t="inlineStr">
        <is>
          <t>KALMAR LÄN</t>
        </is>
      </c>
      <c r="G1648" t="inlineStr">
        <is>
          <t>OSKARSHAMN</t>
        </is>
      </c>
      <c r="I1648" t="n">
        <v>6.2</v>
      </c>
      <c r="J1648" t="n">
        <v>0</v>
      </c>
      <c r="K1648" t="n">
        <v>0</v>
      </c>
      <c r="L1648" t="n">
        <v>0</v>
      </c>
      <c r="M1648" t="n">
        <v>0</v>
      </c>
      <c r="N1648" t="n">
        <v>0</v>
      </c>
      <c r="O1648" t="n">
        <v>0</v>
      </c>
      <c r="P1648" t="n">
        <v>0</v>
      </c>
      <c r="Q1648" t="n">
        <v>0</v>
      </c>
      <c r="R1648" t="n">
        <v>0</v>
      </c>
      <c r="S1648" t="n">
        <v>0</v>
      </c>
      <c r="T1648" t="n">
        <v>0</v>
      </c>
      <c r="U1648" t="n">
        <v>0</v>
      </c>
      <c r="V1648" s="2" t="inlineStr"/>
    </row>
    <row r="1649" ht="15" customHeight="1">
      <c r="A1649" t="inlineStr">
        <is>
          <t>A 31860-2022</t>
        </is>
      </c>
      <c r="B1649" t="inlineStr">
        <is>
          <t>avverkningsanmälan</t>
        </is>
      </c>
      <c r="C1649" t="inlineStr">
        <is>
          <t>Föryngringsavverkning</t>
        </is>
      </c>
      <c r="D1649" s="1" t="n">
        <v>44777</v>
      </c>
      <c r="E1649" s="1" t="n">
        <v>46323</v>
      </c>
      <c r="F1649" t="inlineStr">
        <is>
          <t>KALMAR LÄN</t>
        </is>
      </c>
      <c r="G1649" t="inlineStr">
        <is>
          <t>EMMABODA</t>
        </is>
      </c>
      <c r="I1649" t="n">
        <v>0.9</v>
      </c>
      <c r="J1649" t="n">
        <v>0</v>
      </c>
      <c r="K1649" t="n">
        <v>0</v>
      </c>
      <c r="L1649" t="n">
        <v>0</v>
      </c>
      <c r="M1649" t="n">
        <v>0</v>
      </c>
      <c r="N1649" t="n">
        <v>0</v>
      </c>
      <c r="O1649" t="n">
        <v>0</v>
      </c>
      <c r="P1649" t="n">
        <v>0</v>
      </c>
      <c r="Q1649" t="n">
        <v>0</v>
      </c>
      <c r="R1649" t="n">
        <v>0</v>
      </c>
      <c r="S1649" t="n">
        <v>0</v>
      </c>
      <c r="T1649" t="n">
        <v>0</v>
      </c>
      <c r="U1649" t="n">
        <v>0</v>
      </c>
      <c r="V1649" s="2" t="inlineStr"/>
    </row>
    <row r="1650" ht="15" customHeight="1">
      <c r="A1650" t="inlineStr">
        <is>
          <t>A 21916-2022</t>
        </is>
      </c>
      <c r="B1650" t="inlineStr">
        <is>
          <t>avverkningsanmälan</t>
        </is>
      </c>
      <c r="C1650" t="inlineStr">
        <is>
          <t>Föryngringsavverkning</t>
        </is>
      </c>
      <c r="D1650" s="1" t="n">
        <v>44711</v>
      </c>
      <c r="E1650" s="1" t="n">
        <v>46323</v>
      </c>
      <c r="F1650" t="inlineStr">
        <is>
          <t>KALMAR LÄN</t>
        </is>
      </c>
      <c r="G1650" t="inlineStr">
        <is>
          <t>OSKARSHAMN</t>
        </is>
      </c>
      <c r="I1650" t="n">
        <v>1.4</v>
      </c>
      <c r="J1650" t="n">
        <v>0</v>
      </c>
      <c r="K1650" t="n">
        <v>0</v>
      </c>
      <c r="L1650" t="n">
        <v>0</v>
      </c>
      <c r="M1650" t="n">
        <v>0</v>
      </c>
      <c r="N1650" t="n">
        <v>0</v>
      </c>
      <c r="O1650" t="n">
        <v>0</v>
      </c>
      <c r="P1650" t="n">
        <v>0</v>
      </c>
      <c r="Q1650" t="n">
        <v>0</v>
      </c>
      <c r="R1650" t="n">
        <v>0</v>
      </c>
      <c r="S1650" t="n">
        <v>0</v>
      </c>
      <c r="T1650" t="n">
        <v>0</v>
      </c>
      <c r="U1650" t="n">
        <v>0</v>
      </c>
      <c r="V1650" s="2" t="inlineStr"/>
    </row>
    <row r="1651" ht="15" customHeight="1">
      <c r="A1651" t="inlineStr">
        <is>
          <t>A 14030-2022</t>
        </is>
      </c>
      <c r="B1651" t="inlineStr">
        <is>
          <t>avverkningsanmälan</t>
        </is>
      </c>
      <c r="C1651" t="inlineStr">
        <is>
          <t>Föryngringsavverkning</t>
        </is>
      </c>
      <c r="D1651" s="1" t="n">
        <v>44650</v>
      </c>
      <c r="E1651" s="1" t="n">
        <v>46323</v>
      </c>
      <c r="F1651" t="inlineStr">
        <is>
          <t>KALMAR LÄN</t>
        </is>
      </c>
      <c r="G1651" t="inlineStr">
        <is>
          <t>NYBRO</t>
        </is>
      </c>
      <c r="I1651" t="n">
        <v>0.7</v>
      </c>
      <c r="J1651" t="n">
        <v>0</v>
      </c>
      <c r="K1651" t="n">
        <v>0</v>
      </c>
      <c r="L1651" t="n">
        <v>0</v>
      </c>
      <c r="M1651" t="n">
        <v>0</v>
      </c>
      <c r="N1651" t="n">
        <v>0</v>
      </c>
      <c r="O1651" t="n">
        <v>0</v>
      </c>
      <c r="P1651" t="n">
        <v>0</v>
      </c>
      <c r="Q1651" t="n">
        <v>0</v>
      </c>
      <c r="R1651" t="n">
        <v>0</v>
      </c>
      <c r="S1651" t="n">
        <v>0</v>
      </c>
      <c r="T1651" t="n">
        <v>0</v>
      </c>
      <c r="U1651" t="n">
        <v>0</v>
      </c>
      <c r="V1651" s="2" t="inlineStr"/>
    </row>
    <row r="1652" ht="15" customHeight="1">
      <c r="A1652" t="inlineStr">
        <is>
          <t>A 15875-2022</t>
        </is>
      </c>
      <c r="B1652" t="inlineStr">
        <is>
          <t>avverkningsanmälan</t>
        </is>
      </c>
      <c r="C1652" t="inlineStr">
        <is>
          <t>Föryngringsavverkning</t>
        </is>
      </c>
      <c r="D1652" s="1" t="n">
        <v>44664</v>
      </c>
      <c r="E1652" s="1" t="n">
        <v>46323</v>
      </c>
      <c r="F1652" t="inlineStr">
        <is>
          <t>KALMAR LÄN</t>
        </is>
      </c>
      <c r="G1652" t="inlineStr">
        <is>
          <t>OSKARSHAMN</t>
        </is>
      </c>
      <c r="I1652" t="n">
        <v>1.6</v>
      </c>
      <c r="J1652" t="n">
        <v>0</v>
      </c>
      <c r="K1652" t="n">
        <v>0</v>
      </c>
      <c r="L1652" t="n">
        <v>0</v>
      </c>
      <c r="M1652" t="n">
        <v>0</v>
      </c>
      <c r="N1652" t="n">
        <v>0</v>
      </c>
      <c r="O1652" t="n">
        <v>0</v>
      </c>
      <c r="P1652" t="n">
        <v>0</v>
      </c>
      <c r="Q1652" t="n">
        <v>0</v>
      </c>
      <c r="R1652" t="n">
        <v>0</v>
      </c>
      <c r="S1652" t="n">
        <v>0</v>
      </c>
      <c r="T1652" t="n">
        <v>0</v>
      </c>
      <c r="U1652" t="n">
        <v>0</v>
      </c>
      <c r="V1652" s="2" t="inlineStr"/>
    </row>
    <row r="1653" ht="15" customHeight="1">
      <c r="A1653" t="inlineStr">
        <is>
          <t>A 5666-2023</t>
        </is>
      </c>
      <c r="B1653" t="inlineStr">
        <is>
          <t>avverkningsanmälan</t>
        </is>
      </c>
      <c r="C1653" t="inlineStr">
        <is>
          <t>Föryngringsavverkning</t>
        </is>
      </c>
      <c r="D1653" s="1" t="n">
        <v>44960</v>
      </c>
      <c r="E1653" s="1" t="n">
        <v>46323</v>
      </c>
      <c r="F1653" t="inlineStr">
        <is>
          <t>KALMAR LÄN</t>
        </is>
      </c>
      <c r="G1653" t="inlineStr">
        <is>
          <t>EMMABODA</t>
        </is>
      </c>
      <c r="I1653" t="n">
        <v>2.8</v>
      </c>
      <c r="J1653" t="n">
        <v>0</v>
      </c>
      <c r="K1653" t="n">
        <v>0</v>
      </c>
      <c r="L1653" t="n">
        <v>0</v>
      </c>
      <c r="M1653" t="n">
        <v>0</v>
      </c>
      <c r="N1653" t="n">
        <v>0</v>
      </c>
      <c r="O1653" t="n">
        <v>0</v>
      </c>
      <c r="P1653" t="n">
        <v>0</v>
      </c>
      <c r="Q1653" t="n">
        <v>0</v>
      </c>
      <c r="R1653" t="n">
        <v>0</v>
      </c>
      <c r="S1653" t="n">
        <v>0</v>
      </c>
      <c r="T1653" t="n">
        <v>0</v>
      </c>
      <c r="U1653" t="n">
        <v>0</v>
      </c>
      <c r="V1653" s="2" t="inlineStr"/>
    </row>
    <row r="1654" ht="15" customHeight="1">
      <c r="A1654" t="inlineStr">
        <is>
          <t>A 11584-2023</t>
        </is>
      </c>
      <c r="B1654" t="inlineStr">
        <is>
          <t>avverkningsanmälan</t>
        </is>
      </c>
      <c r="C1654" t="inlineStr">
        <is>
          <t>Föryngringsavverkning</t>
        </is>
      </c>
      <c r="D1654" s="1" t="n">
        <v>44994</v>
      </c>
      <c r="E1654" s="1" t="n">
        <v>46323</v>
      </c>
      <c r="F1654" t="inlineStr">
        <is>
          <t>KALMAR LÄN</t>
        </is>
      </c>
      <c r="G1654" t="inlineStr">
        <is>
          <t>VÄSTERVIK</t>
        </is>
      </c>
      <c r="I1654" t="n">
        <v>1</v>
      </c>
      <c r="J1654" t="n">
        <v>0</v>
      </c>
      <c r="K1654" t="n">
        <v>0</v>
      </c>
      <c r="L1654" t="n">
        <v>0</v>
      </c>
      <c r="M1654" t="n">
        <v>0</v>
      </c>
      <c r="N1654" t="n">
        <v>0</v>
      </c>
      <c r="O1654" t="n">
        <v>0</v>
      </c>
      <c r="P1654" t="n">
        <v>0</v>
      </c>
      <c r="Q1654" t="n">
        <v>0</v>
      </c>
      <c r="R1654" t="n">
        <v>0</v>
      </c>
      <c r="S1654" t="n">
        <v>0</v>
      </c>
      <c r="T1654" t="n">
        <v>0</v>
      </c>
      <c r="U1654" t="n">
        <v>0</v>
      </c>
      <c r="V1654" s="2" t="inlineStr"/>
    </row>
    <row r="1655" ht="15" customHeight="1">
      <c r="A1655" t="inlineStr">
        <is>
          <t>A 11645-2023</t>
        </is>
      </c>
      <c r="B1655" t="inlineStr">
        <is>
          <t>avverkningsanmälan</t>
        </is>
      </c>
      <c r="C1655" t="inlineStr">
        <is>
          <t>Föryngringsavverkning</t>
        </is>
      </c>
      <c r="D1655" s="1" t="n">
        <v>44994</v>
      </c>
      <c r="E1655" s="1" t="n">
        <v>46323</v>
      </c>
      <c r="F1655" t="inlineStr">
        <is>
          <t>KALMAR LÄN</t>
        </is>
      </c>
      <c r="G1655" t="inlineStr">
        <is>
          <t>HULTSFRED</t>
        </is>
      </c>
      <c r="I1655" t="n">
        <v>1.1</v>
      </c>
      <c r="J1655" t="n">
        <v>0</v>
      </c>
      <c r="K1655" t="n">
        <v>0</v>
      </c>
      <c r="L1655" t="n">
        <v>0</v>
      </c>
      <c r="M1655" t="n">
        <v>0</v>
      </c>
      <c r="N1655" t="n">
        <v>0</v>
      </c>
      <c r="O1655" t="n">
        <v>0</v>
      </c>
      <c r="P1655" t="n">
        <v>0</v>
      </c>
      <c r="Q1655" t="n">
        <v>0</v>
      </c>
      <c r="R1655" t="n">
        <v>0</v>
      </c>
      <c r="S1655" t="n">
        <v>0</v>
      </c>
      <c r="T1655" t="n">
        <v>0</v>
      </c>
      <c r="U1655" t="n">
        <v>0</v>
      </c>
      <c r="V1655" s="2" t="inlineStr"/>
    </row>
    <row r="1656" ht="15" customHeight="1">
      <c r="A1656" t="inlineStr">
        <is>
          <t>A 50691-2022</t>
        </is>
      </c>
      <c r="B1656" t="inlineStr">
        <is>
          <t>avverkningsanmälan</t>
        </is>
      </c>
      <c r="C1656" t="inlineStr">
        <is>
          <t>Föryngringsavverkning</t>
        </is>
      </c>
      <c r="D1656" s="1" t="n">
        <v>44867</v>
      </c>
      <c r="E1656" s="1" t="n">
        <v>46323</v>
      </c>
      <c r="F1656" t="inlineStr">
        <is>
          <t>KALMAR LÄN</t>
        </is>
      </c>
      <c r="G1656" t="inlineStr">
        <is>
          <t>VÄSTERVIK</t>
        </is>
      </c>
      <c r="I1656" t="n">
        <v>0.7</v>
      </c>
      <c r="J1656" t="n">
        <v>0</v>
      </c>
      <c r="K1656" t="n">
        <v>0</v>
      </c>
      <c r="L1656" t="n">
        <v>0</v>
      </c>
      <c r="M1656" t="n">
        <v>0</v>
      </c>
      <c r="N1656" t="n">
        <v>0</v>
      </c>
      <c r="O1656" t="n">
        <v>0</v>
      </c>
      <c r="P1656" t="n">
        <v>0</v>
      </c>
      <c r="Q1656" t="n">
        <v>0</v>
      </c>
      <c r="R1656" t="n">
        <v>0</v>
      </c>
      <c r="S1656" t="n">
        <v>0</v>
      </c>
      <c r="T1656" t="n">
        <v>0</v>
      </c>
      <c r="U1656" t="n">
        <v>0</v>
      </c>
      <c r="V1656" s="2" t="inlineStr"/>
    </row>
    <row r="1657" ht="15" customHeight="1">
      <c r="A1657" t="inlineStr">
        <is>
          <t>A 15021-2025</t>
        </is>
      </c>
      <c r="B1657" t="inlineStr">
        <is>
          <t>avverkningsanmälan</t>
        </is>
      </c>
      <c r="C1657" t="inlineStr">
        <is>
          <t>Föryngringsavverkning</t>
        </is>
      </c>
      <c r="D1657" s="1" t="n">
        <v>45743</v>
      </c>
      <c r="E1657" s="1" t="n">
        <v>46323</v>
      </c>
      <c r="F1657" t="inlineStr">
        <is>
          <t>KALMAR LÄN</t>
        </is>
      </c>
      <c r="G1657" t="inlineStr">
        <is>
          <t>VÄSTERVIK</t>
        </is>
      </c>
      <c r="I1657" t="n">
        <v>0.5</v>
      </c>
      <c r="J1657" t="n">
        <v>0</v>
      </c>
      <c r="K1657" t="n">
        <v>0</v>
      </c>
      <c r="L1657" t="n">
        <v>0</v>
      </c>
      <c r="M1657" t="n">
        <v>0</v>
      </c>
      <c r="N1657" t="n">
        <v>0</v>
      </c>
      <c r="O1657" t="n">
        <v>0</v>
      </c>
      <c r="P1657" t="n">
        <v>0</v>
      </c>
      <c r="Q1657" t="n">
        <v>0</v>
      </c>
      <c r="R1657" t="n">
        <v>0</v>
      </c>
      <c r="S1657" t="n">
        <v>0</v>
      </c>
      <c r="T1657" t="n">
        <v>0</v>
      </c>
      <c r="U1657" t="n">
        <v>0</v>
      </c>
      <c r="V1657" s="2" t="inlineStr"/>
    </row>
    <row r="1658" ht="15" customHeight="1">
      <c r="A1658" t="inlineStr">
        <is>
          <t>A 17432-2024</t>
        </is>
      </c>
      <c r="B1658" t="inlineStr">
        <is>
          <t>avverkningsanmälan</t>
        </is>
      </c>
      <c r="C1658" t="inlineStr">
        <is>
          <t>Föryngringsavverkning</t>
        </is>
      </c>
      <c r="D1658" s="1" t="n">
        <v>45415</v>
      </c>
      <c r="E1658" s="1" t="n">
        <v>46323</v>
      </c>
      <c r="F1658" t="inlineStr">
        <is>
          <t>KALMAR LÄN</t>
        </is>
      </c>
      <c r="G1658" t="inlineStr">
        <is>
          <t>NYBRO</t>
        </is>
      </c>
      <c r="I1658" t="n">
        <v>0</v>
      </c>
      <c r="J1658" t="n">
        <v>0</v>
      </c>
      <c r="K1658" t="n">
        <v>0</v>
      </c>
      <c r="L1658" t="n">
        <v>0</v>
      </c>
      <c r="M1658" t="n">
        <v>0</v>
      </c>
      <c r="N1658" t="n">
        <v>0</v>
      </c>
      <c r="O1658" t="n">
        <v>0</v>
      </c>
      <c r="P1658" t="n">
        <v>0</v>
      </c>
      <c r="Q1658" t="n">
        <v>0</v>
      </c>
      <c r="R1658" t="n">
        <v>0</v>
      </c>
      <c r="S1658" t="n">
        <v>0</v>
      </c>
      <c r="T1658" t="n">
        <v>0</v>
      </c>
      <c r="U1658" t="n">
        <v>0</v>
      </c>
      <c r="V1658" s="2" t="inlineStr"/>
    </row>
    <row r="1659" ht="15" customHeight="1">
      <c r="A1659" t="inlineStr">
        <is>
          <t>A 55605-2024</t>
        </is>
      </c>
      <c r="B1659" t="inlineStr">
        <is>
          <t>avverkningsanmälan</t>
        </is>
      </c>
      <c r="C1659" t="inlineStr">
        <is>
          <t>Föryngringsavverkning</t>
        </is>
      </c>
      <c r="D1659" s="1" t="n">
        <v>45622</v>
      </c>
      <c r="E1659" s="1" t="n">
        <v>46323</v>
      </c>
      <c r="F1659" t="inlineStr">
        <is>
          <t>KALMAR LÄN</t>
        </is>
      </c>
      <c r="G1659" t="inlineStr">
        <is>
          <t>VIMMERBY</t>
        </is>
      </c>
      <c r="I1659" t="n">
        <v>1.1</v>
      </c>
      <c r="J1659" t="n">
        <v>0</v>
      </c>
      <c r="K1659" t="n">
        <v>0</v>
      </c>
      <c r="L1659" t="n">
        <v>0</v>
      </c>
      <c r="M1659" t="n">
        <v>0</v>
      </c>
      <c r="N1659" t="n">
        <v>0</v>
      </c>
      <c r="O1659" t="n">
        <v>0</v>
      </c>
      <c r="P1659" t="n">
        <v>0</v>
      </c>
      <c r="Q1659" t="n">
        <v>0</v>
      </c>
      <c r="R1659" t="n">
        <v>0</v>
      </c>
      <c r="S1659" t="n">
        <v>0</v>
      </c>
      <c r="T1659" t="n">
        <v>0</v>
      </c>
      <c r="U1659" t="n">
        <v>0</v>
      </c>
      <c r="V1659" s="2" t="inlineStr"/>
    </row>
    <row r="1660" ht="15" customHeight="1">
      <c r="A1660" t="inlineStr">
        <is>
          <t>A 10699-2024</t>
        </is>
      </c>
      <c r="B1660" t="inlineStr">
        <is>
          <t>avverkningsanmälan</t>
        </is>
      </c>
      <c r="C1660" t="inlineStr">
        <is>
          <t>Föryngringsavverkning</t>
        </is>
      </c>
      <c r="D1660" s="1" t="n">
        <v>45369</v>
      </c>
      <c r="E1660" s="1" t="n">
        <v>46323</v>
      </c>
      <c r="F1660" t="inlineStr">
        <is>
          <t>KALMAR LÄN</t>
        </is>
      </c>
      <c r="G1660" t="inlineStr">
        <is>
          <t>EMMABODA</t>
        </is>
      </c>
      <c r="I1660" t="n">
        <v>0.5</v>
      </c>
      <c r="J1660" t="n">
        <v>0</v>
      </c>
      <c r="K1660" t="n">
        <v>0</v>
      </c>
      <c r="L1660" t="n">
        <v>0</v>
      </c>
      <c r="M1660" t="n">
        <v>0</v>
      </c>
      <c r="N1660" t="n">
        <v>0</v>
      </c>
      <c r="O1660" t="n">
        <v>0</v>
      </c>
      <c r="P1660" t="n">
        <v>0</v>
      </c>
      <c r="Q1660" t="n">
        <v>0</v>
      </c>
      <c r="R1660" t="n">
        <v>0</v>
      </c>
      <c r="S1660" t="n">
        <v>0</v>
      </c>
      <c r="T1660" t="n">
        <v>0</v>
      </c>
      <c r="U1660" t="n">
        <v>0</v>
      </c>
      <c r="V1660" s="2" t="inlineStr"/>
    </row>
    <row r="1661" ht="15" customHeight="1">
      <c r="A1661" t="inlineStr">
        <is>
          <t>A 10725-2024</t>
        </is>
      </c>
      <c r="B1661" t="inlineStr">
        <is>
          <t>avverkningsanmälan</t>
        </is>
      </c>
      <c r="C1661" t="inlineStr">
        <is>
          <t>Föryngringsavverkning</t>
        </is>
      </c>
      <c r="D1661" s="1" t="n">
        <v>45369</v>
      </c>
      <c r="E1661" s="1" t="n">
        <v>46323</v>
      </c>
      <c r="F1661" t="inlineStr">
        <is>
          <t>KALMAR LÄN</t>
        </is>
      </c>
      <c r="G1661" t="inlineStr">
        <is>
          <t>OSKARSHAMN</t>
        </is>
      </c>
      <c r="I1661" t="n">
        <v>1.9</v>
      </c>
      <c r="J1661" t="n">
        <v>0</v>
      </c>
      <c r="K1661" t="n">
        <v>0</v>
      </c>
      <c r="L1661" t="n">
        <v>0</v>
      </c>
      <c r="M1661" t="n">
        <v>0</v>
      </c>
      <c r="N1661" t="n">
        <v>0</v>
      </c>
      <c r="O1661" t="n">
        <v>0</v>
      </c>
      <c r="P1661" t="n">
        <v>0</v>
      </c>
      <c r="Q1661" t="n">
        <v>0</v>
      </c>
      <c r="R1661" t="n">
        <v>0</v>
      </c>
      <c r="S1661" t="n">
        <v>0</v>
      </c>
      <c r="T1661" t="n">
        <v>0</v>
      </c>
      <c r="U1661" t="n">
        <v>0</v>
      </c>
      <c r="V1661" s="2" t="inlineStr"/>
    </row>
    <row r="1662" ht="15" customHeight="1">
      <c r="A1662" t="inlineStr">
        <is>
          <t>A 23255-2023</t>
        </is>
      </c>
      <c r="B1662" t="inlineStr">
        <is>
          <t>avverkningsanmälan</t>
        </is>
      </c>
      <c r="C1662" t="inlineStr">
        <is>
          <t>Föryngringsavverkning</t>
        </is>
      </c>
      <c r="D1662" s="1" t="n">
        <v>45071</v>
      </c>
      <c r="E1662" s="1" t="n">
        <v>46323</v>
      </c>
      <c r="F1662" t="inlineStr">
        <is>
          <t>KALMAR LÄN</t>
        </is>
      </c>
      <c r="G1662" t="inlineStr">
        <is>
          <t>NYBRO</t>
        </is>
      </c>
      <c r="I1662" t="n">
        <v>4</v>
      </c>
      <c r="J1662" t="n">
        <v>0</v>
      </c>
      <c r="K1662" t="n">
        <v>0</v>
      </c>
      <c r="L1662" t="n">
        <v>0</v>
      </c>
      <c r="M1662" t="n">
        <v>0</v>
      </c>
      <c r="N1662" t="n">
        <v>0</v>
      </c>
      <c r="O1662" t="n">
        <v>0</v>
      </c>
      <c r="P1662" t="n">
        <v>0</v>
      </c>
      <c r="Q1662" t="n">
        <v>0</v>
      </c>
      <c r="R1662" t="n">
        <v>0</v>
      </c>
      <c r="S1662" t="n">
        <v>0</v>
      </c>
      <c r="T1662" t="n">
        <v>0</v>
      </c>
      <c r="U1662" t="n">
        <v>0</v>
      </c>
      <c r="V1662" s="2" t="inlineStr"/>
    </row>
    <row r="1663" ht="15" customHeight="1">
      <c r="A1663" t="inlineStr">
        <is>
          <t>A 49892-2024</t>
        </is>
      </c>
      <c r="B1663" t="inlineStr">
        <is>
          <t>avverkningsanmälan</t>
        </is>
      </c>
      <c r="C1663" t="inlineStr">
        <is>
          <t>Föryngringsavverkning</t>
        </is>
      </c>
      <c r="D1663" s="1" t="n">
        <v>45597</v>
      </c>
      <c r="E1663" s="1" t="n">
        <v>46323</v>
      </c>
      <c r="F1663" t="inlineStr">
        <is>
          <t>KALMAR LÄN</t>
        </is>
      </c>
      <c r="G1663" t="inlineStr">
        <is>
          <t>MÖNSTERÅS</t>
        </is>
      </c>
      <c r="I1663" t="n">
        <v>0.5</v>
      </c>
      <c r="J1663" t="n">
        <v>0</v>
      </c>
      <c r="K1663" t="n">
        <v>0</v>
      </c>
      <c r="L1663" t="n">
        <v>0</v>
      </c>
      <c r="M1663" t="n">
        <v>0</v>
      </c>
      <c r="N1663" t="n">
        <v>0</v>
      </c>
      <c r="O1663" t="n">
        <v>0</v>
      </c>
      <c r="P1663" t="n">
        <v>0</v>
      </c>
      <c r="Q1663" t="n">
        <v>0</v>
      </c>
      <c r="R1663" t="n">
        <v>0</v>
      </c>
      <c r="S1663" t="n">
        <v>0</v>
      </c>
      <c r="T1663" t="n">
        <v>0</v>
      </c>
      <c r="U1663" t="n">
        <v>0</v>
      </c>
      <c r="V1663" s="2" t="inlineStr"/>
    </row>
    <row r="1664" ht="15" customHeight="1">
      <c r="A1664" t="inlineStr">
        <is>
          <t>A 44073-2022</t>
        </is>
      </c>
      <c r="B1664" t="inlineStr">
        <is>
          <t>avverkningsanmälan</t>
        </is>
      </c>
      <c r="C1664" t="inlineStr">
        <is>
          <t>Föryngringsavverkning</t>
        </is>
      </c>
      <c r="D1664" s="1" t="n">
        <v>44839</v>
      </c>
      <c r="E1664" s="1" t="n">
        <v>46323</v>
      </c>
      <c r="F1664" t="inlineStr">
        <is>
          <t>KALMAR LÄN</t>
        </is>
      </c>
      <c r="G1664" t="inlineStr">
        <is>
          <t>NYBRO</t>
        </is>
      </c>
      <c r="I1664" t="n">
        <v>1.4</v>
      </c>
      <c r="J1664" t="n">
        <v>0</v>
      </c>
      <c r="K1664" t="n">
        <v>0</v>
      </c>
      <c r="L1664" t="n">
        <v>0</v>
      </c>
      <c r="M1664" t="n">
        <v>0</v>
      </c>
      <c r="N1664" t="n">
        <v>0</v>
      </c>
      <c r="O1664" t="n">
        <v>0</v>
      </c>
      <c r="P1664" t="n">
        <v>0</v>
      </c>
      <c r="Q1664" t="n">
        <v>0</v>
      </c>
      <c r="R1664" t="n">
        <v>0</v>
      </c>
      <c r="S1664" t="n">
        <v>0</v>
      </c>
      <c r="T1664" t="n">
        <v>0</v>
      </c>
      <c r="U1664" t="n">
        <v>0</v>
      </c>
      <c r="V1664" s="2" t="inlineStr"/>
    </row>
    <row r="1665" ht="15" customHeight="1">
      <c r="A1665" t="inlineStr">
        <is>
          <t>A 56332-2024</t>
        </is>
      </c>
      <c r="B1665" t="inlineStr">
        <is>
          <t>avverkningsanmälan</t>
        </is>
      </c>
      <c r="C1665" t="inlineStr">
        <is>
          <t>Föryngringsavverkning</t>
        </is>
      </c>
      <c r="D1665" s="1" t="n">
        <v>45624</v>
      </c>
      <c r="E1665" s="1" t="n">
        <v>46323</v>
      </c>
      <c r="F1665" t="inlineStr">
        <is>
          <t>KALMAR LÄN</t>
        </is>
      </c>
      <c r="G1665" t="inlineStr">
        <is>
          <t>HÖGSBY</t>
        </is>
      </c>
      <c r="I1665" t="n">
        <v>0.7</v>
      </c>
      <c r="J1665" t="n">
        <v>0</v>
      </c>
      <c r="K1665" t="n">
        <v>0</v>
      </c>
      <c r="L1665" t="n">
        <v>0</v>
      </c>
      <c r="M1665" t="n">
        <v>0</v>
      </c>
      <c r="N1665" t="n">
        <v>0</v>
      </c>
      <c r="O1665" t="n">
        <v>0</v>
      </c>
      <c r="P1665" t="n">
        <v>0</v>
      </c>
      <c r="Q1665" t="n">
        <v>0</v>
      </c>
      <c r="R1665" t="n">
        <v>0</v>
      </c>
      <c r="S1665" t="n">
        <v>0</v>
      </c>
      <c r="T1665" t="n">
        <v>0</v>
      </c>
      <c r="U1665" t="n">
        <v>0</v>
      </c>
      <c r="V1665" s="2" t="inlineStr"/>
    </row>
    <row r="1666" ht="15" customHeight="1">
      <c r="A1666" t="inlineStr">
        <is>
          <t>A 42165-2024</t>
        </is>
      </c>
      <c r="B1666" t="inlineStr">
        <is>
          <t>avverkningsanmälan</t>
        </is>
      </c>
      <c r="C1666" t="inlineStr">
        <is>
          <t>Föryngringsavverkning</t>
        </is>
      </c>
      <c r="D1666" s="1" t="n">
        <v>45562</v>
      </c>
      <c r="E1666" s="1" t="n">
        <v>46323</v>
      </c>
      <c r="F1666" t="inlineStr">
        <is>
          <t>KALMAR LÄN</t>
        </is>
      </c>
      <c r="G1666" t="inlineStr">
        <is>
          <t>VIMMERBY</t>
        </is>
      </c>
      <c r="I1666" t="n">
        <v>0.5</v>
      </c>
      <c r="J1666" t="n">
        <v>0</v>
      </c>
      <c r="K1666" t="n">
        <v>0</v>
      </c>
      <c r="L1666" t="n">
        <v>0</v>
      </c>
      <c r="M1666" t="n">
        <v>0</v>
      </c>
      <c r="N1666" t="n">
        <v>0</v>
      </c>
      <c r="O1666" t="n">
        <v>0</v>
      </c>
      <c r="P1666" t="n">
        <v>0</v>
      </c>
      <c r="Q1666" t="n">
        <v>0</v>
      </c>
      <c r="R1666" t="n">
        <v>0</v>
      </c>
      <c r="S1666" t="n">
        <v>0</v>
      </c>
      <c r="T1666" t="n">
        <v>0</v>
      </c>
      <c r="U1666" t="n">
        <v>0</v>
      </c>
      <c r="V1666" s="2" t="inlineStr"/>
    </row>
    <row r="1667" ht="15" customHeight="1">
      <c r="A1667" t="inlineStr">
        <is>
          <t>A 776-2023</t>
        </is>
      </c>
      <c r="B1667" t="inlineStr">
        <is>
          <t>avverkningsanmälan</t>
        </is>
      </c>
      <c r="C1667" t="inlineStr">
        <is>
          <t>Föryngringsavverkning</t>
        </is>
      </c>
      <c r="D1667" s="1" t="n">
        <v>44931</v>
      </c>
      <c r="E1667" s="1" t="n">
        <v>46323</v>
      </c>
      <c r="F1667" t="inlineStr">
        <is>
          <t>KALMAR LÄN</t>
        </is>
      </c>
      <c r="G1667" t="inlineStr">
        <is>
          <t>MÖNSTERÅS</t>
        </is>
      </c>
      <c r="I1667" t="n">
        <v>5</v>
      </c>
      <c r="J1667" t="n">
        <v>0</v>
      </c>
      <c r="K1667" t="n">
        <v>0</v>
      </c>
      <c r="L1667" t="n">
        <v>0</v>
      </c>
      <c r="M1667" t="n">
        <v>0</v>
      </c>
      <c r="N1667" t="n">
        <v>0</v>
      </c>
      <c r="O1667" t="n">
        <v>0</v>
      </c>
      <c r="P1667" t="n">
        <v>0</v>
      </c>
      <c r="Q1667" t="n">
        <v>0</v>
      </c>
      <c r="R1667" t="n">
        <v>0</v>
      </c>
      <c r="S1667" t="n">
        <v>0</v>
      </c>
      <c r="T1667" t="n">
        <v>0</v>
      </c>
      <c r="U1667" t="n">
        <v>0</v>
      </c>
      <c r="V1667" s="2" t="inlineStr"/>
    </row>
    <row r="1668" ht="15" customHeight="1">
      <c r="A1668" t="inlineStr">
        <is>
          <t>A 10807-2024</t>
        </is>
      </c>
      <c r="B1668" t="inlineStr">
        <is>
          <t>avverkningsanmälan</t>
        </is>
      </c>
      <c r="C1668" t="inlineStr">
        <is>
          <t>Föryngringsavverkning</t>
        </is>
      </c>
      <c r="D1668" s="1" t="n">
        <v>45369</v>
      </c>
      <c r="E1668" s="1" t="n">
        <v>46323</v>
      </c>
      <c r="F1668" t="inlineStr">
        <is>
          <t>KALMAR LÄN</t>
        </is>
      </c>
      <c r="G1668" t="inlineStr">
        <is>
          <t>VIMMERBY</t>
        </is>
      </c>
      <c r="I1668" t="n">
        <v>0.7</v>
      </c>
      <c r="J1668" t="n">
        <v>0</v>
      </c>
      <c r="K1668" t="n">
        <v>0</v>
      </c>
      <c r="L1668" t="n">
        <v>0</v>
      </c>
      <c r="M1668" t="n">
        <v>0</v>
      </c>
      <c r="N1668" t="n">
        <v>0</v>
      </c>
      <c r="O1668" t="n">
        <v>0</v>
      </c>
      <c r="P1668" t="n">
        <v>0</v>
      </c>
      <c r="Q1668" t="n">
        <v>0</v>
      </c>
      <c r="R1668" t="n">
        <v>0</v>
      </c>
      <c r="S1668" t="n">
        <v>0</v>
      </c>
      <c r="T1668" t="n">
        <v>0</v>
      </c>
      <c r="U1668" t="n">
        <v>0</v>
      </c>
      <c r="V1668" s="2" t="inlineStr"/>
    </row>
    <row r="1669" ht="15" customHeight="1">
      <c r="A1669" t="inlineStr">
        <is>
          <t>A 35961-2023</t>
        </is>
      </c>
      <c r="B1669" t="inlineStr">
        <is>
          <t>avverkningsanmälan</t>
        </is>
      </c>
      <c r="C1669" t="inlineStr">
        <is>
          <t>Föryngringsavverkning</t>
        </is>
      </c>
      <c r="D1669" s="1" t="n">
        <v>45148</v>
      </c>
      <c r="E1669" s="1" t="n">
        <v>46323</v>
      </c>
      <c r="F1669" t="inlineStr">
        <is>
          <t>KALMAR LÄN</t>
        </is>
      </c>
      <c r="G1669" t="inlineStr">
        <is>
          <t>VÄSTERVIK</t>
        </is>
      </c>
      <c r="H1669" t="inlineStr">
        <is>
          <t>Sveaskog</t>
        </is>
      </c>
      <c r="I1669" t="n">
        <v>0.6</v>
      </c>
      <c r="J1669" t="n">
        <v>0</v>
      </c>
      <c r="K1669" t="n">
        <v>0</v>
      </c>
      <c r="L1669" t="n">
        <v>0</v>
      </c>
      <c r="M1669" t="n">
        <v>0</v>
      </c>
      <c r="N1669" t="n">
        <v>0</v>
      </c>
      <c r="O1669" t="n">
        <v>0</v>
      </c>
      <c r="P1669" t="n">
        <v>0</v>
      </c>
      <c r="Q1669" t="n">
        <v>0</v>
      </c>
      <c r="R1669" t="n">
        <v>0</v>
      </c>
      <c r="S1669" t="n">
        <v>0</v>
      </c>
      <c r="T1669" t="n">
        <v>0</v>
      </c>
      <c r="U1669" t="n">
        <v>0</v>
      </c>
      <c r="V1669" s="2" t="inlineStr"/>
    </row>
    <row r="1670" ht="15" customHeight="1">
      <c r="A1670" t="inlineStr">
        <is>
          <t>A 39911-2024</t>
        </is>
      </c>
      <c r="B1670" t="inlineStr">
        <is>
          <t>avverkningsanmälan</t>
        </is>
      </c>
      <c r="C1670" t="inlineStr">
        <is>
          <t>Föryngringsavverkning</t>
        </is>
      </c>
      <c r="D1670" s="1" t="n">
        <v>45553</v>
      </c>
      <c r="E1670" s="1" t="n">
        <v>46323</v>
      </c>
      <c r="F1670" t="inlineStr">
        <is>
          <t>KALMAR LÄN</t>
        </is>
      </c>
      <c r="G1670" t="inlineStr">
        <is>
          <t>OSKARSHAMN</t>
        </is>
      </c>
      <c r="I1670" t="n">
        <v>3.1</v>
      </c>
      <c r="J1670" t="n">
        <v>0</v>
      </c>
      <c r="K1670" t="n">
        <v>0</v>
      </c>
      <c r="L1670" t="n">
        <v>0</v>
      </c>
      <c r="M1670" t="n">
        <v>0</v>
      </c>
      <c r="N1670" t="n">
        <v>0</v>
      </c>
      <c r="O1670" t="n">
        <v>0</v>
      </c>
      <c r="P1670" t="n">
        <v>0</v>
      </c>
      <c r="Q1670" t="n">
        <v>0</v>
      </c>
      <c r="R1670" t="n">
        <v>0</v>
      </c>
      <c r="S1670" t="n">
        <v>0</v>
      </c>
      <c r="T1670" t="n">
        <v>0</v>
      </c>
      <c r="U1670" t="n">
        <v>0</v>
      </c>
      <c r="V1670" s="2" t="inlineStr"/>
    </row>
    <row r="1671" ht="15" customHeight="1">
      <c r="A1671" t="inlineStr">
        <is>
          <t>A 9812-2024</t>
        </is>
      </c>
      <c r="B1671" t="inlineStr">
        <is>
          <t>avverkningsanmälan</t>
        </is>
      </c>
      <c r="C1671" t="inlineStr">
        <is>
          <t>Föryngringsavverkning</t>
        </is>
      </c>
      <c r="D1671" s="1" t="n">
        <v>45362</v>
      </c>
      <c r="E1671" s="1" t="n">
        <v>46323</v>
      </c>
      <c r="F1671" t="inlineStr">
        <is>
          <t>KALMAR LÄN</t>
        </is>
      </c>
      <c r="G1671" t="inlineStr">
        <is>
          <t>EMMABODA</t>
        </is>
      </c>
      <c r="I1671" t="n">
        <v>3</v>
      </c>
      <c r="J1671" t="n">
        <v>0</v>
      </c>
      <c r="K1671" t="n">
        <v>0</v>
      </c>
      <c r="L1671" t="n">
        <v>0</v>
      </c>
      <c r="M1671" t="n">
        <v>0</v>
      </c>
      <c r="N1671" t="n">
        <v>0</v>
      </c>
      <c r="O1671" t="n">
        <v>0</v>
      </c>
      <c r="P1671" t="n">
        <v>0</v>
      </c>
      <c r="Q1671" t="n">
        <v>0</v>
      </c>
      <c r="R1671" t="n">
        <v>0</v>
      </c>
      <c r="S1671" t="n">
        <v>0</v>
      </c>
      <c r="T1671" t="n">
        <v>0</v>
      </c>
      <c r="U1671" t="n">
        <v>0</v>
      </c>
      <c r="V1671" s="2" t="inlineStr"/>
    </row>
    <row r="1672" ht="15" customHeight="1">
      <c r="A1672" t="inlineStr">
        <is>
          <t>A 52646-2022</t>
        </is>
      </c>
      <c r="B1672" t="inlineStr">
        <is>
          <t>avverkningsanmälan</t>
        </is>
      </c>
      <c r="C1672" t="inlineStr">
        <is>
          <t>Föryngringsavverkning</t>
        </is>
      </c>
      <c r="D1672" s="1" t="n">
        <v>44874</v>
      </c>
      <c r="E1672" s="1" t="n">
        <v>46323</v>
      </c>
      <c r="F1672" t="inlineStr">
        <is>
          <t>KALMAR LÄN</t>
        </is>
      </c>
      <c r="G1672" t="inlineStr">
        <is>
          <t>MÖNSTERÅS</t>
        </is>
      </c>
      <c r="I1672" t="n">
        <v>0.6</v>
      </c>
      <c r="J1672" t="n">
        <v>0</v>
      </c>
      <c r="K1672" t="n">
        <v>0</v>
      </c>
      <c r="L1672" t="n">
        <v>0</v>
      </c>
      <c r="M1672" t="n">
        <v>0</v>
      </c>
      <c r="N1672" t="n">
        <v>0</v>
      </c>
      <c r="O1672" t="n">
        <v>0</v>
      </c>
      <c r="P1672" t="n">
        <v>0</v>
      </c>
      <c r="Q1672" t="n">
        <v>0</v>
      </c>
      <c r="R1672" t="n">
        <v>0</v>
      </c>
      <c r="S1672" t="n">
        <v>0</v>
      </c>
      <c r="T1672" t="n">
        <v>0</v>
      </c>
      <c r="U1672" t="n">
        <v>0</v>
      </c>
      <c r="V1672" s="2" t="inlineStr"/>
    </row>
    <row r="1673" ht="15" customHeight="1">
      <c r="A1673" t="inlineStr">
        <is>
          <t>A 5430-2025</t>
        </is>
      </c>
      <c r="B1673" t="inlineStr">
        <is>
          <t>avverkningsanmälan</t>
        </is>
      </c>
      <c r="C1673" t="inlineStr">
        <is>
          <t>Föryngringsavverkning</t>
        </is>
      </c>
      <c r="D1673" s="1" t="n">
        <v>45692</v>
      </c>
      <c r="E1673" s="1" t="n">
        <v>46323</v>
      </c>
      <c r="F1673" t="inlineStr">
        <is>
          <t>KALMAR LÄN</t>
        </is>
      </c>
      <c r="G1673" t="inlineStr">
        <is>
          <t>HÖGSBY</t>
        </is>
      </c>
      <c r="I1673" t="n">
        <v>0.5</v>
      </c>
      <c r="J1673" t="n">
        <v>0</v>
      </c>
      <c r="K1673" t="n">
        <v>0</v>
      </c>
      <c r="L1673" t="n">
        <v>0</v>
      </c>
      <c r="M1673" t="n">
        <v>0</v>
      </c>
      <c r="N1673" t="n">
        <v>0</v>
      </c>
      <c r="O1673" t="n">
        <v>0</v>
      </c>
      <c r="P1673" t="n">
        <v>0</v>
      </c>
      <c r="Q1673" t="n">
        <v>0</v>
      </c>
      <c r="R1673" t="n">
        <v>0</v>
      </c>
      <c r="S1673" t="n">
        <v>0</v>
      </c>
      <c r="T1673" t="n">
        <v>0</v>
      </c>
      <c r="U1673" t="n">
        <v>0</v>
      </c>
      <c r="V1673" s="2" t="inlineStr"/>
    </row>
    <row r="1674" ht="15" customHeight="1">
      <c r="A1674" t="inlineStr">
        <is>
          <t>A 42912-2023</t>
        </is>
      </c>
      <c r="B1674" t="inlineStr">
        <is>
          <t>avverkningsanmälan</t>
        </is>
      </c>
      <c r="C1674" t="inlineStr">
        <is>
          <t>Föryngringsavverkning</t>
        </is>
      </c>
      <c r="D1674" s="1" t="n">
        <v>45182</v>
      </c>
      <c r="E1674" s="1" t="n">
        <v>46323</v>
      </c>
      <c r="F1674" t="inlineStr">
        <is>
          <t>KALMAR LÄN</t>
        </is>
      </c>
      <c r="G1674" t="inlineStr">
        <is>
          <t>TORSÅS</t>
        </is>
      </c>
      <c r="I1674" t="n">
        <v>0.4</v>
      </c>
      <c r="J1674" t="n">
        <v>0</v>
      </c>
      <c r="K1674" t="n">
        <v>0</v>
      </c>
      <c r="L1674" t="n">
        <v>0</v>
      </c>
      <c r="M1674" t="n">
        <v>0</v>
      </c>
      <c r="N1674" t="n">
        <v>0</v>
      </c>
      <c r="O1674" t="n">
        <v>0</v>
      </c>
      <c r="P1674" t="n">
        <v>0</v>
      </c>
      <c r="Q1674" t="n">
        <v>0</v>
      </c>
      <c r="R1674" t="n">
        <v>0</v>
      </c>
      <c r="S1674" t="n">
        <v>0</v>
      </c>
      <c r="T1674" t="n">
        <v>0</v>
      </c>
      <c r="U1674" t="n">
        <v>0</v>
      </c>
      <c r="V1674" s="2" t="inlineStr"/>
    </row>
    <row r="1675" ht="15" customHeight="1">
      <c r="A1675" t="inlineStr">
        <is>
          <t>A 51076-2024</t>
        </is>
      </c>
      <c r="B1675" t="inlineStr">
        <is>
          <t>avverkningsanmälan</t>
        </is>
      </c>
      <c r="C1675" t="inlineStr">
        <is>
          <t>Föryngringsavverkning</t>
        </is>
      </c>
      <c r="D1675" s="1" t="n">
        <v>45603</v>
      </c>
      <c r="E1675" s="1" t="n">
        <v>46323</v>
      </c>
      <c r="F1675" t="inlineStr">
        <is>
          <t>KALMAR LÄN</t>
        </is>
      </c>
      <c r="G1675" t="inlineStr">
        <is>
          <t>OSKARSHAMN</t>
        </is>
      </c>
      <c r="I1675" t="n">
        <v>3.9</v>
      </c>
      <c r="J1675" t="n">
        <v>0</v>
      </c>
      <c r="K1675" t="n">
        <v>0</v>
      </c>
      <c r="L1675" t="n">
        <v>0</v>
      </c>
      <c r="M1675" t="n">
        <v>0</v>
      </c>
      <c r="N1675" t="n">
        <v>0</v>
      </c>
      <c r="O1675" t="n">
        <v>0</v>
      </c>
      <c r="P1675" t="n">
        <v>0</v>
      </c>
      <c r="Q1675" t="n">
        <v>0</v>
      </c>
      <c r="R1675" t="n">
        <v>0</v>
      </c>
      <c r="S1675" t="n">
        <v>0</v>
      </c>
      <c r="T1675" t="n">
        <v>0</v>
      </c>
      <c r="U1675" t="n">
        <v>0</v>
      </c>
      <c r="V1675" s="2" t="inlineStr"/>
    </row>
    <row r="1676" ht="15" customHeight="1">
      <c r="A1676" t="inlineStr">
        <is>
          <t>A 50054-2022</t>
        </is>
      </c>
      <c r="B1676" t="inlineStr">
        <is>
          <t>avverkningsanmälan</t>
        </is>
      </c>
      <c r="C1676" t="inlineStr">
        <is>
          <t>Föryngringsavverkning</t>
        </is>
      </c>
      <c r="D1676" s="1" t="n">
        <v>44865</v>
      </c>
      <c r="E1676" s="1" t="n">
        <v>46323</v>
      </c>
      <c r="F1676" t="inlineStr">
        <is>
          <t>KALMAR LÄN</t>
        </is>
      </c>
      <c r="G1676" t="inlineStr">
        <is>
          <t>MÖNSTERÅS</t>
        </is>
      </c>
      <c r="I1676" t="n">
        <v>4</v>
      </c>
      <c r="J1676" t="n">
        <v>0</v>
      </c>
      <c r="K1676" t="n">
        <v>0</v>
      </c>
      <c r="L1676" t="n">
        <v>0</v>
      </c>
      <c r="M1676" t="n">
        <v>0</v>
      </c>
      <c r="N1676" t="n">
        <v>0</v>
      </c>
      <c r="O1676" t="n">
        <v>0</v>
      </c>
      <c r="P1676" t="n">
        <v>0</v>
      </c>
      <c r="Q1676" t="n">
        <v>0</v>
      </c>
      <c r="R1676" t="n">
        <v>0</v>
      </c>
      <c r="S1676" t="n">
        <v>0</v>
      </c>
      <c r="T1676" t="n">
        <v>0</v>
      </c>
      <c r="U1676" t="n">
        <v>0</v>
      </c>
      <c r="V1676" s="2" t="inlineStr"/>
    </row>
    <row r="1677" ht="15" customHeight="1">
      <c r="A1677" t="inlineStr">
        <is>
          <t>A 27259-2022</t>
        </is>
      </c>
      <c r="B1677" t="inlineStr">
        <is>
          <t>avverkningsanmälan</t>
        </is>
      </c>
      <c r="C1677" t="inlineStr">
        <is>
          <t>Föryngringsavverkning</t>
        </is>
      </c>
      <c r="D1677" s="1" t="n">
        <v>44741</v>
      </c>
      <c r="E1677" s="1" t="n">
        <v>46323</v>
      </c>
      <c r="F1677" t="inlineStr">
        <is>
          <t>KALMAR LÄN</t>
        </is>
      </c>
      <c r="G1677" t="inlineStr">
        <is>
          <t>HULTSFRED</t>
        </is>
      </c>
      <c r="I1677" t="n">
        <v>1.4</v>
      </c>
      <c r="J1677" t="n">
        <v>0</v>
      </c>
      <c r="K1677" t="n">
        <v>0</v>
      </c>
      <c r="L1677" t="n">
        <v>0</v>
      </c>
      <c r="M1677" t="n">
        <v>0</v>
      </c>
      <c r="N1677" t="n">
        <v>0</v>
      </c>
      <c r="O1677" t="n">
        <v>0</v>
      </c>
      <c r="P1677" t="n">
        <v>0</v>
      </c>
      <c r="Q1677" t="n">
        <v>0</v>
      </c>
      <c r="R1677" t="n">
        <v>0</v>
      </c>
      <c r="S1677" t="n">
        <v>0</v>
      </c>
      <c r="T1677" t="n">
        <v>0</v>
      </c>
      <c r="U1677" t="n">
        <v>0</v>
      </c>
      <c r="V1677" s="2" t="inlineStr"/>
    </row>
    <row r="1678" ht="15" customHeight="1">
      <c r="A1678" t="inlineStr">
        <is>
          <t>A 46207-2022</t>
        </is>
      </c>
      <c r="B1678" t="inlineStr">
        <is>
          <t>avverkningsanmälan</t>
        </is>
      </c>
      <c r="C1678" t="inlineStr">
        <is>
          <t>Föryngringsavverkning</t>
        </is>
      </c>
      <c r="D1678" s="1" t="n">
        <v>44847</v>
      </c>
      <c r="E1678" s="1" t="n">
        <v>46323</v>
      </c>
      <c r="F1678" t="inlineStr">
        <is>
          <t>KALMAR LÄN</t>
        </is>
      </c>
      <c r="G1678" t="inlineStr">
        <is>
          <t>EMMABODA</t>
        </is>
      </c>
      <c r="I1678" t="n">
        <v>0.9</v>
      </c>
      <c r="J1678" t="n">
        <v>0</v>
      </c>
      <c r="K1678" t="n">
        <v>0</v>
      </c>
      <c r="L1678" t="n">
        <v>0</v>
      </c>
      <c r="M1678" t="n">
        <v>0</v>
      </c>
      <c r="N1678" t="n">
        <v>0</v>
      </c>
      <c r="O1678" t="n">
        <v>0</v>
      </c>
      <c r="P1678" t="n">
        <v>0</v>
      </c>
      <c r="Q1678" t="n">
        <v>0</v>
      </c>
      <c r="R1678" t="n">
        <v>0</v>
      </c>
      <c r="S1678" t="n">
        <v>0</v>
      </c>
      <c r="T1678" t="n">
        <v>0</v>
      </c>
      <c r="U1678" t="n">
        <v>0</v>
      </c>
      <c r="V1678" s="2" t="inlineStr"/>
    </row>
    <row r="1679" ht="15" customHeight="1">
      <c r="A1679" t="inlineStr">
        <is>
          <t>A 73794-2021</t>
        </is>
      </c>
      <c r="B1679" t="inlineStr">
        <is>
          <t>avverkningsanmälan</t>
        </is>
      </c>
      <c r="C1679" t="inlineStr">
        <is>
          <t>Föryngringsavverkning</t>
        </is>
      </c>
      <c r="D1679" s="1" t="n">
        <v>44552</v>
      </c>
      <c r="E1679" s="1" t="n">
        <v>46323</v>
      </c>
      <c r="F1679" t="inlineStr">
        <is>
          <t>KALMAR LÄN</t>
        </is>
      </c>
      <c r="G1679" t="inlineStr">
        <is>
          <t>HULTSFRED</t>
        </is>
      </c>
      <c r="I1679" t="n">
        <v>0.6</v>
      </c>
      <c r="J1679" t="n">
        <v>0</v>
      </c>
      <c r="K1679" t="n">
        <v>0</v>
      </c>
      <c r="L1679" t="n">
        <v>0</v>
      </c>
      <c r="M1679" t="n">
        <v>0</v>
      </c>
      <c r="N1679" t="n">
        <v>0</v>
      </c>
      <c r="O1679" t="n">
        <v>0</v>
      </c>
      <c r="P1679" t="n">
        <v>0</v>
      </c>
      <c r="Q1679" t="n">
        <v>0</v>
      </c>
      <c r="R1679" t="n">
        <v>0</v>
      </c>
      <c r="S1679" t="n">
        <v>0</v>
      </c>
      <c r="T1679" t="n">
        <v>0</v>
      </c>
      <c r="U1679" t="n">
        <v>0</v>
      </c>
      <c r="V1679" s="2" t="inlineStr"/>
    </row>
    <row r="1680" ht="15" customHeight="1">
      <c r="A1680" t="inlineStr">
        <is>
          <t>A 5085-2022</t>
        </is>
      </c>
      <c r="B1680" t="inlineStr">
        <is>
          <t>avverkningsanmälan</t>
        </is>
      </c>
      <c r="C1680" t="inlineStr">
        <is>
          <t>Avverkning för annat ändamål</t>
        </is>
      </c>
      <c r="D1680" s="1" t="n">
        <v>44593</v>
      </c>
      <c r="E1680" s="1" t="n">
        <v>46323</v>
      </c>
      <c r="F1680" t="inlineStr">
        <is>
          <t>KALMAR LÄN</t>
        </is>
      </c>
      <c r="G1680" t="inlineStr">
        <is>
          <t>OSKARSHAMN</t>
        </is>
      </c>
      <c r="H1680" t="inlineStr">
        <is>
          <t>Sveaskog</t>
        </is>
      </c>
      <c r="I1680" t="n">
        <v>0.3</v>
      </c>
      <c r="J1680" t="n">
        <v>0</v>
      </c>
      <c r="K1680" t="n">
        <v>0</v>
      </c>
      <c r="L1680" t="n">
        <v>0</v>
      </c>
      <c r="M1680" t="n">
        <v>0</v>
      </c>
      <c r="N1680" t="n">
        <v>0</v>
      </c>
      <c r="O1680" t="n">
        <v>0</v>
      </c>
      <c r="P1680" t="n">
        <v>0</v>
      </c>
      <c r="Q1680" t="n">
        <v>0</v>
      </c>
      <c r="R1680" t="n">
        <v>0</v>
      </c>
      <c r="S1680" t="n">
        <v>0</v>
      </c>
      <c r="T1680" t="n">
        <v>0</v>
      </c>
      <c r="U1680" t="n">
        <v>0</v>
      </c>
      <c r="V1680" s="2" t="inlineStr"/>
    </row>
    <row r="1681" ht="15" customHeight="1">
      <c r="A1681" t="inlineStr">
        <is>
          <t>A 10086-2022</t>
        </is>
      </c>
      <c r="B1681" t="inlineStr">
        <is>
          <t>avverkningsanmälan</t>
        </is>
      </c>
      <c r="C1681" t="inlineStr">
        <is>
          <t>Föryngringsavverkning</t>
        </is>
      </c>
      <c r="D1681" s="1" t="n">
        <v>44621</v>
      </c>
      <c r="E1681" s="1" t="n">
        <v>46323</v>
      </c>
      <c r="F1681" t="inlineStr">
        <is>
          <t>KALMAR LÄN</t>
        </is>
      </c>
      <c r="G1681" t="inlineStr">
        <is>
          <t>VIMMERBY</t>
        </is>
      </c>
      <c r="I1681" t="n">
        <v>1.2</v>
      </c>
      <c r="J1681" t="n">
        <v>0</v>
      </c>
      <c r="K1681" t="n">
        <v>0</v>
      </c>
      <c r="L1681" t="n">
        <v>0</v>
      </c>
      <c r="M1681" t="n">
        <v>0</v>
      </c>
      <c r="N1681" t="n">
        <v>0</v>
      </c>
      <c r="O1681" t="n">
        <v>0</v>
      </c>
      <c r="P1681" t="n">
        <v>0</v>
      </c>
      <c r="Q1681" t="n">
        <v>0</v>
      </c>
      <c r="R1681" t="n">
        <v>0</v>
      </c>
      <c r="S1681" t="n">
        <v>0</v>
      </c>
      <c r="T1681" t="n">
        <v>0</v>
      </c>
      <c r="U1681" t="n">
        <v>0</v>
      </c>
      <c r="V1681" s="2" t="inlineStr"/>
    </row>
    <row r="1682" ht="15" customHeight="1">
      <c r="A1682" t="inlineStr">
        <is>
          <t>A 47270-2024</t>
        </is>
      </c>
      <c r="B1682" t="inlineStr">
        <is>
          <t>avverkningsanmälan</t>
        </is>
      </c>
      <c r="C1682" t="inlineStr">
        <is>
          <t>Avverkning för annat ändamål</t>
        </is>
      </c>
      <c r="D1682" s="1" t="n">
        <v>45586</v>
      </c>
      <c r="E1682" s="1" t="n">
        <v>46323</v>
      </c>
      <c r="F1682" t="inlineStr">
        <is>
          <t>KALMAR LÄN</t>
        </is>
      </c>
      <c r="G1682" t="inlineStr">
        <is>
          <t>NYBRO</t>
        </is>
      </c>
      <c r="I1682" t="n">
        <v>0.5</v>
      </c>
      <c r="J1682" t="n">
        <v>0</v>
      </c>
      <c r="K1682" t="n">
        <v>0</v>
      </c>
      <c r="L1682" t="n">
        <v>0</v>
      </c>
      <c r="M1682" t="n">
        <v>0</v>
      </c>
      <c r="N1682" t="n">
        <v>0</v>
      </c>
      <c r="O1682" t="n">
        <v>0</v>
      </c>
      <c r="P1682" t="n">
        <v>0</v>
      </c>
      <c r="Q1682" t="n">
        <v>0</v>
      </c>
      <c r="R1682" t="n">
        <v>0</v>
      </c>
      <c r="S1682" t="n">
        <v>0</v>
      </c>
      <c r="T1682" t="n">
        <v>0</v>
      </c>
      <c r="U1682" t="n">
        <v>0</v>
      </c>
      <c r="V1682" s="2" t="inlineStr"/>
    </row>
    <row r="1683" ht="15" customHeight="1">
      <c r="A1683" t="inlineStr">
        <is>
          <t>A 20952-2024</t>
        </is>
      </c>
      <c r="B1683" t="inlineStr">
        <is>
          <t>avverkningsanmälan</t>
        </is>
      </c>
      <c r="C1683" t="inlineStr">
        <is>
          <t>Föryngringsavverkning</t>
        </is>
      </c>
      <c r="D1683" s="1" t="n">
        <v>45439</v>
      </c>
      <c r="E1683" s="1" t="n">
        <v>46323</v>
      </c>
      <c r="F1683" t="inlineStr">
        <is>
          <t>KALMAR LÄN</t>
        </is>
      </c>
      <c r="G1683" t="inlineStr">
        <is>
          <t>NYBRO</t>
        </is>
      </c>
      <c r="I1683" t="n">
        <v>3.6</v>
      </c>
      <c r="J1683" t="n">
        <v>0</v>
      </c>
      <c r="K1683" t="n">
        <v>0</v>
      </c>
      <c r="L1683" t="n">
        <v>0</v>
      </c>
      <c r="M1683" t="n">
        <v>0</v>
      </c>
      <c r="N1683" t="n">
        <v>0</v>
      </c>
      <c r="O1683" t="n">
        <v>0</v>
      </c>
      <c r="P1683" t="n">
        <v>0</v>
      </c>
      <c r="Q1683" t="n">
        <v>0</v>
      </c>
      <c r="R1683" t="n">
        <v>0</v>
      </c>
      <c r="S1683" t="n">
        <v>0</v>
      </c>
      <c r="T1683" t="n">
        <v>0</v>
      </c>
      <c r="U1683" t="n">
        <v>0</v>
      </c>
      <c r="V1683" s="2" t="inlineStr"/>
    </row>
    <row r="1684" ht="15" customHeight="1">
      <c r="A1684" t="inlineStr">
        <is>
          <t>A 57173-2022</t>
        </is>
      </c>
      <c r="B1684" t="inlineStr">
        <is>
          <t>avverkningsanmälan</t>
        </is>
      </c>
      <c r="C1684" t="inlineStr">
        <is>
          <t>Föryngringsavverkning</t>
        </is>
      </c>
      <c r="D1684" s="1" t="n">
        <v>44895</v>
      </c>
      <c r="E1684" s="1" t="n">
        <v>46323</v>
      </c>
      <c r="F1684" t="inlineStr">
        <is>
          <t>KALMAR LÄN</t>
        </is>
      </c>
      <c r="G1684" t="inlineStr">
        <is>
          <t>HÖGSBY</t>
        </is>
      </c>
      <c r="I1684" t="n">
        <v>1.7</v>
      </c>
      <c r="J1684" t="n">
        <v>0</v>
      </c>
      <c r="K1684" t="n">
        <v>0</v>
      </c>
      <c r="L1684" t="n">
        <v>0</v>
      </c>
      <c r="M1684" t="n">
        <v>0</v>
      </c>
      <c r="N1684" t="n">
        <v>0</v>
      </c>
      <c r="O1684" t="n">
        <v>0</v>
      </c>
      <c r="P1684" t="n">
        <v>0</v>
      </c>
      <c r="Q1684" t="n">
        <v>0</v>
      </c>
      <c r="R1684" t="n">
        <v>0</v>
      </c>
      <c r="S1684" t="n">
        <v>0</v>
      </c>
      <c r="T1684" t="n">
        <v>0</v>
      </c>
      <c r="U1684" t="n">
        <v>0</v>
      </c>
      <c r="V1684" s="2" t="inlineStr"/>
    </row>
    <row r="1685" ht="15" customHeight="1">
      <c r="A1685" t="inlineStr">
        <is>
          <t>A 14138-2023</t>
        </is>
      </c>
      <c r="B1685" t="inlineStr">
        <is>
          <t>avverkningsanmälan</t>
        </is>
      </c>
      <c r="C1685" t="inlineStr">
        <is>
          <t>Föryngringsavverkning</t>
        </is>
      </c>
      <c r="D1685" s="1" t="n">
        <v>45009</v>
      </c>
      <c r="E1685" s="1" t="n">
        <v>46323</v>
      </c>
      <c r="F1685" t="inlineStr">
        <is>
          <t>KALMAR LÄN</t>
        </is>
      </c>
      <c r="G1685" t="inlineStr">
        <is>
          <t>EMMABODA</t>
        </is>
      </c>
      <c r="I1685" t="n">
        <v>1.8</v>
      </c>
      <c r="J1685" t="n">
        <v>0</v>
      </c>
      <c r="K1685" t="n">
        <v>0</v>
      </c>
      <c r="L1685" t="n">
        <v>0</v>
      </c>
      <c r="M1685" t="n">
        <v>0</v>
      </c>
      <c r="N1685" t="n">
        <v>0</v>
      </c>
      <c r="O1685" t="n">
        <v>0</v>
      </c>
      <c r="P1685" t="n">
        <v>0</v>
      </c>
      <c r="Q1685" t="n">
        <v>0</v>
      </c>
      <c r="R1685" t="n">
        <v>0</v>
      </c>
      <c r="S1685" t="n">
        <v>0</v>
      </c>
      <c r="T1685" t="n">
        <v>0</v>
      </c>
      <c r="U1685" t="n">
        <v>0</v>
      </c>
      <c r="V1685" s="2" t="inlineStr"/>
    </row>
    <row r="1686" ht="15" customHeight="1">
      <c r="A1686" t="inlineStr">
        <is>
          <t>A 14140-2023</t>
        </is>
      </c>
      <c r="B1686" t="inlineStr">
        <is>
          <t>avverkningsanmälan</t>
        </is>
      </c>
      <c r="C1686" t="inlineStr">
        <is>
          <t>Föryngringsavverkning</t>
        </is>
      </c>
      <c r="D1686" s="1" t="n">
        <v>45009</v>
      </c>
      <c r="E1686" s="1" t="n">
        <v>46323</v>
      </c>
      <c r="F1686" t="inlineStr">
        <is>
          <t>KALMAR LÄN</t>
        </is>
      </c>
      <c r="G1686" t="inlineStr">
        <is>
          <t>EMMABODA</t>
        </is>
      </c>
      <c r="I1686" t="n">
        <v>1.5</v>
      </c>
      <c r="J1686" t="n">
        <v>0</v>
      </c>
      <c r="K1686" t="n">
        <v>0</v>
      </c>
      <c r="L1686" t="n">
        <v>0</v>
      </c>
      <c r="M1686" t="n">
        <v>0</v>
      </c>
      <c r="N1686" t="n">
        <v>0</v>
      </c>
      <c r="O1686" t="n">
        <v>0</v>
      </c>
      <c r="P1686" t="n">
        <v>0</v>
      </c>
      <c r="Q1686" t="n">
        <v>0</v>
      </c>
      <c r="R1686" t="n">
        <v>0</v>
      </c>
      <c r="S1686" t="n">
        <v>0</v>
      </c>
      <c r="T1686" t="n">
        <v>0</v>
      </c>
      <c r="U1686" t="n">
        <v>0</v>
      </c>
      <c r="V1686" s="2" t="inlineStr"/>
    </row>
    <row r="1687" ht="15" customHeight="1">
      <c r="A1687" t="inlineStr">
        <is>
          <t>A 50572-2024</t>
        </is>
      </c>
      <c r="B1687" t="inlineStr">
        <is>
          <t>avverkningsanmälan</t>
        </is>
      </c>
      <c r="C1687" t="inlineStr">
        <is>
          <t>Avverkning för annat ändamål</t>
        </is>
      </c>
      <c r="D1687" s="1" t="n">
        <v>45601</v>
      </c>
      <c r="E1687" s="1" t="n">
        <v>46323</v>
      </c>
      <c r="F1687" t="inlineStr">
        <is>
          <t>KALMAR LÄN</t>
        </is>
      </c>
      <c r="G1687" t="inlineStr">
        <is>
          <t>OSKARSHAMN</t>
        </is>
      </c>
      <c r="I1687" t="n">
        <v>1.1</v>
      </c>
      <c r="J1687" t="n">
        <v>0</v>
      </c>
      <c r="K1687" t="n">
        <v>0</v>
      </c>
      <c r="L1687" t="n">
        <v>0</v>
      </c>
      <c r="M1687" t="n">
        <v>0</v>
      </c>
      <c r="N1687" t="n">
        <v>0</v>
      </c>
      <c r="O1687" t="n">
        <v>0</v>
      </c>
      <c r="P1687" t="n">
        <v>0</v>
      </c>
      <c r="Q1687" t="n">
        <v>0</v>
      </c>
      <c r="R1687" t="n">
        <v>0</v>
      </c>
      <c r="S1687" t="n">
        <v>0</v>
      </c>
      <c r="T1687" t="n">
        <v>0</v>
      </c>
      <c r="U1687" t="n">
        <v>0</v>
      </c>
      <c r="V1687" s="2" t="inlineStr"/>
    </row>
    <row r="1688" ht="15" customHeight="1">
      <c r="A1688" t="inlineStr">
        <is>
          <t>A 32048-2022</t>
        </is>
      </c>
      <c r="B1688" t="inlineStr">
        <is>
          <t>avverkningsanmälan</t>
        </is>
      </c>
      <c r="C1688" t="inlineStr">
        <is>
          <t>Föryngringsavverkning</t>
        </is>
      </c>
      <c r="D1688" s="1" t="n">
        <v>44778</v>
      </c>
      <c r="E1688" s="1" t="n">
        <v>46323</v>
      </c>
      <c r="F1688" t="inlineStr">
        <is>
          <t>KALMAR LÄN</t>
        </is>
      </c>
      <c r="G1688" t="inlineStr">
        <is>
          <t>NYBRO</t>
        </is>
      </c>
      <c r="I1688" t="n">
        <v>13.7</v>
      </c>
      <c r="J1688" t="n">
        <v>0</v>
      </c>
      <c r="K1688" t="n">
        <v>0</v>
      </c>
      <c r="L1688" t="n">
        <v>0</v>
      </c>
      <c r="M1688" t="n">
        <v>0</v>
      </c>
      <c r="N1688" t="n">
        <v>0</v>
      </c>
      <c r="O1688" t="n">
        <v>0</v>
      </c>
      <c r="P1688" t="n">
        <v>0</v>
      </c>
      <c r="Q1688" t="n">
        <v>0</v>
      </c>
      <c r="R1688" t="n">
        <v>0</v>
      </c>
      <c r="S1688" t="n">
        <v>0</v>
      </c>
      <c r="T1688" t="n">
        <v>0</v>
      </c>
      <c r="U1688" t="n">
        <v>0</v>
      </c>
      <c r="V1688" s="2" t="inlineStr"/>
    </row>
    <row r="1689" ht="15" customHeight="1">
      <c r="A1689" t="inlineStr">
        <is>
          <t>A 44256-2024</t>
        </is>
      </c>
      <c r="B1689" t="inlineStr">
        <is>
          <t>avverkningsanmälan</t>
        </is>
      </c>
      <c r="C1689" t="inlineStr">
        <is>
          <t>Föryngringsavverkning</t>
        </is>
      </c>
      <c r="D1689" s="1" t="n">
        <v>45573</v>
      </c>
      <c r="E1689" s="1" t="n">
        <v>46323</v>
      </c>
      <c r="F1689" t="inlineStr">
        <is>
          <t>KALMAR LÄN</t>
        </is>
      </c>
      <c r="G1689" t="inlineStr">
        <is>
          <t>HULTSFRED</t>
        </is>
      </c>
      <c r="I1689" t="n">
        <v>3.5</v>
      </c>
      <c r="J1689" t="n">
        <v>0</v>
      </c>
      <c r="K1689" t="n">
        <v>0</v>
      </c>
      <c r="L1689" t="n">
        <v>0</v>
      </c>
      <c r="M1689" t="n">
        <v>0</v>
      </c>
      <c r="N1689" t="n">
        <v>0</v>
      </c>
      <c r="O1689" t="n">
        <v>0</v>
      </c>
      <c r="P1689" t="n">
        <v>0</v>
      </c>
      <c r="Q1689" t="n">
        <v>0</v>
      </c>
      <c r="R1689" t="n">
        <v>0</v>
      </c>
      <c r="S1689" t="n">
        <v>0</v>
      </c>
      <c r="T1689" t="n">
        <v>0</v>
      </c>
      <c r="U1689" t="n">
        <v>0</v>
      </c>
      <c r="V1689" s="2" t="inlineStr"/>
    </row>
    <row r="1690" ht="15" customHeight="1">
      <c r="A1690" t="inlineStr">
        <is>
          <t>A 65647-2021</t>
        </is>
      </c>
      <c r="B1690" t="inlineStr">
        <is>
          <t>avverkningsanmälan</t>
        </is>
      </c>
      <c r="C1690" t="inlineStr">
        <is>
          <t>Föryngringsavverkning</t>
        </is>
      </c>
      <c r="D1690" s="1" t="n">
        <v>44516</v>
      </c>
      <c r="E1690" s="1" t="n">
        <v>46323</v>
      </c>
      <c r="F1690" t="inlineStr">
        <is>
          <t>KALMAR LÄN</t>
        </is>
      </c>
      <c r="G1690" t="inlineStr">
        <is>
          <t>TORSÅS</t>
        </is>
      </c>
      <c r="I1690" t="n">
        <v>2.5</v>
      </c>
      <c r="J1690" t="n">
        <v>0</v>
      </c>
      <c r="K1690" t="n">
        <v>0</v>
      </c>
      <c r="L1690" t="n">
        <v>0</v>
      </c>
      <c r="M1690" t="n">
        <v>0</v>
      </c>
      <c r="N1690" t="n">
        <v>0</v>
      </c>
      <c r="O1690" t="n">
        <v>0</v>
      </c>
      <c r="P1690" t="n">
        <v>0</v>
      </c>
      <c r="Q1690" t="n">
        <v>0</v>
      </c>
      <c r="R1690" t="n">
        <v>0</v>
      </c>
      <c r="S1690" t="n">
        <v>0</v>
      </c>
      <c r="T1690" t="n">
        <v>0</v>
      </c>
      <c r="U1690" t="n">
        <v>0</v>
      </c>
      <c r="V1690" s="2" t="inlineStr"/>
    </row>
    <row r="1691" ht="15" customHeight="1">
      <c r="A1691" t="inlineStr">
        <is>
          <t>A 18278-2022</t>
        </is>
      </c>
      <c r="B1691" t="inlineStr">
        <is>
          <t>avverkningsanmälan</t>
        </is>
      </c>
      <c r="C1691" t="inlineStr">
        <is>
          <t>Föryngringsavverkning</t>
        </is>
      </c>
      <c r="D1691" s="1" t="n">
        <v>44685</v>
      </c>
      <c r="E1691" s="1" t="n">
        <v>46323</v>
      </c>
      <c r="F1691" t="inlineStr">
        <is>
          <t>KALMAR LÄN</t>
        </is>
      </c>
      <c r="G1691" t="inlineStr">
        <is>
          <t>OSKARSHAMN</t>
        </is>
      </c>
      <c r="I1691" t="n">
        <v>0.8</v>
      </c>
      <c r="J1691" t="n">
        <v>0</v>
      </c>
      <c r="K1691" t="n">
        <v>0</v>
      </c>
      <c r="L1691" t="n">
        <v>0</v>
      </c>
      <c r="M1691" t="n">
        <v>0</v>
      </c>
      <c r="N1691" t="n">
        <v>0</v>
      </c>
      <c r="O1691" t="n">
        <v>0</v>
      </c>
      <c r="P1691" t="n">
        <v>0</v>
      </c>
      <c r="Q1691" t="n">
        <v>0</v>
      </c>
      <c r="R1691" t="n">
        <v>0</v>
      </c>
      <c r="S1691" t="n">
        <v>0</v>
      </c>
      <c r="T1691" t="n">
        <v>0</v>
      </c>
      <c r="U1691" t="n">
        <v>0</v>
      </c>
      <c r="V1691" s="2" t="inlineStr"/>
    </row>
    <row r="1692" ht="15" customHeight="1">
      <c r="A1692" t="inlineStr">
        <is>
          <t>A 25510-2022</t>
        </is>
      </c>
      <c r="B1692" t="inlineStr">
        <is>
          <t>avverkningsanmälan</t>
        </is>
      </c>
      <c r="C1692" t="inlineStr">
        <is>
          <t>Föryngringsavverkning</t>
        </is>
      </c>
      <c r="D1692" s="1" t="n">
        <v>44732</v>
      </c>
      <c r="E1692" s="1" t="n">
        <v>46323</v>
      </c>
      <c r="F1692" t="inlineStr">
        <is>
          <t>KALMAR LÄN</t>
        </is>
      </c>
      <c r="G1692" t="inlineStr">
        <is>
          <t>KALMAR</t>
        </is>
      </c>
      <c r="I1692" t="n">
        <v>0.5</v>
      </c>
      <c r="J1692" t="n">
        <v>0</v>
      </c>
      <c r="K1692" t="n">
        <v>0</v>
      </c>
      <c r="L1692" t="n">
        <v>0</v>
      </c>
      <c r="M1692" t="n">
        <v>0</v>
      </c>
      <c r="N1692" t="n">
        <v>0</v>
      </c>
      <c r="O1692" t="n">
        <v>0</v>
      </c>
      <c r="P1692" t="n">
        <v>0</v>
      </c>
      <c r="Q1692" t="n">
        <v>0</v>
      </c>
      <c r="R1692" t="n">
        <v>0</v>
      </c>
      <c r="S1692" t="n">
        <v>0</v>
      </c>
      <c r="T1692" t="n">
        <v>0</v>
      </c>
      <c r="U1692" t="n">
        <v>0</v>
      </c>
      <c r="V1692" s="2" t="inlineStr"/>
    </row>
    <row r="1693" ht="15" customHeight="1">
      <c r="A1693" t="inlineStr">
        <is>
          <t>A 23091-2023</t>
        </is>
      </c>
      <c r="B1693" t="inlineStr">
        <is>
          <t>avverkningsanmälan</t>
        </is>
      </c>
      <c r="C1693" t="inlineStr">
        <is>
          <t>Föryngringsavverkning</t>
        </is>
      </c>
      <c r="D1693" s="1" t="n">
        <v>45075</v>
      </c>
      <c r="E1693" s="1" t="n">
        <v>46323</v>
      </c>
      <c r="F1693" t="inlineStr">
        <is>
          <t>KALMAR LÄN</t>
        </is>
      </c>
      <c r="G1693" t="inlineStr">
        <is>
          <t>TORSÅS</t>
        </is>
      </c>
      <c r="I1693" t="n">
        <v>1.4</v>
      </c>
      <c r="J1693" t="n">
        <v>0</v>
      </c>
      <c r="K1693" t="n">
        <v>0</v>
      </c>
      <c r="L1693" t="n">
        <v>0</v>
      </c>
      <c r="M1693" t="n">
        <v>0</v>
      </c>
      <c r="N1693" t="n">
        <v>0</v>
      </c>
      <c r="O1693" t="n">
        <v>0</v>
      </c>
      <c r="P1693" t="n">
        <v>0</v>
      </c>
      <c r="Q1693" t="n">
        <v>0</v>
      </c>
      <c r="R1693" t="n">
        <v>0</v>
      </c>
      <c r="S1693" t="n">
        <v>0</v>
      </c>
      <c r="T1693" t="n">
        <v>0</v>
      </c>
      <c r="U1693" t="n">
        <v>0</v>
      </c>
      <c r="V1693" s="2" t="inlineStr"/>
    </row>
    <row r="1694" ht="15" customHeight="1">
      <c r="A1694" t="inlineStr">
        <is>
          <t>A 23095-2023</t>
        </is>
      </c>
      <c r="B1694" t="inlineStr">
        <is>
          <t>avverkningsanmälan</t>
        </is>
      </c>
      <c r="C1694" t="inlineStr">
        <is>
          <t>Föryngringsavverkning</t>
        </is>
      </c>
      <c r="D1694" s="1" t="n">
        <v>45075</v>
      </c>
      <c r="E1694" s="1" t="n">
        <v>46323</v>
      </c>
      <c r="F1694" t="inlineStr">
        <is>
          <t>KALMAR LÄN</t>
        </is>
      </c>
      <c r="G1694" t="inlineStr">
        <is>
          <t>VIMMERBY</t>
        </is>
      </c>
      <c r="I1694" t="n">
        <v>1</v>
      </c>
      <c r="J1694" t="n">
        <v>0</v>
      </c>
      <c r="K1694" t="n">
        <v>0</v>
      </c>
      <c r="L1694" t="n">
        <v>0</v>
      </c>
      <c r="M1694" t="n">
        <v>0</v>
      </c>
      <c r="N1694" t="n">
        <v>0</v>
      </c>
      <c r="O1694" t="n">
        <v>0</v>
      </c>
      <c r="P1694" t="n">
        <v>0</v>
      </c>
      <c r="Q1694" t="n">
        <v>0</v>
      </c>
      <c r="R1694" t="n">
        <v>0</v>
      </c>
      <c r="S1694" t="n">
        <v>0</v>
      </c>
      <c r="T1694" t="n">
        <v>0</v>
      </c>
      <c r="U1694" t="n">
        <v>0</v>
      </c>
      <c r="V1694" s="2" t="inlineStr"/>
    </row>
    <row r="1695" ht="15" customHeight="1">
      <c r="A1695" t="inlineStr">
        <is>
          <t>A 20386-2023</t>
        </is>
      </c>
      <c r="B1695" t="inlineStr">
        <is>
          <t>avverkningsanmälan</t>
        </is>
      </c>
      <c r="C1695" t="inlineStr">
        <is>
          <t>Föryngringsavverkning</t>
        </is>
      </c>
      <c r="D1695" s="1" t="n">
        <v>45056</v>
      </c>
      <c r="E1695" s="1" t="n">
        <v>46323</v>
      </c>
      <c r="F1695" t="inlineStr">
        <is>
          <t>KALMAR LÄN</t>
        </is>
      </c>
      <c r="G1695" t="inlineStr">
        <is>
          <t>NYBRO</t>
        </is>
      </c>
      <c r="I1695" t="n">
        <v>1</v>
      </c>
      <c r="J1695" t="n">
        <v>0</v>
      </c>
      <c r="K1695" t="n">
        <v>0</v>
      </c>
      <c r="L1695" t="n">
        <v>0</v>
      </c>
      <c r="M1695" t="n">
        <v>0</v>
      </c>
      <c r="N1695" t="n">
        <v>0</v>
      </c>
      <c r="O1695" t="n">
        <v>0</v>
      </c>
      <c r="P1695" t="n">
        <v>0</v>
      </c>
      <c r="Q1695" t="n">
        <v>0</v>
      </c>
      <c r="R1695" t="n">
        <v>0</v>
      </c>
      <c r="S1695" t="n">
        <v>0</v>
      </c>
      <c r="T1695" t="n">
        <v>0</v>
      </c>
      <c r="U1695" t="n">
        <v>0</v>
      </c>
      <c r="V1695" s="2" t="inlineStr"/>
    </row>
    <row r="1696" ht="15" customHeight="1">
      <c r="A1696" t="inlineStr">
        <is>
          <t>A 36092-2023</t>
        </is>
      </c>
      <c r="B1696" t="inlineStr">
        <is>
          <t>avverkningsanmälan</t>
        </is>
      </c>
      <c r="C1696" t="inlineStr">
        <is>
          <t>Föryngringsavverkning</t>
        </is>
      </c>
      <c r="D1696" s="1" t="n">
        <v>45149</v>
      </c>
      <c r="E1696" s="1" t="n">
        <v>46323</v>
      </c>
      <c r="F1696" t="inlineStr">
        <is>
          <t>KALMAR LÄN</t>
        </is>
      </c>
      <c r="G1696" t="inlineStr">
        <is>
          <t>HULTSFRED</t>
        </is>
      </c>
      <c r="I1696" t="n">
        <v>0.6</v>
      </c>
      <c r="J1696" t="n">
        <v>0</v>
      </c>
      <c r="K1696" t="n">
        <v>0</v>
      </c>
      <c r="L1696" t="n">
        <v>0</v>
      </c>
      <c r="M1696" t="n">
        <v>0</v>
      </c>
      <c r="N1696" t="n">
        <v>0</v>
      </c>
      <c r="O1696" t="n">
        <v>0</v>
      </c>
      <c r="P1696" t="n">
        <v>0</v>
      </c>
      <c r="Q1696" t="n">
        <v>0</v>
      </c>
      <c r="R1696" t="n">
        <v>0</v>
      </c>
      <c r="S1696" t="n">
        <v>0</v>
      </c>
      <c r="T1696" t="n">
        <v>0</v>
      </c>
      <c r="U1696" t="n">
        <v>0</v>
      </c>
      <c r="V1696" s="2" t="inlineStr"/>
    </row>
    <row r="1697" ht="15" customHeight="1">
      <c r="A1697" t="inlineStr">
        <is>
          <t>A 27678-2022</t>
        </is>
      </c>
      <c r="B1697" t="inlineStr">
        <is>
          <t>avverkningsanmälan</t>
        </is>
      </c>
      <c r="C1697" t="inlineStr">
        <is>
          <t>Föryngringsavverkning</t>
        </is>
      </c>
      <c r="D1697" s="1" t="n">
        <v>44743</v>
      </c>
      <c r="E1697" s="1" t="n">
        <v>46323</v>
      </c>
      <c r="F1697" t="inlineStr">
        <is>
          <t>KALMAR LÄN</t>
        </is>
      </c>
      <c r="G1697" t="inlineStr">
        <is>
          <t>EMMABODA</t>
        </is>
      </c>
      <c r="I1697" t="n">
        <v>0.9</v>
      </c>
      <c r="J1697" t="n">
        <v>0</v>
      </c>
      <c r="K1697" t="n">
        <v>0</v>
      </c>
      <c r="L1697" t="n">
        <v>0</v>
      </c>
      <c r="M1697" t="n">
        <v>0</v>
      </c>
      <c r="N1697" t="n">
        <v>0</v>
      </c>
      <c r="O1697" t="n">
        <v>0</v>
      </c>
      <c r="P1697" t="n">
        <v>0</v>
      </c>
      <c r="Q1697" t="n">
        <v>0</v>
      </c>
      <c r="R1697" t="n">
        <v>0</v>
      </c>
      <c r="S1697" t="n">
        <v>0</v>
      </c>
      <c r="T1697" t="n">
        <v>0</v>
      </c>
      <c r="U1697" t="n">
        <v>0</v>
      </c>
      <c r="V1697" s="2" t="inlineStr"/>
    </row>
    <row r="1698" ht="15" customHeight="1">
      <c r="A1698" t="inlineStr">
        <is>
          <t>A 14693-2022</t>
        </is>
      </c>
      <c r="B1698" t="inlineStr">
        <is>
          <t>avverkningsanmälan</t>
        </is>
      </c>
      <c r="C1698" t="inlineStr">
        <is>
          <t>Föryngringsavverkning</t>
        </is>
      </c>
      <c r="D1698" s="1" t="n">
        <v>44655</v>
      </c>
      <c r="E1698" s="1" t="n">
        <v>46323</v>
      </c>
      <c r="F1698" t="inlineStr">
        <is>
          <t>KALMAR LÄN</t>
        </is>
      </c>
      <c r="G1698" t="inlineStr">
        <is>
          <t>EMMABODA</t>
        </is>
      </c>
      <c r="I1698" t="n">
        <v>0.6</v>
      </c>
      <c r="J1698" t="n">
        <v>0</v>
      </c>
      <c r="K1698" t="n">
        <v>0</v>
      </c>
      <c r="L1698" t="n">
        <v>0</v>
      </c>
      <c r="M1698" t="n">
        <v>0</v>
      </c>
      <c r="N1698" t="n">
        <v>0</v>
      </c>
      <c r="O1698" t="n">
        <v>0</v>
      </c>
      <c r="P1698" t="n">
        <v>0</v>
      </c>
      <c r="Q1698" t="n">
        <v>0</v>
      </c>
      <c r="R1698" t="n">
        <v>0</v>
      </c>
      <c r="S1698" t="n">
        <v>0</v>
      </c>
      <c r="T1698" t="n">
        <v>0</v>
      </c>
      <c r="U1698" t="n">
        <v>0</v>
      </c>
      <c r="V1698" s="2" t="inlineStr"/>
    </row>
    <row r="1699" ht="15" customHeight="1">
      <c r="A1699" t="inlineStr">
        <is>
          <t>A 10108-2022</t>
        </is>
      </c>
      <c r="B1699" t="inlineStr">
        <is>
          <t>avverkningsanmälan</t>
        </is>
      </c>
      <c r="C1699" t="inlineStr">
        <is>
          <t>Föryngringsavverkning</t>
        </is>
      </c>
      <c r="D1699" s="1" t="n">
        <v>44621</v>
      </c>
      <c r="E1699" s="1" t="n">
        <v>46323</v>
      </c>
      <c r="F1699" t="inlineStr">
        <is>
          <t>KALMAR LÄN</t>
        </is>
      </c>
      <c r="G1699" t="inlineStr">
        <is>
          <t>MÖNSTERÅS</t>
        </is>
      </c>
      <c r="I1699" t="n">
        <v>2.8</v>
      </c>
      <c r="J1699" t="n">
        <v>0</v>
      </c>
      <c r="K1699" t="n">
        <v>0</v>
      </c>
      <c r="L1699" t="n">
        <v>0</v>
      </c>
      <c r="M1699" t="n">
        <v>0</v>
      </c>
      <c r="N1699" t="n">
        <v>0</v>
      </c>
      <c r="O1699" t="n">
        <v>0</v>
      </c>
      <c r="P1699" t="n">
        <v>0</v>
      </c>
      <c r="Q1699" t="n">
        <v>0</v>
      </c>
      <c r="R1699" t="n">
        <v>0</v>
      </c>
      <c r="S1699" t="n">
        <v>0</v>
      </c>
      <c r="T1699" t="n">
        <v>0</v>
      </c>
      <c r="U1699" t="n">
        <v>0</v>
      </c>
      <c r="V1699" s="2" t="inlineStr"/>
    </row>
    <row r="1700" ht="15" customHeight="1">
      <c r="A1700" t="inlineStr">
        <is>
          <t>A 61317-2021</t>
        </is>
      </c>
      <c r="B1700" t="inlineStr">
        <is>
          <t>avverkningsanmälan</t>
        </is>
      </c>
      <c r="C1700" t="inlineStr">
        <is>
          <t>Föryngringsavverkning</t>
        </is>
      </c>
      <c r="D1700" s="1" t="n">
        <v>44498</v>
      </c>
      <c r="E1700" s="1" t="n">
        <v>46323</v>
      </c>
      <c r="F1700" t="inlineStr">
        <is>
          <t>KALMAR LÄN</t>
        </is>
      </c>
      <c r="G1700" t="inlineStr">
        <is>
          <t>VÄSTERVIK</t>
        </is>
      </c>
      <c r="I1700" t="n">
        <v>0.6</v>
      </c>
      <c r="J1700" t="n">
        <v>0</v>
      </c>
      <c r="K1700" t="n">
        <v>0</v>
      </c>
      <c r="L1700" t="n">
        <v>0</v>
      </c>
      <c r="M1700" t="n">
        <v>0</v>
      </c>
      <c r="N1700" t="n">
        <v>0</v>
      </c>
      <c r="O1700" t="n">
        <v>0</v>
      </c>
      <c r="P1700" t="n">
        <v>0</v>
      </c>
      <c r="Q1700" t="n">
        <v>0</v>
      </c>
      <c r="R1700" t="n">
        <v>0</v>
      </c>
      <c r="S1700" t="n">
        <v>0</v>
      </c>
      <c r="T1700" t="n">
        <v>0</v>
      </c>
      <c r="U1700" t="n">
        <v>0</v>
      </c>
      <c r="V1700" s="2" t="inlineStr"/>
    </row>
    <row r="1701" ht="15" customHeight="1">
      <c r="A1701" t="inlineStr">
        <is>
          <t>A 40920-2022</t>
        </is>
      </c>
      <c r="B1701" t="inlineStr">
        <is>
          <t>avverkningsanmälan</t>
        </is>
      </c>
      <c r="C1701" t="inlineStr">
        <is>
          <t>Föryngringsavverkning</t>
        </is>
      </c>
      <c r="D1701" s="1" t="n">
        <v>44825</v>
      </c>
      <c r="E1701" s="1" t="n">
        <v>46323</v>
      </c>
      <c r="F1701" t="inlineStr">
        <is>
          <t>KALMAR LÄN</t>
        </is>
      </c>
      <c r="G1701" t="inlineStr">
        <is>
          <t>VÄSTERVIK</t>
        </is>
      </c>
      <c r="H1701" t="inlineStr">
        <is>
          <t>Sveaskog</t>
        </is>
      </c>
      <c r="I1701" t="n">
        <v>0.9</v>
      </c>
      <c r="J1701" t="n">
        <v>0</v>
      </c>
      <c r="K1701" t="n">
        <v>0</v>
      </c>
      <c r="L1701" t="n">
        <v>0</v>
      </c>
      <c r="M1701" t="n">
        <v>0</v>
      </c>
      <c r="N1701" t="n">
        <v>0</v>
      </c>
      <c r="O1701" t="n">
        <v>0</v>
      </c>
      <c r="P1701" t="n">
        <v>0</v>
      </c>
      <c r="Q1701" t="n">
        <v>0</v>
      </c>
      <c r="R1701" t="n">
        <v>0</v>
      </c>
      <c r="S1701" t="n">
        <v>0</v>
      </c>
      <c r="T1701" t="n">
        <v>0</v>
      </c>
      <c r="U1701" t="n">
        <v>0</v>
      </c>
      <c r="V1701" s="2" t="inlineStr"/>
    </row>
    <row r="1702" ht="15" customHeight="1">
      <c r="A1702" t="inlineStr">
        <is>
          <t>A 11768-2022</t>
        </is>
      </c>
      <c r="B1702" t="inlineStr">
        <is>
          <t>avverkningsanmälan</t>
        </is>
      </c>
      <c r="C1702" t="inlineStr">
        <is>
          <t>Föryngringsavverkning</t>
        </is>
      </c>
      <c r="D1702" s="1" t="n">
        <v>44634</v>
      </c>
      <c r="E1702" s="1" t="n">
        <v>46323</v>
      </c>
      <c r="F1702" t="inlineStr">
        <is>
          <t>KALMAR LÄN</t>
        </is>
      </c>
      <c r="G1702" t="inlineStr">
        <is>
          <t>HÖGSBY</t>
        </is>
      </c>
      <c r="I1702" t="n">
        <v>1.2</v>
      </c>
      <c r="J1702" t="n">
        <v>0</v>
      </c>
      <c r="K1702" t="n">
        <v>0</v>
      </c>
      <c r="L1702" t="n">
        <v>0</v>
      </c>
      <c r="M1702" t="n">
        <v>0</v>
      </c>
      <c r="N1702" t="n">
        <v>0</v>
      </c>
      <c r="O1702" t="n">
        <v>0</v>
      </c>
      <c r="P1702" t="n">
        <v>0</v>
      </c>
      <c r="Q1702" t="n">
        <v>0</v>
      </c>
      <c r="R1702" t="n">
        <v>0</v>
      </c>
      <c r="S1702" t="n">
        <v>0</v>
      </c>
      <c r="T1702" t="n">
        <v>0</v>
      </c>
      <c r="U1702" t="n">
        <v>0</v>
      </c>
      <c r="V1702" s="2" t="inlineStr"/>
    </row>
    <row r="1703" ht="15" customHeight="1">
      <c r="A1703" t="inlineStr">
        <is>
          <t>A 13946-2023</t>
        </is>
      </c>
      <c r="B1703" t="inlineStr">
        <is>
          <t>avverkningsanmälan</t>
        </is>
      </c>
      <c r="C1703" t="inlineStr">
        <is>
          <t>Föryngringsavverkning</t>
        </is>
      </c>
      <c r="D1703" s="1" t="n">
        <v>45008</v>
      </c>
      <c r="E1703" s="1" t="n">
        <v>46323</v>
      </c>
      <c r="F1703" t="inlineStr">
        <is>
          <t>KALMAR LÄN</t>
        </is>
      </c>
      <c r="G1703" t="inlineStr">
        <is>
          <t>HULTSFRED</t>
        </is>
      </c>
      <c r="I1703" t="n">
        <v>0.8</v>
      </c>
      <c r="J1703" t="n">
        <v>0</v>
      </c>
      <c r="K1703" t="n">
        <v>0</v>
      </c>
      <c r="L1703" t="n">
        <v>0</v>
      </c>
      <c r="M1703" t="n">
        <v>0</v>
      </c>
      <c r="N1703" t="n">
        <v>0</v>
      </c>
      <c r="O1703" t="n">
        <v>0</v>
      </c>
      <c r="P1703" t="n">
        <v>0</v>
      </c>
      <c r="Q1703" t="n">
        <v>0</v>
      </c>
      <c r="R1703" t="n">
        <v>0</v>
      </c>
      <c r="S1703" t="n">
        <v>0</v>
      </c>
      <c r="T1703" t="n">
        <v>0</v>
      </c>
      <c r="U1703" t="n">
        <v>0</v>
      </c>
      <c r="V1703" s="2" t="inlineStr"/>
    </row>
    <row r="1704" ht="15" customHeight="1">
      <c r="A1704" t="inlineStr">
        <is>
          <t>A 63219-2023</t>
        </is>
      </c>
      <c r="B1704" t="inlineStr">
        <is>
          <t>avverkningsanmälan</t>
        </is>
      </c>
      <c r="C1704" t="inlineStr">
        <is>
          <t>Föryngringsavverkning</t>
        </is>
      </c>
      <c r="D1704" s="1" t="n">
        <v>45273</v>
      </c>
      <c r="E1704" s="1" t="n">
        <v>46323</v>
      </c>
      <c r="F1704" t="inlineStr">
        <is>
          <t>KALMAR LÄN</t>
        </is>
      </c>
      <c r="G1704" t="inlineStr">
        <is>
          <t>EMMABODA</t>
        </is>
      </c>
      <c r="H1704" t="inlineStr">
        <is>
          <t>Kommuner</t>
        </is>
      </c>
      <c r="I1704" t="n">
        <v>3</v>
      </c>
      <c r="J1704" t="n">
        <v>0</v>
      </c>
      <c r="K1704" t="n">
        <v>0</v>
      </c>
      <c r="L1704" t="n">
        <v>0</v>
      </c>
      <c r="M1704" t="n">
        <v>0</v>
      </c>
      <c r="N1704" t="n">
        <v>0</v>
      </c>
      <c r="O1704" t="n">
        <v>0</v>
      </c>
      <c r="P1704" t="n">
        <v>0</v>
      </c>
      <c r="Q1704" t="n">
        <v>0</v>
      </c>
      <c r="R1704" t="n">
        <v>0</v>
      </c>
      <c r="S1704" t="n">
        <v>0</v>
      </c>
      <c r="T1704" t="n">
        <v>0</v>
      </c>
      <c r="U1704" t="n">
        <v>0</v>
      </c>
      <c r="V1704" s="2" t="inlineStr"/>
    </row>
    <row r="1705" ht="15" customHeight="1">
      <c r="A1705" t="inlineStr">
        <is>
          <t>A 14223-2025</t>
        </is>
      </c>
      <c r="B1705" t="inlineStr">
        <is>
          <t>avverkningsanmälan</t>
        </is>
      </c>
      <c r="C1705" t="inlineStr">
        <is>
          <t>Föryngringsavverkning</t>
        </is>
      </c>
      <c r="D1705" s="1" t="n">
        <v>45740</v>
      </c>
      <c r="E1705" s="1" t="n">
        <v>46323</v>
      </c>
      <c r="F1705" t="inlineStr">
        <is>
          <t>KALMAR LÄN</t>
        </is>
      </c>
      <c r="G1705" t="inlineStr">
        <is>
          <t>NYBRO</t>
        </is>
      </c>
      <c r="I1705" t="n">
        <v>1</v>
      </c>
      <c r="J1705" t="n">
        <v>0</v>
      </c>
      <c r="K1705" t="n">
        <v>0</v>
      </c>
      <c r="L1705" t="n">
        <v>0</v>
      </c>
      <c r="M1705" t="n">
        <v>0</v>
      </c>
      <c r="N1705" t="n">
        <v>0</v>
      </c>
      <c r="O1705" t="n">
        <v>0</v>
      </c>
      <c r="P1705" t="n">
        <v>0</v>
      </c>
      <c r="Q1705" t="n">
        <v>0</v>
      </c>
      <c r="R1705" t="n">
        <v>0</v>
      </c>
      <c r="S1705" t="n">
        <v>0</v>
      </c>
      <c r="T1705" t="n">
        <v>0</v>
      </c>
      <c r="U1705" t="n">
        <v>0</v>
      </c>
      <c r="V1705" s="2" t="inlineStr"/>
    </row>
    <row r="1706" ht="15" customHeight="1">
      <c r="A1706" t="inlineStr">
        <is>
          <t>A 32919-2022</t>
        </is>
      </c>
      <c r="B1706" t="inlineStr">
        <is>
          <t>avverkningsanmälan</t>
        </is>
      </c>
      <c r="C1706" t="inlineStr">
        <is>
          <t>Föryngringsavverkning</t>
        </is>
      </c>
      <c r="D1706" s="1" t="n">
        <v>44784</v>
      </c>
      <c r="E1706" s="1" t="n">
        <v>46323</v>
      </c>
      <c r="F1706" t="inlineStr">
        <is>
          <t>KALMAR LÄN</t>
        </is>
      </c>
      <c r="G1706" t="inlineStr">
        <is>
          <t>VIMMERBY</t>
        </is>
      </c>
      <c r="I1706" t="n">
        <v>1.7</v>
      </c>
      <c r="J1706" t="n">
        <v>0</v>
      </c>
      <c r="K1706" t="n">
        <v>0</v>
      </c>
      <c r="L1706" t="n">
        <v>0</v>
      </c>
      <c r="M1706" t="n">
        <v>0</v>
      </c>
      <c r="N1706" t="n">
        <v>0</v>
      </c>
      <c r="O1706" t="n">
        <v>0</v>
      </c>
      <c r="P1706" t="n">
        <v>0</v>
      </c>
      <c r="Q1706" t="n">
        <v>0</v>
      </c>
      <c r="R1706" t="n">
        <v>0</v>
      </c>
      <c r="S1706" t="n">
        <v>0</v>
      </c>
      <c r="T1706" t="n">
        <v>0</v>
      </c>
      <c r="U1706" t="n">
        <v>0</v>
      </c>
      <c r="V1706" s="2" t="inlineStr"/>
    </row>
    <row r="1707" ht="15" customHeight="1">
      <c r="A1707" t="inlineStr">
        <is>
          <t>A 62649-2023</t>
        </is>
      </c>
      <c r="B1707" t="inlineStr">
        <is>
          <t>avverkningsanmälan</t>
        </is>
      </c>
      <c r="C1707" t="inlineStr">
        <is>
          <t>Föryngringsavverkning</t>
        </is>
      </c>
      <c r="D1707" s="1" t="n">
        <v>45271</v>
      </c>
      <c r="E1707" s="1" t="n">
        <v>46323</v>
      </c>
      <c r="F1707" t="inlineStr">
        <is>
          <t>KALMAR LÄN</t>
        </is>
      </c>
      <c r="G1707" t="inlineStr">
        <is>
          <t>TORSÅS</t>
        </is>
      </c>
      <c r="I1707" t="n">
        <v>1</v>
      </c>
      <c r="J1707" t="n">
        <v>0</v>
      </c>
      <c r="K1707" t="n">
        <v>0</v>
      </c>
      <c r="L1707" t="n">
        <v>0</v>
      </c>
      <c r="M1707" t="n">
        <v>0</v>
      </c>
      <c r="N1707" t="n">
        <v>0</v>
      </c>
      <c r="O1707" t="n">
        <v>0</v>
      </c>
      <c r="P1707" t="n">
        <v>0</v>
      </c>
      <c r="Q1707" t="n">
        <v>0</v>
      </c>
      <c r="R1707" t="n">
        <v>0</v>
      </c>
      <c r="S1707" t="n">
        <v>0</v>
      </c>
      <c r="T1707" t="n">
        <v>0</v>
      </c>
      <c r="U1707" t="n">
        <v>0</v>
      </c>
      <c r="V1707" s="2" t="inlineStr"/>
    </row>
    <row r="1708" ht="15" customHeight="1">
      <c r="A1708" t="inlineStr">
        <is>
          <t>A 41056-2022</t>
        </is>
      </c>
      <c r="B1708" t="inlineStr">
        <is>
          <t>avverkningsanmälan</t>
        </is>
      </c>
      <c r="C1708" t="inlineStr">
        <is>
          <t>Föryngringsavverkning</t>
        </is>
      </c>
      <c r="D1708" s="1" t="n">
        <v>44824</v>
      </c>
      <c r="E1708" s="1" t="n">
        <v>46323</v>
      </c>
      <c r="F1708" t="inlineStr">
        <is>
          <t>KALMAR LÄN</t>
        </is>
      </c>
      <c r="G1708" t="inlineStr">
        <is>
          <t>VIMMERBY</t>
        </is>
      </c>
      <c r="I1708" t="n">
        <v>0.8</v>
      </c>
      <c r="J1708" t="n">
        <v>0</v>
      </c>
      <c r="K1708" t="n">
        <v>0</v>
      </c>
      <c r="L1708" t="n">
        <v>0</v>
      </c>
      <c r="M1708" t="n">
        <v>0</v>
      </c>
      <c r="N1708" t="n">
        <v>0</v>
      </c>
      <c r="O1708" t="n">
        <v>0</v>
      </c>
      <c r="P1708" t="n">
        <v>0</v>
      </c>
      <c r="Q1708" t="n">
        <v>0</v>
      </c>
      <c r="R1708" t="n">
        <v>0</v>
      </c>
      <c r="S1708" t="n">
        <v>0</v>
      </c>
      <c r="T1708" t="n">
        <v>0</v>
      </c>
      <c r="U1708" t="n">
        <v>0</v>
      </c>
      <c r="V1708" s="2" t="inlineStr"/>
    </row>
    <row r="1709" ht="15" customHeight="1">
      <c r="A1709" t="inlineStr">
        <is>
          <t>A 62661-2023</t>
        </is>
      </c>
      <c r="B1709" t="inlineStr">
        <is>
          <t>avverkningsanmälan</t>
        </is>
      </c>
      <c r="C1709" t="inlineStr">
        <is>
          <t>Föryngringsavverkning</t>
        </is>
      </c>
      <c r="D1709" s="1" t="n">
        <v>45271</v>
      </c>
      <c r="E1709" s="1" t="n">
        <v>46323</v>
      </c>
      <c r="F1709" t="inlineStr">
        <is>
          <t>KALMAR LÄN</t>
        </is>
      </c>
      <c r="G1709" t="inlineStr">
        <is>
          <t>TORSÅS</t>
        </is>
      </c>
      <c r="I1709" t="n">
        <v>1.1</v>
      </c>
      <c r="J1709" t="n">
        <v>0</v>
      </c>
      <c r="K1709" t="n">
        <v>0</v>
      </c>
      <c r="L1709" t="n">
        <v>0</v>
      </c>
      <c r="M1709" t="n">
        <v>0</v>
      </c>
      <c r="N1709" t="n">
        <v>0</v>
      </c>
      <c r="O1709" t="n">
        <v>0</v>
      </c>
      <c r="P1709" t="n">
        <v>0</v>
      </c>
      <c r="Q1709" t="n">
        <v>0</v>
      </c>
      <c r="R1709" t="n">
        <v>0</v>
      </c>
      <c r="S1709" t="n">
        <v>0</v>
      </c>
      <c r="T1709" t="n">
        <v>0</v>
      </c>
      <c r="U1709" t="n">
        <v>0</v>
      </c>
      <c r="V1709" s="2" t="inlineStr"/>
    </row>
    <row r="1710" ht="15" customHeight="1">
      <c r="A1710" t="inlineStr">
        <is>
          <t>A 37698-2022</t>
        </is>
      </c>
      <c r="B1710" t="inlineStr">
        <is>
          <t>avverkningsanmälan</t>
        </is>
      </c>
      <c r="C1710" t="inlineStr">
        <is>
          <t>Avverkning för annat ändamål</t>
        </is>
      </c>
      <c r="D1710" s="1" t="n">
        <v>44810</v>
      </c>
      <c r="E1710" s="1" t="n">
        <v>46323</v>
      </c>
      <c r="F1710" t="inlineStr">
        <is>
          <t>KALMAR LÄN</t>
        </is>
      </c>
      <c r="G1710" t="inlineStr">
        <is>
          <t>KALMAR</t>
        </is>
      </c>
      <c r="I1710" t="n">
        <v>0.6</v>
      </c>
      <c r="J1710" t="n">
        <v>0</v>
      </c>
      <c r="K1710" t="n">
        <v>0</v>
      </c>
      <c r="L1710" t="n">
        <v>0</v>
      </c>
      <c r="M1710" t="n">
        <v>0</v>
      </c>
      <c r="N1710" t="n">
        <v>0</v>
      </c>
      <c r="O1710" t="n">
        <v>0</v>
      </c>
      <c r="P1710" t="n">
        <v>0</v>
      </c>
      <c r="Q1710" t="n">
        <v>0</v>
      </c>
      <c r="R1710" t="n">
        <v>0</v>
      </c>
      <c r="S1710" t="n">
        <v>0</v>
      </c>
      <c r="T1710" t="n">
        <v>0</v>
      </c>
      <c r="U1710" t="n">
        <v>0</v>
      </c>
      <c r="V1710" s="2" t="inlineStr"/>
    </row>
    <row r="1711" ht="15" customHeight="1">
      <c r="A1711" t="inlineStr">
        <is>
          <t>A 27455-2022</t>
        </is>
      </c>
      <c r="B1711" t="inlineStr">
        <is>
          <t>avverkningsanmälan</t>
        </is>
      </c>
      <c r="C1711" t="inlineStr">
        <is>
          <t>Föryngringsavverkning</t>
        </is>
      </c>
      <c r="D1711" s="1" t="n">
        <v>44742</v>
      </c>
      <c r="E1711" s="1" t="n">
        <v>46323</v>
      </c>
      <c r="F1711" t="inlineStr">
        <is>
          <t>KALMAR LÄN</t>
        </is>
      </c>
      <c r="G1711" t="inlineStr">
        <is>
          <t>VIMMERBY</t>
        </is>
      </c>
      <c r="I1711" t="n">
        <v>1.6</v>
      </c>
      <c r="J1711" t="n">
        <v>0</v>
      </c>
      <c r="K1711" t="n">
        <v>0</v>
      </c>
      <c r="L1711" t="n">
        <v>0</v>
      </c>
      <c r="M1711" t="n">
        <v>0</v>
      </c>
      <c r="N1711" t="n">
        <v>0</v>
      </c>
      <c r="O1711" t="n">
        <v>0</v>
      </c>
      <c r="P1711" t="n">
        <v>0</v>
      </c>
      <c r="Q1711" t="n">
        <v>0</v>
      </c>
      <c r="R1711" t="n">
        <v>0</v>
      </c>
      <c r="S1711" t="n">
        <v>0</v>
      </c>
      <c r="T1711" t="n">
        <v>0</v>
      </c>
      <c r="U1711" t="n">
        <v>0</v>
      </c>
      <c r="V1711" s="2" t="inlineStr"/>
    </row>
    <row r="1712" ht="15" customHeight="1">
      <c r="A1712" t="inlineStr">
        <is>
          <t>A 7100-2023</t>
        </is>
      </c>
      <c r="B1712" t="inlineStr">
        <is>
          <t>avverkningsanmälan</t>
        </is>
      </c>
      <c r="C1712" t="inlineStr">
        <is>
          <t>Föryngringsavverkning</t>
        </is>
      </c>
      <c r="D1712" s="1" t="n">
        <v>44970</v>
      </c>
      <c r="E1712" s="1" t="n">
        <v>46323</v>
      </c>
      <c r="F1712" t="inlineStr">
        <is>
          <t>KALMAR LÄN</t>
        </is>
      </c>
      <c r="G1712" t="inlineStr">
        <is>
          <t>VÄSTERVIK</t>
        </is>
      </c>
      <c r="I1712" t="n">
        <v>1.7</v>
      </c>
      <c r="J1712" t="n">
        <v>0</v>
      </c>
      <c r="K1712" t="n">
        <v>0</v>
      </c>
      <c r="L1712" t="n">
        <v>0</v>
      </c>
      <c r="M1712" t="n">
        <v>0</v>
      </c>
      <c r="N1712" t="n">
        <v>0</v>
      </c>
      <c r="O1712" t="n">
        <v>0</v>
      </c>
      <c r="P1712" t="n">
        <v>0</v>
      </c>
      <c r="Q1712" t="n">
        <v>0</v>
      </c>
      <c r="R1712" t="n">
        <v>0</v>
      </c>
      <c r="S1712" t="n">
        <v>0</v>
      </c>
      <c r="T1712" t="n">
        <v>0</v>
      </c>
      <c r="U1712" t="n">
        <v>0</v>
      </c>
      <c r="V1712" s="2" t="inlineStr"/>
    </row>
    <row r="1713" ht="15" customHeight="1">
      <c r="A1713" t="inlineStr">
        <is>
          <t>A 11417-2023</t>
        </is>
      </c>
      <c r="B1713" t="inlineStr">
        <is>
          <t>avverkningsanmälan</t>
        </is>
      </c>
      <c r="C1713" t="inlineStr">
        <is>
          <t>Föryngringsavverkning</t>
        </is>
      </c>
      <c r="D1713" s="1" t="n">
        <v>44993</v>
      </c>
      <c r="E1713" s="1" t="n">
        <v>46323</v>
      </c>
      <c r="F1713" t="inlineStr">
        <is>
          <t>KALMAR LÄN</t>
        </is>
      </c>
      <c r="G1713" t="inlineStr">
        <is>
          <t>KALMAR</t>
        </is>
      </c>
      <c r="I1713" t="n">
        <v>1.6</v>
      </c>
      <c r="J1713" t="n">
        <v>0</v>
      </c>
      <c r="K1713" t="n">
        <v>0</v>
      </c>
      <c r="L1713" t="n">
        <v>0</v>
      </c>
      <c r="M1713" t="n">
        <v>0</v>
      </c>
      <c r="N1713" t="n">
        <v>0</v>
      </c>
      <c r="O1713" t="n">
        <v>0</v>
      </c>
      <c r="P1713" t="n">
        <v>0</v>
      </c>
      <c r="Q1713" t="n">
        <v>0</v>
      </c>
      <c r="R1713" t="n">
        <v>0</v>
      </c>
      <c r="S1713" t="n">
        <v>0</v>
      </c>
      <c r="T1713" t="n">
        <v>0</v>
      </c>
      <c r="U1713" t="n">
        <v>0</v>
      </c>
      <c r="V1713" s="2" t="inlineStr"/>
    </row>
    <row r="1714" ht="15" customHeight="1">
      <c r="A1714" t="inlineStr">
        <is>
          <t>A 63355-2023</t>
        </is>
      </c>
      <c r="B1714" t="inlineStr">
        <is>
          <t>avverkningsanmälan</t>
        </is>
      </c>
      <c r="C1714" t="inlineStr">
        <is>
          <t>Föryngringsavverkning</t>
        </is>
      </c>
      <c r="D1714" s="1" t="n">
        <v>45274</v>
      </c>
      <c r="E1714" s="1" t="n">
        <v>46323</v>
      </c>
      <c r="F1714" t="inlineStr">
        <is>
          <t>KALMAR LÄN</t>
        </is>
      </c>
      <c r="G1714" t="inlineStr">
        <is>
          <t>MÖNSTERÅS</t>
        </is>
      </c>
      <c r="I1714" t="n">
        <v>8.199999999999999</v>
      </c>
      <c r="J1714" t="n">
        <v>0</v>
      </c>
      <c r="K1714" t="n">
        <v>0</v>
      </c>
      <c r="L1714" t="n">
        <v>0</v>
      </c>
      <c r="M1714" t="n">
        <v>0</v>
      </c>
      <c r="N1714" t="n">
        <v>0</v>
      </c>
      <c r="O1714" t="n">
        <v>0</v>
      </c>
      <c r="P1714" t="n">
        <v>0</v>
      </c>
      <c r="Q1714" t="n">
        <v>0</v>
      </c>
      <c r="R1714" t="n">
        <v>0</v>
      </c>
      <c r="S1714" t="n">
        <v>0</v>
      </c>
      <c r="T1714" t="n">
        <v>0</v>
      </c>
      <c r="U1714" t="n">
        <v>0</v>
      </c>
      <c r="V1714" s="2" t="inlineStr"/>
    </row>
    <row r="1715" ht="15" customHeight="1">
      <c r="A1715" t="inlineStr">
        <is>
          <t>A 18310-2024</t>
        </is>
      </c>
      <c r="B1715" t="inlineStr">
        <is>
          <t>avverkningsanmälan</t>
        </is>
      </c>
      <c r="C1715" t="inlineStr">
        <is>
          <t>Föryngringsavverkning</t>
        </is>
      </c>
      <c r="D1715" s="1" t="n">
        <v>45422</v>
      </c>
      <c r="E1715" s="1" t="n">
        <v>46323</v>
      </c>
      <c r="F1715" t="inlineStr">
        <is>
          <t>KALMAR LÄN</t>
        </is>
      </c>
      <c r="G1715" t="inlineStr">
        <is>
          <t>EMMABODA</t>
        </is>
      </c>
      <c r="I1715" t="n">
        <v>3.2</v>
      </c>
      <c r="J1715" t="n">
        <v>0</v>
      </c>
      <c r="K1715" t="n">
        <v>0</v>
      </c>
      <c r="L1715" t="n">
        <v>0</v>
      </c>
      <c r="M1715" t="n">
        <v>0</v>
      </c>
      <c r="N1715" t="n">
        <v>0</v>
      </c>
      <c r="O1715" t="n">
        <v>0</v>
      </c>
      <c r="P1715" t="n">
        <v>0</v>
      </c>
      <c r="Q1715" t="n">
        <v>0</v>
      </c>
      <c r="R1715" t="n">
        <v>0</v>
      </c>
      <c r="S1715" t="n">
        <v>0</v>
      </c>
      <c r="T1715" t="n">
        <v>0</v>
      </c>
      <c r="U1715" t="n">
        <v>0</v>
      </c>
      <c r="V1715" s="2" t="inlineStr"/>
    </row>
    <row r="1716" ht="15" customHeight="1">
      <c r="A1716" t="inlineStr">
        <is>
          <t>A 41296-2024</t>
        </is>
      </c>
      <c r="B1716" t="inlineStr">
        <is>
          <t>avverkningsanmälan</t>
        </is>
      </c>
      <c r="C1716" t="inlineStr">
        <is>
          <t>Föryngringsavverkning</t>
        </is>
      </c>
      <c r="D1716" s="1" t="n">
        <v>45559</v>
      </c>
      <c r="E1716" s="1" t="n">
        <v>46323</v>
      </c>
      <c r="F1716" t="inlineStr">
        <is>
          <t>KALMAR LÄN</t>
        </is>
      </c>
      <c r="G1716" t="inlineStr">
        <is>
          <t>EMMABODA</t>
        </is>
      </c>
      <c r="I1716" t="n">
        <v>0.5</v>
      </c>
      <c r="J1716" t="n">
        <v>0</v>
      </c>
      <c r="K1716" t="n">
        <v>0</v>
      </c>
      <c r="L1716" t="n">
        <v>0</v>
      </c>
      <c r="M1716" t="n">
        <v>0</v>
      </c>
      <c r="N1716" t="n">
        <v>0</v>
      </c>
      <c r="O1716" t="n">
        <v>0</v>
      </c>
      <c r="P1716" t="n">
        <v>0</v>
      </c>
      <c r="Q1716" t="n">
        <v>0</v>
      </c>
      <c r="R1716" t="n">
        <v>0</v>
      </c>
      <c r="S1716" t="n">
        <v>0</v>
      </c>
      <c r="T1716" t="n">
        <v>0</v>
      </c>
      <c r="U1716" t="n">
        <v>0</v>
      </c>
      <c r="V1716" s="2" t="inlineStr"/>
    </row>
    <row r="1717" ht="15" customHeight="1">
      <c r="A1717" t="inlineStr">
        <is>
          <t>A 18536-2022</t>
        </is>
      </c>
      <c r="B1717" t="inlineStr">
        <is>
          <t>avverkningsanmälan</t>
        </is>
      </c>
      <c r="C1717" t="inlineStr">
        <is>
          <t>Föryngringsavverkning</t>
        </is>
      </c>
      <c r="D1717" s="1" t="n">
        <v>44686</v>
      </c>
      <c r="E1717" s="1" t="n">
        <v>46323</v>
      </c>
      <c r="F1717" t="inlineStr">
        <is>
          <t>KALMAR LÄN</t>
        </is>
      </c>
      <c r="G1717" t="inlineStr">
        <is>
          <t>HULTSFRED</t>
        </is>
      </c>
      <c r="H1717" t="inlineStr">
        <is>
          <t>Övriga Aktiebolag</t>
        </is>
      </c>
      <c r="I1717" t="n">
        <v>0.5</v>
      </c>
      <c r="J1717" t="n">
        <v>0</v>
      </c>
      <c r="K1717" t="n">
        <v>0</v>
      </c>
      <c r="L1717" t="n">
        <v>0</v>
      </c>
      <c r="M1717" t="n">
        <v>0</v>
      </c>
      <c r="N1717" t="n">
        <v>0</v>
      </c>
      <c r="O1717" t="n">
        <v>0</v>
      </c>
      <c r="P1717" t="n">
        <v>0</v>
      </c>
      <c r="Q1717" t="n">
        <v>0</v>
      </c>
      <c r="R1717" t="n">
        <v>0</v>
      </c>
      <c r="S1717" t="n">
        <v>0</v>
      </c>
      <c r="T1717" t="n">
        <v>0</v>
      </c>
      <c r="U1717" t="n">
        <v>0</v>
      </c>
      <c r="V1717" s="2" t="inlineStr"/>
    </row>
    <row r="1718" ht="15" customHeight="1">
      <c r="A1718" t="inlineStr">
        <is>
          <t>A 51766-2024</t>
        </is>
      </c>
      <c r="B1718" t="inlineStr">
        <is>
          <t>avverkningsanmälan</t>
        </is>
      </c>
      <c r="C1718" t="inlineStr">
        <is>
          <t>Föryngringsavverkning</t>
        </is>
      </c>
      <c r="D1718" s="1" t="n">
        <v>45604</v>
      </c>
      <c r="E1718" s="1" t="n">
        <v>46323</v>
      </c>
      <c r="F1718" t="inlineStr">
        <is>
          <t>KALMAR LÄN</t>
        </is>
      </c>
      <c r="G1718" t="inlineStr">
        <is>
          <t>OSKARSHAMN</t>
        </is>
      </c>
      <c r="I1718" t="n">
        <v>1.5</v>
      </c>
      <c r="J1718" t="n">
        <v>0</v>
      </c>
      <c r="K1718" t="n">
        <v>0</v>
      </c>
      <c r="L1718" t="n">
        <v>0</v>
      </c>
      <c r="M1718" t="n">
        <v>0</v>
      </c>
      <c r="N1718" t="n">
        <v>0</v>
      </c>
      <c r="O1718" t="n">
        <v>0</v>
      </c>
      <c r="P1718" t="n">
        <v>0</v>
      </c>
      <c r="Q1718" t="n">
        <v>0</v>
      </c>
      <c r="R1718" t="n">
        <v>0</v>
      </c>
      <c r="S1718" t="n">
        <v>0</v>
      </c>
      <c r="T1718" t="n">
        <v>0</v>
      </c>
      <c r="U1718" t="n">
        <v>0</v>
      </c>
      <c r="V1718" s="2" t="inlineStr"/>
    </row>
    <row r="1719" ht="15" customHeight="1">
      <c r="A1719" t="inlineStr">
        <is>
          <t>A 40902-2022</t>
        </is>
      </c>
      <c r="B1719" t="inlineStr">
        <is>
          <t>avverkningsanmälan</t>
        </is>
      </c>
      <c r="C1719" t="inlineStr">
        <is>
          <t>Föryngringsavverkning</t>
        </is>
      </c>
      <c r="D1719" s="1" t="n">
        <v>44825</v>
      </c>
      <c r="E1719" s="1" t="n">
        <v>46323</v>
      </c>
      <c r="F1719" t="inlineStr">
        <is>
          <t>KALMAR LÄN</t>
        </is>
      </c>
      <c r="G1719" t="inlineStr">
        <is>
          <t>NYBRO</t>
        </is>
      </c>
      <c r="I1719" t="n">
        <v>1.6</v>
      </c>
      <c r="J1719" t="n">
        <v>0</v>
      </c>
      <c r="K1719" t="n">
        <v>0</v>
      </c>
      <c r="L1719" t="n">
        <v>0</v>
      </c>
      <c r="M1719" t="n">
        <v>0</v>
      </c>
      <c r="N1719" t="n">
        <v>0</v>
      </c>
      <c r="O1719" t="n">
        <v>0</v>
      </c>
      <c r="P1719" t="n">
        <v>0</v>
      </c>
      <c r="Q1719" t="n">
        <v>0</v>
      </c>
      <c r="R1719" t="n">
        <v>0</v>
      </c>
      <c r="S1719" t="n">
        <v>0</v>
      </c>
      <c r="T1719" t="n">
        <v>0</v>
      </c>
      <c r="U1719" t="n">
        <v>0</v>
      </c>
      <c r="V1719" s="2" t="inlineStr"/>
    </row>
    <row r="1720" ht="15" customHeight="1">
      <c r="A1720" t="inlineStr">
        <is>
          <t>A 53145-2022</t>
        </is>
      </c>
      <c r="B1720" t="inlineStr">
        <is>
          <t>avverkningsanmälan</t>
        </is>
      </c>
      <c r="C1720" t="inlineStr">
        <is>
          <t>Föryngringsavverkning</t>
        </is>
      </c>
      <c r="D1720" s="1" t="n">
        <v>44876</v>
      </c>
      <c r="E1720" s="1" t="n">
        <v>46323</v>
      </c>
      <c r="F1720" t="inlineStr">
        <is>
          <t>KALMAR LÄN</t>
        </is>
      </c>
      <c r="G1720" t="inlineStr">
        <is>
          <t>VIMMERBY</t>
        </is>
      </c>
      <c r="I1720" t="n">
        <v>0.4</v>
      </c>
      <c r="J1720" t="n">
        <v>0</v>
      </c>
      <c r="K1720" t="n">
        <v>0</v>
      </c>
      <c r="L1720" t="n">
        <v>0</v>
      </c>
      <c r="M1720" t="n">
        <v>0</v>
      </c>
      <c r="N1720" t="n">
        <v>0</v>
      </c>
      <c r="O1720" t="n">
        <v>0</v>
      </c>
      <c r="P1720" t="n">
        <v>0</v>
      </c>
      <c r="Q1720" t="n">
        <v>0</v>
      </c>
      <c r="R1720" t="n">
        <v>0</v>
      </c>
      <c r="S1720" t="n">
        <v>0</v>
      </c>
      <c r="T1720" t="n">
        <v>0</v>
      </c>
      <c r="U1720" t="n">
        <v>0</v>
      </c>
      <c r="V1720" s="2" t="inlineStr"/>
    </row>
    <row r="1721" ht="15" customHeight="1">
      <c r="A1721" t="inlineStr">
        <is>
          <t>A 25738-2022</t>
        </is>
      </c>
      <c r="B1721" t="inlineStr">
        <is>
          <t>avverkningsanmälan</t>
        </is>
      </c>
      <c r="C1721" t="inlineStr">
        <is>
          <t>Föryngringsavverkning</t>
        </is>
      </c>
      <c r="D1721" s="1" t="n">
        <v>44733</v>
      </c>
      <c r="E1721" s="1" t="n">
        <v>46323</v>
      </c>
      <c r="F1721" t="inlineStr">
        <is>
          <t>KALMAR LÄN</t>
        </is>
      </c>
      <c r="G1721" t="inlineStr">
        <is>
          <t>VIMMERBY</t>
        </is>
      </c>
      <c r="I1721" t="n">
        <v>1</v>
      </c>
      <c r="J1721" t="n">
        <v>0</v>
      </c>
      <c r="K1721" t="n">
        <v>0</v>
      </c>
      <c r="L1721" t="n">
        <v>0</v>
      </c>
      <c r="M1721" t="n">
        <v>0</v>
      </c>
      <c r="N1721" t="n">
        <v>0</v>
      </c>
      <c r="O1721" t="n">
        <v>0</v>
      </c>
      <c r="P1721" t="n">
        <v>0</v>
      </c>
      <c r="Q1721" t="n">
        <v>0</v>
      </c>
      <c r="R1721" t="n">
        <v>0</v>
      </c>
      <c r="S1721" t="n">
        <v>0</v>
      </c>
      <c r="T1721" t="n">
        <v>0</v>
      </c>
      <c r="U1721" t="n">
        <v>0</v>
      </c>
      <c r="V1721" s="2" t="inlineStr"/>
    </row>
    <row r="1722" ht="15" customHeight="1">
      <c r="A1722" t="inlineStr">
        <is>
          <t>A 36904-2022</t>
        </is>
      </c>
      <c r="B1722" t="inlineStr">
        <is>
          <t>avverkningsanmälan</t>
        </is>
      </c>
      <c r="C1722" t="inlineStr">
        <is>
          <t>Föryngringsavverkning</t>
        </is>
      </c>
      <c r="D1722" s="1" t="n">
        <v>44805</v>
      </c>
      <c r="E1722" s="1" t="n">
        <v>46323</v>
      </c>
      <c r="F1722" t="inlineStr">
        <is>
          <t>KALMAR LÄN</t>
        </is>
      </c>
      <c r="G1722" t="inlineStr">
        <is>
          <t>NYBRO</t>
        </is>
      </c>
      <c r="I1722" t="n">
        <v>0.7</v>
      </c>
      <c r="J1722" t="n">
        <v>0</v>
      </c>
      <c r="K1722" t="n">
        <v>0</v>
      </c>
      <c r="L1722" t="n">
        <v>0</v>
      </c>
      <c r="M1722" t="n">
        <v>0</v>
      </c>
      <c r="N1722" t="n">
        <v>0</v>
      </c>
      <c r="O1722" t="n">
        <v>0</v>
      </c>
      <c r="P1722" t="n">
        <v>0</v>
      </c>
      <c r="Q1722" t="n">
        <v>0</v>
      </c>
      <c r="R1722" t="n">
        <v>0</v>
      </c>
      <c r="S1722" t="n">
        <v>0</v>
      </c>
      <c r="T1722" t="n">
        <v>0</v>
      </c>
      <c r="U1722" t="n">
        <v>0</v>
      </c>
      <c r="V1722" s="2" t="inlineStr"/>
    </row>
    <row r="1723" ht="15" customHeight="1">
      <c r="A1723" t="inlineStr">
        <is>
          <t>A 22429-2023</t>
        </is>
      </c>
      <c r="B1723" t="inlineStr">
        <is>
          <t>avverkningsanmälan</t>
        </is>
      </c>
      <c r="C1723" t="inlineStr">
        <is>
          <t>Avverkning för annat ändamål</t>
        </is>
      </c>
      <c r="D1723" s="1" t="n">
        <v>45070</v>
      </c>
      <c r="E1723" s="1" t="n">
        <v>46323</v>
      </c>
      <c r="F1723" t="inlineStr">
        <is>
          <t>KALMAR LÄN</t>
        </is>
      </c>
      <c r="G1723" t="inlineStr">
        <is>
          <t>NYBRO</t>
        </is>
      </c>
      <c r="I1723" t="n">
        <v>0.7</v>
      </c>
      <c r="J1723" t="n">
        <v>0</v>
      </c>
      <c r="K1723" t="n">
        <v>0</v>
      </c>
      <c r="L1723" t="n">
        <v>0</v>
      </c>
      <c r="M1723" t="n">
        <v>0</v>
      </c>
      <c r="N1723" t="n">
        <v>0</v>
      </c>
      <c r="O1723" t="n">
        <v>0</v>
      </c>
      <c r="P1723" t="n">
        <v>0</v>
      </c>
      <c r="Q1723" t="n">
        <v>0</v>
      </c>
      <c r="R1723" t="n">
        <v>0</v>
      </c>
      <c r="S1723" t="n">
        <v>0</v>
      </c>
      <c r="T1723" t="n">
        <v>0</v>
      </c>
      <c r="U1723" t="n">
        <v>0</v>
      </c>
      <c r="V1723" s="2" t="inlineStr"/>
    </row>
    <row r="1724" ht="15" customHeight="1">
      <c r="A1724" t="inlineStr">
        <is>
          <t>A 53242-2022</t>
        </is>
      </c>
      <c r="B1724" t="inlineStr">
        <is>
          <t>avverkningsanmälan</t>
        </is>
      </c>
      <c r="C1724" t="inlineStr">
        <is>
          <t>Föryngringsavverkning</t>
        </is>
      </c>
      <c r="D1724" s="1" t="n">
        <v>44876</v>
      </c>
      <c r="E1724" s="1" t="n">
        <v>46323</v>
      </c>
      <c r="F1724" t="inlineStr">
        <is>
          <t>KALMAR LÄN</t>
        </is>
      </c>
      <c r="G1724" t="inlineStr">
        <is>
          <t>HÖGSBY</t>
        </is>
      </c>
      <c r="I1724" t="n">
        <v>0.5</v>
      </c>
      <c r="J1724" t="n">
        <v>0</v>
      </c>
      <c r="K1724" t="n">
        <v>0</v>
      </c>
      <c r="L1724" t="n">
        <v>0</v>
      </c>
      <c r="M1724" t="n">
        <v>0</v>
      </c>
      <c r="N1724" t="n">
        <v>0</v>
      </c>
      <c r="O1724" t="n">
        <v>0</v>
      </c>
      <c r="P1724" t="n">
        <v>0</v>
      </c>
      <c r="Q1724" t="n">
        <v>0</v>
      </c>
      <c r="R1724" t="n">
        <v>0</v>
      </c>
      <c r="S1724" t="n">
        <v>0</v>
      </c>
      <c r="T1724" t="n">
        <v>0</v>
      </c>
      <c r="U1724" t="n">
        <v>0</v>
      </c>
      <c r="V1724" s="2" t="inlineStr"/>
    </row>
    <row r="1725" ht="15" customHeight="1">
      <c r="A1725" t="inlineStr">
        <is>
          <t>A 10630-2024</t>
        </is>
      </c>
      <c r="B1725" t="inlineStr">
        <is>
          <t>avverkningsanmälan</t>
        </is>
      </c>
      <c r="C1725" t="inlineStr">
        <is>
          <t>Föryngringsavverkning</t>
        </is>
      </c>
      <c r="D1725" s="1" t="n">
        <v>45367</v>
      </c>
      <c r="E1725" s="1" t="n">
        <v>46323</v>
      </c>
      <c r="F1725" t="inlineStr">
        <is>
          <t>KALMAR LÄN</t>
        </is>
      </c>
      <c r="G1725" t="inlineStr">
        <is>
          <t>NYBRO</t>
        </is>
      </c>
      <c r="I1725" t="n">
        <v>10</v>
      </c>
      <c r="J1725" t="n">
        <v>0</v>
      </c>
      <c r="K1725" t="n">
        <v>0</v>
      </c>
      <c r="L1725" t="n">
        <v>0</v>
      </c>
      <c r="M1725" t="n">
        <v>0</v>
      </c>
      <c r="N1725" t="n">
        <v>0</v>
      </c>
      <c r="O1725" t="n">
        <v>0</v>
      </c>
      <c r="P1725" t="n">
        <v>0</v>
      </c>
      <c r="Q1725" t="n">
        <v>0</v>
      </c>
      <c r="R1725" t="n">
        <v>0</v>
      </c>
      <c r="S1725" t="n">
        <v>0</v>
      </c>
      <c r="T1725" t="n">
        <v>0</v>
      </c>
      <c r="U1725" t="n">
        <v>0</v>
      </c>
      <c r="V1725" s="2" t="inlineStr"/>
    </row>
    <row r="1726" ht="15" customHeight="1">
      <c r="A1726" t="inlineStr">
        <is>
          <t>A 61955-2023</t>
        </is>
      </c>
      <c r="B1726" t="inlineStr">
        <is>
          <t>avverkningsanmälan</t>
        </is>
      </c>
      <c r="C1726" t="inlineStr">
        <is>
          <t>Föryngringsavverkning</t>
        </is>
      </c>
      <c r="D1726" s="1" t="n">
        <v>45266</v>
      </c>
      <c r="E1726" s="1" t="n">
        <v>46323</v>
      </c>
      <c r="F1726" t="inlineStr">
        <is>
          <t>KALMAR LÄN</t>
        </is>
      </c>
      <c r="G1726" t="inlineStr">
        <is>
          <t>HÖGSBY</t>
        </is>
      </c>
      <c r="I1726" t="n">
        <v>0.5</v>
      </c>
      <c r="J1726" t="n">
        <v>0</v>
      </c>
      <c r="K1726" t="n">
        <v>0</v>
      </c>
      <c r="L1726" t="n">
        <v>0</v>
      </c>
      <c r="M1726" t="n">
        <v>0</v>
      </c>
      <c r="N1726" t="n">
        <v>0</v>
      </c>
      <c r="O1726" t="n">
        <v>0</v>
      </c>
      <c r="P1726" t="n">
        <v>0</v>
      </c>
      <c r="Q1726" t="n">
        <v>0</v>
      </c>
      <c r="R1726" t="n">
        <v>0</v>
      </c>
      <c r="S1726" t="n">
        <v>0</v>
      </c>
      <c r="T1726" t="n">
        <v>0</v>
      </c>
      <c r="U1726" t="n">
        <v>0</v>
      </c>
      <c r="V1726" s="2" t="inlineStr"/>
    </row>
    <row r="1727" ht="15" customHeight="1">
      <c r="A1727" t="inlineStr">
        <is>
          <t>A 40877-2022</t>
        </is>
      </c>
      <c r="B1727" t="inlineStr">
        <is>
          <t>avverkningsanmälan</t>
        </is>
      </c>
      <c r="C1727" t="inlineStr">
        <is>
          <t>Föryngringsavverkning</t>
        </is>
      </c>
      <c r="D1727" s="1" t="n">
        <v>44825</v>
      </c>
      <c r="E1727" s="1" t="n">
        <v>46323</v>
      </c>
      <c r="F1727" t="inlineStr">
        <is>
          <t>KALMAR LÄN</t>
        </is>
      </c>
      <c r="G1727" t="inlineStr">
        <is>
          <t>HULTSFRED</t>
        </is>
      </c>
      <c r="I1727" t="n">
        <v>0.3</v>
      </c>
      <c r="J1727" t="n">
        <v>0</v>
      </c>
      <c r="K1727" t="n">
        <v>0</v>
      </c>
      <c r="L1727" t="n">
        <v>0</v>
      </c>
      <c r="M1727" t="n">
        <v>0</v>
      </c>
      <c r="N1727" t="n">
        <v>0</v>
      </c>
      <c r="O1727" t="n">
        <v>0</v>
      </c>
      <c r="P1727" t="n">
        <v>0</v>
      </c>
      <c r="Q1727" t="n">
        <v>0</v>
      </c>
      <c r="R1727" t="n">
        <v>0</v>
      </c>
      <c r="S1727" t="n">
        <v>0</v>
      </c>
      <c r="T1727" t="n">
        <v>0</v>
      </c>
      <c r="U1727" t="n">
        <v>0</v>
      </c>
      <c r="V1727" s="2" t="inlineStr"/>
    </row>
    <row r="1728" ht="15" customHeight="1">
      <c r="A1728" t="inlineStr">
        <is>
          <t>A 52642-2022</t>
        </is>
      </c>
      <c r="B1728" t="inlineStr">
        <is>
          <t>avverkningsanmälan</t>
        </is>
      </c>
      <c r="C1728" t="inlineStr">
        <is>
          <t>Föryngringsavverkning</t>
        </is>
      </c>
      <c r="D1728" s="1" t="n">
        <v>44874</v>
      </c>
      <c r="E1728" s="1" t="n">
        <v>46323</v>
      </c>
      <c r="F1728" t="inlineStr">
        <is>
          <t>KALMAR LÄN</t>
        </is>
      </c>
      <c r="G1728" t="inlineStr">
        <is>
          <t>MÖNSTERÅS</t>
        </is>
      </c>
      <c r="I1728" t="n">
        <v>2.2</v>
      </c>
      <c r="J1728" t="n">
        <v>0</v>
      </c>
      <c r="K1728" t="n">
        <v>0</v>
      </c>
      <c r="L1728" t="n">
        <v>0</v>
      </c>
      <c r="M1728" t="n">
        <v>0</v>
      </c>
      <c r="N1728" t="n">
        <v>0</v>
      </c>
      <c r="O1728" t="n">
        <v>0</v>
      </c>
      <c r="P1728" t="n">
        <v>0</v>
      </c>
      <c r="Q1728" t="n">
        <v>0</v>
      </c>
      <c r="R1728" t="n">
        <v>0</v>
      </c>
      <c r="S1728" t="n">
        <v>0</v>
      </c>
      <c r="T1728" t="n">
        <v>0</v>
      </c>
      <c r="U1728" t="n">
        <v>0</v>
      </c>
      <c r="V1728" s="2" t="inlineStr"/>
    </row>
    <row r="1729" ht="15" customHeight="1">
      <c r="A1729" t="inlineStr">
        <is>
          <t>A 50933-2022</t>
        </is>
      </c>
      <c r="B1729" t="inlineStr">
        <is>
          <t>avverkningsanmälan</t>
        </is>
      </c>
      <c r="C1729" t="inlineStr">
        <is>
          <t>Föryngringsavverkning</t>
        </is>
      </c>
      <c r="D1729" s="1" t="n">
        <v>44865</v>
      </c>
      <c r="E1729" s="1" t="n">
        <v>46323</v>
      </c>
      <c r="F1729" t="inlineStr">
        <is>
          <t>KALMAR LÄN</t>
        </is>
      </c>
      <c r="G1729" t="inlineStr">
        <is>
          <t>OSKARSHAMN</t>
        </is>
      </c>
      <c r="H1729" t="inlineStr">
        <is>
          <t>Övriga Aktiebolag</t>
        </is>
      </c>
      <c r="I1729" t="n">
        <v>0.8</v>
      </c>
      <c r="J1729" t="n">
        <v>0</v>
      </c>
      <c r="K1729" t="n">
        <v>0</v>
      </c>
      <c r="L1729" t="n">
        <v>0</v>
      </c>
      <c r="M1729" t="n">
        <v>0</v>
      </c>
      <c r="N1729" t="n">
        <v>0</v>
      </c>
      <c r="O1729" t="n">
        <v>0</v>
      </c>
      <c r="P1729" t="n">
        <v>0</v>
      </c>
      <c r="Q1729" t="n">
        <v>0</v>
      </c>
      <c r="R1729" t="n">
        <v>0</v>
      </c>
      <c r="S1729" t="n">
        <v>0</v>
      </c>
      <c r="T1729" t="n">
        <v>0</v>
      </c>
      <c r="U1729" t="n">
        <v>0</v>
      </c>
      <c r="V1729" s="2" t="inlineStr"/>
    </row>
    <row r="1730" ht="15" customHeight="1">
      <c r="A1730" t="inlineStr">
        <is>
          <t>A 16862-2024</t>
        </is>
      </c>
      <c r="B1730" t="inlineStr">
        <is>
          <t>avverkningsanmälan</t>
        </is>
      </c>
      <c r="C1730" t="inlineStr">
        <is>
          <t>Föryngringsavverkning</t>
        </is>
      </c>
      <c r="D1730" s="1" t="n">
        <v>45411</v>
      </c>
      <c r="E1730" s="1" t="n">
        <v>46323</v>
      </c>
      <c r="F1730" t="inlineStr">
        <is>
          <t>KALMAR LÄN</t>
        </is>
      </c>
      <c r="G1730" t="inlineStr">
        <is>
          <t>NYBRO</t>
        </is>
      </c>
      <c r="I1730" t="n">
        <v>3.4</v>
      </c>
      <c r="J1730" t="n">
        <v>0</v>
      </c>
      <c r="K1730" t="n">
        <v>0</v>
      </c>
      <c r="L1730" t="n">
        <v>0</v>
      </c>
      <c r="M1730" t="n">
        <v>0</v>
      </c>
      <c r="N1730" t="n">
        <v>0</v>
      </c>
      <c r="O1730" t="n">
        <v>0</v>
      </c>
      <c r="P1730" t="n">
        <v>0</v>
      </c>
      <c r="Q1730" t="n">
        <v>0</v>
      </c>
      <c r="R1730" t="n">
        <v>0</v>
      </c>
      <c r="S1730" t="n">
        <v>0</v>
      </c>
      <c r="T1730" t="n">
        <v>0</v>
      </c>
      <c r="U1730" t="n">
        <v>0</v>
      </c>
      <c r="V1730" s="2" t="inlineStr"/>
    </row>
    <row r="1731" ht="15" customHeight="1">
      <c r="A1731" t="inlineStr">
        <is>
          <t>A 40260-2024</t>
        </is>
      </c>
      <c r="B1731" t="inlineStr">
        <is>
          <t>avverkningsanmälan</t>
        </is>
      </c>
      <c r="C1731" t="inlineStr">
        <is>
          <t>Föryngringsavverkning</t>
        </is>
      </c>
      <c r="D1731" s="1" t="n">
        <v>45554</v>
      </c>
      <c r="E1731" s="1" t="n">
        <v>46323</v>
      </c>
      <c r="F1731" t="inlineStr">
        <is>
          <t>KALMAR LÄN</t>
        </is>
      </c>
      <c r="G1731" t="inlineStr">
        <is>
          <t>VIMMERBY</t>
        </is>
      </c>
      <c r="I1731" t="n">
        <v>1.2</v>
      </c>
      <c r="J1731" t="n">
        <v>0</v>
      </c>
      <c r="K1731" t="n">
        <v>0</v>
      </c>
      <c r="L1731" t="n">
        <v>0</v>
      </c>
      <c r="M1731" t="n">
        <v>0</v>
      </c>
      <c r="N1731" t="n">
        <v>0</v>
      </c>
      <c r="O1731" t="n">
        <v>0</v>
      </c>
      <c r="P1731" t="n">
        <v>0</v>
      </c>
      <c r="Q1731" t="n">
        <v>0</v>
      </c>
      <c r="R1731" t="n">
        <v>0</v>
      </c>
      <c r="S1731" t="n">
        <v>0</v>
      </c>
      <c r="T1731" t="n">
        <v>0</v>
      </c>
      <c r="U1731" t="n">
        <v>0</v>
      </c>
      <c r="V1731" s="2" t="inlineStr"/>
    </row>
    <row r="1732" ht="15" customHeight="1">
      <c r="A1732" t="inlineStr">
        <is>
          <t>A 24782-2023</t>
        </is>
      </c>
      <c r="B1732" t="inlineStr">
        <is>
          <t>avverkningsanmälan</t>
        </is>
      </c>
      <c r="C1732" t="inlineStr">
        <is>
          <t>Föryngringsavverkning</t>
        </is>
      </c>
      <c r="D1732" s="1" t="n">
        <v>45084</v>
      </c>
      <c r="E1732" s="1" t="n">
        <v>46323</v>
      </c>
      <c r="F1732" t="inlineStr">
        <is>
          <t>KALMAR LÄN</t>
        </is>
      </c>
      <c r="G1732" t="inlineStr">
        <is>
          <t>EMMABODA</t>
        </is>
      </c>
      <c r="I1732" t="n">
        <v>0.7</v>
      </c>
      <c r="J1732" t="n">
        <v>0</v>
      </c>
      <c r="K1732" t="n">
        <v>0</v>
      </c>
      <c r="L1732" t="n">
        <v>0</v>
      </c>
      <c r="M1732" t="n">
        <v>0</v>
      </c>
      <c r="N1732" t="n">
        <v>0</v>
      </c>
      <c r="O1732" t="n">
        <v>0</v>
      </c>
      <c r="P1732" t="n">
        <v>0</v>
      </c>
      <c r="Q1732" t="n">
        <v>0</v>
      </c>
      <c r="R1732" t="n">
        <v>0</v>
      </c>
      <c r="S1732" t="n">
        <v>0</v>
      </c>
      <c r="T1732" t="n">
        <v>0</v>
      </c>
      <c r="U1732" t="n">
        <v>0</v>
      </c>
      <c r="V1732" s="2" t="inlineStr"/>
    </row>
    <row r="1733" ht="15" customHeight="1">
      <c r="A1733" t="inlineStr">
        <is>
          <t>A 24881-2023</t>
        </is>
      </c>
      <c r="B1733" t="inlineStr">
        <is>
          <t>avverkningsanmälan</t>
        </is>
      </c>
      <c r="C1733" t="inlineStr">
        <is>
          <t>Föryngringsavverkning</t>
        </is>
      </c>
      <c r="D1733" s="1" t="n">
        <v>45085</v>
      </c>
      <c r="E1733" s="1" t="n">
        <v>46323</v>
      </c>
      <c r="F1733" t="inlineStr">
        <is>
          <t>KALMAR LÄN</t>
        </is>
      </c>
      <c r="G1733" t="inlineStr">
        <is>
          <t>VÄSTERVIK</t>
        </is>
      </c>
      <c r="H1733" t="inlineStr">
        <is>
          <t>Holmen skog AB</t>
        </is>
      </c>
      <c r="I1733" t="n">
        <v>1.6</v>
      </c>
      <c r="J1733" t="n">
        <v>0</v>
      </c>
      <c r="K1733" t="n">
        <v>0</v>
      </c>
      <c r="L1733" t="n">
        <v>0</v>
      </c>
      <c r="M1733" t="n">
        <v>0</v>
      </c>
      <c r="N1733" t="n">
        <v>0</v>
      </c>
      <c r="O1733" t="n">
        <v>0</v>
      </c>
      <c r="P1733" t="n">
        <v>0</v>
      </c>
      <c r="Q1733" t="n">
        <v>0</v>
      </c>
      <c r="R1733" t="n">
        <v>0</v>
      </c>
      <c r="S1733" t="n">
        <v>0</v>
      </c>
      <c r="T1733" t="n">
        <v>0</v>
      </c>
      <c r="U1733" t="n">
        <v>0</v>
      </c>
      <c r="V1733" s="2" t="inlineStr"/>
    </row>
    <row r="1734" ht="15" customHeight="1">
      <c r="A1734" t="inlineStr">
        <is>
          <t>A 10787-2025</t>
        </is>
      </c>
      <c r="B1734" t="inlineStr">
        <is>
          <t>avverkningsanmälan</t>
        </is>
      </c>
      <c r="C1734" t="inlineStr">
        <is>
          <t>Föryngringsavverkning</t>
        </is>
      </c>
      <c r="D1734" s="1" t="n">
        <v>45722</v>
      </c>
      <c r="E1734" s="1" t="n">
        <v>46323</v>
      </c>
      <c r="F1734" t="inlineStr">
        <is>
          <t>KALMAR LÄN</t>
        </is>
      </c>
      <c r="G1734" t="inlineStr">
        <is>
          <t>VIMMERBY</t>
        </is>
      </c>
      <c r="I1734" t="n">
        <v>0.5</v>
      </c>
      <c r="J1734" t="n">
        <v>0</v>
      </c>
      <c r="K1734" t="n">
        <v>0</v>
      </c>
      <c r="L1734" t="n">
        <v>0</v>
      </c>
      <c r="M1734" t="n">
        <v>0</v>
      </c>
      <c r="N1734" t="n">
        <v>0</v>
      </c>
      <c r="O1734" t="n">
        <v>0</v>
      </c>
      <c r="P1734" t="n">
        <v>0</v>
      </c>
      <c r="Q1734" t="n">
        <v>0</v>
      </c>
      <c r="R1734" t="n">
        <v>0</v>
      </c>
      <c r="S1734" t="n">
        <v>0</v>
      </c>
      <c r="T1734" t="n">
        <v>0</v>
      </c>
      <c r="U1734" t="n">
        <v>0</v>
      </c>
      <c r="V1734" s="2" t="inlineStr"/>
    </row>
    <row r="1735" ht="15" customHeight="1">
      <c r="A1735" t="inlineStr">
        <is>
          <t>A 48102-2023</t>
        </is>
      </c>
      <c r="B1735" t="inlineStr">
        <is>
          <t>avverkningsanmälan</t>
        </is>
      </c>
      <c r="C1735" t="inlineStr">
        <is>
          <t>Föryngringsavverkning</t>
        </is>
      </c>
      <c r="D1735" s="1" t="n">
        <v>45205</v>
      </c>
      <c r="E1735" s="1" t="n">
        <v>46323</v>
      </c>
      <c r="F1735" t="inlineStr">
        <is>
          <t>KALMAR LÄN</t>
        </is>
      </c>
      <c r="G1735" t="inlineStr">
        <is>
          <t>NYBRO</t>
        </is>
      </c>
      <c r="I1735" t="n">
        <v>1.2</v>
      </c>
      <c r="J1735" t="n">
        <v>0</v>
      </c>
      <c r="K1735" t="n">
        <v>0</v>
      </c>
      <c r="L1735" t="n">
        <v>0</v>
      </c>
      <c r="M1735" t="n">
        <v>0</v>
      </c>
      <c r="N1735" t="n">
        <v>0</v>
      </c>
      <c r="O1735" t="n">
        <v>0</v>
      </c>
      <c r="P1735" t="n">
        <v>0</v>
      </c>
      <c r="Q1735" t="n">
        <v>0</v>
      </c>
      <c r="R1735" t="n">
        <v>0</v>
      </c>
      <c r="S1735" t="n">
        <v>0</v>
      </c>
      <c r="T1735" t="n">
        <v>0</v>
      </c>
      <c r="U1735" t="n">
        <v>0</v>
      </c>
      <c r="V1735" s="2" t="inlineStr"/>
    </row>
    <row r="1736" ht="15" customHeight="1">
      <c r="A1736" t="inlineStr">
        <is>
          <t>A 8481-2024</t>
        </is>
      </c>
      <c r="B1736" t="inlineStr">
        <is>
          <t>avverkningsanmälan</t>
        </is>
      </c>
      <c r="C1736" t="inlineStr">
        <is>
          <t>Föryngringsavverkning</t>
        </is>
      </c>
      <c r="D1736" s="1" t="n">
        <v>45355</v>
      </c>
      <c r="E1736" s="1" t="n">
        <v>46323</v>
      </c>
      <c r="F1736" t="inlineStr">
        <is>
          <t>KALMAR LÄN</t>
        </is>
      </c>
      <c r="G1736" t="inlineStr">
        <is>
          <t>EMMABODA</t>
        </is>
      </c>
      <c r="I1736" t="n">
        <v>0.5</v>
      </c>
      <c r="J1736" t="n">
        <v>0</v>
      </c>
      <c r="K1736" t="n">
        <v>0</v>
      </c>
      <c r="L1736" t="n">
        <v>0</v>
      </c>
      <c r="M1736" t="n">
        <v>0</v>
      </c>
      <c r="N1736" t="n">
        <v>0</v>
      </c>
      <c r="O1736" t="n">
        <v>0</v>
      </c>
      <c r="P1736" t="n">
        <v>0</v>
      </c>
      <c r="Q1736" t="n">
        <v>0</v>
      </c>
      <c r="R1736" t="n">
        <v>0</v>
      </c>
      <c r="S1736" t="n">
        <v>0</v>
      </c>
      <c r="T1736" t="n">
        <v>0</v>
      </c>
      <c r="U1736" t="n">
        <v>0</v>
      </c>
      <c r="V1736" s="2" t="inlineStr"/>
    </row>
    <row r="1737" ht="15" customHeight="1">
      <c r="A1737" t="inlineStr">
        <is>
          <t>A 58577-2024</t>
        </is>
      </c>
      <c r="B1737" t="inlineStr">
        <is>
          <t>avverkningsanmälan</t>
        </is>
      </c>
      <c r="C1737" t="inlineStr">
        <is>
          <t>Föryngringsavverkning</t>
        </is>
      </c>
      <c r="D1737" s="1" t="n">
        <v>45635</v>
      </c>
      <c r="E1737" s="1" t="n">
        <v>46323</v>
      </c>
      <c r="F1737" t="inlineStr">
        <is>
          <t>KALMAR LÄN</t>
        </is>
      </c>
      <c r="G1737" t="inlineStr">
        <is>
          <t>VIMMERBY</t>
        </is>
      </c>
      <c r="I1737" t="n">
        <v>1.1</v>
      </c>
      <c r="J1737" t="n">
        <v>0</v>
      </c>
      <c r="K1737" t="n">
        <v>0</v>
      </c>
      <c r="L1737" t="n">
        <v>0</v>
      </c>
      <c r="M1737" t="n">
        <v>0</v>
      </c>
      <c r="N1737" t="n">
        <v>0</v>
      </c>
      <c r="O1737" t="n">
        <v>0</v>
      </c>
      <c r="P1737" t="n">
        <v>0</v>
      </c>
      <c r="Q1737" t="n">
        <v>0</v>
      </c>
      <c r="R1737" t="n">
        <v>0</v>
      </c>
      <c r="S1737" t="n">
        <v>0</v>
      </c>
      <c r="T1737" t="n">
        <v>0</v>
      </c>
      <c r="U1737" t="n">
        <v>0</v>
      </c>
      <c r="V1737" s="2" t="inlineStr"/>
    </row>
    <row r="1738" ht="15" customHeight="1">
      <c r="A1738" t="inlineStr">
        <is>
          <t>A 16446-2022</t>
        </is>
      </c>
      <c r="B1738" t="inlineStr">
        <is>
          <t>avverkningsanmälan</t>
        </is>
      </c>
      <c r="C1738" t="inlineStr">
        <is>
          <t>Föryngringsavverkning</t>
        </is>
      </c>
      <c r="D1738" s="1" t="n">
        <v>44671</v>
      </c>
      <c r="E1738" s="1" t="n">
        <v>46323</v>
      </c>
      <c r="F1738" t="inlineStr">
        <is>
          <t>KALMAR LÄN</t>
        </is>
      </c>
      <c r="G1738" t="inlineStr">
        <is>
          <t>TORSÅS</t>
        </is>
      </c>
      <c r="I1738" t="n">
        <v>1.1</v>
      </c>
      <c r="J1738" t="n">
        <v>0</v>
      </c>
      <c r="K1738" t="n">
        <v>0</v>
      </c>
      <c r="L1738" t="n">
        <v>0</v>
      </c>
      <c r="M1738" t="n">
        <v>0</v>
      </c>
      <c r="N1738" t="n">
        <v>0</v>
      </c>
      <c r="O1738" t="n">
        <v>0</v>
      </c>
      <c r="P1738" t="n">
        <v>0</v>
      </c>
      <c r="Q1738" t="n">
        <v>0</v>
      </c>
      <c r="R1738" t="n">
        <v>0</v>
      </c>
      <c r="S1738" t="n">
        <v>0</v>
      </c>
      <c r="T1738" t="n">
        <v>0</v>
      </c>
      <c r="U1738" t="n">
        <v>0</v>
      </c>
      <c r="V1738" s="2" t="inlineStr"/>
    </row>
    <row r="1739" ht="15" customHeight="1">
      <c r="A1739" t="inlineStr">
        <is>
          <t>A 45900-2024</t>
        </is>
      </c>
      <c r="B1739" t="inlineStr">
        <is>
          <t>avverkningsanmälan</t>
        </is>
      </c>
      <c r="C1739" t="inlineStr">
        <is>
          <t>Föryngringsavverkning</t>
        </is>
      </c>
      <c r="D1739" s="1" t="n">
        <v>45580</v>
      </c>
      <c r="E1739" s="1" t="n">
        <v>46323</v>
      </c>
      <c r="F1739" t="inlineStr">
        <is>
          <t>KALMAR LÄN</t>
        </is>
      </c>
      <c r="G1739" t="inlineStr">
        <is>
          <t>OSKARSHAMN</t>
        </is>
      </c>
      <c r="I1739" t="n">
        <v>6</v>
      </c>
      <c r="J1739" t="n">
        <v>0</v>
      </c>
      <c r="K1739" t="n">
        <v>0</v>
      </c>
      <c r="L1739" t="n">
        <v>0</v>
      </c>
      <c r="M1739" t="n">
        <v>0</v>
      </c>
      <c r="N1739" t="n">
        <v>0</v>
      </c>
      <c r="O1739" t="n">
        <v>0</v>
      </c>
      <c r="P1739" t="n">
        <v>0</v>
      </c>
      <c r="Q1739" t="n">
        <v>0</v>
      </c>
      <c r="R1739" t="n">
        <v>0</v>
      </c>
      <c r="S1739" t="n">
        <v>0</v>
      </c>
      <c r="T1739" t="n">
        <v>0</v>
      </c>
      <c r="U1739" t="n">
        <v>0</v>
      </c>
      <c r="V1739" s="2" t="inlineStr"/>
    </row>
    <row r="1740" ht="15" customHeight="1">
      <c r="A1740" t="inlineStr">
        <is>
          <t>A 38198-2024</t>
        </is>
      </c>
      <c r="B1740" t="inlineStr">
        <is>
          <t>avverkningsanmälan</t>
        </is>
      </c>
      <c r="C1740" t="inlineStr">
        <is>
          <t>Föryngringsavverkning</t>
        </is>
      </c>
      <c r="D1740" s="1" t="n">
        <v>45545</v>
      </c>
      <c r="E1740" s="1" t="n">
        <v>46323</v>
      </c>
      <c r="F1740" t="inlineStr">
        <is>
          <t>KALMAR LÄN</t>
        </is>
      </c>
      <c r="G1740" t="inlineStr">
        <is>
          <t>VIMMERBY</t>
        </is>
      </c>
      <c r="I1740" t="n">
        <v>7.9</v>
      </c>
      <c r="J1740" t="n">
        <v>0</v>
      </c>
      <c r="K1740" t="n">
        <v>0</v>
      </c>
      <c r="L1740" t="n">
        <v>0</v>
      </c>
      <c r="M1740" t="n">
        <v>0</v>
      </c>
      <c r="N1740" t="n">
        <v>0</v>
      </c>
      <c r="O1740" t="n">
        <v>0</v>
      </c>
      <c r="P1740" t="n">
        <v>0</v>
      </c>
      <c r="Q1740" t="n">
        <v>0</v>
      </c>
      <c r="R1740" t="n">
        <v>0</v>
      </c>
      <c r="S1740" t="n">
        <v>0</v>
      </c>
      <c r="T1740" t="n">
        <v>0</v>
      </c>
      <c r="U1740" t="n">
        <v>0</v>
      </c>
      <c r="V1740" s="2" t="inlineStr"/>
    </row>
    <row r="1741" ht="15" customHeight="1">
      <c r="A1741" t="inlineStr">
        <is>
          <t>A 43199-2024</t>
        </is>
      </c>
      <c r="B1741" t="inlineStr">
        <is>
          <t>avverkningsanmälan</t>
        </is>
      </c>
      <c r="C1741" t="inlineStr">
        <is>
          <t>Föryngringsavverkning</t>
        </is>
      </c>
      <c r="D1741" s="1" t="n">
        <v>45567</v>
      </c>
      <c r="E1741" s="1" t="n">
        <v>46323</v>
      </c>
      <c r="F1741" t="inlineStr">
        <is>
          <t>KALMAR LÄN</t>
        </is>
      </c>
      <c r="G1741" t="inlineStr">
        <is>
          <t>VÄSTERVIK</t>
        </is>
      </c>
      <c r="I1741" t="n">
        <v>1.8</v>
      </c>
      <c r="J1741" t="n">
        <v>0</v>
      </c>
      <c r="K1741" t="n">
        <v>0</v>
      </c>
      <c r="L1741" t="n">
        <v>0</v>
      </c>
      <c r="M1741" t="n">
        <v>0</v>
      </c>
      <c r="N1741" t="n">
        <v>0</v>
      </c>
      <c r="O1741" t="n">
        <v>0</v>
      </c>
      <c r="P1741" t="n">
        <v>0</v>
      </c>
      <c r="Q1741" t="n">
        <v>0</v>
      </c>
      <c r="R1741" t="n">
        <v>0</v>
      </c>
      <c r="S1741" t="n">
        <v>0</v>
      </c>
      <c r="T1741" t="n">
        <v>0</v>
      </c>
      <c r="U1741" t="n">
        <v>0</v>
      </c>
      <c r="V1741" s="2" t="inlineStr"/>
    </row>
    <row r="1742" ht="15" customHeight="1">
      <c r="A1742" t="inlineStr">
        <is>
          <t>A 41976-2022</t>
        </is>
      </c>
      <c r="B1742" t="inlineStr">
        <is>
          <t>avverkningsanmälan</t>
        </is>
      </c>
      <c r="C1742" t="inlineStr">
        <is>
          <t>Föryngringsavverkning</t>
        </is>
      </c>
      <c r="D1742" s="1" t="n">
        <v>44830</v>
      </c>
      <c r="E1742" s="1" t="n">
        <v>46323</v>
      </c>
      <c r="F1742" t="inlineStr">
        <is>
          <t>KALMAR LÄN</t>
        </is>
      </c>
      <c r="G1742" t="inlineStr">
        <is>
          <t>HULTSFRED</t>
        </is>
      </c>
      <c r="I1742" t="n">
        <v>2</v>
      </c>
      <c r="J1742" t="n">
        <v>0</v>
      </c>
      <c r="K1742" t="n">
        <v>0</v>
      </c>
      <c r="L1742" t="n">
        <v>0</v>
      </c>
      <c r="M1742" t="n">
        <v>0</v>
      </c>
      <c r="N1742" t="n">
        <v>0</v>
      </c>
      <c r="O1742" t="n">
        <v>0</v>
      </c>
      <c r="P1742" t="n">
        <v>0</v>
      </c>
      <c r="Q1742" t="n">
        <v>0</v>
      </c>
      <c r="R1742" t="n">
        <v>0</v>
      </c>
      <c r="S1742" t="n">
        <v>0</v>
      </c>
      <c r="T1742" t="n">
        <v>0</v>
      </c>
      <c r="U1742" t="n">
        <v>0</v>
      </c>
      <c r="V1742" s="2" t="inlineStr"/>
    </row>
    <row r="1743" ht="15" customHeight="1">
      <c r="A1743" t="inlineStr">
        <is>
          <t>A 65130-2023</t>
        </is>
      </c>
      <c r="B1743" t="inlineStr">
        <is>
          <t>avverkningsanmälan</t>
        </is>
      </c>
      <c r="C1743" t="inlineStr">
        <is>
          <t>Avverkning för att bevara och utveckla /försöksver</t>
        </is>
      </c>
      <c r="D1743" s="1" t="n">
        <v>45288</v>
      </c>
      <c r="E1743" s="1" t="n">
        <v>46323</v>
      </c>
      <c r="F1743" t="inlineStr">
        <is>
          <t>KALMAR LÄN</t>
        </is>
      </c>
      <c r="G1743" t="inlineStr">
        <is>
          <t>HÖGSBY</t>
        </is>
      </c>
      <c r="H1743" t="inlineStr">
        <is>
          <t>Sveaskog</t>
        </is>
      </c>
      <c r="I1743" t="n">
        <v>0.7</v>
      </c>
      <c r="J1743" t="n">
        <v>0</v>
      </c>
      <c r="K1743" t="n">
        <v>0</v>
      </c>
      <c r="L1743" t="n">
        <v>0</v>
      </c>
      <c r="M1743" t="n">
        <v>0</v>
      </c>
      <c r="N1743" t="n">
        <v>0</v>
      </c>
      <c r="O1743" t="n">
        <v>0</v>
      </c>
      <c r="P1743" t="n">
        <v>0</v>
      </c>
      <c r="Q1743" t="n">
        <v>0</v>
      </c>
      <c r="R1743" t="n">
        <v>0</v>
      </c>
      <c r="S1743" t="n">
        <v>0</v>
      </c>
      <c r="T1743" t="n">
        <v>0</v>
      </c>
      <c r="U1743" t="n">
        <v>0</v>
      </c>
      <c r="V1743" s="2" t="inlineStr"/>
    </row>
    <row r="1744" ht="15" customHeight="1">
      <c r="A1744" t="inlineStr">
        <is>
          <t>A 42498-2022</t>
        </is>
      </c>
      <c r="B1744" t="inlineStr">
        <is>
          <t>avverkningsanmälan</t>
        </is>
      </c>
      <c r="C1744" t="inlineStr">
        <is>
          <t>Föryngringsavverkning</t>
        </is>
      </c>
      <c r="D1744" s="1" t="n">
        <v>44831</v>
      </c>
      <c r="E1744" s="1" t="n">
        <v>46323</v>
      </c>
      <c r="F1744" t="inlineStr">
        <is>
          <t>KALMAR LÄN</t>
        </is>
      </c>
      <c r="G1744" t="inlineStr">
        <is>
          <t>HULTSFRED</t>
        </is>
      </c>
      <c r="I1744" t="n">
        <v>4.9</v>
      </c>
      <c r="J1744" t="n">
        <v>0</v>
      </c>
      <c r="K1744" t="n">
        <v>0</v>
      </c>
      <c r="L1744" t="n">
        <v>0</v>
      </c>
      <c r="M1744" t="n">
        <v>0</v>
      </c>
      <c r="N1744" t="n">
        <v>0</v>
      </c>
      <c r="O1744" t="n">
        <v>0</v>
      </c>
      <c r="P1744" t="n">
        <v>0</v>
      </c>
      <c r="Q1744" t="n">
        <v>0</v>
      </c>
      <c r="R1744" t="n">
        <v>0</v>
      </c>
      <c r="S1744" t="n">
        <v>0</v>
      </c>
      <c r="T1744" t="n">
        <v>0</v>
      </c>
      <c r="U1744" t="n">
        <v>0</v>
      </c>
      <c r="V1744" s="2" t="inlineStr"/>
    </row>
    <row r="1745" ht="15" customHeight="1">
      <c r="A1745" t="inlineStr">
        <is>
          <t>A 20648-2022</t>
        </is>
      </c>
      <c r="B1745" t="inlineStr">
        <is>
          <t>avverkningsanmälan</t>
        </is>
      </c>
      <c r="C1745" t="inlineStr">
        <is>
          <t>Föryngringsavverkning</t>
        </is>
      </c>
      <c r="D1745" s="1" t="n">
        <v>44700</v>
      </c>
      <c r="E1745" s="1" t="n">
        <v>46323</v>
      </c>
      <c r="F1745" t="inlineStr">
        <is>
          <t>KALMAR LÄN</t>
        </is>
      </c>
      <c r="G1745" t="inlineStr">
        <is>
          <t>EMMABODA</t>
        </is>
      </c>
      <c r="I1745" t="n">
        <v>1.6</v>
      </c>
      <c r="J1745" t="n">
        <v>0</v>
      </c>
      <c r="K1745" t="n">
        <v>0</v>
      </c>
      <c r="L1745" t="n">
        <v>0</v>
      </c>
      <c r="M1745" t="n">
        <v>0</v>
      </c>
      <c r="N1745" t="n">
        <v>0</v>
      </c>
      <c r="O1745" t="n">
        <v>0</v>
      </c>
      <c r="P1745" t="n">
        <v>0</v>
      </c>
      <c r="Q1745" t="n">
        <v>0</v>
      </c>
      <c r="R1745" t="n">
        <v>0</v>
      </c>
      <c r="S1745" t="n">
        <v>0</v>
      </c>
      <c r="T1745" t="n">
        <v>0</v>
      </c>
      <c r="U1745" t="n">
        <v>0</v>
      </c>
      <c r="V1745" s="2" t="inlineStr"/>
    </row>
    <row r="1746" ht="15" customHeight="1">
      <c r="A1746" t="inlineStr">
        <is>
          <t>A 48918-2023</t>
        </is>
      </c>
      <c r="B1746" t="inlineStr">
        <is>
          <t>avverkningsanmälan</t>
        </is>
      </c>
      <c r="C1746" t="inlineStr">
        <is>
          <t>Föryngringsavverkning</t>
        </is>
      </c>
      <c r="D1746" s="1" t="n">
        <v>45204</v>
      </c>
      <c r="E1746" s="1" t="n">
        <v>46323</v>
      </c>
      <c r="F1746" t="inlineStr">
        <is>
          <t>KALMAR LÄN</t>
        </is>
      </c>
      <c r="G1746" t="inlineStr">
        <is>
          <t>EMMABODA</t>
        </is>
      </c>
      <c r="H1746" t="inlineStr">
        <is>
          <t>Övriga Aktiebolag</t>
        </is>
      </c>
      <c r="I1746" t="n">
        <v>5.9</v>
      </c>
      <c r="J1746" t="n">
        <v>0</v>
      </c>
      <c r="K1746" t="n">
        <v>0</v>
      </c>
      <c r="L1746" t="n">
        <v>0</v>
      </c>
      <c r="M1746" t="n">
        <v>0</v>
      </c>
      <c r="N1746" t="n">
        <v>0</v>
      </c>
      <c r="O1746" t="n">
        <v>0</v>
      </c>
      <c r="P1746" t="n">
        <v>0</v>
      </c>
      <c r="Q1746" t="n">
        <v>0</v>
      </c>
      <c r="R1746" t="n">
        <v>0</v>
      </c>
      <c r="S1746" t="n">
        <v>0</v>
      </c>
      <c r="T1746" t="n">
        <v>0</v>
      </c>
      <c r="U1746" t="n">
        <v>0</v>
      </c>
      <c r="V1746" s="2" t="inlineStr"/>
    </row>
    <row r="1747" ht="15" customHeight="1">
      <c r="A1747" t="inlineStr">
        <is>
          <t>A 48927-2023</t>
        </is>
      </c>
      <c r="B1747" t="inlineStr">
        <is>
          <t>avverkningsanmälan</t>
        </is>
      </c>
      <c r="C1747" t="inlineStr">
        <is>
          <t>Föryngringsavverkning</t>
        </is>
      </c>
      <c r="D1747" s="1" t="n">
        <v>45209</v>
      </c>
      <c r="E1747" s="1" t="n">
        <v>46323</v>
      </c>
      <c r="F1747" t="inlineStr">
        <is>
          <t>KALMAR LÄN</t>
        </is>
      </c>
      <c r="G1747" t="inlineStr">
        <is>
          <t>HULTSFRED</t>
        </is>
      </c>
      <c r="H1747" t="inlineStr">
        <is>
          <t>Övriga Aktiebolag</t>
        </is>
      </c>
      <c r="I1747" t="n">
        <v>0.6</v>
      </c>
      <c r="J1747" t="n">
        <v>0</v>
      </c>
      <c r="K1747" t="n">
        <v>0</v>
      </c>
      <c r="L1747" t="n">
        <v>0</v>
      </c>
      <c r="M1747" t="n">
        <v>0</v>
      </c>
      <c r="N1747" t="n">
        <v>0</v>
      </c>
      <c r="O1747" t="n">
        <v>0</v>
      </c>
      <c r="P1747" t="n">
        <v>0</v>
      </c>
      <c r="Q1747" t="n">
        <v>0</v>
      </c>
      <c r="R1747" t="n">
        <v>0</v>
      </c>
      <c r="S1747" t="n">
        <v>0</v>
      </c>
      <c r="T1747" t="n">
        <v>0</v>
      </c>
      <c r="U1747" t="n">
        <v>0</v>
      </c>
      <c r="V1747" s="2" t="inlineStr"/>
    </row>
    <row r="1748" ht="15" customHeight="1">
      <c r="A1748" t="inlineStr">
        <is>
          <t>A 7068-2024</t>
        </is>
      </c>
      <c r="B1748" t="inlineStr">
        <is>
          <t>avverkningsanmälan</t>
        </is>
      </c>
      <c r="C1748" t="inlineStr">
        <is>
          <t>Föryngringsavverkning</t>
        </is>
      </c>
      <c r="D1748" s="1" t="n">
        <v>45343</v>
      </c>
      <c r="E1748" s="1" t="n">
        <v>46323</v>
      </c>
      <c r="F1748" t="inlineStr">
        <is>
          <t>KALMAR LÄN</t>
        </is>
      </c>
      <c r="G1748" t="inlineStr">
        <is>
          <t>VIMMERBY</t>
        </is>
      </c>
      <c r="I1748" t="n">
        <v>2.5</v>
      </c>
      <c r="J1748" t="n">
        <v>0</v>
      </c>
      <c r="K1748" t="n">
        <v>0</v>
      </c>
      <c r="L1748" t="n">
        <v>0</v>
      </c>
      <c r="M1748" t="n">
        <v>0</v>
      </c>
      <c r="N1748" t="n">
        <v>0</v>
      </c>
      <c r="O1748" t="n">
        <v>0</v>
      </c>
      <c r="P1748" t="n">
        <v>0</v>
      </c>
      <c r="Q1748" t="n">
        <v>0</v>
      </c>
      <c r="R1748" t="n">
        <v>0</v>
      </c>
      <c r="S1748" t="n">
        <v>0</v>
      </c>
      <c r="T1748" t="n">
        <v>0</v>
      </c>
      <c r="U1748" t="n">
        <v>0</v>
      </c>
      <c r="V1748" s="2" t="inlineStr"/>
    </row>
    <row r="1749" ht="15" customHeight="1">
      <c r="A1749" t="inlineStr">
        <is>
          <t>A 2782-2024</t>
        </is>
      </c>
      <c r="B1749" t="inlineStr">
        <is>
          <t>avverkningsanmälan</t>
        </is>
      </c>
      <c r="C1749" t="inlineStr">
        <is>
          <t>Föryngringsavverkning</t>
        </is>
      </c>
      <c r="D1749" s="1" t="n">
        <v>45314</v>
      </c>
      <c r="E1749" s="1" t="n">
        <v>46323</v>
      </c>
      <c r="F1749" t="inlineStr">
        <is>
          <t>KALMAR LÄN</t>
        </is>
      </c>
      <c r="G1749" t="inlineStr">
        <is>
          <t>OSKARSHAMN</t>
        </is>
      </c>
      <c r="I1749" t="n">
        <v>0.5</v>
      </c>
      <c r="J1749" t="n">
        <v>0</v>
      </c>
      <c r="K1749" t="n">
        <v>0</v>
      </c>
      <c r="L1749" t="n">
        <v>0</v>
      </c>
      <c r="M1749" t="n">
        <v>0</v>
      </c>
      <c r="N1749" t="n">
        <v>0</v>
      </c>
      <c r="O1749" t="n">
        <v>0</v>
      </c>
      <c r="P1749" t="n">
        <v>0</v>
      </c>
      <c r="Q1749" t="n">
        <v>0</v>
      </c>
      <c r="R1749" t="n">
        <v>0</v>
      </c>
      <c r="S1749" t="n">
        <v>0</v>
      </c>
      <c r="T1749" t="n">
        <v>0</v>
      </c>
      <c r="U1749" t="n">
        <v>0</v>
      </c>
      <c r="V1749" s="2" t="inlineStr"/>
    </row>
    <row r="1750" ht="15" customHeight="1">
      <c r="A1750" t="inlineStr">
        <is>
          <t>A 21906-2022</t>
        </is>
      </c>
      <c r="B1750" t="inlineStr">
        <is>
          <t>avverkningsanmälan</t>
        </is>
      </c>
      <c r="C1750" t="inlineStr">
        <is>
          <t>Föryngringsavverkning</t>
        </is>
      </c>
      <c r="D1750" s="1" t="n">
        <v>44711</v>
      </c>
      <c r="E1750" s="1" t="n">
        <v>46323</v>
      </c>
      <c r="F1750" t="inlineStr">
        <is>
          <t>KALMAR LÄN</t>
        </is>
      </c>
      <c r="G1750" t="inlineStr">
        <is>
          <t>OSKARSHAMN</t>
        </is>
      </c>
      <c r="I1750" t="n">
        <v>4.5</v>
      </c>
      <c r="J1750" t="n">
        <v>0</v>
      </c>
      <c r="K1750" t="n">
        <v>0</v>
      </c>
      <c r="L1750" t="n">
        <v>0</v>
      </c>
      <c r="M1750" t="n">
        <v>0</v>
      </c>
      <c r="N1750" t="n">
        <v>0</v>
      </c>
      <c r="O1750" t="n">
        <v>0</v>
      </c>
      <c r="P1750" t="n">
        <v>0</v>
      </c>
      <c r="Q1750" t="n">
        <v>0</v>
      </c>
      <c r="R1750" t="n">
        <v>0</v>
      </c>
      <c r="S1750" t="n">
        <v>0</v>
      </c>
      <c r="T1750" t="n">
        <v>0</v>
      </c>
      <c r="U1750" t="n">
        <v>0</v>
      </c>
      <c r="V1750" s="2" t="inlineStr"/>
    </row>
    <row r="1751" ht="15" customHeight="1">
      <c r="A1751" t="inlineStr">
        <is>
          <t>A 8194-2022</t>
        </is>
      </c>
      <c r="B1751" t="inlineStr">
        <is>
          <t>avverkningsanmälan</t>
        </is>
      </c>
      <c r="C1751" t="inlineStr">
        <is>
          <t>Föryngringsavverkning</t>
        </is>
      </c>
      <c r="D1751" s="1" t="n">
        <v>44609</v>
      </c>
      <c r="E1751" s="1" t="n">
        <v>46323</v>
      </c>
      <c r="F1751" t="inlineStr">
        <is>
          <t>KALMAR LÄN</t>
        </is>
      </c>
      <c r="G1751" t="inlineStr">
        <is>
          <t>VIMMERBY</t>
        </is>
      </c>
      <c r="I1751" t="n">
        <v>0.5</v>
      </c>
      <c r="J1751" t="n">
        <v>0</v>
      </c>
      <c r="K1751" t="n">
        <v>0</v>
      </c>
      <c r="L1751" t="n">
        <v>0</v>
      </c>
      <c r="M1751" t="n">
        <v>0</v>
      </c>
      <c r="N1751" t="n">
        <v>0</v>
      </c>
      <c r="O1751" t="n">
        <v>0</v>
      </c>
      <c r="P1751" t="n">
        <v>0</v>
      </c>
      <c r="Q1751" t="n">
        <v>0</v>
      </c>
      <c r="R1751" t="n">
        <v>0</v>
      </c>
      <c r="S1751" t="n">
        <v>0</v>
      </c>
      <c r="T1751" t="n">
        <v>0</v>
      </c>
      <c r="U1751" t="n">
        <v>0</v>
      </c>
      <c r="V1751" s="2" t="inlineStr"/>
    </row>
    <row r="1752" ht="15" customHeight="1">
      <c r="A1752" t="inlineStr">
        <is>
          <t>A 11883-2024</t>
        </is>
      </c>
      <c r="B1752" t="inlineStr">
        <is>
          <t>avverkningsanmälan</t>
        </is>
      </c>
      <c r="C1752" t="inlineStr">
        <is>
          <t>Föryngringsavverkning</t>
        </is>
      </c>
      <c r="D1752" s="1" t="n">
        <v>45376</v>
      </c>
      <c r="E1752" s="1" t="n">
        <v>46323</v>
      </c>
      <c r="F1752" t="inlineStr">
        <is>
          <t>KALMAR LÄN</t>
        </is>
      </c>
      <c r="G1752" t="inlineStr">
        <is>
          <t>HULTSFRED</t>
        </is>
      </c>
      <c r="I1752" t="n">
        <v>1.1</v>
      </c>
      <c r="J1752" t="n">
        <v>0</v>
      </c>
      <c r="K1752" t="n">
        <v>0</v>
      </c>
      <c r="L1752" t="n">
        <v>0</v>
      </c>
      <c r="M1752" t="n">
        <v>0</v>
      </c>
      <c r="N1752" t="n">
        <v>0</v>
      </c>
      <c r="O1752" t="n">
        <v>0</v>
      </c>
      <c r="P1752" t="n">
        <v>0</v>
      </c>
      <c r="Q1752" t="n">
        <v>0</v>
      </c>
      <c r="R1752" t="n">
        <v>0</v>
      </c>
      <c r="S1752" t="n">
        <v>0</v>
      </c>
      <c r="T1752" t="n">
        <v>0</v>
      </c>
      <c r="U1752" t="n">
        <v>0</v>
      </c>
      <c r="V1752" s="2" t="inlineStr"/>
    </row>
    <row r="1753" ht="15" customHeight="1">
      <c r="A1753" t="inlineStr">
        <is>
          <t>A 6346-2023</t>
        </is>
      </c>
      <c r="B1753" t="inlineStr">
        <is>
          <t>avverkningsanmälan</t>
        </is>
      </c>
      <c r="C1753" t="inlineStr">
        <is>
          <t>Föryngringsavverkning</t>
        </is>
      </c>
      <c r="D1753" s="1" t="n">
        <v>44960</v>
      </c>
      <c r="E1753" s="1" t="n">
        <v>46323</v>
      </c>
      <c r="F1753" t="inlineStr">
        <is>
          <t>KALMAR LÄN</t>
        </is>
      </c>
      <c r="G1753" t="inlineStr">
        <is>
          <t>VÄSTERVIK</t>
        </is>
      </c>
      <c r="I1753" t="n">
        <v>4.5</v>
      </c>
      <c r="J1753" t="n">
        <v>0</v>
      </c>
      <c r="K1753" t="n">
        <v>0</v>
      </c>
      <c r="L1753" t="n">
        <v>0</v>
      </c>
      <c r="M1753" t="n">
        <v>0</v>
      </c>
      <c r="N1753" t="n">
        <v>0</v>
      </c>
      <c r="O1753" t="n">
        <v>0</v>
      </c>
      <c r="P1753" t="n">
        <v>0</v>
      </c>
      <c r="Q1753" t="n">
        <v>0</v>
      </c>
      <c r="R1753" t="n">
        <v>0</v>
      </c>
      <c r="S1753" t="n">
        <v>0</v>
      </c>
      <c r="T1753" t="n">
        <v>0</v>
      </c>
      <c r="U1753" t="n">
        <v>0</v>
      </c>
      <c r="V1753" s="2" t="inlineStr"/>
    </row>
    <row r="1754" ht="15" customHeight="1">
      <c r="A1754" t="inlineStr">
        <is>
          <t>A 30942-2023</t>
        </is>
      </c>
      <c r="B1754" t="inlineStr">
        <is>
          <t>avverkningsanmälan</t>
        </is>
      </c>
      <c r="C1754" t="inlineStr">
        <is>
          <t>Föryngringsavverkning</t>
        </is>
      </c>
      <c r="D1754" s="1" t="n">
        <v>45113</v>
      </c>
      <c r="E1754" s="1" t="n">
        <v>46323</v>
      </c>
      <c r="F1754" t="inlineStr">
        <is>
          <t>KALMAR LÄN</t>
        </is>
      </c>
      <c r="G1754" t="inlineStr">
        <is>
          <t>OSKARSHAMN</t>
        </is>
      </c>
      <c r="I1754" t="n">
        <v>11.8</v>
      </c>
      <c r="J1754" t="n">
        <v>0</v>
      </c>
      <c r="K1754" t="n">
        <v>0</v>
      </c>
      <c r="L1754" t="n">
        <v>0</v>
      </c>
      <c r="M1754" t="n">
        <v>0</v>
      </c>
      <c r="N1754" t="n">
        <v>0</v>
      </c>
      <c r="O1754" t="n">
        <v>0</v>
      </c>
      <c r="P1754" t="n">
        <v>0</v>
      </c>
      <c r="Q1754" t="n">
        <v>0</v>
      </c>
      <c r="R1754" t="n">
        <v>0</v>
      </c>
      <c r="S1754" t="n">
        <v>0</v>
      </c>
      <c r="T1754" t="n">
        <v>0</v>
      </c>
      <c r="U1754" t="n">
        <v>0</v>
      </c>
      <c r="V1754" s="2" t="inlineStr"/>
    </row>
    <row r="1755" ht="15" customHeight="1">
      <c r="A1755" t="inlineStr">
        <is>
          <t>A 5578-2023</t>
        </is>
      </c>
      <c r="B1755" t="inlineStr">
        <is>
          <t>avverkningsanmälan</t>
        </is>
      </c>
      <c r="C1755" t="inlineStr">
        <is>
          <t>Föryngringsavverkning</t>
        </is>
      </c>
      <c r="D1755" s="1" t="n">
        <v>44960</v>
      </c>
      <c r="E1755" s="1" t="n">
        <v>46323</v>
      </c>
      <c r="F1755" t="inlineStr">
        <is>
          <t>KALMAR LÄN</t>
        </is>
      </c>
      <c r="G1755" t="inlineStr">
        <is>
          <t>HULTSFRED</t>
        </is>
      </c>
      <c r="H1755" t="inlineStr">
        <is>
          <t>Sveaskog</t>
        </is>
      </c>
      <c r="I1755" t="n">
        <v>0.9</v>
      </c>
      <c r="J1755" t="n">
        <v>0</v>
      </c>
      <c r="K1755" t="n">
        <v>0</v>
      </c>
      <c r="L1755" t="n">
        <v>0</v>
      </c>
      <c r="M1755" t="n">
        <v>0</v>
      </c>
      <c r="N1755" t="n">
        <v>0</v>
      </c>
      <c r="O1755" t="n">
        <v>0</v>
      </c>
      <c r="P1755" t="n">
        <v>0</v>
      </c>
      <c r="Q1755" t="n">
        <v>0</v>
      </c>
      <c r="R1755" t="n">
        <v>0</v>
      </c>
      <c r="S1755" t="n">
        <v>0</v>
      </c>
      <c r="T1755" t="n">
        <v>0</v>
      </c>
      <c r="U1755" t="n">
        <v>0</v>
      </c>
      <c r="V1755" s="2" t="inlineStr"/>
    </row>
    <row r="1756" ht="15" customHeight="1">
      <c r="A1756" t="inlineStr">
        <is>
          <t>A 53686-2023</t>
        </is>
      </c>
      <c r="B1756" t="inlineStr">
        <is>
          <t>avverkningsanmälan</t>
        </is>
      </c>
      <c r="C1756" t="inlineStr">
        <is>
          <t>Föryngringsavverkning</t>
        </is>
      </c>
      <c r="D1756" s="1" t="n">
        <v>45230</v>
      </c>
      <c r="E1756" s="1" t="n">
        <v>46323</v>
      </c>
      <c r="F1756" t="inlineStr">
        <is>
          <t>KALMAR LÄN</t>
        </is>
      </c>
      <c r="G1756" t="inlineStr">
        <is>
          <t>EMMABODA</t>
        </is>
      </c>
      <c r="I1756" t="n">
        <v>0.5</v>
      </c>
      <c r="J1756" t="n">
        <v>0</v>
      </c>
      <c r="K1756" t="n">
        <v>0</v>
      </c>
      <c r="L1756" t="n">
        <v>0</v>
      </c>
      <c r="M1756" t="n">
        <v>0</v>
      </c>
      <c r="N1756" t="n">
        <v>0</v>
      </c>
      <c r="O1756" t="n">
        <v>0</v>
      </c>
      <c r="P1756" t="n">
        <v>0</v>
      </c>
      <c r="Q1756" t="n">
        <v>0</v>
      </c>
      <c r="R1756" t="n">
        <v>0</v>
      </c>
      <c r="S1756" t="n">
        <v>0</v>
      </c>
      <c r="T1756" t="n">
        <v>0</v>
      </c>
      <c r="U1756" t="n">
        <v>0</v>
      </c>
      <c r="V1756" s="2" t="inlineStr"/>
    </row>
    <row r="1757" ht="15" customHeight="1">
      <c r="A1757" t="inlineStr">
        <is>
          <t>A 9326-2025</t>
        </is>
      </c>
      <c r="B1757" t="inlineStr">
        <is>
          <t>avverkningsanmälan</t>
        </is>
      </c>
      <c r="C1757" t="inlineStr">
        <is>
          <t>Föryngringsavverkning</t>
        </is>
      </c>
      <c r="D1757" s="1" t="n">
        <v>45714</v>
      </c>
      <c r="E1757" s="1" t="n">
        <v>46323</v>
      </c>
      <c r="F1757" t="inlineStr">
        <is>
          <t>KALMAR LÄN</t>
        </is>
      </c>
      <c r="G1757" t="inlineStr">
        <is>
          <t>HULTSFRED</t>
        </is>
      </c>
      <c r="H1757" t="inlineStr">
        <is>
          <t>Sveaskog</t>
        </is>
      </c>
      <c r="I1757" t="n">
        <v>4.4</v>
      </c>
      <c r="J1757" t="n">
        <v>0</v>
      </c>
      <c r="K1757" t="n">
        <v>0</v>
      </c>
      <c r="L1757" t="n">
        <v>0</v>
      </c>
      <c r="M1757" t="n">
        <v>0</v>
      </c>
      <c r="N1757" t="n">
        <v>0</v>
      </c>
      <c r="O1757" t="n">
        <v>0</v>
      </c>
      <c r="P1757" t="n">
        <v>0</v>
      </c>
      <c r="Q1757" t="n">
        <v>0</v>
      </c>
      <c r="R1757" t="n">
        <v>0</v>
      </c>
      <c r="S1757" t="n">
        <v>0</v>
      </c>
      <c r="T1757" t="n">
        <v>0</v>
      </c>
      <c r="U1757" t="n">
        <v>0</v>
      </c>
      <c r="V1757" s="2" t="inlineStr"/>
    </row>
    <row r="1758" ht="15" customHeight="1">
      <c r="A1758" t="inlineStr">
        <is>
          <t>A 49284-2024</t>
        </is>
      </c>
      <c r="B1758" t="inlineStr">
        <is>
          <t>avverkningsanmälan</t>
        </is>
      </c>
      <c r="C1758" t="inlineStr">
        <is>
          <t>Föryngringsavverkning</t>
        </is>
      </c>
      <c r="D1758" s="1" t="n">
        <v>45595</v>
      </c>
      <c r="E1758" s="1" t="n">
        <v>46323</v>
      </c>
      <c r="F1758" t="inlineStr">
        <is>
          <t>KALMAR LÄN</t>
        </is>
      </c>
      <c r="G1758" t="inlineStr">
        <is>
          <t>EMMABODA</t>
        </is>
      </c>
      <c r="I1758" t="n">
        <v>1.2</v>
      </c>
      <c r="J1758" t="n">
        <v>0</v>
      </c>
      <c r="K1758" t="n">
        <v>0</v>
      </c>
      <c r="L1758" t="n">
        <v>0</v>
      </c>
      <c r="M1758" t="n">
        <v>0</v>
      </c>
      <c r="N1758" t="n">
        <v>0</v>
      </c>
      <c r="O1758" t="n">
        <v>0</v>
      </c>
      <c r="P1758" t="n">
        <v>0</v>
      </c>
      <c r="Q1758" t="n">
        <v>0</v>
      </c>
      <c r="R1758" t="n">
        <v>0</v>
      </c>
      <c r="S1758" t="n">
        <v>0</v>
      </c>
      <c r="T1758" t="n">
        <v>0</v>
      </c>
      <c r="U1758" t="n">
        <v>0</v>
      </c>
      <c r="V1758" s="2" t="inlineStr"/>
    </row>
    <row r="1759" ht="15" customHeight="1">
      <c r="A1759" t="inlineStr">
        <is>
          <t>A 17815-2023</t>
        </is>
      </c>
      <c r="B1759" t="inlineStr">
        <is>
          <t>avverkningsanmälan</t>
        </is>
      </c>
      <c r="C1759" t="inlineStr">
        <is>
          <t>Föryngringsavverkning</t>
        </is>
      </c>
      <c r="D1759" s="1" t="n">
        <v>45036</v>
      </c>
      <c r="E1759" s="1" t="n">
        <v>46323</v>
      </c>
      <c r="F1759" t="inlineStr">
        <is>
          <t>KALMAR LÄN</t>
        </is>
      </c>
      <c r="G1759" t="inlineStr">
        <is>
          <t>TORSÅS</t>
        </is>
      </c>
      <c r="I1759" t="n">
        <v>1</v>
      </c>
      <c r="J1759" t="n">
        <v>0</v>
      </c>
      <c r="K1759" t="n">
        <v>0</v>
      </c>
      <c r="L1759" t="n">
        <v>0</v>
      </c>
      <c r="M1759" t="n">
        <v>0</v>
      </c>
      <c r="N1759" t="n">
        <v>0</v>
      </c>
      <c r="O1759" t="n">
        <v>0</v>
      </c>
      <c r="P1759" t="n">
        <v>0</v>
      </c>
      <c r="Q1759" t="n">
        <v>0</v>
      </c>
      <c r="R1759" t="n">
        <v>0</v>
      </c>
      <c r="S1759" t="n">
        <v>0</v>
      </c>
      <c r="T1759" t="n">
        <v>0</v>
      </c>
      <c r="U1759" t="n">
        <v>0</v>
      </c>
      <c r="V1759" s="2" t="inlineStr"/>
    </row>
    <row r="1760" ht="15" customHeight="1">
      <c r="A1760" t="inlineStr">
        <is>
          <t>A 4962-2022</t>
        </is>
      </c>
      <c r="B1760" t="inlineStr">
        <is>
          <t>avverkningsanmälan</t>
        </is>
      </c>
      <c r="C1760" t="inlineStr">
        <is>
          <t>Föryngringsavverkning</t>
        </is>
      </c>
      <c r="D1760" s="1" t="n">
        <v>44593</v>
      </c>
      <c r="E1760" s="1" t="n">
        <v>46323</v>
      </c>
      <c r="F1760" t="inlineStr">
        <is>
          <t>KALMAR LÄN</t>
        </is>
      </c>
      <c r="G1760" t="inlineStr">
        <is>
          <t>NYBRO</t>
        </is>
      </c>
      <c r="I1760" t="n">
        <v>0.5</v>
      </c>
      <c r="J1760" t="n">
        <v>0</v>
      </c>
      <c r="K1760" t="n">
        <v>0</v>
      </c>
      <c r="L1760" t="n">
        <v>0</v>
      </c>
      <c r="M1760" t="n">
        <v>0</v>
      </c>
      <c r="N1760" t="n">
        <v>0</v>
      </c>
      <c r="O1760" t="n">
        <v>0</v>
      </c>
      <c r="P1760" t="n">
        <v>0</v>
      </c>
      <c r="Q1760" t="n">
        <v>0</v>
      </c>
      <c r="R1760" t="n">
        <v>0</v>
      </c>
      <c r="S1760" t="n">
        <v>0</v>
      </c>
      <c r="T1760" t="n">
        <v>0</v>
      </c>
      <c r="U1760" t="n">
        <v>0</v>
      </c>
      <c r="V1760" s="2" t="inlineStr"/>
    </row>
    <row r="1761" ht="15" customHeight="1">
      <c r="A1761" t="inlineStr">
        <is>
          <t>A 62276-2022</t>
        </is>
      </c>
      <c r="B1761" t="inlineStr">
        <is>
          <t>avverkningsanmälan</t>
        </is>
      </c>
      <c r="C1761" t="inlineStr">
        <is>
          <t>Föryngringsavverkning</t>
        </is>
      </c>
      <c r="D1761" s="1" t="n">
        <v>44923</v>
      </c>
      <c r="E1761" s="1" t="n">
        <v>46323</v>
      </c>
      <c r="F1761" t="inlineStr">
        <is>
          <t>KALMAR LÄN</t>
        </is>
      </c>
      <c r="G1761" t="inlineStr">
        <is>
          <t>MÖNSTERÅS</t>
        </is>
      </c>
      <c r="I1761" t="n">
        <v>4.1</v>
      </c>
      <c r="J1761" t="n">
        <v>0</v>
      </c>
      <c r="K1761" t="n">
        <v>0</v>
      </c>
      <c r="L1761" t="n">
        <v>0</v>
      </c>
      <c r="M1761" t="n">
        <v>0</v>
      </c>
      <c r="N1761" t="n">
        <v>0</v>
      </c>
      <c r="O1761" t="n">
        <v>0</v>
      </c>
      <c r="P1761" t="n">
        <v>0</v>
      </c>
      <c r="Q1761" t="n">
        <v>0</v>
      </c>
      <c r="R1761" t="n">
        <v>0</v>
      </c>
      <c r="S1761" t="n">
        <v>0</v>
      </c>
      <c r="T1761" t="n">
        <v>0</v>
      </c>
      <c r="U1761" t="n">
        <v>0</v>
      </c>
      <c r="V1761" s="2" t="inlineStr"/>
    </row>
    <row r="1762" ht="15" customHeight="1">
      <c r="A1762" t="inlineStr">
        <is>
          <t>A 7678-2024</t>
        </is>
      </c>
      <c r="B1762" t="inlineStr">
        <is>
          <t>avverkningsanmälan</t>
        </is>
      </c>
      <c r="C1762" t="inlineStr">
        <is>
          <t>Föryngringsavverkning</t>
        </is>
      </c>
      <c r="D1762" s="1" t="n">
        <v>45348</v>
      </c>
      <c r="E1762" s="1" t="n">
        <v>46323</v>
      </c>
      <c r="F1762" t="inlineStr">
        <is>
          <t>KALMAR LÄN</t>
        </is>
      </c>
      <c r="G1762" t="inlineStr">
        <is>
          <t>HÖGSBY</t>
        </is>
      </c>
      <c r="I1762" t="n">
        <v>1.6</v>
      </c>
      <c r="J1762" t="n">
        <v>0</v>
      </c>
      <c r="K1762" t="n">
        <v>0</v>
      </c>
      <c r="L1762" t="n">
        <v>0</v>
      </c>
      <c r="M1762" t="n">
        <v>0</v>
      </c>
      <c r="N1762" t="n">
        <v>0</v>
      </c>
      <c r="O1762" t="n">
        <v>0</v>
      </c>
      <c r="P1762" t="n">
        <v>0</v>
      </c>
      <c r="Q1762" t="n">
        <v>0</v>
      </c>
      <c r="R1762" t="n">
        <v>0</v>
      </c>
      <c r="S1762" t="n">
        <v>0</v>
      </c>
      <c r="T1762" t="n">
        <v>0</v>
      </c>
      <c r="U1762" t="n">
        <v>0</v>
      </c>
      <c r="V1762" s="2" t="inlineStr"/>
    </row>
    <row r="1763" ht="15" customHeight="1">
      <c r="A1763" t="inlineStr">
        <is>
          <t>A 4393-2022</t>
        </is>
      </c>
      <c r="B1763" t="inlineStr">
        <is>
          <t>avverkningsanmälan</t>
        </is>
      </c>
      <c r="C1763" t="inlineStr">
        <is>
          <t>Föryngringsavverkning</t>
        </is>
      </c>
      <c r="D1763" s="1" t="n">
        <v>44589</v>
      </c>
      <c r="E1763" s="1" t="n">
        <v>46323</v>
      </c>
      <c r="F1763" t="inlineStr">
        <is>
          <t>KALMAR LÄN</t>
        </is>
      </c>
      <c r="G1763" t="inlineStr">
        <is>
          <t>EMMABODA</t>
        </is>
      </c>
      <c r="I1763" t="n">
        <v>0.7</v>
      </c>
      <c r="J1763" t="n">
        <v>0</v>
      </c>
      <c r="K1763" t="n">
        <v>0</v>
      </c>
      <c r="L1763" t="n">
        <v>0</v>
      </c>
      <c r="M1763" t="n">
        <v>0</v>
      </c>
      <c r="N1763" t="n">
        <v>0</v>
      </c>
      <c r="O1763" t="n">
        <v>0</v>
      </c>
      <c r="P1763" t="n">
        <v>0</v>
      </c>
      <c r="Q1763" t="n">
        <v>0</v>
      </c>
      <c r="R1763" t="n">
        <v>0</v>
      </c>
      <c r="S1763" t="n">
        <v>0</v>
      </c>
      <c r="T1763" t="n">
        <v>0</v>
      </c>
      <c r="U1763" t="n">
        <v>0</v>
      </c>
      <c r="V1763" s="2" t="inlineStr"/>
    </row>
    <row r="1764" ht="15" customHeight="1">
      <c r="A1764" t="inlineStr">
        <is>
          <t>A 34079-2022</t>
        </is>
      </c>
      <c r="B1764" t="inlineStr">
        <is>
          <t>avverkningsanmälan</t>
        </is>
      </c>
      <c r="C1764" t="inlineStr">
        <is>
          <t>Föryngringsavverkning</t>
        </is>
      </c>
      <c r="D1764" s="1" t="n">
        <v>44791</v>
      </c>
      <c r="E1764" s="1" t="n">
        <v>46323</v>
      </c>
      <c r="F1764" t="inlineStr">
        <is>
          <t>KALMAR LÄN</t>
        </is>
      </c>
      <c r="G1764" t="inlineStr">
        <is>
          <t>MÖNSTERÅS</t>
        </is>
      </c>
      <c r="I1764" t="n">
        <v>0.6</v>
      </c>
      <c r="J1764" t="n">
        <v>0</v>
      </c>
      <c r="K1764" t="n">
        <v>0</v>
      </c>
      <c r="L1764" t="n">
        <v>0</v>
      </c>
      <c r="M1764" t="n">
        <v>0</v>
      </c>
      <c r="N1764" t="n">
        <v>0</v>
      </c>
      <c r="O1764" t="n">
        <v>0</v>
      </c>
      <c r="P1764" t="n">
        <v>0</v>
      </c>
      <c r="Q1764" t="n">
        <v>0</v>
      </c>
      <c r="R1764" t="n">
        <v>0</v>
      </c>
      <c r="S1764" t="n">
        <v>0</v>
      </c>
      <c r="T1764" t="n">
        <v>0</v>
      </c>
      <c r="U1764" t="n">
        <v>0</v>
      </c>
      <c r="V1764" s="2" t="inlineStr"/>
    </row>
    <row r="1765" ht="15" customHeight="1">
      <c r="A1765" t="inlineStr">
        <is>
          <t>A 57000-2024</t>
        </is>
      </c>
      <c r="B1765" t="inlineStr">
        <is>
          <t>avverkningsanmälan</t>
        </is>
      </c>
      <c r="C1765" t="inlineStr">
        <is>
          <t>Avverkning för annat ändamål</t>
        </is>
      </c>
      <c r="D1765" s="1" t="n">
        <v>45626</v>
      </c>
      <c r="E1765" s="1" t="n">
        <v>46323</v>
      </c>
      <c r="F1765" t="inlineStr">
        <is>
          <t>KALMAR LÄN</t>
        </is>
      </c>
      <c r="G1765" t="inlineStr">
        <is>
          <t>HÖGSBY</t>
        </is>
      </c>
      <c r="I1765" t="n">
        <v>5.1</v>
      </c>
      <c r="J1765" t="n">
        <v>0</v>
      </c>
      <c r="K1765" t="n">
        <v>0</v>
      </c>
      <c r="L1765" t="n">
        <v>0</v>
      </c>
      <c r="M1765" t="n">
        <v>0</v>
      </c>
      <c r="N1765" t="n">
        <v>0</v>
      </c>
      <c r="O1765" t="n">
        <v>0</v>
      </c>
      <c r="P1765" t="n">
        <v>0</v>
      </c>
      <c r="Q1765" t="n">
        <v>0</v>
      </c>
      <c r="R1765" t="n">
        <v>0</v>
      </c>
      <c r="S1765" t="n">
        <v>0</v>
      </c>
      <c r="T1765" t="n">
        <v>0</v>
      </c>
      <c r="U1765" t="n">
        <v>0</v>
      </c>
      <c r="V1765" s="2" t="inlineStr"/>
    </row>
    <row r="1766" ht="15" customHeight="1">
      <c r="A1766" t="inlineStr">
        <is>
          <t>A 22489-2022</t>
        </is>
      </c>
      <c r="B1766" t="inlineStr">
        <is>
          <t>avverkningsanmälan</t>
        </is>
      </c>
      <c r="C1766" t="inlineStr">
        <is>
          <t>Föryngringsavverkning</t>
        </is>
      </c>
      <c r="D1766" s="1" t="n">
        <v>44713</v>
      </c>
      <c r="E1766" s="1" t="n">
        <v>46323</v>
      </c>
      <c r="F1766" t="inlineStr">
        <is>
          <t>KALMAR LÄN</t>
        </is>
      </c>
      <c r="G1766" t="inlineStr">
        <is>
          <t>NYBRO</t>
        </is>
      </c>
      <c r="I1766" t="n">
        <v>1.2</v>
      </c>
      <c r="J1766" t="n">
        <v>0</v>
      </c>
      <c r="K1766" t="n">
        <v>0</v>
      </c>
      <c r="L1766" t="n">
        <v>0</v>
      </c>
      <c r="M1766" t="n">
        <v>0</v>
      </c>
      <c r="N1766" t="n">
        <v>0</v>
      </c>
      <c r="O1766" t="n">
        <v>0</v>
      </c>
      <c r="P1766" t="n">
        <v>0</v>
      </c>
      <c r="Q1766" t="n">
        <v>0</v>
      </c>
      <c r="R1766" t="n">
        <v>0</v>
      </c>
      <c r="S1766" t="n">
        <v>0</v>
      </c>
      <c r="T1766" t="n">
        <v>0</v>
      </c>
      <c r="U1766" t="n">
        <v>0</v>
      </c>
      <c r="V1766" s="2" t="inlineStr"/>
    </row>
    <row r="1767" ht="15" customHeight="1">
      <c r="A1767" t="inlineStr">
        <is>
          <t>A 32647-2023</t>
        </is>
      </c>
      <c r="B1767" t="inlineStr">
        <is>
          <t>avverkningsanmälan</t>
        </is>
      </c>
      <c r="C1767" t="inlineStr">
        <is>
          <t>Föryngringsavverkning</t>
        </is>
      </c>
      <c r="D1767" s="1" t="n">
        <v>45121</v>
      </c>
      <c r="E1767" s="1" t="n">
        <v>46323</v>
      </c>
      <c r="F1767" t="inlineStr">
        <is>
          <t>KALMAR LÄN</t>
        </is>
      </c>
      <c r="G1767" t="inlineStr">
        <is>
          <t>VÄSTERVIK</t>
        </is>
      </c>
      <c r="I1767" t="n">
        <v>0.9</v>
      </c>
      <c r="J1767" t="n">
        <v>0</v>
      </c>
      <c r="K1767" t="n">
        <v>0</v>
      </c>
      <c r="L1767" t="n">
        <v>0</v>
      </c>
      <c r="M1767" t="n">
        <v>0</v>
      </c>
      <c r="N1767" t="n">
        <v>0</v>
      </c>
      <c r="O1767" t="n">
        <v>0</v>
      </c>
      <c r="P1767" t="n">
        <v>0</v>
      </c>
      <c r="Q1767" t="n">
        <v>0</v>
      </c>
      <c r="R1767" t="n">
        <v>0</v>
      </c>
      <c r="S1767" t="n">
        <v>0</v>
      </c>
      <c r="T1767" t="n">
        <v>0</v>
      </c>
      <c r="U1767" t="n">
        <v>0</v>
      </c>
      <c r="V1767" s="2" t="inlineStr"/>
    </row>
    <row r="1768" ht="15" customHeight="1">
      <c r="A1768" t="inlineStr">
        <is>
          <t>A 32655-2023</t>
        </is>
      </c>
      <c r="B1768" t="inlineStr">
        <is>
          <t>avverkningsanmälan</t>
        </is>
      </c>
      <c r="C1768" t="inlineStr">
        <is>
          <t>Föryngringsavverkning</t>
        </is>
      </c>
      <c r="D1768" s="1" t="n">
        <v>45121</v>
      </c>
      <c r="E1768" s="1" t="n">
        <v>46323</v>
      </c>
      <c r="F1768" t="inlineStr">
        <is>
          <t>KALMAR LÄN</t>
        </is>
      </c>
      <c r="G1768" t="inlineStr">
        <is>
          <t>VIMMERBY</t>
        </is>
      </c>
      <c r="H1768" t="inlineStr">
        <is>
          <t>Sveaskog</t>
        </is>
      </c>
      <c r="I1768" t="n">
        <v>2</v>
      </c>
      <c r="J1768" t="n">
        <v>0</v>
      </c>
      <c r="K1768" t="n">
        <v>0</v>
      </c>
      <c r="L1768" t="n">
        <v>0</v>
      </c>
      <c r="M1768" t="n">
        <v>0</v>
      </c>
      <c r="N1768" t="n">
        <v>0</v>
      </c>
      <c r="O1768" t="n">
        <v>0</v>
      </c>
      <c r="P1768" t="n">
        <v>0</v>
      </c>
      <c r="Q1768" t="n">
        <v>0</v>
      </c>
      <c r="R1768" t="n">
        <v>0</v>
      </c>
      <c r="S1768" t="n">
        <v>0</v>
      </c>
      <c r="T1768" t="n">
        <v>0</v>
      </c>
      <c r="U1768" t="n">
        <v>0</v>
      </c>
      <c r="V1768" s="2" t="inlineStr"/>
    </row>
    <row r="1769" ht="15" customHeight="1">
      <c r="A1769" t="inlineStr">
        <is>
          <t>A 32660-2023</t>
        </is>
      </c>
      <c r="B1769" t="inlineStr">
        <is>
          <t>avverkningsanmälan</t>
        </is>
      </c>
      <c r="C1769" t="inlineStr">
        <is>
          <t>Föryngringsavverkning</t>
        </is>
      </c>
      <c r="D1769" s="1" t="n">
        <v>45121</v>
      </c>
      <c r="E1769" s="1" t="n">
        <v>46323</v>
      </c>
      <c r="F1769" t="inlineStr">
        <is>
          <t>KALMAR LÄN</t>
        </is>
      </c>
      <c r="G1769" t="inlineStr">
        <is>
          <t>NYBRO</t>
        </is>
      </c>
      <c r="I1769" t="n">
        <v>1.1</v>
      </c>
      <c r="J1769" t="n">
        <v>0</v>
      </c>
      <c r="K1769" t="n">
        <v>0</v>
      </c>
      <c r="L1769" t="n">
        <v>0</v>
      </c>
      <c r="M1769" t="n">
        <v>0</v>
      </c>
      <c r="N1769" t="n">
        <v>0</v>
      </c>
      <c r="O1769" t="n">
        <v>0</v>
      </c>
      <c r="P1769" t="n">
        <v>0</v>
      </c>
      <c r="Q1769" t="n">
        <v>0</v>
      </c>
      <c r="R1769" t="n">
        <v>0</v>
      </c>
      <c r="S1769" t="n">
        <v>0</v>
      </c>
      <c r="T1769" t="n">
        <v>0</v>
      </c>
      <c r="U1769" t="n">
        <v>0</v>
      </c>
      <c r="V1769" s="2" t="inlineStr"/>
    </row>
    <row r="1770" ht="15" customHeight="1">
      <c r="A1770" t="inlineStr">
        <is>
          <t>A 32673-2023</t>
        </is>
      </c>
      <c r="B1770" t="inlineStr">
        <is>
          <t>avverkningsanmälan</t>
        </is>
      </c>
      <c r="C1770" t="inlineStr">
        <is>
          <t>Föryngringsavverkning</t>
        </is>
      </c>
      <c r="D1770" s="1" t="n">
        <v>45121</v>
      </c>
      <c r="E1770" s="1" t="n">
        <v>46323</v>
      </c>
      <c r="F1770" t="inlineStr">
        <is>
          <t>KALMAR LÄN</t>
        </is>
      </c>
      <c r="G1770" t="inlineStr">
        <is>
          <t>NYBRO</t>
        </is>
      </c>
      <c r="I1770" t="n">
        <v>0.7</v>
      </c>
      <c r="J1770" t="n">
        <v>0</v>
      </c>
      <c r="K1770" t="n">
        <v>0</v>
      </c>
      <c r="L1770" t="n">
        <v>0</v>
      </c>
      <c r="M1770" t="n">
        <v>0</v>
      </c>
      <c r="N1770" t="n">
        <v>0</v>
      </c>
      <c r="O1770" t="n">
        <v>0</v>
      </c>
      <c r="P1770" t="n">
        <v>0</v>
      </c>
      <c r="Q1770" t="n">
        <v>0</v>
      </c>
      <c r="R1770" t="n">
        <v>0</v>
      </c>
      <c r="S1770" t="n">
        <v>0</v>
      </c>
      <c r="T1770" t="n">
        <v>0</v>
      </c>
      <c r="U1770" t="n">
        <v>0</v>
      </c>
      <c r="V1770" s="2" t="inlineStr"/>
    </row>
    <row r="1771" ht="15" customHeight="1">
      <c r="A1771" t="inlineStr">
        <is>
          <t>A 73297-2021</t>
        </is>
      </c>
      <c r="B1771" t="inlineStr">
        <is>
          <t>avverkningsanmälan</t>
        </is>
      </c>
      <c r="C1771" t="inlineStr">
        <is>
          <t>Föryngringsavverkning</t>
        </is>
      </c>
      <c r="D1771" s="1" t="n">
        <v>44551</v>
      </c>
      <c r="E1771" s="1" t="n">
        <v>46323</v>
      </c>
      <c r="F1771" t="inlineStr">
        <is>
          <t>KALMAR LÄN</t>
        </is>
      </c>
      <c r="G1771" t="inlineStr">
        <is>
          <t>NYBRO</t>
        </is>
      </c>
      <c r="I1771" t="n">
        <v>1.2</v>
      </c>
      <c r="J1771" t="n">
        <v>0</v>
      </c>
      <c r="K1771" t="n">
        <v>0</v>
      </c>
      <c r="L1771" t="n">
        <v>0</v>
      </c>
      <c r="M1771" t="n">
        <v>0</v>
      </c>
      <c r="N1771" t="n">
        <v>0</v>
      </c>
      <c r="O1771" t="n">
        <v>0</v>
      </c>
      <c r="P1771" t="n">
        <v>0</v>
      </c>
      <c r="Q1771" t="n">
        <v>0</v>
      </c>
      <c r="R1771" t="n">
        <v>0</v>
      </c>
      <c r="S1771" t="n">
        <v>0</v>
      </c>
      <c r="T1771" t="n">
        <v>0</v>
      </c>
      <c r="U1771" t="n">
        <v>0</v>
      </c>
      <c r="V1771" s="2" t="inlineStr"/>
    </row>
    <row r="1772" ht="15" customHeight="1">
      <c r="A1772" t="inlineStr">
        <is>
          <t>A 1785-2025</t>
        </is>
      </c>
      <c r="B1772" t="inlineStr">
        <is>
          <t>avverkningsanmälan</t>
        </is>
      </c>
      <c r="C1772" t="inlineStr">
        <is>
          <t>Föryngringsavverkning</t>
        </is>
      </c>
      <c r="D1772" s="1" t="n">
        <v>45671</v>
      </c>
      <c r="E1772" s="1" t="n">
        <v>46323</v>
      </c>
      <c r="F1772" t="inlineStr">
        <is>
          <t>KALMAR LÄN</t>
        </is>
      </c>
      <c r="G1772" t="inlineStr">
        <is>
          <t>VÄSTERVIK</t>
        </is>
      </c>
      <c r="H1772" t="inlineStr">
        <is>
          <t>Sveaskog</t>
        </is>
      </c>
      <c r="I1772" t="n">
        <v>2.8</v>
      </c>
      <c r="J1772" t="n">
        <v>0</v>
      </c>
      <c r="K1772" t="n">
        <v>0</v>
      </c>
      <c r="L1772" t="n">
        <v>0</v>
      </c>
      <c r="M1772" t="n">
        <v>0</v>
      </c>
      <c r="N1772" t="n">
        <v>0</v>
      </c>
      <c r="O1772" t="n">
        <v>0</v>
      </c>
      <c r="P1772" t="n">
        <v>0</v>
      </c>
      <c r="Q1772" t="n">
        <v>0</v>
      </c>
      <c r="R1772" t="n">
        <v>0</v>
      </c>
      <c r="S1772" t="n">
        <v>0</v>
      </c>
      <c r="T1772" t="n">
        <v>0</v>
      </c>
      <c r="U1772" t="n">
        <v>0</v>
      </c>
      <c r="V1772" s="2" t="inlineStr"/>
    </row>
    <row r="1773" ht="15" customHeight="1">
      <c r="A1773" t="inlineStr">
        <is>
          <t>A 68074-2021</t>
        </is>
      </c>
      <c r="B1773" t="inlineStr">
        <is>
          <t>avverkningsanmälan</t>
        </is>
      </c>
      <c r="C1773" t="inlineStr">
        <is>
          <t>Föryngringsavverkning</t>
        </is>
      </c>
      <c r="D1773" s="1" t="n">
        <v>44526</v>
      </c>
      <c r="E1773" s="1" t="n">
        <v>46323</v>
      </c>
      <c r="F1773" t="inlineStr">
        <is>
          <t>KALMAR LÄN</t>
        </is>
      </c>
      <c r="G1773" t="inlineStr">
        <is>
          <t>NYBRO</t>
        </is>
      </c>
      <c r="I1773" t="n">
        <v>2.5</v>
      </c>
      <c r="J1773" t="n">
        <v>0</v>
      </c>
      <c r="K1773" t="n">
        <v>0</v>
      </c>
      <c r="L1773" t="n">
        <v>0</v>
      </c>
      <c r="M1773" t="n">
        <v>0</v>
      </c>
      <c r="N1773" t="n">
        <v>0</v>
      </c>
      <c r="O1773" t="n">
        <v>0</v>
      </c>
      <c r="P1773" t="n">
        <v>0</v>
      </c>
      <c r="Q1773" t="n">
        <v>0</v>
      </c>
      <c r="R1773" t="n">
        <v>0</v>
      </c>
      <c r="S1773" t="n">
        <v>0</v>
      </c>
      <c r="T1773" t="n">
        <v>0</v>
      </c>
      <c r="U1773" t="n">
        <v>0</v>
      </c>
      <c r="V1773" s="2" t="inlineStr"/>
    </row>
    <row r="1774" ht="15" customHeight="1">
      <c r="A1774" t="inlineStr">
        <is>
          <t>A 68090-2021</t>
        </is>
      </c>
      <c r="B1774" t="inlineStr">
        <is>
          <t>avverkningsanmälan</t>
        </is>
      </c>
      <c r="C1774" t="inlineStr">
        <is>
          <t>Föryngringsavverkning</t>
        </is>
      </c>
      <c r="D1774" s="1" t="n">
        <v>44526</v>
      </c>
      <c r="E1774" s="1" t="n">
        <v>46323</v>
      </c>
      <c r="F1774" t="inlineStr">
        <is>
          <t>KALMAR LÄN</t>
        </is>
      </c>
      <c r="G1774" t="inlineStr">
        <is>
          <t>HULTSFRED</t>
        </is>
      </c>
      <c r="I1774" t="n">
        <v>1.8</v>
      </c>
      <c r="J1774" t="n">
        <v>0</v>
      </c>
      <c r="K1774" t="n">
        <v>0</v>
      </c>
      <c r="L1774" t="n">
        <v>0</v>
      </c>
      <c r="M1774" t="n">
        <v>0</v>
      </c>
      <c r="N1774" t="n">
        <v>0</v>
      </c>
      <c r="O1774" t="n">
        <v>0</v>
      </c>
      <c r="P1774" t="n">
        <v>0</v>
      </c>
      <c r="Q1774" t="n">
        <v>0</v>
      </c>
      <c r="R1774" t="n">
        <v>0</v>
      </c>
      <c r="S1774" t="n">
        <v>0</v>
      </c>
      <c r="T1774" t="n">
        <v>0</v>
      </c>
      <c r="U1774" t="n">
        <v>0</v>
      </c>
      <c r="V1774" s="2" t="inlineStr"/>
    </row>
    <row r="1775" ht="15" customHeight="1">
      <c r="A1775" t="inlineStr">
        <is>
          <t>A 2665-2022</t>
        </is>
      </c>
      <c r="B1775" t="inlineStr">
        <is>
          <t>avverkningsanmälan</t>
        </is>
      </c>
      <c r="C1775" t="inlineStr">
        <is>
          <t>Föryngringsavverkning</t>
        </is>
      </c>
      <c r="D1775" s="1" t="n">
        <v>44580</v>
      </c>
      <c r="E1775" s="1" t="n">
        <v>46323</v>
      </c>
      <c r="F1775" t="inlineStr">
        <is>
          <t>KALMAR LÄN</t>
        </is>
      </c>
      <c r="G1775" t="inlineStr">
        <is>
          <t>TORSÅS</t>
        </is>
      </c>
      <c r="I1775" t="n">
        <v>0.7</v>
      </c>
      <c r="J1775" t="n">
        <v>0</v>
      </c>
      <c r="K1775" t="n">
        <v>0</v>
      </c>
      <c r="L1775" t="n">
        <v>0</v>
      </c>
      <c r="M1775" t="n">
        <v>0</v>
      </c>
      <c r="N1775" t="n">
        <v>0</v>
      </c>
      <c r="O1775" t="n">
        <v>0</v>
      </c>
      <c r="P1775" t="n">
        <v>0</v>
      </c>
      <c r="Q1775" t="n">
        <v>0</v>
      </c>
      <c r="R1775" t="n">
        <v>0</v>
      </c>
      <c r="S1775" t="n">
        <v>0</v>
      </c>
      <c r="T1775" t="n">
        <v>0</v>
      </c>
      <c r="U1775" t="n">
        <v>0</v>
      </c>
      <c r="V1775" s="2" t="inlineStr"/>
    </row>
    <row r="1776" ht="15" customHeight="1">
      <c r="A1776" t="inlineStr">
        <is>
          <t>A 59957-2022</t>
        </is>
      </c>
      <c r="B1776" t="inlineStr">
        <is>
          <t>avverkningsanmälan</t>
        </is>
      </c>
      <c r="C1776" t="inlineStr">
        <is>
          <t>Föryngringsavverkning</t>
        </is>
      </c>
      <c r="D1776" s="1" t="n">
        <v>44909</v>
      </c>
      <c r="E1776" s="1" t="n">
        <v>46323</v>
      </c>
      <c r="F1776" t="inlineStr">
        <is>
          <t>KALMAR LÄN</t>
        </is>
      </c>
      <c r="G1776" t="inlineStr">
        <is>
          <t>KALMAR</t>
        </is>
      </c>
      <c r="I1776" t="n">
        <v>1.2</v>
      </c>
      <c r="J1776" t="n">
        <v>0</v>
      </c>
      <c r="K1776" t="n">
        <v>0</v>
      </c>
      <c r="L1776" t="n">
        <v>0</v>
      </c>
      <c r="M1776" t="n">
        <v>0</v>
      </c>
      <c r="N1776" t="n">
        <v>0</v>
      </c>
      <c r="O1776" t="n">
        <v>0</v>
      </c>
      <c r="P1776" t="n">
        <v>0</v>
      </c>
      <c r="Q1776" t="n">
        <v>0</v>
      </c>
      <c r="R1776" t="n">
        <v>0</v>
      </c>
      <c r="S1776" t="n">
        <v>0</v>
      </c>
      <c r="T1776" t="n">
        <v>0</v>
      </c>
      <c r="U1776" t="n">
        <v>0</v>
      </c>
      <c r="V1776" s="2" t="inlineStr"/>
    </row>
    <row r="1777" ht="15" customHeight="1">
      <c r="A1777" t="inlineStr">
        <is>
          <t>A 959-2022</t>
        </is>
      </c>
      <c r="B1777" t="inlineStr">
        <is>
          <t>avverkningsanmälan</t>
        </is>
      </c>
      <c r="C1777" t="inlineStr">
        <is>
          <t>Föryngringsavverkning</t>
        </is>
      </c>
      <c r="D1777" s="1" t="n">
        <v>44571</v>
      </c>
      <c r="E1777" s="1" t="n">
        <v>46323</v>
      </c>
      <c r="F1777" t="inlineStr">
        <is>
          <t>KALMAR LÄN</t>
        </is>
      </c>
      <c r="G1777" t="inlineStr">
        <is>
          <t>VÄSTERVIK</t>
        </is>
      </c>
      <c r="I1777" t="n">
        <v>2.5</v>
      </c>
      <c r="J1777" t="n">
        <v>0</v>
      </c>
      <c r="K1777" t="n">
        <v>0</v>
      </c>
      <c r="L1777" t="n">
        <v>0</v>
      </c>
      <c r="M1777" t="n">
        <v>0</v>
      </c>
      <c r="N1777" t="n">
        <v>0</v>
      </c>
      <c r="O1777" t="n">
        <v>0</v>
      </c>
      <c r="P1777" t="n">
        <v>0</v>
      </c>
      <c r="Q1777" t="n">
        <v>0</v>
      </c>
      <c r="R1777" t="n">
        <v>0</v>
      </c>
      <c r="S1777" t="n">
        <v>0</v>
      </c>
      <c r="T1777" t="n">
        <v>0</v>
      </c>
      <c r="U1777" t="n">
        <v>0</v>
      </c>
      <c r="V1777" s="2" t="inlineStr"/>
    </row>
    <row r="1778" ht="15" customHeight="1">
      <c r="A1778" t="inlineStr">
        <is>
          <t>A 28164-2022</t>
        </is>
      </c>
      <c r="B1778" t="inlineStr">
        <is>
          <t>avverkningsanmälan</t>
        </is>
      </c>
      <c r="C1778" t="inlineStr">
        <is>
          <t>Avverkning för annat ändamål</t>
        </is>
      </c>
      <c r="D1778" s="1" t="n">
        <v>44746</v>
      </c>
      <c r="E1778" s="1" t="n">
        <v>46323</v>
      </c>
      <c r="F1778" t="inlineStr">
        <is>
          <t>KALMAR LÄN</t>
        </is>
      </c>
      <c r="G1778" t="inlineStr">
        <is>
          <t>NYBRO</t>
        </is>
      </c>
      <c r="I1778" t="n">
        <v>0.5</v>
      </c>
      <c r="J1778" t="n">
        <v>0</v>
      </c>
      <c r="K1778" t="n">
        <v>0</v>
      </c>
      <c r="L1778" t="n">
        <v>0</v>
      </c>
      <c r="M1778" t="n">
        <v>0</v>
      </c>
      <c r="N1778" t="n">
        <v>0</v>
      </c>
      <c r="O1778" t="n">
        <v>0</v>
      </c>
      <c r="P1778" t="n">
        <v>0</v>
      </c>
      <c r="Q1778" t="n">
        <v>0</v>
      </c>
      <c r="R1778" t="n">
        <v>0</v>
      </c>
      <c r="S1778" t="n">
        <v>0</v>
      </c>
      <c r="T1778" t="n">
        <v>0</v>
      </c>
      <c r="U1778" t="n">
        <v>0</v>
      </c>
      <c r="V1778" s="2" t="inlineStr"/>
    </row>
    <row r="1779" ht="15" customHeight="1">
      <c r="A1779" t="inlineStr">
        <is>
          <t>A 50621-2022</t>
        </is>
      </c>
      <c r="B1779" t="inlineStr">
        <is>
          <t>avverkningsanmälan</t>
        </is>
      </c>
      <c r="C1779" t="inlineStr">
        <is>
          <t>Föryngringsavverkning</t>
        </is>
      </c>
      <c r="D1779" s="1" t="n">
        <v>44866</v>
      </c>
      <c r="E1779" s="1" t="n">
        <v>46323</v>
      </c>
      <c r="F1779" t="inlineStr">
        <is>
          <t>KALMAR LÄN</t>
        </is>
      </c>
      <c r="G1779" t="inlineStr">
        <is>
          <t>VIMMERBY</t>
        </is>
      </c>
      <c r="H1779" t="inlineStr">
        <is>
          <t>Övriga Aktiebolag</t>
        </is>
      </c>
      <c r="I1779" t="n">
        <v>5.1</v>
      </c>
      <c r="J1779" t="n">
        <v>0</v>
      </c>
      <c r="K1779" t="n">
        <v>0</v>
      </c>
      <c r="L1779" t="n">
        <v>0</v>
      </c>
      <c r="M1779" t="n">
        <v>0</v>
      </c>
      <c r="N1779" t="n">
        <v>0</v>
      </c>
      <c r="O1779" t="n">
        <v>0</v>
      </c>
      <c r="P1779" t="n">
        <v>0</v>
      </c>
      <c r="Q1779" t="n">
        <v>0</v>
      </c>
      <c r="R1779" t="n">
        <v>0</v>
      </c>
      <c r="S1779" t="n">
        <v>0</v>
      </c>
      <c r="T1779" t="n">
        <v>0</v>
      </c>
      <c r="U1779" t="n">
        <v>0</v>
      </c>
      <c r="V1779" s="2" t="inlineStr"/>
    </row>
    <row r="1780" ht="15" customHeight="1">
      <c r="A1780" t="inlineStr">
        <is>
          <t>A 12159-2023</t>
        </is>
      </c>
      <c r="B1780" t="inlineStr">
        <is>
          <t>avverkningsanmälan</t>
        </is>
      </c>
      <c r="C1780" t="inlineStr">
        <is>
          <t>Föryngringsavverkning</t>
        </is>
      </c>
      <c r="D1780" s="1" t="n">
        <v>44998</v>
      </c>
      <c r="E1780" s="1" t="n">
        <v>46323</v>
      </c>
      <c r="F1780" t="inlineStr">
        <is>
          <t>KALMAR LÄN</t>
        </is>
      </c>
      <c r="G1780" t="inlineStr">
        <is>
          <t>TORSÅS</t>
        </is>
      </c>
      <c r="I1780" t="n">
        <v>2.7</v>
      </c>
      <c r="J1780" t="n">
        <v>0</v>
      </c>
      <c r="K1780" t="n">
        <v>0</v>
      </c>
      <c r="L1780" t="n">
        <v>0</v>
      </c>
      <c r="M1780" t="n">
        <v>0</v>
      </c>
      <c r="N1780" t="n">
        <v>0</v>
      </c>
      <c r="O1780" t="n">
        <v>0</v>
      </c>
      <c r="P1780" t="n">
        <v>0</v>
      </c>
      <c r="Q1780" t="n">
        <v>0</v>
      </c>
      <c r="R1780" t="n">
        <v>0</v>
      </c>
      <c r="S1780" t="n">
        <v>0</v>
      </c>
      <c r="T1780" t="n">
        <v>0</v>
      </c>
      <c r="U1780" t="n">
        <v>0</v>
      </c>
      <c r="V1780" s="2" t="inlineStr"/>
    </row>
    <row r="1781" ht="15" customHeight="1">
      <c r="A1781" t="inlineStr">
        <is>
          <t>A 12166-2023</t>
        </is>
      </c>
      <c r="B1781" t="inlineStr">
        <is>
          <t>avverkningsanmälan</t>
        </is>
      </c>
      <c r="C1781" t="inlineStr">
        <is>
          <t>Föryngringsavverkning</t>
        </is>
      </c>
      <c r="D1781" s="1" t="n">
        <v>44998</v>
      </c>
      <c r="E1781" s="1" t="n">
        <v>46323</v>
      </c>
      <c r="F1781" t="inlineStr">
        <is>
          <t>KALMAR LÄN</t>
        </is>
      </c>
      <c r="G1781" t="inlineStr">
        <is>
          <t>HULTSFRED</t>
        </is>
      </c>
      <c r="H1781" t="inlineStr">
        <is>
          <t>Övriga Aktiebolag</t>
        </is>
      </c>
      <c r="I1781" t="n">
        <v>1.2</v>
      </c>
      <c r="J1781" t="n">
        <v>0</v>
      </c>
      <c r="K1781" t="n">
        <v>0</v>
      </c>
      <c r="L1781" t="n">
        <v>0</v>
      </c>
      <c r="M1781" t="n">
        <v>0</v>
      </c>
      <c r="N1781" t="n">
        <v>0</v>
      </c>
      <c r="O1781" t="n">
        <v>0</v>
      </c>
      <c r="P1781" t="n">
        <v>0</v>
      </c>
      <c r="Q1781" t="n">
        <v>0</v>
      </c>
      <c r="R1781" t="n">
        <v>0</v>
      </c>
      <c r="S1781" t="n">
        <v>0</v>
      </c>
      <c r="T1781" t="n">
        <v>0</v>
      </c>
      <c r="U1781" t="n">
        <v>0</v>
      </c>
      <c r="V1781" s="2" t="inlineStr"/>
    </row>
    <row r="1782" ht="15" customHeight="1">
      <c r="A1782" t="inlineStr">
        <is>
          <t>A 29932-2022</t>
        </is>
      </c>
      <c r="B1782" t="inlineStr">
        <is>
          <t>avverkningsanmälan</t>
        </is>
      </c>
      <c r="C1782" t="inlineStr">
        <is>
          <t>Föryngringsavverkning</t>
        </is>
      </c>
      <c r="D1782" s="1" t="n">
        <v>44756</v>
      </c>
      <c r="E1782" s="1" t="n">
        <v>46323</v>
      </c>
      <c r="F1782" t="inlineStr">
        <is>
          <t>KALMAR LÄN</t>
        </is>
      </c>
      <c r="G1782" t="inlineStr">
        <is>
          <t>OSKARSHAMN</t>
        </is>
      </c>
      <c r="I1782" t="n">
        <v>6.3</v>
      </c>
      <c r="J1782" t="n">
        <v>0</v>
      </c>
      <c r="K1782" t="n">
        <v>0</v>
      </c>
      <c r="L1782" t="n">
        <v>0</v>
      </c>
      <c r="M1782" t="n">
        <v>0</v>
      </c>
      <c r="N1782" t="n">
        <v>0</v>
      </c>
      <c r="O1782" t="n">
        <v>0</v>
      </c>
      <c r="P1782" t="n">
        <v>0</v>
      </c>
      <c r="Q1782" t="n">
        <v>0</v>
      </c>
      <c r="R1782" t="n">
        <v>0</v>
      </c>
      <c r="S1782" t="n">
        <v>0</v>
      </c>
      <c r="T1782" t="n">
        <v>0</v>
      </c>
      <c r="U1782" t="n">
        <v>0</v>
      </c>
      <c r="V1782" s="2" t="inlineStr"/>
    </row>
    <row r="1783" ht="15" customHeight="1">
      <c r="A1783" t="inlineStr">
        <is>
          <t>A 29941-2022</t>
        </is>
      </c>
      <c r="B1783" t="inlineStr">
        <is>
          <t>avverkningsanmälan</t>
        </is>
      </c>
      <c r="C1783" t="inlineStr">
        <is>
          <t>Föryngringsavverkning</t>
        </is>
      </c>
      <c r="D1783" s="1" t="n">
        <v>44756</v>
      </c>
      <c r="E1783" s="1" t="n">
        <v>46323</v>
      </c>
      <c r="F1783" t="inlineStr">
        <is>
          <t>KALMAR LÄN</t>
        </is>
      </c>
      <c r="G1783" t="inlineStr">
        <is>
          <t>OSKARSHAMN</t>
        </is>
      </c>
      <c r="I1783" t="n">
        <v>0.9</v>
      </c>
      <c r="J1783" t="n">
        <v>0</v>
      </c>
      <c r="K1783" t="n">
        <v>0</v>
      </c>
      <c r="L1783" t="n">
        <v>0</v>
      </c>
      <c r="M1783" t="n">
        <v>0</v>
      </c>
      <c r="N1783" t="n">
        <v>0</v>
      </c>
      <c r="O1783" t="n">
        <v>0</v>
      </c>
      <c r="P1783" t="n">
        <v>0</v>
      </c>
      <c r="Q1783" t="n">
        <v>0</v>
      </c>
      <c r="R1783" t="n">
        <v>0</v>
      </c>
      <c r="S1783" t="n">
        <v>0</v>
      </c>
      <c r="T1783" t="n">
        <v>0</v>
      </c>
      <c r="U1783" t="n">
        <v>0</v>
      </c>
      <c r="V1783" s="2" t="inlineStr"/>
    </row>
    <row r="1784" ht="15" customHeight="1">
      <c r="A1784" t="inlineStr">
        <is>
          <t>A 54409-2024</t>
        </is>
      </c>
      <c r="B1784" t="inlineStr">
        <is>
          <t>avverkningsanmälan</t>
        </is>
      </c>
      <c r="C1784" t="inlineStr">
        <is>
          <t>Föryngringsavverkning</t>
        </is>
      </c>
      <c r="D1784" s="1" t="n">
        <v>45617</v>
      </c>
      <c r="E1784" s="1" t="n">
        <v>46323</v>
      </c>
      <c r="F1784" t="inlineStr">
        <is>
          <t>KALMAR LÄN</t>
        </is>
      </c>
      <c r="G1784" t="inlineStr">
        <is>
          <t>VIMMERBY</t>
        </is>
      </c>
      <c r="I1784" t="n">
        <v>4.3</v>
      </c>
      <c r="J1784" t="n">
        <v>0</v>
      </c>
      <c r="K1784" t="n">
        <v>0</v>
      </c>
      <c r="L1784" t="n">
        <v>0</v>
      </c>
      <c r="M1784" t="n">
        <v>0</v>
      </c>
      <c r="N1784" t="n">
        <v>0</v>
      </c>
      <c r="O1784" t="n">
        <v>0</v>
      </c>
      <c r="P1784" t="n">
        <v>0</v>
      </c>
      <c r="Q1784" t="n">
        <v>0</v>
      </c>
      <c r="R1784" t="n">
        <v>0</v>
      </c>
      <c r="S1784" t="n">
        <v>0</v>
      </c>
      <c r="T1784" t="n">
        <v>0</v>
      </c>
      <c r="U1784" t="n">
        <v>0</v>
      </c>
      <c r="V1784" s="2" t="inlineStr"/>
    </row>
    <row r="1785" ht="15" customHeight="1">
      <c r="A1785" t="inlineStr">
        <is>
          <t>A 12976-2022</t>
        </is>
      </c>
      <c r="B1785" t="inlineStr">
        <is>
          <t>avverkningsanmälan</t>
        </is>
      </c>
      <c r="C1785" t="inlineStr">
        <is>
          <t>Föryngringsavverkning</t>
        </is>
      </c>
      <c r="D1785" s="1" t="n">
        <v>44643</v>
      </c>
      <c r="E1785" s="1" t="n">
        <v>46323</v>
      </c>
      <c r="F1785" t="inlineStr">
        <is>
          <t>KALMAR LÄN</t>
        </is>
      </c>
      <c r="G1785" t="inlineStr">
        <is>
          <t>HULTSFRED</t>
        </is>
      </c>
      <c r="I1785" t="n">
        <v>0.2</v>
      </c>
      <c r="J1785" t="n">
        <v>0</v>
      </c>
      <c r="K1785" t="n">
        <v>0</v>
      </c>
      <c r="L1785" t="n">
        <v>0</v>
      </c>
      <c r="M1785" t="n">
        <v>0</v>
      </c>
      <c r="N1785" t="n">
        <v>0</v>
      </c>
      <c r="O1785" t="n">
        <v>0</v>
      </c>
      <c r="P1785" t="n">
        <v>0</v>
      </c>
      <c r="Q1785" t="n">
        <v>0</v>
      </c>
      <c r="R1785" t="n">
        <v>0</v>
      </c>
      <c r="S1785" t="n">
        <v>0</v>
      </c>
      <c r="T1785" t="n">
        <v>0</v>
      </c>
      <c r="U1785" t="n">
        <v>0</v>
      </c>
      <c r="V1785" s="2" t="inlineStr"/>
    </row>
    <row r="1786" ht="15" customHeight="1">
      <c r="A1786" t="inlineStr">
        <is>
          <t>A 34238-2022</t>
        </is>
      </c>
      <c r="B1786" t="inlineStr">
        <is>
          <t>avverkningsanmälan</t>
        </is>
      </c>
      <c r="C1786" t="inlineStr">
        <is>
          <t>Föryngringsavverkning</t>
        </is>
      </c>
      <c r="D1786" s="1" t="n">
        <v>44791</v>
      </c>
      <c r="E1786" s="1" t="n">
        <v>46323</v>
      </c>
      <c r="F1786" t="inlineStr">
        <is>
          <t>KALMAR LÄN</t>
        </is>
      </c>
      <c r="G1786" t="inlineStr">
        <is>
          <t>OSKARSHAMN</t>
        </is>
      </c>
      <c r="I1786" t="n">
        <v>1</v>
      </c>
      <c r="J1786" t="n">
        <v>0</v>
      </c>
      <c r="K1786" t="n">
        <v>0</v>
      </c>
      <c r="L1786" t="n">
        <v>0</v>
      </c>
      <c r="M1786" t="n">
        <v>0</v>
      </c>
      <c r="N1786" t="n">
        <v>0</v>
      </c>
      <c r="O1786" t="n">
        <v>0</v>
      </c>
      <c r="P1786" t="n">
        <v>0</v>
      </c>
      <c r="Q1786" t="n">
        <v>0</v>
      </c>
      <c r="R1786" t="n">
        <v>0</v>
      </c>
      <c r="S1786" t="n">
        <v>0</v>
      </c>
      <c r="T1786" t="n">
        <v>0</v>
      </c>
      <c r="U1786" t="n">
        <v>0</v>
      </c>
      <c r="V1786" s="2" t="inlineStr"/>
    </row>
    <row r="1787" ht="15" customHeight="1">
      <c r="A1787" t="inlineStr">
        <is>
          <t>A 31824-2022</t>
        </is>
      </c>
      <c r="B1787" t="inlineStr">
        <is>
          <t>avverkningsanmälan</t>
        </is>
      </c>
      <c r="C1787" t="inlineStr">
        <is>
          <t>Föryngringsavverkning</t>
        </is>
      </c>
      <c r="D1787" s="1" t="n">
        <v>44776</v>
      </c>
      <c r="E1787" s="1" t="n">
        <v>46323</v>
      </c>
      <c r="F1787" t="inlineStr">
        <is>
          <t>KALMAR LÄN</t>
        </is>
      </c>
      <c r="G1787" t="inlineStr">
        <is>
          <t>VIMMERBY</t>
        </is>
      </c>
      <c r="I1787" t="n">
        <v>0.7</v>
      </c>
      <c r="J1787" t="n">
        <v>0</v>
      </c>
      <c r="K1787" t="n">
        <v>0</v>
      </c>
      <c r="L1787" t="n">
        <v>0</v>
      </c>
      <c r="M1787" t="n">
        <v>0</v>
      </c>
      <c r="N1787" t="n">
        <v>0</v>
      </c>
      <c r="O1787" t="n">
        <v>0</v>
      </c>
      <c r="P1787" t="n">
        <v>0</v>
      </c>
      <c r="Q1787" t="n">
        <v>0</v>
      </c>
      <c r="R1787" t="n">
        <v>0</v>
      </c>
      <c r="S1787" t="n">
        <v>0</v>
      </c>
      <c r="T1787" t="n">
        <v>0</v>
      </c>
      <c r="U1787" t="n">
        <v>0</v>
      </c>
      <c r="V1787" s="2" t="inlineStr"/>
    </row>
    <row r="1788" ht="15" customHeight="1">
      <c r="A1788" t="inlineStr">
        <is>
          <t>A 51574-2022</t>
        </is>
      </c>
      <c r="B1788" t="inlineStr">
        <is>
          <t>avverkningsanmälan</t>
        </is>
      </c>
      <c r="C1788" t="inlineStr">
        <is>
          <t>Föryngringsavverkning</t>
        </is>
      </c>
      <c r="D1788" s="1" t="n">
        <v>44870</v>
      </c>
      <c r="E1788" s="1" t="n">
        <v>46323</v>
      </c>
      <c r="F1788" t="inlineStr">
        <is>
          <t>KALMAR LÄN</t>
        </is>
      </c>
      <c r="G1788" t="inlineStr">
        <is>
          <t>NYBRO</t>
        </is>
      </c>
      <c r="I1788" t="n">
        <v>0.5</v>
      </c>
      <c r="J1788" t="n">
        <v>0</v>
      </c>
      <c r="K1788" t="n">
        <v>0</v>
      </c>
      <c r="L1788" t="n">
        <v>0</v>
      </c>
      <c r="M1788" t="n">
        <v>0</v>
      </c>
      <c r="N1788" t="n">
        <v>0</v>
      </c>
      <c r="O1788" t="n">
        <v>0</v>
      </c>
      <c r="P1788" t="n">
        <v>0</v>
      </c>
      <c r="Q1788" t="n">
        <v>0</v>
      </c>
      <c r="R1788" t="n">
        <v>0</v>
      </c>
      <c r="S1788" t="n">
        <v>0</v>
      </c>
      <c r="T1788" t="n">
        <v>0</v>
      </c>
      <c r="U1788" t="n">
        <v>0</v>
      </c>
      <c r="V1788" s="2" t="inlineStr"/>
    </row>
    <row r="1789" ht="15" customHeight="1">
      <c r="A1789" t="inlineStr">
        <is>
          <t>A 22229-2022</t>
        </is>
      </c>
      <c r="B1789" t="inlineStr">
        <is>
          <t>avverkningsanmälan</t>
        </is>
      </c>
      <c r="C1789" t="inlineStr">
        <is>
          <t>Föryngringsavverkning</t>
        </is>
      </c>
      <c r="D1789" s="1" t="n">
        <v>44712</v>
      </c>
      <c r="E1789" s="1" t="n">
        <v>46323</v>
      </c>
      <c r="F1789" t="inlineStr">
        <is>
          <t>KALMAR LÄN</t>
        </is>
      </c>
      <c r="G1789" t="inlineStr">
        <is>
          <t>HULTSFRED</t>
        </is>
      </c>
      <c r="I1789" t="n">
        <v>0.7</v>
      </c>
      <c r="J1789" t="n">
        <v>0</v>
      </c>
      <c r="K1789" t="n">
        <v>0</v>
      </c>
      <c r="L1789" t="n">
        <v>0</v>
      </c>
      <c r="M1789" t="n">
        <v>0</v>
      </c>
      <c r="N1789" t="n">
        <v>0</v>
      </c>
      <c r="O1789" t="n">
        <v>0</v>
      </c>
      <c r="P1789" t="n">
        <v>0</v>
      </c>
      <c r="Q1789" t="n">
        <v>0</v>
      </c>
      <c r="R1789" t="n">
        <v>0</v>
      </c>
      <c r="S1789" t="n">
        <v>0</v>
      </c>
      <c r="T1789" t="n">
        <v>0</v>
      </c>
      <c r="U1789" t="n">
        <v>0</v>
      </c>
      <c r="V1789" s="2" t="inlineStr"/>
    </row>
    <row r="1790" ht="15" customHeight="1">
      <c r="A1790" t="inlineStr">
        <is>
          <t>A 30867-2023</t>
        </is>
      </c>
      <c r="B1790" t="inlineStr">
        <is>
          <t>avverkningsanmälan</t>
        </is>
      </c>
      <c r="C1790" t="inlineStr">
        <is>
          <t>Föryngringsavverkning</t>
        </is>
      </c>
      <c r="D1790" s="1" t="n">
        <v>45113</v>
      </c>
      <c r="E1790" s="1" t="n">
        <v>46323</v>
      </c>
      <c r="F1790" t="inlineStr">
        <is>
          <t>KALMAR LÄN</t>
        </is>
      </c>
      <c r="G1790" t="inlineStr">
        <is>
          <t>TORSÅS</t>
        </is>
      </c>
      <c r="I1790" t="n">
        <v>2.4</v>
      </c>
      <c r="J1790" t="n">
        <v>0</v>
      </c>
      <c r="K1790" t="n">
        <v>0</v>
      </c>
      <c r="L1790" t="n">
        <v>0</v>
      </c>
      <c r="M1790" t="n">
        <v>0</v>
      </c>
      <c r="N1790" t="n">
        <v>0</v>
      </c>
      <c r="O1790" t="n">
        <v>0</v>
      </c>
      <c r="P1790" t="n">
        <v>0</v>
      </c>
      <c r="Q1790" t="n">
        <v>0</v>
      </c>
      <c r="R1790" t="n">
        <v>0</v>
      </c>
      <c r="S1790" t="n">
        <v>0</v>
      </c>
      <c r="T1790" t="n">
        <v>0</v>
      </c>
      <c r="U1790" t="n">
        <v>0</v>
      </c>
      <c r="V1790" s="2" t="inlineStr"/>
    </row>
    <row r="1791" ht="15" customHeight="1">
      <c r="A1791" t="inlineStr">
        <is>
          <t>A 30874-2023</t>
        </is>
      </c>
      <c r="B1791" t="inlineStr">
        <is>
          <t>avverkningsanmälan</t>
        </is>
      </c>
      <c r="C1791" t="inlineStr">
        <is>
          <t>Föryngringsavverkning</t>
        </is>
      </c>
      <c r="D1791" s="1" t="n">
        <v>45113</v>
      </c>
      <c r="E1791" s="1" t="n">
        <v>46323</v>
      </c>
      <c r="F1791" t="inlineStr">
        <is>
          <t>KALMAR LÄN</t>
        </is>
      </c>
      <c r="G1791" t="inlineStr">
        <is>
          <t>TORSÅS</t>
        </is>
      </c>
      <c r="I1791" t="n">
        <v>0.5</v>
      </c>
      <c r="J1791" t="n">
        <v>0</v>
      </c>
      <c r="K1791" t="n">
        <v>0</v>
      </c>
      <c r="L1791" t="n">
        <v>0</v>
      </c>
      <c r="M1791" t="n">
        <v>0</v>
      </c>
      <c r="N1791" t="n">
        <v>0</v>
      </c>
      <c r="O1791" t="n">
        <v>0</v>
      </c>
      <c r="P1791" t="n">
        <v>0</v>
      </c>
      <c r="Q1791" t="n">
        <v>0</v>
      </c>
      <c r="R1791" t="n">
        <v>0</v>
      </c>
      <c r="S1791" t="n">
        <v>0</v>
      </c>
      <c r="T1791" t="n">
        <v>0</v>
      </c>
      <c r="U1791" t="n">
        <v>0</v>
      </c>
      <c r="V1791" s="2" t="inlineStr"/>
    </row>
    <row r="1792" ht="15" customHeight="1">
      <c r="A1792" t="inlineStr">
        <is>
          <t>A 30890-2023</t>
        </is>
      </c>
      <c r="B1792" t="inlineStr">
        <is>
          <t>avverkningsanmälan</t>
        </is>
      </c>
      <c r="C1792" t="inlineStr">
        <is>
          <t>Föryngringsavverkning</t>
        </is>
      </c>
      <c r="D1792" s="1" t="n">
        <v>45113</v>
      </c>
      <c r="E1792" s="1" t="n">
        <v>46323</v>
      </c>
      <c r="F1792" t="inlineStr">
        <is>
          <t>KALMAR LÄN</t>
        </is>
      </c>
      <c r="G1792" t="inlineStr">
        <is>
          <t>HÖGSBY</t>
        </is>
      </c>
      <c r="I1792" t="n">
        <v>11.6</v>
      </c>
      <c r="J1792" t="n">
        <v>0</v>
      </c>
      <c r="K1792" t="n">
        <v>0</v>
      </c>
      <c r="L1792" t="n">
        <v>0</v>
      </c>
      <c r="M1792" t="n">
        <v>0</v>
      </c>
      <c r="N1792" t="n">
        <v>0</v>
      </c>
      <c r="O1792" t="n">
        <v>0</v>
      </c>
      <c r="P1792" t="n">
        <v>0</v>
      </c>
      <c r="Q1792" t="n">
        <v>0</v>
      </c>
      <c r="R1792" t="n">
        <v>0</v>
      </c>
      <c r="S1792" t="n">
        <v>0</v>
      </c>
      <c r="T1792" t="n">
        <v>0</v>
      </c>
      <c r="U1792" t="n">
        <v>0</v>
      </c>
      <c r="V1792" s="2" t="inlineStr"/>
    </row>
    <row r="1793" ht="15" customHeight="1">
      <c r="A1793" t="inlineStr">
        <is>
          <t>A 13224-2022</t>
        </is>
      </c>
      <c r="B1793" t="inlineStr">
        <is>
          <t>avverkningsanmälan</t>
        </is>
      </c>
      <c r="C1793" t="inlineStr">
        <is>
          <t>Föryngringsavverkning</t>
        </is>
      </c>
      <c r="D1793" s="1" t="n">
        <v>44644</v>
      </c>
      <c r="E1793" s="1" t="n">
        <v>46323</v>
      </c>
      <c r="F1793" t="inlineStr">
        <is>
          <t>KALMAR LÄN</t>
        </is>
      </c>
      <c r="G1793" t="inlineStr">
        <is>
          <t>MÖNSTERÅS</t>
        </is>
      </c>
      <c r="I1793" t="n">
        <v>0.5</v>
      </c>
      <c r="J1793" t="n">
        <v>0</v>
      </c>
      <c r="K1793" t="n">
        <v>0</v>
      </c>
      <c r="L1793" t="n">
        <v>0</v>
      </c>
      <c r="M1793" t="n">
        <v>0</v>
      </c>
      <c r="N1793" t="n">
        <v>0</v>
      </c>
      <c r="O1793" t="n">
        <v>0</v>
      </c>
      <c r="P1793" t="n">
        <v>0</v>
      </c>
      <c r="Q1793" t="n">
        <v>0</v>
      </c>
      <c r="R1793" t="n">
        <v>0</v>
      </c>
      <c r="S1793" t="n">
        <v>0</v>
      </c>
      <c r="T1793" t="n">
        <v>0</v>
      </c>
      <c r="U1793" t="n">
        <v>0</v>
      </c>
      <c r="V1793" s="2" t="inlineStr"/>
    </row>
    <row r="1794" ht="15" customHeight="1">
      <c r="A1794" t="inlineStr">
        <is>
          <t>A 33606-2022</t>
        </is>
      </c>
      <c r="B1794" t="inlineStr">
        <is>
          <t>avverkningsanmälan</t>
        </is>
      </c>
      <c r="C1794" t="inlineStr">
        <is>
          <t>Föryngringsavverkning</t>
        </is>
      </c>
      <c r="D1794" s="1" t="n">
        <v>44789</v>
      </c>
      <c r="E1794" s="1" t="n">
        <v>46323</v>
      </c>
      <c r="F1794" t="inlineStr">
        <is>
          <t>KALMAR LÄN</t>
        </is>
      </c>
      <c r="G1794" t="inlineStr">
        <is>
          <t>OSKARSHAMN</t>
        </is>
      </c>
      <c r="I1794" t="n">
        <v>1.5</v>
      </c>
      <c r="J1794" t="n">
        <v>0</v>
      </c>
      <c r="K1794" t="n">
        <v>0</v>
      </c>
      <c r="L1794" t="n">
        <v>0</v>
      </c>
      <c r="M1794" t="n">
        <v>0</v>
      </c>
      <c r="N1794" t="n">
        <v>0</v>
      </c>
      <c r="O1794" t="n">
        <v>0</v>
      </c>
      <c r="P1794" t="n">
        <v>0</v>
      </c>
      <c r="Q1794" t="n">
        <v>0</v>
      </c>
      <c r="R1794" t="n">
        <v>0</v>
      </c>
      <c r="S1794" t="n">
        <v>0</v>
      </c>
      <c r="T1794" t="n">
        <v>0</v>
      </c>
      <c r="U1794" t="n">
        <v>0</v>
      </c>
      <c r="V1794" s="2" t="inlineStr"/>
    </row>
    <row r="1795" ht="15" customHeight="1">
      <c r="A1795" t="inlineStr">
        <is>
          <t>A 24584-2024</t>
        </is>
      </c>
      <c r="B1795" t="inlineStr">
        <is>
          <t>avverkningsanmälan</t>
        </is>
      </c>
      <c r="C1795" t="inlineStr">
        <is>
          <t>Föryngringsavverkning</t>
        </is>
      </c>
      <c r="D1795" s="1" t="n">
        <v>45460</v>
      </c>
      <c r="E1795" s="1" t="n">
        <v>46323</v>
      </c>
      <c r="F1795" t="inlineStr">
        <is>
          <t>KALMAR LÄN</t>
        </is>
      </c>
      <c r="G1795" t="inlineStr">
        <is>
          <t>VÄSTERVIK</t>
        </is>
      </c>
      <c r="I1795" t="n">
        <v>1.5</v>
      </c>
      <c r="J1795" t="n">
        <v>0</v>
      </c>
      <c r="K1795" t="n">
        <v>0</v>
      </c>
      <c r="L1795" t="n">
        <v>0</v>
      </c>
      <c r="M1795" t="n">
        <v>0</v>
      </c>
      <c r="N1795" t="n">
        <v>0</v>
      </c>
      <c r="O1795" t="n">
        <v>0</v>
      </c>
      <c r="P1795" t="n">
        <v>0</v>
      </c>
      <c r="Q1795" t="n">
        <v>0</v>
      </c>
      <c r="R1795" t="n">
        <v>0</v>
      </c>
      <c r="S1795" t="n">
        <v>0</v>
      </c>
      <c r="T1795" t="n">
        <v>0</v>
      </c>
      <c r="U1795" t="n">
        <v>0</v>
      </c>
      <c r="V1795" s="2" t="inlineStr"/>
    </row>
    <row r="1796" ht="15" customHeight="1">
      <c r="A1796" t="inlineStr">
        <is>
          <t>A 28592-2022</t>
        </is>
      </c>
      <c r="B1796" t="inlineStr">
        <is>
          <t>avverkningsanmälan</t>
        </is>
      </c>
      <c r="C1796" t="inlineStr">
        <is>
          <t>Avverkning för annat ändamål</t>
        </is>
      </c>
      <c r="D1796" s="1" t="n">
        <v>44748</v>
      </c>
      <c r="E1796" s="1" t="n">
        <v>46323</v>
      </c>
      <c r="F1796" t="inlineStr">
        <is>
          <t>KALMAR LÄN</t>
        </is>
      </c>
      <c r="G1796" t="inlineStr">
        <is>
          <t>TORSÅS</t>
        </is>
      </c>
      <c r="I1796" t="n">
        <v>0.1</v>
      </c>
      <c r="J1796" t="n">
        <v>0</v>
      </c>
      <c r="K1796" t="n">
        <v>0</v>
      </c>
      <c r="L1796" t="n">
        <v>0</v>
      </c>
      <c r="M1796" t="n">
        <v>0</v>
      </c>
      <c r="N1796" t="n">
        <v>0</v>
      </c>
      <c r="O1796" t="n">
        <v>0</v>
      </c>
      <c r="P1796" t="n">
        <v>0</v>
      </c>
      <c r="Q1796" t="n">
        <v>0</v>
      </c>
      <c r="R1796" t="n">
        <v>0</v>
      </c>
      <c r="S1796" t="n">
        <v>0</v>
      </c>
      <c r="T1796" t="n">
        <v>0</v>
      </c>
      <c r="U1796" t="n">
        <v>0</v>
      </c>
      <c r="V1796" s="2" t="inlineStr"/>
    </row>
    <row r="1797" ht="15" customHeight="1">
      <c r="A1797" t="inlineStr">
        <is>
          <t>A 19881-2024</t>
        </is>
      </c>
      <c r="B1797" t="inlineStr">
        <is>
          <t>avverkningsanmälan</t>
        </is>
      </c>
      <c r="C1797" t="inlineStr">
        <is>
          <t>Avverkning för att bevara och utveckla /försöksver</t>
        </is>
      </c>
      <c r="D1797" s="1" t="n">
        <v>45433</v>
      </c>
      <c r="E1797" s="1" t="n">
        <v>46323</v>
      </c>
      <c r="F1797" t="inlineStr">
        <is>
          <t>KALMAR LÄN</t>
        </is>
      </c>
      <c r="G1797" t="inlineStr">
        <is>
          <t>EMMABODA</t>
        </is>
      </c>
      <c r="I1797" t="n">
        <v>0.6</v>
      </c>
      <c r="J1797" t="n">
        <v>0</v>
      </c>
      <c r="K1797" t="n">
        <v>0</v>
      </c>
      <c r="L1797" t="n">
        <v>0</v>
      </c>
      <c r="M1797" t="n">
        <v>0</v>
      </c>
      <c r="N1797" t="n">
        <v>0</v>
      </c>
      <c r="O1797" t="n">
        <v>0</v>
      </c>
      <c r="P1797" t="n">
        <v>0</v>
      </c>
      <c r="Q1797" t="n">
        <v>0</v>
      </c>
      <c r="R1797" t="n">
        <v>0</v>
      </c>
      <c r="S1797" t="n">
        <v>0</v>
      </c>
      <c r="T1797" t="n">
        <v>0</v>
      </c>
      <c r="U1797" t="n">
        <v>0</v>
      </c>
      <c r="V1797" s="2" t="inlineStr"/>
    </row>
    <row r="1798" ht="15" customHeight="1">
      <c r="A1798" t="inlineStr">
        <is>
          <t>A 11733-2022</t>
        </is>
      </c>
      <c r="B1798" t="inlineStr">
        <is>
          <t>avverkningsanmälan</t>
        </is>
      </c>
      <c r="C1798" t="inlineStr">
        <is>
          <t>Föryngringsavverkning</t>
        </is>
      </c>
      <c r="D1798" s="1" t="n">
        <v>44634</v>
      </c>
      <c r="E1798" s="1" t="n">
        <v>46323</v>
      </c>
      <c r="F1798" t="inlineStr">
        <is>
          <t>KALMAR LÄN</t>
        </is>
      </c>
      <c r="G1798" t="inlineStr">
        <is>
          <t>VIMMERBY</t>
        </is>
      </c>
      <c r="I1798" t="n">
        <v>0.5</v>
      </c>
      <c r="J1798" t="n">
        <v>0</v>
      </c>
      <c r="K1798" t="n">
        <v>0</v>
      </c>
      <c r="L1798" t="n">
        <v>0</v>
      </c>
      <c r="M1798" t="n">
        <v>0</v>
      </c>
      <c r="N1798" t="n">
        <v>0</v>
      </c>
      <c r="O1798" t="n">
        <v>0</v>
      </c>
      <c r="P1798" t="n">
        <v>0</v>
      </c>
      <c r="Q1798" t="n">
        <v>0</v>
      </c>
      <c r="R1798" t="n">
        <v>0</v>
      </c>
      <c r="S1798" t="n">
        <v>0</v>
      </c>
      <c r="T1798" t="n">
        <v>0</v>
      </c>
      <c r="U1798" t="n">
        <v>0</v>
      </c>
      <c r="V1798" s="2" t="inlineStr"/>
    </row>
    <row r="1799" ht="15" customHeight="1">
      <c r="A1799" t="inlineStr">
        <is>
          <t>A 4109-2022</t>
        </is>
      </c>
      <c r="B1799" t="inlineStr">
        <is>
          <t>avverkningsanmälan</t>
        </is>
      </c>
      <c r="C1799" t="inlineStr">
        <is>
          <t>Föryngringsavverkning</t>
        </is>
      </c>
      <c r="D1799" s="1" t="n">
        <v>44587</v>
      </c>
      <c r="E1799" s="1" t="n">
        <v>46323</v>
      </c>
      <c r="F1799" t="inlineStr">
        <is>
          <t>KALMAR LÄN</t>
        </is>
      </c>
      <c r="G1799" t="inlineStr">
        <is>
          <t>NYBRO</t>
        </is>
      </c>
      <c r="I1799" t="n">
        <v>1.5</v>
      </c>
      <c r="J1799" t="n">
        <v>0</v>
      </c>
      <c r="K1799" t="n">
        <v>0</v>
      </c>
      <c r="L1799" t="n">
        <v>0</v>
      </c>
      <c r="M1799" t="n">
        <v>0</v>
      </c>
      <c r="N1799" t="n">
        <v>0</v>
      </c>
      <c r="O1799" t="n">
        <v>0</v>
      </c>
      <c r="P1799" t="n">
        <v>0</v>
      </c>
      <c r="Q1799" t="n">
        <v>0</v>
      </c>
      <c r="R1799" t="n">
        <v>0</v>
      </c>
      <c r="S1799" t="n">
        <v>0</v>
      </c>
      <c r="T1799" t="n">
        <v>0</v>
      </c>
      <c r="U1799" t="n">
        <v>0</v>
      </c>
      <c r="V1799" s="2" t="inlineStr"/>
    </row>
    <row r="1800" ht="15" customHeight="1">
      <c r="A1800" t="inlineStr">
        <is>
          <t>A 9037-2023</t>
        </is>
      </c>
      <c r="B1800" t="inlineStr">
        <is>
          <t>avverkningsanmälan</t>
        </is>
      </c>
      <c r="C1800" t="inlineStr">
        <is>
          <t>Föryngringsavverkning</t>
        </is>
      </c>
      <c r="D1800" s="1" t="n">
        <v>44979</v>
      </c>
      <c r="E1800" s="1" t="n">
        <v>46323</v>
      </c>
      <c r="F1800" t="inlineStr">
        <is>
          <t>KALMAR LÄN</t>
        </is>
      </c>
      <c r="G1800" t="inlineStr">
        <is>
          <t>VÄSTERVIK</t>
        </is>
      </c>
      <c r="I1800" t="n">
        <v>1.1</v>
      </c>
      <c r="J1800" t="n">
        <v>0</v>
      </c>
      <c r="K1800" t="n">
        <v>0</v>
      </c>
      <c r="L1800" t="n">
        <v>0</v>
      </c>
      <c r="M1800" t="n">
        <v>0</v>
      </c>
      <c r="N1800" t="n">
        <v>0</v>
      </c>
      <c r="O1800" t="n">
        <v>0</v>
      </c>
      <c r="P1800" t="n">
        <v>0</v>
      </c>
      <c r="Q1800" t="n">
        <v>0</v>
      </c>
      <c r="R1800" t="n">
        <v>0</v>
      </c>
      <c r="S1800" t="n">
        <v>0</v>
      </c>
      <c r="T1800" t="n">
        <v>0</v>
      </c>
      <c r="U1800" t="n">
        <v>0</v>
      </c>
      <c r="V1800" s="2" t="inlineStr"/>
    </row>
    <row r="1801" ht="15" customHeight="1">
      <c r="A1801" t="inlineStr">
        <is>
          <t>A 6330-2023</t>
        </is>
      </c>
      <c r="B1801" t="inlineStr">
        <is>
          <t>avverkningsanmälan</t>
        </is>
      </c>
      <c r="C1801" t="inlineStr">
        <is>
          <t>Föryngringsavverkning</t>
        </is>
      </c>
      <c r="D1801" s="1" t="n">
        <v>44965</v>
      </c>
      <c r="E1801" s="1" t="n">
        <v>46323</v>
      </c>
      <c r="F1801" t="inlineStr">
        <is>
          <t>KALMAR LÄN</t>
        </is>
      </c>
      <c r="G1801" t="inlineStr">
        <is>
          <t>EMMABODA</t>
        </is>
      </c>
      <c r="I1801" t="n">
        <v>0.8</v>
      </c>
      <c r="J1801" t="n">
        <v>0</v>
      </c>
      <c r="K1801" t="n">
        <v>0</v>
      </c>
      <c r="L1801" t="n">
        <v>0</v>
      </c>
      <c r="M1801" t="n">
        <v>0</v>
      </c>
      <c r="N1801" t="n">
        <v>0</v>
      </c>
      <c r="O1801" t="n">
        <v>0</v>
      </c>
      <c r="P1801" t="n">
        <v>0</v>
      </c>
      <c r="Q1801" t="n">
        <v>0</v>
      </c>
      <c r="R1801" t="n">
        <v>0</v>
      </c>
      <c r="S1801" t="n">
        <v>0</v>
      </c>
      <c r="T1801" t="n">
        <v>0</v>
      </c>
      <c r="U1801" t="n">
        <v>0</v>
      </c>
      <c r="V1801" s="2" t="inlineStr"/>
    </row>
    <row r="1802" ht="15" customHeight="1">
      <c r="A1802" t="inlineStr">
        <is>
          <t>A 13473-2022</t>
        </is>
      </c>
      <c r="B1802" t="inlineStr">
        <is>
          <t>avverkningsanmälan</t>
        </is>
      </c>
      <c r="C1802" t="inlineStr">
        <is>
          <t>Föryngringsavverkning</t>
        </is>
      </c>
      <c r="D1802" s="1" t="n">
        <v>44645</v>
      </c>
      <c r="E1802" s="1" t="n">
        <v>46323</v>
      </c>
      <c r="F1802" t="inlineStr">
        <is>
          <t>KALMAR LÄN</t>
        </is>
      </c>
      <c r="G1802" t="inlineStr">
        <is>
          <t>HULTSFRED</t>
        </is>
      </c>
      <c r="I1802" t="n">
        <v>0.4</v>
      </c>
      <c r="J1802" t="n">
        <v>0</v>
      </c>
      <c r="K1802" t="n">
        <v>0</v>
      </c>
      <c r="L1802" t="n">
        <v>0</v>
      </c>
      <c r="M1802" t="n">
        <v>0</v>
      </c>
      <c r="N1802" t="n">
        <v>0</v>
      </c>
      <c r="O1802" t="n">
        <v>0</v>
      </c>
      <c r="P1802" t="n">
        <v>0</v>
      </c>
      <c r="Q1802" t="n">
        <v>0</v>
      </c>
      <c r="R1802" t="n">
        <v>0</v>
      </c>
      <c r="S1802" t="n">
        <v>0</v>
      </c>
      <c r="T1802" t="n">
        <v>0</v>
      </c>
      <c r="U1802" t="n">
        <v>0</v>
      </c>
      <c r="V1802" s="2" t="inlineStr"/>
    </row>
    <row r="1803" ht="15" customHeight="1">
      <c r="A1803" t="inlineStr">
        <is>
          <t>A 39633-2022</t>
        </is>
      </c>
      <c r="B1803" t="inlineStr">
        <is>
          <t>avverkningsanmälan</t>
        </is>
      </c>
      <c r="C1803" t="inlineStr">
        <is>
          <t>Föryngringsavverkning</t>
        </is>
      </c>
      <c r="D1803" s="1" t="n">
        <v>44818</v>
      </c>
      <c r="E1803" s="1" t="n">
        <v>46323</v>
      </c>
      <c r="F1803" t="inlineStr">
        <is>
          <t>KALMAR LÄN</t>
        </is>
      </c>
      <c r="G1803" t="inlineStr">
        <is>
          <t>OSKARSHAMN</t>
        </is>
      </c>
      <c r="I1803" t="n">
        <v>1.8</v>
      </c>
      <c r="J1803" t="n">
        <v>0</v>
      </c>
      <c r="K1803" t="n">
        <v>0</v>
      </c>
      <c r="L1803" t="n">
        <v>0</v>
      </c>
      <c r="M1803" t="n">
        <v>0</v>
      </c>
      <c r="N1803" t="n">
        <v>0</v>
      </c>
      <c r="O1803" t="n">
        <v>0</v>
      </c>
      <c r="P1803" t="n">
        <v>0</v>
      </c>
      <c r="Q1803" t="n">
        <v>0</v>
      </c>
      <c r="R1803" t="n">
        <v>0</v>
      </c>
      <c r="S1803" t="n">
        <v>0</v>
      </c>
      <c r="T1803" t="n">
        <v>0</v>
      </c>
      <c r="U1803" t="n">
        <v>0</v>
      </c>
      <c r="V1803" s="2" t="inlineStr"/>
    </row>
    <row r="1804" ht="15" customHeight="1">
      <c r="A1804" t="inlineStr">
        <is>
          <t>A 5854-2022</t>
        </is>
      </c>
      <c r="B1804" t="inlineStr">
        <is>
          <t>avverkningsanmälan</t>
        </is>
      </c>
      <c r="C1804" t="inlineStr">
        <is>
          <t>Föryngringsavverkning</t>
        </is>
      </c>
      <c r="D1804" s="1" t="n">
        <v>44596</v>
      </c>
      <c r="E1804" s="1" t="n">
        <v>46323</v>
      </c>
      <c r="F1804" t="inlineStr">
        <is>
          <t>KALMAR LÄN</t>
        </is>
      </c>
      <c r="G1804" t="inlineStr">
        <is>
          <t>OSKARSHAMN</t>
        </is>
      </c>
      <c r="I1804" t="n">
        <v>0.9</v>
      </c>
      <c r="J1804" t="n">
        <v>0</v>
      </c>
      <c r="K1804" t="n">
        <v>0</v>
      </c>
      <c r="L1804" t="n">
        <v>0</v>
      </c>
      <c r="M1804" t="n">
        <v>0</v>
      </c>
      <c r="N1804" t="n">
        <v>0</v>
      </c>
      <c r="O1804" t="n">
        <v>0</v>
      </c>
      <c r="P1804" t="n">
        <v>0</v>
      </c>
      <c r="Q1804" t="n">
        <v>0</v>
      </c>
      <c r="R1804" t="n">
        <v>0</v>
      </c>
      <c r="S1804" t="n">
        <v>0</v>
      </c>
      <c r="T1804" t="n">
        <v>0</v>
      </c>
      <c r="U1804" t="n">
        <v>0</v>
      </c>
      <c r="V1804" s="2" t="inlineStr"/>
    </row>
    <row r="1805" ht="15" customHeight="1">
      <c r="A1805" t="inlineStr">
        <is>
          <t>A 39677-2022</t>
        </is>
      </c>
      <c r="B1805" t="inlineStr">
        <is>
          <t>avverkningsanmälan</t>
        </is>
      </c>
      <c r="C1805" t="inlineStr">
        <is>
          <t>Föryngringsavverkning</t>
        </is>
      </c>
      <c r="D1805" s="1" t="n">
        <v>44818</v>
      </c>
      <c r="E1805" s="1" t="n">
        <v>46323</v>
      </c>
      <c r="F1805" t="inlineStr">
        <is>
          <t>KALMAR LÄN</t>
        </is>
      </c>
      <c r="G1805" t="inlineStr">
        <is>
          <t>OSKARSHAMN</t>
        </is>
      </c>
      <c r="I1805" t="n">
        <v>0.5</v>
      </c>
      <c r="J1805" t="n">
        <v>0</v>
      </c>
      <c r="K1805" t="n">
        <v>0</v>
      </c>
      <c r="L1805" t="n">
        <v>0</v>
      </c>
      <c r="M1805" t="n">
        <v>0</v>
      </c>
      <c r="N1805" t="n">
        <v>0</v>
      </c>
      <c r="O1805" t="n">
        <v>0</v>
      </c>
      <c r="P1805" t="n">
        <v>0</v>
      </c>
      <c r="Q1805" t="n">
        <v>0</v>
      </c>
      <c r="R1805" t="n">
        <v>0</v>
      </c>
      <c r="S1805" t="n">
        <v>0</v>
      </c>
      <c r="T1805" t="n">
        <v>0</v>
      </c>
      <c r="U1805" t="n">
        <v>0</v>
      </c>
      <c r="V1805" s="2" t="inlineStr"/>
    </row>
    <row r="1806" ht="15" customHeight="1">
      <c r="A1806" t="inlineStr">
        <is>
          <t>A 10800-2022</t>
        </is>
      </c>
      <c r="B1806" t="inlineStr">
        <is>
          <t>avverkningsanmälan</t>
        </is>
      </c>
      <c r="C1806" t="inlineStr">
        <is>
          <t>Föryngringsavverkning</t>
        </is>
      </c>
      <c r="D1806" s="1" t="n">
        <v>44627</v>
      </c>
      <c r="E1806" s="1" t="n">
        <v>46323</v>
      </c>
      <c r="F1806" t="inlineStr">
        <is>
          <t>KALMAR LÄN</t>
        </is>
      </c>
      <c r="G1806" t="inlineStr">
        <is>
          <t>OSKARSHAMN</t>
        </is>
      </c>
      <c r="I1806" t="n">
        <v>0.5</v>
      </c>
      <c r="J1806" t="n">
        <v>0</v>
      </c>
      <c r="K1806" t="n">
        <v>0</v>
      </c>
      <c r="L1806" t="n">
        <v>0</v>
      </c>
      <c r="M1806" t="n">
        <v>0</v>
      </c>
      <c r="N1806" t="n">
        <v>0</v>
      </c>
      <c r="O1806" t="n">
        <v>0</v>
      </c>
      <c r="P1806" t="n">
        <v>0</v>
      </c>
      <c r="Q1806" t="n">
        <v>0</v>
      </c>
      <c r="R1806" t="n">
        <v>0</v>
      </c>
      <c r="S1806" t="n">
        <v>0</v>
      </c>
      <c r="T1806" t="n">
        <v>0</v>
      </c>
      <c r="U1806" t="n">
        <v>0</v>
      </c>
      <c r="V1806" s="2" t="inlineStr"/>
    </row>
    <row r="1807" ht="15" customHeight="1">
      <c r="A1807" t="inlineStr">
        <is>
          <t>A 28120-2023</t>
        </is>
      </c>
      <c r="B1807" t="inlineStr">
        <is>
          <t>avverkningsanmälan</t>
        </is>
      </c>
      <c r="C1807" t="inlineStr">
        <is>
          <t>Föryngringsavverkning</t>
        </is>
      </c>
      <c r="D1807" s="1" t="n">
        <v>45099</v>
      </c>
      <c r="E1807" s="1" t="n">
        <v>46323</v>
      </c>
      <c r="F1807" t="inlineStr">
        <is>
          <t>KALMAR LÄN</t>
        </is>
      </c>
      <c r="G1807" t="inlineStr">
        <is>
          <t>OSKARSHAMN</t>
        </is>
      </c>
      <c r="I1807" t="n">
        <v>1.2</v>
      </c>
      <c r="J1807" t="n">
        <v>0</v>
      </c>
      <c r="K1807" t="n">
        <v>0</v>
      </c>
      <c r="L1807" t="n">
        <v>0</v>
      </c>
      <c r="M1807" t="n">
        <v>0</v>
      </c>
      <c r="N1807" t="n">
        <v>0</v>
      </c>
      <c r="O1807" t="n">
        <v>0</v>
      </c>
      <c r="P1807" t="n">
        <v>0</v>
      </c>
      <c r="Q1807" t="n">
        <v>0</v>
      </c>
      <c r="R1807" t="n">
        <v>0</v>
      </c>
      <c r="S1807" t="n">
        <v>0</v>
      </c>
      <c r="T1807" t="n">
        <v>0</v>
      </c>
      <c r="U1807" t="n">
        <v>0</v>
      </c>
      <c r="V1807" s="2" t="inlineStr"/>
    </row>
    <row r="1808" ht="15" customHeight="1">
      <c r="A1808" t="inlineStr">
        <is>
          <t>A 32764-2022</t>
        </is>
      </c>
      <c r="B1808" t="inlineStr">
        <is>
          <t>avverkningsanmälan</t>
        </is>
      </c>
      <c r="C1808" t="inlineStr">
        <is>
          <t>Föryngringsavverkning</t>
        </is>
      </c>
      <c r="D1808" s="1" t="n">
        <v>44783</v>
      </c>
      <c r="E1808" s="1" t="n">
        <v>46323</v>
      </c>
      <c r="F1808" t="inlineStr">
        <is>
          <t>KALMAR LÄN</t>
        </is>
      </c>
      <c r="G1808" t="inlineStr">
        <is>
          <t>VÄSTERVIK</t>
        </is>
      </c>
      <c r="I1808" t="n">
        <v>1</v>
      </c>
      <c r="J1808" t="n">
        <v>0</v>
      </c>
      <c r="K1808" t="n">
        <v>0</v>
      </c>
      <c r="L1808" t="n">
        <v>0</v>
      </c>
      <c r="M1808" t="n">
        <v>0</v>
      </c>
      <c r="N1808" t="n">
        <v>0</v>
      </c>
      <c r="O1808" t="n">
        <v>0</v>
      </c>
      <c r="P1808" t="n">
        <v>0</v>
      </c>
      <c r="Q1808" t="n">
        <v>0</v>
      </c>
      <c r="R1808" t="n">
        <v>0</v>
      </c>
      <c r="S1808" t="n">
        <v>0</v>
      </c>
      <c r="T1808" t="n">
        <v>0</v>
      </c>
      <c r="U1808" t="n">
        <v>0</v>
      </c>
      <c r="V1808" s="2" t="inlineStr"/>
    </row>
    <row r="1809" ht="15" customHeight="1">
      <c r="A1809" t="inlineStr">
        <is>
          <t>A 73552-2021</t>
        </is>
      </c>
      <c r="B1809" t="inlineStr">
        <is>
          <t>avverkningsanmälan</t>
        </is>
      </c>
      <c r="C1809" t="inlineStr">
        <is>
          <t>Föryngringsavverkning</t>
        </is>
      </c>
      <c r="D1809" s="1" t="n">
        <v>44551</v>
      </c>
      <c r="E1809" s="1" t="n">
        <v>46323</v>
      </c>
      <c r="F1809" t="inlineStr">
        <is>
          <t>KALMAR LÄN</t>
        </is>
      </c>
      <c r="G1809" t="inlineStr">
        <is>
          <t>EMMABODA</t>
        </is>
      </c>
      <c r="H1809" t="inlineStr">
        <is>
          <t>Kommuner</t>
        </is>
      </c>
      <c r="I1809" t="n">
        <v>0.5</v>
      </c>
      <c r="J1809" t="n">
        <v>0</v>
      </c>
      <c r="K1809" t="n">
        <v>0</v>
      </c>
      <c r="L1809" t="n">
        <v>0</v>
      </c>
      <c r="M1809" t="n">
        <v>0</v>
      </c>
      <c r="N1809" t="n">
        <v>0</v>
      </c>
      <c r="O1809" t="n">
        <v>0</v>
      </c>
      <c r="P1809" t="n">
        <v>0</v>
      </c>
      <c r="Q1809" t="n">
        <v>0</v>
      </c>
      <c r="R1809" t="n">
        <v>0</v>
      </c>
      <c r="S1809" t="n">
        <v>0</v>
      </c>
      <c r="T1809" t="n">
        <v>0</v>
      </c>
      <c r="U1809" t="n">
        <v>0</v>
      </c>
      <c r="V1809" s="2" t="inlineStr"/>
    </row>
    <row r="1810" ht="15" customHeight="1">
      <c r="A1810" t="inlineStr">
        <is>
          <t>A 28479-2023</t>
        </is>
      </c>
      <c r="B1810" t="inlineStr">
        <is>
          <t>avverkningsanmälan</t>
        </is>
      </c>
      <c r="C1810" t="inlineStr">
        <is>
          <t>Föryngringsavverkning</t>
        </is>
      </c>
      <c r="D1810" s="1" t="n">
        <v>45103</v>
      </c>
      <c r="E1810" s="1" t="n">
        <v>46323</v>
      </c>
      <c r="F1810" t="inlineStr">
        <is>
          <t>KALMAR LÄN</t>
        </is>
      </c>
      <c r="G1810" t="inlineStr">
        <is>
          <t>NYBRO</t>
        </is>
      </c>
      <c r="I1810" t="n">
        <v>1.4</v>
      </c>
      <c r="J1810" t="n">
        <v>0</v>
      </c>
      <c r="K1810" t="n">
        <v>0</v>
      </c>
      <c r="L1810" t="n">
        <v>0</v>
      </c>
      <c r="M1810" t="n">
        <v>0</v>
      </c>
      <c r="N1810" t="n">
        <v>0</v>
      </c>
      <c r="O1810" t="n">
        <v>0</v>
      </c>
      <c r="P1810" t="n">
        <v>0</v>
      </c>
      <c r="Q1810" t="n">
        <v>0</v>
      </c>
      <c r="R1810" t="n">
        <v>0</v>
      </c>
      <c r="S1810" t="n">
        <v>0</v>
      </c>
      <c r="T1810" t="n">
        <v>0</v>
      </c>
      <c r="U1810" t="n">
        <v>0</v>
      </c>
      <c r="V1810" s="2" t="inlineStr"/>
    </row>
    <row r="1811" ht="15" customHeight="1">
      <c r="A1811" t="inlineStr">
        <is>
          <t>A 15109-2022</t>
        </is>
      </c>
      <c r="B1811" t="inlineStr">
        <is>
          <t>avverkningsanmälan</t>
        </is>
      </c>
      <c r="C1811" t="inlineStr">
        <is>
          <t>Föryngringsavverkning</t>
        </is>
      </c>
      <c r="D1811" s="1" t="n">
        <v>44658</v>
      </c>
      <c r="E1811" s="1" t="n">
        <v>46323</v>
      </c>
      <c r="F1811" t="inlineStr">
        <is>
          <t>KALMAR LÄN</t>
        </is>
      </c>
      <c r="G1811" t="inlineStr">
        <is>
          <t>TORSÅS</t>
        </is>
      </c>
      <c r="I1811" t="n">
        <v>0.4</v>
      </c>
      <c r="J1811" t="n">
        <v>0</v>
      </c>
      <c r="K1811" t="n">
        <v>0</v>
      </c>
      <c r="L1811" t="n">
        <v>0</v>
      </c>
      <c r="M1811" t="n">
        <v>0</v>
      </c>
      <c r="N1811" t="n">
        <v>0</v>
      </c>
      <c r="O1811" t="n">
        <v>0</v>
      </c>
      <c r="P1811" t="n">
        <v>0</v>
      </c>
      <c r="Q1811" t="n">
        <v>0</v>
      </c>
      <c r="R1811" t="n">
        <v>0</v>
      </c>
      <c r="S1811" t="n">
        <v>0</v>
      </c>
      <c r="T1811" t="n">
        <v>0</v>
      </c>
      <c r="U1811" t="n">
        <v>0</v>
      </c>
      <c r="V1811" s="2" t="inlineStr"/>
    </row>
    <row r="1812" ht="15" customHeight="1">
      <c r="A1812" t="inlineStr">
        <is>
          <t>A 14900-2023</t>
        </is>
      </c>
      <c r="B1812" t="inlineStr">
        <is>
          <t>avverkningsanmälan</t>
        </is>
      </c>
      <c r="C1812" t="inlineStr">
        <is>
          <t>Föryngringsavverkning</t>
        </is>
      </c>
      <c r="D1812" s="1" t="n">
        <v>45015</v>
      </c>
      <c r="E1812" s="1" t="n">
        <v>46323</v>
      </c>
      <c r="F1812" t="inlineStr">
        <is>
          <t>KALMAR LÄN</t>
        </is>
      </c>
      <c r="G1812" t="inlineStr">
        <is>
          <t>MÖNSTERÅS</t>
        </is>
      </c>
      <c r="I1812" t="n">
        <v>1.5</v>
      </c>
      <c r="J1812" t="n">
        <v>0</v>
      </c>
      <c r="K1812" t="n">
        <v>0</v>
      </c>
      <c r="L1812" t="n">
        <v>0</v>
      </c>
      <c r="M1812" t="n">
        <v>0</v>
      </c>
      <c r="N1812" t="n">
        <v>0</v>
      </c>
      <c r="O1812" t="n">
        <v>0</v>
      </c>
      <c r="P1812" t="n">
        <v>0</v>
      </c>
      <c r="Q1812" t="n">
        <v>0</v>
      </c>
      <c r="R1812" t="n">
        <v>0</v>
      </c>
      <c r="S1812" t="n">
        <v>0</v>
      </c>
      <c r="T1812" t="n">
        <v>0</v>
      </c>
      <c r="U1812" t="n">
        <v>0</v>
      </c>
      <c r="V1812" s="2" t="inlineStr"/>
    </row>
    <row r="1813" ht="15" customHeight="1">
      <c r="A1813" t="inlineStr">
        <is>
          <t>A 64376-2021</t>
        </is>
      </c>
      <c r="B1813" t="inlineStr">
        <is>
          <t>avverkningsanmälan</t>
        </is>
      </c>
      <c r="C1813" t="inlineStr">
        <is>
          <t>Föryngringsavverkning</t>
        </is>
      </c>
      <c r="D1813" s="1" t="n">
        <v>44511</v>
      </c>
      <c r="E1813" s="1" t="n">
        <v>46323</v>
      </c>
      <c r="F1813" t="inlineStr">
        <is>
          <t>KALMAR LÄN</t>
        </is>
      </c>
      <c r="G1813" t="inlineStr">
        <is>
          <t>KALMAR</t>
        </is>
      </c>
      <c r="I1813" t="n">
        <v>0.6</v>
      </c>
      <c r="J1813" t="n">
        <v>0</v>
      </c>
      <c r="K1813" t="n">
        <v>0</v>
      </c>
      <c r="L1813" t="n">
        <v>0</v>
      </c>
      <c r="M1813" t="n">
        <v>0</v>
      </c>
      <c r="N1813" t="n">
        <v>0</v>
      </c>
      <c r="O1813" t="n">
        <v>0</v>
      </c>
      <c r="P1813" t="n">
        <v>0</v>
      </c>
      <c r="Q1813" t="n">
        <v>0</v>
      </c>
      <c r="R1813" t="n">
        <v>0</v>
      </c>
      <c r="S1813" t="n">
        <v>0</v>
      </c>
      <c r="T1813" t="n">
        <v>0</v>
      </c>
      <c r="U1813" t="n">
        <v>0</v>
      </c>
      <c r="V1813" s="2" t="inlineStr"/>
    </row>
    <row r="1814" ht="15" customHeight="1">
      <c r="A1814" t="inlineStr">
        <is>
          <t>A 68952-2021</t>
        </is>
      </c>
      <c r="B1814" t="inlineStr">
        <is>
          <t>avverkningsanmälan</t>
        </is>
      </c>
      <c r="C1814" t="inlineStr">
        <is>
          <t>Föryngringsavverkning</t>
        </is>
      </c>
      <c r="D1814" s="1" t="n">
        <v>44530</v>
      </c>
      <c r="E1814" s="1" t="n">
        <v>46323</v>
      </c>
      <c r="F1814" t="inlineStr">
        <is>
          <t>KALMAR LÄN</t>
        </is>
      </c>
      <c r="G1814" t="inlineStr">
        <is>
          <t>EMMABODA</t>
        </is>
      </c>
      <c r="I1814" t="n">
        <v>3.9</v>
      </c>
      <c r="J1814" t="n">
        <v>0</v>
      </c>
      <c r="K1814" t="n">
        <v>0</v>
      </c>
      <c r="L1814" t="n">
        <v>0</v>
      </c>
      <c r="M1814" t="n">
        <v>0</v>
      </c>
      <c r="N1814" t="n">
        <v>0</v>
      </c>
      <c r="O1814" t="n">
        <v>0</v>
      </c>
      <c r="P1814" t="n">
        <v>0</v>
      </c>
      <c r="Q1814" t="n">
        <v>0</v>
      </c>
      <c r="R1814" t="n">
        <v>0</v>
      </c>
      <c r="S1814" t="n">
        <v>0</v>
      </c>
      <c r="T1814" t="n">
        <v>0</v>
      </c>
      <c r="U1814" t="n">
        <v>0</v>
      </c>
      <c r="V1814" s="2" t="inlineStr"/>
    </row>
    <row r="1815" ht="15" customHeight="1">
      <c r="A1815" t="inlineStr">
        <is>
          <t>A 7804-2022</t>
        </is>
      </c>
      <c r="B1815" t="inlineStr">
        <is>
          <t>avverkningsanmälan</t>
        </is>
      </c>
      <c r="C1815" t="inlineStr">
        <is>
          <t>Föryngringsavverkning</t>
        </is>
      </c>
      <c r="D1815" s="1" t="n">
        <v>44608</v>
      </c>
      <c r="E1815" s="1" t="n">
        <v>46323</v>
      </c>
      <c r="F1815" t="inlineStr">
        <is>
          <t>KALMAR LÄN</t>
        </is>
      </c>
      <c r="G1815" t="inlineStr">
        <is>
          <t>VIMMERBY</t>
        </is>
      </c>
      <c r="I1815" t="n">
        <v>0.6</v>
      </c>
      <c r="J1815" t="n">
        <v>0</v>
      </c>
      <c r="K1815" t="n">
        <v>0</v>
      </c>
      <c r="L1815" t="n">
        <v>0</v>
      </c>
      <c r="M1815" t="n">
        <v>0</v>
      </c>
      <c r="N1815" t="n">
        <v>0</v>
      </c>
      <c r="O1815" t="n">
        <v>0</v>
      </c>
      <c r="P1815" t="n">
        <v>0</v>
      </c>
      <c r="Q1815" t="n">
        <v>0</v>
      </c>
      <c r="R1815" t="n">
        <v>0</v>
      </c>
      <c r="S1815" t="n">
        <v>0</v>
      </c>
      <c r="T1815" t="n">
        <v>0</v>
      </c>
      <c r="U1815" t="n">
        <v>0</v>
      </c>
      <c r="V1815" s="2" t="inlineStr"/>
    </row>
    <row r="1816" ht="15" customHeight="1">
      <c r="A1816" t="inlineStr">
        <is>
          <t>A 4624-2023</t>
        </is>
      </c>
      <c r="B1816" t="inlineStr">
        <is>
          <t>avverkningsanmälan</t>
        </is>
      </c>
      <c r="C1816" t="inlineStr">
        <is>
          <t>Föryngringsavverkning</t>
        </is>
      </c>
      <c r="D1816" s="1" t="n">
        <v>44956</v>
      </c>
      <c r="E1816" s="1" t="n">
        <v>46323</v>
      </c>
      <c r="F1816" t="inlineStr">
        <is>
          <t>KALMAR LÄN</t>
        </is>
      </c>
      <c r="G1816" t="inlineStr">
        <is>
          <t>VÄSTERVIK</t>
        </is>
      </c>
      <c r="H1816" t="inlineStr">
        <is>
          <t>Holmen skog AB</t>
        </is>
      </c>
      <c r="I1816" t="n">
        <v>7.1</v>
      </c>
      <c r="J1816" t="n">
        <v>0</v>
      </c>
      <c r="K1816" t="n">
        <v>0</v>
      </c>
      <c r="L1816" t="n">
        <v>0</v>
      </c>
      <c r="M1816" t="n">
        <v>0</v>
      </c>
      <c r="N1816" t="n">
        <v>0</v>
      </c>
      <c r="O1816" t="n">
        <v>0</v>
      </c>
      <c r="P1816" t="n">
        <v>0</v>
      </c>
      <c r="Q1816" t="n">
        <v>0</v>
      </c>
      <c r="R1816" t="n">
        <v>0</v>
      </c>
      <c r="S1816" t="n">
        <v>0</v>
      </c>
      <c r="T1816" t="n">
        <v>0</v>
      </c>
      <c r="U1816" t="n">
        <v>0</v>
      </c>
      <c r="V1816" s="2" t="inlineStr"/>
    </row>
    <row r="1817" ht="15" customHeight="1">
      <c r="A1817" t="inlineStr">
        <is>
          <t>A 4974-2022</t>
        </is>
      </c>
      <c r="B1817" t="inlineStr">
        <is>
          <t>avverkningsanmälan</t>
        </is>
      </c>
      <c r="C1817" t="inlineStr">
        <is>
          <t>Föryngringsavverkning</t>
        </is>
      </c>
      <c r="D1817" s="1" t="n">
        <v>44593</v>
      </c>
      <c r="E1817" s="1" t="n">
        <v>46323</v>
      </c>
      <c r="F1817" t="inlineStr">
        <is>
          <t>KALMAR LÄN</t>
        </is>
      </c>
      <c r="G1817" t="inlineStr">
        <is>
          <t>MÖNSTERÅS</t>
        </is>
      </c>
      <c r="I1817" t="n">
        <v>2.7</v>
      </c>
      <c r="J1817" t="n">
        <v>0</v>
      </c>
      <c r="K1817" t="n">
        <v>0</v>
      </c>
      <c r="L1817" t="n">
        <v>0</v>
      </c>
      <c r="M1817" t="n">
        <v>0</v>
      </c>
      <c r="N1817" t="n">
        <v>0</v>
      </c>
      <c r="O1817" t="n">
        <v>0</v>
      </c>
      <c r="P1817" t="n">
        <v>0</v>
      </c>
      <c r="Q1817" t="n">
        <v>0</v>
      </c>
      <c r="R1817" t="n">
        <v>0</v>
      </c>
      <c r="S1817" t="n">
        <v>0</v>
      </c>
      <c r="T1817" t="n">
        <v>0</v>
      </c>
      <c r="U1817" t="n">
        <v>0</v>
      </c>
      <c r="V1817" s="2" t="inlineStr"/>
    </row>
    <row r="1818" ht="15" customHeight="1">
      <c r="A1818" t="inlineStr">
        <is>
          <t>A 39042-2022</t>
        </is>
      </c>
      <c r="B1818" t="inlineStr">
        <is>
          <t>avverkningsanmälan</t>
        </is>
      </c>
      <c r="C1818" t="inlineStr">
        <is>
          <t>Föryngringsavverkning</t>
        </is>
      </c>
      <c r="D1818" s="1" t="n">
        <v>44817</v>
      </c>
      <c r="E1818" s="1" t="n">
        <v>46323</v>
      </c>
      <c r="F1818" t="inlineStr">
        <is>
          <t>KALMAR LÄN</t>
        </is>
      </c>
      <c r="G1818" t="inlineStr">
        <is>
          <t>VIMMERBY</t>
        </is>
      </c>
      <c r="I1818" t="n">
        <v>0.5</v>
      </c>
      <c r="J1818" t="n">
        <v>0</v>
      </c>
      <c r="K1818" t="n">
        <v>0</v>
      </c>
      <c r="L1818" t="n">
        <v>0</v>
      </c>
      <c r="M1818" t="n">
        <v>0</v>
      </c>
      <c r="N1818" t="n">
        <v>0</v>
      </c>
      <c r="O1818" t="n">
        <v>0</v>
      </c>
      <c r="P1818" t="n">
        <v>0</v>
      </c>
      <c r="Q1818" t="n">
        <v>0</v>
      </c>
      <c r="R1818" t="n">
        <v>0</v>
      </c>
      <c r="S1818" t="n">
        <v>0</v>
      </c>
      <c r="T1818" t="n">
        <v>0</v>
      </c>
      <c r="U1818" t="n">
        <v>0</v>
      </c>
      <c r="V1818" s="2" t="inlineStr"/>
    </row>
    <row r="1819" ht="15" customHeight="1">
      <c r="A1819" t="inlineStr">
        <is>
          <t>A 2191-2022</t>
        </is>
      </c>
      <c r="B1819" t="inlineStr">
        <is>
          <t>avverkningsanmälan</t>
        </is>
      </c>
      <c r="C1819" t="inlineStr">
        <is>
          <t>Föryngringsavverkning</t>
        </is>
      </c>
      <c r="D1819" s="1" t="n">
        <v>44578</v>
      </c>
      <c r="E1819" s="1" t="n">
        <v>46323</v>
      </c>
      <c r="F1819" t="inlineStr">
        <is>
          <t>KALMAR LÄN</t>
        </is>
      </c>
      <c r="G1819" t="inlineStr">
        <is>
          <t>NYBRO</t>
        </is>
      </c>
      <c r="H1819" t="inlineStr">
        <is>
          <t>Sveaskog</t>
        </is>
      </c>
      <c r="I1819" t="n">
        <v>1</v>
      </c>
      <c r="J1819" t="n">
        <v>0</v>
      </c>
      <c r="K1819" t="n">
        <v>0</v>
      </c>
      <c r="L1819" t="n">
        <v>0</v>
      </c>
      <c r="M1819" t="n">
        <v>0</v>
      </c>
      <c r="N1819" t="n">
        <v>0</v>
      </c>
      <c r="O1819" t="n">
        <v>0</v>
      </c>
      <c r="P1819" t="n">
        <v>0</v>
      </c>
      <c r="Q1819" t="n">
        <v>0</v>
      </c>
      <c r="R1819" t="n">
        <v>0</v>
      </c>
      <c r="S1819" t="n">
        <v>0</v>
      </c>
      <c r="T1819" t="n">
        <v>0</v>
      </c>
      <c r="U1819" t="n">
        <v>0</v>
      </c>
      <c r="V1819" s="2" t="inlineStr"/>
    </row>
    <row r="1820" ht="15" customHeight="1">
      <c r="A1820" t="inlineStr">
        <is>
          <t>A 57183-2024</t>
        </is>
      </c>
      <c r="B1820" t="inlineStr">
        <is>
          <t>avverkningsanmälan</t>
        </is>
      </c>
      <c r="C1820" t="inlineStr">
        <is>
          <t>Föryngringsavverkning</t>
        </is>
      </c>
      <c r="D1820" s="1" t="n">
        <v>45629</v>
      </c>
      <c r="E1820" s="1" t="n">
        <v>46323</v>
      </c>
      <c r="F1820" t="inlineStr">
        <is>
          <t>KALMAR LÄN</t>
        </is>
      </c>
      <c r="G1820" t="inlineStr">
        <is>
          <t>EMMABODA</t>
        </is>
      </c>
      <c r="I1820" t="n">
        <v>4.6</v>
      </c>
      <c r="J1820" t="n">
        <v>0</v>
      </c>
      <c r="K1820" t="n">
        <v>0</v>
      </c>
      <c r="L1820" t="n">
        <v>0</v>
      </c>
      <c r="M1820" t="n">
        <v>0</v>
      </c>
      <c r="N1820" t="n">
        <v>0</v>
      </c>
      <c r="O1820" t="n">
        <v>0</v>
      </c>
      <c r="P1820" t="n">
        <v>0</v>
      </c>
      <c r="Q1820" t="n">
        <v>0</v>
      </c>
      <c r="R1820" t="n">
        <v>0</v>
      </c>
      <c r="S1820" t="n">
        <v>0</v>
      </c>
      <c r="T1820" t="n">
        <v>0</v>
      </c>
      <c r="U1820" t="n">
        <v>0</v>
      </c>
      <c r="V1820" s="2" t="inlineStr"/>
    </row>
    <row r="1821" ht="15" customHeight="1">
      <c r="A1821" t="inlineStr">
        <is>
          <t>A 6262-2022</t>
        </is>
      </c>
      <c r="B1821" t="inlineStr">
        <is>
          <t>avverkningsanmälan</t>
        </is>
      </c>
      <c r="C1821" t="inlineStr">
        <is>
          <t>Föryngringsavverkning</t>
        </is>
      </c>
      <c r="D1821" s="1" t="n">
        <v>44600</v>
      </c>
      <c r="E1821" s="1" t="n">
        <v>46323</v>
      </c>
      <c r="F1821" t="inlineStr">
        <is>
          <t>KALMAR LÄN</t>
        </is>
      </c>
      <c r="G1821" t="inlineStr">
        <is>
          <t>EMMABODA</t>
        </is>
      </c>
      <c r="I1821" t="n">
        <v>3.4</v>
      </c>
      <c r="J1821" t="n">
        <v>0</v>
      </c>
      <c r="K1821" t="n">
        <v>0</v>
      </c>
      <c r="L1821" t="n">
        <v>0</v>
      </c>
      <c r="M1821" t="n">
        <v>0</v>
      </c>
      <c r="N1821" t="n">
        <v>0</v>
      </c>
      <c r="O1821" t="n">
        <v>0</v>
      </c>
      <c r="P1821" t="n">
        <v>0</v>
      </c>
      <c r="Q1821" t="n">
        <v>0</v>
      </c>
      <c r="R1821" t="n">
        <v>0</v>
      </c>
      <c r="S1821" t="n">
        <v>0</v>
      </c>
      <c r="T1821" t="n">
        <v>0</v>
      </c>
      <c r="U1821" t="n">
        <v>0</v>
      </c>
      <c r="V1821" s="2" t="inlineStr"/>
    </row>
    <row r="1822" ht="15" customHeight="1">
      <c r="A1822" t="inlineStr">
        <is>
          <t>A 35371-2022</t>
        </is>
      </c>
      <c r="B1822" t="inlineStr">
        <is>
          <t>avverkningsanmälan</t>
        </is>
      </c>
      <c r="C1822" t="inlineStr">
        <is>
          <t>Föryngringsavverkning</t>
        </is>
      </c>
      <c r="D1822" s="1" t="n">
        <v>44798</v>
      </c>
      <c r="E1822" s="1" t="n">
        <v>46323</v>
      </c>
      <c r="F1822" t="inlineStr">
        <is>
          <t>KALMAR LÄN</t>
        </is>
      </c>
      <c r="G1822" t="inlineStr">
        <is>
          <t>NYBRO</t>
        </is>
      </c>
      <c r="I1822" t="n">
        <v>1.2</v>
      </c>
      <c r="J1822" t="n">
        <v>0</v>
      </c>
      <c r="K1822" t="n">
        <v>0</v>
      </c>
      <c r="L1822" t="n">
        <v>0</v>
      </c>
      <c r="M1822" t="n">
        <v>0</v>
      </c>
      <c r="N1822" t="n">
        <v>0</v>
      </c>
      <c r="O1822" t="n">
        <v>0</v>
      </c>
      <c r="P1822" t="n">
        <v>0</v>
      </c>
      <c r="Q1822" t="n">
        <v>0</v>
      </c>
      <c r="R1822" t="n">
        <v>0</v>
      </c>
      <c r="S1822" t="n">
        <v>0</v>
      </c>
      <c r="T1822" t="n">
        <v>0</v>
      </c>
      <c r="U1822" t="n">
        <v>0</v>
      </c>
      <c r="V1822" s="2" t="inlineStr"/>
    </row>
    <row r="1823" ht="15" customHeight="1">
      <c r="A1823" t="inlineStr">
        <is>
          <t>A 8439-2022</t>
        </is>
      </c>
      <c r="B1823" t="inlineStr">
        <is>
          <t>avverkningsanmälan</t>
        </is>
      </c>
      <c r="C1823" t="inlineStr">
        <is>
          <t>Föryngringsavverkning</t>
        </is>
      </c>
      <c r="D1823" s="1" t="n">
        <v>44612</v>
      </c>
      <c r="E1823" s="1" t="n">
        <v>46323</v>
      </c>
      <c r="F1823" t="inlineStr">
        <is>
          <t>KALMAR LÄN</t>
        </is>
      </c>
      <c r="G1823" t="inlineStr">
        <is>
          <t>HULTSFRED</t>
        </is>
      </c>
      <c r="H1823" t="inlineStr">
        <is>
          <t>Sveaskog</t>
        </is>
      </c>
      <c r="I1823" t="n">
        <v>1.5</v>
      </c>
      <c r="J1823" t="n">
        <v>0</v>
      </c>
      <c r="K1823" t="n">
        <v>0</v>
      </c>
      <c r="L1823" t="n">
        <v>0</v>
      </c>
      <c r="M1823" t="n">
        <v>0</v>
      </c>
      <c r="N1823" t="n">
        <v>0</v>
      </c>
      <c r="O1823" t="n">
        <v>0</v>
      </c>
      <c r="P1823" t="n">
        <v>0</v>
      </c>
      <c r="Q1823" t="n">
        <v>0</v>
      </c>
      <c r="R1823" t="n">
        <v>0</v>
      </c>
      <c r="S1823" t="n">
        <v>0</v>
      </c>
      <c r="T1823" t="n">
        <v>0</v>
      </c>
      <c r="U1823" t="n">
        <v>0</v>
      </c>
      <c r="V1823" s="2" t="inlineStr"/>
    </row>
    <row r="1824" ht="15" customHeight="1">
      <c r="A1824" t="inlineStr">
        <is>
          <t>A 47120-2022</t>
        </is>
      </c>
      <c r="B1824" t="inlineStr">
        <is>
          <t>avverkningsanmälan</t>
        </is>
      </c>
      <c r="C1824" t="inlineStr">
        <is>
          <t>Föryngringsavverkning</t>
        </is>
      </c>
      <c r="D1824" s="1" t="n">
        <v>44852</v>
      </c>
      <c r="E1824" s="1" t="n">
        <v>46323</v>
      </c>
      <c r="F1824" t="inlineStr">
        <is>
          <t>KALMAR LÄN</t>
        </is>
      </c>
      <c r="G1824" t="inlineStr">
        <is>
          <t>EMMABODA</t>
        </is>
      </c>
      <c r="I1824" t="n">
        <v>1.9</v>
      </c>
      <c r="J1824" t="n">
        <v>0</v>
      </c>
      <c r="K1824" t="n">
        <v>0</v>
      </c>
      <c r="L1824" t="n">
        <v>0</v>
      </c>
      <c r="M1824" t="n">
        <v>0</v>
      </c>
      <c r="N1824" t="n">
        <v>0</v>
      </c>
      <c r="O1824" t="n">
        <v>0</v>
      </c>
      <c r="P1824" t="n">
        <v>0</v>
      </c>
      <c r="Q1824" t="n">
        <v>0</v>
      </c>
      <c r="R1824" t="n">
        <v>0</v>
      </c>
      <c r="S1824" t="n">
        <v>0</v>
      </c>
      <c r="T1824" t="n">
        <v>0</v>
      </c>
      <c r="U1824" t="n">
        <v>0</v>
      </c>
      <c r="V1824" s="2" t="inlineStr"/>
    </row>
    <row r="1825" ht="15" customHeight="1">
      <c r="A1825" t="inlineStr">
        <is>
          <t>A 11325-2025</t>
        </is>
      </c>
      <c r="B1825" t="inlineStr">
        <is>
          <t>avverkningsanmälan</t>
        </is>
      </c>
      <c r="C1825" t="inlineStr">
        <is>
          <t>Föryngringsavverkning</t>
        </is>
      </c>
      <c r="D1825" s="1" t="n">
        <v>45726</v>
      </c>
      <c r="E1825" s="1" t="n">
        <v>46323</v>
      </c>
      <c r="F1825" t="inlineStr">
        <is>
          <t>KALMAR LÄN</t>
        </is>
      </c>
      <c r="G1825" t="inlineStr">
        <is>
          <t>HULTSFRED</t>
        </is>
      </c>
      <c r="H1825" t="inlineStr">
        <is>
          <t>Sveaskog</t>
        </is>
      </c>
      <c r="I1825" t="n">
        <v>0.5</v>
      </c>
      <c r="J1825" t="n">
        <v>0</v>
      </c>
      <c r="K1825" t="n">
        <v>0</v>
      </c>
      <c r="L1825" t="n">
        <v>0</v>
      </c>
      <c r="M1825" t="n">
        <v>0</v>
      </c>
      <c r="N1825" t="n">
        <v>0</v>
      </c>
      <c r="O1825" t="n">
        <v>0</v>
      </c>
      <c r="P1825" t="n">
        <v>0</v>
      </c>
      <c r="Q1825" t="n">
        <v>0</v>
      </c>
      <c r="R1825" t="n">
        <v>0</v>
      </c>
      <c r="S1825" t="n">
        <v>0</v>
      </c>
      <c r="T1825" t="n">
        <v>0</v>
      </c>
      <c r="U1825" t="n">
        <v>0</v>
      </c>
      <c r="V1825" s="2" t="inlineStr"/>
    </row>
    <row r="1826" ht="15" customHeight="1">
      <c r="A1826" t="inlineStr">
        <is>
          <t>A 11383-2025</t>
        </is>
      </c>
      <c r="B1826" t="inlineStr">
        <is>
          <t>avverkningsanmälan</t>
        </is>
      </c>
      <c r="C1826" t="inlineStr">
        <is>
          <t>Avverkning för annat ändamål</t>
        </is>
      </c>
      <c r="D1826" s="1" t="n">
        <v>45726</v>
      </c>
      <c r="E1826" s="1" t="n">
        <v>46323</v>
      </c>
      <c r="F1826" t="inlineStr">
        <is>
          <t>KALMAR LÄN</t>
        </is>
      </c>
      <c r="G1826" t="inlineStr">
        <is>
          <t>HULTSFRED</t>
        </is>
      </c>
      <c r="I1826" t="n">
        <v>0.9</v>
      </c>
      <c r="J1826" t="n">
        <v>0</v>
      </c>
      <c r="K1826" t="n">
        <v>0</v>
      </c>
      <c r="L1826" t="n">
        <v>0</v>
      </c>
      <c r="M1826" t="n">
        <v>0</v>
      </c>
      <c r="N1826" t="n">
        <v>0</v>
      </c>
      <c r="O1826" t="n">
        <v>0</v>
      </c>
      <c r="P1826" t="n">
        <v>0</v>
      </c>
      <c r="Q1826" t="n">
        <v>0</v>
      </c>
      <c r="R1826" t="n">
        <v>0</v>
      </c>
      <c r="S1826" t="n">
        <v>0</v>
      </c>
      <c r="T1826" t="n">
        <v>0</v>
      </c>
      <c r="U1826" t="n">
        <v>0</v>
      </c>
      <c r="V1826" s="2" t="inlineStr"/>
    </row>
    <row r="1827" ht="15" customHeight="1">
      <c r="A1827" t="inlineStr">
        <is>
          <t>A 60142-2023</t>
        </is>
      </c>
      <c r="B1827" t="inlineStr">
        <is>
          <t>avverkningsanmälan</t>
        </is>
      </c>
      <c r="C1827" t="inlineStr">
        <is>
          <t>Föryngringsavverkning</t>
        </is>
      </c>
      <c r="D1827" s="1" t="n">
        <v>45258</v>
      </c>
      <c r="E1827" s="1" t="n">
        <v>46323</v>
      </c>
      <c r="F1827" t="inlineStr">
        <is>
          <t>KALMAR LÄN</t>
        </is>
      </c>
      <c r="G1827" t="inlineStr">
        <is>
          <t>EMMABODA</t>
        </is>
      </c>
      <c r="I1827" t="n">
        <v>0.7</v>
      </c>
      <c r="J1827" t="n">
        <v>0</v>
      </c>
      <c r="K1827" t="n">
        <v>0</v>
      </c>
      <c r="L1827" t="n">
        <v>0</v>
      </c>
      <c r="M1827" t="n">
        <v>0</v>
      </c>
      <c r="N1827" t="n">
        <v>0</v>
      </c>
      <c r="O1827" t="n">
        <v>0</v>
      </c>
      <c r="P1827" t="n">
        <v>0</v>
      </c>
      <c r="Q1827" t="n">
        <v>0</v>
      </c>
      <c r="R1827" t="n">
        <v>0</v>
      </c>
      <c r="S1827" t="n">
        <v>0</v>
      </c>
      <c r="T1827" t="n">
        <v>0</v>
      </c>
      <c r="U1827" t="n">
        <v>0</v>
      </c>
      <c r="V1827" s="2" t="inlineStr"/>
    </row>
    <row r="1828" ht="15" customHeight="1">
      <c r="A1828" t="inlineStr">
        <is>
          <t>A 59159-2023</t>
        </is>
      </c>
      <c r="B1828" t="inlineStr">
        <is>
          <t>avverkningsanmälan</t>
        </is>
      </c>
      <c r="C1828" t="inlineStr">
        <is>
          <t>Föryngringsavverkning</t>
        </is>
      </c>
      <c r="D1828" s="1" t="n">
        <v>45251</v>
      </c>
      <c r="E1828" s="1" t="n">
        <v>46323</v>
      </c>
      <c r="F1828" t="inlineStr">
        <is>
          <t>KALMAR LÄN</t>
        </is>
      </c>
      <c r="G1828" t="inlineStr">
        <is>
          <t>MÖNSTERÅS</t>
        </is>
      </c>
      <c r="I1828" t="n">
        <v>1</v>
      </c>
      <c r="J1828" t="n">
        <v>0</v>
      </c>
      <c r="K1828" t="n">
        <v>0</v>
      </c>
      <c r="L1828" t="n">
        <v>0</v>
      </c>
      <c r="M1828" t="n">
        <v>0</v>
      </c>
      <c r="N1828" t="n">
        <v>0</v>
      </c>
      <c r="O1828" t="n">
        <v>0</v>
      </c>
      <c r="P1828" t="n">
        <v>0</v>
      </c>
      <c r="Q1828" t="n">
        <v>0</v>
      </c>
      <c r="R1828" t="n">
        <v>0</v>
      </c>
      <c r="S1828" t="n">
        <v>0</v>
      </c>
      <c r="T1828" t="n">
        <v>0</v>
      </c>
      <c r="U1828" t="n">
        <v>0</v>
      </c>
      <c r="V1828" s="2" t="inlineStr"/>
    </row>
    <row r="1829" ht="15" customHeight="1">
      <c r="A1829" t="inlineStr">
        <is>
          <t>A 1763-2024</t>
        </is>
      </c>
      <c r="B1829" t="inlineStr">
        <is>
          <t>avverkningsanmälan</t>
        </is>
      </c>
      <c r="C1829" t="inlineStr">
        <is>
          <t>Föryngringsavverkning</t>
        </is>
      </c>
      <c r="D1829" s="1" t="n">
        <v>45307</v>
      </c>
      <c r="E1829" s="1" t="n">
        <v>46323</v>
      </c>
      <c r="F1829" t="inlineStr">
        <is>
          <t>KALMAR LÄN</t>
        </is>
      </c>
      <c r="G1829" t="inlineStr">
        <is>
          <t>NYBRO</t>
        </is>
      </c>
      <c r="I1829" t="n">
        <v>3.1</v>
      </c>
      <c r="J1829" t="n">
        <v>0</v>
      </c>
      <c r="K1829" t="n">
        <v>0</v>
      </c>
      <c r="L1829" t="n">
        <v>0</v>
      </c>
      <c r="M1829" t="n">
        <v>0</v>
      </c>
      <c r="N1829" t="n">
        <v>0</v>
      </c>
      <c r="O1829" t="n">
        <v>0</v>
      </c>
      <c r="P1829" t="n">
        <v>0</v>
      </c>
      <c r="Q1829" t="n">
        <v>0</v>
      </c>
      <c r="R1829" t="n">
        <v>0</v>
      </c>
      <c r="S1829" t="n">
        <v>0</v>
      </c>
      <c r="T1829" t="n">
        <v>0</v>
      </c>
      <c r="U1829" t="n">
        <v>0</v>
      </c>
      <c r="V1829" s="2" t="inlineStr"/>
    </row>
    <row r="1830" ht="15" customHeight="1">
      <c r="A1830" t="inlineStr">
        <is>
          <t>A 1770-2024</t>
        </is>
      </c>
      <c r="B1830" t="inlineStr">
        <is>
          <t>avverkningsanmälan</t>
        </is>
      </c>
      <c r="C1830" t="inlineStr">
        <is>
          <t>Föryngringsavverkning</t>
        </is>
      </c>
      <c r="D1830" s="1" t="n">
        <v>45307</v>
      </c>
      <c r="E1830" s="1" t="n">
        <v>46323</v>
      </c>
      <c r="F1830" t="inlineStr">
        <is>
          <t>KALMAR LÄN</t>
        </is>
      </c>
      <c r="G1830" t="inlineStr">
        <is>
          <t>HULTSFRED</t>
        </is>
      </c>
      <c r="I1830" t="n">
        <v>1.4</v>
      </c>
      <c r="J1830" t="n">
        <v>0</v>
      </c>
      <c r="K1830" t="n">
        <v>0</v>
      </c>
      <c r="L1830" t="n">
        <v>0</v>
      </c>
      <c r="M1830" t="n">
        <v>0</v>
      </c>
      <c r="N1830" t="n">
        <v>0</v>
      </c>
      <c r="O1830" t="n">
        <v>0</v>
      </c>
      <c r="P1830" t="n">
        <v>0</v>
      </c>
      <c r="Q1830" t="n">
        <v>0</v>
      </c>
      <c r="R1830" t="n">
        <v>0</v>
      </c>
      <c r="S1830" t="n">
        <v>0</v>
      </c>
      <c r="T1830" t="n">
        <v>0</v>
      </c>
      <c r="U1830" t="n">
        <v>0</v>
      </c>
      <c r="V1830" s="2" t="inlineStr"/>
    </row>
    <row r="1831" ht="15" customHeight="1">
      <c r="A1831" t="inlineStr">
        <is>
          <t>A 38151-2022</t>
        </is>
      </c>
      <c r="B1831" t="inlineStr">
        <is>
          <t>avverkningsanmälan</t>
        </is>
      </c>
      <c r="C1831" t="inlineStr">
        <is>
          <t>Föryngringsavverkning</t>
        </is>
      </c>
      <c r="D1831" s="1" t="n">
        <v>44812</v>
      </c>
      <c r="E1831" s="1" t="n">
        <v>46323</v>
      </c>
      <c r="F1831" t="inlineStr">
        <is>
          <t>KALMAR LÄN</t>
        </is>
      </c>
      <c r="G1831" t="inlineStr">
        <is>
          <t>TORSÅS</t>
        </is>
      </c>
      <c r="I1831" t="n">
        <v>1.9</v>
      </c>
      <c r="J1831" t="n">
        <v>0</v>
      </c>
      <c r="K1831" t="n">
        <v>0</v>
      </c>
      <c r="L1831" t="n">
        <v>0</v>
      </c>
      <c r="M1831" t="n">
        <v>0</v>
      </c>
      <c r="N1831" t="n">
        <v>0</v>
      </c>
      <c r="O1831" t="n">
        <v>0</v>
      </c>
      <c r="P1831" t="n">
        <v>0</v>
      </c>
      <c r="Q1831" t="n">
        <v>0</v>
      </c>
      <c r="R1831" t="n">
        <v>0</v>
      </c>
      <c r="S1831" t="n">
        <v>0</v>
      </c>
      <c r="T1831" t="n">
        <v>0</v>
      </c>
      <c r="U1831" t="n">
        <v>0</v>
      </c>
      <c r="V1831" s="2" t="inlineStr"/>
    </row>
    <row r="1832" ht="15" customHeight="1">
      <c r="A1832" t="inlineStr">
        <is>
          <t>A 22264-2023</t>
        </is>
      </c>
      <c r="B1832" t="inlineStr">
        <is>
          <t>avverkningsanmälan</t>
        </is>
      </c>
      <c r="C1832" t="inlineStr">
        <is>
          <t>Föryngringsavverkning</t>
        </is>
      </c>
      <c r="D1832" s="1" t="n">
        <v>45070</v>
      </c>
      <c r="E1832" s="1" t="n">
        <v>46323</v>
      </c>
      <c r="F1832" t="inlineStr">
        <is>
          <t>KALMAR LÄN</t>
        </is>
      </c>
      <c r="G1832" t="inlineStr">
        <is>
          <t>VIMMERBY</t>
        </is>
      </c>
      <c r="I1832" t="n">
        <v>1</v>
      </c>
      <c r="J1832" t="n">
        <v>0</v>
      </c>
      <c r="K1832" t="n">
        <v>0</v>
      </c>
      <c r="L1832" t="n">
        <v>0</v>
      </c>
      <c r="M1832" t="n">
        <v>0</v>
      </c>
      <c r="N1832" t="n">
        <v>0</v>
      </c>
      <c r="O1832" t="n">
        <v>0</v>
      </c>
      <c r="P1832" t="n">
        <v>0</v>
      </c>
      <c r="Q1832" t="n">
        <v>0</v>
      </c>
      <c r="R1832" t="n">
        <v>0</v>
      </c>
      <c r="S1832" t="n">
        <v>0</v>
      </c>
      <c r="T1832" t="n">
        <v>0</v>
      </c>
      <c r="U1832" t="n">
        <v>0</v>
      </c>
      <c r="V1832" s="2" t="inlineStr"/>
    </row>
    <row r="1833" ht="15" customHeight="1">
      <c r="A1833" t="inlineStr">
        <is>
          <t>A 9519-2024</t>
        </is>
      </c>
      <c r="B1833" t="inlineStr">
        <is>
          <t>avverkningsanmälan</t>
        </is>
      </c>
      <c r="C1833" t="inlineStr">
        <is>
          <t>Föryngringsavverkning</t>
        </is>
      </c>
      <c r="D1833" s="1" t="n">
        <v>45359</v>
      </c>
      <c r="E1833" s="1" t="n">
        <v>46323</v>
      </c>
      <c r="F1833" t="inlineStr">
        <is>
          <t>KALMAR LÄN</t>
        </is>
      </c>
      <c r="G1833" t="inlineStr">
        <is>
          <t>NYBRO</t>
        </is>
      </c>
      <c r="I1833" t="n">
        <v>6</v>
      </c>
      <c r="J1833" t="n">
        <v>0</v>
      </c>
      <c r="K1833" t="n">
        <v>0</v>
      </c>
      <c r="L1833" t="n">
        <v>0</v>
      </c>
      <c r="M1833" t="n">
        <v>0</v>
      </c>
      <c r="N1833" t="n">
        <v>0</v>
      </c>
      <c r="O1833" t="n">
        <v>0</v>
      </c>
      <c r="P1833" t="n">
        <v>0</v>
      </c>
      <c r="Q1833" t="n">
        <v>0</v>
      </c>
      <c r="R1833" t="n">
        <v>0</v>
      </c>
      <c r="S1833" t="n">
        <v>0</v>
      </c>
      <c r="T1833" t="n">
        <v>0</v>
      </c>
      <c r="U1833" t="n">
        <v>0</v>
      </c>
      <c r="V1833" s="2" t="inlineStr"/>
    </row>
    <row r="1834" ht="15" customHeight="1">
      <c r="A1834" t="inlineStr">
        <is>
          <t>A 33457-2022</t>
        </is>
      </c>
      <c r="B1834" t="inlineStr">
        <is>
          <t>avverkningsanmälan</t>
        </is>
      </c>
      <c r="C1834" t="inlineStr">
        <is>
          <t>Föryngringsavverkning</t>
        </is>
      </c>
      <c r="D1834" s="1" t="n">
        <v>44788</v>
      </c>
      <c r="E1834" s="1" t="n">
        <v>46323</v>
      </c>
      <c r="F1834" t="inlineStr">
        <is>
          <t>KALMAR LÄN</t>
        </is>
      </c>
      <c r="G1834" t="inlineStr">
        <is>
          <t>EMMABODA</t>
        </is>
      </c>
      <c r="I1834" t="n">
        <v>1.4</v>
      </c>
      <c r="J1834" t="n">
        <v>0</v>
      </c>
      <c r="K1834" t="n">
        <v>0</v>
      </c>
      <c r="L1834" t="n">
        <v>0</v>
      </c>
      <c r="M1834" t="n">
        <v>0</v>
      </c>
      <c r="N1834" t="n">
        <v>0</v>
      </c>
      <c r="O1834" t="n">
        <v>0</v>
      </c>
      <c r="P1834" t="n">
        <v>0</v>
      </c>
      <c r="Q1834" t="n">
        <v>0</v>
      </c>
      <c r="R1834" t="n">
        <v>0</v>
      </c>
      <c r="S1834" t="n">
        <v>0</v>
      </c>
      <c r="T1834" t="n">
        <v>0</v>
      </c>
      <c r="U1834" t="n">
        <v>0</v>
      </c>
      <c r="V1834" s="2" t="inlineStr"/>
    </row>
    <row r="1835" ht="15" customHeight="1">
      <c r="A1835" t="inlineStr">
        <is>
          <t>A 24268-2022</t>
        </is>
      </c>
      <c r="B1835" t="inlineStr">
        <is>
          <t>avverkningsanmälan</t>
        </is>
      </c>
      <c r="C1835" t="inlineStr">
        <is>
          <t>Föryngringsavverkning</t>
        </is>
      </c>
      <c r="D1835" s="1" t="n">
        <v>44725</v>
      </c>
      <c r="E1835" s="1" t="n">
        <v>46323</v>
      </c>
      <c r="F1835" t="inlineStr">
        <is>
          <t>KALMAR LÄN</t>
        </is>
      </c>
      <c r="G1835" t="inlineStr">
        <is>
          <t>EMMABODA</t>
        </is>
      </c>
      <c r="I1835" t="n">
        <v>0.6</v>
      </c>
      <c r="J1835" t="n">
        <v>0</v>
      </c>
      <c r="K1835" t="n">
        <v>0</v>
      </c>
      <c r="L1835" t="n">
        <v>0</v>
      </c>
      <c r="M1835" t="n">
        <v>0</v>
      </c>
      <c r="N1835" t="n">
        <v>0</v>
      </c>
      <c r="O1835" t="n">
        <v>0</v>
      </c>
      <c r="P1835" t="n">
        <v>0</v>
      </c>
      <c r="Q1835" t="n">
        <v>0</v>
      </c>
      <c r="R1835" t="n">
        <v>0</v>
      </c>
      <c r="S1835" t="n">
        <v>0</v>
      </c>
      <c r="T1835" t="n">
        <v>0</v>
      </c>
      <c r="U1835" t="n">
        <v>0</v>
      </c>
      <c r="V1835" s="2" t="inlineStr"/>
    </row>
    <row r="1836" ht="15" customHeight="1">
      <c r="A1836" t="inlineStr">
        <is>
          <t>A 10934-2023</t>
        </is>
      </c>
      <c r="B1836" t="inlineStr">
        <is>
          <t>avverkningsanmälan</t>
        </is>
      </c>
      <c r="C1836" t="inlineStr">
        <is>
          <t>Föryngringsavverkning</t>
        </is>
      </c>
      <c r="D1836" s="1" t="n">
        <v>44991</v>
      </c>
      <c r="E1836" s="1" t="n">
        <v>46323</v>
      </c>
      <c r="F1836" t="inlineStr">
        <is>
          <t>KALMAR LÄN</t>
        </is>
      </c>
      <c r="G1836" t="inlineStr">
        <is>
          <t>MÖNSTERÅS</t>
        </is>
      </c>
      <c r="I1836" t="n">
        <v>2.3</v>
      </c>
      <c r="J1836" t="n">
        <v>0</v>
      </c>
      <c r="K1836" t="n">
        <v>0</v>
      </c>
      <c r="L1836" t="n">
        <v>0</v>
      </c>
      <c r="M1836" t="n">
        <v>0</v>
      </c>
      <c r="N1836" t="n">
        <v>0</v>
      </c>
      <c r="O1836" t="n">
        <v>0</v>
      </c>
      <c r="P1836" t="n">
        <v>0</v>
      </c>
      <c r="Q1836" t="n">
        <v>0</v>
      </c>
      <c r="R1836" t="n">
        <v>0</v>
      </c>
      <c r="S1836" t="n">
        <v>0</v>
      </c>
      <c r="T1836" t="n">
        <v>0</v>
      </c>
      <c r="U1836" t="n">
        <v>0</v>
      </c>
      <c r="V1836" s="2" t="inlineStr"/>
    </row>
    <row r="1837" ht="15" customHeight="1">
      <c r="A1837" t="inlineStr">
        <is>
          <t>A 11433-2024</t>
        </is>
      </c>
      <c r="B1837" t="inlineStr">
        <is>
          <t>avverkningsanmälan</t>
        </is>
      </c>
      <c r="C1837" t="inlineStr">
        <is>
          <t>Föryngringsavverkning</t>
        </is>
      </c>
      <c r="D1837" s="1" t="n">
        <v>45372</v>
      </c>
      <c r="E1837" s="1" t="n">
        <v>46323</v>
      </c>
      <c r="F1837" t="inlineStr">
        <is>
          <t>KALMAR LÄN</t>
        </is>
      </c>
      <c r="G1837" t="inlineStr">
        <is>
          <t>HULTSFRED</t>
        </is>
      </c>
      <c r="I1837" t="n">
        <v>2.7</v>
      </c>
      <c r="J1837" t="n">
        <v>0</v>
      </c>
      <c r="K1837" t="n">
        <v>0</v>
      </c>
      <c r="L1837" t="n">
        <v>0</v>
      </c>
      <c r="M1837" t="n">
        <v>0</v>
      </c>
      <c r="N1837" t="n">
        <v>0</v>
      </c>
      <c r="O1837" t="n">
        <v>0</v>
      </c>
      <c r="P1837" t="n">
        <v>0</v>
      </c>
      <c r="Q1837" t="n">
        <v>0</v>
      </c>
      <c r="R1837" t="n">
        <v>0</v>
      </c>
      <c r="S1837" t="n">
        <v>0</v>
      </c>
      <c r="T1837" t="n">
        <v>0</v>
      </c>
      <c r="U1837" t="n">
        <v>0</v>
      </c>
      <c r="V1837" s="2" t="inlineStr"/>
    </row>
    <row r="1838" ht="15" customHeight="1">
      <c r="A1838" t="inlineStr">
        <is>
          <t>A 9475-2023</t>
        </is>
      </c>
      <c r="B1838" t="inlineStr">
        <is>
          <t>avverkningsanmälan</t>
        </is>
      </c>
      <c r="C1838" t="inlineStr">
        <is>
          <t>Föryngringsavverkning</t>
        </is>
      </c>
      <c r="D1838" s="1" t="n">
        <v>44981</v>
      </c>
      <c r="E1838" s="1" t="n">
        <v>46323</v>
      </c>
      <c r="F1838" t="inlineStr">
        <is>
          <t>KALMAR LÄN</t>
        </is>
      </c>
      <c r="G1838" t="inlineStr">
        <is>
          <t>VIMMERBY</t>
        </is>
      </c>
      <c r="I1838" t="n">
        <v>2</v>
      </c>
      <c r="J1838" t="n">
        <v>0</v>
      </c>
      <c r="K1838" t="n">
        <v>0</v>
      </c>
      <c r="L1838" t="n">
        <v>0</v>
      </c>
      <c r="M1838" t="n">
        <v>0</v>
      </c>
      <c r="N1838" t="n">
        <v>0</v>
      </c>
      <c r="O1838" t="n">
        <v>0</v>
      </c>
      <c r="P1838" t="n">
        <v>0</v>
      </c>
      <c r="Q1838" t="n">
        <v>0</v>
      </c>
      <c r="R1838" t="n">
        <v>0</v>
      </c>
      <c r="S1838" t="n">
        <v>0</v>
      </c>
      <c r="T1838" t="n">
        <v>0</v>
      </c>
      <c r="U1838" t="n">
        <v>0</v>
      </c>
      <c r="V1838" s="2" t="inlineStr"/>
    </row>
    <row r="1839" ht="15" customHeight="1">
      <c r="A1839" t="inlineStr">
        <is>
          <t>A 29441-2024</t>
        </is>
      </c>
      <c r="B1839" t="inlineStr">
        <is>
          <t>avverkningsanmälan</t>
        </is>
      </c>
      <c r="C1839" t="inlineStr">
        <is>
          <t>Föryngringsavverkning</t>
        </is>
      </c>
      <c r="D1839" s="1" t="n">
        <v>45483</v>
      </c>
      <c r="E1839" s="1" t="n">
        <v>46323</v>
      </c>
      <c r="F1839" t="inlineStr">
        <is>
          <t>KALMAR LÄN</t>
        </is>
      </c>
      <c r="G1839" t="inlineStr">
        <is>
          <t>VIMMERBY</t>
        </is>
      </c>
      <c r="I1839" t="n">
        <v>1.3</v>
      </c>
      <c r="J1839" t="n">
        <v>0</v>
      </c>
      <c r="K1839" t="n">
        <v>0</v>
      </c>
      <c r="L1839" t="n">
        <v>0</v>
      </c>
      <c r="M1839" t="n">
        <v>0</v>
      </c>
      <c r="N1839" t="n">
        <v>0</v>
      </c>
      <c r="O1839" t="n">
        <v>0</v>
      </c>
      <c r="P1839" t="n">
        <v>0</v>
      </c>
      <c r="Q1839" t="n">
        <v>0</v>
      </c>
      <c r="R1839" t="n">
        <v>0</v>
      </c>
      <c r="S1839" t="n">
        <v>0</v>
      </c>
      <c r="T1839" t="n">
        <v>0</v>
      </c>
      <c r="U1839" t="n">
        <v>0</v>
      </c>
      <c r="V1839" s="2" t="inlineStr"/>
    </row>
    <row r="1840" ht="15" customHeight="1">
      <c r="A1840" t="inlineStr">
        <is>
          <t>A 62274-2021</t>
        </is>
      </c>
      <c r="B1840" t="inlineStr">
        <is>
          <t>avverkningsanmälan</t>
        </is>
      </c>
      <c r="C1840" t="inlineStr">
        <is>
          <t>Föryngringsavverkning</t>
        </is>
      </c>
      <c r="D1840" s="1" t="n">
        <v>44503</v>
      </c>
      <c r="E1840" s="1" t="n">
        <v>46323</v>
      </c>
      <c r="F1840" t="inlineStr">
        <is>
          <t>KALMAR LÄN</t>
        </is>
      </c>
      <c r="G1840" t="inlineStr">
        <is>
          <t>HÖGSBY</t>
        </is>
      </c>
      <c r="I1840" t="n">
        <v>0.8</v>
      </c>
      <c r="J1840" t="n">
        <v>0</v>
      </c>
      <c r="K1840" t="n">
        <v>0</v>
      </c>
      <c r="L1840" t="n">
        <v>0</v>
      </c>
      <c r="M1840" t="n">
        <v>0</v>
      </c>
      <c r="N1840" t="n">
        <v>0</v>
      </c>
      <c r="O1840" t="n">
        <v>0</v>
      </c>
      <c r="P1840" t="n">
        <v>0</v>
      </c>
      <c r="Q1840" t="n">
        <v>0</v>
      </c>
      <c r="R1840" t="n">
        <v>0</v>
      </c>
      <c r="S1840" t="n">
        <v>0</v>
      </c>
      <c r="T1840" t="n">
        <v>0</v>
      </c>
      <c r="U1840" t="n">
        <v>0</v>
      </c>
      <c r="V1840" s="2" t="inlineStr"/>
    </row>
    <row r="1841" ht="15" customHeight="1">
      <c r="A1841" t="inlineStr">
        <is>
          <t>A 34564-2022</t>
        </is>
      </c>
      <c r="B1841" t="inlineStr">
        <is>
          <t>avverkningsanmälan</t>
        </is>
      </c>
      <c r="C1841" t="inlineStr">
        <is>
          <t>Föryngringsavverkning</t>
        </is>
      </c>
      <c r="D1841" s="1" t="n">
        <v>44794</v>
      </c>
      <c r="E1841" s="1" t="n">
        <v>46323</v>
      </c>
      <c r="F1841" t="inlineStr">
        <is>
          <t>KALMAR LÄN</t>
        </is>
      </c>
      <c r="G1841" t="inlineStr">
        <is>
          <t>HULTSFRED</t>
        </is>
      </c>
      <c r="I1841" t="n">
        <v>1.9</v>
      </c>
      <c r="J1841" t="n">
        <v>0</v>
      </c>
      <c r="K1841" t="n">
        <v>0</v>
      </c>
      <c r="L1841" t="n">
        <v>0</v>
      </c>
      <c r="M1841" t="n">
        <v>0</v>
      </c>
      <c r="N1841" t="n">
        <v>0</v>
      </c>
      <c r="O1841" t="n">
        <v>0</v>
      </c>
      <c r="P1841" t="n">
        <v>0</v>
      </c>
      <c r="Q1841" t="n">
        <v>0</v>
      </c>
      <c r="R1841" t="n">
        <v>0</v>
      </c>
      <c r="S1841" t="n">
        <v>0</v>
      </c>
      <c r="T1841" t="n">
        <v>0</v>
      </c>
      <c r="U1841" t="n">
        <v>0</v>
      </c>
      <c r="V1841" s="2" t="inlineStr"/>
    </row>
    <row r="1842" ht="15" customHeight="1">
      <c r="A1842" t="inlineStr">
        <is>
          <t>A 64306-2023</t>
        </is>
      </c>
      <c r="B1842" t="inlineStr">
        <is>
          <t>avverkningsanmälan</t>
        </is>
      </c>
      <c r="C1842" t="inlineStr">
        <is>
          <t>Föryngringsavverkning</t>
        </is>
      </c>
      <c r="D1842" s="1" t="n">
        <v>45280</v>
      </c>
      <c r="E1842" s="1" t="n">
        <v>46323</v>
      </c>
      <c r="F1842" t="inlineStr">
        <is>
          <t>KALMAR LÄN</t>
        </is>
      </c>
      <c r="G1842" t="inlineStr">
        <is>
          <t>HULTSFRED</t>
        </is>
      </c>
      <c r="I1842" t="n">
        <v>1.1</v>
      </c>
      <c r="J1842" t="n">
        <v>0</v>
      </c>
      <c r="K1842" t="n">
        <v>0</v>
      </c>
      <c r="L1842" t="n">
        <v>0</v>
      </c>
      <c r="M1842" t="n">
        <v>0</v>
      </c>
      <c r="N1842" t="n">
        <v>0</v>
      </c>
      <c r="O1842" t="n">
        <v>0</v>
      </c>
      <c r="P1842" t="n">
        <v>0</v>
      </c>
      <c r="Q1842" t="n">
        <v>0</v>
      </c>
      <c r="R1842" t="n">
        <v>0</v>
      </c>
      <c r="S1842" t="n">
        <v>0</v>
      </c>
      <c r="T1842" t="n">
        <v>0</v>
      </c>
      <c r="U1842" t="n">
        <v>0</v>
      </c>
      <c r="V1842" s="2" t="inlineStr"/>
    </row>
    <row r="1843" ht="15" customHeight="1">
      <c r="A1843" t="inlineStr">
        <is>
          <t>A 6264-2022</t>
        </is>
      </c>
      <c r="B1843" t="inlineStr">
        <is>
          <t>avverkningsanmälan</t>
        </is>
      </c>
      <c r="C1843" t="inlineStr">
        <is>
          <t>Föryngringsavverkning</t>
        </is>
      </c>
      <c r="D1843" s="1" t="n">
        <v>44600</v>
      </c>
      <c r="E1843" s="1" t="n">
        <v>46323</v>
      </c>
      <c r="F1843" t="inlineStr">
        <is>
          <t>KALMAR LÄN</t>
        </is>
      </c>
      <c r="G1843" t="inlineStr">
        <is>
          <t>EMMABODA</t>
        </is>
      </c>
      <c r="I1843" t="n">
        <v>1.4</v>
      </c>
      <c r="J1843" t="n">
        <v>0</v>
      </c>
      <c r="K1843" t="n">
        <v>0</v>
      </c>
      <c r="L1843" t="n">
        <v>0</v>
      </c>
      <c r="M1843" t="n">
        <v>0</v>
      </c>
      <c r="N1843" t="n">
        <v>0</v>
      </c>
      <c r="O1843" t="n">
        <v>0</v>
      </c>
      <c r="P1843" t="n">
        <v>0</v>
      </c>
      <c r="Q1843" t="n">
        <v>0</v>
      </c>
      <c r="R1843" t="n">
        <v>0</v>
      </c>
      <c r="S1843" t="n">
        <v>0</v>
      </c>
      <c r="T1843" t="n">
        <v>0</v>
      </c>
      <c r="U1843" t="n">
        <v>0</v>
      </c>
      <c r="V1843" s="2" t="inlineStr"/>
    </row>
    <row r="1844" ht="15" customHeight="1">
      <c r="A1844" t="inlineStr">
        <is>
          <t>A 25382-2023</t>
        </is>
      </c>
      <c r="B1844" t="inlineStr">
        <is>
          <t>avverkningsanmälan</t>
        </is>
      </c>
      <c r="C1844" t="inlineStr">
        <is>
          <t>Föryngringsavverkning</t>
        </is>
      </c>
      <c r="D1844" s="1" t="n">
        <v>45089</v>
      </c>
      <c r="E1844" s="1" t="n">
        <v>46323</v>
      </c>
      <c r="F1844" t="inlineStr">
        <is>
          <t>KALMAR LÄN</t>
        </is>
      </c>
      <c r="G1844" t="inlineStr">
        <is>
          <t>NYBRO</t>
        </is>
      </c>
      <c r="H1844" t="inlineStr">
        <is>
          <t>Kommuner</t>
        </is>
      </c>
      <c r="I1844" t="n">
        <v>1.3</v>
      </c>
      <c r="J1844" t="n">
        <v>0</v>
      </c>
      <c r="K1844" t="n">
        <v>0</v>
      </c>
      <c r="L1844" t="n">
        <v>0</v>
      </c>
      <c r="M1844" t="n">
        <v>0</v>
      </c>
      <c r="N1844" t="n">
        <v>0</v>
      </c>
      <c r="O1844" t="n">
        <v>0</v>
      </c>
      <c r="P1844" t="n">
        <v>0</v>
      </c>
      <c r="Q1844" t="n">
        <v>0</v>
      </c>
      <c r="R1844" t="n">
        <v>0</v>
      </c>
      <c r="S1844" t="n">
        <v>0</v>
      </c>
      <c r="T1844" t="n">
        <v>0</v>
      </c>
      <c r="U1844" t="n">
        <v>0</v>
      </c>
      <c r="V1844" s="2" t="inlineStr"/>
    </row>
    <row r="1845" ht="15" customHeight="1">
      <c r="A1845" t="inlineStr">
        <is>
          <t>A 50086-2023</t>
        </is>
      </c>
      <c r="B1845" t="inlineStr">
        <is>
          <t>avverkningsanmälan</t>
        </is>
      </c>
      <c r="C1845" t="inlineStr">
        <is>
          <t>Föryngringsavverkning</t>
        </is>
      </c>
      <c r="D1845" s="1" t="n">
        <v>45215</v>
      </c>
      <c r="E1845" s="1" t="n">
        <v>46323</v>
      </c>
      <c r="F1845" t="inlineStr">
        <is>
          <t>KALMAR LÄN</t>
        </is>
      </c>
      <c r="G1845" t="inlineStr">
        <is>
          <t>VÄSTERVIK</t>
        </is>
      </c>
      <c r="I1845" t="n">
        <v>1.4</v>
      </c>
      <c r="J1845" t="n">
        <v>0</v>
      </c>
      <c r="K1845" t="n">
        <v>0</v>
      </c>
      <c r="L1845" t="n">
        <v>0</v>
      </c>
      <c r="M1845" t="n">
        <v>0</v>
      </c>
      <c r="N1845" t="n">
        <v>0</v>
      </c>
      <c r="O1845" t="n">
        <v>0</v>
      </c>
      <c r="P1845" t="n">
        <v>0</v>
      </c>
      <c r="Q1845" t="n">
        <v>0</v>
      </c>
      <c r="R1845" t="n">
        <v>0</v>
      </c>
      <c r="S1845" t="n">
        <v>0</v>
      </c>
      <c r="T1845" t="n">
        <v>0</v>
      </c>
      <c r="U1845" t="n">
        <v>0</v>
      </c>
      <c r="V1845" s="2" t="inlineStr"/>
    </row>
    <row r="1846" ht="15" customHeight="1">
      <c r="A1846" t="inlineStr">
        <is>
          <t>A 48361-2022</t>
        </is>
      </c>
      <c r="B1846" t="inlineStr">
        <is>
          <t>avverkningsanmälan</t>
        </is>
      </c>
      <c r="C1846" t="inlineStr">
        <is>
          <t>Föryngringsavverkning</t>
        </is>
      </c>
      <c r="D1846" s="1" t="n">
        <v>44858</v>
      </c>
      <c r="E1846" s="1" t="n">
        <v>46323</v>
      </c>
      <c r="F1846" t="inlineStr">
        <is>
          <t>KALMAR LÄN</t>
        </is>
      </c>
      <c r="G1846" t="inlineStr">
        <is>
          <t>KALMAR</t>
        </is>
      </c>
      <c r="I1846" t="n">
        <v>1.7</v>
      </c>
      <c r="J1846" t="n">
        <v>0</v>
      </c>
      <c r="K1846" t="n">
        <v>0</v>
      </c>
      <c r="L1846" t="n">
        <v>0</v>
      </c>
      <c r="M1846" t="n">
        <v>0</v>
      </c>
      <c r="N1846" t="n">
        <v>0</v>
      </c>
      <c r="O1846" t="n">
        <v>0</v>
      </c>
      <c r="P1846" t="n">
        <v>0</v>
      </c>
      <c r="Q1846" t="n">
        <v>0</v>
      </c>
      <c r="R1846" t="n">
        <v>0</v>
      </c>
      <c r="S1846" t="n">
        <v>0</v>
      </c>
      <c r="T1846" t="n">
        <v>0</v>
      </c>
      <c r="U1846" t="n">
        <v>0</v>
      </c>
      <c r="V1846" s="2" t="inlineStr"/>
    </row>
    <row r="1847" ht="15" customHeight="1">
      <c r="A1847" t="inlineStr">
        <is>
          <t>A 26120-2023</t>
        </is>
      </c>
      <c r="B1847" t="inlineStr">
        <is>
          <t>avverkningsanmälan</t>
        </is>
      </c>
      <c r="C1847" t="inlineStr">
        <is>
          <t>Föryngringsavverkning</t>
        </is>
      </c>
      <c r="D1847" s="1" t="n">
        <v>45091</v>
      </c>
      <c r="E1847" s="1" t="n">
        <v>46323</v>
      </c>
      <c r="F1847" t="inlineStr">
        <is>
          <t>KALMAR LÄN</t>
        </is>
      </c>
      <c r="G1847" t="inlineStr">
        <is>
          <t>NYBRO</t>
        </is>
      </c>
      <c r="I1847" t="n">
        <v>1.1</v>
      </c>
      <c r="J1847" t="n">
        <v>0</v>
      </c>
      <c r="K1847" t="n">
        <v>0</v>
      </c>
      <c r="L1847" t="n">
        <v>0</v>
      </c>
      <c r="M1847" t="n">
        <v>0</v>
      </c>
      <c r="N1847" t="n">
        <v>0</v>
      </c>
      <c r="O1847" t="n">
        <v>0</v>
      </c>
      <c r="P1847" t="n">
        <v>0</v>
      </c>
      <c r="Q1847" t="n">
        <v>0</v>
      </c>
      <c r="R1847" t="n">
        <v>0</v>
      </c>
      <c r="S1847" t="n">
        <v>0</v>
      </c>
      <c r="T1847" t="n">
        <v>0</v>
      </c>
      <c r="U1847" t="n">
        <v>0</v>
      </c>
      <c r="V1847" s="2" t="inlineStr"/>
    </row>
    <row r="1848" ht="15" customHeight="1">
      <c r="A1848" t="inlineStr">
        <is>
          <t>A 50091-2023</t>
        </is>
      </c>
      <c r="B1848" t="inlineStr">
        <is>
          <t>avverkningsanmälan</t>
        </is>
      </c>
      <c r="C1848" t="inlineStr">
        <is>
          <t>Föryngringsavverkning</t>
        </is>
      </c>
      <c r="D1848" s="1" t="n">
        <v>45215</v>
      </c>
      <c r="E1848" s="1" t="n">
        <v>46323</v>
      </c>
      <c r="F1848" t="inlineStr">
        <is>
          <t>KALMAR LÄN</t>
        </is>
      </c>
      <c r="G1848" t="inlineStr">
        <is>
          <t>VIMMERBY</t>
        </is>
      </c>
      <c r="I1848" t="n">
        <v>1.7</v>
      </c>
      <c r="J1848" t="n">
        <v>0</v>
      </c>
      <c r="K1848" t="n">
        <v>0</v>
      </c>
      <c r="L1848" t="n">
        <v>0</v>
      </c>
      <c r="M1848" t="n">
        <v>0</v>
      </c>
      <c r="N1848" t="n">
        <v>0</v>
      </c>
      <c r="O1848" t="n">
        <v>0</v>
      </c>
      <c r="P1848" t="n">
        <v>0</v>
      </c>
      <c r="Q1848" t="n">
        <v>0</v>
      </c>
      <c r="R1848" t="n">
        <v>0</v>
      </c>
      <c r="S1848" t="n">
        <v>0</v>
      </c>
      <c r="T1848" t="n">
        <v>0</v>
      </c>
      <c r="U1848" t="n">
        <v>0</v>
      </c>
      <c r="V1848" s="2" t="inlineStr"/>
    </row>
    <row r="1849" ht="15" customHeight="1">
      <c r="A1849" t="inlineStr">
        <is>
          <t>A 12896-2022</t>
        </is>
      </c>
      <c r="B1849" t="inlineStr">
        <is>
          <t>avverkningsanmälan</t>
        </is>
      </c>
      <c r="C1849" t="inlineStr">
        <is>
          <t>Föryngringsavverkning</t>
        </is>
      </c>
      <c r="D1849" s="1" t="n">
        <v>44642</v>
      </c>
      <c r="E1849" s="1" t="n">
        <v>46323</v>
      </c>
      <c r="F1849" t="inlineStr">
        <is>
          <t>KALMAR LÄN</t>
        </is>
      </c>
      <c r="G1849" t="inlineStr">
        <is>
          <t>MÖNSTERÅS</t>
        </is>
      </c>
      <c r="H1849" t="inlineStr">
        <is>
          <t>Kommuner</t>
        </is>
      </c>
      <c r="I1849" t="n">
        <v>1.1</v>
      </c>
      <c r="J1849" t="n">
        <v>0</v>
      </c>
      <c r="K1849" t="n">
        <v>0</v>
      </c>
      <c r="L1849" t="n">
        <v>0</v>
      </c>
      <c r="M1849" t="n">
        <v>0</v>
      </c>
      <c r="N1849" t="n">
        <v>0</v>
      </c>
      <c r="O1849" t="n">
        <v>0</v>
      </c>
      <c r="P1849" t="n">
        <v>0</v>
      </c>
      <c r="Q1849" t="n">
        <v>0</v>
      </c>
      <c r="R1849" t="n">
        <v>0</v>
      </c>
      <c r="S1849" t="n">
        <v>0</v>
      </c>
      <c r="T1849" t="n">
        <v>0</v>
      </c>
      <c r="U1849" t="n">
        <v>0</v>
      </c>
      <c r="V1849" s="2" t="inlineStr"/>
    </row>
    <row r="1850" ht="15" customHeight="1">
      <c r="A1850" t="inlineStr">
        <is>
          <t>A 57224-2024</t>
        </is>
      </c>
      <c r="B1850" t="inlineStr">
        <is>
          <t>avverkningsanmälan</t>
        </is>
      </c>
      <c r="C1850" t="inlineStr">
        <is>
          <t>Föryngringsavverkning</t>
        </is>
      </c>
      <c r="D1850" s="1" t="n">
        <v>45629</v>
      </c>
      <c r="E1850" s="1" t="n">
        <v>46323</v>
      </c>
      <c r="F1850" t="inlineStr">
        <is>
          <t>KALMAR LÄN</t>
        </is>
      </c>
      <c r="G1850" t="inlineStr">
        <is>
          <t>NYBRO</t>
        </is>
      </c>
      <c r="I1850" t="n">
        <v>2.6</v>
      </c>
      <c r="J1850" t="n">
        <v>0</v>
      </c>
      <c r="K1850" t="n">
        <v>0</v>
      </c>
      <c r="L1850" t="n">
        <v>0</v>
      </c>
      <c r="M1850" t="n">
        <v>0</v>
      </c>
      <c r="N1850" t="n">
        <v>0</v>
      </c>
      <c r="O1850" t="n">
        <v>0</v>
      </c>
      <c r="P1850" t="n">
        <v>0</v>
      </c>
      <c r="Q1850" t="n">
        <v>0</v>
      </c>
      <c r="R1850" t="n">
        <v>0</v>
      </c>
      <c r="S1850" t="n">
        <v>0</v>
      </c>
      <c r="T1850" t="n">
        <v>0</v>
      </c>
      <c r="U1850" t="n">
        <v>0</v>
      </c>
      <c r="V1850" s="2" t="inlineStr"/>
    </row>
    <row r="1851" ht="15" customHeight="1">
      <c r="A1851" t="inlineStr">
        <is>
          <t>A 816-2023</t>
        </is>
      </c>
      <c r="B1851" t="inlineStr">
        <is>
          <t>avverkningsanmälan</t>
        </is>
      </c>
      <c r="C1851" t="inlineStr">
        <is>
          <t>Föryngringsavverkning</t>
        </is>
      </c>
      <c r="D1851" s="1" t="n">
        <v>44931</v>
      </c>
      <c r="E1851" s="1" t="n">
        <v>46323</v>
      </c>
      <c r="F1851" t="inlineStr">
        <is>
          <t>KALMAR LÄN</t>
        </is>
      </c>
      <c r="G1851" t="inlineStr">
        <is>
          <t>NYBRO</t>
        </is>
      </c>
      <c r="H1851" t="inlineStr">
        <is>
          <t>Sveaskog</t>
        </is>
      </c>
      <c r="I1851" t="n">
        <v>1.8</v>
      </c>
      <c r="J1851" t="n">
        <v>0</v>
      </c>
      <c r="K1851" t="n">
        <v>0</v>
      </c>
      <c r="L1851" t="n">
        <v>0</v>
      </c>
      <c r="M1851" t="n">
        <v>0</v>
      </c>
      <c r="N1851" t="n">
        <v>0</v>
      </c>
      <c r="O1851" t="n">
        <v>0</v>
      </c>
      <c r="P1851" t="n">
        <v>0</v>
      </c>
      <c r="Q1851" t="n">
        <v>0</v>
      </c>
      <c r="R1851" t="n">
        <v>0</v>
      </c>
      <c r="S1851" t="n">
        <v>0</v>
      </c>
      <c r="T1851" t="n">
        <v>0</v>
      </c>
      <c r="U1851" t="n">
        <v>0</v>
      </c>
      <c r="V1851" s="2" t="inlineStr"/>
    </row>
    <row r="1852" ht="15" customHeight="1">
      <c r="A1852" t="inlineStr">
        <is>
          <t>A 10303-2025</t>
        </is>
      </c>
      <c r="B1852" t="inlineStr">
        <is>
          <t>avverkningsanmälan</t>
        </is>
      </c>
      <c r="C1852" t="inlineStr">
        <is>
          <t>Föryngringsavverkning</t>
        </is>
      </c>
      <c r="D1852" s="1" t="n">
        <v>45720</v>
      </c>
      <c r="E1852" s="1" t="n">
        <v>46323</v>
      </c>
      <c r="F1852" t="inlineStr">
        <is>
          <t>KALMAR LÄN</t>
        </is>
      </c>
      <c r="G1852" t="inlineStr">
        <is>
          <t>VIMMERBY</t>
        </is>
      </c>
      <c r="I1852" t="n">
        <v>0.9</v>
      </c>
      <c r="J1852" t="n">
        <v>0</v>
      </c>
      <c r="K1852" t="n">
        <v>0</v>
      </c>
      <c r="L1852" t="n">
        <v>0</v>
      </c>
      <c r="M1852" t="n">
        <v>0</v>
      </c>
      <c r="N1852" t="n">
        <v>0</v>
      </c>
      <c r="O1852" t="n">
        <v>0</v>
      </c>
      <c r="P1852" t="n">
        <v>0</v>
      </c>
      <c r="Q1852" t="n">
        <v>0</v>
      </c>
      <c r="R1852" t="n">
        <v>0</v>
      </c>
      <c r="S1852" t="n">
        <v>0</v>
      </c>
      <c r="T1852" t="n">
        <v>0</v>
      </c>
      <c r="U1852" t="n">
        <v>0</v>
      </c>
      <c r="V1852" s="2" t="inlineStr"/>
    </row>
    <row r="1853" ht="15" customHeight="1">
      <c r="A1853" t="inlineStr">
        <is>
          <t>A 11027-2023</t>
        </is>
      </c>
      <c r="B1853" t="inlineStr">
        <is>
          <t>avverkningsanmälan</t>
        </is>
      </c>
      <c r="C1853" t="inlineStr">
        <is>
          <t>Föryngringsavverkning</t>
        </is>
      </c>
      <c r="D1853" s="1" t="n">
        <v>44991</v>
      </c>
      <c r="E1853" s="1" t="n">
        <v>46323</v>
      </c>
      <c r="F1853" t="inlineStr">
        <is>
          <t>KALMAR LÄN</t>
        </is>
      </c>
      <c r="G1853" t="inlineStr">
        <is>
          <t>VIMMERBY</t>
        </is>
      </c>
      <c r="I1853" t="n">
        <v>0.8</v>
      </c>
      <c r="J1853" t="n">
        <v>0</v>
      </c>
      <c r="K1853" t="n">
        <v>0</v>
      </c>
      <c r="L1853" t="n">
        <v>0</v>
      </c>
      <c r="M1853" t="n">
        <v>0</v>
      </c>
      <c r="N1853" t="n">
        <v>0</v>
      </c>
      <c r="O1853" t="n">
        <v>0</v>
      </c>
      <c r="P1853" t="n">
        <v>0</v>
      </c>
      <c r="Q1853" t="n">
        <v>0</v>
      </c>
      <c r="R1853" t="n">
        <v>0</v>
      </c>
      <c r="S1853" t="n">
        <v>0</v>
      </c>
      <c r="T1853" t="n">
        <v>0</v>
      </c>
      <c r="U1853" t="n">
        <v>0</v>
      </c>
      <c r="V1853" s="2" t="inlineStr"/>
    </row>
    <row r="1854" ht="15" customHeight="1">
      <c r="A1854" t="inlineStr">
        <is>
          <t>A 13275-2023</t>
        </is>
      </c>
      <c r="B1854" t="inlineStr">
        <is>
          <t>avverkningsanmälan</t>
        </is>
      </c>
      <c r="C1854" t="inlineStr">
        <is>
          <t>Föryngringsavverkning</t>
        </is>
      </c>
      <c r="D1854" s="1" t="n">
        <v>45003</v>
      </c>
      <c r="E1854" s="1" t="n">
        <v>46323</v>
      </c>
      <c r="F1854" t="inlineStr">
        <is>
          <t>KALMAR LÄN</t>
        </is>
      </c>
      <c r="G1854" t="inlineStr">
        <is>
          <t>VÄSTERVIK</t>
        </is>
      </c>
      <c r="I1854" t="n">
        <v>1.6</v>
      </c>
      <c r="J1854" t="n">
        <v>0</v>
      </c>
      <c r="K1854" t="n">
        <v>0</v>
      </c>
      <c r="L1854" t="n">
        <v>0</v>
      </c>
      <c r="M1854" t="n">
        <v>0</v>
      </c>
      <c r="N1854" t="n">
        <v>0</v>
      </c>
      <c r="O1854" t="n">
        <v>0</v>
      </c>
      <c r="P1854" t="n">
        <v>0</v>
      </c>
      <c r="Q1854" t="n">
        <v>0</v>
      </c>
      <c r="R1854" t="n">
        <v>0</v>
      </c>
      <c r="S1854" t="n">
        <v>0</v>
      </c>
      <c r="T1854" t="n">
        <v>0</v>
      </c>
      <c r="U1854" t="n">
        <v>0</v>
      </c>
      <c r="V1854" s="2" t="inlineStr"/>
      <c r="Z1854">
        <f>HYPERLINK("https://klasma.github.io/Logging_0883/knärot/A 13275-2023 karta knärot.png", "A 13275-2023")</f>
        <v/>
      </c>
      <c r="AA1854">
        <f>HYPERLINK("https://klasma.github.io/Logging_0883/klagomål/A 13275-2023 FSC-klagomål.docx", "A 13275-2023")</f>
        <v/>
      </c>
      <c r="AB1854">
        <f>HYPERLINK("https://klasma.github.io/Logging_0883/klagomålsmail/A 13275-2023 FSC-klagomål mail.docx", "A 13275-2023")</f>
        <v/>
      </c>
      <c r="AC1854">
        <f>HYPERLINK("https://klasma.github.io/Logging_0883/tillsyn/A 13275-2023 tillsynsbegäran.docx", "A 13275-2023")</f>
        <v/>
      </c>
      <c r="AD1854">
        <f>HYPERLINK("https://klasma.github.io/Logging_0883/tillsynsmail/A 13275-2023 tillsynsbegäran mail.docx", "A 13275-2023")</f>
        <v/>
      </c>
    </row>
    <row r="1855" ht="15" customHeight="1">
      <c r="A1855" t="inlineStr">
        <is>
          <t>A 37250-2024</t>
        </is>
      </c>
      <c r="B1855" t="inlineStr">
        <is>
          <t>avverkningsanmälan</t>
        </is>
      </c>
      <c r="C1855" t="inlineStr">
        <is>
          <t>Föryngringsavverkning</t>
        </is>
      </c>
      <c r="D1855" s="1" t="n">
        <v>45540</v>
      </c>
      <c r="E1855" s="1" t="n">
        <v>46323</v>
      </c>
      <c r="F1855" t="inlineStr">
        <is>
          <t>KALMAR LÄN</t>
        </is>
      </c>
      <c r="G1855" t="inlineStr">
        <is>
          <t>MÖNSTERÅS</t>
        </is>
      </c>
      <c r="I1855" t="n">
        <v>4.3</v>
      </c>
      <c r="J1855" t="n">
        <v>0</v>
      </c>
      <c r="K1855" t="n">
        <v>0</v>
      </c>
      <c r="L1855" t="n">
        <v>0</v>
      </c>
      <c r="M1855" t="n">
        <v>0</v>
      </c>
      <c r="N1855" t="n">
        <v>0</v>
      </c>
      <c r="O1855" t="n">
        <v>0</v>
      </c>
      <c r="P1855" t="n">
        <v>0</v>
      </c>
      <c r="Q1855" t="n">
        <v>0</v>
      </c>
      <c r="R1855" t="n">
        <v>0</v>
      </c>
      <c r="S1855" t="n">
        <v>0</v>
      </c>
      <c r="T1855" t="n">
        <v>0</v>
      </c>
      <c r="U1855" t="n">
        <v>0</v>
      </c>
      <c r="V1855" s="2" t="inlineStr"/>
    </row>
    <row r="1856" ht="15" customHeight="1">
      <c r="A1856" t="inlineStr">
        <is>
          <t>A 25728-2023</t>
        </is>
      </c>
      <c r="B1856" t="inlineStr">
        <is>
          <t>avverkningsanmälan</t>
        </is>
      </c>
      <c r="C1856" t="inlineStr">
        <is>
          <t>Föryngringsavverkning</t>
        </is>
      </c>
      <c r="D1856" s="1" t="n">
        <v>45090</v>
      </c>
      <c r="E1856" s="1" t="n">
        <v>46323</v>
      </c>
      <c r="F1856" t="inlineStr">
        <is>
          <t>KALMAR LÄN</t>
        </is>
      </c>
      <c r="G1856" t="inlineStr">
        <is>
          <t>VIMMERBY</t>
        </is>
      </c>
      <c r="I1856" t="n">
        <v>1.1</v>
      </c>
      <c r="J1856" t="n">
        <v>0</v>
      </c>
      <c r="K1856" t="n">
        <v>0</v>
      </c>
      <c r="L1856" t="n">
        <v>0</v>
      </c>
      <c r="M1856" t="n">
        <v>0</v>
      </c>
      <c r="N1856" t="n">
        <v>0</v>
      </c>
      <c r="O1856" t="n">
        <v>0</v>
      </c>
      <c r="P1856" t="n">
        <v>0</v>
      </c>
      <c r="Q1856" t="n">
        <v>0</v>
      </c>
      <c r="R1856" t="n">
        <v>0</v>
      </c>
      <c r="S1856" t="n">
        <v>0</v>
      </c>
      <c r="T1856" t="n">
        <v>0</v>
      </c>
      <c r="U1856" t="n">
        <v>0</v>
      </c>
      <c r="V1856" s="2" t="inlineStr"/>
    </row>
    <row r="1857" ht="15" customHeight="1">
      <c r="A1857" t="inlineStr">
        <is>
          <t>A 38608-2024</t>
        </is>
      </c>
      <c r="B1857" t="inlineStr">
        <is>
          <t>avverkningsanmälan</t>
        </is>
      </c>
      <c r="C1857" t="inlineStr">
        <is>
          <t>Föryngringsavverkning</t>
        </is>
      </c>
      <c r="D1857" s="1" t="n">
        <v>45546</v>
      </c>
      <c r="E1857" s="1" t="n">
        <v>46323</v>
      </c>
      <c r="F1857" t="inlineStr">
        <is>
          <t>KALMAR LÄN</t>
        </is>
      </c>
      <c r="G1857" t="inlineStr">
        <is>
          <t>HÖGSBY</t>
        </is>
      </c>
      <c r="H1857" t="inlineStr">
        <is>
          <t>Sveaskog</t>
        </is>
      </c>
      <c r="I1857" t="n">
        <v>9.199999999999999</v>
      </c>
      <c r="J1857" t="n">
        <v>0</v>
      </c>
      <c r="K1857" t="n">
        <v>0</v>
      </c>
      <c r="L1857" t="n">
        <v>0</v>
      </c>
      <c r="M1857" t="n">
        <v>0</v>
      </c>
      <c r="N1857" t="n">
        <v>0</v>
      </c>
      <c r="O1857" t="n">
        <v>0</v>
      </c>
      <c r="P1857" t="n">
        <v>0</v>
      </c>
      <c r="Q1857" t="n">
        <v>0</v>
      </c>
      <c r="R1857" t="n">
        <v>0</v>
      </c>
      <c r="S1857" t="n">
        <v>0</v>
      </c>
      <c r="T1857" t="n">
        <v>0</v>
      </c>
      <c r="U1857" t="n">
        <v>0</v>
      </c>
      <c r="V1857" s="2" t="inlineStr"/>
    </row>
    <row r="1858" ht="15" customHeight="1">
      <c r="A1858" t="inlineStr">
        <is>
          <t>A 14362-2023</t>
        </is>
      </c>
      <c r="B1858" t="inlineStr">
        <is>
          <t>avverkningsanmälan</t>
        </is>
      </c>
      <c r="C1858" t="inlineStr">
        <is>
          <t>Föryngringsavverkning</t>
        </is>
      </c>
      <c r="D1858" s="1" t="n">
        <v>45012</v>
      </c>
      <c r="E1858" s="1" t="n">
        <v>46323</v>
      </c>
      <c r="F1858" t="inlineStr">
        <is>
          <t>KALMAR LÄN</t>
        </is>
      </c>
      <c r="G1858" t="inlineStr">
        <is>
          <t>TORSÅS</t>
        </is>
      </c>
      <c r="I1858" t="n">
        <v>0.6</v>
      </c>
      <c r="J1858" t="n">
        <v>0</v>
      </c>
      <c r="K1858" t="n">
        <v>0</v>
      </c>
      <c r="L1858" t="n">
        <v>0</v>
      </c>
      <c r="M1858" t="n">
        <v>0</v>
      </c>
      <c r="N1858" t="n">
        <v>0</v>
      </c>
      <c r="O1858" t="n">
        <v>0</v>
      </c>
      <c r="P1858" t="n">
        <v>0</v>
      </c>
      <c r="Q1858" t="n">
        <v>0</v>
      </c>
      <c r="R1858" t="n">
        <v>0</v>
      </c>
      <c r="S1858" t="n">
        <v>0</v>
      </c>
      <c r="T1858" t="n">
        <v>0</v>
      </c>
      <c r="U1858" t="n">
        <v>0</v>
      </c>
      <c r="V1858" s="2" t="inlineStr"/>
    </row>
    <row r="1859" ht="15" customHeight="1">
      <c r="A1859" t="inlineStr">
        <is>
          <t>A 6540-2022</t>
        </is>
      </c>
      <c r="B1859" t="inlineStr">
        <is>
          <t>avverkningsanmälan</t>
        </is>
      </c>
      <c r="C1859" t="inlineStr">
        <is>
          <t>Föryngringsavverkning</t>
        </is>
      </c>
      <c r="D1859" s="1" t="n">
        <v>44601</v>
      </c>
      <c r="E1859" s="1" t="n">
        <v>46323</v>
      </c>
      <c r="F1859" t="inlineStr">
        <is>
          <t>KALMAR LÄN</t>
        </is>
      </c>
      <c r="G1859" t="inlineStr">
        <is>
          <t>HÖGSBY</t>
        </is>
      </c>
      <c r="I1859" t="n">
        <v>1.3</v>
      </c>
      <c r="J1859" t="n">
        <v>0</v>
      </c>
      <c r="K1859" t="n">
        <v>0</v>
      </c>
      <c r="L1859" t="n">
        <v>0</v>
      </c>
      <c r="M1859" t="n">
        <v>0</v>
      </c>
      <c r="N1859" t="n">
        <v>0</v>
      </c>
      <c r="O1859" t="n">
        <v>0</v>
      </c>
      <c r="P1859" t="n">
        <v>0</v>
      </c>
      <c r="Q1859" t="n">
        <v>0</v>
      </c>
      <c r="R1859" t="n">
        <v>0</v>
      </c>
      <c r="S1859" t="n">
        <v>0</v>
      </c>
      <c r="T1859" t="n">
        <v>0</v>
      </c>
      <c r="U1859" t="n">
        <v>0</v>
      </c>
      <c r="V1859" s="2" t="inlineStr"/>
    </row>
    <row r="1860" ht="15" customHeight="1">
      <c r="A1860" t="inlineStr">
        <is>
          <t>A 24341-2023</t>
        </is>
      </c>
      <c r="B1860" t="inlineStr">
        <is>
          <t>avverkningsanmälan</t>
        </is>
      </c>
      <c r="C1860" t="inlineStr">
        <is>
          <t>Föryngringsavverkning</t>
        </is>
      </c>
      <c r="D1860" s="1" t="n">
        <v>45081</v>
      </c>
      <c r="E1860" s="1" t="n">
        <v>46323</v>
      </c>
      <c r="F1860" t="inlineStr">
        <is>
          <t>KALMAR LÄN</t>
        </is>
      </c>
      <c r="G1860" t="inlineStr">
        <is>
          <t>HULTSFRED</t>
        </is>
      </c>
      <c r="I1860" t="n">
        <v>2.5</v>
      </c>
      <c r="J1860" t="n">
        <v>0</v>
      </c>
      <c r="K1860" t="n">
        <v>0</v>
      </c>
      <c r="L1860" t="n">
        <v>0</v>
      </c>
      <c r="M1860" t="n">
        <v>0</v>
      </c>
      <c r="N1860" t="n">
        <v>0</v>
      </c>
      <c r="O1860" t="n">
        <v>0</v>
      </c>
      <c r="P1860" t="n">
        <v>0</v>
      </c>
      <c r="Q1860" t="n">
        <v>0</v>
      </c>
      <c r="R1860" t="n">
        <v>0</v>
      </c>
      <c r="S1860" t="n">
        <v>0</v>
      </c>
      <c r="T1860" t="n">
        <v>0</v>
      </c>
      <c r="U1860" t="n">
        <v>0</v>
      </c>
      <c r="V1860" s="2" t="inlineStr"/>
    </row>
    <row r="1861" ht="15" customHeight="1">
      <c r="A1861" t="inlineStr">
        <is>
          <t>A 19101-2023</t>
        </is>
      </c>
      <c r="B1861" t="inlineStr">
        <is>
          <t>avverkningsanmälan</t>
        </is>
      </c>
      <c r="C1861" t="inlineStr">
        <is>
          <t>Föryngringsavverkning</t>
        </is>
      </c>
      <c r="D1861" s="1" t="n">
        <v>45048</v>
      </c>
      <c r="E1861" s="1" t="n">
        <v>46323</v>
      </c>
      <c r="F1861" t="inlineStr">
        <is>
          <t>KALMAR LÄN</t>
        </is>
      </c>
      <c r="G1861" t="inlineStr">
        <is>
          <t>EMMABODA</t>
        </is>
      </c>
      <c r="I1861" t="n">
        <v>0.7</v>
      </c>
      <c r="J1861" t="n">
        <v>0</v>
      </c>
      <c r="K1861" t="n">
        <v>0</v>
      </c>
      <c r="L1861" t="n">
        <v>0</v>
      </c>
      <c r="M1861" t="n">
        <v>0</v>
      </c>
      <c r="N1861" t="n">
        <v>0</v>
      </c>
      <c r="O1861" t="n">
        <v>0</v>
      </c>
      <c r="P1861" t="n">
        <v>0</v>
      </c>
      <c r="Q1861" t="n">
        <v>0</v>
      </c>
      <c r="R1861" t="n">
        <v>0</v>
      </c>
      <c r="S1861" t="n">
        <v>0</v>
      </c>
      <c r="T1861" t="n">
        <v>0</v>
      </c>
      <c r="U1861" t="n">
        <v>0</v>
      </c>
      <c r="V1861" s="2" t="inlineStr"/>
    </row>
    <row r="1862" ht="15" customHeight="1">
      <c r="A1862" t="inlineStr">
        <is>
          <t>A 18847-2023</t>
        </is>
      </c>
      <c r="B1862" t="inlineStr">
        <is>
          <t>avverkningsanmälan</t>
        </is>
      </c>
      <c r="C1862" t="inlineStr">
        <is>
          <t>Föryngringsavverkning</t>
        </is>
      </c>
      <c r="D1862" s="1" t="n">
        <v>45044</v>
      </c>
      <c r="E1862" s="1" t="n">
        <v>46323</v>
      </c>
      <c r="F1862" t="inlineStr">
        <is>
          <t>KALMAR LÄN</t>
        </is>
      </c>
      <c r="G1862" t="inlineStr">
        <is>
          <t>KALMAR</t>
        </is>
      </c>
      <c r="I1862" t="n">
        <v>2.9</v>
      </c>
      <c r="J1862" t="n">
        <v>0</v>
      </c>
      <c r="K1862" t="n">
        <v>0</v>
      </c>
      <c r="L1862" t="n">
        <v>0</v>
      </c>
      <c r="M1862" t="n">
        <v>0</v>
      </c>
      <c r="N1862" t="n">
        <v>0</v>
      </c>
      <c r="O1862" t="n">
        <v>0</v>
      </c>
      <c r="P1862" t="n">
        <v>0</v>
      </c>
      <c r="Q1862" t="n">
        <v>0</v>
      </c>
      <c r="R1862" t="n">
        <v>0</v>
      </c>
      <c r="S1862" t="n">
        <v>0</v>
      </c>
      <c r="T1862" t="n">
        <v>0</v>
      </c>
      <c r="U1862" t="n">
        <v>0</v>
      </c>
      <c r="V1862" s="2" t="inlineStr"/>
    </row>
    <row r="1863" ht="15" customHeight="1">
      <c r="A1863" t="inlineStr">
        <is>
          <t>A 56293-2024</t>
        </is>
      </c>
      <c r="B1863" t="inlineStr">
        <is>
          <t>avverkningsanmälan</t>
        </is>
      </c>
      <c r="C1863" t="inlineStr">
        <is>
          <t>Föryngringsavverkning</t>
        </is>
      </c>
      <c r="D1863" s="1" t="n">
        <v>45624</v>
      </c>
      <c r="E1863" s="1" t="n">
        <v>46323</v>
      </c>
      <c r="F1863" t="inlineStr">
        <is>
          <t>KALMAR LÄN</t>
        </is>
      </c>
      <c r="G1863" t="inlineStr">
        <is>
          <t>KALMAR</t>
        </is>
      </c>
      <c r="I1863" t="n">
        <v>0.6</v>
      </c>
      <c r="J1863" t="n">
        <v>0</v>
      </c>
      <c r="K1863" t="n">
        <v>0</v>
      </c>
      <c r="L1863" t="n">
        <v>0</v>
      </c>
      <c r="M1863" t="n">
        <v>0</v>
      </c>
      <c r="N1863" t="n">
        <v>0</v>
      </c>
      <c r="O1863" t="n">
        <v>0</v>
      </c>
      <c r="P1863" t="n">
        <v>0</v>
      </c>
      <c r="Q1863" t="n">
        <v>0</v>
      </c>
      <c r="R1863" t="n">
        <v>0</v>
      </c>
      <c r="S1863" t="n">
        <v>0</v>
      </c>
      <c r="T1863" t="n">
        <v>0</v>
      </c>
      <c r="U1863" t="n">
        <v>0</v>
      </c>
      <c r="V1863" s="2" t="inlineStr"/>
    </row>
    <row r="1864" ht="15" customHeight="1">
      <c r="A1864" t="inlineStr">
        <is>
          <t>A 46964-2022</t>
        </is>
      </c>
      <c r="B1864" t="inlineStr">
        <is>
          <t>avverkningsanmälan</t>
        </is>
      </c>
      <c r="C1864" t="inlineStr">
        <is>
          <t>Föryngringsavverkning</t>
        </is>
      </c>
      <c r="D1864" s="1" t="n">
        <v>44851</v>
      </c>
      <c r="E1864" s="1" t="n">
        <v>46323</v>
      </c>
      <c r="F1864" t="inlineStr">
        <is>
          <t>KALMAR LÄN</t>
        </is>
      </c>
      <c r="G1864" t="inlineStr">
        <is>
          <t>VIMMERBY</t>
        </is>
      </c>
      <c r="I1864" t="n">
        <v>0.2</v>
      </c>
      <c r="J1864" t="n">
        <v>0</v>
      </c>
      <c r="K1864" t="n">
        <v>0</v>
      </c>
      <c r="L1864" t="n">
        <v>0</v>
      </c>
      <c r="M1864" t="n">
        <v>0</v>
      </c>
      <c r="N1864" t="n">
        <v>0</v>
      </c>
      <c r="O1864" t="n">
        <v>0</v>
      </c>
      <c r="P1864" t="n">
        <v>0</v>
      </c>
      <c r="Q1864" t="n">
        <v>0</v>
      </c>
      <c r="R1864" t="n">
        <v>0</v>
      </c>
      <c r="S1864" t="n">
        <v>0</v>
      </c>
      <c r="T1864" t="n">
        <v>0</v>
      </c>
      <c r="U1864" t="n">
        <v>0</v>
      </c>
      <c r="V1864" s="2" t="inlineStr"/>
    </row>
    <row r="1865" ht="15" customHeight="1">
      <c r="A1865" t="inlineStr">
        <is>
          <t>A 44490-2024</t>
        </is>
      </c>
      <c r="B1865" t="inlineStr">
        <is>
          <t>avverkningsanmälan</t>
        </is>
      </c>
      <c r="C1865" t="inlineStr">
        <is>
          <t>Föryngringsavverkning</t>
        </is>
      </c>
      <c r="D1865" s="1" t="n">
        <v>45574</v>
      </c>
      <c r="E1865" s="1" t="n">
        <v>46323</v>
      </c>
      <c r="F1865" t="inlineStr">
        <is>
          <t>KALMAR LÄN</t>
        </is>
      </c>
      <c r="G1865" t="inlineStr">
        <is>
          <t>EMMABODA</t>
        </is>
      </c>
      <c r="I1865" t="n">
        <v>1.7</v>
      </c>
      <c r="J1865" t="n">
        <v>0</v>
      </c>
      <c r="K1865" t="n">
        <v>0</v>
      </c>
      <c r="L1865" t="n">
        <v>0</v>
      </c>
      <c r="M1865" t="n">
        <v>0</v>
      </c>
      <c r="N1865" t="n">
        <v>0</v>
      </c>
      <c r="O1865" t="n">
        <v>0</v>
      </c>
      <c r="P1865" t="n">
        <v>0</v>
      </c>
      <c r="Q1865" t="n">
        <v>0</v>
      </c>
      <c r="R1865" t="n">
        <v>0</v>
      </c>
      <c r="S1865" t="n">
        <v>0</v>
      </c>
      <c r="T1865" t="n">
        <v>0</v>
      </c>
      <c r="U1865" t="n">
        <v>0</v>
      </c>
      <c r="V1865" s="2" t="inlineStr"/>
    </row>
    <row r="1866" ht="15" customHeight="1">
      <c r="A1866" t="inlineStr">
        <is>
          <t>A 43719-2023</t>
        </is>
      </c>
      <c r="B1866" t="inlineStr">
        <is>
          <t>avverkningsanmälan</t>
        </is>
      </c>
      <c r="C1866" t="inlineStr">
        <is>
          <t>Föryngringsavverkning</t>
        </is>
      </c>
      <c r="D1866" s="1" t="n">
        <v>45187</v>
      </c>
      <c r="E1866" s="1" t="n">
        <v>46323</v>
      </c>
      <c r="F1866" t="inlineStr">
        <is>
          <t>KALMAR LÄN</t>
        </is>
      </c>
      <c r="G1866" t="inlineStr">
        <is>
          <t>EMMABODA</t>
        </is>
      </c>
      <c r="I1866" t="n">
        <v>0.5</v>
      </c>
      <c r="J1866" t="n">
        <v>0</v>
      </c>
      <c r="K1866" t="n">
        <v>0</v>
      </c>
      <c r="L1866" t="n">
        <v>0</v>
      </c>
      <c r="M1866" t="n">
        <v>0</v>
      </c>
      <c r="N1866" t="n">
        <v>0</v>
      </c>
      <c r="O1866" t="n">
        <v>0</v>
      </c>
      <c r="P1866" t="n">
        <v>0</v>
      </c>
      <c r="Q1866" t="n">
        <v>0</v>
      </c>
      <c r="R1866" t="n">
        <v>0</v>
      </c>
      <c r="S1866" t="n">
        <v>0</v>
      </c>
      <c r="T1866" t="n">
        <v>0</v>
      </c>
      <c r="U1866" t="n">
        <v>0</v>
      </c>
      <c r="V1866" s="2" t="inlineStr"/>
    </row>
    <row r="1867" ht="15" customHeight="1">
      <c r="A1867" t="inlineStr">
        <is>
          <t>A 3185-2023</t>
        </is>
      </c>
      <c r="B1867" t="inlineStr">
        <is>
          <t>avverkningsanmälan</t>
        </is>
      </c>
      <c r="C1867" t="inlineStr">
        <is>
          <t>Föryngringsavverkning</t>
        </is>
      </c>
      <c r="D1867" s="1" t="n">
        <v>44946</v>
      </c>
      <c r="E1867" s="1" t="n">
        <v>46323</v>
      </c>
      <c r="F1867" t="inlineStr">
        <is>
          <t>KALMAR LÄN</t>
        </is>
      </c>
      <c r="G1867" t="inlineStr">
        <is>
          <t>VÄSTERVIK</t>
        </is>
      </c>
      <c r="I1867" t="n">
        <v>0.9</v>
      </c>
      <c r="J1867" t="n">
        <v>0</v>
      </c>
      <c r="K1867" t="n">
        <v>0</v>
      </c>
      <c r="L1867" t="n">
        <v>0</v>
      </c>
      <c r="M1867" t="n">
        <v>0</v>
      </c>
      <c r="N1867" t="n">
        <v>0</v>
      </c>
      <c r="O1867" t="n">
        <v>0</v>
      </c>
      <c r="P1867" t="n">
        <v>0</v>
      </c>
      <c r="Q1867" t="n">
        <v>0</v>
      </c>
      <c r="R1867" t="n">
        <v>0</v>
      </c>
      <c r="S1867" t="n">
        <v>0</v>
      </c>
      <c r="T1867" t="n">
        <v>0</v>
      </c>
      <c r="U1867" t="n">
        <v>0</v>
      </c>
      <c r="V1867" s="2" t="inlineStr"/>
    </row>
    <row r="1868" ht="15" customHeight="1">
      <c r="A1868" t="inlineStr">
        <is>
          <t>A 14096-2023</t>
        </is>
      </c>
      <c r="B1868" t="inlineStr">
        <is>
          <t>avverkningsanmälan</t>
        </is>
      </c>
      <c r="C1868" t="inlineStr">
        <is>
          <t>Föryngringsavverkning</t>
        </is>
      </c>
      <c r="D1868" s="1" t="n">
        <v>45009</v>
      </c>
      <c r="E1868" s="1" t="n">
        <v>46323</v>
      </c>
      <c r="F1868" t="inlineStr">
        <is>
          <t>KALMAR LÄN</t>
        </is>
      </c>
      <c r="G1868" t="inlineStr">
        <is>
          <t>EMMABODA</t>
        </is>
      </c>
      <c r="I1868" t="n">
        <v>0.5</v>
      </c>
      <c r="J1868" t="n">
        <v>0</v>
      </c>
      <c r="K1868" t="n">
        <v>0</v>
      </c>
      <c r="L1868" t="n">
        <v>0</v>
      </c>
      <c r="M1868" t="n">
        <v>0</v>
      </c>
      <c r="N1868" t="n">
        <v>0</v>
      </c>
      <c r="O1868" t="n">
        <v>0</v>
      </c>
      <c r="P1868" t="n">
        <v>0</v>
      </c>
      <c r="Q1868" t="n">
        <v>0</v>
      </c>
      <c r="R1868" t="n">
        <v>0</v>
      </c>
      <c r="S1868" t="n">
        <v>0</v>
      </c>
      <c r="T1868" t="n">
        <v>0</v>
      </c>
      <c r="U1868" t="n">
        <v>0</v>
      </c>
      <c r="V1868" s="2" t="inlineStr"/>
    </row>
    <row r="1869" ht="15" customHeight="1">
      <c r="A1869" t="inlineStr">
        <is>
          <t>A 43759-2023</t>
        </is>
      </c>
      <c r="B1869" t="inlineStr">
        <is>
          <t>avverkningsanmälan</t>
        </is>
      </c>
      <c r="C1869" t="inlineStr">
        <is>
          <t>Föryngringsavverkning</t>
        </is>
      </c>
      <c r="D1869" s="1" t="n">
        <v>45187</v>
      </c>
      <c r="E1869" s="1" t="n">
        <v>46323</v>
      </c>
      <c r="F1869" t="inlineStr">
        <is>
          <t>KALMAR LÄN</t>
        </is>
      </c>
      <c r="G1869" t="inlineStr">
        <is>
          <t>VÄSTERVIK</t>
        </is>
      </c>
      <c r="I1869" t="n">
        <v>3.3</v>
      </c>
      <c r="J1869" t="n">
        <v>0</v>
      </c>
      <c r="K1869" t="n">
        <v>0</v>
      </c>
      <c r="L1869" t="n">
        <v>0</v>
      </c>
      <c r="M1869" t="n">
        <v>0</v>
      </c>
      <c r="N1869" t="n">
        <v>0</v>
      </c>
      <c r="O1869" t="n">
        <v>0</v>
      </c>
      <c r="P1869" t="n">
        <v>0</v>
      </c>
      <c r="Q1869" t="n">
        <v>0</v>
      </c>
      <c r="R1869" t="n">
        <v>0</v>
      </c>
      <c r="S1869" t="n">
        <v>0</v>
      </c>
      <c r="T1869" t="n">
        <v>0</v>
      </c>
      <c r="U1869" t="n">
        <v>0</v>
      </c>
      <c r="V1869" s="2" t="inlineStr"/>
    </row>
    <row r="1870" ht="15" customHeight="1">
      <c r="A1870" t="inlineStr">
        <is>
          <t>A 14112-2023</t>
        </is>
      </c>
      <c r="B1870" t="inlineStr">
        <is>
          <t>avverkningsanmälan</t>
        </is>
      </c>
      <c r="C1870" t="inlineStr">
        <is>
          <t>Föryngringsavverkning</t>
        </is>
      </c>
      <c r="D1870" s="1" t="n">
        <v>45009</v>
      </c>
      <c r="E1870" s="1" t="n">
        <v>46323</v>
      </c>
      <c r="F1870" t="inlineStr">
        <is>
          <t>KALMAR LÄN</t>
        </is>
      </c>
      <c r="G1870" t="inlineStr">
        <is>
          <t>EMMABODA</t>
        </is>
      </c>
      <c r="I1870" t="n">
        <v>0.6</v>
      </c>
      <c r="J1870" t="n">
        <v>0</v>
      </c>
      <c r="K1870" t="n">
        <v>0</v>
      </c>
      <c r="L1870" t="n">
        <v>0</v>
      </c>
      <c r="M1870" t="n">
        <v>0</v>
      </c>
      <c r="N1870" t="n">
        <v>0</v>
      </c>
      <c r="O1870" t="n">
        <v>0</v>
      </c>
      <c r="P1870" t="n">
        <v>0</v>
      </c>
      <c r="Q1870" t="n">
        <v>0</v>
      </c>
      <c r="R1870" t="n">
        <v>0</v>
      </c>
      <c r="S1870" t="n">
        <v>0</v>
      </c>
      <c r="T1870" t="n">
        <v>0</v>
      </c>
      <c r="U1870" t="n">
        <v>0</v>
      </c>
      <c r="V1870" s="2" t="inlineStr"/>
    </row>
    <row r="1871" ht="15" customHeight="1">
      <c r="A1871" t="inlineStr">
        <is>
          <t>A 44535-2024</t>
        </is>
      </c>
      <c r="B1871" t="inlineStr">
        <is>
          <t>avverkningsanmälan</t>
        </is>
      </c>
      <c r="C1871" t="inlineStr">
        <is>
          <t>Föryngringsavverkning</t>
        </is>
      </c>
      <c r="D1871" s="1" t="n">
        <v>45574</v>
      </c>
      <c r="E1871" s="1" t="n">
        <v>46323</v>
      </c>
      <c r="F1871" t="inlineStr">
        <is>
          <t>KALMAR LÄN</t>
        </is>
      </c>
      <c r="G1871" t="inlineStr">
        <is>
          <t>MÖNSTERÅS</t>
        </is>
      </c>
      <c r="I1871" t="n">
        <v>2</v>
      </c>
      <c r="J1871" t="n">
        <v>0</v>
      </c>
      <c r="K1871" t="n">
        <v>0</v>
      </c>
      <c r="L1871" t="n">
        <v>0</v>
      </c>
      <c r="M1871" t="n">
        <v>0</v>
      </c>
      <c r="N1871" t="n">
        <v>0</v>
      </c>
      <c r="O1871" t="n">
        <v>0</v>
      </c>
      <c r="P1871" t="n">
        <v>0</v>
      </c>
      <c r="Q1871" t="n">
        <v>0</v>
      </c>
      <c r="R1871" t="n">
        <v>0</v>
      </c>
      <c r="S1871" t="n">
        <v>0</v>
      </c>
      <c r="T1871" t="n">
        <v>0</v>
      </c>
      <c r="U1871" t="n">
        <v>0</v>
      </c>
      <c r="V1871" s="2" t="inlineStr"/>
    </row>
    <row r="1872" ht="15" customHeight="1">
      <c r="A1872" t="inlineStr">
        <is>
          <t>A 51142-2024</t>
        </is>
      </c>
      <c r="B1872" t="inlineStr">
        <is>
          <t>avverkningsanmälan</t>
        </is>
      </c>
      <c r="C1872" t="inlineStr">
        <is>
          <t>Föryngringsavverkning</t>
        </is>
      </c>
      <c r="D1872" s="1" t="n">
        <v>45603</v>
      </c>
      <c r="E1872" s="1" t="n">
        <v>46323</v>
      </c>
      <c r="F1872" t="inlineStr">
        <is>
          <t>KALMAR LÄN</t>
        </is>
      </c>
      <c r="G1872" t="inlineStr">
        <is>
          <t>OSKARSHAMN</t>
        </is>
      </c>
      <c r="I1872" t="n">
        <v>0.7</v>
      </c>
      <c r="J1872" t="n">
        <v>0</v>
      </c>
      <c r="K1872" t="n">
        <v>0</v>
      </c>
      <c r="L1872" t="n">
        <v>0</v>
      </c>
      <c r="M1872" t="n">
        <v>0</v>
      </c>
      <c r="N1872" t="n">
        <v>0</v>
      </c>
      <c r="O1872" t="n">
        <v>0</v>
      </c>
      <c r="P1872" t="n">
        <v>0</v>
      </c>
      <c r="Q1872" t="n">
        <v>0</v>
      </c>
      <c r="R1872" t="n">
        <v>0</v>
      </c>
      <c r="S1872" t="n">
        <v>0</v>
      </c>
      <c r="T1872" t="n">
        <v>0</v>
      </c>
      <c r="U1872" t="n">
        <v>0</v>
      </c>
      <c r="V1872" s="2" t="inlineStr"/>
    </row>
    <row r="1873" ht="15" customHeight="1">
      <c r="A1873" t="inlineStr">
        <is>
          <t>A 69212-2021</t>
        </is>
      </c>
      <c r="B1873" t="inlineStr">
        <is>
          <t>avverkningsanmälan</t>
        </is>
      </c>
      <c r="C1873" t="inlineStr">
        <is>
          <t>Föryngringsavverkning</t>
        </is>
      </c>
      <c r="D1873" s="1" t="n">
        <v>44531</v>
      </c>
      <c r="E1873" s="1" t="n">
        <v>46323</v>
      </c>
      <c r="F1873" t="inlineStr">
        <is>
          <t>KALMAR LÄN</t>
        </is>
      </c>
      <c r="G1873" t="inlineStr">
        <is>
          <t>HULTSFRED</t>
        </is>
      </c>
      <c r="I1873" t="n">
        <v>1.1</v>
      </c>
      <c r="J1873" t="n">
        <v>0</v>
      </c>
      <c r="K1873" t="n">
        <v>0</v>
      </c>
      <c r="L1873" t="n">
        <v>0</v>
      </c>
      <c r="M1873" t="n">
        <v>0</v>
      </c>
      <c r="N1873" t="n">
        <v>0</v>
      </c>
      <c r="O1873" t="n">
        <v>0</v>
      </c>
      <c r="P1873" t="n">
        <v>0</v>
      </c>
      <c r="Q1873" t="n">
        <v>0</v>
      </c>
      <c r="R1873" t="n">
        <v>0</v>
      </c>
      <c r="S1873" t="n">
        <v>0</v>
      </c>
      <c r="T1873" t="n">
        <v>0</v>
      </c>
      <c r="U1873" t="n">
        <v>0</v>
      </c>
      <c r="V1873" s="2" t="inlineStr"/>
    </row>
    <row r="1874" ht="15" customHeight="1">
      <c r="A1874" t="inlineStr">
        <is>
          <t>A 34344-2023</t>
        </is>
      </c>
      <c r="B1874" t="inlineStr">
        <is>
          <t>avverkningsanmälan</t>
        </is>
      </c>
      <c r="C1874" t="inlineStr">
        <is>
          <t>Avverkning för annat ändamål</t>
        </is>
      </c>
      <c r="D1874" s="1" t="n">
        <v>45139</v>
      </c>
      <c r="E1874" s="1" t="n">
        <v>46323</v>
      </c>
      <c r="F1874" t="inlineStr">
        <is>
          <t>KALMAR LÄN</t>
        </is>
      </c>
      <c r="G1874" t="inlineStr">
        <is>
          <t>MÖNSTERÅS</t>
        </is>
      </c>
      <c r="I1874" t="n">
        <v>0.5</v>
      </c>
      <c r="J1874" t="n">
        <v>0</v>
      </c>
      <c r="K1874" t="n">
        <v>0</v>
      </c>
      <c r="L1874" t="n">
        <v>0</v>
      </c>
      <c r="M1874" t="n">
        <v>0</v>
      </c>
      <c r="N1874" t="n">
        <v>0</v>
      </c>
      <c r="O1874" t="n">
        <v>0</v>
      </c>
      <c r="P1874" t="n">
        <v>0</v>
      </c>
      <c r="Q1874" t="n">
        <v>0</v>
      </c>
      <c r="R1874" t="n">
        <v>0</v>
      </c>
      <c r="S1874" t="n">
        <v>0</v>
      </c>
      <c r="T1874" t="n">
        <v>0</v>
      </c>
      <c r="U1874" t="n">
        <v>0</v>
      </c>
      <c r="V1874" s="2" t="inlineStr"/>
    </row>
    <row r="1875" ht="15" customHeight="1">
      <c r="A1875" t="inlineStr">
        <is>
          <t>A 58208-2023</t>
        </is>
      </c>
      <c r="B1875" t="inlineStr">
        <is>
          <t>avverkningsanmälan</t>
        </is>
      </c>
      <c r="C1875" t="inlineStr">
        <is>
          <t>Föryngringsavverkning</t>
        </is>
      </c>
      <c r="D1875" s="1" t="n">
        <v>45250</v>
      </c>
      <c r="E1875" s="1" t="n">
        <v>46323</v>
      </c>
      <c r="F1875" t="inlineStr">
        <is>
          <t>KALMAR LÄN</t>
        </is>
      </c>
      <c r="G1875" t="inlineStr">
        <is>
          <t>HULTSFRED</t>
        </is>
      </c>
      <c r="I1875" t="n">
        <v>3.1</v>
      </c>
      <c r="J1875" t="n">
        <v>0</v>
      </c>
      <c r="K1875" t="n">
        <v>0</v>
      </c>
      <c r="L1875" t="n">
        <v>0</v>
      </c>
      <c r="M1875" t="n">
        <v>0</v>
      </c>
      <c r="N1875" t="n">
        <v>0</v>
      </c>
      <c r="O1875" t="n">
        <v>0</v>
      </c>
      <c r="P1875" t="n">
        <v>0</v>
      </c>
      <c r="Q1875" t="n">
        <v>0</v>
      </c>
      <c r="R1875" t="n">
        <v>0</v>
      </c>
      <c r="S1875" t="n">
        <v>0</v>
      </c>
      <c r="T1875" t="n">
        <v>0</v>
      </c>
      <c r="U1875" t="n">
        <v>0</v>
      </c>
      <c r="V1875" s="2" t="inlineStr"/>
    </row>
    <row r="1876" ht="15" customHeight="1">
      <c r="A1876" t="inlineStr">
        <is>
          <t>A 55697-2023</t>
        </is>
      </c>
      <c r="B1876" t="inlineStr">
        <is>
          <t>avverkningsanmälan</t>
        </is>
      </c>
      <c r="C1876" t="inlineStr">
        <is>
          <t>Föryngringsavverkning</t>
        </is>
      </c>
      <c r="D1876" s="1" t="n">
        <v>45239</v>
      </c>
      <c r="E1876" s="1" t="n">
        <v>46323</v>
      </c>
      <c r="F1876" t="inlineStr">
        <is>
          <t>KALMAR LÄN</t>
        </is>
      </c>
      <c r="G1876" t="inlineStr">
        <is>
          <t>HÖGSBY</t>
        </is>
      </c>
      <c r="I1876" t="n">
        <v>3</v>
      </c>
      <c r="J1876" t="n">
        <v>0</v>
      </c>
      <c r="K1876" t="n">
        <v>0</v>
      </c>
      <c r="L1876" t="n">
        <v>0</v>
      </c>
      <c r="M1876" t="n">
        <v>0</v>
      </c>
      <c r="N1876" t="n">
        <v>0</v>
      </c>
      <c r="O1876" t="n">
        <v>0</v>
      </c>
      <c r="P1876" t="n">
        <v>0</v>
      </c>
      <c r="Q1876" t="n">
        <v>0</v>
      </c>
      <c r="R1876" t="n">
        <v>0</v>
      </c>
      <c r="S1876" t="n">
        <v>0</v>
      </c>
      <c r="T1876" t="n">
        <v>0</v>
      </c>
      <c r="U1876" t="n">
        <v>0</v>
      </c>
      <c r="V1876" s="2" t="inlineStr"/>
    </row>
    <row r="1877" ht="15" customHeight="1">
      <c r="A1877" t="inlineStr">
        <is>
          <t>A 51135-2023</t>
        </is>
      </c>
      <c r="B1877" t="inlineStr">
        <is>
          <t>avverkningsanmälan</t>
        </is>
      </c>
      <c r="C1877" t="inlineStr">
        <is>
          <t>Avverkning för annat ändamål</t>
        </is>
      </c>
      <c r="D1877" s="1" t="n">
        <v>45219</v>
      </c>
      <c r="E1877" s="1" t="n">
        <v>46323</v>
      </c>
      <c r="F1877" t="inlineStr">
        <is>
          <t>KALMAR LÄN</t>
        </is>
      </c>
      <c r="G1877" t="inlineStr">
        <is>
          <t>EMMABODA</t>
        </is>
      </c>
      <c r="I1877" t="n">
        <v>0.6</v>
      </c>
      <c r="J1877" t="n">
        <v>0</v>
      </c>
      <c r="K1877" t="n">
        <v>0</v>
      </c>
      <c r="L1877" t="n">
        <v>0</v>
      </c>
      <c r="M1877" t="n">
        <v>0</v>
      </c>
      <c r="N1877" t="n">
        <v>0</v>
      </c>
      <c r="O1877" t="n">
        <v>0</v>
      </c>
      <c r="P1877" t="n">
        <v>0</v>
      </c>
      <c r="Q1877" t="n">
        <v>0</v>
      </c>
      <c r="R1877" t="n">
        <v>0</v>
      </c>
      <c r="S1877" t="n">
        <v>0</v>
      </c>
      <c r="T1877" t="n">
        <v>0</v>
      </c>
      <c r="U1877" t="n">
        <v>0</v>
      </c>
      <c r="V1877" s="2" t="inlineStr"/>
    </row>
    <row r="1878" ht="15" customHeight="1">
      <c r="A1878" t="inlineStr">
        <is>
          <t>A 44779-2023</t>
        </is>
      </c>
      <c r="B1878" t="inlineStr">
        <is>
          <t>avverkningsanmälan</t>
        </is>
      </c>
      <c r="C1878" t="inlineStr">
        <is>
          <t>Avverkning för annat ändamål</t>
        </is>
      </c>
      <c r="D1878" s="1" t="n">
        <v>45190</v>
      </c>
      <c r="E1878" s="1" t="n">
        <v>46323</v>
      </c>
      <c r="F1878" t="inlineStr">
        <is>
          <t>KALMAR LÄN</t>
        </is>
      </c>
      <c r="G1878" t="inlineStr">
        <is>
          <t>NYBRO</t>
        </is>
      </c>
      <c r="I1878" t="n">
        <v>0.3</v>
      </c>
      <c r="J1878" t="n">
        <v>0</v>
      </c>
      <c r="K1878" t="n">
        <v>0</v>
      </c>
      <c r="L1878" t="n">
        <v>0</v>
      </c>
      <c r="M1878" t="n">
        <v>0</v>
      </c>
      <c r="N1878" t="n">
        <v>0</v>
      </c>
      <c r="O1878" t="n">
        <v>0</v>
      </c>
      <c r="P1878" t="n">
        <v>0</v>
      </c>
      <c r="Q1878" t="n">
        <v>0</v>
      </c>
      <c r="R1878" t="n">
        <v>0</v>
      </c>
      <c r="S1878" t="n">
        <v>0</v>
      </c>
      <c r="T1878" t="n">
        <v>0</v>
      </c>
      <c r="U1878" t="n">
        <v>0</v>
      </c>
      <c r="V1878" s="2" t="inlineStr"/>
    </row>
    <row r="1879" ht="15" customHeight="1">
      <c r="A1879" t="inlineStr">
        <is>
          <t>A 52880-2024</t>
        </is>
      </c>
      <c r="B1879" t="inlineStr">
        <is>
          <t>avverkningsanmälan</t>
        </is>
      </c>
      <c r="C1879" t="inlineStr">
        <is>
          <t>Föryngringsavverkning</t>
        </is>
      </c>
      <c r="D1879" s="1" t="n">
        <v>45610</v>
      </c>
      <c r="E1879" s="1" t="n">
        <v>46323</v>
      </c>
      <c r="F1879" t="inlineStr">
        <is>
          <t>KALMAR LÄN</t>
        </is>
      </c>
      <c r="G1879" t="inlineStr">
        <is>
          <t>HULTSFRED</t>
        </is>
      </c>
      <c r="I1879" t="n">
        <v>1.5</v>
      </c>
      <c r="J1879" t="n">
        <v>0</v>
      </c>
      <c r="K1879" t="n">
        <v>0</v>
      </c>
      <c r="L1879" t="n">
        <v>0</v>
      </c>
      <c r="M1879" t="n">
        <v>0</v>
      </c>
      <c r="N1879" t="n">
        <v>0</v>
      </c>
      <c r="O1879" t="n">
        <v>0</v>
      </c>
      <c r="P1879" t="n">
        <v>0</v>
      </c>
      <c r="Q1879" t="n">
        <v>0</v>
      </c>
      <c r="R1879" t="n">
        <v>0</v>
      </c>
      <c r="S1879" t="n">
        <v>0</v>
      </c>
      <c r="T1879" t="n">
        <v>0</v>
      </c>
      <c r="U1879" t="n">
        <v>0</v>
      </c>
      <c r="V1879" s="2" t="inlineStr"/>
    </row>
    <row r="1880" ht="15" customHeight="1">
      <c r="A1880" t="inlineStr">
        <is>
          <t>A 22539-2022</t>
        </is>
      </c>
      <c r="B1880" t="inlineStr">
        <is>
          <t>avverkningsanmälan</t>
        </is>
      </c>
      <c r="C1880" t="inlineStr">
        <is>
          <t>Föryngringsavverkning</t>
        </is>
      </c>
      <c r="D1880" s="1" t="n">
        <v>44713</v>
      </c>
      <c r="E1880" s="1" t="n">
        <v>46323</v>
      </c>
      <c r="F1880" t="inlineStr">
        <is>
          <t>KALMAR LÄN</t>
        </is>
      </c>
      <c r="G1880" t="inlineStr">
        <is>
          <t>OSKARSHAMN</t>
        </is>
      </c>
      <c r="I1880" t="n">
        <v>1.7</v>
      </c>
      <c r="J1880" t="n">
        <v>0</v>
      </c>
      <c r="K1880" t="n">
        <v>0</v>
      </c>
      <c r="L1880" t="n">
        <v>0</v>
      </c>
      <c r="M1880" t="n">
        <v>0</v>
      </c>
      <c r="N1880" t="n">
        <v>0</v>
      </c>
      <c r="O1880" t="n">
        <v>0</v>
      </c>
      <c r="P1880" t="n">
        <v>0</v>
      </c>
      <c r="Q1880" t="n">
        <v>0</v>
      </c>
      <c r="R1880" t="n">
        <v>0</v>
      </c>
      <c r="S1880" t="n">
        <v>0</v>
      </c>
      <c r="T1880" t="n">
        <v>0</v>
      </c>
      <c r="U1880" t="n">
        <v>0</v>
      </c>
      <c r="V1880" s="2" t="inlineStr"/>
    </row>
    <row r="1881" ht="15" customHeight="1">
      <c r="A1881" t="inlineStr">
        <is>
          <t>A 29755-2023</t>
        </is>
      </c>
      <c r="B1881" t="inlineStr">
        <is>
          <t>avverkningsanmälan</t>
        </is>
      </c>
      <c r="C1881" t="inlineStr">
        <is>
          <t>Föryngringsavverkning</t>
        </is>
      </c>
      <c r="D1881" s="1" t="n">
        <v>45107</v>
      </c>
      <c r="E1881" s="1" t="n">
        <v>46323</v>
      </c>
      <c r="F1881" t="inlineStr">
        <is>
          <t>KALMAR LÄN</t>
        </is>
      </c>
      <c r="G1881" t="inlineStr">
        <is>
          <t>EMMABODA</t>
        </is>
      </c>
      <c r="I1881" t="n">
        <v>0.5</v>
      </c>
      <c r="J1881" t="n">
        <v>0</v>
      </c>
      <c r="K1881" t="n">
        <v>0</v>
      </c>
      <c r="L1881" t="n">
        <v>0</v>
      </c>
      <c r="M1881" t="n">
        <v>0</v>
      </c>
      <c r="N1881" t="n">
        <v>0</v>
      </c>
      <c r="O1881" t="n">
        <v>0</v>
      </c>
      <c r="P1881" t="n">
        <v>0</v>
      </c>
      <c r="Q1881" t="n">
        <v>0</v>
      </c>
      <c r="R1881" t="n">
        <v>0</v>
      </c>
      <c r="S1881" t="n">
        <v>0</v>
      </c>
      <c r="T1881" t="n">
        <v>0</v>
      </c>
      <c r="U1881" t="n">
        <v>0</v>
      </c>
      <c r="V1881" s="2" t="inlineStr"/>
    </row>
    <row r="1882" ht="15" customHeight="1">
      <c r="A1882" t="inlineStr">
        <is>
          <t>A 55174-2023</t>
        </is>
      </c>
      <c r="B1882" t="inlineStr">
        <is>
          <t>avverkningsanmälan</t>
        </is>
      </c>
      <c r="C1882" t="inlineStr">
        <is>
          <t>Föryngringsavverkning</t>
        </is>
      </c>
      <c r="D1882" s="1" t="n">
        <v>45237</v>
      </c>
      <c r="E1882" s="1" t="n">
        <v>46323</v>
      </c>
      <c r="F1882" t="inlineStr">
        <is>
          <t>KALMAR LÄN</t>
        </is>
      </c>
      <c r="G1882" t="inlineStr">
        <is>
          <t>EMMABODA</t>
        </is>
      </c>
      <c r="I1882" t="n">
        <v>0.6</v>
      </c>
      <c r="J1882" t="n">
        <v>0</v>
      </c>
      <c r="K1882" t="n">
        <v>0</v>
      </c>
      <c r="L1882" t="n">
        <v>0</v>
      </c>
      <c r="M1882" t="n">
        <v>0</v>
      </c>
      <c r="N1882" t="n">
        <v>0</v>
      </c>
      <c r="O1882" t="n">
        <v>0</v>
      </c>
      <c r="P1882" t="n">
        <v>0</v>
      </c>
      <c r="Q1882" t="n">
        <v>0</v>
      </c>
      <c r="R1882" t="n">
        <v>0</v>
      </c>
      <c r="S1882" t="n">
        <v>0</v>
      </c>
      <c r="T1882" t="n">
        <v>0</v>
      </c>
      <c r="U1882" t="n">
        <v>0</v>
      </c>
      <c r="V1882" s="2" t="inlineStr"/>
    </row>
    <row r="1883" ht="15" customHeight="1">
      <c r="A1883" t="inlineStr">
        <is>
          <t>A 22278-2022</t>
        </is>
      </c>
      <c r="B1883" t="inlineStr">
        <is>
          <t>avverkningsanmälan</t>
        </is>
      </c>
      <c r="C1883" t="inlineStr">
        <is>
          <t>Föryngringsavverkning</t>
        </is>
      </c>
      <c r="D1883" s="1" t="n">
        <v>44712</v>
      </c>
      <c r="E1883" s="1" t="n">
        <v>46323</v>
      </c>
      <c r="F1883" t="inlineStr">
        <is>
          <t>KALMAR LÄN</t>
        </is>
      </c>
      <c r="G1883" t="inlineStr">
        <is>
          <t>OSKARSHAMN</t>
        </is>
      </c>
      <c r="I1883" t="n">
        <v>0.9</v>
      </c>
      <c r="J1883" t="n">
        <v>0</v>
      </c>
      <c r="K1883" t="n">
        <v>0</v>
      </c>
      <c r="L1883" t="n">
        <v>0</v>
      </c>
      <c r="M1883" t="n">
        <v>0</v>
      </c>
      <c r="N1883" t="n">
        <v>0</v>
      </c>
      <c r="O1883" t="n">
        <v>0</v>
      </c>
      <c r="P1883" t="n">
        <v>0</v>
      </c>
      <c r="Q1883" t="n">
        <v>0</v>
      </c>
      <c r="R1883" t="n">
        <v>0</v>
      </c>
      <c r="S1883" t="n">
        <v>0</v>
      </c>
      <c r="T1883" t="n">
        <v>0</v>
      </c>
      <c r="U1883" t="n">
        <v>0</v>
      </c>
      <c r="V1883" s="2" t="inlineStr"/>
    </row>
    <row r="1884" ht="15" customHeight="1">
      <c r="A1884" t="inlineStr">
        <is>
          <t>A 6216-2024</t>
        </is>
      </c>
      <c r="B1884" t="inlineStr">
        <is>
          <t>avverkningsanmälan</t>
        </is>
      </c>
      <c r="C1884" t="inlineStr">
        <is>
          <t>Föryngringsavverkning</t>
        </is>
      </c>
      <c r="D1884" s="1" t="n">
        <v>45337</v>
      </c>
      <c r="E1884" s="1" t="n">
        <v>46323</v>
      </c>
      <c r="F1884" t="inlineStr">
        <is>
          <t>KALMAR LÄN</t>
        </is>
      </c>
      <c r="G1884" t="inlineStr">
        <is>
          <t>HÖGSBY</t>
        </is>
      </c>
      <c r="I1884" t="n">
        <v>1.6</v>
      </c>
      <c r="J1884" t="n">
        <v>0</v>
      </c>
      <c r="K1884" t="n">
        <v>0</v>
      </c>
      <c r="L1884" t="n">
        <v>0</v>
      </c>
      <c r="M1884" t="n">
        <v>0</v>
      </c>
      <c r="N1884" t="n">
        <v>0</v>
      </c>
      <c r="O1884" t="n">
        <v>0</v>
      </c>
      <c r="P1884" t="n">
        <v>0</v>
      </c>
      <c r="Q1884" t="n">
        <v>0</v>
      </c>
      <c r="R1884" t="n">
        <v>0</v>
      </c>
      <c r="S1884" t="n">
        <v>0</v>
      </c>
      <c r="T1884" t="n">
        <v>0</v>
      </c>
      <c r="U1884" t="n">
        <v>0</v>
      </c>
      <c r="V1884" s="2" t="inlineStr"/>
    </row>
    <row r="1885" ht="15" customHeight="1">
      <c r="A1885" t="inlineStr">
        <is>
          <t>A 29557-2023</t>
        </is>
      </c>
      <c r="B1885" t="inlineStr">
        <is>
          <t>avverkningsanmälan</t>
        </is>
      </c>
      <c r="C1885" t="inlineStr">
        <is>
          <t>Föryngringsavverkning</t>
        </is>
      </c>
      <c r="D1885" s="1" t="n">
        <v>45106</v>
      </c>
      <c r="E1885" s="1" t="n">
        <v>46323</v>
      </c>
      <c r="F1885" t="inlineStr">
        <is>
          <t>KALMAR LÄN</t>
        </is>
      </c>
      <c r="G1885" t="inlineStr">
        <is>
          <t>NYBRO</t>
        </is>
      </c>
      <c r="I1885" t="n">
        <v>2</v>
      </c>
      <c r="J1885" t="n">
        <v>0</v>
      </c>
      <c r="K1885" t="n">
        <v>0</v>
      </c>
      <c r="L1885" t="n">
        <v>0</v>
      </c>
      <c r="M1885" t="n">
        <v>0</v>
      </c>
      <c r="N1885" t="n">
        <v>0</v>
      </c>
      <c r="O1885" t="n">
        <v>0</v>
      </c>
      <c r="P1885" t="n">
        <v>0</v>
      </c>
      <c r="Q1885" t="n">
        <v>0</v>
      </c>
      <c r="R1885" t="n">
        <v>0</v>
      </c>
      <c r="S1885" t="n">
        <v>0</v>
      </c>
      <c r="T1885" t="n">
        <v>0</v>
      </c>
      <c r="U1885" t="n">
        <v>0</v>
      </c>
      <c r="V1885" s="2" t="inlineStr"/>
    </row>
    <row r="1886" ht="15" customHeight="1">
      <c r="A1886" t="inlineStr">
        <is>
          <t>A 9042-2023</t>
        </is>
      </c>
      <c r="B1886" t="inlineStr">
        <is>
          <t>avverkningsanmälan</t>
        </is>
      </c>
      <c r="C1886" t="inlineStr">
        <is>
          <t>Föryngringsavverkning</t>
        </is>
      </c>
      <c r="D1886" s="1" t="n">
        <v>44979</v>
      </c>
      <c r="E1886" s="1" t="n">
        <v>46323</v>
      </c>
      <c r="F1886" t="inlineStr">
        <is>
          <t>KALMAR LÄN</t>
        </is>
      </c>
      <c r="G1886" t="inlineStr">
        <is>
          <t>VÄSTERVIK</t>
        </is>
      </c>
      <c r="I1886" t="n">
        <v>1.7</v>
      </c>
      <c r="J1886" t="n">
        <v>0</v>
      </c>
      <c r="K1886" t="n">
        <v>0</v>
      </c>
      <c r="L1886" t="n">
        <v>0</v>
      </c>
      <c r="M1886" t="n">
        <v>0</v>
      </c>
      <c r="N1886" t="n">
        <v>0</v>
      </c>
      <c r="O1886" t="n">
        <v>0</v>
      </c>
      <c r="P1886" t="n">
        <v>0</v>
      </c>
      <c r="Q1886" t="n">
        <v>0</v>
      </c>
      <c r="R1886" t="n">
        <v>0</v>
      </c>
      <c r="S1886" t="n">
        <v>0</v>
      </c>
      <c r="T1886" t="n">
        <v>0</v>
      </c>
      <c r="U1886" t="n">
        <v>0</v>
      </c>
      <c r="V1886" s="2" t="inlineStr"/>
    </row>
    <row r="1887" ht="15" customHeight="1">
      <c r="A1887" t="inlineStr">
        <is>
          <t>A 3376-2023</t>
        </is>
      </c>
      <c r="B1887" t="inlineStr">
        <is>
          <t>avverkningsanmälan</t>
        </is>
      </c>
      <c r="C1887" t="inlineStr">
        <is>
          <t>Föryngringsavverkning</t>
        </is>
      </c>
      <c r="D1887" s="1" t="n">
        <v>44949</v>
      </c>
      <c r="E1887" s="1" t="n">
        <v>46323</v>
      </c>
      <c r="F1887" t="inlineStr">
        <is>
          <t>KALMAR LÄN</t>
        </is>
      </c>
      <c r="G1887" t="inlineStr">
        <is>
          <t>TORSÅS</t>
        </is>
      </c>
      <c r="I1887" t="n">
        <v>1.3</v>
      </c>
      <c r="J1887" t="n">
        <v>0</v>
      </c>
      <c r="K1887" t="n">
        <v>0</v>
      </c>
      <c r="L1887" t="n">
        <v>0</v>
      </c>
      <c r="M1887" t="n">
        <v>0</v>
      </c>
      <c r="N1887" t="n">
        <v>0</v>
      </c>
      <c r="O1887" t="n">
        <v>0</v>
      </c>
      <c r="P1887" t="n">
        <v>0</v>
      </c>
      <c r="Q1887" t="n">
        <v>0</v>
      </c>
      <c r="R1887" t="n">
        <v>0</v>
      </c>
      <c r="S1887" t="n">
        <v>0</v>
      </c>
      <c r="T1887" t="n">
        <v>0</v>
      </c>
      <c r="U1887" t="n">
        <v>0</v>
      </c>
      <c r="V1887" s="2" t="inlineStr"/>
    </row>
    <row r="1888" ht="15" customHeight="1">
      <c r="A1888" t="inlineStr">
        <is>
          <t>A 19479-2023</t>
        </is>
      </c>
      <c r="B1888" t="inlineStr">
        <is>
          <t>avverkningsanmälan</t>
        </is>
      </c>
      <c r="C1888" t="inlineStr">
        <is>
          <t>Föryngringsavverkning</t>
        </is>
      </c>
      <c r="D1888" s="1" t="n">
        <v>45050</v>
      </c>
      <c r="E1888" s="1" t="n">
        <v>46323</v>
      </c>
      <c r="F1888" t="inlineStr">
        <is>
          <t>KALMAR LÄN</t>
        </is>
      </c>
      <c r="G1888" t="inlineStr">
        <is>
          <t>HULTSFRED</t>
        </is>
      </c>
      <c r="I1888" t="n">
        <v>1.1</v>
      </c>
      <c r="J1888" t="n">
        <v>0</v>
      </c>
      <c r="K1888" t="n">
        <v>0</v>
      </c>
      <c r="L1888" t="n">
        <v>0</v>
      </c>
      <c r="M1888" t="n">
        <v>0</v>
      </c>
      <c r="N1888" t="n">
        <v>0</v>
      </c>
      <c r="O1888" t="n">
        <v>0</v>
      </c>
      <c r="P1888" t="n">
        <v>0</v>
      </c>
      <c r="Q1888" t="n">
        <v>0</v>
      </c>
      <c r="R1888" t="n">
        <v>0</v>
      </c>
      <c r="S1888" t="n">
        <v>0</v>
      </c>
      <c r="T1888" t="n">
        <v>0</v>
      </c>
      <c r="U1888" t="n">
        <v>0</v>
      </c>
      <c r="V1888" s="2" t="inlineStr"/>
    </row>
    <row r="1889" ht="15" customHeight="1">
      <c r="A1889" t="inlineStr">
        <is>
          <t>A 5755-2023</t>
        </is>
      </c>
      <c r="B1889" t="inlineStr">
        <is>
          <t>avverkningsanmälan</t>
        </is>
      </c>
      <c r="C1889" t="inlineStr">
        <is>
          <t>Föryngringsavverkning</t>
        </is>
      </c>
      <c r="D1889" s="1" t="n">
        <v>44963</v>
      </c>
      <c r="E1889" s="1" t="n">
        <v>46323</v>
      </c>
      <c r="F1889" t="inlineStr">
        <is>
          <t>KALMAR LÄN</t>
        </is>
      </c>
      <c r="G1889" t="inlineStr">
        <is>
          <t>HULTSFRED</t>
        </is>
      </c>
      <c r="I1889" t="n">
        <v>1.1</v>
      </c>
      <c r="J1889" t="n">
        <v>0</v>
      </c>
      <c r="K1889" t="n">
        <v>0</v>
      </c>
      <c r="L1889" t="n">
        <v>0</v>
      </c>
      <c r="M1889" t="n">
        <v>0</v>
      </c>
      <c r="N1889" t="n">
        <v>0</v>
      </c>
      <c r="O1889" t="n">
        <v>0</v>
      </c>
      <c r="P1889" t="n">
        <v>0</v>
      </c>
      <c r="Q1889" t="n">
        <v>0</v>
      </c>
      <c r="R1889" t="n">
        <v>0</v>
      </c>
      <c r="S1889" t="n">
        <v>0</v>
      </c>
      <c r="T1889" t="n">
        <v>0</v>
      </c>
      <c r="U1889" t="n">
        <v>0</v>
      </c>
      <c r="V1889" s="2" t="inlineStr"/>
    </row>
    <row r="1890" ht="15" customHeight="1">
      <c r="A1890" t="inlineStr">
        <is>
          <t>A 39201-2022</t>
        </is>
      </c>
      <c r="B1890" t="inlineStr">
        <is>
          <t>avverkningsanmälan</t>
        </is>
      </c>
      <c r="C1890" t="inlineStr">
        <is>
          <t>Föryngringsavverkning</t>
        </is>
      </c>
      <c r="D1890" s="1" t="n">
        <v>44817</v>
      </c>
      <c r="E1890" s="1" t="n">
        <v>46323</v>
      </c>
      <c r="F1890" t="inlineStr">
        <is>
          <t>KALMAR LÄN</t>
        </is>
      </c>
      <c r="G1890" t="inlineStr">
        <is>
          <t>OSKARSHAMN</t>
        </is>
      </c>
      <c r="I1890" t="n">
        <v>1.7</v>
      </c>
      <c r="J1890" t="n">
        <v>0</v>
      </c>
      <c r="K1890" t="n">
        <v>0</v>
      </c>
      <c r="L1890" t="n">
        <v>0</v>
      </c>
      <c r="M1890" t="n">
        <v>0</v>
      </c>
      <c r="N1890" t="n">
        <v>0</v>
      </c>
      <c r="O1890" t="n">
        <v>0</v>
      </c>
      <c r="P1890" t="n">
        <v>0</v>
      </c>
      <c r="Q1890" t="n">
        <v>0</v>
      </c>
      <c r="R1890" t="n">
        <v>0</v>
      </c>
      <c r="S1890" t="n">
        <v>0</v>
      </c>
      <c r="T1890" t="n">
        <v>0</v>
      </c>
      <c r="U1890" t="n">
        <v>0</v>
      </c>
      <c r="V1890" s="2" t="inlineStr"/>
    </row>
    <row r="1891" ht="15" customHeight="1">
      <c r="A1891" t="inlineStr">
        <is>
          <t>A 3999-2023</t>
        </is>
      </c>
      <c r="B1891" t="inlineStr">
        <is>
          <t>avverkningsanmälan</t>
        </is>
      </c>
      <c r="C1891" t="inlineStr">
        <is>
          <t>Föryngringsavverkning</t>
        </is>
      </c>
      <c r="D1891" s="1" t="n">
        <v>44952</v>
      </c>
      <c r="E1891" s="1" t="n">
        <v>46323</v>
      </c>
      <c r="F1891" t="inlineStr">
        <is>
          <t>KALMAR LÄN</t>
        </is>
      </c>
      <c r="G1891" t="inlineStr">
        <is>
          <t>HULTSFRED</t>
        </is>
      </c>
      <c r="I1891" t="n">
        <v>0.6</v>
      </c>
      <c r="J1891" t="n">
        <v>0</v>
      </c>
      <c r="K1891" t="n">
        <v>0</v>
      </c>
      <c r="L1891" t="n">
        <v>0</v>
      </c>
      <c r="M1891" t="n">
        <v>0</v>
      </c>
      <c r="N1891" t="n">
        <v>0</v>
      </c>
      <c r="O1891" t="n">
        <v>0</v>
      </c>
      <c r="P1891" t="n">
        <v>0</v>
      </c>
      <c r="Q1891" t="n">
        <v>0</v>
      </c>
      <c r="R1891" t="n">
        <v>0</v>
      </c>
      <c r="S1891" t="n">
        <v>0</v>
      </c>
      <c r="T1891" t="n">
        <v>0</v>
      </c>
      <c r="U1891" t="n">
        <v>0</v>
      </c>
      <c r="V1891" s="2" t="inlineStr"/>
    </row>
    <row r="1892" ht="15" customHeight="1">
      <c r="A1892" t="inlineStr">
        <is>
          <t>A 4026-2023</t>
        </is>
      </c>
      <c r="B1892" t="inlineStr">
        <is>
          <t>avverkningsanmälan</t>
        </is>
      </c>
      <c r="C1892" t="inlineStr">
        <is>
          <t>Föryngringsavverkning</t>
        </is>
      </c>
      <c r="D1892" s="1" t="n">
        <v>44952</v>
      </c>
      <c r="E1892" s="1" t="n">
        <v>46323</v>
      </c>
      <c r="F1892" t="inlineStr">
        <is>
          <t>KALMAR LÄN</t>
        </is>
      </c>
      <c r="G1892" t="inlineStr">
        <is>
          <t>KALMAR</t>
        </is>
      </c>
      <c r="I1892" t="n">
        <v>3.4</v>
      </c>
      <c r="J1892" t="n">
        <v>0</v>
      </c>
      <c r="K1892" t="n">
        <v>0</v>
      </c>
      <c r="L1892" t="n">
        <v>0</v>
      </c>
      <c r="M1892" t="n">
        <v>0</v>
      </c>
      <c r="N1892" t="n">
        <v>0</v>
      </c>
      <c r="O1892" t="n">
        <v>0</v>
      </c>
      <c r="P1892" t="n">
        <v>0</v>
      </c>
      <c r="Q1892" t="n">
        <v>0</v>
      </c>
      <c r="R1892" t="n">
        <v>0</v>
      </c>
      <c r="S1892" t="n">
        <v>0</v>
      </c>
      <c r="T1892" t="n">
        <v>0</v>
      </c>
      <c r="U1892" t="n">
        <v>0</v>
      </c>
      <c r="V1892" s="2" t="inlineStr"/>
    </row>
    <row r="1893" ht="15" customHeight="1">
      <c r="A1893" t="inlineStr">
        <is>
          <t>A 53337-2024</t>
        </is>
      </c>
      <c r="B1893" t="inlineStr">
        <is>
          <t>avverkningsanmälan</t>
        </is>
      </c>
      <c r="C1893" t="inlineStr">
        <is>
          <t>Föryngringsavverkning</t>
        </is>
      </c>
      <c r="D1893" s="1" t="n">
        <v>45614</v>
      </c>
      <c r="E1893" s="1" t="n">
        <v>46323</v>
      </c>
      <c r="F1893" t="inlineStr">
        <is>
          <t>KALMAR LÄN</t>
        </is>
      </c>
      <c r="G1893" t="inlineStr">
        <is>
          <t>TORSÅS</t>
        </is>
      </c>
      <c r="I1893" t="n">
        <v>0.8</v>
      </c>
      <c r="J1893" t="n">
        <v>0</v>
      </c>
      <c r="K1893" t="n">
        <v>0</v>
      </c>
      <c r="L1893" t="n">
        <v>0</v>
      </c>
      <c r="M1893" t="n">
        <v>0</v>
      </c>
      <c r="N1893" t="n">
        <v>0</v>
      </c>
      <c r="O1893" t="n">
        <v>0</v>
      </c>
      <c r="P1893" t="n">
        <v>0</v>
      </c>
      <c r="Q1893" t="n">
        <v>0</v>
      </c>
      <c r="R1893" t="n">
        <v>0</v>
      </c>
      <c r="S1893" t="n">
        <v>0</v>
      </c>
      <c r="T1893" t="n">
        <v>0</v>
      </c>
      <c r="U1893" t="n">
        <v>0</v>
      </c>
      <c r="V1893" s="2" t="inlineStr"/>
    </row>
    <row r="1894" ht="15" customHeight="1">
      <c r="A1894" t="inlineStr">
        <is>
          <t>A 5846-2024</t>
        </is>
      </c>
      <c r="B1894" t="inlineStr">
        <is>
          <t>avverkningsanmälan</t>
        </is>
      </c>
      <c r="C1894" t="inlineStr">
        <is>
          <t>Avverkning för annat ändamål</t>
        </is>
      </c>
      <c r="D1894" s="1" t="n">
        <v>45335</v>
      </c>
      <c r="E1894" s="1" t="n">
        <v>46323</v>
      </c>
      <c r="F1894" t="inlineStr">
        <is>
          <t>KALMAR LÄN</t>
        </is>
      </c>
      <c r="G1894" t="inlineStr">
        <is>
          <t>EMMABODA</t>
        </is>
      </c>
      <c r="I1894" t="n">
        <v>0.6</v>
      </c>
      <c r="J1894" t="n">
        <v>0</v>
      </c>
      <c r="K1894" t="n">
        <v>0</v>
      </c>
      <c r="L1894" t="n">
        <v>0</v>
      </c>
      <c r="M1894" t="n">
        <v>0</v>
      </c>
      <c r="N1894" t="n">
        <v>0</v>
      </c>
      <c r="O1894" t="n">
        <v>0</v>
      </c>
      <c r="P1894" t="n">
        <v>0</v>
      </c>
      <c r="Q1894" t="n">
        <v>0</v>
      </c>
      <c r="R1894" t="n">
        <v>0</v>
      </c>
      <c r="S1894" t="n">
        <v>0</v>
      </c>
      <c r="T1894" t="n">
        <v>0</v>
      </c>
      <c r="U1894" t="n">
        <v>0</v>
      </c>
      <c r="V1894" s="2" t="inlineStr"/>
    </row>
    <row r="1895" ht="15" customHeight="1">
      <c r="A1895" t="inlineStr">
        <is>
          <t>A 69753-2021</t>
        </is>
      </c>
      <c r="B1895" t="inlineStr">
        <is>
          <t>avverkningsanmälan</t>
        </is>
      </c>
      <c r="C1895" t="inlineStr">
        <is>
          <t>Föryngringsavverkning</t>
        </is>
      </c>
      <c r="D1895" s="1" t="n">
        <v>44532</v>
      </c>
      <c r="E1895" s="1" t="n">
        <v>46323</v>
      </c>
      <c r="F1895" t="inlineStr">
        <is>
          <t>KALMAR LÄN</t>
        </is>
      </c>
      <c r="G1895" t="inlineStr">
        <is>
          <t>VÄSTERVIK</t>
        </is>
      </c>
      <c r="I1895" t="n">
        <v>3.2</v>
      </c>
      <c r="J1895" t="n">
        <v>0</v>
      </c>
      <c r="K1895" t="n">
        <v>0</v>
      </c>
      <c r="L1895" t="n">
        <v>0</v>
      </c>
      <c r="M1895" t="n">
        <v>0</v>
      </c>
      <c r="N1895" t="n">
        <v>0</v>
      </c>
      <c r="O1895" t="n">
        <v>0</v>
      </c>
      <c r="P1895" t="n">
        <v>0</v>
      </c>
      <c r="Q1895" t="n">
        <v>0</v>
      </c>
      <c r="R1895" t="n">
        <v>0</v>
      </c>
      <c r="S1895" t="n">
        <v>0</v>
      </c>
      <c r="T1895" t="n">
        <v>0</v>
      </c>
      <c r="U1895" t="n">
        <v>0</v>
      </c>
      <c r="V1895" s="2" t="inlineStr"/>
    </row>
    <row r="1896" ht="15" customHeight="1">
      <c r="A1896" t="inlineStr">
        <is>
          <t>A 5113-2023</t>
        </is>
      </c>
      <c r="B1896" t="inlineStr">
        <is>
          <t>avverkningsanmälan</t>
        </is>
      </c>
      <c r="C1896" t="inlineStr">
        <is>
          <t>Föryngringsavverkning</t>
        </is>
      </c>
      <c r="D1896" s="1" t="n">
        <v>44958</v>
      </c>
      <c r="E1896" s="1" t="n">
        <v>46323</v>
      </c>
      <c r="F1896" t="inlineStr">
        <is>
          <t>KALMAR LÄN</t>
        </is>
      </c>
      <c r="G1896" t="inlineStr">
        <is>
          <t>TORSÅS</t>
        </is>
      </c>
      <c r="I1896" t="n">
        <v>0.7</v>
      </c>
      <c r="J1896" t="n">
        <v>0</v>
      </c>
      <c r="K1896" t="n">
        <v>0</v>
      </c>
      <c r="L1896" t="n">
        <v>0</v>
      </c>
      <c r="M1896" t="n">
        <v>0</v>
      </c>
      <c r="N1896" t="n">
        <v>0</v>
      </c>
      <c r="O1896" t="n">
        <v>0</v>
      </c>
      <c r="P1896" t="n">
        <v>0</v>
      </c>
      <c r="Q1896" t="n">
        <v>0</v>
      </c>
      <c r="R1896" t="n">
        <v>0</v>
      </c>
      <c r="S1896" t="n">
        <v>0</v>
      </c>
      <c r="T1896" t="n">
        <v>0</v>
      </c>
      <c r="U1896" t="n">
        <v>0</v>
      </c>
      <c r="V1896" s="2" t="inlineStr"/>
    </row>
    <row r="1897" ht="15" customHeight="1">
      <c r="A1897" t="inlineStr">
        <is>
          <t>A 6642-2024</t>
        </is>
      </c>
      <c r="B1897" t="inlineStr">
        <is>
          <t>avverkningsanmälan</t>
        </is>
      </c>
      <c r="C1897" t="inlineStr">
        <is>
          <t>Föryngringsavverkning</t>
        </is>
      </c>
      <c r="D1897" s="1" t="n">
        <v>45341</v>
      </c>
      <c r="E1897" s="1" t="n">
        <v>46323</v>
      </c>
      <c r="F1897" t="inlineStr">
        <is>
          <t>KALMAR LÄN</t>
        </is>
      </c>
      <c r="G1897" t="inlineStr">
        <is>
          <t>KALMAR</t>
        </is>
      </c>
      <c r="I1897" t="n">
        <v>0.5</v>
      </c>
      <c r="J1897" t="n">
        <v>0</v>
      </c>
      <c r="K1897" t="n">
        <v>0</v>
      </c>
      <c r="L1897" t="n">
        <v>0</v>
      </c>
      <c r="M1897" t="n">
        <v>0</v>
      </c>
      <c r="N1897" t="n">
        <v>0</v>
      </c>
      <c r="O1897" t="n">
        <v>0</v>
      </c>
      <c r="P1897" t="n">
        <v>0</v>
      </c>
      <c r="Q1897" t="n">
        <v>0</v>
      </c>
      <c r="R1897" t="n">
        <v>0</v>
      </c>
      <c r="S1897" t="n">
        <v>0</v>
      </c>
      <c r="T1897" t="n">
        <v>0</v>
      </c>
      <c r="U1897" t="n">
        <v>0</v>
      </c>
      <c r="V1897" s="2" t="inlineStr"/>
    </row>
    <row r="1898" ht="15" customHeight="1">
      <c r="A1898" t="inlineStr">
        <is>
          <t>A 6643-2024</t>
        </is>
      </c>
      <c r="B1898" t="inlineStr">
        <is>
          <t>avverkningsanmälan</t>
        </is>
      </c>
      <c r="C1898" t="inlineStr">
        <is>
          <t>Föryngringsavverkning</t>
        </is>
      </c>
      <c r="D1898" s="1" t="n">
        <v>45341</v>
      </c>
      <c r="E1898" s="1" t="n">
        <v>46323</v>
      </c>
      <c r="F1898" t="inlineStr">
        <is>
          <t>KALMAR LÄN</t>
        </is>
      </c>
      <c r="G1898" t="inlineStr">
        <is>
          <t>KALMAR</t>
        </is>
      </c>
      <c r="I1898" t="n">
        <v>3.7</v>
      </c>
      <c r="J1898" t="n">
        <v>0</v>
      </c>
      <c r="K1898" t="n">
        <v>0</v>
      </c>
      <c r="L1898" t="n">
        <v>0</v>
      </c>
      <c r="M1898" t="n">
        <v>0</v>
      </c>
      <c r="N1898" t="n">
        <v>0</v>
      </c>
      <c r="O1898" t="n">
        <v>0</v>
      </c>
      <c r="P1898" t="n">
        <v>0</v>
      </c>
      <c r="Q1898" t="n">
        <v>0</v>
      </c>
      <c r="R1898" t="n">
        <v>0</v>
      </c>
      <c r="S1898" t="n">
        <v>0</v>
      </c>
      <c r="T1898" t="n">
        <v>0</v>
      </c>
      <c r="U1898" t="n">
        <v>0</v>
      </c>
      <c r="V1898" s="2" t="inlineStr"/>
    </row>
    <row r="1899" ht="15" customHeight="1">
      <c r="A1899" t="inlineStr">
        <is>
          <t>A 6539-2023</t>
        </is>
      </c>
      <c r="B1899" t="inlineStr">
        <is>
          <t>avverkningsanmälan</t>
        </is>
      </c>
      <c r="C1899" t="inlineStr">
        <is>
          <t>Föryngringsavverkning</t>
        </is>
      </c>
      <c r="D1899" s="1" t="n">
        <v>44966</v>
      </c>
      <c r="E1899" s="1" t="n">
        <v>46323</v>
      </c>
      <c r="F1899" t="inlineStr">
        <is>
          <t>KALMAR LÄN</t>
        </is>
      </c>
      <c r="G1899" t="inlineStr">
        <is>
          <t>KALMAR</t>
        </is>
      </c>
      <c r="I1899" t="n">
        <v>0.8</v>
      </c>
      <c r="J1899" t="n">
        <v>0</v>
      </c>
      <c r="K1899" t="n">
        <v>0</v>
      </c>
      <c r="L1899" t="n">
        <v>0</v>
      </c>
      <c r="M1899" t="n">
        <v>0</v>
      </c>
      <c r="N1899" t="n">
        <v>0</v>
      </c>
      <c r="O1899" t="n">
        <v>0</v>
      </c>
      <c r="P1899" t="n">
        <v>0</v>
      </c>
      <c r="Q1899" t="n">
        <v>0</v>
      </c>
      <c r="R1899" t="n">
        <v>0</v>
      </c>
      <c r="S1899" t="n">
        <v>0</v>
      </c>
      <c r="T1899" t="n">
        <v>0</v>
      </c>
      <c r="U1899" t="n">
        <v>0</v>
      </c>
      <c r="V1899" s="2" t="inlineStr"/>
    </row>
    <row r="1900" ht="15" customHeight="1">
      <c r="A1900" t="inlineStr">
        <is>
          <t>A 8108-2025</t>
        </is>
      </c>
      <c r="B1900" t="inlineStr">
        <is>
          <t>avverkningsanmälan</t>
        </is>
      </c>
      <c r="C1900" t="inlineStr">
        <is>
          <t>Föryngringsavverkning</t>
        </is>
      </c>
      <c r="D1900" s="1" t="n">
        <v>45707</v>
      </c>
      <c r="E1900" s="1" t="n">
        <v>46323</v>
      </c>
      <c r="F1900" t="inlineStr">
        <is>
          <t>KALMAR LÄN</t>
        </is>
      </c>
      <c r="G1900" t="inlineStr">
        <is>
          <t>HÖGSBY</t>
        </is>
      </c>
      <c r="I1900" t="n">
        <v>4.1</v>
      </c>
      <c r="J1900" t="n">
        <v>0</v>
      </c>
      <c r="K1900" t="n">
        <v>0</v>
      </c>
      <c r="L1900" t="n">
        <v>0</v>
      </c>
      <c r="M1900" t="n">
        <v>0</v>
      </c>
      <c r="N1900" t="n">
        <v>0</v>
      </c>
      <c r="O1900" t="n">
        <v>0</v>
      </c>
      <c r="P1900" t="n">
        <v>0</v>
      </c>
      <c r="Q1900" t="n">
        <v>0</v>
      </c>
      <c r="R1900" t="n">
        <v>0</v>
      </c>
      <c r="S1900" t="n">
        <v>0</v>
      </c>
      <c r="T1900" t="n">
        <v>0</v>
      </c>
      <c r="U1900" t="n">
        <v>0</v>
      </c>
      <c r="V1900" s="2" t="inlineStr"/>
    </row>
    <row r="1901" ht="15" customHeight="1">
      <c r="A1901" t="inlineStr">
        <is>
          <t>A 25936-2023</t>
        </is>
      </c>
      <c r="B1901" t="inlineStr">
        <is>
          <t>avverkningsanmälan</t>
        </is>
      </c>
      <c r="C1901" t="inlineStr">
        <is>
          <t>Föryngringsavverkning</t>
        </is>
      </c>
      <c r="D1901" s="1" t="n">
        <v>45090</v>
      </c>
      <c r="E1901" s="1" t="n">
        <v>46323</v>
      </c>
      <c r="F1901" t="inlineStr">
        <is>
          <t>KALMAR LÄN</t>
        </is>
      </c>
      <c r="G1901" t="inlineStr">
        <is>
          <t>OSKARSHAMN</t>
        </is>
      </c>
      <c r="I1901" t="n">
        <v>1.7</v>
      </c>
      <c r="J1901" t="n">
        <v>0</v>
      </c>
      <c r="K1901" t="n">
        <v>0</v>
      </c>
      <c r="L1901" t="n">
        <v>0</v>
      </c>
      <c r="M1901" t="n">
        <v>0</v>
      </c>
      <c r="N1901" t="n">
        <v>0</v>
      </c>
      <c r="O1901" t="n">
        <v>0</v>
      </c>
      <c r="P1901" t="n">
        <v>0</v>
      </c>
      <c r="Q1901" t="n">
        <v>0</v>
      </c>
      <c r="R1901" t="n">
        <v>0</v>
      </c>
      <c r="S1901" t="n">
        <v>0</v>
      </c>
      <c r="T1901" t="n">
        <v>0</v>
      </c>
      <c r="U1901" t="n">
        <v>0</v>
      </c>
      <c r="V1901" s="2" t="inlineStr"/>
    </row>
    <row r="1902" ht="15" customHeight="1">
      <c r="A1902" t="inlineStr">
        <is>
          <t>A 56103-2023</t>
        </is>
      </c>
      <c r="B1902" t="inlineStr">
        <is>
          <t>avverkningsanmälan</t>
        </is>
      </c>
      <c r="C1902" t="inlineStr">
        <is>
          <t>Föryngringsavverkning</t>
        </is>
      </c>
      <c r="D1902" s="1" t="n">
        <v>45240</v>
      </c>
      <c r="E1902" s="1" t="n">
        <v>46323</v>
      </c>
      <c r="F1902" t="inlineStr">
        <is>
          <t>KALMAR LÄN</t>
        </is>
      </c>
      <c r="G1902" t="inlineStr">
        <is>
          <t>NYBRO</t>
        </is>
      </c>
      <c r="I1902" t="n">
        <v>2.8</v>
      </c>
      <c r="J1902" t="n">
        <v>0</v>
      </c>
      <c r="K1902" t="n">
        <v>0</v>
      </c>
      <c r="L1902" t="n">
        <v>0</v>
      </c>
      <c r="M1902" t="n">
        <v>0</v>
      </c>
      <c r="N1902" t="n">
        <v>0</v>
      </c>
      <c r="O1902" t="n">
        <v>0</v>
      </c>
      <c r="P1902" t="n">
        <v>0</v>
      </c>
      <c r="Q1902" t="n">
        <v>0</v>
      </c>
      <c r="R1902" t="n">
        <v>0</v>
      </c>
      <c r="S1902" t="n">
        <v>0</v>
      </c>
      <c r="T1902" t="n">
        <v>0</v>
      </c>
      <c r="U1902" t="n">
        <v>0</v>
      </c>
      <c r="V1902" s="2" t="inlineStr"/>
    </row>
    <row r="1903" ht="15" customHeight="1">
      <c r="A1903" t="inlineStr">
        <is>
          <t>A 2098-2023</t>
        </is>
      </c>
      <c r="B1903" t="inlineStr">
        <is>
          <t>avverkningsanmälan</t>
        </is>
      </c>
      <c r="C1903" t="inlineStr">
        <is>
          <t>Föryngringsavverkning</t>
        </is>
      </c>
      <c r="D1903" s="1" t="n">
        <v>44939</v>
      </c>
      <c r="E1903" s="1" t="n">
        <v>46323</v>
      </c>
      <c r="F1903" t="inlineStr">
        <is>
          <t>KALMAR LÄN</t>
        </is>
      </c>
      <c r="G1903" t="inlineStr">
        <is>
          <t>VÄSTERVIK</t>
        </is>
      </c>
      <c r="I1903" t="n">
        <v>1.9</v>
      </c>
      <c r="J1903" t="n">
        <v>0</v>
      </c>
      <c r="K1903" t="n">
        <v>0</v>
      </c>
      <c r="L1903" t="n">
        <v>0</v>
      </c>
      <c r="M1903" t="n">
        <v>0</v>
      </c>
      <c r="N1903" t="n">
        <v>0</v>
      </c>
      <c r="O1903" t="n">
        <v>0</v>
      </c>
      <c r="P1903" t="n">
        <v>0</v>
      </c>
      <c r="Q1903" t="n">
        <v>0</v>
      </c>
      <c r="R1903" t="n">
        <v>0</v>
      </c>
      <c r="S1903" t="n">
        <v>0</v>
      </c>
      <c r="T1903" t="n">
        <v>0</v>
      </c>
      <c r="U1903" t="n">
        <v>0</v>
      </c>
      <c r="V1903" s="2" t="inlineStr"/>
    </row>
    <row r="1904" ht="15" customHeight="1">
      <c r="A1904" t="inlineStr">
        <is>
          <t>A 11661-2023</t>
        </is>
      </c>
      <c r="B1904" t="inlineStr">
        <is>
          <t>avverkningsanmälan</t>
        </is>
      </c>
      <c r="C1904" t="inlineStr">
        <is>
          <t>Föryngringsavverkning</t>
        </is>
      </c>
      <c r="D1904" s="1" t="n">
        <v>44994</v>
      </c>
      <c r="E1904" s="1" t="n">
        <v>46323</v>
      </c>
      <c r="F1904" t="inlineStr">
        <is>
          <t>KALMAR LÄN</t>
        </is>
      </c>
      <c r="G1904" t="inlineStr">
        <is>
          <t>VIMMERBY</t>
        </is>
      </c>
      <c r="I1904" t="n">
        <v>2.7</v>
      </c>
      <c r="J1904" t="n">
        <v>0</v>
      </c>
      <c r="K1904" t="n">
        <v>0</v>
      </c>
      <c r="L1904" t="n">
        <v>0</v>
      </c>
      <c r="M1904" t="n">
        <v>0</v>
      </c>
      <c r="N1904" t="n">
        <v>0</v>
      </c>
      <c r="O1904" t="n">
        <v>0</v>
      </c>
      <c r="P1904" t="n">
        <v>0</v>
      </c>
      <c r="Q1904" t="n">
        <v>0</v>
      </c>
      <c r="R1904" t="n">
        <v>0</v>
      </c>
      <c r="S1904" t="n">
        <v>0</v>
      </c>
      <c r="T1904" t="n">
        <v>0</v>
      </c>
      <c r="U1904" t="n">
        <v>0</v>
      </c>
      <c r="V1904" s="2" t="inlineStr"/>
    </row>
    <row r="1905" ht="15" customHeight="1">
      <c r="A1905" t="inlineStr">
        <is>
          <t>A 36155-2023</t>
        </is>
      </c>
      <c r="B1905" t="inlineStr">
        <is>
          <t>avverkningsanmälan</t>
        </is>
      </c>
      <c r="C1905" t="inlineStr">
        <is>
          <t>Föryngringsavverkning</t>
        </is>
      </c>
      <c r="D1905" s="1" t="n">
        <v>45149</v>
      </c>
      <c r="E1905" s="1" t="n">
        <v>46323</v>
      </c>
      <c r="F1905" t="inlineStr">
        <is>
          <t>KALMAR LÄN</t>
        </is>
      </c>
      <c r="G1905" t="inlineStr">
        <is>
          <t>VIMMERBY</t>
        </is>
      </c>
      <c r="I1905" t="n">
        <v>5</v>
      </c>
      <c r="J1905" t="n">
        <v>0</v>
      </c>
      <c r="K1905" t="n">
        <v>0</v>
      </c>
      <c r="L1905" t="n">
        <v>0</v>
      </c>
      <c r="M1905" t="n">
        <v>0</v>
      </c>
      <c r="N1905" t="n">
        <v>0</v>
      </c>
      <c r="O1905" t="n">
        <v>0</v>
      </c>
      <c r="P1905" t="n">
        <v>0</v>
      </c>
      <c r="Q1905" t="n">
        <v>0</v>
      </c>
      <c r="R1905" t="n">
        <v>0</v>
      </c>
      <c r="S1905" t="n">
        <v>0</v>
      </c>
      <c r="T1905" t="n">
        <v>0</v>
      </c>
      <c r="U1905" t="n">
        <v>0</v>
      </c>
      <c r="V1905" s="2" t="inlineStr"/>
    </row>
    <row r="1906" ht="15" customHeight="1">
      <c r="A1906" t="inlineStr">
        <is>
          <t>A 5788-2024</t>
        </is>
      </c>
      <c r="B1906" t="inlineStr">
        <is>
          <t>avverkningsanmälan</t>
        </is>
      </c>
      <c r="C1906" t="inlineStr">
        <is>
          <t>Föryngringsavverkning</t>
        </is>
      </c>
      <c r="D1906" s="1" t="n">
        <v>45335</v>
      </c>
      <c r="E1906" s="1" t="n">
        <v>46323</v>
      </c>
      <c r="F1906" t="inlineStr">
        <is>
          <t>KALMAR LÄN</t>
        </is>
      </c>
      <c r="G1906" t="inlineStr">
        <is>
          <t>HULTSFRED</t>
        </is>
      </c>
      <c r="I1906" t="n">
        <v>1.1</v>
      </c>
      <c r="J1906" t="n">
        <v>0</v>
      </c>
      <c r="K1906" t="n">
        <v>0</v>
      </c>
      <c r="L1906" t="n">
        <v>0</v>
      </c>
      <c r="M1906" t="n">
        <v>0</v>
      </c>
      <c r="N1906" t="n">
        <v>0</v>
      </c>
      <c r="O1906" t="n">
        <v>0</v>
      </c>
      <c r="P1906" t="n">
        <v>0</v>
      </c>
      <c r="Q1906" t="n">
        <v>0</v>
      </c>
      <c r="R1906" t="n">
        <v>0</v>
      </c>
      <c r="S1906" t="n">
        <v>0</v>
      </c>
      <c r="T1906" t="n">
        <v>0</v>
      </c>
      <c r="U1906" t="n">
        <v>0</v>
      </c>
      <c r="V1906" s="2" t="inlineStr"/>
    </row>
    <row r="1907" ht="15" customHeight="1">
      <c r="A1907" t="inlineStr">
        <is>
          <t>A 5794-2024</t>
        </is>
      </c>
      <c r="B1907" t="inlineStr">
        <is>
          <t>avverkningsanmälan</t>
        </is>
      </c>
      <c r="C1907" t="inlineStr">
        <is>
          <t>Föryngringsavverkning</t>
        </is>
      </c>
      <c r="D1907" s="1" t="n">
        <v>45335</v>
      </c>
      <c r="E1907" s="1" t="n">
        <v>46323</v>
      </c>
      <c r="F1907" t="inlineStr">
        <is>
          <t>KALMAR LÄN</t>
        </is>
      </c>
      <c r="G1907" t="inlineStr">
        <is>
          <t>HULTSFRED</t>
        </is>
      </c>
      <c r="I1907" t="n">
        <v>0.6</v>
      </c>
      <c r="J1907" t="n">
        <v>0</v>
      </c>
      <c r="K1907" t="n">
        <v>0</v>
      </c>
      <c r="L1907" t="n">
        <v>0</v>
      </c>
      <c r="M1907" t="n">
        <v>0</v>
      </c>
      <c r="N1907" t="n">
        <v>0</v>
      </c>
      <c r="O1907" t="n">
        <v>0</v>
      </c>
      <c r="P1907" t="n">
        <v>0</v>
      </c>
      <c r="Q1907" t="n">
        <v>0</v>
      </c>
      <c r="R1907" t="n">
        <v>0</v>
      </c>
      <c r="S1907" t="n">
        <v>0</v>
      </c>
      <c r="T1907" t="n">
        <v>0</v>
      </c>
      <c r="U1907" t="n">
        <v>0</v>
      </c>
      <c r="V1907" s="2" t="inlineStr"/>
    </row>
    <row r="1908" ht="15" customHeight="1">
      <c r="A1908" t="inlineStr">
        <is>
          <t>A 41073-2023</t>
        </is>
      </c>
      <c r="B1908" t="inlineStr">
        <is>
          <t>avverkningsanmälan</t>
        </is>
      </c>
      <c r="C1908" t="inlineStr">
        <is>
          <t>Föryngringsavverkning</t>
        </is>
      </c>
      <c r="D1908" s="1" t="n">
        <v>45173</v>
      </c>
      <c r="E1908" s="1" t="n">
        <v>46323</v>
      </c>
      <c r="F1908" t="inlineStr">
        <is>
          <t>KALMAR LÄN</t>
        </is>
      </c>
      <c r="G1908" t="inlineStr">
        <is>
          <t>KALMAR</t>
        </is>
      </c>
      <c r="I1908" t="n">
        <v>3</v>
      </c>
      <c r="J1908" t="n">
        <v>0</v>
      </c>
      <c r="K1908" t="n">
        <v>0</v>
      </c>
      <c r="L1908" t="n">
        <v>0</v>
      </c>
      <c r="M1908" t="n">
        <v>0</v>
      </c>
      <c r="N1908" t="n">
        <v>0</v>
      </c>
      <c r="O1908" t="n">
        <v>0</v>
      </c>
      <c r="P1908" t="n">
        <v>0</v>
      </c>
      <c r="Q1908" t="n">
        <v>0</v>
      </c>
      <c r="R1908" t="n">
        <v>0</v>
      </c>
      <c r="S1908" t="n">
        <v>0</v>
      </c>
      <c r="T1908" t="n">
        <v>0</v>
      </c>
      <c r="U1908" t="n">
        <v>0</v>
      </c>
      <c r="V1908" s="2" t="inlineStr"/>
    </row>
    <row r="1909" ht="15" customHeight="1">
      <c r="A1909" t="inlineStr">
        <is>
          <t>A 62197-2022</t>
        </is>
      </c>
      <c r="B1909" t="inlineStr">
        <is>
          <t>avverkningsanmälan</t>
        </is>
      </c>
      <c r="C1909" t="inlineStr">
        <is>
          <t>Föryngringsavverkning</t>
        </is>
      </c>
      <c r="D1909" s="1" t="n">
        <v>44922</v>
      </c>
      <c r="E1909" s="1" t="n">
        <v>46323</v>
      </c>
      <c r="F1909" t="inlineStr">
        <is>
          <t>KALMAR LÄN</t>
        </is>
      </c>
      <c r="G1909" t="inlineStr">
        <is>
          <t>EMMABODA</t>
        </is>
      </c>
      <c r="I1909" t="n">
        <v>1</v>
      </c>
      <c r="J1909" t="n">
        <v>0</v>
      </c>
      <c r="K1909" t="n">
        <v>0</v>
      </c>
      <c r="L1909" t="n">
        <v>0</v>
      </c>
      <c r="M1909" t="n">
        <v>0</v>
      </c>
      <c r="N1909" t="n">
        <v>0</v>
      </c>
      <c r="O1909" t="n">
        <v>0</v>
      </c>
      <c r="P1909" t="n">
        <v>0</v>
      </c>
      <c r="Q1909" t="n">
        <v>0</v>
      </c>
      <c r="R1909" t="n">
        <v>0</v>
      </c>
      <c r="S1909" t="n">
        <v>0</v>
      </c>
      <c r="T1909" t="n">
        <v>0</v>
      </c>
      <c r="U1909" t="n">
        <v>0</v>
      </c>
      <c r="V1909" s="2" t="inlineStr"/>
    </row>
    <row r="1910" ht="15" customHeight="1">
      <c r="A1910" t="inlineStr">
        <is>
          <t>A 5845-2024</t>
        </is>
      </c>
      <c r="B1910" t="inlineStr">
        <is>
          <t>avverkningsanmälan</t>
        </is>
      </c>
      <c r="C1910" t="inlineStr">
        <is>
          <t>Föryngringsavverkning</t>
        </is>
      </c>
      <c r="D1910" s="1" t="n">
        <v>45335</v>
      </c>
      <c r="E1910" s="1" t="n">
        <v>46323</v>
      </c>
      <c r="F1910" t="inlineStr">
        <is>
          <t>KALMAR LÄN</t>
        </is>
      </c>
      <c r="G1910" t="inlineStr">
        <is>
          <t>TORSÅS</t>
        </is>
      </c>
      <c r="I1910" t="n">
        <v>0.8</v>
      </c>
      <c r="J1910" t="n">
        <v>0</v>
      </c>
      <c r="K1910" t="n">
        <v>0</v>
      </c>
      <c r="L1910" t="n">
        <v>0</v>
      </c>
      <c r="M1910" t="n">
        <v>0</v>
      </c>
      <c r="N1910" t="n">
        <v>0</v>
      </c>
      <c r="O1910" t="n">
        <v>0</v>
      </c>
      <c r="P1910" t="n">
        <v>0</v>
      </c>
      <c r="Q1910" t="n">
        <v>0</v>
      </c>
      <c r="R1910" t="n">
        <v>0</v>
      </c>
      <c r="S1910" t="n">
        <v>0</v>
      </c>
      <c r="T1910" t="n">
        <v>0</v>
      </c>
      <c r="U1910" t="n">
        <v>0</v>
      </c>
      <c r="V1910" s="2" t="inlineStr"/>
    </row>
    <row r="1911" ht="15" customHeight="1">
      <c r="A1911" t="inlineStr">
        <is>
          <t>A 12757-2023</t>
        </is>
      </c>
      <c r="B1911" t="inlineStr">
        <is>
          <t>avverkningsanmälan</t>
        </is>
      </c>
      <c r="C1911" t="inlineStr">
        <is>
          <t>Föryngringsavverkning</t>
        </is>
      </c>
      <c r="D1911" s="1" t="n">
        <v>45001</v>
      </c>
      <c r="E1911" s="1" t="n">
        <v>46323</v>
      </c>
      <c r="F1911" t="inlineStr">
        <is>
          <t>KALMAR LÄN</t>
        </is>
      </c>
      <c r="G1911" t="inlineStr">
        <is>
          <t>HÖGSBY</t>
        </is>
      </c>
      <c r="I1911" t="n">
        <v>1.8</v>
      </c>
      <c r="J1911" t="n">
        <v>0</v>
      </c>
      <c r="K1911" t="n">
        <v>0</v>
      </c>
      <c r="L1911" t="n">
        <v>0</v>
      </c>
      <c r="M1911" t="n">
        <v>0</v>
      </c>
      <c r="N1911" t="n">
        <v>0</v>
      </c>
      <c r="O1911" t="n">
        <v>0</v>
      </c>
      <c r="P1911" t="n">
        <v>0</v>
      </c>
      <c r="Q1911" t="n">
        <v>0</v>
      </c>
      <c r="R1911" t="n">
        <v>0</v>
      </c>
      <c r="S1911" t="n">
        <v>0</v>
      </c>
      <c r="T1911" t="n">
        <v>0</v>
      </c>
      <c r="U1911" t="n">
        <v>0</v>
      </c>
      <c r="V1911" s="2" t="inlineStr"/>
    </row>
    <row r="1912" ht="15" customHeight="1">
      <c r="A1912" t="inlineStr">
        <is>
          <t>A 11619-2023</t>
        </is>
      </c>
      <c r="B1912" t="inlineStr">
        <is>
          <t>avverkningsanmälan</t>
        </is>
      </c>
      <c r="C1912" t="inlineStr">
        <is>
          <t>Föryngringsavverkning</t>
        </is>
      </c>
      <c r="D1912" s="1" t="n">
        <v>44994</v>
      </c>
      <c r="E1912" s="1" t="n">
        <v>46323</v>
      </c>
      <c r="F1912" t="inlineStr">
        <is>
          <t>KALMAR LÄN</t>
        </is>
      </c>
      <c r="G1912" t="inlineStr">
        <is>
          <t>VIMMERBY</t>
        </is>
      </c>
      <c r="I1912" t="n">
        <v>2.5</v>
      </c>
      <c r="J1912" t="n">
        <v>0</v>
      </c>
      <c r="K1912" t="n">
        <v>0</v>
      </c>
      <c r="L1912" t="n">
        <v>0</v>
      </c>
      <c r="M1912" t="n">
        <v>0</v>
      </c>
      <c r="N1912" t="n">
        <v>0</v>
      </c>
      <c r="O1912" t="n">
        <v>0</v>
      </c>
      <c r="P1912" t="n">
        <v>0</v>
      </c>
      <c r="Q1912" t="n">
        <v>0</v>
      </c>
      <c r="R1912" t="n">
        <v>0</v>
      </c>
      <c r="S1912" t="n">
        <v>0</v>
      </c>
      <c r="T1912" t="n">
        <v>0</v>
      </c>
      <c r="U1912" t="n">
        <v>0</v>
      </c>
      <c r="V1912" s="2" t="inlineStr"/>
    </row>
    <row r="1913" ht="15" customHeight="1">
      <c r="A1913" t="inlineStr">
        <is>
          <t>A 40326-2023</t>
        </is>
      </c>
      <c r="B1913" t="inlineStr">
        <is>
          <t>avverkningsanmälan</t>
        </is>
      </c>
      <c r="C1913" t="inlineStr">
        <is>
          <t>Föryngringsavverkning</t>
        </is>
      </c>
      <c r="D1913" s="1" t="n">
        <v>45169</v>
      </c>
      <c r="E1913" s="1" t="n">
        <v>46323</v>
      </c>
      <c r="F1913" t="inlineStr">
        <is>
          <t>KALMAR LÄN</t>
        </is>
      </c>
      <c r="G1913" t="inlineStr">
        <is>
          <t>HULTSFRED</t>
        </is>
      </c>
      <c r="I1913" t="n">
        <v>0.9</v>
      </c>
      <c r="J1913" t="n">
        <v>0</v>
      </c>
      <c r="K1913" t="n">
        <v>0</v>
      </c>
      <c r="L1913" t="n">
        <v>0</v>
      </c>
      <c r="M1913" t="n">
        <v>0</v>
      </c>
      <c r="N1913" t="n">
        <v>0</v>
      </c>
      <c r="O1913" t="n">
        <v>0</v>
      </c>
      <c r="P1913" t="n">
        <v>0</v>
      </c>
      <c r="Q1913" t="n">
        <v>0</v>
      </c>
      <c r="R1913" t="n">
        <v>0</v>
      </c>
      <c r="S1913" t="n">
        <v>0</v>
      </c>
      <c r="T1913" t="n">
        <v>0</v>
      </c>
      <c r="U1913" t="n">
        <v>0</v>
      </c>
      <c r="V1913" s="2" t="inlineStr"/>
    </row>
    <row r="1914" ht="15" customHeight="1">
      <c r="A1914" t="inlineStr">
        <is>
          <t>A 38568-2025</t>
        </is>
      </c>
      <c r="B1914" t="inlineStr">
        <is>
          <t>avverkningsanmälan</t>
        </is>
      </c>
      <c r="C1914" t="inlineStr">
        <is>
          <t>Föryngringsavverkning</t>
        </is>
      </c>
      <c r="D1914" s="1" t="n">
        <v>45884</v>
      </c>
      <c r="E1914" s="1" t="n">
        <v>46323</v>
      </c>
      <c r="F1914" t="inlineStr">
        <is>
          <t>KALMAR LÄN</t>
        </is>
      </c>
      <c r="G1914" t="inlineStr">
        <is>
          <t>HULTSFRED</t>
        </is>
      </c>
      <c r="I1914" t="n">
        <v>1.7</v>
      </c>
      <c r="J1914" t="n">
        <v>0</v>
      </c>
      <c r="K1914" t="n">
        <v>0</v>
      </c>
      <c r="L1914" t="n">
        <v>0</v>
      </c>
      <c r="M1914" t="n">
        <v>0</v>
      </c>
      <c r="N1914" t="n">
        <v>0</v>
      </c>
      <c r="O1914" t="n">
        <v>0</v>
      </c>
      <c r="P1914" t="n">
        <v>0</v>
      </c>
      <c r="Q1914" t="n">
        <v>0</v>
      </c>
      <c r="R1914" t="n">
        <v>0</v>
      </c>
      <c r="S1914" t="n">
        <v>0</v>
      </c>
      <c r="T1914" t="n">
        <v>0</v>
      </c>
      <c r="U1914" t="n">
        <v>0</v>
      </c>
      <c r="V1914" s="2" t="inlineStr"/>
    </row>
    <row r="1915" ht="15" customHeight="1">
      <c r="A1915" t="inlineStr">
        <is>
          <t>A 25223-2022</t>
        </is>
      </c>
      <c r="B1915" t="inlineStr">
        <is>
          <t>avverkningsanmälan</t>
        </is>
      </c>
      <c r="C1915" t="inlineStr">
        <is>
          <t>Föryngringsavverkning</t>
        </is>
      </c>
      <c r="D1915" s="1" t="n">
        <v>44729</v>
      </c>
      <c r="E1915" s="1" t="n">
        <v>46323</v>
      </c>
      <c r="F1915" t="inlineStr">
        <is>
          <t>KALMAR LÄN</t>
        </is>
      </c>
      <c r="G1915" t="inlineStr">
        <is>
          <t>HÖGSBY</t>
        </is>
      </c>
      <c r="I1915" t="n">
        <v>2</v>
      </c>
      <c r="J1915" t="n">
        <v>0</v>
      </c>
      <c r="K1915" t="n">
        <v>0</v>
      </c>
      <c r="L1915" t="n">
        <v>0</v>
      </c>
      <c r="M1915" t="n">
        <v>0</v>
      </c>
      <c r="N1915" t="n">
        <v>0</v>
      </c>
      <c r="O1915" t="n">
        <v>0</v>
      </c>
      <c r="P1915" t="n">
        <v>0</v>
      </c>
      <c r="Q1915" t="n">
        <v>0</v>
      </c>
      <c r="R1915" t="n">
        <v>0</v>
      </c>
      <c r="S1915" t="n">
        <v>0</v>
      </c>
      <c r="T1915" t="n">
        <v>0</v>
      </c>
      <c r="U1915" t="n">
        <v>0</v>
      </c>
      <c r="V1915" s="2" t="inlineStr"/>
    </row>
    <row r="1916" ht="15" customHeight="1">
      <c r="A1916" t="inlineStr">
        <is>
          <t>A 27676-2022</t>
        </is>
      </c>
      <c r="B1916" t="inlineStr">
        <is>
          <t>avverkningsanmälan</t>
        </is>
      </c>
      <c r="C1916" t="inlineStr">
        <is>
          <t>Föryngringsavverkning</t>
        </is>
      </c>
      <c r="D1916" s="1" t="n">
        <v>44743</v>
      </c>
      <c r="E1916" s="1" t="n">
        <v>46323</v>
      </c>
      <c r="F1916" t="inlineStr">
        <is>
          <t>KALMAR LÄN</t>
        </is>
      </c>
      <c r="G1916" t="inlineStr">
        <is>
          <t>EMMABODA</t>
        </is>
      </c>
      <c r="I1916" t="n">
        <v>0.7</v>
      </c>
      <c r="J1916" t="n">
        <v>0</v>
      </c>
      <c r="K1916" t="n">
        <v>0</v>
      </c>
      <c r="L1916" t="n">
        <v>0</v>
      </c>
      <c r="M1916" t="n">
        <v>0</v>
      </c>
      <c r="N1916" t="n">
        <v>0</v>
      </c>
      <c r="O1916" t="n">
        <v>0</v>
      </c>
      <c r="P1916" t="n">
        <v>0</v>
      </c>
      <c r="Q1916" t="n">
        <v>0</v>
      </c>
      <c r="R1916" t="n">
        <v>0</v>
      </c>
      <c r="S1916" t="n">
        <v>0</v>
      </c>
      <c r="T1916" t="n">
        <v>0</v>
      </c>
      <c r="U1916" t="n">
        <v>0</v>
      </c>
      <c r="V1916" s="2" t="inlineStr"/>
    </row>
    <row r="1917" ht="15" customHeight="1">
      <c r="A1917" t="inlineStr">
        <is>
          <t>A 48926-2023</t>
        </is>
      </c>
      <c r="B1917" t="inlineStr">
        <is>
          <t>avverkningsanmälan</t>
        </is>
      </c>
      <c r="C1917" t="inlineStr">
        <is>
          <t>Föryngringsavverkning</t>
        </is>
      </c>
      <c r="D1917" s="1" t="n">
        <v>45204</v>
      </c>
      <c r="E1917" s="1" t="n">
        <v>46323</v>
      </c>
      <c r="F1917" t="inlineStr">
        <is>
          <t>KALMAR LÄN</t>
        </is>
      </c>
      <c r="G1917" t="inlineStr">
        <is>
          <t>EMMABODA</t>
        </is>
      </c>
      <c r="H1917" t="inlineStr">
        <is>
          <t>Övriga Aktiebolag</t>
        </is>
      </c>
      <c r="I1917" t="n">
        <v>1.5</v>
      </c>
      <c r="J1917" t="n">
        <v>0</v>
      </c>
      <c r="K1917" t="n">
        <v>0</v>
      </c>
      <c r="L1917" t="n">
        <v>0</v>
      </c>
      <c r="M1917" t="n">
        <v>0</v>
      </c>
      <c r="N1917" t="n">
        <v>0</v>
      </c>
      <c r="O1917" t="n">
        <v>0</v>
      </c>
      <c r="P1917" t="n">
        <v>0</v>
      </c>
      <c r="Q1917" t="n">
        <v>0</v>
      </c>
      <c r="R1917" t="n">
        <v>0</v>
      </c>
      <c r="S1917" t="n">
        <v>0</v>
      </c>
      <c r="T1917" t="n">
        <v>0</v>
      </c>
      <c r="U1917" t="n">
        <v>0</v>
      </c>
      <c r="V1917" s="2" t="inlineStr"/>
    </row>
    <row r="1918" ht="15" customHeight="1">
      <c r="A1918" t="inlineStr">
        <is>
          <t>A 5074-2023</t>
        </is>
      </c>
      <c r="B1918" t="inlineStr">
        <is>
          <t>avverkningsanmälan</t>
        </is>
      </c>
      <c r="C1918" t="inlineStr">
        <is>
          <t>Föryngringsavverkning</t>
        </is>
      </c>
      <c r="D1918" s="1" t="n">
        <v>44958</v>
      </c>
      <c r="E1918" s="1" t="n">
        <v>46323</v>
      </c>
      <c r="F1918" t="inlineStr">
        <is>
          <t>KALMAR LÄN</t>
        </is>
      </c>
      <c r="G1918" t="inlineStr">
        <is>
          <t>VIMMERBY</t>
        </is>
      </c>
      <c r="I1918" t="n">
        <v>1.6</v>
      </c>
      <c r="J1918" t="n">
        <v>0</v>
      </c>
      <c r="K1918" t="n">
        <v>0</v>
      </c>
      <c r="L1918" t="n">
        <v>0</v>
      </c>
      <c r="M1918" t="n">
        <v>0</v>
      </c>
      <c r="N1918" t="n">
        <v>0</v>
      </c>
      <c r="O1918" t="n">
        <v>0</v>
      </c>
      <c r="P1918" t="n">
        <v>0</v>
      </c>
      <c r="Q1918" t="n">
        <v>0</v>
      </c>
      <c r="R1918" t="n">
        <v>0</v>
      </c>
      <c r="S1918" t="n">
        <v>0</v>
      </c>
      <c r="T1918" t="n">
        <v>0</v>
      </c>
      <c r="U1918" t="n">
        <v>0</v>
      </c>
      <c r="V1918" s="2" t="inlineStr"/>
    </row>
    <row r="1919" ht="15" customHeight="1">
      <c r="A1919" t="inlineStr">
        <is>
          <t>A 40147-2023</t>
        </is>
      </c>
      <c r="B1919" t="inlineStr">
        <is>
          <t>avverkningsanmälan</t>
        </is>
      </c>
      <c r="C1919" t="inlineStr">
        <is>
          <t>Avverkning för annat ändamål</t>
        </is>
      </c>
      <c r="D1919" s="1" t="n">
        <v>45169</v>
      </c>
      <c r="E1919" s="1" t="n">
        <v>46323</v>
      </c>
      <c r="F1919" t="inlineStr">
        <is>
          <t>KALMAR LÄN</t>
        </is>
      </c>
      <c r="G1919" t="inlineStr">
        <is>
          <t>VIMMERBY</t>
        </is>
      </c>
      <c r="I1919" t="n">
        <v>1.7</v>
      </c>
      <c r="J1919" t="n">
        <v>0</v>
      </c>
      <c r="K1919" t="n">
        <v>0</v>
      </c>
      <c r="L1919" t="n">
        <v>0</v>
      </c>
      <c r="M1919" t="n">
        <v>0</v>
      </c>
      <c r="N1919" t="n">
        <v>0</v>
      </c>
      <c r="O1919" t="n">
        <v>0</v>
      </c>
      <c r="P1919" t="n">
        <v>0</v>
      </c>
      <c r="Q1919" t="n">
        <v>0</v>
      </c>
      <c r="R1919" t="n">
        <v>0</v>
      </c>
      <c r="S1919" t="n">
        <v>0</v>
      </c>
      <c r="T1919" t="n">
        <v>0</v>
      </c>
      <c r="U1919" t="n">
        <v>0</v>
      </c>
      <c r="V1919" s="2" t="inlineStr"/>
    </row>
    <row r="1920" ht="15" customHeight="1">
      <c r="A1920" t="inlineStr">
        <is>
          <t>A 12098-2024</t>
        </is>
      </c>
      <c r="B1920" t="inlineStr">
        <is>
          <t>avverkningsanmälan</t>
        </is>
      </c>
      <c r="C1920" t="inlineStr">
        <is>
          <t>Föryngringsavverkning</t>
        </is>
      </c>
      <c r="D1920" s="1" t="n">
        <v>45377</v>
      </c>
      <c r="E1920" s="1" t="n">
        <v>46323</v>
      </c>
      <c r="F1920" t="inlineStr">
        <is>
          <t>KALMAR LÄN</t>
        </is>
      </c>
      <c r="G1920" t="inlineStr">
        <is>
          <t>OSKARSHAMN</t>
        </is>
      </c>
      <c r="I1920" t="n">
        <v>1.1</v>
      </c>
      <c r="J1920" t="n">
        <v>0</v>
      </c>
      <c r="K1920" t="n">
        <v>0</v>
      </c>
      <c r="L1920" t="n">
        <v>0</v>
      </c>
      <c r="M1920" t="n">
        <v>0</v>
      </c>
      <c r="N1920" t="n">
        <v>0</v>
      </c>
      <c r="O1920" t="n">
        <v>0</v>
      </c>
      <c r="P1920" t="n">
        <v>0</v>
      </c>
      <c r="Q1920" t="n">
        <v>0</v>
      </c>
      <c r="R1920" t="n">
        <v>0</v>
      </c>
      <c r="S1920" t="n">
        <v>0</v>
      </c>
      <c r="T1920" t="n">
        <v>0</v>
      </c>
      <c r="U1920" t="n">
        <v>0</v>
      </c>
      <c r="V1920" s="2" t="inlineStr"/>
    </row>
    <row r="1921" ht="15" customHeight="1">
      <c r="A1921" t="inlineStr">
        <is>
          <t>A 6513-2024</t>
        </is>
      </c>
      <c r="B1921" t="inlineStr">
        <is>
          <t>avverkningsanmälan</t>
        </is>
      </c>
      <c r="C1921" t="inlineStr">
        <is>
          <t>Föryngringsavverkning</t>
        </is>
      </c>
      <c r="D1921" s="1" t="n">
        <v>45340</v>
      </c>
      <c r="E1921" s="1" t="n">
        <v>46323</v>
      </c>
      <c r="F1921" t="inlineStr">
        <is>
          <t>KALMAR LÄN</t>
        </is>
      </c>
      <c r="G1921" t="inlineStr">
        <is>
          <t>HULTSFRED</t>
        </is>
      </c>
      <c r="I1921" t="n">
        <v>7.4</v>
      </c>
      <c r="J1921" t="n">
        <v>0</v>
      </c>
      <c r="K1921" t="n">
        <v>0</v>
      </c>
      <c r="L1921" t="n">
        <v>0</v>
      </c>
      <c r="M1921" t="n">
        <v>0</v>
      </c>
      <c r="N1921" t="n">
        <v>0</v>
      </c>
      <c r="O1921" t="n">
        <v>0</v>
      </c>
      <c r="P1921" t="n">
        <v>0</v>
      </c>
      <c r="Q1921" t="n">
        <v>0</v>
      </c>
      <c r="R1921" t="n">
        <v>0</v>
      </c>
      <c r="S1921" t="n">
        <v>0</v>
      </c>
      <c r="T1921" t="n">
        <v>0</v>
      </c>
      <c r="U1921" t="n">
        <v>0</v>
      </c>
      <c r="V1921" s="2" t="inlineStr"/>
    </row>
    <row r="1922" ht="15" customHeight="1">
      <c r="A1922" t="inlineStr">
        <is>
          <t>A 51908-2023</t>
        </is>
      </c>
      <c r="B1922" t="inlineStr">
        <is>
          <t>avverkningsanmälan</t>
        </is>
      </c>
      <c r="C1922" t="inlineStr">
        <is>
          <t>Föryngringsavverkning</t>
        </is>
      </c>
      <c r="D1922" s="1" t="n">
        <v>45216</v>
      </c>
      <c r="E1922" s="1" t="n">
        <v>46323</v>
      </c>
      <c r="F1922" t="inlineStr">
        <is>
          <t>KALMAR LÄN</t>
        </is>
      </c>
      <c r="G1922" t="inlineStr">
        <is>
          <t>NYBRO</t>
        </is>
      </c>
      <c r="I1922" t="n">
        <v>2.7</v>
      </c>
      <c r="J1922" t="n">
        <v>0</v>
      </c>
      <c r="K1922" t="n">
        <v>0</v>
      </c>
      <c r="L1922" t="n">
        <v>0</v>
      </c>
      <c r="M1922" t="n">
        <v>0</v>
      </c>
      <c r="N1922" t="n">
        <v>0</v>
      </c>
      <c r="O1922" t="n">
        <v>0</v>
      </c>
      <c r="P1922" t="n">
        <v>0</v>
      </c>
      <c r="Q1922" t="n">
        <v>0</v>
      </c>
      <c r="R1922" t="n">
        <v>0</v>
      </c>
      <c r="S1922" t="n">
        <v>0</v>
      </c>
      <c r="T1922" t="n">
        <v>0</v>
      </c>
      <c r="U1922" t="n">
        <v>0</v>
      </c>
      <c r="V1922" s="2" t="inlineStr"/>
    </row>
    <row r="1923" ht="15" customHeight="1">
      <c r="A1923" t="inlineStr">
        <is>
          <t>A 6514-2024</t>
        </is>
      </c>
      <c r="B1923" t="inlineStr">
        <is>
          <t>avverkningsanmälan</t>
        </is>
      </c>
      <c r="C1923" t="inlineStr">
        <is>
          <t>Föryngringsavverkning</t>
        </is>
      </c>
      <c r="D1923" s="1" t="n">
        <v>45340</v>
      </c>
      <c r="E1923" s="1" t="n">
        <v>46323</v>
      </c>
      <c r="F1923" t="inlineStr">
        <is>
          <t>KALMAR LÄN</t>
        </is>
      </c>
      <c r="G1923" t="inlineStr">
        <is>
          <t>HULTSFRED</t>
        </is>
      </c>
      <c r="I1923" t="n">
        <v>1.5</v>
      </c>
      <c r="J1923" t="n">
        <v>0</v>
      </c>
      <c r="K1923" t="n">
        <v>0</v>
      </c>
      <c r="L1923" t="n">
        <v>0</v>
      </c>
      <c r="M1923" t="n">
        <v>0</v>
      </c>
      <c r="N1923" t="n">
        <v>0</v>
      </c>
      <c r="O1923" t="n">
        <v>0</v>
      </c>
      <c r="P1923" t="n">
        <v>0</v>
      </c>
      <c r="Q1923" t="n">
        <v>0</v>
      </c>
      <c r="R1923" t="n">
        <v>0</v>
      </c>
      <c r="S1923" t="n">
        <v>0</v>
      </c>
      <c r="T1923" t="n">
        <v>0</v>
      </c>
      <c r="U1923" t="n">
        <v>0</v>
      </c>
      <c r="V1923" s="2" t="inlineStr"/>
    </row>
    <row r="1924" ht="15" customHeight="1">
      <c r="A1924" t="inlineStr">
        <is>
          <t>A 6544-2024</t>
        </is>
      </c>
      <c r="B1924" t="inlineStr">
        <is>
          <t>avverkningsanmälan</t>
        </is>
      </c>
      <c r="C1924" t="inlineStr">
        <is>
          <t>Föryngringsavverkning</t>
        </is>
      </c>
      <c r="D1924" s="1" t="n">
        <v>45341</v>
      </c>
      <c r="E1924" s="1" t="n">
        <v>46323</v>
      </c>
      <c r="F1924" t="inlineStr">
        <is>
          <t>KALMAR LÄN</t>
        </is>
      </c>
      <c r="G1924" t="inlineStr">
        <is>
          <t>NYBRO</t>
        </is>
      </c>
      <c r="I1924" t="n">
        <v>0.8</v>
      </c>
      <c r="J1924" t="n">
        <v>0</v>
      </c>
      <c r="K1924" t="n">
        <v>0</v>
      </c>
      <c r="L1924" t="n">
        <v>0</v>
      </c>
      <c r="M1924" t="n">
        <v>0</v>
      </c>
      <c r="N1924" t="n">
        <v>0</v>
      </c>
      <c r="O1924" t="n">
        <v>0</v>
      </c>
      <c r="P1924" t="n">
        <v>0</v>
      </c>
      <c r="Q1924" t="n">
        <v>0</v>
      </c>
      <c r="R1924" t="n">
        <v>0</v>
      </c>
      <c r="S1924" t="n">
        <v>0</v>
      </c>
      <c r="T1924" t="n">
        <v>0</v>
      </c>
      <c r="U1924" t="n">
        <v>0</v>
      </c>
      <c r="V1924" s="2" t="inlineStr"/>
    </row>
    <row r="1925" ht="15" customHeight="1">
      <c r="A1925" t="inlineStr">
        <is>
          <t>A 41155-2023</t>
        </is>
      </c>
      <c r="B1925" t="inlineStr">
        <is>
          <t>avverkningsanmälan</t>
        </is>
      </c>
      <c r="C1925" t="inlineStr">
        <is>
          <t>Föryngringsavverkning</t>
        </is>
      </c>
      <c r="D1925" s="1" t="n">
        <v>45174</v>
      </c>
      <c r="E1925" s="1" t="n">
        <v>46323</v>
      </c>
      <c r="F1925" t="inlineStr">
        <is>
          <t>KALMAR LÄN</t>
        </is>
      </c>
      <c r="G1925" t="inlineStr">
        <is>
          <t>KALMAR</t>
        </is>
      </c>
      <c r="I1925" t="n">
        <v>0.5</v>
      </c>
      <c r="J1925" t="n">
        <v>0</v>
      </c>
      <c r="K1925" t="n">
        <v>0</v>
      </c>
      <c r="L1925" t="n">
        <v>0</v>
      </c>
      <c r="M1925" t="n">
        <v>0</v>
      </c>
      <c r="N1925" t="n">
        <v>0</v>
      </c>
      <c r="O1925" t="n">
        <v>0</v>
      </c>
      <c r="P1925" t="n">
        <v>0</v>
      </c>
      <c r="Q1925" t="n">
        <v>0</v>
      </c>
      <c r="R1925" t="n">
        <v>0</v>
      </c>
      <c r="S1925" t="n">
        <v>0</v>
      </c>
      <c r="T1925" t="n">
        <v>0</v>
      </c>
      <c r="U1925" t="n">
        <v>0</v>
      </c>
      <c r="V1925" s="2" t="inlineStr"/>
    </row>
    <row r="1926" ht="15" customHeight="1">
      <c r="A1926" t="inlineStr">
        <is>
          <t>A 4165-2023</t>
        </is>
      </c>
      <c r="B1926" t="inlineStr">
        <is>
          <t>avverkningsanmälan</t>
        </is>
      </c>
      <c r="C1926" t="inlineStr">
        <is>
          <t>Föryngringsavverkning</t>
        </is>
      </c>
      <c r="D1926" s="1" t="n">
        <v>44953</v>
      </c>
      <c r="E1926" s="1" t="n">
        <v>46323</v>
      </c>
      <c r="F1926" t="inlineStr">
        <is>
          <t>KALMAR LÄN</t>
        </is>
      </c>
      <c r="G1926" t="inlineStr">
        <is>
          <t>BORGHOLM</t>
        </is>
      </c>
      <c r="I1926" t="n">
        <v>0.6</v>
      </c>
      <c r="J1926" t="n">
        <v>0</v>
      </c>
      <c r="K1926" t="n">
        <v>0</v>
      </c>
      <c r="L1926" t="n">
        <v>0</v>
      </c>
      <c r="M1926" t="n">
        <v>0</v>
      </c>
      <c r="N1926" t="n">
        <v>0</v>
      </c>
      <c r="O1926" t="n">
        <v>0</v>
      </c>
      <c r="P1926" t="n">
        <v>0</v>
      </c>
      <c r="Q1926" t="n">
        <v>0</v>
      </c>
      <c r="R1926" t="n">
        <v>0</v>
      </c>
      <c r="S1926" t="n">
        <v>0</v>
      </c>
      <c r="T1926" t="n">
        <v>0</v>
      </c>
      <c r="U1926" t="n">
        <v>0</v>
      </c>
      <c r="V1926" s="2" t="inlineStr"/>
    </row>
    <row r="1927" ht="15" customHeight="1">
      <c r="A1927" t="inlineStr">
        <is>
          <t>A 16541-2024</t>
        </is>
      </c>
      <c r="B1927" t="inlineStr">
        <is>
          <t>avverkningsanmälan</t>
        </is>
      </c>
      <c r="C1927" t="inlineStr">
        <is>
          <t>Föryngringsavverkning</t>
        </is>
      </c>
      <c r="D1927" s="1" t="n">
        <v>45408</v>
      </c>
      <c r="E1927" s="1" t="n">
        <v>46323</v>
      </c>
      <c r="F1927" t="inlineStr">
        <is>
          <t>KALMAR LÄN</t>
        </is>
      </c>
      <c r="G1927" t="inlineStr">
        <is>
          <t>HULTSFRED</t>
        </is>
      </c>
      <c r="I1927" t="n">
        <v>3.4</v>
      </c>
      <c r="J1927" t="n">
        <v>0</v>
      </c>
      <c r="K1927" t="n">
        <v>0</v>
      </c>
      <c r="L1927" t="n">
        <v>0</v>
      </c>
      <c r="M1927" t="n">
        <v>0</v>
      </c>
      <c r="N1927" t="n">
        <v>0</v>
      </c>
      <c r="O1927" t="n">
        <v>0</v>
      </c>
      <c r="P1927" t="n">
        <v>0</v>
      </c>
      <c r="Q1927" t="n">
        <v>0</v>
      </c>
      <c r="R1927" t="n">
        <v>0</v>
      </c>
      <c r="S1927" t="n">
        <v>0</v>
      </c>
      <c r="T1927" t="n">
        <v>0</v>
      </c>
      <c r="U1927" t="n">
        <v>0</v>
      </c>
      <c r="V1927" s="2" t="inlineStr"/>
    </row>
    <row r="1928" ht="15" customHeight="1">
      <c r="A1928" t="inlineStr">
        <is>
          <t>A 22564-2024</t>
        </is>
      </c>
      <c r="B1928" t="inlineStr">
        <is>
          <t>avverkningsanmälan</t>
        </is>
      </c>
      <c r="C1928" t="inlineStr">
        <is>
          <t>Föryngringsavverkning</t>
        </is>
      </c>
      <c r="D1928" s="1" t="n">
        <v>45447</v>
      </c>
      <c r="E1928" s="1" t="n">
        <v>46323</v>
      </c>
      <c r="F1928" t="inlineStr">
        <is>
          <t>KALMAR LÄN</t>
        </is>
      </c>
      <c r="G1928" t="inlineStr">
        <is>
          <t>TORSÅS</t>
        </is>
      </c>
      <c r="I1928" t="n">
        <v>0.5</v>
      </c>
      <c r="J1928" t="n">
        <v>0</v>
      </c>
      <c r="K1928" t="n">
        <v>0</v>
      </c>
      <c r="L1928" t="n">
        <v>0</v>
      </c>
      <c r="M1928" t="n">
        <v>0</v>
      </c>
      <c r="N1928" t="n">
        <v>0</v>
      </c>
      <c r="O1928" t="n">
        <v>0</v>
      </c>
      <c r="P1928" t="n">
        <v>0</v>
      </c>
      <c r="Q1928" t="n">
        <v>0</v>
      </c>
      <c r="R1928" t="n">
        <v>0</v>
      </c>
      <c r="S1928" t="n">
        <v>0</v>
      </c>
      <c r="T1928" t="n">
        <v>0</v>
      </c>
      <c r="U1928" t="n">
        <v>0</v>
      </c>
      <c r="V1928" s="2" t="inlineStr"/>
    </row>
    <row r="1929" ht="15" customHeight="1">
      <c r="A1929" t="inlineStr">
        <is>
          <t>A 9712-2023</t>
        </is>
      </c>
      <c r="B1929" t="inlineStr">
        <is>
          <t>avverkningsanmälan</t>
        </is>
      </c>
      <c r="C1929" t="inlineStr">
        <is>
          <t>Föryngringsavverkning</t>
        </is>
      </c>
      <c r="D1929" s="1" t="n">
        <v>44984</v>
      </c>
      <c r="E1929" s="1" t="n">
        <v>46323</v>
      </c>
      <c r="F1929" t="inlineStr">
        <is>
          <t>KALMAR LÄN</t>
        </is>
      </c>
      <c r="G1929" t="inlineStr">
        <is>
          <t>KALMAR</t>
        </is>
      </c>
      <c r="I1929" t="n">
        <v>1.1</v>
      </c>
      <c r="J1929" t="n">
        <v>0</v>
      </c>
      <c r="K1929" t="n">
        <v>0</v>
      </c>
      <c r="L1929" t="n">
        <v>0</v>
      </c>
      <c r="M1929" t="n">
        <v>0</v>
      </c>
      <c r="N1929" t="n">
        <v>0</v>
      </c>
      <c r="O1929" t="n">
        <v>0</v>
      </c>
      <c r="P1929" t="n">
        <v>0</v>
      </c>
      <c r="Q1929" t="n">
        <v>0</v>
      </c>
      <c r="R1929" t="n">
        <v>0</v>
      </c>
      <c r="S1929" t="n">
        <v>0</v>
      </c>
      <c r="T1929" t="n">
        <v>0</v>
      </c>
      <c r="U1929" t="n">
        <v>0</v>
      </c>
      <c r="V1929" s="2" t="inlineStr"/>
      <c r="Z1929">
        <f>HYPERLINK("https://klasma.github.io/Logging_0880/knärot/A 9712-2023 karta knärot.png", "A 9712-2023")</f>
        <v/>
      </c>
      <c r="AA1929">
        <f>HYPERLINK("https://klasma.github.io/Logging_0880/klagomål/A 9712-2023 FSC-klagomål.docx", "A 9712-2023")</f>
        <v/>
      </c>
      <c r="AB1929">
        <f>HYPERLINK("https://klasma.github.io/Logging_0880/klagomålsmail/A 9712-2023 FSC-klagomål mail.docx", "A 9712-2023")</f>
        <v/>
      </c>
      <c r="AC1929">
        <f>HYPERLINK("https://klasma.github.io/Logging_0880/tillsyn/A 9712-2023 tillsynsbegäran.docx", "A 9712-2023")</f>
        <v/>
      </c>
      <c r="AD1929">
        <f>HYPERLINK("https://klasma.github.io/Logging_0880/tillsynsmail/A 9712-2023 tillsynsbegäran mail.docx", "A 9712-2023")</f>
        <v/>
      </c>
    </row>
    <row r="1930" ht="15" customHeight="1">
      <c r="A1930" t="inlineStr">
        <is>
          <t>A 9727-2023</t>
        </is>
      </c>
      <c r="B1930" t="inlineStr">
        <is>
          <t>avverkningsanmälan</t>
        </is>
      </c>
      <c r="C1930" t="inlineStr">
        <is>
          <t>Föryngringsavverkning</t>
        </is>
      </c>
      <c r="D1930" s="1" t="n">
        <v>44984</v>
      </c>
      <c r="E1930" s="1" t="n">
        <v>46323</v>
      </c>
      <c r="F1930" t="inlineStr">
        <is>
          <t>KALMAR LÄN</t>
        </is>
      </c>
      <c r="G1930" t="inlineStr">
        <is>
          <t>KALMAR</t>
        </is>
      </c>
      <c r="I1930" t="n">
        <v>2.7</v>
      </c>
      <c r="J1930" t="n">
        <v>0</v>
      </c>
      <c r="K1930" t="n">
        <v>0</v>
      </c>
      <c r="L1930" t="n">
        <v>0</v>
      </c>
      <c r="M1930" t="n">
        <v>0</v>
      </c>
      <c r="N1930" t="n">
        <v>0</v>
      </c>
      <c r="O1930" t="n">
        <v>0</v>
      </c>
      <c r="P1930" t="n">
        <v>0</v>
      </c>
      <c r="Q1930" t="n">
        <v>0</v>
      </c>
      <c r="R1930" t="n">
        <v>0</v>
      </c>
      <c r="S1930" t="n">
        <v>0</v>
      </c>
      <c r="T1930" t="n">
        <v>0</v>
      </c>
      <c r="U1930" t="n">
        <v>0</v>
      </c>
      <c r="V1930" s="2" t="inlineStr"/>
    </row>
    <row r="1931" ht="15" customHeight="1">
      <c r="A1931" t="inlineStr">
        <is>
          <t>A 6368-2023</t>
        </is>
      </c>
      <c r="B1931" t="inlineStr">
        <is>
          <t>avverkningsanmälan</t>
        </is>
      </c>
      <c r="C1931" t="inlineStr">
        <is>
          <t>Föryngringsavverkning</t>
        </is>
      </c>
      <c r="D1931" s="1" t="n">
        <v>44965</v>
      </c>
      <c r="E1931" s="1" t="n">
        <v>46323</v>
      </c>
      <c r="F1931" t="inlineStr">
        <is>
          <t>KALMAR LÄN</t>
        </is>
      </c>
      <c r="G1931" t="inlineStr">
        <is>
          <t>VIMMERBY</t>
        </is>
      </c>
      <c r="I1931" t="n">
        <v>1.3</v>
      </c>
      <c r="J1931" t="n">
        <v>0</v>
      </c>
      <c r="K1931" t="n">
        <v>0</v>
      </c>
      <c r="L1931" t="n">
        <v>0</v>
      </c>
      <c r="M1931" t="n">
        <v>0</v>
      </c>
      <c r="N1931" t="n">
        <v>0</v>
      </c>
      <c r="O1931" t="n">
        <v>0</v>
      </c>
      <c r="P1931" t="n">
        <v>0</v>
      </c>
      <c r="Q1931" t="n">
        <v>0</v>
      </c>
      <c r="R1931" t="n">
        <v>0</v>
      </c>
      <c r="S1931" t="n">
        <v>0</v>
      </c>
      <c r="T1931" t="n">
        <v>0</v>
      </c>
      <c r="U1931" t="n">
        <v>0</v>
      </c>
      <c r="V1931" s="2" t="inlineStr"/>
    </row>
    <row r="1932" ht="15" customHeight="1">
      <c r="A1932" t="inlineStr">
        <is>
          <t>A 45450-2023</t>
        </is>
      </c>
      <c r="B1932" t="inlineStr">
        <is>
          <t>avverkningsanmälan</t>
        </is>
      </c>
      <c r="C1932" t="inlineStr">
        <is>
          <t>Föryngringsavverkning</t>
        </is>
      </c>
      <c r="D1932" s="1" t="n">
        <v>45194</v>
      </c>
      <c r="E1932" s="1" t="n">
        <v>46323</v>
      </c>
      <c r="F1932" t="inlineStr">
        <is>
          <t>KALMAR LÄN</t>
        </is>
      </c>
      <c r="G1932" t="inlineStr">
        <is>
          <t>VÄSTERVIK</t>
        </is>
      </c>
      <c r="H1932" t="inlineStr">
        <is>
          <t>Holmen skog AB</t>
        </is>
      </c>
      <c r="I1932" t="n">
        <v>1.5</v>
      </c>
      <c r="J1932" t="n">
        <v>0</v>
      </c>
      <c r="K1932" t="n">
        <v>0</v>
      </c>
      <c r="L1932" t="n">
        <v>0</v>
      </c>
      <c r="M1932" t="n">
        <v>0</v>
      </c>
      <c r="N1932" t="n">
        <v>0</v>
      </c>
      <c r="O1932" t="n">
        <v>0</v>
      </c>
      <c r="P1932" t="n">
        <v>0</v>
      </c>
      <c r="Q1932" t="n">
        <v>0</v>
      </c>
      <c r="R1932" t="n">
        <v>0</v>
      </c>
      <c r="S1932" t="n">
        <v>0</v>
      </c>
      <c r="T1932" t="n">
        <v>0</v>
      </c>
      <c r="U1932" t="n">
        <v>0</v>
      </c>
      <c r="V1932" s="2" t="inlineStr"/>
    </row>
    <row r="1933" ht="15" customHeight="1">
      <c r="A1933" t="inlineStr">
        <is>
          <t>A 45474-2023</t>
        </is>
      </c>
      <c r="B1933" t="inlineStr">
        <is>
          <t>avverkningsanmälan</t>
        </is>
      </c>
      <c r="C1933" t="inlineStr">
        <is>
          <t>Föryngringsavverkning</t>
        </is>
      </c>
      <c r="D1933" s="1" t="n">
        <v>45194</v>
      </c>
      <c r="E1933" s="1" t="n">
        <v>46323</v>
      </c>
      <c r="F1933" t="inlineStr">
        <is>
          <t>KALMAR LÄN</t>
        </is>
      </c>
      <c r="G1933" t="inlineStr">
        <is>
          <t>VÄSTERVIK</t>
        </is>
      </c>
      <c r="H1933" t="inlineStr">
        <is>
          <t>Holmen skog AB</t>
        </is>
      </c>
      <c r="I1933" t="n">
        <v>1.9</v>
      </c>
      <c r="J1933" t="n">
        <v>0</v>
      </c>
      <c r="K1933" t="n">
        <v>0</v>
      </c>
      <c r="L1933" t="n">
        <v>0</v>
      </c>
      <c r="M1933" t="n">
        <v>0</v>
      </c>
      <c r="N1933" t="n">
        <v>0</v>
      </c>
      <c r="O1933" t="n">
        <v>0</v>
      </c>
      <c r="P1933" t="n">
        <v>0</v>
      </c>
      <c r="Q1933" t="n">
        <v>0</v>
      </c>
      <c r="R1933" t="n">
        <v>0</v>
      </c>
      <c r="S1933" t="n">
        <v>0</v>
      </c>
      <c r="T1933" t="n">
        <v>0</v>
      </c>
      <c r="U1933" t="n">
        <v>0</v>
      </c>
      <c r="V1933" s="2" t="inlineStr"/>
    </row>
    <row r="1934" ht="15" customHeight="1">
      <c r="A1934" t="inlineStr">
        <is>
          <t>A 57885-2023</t>
        </is>
      </c>
      <c r="B1934" t="inlineStr">
        <is>
          <t>avverkningsanmälan</t>
        </is>
      </c>
      <c r="C1934" t="inlineStr">
        <is>
          <t>Föryngringsavverkning</t>
        </is>
      </c>
      <c r="D1934" s="1" t="n">
        <v>45244</v>
      </c>
      <c r="E1934" s="1" t="n">
        <v>46323</v>
      </c>
      <c r="F1934" t="inlineStr">
        <is>
          <t>KALMAR LÄN</t>
        </is>
      </c>
      <c r="G1934" t="inlineStr">
        <is>
          <t>OSKARSHAMN</t>
        </is>
      </c>
      <c r="I1934" t="n">
        <v>2.1</v>
      </c>
      <c r="J1934" t="n">
        <v>0</v>
      </c>
      <c r="K1934" t="n">
        <v>0</v>
      </c>
      <c r="L1934" t="n">
        <v>0</v>
      </c>
      <c r="M1934" t="n">
        <v>0</v>
      </c>
      <c r="N1934" t="n">
        <v>0</v>
      </c>
      <c r="O1934" t="n">
        <v>0</v>
      </c>
      <c r="P1934" t="n">
        <v>0</v>
      </c>
      <c r="Q1934" t="n">
        <v>0</v>
      </c>
      <c r="R1934" t="n">
        <v>0</v>
      </c>
      <c r="S1934" t="n">
        <v>0</v>
      </c>
      <c r="T1934" t="n">
        <v>0</v>
      </c>
      <c r="U1934" t="n">
        <v>0</v>
      </c>
      <c r="V1934" s="2" t="inlineStr"/>
    </row>
    <row r="1935" ht="15" customHeight="1">
      <c r="A1935" t="inlineStr">
        <is>
          <t>A 5701-2024</t>
        </is>
      </c>
      <c r="B1935" t="inlineStr">
        <is>
          <t>avverkningsanmälan</t>
        </is>
      </c>
      <c r="C1935" t="inlineStr">
        <is>
          <t>Föryngringsavverkning</t>
        </is>
      </c>
      <c r="D1935" s="1" t="n">
        <v>45334</v>
      </c>
      <c r="E1935" s="1" t="n">
        <v>46323</v>
      </c>
      <c r="F1935" t="inlineStr">
        <is>
          <t>KALMAR LÄN</t>
        </is>
      </c>
      <c r="G1935" t="inlineStr">
        <is>
          <t>VIMMERBY</t>
        </is>
      </c>
      <c r="I1935" t="n">
        <v>2.3</v>
      </c>
      <c r="J1935" t="n">
        <v>0</v>
      </c>
      <c r="K1935" t="n">
        <v>0</v>
      </c>
      <c r="L1935" t="n">
        <v>0</v>
      </c>
      <c r="M1935" t="n">
        <v>0</v>
      </c>
      <c r="N1935" t="n">
        <v>0</v>
      </c>
      <c r="O1935" t="n">
        <v>0</v>
      </c>
      <c r="P1935" t="n">
        <v>0</v>
      </c>
      <c r="Q1935" t="n">
        <v>0</v>
      </c>
      <c r="R1935" t="n">
        <v>0</v>
      </c>
      <c r="S1935" t="n">
        <v>0</v>
      </c>
      <c r="T1935" t="n">
        <v>0</v>
      </c>
      <c r="U1935" t="n">
        <v>0</v>
      </c>
      <c r="V1935" s="2" t="inlineStr"/>
    </row>
    <row r="1936" ht="15" customHeight="1">
      <c r="A1936" t="inlineStr">
        <is>
          <t>A 46457-2023</t>
        </is>
      </c>
      <c r="B1936" t="inlineStr">
        <is>
          <t>avverkningsanmälan</t>
        </is>
      </c>
      <c r="C1936" t="inlineStr">
        <is>
          <t>Föryngringsavverkning</t>
        </is>
      </c>
      <c r="D1936" s="1" t="n">
        <v>45197</v>
      </c>
      <c r="E1936" s="1" t="n">
        <v>46323</v>
      </c>
      <c r="F1936" t="inlineStr">
        <is>
          <t>KALMAR LÄN</t>
        </is>
      </c>
      <c r="G1936" t="inlineStr">
        <is>
          <t>HULTSFRED</t>
        </is>
      </c>
      <c r="I1936" t="n">
        <v>1.1</v>
      </c>
      <c r="J1936" t="n">
        <v>0</v>
      </c>
      <c r="K1936" t="n">
        <v>0</v>
      </c>
      <c r="L1936" t="n">
        <v>0</v>
      </c>
      <c r="M1936" t="n">
        <v>0</v>
      </c>
      <c r="N1936" t="n">
        <v>0</v>
      </c>
      <c r="O1936" t="n">
        <v>0</v>
      </c>
      <c r="P1936" t="n">
        <v>0</v>
      </c>
      <c r="Q1936" t="n">
        <v>0</v>
      </c>
      <c r="R1936" t="n">
        <v>0</v>
      </c>
      <c r="S1936" t="n">
        <v>0</v>
      </c>
      <c r="T1936" t="n">
        <v>0</v>
      </c>
      <c r="U1936" t="n">
        <v>0</v>
      </c>
      <c r="V1936" s="2" t="inlineStr"/>
    </row>
    <row r="1937" ht="15" customHeight="1">
      <c r="A1937" t="inlineStr">
        <is>
          <t>A 12394-2023</t>
        </is>
      </c>
      <c r="B1937" t="inlineStr">
        <is>
          <t>avverkningsanmälan</t>
        </is>
      </c>
      <c r="C1937" t="inlineStr">
        <is>
          <t>Föryngringsavverkning</t>
        </is>
      </c>
      <c r="D1937" s="1" t="n">
        <v>44999</v>
      </c>
      <c r="E1937" s="1" t="n">
        <v>46323</v>
      </c>
      <c r="F1937" t="inlineStr">
        <is>
          <t>KALMAR LÄN</t>
        </is>
      </c>
      <c r="G1937" t="inlineStr">
        <is>
          <t>HULTSFRED</t>
        </is>
      </c>
      <c r="I1937" t="n">
        <v>3.1</v>
      </c>
      <c r="J1937" t="n">
        <v>0</v>
      </c>
      <c r="K1937" t="n">
        <v>0</v>
      </c>
      <c r="L1937" t="n">
        <v>0</v>
      </c>
      <c r="M1937" t="n">
        <v>0</v>
      </c>
      <c r="N1937" t="n">
        <v>0</v>
      </c>
      <c r="O1937" t="n">
        <v>0</v>
      </c>
      <c r="P1937" t="n">
        <v>0</v>
      </c>
      <c r="Q1937" t="n">
        <v>0</v>
      </c>
      <c r="R1937" t="n">
        <v>0</v>
      </c>
      <c r="S1937" t="n">
        <v>0</v>
      </c>
      <c r="T1937" t="n">
        <v>0</v>
      </c>
      <c r="U1937" t="n">
        <v>0</v>
      </c>
      <c r="V1937" s="2" t="inlineStr"/>
    </row>
    <row r="1938" ht="15" customHeight="1">
      <c r="A1938" t="inlineStr">
        <is>
          <t>A 10871-2023</t>
        </is>
      </c>
      <c r="B1938" t="inlineStr">
        <is>
          <t>avverkningsanmälan</t>
        </is>
      </c>
      <c r="C1938" t="inlineStr">
        <is>
          <t>Föryngringsavverkning</t>
        </is>
      </c>
      <c r="D1938" s="1" t="n">
        <v>44991</v>
      </c>
      <c r="E1938" s="1" t="n">
        <v>46323</v>
      </c>
      <c r="F1938" t="inlineStr">
        <is>
          <t>KALMAR LÄN</t>
        </is>
      </c>
      <c r="G1938" t="inlineStr">
        <is>
          <t>HÖGSBY</t>
        </is>
      </c>
      <c r="I1938" t="n">
        <v>1.5</v>
      </c>
      <c r="J1938" t="n">
        <v>0</v>
      </c>
      <c r="K1938" t="n">
        <v>0</v>
      </c>
      <c r="L1938" t="n">
        <v>0</v>
      </c>
      <c r="M1938" t="n">
        <v>0</v>
      </c>
      <c r="N1938" t="n">
        <v>0</v>
      </c>
      <c r="O1938" t="n">
        <v>0</v>
      </c>
      <c r="P1938" t="n">
        <v>0</v>
      </c>
      <c r="Q1938" t="n">
        <v>0</v>
      </c>
      <c r="R1938" t="n">
        <v>0</v>
      </c>
      <c r="S1938" t="n">
        <v>0</v>
      </c>
      <c r="T1938" t="n">
        <v>0</v>
      </c>
      <c r="U1938" t="n">
        <v>0</v>
      </c>
      <c r="V1938" s="2" t="inlineStr"/>
    </row>
    <row r="1939" ht="15" customHeight="1">
      <c r="A1939" t="inlineStr">
        <is>
          <t>A 42567-2022</t>
        </is>
      </c>
      <c r="B1939" t="inlineStr">
        <is>
          <t>avverkningsanmälan</t>
        </is>
      </c>
      <c r="C1939" t="inlineStr">
        <is>
          <t>Föryngringsavverkning</t>
        </is>
      </c>
      <c r="D1939" s="1" t="n">
        <v>44831</v>
      </c>
      <c r="E1939" s="1" t="n">
        <v>46323</v>
      </c>
      <c r="F1939" t="inlineStr">
        <is>
          <t>KALMAR LÄN</t>
        </is>
      </c>
      <c r="G1939" t="inlineStr">
        <is>
          <t>HULTSFRED</t>
        </is>
      </c>
      <c r="I1939" t="n">
        <v>1.3</v>
      </c>
      <c r="J1939" t="n">
        <v>0</v>
      </c>
      <c r="K1939" t="n">
        <v>0</v>
      </c>
      <c r="L1939" t="n">
        <v>0</v>
      </c>
      <c r="M1939" t="n">
        <v>0</v>
      </c>
      <c r="N1939" t="n">
        <v>0</v>
      </c>
      <c r="O1939" t="n">
        <v>0</v>
      </c>
      <c r="P1939" t="n">
        <v>0</v>
      </c>
      <c r="Q1939" t="n">
        <v>0</v>
      </c>
      <c r="R1939" t="n">
        <v>0</v>
      </c>
      <c r="S1939" t="n">
        <v>0</v>
      </c>
      <c r="T1939" t="n">
        <v>0</v>
      </c>
      <c r="U1939" t="n">
        <v>0</v>
      </c>
      <c r="V1939" s="2" t="inlineStr"/>
    </row>
    <row r="1940" ht="15" customHeight="1">
      <c r="A1940" t="inlineStr">
        <is>
          <t>A 69464-2021</t>
        </is>
      </c>
      <c r="B1940" t="inlineStr">
        <is>
          <t>avverkningsanmälan</t>
        </is>
      </c>
      <c r="C1940" t="inlineStr">
        <is>
          <t>Föryngringsavverkning</t>
        </is>
      </c>
      <c r="D1940" s="1" t="n">
        <v>44531</v>
      </c>
      <c r="E1940" s="1" t="n">
        <v>46323</v>
      </c>
      <c r="F1940" t="inlineStr">
        <is>
          <t>KALMAR LÄN</t>
        </is>
      </c>
      <c r="G1940" t="inlineStr">
        <is>
          <t>EMMABODA</t>
        </is>
      </c>
      <c r="I1940" t="n">
        <v>2.2</v>
      </c>
      <c r="J1940" t="n">
        <v>0</v>
      </c>
      <c r="K1940" t="n">
        <v>0</v>
      </c>
      <c r="L1940" t="n">
        <v>0</v>
      </c>
      <c r="M1940" t="n">
        <v>0</v>
      </c>
      <c r="N1940" t="n">
        <v>0</v>
      </c>
      <c r="O1940" t="n">
        <v>0</v>
      </c>
      <c r="P1940" t="n">
        <v>0</v>
      </c>
      <c r="Q1940" t="n">
        <v>0</v>
      </c>
      <c r="R1940" t="n">
        <v>0</v>
      </c>
      <c r="S1940" t="n">
        <v>0</v>
      </c>
      <c r="T1940" t="n">
        <v>0</v>
      </c>
      <c r="U1940" t="n">
        <v>0</v>
      </c>
      <c r="V1940" s="2" t="inlineStr"/>
    </row>
    <row r="1941" ht="15" customHeight="1">
      <c r="A1941" t="inlineStr">
        <is>
          <t>A 62733-2021</t>
        </is>
      </c>
      <c r="B1941" t="inlineStr">
        <is>
          <t>avverkningsanmälan</t>
        </is>
      </c>
      <c r="C1941" t="inlineStr">
        <is>
          <t>Föryngringsavverkning</t>
        </is>
      </c>
      <c r="D1941" s="1" t="n">
        <v>44504</v>
      </c>
      <c r="E1941" s="1" t="n">
        <v>46323</v>
      </c>
      <c r="F1941" t="inlineStr">
        <is>
          <t>KALMAR LÄN</t>
        </is>
      </c>
      <c r="G1941" t="inlineStr">
        <is>
          <t>EMMABODA</t>
        </is>
      </c>
      <c r="I1941" t="n">
        <v>4.5</v>
      </c>
      <c r="J1941" t="n">
        <v>0</v>
      </c>
      <c r="K1941" t="n">
        <v>0</v>
      </c>
      <c r="L1941" t="n">
        <v>0</v>
      </c>
      <c r="M1941" t="n">
        <v>0</v>
      </c>
      <c r="N1941" t="n">
        <v>0</v>
      </c>
      <c r="O1941" t="n">
        <v>0</v>
      </c>
      <c r="P1941" t="n">
        <v>0</v>
      </c>
      <c r="Q1941" t="n">
        <v>0</v>
      </c>
      <c r="R1941" t="n">
        <v>0</v>
      </c>
      <c r="S1941" t="n">
        <v>0</v>
      </c>
      <c r="T1941" t="n">
        <v>0</v>
      </c>
      <c r="U1941" t="n">
        <v>0</v>
      </c>
      <c r="V1941" s="2" t="inlineStr"/>
    </row>
    <row r="1942" ht="15" customHeight="1">
      <c r="A1942" t="inlineStr">
        <is>
          <t>A 10462-2023</t>
        </is>
      </c>
      <c r="B1942" t="inlineStr">
        <is>
          <t>avverkningsanmälan</t>
        </is>
      </c>
      <c r="C1942" t="inlineStr">
        <is>
          <t>Föryngringsavverkning</t>
        </is>
      </c>
      <c r="D1942" s="1" t="n">
        <v>44987</v>
      </c>
      <c r="E1942" s="1" t="n">
        <v>46323</v>
      </c>
      <c r="F1942" t="inlineStr">
        <is>
          <t>KALMAR LÄN</t>
        </is>
      </c>
      <c r="G1942" t="inlineStr">
        <is>
          <t>OSKARSHAMN</t>
        </is>
      </c>
      <c r="H1942" t="inlineStr">
        <is>
          <t>Kommuner</t>
        </is>
      </c>
      <c r="I1942" t="n">
        <v>0.4</v>
      </c>
      <c r="J1942" t="n">
        <v>0</v>
      </c>
      <c r="K1942" t="n">
        <v>0</v>
      </c>
      <c r="L1942" t="n">
        <v>0</v>
      </c>
      <c r="M1942" t="n">
        <v>0</v>
      </c>
      <c r="N1942" t="n">
        <v>0</v>
      </c>
      <c r="O1942" t="n">
        <v>0</v>
      </c>
      <c r="P1942" t="n">
        <v>0</v>
      </c>
      <c r="Q1942" t="n">
        <v>0</v>
      </c>
      <c r="R1942" t="n">
        <v>0</v>
      </c>
      <c r="S1942" t="n">
        <v>0</v>
      </c>
      <c r="T1942" t="n">
        <v>0</v>
      </c>
      <c r="U1942" t="n">
        <v>0</v>
      </c>
      <c r="V1942" s="2" t="inlineStr"/>
    </row>
    <row r="1943" ht="15" customHeight="1">
      <c r="A1943" t="inlineStr">
        <is>
          <t>A 51781-2023</t>
        </is>
      </c>
      <c r="B1943" t="inlineStr">
        <is>
          <t>avverkningsanmälan</t>
        </is>
      </c>
      <c r="C1943" t="inlineStr">
        <is>
          <t>Föryngringsavverkning</t>
        </is>
      </c>
      <c r="D1943" s="1" t="n">
        <v>45222</v>
      </c>
      <c r="E1943" s="1" t="n">
        <v>46323</v>
      </c>
      <c r="F1943" t="inlineStr">
        <is>
          <t>KALMAR LÄN</t>
        </is>
      </c>
      <c r="G1943" t="inlineStr">
        <is>
          <t>TORSÅS</t>
        </is>
      </c>
      <c r="I1943" t="n">
        <v>1.2</v>
      </c>
      <c r="J1943" t="n">
        <v>0</v>
      </c>
      <c r="K1943" t="n">
        <v>0</v>
      </c>
      <c r="L1943" t="n">
        <v>0</v>
      </c>
      <c r="M1943" t="n">
        <v>0</v>
      </c>
      <c r="N1943" t="n">
        <v>0</v>
      </c>
      <c r="O1943" t="n">
        <v>0</v>
      </c>
      <c r="P1943" t="n">
        <v>0</v>
      </c>
      <c r="Q1943" t="n">
        <v>0</v>
      </c>
      <c r="R1943" t="n">
        <v>0</v>
      </c>
      <c r="S1943" t="n">
        <v>0</v>
      </c>
      <c r="T1943" t="n">
        <v>0</v>
      </c>
      <c r="U1943" t="n">
        <v>0</v>
      </c>
      <c r="V1943" s="2" t="inlineStr"/>
    </row>
    <row r="1944" ht="15" customHeight="1">
      <c r="A1944" t="inlineStr">
        <is>
          <t>A 61728-2023</t>
        </is>
      </c>
      <c r="B1944" t="inlineStr">
        <is>
          <t>avverkningsanmälan</t>
        </is>
      </c>
      <c r="C1944" t="inlineStr">
        <is>
          <t>Föryngringsavverkning</t>
        </is>
      </c>
      <c r="D1944" s="1" t="n">
        <v>45265</v>
      </c>
      <c r="E1944" s="1" t="n">
        <v>46323</v>
      </c>
      <c r="F1944" t="inlineStr">
        <is>
          <t>KALMAR LÄN</t>
        </is>
      </c>
      <c r="G1944" t="inlineStr">
        <is>
          <t>VÄSTERVIK</t>
        </is>
      </c>
      <c r="I1944" t="n">
        <v>1.9</v>
      </c>
      <c r="J1944" t="n">
        <v>0</v>
      </c>
      <c r="K1944" t="n">
        <v>0</v>
      </c>
      <c r="L1944" t="n">
        <v>0</v>
      </c>
      <c r="M1944" t="n">
        <v>0</v>
      </c>
      <c r="N1944" t="n">
        <v>0</v>
      </c>
      <c r="O1944" t="n">
        <v>0</v>
      </c>
      <c r="P1944" t="n">
        <v>0</v>
      </c>
      <c r="Q1944" t="n">
        <v>0</v>
      </c>
      <c r="R1944" t="n">
        <v>0</v>
      </c>
      <c r="S1944" t="n">
        <v>0</v>
      </c>
      <c r="T1944" t="n">
        <v>0</v>
      </c>
      <c r="U1944" t="n">
        <v>0</v>
      </c>
      <c r="V1944" s="2" t="inlineStr"/>
    </row>
    <row r="1945" ht="15" customHeight="1">
      <c r="A1945" t="inlineStr">
        <is>
          <t>A 64130-2023</t>
        </is>
      </c>
      <c r="B1945" t="inlineStr">
        <is>
          <t>avverkningsanmälan</t>
        </is>
      </c>
      <c r="C1945" t="inlineStr">
        <is>
          <t>Föryngringsavverkning</t>
        </is>
      </c>
      <c r="D1945" s="1" t="n">
        <v>45279</v>
      </c>
      <c r="E1945" s="1" t="n">
        <v>46323</v>
      </c>
      <c r="F1945" t="inlineStr">
        <is>
          <t>KALMAR LÄN</t>
        </is>
      </c>
      <c r="G1945" t="inlineStr">
        <is>
          <t>HÖGSBY</t>
        </is>
      </c>
      <c r="I1945" t="n">
        <v>4.9</v>
      </c>
      <c r="J1945" t="n">
        <v>0</v>
      </c>
      <c r="K1945" t="n">
        <v>0</v>
      </c>
      <c r="L1945" t="n">
        <v>0</v>
      </c>
      <c r="M1945" t="n">
        <v>0</v>
      </c>
      <c r="N1945" t="n">
        <v>0</v>
      </c>
      <c r="O1945" t="n">
        <v>0</v>
      </c>
      <c r="P1945" t="n">
        <v>0</v>
      </c>
      <c r="Q1945" t="n">
        <v>0</v>
      </c>
      <c r="R1945" t="n">
        <v>0</v>
      </c>
      <c r="S1945" t="n">
        <v>0</v>
      </c>
      <c r="T1945" t="n">
        <v>0</v>
      </c>
      <c r="U1945" t="n">
        <v>0</v>
      </c>
      <c r="V1945" s="2" t="inlineStr"/>
    </row>
    <row r="1946" ht="15" customHeight="1">
      <c r="A1946" t="inlineStr">
        <is>
          <t>A 28681-2023</t>
        </is>
      </c>
      <c r="B1946" t="inlineStr">
        <is>
          <t>avverkningsanmälan</t>
        </is>
      </c>
      <c r="C1946" t="inlineStr">
        <is>
          <t>Föryngringsavverkning</t>
        </is>
      </c>
      <c r="D1946" s="1" t="n">
        <v>45103</v>
      </c>
      <c r="E1946" s="1" t="n">
        <v>46323</v>
      </c>
      <c r="F1946" t="inlineStr">
        <is>
          <t>KALMAR LÄN</t>
        </is>
      </c>
      <c r="G1946" t="inlineStr">
        <is>
          <t>EMMABODA</t>
        </is>
      </c>
      <c r="I1946" t="n">
        <v>4.6</v>
      </c>
      <c r="J1946" t="n">
        <v>0</v>
      </c>
      <c r="K1946" t="n">
        <v>0</v>
      </c>
      <c r="L1946" t="n">
        <v>0</v>
      </c>
      <c r="M1946" t="n">
        <v>0</v>
      </c>
      <c r="N1946" t="n">
        <v>0</v>
      </c>
      <c r="O1946" t="n">
        <v>0</v>
      </c>
      <c r="P1946" t="n">
        <v>0</v>
      </c>
      <c r="Q1946" t="n">
        <v>0</v>
      </c>
      <c r="R1946" t="n">
        <v>0</v>
      </c>
      <c r="S1946" t="n">
        <v>0</v>
      </c>
      <c r="T1946" t="n">
        <v>0</v>
      </c>
      <c r="U1946" t="n">
        <v>0</v>
      </c>
      <c r="V1946" s="2" t="inlineStr"/>
    </row>
    <row r="1947" ht="15" customHeight="1">
      <c r="A1947" t="inlineStr">
        <is>
          <t>A 4520-2024</t>
        </is>
      </c>
      <c r="B1947" t="inlineStr">
        <is>
          <t>avverkningsanmälan</t>
        </is>
      </c>
      <c r="C1947" t="inlineStr">
        <is>
          <t>Föryngringsavverkning</t>
        </is>
      </c>
      <c r="D1947" s="1" t="n">
        <v>45327</v>
      </c>
      <c r="E1947" s="1" t="n">
        <v>46323</v>
      </c>
      <c r="F1947" t="inlineStr">
        <is>
          <t>KALMAR LÄN</t>
        </is>
      </c>
      <c r="G1947" t="inlineStr">
        <is>
          <t>VÄSTERVIK</t>
        </is>
      </c>
      <c r="I1947" t="n">
        <v>0.5</v>
      </c>
      <c r="J1947" t="n">
        <v>0</v>
      </c>
      <c r="K1947" t="n">
        <v>0</v>
      </c>
      <c r="L1947" t="n">
        <v>0</v>
      </c>
      <c r="M1947" t="n">
        <v>0</v>
      </c>
      <c r="N1947" t="n">
        <v>0</v>
      </c>
      <c r="O1947" t="n">
        <v>0</v>
      </c>
      <c r="P1947" t="n">
        <v>0</v>
      </c>
      <c r="Q1947" t="n">
        <v>0</v>
      </c>
      <c r="R1947" t="n">
        <v>0</v>
      </c>
      <c r="S1947" t="n">
        <v>0</v>
      </c>
      <c r="T1947" t="n">
        <v>0</v>
      </c>
      <c r="U1947" t="n">
        <v>0</v>
      </c>
      <c r="V1947" s="2" t="inlineStr"/>
    </row>
    <row r="1948" ht="15" customHeight="1">
      <c r="A1948" t="inlineStr">
        <is>
          <t>A 5103-2025</t>
        </is>
      </c>
      <c r="B1948" t="inlineStr">
        <is>
          <t>avverkningsanmälan</t>
        </is>
      </c>
      <c r="C1948" t="inlineStr">
        <is>
          <t>Föryngringsavverkning</t>
        </is>
      </c>
      <c r="D1948" s="1" t="n">
        <v>45691</v>
      </c>
      <c r="E1948" s="1" t="n">
        <v>46323</v>
      </c>
      <c r="F1948" t="inlineStr">
        <is>
          <t>KALMAR LÄN</t>
        </is>
      </c>
      <c r="G1948" t="inlineStr">
        <is>
          <t>OSKARSHAMN</t>
        </is>
      </c>
      <c r="I1948" t="n">
        <v>1.2</v>
      </c>
      <c r="J1948" t="n">
        <v>0</v>
      </c>
      <c r="K1948" t="n">
        <v>0</v>
      </c>
      <c r="L1948" t="n">
        <v>0</v>
      </c>
      <c r="M1948" t="n">
        <v>0</v>
      </c>
      <c r="N1948" t="n">
        <v>0</v>
      </c>
      <c r="O1948" t="n">
        <v>0</v>
      </c>
      <c r="P1948" t="n">
        <v>0</v>
      </c>
      <c r="Q1948" t="n">
        <v>0</v>
      </c>
      <c r="R1948" t="n">
        <v>0</v>
      </c>
      <c r="S1948" t="n">
        <v>0</v>
      </c>
      <c r="T1948" t="n">
        <v>0</v>
      </c>
      <c r="U1948" t="n">
        <v>0</v>
      </c>
      <c r="V1948" s="2" t="inlineStr"/>
    </row>
    <row r="1949" ht="15" customHeight="1">
      <c r="A1949" t="inlineStr">
        <is>
          <t>A 28878-2022</t>
        </is>
      </c>
      <c r="B1949" t="inlineStr">
        <is>
          <t>avverkningsanmälan</t>
        </is>
      </c>
      <c r="C1949" t="inlineStr">
        <is>
          <t>Föryngringsavverkning</t>
        </is>
      </c>
      <c r="D1949" s="1" t="n">
        <v>44749</v>
      </c>
      <c r="E1949" s="1" t="n">
        <v>46323</v>
      </c>
      <c r="F1949" t="inlineStr">
        <is>
          <t>KALMAR LÄN</t>
        </is>
      </c>
      <c r="G1949" t="inlineStr">
        <is>
          <t>HULTSFRED</t>
        </is>
      </c>
      <c r="I1949" t="n">
        <v>2.7</v>
      </c>
      <c r="J1949" t="n">
        <v>0</v>
      </c>
      <c r="K1949" t="n">
        <v>0</v>
      </c>
      <c r="L1949" t="n">
        <v>0</v>
      </c>
      <c r="M1949" t="n">
        <v>0</v>
      </c>
      <c r="N1949" t="n">
        <v>0</v>
      </c>
      <c r="O1949" t="n">
        <v>0</v>
      </c>
      <c r="P1949" t="n">
        <v>0</v>
      </c>
      <c r="Q1949" t="n">
        <v>0</v>
      </c>
      <c r="R1949" t="n">
        <v>0</v>
      </c>
      <c r="S1949" t="n">
        <v>0</v>
      </c>
      <c r="T1949" t="n">
        <v>0</v>
      </c>
      <c r="U1949" t="n">
        <v>0</v>
      </c>
      <c r="V1949" s="2" t="inlineStr"/>
    </row>
    <row r="1950" ht="15" customHeight="1">
      <c r="A1950" t="inlineStr">
        <is>
          <t>A 4182-2024</t>
        </is>
      </c>
      <c r="B1950" t="inlineStr">
        <is>
          <t>avverkningsanmälan</t>
        </is>
      </c>
      <c r="C1950" t="inlineStr">
        <is>
          <t>Föryngringsavverkning</t>
        </is>
      </c>
      <c r="D1950" s="1" t="n">
        <v>45324</v>
      </c>
      <c r="E1950" s="1" t="n">
        <v>46323</v>
      </c>
      <c r="F1950" t="inlineStr">
        <is>
          <t>KALMAR LÄN</t>
        </is>
      </c>
      <c r="G1950" t="inlineStr">
        <is>
          <t>KALMAR</t>
        </is>
      </c>
      <c r="I1950" t="n">
        <v>1.7</v>
      </c>
      <c r="J1950" t="n">
        <v>0</v>
      </c>
      <c r="K1950" t="n">
        <v>0</v>
      </c>
      <c r="L1950" t="n">
        <v>0</v>
      </c>
      <c r="M1950" t="n">
        <v>0</v>
      </c>
      <c r="N1950" t="n">
        <v>0</v>
      </c>
      <c r="O1950" t="n">
        <v>0</v>
      </c>
      <c r="P1950" t="n">
        <v>0</v>
      </c>
      <c r="Q1950" t="n">
        <v>0</v>
      </c>
      <c r="R1950" t="n">
        <v>0</v>
      </c>
      <c r="S1950" t="n">
        <v>0</v>
      </c>
      <c r="T1950" t="n">
        <v>0</v>
      </c>
      <c r="U1950" t="n">
        <v>0</v>
      </c>
      <c r="V1950" s="2" t="inlineStr"/>
    </row>
    <row r="1951" ht="15" customHeight="1">
      <c r="A1951" t="inlineStr">
        <is>
          <t>A 63950-2023</t>
        </is>
      </c>
      <c r="B1951" t="inlineStr">
        <is>
          <t>avverkningsanmälan</t>
        </is>
      </c>
      <c r="C1951" t="inlineStr">
        <is>
          <t>Föryngringsavverkning</t>
        </is>
      </c>
      <c r="D1951" s="1" t="n">
        <v>45278</v>
      </c>
      <c r="E1951" s="1" t="n">
        <v>46323</v>
      </c>
      <c r="F1951" t="inlineStr">
        <is>
          <t>KALMAR LÄN</t>
        </is>
      </c>
      <c r="G1951" t="inlineStr">
        <is>
          <t>VIMMERBY</t>
        </is>
      </c>
      <c r="H1951" t="inlineStr">
        <is>
          <t>Kyrkan</t>
        </is>
      </c>
      <c r="I1951" t="n">
        <v>2.7</v>
      </c>
      <c r="J1951" t="n">
        <v>0</v>
      </c>
      <c r="K1951" t="n">
        <v>0</v>
      </c>
      <c r="L1951" t="n">
        <v>0</v>
      </c>
      <c r="M1951" t="n">
        <v>0</v>
      </c>
      <c r="N1951" t="n">
        <v>0</v>
      </c>
      <c r="O1951" t="n">
        <v>0</v>
      </c>
      <c r="P1951" t="n">
        <v>0</v>
      </c>
      <c r="Q1951" t="n">
        <v>0</v>
      </c>
      <c r="R1951" t="n">
        <v>0</v>
      </c>
      <c r="S1951" t="n">
        <v>0</v>
      </c>
      <c r="T1951" t="n">
        <v>0</v>
      </c>
      <c r="U1951" t="n">
        <v>0</v>
      </c>
      <c r="V1951" s="2" t="inlineStr"/>
    </row>
    <row r="1952" ht="15" customHeight="1">
      <c r="A1952" t="inlineStr">
        <is>
          <t>A 10904-2024</t>
        </is>
      </c>
      <c r="B1952" t="inlineStr">
        <is>
          <t>avverkningsanmälan</t>
        </is>
      </c>
      <c r="C1952" t="inlineStr">
        <is>
          <t>Föryngringsavverkning</t>
        </is>
      </c>
      <c r="D1952" s="1" t="n">
        <v>45370</v>
      </c>
      <c r="E1952" s="1" t="n">
        <v>46323</v>
      </c>
      <c r="F1952" t="inlineStr">
        <is>
          <t>KALMAR LÄN</t>
        </is>
      </c>
      <c r="G1952" t="inlineStr">
        <is>
          <t>HULTSFRED</t>
        </is>
      </c>
      <c r="I1952" t="n">
        <v>7.8</v>
      </c>
      <c r="J1952" t="n">
        <v>0</v>
      </c>
      <c r="K1952" t="n">
        <v>0</v>
      </c>
      <c r="L1952" t="n">
        <v>0</v>
      </c>
      <c r="M1952" t="n">
        <v>0</v>
      </c>
      <c r="N1952" t="n">
        <v>0</v>
      </c>
      <c r="O1952" t="n">
        <v>0</v>
      </c>
      <c r="P1952" t="n">
        <v>0</v>
      </c>
      <c r="Q1952" t="n">
        <v>0</v>
      </c>
      <c r="R1952" t="n">
        <v>0</v>
      </c>
      <c r="S1952" t="n">
        <v>0</v>
      </c>
      <c r="T1952" t="n">
        <v>0</v>
      </c>
      <c r="U1952" t="n">
        <v>0</v>
      </c>
      <c r="V1952" s="2" t="inlineStr"/>
    </row>
    <row r="1953" ht="15" customHeight="1">
      <c r="A1953" t="inlineStr">
        <is>
          <t>A 27414-2023</t>
        </is>
      </c>
      <c r="B1953" t="inlineStr">
        <is>
          <t>avverkningsanmälan</t>
        </is>
      </c>
      <c r="C1953" t="inlineStr">
        <is>
          <t>Föryngringsavverkning</t>
        </is>
      </c>
      <c r="D1953" s="1" t="n">
        <v>45092</v>
      </c>
      <c r="E1953" s="1" t="n">
        <v>46323</v>
      </c>
      <c r="F1953" t="inlineStr">
        <is>
          <t>KALMAR LÄN</t>
        </is>
      </c>
      <c r="G1953" t="inlineStr">
        <is>
          <t>EMMABODA</t>
        </is>
      </c>
      <c r="I1953" t="n">
        <v>2.1</v>
      </c>
      <c r="J1953" t="n">
        <v>0</v>
      </c>
      <c r="K1953" t="n">
        <v>0</v>
      </c>
      <c r="L1953" t="n">
        <v>0</v>
      </c>
      <c r="M1953" t="n">
        <v>0</v>
      </c>
      <c r="N1953" t="n">
        <v>0</v>
      </c>
      <c r="O1953" t="n">
        <v>0</v>
      </c>
      <c r="P1953" t="n">
        <v>0</v>
      </c>
      <c r="Q1953" t="n">
        <v>0</v>
      </c>
      <c r="R1953" t="n">
        <v>0</v>
      </c>
      <c r="S1953" t="n">
        <v>0</v>
      </c>
      <c r="T1953" t="n">
        <v>0</v>
      </c>
      <c r="U1953" t="n">
        <v>0</v>
      </c>
      <c r="V1953" s="2" t="inlineStr"/>
    </row>
    <row r="1954" ht="15" customHeight="1">
      <c r="A1954" t="inlineStr">
        <is>
          <t>A 57808-2023</t>
        </is>
      </c>
      <c r="B1954" t="inlineStr">
        <is>
          <t>avverkningsanmälan</t>
        </is>
      </c>
      <c r="C1954" t="inlineStr">
        <is>
          <t>Föryngringsavverkning</t>
        </is>
      </c>
      <c r="D1954" s="1" t="n">
        <v>45247</v>
      </c>
      <c r="E1954" s="1" t="n">
        <v>46323</v>
      </c>
      <c r="F1954" t="inlineStr">
        <is>
          <t>KALMAR LÄN</t>
        </is>
      </c>
      <c r="G1954" t="inlineStr">
        <is>
          <t>HULTSFRED</t>
        </is>
      </c>
      <c r="I1954" t="n">
        <v>3.8</v>
      </c>
      <c r="J1954" t="n">
        <v>0</v>
      </c>
      <c r="K1954" t="n">
        <v>0</v>
      </c>
      <c r="L1954" t="n">
        <v>0</v>
      </c>
      <c r="M1954" t="n">
        <v>0</v>
      </c>
      <c r="N1954" t="n">
        <v>0</v>
      </c>
      <c r="O1954" t="n">
        <v>0</v>
      </c>
      <c r="P1954" t="n">
        <v>0</v>
      </c>
      <c r="Q1954" t="n">
        <v>0</v>
      </c>
      <c r="R1954" t="n">
        <v>0</v>
      </c>
      <c r="S1954" t="n">
        <v>0</v>
      </c>
      <c r="T1954" t="n">
        <v>0</v>
      </c>
      <c r="U1954" t="n">
        <v>0</v>
      </c>
      <c r="V1954" s="2" t="inlineStr"/>
    </row>
    <row r="1955" ht="15" customHeight="1">
      <c r="A1955" t="inlineStr">
        <is>
          <t>A 7742-2023</t>
        </is>
      </c>
      <c r="B1955" t="inlineStr">
        <is>
          <t>avverkningsanmälan</t>
        </is>
      </c>
      <c r="C1955" t="inlineStr">
        <is>
          <t>Föryngringsavverkning</t>
        </is>
      </c>
      <c r="D1955" s="1" t="n">
        <v>44973</v>
      </c>
      <c r="E1955" s="1" t="n">
        <v>46323</v>
      </c>
      <c r="F1955" t="inlineStr">
        <is>
          <t>KALMAR LÄN</t>
        </is>
      </c>
      <c r="G1955" t="inlineStr">
        <is>
          <t>KALMAR</t>
        </is>
      </c>
      <c r="I1955" t="n">
        <v>1.5</v>
      </c>
      <c r="J1955" t="n">
        <v>0</v>
      </c>
      <c r="K1955" t="n">
        <v>0</v>
      </c>
      <c r="L1955" t="n">
        <v>0</v>
      </c>
      <c r="M1955" t="n">
        <v>0</v>
      </c>
      <c r="N1955" t="n">
        <v>0</v>
      </c>
      <c r="O1955" t="n">
        <v>0</v>
      </c>
      <c r="P1955" t="n">
        <v>0</v>
      </c>
      <c r="Q1955" t="n">
        <v>0</v>
      </c>
      <c r="R1955" t="n">
        <v>0</v>
      </c>
      <c r="S1955" t="n">
        <v>0</v>
      </c>
      <c r="T1955" t="n">
        <v>0</v>
      </c>
      <c r="U1955" t="n">
        <v>0</v>
      </c>
      <c r="V1955" s="2" t="inlineStr"/>
    </row>
    <row r="1956" ht="15" customHeight="1">
      <c r="A1956" t="inlineStr">
        <is>
          <t>A 26515-2022</t>
        </is>
      </c>
      <c r="B1956" t="inlineStr">
        <is>
          <t>avverkningsanmälan</t>
        </is>
      </c>
      <c r="C1956" t="inlineStr">
        <is>
          <t>Föryngringsavverkning</t>
        </is>
      </c>
      <c r="D1956" s="1" t="n">
        <v>44739</v>
      </c>
      <c r="E1956" s="1" t="n">
        <v>46323</v>
      </c>
      <c r="F1956" t="inlineStr">
        <is>
          <t>KALMAR LÄN</t>
        </is>
      </c>
      <c r="G1956" t="inlineStr">
        <is>
          <t>TORSÅS</t>
        </is>
      </c>
      <c r="I1956" t="n">
        <v>1.3</v>
      </c>
      <c r="J1956" t="n">
        <v>0</v>
      </c>
      <c r="K1956" t="n">
        <v>0</v>
      </c>
      <c r="L1956" t="n">
        <v>0</v>
      </c>
      <c r="M1956" t="n">
        <v>0</v>
      </c>
      <c r="N1956" t="n">
        <v>0</v>
      </c>
      <c r="O1956" t="n">
        <v>0</v>
      </c>
      <c r="P1956" t="n">
        <v>0</v>
      </c>
      <c r="Q1956" t="n">
        <v>0</v>
      </c>
      <c r="R1956" t="n">
        <v>0</v>
      </c>
      <c r="S1956" t="n">
        <v>0</v>
      </c>
      <c r="T1956" t="n">
        <v>0</v>
      </c>
      <c r="U1956" t="n">
        <v>0</v>
      </c>
      <c r="V1956" s="2" t="inlineStr"/>
    </row>
    <row r="1957" ht="15" customHeight="1">
      <c r="A1957" t="inlineStr">
        <is>
          <t>A 58933-2022</t>
        </is>
      </c>
      <c r="B1957" t="inlineStr">
        <is>
          <t>avverkningsanmälan</t>
        </is>
      </c>
      <c r="C1957" t="inlineStr">
        <is>
          <t>Föryngringsavverkning</t>
        </is>
      </c>
      <c r="D1957" s="1" t="n">
        <v>44903</v>
      </c>
      <c r="E1957" s="1" t="n">
        <v>46323</v>
      </c>
      <c r="F1957" t="inlineStr">
        <is>
          <t>KALMAR LÄN</t>
        </is>
      </c>
      <c r="G1957" t="inlineStr">
        <is>
          <t>NYBRO</t>
        </is>
      </c>
      <c r="I1957" t="n">
        <v>3</v>
      </c>
      <c r="J1957" t="n">
        <v>0</v>
      </c>
      <c r="K1957" t="n">
        <v>0</v>
      </c>
      <c r="L1957" t="n">
        <v>0</v>
      </c>
      <c r="M1957" t="n">
        <v>0</v>
      </c>
      <c r="N1957" t="n">
        <v>0</v>
      </c>
      <c r="O1957" t="n">
        <v>0</v>
      </c>
      <c r="P1957" t="n">
        <v>0</v>
      </c>
      <c r="Q1957" t="n">
        <v>0</v>
      </c>
      <c r="R1957" t="n">
        <v>0</v>
      </c>
      <c r="S1957" t="n">
        <v>0</v>
      </c>
      <c r="T1957" t="n">
        <v>0</v>
      </c>
      <c r="U1957" t="n">
        <v>0</v>
      </c>
      <c r="V1957" s="2" t="inlineStr"/>
    </row>
    <row r="1958" ht="15" customHeight="1">
      <c r="A1958" t="inlineStr">
        <is>
          <t>A 54745-2024</t>
        </is>
      </c>
      <c r="B1958" t="inlineStr">
        <is>
          <t>avverkningsanmälan</t>
        </is>
      </c>
      <c r="C1958" t="inlineStr">
        <is>
          <t>Avverkning för att bevara och utveckla /försöksver</t>
        </is>
      </c>
      <c r="D1958" s="1" t="n">
        <v>45618</v>
      </c>
      <c r="E1958" s="1" t="n">
        <v>46323</v>
      </c>
      <c r="F1958" t="inlineStr">
        <is>
          <t>KALMAR LÄN</t>
        </is>
      </c>
      <c r="G1958" t="inlineStr">
        <is>
          <t>KALMAR</t>
        </is>
      </c>
      <c r="I1958" t="n">
        <v>2.9</v>
      </c>
      <c r="J1958" t="n">
        <v>0</v>
      </c>
      <c r="K1958" t="n">
        <v>0</v>
      </c>
      <c r="L1958" t="n">
        <v>0</v>
      </c>
      <c r="M1958" t="n">
        <v>0</v>
      </c>
      <c r="N1958" t="n">
        <v>0</v>
      </c>
      <c r="O1958" t="n">
        <v>0</v>
      </c>
      <c r="P1958" t="n">
        <v>0</v>
      </c>
      <c r="Q1958" t="n">
        <v>0</v>
      </c>
      <c r="R1958" t="n">
        <v>0</v>
      </c>
      <c r="S1958" t="n">
        <v>0</v>
      </c>
      <c r="T1958" t="n">
        <v>0</v>
      </c>
      <c r="U1958" t="n">
        <v>0</v>
      </c>
      <c r="V1958" s="2" t="inlineStr"/>
    </row>
    <row r="1959" ht="15" customHeight="1">
      <c r="A1959" t="inlineStr">
        <is>
          <t>A 46141-2023</t>
        </is>
      </c>
      <c r="B1959" t="inlineStr">
        <is>
          <t>avverkningsanmälan</t>
        </is>
      </c>
      <c r="C1959" t="inlineStr">
        <is>
          <t>Föryngringsavverkning</t>
        </is>
      </c>
      <c r="D1959" s="1" t="n">
        <v>45190</v>
      </c>
      <c r="E1959" s="1" t="n">
        <v>46323</v>
      </c>
      <c r="F1959" t="inlineStr">
        <is>
          <t>KALMAR LÄN</t>
        </is>
      </c>
      <c r="G1959" t="inlineStr">
        <is>
          <t>EMMABODA</t>
        </is>
      </c>
      <c r="I1959" t="n">
        <v>0.5</v>
      </c>
      <c r="J1959" t="n">
        <v>0</v>
      </c>
      <c r="K1959" t="n">
        <v>0</v>
      </c>
      <c r="L1959" t="n">
        <v>0</v>
      </c>
      <c r="M1959" t="n">
        <v>0</v>
      </c>
      <c r="N1959" t="n">
        <v>0</v>
      </c>
      <c r="O1959" t="n">
        <v>0</v>
      </c>
      <c r="P1959" t="n">
        <v>0</v>
      </c>
      <c r="Q1959" t="n">
        <v>0</v>
      </c>
      <c r="R1959" t="n">
        <v>0</v>
      </c>
      <c r="S1959" t="n">
        <v>0</v>
      </c>
      <c r="T1959" t="n">
        <v>0</v>
      </c>
      <c r="U1959" t="n">
        <v>0</v>
      </c>
      <c r="V1959" s="2" t="inlineStr"/>
    </row>
    <row r="1960" ht="15" customHeight="1">
      <c r="A1960" t="inlineStr">
        <is>
          <t>A 18571-2023</t>
        </is>
      </c>
      <c r="B1960" t="inlineStr">
        <is>
          <t>avverkningsanmälan</t>
        </is>
      </c>
      <c r="C1960" t="inlineStr">
        <is>
          <t>Föryngringsavverkning</t>
        </is>
      </c>
      <c r="D1960" s="1" t="n">
        <v>45043</v>
      </c>
      <c r="E1960" s="1" t="n">
        <v>46323</v>
      </c>
      <c r="F1960" t="inlineStr">
        <is>
          <t>KALMAR LÄN</t>
        </is>
      </c>
      <c r="G1960" t="inlineStr">
        <is>
          <t>NYBRO</t>
        </is>
      </c>
      <c r="I1960" t="n">
        <v>1.1</v>
      </c>
      <c r="J1960" t="n">
        <v>0</v>
      </c>
      <c r="K1960" t="n">
        <v>0</v>
      </c>
      <c r="L1960" t="n">
        <v>0</v>
      </c>
      <c r="M1960" t="n">
        <v>0</v>
      </c>
      <c r="N1960" t="n">
        <v>0</v>
      </c>
      <c r="O1960" t="n">
        <v>0</v>
      </c>
      <c r="P1960" t="n">
        <v>0</v>
      </c>
      <c r="Q1960" t="n">
        <v>0</v>
      </c>
      <c r="R1960" t="n">
        <v>0</v>
      </c>
      <c r="S1960" t="n">
        <v>0</v>
      </c>
      <c r="T1960" t="n">
        <v>0</v>
      </c>
      <c r="U1960" t="n">
        <v>0</v>
      </c>
      <c r="V1960" s="2" t="inlineStr"/>
    </row>
    <row r="1961" ht="15" customHeight="1">
      <c r="A1961" t="inlineStr">
        <is>
          <t>A 27488-2024</t>
        </is>
      </c>
      <c r="B1961" t="inlineStr">
        <is>
          <t>avverkningsanmälan</t>
        </is>
      </c>
      <c r="C1961" t="inlineStr">
        <is>
          <t>Föryngringsavverkning</t>
        </is>
      </c>
      <c r="D1961" s="1" t="n">
        <v>45474</v>
      </c>
      <c r="E1961" s="1" t="n">
        <v>46323</v>
      </c>
      <c r="F1961" t="inlineStr">
        <is>
          <t>KALMAR LÄN</t>
        </is>
      </c>
      <c r="G1961" t="inlineStr">
        <is>
          <t>EMMABODA</t>
        </is>
      </c>
      <c r="I1961" t="n">
        <v>0.9</v>
      </c>
      <c r="J1961" t="n">
        <v>0</v>
      </c>
      <c r="K1961" t="n">
        <v>0</v>
      </c>
      <c r="L1961" t="n">
        <v>0</v>
      </c>
      <c r="M1961" t="n">
        <v>0</v>
      </c>
      <c r="N1961" t="n">
        <v>0</v>
      </c>
      <c r="O1961" t="n">
        <v>0</v>
      </c>
      <c r="P1961" t="n">
        <v>0</v>
      </c>
      <c r="Q1961" t="n">
        <v>0</v>
      </c>
      <c r="R1961" t="n">
        <v>0</v>
      </c>
      <c r="S1961" t="n">
        <v>0</v>
      </c>
      <c r="T1961" t="n">
        <v>0</v>
      </c>
      <c r="U1961" t="n">
        <v>0</v>
      </c>
      <c r="V1961" s="2" t="inlineStr"/>
    </row>
    <row r="1962" ht="15" customHeight="1">
      <c r="A1962" t="inlineStr">
        <is>
          <t>A 19967-2023</t>
        </is>
      </c>
      <c r="B1962" t="inlineStr">
        <is>
          <t>avverkningsanmälan</t>
        </is>
      </c>
      <c r="C1962" t="inlineStr">
        <is>
          <t>Föryngringsavverkning</t>
        </is>
      </c>
      <c r="D1962" s="1" t="n">
        <v>45054</v>
      </c>
      <c r="E1962" s="1" t="n">
        <v>46323</v>
      </c>
      <c r="F1962" t="inlineStr">
        <is>
          <t>KALMAR LÄN</t>
        </is>
      </c>
      <c r="G1962" t="inlineStr">
        <is>
          <t>NYBRO</t>
        </is>
      </c>
      <c r="I1962" t="n">
        <v>4.6</v>
      </c>
      <c r="J1962" t="n">
        <v>0</v>
      </c>
      <c r="K1962" t="n">
        <v>0</v>
      </c>
      <c r="L1962" t="n">
        <v>0</v>
      </c>
      <c r="M1962" t="n">
        <v>0</v>
      </c>
      <c r="N1962" t="n">
        <v>0</v>
      </c>
      <c r="O1962" t="n">
        <v>0</v>
      </c>
      <c r="P1962" t="n">
        <v>0</v>
      </c>
      <c r="Q1962" t="n">
        <v>0</v>
      </c>
      <c r="R1962" t="n">
        <v>0</v>
      </c>
      <c r="S1962" t="n">
        <v>0</v>
      </c>
      <c r="T1962" t="n">
        <v>0</v>
      </c>
      <c r="U1962" t="n">
        <v>0</v>
      </c>
      <c r="V1962" s="2" t="inlineStr"/>
    </row>
    <row r="1963" ht="15" customHeight="1">
      <c r="A1963" t="inlineStr">
        <is>
          <t>A 24096-2024</t>
        </is>
      </c>
      <c r="B1963" t="inlineStr">
        <is>
          <t>avverkningsanmälan</t>
        </is>
      </c>
      <c r="C1963" t="inlineStr">
        <is>
          <t>Föryngringsavverkning</t>
        </is>
      </c>
      <c r="D1963" s="1" t="n">
        <v>45456</v>
      </c>
      <c r="E1963" s="1" t="n">
        <v>46323</v>
      </c>
      <c r="F1963" t="inlineStr">
        <is>
          <t>KALMAR LÄN</t>
        </is>
      </c>
      <c r="G1963" t="inlineStr">
        <is>
          <t>VIMMERBY</t>
        </is>
      </c>
      <c r="I1963" t="n">
        <v>2.3</v>
      </c>
      <c r="J1963" t="n">
        <v>0</v>
      </c>
      <c r="K1963" t="n">
        <v>0</v>
      </c>
      <c r="L1963" t="n">
        <v>0</v>
      </c>
      <c r="M1963" t="n">
        <v>0</v>
      </c>
      <c r="N1963" t="n">
        <v>0</v>
      </c>
      <c r="O1963" t="n">
        <v>0</v>
      </c>
      <c r="P1963" t="n">
        <v>0</v>
      </c>
      <c r="Q1963" t="n">
        <v>0</v>
      </c>
      <c r="R1963" t="n">
        <v>0</v>
      </c>
      <c r="S1963" t="n">
        <v>0</v>
      </c>
      <c r="T1963" t="n">
        <v>0</v>
      </c>
      <c r="U1963" t="n">
        <v>0</v>
      </c>
      <c r="V1963" s="2" t="inlineStr"/>
    </row>
    <row r="1964" ht="15" customHeight="1">
      <c r="A1964" t="inlineStr">
        <is>
          <t>A 68423-2021</t>
        </is>
      </c>
      <c r="B1964" t="inlineStr">
        <is>
          <t>avverkningsanmälan</t>
        </is>
      </c>
      <c r="C1964" t="inlineStr">
        <is>
          <t>Föryngringsavverkning</t>
        </is>
      </c>
      <c r="D1964" s="1" t="n">
        <v>44529</v>
      </c>
      <c r="E1964" s="1" t="n">
        <v>46323</v>
      </c>
      <c r="F1964" t="inlineStr">
        <is>
          <t>KALMAR LÄN</t>
        </is>
      </c>
      <c r="G1964" t="inlineStr">
        <is>
          <t>KALMAR</t>
        </is>
      </c>
      <c r="I1964" t="n">
        <v>1.7</v>
      </c>
      <c r="J1964" t="n">
        <v>0</v>
      </c>
      <c r="K1964" t="n">
        <v>0</v>
      </c>
      <c r="L1964" t="n">
        <v>0</v>
      </c>
      <c r="M1964" t="n">
        <v>0</v>
      </c>
      <c r="N1964" t="n">
        <v>0</v>
      </c>
      <c r="O1964" t="n">
        <v>0</v>
      </c>
      <c r="P1964" t="n">
        <v>0</v>
      </c>
      <c r="Q1964" t="n">
        <v>0</v>
      </c>
      <c r="R1964" t="n">
        <v>0</v>
      </c>
      <c r="S1964" t="n">
        <v>0</v>
      </c>
      <c r="T1964" t="n">
        <v>0</v>
      </c>
      <c r="U1964" t="n">
        <v>0</v>
      </c>
      <c r="V1964" s="2" t="inlineStr"/>
    </row>
    <row r="1965" ht="15" customHeight="1">
      <c r="A1965" t="inlineStr">
        <is>
          <t>A 33144-2024</t>
        </is>
      </c>
      <c r="B1965" t="inlineStr">
        <is>
          <t>avverkningsanmälan</t>
        </is>
      </c>
      <c r="C1965" t="inlineStr">
        <is>
          <t>Föryngringsavverkning</t>
        </is>
      </c>
      <c r="D1965" s="1" t="n">
        <v>45518</v>
      </c>
      <c r="E1965" s="1" t="n">
        <v>46323</v>
      </c>
      <c r="F1965" t="inlineStr">
        <is>
          <t>KALMAR LÄN</t>
        </is>
      </c>
      <c r="G1965" t="inlineStr">
        <is>
          <t>TORSÅS</t>
        </is>
      </c>
      <c r="I1965" t="n">
        <v>2.6</v>
      </c>
      <c r="J1965" t="n">
        <v>0</v>
      </c>
      <c r="K1965" t="n">
        <v>0</v>
      </c>
      <c r="L1965" t="n">
        <v>0</v>
      </c>
      <c r="M1965" t="n">
        <v>0</v>
      </c>
      <c r="N1965" t="n">
        <v>0</v>
      </c>
      <c r="O1965" t="n">
        <v>0</v>
      </c>
      <c r="P1965" t="n">
        <v>0</v>
      </c>
      <c r="Q1965" t="n">
        <v>0</v>
      </c>
      <c r="R1965" t="n">
        <v>0</v>
      </c>
      <c r="S1965" t="n">
        <v>0</v>
      </c>
      <c r="T1965" t="n">
        <v>0</v>
      </c>
      <c r="U1965" t="n">
        <v>0</v>
      </c>
      <c r="V1965" s="2" t="inlineStr"/>
    </row>
    <row r="1966" ht="15" customHeight="1">
      <c r="A1966" t="inlineStr">
        <is>
          <t>A 7336-2025</t>
        </is>
      </c>
      <c r="B1966" t="inlineStr">
        <is>
          <t>avverkningsanmälan</t>
        </is>
      </c>
      <c r="C1966" t="inlineStr">
        <is>
          <t>Avverkning för att bevara och utveckla /försöksver</t>
        </is>
      </c>
      <c r="D1966" s="1" t="n">
        <v>45703</v>
      </c>
      <c r="E1966" s="1" t="n">
        <v>46323</v>
      </c>
      <c r="F1966" t="inlineStr">
        <is>
          <t>KALMAR LÄN</t>
        </is>
      </c>
      <c r="G1966" t="inlineStr">
        <is>
          <t>HULTSFRED</t>
        </is>
      </c>
      <c r="H1966" t="inlineStr">
        <is>
          <t>Sveaskog</t>
        </is>
      </c>
      <c r="I1966" t="n">
        <v>2.6</v>
      </c>
      <c r="J1966" t="n">
        <v>0</v>
      </c>
      <c r="K1966" t="n">
        <v>0</v>
      </c>
      <c r="L1966" t="n">
        <v>0</v>
      </c>
      <c r="M1966" t="n">
        <v>0</v>
      </c>
      <c r="N1966" t="n">
        <v>0</v>
      </c>
      <c r="O1966" t="n">
        <v>0</v>
      </c>
      <c r="P1966" t="n">
        <v>0</v>
      </c>
      <c r="Q1966" t="n">
        <v>0</v>
      </c>
      <c r="R1966" t="n">
        <v>0</v>
      </c>
      <c r="S1966" t="n">
        <v>0</v>
      </c>
      <c r="T1966" t="n">
        <v>0</v>
      </c>
      <c r="U1966" t="n">
        <v>0</v>
      </c>
      <c r="V1966" s="2" t="inlineStr"/>
    </row>
    <row r="1967" ht="15" customHeight="1">
      <c r="A1967" t="inlineStr">
        <is>
          <t>A 34623-2022</t>
        </is>
      </c>
      <c r="B1967" t="inlineStr">
        <is>
          <t>avverkningsanmälan</t>
        </is>
      </c>
      <c r="C1967" t="inlineStr">
        <is>
          <t>Föryngringsavverkning</t>
        </is>
      </c>
      <c r="D1967" s="1" t="n">
        <v>44795</v>
      </c>
      <c r="E1967" s="1" t="n">
        <v>46323</v>
      </c>
      <c r="F1967" t="inlineStr">
        <is>
          <t>KALMAR LÄN</t>
        </is>
      </c>
      <c r="G1967" t="inlineStr">
        <is>
          <t>TORSÅS</t>
        </is>
      </c>
      <c r="I1967" t="n">
        <v>0.6</v>
      </c>
      <c r="J1967" t="n">
        <v>0</v>
      </c>
      <c r="K1967" t="n">
        <v>0</v>
      </c>
      <c r="L1967" t="n">
        <v>0</v>
      </c>
      <c r="M1967" t="n">
        <v>0</v>
      </c>
      <c r="N1967" t="n">
        <v>0</v>
      </c>
      <c r="O1967" t="n">
        <v>0</v>
      </c>
      <c r="P1967" t="n">
        <v>0</v>
      </c>
      <c r="Q1967" t="n">
        <v>0</v>
      </c>
      <c r="R1967" t="n">
        <v>0</v>
      </c>
      <c r="S1967" t="n">
        <v>0</v>
      </c>
      <c r="T1967" t="n">
        <v>0</v>
      </c>
      <c r="U1967" t="n">
        <v>0</v>
      </c>
      <c r="V1967" s="2" t="inlineStr"/>
    </row>
    <row r="1968" ht="15" customHeight="1">
      <c r="A1968" t="inlineStr">
        <is>
          <t>A 28272-2024</t>
        </is>
      </c>
      <c r="B1968" t="inlineStr">
        <is>
          <t>avverkningsanmälan</t>
        </is>
      </c>
      <c r="C1968" t="inlineStr">
        <is>
          <t>Föryngringsavverkning</t>
        </is>
      </c>
      <c r="D1968" s="1" t="n">
        <v>45477</v>
      </c>
      <c r="E1968" s="1" t="n">
        <v>46323</v>
      </c>
      <c r="F1968" t="inlineStr">
        <is>
          <t>KALMAR LÄN</t>
        </is>
      </c>
      <c r="G1968" t="inlineStr">
        <is>
          <t>NYBRO</t>
        </is>
      </c>
      <c r="I1968" t="n">
        <v>4.5</v>
      </c>
      <c r="J1968" t="n">
        <v>0</v>
      </c>
      <c r="K1968" t="n">
        <v>0</v>
      </c>
      <c r="L1968" t="n">
        <v>0</v>
      </c>
      <c r="M1968" t="n">
        <v>0</v>
      </c>
      <c r="N1968" t="n">
        <v>0</v>
      </c>
      <c r="O1968" t="n">
        <v>0</v>
      </c>
      <c r="P1968" t="n">
        <v>0</v>
      </c>
      <c r="Q1968" t="n">
        <v>0</v>
      </c>
      <c r="R1968" t="n">
        <v>0</v>
      </c>
      <c r="S1968" t="n">
        <v>0</v>
      </c>
      <c r="T1968" t="n">
        <v>0</v>
      </c>
      <c r="U1968" t="n">
        <v>0</v>
      </c>
      <c r="V1968" s="2" t="inlineStr"/>
    </row>
    <row r="1969" ht="15" customHeight="1">
      <c r="A1969" t="inlineStr">
        <is>
          <t>A 21175-2023</t>
        </is>
      </c>
      <c r="B1969" t="inlineStr">
        <is>
          <t>avverkningsanmälan</t>
        </is>
      </c>
      <c r="C1969" t="inlineStr">
        <is>
          <t>Föryngringsavverkning</t>
        </is>
      </c>
      <c r="D1969" s="1" t="n">
        <v>45057</v>
      </c>
      <c r="E1969" s="1" t="n">
        <v>46323</v>
      </c>
      <c r="F1969" t="inlineStr">
        <is>
          <t>KALMAR LÄN</t>
        </is>
      </c>
      <c r="G1969" t="inlineStr">
        <is>
          <t>NYBRO</t>
        </is>
      </c>
      <c r="I1969" t="n">
        <v>4.7</v>
      </c>
      <c r="J1969" t="n">
        <v>0</v>
      </c>
      <c r="K1969" t="n">
        <v>0</v>
      </c>
      <c r="L1969" t="n">
        <v>0</v>
      </c>
      <c r="M1969" t="n">
        <v>0</v>
      </c>
      <c r="N1969" t="n">
        <v>0</v>
      </c>
      <c r="O1969" t="n">
        <v>0</v>
      </c>
      <c r="P1969" t="n">
        <v>0</v>
      </c>
      <c r="Q1969" t="n">
        <v>0</v>
      </c>
      <c r="R1969" t="n">
        <v>0</v>
      </c>
      <c r="S1969" t="n">
        <v>0</v>
      </c>
      <c r="T1969" t="n">
        <v>0</v>
      </c>
      <c r="U1969" t="n">
        <v>0</v>
      </c>
      <c r="V1969" s="2" t="inlineStr"/>
    </row>
    <row r="1970" ht="15" customHeight="1">
      <c r="A1970" t="inlineStr">
        <is>
          <t>A 7797-2023</t>
        </is>
      </c>
      <c r="B1970" t="inlineStr">
        <is>
          <t>avverkningsanmälan</t>
        </is>
      </c>
      <c r="C1970" t="inlineStr">
        <is>
          <t>Föryngringsavverkning</t>
        </is>
      </c>
      <c r="D1970" s="1" t="n">
        <v>44973</v>
      </c>
      <c r="E1970" s="1" t="n">
        <v>46323</v>
      </c>
      <c r="F1970" t="inlineStr">
        <is>
          <t>KALMAR LÄN</t>
        </is>
      </c>
      <c r="G1970" t="inlineStr">
        <is>
          <t>VIMMERBY</t>
        </is>
      </c>
      <c r="I1970" t="n">
        <v>0.6</v>
      </c>
      <c r="J1970" t="n">
        <v>0</v>
      </c>
      <c r="K1970" t="n">
        <v>0</v>
      </c>
      <c r="L1970" t="n">
        <v>0</v>
      </c>
      <c r="M1970" t="n">
        <v>0</v>
      </c>
      <c r="N1970" t="n">
        <v>0</v>
      </c>
      <c r="O1970" t="n">
        <v>0</v>
      </c>
      <c r="P1970" t="n">
        <v>0</v>
      </c>
      <c r="Q1970" t="n">
        <v>0</v>
      </c>
      <c r="R1970" t="n">
        <v>0</v>
      </c>
      <c r="S1970" t="n">
        <v>0</v>
      </c>
      <c r="T1970" t="n">
        <v>0</v>
      </c>
      <c r="U1970" t="n">
        <v>0</v>
      </c>
      <c r="V1970" s="2" t="inlineStr"/>
    </row>
    <row r="1971" ht="15" customHeight="1">
      <c r="A1971" t="inlineStr">
        <is>
          <t>A 21180-2023</t>
        </is>
      </c>
      <c r="B1971" t="inlineStr">
        <is>
          <t>avverkningsanmälan</t>
        </is>
      </c>
      <c r="C1971" t="inlineStr">
        <is>
          <t>Föryngringsavverkning</t>
        </is>
      </c>
      <c r="D1971" s="1" t="n">
        <v>45057</v>
      </c>
      <c r="E1971" s="1" t="n">
        <v>46323</v>
      </c>
      <c r="F1971" t="inlineStr">
        <is>
          <t>KALMAR LÄN</t>
        </is>
      </c>
      <c r="G1971" t="inlineStr">
        <is>
          <t>NYBRO</t>
        </is>
      </c>
      <c r="I1971" t="n">
        <v>5</v>
      </c>
      <c r="J1971" t="n">
        <v>0</v>
      </c>
      <c r="K1971" t="n">
        <v>0</v>
      </c>
      <c r="L1971" t="n">
        <v>0</v>
      </c>
      <c r="M1971" t="n">
        <v>0</v>
      </c>
      <c r="N1971" t="n">
        <v>0</v>
      </c>
      <c r="O1971" t="n">
        <v>0</v>
      </c>
      <c r="P1971" t="n">
        <v>0</v>
      </c>
      <c r="Q1971" t="n">
        <v>0</v>
      </c>
      <c r="R1971" t="n">
        <v>0</v>
      </c>
      <c r="S1971" t="n">
        <v>0</v>
      </c>
      <c r="T1971" t="n">
        <v>0</v>
      </c>
      <c r="U1971" t="n">
        <v>0</v>
      </c>
      <c r="V1971" s="2" t="inlineStr"/>
    </row>
    <row r="1972" ht="15" customHeight="1">
      <c r="A1972" t="inlineStr">
        <is>
          <t>A 33204-2022</t>
        </is>
      </c>
      <c r="B1972" t="inlineStr">
        <is>
          <t>avverkningsanmälan</t>
        </is>
      </c>
      <c r="C1972" t="inlineStr">
        <is>
          <t>Föryngringsavverkning</t>
        </is>
      </c>
      <c r="D1972" s="1" t="n">
        <v>44785</v>
      </c>
      <c r="E1972" s="1" t="n">
        <v>46323</v>
      </c>
      <c r="F1972" t="inlineStr">
        <is>
          <t>KALMAR LÄN</t>
        </is>
      </c>
      <c r="G1972" t="inlineStr">
        <is>
          <t>VÄSTERVIK</t>
        </is>
      </c>
      <c r="I1972" t="n">
        <v>0.9</v>
      </c>
      <c r="J1972" t="n">
        <v>0</v>
      </c>
      <c r="K1972" t="n">
        <v>0</v>
      </c>
      <c r="L1972" t="n">
        <v>0</v>
      </c>
      <c r="M1972" t="n">
        <v>0</v>
      </c>
      <c r="N1972" t="n">
        <v>0</v>
      </c>
      <c r="O1972" t="n">
        <v>0</v>
      </c>
      <c r="P1972" t="n">
        <v>0</v>
      </c>
      <c r="Q1972" t="n">
        <v>0</v>
      </c>
      <c r="R1972" t="n">
        <v>0</v>
      </c>
      <c r="S1972" t="n">
        <v>0</v>
      </c>
      <c r="T1972" t="n">
        <v>0</v>
      </c>
      <c r="U1972" t="n">
        <v>0</v>
      </c>
      <c r="V1972" s="2" t="inlineStr"/>
    </row>
    <row r="1973" ht="15" customHeight="1">
      <c r="A1973" t="inlineStr">
        <is>
          <t>A 60101-2024</t>
        </is>
      </c>
      <c r="B1973" t="inlineStr">
        <is>
          <t>avverkningsanmälan</t>
        </is>
      </c>
      <c r="C1973" t="inlineStr">
        <is>
          <t>Föryngringsavverkning</t>
        </is>
      </c>
      <c r="D1973" s="1" t="n">
        <v>45642</v>
      </c>
      <c r="E1973" s="1" t="n">
        <v>46323</v>
      </c>
      <c r="F1973" t="inlineStr">
        <is>
          <t>KALMAR LÄN</t>
        </is>
      </c>
      <c r="G1973" t="inlineStr">
        <is>
          <t>HULTSFRED</t>
        </is>
      </c>
      <c r="I1973" t="n">
        <v>1.2</v>
      </c>
      <c r="J1973" t="n">
        <v>0</v>
      </c>
      <c r="K1973" t="n">
        <v>0</v>
      </c>
      <c r="L1973" t="n">
        <v>0</v>
      </c>
      <c r="M1973" t="n">
        <v>0</v>
      </c>
      <c r="N1973" t="n">
        <v>0</v>
      </c>
      <c r="O1973" t="n">
        <v>0</v>
      </c>
      <c r="P1973" t="n">
        <v>0</v>
      </c>
      <c r="Q1973" t="n">
        <v>0</v>
      </c>
      <c r="R1973" t="n">
        <v>0</v>
      </c>
      <c r="S1973" t="n">
        <v>0</v>
      </c>
      <c r="T1973" t="n">
        <v>0</v>
      </c>
      <c r="U1973" t="n">
        <v>0</v>
      </c>
      <c r="V1973" s="2" t="inlineStr"/>
    </row>
    <row r="1974" ht="15" customHeight="1">
      <c r="A1974" t="inlineStr">
        <is>
          <t>A 47363-2023</t>
        </is>
      </c>
      <c r="B1974" t="inlineStr">
        <is>
          <t>avverkningsanmälan</t>
        </is>
      </c>
      <c r="C1974" t="inlineStr">
        <is>
          <t>Föryngringsavverkning</t>
        </is>
      </c>
      <c r="D1974" s="1" t="n">
        <v>45202</v>
      </c>
      <c r="E1974" s="1" t="n">
        <v>46323</v>
      </c>
      <c r="F1974" t="inlineStr">
        <is>
          <t>KALMAR LÄN</t>
        </is>
      </c>
      <c r="G1974" t="inlineStr">
        <is>
          <t>VÄSTERVIK</t>
        </is>
      </c>
      <c r="I1974" t="n">
        <v>2.5</v>
      </c>
      <c r="J1974" t="n">
        <v>0</v>
      </c>
      <c r="K1974" t="n">
        <v>0</v>
      </c>
      <c r="L1974" t="n">
        <v>0</v>
      </c>
      <c r="M1974" t="n">
        <v>0</v>
      </c>
      <c r="N1974" t="n">
        <v>0</v>
      </c>
      <c r="O1974" t="n">
        <v>0</v>
      </c>
      <c r="P1974" t="n">
        <v>0</v>
      </c>
      <c r="Q1974" t="n">
        <v>0</v>
      </c>
      <c r="R1974" t="n">
        <v>0</v>
      </c>
      <c r="S1974" t="n">
        <v>0</v>
      </c>
      <c r="T1974" t="n">
        <v>0</v>
      </c>
      <c r="U1974" t="n">
        <v>0</v>
      </c>
      <c r="V1974" s="2" t="inlineStr"/>
    </row>
    <row r="1975" ht="15" customHeight="1">
      <c r="A1975" t="inlineStr">
        <is>
          <t>A 15130-2023</t>
        </is>
      </c>
      <c r="B1975" t="inlineStr">
        <is>
          <t>avverkningsanmälan</t>
        </is>
      </c>
      <c r="C1975" t="inlineStr">
        <is>
          <t>Föryngringsavverkning</t>
        </is>
      </c>
      <c r="D1975" s="1" t="n">
        <v>45016</v>
      </c>
      <c r="E1975" s="1" t="n">
        <v>46323</v>
      </c>
      <c r="F1975" t="inlineStr">
        <is>
          <t>KALMAR LÄN</t>
        </is>
      </c>
      <c r="G1975" t="inlineStr">
        <is>
          <t>HULTSFRED</t>
        </is>
      </c>
      <c r="I1975" t="n">
        <v>1</v>
      </c>
      <c r="J1975" t="n">
        <v>0</v>
      </c>
      <c r="K1975" t="n">
        <v>0</v>
      </c>
      <c r="L1975" t="n">
        <v>0</v>
      </c>
      <c r="M1975" t="n">
        <v>0</v>
      </c>
      <c r="N1975" t="n">
        <v>0</v>
      </c>
      <c r="O1975" t="n">
        <v>0</v>
      </c>
      <c r="P1975" t="n">
        <v>0</v>
      </c>
      <c r="Q1975" t="n">
        <v>0</v>
      </c>
      <c r="R1975" t="n">
        <v>0</v>
      </c>
      <c r="S1975" t="n">
        <v>0</v>
      </c>
      <c r="T1975" t="n">
        <v>0</v>
      </c>
      <c r="U1975" t="n">
        <v>0</v>
      </c>
      <c r="V1975" s="2" t="inlineStr"/>
    </row>
    <row r="1976" ht="15" customHeight="1">
      <c r="A1976" t="inlineStr">
        <is>
          <t>A 41219-2023</t>
        </is>
      </c>
      <c r="B1976" t="inlineStr">
        <is>
          <t>avverkningsanmälan</t>
        </is>
      </c>
      <c r="C1976" t="inlineStr">
        <is>
          <t>Föryngringsavverkning</t>
        </is>
      </c>
      <c r="D1976" s="1" t="n">
        <v>45174</v>
      </c>
      <c r="E1976" s="1" t="n">
        <v>46323</v>
      </c>
      <c r="F1976" t="inlineStr">
        <is>
          <t>KALMAR LÄN</t>
        </is>
      </c>
      <c r="G1976" t="inlineStr">
        <is>
          <t>HULTSFRED</t>
        </is>
      </c>
      <c r="I1976" t="n">
        <v>0.8</v>
      </c>
      <c r="J1976" t="n">
        <v>0</v>
      </c>
      <c r="K1976" t="n">
        <v>0</v>
      </c>
      <c r="L1976" t="n">
        <v>0</v>
      </c>
      <c r="M1976" t="n">
        <v>0</v>
      </c>
      <c r="N1976" t="n">
        <v>0</v>
      </c>
      <c r="O1976" t="n">
        <v>0</v>
      </c>
      <c r="P1976" t="n">
        <v>0</v>
      </c>
      <c r="Q1976" t="n">
        <v>0</v>
      </c>
      <c r="R1976" t="n">
        <v>0</v>
      </c>
      <c r="S1976" t="n">
        <v>0</v>
      </c>
      <c r="T1976" t="n">
        <v>0</v>
      </c>
      <c r="U1976" t="n">
        <v>0</v>
      </c>
      <c r="V1976" s="2" t="inlineStr"/>
    </row>
    <row r="1977" ht="15" customHeight="1">
      <c r="A1977" t="inlineStr">
        <is>
          <t>A 53252-2023</t>
        </is>
      </c>
      <c r="B1977" t="inlineStr">
        <is>
          <t>avverkningsanmälan</t>
        </is>
      </c>
      <c r="C1977" t="inlineStr">
        <is>
          <t>Föryngringsavverkning</t>
        </is>
      </c>
      <c r="D1977" s="1" t="n">
        <v>45229</v>
      </c>
      <c r="E1977" s="1" t="n">
        <v>46323</v>
      </c>
      <c r="F1977" t="inlineStr">
        <is>
          <t>KALMAR LÄN</t>
        </is>
      </c>
      <c r="G1977" t="inlineStr">
        <is>
          <t>EMMABODA</t>
        </is>
      </c>
      <c r="I1977" t="n">
        <v>0.6</v>
      </c>
      <c r="J1977" t="n">
        <v>0</v>
      </c>
      <c r="K1977" t="n">
        <v>0</v>
      </c>
      <c r="L1977" t="n">
        <v>0</v>
      </c>
      <c r="M1977" t="n">
        <v>0</v>
      </c>
      <c r="N1977" t="n">
        <v>0</v>
      </c>
      <c r="O1977" t="n">
        <v>0</v>
      </c>
      <c r="P1977" t="n">
        <v>0</v>
      </c>
      <c r="Q1977" t="n">
        <v>0</v>
      </c>
      <c r="R1977" t="n">
        <v>0</v>
      </c>
      <c r="S1977" t="n">
        <v>0</v>
      </c>
      <c r="T1977" t="n">
        <v>0</v>
      </c>
      <c r="U1977" t="n">
        <v>0</v>
      </c>
      <c r="V1977" s="2" t="inlineStr"/>
    </row>
    <row r="1978" ht="15" customHeight="1">
      <c r="A1978" t="inlineStr">
        <is>
          <t>A 31699-2022</t>
        </is>
      </c>
      <c r="B1978" t="inlineStr">
        <is>
          <t>avverkningsanmälan</t>
        </is>
      </c>
      <c r="C1978" t="inlineStr">
        <is>
          <t>Föryngringsavverkning</t>
        </is>
      </c>
      <c r="D1978" s="1" t="n">
        <v>44776</v>
      </c>
      <c r="E1978" s="1" t="n">
        <v>46323</v>
      </c>
      <c r="F1978" t="inlineStr">
        <is>
          <t>KALMAR LÄN</t>
        </is>
      </c>
      <c r="G1978" t="inlineStr">
        <is>
          <t>BORGHOLM</t>
        </is>
      </c>
      <c r="H1978" t="inlineStr">
        <is>
          <t>Sveaskog</t>
        </is>
      </c>
      <c r="I1978" t="n">
        <v>1.6</v>
      </c>
      <c r="J1978" t="n">
        <v>0</v>
      </c>
      <c r="K1978" t="n">
        <v>0</v>
      </c>
      <c r="L1978" t="n">
        <v>0</v>
      </c>
      <c r="M1978" t="n">
        <v>0</v>
      </c>
      <c r="N1978" t="n">
        <v>0</v>
      </c>
      <c r="O1978" t="n">
        <v>0</v>
      </c>
      <c r="P1978" t="n">
        <v>0</v>
      </c>
      <c r="Q1978" t="n">
        <v>0</v>
      </c>
      <c r="R1978" t="n">
        <v>0</v>
      </c>
      <c r="S1978" t="n">
        <v>0</v>
      </c>
      <c r="T1978" t="n">
        <v>0</v>
      </c>
      <c r="U1978" t="n">
        <v>0</v>
      </c>
      <c r="V1978" s="2" t="inlineStr"/>
    </row>
    <row r="1979" ht="15" customHeight="1">
      <c r="A1979" t="inlineStr">
        <is>
          <t>A 26486-2022</t>
        </is>
      </c>
      <c r="B1979" t="inlineStr">
        <is>
          <t>avverkningsanmälan</t>
        </is>
      </c>
      <c r="C1979" t="inlineStr">
        <is>
          <t>Föryngringsavverkning</t>
        </is>
      </c>
      <c r="D1979" s="1" t="n">
        <v>44739</v>
      </c>
      <c r="E1979" s="1" t="n">
        <v>46323</v>
      </c>
      <c r="F1979" t="inlineStr">
        <is>
          <t>KALMAR LÄN</t>
        </is>
      </c>
      <c r="G1979" t="inlineStr">
        <is>
          <t>EMMABODA</t>
        </is>
      </c>
      <c r="I1979" t="n">
        <v>1.5</v>
      </c>
      <c r="J1979" t="n">
        <v>0</v>
      </c>
      <c r="K1979" t="n">
        <v>0</v>
      </c>
      <c r="L1979" t="n">
        <v>0</v>
      </c>
      <c r="M1979" t="n">
        <v>0</v>
      </c>
      <c r="N1979" t="n">
        <v>0</v>
      </c>
      <c r="O1979" t="n">
        <v>0</v>
      </c>
      <c r="P1979" t="n">
        <v>0</v>
      </c>
      <c r="Q1979" t="n">
        <v>0</v>
      </c>
      <c r="R1979" t="n">
        <v>0</v>
      </c>
      <c r="S1979" t="n">
        <v>0</v>
      </c>
      <c r="T1979" t="n">
        <v>0</v>
      </c>
      <c r="U1979" t="n">
        <v>0</v>
      </c>
      <c r="V1979" s="2" t="inlineStr"/>
    </row>
    <row r="1980" ht="15" customHeight="1">
      <c r="A1980" t="inlineStr">
        <is>
          <t>A 58720-2023</t>
        </is>
      </c>
      <c r="B1980" t="inlineStr">
        <is>
          <t>avverkningsanmälan</t>
        </is>
      </c>
      <c r="C1980" t="inlineStr">
        <is>
          <t>Föryngringsavverkning</t>
        </is>
      </c>
      <c r="D1980" s="1" t="n">
        <v>45251</v>
      </c>
      <c r="E1980" s="1" t="n">
        <v>46323</v>
      </c>
      <c r="F1980" t="inlineStr">
        <is>
          <t>KALMAR LÄN</t>
        </is>
      </c>
      <c r="G1980" t="inlineStr">
        <is>
          <t>MÖNSTERÅS</t>
        </is>
      </c>
      <c r="I1980" t="n">
        <v>5.3</v>
      </c>
      <c r="J1980" t="n">
        <v>0</v>
      </c>
      <c r="K1980" t="n">
        <v>0</v>
      </c>
      <c r="L1980" t="n">
        <v>0</v>
      </c>
      <c r="M1980" t="n">
        <v>0</v>
      </c>
      <c r="N1980" t="n">
        <v>0</v>
      </c>
      <c r="O1980" t="n">
        <v>0</v>
      </c>
      <c r="P1980" t="n">
        <v>0</v>
      </c>
      <c r="Q1980" t="n">
        <v>0</v>
      </c>
      <c r="R1980" t="n">
        <v>0</v>
      </c>
      <c r="S1980" t="n">
        <v>0</v>
      </c>
      <c r="T1980" t="n">
        <v>0</v>
      </c>
      <c r="U1980" t="n">
        <v>0</v>
      </c>
      <c r="V1980" s="2" t="inlineStr"/>
    </row>
    <row r="1981" ht="15" customHeight="1">
      <c r="A1981" t="inlineStr">
        <is>
          <t>A 32345-2022</t>
        </is>
      </c>
      <c r="B1981" t="inlineStr">
        <is>
          <t>avverkningsanmälan</t>
        </is>
      </c>
      <c r="C1981" t="inlineStr">
        <is>
          <t>Föryngringsavverkning</t>
        </is>
      </c>
      <c r="D1981" s="1" t="n">
        <v>44781</v>
      </c>
      <c r="E1981" s="1" t="n">
        <v>46323</v>
      </c>
      <c r="F1981" t="inlineStr">
        <is>
          <t>KALMAR LÄN</t>
        </is>
      </c>
      <c r="G1981" t="inlineStr">
        <is>
          <t>HULTSFRED</t>
        </is>
      </c>
      <c r="I1981" t="n">
        <v>11.7</v>
      </c>
      <c r="J1981" t="n">
        <v>0</v>
      </c>
      <c r="K1981" t="n">
        <v>0</v>
      </c>
      <c r="L1981" t="n">
        <v>0</v>
      </c>
      <c r="M1981" t="n">
        <v>0</v>
      </c>
      <c r="N1981" t="n">
        <v>0</v>
      </c>
      <c r="O1981" t="n">
        <v>0</v>
      </c>
      <c r="P1981" t="n">
        <v>0</v>
      </c>
      <c r="Q1981" t="n">
        <v>0</v>
      </c>
      <c r="R1981" t="n">
        <v>0</v>
      </c>
      <c r="S1981" t="n">
        <v>0</v>
      </c>
      <c r="T1981" t="n">
        <v>0</v>
      </c>
      <c r="U1981" t="n">
        <v>0</v>
      </c>
      <c r="V1981" s="2" t="inlineStr"/>
    </row>
    <row r="1982" ht="15" customHeight="1">
      <c r="A1982" t="inlineStr">
        <is>
          <t>A 12925-2023</t>
        </is>
      </c>
      <c r="B1982" t="inlineStr">
        <is>
          <t>avverkningsanmälan</t>
        </is>
      </c>
      <c r="C1982" t="inlineStr">
        <is>
          <t>Föryngringsavverkning</t>
        </is>
      </c>
      <c r="D1982" s="1" t="n">
        <v>45001</v>
      </c>
      <c r="E1982" s="1" t="n">
        <v>46323</v>
      </c>
      <c r="F1982" t="inlineStr">
        <is>
          <t>KALMAR LÄN</t>
        </is>
      </c>
      <c r="G1982" t="inlineStr">
        <is>
          <t>KALMAR</t>
        </is>
      </c>
      <c r="I1982" t="n">
        <v>3.1</v>
      </c>
      <c r="J1982" t="n">
        <v>0</v>
      </c>
      <c r="K1982" t="n">
        <v>0</v>
      </c>
      <c r="L1982" t="n">
        <v>0</v>
      </c>
      <c r="M1982" t="n">
        <v>0</v>
      </c>
      <c r="N1982" t="n">
        <v>0</v>
      </c>
      <c r="O1982" t="n">
        <v>0</v>
      </c>
      <c r="P1982" t="n">
        <v>0</v>
      </c>
      <c r="Q1982" t="n">
        <v>0</v>
      </c>
      <c r="R1982" t="n">
        <v>0</v>
      </c>
      <c r="S1982" t="n">
        <v>0</v>
      </c>
      <c r="T1982" t="n">
        <v>0</v>
      </c>
      <c r="U1982" t="n">
        <v>0</v>
      </c>
      <c r="V1982" s="2" t="inlineStr"/>
    </row>
    <row r="1983" ht="15" customHeight="1">
      <c r="A1983" t="inlineStr">
        <is>
          <t>A 62281-2023</t>
        </is>
      </c>
      <c r="B1983" t="inlineStr">
        <is>
          <t>avverkningsanmälan</t>
        </is>
      </c>
      <c r="C1983" t="inlineStr">
        <is>
          <t>Föryngringsavverkning</t>
        </is>
      </c>
      <c r="D1983" s="1" t="n">
        <v>45267</v>
      </c>
      <c r="E1983" s="1" t="n">
        <v>46323</v>
      </c>
      <c r="F1983" t="inlineStr">
        <is>
          <t>KALMAR LÄN</t>
        </is>
      </c>
      <c r="G1983" t="inlineStr">
        <is>
          <t>KALMAR</t>
        </is>
      </c>
      <c r="I1983" t="n">
        <v>1</v>
      </c>
      <c r="J1983" t="n">
        <v>0</v>
      </c>
      <c r="K1983" t="n">
        <v>0</v>
      </c>
      <c r="L1983" t="n">
        <v>0</v>
      </c>
      <c r="M1983" t="n">
        <v>0</v>
      </c>
      <c r="N1983" t="n">
        <v>0</v>
      </c>
      <c r="O1983" t="n">
        <v>0</v>
      </c>
      <c r="P1983" t="n">
        <v>0</v>
      </c>
      <c r="Q1983" t="n">
        <v>0</v>
      </c>
      <c r="R1983" t="n">
        <v>0</v>
      </c>
      <c r="S1983" t="n">
        <v>0</v>
      </c>
      <c r="T1983" t="n">
        <v>0</v>
      </c>
      <c r="U1983" t="n">
        <v>0</v>
      </c>
      <c r="V1983" s="2" t="inlineStr"/>
    </row>
    <row r="1984" ht="15" customHeight="1">
      <c r="A1984" t="inlineStr">
        <is>
          <t>A 4016-2024</t>
        </is>
      </c>
      <c r="B1984" t="inlineStr">
        <is>
          <t>avverkningsanmälan</t>
        </is>
      </c>
      <c r="C1984" t="inlineStr">
        <is>
          <t>Föryngringsavverkning</t>
        </is>
      </c>
      <c r="D1984" s="1" t="n">
        <v>45323</v>
      </c>
      <c r="E1984" s="1" t="n">
        <v>46323</v>
      </c>
      <c r="F1984" t="inlineStr">
        <is>
          <t>KALMAR LÄN</t>
        </is>
      </c>
      <c r="G1984" t="inlineStr">
        <is>
          <t>TORSÅS</t>
        </is>
      </c>
      <c r="I1984" t="n">
        <v>1.2</v>
      </c>
      <c r="J1984" t="n">
        <v>0</v>
      </c>
      <c r="K1984" t="n">
        <v>0</v>
      </c>
      <c r="L1984" t="n">
        <v>0</v>
      </c>
      <c r="M1984" t="n">
        <v>0</v>
      </c>
      <c r="N1984" t="n">
        <v>0</v>
      </c>
      <c r="O1984" t="n">
        <v>0</v>
      </c>
      <c r="P1984" t="n">
        <v>0</v>
      </c>
      <c r="Q1984" t="n">
        <v>0</v>
      </c>
      <c r="R1984" t="n">
        <v>0</v>
      </c>
      <c r="S1984" t="n">
        <v>0</v>
      </c>
      <c r="T1984" t="n">
        <v>0</v>
      </c>
      <c r="U1984" t="n">
        <v>0</v>
      </c>
      <c r="V1984" s="2" t="inlineStr"/>
    </row>
    <row r="1985" ht="15" customHeight="1">
      <c r="A1985" t="inlineStr">
        <is>
          <t>A 5355-2024</t>
        </is>
      </c>
      <c r="B1985" t="inlineStr">
        <is>
          <t>avverkningsanmälan</t>
        </is>
      </c>
      <c r="C1985" t="inlineStr">
        <is>
          <t>Föryngringsavverkning</t>
        </is>
      </c>
      <c r="D1985" s="1" t="n">
        <v>45331</v>
      </c>
      <c r="E1985" s="1" t="n">
        <v>46323</v>
      </c>
      <c r="F1985" t="inlineStr">
        <is>
          <t>KALMAR LÄN</t>
        </is>
      </c>
      <c r="G1985" t="inlineStr">
        <is>
          <t>VÄSTERVIK</t>
        </is>
      </c>
      <c r="H1985" t="inlineStr">
        <is>
          <t>Övriga Aktiebolag</t>
        </is>
      </c>
      <c r="I1985" t="n">
        <v>1.8</v>
      </c>
      <c r="J1985" t="n">
        <v>0</v>
      </c>
      <c r="K1985" t="n">
        <v>0</v>
      </c>
      <c r="L1985" t="n">
        <v>0</v>
      </c>
      <c r="M1985" t="n">
        <v>0</v>
      </c>
      <c r="N1985" t="n">
        <v>0</v>
      </c>
      <c r="O1985" t="n">
        <v>0</v>
      </c>
      <c r="P1985" t="n">
        <v>0</v>
      </c>
      <c r="Q1985" t="n">
        <v>0</v>
      </c>
      <c r="R1985" t="n">
        <v>0</v>
      </c>
      <c r="S1985" t="n">
        <v>0</v>
      </c>
      <c r="T1985" t="n">
        <v>0</v>
      </c>
      <c r="U1985" t="n">
        <v>0</v>
      </c>
      <c r="V1985" s="2" t="inlineStr"/>
    </row>
    <row r="1986" ht="15" customHeight="1">
      <c r="A1986" t="inlineStr">
        <is>
          <t>A 31825-2022</t>
        </is>
      </c>
      <c r="B1986" t="inlineStr">
        <is>
          <t>avverkningsanmälan</t>
        </is>
      </c>
      <c r="C1986" t="inlineStr">
        <is>
          <t>Föryngringsavverkning</t>
        </is>
      </c>
      <c r="D1986" s="1" t="n">
        <v>44776</v>
      </c>
      <c r="E1986" s="1" t="n">
        <v>46323</v>
      </c>
      <c r="F1986" t="inlineStr">
        <is>
          <t>KALMAR LÄN</t>
        </is>
      </c>
      <c r="G1986" t="inlineStr">
        <is>
          <t>VÄSTERVIK</t>
        </is>
      </c>
      <c r="I1986" t="n">
        <v>0.9</v>
      </c>
      <c r="J1986" t="n">
        <v>0</v>
      </c>
      <c r="K1986" t="n">
        <v>0</v>
      </c>
      <c r="L1986" t="n">
        <v>0</v>
      </c>
      <c r="M1986" t="n">
        <v>0</v>
      </c>
      <c r="N1986" t="n">
        <v>0</v>
      </c>
      <c r="O1986" t="n">
        <v>0</v>
      </c>
      <c r="P1986" t="n">
        <v>0</v>
      </c>
      <c r="Q1986" t="n">
        <v>0</v>
      </c>
      <c r="R1986" t="n">
        <v>0</v>
      </c>
      <c r="S1986" t="n">
        <v>0</v>
      </c>
      <c r="T1986" t="n">
        <v>0</v>
      </c>
      <c r="U1986" t="n">
        <v>0</v>
      </c>
      <c r="V1986" s="2" t="inlineStr"/>
    </row>
    <row r="1987" ht="15" customHeight="1">
      <c r="A1987" t="inlineStr">
        <is>
          <t>A 40444-2022</t>
        </is>
      </c>
      <c r="B1987" t="inlineStr">
        <is>
          <t>avverkningsanmälan</t>
        </is>
      </c>
      <c r="C1987" t="inlineStr">
        <is>
          <t>Föryngringsavverkning</t>
        </is>
      </c>
      <c r="D1987" s="1" t="n">
        <v>44819</v>
      </c>
      <c r="E1987" s="1" t="n">
        <v>46323</v>
      </c>
      <c r="F1987" t="inlineStr">
        <is>
          <t>KALMAR LÄN</t>
        </is>
      </c>
      <c r="G1987" t="inlineStr">
        <is>
          <t>NYBRO</t>
        </is>
      </c>
      <c r="I1987" t="n">
        <v>3.3</v>
      </c>
      <c r="J1987" t="n">
        <v>0</v>
      </c>
      <c r="K1987" t="n">
        <v>0</v>
      </c>
      <c r="L1987" t="n">
        <v>0</v>
      </c>
      <c r="M1987" t="n">
        <v>0</v>
      </c>
      <c r="N1987" t="n">
        <v>0</v>
      </c>
      <c r="O1987" t="n">
        <v>0</v>
      </c>
      <c r="P1987" t="n">
        <v>0</v>
      </c>
      <c r="Q1987" t="n">
        <v>0</v>
      </c>
      <c r="R1987" t="n">
        <v>0</v>
      </c>
      <c r="S1987" t="n">
        <v>0</v>
      </c>
      <c r="T1987" t="n">
        <v>0</v>
      </c>
      <c r="U1987" t="n">
        <v>0</v>
      </c>
      <c r="V1987" s="2" t="inlineStr"/>
    </row>
    <row r="1988" ht="15" customHeight="1">
      <c r="A1988" t="inlineStr">
        <is>
          <t>A 32687-2024</t>
        </is>
      </c>
      <c r="B1988" t="inlineStr">
        <is>
          <t>avverkningsanmälan</t>
        </is>
      </c>
      <c r="C1988" t="inlineStr">
        <is>
          <t>Föryngringsavverkning</t>
        </is>
      </c>
      <c r="D1988" s="1" t="n">
        <v>45515</v>
      </c>
      <c r="E1988" s="1" t="n">
        <v>46323</v>
      </c>
      <c r="F1988" t="inlineStr">
        <is>
          <t>KALMAR LÄN</t>
        </is>
      </c>
      <c r="G1988" t="inlineStr">
        <is>
          <t>EMMABODA</t>
        </is>
      </c>
      <c r="I1988" t="n">
        <v>0.9</v>
      </c>
      <c r="J1988" t="n">
        <v>0</v>
      </c>
      <c r="K1988" t="n">
        <v>0</v>
      </c>
      <c r="L1988" t="n">
        <v>0</v>
      </c>
      <c r="M1988" t="n">
        <v>0</v>
      </c>
      <c r="N1988" t="n">
        <v>0</v>
      </c>
      <c r="O1988" t="n">
        <v>0</v>
      </c>
      <c r="P1988" t="n">
        <v>0</v>
      </c>
      <c r="Q1988" t="n">
        <v>0</v>
      </c>
      <c r="R1988" t="n">
        <v>0</v>
      </c>
      <c r="S1988" t="n">
        <v>0</v>
      </c>
      <c r="T1988" t="n">
        <v>0</v>
      </c>
      <c r="U1988" t="n">
        <v>0</v>
      </c>
      <c r="V1988" s="2" t="inlineStr"/>
    </row>
    <row r="1989" ht="15" customHeight="1">
      <c r="A1989" t="inlineStr">
        <is>
          <t>A 4267-2024</t>
        </is>
      </c>
      <c r="B1989" t="inlineStr">
        <is>
          <t>avverkningsanmälan</t>
        </is>
      </c>
      <c r="C1989" t="inlineStr">
        <is>
          <t>Föryngringsavverkning</t>
        </is>
      </c>
      <c r="D1989" s="1" t="n">
        <v>45324</v>
      </c>
      <c r="E1989" s="1" t="n">
        <v>46323</v>
      </c>
      <c r="F1989" t="inlineStr">
        <is>
          <t>KALMAR LÄN</t>
        </is>
      </c>
      <c r="G1989" t="inlineStr">
        <is>
          <t>TORSÅS</t>
        </is>
      </c>
      <c r="H1989" t="inlineStr">
        <is>
          <t>Övriga Aktiebolag</t>
        </is>
      </c>
      <c r="I1989" t="n">
        <v>3.2</v>
      </c>
      <c r="J1989" t="n">
        <v>0</v>
      </c>
      <c r="K1989" t="n">
        <v>0</v>
      </c>
      <c r="L1989" t="n">
        <v>0</v>
      </c>
      <c r="M1989" t="n">
        <v>0</v>
      </c>
      <c r="N1989" t="n">
        <v>0</v>
      </c>
      <c r="O1989" t="n">
        <v>0</v>
      </c>
      <c r="P1989" t="n">
        <v>0</v>
      </c>
      <c r="Q1989" t="n">
        <v>0</v>
      </c>
      <c r="R1989" t="n">
        <v>0</v>
      </c>
      <c r="S1989" t="n">
        <v>0</v>
      </c>
      <c r="T1989" t="n">
        <v>0</v>
      </c>
      <c r="U1989" t="n">
        <v>0</v>
      </c>
      <c r="V1989" s="2" t="inlineStr"/>
    </row>
    <row r="1990" ht="15" customHeight="1">
      <c r="A1990" t="inlineStr">
        <is>
          <t>A 7978-2024</t>
        </is>
      </c>
      <c r="B1990" t="inlineStr">
        <is>
          <t>avverkningsanmälan</t>
        </is>
      </c>
      <c r="C1990" t="inlineStr">
        <is>
          <t>Föryngringsavverkning</t>
        </is>
      </c>
      <c r="D1990" s="1" t="n">
        <v>45350</v>
      </c>
      <c r="E1990" s="1" t="n">
        <v>46323</v>
      </c>
      <c r="F1990" t="inlineStr">
        <is>
          <t>KALMAR LÄN</t>
        </is>
      </c>
      <c r="G1990" t="inlineStr">
        <is>
          <t>MÖNSTERÅS</t>
        </is>
      </c>
      <c r="I1990" t="n">
        <v>2.4</v>
      </c>
      <c r="J1990" t="n">
        <v>0</v>
      </c>
      <c r="K1990" t="n">
        <v>0</v>
      </c>
      <c r="L1990" t="n">
        <v>0</v>
      </c>
      <c r="M1990" t="n">
        <v>0</v>
      </c>
      <c r="N1990" t="n">
        <v>0</v>
      </c>
      <c r="O1990" t="n">
        <v>0</v>
      </c>
      <c r="P1990" t="n">
        <v>0</v>
      </c>
      <c r="Q1990" t="n">
        <v>0</v>
      </c>
      <c r="R1990" t="n">
        <v>0</v>
      </c>
      <c r="S1990" t="n">
        <v>0</v>
      </c>
      <c r="T1990" t="n">
        <v>0</v>
      </c>
      <c r="U1990" t="n">
        <v>0</v>
      </c>
      <c r="V1990" s="2" t="inlineStr"/>
    </row>
    <row r="1991" ht="15" customHeight="1">
      <c r="A1991" t="inlineStr">
        <is>
          <t>A 31917-2024</t>
        </is>
      </c>
      <c r="B1991" t="inlineStr">
        <is>
          <t>avverkningsanmälan</t>
        </is>
      </c>
      <c r="C1991" t="inlineStr">
        <is>
          <t>Föryngringsavverkning</t>
        </is>
      </c>
      <c r="D1991" s="1" t="n">
        <v>45510</v>
      </c>
      <c r="E1991" s="1" t="n">
        <v>46323</v>
      </c>
      <c r="F1991" t="inlineStr">
        <is>
          <t>KALMAR LÄN</t>
        </is>
      </c>
      <c r="G1991" t="inlineStr">
        <is>
          <t>NYBRO</t>
        </is>
      </c>
      <c r="I1991" t="n">
        <v>0.5</v>
      </c>
      <c r="J1991" t="n">
        <v>0</v>
      </c>
      <c r="K1991" t="n">
        <v>0</v>
      </c>
      <c r="L1991" t="n">
        <v>0</v>
      </c>
      <c r="M1991" t="n">
        <v>0</v>
      </c>
      <c r="N1991" t="n">
        <v>0</v>
      </c>
      <c r="O1991" t="n">
        <v>0</v>
      </c>
      <c r="P1991" t="n">
        <v>0</v>
      </c>
      <c r="Q1991" t="n">
        <v>0</v>
      </c>
      <c r="R1991" t="n">
        <v>0</v>
      </c>
      <c r="S1991" t="n">
        <v>0</v>
      </c>
      <c r="T1991" t="n">
        <v>0</v>
      </c>
      <c r="U1991" t="n">
        <v>0</v>
      </c>
      <c r="V1991" s="2" t="inlineStr"/>
    </row>
    <row r="1992" ht="15" customHeight="1">
      <c r="A1992" t="inlineStr">
        <is>
          <t>A 35708-2024</t>
        </is>
      </c>
      <c r="B1992" t="inlineStr">
        <is>
          <t>avverkningsanmälan</t>
        </is>
      </c>
      <c r="C1992" t="inlineStr">
        <is>
          <t>Föryngringsavverkning</t>
        </is>
      </c>
      <c r="D1992" s="1" t="n">
        <v>45532</v>
      </c>
      <c r="E1992" s="1" t="n">
        <v>46323</v>
      </c>
      <c r="F1992" t="inlineStr">
        <is>
          <t>KALMAR LÄN</t>
        </is>
      </c>
      <c r="G1992" t="inlineStr">
        <is>
          <t>TORSÅS</t>
        </is>
      </c>
      <c r="I1992" t="n">
        <v>0.8</v>
      </c>
      <c r="J1992" t="n">
        <v>0</v>
      </c>
      <c r="K1992" t="n">
        <v>0</v>
      </c>
      <c r="L1992" t="n">
        <v>0</v>
      </c>
      <c r="M1992" t="n">
        <v>0</v>
      </c>
      <c r="N1992" t="n">
        <v>0</v>
      </c>
      <c r="O1992" t="n">
        <v>0</v>
      </c>
      <c r="P1992" t="n">
        <v>0</v>
      </c>
      <c r="Q1992" t="n">
        <v>0</v>
      </c>
      <c r="R1992" t="n">
        <v>0</v>
      </c>
      <c r="S1992" t="n">
        <v>0</v>
      </c>
      <c r="T1992" t="n">
        <v>0</v>
      </c>
      <c r="U1992" t="n">
        <v>0</v>
      </c>
      <c r="V1992" s="2" t="inlineStr"/>
    </row>
    <row r="1993" ht="15" customHeight="1">
      <c r="A1993" t="inlineStr">
        <is>
          <t>A 57366-2023</t>
        </is>
      </c>
      <c r="B1993" t="inlineStr">
        <is>
          <t>avverkningsanmälan</t>
        </is>
      </c>
      <c r="C1993" t="inlineStr">
        <is>
          <t>Föryngringsavverkning</t>
        </is>
      </c>
      <c r="D1993" s="1" t="n">
        <v>45245</v>
      </c>
      <c r="E1993" s="1" t="n">
        <v>46323</v>
      </c>
      <c r="F1993" t="inlineStr">
        <is>
          <t>KALMAR LÄN</t>
        </is>
      </c>
      <c r="G1993" t="inlineStr">
        <is>
          <t>VÄSTERVIK</t>
        </is>
      </c>
      <c r="H1993" t="inlineStr">
        <is>
          <t>Sveaskog</t>
        </is>
      </c>
      <c r="I1993" t="n">
        <v>0.7</v>
      </c>
      <c r="J1993" t="n">
        <v>0</v>
      </c>
      <c r="K1993" t="n">
        <v>0</v>
      </c>
      <c r="L1993" t="n">
        <v>0</v>
      </c>
      <c r="M1993" t="n">
        <v>0</v>
      </c>
      <c r="N1993" t="n">
        <v>0</v>
      </c>
      <c r="O1993" t="n">
        <v>0</v>
      </c>
      <c r="P1993" t="n">
        <v>0</v>
      </c>
      <c r="Q1993" t="n">
        <v>0</v>
      </c>
      <c r="R1993" t="n">
        <v>0</v>
      </c>
      <c r="S1993" t="n">
        <v>0</v>
      </c>
      <c r="T1993" t="n">
        <v>0</v>
      </c>
      <c r="U1993" t="n">
        <v>0</v>
      </c>
      <c r="V1993" s="2" t="inlineStr"/>
    </row>
    <row r="1994" ht="15" customHeight="1">
      <c r="A1994" t="inlineStr">
        <is>
          <t>A 43284-2022</t>
        </is>
      </c>
      <c r="B1994" t="inlineStr">
        <is>
          <t>avverkningsanmälan</t>
        </is>
      </c>
      <c r="C1994" t="inlineStr">
        <is>
          <t>Föryngringsavverkning</t>
        </is>
      </c>
      <c r="D1994" s="1" t="n">
        <v>44834</v>
      </c>
      <c r="E1994" s="1" t="n">
        <v>46323</v>
      </c>
      <c r="F1994" t="inlineStr">
        <is>
          <t>KALMAR LÄN</t>
        </is>
      </c>
      <c r="G1994" t="inlineStr">
        <is>
          <t>HULTSFRED</t>
        </is>
      </c>
      <c r="I1994" t="n">
        <v>10.5</v>
      </c>
      <c r="J1994" t="n">
        <v>0</v>
      </c>
      <c r="K1994" t="n">
        <v>0</v>
      </c>
      <c r="L1994" t="n">
        <v>0</v>
      </c>
      <c r="M1994" t="n">
        <v>0</v>
      </c>
      <c r="N1994" t="n">
        <v>0</v>
      </c>
      <c r="O1994" t="n">
        <v>0</v>
      </c>
      <c r="P1994" t="n">
        <v>0</v>
      </c>
      <c r="Q1994" t="n">
        <v>0</v>
      </c>
      <c r="R1994" t="n">
        <v>0</v>
      </c>
      <c r="S1994" t="n">
        <v>0</v>
      </c>
      <c r="T1994" t="n">
        <v>0</v>
      </c>
      <c r="U1994" t="n">
        <v>0</v>
      </c>
      <c r="V1994" s="2" t="inlineStr"/>
    </row>
    <row r="1995" ht="15" customHeight="1">
      <c r="A1995" t="inlineStr">
        <is>
          <t>A 6535-2024</t>
        </is>
      </c>
      <c r="B1995" t="inlineStr">
        <is>
          <t>avverkningsanmälan</t>
        </is>
      </c>
      <c r="C1995" t="inlineStr">
        <is>
          <t>Föryngringsavverkning</t>
        </is>
      </c>
      <c r="D1995" s="1" t="n">
        <v>45341</v>
      </c>
      <c r="E1995" s="1" t="n">
        <v>46323</v>
      </c>
      <c r="F1995" t="inlineStr">
        <is>
          <t>KALMAR LÄN</t>
        </is>
      </c>
      <c r="G1995" t="inlineStr">
        <is>
          <t>EMMABODA</t>
        </is>
      </c>
      <c r="I1995" t="n">
        <v>1.4</v>
      </c>
      <c r="J1995" t="n">
        <v>0</v>
      </c>
      <c r="K1995" t="n">
        <v>0</v>
      </c>
      <c r="L1995" t="n">
        <v>0</v>
      </c>
      <c r="M1995" t="n">
        <v>0</v>
      </c>
      <c r="N1995" t="n">
        <v>0</v>
      </c>
      <c r="O1995" t="n">
        <v>0</v>
      </c>
      <c r="P1995" t="n">
        <v>0</v>
      </c>
      <c r="Q1995" t="n">
        <v>0</v>
      </c>
      <c r="R1995" t="n">
        <v>0</v>
      </c>
      <c r="S1995" t="n">
        <v>0</v>
      </c>
      <c r="T1995" t="n">
        <v>0</v>
      </c>
      <c r="U1995" t="n">
        <v>0</v>
      </c>
      <c r="V1995" s="2" t="inlineStr"/>
    </row>
    <row r="1996" ht="15" customHeight="1">
      <c r="A1996" t="inlineStr">
        <is>
          <t>A 7260-2023</t>
        </is>
      </c>
      <c r="B1996" t="inlineStr">
        <is>
          <t>avverkningsanmälan</t>
        </is>
      </c>
      <c r="C1996" t="inlineStr">
        <is>
          <t>Föryngringsavverkning</t>
        </is>
      </c>
      <c r="D1996" s="1" t="n">
        <v>44970</v>
      </c>
      <c r="E1996" s="1" t="n">
        <v>46323</v>
      </c>
      <c r="F1996" t="inlineStr">
        <is>
          <t>KALMAR LÄN</t>
        </is>
      </c>
      <c r="G1996" t="inlineStr">
        <is>
          <t>OSKARSHAMN</t>
        </is>
      </c>
      <c r="I1996" t="n">
        <v>8.5</v>
      </c>
      <c r="J1996" t="n">
        <v>0</v>
      </c>
      <c r="K1996" t="n">
        <v>0</v>
      </c>
      <c r="L1996" t="n">
        <v>0</v>
      </c>
      <c r="M1996" t="n">
        <v>0</v>
      </c>
      <c r="N1996" t="n">
        <v>0</v>
      </c>
      <c r="O1996" t="n">
        <v>0</v>
      </c>
      <c r="P1996" t="n">
        <v>0</v>
      </c>
      <c r="Q1996" t="n">
        <v>0</v>
      </c>
      <c r="R1996" t="n">
        <v>0</v>
      </c>
      <c r="S1996" t="n">
        <v>0</v>
      </c>
      <c r="T1996" t="n">
        <v>0</v>
      </c>
      <c r="U1996" t="n">
        <v>0</v>
      </c>
      <c r="V1996" s="2" t="inlineStr"/>
    </row>
    <row r="1997" ht="15" customHeight="1">
      <c r="A1997" t="inlineStr">
        <is>
          <t>A 8410-2023</t>
        </is>
      </c>
      <c r="B1997" t="inlineStr">
        <is>
          <t>avverkningsanmälan</t>
        </is>
      </c>
      <c r="C1997" t="inlineStr">
        <is>
          <t>Föryngringsavverkning</t>
        </is>
      </c>
      <c r="D1997" s="1" t="n">
        <v>44977</v>
      </c>
      <c r="E1997" s="1" t="n">
        <v>46323</v>
      </c>
      <c r="F1997" t="inlineStr">
        <is>
          <t>KALMAR LÄN</t>
        </is>
      </c>
      <c r="G1997" t="inlineStr">
        <is>
          <t>VIMMERBY</t>
        </is>
      </c>
      <c r="I1997" t="n">
        <v>0.9</v>
      </c>
      <c r="J1997" t="n">
        <v>0</v>
      </c>
      <c r="K1997" t="n">
        <v>0</v>
      </c>
      <c r="L1997" t="n">
        <v>0</v>
      </c>
      <c r="M1997" t="n">
        <v>0</v>
      </c>
      <c r="N1997" t="n">
        <v>0</v>
      </c>
      <c r="O1997" t="n">
        <v>0</v>
      </c>
      <c r="P1997" t="n">
        <v>0</v>
      </c>
      <c r="Q1997" t="n">
        <v>0</v>
      </c>
      <c r="R1997" t="n">
        <v>0</v>
      </c>
      <c r="S1997" t="n">
        <v>0</v>
      </c>
      <c r="T1997" t="n">
        <v>0</v>
      </c>
      <c r="U1997" t="n">
        <v>0</v>
      </c>
      <c r="V1997" s="2" t="inlineStr"/>
    </row>
    <row r="1998" ht="15" customHeight="1">
      <c r="A1998" t="inlineStr">
        <is>
          <t>A 49624-2023</t>
        </is>
      </c>
      <c r="B1998" t="inlineStr">
        <is>
          <t>avverkningsanmälan</t>
        </is>
      </c>
      <c r="C1998" t="inlineStr">
        <is>
          <t>Föryngringsavverkning</t>
        </is>
      </c>
      <c r="D1998" s="1" t="n">
        <v>45211</v>
      </c>
      <c r="E1998" s="1" t="n">
        <v>46323</v>
      </c>
      <c r="F1998" t="inlineStr">
        <is>
          <t>KALMAR LÄN</t>
        </is>
      </c>
      <c r="G1998" t="inlineStr">
        <is>
          <t>EMMABODA</t>
        </is>
      </c>
      <c r="I1998" t="n">
        <v>1.8</v>
      </c>
      <c r="J1998" t="n">
        <v>0</v>
      </c>
      <c r="K1998" t="n">
        <v>0</v>
      </c>
      <c r="L1998" t="n">
        <v>0</v>
      </c>
      <c r="M1998" t="n">
        <v>0</v>
      </c>
      <c r="N1998" t="n">
        <v>0</v>
      </c>
      <c r="O1998" t="n">
        <v>0</v>
      </c>
      <c r="P1998" t="n">
        <v>0</v>
      </c>
      <c r="Q1998" t="n">
        <v>0</v>
      </c>
      <c r="R1998" t="n">
        <v>0</v>
      </c>
      <c r="S1998" t="n">
        <v>0</v>
      </c>
      <c r="T1998" t="n">
        <v>0</v>
      </c>
      <c r="U1998" t="n">
        <v>0</v>
      </c>
      <c r="V1998" s="2" t="inlineStr"/>
    </row>
    <row r="1999" ht="15" customHeight="1">
      <c r="A1999" t="inlineStr">
        <is>
          <t>A 29093-2023</t>
        </is>
      </c>
      <c r="B1999" t="inlineStr">
        <is>
          <t>avverkningsanmälan</t>
        </is>
      </c>
      <c r="C1999" t="inlineStr">
        <is>
          <t>Avverkning för annat ändamål</t>
        </is>
      </c>
      <c r="D1999" s="1" t="n">
        <v>45105</v>
      </c>
      <c r="E1999" s="1" t="n">
        <v>46323</v>
      </c>
      <c r="F1999" t="inlineStr">
        <is>
          <t>KALMAR LÄN</t>
        </is>
      </c>
      <c r="G1999" t="inlineStr">
        <is>
          <t>VIMMERBY</t>
        </is>
      </c>
      <c r="I1999" t="n">
        <v>2.9</v>
      </c>
      <c r="J1999" t="n">
        <v>0</v>
      </c>
      <c r="K1999" t="n">
        <v>0</v>
      </c>
      <c r="L1999" t="n">
        <v>0</v>
      </c>
      <c r="M1999" t="n">
        <v>0</v>
      </c>
      <c r="N1999" t="n">
        <v>0</v>
      </c>
      <c r="O1999" t="n">
        <v>0</v>
      </c>
      <c r="P1999" t="n">
        <v>0</v>
      </c>
      <c r="Q1999" t="n">
        <v>0</v>
      </c>
      <c r="R1999" t="n">
        <v>0</v>
      </c>
      <c r="S1999" t="n">
        <v>0</v>
      </c>
      <c r="T1999" t="n">
        <v>0</v>
      </c>
      <c r="U1999" t="n">
        <v>0</v>
      </c>
      <c r="V1999" s="2" t="inlineStr"/>
    </row>
    <row r="2000" ht="15" customHeight="1">
      <c r="A2000" t="inlineStr">
        <is>
          <t>A 29145-2023</t>
        </is>
      </c>
      <c r="B2000" t="inlineStr">
        <is>
          <t>avverkningsanmälan</t>
        </is>
      </c>
      <c r="C2000" t="inlineStr">
        <is>
          <t>Föryngringsavverkning</t>
        </is>
      </c>
      <c r="D2000" s="1" t="n">
        <v>45105</v>
      </c>
      <c r="E2000" s="1" t="n">
        <v>46323</v>
      </c>
      <c r="F2000" t="inlineStr">
        <is>
          <t>KALMAR LÄN</t>
        </is>
      </c>
      <c r="G2000" t="inlineStr">
        <is>
          <t>OSKARSHAMN</t>
        </is>
      </c>
      <c r="I2000" t="n">
        <v>1.8</v>
      </c>
      <c r="J2000" t="n">
        <v>0</v>
      </c>
      <c r="K2000" t="n">
        <v>0</v>
      </c>
      <c r="L2000" t="n">
        <v>0</v>
      </c>
      <c r="M2000" t="n">
        <v>0</v>
      </c>
      <c r="N2000" t="n">
        <v>0</v>
      </c>
      <c r="O2000" t="n">
        <v>0</v>
      </c>
      <c r="P2000" t="n">
        <v>0</v>
      </c>
      <c r="Q2000" t="n">
        <v>0</v>
      </c>
      <c r="R2000" t="n">
        <v>0</v>
      </c>
      <c r="S2000" t="n">
        <v>0</v>
      </c>
      <c r="T2000" t="n">
        <v>0</v>
      </c>
      <c r="U2000" t="n">
        <v>0</v>
      </c>
      <c r="V2000" s="2" t="inlineStr"/>
    </row>
    <row r="2001" ht="15" customHeight="1">
      <c r="A2001" t="inlineStr">
        <is>
          <t>A 9594-2025</t>
        </is>
      </c>
      <c r="B2001" t="inlineStr">
        <is>
          <t>avverkningsanmälan</t>
        </is>
      </c>
      <c r="C2001" t="inlineStr">
        <is>
          <t>Föryngringsavverkning</t>
        </is>
      </c>
      <c r="D2001" s="1" t="n">
        <v>45715</v>
      </c>
      <c r="E2001" s="1" t="n">
        <v>46323</v>
      </c>
      <c r="F2001" t="inlineStr">
        <is>
          <t>KALMAR LÄN</t>
        </is>
      </c>
      <c r="G2001" t="inlineStr">
        <is>
          <t>HULTSFRED</t>
        </is>
      </c>
      <c r="H2001" t="inlineStr">
        <is>
          <t>Sveaskog</t>
        </is>
      </c>
      <c r="I2001" t="n">
        <v>0.9</v>
      </c>
      <c r="J2001" t="n">
        <v>0</v>
      </c>
      <c r="K2001" t="n">
        <v>0</v>
      </c>
      <c r="L2001" t="n">
        <v>0</v>
      </c>
      <c r="M2001" t="n">
        <v>0</v>
      </c>
      <c r="N2001" t="n">
        <v>0</v>
      </c>
      <c r="O2001" t="n">
        <v>0</v>
      </c>
      <c r="P2001" t="n">
        <v>0</v>
      </c>
      <c r="Q2001" t="n">
        <v>0</v>
      </c>
      <c r="R2001" t="n">
        <v>0</v>
      </c>
      <c r="S2001" t="n">
        <v>0</v>
      </c>
      <c r="T2001" t="n">
        <v>0</v>
      </c>
      <c r="U2001" t="n">
        <v>0</v>
      </c>
      <c r="V2001" s="2" t="inlineStr"/>
    </row>
    <row r="2002" ht="15" customHeight="1">
      <c r="A2002" t="inlineStr">
        <is>
          <t>A 9649-2025</t>
        </is>
      </c>
      <c r="B2002" t="inlineStr">
        <is>
          <t>avverkningsanmälan</t>
        </is>
      </c>
      <c r="C2002" t="inlineStr">
        <is>
          <t>Föryngringsavverkning</t>
        </is>
      </c>
      <c r="D2002" s="1" t="n">
        <v>45716</v>
      </c>
      <c r="E2002" s="1" t="n">
        <v>46323</v>
      </c>
      <c r="F2002" t="inlineStr">
        <is>
          <t>KALMAR LÄN</t>
        </is>
      </c>
      <c r="G2002" t="inlineStr">
        <is>
          <t>KALMAR</t>
        </is>
      </c>
      <c r="I2002" t="n">
        <v>0.5</v>
      </c>
      <c r="J2002" t="n">
        <v>0</v>
      </c>
      <c r="K2002" t="n">
        <v>0</v>
      </c>
      <c r="L2002" t="n">
        <v>0</v>
      </c>
      <c r="M2002" t="n">
        <v>0</v>
      </c>
      <c r="N2002" t="n">
        <v>0</v>
      </c>
      <c r="O2002" t="n">
        <v>0</v>
      </c>
      <c r="P2002" t="n">
        <v>0</v>
      </c>
      <c r="Q2002" t="n">
        <v>0</v>
      </c>
      <c r="R2002" t="n">
        <v>0</v>
      </c>
      <c r="S2002" t="n">
        <v>0</v>
      </c>
      <c r="T2002" t="n">
        <v>0</v>
      </c>
      <c r="U2002" t="n">
        <v>0</v>
      </c>
      <c r="V2002" s="2" t="inlineStr"/>
    </row>
    <row r="2003" ht="15" customHeight="1">
      <c r="A2003" t="inlineStr">
        <is>
          <t>A 10167-2025</t>
        </is>
      </c>
      <c r="B2003" t="inlineStr">
        <is>
          <t>avverkningsanmälan</t>
        </is>
      </c>
      <c r="C2003" t="inlineStr">
        <is>
          <t>Föryngringsavverkning</t>
        </is>
      </c>
      <c r="D2003" s="1" t="n">
        <v>45719</v>
      </c>
      <c r="E2003" s="1" t="n">
        <v>46323</v>
      </c>
      <c r="F2003" t="inlineStr">
        <is>
          <t>KALMAR LÄN</t>
        </is>
      </c>
      <c r="G2003" t="inlineStr">
        <is>
          <t>EMMABODA</t>
        </is>
      </c>
      <c r="I2003" t="n">
        <v>0.6</v>
      </c>
      <c r="J2003" t="n">
        <v>0</v>
      </c>
      <c r="K2003" t="n">
        <v>0</v>
      </c>
      <c r="L2003" t="n">
        <v>0</v>
      </c>
      <c r="M2003" t="n">
        <v>0</v>
      </c>
      <c r="N2003" t="n">
        <v>0</v>
      </c>
      <c r="O2003" t="n">
        <v>0</v>
      </c>
      <c r="P2003" t="n">
        <v>0</v>
      </c>
      <c r="Q2003" t="n">
        <v>0</v>
      </c>
      <c r="R2003" t="n">
        <v>0</v>
      </c>
      <c r="S2003" t="n">
        <v>0</v>
      </c>
      <c r="T2003" t="n">
        <v>0</v>
      </c>
      <c r="U2003" t="n">
        <v>0</v>
      </c>
      <c r="V2003" s="2" t="inlineStr"/>
    </row>
    <row r="2004" ht="15" customHeight="1">
      <c r="A2004" t="inlineStr">
        <is>
          <t>A 40330-2023</t>
        </is>
      </c>
      <c r="B2004" t="inlineStr">
        <is>
          <t>avverkningsanmälan</t>
        </is>
      </c>
      <c r="C2004" t="inlineStr">
        <is>
          <t>Föryngringsavverkning</t>
        </is>
      </c>
      <c r="D2004" s="1" t="n">
        <v>45169</v>
      </c>
      <c r="E2004" s="1" t="n">
        <v>46323</v>
      </c>
      <c r="F2004" t="inlineStr">
        <is>
          <t>KALMAR LÄN</t>
        </is>
      </c>
      <c r="G2004" t="inlineStr">
        <is>
          <t>HULTSFRED</t>
        </is>
      </c>
      <c r="I2004" t="n">
        <v>1.3</v>
      </c>
      <c r="J2004" t="n">
        <v>0</v>
      </c>
      <c r="K2004" t="n">
        <v>0</v>
      </c>
      <c r="L2004" t="n">
        <v>0</v>
      </c>
      <c r="M2004" t="n">
        <v>0</v>
      </c>
      <c r="N2004" t="n">
        <v>0</v>
      </c>
      <c r="O2004" t="n">
        <v>0</v>
      </c>
      <c r="P2004" t="n">
        <v>0</v>
      </c>
      <c r="Q2004" t="n">
        <v>0</v>
      </c>
      <c r="R2004" t="n">
        <v>0</v>
      </c>
      <c r="S2004" t="n">
        <v>0</v>
      </c>
      <c r="T2004" t="n">
        <v>0</v>
      </c>
      <c r="U2004" t="n">
        <v>0</v>
      </c>
      <c r="V2004" s="2" t="inlineStr"/>
    </row>
    <row r="2005" ht="15" customHeight="1">
      <c r="A2005" t="inlineStr">
        <is>
          <t>A 12553-2023</t>
        </is>
      </c>
      <c r="B2005" t="inlineStr">
        <is>
          <t>avverkningsanmälan</t>
        </is>
      </c>
      <c r="C2005" t="inlineStr">
        <is>
          <t>Föryngringsavverkning</t>
        </is>
      </c>
      <c r="D2005" s="1" t="n">
        <v>45000</v>
      </c>
      <c r="E2005" s="1" t="n">
        <v>46323</v>
      </c>
      <c r="F2005" t="inlineStr">
        <is>
          <t>KALMAR LÄN</t>
        </is>
      </c>
      <c r="G2005" t="inlineStr">
        <is>
          <t>TORSÅS</t>
        </is>
      </c>
      <c r="I2005" t="n">
        <v>0.6</v>
      </c>
      <c r="J2005" t="n">
        <v>0</v>
      </c>
      <c r="K2005" t="n">
        <v>0</v>
      </c>
      <c r="L2005" t="n">
        <v>0</v>
      </c>
      <c r="M2005" t="n">
        <v>0</v>
      </c>
      <c r="N2005" t="n">
        <v>0</v>
      </c>
      <c r="O2005" t="n">
        <v>0</v>
      </c>
      <c r="P2005" t="n">
        <v>0</v>
      </c>
      <c r="Q2005" t="n">
        <v>0</v>
      </c>
      <c r="R2005" t="n">
        <v>0</v>
      </c>
      <c r="S2005" t="n">
        <v>0</v>
      </c>
      <c r="T2005" t="n">
        <v>0</v>
      </c>
      <c r="U2005" t="n">
        <v>0</v>
      </c>
      <c r="V2005" s="2" t="inlineStr"/>
    </row>
    <row r="2006" ht="15" customHeight="1">
      <c r="A2006" t="inlineStr">
        <is>
          <t>A 12595-2023</t>
        </is>
      </c>
      <c r="B2006" t="inlineStr">
        <is>
          <t>avverkningsanmälan</t>
        </is>
      </c>
      <c r="C2006" t="inlineStr">
        <is>
          <t>Avverkning för att bevara och utveckla /försöksver</t>
        </is>
      </c>
      <c r="D2006" s="1" t="n">
        <v>45000</v>
      </c>
      <c r="E2006" s="1" t="n">
        <v>46323</v>
      </c>
      <c r="F2006" t="inlineStr">
        <is>
          <t>KALMAR LÄN</t>
        </is>
      </c>
      <c r="G2006" t="inlineStr">
        <is>
          <t>VÄSTERVIK</t>
        </is>
      </c>
      <c r="H2006" t="inlineStr">
        <is>
          <t>Holmen skog AB</t>
        </is>
      </c>
      <c r="I2006" t="n">
        <v>2.2</v>
      </c>
      <c r="J2006" t="n">
        <v>0</v>
      </c>
      <c r="K2006" t="n">
        <v>0</v>
      </c>
      <c r="L2006" t="n">
        <v>0</v>
      </c>
      <c r="M2006" t="n">
        <v>0</v>
      </c>
      <c r="N2006" t="n">
        <v>0</v>
      </c>
      <c r="O2006" t="n">
        <v>0</v>
      </c>
      <c r="P2006" t="n">
        <v>0</v>
      </c>
      <c r="Q2006" t="n">
        <v>0</v>
      </c>
      <c r="R2006" t="n">
        <v>0</v>
      </c>
      <c r="S2006" t="n">
        <v>0</v>
      </c>
      <c r="T2006" t="n">
        <v>0</v>
      </c>
      <c r="U2006" t="n">
        <v>0</v>
      </c>
      <c r="V2006" s="2" t="inlineStr"/>
    </row>
    <row r="2007" ht="15" customHeight="1">
      <c r="A2007" t="inlineStr">
        <is>
          <t>A 7568-2024</t>
        </is>
      </c>
      <c r="B2007" t="inlineStr">
        <is>
          <t>avverkningsanmälan</t>
        </is>
      </c>
      <c r="C2007" t="inlineStr">
        <is>
          <t>Föryngringsavverkning</t>
        </is>
      </c>
      <c r="D2007" s="1" t="n">
        <v>45348</v>
      </c>
      <c r="E2007" s="1" t="n">
        <v>46323</v>
      </c>
      <c r="F2007" t="inlineStr">
        <is>
          <t>KALMAR LÄN</t>
        </is>
      </c>
      <c r="G2007" t="inlineStr">
        <is>
          <t>EMMABODA</t>
        </is>
      </c>
      <c r="I2007" t="n">
        <v>1.4</v>
      </c>
      <c r="J2007" t="n">
        <v>0</v>
      </c>
      <c r="K2007" t="n">
        <v>0</v>
      </c>
      <c r="L2007" t="n">
        <v>0</v>
      </c>
      <c r="M2007" t="n">
        <v>0</v>
      </c>
      <c r="N2007" t="n">
        <v>0</v>
      </c>
      <c r="O2007" t="n">
        <v>0</v>
      </c>
      <c r="P2007" t="n">
        <v>0</v>
      </c>
      <c r="Q2007" t="n">
        <v>0</v>
      </c>
      <c r="R2007" t="n">
        <v>0</v>
      </c>
      <c r="S2007" t="n">
        <v>0</v>
      </c>
      <c r="T2007" t="n">
        <v>0</v>
      </c>
      <c r="U2007" t="n">
        <v>0</v>
      </c>
      <c r="V2007" s="2" t="inlineStr"/>
    </row>
    <row r="2008" ht="15" customHeight="1">
      <c r="A2008" t="inlineStr">
        <is>
          <t>A 23411-2022</t>
        </is>
      </c>
      <c r="B2008" t="inlineStr">
        <is>
          <t>avverkningsanmälan</t>
        </is>
      </c>
      <c r="C2008" t="inlineStr">
        <is>
          <t>Föryngringsavverkning</t>
        </is>
      </c>
      <c r="D2008" s="1" t="n">
        <v>44720</v>
      </c>
      <c r="E2008" s="1" t="n">
        <v>46323</v>
      </c>
      <c r="F2008" t="inlineStr">
        <is>
          <t>KALMAR LÄN</t>
        </is>
      </c>
      <c r="G2008" t="inlineStr">
        <is>
          <t>VÄSTERVIK</t>
        </is>
      </c>
      <c r="I2008" t="n">
        <v>1.1</v>
      </c>
      <c r="J2008" t="n">
        <v>0</v>
      </c>
      <c r="K2008" t="n">
        <v>0</v>
      </c>
      <c r="L2008" t="n">
        <v>0</v>
      </c>
      <c r="M2008" t="n">
        <v>0</v>
      </c>
      <c r="N2008" t="n">
        <v>0</v>
      </c>
      <c r="O2008" t="n">
        <v>0</v>
      </c>
      <c r="P2008" t="n">
        <v>0</v>
      </c>
      <c r="Q2008" t="n">
        <v>0</v>
      </c>
      <c r="R2008" t="n">
        <v>0</v>
      </c>
      <c r="S2008" t="n">
        <v>0</v>
      </c>
      <c r="T2008" t="n">
        <v>0</v>
      </c>
      <c r="U2008" t="n">
        <v>0</v>
      </c>
      <c r="V2008" s="2" t="inlineStr"/>
    </row>
    <row r="2009" ht="15" customHeight="1">
      <c r="A2009" t="inlineStr">
        <is>
          <t>A 22099-2023</t>
        </is>
      </c>
      <c r="B2009" t="inlineStr">
        <is>
          <t>avverkningsanmälan</t>
        </is>
      </c>
      <c r="C2009" t="inlineStr">
        <is>
          <t>Föryngringsavverkning</t>
        </is>
      </c>
      <c r="D2009" s="1" t="n">
        <v>45069</v>
      </c>
      <c r="E2009" s="1" t="n">
        <v>46323</v>
      </c>
      <c r="F2009" t="inlineStr">
        <is>
          <t>KALMAR LÄN</t>
        </is>
      </c>
      <c r="G2009" t="inlineStr">
        <is>
          <t>EMMABODA</t>
        </is>
      </c>
      <c r="I2009" t="n">
        <v>0.5</v>
      </c>
      <c r="J2009" t="n">
        <v>0</v>
      </c>
      <c r="K2009" t="n">
        <v>0</v>
      </c>
      <c r="L2009" t="n">
        <v>0</v>
      </c>
      <c r="M2009" t="n">
        <v>0</v>
      </c>
      <c r="N2009" t="n">
        <v>0</v>
      </c>
      <c r="O2009" t="n">
        <v>0</v>
      </c>
      <c r="P2009" t="n">
        <v>0</v>
      </c>
      <c r="Q2009" t="n">
        <v>0</v>
      </c>
      <c r="R2009" t="n">
        <v>0</v>
      </c>
      <c r="S2009" t="n">
        <v>0</v>
      </c>
      <c r="T2009" t="n">
        <v>0</v>
      </c>
      <c r="U2009" t="n">
        <v>0</v>
      </c>
      <c r="V2009" s="2" t="inlineStr"/>
    </row>
    <row r="2010" ht="15" customHeight="1">
      <c r="A2010" t="inlineStr">
        <is>
          <t>A 22117-2023</t>
        </is>
      </c>
      <c r="B2010" t="inlineStr">
        <is>
          <t>avverkningsanmälan</t>
        </is>
      </c>
      <c r="C2010" t="inlineStr">
        <is>
          <t>Föryngringsavverkning</t>
        </is>
      </c>
      <c r="D2010" s="1" t="n">
        <v>45069</v>
      </c>
      <c r="E2010" s="1" t="n">
        <v>46323</v>
      </c>
      <c r="F2010" t="inlineStr">
        <is>
          <t>KALMAR LÄN</t>
        </is>
      </c>
      <c r="G2010" t="inlineStr">
        <is>
          <t>EMMABODA</t>
        </is>
      </c>
      <c r="I2010" t="n">
        <v>5.2</v>
      </c>
      <c r="J2010" t="n">
        <v>0</v>
      </c>
      <c r="K2010" t="n">
        <v>0</v>
      </c>
      <c r="L2010" t="n">
        <v>0</v>
      </c>
      <c r="M2010" t="n">
        <v>0</v>
      </c>
      <c r="N2010" t="n">
        <v>0</v>
      </c>
      <c r="O2010" t="n">
        <v>0</v>
      </c>
      <c r="P2010" t="n">
        <v>0</v>
      </c>
      <c r="Q2010" t="n">
        <v>0</v>
      </c>
      <c r="R2010" t="n">
        <v>0</v>
      </c>
      <c r="S2010" t="n">
        <v>0</v>
      </c>
      <c r="T2010" t="n">
        <v>0</v>
      </c>
      <c r="U2010" t="n">
        <v>0</v>
      </c>
      <c r="V2010" s="2" t="inlineStr"/>
    </row>
    <row r="2011" ht="15" customHeight="1">
      <c r="A2011" t="inlineStr">
        <is>
          <t>A 9387-2023</t>
        </is>
      </c>
      <c r="B2011" t="inlineStr">
        <is>
          <t>avverkningsanmälan</t>
        </is>
      </c>
      <c r="C2011" t="inlineStr">
        <is>
          <t>Föryngringsavverkning</t>
        </is>
      </c>
      <c r="D2011" s="1" t="n">
        <v>44981</v>
      </c>
      <c r="E2011" s="1" t="n">
        <v>46323</v>
      </c>
      <c r="F2011" t="inlineStr">
        <is>
          <t>KALMAR LÄN</t>
        </is>
      </c>
      <c r="G2011" t="inlineStr">
        <is>
          <t>HULTSFRED</t>
        </is>
      </c>
      <c r="I2011" t="n">
        <v>7.6</v>
      </c>
      <c r="J2011" t="n">
        <v>0</v>
      </c>
      <c r="K2011" t="n">
        <v>0</v>
      </c>
      <c r="L2011" t="n">
        <v>0</v>
      </c>
      <c r="M2011" t="n">
        <v>0</v>
      </c>
      <c r="N2011" t="n">
        <v>0</v>
      </c>
      <c r="O2011" t="n">
        <v>0</v>
      </c>
      <c r="P2011" t="n">
        <v>0</v>
      </c>
      <c r="Q2011" t="n">
        <v>0</v>
      </c>
      <c r="R2011" t="n">
        <v>0</v>
      </c>
      <c r="S2011" t="n">
        <v>0</v>
      </c>
      <c r="T2011" t="n">
        <v>0</v>
      </c>
      <c r="U2011" t="n">
        <v>0</v>
      </c>
      <c r="V2011" s="2" t="inlineStr"/>
    </row>
    <row r="2012" ht="15" customHeight="1">
      <c r="A2012" t="inlineStr">
        <is>
          <t>A 2136-2025</t>
        </is>
      </c>
      <c r="B2012" t="inlineStr">
        <is>
          <t>avverkningsanmälan</t>
        </is>
      </c>
      <c r="C2012" t="inlineStr">
        <is>
          <t>Föryngringsavverkning</t>
        </is>
      </c>
      <c r="D2012" s="1" t="n">
        <v>45672</v>
      </c>
      <c r="E2012" s="1" t="n">
        <v>46323</v>
      </c>
      <c r="F2012" t="inlineStr">
        <is>
          <t>KALMAR LÄN</t>
        </is>
      </c>
      <c r="G2012" t="inlineStr">
        <is>
          <t>TORSÅS</t>
        </is>
      </c>
      <c r="I2012" t="n">
        <v>0.9</v>
      </c>
      <c r="J2012" t="n">
        <v>0</v>
      </c>
      <c r="K2012" t="n">
        <v>0</v>
      </c>
      <c r="L2012" t="n">
        <v>0</v>
      </c>
      <c r="M2012" t="n">
        <v>0</v>
      </c>
      <c r="N2012" t="n">
        <v>0</v>
      </c>
      <c r="O2012" t="n">
        <v>0</v>
      </c>
      <c r="P2012" t="n">
        <v>0</v>
      </c>
      <c r="Q2012" t="n">
        <v>0</v>
      </c>
      <c r="R2012" t="n">
        <v>0</v>
      </c>
      <c r="S2012" t="n">
        <v>0</v>
      </c>
      <c r="T2012" t="n">
        <v>0</v>
      </c>
      <c r="U2012" t="n">
        <v>0</v>
      </c>
      <c r="V2012" s="2" t="inlineStr"/>
    </row>
    <row r="2013" ht="15" customHeight="1">
      <c r="A2013" t="inlineStr">
        <is>
          <t>A 32049-2023</t>
        </is>
      </c>
      <c r="B2013" t="inlineStr">
        <is>
          <t>avverkningsanmälan</t>
        </is>
      </c>
      <c r="C2013" t="inlineStr">
        <is>
          <t>Avverkning för att bevara och utveckla /försöksver</t>
        </is>
      </c>
      <c r="D2013" s="1" t="n">
        <v>45119</v>
      </c>
      <c r="E2013" s="1" t="n">
        <v>46323</v>
      </c>
      <c r="F2013" t="inlineStr">
        <is>
          <t>KALMAR LÄN</t>
        </is>
      </c>
      <c r="G2013" t="inlineStr">
        <is>
          <t>HÖGSBY</t>
        </is>
      </c>
      <c r="H2013" t="inlineStr">
        <is>
          <t>Sveaskog</t>
        </is>
      </c>
      <c r="I2013" t="n">
        <v>3.3</v>
      </c>
      <c r="J2013" t="n">
        <v>0</v>
      </c>
      <c r="K2013" t="n">
        <v>0</v>
      </c>
      <c r="L2013" t="n">
        <v>0</v>
      </c>
      <c r="M2013" t="n">
        <v>0</v>
      </c>
      <c r="N2013" t="n">
        <v>0</v>
      </c>
      <c r="O2013" t="n">
        <v>0</v>
      </c>
      <c r="P2013" t="n">
        <v>0</v>
      </c>
      <c r="Q2013" t="n">
        <v>0</v>
      </c>
      <c r="R2013" t="n">
        <v>0</v>
      </c>
      <c r="S2013" t="n">
        <v>0</v>
      </c>
      <c r="T2013" t="n">
        <v>0</v>
      </c>
      <c r="U2013" t="n">
        <v>0</v>
      </c>
      <c r="V2013" s="2" t="inlineStr"/>
    </row>
    <row r="2014" ht="15" customHeight="1">
      <c r="A2014" t="inlineStr">
        <is>
          <t>A 16354-2024</t>
        </is>
      </c>
      <c r="B2014" t="inlineStr">
        <is>
          <t>avverkningsanmälan</t>
        </is>
      </c>
      <c r="C2014" t="inlineStr">
        <is>
          <t>Föryngringsavverkning</t>
        </is>
      </c>
      <c r="D2014" s="1" t="n">
        <v>45407</v>
      </c>
      <c r="E2014" s="1" t="n">
        <v>46323</v>
      </c>
      <c r="F2014" t="inlineStr">
        <is>
          <t>KALMAR LÄN</t>
        </is>
      </c>
      <c r="G2014" t="inlineStr">
        <is>
          <t>NYBRO</t>
        </is>
      </c>
      <c r="I2014" t="n">
        <v>1.8</v>
      </c>
      <c r="J2014" t="n">
        <v>0</v>
      </c>
      <c r="K2014" t="n">
        <v>0</v>
      </c>
      <c r="L2014" t="n">
        <v>0</v>
      </c>
      <c r="M2014" t="n">
        <v>0</v>
      </c>
      <c r="N2014" t="n">
        <v>0</v>
      </c>
      <c r="O2014" t="n">
        <v>0</v>
      </c>
      <c r="P2014" t="n">
        <v>0</v>
      </c>
      <c r="Q2014" t="n">
        <v>0</v>
      </c>
      <c r="R2014" t="n">
        <v>0</v>
      </c>
      <c r="S2014" t="n">
        <v>0</v>
      </c>
      <c r="T2014" t="n">
        <v>0</v>
      </c>
      <c r="U2014" t="n">
        <v>0</v>
      </c>
      <c r="V2014" s="2" t="inlineStr"/>
    </row>
    <row r="2015" ht="15" customHeight="1">
      <c r="A2015" t="inlineStr">
        <is>
          <t>A 6042-2023</t>
        </is>
      </c>
      <c r="B2015" t="inlineStr">
        <is>
          <t>avverkningsanmälan</t>
        </is>
      </c>
      <c r="C2015" t="inlineStr">
        <is>
          <t>Föryngringsavverkning</t>
        </is>
      </c>
      <c r="D2015" s="1" t="n">
        <v>44964</v>
      </c>
      <c r="E2015" s="1" t="n">
        <v>46323</v>
      </c>
      <c r="F2015" t="inlineStr">
        <is>
          <t>KALMAR LÄN</t>
        </is>
      </c>
      <c r="G2015" t="inlineStr">
        <is>
          <t>VÄSTERVIK</t>
        </is>
      </c>
      <c r="I2015" t="n">
        <v>1</v>
      </c>
      <c r="J2015" t="n">
        <v>0</v>
      </c>
      <c r="K2015" t="n">
        <v>0</v>
      </c>
      <c r="L2015" t="n">
        <v>0</v>
      </c>
      <c r="M2015" t="n">
        <v>0</v>
      </c>
      <c r="N2015" t="n">
        <v>0</v>
      </c>
      <c r="O2015" t="n">
        <v>0</v>
      </c>
      <c r="P2015" t="n">
        <v>0</v>
      </c>
      <c r="Q2015" t="n">
        <v>0</v>
      </c>
      <c r="R2015" t="n">
        <v>0</v>
      </c>
      <c r="S2015" t="n">
        <v>0</v>
      </c>
      <c r="T2015" t="n">
        <v>0</v>
      </c>
      <c r="U2015" t="n">
        <v>0</v>
      </c>
      <c r="V2015" s="2" t="inlineStr"/>
    </row>
    <row r="2016" ht="15" customHeight="1">
      <c r="A2016" t="inlineStr">
        <is>
          <t>A 14670-2024</t>
        </is>
      </c>
      <c r="B2016" t="inlineStr">
        <is>
          <t>avverkningsanmälan</t>
        </is>
      </c>
      <c r="C2016" t="inlineStr">
        <is>
          <t>Föryngringsavverkning</t>
        </is>
      </c>
      <c r="D2016" s="1" t="n">
        <v>45397</v>
      </c>
      <c r="E2016" s="1" t="n">
        <v>46323</v>
      </c>
      <c r="F2016" t="inlineStr">
        <is>
          <t>KALMAR LÄN</t>
        </is>
      </c>
      <c r="G2016" t="inlineStr">
        <is>
          <t>EMMABODA</t>
        </is>
      </c>
      <c r="I2016" t="n">
        <v>0.8</v>
      </c>
      <c r="J2016" t="n">
        <v>0</v>
      </c>
      <c r="K2016" t="n">
        <v>0</v>
      </c>
      <c r="L2016" t="n">
        <v>0</v>
      </c>
      <c r="M2016" t="n">
        <v>0</v>
      </c>
      <c r="N2016" t="n">
        <v>0</v>
      </c>
      <c r="O2016" t="n">
        <v>0</v>
      </c>
      <c r="P2016" t="n">
        <v>0</v>
      </c>
      <c r="Q2016" t="n">
        <v>0</v>
      </c>
      <c r="R2016" t="n">
        <v>0</v>
      </c>
      <c r="S2016" t="n">
        <v>0</v>
      </c>
      <c r="T2016" t="n">
        <v>0</v>
      </c>
      <c r="U2016" t="n">
        <v>0</v>
      </c>
      <c r="V2016" s="2" t="inlineStr"/>
    </row>
    <row r="2017" ht="15" customHeight="1">
      <c r="A2017" t="inlineStr">
        <is>
          <t>A 11167-2024</t>
        </is>
      </c>
      <c r="B2017" t="inlineStr">
        <is>
          <t>avverkningsanmälan</t>
        </is>
      </c>
      <c r="C2017" t="inlineStr">
        <is>
          <t>Föryngringsavverkning</t>
        </is>
      </c>
      <c r="D2017" s="1" t="n">
        <v>45371</v>
      </c>
      <c r="E2017" s="1" t="n">
        <v>46323</v>
      </c>
      <c r="F2017" t="inlineStr">
        <is>
          <t>KALMAR LÄN</t>
        </is>
      </c>
      <c r="G2017" t="inlineStr">
        <is>
          <t>VÄSTERVIK</t>
        </is>
      </c>
      <c r="I2017" t="n">
        <v>1.1</v>
      </c>
      <c r="J2017" t="n">
        <v>0</v>
      </c>
      <c r="K2017" t="n">
        <v>0</v>
      </c>
      <c r="L2017" t="n">
        <v>0</v>
      </c>
      <c r="M2017" t="n">
        <v>0</v>
      </c>
      <c r="N2017" t="n">
        <v>0</v>
      </c>
      <c r="O2017" t="n">
        <v>0</v>
      </c>
      <c r="P2017" t="n">
        <v>0</v>
      </c>
      <c r="Q2017" t="n">
        <v>0</v>
      </c>
      <c r="R2017" t="n">
        <v>0</v>
      </c>
      <c r="S2017" t="n">
        <v>0</v>
      </c>
      <c r="T2017" t="n">
        <v>0</v>
      </c>
      <c r="U2017" t="n">
        <v>0</v>
      </c>
      <c r="V2017" s="2" t="inlineStr"/>
    </row>
    <row r="2018" ht="15" customHeight="1">
      <c r="A2018" t="inlineStr">
        <is>
          <t>A 34887-2025</t>
        </is>
      </c>
      <c r="B2018" t="inlineStr">
        <is>
          <t>avverkningsanmälan</t>
        </is>
      </c>
      <c r="C2018" t="inlineStr">
        <is>
          <t>Föryngringsavverkning</t>
        </is>
      </c>
      <c r="D2018" s="1" t="n">
        <v>45849</v>
      </c>
      <c r="E2018" s="1" t="n">
        <v>46323</v>
      </c>
      <c r="F2018" t="inlineStr">
        <is>
          <t>KALMAR LÄN</t>
        </is>
      </c>
      <c r="G2018" t="inlineStr">
        <is>
          <t>NYBRO</t>
        </is>
      </c>
      <c r="I2018" t="n">
        <v>2.2</v>
      </c>
      <c r="J2018" t="n">
        <v>0</v>
      </c>
      <c r="K2018" t="n">
        <v>0</v>
      </c>
      <c r="L2018" t="n">
        <v>0</v>
      </c>
      <c r="M2018" t="n">
        <v>0</v>
      </c>
      <c r="N2018" t="n">
        <v>0</v>
      </c>
      <c r="O2018" t="n">
        <v>0</v>
      </c>
      <c r="P2018" t="n">
        <v>0</v>
      </c>
      <c r="Q2018" t="n">
        <v>0</v>
      </c>
      <c r="R2018" t="n">
        <v>0</v>
      </c>
      <c r="S2018" t="n">
        <v>0</v>
      </c>
      <c r="T2018" t="n">
        <v>0</v>
      </c>
      <c r="U2018" t="n">
        <v>0</v>
      </c>
      <c r="V2018" s="2" t="inlineStr"/>
    </row>
    <row r="2019" ht="15" customHeight="1">
      <c r="A2019" t="inlineStr">
        <is>
          <t>A 3566-2025</t>
        </is>
      </c>
      <c r="B2019" t="inlineStr">
        <is>
          <t>avverkningsanmälan</t>
        </is>
      </c>
      <c r="C2019" t="inlineStr">
        <is>
          <t>Föryngringsavverkning</t>
        </is>
      </c>
      <c r="D2019" s="1" t="n">
        <v>45680</v>
      </c>
      <c r="E2019" s="1" t="n">
        <v>46323</v>
      </c>
      <c r="F2019" t="inlineStr">
        <is>
          <t>KALMAR LÄN</t>
        </is>
      </c>
      <c r="G2019" t="inlineStr">
        <is>
          <t>KALMAR</t>
        </is>
      </c>
      <c r="I2019" t="n">
        <v>0.4</v>
      </c>
      <c r="J2019" t="n">
        <v>0</v>
      </c>
      <c r="K2019" t="n">
        <v>0</v>
      </c>
      <c r="L2019" t="n">
        <v>0</v>
      </c>
      <c r="M2019" t="n">
        <v>0</v>
      </c>
      <c r="N2019" t="n">
        <v>0</v>
      </c>
      <c r="O2019" t="n">
        <v>0</v>
      </c>
      <c r="P2019" t="n">
        <v>0</v>
      </c>
      <c r="Q2019" t="n">
        <v>0</v>
      </c>
      <c r="R2019" t="n">
        <v>0</v>
      </c>
      <c r="S2019" t="n">
        <v>0</v>
      </c>
      <c r="T2019" t="n">
        <v>0</v>
      </c>
      <c r="U2019" t="n">
        <v>0</v>
      </c>
      <c r="V2019" s="2" t="inlineStr"/>
    </row>
    <row r="2020" ht="15" customHeight="1">
      <c r="A2020" t="inlineStr">
        <is>
          <t>A 11388-2023</t>
        </is>
      </c>
      <c r="B2020" t="inlineStr">
        <is>
          <t>avverkningsanmälan</t>
        </is>
      </c>
      <c r="C2020" t="inlineStr">
        <is>
          <t>Avverkning för annat ändamål</t>
        </is>
      </c>
      <c r="D2020" s="1" t="n">
        <v>44993</v>
      </c>
      <c r="E2020" s="1" t="n">
        <v>46323</v>
      </c>
      <c r="F2020" t="inlineStr">
        <is>
          <t>KALMAR LÄN</t>
        </is>
      </c>
      <c r="G2020" t="inlineStr">
        <is>
          <t>KALMAR</t>
        </is>
      </c>
      <c r="I2020" t="n">
        <v>3.7</v>
      </c>
      <c r="J2020" t="n">
        <v>0</v>
      </c>
      <c r="K2020" t="n">
        <v>0</v>
      </c>
      <c r="L2020" t="n">
        <v>0</v>
      </c>
      <c r="M2020" t="n">
        <v>0</v>
      </c>
      <c r="N2020" t="n">
        <v>0</v>
      </c>
      <c r="O2020" t="n">
        <v>0</v>
      </c>
      <c r="P2020" t="n">
        <v>0</v>
      </c>
      <c r="Q2020" t="n">
        <v>0</v>
      </c>
      <c r="R2020" t="n">
        <v>0</v>
      </c>
      <c r="S2020" t="n">
        <v>0</v>
      </c>
      <c r="T2020" t="n">
        <v>0</v>
      </c>
      <c r="U2020" t="n">
        <v>0</v>
      </c>
      <c r="V2020" s="2" t="inlineStr"/>
    </row>
    <row r="2021" ht="15" customHeight="1">
      <c r="A2021" t="inlineStr">
        <is>
          <t>A 3632-2025</t>
        </is>
      </c>
      <c r="B2021" t="inlineStr">
        <is>
          <t>avverkningsanmälan</t>
        </is>
      </c>
      <c r="C2021" t="inlineStr">
        <is>
          <t>Föryngringsavverkning</t>
        </is>
      </c>
      <c r="D2021" s="1" t="n">
        <v>45681</v>
      </c>
      <c r="E2021" s="1" t="n">
        <v>46323</v>
      </c>
      <c r="F2021" t="inlineStr">
        <is>
          <t>KALMAR LÄN</t>
        </is>
      </c>
      <c r="G2021" t="inlineStr">
        <is>
          <t>NYBRO</t>
        </is>
      </c>
      <c r="H2021" t="inlineStr">
        <is>
          <t>Kyrkan</t>
        </is>
      </c>
      <c r="I2021" t="n">
        <v>7.7</v>
      </c>
      <c r="J2021" t="n">
        <v>0</v>
      </c>
      <c r="K2021" t="n">
        <v>0</v>
      </c>
      <c r="L2021" t="n">
        <v>0</v>
      </c>
      <c r="M2021" t="n">
        <v>0</v>
      </c>
      <c r="N2021" t="n">
        <v>0</v>
      </c>
      <c r="O2021" t="n">
        <v>0</v>
      </c>
      <c r="P2021" t="n">
        <v>0</v>
      </c>
      <c r="Q2021" t="n">
        <v>0</v>
      </c>
      <c r="R2021" t="n">
        <v>0</v>
      </c>
      <c r="S2021" t="n">
        <v>0</v>
      </c>
      <c r="T2021" t="n">
        <v>0</v>
      </c>
      <c r="U2021" t="n">
        <v>0</v>
      </c>
      <c r="V2021" s="2" t="inlineStr"/>
    </row>
    <row r="2022" ht="15" customHeight="1">
      <c r="A2022" t="inlineStr">
        <is>
          <t>A 36573-2023</t>
        </is>
      </c>
      <c r="B2022" t="inlineStr">
        <is>
          <t>avverkningsanmälan</t>
        </is>
      </c>
      <c r="C2022" t="inlineStr">
        <is>
          <t>Föryngringsavverkning</t>
        </is>
      </c>
      <c r="D2022" s="1" t="n">
        <v>45153</v>
      </c>
      <c r="E2022" s="1" t="n">
        <v>46323</v>
      </c>
      <c r="F2022" t="inlineStr">
        <is>
          <t>KALMAR LÄN</t>
        </is>
      </c>
      <c r="G2022" t="inlineStr">
        <is>
          <t>HÖGSBY</t>
        </is>
      </c>
      <c r="I2022" t="n">
        <v>2.7</v>
      </c>
      <c r="J2022" t="n">
        <v>0</v>
      </c>
      <c r="K2022" t="n">
        <v>0</v>
      </c>
      <c r="L2022" t="n">
        <v>0</v>
      </c>
      <c r="M2022" t="n">
        <v>0</v>
      </c>
      <c r="N2022" t="n">
        <v>0</v>
      </c>
      <c r="O2022" t="n">
        <v>0</v>
      </c>
      <c r="P2022" t="n">
        <v>0</v>
      </c>
      <c r="Q2022" t="n">
        <v>0</v>
      </c>
      <c r="R2022" t="n">
        <v>0</v>
      </c>
      <c r="S2022" t="n">
        <v>0</v>
      </c>
      <c r="T2022" t="n">
        <v>0</v>
      </c>
      <c r="U2022" t="n">
        <v>0</v>
      </c>
      <c r="V2022" s="2" t="inlineStr"/>
    </row>
    <row r="2023" ht="15" customHeight="1">
      <c r="A2023" t="inlineStr">
        <is>
          <t>A 41199-2023</t>
        </is>
      </c>
      <c r="B2023" t="inlineStr">
        <is>
          <t>avverkningsanmälan</t>
        </is>
      </c>
      <c r="C2023" t="inlineStr">
        <is>
          <t>Föryngringsavverkning</t>
        </is>
      </c>
      <c r="D2023" s="1" t="n">
        <v>45174</v>
      </c>
      <c r="E2023" s="1" t="n">
        <v>46323</v>
      </c>
      <c r="F2023" t="inlineStr">
        <is>
          <t>KALMAR LÄN</t>
        </is>
      </c>
      <c r="G2023" t="inlineStr">
        <is>
          <t>VIMMERBY</t>
        </is>
      </c>
      <c r="I2023" t="n">
        <v>1.3</v>
      </c>
      <c r="J2023" t="n">
        <v>0</v>
      </c>
      <c r="K2023" t="n">
        <v>0</v>
      </c>
      <c r="L2023" t="n">
        <v>0</v>
      </c>
      <c r="M2023" t="n">
        <v>0</v>
      </c>
      <c r="N2023" t="n">
        <v>0</v>
      </c>
      <c r="O2023" t="n">
        <v>0</v>
      </c>
      <c r="P2023" t="n">
        <v>0</v>
      </c>
      <c r="Q2023" t="n">
        <v>0</v>
      </c>
      <c r="R2023" t="n">
        <v>0</v>
      </c>
      <c r="S2023" t="n">
        <v>0</v>
      </c>
      <c r="T2023" t="n">
        <v>0</v>
      </c>
      <c r="U2023" t="n">
        <v>0</v>
      </c>
      <c r="V2023" s="2" t="inlineStr"/>
    </row>
    <row r="2024" ht="15" customHeight="1">
      <c r="A2024" t="inlineStr">
        <is>
          <t>A 52823-2024</t>
        </is>
      </c>
      <c r="B2024" t="inlineStr">
        <is>
          <t>avverkningsanmälan</t>
        </is>
      </c>
      <c r="C2024" t="inlineStr">
        <is>
          <t>Föryngringsavverkning</t>
        </is>
      </c>
      <c r="D2024" s="1" t="n">
        <v>45610</v>
      </c>
      <c r="E2024" s="1" t="n">
        <v>46323</v>
      </c>
      <c r="F2024" t="inlineStr">
        <is>
          <t>KALMAR LÄN</t>
        </is>
      </c>
      <c r="G2024" t="inlineStr">
        <is>
          <t>VIMMERBY</t>
        </is>
      </c>
      <c r="I2024" t="n">
        <v>0.6</v>
      </c>
      <c r="J2024" t="n">
        <v>0</v>
      </c>
      <c r="K2024" t="n">
        <v>0</v>
      </c>
      <c r="L2024" t="n">
        <v>0</v>
      </c>
      <c r="M2024" t="n">
        <v>0</v>
      </c>
      <c r="N2024" t="n">
        <v>0</v>
      </c>
      <c r="O2024" t="n">
        <v>0</v>
      </c>
      <c r="P2024" t="n">
        <v>0</v>
      </c>
      <c r="Q2024" t="n">
        <v>0</v>
      </c>
      <c r="R2024" t="n">
        <v>0</v>
      </c>
      <c r="S2024" t="n">
        <v>0</v>
      </c>
      <c r="T2024" t="n">
        <v>0</v>
      </c>
      <c r="U2024" t="n">
        <v>0</v>
      </c>
      <c r="V2024" s="2" t="inlineStr"/>
    </row>
    <row r="2025" ht="15" customHeight="1">
      <c r="A2025" t="inlineStr">
        <is>
          <t>A 35116-2023</t>
        </is>
      </c>
      <c r="B2025" t="inlineStr">
        <is>
          <t>avverkningsanmälan</t>
        </is>
      </c>
      <c r="C2025" t="inlineStr">
        <is>
          <t>Föryngringsavverkning</t>
        </is>
      </c>
      <c r="D2025" s="1" t="n">
        <v>45145</v>
      </c>
      <c r="E2025" s="1" t="n">
        <v>46323</v>
      </c>
      <c r="F2025" t="inlineStr">
        <is>
          <t>KALMAR LÄN</t>
        </is>
      </c>
      <c r="G2025" t="inlineStr">
        <is>
          <t>TORSÅS</t>
        </is>
      </c>
      <c r="I2025" t="n">
        <v>6.5</v>
      </c>
      <c r="J2025" t="n">
        <v>0</v>
      </c>
      <c r="K2025" t="n">
        <v>0</v>
      </c>
      <c r="L2025" t="n">
        <v>0</v>
      </c>
      <c r="M2025" t="n">
        <v>0</v>
      </c>
      <c r="N2025" t="n">
        <v>0</v>
      </c>
      <c r="O2025" t="n">
        <v>0</v>
      </c>
      <c r="P2025" t="n">
        <v>0</v>
      </c>
      <c r="Q2025" t="n">
        <v>0</v>
      </c>
      <c r="R2025" t="n">
        <v>0</v>
      </c>
      <c r="S2025" t="n">
        <v>0</v>
      </c>
      <c r="T2025" t="n">
        <v>0</v>
      </c>
      <c r="U2025" t="n">
        <v>0</v>
      </c>
      <c r="V2025" s="2" t="inlineStr"/>
    </row>
    <row r="2026" ht="15" customHeight="1">
      <c r="A2026" t="inlineStr">
        <is>
          <t>A 11938-2023</t>
        </is>
      </c>
      <c r="B2026" t="inlineStr">
        <is>
          <t>avverkningsanmälan</t>
        </is>
      </c>
      <c r="C2026" t="inlineStr">
        <is>
          <t>Föryngringsavverkning</t>
        </is>
      </c>
      <c r="D2026" s="1" t="n">
        <v>44995</v>
      </c>
      <c r="E2026" s="1" t="n">
        <v>46323</v>
      </c>
      <c r="F2026" t="inlineStr">
        <is>
          <t>KALMAR LÄN</t>
        </is>
      </c>
      <c r="G2026" t="inlineStr">
        <is>
          <t>HULTSFRED</t>
        </is>
      </c>
      <c r="I2026" t="n">
        <v>4.5</v>
      </c>
      <c r="J2026" t="n">
        <v>0</v>
      </c>
      <c r="K2026" t="n">
        <v>0</v>
      </c>
      <c r="L2026" t="n">
        <v>0</v>
      </c>
      <c r="M2026" t="n">
        <v>0</v>
      </c>
      <c r="N2026" t="n">
        <v>0</v>
      </c>
      <c r="O2026" t="n">
        <v>0</v>
      </c>
      <c r="P2026" t="n">
        <v>0</v>
      </c>
      <c r="Q2026" t="n">
        <v>0</v>
      </c>
      <c r="R2026" t="n">
        <v>0</v>
      </c>
      <c r="S2026" t="n">
        <v>0</v>
      </c>
      <c r="T2026" t="n">
        <v>0</v>
      </c>
      <c r="U2026" t="n">
        <v>0</v>
      </c>
      <c r="V2026" s="2" t="inlineStr"/>
    </row>
    <row r="2027" ht="15" customHeight="1">
      <c r="A2027" t="inlineStr">
        <is>
          <t>A 25515-2022</t>
        </is>
      </c>
      <c r="B2027" t="inlineStr">
        <is>
          <t>avverkningsanmälan</t>
        </is>
      </c>
      <c r="C2027" t="inlineStr">
        <is>
          <t>Föryngringsavverkning</t>
        </is>
      </c>
      <c r="D2027" s="1" t="n">
        <v>44732</v>
      </c>
      <c r="E2027" s="1" t="n">
        <v>46323</v>
      </c>
      <c r="F2027" t="inlineStr">
        <is>
          <t>KALMAR LÄN</t>
        </is>
      </c>
      <c r="G2027" t="inlineStr">
        <is>
          <t>KALMAR</t>
        </is>
      </c>
      <c r="I2027" t="n">
        <v>4.3</v>
      </c>
      <c r="J2027" t="n">
        <v>0</v>
      </c>
      <c r="K2027" t="n">
        <v>0</v>
      </c>
      <c r="L2027" t="n">
        <v>0</v>
      </c>
      <c r="M2027" t="n">
        <v>0</v>
      </c>
      <c r="N2027" t="n">
        <v>0</v>
      </c>
      <c r="O2027" t="n">
        <v>0</v>
      </c>
      <c r="P2027" t="n">
        <v>0</v>
      </c>
      <c r="Q2027" t="n">
        <v>0</v>
      </c>
      <c r="R2027" t="n">
        <v>0</v>
      </c>
      <c r="S2027" t="n">
        <v>0</v>
      </c>
      <c r="T2027" t="n">
        <v>0</v>
      </c>
      <c r="U2027" t="n">
        <v>0</v>
      </c>
      <c r="V2027" s="2" t="inlineStr"/>
    </row>
    <row r="2028" ht="15" customHeight="1">
      <c r="A2028" t="inlineStr">
        <is>
          <t>A 43038-2022</t>
        </is>
      </c>
      <c r="B2028" t="inlineStr">
        <is>
          <t>avverkningsanmälan</t>
        </is>
      </c>
      <c r="C2028" t="inlineStr">
        <is>
          <t>Föryngringsavverkning</t>
        </is>
      </c>
      <c r="D2028" s="1" t="n">
        <v>44833</v>
      </c>
      <c r="E2028" s="1" t="n">
        <v>46323</v>
      </c>
      <c r="F2028" t="inlineStr">
        <is>
          <t>KALMAR LÄN</t>
        </is>
      </c>
      <c r="G2028" t="inlineStr">
        <is>
          <t>VIMMERBY</t>
        </is>
      </c>
      <c r="I2028" t="n">
        <v>4.2</v>
      </c>
      <c r="J2028" t="n">
        <v>0</v>
      </c>
      <c r="K2028" t="n">
        <v>0</v>
      </c>
      <c r="L2028" t="n">
        <v>0</v>
      </c>
      <c r="M2028" t="n">
        <v>0</v>
      </c>
      <c r="N2028" t="n">
        <v>0</v>
      </c>
      <c r="O2028" t="n">
        <v>0</v>
      </c>
      <c r="P2028" t="n">
        <v>0</v>
      </c>
      <c r="Q2028" t="n">
        <v>0</v>
      </c>
      <c r="R2028" t="n">
        <v>0</v>
      </c>
      <c r="S2028" t="n">
        <v>0</v>
      </c>
      <c r="T2028" t="n">
        <v>0</v>
      </c>
      <c r="U2028" t="n">
        <v>0</v>
      </c>
      <c r="V2028" s="2" t="inlineStr"/>
    </row>
    <row r="2029" ht="15" customHeight="1">
      <c r="A2029" t="inlineStr">
        <is>
          <t>A 62457-2022</t>
        </is>
      </c>
      <c r="B2029" t="inlineStr">
        <is>
          <t>avverkningsanmälan</t>
        </is>
      </c>
      <c r="C2029" t="inlineStr">
        <is>
          <t>Föryngringsavverkning</t>
        </is>
      </c>
      <c r="D2029" s="1" t="n">
        <v>44924</v>
      </c>
      <c r="E2029" s="1" t="n">
        <v>46323</v>
      </c>
      <c r="F2029" t="inlineStr">
        <is>
          <t>KALMAR LÄN</t>
        </is>
      </c>
      <c r="G2029" t="inlineStr">
        <is>
          <t>KALMAR</t>
        </is>
      </c>
      <c r="I2029" t="n">
        <v>3.3</v>
      </c>
      <c r="J2029" t="n">
        <v>0</v>
      </c>
      <c r="K2029" t="n">
        <v>0</v>
      </c>
      <c r="L2029" t="n">
        <v>0</v>
      </c>
      <c r="M2029" t="n">
        <v>0</v>
      </c>
      <c r="N2029" t="n">
        <v>0</v>
      </c>
      <c r="O2029" t="n">
        <v>0</v>
      </c>
      <c r="P2029" t="n">
        <v>0</v>
      </c>
      <c r="Q2029" t="n">
        <v>0</v>
      </c>
      <c r="R2029" t="n">
        <v>0</v>
      </c>
      <c r="S2029" t="n">
        <v>0</v>
      </c>
      <c r="T2029" t="n">
        <v>0</v>
      </c>
      <c r="U2029" t="n">
        <v>0</v>
      </c>
      <c r="V2029" s="2" t="inlineStr"/>
    </row>
    <row r="2030" ht="15" customHeight="1">
      <c r="A2030" t="inlineStr">
        <is>
          <t>A 49817-2023</t>
        </is>
      </c>
      <c r="B2030" t="inlineStr">
        <is>
          <t>avverkningsanmälan</t>
        </is>
      </c>
      <c r="C2030" t="inlineStr">
        <is>
          <t>Föryngringsavverkning</t>
        </is>
      </c>
      <c r="D2030" s="1" t="n">
        <v>45212</v>
      </c>
      <c r="E2030" s="1" t="n">
        <v>46323</v>
      </c>
      <c r="F2030" t="inlineStr">
        <is>
          <t>KALMAR LÄN</t>
        </is>
      </c>
      <c r="G2030" t="inlineStr">
        <is>
          <t>OSKARSHAMN</t>
        </is>
      </c>
      <c r="I2030" t="n">
        <v>1.3</v>
      </c>
      <c r="J2030" t="n">
        <v>0</v>
      </c>
      <c r="K2030" t="n">
        <v>0</v>
      </c>
      <c r="L2030" t="n">
        <v>0</v>
      </c>
      <c r="M2030" t="n">
        <v>0</v>
      </c>
      <c r="N2030" t="n">
        <v>0</v>
      </c>
      <c r="O2030" t="n">
        <v>0</v>
      </c>
      <c r="P2030" t="n">
        <v>0</v>
      </c>
      <c r="Q2030" t="n">
        <v>0</v>
      </c>
      <c r="R2030" t="n">
        <v>0</v>
      </c>
      <c r="S2030" t="n">
        <v>0</v>
      </c>
      <c r="T2030" t="n">
        <v>0</v>
      </c>
      <c r="U2030" t="n">
        <v>0</v>
      </c>
      <c r="V2030" s="2" t="inlineStr"/>
    </row>
    <row r="2031" ht="15" customHeight="1">
      <c r="A2031" t="inlineStr">
        <is>
          <t>A 50055-2023</t>
        </is>
      </c>
      <c r="B2031" t="inlineStr">
        <is>
          <t>avverkningsanmälan</t>
        </is>
      </c>
      <c r="C2031" t="inlineStr">
        <is>
          <t>Föryngringsavverkning</t>
        </is>
      </c>
      <c r="D2031" s="1" t="n">
        <v>45215</v>
      </c>
      <c r="E2031" s="1" t="n">
        <v>46323</v>
      </c>
      <c r="F2031" t="inlineStr">
        <is>
          <t>KALMAR LÄN</t>
        </is>
      </c>
      <c r="G2031" t="inlineStr">
        <is>
          <t>KALMAR</t>
        </is>
      </c>
      <c r="I2031" t="n">
        <v>2.6</v>
      </c>
      <c r="J2031" t="n">
        <v>0</v>
      </c>
      <c r="K2031" t="n">
        <v>0</v>
      </c>
      <c r="L2031" t="n">
        <v>0</v>
      </c>
      <c r="M2031" t="n">
        <v>0</v>
      </c>
      <c r="N2031" t="n">
        <v>0</v>
      </c>
      <c r="O2031" t="n">
        <v>0</v>
      </c>
      <c r="P2031" t="n">
        <v>0</v>
      </c>
      <c r="Q2031" t="n">
        <v>0</v>
      </c>
      <c r="R2031" t="n">
        <v>0</v>
      </c>
      <c r="S2031" t="n">
        <v>0</v>
      </c>
      <c r="T2031" t="n">
        <v>0</v>
      </c>
      <c r="U2031" t="n">
        <v>0</v>
      </c>
      <c r="V2031" s="2" t="inlineStr"/>
    </row>
    <row r="2032" ht="15" customHeight="1">
      <c r="A2032" t="inlineStr">
        <is>
          <t>A 50087-2023</t>
        </is>
      </c>
      <c r="B2032" t="inlineStr">
        <is>
          <t>avverkningsanmälan</t>
        </is>
      </c>
      <c r="C2032" t="inlineStr">
        <is>
          <t>Föryngringsavverkning</t>
        </is>
      </c>
      <c r="D2032" s="1" t="n">
        <v>45215</v>
      </c>
      <c r="E2032" s="1" t="n">
        <v>46323</v>
      </c>
      <c r="F2032" t="inlineStr">
        <is>
          <t>KALMAR LÄN</t>
        </is>
      </c>
      <c r="G2032" t="inlineStr">
        <is>
          <t>VIMMERBY</t>
        </is>
      </c>
      <c r="I2032" t="n">
        <v>0.9</v>
      </c>
      <c r="J2032" t="n">
        <v>0</v>
      </c>
      <c r="K2032" t="n">
        <v>0</v>
      </c>
      <c r="L2032" t="n">
        <v>0</v>
      </c>
      <c r="M2032" t="n">
        <v>0</v>
      </c>
      <c r="N2032" t="n">
        <v>0</v>
      </c>
      <c r="O2032" t="n">
        <v>0</v>
      </c>
      <c r="P2032" t="n">
        <v>0</v>
      </c>
      <c r="Q2032" t="n">
        <v>0</v>
      </c>
      <c r="R2032" t="n">
        <v>0</v>
      </c>
      <c r="S2032" t="n">
        <v>0</v>
      </c>
      <c r="T2032" t="n">
        <v>0</v>
      </c>
      <c r="U2032" t="n">
        <v>0</v>
      </c>
      <c r="V2032" s="2" t="inlineStr"/>
    </row>
    <row r="2033" ht="15" customHeight="1">
      <c r="A2033" t="inlineStr">
        <is>
          <t>A 38244-2023</t>
        </is>
      </c>
      <c r="B2033" t="inlineStr">
        <is>
          <t>avverkningsanmälan</t>
        </is>
      </c>
      <c r="C2033" t="inlineStr">
        <is>
          <t>Föryngringsavverkning</t>
        </is>
      </c>
      <c r="D2033" s="1" t="n">
        <v>45161</v>
      </c>
      <c r="E2033" s="1" t="n">
        <v>46323</v>
      </c>
      <c r="F2033" t="inlineStr">
        <is>
          <t>KALMAR LÄN</t>
        </is>
      </c>
      <c r="G2033" t="inlineStr">
        <is>
          <t>KALMAR</t>
        </is>
      </c>
      <c r="I2033" t="n">
        <v>2.4</v>
      </c>
      <c r="J2033" t="n">
        <v>0</v>
      </c>
      <c r="K2033" t="n">
        <v>0</v>
      </c>
      <c r="L2033" t="n">
        <v>0</v>
      </c>
      <c r="M2033" t="n">
        <v>0</v>
      </c>
      <c r="N2033" t="n">
        <v>0</v>
      </c>
      <c r="O2033" t="n">
        <v>0</v>
      </c>
      <c r="P2033" t="n">
        <v>0</v>
      </c>
      <c r="Q2033" t="n">
        <v>0</v>
      </c>
      <c r="R2033" t="n">
        <v>0</v>
      </c>
      <c r="S2033" t="n">
        <v>0</v>
      </c>
      <c r="T2033" t="n">
        <v>0</v>
      </c>
      <c r="U2033" t="n">
        <v>0</v>
      </c>
      <c r="V2033" s="2" t="inlineStr"/>
    </row>
    <row r="2034" ht="15" customHeight="1">
      <c r="A2034" t="inlineStr">
        <is>
          <t>A 38245-2023</t>
        </is>
      </c>
      <c r="B2034" t="inlineStr">
        <is>
          <t>avverkningsanmälan</t>
        </is>
      </c>
      <c r="C2034" t="inlineStr">
        <is>
          <t>Föryngringsavverkning</t>
        </is>
      </c>
      <c r="D2034" s="1" t="n">
        <v>45161</v>
      </c>
      <c r="E2034" s="1" t="n">
        <v>46323</v>
      </c>
      <c r="F2034" t="inlineStr">
        <is>
          <t>KALMAR LÄN</t>
        </is>
      </c>
      <c r="G2034" t="inlineStr">
        <is>
          <t>MÖNSTERÅS</t>
        </is>
      </c>
      <c r="I2034" t="n">
        <v>6.6</v>
      </c>
      <c r="J2034" t="n">
        <v>0</v>
      </c>
      <c r="K2034" t="n">
        <v>0</v>
      </c>
      <c r="L2034" t="n">
        <v>0</v>
      </c>
      <c r="M2034" t="n">
        <v>0</v>
      </c>
      <c r="N2034" t="n">
        <v>0</v>
      </c>
      <c r="O2034" t="n">
        <v>0</v>
      </c>
      <c r="P2034" t="n">
        <v>0</v>
      </c>
      <c r="Q2034" t="n">
        <v>0</v>
      </c>
      <c r="R2034" t="n">
        <v>0</v>
      </c>
      <c r="S2034" t="n">
        <v>0</v>
      </c>
      <c r="T2034" t="n">
        <v>0</v>
      </c>
      <c r="U2034" t="n">
        <v>0</v>
      </c>
      <c r="V2034" s="2" t="inlineStr"/>
    </row>
    <row r="2035" ht="15" customHeight="1">
      <c r="A2035" t="inlineStr">
        <is>
          <t>A 36014-2024</t>
        </is>
      </c>
      <c r="B2035" t="inlineStr">
        <is>
          <t>avverkningsanmälan</t>
        </is>
      </c>
      <c r="C2035" t="inlineStr">
        <is>
          <t>Föryngringsavverkning</t>
        </is>
      </c>
      <c r="D2035" s="1" t="n">
        <v>45533</v>
      </c>
      <c r="E2035" s="1" t="n">
        <v>46323</v>
      </c>
      <c r="F2035" t="inlineStr">
        <is>
          <t>KALMAR LÄN</t>
        </is>
      </c>
      <c r="G2035" t="inlineStr">
        <is>
          <t>VIMMERBY</t>
        </is>
      </c>
      <c r="I2035" t="n">
        <v>2.3</v>
      </c>
      <c r="J2035" t="n">
        <v>0</v>
      </c>
      <c r="K2035" t="n">
        <v>0</v>
      </c>
      <c r="L2035" t="n">
        <v>0</v>
      </c>
      <c r="M2035" t="n">
        <v>0</v>
      </c>
      <c r="N2035" t="n">
        <v>0</v>
      </c>
      <c r="O2035" t="n">
        <v>0</v>
      </c>
      <c r="P2035" t="n">
        <v>0</v>
      </c>
      <c r="Q2035" t="n">
        <v>0</v>
      </c>
      <c r="R2035" t="n">
        <v>0</v>
      </c>
      <c r="S2035" t="n">
        <v>0</v>
      </c>
      <c r="T2035" t="n">
        <v>0</v>
      </c>
      <c r="U2035" t="n">
        <v>0</v>
      </c>
      <c r="V2035" s="2" t="inlineStr"/>
    </row>
    <row r="2036" ht="15" customHeight="1">
      <c r="A2036" t="inlineStr">
        <is>
          <t>A 36030-2024</t>
        </is>
      </c>
      <c r="B2036" t="inlineStr">
        <is>
          <t>avverkningsanmälan</t>
        </is>
      </c>
      <c r="C2036" t="inlineStr">
        <is>
          <t>Föryngringsavverkning</t>
        </is>
      </c>
      <c r="D2036" s="1" t="n">
        <v>45533</v>
      </c>
      <c r="E2036" s="1" t="n">
        <v>46323</v>
      </c>
      <c r="F2036" t="inlineStr">
        <is>
          <t>KALMAR LÄN</t>
        </is>
      </c>
      <c r="G2036" t="inlineStr">
        <is>
          <t>VIMMERBY</t>
        </is>
      </c>
      <c r="H2036" t="inlineStr">
        <is>
          <t>Kommuner</t>
        </is>
      </c>
      <c r="I2036" t="n">
        <v>4</v>
      </c>
      <c r="J2036" t="n">
        <v>0</v>
      </c>
      <c r="K2036" t="n">
        <v>0</v>
      </c>
      <c r="L2036" t="n">
        <v>0</v>
      </c>
      <c r="M2036" t="n">
        <v>0</v>
      </c>
      <c r="N2036" t="n">
        <v>0</v>
      </c>
      <c r="O2036" t="n">
        <v>0</v>
      </c>
      <c r="P2036" t="n">
        <v>0</v>
      </c>
      <c r="Q2036" t="n">
        <v>0</v>
      </c>
      <c r="R2036" t="n">
        <v>0</v>
      </c>
      <c r="S2036" t="n">
        <v>0</v>
      </c>
      <c r="T2036" t="n">
        <v>0</v>
      </c>
      <c r="U2036" t="n">
        <v>0</v>
      </c>
      <c r="V2036" s="2" t="inlineStr"/>
    </row>
    <row r="2037" ht="15" customHeight="1">
      <c r="A2037" t="inlineStr">
        <is>
          <t>A 33681-2022</t>
        </is>
      </c>
      <c r="B2037" t="inlineStr">
        <is>
          <t>avverkningsanmälan</t>
        </is>
      </c>
      <c r="C2037" t="inlineStr">
        <is>
          <t>Föryngringsavverkning</t>
        </is>
      </c>
      <c r="D2037" s="1" t="n">
        <v>44789</v>
      </c>
      <c r="E2037" s="1" t="n">
        <v>46323</v>
      </c>
      <c r="F2037" t="inlineStr">
        <is>
          <t>KALMAR LÄN</t>
        </is>
      </c>
      <c r="G2037" t="inlineStr">
        <is>
          <t>VIMMERBY</t>
        </is>
      </c>
      <c r="I2037" t="n">
        <v>3.2</v>
      </c>
      <c r="J2037" t="n">
        <v>0</v>
      </c>
      <c r="K2037" t="n">
        <v>0</v>
      </c>
      <c r="L2037" t="n">
        <v>0</v>
      </c>
      <c r="M2037" t="n">
        <v>0</v>
      </c>
      <c r="N2037" t="n">
        <v>0</v>
      </c>
      <c r="O2037" t="n">
        <v>0</v>
      </c>
      <c r="P2037" t="n">
        <v>0</v>
      </c>
      <c r="Q2037" t="n">
        <v>0</v>
      </c>
      <c r="R2037" t="n">
        <v>0</v>
      </c>
      <c r="S2037" t="n">
        <v>0</v>
      </c>
      <c r="T2037" t="n">
        <v>0</v>
      </c>
      <c r="U2037" t="n">
        <v>0</v>
      </c>
      <c r="V2037" s="2" t="inlineStr"/>
    </row>
    <row r="2038" ht="15" customHeight="1">
      <c r="A2038" t="inlineStr">
        <is>
          <t>A 59836-2023</t>
        </is>
      </c>
      <c r="B2038" t="inlineStr">
        <is>
          <t>avverkningsanmälan</t>
        </is>
      </c>
      <c r="C2038" t="inlineStr">
        <is>
          <t>Föryngringsavverkning</t>
        </is>
      </c>
      <c r="D2038" s="1" t="n">
        <v>45253</v>
      </c>
      <c r="E2038" s="1" t="n">
        <v>46323</v>
      </c>
      <c r="F2038" t="inlineStr">
        <is>
          <t>KALMAR LÄN</t>
        </is>
      </c>
      <c r="G2038" t="inlineStr">
        <is>
          <t>NYBRO</t>
        </is>
      </c>
      <c r="I2038" t="n">
        <v>6.2</v>
      </c>
      <c r="J2038" t="n">
        <v>0</v>
      </c>
      <c r="K2038" t="n">
        <v>0</v>
      </c>
      <c r="L2038" t="n">
        <v>0</v>
      </c>
      <c r="M2038" t="n">
        <v>0</v>
      </c>
      <c r="N2038" t="n">
        <v>0</v>
      </c>
      <c r="O2038" t="n">
        <v>0</v>
      </c>
      <c r="P2038" t="n">
        <v>0</v>
      </c>
      <c r="Q2038" t="n">
        <v>0</v>
      </c>
      <c r="R2038" t="n">
        <v>0</v>
      </c>
      <c r="S2038" t="n">
        <v>0</v>
      </c>
      <c r="T2038" t="n">
        <v>0</v>
      </c>
      <c r="U2038" t="n">
        <v>0</v>
      </c>
      <c r="V2038" s="2" t="inlineStr"/>
    </row>
    <row r="2039" ht="15" customHeight="1">
      <c r="A2039" t="inlineStr">
        <is>
          <t>A 765-2025</t>
        </is>
      </c>
      <c r="B2039" t="inlineStr">
        <is>
          <t>avverkningsanmälan</t>
        </is>
      </c>
      <c r="C2039" t="inlineStr">
        <is>
          <t>Föryngringsavverkning</t>
        </is>
      </c>
      <c r="D2039" s="1" t="n">
        <v>45665</v>
      </c>
      <c r="E2039" s="1" t="n">
        <v>46323</v>
      </c>
      <c r="F2039" t="inlineStr">
        <is>
          <t>KALMAR LÄN</t>
        </is>
      </c>
      <c r="G2039" t="inlineStr">
        <is>
          <t>EMMABODA</t>
        </is>
      </c>
      <c r="I2039" t="n">
        <v>0.5</v>
      </c>
      <c r="J2039" t="n">
        <v>0</v>
      </c>
      <c r="K2039" t="n">
        <v>0</v>
      </c>
      <c r="L2039" t="n">
        <v>0</v>
      </c>
      <c r="M2039" t="n">
        <v>0</v>
      </c>
      <c r="N2039" t="n">
        <v>0</v>
      </c>
      <c r="O2039" t="n">
        <v>0</v>
      </c>
      <c r="P2039" t="n">
        <v>0</v>
      </c>
      <c r="Q2039" t="n">
        <v>0</v>
      </c>
      <c r="R2039" t="n">
        <v>0</v>
      </c>
      <c r="S2039" t="n">
        <v>0</v>
      </c>
      <c r="T2039" t="n">
        <v>0</v>
      </c>
      <c r="U2039" t="n">
        <v>0</v>
      </c>
      <c r="V2039" s="2" t="inlineStr"/>
    </row>
    <row r="2040" ht="15" customHeight="1">
      <c r="A2040" t="inlineStr">
        <is>
          <t>A 24148-2022</t>
        </is>
      </c>
      <c r="B2040" t="inlineStr">
        <is>
          <t>avverkningsanmälan</t>
        </is>
      </c>
      <c r="C2040" t="inlineStr">
        <is>
          <t>Föryngringsavverkning</t>
        </is>
      </c>
      <c r="D2040" s="1" t="n">
        <v>44725</v>
      </c>
      <c r="E2040" s="1" t="n">
        <v>46323</v>
      </c>
      <c r="F2040" t="inlineStr">
        <is>
          <t>KALMAR LÄN</t>
        </is>
      </c>
      <c r="G2040" t="inlineStr">
        <is>
          <t>TORSÅS</t>
        </is>
      </c>
      <c r="I2040" t="n">
        <v>1.3</v>
      </c>
      <c r="J2040" t="n">
        <v>0</v>
      </c>
      <c r="K2040" t="n">
        <v>0</v>
      </c>
      <c r="L2040" t="n">
        <v>0</v>
      </c>
      <c r="M2040" t="n">
        <v>0</v>
      </c>
      <c r="N2040" t="n">
        <v>0</v>
      </c>
      <c r="O2040" t="n">
        <v>0</v>
      </c>
      <c r="P2040" t="n">
        <v>0</v>
      </c>
      <c r="Q2040" t="n">
        <v>0</v>
      </c>
      <c r="R2040" t="n">
        <v>0</v>
      </c>
      <c r="S2040" t="n">
        <v>0</v>
      </c>
      <c r="T2040" t="n">
        <v>0</v>
      </c>
      <c r="U2040" t="n">
        <v>0</v>
      </c>
      <c r="V2040" s="2" t="inlineStr"/>
    </row>
    <row r="2041" ht="15" customHeight="1">
      <c r="A2041" t="inlineStr">
        <is>
          <t>A 5575-2024</t>
        </is>
      </c>
      <c r="B2041" t="inlineStr">
        <is>
          <t>avverkningsanmälan</t>
        </is>
      </c>
      <c r="C2041" t="inlineStr">
        <is>
          <t>Föryngringsavverkning</t>
        </is>
      </c>
      <c r="D2041" s="1" t="n">
        <v>45334</v>
      </c>
      <c r="E2041" s="1" t="n">
        <v>46323</v>
      </c>
      <c r="F2041" t="inlineStr">
        <is>
          <t>KALMAR LÄN</t>
        </is>
      </c>
      <c r="G2041" t="inlineStr">
        <is>
          <t>KALMAR</t>
        </is>
      </c>
      <c r="I2041" t="n">
        <v>0.8</v>
      </c>
      <c r="J2041" t="n">
        <v>0</v>
      </c>
      <c r="K2041" t="n">
        <v>0</v>
      </c>
      <c r="L2041" t="n">
        <v>0</v>
      </c>
      <c r="M2041" t="n">
        <v>0</v>
      </c>
      <c r="N2041" t="n">
        <v>0</v>
      </c>
      <c r="O2041" t="n">
        <v>0</v>
      </c>
      <c r="P2041" t="n">
        <v>0</v>
      </c>
      <c r="Q2041" t="n">
        <v>0</v>
      </c>
      <c r="R2041" t="n">
        <v>0</v>
      </c>
      <c r="S2041" t="n">
        <v>0</v>
      </c>
      <c r="T2041" t="n">
        <v>0</v>
      </c>
      <c r="U2041" t="n">
        <v>0</v>
      </c>
      <c r="V2041" s="2" t="inlineStr"/>
    </row>
    <row r="2042" ht="15" customHeight="1">
      <c r="A2042" t="inlineStr">
        <is>
          <t>A 52116-2024</t>
        </is>
      </c>
      <c r="B2042" t="inlineStr">
        <is>
          <t>avverkningsanmälan</t>
        </is>
      </c>
      <c r="C2042" t="inlineStr">
        <is>
          <t>Föryngringsavverkning</t>
        </is>
      </c>
      <c r="D2042" s="1" t="n">
        <v>45608</v>
      </c>
      <c r="E2042" s="1" t="n">
        <v>46323</v>
      </c>
      <c r="F2042" t="inlineStr">
        <is>
          <t>KALMAR LÄN</t>
        </is>
      </c>
      <c r="G2042" t="inlineStr">
        <is>
          <t>HÖGSBY</t>
        </is>
      </c>
      <c r="I2042" t="n">
        <v>0.7</v>
      </c>
      <c r="J2042" t="n">
        <v>0</v>
      </c>
      <c r="K2042" t="n">
        <v>0</v>
      </c>
      <c r="L2042" t="n">
        <v>0</v>
      </c>
      <c r="M2042" t="n">
        <v>0</v>
      </c>
      <c r="N2042" t="n">
        <v>0</v>
      </c>
      <c r="O2042" t="n">
        <v>0</v>
      </c>
      <c r="P2042" t="n">
        <v>0</v>
      </c>
      <c r="Q2042" t="n">
        <v>0</v>
      </c>
      <c r="R2042" t="n">
        <v>0</v>
      </c>
      <c r="S2042" t="n">
        <v>0</v>
      </c>
      <c r="T2042" t="n">
        <v>0</v>
      </c>
      <c r="U2042" t="n">
        <v>0</v>
      </c>
      <c r="V2042" s="2" t="inlineStr"/>
    </row>
    <row r="2043" ht="15" customHeight="1">
      <c r="A2043" t="inlineStr">
        <is>
          <t>A 4508-2023</t>
        </is>
      </c>
      <c r="B2043" t="inlineStr">
        <is>
          <t>avverkningsanmälan</t>
        </is>
      </c>
      <c r="C2043" t="inlineStr">
        <is>
          <t>Föryngringsavverkning</t>
        </is>
      </c>
      <c r="D2043" s="1" t="n">
        <v>44956</v>
      </c>
      <c r="E2043" s="1" t="n">
        <v>46323</v>
      </c>
      <c r="F2043" t="inlineStr">
        <is>
          <t>KALMAR LÄN</t>
        </is>
      </c>
      <c r="G2043" t="inlineStr">
        <is>
          <t>VÄSTERVIK</t>
        </is>
      </c>
      <c r="I2043" t="n">
        <v>0.5</v>
      </c>
      <c r="J2043" t="n">
        <v>0</v>
      </c>
      <c r="K2043" t="n">
        <v>0</v>
      </c>
      <c r="L2043" t="n">
        <v>0</v>
      </c>
      <c r="M2043" t="n">
        <v>0</v>
      </c>
      <c r="N2043" t="n">
        <v>0</v>
      </c>
      <c r="O2043" t="n">
        <v>0</v>
      </c>
      <c r="P2043" t="n">
        <v>0</v>
      </c>
      <c r="Q2043" t="n">
        <v>0</v>
      </c>
      <c r="R2043" t="n">
        <v>0</v>
      </c>
      <c r="S2043" t="n">
        <v>0</v>
      </c>
      <c r="T2043" t="n">
        <v>0</v>
      </c>
      <c r="U2043" t="n">
        <v>0</v>
      </c>
      <c r="V2043" s="2" t="inlineStr"/>
    </row>
    <row r="2044" ht="15" customHeight="1">
      <c r="A2044" t="inlineStr">
        <is>
          <t>A 12339-2025</t>
        </is>
      </c>
      <c r="B2044" t="inlineStr">
        <is>
          <t>avverkningsanmälan</t>
        </is>
      </c>
      <c r="C2044" t="inlineStr">
        <is>
          <t>Föryngringsavverkning</t>
        </is>
      </c>
      <c r="D2044" s="1" t="n">
        <v>45730</v>
      </c>
      <c r="E2044" s="1" t="n">
        <v>46323</v>
      </c>
      <c r="F2044" t="inlineStr">
        <is>
          <t>KALMAR LÄN</t>
        </is>
      </c>
      <c r="G2044" t="inlineStr">
        <is>
          <t>HULTSFRED</t>
        </is>
      </c>
      <c r="H2044" t="inlineStr">
        <is>
          <t>Sveaskog</t>
        </is>
      </c>
      <c r="I2044" t="n">
        <v>0.5</v>
      </c>
      <c r="J2044" t="n">
        <v>0</v>
      </c>
      <c r="K2044" t="n">
        <v>0</v>
      </c>
      <c r="L2044" t="n">
        <v>0</v>
      </c>
      <c r="M2044" t="n">
        <v>0</v>
      </c>
      <c r="N2044" t="n">
        <v>0</v>
      </c>
      <c r="O2044" t="n">
        <v>0</v>
      </c>
      <c r="P2044" t="n">
        <v>0</v>
      </c>
      <c r="Q2044" t="n">
        <v>0</v>
      </c>
      <c r="R2044" t="n">
        <v>0</v>
      </c>
      <c r="S2044" t="n">
        <v>0</v>
      </c>
      <c r="T2044" t="n">
        <v>0</v>
      </c>
      <c r="U2044" t="n">
        <v>0</v>
      </c>
      <c r="V2044" s="2" t="inlineStr"/>
    </row>
    <row r="2045" ht="15" customHeight="1">
      <c r="A2045" t="inlineStr">
        <is>
          <t>A 56853-2022</t>
        </is>
      </c>
      <c r="B2045" t="inlineStr">
        <is>
          <t>avverkningsanmälan</t>
        </is>
      </c>
      <c r="C2045" t="inlineStr">
        <is>
          <t>Föryngringsavverkning</t>
        </is>
      </c>
      <c r="D2045" s="1" t="n">
        <v>44894</v>
      </c>
      <c r="E2045" s="1" t="n">
        <v>46323</v>
      </c>
      <c r="F2045" t="inlineStr">
        <is>
          <t>KALMAR LÄN</t>
        </is>
      </c>
      <c r="G2045" t="inlineStr">
        <is>
          <t>VIMMERBY</t>
        </is>
      </c>
      <c r="I2045" t="n">
        <v>4.3</v>
      </c>
      <c r="J2045" t="n">
        <v>0</v>
      </c>
      <c r="K2045" t="n">
        <v>0</v>
      </c>
      <c r="L2045" t="n">
        <v>0</v>
      </c>
      <c r="M2045" t="n">
        <v>0</v>
      </c>
      <c r="N2045" t="n">
        <v>0</v>
      </c>
      <c r="O2045" t="n">
        <v>0</v>
      </c>
      <c r="P2045" t="n">
        <v>0</v>
      </c>
      <c r="Q2045" t="n">
        <v>0</v>
      </c>
      <c r="R2045" t="n">
        <v>0</v>
      </c>
      <c r="S2045" t="n">
        <v>0</v>
      </c>
      <c r="T2045" t="n">
        <v>0</v>
      </c>
      <c r="U2045" t="n">
        <v>0</v>
      </c>
      <c r="V2045" s="2" t="inlineStr"/>
    </row>
    <row r="2046" ht="15" customHeight="1">
      <c r="A2046" t="inlineStr">
        <is>
          <t>A 11152-2023</t>
        </is>
      </c>
      <c r="B2046" t="inlineStr">
        <is>
          <t>avverkningsanmälan</t>
        </is>
      </c>
      <c r="C2046" t="inlineStr">
        <is>
          <t>Föryngringsavverkning</t>
        </is>
      </c>
      <c r="D2046" s="1" t="n">
        <v>44992</v>
      </c>
      <c r="E2046" s="1" t="n">
        <v>46323</v>
      </c>
      <c r="F2046" t="inlineStr">
        <is>
          <t>KALMAR LÄN</t>
        </is>
      </c>
      <c r="G2046" t="inlineStr">
        <is>
          <t>VIMMERBY</t>
        </is>
      </c>
      <c r="I2046" t="n">
        <v>10.6</v>
      </c>
      <c r="J2046" t="n">
        <v>0</v>
      </c>
      <c r="K2046" t="n">
        <v>0</v>
      </c>
      <c r="L2046" t="n">
        <v>0</v>
      </c>
      <c r="M2046" t="n">
        <v>0</v>
      </c>
      <c r="N2046" t="n">
        <v>0</v>
      </c>
      <c r="O2046" t="n">
        <v>0</v>
      </c>
      <c r="P2046" t="n">
        <v>0</v>
      </c>
      <c r="Q2046" t="n">
        <v>0</v>
      </c>
      <c r="R2046" t="n">
        <v>0</v>
      </c>
      <c r="S2046" t="n">
        <v>0</v>
      </c>
      <c r="T2046" t="n">
        <v>0</v>
      </c>
      <c r="U2046" t="n">
        <v>0</v>
      </c>
      <c r="V2046" s="2" t="inlineStr"/>
    </row>
    <row r="2047" ht="15" customHeight="1">
      <c r="A2047" t="inlineStr">
        <is>
          <t>A 11162-2023</t>
        </is>
      </c>
      <c r="B2047" t="inlineStr">
        <is>
          <t>avverkningsanmälan</t>
        </is>
      </c>
      <c r="C2047" t="inlineStr">
        <is>
          <t>Föryngringsavverkning</t>
        </is>
      </c>
      <c r="D2047" s="1" t="n">
        <v>44992</v>
      </c>
      <c r="E2047" s="1" t="n">
        <v>46323</v>
      </c>
      <c r="F2047" t="inlineStr">
        <is>
          <t>KALMAR LÄN</t>
        </is>
      </c>
      <c r="G2047" t="inlineStr">
        <is>
          <t>TORSÅS</t>
        </is>
      </c>
      <c r="I2047" t="n">
        <v>5.4</v>
      </c>
      <c r="J2047" t="n">
        <v>0</v>
      </c>
      <c r="K2047" t="n">
        <v>0</v>
      </c>
      <c r="L2047" t="n">
        <v>0</v>
      </c>
      <c r="M2047" t="n">
        <v>0</v>
      </c>
      <c r="N2047" t="n">
        <v>0</v>
      </c>
      <c r="O2047" t="n">
        <v>0</v>
      </c>
      <c r="P2047" t="n">
        <v>0</v>
      </c>
      <c r="Q2047" t="n">
        <v>0</v>
      </c>
      <c r="R2047" t="n">
        <v>0</v>
      </c>
      <c r="S2047" t="n">
        <v>0</v>
      </c>
      <c r="T2047" t="n">
        <v>0</v>
      </c>
      <c r="U2047" t="n">
        <v>0</v>
      </c>
      <c r="V2047" s="2" t="inlineStr"/>
    </row>
    <row r="2048" ht="15" customHeight="1">
      <c r="A2048" t="inlineStr">
        <is>
          <t>A 33083-2023</t>
        </is>
      </c>
      <c r="B2048" t="inlineStr">
        <is>
          <t>avverkningsanmälan</t>
        </is>
      </c>
      <c r="C2048" t="inlineStr">
        <is>
          <t>Föryngringsavverkning</t>
        </is>
      </c>
      <c r="D2048" s="1" t="n">
        <v>45126</v>
      </c>
      <c r="E2048" s="1" t="n">
        <v>46323</v>
      </c>
      <c r="F2048" t="inlineStr">
        <is>
          <t>KALMAR LÄN</t>
        </is>
      </c>
      <c r="G2048" t="inlineStr">
        <is>
          <t>EMMABODA</t>
        </is>
      </c>
      <c r="I2048" t="n">
        <v>0.8</v>
      </c>
      <c r="J2048" t="n">
        <v>0</v>
      </c>
      <c r="K2048" t="n">
        <v>0</v>
      </c>
      <c r="L2048" t="n">
        <v>0</v>
      </c>
      <c r="M2048" t="n">
        <v>0</v>
      </c>
      <c r="N2048" t="n">
        <v>0</v>
      </c>
      <c r="O2048" t="n">
        <v>0</v>
      </c>
      <c r="P2048" t="n">
        <v>0</v>
      </c>
      <c r="Q2048" t="n">
        <v>0</v>
      </c>
      <c r="R2048" t="n">
        <v>0</v>
      </c>
      <c r="S2048" t="n">
        <v>0</v>
      </c>
      <c r="T2048" t="n">
        <v>0</v>
      </c>
      <c r="U2048" t="n">
        <v>0</v>
      </c>
      <c r="V2048" s="2" t="inlineStr"/>
    </row>
    <row r="2049" ht="15" customHeight="1">
      <c r="A2049" t="inlineStr">
        <is>
          <t>A 54056-2024</t>
        </is>
      </c>
      <c r="B2049" t="inlineStr">
        <is>
          <t>avverkningsanmälan</t>
        </is>
      </c>
      <c r="C2049" t="inlineStr">
        <is>
          <t>Föryngringsavverkning</t>
        </is>
      </c>
      <c r="D2049" s="1" t="n">
        <v>45615</v>
      </c>
      <c r="E2049" s="1" t="n">
        <v>46323</v>
      </c>
      <c r="F2049" t="inlineStr">
        <is>
          <t>KALMAR LÄN</t>
        </is>
      </c>
      <c r="G2049" t="inlineStr">
        <is>
          <t>EMMABODA</t>
        </is>
      </c>
      <c r="I2049" t="n">
        <v>2.1</v>
      </c>
      <c r="J2049" t="n">
        <v>0</v>
      </c>
      <c r="K2049" t="n">
        <v>0</v>
      </c>
      <c r="L2049" t="n">
        <v>0</v>
      </c>
      <c r="M2049" t="n">
        <v>0</v>
      </c>
      <c r="N2049" t="n">
        <v>0</v>
      </c>
      <c r="O2049" t="n">
        <v>0</v>
      </c>
      <c r="P2049" t="n">
        <v>0</v>
      </c>
      <c r="Q2049" t="n">
        <v>0</v>
      </c>
      <c r="R2049" t="n">
        <v>0</v>
      </c>
      <c r="S2049" t="n">
        <v>0</v>
      </c>
      <c r="T2049" t="n">
        <v>0</v>
      </c>
      <c r="U2049" t="n">
        <v>0</v>
      </c>
      <c r="V2049" s="2" t="inlineStr"/>
    </row>
    <row r="2050" ht="15" customHeight="1">
      <c r="A2050" t="inlineStr">
        <is>
          <t>A 9325-2025</t>
        </is>
      </c>
      <c r="B2050" t="inlineStr">
        <is>
          <t>avverkningsanmälan</t>
        </is>
      </c>
      <c r="C2050" t="inlineStr">
        <is>
          <t>Föryngringsavverkning</t>
        </is>
      </c>
      <c r="D2050" s="1" t="n">
        <v>45714</v>
      </c>
      <c r="E2050" s="1" t="n">
        <v>46323</v>
      </c>
      <c r="F2050" t="inlineStr">
        <is>
          <t>KALMAR LÄN</t>
        </is>
      </c>
      <c r="G2050" t="inlineStr">
        <is>
          <t>HULTSFRED</t>
        </is>
      </c>
      <c r="H2050" t="inlineStr">
        <is>
          <t>Sveaskog</t>
        </is>
      </c>
      <c r="I2050" t="n">
        <v>4.8</v>
      </c>
      <c r="J2050" t="n">
        <v>0</v>
      </c>
      <c r="K2050" t="n">
        <v>0</v>
      </c>
      <c r="L2050" t="n">
        <v>0</v>
      </c>
      <c r="M2050" t="n">
        <v>0</v>
      </c>
      <c r="N2050" t="n">
        <v>0</v>
      </c>
      <c r="O2050" t="n">
        <v>0</v>
      </c>
      <c r="P2050" t="n">
        <v>0</v>
      </c>
      <c r="Q2050" t="n">
        <v>0</v>
      </c>
      <c r="R2050" t="n">
        <v>0</v>
      </c>
      <c r="S2050" t="n">
        <v>0</v>
      </c>
      <c r="T2050" t="n">
        <v>0</v>
      </c>
      <c r="U2050" t="n">
        <v>0</v>
      </c>
      <c r="V2050" s="2" t="inlineStr"/>
    </row>
    <row r="2051" ht="15" customHeight="1">
      <c r="A2051" t="inlineStr">
        <is>
          <t>A 46029-2024</t>
        </is>
      </c>
      <c r="B2051" t="inlineStr">
        <is>
          <t>avverkningsanmälan</t>
        </is>
      </c>
      <c r="C2051" t="inlineStr">
        <is>
          <t>Föryngringsavverkning</t>
        </is>
      </c>
      <c r="D2051" s="1" t="n">
        <v>45580</v>
      </c>
      <c r="E2051" s="1" t="n">
        <v>46323</v>
      </c>
      <c r="F2051" t="inlineStr">
        <is>
          <t>KALMAR LÄN</t>
        </is>
      </c>
      <c r="G2051" t="inlineStr">
        <is>
          <t>HULTSFRED</t>
        </is>
      </c>
      <c r="I2051" t="n">
        <v>5.3</v>
      </c>
      <c r="J2051" t="n">
        <v>0</v>
      </c>
      <c r="K2051" t="n">
        <v>0</v>
      </c>
      <c r="L2051" t="n">
        <v>0</v>
      </c>
      <c r="M2051" t="n">
        <v>0</v>
      </c>
      <c r="N2051" t="n">
        <v>0</v>
      </c>
      <c r="O2051" t="n">
        <v>0</v>
      </c>
      <c r="P2051" t="n">
        <v>0</v>
      </c>
      <c r="Q2051" t="n">
        <v>0</v>
      </c>
      <c r="R2051" t="n">
        <v>0</v>
      </c>
      <c r="S2051" t="n">
        <v>0</v>
      </c>
      <c r="T2051" t="n">
        <v>0</v>
      </c>
      <c r="U2051" t="n">
        <v>0</v>
      </c>
      <c r="V2051" s="2" t="inlineStr"/>
    </row>
    <row r="2052" ht="15" customHeight="1">
      <c r="A2052" t="inlineStr">
        <is>
          <t>A 50556-2022</t>
        </is>
      </c>
      <c r="B2052" t="inlineStr">
        <is>
          <t>avverkningsanmälan</t>
        </is>
      </c>
      <c r="C2052" t="inlineStr">
        <is>
          <t>Föryngringsavverkning</t>
        </is>
      </c>
      <c r="D2052" s="1" t="n">
        <v>44866</v>
      </c>
      <c r="E2052" s="1" t="n">
        <v>46323</v>
      </c>
      <c r="F2052" t="inlineStr">
        <is>
          <t>KALMAR LÄN</t>
        </is>
      </c>
      <c r="G2052" t="inlineStr">
        <is>
          <t>NYBRO</t>
        </is>
      </c>
      <c r="I2052" t="n">
        <v>0.7</v>
      </c>
      <c r="J2052" t="n">
        <v>0</v>
      </c>
      <c r="K2052" t="n">
        <v>0</v>
      </c>
      <c r="L2052" t="n">
        <v>0</v>
      </c>
      <c r="M2052" t="n">
        <v>0</v>
      </c>
      <c r="N2052" t="n">
        <v>0</v>
      </c>
      <c r="O2052" t="n">
        <v>0</v>
      </c>
      <c r="P2052" t="n">
        <v>0</v>
      </c>
      <c r="Q2052" t="n">
        <v>0</v>
      </c>
      <c r="R2052" t="n">
        <v>0</v>
      </c>
      <c r="S2052" t="n">
        <v>0</v>
      </c>
      <c r="T2052" t="n">
        <v>0</v>
      </c>
      <c r="U2052" t="n">
        <v>0</v>
      </c>
      <c r="V2052" s="2" t="inlineStr"/>
    </row>
    <row r="2053" ht="15" customHeight="1">
      <c r="A2053" t="inlineStr">
        <is>
          <t>A 15550-2023</t>
        </is>
      </c>
      <c r="B2053" t="inlineStr">
        <is>
          <t>avverkningsanmälan</t>
        </is>
      </c>
      <c r="C2053" t="inlineStr">
        <is>
          <t>Föryngringsavverkning</t>
        </is>
      </c>
      <c r="D2053" s="1" t="n">
        <v>45020</v>
      </c>
      <c r="E2053" s="1" t="n">
        <v>46323</v>
      </c>
      <c r="F2053" t="inlineStr">
        <is>
          <t>KALMAR LÄN</t>
        </is>
      </c>
      <c r="G2053" t="inlineStr">
        <is>
          <t>VIMMERBY</t>
        </is>
      </c>
      <c r="I2053" t="n">
        <v>0.5</v>
      </c>
      <c r="J2053" t="n">
        <v>0</v>
      </c>
      <c r="K2053" t="n">
        <v>0</v>
      </c>
      <c r="L2053" t="n">
        <v>0</v>
      </c>
      <c r="M2053" t="n">
        <v>0</v>
      </c>
      <c r="N2053" t="n">
        <v>0</v>
      </c>
      <c r="O2053" t="n">
        <v>0</v>
      </c>
      <c r="P2053" t="n">
        <v>0</v>
      </c>
      <c r="Q2053" t="n">
        <v>0</v>
      </c>
      <c r="R2053" t="n">
        <v>0</v>
      </c>
      <c r="S2053" t="n">
        <v>0</v>
      </c>
      <c r="T2053" t="n">
        <v>0</v>
      </c>
      <c r="U2053" t="n">
        <v>0</v>
      </c>
      <c r="V2053" s="2" t="inlineStr"/>
    </row>
    <row r="2054" ht="15" customHeight="1">
      <c r="A2054" t="inlineStr">
        <is>
          <t>A 50561-2022</t>
        </is>
      </c>
      <c r="B2054" t="inlineStr">
        <is>
          <t>avverkningsanmälan</t>
        </is>
      </c>
      <c r="C2054" t="inlineStr">
        <is>
          <t>Föryngringsavverkning</t>
        </is>
      </c>
      <c r="D2054" s="1" t="n">
        <v>44866</v>
      </c>
      <c r="E2054" s="1" t="n">
        <v>46323</v>
      </c>
      <c r="F2054" t="inlineStr">
        <is>
          <t>KALMAR LÄN</t>
        </is>
      </c>
      <c r="G2054" t="inlineStr">
        <is>
          <t>NYBRO</t>
        </is>
      </c>
      <c r="I2054" t="n">
        <v>1.9</v>
      </c>
      <c r="J2054" t="n">
        <v>0</v>
      </c>
      <c r="K2054" t="n">
        <v>0</v>
      </c>
      <c r="L2054" t="n">
        <v>0</v>
      </c>
      <c r="M2054" t="n">
        <v>0</v>
      </c>
      <c r="N2054" t="n">
        <v>0</v>
      </c>
      <c r="O2054" t="n">
        <v>0</v>
      </c>
      <c r="P2054" t="n">
        <v>0</v>
      </c>
      <c r="Q2054" t="n">
        <v>0</v>
      </c>
      <c r="R2054" t="n">
        <v>0</v>
      </c>
      <c r="S2054" t="n">
        <v>0</v>
      </c>
      <c r="T2054" t="n">
        <v>0</v>
      </c>
      <c r="U2054" t="n">
        <v>0</v>
      </c>
      <c r="V2054" s="2" t="inlineStr"/>
    </row>
    <row r="2055" ht="15" customHeight="1">
      <c r="A2055" t="inlineStr">
        <is>
          <t>A 24228-2023</t>
        </is>
      </c>
      <c r="B2055" t="inlineStr">
        <is>
          <t>avverkningsanmälan</t>
        </is>
      </c>
      <c r="C2055" t="inlineStr">
        <is>
          <t>Föryngringsavverkning</t>
        </is>
      </c>
      <c r="D2055" s="1" t="n">
        <v>45079</v>
      </c>
      <c r="E2055" s="1" t="n">
        <v>46323</v>
      </c>
      <c r="F2055" t="inlineStr">
        <is>
          <t>KALMAR LÄN</t>
        </is>
      </c>
      <c r="G2055" t="inlineStr">
        <is>
          <t>EMMABODA</t>
        </is>
      </c>
      <c r="I2055" t="n">
        <v>1.2</v>
      </c>
      <c r="J2055" t="n">
        <v>0</v>
      </c>
      <c r="K2055" t="n">
        <v>0</v>
      </c>
      <c r="L2055" t="n">
        <v>0</v>
      </c>
      <c r="M2055" t="n">
        <v>0</v>
      </c>
      <c r="N2055" t="n">
        <v>0</v>
      </c>
      <c r="O2055" t="n">
        <v>0</v>
      </c>
      <c r="P2055" t="n">
        <v>0</v>
      </c>
      <c r="Q2055" t="n">
        <v>0</v>
      </c>
      <c r="R2055" t="n">
        <v>0</v>
      </c>
      <c r="S2055" t="n">
        <v>0</v>
      </c>
      <c r="T2055" t="n">
        <v>0</v>
      </c>
      <c r="U2055" t="n">
        <v>0</v>
      </c>
      <c r="V2055" s="2" t="inlineStr"/>
    </row>
    <row r="2056" ht="15" customHeight="1">
      <c r="A2056" t="inlineStr">
        <is>
          <t>A 39860-2024</t>
        </is>
      </c>
      <c r="B2056" t="inlineStr">
        <is>
          <t>avverkningsanmälan</t>
        </is>
      </c>
      <c r="C2056" t="inlineStr">
        <is>
          <t>Föryngringsavverkning</t>
        </is>
      </c>
      <c r="D2056" s="1" t="n">
        <v>45553</v>
      </c>
      <c r="E2056" s="1" t="n">
        <v>46323</v>
      </c>
      <c r="F2056" t="inlineStr">
        <is>
          <t>KALMAR LÄN</t>
        </is>
      </c>
      <c r="G2056" t="inlineStr">
        <is>
          <t>MÖNSTERÅS</t>
        </is>
      </c>
      <c r="I2056" t="n">
        <v>6.6</v>
      </c>
      <c r="J2056" t="n">
        <v>0</v>
      </c>
      <c r="K2056" t="n">
        <v>0</v>
      </c>
      <c r="L2056" t="n">
        <v>0</v>
      </c>
      <c r="M2056" t="n">
        <v>0</v>
      </c>
      <c r="N2056" t="n">
        <v>0</v>
      </c>
      <c r="O2056" t="n">
        <v>0</v>
      </c>
      <c r="P2056" t="n">
        <v>0</v>
      </c>
      <c r="Q2056" t="n">
        <v>0</v>
      </c>
      <c r="R2056" t="n">
        <v>0</v>
      </c>
      <c r="S2056" t="n">
        <v>0</v>
      </c>
      <c r="T2056" t="n">
        <v>0</v>
      </c>
      <c r="U2056" t="n">
        <v>0</v>
      </c>
      <c r="V2056" s="2" t="inlineStr"/>
    </row>
    <row r="2057" ht="15" customHeight="1">
      <c r="A2057" t="inlineStr">
        <is>
          <t>A 10157-2025</t>
        </is>
      </c>
      <c r="B2057" t="inlineStr">
        <is>
          <t>avverkningsanmälan</t>
        </is>
      </c>
      <c r="C2057" t="inlineStr">
        <is>
          <t>Föryngringsavverkning</t>
        </is>
      </c>
      <c r="D2057" s="1" t="n">
        <v>45719</v>
      </c>
      <c r="E2057" s="1" t="n">
        <v>46323</v>
      </c>
      <c r="F2057" t="inlineStr">
        <is>
          <t>KALMAR LÄN</t>
        </is>
      </c>
      <c r="G2057" t="inlineStr">
        <is>
          <t>EMMABODA</t>
        </is>
      </c>
      <c r="I2057" t="n">
        <v>0.8</v>
      </c>
      <c r="J2057" t="n">
        <v>0</v>
      </c>
      <c r="K2057" t="n">
        <v>0</v>
      </c>
      <c r="L2057" t="n">
        <v>0</v>
      </c>
      <c r="M2057" t="n">
        <v>0</v>
      </c>
      <c r="N2057" t="n">
        <v>0</v>
      </c>
      <c r="O2057" t="n">
        <v>0</v>
      </c>
      <c r="P2057" t="n">
        <v>0</v>
      </c>
      <c r="Q2057" t="n">
        <v>0</v>
      </c>
      <c r="R2057" t="n">
        <v>0</v>
      </c>
      <c r="S2057" t="n">
        <v>0</v>
      </c>
      <c r="T2057" t="n">
        <v>0</v>
      </c>
      <c r="U2057" t="n">
        <v>0</v>
      </c>
      <c r="V2057" s="2" t="inlineStr"/>
    </row>
    <row r="2058" ht="15" customHeight="1">
      <c r="A2058" t="inlineStr">
        <is>
          <t>A 29715-2022</t>
        </is>
      </c>
      <c r="B2058" t="inlineStr">
        <is>
          <t>avverkningsanmälan</t>
        </is>
      </c>
      <c r="C2058" t="inlineStr">
        <is>
          <t>Föryngringsavverkning</t>
        </is>
      </c>
      <c r="D2058" s="1" t="n">
        <v>44755</v>
      </c>
      <c r="E2058" s="1" t="n">
        <v>46323</v>
      </c>
      <c r="F2058" t="inlineStr">
        <is>
          <t>KALMAR LÄN</t>
        </is>
      </c>
      <c r="G2058" t="inlineStr">
        <is>
          <t>NYBRO</t>
        </is>
      </c>
      <c r="I2058" t="n">
        <v>4.8</v>
      </c>
      <c r="J2058" t="n">
        <v>0</v>
      </c>
      <c r="K2058" t="n">
        <v>0</v>
      </c>
      <c r="L2058" t="n">
        <v>0</v>
      </c>
      <c r="M2058" t="n">
        <v>0</v>
      </c>
      <c r="N2058" t="n">
        <v>0</v>
      </c>
      <c r="O2058" t="n">
        <v>0</v>
      </c>
      <c r="P2058" t="n">
        <v>0</v>
      </c>
      <c r="Q2058" t="n">
        <v>0</v>
      </c>
      <c r="R2058" t="n">
        <v>0</v>
      </c>
      <c r="S2058" t="n">
        <v>0</v>
      </c>
      <c r="T2058" t="n">
        <v>0</v>
      </c>
      <c r="U2058" t="n">
        <v>0</v>
      </c>
      <c r="V2058" s="2" t="inlineStr"/>
    </row>
    <row r="2059" ht="15" customHeight="1">
      <c r="A2059" t="inlineStr">
        <is>
          <t>A 8619-2024</t>
        </is>
      </c>
      <c r="B2059" t="inlineStr">
        <is>
          <t>avverkningsanmälan</t>
        </is>
      </c>
      <c r="C2059" t="inlineStr">
        <is>
          <t>Föryngringsavverkning</t>
        </is>
      </c>
      <c r="D2059" s="1" t="n">
        <v>45355</v>
      </c>
      <c r="E2059" s="1" t="n">
        <v>46323</v>
      </c>
      <c r="F2059" t="inlineStr">
        <is>
          <t>KALMAR LÄN</t>
        </is>
      </c>
      <c r="G2059" t="inlineStr">
        <is>
          <t>VÄSTERVIK</t>
        </is>
      </c>
      <c r="I2059" t="n">
        <v>1.6</v>
      </c>
      <c r="J2059" t="n">
        <v>0</v>
      </c>
      <c r="K2059" t="n">
        <v>0</v>
      </c>
      <c r="L2059" t="n">
        <v>0</v>
      </c>
      <c r="M2059" t="n">
        <v>0</v>
      </c>
      <c r="N2059" t="n">
        <v>0</v>
      </c>
      <c r="O2059" t="n">
        <v>0</v>
      </c>
      <c r="P2059" t="n">
        <v>0</v>
      </c>
      <c r="Q2059" t="n">
        <v>0</v>
      </c>
      <c r="R2059" t="n">
        <v>0</v>
      </c>
      <c r="S2059" t="n">
        <v>0</v>
      </c>
      <c r="T2059" t="n">
        <v>0</v>
      </c>
      <c r="U2059" t="n">
        <v>0</v>
      </c>
      <c r="V2059" s="2" t="inlineStr"/>
    </row>
    <row r="2060" ht="15" customHeight="1">
      <c r="A2060" t="inlineStr">
        <is>
          <t>A 54341-2022</t>
        </is>
      </c>
      <c r="B2060" t="inlineStr">
        <is>
          <t>avverkningsanmälan</t>
        </is>
      </c>
      <c r="C2060" t="inlineStr">
        <is>
          <t>Föryngringsavverkning</t>
        </is>
      </c>
      <c r="D2060" s="1" t="n">
        <v>44882</v>
      </c>
      <c r="E2060" s="1" t="n">
        <v>46323</v>
      </c>
      <c r="F2060" t="inlineStr">
        <is>
          <t>KALMAR LÄN</t>
        </is>
      </c>
      <c r="G2060" t="inlineStr">
        <is>
          <t>NYBRO</t>
        </is>
      </c>
      <c r="I2060" t="n">
        <v>0.7</v>
      </c>
      <c r="J2060" t="n">
        <v>0</v>
      </c>
      <c r="K2060" t="n">
        <v>0</v>
      </c>
      <c r="L2060" t="n">
        <v>0</v>
      </c>
      <c r="M2060" t="n">
        <v>0</v>
      </c>
      <c r="N2060" t="n">
        <v>0</v>
      </c>
      <c r="O2060" t="n">
        <v>0</v>
      </c>
      <c r="P2060" t="n">
        <v>0</v>
      </c>
      <c r="Q2060" t="n">
        <v>0</v>
      </c>
      <c r="R2060" t="n">
        <v>0</v>
      </c>
      <c r="S2060" t="n">
        <v>0</v>
      </c>
      <c r="T2060" t="n">
        <v>0</v>
      </c>
      <c r="U2060" t="n">
        <v>0</v>
      </c>
      <c r="V2060" s="2" t="inlineStr"/>
    </row>
    <row r="2061" ht="15" customHeight="1">
      <c r="A2061" t="inlineStr">
        <is>
          <t>A 4180-2025</t>
        </is>
      </c>
      <c r="B2061" t="inlineStr">
        <is>
          <t>avverkningsanmälan</t>
        </is>
      </c>
      <c r="C2061" t="inlineStr">
        <is>
          <t>Föryngringsavverkning</t>
        </is>
      </c>
      <c r="D2061" s="1" t="n">
        <v>45685</v>
      </c>
      <c r="E2061" s="1" t="n">
        <v>46323</v>
      </c>
      <c r="F2061" t="inlineStr">
        <is>
          <t>KALMAR LÄN</t>
        </is>
      </c>
      <c r="G2061" t="inlineStr">
        <is>
          <t>NYBRO</t>
        </is>
      </c>
      <c r="I2061" t="n">
        <v>5.9</v>
      </c>
      <c r="J2061" t="n">
        <v>0</v>
      </c>
      <c r="K2061" t="n">
        <v>0</v>
      </c>
      <c r="L2061" t="n">
        <v>0</v>
      </c>
      <c r="M2061" t="n">
        <v>0</v>
      </c>
      <c r="N2061" t="n">
        <v>0</v>
      </c>
      <c r="O2061" t="n">
        <v>0</v>
      </c>
      <c r="P2061" t="n">
        <v>0</v>
      </c>
      <c r="Q2061" t="n">
        <v>0</v>
      </c>
      <c r="R2061" t="n">
        <v>0</v>
      </c>
      <c r="S2061" t="n">
        <v>0</v>
      </c>
      <c r="T2061" t="n">
        <v>0</v>
      </c>
      <c r="U2061" t="n">
        <v>0</v>
      </c>
      <c r="V2061" s="2" t="inlineStr"/>
    </row>
    <row r="2062" ht="15" customHeight="1">
      <c r="A2062" t="inlineStr">
        <is>
          <t>A 10412-2022</t>
        </is>
      </c>
      <c r="B2062" t="inlineStr">
        <is>
          <t>avverkningsanmälan</t>
        </is>
      </c>
      <c r="C2062" t="inlineStr">
        <is>
          <t>Föryngringsavverkning</t>
        </is>
      </c>
      <c r="D2062" s="1" t="n">
        <v>44623</v>
      </c>
      <c r="E2062" s="1" t="n">
        <v>46323</v>
      </c>
      <c r="F2062" t="inlineStr">
        <is>
          <t>KALMAR LÄN</t>
        </is>
      </c>
      <c r="G2062" t="inlineStr">
        <is>
          <t>HÖGSBY</t>
        </is>
      </c>
      <c r="I2062" t="n">
        <v>1.5</v>
      </c>
      <c r="J2062" t="n">
        <v>0</v>
      </c>
      <c r="K2062" t="n">
        <v>0</v>
      </c>
      <c r="L2062" t="n">
        <v>0</v>
      </c>
      <c r="M2062" t="n">
        <v>0</v>
      </c>
      <c r="N2062" t="n">
        <v>0</v>
      </c>
      <c r="O2062" t="n">
        <v>0</v>
      </c>
      <c r="P2062" t="n">
        <v>0</v>
      </c>
      <c r="Q2062" t="n">
        <v>0</v>
      </c>
      <c r="R2062" t="n">
        <v>0</v>
      </c>
      <c r="S2062" t="n">
        <v>0</v>
      </c>
      <c r="T2062" t="n">
        <v>0</v>
      </c>
      <c r="U2062" t="n">
        <v>0</v>
      </c>
      <c r="V2062" s="2" t="inlineStr"/>
    </row>
    <row r="2063" ht="15" customHeight="1">
      <c r="A2063" t="inlineStr">
        <is>
          <t>A 53413-2024</t>
        </is>
      </c>
      <c r="B2063" t="inlineStr">
        <is>
          <t>avverkningsanmälan</t>
        </is>
      </c>
      <c r="C2063" t="inlineStr">
        <is>
          <t>Föryngringsavverkning</t>
        </is>
      </c>
      <c r="D2063" s="1" t="n">
        <v>45614</v>
      </c>
      <c r="E2063" s="1" t="n">
        <v>46323</v>
      </c>
      <c r="F2063" t="inlineStr">
        <is>
          <t>KALMAR LÄN</t>
        </is>
      </c>
      <c r="G2063" t="inlineStr">
        <is>
          <t>HÖGSBY</t>
        </is>
      </c>
      <c r="I2063" t="n">
        <v>1.9</v>
      </c>
      <c r="J2063" t="n">
        <v>0</v>
      </c>
      <c r="K2063" t="n">
        <v>0</v>
      </c>
      <c r="L2063" t="n">
        <v>0</v>
      </c>
      <c r="M2063" t="n">
        <v>0</v>
      </c>
      <c r="N2063" t="n">
        <v>0</v>
      </c>
      <c r="O2063" t="n">
        <v>0</v>
      </c>
      <c r="P2063" t="n">
        <v>0</v>
      </c>
      <c r="Q2063" t="n">
        <v>0</v>
      </c>
      <c r="R2063" t="n">
        <v>0</v>
      </c>
      <c r="S2063" t="n">
        <v>0</v>
      </c>
      <c r="T2063" t="n">
        <v>0</v>
      </c>
      <c r="U2063" t="n">
        <v>0</v>
      </c>
      <c r="V2063" s="2" t="inlineStr"/>
    </row>
    <row r="2064" ht="15" customHeight="1">
      <c r="A2064" t="inlineStr">
        <is>
          <t>A 50938-2022</t>
        </is>
      </c>
      <c r="B2064" t="inlineStr">
        <is>
          <t>avverkningsanmälan</t>
        </is>
      </c>
      <c r="C2064" t="inlineStr">
        <is>
          <t>Föryngringsavverkning</t>
        </is>
      </c>
      <c r="D2064" s="1" t="n">
        <v>44867</v>
      </c>
      <c r="E2064" s="1" t="n">
        <v>46323</v>
      </c>
      <c r="F2064" t="inlineStr">
        <is>
          <t>KALMAR LÄN</t>
        </is>
      </c>
      <c r="G2064" t="inlineStr">
        <is>
          <t>NYBRO</t>
        </is>
      </c>
      <c r="I2064" t="n">
        <v>6</v>
      </c>
      <c r="J2064" t="n">
        <v>0</v>
      </c>
      <c r="K2064" t="n">
        <v>0</v>
      </c>
      <c r="L2064" t="n">
        <v>0</v>
      </c>
      <c r="M2064" t="n">
        <v>0</v>
      </c>
      <c r="N2064" t="n">
        <v>0</v>
      </c>
      <c r="O2064" t="n">
        <v>0</v>
      </c>
      <c r="P2064" t="n">
        <v>0</v>
      </c>
      <c r="Q2064" t="n">
        <v>0</v>
      </c>
      <c r="R2064" t="n">
        <v>0</v>
      </c>
      <c r="S2064" t="n">
        <v>0</v>
      </c>
      <c r="T2064" t="n">
        <v>0</v>
      </c>
      <c r="U2064" t="n">
        <v>0</v>
      </c>
      <c r="V2064" s="2" t="inlineStr"/>
    </row>
    <row r="2065" ht="15" customHeight="1">
      <c r="A2065" t="inlineStr">
        <is>
          <t>A 28538-2023</t>
        </is>
      </c>
      <c r="B2065" t="inlineStr">
        <is>
          <t>avverkningsanmälan</t>
        </is>
      </c>
      <c r="C2065" t="inlineStr">
        <is>
          <t>Föryngringsavverkning</t>
        </is>
      </c>
      <c r="D2065" s="1" t="n">
        <v>45103</v>
      </c>
      <c r="E2065" s="1" t="n">
        <v>46323</v>
      </c>
      <c r="F2065" t="inlineStr">
        <is>
          <t>KALMAR LÄN</t>
        </is>
      </c>
      <c r="G2065" t="inlineStr">
        <is>
          <t>OSKARSHAMN</t>
        </is>
      </c>
      <c r="I2065" t="n">
        <v>1.2</v>
      </c>
      <c r="J2065" t="n">
        <v>0</v>
      </c>
      <c r="K2065" t="n">
        <v>0</v>
      </c>
      <c r="L2065" t="n">
        <v>0</v>
      </c>
      <c r="M2065" t="n">
        <v>0</v>
      </c>
      <c r="N2065" t="n">
        <v>0</v>
      </c>
      <c r="O2065" t="n">
        <v>0</v>
      </c>
      <c r="P2065" t="n">
        <v>0</v>
      </c>
      <c r="Q2065" t="n">
        <v>0</v>
      </c>
      <c r="R2065" t="n">
        <v>0</v>
      </c>
      <c r="S2065" t="n">
        <v>0</v>
      </c>
      <c r="T2065" t="n">
        <v>0</v>
      </c>
      <c r="U2065" t="n">
        <v>0</v>
      </c>
      <c r="V2065" s="2" t="inlineStr"/>
    </row>
    <row r="2066" ht="15" customHeight="1">
      <c r="A2066" t="inlineStr">
        <is>
          <t>A 28544-2023</t>
        </is>
      </c>
      <c r="B2066" t="inlineStr">
        <is>
          <t>avverkningsanmälan</t>
        </is>
      </c>
      <c r="C2066" t="inlineStr">
        <is>
          <t>Föryngringsavverkning</t>
        </is>
      </c>
      <c r="D2066" s="1" t="n">
        <v>45103</v>
      </c>
      <c r="E2066" s="1" t="n">
        <v>46323</v>
      </c>
      <c r="F2066" t="inlineStr">
        <is>
          <t>KALMAR LÄN</t>
        </is>
      </c>
      <c r="G2066" t="inlineStr">
        <is>
          <t>OSKARSHAMN</t>
        </is>
      </c>
      <c r="I2066" t="n">
        <v>2.3</v>
      </c>
      <c r="J2066" t="n">
        <v>0</v>
      </c>
      <c r="K2066" t="n">
        <v>0</v>
      </c>
      <c r="L2066" t="n">
        <v>0</v>
      </c>
      <c r="M2066" t="n">
        <v>0</v>
      </c>
      <c r="N2066" t="n">
        <v>0</v>
      </c>
      <c r="O2066" t="n">
        <v>0</v>
      </c>
      <c r="P2066" t="n">
        <v>0</v>
      </c>
      <c r="Q2066" t="n">
        <v>0</v>
      </c>
      <c r="R2066" t="n">
        <v>0</v>
      </c>
      <c r="S2066" t="n">
        <v>0</v>
      </c>
      <c r="T2066" t="n">
        <v>0</v>
      </c>
      <c r="U2066" t="n">
        <v>0</v>
      </c>
      <c r="V2066" s="2" t="inlineStr"/>
    </row>
    <row r="2067" ht="15" customHeight="1">
      <c r="A2067" t="inlineStr">
        <is>
          <t>A 562-2023</t>
        </is>
      </c>
      <c r="B2067" t="inlineStr">
        <is>
          <t>avverkningsanmälan</t>
        </is>
      </c>
      <c r="C2067" t="inlineStr">
        <is>
          <t>Föryngringsavverkning</t>
        </is>
      </c>
      <c r="D2067" s="1" t="n">
        <v>44930</v>
      </c>
      <c r="E2067" s="1" t="n">
        <v>46323</v>
      </c>
      <c r="F2067" t="inlineStr">
        <is>
          <t>KALMAR LÄN</t>
        </is>
      </c>
      <c r="G2067" t="inlineStr">
        <is>
          <t>VÄSTERVIK</t>
        </is>
      </c>
      <c r="I2067" t="n">
        <v>0.4</v>
      </c>
      <c r="J2067" t="n">
        <v>0</v>
      </c>
      <c r="K2067" t="n">
        <v>0</v>
      </c>
      <c r="L2067" t="n">
        <v>0</v>
      </c>
      <c r="M2067" t="n">
        <v>0</v>
      </c>
      <c r="N2067" t="n">
        <v>0</v>
      </c>
      <c r="O2067" t="n">
        <v>0</v>
      </c>
      <c r="P2067" t="n">
        <v>0</v>
      </c>
      <c r="Q2067" t="n">
        <v>0</v>
      </c>
      <c r="R2067" t="n">
        <v>0</v>
      </c>
      <c r="S2067" t="n">
        <v>0</v>
      </c>
      <c r="T2067" t="n">
        <v>0</v>
      </c>
      <c r="U2067" t="n">
        <v>0</v>
      </c>
      <c r="V2067" s="2" t="inlineStr"/>
    </row>
    <row r="2068" ht="15" customHeight="1">
      <c r="A2068" t="inlineStr">
        <is>
          <t>A 47291-2023</t>
        </is>
      </c>
      <c r="B2068" t="inlineStr">
        <is>
          <t>avverkningsanmälan</t>
        </is>
      </c>
      <c r="C2068" t="inlineStr">
        <is>
          <t>Föryngringsavverkning</t>
        </is>
      </c>
      <c r="D2068" s="1" t="n">
        <v>45202</v>
      </c>
      <c r="E2068" s="1" t="n">
        <v>46323</v>
      </c>
      <c r="F2068" t="inlineStr">
        <is>
          <t>KALMAR LÄN</t>
        </is>
      </c>
      <c r="G2068" t="inlineStr">
        <is>
          <t>EMMABODA</t>
        </is>
      </c>
      <c r="I2068" t="n">
        <v>1.1</v>
      </c>
      <c r="J2068" t="n">
        <v>0</v>
      </c>
      <c r="K2068" t="n">
        <v>0</v>
      </c>
      <c r="L2068" t="n">
        <v>0</v>
      </c>
      <c r="M2068" t="n">
        <v>0</v>
      </c>
      <c r="N2068" t="n">
        <v>0</v>
      </c>
      <c r="O2068" t="n">
        <v>0</v>
      </c>
      <c r="P2068" t="n">
        <v>0</v>
      </c>
      <c r="Q2068" t="n">
        <v>0</v>
      </c>
      <c r="R2068" t="n">
        <v>0</v>
      </c>
      <c r="S2068" t="n">
        <v>0</v>
      </c>
      <c r="T2068" t="n">
        <v>0</v>
      </c>
      <c r="U2068" t="n">
        <v>0</v>
      </c>
      <c r="V2068" s="2" t="inlineStr"/>
    </row>
    <row r="2069" ht="15" customHeight="1">
      <c r="A2069" t="inlineStr">
        <is>
          <t>A 55828-2022</t>
        </is>
      </c>
      <c r="B2069" t="inlineStr">
        <is>
          <t>avverkningsanmälan</t>
        </is>
      </c>
      <c r="C2069" t="inlineStr">
        <is>
          <t>Föryngringsavverkning</t>
        </is>
      </c>
      <c r="D2069" s="1" t="n">
        <v>44888</v>
      </c>
      <c r="E2069" s="1" t="n">
        <v>46323</v>
      </c>
      <c r="F2069" t="inlineStr">
        <is>
          <t>KALMAR LÄN</t>
        </is>
      </c>
      <c r="G2069" t="inlineStr">
        <is>
          <t>VÄSTERVIK</t>
        </is>
      </c>
      <c r="I2069" t="n">
        <v>1</v>
      </c>
      <c r="J2069" t="n">
        <v>0</v>
      </c>
      <c r="K2069" t="n">
        <v>0</v>
      </c>
      <c r="L2069" t="n">
        <v>0</v>
      </c>
      <c r="M2069" t="n">
        <v>0</v>
      </c>
      <c r="N2069" t="n">
        <v>0</v>
      </c>
      <c r="O2069" t="n">
        <v>0</v>
      </c>
      <c r="P2069" t="n">
        <v>0</v>
      </c>
      <c r="Q2069" t="n">
        <v>0</v>
      </c>
      <c r="R2069" t="n">
        <v>0</v>
      </c>
      <c r="S2069" t="n">
        <v>0</v>
      </c>
      <c r="T2069" t="n">
        <v>0</v>
      </c>
      <c r="U2069" t="n">
        <v>0</v>
      </c>
      <c r="V2069" s="2" t="inlineStr"/>
    </row>
    <row r="2070" ht="15" customHeight="1">
      <c r="A2070" t="inlineStr">
        <is>
          <t>A 61509-2024</t>
        </is>
      </c>
      <c r="B2070" t="inlineStr">
        <is>
          <t>avverkningsanmälan</t>
        </is>
      </c>
      <c r="C2070" t="inlineStr">
        <is>
          <t>Föryngringsavverkning</t>
        </is>
      </c>
      <c r="D2070" s="1" t="n">
        <v>45646</v>
      </c>
      <c r="E2070" s="1" t="n">
        <v>46323</v>
      </c>
      <c r="F2070" t="inlineStr">
        <is>
          <t>KALMAR LÄN</t>
        </is>
      </c>
      <c r="G2070" t="inlineStr">
        <is>
          <t>HULTSFRED</t>
        </is>
      </c>
      <c r="I2070" t="n">
        <v>0.6</v>
      </c>
      <c r="J2070" t="n">
        <v>0</v>
      </c>
      <c r="K2070" t="n">
        <v>0</v>
      </c>
      <c r="L2070" t="n">
        <v>0</v>
      </c>
      <c r="M2070" t="n">
        <v>0</v>
      </c>
      <c r="N2070" t="n">
        <v>0</v>
      </c>
      <c r="O2070" t="n">
        <v>0</v>
      </c>
      <c r="P2070" t="n">
        <v>0</v>
      </c>
      <c r="Q2070" t="n">
        <v>0</v>
      </c>
      <c r="R2070" t="n">
        <v>0</v>
      </c>
      <c r="S2070" t="n">
        <v>0</v>
      </c>
      <c r="T2070" t="n">
        <v>0</v>
      </c>
      <c r="U2070" t="n">
        <v>0</v>
      </c>
      <c r="V2070" s="2" t="inlineStr"/>
    </row>
    <row r="2071" ht="15" customHeight="1">
      <c r="A2071" t="inlineStr">
        <is>
          <t>A 13588-2025</t>
        </is>
      </c>
      <c r="B2071" t="inlineStr">
        <is>
          <t>avverkningsanmälan</t>
        </is>
      </c>
      <c r="C2071" t="inlineStr">
        <is>
          <t>Föryngringsavverkning</t>
        </is>
      </c>
      <c r="D2071" s="1" t="n">
        <v>45736</v>
      </c>
      <c r="E2071" s="1" t="n">
        <v>46323</v>
      </c>
      <c r="F2071" t="inlineStr">
        <is>
          <t>KALMAR LÄN</t>
        </is>
      </c>
      <c r="G2071" t="inlineStr">
        <is>
          <t>TORSÅS</t>
        </is>
      </c>
      <c r="I2071" t="n">
        <v>2.4</v>
      </c>
      <c r="J2071" t="n">
        <v>0</v>
      </c>
      <c r="K2071" t="n">
        <v>0</v>
      </c>
      <c r="L2071" t="n">
        <v>0</v>
      </c>
      <c r="M2071" t="n">
        <v>0</v>
      </c>
      <c r="N2071" t="n">
        <v>0</v>
      </c>
      <c r="O2071" t="n">
        <v>0</v>
      </c>
      <c r="P2071" t="n">
        <v>0</v>
      </c>
      <c r="Q2071" t="n">
        <v>0</v>
      </c>
      <c r="R2071" t="n">
        <v>0</v>
      </c>
      <c r="S2071" t="n">
        <v>0</v>
      </c>
      <c r="T2071" t="n">
        <v>0</v>
      </c>
      <c r="U2071" t="n">
        <v>0</v>
      </c>
      <c r="V2071" s="2" t="inlineStr"/>
    </row>
    <row r="2072" ht="15" customHeight="1">
      <c r="A2072" t="inlineStr">
        <is>
          <t>A 52963-2024</t>
        </is>
      </c>
      <c r="B2072" t="inlineStr">
        <is>
          <t>avverkningsanmälan</t>
        </is>
      </c>
      <c r="C2072" t="inlineStr">
        <is>
          <t>Föryngringsavverkning</t>
        </is>
      </c>
      <c r="D2072" s="1" t="n">
        <v>45611</v>
      </c>
      <c r="E2072" s="1" t="n">
        <v>46323</v>
      </c>
      <c r="F2072" t="inlineStr">
        <is>
          <t>KALMAR LÄN</t>
        </is>
      </c>
      <c r="G2072" t="inlineStr">
        <is>
          <t>MÖNSTERÅS</t>
        </is>
      </c>
      <c r="I2072" t="n">
        <v>2</v>
      </c>
      <c r="J2072" t="n">
        <v>0</v>
      </c>
      <c r="K2072" t="n">
        <v>0</v>
      </c>
      <c r="L2072" t="n">
        <v>0</v>
      </c>
      <c r="M2072" t="n">
        <v>0</v>
      </c>
      <c r="N2072" t="n">
        <v>0</v>
      </c>
      <c r="O2072" t="n">
        <v>0</v>
      </c>
      <c r="P2072" t="n">
        <v>0</v>
      </c>
      <c r="Q2072" t="n">
        <v>0</v>
      </c>
      <c r="R2072" t="n">
        <v>0</v>
      </c>
      <c r="S2072" t="n">
        <v>0</v>
      </c>
      <c r="T2072" t="n">
        <v>0</v>
      </c>
      <c r="U2072" t="n">
        <v>0</v>
      </c>
      <c r="V2072" s="2" t="inlineStr"/>
    </row>
    <row r="2073" ht="15" customHeight="1">
      <c r="A2073" t="inlineStr">
        <is>
          <t>A 23933-2023</t>
        </is>
      </c>
      <c r="B2073" t="inlineStr">
        <is>
          <t>avverkningsanmälan</t>
        </is>
      </c>
      <c r="C2073" t="inlineStr">
        <is>
          <t>Föryngringsavverkning</t>
        </is>
      </c>
      <c r="D2073" s="1" t="n">
        <v>45075</v>
      </c>
      <c r="E2073" s="1" t="n">
        <v>46323</v>
      </c>
      <c r="F2073" t="inlineStr">
        <is>
          <t>KALMAR LÄN</t>
        </is>
      </c>
      <c r="G2073" t="inlineStr">
        <is>
          <t>NYBRO</t>
        </is>
      </c>
      <c r="I2073" t="n">
        <v>1.5</v>
      </c>
      <c r="J2073" t="n">
        <v>0</v>
      </c>
      <c r="K2073" t="n">
        <v>0</v>
      </c>
      <c r="L2073" t="n">
        <v>0</v>
      </c>
      <c r="M2073" t="n">
        <v>0</v>
      </c>
      <c r="N2073" t="n">
        <v>0</v>
      </c>
      <c r="O2073" t="n">
        <v>0</v>
      </c>
      <c r="P2073" t="n">
        <v>0</v>
      </c>
      <c r="Q2073" t="n">
        <v>0</v>
      </c>
      <c r="R2073" t="n">
        <v>0</v>
      </c>
      <c r="S2073" t="n">
        <v>0</v>
      </c>
      <c r="T2073" t="n">
        <v>0</v>
      </c>
      <c r="U2073" t="n">
        <v>0</v>
      </c>
      <c r="V2073" s="2" t="inlineStr"/>
    </row>
    <row r="2074" ht="15" customHeight="1">
      <c r="A2074" t="inlineStr">
        <is>
          <t>A 49104-2023</t>
        </is>
      </c>
      <c r="B2074" t="inlineStr">
        <is>
          <t>avverkningsanmälan</t>
        </is>
      </c>
      <c r="C2074" t="inlineStr">
        <is>
          <t>Föryngringsavverkning</t>
        </is>
      </c>
      <c r="D2074" s="1" t="n">
        <v>45210</v>
      </c>
      <c r="E2074" s="1" t="n">
        <v>46323</v>
      </c>
      <c r="F2074" t="inlineStr">
        <is>
          <t>KALMAR LÄN</t>
        </is>
      </c>
      <c r="G2074" t="inlineStr">
        <is>
          <t>NYBRO</t>
        </is>
      </c>
      <c r="I2074" t="n">
        <v>0.9</v>
      </c>
      <c r="J2074" t="n">
        <v>0</v>
      </c>
      <c r="K2074" t="n">
        <v>0</v>
      </c>
      <c r="L2074" t="n">
        <v>0</v>
      </c>
      <c r="M2074" t="n">
        <v>0</v>
      </c>
      <c r="N2074" t="n">
        <v>0</v>
      </c>
      <c r="O2074" t="n">
        <v>0</v>
      </c>
      <c r="P2074" t="n">
        <v>0</v>
      </c>
      <c r="Q2074" t="n">
        <v>0</v>
      </c>
      <c r="R2074" t="n">
        <v>0</v>
      </c>
      <c r="S2074" t="n">
        <v>0</v>
      </c>
      <c r="T2074" t="n">
        <v>0</v>
      </c>
      <c r="U2074" t="n">
        <v>0</v>
      </c>
      <c r="V2074" s="2" t="inlineStr"/>
    </row>
    <row r="2075" ht="15" customHeight="1">
      <c r="A2075" t="inlineStr">
        <is>
          <t>A 32499-2022</t>
        </is>
      </c>
      <c r="B2075" t="inlineStr">
        <is>
          <t>avverkningsanmälan</t>
        </is>
      </c>
      <c r="C2075" t="inlineStr">
        <is>
          <t>Föryngringsavverkning</t>
        </is>
      </c>
      <c r="D2075" s="1" t="n">
        <v>44782</v>
      </c>
      <c r="E2075" s="1" t="n">
        <v>46323</v>
      </c>
      <c r="F2075" t="inlineStr">
        <is>
          <t>KALMAR LÄN</t>
        </is>
      </c>
      <c r="G2075" t="inlineStr">
        <is>
          <t>KALMAR</t>
        </is>
      </c>
      <c r="I2075" t="n">
        <v>1.7</v>
      </c>
      <c r="J2075" t="n">
        <v>0</v>
      </c>
      <c r="K2075" t="n">
        <v>0</v>
      </c>
      <c r="L2075" t="n">
        <v>0</v>
      </c>
      <c r="M2075" t="n">
        <v>0</v>
      </c>
      <c r="N2075" t="n">
        <v>0</v>
      </c>
      <c r="O2075" t="n">
        <v>0</v>
      </c>
      <c r="P2075" t="n">
        <v>0</v>
      </c>
      <c r="Q2075" t="n">
        <v>0</v>
      </c>
      <c r="R2075" t="n">
        <v>0</v>
      </c>
      <c r="S2075" t="n">
        <v>0</v>
      </c>
      <c r="T2075" t="n">
        <v>0</v>
      </c>
      <c r="U2075" t="n">
        <v>0</v>
      </c>
      <c r="V2075" s="2" t="inlineStr"/>
    </row>
    <row r="2076" ht="15" customHeight="1">
      <c r="A2076" t="inlineStr">
        <is>
          <t>A 59525-2023</t>
        </is>
      </c>
      <c r="B2076" t="inlineStr">
        <is>
          <t>avverkningsanmälan</t>
        </is>
      </c>
      <c r="C2076" t="inlineStr">
        <is>
          <t>Föryngringsavverkning</t>
        </is>
      </c>
      <c r="D2076" s="1" t="n">
        <v>45253</v>
      </c>
      <c r="E2076" s="1" t="n">
        <v>46323</v>
      </c>
      <c r="F2076" t="inlineStr">
        <is>
          <t>KALMAR LÄN</t>
        </is>
      </c>
      <c r="G2076" t="inlineStr">
        <is>
          <t>NYBRO</t>
        </is>
      </c>
      <c r="I2076" t="n">
        <v>4.5</v>
      </c>
      <c r="J2076" t="n">
        <v>0</v>
      </c>
      <c r="K2076" t="n">
        <v>0</v>
      </c>
      <c r="L2076" t="n">
        <v>0</v>
      </c>
      <c r="M2076" t="n">
        <v>0</v>
      </c>
      <c r="N2076" t="n">
        <v>0</v>
      </c>
      <c r="O2076" t="n">
        <v>0</v>
      </c>
      <c r="P2076" t="n">
        <v>0</v>
      </c>
      <c r="Q2076" t="n">
        <v>0</v>
      </c>
      <c r="R2076" t="n">
        <v>0</v>
      </c>
      <c r="S2076" t="n">
        <v>0</v>
      </c>
      <c r="T2076" t="n">
        <v>0</v>
      </c>
      <c r="U2076" t="n">
        <v>0</v>
      </c>
      <c r="V2076" s="2" t="inlineStr"/>
    </row>
    <row r="2077" ht="15" customHeight="1">
      <c r="A2077" t="inlineStr">
        <is>
          <t>A 55501-2023</t>
        </is>
      </c>
      <c r="B2077" t="inlineStr">
        <is>
          <t>avverkningsanmälan</t>
        </is>
      </c>
      <c r="C2077" t="inlineStr">
        <is>
          <t>Föryngringsavverkning</t>
        </is>
      </c>
      <c r="D2077" s="1" t="n">
        <v>45238</v>
      </c>
      <c r="E2077" s="1" t="n">
        <v>46323</v>
      </c>
      <c r="F2077" t="inlineStr">
        <is>
          <t>KALMAR LÄN</t>
        </is>
      </c>
      <c r="G2077" t="inlineStr">
        <is>
          <t>HULTSFRED</t>
        </is>
      </c>
      <c r="H2077" t="inlineStr">
        <is>
          <t>Kyrkan</t>
        </is>
      </c>
      <c r="I2077" t="n">
        <v>2.9</v>
      </c>
      <c r="J2077" t="n">
        <v>0</v>
      </c>
      <c r="K2077" t="n">
        <v>0</v>
      </c>
      <c r="L2077" t="n">
        <v>0</v>
      </c>
      <c r="M2077" t="n">
        <v>0</v>
      </c>
      <c r="N2077" t="n">
        <v>0</v>
      </c>
      <c r="O2077" t="n">
        <v>0</v>
      </c>
      <c r="P2077" t="n">
        <v>0</v>
      </c>
      <c r="Q2077" t="n">
        <v>0</v>
      </c>
      <c r="R2077" t="n">
        <v>0</v>
      </c>
      <c r="S2077" t="n">
        <v>0</v>
      </c>
      <c r="T2077" t="n">
        <v>0</v>
      </c>
      <c r="U2077" t="n">
        <v>0</v>
      </c>
      <c r="V2077" s="2" t="inlineStr"/>
    </row>
    <row r="2078" ht="15" customHeight="1">
      <c r="A2078" t="inlineStr">
        <is>
          <t>A 16186-2024</t>
        </is>
      </c>
      <c r="B2078" t="inlineStr">
        <is>
          <t>avverkningsanmälan</t>
        </is>
      </c>
      <c r="C2078" t="inlineStr">
        <is>
          <t>Föryngringsavverkning</t>
        </is>
      </c>
      <c r="D2078" s="1" t="n">
        <v>45406</v>
      </c>
      <c r="E2078" s="1" t="n">
        <v>46323</v>
      </c>
      <c r="F2078" t="inlineStr">
        <is>
          <t>KALMAR LÄN</t>
        </is>
      </c>
      <c r="G2078" t="inlineStr">
        <is>
          <t>OSKARSHAMN</t>
        </is>
      </c>
      <c r="I2078" t="n">
        <v>2.1</v>
      </c>
      <c r="J2078" t="n">
        <v>0</v>
      </c>
      <c r="K2078" t="n">
        <v>0</v>
      </c>
      <c r="L2078" t="n">
        <v>0</v>
      </c>
      <c r="M2078" t="n">
        <v>0</v>
      </c>
      <c r="N2078" t="n">
        <v>0</v>
      </c>
      <c r="O2078" t="n">
        <v>0</v>
      </c>
      <c r="P2078" t="n">
        <v>0</v>
      </c>
      <c r="Q2078" t="n">
        <v>0</v>
      </c>
      <c r="R2078" t="n">
        <v>0</v>
      </c>
      <c r="S2078" t="n">
        <v>0</v>
      </c>
      <c r="T2078" t="n">
        <v>0</v>
      </c>
      <c r="U2078" t="n">
        <v>0</v>
      </c>
      <c r="V2078" s="2" t="inlineStr"/>
    </row>
    <row r="2079" ht="15" customHeight="1">
      <c r="A2079" t="inlineStr">
        <is>
          <t>A 16280-2024</t>
        </is>
      </c>
      <c r="B2079" t="inlineStr">
        <is>
          <t>avverkningsanmälan</t>
        </is>
      </c>
      <c r="C2079" t="inlineStr">
        <is>
          <t>Föryngringsavverkning</t>
        </is>
      </c>
      <c r="D2079" s="1" t="n">
        <v>45407</v>
      </c>
      <c r="E2079" s="1" t="n">
        <v>46323</v>
      </c>
      <c r="F2079" t="inlineStr">
        <is>
          <t>KALMAR LÄN</t>
        </is>
      </c>
      <c r="G2079" t="inlineStr">
        <is>
          <t>OSKARSHAMN</t>
        </is>
      </c>
      <c r="I2079" t="n">
        <v>3</v>
      </c>
      <c r="J2079" t="n">
        <v>0</v>
      </c>
      <c r="K2079" t="n">
        <v>0</v>
      </c>
      <c r="L2079" t="n">
        <v>0</v>
      </c>
      <c r="M2079" t="n">
        <v>0</v>
      </c>
      <c r="N2079" t="n">
        <v>0</v>
      </c>
      <c r="O2079" t="n">
        <v>0</v>
      </c>
      <c r="P2079" t="n">
        <v>0</v>
      </c>
      <c r="Q2079" t="n">
        <v>0</v>
      </c>
      <c r="R2079" t="n">
        <v>0</v>
      </c>
      <c r="S2079" t="n">
        <v>0</v>
      </c>
      <c r="T2079" t="n">
        <v>0</v>
      </c>
      <c r="U2079" t="n">
        <v>0</v>
      </c>
      <c r="V2079" s="2" t="inlineStr"/>
    </row>
    <row r="2080" ht="15" customHeight="1">
      <c r="A2080" t="inlineStr">
        <is>
          <t>A 27565-2023</t>
        </is>
      </c>
      <c r="B2080" t="inlineStr">
        <is>
          <t>avverkningsanmälan</t>
        </is>
      </c>
      <c r="C2080" t="inlineStr">
        <is>
          <t>Föryngringsavverkning</t>
        </is>
      </c>
      <c r="D2080" s="1" t="n">
        <v>45097</v>
      </c>
      <c r="E2080" s="1" t="n">
        <v>46323</v>
      </c>
      <c r="F2080" t="inlineStr">
        <is>
          <t>KALMAR LÄN</t>
        </is>
      </c>
      <c r="G2080" t="inlineStr">
        <is>
          <t>KALMAR</t>
        </is>
      </c>
      <c r="I2080" t="n">
        <v>3.9</v>
      </c>
      <c r="J2080" t="n">
        <v>0</v>
      </c>
      <c r="K2080" t="n">
        <v>0</v>
      </c>
      <c r="L2080" t="n">
        <v>0</v>
      </c>
      <c r="M2080" t="n">
        <v>0</v>
      </c>
      <c r="N2080" t="n">
        <v>0</v>
      </c>
      <c r="O2080" t="n">
        <v>0</v>
      </c>
      <c r="P2080" t="n">
        <v>0</v>
      </c>
      <c r="Q2080" t="n">
        <v>0</v>
      </c>
      <c r="R2080" t="n">
        <v>0</v>
      </c>
      <c r="S2080" t="n">
        <v>0</v>
      </c>
      <c r="T2080" t="n">
        <v>0</v>
      </c>
      <c r="U2080" t="n">
        <v>0</v>
      </c>
      <c r="V2080" s="2" t="inlineStr"/>
    </row>
    <row r="2081" ht="15" customHeight="1">
      <c r="A2081" t="inlineStr">
        <is>
          <t>A 51155-2023</t>
        </is>
      </c>
      <c r="B2081" t="inlineStr">
        <is>
          <t>avverkningsanmälan</t>
        </is>
      </c>
      <c r="C2081" t="inlineStr">
        <is>
          <t>Föryngringsavverkning</t>
        </is>
      </c>
      <c r="D2081" s="1" t="n">
        <v>45219</v>
      </c>
      <c r="E2081" s="1" t="n">
        <v>46323</v>
      </c>
      <c r="F2081" t="inlineStr">
        <is>
          <t>KALMAR LÄN</t>
        </is>
      </c>
      <c r="G2081" t="inlineStr">
        <is>
          <t>KALMAR</t>
        </is>
      </c>
      <c r="I2081" t="n">
        <v>1.5</v>
      </c>
      <c r="J2081" t="n">
        <v>0</v>
      </c>
      <c r="K2081" t="n">
        <v>0</v>
      </c>
      <c r="L2081" t="n">
        <v>0</v>
      </c>
      <c r="M2081" t="n">
        <v>0</v>
      </c>
      <c r="N2081" t="n">
        <v>0</v>
      </c>
      <c r="O2081" t="n">
        <v>0</v>
      </c>
      <c r="P2081" t="n">
        <v>0</v>
      </c>
      <c r="Q2081" t="n">
        <v>0</v>
      </c>
      <c r="R2081" t="n">
        <v>0</v>
      </c>
      <c r="S2081" t="n">
        <v>0</v>
      </c>
      <c r="T2081" t="n">
        <v>0</v>
      </c>
      <c r="U2081" t="n">
        <v>0</v>
      </c>
      <c r="V2081" s="2" t="inlineStr"/>
    </row>
    <row r="2082" ht="15" customHeight="1">
      <c r="A2082" t="inlineStr">
        <is>
          <t>A 53328-2022</t>
        </is>
      </c>
      <c r="B2082" t="inlineStr">
        <is>
          <t>avverkningsanmälan</t>
        </is>
      </c>
      <c r="C2082" t="inlineStr">
        <is>
          <t>Föryngringsavverkning</t>
        </is>
      </c>
      <c r="D2082" s="1" t="n">
        <v>44879</v>
      </c>
      <c r="E2082" s="1" t="n">
        <v>46323</v>
      </c>
      <c r="F2082" t="inlineStr">
        <is>
          <t>KALMAR LÄN</t>
        </is>
      </c>
      <c r="G2082" t="inlineStr">
        <is>
          <t>HÖGSBY</t>
        </is>
      </c>
      <c r="I2082" t="n">
        <v>8.699999999999999</v>
      </c>
      <c r="J2082" t="n">
        <v>0</v>
      </c>
      <c r="K2082" t="n">
        <v>0</v>
      </c>
      <c r="L2082" t="n">
        <v>0</v>
      </c>
      <c r="M2082" t="n">
        <v>0</v>
      </c>
      <c r="N2082" t="n">
        <v>0</v>
      </c>
      <c r="O2082" t="n">
        <v>0</v>
      </c>
      <c r="P2082" t="n">
        <v>0</v>
      </c>
      <c r="Q2082" t="n">
        <v>0</v>
      </c>
      <c r="R2082" t="n">
        <v>0</v>
      </c>
      <c r="S2082" t="n">
        <v>0</v>
      </c>
      <c r="T2082" t="n">
        <v>0</v>
      </c>
      <c r="U2082" t="n">
        <v>0</v>
      </c>
      <c r="V2082" s="2" t="inlineStr"/>
    </row>
    <row r="2083" ht="15" customHeight="1">
      <c r="A2083" t="inlineStr">
        <is>
          <t>A 26700-2023</t>
        </is>
      </c>
      <c r="B2083" t="inlineStr">
        <is>
          <t>avverkningsanmälan</t>
        </is>
      </c>
      <c r="C2083" t="inlineStr">
        <is>
          <t>Föryngringsavverkning</t>
        </is>
      </c>
      <c r="D2083" s="1" t="n">
        <v>45093</v>
      </c>
      <c r="E2083" s="1" t="n">
        <v>46323</v>
      </c>
      <c r="F2083" t="inlineStr">
        <is>
          <t>KALMAR LÄN</t>
        </is>
      </c>
      <c r="G2083" t="inlineStr">
        <is>
          <t>TORSÅS</t>
        </is>
      </c>
      <c r="I2083" t="n">
        <v>4.3</v>
      </c>
      <c r="J2083" t="n">
        <v>0</v>
      </c>
      <c r="K2083" t="n">
        <v>0</v>
      </c>
      <c r="L2083" t="n">
        <v>0</v>
      </c>
      <c r="M2083" t="n">
        <v>0</v>
      </c>
      <c r="N2083" t="n">
        <v>0</v>
      </c>
      <c r="O2083" t="n">
        <v>0</v>
      </c>
      <c r="P2083" t="n">
        <v>0</v>
      </c>
      <c r="Q2083" t="n">
        <v>0</v>
      </c>
      <c r="R2083" t="n">
        <v>0</v>
      </c>
      <c r="S2083" t="n">
        <v>0</v>
      </c>
      <c r="T2083" t="n">
        <v>0</v>
      </c>
      <c r="U2083" t="n">
        <v>0</v>
      </c>
      <c r="V2083" s="2" t="inlineStr"/>
    </row>
    <row r="2084" ht="15" customHeight="1">
      <c r="A2084" t="inlineStr">
        <is>
          <t>A 27870-2024</t>
        </is>
      </c>
      <c r="B2084" t="inlineStr">
        <is>
          <t>avverkningsanmälan</t>
        </is>
      </c>
      <c r="C2084" t="inlineStr">
        <is>
          <t>Föryngringsavverkning</t>
        </is>
      </c>
      <c r="D2084" s="1" t="n">
        <v>45475</v>
      </c>
      <c r="E2084" s="1" t="n">
        <v>46323</v>
      </c>
      <c r="F2084" t="inlineStr">
        <is>
          <t>KALMAR LÄN</t>
        </is>
      </c>
      <c r="G2084" t="inlineStr">
        <is>
          <t>NYBRO</t>
        </is>
      </c>
      <c r="I2084" t="n">
        <v>1.6</v>
      </c>
      <c r="J2084" t="n">
        <v>0</v>
      </c>
      <c r="K2084" t="n">
        <v>0</v>
      </c>
      <c r="L2084" t="n">
        <v>0</v>
      </c>
      <c r="M2084" t="n">
        <v>0</v>
      </c>
      <c r="N2084" t="n">
        <v>0</v>
      </c>
      <c r="O2084" t="n">
        <v>0</v>
      </c>
      <c r="P2084" t="n">
        <v>0</v>
      </c>
      <c r="Q2084" t="n">
        <v>0</v>
      </c>
      <c r="R2084" t="n">
        <v>0</v>
      </c>
      <c r="S2084" t="n">
        <v>0</v>
      </c>
      <c r="T2084" t="n">
        <v>0</v>
      </c>
      <c r="U2084" t="n">
        <v>0</v>
      </c>
      <c r="V2084" s="2" t="inlineStr"/>
    </row>
    <row r="2085" ht="15" customHeight="1">
      <c r="A2085" t="inlineStr">
        <is>
          <t>A 56905-2024</t>
        </is>
      </c>
      <c r="B2085" t="inlineStr">
        <is>
          <t>avverkningsanmälan</t>
        </is>
      </c>
      <c r="C2085" t="inlineStr">
        <is>
          <t>Föryngringsavverkning</t>
        </is>
      </c>
      <c r="D2085" s="1" t="n">
        <v>45628</v>
      </c>
      <c r="E2085" s="1" t="n">
        <v>46323</v>
      </c>
      <c r="F2085" t="inlineStr">
        <is>
          <t>KALMAR LÄN</t>
        </is>
      </c>
      <c r="G2085" t="inlineStr">
        <is>
          <t>KALMAR</t>
        </is>
      </c>
      <c r="I2085" t="n">
        <v>1.5</v>
      </c>
      <c r="J2085" t="n">
        <v>0</v>
      </c>
      <c r="K2085" t="n">
        <v>0</v>
      </c>
      <c r="L2085" t="n">
        <v>0</v>
      </c>
      <c r="M2085" t="n">
        <v>0</v>
      </c>
      <c r="N2085" t="n">
        <v>0</v>
      </c>
      <c r="O2085" t="n">
        <v>0</v>
      </c>
      <c r="P2085" t="n">
        <v>0</v>
      </c>
      <c r="Q2085" t="n">
        <v>0</v>
      </c>
      <c r="R2085" t="n">
        <v>0</v>
      </c>
      <c r="S2085" t="n">
        <v>0</v>
      </c>
      <c r="T2085" t="n">
        <v>0</v>
      </c>
      <c r="U2085" t="n">
        <v>0</v>
      </c>
      <c r="V2085" s="2" t="inlineStr"/>
    </row>
    <row r="2086" ht="15" customHeight="1">
      <c r="A2086" t="inlineStr">
        <is>
          <t>A 64681-2023</t>
        </is>
      </c>
      <c r="B2086" t="inlineStr">
        <is>
          <t>avverkningsanmälan</t>
        </is>
      </c>
      <c r="C2086" t="inlineStr">
        <is>
          <t>Föryngringsavverkning</t>
        </is>
      </c>
      <c r="D2086" s="1" t="n">
        <v>45281</v>
      </c>
      <c r="E2086" s="1" t="n">
        <v>46323</v>
      </c>
      <c r="F2086" t="inlineStr">
        <is>
          <t>KALMAR LÄN</t>
        </is>
      </c>
      <c r="G2086" t="inlineStr">
        <is>
          <t>EMMABODA</t>
        </is>
      </c>
      <c r="I2086" t="n">
        <v>0.5</v>
      </c>
      <c r="J2086" t="n">
        <v>0</v>
      </c>
      <c r="K2086" t="n">
        <v>0</v>
      </c>
      <c r="L2086" t="n">
        <v>0</v>
      </c>
      <c r="M2086" t="n">
        <v>0</v>
      </c>
      <c r="N2086" t="n">
        <v>0</v>
      </c>
      <c r="O2086" t="n">
        <v>0</v>
      </c>
      <c r="P2086" t="n">
        <v>0</v>
      </c>
      <c r="Q2086" t="n">
        <v>0</v>
      </c>
      <c r="R2086" t="n">
        <v>0</v>
      </c>
      <c r="S2086" t="n">
        <v>0</v>
      </c>
      <c r="T2086" t="n">
        <v>0</v>
      </c>
      <c r="U2086" t="n">
        <v>0</v>
      </c>
      <c r="V2086" s="2" t="inlineStr"/>
    </row>
    <row r="2087" ht="15" customHeight="1">
      <c r="A2087" t="inlineStr">
        <is>
          <t>A 53077-2024</t>
        </is>
      </c>
      <c r="B2087" t="inlineStr">
        <is>
          <t>avverkningsanmälan</t>
        </is>
      </c>
      <c r="C2087" t="inlineStr">
        <is>
          <t>Föryngringsavverkning</t>
        </is>
      </c>
      <c r="D2087" s="1" t="n">
        <v>45611</v>
      </c>
      <c r="E2087" s="1" t="n">
        <v>46323</v>
      </c>
      <c r="F2087" t="inlineStr">
        <is>
          <t>KALMAR LÄN</t>
        </is>
      </c>
      <c r="G2087" t="inlineStr">
        <is>
          <t>VÄSTERVIK</t>
        </is>
      </c>
      <c r="H2087" t="inlineStr">
        <is>
          <t>Holmen skog AB</t>
        </is>
      </c>
      <c r="I2087" t="n">
        <v>3</v>
      </c>
      <c r="J2087" t="n">
        <v>0</v>
      </c>
      <c r="K2087" t="n">
        <v>0</v>
      </c>
      <c r="L2087" t="n">
        <v>0</v>
      </c>
      <c r="M2087" t="n">
        <v>0</v>
      </c>
      <c r="N2087" t="n">
        <v>0</v>
      </c>
      <c r="O2087" t="n">
        <v>0</v>
      </c>
      <c r="P2087" t="n">
        <v>0</v>
      </c>
      <c r="Q2087" t="n">
        <v>0</v>
      </c>
      <c r="R2087" t="n">
        <v>0</v>
      </c>
      <c r="S2087" t="n">
        <v>0</v>
      </c>
      <c r="T2087" t="n">
        <v>0</v>
      </c>
      <c r="U2087" t="n">
        <v>0</v>
      </c>
      <c r="V2087" s="2" t="inlineStr"/>
    </row>
    <row r="2088" ht="15" customHeight="1">
      <c r="A2088" t="inlineStr">
        <is>
          <t>A 13072-2024</t>
        </is>
      </c>
      <c r="B2088" t="inlineStr">
        <is>
          <t>avverkningsanmälan</t>
        </is>
      </c>
      <c r="C2088" t="inlineStr">
        <is>
          <t>Föryngringsavverkning</t>
        </is>
      </c>
      <c r="D2088" s="1" t="n">
        <v>45385</v>
      </c>
      <c r="E2088" s="1" t="n">
        <v>46323</v>
      </c>
      <c r="F2088" t="inlineStr">
        <is>
          <t>KALMAR LÄN</t>
        </is>
      </c>
      <c r="G2088" t="inlineStr">
        <is>
          <t>OSKARSHAMN</t>
        </is>
      </c>
      <c r="I2088" t="n">
        <v>2.1</v>
      </c>
      <c r="J2088" t="n">
        <v>0</v>
      </c>
      <c r="K2088" t="n">
        <v>0</v>
      </c>
      <c r="L2088" t="n">
        <v>0</v>
      </c>
      <c r="M2088" t="n">
        <v>0</v>
      </c>
      <c r="N2088" t="n">
        <v>0</v>
      </c>
      <c r="O2088" t="n">
        <v>0</v>
      </c>
      <c r="P2088" t="n">
        <v>0</v>
      </c>
      <c r="Q2088" t="n">
        <v>0</v>
      </c>
      <c r="R2088" t="n">
        <v>0</v>
      </c>
      <c r="S2088" t="n">
        <v>0</v>
      </c>
      <c r="T2088" t="n">
        <v>0</v>
      </c>
      <c r="U2088" t="n">
        <v>0</v>
      </c>
      <c r="V2088" s="2" t="inlineStr"/>
    </row>
    <row r="2089" ht="15" customHeight="1">
      <c r="A2089" t="inlineStr">
        <is>
          <t>A 22622-2024</t>
        </is>
      </c>
      <c r="B2089" t="inlineStr">
        <is>
          <t>avverkningsanmälan</t>
        </is>
      </c>
      <c r="C2089" t="inlineStr">
        <is>
          <t>Föryngringsavverkning</t>
        </is>
      </c>
      <c r="D2089" s="1" t="n">
        <v>45447</v>
      </c>
      <c r="E2089" s="1" t="n">
        <v>46323</v>
      </c>
      <c r="F2089" t="inlineStr">
        <is>
          <t>KALMAR LÄN</t>
        </is>
      </c>
      <c r="G2089" t="inlineStr">
        <is>
          <t>HULTSFRED</t>
        </is>
      </c>
      <c r="I2089" t="n">
        <v>0.5</v>
      </c>
      <c r="J2089" t="n">
        <v>0</v>
      </c>
      <c r="K2089" t="n">
        <v>0</v>
      </c>
      <c r="L2089" t="n">
        <v>0</v>
      </c>
      <c r="M2089" t="n">
        <v>0</v>
      </c>
      <c r="N2089" t="n">
        <v>0</v>
      </c>
      <c r="O2089" t="n">
        <v>0</v>
      </c>
      <c r="P2089" t="n">
        <v>0</v>
      </c>
      <c r="Q2089" t="n">
        <v>0</v>
      </c>
      <c r="R2089" t="n">
        <v>0</v>
      </c>
      <c r="S2089" t="n">
        <v>0</v>
      </c>
      <c r="T2089" t="n">
        <v>0</v>
      </c>
      <c r="U2089" t="n">
        <v>0</v>
      </c>
      <c r="V2089" s="2" t="inlineStr"/>
    </row>
    <row r="2090" ht="15" customHeight="1">
      <c r="A2090" t="inlineStr">
        <is>
          <t>A 31334-2023</t>
        </is>
      </c>
      <c r="B2090" t="inlineStr">
        <is>
          <t>avverkningsanmälan</t>
        </is>
      </c>
      <c r="C2090" t="inlineStr">
        <is>
          <t>Föryngringsavverkning</t>
        </is>
      </c>
      <c r="D2090" s="1" t="n">
        <v>45114</v>
      </c>
      <c r="E2090" s="1" t="n">
        <v>46323</v>
      </c>
      <c r="F2090" t="inlineStr">
        <is>
          <t>KALMAR LÄN</t>
        </is>
      </c>
      <c r="G2090" t="inlineStr">
        <is>
          <t>KALMAR</t>
        </is>
      </c>
      <c r="I2090" t="n">
        <v>1.6</v>
      </c>
      <c r="J2090" t="n">
        <v>0</v>
      </c>
      <c r="K2090" t="n">
        <v>0</v>
      </c>
      <c r="L2090" t="n">
        <v>0</v>
      </c>
      <c r="M2090" t="n">
        <v>0</v>
      </c>
      <c r="N2090" t="n">
        <v>0</v>
      </c>
      <c r="O2090" t="n">
        <v>0</v>
      </c>
      <c r="P2090" t="n">
        <v>0</v>
      </c>
      <c r="Q2090" t="n">
        <v>0</v>
      </c>
      <c r="R2090" t="n">
        <v>0</v>
      </c>
      <c r="S2090" t="n">
        <v>0</v>
      </c>
      <c r="T2090" t="n">
        <v>0</v>
      </c>
      <c r="U2090" t="n">
        <v>0</v>
      </c>
      <c r="V2090" s="2" t="inlineStr"/>
    </row>
    <row r="2091" ht="15" customHeight="1">
      <c r="A2091" t="inlineStr">
        <is>
          <t>A 31355-2023</t>
        </is>
      </c>
      <c r="B2091" t="inlineStr">
        <is>
          <t>avverkningsanmälan</t>
        </is>
      </c>
      <c r="C2091" t="inlineStr">
        <is>
          <t>Föryngringsavverkning</t>
        </is>
      </c>
      <c r="D2091" s="1" t="n">
        <v>45114</v>
      </c>
      <c r="E2091" s="1" t="n">
        <v>46323</v>
      </c>
      <c r="F2091" t="inlineStr">
        <is>
          <t>KALMAR LÄN</t>
        </is>
      </c>
      <c r="G2091" t="inlineStr">
        <is>
          <t>VIMMERBY</t>
        </is>
      </c>
      <c r="I2091" t="n">
        <v>1.3</v>
      </c>
      <c r="J2091" t="n">
        <v>0</v>
      </c>
      <c r="K2091" t="n">
        <v>0</v>
      </c>
      <c r="L2091" t="n">
        <v>0</v>
      </c>
      <c r="M2091" t="n">
        <v>0</v>
      </c>
      <c r="N2091" t="n">
        <v>0</v>
      </c>
      <c r="O2091" t="n">
        <v>0</v>
      </c>
      <c r="P2091" t="n">
        <v>0</v>
      </c>
      <c r="Q2091" t="n">
        <v>0</v>
      </c>
      <c r="R2091" t="n">
        <v>0</v>
      </c>
      <c r="S2091" t="n">
        <v>0</v>
      </c>
      <c r="T2091" t="n">
        <v>0</v>
      </c>
      <c r="U2091" t="n">
        <v>0</v>
      </c>
      <c r="V2091" s="2" t="inlineStr"/>
    </row>
    <row r="2092" ht="15" customHeight="1">
      <c r="A2092" t="inlineStr">
        <is>
          <t>A 28222-2024</t>
        </is>
      </c>
      <c r="B2092" t="inlineStr">
        <is>
          <t>avverkningsanmälan</t>
        </is>
      </c>
      <c r="C2092" t="inlineStr">
        <is>
          <t>Föryngringsavverkning</t>
        </is>
      </c>
      <c r="D2092" s="1" t="n">
        <v>45477</v>
      </c>
      <c r="E2092" s="1" t="n">
        <v>46323</v>
      </c>
      <c r="F2092" t="inlineStr">
        <is>
          <t>KALMAR LÄN</t>
        </is>
      </c>
      <c r="G2092" t="inlineStr">
        <is>
          <t>VÄSTERVIK</t>
        </is>
      </c>
      <c r="I2092" t="n">
        <v>1</v>
      </c>
      <c r="J2092" t="n">
        <v>0</v>
      </c>
      <c r="K2092" t="n">
        <v>0</v>
      </c>
      <c r="L2092" t="n">
        <v>0</v>
      </c>
      <c r="M2092" t="n">
        <v>0</v>
      </c>
      <c r="N2092" t="n">
        <v>0</v>
      </c>
      <c r="O2092" t="n">
        <v>0</v>
      </c>
      <c r="P2092" t="n">
        <v>0</v>
      </c>
      <c r="Q2092" t="n">
        <v>0</v>
      </c>
      <c r="R2092" t="n">
        <v>0</v>
      </c>
      <c r="S2092" t="n">
        <v>0</v>
      </c>
      <c r="T2092" t="n">
        <v>0</v>
      </c>
      <c r="U2092" t="n">
        <v>0</v>
      </c>
      <c r="V2092" s="2" t="inlineStr"/>
    </row>
    <row r="2093" ht="15" customHeight="1">
      <c r="A2093" t="inlineStr">
        <is>
          <t>A 61143-2024</t>
        </is>
      </c>
      <c r="B2093" t="inlineStr">
        <is>
          <t>avverkningsanmälan</t>
        </is>
      </c>
      <c r="C2093" t="inlineStr">
        <is>
          <t>Föryngringsavverkning</t>
        </is>
      </c>
      <c r="D2093" s="1" t="n">
        <v>45645</v>
      </c>
      <c r="E2093" s="1" t="n">
        <v>46323</v>
      </c>
      <c r="F2093" t="inlineStr">
        <is>
          <t>KALMAR LÄN</t>
        </is>
      </c>
      <c r="G2093" t="inlineStr">
        <is>
          <t>EMMABODA</t>
        </is>
      </c>
      <c r="I2093" t="n">
        <v>1.3</v>
      </c>
      <c r="J2093" t="n">
        <v>0</v>
      </c>
      <c r="K2093" t="n">
        <v>0</v>
      </c>
      <c r="L2093" t="n">
        <v>0</v>
      </c>
      <c r="M2093" t="n">
        <v>0</v>
      </c>
      <c r="N2093" t="n">
        <v>0</v>
      </c>
      <c r="O2093" t="n">
        <v>0</v>
      </c>
      <c r="P2093" t="n">
        <v>0</v>
      </c>
      <c r="Q2093" t="n">
        <v>0</v>
      </c>
      <c r="R2093" t="n">
        <v>0</v>
      </c>
      <c r="S2093" t="n">
        <v>0</v>
      </c>
      <c r="T2093" t="n">
        <v>0</v>
      </c>
      <c r="U2093" t="n">
        <v>0</v>
      </c>
      <c r="V2093" s="2" t="inlineStr"/>
    </row>
    <row r="2094" ht="15" customHeight="1">
      <c r="A2094" t="inlineStr">
        <is>
          <t>A 6321-2023</t>
        </is>
      </c>
      <c r="B2094" t="inlineStr">
        <is>
          <t>avverkningsanmälan</t>
        </is>
      </c>
      <c r="C2094" t="inlineStr">
        <is>
          <t>Föryngringsavverkning</t>
        </is>
      </c>
      <c r="D2094" s="1" t="n">
        <v>44965</v>
      </c>
      <c r="E2094" s="1" t="n">
        <v>46323</v>
      </c>
      <c r="F2094" t="inlineStr">
        <is>
          <t>KALMAR LÄN</t>
        </is>
      </c>
      <c r="G2094" t="inlineStr">
        <is>
          <t>VIMMERBY</t>
        </is>
      </c>
      <c r="I2094" t="n">
        <v>1.8</v>
      </c>
      <c r="J2094" t="n">
        <v>0</v>
      </c>
      <c r="K2094" t="n">
        <v>0</v>
      </c>
      <c r="L2094" t="n">
        <v>0</v>
      </c>
      <c r="M2094" t="n">
        <v>0</v>
      </c>
      <c r="N2094" t="n">
        <v>0</v>
      </c>
      <c r="O2094" t="n">
        <v>0</v>
      </c>
      <c r="P2094" t="n">
        <v>0</v>
      </c>
      <c r="Q2094" t="n">
        <v>0</v>
      </c>
      <c r="R2094" t="n">
        <v>0</v>
      </c>
      <c r="S2094" t="n">
        <v>0</v>
      </c>
      <c r="T2094" t="n">
        <v>0</v>
      </c>
      <c r="U2094" t="n">
        <v>0</v>
      </c>
      <c r="V2094" s="2" t="inlineStr"/>
    </row>
    <row r="2095" ht="15" customHeight="1">
      <c r="A2095" t="inlineStr">
        <is>
          <t>A 16805-2024</t>
        </is>
      </c>
      <c r="B2095" t="inlineStr">
        <is>
          <t>avverkningsanmälan</t>
        </is>
      </c>
      <c r="C2095" t="inlineStr">
        <is>
          <t>Föryngringsavverkning</t>
        </is>
      </c>
      <c r="D2095" s="1" t="n">
        <v>45411</v>
      </c>
      <c r="E2095" s="1" t="n">
        <v>46323</v>
      </c>
      <c r="F2095" t="inlineStr">
        <is>
          <t>KALMAR LÄN</t>
        </is>
      </c>
      <c r="G2095" t="inlineStr">
        <is>
          <t>EMMABODA</t>
        </is>
      </c>
      <c r="I2095" t="n">
        <v>0.5</v>
      </c>
      <c r="J2095" t="n">
        <v>0</v>
      </c>
      <c r="K2095" t="n">
        <v>0</v>
      </c>
      <c r="L2095" t="n">
        <v>0</v>
      </c>
      <c r="M2095" t="n">
        <v>0</v>
      </c>
      <c r="N2095" t="n">
        <v>0</v>
      </c>
      <c r="O2095" t="n">
        <v>0</v>
      </c>
      <c r="P2095" t="n">
        <v>0</v>
      </c>
      <c r="Q2095" t="n">
        <v>0</v>
      </c>
      <c r="R2095" t="n">
        <v>0</v>
      </c>
      <c r="S2095" t="n">
        <v>0</v>
      </c>
      <c r="T2095" t="n">
        <v>0</v>
      </c>
      <c r="U2095" t="n">
        <v>0</v>
      </c>
      <c r="V2095" s="2" t="inlineStr"/>
    </row>
    <row r="2096" ht="15" customHeight="1">
      <c r="A2096" t="inlineStr">
        <is>
          <t>A 16825-2024</t>
        </is>
      </c>
      <c r="B2096" t="inlineStr">
        <is>
          <t>avverkningsanmälan</t>
        </is>
      </c>
      <c r="C2096" t="inlineStr">
        <is>
          <t>Föryngringsavverkning</t>
        </is>
      </c>
      <c r="D2096" s="1" t="n">
        <v>45411</v>
      </c>
      <c r="E2096" s="1" t="n">
        <v>46323</v>
      </c>
      <c r="F2096" t="inlineStr">
        <is>
          <t>KALMAR LÄN</t>
        </is>
      </c>
      <c r="G2096" t="inlineStr">
        <is>
          <t>VIMMERBY</t>
        </is>
      </c>
      <c r="I2096" t="n">
        <v>1</v>
      </c>
      <c r="J2096" t="n">
        <v>0</v>
      </c>
      <c r="K2096" t="n">
        <v>0</v>
      </c>
      <c r="L2096" t="n">
        <v>0</v>
      </c>
      <c r="M2096" t="n">
        <v>0</v>
      </c>
      <c r="N2096" t="n">
        <v>0</v>
      </c>
      <c r="O2096" t="n">
        <v>0</v>
      </c>
      <c r="P2096" t="n">
        <v>0</v>
      </c>
      <c r="Q2096" t="n">
        <v>0</v>
      </c>
      <c r="R2096" t="n">
        <v>0</v>
      </c>
      <c r="S2096" t="n">
        <v>0</v>
      </c>
      <c r="T2096" t="n">
        <v>0</v>
      </c>
      <c r="U2096" t="n">
        <v>0</v>
      </c>
      <c r="V2096" s="2" t="inlineStr"/>
    </row>
    <row r="2097" ht="15" customHeight="1">
      <c r="A2097" t="inlineStr">
        <is>
          <t>A 18330-2023</t>
        </is>
      </c>
      <c r="B2097" t="inlineStr">
        <is>
          <t>avverkningsanmälan</t>
        </is>
      </c>
      <c r="C2097" t="inlineStr">
        <is>
          <t>Föryngringsavverkning</t>
        </is>
      </c>
      <c r="D2097" s="1" t="n">
        <v>45041</v>
      </c>
      <c r="E2097" s="1" t="n">
        <v>46323</v>
      </c>
      <c r="F2097" t="inlineStr">
        <is>
          <t>KALMAR LÄN</t>
        </is>
      </c>
      <c r="G2097" t="inlineStr">
        <is>
          <t>VIMMERBY</t>
        </is>
      </c>
      <c r="I2097" t="n">
        <v>1.7</v>
      </c>
      <c r="J2097" t="n">
        <v>0</v>
      </c>
      <c r="K2097" t="n">
        <v>0</v>
      </c>
      <c r="L2097" t="n">
        <v>0</v>
      </c>
      <c r="M2097" t="n">
        <v>0</v>
      </c>
      <c r="N2097" t="n">
        <v>0</v>
      </c>
      <c r="O2097" t="n">
        <v>0</v>
      </c>
      <c r="P2097" t="n">
        <v>0</v>
      </c>
      <c r="Q2097" t="n">
        <v>0</v>
      </c>
      <c r="R2097" t="n">
        <v>0</v>
      </c>
      <c r="S2097" t="n">
        <v>0</v>
      </c>
      <c r="T2097" t="n">
        <v>0</v>
      </c>
      <c r="U2097" t="n">
        <v>0</v>
      </c>
      <c r="V2097" s="2" t="inlineStr"/>
    </row>
    <row r="2098" ht="15" customHeight="1">
      <c r="A2098" t="inlineStr">
        <is>
          <t>A 48933-2023</t>
        </is>
      </c>
      <c r="B2098" t="inlineStr">
        <is>
          <t>avverkningsanmälan</t>
        </is>
      </c>
      <c r="C2098" t="inlineStr">
        <is>
          <t>Föryngringsavverkning</t>
        </is>
      </c>
      <c r="D2098" s="1" t="n">
        <v>45209</v>
      </c>
      <c r="E2098" s="1" t="n">
        <v>46323</v>
      </c>
      <c r="F2098" t="inlineStr">
        <is>
          <t>KALMAR LÄN</t>
        </is>
      </c>
      <c r="G2098" t="inlineStr">
        <is>
          <t>KALMAR</t>
        </is>
      </c>
      <c r="I2098" t="n">
        <v>0.9</v>
      </c>
      <c r="J2098" t="n">
        <v>0</v>
      </c>
      <c r="K2098" t="n">
        <v>0</v>
      </c>
      <c r="L2098" t="n">
        <v>0</v>
      </c>
      <c r="M2098" t="n">
        <v>0</v>
      </c>
      <c r="N2098" t="n">
        <v>0</v>
      </c>
      <c r="O2098" t="n">
        <v>0</v>
      </c>
      <c r="P2098" t="n">
        <v>0</v>
      </c>
      <c r="Q2098" t="n">
        <v>0</v>
      </c>
      <c r="R2098" t="n">
        <v>0</v>
      </c>
      <c r="S2098" t="n">
        <v>0</v>
      </c>
      <c r="T2098" t="n">
        <v>0</v>
      </c>
      <c r="U2098" t="n">
        <v>0</v>
      </c>
      <c r="V2098" s="2" t="inlineStr"/>
    </row>
    <row r="2099" ht="15" customHeight="1">
      <c r="A2099" t="inlineStr">
        <is>
          <t>A 48943-2023</t>
        </is>
      </c>
      <c r="B2099" t="inlineStr">
        <is>
          <t>avverkningsanmälan</t>
        </is>
      </c>
      <c r="C2099" t="inlineStr">
        <is>
          <t>Föryngringsavverkning</t>
        </is>
      </c>
      <c r="D2099" s="1" t="n">
        <v>45209</v>
      </c>
      <c r="E2099" s="1" t="n">
        <v>46323</v>
      </c>
      <c r="F2099" t="inlineStr">
        <is>
          <t>KALMAR LÄN</t>
        </is>
      </c>
      <c r="G2099" t="inlineStr">
        <is>
          <t>KALMAR</t>
        </is>
      </c>
      <c r="I2099" t="n">
        <v>0.4</v>
      </c>
      <c r="J2099" t="n">
        <v>0</v>
      </c>
      <c r="K2099" t="n">
        <v>0</v>
      </c>
      <c r="L2099" t="n">
        <v>0</v>
      </c>
      <c r="M2099" t="n">
        <v>0</v>
      </c>
      <c r="N2099" t="n">
        <v>0</v>
      </c>
      <c r="O2099" t="n">
        <v>0</v>
      </c>
      <c r="P2099" t="n">
        <v>0</v>
      </c>
      <c r="Q2099" t="n">
        <v>0</v>
      </c>
      <c r="R2099" t="n">
        <v>0</v>
      </c>
      <c r="S2099" t="n">
        <v>0</v>
      </c>
      <c r="T2099" t="n">
        <v>0</v>
      </c>
      <c r="U2099" t="n">
        <v>0</v>
      </c>
      <c r="V2099" s="2" t="inlineStr"/>
    </row>
    <row r="2100" ht="15" customHeight="1">
      <c r="A2100" t="inlineStr">
        <is>
          <t>A 28254-2024</t>
        </is>
      </c>
      <c r="B2100" t="inlineStr">
        <is>
          <t>avverkningsanmälan</t>
        </is>
      </c>
      <c r="C2100" t="inlineStr">
        <is>
          <t>Föryngringsavverkning</t>
        </is>
      </c>
      <c r="D2100" s="1" t="n">
        <v>45477</v>
      </c>
      <c r="E2100" s="1" t="n">
        <v>46323</v>
      </c>
      <c r="F2100" t="inlineStr">
        <is>
          <t>KALMAR LÄN</t>
        </is>
      </c>
      <c r="G2100" t="inlineStr">
        <is>
          <t>HULTSFRED</t>
        </is>
      </c>
      <c r="I2100" t="n">
        <v>0.7</v>
      </c>
      <c r="J2100" t="n">
        <v>0</v>
      </c>
      <c r="K2100" t="n">
        <v>0</v>
      </c>
      <c r="L2100" t="n">
        <v>0</v>
      </c>
      <c r="M2100" t="n">
        <v>0</v>
      </c>
      <c r="N2100" t="n">
        <v>0</v>
      </c>
      <c r="O2100" t="n">
        <v>0</v>
      </c>
      <c r="P2100" t="n">
        <v>0</v>
      </c>
      <c r="Q2100" t="n">
        <v>0</v>
      </c>
      <c r="R2100" t="n">
        <v>0</v>
      </c>
      <c r="S2100" t="n">
        <v>0</v>
      </c>
      <c r="T2100" t="n">
        <v>0</v>
      </c>
      <c r="U2100" t="n">
        <v>0</v>
      </c>
      <c r="V2100" s="2" t="inlineStr"/>
    </row>
    <row r="2101" ht="15" customHeight="1">
      <c r="A2101" t="inlineStr">
        <is>
          <t>A 32118-2024</t>
        </is>
      </c>
      <c r="B2101" t="inlineStr">
        <is>
          <t>avverkningsanmälan</t>
        </is>
      </c>
      <c r="C2101" t="inlineStr">
        <is>
          <t>Föryngringsavverkning</t>
        </is>
      </c>
      <c r="D2101" s="1" t="n">
        <v>45511</v>
      </c>
      <c r="E2101" s="1" t="n">
        <v>46323</v>
      </c>
      <c r="F2101" t="inlineStr">
        <is>
          <t>KALMAR LÄN</t>
        </is>
      </c>
      <c r="G2101" t="inlineStr">
        <is>
          <t>HULTSFRED</t>
        </is>
      </c>
      <c r="I2101" t="n">
        <v>4.2</v>
      </c>
      <c r="J2101" t="n">
        <v>0</v>
      </c>
      <c r="K2101" t="n">
        <v>0</v>
      </c>
      <c r="L2101" t="n">
        <v>0</v>
      </c>
      <c r="M2101" t="n">
        <v>0</v>
      </c>
      <c r="N2101" t="n">
        <v>0</v>
      </c>
      <c r="O2101" t="n">
        <v>0</v>
      </c>
      <c r="P2101" t="n">
        <v>0</v>
      </c>
      <c r="Q2101" t="n">
        <v>0</v>
      </c>
      <c r="R2101" t="n">
        <v>0</v>
      </c>
      <c r="S2101" t="n">
        <v>0</v>
      </c>
      <c r="T2101" t="n">
        <v>0</v>
      </c>
      <c r="U2101" t="n">
        <v>0</v>
      </c>
      <c r="V2101" s="2" t="inlineStr"/>
    </row>
    <row r="2102" ht="15" customHeight="1">
      <c r="A2102" t="inlineStr">
        <is>
          <t>A 51647-2023</t>
        </is>
      </c>
      <c r="B2102" t="inlineStr">
        <is>
          <t>avverkningsanmälan</t>
        </is>
      </c>
      <c r="C2102" t="inlineStr">
        <is>
          <t>Föryngringsavverkning</t>
        </is>
      </c>
      <c r="D2102" s="1" t="n">
        <v>45222</v>
      </c>
      <c r="E2102" s="1" t="n">
        <v>46323</v>
      </c>
      <c r="F2102" t="inlineStr">
        <is>
          <t>KALMAR LÄN</t>
        </is>
      </c>
      <c r="G2102" t="inlineStr">
        <is>
          <t>TORSÅS</t>
        </is>
      </c>
      <c r="I2102" t="n">
        <v>3.8</v>
      </c>
      <c r="J2102" t="n">
        <v>0</v>
      </c>
      <c r="K2102" t="n">
        <v>0</v>
      </c>
      <c r="L2102" t="n">
        <v>0</v>
      </c>
      <c r="M2102" t="n">
        <v>0</v>
      </c>
      <c r="N2102" t="n">
        <v>0</v>
      </c>
      <c r="O2102" t="n">
        <v>0</v>
      </c>
      <c r="P2102" t="n">
        <v>0</v>
      </c>
      <c r="Q2102" t="n">
        <v>0</v>
      </c>
      <c r="R2102" t="n">
        <v>0</v>
      </c>
      <c r="S2102" t="n">
        <v>0</v>
      </c>
      <c r="T2102" t="n">
        <v>0</v>
      </c>
      <c r="U2102" t="n">
        <v>0</v>
      </c>
      <c r="V2102" s="2" t="inlineStr"/>
    </row>
    <row r="2103" ht="15" customHeight="1">
      <c r="A2103" t="inlineStr">
        <is>
          <t>A 6896-2024</t>
        </is>
      </c>
      <c r="B2103" t="inlineStr">
        <is>
          <t>avverkningsanmälan</t>
        </is>
      </c>
      <c r="C2103" t="inlineStr">
        <is>
          <t>Föryngringsavverkning</t>
        </is>
      </c>
      <c r="D2103" s="1" t="n">
        <v>45342</v>
      </c>
      <c r="E2103" s="1" t="n">
        <v>46323</v>
      </c>
      <c r="F2103" t="inlineStr">
        <is>
          <t>KALMAR LÄN</t>
        </is>
      </c>
      <c r="G2103" t="inlineStr">
        <is>
          <t>NYBRO</t>
        </is>
      </c>
      <c r="I2103" t="n">
        <v>1.6</v>
      </c>
      <c r="J2103" t="n">
        <v>0</v>
      </c>
      <c r="K2103" t="n">
        <v>0</v>
      </c>
      <c r="L2103" t="n">
        <v>0</v>
      </c>
      <c r="M2103" t="n">
        <v>0</v>
      </c>
      <c r="N2103" t="n">
        <v>0</v>
      </c>
      <c r="O2103" t="n">
        <v>0</v>
      </c>
      <c r="P2103" t="n">
        <v>0</v>
      </c>
      <c r="Q2103" t="n">
        <v>0</v>
      </c>
      <c r="R2103" t="n">
        <v>0</v>
      </c>
      <c r="S2103" t="n">
        <v>0</v>
      </c>
      <c r="T2103" t="n">
        <v>0</v>
      </c>
      <c r="U2103" t="n">
        <v>0</v>
      </c>
      <c r="V2103" s="2" t="inlineStr"/>
    </row>
    <row r="2104" ht="15" customHeight="1">
      <c r="A2104" t="inlineStr">
        <is>
          <t>A 41649-2022</t>
        </is>
      </c>
      <c r="B2104" t="inlineStr">
        <is>
          <t>avverkningsanmälan</t>
        </is>
      </c>
      <c r="C2104" t="inlineStr">
        <is>
          <t>Föryngringsavverkning</t>
        </is>
      </c>
      <c r="D2104" s="1" t="n">
        <v>44827</v>
      </c>
      <c r="E2104" s="1" t="n">
        <v>46323</v>
      </c>
      <c r="F2104" t="inlineStr">
        <is>
          <t>KALMAR LÄN</t>
        </is>
      </c>
      <c r="G2104" t="inlineStr">
        <is>
          <t>NYBRO</t>
        </is>
      </c>
      <c r="I2104" t="n">
        <v>12.1</v>
      </c>
      <c r="J2104" t="n">
        <v>0</v>
      </c>
      <c r="K2104" t="n">
        <v>0</v>
      </c>
      <c r="L2104" t="n">
        <v>0</v>
      </c>
      <c r="M2104" t="n">
        <v>0</v>
      </c>
      <c r="N2104" t="n">
        <v>0</v>
      </c>
      <c r="O2104" t="n">
        <v>0</v>
      </c>
      <c r="P2104" t="n">
        <v>0</v>
      </c>
      <c r="Q2104" t="n">
        <v>0</v>
      </c>
      <c r="R2104" t="n">
        <v>0</v>
      </c>
      <c r="S2104" t="n">
        <v>0</v>
      </c>
      <c r="T2104" t="n">
        <v>0</v>
      </c>
      <c r="U2104" t="n">
        <v>0</v>
      </c>
      <c r="V2104" s="2" t="inlineStr"/>
    </row>
    <row r="2105" ht="15" customHeight="1">
      <c r="A2105" t="inlineStr">
        <is>
          <t>A 60147-2024</t>
        </is>
      </c>
      <c r="B2105" t="inlineStr">
        <is>
          <t>avverkningsanmälan</t>
        </is>
      </c>
      <c r="C2105" t="inlineStr">
        <is>
          <t>Föryngringsavverkning</t>
        </is>
      </c>
      <c r="D2105" s="1" t="n">
        <v>45642</v>
      </c>
      <c r="E2105" s="1" t="n">
        <v>46323</v>
      </c>
      <c r="F2105" t="inlineStr">
        <is>
          <t>KALMAR LÄN</t>
        </is>
      </c>
      <c r="G2105" t="inlineStr">
        <is>
          <t>VÄSTERVIK</t>
        </is>
      </c>
      <c r="I2105" t="n">
        <v>0.5</v>
      </c>
      <c r="J2105" t="n">
        <v>0</v>
      </c>
      <c r="K2105" t="n">
        <v>0</v>
      </c>
      <c r="L2105" t="n">
        <v>0</v>
      </c>
      <c r="M2105" t="n">
        <v>0</v>
      </c>
      <c r="N2105" t="n">
        <v>0</v>
      </c>
      <c r="O2105" t="n">
        <v>0</v>
      </c>
      <c r="P2105" t="n">
        <v>0</v>
      </c>
      <c r="Q2105" t="n">
        <v>0</v>
      </c>
      <c r="R2105" t="n">
        <v>0</v>
      </c>
      <c r="S2105" t="n">
        <v>0</v>
      </c>
      <c r="T2105" t="n">
        <v>0</v>
      </c>
      <c r="U2105" t="n">
        <v>0</v>
      </c>
      <c r="V2105" s="2" t="inlineStr"/>
    </row>
    <row r="2106" ht="15" customHeight="1">
      <c r="A2106" t="inlineStr">
        <is>
          <t>A 22059-2023</t>
        </is>
      </c>
      <c r="B2106" t="inlineStr">
        <is>
          <t>avverkningsanmälan</t>
        </is>
      </c>
      <c r="C2106" t="inlineStr">
        <is>
          <t>Föryngringsavverkning</t>
        </is>
      </c>
      <c r="D2106" s="1" t="n">
        <v>45069</v>
      </c>
      <c r="E2106" s="1" t="n">
        <v>46323</v>
      </c>
      <c r="F2106" t="inlineStr">
        <is>
          <t>KALMAR LÄN</t>
        </is>
      </c>
      <c r="G2106" t="inlineStr">
        <is>
          <t>NYBRO</t>
        </is>
      </c>
      <c r="I2106" t="n">
        <v>1.2</v>
      </c>
      <c r="J2106" t="n">
        <v>0</v>
      </c>
      <c r="K2106" t="n">
        <v>0</v>
      </c>
      <c r="L2106" t="n">
        <v>0</v>
      </c>
      <c r="M2106" t="n">
        <v>0</v>
      </c>
      <c r="N2106" t="n">
        <v>0</v>
      </c>
      <c r="O2106" t="n">
        <v>0</v>
      </c>
      <c r="P2106" t="n">
        <v>0</v>
      </c>
      <c r="Q2106" t="n">
        <v>0</v>
      </c>
      <c r="R2106" t="n">
        <v>0</v>
      </c>
      <c r="S2106" t="n">
        <v>0</v>
      </c>
      <c r="T2106" t="n">
        <v>0</v>
      </c>
      <c r="U2106" t="n">
        <v>0</v>
      </c>
      <c r="V2106" s="2" t="inlineStr"/>
    </row>
    <row r="2107" ht="15" customHeight="1">
      <c r="A2107" t="inlineStr">
        <is>
          <t>A 40255-2022</t>
        </is>
      </c>
      <c r="B2107" t="inlineStr">
        <is>
          <t>avverkningsanmälan</t>
        </is>
      </c>
      <c r="C2107" t="inlineStr">
        <is>
          <t>Föryngringsavverkning</t>
        </is>
      </c>
      <c r="D2107" s="1" t="n">
        <v>44820</v>
      </c>
      <c r="E2107" s="1" t="n">
        <v>46323</v>
      </c>
      <c r="F2107" t="inlineStr">
        <is>
          <t>KALMAR LÄN</t>
        </is>
      </c>
      <c r="G2107" t="inlineStr">
        <is>
          <t>OSKARSHAMN</t>
        </is>
      </c>
      <c r="I2107" t="n">
        <v>2</v>
      </c>
      <c r="J2107" t="n">
        <v>0</v>
      </c>
      <c r="K2107" t="n">
        <v>0</v>
      </c>
      <c r="L2107" t="n">
        <v>0</v>
      </c>
      <c r="M2107" t="n">
        <v>0</v>
      </c>
      <c r="N2107" t="n">
        <v>0</v>
      </c>
      <c r="O2107" t="n">
        <v>0</v>
      </c>
      <c r="P2107" t="n">
        <v>0</v>
      </c>
      <c r="Q2107" t="n">
        <v>0</v>
      </c>
      <c r="R2107" t="n">
        <v>0</v>
      </c>
      <c r="S2107" t="n">
        <v>0</v>
      </c>
      <c r="T2107" t="n">
        <v>0</v>
      </c>
      <c r="U2107" t="n">
        <v>0</v>
      </c>
      <c r="V2107" s="2" t="inlineStr"/>
    </row>
    <row r="2108" ht="15" customHeight="1">
      <c r="A2108" t="inlineStr">
        <is>
          <t>A 9369-2024</t>
        </is>
      </c>
      <c r="B2108" t="inlineStr">
        <is>
          <t>avverkningsanmälan</t>
        </is>
      </c>
      <c r="C2108" t="inlineStr">
        <is>
          <t>Föryngringsavverkning</t>
        </is>
      </c>
      <c r="D2108" s="1" t="n">
        <v>45359</v>
      </c>
      <c r="E2108" s="1" t="n">
        <v>46323</v>
      </c>
      <c r="F2108" t="inlineStr">
        <is>
          <t>KALMAR LÄN</t>
        </is>
      </c>
      <c r="G2108" t="inlineStr">
        <is>
          <t>HULTSFRED</t>
        </is>
      </c>
      <c r="I2108" t="n">
        <v>1.8</v>
      </c>
      <c r="J2108" t="n">
        <v>0</v>
      </c>
      <c r="K2108" t="n">
        <v>0</v>
      </c>
      <c r="L2108" t="n">
        <v>0</v>
      </c>
      <c r="M2108" t="n">
        <v>0</v>
      </c>
      <c r="N2108" t="n">
        <v>0</v>
      </c>
      <c r="O2108" t="n">
        <v>0</v>
      </c>
      <c r="P2108" t="n">
        <v>0</v>
      </c>
      <c r="Q2108" t="n">
        <v>0</v>
      </c>
      <c r="R2108" t="n">
        <v>0</v>
      </c>
      <c r="S2108" t="n">
        <v>0</v>
      </c>
      <c r="T2108" t="n">
        <v>0</v>
      </c>
      <c r="U2108" t="n">
        <v>0</v>
      </c>
      <c r="V2108" s="2" t="inlineStr"/>
    </row>
    <row r="2109" ht="15" customHeight="1">
      <c r="A2109" t="inlineStr">
        <is>
          <t>A 26087-2023</t>
        </is>
      </c>
      <c r="B2109" t="inlineStr">
        <is>
          <t>avverkningsanmälan</t>
        </is>
      </c>
      <c r="C2109" t="inlineStr">
        <is>
          <t>Föryngringsavverkning</t>
        </is>
      </c>
      <c r="D2109" s="1" t="n">
        <v>45091</v>
      </c>
      <c r="E2109" s="1" t="n">
        <v>46323</v>
      </c>
      <c r="F2109" t="inlineStr">
        <is>
          <t>KALMAR LÄN</t>
        </is>
      </c>
      <c r="G2109" t="inlineStr">
        <is>
          <t>KALMAR</t>
        </is>
      </c>
      <c r="I2109" t="n">
        <v>1</v>
      </c>
      <c r="J2109" t="n">
        <v>0</v>
      </c>
      <c r="K2109" t="n">
        <v>0</v>
      </c>
      <c r="L2109" t="n">
        <v>0</v>
      </c>
      <c r="M2109" t="n">
        <v>0</v>
      </c>
      <c r="N2109" t="n">
        <v>0</v>
      </c>
      <c r="O2109" t="n">
        <v>0</v>
      </c>
      <c r="P2109" t="n">
        <v>0</v>
      </c>
      <c r="Q2109" t="n">
        <v>0</v>
      </c>
      <c r="R2109" t="n">
        <v>0</v>
      </c>
      <c r="S2109" t="n">
        <v>0</v>
      </c>
      <c r="T2109" t="n">
        <v>0</v>
      </c>
      <c r="U2109" t="n">
        <v>0</v>
      </c>
      <c r="V2109" s="2" t="inlineStr"/>
    </row>
    <row r="2110" ht="15" customHeight="1">
      <c r="A2110" t="inlineStr">
        <is>
          <t>A 23191-2025</t>
        </is>
      </c>
      <c r="B2110" t="inlineStr">
        <is>
          <t>avverkningsanmälan</t>
        </is>
      </c>
      <c r="C2110" t="inlineStr">
        <is>
          <t>Föryngringsavverkning</t>
        </is>
      </c>
      <c r="D2110" s="1" t="n">
        <v>45791</v>
      </c>
      <c r="E2110" s="1" t="n">
        <v>46323</v>
      </c>
      <c r="F2110" t="inlineStr">
        <is>
          <t>KALMAR LÄN</t>
        </is>
      </c>
      <c r="G2110" t="inlineStr">
        <is>
          <t>NYBRO</t>
        </is>
      </c>
      <c r="I2110" t="n">
        <v>1.4</v>
      </c>
      <c r="J2110" t="n">
        <v>0</v>
      </c>
      <c r="K2110" t="n">
        <v>0</v>
      </c>
      <c r="L2110" t="n">
        <v>0</v>
      </c>
      <c r="M2110" t="n">
        <v>0</v>
      </c>
      <c r="N2110" t="n">
        <v>0</v>
      </c>
      <c r="O2110" t="n">
        <v>0</v>
      </c>
      <c r="P2110" t="n">
        <v>0</v>
      </c>
      <c r="Q2110" t="n">
        <v>0</v>
      </c>
      <c r="R2110" t="n">
        <v>0</v>
      </c>
      <c r="S2110" t="n">
        <v>0</v>
      </c>
      <c r="T2110" t="n">
        <v>0</v>
      </c>
      <c r="U2110" t="n">
        <v>0</v>
      </c>
      <c r="V2110" s="2" t="inlineStr"/>
    </row>
    <row r="2111" ht="15" customHeight="1">
      <c r="A2111" t="inlineStr">
        <is>
          <t>A 37060-2023</t>
        </is>
      </c>
      <c r="B2111" t="inlineStr">
        <is>
          <t>avverkningsanmälan</t>
        </is>
      </c>
      <c r="C2111" t="inlineStr">
        <is>
          <t>Avverkning för annat ändamål</t>
        </is>
      </c>
      <c r="D2111" s="1" t="n">
        <v>45155</v>
      </c>
      <c r="E2111" s="1" t="n">
        <v>46323</v>
      </c>
      <c r="F2111" t="inlineStr">
        <is>
          <t>KALMAR LÄN</t>
        </is>
      </c>
      <c r="G2111" t="inlineStr">
        <is>
          <t>EMMABODA</t>
        </is>
      </c>
      <c r="I2111" t="n">
        <v>0.6</v>
      </c>
      <c r="J2111" t="n">
        <v>0</v>
      </c>
      <c r="K2111" t="n">
        <v>0</v>
      </c>
      <c r="L2111" t="n">
        <v>0</v>
      </c>
      <c r="M2111" t="n">
        <v>0</v>
      </c>
      <c r="N2111" t="n">
        <v>0</v>
      </c>
      <c r="O2111" t="n">
        <v>0</v>
      </c>
      <c r="P2111" t="n">
        <v>0</v>
      </c>
      <c r="Q2111" t="n">
        <v>0</v>
      </c>
      <c r="R2111" t="n">
        <v>0</v>
      </c>
      <c r="S2111" t="n">
        <v>0</v>
      </c>
      <c r="T2111" t="n">
        <v>0</v>
      </c>
      <c r="U2111" t="n">
        <v>0</v>
      </c>
      <c r="V2111" s="2" t="inlineStr"/>
    </row>
    <row r="2112" ht="15" customHeight="1">
      <c r="A2112" t="inlineStr">
        <is>
          <t>A 53447-2024</t>
        </is>
      </c>
      <c r="B2112" t="inlineStr">
        <is>
          <t>avverkningsanmälan</t>
        </is>
      </c>
      <c r="C2112" t="inlineStr">
        <is>
          <t>Föryngringsavverkning</t>
        </is>
      </c>
      <c r="D2112" s="1" t="n">
        <v>45614</v>
      </c>
      <c r="E2112" s="1" t="n">
        <v>46323</v>
      </c>
      <c r="F2112" t="inlineStr">
        <is>
          <t>KALMAR LÄN</t>
        </is>
      </c>
      <c r="G2112" t="inlineStr">
        <is>
          <t>EMMABODA</t>
        </is>
      </c>
      <c r="I2112" t="n">
        <v>1.1</v>
      </c>
      <c r="J2112" t="n">
        <v>0</v>
      </c>
      <c r="K2112" t="n">
        <v>0</v>
      </c>
      <c r="L2112" t="n">
        <v>0</v>
      </c>
      <c r="M2112" t="n">
        <v>0</v>
      </c>
      <c r="N2112" t="n">
        <v>0</v>
      </c>
      <c r="O2112" t="n">
        <v>0</v>
      </c>
      <c r="P2112" t="n">
        <v>0</v>
      </c>
      <c r="Q2112" t="n">
        <v>0</v>
      </c>
      <c r="R2112" t="n">
        <v>0</v>
      </c>
      <c r="S2112" t="n">
        <v>0</v>
      </c>
      <c r="T2112" t="n">
        <v>0</v>
      </c>
      <c r="U2112" t="n">
        <v>0</v>
      </c>
      <c r="V2112" s="2" t="inlineStr"/>
    </row>
    <row r="2113" ht="15" customHeight="1">
      <c r="A2113" t="inlineStr">
        <is>
          <t>A 58100-2024</t>
        </is>
      </c>
      <c r="B2113" t="inlineStr">
        <is>
          <t>avverkningsanmälan</t>
        </is>
      </c>
      <c r="C2113" t="inlineStr">
        <is>
          <t>Föryngringsavverkning</t>
        </is>
      </c>
      <c r="D2113" s="1" t="n">
        <v>45632</v>
      </c>
      <c r="E2113" s="1" t="n">
        <v>46323</v>
      </c>
      <c r="F2113" t="inlineStr">
        <is>
          <t>KALMAR LÄN</t>
        </is>
      </c>
      <c r="G2113" t="inlineStr">
        <is>
          <t>VIMMERBY</t>
        </is>
      </c>
      <c r="I2113" t="n">
        <v>0.9</v>
      </c>
      <c r="J2113" t="n">
        <v>0</v>
      </c>
      <c r="K2113" t="n">
        <v>0</v>
      </c>
      <c r="L2113" t="n">
        <v>0</v>
      </c>
      <c r="M2113" t="n">
        <v>0</v>
      </c>
      <c r="N2113" t="n">
        <v>0</v>
      </c>
      <c r="O2113" t="n">
        <v>0</v>
      </c>
      <c r="P2113" t="n">
        <v>0</v>
      </c>
      <c r="Q2113" t="n">
        <v>0</v>
      </c>
      <c r="R2113" t="n">
        <v>0</v>
      </c>
      <c r="S2113" t="n">
        <v>0</v>
      </c>
      <c r="T2113" t="n">
        <v>0</v>
      </c>
      <c r="U2113" t="n">
        <v>0</v>
      </c>
      <c r="V2113" s="2" t="inlineStr"/>
    </row>
    <row r="2114" ht="15" customHeight="1">
      <c r="A2114" t="inlineStr">
        <is>
          <t>A 12390-2023</t>
        </is>
      </c>
      <c r="B2114" t="inlineStr">
        <is>
          <t>avverkningsanmälan</t>
        </is>
      </c>
      <c r="C2114" t="inlineStr">
        <is>
          <t>Föryngringsavverkning</t>
        </is>
      </c>
      <c r="D2114" s="1" t="n">
        <v>44999</v>
      </c>
      <c r="E2114" s="1" t="n">
        <v>46323</v>
      </c>
      <c r="F2114" t="inlineStr">
        <is>
          <t>KALMAR LÄN</t>
        </is>
      </c>
      <c r="G2114" t="inlineStr">
        <is>
          <t>HULTSFRED</t>
        </is>
      </c>
      <c r="I2114" t="n">
        <v>0.5</v>
      </c>
      <c r="J2114" t="n">
        <v>0</v>
      </c>
      <c r="K2114" t="n">
        <v>0</v>
      </c>
      <c r="L2114" t="n">
        <v>0</v>
      </c>
      <c r="M2114" t="n">
        <v>0</v>
      </c>
      <c r="N2114" t="n">
        <v>0</v>
      </c>
      <c r="O2114" t="n">
        <v>0</v>
      </c>
      <c r="P2114" t="n">
        <v>0</v>
      </c>
      <c r="Q2114" t="n">
        <v>0</v>
      </c>
      <c r="R2114" t="n">
        <v>0</v>
      </c>
      <c r="S2114" t="n">
        <v>0</v>
      </c>
      <c r="T2114" t="n">
        <v>0</v>
      </c>
      <c r="U2114" t="n">
        <v>0</v>
      </c>
      <c r="V2114" s="2" t="inlineStr"/>
    </row>
    <row r="2115" ht="15" customHeight="1">
      <c r="A2115" t="inlineStr">
        <is>
          <t>A 12396-2023</t>
        </is>
      </c>
      <c r="B2115" t="inlineStr">
        <is>
          <t>avverkningsanmälan</t>
        </is>
      </c>
      <c r="C2115" t="inlineStr">
        <is>
          <t>Föryngringsavverkning</t>
        </is>
      </c>
      <c r="D2115" s="1" t="n">
        <v>44999</v>
      </c>
      <c r="E2115" s="1" t="n">
        <v>46323</v>
      </c>
      <c r="F2115" t="inlineStr">
        <is>
          <t>KALMAR LÄN</t>
        </is>
      </c>
      <c r="G2115" t="inlineStr">
        <is>
          <t>HÖGSBY</t>
        </is>
      </c>
      <c r="I2115" t="n">
        <v>2.6</v>
      </c>
      <c r="J2115" t="n">
        <v>0</v>
      </c>
      <c r="K2115" t="n">
        <v>0</v>
      </c>
      <c r="L2115" t="n">
        <v>0</v>
      </c>
      <c r="M2115" t="n">
        <v>0</v>
      </c>
      <c r="N2115" t="n">
        <v>0</v>
      </c>
      <c r="O2115" t="n">
        <v>0</v>
      </c>
      <c r="P2115" t="n">
        <v>0</v>
      </c>
      <c r="Q2115" t="n">
        <v>0</v>
      </c>
      <c r="R2115" t="n">
        <v>0</v>
      </c>
      <c r="S2115" t="n">
        <v>0</v>
      </c>
      <c r="T2115" t="n">
        <v>0</v>
      </c>
      <c r="U2115" t="n">
        <v>0</v>
      </c>
      <c r="V2115" s="2" t="inlineStr"/>
    </row>
    <row r="2116" ht="15" customHeight="1">
      <c r="A2116" t="inlineStr">
        <is>
          <t>A 12410-2023</t>
        </is>
      </c>
      <c r="B2116" t="inlineStr">
        <is>
          <t>avverkningsanmälan</t>
        </is>
      </c>
      <c r="C2116" t="inlineStr">
        <is>
          <t>Föryngringsavverkning</t>
        </is>
      </c>
      <c r="D2116" s="1" t="n">
        <v>44999</v>
      </c>
      <c r="E2116" s="1" t="n">
        <v>46323</v>
      </c>
      <c r="F2116" t="inlineStr">
        <is>
          <t>KALMAR LÄN</t>
        </is>
      </c>
      <c r="G2116" t="inlineStr">
        <is>
          <t>NYBRO</t>
        </is>
      </c>
      <c r="I2116" t="n">
        <v>0.8</v>
      </c>
      <c r="J2116" t="n">
        <v>0</v>
      </c>
      <c r="K2116" t="n">
        <v>0</v>
      </c>
      <c r="L2116" t="n">
        <v>0</v>
      </c>
      <c r="M2116" t="n">
        <v>0</v>
      </c>
      <c r="N2116" t="n">
        <v>0</v>
      </c>
      <c r="O2116" t="n">
        <v>0</v>
      </c>
      <c r="P2116" t="n">
        <v>0</v>
      </c>
      <c r="Q2116" t="n">
        <v>0</v>
      </c>
      <c r="R2116" t="n">
        <v>0</v>
      </c>
      <c r="S2116" t="n">
        <v>0</v>
      </c>
      <c r="T2116" t="n">
        <v>0</v>
      </c>
      <c r="U2116" t="n">
        <v>0</v>
      </c>
      <c r="V2116" s="2" t="inlineStr"/>
    </row>
    <row r="2117" ht="15" customHeight="1">
      <c r="A2117" t="inlineStr">
        <is>
          <t>A 62941-2023</t>
        </is>
      </c>
      <c r="B2117" t="inlineStr">
        <is>
          <t>avverkningsanmälan</t>
        </is>
      </c>
      <c r="C2117" t="inlineStr">
        <is>
          <t>Föryngringsavverkning</t>
        </is>
      </c>
      <c r="D2117" s="1" t="n">
        <v>45272</v>
      </c>
      <c r="E2117" s="1" t="n">
        <v>46323</v>
      </c>
      <c r="F2117" t="inlineStr">
        <is>
          <t>KALMAR LÄN</t>
        </is>
      </c>
      <c r="G2117" t="inlineStr">
        <is>
          <t>KALMAR</t>
        </is>
      </c>
      <c r="I2117" t="n">
        <v>0.7</v>
      </c>
      <c r="J2117" t="n">
        <v>0</v>
      </c>
      <c r="K2117" t="n">
        <v>0</v>
      </c>
      <c r="L2117" t="n">
        <v>0</v>
      </c>
      <c r="M2117" t="n">
        <v>0</v>
      </c>
      <c r="N2117" t="n">
        <v>0</v>
      </c>
      <c r="O2117" t="n">
        <v>0</v>
      </c>
      <c r="P2117" t="n">
        <v>0</v>
      </c>
      <c r="Q2117" t="n">
        <v>0</v>
      </c>
      <c r="R2117" t="n">
        <v>0</v>
      </c>
      <c r="S2117" t="n">
        <v>0</v>
      </c>
      <c r="T2117" t="n">
        <v>0</v>
      </c>
      <c r="U2117" t="n">
        <v>0</v>
      </c>
      <c r="V2117" s="2" t="inlineStr"/>
    </row>
    <row r="2118" ht="15" customHeight="1">
      <c r="A2118" t="inlineStr">
        <is>
          <t>A 38844-2023</t>
        </is>
      </c>
      <c r="B2118" t="inlineStr">
        <is>
          <t>avverkningsanmälan</t>
        </is>
      </c>
      <c r="C2118" t="inlineStr">
        <is>
          <t>Föryngringsavverkning</t>
        </is>
      </c>
      <c r="D2118" s="1" t="n">
        <v>45163</v>
      </c>
      <c r="E2118" s="1" t="n">
        <v>46323</v>
      </c>
      <c r="F2118" t="inlineStr">
        <is>
          <t>KALMAR LÄN</t>
        </is>
      </c>
      <c r="G2118" t="inlineStr">
        <is>
          <t>NYBRO</t>
        </is>
      </c>
      <c r="I2118" t="n">
        <v>0.5</v>
      </c>
      <c r="J2118" t="n">
        <v>0</v>
      </c>
      <c r="K2118" t="n">
        <v>0</v>
      </c>
      <c r="L2118" t="n">
        <v>0</v>
      </c>
      <c r="M2118" t="n">
        <v>0</v>
      </c>
      <c r="N2118" t="n">
        <v>0</v>
      </c>
      <c r="O2118" t="n">
        <v>0</v>
      </c>
      <c r="P2118" t="n">
        <v>0</v>
      </c>
      <c r="Q2118" t="n">
        <v>0</v>
      </c>
      <c r="R2118" t="n">
        <v>0</v>
      </c>
      <c r="S2118" t="n">
        <v>0</v>
      </c>
      <c r="T2118" t="n">
        <v>0</v>
      </c>
      <c r="U2118" t="n">
        <v>0</v>
      </c>
      <c r="V2118" s="2" t="inlineStr"/>
    </row>
    <row r="2119" ht="15" customHeight="1">
      <c r="A2119" t="inlineStr">
        <is>
          <t>A 9050-2025</t>
        </is>
      </c>
      <c r="B2119" t="inlineStr">
        <is>
          <t>avverkningsanmälan</t>
        </is>
      </c>
      <c r="C2119" t="inlineStr">
        <is>
          <t>Avverkning för att bevara och utveckla /försöksver</t>
        </is>
      </c>
      <c r="D2119" s="1" t="n">
        <v>45713</v>
      </c>
      <c r="E2119" s="1" t="n">
        <v>46323</v>
      </c>
      <c r="F2119" t="inlineStr">
        <is>
          <t>KALMAR LÄN</t>
        </is>
      </c>
      <c r="G2119" t="inlineStr">
        <is>
          <t>BORGHOLM</t>
        </is>
      </c>
      <c r="H2119" t="inlineStr">
        <is>
          <t>Sveaskog</t>
        </is>
      </c>
      <c r="I2119" t="n">
        <v>2.5</v>
      </c>
      <c r="J2119" t="n">
        <v>0</v>
      </c>
      <c r="K2119" t="n">
        <v>0</v>
      </c>
      <c r="L2119" t="n">
        <v>0</v>
      </c>
      <c r="M2119" t="n">
        <v>0</v>
      </c>
      <c r="N2119" t="n">
        <v>0</v>
      </c>
      <c r="O2119" t="n">
        <v>0</v>
      </c>
      <c r="P2119" t="n">
        <v>0</v>
      </c>
      <c r="Q2119" t="n">
        <v>0</v>
      </c>
      <c r="R2119" t="n">
        <v>0</v>
      </c>
      <c r="S2119" t="n">
        <v>0</v>
      </c>
      <c r="T2119" t="n">
        <v>0</v>
      </c>
      <c r="U2119" t="n">
        <v>0</v>
      </c>
      <c r="V2119" s="2" t="inlineStr"/>
    </row>
    <row r="2120" ht="15" customHeight="1">
      <c r="A2120" t="inlineStr">
        <is>
          <t>A 27993-2022</t>
        </is>
      </c>
      <c r="B2120" t="inlineStr">
        <is>
          <t>avverkningsanmälan</t>
        </is>
      </c>
      <c r="C2120" t="inlineStr">
        <is>
          <t>Föryngringsavverkning</t>
        </is>
      </c>
      <c r="D2120" s="1" t="n">
        <v>44745</v>
      </c>
      <c r="E2120" s="1" t="n">
        <v>46323</v>
      </c>
      <c r="F2120" t="inlineStr">
        <is>
          <t>KALMAR LÄN</t>
        </is>
      </c>
      <c r="G2120" t="inlineStr">
        <is>
          <t>VIMMERBY</t>
        </is>
      </c>
      <c r="I2120" t="n">
        <v>2.8</v>
      </c>
      <c r="J2120" t="n">
        <v>0</v>
      </c>
      <c r="K2120" t="n">
        <v>0</v>
      </c>
      <c r="L2120" t="n">
        <v>0</v>
      </c>
      <c r="M2120" t="n">
        <v>0</v>
      </c>
      <c r="N2120" t="n">
        <v>0</v>
      </c>
      <c r="O2120" t="n">
        <v>0</v>
      </c>
      <c r="P2120" t="n">
        <v>0</v>
      </c>
      <c r="Q2120" t="n">
        <v>0</v>
      </c>
      <c r="R2120" t="n">
        <v>0</v>
      </c>
      <c r="S2120" t="n">
        <v>0</v>
      </c>
      <c r="T2120" t="n">
        <v>0</v>
      </c>
      <c r="U2120" t="n">
        <v>0</v>
      </c>
      <c r="V2120" s="2" t="inlineStr"/>
    </row>
    <row r="2121" ht="15" customHeight="1">
      <c r="A2121" t="inlineStr">
        <is>
          <t>A 12033-2024</t>
        </is>
      </c>
      <c r="B2121" t="inlineStr">
        <is>
          <t>avverkningsanmälan</t>
        </is>
      </c>
      <c r="C2121" t="inlineStr">
        <is>
          <t>Föryngringsavverkning</t>
        </is>
      </c>
      <c r="D2121" s="1" t="n">
        <v>45377</v>
      </c>
      <c r="E2121" s="1" t="n">
        <v>46323</v>
      </c>
      <c r="F2121" t="inlineStr">
        <is>
          <t>KALMAR LÄN</t>
        </is>
      </c>
      <c r="G2121" t="inlineStr">
        <is>
          <t>VIMMERBY</t>
        </is>
      </c>
      <c r="I2121" t="n">
        <v>1.6</v>
      </c>
      <c r="J2121" t="n">
        <v>0</v>
      </c>
      <c r="K2121" t="n">
        <v>0</v>
      </c>
      <c r="L2121" t="n">
        <v>0</v>
      </c>
      <c r="M2121" t="n">
        <v>0</v>
      </c>
      <c r="N2121" t="n">
        <v>0</v>
      </c>
      <c r="O2121" t="n">
        <v>0</v>
      </c>
      <c r="P2121" t="n">
        <v>0</v>
      </c>
      <c r="Q2121" t="n">
        <v>0</v>
      </c>
      <c r="R2121" t="n">
        <v>0</v>
      </c>
      <c r="S2121" t="n">
        <v>0</v>
      </c>
      <c r="T2121" t="n">
        <v>0</v>
      </c>
      <c r="U2121" t="n">
        <v>0</v>
      </c>
      <c r="V2121" s="2" t="inlineStr"/>
    </row>
    <row r="2122" ht="15" customHeight="1">
      <c r="A2122" t="inlineStr">
        <is>
          <t>A 38579-2022</t>
        </is>
      </c>
      <c r="B2122" t="inlineStr">
        <is>
          <t>avverkningsanmälan</t>
        </is>
      </c>
      <c r="C2122" t="inlineStr">
        <is>
          <t>Föryngringsavverkning</t>
        </is>
      </c>
      <c r="D2122" s="1" t="n">
        <v>44813</v>
      </c>
      <c r="E2122" s="1" t="n">
        <v>46323</v>
      </c>
      <c r="F2122" t="inlineStr">
        <is>
          <t>KALMAR LÄN</t>
        </is>
      </c>
      <c r="G2122" t="inlineStr">
        <is>
          <t>MÖNSTERÅS</t>
        </is>
      </c>
      <c r="I2122" t="n">
        <v>2.2</v>
      </c>
      <c r="J2122" t="n">
        <v>0</v>
      </c>
      <c r="K2122" t="n">
        <v>0</v>
      </c>
      <c r="L2122" t="n">
        <v>0</v>
      </c>
      <c r="M2122" t="n">
        <v>0</v>
      </c>
      <c r="N2122" t="n">
        <v>0</v>
      </c>
      <c r="O2122" t="n">
        <v>0</v>
      </c>
      <c r="P2122" t="n">
        <v>0</v>
      </c>
      <c r="Q2122" t="n">
        <v>0</v>
      </c>
      <c r="R2122" t="n">
        <v>0</v>
      </c>
      <c r="S2122" t="n">
        <v>0</v>
      </c>
      <c r="T2122" t="n">
        <v>0</v>
      </c>
      <c r="U2122" t="n">
        <v>0</v>
      </c>
      <c r="V2122" s="2" t="inlineStr"/>
    </row>
    <row r="2123" ht="15" customHeight="1">
      <c r="A2123" t="inlineStr">
        <is>
          <t>A 30106-2023</t>
        </is>
      </c>
      <c r="B2123" t="inlineStr">
        <is>
          <t>avverkningsanmälan</t>
        </is>
      </c>
      <c r="C2123" t="inlineStr">
        <is>
          <t>Föryngringsavverkning</t>
        </is>
      </c>
      <c r="D2123" s="1" t="n">
        <v>45110</v>
      </c>
      <c r="E2123" s="1" t="n">
        <v>46323</v>
      </c>
      <c r="F2123" t="inlineStr">
        <is>
          <t>KALMAR LÄN</t>
        </is>
      </c>
      <c r="G2123" t="inlineStr">
        <is>
          <t>OSKARSHAMN</t>
        </is>
      </c>
      <c r="I2123" t="n">
        <v>2.6</v>
      </c>
      <c r="J2123" t="n">
        <v>0</v>
      </c>
      <c r="K2123" t="n">
        <v>0</v>
      </c>
      <c r="L2123" t="n">
        <v>0</v>
      </c>
      <c r="M2123" t="n">
        <v>0</v>
      </c>
      <c r="N2123" t="n">
        <v>0</v>
      </c>
      <c r="O2123" t="n">
        <v>0</v>
      </c>
      <c r="P2123" t="n">
        <v>0</v>
      </c>
      <c r="Q2123" t="n">
        <v>0</v>
      </c>
      <c r="R2123" t="n">
        <v>0</v>
      </c>
      <c r="S2123" t="n">
        <v>0</v>
      </c>
      <c r="T2123" t="n">
        <v>0</v>
      </c>
      <c r="U2123" t="n">
        <v>0</v>
      </c>
      <c r="V2123" s="2" t="inlineStr"/>
    </row>
    <row r="2124" ht="15" customHeight="1">
      <c r="A2124" t="inlineStr">
        <is>
          <t>A 30109-2023</t>
        </is>
      </c>
      <c r="B2124" t="inlineStr">
        <is>
          <t>avverkningsanmälan</t>
        </is>
      </c>
      <c r="C2124" t="inlineStr">
        <is>
          <t>Föryngringsavverkning</t>
        </is>
      </c>
      <c r="D2124" s="1" t="n">
        <v>45110</v>
      </c>
      <c r="E2124" s="1" t="n">
        <v>46323</v>
      </c>
      <c r="F2124" t="inlineStr">
        <is>
          <t>KALMAR LÄN</t>
        </is>
      </c>
      <c r="G2124" t="inlineStr">
        <is>
          <t>OSKARSHAMN</t>
        </is>
      </c>
      <c r="I2124" t="n">
        <v>0.8</v>
      </c>
      <c r="J2124" t="n">
        <v>0</v>
      </c>
      <c r="K2124" t="n">
        <v>0</v>
      </c>
      <c r="L2124" t="n">
        <v>0</v>
      </c>
      <c r="M2124" t="n">
        <v>0</v>
      </c>
      <c r="N2124" t="n">
        <v>0</v>
      </c>
      <c r="O2124" t="n">
        <v>0</v>
      </c>
      <c r="P2124" t="n">
        <v>0</v>
      </c>
      <c r="Q2124" t="n">
        <v>0</v>
      </c>
      <c r="R2124" t="n">
        <v>0</v>
      </c>
      <c r="S2124" t="n">
        <v>0</v>
      </c>
      <c r="T2124" t="n">
        <v>0</v>
      </c>
      <c r="U2124" t="n">
        <v>0</v>
      </c>
      <c r="V2124" s="2" t="inlineStr"/>
    </row>
    <row r="2125" ht="15" customHeight="1">
      <c r="A2125" t="inlineStr">
        <is>
          <t>A 31045-2023</t>
        </is>
      </c>
      <c r="B2125" t="inlineStr">
        <is>
          <t>avverkningsanmälan</t>
        </is>
      </c>
      <c r="C2125" t="inlineStr">
        <is>
          <t>Avverkning för annat ändamål</t>
        </is>
      </c>
      <c r="D2125" s="1" t="n">
        <v>45113</v>
      </c>
      <c r="E2125" s="1" t="n">
        <v>46323</v>
      </c>
      <c r="F2125" t="inlineStr">
        <is>
          <t>KALMAR LÄN</t>
        </is>
      </c>
      <c r="G2125" t="inlineStr">
        <is>
          <t>KALMAR</t>
        </is>
      </c>
      <c r="I2125" t="n">
        <v>0.7</v>
      </c>
      <c r="J2125" t="n">
        <v>0</v>
      </c>
      <c r="K2125" t="n">
        <v>0</v>
      </c>
      <c r="L2125" t="n">
        <v>0</v>
      </c>
      <c r="M2125" t="n">
        <v>0</v>
      </c>
      <c r="N2125" t="n">
        <v>0</v>
      </c>
      <c r="O2125" t="n">
        <v>0</v>
      </c>
      <c r="P2125" t="n">
        <v>0</v>
      </c>
      <c r="Q2125" t="n">
        <v>0</v>
      </c>
      <c r="R2125" t="n">
        <v>0</v>
      </c>
      <c r="S2125" t="n">
        <v>0</v>
      </c>
      <c r="T2125" t="n">
        <v>0</v>
      </c>
      <c r="U2125" t="n">
        <v>0</v>
      </c>
      <c r="V2125" s="2" t="inlineStr"/>
    </row>
    <row r="2126" ht="15" customHeight="1">
      <c r="A2126" t="inlineStr">
        <is>
          <t>A 42172-2023</t>
        </is>
      </c>
      <c r="B2126" t="inlineStr">
        <is>
          <t>avverkningsanmälan</t>
        </is>
      </c>
      <c r="C2126" t="inlineStr">
        <is>
          <t>Föryngringsavverkning</t>
        </is>
      </c>
      <c r="D2126" s="1" t="n">
        <v>45178</v>
      </c>
      <c r="E2126" s="1" t="n">
        <v>46323</v>
      </c>
      <c r="F2126" t="inlineStr">
        <is>
          <t>KALMAR LÄN</t>
        </is>
      </c>
      <c r="G2126" t="inlineStr">
        <is>
          <t>TORSÅS</t>
        </is>
      </c>
      <c r="I2126" t="n">
        <v>5.4</v>
      </c>
      <c r="J2126" t="n">
        <v>0</v>
      </c>
      <c r="K2126" t="n">
        <v>0</v>
      </c>
      <c r="L2126" t="n">
        <v>0</v>
      </c>
      <c r="M2126" t="n">
        <v>0</v>
      </c>
      <c r="N2126" t="n">
        <v>0</v>
      </c>
      <c r="O2126" t="n">
        <v>0</v>
      </c>
      <c r="P2126" t="n">
        <v>0</v>
      </c>
      <c r="Q2126" t="n">
        <v>0</v>
      </c>
      <c r="R2126" t="n">
        <v>0</v>
      </c>
      <c r="S2126" t="n">
        <v>0</v>
      </c>
      <c r="T2126" t="n">
        <v>0</v>
      </c>
      <c r="U2126" t="n">
        <v>0</v>
      </c>
      <c r="V2126" s="2" t="inlineStr"/>
    </row>
    <row r="2127" ht="15" customHeight="1">
      <c r="A2127" t="inlineStr">
        <is>
          <t>A 63260-2021</t>
        </is>
      </c>
      <c r="B2127" t="inlineStr">
        <is>
          <t>avverkningsanmälan</t>
        </is>
      </c>
      <c r="C2127" t="inlineStr">
        <is>
          <t>Föryngringsavverkning</t>
        </is>
      </c>
      <c r="D2127" s="1" t="n">
        <v>44505</v>
      </c>
      <c r="E2127" s="1" t="n">
        <v>46323</v>
      </c>
      <c r="F2127" t="inlineStr">
        <is>
          <t>KALMAR LÄN</t>
        </is>
      </c>
      <c r="G2127" t="inlineStr">
        <is>
          <t>NYBRO</t>
        </is>
      </c>
      <c r="I2127" t="n">
        <v>2</v>
      </c>
      <c r="J2127" t="n">
        <v>0</v>
      </c>
      <c r="K2127" t="n">
        <v>0</v>
      </c>
      <c r="L2127" t="n">
        <v>0</v>
      </c>
      <c r="M2127" t="n">
        <v>0</v>
      </c>
      <c r="N2127" t="n">
        <v>0</v>
      </c>
      <c r="O2127" t="n">
        <v>0</v>
      </c>
      <c r="P2127" t="n">
        <v>0</v>
      </c>
      <c r="Q2127" t="n">
        <v>0</v>
      </c>
      <c r="R2127" t="n">
        <v>0</v>
      </c>
      <c r="S2127" t="n">
        <v>0</v>
      </c>
      <c r="T2127" t="n">
        <v>0</v>
      </c>
      <c r="U2127" t="n">
        <v>0</v>
      </c>
      <c r="V2127" s="2" t="inlineStr"/>
    </row>
    <row r="2128" ht="15" customHeight="1">
      <c r="A2128" t="inlineStr">
        <is>
          <t>A 28650-2023</t>
        </is>
      </c>
      <c r="B2128" t="inlineStr">
        <is>
          <t>avverkningsanmälan</t>
        </is>
      </c>
      <c r="C2128" t="inlineStr">
        <is>
          <t>Föryngringsavverkning</t>
        </is>
      </c>
      <c r="D2128" s="1" t="n">
        <v>45103</v>
      </c>
      <c r="E2128" s="1" t="n">
        <v>46323</v>
      </c>
      <c r="F2128" t="inlineStr">
        <is>
          <t>KALMAR LÄN</t>
        </is>
      </c>
      <c r="G2128" t="inlineStr">
        <is>
          <t>HÖGSBY</t>
        </is>
      </c>
      <c r="H2128" t="inlineStr">
        <is>
          <t>Sveaskog</t>
        </is>
      </c>
      <c r="I2128" t="n">
        <v>0.8</v>
      </c>
      <c r="J2128" t="n">
        <v>0</v>
      </c>
      <c r="K2128" t="n">
        <v>0</v>
      </c>
      <c r="L2128" t="n">
        <v>0</v>
      </c>
      <c r="M2128" t="n">
        <v>0</v>
      </c>
      <c r="N2128" t="n">
        <v>0</v>
      </c>
      <c r="O2128" t="n">
        <v>0</v>
      </c>
      <c r="P2128" t="n">
        <v>0</v>
      </c>
      <c r="Q2128" t="n">
        <v>0</v>
      </c>
      <c r="R2128" t="n">
        <v>0</v>
      </c>
      <c r="S2128" t="n">
        <v>0</v>
      </c>
      <c r="T2128" t="n">
        <v>0</v>
      </c>
      <c r="U2128" t="n">
        <v>0</v>
      </c>
      <c r="V2128" s="2" t="inlineStr"/>
    </row>
    <row r="2129" ht="15" customHeight="1">
      <c r="A2129" t="inlineStr">
        <is>
          <t>A 29952-2022</t>
        </is>
      </c>
      <c r="B2129" t="inlineStr">
        <is>
          <t>avverkningsanmälan</t>
        </is>
      </c>
      <c r="C2129" t="inlineStr">
        <is>
          <t>Föryngringsavverkning</t>
        </is>
      </c>
      <c r="D2129" s="1" t="n">
        <v>44756</v>
      </c>
      <c r="E2129" s="1" t="n">
        <v>46323</v>
      </c>
      <c r="F2129" t="inlineStr">
        <is>
          <t>KALMAR LÄN</t>
        </is>
      </c>
      <c r="G2129" t="inlineStr">
        <is>
          <t>VÄSTERVIK</t>
        </is>
      </c>
      <c r="I2129" t="n">
        <v>1.9</v>
      </c>
      <c r="J2129" t="n">
        <v>0</v>
      </c>
      <c r="K2129" t="n">
        <v>0</v>
      </c>
      <c r="L2129" t="n">
        <v>0</v>
      </c>
      <c r="M2129" t="n">
        <v>0</v>
      </c>
      <c r="N2129" t="n">
        <v>0</v>
      </c>
      <c r="O2129" t="n">
        <v>0</v>
      </c>
      <c r="P2129" t="n">
        <v>0</v>
      </c>
      <c r="Q2129" t="n">
        <v>0</v>
      </c>
      <c r="R2129" t="n">
        <v>0</v>
      </c>
      <c r="S2129" t="n">
        <v>0</v>
      </c>
      <c r="T2129" t="n">
        <v>0</v>
      </c>
      <c r="U2129" t="n">
        <v>0</v>
      </c>
      <c r="V2129" s="2" t="inlineStr"/>
    </row>
    <row r="2130" ht="15" customHeight="1">
      <c r="A2130" t="inlineStr">
        <is>
          <t>A 29957-2022</t>
        </is>
      </c>
      <c r="B2130" t="inlineStr">
        <is>
          <t>avverkningsanmälan</t>
        </is>
      </c>
      <c r="C2130" t="inlineStr">
        <is>
          <t>Föryngringsavverkning</t>
        </is>
      </c>
      <c r="D2130" s="1" t="n">
        <v>44756</v>
      </c>
      <c r="E2130" s="1" t="n">
        <v>46323</v>
      </c>
      <c r="F2130" t="inlineStr">
        <is>
          <t>KALMAR LÄN</t>
        </is>
      </c>
      <c r="G2130" t="inlineStr">
        <is>
          <t>MÖNSTERÅS</t>
        </is>
      </c>
      <c r="I2130" t="n">
        <v>2.5</v>
      </c>
      <c r="J2130" t="n">
        <v>0</v>
      </c>
      <c r="K2130" t="n">
        <v>0</v>
      </c>
      <c r="L2130" t="n">
        <v>0</v>
      </c>
      <c r="M2130" t="n">
        <v>0</v>
      </c>
      <c r="N2130" t="n">
        <v>0</v>
      </c>
      <c r="O2130" t="n">
        <v>0</v>
      </c>
      <c r="P2130" t="n">
        <v>0</v>
      </c>
      <c r="Q2130" t="n">
        <v>0</v>
      </c>
      <c r="R2130" t="n">
        <v>0</v>
      </c>
      <c r="S2130" t="n">
        <v>0</v>
      </c>
      <c r="T2130" t="n">
        <v>0</v>
      </c>
      <c r="U2130" t="n">
        <v>0</v>
      </c>
      <c r="V2130" s="2" t="inlineStr"/>
    </row>
    <row r="2131" ht="15" customHeight="1">
      <c r="A2131" t="inlineStr">
        <is>
          <t>A 35417-2022</t>
        </is>
      </c>
      <c r="B2131" t="inlineStr">
        <is>
          <t>avverkningsanmälan</t>
        </is>
      </c>
      <c r="C2131" t="inlineStr">
        <is>
          <t>Föryngringsavverkning</t>
        </is>
      </c>
      <c r="D2131" s="1" t="n">
        <v>44798</v>
      </c>
      <c r="E2131" s="1" t="n">
        <v>46323</v>
      </c>
      <c r="F2131" t="inlineStr">
        <is>
          <t>KALMAR LÄN</t>
        </is>
      </c>
      <c r="G2131" t="inlineStr">
        <is>
          <t>VÄSTERVIK</t>
        </is>
      </c>
      <c r="I2131" t="n">
        <v>5.2</v>
      </c>
      <c r="J2131" t="n">
        <v>0</v>
      </c>
      <c r="K2131" t="n">
        <v>0</v>
      </c>
      <c r="L2131" t="n">
        <v>0</v>
      </c>
      <c r="M2131" t="n">
        <v>0</v>
      </c>
      <c r="N2131" t="n">
        <v>0</v>
      </c>
      <c r="O2131" t="n">
        <v>0</v>
      </c>
      <c r="P2131" t="n">
        <v>0</v>
      </c>
      <c r="Q2131" t="n">
        <v>0</v>
      </c>
      <c r="R2131" t="n">
        <v>0</v>
      </c>
      <c r="S2131" t="n">
        <v>0</v>
      </c>
      <c r="T2131" t="n">
        <v>0</v>
      </c>
      <c r="U2131" t="n">
        <v>0</v>
      </c>
      <c r="V2131" s="2" t="inlineStr"/>
    </row>
    <row r="2132" ht="15" customHeight="1">
      <c r="A2132" t="inlineStr">
        <is>
          <t>A 11645-2024</t>
        </is>
      </c>
      <c r="B2132" t="inlineStr">
        <is>
          <t>avverkningsanmälan</t>
        </is>
      </c>
      <c r="C2132" t="inlineStr">
        <is>
          <t>Föryngringsavverkning</t>
        </is>
      </c>
      <c r="D2132" s="1" t="n">
        <v>45373</v>
      </c>
      <c r="E2132" s="1" t="n">
        <v>46323</v>
      </c>
      <c r="F2132" t="inlineStr">
        <is>
          <t>KALMAR LÄN</t>
        </is>
      </c>
      <c r="G2132" t="inlineStr">
        <is>
          <t>NYBRO</t>
        </is>
      </c>
      <c r="I2132" t="n">
        <v>1.7</v>
      </c>
      <c r="J2132" t="n">
        <v>0</v>
      </c>
      <c r="K2132" t="n">
        <v>0</v>
      </c>
      <c r="L2132" t="n">
        <v>0</v>
      </c>
      <c r="M2132" t="n">
        <v>0</v>
      </c>
      <c r="N2132" t="n">
        <v>0</v>
      </c>
      <c r="O2132" t="n">
        <v>0</v>
      </c>
      <c r="P2132" t="n">
        <v>0</v>
      </c>
      <c r="Q2132" t="n">
        <v>0</v>
      </c>
      <c r="R2132" t="n">
        <v>0</v>
      </c>
      <c r="S2132" t="n">
        <v>0</v>
      </c>
      <c r="T2132" t="n">
        <v>0</v>
      </c>
      <c r="U2132" t="n">
        <v>0</v>
      </c>
      <c r="V2132" s="2" t="inlineStr"/>
    </row>
    <row r="2133" ht="15" customHeight="1">
      <c r="A2133" t="inlineStr">
        <is>
          <t>A 12433-2024</t>
        </is>
      </c>
      <c r="B2133" t="inlineStr">
        <is>
          <t>avverkningsanmälan</t>
        </is>
      </c>
      <c r="C2133" t="inlineStr">
        <is>
          <t>Föryngringsavverkning</t>
        </is>
      </c>
      <c r="D2133" s="1" t="n">
        <v>45379</v>
      </c>
      <c r="E2133" s="1" t="n">
        <v>46323</v>
      </c>
      <c r="F2133" t="inlineStr">
        <is>
          <t>KALMAR LÄN</t>
        </is>
      </c>
      <c r="G2133" t="inlineStr">
        <is>
          <t>VÄSTERVIK</t>
        </is>
      </c>
      <c r="I2133" t="n">
        <v>0.9</v>
      </c>
      <c r="J2133" t="n">
        <v>0</v>
      </c>
      <c r="K2133" t="n">
        <v>0</v>
      </c>
      <c r="L2133" t="n">
        <v>0</v>
      </c>
      <c r="M2133" t="n">
        <v>0</v>
      </c>
      <c r="N2133" t="n">
        <v>0</v>
      </c>
      <c r="O2133" t="n">
        <v>0</v>
      </c>
      <c r="P2133" t="n">
        <v>0</v>
      </c>
      <c r="Q2133" t="n">
        <v>0</v>
      </c>
      <c r="R2133" t="n">
        <v>0</v>
      </c>
      <c r="S2133" t="n">
        <v>0</v>
      </c>
      <c r="T2133" t="n">
        <v>0</v>
      </c>
      <c r="U2133" t="n">
        <v>0</v>
      </c>
      <c r="V2133" s="2" t="inlineStr"/>
    </row>
    <row r="2134" ht="15" customHeight="1">
      <c r="A2134" t="inlineStr">
        <is>
          <t>A 52755-2022</t>
        </is>
      </c>
      <c r="B2134" t="inlineStr">
        <is>
          <t>avverkningsanmälan</t>
        </is>
      </c>
      <c r="C2134" t="inlineStr">
        <is>
          <t>Föryngringsavverkning</t>
        </is>
      </c>
      <c r="D2134" s="1" t="n">
        <v>44875</v>
      </c>
      <c r="E2134" s="1" t="n">
        <v>46323</v>
      </c>
      <c r="F2134" t="inlineStr">
        <is>
          <t>KALMAR LÄN</t>
        </is>
      </c>
      <c r="G2134" t="inlineStr">
        <is>
          <t>VIMMERBY</t>
        </is>
      </c>
      <c r="I2134" t="n">
        <v>1.1</v>
      </c>
      <c r="J2134" t="n">
        <v>0</v>
      </c>
      <c r="K2134" t="n">
        <v>0</v>
      </c>
      <c r="L2134" t="n">
        <v>0</v>
      </c>
      <c r="M2134" t="n">
        <v>0</v>
      </c>
      <c r="N2134" t="n">
        <v>0</v>
      </c>
      <c r="O2134" t="n">
        <v>0</v>
      </c>
      <c r="P2134" t="n">
        <v>0</v>
      </c>
      <c r="Q2134" t="n">
        <v>0</v>
      </c>
      <c r="R2134" t="n">
        <v>0</v>
      </c>
      <c r="S2134" t="n">
        <v>0</v>
      </c>
      <c r="T2134" t="n">
        <v>0</v>
      </c>
      <c r="U2134" t="n">
        <v>0</v>
      </c>
      <c r="V2134" s="2" t="inlineStr"/>
    </row>
    <row r="2135" ht="15" customHeight="1">
      <c r="A2135" t="inlineStr">
        <is>
          <t>A 10739-2024</t>
        </is>
      </c>
      <c r="B2135" t="inlineStr">
        <is>
          <t>avverkningsanmälan</t>
        </is>
      </c>
      <c r="C2135" t="inlineStr">
        <is>
          <t>Föryngringsavverkning</t>
        </is>
      </c>
      <c r="D2135" s="1" t="n">
        <v>45369</v>
      </c>
      <c r="E2135" s="1" t="n">
        <v>46323</v>
      </c>
      <c r="F2135" t="inlineStr">
        <is>
          <t>KALMAR LÄN</t>
        </is>
      </c>
      <c r="G2135" t="inlineStr">
        <is>
          <t>NYBRO</t>
        </is>
      </c>
      <c r="I2135" t="n">
        <v>1.3</v>
      </c>
      <c r="J2135" t="n">
        <v>0</v>
      </c>
      <c r="K2135" t="n">
        <v>0</v>
      </c>
      <c r="L2135" t="n">
        <v>0</v>
      </c>
      <c r="M2135" t="n">
        <v>0</v>
      </c>
      <c r="N2135" t="n">
        <v>0</v>
      </c>
      <c r="O2135" t="n">
        <v>0</v>
      </c>
      <c r="P2135" t="n">
        <v>0</v>
      </c>
      <c r="Q2135" t="n">
        <v>0</v>
      </c>
      <c r="R2135" t="n">
        <v>0</v>
      </c>
      <c r="S2135" t="n">
        <v>0</v>
      </c>
      <c r="T2135" t="n">
        <v>0</v>
      </c>
      <c r="U2135" t="n">
        <v>0</v>
      </c>
      <c r="V2135" s="2" t="inlineStr"/>
    </row>
    <row r="2136" ht="15" customHeight="1">
      <c r="A2136" t="inlineStr">
        <is>
          <t>A 16263-2024</t>
        </is>
      </c>
      <c r="B2136" t="inlineStr">
        <is>
          <t>avverkningsanmälan</t>
        </is>
      </c>
      <c r="C2136" t="inlineStr">
        <is>
          <t>Föryngringsavverkning</t>
        </is>
      </c>
      <c r="D2136" s="1" t="n">
        <v>45407</v>
      </c>
      <c r="E2136" s="1" t="n">
        <v>46323</v>
      </c>
      <c r="F2136" t="inlineStr">
        <is>
          <t>KALMAR LÄN</t>
        </is>
      </c>
      <c r="G2136" t="inlineStr">
        <is>
          <t>TORSÅS</t>
        </is>
      </c>
      <c r="I2136" t="n">
        <v>0.7</v>
      </c>
      <c r="J2136" t="n">
        <v>0</v>
      </c>
      <c r="K2136" t="n">
        <v>0</v>
      </c>
      <c r="L2136" t="n">
        <v>0</v>
      </c>
      <c r="M2136" t="n">
        <v>0</v>
      </c>
      <c r="N2136" t="n">
        <v>0</v>
      </c>
      <c r="O2136" t="n">
        <v>0</v>
      </c>
      <c r="P2136" t="n">
        <v>0</v>
      </c>
      <c r="Q2136" t="n">
        <v>0</v>
      </c>
      <c r="R2136" t="n">
        <v>0</v>
      </c>
      <c r="S2136" t="n">
        <v>0</v>
      </c>
      <c r="T2136" t="n">
        <v>0</v>
      </c>
      <c r="U2136" t="n">
        <v>0</v>
      </c>
      <c r="V2136" s="2" t="inlineStr"/>
    </row>
    <row r="2137" ht="15" customHeight="1">
      <c r="A2137" t="inlineStr">
        <is>
          <t>A 31070-2023</t>
        </is>
      </c>
      <c r="B2137" t="inlineStr">
        <is>
          <t>avverkningsanmälan</t>
        </is>
      </c>
      <c r="C2137" t="inlineStr">
        <is>
          <t>Föryngringsavverkning</t>
        </is>
      </c>
      <c r="D2137" s="1" t="n">
        <v>45113</v>
      </c>
      <c r="E2137" s="1" t="n">
        <v>46323</v>
      </c>
      <c r="F2137" t="inlineStr">
        <is>
          <t>KALMAR LÄN</t>
        </is>
      </c>
      <c r="G2137" t="inlineStr">
        <is>
          <t>EMMABODA</t>
        </is>
      </c>
      <c r="I2137" t="n">
        <v>0.4</v>
      </c>
      <c r="J2137" t="n">
        <v>0</v>
      </c>
      <c r="K2137" t="n">
        <v>0</v>
      </c>
      <c r="L2137" t="n">
        <v>0</v>
      </c>
      <c r="M2137" t="n">
        <v>0</v>
      </c>
      <c r="N2137" t="n">
        <v>0</v>
      </c>
      <c r="O2137" t="n">
        <v>0</v>
      </c>
      <c r="P2137" t="n">
        <v>0</v>
      </c>
      <c r="Q2137" t="n">
        <v>0</v>
      </c>
      <c r="R2137" t="n">
        <v>0</v>
      </c>
      <c r="S2137" t="n">
        <v>0</v>
      </c>
      <c r="T2137" t="n">
        <v>0</v>
      </c>
      <c r="U2137" t="n">
        <v>0</v>
      </c>
      <c r="V2137" s="2" t="inlineStr"/>
    </row>
    <row r="2138" ht="15" customHeight="1">
      <c r="A2138" t="inlineStr">
        <is>
          <t>A 8656-2022</t>
        </is>
      </c>
      <c r="B2138" t="inlineStr">
        <is>
          <t>avverkningsanmälan</t>
        </is>
      </c>
      <c r="C2138" t="inlineStr">
        <is>
          <t>Avverkning för annat ändamål</t>
        </is>
      </c>
      <c r="D2138" s="1" t="n">
        <v>44613</v>
      </c>
      <c r="E2138" s="1" t="n">
        <v>46323</v>
      </c>
      <c r="F2138" t="inlineStr">
        <is>
          <t>KALMAR LÄN</t>
        </is>
      </c>
      <c r="G2138" t="inlineStr">
        <is>
          <t>OSKARSHAMN</t>
        </is>
      </c>
      <c r="I2138" t="n">
        <v>1.4</v>
      </c>
      <c r="J2138" t="n">
        <v>0</v>
      </c>
      <c r="K2138" t="n">
        <v>0</v>
      </c>
      <c r="L2138" t="n">
        <v>0</v>
      </c>
      <c r="M2138" t="n">
        <v>0</v>
      </c>
      <c r="N2138" t="n">
        <v>0</v>
      </c>
      <c r="O2138" t="n">
        <v>0</v>
      </c>
      <c r="P2138" t="n">
        <v>0</v>
      </c>
      <c r="Q2138" t="n">
        <v>0</v>
      </c>
      <c r="R2138" t="n">
        <v>0</v>
      </c>
      <c r="S2138" t="n">
        <v>0</v>
      </c>
      <c r="T2138" t="n">
        <v>0</v>
      </c>
      <c r="U2138" t="n">
        <v>0</v>
      </c>
      <c r="V2138" s="2" t="inlineStr"/>
    </row>
    <row r="2139" ht="15" customHeight="1">
      <c r="A2139" t="inlineStr">
        <is>
          <t>A 10244-2024</t>
        </is>
      </c>
      <c r="B2139" t="inlineStr">
        <is>
          <t>avverkningsanmälan</t>
        </is>
      </c>
      <c r="C2139" t="inlineStr">
        <is>
          <t>Föryngringsavverkning</t>
        </is>
      </c>
      <c r="D2139" s="1" t="n">
        <v>45365</v>
      </c>
      <c r="E2139" s="1" t="n">
        <v>46323</v>
      </c>
      <c r="F2139" t="inlineStr">
        <is>
          <t>KALMAR LÄN</t>
        </is>
      </c>
      <c r="G2139" t="inlineStr">
        <is>
          <t>HÖGSBY</t>
        </is>
      </c>
      <c r="I2139" t="n">
        <v>2.5</v>
      </c>
      <c r="J2139" t="n">
        <v>0</v>
      </c>
      <c r="K2139" t="n">
        <v>0</v>
      </c>
      <c r="L2139" t="n">
        <v>0</v>
      </c>
      <c r="M2139" t="n">
        <v>0</v>
      </c>
      <c r="N2139" t="n">
        <v>0</v>
      </c>
      <c r="O2139" t="n">
        <v>0</v>
      </c>
      <c r="P2139" t="n">
        <v>0</v>
      </c>
      <c r="Q2139" t="n">
        <v>0</v>
      </c>
      <c r="R2139" t="n">
        <v>0</v>
      </c>
      <c r="S2139" t="n">
        <v>0</v>
      </c>
      <c r="T2139" t="n">
        <v>0</v>
      </c>
      <c r="U2139" t="n">
        <v>0</v>
      </c>
      <c r="V2139" s="2" t="inlineStr"/>
    </row>
    <row r="2140" ht="15" customHeight="1">
      <c r="A2140" t="inlineStr">
        <is>
          <t>A 51771-2023</t>
        </is>
      </c>
      <c r="B2140" t="inlineStr">
        <is>
          <t>avverkningsanmälan</t>
        </is>
      </c>
      <c r="C2140" t="inlineStr">
        <is>
          <t>Föryngringsavverkning</t>
        </is>
      </c>
      <c r="D2140" s="1" t="n">
        <v>45222</v>
      </c>
      <c r="E2140" s="1" t="n">
        <v>46323</v>
      </c>
      <c r="F2140" t="inlineStr">
        <is>
          <t>KALMAR LÄN</t>
        </is>
      </c>
      <c r="G2140" t="inlineStr">
        <is>
          <t>TORSÅS</t>
        </is>
      </c>
      <c r="I2140" t="n">
        <v>1.8</v>
      </c>
      <c r="J2140" t="n">
        <v>0</v>
      </c>
      <c r="K2140" t="n">
        <v>0</v>
      </c>
      <c r="L2140" t="n">
        <v>0</v>
      </c>
      <c r="M2140" t="n">
        <v>0</v>
      </c>
      <c r="N2140" t="n">
        <v>0</v>
      </c>
      <c r="O2140" t="n">
        <v>0</v>
      </c>
      <c r="P2140" t="n">
        <v>0</v>
      </c>
      <c r="Q2140" t="n">
        <v>0</v>
      </c>
      <c r="R2140" t="n">
        <v>0</v>
      </c>
      <c r="S2140" t="n">
        <v>0</v>
      </c>
      <c r="T2140" t="n">
        <v>0</v>
      </c>
      <c r="U2140" t="n">
        <v>0</v>
      </c>
      <c r="V2140" s="2" t="inlineStr"/>
    </row>
    <row r="2141" ht="15" customHeight="1">
      <c r="A2141" t="inlineStr">
        <is>
          <t>A 23847-2024</t>
        </is>
      </c>
      <c r="B2141" t="inlineStr">
        <is>
          <t>avverkningsanmälan</t>
        </is>
      </c>
      <c r="C2141" t="inlineStr">
        <is>
          <t>Föryngringsavverkning</t>
        </is>
      </c>
      <c r="D2141" s="1" t="n">
        <v>45455</v>
      </c>
      <c r="E2141" s="1" t="n">
        <v>46323</v>
      </c>
      <c r="F2141" t="inlineStr">
        <is>
          <t>KALMAR LÄN</t>
        </is>
      </c>
      <c r="G2141" t="inlineStr">
        <is>
          <t>HULTSFRED</t>
        </is>
      </c>
      <c r="I2141" t="n">
        <v>2.2</v>
      </c>
      <c r="J2141" t="n">
        <v>0</v>
      </c>
      <c r="K2141" t="n">
        <v>0</v>
      </c>
      <c r="L2141" t="n">
        <v>0</v>
      </c>
      <c r="M2141" t="n">
        <v>0</v>
      </c>
      <c r="N2141" t="n">
        <v>0</v>
      </c>
      <c r="O2141" t="n">
        <v>0</v>
      </c>
      <c r="P2141" t="n">
        <v>0</v>
      </c>
      <c r="Q2141" t="n">
        <v>0</v>
      </c>
      <c r="R2141" t="n">
        <v>0</v>
      </c>
      <c r="S2141" t="n">
        <v>0</v>
      </c>
      <c r="T2141" t="n">
        <v>0</v>
      </c>
      <c r="U2141" t="n">
        <v>0</v>
      </c>
      <c r="V2141" s="2" t="inlineStr"/>
    </row>
    <row r="2142" ht="15" customHeight="1">
      <c r="A2142" t="inlineStr">
        <is>
          <t>A 5056-2024</t>
        </is>
      </c>
      <c r="B2142" t="inlineStr">
        <is>
          <t>avverkningsanmälan</t>
        </is>
      </c>
      <c r="C2142" t="inlineStr">
        <is>
          <t>Föryngringsavverkning</t>
        </is>
      </c>
      <c r="D2142" s="1" t="n">
        <v>45329</v>
      </c>
      <c r="E2142" s="1" t="n">
        <v>46323</v>
      </c>
      <c r="F2142" t="inlineStr">
        <is>
          <t>KALMAR LÄN</t>
        </is>
      </c>
      <c r="G2142" t="inlineStr">
        <is>
          <t>OSKARSHAMN</t>
        </is>
      </c>
      <c r="I2142" t="n">
        <v>1.5</v>
      </c>
      <c r="J2142" t="n">
        <v>0</v>
      </c>
      <c r="K2142" t="n">
        <v>0</v>
      </c>
      <c r="L2142" t="n">
        <v>0</v>
      </c>
      <c r="M2142" t="n">
        <v>0</v>
      </c>
      <c r="N2142" t="n">
        <v>0</v>
      </c>
      <c r="O2142" t="n">
        <v>0</v>
      </c>
      <c r="P2142" t="n">
        <v>0</v>
      </c>
      <c r="Q2142" t="n">
        <v>0</v>
      </c>
      <c r="R2142" t="n">
        <v>0</v>
      </c>
      <c r="S2142" t="n">
        <v>0</v>
      </c>
      <c r="T2142" t="n">
        <v>0</v>
      </c>
      <c r="U2142" t="n">
        <v>0</v>
      </c>
      <c r="V2142" s="2" t="inlineStr"/>
    </row>
    <row r="2143" ht="15" customHeight="1">
      <c r="A2143" t="inlineStr">
        <is>
          <t>A 40823-2023</t>
        </is>
      </c>
      <c r="B2143" t="inlineStr">
        <is>
          <t>avverkningsanmälan</t>
        </is>
      </c>
      <c r="C2143" t="inlineStr">
        <is>
          <t>Föryngringsavverkning</t>
        </is>
      </c>
      <c r="D2143" s="1" t="n">
        <v>45171</v>
      </c>
      <c r="E2143" s="1" t="n">
        <v>46323</v>
      </c>
      <c r="F2143" t="inlineStr">
        <is>
          <t>KALMAR LÄN</t>
        </is>
      </c>
      <c r="G2143" t="inlineStr">
        <is>
          <t>VIMMERBY</t>
        </is>
      </c>
      <c r="I2143" t="n">
        <v>2.7</v>
      </c>
      <c r="J2143" t="n">
        <v>0</v>
      </c>
      <c r="K2143" t="n">
        <v>0</v>
      </c>
      <c r="L2143" t="n">
        <v>0</v>
      </c>
      <c r="M2143" t="n">
        <v>0</v>
      </c>
      <c r="N2143" t="n">
        <v>0</v>
      </c>
      <c r="O2143" t="n">
        <v>0</v>
      </c>
      <c r="P2143" t="n">
        <v>0</v>
      </c>
      <c r="Q2143" t="n">
        <v>0</v>
      </c>
      <c r="R2143" t="n">
        <v>0</v>
      </c>
      <c r="S2143" t="n">
        <v>0</v>
      </c>
      <c r="T2143" t="n">
        <v>0</v>
      </c>
      <c r="U2143" t="n">
        <v>0</v>
      </c>
      <c r="V2143" s="2" t="inlineStr"/>
    </row>
    <row r="2144" ht="15" customHeight="1">
      <c r="A2144" t="inlineStr">
        <is>
          <t>A 40986-2023</t>
        </is>
      </c>
      <c r="B2144" t="inlineStr">
        <is>
          <t>avverkningsanmälan</t>
        </is>
      </c>
      <c r="C2144" t="inlineStr">
        <is>
          <t>Föryngringsavverkning</t>
        </is>
      </c>
      <c r="D2144" s="1" t="n">
        <v>45173</v>
      </c>
      <c r="E2144" s="1" t="n">
        <v>46323</v>
      </c>
      <c r="F2144" t="inlineStr">
        <is>
          <t>KALMAR LÄN</t>
        </is>
      </c>
      <c r="G2144" t="inlineStr">
        <is>
          <t>KALMAR</t>
        </is>
      </c>
      <c r="I2144" t="n">
        <v>0.7</v>
      </c>
      <c r="J2144" t="n">
        <v>0</v>
      </c>
      <c r="K2144" t="n">
        <v>0</v>
      </c>
      <c r="L2144" t="n">
        <v>0</v>
      </c>
      <c r="M2144" t="n">
        <v>0</v>
      </c>
      <c r="N2144" t="n">
        <v>0</v>
      </c>
      <c r="O2144" t="n">
        <v>0</v>
      </c>
      <c r="P2144" t="n">
        <v>0</v>
      </c>
      <c r="Q2144" t="n">
        <v>0</v>
      </c>
      <c r="R2144" t="n">
        <v>0</v>
      </c>
      <c r="S2144" t="n">
        <v>0</v>
      </c>
      <c r="T2144" t="n">
        <v>0</v>
      </c>
      <c r="U2144" t="n">
        <v>0</v>
      </c>
      <c r="V2144" s="2" t="inlineStr"/>
    </row>
    <row r="2145" ht="15" customHeight="1">
      <c r="A2145" t="inlineStr">
        <is>
          <t>A 59408-2022</t>
        </is>
      </c>
      <c r="B2145" t="inlineStr">
        <is>
          <t>avverkningsanmälan</t>
        </is>
      </c>
      <c r="C2145" t="inlineStr">
        <is>
          <t>Föryngringsavverkning</t>
        </is>
      </c>
      <c r="D2145" s="1" t="n">
        <v>44907</v>
      </c>
      <c r="E2145" s="1" t="n">
        <v>46323</v>
      </c>
      <c r="F2145" t="inlineStr">
        <is>
          <t>KALMAR LÄN</t>
        </is>
      </c>
      <c r="G2145" t="inlineStr">
        <is>
          <t>HÖGSBY</t>
        </is>
      </c>
      <c r="I2145" t="n">
        <v>0.8</v>
      </c>
      <c r="J2145" t="n">
        <v>0</v>
      </c>
      <c r="K2145" t="n">
        <v>0</v>
      </c>
      <c r="L2145" t="n">
        <v>0</v>
      </c>
      <c r="M2145" t="n">
        <v>0</v>
      </c>
      <c r="N2145" t="n">
        <v>0</v>
      </c>
      <c r="O2145" t="n">
        <v>0</v>
      </c>
      <c r="P2145" t="n">
        <v>0</v>
      </c>
      <c r="Q2145" t="n">
        <v>0</v>
      </c>
      <c r="R2145" t="n">
        <v>0</v>
      </c>
      <c r="S2145" t="n">
        <v>0</v>
      </c>
      <c r="T2145" t="n">
        <v>0</v>
      </c>
      <c r="U2145" t="n">
        <v>0</v>
      </c>
      <c r="V2145" s="2" t="inlineStr"/>
    </row>
    <row r="2146" ht="15" customHeight="1">
      <c r="A2146" t="inlineStr">
        <is>
          <t>A 47502-2023</t>
        </is>
      </c>
      <c r="B2146" t="inlineStr">
        <is>
          <t>avverkningsanmälan</t>
        </is>
      </c>
      <c r="C2146" t="inlineStr">
        <is>
          <t>Föryngringsavverkning</t>
        </is>
      </c>
      <c r="D2146" s="1" t="n">
        <v>45203</v>
      </c>
      <c r="E2146" s="1" t="n">
        <v>46323</v>
      </c>
      <c r="F2146" t="inlineStr">
        <is>
          <t>KALMAR LÄN</t>
        </is>
      </c>
      <c r="G2146" t="inlineStr">
        <is>
          <t>HÖGSBY</t>
        </is>
      </c>
      <c r="I2146" t="n">
        <v>0.7</v>
      </c>
      <c r="J2146" t="n">
        <v>0</v>
      </c>
      <c r="K2146" t="n">
        <v>0</v>
      </c>
      <c r="L2146" t="n">
        <v>0</v>
      </c>
      <c r="M2146" t="n">
        <v>0</v>
      </c>
      <c r="N2146" t="n">
        <v>0</v>
      </c>
      <c r="O2146" t="n">
        <v>0</v>
      </c>
      <c r="P2146" t="n">
        <v>0</v>
      </c>
      <c r="Q2146" t="n">
        <v>0</v>
      </c>
      <c r="R2146" t="n">
        <v>0</v>
      </c>
      <c r="S2146" t="n">
        <v>0</v>
      </c>
      <c r="T2146" t="n">
        <v>0</v>
      </c>
      <c r="U2146" t="n">
        <v>0</v>
      </c>
      <c r="V2146" s="2" t="inlineStr"/>
    </row>
    <row r="2147" ht="15" customHeight="1">
      <c r="A2147" t="inlineStr">
        <is>
          <t>A 47571-2023</t>
        </is>
      </c>
      <c r="B2147" t="inlineStr">
        <is>
          <t>avverkningsanmälan</t>
        </is>
      </c>
      <c r="C2147" t="inlineStr">
        <is>
          <t>Föryngringsavverkning</t>
        </is>
      </c>
      <c r="D2147" s="1" t="n">
        <v>45203</v>
      </c>
      <c r="E2147" s="1" t="n">
        <v>46323</v>
      </c>
      <c r="F2147" t="inlineStr">
        <is>
          <t>KALMAR LÄN</t>
        </is>
      </c>
      <c r="G2147" t="inlineStr">
        <is>
          <t>HÖGSBY</t>
        </is>
      </c>
      <c r="I2147" t="n">
        <v>0.8</v>
      </c>
      <c r="J2147" t="n">
        <v>0</v>
      </c>
      <c r="K2147" t="n">
        <v>0</v>
      </c>
      <c r="L2147" t="n">
        <v>0</v>
      </c>
      <c r="M2147" t="n">
        <v>0</v>
      </c>
      <c r="N2147" t="n">
        <v>0</v>
      </c>
      <c r="O2147" t="n">
        <v>0</v>
      </c>
      <c r="P2147" t="n">
        <v>0</v>
      </c>
      <c r="Q2147" t="n">
        <v>0</v>
      </c>
      <c r="R2147" t="n">
        <v>0</v>
      </c>
      <c r="S2147" t="n">
        <v>0</v>
      </c>
      <c r="T2147" t="n">
        <v>0</v>
      </c>
      <c r="U2147" t="n">
        <v>0</v>
      </c>
      <c r="V2147" s="2" t="inlineStr"/>
    </row>
    <row r="2148" ht="15" customHeight="1">
      <c r="A2148" t="inlineStr">
        <is>
          <t>A 38604-2025</t>
        </is>
      </c>
      <c r="B2148" t="inlineStr">
        <is>
          <t>avverkningsanmälan</t>
        </is>
      </c>
      <c r="C2148" t="inlineStr">
        <is>
          <t>Avverkning för att bevara och utveckla /försöksver</t>
        </is>
      </c>
      <c r="D2148" s="1" t="n">
        <v>45884</v>
      </c>
      <c r="E2148" s="1" t="n">
        <v>46323</v>
      </c>
      <c r="F2148" t="inlineStr">
        <is>
          <t>KALMAR LÄN</t>
        </is>
      </c>
      <c r="G2148" t="inlineStr">
        <is>
          <t>VIMMERBY</t>
        </is>
      </c>
      <c r="H2148" t="inlineStr">
        <is>
          <t>Sveaskog</t>
        </is>
      </c>
      <c r="I2148" t="n">
        <v>1.1</v>
      </c>
      <c r="J2148" t="n">
        <v>0</v>
      </c>
      <c r="K2148" t="n">
        <v>0</v>
      </c>
      <c r="L2148" t="n">
        <v>0</v>
      </c>
      <c r="M2148" t="n">
        <v>0</v>
      </c>
      <c r="N2148" t="n">
        <v>0</v>
      </c>
      <c r="O2148" t="n">
        <v>0</v>
      </c>
      <c r="P2148" t="n">
        <v>0</v>
      </c>
      <c r="Q2148" t="n">
        <v>0</v>
      </c>
      <c r="R2148" t="n">
        <v>0</v>
      </c>
      <c r="S2148" t="n">
        <v>0</v>
      </c>
      <c r="T2148" t="n">
        <v>0</v>
      </c>
      <c r="U2148" t="n">
        <v>0</v>
      </c>
      <c r="V2148" s="2" t="inlineStr"/>
    </row>
    <row r="2149" ht="15" customHeight="1">
      <c r="A2149" t="inlineStr">
        <is>
          <t>A 49408-2023</t>
        </is>
      </c>
      <c r="B2149" t="inlineStr">
        <is>
          <t>avverkningsanmälan</t>
        </is>
      </c>
      <c r="C2149" t="inlineStr">
        <is>
          <t>Föryngringsavverkning</t>
        </is>
      </c>
      <c r="D2149" s="1" t="n">
        <v>45211</v>
      </c>
      <c r="E2149" s="1" t="n">
        <v>46323</v>
      </c>
      <c r="F2149" t="inlineStr">
        <is>
          <t>KALMAR LÄN</t>
        </is>
      </c>
      <c r="G2149" t="inlineStr">
        <is>
          <t>VIMMERBY</t>
        </is>
      </c>
      <c r="I2149" t="n">
        <v>13.1</v>
      </c>
      <c r="J2149" t="n">
        <v>0</v>
      </c>
      <c r="K2149" t="n">
        <v>0</v>
      </c>
      <c r="L2149" t="n">
        <v>0</v>
      </c>
      <c r="M2149" t="n">
        <v>0</v>
      </c>
      <c r="N2149" t="n">
        <v>0</v>
      </c>
      <c r="O2149" t="n">
        <v>0</v>
      </c>
      <c r="P2149" t="n">
        <v>0</v>
      </c>
      <c r="Q2149" t="n">
        <v>0</v>
      </c>
      <c r="R2149" t="n">
        <v>0</v>
      </c>
      <c r="S2149" t="n">
        <v>0</v>
      </c>
      <c r="T2149" t="n">
        <v>0</v>
      </c>
      <c r="U2149" t="n">
        <v>0</v>
      </c>
      <c r="V2149" s="2" t="inlineStr"/>
    </row>
    <row r="2150" ht="15" customHeight="1">
      <c r="A2150" t="inlineStr">
        <is>
          <t>A 10704-2024</t>
        </is>
      </c>
      <c r="B2150" t="inlineStr">
        <is>
          <t>avverkningsanmälan</t>
        </is>
      </c>
      <c r="C2150" t="inlineStr">
        <is>
          <t>Föryngringsavverkning</t>
        </is>
      </c>
      <c r="D2150" s="1" t="n">
        <v>45369</v>
      </c>
      <c r="E2150" s="1" t="n">
        <v>46323</v>
      </c>
      <c r="F2150" t="inlineStr">
        <is>
          <t>KALMAR LÄN</t>
        </is>
      </c>
      <c r="G2150" t="inlineStr">
        <is>
          <t>TORSÅS</t>
        </is>
      </c>
      <c r="I2150" t="n">
        <v>0.5</v>
      </c>
      <c r="J2150" t="n">
        <v>0</v>
      </c>
      <c r="K2150" t="n">
        <v>0</v>
      </c>
      <c r="L2150" t="n">
        <v>0</v>
      </c>
      <c r="M2150" t="n">
        <v>0</v>
      </c>
      <c r="N2150" t="n">
        <v>0</v>
      </c>
      <c r="O2150" t="n">
        <v>0</v>
      </c>
      <c r="P2150" t="n">
        <v>0</v>
      </c>
      <c r="Q2150" t="n">
        <v>0</v>
      </c>
      <c r="R2150" t="n">
        <v>0</v>
      </c>
      <c r="S2150" t="n">
        <v>0</v>
      </c>
      <c r="T2150" t="n">
        <v>0</v>
      </c>
      <c r="U2150" t="n">
        <v>0</v>
      </c>
      <c r="V2150" s="2" t="inlineStr"/>
    </row>
    <row r="2151" ht="15" customHeight="1">
      <c r="A2151" t="inlineStr">
        <is>
          <t>A 57791-2022</t>
        </is>
      </c>
      <c r="B2151" t="inlineStr">
        <is>
          <t>avverkningsanmälan</t>
        </is>
      </c>
      <c r="C2151" t="inlineStr">
        <is>
          <t>Föryngringsavverkning</t>
        </is>
      </c>
      <c r="D2151" s="1" t="n">
        <v>44897</v>
      </c>
      <c r="E2151" s="1" t="n">
        <v>46323</v>
      </c>
      <c r="F2151" t="inlineStr">
        <is>
          <t>KALMAR LÄN</t>
        </is>
      </c>
      <c r="G2151" t="inlineStr">
        <is>
          <t>EMMABODA</t>
        </is>
      </c>
      <c r="I2151" t="n">
        <v>1.1</v>
      </c>
      <c r="J2151" t="n">
        <v>0</v>
      </c>
      <c r="K2151" t="n">
        <v>0</v>
      </c>
      <c r="L2151" t="n">
        <v>0</v>
      </c>
      <c r="M2151" t="n">
        <v>0</v>
      </c>
      <c r="N2151" t="n">
        <v>0</v>
      </c>
      <c r="O2151" t="n">
        <v>0</v>
      </c>
      <c r="P2151" t="n">
        <v>0</v>
      </c>
      <c r="Q2151" t="n">
        <v>0</v>
      </c>
      <c r="R2151" t="n">
        <v>0</v>
      </c>
      <c r="S2151" t="n">
        <v>0</v>
      </c>
      <c r="T2151" t="n">
        <v>0</v>
      </c>
      <c r="U2151" t="n">
        <v>0</v>
      </c>
      <c r="V2151" s="2" t="inlineStr"/>
    </row>
    <row r="2152" ht="15" customHeight="1">
      <c r="A2152" t="inlineStr">
        <is>
          <t>A 63469-2023</t>
        </is>
      </c>
      <c r="B2152" t="inlineStr">
        <is>
          <t>avverkningsanmälan</t>
        </is>
      </c>
      <c r="C2152" t="inlineStr">
        <is>
          <t>Föryngringsavverkning</t>
        </is>
      </c>
      <c r="D2152" s="1" t="n">
        <v>45274</v>
      </c>
      <c r="E2152" s="1" t="n">
        <v>46323</v>
      </c>
      <c r="F2152" t="inlineStr">
        <is>
          <t>KALMAR LÄN</t>
        </is>
      </c>
      <c r="G2152" t="inlineStr">
        <is>
          <t>MÖNSTERÅS</t>
        </is>
      </c>
      <c r="I2152" t="n">
        <v>2.2</v>
      </c>
      <c r="J2152" t="n">
        <v>0</v>
      </c>
      <c r="K2152" t="n">
        <v>0</v>
      </c>
      <c r="L2152" t="n">
        <v>0</v>
      </c>
      <c r="M2152" t="n">
        <v>0</v>
      </c>
      <c r="N2152" t="n">
        <v>0</v>
      </c>
      <c r="O2152" t="n">
        <v>0</v>
      </c>
      <c r="P2152" t="n">
        <v>0</v>
      </c>
      <c r="Q2152" t="n">
        <v>0</v>
      </c>
      <c r="R2152" t="n">
        <v>0</v>
      </c>
      <c r="S2152" t="n">
        <v>0</v>
      </c>
      <c r="T2152" t="n">
        <v>0</v>
      </c>
      <c r="U2152" t="n">
        <v>0</v>
      </c>
      <c r="V2152" s="2" t="inlineStr"/>
    </row>
    <row r="2153" ht="15" customHeight="1">
      <c r="A2153" t="inlineStr">
        <is>
          <t>A 38399-2025</t>
        </is>
      </c>
      <c r="B2153" t="inlineStr">
        <is>
          <t>avverkningsanmälan</t>
        </is>
      </c>
      <c r="C2153" t="inlineStr">
        <is>
          <t>Föryngringsavverkning</t>
        </is>
      </c>
      <c r="D2153" s="1" t="n">
        <v>45883</v>
      </c>
      <c r="E2153" s="1" t="n">
        <v>46323</v>
      </c>
      <c r="F2153" t="inlineStr">
        <is>
          <t>KALMAR LÄN</t>
        </is>
      </c>
      <c r="G2153" t="inlineStr">
        <is>
          <t>NYBRO</t>
        </is>
      </c>
      <c r="I2153" t="n">
        <v>3.5</v>
      </c>
      <c r="J2153" t="n">
        <v>0</v>
      </c>
      <c r="K2153" t="n">
        <v>0</v>
      </c>
      <c r="L2153" t="n">
        <v>0</v>
      </c>
      <c r="M2153" t="n">
        <v>0</v>
      </c>
      <c r="N2153" t="n">
        <v>0</v>
      </c>
      <c r="O2153" t="n">
        <v>0</v>
      </c>
      <c r="P2153" t="n">
        <v>0</v>
      </c>
      <c r="Q2153" t="n">
        <v>0</v>
      </c>
      <c r="R2153" t="n">
        <v>0</v>
      </c>
      <c r="S2153" t="n">
        <v>0</v>
      </c>
      <c r="T2153" t="n">
        <v>0</v>
      </c>
      <c r="U2153" t="n">
        <v>0</v>
      </c>
      <c r="V2153" s="2" t="inlineStr"/>
    </row>
    <row r="2154" ht="15" customHeight="1">
      <c r="A2154" t="inlineStr">
        <is>
          <t>A 38413-2025</t>
        </is>
      </c>
      <c r="B2154" t="inlineStr">
        <is>
          <t>avverkningsanmälan</t>
        </is>
      </c>
      <c r="C2154" t="inlineStr">
        <is>
          <t>Föryngringsavverkning</t>
        </is>
      </c>
      <c r="D2154" s="1" t="n">
        <v>45883</v>
      </c>
      <c r="E2154" s="1" t="n">
        <v>46323</v>
      </c>
      <c r="F2154" t="inlineStr">
        <is>
          <t>KALMAR LÄN</t>
        </is>
      </c>
      <c r="G2154" t="inlineStr">
        <is>
          <t>NYBRO</t>
        </is>
      </c>
      <c r="I2154" t="n">
        <v>4.8</v>
      </c>
      <c r="J2154" t="n">
        <v>0</v>
      </c>
      <c r="K2154" t="n">
        <v>0</v>
      </c>
      <c r="L2154" t="n">
        <v>0</v>
      </c>
      <c r="M2154" t="n">
        <v>0</v>
      </c>
      <c r="N2154" t="n">
        <v>0</v>
      </c>
      <c r="O2154" t="n">
        <v>0</v>
      </c>
      <c r="P2154" t="n">
        <v>0</v>
      </c>
      <c r="Q2154" t="n">
        <v>0</v>
      </c>
      <c r="R2154" t="n">
        <v>0</v>
      </c>
      <c r="S2154" t="n">
        <v>0</v>
      </c>
      <c r="T2154" t="n">
        <v>0</v>
      </c>
      <c r="U2154" t="n">
        <v>0</v>
      </c>
      <c r="V2154" s="2" t="inlineStr"/>
    </row>
    <row r="2155" ht="15" customHeight="1">
      <c r="A2155" t="inlineStr">
        <is>
          <t>A 48526-2023</t>
        </is>
      </c>
      <c r="B2155" t="inlineStr">
        <is>
          <t>avverkningsanmälan</t>
        </is>
      </c>
      <c r="C2155" t="inlineStr">
        <is>
          <t>Föryngringsavverkning</t>
        </is>
      </c>
      <c r="D2155" s="1" t="n">
        <v>45208</v>
      </c>
      <c r="E2155" s="1" t="n">
        <v>46323</v>
      </c>
      <c r="F2155" t="inlineStr">
        <is>
          <t>KALMAR LÄN</t>
        </is>
      </c>
      <c r="G2155" t="inlineStr">
        <is>
          <t>TORSÅS</t>
        </is>
      </c>
      <c r="I2155" t="n">
        <v>5.7</v>
      </c>
      <c r="J2155" t="n">
        <v>0</v>
      </c>
      <c r="K2155" t="n">
        <v>0</v>
      </c>
      <c r="L2155" t="n">
        <v>0</v>
      </c>
      <c r="M2155" t="n">
        <v>0</v>
      </c>
      <c r="N2155" t="n">
        <v>0</v>
      </c>
      <c r="O2155" t="n">
        <v>0</v>
      </c>
      <c r="P2155" t="n">
        <v>0</v>
      </c>
      <c r="Q2155" t="n">
        <v>0</v>
      </c>
      <c r="R2155" t="n">
        <v>0</v>
      </c>
      <c r="S2155" t="n">
        <v>0</v>
      </c>
      <c r="T2155" t="n">
        <v>0</v>
      </c>
      <c r="U2155" t="n">
        <v>0</v>
      </c>
      <c r="V2155" s="2" t="inlineStr"/>
    </row>
    <row r="2156" ht="15" customHeight="1">
      <c r="A2156" t="inlineStr">
        <is>
          <t>A 5944-2024</t>
        </is>
      </c>
      <c r="B2156" t="inlineStr">
        <is>
          <t>avverkningsanmälan</t>
        </is>
      </c>
      <c r="C2156" t="inlineStr">
        <is>
          <t>Föryngringsavverkning</t>
        </is>
      </c>
      <c r="D2156" s="1" t="n">
        <v>45336</v>
      </c>
      <c r="E2156" s="1" t="n">
        <v>46323</v>
      </c>
      <c r="F2156" t="inlineStr">
        <is>
          <t>KALMAR LÄN</t>
        </is>
      </c>
      <c r="G2156" t="inlineStr">
        <is>
          <t>NYBRO</t>
        </is>
      </c>
      <c r="I2156" t="n">
        <v>0.7</v>
      </c>
      <c r="J2156" t="n">
        <v>0</v>
      </c>
      <c r="K2156" t="n">
        <v>0</v>
      </c>
      <c r="L2156" t="n">
        <v>0</v>
      </c>
      <c r="M2156" t="n">
        <v>0</v>
      </c>
      <c r="N2156" t="n">
        <v>0</v>
      </c>
      <c r="O2156" t="n">
        <v>0</v>
      </c>
      <c r="P2156" t="n">
        <v>0</v>
      </c>
      <c r="Q2156" t="n">
        <v>0</v>
      </c>
      <c r="R2156" t="n">
        <v>0</v>
      </c>
      <c r="S2156" t="n">
        <v>0</v>
      </c>
      <c r="T2156" t="n">
        <v>0</v>
      </c>
      <c r="U2156" t="n">
        <v>0</v>
      </c>
      <c r="V2156" s="2" t="inlineStr"/>
    </row>
    <row r="2157" ht="15" customHeight="1">
      <c r="A2157" t="inlineStr">
        <is>
          <t>A 8697-2024</t>
        </is>
      </c>
      <c r="B2157" t="inlineStr">
        <is>
          <t>avverkningsanmälan</t>
        </is>
      </c>
      <c r="C2157" t="inlineStr">
        <is>
          <t>Föryngringsavverkning</t>
        </is>
      </c>
      <c r="D2157" s="1" t="n">
        <v>45356</v>
      </c>
      <c r="E2157" s="1" t="n">
        <v>46323</v>
      </c>
      <c r="F2157" t="inlineStr">
        <is>
          <t>KALMAR LÄN</t>
        </is>
      </c>
      <c r="G2157" t="inlineStr">
        <is>
          <t>NYBRO</t>
        </is>
      </c>
      <c r="I2157" t="n">
        <v>0.4</v>
      </c>
      <c r="J2157" t="n">
        <v>0</v>
      </c>
      <c r="K2157" t="n">
        <v>0</v>
      </c>
      <c r="L2157" t="n">
        <v>0</v>
      </c>
      <c r="M2157" t="n">
        <v>0</v>
      </c>
      <c r="N2157" t="n">
        <v>0</v>
      </c>
      <c r="O2157" t="n">
        <v>0</v>
      </c>
      <c r="P2157" t="n">
        <v>0</v>
      </c>
      <c r="Q2157" t="n">
        <v>0</v>
      </c>
      <c r="R2157" t="n">
        <v>0</v>
      </c>
      <c r="S2157" t="n">
        <v>0</v>
      </c>
      <c r="T2157" t="n">
        <v>0</v>
      </c>
      <c r="U2157" t="n">
        <v>0</v>
      </c>
      <c r="V2157" s="2" t="inlineStr"/>
    </row>
    <row r="2158" ht="15" customHeight="1">
      <c r="A2158" t="inlineStr">
        <is>
          <t>A 5188-2024</t>
        </is>
      </c>
      <c r="B2158" t="inlineStr">
        <is>
          <t>avverkningsanmälan</t>
        </is>
      </c>
      <c r="C2158" t="inlineStr">
        <is>
          <t>Föryngringsavverkning</t>
        </is>
      </c>
      <c r="D2158" s="1" t="n">
        <v>45330</v>
      </c>
      <c r="E2158" s="1" t="n">
        <v>46323</v>
      </c>
      <c r="F2158" t="inlineStr">
        <is>
          <t>KALMAR LÄN</t>
        </is>
      </c>
      <c r="G2158" t="inlineStr">
        <is>
          <t>TORSÅS</t>
        </is>
      </c>
      <c r="I2158" t="n">
        <v>3.1</v>
      </c>
      <c r="J2158" t="n">
        <v>0</v>
      </c>
      <c r="K2158" t="n">
        <v>0</v>
      </c>
      <c r="L2158" t="n">
        <v>0</v>
      </c>
      <c r="M2158" t="n">
        <v>0</v>
      </c>
      <c r="N2158" t="n">
        <v>0</v>
      </c>
      <c r="O2158" t="n">
        <v>0</v>
      </c>
      <c r="P2158" t="n">
        <v>0</v>
      </c>
      <c r="Q2158" t="n">
        <v>0</v>
      </c>
      <c r="R2158" t="n">
        <v>0</v>
      </c>
      <c r="S2158" t="n">
        <v>0</v>
      </c>
      <c r="T2158" t="n">
        <v>0</v>
      </c>
      <c r="U2158" t="n">
        <v>0</v>
      </c>
      <c r="V2158" s="2" t="inlineStr"/>
    </row>
    <row r="2159" ht="15" customHeight="1">
      <c r="A2159" t="inlineStr">
        <is>
          <t>A 26491-2022</t>
        </is>
      </c>
      <c r="B2159" t="inlineStr">
        <is>
          <t>avverkningsanmälan</t>
        </is>
      </c>
      <c r="C2159" t="inlineStr">
        <is>
          <t>Föryngringsavverkning</t>
        </is>
      </c>
      <c r="D2159" s="1" t="n">
        <v>44739</v>
      </c>
      <c r="E2159" s="1" t="n">
        <v>46323</v>
      </c>
      <c r="F2159" t="inlineStr">
        <is>
          <t>KALMAR LÄN</t>
        </is>
      </c>
      <c r="G2159" t="inlineStr">
        <is>
          <t>TORSÅS</t>
        </is>
      </c>
      <c r="I2159" t="n">
        <v>3.8</v>
      </c>
      <c r="J2159" t="n">
        <v>0</v>
      </c>
      <c r="K2159" t="n">
        <v>0</v>
      </c>
      <c r="L2159" t="n">
        <v>0</v>
      </c>
      <c r="M2159" t="n">
        <v>0</v>
      </c>
      <c r="N2159" t="n">
        <v>0</v>
      </c>
      <c r="O2159" t="n">
        <v>0</v>
      </c>
      <c r="P2159" t="n">
        <v>0</v>
      </c>
      <c r="Q2159" t="n">
        <v>0</v>
      </c>
      <c r="R2159" t="n">
        <v>0</v>
      </c>
      <c r="S2159" t="n">
        <v>0</v>
      </c>
      <c r="T2159" t="n">
        <v>0</v>
      </c>
      <c r="U2159" t="n">
        <v>0</v>
      </c>
      <c r="V2159" s="2" t="inlineStr"/>
    </row>
    <row r="2160" ht="15" customHeight="1">
      <c r="A2160" t="inlineStr">
        <is>
          <t>A 26701-2022</t>
        </is>
      </c>
      <c r="B2160" t="inlineStr">
        <is>
          <t>avverkningsanmälan</t>
        </is>
      </c>
      <c r="C2160" t="inlineStr">
        <is>
          <t>Föryngringsavverkning</t>
        </is>
      </c>
      <c r="D2160" s="1" t="n">
        <v>44739</v>
      </c>
      <c r="E2160" s="1" t="n">
        <v>46323</v>
      </c>
      <c r="F2160" t="inlineStr">
        <is>
          <t>KALMAR LÄN</t>
        </is>
      </c>
      <c r="G2160" t="inlineStr">
        <is>
          <t>MÖNSTERÅS</t>
        </is>
      </c>
      <c r="I2160" t="n">
        <v>6.5</v>
      </c>
      <c r="J2160" t="n">
        <v>0</v>
      </c>
      <c r="K2160" t="n">
        <v>0</v>
      </c>
      <c r="L2160" t="n">
        <v>0</v>
      </c>
      <c r="M2160" t="n">
        <v>0</v>
      </c>
      <c r="N2160" t="n">
        <v>0</v>
      </c>
      <c r="O2160" t="n">
        <v>0</v>
      </c>
      <c r="P2160" t="n">
        <v>0</v>
      </c>
      <c r="Q2160" t="n">
        <v>0</v>
      </c>
      <c r="R2160" t="n">
        <v>0</v>
      </c>
      <c r="S2160" t="n">
        <v>0</v>
      </c>
      <c r="T2160" t="n">
        <v>0</v>
      </c>
      <c r="U2160" t="n">
        <v>0</v>
      </c>
      <c r="V2160" s="2" t="inlineStr"/>
    </row>
    <row r="2161" ht="15" customHeight="1">
      <c r="A2161" t="inlineStr">
        <is>
          <t>A 17650-2023</t>
        </is>
      </c>
      <c r="B2161" t="inlineStr">
        <is>
          <t>avverkningsanmälan</t>
        </is>
      </c>
      <c r="C2161" t="inlineStr">
        <is>
          <t>Föryngringsavverkning</t>
        </is>
      </c>
      <c r="D2161" s="1" t="n">
        <v>45036</v>
      </c>
      <c r="E2161" s="1" t="n">
        <v>46323</v>
      </c>
      <c r="F2161" t="inlineStr">
        <is>
          <t>KALMAR LÄN</t>
        </is>
      </c>
      <c r="G2161" t="inlineStr">
        <is>
          <t>VÄSTERVIK</t>
        </is>
      </c>
      <c r="I2161" t="n">
        <v>0.3</v>
      </c>
      <c r="J2161" t="n">
        <v>0</v>
      </c>
      <c r="K2161" t="n">
        <v>0</v>
      </c>
      <c r="L2161" t="n">
        <v>0</v>
      </c>
      <c r="M2161" t="n">
        <v>0</v>
      </c>
      <c r="N2161" t="n">
        <v>0</v>
      </c>
      <c r="O2161" t="n">
        <v>0</v>
      </c>
      <c r="P2161" t="n">
        <v>0</v>
      </c>
      <c r="Q2161" t="n">
        <v>0</v>
      </c>
      <c r="R2161" t="n">
        <v>0</v>
      </c>
      <c r="S2161" t="n">
        <v>0</v>
      </c>
      <c r="T2161" t="n">
        <v>0</v>
      </c>
      <c r="U2161" t="n">
        <v>0</v>
      </c>
      <c r="V2161" s="2" t="inlineStr"/>
    </row>
    <row r="2162" ht="15" customHeight="1">
      <c r="A2162" t="inlineStr">
        <is>
          <t>A 53752-2024</t>
        </is>
      </c>
      <c r="B2162" t="inlineStr">
        <is>
          <t>avverkningsanmälan</t>
        </is>
      </c>
      <c r="C2162" t="inlineStr">
        <is>
          <t>Föryngringsavverkning</t>
        </is>
      </c>
      <c r="D2162" s="1" t="n">
        <v>45615</v>
      </c>
      <c r="E2162" s="1" t="n">
        <v>46323</v>
      </c>
      <c r="F2162" t="inlineStr">
        <is>
          <t>KALMAR LÄN</t>
        </is>
      </c>
      <c r="G2162" t="inlineStr">
        <is>
          <t>VIMMERBY</t>
        </is>
      </c>
      <c r="I2162" t="n">
        <v>2.4</v>
      </c>
      <c r="J2162" t="n">
        <v>0</v>
      </c>
      <c r="K2162" t="n">
        <v>0</v>
      </c>
      <c r="L2162" t="n">
        <v>0</v>
      </c>
      <c r="M2162" t="n">
        <v>0</v>
      </c>
      <c r="N2162" t="n">
        <v>0</v>
      </c>
      <c r="O2162" t="n">
        <v>0</v>
      </c>
      <c r="P2162" t="n">
        <v>0</v>
      </c>
      <c r="Q2162" t="n">
        <v>0</v>
      </c>
      <c r="R2162" t="n">
        <v>0</v>
      </c>
      <c r="S2162" t="n">
        <v>0</v>
      </c>
      <c r="T2162" t="n">
        <v>0</v>
      </c>
      <c r="U2162" t="n">
        <v>0</v>
      </c>
      <c r="V2162" s="2" t="inlineStr"/>
    </row>
    <row r="2163" ht="15" customHeight="1">
      <c r="A2163" t="inlineStr">
        <is>
          <t>A 27443-2023</t>
        </is>
      </c>
      <c r="B2163" t="inlineStr">
        <is>
          <t>avverkningsanmälan</t>
        </is>
      </c>
      <c r="C2163" t="inlineStr">
        <is>
          <t>Föryngringsavverkning</t>
        </is>
      </c>
      <c r="D2163" s="1" t="n">
        <v>45097</v>
      </c>
      <c r="E2163" s="1" t="n">
        <v>46323</v>
      </c>
      <c r="F2163" t="inlineStr">
        <is>
          <t>KALMAR LÄN</t>
        </is>
      </c>
      <c r="G2163" t="inlineStr">
        <is>
          <t>VIMMERBY</t>
        </is>
      </c>
      <c r="H2163" t="inlineStr">
        <is>
          <t>Övriga Aktiebolag</t>
        </is>
      </c>
      <c r="I2163" t="n">
        <v>2.3</v>
      </c>
      <c r="J2163" t="n">
        <v>0</v>
      </c>
      <c r="K2163" t="n">
        <v>0</v>
      </c>
      <c r="L2163" t="n">
        <v>0</v>
      </c>
      <c r="M2163" t="n">
        <v>0</v>
      </c>
      <c r="N2163" t="n">
        <v>0</v>
      </c>
      <c r="O2163" t="n">
        <v>0</v>
      </c>
      <c r="P2163" t="n">
        <v>0</v>
      </c>
      <c r="Q2163" t="n">
        <v>0</v>
      </c>
      <c r="R2163" t="n">
        <v>0</v>
      </c>
      <c r="S2163" t="n">
        <v>0</v>
      </c>
      <c r="T2163" t="n">
        <v>0</v>
      </c>
      <c r="U2163" t="n">
        <v>0</v>
      </c>
      <c r="V2163" s="2" t="inlineStr"/>
    </row>
    <row r="2164" ht="15" customHeight="1">
      <c r="A2164" t="inlineStr">
        <is>
          <t>A 49708-2024</t>
        </is>
      </c>
      <c r="B2164" t="inlineStr">
        <is>
          <t>avverkningsanmälan</t>
        </is>
      </c>
      <c r="C2164" t="inlineStr">
        <is>
          <t>Föryngringsavverkning</t>
        </is>
      </c>
      <c r="D2164" s="1" t="n">
        <v>45596</v>
      </c>
      <c r="E2164" s="1" t="n">
        <v>46323</v>
      </c>
      <c r="F2164" t="inlineStr">
        <is>
          <t>KALMAR LÄN</t>
        </is>
      </c>
      <c r="G2164" t="inlineStr">
        <is>
          <t>VÄSTERVIK</t>
        </is>
      </c>
      <c r="I2164" t="n">
        <v>1.6</v>
      </c>
      <c r="J2164" t="n">
        <v>0</v>
      </c>
      <c r="K2164" t="n">
        <v>0</v>
      </c>
      <c r="L2164" t="n">
        <v>0</v>
      </c>
      <c r="M2164" t="n">
        <v>0</v>
      </c>
      <c r="N2164" t="n">
        <v>0</v>
      </c>
      <c r="O2164" t="n">
        <v>0</v>
      </c>
      <c r="P2164" t="n">
        <v>0</v>
      </c>
      <c r="Q2164" t="n">
        <v>0</v>
      </c>
      <c r="R2164" t="n">
        <v>0</v>
      </c>
      <c r="S2164" t="n">
        <v>0</v>
      </c>
      <c r="T2164" t="n">
        <v>0</v>
      </c>
      <c r="U2164" t="n">
        <v>0</v>
      </c>
      <c r="V2164" s="2" t="inlineStr"/>
    </row>
    <row r="2165" ht="15" customHeight="1">
      <c r="A2165" t="inlineStr">
        <is>
          <t>A 49726-2024</t>
        </is>
      </c>
      <c r="B2165" t="inlineStr">
        <is>
          <t>avverkningsanmälan</t>
        </is>
      </c>
      <c r="C2165" t="inlineStr">
        <is>
          <t>Föryngringsavverkning</t>
        </is>
      </c>
      <c r="D2165" s="1" t="n">
        <v>45596</v>
      </c>
      <c r="E2165" s="1" t="n">
        <v>46323</v>
      </c>
      <c r="F2165" t="inlineStr">
        <is>
          <t>KALMAR LÄN</t>
        </is>
      </c>
      <c r="G2165" t="inlineStr">
        <is>
          <t>EMMABODA</t>
        </is>
      </c>
      <c r="I2165" t="n">
        <v>5.9</v>
      </c>
      <c r="J2165" t="n">
        <v>0</v>
      </c>
      <c r="K2165" t="n">
        <v>0</v>
      </c>
      <c r="L2165" t="n">
        <v>0</v>
      </c>
      <c r="M2165" t="n">
        <v>0</v>
      </c>
      <c r="N2165" t="n">
        <v>0</v>
      </c>
      <c r="O2165" t="n">
        <v>0</v>
      </c>
      <c r="P2165" t="n">
        <v>0</v>
      </c>
      <c r="Q2165" t="n">
        <v>0</v>
      </c>
      <c r="R2165" t="n">
        <v>0</v>
      </c>
      <c r="S2165" t="n">
        <v>0</v>
      </c>
      <c r="T2165" t="n">
        <v>0</v>
      </c>
      <c r="U2165" t="n">
        <v>0</v>
      </c>
      <c r="V2165" s="2" t="inlineStr"/>
    </row>
    <row r="2166" ht="15" customHeight="1">
      <c r="A2166" t="inlineStr">
        <is>
          <t>A 27471-2023</t>
        </is>
      </c>
      <c r="B2166" t="inlineStr">
        <is>
          <t>avverkningsanmälan</t>
        </is>
      </c>
      <c r="C2166" t="inlineStr">
        <is>
          <t>Föryngringsavverkning</t>
        </is>
      </c>
      <c r="D2166" s="1" t="n">
        <v>45097</v>
      </c>
      <c r="E2166" s="1" t="n">
        <v>46323</v>
      </c>
      <c r="F2166" t="inlineStr">
        <is>
          <t>KALMAR LÄN</t>
        </is>
      </c>
      <c r="G2166" t="inlineStr">
        <is>
          <t>KALMAR</t>
        </is>
      </c>
      <c r="I2166" t="n">
        <v>2.4</v>
      </c>
      <c r="J2166" t="n">
        <v>0</v>
      </c>
      <c r="K2166" t="n">
        <v>0</v>
      </c>
      <c r="L2166" t="n">
        <v>0</v>
      </c>
      <c r="M2166" t="n">
        <v>0</v>
      </c>
      <c r="N2166" t="n">
        <v>0</v>
      </c>
      <c r="O2166" t="n">
        <v>0</v>
      </c>
      <c r="P2166" t="n">
        <v>0</v>
      </c>
      <c r="Q2166" t="n">
        <v>0</v>
      </c>
      <c r="R2166" t="n">
        <v>0</v>
      </c>
      <c r="S2166" t="n">
        <v>0</v>
      </c>
      <c r="T2166" t="n">
        <v>0</v>
      </c>
      <c r="U2166" t="n">
        <v>0</v>
      </c>
      <c r="V2166" s="2" t="inlineStr"/>
    </row>
    <row r="2167" ht="15" customHeight="1">
      <c r="A2167" t="inlineStr">
        <is>
          <t>A 27486-2023</t>
        </is>
      </c>
      <c r="B2167" t="inlineStr">
        <is>
          <t>avverkningsanmälan</t>
        </is>
      </c>
      <c r="C2167" t="inlineStr">
        <is>
          <t>Föryngringsavverkning</t>
        </is>
      </c>
      <c r="D2167" s="1" t="n">
        <v>45097</v>
      </c>
      <c r="E2167" s="1" t="n">
        <v>46323</v>
      </c>
      <c r="F2167" t="inlineStr">
        <is>
          <t>KALMAR LÄN</t>
        </is>
      </c>
      <c r="G2167" t="inlineStr">
        <is>
          <t>OSKARSHAMN</t>
        </is>
      </c>
      <c r="I2167" t="n">
        <v>3.8</v>
      </c>
      <c r="J2167" t="n">
        <v>0</v>
      </c>
      <c r="K2167" t="n">
        <v>0</v>
      </c>
      <c r="L2167" t="n">
        <v>0</v>
      </c>
      <c r="M2167" t="n">
        <v>0</v>
      </c>
      <c r="N2167" t="n">
        <v>0</v>
      </c>
      <c r="O2167" t="n">
        <v>0</v>
      </c>
      <c r="P2167" t="n">
        <v>0</v>
      </c>
      <c r="Q2167" t="n">
        <v>0</v>
      </c>
      <c r="R2167" t="n">
        <v>0</v>
      </c>
      <c r="S2167" t="n">
        <v>0</v>
      </c>
      <c r="T2167" t="n">
        <v>0</v>
      </c>
      <c r="U2167" t="n">
        <v>0</v>
      </c>
      <c r="V2167" s="2" t="inlineStr"/>
    </row>
    <row r="2168" ht="15" customHeight="1">
      <c r="A2168" t="inlineStr">
        <is>
          <t>A 9688-2025</t>
        </is>
      </c>
      <c r="B2168" t="inlineStr">
        <is>
          <t>avverkningsanmälan</t>
        </is>
      </c>
      <c r="C2168" t="inlineStr">
        <is>
          <t>Föryngringsavverkning</t>
        </is>
      </c>
      <c r="D2168" s="1" t="n">
        <v>45716</v>
      </c>
      <c r="E2168" s="1" t="n">
        <v>46323</v>
      </c>
      <c r="F2168" t="inlineStr">
        <is>
          <t>KALMAR LÄN</t>
        </is>
      </c>
      <c r="G2168" t="inlineStr">
        <is>
          <t>EMMABODA</t>
        </is>
      </c>
      <c r="I2168" t="n">
        <v>0.9</v>
      </c>
      <c r="J2168" t="n">
        <v>0</v>
      </c>
      <c r="K2168" t="n">
        <v>0</v>
      </c>
      <c r="L2168" t="n">
        <v>0</v>
      </c>
      <c r="M2168" t="n">
        <v>0</v>
      </c>
      <c r="N2168" t="n">
        <v>0</v>
      </c>
      <c r="O2168" t="n">
        <v>0</v>
      </c>
      <c r="P2168" t="n">
        <v>0</v>
      </c>
      <c r="Q2168" t="n">
        <v>0</v>
      </c>
      <c r="R2168" t="n">
        <v>0</v>
      </c>
      <c r="S2168" t="n">
        <v>0</v>
      </c>
      <c r="T2168" t="n">
        <v>0</v>
      </c>
      <c r="U2168" t="n">
        <v>0</v>
      </c>
      <c r="V2168" s="2" t="inlineStr"/>
    </row>
    <row r="2169" ht="15" customHeight="1">
      <c r="A2169" t="inlineStr">
        <is>
          <t>A 38071-2024</t>
        </is>
      </c>
      <c r="B2169" t="inlineStr">
        <is>
          <t>avverkningsanmälan</t>
        </is>
      </c>
      <c r="C2169" t="inlineStr">
        <is>
          <t>Avverkning för annat ändamål</t>
        </is>
      </c>
      <c r="D2169" s="1" t="n">
        <v>45544</v>
      </c>
      <c r="E2169" s="1" t="n">
        <v>46323</v>
      </c>
      <c r="F2169" t="inlineStr">
        <is>
          <t>KALMAR LÄN</t>
        </is>
      </c>
      <c r="G2169" t="inlineStr">
        <is>
          <t>KALMAR</t>
        </is>
      </c>
      <c r="H2169" t="inlineStr">
        <is>
          <t>Kommuner</t>
        </is>
      </c>
      <c r="I2169" t="n">
        <v>1.5</v>
      </c>
      <c r="J2169" t="n">
        <v>0</v>
      </c>
      <c r="K2169" t="n">
        <v>0</v>
      </c>
      <c r="L2169" t="n">
        <v>0</v>
      </c>
      <c r="M2169" t="n">
        <v>0</v>
      </c>
      <c r="N2169" t="n">
        <v>0</v>
      </c>
      <c r="O2169" t="n">
        <v>0</v>
      </c>
      <c r="P2169" t="n">
        <v>0</v>
      </c>
      <c r="Q2169" t="n">
        <v>0</v>
      </c>
      <c r="R2169" t="n">
        <v>0</v>
      </c>
      <c r="S2169" t="n">
        <v>0</v>
      </c>
      <c r="T2169" t="n">
        <v>0</v>
      </c>
      <c r="U2169" t="n">
        <v>0</v>
      </c>
      <c r="V2169" s="2" t="inlineStr"/>
    </row>
    <row r="2170" ht="15" customHeight="1">
      <c r="A2170" t="inlineStr">
        <is>
          <t>A 15437-2023</t>
        </is>
      </c>
      <c r="B2170" t="inlineStr">
        <is>
          <t>avverkningsanmälan</t>
        </is>
      </c>
      <c r="C2170" t="inlineStr">
        <is>
          <t>Föryngringsavverkning</t>
        </is>
      </c>
      <c r="D2170" s="1" t="n">
        <v>45016</v>
      </c>
      <c r="E2170" s="1" t="n">
        <v>46323</v>
      </c>
      <c r="F2170" t="inlineStr">
        <is>
          <t>KALMAR LÄN</t>
        </is>
      </c>
      <c r="G2170" t="inlineStr">
        <is>
          <t>HULTSFRED</t>
        </is>
      </c>
      <c r="I2170" t="n">
        <v>1.2</v>
      </c>
      <c r="J2170" t="n">
        <v>0</v>
      </c>
      <c r="K2170" t="n">
        <v>0</v>
      </c>
      <c r="L2170" t="n">
        <v>0</v>
      </c>
      <c r="M2170" t="n">
        <v>0</v>
      </c>
      <c r="N2170" t="n">
        <v>0</v>
      </c>
      <c r="O2170" t="n">
        <v>0</v>
      </c>
      <c r="P2170" t="n">
        <v>0</v>
      </c>
      <c r="Q2170" t="n">
        <v>0</v>
      </c>
      <c r="R2170" t="n">
        <v>0</v>
      </c>
      <c r="S2170" t="n">
        <v>0</v>
      </c>
      <c r="T2170" t="n">
        <v>0</v>
      </c>
      <c r="U2170" t="n">
        <v>0</v>
      </c>
      <c r="V2170" s="2" t="inlineStr"/>
    </row>
    <row r="2171" ht="15" customHeight="1">
      <c r="A2171" t="inlineStr">
        <is>
          <t>A 7438-2023</t>
        </is>
      </c>
      <c r="B2171" t="inlineStr">
        <is>
          <t>avverkningsanmälan</t>
        </is>
      </c>
      <c r="C2171" t="inlineStr">
        <is>
          <t>Föryngringsavverkning</t>
        </is>
      </c>
      <c r="D2171" s="1" t="n">
        <v>44966</v>
      </c>
      <c r="E2171" s="1" t="n">
        <v>46323</v>
      </c>
      <c r="F2171" t="inlineStr">
        <is>
          <t>KALMAR LÄN</t>
        </is>
      </c>
      <c r="G2171" t="inlineStr">
        <is>
          <t>HÖGSBY</t>
        </is>
      </c>
      <c r="I2171" t="n">
        <v>1.9</v>
      </c>
      <c r="J2171" t="n">
        <v>0</v>
      </c>
      <c r="K2171" t="n">
        <v>0</v>
      </c>
      <c r="L2171" t="n">
        <v>0</v>
      </c>
      <c r="M2171" t="n">
        <v>0</v>
      </c>
      <c r="N2171" t="n">
        <v>0</v>
      </c>
      <c r="O2171" t="n">
        <v>0</v>
      </c>
      <c r="P2171" t="n">
        <v>0</v>
      </c>
      <c r="Q2171" t="n">
        <v>0</v>
      </c>
      <c r="R2171" t="n">
        <v>0</v>
      </c>
      <c r="S2171" t="n">
        <v>0</v>
      </c>
      <c r="T2171" t="n">
        <v>0</v>
      </c>
      <c r="U2171" t="n">
        <v>0</v>
      </c>
      <c r="V2171" s="2" t="inlineStr"/>
    </row>
    <row r="2172" ht="15" customHeight="1">
      <c r="A2172" t="inlineStr">
        <is>
          <t>A 53129-2022</t>
        </is>
      </c>
      <c r="B2172" t="inlineStr">
        <is>
          <t>avverkningsanmälan</t>
        </is>
      </c>
      <c r="C2172" t="inlineStr">
        <is>
          <t>Föryngringsavverkning</t>
        </is>
      </c>
      <c r="D2172" s="1" t="n">
        <v>44876</v>
      </c>
      <c r="E2172" s="1" t="n">
        <v>46323</v>
      </c>
      <c r="F2172" t="inlineStr">
        <is>
          <t>KALMAR LÄN</t>
        </is>
      </c>
      <c r="G2172" t="inlineStr">
        <is>
          <t>HÖGSBY</t>
        </is>
      </c>
      <c r="I2172" t="n">
        <v>1.4</v>
      </c>
      <c r="J2172" t="n">
        <v>0</v>
      </c>
      <c r="K2172" t="n">
        <v>0</v>
      </c>
      <c r="L2172" t="n">
        <v>0</v>
      </c>
      <c r="M2172" t="n">
        <v>0</v>
      </c>
      <c r="N2172" t="n">
        <v>0</v>
      </c>
      <c r="O2172" t="n">
        <v>0</v>
      </c>
      <c r="P2172" t="n">
        <v>0</v>
      </c>
      <c r="Q2172" t="n">
        <v>0</v>
      </c>
      <c r="R2172" t="n">
        <v>0</v>
      </c>
      <c r="S2172" t="n">
        <v>0</v>
      </c>
      <c r="T2172" t="n">
        <v>0</v>
      </c>
      <c r="U2172" t="n">
        <v>0</v>
      </c>
      <c r="V2172" s="2" t="inlineStr"/>
    </row>
    <row r="2173" ht="15" customHeight="1">
      <c r="A2173" t="inlineStr">
        <is>
          <t>A 40991-2024</t>
        </is>
      </c>
      <c r="B2173" t="inlineStr">
        <is>
          <t>avverkningsanmälan</t>
        </is>
      </c>
      <c r="C2173" t="inlineStr">
        <is>
          <t>Föryngringsavverkning</t>
        </is>
      </c>
      <c r="D2173" s="1" t="n">
        <v>45558</v>
      </c>
      <c r="E2173" s="1" t="n">
        <v>46323</v>
      </c>
      <c r="F2173" t="inlineStr">
        <is>
          <t>KALMAR LÄN</t>
        </is>
      </c>
      <c r="G2173" t="inlineStr">
        <is>
          <t>MÖNSTERÅS</t>
        </is>
      </c>
      <c r="I2173" t="n">
        <v>3.7</v>
      </c>
      <c r="J2173" t="n">
        <v>0</v>
      </c>
      <c r="K2173" t="n">
        <v>0</v>
      </c>
      <c r="L2173" t="n">
        <v>0</v>
      </c>
      <c r="M2173" t="n">
        <v>0</v>
      </c>
      <c r="N2173" t="n">
        <v>0</v>
      </c>
      <c r="O2173" t="n">
        <v>0</v>
      </c>
      <c r="P2173" t="n">
        <v>0</v>
      </c>
      <c r="Q2173" t="n">
        <v>0</v>
      </c>
      <c r="R2173" t="n">
        <v>0</v>
      </c>
      <c r="S2173" t="n">
        <v>0</v>
      </c>
      <c r="T2173" t="n">
        <v>0</v>
      </c>
      <c r="U2173" t="n">
        <v>0</v>
      </c>
      <c r="V2173" s="2" t="inlineStr"/>
    </row>
    <row r="2174" ht="15" customHeight="1">
      <c r="A2174" t="inlineStr">
        <is>
          <t>A 33440-2023</t>
        </is>
      </c>
      <c r="B2174" t="inlineStr">
        <is>
          <t>avverkningsanmälan</t>
        </is>
      </c>
      <c r="C2174" t="inlineStr">
        <is>
          <t>Föryngringsavverkning</t>
        </is>
      </c>
      <c r="D2174" s="1" t="n">
        <v>45129</v>
      </c>
      <c r="E2174" s="1" t="n">
        <v>46323</v>
      </c>
      <c r="F2174" t="inlineStr">
        <is>
          <t>KALMAR LÄN</t>
        </is>
      </c>
      <c r="G2174" t="inlineStr">
        <is>
          <t>HULTSFRED</t>
        </is>
      </c>
      <c r="I2174" t="n">
        <v>2.4</v>
      </c>
      <c r="J2174" t="n">
        <v>0</v>
      </c>
      <c r="K2174" t="n">
        <v>0</v>
      </c>
      <c r="L2174" t="n">
        <v>0</v>
      </c>
      <c r="M2174" t="n">
        <v>0</v>
      </c>
      <c r="N2174" t="n">
        <v>0</v>
      </c>
      <c r="O2174" t="n">
        <v>0</v>
      </c>
      <c r="P2174" t="n">
        <v>0</v>
      </c>
      <c r="Q2174" t="n">
        <v>0</v>
      </c>
      <c r="R2174" t="n">
        <v>0</v>
      </c>
      <c r="S2174" t="n">
        <v>0</v>
      </c>
      <c r="T2174" t="n">
        <v>0</v>
      </c>
      <c r="U2174" t="n">
        <v>0</v>
      </c>
      <c r="V2174" s="2" t="inlineStr"/>
    </row>
    <row r="2175" ht="15" customHeight="1">
      <c r="A2175" t="inlineStr">
        <is>
          <t>A 28395-2023</t>
        </is>
      </c>
      <c r="B2175" t="inlineStr">
        <is>
          <t>avverkningsanmälan</t>
        </is>
      </c>
      <c r="C2175" t="inlineStr">
        <is>
          <t>Föryngringsavverkning</t>
        </is>
      </c>
      <c r="D2175" s="1" t="n">
        <v>45100</v>
      </c>
      <c r="E2175" s="1" t="n">
        <v>46323</v>
      </c>
      <c r="F2175" t="inlineStr">
        <is>
          <t>KALMAR LÄN</t>
        </is>
      </c>
      <c r="G2175" t="inlineStr">
        <is>
          <t>VIMMERBY</t>
        </is>
      </c>
      <c r="I2175" t="n">
        <v>1.4</v>
      </c>
      <c r="J2175" t="n">
        <v>0</v>
      </c>
      <c r="K2175" t="n">
        <v>0</v>
      </c>
      <c r="L2175" t="n">
        <v>0</v>
      </c>
      <c r="M2175" t="n">
        <v>0</v>
      </c>
      <c r="N2175" t="n">
        <v>0</v>
      </c>
      <c r="O2175" t="n">
        <v>0</v>
      </c>
      <c r="P2175" t="n">
        <v>0</v>
      </c>
      <c r="Q2175" t="n">
        <v>0</v>
      </c>
      <c r="R2175" t="n">
        <v>0</v>
      </c>
      <c r="S2175" t="n">
        <v>0</v>
      </c>
      <c r="T2175" t="n">
        <v>0</v>
      </c>
      <c r="U2175" t="n">
        <v>0</v>
      </c>
      <c r="V2175" s="2" t="inlineStr"/>
    </row>
    <row r="2176" ht="15" customHeight="1">
      <c r="A2176" t="inlineStr">
        <is>
          <t>A 6195-2025</t>
        </is>
      </c>
      <c r="B2176" t="inlineStr">
        <is>
          <t>avverkningsanmälan</t>
        </is>
      </c>
      <c r="C2176" t="inlineStr">
        <is>
          <t>Föryngringsavverkning</t>
        </is>
      </c>
      <c r="D2176" s="1" t="n">
        <v>45698</v>
      </c>
      <c r="E2176" s="1" t="n">
        <v>46323</v>
      </c>
      <c r="F2176" t="inlineStr">
        <is>
          <t>KALMAR LÄN</t>
        </is>
      </c>
      <c r="G2176" t="inlineStr">
        <is>
          <t>NYBRO</t>
        </is>
      </c>
      <c r="I2176" t="n">
        <v>1.5</v>
      </c>
      <c r="J2176" t="n">
        <v>0</v>
      </c>
      <c r="K2176" t="n">
        <v>0</v>
      </c>
      <c r="L2176" t="n">
        <v>0</v>
      </c>
      <c r="M2176" t="n">
        <v>0</v>
      </c>
      <c r="N2176" t="n">
        <v>0</v>
      </c>
      <c r="O2176" t="n">
        <v>0</v>
      </c>
      <c r="P2176" t="n">
        <v>0</v>
      </c>
      <c r="Q2176" t="n">
        <v>0</v>
      </c>
      <c r="R2176" t="n">
        <v>0</v>
      </c>
      <c r="S2176" t="n">
        <v>0</v>
      </c>
      <c r="T2176" t="n">
        <v>0</v>
      </c>
      <c r="U2176" t="n">
        <v>0</v>
      </c>
      <c r="V2176" s="2" t="inlineStr"/>
    </row>
    <row r="2177" ht="15" customHeight="1">
      <c r="A2177" t="inlineStr">
        <is>
          <t>A 51449-2024</t>
        </is>
      </c>
      <c r="B2177" t="inlineStr">
        <is>
          <t>avverkningsanmälan</t>
        </is>
      </c>
      <c r="C2177" t="inlineStr">
        <is>
          <t>Föryngringsavverkning</t>
        </is>
      </c>
      <c r="D2177" s="1" t="n">
        <v>45603</v>
      </c>
      <c r="E2177" s="1" t="n">
        <v>46323</v>
      </c>
      <c r="F2177" t="inlineStr">
        <is>
          <t>KALMAR LÄN</t>
        </is>
      </c>
      <c r="G2177" t="inlineStr">
        <is>
          <t>NYBRO</t>
        </is>
      </c>
      <c r="I2177" t="n">
        <v>3.7</v>
      </c>
      <c r="J2177" t="n">
        <v>0</v>
      </c>
      <c r="K2177" t="n">
        <v>0</v>
      </c>
      <c r="L2177" t="n">
        <v>0</v>
      </c>
      <c r="M2177" t="n">
        <v>0</v>
      </c>
      <c r="N2177" t="n">
        <v>0</v>
      </c>
      <c r="O2177" t="n">
        <v>0</v>
      </c>
      <c r="P2177" t="n">
        <v>0</v>
      </c>
      <c r="Q2177" t="n">
        <v>0</v>
      </c>
      <c r="R2177" t="n">
        <v>0</v>
      </c>
      <c r="S2177" t="n">
        <v>0</v>
      </c>
      <c r="T2177" t="n">
        <v>0</v>
      </c>
      <c r="U2177" t="n">
        <v>0</v>
      </c>
      <c r="V2177" s="2" t="inlineStr"/>
    </row>
    <row r="2178" ht="15" customHeight="1">
      <c r="A2178" t="inlineStr">
        <is>
          <t>A 46267-2022</t>
        </is>
      </c>
      <c r="B2178" t="inlineStr">
        <is>
          <t>avverkningsanmälan</t>
        </is>
      </c>
      <c r="C2178" t="inlineStr">
        <is>
          <t>Föryngringsavverkning</t>
        </is>
      </c>
      <c r="D2178" s="1" t="n">
        <v>44847</v>
      </c>
      <c r="E2178" s="1" t="n">
        <v>46323</v>
      </c>
      <c r="F2178" t="inlineStr">
        <is>
          <t>KALMAR LÄN</t>
        </is>
      </c>
      <c r="G2178" t="inlineStr">
        <is>
          <t>VÄSTERVIK</t>
        </is>
      </c>
      <c r="I2178" t="n">
        <v>1.7</v>
      </c>
      <c r="J2178" t="n">
        <v>0</v>
      </c>
      <c r="K2178" t="n">
        <v>0</v>
      </c>
      <c r="L2178" t="n">
        <v>0</v>
      </c>
      <c r="M2178" t="n">
        <v>0</v>
      </c>
      <c r="N2178" t="n">
        <v>0</v>
      </c>
      <c r="O2178" t="n">
        <v>0</v>
      </c>
      <c r="P2178" t="n">
        <v>0</v>
      </c>
      <c r="Q2178" t="n">
        <v>0</v>
      </c>
      <c r="R2178" t="n">
        <v>0</v>
      </c>
      <c r="S2178" t="n">
        <v>0</v>
      </c>
      <c r="T2178" t="n">
        <v>0</v>
      </c>
      <c r="U2178" t="n">
        <v>0</v>
      </c>
      <c r="V2178" s="2" t="inlineStr"/>
    </row>
    <row r="2179" ht="15" customHeight="1">
      <c r="A2179" t="inlineStr">
        <is>
          <t>A 2587-2023</t>
        </is>
      </c>
      <c r="B2179" t="inlineStr">
        <is>
          <t>avverkningsanmälan</t>
        </is>
      </c>
      <c r="C2179" t="inlineStr">
        <is>
          <t>Föryngringsavverkning</t>
        </is>
      </c>
      <c r="D2179" s="1" t="n">
        <v>44943</v>
      </c>
      <c r="E2179" s="1" t="n">
        <v>46323</v>
      </c>
      <c r="F2179" t="inlineStr">
        <is>
          <t>KALMAR LÄN</t>
        </is>
      </c>
      <c r="G2179" t="inlineStr">
        <is>
          <t>OSKARSHAMN</t>
        </is>
      </c>
      <c r="I2179" t="n">
        <v>10.8</v>
      </c>
      <c r="J2179" t="n">
        <v>0</v>
      </c>
      <c r="K2179" t="n">
        <v>0</v>
      </c>
      <c r="L2179" t="n">
        <v>0</v>
      </c>
      <c r="M2179" t="n">
        <v>0</v>
      </c>
      <c r="N2179" t="n">
        <v>0</v>
      </c>
      <c r="O2179" t="n">
        <v>0</v>
      </c>
      <c r="P2179" t="n">
        <v>0</v>
      </c>
      <c r="Q2179" t="n">
        <v>0</v>
      </c>
      <c r="R2179" t="n">
        <v>0</v>
      </c>
      <c r="S2179" t="n">
        <v>0</v>
      </c>
      <c r="T2179" t="n">
        <v>0</v>
      </c>
      <c r="U2179" t="n">
        <v>0</v>
      </c>
      <c r="V2179" s="2" t="inlineStr"/>
    </row>
    <row r="2180" ht="15" customHeight="1">
      <c r="A2180" t="inlineStr">
        <is>
          <t>A 27761-2024</t>
        </is>
      </c>
      <c r="B2180" t="inlineStr">
        <is>
          <t>avverkningsanmälan</t>
        </is>
      </c>
      <c r="C2180" t="inlineStr">
        <is>
          <t>Föryngringsavverkning</t>
        </is>
      </c>
      <c r="D2180" s="1" t="n">
        <v>45475</v>
      </c>
      <c r="E2180" s="1" t="n">
        <v>46323</v>
      </c>
      <c r="F2180" t="inlineStr">
        <is>
          <t>KALMAR LÄN</t>
        </is>
      </c>
      <c r="G2180" t="inlineStr">
        <is>
          <t>VIMMERBY</t>
        </is>
      </c>
      <c r="I2180" t="n">
        <v>0.6</v>
      </c>
      <c r="J2180" t="n">
        <v>0</v>
      </c>
      <c r="K2180" t="n">
        <v>0</v>
      </c>
      <c r="L2180" t="n">
        <v>0</v>
      </c>
      <c r="M2180" t="n">
        <v>0</v>
      </c>
      <c r="N2180" t="n">
        <v>0</v>
      </c>
      <c r="O2180" t="n">
        <v>0</v>
      </c>
      <c r="P2180" t="n">
        <v>0</v>
      </c>
      <c r="Q2180" t="n">
        <v>0</v>
      </c>
      <c r="R2180" t="n">
        <v>0</v>
      </c>
      <c r="S2180" t="n">
        <v>0</v>
      </c>
      <c r="T2180" t="n">
        <v>0</v>
      </c>
      <c r="U2180" t="n">
        <v>0</v>
      </c>
      <c r="V2180" s="2" t="inlineStr"/>
    </row>
    <row r="2181" ht="15" customHeight="1">
      <c r="A2181" t="inlineStr">
        <is>
          <t>A 56613-2023</t>
        </is>
      </c>
      <c r="B2181" t="inlineStr">
        <is>
          <t>avverkningsanmälan</t>
        </is>
      </c>
      <c r="C2181" t="inlineStr">
        <is>
          <t>Föryngringsavverkning</t>
        </is>
      </c>
      <c r="D2181" s="1" t="n">
        <v>45243</v>
      </c>
      <c r="E2181" s="1" t="n">
        <v>46323</v>
      </c>
      <c r="F2181" t="inlineStr">
        <is>
          <t>KALMAR LÄN</t>
        </is>
      </c>
      <c r="G2181" t="inlineStr">
        <is>
          <t>TORSÅS</t>
        </is>
      </c>
      <c r="I2181" t="n">
        <v>1.1</v>
      </c>
      <c r="J2181" t="n">
        <v>0</v>
      </c>
      <c r="K2181" t="n">
        <v>0</v>
      </c>
      <c r="L2181" t="n">
        <v>0</v>
      </c>
      <c r="M2181" t="n">
        <v>0</v>
      </c>
      <c r="N2181" t="n">
        <v>0</v>
      </c>
      <c r="O2181" t="n">
        <v>0</v>
      </c>
      <c r="P2181" t="n">
        <v>0</v>
      </c>
      <c r="Q2181" t="n">
        <v>0</v>
      </c>
      <c r="R2181" t="n">
        <v>0</v>
      </c>
      <c r="S2181" t="n">
        <v>0</v>
      </c>
      <c r="T2181" t="n">
        <v>0</v>
      </c>
      <c r="U2181" t="n">
        <v>0</v>
      </c>
      <c r="V2181" s="2" t="inlineStr"/>
    </row>
    <row r="2182" ht="15" customHeight="1">
      <c r="A2182" t="inlineStr">
        <is>
          <t>A 12956-2023</t>
        </is>
      </c>
      <c r="B2182" t="inlineStr">
        <is>
          <t>avverkningsanmälan</t>
        </is>
      </c>
      <c r="C2182" t="inlineStr">
        <is>
          <t>Föryngringsavverkning</t>
        </is>
      </c>
      <c r="D2182" s="1" t="n">
        <v>45001</v>
      </c>
      <c r="E2182" s="1" t="n">
        <v>46323</v>
      </c>
      <c r="F2182" t="inlineStr">
        <is>
          <t>KALMAR LÄN</t>
        </is>
      </c>
      <c r="G2182" t="inlineStr">
        <is>
          <t>TORSÅS</t>
        </is>
      </c>
      <c r="I2182" t="n">
        <v>2.2</v>
      </c>
      <c r="J2182" t="n">
        <v>0</v>
      </c>
      <c r="K2182" t="n">
        <v>0</v>
      </c>
      <c r="L2182" t="n">
        <v>0</v>
      </c>
      <c r="M2182" t="n">
        <v>0</v>
      </c>
      <c r="N2182" t="n">
        <v>0</v>
      </c>
      <c r="O2182" t="n">
        <v>0</v>
      </c>
      <c r="P2182" t="n">
        <v>0</v>
      </c>
      <c r="Q2182" t="n">
        <v>0</v>
      </c>
      <c r="R2182" t="n">
        <v>0</v>
      </c>
      <c r="S2182" t="n">
        <v>0</v>
      </c>
      <c r="T2182" t="n">
        <v>0</v>
      </c>
      <c r="U2182" t="n">
        <v>0</v>
      </c>
      <c r="V2182" s="2" t="inlineStr"/>
    </row>
    <row r="2183" ht="15" customHeight="1">
      <c r="A2183" t="inlineStr">
        <is>
          <t>A 12957-2023</t>
        </is>
      </c>
      <c r="B2183" t="inlineStr">
        <is>
          <t>avverkningsanmälan</t>
        </is>
      </c>
      <c r="C2183" t="inlineStr">
        <is>
          <t>Föryngringsavverkning</t>
        </is>
      </c>
      <c r="D2183" s="1" t="n">
        <v>45001</v>
      </c>
      <c r="E2183" s="1" t="n">
        <v>46323</v>
      </c>
      <c r="F2183" t="inlineStr">
        <is>
          <t>KALMAR LÄN</t>
        </is>
      </c>
      <c r="G2183" t="inlineStr">
        <is>
          <t>TORSÅS</t>
        </is>
      </c>
      <c r="I2183" t="n">
        <v>1.9</v>
      </c>
      <c r="J2183" t="n">
        <v>0</v>
      </c>
      <c r="K2183" t="n">
        <v>0</v>
      </c>
      <c r="L2183" t="n">
        <v>0</v>
      </c>
      <c r="M2183" t="n">
        <v>0</v>
      </c>
      <c r="N2183" t="n">
        <v>0</v>
      </c>
      <c r="O2183" t="n">
        <v>0</v>
      </c>
      <c r="P2183" t="n">
        <v>0</v>
      </c>
      <c r="Q2183" t="n">
        <v>0</v>
      </c>
      <c r="R2183" t="n">
        <v>0</v>
      </c>
      <c r="S2183" t="n">
        <v>0</v>
      </c>
      <c r="T2183" t="n">
        <v>0</v>
      </c>
      <c r="U2183" t="n">
        <v>0</v>
      </c>
      <c r="V2183" s="2" t="inlineStr"/>
    </row>
    <row r="2184" ht="15" customHeight="1">
      <c r="A2184" t="inlineStr">
        <is>
          <t>A 21028-2023</t>
        </is>
      </c>
      <c r="B2184" t="inlineStr">
        <is>
          <t>avverkningsanmälan</t>
        </is>
      </c>
      <c r="C2184" t="inlineStr">
        <is>
          <t>Föryngringsavverkning</t>
        </is>
      </c>
      <c r="D2184" s="1" t="n">
        <v>45061</v>
      </c>
      <c r="E2184" s="1" t="n">
        <v>46323</v>
      </c>
      <c r="F2184" t="inlineStr">
        <is>
          <t>KALMAR LÄN</t>
        </is>
      </c>
      <c r="G2184" t="inlineStr">
        <is>
          <t>VIMMERBY</t>
        </is>
      </c>
      <c r="H2184" t="inlineStr">
        <is>
          <t>Övriga Aktiebolag</t>
        </is>
      </c>
      <c r="I2184" t="n">
        <v>0.7</v>
      </c>
      <c r="J2184" t="n">
        <v>0</v>
      </c>
      <c r="K2184" t="n">
        <v>0</v>
      </c>
      <c r="L2184" t="n">
        <v>0</v>
      </c>
      <c r="M2184" t="n">
        <v>0</v>
      </c>
      <c r="N2184" t="n">
        <v>0</v>
      </c>
      <c r="O2184" t="n">
        <v>0</v>
      </c>
      <c r="P2184" t="n">
        <v>0</v>
      </c>
      <c r="Q2184" t="n">
        <v>0</v>
      </c>
      <c r="R2184" t="n">
        <v>0</v>
      </c>
      <c r="S2184" t="n">
        <v>0</v>
      </c>
      <c r="T2184" t="n">
        <v>0</v>
      </c>
      <c r="U2184" t="n">
        <v>0</v>
      </c>
      <c r="V2184" s="2" t="inlineStr"/>
    </row>
    <row r="2185" ht="15" customHeight="1">
      <c r="A2185" t="inlineStr">
        <is>
          <t>A 7495-2023</t>
        </is>
      </c>
      <c r="B2185" t="inlineStr">
        <is>
          <t>avverkningsanmälan</t>
        </is>
      </c>
      <c r="C2185" t="inlineStr">
        <is>
          <t>Föryngringsavverkning</t>
        </is>
      </c>
      <c r="D2185" s="1" t="n">
        <v>44971</v>
      </c>
      <c r="E2185" s="1" t="n">
        <v>46323</v>
      </c>
      <c r="F2185" t="inlineStr">
        <is>
          <t>KALMAR LÄN</t>
        </is>
      </c>
      <c r="G2185" t="inlineStr">
        <is>
          <t>KALMAR</t>
        </is>
      </c>
      <c r="I2185" t="n">
        <v>3.7</v>
      </c>
      <c r="J2185" t="n">
        <v>0</v>
      </c>
      <c r="K2185" t="n">
        <v>0</v>
      </c>
      <c r="L2185" t="n">
        <v>0</v>
      </c>
      <c r="M2185" t="n">
        <v>0</v>
      </c>
      <c r="N2185" t="n">
        <v>0</v>
      </c>
      <c r="O2185" t="n">
        <v>0</v>
      </c>
      <c r="P2185" t="n">
        <v>0</v>
      </c>
      <c r="Q2185" t="n">
        <v>0</v>
      </c>
      <c r="R2185" t="n">
        <v>0</v>
      </c>
      <c r="S2185" t="n">
        <v>0</v>
      </c>
      <c r="T2185" t="n">
        <v>0</v>
      </c>
      <c r="U2185" t="n">
        <v>0</v>
      </c>
      <c r="V2185" s="2" t="inlineStr"/>
    </row>
    <row r="2186" ht="15" customHeight="1">
      <c r="A2186" t="inlineStr">
        <is>
          <t>A 3642-2024</t>
        </is>
      </c>
      <c r="B2186" t="inlineStr">
        <is>
          <t>avverkningsanmälan</t>
        </is>
      </c>
      <c r="C2186" t="inlineStr">
        <is>
          <t>Föryngringsavverkning</t>
        </is>
      </c>
      <c r="D2186" s="1" t="n">
        <v>45321</v>
      </c>
      <c r="E2186" s="1" t="n">
        <v>46323</v>
      </c>
      <c r="F2186" t="inlineStr">
        <is>
          <t>KALMAR LÄN</t>
        </is>
      </c>
      <c r="G2186" t="inlineStr">
        <is>
          <t>NYBRO</t>
        </is>
      </c>
      <c r="I2186" t="n">
        <v>0.5</v>
      </c>
      <c r="J2186" t="n">
        <v>0</v>
      </c>
      <c r="K2186" t="n">
        <v>0</v>
      </c>
      <c r="L2186" t="n">
        <v>0</v>
      </c>
      <c r="M2186" t="n">
        <v>0</v>
      </c>
      <c r="N2186" t="n">
        <v>0</v>
      </c>
      <c r="O2186" t="n">
        <v>0</v>
      </c>
      <c r="P2186" t="n">
        <v>0</v>
      </c>
      <c r="Q2186" t="n">
        <v>0</v>
      </c>
      <c r="R2186" t="n">
        <v>0</v>
      </c>
      <c r="S2186" t="n">
        <v>0</v>
      </c>
      <c r="T2186" t="n">
        <v>0</v>
      </c>
      <c r="U2186" t="n">
        <v>0</v>
      </c>
      <c r="V2186" s="2" t="inlineStr"/>
    </row>
    <row r="2187" ht="15" customHeight="1">
      <c r="A2187" t="inlineStr">
        <is>
          <t>A 17179-2023</t>
        </is>
      </c>
      <c r="B2187" t="inlineStr">
        <is>
          <t>avverkningsanmälan</t>
        </is>
      </c>
      <c r="C2187" t="inlineStr">
        <is>
          <t>Föryngringsavverkning</t>
        </is>
      </c>
      <c r="D2187" s="1" t="n">
        <v>45034</v>
      </c>
      <c r="E2187" s="1" t="n">
        <v>46323</v>
      </c>
      <c r="F2187" t="inlineStr">
        <is>
          <t>KALMAR LÄN</t>
        </is>
      </c>
      <c r="G2187" t="inlineStr">
        <is>
          <t>OSKARSHAMN</t>
        </is>
      </c>
      <c r="I2187" t="n">
        <v>1.9</v>
      </c>
      <c r="J2187" t="n">
        <v>0</v>
      </c>
      <c r="K2187" t="n">
        <v>0</v>
      </c>
      <c r="L2187" t="n">
        <v>0</v>
      </c>
      <c r="M2187" t="n">
        <v>0</v>
      </c>
      <c r="N2187" t="n">
        <v>0</v>
      </c>
      <c r="O2187" t="n">
        <v>0</v>
      </c>
      <c r="P2187" t="n">
        <v>0</v>
      </c>
      <c r="Q2187" t="n">
        <v>0</v>
      </c>
      <c r="R2187" t="n">
        <v>0</v>
      </c>
      <c r="S2187" t="n">
        <v>0</v>
      </c>
      <c r="T2187" t="n">
        <v>0</v>
      </c>
      <c r="U2187" t="n">
        <v>0</v>
      </c>
      <c r="V2187" s="2" t="inlineStr"/>
    </row>
    <row r="2188" ht="15" customHeight="1">
      <c r="A2188" t="inlineStr">
        <is>
          <t>A 64203-2021</t>
        </is>
      </c>
      <c r="B2188" t="inlineStr">
        <is>
          <t>avverkningsanmälan</t>
        </is>
      </c>
      <c r="C2188" t="inlineStr">
        <is>
          <t>Föryngringsavverkning</t>
        </is>
      </c>
      <c r="D2188" s="1" t="n">
        <v>44510</v>
      </c>
      <c r="E2188" s="1" t="n">
        <v>46323</v>
      </c>
      <c r="F2188" t="inlineStr">
        <is>
          <t>KALMAR LÄN</t>
        </is>
      </c>
      <c r="G2188" t="inlineStr">
        <is>
          <t>VIMMERBY</t>
        </is>
      </c>
      <c r="H2188" t="inlineStr">
        <is>
          <t>Övriga Aktiebolag</t>
        </is>
      </c>
      <c r="I2188" t="n">
        <v>5.4</v>
      </c>
      <c r="J2188" t="n">
        <v>0</v>
      </c>
      <c r="K2188" t="n">
        <v>0</v>
      </c>
      <c r="L2188" t="n">
        <v>0</v>
      </c>
      <c r="M2188" t="n">
        <v>0</v>
      </c>
      <c r="N2188" t="n">
        <v>0</v>
      </c>
      <c r="O2188" t="n">
        <v>0</v>
      </c>
      <c r="P2188" t="n">
        <v>0</v>
      </c>
      <c r="Q2188" t="n">
        <v>0</v>
      </c>
      <c r="R2188" t="n">
        <v>0</v>
      </c>
      <c r="S2188" t="n">
        <v>0</v>
      </c>
      <c r="T2188" t="n">
        <v>0</v>
      </c>
      <c r="U2188" t="n">
        <v>0</v>
      </c>
      <c r="V2188" s="2" t="inlineStr"/>
    </row>
    <row r="2189" ht="15" customHeight="1">
      <c r="A2189" t="inlineStr">
        <is>
          <t>A 28441-2023</t>
        </is>
      </c>
      <c r="B2189" t="inlineStr">
        <is>
          <t>avverkningsanmälan</t>
        </is>
      </c>
      <c r="C2189" t="inlineStr">
        <is>
          <t>Föryngringsavverkning</t>
        </is>
      </c>
      <c r="D2189" s="1" t="n">
        <v>45102</v>
      </c>
      <c r="E2189" s="1" t="n">
        <v>46323</v>
      </c>
      <c r="F2189" t="inlineStr">
        <is>
          <t>KALMAR LÄN</t>
        </is>
      </c>
      <c r="G2189" t="inlineStr">
        <is>
          <t>EMMABODA</t>
        </is>
      </c>
      <c r="I2189" t="n">
        <v>2.2</v>
      </c>
      <c r="J2189" t="n">
        <v>0</v>
      </c>
      <c r="K2189" t="n">
        <v>0</v>
      </c>
      <c r="L2189" t="n">
        <v>0</v>
      </c>
      <c r="M2189" t="n">
        <v>0</v>
      </c>
      <c r="N2189" t="n">
        <v>0</v>
      </c>
      <c r="O2189" t="n">
        <v>0</v>
      </c>
      <c r="P2189" t="n">
        <v>0</v>
      </c>
      <c r="Q2189" t="n">
        <v>0</v>
      </c>
      <c r="R2189" t="n">
        <v>0</v>
      </c>
      <c r="S2189" t="n">
        <v>0</v>
      </c>
      <c r="T2189" t="n">
        <v>0</v>
      </c>
      <c r="U2189" t="n">
        <v>0</v>
      </c>
      <c r="V2189" s="2" t="inlineStr"/>
    </row>
    <row r="2190" ht="15" customHeight="1">
      <c r="A2190" t="inlineStr">
        <is>
          <t>A 63867-2023</t>
        </is>
      </c>
      <c r="B2190" t="inlineStr">
        <is>
          <t>avverkningsanmälan</t>
        </is>
      </c>
      <c r="C2190" t="inlineStr">
        <is>
          <t>Föryngringsavverkning</t>
        </is>
      </c>
      <c r="D2190" s="1" t="n">
        <v>45278</v>
      </c>
      <c r="E2190" s="1" t="n">
        <v>46323</v>
      </c>
      <c r="F2190" t="inlineStr">
        <is>
          <t>KALMAR LÄN</t>
        </is>
      </c>
      <c r="G2190" t="inlineStr">
        <is>
          <t>HULTSFRED</t>
        </is>
      </c>
      <c r="I2190" t="n">
        <v>0.8</v>
      </c>
      <c r="J2190" t="n">
        <v>0</v>
      </c>
      <c r="K2190" t="n">
        <v>0</v>
      </c>
      <c r="L2190" t="n">
        <v>0</v>
      </c>
      <c r="M2190" t="n">
        <v>0</v>
      </c>
      <c r="N2190" t="n">
        <v>0</v>
      </c>
      <c r="O2190" t="n">
        <v>0</v>
      </c>
      <c r="P2190" t="n">
        <v>0</v>
      </c>
      <c r="Q2190" t="n">
        <v>0</v>
      </c>
      <c r="R2190" t="n">
        <v>0</v>
      </c>
      <c r="S2190" t="n">
        <v>0</v>
      </c>
      <c r="T2190" t="n">
        <v>0</v>
      </c>
      <c r="U2190" t="n">
        <v>0</v>
      </c>
      <c r="V2190" s="2" t="inlineStr"/>
    </row>
    <row r="2191" ht="15" customHeight="1">
      <c r="A2191" t="inlineStr">
        <is>
          <t>A 1016-2024</t>
        </is>
      </c>
      <c r="B2191" t="inlineStr">
        <is>
          <t>avverkningsanmälan</t>
        </is>
      </c>
      <c r="C2191" t="inlineStr">
        <is>
          <t>Föryngringsavverkning</t>
        </is>
      </c>
      <c r="D2191" s="1" t="n">
        <v>45301</v>
      </c>
      <c r="E2191" s="1" t="n">
        <v>46323</v>
      </c>
      <c r="F2191" t="inlineStr">
        <is>
          <t>KALMAR LÄN</t>
        </is>
      </c>
      <c r="G2191" t="inlineStr">
        <is>
          <t>VIMMERBY</t>
        </is>
      </c>
      <c r="I2191" t="n">
        <v>1</v>
      </c>
      <c r="J2191" t="n">
        <v>0</v>
      </c>
      <c r="K2191" t="n">
        <v>0</v>
      </c>
      <c r="L2191" t="n">
        <v>0</v>
      </c>
      <c r="M2191" t="n">
        <v>0</v>
      </c>
      <c r="N2191" t="n">
        <v>0</v>
      </c>
      <c r="O2191" t="n">
        <v>0</v>
      </c>
      <c r="P2191" t="n">
        <v>0</v>
      </c>
      <c r="Q2191" t="n">
        <v>0</v>
      </c>
      <c r="R2191" t="n">
        <v>0</v>
      </c>
      <c r="S2191" t="n">
        <v>0</v>
      </c>
      <c r="T2191" t="n">
        <v>0</v>
      </c>
      <c r="U2191" t="n">
        <v>0</v>
      </c>
      <c r="V2191" s="2" t="inlineStr"/>
    </row>
    <row r="2192" ht="15" customHeight="1">
      <c r="A2192" t="inlineStr">
        <is>
          <t>A 1024-2024</t>
        </is>
      </c>
      <c r="B2192" t="inlineStr">
        <is>
          <t>avverkningsanmälan</t>
        </is>
      </c>
      <c r="C2192" t="inlineStr">
        <is>
          <t>Föryngringsavverkning</t>
        </is>
      </c>
      <c r="D2192" s="1" t="n">
        <v>45301</v>
      </c>
      <c r="E2192" s="1" t="n">
        <v>46323</v>
      </c>
      <c r="F2192" t="inlineStr">
        <is>
          <t>KALMAR LÄN</t>
        </is>
      </c>
      <c r="G2192" t="inlineStr">
        <is>
          <t>VIMMERBY</t>
        </is>
      </c>
      <c r="I2192" t="n">
        <v>13</v>
      </c>
      <c r="J2192" t="n">
        <v>0</v>
      </c>
      <c r="K2192" t="n">
        <v>0</v>
      </c>
      <c r="L2192" t="n">
        <v>0</v>
      </c>
      <c r="M2192" t="n">
        <v>0</v>
      </c>
      <c r="N2192" t="n">
        <v>0</v>
      </c>
      <c r="O2192" t="n">
        <v>0</v>
      </c>
      <c r="P2192" t="n">
        <v>0</v>
      </c>
      <c r="Q2192" t="n">
        <v>0</v>
      </c>
      <c r="R2192" t="n">
        <v>0</v>
      </c>
      <c r="S2192" t="n">
        <v>0</v>
      </c>
      <c r="T2192" t="n">
        <v>0</v>
      </c>
      <c r="U2192" t="n">
        <v>0</v>
      </c>
      <c r="V2192" s="2" t="inlineStr"/>
    </row>
    <row r="2193" ht="15" customHeight="1">
      <c r="A2193" t="inlineStr">
        <is>
          <t>A 27758-2024</t>
        </is>
      </c>
      <c r="B2193" t="inlineStr">
        <is>
          <t>avverkningsanmälan</t>
        </is>
      </c>
      <c r="C2193" t="inlineStr">
        <is>
          <t>Föryngringsavverkning</t>
        </is>
      </c>
      <c r="D2193" s="1" t="n">
        <v>45475</v>
      </c>
      <c r="E2193" s="1" t="n">
        <v>46323</v>
      </c>
      <c r="F2193" t="inlineStr">
        <is>
          <t>KALMAR LÄN</t>
        </is>
      </c>
      <c r="G2193" t="inlineStr">
        <is>
          <t>VIMMERBY</t>
        </is>
      </c>
      <c r="I2193" t="n">
        <v>2.6</v>
      </c>
      <c r="J2193" t="n">
        <v>0</v>
      </c>
      <c r="K2193" t="n">
        <v>0</v>
      </c>
      <c r="L2193" t="n">
        <v>0</v>
      </c>
      <c r="M2193" t="n">
        <v>0</v>
      </c>
      <c r="N2193" t="n">
        <v>0</v>
      </c>
      <c r="O2193" t="n">
        <v>0</v>
      </c>
      <c r="P2193" t="n">
        <v>0</v>
      </c>
      <c r="Q2193" t="n">
        <v>0</v>
      </c>
      <c r="R2193" t="n">
        <v>0</v>
      </c>
      <c r="S2193" t="n">
        <v>0</v>
      </c>
      <c r="T2193" t="n">
        <v>0</v>
      </c>
      <c r="U2193" t="n">
        <v>0</v>
      </c>
      <c r="V2193" s="2" t="inlineStr"/>
    </row>
    <row r="2194" ht="15" customHeight="1">
      <c r="A2194" t="inlineStr">
        <is>
          <t>A 43560-2023</t>
        </is>
      </c>
      <c r="B2194" t="inlineStr">
        <is>
          <t>avverkningsanmälan</t>
        </is>
      </c>
      <c r="C2194" t="inlineStr">
        <is>
          <t>Föryngringsavverkning</t>
        </is>
      </c>
      <c r="D2194" s="1" t="n">
        <v>45184</v>
      </c>
      <c r="E2194" s="1" t="n">
        <v>46323</v>
      </c>
      <c r="F2194" t="inlineStr">
        <is>
          <t>KALMAR LÄN</t>
        </is>
      </c>
      <c r="G2194" t="inlineStr">
        <is>
          <t>HULTSFRED</t>
        </is>
      </c>
      <c r="I2194" t="n">
        <v>10.2</v>
      </c>
      <c r="J2194" t="n">
        <v>0</v>
      </c>
      <c r="K2194" t="n">
        <v>0</v>
      </c>
      <c r="L2194" t="n">
        <v>0</v>
      </c>
      <c r="M2194" t="n">
        <v>0</v>
      </c>
      <c r="N2194" t="n">
        <v>0</v>
      </c>
      <c r="O2194" t="n">
        <v>0</v>
      </c>
      <c r="P2194" t="n">
        <v>0</v>
      </c>
      <c r="Q2194" t="n">
        <v>0</v>
      </c>
      <c r="R2194" t="n">
        <v>0</v>
      </c>
      <c r="S2194" t="n">
        <v>0</v>
      </c>
      <c r="T2194" t="n">
        <v>0</v>
      </c>
      <c r="U2194" t="n">
        <v>0</v>
      </c>
      <c r="V2194" s="2" t="inlineStr"/>
    </row>
    <row r="2195" ht="15" customHeight="1">
      <c r="A2195" t="inlineStr">
        <is>
          <t>A 43632-2023</t>
        </is>
      </c>
      <c r="B2195" t="inlineStr">
        <is>
          <t>avverkningsanmälan</t>
        </is>
      </c>
      <c r="C2195" t="inlineStr">
        <is>
          <t>Föryngringsavverkning</t>
        </is>
      </c>
      <c r="D2195" s="1" t="n">
        <v>45185</v>
      </c>
      <c r="E2195" s="1" t="n">
        <v>46323</v>
      </c>
      <c r="F2195" t="inlineStr">
        <is>
          <t>KALMAR LÄN</t>
        </is>
      </c>
      <c r="G2195" t="inlineStr">
        <is>
          <t>HULTSFRED</t>
        </is>
      </c>
      <c r="I2195" t="n">
        <v>0.5</v>
      </c>
      <c r="J2195" t="n">
        <v>0</v>
      </c>
      <c r="K2195" t="n">
        <v>0</v>
      </c>
      <c r="L2195" t="n">
        <v>0</v>
      </c>
      <c r="M2195" t="n">
        <v>0</v>
      </c>
      <c r="N2195" t="n">
        <v>0</v>
      </c>
      <c r="O2195" t="n">
        <v>0</v>
      </c>
      <c r="P2195" t="n">
        <v>0</v>
      </c>
      <c r="Q2195" t="n">
        <v>0</v>
      </c>
      <c r="R2195" t="n">
        <v>0</v>
      </c>
      <c r="S2195" t="n">
        <v>0</v>
      </c>
      <c r="T2195" t="n">
        <v>0</v>
      </c>
      <c r="U2195" t="n">
        <v>0</v>
      </c>
      <c r="V2195" s="2" t="inlineStr"/>
    </row>
    <row r="2196" ht="15" customHeight="1">
      <c r="A2196" t="inlineStr">
        <is>
          <t>A 18291-2024</t>
        </is>
      </c>
      <c r="B2196" t="inlineStr">
        <is>
          <t>avverkningsanmälan</t>
        </is>
      </c>
      <c r="C2196" t="inlineStr">
        <is>
          <t>Föryngringsavverkning</t>
        </is>
      </c>
      <c r="D2196" s="1" t="n">
        <v>45422</v>
      </c>
      <c r="E2196" s="1" t="n">
        <v>46323</v>
      </c>
      <c r="F2196" t="inlineStr">
        <is>
          <t>KALMAR LÄN</t>
        </is>
      </c>
      <c r="G2196" t="inlineStr">
        <is>
          <t>EMMABODA</t>
        </is>
      </c>
      <c r="I2196" t="n">
        <v>2</v>
      </c>
      <c r="J2196" t="n">
        <v>0</v>
      </c>
      <c r="K2196" t="n">
        <v>0</v>
      </c>
      <c r="L2196" t="n">
        <v>0</v>
      </c>
      <c r="M2196" t="n">
        <v>0</v>
      </c>
      <c r="N2196" t="n">
        <v>0</v>
      </c>
      <c r="O2196" t="n">
        <v>0</v>
      </c>
      <c r="P2196" t="n">
        <v>0</v>
      </c>
      <c r="Q2196" t="n">
        <v>0</v>
      </c>
      <c r="R2196" t="n">
        <v>0</v>
      </c>
      <c r="S2196" t="n">
        <v>0</v>
      </c>
      <c r="T2196" t="n">
        <v>0</v>
      </c>
      <c r="U2196" t="n">
        <v>0</v>
      </c>
      <c r="V2196" s="2" t="inlineStr"/>
    </row>
    <row r="2197" ht="15" customHeight="1">
      <c r="A2197" t="inlineStr">
        <is>
          <t>A 18501-2024</t>
        </is>
      </c>
      <c r="B2197" t="inlineStr">
        <is>
          <t>avverkningsanmälan</t>
        </is>
      </c>
      <c r="C2197" t="inlineStr">
        <is>
          <t>Föryngringsavverkning</t>
        </is>
      </c>
      <c r="D2197" s="1" t="n">
        <v>45425</v>
      </c>
      <c r="E2197" s="1" t="n">
        <v>46323</v>
      </c>
      <c r="F2197" t="inlineStr">
        <is>
          <t>KALMAR LÄN</t>
        </is>
      </c>
      <c r="G2197" t="inlineStr">
        <is>
          <t>VIMMERBY</t>
        </is>
      </c>
      <c r="I2197" t="n">
        <v>2</v>
      </c>
      <c r="J2197" t="n">
        <v>0</v>
      </c>
      <c r="K2197" t="n">
        <v>0</v>
      </c>
      <c r="L2197" t="n">
        <v>0</v>
      </c>
      <c r="M2197" t="n">
        <v>0</v>
      </c>
      <c r="N2197" t="n">
        <v>0</v>
      </c>
      <c r="O2197" t="n">
        <v>0</v>
      </c>
      <c r="P2197" t="n">
        <v>0</v>
      </c>
      <c r="Q2197" t="n">
        <v>0</v>
      </c>
      <c r="R2197" t="n">
        <v>0</v>
      </c>
      <c r="S2197" t="n">
        <v>0</v>
      </c>
      <c r="T2197" t="n">
        <v>0</v>
      </c>
      <c r="U2197" t="n">
        <v>0</v>
      </c>
      <c r="V2197" s="2" t="inlineStr"/>
    </row>
    <row r="2198" ht="15" customHeight="1">
      <c r="A2198" t="inlineStr">
        <is>
          <t>A 28437-2023</t>
        </is>
      </c>
      <c r="B2198" t="inlineStr">
        <is>
          <t>avverkningsanmälan</t>
        </is>
      </c>
      <c r="C2198" t="inlineStr">
        <is>
          <t>Föryngringsavverkning</t>
        </is>
      </c>
      <c r="D2198" s="1" t="n">
        <v>45102</v>
      </c>
      <c r="E2198" s="1" t="n">
        <v>46323</v>
      </c>
      <c r="F2198" t="inlineStr">
        <is>
          <t>KALMAR LÄN</t>
        </is>
      </c>
      <c r="G2198" t="inlineStr">
        <is>
          <t>EMMABODA</t>
        </is>
      </c>
      <c r="I2198" t="n">
        <v>1.1</v>
      </c>
      <c r="J2198" t="n">
        <v>0</v>
      </c>
      <c r="K2198" t="n">
        <v>0</v>
      </c>
      <c r="L2198" t="n">
        <v>0</v>
      </c>
      <c r="M2198" t="n">
        <v>0</v>
      </c>
      <c r="N2198" t="n">
        <v>0</v>
      </c>
      <c r="O2198" t="n">
        <v>0</v>
      </c>
      <c r="P2198" t="n">
        <v>0</v>
      </c>
      <c r="Q2198" t="n">
        <v>0</v>
      </c>
      <c r="R2198" t="n">
        <v>0</v>
      </c>
      <c r="S2198" t="n">
        <v>0</v>
      </c>
      <c r="T2198" t="n">
        <v>0</v>
      </c>
      <c r="U2198" t="n">
        <v>0</v>
      </c>
      <c r="V2198" s="2" t="inlineStr"/>
    </row>
    <row r="2199" ht="15" customHeight="1">
      <c r="A2199" t="inlineStr">
        <is>
          <t>A 25090-2022</t>
        </is>
      </c>
      <c r="B2199" t="inlineStr">
        <is>
          <t>avverkningsanmälan</t>
        </is>
      </c>
      <c r="C2199" t="inlineStr">
        <is>
          <t>Föryngringsavverkning</t>
        </is>
      </c>
      <c r="D2199" s="1" t="n">
        <v>44729</v>
      </c>
      <c r="E2199" s="1" t="n">
        <v>46323</v>
      </c>
      <c r="F2199" t="inlineStr">
        <is>
          <t>KALMAR LÄN</t>
        </is>
      </c>
      <c r="G2199" t="inlineStr">
        <is>
          <t>EMMABODA</t>
        </is>
      </c>
      <c r="I2199" t="n">
        <v>1.4</v>
      </c>
      <c r="J2199" t="n">
        <v>0</v>
      </c>
      <c r="K2199" t="n">
        <v>0</v>
      </c>
      <c r="L2199" t="n">
        <v>0</v>
      </c>
      <c r="M2199" t="n">
        <v>0</v>
      </c>
      <c r="N2199" t="n">
        <v>0</v>
      </c>
      <c r="O2199" t="n">
        <v>0</v>
      </c>
      <c r="P2199" t="n">
        <v>0</v>
      </c>
      <c r="Q2199" t="n">
        <v>0</v>
      </c>
      <c r="R2199" t="n">
        <v>0</v>
      </c>
      <c r="S2199" t="n">
        <v>0</v>
      </c>
      <c r="T2199" t="n">
        <v>0</v>
      </c>
      <c r="U2199" t="n">
        <v>0</v>
      </c>
      <c r="V2199" s="2" t="inlineStr"/>
    </row>
    <row r="2200" ht="15" customHeight="1">
      <c r="A2200" t="inlineStr">
        <is>
          <t>A 13808-2024</t>
        </is>
      </c>
      <c r="B2200" t="inlineStr">
        <is>
          <t>avverkningsanmälan</t>
        </is>
      </c>
      <c r="C2200" t="inlineStr">
        <is>
          <t>Föryngringsavverkning</t>
        </is>
      </c>
      <c r="D2200" s="1" t="n">
        <v>45391</v>
      </c>
      <c r="E2200" s="1" t="n">
        <v>46323</v>
      </c>
      <c r="F2200" t="inlineStr">
        <is>
          <t>KALMAR LÄN</t>
        </is>
      </c>
      <c r="G2200" t="inlineStr">
        <is>
          <t>HÖGSBY</t>
        </is>
      </c>
      <c r="H2200" t="inlineStr">
        <is>
          <t>Sveaskog</t>
        </is>
      </c>
      <c r="I2200" t="n">
        <v>4.1</v>
      </c>
      <c r="J2200" t="n">
        <v>0</v>
      </c>
      <c r="K2200" t="n">
        <v>0</v>
      </c>
      <c r="L2200" t="n">
        <v>0</v>
      </c>
      <c r="M2200" t="n">
        <v>0</v>
      </c>
      <c r="N2200" t="n">
        <v>0</v>
      </c>
      <c r="O2200" t="n">
        <v>0</v>
      </c>
      <c r="P2200" t="n">
        <v>0</v>
      </c>
      <c r="Q2200" t="n">
        <v>0</v>
      </c>
      <c r="R2200" t="n">
        <v>0</v>
      </c>
      <c r="S2200" t="n">
        <v>0</v>
      </c>
      <c r="T2200" t="n">
        <v>0</v>
      </c>
      <c r="U2200" t="n">
        <v>0</v>
      </c>
      <c r="V2200" s="2" t="inlineStr"/>
    </row>
    <row r="2201" ht="15" customHeight="1">
      <c r="A2201" t="inlineStr">
        <is>
          <t>A 68102-2021</t>
        </is>
      </c>
      <c r="B2201" t="inlineStr">
        <is>
          <t>avverkningsanmälan</t>
        </is>
      </c>
      <c r="C2201" t="inlineStr">
        <is>
          <t>Föryngringsavverkning</t>
        </is>
      </c>
      <c r="D2201" s="1" t="n">
        <v>44526</v>
      </c>
      <c r="E2201" s="1" t="n">
        <v>46323</v>
      </c>
      <c r="F2201" t="inlineStr">
        <is>
          <t>KALMAR LÄN</t>
        </is>
      </c>
      <c r="G2201" t="inlineStr">
        <is>
          <t>HULTSFRED</t>
        </is>
      </c>
      <c r="I2201" t="n">
        <v>0.8</v>
      </c>
      <c r="J2201" t="n">
        <v>0</v>
      </c>
      <c r="K2201" t="n">
        <v>0</v>
      </c>
      <c r="L2201" t="n">
        <v>0</v>
      </c>
      <c r="M2201" t="n">
        <v>0</v>
      </c>
      <c r="N2201" t="n">
        <v>0</v>
      </c>
      <c r="O2201" t="n">
        <v>0</v>
      </c>
      <c r="P2201" t="n">
        <v>0</v>
      </c>
      <c r="Q2201" t="n">
        <v>0</v>
      </c>
      <c r="R2201" t="n">
        <v>0</v>
      </c>
      <c r="S2201" t="n">
        <v>0</v>
      </c>
      <c r="T2201" t="n">
        <v>0</v>
      </c>
      <c r="U2201" t="n">
        <v>0</v>
      </c>
      <c r="V2201" s="2" t="inlineStr"/>
    </row>
    <row r="2202" ht="15" customHeight="1">
      <c r="A2202" t="inlineStr">
        <is>
          <t>A 23818-2023</t>
        </is>
      </c>
      <c r="B2202" t="inlineStr">
        <is>
          <t>avverkningsanmälan</t>
        </is>
      </c>
      <c r="C2202" t="inlineStr">
        <is>
          <t>Föryngringsavverkning</t>
        </is>
      </c>
      <c r="D2202" s="1" t="n">
        <v>45078</v>
      </c>
      <c r="E2202" s="1" t="n">
        <v>46323</v>
      </c>
      <c r="F2202" t="inlineStr">
        <is>
          <t>KALMAR LÄN</t>
        </is>
      </c>
      <c r="G2202" t="inlineStr">
        <is>
          <t>NYBRO</t>
        </is>
      </c>
      <c r="I2202" t="n">
        <v>1.6</v>
      </c>
      <c r="J2202" t="n">
        <v>0</v>
      </c>
      <c r="K2202" t="n">
        <v>0</v>
      </c>
      <c r="L2202" t="n">
        <v>0</v>
      </c>
      <c r="M2202" t="n">
        <v>0</v>
      </c>
      <c r="N2202" t="n">
        <v>0</v>
      </c>
      <c r="O2202" t="n">
        <v>0</v>
      </c>
      <c r="P2202" t="n">
        <v>0</v>
      </c>
      <c r="Q2202" t="n">
        <v>0</v>
      </c>
      <c r="R2202" t="n">
        <v>0</v>
      </c>
      <c r="S2202" t="n">
        <v>0</v>
      </c>
      <c r="T2202" t="n">
        <v>0</v>
      </c>
      <c r="U2202" t="n">
        <v>0</v>
      </c>
      <c r="V2202" s="2" t="inlineStr"/>
    </row>
    <row r="2203" ht="15" customHeight="1">
      <c r="A2203" t="inlineStr">
        <is>
          <t>A 39212-2022</t>
        </is>
      </c>
      <c r="B2203" t="inlineStr">
        <is>
          <t>avverkningsanmälan</t>
        </is>
      </c>
      <c r="C2203" t="inlineStr">
        <is>
          <t>Föryngringsavverkning</t>
        </is>
      </c>
      <c r="D2203" s="1" t="n">
        <v>44817</v>
      </c>
      <c r="E2203" s="1" t="n">
        <v>46323</v>
      </c>
      <c r="F2203" t="inlineStr">
        <is>
          <t>KALMAR LÄN</t>
        </is>
      </c>
      <c r="G2203" t="inlineStr">
        <is>
          <t>MÖNSTERÅS</t>
        </is>
      </c>
      <c r="I2203" t="n">
        <v>0.8</v>
      </c>
      <c r="J2203" t="n">
        <v>0</v>
      </c>
      <c r="K2203" t="n">
        <v>0</v>
      </c>
      <c r="L2203" t="n">
        <v>0</v>
      </c>
      <c r="M2203" t="n">
        <v>0</v>
      </c>
      <c r="N2203" t="n">
        <v>0</v>
      </c>
      <c r="O2203" t="n">
        <v>0</v>
      </c>
      <c r="P2203" t="n">
        <v>0</v>
      </c>
      <c r="Q2203" t="n">
        <v>0</v>
      </c>
      <c r="R2203" t="n">
        <v>0</v>
      </c>
      <c r="S2203" t="n">
        <v>0</v>
      </c>
      <c r="T2203" t="n">
        <v>0</v>
      </c>
      <c r="U2203" t="n">
        <v>0</v>
      </c>
      <c r="V2203" s="2" t="inlineStr"/>
    </row>
    <row r="2204" ht="15" customHeight="1">
      <c r="A2204" t="inlineStr">
        <is>
          <t>A 47939-2023</t>
        </is>
      </c>
      <c r="B2204" t="inlineStr">
        <is>
          <t>avverkningsanmälan</t>
        </is>
      </c>
      <c r="C2204" t="inlineStr">
        <is>
          <t>Föryngringsavverkning</t>
        </is>
      </c>
      <c r="D2204" s="1" t="n">
        <v>45204</v>
      </c>
      <c r="E2204" s="1" t="n">
        <v>46323</v>
      </c>
      <c r="F2204" t="inlineStr">
        <is>
          <t>KALMAR LÄN</t>
        </is>
      </c>
      <c r="G2204" t="inlineStr">
        <is>
          <t>VÄSTERVIK</t>
        </is>
      </c>
      <c r="I2204" t="n">
        <v>3.7</v>
      </c>
      <c r="J2204" t="n">
        <v>0</v>
      </c>
      <c r="K2204" t="n">
        <v>0</v>
      </c>
      <c r="L2204" t="n">
        <v>0</v>
      </c>
      <c r="M2204" t="n">
        <v>0</v>
      </c>
      <c r="N2204" t="n">
        <v>0</v>
      </c>
      <c r="O2204" t="n">
        <v>0</v>
      </c>
      <c r="P2204" t="n">
        <v>0</v>
      </c>
      <c r="Q2204" t="n">
        <v>0</v>
      </c>
      <c r="R2204" t="n">
        <v>0</v>
      </c>
      <c r="S2204" t="n">
        <v>0</v>
      </c>
      <c r="T2204" t="n">
        <v>0</v>
      </c>
      <c r="U2204" t="n">
        <v>0</v>
      </c>
      <c r="V2204" s="2" t="inlineStr"/>
    </row>
    <row r="2205" ht="15" customHeight="1">
      <c r="A2205" t="inlineStr">
        <is>
          <t>A 64920-2021</t>
        </is>
      </c>
      <c r="B2205" t="inlineStr">
        <is>
          <t>avverkningsanmälan</t>
        </is>
      </c>
      <c r="C2205" t="inlineStr">
        <is>
          <t>Föryngringsavverkning</t>
        </is>
      </c>
      <c r="D2205" s="1" t="n">
        <v>44512</v>
      </c>
      <c r="E2205" s="1" t="n">
        <v>46323</v>
      </c>
      <c r="F2205" t="inlineStr">
        <is>
          <t>KALMAR LÄN</t>
        </is>
      </c>
      <c r="G2205" t="inlineStr">
        <is>
          <t>VÄSTERVIK</t>
        </is>
      </c>
      <c r="I2205" t="n">
        <v>1.2</v>
      </c>
      <c r="J2205" t="n">
        <v>0</v>
      </c>
      <c r="K2205" t="n">
        <v>0</v>
      </c>
      <c r="L2205" t="n">
        <v>0</v>
      </c>
      <c r="M2205" t="n">
        <v>0</v>
      </c>
      <c r="N2205" t="n">
        <v>0</v>
      </c>
      <c r="O2205" t="n">
        <v>0</v>
      </c>
      <c r="P2205" t="n">
        <v>0</v>
      </c>
      <c r="Q2205" t="n">
        <v>0</v>
      </c>
      <c r="R2205" t="n">
        <v>0</v>
      </c>
      <c r="S2205" t="n">
        <v>0</v>
      </c>
      <c r="T2205" t="n">
        <v>0</v>
      </c>
      <c r="U2205" t="n">
        <v>0</v>
      </c>
      <c r="V2205" s="2" t="inlineStr"/>
      <c r="Z2205">
        <f>HYPERLINK("https://klasma.github.io/Logging_0883/knärot/A 64920-2021 karta knärot.png", "A 64920-2021")</f>
        <v/>
      </c>
      <c r="AA2205">
        <f>HYPERLINK("https://klasma.github.io/Logging_0883/klagomål/A 64920-2021 FSC-klagomål.docx", "A 64920-2021")</f>
        <v/>
      </c>
      <c r="AB2205">
        <f>HYPERLINK("https://klasma.github.io/Logging_0883/klagomålsmail/A 64920-2021 FSC-klagomål mail.docx", "A 64920-2021")</f>
        <v/>
      </c>
      <c r="AC2205">
        <f>HYPERLINK("https://klasma.github.io/Logging_0883/tillsyn/A 64920-2021 tillsynsbegäran.docx", "A 64920-2021")</f>
        <v/>
      </c>
      <c r="AD2205">
        <f>HYPERLINK("https://klasma.github.io/Logging_0883/tillsynsmail/A 64920-2021 tillsynsbegäran mail.docx", "A 64920-2021")</f>
        <v/>
      </c>
    </row>
    <row r="2206" ht="15" customHeight="1">
      <c r="A2206" t="inlineStr">
        <is>
          <t>A 58728-2024</t>
        </is>
      </c>
      <c r="B2206" t="inlineStr">
        <is>
          <t>avverkningsanmälan</t>
        </is>
      </c>
      <c r="C2206" t="inlineStr">
        <is>
          <t>Föryngringsavverkning</t>
        </is>
      </c>
      <c r="D2206" s="1" t="n">
        <v>45635</v>
      </c>
      <c r="E2206" s="1" t="n">
        <v>46323</v>
      </c>
      <c r="F2206" t="inlineStr">
        <is>
          <t>KALMAR LÄN</t>
        </is>
      </c>
      <c r="G2206" t="inlineStr">
        <is>
          <t>VIMMERBY</t>
        </is>
      </c>
      <c r="I2206" t="n">
        <v>0.4</v>
      </c>
      <c r="J2206" t="n">
        <v>0</v>
      </c>
      <c r="K2206" t="n">
        <v>0</v>
      </c>
      <c r="L2206" t="n">
        <v>0</v>
      </c>
      <c r="M2206" t="n">
        <v>0</v>
      </c>
      <c r="N2206" t="n">
        <v>0</v>
      </c>
      <c r="O2206" t="n">
        <v>0</v>
      </c>
      <c r="P2206" t="n">
        <v>0</v>
      </c>
      <c r="Q2206" t="n">
        <v>0</v>
      </c>
      <c r="R2206" t="n">
        <v>0</v>
      </c>
      <c r="S2206" t="n">
        <v>0</v>
      </c>
      <c r="T2206" t="n">
        <v>0</v>
      </c>
      <c r="U2206" t="n">
        <v>0</v>
      </c>
      <c r="V2206" s="2" t="inlineStr"/>
    </row>
    <row r="2207" ht="15" customHeight="1">
      <c r="A2207" t="inlineStr">
        <is>
          <t>A 43242-2024</t>
        </is>
      </c>
      <c r="B2207" t="inlineStr">
        <is>
          <t>avverkningsanmälan</t>
        </is>
      </c>
      <c r="C2207" t="inlineStr">
        <is>
          <t>Föryngringsavverkning</t>
        </is>
      </c>
      <c r="D2207" s="1" t="n">
        <v>45568</v>
      </c>
      <c r="E2207" s="1" t="n">
        <v>46323</v>
      </c>
      <c r="F2207" t="inlineStr">
        <is>
          <t>KALMAR LÄN</t>
        </is>
      </c>
      <c r="G2207" t="inlineStr">
        <is>
          <t>VIMMERBY</t>
        </is>
      </c>
      <c r="I2207" t="n">
        <v>2.6</v>
      </c>
      <c r="J2207" t="n">
        <v>0</v>
      </c>
      <c r="K2207" t="n">
        <v>0</v>
      </c>
      <c r="L2207" t="n">
        <v>0</v>
      </c>
      <c r="M2207" t="n">
        <v>0</v>
      </c>
      <c r="N2207" t="n">
        <v>0</v>
      </c>
      <c r="O2207" t="n">
        <v>0</v>
      </c>
      <c r="P2207" t="n">
        <v>0</v>
      </c>
      <c r="Q2207" t="n">
        <v>0</v>
      </c>
      <c r="R2207" t="n">
        <v>0</v>
      </c>
      <c r="S2207" t="n">
        <v>0</v>
      </c>
      <c r="T2207" t="n">
        <v>0</v>
      </c>
      <c r="U2207" t="n">
        <v>0</v>
      </c>
      <c r="V2207" s="2" t="inlineStr"/>
    </row>
    <row r="2208" ht="15" customHeight="1">
      <c r="A2208" t="inlineStr">
        <is>
          <t>A 16983-2023</t>
        </is>
      </c>
      <c r="B2208" t="inlineStr">
        <is>
          <t>avverkningsanmälan</t>
        </is>
      </c>
      <c r="C2208" t="inlineStr">
        <is>
          <t>Föryngringsavverkning</t>
        </is>
      </c>
      <c r="D2208" s="1" t="n">
        <v>45033</v>
      </c>
      <c r="E2208" s="1" t="n">
        <v>46323</v>
      </c>
      <c r="F2208" t="inlineStr">
        <is>
          <t>KALMAR LÄN</t>
        </is>
      </c>
      <c r="G2208" t="inlineStr">
        <is>
          <t>VIMMERBY</t>
        </is>
      </c>
      <c r="I2208" t="n">
        <v>0.6</v>
      </c>
      <c r="J2208" t="n">
        <v>0</v>
      </c>
      <c r="K2208" t="n">
        <v>0</v>
      </c>
      <c r="L2208" t="n">
        <v>0</v>
      </c>
      <c r="M2208" t="n">
        <v>0</v>
      </c>
      <c r="N2208" t="n">
        <v>0</v>
      </c>
      <c r="O2208" t="n">
        <v>0</v>
      </c>
      <c r="P2208" t="n">
        <v>0</v>
      </c>
      <c r="Q2208" t="n">
        <v>0</v>
      </c>
      <c r="R2208" t="n">
        <v>0</v>
      </c>
      <c r="S2208" t="n">
        <v>0</v>
      </c>
      <c r="T2208" t="n">
        <v>0</v>
      </c>
      <c r="U2208" t="n">
        <v>0</v>
      </c>
      <c r="V2208" s="2" t="inlineStr"/>
    </row>
    <row r="2209" ht="15" customHeight="1">
      <c r="A2209" t="inlineStr">
        <is>
          <t>A 24148-2023</t>
        </is>
      </c>
      <c r="B2209" t="inlineStr">
        <is>
          <t>avverkningsanmälan</t>
        </is>
      </c>
      <c r="C2209" t="inlineStr">
        <is>
          <t>Föryngringsavverkning</t>
        </is>
      </c>
      <c r="D2209" s="1" t="n">
        <v>45079</v>
      </c>
      <c r="E2209" s="1" t="n">
        <v>46323</v>
      </c>
      <c r="F2209" t="inlineStr">
        <is>
          <t>KALMAR LÄN</t>
        </is>
      </c>
      <c r="G2209" t="inlineStr">
        <is>
          <t>HULTSFRED</t>
        </is>
      </c>
      <c r="I2209" t="n">
        <v>1.7</v>
      </c>
      <c r="J2209" t="n">
        <v>0</v>
      </c>
      <c r="K2209" t="n">
        <v>0</v>
      </c>
      <c r="L2209" t="n">
        <v>0</v>
      </c>
      <c r="M2209" t="n">
        <v>0</v>
      </c>
      <c r="N2209" t="n">
        <v>0</v>
      </c>
      <c r="O2209" t="n">
        <v>0</v>
      </c>
      <c r="P2209" t="n">
        <v>0</v>
      </c>
      <c r="Q2209" t="n">
        <v>0</v>
      </c>
      <c r="R2209" t="n">
        <v>0</v>
      </c>
      <c r="S2209" t="n">
        <v>0</v>
      </c>
      <c r="T2209" t="n">
        <v>0</v>
      </c>
      <c r="U2209" t="n">
        <v>0</v>
      </c>
      <c r="V2209" s="2" t="inlineStr"/>
    </row>
    <row r="2210" ht="15" customHeight="1">
      <c r="A2210" t="inlineStr">
        <is>
          <t>A 2285-2023</t>
        </is>
      </c>
      <c r="B2210" t="inlineStr">
        <is>
          <t>avverkningsanmälan</t>
        </is>
      </c>
      <c r="C2210" t="inlineStr">
        <is>
          <t>Föryngringsavverkning</t>
        </is>
      </c>
      <c r="D2210" s="1" t="n">
        <v>44942</v>
      </c>
      <c r="E2210" s="1" t="n">
        <v>46323</v>
      </c>
      <c r="F2210" t="inlineStr">
        <is>
          <t>KALMAR LÄN</t>
        </is>
      </c>
      <c r="G2210" t="inlineStr">
        <is>
          <t>TORSÅS</t>
        </is>
      </c>
      <c r="I2210" t="n">
        <v>2.1</v>
      </c>
      <c r="J2210" t="n">
        <v>0</v>
      </c>
      <c r="K2210" t="n">
        <v>0</v>
      </c>
      <c r="L2210" t="n">
        <v>0</v>
      </c>
      <c r="M2210" t="n">
        <v>0</v>
      </c>
      <c r="N2210" t="n">
        <v>0</v>
      </c>
      <c r="O2210" t="n">
        <v>0</v>
      </c>
      <c r="P2210" t="n">
        <v>0</v>
      </c>
      <c r="Q2210" t="n">
        <v>0</v>
      </c>
      <c r="R2210" t="n">
        <v>0</v>
      </c>
      <c r="S2210" t="n">
        <v>0</v>
      </c>
      <c r="T2210" t="n">
        <v>0</v>
      </c>
      <c r="U2210" t="n">
        <v>0</v>
      </c>
      <c r="V2210" s="2" t="inlineStr"/>
    </row>
    <row r="2211" ht="15" customHeight="1">
      <c r="A2211" t="inlineStr">
        <is>
          <t>A 25799-2023</t>
        </is>
      </c>
      <c r="B2211" t="inlineStr">
        <is>
          <t>avverkningsanmälan</t>
        </is>
      </c>
      <c r="C2211" t="inlineStr">
        <is>
          <t>Föryngringsavverkning</t>
        </is>
      </c>
      <c r="D2211" s="1" t="n">
        <v>45090</v>
      </c>
      <c r="E2211" s="1" t="n">
        <v>46323</v>
      </c>
      <c r="F2211" t="inlineStr">
        <is>
          <t>KALMAR LÄN</t>
        </is>
      </c>
      <c r="G2211" t="inlineStr">
        <is>
          <t>VIMMERBY</t>
        </is>
      </c>
      <c r="I2211" t="n">
        <v>7.7</v>
      </c>
      <c r="J2211" t="n">
        <v>0</v>
      </c>
      <c r="K2211" t="n">
        <v>0</v>
      </c>
      <c r="L2211" t="n">
        <v>0</v>
      </c>
      <c r="M2211" t="n">
        <v>0</v>
      </c>
      <c r="N2211" t="n">
        <v>0</v>
      </c>
      <c r="O2211" t="n">
        <v>0</v>
      </c>
      <c r="P2211" t="n">
        <v>0</v>
      </c>
      <c r="Q2211" t="n">
        <v>0</v>
      </c>
      <c r="R2211" t="n">
        <v>0</v>
      </c>
      <c r="S2211" t="n">
        <v>0</v>
      </c>
      <c r="T2211" t="n">
        <v>0</v>
      </c>
      <c r="U2211" t="n">
        <v>0</v>
      </c>
      <c r="V2211" s="2" t="inlineStr"/>
    </row>
    <row r="2212" ht="15" customHeight="1">
      <c r="A2212" t="inlineStr">
        <is>
          <t>A 35652-2023</t>
        </is>
      </c>
      <c r="B2212" t="inlineStr">
        <is>
          <t>avverkningsanmälan</t>
        </is>
      </c>
      <c r="C2212" t="inlineStr">
        <is>
          <t>Föryngringsavverkning</t>
        </is>
      </c>
      <c r="D2212" s="1" t="n">
        <v>45147</v>
      </c>
      <c r="E2212" s="1" t="n">
        <v>46323</v>
      </c>
      <c r="F2212" t="inlineStr">
        <is>
          <t>KALMAR LÄN</t>
        </is>
      </c>
      <c r="G2212" t="inlineStr">
        <is>
          <t>VÄSTERVIK</t>
        </is>
      </c>
      <c r="I2212" t="n">
        <v>0.5</v>
      </c>
      <c r="J2212" t="n">
        <v>0</v>
      </c>
      <c r="K2212" t="n">
        <v>0</v>
      </c>
      <c r="L2212" t="n">
        <v>0</v>
      </c>
      <c r="M2212" t="n">
        <v>0</v>
      </c>
      <c r="N2212" t="n">
        <v>0</v>
      </c>
      <c r="O2212" t="n">
        <v>0</v>
      </c>
      <c r="P2212" t="n">
        <v>0</v>
      </c>
      <c r="Q2212" t="n">
        <v>0</v>
      </c>
      <c r="R2212" t="n">
        <v>0</v>
      </c>
      <c r="S2212" t="n">
        <v>0</v>
      </c>
      <c r="T2212" t="n">
        <v>0</v>
      </c>
      <c r="U2212" t="n">
        <v>0</v>
      </c>
      <c r="V2212" s="2" t="inlineStr"/>
    </row>
    <row r="2213" ht="15" customHeight="1">
      <c r="A2213" t="inlineStr">
        <is>
          <t>A 51448-2024</t>
        </is>
      </c>
      <c r="B2213" t="inlineStr">
        <is>
          <t>avverkningsanmälan</t>
        </is>
      </c>
      <c r="C2213" t="inlineStr">
        <is>
          <t>Föryngringsavverkning</t>
        </is>
      </c>
      <c r="D2213" s="1" t="n">
        <v>45603</v>
      </c>
      <c r="E2213" s="1" t="n">
        <v>46323</v>
      </c>
      <c r="F2213" t="inlineStr">
        <is>
          <t>KALMAR LÄN</t>
        </is>
      </c>
      <c r="G2213" t="inlineStr">
        <is>
          <t>NYBRO</t>
        </is>
      </c>
      <c r="I2213" t="n">
        <v>2.4</v>
      </c>
      <c r="J2213" t="n">
        <v>0</v>
      </c>
      <c r="K2213" t="n">
        <v>0</v>
      </c>
      <c r="L2213" t="n">
        <v>0</v>
      </c>
      <c r="M2213" t="n">
        <v>0</v>
      </c>
      <c r="N2213" t="n">
        <v>0</v>
      </c>
      <c r="O2213" t="n">
        <v>0</v>
      </c>
      <c r="P2213" t="n">
        <v>0</v>
      </c>
      <c r="Q2213" t="n">
        <v>0</v>
      </c>
      <c r="R2213" t="n">
        <v>0</v>
      </c>
      <c r="S2213" t="n">
        <v>0</v>
      </c>
      <c r="T2213" t="n">
        <v>0</v>
      </c>
      <c r="U2213" t="n">
        <v>0</v>
      </c>
      <c r="V2213" s="2" t="inlineStr"/>
    </row>
    <row r="2214" ht="15" customHeight="1">
      <c r="A2214" t="inlineStr">
        <is>
          <t>A 26863-2023</t>
        </is>
      </c>
      <c r="B2214" t="inlineStr">
        <is>
          <t>avverkningsanmälan</t>
        </is>
      </c>
      <c r="C2214" t="inlineStr">
        <is>
          <t>Föryngringsavverkning</t>
        </is>
      </c>
      <c r="D2214" s="1" t="n">
        <v>45093</v>
      </c>
      <c r="E2214" s="1" t="n">
        <v>46323</v>
      </c>
      <c r="F2214" t="inlineStr">
        <is>
          <t>KALMAR LÄN</t>
        </is>
      </c>
      <c r="G2214" t="inlineStr">
        <is>
          <t>NYBRO</t>
        </is>
      </c>
      <c r="I2214" t="n">
        <v>1.4</v>
      </c>
      <c r="J2214" t="n">
        <v>0</v>
      </c>
      <c r="K2214" t="n">
        <v>0</v>
      </c>
      <c r="L2214" t="n">
        <v>0</v>
      </c>
      <c r="M2214" t="n">
        <v>0</v>
      </c>
      <c r="N2214" t="n">
        <v>0</v>
      </c>
      <c r="O2214" t="n">
        <v>0</v>
      </c>
      <c r="P2214" t="n">
        <v>0</v>
      </c>
      <c r="Q2214" t="n">
        <v>0</v>
      </c>
      <c r="R2214" t="n">
        <v>0</v>
      </c>
      <c r="S2214" t="n">
        <v>0</v>
      </c>
      <c r="T2214" t="n">
        <v>0</v>
      </c>
      <c r="U2214" t="n">
        <v>0</v>
      </c>
      <c r="V2214" s="2" t="inlineStr"/>
    </row>
    <row r="2215" ht="15" customHeight="1">
      <c r="A2215" t="inlineStr">
        <is>
          <t>A 26696-2023</t>
        </is>
      </c>
      <c r="B2215" t="inlineStr">
        <is>
          <t>avverkningsanmälan</t>
        </is>
      </c>
      <c r="C2215" t="inlineStr">
        <is>
          <t>Föryngringsavverkning</t>
        </is>
      </c>
      <c r="D2215" s="1" t="n">
        <v>45093</v>
      </c>
      <c r="E2215" s="1" t="n">
        <v>46323</v>
      </c>
      <c r="F2215" t="inlineStr">
        <is>
          <t>KALMAR LÄN</t>
        </is>
      </c>
      <c r="G2215" t="inlineStr">
        <is>
          <t>TORSÅS</t>
        </is>
      </c>
      <c r="I2215" t="n">
        <v>1.9</v>
      </c>
      <c r="J2215" t="n">
        <v>0</v>
      </c>
      <c r="K2215" t="n">
        <v>0</v>
      </c>
      <c r="L2215" t="n">
        <v>0</v>
      </c>
      <c r="M2215" t="n">
        <v>0</v>
      </c>
      <c r="N2215" t="n">
        <v>0</v>
      </c>
      <c r="O2215" t="n">
        <v>0</v>
      </c>
      <c r="P2215" t="n">
        <v>0</v>
      </c>
      <c r="Q2215" t="n">
        <v>0</v>
      </c>
      <c r="R2215" t="n">
        <v>0</v>
      </c>
      <c r="S2215" t="n">
        <v>0</v>
      </c>
      <c r="T2215" t="n">
        <v>0</v>
      </c>
      <c r="U2215" t="n">
        <v>0</v>
      </c>
      <c r="V2215" s="2" t="inlineStr"/>
    </row>
    <row r="2216" ht="15" customHeight="1">
      <c r="A2216" t="inlineStr">
        <is>
          <t>A 26707-2023</t>
        </is>
      </c>
      <c r="B2216" t="inlineStr">
        <is>
          <t>avverkningsanmälan</t>
        </is>
      </c>
      <c r="C2216" t="inlineStr">
        <is>
          <t>Föryngringsavverkning</t>
        </is>
      </c>
      <c r="D2216" s="1" t="n">
        <v>45093</v>
      </c>
      <c r="E2216" s="1" t="n">
        <v>46323</v>
      </c>
      <c r="F2216" t="inlineStr">
        <is>
          <t>KALMAR LÄN</t>
        </is>
      </c>
      <c r="G2216" t="inlineStr">
        <is>
          <t>TORSÅS</t>
        </is>
      </c>
      <c r="I2216" t="n">
        <v>0.6</v>
      </c>
      <c r="J2216" t="n">
        <v>0</v>
      </c>
      <c r="K2216" t="n">
        <v>0</v>
      </c>
      <c r="L2216" t="n">
        <v>0</v>
      </c>
      <c r="M2216" t="n">
        <v>0</v>
      </c>
      <c r="N2216" t="n">
        <v>0</v>
      </c>
      <c r="O2216" t="n">
        <v>0</v>
      </c>
      <c r="P2216" t="n">
        <v>0</v>
      </c>
      <c r="Q2216" t="n">
        <v>0</v>
      </c>
      <c r="R2216" t="n">
        <v>0</v>
      </c>
      <c r="S2216" t="n">
        <v>0</v>
      </c>
      <c r="T2216" t="n">
        <v>0</v>
      </c>
      <c r="U2216" t="n">
        <v>0</v>
      </c>
      <c r="V2216" s="2" t="inlineStr"/>
    </row>
    <row r="2217" ht="15" customHeight="1">
      <c r="A2217" t="inlineStr">
        <is>
          <t>A 50471-2023</t>
        </is>
      </c>
      <c r="B2217" t="inlineStr">
        <is>
          <t>avverkningsanmälan</t>
        </is>
      </c>
      <c r="C2217" t="inlineStr">
        <is>
          <t>Föryngringsavverkning</t>
        </is>
      </c>
      <c r="D2217" s="1" t="n">
        <v>45216</v>
      </c>
      <c r="E2217" s="1" t="n">
        <v>46323</v>
      </c>
      <c r="F2217" t="inlineStr">
        <is>
          <t>KALMAR LÄN</t>
        </is>
      </c>
      <c r="G2217" t="inlineStr">
        <is>
          <t>OSKARSHAMN</t>
        </is>
      </c>
      <c r="I2217" t="n">
        <v>3.3</v>
      </c>
      <c r="J2217" t="n">
        <v>0</v>
      </c>
      <c r="K2217" t="n">
        <v>0</v>
      </c>
      <c r="L2217" t="n">
        <v>0</v>
      </c>
      <c r="M2217" t="n">
        <v>0</v>
      </c>
      <c r="N2217" t="n">
        <v>0</v>
      </c>
      <c r="O2217" t="n">
        <v>0</v>
      </c>
      <c r="P2217" t="n">
        <v>0</v>
      </c>
      <c r="Q2217" t="n">
        <v>0</v>
      </c>
      <c r="R2217" t="n">
        <v>0</v>
      </c>
      <c r="S2217" t="n">
        <v>0</v>
      </c>
      <c r="T2217" t="n">
        <v>0</v>
      </c>
      <c r="U2217" t="n">
        <v>0</v>
      </c>
      <c r="V2217" s="2" t="inlineStr"/>
    </row>
    <row r="2218" ht="15" customHeight="1">
      <c r="A2218" t="inlineStr">
        <is>
          <t>A 7882-2023</t>
        </is>
      </c>
      <c r="B2218" t="inlineStr">
        <is>
          <t>avverkningsanmälan</t>
        </is>
      </c>
      <c r="C2218" t="inlineStr">
        <is>
          <t>Föryngringsavverkning</t>
        </is>
      </c>
      <c r="D2218" s="1" t="n">
        <v>44973</v>
      </c>
      <c r="E2218" s="1" t="n">
        <v>46323</v>
      </c>
      <c r="F2218" t="inlineStr">
        <is>
          <t>KALMAR LÄN</t>
        </is>
      </c>
      <c r="G2218" t="inlineStr">
        <is>
          <t>OSKARSHAMN</t>
        </is>
      </c>
      <c r="I2218" t="n">
        <v>0.9</v>
      </c>
      <c r="J2218" t="n">
        <v>0</v>
      </c>
      <c r="K2218" t="n">
        <v>0</v>
      </c>
      <c r="L2218" t="n">
        <v>0</v>
      </c>
      <c r="M2218" t="n">
        <v>0</v>
      </c>
      <c r="N2218" t="n">
        <v>0</v>
      </c>
      <c r="O2218" t="n">
        <v>0</v>
      </c>
      <c r="P2218" t="n">
        <v>0</v>
      </c>
      <c r="Q2218" t="n">
        <v>0</v>
      </c>
      <c r="R2218" t="n">
        <v>0</v>
      </c>
      <c r="S2218" t="n">
        <v>0</v>
      </c>
      <c r="T2218" t="n">
        <v>0</v>
      </c>
      <c r="U2218" t="n">
        <v>0</v>
      </c>
      <c r="V2218" s="2" t="inlineStr"/>
    </row>
    <row r="2219" ht="15" customHeight="1">
      <c r="A2219" t="inlineStr">
        <is>
          <t>A 6405-2025</t>
        </is>
      </c>
      <c r="B2219" t="inlineStr">
        <is>
          <t>avverkningsanmälan</t>
        </is>
      </c>
      <c r="C2219" t="inlineStr">
        <is>
          <t>Föryngringsavverkning</t>
        </is>
      </c>
      <c r="D2219" s="1" t="n">
        <v>45699</v>
      </c>
      <c r="E2219" s="1" t="n">
        <v>46323</v>
      </c>
      <c r="F2219" t="inlineStr">
        <is>
          <t>KALMAR LÄN</t>
        </is>
      </c>
      <c r="G2219" t="inlineStr">
        <is>
          <t>VIMMERBY</t>
        </is>
      </c>
      <c r="I2219" t="n">
        <v>1.2</v>
      </c>
      <c r="J2219" t="n">
        <v>0</v>
      </c>
      <c r="K2219" t="n">
        <v>0</v>
      </c>
      <c r="L2219" t="n">
        <v>0</v>
      </c>
      <c r="M2219" t="n">
        <v>0</v>
      </c>
      <c r="N2219" t="n">
        <v>0</v>
      </c>
      <c r="O2219" t="n">
        <v>0</v>
      </c>
      <c r="P2219" t="n">
        <v>0</v>
      </c>
      <c r="Q2219" t="n">
        <v>0</v>
      </c>
      <c r="R2219" t="n">
        <v>0</v>
      </c>
      <c r="S2219" t="n">
        <v>0</v>
      </c>
      <c r="T2219" t="n">
        <v>0</v>
      </c>
      <c r="U2219" t="n">
        <v>0</v>
      </c>
      <c r="V2219" s="2" t="inlineStr"/>
    </row>
    <row r="2220" ht="15" customHeight="1">
      <c r="A2220" t="inlineStr">
        <is>
          <t>A 36843-2023</t>
        </is>
      </c>
      <c r="B2220" t="inlineStr">
        <is>
          <t>avverkningsanmälan</t>
        </is>
      </c>
      <c r="C2220" t="inlineStr">
        <is>
          <t>Föryngringsavverkning</t>
        </is>
      </c>
      <c r="D2220" s="1" t="n">
        <v>45154</v>
      </c>
      <c r="E2220" s="1" t="n">
        <v>46323</v>
      </c>
      <c r="F2220" t="inlineStr">
        <is>
          <t>KALMAR LÄN</t>
        </is>
      </c>
      <c r="G2220" t="inlineStr">
        <is>
          <t>VIMMERBY</t>
        </is>
      </c>
      <c r="I2220" t="n">
        <v>2</v>
      </c>
      <c r="J2220" t="n">
        <v>0</v>
      </c>
      <c r="K2220" t="n">
        <v>0</v>
      </c>
      <c r="L2220" t="n">
        <v>0</v>
      </c>
      <c r="M2220" t="n">
        <v>0</v>
      </c>
      <c r="N2220" t="n">
        <v>0</v>
      </c>
      <c r="O2220" t="n">
        <v>0</v>
      </c>
      <c r="P2220" t="n">
        <v>0</v>
      </c>
      <c r="Q2220" t="n">
        <v>0</v>
      </c>
      <c r="R2220" t="n">
        <v>0</v>
      </c>
      <c r="S2220" t="n">
        <v>0</v>
      </c>
      <c r="T2220" t="n">
        <v>0</v>
      </c>
      <c r="U2220" t="n">
        <v>0</v>
      </c>
      <c r="V2220" s="2" t="inlineStr"/>
    </row>
    <row r="2221" ht="15" customHeight="1">
      <c r="A2221" t="inlineStr">
        <is>
          <t>A 51305-2024</t>
        </is>
      </c>
      <c r="B2221" t="inlineStr">
        <is>
          <t>avverkningsanmälan</t>
        </is>
      </c>
      <c r="C2221" t="inlineStr">
        <is>
          <t>Föryngringsavverkning</t>
        </is>
      </c>
      <c r="D2221" s="1" t="n">
        <v>45603</v>
      </c>
      <c r="E2221" s="1" t="n">
        <v>46323</v>
      </c>
      <c r="F2221" t="inlineStr">
        <is>
          <t>KALMAR LÄN</t>
        </is>
      </c>
      <c r="G2221" t="inlineStr">
        <is>
          <t>NYBRO</t>
        </is>
      </c>
      <c r="I2221" t="n">
        <v>1.9</v>
      </c>
      <c r="J2221" t="n">
        <v>0</v>
      </c>
      <c r="K2221" t="n">
        <v>0</v>
      </c>
      <c r="L2221" t="n">
        <v>0</v>
      </c>
      <c r="M2221" t="n">
        <v>0</v>
      </c>
      <c r="N2221" t="n">
        <v>0</v>
      </c>
      <c r="O2221" t="n">
        <v>0</v>
      </c>
      <c r="P2221" t="n">
        <v>0</v>
      </c>
      <c r="Q2221" t="n">
        <v>0</v>
      </c>
      <c r="R2221" t="n">
        <v>0</v>
      </c>
      <c r="S2221" t="n">
        <v>0</v>
      </c>
      <c r="T2221" t="n">
        <v>0</v>
      </c>
      <c r="U2221" t="n">
        <v>0</v>
      </c>
      <c r="V2221" s="2" t="inlineStr"/>
    </row>
    <row r="2222" ht="15" customHeight="1">
      <c r="A2222" t="inlineStr">
        <is>
          <t>A 32865-2023</t>
        </is>
      </c>
      <c r="B2222" t="inlineStr">
        <is>
          <t>avverkningsanmälan</t>
        </is>
      </c>
      <c r="C2222" t="inlineStr">
        <is>
          <t>Föryngringsavverkning</t>
        </is>
      </c>
      <c r="D2222" s="1" t="n">
        <v>45124</v>
      </c>
      <c r="E2222" s="1" t="n">
        <v>46323</v>
      </c>
      <c r="F2222" t="inlineStr">
        <is>
          <t>KALMAR LÄN</t>
        </is>
      </c>
      <c r="G2222" t="inlineStr">
        <is>
          <t>VIMMERBY</t>
        </is>
      </c>
      <c r="I2222" t="n">
        <v>0.5</v>
      </c>
      <c r="J2222" t="n">
        <v>0</v>
      </c>
      <c r="K2222" t="n">
        <v>0</v>
      </c>
      <c r="L2222" t="n">
        <v>0</v>
      </c>
      <c r="M2222" t="n">
        <v>0</v>
      </c>
      <c r="N2222" t="n">
        <v>0</v>
      </c>
      <c r="O2222" t="n">
        <v>0</v>
      </c>
      <c r="P2222" t="n">
        <v>0</v>
      </c>
      <c r="Q2222" t="n">
        <v>0</v>
      </c>
      <c r="R2222" t="n">
        <v>0</v>
      </c>
      <c r="S2222" t="n">
        <v>0</v>
      </c>
      <c r="T2222" t="n">
        <v>0</v>
      </c>
      <c r="U2222" t="n">
        <v>0</v>
      </c>
      <c r="V2222" s="2" t="inlineStr"/>
    </row>
    <row r="2223" ht="15" customHeight="1">
      <c r="A2223" t="inlineStr">
        <is>
          <t>A 44715-2023</t>
        </is>
      </c>
      <c r="B2223" t="inlineStr">
        <is>
          <t>avverkningsanmälan</t>
        </is>
      </c>
      <c r="C2223" t="inlineStr">
        <is>
          <t>Föryngringsavverkning</t>
        </is>
      </c>
      <c r="D2223" s="1" t="n">
        <v>45190</v>
      </c>
      <c r="E2223" s="1" t="n">
        <v>46323</v>
      </c>
      <c r="F2223" t="inlineStr">
        <is>
          <t>KALMAR LÄN</t>
        </is>
      </c>
      <c r="G2223" t="inlineStr">
        <is>
          <t>HULTSFRED</t>
        </is>
      </c>
      <c r="I2223" t="n">
        <v>1.7</v>
      </c>
      <c r="J2223" t="n">
        <v>0</v>
      </c>
      <c r="K2223" t="n">
        <v>0</v>
      </c>
      <c r="L2223" t="n">
        <v>0</v>
      </c>
      <c r="M2223" t="n">
        <v>0</v>
      </c>
      <c r="N2223" t="n">
        <v>0</v>
      </c>
      <c r="O2223" t="n">
        <v>0</v>
      </c>
      <c r="P2223" t="n">
        <v>0</v>
      </c>
      <c r="Q2223" t="n">
        <v>0</v>
      </c>
      <c r="R2223" t="n">
        <v>0</v>
      </c>
      <c r="S2223" t="n">
        <v>0</v>
      </c>
      <c r="T2223" t="n">
        <v>0</v>
      </c>
      <c r="U2223" t="n">
        <v>0</v>
      </c>
      <c r="V2223" s="2" t="inlineStr"/>
    </row>
    <row r="2224" ht="15" customHeight="1">
      <c r="A2224" t="inlineStr">
        <is>
          <t>A 5691-2025</t>
        </is>
      </c>
      <c r="B2224" t="inlineStr">
        <is>
          <t>avverkningsanmälan</t>
        </is>
      </c>
      <c r="C2224" t="inlineStr">
        <is>
          <t>Avverkning för annat ändamål</t>
        </is>
      </c>
      <c r="D2224" s="1" t="n">
        <v>45694</v>
      </c>
      <c r="E2224" s="1" t="n">
        <v>46323</v>
      </c>
      <c r="F2224" t="inlineStr">
        <is>
          <t>KALMAR LÄN</t>
        </is>
      </c>
      <c r="G2224" t="inlineStr">
        <is>
          <t>VÄSTERVIK</t>
        </is>
      </c>
      <c r="I2224" t="n">
        <v>0.8</v>
      </c>
      <c r="J2224" t="n">
        <v>0</v>
      </c>
      <c r="K2224" t="n">
        <v>0</v>
      </c>
      <c r="L2224" t="n">
        <v>0</v>
      </c>
      <c r="M2224" t="n">
        <v>0</v>
      </c>
      <c r="N2224" t="n">
        <v>0</v>
      </c>
      <c r="O2224" t="n">
        <v>0</v>
      </c>
      <c r="P2224" t="n">
        <v>0</v>
      </c>
      <c r="Q2224" t="n">
        <v>0</v>
      </c>
      <c r="R2224" t="n">
        <v>0</v>
      </c>
      <c r="S2224" t="n">
        <v>0</v>
      </c>
      <c r="T2224" t="n">
        <v>0</v>
      </c>
      <c r="U2224" t="n">
        <v>0</v>
      </c>
      <c r="V2224" s="2" t="inlineStr"/>
    </row>
    <row r="2225" ht="15" customHeight="1">
      <c r="A2225" t="inlineStr">
        <is>
          <t>A 7789-2025</t>
        </is>
      </c>
      <c r="B2225" t="inlineStr">
        <is>
          <t>avverkningsanmälan</t>
        </is>
      </c>
      <c r="C2225" t="inlineStr">
        <is>
          <t>Föryngringsavverkning</t>
        </is>
      </c>
      <c r="D2225" s="1" t="n">
        <v>45706</v>
      </c>
      <c r="E2225" s="1" t="n">
        <v>46323</v>
      </c>
      <c r="F2225" t="inlineStr">
        <is>
          <t>KALMAR LÄN</t>
        </is>
      </c>
      <c r="G2225" t="inlineStr">
        <is>
          <t>NYBRO</t>
        </is>
      </c>
      <c r="I2225" t="n">
        <v>3.6</v>
      </c>
      <c r="J2225" t="n">
        <v>0</v>
      </c>
      <c r="K2225" t="n">
        <v>0</v>
      </c>
      <c r="L2225" t="n">
        <v>0</v>
      </c>
      <c r="M2225" t="n">
        <v>0</v>
      </c>
      <c r="N2225" t="n">
        <v>0</v>
      </c>
      <c r="O2225" t="n">
        <v>0</v>
      </c>
      <c r="P2225" t="n">
        <v>0</v>
      </c>
      <c r="Q2225" t="n">
        <v>0</v>
      </c>
      <c r="R2225" t="n">
        <v>0</v>
      </c>
      <c r="S2225" t="n">
        <v>0</v>
      </c>
      <c r="T2225" t="n">
        <v>0</v>
      </c>
      <c r="U2225" t="n">
        <v>0</v>
      </c>
      <c r="V2225" s="2" t="inlineStr"/>
    </row>
    <row r="2226" ht="15" customHeight="1">
      <c r="A2226" t="inlineStr">
        <is>
          <t>A 31760-2022</t>
        </is>
      </c>
      <c r="B2226" t="inlineStr">
        <is>
          <t>avverkningsanmälan</t>
        </is>
      </c>
      <c r="C2226" t="inlineStr">
        <is>
          <t>Föryngringsavverkning</t>
        </is>
      </c>
      <c r="D2226" s="1" t="n">
        <v>44776</v>
      </c>
      <c r="E2226" s="1" t="n">
        <v>46323</v>
      </c>
      <c r="F2226" t="inlineStr">
        <is>
          <t>KALMAR LÄN</t>
        </is>
      </c>
      <c r="G2226" t="inlineStr">
        <is>
          <t>TORSÅS</t>
        </is>
      </c>
      <c r="I2226" t="n">
        <v>1.1</v>
      </c>
      <c r="J2226" t="n">
        <v>0</v>
      </c>
      <c r="K2226" t="n">
        <v>0</v>
      </c>
      <c r="L2226" t="n">
        <v>0</v>
      </c>
      <c r="M2226" t="n">
        <v>0</v>
      </c>
      <c r="N2226" t="n">
        <v>0</v>
      </c>
      <c r="O2226" t="n">
        <v>0</v>
      </c>
      <c r="P2226" t="n">
        <v>0</v>
      </c>
      <c r="Q2226" t="n">
        <v>0</v>
      </c>
      <c r="R2226" t="n">
        <v>0</v>
      </c>
      <c r="S2226" t="n">
        <v>0</v>
      </c>
      <c r="T2226" t="n">
        <v>0</v>
      </c>
      <c r="U2226" t="n">
        <v>0</v>
      </c>
      <c r="V2226" s="2" t="inlineStr"/>
    </row>
    <row r="2227" ht="15" customHeight="1">
      <c r="A2227" t="inlineStr">
        <is>
          <t>A 53373-2023</t>
        </is>
      </c>
      <c r="B2227" t="inlineStr">
        <is>
          <t>avverkningsanmälan</t>
        </is>
      </c>
      <c r="C2227" t="inlineStr">
        <is>
          <t>Föryngringsavverkning</t>
        </is>
      </c>
      <c r="D2227" s="1" t="n">
        <v>45229</v>
      </c>
      <c r="E2227" s="1" t="n">
        <v>46323</v>
      </c>
      <c r="F2227" t="inlineStr">
        <is>
          <t>KALMAR LÄN</t>
        </is>
      </c>
      <c r="G2227" t="inlineStr">
        <is>
          <t>EMMABODA</t>
        </is>
      </c>
      <c r="I2227" t="n">
        <v>1.1</v>
      </c>
      <c r="J2227" t="n">
        <v>0</v>
      </c>
      <c r="K2227" t="n">
        <v>0</v>
      </c>
      <c r="L2227" t="n">
        <v>0</v>
      </c>
      <c r="M2227" t="n">
        <v>0</v>
      </c>
      <c r="N2227" t="n">
        <v>0</v>
      </c>
      <c r="O2227" t="n">
        <v>0</v>
      </c>
      <c r="P2227" t="n">
        <v>0</v>
      </c>
      <c r="Q2227" t="n">
        <v>0</v>
      </c>
      <c r="R2227" t="n">
        <v>0</v>
      </c>
      <c r="S2227" t="n">
        <v>0</v>
      </c>
      <c r="T2227" t="n">
        <v>0</v>
      </c>
      <c r="U2227" t="n">
        <v>0</v>
      </c>
      <c r="V2227" s="2" t="inlineStr"/>
    </row>
    <row r="2228" ht="15" customHeight="1">
      <c r="A2228" t="inlineStr">
        <is>
          <t>A 57256-2023</t>
        </is>
      </c>
      <c r="B2228" t="inlineStr">
        <is>
          <t>avverkningsanmälan</t>
        </is>
      </c>
      <c r="C2228" t="inlineStr">
        <is>
          <t>Föryngringsavverkning</t>
        </is>
      </c>
      <c r="D2228" s="1" t="n">
        <v>45245</v>
      </c>
      <c r="E2228" s="1" t="n">
        <v>46323</v>
      </c>
      <c r="F2228" t="inlineStr">
        <is>
          <t>KALMAR LÄN</t>
        </is>
      </c>
      <c r="G2228" t="inlineStr">
        <is>
          <t>VIMMERBY</t>
        </is>
      </c>
      <c r="I2228" t="n">
        <v>0.5</v>
      </c>
      <c r="J2228" t="n">
        <v>0</v>
      </c>
      <c r="K2228" t="n">
        <v>0</v>
      </c>
      <c r="L2228" t="n">
        <v>0</v>
      </c>
      <c r="M2228" t="n">
        <v>0</v>
      </c>
      <c r="N2228" t="n">
        <v>0</v>
      </c>
      <c r="O2228" t="n">
        <v>0</v>
      </c>
      <c r="P2228" t="n">
        <v>0</v>
      </c>
      <c r="Q2228" t="n">
        <v>0</v>
      </c>
      <c r="R2228" t="n">
        <v>0</v>
      </c>
      <c r="S2228" t="n">
        <v>0</v>
      </c>
      <c r="T2228" t="n">
        <v>0</v>
      </c>
      <c r="U2228" t="n">
        <v>0</v>
      </c>
      <c r="V2228" s="2" t="inlineStr"/>
    </row>
    <row r="2229" ht="15" customHeight="1">
      <c r="A2229" t="inlineStr">
        <is>
          <t>A 21567-2024</t>
        </is>
      </c>
      <c r="B2229" t="inlineStr">
        <is>
          <t>avverkningsanmälan</t>
        </is>
      </c>
      <c r="C2229" t="inlineStr">
        <is>
          <t>Föryngringsavverkning</t>
        </is>
      </c>
      <c r="D2229" s="1" t="n">
        <v>45441</v>
      </c>
      <c r="E2229" s="1" t="n">
        <v>46323</v>
      </c>
      <c r="F2229" t="inlineStr">
        <is>
          <t>KALMAR LÄN</t>
        </is>
      </c>
      <c r="G2229" t="inlineStr">
        <is>
          <t>MÖNSTERÅS</t>
        </is>
      </c>
      <c r="I2229" t="n">
        <v>3.5</v>
      </c>
      <c r="J2229" t="n">
        <v>0</v>
      </c>
      <c r="K2229" t="n">
        <v>0</v>
      </c>
      <c r="L2229" t="n">
        <v>0</v>
      </c>
      <c r="M2229" t="n">
        <v>0</v>
      </c>
      <c r="N2229" t="n">
        <v>0</v>
      </c>
      <c r="O2229" t="n">
        <v>0</v>
      </c>
      <c r="P2229" t="n">
        <v>0</v>
      </c>
      <c r="Q2229" t="n">
        <v>0</v>
      </c>
      <c r="R2229" t="n">
        <v>0</v>
      </c>
      <c r="S2229" t="n">
        <v>0</v>
      </c>
      <c r="T2229" t="n">
        <v>0</v>
      </c>
      <c r="U2229" t="n">
        <v>0</v>
      </c>
      <c r="V2229" s="2" t="inlineStr"/>
    </row>
    <row r="2230" ht="15" customHeight="1">
      <c r="A2230" t="inlineStr">
        <is>
          <t>A 51804-2022</t>
        </is>
      </c>
      <c r="B2230" t="inlineStr">
        <is>
          <t>avverkningsanmälan</t>
        </is>
      </c>
      <c r="C2230" t="inlineStr">
        <is>
          <t>Föryngringsavverkning</t>
        </is>
      </c>
      <c r="D2230" s="1" t="n">
        <v>44872</v>
      </c>
      <c r="E2230" s="1" t="n">
        <v>46323</v>
      </c>
      <c r="F2230" t="inlineStr">
        <is>
          <t>KALMAR LÄN</t>
        </is>
      </c>
      <c r="G2230" t="inlineStr">
        <is>
          <t>MÖNSTERÅS</t>
        </is>
      </c>
      <c r="I2230" t="n">
        <v>3.5</v>
      </c>
      <c r="J2230" t="n">
        <v>0</v>
      </c>
      <c r="K2230" t="n">
        <v>0</v>
      </c>
      <c r="L2230" t="n">
        <v>0</v>
      </c>
      <c r="M2230" t="n">
        <v>0</v>
      </c>
      <c r="N2230" t="n">
        <v>0</v>
      </c>
      <c r="O2230" t="n">
        <v>0</v>
      </c>
      <c r="P2230" t="n">
        <v>0</v>
      </c>
      <c r="Q2230" t="n">
        <v>0</v>
      </c>
      <c r="R2230" t="n">
        <v>0</v>
      </c>
      <c r="S2230" t="n">
        <v>0</v>
      </c>
      <c r="T2230" t="n">
        <v>0</v>
      </c>
      <c r="U2230" t="n">
        <v>0</v>
      </c>
      <c r="V2230" s="2" t="inlineStr"/>
    </row>
    <row r="2231" ht="15" customHeight="1">
      <c r="A2231" t="inlineStr">
        <is>
          <t>A 17926-2025</t>
        </is>
      </c>
      <c r="B2231" t="inlineStr">
        <is>
          <t>avverkningsanmälan</t>
        </is>
      </c>
      <c r="C2231" t="inlineStr">
        <is>
          <t>Föryngringsavverkning</t>
        </is>
      </c>
      <c r="D2231" s="1" t="n">
        <v>45759</v>
      </c>
      <c r="E2231" s="1" t="n">
        <v>46323</v>
      </c>
      <c r="F2231" t="inlineStr">
        <is>
          <t>KALMAR LÄN</t>
        </is>
      </c>
      <c r="G2231" t="inlineStr">
        <is>
          <t>VIMMERBY</t>
        </is>
      </c>
      <c r="I2231" t="n">
        <v>1</v>
      </c>
      <c r="J2231" t="n">
        <v>0</v>
      </c>
      <c r="K2231" t="n">
        <v>0</v>
      </c>
      <c r="L2231" t="n">
        <v>0</v>
      </c>
      <c r="M2231" t="n">
        <v>0</v>
      </c>
      <c r="N2231" t="n">
        <v>0</v>
      </c>
      <c r="O2231" t="n">
        <v>0</v>
      </c>
      <c r="P2231" t="n">
        <v>0</v>
      </c>
      <c r="Q2231" t="n">
        <v>0</v>
      </c>
      <c r="R2231" t="n">
        <v>0</v>
      </c>
      <c r="S2231" t="n">
        <v>0</v>
      </c>
      <c r="T2231" t="n">
        <v>0</v>
      </c>
      <c r="U2231" t="n">
        <v>0</v>
      </c>
      <c r="V2231" s="2" t="inlineStr"/>
    </row>
    <row r="2232" ht="15" customHeight="1">
      <c r="A2232" t="inlineStr">
        <is>
          <t>A 12959-2024</t>
        </is>
      </c>
      <c r="B2232" t="inlineStr">
        <is>
          <t>avverkningsanmälan</t>
        </is>
      </c>
      <c r="C2232" t="inlineStr">
        <is>
          <t>Föryngringsavverkning</t>
        </is>
      </c>
      <c r="D2232" s="1" t="n">
        <v>45385</v>
      </c>
      <c r="E2232" s="1" t="n">
        <v>46323</v>
      </c>
      <c r="F2232" t="inlineStr">
        <is>
          <t>KALMAR LÄN</t>
        </is>
      </c>
      <c r="G2232" t="inlineStr">
        <is>
          <t>EMMABODA</t>
        </is>
      </c>
      <c r="I2232" t="n">
        <v>2.4</v>
      </c>
      <c r="J2232" t="n">
        <v>0</v>
      </c>
      <c r="K2232" t="n">
        <v>0</v>
      </c>
      <c r="L2232" t="n">
        <v>0</v>
      </c>
      <c r="M2232" t="n">
        <v>0</v>
      </c>
      <c r="N2232" t="n">
        <v>0</v>
      </c>
      <c r="O2232" t="n">
        <v>0</v>
      </c>
      <c r="P2232" t="n">
        <v>0</v>
      </c>
      <c r="Q2232" t="n">
        <v>0</v>
      </c>
      <c r="R2232" t="n">
        <v>0</v>
      </c>
      <c r="S2232" t="n">
        <v>0</v>
      </c>
      <c r="T2232" t="n">
        <v>0</v>
      </c>
      <c r="U2232" t="n">
        <v>0</v>
      </c>
      <c r="V2232" s="2" t="inlineStr"/>
    </row>
    <row r="2233" ht="15" customHeight="1">
      <c r="A2233" t="inlineStr">
        <is>
          <t>A 9581-2023</t>
        </is>
      </c>
      <c r="B2233" t="inlineStr">
        <is>
          <t>avverkningsanmälan</t>
        </is>
      </c>
      <c r="C2233" t="inlineStr">
        <is>
          <t>Föryngringsavverkning</t>
        </is>
      </c>
      <c r="D2233" s="1" t="n">
        <v>44982</v>
      </c>
      <c r="E2233" s="1" t="n">
        <v>46323</v>
      </c>
      <c r="F2233" t="inlineStr">
        <is>
          <t>KALMAR LÄN</t>
        </is>
      </c>
      <c r="G2233" t="inlineStr">
        <is>
          <t>NYBRO</t>
        </is>
      </c>
      <c r="I2233" t="n">
        <v>1.7</v>
      </c>
      <c r="J2233" t="n">
        <v>0</v>
      </c>
      <c r="K2233" t="n">
        <v>0</v>
      </c>
      <c r="L2233" t="n">
        <v>0</v>
      </c>
      <c r="M2233" t="n">
        <v>0</v>
      </c>
      <c r="N2233" t="n">
        <v>0</v>
      </c>
      <c r="O2233" t="n">
        <v>0</v>
      </c>
      <c r="P2233" t="n">
        <v>0</v>
      </c>
      <c r="Q2233" t="n">
        <v>0</v>
      </c>
      <c r="R2233" t="n">
        <v>0</v>
      </c>
      <c r="S2233" t="n">
        <v>0</v>
      </c>
      <c r="T2233" t="n">
        <v>0</v>
      </c>
      <c r="U2233" t="n">
        <v>0</v>
      </c>
      <c r="V2233" s="2" t="inlineStr"/>
    </row>
    <row r="2234" ht="15" customHeight="1">
      <c r="A2234" t="inlineStr">
        <is>
          <t>A 31948-2023</t>
        </is>
      </c>
      <c r="B2234" t="inlineStr">
        <is>
          <t>avverkningsanmälan</t>
        </is>
      </c>
      <c r="C2234" t="inlineStr">
        <is>
          <t>Föryngringsavverkning</t>
        </is>
      </c>
      <c r="D2234" s="1" t="n">
        <v>45119</v>
      </c>
      <c r="E2234" s="1" t="n">
        <v>46323</v>
      </c>
      <c r="F2234" t="inlineStr">
        <is>
          <t>KALMAR LÄN</t>
        </is>
      </c>
      <c r="G2234" t="inlineStr">
        <is>
          <t>NYBRO</t>
        </is>
      </c>
      <c r="I2234" t="n">
        <v>2.1</v>
      </c>
      <c r="J2234" t="n">
        <v>0</v>
      </c>
      <c r="K2234" t="n">
        <v>0</v>
      </c>
      <c r="L2234" t="n">
        <v>0</v>
      </c>
      <c r="M2234" t="n">
        <v>0</v>
      </c>
      <c r="N2234" t="n">
        <v>0</v>
      </c>
      <c r="O2234" t="n">
        <v>0</v>
      </c>
      <c r="P2234" t="n">
        <v>0</v>
      </c>
      <c r="Q2234" t="n">
        <v>0</v>
      </c>
      <c r="R2234" t="n">
        <v>0</v>
      </c>
      <c r="S2234" t="n">
        <v>0</v>
      </c>
      <c r="T2234" t="n">
        <v>0</v>
      </c>
      <c r="U2234" t="n">
        <v>0</v>
      </c>
      <c r="V2234" s="2" t="inlineStr"/>
    </row>
    <row r="2235" ht="15" customHeight="1">
      <c r="A2235" t="inlineStr">
        <is>
          <t>A 57486-2024</t>
        </is>
      </c>
      <c r="B2235" t="inlineStr">
        <is>
          <t>avverkningsanmälan</t>
        </is>
      </c>
      <c r="C2235" t="inlineStr">
        <is>
          <t>Föryngringsavverkning</t>
        </is>
      </c>
      <c r="D2235" s="1" t="n">
        <v>45630</v>
      </c>
      <c r="E2235" s="1" t="n">
        <v>46323</v>
      </c>
      <c r="F2235" t="inlineStr">
        <is>
          <t>KALMAR LÄN</t>
        </is>
      </c>
      <c r="G2235" t="inlineStr">
        <is>
          <t>VIMMERBY</t>
        </is>
      </c>
      <c r="I2235" t="n">
        <v>0.4</v>
      </c>
      <c r="J2235" t="n">
        <v>0</v>
      </c>
      <c r="K2235" t="n">
        <v>0</v>
      </c>
      <c r="L2235" t="n">
        <v>0</v>
      </c>
      <c r="M2235" t="n">
        <v>0</v>
      </c>
      <c r="N2235" t="n">
        <v>0</v>
      </c>
      <c r="O2235" t="n">
        <v>0</v>
      </c>
      <c r="P2235" t="n">
        <v>0</v>
      </c>
      <c r="Q2235" t="n">
        <v>0</v>
      </c>
      <c r="R2235" t="n">
        <v>0</v>
      </c>
      <c r="S2235" t="n">
        <v>0</v>
      </c>
      <c r="T2235" t="n">
        <v>0</v>
      </c>
      <c r="U2235" t="n">
        <v>0</v>
      </c>
      <c r="V2235" s="2" t="inlineStr"/>
    </row>
    <row r="2236" ht="15" customHeight="1">
      <c r="A2236" t="inlineStr">
        <is>
          <t>A 35127-2024</t>
        </is>
      </c>
      <c r="B2236" t="inlineStr">
        <is>
          <t>avverkningsanmälan</t>
        </is>
      </c>
      <c r="C2236" t="inlineStr">
        <is>
          <t>Föryngringsavverkning</t>
        </is>
      </c>
      <c r="D2236" s="1" t="n">
        <v>45530</v>
      </c>
      <c r="E2236" s="1" t="n">
        <v>46323</v>
      </c>
      <c r="F2236" t="inlineStr">
        <is>
          <t>KALMAR LÄN</t>
        </is>
      </c>
      <c r="G2236" t="inlineStr">
        <is>
          <t>VIMMERBY</t>
        </is>
      </c>
      <c r="I2236" t="n">
        <v>0.5</v>
      </c>
      <c r="J2236" t="n">
        <v>0</v>
      </c>
      <c r="K2236" t="n">
        <v>0</v>
      </c>
      <c r="L2236" t="n">
        <v>0</v>
      </c>
      <c r="M2236" t="n">
        <v>0</v>
      </c>
      <c r="N2236" t="n">
        <v>0</v>
      </c>
      <c r="O2236" t="n">
        <v>0</v>
      </c>
      <c r="P2236" t="n">
        <v>0</v>
      </c>
      <c r="Q2236" t="n">
        <v>0</v>
      </c>
      <c r="R2236" t="n">
        <v>0</v>
      </c>
      <c r="S2236" t="n">
        <v>0</v>
      </c>
      <c r="T2236" t="n">
        <v>0</v>
      </c>
      <c r="U2236" t="n">
        <v>0</v>
      </c>
      <c r="V2236" s="2" t="inlineStr"/>
    </row>
    <row r="2237" ht="15" customHeight="1">
      <c r="A2237" t="inlineStr">
        <is>
          <t>A 23088-2024</t>
        </is>
      </c>
      <c r="B2237" t="inlineStr">
        <is>
          <t>avverkningsanmälan</t>
        </is>
      </c>
      <c r="C2237" t="inlineStr">
        <is>
          <t>Föryngringsavverkning</t>
        </is>
      </c>
      <c r="D2237" s="1" t="n">
        <v>45450</v>
      </c>
      <c r="E2237" s="1" t="n">
        <v>46323</v>
      </c>
      <c r="F2237" t="inlineStr">
        <is>
          <t>KALMAR LÄN</t>
        </is>
      </c>
      <c r="G2237" t="inlineStr">
        <is>
          <t>VIMMERBY</t>
        </is>
      </c>
      <c r="I2237" t="n">
        <v>1.9</v>
      </c>
      <c r="J2237" t="n">
        <v>0</v>
      </c>
      <c r="K2237" t="n">
        <v>0</v>
      </c>
      <c r="L2237" t="n">
        <v>0</v>
      </c>
      <c r="M2237" t="n">
        <v>0</v>
      </c>
      <c r="N2237" t="n">
        <v>0</v>
      </c>
      <c r="O2237" t="n">
        <v>0</v>
      </c>
      <c r="P2237" t="n">
        <v>0</v>
      </c>
      <c r="Q2237" t="n">
        <v>0</v>
      </c>
      <c r="R2237" t="n">
        <v>0</v>
      </c>
      <c r="S2237" t="n">
        <v>0</v>
      </c>
      <c r="T2237" t="n">
        <v>0</v>
      </c>
      <c r="U2237" t="n">
        <v>0</v>
      </c>
      <c r="V2237" s="2" t="inlineStr"/>
    </row>
    <row r="2238" ht="15" customHeight="1">
      <c r="A2238" t="inlineStr">
        <is>
          <t>A 14600-2023</t>
        </is>
      </c>
      <c r="B2238" t="inlineStr">
        <is>
          <t>avverkningsanmälan</t>
        </is>
      </c>
      <c r="C2238" t="inlineStr">
        <is>
          <t>Föryngringsavverkning</t>
        </is>
      </c>
      <c r="D2238" s="1" t="n">
        <v>45013</v>
      </c>
      <c r="E2238" s="1" t="n">
        <v>46323</v>
      </c>
      <c r="F2238" t="inlineStr">
        <is>
          <t>KALMAR LÄN</t>
        </is>
      </c>
      <c r="G2238" t="inlineStr">
        <is>
          <t>NYBRO</t>
        </is>
      </c>
      <c r="I2238" t="n">
        <v>1.9</v>
      </c>
      <c r="J2238" t="n">
        <v>0</v>
      </c>
      <c r="K2238" t="n">
        <v>0</v>
      </c>
      <c r="L2238" t="n">
        <v>0</v>
      </c>
      <c r="M2238" t="n">
        <v>0</v>
      </c>
      <c r="N2238" t="n">
        <v>0</v>
      </c>
      <c r="O2238" t="n">
        <v>0</v>
      </c>
      <c r="P2238" t="n">
        <v>0</v>
      </c>
      <c r="Q2238" t="n">
        <v>0</v>
      </c>
      <c r="R2238" t="n">
        <v>0</v>
      </c>
      <c r="S2238" t="n">
        <v>0</v>
      </c>
      <c r="T2238" t="n">
        <v>0</v>
      </c>
      <c r="U2238" t="n">
        <v>0</v>
      </c>
      <c r="V2238" s="2" t="inlineStr"/>
    </row>
    <row r="2239" ht="15" customHeight="1">
      <c r="A2239" t="inlineStr">
        <is>
          <t>A 41674-2024</t>
        </is>
      </c>
      <c r="B2239" t="inlineStr">
        <is>
          <t>avverkningsanmälan</t>
        </is>
      </c>
      <c r="C2239" t="inlineStr">
        <is>
          <t>Avverkning för att bevara och utveckla /försöksver</t>
        </is>
      </c>
      <c r="D2239" s="1" t="n">
        <v>45560</v>
      </c>
      <c r="E2239" s="1" t="n">
        <v>46323</v>
      </c>
      <c r="F2239" t="inlineStr">
        <is>
          <t>KALMAR LÄN</t>
        </is>
      </c>
      <c r="G2239" t="inlineStr">
        <is>
          <t>NYBRO</t>
        </is>
      </c>
      <c r="I2239" t="n">
        <v>1.2</v>
      </c>
      <c r="J2239" t="n">
        <v>0</v>
      </c>
      <c r="K2239" t="n">
        <v>0</v>
      </c>
      <c r="L2239" t="n">
        <v>0</v>
      </c>
      <c r="M2239" t="n">
        <v>0</v>
      </c>
      <c r="N2239" t="n">
        <v>0</v>
      </c>
      <c r="O2239" t="n">
        <v>0</v>
      </c>
      <c r="P2239" t="n">
        <v>0</v>
      </c>
      <c r="Q2239" t="n">
        <v>0</v>
      </c>
      <c r="R2239" t="n">
        <v>0</v>
      </c>
      <c r="S2239" t="n">
        <v>0</v>
      </c>
      <c r="T2239" t="n">
        <v>0</v>
      </c>
      <c r="U2239" t="n">
        <v>0</v>
      </c>
      <c r="V2239" s="2" t="inlineStr"/>
    </row>
    <row r="2240" ht="15" customHeight="1">
      <c r="A2240" t="inlineStr">
        <is>
          <t>A 17652-2023</t>
        </is>
      </c>
      <c r="B2240" t="inlineStr">
        <is>
          <t>avverkningsanmälan</t>
        </is>
      </c>
      <c r="C2240" t="inlineStr">
        <is>
          <t>Föryngringsavverkning</t>
        </is>
      </c>
      <c r="D2240" s="1" t="n">
        <v>45036</v>
      </c>
      <c r="E2240" s="1" t="n">
        <v>46323</v>
      </c>
      <c r="F2240" t="inlineStr">
        <is>
          <t>KALMAR LÄN</t>
        </is>
      </c>
      <c r="G2240" t="inlineStr">
        <is>
          <t>VÄSTERVIK</t>
        </is>
      </c>
      <c r="I2240" t="n">
        <v>0.2</v>
      </c>
      <c r="J2240" t="n">
        <v>0</v>
      </c>
      <c r="K2240" t="n">
        <v>0</v>
      </c>
      <c r="L2240" t="n">
        <v>0</v>
      </c>
      <c r="M2240" t="n">
        <v>0</v>
      </c>
      <c r="N2240" t="n">
        <v>0</v>
      </c>
      <c r="O2240" t="n">
        <v>0</v>
      </c>
      <c r="P2240" t="n">
        <v>0</v>
      </c>
      <c r="Q2240" t="n">
        <v>0</v>
      </c>
      <c r="R2240" t="n">
        <v>0</v>
      </c>
      <c r="S2240" t="n">
        <v>0</v>
      </c>
      <c r="T2240" t="n">
        <v>0</v>
      </c>
      <c r="U2240" t="n">
        <v>0</v>
      </c>
      <c r="V2240" s="2" t="inlineStr"/>
    </row>
    <row r="2241" ht="15" customHeight="1">
      <c r="A2241" t="inlineStr">
        <is>
          <t>A 12643-2024</t>
        </is>
      </c>
      <c r="B2241" t="inlineStr">
        <is>
          <t>avverkningsanmälan</t>
        </is>
      </c>
      <c r="C2241" t="inlineStr">
        <is>
          <t>Avverkning för annat ändamål</t>
        </is>
      </c>
      <c r="D2241" s="1" t="n">
        <v>45379</v>
      </c>
      <c r="E2241" s="1" t="n">
        <v>46323</v>
      </c>
      <c r="F2241" t="inlineStr">
        <is>
          <t>KALMAR LÄN</t>
        </is>
      </c>
      <c r="G2241" t="inlineStr">
        <is>
          <t>VÄSTERVIK</t>
        </is>
      </c>
      <c r="H2241" t="inlineStr">
        <is>
          <t>Kommuner</t>
        </is>
      </c>
      <c r="I2241" t="n">
        <v>2.1</v>
      </c>
      <c r="J2241" t="n">
        <v>0</v>
      </c>
      <c r="K2241" t="n">
        <v>0</v>
      </c>
      <c r="L2241" t="n">
        <v>0</v>
      </c>
      <c r="M2241" t="n">
        <v>0</v>
      </c>
      <c r="N2241" t="n">
        <v>0</v>
      </c>
      <c r="O2241" t="n">
        <v>0</v>
      </c>
      <c r="P2241" t="n">
        <v>0</v>
      </c>
      <c r="Q2241" t="n">
        <v>0</v>
      </c>
      <c r="R2241" t="n">
        <v>0</v>
      </c>
      <c r="S2241" t="n">
        <v>0</v>
      </c>
      <c r="T2241" t="n">
        <v>0</v>
      </c>
      <c r="U2241" t="n">
        <v>0</v>
      </c>
      <c r="V2241" s="2" t="inlineStr"/>
    </row>
    <row r="2242" ht="15" customHeight="1">
      <c r="A2242" t="inlineStr">
        <is>
          <t>A 36187-2023</t>
        </is>
      </c>
      <c r="B2242" t="inlineStr">
        <is>
          <t>avverkningsanmälan</t>
        </is>
      </c>
      <c r="C2242" t="inlineStr">
        <is>
          <t>Föryngringsavverkning</t>
        </is>
      </c>
      <c r="D2242" s="1" t="n">
        <v>45149</v>
      </c>
      <c r="E2242" s="1" t="n">
        <v>46323</v>
      </c>
      <c r="F2242" t="inlineStr">
        <is>
          <t>KALMAR LÄN</t>
        </is>
      </c>
      <c r="G2242" t="inlineStr">
        <is>
          <t>HULTSFRED</t>
        </is>
      </c>
      <c r="I2242" t="n">
        <v>4.9</v>
      </c>
      <c r="J2242" t="n">
        <v>0</v>
      </c>
      <c r="K2242" t="n">
        <v>0</v>
      </c>
      <c r="L2242" t="n">
        <v>0</v>
      </c>
      <c r="M2242" t="n">
        <v>0</v>
      </c>
      <c r="N2242" t="n">
        <v>0</v>
      </c>
      <c r="O2242" t="n">
        <v>0</v>
      </c>
      <c r="P2242" t="n">
        <v>0</v>
      </c>
      <c r="Q2242" t="n">
        <v>0</v>
      </c>
      <c r="R2242" t="n">
        <v>0</v>
      </c>
      <c r="S2242" t="n">
        <v>0</v>
      </c>
      <c r="T2242" t="n">
        <v>0</v>
      </c>
      <c r="U2242" t="n">
        <v>0</v>
      </c>
      <c r="V2242" s="2" t="inlineStr"/>
    </row>
    <row r="2243" ht="15" customHeight="1">
      <c r="A2243" t="inlineStr">
        <is>
          <t>A 27268-2023</t>
        </is>
      </c>
      <c r="B2243" t="inlineStr">
        <is>
          <t>avverkningsanmälan</t>
        </is>
      </c>
      <c r="C2243" t="inlineStr">
        <is>
          <t>Föryngringsavverkning</t>
        </is>
      </c>
      <c r="D2243" s="1" t="n">
        <v>45096</v>
      </c>
      <c r="E2243" s="1" t="n">
        <v>46323</v>
      </c>
      <c r="F2243" t="inlineStr">
        <is>
          <t>KALMAR LÄN</t>
        </is>
      </c>
      <c r="G2243" t="inlineStr">
        <is>
          <t>TORSÅS</t>
        </is>
      </c>
      <c r="I2243" t="n">
        <v>7.4</v>
      </c>
      <c r="J2243" t="n">
        <v>0</v>
      </c>
      <c r="K2243" t="n">
        <v>0</v>
      </c>
      <c r="L2243" t="n">
        <v>0</v>
      </c>
      <c r="M2243" t="n">
        <v>0</v>
      </c>
      <c r="N2243" t="n">
        <v>0</v>
      </c>
      <c r="O2243" t="n">
        <v>0</v>
      </c>
      <c r="P2243" t="n">
        <v>0</v>
      </c>
      <c r="Q2243" t="n">
        <v>0</v>
      </c>
      <c r="R2243" t="n">
        <v>0</v>
      </c>
      <c r="S2243" t="n">
        <v>0</v>
      </c>
      <c r="T2243" t="n">
        <v>0</v>
      </c>
      <c r="U2243" t="n">
        <v>0</v>
      </c>
      <c r="V2243" s="2" t="inlineStr"/>
    </row>
    <row r="2244" ht="15" customHeight="1">
      <c r="A2244" t="inlineStr">
        <is>
          <t>A 32242-2022</t>
        </is>
      </c>
      <c r="B2244" t="inlineStr">
        <is>
          <t>avverkningsanmälan</t>
        </is>
      </c>
      <c r="C2244" t="inlineStr">
        <is>
          <t>Föryngringsavverkning</t>
        </is>
      </c>
      <c r="D2244" s="1" t="n">
        <v>44781</v>
      </c>
      <c r="E2244" s="1" t="n">
        <v>46323</v>
      </c>
      <c r="F2244" t="inlineStr">
        <is>
          <t>KALMAR LÄN</t>
        </is>
      </c>
      <c r="G2244" t="inlineStr">
        <is>
          <t>EMMABODA</t>
        </is>
      </c>
      <c r="I2244" t="n">
        <v>2.4</v>
      </c>
      <c r="J2244" t="n">
        <v>0</v>
      </c>
      <c r="K2244" t="n">
        <v>0</v>
      </c>
      <c r="L2244" t="n">
        <v>0</v>
      </c>
      <c r="M2244" t="n">
        <v>0</v>
      </c>
      <c r="N2244" t="n">
        <v>0</v>
      </c>
      <c r="O2244" t="n">
        <v>0</v>
      </c>
      <c r="P2244" t="n">
        <v>0</v>
      </c>
      <c r="Q2244" t="n">
        <v>0</v>
      </c>
      <c r="R2244" t="n">
        <v>0</v>
      </c>
      <c r="S2244" t="n">
        <v>0</v>
      </c>
      <c r="T2244" t="n">
        <v>0</v>
      </c>
      <c r="U2244" t="n">
        <v>0</v>
      </c>
      <c r="V2244" s="2" t="inlineStr"/>
    </row>
    <row r="2245" ht="15" customHeight="1">
      <c r="A2245" t="inlineStr">
        <is>
          <t>A 35848-2023</t>
        </is>
      </c>
      <c r="B2245" t="inlineStr">
        <is>
          <t>avverkningsanmälan</t>
        </is>
      </c>
      <c r="C2245" t="inlineStr">
        <is>
          <t>Föryngringsavverkning</t>
        </is>
      </c>
      <c r="D2245" s="1" t="n">
        <v>45148</v>
      </c>
      <c r="E2245" s="1" t="n">
        <v>46323</v>
      </c>
      <c r="F2245" t="inlineStr">
        <is>
          <t>KALMAR LÄN</t>
        </is>
      </c>
      <c r="G2245" t="inlineStr">
        <is>
          <t>EMMABODA</t>
        </is>
      </c>
      <c r="I2245" t="n">
        <v>2.3</v>
      </c>
      <c r="J2245" t="n">
        <v>0</v>
      </c>
      <c r="K2245" t="n">
        <v>0</v>
      </c>
      <c r="L2245" t="n">
        <v>0</v>
      </c>
      <c r="M2245" t="n">
        <v>0</v>
      </c>
      <c r="N2245" t="n">
        <v>0</v>
      </c>
      <c r="O2245" t="n">
        <v>0</v>
      </c>
      <c r="P2245" t="n">
        <v>0</v>
      </c>
      <c r="Q2245" t="n">
        <v>0</v>
      </c>
      <c r="R2245" t="n">
        <v>0</v>
      </c>
      <c r="S2245" t="n">
        <v>0</v>
      </c>
      <c r="T2245" t="n">
        <v>0</v>
      </c>
      <c r="U2245" t="n">
        <v>0</v>
      </c>
      <c r="V2245" s="2" t="inlineStr"/>
    </row>
    <row r="2246" ht="15" customHeight="1">
      <c r="A2246" t="inlineStr">
        <is>
          <t>A 56510-2023</t>
        </is>
      </c>
      <c r="B2246" t="inlineStr">
        <is>
          <t>avverkningsanmälan</t>
        </is>
      </c>
      <c r="C2246" t="inlineStr">
        <is>
          <t>Föryngringsavverkning</t>
        </is>
      </c>
      <c r="D2246" s="1" t="n">
        <v>45243</v>
      </c>
      <c r="E2246" s="1" t="n">
        <v>46323</v>
      </c>
      <c r="F2246" t="inlineStr">
        <is>
          <t>KALMAR LÄN</t>
        </is>
      </c>
      <c r="G2246" t="inlineStr">
        <is>
          <t>KALMAR</t>
        </is>
      </c>
      <c r="I2246" t="n">
        <v>1.3</v>
      </c>
      <c r="J2246" t="n">
        <v>0</v>
      </c>
      <c r="K2246" t="n">
        <v>0</v>
      </c>
      <c r="L2246" t="n">
        <v>0</v>
      </c>
      <c r="M2246" t="n">
        <v>0</v>
      </c>
      <c r="N2246" t="n">
        <v>0</v>
      </c>
      <c r="O2246" t="n">
        <v>0</v>
      </c>
      <c r="P2246" t="n">
        <v>0</v>
      </c>
      <c r="Q2246" t="n">
        <v>0</v>
      </c>
      <c r="R2246" t="n">
        <v>0</v>
      </c>
      <c r="S2246" t="n">
        <v>0</v>
      </c>
      <c r="T2246" t="n">
        <v>0</v>
      </c>
      <c r="U2246" t="n">
        <v>0</v>
      </c>
      <c r="V2246" s="2" t="inlineStr"/>
    </row>
    <row r="2247" ht="15" customHeight="1">
      <c r="A2247" t="inlineStr">
        <is>
          <t>A 29544-2024</t>
        </is>
      </c>
      <c r="B2247" t="inlineStr">
        <is>
          <t>avverkningsanmälan</t>
        </is>
      </c>
      <c r="C2247" t="inlineStr">
        <is>
          <t>Föryngringsavverkning</t>
        </is>
      </c>
      <c r="D2247" s="1" t="n">
        <v>45484</v>
      </c>
      <c r="E2247" s="1" t="n">
        <v>46323</v>
      </c>
      <c r="F2247" t="inlineStr">
        <is>
          <t>KALMAR LÄN</t>
        </is>
      </c>
      <c r="G2247" t="inlineStr">
        <is>
          <t>NYBRO</t>
        </is>
      </c>
      <c r="I2247" t="n">
        <v>1.5</v>
      </c>
      <c r="J2247" t="n">
        <v>0</v>
      </c>
      <c r="K2247" t="n">
        <v>0</v>
      </c>
      <c r="L2247" t="n">
        <v>0</v>
      </c>
      <c r="M2247" t="n">
        <v>0</v>
      </c>
      <c r="N2247" t="n">
        <v>0</v>
      </c>
      <c r="O2247" t="n">
        <v>0</v>
      </c>
      <c r="P2247" t="n">
        <v>0</v>
      </c>
      <c r="Q2247" t="n">
        <v>0</v>
      </c>
      <c r="R2247" t="n">
        <v>0</v>
      </c>
      <c r="S2247" t="n">
        <v>0</v>
      </c>
      <c r="T2247" t="n">
        <v>0</v>
      </c>
      <c r="U2247" t="n">
        <v>0</v>
      </c>
      <c r="V2247" s="2" t="inlineStr"/>
    </row>
    <row r="2248" ht="15" customHeight="1">
      <c r="A2248" t="inlineStr">
        <is>
          <t>A 49706-2024</t>
        </is>
      </c>
      <c r="B2248" t="inlineStr">
        <is>
          <t>avverkningsanmälan</t>
        </is>
      </c>
      <c r="C2248" t="inlineStr">
        <is>
          <t>Föryngringsavverkning</t>
        </is>
      </c>
      <c r="D2248" s="1" t="n">
        <v>45596</v>
      </c>
      <c r="E2248" s="1" t="n">
        <v>46323</v>
      </c>
      <c r="F2248" t="inlineStr">
        <is>
          <t>KALMAR LÄN</t>
        </is>
      </c>
      <c r="G2248" t="inlineStr">
        <is>
          <t>VÄSTERVIK</t>
        </is>
      </c>
      <c r="I2248" t="n">
        <v>1</v>
      </c>
      <c r="J2248" t="n">
        <v>0</v>
      </c>
      <c r="K2248" t="n">
        <v>0</v>
      </c>
      <c r="L2248" t="n">
        <v>0</v>
      </c>
      <c r="M2248" t="n">
        <v>0</v>
      </c>
      <c r="N2248" t="n">
        <v>0</v>
      </c>
      <c r="O2248" t="n">
        <v>0</v>
      </c>
      <c r="P2248" t="n">
        <v>0</v>
      </c>
      <c r="Q2248" t="n">
        <v>0</v>
      </c>
      <c r="R2248" t="n">
        <v>0</v>
      </c>
      <c r="S2248" t="n">
        <v>0</v>
      </c>
      <c r="T2248" t="n">
        <v>0</v>
      </c>
      <c r="U2248" t="n">
        <v>0</v>
      </c>
      <c r="V2248" s="2" t="inlineStr"/>
    </row>
    <row r="2249" ht="15" customHeight="1">
      <c r="A2249" t="inlineStr">
        <is>
          <t>A 44423-2023</t>
        </is>
      </c>
      <c r="B2249" t="inlineStr">
        <is>
          <t>avverkningsanmälan</t>
        </is>
      </c>
      <c r="C2249" t="inlineStr">
        <is>
          <t>Föryngringsavverkning</t>
        </is>
      </c>
      <c r="D2249" s="1" t="n">
        <v>45189</v>
      </c>
      <c r="E2249" s="1" t="n">
        <v>46323</v>
      </c>
      <c r="F2249" t="inlineStr">
        <is>
          <t>KALMAR LÄN</t>
        </is>
      </c>
      <c r="G2249" t="inlineStr">
        <is>
          <t>VIMMERBY</t>
        </is>
      </c>
      <c r="I2249" t="n">
        <v>0.7</v>
      </c>
      <c r="J2249" t="n">
        <v>0</v>
      </c>
      <c r="K2249" t="n">
        <v>0</v>
      </c>
      <c r="L2249" t="n">
        <v>0</v>
      </c>
      <c r="M2249" t="n">
        <v>0</v>
      </c>
      <c r="N2249" t="n">
        <v>0</v>
      </c>
      <c r="O2249" t="n">
        <v>0</v>
      </c>
      <c r="P2249" t="n">
        <v>0</v>
      </c>
      <c r="Q2249" t="n">
        <v>0</v>
      </c>
      <c r="R2249" t="n">
        <v>0</v>
      </c>
      <c r="S2249" t="n">
        <v>0</v>
      </c>
      <c r="T2249" t="n">
        <v>0</v>
      </c>
      <c r="U2249" t="n">
        <v>0</v>
      </c>
      <c r="V2249" s="2" t="inlineStr"/>
    </row>
    <row r="2250" ht="15" customHeight="1">
      <c r="A2250" t="inlineStr">
        <is>
          <t>A 44437-2023</t>
        </is>
      </c>
      <c r="B2250" t="inlineStr">
        <is>
          <t>avverkningsanmälan</t>
        </is>
      </c>
      <c r="C2250" t="inlineStr">
        <is>
          <t>Föryngringsavverkning</t>
        </is>
      </c>
      <c r="D2250" s="1" t="n">
        <v>45189</v>
      </c>
      <c r="E2250" s="1" t="n">
        <v>46323</v>
      </c>
      <c r="F2250" t="inlineStr">
        <is>
          <t>KALMAR LÄN</t>
        </is>
      </c>
      <c r="G2250" t="inlineStr">
        <is>
          <t>HÖGSBY</t>
        </is>
      </c>
      <c r="I2250" t="n">
        <v>0.8</v>
      </c>
      <c r="J2250" t="n">
        <v>0</v>
      </c>
      <c r="K2250" t="n">
        <v>0</v>
      </c>
      <c r="L2250" t="n">
        <v>0</v>
      </c>
      <c r="M2250" t="n">
        <v>0</v>
      </c>
      <c r="N2250" t="n">
        <v>0</v>
      </c>
      <c r="O2250" t="n">
        <v>0</v>
      </c>
      <c r="P2250" t="n">
        <v>0</v>
      </c>
      <c r="Q2250" t="n">
        <v>0</v>
      </c>
      <c r="R2250" t="n">
        <v>0</v>
      </c>
      <c r="S2250" t="n">
        <v>0</v>
      </c>
      <c r="T2250" t="n">
        <v>0</v>
      </c>
      <c r="U2250" t="n">
        <v>0</v>
      </c>
      <c r="V2250" s="2" t="inlineStr"/>
    </row>
    <row r="2251" ht="15" customHeight="1">
      <c r="A2251" t="inlineStr">
        <is>
          <t>A 16720-2024</t>
        </is>
      </c>
      <c r="B2251" t="inlineStr">
        <is>
          <t>avverkningsanmälan</t>
        </is>
      </c>
      <c r="C2251" t="inlineStr">
        <is>
          <t>Föryngringsavverkning</t>
        </is>
      </c>
      <c r="D2251" s="1" t="n">
        <v>45409</v>
      </c>
      <c r="E2251" s="1" t="n">
        <v>46323</v>
      </c>
      <c r="F2251" t="inlineStr">
        <is>
          <t>KALMAR LÄN</t>
        </is>
      </c>
      <c r="G2251" t="inlineStr">
        <is>
          <t>NYBRO</t>
        </is>
      </c>
      <c r="I2251" t="n">
        <v>0.2</v>
      </c>
      <c r="J2251" t="n">
        <v>0</v>
      </c>
      <c r="K2251" t="n">
        <v>0</v>
      </c>
      <c r="L2251" t="n">
        <v>0</v>
      </c>
      <c r="M2251" t="n">
        <v>0</v>
      </c>
      <c r="N2251" t="n">
        <v>0</v>
      </c>
      <c r="O2251" t="n">
        <v>0</v>
      </c>
      <c r="P2251" t="n">
        <v>0</v>
      </c>
      <c r="Q2251" t="n">
        <v>0</v>
      </c>
      <c r="R2251" t="n">
        <v>0</v>
      </c>
      <c r="S2251" t="n">
        <v>0</v>
      </c>
      <c r="T2251" t="n">
        <v>0</v>
      </c>
      <c r="U2251" t="n">
        <v>0</v>
      </c>
      <c r="V2251" s="2" t="inlineStr"/>
    </row>
    <row r="2252" ht="15" customHeight="1">
      <c r="A2252" t="inlineStr">
        <is>
          <t>A 5686-2025</t>
        </is>
      </c>
      <c r="B2252" t="inlineStr">
        <is>
          <t>avverkningsanmälan</t>
        </is>
      </c>
      <c r="C2252" t="inlineStr">
        <is>
          <t>Föryngringsavverkning</t>
        </is>
      </c>
      <c r="D2252" s="1" t="n">
        <v>45694</v>
      </c>
      <c r="E2252" s="1" t="n">
        <v>46323</v>
      </c>
      <c r="F2252" t="inlineStr">
        <is>
          <t>KALMAR LÄN</t>
        </is>
      </c>
      <c r="G2252" t="inlineStr">
        <is>
          <t>NYBRO</t>
        </is>
      </c>
      <c r="I2252" t="n">
        <v>2.6</v>
      </c>
      <c r="J2252" t="n">
        <v>0</v>
      </c>
      <c r="K2252" t="n">
        <v>0</v>
      </c>
      <c r="L2252" t="n">
        <v>0</v>
      </c>
      <c r="M2252" t="n">
        <v>0</v>
      </c>
      <c r="N2252" t="n">
        <v>0</v>
      </c>
      <c r="O2252" t="n">
        <v>0</v>
      </c>
      <c r="P2252" t="n">
        <v>0</v>
      </c>
      <c r="Q2252" t="n">
        <v>0</v>
      </c>
      <c r="R2252" t="n">
        <v>0</v>
      </c>
      <c r="S2252" t="n">
        <v>0</v>
      </c>
      <c r="T2252" t="n">
        <v>0</v>
      </c>
      <c r="U2252" t="n">
        <v>0</v>
      </c>
      <c r="V2252" s="2" t="inlineStr"/>
    </row>
    <row r="2253" ht="15" customHeight="1">
      <c r="A2253" t="inlineStr">
        <is>
          <t>A 8876-2025</t>
        </is>
      </c>
      <c r="B2253" t="inlineStr">
        <is>
          <t>avverkningsanmälan</t>
        </is>
      </c>
      <c r="C2253" t="inlineStr">
        <is>
          <t>Föryngringsavverkning</t>
        </is>
      </c>
      <c r="D2253" s="1" t="n">
        <v>45713</v>
      </c>
      <c r="E2253" s="1" t="n">
        <v>46323</v>
      </c>
      <c r="F2253" t="inlineStr">
        <is>
          <t>KALMAR LÄN</t>
        </is>
      </c>
      <c r="G2253" t="inlineStr">
        <is>
          <t>HULTSFRED</t>
        </is>
      </c>
      <c r="H2253" t="inlineStr">
        <is>
          <t>Sveaskog</t>
        </is>
      </c>
      <c r="I2253" t="n">
        <v>7.7</v>
      </c>
      <c r="J2253" t="n">
        <v>0</v>
      </c>
      <c r="K2253" t="n">
        <v>0</v>
      </c>
      <c r="L2253" t="n">
        <v>0</v>
      </c>
      <c r="M2253" t="n">
        <v>0</v>
      </c>
      <c r="N2253" t="n">
        <v>0</v>
      </c>
      <c r="O2253" t="n">
        <v>0</v>
      </c>
      <c r="P2253" t="n">
        <v>0</v>
      </c>
      <c r="Q2253" t="n">
        <v>0</v>
      </c>
      <c r="R2253" t="n">
        <v>0</v>
      </c>
      <c r="S2253" t="n">
        <v>0</v>
      </c>
      <c r="T2253" t="n">
        <v>0</v>
      </c>
      <c r="U2253" t="n">
        <v>0</v>
      </c>
      <c r="V2253" s="2" t="inlineStr"/>
    </row>
    <row r="2254" ht="15" customHeight="1">
      <c r="A2254" t="inlineStr">
        <is>
          <t>A 21496-2023</t>
        </is>
      </c>
      <c r="B2254" t="inlineStr">
        <is>
          <t>avverkningsanmälan</t>
        </is>
      </c>
      <c r="C2254" t="inlineStr">
        <is>
          <t>Föryngringsavverkning</t>
        </is>
      </c>
      <c r="D2254" s="1" t="n">
        <v>45063</v>
      </c>
      <c r="E2254" s="1" t="n">
        <v>46323</v>
      </c>
      <c r="F2254" t="inlineStr">
        <is>
          <t>KALMAR LÄN</t>
        </is>
      </c>
      <c r="G2254" t="inlineStr">
        <is>
          <t>VIMMERBY</t>
        </is>
      </c>
      <c r="I2254" t="n">
        <v>1.1</v>
      </c>
      <c r="J2254" t="n">
        <v>0</v>
      </c>
      <c r="K2254" t="n">
        <v>0</v>
      </c>
      <c r="L2254" t="n">
        <v>0</v>
      </c>
      <c r="M2254" t="n">
        <v>0</v>
      </c>
      <c r="N2254" t="n">
        <v>0</v>
      </c>
      <c r="O2254" t="n">
        <v>0</v>
      </c>
      <c r="P2254" t="n">
        <v>0</v>
      </c>
      <c r="Q2254" t="n">
        <v>0</v>
      </c>
      <c r="R2254" t="n">
        <v>0</v>
      </c>
      <c r="S2254" t="n">
        <v>0</v>
      </c>
      <c r="T2254" t="n">
        <v>0</v>
      </c>
      <c r="U2254" t="n">
        <v>0</v>
      </c>
      <c r="V2254" s="2" t="inlineStr"/>
    </row>
    <row r="2255" ht="15" customHeight="1">
      <c r="A2255" t="inlineStr">
        <is>
          <t>A 56215-2022</t>
        </is>
      </c>
      <c r="B2255" t="inlineStr">
        <is>
          <t>avverkningsanmälan</t>
        </is>
      </c>
      <c r="C2255" t="inlineStr">
        <is>
          <t>Föryngringsavverkning</t>
        </is>
      </c>
      <c r="D2255" s="1" t="n">
        <v>44890</v>
      </c>
      <c r="E2255" s="1" t="n">
        <v>46323</v>
      </c>
      <c r="F2255" t="inlineStr">
        <is>
          <t>KALMAR LÄN</t>
        </is>
      </c>
      <c r="G2255" t="inlineStr">
        <is>
          <t>NYBRO</t>
        </is>
      </c>
      <c r="I2255" t="n">
        <v>5.3</v>
      </c>
      <c r="J2255" t="n">
        <v>0</v>
      </c>
      <c r="K2255" t="n">
        <v>0</v>
      </c>
      <c r="L2255" t="n">
        <v>0</v>
      </c>
      <c r="M2255" t="n">
        <v>0</v>
      </c>
      <c r="N2255" t="n">
        <v>0</v>
      </c>
      <c r="O2255" t="n">
        <v>0</v>
      </c>
      <c r="P2255" t="n">
        <v>0</v>
      </c>
      <c r="Q2255" t="n">
        <v>0</v>
      </c>
      <c r="R2255" t="n">
        <v>0</v>
      </c>
      <c r="S2255" t="n">
        <v>0</v>
      </c>
      <c r="T2255" t="n">
        <v>0</v>
      </c>
      <c r="U2255" t="n">
        <v>0</v>
      </c>
      <c r="V2255" s="2" t="inlineStr"/>
    </row>
    <row r="2256" ht="15" customHeight="1">
      <c r="A2256" t="inlineStr">
        <is>
          <t>A 10062-2023</t>
        </is>
      </c>
      <c r="B2256" t="inlineStr">
        <is>
          <t>avverkningsanmälan</t>
        </is>
      </c>
      <c r="C2256" t="inlineStr">
        <is>
          <t>Föryngringsavverkning</t>
        </is>
      </c>
      <c r="D2256" s="1" t="n">
        <v>44985</v>
      </c>
      <c r="E2256" s="1" t="n">
        <v>46323</v>
      </c>
      <c r="F2256" t="inlineStr">
        <is>
          <t>KALMAR LÄN</t>
        </is>
      </c>
      <c r="G2256" t="inlineStr">
        <is>
          <t>TORSÅS</t>
        </is>
      </c>
      <c r="I2256" t="n">
        <v>1.2</v>
      </c>
      <c r="J2256" t="n">
        <v>0</v>
      </c>
      <c r="K2256" t="n">
        <v>0</v>
      </c>
      <c r="L2256" t="n">
        <v>0</v>
      </c>
      <c r="M2256" t="n">
        <v>0</v>
      </c>
      <c r="N2256" t="n">
        <v>0</v>
      </c>
      <c r="O2256" t="n">
        <v>0</v>
      </c>
      <c r="P2256" t="n">
        <v>0</v>
      </c>
      <c r="Q2256" t="n">
        <v>0</v>
      </c>
      <c r="R2256" t="n">
        <v>0</v>
      </c>
      <c r="S2256" t="n">
        <v>0</v>
      </c>
      <c r="T2256" t="n">
        <v>0</v>
      </c>
      <c r="U2256" t="n">
        <v>0</v>
      </c>
      <c r="V2256" s="2" t="inlineStr"/>
    </row>
    <row r="2257" ht="15" customHeight="1">
      <c r="A2257" t="inlineStr">
        <is>
          <t>A 57189-2022</t>
        </is>
      </c>
      <c r="B2257" t="inlineStr">
        <is>
          <t>avverkningsanmälan</t>
        </is>
      </c>
      <c r="C2257" t="inlineStr">
        <is>
          <t>Föryngringsavverkning</t>
        </is>
      </c>
      <c r="D2257" s="1" t="n">
        <v>44895</v>
      </c>
      <c r="E2257" s="1" t="n">
        <v>46323</v>
      </c>
      <c r="F2257" t="inlineStr">
        <is>
          <t>KALMAR LÄN</t>
        </is>
      </c>
      <c r="G2257" t="inlineStr">
        <is>
          <t>VIMMERBY</t>
        </is>
      </c>
      <c r="I2257" t="n">
        <v>0.8</v>
      </c>
      <c r="J2257" t="n">
        <v>0</v>
      </c>
      <c r="K2257" t="n">
        <v>0</v>
      </c>
      <c r="L2257" t="n">
        <v>0</v>
      </c>
      <c r="M2257" t="n">
        <v>0</v>
      </c>
      <c r="N2257" t="n">
        <v>0</v>
      </c>
      <c r="O2257" t="n">
        <v>0</v>
      </c>
      <c r="P2257" t="n">
        <v>0</v>
      </c>
      <c r="Q2257" t="n">
        <v>0</v>
      </c>
      <c r="R2257" t="n">
        <v>0</v>
      </c>
      <c r="S2257" t="n">
        <v>0</v>
      </c>
      <c r="T2257" t="n">
        <v>0</v>
      </c>
      <c r="U2257" t="n">
        <v>0</v>
      </c>
      <c r="V2257" s="2" t="inlineStr"/>
    </row>
    <row r="2258" ht="15" customHeight="1">
      <c r="A2258" t="inlineStr">
        <is>
          <t>A 66658-2021</t>
        </is>
      </c>
      <c r="B2258" t="inlineStr">
        <is>
          <t>avverkningsanmälan</t>
        </is>
      </c>
      <c r="C2258" t="inlineStr">
        <is>
          <t>Föryngringsavverkning</t>
        </is>
      </c>
      <c r="D2258" s="1" t="n">
        <v>44519</v>
      </c>
      <c r="E2258" s="1" t="n">
        <v>46323</v>
      </c>
      <c r="F2258" t="inlineStr">
        <is>
          <t>KALMAR LÄN</t>
        </is>
      </c>
      <c r="G2258" t="inlineStr">
        <is>
          <t>EMMABODA</t>
        </is>
      </c>
      <c r="I2258" t="n">
        <v>6.3</v>
      </c>
      <c r="J2258" t="n">
        <v>0</v>
      </c>
      <c r="K2258" t="n">
        <v>0</v>
      </c>
      <c r="L2258" t="n">
        <v>0</v>
      </c>
      <c r="M2258" t="n">
        <v>0</v>
      </c>
      <c r="N2258" t="n">
        <v>0</v>
      </c>
      <c r="O2258" t="n">
        <v>0</v>
      </c>
      <c r="P2258" t="n">
        <v>0</v>
      </c>
      <c r="Q2258" t="n">
        <v>0</v>
      </c>
      <c r="R2258" t="n">
        <v>0</v>
      </c>
      <c r="S2258" t="n">
        <v>0</v>
      </c>
      <c r="T2258" t="n">
        <v>0</v>
      </c>
      <c r="U2258" t="n">
        <v>0</v>
      </c>
      <c r="V2258" s="2" t="inlineStr"/>
    </row>
    <row r="2259" ht="15" customHeight="1">
      <c r="A2259" t="inlineStr">
        <is>
          <t>A 31056-2022</t>
        </is>
      </c>
      <c r="B2259" t="inlineStr">
        <is>
          <t>avverkningsanmälan</t>
        </is>
      </c>
      <c r="C2259" t="inlineStr">
        <is>
          <t>Föryngringsavverkning</t>
        </is>
      </c>
      <c r="D2259" s="1" t="n">
        <v>44769</v>
      </c>
      <c r="E2259" s="1" t="n">
        <v>46323</v>
      </c>
      <c r="F2259" t="inlineStr">
        <is>
          <t>KALMAR LÄN</t>
        </is>
      </c>
      <c r="G2259" t="inlineStr">
        <is>
          <t>VIMMERBY</t>
        </is>
      </c>
      <c r="I2259" t="n">
        <v>2</v>
      </c>
      <c r="J2259" t="n">
        <v>0</v>
      </c>
      <c r="K2259" t="n">
        <v>0</v>
      </c>
      <c r="L2259" t="n">
        <v>0</v>
      </c>
      <c r="M2259" t="n">
        <v>0</v>
      </c>
      <c r="N2259" t="n">
        <v>0</v>
      </c>
      <c r="O2259" t="n">
        <v>0</v>
      </c>
      <c r="P2259" t="n">
        <v>0</v>
      </c>
      <c r="Q2259" t="n">
        <v>0</v>
      </c>
      <c r="R2259" t="n">
        <v>0</v>
      </c>
      <c r="S2259" t="n">
        <v>0</v>
      </c>
      <c r="T2259" t="n">
        <v>0</v>
      </c>
      <c r="U2259" t="n">
        <v>0</v>
      </c>
      <c r="V2259" s="2" t="inlineStr"/>
    </row>
    <row r="2260" ht="15" customHeight="1">
      <c r="A2260" t="inlineStr">
        <is>
          <t>A 28503-2023</t>
        </is>
      </c>
      <c r="B2260" t="inlineStr">
        <is>
          <t>avverkningsanmälan</t>
        </is>
      </c>
      <c r="C2260" t="inlineStr">
        <is>
          <t>Föryngringsavverkning</t>
        </is>
      </c>
      <c r="D2260" s="1" t="n">
        <v>45103</v>
      </c>
      <c r="E2260" s="1" t="n">
        <v>46323</v>
      </c>
      <c r="F2260" t="inlineStr">
        <is>
          <t>KALMAR LÄN</t>
        </is>
      </c>
      <c r="G2260" t="inlineStr">
        <is>
          <t>NYBRO</t>
        </is>
      </c>
      <c r="I2260" t="n">
        <v>2.2</v>
      </c>
      <c r="J2260" t="n">
        <v>0</v>
      </c>
      <c r="K2260" t="n">
        <v>0</v>
      </c>
      <c r="L2260" t="n">
        <v>0</v>
      </c>
      <c r="M2260" t="n">
        <v>0</v>
      </c>
      <c r="N2260" t="n">
        <v>0</v>
      </c>
      <c r="O2260" t="n">
        <v>0</v>
      </c>
      <c r="P2260" t="n">
        <v>0</v>
      </c>
      <c r="Q2260" t="n">
        <v>0</v>
      </c>
      <c r="R2260" t="n">
        <v>0</v>
      </c>
      <c r="S2260" t="n">
        <v>0</v>
      </c>
      <c r="T2260" t="n">
        <v>0</v>
      </c>
      <c r="U2260" t="n">
        <v>0</v>
      </c>
      <c r="V2260" s="2" t="inlineStr"/>
    </row>
    <row r="2261" ht="15" customHeight="1">
      <c r="A2261" t="inlineStr">
        <is>
          <t>A 28522-2023</t>
        </is>
      </c>
      <c r="B2261" t="inlineStr">
        <is>
          <t>avverkningsanmälan</t>
        </is>
      </c>
      <c r="C2261" t="inlineStr">
        <is>
          <t>Föryngringsavverkning</t>
        </is>
      </c>
      <c r="D2261" s="1" t="n">
        <v>45103</v>
      </c>
      <c r="E2261" s="1" t="n">
        <v>46323</v>
      </c>
      <c r="F2261" t="inlineStr">
        <is>
          <t>KALMAR LÄN</t>
        </is>
      </c>
      <c r="G2261" t="inlineStr">
        <is>
          <t>NYBRO</t>
        </is>
      </c>
      <c r="I2261" t="n">
        <v>0.6</v>
      </c>
      <c r="J2261" t="n">
        <v>0</v>
      </c>
      <c r="K2261" t="n">
        <v>0</v>
      </c>
      <c r="L2261" t="n">
        <v>0</v>
      </c>
      <c r="M2261" t="n">
        <v>0</v>
      </c>
      <c r="N2261" t="n">
        <v>0</v>
      </c>
      <c r="O2261" t="n">
        <v>0</v>
      </c>
      <c r="P2261" t="n">
        <v>0</v>
      </c>
      <c r="Q2261" t="n">
        <v>0</v>
      </c>
      <c r="R2261" t="n">
        <v>0</v>
      </c>
      <c r="S2261" t="n">
        <v>0</v>
      </c>
      <c r="T2261" t="n">
        <v>0</v>
      </c>
      <c r="U2261" t="n">
        <v>0</v>
      </c>
      <c r="V2261" s="2" t="inlineStr"/>
    </row>
    <row r="2262" ht="15" customHeight="1">
      <c r="A2262" t="inlineStr">
        <is>
          <t>A 58383-2022</t>
        </is>
      </c>
      <c r="B2262" t="inlineStr">
        <is>
          <t>avverkningsanmälan</t>
        </is>
      </c>
      <c r="C2262" t="inlineStr">
        <is>
          <t>Föryngringsavverkning</t>
        </is>
      </c>
      <c r="D2262" s="1" t="n">
        <v>44901</v>
      </c>
      <c r="E2262" s="1" t="n">
        <v>46323</v>
      </c>
      <c r="F2262" t="inlineStr">
        <is>
          <t>KALMAR LÄN</t>
        </is>
      </c>
      <c r="G2262" t="inlineStr">
        <is>
          <t>HULTSFRED</t>
        </is>
      </c>
      <c r="H2262" t="inlineStr">
        <is>
          <t>Sveaskog</t>
        </is>
      </c>
      <c r="I2262" t="n">
        <v>0.8</v>
      </c>
      <c r="J2262" t="n">
        <v>0</v>
      </c>
      <c r="K2262" t="n">
        <v>0</v>
      </c>
      <c r="L2262" t="n">
        <v>0</v>
      </c>
      <c r="M2262" t="n">
        <v>0</v>
      </c>
      <c r="N2262" t="n">
        <v>0</v>
      </c>
      <c r="O2262" t="n">
        <v>0</v>
      </c>
      <c r="P2262" t="n">
        <v>0</v>
      </c>
      <c r="Q2262" t="n">
        <v>0</v>
      </c>
      <c r="R2262" t="n">
        <v>0</v>
      </c>
      <c r="S2262" t="n">
        <v>0</v>
      </c>
      <c r="T2262" t="n">
        <v>0</v>
      </c>
      <c r="U2262" t="n">
        <v>0</v>
      </c>
      <c r="V2262" s="2" t="inlineStr"/>
    </row>
    <row r="2263" ht="15" customHeight="1">
      <c r="A2263" t="inlineStr">
        <is>
          <t>A 16673-2024</t>
        </is>
      </c>
      <c r="B2263" t="inlineStr">
        <is>
          <t>avverkningsanmälan</t>
        </is>
      </c>
      <c r="C2263" t="inlineStr">
        <is>
          <t>Föryngringsavverkning</t>
        </is>
      </c>
      <c r="D2263" s="1" t="n">
        <v>45408</v>
      </c>
      <c r="E2263" s="1" t="n">
        <v>46323</v>
      </c>
      <c r="F2263" t="inlineStr">
        <is>
          <t>KALMAR LÄN</t>
        </is>
      </c>
      <c r="G2263" t="inlineStr">
        <is>
          <t>OSKARSHAMN</t>
        </is>
      </c>
      <c r="I2263" t="n">
        <v>0.3</v>
      </c>
      <c r="J2263" t="n">
        <v>0</v>
      </c>
      <c r="K2263" t="n">
        <v>0</v>
      </c>
      <c r="L2263" t="n">
        <v>0</v>
      </c>
      <c r="M2263" t="n">
        <v>0</v>
      </c>
      <c r="N2263" t="n">
        <v>0</v>
      </c>
      <c r="O2263" t="n">
        <v>0</v>
      </c>
      <c r="P2263" t="n">
        <v>0</v>
      </c>
      <c r="Q2263" t="n">
        <v>0</v>
      </c>
      <c r="R2263" t="n">
        <v>0</v>
      </c>
      <c r="S2263" t="n">
        <v>0</v>
      </c>
      <c r="T2263" t="n">
        <v>0</v>
      </c>
      <c r="U2263" t="n">
        <v>0</v>
      </c>
      <c r="V2263" s="2" t="inlineStr"/>
    </row>
    <row r="2264" ht="15" customHeight="1">
      <c r="A2264" t="inlineStr">
        <is>
          <t>A 9755-2023</t>
        </is>
      </c>
      <c r="B2264" t="inlineStr">
        <is>
          <t>avverkningsanmälan</t>
        </is>
      </c>
      <c r="C2264" t="inlineStr">
        <is>
          <t>Föryngringsavverkning</t>
        </is>
      </c>
      <c r="D2264" s="1" t="n">
        <v>44984</v>
      </c>
      <c r="E2264" s="1" t="n">
        <v>46323</v>
      </c>
      <c r="F2264" t="inlineStr">
        <is>
          <t>KALMAR LÄN</t>
        </is>
      </c>
      <c r="G2264" t="inlineStr">
        <is>
          <t>EMMABODA</t>
        </is>
      </c>
      <c r="I2264" t="n">
        <v>0.5</v>
      </c>
      <c r="J2264" t="n">
        <v>0</v>
      </c>
      <c r="K2264" t="n">
        <v>0</v>
      </c>
      <c r="L2264" t="n">
        <v>0</v>
      </c>
      <c r="M2264" t="n">
        <v>0</v>
      </c>
      <c r="N2264" t="n">
        <v>0</v>
      </c>
      <c r="O2264" t="n">
        <v>0</v>
      </c>
      <c r="P2264" t="n">
        <v>0</v>
      </c>
      <c r="Q2264" t="n">
        <v>0</v>
      </c>
      <c r="R2264" t="n">
        <v>0</v>
      </c>
      <c r="S2264" t="n">
        <v>0</v>
      </c>
      <c r="T2264" t="n">
        <v>0</v>
      </c>
      <c r="U2264" t="n">
        <v>0</v>
      </c>
      <c r="V2264" s="2" t="inlineStr"/>
    </row>
    <row r="2265" ht="15" customHeight="1">
      <c r="A2265" t="inlineStr">
        <is>
          <t>A 9770-2023</t>
        </is>
      </c>
      <c r="B2265" t="inlineStr">
        <is>
          <t>avverkningsanmälan</t>
        </is>
      </c>
      <c r="C2265" t="inlineStr">
        <is>
          <t>Föryngringsavverkning</t>
        </is>
      </c>
      <c r="D2265" s="1" t="n">
        <v>44984</v>
      </c>
      <c r="E2265" s="1" t="n">
        <v>46323</v>
      </c>
      <c r="F2265" t="inlineStr">
        <is>
          <t>KALMAR LÄN</t>
        </is>
      </c>
      <c r="G2265" t="inlineStr">
        <is>
          <t>VÄSTERVIK</t>
        </is>
      </c>
      <c r="I2265" t="n">
        <v>0.7</v>
      </c>
      <c r="J2265" t="n">
        <v>0</v>
      </c>
      <c r="K2265" t="n">
        <v>0</v>
      </c>
      <c r="L2265" t="n">
        <v>0</v>
      </c>
      <c r="M2265" t="n">
        <v>0</v>
      </c>
      <c r="N2265" t="n">
        <v>0</v>
      </c>
      <c r="O2265" t="n">
        <v>0</v>
      </c>
      <c r="P2265" t="n">
        <v>0</v>
      </c>
      <c r="Q2265" t="n">
        <v>0</v>
      </c>
      <c r="R2265" t="n">
        <v>0</v>
      </c>
      <c r="S2265" t="n">
        <v>0</v>
      </c>
      <c r="T2265" t="n">
        <v>0</v>
      </c>
      <c r="U2265" t="n">
        <v>0</v>
      </c>
      <c r="V2265" s="2" t="inlineStr"/>
    </row>
    <row r="2266" ht="15" customHeight="1">
      <c r="A2266" t="inlineStr">
        <is>
          <t>A 9792-2023</t>
        </is>
      </c>
      <c r="B2266" t="inlineStr">
        <is>
          <t>avverkningsanmälan</t>
        </is>
      </c>
      <c r="C2266" t="inlineStr">
        <is>
          <t>Föryngringsavverkning</t>
        </is>
      </c>
      <c r="D2266" s="1" t="n">
        <v>44984</v>
      </c>
      <c r="E2266" s="1" t="n">
        <v>46323</v>
      </c>
      <c r="F2266" t="inlineStr">
        <is>
          <t>KALMAR LÄN</t>
        </is>
      </c>
      <c r="G2266" t="inlineStr">
        <is>
          <t>VÄSTERVIK</t>
        </is>
      </c>
      <c r="H2266" t="inlineStr">
        <is>
          <t>Holmen skog AB</t>
        </is>
      </c>
      <c r="I2266" t="n">
        <v>2</v>
      </c>
      <c r="J2266" t="n">
        <v>0</v>
      </c>
      <c r="K2266" t="n">
        <v>0</v>
      </c>
      <c r="L2266" t="n">
        <v>0</v>
      </c>
      <c r="M2266" t="n">
        <v>0</v>
      </c>
      <c r="N2266" t="n">
        <v>0</v>
      </c>
      <c r="O2266" t="n">
        <v>0</v>
      </c>
      <c r="P2266" t="n">
        <v>0</v>
      </c>
      <c r="Q2266" t="n">
        <v>0</v>
      </c>
      <c r="R2266" t="n">
        <v>0</v>
      </c>
      <c r="S2266" t="n">
        <v>0</v>
      </c>
      <c r="T2266" t="n">
        <v>0</v>
      </c>
      <c r="U2266" t="n">
        <v>0</v>
      </c>
      <c r="V2266" s="2" t="inlineStr"/>
    </row>
    <row r="2267" ht="15" customHeight="1">
      <c r="A2267" t="inlineStr">
        <is>
          <t>A 30460-2022</t>
        </is>
      </c>
      <c r="B2267" t="inlineStr">
        <is>
          <t>avverkningsanmälan</t>
        </is>
      </c>
      <c r="C2267" t="inlineStr">
        <is>
          <t>Föryngringsavverkning</t>
        </is>
      </c>
      <c r="D2267" s="1" t="n">
        <v>44761</v>
      </c>
      <c r="E2267" s="1" t="n">
        <v>46323</v>
      </c>
      <c r="F2267" t="inlineStr">
        <is>
          <t>KALMAR LÄN</t>
        </is>
      </c>
      <c r="G2267" t="inlineStr">
        <is>
          <t>EMMABODA</t>
        </is>
      </c>
      <c r="I2267" t="n">
        <v>7</v>
      </c>
      <c r="J2267" t="n">
        <v>0</v>
      </c>
      <c r="K2267" t="n">
        <v>0</v>
      </c>
      <c r="L2267" t="n">
        <v>0</v>
      </c>
      <c r="M2267" t="n">
        <v>0</v>
      </c>
      <c r="N2267" t="n">
        <v>0</v>
      </c>
      <c r="O2267" t="n">
        <v>0</v>
      </c>
      <c r="P2267" t="n">
        <v>0</v>
      </c>
      <c r="Q2267" t="n">
        <v>0</v>
      </c>
      <c r="R2267" t="n">
        <v>0</v>
      </c>
      <c r="S2267" t="n">
        <v>0</v>
      </c>
      <c r="T2267" t="n">
        <v>0</v>
      </c>
      <c r="U2267" t="n">
        <v>0</v>
      </c>
      <c r="V2267" s="2" t="inlineStr"/>
    </row>
    <row r="2268" ht="15" customHeight="1">
      <c r="A2268" t="inlineStr">
        <is>
          <t>A 9275-2023</t>
        </is>
      </c>
      <c r="B2268" t="inlineStr">
        <is>
          <t>avverkningsanmälan</t>
        </is>
      </c>
      <c r="C2268" t="inlineStr">
        <is>
          <t>Föryngringsavverkning</t>
        </is>
      </c>
      <c r="D2268" s="1" t="n">
        <v>44980</v>
      </c>
      <c r="E2268" s="1" t="n">
        <v>46323</v>
      </c>
      <c r="F2268" t="inlineStr">
        <is>
          <t>KALMAR LÄN</t>
        </is>
      </c>
      <c r="G2268" t="inlineStr">
        <is>
          <t>OSKARSHAMN</t>
        </is>
      </c>
      <c r="I2268" t="n">
        <v>0.6</v>
      </c>
      <c r="J2268" t="n">
        <v>0</v>
      </c>
      <c r="K2268" t="n">
        <v>0</v>
      </c>
      <c r="L2268" t="n">
        <v>0</v>
      </c>
      <c r="M2268" t="n">
        <v>0</v>
      </c>
      <c r="N2268" t="n">
        <v>0</v>
      </c>
      <c r="O2268" t="n">
        <v>0</v>
      </c>
      <c r="P2268" t="n">
        <v>0</v>
      </c>
      <c r="Q2268" t="n">
        <v>0</v>
      </c>
      <c r="R2268" t="n">
        <v>0</v>
      </c>
      <c r="S2268" t="n">
        <v>0</v>
      </c>
      <c r="T2268" t="n">
        <v>0</v>
      </c>
      <c r="U2268" t="n">
        <v>0</v>
      </c>
      <c r="V2268" s="2" t="inlineStr"/>
    </row>
    <row r="2269" ht="15" customHeight="1">
      <c r="A2269" t="inlineStr">
        <is>
          <t>A 1096-2024</t>
        </is>
      </c>
      <c r="B2269" t="inlineStr">
        <is>
          <t>avverkningsanmälan</t>
        </is>
      </c>
      <c r="C2269" t="inlineStr">
        <is>
          <t>Föryngringsavverkning</t>
        </is>
      </c>
      <c r="D2269" s="1" t="n">
        <v>45302</v>
      </c>
      <c r="E2269" s="1" t="n">
        <v>46323</v>
      </c>
      <c r="F2269" t="inlineStr">
        <is>
          <t>KALMAR LÄN</t>
        </is>
      </c>
      <c r="G2269" t="inlineStr">
        <is>
          <t>VÄSTERVIK</t>
        </is>
      </c>
      <c r="I2269" t="n">
        <v>2.6</v>
      </c>
      <c r="J2269" t="n">
        <v>0</v>
      </c>
      <c r="K2269" t="n">
        <v>0</v>
      </c>
      <c r="L2269" t="n">
        <v>0</v>
      </c>
      <c r="M2269" t="n">
        <v>0</v>
      </c>
      <c r="N2269" t="n">
        <v>0</v>
      </c>
      <c r="O2269" t="n">
        <v>0</v>
      </c>
      <c r="P2269" t="n">
        <v>0</v>
      </c>
      <c r="Q2269" t="n">
        <v>0</v>
      </c>
      <c r="R2269" t="n">
        <v>0</v>
      </c>
      <c r="S2269" t="n">
        <v>0</v>
      </c>
      <c r="T2269" t="n">
        <v>0</v>
      </c>
      <c r="U2269" t="n">
        <v>0</v>
      </c>
      <c r="V2269" s="2" t="inlineStr"/>
    </row>
    <row r="2270" ht="15" customHeight="1">
      <c r="A2270" t="inlineStr">
        <is>
          <t>A 31707-2023</t>
        </is>
      </c>
      <c r="B2270" t="inlineStr">
        <is>
          <t>avverkningsanmälan</t>
        </is>
      </c>
      <c r="C2270" t="inlineStr">
        <is>
          <t>Föryngringsavverkning</t>
        </is>
      </c>
      <c r="D2270" s="1" t="n">
        <v>45105</v>
      </c>
      <c r="E2270" s="1" t="n">
        <v>46323</v>
      </c>
      <c r="F2270" t="inlineStr">
        <is>
          <t>KALMAR LÄN</t>
        </is>
      </c>
      <c r="G2270" t="inlineStr">
        <is>
          <t>HÖGSBY</t>
        </is>
      </c>
      <c r="I2270" t="n">
        <v>3</v>
      </c>
      <c r="J2270" t="n">
        <v>0</v>
      </c>
      <c r="K2270" t="n">
        <v>0</v>
      </c>
      <c r="L2270" t="n">
        <v>0</v>
      </c>
      <c r="M2270" t="n">
        <v>0</v>
      </c>
      <c r="N2270" t="n">
        <v>0</v>
      </c>
      <c r="O2270" t="n">
        <v>0</v>
      </c>
      <c r="P2270" t="n">
        <v>0</v>
      </c>
      <c r="Q2270" t="n">
        <v>0</v>
      </c>
      <c r="R2270" t="n">
        <v>0</v>
      </c>
      <c r="S2270" t="n">
        <v>0</v>
      </c>
      <c r="T2270" t="n">
        <v>0</v>
      </c>
      <c r="U2270" t="n">
        <v>0</v>
      </c>
      <c r="V2270" s="2" t="inlineStr"/>
    </row>
    <row r="2271" ht="15" customHeight="1">
      <c r="A2271" t="inlineStr">
        <is>
          <t>A 34877-2025</t>
        </is>
      </c>
      <c r="B2271" t="inlineStr">
        <is>
          <t>avverkningsanmälan</t>
        </is>
      </c>
      <c r="C2271" t="inlineStr">
        <is>
          <t>Föryngringsavverkning</t>
        </is>
      </c>
      <c r="D2271" s="1" t="n">
        <v>45849</v>
      </c>
      <c r="E2271" s="1" t="n">
        <v>46323</v>
      </c>
      <c r="F2271" t="inlineStr">
        <is>
          <t>KALMAR LÄN</t>
        </is>
      </c>
      <c r="G2271" t="inlineStr">
        <is>
          <t>NYBRO</t>
        </is>
      </c>
      <c r="I2271" t="n">
        <v>0.5</v>
      </c>
      <c r="J2271" t="n">
        <v>0</v>
      </c>
      <c r="K2271" t="n">
        <v>0</v>
      </c>
      <c r="L2271" t="n">
        <v>0</v>
      </c>
      <c r="M2271" t="n">
        <v>0</v>
      </c>
      <c r="N2271" t="n">
        <v>0</v>
      </c>
      <c r="O2271" t="n">
        <v>0</v>
      </c>
      <c r="P2271" t="n">
        <v>0</v>
      </c>
      <c r="Q2271" t="n">
        <v>0</v>
      </c>
      <c r="R2271" t="n">
        <v>0</v>
      </c>
      <c r="S2271" t="n">
        <v>0</v>
      </c>
      <c r="T2271" t="n">
        <v>0</v>
      </c>
      <c r="U2271" t="n">
        <v>0</v>
      </c>
      <c r="V2271" s="2" t="inlineStr"/>
    </row>
    <row r="2272" ht="15" customHeight="1">
      <c r="A2272" t="inlineStr">
        <is>
          <t>A 32921-2023</t>
        </is>
      </c>
      <c r="B2272" t="inlineStr">
        <is>
          <t>avverkningsanmälan</t>
        </is>
      </c>
      <c r="C2272" t="inlineStr">
        <is>
          <t>Föryngringsavverkning</t>
        </is>
      </c>
      <c r="D2272" s="1" t="n">
        <v>45125</v>
      </c>
      <c r="E2272" s="1" t="n">
        <v>46323</v>
      </c>
      <c r="F2272" t="inlineStr">
        <is>
          <t>KALMAR LÄN</t>
        </is>
      </c>
      <c r="G2272" t="inlineStr">
        <is>
          <t>BORGHOLM</t>
        </is>
      </c>
      <c r="I2272" t="n">
        <v>2.9</v>
      </c>
      <c r="J2272" t="n">
        <v>0</v>
      </c>
      <c r="K2272" t="n">
        <v>0</v>
      </c>
      <c r="L2272" t="n">
        <v>0</v>
      </c>
      <c r="M2272" t="n">
        <v>0</v>
      </c>
      <c r="N2272" t="n">
        <v>0</v>
      </c>
      <c r="O2272" t="n">
        <v>0</v>
      </c>
      <c r="P2272" t="n">
        <v>0</v>
      </c>
      <c r="Q2272" t="n">
        <v>0</v>
      </c>
      <c r="R2272" t="n">
        <v>0</v>
      </c>
      <c r="S2272" t="n">
        <v>0</v>
      </c>
      <c r="T2272" t="n">
        <v>0</v>
      </c>
      <c r="U2272" t="n">
        <v>0</v>
      </c>
      <c r="V2272" s="2" t="inlineStr"/>
    </row>
    <row r="2273" ht="15" customHeight="1">
      <c r="A2273" t="inlineStr">
        <is>
          <t>A 1987-2024</t>
        </is>
      </c>
      <c r="B2273" t="inlineStr">
        <is>
          <t>avverkningsanmälan</t>
        </is>
      </c>
      <c r="C2273" t="inlineStr">
        <is>
          <t>Föryngringsavverkning</t>
        </is>
      </c>
      <c r="D2273" s="1" t="n">
        <v>45308</v>
      </c>
      <c r="E2273" s="1" t="n">
        <v>46323</v>
      </c>
      <c r="F2273" t="inlineStr">
        <is>
          <t>KALMAR LÄN</t>
        </is>
      </c>
      <c r="G2273" t="inlineStr">
        <is>
          <t>VIMMERBY</t>
        </is>
      </c>
      <c r="I2273" t="n">
        <v>3</v>
      </c>
      <c r="J2273" t="n">
        <v>0</v>
      </c>
      <c r="K2273" t="n">
        <v>0</v>
      </c>
      <c r="L2273" t="n">
        <v>0</v>
      </c>
      <c r="M2273" t="n">
        <v>0</v>
      </c>
      <c r="N2273" t="n">
        <v>0</v>
      </c>
      <c r="O2273" t="n">
        <v>0</v>
      </c>
      <c r="P2273" t="n">
        <v>0</v>
      </c>
      <c r="Q2273" t="n">
        <v>0</v>
      </c>
      <c r="R2273" t="n">
        <v>0</v>
      </c>
      <c r="S2273" t="n">
        <v>0</v>
      </c>
      <c r="T2273" t="n">
        <v>0</v>
      </c>
      <c r="U2273" t="n">
        <v>0</v>
      </c>
      <c r="V2273" s="2" t="inlineStr"/>
    </row>
    <row r="2274" ht="15" customHeight="1">
      <c r="A2274" t="inlineStr">
        <is>
          <t>A 527-2024</t>
        </is>
      </c>
      <c r="B2274" t="inlineStr">
        <is>
          <t>avverkningsanmälan</t>
        </is>
      </c>
      <c r="C2274" t="inlineStr">
        <is>
          <t>Föryngringsavverkning</t>
        </is>
      </c>
      <c r="D2274" s="1" t="n">
        <v>45299</v>
      </c>
      <c r="E2274" s="1" t="n">
        <v>46323</v>
      </c>
      <c r="F2274" t="inlineStr">
        <is>
          <t>KALMAR LÄN</t>
        </is>
      </c>
      <c r="G2274" t="inlineStr">
        <is>
          <t>VIMMERBY</t>
        </is>
      </c>
      <c r="I2274" t="n">
        <v>2.2</v>
      </c>
      <c r="J2274" t="n">
        <v>0</v>
      </c>
      <c r="K2274" t="n">
        <v>0</v>
      </c>
      <c r="L2274" t="n">
        <v>0</v>
      </c>
      <c r="M2274" t="n">
        <v>0</v>
      </c>
      <c r="N2274" t="n">
        <v>0</v>
      </c>
      <c r="O2274" t="n">
        <v>0</v>
      </c>
      <c r="P2274" t="n">
        <v>0</v>
      </c>
      <c r="Q2274" t="n">
        <v>0</v>
      </c>
      <c r="R2274" t="n">
        <v>0</v>
      </c>
      <c r="S2274" t="n">
        <v>0</v>
      </c>
      <c r="T2274" t="n">
        <v>0</v>
      </c>
      <c r="U2274" t="n">
        <v>0</v>
      </c>
      <c r="V2274" s="2" t="inlineStr"/>
    </row>
    <row r="2275" ht="15" customHeight="1">
      <c r="A2275" t="inlineStr">
        <is>
          <t>A 33383-2023</t>
        </is>
      </c>
      <c r="B2275" t="inlineStr">
        <is>
          <t>avverkningsanmälan</t>
        </is>
      </c>
      <c r="C2275" t="inlineStr">
        <is>
          <t>Föryngringsavverkning</t>
        </is>
      </c>
      <c r="D2275" s="1" t="n">
        <v>45128</v>
      </c>
      <c r="E2275" s="1" t="n">
        <v>46323</v>
      </c>
      <c r="F2275" t="inlineStr">
        <is>
          <t>KALMAR LÄN</t>
        </is>
      </c>
      <c r="G2275" t="inlineStr">
        <is>
          <t>VIMMERBY</t>
        </is>
      </c>
      <c r="I2275" t="n">
        <v>2.3</v>
      </c>
      <c r="J2275" t="n">
        <v>0</v>
      </c>
      <c r="K2275" t="n">
        <v>0</v>
      </c>
      <c r="L2275" t="n">
        <v>0</v>
      </c>
      <c r="M2275" t="n">
        <v>0</v>
      </c>
      <c r="N2275" t="n">
        <v>0</v>
      </c>
      <c r="O2275" t="n">
        <v>0</v>
      </c>
      <c r="P2275" t="n">
        <v>0</v>
      </c>
      <c r="Q2275" t="n">
        <v>0</v>
      </c>
      <c r="R2275" t="n">
        <v>0</v>
      </c>
      <c r="S2275" t="n">
        <v>0</v>
      </c>
      <c r="T2275" t="n">
        <v>0</v>
      </c>
      <c r="U2275" t="n">
        <v>0</v>
      </c>
      <c r="V2275" s="2" t="inlineStr"/>
    </row>
    <row r="2276" ht="15" customHeight="1">
      <c r="A2276" t="inlineStr">
        <is>
          <t>A 31078-2023</t>
        </is>
      </c>
      <c r="B2276" t="inlineStr">
        <is>
          <t>avverkningsanmälan</t>
        </is>
      </c>
      <c r="C2276" t="inlineStr">
        <is>
          <t>Föryngringsavverkning</t>
        </is>
      </c>
      <c r="D2276" s="1" t="n">
        <v>45113</v>
      </c>
      <c r="E2276" s="1" t="n">
        <v>46323</v>
      </c>
      <c r="F2276" t="inlineStr">
        <is>
          <t>KALMAR LÄN</t>
        </is>
      </c>
      <c r="G2276" t="inlineStr">
        <is>
          <t>EMMABODA</t>
        </is>
      </c>
      <c r="I2276" t="n">
        <v>0.8</v>
      </c>
      <c r="J2276" t="n">
        <v>0</v>
      </c>
      <c r="K2276" t="n">
        <v>0</v>
      </c>
      <c r="L2276" t="n">
        <v>0</v>
      </c>
      <c r="M2276" t="n">
        <v>0</v>
      </c>
      <c r="N2276" t="n">
        <v>0</v>
      </c>
      <c r="O2276" t="n">
        <v>0</v>
      </c>
      <c r="P2276" t="n">
        <v>0</v>
      </c>
      <c r="Q2276" t="n">
        <v>0</v>
      </c>
      <c r="R2276" t="n">
        <v>0</v>
      </c>
      <c r="S2276" t="n">
        <v>0</v>
      </c>
      <c r="T2276" t="n">
        <v>0</v>
      </c>
      <c r="U2276" t="n">
        <v>0</v>
      </c>
      <c r="V2276" s="2" t="inlineStr"/>
    </row>
    <row r="2277" ht="15" customHeight="1">
      <c r="A2277" t="inlineStr">
        <is>
          <t>A 11910-2024</t>
        </is>
      </c>
      <c r="B2277" t="inlineStr">
        <is>
          <t>avverkningsanmälan</t>
        </is>
      </c>
      <c r="C2277" t="inlineStr">
        <is>
          <t>Föryngringsavverkning</t>
        </is>
      </c>
      <c r="D2277" s="1" t="n">
        <v>45376</v>
      </c>
      <c r="E2277" s="1" t="n">
        <v>46323</v>
      </c>
      <c r="F2277" t="inlineStr">
        <is>
          <t>KALMAR LÄN</t>
        </is>
      </c>
      <c r="G2277" t="inlineStr">
        <is>
          <t>NYBRO</t>
        </is>
      </c>
      <c r="I2277" t="n">
        <v>1</v>
      </c>
      <c r="J2277" t="n">
        <v>0</v>
      </c>
      <c r="K2277" t="n">
        <v>0</v>
      </c>
      <c r="L2277" t="n">
        <v>0</v>
      </c>
      <c r="M2277" t="n">
        <v>0</v>
      </c>
      <c r="N2277" t="n">
        <v>0</v>
      </c>
      <c r="O2277" t="n">
        <v>0</v>
      </c>
      <c r="P2277" t="n">
        <v>0</v>
      </c>
      <c r="Q2277" t="n">
        <v>0</v>
      </c>
      <c r="R2277" t="n">
        <v>0</v>
      </c>
      <c r="S2277" t="n">
        <v>0</v>
      </c>
      <c r="T2277" t="n">
        <v>0</v>
      </c>
      <c r="U2277" t="n">
        <v>0</v>
      </c>
      <c r="V2277" s="2" t="inlineStr"/>
    </row>
    <row r="2278" ht="15" customHeight="1">
      <c r="A2278" t="inlineStr">
        <is>
          <t>A 24567-2024</t>
        </is>
      </c>
      <c r="B2278" t="inlineStr">
        <is>
          <t>avverkningsanmälan</t>
        </is>
      </c>
      <c r="C2278" t="inlineStr">
        <is>
          <t>Föryngringsavverkning</t>
        </is>
      </c>
      <c r="D2278" s="1" t="n">
        <v>45460</v>
      </c>
      <c r="E2278" s="1" t="n">
        <v>46323</v>
      </c>
      <c r="F2278" t="inlineStr">
        <is>
          <t>KALMAR LÄN</t>
        </is>
      </c>
      <c r="G2278" t="inlineStr">
        <is>
          <t>VÄSTERVIK</t>
        </is>
      </c>
      <c r="I2278" t="n">
        <v>5.1</v>
      </c>
      <c r="J2278" t="n">
        <v>0</v>
      </c>
      <c r="K2278" t="n">
        <v>0</v>
      </c>
      <c r="L2278" t="n">
        <v>0</v>
      </c>
      <c r="M2278" t="n">
        <v>0</v>
      </c>
      <c r="N2278" t="n">
        <v>0</v>
      </c>
      <c r="O2278" t="n">
        <v>0</v>
      </c>
      <c r="P2278" t="n">
        <v>0</v>
      </c>
      <c r="Q2278" t="n">
        <v>0</v>
      </c>
      <c r="R2278" t="n">
        <v>0</v>
      </c>
      <c r="S2278" t="n">
        <v>0</v>
      </c>
      <c r="T2278" t="n">
        <v>0</v>
      </c>
      <c r="U2278" t="n">
        <v>0</v>
      </c>
      <c r="V2278" s="2" t="inlineStr"/>
    </row>
    <row r="2279" ht="15" customHeight="1">
      <c r="A2279" t="inlineStr">
        <is>
          <t>A 34650-2023</t>
        </is>
      </c>
      <c r="B2279" t="inlineStr">
        <is>
          <t>avverkningsanmälan</t>
        </is>
      </c>
      <c r="C2279" t="inlineStr">
        <is>
          <t>Föryngringsavverkning</t>
        </is>
      </c>
      <c r="D2279" s="1" t="n">
        <v>45140</v>
      </c>
      <c r="E2279" s="1" t="n">
        <v>46323</v>
      </c>
      <c r="F2279" t="inlineStr">
        <is>
          <t>KALMAR LÄN</t>
        </is>
      </c>
      <c r="G2279" t="inlineStr">
        <is>
          <t>VÄSTERVIK</t>
        </is>
      </c>
      <c r="I2279" t="n">
        <v>1.4</v>
      </c>
      <c r="J2279" t="n">
        <v>0</v>
      </c>
      <c r="K2279" t="n">
        <v>0</v>
      </c>
      <c r="L2279" t="n">
        <v>0</v>
      </c>
      <c r="M2279" t="n">
        <v>0</v>
      </c>
      <c r="N2279" t="n">
        <v>0</v>
      </c>
      <c r="O2279" t="n">
        <v>0</v>
      </c>
      <c r="P2279" t="n">
        <v>0</v>
      </c>
      <c r="Q2279" t="n">
        <v>0</v>
      </c>
      <c r="R2279" t="n">
        <v>0</v>
      </c>
      <c r="S2279" t="n">
        <v>0</v>
      </c>
      <c r="T2279" t="n">
        <v>0</v>
      </c>
      <c r="U2279" t="n">
        <v>0</v>
      </c>
      <c r="V2279" s="2" t="inlineStr"/>
    </row>
    <row r="2280" ht="15" customHeight="1">
      <c r="A2280" t="inlineStr">
        <is>
          <t>A 53191-2023</t>
        </is>
      </c>
      <c r="B2280" t="inlineStr">
        <is>
          <t>avverkningsanmälan</t>
        </is>
      </c>
      <c r="C2280" t="inlineStr">
        <is>
          <t>Föryngringsavverkning</t>
        </is>
      </c>
      <c r="D2280" s="1" t="n">
        <v>45229</v>
      </c>
      <c r="E2280" s="1" t="n">
        <v>46323</v>
      </c>
      <c r="F2280" t="inlineStr">
        <is>
          <t>KALMAR LÄN</t>
        </is>
      </c>
      <c r="G2280" t="inlineStr">
        <is>
          <t>HULTSFRED</t>
        </is>
      </c>
      <c r="I2280" t="n">
        <v>0.7</v>
      </c>
      <c r="J2280" t="n">
        <v>0</v>
      </c>
      <c r="K2280" t="n">
        <v>0</v>
      </c>
      <c r="L2280" t="n">
        <v>0</v>
      </c>
      <c r="M2280" t="n">
        <v>0</v>
      </c>
      <c r="N2280" t="n">
        <v>0</v>
      </c>
      <c r="O2280" t="n">
        <v>0</v>
      </c>
      <c r="P2280" t="n">
        <v>0</v>
      </c>
      <c r="Q2280" t="n">
        <v>0</v>
      </c>
      <c r="R2280" t="n">
        <v>0</v>
      </c>
      <c r="S2280" t="n">
        <v>0</v>
      </c>
      <c r="T2280" t="n">
        <v>0</v>
      </c>
      <c r="U2280" t="n">
        <v>0</v>
      </c>
      <c r="V2280" s="2" t="inlineStr"/>
    </row>
    <row r="2281" ht="15" customHeight="1">
      <c r="A2281" t="inlineStr">
        <is>
          <t>A 21388-2024</t>
        </is>
      </c>
      <c r="B2281" t="inlineStr">
        <is>
          <t>avverkningsanmälan</t>
        </is>
      </c>
      <c r="C2281" t="inlineStr">
        <is>
          <t>Avverkning för annat ändamål</t>
        </is>
      </c>
      <c r="D2281" s="1" t="n">
        <v>45440</v>
      </c>
      <c r="E2281" s="1" t="n">
        <v>46323</v>
      </c>
      <c r="F2281" t="inlineStr">
        <is>
          <t>KALMAR LÄN</t>
        </is>
      </c>
      <c r="G2281" t="inlineStr">
        <is>
          <t>NYBRO</t>
        </is>
      </c>
      <c r="I2281" t="n">
        <v>1.7</v>
      </c>
      <c r="J2281" t="n">
        <v>0</v>
      </c>
      <c r="K2281" t="n">
        <v>0</v>
      </c>
      <c r="L2281" t="n">
        <v>0</v>
      </c>
      <c r="M2281" t="n">
        <v>0</v>
      </c>
      <c r="N2281" t="n">
        <v>0</v>
      </c>
      <c r="O2281" t="n">
        <v>0</v>
      </c>
      <c r="P2281" t="n">
        <v>0</v>
      </c>
      <c r="Q2281" t="n">
        <v>0</v>
      </c>
      <c r="R2281" t="n">
        <v>0</v>
      </c>
      <c r="S2281" t="n">
        <v>0</v>
      </c>
      <c r="T2281" t="n">
        <v>0</v>
      </c>
      <c r="U2281" t="n">
        <v>0</v>
      </c>
      <c r="V2281" s="2" t="inlineStr"/>
    </row>
    <row r="2282" ht="15" customHeight="1">
      <c r="A2282" t="inlineStr">
        <is>
          <t>A 72701-2021</t>
        </is>
      </c>
      <c r="B2282" t="inlineStr">
        <is>
          <t>avverkningsanmälan</t>
        </is>
      </c>
      <c r="C2282" t="inlineStr">
        <is>
          <t>Föryngringsavverkning</t>
        </is>
      </c>
      <c r="D2282" s="1" t="n">
        <v>44546</v>
      </c>
      <c r="E2282" s="1" t="n">
        <v>46323</v>
      </c>
      <c r="F2282" t="inlineStr">
        <is>
          <t>KALMAR LÄN</t>
        </is>
      </c>
      <c r="G2282" t="inlineStr">
        <is>
          <t>VIMMERBY</t>
        </is>
      </c>
      <c r="I2282" t="n">
        <v>0.7</v>
      </c>
      <c r="J2282" t="n">
        <v>0</v>
      </c>
      <c r="K2282" t="n">
        <v>0</v>
      </c>
      <c r="L2282" t="n">
        <v>0</v>
      </c>
      <c r="M2282" t="n">
        <v>0</v>
      </c>
      <c r="N2282" t="n">
        <v>0</v>
      </c>
      <c r="O2282" t="n">
        <v>0</v>
      </c>
      <c r="P2282" t="n">
        <v>0</v>
      </c>
      <c r="Q2282" t="n">
        <v>0</v>
      </c>
      <c r="R2282" t="n">
        <v>0</v>
      </c>
      <c r="S2282" t="n">
        <v>0</v>
      </c>
      <c r="T2282" t="n">
        <v>0</v>
      </c>
      <c r="U2282" t="n">
        <v>0</v>
      </c>
      <c r="V2282" s="2" t="inlineStr"/>
    </row>
    <row r="2283" ht="15" customHeight="1">
      <c r="A2283" t="inlineStr">
        <is>
          <t>A 14792-2025</t>
        </is>
      </c>
      <c r="B2283" t="inlineStr">
        <is>
          <t>avverkningsanmälan</t>
        </is>
      </c>
      <c r="C2283" t="inlineStr">
        <is>
          <t>Föryngringsavverkning</t>
        </is>
      </c>
      <c r="D2283" s="1" t="n">
        <v>45742</v>
      </c>
      <c r="E2283" s="1" t="n">
        <v>46323</v>
      </c>
      <c r="F2283" t="inlineStr">
        <is>
          <t>KALMAR LÄN</t>
        </is>
      </c>
      <c r="G2283" t="inlineStr">
        <is>
          <t>EMMABODA</t>
        </is>
      </c>
      <c r="I2283" t="n">
        <v>0.7</v>
      </c>
      <c r="J2283" t="n">
        <v>0</v>
      </c>
      <c r="K2283" t="n">
        <v>0</v>
      </c>
      <c r="L2283" t="n">
        <v>0</v>
      </c>
      <c r="M2283" t="n">
        <v>0</v>
      </c>
      <c r="N2283" t="n">
        <v>0</v>
      </c>
      <c r="O2283" t="n">
        <v>0</v>
      </c>
      <c r="P2283" t="n">
        <v>0</v>
      </c>
      <c r="Q2283" t="n">
        <v>0</v>
      </c>
      <c r="R2283" t="n">
        <v>0</v>
      </c>
      <c r="S2283" t="n">
        <v>0</v>
      </c>
      <c r="T2283" t="n">
        <v>0</v>
      </c>
      <c r="U2283" t="n">
        <v>0</v>
      </c>
      <c r="V2283" s="2" t="inlineStr"/>
    </row>
    <row r="2284" ht="15" customHeight="1">
      <c r="A2284" t="inlineStr">
        <is>
          <t>A 61355-2024</t>
        </is>
      </c>
      <c r="B2284" t="inlineStr">
        <is>
          <t>avverkningsanmälan</t>
        </is>
      </c>
      <c r="C2284" t="inlineStr">
        <is>
          <t>Föryngringsavverkning</t>
        </is>
      </c>
      <c r="D2284" s="1" t="n">
        <v>45646</v>
      </c>
      <c r="E2284" s="1" t="n">
        <v>46323</v>
      </c>
      <c r="F2284" t="inlineStr">
        <is>
          <t>KALMAR LÄN</t>
        </is>
      </c>
      <c r="G2284" t="inlineStr">
        <is>
          <t>VIMMERBY</t>
        </is>
      </c>
      <c r="I2284" t="n">
        <v>2.7</v>
      </c>
      <c r="J2284" t="n">
        <v>0</v>
      </c>
      <c r="K2284" t="n">
        <v>0</v>
      </c>
      <c r="L2284" t="n">
        <v>0</v>
      </c>
      <c r="M2284" t="n">
        <v>0</v>
      </c>
      <c r="N2284" t="n">
        <v>0</v>
      </c>
      <c r="O2284" t="n">
        <v>0</v>
      </c>
      <c r="P2284" t="n">
        <v>0</v>
      </c>
      <c r="Q2284" t="n">
        <v>0</v>
      </c>
      <c r="R2284" t="n">
        <v>0</v>
      </c>
      <c r="S2284" t="n">
        <v>0</v>
      </c>
      <c r="T2284" t="n">
        <v>0</v>
      </c>
      <c r="U2284" t="n">
        <v>0</v>
      </c>
      <c r="V2284" s="2" t="inlineStr"/>
    </row>
    <row r="2285" ht="15" customHeight="1">
      <c r="A2285" t="inlineStr">
        <is>
          <t>A 19714-2022</t>
        </is>
      </c>
      <c r="B2285" t="inlineStr">
        <is>
          <t>avverkningsanmälan</t>
        </is>
      </c>
      <c r="C2285" t="inlineStr">
        <is>
          <t>Föryngringsavverkning</t>
        </is>
      </c>
      <c r="D2285" s="1" t="n">
        <v>44694</v>
      </c>
      <c r="E2285" s="1" t="n">
        <v>46323</v>
      </c>
      <c r="F2285" t="inlineStr">
        <is>
          <t>KALMAR LÄN</t>
        </is>
      </c>
      <c r="G2285" t="inlineStr">
        <is>
          <t>TORSÅS</t>
        </is>
      </c>
      <c r="I2285" t="n">
        <v>0.7</v>
      </c>
      <c r="J2285" t="n">
        <v>0</v>
      </c>
      <c r="K2285" t="n">
        <v>0</v>
      </c>
      <c r="L2285" t="n">
        <v>0</v>
      </c>
      <c r="M2285" t="n">
        <v>0</v>
      </c>
      <c r="N2285" t="n">
        <v>0</v>
      </c>
      <c r="O2285" t="n">
        <v>0</v>
      </c>
      <c r="P2285" t="n">
        <v>0</v>
      </c>
      <c r="Q2285" t="n">
        <v>0</v>
      </c>
      <c r="R2285" t="n">
        <v>0</v>
      </c>
      <c r="S2285" t="n">
        <v>0</v>
      </c>
      <c r="T2285" t="n">
        <v>0</v>
      </c>
      <c r="U2285" t="n">
        <v>0</v>
      </c>
      <c r="V2285" s="2" t="inlineStr"/>
    </row>
    <row r="2286" ht="15" customHeight="1">
      <c r="A2286" t="inlineStr">
        <is>
          <t>A 17819-2022</t>
        </is>
      </c>
      <c r="B2286" t="inlineStr">
        <is>
          <t>avverkningsanmälan</t>
        </is>
      </c>
      <c r="C2286" t="inlineStr">
        <is>
          <t>Föryngringsavverkning</t>
        </is>
      </c>
      <c r="D2286" s="1" t="n">
        <v>44683</v>
      </c>
      <c r="E2286" s="1" t="n">
        <v>46323</v>
      </c>
      <c r="F2286" t="inlineStr">
        <is>
          <t>KALMAR LÄN</t>
        </is>
      </c>
      <c r="G2286" t="inlineStr">
        <is>
          <t>TORSÅS</t>
        </is>
      </c>
      <c r="I2286" t="n">
        <v>1.3</v>
      </c>
      <c r="J2286" t="n">
        <v>0</v>
      </c>
      <c r="K2286" t="n">
        <v>0</v>
      </c>
      <c r="L2286" t="n">
        <v>0</v>
      </c>
      <c r="M2286" t="n">
        <v>0</v>
      </c>
      <c r="N2286" t="n">
        <v>0</v>
      </c>
      <c r="O2286" t="n">
        <v>0</v>
      </c>
      <c r="P2286" t="n">
        <v>0</v>
      </c>
      <c r="Q2286" t="n">
        <v>0</v>
      </c>
      <c r="R2286" t="n">
        <v>0</v>
      </c>
      <c r="S2286" t="n">
        <v>0</v>
      </c>
      <c r="T2286" t="n">
        <v>0</v>
      </c>
      <c r="U2286" t="n">
        <v>0</v>
      </c>
      <c r="V2286" s="2" t="inlineStr"/>
    </row>
    <row r="2287" ht="15" customHeight="1">
      <c r="A2287" t="inlineStr">
        <is>
          <t>A 17820-2022</t>
        </is>
      </c>
      <c r="B2287" t="inlineStr">
        <is>
          <t>avverkningsanmälan</t>
        </is>
      </c>
      <c r="C2287" t="inlineStr">
        <is>
          <t>Föryngringsavverkning</t>
        </is>
      </c>
      <c r="D2287" s="1" t="n">
        <v>44683</v>
      </c>
      <c r="E2287" s="1" t="n">
        <v>46323</v>
      </c>
      <c r="F2287" t="inlineStr">
        <is>
          <t>KALMAR LÄN</t>
        </is>
      </c>
      <c r="G2287" t="inlineStr">
        <is>
          <t>TORSÅS</t>
        </is>
      </c>
      <c r="I2287" t="n">
        <v>2</v>
      </c>
      <c r="J2287" t="n">
        <v>0</v>
      </c>
      <c r="K2287" t="n">
        <v>0</v>
      </c>
      <c r="L2287" t="n">
        <v>0</v>
      </c>
      <c r="M2287" t="n">
        <v>0</v>
      </c>
      <c r="N2287" t="n">
        <v>0</v>
      </c>
      <c r="O2287" t="n">
        <v>0</v>
      </c>
      <c r="P2287" t="n">
        <v>0</v>
      </c>
      <c r="Q2287" t="n">
        <v>0</v>
      </c>
      <c r="R2287" t="n">
        <v>0</v>
      </c>
      <c r="S2287" t="n">
        <v>0</v>
      </c>
      <c r="T2287" t="n">
        <v>0</v>
      </c>
      <c r="U2287" t="n">
        <v>0</v>
      </c>
      <c r="V2287" s="2" t="inlineStr"/>
    </row>
    <row r="2288" ht="15" customHeight="1">
      <c r="A2288" t="inlineStr">
        <is>
          <t>A 17826-2022</t>
        </is>
      </c>
      <c r="B2288" t="inlineStr">
        <is>
          <t>avverkningsanmälan</t>
        </is>
      </c>
      <c r="C2288" t="inlineStr">
        <is>
          <t>Föryngringsavverkning</t>
        </is>
      </c>
      <c r="D2288" s="1" t="n">
        <v>44683</v>
      </c>
      <c r="E2288" s="1" t="n">
        <v>46323</v>
      </c>
      <c r="F2288" t="inlineStr">
        <is>
          <t>KALMAR LÄN</t>
        </is>
      </c>
      <c r="G2288" t="inlineStr">
        <is>
          <t>EMMABODA</t>
        </is>
      </c>
      <c r="I2288" t="n">
        <v>0.6</v>
      </c>
      <c r="J2288" t="n">
        <v>0</v>
      </c>
      <c r="K2288" t="n">
        <v>0</v>
      </c>
      <c r="L2288" t="n">
        <v>0</v>
      </c>
      <c r="M2288" t="n">
        <v>0</v>
      </c>
      <c r="N2288" t="n">
        <v>0</v>
      </c>
      <c r="O2288" t="n">
        <v>0</v>
      </c>
      <c r="P2288" t="n">
        <v>0</v>
      </c>
      <c r="Q2288" t="n">
        <v>0</v>
      </c>
      <c r="R2288" t="n">
        <v>0</v>
      </c>
      <c r="S2288" t="n">
        <v>0</v>
      </c>
      <c r="T2288" t="n">
        <v>0</v>
      </c>
      <c r="U2288" t="n">
        <v>0</v>
      </c>
      <c r="V2288" s="2" t="inlineStr"/>
    </row>
    <row r="2289" ht="15" customHeight="1">
      <c r="A2289" t="inlineStr">
        <is>
          <t>A 19943-2023</t>
        </is>
      </c>
      <c r="B2289" t="inlineStr">
        <is>
          <t>avverkningsanmälan</t>
        </is>
      </c>
      <c r="C2289" t="inlineStr">
        <is>
          <t>Föryngringsavverkning</t>
        </is>
      </c>
      <c r="D2289" s="1" t="n">
        <v>45054</v>
      </c>
      <c r="E2289" s="1" t="n">
        <v>46323</v>
      </c>
      <c r="F2289" t="inlineStr">
        <is>
          <t>KALMAR LÄN</t>
        </is>
      </c>
      <c r="G2289" t="inlineStr">
        <is>
          <t>TORSÅS</t>
        </is>
      </c>
      <c r="I2289" t="n">
        <v>0.5</v>
      </c>
      <c r="J2289" t="n">
        <v>0</v>
      </c>
      <c r="K2289" t="n">
        <v>0</v>
      </c>
      <c r="L2289" t="n">
        <v>0</v>
      </c>
      <c r="M2289" t="n">
        <v>0</v>
      </c>
      <c r="N2289" t="n">
        <v>0</v>
      </c>
      <c r="O2289" t="n">
        <v>0</v>
      </c>
      <c r="P2289" t="n">
        <v>0</v>
      </c>
      <c r="Q2289" t="n">
        <v>0</v>
      </c>
      <c r="R2289" t="n">
        <v>0</v>
      </c>
      <c r="S2289" t="n">
        <v>0</v>
      </c>
      <c r="T2289" t="n">
        <v>0</v>
      </c>
      <c r="U2289" t="n">
        <v>0</v>
      </c>
      <c r="V2289" s="2" t="inlineStr"/>
    </row>
    <row r="2290" ht="15" customHeight="1">
      <c r="A2290" t="inlineStr">
        <is>
          <t>A 6823-2025</t>
        </is>
      </c>
      <c r="B2290" t="inlineStr">
        <is>
          <t>avverkningsanmälan</t>
        </is>
      </c>
      <c r="C2290" t="inlineStr">
        <is>
          <t>Föryngringsavverkning</t>
        </is>
      </c>
      <c r="D2290" s="1" t="n">
        <v>45700</v>
      </c>
      <c r="E2290" s="1" t="n">
        <v>46323</v>
      </c>
      <c r="F2290" t="inlineStr">
        <is>
          <t>KALMAR LÄN</t>
        </is>
      </c>
      <c r="G2290" t="inlineStr">
        <is>
          <t>HÖGSBY</t>
        </is>
      </c>
      <c r="I2290" t="n">
        <v>0.6</v>
      </c>
      <c r="J2290" t="n">
        <v>0</v>
      </c>
      <c r="K2290" t="n">
        <v>0</v>
      </c>
      <c r="L2290" t="n">
        <v>0</v>
      </c>
      <c r="M2290" t="n">
        <v>0</v>
      </c>
      <c r="N2290" t="n">
        <v>0</v>
      </c>
      <c r="O2290" t="n">
        <v>0</v>
      </c>
      <c r="P2290" t="n">
        <v>0</v>
      </c>
      <c r="Q2290" t="n">
        <v>0</v>
      </c>
      <c r="R2290" t="n">
        <v>0</v>
      </c>
      <c r="S2290" t="n">
        <v>0</v>
      </c>
      <c r="T2290" t="n">
        <v>0</v>
      </c>
      <c r="U2290" t="n">
        <v>0</v>
      </c>
      <c r="V2290" s="2" t="inlineStr"/>
    </row>
    <row r="2291" ht="15" customHeight="1">
      <c r="A2291" t="inlineStr">
        <is>
          <t>A 6824-2025</t>
        </is>
      </c>
      <c r="B2291" t="inlineStr">
        <is>
          <t>avverkningsanmälan</t>
        </is>
      </c>
      <c r="C2291" t="inlineStr">
        <is>
          <t>Föryngringsavverkning</t>
        </is>
      </c>
      <c r="D2291" s="1" t="n">
        <v>45700</v>
      </c>
      <c r="E2291" s="1" t="n">
        <v>46323</v>
      </c>
      <c r="F2291" t="inlineStr">
        <is>
          <t>KALMAR LÄN</t>
        </is>
      </c>
      <c r="G2291" t="inlineStr">
        <is>
          <t>HÖGSBY</t>
        </is>
      </c>
      <c r="I2291" t="n">
        <v>1.3</v>
      </c>
      <c r="J2291" t="n">
        <v>0</v>
      </c>
      <c r="K2291" t="n">
        <v>0</v>
      </c>
      <c r="L2291" t="n">
        <v>0</v>
      </c>
      <c r="M2291" t="n">
        <v>0</v>
      </c>
      <c r="N2291" t="n">
        <v>0</v>
      </c>
      <c r="O2291" t="n">
        <v>0</v>
      </c>
      <c r="P2291" t="n">
        <v>0</v>
      </c>
      <c r="Q2291" t="n">
        <v>0</v>
      </c>
      <c r="R2291" t="n">
        <v>0</v>
      </c>
      <c r="S2291" t="n">
        <v>0</v>
      </c>
      <c r="T2291" t="n">
        <v>0</v>
      </c>
      <c r="U2291" t="n">
        <v>0</v>
      </c>
      <c r="V2291" s="2" t="inlineStr"/>
    </row>
    <row r="2292" ht="15" customHeight="1">
      <c r="A2292" t="inlineStr">
        <is>
          <t>A 13964-2025</t>
        </is>
      </c>
      <c r="B2292" t="inlineStr">
        <is>
          <t>avverkningsanmälan</t>
        </is>
      </c>
      <c r="C2292" t="inlineStr">
        <is>
          <t>Avverkning för annat ändamål</t>
        </is>
      </c>
      <c r="D2292" s="1" t="n">
        <v>45738</v>
      </c>
      <c r="E2292" s="1" t="n">
        <v>46323</v>
      </c>
      <c r="F2292" t="inlineStr">
        <is>
          <t>KALMAR LÄN</t>
        </is>
      </c>
      <c r="G2292" t="inlineStr">
        <is>
          <t>MÖNSTERÅS</t>
        </is>
      </c>
      <c r="I2292" t="n">
        <v>0.2</v>
      </c>
      <c r="J2292" t="n">
        <v>0</v>
      </c>
      <c r="K2292" t="n">
        <v>0</v>
      </c>
      <c r="L2292" t="n">
        <v>0</v>
      </c>
      <c r="M2292" t="n">
        <v>0</v>
      </c>
      <c r="N2292" t="n">
        <v>0</v>
      </c>
      <c r="O2292" t="n">
        <v>0</v>
      </c>
      <c r="P2292" t="n">
        <v>0</v>
      </c>
      <c r="Q2292" t="n">
        <v>0</v>
      </c>
      <c r="R2292" t="n">
        <v>0</v>
      </c>
      <c r="S2292" t="n">
        <v>0</v>
      </c>
      <c r="T2292" t="n">
        <v>0</v>
      </c>
      <c r="U2292" t="n">
        <v>0</v>
      </c>
      <c r="V2292" s="2" t="inlineStr"/>
    </row>
    <row r="2293" ht="15" customHeight="1">
      <c r="A2293" t="inlineStr">
        <is>
          <t>A 38202-2025</t>
        </is>
      </c>
      <c r="B2293" t="inlineStr">
        <is>
          <t>avverkningsanmälan</t>
        </is>
      </c>
      <c r="C2293" t="inlineStr">
        <is>
          <t>Föryngringsavverkning</t>
        </is>
      </c>
      <c r="D2293" s="1" t="n">
        <v>45882</v>
      </c>
      <c r="E2293" s="1" t="n">
        <v>46323</v>
      </c>
      <c r="F2293" t="inlineStr">
        <is>
          <t>KALMAR LÄN</t>
        </is>
      </c>
      <c r="G2293" t="inlineStr">
        <is>
          <t>NYBRO</t>
        </is>
      </c>
      <c r="I2293" t="n">
        <v>3.3</v>
      </c>
      <c r="J2293" t="n">
        <v>0</v>
      </c>
      <c r="K2293" t="n">
        <v>0</v>
      </c>
      <c r="L2293" t="n">
        <v>0</v>
      </c>
      <c r="M2293" t="n">
        <v>0</v>
      </c>
      <c r="N2293" t="n">
        <v>0</v>
      </c>
      <c r="O2293" t="n">
        <v>0</v>
      </c>
      <c r="P2293" t="n">
        <v>0</v>
      </c>
      <c r="Q2293" t="n">
        <v>0</v>
      </c>
      <c r="R2293" t="n">
        <v>0</v>
      </c>
      <c r="S2293" t="n">
        <v>0</v>
      </c>
      <c r="T2293" t="n">
        <v>0</v>
      </c>
      <c r="U2293" t="n">
        <v>0</v>
      </c>
      <c r="V2293" s="2" t="inlineStr"/>
    </row>
    <row r="2294" ht="15" customHeight="1">
      <c r="A2294" t="inlineStr">
        <is>
          <t>A 57489-2024</t>
        </is>
      </c>
      <c r="B2294" t="inlineStr">
        <is>
          <t>avverkningsanmälan</t>
        </is>
      </c>
      <c r="C2294" t="inlineStr">
        <is>
          <t>Föryngringsavverkning</t>
        </is>
      </c>
      <c r="D2294" s="1" t="n">
        <v>45630</v>
      </c>
      <c r="E2294" s="1" t="n">
        <v>46323</v>
      </c>
      <c r="F2294" t="inlineStr">
        <is>
          <t>KALMAR LÄN</t>
        </is>
      </c>
      <c r="G2294" t="inlineStr">
        <is>
          <t>KALMAR</t>
        </is>
      </c>
      <c r="I2294" t="n">
        <v>0.5</v>
      </c>
      <c r="J2294" t="n">
        <v>0</v>
      </c>
      <c r="K2294" t="n">
        <v>0</v>
      </c>
      <c r="L2294" t="n">
        <v>0</v>
      </c>
      <c r="M2294" t="n">
        <v>0</v>
      </c>
      <c r="N2294" t="n">
        <v>0</v>
      </c>
      <c r="O2294" t="n">
        <v>0</v>
      </c>
      <c r="P2294" t="n">
        <v>0</v>
      </c>
      <c r="Q2294" t="n">
        <v>0</v>
      </c>
      <c r="R2294" t="n">
        <v>0</v>
      </c>
      <c r="S2294" t="n">
        <v>0</v>
      </c>
      <c r="T2294" t="n">
        <v>0</v>
      </c>
      <c r="U2294" t="n">
        <v>0</v>
      </c>
      <c r="V2294" s="2" t="inlineStr"/>
    </row>
    <row r="2295" ht="15" customHeight="1">
      <c r="A2295" t="inlineStr">
        <is>
          <t>A 13967-2025</t>
        </is>
      </c>
      <c r="B2295" t="inlineStr">
        <is>
          <t>avverkningsanmälan</t>
        </is>
      </c>
      <c r="C2295" t="inlineStr">
        <is>
          <t>Avverkning för annat ändamål</t>
        </is>
      </c>
      <c r="D2295" s="1" t="n">
        <v>45738</v>
      </c>
      <c r="E2295" s="1" t="n">
        <v>46323</v>
      </c>
      <c r="F2295" t="inlineStr">
        <is>
          <t>KALMAR LÄN</t>
        </is>
      </c>
      <c r="G2295" t="inlineStr">
        <is>
          <t>MÖNSTERÅS</t>
        </is>
      </c>
      <c r="I2295" t="n">
        <v>0.4</v>
      </c>
      <c r="J2295" t="n">
        <v>0</v>
      </c>
      <c r="K2295" t="n">
        <v>0</v>
      </c>
      <c r="L2295" t="n">
        <v>0</v>
      </c>
      <c r="M2295" t="n">
        <v>0</v>
      </c>
      <c r="N2295" t="n">
        <v>0</v>
      </c>
      <c r="O2295" t="n">
        <v>0</v>
      </c>
      <c r="P2295" t="n">
        <v>0</v>
      </c>
      <c r="Q2295" t="n">
        <v>0</v>
      </c>
      <c r="R2295" t="n">
        <v>0</v>
      </c>
      <c r="S2295" t="n">
        <v>0</v>
      </c>
      <c r="T2295" t="n">
        <v>0</v>
      </c>
      <c r="U2295" t="n">
        <v>0</v>
      </c>
      <c r="V2295" s="2" t="inlineStr"/>
    </row>
    <row r="2296" ht="15" customHeight="1">
      <c r="A2296" t="inlineStr">
        <is>
          <t>A 51081-2022</t>
        </is>
      </c>
      <c r="B2296" t="inlineStr">
        <is>
          <t>avverkningsanmälan</t>
        </is>
      </c>
      <c r="C2296" t="inlineStr">
        <is>
          <t>Föryngringsavverkning</t>
        </is>
      </c>
      <c r="D2296" s="1" t="n">
        <v>44868</v>
      </c>
      <c r="E2296" s="1" t="n">
        <v>46323</v>
      </c>
      <c r="F2296" t="inlineStr">
        <is>
          <t>KALMAR LÄN</t>
        </is>
      </c>
      <c r="G2296" t="inlineStr">
        <is>
          <t>NYBRO</t>
        </is>
      </c>
      <c r="I2296" t="n">
        <v>0.9</v>
      </c>
      <c r="J2296" t="n">
        <v>0</v>
      </c>
      <c r="K2296" t="n">
        <v>0</v>
      </c>
      <c r="L2296" t="n">
        <v>0</v>
      </c>
      <c r="M2296" t="n">
        <v>0</v>
      </c>
      <c r="N2296" t="n">
        <v>0</v>
      </c>
      <c r="O2296" t="n">
        <v>0</v>
      </c>
      <c r="P2296" t="n">
        <v>0</v>
      </c>
      <c r="Q2296" t="n">
        <v>0</v>
      </c>
      <c r="R2296" t="n">
        <v>0</v>
      </c>
      <c r="S2296" t="n">
        <v>0</v>
      </c>
      <c r="T2296" t="n">
        <v>0</v>
      </c>
      <c r="U2296" t="n">
        <v>0</v>
      </c>
      <c r="V2296" s="2" t="inlineStr"/>
    </row>
    <row r="2297" ht="15" customHeight="1">
      <c r="A2297" t="inlineStr">
        <is>
          <t>A 14193-2024</t>
        </is>
      </c>
      <c r="B2297" t="inlineStr">
        <is>
          <t>avverkningsanmälan</t>
        </is>
      </c>
      <c r="C2297" t="inlineStr">
        <is>
          <t>Föryngringsavverkning</t>
        </is>
      </c>
      <c r="D2297" s="1" t="n">
        <v>45393</v>
      </c>
      <c r="E2297" s="1" t="n">
        <v>46323</v>
      </c>
      <c r="F2297" t="inlineStr">
        <is>
          <t>KALMAR LÄN</t>
        </is>
      </c>
      <c r="G2297" t="inlineStr">
        <is>
          <t>HÖGSBY</t>
        </is>
      </c>
      <c r="I2297" t="n">
        <v>2.7</v>
      </c>
      <c r="J2297" t="n">
        <v>0</v>
      </c>
      <c r="K2297" t="n">
        <v>0</v>
      </c>
      <c r="L2297" t="n">
        <v>0</v>
      </c>
      <c r="M2297" t="n">
        <v>0</v>
      </c>
      <c r="N2297" t="n">
        <v>0</v>
      </c>
      <c r="O2297" t="n">
        <v>0</v>
      </c>
      <c r="P2297" t="n">
        <v>0</v>
      </c>
      <c r="Q2297" t="n">
        <v>0</v>
      </c>
      <c r="R2297" t="n">
        <v>0</v>
      </c>
      <c r="S2297" t="n">
        <v>0</v>
      </c>
      <c r="T2297" t="n">
        <v>0</v>
      </c>
      <c r="U2297" t="n">
        <v>0</v>
      </c>
      <c r="V2297" s="2" t="inlineStr"/>
    </row>
    <row r="2298" ht="15" customHeight="1">
      <c r="A2298" t="inlineStr">
        <is>
          <t>A 37192-2024</t>
        </is>
      </c>
      <c r="B2298" t="inlineStr">
        <is>
          <t>avverkningsanmälan</t>
        </is>
      </c>
      <c r="C2298" t="inlineStr">
        <is>
          <t>Föryngringsavverkning</t>
        </is>
      </c>
      <c r="D2298" s="1" t="n">
        <v>45539</v>
      </c>
      <c r="E2298" s="1" t="n">
        <v>46323</v>
      </c>
      <c r="F2298" t="inlineStr">
        <is>
          <t>KALMAR LÄN</t>
        </is>
      </c>
      <c r="G2298" t="inlineStr">
        <is>
          <t>VIMMERBY</t>
        </is>
      </c>
      <c r="I2298" t="n">
        <v>1</v>
      </c>
      <c r="J2298" t="n">
        <v>0</v>
      </c>
      <c r="K2298" t="n">
        <v>0</v>
      </c>
      <c r="L2298" t="n">
        <v>0</v>
      </c>
      <c r="M2298" t="n">
        <v>0</v>
      </c>
      <c r="N2298" t="n">
        <v>0</v>
      </c>
      <c r="O2298" t="n">
        <v>0</v>
      </c>
      <c r="P2298" t="n">
        <v>0</v>
      </c>
      <c r="Q2298" t="n">
        <v>0</v>
      </c>
      <c r="R2298" t="n">
        <v>0</v>
      </c>
      <c r="S2298" t="n">
        <v>0</v>
      </c>
      <c r="T2298" t="n">
        <v>0</v>
      </c>
      <c r="U2298" t="n">
        <v>0</v>
      </c>
      <c r="V2298" s="2" t="inlineStr"/>
    </row>
    <row r="2299" ht="15" customHeight="1">
      <c r="A2299" t="inlineStr">
        <is>
          <t>A 31423-2024</t>
        </is>
      </c>
      <c r="B2299" t="inlineStr">
        <is>
          <t>avverkningsanmälan</t>
        </is>
      </c>
      <c r="C2299" t="inlineStr">
        <is>
          <t>Föryngringsavverkning</t>
        </is>
      </c>
      <c r="D2299" s="1" t="n">
        <v>45505</v>
      </c>
      <c r="E2299" s="1" t="n">
        <v>46323</v>
      </c>
      <c r="F2299" t="inlineStr">
        <is>
          <t>KALMAR LÄN</t>
        </is>
      </c>
      <c r="G2299" t="inlineStr">
        <is>
          <t>HULTSFRED</t>
        </is>
      </c>
      <c r="I2299" t="n">
        <v>4.3</v>
      </c>
      <c r="J2299" t="n">
        <v>0</v>
      </c>
      <c r="K2299" t="n">
        <v>0</v>
      </c>
      <c r="L2299" t="n">
        <v>0</v>
      </c>
      <c r="M2299" t="n">
        <v>0</v>
      </c>
      <c r="N2299" t="n">
        <v>0</v>
      </c>
      <c r="O2299" t="n">
        <v>0</v>
      </c>
      <c r="P2299" t="n">
        <v>0</v>
      </c>
      <c r="Q2299" t="n">
        <v>0</v>
      </c>
      <c r="R2299" t="n">
        <v>0</v>
      </c>
      <c r="S2299" t="n">
        <v>0</v>
      </c>
      <c r="T2299" t="n">
        <v>0</v>
      </c>
      <c r="U2299" t="n">
        <v>0</v>
      </c>
      <c r="V2299" s="2" t="inlineStr"/>
    </row>
    <row r="2300" ht="15" customHeight="1">
      <c r="A2300" t="inlineStr">
        <is>
          <t>A 15830-2023</t>
        </is>
      </c>
      <c r="B2300" t="inlineStr">
        <is>
          <t>avverkningsanmälan</t>
        </is>
      </c>
      <c r="C2300" t="inlineStr">
        <is>
          <t>Föryngringsavverkning</t>
        </is>
      </c>
      <c r="D2300" s="1" t="n">
        <v>45022</v>
      </c>
      <c r="E2300" s="1" t="n">
        <v>46323</v>
      </c>
      <c r="F2300" t="inlineStr">
        <is>
          <t>KALMAR LÄN</t>
        </is>
      </c>
      <c r="G2300" t="inlineStr">
        <is>
          <t>NYBRO</t>
        </is>
      </c>
      <c r="I2300" t="n">
        <v>0.5</v>
      </c>
      <c r="J2300" t="n">
        <v>0</v>
      </c>
      <c r="K2300" t="n">
        <v>0</v>
      </c>
      <c r="L2300" t="n">
        <v>0</v>
      </c>
      <c r="M2300" t="n">
        <v>0</v>
      </c>
      <c r="N2300" t="n">
        <v>0</v>
      </c>
      <c r="O2300" t="n">
        <v>0</v>
      </c>
      <c r="P2300" t="n">
        <v>0</v>
      </c>
      <c r="Q2300" t="n">
        <v>0</v>
      </c>
      <c r="R2300" t="n">
        <v>0</v>
      </c>
      <c r="S2300" t="n">
        <v>0</v>
      </c>
      <c r="T2300" t="n">
        <v>0</v>
      </c>
      <c r="U2300" t="n">
        <v>0</v>
      </c>
      <c r="V2300" s="2" t="inlineStr"/>
    </row>
    <row r="2301" ht="15" customHeight="1">
      <c r="A2301" t="inlineStr">
        <is>
          <t>A 13141-2025</t>
        </is>
      </c>
      <c r="B2301" t="inlineStr">
        <is>
          <t>avverkningsanmälan</t>
        </is>
      </c>
      <c r="C2301" t="inlineStr">
        <is>
          <t>Föryngringsavverkning</t>
        </is>
      </c>
      <c r="D2301" s="1" t="n">
        <v>45735</v>
      </c>
      <c r="E2301" s="1" t="n">
        <v>46323</v>
      </c>
      <c r="F2301" t="inlineStr">
        <is>
          <t>KALMAR LÄN</t>
        </is>
      </c>
      <c r="G2301" t="inlineStr">
        <is>
          <t>KALMAR</t>
        </is>
      </c>
      <c r="I2301" t="n">
        <v>0.8</v>
      </c>
      <c r="J2301" t="n">
        <v>0</v>
      </c>
      <c r="K2301" t="n">
        <v>0</v>
      </c>
      <c r="L2301" t="n">
        <v>0</v>
      </c>
      <c r="M2301" t="n">
        <v>0</v>
      </c>
      <c r="N2301" t="n">
        <v>0</v>
      </c>
      <c r="O2301" t="n">
        <v>0</v>
      </c>
      <c r="P2301" t="n">
        <v>0</v>
      </c>
      <c r="Q2301" t="n">
        <v>0</v>
      </c>
      <c r="R2301" t="n">
        <v>0</v>
      </c>
      <c r="S2301" t="n">
        <v>0</v>
      </c>
      <c r="T2301" t="n">
        <v>0</v>
      </c>
      <c r="U2301" t="n">
        <v>0</v>
      </c>
      <c r="V2301" s="2" t="inlineStr"/>
    </row>
    <row r="2302" ht="15" customHeight="1">
      <c r="A2302" t="inlineStr">
        <is>
          <t>A 56366-2023</t>
        </is>
      </c>
      <c r="B2302" t="inlineStr">
        <is>
          <t>avverkningsanmälan</t>
        </is>
      </c>
      <c r="C2302" t="inlineStr">
        <is>
          <t>Föryngringsavverkning</t>
        </is>
      </c>
      <c r="D2302" s="1" t="n">
        <v>45243</v>
      </c>
      <c r="E2302" s="1" t="n">
        <v>46323</v>
      </c>
      <c r="F2302" t="inlineStr">
        <is>
          <t>KALMAR LÄN</t>
        </is>
      </c>
      <c r="G2302" t="inlineStr">
        <is>
          <t>TORSÅS</t>
        </is>
      </c>
      <c r="I2302" t="n">
        <v>0.5</v>
      </c>
      <c r="J2302" t="n">
        <v>0</v>
      </c>
      <c r="K2302" t="n">
        <v>0</v>
      </c>
      <c r="L2302" t="n">
        <v>0</v>
      </c>
      <c r="M2302" t="n">
        <v>0</v>
      </c>
      <c r="N2302" t="n">
        <v>0</v>
      </c>
      <c r="O2302" t="n">
        <v>0</v>
      </c>
      <c r="P2302" t="n">
        <v>0</v>
      </c>
      <c r="Q2302" t="n">
        <v>0</v>
      </c>
      <c r="R2302" t="n">
        <v>0</v>
      </c>
      <c r="S2302" t="n">
        <v>0</v>
      </c>
      <c r="T2302" t="n">
        <v>0</v>
      </c>
      <c r="U2302" t="n">
        <v>0</v>
      </c>
      <c r="V2302" s="2" t="inlineStr"/>
    </row>
    <row r="2303" ht="15" customHeight="1">
      <c r="A2303" t="inlineStr">
        <is>
          <t>A 12265-2024</t>
        </is>
      </c>
      <c r="B2303" t="inlineStr">
        <is>
          <t>avverkningsanmälan</t>
        </is>
      </c>
      <c r="C2303" t="inlineStr">
        <is>
          <t>Föryngringsavverkning</t>
        </is>
      </c>
      <c r="D2303" s="1" t="n">
        <v>45378</v>
      </c>
      <c r="E2303" s="1" t="n">
        <v>46323</v>
      </c>
      <c r="F2303" t="inlineStr">
        <is>
          <t>KALMAR LÄN</t>
        </is>
      </c>
      <c r="G2303" t="inlineStr">
        <is>
          <t>KALMAR</t>
        </is>
      </c>
      <c r="I2303" t="n">
        <v>1.5</v>
      </c>
      <c r="J2303" t="n">
        <v>0</v>
      </c>
      <c r="K2303" t="n">
        <v>0</v>
      </c>
      <c r="L2303" t="n">
        <v>0</v>
      </c>
      <c r="M2303" t="n">
        <v>0</v>
      </c>
      <c r="N2303" t="n">
        <v>0</v>
      </c>
      <c r="O2303" t="n">
        <v>0</v>
      </c>
      <c r="P2303" t="n">
        <v>0</v>
      </c>
      <c r="Q2303" t="n">
        <v>0</v>
      </c>
      <c r="R2303" t="n">
        <v>0</v>
      </c>
      <c r="S2303" t="n">
        <v>0</v>
      </c>
      <c r="T2303" t="n">
        <v>0</v>
      </c>
      <c r="U2303" t="n">
        <v>0</v>
      </c>
      <c r="V2303" s="2" t="inlineStr"/>
    </row>
    <row r="2304" ht="15" customHeight="1">
      <c r="A2304" t="inlineStr">
        <is>
          <t>A 40347-2023</t>
        </is>
      </c>
      <c r="B2304" t="inlineStr">
        <is>
          <t>avverkningsanmälan</t>
        </is>
      </c>
      <c r="C2304" t="inlineStr">
        <is>
          <t>Föryngringsavverkning</t>
        </is>
      </c>
      <c r="D2304" s="1" t="n">
        <v>45169</v>
      </c>
      <c r="E2304" s="1" t="n">
        <v>46323</v>
      </c>
      <c r="F2304" t="inlineStr">
        <is>
          <t>KALMAR LÄN</t>
        </is>
      </c>
      <c r="G2304" t="inlineStr">
        <is>
          <t>NYBRO</t>
        </is>
      </c>
      <c r="I2304" t="n">
        <v>2.8</v>
      </c>
      <c r="J2304" t="n">
        <v>0</v>
      </c>
      <c r="K2304" t="n">
        <v>0</v>
      </c>
      <c r="L2304" t="n">
        <v>0</v>
      </c>
      <c r="M2304" t="n">
        <v>0</v>
      </c>
      <c r="N2304" t="n">
        <v>0</v>
      </c>
      <c r="O2304" t="n">
        <v>0</v>
      </c>
      <c r="P2304" t="n">
        <v>0</v>
      </c>
      <c r="Q2304" t="n">
        <v>0</v>
      </c>
      <c r="R2304" t="n">
        <v>0</v>
      </c>
      <c r="S2304" t="n">
        <v>0</v>
      </c>
      <c r="T2304" t="n">
        <v>0</v>
      </c>
      <c r="U2304" t="n">
        <v>0</v>
      </c>
      <c r="V2304" s="2" t="inlineStr"/>
    </row>
    <row r="2305" ht="15" customHeight="1">
      <c r="A2305" t="inlineStr">
        <is>
          <t>A 27531-2025</t>
        </is>
      </c>
      <c r="B2305" t="inlineStr">
        <is>
          <t>avverkningsanmälan</t>
        </is>
      </c>
      <c r="C2305" t="inlineStr">
        <is>
          <t>Föryngringsavverkning</t>
        </is>
      </c>
      <c r="D2305" s="1" t="n">
        <v>45813</v>
      </c>
      <c r="E2305" s="1" t="n">
        <v>46323</v>
      </c>
      <c r="F2305" t="inlineStr">
        <is>
          <t>KALMAR LÄN</t>
        </is>
      </c>
      <c r="G2305" t="inlineStr">
        <is>
          <t>HULTSFRED</t>
        </is>
      </c>
      <c r="I2305" t="n">
        <v>3.5</v>
      </c>
      <c r="J2305" t="n">
        <v>0</v>
      </c>
      <c r="K2305" t="n">
        <v>0</v>
      </c>
      <c r="L2305" t="n">
        <v>0</v>
      </c>
      <c r="M2305" t="n">
        <v>0</v>
      </c>
      <c r="N2305" t="n">
        <v>0</v>
      </c>
      <c r="O2305" t="n">
        <v>0</v>
      </c>
      <c r="P2305" t="n">
        <v>0</v>
      </c>
      <c r="Q2305" t="n">
        <v>0</v>
      </c>
      <c r="R2305" t="n">
        <v>0</v>
      </c>
      <c r="S2305" t="n">
        <v>0</v>
      </c>
      <c r="T2305" t="n">
        <v>0</v>
      </c>
      <c r="U2305" t="n">
        <v>0</v>
      </c>
      <c r="V2305" s="2" t="inlineStr"/>
    </row>
    <row r="2306" ht="15" customHeight="1">
      <c r="A2306" t="inlineStr">
        <is>
          <t>A 11812-2023</t>
        </is>
      </c>
      <c r="B2306" t="inlineStr">
        <is>
          <t>avverkningsanmälan</t>
        </is>
      </c>
      <c r="C2306" t="inlineStr">
        <is>
          <t>Föryngringsavverkning</t>
        </is>
      </c>
      <c r="D2306" s="1" t="n">
        <v>44994</v>
      </c>
      <c r="E2306" s="1" t="n">
        <v>46323</v>
      </c>
      <c r="F2306" t="inlineStr">
        <is>
          <t>KALMAR LÄN</t>
        </is>
      </c>
      <c r="G2306" t="inlineStr">
        <is>
          <t>KALMAR</t>
        </is>
      </c>
      <c r="I2306" t="n">
        <v>1.3</v>
      </c>
      <c r="J2306" t="n">
        <v>0</v>
      </c>
      <c r="K2306" t="n">
        <v>0</v>
      </c>
      <c r="L2306" t="n">
        <v>0</v>
      </c>
      <c r="M2306" t="n">
        <v>0</v>
      </c>
      <c r="N2306" t="n">
        <v>0</v>
      </c>
      <c r="O2306" t="n">
        <v>0</v>
      </c>
      <c r="P2306" t="n">
        <v>0</v>
      </c>
      <c r="Q2306" t="n">
        <v>0</v>
      </c>
      <c r="R2306" t="n">
        <v>0</v>
      </c>
      <c r="S2306" t="n">
        <v>0</v>
      </c>
      <c r="T2306" t="n">
        <v>0</v>
      </c>
      <c r="U2306" t="n">
        <v>0</v>
      </c>
      <c r="V2306" s="2" t="inlineStr"/>
    </row>
    <row r="2307" ht="15" customHeight="1">
      <c r="A2307" t="inlineStr">
        <is>
          <t>A 37320-2022</t>
        </is>
      </c>
      <c r="B2307" t="inlineStr">
        <is>
          <t>avverkningsanmälan</t>
        </is>
      </c>
      <c r="C2307" t="inlineStr">
        <is>
          <t>Föryngringsavverkning</t>
        </is>
      </c>
      <c r="D2307" s="1" t="n">
        <v>44809</v>
      </c>
      <c r="E2307" s="1" t="n">
        <v>46323</v>
      </c>
      <c r="F2307" t="inlineStr">
        <is>
          <t>KALMAR LÄN</t>
        </is>
      </c>
      <c r="G2307" t="inlineStr">
        <is>
          <t>HÖGSBY</t>
        </is>
      </c>
      <c r="I2307" t="n">
        <v>2</v>
      </c>
      <c r="J2307" t="n">
        <v>0</v>
      </c>
      <c r="K2307" t="n">
        <v>0</v>
      </c>
      <c r="L2307" t="n">
        <v>0</v>
      </c>
      <c r="M2307" t="n">
        <v>0</v>
      </c>
      <c r="N2307" t="n">
        <v>0</v>
      </c>
      <c r="O2307" t="n">
        <v>0</v>
      </c>
      <c r="P2307" t="n">
        <v>0</v>
      </c>
      <c r="Q2307" t="n">
        <v>0</v>
      </c>
      <c r="R2307" t="n">
        <v>0</v>
      </c>
      <c r="S2307" t="n">
        <v>0</v>
      </c>
      <c r="T2307" t="n">
        <v>0</v>
      </c>
      <c r="U2307" t="n">
        <v>0</v>
      </c>
      <c r="V2307" s="2" t="inlineStr"/>
    </row>
    <row r="2308" ht="15" customHeight="1">
      <c r="A2308" t="inlineStr">
        <is>
          <t>A 25205-2023</t>
        </is>
      </c>
      <c r="B2308" t="inlineStr">
        <is>
          <t>avverkningsanmälan</t>
        </is>
      </c>
      <c r="C2308" t="inlineStr">
        <is>
          <t>Föryngringsavverkning</t>
        </is>
      </c>
      <c r="D2308" s="1" t="n">
        <v>45086</v>
      </c>
      <c r="E2308" s="1" t="n">
        <v>46323</v>
      </c>
      <c r="F2308" t="inlineStr">
        <is>
          <t>KALMAR LÄN</t>
        </is>
      </c>
      <c r="G2308" t="inlineStr">
        <is>
          <t>MÖNSTERÅS</t>
        </is>
      </c>
      <c r="I2308" t="n">
        <v>2.7</v>
      </c>
      <c r="J2308" t="n">
        <v>0</v>
      </c>
      <c r="K2308" t="n">
        <v>0</v>
      </c>
      <c r="L2308" t="n">
        <v>0</v>
      </c>
      <c r="M2308" t="n">
        <v>0</v>
      </c>
      <c r="N2308" t="n">
        <v>0</v>
      </c>
      <c r="O2308" t="n">
        <v>0</v>
      </c>
      <c r="P2308" t="n">
        <v>0</v>
      </c>
      <c r="Q2308" t="n">
        <v>0</v>
      </c>
      <c r="R2308" t="n">
        <v>0</v>
      </c>
      <c r="S2308" t="n">
        <v>0</v>
      </c>
      <c r="T2308" t="n">
        <v>0</v>
      </c>
      <c r="U2308" t="n">
        <v>0</v>
      </c>
      <c r="V2308" s="2" t="inlineStr"/>
    </row>
    <row r="2309" ht="15" customHeight="1">
      <c r="A2309" t="inlineStr">
        <is>
          <t>A 37094-2022</t>
        </is>
      </c>
      <c r="B2309" t="inlineStr">
        <is>
          <t>avverkningsanmälan</t>
        </is>
      </c>
      <c r="C2309" t="inlineStr">
        <is>
          <t>Föryngringsavverkning</t>
        </is>
      </c>
      <c r="D2309" s="1" t="n">
        <v>44806</v>
      </c>
      <c r="E2309" s="1" t="n">
        <v>46323</v>
      </c>
      <c r="F2309" t="inlineStr">
        <is>
          <t>KALMAR LÄN</t>
        </is>
      </c>
      <c r="G2309" t="inlineStr">
        <is>
          <t>MÖNSTERÅS</t>
        </is>
      </c>
      <c r="I2309" t="n">
        <v>1.1</v>
      </c>
      <c r="J2309" t="n">
        <v>0</v>
      </c>
      <c r="K2309" t="n">
        <v>0</v>
      </c>
      <c r="L2309" t="n">
        <v>0</v>
      </c>
      <c r="M2309" t="n">
        <v>0</v>
      </c>
      <c r="N2309" t="n">
        <v>0</v>
      </c>
      <c r="O2309" t="n">
        <v>0</v>
      </c>
      <c r="P2309" t="n">
        <v>0</v>
      </c>
      <c r="Q2309" t="n">
        <v>0</v>
      </c>
      <c r="R2309" t="n">
        <v>0</v>
      </c>
      <c r="S2309" t="n">
        <v>0</v>
      </c>
      <c r="T2309" t="n">
        <v>0</v>
      </c>
      <c r="U2309" t="n">
        <v>0</v>
      </c>
      <c r="V2309" s="2" t="inlineStr"/>
    </row>
    <row r="2310" ht="15" customHeight="1">
      <c r="A2310" t="inlineStr">
        <is>
          <t>A 38883-2025</t>
        </is>
      </c>
      <c r="B2310" t="inlineStr">
        <is>
          <t>avverkningsanmälan</t>
        </is>
      </c>
      <c r="C2310" t="inlineStr">
        <is>
          <t>Föryngringsavverkning</t>
        </is>
      </c>
      <c r="D2310" s="1" t="n">
        <v>45887</v>
      </c>
      <c r="E2310" s="1" t="n">
        <v>46323</v>
      </c>
      <c r="F2310" t="inlineStr">
        <is>
          <t>KALMAR LÄN</t>
        </is>
      </c>
      <c r="G2310" t="inlineStr">
        <is>
          <t>EMMABODA</t>
        </is>
      </c>
      <c r="I2310" t="n">
        <v>0.9</v>
      </c>
      <c r="J2310" t="n">
        <v>0</v>
      </c>
      <c r="K2310" t="n">
        <v>0</v>
      </c>
      <c r="L2310" t="n">
        <v>0</v>
      </c>
      <c r="M2310" t="n">
        <v>0</v>
      </c>
      <c r="N2310" t="n">
        <v>0</v>
      </c>
      <c r="O2310" t="n">
        <v>0</v>
      </c>
      <c r="P2310" t="n">
        <v>0</v>
      </c>
      <c r="Q2310" t="n">
        <v>0</v>
      </c>
      <c r="R2310" t="n">
        <v>0</v>
      </c>
      <c r="S2310" t="n">
        <v>0</v>
      </c>
      <c r="T2310" t="n">
        <v>0</v>
      </c>
      <c r="U2310" t="n">
        <v>0</v>
      </c>
      <c r="V2310" s="2" t="inlineStr"/>
    </row>
    <row r="2311" ht="15" customHeight="1">
      <c r="A2311" t="inlineStr">
        <is>
          <t>A 38873-2025</t>
        </is>
      </c>
      <c r="B2311" t="inlineStr">
        <is>
          <t>avverkningsanmälan</t>
        </is>
      </c>
      <c r="C2311" t="inlineStr">
        <is>
          <t>Föryngringsavverkning</t>
        </is>
      </c>
      <c r="D2311" s="1" t="n">
        <v>45887</v>
      </c>
      <c r="E2311" s="1" t="n">
        <v>46323</v>
      </c>
      <c r="F2311" t="inlineStr">
        <is>
          <t>KALMAR LÄN</t>
        </is>
      </c>
      <c r="G2311" t="inlineStr">
        <is>
          <t>EMMABODA</t>
        </is>
      </c>
      <c r="I2311" t="n">
        <v>0.8</v>
      </c>
      <c r="J2311" t="n">
        <v>0</v>
      </c>
      <c r="K2311" t="n">
        <v>0</v>
      </c>
      <c r="L2311" t="n">
        <v>0</v>
      </c>
      <c r="M2311" t="n">
        <v>0</v>
      </c>
      <c r="N2311" t="n">
        <v>0</v>
      </c>
      <c r="O2311" t="n">
        <v>0</v>
      </c>
      <c r="P2311" t="n">
        <v>0</v>
      </c>
      <c r="Q2311" t="n">
        <v>0</v>
      </c>
      <c r="R2311" t="n">
        <v>0</v>
      </c>
      <c r="S2311" t="n">
        <v>0</v>
      </c>
      <c r="T2311" t="n">
        <v>0</v>
      </c>
      <c r="U2311" t="n">
        <v>0</v>
      </c>
      <c r="V2311" s="2" t="inlineStr"/>
    </row>
    <row r="2312" ht="15" customHeight="1">
      <c r="A2312" t="inlineStr">
        <is>
          <t>A 33960-2025</t>
        </is>
      </c>
      <c r="B2312" t="inlineStr">
        <is>
          <t>avverkningsanmälan</t>
        </is>
      </c>
      <c r="C2312" t="inlineStr">
        <is>
          <t>Föryngringsavverkning</t>
        </is>
      </c>
      <c r="D2312" s="1" t="n">
        <v>45842</v>
      </c>
      <c r="E2312" s="1" t="n">
        <v>46323</v>
      </c>
      <c r="F2312" t="inlineStr">
        <is>
          <t>KALMAR LÄN</t>
        </is>
      </c>
      <c r="G2312" t="inlineStr">
        <is>
          <t>HULTSFRED</t>
        </is>
      </c>
      <c r="I2312" t="n">
        <v>0.9</v>
      </c>
      <c r="J2312" t="n">
        <v>0</v>
      </c>
      <c r="K2312" t="n">
        <v>0</v>
      </c>
      <c r="L2312" t="n">
        <v>0</v>
      </c>
      <c r="M2312" t="n">
        <v>0</v>
      </c>
      <c r="N2312" t="n">
        <v>0</v>
      </c>
      <c r="O2312" t="n">
        <v>0</v>
      </c>
      <c r="P2312" t="n">
        <v>0</v>
      </c>
      <c r="Q2312" t="n">
        <v>0</v>
      </c>
      <c r="R2312" t="n">
        <v>0</v>
      </c>
      <c r="S2312" t="n">
        <v>0</v>
      </c>
      <c r="T2312" t="n">
        <v>0</v>
      </c>
      <c r="U2312" t="n">
        <v>0</v>
      </c>
      <c r="V2312" s="2" t="inlineStr"/>
    </row>
    <row r="2313" ht="15" customHeight="1">
      <c r="A2313" t="inlineStr">
        <is>
          <t>A 10759-2023</t>
        </is>
      </c>
      <c r="B2313" t="inlineStr">
        <is>
          <t>avverkningsanmälan</t>
        </is>
      </c>
      <c r="C2313" t="inlineStr">
        <is>
          <t>Avverkning för annat ändamål</t>
        </is>
      </c>
      <c r="D2313" s="1" t="n">
        <v>44988</v>
      </c>
      <c r="E2313" s="1" t="n">
        <v>46323</v>
      </c>
      <c r="F2313" t="inlineStr">
        <is>
          <t>KALMAR LÄN</t>
        </is>
      </c>
      <c r="G2313" t="inlineStr">
        <is>
          <t>VIMMERBY</t>
        </is>
      </c>
      <c r="I2313" t="n">
        <v>0.4</v>
      </c>
      <c r="J2313" t="n">
        <v>0</v>
      </c>
      <c r="K2313" t="n">
        <v>0</v>
      </c>
      <c r="L2313" t="n">
        <v>0</v>
      </c>
      <c r="M2313" t="n">
        <v>0</v>
      </c>
      <c r="N2313" t="n">
        <v>0</v>
      </c>
      <c r="O2313" t="n">
        <v>0</v>
      </c>
      <c r="P2313" t="n">
        <v>0</v>
      </c>
      <c r="Q2313" t="n">
        <v>0</v>
      </c>
      <c r="R2313" t="n">
        <v>0</v>
      </c>
      <c r="S2313" t="n">
        <v>0</v>
      </c>
      <c r="T2313" t="n">
        <v>0</v>
      </c>
      <c r="U2313" t="n">
        <v>0</v>
      </c>
      <c r="V2313" s="2" t="inlineStr"/>
    </row>
    <row r="2314" ht="15" customHeight="1">
      <c r="A2314" t="inlineStr">
        <is>
          <t>A 56576-2024</t>
        </is>
      </c>
      <c r="B2314" t="inlineStr">
        <is>
          <t>avverkningsanmälan</t>
        </is>
      </c>
      <c r="C2314" t="inlineStr">
        <is>
          <t>Föryngringsavverkning</t>
        </is>
      </c>
      <c r="D2314" s="1" t="n">
        <v>45625</v>
      </c>
      <c r="E2314" s="1" t="n">
        <v>46323</v>
      </c>
      <c r="F2314" t="inlineStr">
        <is>
          <t>KALMAR LÄN</t>
        </is>
      </c>
      <c r="G2314" t="inlineStr">
        <is>
          <t>OSKARSHAMN</t>
        </is>
      </c>
      <c r="I2314" t="n">
        <v>0.7</v>
      </c>
      <c r="J2314" t="n">
        <v>0</v>
      </c>
      <c r="K2314" t="n">
        <v>0</v>
      </c>
      <c r="L2314" t="n">
        <v>0</v>
      </c>
      <c r="M2314" t="n">
        <v>0</v>
      </c>
      <c r="N2314" t="n">
        <v>0</v>
      </c>
      <c r="O2314" t="n">
        <v>0</v>
      </c>
      <c r="P2314" t="n">
        <v>0</v>
      </c>
      <c r="Q2314" t="n">
        <v>0</v>
      </c>
      <c r="R2314" t="n">
        <v>0</v>
      </c>
      <c r="S2314" t="n">
        <v>0</v>
      </c>
      <c r="T2314" t="n">
        <v>0</v>
      </c>
      <c r="U2314" t="n">
        <v>0</v>
      </c>
      <c r="V2314" s="2" t="inlineStr"/>
    </row>
    <row r="2315" ht="15" customHeight="1">
      <c r="A2315" t="inlineStr">
        <is>
          <t>A 1396-2023</t>
        </is>
      </c>
      <c r="B2315" t="inlineStr">
        <is>
          <t>avverkningsanmälan</t>
        </is>
      </c>
      <c r="C2315" t="inlineStr">
        <is>
          <t>Föryngringsavverkning</t>
        </is>
      </c>
      <c r="D2315" s="1" t="n">
        <v>44936</v>
      </c>
      <c r="E2315" s="1" t="n">
        <v>46323</v>
      </c>
      <c r="F2315" t="inlineStr">
        <is>
          <t>KALMAR LÄN</t>
        </is>
      </c>
      <c r="G2315" t="inlineStr">
        <is>
          <t>NYBRO</t>
        </is>
      </c>
      <c r="I2315" t="n">
        <v>4.3</v>
      </c>
      <c r="J2315" t="n">
        <v>0</v>
      </c>
      <c r="K2315" t="n">
        <v>0</v>
      </c>
      <c r="L2315" t="n">
        <v>0</v>
      </c>
      <c r="M2315" t="n">
        <v>0</v>
      </c>
      <c r="N2315" t="n">
        <v>0</v>
      </c>
      <c r="O2315" t="n">
        <v>0</v>
      </c>
      <c r="P2315" t="n">
        <v>0</v>
      </c>
      <c r="Q2315" t="n">
        <v>0</v>
      </c>
      <c r="R2315" t="n">
        <v>0</v>
      </c>
      <c r="S2315" t="n">
        <v>0</v>
      </c>
      <c r="T2315" t="n">
        <v>0</v>
      </c>
      <c r="U2315" t="n">
        <v>0</v>
      </c>
      <c r="V2315" s="2" t="inlineStr"/>
    </row>
    <row r="2316" ht="15" customHeight="1">
      <c r="A2316" t="inlineStr">
        <is>
          <t>A 51979-2022</t>
        </is>
      </c>
      <c r="B2316" t="inlineStr">
        <is>
          <t>avverkningsanmälan</t>
        </is>
      </c>
      <c r="C2316" t="inlineStr">
        <is>
          <t>Föryngringsavverkning</t>
        </is>
      </c>
      <c r="D2316" s="1" t="n">
        <v>44872</v>
      </c>
      <c r="E2316" s="1" t="n">
        <v>46323</v>
      </c>
      <c r="F2316" t="inlineStr">
        <is>
          <t>KALMAR LÄN</t>
        </is>
      </c>
      <c r="G2316" t="inlineStr">
        <is>
          <t>KALMAR</t>
        </is>
      </c>
      <c r="I2316" t="n">
        <v>0.6</v>
      </c>
      <c r="J2316" t="n">
        <v>0</v>
      </c>
      <c r="K2316" t="n">
        <v>0</v>
      </c>
      <c r="L2316" t="n">
        <v>0</v>
      </c>
      <c r="M2316" t="n">
        <v>0</v>
      </c>
      <c r="N2316" t="n">
        <v>0</v>
      </c>
      <c r="O2316" t="n">
        <v>0</v>
      </c>
      <c r="P2316" t="n">
        <v>0</v>
      </c>
      <c r="Q2316" t="n">
        <v>0</v>
      </c>
      <c r="R2316" t="n">
        <v>0</v>
      </c>
      <c r="S2316" t="n">
        <v>0</v>
      </c>
      <c r="T2316" t="n">
        <v>0</v>
      </c>
      <c r="U2316" t="n">
        <v>0</v>
      </c>
      <c r="V2316" s="2" t="inlineStr"/>
    </row>
    <row r="2317" ht="15" customHeight="1">
      <c r="A2317" t="inlineStr">
        <is>
          <t>A 36108-2023</t>
        </is>
      </c>
      <c r="B2317" t="inlineStr">
        <is>
          <t>avverkningsanmälan</t>
        </is>
      </c>
      <c r="C2317" t="inlineStr">
        <is>
          <t>Föryngringsavverkning</t>
        </is>
      </c>
      <c r="D2317" s="1" t="n">
        <v>45149</v>
      </c>
      <c r="E2317" s="1" t="n">
        <v>46323</v>
      </c>
      <c r="F2317" t="inlineStr">
        <is>
          <t>KALMAR LÄN</t>
        </is>
      </c>
      <c r="G2317" t="inlineStr">
        <is>
          <t>NYBRO</t>
        </is>
      </c>
      <c r="I2317" t="n">
        <v>2.3</v>
      </c>
      <c r="J2317" t="n">
        <v>0</v>
      </c>
      <c r="K2317" t="n">
        <v>0</v>
      </c>
      <c r="L2317" t="n">
        <v>0</v>
      </c>
      <c r="M2317" t="n">
        <v>0</v>
      </c>
      <c r="N2317" t="n">
        <v>0</v>
      </c>
      <c r="O2317" t="n">
        <v>0</v>
      </c>
      <c r="P2317" t="n">
        <v>0</v>
      </c>
      <c r="Q2317" t="n">
        <v>0</v>
      </c>
      <c r="R2317" t="n">
        <v>0</v>
      </c>
      <c r="S2317" t="n">
        <v>0</v>
      </c>
      <c r="T2317" t="n">
        <v>0</v>
      </c>
      <c r="U2317" t="n">
        <v>0</v>
      </c>
      <c r="V2317" s="2" t="inlineStr"/>
    </row>
    <row r="2318" ht="15" customHeight="1">
      <c r="A2318" t="inlineStr">
        <is>
          <t>A 40647-2022</t>
        </is>
      </c>
      <c r="B2318" t="inlineStr">
        <is>
          <t>avverkningsanmälan</t>
        </is>
      </c>
      <c r="C2318" t="inlineStr">
        <is>
          <t>Föryngringsavverkning</t>
        </is>
      </c>
      <c r="D2318" s="1" t="n">
        <v>44824</v>
      </c>
      <c r="E2318" s="1" t="n">
        <v>46323</v>
      </c>
      <c r="F2318" t="inlineStr">
        <is>
          <t>KALMAR LÄN</t>
        </is>
      </c>
      <c r="G2318" t="inlineStr">
        <is>
          <t>KALMAR</t>
        </is>
      </c>
      <c r="I2318" t="n">
        <v>0.9</v>
      </c>
      <c r="J2318" t="n">
        <v>0</v>
      </c>
      <c r="K2318" t="n">
        <v>0</v>
      </c>
      <c r="L2318" t="n">
        <v>0</v>
      </c>
      <c r="M2318" t="n">
        <v>0</v>
      </c>
      <c r="N2318" t="n">
        <v>0</v>
      </c>
      <c r="O2318" t="n">
        <v>0</v>
      </c>
      <c r="P2318" t="n">
        <v>0</v>
      </c>
      <c r="Q2318" t="n">
        <v>0</v>
      </c>
      <c r="R2318" t="n">
        <v>0</v>
      </c>
      <c r="S2318" t="n">
        <v>0</v>
      </c>
      <c r="T2318" t="n">
        <v>0</v>
      </c>
      <c r="U2318" t="n">
        <v>0</v>
      </c>
      <c r="V2318" s="2" t="inlineStr"/>
    </row>
    <row r="2319" ht="15" customHeight="1">
      <c r="A2319" t="inlineStr">
        <is>
          <t>A 944-2024</t>
        </is>
      </c>
      <c r="B2319" t="inlineStr">
        <is>
          <t>avverkningsanmälan</t>
        </is>
      </c>
      <c r="C2319" t="inlineStr">
        <is>
          <t>Föryngringsavverkning</t>
        </is>
      </c>
      <c r="D2319" s="1" t="n">
        <v>45301</v>
      </c>
      <c r="E2319" s="1" t="n">
        <v>46323</v>
      </c>
      <c r="F2319" t="inlineStr">
        <is>
          <t>KALMAR LÄN</t>
        </is>
      </c>
      <c r="G2319" t="inlineStr">
        <is>
          <t>VÄSTERVIK</t>
        </is>
      </c>
      <c r="I2319" t="n">
        <v>2.2</v>
      </c>
      <c r="J2319" t="n">
        <v>0</v>
      </c>
      <c r="K2319" t="n">
        <v>0</v>
      </c>
      <c r="L2319" t="n">
        <v>0</v>
      </c>
      <c r="M2319" t="n">
        <v>0</v>
      </c>
      <c r="N2319" t="n">
        <v>0</v>
      </c>
      <c r="O2319" t="n">
        <v>0</v>
      </c>
      <c r="P2319" t="n">
        <v>0</v>
      </c>
      <c r="Q2319" t="n">
        <v>0</v>
      </c>
      <c r="R2319" t="n">
        <v>0</v>
      </c>
      <c r="S2319" t="n">
        <v>0</v>
      </c>
      <c r="T2319" t="n">
        <v>0</v>
      </c>
      <c r="U2319" t="n">
        <v>0</v>
      </c>
      <c r="V2319" s="2" t="inlineStr"/>
    </row>
    <row r="2320" ht="15" customHeight="1">
      <c r="A2320" t="inlineStr">
        <is>
          <t>A 15913-2025</t>
        </is>
      </c>
      <c r="B2320" t="inlineStr">
        <is>
          <t>avverkningsanmälan</t>
        </is>
      </c>
      <c r="C2320" t="inlineStr">
        <is>
          <t>Föryngringsavverkning</t>
        </is>
      </c>
      <c r="D2320" s="1" t="n">
        <v>45749</v>
      </c>
      <c r="E2320" s="1" t="n">
        <v>46323</v>
      </c>
      <c r="F2320" t="inlineStr">
        <is>
          <t>KALMAR LÄN</t>
        </is>
      </c>
      <c r="G2320" t="inlineStr">
        <is>
          <t>EMMABODA</t>
        </is>
      </c>
      <c r="I2320" t="n">
        <v>2.6</v>
      </c>
      <c r="J2320" t="n">
        <v>0</v>
      </c>
      <c r="K2320" t="n">
        <v>0</v>
      </c>
      <c r="L2320" t="n">
        <v>0</v>
      </c>
      <c r="M2320" t="n">
        <v>0</v>
      </c>
      <c r="N2320" t="n">
        <v>0</v>
      </c>
      <c r="O2320" t="n">
        <v>0</v>
      </c>
      <c r="P2320" t="n">
        <v>0</v>
      </c>
      <c r="Q2320" t="n">
        <v>0</v>
      </c>
      <c r="R2320" t="n">
        <v>0</v>
      </c>
      <c r="S2320" t="n">
        <v>0</v>
      </c>
      <c r="T2320" t="n">
        <v>0</v>
      </c>
      <c r="U2320" t="n">
        <v>0</v>
      </c>
      <c r="V2320" s="2" t="inlineStr"/>
    </row>
    <row r="2321" ht="15" customHeight="1">
      <c r="A2321" t="inlineStr">
        <is>
          <t>A 946-2024</t>
        </is>
      </c>
      <c r="B2321" t="inlineStr">
        <is>
          <t>avverkningsanmälan</t>
        </is>
      </c>
      <c r="C2321" t="inlineStr">
        <is>
          <t>Föryngringsavverkning</t>
        </is>
      </c>
      <c r="D2321" s="1" t="n">
        <v>45301</v>
      </c>
      <c r="E2321" s="1" t="n">
        <v>46323</v>
      </c>
      <c r="F2321" t="inlineStr">
        <is>
          <t>KALMAR LÄN</t>
        </is>
      </c>
      <c r="G2321" t="inlineStr">
        <is>
          <t>VÄSTERVIK</t>
        </is>
      </c>
      <c r="I2321" t="n">
        <v>1</v>
      </c>
      <c r="J2321" t="n">
        <v>0</v>
      </c>
      <c r="K2321" t="n">
        <v>0</v>
      </c>
      <c r="L2321" t="n">
        <v>0</v>
      </c>
      <c r="M2321" t="n">
        <v>0</v>
      </c>
      <c r="N2321" t="n">
        <v>0</v>
      </c>
      <c r="O2321" t="n">
        <v>0</v>
      </c>
      <c r="P2321" t="n">
        <v>0</v>
      </c>
      <c r="Q2321" t="n">
        <v>0</v>
      </c>
      <c r="R2321" t="n">
        <v>0</v>
      </c>
      <c r="S2321" t="n">
        <v>0</v>
      </c>
      <c r="T2321" t="n">
        <v>0</v>
      </c>
      <c r="U2321" t="n">
        <v>0</v>
      </c>
      <c r="V2321" s="2" t="inlineStr"/>
    </row>
    <row r="2322" ht="15" customHeight="1">
      <c r="A2322" t="inlineStr">
        <is>
          <t>A 16890-2025</t>
        </is>
      </c>
      <c r="B2322" t="inlineStr">
        <is>
          <t>avverkningsanmälan</t>
        </is>
      </c>
      <c r="C2322" t="inlineStr">
        <is>
          <t>Avverkning för att bevara och utveckla /försöksver</t>
        </is>
      </c>
      <c r="D2322" s="1" t="n">
        <v>45755</v>
      </c>
      <c r="E2322" s="1" t="n">
        <v>46323</v>
      </c>
      <c r="F2322" t="inlineStr">
        <is>
          <t>KALMAR LÄN</t>
        </is>
      </c>
      <c r="G2322" t="inlineStr">
        <is>
          <t>HULTSFRED</t>
        </is>
      </c>
      <c r="I2322" t="n">
        <v>2.2</v>
      </c>
      <c r="J2322" t="n">
        <v>0</v>
      </c>
      <c r="K2322" t="n">
        <v>0</v>
      </c>
      <c r="L2322" t="n">
        <v>0</v>
      </c>
      <c r="M2322" t="n">
        <v>0</v>
      </c>
      <c r="N2322" t="n">
        <v>0</v>
      </c>
      <c r="O2322" t="n">
        <v>0</v>
      </c>
      <c r="P2322" t="n">
        <v>0</v>
      </c>
      <c r="Q2322" t="n">
        <v>0</v>
      </c>
      <c r="R2322" t="n">
        <v>0</v>
      </c>
      <c r="S2322" t="n">
        <v>0</v>
      </c>
      <c r="T2322" t="n">
        <v>0</v>
      </c>
      <c r="U2322" t="n">
        <v>0</v>
      </c>
      <c r="V2322" s="2" t="inlineStr"/>
    </row>
    <row r="2323" ht="15" customHeight="1">
      <c r="A2323" t="inlineStr">
        <is>
          <t>A 10966-2023</t>
        </is>
      </c>
      <c r="B2323" t="inlineStr">
        <is>
          <t>avverkningsanmälan</t>
        </is>
      </c>
      <c r="C2323" t="inlineStr">
        <is>
          <t>Föryngringsavverkning</t>
        </is>
      </c>
      <c r="D2323" s="1" t="n">
        <v>44991</v>
      </c>
      <c r="E2323" s="1" t="n">
        <v>46323</v>
      </c>
      <c r="F2323" t="inlineStr">
        <is>
          <t>KALMAR LÄN</t>
        </is>
      </c>
      <c r="G2323" t="inlineStr">
        <is>
          <t>HULTSFRED</t>
        </is>
      </c>
      <c r="I2323" t="n">
        <v>0.7</v>
      </c>
      <c r="J2323" t="n">
        <v>0</v>
      </c>
      <c r="K2323" t="n">
        <v>0</v>
      </c>
      <c r="L2323" t="n">
        <v>0</v>
      </c>
      <c r="M2323" t="n">
        <v>0</v>
      </c>
      <c r="N2323" t="n">
        <v>0</v>
      </c>
      <c r="O2323" t="n">
        <v>0</v>
      </c>
      <c r="P2323" t="n">
        <v>0</v>
      </c>
      <c r="Q2323" t="n">
        <v>0</v>
      </c>
      <c r="R2323" t="n">
        <v>0</v>
      </c>
      <c r="S2323" t="n">
        <v>0</v>
      </c>
      <c r="T2323" t="n">
        <v>0</v>
      </c>
      <c r="U2323" t="n">
        <v>0</v>
      </c>
      <c r="V2323" s="2" t="inlineStr"/>
    </row>
    <row r="2324" ht="15" customHeight="1">
      <c r="A2324" t="inlineStr">
        <is>
          <t>A 27340-2023</t>
        </is>
      </c>
      <c r="B2324" t="inlineStr">
        <is>
          <t>avverkningsanmälan</t>
        </is>
      </c>
      <c r="C2324" t="inlineStr">
        <is>
          <t>Föryngringsavverkning</t>
        </is>
      </c>
      <c r="D2324" s="1" t="n">
        <v>45096</v>
      </c>
      <c r="E2324" s="1" t="n">
        <v>46323</v>
      </c>
      <c r="F2324" t="inlineStr">
        <is>
          <t>KALMAR LÄN</t>
        </is>
      </c>
      <c r="G2324" t="inlineStr">
        <is>
          <t>NYBRO</t>
        </is>
      </c>
      <c r="I2324" t="n">
        <v>1.1</v>
      </c>
      <c r="J2324" t="n">
        <v>0</v>
      </c>
      <c r="K2324" t="n">
        <v>0</v>
      </c>
      <c r="L2324" t="n">
        <v>0</v>
      </c>
      <c r="M2324" t="n">
        <v>0</v>
      </c>
      <c r="N2324" t="n">
        <v>0</v>
      </c>
      <c r="O2324" t="n">
        <v>0</v>
      </c>
      <c r="P2324" t="n">
        <v>0</v>
      </c>
      <c r="Q2324" t="n">
        <v>0</v>
      </c>
      <c r="R2324" t="n">
        <v>0</v>
      </c>
      <c r="S2324" t="n">
        <v>0</v>
      </c>
      <c r="T2324" t="n">
        <v>0</v>
      </c>
      <c r="U2324" t="n">
        <v>0</v>
      </c>
      <c r="V2324" s="2" t="inlineStr"/>
    </row>
    <row r="2325" ht="15" customHeight="1">
      <c r="A2325" t="inlineStr">
        <is>
          <t>A 8150-2022</t>
        </is>
      </c>
      <c r="B2325" t="inlineStr">
        <is>
          <t>avverkningsanmälan</t>
        </is>
      </c>
      <c r="C2325" t="inlineStr">
        <is>
          <t>Föryngringsavverkning</t>
        </is>
      </c>
      <c r="D2325" s="1" t="n">
        <v>44609</v>
      </c>
      <c r="E2325" s="1" t="n">
        <v>46323</v>
      </c>
      <c r="F2325" t="inlineStr">
        <is>
          <t>KALMAR LÄN</t>
        </is>
      </c>
      <c r="G2325" t="inlineStr">
        <is>
          <t>NYBRO</t>
        </is>
      </c>
      <c r="I2325" t="n">
        <v>2.1</v>
      </c>
      <c r="J2325" t="n">
        <v>0</v>
      </c>
      <c r="K2325" t="n">
        <v>0</v>
      </c>
      <c r="L2325" t="n">
        <v>0</v>
      </c>
      <c r="M2325" t="n">
        <v>0</v>
      </c>
      <c r="N2325" t="n">
        <v>0</v>
      </c>
      <c r="O2325" t="n">
        <v>0</v>
      </c>
      <c r="P2325" t="n">
        <v>0</v>
      </c>
      <c r="Q2325" t="n">
        <v>0</v>
      </c>
      <c r="R2325" t="n">
        <v>0</v>
      </c>
      <c r="S2325" t="n">
        <v>0</v>
      </c>
      <c r="T2325" t="n">
        <v>0</v>
      </c>
      <c r="U2325" t="n">
        <v>0</v>
      </c>
      <c r="V2325" s="2" t="inlineStr"/>
    </row>
    <row r="2326" ht="15" customHeight="1">
      <c r="A2326" t="inlineStr">
        <is>
          <t>A 39034-2025</t>
        </is>
      </c>
      <c r="B2326" t="inlineStr">
        <is>
          <t>avverkningsanmälan</t>
        </is>
      </c>
      <c r="C2326" t="inlineStr">
        <is>
          <t>Föryngringsavverkning</t>
        </is>
      </c>
      <c r="D2326" s="1" t="n">
        <v>45888</v>
      </c>
      <c r="E2326" s="1" t="n">
        <v>46323</v>
      </c>
      <c r="F2326" t="inlineStr">
        <is>
          <t>KALMAR LÄN</t>
        </is>
      </c>
      <c r="G2326" t="inlineStr">
        <is>
          <t>NYBRO</t>
        </is>
      </c>
      <c r="I2326" t="n">
        <v>7.1</v>
      </c>
      <c r="J2326" t="n">
        <v>0</v>
      </c>
      <c r="K2326" t="n">
        <v>0</v>
      </c>
      <c r="L2326" t="n">
        <v>0</v>
      </c>
      <c r="M2326" t="n">
        <v>0</v>
      </c>
      <c r="N2326" t="n">
        <v>0</v>
      </c>
      <c r="O2326" t="n">
        <v>0</v>
      </c>
      <c r="P2326" t="n">
        <v>0</v>
      </c>
      <c r="Q2326" t="n">
        <v>0</v>
      </c>
      <c r="R2326" t="n">
        <v>0</v>
      </c>
      <c r="S2326" t="n">
        <v>0</v>
      </c>
      <c r="T2326" t="n">
        <v>0</v>
      </c>
      <c r="U2326" t="n">
        <v>0</v>
      </c>
      <c r="V2326" s="2" t="inlineStr"/>
    </row>
    <row r="2327" ht="15" customHeight="1">
      <c r="A2327" t="inlineStr">
        <is>
          <t>A 21758-2024</t>
        </is>
      </c>
      <c r="B2327" t="inlineStr">
        <is>
          <t>avverkningsanmälan</t>
        </is>
      </c>
      <c r="C2327" t="inlineStr">
        <is>
          <t>Föryngringsavverkning</t>
        </is>
      </c>
      <c r="D2327" s="1" t="n">
        <v>45442</v>
      </c>
      <c r="E2327" s="1" t="n">
        <v>46323</v>
      </c>
      <c r="F2327" t="inlineStr">
        <is>
          <t>KALMAR LÄN</t>
        </is>
      </c>
      <c r="G2327" t="inlineStr">
        <is>
          <t>HULTSFRED</t>
        </is>
      </c>
      <c r="I2327" t="n">
        <v>3.4</v>
      </c>
      <c r="J2327" t="n">
        <v>0</v>
      </c>
      <c r="K2327" t="n">
        <v>0</v>
      </c>
      <c r="L2327" t="n">
        <v>0</v>
      </c>
      <c r="M2327" t="n">
        <v>0</v>
      </c>
      <c r="N2327" t="n">
        <v>0</v>
      </c>
      <c r="O2327" t="n">
        <v>0</v>
      </c>
      <c r="P2327" t="n">
        <v>0</v>
      </c>
      <c r="Q2327" t="n">
        <v>0</v>
      </c>
      <c r="R2327" t="n">
        <v>0</v>
      </c>
      <c r="S2327" t="n">
        <v>0</v>
      </c>
      <c r="T2327" t="n">
        <v>0</v>
      </c>
      <c r="U2327" t="n">
        <v>0</v>
      </c>
      <c r="V2327" s="2" t="inlineStr"/>
    </row>
    <row r="2328" ht="15" customHeight="1">
      <c r="A2328" t="inlineStr">
        <is>
          <t>A 52691-2023</t>
        </is>
      </c>
      <c r="B2328" t="inlineStr">
        <is>
          <t>avverkningsanmälan</t>
        </is>
      </c>
      <c r="C2328" t="inlineStr">
        <is>
          <t>Föryngringsavverkning</t>
        </is>
      </c>
      <c r="D2328" s="1" t="n">
        <v>45225</v>
      </c>
      <c r="E2328" s="1" t="n">
        <v>46323</v>
      </c>
      <c r="F2328" t="inlineStr">
        <is>
          <t>KALMAR LÄN</t>
        </is>
      </c>
      <c r="G2328" t="inlineStr">
        <is>
          <t>HULTSFRED</t>
        </is>
      </c>
      <c r="I2328" t="n">
        <v>0.7</v>
      </c>
      <c r="J2328" t="n">
        <v>0</v>
      </c>
      <c r="K2328" t="n">
        <v>0</v>
      </c>
      <c r="L2328" t="n">
        <v>0</v>
      </c>
      <c r="M2328" t="n">
        <v>0</v>
      </c>
      <c r="N2328" t="n">
        <v>0</v>
      </c>
      <c r="O2328" t="n">
        <v>0</v>
      </c>
      <c r="P2328" t="n">
        <v>0</v>
      </c>
      <c r="Q2328" t="n">
        <v>0</v>
      </c>
      <c r="R2328" t="n">
        <v>0</v>
      </c>
      <c r="S2328" t="n">
        <v>0</v>
      </c>
      <c r="T2328" t="n">
        <v>0</v>
      </c>
      <c r="U2328" t="n">
        <v>0</v>
      </c>
      <c r="V2328" s="2" t="inlineStr"/>
    </row>
    <row r="2329" ht="15" customHeight="1">
      <c r="A2329" t="inlineStr">
        <is>
          <t>A 58357-2023</t>
        </is>
      </c>
      <c r="B2329" t="inlineStr">
        <is>
          <t>avverkningsanmälan</t>
        </is>
      </c>
      <c r="C2329" t="inlineStr">
        <is>
          <t>Föryngringsavverkning</t>
        </is>
      </c>
      <c r="D2329" s="1" t="n">
        <v>45250</v>
      </c>
      <c r="E2329" s="1" t="n">
        <v>46323</v>
      </c>
      <c r="F2329" t="inlineStr">
        <is>
          <t>KALMAR LÄN</t>
        </is>
      </c>
      <c r="G2329" t="inlineStr">
        <is>
          <t>KALMAR</t>
        </is>
      </c>
      <c r="I2329" t="n">
        <v>0.5</v>
      </c>
      <c r="J2329" t="n">
        <v>0</v>
      </c>
      <c r="K2329" t="n">
        <v>0</v>
      </c>
      <c r="L2329" t="n">
        <v>0</v>
      </c>
      <c r="M2329" t="n">
        <v>0</v>
      </c>
      <c r="N2329" t="n">
        <v>0</v>
      </c>
      <c r="O2329" t="n">
        <v>0</v>
      </c>
      <c r="P2329" t="n">
        <v>0</v>
      </c>
      <c r="Q2329" t="n">
        <v>0</v>
      </c>
      <c r="R2329" t="n">
        <v>0</v>
      </c>
      <c r="S2329" t="n">
        <v>0</v>
      </c>
      <c r="T2329" t="n">
        <v>0</v>
      </c>
      <c r="U2329" t="n">
        <v>0</v>
      </c>
      <c r="V2329" s="2" t="inlineStr"/>
    </row>
    <row r="2330" ht="15" customHeight="1">
      <c r="A2330" t="inlineStr">
        <is>
          <t>A 32632-2025</t>
        </is>
      </c>
      <c r="B2330" t="inlineStr">
        <is>
          <t>avverkningsanmälan</t>
        </is>
      </c>
      <c r="C2330" t="inlineStr">
        <is>
          <t>Föryngringsavverkning</t>
        </is>
      </c>
      <c r="D2330" s="1" t="n">
        <v>45838</v>
      </c>
      <c r="E2330" s="1" t="n">
        <v>46323</v>
      </c>
      <c r="F2330" t="inlineStr">
        <is>
          <t>KALMAR LÄN</t>
        </is>
      </c>
      <c r="G2330" t="inlineStr">
        <is>
          <t>HÖGSBY</t>
        </is>
      </c>
      <c r="I2330" t="n">
        <v>0.7</v>
      </c>
      <c r="J2330" t="n">
        <v>0</v>
      </c>
      <c r="K2330" t="n">
        <v>0</v>
      </c>
      <c r="L2330" t="n">
        <v>0</v>
      </c>
      <c r="M2330" t="n">
        <v>0</v>
      </c>
      <c r="N2330" t="n">
        <v>0</v>
      </c>
      <c r="O2330" t="n">
        <v>0</v>
      </c>
      <c r="P2330" t="n">
        <v>0</v>
      </c>
      <c r="Q2330" t="n">
        <v>0</v>
      </c>
      <c r="R2330" t="n">
        <v>0</v>
      </c>
      <c r="S2330" t="n">
        <v>0</v>
      </c>
      <c r="T2330" t="n">
        <v>0</v>
      </c>
      <c r="U2330" t="n">
        <v>0</v>
      </c>
      <c r="V2330" s="2" t="inlineStr"/>
    </row>
    <row r="2331" ht="15" customHeight="1">
      <c r="A2331" t="inlineStr">
        <is>
          <t>A 24002-2025</t>
        </is>
      </c>
      <c r="B2331" t="inlineStr">
        <is>
          <t>avverkningsanmälan</t>
        </is>
      </c>
      <c r="C2331" t="inlineStr">
        <is>
          <t>Föryngringsavverkning</t>
        </is>
      </c>
      <c r="D2331" s="1" t="n">
        <v>45796</v>
      </c>
      <c r="E2331" s="1" t="n">
        <v>46323</v>
      </c>
      <c r="F2331" t="inlineStr">
        <is>
          <t>KALMAR LÄN</t>
        </is>
      </c>
      <c r="G2331" t="inlineStr">
        <is>
          <t>KALMAR</t>
        </is>
      </c>
      <c r="I2331" t="n">
        <v>1.1</v>
      </c>
      <c r="J2331" t="n">
        <v>0</v>
      </c>
      <c r="K2331" t="n">
        <v>0</v>
      </c>
      <c r="L2331" t="n">
        <v>0</v>
      </c>
      <c r="M2331" t="n">
        <v>0</v>
      </c>
      <c r="N2331" t="n">
        <v>0</v>
      </c>
      <c r="O2331" t="n">
        <v>0</v>
      </c>
      <c r="P2331" t="n">
        <v>0</v>
      </c>
      <c r="Q2331" t="n">
        <v>0</v>
      </c>
      <c r="R2331" t="n">
        <v>0</v>
      </c>
      <c r="S2331" t="n">
        <v>0</v>
      </c>
      <c r="T2331" t="n">
        <v>0</v>
      </c>
      <c r="U2331" t="n">
        <v>0</v>
      </c>
      <c r="V2331" s="2" t="inlineStr"/>
    </row>
    <row r="2332" ht="15" customHeight="1">
      <c r="A2332" t="inlineStr">
        <is>
          <t>A 56895-2024</t>
        </is>
      </c>
      <c r="B2332" t="inlineStr">
        <is>
          <t>avverkningsanmälan</t>
        </is>
      </c>
      <c r="C2332" t="inlineStr">
        <is>
          <t>Föryngringsavverkning</t>
        </is>
      </c>
      <c r="D2332" s="1" t="n">
        <v>45628</v>
      </c>
      <c r="E2332" s="1" t="n">
        <v>46323</v>
      </c>
      <c r="F2332" t="inlineStr">
        <is>
          <t>KALMAR LÄN</t>
        </is>
      </c>
      <c r="G2332" t="inlineStr">
        <is>
          <t>NYBRO</t>
        </is>
      </c>
      <c r="I2332" t="n">
        <v>2.3</v>
      </c>
      <c r="J2332" t="n">
        <v>0</v>
      </c>
      <c r="K2332" t="n">
        <v>0</v>
      </c>
      <c r="L2332" t="n">
        <v>0</v>
      </c>
      <c r="M2332" t="n">
        <v>0</v>
      </c>
      <c r="N2332" t="n">
        <v>0</v>
      </c>
      <c r="O2332" t="n">
        <v>0</v>
      </c>
      <c r="P2332" t="n">
        <v>0</v>
      </c>
      <c r="Q2332" t="n">
        <v>0</v>
      </c>
      <c r="R2332" t="n">
        <v>0</v>
      </c>
      <c r="S2332" t="n">
        <v>0</v>
      </c>
      <c r="T2332" t="n">
        <v>0</v>
      </c>
      <c r="U2332" t="n">
        <v>0</v>
      </c>
      <c r="V2332" s="2" t="inlineStr"/>
    </row>
    <row r="2333" ht="15" customHeight="1">
      <c r="A2333" t="inlineStr">
        <is>
          <t>A 22825-2025</t>
        </is>
      </c>
      <c r="B2333" t="inlineStr">
        <is>
          <t>avverkningsanmälan</t>
        </is>
      </c>
      <c r="C2333" t="inlineStr">
        <is>
          <t>Föryngringsavverkning</t>
        </is>
      </c>
      <c r="D2333" s="1" t="n">
        <v>45789</v>
      </c>
      <c r="E2333" s="1" t="n">
        <v>46323</v>
      </c>
      <c r="F2333" t="inlineStr">
        <is>
          <t>KALMAR LÄN</t>
        </is>
      </c>
      <c r="G2333" t="inlineStr">
        <is>
          <t>KALMAR</t>
        </is>
      </c>
      <c r="I2333" t="n">
        <v>3.4</v>
      </c>
      <c r="J2333" t="n">
        <v>0</v>
      </c>
      <c r="K2333" t="n">
        <v>0</v>
      </c>
      <c r="L2333" t="n">
        <v>0</v>
      </c>
      <c r="M2333" t="n">
        <v>0</v>
      </c>
      <c r="N2333" t="n">
        <v>0</v>
      </c>
      <c r="O2333" t="n">
        <v>0</v>
      </c>
      <c r="P2333" t="n">
        <v>0</v>
      </c>
      <c r="Q2333" t="n">
        <v>0</v>
      </c>
      <c r="R2333" t="n">
        <v>0</v>
      </c>
      <c r="S2333" t="n">
        <v>0</v>
      </c>
      <c r="T2333" t="n">
        <v>0</v>
      </c>
      <c r="U2333" t="n">
        <v>0</v>
      </c>
      <c r="V2333" s="2" t="inlineStr"/>
    </row>
    <row r="2334" ht="15" customHeight="1">
      <c r="A2334" t="inlineStr">
        <is>
          <t>A 10409-2023</t>
        </is>
      </c>
      <c r="B2334" t="inlineStr">
        <is>
          <t>avverkningsanmälan</t>
        </is>
      </c>
      <c r="C2334" t="inlineStr">
        <is>
          <t>Föryngringsavverkning</t>
        </is>
      </c>
      <c r="D2334" s="1" t="n">
        <v>44987</v>
      </c>
      <c r="E2334" s="1" t="n">
        <v>46323</v>
      </c>
      <c r="F2334" t="inlineStr">
        <is>
          <t>KALMAR LÄN</t>
        </is>
      </c>
      <c r="G2334" t="inlineStr">
        <is>
          <t>HÖGSBY</t>
        </is>
      </c>
      <c r="I2334" t="n">
        <v>2.6</v>
      </c>
      <c r="J2334" t="n">
        <v>0</v>
      </c>
      <c r="K2334" t="n">
        <v>0</v>
      </c>
      <c r="L2334" t="n">
        <v>0</v>
      </c>
      <c r="M2334" t="n">
        <v>0</v>
      </c>
      <c r="N2334" t="n">
        <v>0</v>
      </c>
      <c r="O2334" t="n">
        <v>0</v>
      </c>
      <c r="P2334" t="n">
        <v>0</v>
      </c>
      <c r="Q2334" t="n">
        <v>0</v>
      </c>
      <c r="R2334" t="n">
        <v>0</v>
      </c>
      <c r="S2334" t="n">
        <v>0</v>
      </c>
      <c r="T2334" t="n">
        <v>0</v>
      </c>
      <c r="U2334" t="n">
        <v>0</v>
      </c>
      <c r="V2334" s="2" t="inlineStr"/>
    </row>
    <row r="2335" ht="15" customHeight="1">
      <c r="A2335" t="inlineStr">
        <is>
          <t>A 22-2022</t>
        </is>
      </c>
      <c r="B2335" t="inlineStr">
        <is>
          <t>avverkningsanmälan</t>
        </is>
      </c>
      <c r="C2335" t="inlineStr">
        <is>
          <t>Föryngringsavverkning</t>
        </is>
      </c>
      <c r="D2335" s="1" t="n">
        <v>44564</v>
      </c>
      <c r="E2335" s="1" t="n">
        <v>46323</v>
      </c>
      <c r="F2335" t="inlineStr">
        <is>
          <t>KALMAR LÄN</t>
        </is>
      </c>
      <c r="G2335" t="inlineStr">
        <is>
          <t>KALMAR</t>
        </is>
      </c>
      <c r="I2335" t="n">
        <v>2.2</v>
      </c>
      <c r="J2335" t="n">
        <v>0</v>
      </c>
      <c r="K2335" t="n">
        <v>0</v>
      </c>
      <c r="L2335" t="n">
        <v>0</v>
      </c>
      <c r="M2335" t="n">
        <v>0</v>
      </c>
      <c r="N2335" t="n">
        <v>0</v>
      </c>
      <c r="O2335" t="n">
        <v>0</v>
      </c>
      <c r="P2335" t="n">
        <v>0</v>
      </c>
      <c r="Q2335" t="n">
        <v>0</v>
      </c>
      <c r="R2335" t="n">
        <v>0</v>
      </c>
      <c r="S2335" t="n">
        <v>0</v>
      </c>
      <c r="T2335" t="n">
        <v>0</v>
      </c>
      <c r="U2335" t="n">
        <v>0</v>
      </c>
      <c r="V2335" s="2" t="inlineStr"/>
    </row>
    <row r="2336" ht="15" customHeight="1">
      <c r="A2336" t="inlineStr">
        <is>
          <t>A 22150-2024</t>
        </is>
      </c>
      <c r="B2336" t="inlineStr">
        <is>
          <t>avverkningsanmälan</t>
        </is>
      </c>
      <c r="C2336" t="inlineStr">
        <is>
          <t>Föryngringsavverkning</t>
        </is>
      </c>
      <c r="D2336" s="1" t="n">
        <v>45445</v>
      </c>
      <c r="E2336" s="1" t="n">
        <v>46323</v>
      </c>
      <c r="F2336" t="inlineStr">
        <is>
          <t>KALMAR LÄN</t>
        </is>
      </c>
      <c r="G2336" t="inlineStr">
        <is>
          <t>EMMABODA</t>
        </is>
      </c>
      <c r="I2336" t="n">
        <v>1.2</v>
      </c>
      <c r="J2336" t="n">
        <v>0</v>
      </c>
      <c r="K2336" t="n">
        <v>0</v>
      </c>
      <c r="L2336" t="n">
        <v>0</v>
      </c>
      <c r="M2336" t="n">
        <v>0</v>
      </c>
      <c r="N2336" t="n">
        <v>0</v>
      </c>
      <c r="O2336" t="n">
        <v>0</v>
      </c>
      <c r="P2336" t="n">
        <v>0</v>
      </c>
      <c r="Q2336" t="n">
        <v>0</v>
      </c>
      <c r="R2336" t="n">
        <v>0</v>
      </c>
      <c r="S2336" t="n">
        <v>0</v>
      </c>
      <c r="T2336" t="n">
        <v>0</v>
      </c>
      <c r="U2336" t="n">
        <v>0</v>
      </c>
      <c r="V2336" s="2" t="inlineStr"/>
    </row>
    <row r="2337" ht="15" customHeight="1">
      <c r="A2337" t="inlineStr">
        <is>
          <t>A 26442-2024</t>
        </is>
      </c>
      <c r="B2337" t="inlineStr">
        <is>
          <t>avverkningsanmälan</t>
        </is>
      </c>
      <c r="C2337" t="inlineStr">
        <is>
          <t>Föryngringsavverkning</t>
        </is>
      </c>
      <c r="D2337" s="1" t="n">
        <v>45469</v>
      </c>
      <c r="E2337" s="1" t="n">
        <v>46323</v>
      </c>
      <c r="F2337" t="inlineStr">
        <is>
          <t>KALMAR LÄN</t>
        </is>
      </c>
      <c r="G2337" t="inlineStr">
        <is>
          <t>NYBRO</t>
        </is>
      </c>
      <c r="I2337" t="n">
        <v>1.9</v>
      </c>
      <c r="J2337" t="n">
        <v>0</v>
      </c>
      <c r="K2337" t="n">
        <v>0</v>
      </c>
      <c r="L2337" t="n">
        <v>0</v>
      </c>
      <c r="M2337" t="n">
        <v>0</v>
      </c>
      <c r="N2337" t="n">
        <v>0</v>
      </c>
      <c r="O2337" t="n">
        <v>0</v>
      </c>
      <c r="P2337" t="n">
        <v>0</v>
      </c>
      <c r="Q2337" t="n">
        <v>0</v>
      </c>
      <c r="R2337" t="n">
        <v>0</v>
      </c>
      <c r="S2337" t="n">
        <v>0</v>
      </c>
      <c r="T2337" t="n">
        <v>0</v>
      </c>
      <c r="U2337" t="n">
        <v>0</v>
      </c>
      <c r="V2337" s="2" t="inlineStr"/>
    </row>
    <row r="2338" ht="15" customHeight="1">
      <c r="A2338" t="inlineStr">
        <is>
          <t>A 47063-2022</t>
        </is>
      </c>
      <c r="B2338" t="inlineStr">
        <is>
          <t>avverkningsanmälan</t>
        </is>
      </c>
      <c r="C2338" t="inlineStr">
        <is>
          <t>Föryngringsavverkning</t>
        </is>
      </c>
      <c r="D2338" s="1" t="n">
        <v>44852</v>
      </c>
      <c r="E2338" s="1" t="n">
        <v>46323</v>
      </c>
      <c r="F2338" t="inlineStr">
        <is>
          <t>KALMAR LÄN</t>
        </is>
      </c>
      <c r="G2338" t="inlineStr">
        <is>
          <t>VIMMERBY</t>
        </is>
      </c>
      <c r="I2338" t="n">
        <v>2.5</v>
      </c>
      <c r="J2338" t="n">
        <v>0</v>
      </c>
      <c r="K2338" t="n">
        <v>0</v>
      </c>
      <c r="L2338" t="n">
        <v>0</v>
      </c>
      <c r="M2338" t="n">
        <v>0</v>
      </c>
      <c r="N2338" t="n">
        <v>0</v>
      </c>
      <c r="O2338" t="n">
        <v>0</v>
      </c>
      <c r="P2338" t="n">
        <v>0</v>
      </c>
      <c r="Q2338" t="n">
        <v>0</v>
      </c>
      <c r="R2338" t="n">
        <v>0</v>
      </c>
      <c r="S2338" t="n">
        <v>0</v>
      </c>
      <c r="T2338" t="n">
        <v>0</v>
      </c>
      <c r="U2338" t="n">
        <v>0</v>
      </c>
      <c r="V2338" s="2" t="inlineStr"/>
    </row>
    <row r="2339" ht="15" customHeight="1">
      <c r="A2339" t="inlineStr">
        <is>
          <t>A 32937-2023</t>
        </is>
      </c>
      <c r="B2339" t="inlineStr">
        <is>
          <t>avverkningsanmälan</t>
        </is>
      </c>
      <c r="C2339" t="inlineStr">
        <is>
          <t>Föryngringsavverkning</t>
        </is>
      </c>
      <c r="D2339" s="1" t="n">
        <v>45113</v>
      </c>
      <c r="E2339" s="1" t="n">
        <v>46323</v>
      </c>
      <c r="F2339" t="inlineStr">
        <is>
          <t>KALMAR LÄN</t>
        </is>
      </c>
      <c r="G2339" t="inlineStr">
        <is>
          <t>OSKARSHAMN</t>
        </is>
      </c>
      <c r="I2339" t="n">
        <v>0.6</v>
      </c>
      <c r="J2339" t="n">
        <v>0</v>
      </c>
      <c r="K2339" t="n">
        <v>0</v>
      </c>
      <c r="L2339" t="n">
        <v>0</v>
      </c>
      <c r="M2339" t="n">
        <v>0</v>
      </c>
      <c r="N2339" t="n">
        <v>0</v>
      </c>
      <c r="O2339" t="n">
        <v>0</v>
      </c>
      <c r="P2339" t="n">
        <v>0</v>
      </c>
      <c r="Q2339" t="n">
        <v>0</v>
      </c>
      <c r="R2339" t="n">
        <v>0</v>
      </c>
      <c r="S2339" t="n">
        <v>0</v>
      </c>
      <c r="T2339" t="n">
        <v>0</v>
      </c>
      <c r="U2339" t="n">
        <v>0</v>
      </c>
      <c r="V2339" s="2" t="inlineStr"/>
    </row>
    <row r="2340" ht="15" customHeight="1">
      <c r="A2340" t="inlineStr">
        <is>
          <t>A 6892-2025</t>
        </is>
      </c>
      <c r="B2340" t="inlineStr">
        <is>
          <t>avverkningsanmälan</t>
        </is>
      </c>
      <c r="C2340" t="inlineStr">
        <is>
          <t>Föryngringsavverkning</t>
        </is>
      </c>
      <c r="D2340" s="1" t="n">
        <v>45701</v>
      </c>
      <c r="E2340" s="1" t="n">
        <v>46323</v>
      </c>
      <c r="F2340" t="inlineStr">
        <is>
          <t>KALMAR LÄN</t>
        </is>
      </c>
      <c r="G2340" t="inlineStr">
        <is>
          <t>OSKARSHAMN</t>
        </is>
      </c>
      <c r="I2340" t="n">
        <v>1.5</v>
      </c>
      <c r="J2340" t="n">
        <v>0</v>
      </c>
      <c r="K2340" t="n">
        <v>0</v>
      </c>
      <c r="L2340" t="n">
        <v>0</v>
      </c>
      <c r="M2340" t="n">
        <v>0</v>
      </c>
      <c r="N2340" t="n">
        <v>0</v>
      </c>
      <c r="O2340" t="n">
        <v>0</v>
      </c>
      <c r="P2340" t="n">
        <v>0</v>
      </c>
      <c r="Q2340" t="n">
        <v>0</v>
      </c>
      <c r="R2340" t="n">
        <v>0</v>
      </c>
      <c r="S2340" t="n">
        <v>0</v>
      </c>
      <c r="T2340" t="n">
        <v>0</v>
      </c>
      <c r="U2340" t="n">
        <v>0</v>
      </c>
      <c r="V2340" s="2" t="inlineStr"/>
    </row>
    <row r="2341" ht="15" customHeight="1">
      <c r="A2341" t="inlineStr">
        <is>
          <t>A 28728-2024</t>
        </is>
      </c>
      <c r="B2341" t="inlineStr">
        <is>
          <t>avverkningsanmälan</t>
        </is>
      </c>
      <c r="C2341" t="inlineStr">
        <is>
          <t>Föryngringsavverkning</t>
        </is>
      </c>
      <c r="D2341" s="1" t="n">
        <v>45478</v>
      </c>
      <c r="E2341" s="1" t="n">
        <v>46323</v>
      </c>
      <c r="F2341" t="inlineStr">
        <is>
          <t>KALMAR LÄN</t>
        </is>
      </c>
      <c r="G2341" t="inlineStr">
        <is>
          <t>NYBRO</t>
        </is>
      </c>
      <c r="I2341" t="n">
        <v>3.5</v>
      </c>
      <c r="J2341" t="n">
        <v>0</v>
      </c>
      <c r="K2341" t="n">
        <v>0</v>
      </c>
      <c r="L2341" t="n">
        <v>0</v>
      </c>
      <c r="M2341" t="n">
        <v>0</v>
      </c>
      <c r="N2341" t="n">
        <v>0</v>
      </c>
      <c r="O2341" t="n">
        <v>0</v>
      </c>
      <c r="P2341" t="n">
        <v>0</v>
      </c>
      <c r="Q2341" t="n">
        <v>0</v>
      </c>
      <c r="R2341" t="n">
        <v>0</v>
      </c>
      <c r="S2341" t="n">
        <v>0</v>
      </c>
      <c r="T2341" t="n">
        <v>0</v>
      </c>
      <c r="U2341" t="n">
        <v>0</v>
      </c>
      <c r="V2341" s="2" t="inlineStr"/>
    </row>
    <row r="2342" ht="15" customHeight="1">
      <c r="A2342" t="inlineStr">
        <is>
          <t>A 21942-2025</t>
        </is>
      </c>
      <c r="B2342" t="inlineStr">
        <is>
          <t>avverkningsanmälan</t>
        </is>
      </c>
      <c r="C2342" t="inlineStr">
        <is>
          <t>Föryngringsavverkning</t>
        </is>
      </c>
      <c r="D2342" s="1" t="n">
        <v>45784</v>
      </c>
      <c r="E2342" s="1" t="n">
        <v>46323</v>
      </c>
      <c r="F2342" t="inlineStr">
        <is>
          <t>KALMAR LÄN</t>
        </is>
      </c>
      <c r="G2342" t="inlineStr">
        <is>
          <t>OSKARSHAMN</t>
        </is>
      </c>
      <c r="I2342" t="n">
        <v>1</v>
      </c>
      <c r="J2342" t="n">
        <v>0</v>
      </c>
      <c r="K2342" t="n">
        <v>0</v>
      </c>
      <c r="L2342" t="n">
        <v>0</v>
      </c>
      <c r="M2342" t="n">
        <v>0</v>
      </c>
      <c r="N2342" t="n">
        <v>0</v>
      </c>
      <c r="O2342" t="n">
        <v>0</v>
      </c>
      <c r="P2342" t="n">
        <v>0</v>
      </c>
      <c r="Q2342" t="n">
        <v>0</v>
      </c>
      <c r="R2342" t="n">
        <v>0</v>
      </c>
      <c r="S2342" t="n">
        <v>0</v>
      </c>
      <c r="T2342" t="n">
        <v>0</v>
      </c>
      <c r="U2342" t="n">
        <v>0</v>
      </c>
      <c r="V2342" s="2" t="inlineStr"/>
    </row>
    <row r="2343" ht="15" customHeight="1">
      <c r="A2343" t="inlineStr">
        <is>
          <t>A 12819-2024</t>
        </is>
      </c>
      <c r="B2343" t="inlineStr">
        <is>
          <t>avverkningsanmälan</t>
        </is>
      </c>
      <c r="C2343" t="inlineStr">
        <is>
          <t>Föryngringsavverkning</t>
        </is>
      </c>
      <c r="D2343" s="1" t="n">
        <v>45384</v>
      </c>
      <c r="E2343" s="1" t="n">
        <v>46323</v>
      </c>
      <c r="F2343" t="inlineStr">
        <is>
          <t>KALMAR LÄN</t>
        </is>
      </c>
      <c r="G2343" t="inlineStr">
        <is>
          <t>VIMMERBY</t>
        </is>
      </c>
      <c r="I2343" t="n">
        <v>5.1</v>
      </c>
      <c r="J2343" t="n">
        <v>0</v>
      </c>
      <c r="K2343" t="n">
        <v>0</v>
      </c>
      <c r="L2343" t="n">
        <v>0</v>
      </c>
      <c r="M2343" t="n">
        <v>0</v>
      </c>
      <c r="N2343" t="n">
        <v>0</v>
      </c>
      <c r="O2343" t="n">
        <v>0</v>
      </c>
      <c r="P2343" t="n">
        <v>0</v>
      </c>
      <c r="Q2343" t="n">
        <v>0</v>
      </c>
      <c r="R2343" t="n">
        <v>0</v>
      </c>
      <c r="S2343" t="n">
        <v>0</v>
      </c>
      <c r="T2343" t="n">
        <v>0</v>
      </c>
      <c r="U2343" t="n">
        <v>0</v>
      </c>
      <c r="V2343" s="2" t="inlineStr"/>
    </row>
    <row r="2344" ht="15" customHeight="1">
      <c r="A2344" t="inlineStr">
        <is>
          <t>A 39458-2023</t>
        </is>
      </c>
      <c r="B2344" t="inlineStr">
        <is>
          <t>avverkningsanmälan</t>
        </is>
      </c>
      <c r="C2344" t="inlineStr">
        <is>
          <t>Föryngringsavverkning</t>
        </is>
      </c>
      <c r="D2344" s="1" t="n">
        <v>45166</v>
      </c>
      <c r="E2344" s="1" t="n">
        <v>46323</v>
      </c>
      <c r="F2344" t="inlineStr">
        <is>
          <t>KALMAR LÄN</t>
        </is>
      </c>
      <c r="G2344" t="inlineStr">
        <is>
          <t>NYBRO</t>
        </is>
      </c>
      <c r="I2344" t="n">
        <v>1.3</v>
      </c>
      <c r="J2344" t="n">
        <v>0</v>
      </c>
      <c r="K2344" t="n">
        <v>0</v>
      </c>
      <c r="L2344" t="n">
        <v>0</v>
      </c>
      <c r="M2344" t="n">
        <v>0</v>
      </c>
      <c r="N2344" t="n">
        <v>0</v>
      </c>
      <c r="O2344" t="n">
        <v>0</v>
      </c>
      <c r="P2344" t="n">
        <v>0</v>
      </c>
      <c r="Q2344" t="n">
        <v>0</v>
      </c>
      <c r="R2344" t="n">
        <v>0</v>
      </c>
      <c r="S2344" t="n">
        <v>0</v>
      </c>
      <c r="T2344" t="n">
        <v>0</v>
      </c>
      <c r="U2344" t="n">
        <v>0</v>
      </c>
      <c r="V2344" s="2" t="inlineStr"/>
    </row>
    <row r="2345" ht="15" customHeight="1">
      <c r="A2345" t="inlineStr">
        <is>
          <t>A 30504-2024</t>
        </is>
      </c>
      <c r="B2345" t="inlineStr">
        <is>
          <t>avverkningsanmälan</t>
        </is>
      </c>
      <c r="C2345" t="inlineStr">
        <is>
          <t>Föryngringsavverkning</t>
        </is>
      </c>
      <c r="D2345" s="1" t="n">
        <v>45492</v>
      </c>
      <c r="E2345" s="1" t="n">
        <v>46323</v>
      </c>
      <c r="F2345" t="inlineStr">
        <is>
          <t>KALMAR LÄN</t>
        </is>
      </c>
      <c r="G2345" t="inlineStr">
        <is>
          <t>KALMAR</t>
        </is>
      </c>
      <c r="I2345" t="n">
        <v>5.1</v>
      </c>
      <c r="J2345" t="n">
        <v>0</v>
      </c>
      <c r="K2345" t="n">
        <v>0</v>
      </c>
      <c r="L2345" t="n">
        <v>0</v>
      </c>
      <c r="M2345" t="n">
        <v>0</v>
      </c>
      <c r="N2345" t="n">
        <v>0</v>
      </c>
      <c r="O2345" t="n">
        <v>0</v>
      </c>
      <c r="P2345" t="n">
        <v>0</v>
      </c>
      <c r="Q2345" t="n">
        <v>0</v>
      </c>
      <c r="R2345" t="n">
        <v>0</v>
      </c>
      <c r="S2345" t="n">
        <v>0</v>
      </c>
      <c r="T2345" t="n">
        <v>0</v>
      </c>
      <c r="U2345" t="n">
        <v>0</v>
      </c>
      <c r="V2345" s="2" t="inlineStr"/>
    </row>
    <row r="2346" ht="15" customHeight="1">
      <c r="A2346" t="inlineStr">
        <is>
          <t>A 41948-2024</t>
        </is>
      </c>
      <c r="B2346" t="inlineStr">
        <is>
          <t>avverkningsanmälan</t>
        </is>
      </c>
      <c r="C2346" t="inlineStr">
        <is>
          <t>Föryngringsavverkning</t>
        </is>
      </c>
      <c r="D2346" s="1" t="n">
        <v>45561</v>
      </c>
      <c r="E2346" s="1" t="n">
        <v>46323</v>
      </c>
      <c r="F2346" t="inlineStr">
        <is>
          <t>KALMAR LÄN</t>
        </is>
      </c>
      <c r="G2346" t="inlineStr">
        <is>
          <t>EMMABODA</t>
        </is>
      </c>
      <c r="H2346" t="inlineStr">
        <is>
          <t>Övriga Aktiebolag</t>
        </is>
      </c>
      <c r="I2346" t="n">
        <v>2.6</v>
      </c>
      <c r="J2346" t="n">
        <v>0</v>
      </c>
      <c r="K2346" t="n">
        <v>0</v>
      </c>
      <c r="L2346" t="n">
        <v>0</v>
      </c>
      <c r="M2346" t="n">
        <v>0</v>
      </c>
      <c r="N2346" t="n">
        <v>0</v>
      </c>
      <c r="O2346" t="n">
        <v>0</v>
      </c>
      <c r="P2346" t="n">
        <v>0</v>
      </c>
      <c r="Q2346" t="n">
        <v>0</v>
      </c>
      <c r="R2346" t="n">
        <v>0</v>
      </c>
      <c r="S2346" t="n">
        <v>0</v>
      </c>
      <c r="T2346" t="n">
        <v>0</v>
      </c>
      <c r="U2346" t="n">
        <v>0</v>
      </c>
      <c r="V2346" s="2" t="inlineStr"/>
    </row>
    <row r="2347" ht="15" customHeight="1">
      <c r="A2347" t="inlineStr">
        <is>
          <t>A 24001-2025</t>
        </is>
      </c>
      <c r="B2347" t="inlineStr">
        <is>
          <t>avverkningsanmälan</t>
        </is>
      </c>
      <c r="C2347" t="inlineStr">
        <is>
          <t>Föryngringsavverkning</t>
        </is>
      </c>
      <c r="D2347" s="1" t="n">
        <v>45796</v>
      </c>
      <c r="E2347" s="1" t="n">
        <v>46323</v>
      </c>
      <c r="F2347" t="inlineStr">
        <is>
          <t>KALMAR LÄN</t>
        </is>
      </c>
      <c r="G2347" t="inlineStr">
        <is>
          <t>KALMAR</t>
        </is>
      </c>
      <c r="I2347" t="n">
        <v>1.5</v>
      </c>
      <c r="J2347" t="n">
        <v>0</v>
      </c>
      <c r="K2347" t="n">
        <v>0</v>
      </c>
      <c r="L2347" t="n">
        <v>0</v>
      </c>
      <c r="M2347" t="n">
        <v>0</v>
      </c>
      <c r="N2347" t="n">
        <v>0</v>
      </c>
      <c r="O2347" t="n">
        <v>0</v>
      </c>
      <c r="P2347" t="n">
        <v>0</v>
      </c>
      <c r="Q2347" t="n">
        <v>0</v>
      </c>
      <c r="R2347" t="n">
        <v>0</v>
      </c>
      <c r="S2347" t="n">
        <v>0</v>
      </c>
      <c r="T2347" t="n">
        <v>0</v>
      </c>
      <c r="U2347" t="n">
        <v>0</v>
      </c>
      <c r="V2347" s="2" t="inlineStr"/>
    </row>
    <row r="2348" ht="15" customHeight="1">
      <c r="A2348" t="inlineStr">
        <is>
          <t>A 28270-2024</t>
        </is>
      </c>
      <c r="B2348" t="inlineStr">
        <is>
          <t>avverkningsanmälan</t>
        </is>
      </c>
      <c r="C2348" t="inlineStr">
        <is>
          <t>Föryngringsavverkning</t>
        </is>
      </c>
      <c r="D2348" s="1" t="n">
        <v>45477</v>
      </c>
      <c r="E2348" s="1" t="n">
        <v>46323</v>
      </c>
      <c r="F2348" t="inlineStr">
        <is>
          <t>KALMAR LÄN</t>
        </is>
      </c>
      <c r="G2348" t="inlineStr">
        <is>
          <t>HULTSFRED</t>
        </is>
      </c>
      <c r="I2348" t="n">
        <v>2.9</v>
      </c>
      <c r="J2348" t="n">
        <v>0</v>
      </c>
      <c r="K2348" t="n">
        <v>0</v>
      </c>
      <c r="L2348" t="n">
        <v>0</v>
      </c>
      <c r="M2348" t="n">
        <v>0</v>
      </c>
      <c r="N2348" t="n">
        <v>0</v>
      </c>
      <c r="O2348" t="n">
        <v>0</v>
      </c>
      <c r="P2348" t="n">
        <v>0</v>
      </c>
      <c r="Q2348" t="n">
        <v>0</v>
      </c>
      <c r="R2348" t="n">
        <v>0</v>
      </c>
      <c r="S2348" t="n">
        <v>0</v>
      </c>
      <c r="T2348" t="n">
        <v>0</v>
      </c>
      <c r="U2348" t="n">
        <v>0</v>
      </c>
      <c r="V2348" s="2" t="inlineStr"/>
    </row>
    <row r="2349" ht="15" customHeight="1">
      <c r="A2349" t="inlineStr">
        <is>
          <t>A 30320-2023</t>
        </is>
      </c>
      <c r="B2349" t="inlineStr">
        <is>
          <t>avverkningsanmälan</t>
        </is>
      </c>
      <c r="C2349" t="inlineStr">
        <is>
          <t>Föryngringsavverkning</t>
        </is>
      </c>
      <c r="D2349" s="1" t="n">
        <v>45111</v>
      </c>
      <c r="E2349" s="1" t="n">
        <v>46323</v>
      </c>
      <c r="F2349" t="inlineStr">
        <is>
          <t>KALMAR LÄN</t>
        </is>
      </c>
      <c r="G2349" t="inlineStr">
        <is>
          <t>NYBRO</t>
        </is>
      </c>
      <c r="I2349" t="n">
        <v>0.5</v>
      </c>
      <c r="J2349" t="n">
        <v>0</v>
      </c>
      <c r="K2349" t="n">
        <v>0</v>
      </c>
      <c r="L2349" t="n">
        <v>0</v>
      </c>
      <c r="M2349" t="n">
        <v>0</v>
      </c>
      <c r="N2349" t="n">
        <v>0</v>
      </c>
      <c r="O2349" t="n">
        <v>0</v>
      </c>
      <c r="P2349" t="n">
        <v>0</v>
      </c>
      <c r="Q2349" t="n">
        <v>0</v>
      </c>
      <c r="R2349" t="n">
        <v>0</v>
      </c>
      <c r="S2349" t="n">
        <v>0</v>
      </c>
      <c r="T2349" t="n">
        <v>0</v>
      </c>
      <c r="U2349" t="n">
        <v>0</v>
      </c>
      <c r="V2349" s="2" t="inlineStr"/>
    </row>
    <row r="2350" ht="15" customHeight="1">
      <c r="A2350" t="inlineStr">
        <is>
          <t>A 32614-2023</t>
        </is>
      </c>
      <c r="B2350" t="inlineStr">
        <is>
          <t>avverkningsanmälan</t>
        </is>
      </c>
      <c r="C2350" t="inlineStr">
        <is>
          <t>Avverkning för annat ändamål</t>
        </is>
      </c>
      <c r="D2350" s="1" t="n">
        <v>45121</v>
      </c>
      <c r="E2350" s="1" t="n">
        <v>46323</v>
      </c>
      <c r="F2350" t="inlineStr">
        <is>
          <t>KALMAR LÄN</t>
        </is>
      </c>
      <c r="G2350" t="inlineStr">
        <is>
          <t>VIMMERBY</t>
        </is>
      </c>
      <c r="I2350" t="n">
        <v>0.6</v>
      </c>
      <c r="J2350" t="n">
        <v>0</v>
      </c>
      <c r="K2350" t="n">
        <v>0</v>
      </c>
      <c r="L2350" t="n">
        <v>0</v>
      </c>
      <c r="M2350" t="n">
        <v>0</v>
      </c>
      <c r="N2350" t="n">
        <v>0</v>
      </c>
      <c r="O2350" t="n">
        <v>0</v>
      </c>
      <c r="P2350" t="n">
        <v>0</v>
      </c>
      <c r="Q2350" t="n">
        <v>0</v>
      </c>
      <c r="R2350" t="n">
        <v>0</v>
      </c>
      <c r="S2350" t="n">
        <v>0</v>
      </c>
      <c r="T2350" t="n">
        <v>0</v>
      </c>
      <c r="U2350" t="n">
        <v>0</v>
      </c>
      <c r="V2350" s="2" t="inlineStr"/>
    </row>
    <row r="2351" ht="15" customHeight="1">
      <c r="A2351" t="inlineStr">
        <is>
          <t>A 26094-2023</t>
        </is>
      </c>
      <c r="B2351" t="inlineStr">
        <is>
          <t>avverkningsanmälan</t>
        </is>
      </c>
      <c r="C2351" t="inlineStr">
        <is>
          <t>Föryngringsavverkning</t>
        </is>
      </c>
      <c r="D2351" s="1" t="n">
        <v>45091</v>
      </c>
      <c r="E2351" s="1" t="n">
        <v>46323</v>
      </c>
      <c r="F2351" t="inlineStr">
        <is>
          <t>KALMAR LÄN</t>
        </is>
      </c>
      <c r="G2351" t="inlineStr">
        <is>
          <t>KALMAR</t>
        </is>
      </c>
      <c r="I2351" t="n">
        <v>1</v>
      </c>
      <c r="J2351" t="n">
        <v>0</v>
      </c>
      <c r="K2351" t="n">
        <v>0</v>
      </c>
      <c r="L2351" t="n">
        <v>0</v>
      </c>
      <c r="M2351" t="n">
        <v>0</v>
      </c>
      <c r="N2351" t="n">
        <v>0</v>
      </c>
      <c r="O2351" t="n">
        <v>0</v>
      </c>
      <c r="P2351" t="n">
        <v>0</v>
      </c>
      <c r="Q2351" t="n">
        <v>0</v>
      </c>
      <c r="R2351" t="n">
        <v>0</v>
      </c>
      <c r="S2351" t="n">
        <v>0</v>
      </c>
      <c r="T2351" t="n">
        <v>0</v>
      </c>
      <c r="U2351" t="n">
        <v>0</v>
      </c>
      <c r="V2351" s="2" t="inlineStr"/>
    </row>
    <row r="2352" ht="15" customHeight="1">
      <c r="A2352" t="inlineStr">
        <is>
          <t>A 61939-2021</t>
        </is>
      </c>
      <c r="B2352" t="inlineStr">
        <is>
          <t>avverkningsanmälan</t>
        </is>
      </c>
      <c r="C2352" t="inlineStr">
        <is>
          <t>Föryngringsavverkning</t>
        </is>
      </c>
      <c r="D2352" s="1" t="n">
        <v>44502</v>
      </c>
      <c r="E2352" s="1" t="n">
        <v>46323</v>
      </c>
      <c r="F2352" t="inlineStr">
        <is>
          <t>KALMAR LÄN</t>
        </is>
      </c>
      <c r="G2352" t="inlineStr">
        <is>
          <t>VIMMERBY</t>
        </is>
      </c>
      <c r="I2352" t="n">
        <v>2.7</v>
      </c>
      <c r="J2352" t="n">
        <v>0</v>
      </c>
      <c r="K2352" t="n">
        <v>0</v>
      </c>
      <c r="L2352" t="n">
        <v>0</v>
      </c>
      <c r="M2352" t="n">
        <v>0</v>
      </c>
      <c r="N2352" t="n">
        <v>0</v>
      </c>
      <c r="O2352" t="n">
        <v>0</v>
      </c>
      <c r="P2352" t="n">
        <v>0</v>
      </c>
      <c r="Q2352" t="n">
        <v>0</v>
      </c>
      <c r="R2352" t="n">
        <v>0</v>
      </c>
      <c r="S2352" t="n">
        <v>0</v>
      </c>
      <c r="T2352" t="n">
        <v>0</v>
      </c>
      <c r="U2352" t="n">
        <v>0</v>
      </c>
      <c r="V2352" s="2" t="inlineStr"/>
    </row>
    <row r="2353" ht="15" customHeight="1">
      <c r="A2353" t="inlineStr">
        <is>
          <t>A 42941-2023</t>
        </is>
      </c>
      <c r="B2353" t="inlineStr">
        <is>
          <t>avverkningsanmälan</t>
        </is>
      </c>
      <c r="C2353" t="inlineStr">
        <is>
          <t>Föryngringsavverkning</t>
        </is>
      </c>
      <c r="D2353" s="1" t="n">
        <v>45182</v>
      </c>
      <c r="E2353" s="1" t="n">
        <v>46323</v>
      </c>
      <c r="F2353" t="inlineStr">
        <is>
          <t>KALMAR LÄN</t>
        </is>
      </c>
      <c r="G2353" t="inlineStr">
        <is>
          <t>MÖNSTERÅS</t>
        </is>
      </c>
      <c r="I2353" t="n">
        <v>1.3</v>
      </c>
      <c r="J2353" t="n">
        <v>0</v>
      </c>
      <c r="K2353" t="n">
        <v>0</v>
      </c>
      <c r="L2353" t="n">
        <v>0</v>
      </c>
      <c r="M2353" t="n">
        <v>0</v>
      </c>
      <c r="N2353" t="n">
        <v>0</v>
      </c>
      <c r="O2353" t="n">
        <v>0</v>
      </c>
      <c r="P2353" t="n">
        <v>0</v>
      </c>
      <c r="Q2353" t="n">
        <v>0</v>
      </c>
      <c r="R2353" t="n">
        <v>0</v>
      </c>
      <c r="S2353" t="n">
        <v>0</v>
      </c>
      <c r="T2353" t="n">
        <v>0</v>
      </c>
      <c r="U2353" t="n">
        <v>0</v>
      </c>
      <c r="V2353" s="2" t="inlineStr"/>
    </row>
    <row r="2354" ht="15" customHeight="1">
      <c r="A2354" t="inlineStr">
        <is>
          <t>A 11941-2024</t>
        </is>
      </c>
      <c r="B2354" t="inlineStr">
        <is>
          <t>avverkningsanmälan</t>
        </is>
      </c>
      <c r="C2354" t="inlineStr">
        <is>
          <t>Föryngringsavverkning</t>
        </is>
      </c>
      <c r="D2354" s="1" t="n">
        <v>45376</v>
      </c>
      <c r="E2354" s="1" t="n">
        <v>46323</v>
      </c>
      <c r="F2354" t="inlineStr">
        <is>
          <t>KALMAR LÄN</t>
        </is>
      </c>
      <c r="G2354" t="inlineStr">
        <is>
          <t>EMMABODA</t>
        </is>
      </c>
      <c r="I2354" t="n">
        <v>2.1</v>
      </c>
      <c r="J2354" t="n">
        <v>0</v>
      </c>
      <c r="K2354" t="n">
        <v>0</v>
      </c>
      <c r="L2354" t="n">
        <v>0</v>
      </c>
      <c r="M2354" t="n">
        <v>0</v>
      </c>
      <c r="N2354" t="n">
        <v>0</v>
      </c>
      <c r="O2354" t="n">
        <v>0</v>
      </c>
      <c r="P2354" t="n">
        <v>0</v>
      </c>
      <c r="Q2354" t="n">
        <v>0</v>
      </c>
      <c r="R2354" t="n">
        <v>0</v>
      </c>
      <c r="S2354" t="n">
        <v>0</v>
      </c>
      <c r="T2354" t="n">
        <v>0</v>
      </c>
      <c r="U2354" t="n">
        <v>0</v>
      </c>
      <c r="V2354" s="2" t="inlineStr"/>
    </row>
    <row r="2355" ht="15" customHeight="1">
      <c r="A2355" t="inlineStr">
        <is>
          <t>A 21752-2024</t>
        </is>
      </c>
      <c r="B2355" t="inlineStr">
        <is>
          <t>avverkningsanmälan</t>
        </is>
      </c>
      <c r="C2355" t="inlineStr">
        <is>
          <t>Föryngringsavverkning</t>
        </is>
      </c>
      <c r="D2355" s="1" t="n">
        <v>45442</v>
      </c>
      <c r="E2355" s="1" t="n">
        <v>46323</v>
      </c>
      <c r="F2355" t="inlineStr">
        <is>
          <t>KALMAR LÄN</t>
        </is>
      </c>
      <c r="G2355" t="inlineStr">
        <is>
          <t>VÄSTERVIK</t>
        </is>
      </c>
      <c r="H2355" t="inlineStr">
        <is>
          <t>Holmen skog AB</t>
        </is>
      </c>
      <c r="I2355" t="n">
        <v>2.3</v>
      </c>
      <c r="J2355" t="n">
        <v>0</v>
      </c>
      <c r="K2355" t="n">
        <v>0</v>
      </c>
      <c r="L2355" t="n">
        <v>0</v>
      </c>
      <c r="M2355" t="n">
        <v>0</v>
      </c>
      <c r="N2355" t="n">
        <v>0</v>
      </c>
      <c r="O2355" t="n">
        <v>0</v>
      </c>
      <c r="P2355" t="n">
        <v>0</v>
      </c>
      <c r="Q2355" t="n">
        <v>0</v>
      </c>
      <c r="R2355" t="n">
        <v>0</v>
      </c>
      <c r="S2355" t="n">
        <v>0</v>
      </c>
      <c r="T2355" t="n">
        <v>0</v>
      </c>
      <c r="U2355" t="n">
        <v>0</v>
      </c>
      <c r="V2355" s="2" t="inlineStr"/>
    </row>
    <row r="2356" ht="15" customHeight="1">
      <c r="A2356" t="inlineStr">
        <is>
          <t>A 10614-2023</t>
        </is>
      </c>
      <c r="B2356" t="inlineStr">
        <is>
          <t>avverkningsanmälan</t>
        </is>
      </c>
      <c r="C2356" t="inlineStr">
        <is>
          <t>Föryngringsavverkning</t>
        </is>
      </c>
      <c r="D2356" s="1" t="n">
        <v>44988</v>
      </c>
      <c r="E2356" s="1" t="n">
        <v>46323</v>
      </c>
      <c r="F2356" t="inlineStr">
        <is>
          <t>KALMAR LÄN</t>
        </is>
      </c>
      <c r="G2356" t="inlineStr">
        <is>
          <t>KALMAR</t>
        </is>
      </c>
      <c r="I2356" t="n">
        <v>2.5</v>
      </c>
      <c r="J2356" t="n">
        <v>0</v>
      </c>
      <c r="K2356" t="n">
        <v>0</v>
      </c>
      <c r="L2356" t="n">
        <v>0</v>
      </c>
      <c r="M2356" t="n">
        <v>0</v>
      </c>
      <c r="N2356" t="n">
        <v>0</v>
      </c>
      <c r="O2356" t="n">
        <v>0</v>
      </c>
      <c r="P2356" t="n">
        <v>0</v>
      </c>
      <c r="Q2356" t="n">
        <v>0</v>
      </c>
      <c r="R2356" t="n">
        <v>0</v>
      </c>
      <c r="S2356" t="n">
        <v>0</v>
      </c>
      <c r="T2356" t="n">
        <v>0</v>
      </c>
      <c r="U2356" t="n">
        <v>0</v>
      </c>
      <c r="V2356" s="2" t="inlineStr"/>
    </row>
    <row r="2357" ht="15" customHeight="1">
      <c r="A2357" t="inlineStr">
        <is>
          <t>A 10652-2023</t>
        </is>
      </c>
      <c r="B2357" t="inlineStr">
        <is>
          <t>avverkningsanmälan</t>
        </is>
      </c>
      <c r="C2357" t="inlineStr">
        <is>
          <t>Föryngringsavverkning</t>
        </is>
      </c>
      <c r="D2357" s="1" t="n">
        <v>44988</v>
      </c>
      <c r="E2357" s="1" t="n">
        <v>46323</v>
      </c>
      <c r="F2357" t="inlineStr">
        <is>
          <t>KALMAR LÄN</t>
        </is>
      </c>
      <c r="G2357" t="inlineStr">
        <is>
          <t>TORSÅS</t>
        </is>
      </c>
      <c r="I2357" t="n">
        <v>0.7</v>
      </c>
      <c r="J2357" t="n">
        <v>0</v>
      </c>
      <c r="K2357" t="n">
        <v>0</v>
      </c>
      <c r="L2357" t="n">
        <v>0</v>
      </c>
      <c r="M2357" t="n">
        <v>0</v>
      </c>
      <c r="N2357" t="n">
        <v>0</v>
      </c>
      <c r="O2357" t="n">
        <v>0</v>
      </c>
      <c r="P2357" t="n">
        <v>0</v>
      </c>
      <c r="Q2357" t="n">
        <v>0</v>
      </c>
      <c r="R2357" t="n">
        <v>0</v>
      </c>
      <c r="S2357" t="n">
        <v>0</v>
      </c>
      <c r="T2357" t="n">
        <v>0</v>
      </c>
      <c r="U2357" t="n">
        <v>0</v>
      </c>
      <c r="V2357" s="2" t="inlineStr"/>
    </row>
    <row r="2358" ht="15" customHeight="1">
      <c r="A2358" t="inlineStr">
        <is>
          <t>A 13781-2024</t>
        </is>
      </c>
      <c r="B2358" t="inlineStr">
        <is>
          <t>avverkningsanmälan</t>
        </is>
      </c>
      <c r="C2358" t="inlineStr">
        <is>
          <t>Föryngringsavverkning</t>
        </is>
      </c>
      <c r="D2358" s="1" t="n">
        <v>45391</v>
      </c>
      <c r="E2358" s="1" t="n">
        <v>46323</v>
      </c>
      <c r="F2358" t="inlineStr">
        <is>
          <t>KALMAR LÄN</t>
        </is>
      </c>
      <c r="G2358" t="inlineStr">
        <is>
          <t>HULTSFRED</t>
        </is>
      </c>
      <c r="I2358" t="n">
        <v>1.4</v>
      </c>
      <c r="J2358" t="n">
        <v>0</v>
      </c>
      <c r="K2358" t="n">
        <v>0</v>
      </c>
      <c r="L2358" t="n">
        <v>0</v>
      </c>
      <c r="M2358" t="n">
        <v>0</v>
      </c>
      <c r="N2358" t="n">
        <v>0</v>
      </c>
      <c r="O2358" t="n">
        <v>0</v>
      </c>
      <c r="P2358" t="n">
        <v>0</v>
      </c>
      <c r="Q2358" t="n">
        <v>0</v>
      </c>
      <c r="R2358" t="n">
        <v>0</v>
      </c>
      <c r="S2358" t="n">
        <v>0</v>
      </c>
      <c r="T2358" t="n">
        <v>0</v>
      </c>
      <c r="U2358" t="n">
        <v>0</v>
      </c>
      <c r="V2358" s="2" t="inlineStr"/>
    </row>
    <row r="2359" ht="15" customHeight="1">
      <c r="A2359" t="inlineStr">
        <is>
          <t>A 15787-2023</t>
        </is>
      </c>
      <c r="B2359" t="inlineStr">
        <is>
          <t>avverkningsanmälan</t>
        </is>
      </c>
      <c r="C2359" t="inlineStr">
        <is>
          <t>Föryngringsavverkning</t>
        </is>
      </c>
      <c r="D2359" s="1" t="n">
        <v>45021</v>
      </c>
      <c r="E2359" s="1" t="n">
        <v>46323</v>
      </c>
      <c r="F2359" t="inlineStr">
        <is>
          <t>KALMAR LÄN</t>
        </is>
      </c>
      <c r="G2359" t="inlineStr">
        <is>
          <t>EMMABODA</t>
        </is>
      </c>
      <c r="I2359" t="n">
        <v>1</v>
      </c>
      <c r="J2359" t="n">
        <v>0</v>
      </c>
      <c r="K2359" t="n">
        <v>0</v>
      </c>
      <c r="L2359" t="n">
        <v>0</v>
      </c>
      <c r="M2359" t="n">
        <v>0</v>
      </c>
      <c r="N2359" t="n">
        <v>0</v>
      </c>
      <c r="O2359" t="n">
        <v>0</v>
      </c>
      <c r="P2359" t="n">
        <v>0</v>
      </c>
      <c r="Q2359" t="n">
        <v>0</v>
      </c>
      <c r="R2359" t="n">
        <v>0</v>
      </c>
      <c r="S2359" t="n">
        <v>0</v>
      </c>
      <c r="T2359" t="n">
        <v>0</v>
      </c>
      <c r="U2359" t="n">
        <v>0</v>
      </c>
      <c r="V2359" s="2" t="inlineStr"/>
    </row>
    <row r="2360" ht="15" customHeight="1">
      <c r="A2360" t="inlineStr">
        <is>
          <t>A 16409-2023</t>
        </is>
      </c>
      <c r="B2360" t="inlineStr">
        <is>
          <t>avverkningsanmälan</t>
        </is>
      </c>
      <c r="C2360" t="inlineStr">
        <is>
          <t>Föryngringsavverkning</t>
        </is>
      </c>
      <c r="D2360" s="1" t="n">
        <v>45029</v>
      </c>
      <c r="E2360" s="1" t="n">
        <v>46323</v>
      </c>
      <c r="F2360" t="inlineStr">
        <is>
          <t>KALMAR LÄN</t>
        </is>
      </c>
      <c r="G2360" t="inlineStr">
        <is>
          <t>TORSÅS</t>
        </is>
      </c>
      <c r="I2360" t="n">
        <v>3.2</v>
      </c>
      <c r="J2360" t="n">
        <v>0</v>
      </c>
      <c r="K2360" t="n">
        <v>0</v>
      </c>
      <c r="L2360" t="n">
        <v>0</v>
      </c>
      <c r="M2360" t="n">
        <v>0</v>
      </c>
      <c r="N2360" t="n">
        <v>0</v>
      </c>
      <c r="O2360" t="n">
        <v>0</v>
      </c>
      <c r="P2360" t="n">
        <v>0</v>
      </c>
      <c r="Q2360" t="n">
        <v>0</v>
      </c>
      <c r="R2360" t="n">
        <v>0</v>
      </c>
      <c r="S2360" t="n">
        <v>0</v>
      </c>
      <c r="T2360" t="n">
        <v>0</v>
      </c>
      <c r="U2360" t="n">
        <v>0</v>
      </c>
      <c r="V2360" s="2" t="inlineStr"/>
    </row>
    <row r="2361" ht="15" customHeight="1">
      <c r="A2361" t="inlineStr">
        <is>
          <t>A 16437-2023</t>
        </is>
      </c>
      <c r="B2361" t="inlineStr">
        <is>
          <t>avverkningsanmälan</t>
        </is>
      </c>
      <c r="C2361" t="inlineStr">
        <is>
          <t>Föryngringsavverkning</t>
        </is>
      </c>
      <c r="D2361" s="1" t="n">
        <v>45022</v>
      </c>
      <c r="E2361" s="1" t="n">
        <v>46323</v>
      </c>
      <c r="F2361" t="inlineStr">
        <is>
          <t>KALMAR LÄN</t>
        </is>
      </c>
      <c r="G2361" t="inlineStr">
        <is>
          <t>MÖNSTERÅS</t>
        </is>
      </c>
      <c r="I2361" t="n">
        <v>5.2</v>
      </c>
      <c r="J2361" t="n">
        <v>0</v>
      </c>
      <c r="K2361" t="n">
        <v>0</v>
      </c>
      <c r="L2361" t="n">
        <v>0</v>
      </c>
      <c r="M2361" t="n">
        <v>0</v>
      </c>
      <c r="N2361" t="n">
        <v>0</v>
      </c>
      <c r="O2361" t="n">
        <v>0</v>
      </c>
      <c r="P2361" t="n">
        <v>0</v>
      </c>
      <c r="Q2361" t="n">
        <v>0</v>
      </c>
      <c r="R2361" t="n">
        <v>0</v>
      </c>
      <c r="S2361" t="n">
        <v>0</v>
      </c>
      <c r="T2361" t="n">
        <v>0</v>
      </c>
      <c r="U2361" t="n">
        <v>0</v>
      </c>
      <c r="V2361" s="2" t="inlineStr"/>
    </row>
    <row r="2362" ht="15" customHeight="1">
      <c r="A2362" t="inlineStr">
        <is>
          <t>A 13012-2023</t>
        </is>
      </c>
      <c r="B2362" t="inlineStr">
        <is>
          <t>avverkningsanmälan</t>
        </is>
      </c>
      <c r="C2362" t="inlineStr">
        <is>
          <t>Föryngringsavverkning</t>
        </is>
      </c>
      <c r="D2362" s="1" t="n">
        <v>45002</v>
      </c>
      <c r="E2362" s="1" t="n">
        <v>46323</v>
      </c>
      <c r="F2362" t="inlineStr">
        <is>
          <t>KALMAR LÄN</t>
        </is>
      </c>
      <c r="G2362" t="inlineStr">
        <is>
          <t>OSKARSHAMN</t>
        </is>
      </c>
      <c r="I2362" t="n">
        <v>1.8</v>
      </c>
      <c r="J2362" t="n">
        <v>0</v>
      </c>
      <c r="K2362" t="n">
        <v>0</v>
      </c>
      <c r="L2362" t="n">
        <v>0</v>
      </c>
      <c r="M2362" t="n">
        <v>0</v>
      </c>
      <c r="N2362" t="n">
        <v>0</v>
      </c>
      <c r="O2362" t="n">
        <v>0</v>
      </c>
      <c r="P2362" t="n">
        <v>0</v>
      </c>
      <c r="Q2362" t="n">
        <v>0</v>
      </c>
      <c r="R2362" t="n">
        <v>0</v>
      </c>
      <c r="S2362" t="n">
        <v>0</v>
      </c>
      <c r="T2362" t="n">
        <v>0</v>
      </c>
      <c r="U2362" t="n">
        <v>0</v>
      </c>
      <c r="V2362" s="2" t="inlineStr"/>
    </row>
    <row r="2363" ht="15" customHeight="1">
      <c r="A2363" t="inlineStr">
        <is>
          <t>A 31382-2023</t>
        </is>
      </c>
      <c r="B2363" t="inlineStr">
        <is>
          <t>avverkningsanmälan</t>
        </is>
      </c>
      <c r="C2363" t="inlineStr">
        <is>
          <t>Föryngringsavverkning</t>
        </is>
      </c>
      <c r="D2363" s="1" t="n">
        <v>45114</v>
      </c>
      <c r="E2363" s="1" t="n">
        <v>46323</v>
      </c>
      <c r="F2363" t="inlineStr">
        <is>
          <t>KALMAR LÄN</t>
        </is>
      </c>
      <c r="G2363" t="inlineStr">
        <is>
          <t>VIMMERBY</t>
        </is>
      </c>
      <c r="I2363" t="n">
        <v>3.7</v>
      </c>
      <c r="J2363" t="n">
        <v>0</v>
      </c>
      <c r="K2363" t="n">
        <v>0</v>
      </c>
      <c r="L2363" t="n">
        <v>0</v>
      </c>
      <c r="M2363" t="n">
        <v>0</v>
      </c>
      <c r="N2363" t="n">
        <v>0</v>
      </c>
      <c r="O2363" t="n">
        <v>0</v>
      </c>
      <c r="P2363" t="n">
        <v>0</v>
      </c>
      <c r="Q2363" t="n">
        <v>0</v>
      </c>
      <c r="R2363" t="n">
        <v>0</v>
      </c>
      <c r="S2363" t="n">
        <v>0</v>
      </c>
      <c r="T2363" t="n">
        <v>0</v>
      </c>
      <c r="U2363" t="n">
        <v>0</v>
      </c>
      <c r="V2363" s="2" t="inlineStr"/>
    </row>
    <row r="2364" ht="15" customHeight="1">
      <c r="A2364" t="inlineStr">
        <is>
          <t>A 31686-2023</t>
        </is>
      </c>
      <c r="B2364" t="inlineStr">
        <is>
          <t>avverkningsanmälan</t>
        </is>
      </c>
      <c r="C2364" t="inlineStr">
        <is>
          <t>Föryngringsavverkning</t>
        </is>
      </c>
      <c r="D2364" s="1" t="n">
        <v>45117</v>
      </c>
      <c r="E2364" s="1" t="n">
        <v>46323</v>
      </c>
      <c r="F2364" t="inlineStr">
        <is>
          <t>KALMAR LÄN</t>
        </is>
      </c>
      <c r="G2364" t="inlineStr">
        <is>
          <t>VÄSTERVIK</t>
        </is>
      </c>
      <c r="I2364" t="n">
        <v>1.7</v>
      </c>
      <c r="J2364" t="n">
        <v>0</v>
      </c>
      <c r="K2364" t="n">
        <v>0</v>
      </c>
      <c r="L2364" t="n">
        <v>0</v>
      </c>
      <c r="M2364" t="n">
        <v>0</v>
      </c>
      <c r="N2364" t="n">
        <v>0</v>
      </c>
      <c r="O2364" t="n">
        <v>0</v>
      </c>
      <c r="P2364" t="n">
        <v>0</v>
      </c>
      <c r="Q2364" t="n">
        <v>0</v>
      </c>
      <c r="R2364" t="n">
        <v>0</v>
      </c>
      <c r="S2364" t="n">
        <v>0</v>
      </c>
      <c r="T2364" t="n">
        <v>0</v>
      </c>
      <c r="U2364" t="n">
        <v>0</v>
      </c>
      <c r="V2364" s="2" t="inlineStr"/>
    </row>
    <row r="2365" ht="15" customHeight="1">
      <c r="A2365" t="inlineStr">
        <is>
          <t>A 33081-2023</t>
        </is>
      </c>
      <c r="B2365" t="inlineStr">
        <is>
          <t>avverkningsanmälan</t>
        </is>
      </c>
      <c r="C2365" t="inlineStr">
        <is>
          <t>Föryngringsavverkning</t>
        </is>
      </c>
      <c r="D2365" s="1" t="n">
        <v>45126</v>
      </c>
      <c r="E2365" s="1" t="n">
        <v>46323</v>
      </c>
      <c r="F2365" t="inlineStr">
        <is>
          <t>KALMAR LÄN</t>
        </is>
      </c>
      <c r="G2365" t="inlineStr">
        <is>
          <t>EMMABODA</t>
        </is>
      </c>
      <c r="I2365" t="n">
        <v>0.5</v>
      </c>
      <c r="J2365" t="n">
        <v>0</v>
      </c>
      <c r="K2365" t="n">
        <v>0</v>
      </c>
      <c r="L2365" t="n">
        <v>0</v>
      </c>
      <c r="M2365" t="n">
        <v>0</v>
      </c>
      <c r="N2365" t="n">
        <v>0</v>
      </c>
      <c r="O2365" t="n">
        <v>0</v>
      </c>
      <c r="P2365" t="n">
        <v>0</v>
      </c>
      <c r="Q2365" t="n">
        <v>0</v>
      </c>
      <c r="R2365" t="n">
        <v>0</v>
      </c>
      <c r="S2365" t="n">
        <v>0</v>
      </c>
      <c r="T2365" t="n">
        <v>0</v>
      </c>
      <c r="U2365" t="n">
        <v>0</v>
      </c>
      <c r="V2365" s="2" t="inlineStr"/>
    </row>
    <row r="2366" ht="15" customHeight="1">
      <c r="A2366" t="inlineStr">
        <is>
          <t>A 39158-2022</t>
        </is>
      </c>
      <c r="B2366" t="inlineStr">
        <is>
          <t>avverkningsanmälan</t>
        </is>
      </c>
      <c r="C2366" t="inlineStr">
        <is>
          <t>Avverkning för annat ändamål</t>
        </is>
      </c>
      <c r="D2366" s="1" t="n">
        <v>44817</v>
      </c>
      <c r="E2366" s="1" t="n">
        <v>46323</v>
      </c>
      <c r="F2366" t="inlineStr">
        <is>
          <t>KALMAR LÄN</t>
        </is>
      </c>
      <c r="G2366" t="inlineStr">
        <is>
          <t>MÖNSTERÅS</t>
        </is>
      </c>
      <c r="I2366" t="n">
        <v>2.4</v>
      </c>
      <c r="J2366" t="n">
        <v>0</v>
      </c>
      <c r="K2366" t="n">
        <v>0</v>
      </c>
      <c r="L2366" t="n">
        <v>0</v>
      </c>
      <c r="M2366" t="n">
        <v>0</v>
      </c>
      <c r="N2366" t="n">
        <v>0</v>
      </c>
      <c r="O2366" t="n">
        <v>0</v>
      </c>
      <c r="P2366" t="n">
        <v>0</v>
      </c>
      <c r="Q2366" t="n">
        <v>0</v>
      </c>
      <c r="R2366" t="n">
        <v>0</v>
      </c>
      <c r="S2366" t="n">
        <v>0</v>
      </c>
      <c r="T2366" t="n">
        <v>0</v>
      </c>
      <c r="U2366" t="n">
        <v>0</v>
      </c>
      <c r="V2366" s="2" t="inlineStr"/>
    </row>
    <row r="2367" ht="15" customHeight="1">
      <c r="A2367" t="inlineStr">
        <is>
          <t>A 17315-2023</t>
        </is>
      </c>
      <c r="B2367" t="inlineStr">
        <is>
          <t>avverkningsanmälan</t>
        </is>
      </c>
      <c r="C2367" t="inlineStr">
        <is>
          <t>Föryngringsavverkning</t>
        </is>
      </c>
      <c r="D2367" s="1" t="n">
        <v>45035</v>
      </c>
      <c r="E2367" s="1" t="n">
        <v>46323</v>
      </c>
      <c r="F2367" t="inlineStr">
        <is>
          <t>KALMAR LÄN</t>
        </is>
      </c>
      <c r="G2367" t="inlineStr">
        <is>
          <t>VÄSTERVIK</t>
        </is>
      </c>
      <c r="I2367" t="n">
        <v>1.5</v>
      </c>
      <c r="J2367" t="n">
        <v>0</v>
      </c>
      <c r="K2367" t="n">
        <v>0</v>
      </c>
      <c r="L2367" t="n">
        <v>0</v>
      </c>
      <c r="M2367" t="n">
        <v>0</v>
      </c>
      <c r="N2367" t="n">
        <v>0</v>
      </c>
      <c r="O2367" t="n">
        <v>0</v>
      </c>
      <c r="P2367" t="n">
        <v>0</v>
      </c>
      <c r="Q2367" t="n">
        <v>0</v>
      </c>
      <c r="R2367" t="n">
        <v>0</v>
      </c>
      <c r="S2367" t="n">
        <v>0</v>
      </c>
      <c r="T2367" t="n">
        <v>0</v>
      </c>
      <c r="U2367" t="n">
        <v>0</v>
      </c>
      <c r="V2367" s="2" t="inlineStr"/>
    </row>
    <row r="2368" ht="15" customHeight="1">
      <c r="A2368" t="inlineStr">
        <is>
          <t>A 8711-2023</t>
        </is>
      </c>
      <c r="B2368" t="inlineStr">
        <is>
          <t>avverkningsanmälan</t>
        </is>
      </c>
      <c r="C2368" t="inlineStr">
        <is>
          <t>Föryngringsavverkning</t>
        </is>
      </c>
      <c r="D2368" s="1" t="n">
        <v>44978</v>
      </c>
      <c r="E2368" s="1" t="n">
        <v>46323</v>
      </c>
      <c r="F2368" t="inlineStr">
        <is>
          <t>KALMAR LÄN</t>
        </is>
      </c>
      <c r="G2368" t="inlineStr">
        <is>
          <t>OSKARSHAMN</t>
        </is>
      </c>
      <c r="I2368" t="n">
        <v>0.6</v>
      </c>
      <c r="J2368" t="n">
        <v>0</v>
      </c>
      <c r="K2368" t="n">
        <v>0</v>
      </c>
      <c r="L2368" t="n">
        <v>0</v>
      </c>
      <c r="M2368" t="n">
        <v>0</v>
      </c>
      <c r="N2368" t="n">
        <v>0</v>
      </c>
      <c r="O2368" t="n">
        <v>0</v>
      </c>
      <c r="P2368" t="n">
        <v>0</v>
      </c>
      <c r="Q2368" t="n">
        <v>0</v>
      </c>
      <c r="R2368" t="n">
        <v>0</v>
      </c>
      <c r="S2368" t="n">
        <v>0</v>
      </c>
      <c r="T2368" t="n">
        <v>0</v>
      </c>
      <c r="U2368" t="n">
        <v>0</v>
      </c>
      <c r="V2368" s="2" t="inlineStr"/>
    </row>
    <row r="2369" ht="15" customHeight="1">
      <c r="A2369" t="inlineStr">
        <is>
          <t>A 58441-2023</t>
        </is>
      </c>
      <c r="B2369" t="inlineStr">
        <is>
          <t>avverkningsanmälan</t>
        </is>
      </c>
      <c r="C2369" t="inlineStr">
        <is>
          <t>Föryngringsavverkning</t>
        </is>
      </c>
      <c r="D2369" s="1" t="n">
        <v>45250</v>
      </c>
      <c r="E2369" s="1" t="n">
        <v>46323</v>
      </c>
      <c r="F2369" t="inlineStr">
        <is>
          <t>KALMAR LÄN</t>
        </is>
      </c>
      <c r="G2369" t="inlineStr">
        <is>
          <t>TORSÅS</t>
        </is>
      </c>
      <c r="I2369" t="n">
        <v>0.6</v>
      </c>
      <c r="J2369" t="n">
        <v>0</v>
      </c>
      <c r="K2369" t="n">
        <v>0</v>
      </c>
      <c r="L2369" t="n">
        <v>0</v>
      </c>
      <c r="M2369" t="n">
        <v>0</v>
      </c>
      <c r="N2369" t="n">
        <v>0</v>
      </c>
      <c r="O2369" t="n">
        <v>0</v>
      </c>
      <c r="P2369" t="n">
        <v>0</v>
      </c>
      <c r="Q2369" t="n">
        <v>0</v>
      </c>
      <c r="R2369" t="n">
        <v>0</v>
      </c>
      <c r="S2369" t="n">
        <v>0</v>
      </c>
      <c r="T2369" t="n">
        <v>0</v>
      </c>
      <c r="U2369" t="n">
        <v>0</v>
      </c>
      <c r="V2369" s="2" t="inlineStr"/>
    </row>
    <row r="2370" ht="15" customHeight="1">
      <c r="A2370" t="inlineStr">
        <is>
          <t>A 39629-2024</t>
        </is>
      </c>
      <c r="B2370" t="inlineStr">
        <is>
          <t>avverkningsanmälan</t>
        </is>
      </c>
      <c r="C2370" t="inlineStr">
        <is>
          <t>Föryngringsavverkning</t>
        </is>
      </c>
      <c r="D2370" s="1" t="n">
        <v>45552</v>
      </c>
      <c r="E2370" s="1" t="n">
        <v>46323</v>
      </c>
      <c r="F2370" t="inlineStr">
        <is>
          <t>KALMAR LÄN</t>
        </is>
      </c>
      <c r="G2370" t="inlineStr">
        <is>
          <t>HÖGSBY</t>
        </is>
      </c>
      <c r="I2370" t="n">
        <v>0.4</v>
      </c>
      <c r="J2370" t="n">
        <v>0</v>
      </c>
      <c r="K2370" t="n">
        <v>0</v>
      </c>
      <c r="L2370" t="n">
        <v>0</v>
      </c>
      <c r="M2370" t="n">
        <v>0</v>
      </c>
      <c r="N2370" t="n">
        <v>0</v>
      </c>
      <c r="O2370" t="n">
        <v>0</v>
      </c>
      <c r="P2370" t="n">
        <v>0</v>
      </c>
      <c r="Q2370" t="n">
        <v>0</v>
      </c>
      <c r="R2370" t="n">
        <v>0</v>
      </c>
      <c r="S2370" t="n">
        <v>0</v>
      </c>
      <c r="T2370" t="n">
        <v>0</v>
      </c>
      <c r="U2370" t="n">
        <v>0</v>
      </c>
      <c r="V2370" s="2" t="inlineStr"/>
    </row>
    <row r="2371" ht="15" customHeight="1">
      <c r="A2371" t="inlineStr">
        <is>
          <t>A 9520-2024</t>
        </is>
      </c>
      <c r="B2371" t="inlineStr">
        <is>
          <t>avverkningsanmälan</t>
        </is>
      </c>
      <c r="C2371" t="inlineStr">
        <is>
          <t>Föryngringsavverkning</t>
        </is>
      </c>
      <c r="D2371" s="1" t="n">
        <v>45359</v>
      </c>
      <c r="E2371" s="1" t="n">
        <v>46323</v>
      </c>
      <c r="F2371" t="inlineStr">
        <is>
          <t>KALMAR LÄN</t>
        </is>
      </c>
      <c r="G2371" t="inlineStr">
        <is>
          <t>NYBRO</t>
        </is>
      </c>
      <c r="I2371" t="n">
        <v>1.9</v>
      </c>
      <c r="J2371" t="n">
        <v>0</v>
      </c>
      <c r="K2371" t="n">
        <v>0</v>
      </c>
      <c r="L2371" t="n">
        <v>0</v>
      </c>
      <c r="M2371" t="n">
        <v>0</v>
      </c>
      <c r="N2371" t="n">
        <v>0</v>
      </c>
      <c r="O2371" t="n">
        <v>0</v>
      </c>
      <c r="P2371" t="n">
        <v>0</v>
      </c>
      <c r="Q2371" t="n">
        <v>0</v>
      </c>
      <c r="R2371" t="n">
        <v>0</v>
      </c>
      <c r="S2371" t="n">
        <v>0</v>
      </c>
      <c r="T2371" t="n">
        <v>0</v>
      </c>
      <c r="U2371" t="n">
        <v>0</v>
      </c>
      <c r="V2371" s="2" t="inlineStr"/>
    </row>
    <row r="2372" ht="15" customHeight="1">
      <c r="A2372" t="inlineStr">
        <is>
          <t>A 21798-2023</t>
        </is>
      </c>
      <c r="B2372" t="inlineStr">
        <is>
          <t>avverkningsanmälan</t>
        </is>
      </c>
      <c r="C2372" t="inlineStr">
        <is>
          <t>Föryngringsavverkning</t>
        </is>
      </c>
      <c r="D2372" s="1" t="n">
        <v>45067</v>
      </c>
      <c r="E2372" s="1" t="n">
        <v>46323</v>
      </c>
      <c r="F2372" t="inlineStr">
        <is>
          <t>KALMAR LÄN</t>
        </is>
      </c>
      <c r="G2372" t="inlineStr">
        <is>
          <t>EMMABODA</t>
        </is>
      </c>
      <c r="I2372" t="n">
        <v>0.6</v>
      </c>
      <c r="J2372" t="n">
        <v>0</v>
      </c>
      <c r="K2372" t="n">
        <v>0</v>
      </c>
      <c r="L2372" t="n">
        <v>0</v>
      </c>
      <c r="M2372" t="n">
        <v>0</v>
      </c>
      <c r="N2372" t="n">
        <v>0</v>
      </c>
      <c r="O2372" t="n">
        <v>0</v>
      </c>
      <c r="P2372" t="n">
        <v>0</v>
      </c>
      <c r="Q2372" t="n">
        <v>0</v>
      </c>
      <c r="R2372" t="n">
        <v>0</v>
      </c>
      <c r="S2372" t="n">
        <v>0</v>
      </c>
      <c r="T2372" t="n">
        <v>0</v>
      </c>
      <c r="U2372" t="n">
        <v>0</v>
      </c>
      <c r="V2372" s="2" t="inlineStr"/>
    </row>
    <row r="2373" ht="15" customHeight="1">
      <c r="A2373" t="inlineStr">
        <is>
          <t>A 9590-2024</t>
        </is>
      </c>
      <c r="B2373" t="inlineStr">
        <is>
          <t>avverkningsanmälan</t>
        </is>
      </c>
      <c r="C2373" t="inlineStr">
        <is>
          <t>Föryngringsavverkning</t>
        </is>
      </c>
      <c r="D2373" s="1" t="n">
        <v>45360</v>
      </c>
      <c r="E2373" s="1" t="n">
        <v>46323</v>
      </c>
      <c r="F2373" t="inlineStr">
        <is>
          <t>KALMAR LÄN</t>
        </is>
      </c>
      <c r="G2373" t="inlineStr">
        <is>
          <t>HULTSFRED</t>
        </is>
      </c>
      <c r="H2373" t="inlineStr">
        <is>
          <t>Sveaskog</t>
        </is>
      </c>
      <c r="I2373" t="n">
        <v>1.2</v>
      </c>
      <c r="J2373" t="n">
        <v>0</v>
      </c>
      <c r="K2373" t="n">
        <v>0</v>
      </c>
      <c r="L2373" t="n">
        <v>0</v>
      </c>
      <c r="M2373" t="n">
        <v>0</v>
      </c>
      <c r="N2373" t="n">
        <v>0</v>
      </c>
      <c r="O2373" t="n">
        <v>0</v>
      </c>
      <c r="P2373" t="n">
        <v>0</v>
      </c>
      <c r="Q2373" t="n">
        <v>0</v>
      </c>
      <c r="R2373" t="n">
        <v>0</v>
      </c>
      <c r="S2373" t="n">
        <v>0</v>
      </c>
      <c r="T2373" t="n">
        <v>0</v>
      </c>
      <c r="U2373" t="n">
        <v>0</v>
      </c>
      <c r="V2373" s="2" t="inlineStr"/>
    </row>
    <row r="2374" ht="15" customHeight="1">
      <c r="A2374" t="inlineStr">
        <is>
          <t>A 44839-2022</t>
        </is>
      </c>
      <c r="B2374" t="inlineStr">
        <is>
          <t>avverkningsanmälan</t>
        </is>
      </c>
      <c r="C2374" t="inlineStr">
        <is>
          <t>Avverkning för annat ändamål</t>
        </is>
      </c>
      <c r="D2374" s="1" t="n">
        <v>44841</v>
      </c>
      <c r="E2374" s="1" t="n">
        <v>46323</v>
      </c>
      <c r="F2374" t="inlineStr">
        <is>
          <t>KALMAR LÄN</t>
        </is>
      </c>
      <c r="G2374" t="inlineStr">
        <is>
          <t>TORSÅS</t>
        </is>
      </c>
      <c r="I2374" t="n">
        <v>1.3</v>
      </c>
      <c r="J2374" t="n">
        <v>0</v>
      </c>
      <c r="K2374" t="n">
        <v>0</v>
      </c>
      <c r="L2374" t="n">
        <v>0</v>
      </c>
      <c r="M2374" t="n">
        <v>0</v>
      </c>
      <c r="N2374" t="n">
        <v>0</v>
      </c>
      <c r="O2374" t="n">
        <v>0</v>
      </c>
      <c r="P2374" t="n">
        <v>0</v>
      </c>
      <c r="Q2374" t="n">
        <v>0</v>
      </c>
      <c r="R2374" t="n">
        <v>0</v>
      </c>
      <c r="S2374" t="n">
        <v>0</v>
      </c>
      <c r="T2374" t="n">
        <v>0</v>
      </c>
      <c r="U2374" t="n">
        <v>0</v>
      </c>
      <c r="V2374" s="2" t="inlineStr"/>
    </row>
    <row r="2375" ht="15" customHeight="1">
      <c r="A2375" t="inlineStr">
        <is>
          <t>A 14529-2022</t>
        </is>
      </c>
      <c r="B2375" t="inlineStr">
        <is>
          <t>avverkningsanmälan</t>
        </is>
      </c>
      <c r="C2375" t="inlineStr">
        <is>
          <t>Föryngringsavverkning</t>
        </is>
      </c>
      <c r="D2375" s="1" t="n">
        <v>44655</v>
      </c>
      <c r="E2375" s="1" t="n">
        <v>46323</v>
      </c>
      <c r="F2375" t="inlineStr">
        <is>
          <t>KALMAR LÄN</t>
        </is>
      </c>
      <c r="G2375" t="inlineStr">
        <is>
          <t>VÄSTERVIK</t>
        </is>
      </c>
      <c r="I2375" t="n">
        <v>1</v>
      </c>
      <c r="J2375" t="n">
        <v>0</v>
      </c>
      <c r="K2375" t="n">
        <v>0</v>
      </c>
      <c r="L2375" t="n">
        <v>0</v>
      </c>
      <c r="M2375" t="n">
        <v>0</v>
      </c>
      <c r="N2375" t="n">
        <v>0</v>
      </c>
      <c r="O2375" t="n">
        <v>0</v>
      </c>
      <c r="P2375" t="n">
        <v>0</v>
      </c>
      <c r="Q2375" t="n">
        <v>0</v>
      </c>
      <c r="R2375" t="n">
        <v>0</v>
      </c>
      <c r="S2375" t="n">
        <v>0</v>
      </c>
      <c r="T2375" t="n">
        <v>0</v>
      </c>
      <c r="U2375" t="n">
        <v>0</v>
      </c>
      <c r="V2375" s="2" t="inlineStr"/>
    </row>
    <row r="2376" ht="15" customHeight="1">
      <c r="A2376" t="inlineStr">
        <is>
          <t>A 4447-2024</t>
        </is>
      </c>
      <c r="B2376" t="inlineStr">
        <is>
          <t>avverkningsanmälan</t>
        </is>
      </c>
      <c r="C2376" t="inlineStr">
        <is>
          <t>Föryngringsavverkning</t>
        </is>
      </c>
      <c r="D2376" s="1" t="n">
        <v>45327</v>
      </c>
      <c r="E2376" s="1" t="n">
        <v>46323</v>
      </c>
      <c r="F2376" t="inlineStr">
        <is>
          <t>KALMAR LÄN</t>
        </is>
      </c>
      <c r="G2376" t="inlineStr">
        <is>
          <t>TORSÅS</t>
        </is>
      </c>
      <c r="I2376" t="n">
        <v>0.9</v>
      </c>
      <c r="J2376" t="n">
        <v>0</v>
      </c>
      <c r="K2376" t="n">
        <v>0</v>
      </c>
      <c r="L2376" t="n">
        <v>0</v>
      </c>
      <c r="M2376" t="n">
        <v>0</v>
      </c>
      <c r="N2376" t="n">
        <v>0</v>
      </c>
      <c r="O2376" t="n">
        <v>0</v>
      </c>
      <c r="P2376" t="n">
        <v>0</v>
      </c>
      <c r="Q2376" t="n">
        <v>0</v>
      </c>
      <c r="R2376" t="n">
        <v>0</v>
      </c>
      <c r="S2376" t="n">
        <v>0</v>
      </c>
      <c r="T2376" t="n">
        <v>0</v>
      </c>
      <c r="U2376" t="n">
        <v>0</v>
      </c>
      <c r="V2376" s="2" t="inlineStr"/>
    </row>
    <row r="2377" ht="15" customHeight="1">
      <c r="A2377" t="inlineStr">
        <is>
          <t>A 15754-2022</t>
        </is>
      </c>
      <c r="B2377" t="inlineStr">
        <is>
          <t>avverkningsanmälan</t>
        </is>
      </c>
      <c r="C2377" t="inlineStr">
        <is>
          <t>Avverkning för annat ändamål</t>
        </is>
      </c>
      <c r="D2377" s="1" t="n">
        <v>44663</v>
      </c>
      <c r="E2377" s="1" t="n">
        <v>46323</v>
      </c>
      <c r="F2377" t="inlineStr">
        <is>
          <t>KALMAR LÄN</t>
        </is>
      </c>
      <c r="G2377" t="inlineStr">
        <is>
          <t>OSKARSHAMN</t>
        </is>
      </c>
      <c r="I2377" t="n">
        <v>2.9</v>
      </c>
      <c r="J2377" t="n">
        <v>0</v>
      </c>
      <c r="K2377" t="n">
        <v>0</v>
      </c>
      <c r="L2377" t="n">
        <v>0</v>
      </c>
      <c r="M2377" t="n">
        <v>0</v>
      </c>
      <c r="N2377" t="n">
        <v>0</v>
      </c>
      <c r="O2377" t="n">
        <v>0</v>
      </c>
      <c r="P2377" t="n">
        <v>0</v>
      </c>
      <c r="Q2377" t="n">
        <v>0</v>
      </c>
      <c r="R2377" t="n">
        <v>0</v>
      </c>
      <c r="S2377" t="n">
        <v>0</v>
      </c>
      <c r="T2377" t="n">
        <v>0</v>
      </c>
      <c r="U2377" t="n">
        <v>0</v>
      </c>
      <c r="V2377" s="2" t="inlineStr"/>
    </row>
    <row r="2378" ht="15" customHeight="1">
      <c r="A2378" t="inlineStr">
        <is>
          <t>A 25180-2023</t>
        </is>
      </c>
      <c r="B2378" t="inlineStr">
        <is>
          <t>avverkningsanmälan</t>
        </is>
      </c>
      <c r="C2378" t="inlineStr">
        <is>
          <t>Föryngringsavverkning</t>
        </is>
      </c>
      <c r="D2378" s="1" t="n">
        <v>45086</v>
      </c>
      <c r="E2378" s="1" t="n">
        <v>46323</v>
      </c>
      <c r="F2378" t="inlineStr">
        <is>
          <t>KALMAR LÄN</t>
        </is>
      </c>
      <c r="G2378" t="inlineStr">
        <is>
          <t>VÄSTERVIK</t>
        </is>
      </c>
      <c r="I2378" t="n">
        <v>0.5</v>
      </c>
      <c r="J2378" t="n">
        <v>0</v>
      </c>
      <c r="K2378" t="n">
        <v>0</v>
      </c>
      <c r="L2378" t="n">
        <v>0</v>
      </c>
      <c r="M2378" t="n">
        <v>0</v>
      </c>
      <c r="N2378" t="n">
        <v>0</v>
      </c>
      <c r="O2378" t="n">
        <v>0</v>
      </c>
      <c r="P2378" t="n">
        <v>0</v>
      </c>
      <c r="Q2378" t="n">
        <v>0</v>
      </c>
      <c r="R2378" t="n">
        <v>0</v>
      </c>
      <c r="S2378" t="n">
        <v>0</v>
      </c>
      <c r="T2378" t="n">
        <v>0</v>
      </c>
      <c r="U2378" t="n">
        <v>0</v>
      </c>
      <c r="V2378" s="2" t="inlineStr"/>
    </row>
    <row r="2379" ht="15" customHeight="1">
      <c r="A2379" t="inlineStr">
        <is>
          <t>A 55255-2023</t>
        </is>
      </c>
      <c r="B2379" t="inlineStr">
        <is>
          <t>avverkningsanmälan</t>
        </is>
      </c>
      <c r="C2379" t="inlineStr">
        <is>
          <t>Föryngringsavverkning</t>
        </is>
      </c>
      <c r="D2379" s="1" t="n">
        <v>45231</v>
      </c>
      <c r="E2379" s="1" t="n">
        <v>46323</v>
      </c>
      <c r="F2379" t="inlineStr">
        <is>
          <t>KALMAR LÄN</t>
        </is>
      </c>
      <c r="G2379" t="inlineStr">
        <is>
          <t>NYBRO</t>
        </is>
      </c>
      <c r="I2379" t="n">
        <v>1.3</v>
      </c>
      <c r="J2379" t="n">
        <v>0</v>
      </c>
      <c r="K2379" t="n">
        <v>0</v>
      </c>
      <c r="L2379" t="n">
        <v>0</v>
      </c>
      <c r="M2379" t="n">
        <v>0</v>
      </c>
      <c r="N2379" t="n">
        <v>0</v>
      </c>
      <c r="O2379" t="n">
        <v>0</v>
      </c>
      <c r="P2379" t="n">
        <v>0</v>
      </c>
      <c r="Q2379" t="n">
        <v>0</v>
      </c>
      <c r="R2379" t="n">
        <v>0</v>
      </c>
      <c r="S2379" t="n">
        <v>0</v>
      </c>
      <c r="T2379" t="n">
        <v>0</v>
      </c>
      <c r="U2379" t="n">
        <v>0</v>
      </c>
      <c r="V2379" s="2" t="inlineStr"/>
    </row>
    <row r="2380" ht="15" customHeight="1">
      <c r="A2380" t="inlineStr">
        <is>
          <t>A 58442-2023</t>
        </is>
      </c>
      <c r="B2380" t="inlineStr">
        <is>
          <t>avverkningsanmälan</t>
        </is>
      </c>
      <c r="C2380" t="inlineStr">
        <is>
          <t>Föryngringsavverkning</t>
        </is>
      </c>
      <c r="D2380" s="1" t="n">
        <v>45250</v>
      </c>
      <c r="E2380" s="1" t="n">
        <v>46323</v>
      </c>
      <c r="F2380" t="inlineStr">
        <is>
          <t>KALMAR LÄN</t>
        </is>
      </c>
      <c r="G2380" t="inlineStr">
        <is>
          <t>TORSÅS</t>
        </is>
      </c>
      <c r="I2380" t="n">
        <v>4.4</v>
      </c>
      <c r="J2380" t="n">
        <v>0</v>
      </c>
      <c r="K2380" t="n">
        <v>0</v>
      </c>
      <c r="L2380" t="n">
        <v>0</v>
      </c>
      <c r="M2380" t="n">
        <v>0</v>
      </c>
      <c r="N2380" t="n">
        <v>0</v>
      </c>
      <c r="O2380" t="n">
        <v>0</v>
      </c>
      <c r="P2380" t="n">
        <v>0</v>
      </c>
      <c r="Q2380" t="n">
        <v>0</v>
      </c>
      <c r="R2380" t="n">
        <v>0</v>
      </c>
      <c r="S2380" t="n">
        <v>0</v>
      </c>
      <c r="T2380" t="n">
        <v>0</v>
      </c>
      <c r="U2380" t="n">
        <v>0</v>
      </c>
      <c r="V2380" s="2" t="inlineStr"/>
    </row>
    <row r="2381" ht="15" customHeight="1">
      <c r="A2381" t="inlineStr">
        <is>
          <t>A 58443-2023</t>
        </is>
      </c>
      <c r="B2381" t="inlineStr">
        <is>
          <t>avverkningsanmälan</t>
        </is>
      </c>
      <c r="C2381" t="inlineStr">
        <is>
          <t>Föryngringsavverkning</t>
        </is>
      </c>
      <c r="D2381" s="1" t="n">
        <v>45250</v>
      </c>
      <c r="E2381" s="1" t="n">
        <v>46323</v>
      </c>
      <c r="F2381" t="inlineStr">
        <is>
          <t>KALMAR LÄN</t>
        </is>
      </c>
      <c r="G2381" t="inlineStr">
        <is>
          <t>TORSÅS</t>
        </is>
      </c>
      <c r="I2381" t="n">
        <v>7.8</v>
      </c>
      <c r="J2381" t="n">
        <v>0</v>
      </c>
      <c r="K2381" t="n">
        <v>0</v>
      </c>
      <c r="L2381" t="n">
        <v>0</v>
      </c>
      <c r="M2381" t="n">
        <v>0</v>
      </c>
      <c r="N2381" t="n">
        <v>0</v>
      </c>
      <c r="O2381" t="n">
        <v>0</v>
      </c>
      <c r="P2381" t="n">
        <v>0</v>
      </c>
      <c r="Q2381" t="n">
        <v>0</v>
      </c>
      <c r="R2381" t="n">
        <v>0</v>
      </c>
      <c r="S2381" t="n">
        <v>0</v>
      </c>
      <c r="T2381" t="n">
        <v>0</v>
      </c>
      <c r="U2381" t="n">
        <v>0</v>
      </c>
      <c r="V2381" s="2" t="inlineStr"/>
    </row>
    <row r="2382" ht="15" customHeight="1">
      <c r="A2382" t="inlineStr">
        <is>
          <t>A 39807-2025</t>
        </is>
      </c>
      <c r="B2382" t="inlineStr">
        <is>
          <t>avverkningsanmälan</t>
        </is>
      </c>
      <c r="C2382" t="inlineStr">
        <is>
          <t>Föryngringsavverkning</t>
        </is>
      </c>
      <c r="D2382" s="1" t="n">
        <v>45891</v>
      </c>
      <c r="E2382" s="1" t="n">
        <v>46323</v>
      </c>
      <c r="F2382" t="inlineStr">
        <is>
          <t>KALMAR LÄN</t>
        </is>
      </c>
      <c r="G2382" t="inlineStr">
        <is>
          <t>VIMMERBY</t>
        </is>
      </c>
      <c r="I2382" t="n">
        <v>0.5</v>
      </c>
      <c r="J2382" t="n">
        <v>0</v>
      </c>
      <c r="K2382" t="n">
        <v>0</v>
      </c>
      <c r="L2382" t="n">
        <v>0</v>
      </c>
      <c r="M2382" t="n">
        <v>0</v>
      </c>
      <c r="N2382" t="n">
        <v>0</v>
      </c>
      <c r="O2382" t="n">
        <v>0</v>
      </c>
      <c r="P2382" t="n">
        <v>0</v>
      </c>
      <c r="Q2382" t="n">
        <v>0</v>
      </c>
      <c r="R2382" t="n">
        <v>0</v>
      </c>
      <c r="S2382" t="n">
        <v>0</v>
      </c>
      <c r="T2382" t="n">
        <v>0</v>
      </c>
      <c r="U2382" t="n">
        <v>0</v>
      </c>
      <c r="V2382" s="2" t="inlineStr"/>
    </row>
    <row r="2383" ht="15" customHeight="1">
      <c r="A2383" t="inlineStr">
        <is>
          <t>A 40187-2025</t>
        </is>
      </c>
      <c r="B2383" t="inlineStr">
        <is>
          <t>avverkningsanmälan</t>
        </is>
      </c>
      <c r="C2383" t="inlineStr">
        <is>
          <t>Föryngringsavverkning</t>
        </is>
      </c>
      <c r="D2383" s="1" t="n">
        <v>45894</v>
      </c>
      <c r="E2383" s="1" t="n">
        <v>46323</v>
      </c>
      <c r="F2383" t="inlineStr">
        <is>
          <t>KALMAR LÄN</t>
        </is>
      </c>
      <c r="G2383" t="inlineStr">
        <is>
          <t>HULTSFRED</t>
        </is>
      </c>
      <c r="I2383" t="n">
        <v>2</v>
      </c>
      <c r="J2383" t="n">
        <v>0</v>
      </c>
      <c r="K2383" t="n">
        <v>0</v>
      </c>
      <c r="L2383" t="n">
        <v>0</v>
      </c>
      <c r="M2383" t="n">
        <v>0</v>
      </c>
      <c r="N2383" t="n">
        <v>0</v>
      </c>
      <c r="O2383" t="n">
        <v>0</v>
      </c>
      <c r="P2383" t="n">
        <v>0</v>
      </c>
      <c r="Q2383" t="n">
        <v>0</v>
      </c>
      <c r="R2383" t="n">
        <v>0</v>
      </c>
      <c r="S2383" t="n">
        <v>0</v>
      </c>
      <c r="T2383" t="n">
        <v>0</v>
      </c>
      <c r="U2383" t="n">
        <v>0</v>
      </c>
      <c r="V2383" s="2" t="inlineStr"/>
    </row>
    <row r="2384" ht="15" customHeight="1">
      <c r="A2384" t="inlineStr">
        <is>
          <t>A 34672-2022</t>
        </is>
      </c>
      <c r="B2384" t="inlineStr">
        <is>
          <t>avverkningsanmälan</t>
        </is>
      </c>
      <c r="C2384" t="inlineStr">
        <is>
          <t>Föryngringsavverkning</t>
        </is>
      </c>
      <c r="D2384" s="1" t="n">
        <v>44795</v>
      </c>
      <c r="E2384" s="1" t="n">
        <v>46323</v>
      </c>
      <c r="F2384" t="inlineStr">
        <is>
          <t>KALMAR LÄN</t>
        </is>
      </c>
      <c r="G2384" t="inlineStr">
        <is>
          <t>VÄSTERVIK</t>
        </is>
      </c>
      <c r="I2384" t="n">
        <v>1.1</v>
      </c>
      <c r="J2384" t="n">
        <v>0</v>
      </c>
      <c r="K2384" t="n">
        <v>0</v>
      </c>
      <c r="L2384" t="n">
        <v>0</v>
      </c>
      <c r="M2384" t="n">
        <v>0</v>
      </c>
      <c r="N2384" t="n">
        <v>0</v>
      </c>
      <c r="O2384" t="n">
        <v>0</v>
      </c>
      <c r="P2384" t="n">
        <v>0</v>
      </c>
      <c r="Q2384" t="n">
        <v>0</v>
      </c>
      <c r="R2384" t="n">
        <v>0</v>
      </c>
      <c r="S2384" t="n">
        <v>0</v>
      </c>
      <c r="T2384" t="n">
        <v>0</v>
      </c>
      <c r="U2384" t="n">
        <v>0</v>
      </c>
      <c r="V2384" s="2" t="inlineStr"/>
    </row>
    <row r="2385" ht="15" customHeight="1">
      <c r="A2385" t="inlineStr">
        <is>
          <t>A 33441-2023</t>
        </is>
      </c>
      <c r="B2385" t="inlineStr">
        <is>
          <t>avverkningsanmälan</t>
        </is>
      </c>
      <c r="C2385" t="inlineStr">
        <is>
          <t>Föryngringsavverkning</t>
        </is>
      </c>
      <c r="D2385" s="1" t="n">
        <v>45129</v>
      </c>
      <c r="E2385" s="1" t="n">
        <v>46323</v>
      </c>
      <c r="F2385" t="inlineStr">
        <is>
          <t>KALMAR LÄN</t>
        </is>
      </c>
      <c r="G2385" t="inlineStr">
        <is>
          <t>HULTSFRED</t>
        </is>
      </c>
      <c r="I2385" t="n">
        <v>0.9</v>
      </c>
      <c r="J2385" t="n">
        <v>0</v>
      </c>
      <c r="K2385" t="n">
        <v>0</v>
      </c>
      <c r="L2385" t="n">
        <v>0</v>
      </c>
      <c r="M2385" t="n">
        <v>0</v>
      </c>
      <c r="N2385" t="n">
        <v>0</v>
      </c>
      <c r="O2385" t="n">
        <v>0</v>
      </c>
      <c r="P2385" t="n">
        <v>0</v>
      </c>
      <c r="Q2385" t="n">
        <v>0</v>
      </c>
      <c r="R2385" t="n">
        <v>0</v>
      </c>
      <c r="S2385" t="n">
        <v>0</v>
      </c>
      <c r="T2385" t="n">
        <v>0</v>
      </c>
      <c r="U2385" t="n">
        <v>0</v>
      </c>
      <c r="V2385" s="2" t="inlineStr"/>
    </row>
    <row r="2386" ht="15" customHeight="1">
      <c r="A2386" t="inlineStr">
        <is>
          <t>A 59955-2023</t>
        </is>
      </c>
      <c r="B2386" t="inlineStr">
        <is>
          <t>avverkningsanmälan</t>
        </is>
      </c>
      <c r="C2386" t="inlineStr">
        <is>
          <t>Föryngringsavverkning</t>
        </is>
      </c>
      <c r="D2386" s="1" t="n">
        <v>45257</v>
      </c>
      <c r="E2386" s="1" t="n">
        <v>46323</v>
      </c>
      <c r="F2386" t="inlineStr">
        <is>
          <t>KALMAR LÄN</t>
        </is>
      </c>
      <c r="G2386" t="inlineStr">
        <is>
          <t>VIMMERBY</t>
        </is>
      </c>
      <c r="I2386" t="n">
        <v>13.8</v>
      </c>
      <c r="J2386" t="n">
        <v>0</v>
      </c>
      <c r="K2386" t="n">
        <v>0</v>
      </c>
      <c r="L2386" t="n">
        <v>0</v>
      </c>
      <c r="M2386" t="n">
        <v>0</v>
      </c>
      <c r="N2386" t="n">
        <v>0</v>
      </c>
      <c r="O2386" t="n">
        <v>0</v>
      </c>
      <c r="P2386" t="n">
        <v>0</v>
      </c>
      <c r="Q2386" t="n">
        <v>0</v>
      </c>
      <c r="R2386" t="n">
        <v>0</v>
      </c>
      <c r="S2386" t="n">
        <v>0</v>
      </c>
      <c r="T2386" t="n">
        <v>0</v>
      </c>
      <c r="U2386" t="n">
        <v>0</v>
      </c>
      <c r="V2386" s="2" t="inlineStr"/>
    </row>
    <row r="2387" ht="15" customHeight="1">
      <c r="A2387" t="inlineStr">
        <is>
          <t>A 44322-2023</t>
        </is>
      </c>
      <c r="B2387" t="inlineStr">
        <is>
          <t>avverkningsanmälan</t>
        </is>
      </c>
      <c r="C2387" t="inlineStr">
        <is>
          <t>Föryngringsavverkning</t>
        </is>
      </c>
      <c r="D2387" s="1" t="n">
        <v>45188</v>
      </c>
      <c r="E2387" s="1" t="n">
        <v>46323</v>
      </c>
      <c r="F2387" t="inlineStr">
        <is>
          <t>KALMAR LÄN</t>
        </is>
      </c>
      <c r="G2387" t="inlineStr">
        <is>
          <t>MÖNSTERÅS</t>
        </is>
      </c>
      <c r="I2387" t="n">
        <v>1.4</v>
      </c>
      <c r="J2387" t="n">
        <v>0</v>
      </c>
      <c r="K2387" t="n">
        <v>0</v>
      </c>
      <c r="L2387" t="n">
        <v>0</v>
      </c>
      <c r="M2387" t="n">
        <v>0</v>
      </c>
      <c r="N2387" t="n">
        <v>0</v>
      </c>
      <c r="O2387" t="n">
        <v>0</v>
      </c>
      <c r="P2387" t="n">
        <v>0</v>
      </c>
      <c r="Q2387" t="n">
        <v>0</v>
      </c>
      <c r="R2387" t="n">
        <v>0</v>
      </c>
      <c r="S2387" t="n">
        <v>0</v>
      </c>
      <c r="T2387" t="n">
        <v>0</v>
      </c>
      <c r="U2387" t="n">
        <v>0</v>
      </c>
      <c r="V2387" s="2" t="inlineStr"/>
    </row>
    <row r="2388" ht="15" customHeight="1">
      <c r="A2388" t="inlineStr">
        <is>
          <t>A 37951-2023</t>
        </is>
      </c>
      <c r="B2388" t="inlineStr">
        <is>
          <t>avverkningsanmälan</t>
        </is>
      </c>
      <c r="C2388" t="inlineStr">
        <is>
          <t>Föryngringsavverkning</t>
        </is>
      </c>
      <c r="D2388" s="1" t="n">
        <v>45160</v>
      </c>
      <c r="E2388" s="1" t="n">
        <v>46323</v>
      </c>
      <c r="F2388" t="inlineStr">
        <is>
          <t>KALMAR LÄN</t>
        </is>
      </c>
      <c r="G2388" t="inlineStr">
        <is>
          <t>MÖNSTERÅS</t>
        </is>
      </c>
      <c r="I2388" t="n">
        <v>4.8</v>
      </c>
      <c r="J2388" t="n">
        <v>0</v>
      </c>
      <c r="K2388" t="n">
        <v>0</v>
      </c>
      <c r="L2388" t="n">
        <v>0</v>
      </c>
      <c r="M2388" t="n">
        <v>0</v>
      </c>
      <c r="N2388" t="n">
        <v>0</v>
      </c>
      <c r="O2388" t="n">
        <v>0</v>
      </c>
      <c r="P2388" t="n">
        <v>0</v>
      </c>
      <c r="Q2388" t="n">
        <v>0</v>
      </c>
      <c r="R2388" t="n">
        <v>0</v>
      </c>
      <c r="S2388" t="n">
        <v>0</v>
      </c>
      <c r="T2388" t="n">
        <v>0</v>
      </c>
      <c r="U2388" t="n">
        <v>0</v>
      </c>
      <c r="V2388" s="2" t="inlineStr"/>
    </row>
    <row r="2389" ht="15" customHeight="1">
      <c r="A2389" t="inlineStr">
        <is>
          <t>A 53108-2023</t>
        </is>
      </c>
      <c r="B2389" t="inlineStr">
        <is>
          <t>avverkningsanmälan</t>
        </is>
      </c>
      <c r="C2389" t="inlineStr">
        <is>
          <t>Föryngringsavverkning</t>
        </is>
      </c>
      <c r="D2389" s="1" t="n">
        <v>45228</v>
      </c>
      <c r="E2389" s="1" t="n">
        <v>46323</v>
      </c>
      <c r="F2389" t="inlineStr">
        <is>
          <t>KALMAR LÄN</t>
        </is>
      </c>
      <c r="G2389" t="inlineStr">
        <is>
          <t>HÖGSBY</t>
        </is>
      </c>
      <c r="I2389" t="n">
        <v>3.5</v>
      </c>
      <c r="J2389" t="n">
        <v>0</v>
      </c>
      <c r="K2389" t="n">
        <v>0</v>
      </c>
      <c r="L2389" t="n">
        <v>0</v>
      </c>
      <c r="M2389" t="n">
        <v>0</v>
      </c>
      <c r="N2389" t="n">
        <v>0</v>
      </c>
      <c r="O2389" t="n">
        <v>0</v>
      </c>
      <c r="P2389" t="n">
        <v>0</v>
      </c>
      <c r="Q2389" t="n">
        <v>0</v>
      </c>
      <c r="R2389" t="n">
        <v>0</v>
      </c>
      <c r="S2389" t="n">
        <v>0</v>
      </c>
      <c r="T2389" t="n">
        <v>0</v>
      </c>
      <c r="U2389" t="n">
        <v>0</v>
      </c>
      <c r="V2389" s="2" t="inlineStr"/>
    </row>
    <row r="2390" ht="15" customHeight="1">
      <c r="A2390" t="inlineStr">
        <is>
          <t>A 53196-2023</t>
        </is>
      </c>
      <c r="B2390" t="inlineStr">
        <is>
          <t>avverkningsanmälan</t>
        </is>
      </c>
      <c r="C2390" t="inlineStr">
        <is>
          <t>Föryngringsavverkning</t>
        </is>
      </c>
      <c r="D2390" s="1" t="n">
        <v>45229</v>
      </c>
      <c r="E2390" s="1" t="n">
        <v>46323</v>
      </c>
      <c r="F2390" t="inlineStr">
        <is>
          <t>KALMAR LÄN</t>
        </is>
      </c>
      <c r="G2390" t="inlineStr">
        <is>
          <t>KALMAR</t>
        </is>
      </c>
      <c r="I2390" t="n">
        <v>2.3</v>
      </c>
      <c r="J2390" t="n">
        <v>0</v>
      </c>
      <c r="K2390" t="n">
        <v>0</v>
      </c>
      <c r="L2390" t="n">
        <v>0</v>
      </c>
      <c r="M2390" t="n">
        <v>0</v>
      </c>
      <c r="N2390" t="n">
        <v>0</v>
      </c>
      <c r="O2390" t="n">
        <v>0</v>
      </c>
      <c r="P2390" t="n">
        <v>0</v>
      </c>
      <c r="Q2390" t="n">
        <v>0</v>
      </c>
      <c r="R2390" t="n">
        <v>0</v>
      </c>
      <c r="S2390" t="n">
        <v>0</v>
      </c>
      <c r="T2390" t="n">
        <v>0</v>
      </c>
      <c r="U2390" t="n">
        <v>0</v>
      </c>
      <c r="V2390" s="2" t="inlineStr"/>
    </row>
    <row r="2391" ht="15" customHeight="1">
      <c r="A2391" t="inlineStr">
        <is>
          <t>A 16326-2023</t>
        </is>
      </c>
      <c r="B2391" t="inlineStr">
        <is>
          <t>avverkningsanmälan</t>
        </is>
      </c>
      <c r="C2391" t="inlineStr">
        <is>
          <t>Föryngringsavverkning</t>
        </is>
      </c>
      <c r="D2391" s="1" t="n">
        <v>45028</v>
      </c>
      <c r="E2391" s="1" t="n">
        <v>46323</v>
      </c>
      <c r="F2391" t="inlineStr">
        <is>
          <t>KALMAR LÄN</t>
        </is>
      </c>
      <c r="G2391" t="inlineStr">
        <is>
          <t>KALMAR</t>
        </is>
      </c>
      <c r="I2391" t="n">
        <v>1.3</v>
      </c>
      <c r="J2391" t="n">
        <v>0</v>
      </c>
      <c r="K2391" t="n">
        <v>0</v>
      </c>
      <c r="L2391" t="n">
        <v>0</v>
      </c>
      <c r="M2391" t="n">
        <v>0</v>
      </c>
      <c r="N2391" t="n">
        <v>0</v>
      </c>
      <c r="O2391" t="n">
        <v>0</v>
      </c>
      <c r="P2391" t="n">
        <v>0</v>
      </c>
      <c r="Q2391" t="n">
        <v>0</v>
      </c>
      <c r="R2391" t="n">
        <v>0</v>
      </c>
      <c r="S2391" t="n">
        <v>0</v>
      </c>
      <c r="T2391" t="n">
        <v>0</v>
      </c>
      <c r="U2391" t="n">
        <v>0</v>
      </c>
      <c r="V2391" s="2" t="inlineStr"/>
    </row>
    <row r="2392" ht="15" customHeight="1">
      <c r="A2392" t="inlineStr">
        <is>
          <t>A 38971-2022</t>
        </is>
      </c>
      <c r="B2392" t="inlineStr">
        <is>
          <t>avverkningsanmälan</t>
        </is>
      </c>
      <c r="C2392" t="inlineStr">
        <is>
          <t>Föryngringsavverkning</t>
        </is>
      </c>
      <c r="D2392" s="1" t="n">
        <v>44816</v>
      </c>
      <c r="E2392" s="1" t="n">
        <v>46323</v>
      </c>
      <c r="F2392" t="inlineStr">
        <is>
          <t>KALMAR LÄN</t>
        </is>
      </c>
      <c r="G2392" t="inlineStr">
        <is>
          <t>HULTSFRED</t>
        </is>
      </c>
      <c r="I2392" t="n">
        <v>2.6</v>
      </c>
      <c r="J2392" t="n">
        <v>0</v>
      </c>
      <c r="K2392" t="n">
        <v>0</v>
      </c>
      <c r="L2392" t="n">
        <v>0</v>
      </c>
      <c r="M2392" t="n">
        <v>0</v>
      </c>
      <c r="N2392" t="n">
        <v>0</v>
      </c>
      <c r="O2392" t="n">
        <v>0</v>
      </c>
      <c r="P2392" t="n">
        <v>0</v>
      </c>
      <c r="Q2392" t="n">
        <v>0</v>
      </c>
      <c r="R2392" t="n">
        <v>0</v>
      </c>
      <c r="S2392" t="n">
        <v>0</v>
      </c>
      <c r="T2392" t="n">
        <v>0</v>
      </c>
      <c r="U2392" t="n">
        <v>0</v>
      </c>
      <c r="V2392" s="2" t="inlineStr"/>
    </row>
    <row r="2393" ht="15" customHeight="1">
      <c r="A2393" t="inlineStr">
        <is>
          <t>A 13864-2024</t>
        </is>
      </c>
      <c r="B2393" t="inlineStr">
        <is>
          <t>avverkningsanmälan</t>
        </is>
      </c>
      <c r="C2393" t="inlineStr">
        <is>
          <t>Föryngringsavverkning</t>
        </is>
      </c>
      <c r="D2393" s="1" t="n">
        <v>45390</v>
      </c>
      <c r="E2393" s="1" t="n">
        <v>46323</v>
      </c>
      <c r="F2393" t="inlineStr">
        <is>
          <t>KALMAR LÄN</t>
        </is>
      </c>
      <c r="G2393" t="inlineStr">
        <is>
          <t>HULTSFRED</t>
        </is>
      </c>
      <c r="I2393" t="n">
        <v>1.7</v>
      </c>
      <c r="J2393" t="n">
        <v>0</v>
      </c>
      <c r="K2393" t="n">
        <v>0</v>
      </c>
      <c r="L2393" t="n">
        <v>0</v>
      </c>
      <c r="M2393" t="n">
        <v>0</v>
      </c>
      <c r="N2393" t="n">
        <v>0</v>
      </c>
      <c r="O2393" t="n">
        <v>0</v>
      </c>
      <c r="P2393" t="n">
        <v>0</v>
      </c>
      <c r="Q2393" t="n">
        <v>0</v>
      </c>
      <c r="R2393" t="n">
        <v>0</v>
      </c>
      <c r="S2393" t="n">
        <v>0</v>
      </c>
      <c r="T2393" t="n">
        <v>0</v>
      </c>
      <c r="U2393" t="n">
        <v>0</v>
      </c>
      <c r="V2393" s="2" t="inlineStr"/>
    </row>
    <row r="2394" ht="15" customHeight="1">
      <c r="A2394" t="inlineStr">
        <is>
          <t>A 13974-2023</t>
        </is>
      </c>
      <c r="B2394" t="inlineStr">
        <is>
          <t>avverkningsanmälan</t>
        </is>
      </c>
      <c r="C2394" t="inlineStr">
        <is>
          <t>Föryngringsavverkning</t>
        </is>
      </c>
      <c r="D2394" s="1" t="n">
        <v>45008</v>
      </c>
      <c r="E2394" s="1" t="n">
        <v>46323</v>
      </c>
      <c r="F2394" t="inlineStr">
        <is>
          <t>KALMAR LÄN</t>
        </is>
      </c>
      <c r="G2394" t="inlineStr">
        <is>
          <t>HULTSFRED</t>
        </is>
      </c>
      <c r="I2394" t="n">
        <v>1.8</v>
      </c>
      <c r="J2394" t="n">
        <v>0</v>
      </c>
      <c r="K2394" t="n">
        <v>0</v>
      </c>
      <c r="L2394" t="n">
        <v>0</v>
      </c>
      <c r="M2394" t="n">
        <v>0</v>
      </c>
      <c r="N2394" t="n">
        <v>0</v>
      </c>
      <c r="O2394" t="n">
        <v>0</v>
      </c>
      <c r="P2394" t="n">
        <v>0</v>
      </c>
      <c r="Q2394" t="n">
        <v>0</v>
      </c>
      <c r="R2394" t="n">
        <v>0</v>
      </c>
      <c r="S2394" t="n">
        <v>0</v>
      </c>
      <c r="T2394" t="n">
        <v>0</v>
      </c>
      <c r="U2394" t="n">
        <v>0</v>
      </c>
      <c r="V2394" s="2" t="inlineStr"/>
    </row>
    <row r="2395" ht="15" customHeight="1">
      <c r="A2395" t="inlineStr">
        <is>
          <t>A 40075-2025</t>
        </is>
      </c>
      <c r="B2395" t="inlineStr">
        <is>
          <t>avverkningsanmälan</t>
        </is>
      </c>
      <c r="C2395" t="inlineStr">
        <is>
          <t>Föryngringsavverkning</t>
        </is>
      </c>
      <c r="D2395" s="1" t="n">
        <v>45894</v>
      </c>
      <c r="E2395" s="1" t="n">
        <v>46323</v>
      </c>
      <c r="F2395" t="inlineStr">
        <is>
          <t>KALMAR LÄN</t>
        </is>
      </c>
      <c r="G2395" t="inlineStr">
        <is>
          <t>NYBRO</t>
        </is>
      </c>
      <c r="I2395" t="n">
        <v>1.1</v>
      </c>
      <c r="J2395" t="n">
        <v>0</v>
      </c>
      <c r="K2395" t="n">
        <v>0</v>
      </c>
      <c r="L2395" t="n">
        <v>0</v>
      </c>
      <c r="M2395" t="n">
        <v>0</v>
      </c>
      <c r="N2395" t="n">
        <v>0</v>
      </c>
      <c r="O2395" t="n">
        <v>0</v>
      </c>
      <c r="P2395" t="n">
        <v>0</v>
      </c>
      <c r="Q2395" t="n">
        <v>0</v>
      </c>
      <c r="R2395" t="n">
        <v>0</v>
      </c>
      <c r="S2395" t="n">
        <v>0</v>
      </c>
      <c r="T2395" t="n">
        <v>0</v>
      </c>
      <c r="U2395" t="n">
        <v>0</v>
      </c>
      <c r="V2395" s="2" t="inlineStr"/>
    </row>
    <row r="2396" ht="15" customHeight="1">
      <c r="A2396" t="inlineStr">
        <is>
          <t>A 40077-2025</t>
        </is>
      </c>
      <c r="B2396" t="inlineStr">
        <is>
          <t>avverkningsanmälan</t>
        </is>
      </c>
      <c r="C2396" t="inlineStr">
        <is>
          <t>Föryngringsavverkning</t>
        </is>
      </c>
      <c r="D2396" s="1" t="n">
        <v>45894</v>
      </c>
      <c r="E2396" s="1" t="n">
        <v>46323</v>
      </c>
      <c r="F2396" t="inlineStr">
        <is>
          <t>KALMAR LÄN</t>
        </is>
      </c>
      <c r="G2396" t="inlineStr">
        <is>
          <t>NYBRO</t>
        </is>
      </c>
      <c r="I2396" t="n">
        <v>1.3</v>
      </c>
      <c r="J2396" t="n">
        <v>0</v>
      </c>
      <c r="K2396" t="n">
        <v>0</v>
      </c>
      <c r="L2396" t="n">
        <v>0</v>
      </c>
      <c r="M2396" t="n">
        <v>0</v>
      </c>
      <c r="N2396" t="n">
        <v>0</v>
      </c>
      <c r="O2396" t="n">
        <v>0</v>
      </c>
      <c r="P2396" t="n">
        <v>0</v>
      </c>
      <c r="Q2396" t="n">
        <v>0</v>
      </c>
      <c r="R2396" t="n">
        <v>0</v>
      </c>
      <c r="S2396" t="n">
        <v>0</v>
      </c>
      <c r="T2396" t="n">
        <v>0</v>
      </c>
      <c r="U2396" t="n">
        <v>0</v>
      </c>
      <c r="V2396" s="2" t="inlineStr"/>
    </row>
    <row r="2397" ht="15" customHeight="1">
      <c r="A2397" t="inlineStr">
        <is>
          <t>A 23626-2024</t>
        </is>
      </c>
      <c r="B2397" t="inlineStr">
        <is>
          <t>avverkningsanmälan</t>
        </is>
      </c>
      <c r="C2397" t="inlineStr">
        <is>
          <t>Föryngringsavverkning</t>
        </is>
      </c>
      <c r="D2397" s="1" t="n">
        <v>45454</v>
      </c>
      <c r="E2397" s="1" t="n">
        <v>46323</v>
      </c>
      <c r="F2397" t="inlineStr">
        <is>
          <t>KALMAR LÄN</t>
        </is>
      </c>
      <c r="G2397" t="inlineStr">
        <is>
          <t>VÄSTERVIK</t>
        </is>
      </c>
      <c r="I2397" t="n">
        <v>2.1</v>
      </c>
      <c r="J2397" t="n">
        <v>0</v>
      </c>
      <c r="K2397" t="n">
        <v>0</v>
      </c>
      <c r="L2397" t="n">
        <v>0</v>
      </c>
      <c r="M2397" t="n">
        <v>0</v>
      </c>
      <c r="N2397" t="n">
        <v>0</v>
      </c>
      <c r="O2397" t="n">
        <v>0</v>
      </c>
      <c r="P2397" t="n">
        <v>0</v>
      </c>
      <c r="Q2397" t="n">
        <v>0</v>
      </c>
      <c r="R2397" t="n">
        <v>0</v>
      </c>
      <c r="S2397" t="n">
        <v>0</v>
      </c>
      <c r="T2397" t="n">
        <v>0</v>
      </c>
      <c r="U2397" t="n">
        <v>0</v>
      </c>
      <c r="V2397" s="2" t="inlineStr"/>
    </row>
    <row r="2398" ht="15" customHeight="1">
      <c r="A2398" t="inlineStr">
        <is>
          <t>A 24867-2024</t>
        </is>
      </c>
      <c r="B2398" t="inlineStr">
        <is>
          <t>avverkningsanmälan</t>
        </is>
      </c>
      <c r="C2398" t="inlineStr">
        <is>
          <t>Föryngringsavverkning</t>
        </is>
      </c>
      <c r="D2398" s="1" t="n">
        <v>45461</v>
      </c>
      <c r="E2398" s="1" t="n">
        <v>46323</v>
      </c>
      <c r="F2398" t="inlineStr">
        <is>
          <t>KALMAR LÄN</t>
        </is>
      </c>
      <c r="G2398" t="inlineStr">
        <is>
          <t>EMMABODA</t>
        </is>
      </c>
      <c r="I2398" t="n">
        <v>1.5</v>
      </c>
      <c r="J2398" t="n">
        <v>0</v>
      </c>
      <c r="K2398" t="n">
        <v>0</v>
      </c>
      <c r="L2398" t="n">
        <v>0</v>
      </c>
      <c r="M2398" t="n">
        <v>0</v>
      </c>
      <c r="N2398" t="n">
        <v>0</v>
      </c>
      <c r="O2398" t="n">
        <v>0</v>
      </c>
      <c r="P2398" t="n">
        <v>0</v>
      </c>
      <c r="Q2398" t="n">
        <v>0</v>
      </c>
      <c r="R2398" t="n">
        <v>0</v>
      </c>
      <c r="S2398" t="n">
        <v>0</v>
      </c>
      <c r="T2398" t="n">
        <v>0</v>
      </c>
      <c r="U2398" t="n">
        <v>0</v>
      </c>
      <c r="V2398" s="2" t="inlineStr"/>
    </row>
    <row r="2399" ht="15" customHeight="1">
      <c r="A2399" t="inlineStr">
        <is>
          <t>A 6690-2025</t>
        </is>
      </c>
      <c r="B2399" t="inlineStr">
        <is>
          <t>avverkningsanmälan</t>
        </is>
      </c>
      <c r="C2399" t="inlineStr">
        <is>
          <t>Föryngringsavverkning</t>
        </is>
      </c>
      <c r="D2399" s="1" t="n">
        <v>45700</v>
      </c>
      <c r="E2399" s="1" t="n">
        <v>46323</v>
      </c>
      <c r="F2399" t="inlineStr">
        <is>
          <t>KALMAR LÄN</t>
        </is>
      </c>
      <c r="G2399" t="inlineStr">
        <is>
          <t>EMMABODA</t>
        </is>
      </c>
      <c r="I2399" t="n">
        <v>5.3</v>
      </c>
      <c r="J2399" t="n">
        <v>0</v>
      </c>
      <c r="K2399" t="n">
        <v>0</v>
      </c>
      <c r="L2399" t="n">
        <v>0</v>
      </c>
      <c r="M2399" t="n">
        <v>0</v>
      </c>
      <c r="N2399" t="n">
        <v>0</v>
      </c>
      <c r="O2399" t="n">
        <v>0</v>
      </c>
      <c r="P2399" t="n">
        <v>0</v>
      </c>
      <c r="Q2399" t="n">
        <v>0</v>
      </c>
      <c r="R2399" t="n">
        <v>0</v>
      </c>
      <c r="S2399" t="n">
        <v>0</v>
      </c>
      <c r="T2399" t="n">
        <v>0</v>
      </c>
      <c r="U2399" t="n">
        <v>0</v>
      </c>
      <c r="V2399" s="2" t="inlineStr"/>
    </row>
    <row r="2400" ht="15" customHeight="1">
      <c r="A2400" t="inlineStr">
        <is>
          <t>A 39803-2025</t>
        </is>
      </c>
      <c r="B2400" t="inlineStr">
        <is>
          <t>avverkningsanmälan</t>
        </is>
      </c>
      <c r="C2400" t="inlineStr">
        <is>
          <t>Föryngringsavverkning</t>
        </is>
      </c>
      <c r="D2400" s="1" t="n">
        <v>45891</v>
      </c>
      <c r="E2400" s="1" t="n">
        <v>46323</v>
      </c>
      <c r="F2400" t="inlineStr">
        <is>
          <t>KALMAR LÄN</t>
        </is>
      </c>
      <c r="G2400" t="inlineStr">
        <is>
          <t>VIMMERBY</t>
        </is>
      </c>
      <c r="I2400" t="n">
        <v>0.5</v>
      </c>
      <c r="J2400" t="n">
        <v>0</v>
      </c>
      <c r="K2400" t="n">
        <v>0</v>
      </c>
      <c r="L2400" t="n">
        <v>0</v>
      </c>
      <c r="M2400" t="n">
        <v>0</v>
      </c>
      <c r="N2400" t="n">
        <v>0</v>
      </c>
      <c r="O2400" t="n">
        <v>0</v>
      </c>
      <c r="P2400" t="n">
        <v>0</v>
      </c>
      <c r="Q2400" t="n">
        <v>0</v>
      </c>
      <c r="R2400" t="n">
        <v>0</v>
      </c>
      <c r="S2400" t="n">
        <v>0</v>
      </c>
      <c r="T2400" t="n">
        <v>0</v>
      </c>
      <c r="U2400" t="n">
        <v>0</v>
      </c>
      <c r="V2400" s="2" t="inlineStr"/>
    </row>
    <row r="2401" ht="15" customHeight="1">
      <c r="A2401" t="inlineStr">
        <is>
          <t>A 28666-2023</t>
        </is>
      </c>
      <c r="B2401" t="inlineStr">
        <is>
          <t>avverkningsanmälan</t>
        </is>
      </c>
      <c r="C2401" t="inlineStr">
        <is>
          <t>Föryngringsavverkning</t>
        </is>
      </c>
      <c r="D2401" s="1" t="n">
        <v>45103</v>
      </c>
      <c r="E2401" s="1" t="n">
        <v>46323</v>
      </c>
      <c r="F2401" t="inlineStr">
        <is>
          <t>KALMAR LÄN</t>
        </is>
      </c>
      <c r="G2401" t="inlineStr">
        <is>
          <t>HULTSFRED</t>
        </is>
      </c>
      <c r="I2401" t="n">
        <v>1.4</v>
      </c>
      <c r="J2401" t="n">
        <v>0</v>
      </c>
      <c r="K2401" t="n">
        <v>0</v>
      </c>
      <c r="L2401" t="n">
        <v>0</v>
      </c>
      <c r="M2401" t="n">
        <v>0</v>
      </c>
      <c r="N2401" t="n">
        <v>0</v>
      </c>
      <c r="O2401" t="n">
        <v>0</v>
      </c>
      <c r="P2401" t="n">
        <v>0</v>
      </c>
      <c r="Q2401" t="n">
        <v>0</v>
      </c>
      <c r="R2401" t="n">
        <v>0</v>
      </c>
      <c r="S2401" t="n">
        <v>0</v>
      </c>
      <c r="T2401" t="n">
        <v>0</v>
      </c>
      <c r="U2401" t="n">
        <v>0</v>
      </c>
      <c r="V2401" s="2" t="inlineStr"/>
    </row>
    <row r="2402" ht="15" customHeight="1">
      <c r="A2402" t="inlineStr">
        <is>
          <t>A 44395-2022</t>
        </is>
      </c>
      <c r="B2402" t="inlineStr">
        <is>
          <t>avverkningsanmälan</t>
        </is>
      </c>
      <c r="C2402" t="inlineStr">
        <is>
          <t>Föryngringsavverkning</t>
        </is>
      </c>
      <c r="D2402" s="1" t="n">
        <v>44839</v>
      </c>
      <c r="E2402" s="1" t="n">
        <v>46323</v>
      </c>
      <c r="F2402" t="inlineStr">
        <is>
          <t>KALMAR LÄN</t>
        </is>
      </c>
      <c r="G2402" t="inlineStr">
        <is>
          <t>NYBRO</t>
        </is>
      </c>
      <c r="I2402" t="n">
        <v>0.6</v>
      </c>
      <c r="J2402" t="n">
        <v>0</v>
      </c>
      <c r="K2402" t="n">
        <v>0</v>
      </c>
      <c r="L2402" t="n">
        <v>0</v>
      </c>
      <c r="M2402" t="n">
        <v>0</v>
      </c>
      <c r="N2402" t="n">
        <v>0</v>
      </c>
      <c r="O2402" t="n">
        <v>0</v>
      </c>
      <c r="P2402" t="n">
        <v>0</v>
      </c>
      <c r="Q2402" t="n">
        <v>0</v>
      </c>
      <c r="R2402" t="n">
        <v>0</v>
      </c>
      <c r="S2402" t="n">
        <v>0</v>
      </c>
      <c r="T2402" t="n">
        <v>0</v>
      </c>
      <c r="U2402" t="n">
        <v>0</v>
      </c>
      <c r="V2402" s="2" t="inlineStr"/>
    </row>
    <row r="2403" ht="15" customHeight="1">
      <c r="A2403" t="inlineStr">
        <is>
          <t>A 14839-2025</t>
        </is>
      </c>
      <c r="B2403" t="inlineStr">
        <is>
          <t>avverkningsanmälan</t>
        </is>
      </c>
      <c r="C2403" t="inlineStr">
        <is>
          <t>Avverkning för att bevara och utveckla /försöksver</t>
        </is>
      </c>
      <c r="D2403" s="1" t="n">
        <v>45743</v>
      </c>
      <c r="E2403" s="1" t="n">
        <v>46323</v>
      </c>
      <c r="F2403" t="inlineStr">
        <is>
          <t>KALMAR LÄN</t>
        </is>
      </c>
      <c r="G2403" t="inlineStr">
        <is>
          <t>HULTSFRED</t>
        </is>
      </c>
      <c r="H2403" t="inlineStr">
        <is>
          <t>Sveaskog</t>
        </is>
      </c>
      <c r="I2403" t="n">
        <v>1.5</v>
      </c>
      <c r="J2403" t="n">
        <v>0</v>
      </c>
      <c r="K2403" t="n">
        <v>0</v>
      </c>
      <c r="L2403" t="n">
        <v>0</v>
      </c>
      <c r="M2403" t="n">
        <v>0</v>
      </c>
      <c r="N2403" t="n">
        <v>0</v>
      </c>
      <c r="O2403" t="n">
        <v>0</v>
      </c>
      <c r="P2403" t="n">
        <v>0</v>
      </c>
      <c r="Q2403" t="n">
        <v>0</v>
      </c>
      <c r="R2403" t="n">
        <v>0</v>
      </c>
      <c r="S2403" t="n">
        <v>0</v>
      </c>
      <c r="T2403" t="n">
        <v>0</v>
      </c>
      <c r="U2403" t="n">
        <v>0</v>
      </c>
      <c r="V2403" s="2" t="inlineStr"/>
    </row>
    <row r="2404" ht="15" customHeight="1">
      <c r="A2404" t="inlineStr">
        <is>
          <t>A 37858-2023</t>
        </is>
      </c>
      <c r="B2404" t="inlineStr">
        <is>
          <t>avverkningsanmälan</t>
        </is>
      </c>
      <c r="C2404" t="inlineStr">
        <is>
          <t>Föryngringsavverkning</t>
        </is>
      </c>
      <c r="D2404" s="1" t="n">
        <v>45160</v>
      </c>
      <c r="E2404" s="1" t="n">
        <v>46323</v>
      </c>
      <c r="F2404" t="inlineStr">
        <is>
          <t>KALMAR LÄN</t>
        </is>
      </c>
      <c r="G2404" t="inlineStr">
        <is>
          <t>VÄSTERVIK</t>
        </is>
      </c>
      <c r="I2404" t="n">
        <v>3</v>
      </c>
      <c r="J2404" t="n">
        <v>0</v>
      </c>
      <c r="K2404" t="n">
        <v>0</v>
      </c>
      <c r="L2404" t="n">
        <v>0</v>
      </c>
      <c r="M2404" t="n">
        <v>0</v>
      </c>
      <c r="N2404" t="n">
        <v>0</v>
      </c>
      <c r="O2404" t="n">
        <v>0</v>
      </c>
      <c r="P2404" t="n">
        <v>0</v>
      </c>
      <c r="Q2404" t="n">
        <v>0</v>
      </c>
      <c r="R2404" t="n">
        <v>0</v>
      </c>
      <c r="S2404" t="n">
        <v>0</v>
      </c>
      <c r="T2404" t="n">
        <v>0</v>
      </c>
      <c r="U2404" t="n">
        <v>0</v>
      </c>
      <c r="V2404" s="2" t="inlineStr"/>
    </row>
    <row r="2405" ht="15" customHeight="1">
      <c r="A2405" t="inlineStr">
        <is>
          <t>A 40168-2025</t>
        </is>
      </c>
      <c r="B2405" t="inlineStr">
        <is>
          <t>avverkningsanmälan</t>
        </is>
      </c>
      <c r="C2405" t="inlineStr">
        <is>
          <t>Föryngringsavverkning</t>
        </is>
      </c>
      <c r="D2405" s="1" t="n">
        <v>45894</v>
      </c>
      <c r="E2405" s="1" t="n">
        <v>46323</v>
      </c>
      <c r="F2405" t="inlineStr">
        <is>
          <t>KALMAR LÄN</t>
        </is>
      </c>
      <c r="G2405" t="inlineStr">
        <is>
          <t>VÄSTERVIK</t>
        </is>
      </c>
      <c r="I2405" t="n">
        <v>0.3</v>
      </c>
      <c r="J2405" t="n">
        <v>0</v>
      </c>
      <c r="K2405" t="n">
        <v>0</v>
      </c>
      <c r="L2405" t="n">
        <v>0</v>
      </c>
      <c r="M2405" t="n">
        <v>0</v>
      </c>
      <c r="N2405" t="n">
        <v>0</v>
      </c>
      <c r="O2405" t="n">
        <v>0</v>
      </c>
      <c r="P2405" t="n">
        <v>0</v>
      </c>
      <c r="Q2405" t="n">
        <v>0</v>
      </c>
      <c r="R2405" t="n">
        <v>0</v>
      </c>
      <c r="S2405" t="n">
        <v>0</v>
      </c>
      <c r="T2405" t="n">
        <v>0</v>
      </c>
      <c r="U2405" t="n">
        <v>0</v>
      </c>
      <c r="V2405" s="2" t="inlineStr"/>
    </row>
    <row r="2406" ht="15" customHeight="1">
      <c r="A2406" t="inlineStr">
        <is>
          <t>A 53726-2022</t>
        </is>
      </c>
      <c r="B2406" t="inlineStr">
        <is>
          <t>avverkningsanmälan</t>
        </is>
      </c>
      <c r="C2406" t="inlineStr">
        <is>
          <t>Föryngringsavverkning</t>
        </is>
      </c>
      <c r="D2406" s="1" t="n">
        <v>44880</v>
      </c>
      <c r="E2406" s="1" t="n">
        <v>46323</v>
      </c>
      <c r="F2406" t="inlineStr">
        <is>
          <t>KALMAR LÄN</t>
        </is>
      </c>
      <c r="G2406" t="inlineStr">
        <is>
          <t>HULTSFRED</t>
        </is>
      </c>
      <c r="I2406" t="n">
        <v>1.5</v>
      </c>
      <c r="J2406" t="n">
        <v>0</v>
      </c>
      <c r="K2406" t="n">
        <v>0</v>
      </c>
      <c r="L2406" t="n">
        <v>0</v>
      </c>
      <c r="M2406" t="n">
        <v>0</v>
      </c>
      <c r="N2406" t="n">
        <v>0</v>
      </c>
      <c r="O2406" t="n">
        <v>0</v>
      </c>
      <c r="P2406" t="n">
        <v>0</v>
      </c>
      <c r="Q2406" t="n">
        <v>0</v>
      </c>
      <c r="R2406" t="n">
        <v>0</v>
      </c>
      <c r="S2406" t="n">
        <v>0</v>
      </c>
      <c r="T2406" t="n">
        <v>0</v>
      </c>
      <c r="U2406" t="n">
        <v>0</v>
      </c>
      <c r="V2406" s="2" t="inlineStr"/>
    </row>
    <row r="2407" ht="15" customHeight="1">
      <c r="A2407" t="inlineStr">
        <is>
          <t>A 50256-2023</t>
        </is>
      </c>
      <c r="B2407" t="inlineStr">
        <is>
          <t>avverkningsanmälan</t>
        </is>
      </c>
      <c r="C2407" t="inlineStr">
        <is>
          <t>Föryngringsavverkning</t>
        </is>
      </c>
      <c r="D2407" s="1" t="n">
        <v>45209</v>
      </c>
      <c r="E2407" s="1" t="n">
        <v>46323</v>
      </c>
      <c r="F2407" t="inlineStr">
        <is>
          <t>KALMAR LÄN</t>
        </is>
      </c>
      <c r="G2407" t="inlineStr">
        <is>
          <t>OSKARSHAMN</t>
        </is>
      </c>
      <c r="I2407" t="n">
        <v>3.1</v>
      </c>
      <c r="J2407" t="n">
        <v>0</v>
      </c>
      <c r="K2407" t="n">
        <v>0</v>
      </c>
      <c r="L2407" t="n">
        <v>0</v>
      </c>
      <c r="M2407" t="n">
        <v>0</v>
      </c>
      <c r="N2407" t="n">
        <v>0</v>
      </c>
      <c r="O2407" t="n">
        <v>0</v>
      </c>
      <c r="P2407" t="n">
        <v>0</v>
      </c>
      <c r="Q2407" t="n">
        <v>0</v>
      </c>
      <c r="R2407" t="n">
        <v>0</v>
      </c>
      <c r="S2407" t="n">
        <v>0</v>
      </c>
      <c r="T2407" t="n">
        <v>0</v>
      </c>
      <c r="U2407" t="n">
        <v>0</v>
      </c>
      <c r="V2407" s="2" t="inlineStr"/>
    </row>
    <row r="2408" ht="15" customHeight="1">
      <c r="A2408" t="inlineStr">
        <is>
          <t>A 2951-2025</t>
        </is>
      </c>
      <c r="B2408" t="inlineStr">
        <is>
          <t>avverkningsanmälan</t>
        </is>
      </c>
      <c r="C2408" t="inlineStr">
        <is>
          <t>Föryngringsavverkning</t>
        </is>
      </c>
      <c r="D2408" s="1" t="n">
        <v>45678</v>
      </c>
      <c r="E2408" s="1" t="n">
        <v>46323</v>
      </c>
      <c r="F2408" t="inlineStr">
        <is>
          <t>KALMAR LÄN</t>
        </is>
      </c>
      <c r="G2408" t="inlineStr">
        <is>
          <t>VÄSTERVIK</t>
        </is>
      </c>
      <c r="I2408" t="n">
        <v>0.5</v>
      </c>
      <c r="J2408" t="n">
        <v>0</v>
      </c>
      <c r="K2408" t="n">
        <v>0</v>
      </c>
      <c r="L2408" t="n">
        <v>0</v>
      </c>
      <c r="M2408" t="n">
        <v>0</v>
      </c>
      <c r="N2408" t="n">
        <v>0</v>
      </c>
      <c r="O2408" t="n">
        <v>0</v>
      </c>
      <c r="P2408" t="n">
        <v>0</v>
      </c>
      <c r="Q2408" t="n">
        <v>0</v>
      </c>
      <c r="R2408" t="n">
        <v>0</v>
      </c>
      <c r="S2408" t="n">
        <v>0</v>
      </c>
      <c r="T2408" t="n">
        <v>0</v>
      </c>
      <c r="U2408" t="n">
        <v>0</v>
      </c>
      <c r="V2408" s="2" t="inlineStr"/>
    </row>
    <row r="2409" ht="15" customHeight="1">
      <c r="A2409" t="inlineStr">
        <is>
          <t>A 5889-2023</t>
        </is>
      </c>
      <c r="B2409" t="inlineStr">
        <is>
          <t>avverkningsanmälan</t>
        </is>
      </c>
      <c r="C2409" t="inlineStr">
        <is>
          <t>Föryngringsavverkning</t>
        </is>
      </c>
      <c r="D2409" s="1" t="n">
        <v>44963</v>
      </c>
      <c r="E2409" s="1" t="n">
        <v>46323</v>
      </c>
      <c r="F2409" t="inlineStr">
        <is>
          <t>KALMAR LÄN</t>
        </is>
      </c>
      <c r="G2409" t="inlineStr">
        <is>
          <t>OSKARSHAMN</t>
        </is>
      </c>
      <c r="I2409" t="n">
        <v>3.7</v>
      </c>
      <c r="J2409" t="n">
        <v>0</v>
      </c>
      <c r="K2409" t="n">
        <v>0</v>
      </c>
      <c r="L2409" t="n">
        <v>0</v>
      </c>
      <c r="M2409" t="n">
        <v>0</v>
      </c>
      <c r="N2409" t="n">
        <v>0</v>
      </c>
      <c r="O2409" t="n">
        <v>0</v>
      </c>
      <c r="P2409" t="n">
        <v>0</v>
      </c>
      <c r="Q2409" t="n">
        <v>0</v>
      </c>
      <c r="R2409" t="n">
        <v>0</v>
      </c>
      <c r="S2409" t="n">
        <v>0</v>
      </c>
      <c r="T2409" t="n">
        <v>0</v>
      </c>
      <c r="U2409" t="n">
        <v>0</v>
      </c>
      <c r="V2409" s="2" t="inlineStr"/>
    </row>
    <row r="2410" ht="15" customHeight="1">
      <c r="A2410" t="inlineStr">
        <is>
          <t>A 26160-2024</t>
        </is>
      </c>
      <c r="B2410" t="inlineStr">
        <is>
          <t>avverkningsanmälan</t>
        </is>
      </c>
      <c r="C2410" t="inlineStr">
        <is>
          <t>Avverkning för annat ändamål</t>
        </is>
      </c>
      <c r="D2410" s="1" t="n">
        <v>45468</v>
      </c>
      <c r="E2410" s="1" t="n">
        <v>46323</v>
      </c>
      <c r="F2410" t="inlineStr">
        <is>
          <t>KALMAR LÄN</t>
        </is>
      </c>
      <c r="G2410" t="inlineStr">
        <is>
          <t>BORGHOLM</t>
        </is>
      </c>
      <c r="I2410" t="n">
        <v>0.4</v>
      </c>
      <c r="J2410" t="n">
        <v>0</v>
      </c>
      <c r="K2410" t="n">
        <v>0</v>
      </c>
      <c r="L2410" t="n">
        <v>0</v>
      </c>
      <c r="M2410" t="n">
        <v>0</v>
      </c>
      <c r="N2410" t="n">
        <v>0</v>
      </c>
      <c r="O2410" t="n">
        <v>0</v>
      </c>
      <c r="P2410" t="n">
        <v>0</v>
      </c>
      <c r="Q2410" t="n">
        <v>0</v>
      </c>
      <c r="R2410" t="n">
        <v>0</v>
      </c>
      <c r="S2410" t="n">
        <v>0</v>
      </c>
      <c r="T2410" t="n">
        <v>0</v>
      </c>
      <c r="U2410" t="n">
        <v>0</v>
      </c>
      <c r="V2410" s="2" t="inlineStr"/>
      <c r="X2410">
        <f>HYPERLINK("https://klasma.github.io/Logging_0885/kartor/A 26160-2024 karta.png", "A 26160-2024")</f>
        <v/>
      </c>
      <c r="Y2410">
        <f>HYPERLINK("https://klasma.github.io/Logging_0885/kartor_geotiff/A 26160-2024 georefererad karta.tif", "A 26160-2024")</f>
        <v/>
      </c>
      <c r="AA2410">
        <f>HYPERLINK("https://klasma.github.io/Logging_0885/klagomål/A 26160-2024 FSC-klagomål.docx", "A 26160-2024")</f>
        <v/>
      </c>
      <c r="AB2410">
        <f>HYPERLINK("https://klasma.github.io/Logging_0885/klagomålsmail/A 26160-2024 FSC-klagomål mail.docx", "A 26160-2024")</f>
        <v/>
      </c>
      <c r="AC2410">
        <f>HYPERLINK("https://klasma.github.io/Logging_0885/tillsyn/A 26160-2024 tillsynsbegäran.docx", "A 26160-2024")</f>
        <v/>
      </c>
      <c r="AD2410">
        <f>HYPERLINK("https://klasma.github.io/Logging_0885/tillsynsmail/A 26160-2024 tillsynsbegäran mail.docx", "A 26160-2024")</f>
        <v/>
      </c>
    </row>
    <row r="2411" ht="15" customHeight="1">
      <c r="A2411" t="inlineStr">
        <is>
          <t>A 39941-2023</t>
        </is>
      </c>
      <c r="B2411" t="inlineStr">
        <is>
          <t>avverkningsanmälan</t>
        </is>
      </c>
      <c r="C2411" t="inlineStr">
        <is>
          <t>Föryngringsavverkning</t>
        </is>
      </c>
      <c r="D2411" s="1" t="n">
        <v>45168</v>
      </c>
      <c r="E2411" s="1" t="n">
        <v>46323</v>
      </c>
      <c r="F2411" t="inlineStr">
        <is>
          <t>KALMAR LÄN</t>
        </is>
      </c>
      <c r="G2411" t="inlineStr">
        <is>
          <t>HULTSFRED</t>
        </is>
      </c>
      <c r="I2411" t="n">
        <v>1.7</v>
      </c>
      <c r="J2411" t="n">
        <v>0</v>
      </c>
      <c r="K2411" t="n">
        <v>0</v>
      </c>
      <c r="L2411" t="n">
        <v>0</v>
      </c>
      <c r="M2411" t="n">
        <v>0</v>
      </c>
      <c r="N2411" t="n">
        <v>0</v>
      </c>
      <c r="O2411" t="n">
        <v>0</v>
      </c>
      <c r="P2411" t="n">
        <v>0</v>
      </c>
      <c r="Q2411" t="n">
        <v>0</v>
      </c>
      <c r="R2411" t="n">
        <v>0</v>
      </c>
      <c r="S2411" t="n">
        <v>0</v>
      </c>
      <c r="T2411" t="n">
        <v>0</v>
      </c>
      <c r="U2411" t="n">
        <v>0</v>
      </c>
      <c r="V2411" s="2" t="inlineStr"/>
    </row>
    <row r="2412" ht="15" customHeight="1">
      <c r="A2412" t="inlineStr">
        <is>
          <t>A 62385-2023</t>
        </is>
      </c>
      <c r="B2412" t="inlineStr">
        <is>
          <t>avverkningsanmälan</t>
        </is>
      </c>
      <c r="C2412" t="inlineStr">
        <is>
          <t>Föryngringsavverkning</t>
        </is>
      </c>
      <c r="D2412" s="1" t="n">
        <v>45268</v>
      </c>
      <c r="E2412" s="1" t="n">
        <v>46323</v>
      </c>
      <c r="F2412" t="inlineStr">
        <is>
          <t>KALMAR LÄN</t>
        </is>
      </c>
      <c r="G2412" t="inlineStr">
        <is>
          <t>HÖGSBY</t>
        </is>
      </c>
      <c r="I2412" t="n">
        <v>0.6</v>
      </c>
      <c r="J2412" t="n">
        <v>0</v>
      </c>
      <c r="K2412" t="n">
        <v>0</v>
      </c>
      <c r="L2412" t="n">
        <v>0</v>
      </c>
      <c r="M2412" t="n">
        <v>0</v>
      </c>
      <c r="N2412" t="n">
        <v>0</v>
      </c>
      <c r="O2412" t="n">
        <v>0</v>
      </c>
      <c r="P2412" t="n">
        <v>0</v>
      </c>
      <c r="Q2412" t="n">
        <v>0</v>
      </c>
      <c r="R2412" t="n">
        <v>0</v>
      </c>
      <c r="S2412" t="n">
        <v>0</v>
      </c>
      <c r="T2412" t="n">
        <v>0</v>
      </c>
      <c r="U2412" t="n">
        <v>0</v>
      </c>
      <c r="V2412" s="2" t="inlineStr"/>
    </row>
    <row r="2413" ht="15" customHeight="1">
      <c r="A2413" t="inlineStr">
        <is>
          <t>A 62457-2023</t>
        </is>
      </c>
      <c r="B2413" t="inlineStr">
        <is>
          <t>avverkningsanmälan</t>
        </is>
      </c>
      <c r="C2413" t="inlineStr">
        <is>
          <t>Föryngringsavverkning</t>
        </is>
      </c>
      <c r="D2413" s="1" t="n">
        <v>45268</v>
      </c>
      <c r="E2413" s="1" t="n">
        <v>46323</v>
      </c>
      <c r="F2413" t="inlineStr">
        <is>
          <t>KALMAR LÄN</t>
        </is>
      </c>
      <c r="G2413" t="inlineStr">
        <is>
          <t>KALMAR</t>
        </is>
      </c>
      <c r="I2413" t="n">
        <v>0.5</v>
      </c>
      <c r="J2413" t="n">
        <v>0</v>
      </c>
      <c r="K2413" t="n">
        <v>0</v>
      </c>
      <c r="L2413" t="n">
        <v>0</v>
      </c>
      <c r="M2413" t="n">
        <v>0</v>
      </c>
      <c r="N2413" t="n">
        <v>0</v>
      </c>
      <c r="O2413" t="n">
        <v>0</v>
      </c>
      <c r="P2413" t="n">
        <v>0</v>
      </c>
      <c r="Q2413" t="n">
        <v>0</v>
      </c>
      <c r="R2413" t="n">
        <v>0</v>
      </c>
      <c r="S2413" t="n">
        <v>0</v>
      </c>
      <c r="T2413" t="n">
        <v>0</v>
      </c>
      <c r="U2413" t="n">
        <v>0</v>
      </c>
      <c r="V2413" s="2" t="inlineStr"/>
    </row>
    <row r="2414" ht="15" customHeight="1">
      <c r="A2414" t="inlineStr">
        <is>
          <t>A 39977-2023</t>
        </is>
      </c>
      <c r="B2414" t="inlineStr">
        <is>
          <t>avverkningsanmälan</t>
        </is>
      </c>
      <c r="C2414" t="inlineStr">
        <is>
          <t>Föryngringsavverkning</t>
        </is>
      </c>
      <c r="D2414" s="1" t="n">
        <v>45168</v>
      </c>
      <c r="E2414" s="1" t="n">
        <v>46323</v>
      </c>
      <c r="F2414" t="inlineStr">
        <is>
          <t>KALMAR LÄN</t>
        </is>
      </c>
      <c r="G2414" t="inlineStr">
        <is>
          <t>HULTSFRED</t>
        </is>
      </c>
      <c r="I2414" t="n">
        <v>1.8</v>
      </c>
      <c r="J2414" t="n">
        <v>0</v>
      </c>
      <c r="K2414" t="n">
        <v>0</v>
      </c>
      <c r="L2414" t="n">
        <v>0</v>
      </c>
      <c r="M2414" t="n">
        <v>0</v>
      </c>
      <c r="N2414" t="n">
        <v>0</v>
      </c>
      <c r="O2414" t="n">
        <v>0</v>
      </c>
      <c r="P2414" t="n">
        <v>0</v>
      </c>
      <c r="Q2414" t="n">
        <v>0</v>
      </c>
      <c r="R2414" t="n">
        <v>0</v>
      </c>
      <c r="S2414" t="n">
        <v>0</v>
      </c>
      <c r="T2414" t="n">
        <v>0</v>
      </c>
      <c r="U2414" t="n">
        <v>0</v>
      </c>
      <c r="V2414" s="2" t="inlineStr"/>
    </row>
    <row r="2415" ht="15" customHeight="1">
      <c r="A2415" t="inlineStr">
        <is>
          <t>A 4223-2025</t>
        </is>
      </c>
      <c r="B2415" t="inlineStr">
        <is>
          <t>avverkningsanmälan</t>
        </is>
      </c>
      <c r="C2415" t="inlineStr">
        <is>
          <t>Föryngringsavverkning</t>
        </is>
      </c>
      <c r="D2415" s="1" t="n">
        <v>45685</v>
      </c>
      <c r="E2415" s="1" t="n">
        <v>46323</v>
      </c>
      <c r="F2415" t="inlineStr">
        <is>
          <t>KALMAR LÄN</t>
        </is>
      </c>
      <c r="G2415" t="inlineStr">
        <is>
          <t>HULTSFRED</t>
        </is>
      </c>
      <c r="I2415" t="n">
        <v>1.2</v>
      </c>
      <c r="J2415" t="n">
        <v>0</v>
      </c>
      <c r="K2415" t="n">
        <v>0</v>
      </c>
      <c r="L2415" t="n">
        <v>0</v>
      </c>
      <c r="M2415" t="n">
        <v>0</v>
      </c>
      <c r="N2415" t="n">
        <v>0</v>
      </c>
      <c r="O2415" t="n">
        <v>0</v>
      </c>
      <c r="P2415" t="n">
        <v>0</v>
      </c>
      <c r="Q2415" t="n">
        <v>0</v>
      </c>
      <c r="R2415" t="n">
        <v>0</v>
      </c>
      <c r="S2415" t="n">
        <v>0</v>
      </c>
      <c r="T2415" t="n">
        <v>0</v>
      </c>
      <c r="U2415" t="n">
        <v>0</v>
      </c>
      <c r="V2415" s="2" t="inlineStr"/>
    </row>
    <row r="2416" ht="15" customHeight="1">
      <c r="A2416" t="inlineStr">
        <is>
          <t>A 61260-2024</t>
        </is>
      </c>
      <c r="B2416" t="inlineStr">
        <is>
          <t>avverkningsanmälan</t>
        </is>
      </c>
      <c r="C2416" t="inlineStr">
        <is>
          <t>Föryngringsavverkning</t>
        </is>
      </c>
      <c r="D2416" s="1" t="n">
        <v>45645</v>
      </c>
      <c r="E2416" s="1" t="n">
        <v>46323</v>
      </c>
      <c r="F2416" t="inlineStr">
        <is>
          <t>KALMAR LÄN</t>
        </is>
      </c>
      <c r="G2416" t="inlineStr">
        <is>
          <t>TORSÅS</t>
        </is>
      </c>
      <c r="I2416" t="n">
        <v>3.3</v>
      </c>
      <c r="J2416" t="n">
        <v>0</v>
      </c>
      <c r="K2416" t="n">
        <v>0</v>
      </c>
      <c r="L2416" t="n">
        <v>0</v>
      </c>
      <c r="M2416" t="n">
        <v>0</v>
      </c>
      <c r="N2416" t="n">
        <v>0</v>
      </c>
      <c r="O2416" t="n">
        <v>0</v>
      </c>
      <c r="P2416" t="n">
        <v>0</v>
      </c>
      <c r="Q2416" t="n">
        <v>0</v>
      </c>
      <c r="R2416" t="n">
        <v>0</v>
      </c>
      <c r="S2416" t="n">
        <v>0</v>
      </c>
      <c r="T2416" t="n">
        <v>0</v>
      </c>
      <c r="U2416" t="n">
        <v>0</v>
      </c>
      <c r="V2416" s="2" t="inlineStr"/>
    </row>
    <row r="2417" ht="15" customHeight="1">
      <c r="A2417" t="inlineStr">
        <is>
          <t>A 37168-2023</t>
        </is>
      </c>
      <c r="B2417" t="inlineStr">
        <is>
          <t>avverkningsanmälan</t>
        </is>
      </c>
      <c r="C2417" t="inlineStr">
        <is>
          <t>Föryngringsavverkning</t>
        </is>
      </c>
      <c r="D2417" s="1" t="n">
        <v>45155</v>
      </c>
      <c r="E2417" s="1" t="n">
        <v>46323</v>
      </c>
      <c r="F2417" t="inlineStr">
        <is>
          <t>KALMAR LÄN</t>
        </is>
      </c>
      <c r="G2417" t="inlineStr">
        <is>
          <t>TORSÅS</t>
        </is>
      </c>
      <c r="I2417" t="n">
        <v>1.2</v>
      </c>
      <c r="J2417" t="n">
        <v>0</v>
      </c>
      <c r="K2417" t="n">
        <v>0</v>
      </c>
      <c r="L2417" t="n">
        <v>0</v>
      </c>
      <c r="M2417" t="n">
        <v>0</v>
      </c>
      <c r="N2417" t="n">
        <v>0</v>
      </c>
      <c r="O2417" t="n">
        <v>0</v>
      </c>
      <c r="P2417" t="n">
        <v>0</v>
      </c>
      <c r="Q2417" t="n">
        <v>0</v>
      </c>
      <c r="R2417" t="n">
        <v>0</v>
      </c>
      <c r="S2417" t="n">
        <v>0</v>
      </c>
      <c r="T2417" t="n">
        <v>0</v>
      </c>
      <c r="U2417" t="n">
        <v>0</v>
      </c>
      <c r="V2417" s="2" t="inlineStr"/>
    </row>
    <row r="2418" ht="15" customHeight="1">
      <c r="A2418" t="inlineStr">
        <is>
          <t>A 61820-2023</t>
        </is>
      </c>
      <c r="B2418" t="inlineStr">
        <is>
          <t>avverkningsanmälan</t>
        </is>
      </c>
      <c r="C2418" t="inlineStr">
        <is>
          <t>Föryngringsavverkning</t>
        </is>
      </c>
      <c r="D2418" s="1" t="n">
        <v>45266</v>
      </c>
      <c r="E2418" s="1" t="n">
        <v>46323</v>
      </c>
      <c r="F2418" t="inlineStr">
        <is>
          <t>KALMAR LÄN</t>
        </is>
      </c>
      <c r="G2418" t="inlineStr">
        <is>
          <t>VIMMERBY</t>
        </is>
      </c>
      <c r="I2418" t="n">
        <v>0.8</v>
      </c>
      <c r="J2418" t="n">
        <v>0</v>
      </c>
      <c r="K2418" t="n">
        <v>0</v>
      </c>
      <c r="L2418" t="n">
        <v>0</v>
      </c>
      <c r="M2418" t="n">
        <v>0</v>
      </c>
      <c r="N2418" t="n">
        <v>0</v>
      </c>
      <c r="O2418" t="n">
        <v>0</v>
      </c>
      <c r="P2418" t="n">
        <v>0</v>
      </c>
      <c r="Q2418" t="n">
        <v>0</v>
      </c>
      <c r="R2418" t="n">
        <v>0</v>
      </c>
      <c r="S2418" t="n">
        <v>0</v>
      </c>
      <c r="T2418" t="n">
        <v>0</v>
      </c>
      <c r="U2418" t="n">
        <v>0</v>
      </c>
      <c r="V2418" s="2" t="inlineStr"/>
    </row>
    <row r="2419" ht="15" customHeight="1">
      <c r="A2419" t="inlineStr">
        <is>
          <t>A 8981-2025</t>
        </is>
      </c>
      <c r="B2419" t="inlineStr">
        <is>
          <t>avverkningsanmälan</t>
        </is>
      </c>
      <c r="C2419" t="inlineStr">
        <is>
          <t>Föryngringsavverkning</t>
        </is>
      </c>
      <c r="D2419" s="1" t="n">
        <v>45713</v>
      </c>
      <c r="E2419" s="1" t="n">
        <v>46323</v>
      </c>
      <c r="F2419" t="inlineStr">
        <is>
          <t>KALMAR LÄN</t>
        </is>
      </c>
      <c r="G2419" t="inlineStr">
        <is>
          <t>MÖNSTERÅS</t>
        </is>
      </c>
      <c r="I2419" t="n">
        <v>0.9</v>
      </c>
      <c r="J2419" t="n">
        <v>0</v>
      </c>
      <c r="K2419" t="n">
        <v>0</v>
      </c>
      <c r="L2419" t="n">
        <v>0</v>
      </c>
      <c r="M2419" t="n">
        <v>0</v>
      </c>
      <c r="N2419" t="n">
        <v>0</v>
      </c>
      <c r="O2419" t="n">
        <v>0</v>
      </c>
      <c r="P2419" t="n">
        <v>0</v>
      </c>
      <c r="Q2419" t="n">
        <v>0</v>
      </c>
      <c r="R2419" t="n">
        <v>0</v>
      </c>
      <c r="S2419" t="n">
        <v>0</v>
      </c>
      <c r="T2419" t="n">
        <v>0</v>
      </c>
      <c r="U2419" t="n">
        <v>0</v>
      </c>
      <c r="V2419" s="2" t="inlineStr"/>
    </row>
    <row r="2420" ht="15" customHeight="1">
      <c r="A2420" t="inlineStr">
        <is>
          <t>A 50458-2022</t>
        </is>
      </c>
      <c r="B2420" t="inlineStr">
        <is>
          <t>avverkningsanmälan</t>
        </is>
      </c>
      <c r="C2420" t="inlineStr">
        <is>
          <t>Föryngringsavverkning</t>
        </is>
      </c>
      <c r="D2420" s="1" t="n">
        <v>44866</v>
      </c>
      <c r="E2420" s="1" t="n">
        <v>46323</v>
      </c>
      <c r="F2420" t="inlineStr">
        <is>
          <t>KALMAR LÄN</t>
        </is>
      </c>
      <c r="G2420" t="inlineStr">
        <is>
          <t>HÖGSBY</t>
        </is>
      </c>
      <c r="I2420" t="n">
        <v>1</v>
      </c>
      <c r="J2420" t="n">
        <v>0</v>
      </c>
      <c r="K2420" t="n">
        <v>0</v>
      </c>
      <c r="L2420" t="n">
        <v>0</v>
      </c>
      <c r="M2420" t="n">
        <v>0</v>
      </c>
      <c r="N2420" t="n">
        <v>0</v>
      </c>
      <c r="O2420" t="n">
        <v>0</v>
      </c>
      <c r="P2420" t="n">
        <v>0</v>
      </c>
      <c r="Q2420" t="n">
        <v>0</v>
      </c>
      <c r="R2420" t="n">
        <v>0</v>
      </c>
      <c r="S2420" t="n">
        <v>0</v>
      </c>
      <c r="T2420" t="n">
        <v>0</v>
      </c>
      <c r="U2420" t="n">
        <v>0</v>
      </c>
      <c r="V2420" s="2" t="inlineStr"/>
    </row>
    <row r="2421" ht="15" customHeight="1">
      <c r="A2421" t="inlineStr">
        <is>
          <t>A 60237-2023</t>
        </is>
      </c>
      <c r="B2421" t="inlineStr">
        <is>
          <t>avverkningsanmälan</t>
        </is>
      </c>
      <c r="C2421" t="inlineStr">
        <is>
          <t>Föryngringsavverkning</t>
        </is>
      </c>
      <c r="D2421" s="1" t="n">
        <v>45258</v>
      </c>
      <c r="E2421" s="1" t="n">
        <v>46323</v>
      </c>
      <c r="F2421" t="inlineStr">
        <is>
          <t>KALMAR LÄN</t>
        </is>
      </c>
      <c r="G2421" t="inlineStr">
        <is>
          <t>OSKARSHAMN</t>
        </is>
      </c>
      <c r="I2421" t="n">
        <v>0.5</v>
      </c>
      <c r="J2421" t="n">
        <v>0</v>
      </c>
      <c r="K2421" t="n">
        <v>0</v>
      </c>
      <c r="L2421" t="n">
        <v>0</v>
      </c>
      <c r="M2421" t="n">
        <v>0</v>
      </c>
      <c r="N2421" t="n">
        <v>0</v>
      </c>
      <c r="O2421" t="n">
        <v>0</v>
      </c>
      <c r="P2421" t="n">
        <v>0</v>
      </c>
      <c r="Q2421" t="n">
        <v>0</v>
      </c>
      <c r="R2421" t="n">
        <v>0</v>
      </c>
      <c r="S2421" t="n">
        <v>0</v>
      </c>
      <c r="T2421" t="n">
        <v>0</v>
      </c>
      <c r="U2421" t="n">
        <v>0</v>
      </c>
      <c r="V2421" s="2" t="inlineStr"/>
    </row>
    <row r="2422" ht="15" customHeight="1">
      <c r="A2422" t="inlineStr">
        <is>
          <t>A 50500-2022</t>
        </is>
      </c>
      <c r="B2422" t="inlineStr">
        <is>
          <t>avverkningsanmälan</t>
        </is>
      </c>
      <c r="C2422" t="inlineStr">
        <is>
          <t>Avverkning för annat ändamål</t>
        </is>
      </c>
      <c r="D2422" s="1" t="n">
        <v>44861</v>
      </c>
      <c r="E2422" s="1" t="n">
        <v>46323</v>
      </c>
      <c r="F2422" t="inlineStr">
        <is>
          <t>KALMAR LÄN</t>
        </is>
      </c>
      <c r="G2422" t="inlineStr">
        <is>
          <t>EMMABODA</t>
        </is>
      </c>
      <c r="I2422" t="n">
        <v>0.9</v>
      </c>
      <c r="J2422" t="n">
        <v>0</v>
      </c>
      <c r="K2422" t="n">
        <v>0</v>
      </c>
      <c r="L2422" t="n">
        <v>0</v>
      </c>
      <c r="M2422" t="n">
        <v>0</v>
      </c>
      <c r="N2422" t="n">
        <v>0</v>
      </c>
      <c r="O2422" t="n">
        <v>0</v>
      </c>
      <c r="P2422" t="n">
        <v>0</v>
      </c>
      <c r="Q2422" t="n">
        <v>0</v>
      </c>
      <c r="R2422" t="n">
        <v>0</v>
      </c>
      <c r="S2422" t="n">
        <v>0</v>
      </c>
      <c r="T2422" t="n">
        <v>0</v>
      </c>
      <c r="U2422" t="n">
        <v>0</v>
      </c>
      <c r="V2422" s="2" t="inlineStr"/>
    </row>
    <row r="2423" ht="15" customHeight="1">
      <c r="A2423" t="inlineStr">
        <is>
          <t>A 60634-2023</t>
        </is>
      </c>
      <c r="B2423" t="inlineStr">
        <is>
          <t>avverkningsanmälan</t>
        </is>
      </c>
      <c r="C2423" t="inlineStr">
        <is>
          <t>Föryngringsavverkning</t>
        </is>
      </c>
      <c r="D2423" s="1" t="n">
        <v>45260</v>
      </c>
      <c r="E2423" s="1" t="n">
        <v>46323</v>
      </c>
      <c r="F2423" t="inlineStr">
        <is>
          <t>KALMAR LÄN</t>
        </is>
      </c>
      <c r="G2423" t="inlineStr">
        <is>
          <t>VÄSTERVIK</t>
        </is>
      </c>
      <c r="I2423" t="n">
        <v>2</v>
      </c>
      <c r="J2423" t="n">
        <v>0</v>
      </c>
      <c r="K2423" t="n">
        <v>0</v>
      </c>
      <c r="L2423" t="n">
        <v>0</v>
      </c>
      <c r="M2423" t="n">
        <v>0</v>
      </c>
      <c r="N2423" t="n">
        <v>0</v>
      </c>
      <c r="O2423" t="n">
        <v>0</v>
      </c>
      <c r="P2423" t="n">
        <v>0</v>
      </c>
      <c r="Q2423" t="n">
        <v>0</v>
      </c>
      <c r="R2423" t="n">
        <v>0</v>
      </c>
      <c r="S2423" t="n">
        <v>0</v>
      </c>
      <c r="T2423" t="n">
        <v>0</v>
      </c>
      <c r="U2423" t="n">
        <v>0</v>
      </c>
      <c r="V2423" s="2" t="inlineStr"/>
    </row>
    <row r="2424" ht="15" customHeight="1">
      <c r="A2424" t="inlineStr">
        <is>
          <t>A 47267-2023</t>
        </is>
      </c>
      <c r="B2424" t="inlineStr">
        <is>
          <t>avverkningsanmälan</t>
        </is>
      </c>
      <c r="C2424" t="inlineStr">
        <is>
          <t>Föryngringsavverkning</t>
        </is>
      </c>
      <c r="D2424" s="1" t="n">
        <v>45202</v>
      </c>
      <c r="E2424" s="1" t="n">
        <v>46323</v>
      </c>
      <c r="F2424" t="inlineStr">
        <is>
          <t>KALMAR LÄN</t>
        </is>
      </c>
      <c r="G2424" t="inlineStr">
        <is>
          <t>VÄSTERVIK</t>
        </is>
      </c>
      <c r="I2424" t="n">
        <v>0.5</v>
      </c>
      <c r="J2424" t="n">
        <v>0</v>
      </c>
      <c r="K2424" t="n">
        <v>0</v>
      </c>
      <c r="L2424" t="n">
        <v>0</v>
      </c>
      <c r="M2424" t="n">
        <v>0</v>
      </c>
      <c r="N2424" t="n">
        <v>0</v>
      </c>
      <c r="O2424" t="n">
        <v>0</v>
      </c>
      <c r="P2424" t="n">
        <v>0</v>
      </c>
      <c r="Q2424" t="n">
        <v>0</v>
      </c>
      <c r="R2424" t="n">
        <v>0</v>
      </c>
      <c r="S2424" t="n">
        <v>0</v>
      </c>
      <c r="T2424" t="n">
        <v>0</v>
      </c>
      <c r="U2424" t="n">
        <v>0</v>
      </c>
      <c r="V2424" s="2" t="inlineStr"/>
    </row>
    <row r="2425" ht="15" customHeight="1">
      <c r="A2425" t="inlineStr">
        <is>
          <t>A 40298-2025</t>
        </is>
      </c>
      <c r="B2425" t="inlineStr">
        <is>
          <t>avverkningsanmälan</t>
        </is>
      </c>
      <c r="C2425" t="inlineStr">
        <is>
          <t>Föryngringsavverkning</t>
        </is>
      </c>
      <c r="D2425" s="1" t="n">
        <v>45895</v>
      </c>
      <c r="E2425" s="1" t="n">
        <v>46323</v>
      </c>
      <c r="F2425" t="inlineStr">
        <is>
          <t>KALMAR LÄN</t>
        </is>
      </c>
      <c r="G2425" t="inlineStr">
        <is>
          <t>TORSÅS</t>
        </is>
      </c>
      <c r="I2425" t="n">
        <v>1.1</v>
      </c>
      <c r="J2425" t="n">
        <v>0</v>
      </c>
      <c r="K2425" t="n">
        <v>0</v>
      </c>
      <c r="L2425" t="n">
        <v>0</v>
      </c>
      <c r="M2425" t="n">
        <v>0</v>
      </c>
      <c r="N2425" t="n">
        <v>0</v>
      </c>
      <c r="O2425" t="n">
        <v>0</v>
      </c>
      <c r="P2425" t="n">
        <v>0</v>
      </c>
      <c r="Q2425" t="n">
        <v>0</v>
      </c>
      <c r="R2425" t="n">
        <v>0</v>
      </c>
      <c r="S2425" t="n">
        <v>0</v>
      </c>
      <c r="T2425" t="n">
        <v>0</v>
      </c>
      <c r="U2425" t="n">
        <v>0</v>
      </c>
      <c r="V2425" s="2" t="inlineStr"/>
    </row>
    <row r="2426" ht="15" customHeight="1">
      <c r="A2426" t="inlineStr">
        <is>
          <t>A 5903-2023</t>
        </is>
      </c>
      <c r="B2426" t="inlineStr">
        <is>
          <t>avverkningsanmälan</t>
        </is>
      </c>
      <c r="C2426" t="inlineStr">
        <is>
          <t>Föryngringsavverkning</t>
        </is>
      </c>
      <c r="D2426" s="1" t="n">
        <v>44963</v>
      </c>
      <c r="E2426" s="1" t="n">
        <v>46323</v>
      </c>
      <c r="F2426" t="inlineStr">
        <is>
          <t>KALMAR LÄN</t>
        </is>
      </c>
      <c r="G2426" t="inlineStr">
        <is>
          <t>KALMAR</t>
        </is>
      </c>
      <c r="I2426" t="n">
        <v>0.7</v>
      </c>
      <c r="J2426" t="n">
        <v>0</v>
      </c>
      <c r="K2426" t="n">
        <v>0</v>
      </c>
      <c r="L2426" t="n">
        <v>0</v>
      </c>
      <c r="M2426" t="n">
        <v>0</v>
      </c>
      <c r="N2426" t="n">
        <v>0</v>
      </c>
      <c r="O2426" t="n">
        <v>0</v>
      </c>
      <c r="P2426" t="n">
        <v>0</v>
      </c>
      <c r="Q2426" t="n">
        <v>0</v>
      </c>
      <c r="R2426" t="n">
        <v>0</v>
      </c>
      <c r="S2426" t="n">
        <v>0</v>
      </c>
      <c r="T2426" t="n">
        <v>0</v>
      </c>
      <c r="U2426" t="n">
        <v>0</v>
      </c>
      <c r="V2426" s="2" t="inlineStr"/>
    </row>
    <row r="2427" ht="15" customHeight="1">
      <c r="A2427" t="inlineStr">
        <is>
          <t>A 3269-2024</t>
        </is>
      </c>
      <c r="B2427" t="inlineStr">
        <is>
          <t>avverkningsanmälan</t>
        </is>
      </c>
      <c r="C2427" t="inlineStr">
        <is>
          <t>Föryngringsavverkning</t>
        </is>
      </c>
      <c r="D2427" s="1" t="n">
        <v>45317</v>
      </c>
      <c r="E2427" s="1" t="n">
        <v>46323</v>
      </c>
      <c r="F2427" t="inlineStr">
        <is>
          <t>KALMAR LÄN</t>
        </is>
      </c>
      <c r="G2427" t="inlineStr">
        <is>
          <t>VIMMERBY</t>
        </is>
      </c>
      <c r="H2427" t="inlineStr">
        <is>
          <t>Övriga Aktiebolag</t>
        </is>
      </c>
      <c r="I2427" t="n">
        <v>1.7</v>
      </c>
      <c r="J2427" t="n">
        <v>0</v>
      </c>
      <c r="K2427" t="n">
        <v>0</v>
      </c>
      <c r="L2427" t="n">
        <v>0</v>
      </c>
      <c r="M2427" t="n">
        <v>0</v>
      </c>
      <c r="N2427" t="n">
        <v>0</v>
      </c>
      <c r="O2427" t="n">
        <v>0</v>
      </c>
      <c r="P2427" t="n">
        <v>0</v>
      </c>
      <c r="Q2427" t="n">
        <v>0</v>
      </c>
      <c r="R2427" t="n">
        <v>0</v>
      </c>
      <c r="S2427" t="n">
        <v>0</v>
      </c>
      <c r="T2427" t="n">
        <v>0</v>
      </c>
      <c r="U2427" t="n">
        <v>0</v>
      </c>
      <c r="V2427" s="2" t="inlineStr"/>
    </row>
    <row r="2428" ht="15" customHeight="1">
      <c r="A2428" t="inlineStr">
        <is>
          <t>A 39651-2022</t>
        </is>
      </c>
      <c r="B2428" t="inlineStr">
        <is>
          <t>avverkningsanmälan</t>
        </is>
      </c>
      <c r="C2428" t="inlineStr">
        <is>
          <t>Föryngringsavverkning</t>
        </is>
      </c>
      <c r="D2428" s="1" t="n">
        <v>44818</v>
      </c>
      <c r="E2428" s="1" t="n">
        <v>46323</v>
      </c>
      <c r="F2428" t="inlineStr">
        <is>
          <t>KALMAR LÄN</t>
        </is>
      </c>
      <c r="G2428" t="inlineStr">
        <is>
          <t>OSKARSHAMN</t>
        </is>
      </c>
      <c r="I2428" t="n">
        <v>2.5</v>
      </c>
      <c r="J2428" t="n">
        <v>0</v>
      </c>
      <c r="K2428" t="n">
        <v>0</v>
      </c>
      <c r="L2428" t="n">
        <v>0</v>
      </c>
      <c r="M2428" t="n">
        <v>0</v>
      </c>
      <c r="N2428" t="n">
        <v>0</v>
      </c>
      <c r="O2428" t="n">
        <v>0</v>
      </c>
      <c r="P2428" t="n">
        <v>0</v>
      </c>
      <c r="Q2428" t="n">
        <v>0</v>
      </c>
      <c r="R2428" t="n">
        <v>0</v>
      </c>
      <c r="S2428" t="n">
        <v>0</v>
      </c>
      <c r="T2428" t="n">
        <v>0</v>
      </c>
      <c r="U2428" t="n">
        <v>0</v>
      </c>
      <c r="V2428" s="2" t="inlineStr"/>
    </row>
    <row r="2429" ht="15" customHeight="1">
      <c r="A2429" t="inlineStr">
        <is>
          <t>A 13414-2024</t>
        </is>
      </c>
      <c r="B2429" t="inlineStr">
        <is>
          <t>avverkningsanmälan</t>
        </is>
      </c>
      <c r="C2429" t="inlineStr">
        <is>
          <t>Föryngringsavverkning</t>
        </is>
      </c>
      <c r="D2429" s="1" t="n">
        <v>45387</v>
      </c>
      <c r="E2429" s="1" t="n">
        <v>46323</v>
      </c>
      <c r="F2429" t="inlineStr">
        <is>
          <t>KALMAR LÄN</t>
        </is>
      </c>
      <c r="G2429" t="inlineStr">
        <is>
          <t>KALMAR</t>
        </is>
      </c>
      <c r="I2429" t="n">
        <v>1</v>
      </c>
      <c r="J2429" t="n">
        <v>0</v>
      </c>
      <c r="K2429" t="n">
        <v>0</v>
      </c>
      <c r="L2429" t="n">
        <v>0</v>
      </c>
      <c r="M2429" t="n">
        <v>0</v>
      </c>
      <c r="N2429" t="n">
        <v>0</v>
      </c>
      <c r="O2429" t="n">
        <v>0</v>
      </c>
      <c r="P2429" t="n">
        <v>0</v>
      </c>
      <c r="Q2429" t="n">
        <v>0</v>
      </c>
      <c r="R2429" t="n">
        <v>0</v>
      </c>
      <c r="S2429" t="n">
        <v>0</v>
      </c>
      <c r="T2429" t="n">
        <v>0</v>
      </c>
      <c r="U2429" t="n">
        <v>0</v>
      </c>
      <c r="V2429" s="2" t="inlineStr"/>
    </row>
    <row r="2430" ht="15" customHeight="1">
      <c r="A2430" t="inlineStr">
        <is>
          <t>A 13416-2024</t>
        </is>
      </c>
      <c r="B2430" t="inlineStr">
        <is>
          <t>avverkningsanmälan</t>
        </is>
      </c>
      <c r="C2430" t="inlineStr">
        <is>
          <t>Föryngringsavverkning</t>
        </is>
      </c>
      <c r="D2430" s="1" t="n">
        <v>45387</v>
      </c>
      <c r="E2430" s="1" t="n">
        <v>46323</v>
      </c>
      <c r="F2430" t="inlineStr">
        <is>
          <t>KALMAR LÄN</t>
        </is>
      </c>
      <c r="G2430" t="inlineStr">
        <is>
          <t>KALMAR</t>
        </is>
      </c>
      <c r="I2430" t="n">
        <v>0.4</v>
      </c>
      <c r="J2430" t="n">
        <v>0</v>
      </c>
      <c r="K2430" t="n">
        <v>0</v>
      </c>
      <c r="L2430" t="n">
        <v>0</v>
      </c>
      <c r="M2430" t="n">
        <v>0</v>
      </c>
      <c r="N2430" t="n">
        <v>0</v>
      </c>
      <c r="O2430" t="n">
        <v>0</v>
      </c>
      <c r="P2430" t="n">
        <v>0</v>
      </c>
      <c r="Q2430" t="n">
        <v>0</v>
      </c>
      <c r="R2430" t="n">
        <v>0</v>
      </c>
      <c r="S2430" t="n">
        <v>0</v>
      </c>
      <c r="T2430" t="n">
        <v>0</v>
      </c>
      <c r="U2430" t="n">
        <v>0</v>
      </c>
      <c r="V2430" s="2" t="inlineStr"/>
    </row>
    <row r="2431" ht="15" customHeight="1">
      <c r="A2431" t="inlineStr">
        <is>
          <t>A 41452-2022</t>
        </is>
      </c>
      <c r="B2431" t="inlineStr">
        <is>
          <t>avverkningsanmälan</t>
        </is>
      </c>
      <c r="C2431" t="inlineStr">
        <is>
          <t>Föryngringsavverkning</t>
        </is>
      </c>
      <c r="D2431" s="1" t="n">
        <v>44826</v>
      </c>
      <c r="E2431" s="1" t="n">
        <v>46323</v>
      </c>
      <c r="F2431" t="inlineStr">
        <is>
          <t>KALMAR LÄN</t>
        </is>
      </c>
      <c r="G2431" t="inlineStr">
        <is>
          <t>TORSÅS</t>
        </is>
      </c>
      <c r="I2431" t="n">
        <v>1.3</v>
      </c>
      <c r="J2431" t="n">
        <v>0</v>
      </c>
      <c r="K2431" t="n">
        <v>0</v>
      </c>
      <c r="L2431" t="n">
        <v>0</v>
      </c>
      <c r="M2431" t="n">
        <v>0</v>
      </c>
      <c r="N2431" t="n">
        <v>0</v>
      </c>
      <c r="O2431" t="n">
        <v>0</v>
      </c>
      <c r="P2431" t="n">
        <v>0</v>
      </c>
      <c r="Q2431" t="n">
        <v>0</v>
      </c>
      <c r="R2431" t="n">
        <v>0</v>
      </c>
      <c r="S2431" t="n">
        <v>0</v>
      </c>
      <c r="T2431" t="n">
        <v>0</v>
      </c>
      <c r="U2431" t="n">
        <v>0</v>
      </c>
      <c r="V2431" s="2" t="inlineStr"/>
    </row>
    <row r="2432" ht="15" customHeight="1">
      <c r="A2432" t="inlineStr">
        <is>
          <t>A 41566-2022</t>
        </is>
      </c>
      <c r="B2432" t="inlineStr">
        <is>
          <t>avverkningsanmälan</t>
        </is>
      </c>
      <c r="C2432" t="inlineStr">
        <is>
          <t>Avverkning för annat ändamål</t>
        </is>
      </c>
      <c r="D2432" s="1" t="n">
        <v>44827</v>
      </c>
      <c r="E2432" s="1" t="n">
        <v>46323</v>
      </c>
      <c r="F2432" t="inlineStr">
        <is>
          <t>KALMAR LÄN</t>
        </is>
      </c>
      <c r="G2432" t="inlineStr">
        <is>
          <t>TORSÅS</t>
        </is>
      </c>
      <c r="I2432" t="n">
        <v>3.2</v>
      </c>
      <c r="J2432" t="n">
        <v>0</v>
      </c>
      <c r="K2432" t="n">
        <v>0</v>
      </c>
      <c r="L2432" t="n">
        <v>0</v>
      </c>
      <c r="M2432" t="n">
        <v>0</v>
      </c>
      <c r="N2432" t="n">
        <v>0</v>
      </c>
      <c r="O2432" t="n">
        <v>0</v>
      </c>
      <c r="P2432" t="n">
        <v>0</v>
      </c>
      <c r="Q2432" t="n">
        <v>0</v>
      </c>
      <c r="R2432" t="n">
        <v>0</v>
      </c>
      <c r="S2432" t="n">
        <v>0</v>
      </c>
      <c r="T2432" t="n">
        <v>0</v>
      </c>
      <c r="U2432" t="n">
        <v>0</v>
      </c>
      <c r="V2432" s="2" t="inlineStr"/>
    </row>
    <row r="2433" ht="15" customHeight="1">
      <c r="A2433" t="inlineStr">
        <is>
          <t>A 2036-2024</t>
        </is>
      </c>
      <c r="B2433" t="inlineStr">
        <is>
          <t>avverkningsanmälan</t>
        </is>
      </c>
      <c r="C2433" t="inlineStr">
        <is>
          <t>Föryngringsavverkning</t>
        </is>
      </c>
      <c r="D2433" s="1" t="n">
        <v>45308</v>
      </c>
      <c r="E2433" s="1" t="n">
        <v>46323</v>
      </c>
      <c r="F2433" t="inlineStr">
        <is>
          <t>KALMAR LÄN</t>
        </is>
      </c>
      <c r="G2433" t="inlineStr">
        <is>
          <t>TORSÅS</t>
        </is>
      </c>
      <c r="I2433" t="n">
        <v>1.9</v>
      </c>
      <c r="J2433" t="n">
        <v>0</v>
      </c>
      <c r="K2433" t="n">
        <v>0</v>
      </c>
      <c r="L2433" t="n">
        <v>0</v>
      </c>
      <c r="M2433" t="n">
        <v>0</v>
      </c>
      <c r="N2433" t="n">
        <v>0</v>
      </c>
      <c r="O2433" t="n">
        <v>0</v>
      </c>
      <c r="P2433" t="n">
        <v>0</v>
      </c>
      <c r="Q2433" t="n">
        <v>0</v>
      </c>
      <c r="R2433" t="n">
        <v>0</v>
      </c>
      <c r="S2433" t="n">
        <v>0</v>
      </c>
      <c r="T2433" t="n">
        <v>0</v>
      </c>
      <c r="U2433" t="n">
        <v>0</v>
      </c>
      <c r="V2433" s="2" t="inlineStr"/>
    </row>
    <row r="2434" ht="15" customHeight="1">
      <c r="A2434" t="inlineStr">
        <is>
          <t>A 26308-2023</t>
        </is>
      </c>
      <c r="B2434" t="inlineStr">
        <is>
          <t>avverkningsanmälan</t>
        </is>
      </c>
      <c r="C2434" t="inlineStr">
        <is>
          <t>Föryngringsavverkning</t>
        </is>
      </c>
      <c r="D2434" s="1" t="n">
        <v>45091</v>
      </c>
      <c r="E2434" s="1" t="n">
        <v>46323</v>
      </c>
      <c r="F2434" t="inlineStr">
        <is>
          <t>KALMAR LÄN</t>
        </is>
      </c>
      <c r="G2434" t="inlineStr">
        <is>
          <t>HULTSFRED</t>
        </is>
      </c>
      <c r="I2434" t="n">
        <v>0.6</v>
      </c>
      <c r="J2434" t="n">
        <v>0</v>
      </c>
      <c r="K2434" t="n">
        <v>0</v>
      </c>
      <c r="L2434" t="n">
        <v>0</v>
      </c>
      <c r="M2434" t="n">
        <v>0</v>
      </c>
      <c r="N2434" t="n">
        <v>0</v>
      </c>
      <c r="O2434" t="n">
        <v>0</v>
      </c>
      <c r="P2434" t="n">
        <v>0</v>
      </c>
      <c r="Q2434" t="n">
        <v>0</v>
      </c>
      <c r="R2434" t="n">
        <v>0</v>
      </c>
      <c r="S2434" t="n">
        <v>0</v>
      </c>
      <c r="T2434" t="n">
        <v>0</v>
      </c>
      <c r="U2434" t="n">
        <v>0</v>
      </c>
      <c r="V2434" s="2" t="inlineStr"/>
    </row>
    <row r="2435" ht="15" customHeight="1">
      <c r="A2435" t="inlineStr">
        <is>
          <t>A 2157-2024</t>
        </is>
      </c>
      <c r="B2435" t="inlineStr">
        <is>
          <t>avverkningsanmälan</t>
        </is>
      </c>
      <c r="C2435" t="inlineStr">
        <is>
          <t>Föryngringsavverkning</t>
        </is>
      </c>
      <c r="D2435" s="1" t="n">
        <v>45309</v>
      </c>
      <c r="E2435" s="1" t="n">
        <v>46323</v>
      </c>
      <c r="F2435" t="inlineStr">
        <is>
          <t>KALMAR LÄN</t>
        </is>
      </c>
      <c r="G2435" t="inlineStr">
        <is>
          <t>VIMMERBY</t>
        </is>
      </c>
      <c r="I2435" t="n">
        <v>0.7</v>
      </c>
      <c r="J2435" t="n">
        <v>0</v>
      </c>
      <c r="K2435" t="n">
        <v>0</v>
      </c>
      <c r="L2435" t="n">
        <v>0</v>
      </c>
      <c r="M2435" t="n">
        <v>0</v>
      </c>
      <c r="N2435" t="n">
        <v>0</v>
      </c>
      <c r="O2435" t="n">
        <v>0</v>
      </c>
      <c r="P2435" t="n">
        <v>0</v>
      </c>
      <c r="Q2435" t="n">
        <v>0</v>
      </c>
      <c r="R2435" t="n">
        <v>0</v>
      </c>
      <c r="S2435" t="n">
        <v>0</v>
      </c>
      <c r="T2435" t="n">
        <v>0</v>
      </c>
      <c r="U2435" t="n">
        <v>0</v>
      </c>
      <c r="V2435" s="2" t="inlineStr"/>
    </row>
    <row r="2436" ht="15" customHeight="1">
      <c r="A2436" t="inlineStr">
        <is>
          <t>A 40449-2022</t>
        </is>
      </c>
      <c r="B2436" t="inlineStr">
        <is>
          <t>avverkningsanmälan</t>
        </is>
      </c>
      <c r="C2436" t="inlineStr">
        <is>
          <t>Föryngringsavverkning</t>
        </is>
      </c>
      <c r="D2436" s="1" t="n">
        <v>44823</v>
      </c>
      <c r="E2436" s="1" t="n">
        <v>46323</v>
      </c>
      <c r="F2436" t="inlineStr">
        <is>
          <t>KALMAR LÄN</t>
        </is>
      </c>
      <c r="G2436" t="inlineStr">
        <is>
          <t>KALMAR</t>
        </is>
      </c>
      <c r="I2436" t="n">
        <v>1.2</v>
      </c>
      <c r="J2436" t="n">
        <v>0</v>
      </c>
      <c r="K2436" t="n">
        <v>0</v>
      </c>
      <c r="L2436" t="n">
        <v>0</v>
      </c>
      <c r="M2436" t="n">
        <v>0</v>
      </c>
      <c r="N2436" t="n">
        <v>0</v>
      </c>
      <c r="O2436" t="n">
        <v>0</v>
      </c>
      <c r="P2436" t="n">
        <v>0</v>
      </c>
      <c r="Q2436" t="n">
        <v>0</v>
      </c>
      <c r="R2436" t="n">
        <v>0</v>
      </c>
      <c r="S2436" t="n">
        <v>0</v>
      </c>
      <c r="T2436" t="n">
        <v>0</v>
      </c>
      <c r="U2436" t="n">
        <v>0</v>
      </c>
      <c r="V2436" s="2" t="inlineStr"/>
    </row>
    <row r="2437" ht="15" customHeight="1">
      <c r="A2437" t="inlineStr">
        <is>
          <t>A 40457-2022</t>
        </is>
      </c>
      <c r="B2437" t="inlineStr">
        <is>
          <t>avverkningsanmälan</t>
        </is>
      </c>
      <c r="C2437" t="inlineStr">
        <is>
          <t>Föryngringsavverkning</t>
        </is>
      </c>
      <c r="D2437" s="1" t="n">
        <v>44823</v>
      </c>
      <c r="E2437" s="1" t="n">
        <v>46323</v>
      </c>
      <c r="F2437" t="inlineStr">
        <is>
          <t>KALMAR LÄN</t>
        </is>
      </c>
      <c r="G2437" t="inlineStr">
        <is>
          <t>KALMAR</t>
        </is>
      </c>
      <c r="I2437" t="n">
        <v>1.3</v>
      </c>
      <c r="J2437" t="n">
        <v>0</v>
      </c>
      <c r="K2437" t="n">
        <v>0</v>
      </c>
      <c r="L2437" t="n">
        <v>0</v>
      </c>
      <c r="M2437" t="n">
        <v>0</v>
      </c>
      <c r="N2437" t="n">
        <v>0</v>
      </c>
      <c r="O2437" t="n">
        <v>0</v>
      </c>
      <c r="P2437" t="n">
        <v>0</v>
      </c>
      <c r="Q2437" t="n">
        <v>0</v>
      </c>
      <c r="R2437" t="n">
        <v>0</v>
      </c>
      <c r="S2437" t="n">
        <v>0</v>
      </c>
      <c r="T2437" t="n">
        <v>0</v>
      </c>
      <c r="U2437" t="n">
        <v>0</v>
      </c>
      <c r="V2437" s="2" t="inlineStr"/>
    </row>
    <row r="2438" ht="15" customHeight="1">
      <c r="A2438" t="inlineStr">
        <is>
          <t>A 58274-2023</t>
        </is>
      </c>
      <c r="B2438" t="inlineStr">
        <is>
          <t>avverkningsanmälan</t>
        </is>
      </c>
      <c r="C2438" t="inlineStr">
        <is>
          <t>Föryngringsavverkning</t>
        </is>
      </c>
      <c r="D2438" s="1" t="n">
        <v>45250</v>
      </c>
      <c r="E2438" s="1" t="n">
        <v>46323</v>
      </c>
      <c r="F2438" t="inlineStr">
        <is>
          <t>KALMAR LÄN</t>
        </is>
      </c>
      <c r="G2438" t="inlineStr">
        <is>
          <t>TORSÅS</t>
        </is>
      </c>
      <c r="I2438" t="n">
        <v>1</v>
      </c>
      <c r="J2438" t="n">
        <v>0</v>
      </c>
      <c r="K2438" t="n">
        <v>0</v>
      </c>
      <c r="L2438" t="n">
        <v>0</v>
      </c>
      <c r="M2438" t="n">
        <v>0</v>
      </c>
      <c r="N2438" t="n">
        <v>0</v>
      </c>
      <c r="O2438" t="n">
        <v>0</v>
      </c>
      <c r="P2438" t="n">
        <v>0</v>
      </c>
      <c r="Q2438" t="n">
        <v>0</v>
      </c>
      <c r="R2438" t="n">
        <v>0</v>
      </c>
      <c r="S2438" t="n">
        <v>0</v>
      </c>
      <c r="T2438" t="n">
        <v>0</v>
      </c>
      <c r="U2438" t="n">
        <v>0</v>
      </c>
      <c r="V2438" s="2" t="inlineStr"/>
    </row>
    <row r="2439" ht="15" customHeight="1">
      <c r="A2439" t="inlineStr">
        <is>
          <t>A 16236-2023</t>
        </is>
      </c>
      <c r="B2439" t="inlineStr">
        <is>
          <t>avverkningsanmälan</t>
        </is>
      </c>
      <c r="C2439" t="inlineStr">
        <is>
          <t>Avverkning för annat ändamål</t>
        </is>
      </c>
      <c r="D2439" s="1" t="n">
        <v>45028</v>
      </c>
      <c r="E2439" s="1" t="n">
        <v>46323</v>
      </c>
      <c r="F2439" t="inlineStr">
        <is>
          <t>KALMAR LÄN</t>
        </is>
      </c>
      <c r="G2439" t="inlineStr">
        <is>
          <t>EMMABODA</t>
        </is>
      </c>
      <c r="I2439" t="n">
        <v>0.7</v>
      </c>
      <c r="J2439" t="n">
        <v>0</v>
      </c>
      <c r="K2439" t="n">
        <v>0</v>
      </c>
      <c r="L2439" t="n">
        <v>0</v>
      </c>
      <c r="M2439" t="n">
        <v>0</v>
      </c>
      <c r="N2439" t="n">
        <v>0</v>
      </c>
      <c r="O2439" t="n">
        <v>0</v>
      </c>
      <c r="P2439" t="n">
        <v>0</v>
      </c>
      <c r="Q2439" t="n">
        <v>0</v>
      </c>
      <c r="R2439" t="n">
        <v>0</v>
      </c>
      <c r="S2439" t="n">
        <v>0</v>
      </c>
      <c r="T2439" t="n">
        <v>0</v>
      </c>
      <c r="U2439" t="n">
        <v>0</v>
      </c>
      <c r="V2439" s="2" t="inlineStr"/>
    </row>
    <row r="2440" ht="15" customHeight="1">
      <c r="A2440" t="inlineStr">
        <is>
          <t>A 9385-2024</t>
        </is>
      </c>
      <c r="B2440" t="inlineStr">
        <is>
          <t>avverkningsanmälan</t>
        </is>
      </c>
      <c r="C2440" t="inlineStr">
        <is>
          <t>Föryngringsavverkning</t>
        </is>
      </c>
      <c r="D2440" s="1" t="n">
        <v>45359</v>
      </c>
      <c r="E2440" s="1" t="n">
        <v>46323</v>
      </c>
      <c r="F2440" t="inlineStr">
        <is>
          <t>KALMAR LÄN</t>
        </is>
      </c>
      <c r="G2440" t="inlineStr">
        <is>
          <t>OSKARSHAMN</t>
        </is>
      </c>
      <c r="I2440" t="n">
        <v>0.9</v>
      </c>
      <c r="J2440" t="n">
        <v>0</v>
      </c>
      <c r="K2440" t="n">
        <v>0</v>
      </c>
      <c r="L2440" t="n">
        <v>0</v>
      </c>
      <c r="M2440" t="n">
        <v>0</v>
      </c>
      <c r="N2440" t="n">
        <v>0</v>
      </c>
      <c r="O2440" t="n">
        <v>0</v>
      </c>
      <c r="P2440" t="n">
        <v>0</v>
      </c>
      <c r="Q2440" t="n">
        <v>0</v>
      </c>
      <c r="R2440" t="n">
        <v>0</v>
      </c>
      <c r="S2440" t="n">
        <v>0</v>
      </c>
      <c r="T2440" t="n">
        <v>0</v>
      </c>
      <c r="U2440" t="n">
        <v>0</v>
      </c>
      <c r="V2440" s="2" t="inlineStr"/>
    </row>
    <row r="2441" ht="15" customHeight="1">
      <c r="A2441" t="inlineStr">
        <is>
          <t>A 9416-2024</t>
        </is>
      </c>
      <c r="B2441" t="inlineStr">
        <is>
          <t>avverkningsanmälan</t>
        </is>
      </c>
      <c r="C2441" t="inlineStr">
        <is>
          <t>Föryngringsavverkning</t>
        </is>
      </c>
      <c r="D2441" s="1" t="n">
        <v>45359</v>
      </c>
      <c r="E2441" s="1" t="n">
        <v>46323</v>
      </c>
      <c r="F2441" t="inlineStr">
        <is>
          <t>KALMAR LÄN</t>
        </is>
      </c>
      <c r="G2441" t="inlineStr">
        <is>
          <t>VIMMERBY</t>
        </is>
      </c>
      <c r="I2441" t="n">
        <v>3.2</v>
      </c>
      <c r="J2441" t="n">
        <v>0</v>
      </c>
      <c r="K2441" t="n">
        <v>0</v>
      </c>
      <c r="L2441" t="n">
        <v>0</v>
      </c>
      <c r="M2441" t="n">
        <v>0</v>
      </c>
      <c r="N2441" t="n">
        <v>0</v>
      </c>
      <c r="O2441" t="n">
        <v>0</v>
      </c>
      <c r="P2441" t="n">
        <v>0</v>
      </c>
      <c r="Q2441" t="n">
        <v>0</v>
      </c>
      <c r="R2441" t="n">
        <v>0</v>
      </c>
      <c r="S2441" t="n">
        <v>0</v>
      </c>
      <c r="T2441" t="n">
        <v>0</v>
      </c>
      <c r="U2441" t="n">
        <v>0</v>
      </c>
      <c r="V2441" s="2" t="inlineStr"/>
    </row>
    <row r="2442" ht="15" customHeight="1">
      <c r="A2442" t="inlineStr">
        <is>
          <t>A 49338-2022</t>
        </is>
      </c>
      <c r="B2442" t="inlineStr">
        <is>
          <t>avverkningsanmälan</t>
        </is>
      </c>
      <c r="C2442" t="inlineStr">
        <is>
          <t>Föryngringsavverkning</t>
        </is>
      </c>
      <c r="D2442" s="1" t="n">
        <v>44861</v>
      </c>
      <c r="E2442" s="1" t="n">
        <v>46323</v>
      </c>
      <c r="F2442" t="inlineStr">
        <is>
          <t>KALMAR LÄN</t>
        </is>
      </c>
      <c r="G2442" t="inlineStr">
        <is>
          <t>HÖGSBY</t>
        </is>
      </c>
      <c r="I2442" t="n">
        <v>1.9</v>
      </c>
      <c r="J2442" t="n">
        <v>0</v>
      </c>
      <c r="K2442" t="n">
        <v>0</v>
      </c>
      <c r="L2442" t="n">
        <v>0</v>
      </c>
      <c r="M2442" t="n">
        <v>0</v>
      </c>
      <c r="N2442" t="n">
        <v>0</v>
      </c>
      <c r="O2442" t="n">
        <v>0</v>
      </c>
      <c r="P2442" t="n">
        <v>0</v>
      </c>
      <c r="Q2442" t="n">
        <v>0</v>
      </c>
      <c r="R2442" t="n">
        <v>0</v>
      </c>
      <c r="S2442" t="n">
        <v>0</v>
      </c>
      <c r="T2442" t="n">
        <v>0</v>
      </c>
      <c r="U2442" t="n">
        <v>0</v>
      </c>
      <c r="V2442" s="2" t="inlineStr"/>
    </row>
    <row r="2443" ht="15" customHeight="1">
      <c r="A2443" t="inlineStr">
        <is>
          <t>A 29404-2024</t>
        </is>
      </c>
      <c r="B2443" t="inlineStr">
        <is>
          <t>avverkningsanmälan</t>
        </is>
      </c>
      <c r="C2443" t="inlineStr">
        <is>
          <t>Föryngringsavverkning</t>
        </is>
      </c>
      <c r="D2443" s="1" t="n">
        <v>45483</v>
      </c>
      <c r="E2443" s="1" t="n">
        <v>46323</v>
      </c>
      <c r="F2443" t="inlineStr">
        <is>
          <t>KALMAR LÄN</t>
        </is>
      </c>
      <c r="G2443" t="inlineStr">
        <is>
          <t>VÄSTERVIK</t>
        </is>
      </c>
      <c r="I2443" t="n">
        <v>2.2</v>
      </c>
      <c r="J2443" t="n">
        <v>0</v>
      </c>
      <c r="K2443" t="n">
        <v>0</v>
      </c>
      <c r="L2443" t="n">
        <v>0</v>
      </c>
      <c r="M2443" t="n">
        <v>0</v>
      </c>
      <c r="N2443" t="n">
        <v>0</v>
      </c>
      <c r="O2443" t="n">
        <v>0</v>
      </c>
      <c r="P2443" t="n">
        <v>0</v>
      </c>
      <c r="Q2443" t="n">
        <v>0</v>
      </c>
      <c r="R2443" t="n">
        <v>0</v>
      </c>
      <c r="S2443" t="n">
        <v>0</v>
      </c>
      <c r="T2443" t="n">
        <v>0</v>
      </c>
      <c r="U2443" t="n">
        <v>0</v>
      </c>
      <c r="V2443" s="2" t="inlineStr"/>
    </row>
    <row r="2444" ht="15" customHeight="1">
      <c r="A2444" t="inlineStr">
        <is>
          <t>A 144-2023</t>
        </is>
      </c>
      <c r="B2444" t="inlineStr">
        <is>
          <t>avverkningsanmälan</t>
        </is>
      </c>
      <c r="C2444" t="inlineStr">
        <is>
          <t>Avverkning för att bevara och utveckla /försöksver</t>
        </is>
      </c>
      <c r="D2444" s="1" t="n">
        <v>44928</v>
      </c>
      <c r="E2444" s="1" t="n">
        <v>46323</v>
      </c>
      <c r="F2444" t="inlineStr">
        <is>
          <t>KALMAR LÄN</t>
        </is>
      </c>
      <c r="G2444" t="inlineStr">
        <is>
          <t>HULTSFRED</t>
        </is>
      </c>
      <c r="H2444" t="inlineStr">
        <is>
          <t>Sveaskog</t>
        </is>
      </c>
      <c r="I2444" t="n">
        <v>1.7</v>
      </c>
      <c r="J2444" t="n">
        <v>0</v>
      </c>
      <c r="K2444" t="n">
        <v>0</v>
      </c>
      <c r="L2444" t="n">
        <v>0</v>
      </c>
      <c r="M2444" t="n">
        <v>0</v>
      </c>
      <c r="N2444" t="n">
        <v>0</v>
      </c>
      <c r="O2444" t="n">
        <v>0</v>
      </c>
      <c r="P2444" t="n">
        <v>0</v>
      </c>
      <c r="Q2444" t="n">
        <v>0</v>
      </c>
      <c r="R2444" t="n">
        <v>0</v>
      </c>
      <c r="S2444" t="n">
        <v>0</v>
      </c>
      <c r="T2444" t="n">
        <v>0</v>
      </c>
      <c r="U2444" t="n">
        <v>0</v>
      </c>
      <c r="V2444" s="2" t="inlineStr"/>
    </row>
    <row r="2445" ht="15" customHeight="1">
      <c r="A2445" t="inlineStr">
        <is>
          <t>A 39535-2022</t>
        </is>
      </c>
      <c r="B2445" t="inlineStr">
        <is>
          <t>avverkningsanmälan</t>
        </is>
      </c>
      <c r="C2445" t="inlineStr">
        <is>
          <t>Föryngringsavverkning</t>
        </is>
      </c>
      <c r="D2445" s="1" t="n">
        <v>44818</v>
      </c>
      <c r="E2445" s="1" t="n">
        <v>46323</v>
      </c>
      <c r="F2445" t="inlineStr">
        <is>
          <t>KALMAR LÄN</t>
        </is>
      </c>
      <c r="G2445" t="inlineStr">
        <is>
          <t>NYBRO</t>
        </is>
      </c>
      <c r="I2445" t="n">
        <v>3.2</v>
      </c>
      <c r="J2445" t="n">
        <v>0</v>
      </c>
      <c r="K2445" t="n">
        <v>0</v>
      </c>
      <c r="L2445" t="n">
        <v>0</v>
      </c>
      <c r="M2445" t="n">
        <v>0</v>
      </c>
      <c r="N2445" t="n">
        <v>0</v>
      </c>
      <c r="O2445" t="n">
        <v>0</v>
      </c>
      <c r="P2445" t="n">
        <v>0</v>
      </c>
      <c r="Q2445" t="n">
        <v>0</v>
      </c>
      <c r="R2445" t="n">
        <v>0</v>
      </c>
      <c r="S2445" t="n">
        <v>0</v>
      </c>
      <c r="T2445" t="n">
        <v>0</v>
      </c>
      <c r="U2445" t="n">
        <v>0</v>
      </c>
      <c r="V2445" s="2" t="inlineStr"/>
    </row>
    <row r="2446" ht="15" customHeight="1">
      <c r="A2446" t="inlineStr">
        <is>
          <t>A 62322-2023</t>
        </is>
      </c>
      <c r="B2446" t="inlineStr">
        <is>
          <t>avverkningsanmälan</t>
        </is>
      </c>
      <c r="C2446" t="inlineStr">
        <is>
          <t>Föryngringsavverkning</t>
        </is>
      </c>
      <c r="D2446" s="1" t="n">
        <v>45267</v>
      </c>
      <c r="E2446" s="1" t="n">
        <v>46323</v>
      </c>
      <c r="F2446" t="inlineStr">
        <is>
          <t>KALMAR LÄN</t>
        </is>
      </c>
      <c r="G2446" t="inlineStr">
        <is>
          <t>OSKARSHAMN</t>
        </is>
      </c>
      <c r="H2446" t="inlineStr">
        <is>
          <t>Sveaskog</t>
        </is>
      </c>
      <c r="I2446" t="n">
        <v>0.6</v>
      </c>
      <c r="J2446" t="n">
        <v>0</v>
      </c>
      <c r="K2446" t="n">
        <v>0</v>
      </c>
      <c r="L2446" t="n">
        <v>0</v>
      </c>
      <c r="M2446" t="n">
        <v>0</v>
      </c>
      <c r="N2446" t="n">
        <v>0</v>
      </c>
      <c r="O2446" t="n">
        <v>0</v>
      </c>
      <c r="P2446" t="n">
        <v>0</v>
      </c>
      <c r="Q2446" t="n">
        <v>0</v>
      </c>
      <c r="R2446" t="n">
        <v>0</v>
      </c>
      <c r="S2446" t="n">
        <v>0</v>
      </c>
      <c r="T2446" t="n">
        <v>0</v>
      </c>
      <c r="U2446" t="n">
        <v>0</v>
      </c>
      <c r="V2446" s="2" t="inlineStr"/>
    </row>
    <row r="2447" ht="15" customHeight="1">
      <c r="A2447" t="inlineStr">
        <is>
          <t>A 29173-2024</t>
        </is>
      </c>
      <c r="B2447" t="inlineStr">
        <is>
          <t>avverkningsanmälan</t>
        </is>
      </c>
      <c r="C2447" t="inlineStr">
        <is>
          <t>Föryngringsavverkning</t>
        </is>
      </c>
      <c r="D2447" s="1" t="n">
        <v>45482</v>
      </c>
      <c r="E2447" s="1" t="n">
        <v>46323</v>
      </c>
      <c r="F2447" t="inlineStr">
        <is>
          <t>KALMAR LÄN</t>
        </is>
      </c>
      <c r="G2447" t="inlineStr">
        <is>
          <t>VIMMERBY</t>
        </is>
      </c>
      <c r="I2447" t="n">
        <v>0.6</v>
      </c>
      <c r="J2447" t="n">
        <v>0</v>
      </c>
      <c r="K2447" t="n">
        <v>0</v>
      </c>
      <c r="L2447" t="n">
        <v>0</v>
      </c>
      <c r="M2447" t="n">
        <v>0</v>
      </c>
      <c r="N2447" t="n">
        <v>0</v>
      </c>
      <c r="O2447" t="n">
        <v>0</v>
      </c>
      <c r="P2447" t="n">
        <v>0</v>
      </c>
      <c r="Q2447" t="n">
        <v>0</v>
      </c>
      <c r="R2447" t="n">
        <v>0</v>
      </c>
      <c r="S2447" t="n">
        <v>0</v>
      </c>
      <c r="T2447" t="n">
        <v>0</v>
      </c>
      <c r="U2447" t="n">
        <v>0</v>
      </c>
      <c r="V2447" s="2" t="inlineStr"/>
    </row>
    <row r="2448" ht="15" customHeight="1">
      <c r="A2448" t="inlineStr">
        <is>
          <t>A 11111-2024</t>
        </is>
      </c>
      <c r="B2448" t="inlineStr">
        <is>
          <t>avverkningsanmälan</t>
        </is>
      </c>
      <c r="C2448" t="inlineStr">
        <is>
          <t>Föryngringsavverkning</t>
        </is>
      </c>
      <c r="D2448" s="1" t="n">
        <v>45371</v>
      </c>
      <c r="E2448" s="1" t="n">
        <v>46323</v>
      </c>
      <c r="F2448" t="inlineStr">
        <is>
          <t>KALMAR LÄN</t>
        </is>
      </c>
      <c r="G2448" t="inlineStr">
        <is>
          <t>VIMMERBY</t>
        </is>
      </c>
      <c r="I2448" t="n">
        <v>1.4</v>
      </c>
      <c r="J2448" t="n">
        <v>0</v>
      </c>
      <c r="K2448" t="n">
        <v>0</v>
      </c>
      <c r="L2448" t="n">
        <v>0</v>
      </c>
      <c r="M2448" t="n">
        <v>0</v>
      </c>
      <c r="N2448" t="n">
        <v>0</v>
      </c>
      <c r="O2448" t="n">
        <v>0</v>
      </c>
      <c r="P2448" t="n">
        <v>0</v>
      </c>
      <c r="Q2448" t="n">
        <v>0</v>
      </c>
      <c r="R2448" t="n">
        <v>0</v>
      </c>
      <c r="S2448" t="n">
        <v>0</v>
      </c>
      <c r="T2448" t="n">
        <v>0</v>
      </c>
      <c r="U2448" t="n">
        <v>0</v>
      </c>
      <c r="V2448" s="2" t="inlineStr"/>
    </row>
    <row r="2449" ht="15" customHeight="1">
      <c r="A2449" t="inlineStr">
        <is>
          <t>A 11141-2024</t>
        </is>
      </c>
      <c r="B2449" t="inlineStr">
        <is>
          <t>avverkningsanmälan</t>
        </is>
      </c>
      <c r="C2449" t="inlineStr">
        <is>
          <t>Föryngringsavverkning</t>
        </is>
      </c>
      <c r="D2449" s="1" t="n">
        <v>45371</v>
      </c>
      <c r="E2449" s="1" t="n">
        <v>46323</v>
      </c>
      <c r="F2449" t="inlineStr">
        <is>
          <t>KALMAR LÄN</t>
        </is>
      </c>
      <c r="G2449" t="inlineStr">
        <is>
          <t>VIMMERBY</t>
        </is>
      </c>
      <c r="I2449" t="n">
        <v>0.7</v>
      </c>
      <c r="J2449" t="n">
        <v>0</v>
      </c>
      <c r="K2449" t="n">
        <v>0</v>
      </c>
      <c r="L2449" t="n">
        <v>0</v>
      </c>
      <c r="M2449" t="n">
        <v>0</v>
      </c>
      <c r="N2449" t="n">
        <v>0</v>
      </c>
      <c r="O2449" t="n">
        <v>0</v>
      </c>
      <c r="P2449" t="n">
        <v>0</v>
      </c>
      <c r="Q2449" t="n">
        <v>0</v>
      </c>
      <c r="R2449" t="n">
        <v>0</v>
      </c>
      <c r="S2449" t="n">
        <v>0</v>
      </c>
      <c r="T2449" t="n">
        <v>0</v>
      </c>
      <c r="U2449" t="n">
        <v>0</v>
      </c>
      <c r="V2449" s="2" t="inlineStr"/>
    </row>
    <row r="2450" ht="15" customHeight="1">
      <c r="A2450" t="inlineStr">
        <is>
          <t>A 1033-2023</t>
        </is>
      </c>
      <c r="B2450" t="inlineStr">
        <is>
          <t>avverkningsanmälan</t>
        </is>
      </c>
      <c r="C2450" t="inlineStr">
        <is>
          <t>Föryngringsavverkning</t>
        </is>
      </c>
      <c r="D2450" s="1" t="n">
        <v>44935</v>
      </c>
      <c r="E2450" s="1" t="n">
        <v>46323</v>
      </c>
      <c r="F2450" t="inlineStr">
        <is>
          <t>KALMAR LÄN</t>
        </is>
      </c>
      <c r="G2450" t="inlineStr">
        <is>
          <t>HULTSFRED</t>
        </is>
      </c>
      <c r="I2450" t="n">
        <v>0.5</v>
      </c>
      <c r="J2450" t="n">
        <v>0</v>
      </c>
      <c r="K2450" t="n">
        <v>0</v>
      </c>
      <c r="L2450" t="n">
        <v>0</v>
      </c>
      <c r="M2450" t="n">
        <v>0</v>
      </c>
      <c r="N2450" t="n">
        <v>0</v>
      </c>
      <c r="O2450" t="n">
        <v>0</v>
      </c>
      <c r="P2450" t="n">
        <v>0</v>
      </c>
      <c r="Q2450" t="n">
        <v>0</v>
      </c>
      <c r="R2450" t="n">
        <v>0</v>
      </c>
      <c r="S2450" t="n">
        <v>0</v>
      </c>
      <c r="T2450" t="n">
        <v>0</v>
      </c>
      <c r="U2450" t="n">
        <v>0</v>
      </c>
      <c r="V2450" s="2" t="inlineStr"/>
    </row>
    <row r="2451" ht="15" customHeight="1">
      <c r="A2451" t="inlineStr">
        <is>
          <t>A 9418-2024</t>
        </is>
      </c>
      <c r="B2451" t="inlineStr">
        <is>
          <t>avverkningsanmälan</t>
        </is>
      </c>
      <c r="C2451" t="inlineStr">
        <is>
          <t>Föryngringsavverkning</t>
        </is>
      </c>
      <c r="D2451" s="1" t="n">
        <v>45359</v>
      </c>
      <c r="E2451" s="1" t="n">
        <v>46323</v>
      </c>
      <c r="F2451" t="inlineStr">
        <is>
          <t>KALMAR LÄN</t>
        </is>
      </c>
      <c r="G2451" t="inlineStr">
        <is>
          <t>VIMMERBY</t>
        </is>
      </c>
      <c r="I2451" t="n">
        <v>1.9</v>
      </c>
      <c r="J2451" t="n">
        <v>0</v>
      </c>
      <c r="K2451" t="n">
        <v>0</v>
      </c>
      <c r="L2451" t="n">
        <v>0</v>
      </c>
      <c r="M2451" t="n">
        <v>0</v>
      </c>
      <c r="N2451" t="n">
        <v>0</v>
      </c>
      <c r="O2451" t="n">
        <v>0</v>
      </c>
      <c r="P2451" t="n">
        <v>0</v>
      </c>
      <c r="Q2451" t="n">
        <v>0</v>
      </c>
      <c r="R2451" t="n">
        <v>0</v>
      </c>
      <c r="S2451" t="n">
        <v>0</v>
      </c>
      <c r="T2451" t="n">
        <v>0</v>
      </c>
      <c r="U2451" t="n">
        <v>0</v>
      </c>
      <c r="V2451" s="2" t="inlineStr"/>
    </row>
    <row r="2452" ht="15" customHeight="1">
      <c r="A2452" t="inlineStr">
        <is>
          <t>A 10758-2024</t>
        </is>
      </c>
      <c r="B2452" t="inlineStr">
        <is>
          <t>avverkningsanmälan</t>
        </is>
      </c>
      <c r="C2452" t="inlineStr">
        <is>
          <t>Föryngringsavverkning</t>
        </is>
      </c>
      <c r="D2452" s="1" t="n">
        <v>45369</v>
      </c>
      <c r="E2452" s="1" t="n">
        <v>46323</v>
      </c>
      <c r="F2452" t="inlineStr">
        <is>
          <t>KALMAR LÄN</t>
        </is>
      </c>
      <c r="G2452" t="inlineStr">
        <is>
          <t>NYBRO</t>
        </is>
      </c>
      <c r="I2452" t="n">
        <v>1.3</v>
      </c>
      <c r="J2452" t="n">
        <v>0</v>
      </c>
      <c r="K2452" t="n">
        <v>0</v>
      </c>
      <c r="L2452" t="n">
        <v>0</v>
      </c>
      <c r="M2452" t="n">
        <v>0</v>
      </c>
      <c r="N2452" t="n">
        <v>0</v>
      </c>
      <c r="O2452" t="n">
        <v>0</v>
      </c>
      <c r="P2452" t="n">
        <v>0</v>
      </c>
      <c r="Q2452" t="n">
        <v>0</v>
      </c>
      <c r="R2452" t="n">
        <v>0</v>
      </c>
      <c r="S2452" t="n">
        <v>0</v>
      </c>
      <c r="T2452" t="n">
        <v>0</v>
      </c>
      <c r="U2452" t="n">
        <v>0</v>
      </c>
      <c r="V2452" s="2" t="inlineStr"/>
    </row>
    <row r="2453" ht="15" customHeight="1">
      <c r="A2453" t="inlineStr">
        <is>
          <t>A 56188-2023</t>
        </is>
      </c>
      <c r="B2453" t="inlineStr">
        <is>
          <t>avverkningsanmälan</t>
        </is>
      </c>
      <c r="C2453" t="inlineStr">
        <is>
          <t>Föryngringsavverkning</t>
        </is>
      </c>
      <c r="D2453" s="1" t="n">
        <v>45240</v>
      </c>
      <c r="E2453" s="1" t="n">
        <v>46323</v>
      </c>
      <c r="F2453" t="inlineStr">
        <is>
          <t>KALMAR LÄN</t>
        </is>
      </c>
      <c r="G2453" t="inlineStr">
        <is>
          <t>VÄSTERVIK</t>
        </is>
      </c>
      <c r="I2453" t="n">
        <v>1.9</v>
      </c>
      <c r="J2453" t="n">
        <v>0</v>
      </c>
      <c r="K2453" t="n">
        <v>0</v>
      </c>
      <c r="L2453" t="n">
        <v>0</v>
      </c>
      <c r="M2453" t="n">
        <v>0</v>
      </c>
      <c r="N2453" t="n">
        <v>0</v>
      </c>
      <c r="O2453" t="n">
        <v>0</v>
      </c>
      <c r="P2453" t="n">
        <v>0</v>
      </c>
      <c r="Q2453" t="n">
        <v>0</v>
      </c>
      <c r="R2453" t="n">
        <v>0</v>
      </c>
      <c r="S2453" t="n">
        <v>0</v>
      </c>
      <c r="T2453" t="n">
        <v>0</v>
      </c>
      <c r="U2453" t="n">
        <v>0</v>
      </c>
      <c r="V2453" s="2" t="inlineStr"/>
    </row>
    <row r="2454" ht="15" customHeight="1">
      <c r="A2454" t="inlineStr">
        <is>
          <t>A 26545-2024</t>
        </is>
      </c>
      <c r="B2454" t="inlineStr">
        <is>
          <t>avverkningsanmälan</t>
        </is>
      </c>
      <c r="C2454" t="inlineStr">
        <is>
          <t>Avverkning för annat ändamål</t>
        </is>
      </c>
      <c r="D2454" s="1" t="n">
        <v>45469</v>
      </c>
      <c r="E2454" s="1" t="n">
        <v>46323</v>
      </c>
      <c r="F2454" t="inlineStr">
        <is>
          <t>KALMAR LÄN</t>
        </is>
      </c>
      <c r="G2454" t="inlineStr">
        <is>
          <t>HÖGSBY</t>
        </is>
      </c>
      <c r="H2454" t="inlineStr">
        <is>
          <t>Sveaskog</t>
        </is>
      </c>
      <c r="I2454" t="n">
        <v>0.7</v>
      </c>
      <c r="J2454" t="n">
        <v>0</v>
      </c>
      <c r="K2454" t="n">
        <v>0</v>
      </c>
      <c r="L2454" t="n">
        <v>0</v>
      </c>
      <c r="M2454" t="n">
        <v>0</v>
      </c>
      <c r="N2454" t="n">
        <v>0</v>
      </c>
      <c r="O2454" t="n">
        <v>0</v>
      </c>
      <c r="P2454" t="n">
        <v>0</v>
      </c>
      <c r="Q2454" t="n">
        <v>0</v>
      </c>
      <c r="R2454" t="n">
        <v>0</v>
      </c>
      <c r="S2454" t="n">
        <v>0</v>
      </c>
      <c r="T2454" t="n">
        <v>0</v>
      </c>
      <c r="U2454" t="n">
        <v>0</v>
      </c>
      <c r="V2454" s="2" t="inlineStr"/>
    </row>
    <row r="2455" ht="15" customHeight="1">
      <c r="A2455" t="inlineStr">
        <is>
          <t>A 28216-2024</t>
        </is>
      </c>
      <c r="B2455" t="inlineStr">
        <is>
          <t>avverkningsanmälan</t>
        </is>
      </c>
      <c r="C2455" t="inlineStr">
        <is>
          <t>Föryngringsavverkning</t>
        </is>
      </c>
      <c r="D2455" s="1" t="n">
        <v>45477</v>
      </c>
      <c r="E2455" s="1" t="n">
        <v>46323</v>
      </c>
      <c r="F2455" t="inlineStr">
        <is>
          <t>KALMAR LÄN</t>
        </is>
      </c>
      <c r="G2455" t="inlineStr">
        <is>
          <t>HULTSFRED</t>
        </is>
      </c>
      <c r="I2455" t="n">
        <v>7.4</v>
      </c>
      <c r="J2455" t="n">
        <v>0</v>
      </c>
      <c r="K2455" t="n">
        <v>0</v>
      </c>
      <c r="L2455" t="n">
        <v>0</v>
      </c>
      <c r="M2455" t="n">
        <v>0</v>
      </c>
      <c r="N2455" t="n">
        <v>0</v>
      </c>
      <c r="O2455" t="n">
        <v>0</v>
      </c>
      <c r="P2455" t="n">
        <v>0</v>
      </c>
      <c r="Q2455" t="n">
        <v>0</v>
      </c>
      <c r="R2455" t="n">
        <v>0</v>
      </c>
      <c r="S2455" t="n">
        <v>0</v>
      </c>
      <c r="T2455" t="n">
        <v>0</v>
      </c>
      <c r="U2455" t="n">
        <v>0</v>
      </c>
      <c r="V2455" s="2" t="inlineStr"/>
    </row>
    <row r="2456" ht="15" customHeight="1">
      <c r="A2456" t="inlineStr">
        <is>
          <t>A 18288-2025</t>
        </is>
      </c>
      <c r="B2456" t="inlineStr">
        <is>
          <t>avverkningsanmälan</t>
        </is>
      </c>
      <c r="C2456" t="inlineStr">
        <is>
          <t>Föryngringsavverkning</t>
        </is>
      </c>
      <c r="D2456" s="1" t="n">
        <v>45762</v>
      </c>
      <c r="E2456" s="1" t="n">
        <v>46323</v>
      </c>
      <c r="F2456" t="inlineStr">
        <is>
          <t>KALMAR LÄN</t>
        </is>
      </c>
      <c r="G2456" t="inlineStr">
        <is>
          <t>NYBRO</t>
        </is>
      </c>
      <c r="H2456" t="inlineStr">
        <is>
          <t>Sveaskog</t>
        </is>
      </c>
      <c r="I2456" t="n">
        <v>0.8</v>
      </c>
      <c r="J2456" t="n">
        <v>0</v>
      </c>
      <c r="K2456" t="n">
        <v>0</v>
      </c>
      <c r="L2456" t="n">
        <v>0</v>
      </c>
      <c r="M2456" t="n">
        <v>0</v>
      </c>
      <c r="N2456" t="n">
        <v>0</v>
      </c>
      <c r="O2456" t="n">
        <v>0</v>
      </c>
      <c r="P2456" t="n">
        <v>0</v>
      </c>
      <c r="Q2456" t="n">
        <v>0</v>
      </c>
      <c r="R2456" t="n">
        <v>0</v>
      </c>
      <c r="S2456" t="n">
        <v>0</v>
      </c>
      <c r="T2456" t="n">
        <v>0</v>
      </c>
      <c r="U2456" t="n">
        <v>0</v>
      </c>
      <c r="V2456" s="2" t="inlineStr"/>
    </row>
    <row r="2457" ht="15" customHeight="1">
      <c r="A2457" t="inlineStr">
        <is>
          <t>A 28224-2024</t>
        </is>
      </c>
      <c r="B2457" t="inlineStr">
        <is>
          <t>avverkningsanmälan</t>
        </is>
      </c>
      <c r="C2457" t="inlineStr">
        <is>
          <t>Föryngringsavverkning</t>
        </is>
      </c>
      <c r="D2457" s="1" t="n">
        <v>45477</v>
      </c>
      <c r="E2457" s="1" t="n">
        <v>46323</v>
      </c>
      <c r="F2457" t="inlineStr">
        <is>
          <t>KALMAR LÄN</t>
        </is>
      </c>
      <c r="G2457" t="inlineStr">
        <is>
          <t>HULTSFRED</t>
        </is>
      </c>
      <c r="I2457" t="n">
        <v>1.6</v>
      </c>
      <c r="J2457" t="n">
        <v>0</v>
      </c>
      <c r="K2457" t="n">
        <v>0</v>
      </c>
      <c r="L2457" t="n">
        <v>0</v>
      </c>
      <c r="M2457" t="n">
        <v>0</v>
      </c>
      <c r="N2457" t="n">
        <v>0</v>
      </c>
      <c r="O2457" t="n">
        <v>0</v>
      </c>
      <c r="P2457" t="n">
        <v>0</v>
      </c>
      <c r="Q2457" t="n">
        <v>0</v>
      </c>
      <c r="R2457" t="n">
        <v>0</v>
      </c>
      <c r="S2457" t="n">
        <v>0</v>
      </c>
      <c r="T2457" t="n">
        <v>0</v>
      </c>
      <c r="U2457" t="n">
        <v>0</v>
      </c>
      <c r="V2457" s="2" t="inlineStr"/>
    </row>
    <row r="2458" ht="15" customHeight="1">
      <c r="A2458" t="inlineStr">
        <is>
          <t>A 18346-2023</t>
        </is>
      </c>
      <c r="B2458" t="inlineStr">
        <is>
          <t>avverkningsanmälan</t>
        </is>
      </c>
      <c r="C2458" t="inlineStr">
        <is>
          <t>Föryngringsavverkning</t>
        </is>
      </c>
      <c r="D2458" s="1" t="n">
        <v>45041</v>
      </c>
      <c r="E2458" s="1" t="n">
        <v>46323</v>
      </c>
      <c r="F2458" t="inlineStr">
        <is>
          <t>KALMAR LÄN</t>
        </is>
      </c>
      <c r="G2458" t="inlineStr">
        <is>
          <t>OSKARSHAMN</t>
        </is>
      </c>
      <c r="I2458" t="n">
        <v>2.1</v>
      </c>
      <c r="J2458" t="n">
        <v>0</v>
      </c>
      <c r="K2458" t="n">
        <v>0</v>
      </c>
      <c r="L2458" t="n">
        <v>0</v>
      </c>
      <c r="M2458" t="n">
        <v>0</v>
      </c>
      <c r="N2458" t="n">
        <v>0</v>
      </c>
      <c r="O2458" t="n">
        <v>0</v>
      </c>
      <c r="P2458" t="n">
        <v>0</v>
      </c>
      <c r="Q2458" t="n">
        <v>0</v>
      </c>
      <c r="R2458" t="n">
        <v>0</v>
      </c>
      <c r="S2458" t="n">
        <v>0</v>
      </c>
      <c r="T2458" t="n">
        <v>0</v>
      </c>
      <c r="U2458" t="n">
        <v>0</v>
      </c>
      <c r="V2458" s="2" t="inlineStr"/>
    </row>
    <row r="2459" ht="15" customHeight="1">
      <c r="A2459" t="inlineStr">
        <is>
          <t>A 4496-2022</t>
        </is>
      </c>
      <c r="B2459" t="inlineStr">
        <is>
          <t>avverkningsanmälan</t>
        </is>
      </c>
      <c r="C2459" t="inlineStr">
        <is>
          <t>Föryngringsavverkning</t>
        </is>
      </c>
      <c r="D2459" s="1" t="n">
        <v>44589</v>
      </c>
      <c r="E2459" s="1" t="n">
        <v>46323</v>
      </c>
      <c r="F2459" t="inlineStr">
        <is>
          <t>KALMAR LÄN</t>
        </is>
      </c>
      <c r="G2459" t="inlineStr">
        <is>
          <t>VÄSTERVIK</t>
        </is>
      </c>
      <c r="I2459" t="n">
        <v>0.7</v>
      </c>
      <c r="J2459" t="n">
        <v>0</v>
      </c>
      <c r="K2459" t="n">
        <v>0</v>
      </c>
      <c r="L2459" t="n">
        <v>0</v>
      </c>
      <c r="M2459" t="n">
        <v>0</v>
      </c>
      <c r="N2459" t="n">
        <v>0</v>
      </c>
      <c r="O2459" t="n">
        <v>0</v>
      </c>
      <c r="P2459" t="n">
        <v>0</v>
      </c>
      <c r="Q2459" t="n">
        <v>0</v>
      </c>
      <c r="R2459" t="n">
        <v>0</v>
      </c>
      <c r="S2459" t="n">
        <v>0</v>
      </c>
      <c r="T2459" t="n">
        <v>0</v>
      </c>
      <c r="U2459" t="n">
        <v>0</v>
      </c>
      <c r="V2459" s="2" t="inlineStr"/>
    </row>
    <row r="2460" ht="15" customHeight="1">
      <c r="A2460" t="inlineStr">
        <is>
          <t>A 2884-2023</t>
        </is>
      </c>
      <c r="B2460" t="inlineStr">
        <is>
          <t>avverkningsanmälan</t>
        </is>
      </c>
      <c r="C2460" t="inlineStr">
        <is>
          <t>Föryngringsavverkning</t>
        </is>
      </c>
      <c r="D2460" s="1" t="n">
        <v>44945</v>
      </c>
      <c r="E2460" s="1" t="n">
        <v>46323</v>
      </c>
      <c r="F2460" t="inlineStr">
        <is>
          <t>KALMAR LÄN</t>
        </is>
      </c>
      <c r="G2460" t="inlineStr">
        <is>
          <t>NYBRO</t>
        </is>
      </c>
      <c r="I2460" t="n">
        <v>0.9</v>
      </c>
      <c r="J2460" t="n">
        <v>0</v>
      </c>
      <c r="K2460" t="n">
        <v>0</v>
      </c>
      <c r="L2460" t="n">
        <v>0</v>
      </c>
      <c r="M2460" t="n">
        <v>0</v>
      </c>
      <c r="N2460" t="n">
        <v>0</v>
      </c>
      <c r="O2460" t="n">
        <v>0</v>
      </c>
      <c r="P2460" t="n">
        <v>0</v>
      </c>
      <c r="Q2460" t="n">
        <v>0</v>
      </c>
      <c r="R2460" t="n">
        <v>0</v>
      </c>
      <c r="S2460" t="n">
        <v>0</v>
      </c>
      <c r="T2460" t="n">
        <v>0</v>
      </c>
      <c r="U2460" t="n">
        <v>0</v>
      </c>
      <c r="V2460" s="2" t="inlineStr"/>
    </row>
    <row r="2461" ht="15" customHeight="1">
      <c r="A2461" t="inlineStr">
        <is>
          <t>A 14475-2023</t>
        </is>
      </c>
      <c r="B2461" t="inlineStr">
        <is>
          <t>avverkningsanmälan</t>
        </is>
      </c>
      <c r="C2461" t="inlineStr">
        <is>
          <t>Föryngringsavverkning</t>
        </is>
      </c>
      <c r="D2461" s="1" t="n">
        <v>45012</v>
      </c>
      <c r="E2461" s="1" t="n">
        <v>46323</v>
      </c>
      <c r="F2461" t="inlineStr">
        <is>
          <t>KALMAR LÄN</t>
        </is>
      </c>
      <c r="G2461" t="inlineStr">
        <is>
          <t>OSKARSHAMN</t>
        </is>
      </c>
      <c r="I2461" t="n">
        <v>1.8</v>
      </c>
      <c r="J2461" t="n">
        <v>0</v>
      </c>
      <c r="K2461" t="n">
        <v>0</v>
      </c>
      <c r="L2461" t="n">
        <v>0</v>
      </c>
      <c r="M2461" t="n">
        <v>0</v>
      </c>
      <c r="N2461" t="n">
        <v>0</v>
      </c>
      <c r="O2461" t="n">
        <v>0</v>
      </c>
      <c r="P2461" t="n">
        <v>0</v>
      </c>
      <c r="Q2461" t="n">
        <v>0</v>
      </c>
      <c r="R2461" t="n">
        <v>0</v>
      </c>
      <c r="S2461" t="n">
        <v>0</v>
      </c>
      <c r="T2461" t="n">
        <v>0</v>
      </c>
      <c r="U2461" t="n">
        <v>0</v>
      </c>
      <c r="V2461" s="2" t="inlineStr"/>
    </row>
    <row r="2462" ht="15" customHeight="1">
      <c r="A2462" t="inlineStr">
        <is>
          <t>A 8113-2023</t>
        </is>
      </c>
      <c r="B2462" t="inlineStr">
        <is>
          <t>avverkningsanmälan</t>
        </is>
      </c>
      <c r="C2462" t="inlineStr">
        <is>
          <t>Föryngringsavverkning</t>
        </is>
      </c>
      <c r="D2462" s="1" t="n">
        <v>44974</v>
      </c>
      <c r="E2462" s="1" t="n">
        <v>46323</v>
      </c>
      <c r="F2462" t="inlineStr">
        <is>
          <t>KALMAR LÄN</t>
        </is>
      </c>
      <c r="G2462" t="inlineStr">
        <is>
          <t>MÖNSTERÅS</t>
        </is>
      </c>
      <c r="H2462" t="inlineStr">
        <is>
          <t>Övriga Aktiebolag</t>
        </is>
      </c>
      <c r="I2462" t="n">
        <v>8.5</v>
      </c>
      <c r="J2462" t="n">
        <v>0</v>
      </c>
      <c r="K2462" t="n">
        <v>0</v>
      </c>
      <c r="L2462" t="n">
        <v>0</v>
      </c>
      <c r="M2462" t="n">
        <v>0</v>
      </c>
      <c r="N2462" t="n">
        <v>0</v>
      </c>
      <c r="O2462" t="n">
        <v>0</v>
      </c>
      <c r="P2462" t="n">
        <v>0</v>
      </c>
      <c r="Q2462" t="n">
        <v>0</v>
      </c>
      <c r="R2462" t="n">
        <v>0</v>
      </c>
      <c r="S2462" t="n">
        <v>0</v>
      </c>
      <c r="T2462" t="n">
        <v>0</v>
      </c>
      <c r="U2462" t="n">
        <v>0</v>
      </c>
      <c r="V2462" s="2" t="inlineStr"/>
    </row>
    <row r="2463" ht="15" customHeight="1">
      <c r="A2463" t="inlineStr">
        <is>
          <t>A 60851-2022</t>
        </is>
      </c>
      <c r="B2463" t="inlineStr">
        <is>
          <t>avverkningsanmälan</t>
        </is>
      </c>
      <c r="C2463" t="inlineStr">
        <is>
          <t>Föryngringsavverkning</t>
        </is>
      </c>
      <c r="D2463" s="1" t="n">
        <v>44914</v>
      </c>
      <c r="E2463" s="1" t="n">
        <v>46323</v>
      </c>
      <c r="F2463" t="inlineStr">
        <is>
          <t>KALMAR LÄN</t>
        </is>
      </c>
      <c r="G2463" t="inlineStr">
        <is>
          <t>KALMAR</t>
        </is>
      </c>
      <c r="I2463" t="n">
        <v>1.8</v>
      </c>
      <c r="J2463" t="n">
        <v>0</v>
      </c>
      <c r="K2463" t="n">
        <v>0</v>
      </c>
      <c r="L2463" t="n">
        <v>0</v>
      </c>
      <c r="M2463" t="n">
        <v>0</v>
      </c>
      <c r="N2463" t="n">
        <v>0</v>
      </c>
      <c r="O2463" t="n">
        <v>0</v>
      </c>
      <c r="P2463" t="n">
        <v>0</v>
      </c>
      <c r="Q2463" t="n">
        <v>0</v>
      </c>
      <c r="R2463" t="n">
        <v>0</v>
      </c>
      <c r="S2463" t="n">
        <v>0</v>
      </c>
      <c r="T2463" t="n">
        <v>0</v>
      </c>
      <c r="U2463" t="n">
        <v>0</v>
      </c>
      <c r="V2463" s="2" t="inlineStr"/>
    </row>
    <row r="2464" ht="15" customHeight="1">
      <c r="A2464" t="inlineStr">
        <is>
          <t>A 30230-2023</t>
        </is>
      </c>
      <c r="B2464" t="inlineStr">
        <is>
          <t>avverkningsanmälan</t>
        </is>
      </c>
      <c r="C2464" t="inlineStr">
        <is>
          <t>Föryngringsavverkning</t>
        </is>
      </c>
      <c r="D2464" s="1" t="n">
        <v>45110</v>
      </c>
      <c r="E2464" s="1" t="n">
        <v>46323</v>
      </c>
      <c r="F2464" t="inlineStr">
        <is>
          <t>KALMAR LÄN</t>
        </is>
      </c>
      <c r="G2464" t="inlineStr">
        <is>
          <t>OSKARSHAMN</t>
        </is>
      </c>
      <c r="I2464" t="n">
        <v>1.2</v>
      </c>
      <c r="J2464" t="n">
        <v>0</v>
      </c>
      <c r="K2464" t="n">
        <v>0</v>
      </c>
      <c r="L2464" t="n">
        <v>0</v>
      </c>
      <c r="M2464" t="n">
        <v>0</v>
      </c>
      <c r="N2464" t="n">
        <v>0</v>
      </c>
      <c r="O2464" t="n">
        <v>0</v>
      </c>
      <c r="P2464" t="n">
        <v>0</v>
      </c>
      <c r="Q2464" t="n">
        <v>0</v>
      </c>
      <c r="R2464" t="n">
        <v>0</v>
      </c>
      <c r="S2464" t="n">
        <v>0</v>
      </c>
      <c r="T2464" t="n">
        <v>0</v>
      </c>
      <c r="U2464" t="n">
        <v>0</v>
      </c>
      <c r="V2464" s="2" t="inlineStr"/>
    </row>
    <row r="2465" ht="15" customHeight="1">
      <c r="A2465" t="inlineStr">
        <is>
          <t>A 49286-2022</t>
        </is>
      </c>
      <c r="B2465" t="inlineStr">
        <is>
          <t>avverkningsanmälan</t>
        </is>
      </c>
      <c r="C2465" t="inlineStr">
        <is>
          <t>Föryngringsavverkning</t>
        </is>
      </c>
      <c r="D2465" s="1" t="n">
        <v>44861</v>
      </c>
      <c r="E2465" s="1" t="n">
        <v>46323</v>
      </c>
      <c r="F2465" t="inlineStr">
        <is>
          <t>KALMAR LÄN</t>
        </is>
      </c>
      <c r="G2465" t="inlineStr">
        <is>
          <t>VÄSTERVIK</t>
        </is>
      </c>
      <c r="I2465" t="n">
        <v>2.6</v>
      </c>
      <c r="J2465" t="n">
        <v>0</v>
      </c>
      <c r="K2465" t="n">
        <v>0</v>
      </c>
      <c r="L2465" t="n">
        <v>0</v>
      </c>
      <c r="M2465" t="n">
        <v>0</v>
      </c>
      <c r="N2465" t="n">
        <v>0</v>
      </c>
      <c r="O2465" t="n">
        <v>0</v>
      </c>
      <c r="P2465" t="n">
        <v>0</v>
      </c>
      <c r="Q2465" t="n">
        <v>0</v>
      </c>
      <c r="R2465" t="n">
        <v>0</v>
      </c>
      <c r="S2465" t="n">
        <v>0</v>
      </c>
      <c r="T2465" t="n">
        <v>0</v>
      </c>
      <c r="U2465" t="n">
        <v>0</v>
      </c>
      <c r="V2465" s="2" t="inlineStr"/>
    </row>
    <row r="2466" ht="15" customHeight="1">
      <c r="A2466" t="inlineStr">
        <is>
          <t>A 49313-2022</t>
        </is>
      </c>
      <c r="B2466" t="inlineStr">
        <is>
          <t>avverkningsanmälan</t>
        </is>
      </c>
      <c r="C2466" t="inlineStr">
        <is>
          <t>Föryngringsavverkning</t>
        </is>
      </c>
      <c r="D2466" s="1" t="n">
        <v>44861</v>
      </c>
      <c r="E2466" s="1" t="n">
        <v>46323</v>
      </c>
      <c r="F2466" t="inlineStr">
        <is>
          <t>KALMAR LÄN</t>
        </is>
      </c>
      <c r="G2466" t="inlineStr">
        <is>
          <t>VIMMERBY</t>
        </is>
      </c>
      <c r="I2466" t="n">
        <v>1.9</v>
      </c>
      <c r="J2466" t="n">
        <v>0</v>
      </c>
      <c r="K2466" t="n">
        <v>0</v>
      </c>
      <c r="L2466" t="n">
        <v>0</v>
      </c>
      <c r="M2466" t="n">
        <v>0</v>
      </c>
      <c r="N2466" t="n">
        <v>0</v>
      </c>
      <c r="O2466" t="n">
        <v>0</v>
      </c>
      <c r="P2466" t="n">
        <v>0</v>
      </c>
      <c r="Q2466" t="n">
        <v>0</v>
      </c>
      <c r="R2466" t="n">
        <v>0</v>
      </c>
      <c r="S2466" t="n">
        <v>0</v>
      </c>
      <c r="T2466" t="n">
        <v>0</v>
      </c>
      <c r="U2466" t="n">
        <v>0</v>
      </c>
      <c r="V2466" s="2" t="inlineStr"/>
    </row>
    <row r="2467" ht="15" customHeight="1">
      <c r="A2467" t="inlineStr">
        <is>
          <t>A 20051-2025</t>
        </is>
      </c>
      <c r="B2467" t="inlineStr">
        <is>
          <t>avverkningsanmälan</t>
        </is>
      </c>
      <c r="C2467" t="inlineStr">
        <is>
          <t>Föryngringsavverkning</t>
        </is>
      </c>
      <c r="D2467" s="1" t="n">
        <v>45772</v>
      </c>
      <c r="E2467" s="1" t="n">
        <v>46323</v>
      </c>
      <c r="F2467" t="inlineStr">
        <is>
          <t>KALMAR LÄN</t>
        </is>
      </c>
      <c r="G2467" t="inlineStr">
        <is>
          <t>EMMABODA</t>
        </is>
      </c>
      <c r="I2467" t="n">
        <v>0.5</v>
      </c>
      <c r="J2467" t="n">
        <v>0</v>
      </c>
      <c r="K2467" t="n">
        <v>0</v>
      </c>
      <c r="L2467" t="n">
        <v>0</v>
      </c>
      <c r="M2467" t="n">
        <v>0</v>
      </c>
      <c r="N2467" t="n">
        <v>0</v>
      </c>
      <c r="O2467" t="n">
        <v>0</v>
      </c>
      <c r="P2467" t="n">
        <v>0</v>
      </c>
      <c r="Q2467" t="n">
        <v>0</v>
      </c>
      <c r="R2467" t="n">
        <v>0</v>
      </c>
      <c r="S2467" t="n">
        <v>0</v>
      </c>
      <c r="T2467" t="n">
        <v>0</v>
      </c>
      <c r="U2467" t="n">
        <v>0</v>
      </c>
      <c r="V2467" s="2" t="inlineStr"/>
    </row>
    <row r="2468" ht="15" customHeight="1">
      <c r="A2468" t="inlineStr">
        <is>
          <t>A 55980-2022</t>
        </is>
      </c>
      <c r="B2468" t="inlineStr">
        <is>
          <t>avverkningsanmälan</t>
        </is>
      </c>
      <c r="C2468" t="inlineStr">
        <is>
          <t>Föryngringsavverkning</t>
        </is>
      </c>
      <c r="D2468" s="1" t="n">
        <v>44889</v>
      </c>
      <c r="E2468" s="1" t="n">
        <v>46323</v>
      </c>
      <c r="F2468" t="inlineStr">
        <is>
          <t>KALMAR LÄN</t>
        </is>
      </c>
      <c r="G2468" t="inlineStr">
        <is>
          <t>TORSÅS</t>
        </is>
      </c>
      <c r="I2468" t="n">
        <v>1.4</v>
      </c>
      <c r="J2468" t="n">
        <v>0</v>
      </c>
      <c r="K2468" t="n">
        <v>0</v>
      </c>
      <c r="L2468" t="n">
        <v>0</v>
      </c>
      <c r="M2468" t="n">
        <v>0</v>
      </c>
      <c r="N2468" t="n">
        <v>0</v>
      </c>
      <c r="O2468" t="n">
        <v>0</v>
      </c>
      <c r="P2468" t="n">
        <v>0</v>
      </c>
      <c r="Q2468" t="n">
        <v>0</v>
      </c>
      <c r="R2468" t="n">
        <v>0</v>
      </c>
      <c r="S2468" t="n">
        <v>0</v>
      </c>
      <c r="T2468" t="n">
        <v>0</v>
      </c>
      <c r="U2468" t="n">
        <v>0</v>
      </c>
      <c r="V2468" s="2" t="inlineStr"/>
    </row>
    <row r="2469" ht="15" customHeight="1">
      <c r="A2469" t="inlineStr">
        <is>
          <t>A 35998-2024</t>
        </is>
      </c>
      <c r="B2469" t="inlineStr">
        <is>
          <t>avverkningsanmälan</t>
        </is>
      </c>
      <c r="C2469" t="inlineStr">
        <is>
          <t>Föryngringsavverkning</t>
        </is>
      </c>
      <c r="D2469" s="1" t="n">
        <v>45533</v>
      </c>
      <c r="E2469" s="1" t="n">
        <v>46323</v>
      </c>
      <c r="F2469" t="inlineStr">
        <is>
          <t>KALMAR LÄN</t>
        </is>
      </c>
      <c r="G2469" t="inlineStr">
        <is>
          <t>VIMMERBY</t>
        </is>
      </c>
      <c r="I2469" t="n">
        <v>8.6</v>
      </c>
      <c r="J2469" t="n">
        <v>0</v>
      </c>
      <c r="K2469" t="n">
        <v>0</v>
      </c>
      <c r="L2469" t="n">
        <v>0</v>
      </c>
      <c r="M2469" t="n">
        <v>0</v>
      </c>
      <c r="N2469" t="n">
        <v>0</v>
      </c>
      <c r="O2469" t="n">
        <v>0</v>
      </c>
      <c r="P2469" t="n">
        <v>0</v>
      </c>
      <c r="Q2469" t="n">
        <v>0</v>
      </c>
      <c r="R2469" t="n">
        <v>0</v>
      </c>
      <c r="S2469" t="n">
        <v>0</v>
      </c>
      <c r="T2469" t="n">
        <v>0</v>
      </c>
      <c r="U2469" t="n">
        <v>0</v>
      </c>
      <c r="V2469" s="2" t="inlineStr"/>
    </row>
    <row r="2470" ht="15" customHeight="1">
      <c r="A2470" t="inlineStr">
        <is>
          <t>A 45047-2023</t>
        </is>
      </c>
      <c r="B2470" t="inlineStr">
        <is>
          <t>avverkningsanmälan</t>
        </is>
      </c>
      <c r="C2470" t="inlineStr">
        <is>
          <t>Föryngringsavverkning</t>
        </is>
      </c>
      <c r="D2470" s="1" t="n">
        <v>45191</v>
      </c>
      <c r="E2470" s="1" t="n">
        <v>46323</v>
      </c>
      <c r="F2470" t="inlineStr">
        <is>
          <t>KALMAR LÄN</t>
        </is>
      </c>
      <c r="G2470" t="inlineStr">
        <is>
          <t>HULTSFRED</t>
        </is>
      </c>
      <c r="I2470" t="n">
        <v>2.2</v>
      </c>
      <c r="J2470" t="n">
        <v>0</v>
      </c>
      <c r="K2470" t="n">
        <v>0</v>
      </c>
      <c r="L2470" t="n">
        <v>0</v>
      </c>
      <c r="M2470" t="n">
        <v>0</v>
      </c>
      <c r="N2470" t="n">
        <v>0</v>
      </c>
      <c r="O2470" t="n">
        <v>0</v>
      </c>
      <c r="P2470" t="n">
        <v>0</v>
      </c>
      <c r="Q2470" t="n">
        <v>0</v>
      </c>
      <c r="R2470" t="n">
        <v>0</v>
      </c>
      <c r="S2470" t="n">
        <v>0</v>
      </c>
      <c r="T2470" t="n">
        <v>0</v>
      </c>
      <c r="U2470" t="n">
        <v>0</v>
      </c>
      <c r="V2470" s="2" t="inlineStr"/>
    </row>
    <row r="2471" ht="15" customHeight="1">
      <c r="A2471" t="inlineStr">
        <is>
          <t>A 2776-2025</t>
        </is>
      </c>
      <c r="B2471" t="inlineStr">
        <is>
          <t>avverkningsanmälan</t>
        </is>
      </c>
      <c r="C2471" t="inlineStr">
        <is>
          <t>Avverkning för annat ändamål</t>
        </is>
      </c>
      <c r="D2471" s="1" t="n">
        <v>45677</v>
      </c>
      <c r="E2471" s="1" t="n">
        <v>46323</v>
      </c>
      <c r="F2471" t="inlineStr">
        <is>
          <t>KALMAR LÄN</t>
        </is>
      </c>
      <c r="G2471" t="inlineStr">
        <is>
          <t>HULTSFRED</t>
        </is>
      </c>
      <c r="I2471" t="n">
        <v>1.7</v>
      </c>
      <c r="J2471" t="n">
        <v>0</v>
      </c>
      <c r="K2471" t="n">
        <v>0</v>
      </c>
      <c r="L2471" t="n">
        <v>0</v>
      </c>
      <c r="M2471" t="n">
        <v>0</v>
      </c>
      <c r="N2471" t="n">
        <v>0</v>
      </c>
      <c r="O2471" t="n">
        <v>0</v>
      </c>
      <c r="P2471" t="n">
        <v>0</v>
      </c>
      <c r="Q2471" t="n">
        <v>0</v>
      </c>
      <c r="R2471" t="n">
        <v>0</v>
      </c>
      <c r="S2471" t="n">
        <v>0</v>
      </c>
      <c r="T2471" t="n">
        <v>0</v>
      </c>
      <c r="U2471" t="n">
        <v>0</v>
      </c>
      <c r="V2471" s="2" t="inlineStr"/>
    </row>
    <row r="2472" ht="15" customHeight="1">
      <c r="A2472" t="inlineStr">
        <is>
          <t>A 36040-2024</t>
        </is>
      </c>
      <c r="B2472" t="inlineStr">
        <is>
          <t>avverkningsanmälan</t>
        </is>
      </c>
      <c r="C2472" t="inlineStr">
        <is>
          <t>Föryngringsavverkning</t>
        </is>
      </c>
      <c r="D2472" s="1" t="n">
        <v>45533</v>
      </c>
      <c r="E2472" s="1" t="n">
        <v>46323</v>
      </c>
      <c r="F2472" t="inlineStr">
        <is>
          <t>KALMAR LÄN</t>
        </is>
      </c>
      <c r="G2472" t="inlineStr">
        <is>
          <t>VIMMERBY</t>
        </is>
      </c>
      <c r="H2472" t="inlineStr">
        <is>
          <t>Kommuner</t>
        </is>
      </c>
      <c r="I2472" t="n">
        <v>3.6</v>
      </c>
      <c r="J2472" t="n">
        <v>0</v>
      </c>
      <c r="K2472" t="n">
        <v>0</v>
      </c>
      <c r="L2472" t="n">
        <v>0</v>
      </c>
      <c r="M2472" t="n">
        <v>0</v>
      </c>
      <c r="N2472" t="n">
        <v>0</v>
      </c>
      <c r="O2472" t="n">
        <v>0</v>
      </c>
      <c r="P2472" t="n">
        <v>0</v>
      </c>
      <c r="Q2472" t="n">
        <v>0</v>
      </c>
      <c r="R2472" t="n">
        <v>0</v>
      </c>
      <c r="S2472" t="n">
        <v>0</v>
      </c>
      <c r="T2472" t="n">
        <v>0</v>
      </c>
      <c r="U2472" t="n">
        <v>0</v>
      </c>
      <c r="V2472" s="2" t="inlineStr"/>
    </row>
    <row r="2473" ht="15" customHeight="1">
      <c r="A2473" t="inlineStr">
        <is>
          <t>A 36043-2024</t>
        </is>
      </c>
      <c r="B2473" t="inlineStr">
        <is>
          <t>avverkningsanmälan</t>
        </is>
      </c>
      <c r="C2473" t="inlineStr">
        <is>
          <t>Föryngringsavverkning</t>
        </is>
      </c>
      <c r="D2473" s="1" t="n">
        <v>45533</v>
      </c>
      <c r="E2473" s="1" t="n">
        <v>46323</v>
      </c>
      <c r="F2473" t="inlineStr">
        <is>
          <t>KALMAR LÄN</t>
        </is>
      </c>
      <c r="G2473" t="inlineStr">
        <is>
          <t>VIMMERBY</t>
        </is>
      </c>
      <c r="H2473" t="inlineStr">
        <is>
          <t>Kommuner</t>
        </is>
      </c>
      <c r="I2473" t="n">
        <v>1.5</v>
      </c>
      <c r="J2473" t="n">
        <v>0</v>
      </c>
      <c r="K2473" t="n">
        <v>0</v>
      </c>
      <c r="L2473" t="n">
        <v>0</v>
      </c>
      <c r="M2473" t="n">
        <v>0</v>
      </c>
      <c r="N2473" t="n">
        <v>0</v>
      </c>
      <c r="O2473" t="n">
        <v>0</v>
      </c>
      <c r="P2473" t="n">
        <v>0</v>
      </c>
      <c r="Q2473" t="n">
        <v>0</v>
      </c>
      <c r="R2473" t="n">
        <v>0</v>
      </c>
      <c r="S2473" t="n">
        <v>0</v>
      </c>
      <c r="T2473" t="n">
        <v>0</v>
      </c>
      <c r="U2473" t="n">
        <v>0</v>
      </c>
      <c r="V2473" s="2" t="inlineStr"/>
    </row>
    <row r="2474" ht="15" customHeight="1">
      <c r="A2474" t="inlineStr">
        <is>
          <t>A 19947-2023</t>
        </is>
      </c>
      <c r="B2474" t="inlineStr">
        <is>
          <t>avverkningsanmälan</t>
        </is>
      </c>
      <c r="C2474" t="inlineStr">
        <is>
          <t>Föryngringsavverkning</t>
        </is>
      </c>
      <c r="D2474" s="1" t="n">
        <v>45054</v>
      </c>
      <c r="E2474" s="1" t="n">
        <v>46323</v>
      </c>
      <c r="F2474" t="inlineStr">
        <is>
          <t>KALMAR LÄN</t>
        </is>
      </c>
      <c r="G2474" t="inlineStr">
        <is>
          <t>MÖNSTERÅS</t>
        </is>
      </c>
      <c r="I2474" t="n">
        <v>4.8</v>
      </c>
      <c r="J2474" t="n">
        <v>0</v>
      </c>
      <c r="K2474" t="n">
        <v>0</v>
      </c>
      <c r="L2474" t="n">
        <v>0</v>
      </c>
      <c r="M2474" t="n">
        <v>0</v>
      </c>
      <c r="N2474" t="n">
        <v>0</v>
      </c>
      <c r="O2474" t="n">
        <v>0</v>
      </c>
      <c r="P2474" t="n">
        <v>0</v>
      </c>
      <c r="Q2474" t="n">
        <v>0</v>
      </c>
      <c r="R2474" t="n">
        <v>0</v>
      </c>
      <c r="S2474" t="n">
        <v>0</v>
      </c>
      <c r="T2474" t="n">
        <v>0</v>
      </c>
      <c r="U2474" t="n">
        <v>0</v>
      </c>
      <c r="V2474" s="2" t="inlineStr"/>
    </row>
    <row r="2475" ht="15" customHeight="1">
      <c r="A2475" t="inlineStr">
        <is>
          <t>A 12588-2025</t>
        </is>
      </c>
      <c r="B2475" t="inlineStr">
        <is>
          <t>avverkningsanmälan</t>
        </is>
      </c>
      <c r="C2475" t="inlineStr">
        <is>
          <t>Föryngringsavverkning</t>
        </is>
      </c>
      <c r="D2475" s="1" t="n">
        <v>45732</v>
      </c>
      <c r="E2475" s="1" t="n">
        <v>46323</v>
      </c>
      <c r="F2475" t="inlineStr">
        <is>
          <t>KALMAR LÄN</t>
        </is>
      </c>
      <c r="G2475" t="inlineStr">
        <is>
          <t>VIMMERBY</t>
        </is>
      </c>
      <c r="I2475" t="n">
        <v>1.6</v>
      </c>
      <c r="J2475" t="n">
        <v>0</v>
      </c>
      <c r="K2475" t="n">
        <v>0</v>
      </c>
      <c r="L2475" t="n">
        <v>0</v>
      </c>
      <c r="M2475" t="n">
        <v>0</v>
      </c>
      <c r="N2475" t="n">
        <v>0</v>
      </c>
      <c r="O2475" t="n">
        <v>0</v>
      </c>
      <c r="P2475" t="n">
        <v>0</v>
      </c>
      <c r="Q2475" t="n">
        <v>0</v>
      </c>
      <c r="R2475" t="n">
        <v>0</v>
      </c>
      <c r="S2475" t="n">
        <v>0</v>
      </c>
      <c r="T2475" t="n">
        <v>0</v>
      </c>
      <c r="U2475" t="n">
        <v>0</v>
      </c>
      <c r="V2475" s="2" t="inlineStr"/>
    </row>
    <row r="2476" ht="15" customHeight="1">
      <c r="A2476" t="inlineStr">
        <is>
          <t>A 25979-2023</t>
        </is>
      </c>
      <c r="B2476" t="inlineStr">
        <is>
          <t>avverkningsanmälan</t>
        </is>
      </c>
      <c r="C2476" t="inlineStr">
        <is>
          <t>Föryngringsavverkning</t>
        </is>
      </c>
      <c r="D2476" s="1" t="n">
        <v>45090</v>
      </c>
      <c r="E2476" s="1" t="n">
        <v>46323</v>
      </c>
      <c r="F2476" t="inlineStr">
        <is>
          <t>KALMAR LÄN</t>
        </is>
      </c>
      <c r="G2476" t="inlineStr">
        <is>
          <t>VIMMERBY</t>
        </is>
      </c>
      <c r="I2476" t="n">
        <v>2</v>
      </c>
      <c r="J2476" t="n">
        <v>0</v>
      </c>
      <c r="K2476" t="n">
        <v>0</v>
      </c>
      <c r="L2476" t="n">
        <v>0</v>
      </c>
      <c r="M2476" t="n">
        <v>0</v>
      </c>
      <c r="N2476" t="n">
        <v>0</v>
      </c>
      <c r="O2476" t="n">
        <v>0</v>
      </c>
      <c r="P2476" t="n">
        <v>0</v>
      </c>
      <c r="Q2476" t="n">
        <v>0</v>
      </c>
      <c r="R2476" t="n">
        <v>0</v>
      </c>
      <c r="S2476" t="n">
        <v>0</v>
      </c>
      <c r="T2476" t="n">
        <v>0</v>
      </c>
      <c r="U2476" t="n">
        <v>0</v>
      </c>
      <c r="V2476" s="2" t="inlineStr"/>
    </row>
    <row r="2477" ht="15" customHeight="1">
      <c r="A2477" t="inlineStr">
        <is>
          <t>A 25980-2023</t>
        </is>
      </c>
      <c r="B2477" t="inlineStr">
        <is>
          <t>avverkningsanmälan</t>
        </is>
      </c>
      <c r="C2477" t="inlineStr">
        <is>
          <t>Föryngringsavverkning</t>
        </is>
      </c>
      <c r="D2477" s="1" t="n">
        <v>45090</v>
      </c>
      <c r="E2477" s="1" t="n">
        <v>46323</v>
      </c>
      <c r="F2477" t="inlineStr">
        <is>
          <t>KALMAR LÄN</t>
        </is>
      </c>
      <c r="G2477" t="inlineStr">
        <is>
          <t>VIMMERBY</t>
        </is>
      </c>
      <c r="I2477" t="n">
        <v>0.7</v>
      </c>
      <c r="J2477" t="n">
        <v>0</v>
      </c>
      <c r="K2477" t="n">
        <v>0</v>
      </c>
      <c r="L2477" t="n">
        <v>0</v>
      </c>
      <c r="M2477" t="n">
        <v>0</v>
      </c>
      <c r="N2477" t="n">
        <v>0</v>
      </c>
      <c r="O2477" t="n">
        <v>0</v>
      </c>
      <c r="P2477" t="n">
        <v>0</v>
      </c>
      <c r="Q2477" t="n">
        <v>0</v>
      </c>
      <c r="R2477" t="n">
        <v>0</v>
      </c>
      <c r="S2477" t="n">
        <v>0</v>
      </c>
      <c r="T2477" t="n">
        <v>0</v>
      </c>
      <c r="U2477" t="n">
        <v>0</v>
      </c>
      <c r="V2477" s="2" t="inlineStr"/>
    </row>
    <row r="2478" ht="15" customHeight="1">
      <c r="A2478" t="inlineStr">
        <is>
          <t>A 26560-2023</t>
        </is>
      </c>
      <c r="B2478" t="inlineStr">
        <is>
          <t>avverkningsanmälan</t>
        </is>
      </c>
      <c r="C2478" t="inlineStr">
        <is>
          <t>Föryngringsavverkning</t>
        </is>
      </c>
      <c r="D2478" s="1" t="n">
        <v>45092</v>
      </c>
      <c r="E2478" s="1" t="n">
        <v>46323</v>
      </c>
      <c r="F2478" t="inlineStr">
        <is>
          <t>KALMAR LÄN</t>
        </is>
      </c>
      <c r="G2478" t="inlineStr">
        <is>
          <t>OSKARSHAMN</t>
        </is>
      </c>
      <c r="I2478" t="n">
        <v>3.7</v>
      </c>
      <c r="J2478" t="n">
        <v>0</v>
      </c>
      <c r="K2478" t="n">
        <v>0</v>
      </c>
      <c r="L2478" t="n">
        <v>0</v>
      </c>
      <c r="M2478" t="n">
        <v>0</v>
      </c>
      <c r="N2478" t="n">
        <v>0</v>
      </c>
      <c r="O2478" t="n">
        <v>0</v>
      </c>
      <c r="P2478" t="n">
        <v>0</v>
      </c>
      <c r="Q2478" t="n">
        <v>0</v>
      </c>
      <c r="R2478" t="n">
        <v>0</v>
      </c>
      <c r="S2478" t="n">
        <v>0</v>
      </c>
      <c r="T2478" t="n">
        <v>0</v>
      </c>
      <c r="U2478" t="n">
        <v>0</v>
      </c>
      <c r="V2478" s="2" t="inlineStr"/>
    </row>
    <row r="2479" ht="15" customHeight="1">
      <c r="A2479" t="inlineStr">
        <is>
          <t>A 9534-2022</t>
        </is>
      </c>
      <c r="B2479" t="inlineStr">
        <is>
          <t>avverkningsanmälan</t>
        </is>
      </c>
      <c r="C2479" t="inlineStr">
        <is>
          <t>Föryngringsavverkning</t>
        </is>
      </c>
      <c r="D2479" s="1" t="n">
        <v>44617</v>
      </c>
      <c r="E2479" s="1" t="n">
        <v>46323</v>
      </c>
      <c r="F2479" t="inlineStr">
        <is>
          <t>KALMAR LÄN</t>
        </is>
      </c>
      <c r="G2479" t="inlineStr">
        <is>
          <t>KALMAR</t>
        </is>
      </c>
      <c r="I2479" t="n">
        <v>0.4</v>
      </c>
      <c r="J2479" t="n">
        <v>0</v>
      </c>
      <c r="K2479" t="n">
        <v>0</v>
      </c>
      <c r="L2479" t="n">
        <v>0</v>
      </c>
      <c r="M2479" t="n">
        <v>0</v>
      </c>
      <c r="N2479" t="n">
        <v>0</v>
      </c>
      <c r="O2479" t="n">
        <v>0</v>
      </c>
      <c r="P2479" t="n">
        <v>0</v>
      </c>
      <c r="Q2479" t="n">
        <v>0</v>
      </c>
      <c r="R2479" t="n">
        <v>0</v>
      </c>
      <c r="S2479" t="n">
        <v>0</v>
      </c>
      <c r="T2479" t="n">
        <v>0</v>
      </c>
      <c r="U2479" t="n">
        <v>0</v>
      </c>
      <c r="V2479" s="2" t="inlineStr"/>
    </row>
    <row r="2480" ht="15" customHeight="1">
      <c r="A2480" t="inlineStr">
        <is>
          <t>A 9535-2022</t>
        </is>
      </c>
      <c r="B2480" t="inlineStr">
        <is>
          <t>avverkningsanmälan</t>
        </is>
      </c>
      <c r="C2480" t="inlineStr">
        <is>
          <t>Föryngringsavverkning</t>
        </is>
      </c>
      <c r="D2480" s="1" t="n">
        <v>44617</v>
      </c>
      <c r="E2480" s="1" t="n">
        <v>46323</v>
      </c>
      <c r="F2480" t="inlineStr">
        <is>
          <t>KALMAR LÄN</t>
        </is>
      </c>
      <c r="G2480" t="inlineStr">
        <is>
          <t>KALMAR</t>
        </is>
      </c>
      <c r="I2480" t="n">
        <v>1.6</v>
      </c>
      <c r="J2480" t="n">
        <v>0</v>
      </c>
      <c r="K2480" t="n">
        <v>0</v>
      </c>
      <c r="L2480" t="n">
        <v>0</v>
      </c>
      <c r="M2480" t="n">
        <v>0</v>
      </c>
      <c r="N2480" t="n">
        <v>0</v>
      </c>
      <c r="O2480" t="n">
        <v>0</v>
      </c>
      <c r="P2480" t="n">
        <v>0</v>
      </c>
      <c r="Q2480" t="n">
        <v>0</v>
      </c>
      <c r="R2480" t="n">
        <v>0</v>
      </c>
      <c r="S2480" t="n">
        <v>0</v>
      </c>
      <c r="T2480" t="n">
        <v>0</v>
      </c>
      <c r="U2480" t="n">
        <v>0</v>
      </c>
      <c r="V2480" s="2" t="inlineStr"/>
    </row>
    <row r="2481" ht="15" customHeight="1">
      <c r="A2481" t="inlineStr">
        <is>
          <t>A 50341-2023</t>
        </is>
      </c>
      <c r="B2481" t="inlineStr">
        <is>
          <t>avverkningsanmälan</t>
        </is>
      </c>
      <c r="C2481" t="inlineStr">
        <is>
          <t>Föryngringsavverkning</t>
        </is>
      </c>
      <c r="D2481" s="1" t="n">
        <v>45216</v>
      </c>
      <c r="E2481" s="1" t="n">
        <v>46323</v>
      </c>
      <c r="F2481" t="inlineStr">
        <is>
          <t>KALMAR LÄN</t>
        </is>
      </c>
      <c r="G2481" t="inlineStr">
        <is>
          <t>HULTSFRED</t>
        </is>
      </c>
      <c r="I2481" t="n">
        <v>1.9</v>
      </c>
      <c r="J2481" t="n">
        <v>0</v>
      </c>
      <c r="K2481" t="n">
        <v>0</v>
      </c>
      <c r="L2481" t="n">
        <v>0</v>
      </c>
      <c r="M2481" t="n">
        <v>0</v>
      </c>
      <c r="N2481" t="n">
        <v>0</v>
      </c>
      <c r="O2481" t="n">
        <v>0</v>
      </c>
      <c r="P2481" t="n">
        <v>0</v>
      </c>
      <c r="Q2481" t="n">
        <v>0</v>
      </c>
      <c r="R2481" t="n">
        <v>0</v>
      </c>
      <c r="S2481" t="n">
        <v>0</v>
      </c>
      <c r="T2481" t="n">
        <v>0</v>
      </c>
      <c r="U2481" t="n">
        <v>0</v>
      </c>
      <c r="V2481" s="2" t="inlineStr"/>
    </row>
    <row r="2482" ht="15" customHeight="1">
      <c r="A2482" t="inlineStr">
        <is>
          <t>A 12785-2025</t>
        </is>
      </c>
      <c r="B2482" t="inlineStr">
        <is>
          <t>avverkningsanmälan</t>
        </is>
      </c>
      <c r="C2482" t="inlineStr">
        <is>
          <t>Föryngringsavverkning</t>
        </is>
      </c>
      <c r="D2482" s="1" t="n">
        <v>45733</v>
      </c>
      <c r="E2482" s="1" t="n">
        <v>46323</v>
      </c>
      <c r="F2482" t="inlineStr">
        <is>
          <t>KALMAR LÄN</t>
        </is>
      </c>
      <c r="G2482" t="inlineStr">
        <is>
          <t>NYBRO</t>
        </is>
      </c>
      <c r="I2482" t="n">
        <v>1.9</v>
      </c>
      <c r="J2482" t="n">
        <v>0</v>
      </c>
      <c r="K2482" t="n">
        <v>0</v>
      </c>
      <c r="L2482" t="n">
        <v>0</v>
      </c>
      <c r="M2482" t="n">
        <v>0</v>
      </c>
      <c r="N2482" t="n">
        <v>0</v>
      </c>
      <c r="O2482" t="n">
        <v>0</v>
      </c>
      <c r="P2482" t="n">
        <v>0</v>
      </c>
      <c r="Q2482" t="n">
        <v>0</v>
      </c>
      <c r="R2482" t="n">
        <v>0</v>
      </c>
      <c r="S2482" t="n">
        <v>0</v>
      </c>
      <c r="T2482" t="n">
        <v>0</v>
      </c>
      <c r="U2482" t="n">
        <v>0</v>
      </c>
      <c r="V2482" s="2" t="inlineStr"/>
    </row>
    <row r="2483" ht="15" customHeight="1">
      <c r="A2483" t="inlineStr">
        <is>
          <t>A 14080-2025</t>
        </is>
      </c>
      <c r="B2483" t="inlineStr">
        <is>
          <t>avverkningsanmälan</t>
        </is>
      </c>
      <c r="C2483" t="inlineStr">
        <is>
          <t>Föryngringsavverkning</t>
        </is>
      </c>
      <c r="D2483" s="1" t="n">
        <v>45740</v>
      </c>
      <c r="E2483" s="1" t="n">
        <v>46323</v>
      </c>
      <c r="F2483" t="inlineStr">
        <is>
          <t>KALMAR LÄN</t>
        </is>
      </c>
      <c r="G2483" t="inlineStr">
        <is>
          <t>VÄSTERVIK</t>
        </is>
      </c>
      <c r="H2483" t="inlineStr">
        <is>
          <t>Sveaskog</t>
        </is>
      </c>
      <c r="I2483" t="n">
        <v>2</v>
      </c>
      <c r="J2483" t="n">
        <v>0</v>
      </c>
      <c r="K2483" t="n">
        <v>0</v>
      </c>
      <c r="L2483" t="n">
        <v>0</v>
      </c>
      <c r="M2483" t="n">
        <v>0</v>
      </c>
      <c r="N2483" t="n">
        <v>0</v>
      </c>
      <c r="O2483" t="n">
        <v>0</v>
      </c>
      <c r="P2483" t="n">
        <v>0</v>
      </c>
      <c r="Q2483" t="n">
        <v>0</v>
      </c>
      <c r="R2483" t="n">
        <v>0</v>
      </c>
      <c r="S2483" t="n">
        <v>0</v>
      </c>
      <c r="T2483" t="n">
        <v>0</v>
      </c>
      <c r="U2483" t="n">
        <v>0</v>
      </c>
      <c r="V2483" s="2" t="inlineStr"/>
    </row>
    <row r="2484" ht="15" customHeight="1">
      <c r="A2484" t="inlineStr">
        <is>
          <t>A 30218-2023</t>
        </is>
      </c>
      <c r="B2484" t="inlineStr">
        <is>
          <t>avverkningsanmälan</t>
        </is>
      </c>
      <c r="C2484" t="inlineStr">
        <is>
          <t>Föryngringsavverkning</t>
        </is>
      </c>
      <c r="D2484" s="1" t="n">
        <v>45110</v>
      </c>
      <c r="E2484" s="1" t="n">
        <v>46323</v>
      </c>
      <c r="F2484" t="inlineStr">
        <is>
          <t>KALMAR LÄN</t>
        </is>
      </c>
      <c r="G2484" t="inlineStr">
        <is>
          <t>OSKARSHAMN</t>
        </is>
      </c>
      <c r="I2484" t="n">
        <v>3.9</v>
      </c>
      <c r="J2484" t="n">
        <v>0</v>
      </c>
      <c r="K2484" t="n">
        <v>0</v>
      </c>
      <c r="L2484" t="n">
        <v>0</v>
      </c>
      <c r="M2484" t="n">
        <v>0</v>
      </c>
      <c r="N2484" t="n">
        <v>0</v>
      </c>
      <c r="O2484" t="n">
        <v>0</v>
      </c>
      <c r="P2484" t="n">
        <v>0</v>
      </c>
      <c r="Q2484" t="n">
        <v>0</v>
      </c>
      <c r="R2484" t="n">
        <v>0</v>
      </c>
      <c r="S2484" t="n">
        <v>0</v>
      </c>
      <c r="T2484" t="n">
        <v>0</v>
      </c>
      <c r="U2484" t="n">
        <v>0</v>
      </c>
      <c r="V2484" s="2" t="inlineStr"/>
    </row>
    <row r="2485" ht="15" customHeight="1">
      <c r="A2485" t="inlineStr">
        <is>
          <t>A 46862-2023</t>
        </is>
      </c>
      <c r="B2485" t="inlineStr">
        <is>
          <t>avverkningsanmälan</t>
        </is>
      </c>
      <c r="C2485" t="inlineStr">
        <is>
          <t>Föryngringsavverkning</t>
        </is>
      </c>
      <c r="D2485" s="1" t="n">
        <v>45200</v>
      </c>
      <c r="E2485" s="1" t="n">
        <v>46323</v>
      </c>
      <c r="F2485" t="inlineStr">
        <is>
          <t>KALMAR LÄN</t>
        </is>
      </c>
      <c r="G2485" t="inlineStr">
        <is>
          <t>EMMABODA</t>
        </is>
      </c>
      <c r="I2485" t="n">
        <v>0.7</v>
      </c>
      <c r="J2485" t="n">
        <v>0</v>
      </c>
      <c r="K2485" t="n">
        <v>0</v>
      </c>
      <c r="L2485" t="n">
        <v>0</v>
      </c>
      <c r="M2485" t="n">
        <v>0</v>
      </c>
      <c r="N2485" t="n">
        <v>0</v>
      </c>
      <c r="O2485" t="n">
        <v>0</v>
      </c>
      <c r="P2485" t="n">
        <v>0</v>
      </c>
      <c r="Q2485" t="n">
        <v>0</v>
      </c>
      <c r="R2485" t="n">
        <v>0</v>
      </c>
      <c r="S2485" t="n">
        <v>0</v>
      </c>
      <c r="T2485" t="n">
        <v>0</v>
      </c>
      <c r="U2485" t="n">
        <v>0</v>
      </c>
      <c r="V2485" s="2" t="inlineStr"/>
    </row>
    <row r="2486" ht="15" customHeight="1">
      <c r="A2486" t="inlineStr">
        <is>
          <t>A 14163-2025</t>
        </is>
      </c>
      <c r="B2486" t="inlineStr">
        <is>
          <t>avverkningsanmälan</t>
        </is>
      </c>
      <c r="C2486" t="inlineStr">
        <is>
          <t>Föryngringsavverkning</t>
        </is>
      </c>
      <c r="D2486" s="1" t="n">
        <v>45740</v>
      </c>
      <c r="E2486" s="1" t="n">
        <v>46323</v>
      </c>
      <c r="F2486" t="inlineStr">
        <is>
          <t>KALMAR LÄN</t>
        </is>
      </c>
      <c r="G2486" t="inlineStr">
        <is>
          <t>EMMABODA</t>
        </is>
      </c>
      <c r="I2486" t="n">
        <v>1.1</v>
      </c>
      <c r="J2486" t="n">
        <v>0</v>
      </c>
      <c r="K2486" t="n">
        <v>0</v>
      </c>
      <c r="L2486" t="n">
        <v>0</v>
      </c>
      <c r="M2486" t="n">
        <v>0</v>
      </c>
      <c r="N2486" t="n">
        <v>0</v>
      </c>
      <c r="O2486" t="n">
        <v>0</v>
      </c>
      <c r="P2486" t="n">
        <v>0</v>
      </c>
      <c r="Q2486" t="n">
        <v>0</v>
      </c>
      <c r="R2486" t="n">
        <v>0</v>
      </c>
      <c r="S2486" t="n">
        <v>0</v>
      </c>
      <c r="T2486" t="n">
        <v>0</v>
      </c>
      <c r="U2486" t="n">
        <v>0</v>
      </c>
      <c r="V2486" s="2" t="inlineStr"/>
    </row>
    <row r="2487" ht="15" customHeight="1">
      <c r="A2487" t="inlineStr">
        <is>
          <t>A 7847-2023</t>
        </is>
      </c>
      <c r="B2487" t="inlineStr">
        <is>
          <t>avverkningsanmälan</t>
        </is>
      </c>
      <c r="C2487" t="inlineStr">
        <is>
          <t>Föryngringsavverkning</t>
        </is>
      </c>
      <c r="D2487" s="1" t="n">
        <v>44973</v>
      </c>
      <c r="E2487" s="1" t="n">
        <v>46323</v>
      </c>
      <c r="F2487" t="inlineStr">
        <is>
          <t>KALMAR LÄN</t>
        </is>
      </c>
      <c r="G2487" t="inlineStr">
        <is>
          <t>NYBRO</t>
        </is>
      </c>
      <c r="I2487" t="n">
        <v>0.4</v>
      </c>
      <c r="J2487" t="n">
        <v>0</v>
      </c>
      <c r="K2487" t="n">
        <v>0</v>
      </c>
      <c r="L2487" t="n">
        <v>0</v>
      </c>
      <c r="M2487" t="n">
        <v>0</v>
      </c>
      <c r="N2487" t="n">
        <v>0</v>
      </c>
      <c r="O2487" t="n">
        <v>0</v>
      </c>
      <c r="P2487" t="n">
        <v>0</v>
      </c>
      <c r="Q2487" t="n">
        <v>0</v>
      </c>
      <c r="R2487" t="n">
        <v>0</v>
      </c>
      <c r="S2487" t="n">
        <v>0</v>
      </c>
      <c r="T2487" t="n">
        <v>0</v>
      </c>
      <c r="U2487" t="n">
        <v>0</v>
      </c>
      <c r="V2487" s="2" t="inlineStr"/>
    </row>
    <row r="2488" ht="15" customHeight="1">
      <c r="A2488" t="inlineStr">
        <is>
          <t>A 7848-2023</t>
        </is>
      </c>
      <c r="B2488" t="inlineStr">
        <is>
          <t>avverkningsanmälan</t>
        </is>
      </c>
      <c r="C2488" t="inlineStr">
        <is>
          <t>Föryngringsavverkning</t>
        </is>
      </c>
      <c r="D2488" s="1" t="n">
        <v>44973</v>
      </c>
      <c r="E2488" s="1" t="n">
        <v>46323</v>
      </c>
      <c r="F2488" t="inlineStr">
        <is>
          <t>KALMAR LÄN</t>
        </is>
      </c>
      <c r="G2488" t="inlineStr">
        <is>
          <t>NYBRO</t>
        </is>
      </c>
      <c r="I2488" t="n">
        <v>3.3</v>
      </c>
      <c r="J2488" t="n">
        <v>0</v>
      </c>
      <c r="K2488" t="n">
        <v>0</v>
      </c>
      <c r="L2488" t="n">
        <v>0</v>
      </c>
      <c r="M2488" t="n">
        <v>0</v>
      </c>
      <c r="N2488" t="n">
        <v>0</v>
      </c>
      <c r="O2488" t="n">
        <v>0</v>
      </c>
      <c r="P2488" t="n">
        <v>0</v>
      </c>
      <c r="Q2488" t="n">
        <v>0</v>
      </c>
      <c r="R2488" t="n">
        <v>0</v>
      </c>
      <c r="S2488" t="n">
        <v>0</v>
      </c>
      <c r="T2488" t="n">
        <v>0</v>
      </c>
      <c r="U2488" t="n">
        <v>0</v>
      </c>
      <c r="V2488" s="2" t="inlineStr"/>
    </row>
    <row r="2489" ht="15" customHeight="1">
      <c r="A2489" t="inlineStr">
        <is>
          <t>A 48223-2023</t>
        </is>
      </c>
      <c r="B2489" t="inlineStr">
        <is>
          <t>avverkningsanmälan</t>
        </is>
      </c>
      <c r="C2489" t="inlineStr">
        <is>
          <t>Föryngringsavverkning</t>
        </is>
      </c>
      <c r="D2489" s="1" t="n">
        <v>45205</v>
      </c>
      <c r="E2489" s="1" t="n">
        <v>46323</v>
      </c>
      <c r="F2489" t="inlineStr">
        <is>
          <t>KALMAR LÄN</t>
        </is>
      </c>
      <c r="G2489" t="inlineStr">
        <is>
          <t>KALMAR</t>
        </is>
      </c>
      <c r="I2489" t="n">
        <v>1.4</v>
      </c>
      <c r="J2489" t="n">
        <v>0</v>
      </c>
      <c r="K2489" t="n">
        <v>0</v>
      </c>
      <c r="L2489" t="n">
        <v>0</v>
      </c>
      <c r="M2489" t="n">
        <v>0</v>
      </c>
      <c r="N2489" t="n">
        <v>0</v>
      </c>
      <c r="O2489" t="n">
        <v>0</v>
      </c>
      <c r="P2489" t="n">
        <v>0</v>
      </c>
      <c r="Q2489" t="n">
        <v>0</v>
      </c>
      <c r="R2489" t="n">
        <v>0</v>
      </c>
      <c r="S2489" t="n">
        <v>0</v>
      </c>
      <c r="T2489" t="n">
        <v>0</v>
      </c>
      <c r="U2489" t="n">
        <v>0</v>
      </c>
      <c r="V2489" s="2" t="inlineStr"/>
    </row>
    <row r="2490" ht="15" customHeight="1">
      <c r="A2490" t="inlineStr">
        <is>
          <t>A 8005-2023</t>
        </is>
      </c>
      <c r="B2490" t="inlineStr">
        <is>
          <t>avverkningsanmälan</t>
        </is>
      </c>
      <c r="C2490" t="inlineStr">
        <is>
          <t>Föryngringsavverkning</t>
        </is>
      </c>
      <c r="D2490" s="1" t="n">
        <v>44973</v>
      </c>
      <c r="E2490" s="1" t="n">
        <v>46323</v>
      </c>
      <c r="F2490" t="inlineStr">
        <is>
          <t>KALMAR LÄN</t>
        </is>
      </c>
      <c r="G2490" t="inlineStr">
        <is>
          <t>VÄSTERVIK</t>
        </is>
      </c>
      <c r="I2490" t="n">
        <v>2</v>
      </c>
      <c r="J2490" t="n">
        <v>0</v>
      </c>
      <c r="K2490" t="n">
        <v>0</v>
      </c>
      <c r="L2490" t="n">
        <v>0</v>
      </c>
      <c r="M2490" t="n">
        <v>0</v>
      </c>
      <c r="N2490" t="n">
        <v>0</v>
      </c>
      <c r="O2490" t="n">
        <v>0</v>
      </c>
      <c r="P2490" t="n">
        <v>0</v>
      </c>
      <c r="Q2490" t="n">
        <v>0</v>
      </c>
      <c r="R2490" t="n">
        <v>0</v>
      </c>
      <c r="S2490" t="n">
        <v>0</v>
      </c>
      <c r="T2490" t="n">
        <v>0</v>
      </c>
      <c r="U2490" t="n">
        <v>0</v>
      </c>
      <c r="V2490" s="2" t="inlineStr"/>
    </row>
    <row r="2491" ht="15" customHeight="1">
      <c r="A2491" t="inlineStr">
        <is>
          <t>A 56046-2023</t>
        </is>
      </c>
      <c r="B2491" t="inlineStr">
        <is>
          <t>avverkningsanmälan</t>
        </is>
      </c>
      <c r="C2491" t="inlineStr">
        <is>
          <t>Föryngringsavverkning</t>
        </is>
      </c>
      <c r="D2491" s="1" t="n">
        <v>45240</v>
      </c>
      <c r="E2491" s="1" t="n">
        <v>46323</v>
      </c>
      <c r="F2491" t="inlineStr">
        <is>
          <t>KALMAR LÄN</t>
        </is>
      </c>
      <c r="G2491" t="inlineStr">
        <is>
          <t>VÄSTERVIK</t>
        </is>
      </c>
      <c r="I2491" t="n">
        <v>0.9</v>
      </c>
      <c r="J2491" t="n">
        <v>0</v>
      </c>
      <c r="K2491" t="n">
        <v>0</v>
      </c>
      <c r="L2491" t="n">
        <v>0</v>
      </c>
      <c r="M2491" t="n">
        <v>0</v>
      </c>
      <c r="N2491" t="n">
        <v>0</v>
      </c>
      <c r="O2491" t="n">
        <v>0</v>
      </c>
      <c r="P2491" t="n">
        <v>0</v>
      </c>
      <c r="Q2491" t="n">
        <v>0</v>
      </c>
      <c r="R2491" t="n">
        <v>0</v>
      </c>
      <c r="S2491" t="n">
        <v>0</v>
      </c>
      <c r="T2491" t="n">
        <v>0</v>
      </c>
      <c r="U2491" t="n">
        <v>0</v>
      </c>
      <c r="V2491" s="2" t="inlineStr"/>
    </row>
    <row r="2492" ht="15" customHeight="1">
      <c r="A2492" t="inlineStr">
        <is>
          <t>A 46921-2023</t>
        </is>
      </c>
      <c r="B2492" t="inlineStr">
        <is>
          <t>avverkningsanmälan</t>
        </is>
      </c>
      <c r="C2492" t="inlineStr">
        <is>
          <t>Föryngringsavverkning</t>
        </is>
      </c>
      <c r="D2492" s="1" t="n">
        <v>45201</v>
      </c>
      <c r="E2492" s="1" t="n">
        <v>46323</v>
      </c>
      <c r="F2492" t="inlineStr">
        <is>
          <t>KALMAR LÄN</t>
        </is>
      </c>
      <c r="G2492" t="inlineStr">
        <is>
          <t>VIMMERBY</t>
        </is>
      </c>
      <c r="I2492" t="n">
        <v>2.6</v>
      </c>
      <c r="J2492" t="n">
        <v>0</v>
      </c>
      <c r="K2492" t="n">
        <v>0</v>
      </c>
      <c r="L2492" t="n">
        <v>0</v>
      </c>
      <c r="M2492" t="n">
        <v>0</v>
      </c>
      <c r="N2492" t="n">
        <v>0</v>
      </c>
      <c r="O2492" t="n">
        <v>0</v>
      </c>
      <c r="P2492" t="n">
        <v>0</v>
      </c>
      <c r="Q2492" t="n">
        <v>0</v>
      </c>
      <c r="R2492" t="n">
        <v>0</v>
      </c>
      <c r="S2492" t="n">
        <v>0</v>
      </c>
      <c r="T2492" t="n">
        <v>0</v>
      </c>
      <c r="U2492" t="n">
        <v>0</v>
      </c>
      <c r="V2492" s="2" t="inlineStr"/>
    </row>
    <row r="2493" ht="15" customHeight="1">
      <c r="A2493" t="inlineStr">
        <is>
          <t>A 14547-2025</t>
        </is>
      </c>
      <c r="B2493" t="inlineStr">
        <is>
          <t>avverkningsanmälan</t>
        </is>
      </c>
      <c r="C2493" t="inlineStr">
        <is>
          <t>Föryngringsavverkning</t>
        </is>
      </c>
      <c r="D2493" s="1" t="n">
        <v>45741</v>
      </c>
      <c r="E2493" s="1" t="n">
        <v>46323</v>
      </c>
      <c r="F2493" t="inlineStr">
        <is>
          <t>KALMAR LÄN</t>
        </is>
      </c>
      <c r="G2493" t="inlineStr">
        <is>
          <t>EMMABODA</t>
        </is>
      </c>
      <c r="I2493" t="n">
        <v>1.4</v>
      </c>
      <c r="J2493" t="n">
        <v>0</v>
      </c>
      <c r="K2493" t="n">
        <v>0</v>
      </c>
      <c r="L2493" t="n">
        <v>0</v>
      </c>
      <c r="M2493" t="n">
        <v>0</v>
      </c>
      <c r="N2493" t="n">
        <v>0</v>
      </c>
      <c r="O2493" t="n">
        <v>0</v>
      </c>
      <c r="P2493" t="n">
        <v>0</v>
      </c>
      <c r="Q2493" t="n">
        <v>0</v>
      </c>
      <c r="R2493" t="n">
        <v>0</v>
      </c>
      <c r="S2493" t="n">
        <v>0</v>
      </c>
      <c r="T2493" t="n">
        <v>0</v>
      </c>
      <c r="U2493" t="n">
        <v>0</v>
      </c>
      <c r="V2493" s="2" t="inlineStr"/>
    </row>
    <row r="2494" ht="15" customHeight="1">
      <c r="A2494" t="inlineStr">
        <is>
          <t>A 25867-2022</t>
        </is>
      </c>
      <c r="B2494" t="inlineStr">
        <is>
          <t>avverkningsanmälan</t>
        </is>
      </c>
      <c r="C2494" t="inlineStr">
        <is>
          <t>Föryngringsavverkning</t>
        </is>
      </c>
      <c r="D2494" s="1" t="n">
        <v>44733</v>
      </c>
      <c r="E2494" s="1" t="n">
        <v>46323</v>
      </c>
      <c r="F2494" t="inlineStr">
        <is>
          <t>KALMAR LÄN</t>
        </is>
      </c>
      <c r="G2494" t="inlineStr">
        <is>
          <t>OSKARSHAMN</t>
        </is>
      </c>
      <c r="I2494" t="n">
        <v>2.7</v>
      </c>
      <c r="J2494" t="n">
        <v>0</v>
      </c>
      <c r="K2494" t="n">
        <v>0</v>
      </c>
      <c r="L2494" t="n">
        <v>0</v>
      </c>
      <c r="M2494" t="n">
        <v>0</v>
      </c>
      <c r="N2494" t="n">
        <v>0</v>
      </c>
      <c r="O2494" t="n">
        <v>0</v>
      </c>
      <c r="P2494" t="n">
        <v>0</v>
      </c>
      <c r="Q2494" t="n">
        <v>0</v>
      </c>
      <c r="R2494" t="n">
        <v>0</v>
      </c>
      <c r="S2494" t="n">
        <v>0</v>
      </c>
      <c r="T2494" t="n">
        <v>0</v>
      </c>
      <c r="U2494" t="n">
        <v>0</v>
      </c>
      <c r="V2494" s="2" t="inlineStr"/>
    </row>
    <row r="2495" ht="15" customHeight="1">
      <c r="A2495" t="inlineStr">
        <is>
          <t>A 10838-2023</t>
        </is>
      </c>
      <c r="B2495" t="inlineStr">
        <is>
          <t>avverkningsanmälan</t>
        </is>
      </c>
      <c r="C2495" t="inlineStr">
        <is>
          <t>Föryngringsavverkning</t>
        </is>
      </c>
      <c r="D2495" s="1" t="n">
        <v>44991</v>
      </c>
      <c r="E2495" s="1" t="n">
        <v>46323</v>
      </c>
      <c r="F2495" t="inlineStr">
        <is>
          <t>KALMAR LÄN</t>
        </is>
      </c>
      <c r="G2495" t="inlineStr">
        <is>
          <t>VIMMERBY</t>
        </is>
      </c>
      <c r="I2495" t="n">
        <v>5.1</v>
      </c>
      <c r="J2495" t="n">
        <v>0</v>
      </c>
      <c r="K2495" t="n">
        <v>0</v>
      </c>
      <c r="L2495" t="n">
        <v>0</v>
      </c>
      <c r="M2495" t="n">
        <v>0</v>
      </c>
      <c r="N2495" t="n">
        <v>0</v>
      </c>
      <c r="O2495" t="n">
        <v>0</v>
      </c>
      <c r="P2495" t="n">
        <v>0</v>
      </c>
      <c r="Q2495" t="n">
        <v>0</v>
      </c>
      <c r="R2495" t="n">
        <v>0</v>
      </c>
      <c r="S2495" t="n">
        <v>0</v>
      </c>
      <c r="T2495" t="n">
        <v>0</v>
      </c>
      <c r="U2495" t="n">
        <v>0</v>
      </c>
      <c r="V2495" s="2" t="inlineStr"/>
    </row>
    <row r="2496" ht="15" customHeight="1">
      <c r="A2496" t="inlineStr">
        <is>
          <t>A 10895-2023</t>
        </is>
      </c>
      <c r="B2496" t="inlineStr">
        <is>
          <t>avverkningsanmälan</t>
        </is>
      </c>
      <c r="C2496" t="inlineStr">
        <is>
          <t>Föryngringsavverkning</t>
        </is>
      </c>
      <c r="D2496" s="1" t="n">
        <v>44991</v>
      </c>
      <c r="E2496" s="1" t="n">
        <v>46323</v>
      </c>
      <c r="F2496" t="inlineStr">
        <is>
          <t>KALMAR LÄN</t>
        </is>
      </c>
      <c r="G2496" t="inlineStr">
        <is>
          <t>NYBRO</t>
        </is>
      </c>
      <c r="I2496" t="n">
        <v>1.7</v>
      </c>
      <c r="J2496" t="n">
        <v>0</v>
      </c>
      <c r="K2496" t="n">
        <v>0</v>
      </c>
      <c r="L2496" t="n">
        <v>0</v>
      </c>
      <c r="M2496" t="n">
        <v>0</v>
      </c>
      <c r="N2496" t="n">
        <v>0</v>
      </c>
      <c r="O2496" t="n">
        <v>0</v>
      </c>
      <c r="P2496" t="n">
        <v>0</v>
      </c>
      <c r="Q2496" t="n">
        <v>0</v>
      </c>
      <c r="R2496" t="n">
        <v>0</v>
      </c>
      <c r="S2496" t="n">
        <v>0</v>
      </c>
      <c r="T2496" t="n">
        <v>0</v>
      </c>
      <c r="U2496" t="n">
        <v>0</v>
      </c>
      <c r="V2496" s="2" t="inlineStr"/>
    </row>
    <row r="2497" ht="15" customHeight="1">
      <c r="A2497" t="inlineStr">
        <is>
          <t>A 47124-2023</t>
        </is>
      </c>
      <c r="B2497" t="inlineStr">
        <is>
          <t>avverkningsanmälan</t>
        </is>
      </c>
      <c r="C2497" t="inlineStr">
        <is>
          <t>Föryngringsavverkning</t>
        </is>
      </c>
      <c r="D2497" s="1" t="n">
        <v>45201</v>
      </c>
      <c r="E2497" s="1" t="n">
        <v>46323</v>
      </c>
      <c r="F2497" t="inlineStr">
        <is>
          <t>KALMAR LÄN</t>
        </is>
      </c>
      <c r="G2497" t="inlineStr">
        <is>
          <t>VÄSTERVIK</t>
        </is>
      </c>
      <c r="I2497" t="n">
        <v>1.5</v>
      </c>
      <c r="J2497" t="n">
        <v>0</v>
      </c>
      <c r="K2497" t="n">
        <v>0</v>
      </c>
      <c r="L2497" t="n">
        <v>0</v>
      </c>
      <c r="M2497" t="n">
        <v>0</v>
      </c>
      <c r="N2497" t="n">
        <v>0</v>
      </c>
      <c r="O2497" t="n">
        <v>0</v>
      </c>
      <c r="P2497" t="n">
        <v>0</v>
      </c>
      <c r="Q2497" t="n">
        <v>0</v>
      </c>
      <c r="R2497" t="n">
        <v>0</v>
      </c>
      <c r="S2497" t="n">
        <v>0</v>
      </c>
      <c r="T2497" t="n">
        <v>0</v>
      </c>
      <c r="U2497" t="n">
        <v>0</v>
      </c>
      <c r="V2497" s="2" t="inlineStr"/>
    </row>
    <row r="2498" ht="15" customHeight="1">
      <c r="A2498" t="inlineStr">
        <is>
          <t>A 27075-2025</t>
        </is>
      </c>
      <c r="B2498" t="inlineStr">
        <is>
          <t>avverkningsanmälan</t>
        </is>
      </c>
      <c r="C2498" t="inlineStr">
        <is>
          <t>Föryngringsavverkning</t>
        </is>
      </c>
      <c r="D2498" s="1" t="n">
        <v>45811</v>
      </c>
      <c r="E2498" s="1" t="n">
        <v>46323</v>
      </c>
      <c r="F2498" t="inlineStr">
        <is>
          <t>KALMAR LÄN</t>
        </is>
      </c>
      <c r="G2498" t="inlineStr">
        <is>
          <t>OSKARSHAMN</t>
        </is>
      </c>
      <c r="I2498" t="n">
        <v>1.5</v>
      </c>
      <c r="J2498" t="n">
        <v>0</v>
      </c>
      <c r="K2498" t="n">
        <v>0</v>
      </c>
      <c r="L2498" t="n">
        <v>0</v>
      </c>
      <c r="M2498" t="n">
        <v>0</v>
      </c>
      <c r="N2498" t="n">
        <v>0</v>
      </c>
      <c r="O2498" t="n">
        <v>0</v>
      </c>
      <c r="P2498" t="n">
        <v>0</v>
      </c>
      <c r="Q2498" t="n">
        <v>0</v>
      </c>
      <c r="R2498" t="n">
        <v>0</v>
      </c>
      <c r="S2498" t="n">
        <v>0</v>
      </c>
      <c r="T2498" t="n">
        <v>0</v>
      </c>
      <c r="U2498" t="n">
        <v>0</v>
      </c>
      <c r="V2498" s="2" t="inlineStr"/>
    </row>
    <row r="2499" ht="15" customHeight="1">
      <c r="A2499" t="inlineStr">
        <is>
          <t>A 12192-2025</t>
        </is>
      </c>
      <c r="B2499" t="inlineStr">
        <is>
          <t>avverkningsanmälan</t>
        </is>
      </c>
      <c r="C2499" t="inlineStr">
        <is>
          <t>Föryngringsavverkning</t>
        </is>
      </c>
      <c r="D2499" s="1" t="n">
        <v>45729</v>
      </c>
      <c r="E2499" s="1" t="n">
        <v>46323</v>
      </c>
      <c r="F2499" t="inlineStr">
        <is>
          <t>KALMAR LÄN</t>
        </is>
      </c>
      <c r="G2499" t="inlineStr">
        <is>
          <t>HULTSFRED</t>
        </is>
      </c>
      <c r="H2499" t="inlineStr">
        <is>
          <t>Sveaskog</t>
        </is>
      </c>
      <c r="I2499" t="n">
        <v>1.1</v>
      </c>
      <c r="J2499" t="n">
        <v>0</v>
      </c>
      <c r="K2499" t="n">
        <v>0</v>
      </c>
      <c r="L2499" t="n">
        <v>0</v>
      </c>
      <c r="M2499" t="n">
        <v>0</v>
      </c>
      <c r="N2499" t="n">
        <v>0</v>
      </c>
      <c r="O2499" t="n">
        <v>0</v>
      </c>
      <c r="P2499" t="n">
        <v>0</v>
      </c>
      <c r="Q2499" t="n">
        <v>0</v>
      </c>
      <c r="R2499" t="n">
        <v>0</v>
      </c>
      <c r="S2499" t="n">
        <v>0</v>
      </c>
      <c r="T2499" t="n">
        <v>0</v>
      </c>
      <c r="U2499" t="n">
        <v>0</v>
      </c>
      <c r="V2499" s="2" t="inlineStr"/>
    </row>
    <row r="2500" ht="15" customHeight="1">
      <c r="A2500" t="inlineStr">
        <is>
          <t>A 41591-2025</t>
        </is>
      </c>
      <c r="B2500" t="inlineStr">
        <is>
          <t>avverkningsanmälan</t>
        </is>
      </c>
      <c r="C2500" t="inlineStr">
        <is>
          <t>Föryngringsavverkning</t>
        </is>
      </c>
      <c r="D2500" s="1" t="n">
        <v>45901</v>
      </c>
      <c r="E2500" s="1" t="n">
        <v>46323</v>
      </c>
      <c r="F2500" t="inlineStr">
        <is>
          <t>KALMAR LÄN</t>
        </is>
      </c>
      <c r="G2500" t="inlineStr">
        <is>
          <t>VIMMERBY</t>
        </is>
      </c>
      <c r="I2500" t="n">
        <v>0.5</v>
      </c>
      <c r="J2500" t="n">
        <v>0</v>
      </c>
      <c r="K2500" t="n">
        <v>0</v>
      </c>
      <c r="L2500" t="n">
        <v>0</v>
      </c>
      <c r="M2500" t="n">
        <v>0</v>
      </c>
      <c r="N2500" t="n">
        <v>0</v>
      </c>
      <c r="O2500" t="n">
        <v>0</v>
      </c>
      <c r="P2500" t="n">
        <v>0</v>
      </c>
      <c r="Q2500" t="n">
        <v>0</v>
      </c>
      <c r="R2500" t="n">
        <v>0</v>
      </c>
      <c r="S2500" t="n">
        <v>0</v>
      </c>
      <c r="T2500" t="n">
        <v>0</v>
      </c>
      <c r="U2500" t="n">
        <v>0</v>
      </c>
      <c r="V2500" s="2" t="inlineStr"/>
    </row>
    <row r="2501" ht="15" customHeight="1">
      <c r="A2501" t="inlineStr">
        <is>
          <t>A 15362-2024</t>
        </is>
      </c>
      <c r="B2501" t="inlineStr">
        <is>
          <t>avverkningsanmälan</t>
        </is>
      </c>
      <c r="C2501" t="inlineStr">
        <is>
          <t>Föryngringsavverkning</t>
        </is>
      </c>
      <c r="D2501" s="1" t="n">
        <v>45400</v>
      </c>
      <c r="E2501" s="1" t="n">
        <v>46323</v>
      </c>
      <c r="F2501" t="inlineStr">
        <is>
          <t>KALMAR LÄN</t>
        </is>
      </c>
      <c r="G2501" t="inlineStr">
        <is>
          <t>EMMABODA</t>
        </is>
      </c>
      <c r="I2501" t="n">
        <v>0.7</v>
      </c>
      <c r="J2501" t="n">
        <v>0</v>
      </c>
      <c r="K2501" t="n">
        <v>0</v>
      </c>
      <c r="L2501" t="n">
        <v>0</v>
      </c>
      <c r="M2501" t="n">
        <v>0</v>
      </c>
      <c r="N2501" t="n">
        <v>0</v>
      </c>
      <c r="O2501" t="n">
        <v>0</v>
      </c>
      <c r="P2501" t="n">
        <v>0</v>
      </c>
      <c r="Q2501" t="n">
        <v>0</v>
      </c>
      <c r="R2501" t="n">
        <v>0</v>
      </c>
      <c r="S2501" t="n">
        <v>0</v>
      </c>
      <c r="T2501" t="n">
        <v>0</v>
      </c>
      <c r="U2501" t="n">
        <v>0</v>
      </c>
      <c r="V2501" s="2" t="inlineStr"/>
    </row>
    <row r="2502" ht="15" customHeight="1">
      <c r="A2502" t="inlineStr">
        <is>
          <t>A 49703-2022</t>
        </is>
      </c>
      <c r="B2502" t="inlineStr">
        <is>
          <t>avverkningsanmälan</t>
        </is>
      </c>
      <c r="C2502" t="inlineStr">
        <is>
          <t>Föryngringsavverkning</t>
        </is>
      </c>
      <c r="D2502" s="1" t="n">
        <v>44862</v>
      </c>
      <c r="E2502" s="1" t="n">
        <v>46323</v>
      </c>
      <c r="F2502" t="inlineStr">
        <is>
          <t>KALMAR LÄN</t>
        </is>
      </c>
      <c r="G2502" t="inlineStr">
        <is>
          <t>HULTSFRED</t>
        </is>
      </c>
      <c r="H2502" t="inlineStr">
        <is>
          <t>Kyrkan</t>
        </is>
      </c>
      <c r="I2502" t="n">
        <v>0.8</v>
      </c>
      <c r="J2502" t="n">
        <v>0</v>
      </c>
      <c r="K2502" t="n">
        <v>0</v>
      </c>
      <c r="L2502" t="n">
        <v>0</v>
      </c>
      <c r="M2502" t="n">
        <v>0</v>
      </c>
      <c r="N2502" t="n">
        <v>0</v>
      </c>
      <c r="O2502" t="n">
        <v>0</v>
      </c>
      <c r="P2502" t="n">
        <v>0</v>
      </c>
      <c r="Q2502" t="n">
        <v>0</v>
      </c>
      <c r="R2502" t="n">
        <v>0</v>
      </c>
      <c r="S2502" t="n">
        <v>0</v>
      </c>
      <c r="T2502" t="n">
        <v>0</v>
      </c>
      <c r="U2502" t="n">
        <v>0</v>
      </c>
      <c r="V2502" s="2" t="inlineStr"/>
    </row>
    <row r="2503" ht="15" customHeight="1">
      <c r="A2503" t="inlineStr">
        <is>
          <t>A 3349-2025</t>
        </is>
      </c>
      <c r="B2503" t="inlineStr">
        <is>
          <t>avverkningsanmälan</t>
        </is>
      </c>
      <c r="C2503" t="inlineStr">
        <is>
          <t>Föryngringsavverkning</t>
        </is>
      </c>
      <c r="D2503" s="1" t="n">
        <v>45679</v>
      </c>
      <c r="E2503" s="1" t="n">
        <v>46323</v>
      </c>
      <c r="F2503" t="inlineStr">
        <is>
          <t>KALMAR LÄN</t>
        </is>
      </c>
      <c r="G2503" t="inlineStr">
        <is>
          <t>NYBRO</t>
        </is>
      </c>
      <c r="I2503" t="n">
        <v>0.4</v>
      </c>
      <c r="J2503" t="n">
        <v>0</v>
      </c>
      <c r="K2503" t="n">
        <v>0</v>
      </c>
      <c r="L2503" t="n">
        <v>0</v>
      </c>
      <c r="M2503" t="n">
        <v>0</v>
      </c>
      <c r="N2503" t="n">
        <v>0</v>
      </c>
      <c r="O2503" t="n">
        <v>0</v>
      </c>
      <c r="P2503" t="n">
        <v>0</v>
      </c>
      <c r="Q2503" t="n">
        <v>0</v>
      </c>
      <c r="R2503" t="n">
        <v>0</v>
      </c>
      <c r="S2503" t="n">
        <v>0</v>
      </c>
      <c r="T2503" t="n">
        <v>0</v>
      </c>
      <c r="U2503" t="n">
        <v>0</v>
      </c>
      <c r="V2503" s="2" t="inlineStr"/>
    </row>
    <row r="2504" ht="15" customHeight="1">
      <c r="A2504" t="inlineStr">
        <is>
          <t>A 40131-2024</t>
        </is>
      </c>
      <c r="B2504" t="inlineStr">
        <is>
          <t>avverkningsanmälan</t>
        </is>
      </c>
      <c r="C2504" t="inlineStr">
        <is>
          <t>Föryngringsavverkning</t>
        </is>
      </c>
      <c r="D2504" s="1" t="n">
        <v>45554</v>
      </c>
      <c r="E2504" s="1" t="n">
        <v>46323</v>
      </c>
      <c r="F2504" t="inlineStr">
        <is>
          <t>KALMAR LÄN</t>
        </is>
      </c>
      <c r="G2504" t="inlineStr">
        <is>
          <t>NYBRO</t>
        </is>
      </c>
      <c r="H2504" t="inlineStr">
        <is>
          <t>Kyrkan</t>
        </is>
      </c>
      <c r="I2504" t="n">
        <v>6.8</v>
      </c>
      <c r="J2504" t="n">
        <v>0</v>
      </c>
      <c r="K2504" t="n">
        <v>0</v>
      </c>
      <c r="L2504" t="n">
        <v>0</v>
      </c>
      <c r="M2504" t="n">
        <v>0</v>
      </c>
      <c r="N2504" t="n">
        <v>0</v>
      </c>
      <c r="O2504" t="n">
        <v>0</v>
      </c>
      <c r="P2504" t="n">
        <v>0</v>
      </c>
      <c r="Q2504" t="n">
        <v>0</v>
      </c>
      <c r="R2504" t="n">
        <v>0</v>
      </c>
      <c r="S2504" t="n">
        <v>0</v>
      </c>
      <c r="T2504" t="n">
        <v>0</v>
      </c>
      <c r="U2504" t="n">
        <v>0</v>
      </c>
      <c r="V2504" s="2" t="inlineStr"/>
    </row>
    <row r="2505" ht="15" customHeight="1">
      <c r="A2505" t="inlineStr">
        <is>
          <t>A 30871-2023</t>
        </is>
      </c>
      <c r="B2505" t="inlineStr">
        <is>
          <t>avverkningsanmälan</t>
        </is>
      </c>
      <c r="C2505" t="inlineStr">
        <is>
          <t>Föryngringsavverkning</t>
        </is>
      </c>
      <c r="D2505" s="1" t="n">
        <v>45113</v>
      </c>
      <c r="E2505" s="1" t="n">
        <v>46323</v>
      </c>
      <c r="F2505" t="inlineStr">
        <is>
          <t>KALMAR LÄN</t>
        </is>
      </c>
      <c r="G2505" t="inlineStr">
        <is>
          <t>TORSÅS</t>
        </is>
      </c>
      <c r="I2505" t="n">
        <v>0.6</v>
      </c>
      <c r="J2505" t="n">
        <v>0</v>
      </c>
      <c r="K2505" t="n">
        <v>0</v>
      </c>
      <c r="L2505" t="n">
        <v>0</v>
      </c>
      <c r="M2505" t="n">
        <v>0</v>
      </c>
      <c r="N2505" t="n">
        <v>0</v>
      </c>
      <c r="O2505" t="n">
        <v>0</v>
      </c>
      <c r="P2505" t="n">
        <v>0</v>
      </c>
      <c r="Q2505" t="n">
        <v>0</v>
      </c>
      <c r="R2505" t="n">
        <v>0</v>
      </c>
      <c r="S2505" t="n">
        <v>0</v>
      </c>
      <c r="T2505" t="n">
        <v>0</v>
      </c>
      <c r="U2505" t="n">
        <v>0</v>
      </c>
      <c r="V2505" s="2" t="inlineStr"/>
    </row>
    <row r="2506" ht="15" customHeight="1">
      <c r="A2506" t="inlineStr">
        <is>
          <t>A 30875-2023</t>
        </is>
      </c>
      <c r="B2506" t="inlineStr">
        <is>
          <t>avverkningsanmälan</t>
        </is>
      </c>
      <c r="C2506" t="inlineStr">
        <is>
          <t>Föryngringsavverkning</t>
        </is>
      </c>
      <c r="D2506" s="1" t="n">
        <v>45113</v>
      </c>
      <c r="E2506" s="1" t="n">
        <v>46323</v>
      </c>
      <c r="F2506" t="inlineStr">
        <is>
          <t>KALMAR LÄN</t>
        </is>
      </c>
      <c r="G2506" t="inlineStr">
        <is>
          <t>TORSÅS</t>
        </is>
      </c>
      <c r="I2506" t="n">
        <v>1.5</v>
      </c>
      <c r="J2506" t="n">
        <v>0</v>
      </c>
      <c r="K2506" t="n">
        <v>0</v>
      </c>
      <c r="L2506" t="n">
        <v>0</v>
      </c>
      <c r="M2506" t="n">
        <v>0</v>
      </c>
      <c r="N2506" t="n">
        <v>0</v>
      </c>
      <c r="O2506" t="n">
        <v>0</v>
      </c>
      <c r="P2506" t="n">
        <v>0</v>
      </c>
      <c r="Q2506" t="n">
        <v>0</v>
      </c>
      <c r="R2506" t="n">
        <v>0</v>
      </c>
      <c r="S2506" t="n">
        <v>0</v>
      </c>
      <c r="T2506" t="n">
        <v>0</v>
      </c>
      <c r="U2506" t="n">
        <v>0</v>
      </c>
      <c r="V2506" s="2" t="inlineStr"/>
    </row>
    <row r="2507" ht="15" customHeight="1">
      <c r="A2507" t="inlineStr">
        <is>
          <t>A 30912-2023</t>
        </is>
      </c>
      <c r="B2507" t="inlineStr">
        <is>
          <t>avverkningsanmälan</t>
        </is>
      </c>
      <c r="C2507" t="inlineStr">
        <is>
          <t>Föryngringsavverkning</t>
        </is>
      </c>
      <c r="D2507" s="1" t="n">
        <v>45113</v>
      </c>
      <c r="E2507" s="1" t="n">
        <v>46323</v>
      </c>
      <c r="F2507" t="inlineStr">
        <is>
          <t>KALMAR LÄN</t>
        </is>
      </c>
      <c r="G2507" t="inlineStr">
        <is>
          <t>VIMMERBY</t>
        </is>
      </c>
      <c r="I2507" t="n">
        <v>5</v>
      </c>
      <c r="J2507" t="n">
        <v>0</v>
      </c>
      <c r="K2507" t="n">
        <v>0</v>
      </c>
      <c r="L2507" t="n">
        <v>0</v>
      </c>
      <c r="M2507" t="n">
        <v>0</v>
      </c>
      <c r="N2507" t="n">
        <v>0</v>
      </c>
      <c r="O2507" t="n">
        <v>0</v>
      </c>
      <c r="P2507" t="n">
        <v>0</v>
      </c>
      <c r="Q2507" t="n">
        <v>0</v>
      </c>
      <c r="R2507" t="n">
        <v>0</v>
      </c>
      <c r="S2507" t="n">
        <v>0</v>
      </c>
      <c r="T2507" t="n">
        <v>0</v>
      </c>
      <c r="U2507" t="n">
        <v>0</v>
      </c>
      <c r="V2507" s="2" t="inlineStr"/>
    </row>
    <row r="2508" ht="15" customHeight="1">
      <c r="A2508" t="inlineStr">
        <is>
          <t>A 22544-2023</t>
        </is>
      </c>
      <c r="B2508" t="inlineStr">
        <is>
          <t>avverkningsanmälan</t>
        </is>
      </c>
      <c r="C2508" t="inlineStr">
        <is>
          <t>Föryngringsavverkning</t>
        </is>
      </c>
      <c r="D2508" s="1" t="n">
        <v>45071</v>
      </c>
      <c r="E2508" s="1" t="n">
        <v>46323</v>
      </c>
      <c r="F2508" t="inlineStr">
        <is>
          <t>KALMAR LÄN</t>
        </is>
      </c>
      <c r="G2508" t="inlineStr">
        <is>
          <t>HÖGSBY</t>
        </is>
      </c>
      <c r="I2508" t="n">
        <v>0.9</v>
      </c>
      <c r="J2508" t="n">
        <v>0</v>
      </c>
      <c r="K2508" t="n">
        <v>0</v>
      </c>
      <c r="L2508" t="n">
        <v>0</v>
      </c>
      <c r="M2508" t="n">
        <v>0</v>
      </c>
      <c r="N2508" t="n">
        <v>0</v>
      </c>
      <c r="O2508" t="n">
        <v>0</v>
      </c>
      <c r="P2508" t="n">
        <v>0</v>
      </c>
      <c r="Q2508" t="n">
        <v>0</v>
      </c>
      <c r="R2508" t="n">
        <v>0</v>
      </c>
      <c r="S2508" t="n">
        <v>0</v>
      </c>
      <c r="T2508" t="n">
        <v>0</v>
      </c>
      <c r="U2508" t="n">
        <v>0</v>
      </c>
      <c r="V2508" s="2" t="inlineStr"/>
    </row>
    <row r="2509" ht="15" customHeight="1">
      <c r="A2509" t="inlineStr">
        <is>
          <t>A 66333-2021</t>
        </is>
      </c>
      <c r="B2509" t="inlineStr">
        <is>
          <t>avverkningsanmälan</t>
        </is>
      </c>
      <c r="C2509" t="inlineStr">
        <is>
          <t>Föryngringsavverkning</t>
        </is>
      </c>
      <c r="D2509" s="1" t="n">
        <v>44518</v>
      </c>
      <c r="E2509" s="1" t="n">
        <v>46323</v>
      </c>
      <c r="F2509" t="inlineStr">
        <is>
          <t>KALMAR LÄN</t>
        </is>
      </c>
      <c r="G2509" t="inlineStr">
        <is>
          <t>EMMABODA</t>
        </is>
      </c>
      <c r="I2509" t="n">
        <v>0.7</v>
      </c>
      <c r="J2509" t="n">
        <v>0</v>
      </c>
      <c r="K2509" t="n">
        <v>0</v>
      </c>
      <c r="L2509" t="n">
        <v>0</v>
      </c>
      <c r="M2509" t="n">
        <v>0</v>
      </c>
      <c r="N2509" t="n">
        <v>0</v>
      </c>
      <c r="O2509" t="n">
        <v>0</v>
      </c>
      <c r="P2509" t="n">
        <v>0</v>
      </c>
      <c r="Q2509" t="n">
        <v>0</v>
      </c>
      <c r="R2509" t="n">
        <v>0</v>
      </c>
      <c r="S2509" t="n">
        <v>0</v>
      </c>
      <c r="T2509" t="n">
        <v>0</v>
      </c>
      <c r="U2509" t="n">
        <v>0</v>
      </c>
      <c r="V2509" s="2" t="inlineStr"/>
    </row>
    <row r="2510" ht="15" customHeight="1">
      <c r="A2510" t="inlineStr">
        <is>
          <t>A 59468-2022</t>
        </is>
      </c>
      <c r="B2510" t="inlineStr">
        <is>
          <t>avverkningsanmälan</t>
        </is>
      </c>
      <c r="C2510" t="inlineStr">
        <is>
          <t>Föryngringsavverkning</t>
        </is>
      </c>
      <c r="D2510" s="1" t="n">
        <v>44907</v>
      </c>
      <c r="E2510" s="1" t="n">
        <v>46323</v>
      </c>
      <c r="F2510" t="inlineStr">
        <is>
          <t>KALMAR LÄN</t>
        </is>
      </c>
      <c r="G2510" t="inlineStr">
        <is>
          <t>EMMABODA</t>
        </is>
      </c>
      <c r="I2510" t="n">
        <v>2.7</v>
      </c>
      <c r="J2510" t="n">
        <v>0</v>
      </c>
      <c r="K2510" t="n">
        <v>0</v>
      </c>
      <c r="L2510" t="n">
        <v>0</v>
      </c>
      <c r="M2510" t="n">
        <v>0</v>
      </c>
      <c r="N2510" t="n">
        <v>0</v>
      </c>
      <c r="O2510" t="n">
        <v>0</v>
      </c>
      <c r="P2510" t="n">
        <v>0</v>
      </c>
      <c r="Q2510" t="n">
        <v>0</v>
      </c>
      <c r="R2510" t="n">
        <v>0</v>
      </c>
      <c r="S2510" t="n">
        <v>0</v>
      </c>
      <c r="T2510" t="n">
        <v>0</v>
      </c>
      <c r="U2510" t="n">
        <v>0</v>
      </c>
      <c r="V2510" s="2" t="inlineStr"/>
    </row>
    <row r="2511" ht="15" customHeight="1">
      <c r="A2511" t="inlineStr">
        <is>
          <t>A 30057-2023</t>
        </is>
      </c>
      <c r="B2511" t="inlineStr">
        <is>
          <t>avverkningsanmälan</t>
        </is>
      </c>
      <c r="C2511" t="inlineStr">
        <is>
          <t>Föryngringsavverkning</t>
        </is>
      </c>
      <c r="D2511" s="1" t="n">
        <v>45110</v>
      </c>
      <c r="E2511" s="1" t="n">
        <v>46323</v>
      </c>
      <c r="F2511" t="inlineStr">
        <is>
          <t>KALMAR LÄN</t>
        </is>
      </c>
      <c r="G2511" t="inlineStr">
        <is>
          <t>OSKARSHAMN</t>
        </is>
      </c>
      <c r="I2511" t="n">
        <v>1.2</v>
      </c>
      <c r="J2511" t="n">
        <v>0</v>
      </c>
      <c r="K2511" t="n">
        <v>0</v>
      </c>
      <c r="L2511" t="n">
        <v>0</v>
      </c>
      <c r="M2511" t="n">
        <v>0</v>
      </c>
      <c r="N2511" t="n">
        <v>0</v>
      </c>
      <c r="O2511" t="n">
        <v>0</v>
      </c>
      <c r="P2511" t="n">
        <v>0</v>
      </c>
      <c r="Q2511" t="n">
        <v>0</v>
      </c>
      <c r="R2511" t="n">
        <v>0</v>
      </c>
      <c r="S2511" t="n">
        <v>0</v>
      </c>
      <c r="T2511" t="n">
        <v>0</v>
      </c>
      <c r="U2511" t="n">
        <v>0</v>
      </c>
      <c r="V2511" s="2" t="inlineStr"/>
    </row>
    <row r="2512" ht="15" customHeight="1">
      <c r="A2512" t="inlineStr">
        <is>
          <t>A 51488-2023</t>
        </is>
      </c>
      <c r="B2512" t="inlineStr">
        <is>
          <t>avverkningsanmälan</t>
        </is>
      </c>
      <c r="C2512" t="inlineStr">
        <is>
          <t>Föryngringsavverkning</t>
        </is>
      </c>
      <c r="D2512" s="1" t="n">
        <v>45222</v>
      </c>
      <c r="E2512" s="1" t="n">
        <v>46323</v>
      </c>
      <c r="F2512" t="inlineStr">
        <is>
          <t>KALMAR LÄN</t>
        </is>
      </c>
      <c r="G2512" t="inlineStr">
        <is>
          <t>EMMABODA</t>
        </is>
      </c>
      <c r="I2512" t="n">
        <v>0</v>
      </c>
      <c r="J2512" t="n">
        <v>0</v>
      </c>
      <c r="K2512" t="n">
        <v>0</v>
      </c>
      <c r="L2512" t="n">
        <v>0</v>
      </c>
      <c r="M2512" t="n">
        <v>0</v>
      </c>
      <c r="N2512" t="n">
        <v>0</v>
      </c>
      <c r="O2512" t="n">
        <v>0</v>
      </c>
      <c r="P2512" t="n">
        <v>0</v>
      </c>
      <c r="Q2512" t="n">
        <v>0</v>
      </c>
      <c r="R2512" t="n">
        <v>0</v>
      </c>
      <c r="S2512" t="n">
        <v>0</v>
      </c>
      <c r="T2512" t="n">
        <v>0</v>
      </c>
      <c r="U2512" t="n">
        <v>0</v>
      </c>
      <c r="V2512" s="2" t="inlineStr"/>
    </row>
    <row r="2513" ht="15" customHeight="1">
      <c r="A2513" t="inlineStr">
        <is>
          <t>A 2778-2024</t>
        </is>
      </c>
      <c r="B2513" t="inlineStr">
        <is>
          <t>avverkningsanmälan</t>
        </is>
      </c>
      <c r="C2513" t="inlineStr">
        <is>
          <t>Föryngringsavverkning</t>
        </is>
      </c>
      <c r="D2513" s="1" t="n">
        <v>45314</v>
      </c>
      <c r="E2513" s="1" t="n">
        <v>46323</v>
      </c>
      <c r="F2513" t="inlineStr">
        <is>
          <t>KALMAR LÄN</t>
        </is>
      </c>
      <c r="G2513" t="inlineStr">
        <is>
          <t>OSKARSHAMN</t>
        </is>
      </c>
      <c r="I2513" t="n">
        <v>4.3</v>
      </c>
      <c r="J2513" t="n">
        <v>0</v>
      </c>
      <c r="K2513" t="n">
        <v>0</v>
      </c>
      <c r="L2513" t="n">
        <v>0</v>
      </c>
      <c r="M2513" t="n">
        <v>0</v>
      </c>
      <c r="N2513" t="n">
        <v>0</v>
      </c>
      <c r="O2513" t="n">
        <v>0</v>
      </c>
      <c r="P2513" t="n">
        <v>0</v>
      </c>
      <c r="Q2513" t="n">
        <v>0</v>
      </c>
      <c r="R2513" t="n">
        <v>0</v>
      </c>
      <c r="S2513" t="n">
        <v>0</v>
      </c>
      <c r="T2513" t="n">
        <v>0</v>
      </c>
      <c r="U2513" t="n">
        <v>0</v>
      </c>
      <c r="V2513" s="2" t="inlineStr"/>
    </row>
    <row r="2514" ht="15" customHeight="1">
      <c r="A2514" t="inlineStr">
        <is>
          <t>A 59696-2023</t>
        </is>
      </c>
      <c r="B2514" t="inlineStr">
        <is>
          <t>avverkningsanmälan</t>
        </is>
      </c>
      <c r="C2514" t="inlineStr">
        <is>
          <t>Föryngringsavverkning</t>
        </is>
      </c>
      <c r="D2514" s="1" t="n">
        <v>45256</v>
      </c>
      <c r="E2514" s="1" t="n">
        <v>46323</v>
      </c>
      <c r="F2514" t="inlineStr">
        <is>
          <t>KALMAR LÄN</t>
        </is>
      </c>
      <c r="G2514" t="inlineStr">
        <is>
          <t>VÄSTERVIK</t>
        </is>
      </c>
      <c r="H2514" t="inlineStr">
        <is>
          <t>Sveaskog</t>
        </is>
      </c>
      <c r="I2514" t="n">
        <v>1.2</v>
      </c>
      <c r="J2514" t="n">
        <v>0</v>
      </c>
      <c r="K2514" t="n">
        <v>0</v>
      </c>
      <c r="L2514" t="n">
        <v>0</v>
      </c>
      <c r="M2514" t="n">
        <v>0</v>
      </c>
      <c r="N2514" t="n">
        <v>0</v>
      </c>
      <c r="O2514" t="n">
        <v>0</v>
      </c>
      <c r="P2514" t="n">
        <v>0</v>
      </c>
      <c r="Q2514" t="n">
        <v>0</v>
      </c>
      <c r="R2514" t="n">
        <v>0</v>
      </c>
      <c r="S2514" t="n">
        <v>0</v>
      </c>
      <c r="T2514" t="n">
        <v>0</v>
      </c>
      <c r="U2514" t="n">
        <v>0</v>
      </c>
      <c r="V2514" s="2" t="inlineStr"/>
    </row>
    <row r="2515" ht="15" customHeight="1">
      <c r="A2515" t="inlineStr">
        <is>
          <t>A 55436-2023</t>
        </is>
      </c>
      <c r="B2515" t="inlineStr">
        <is>
          <t>avverkningsanmälan</t>
        </is>
      </c>
      <c r="C2515" t="inlineStr">
        <is>
          <t>Föryngringsavverkning</t>
        </is>
      </c>
      <c r="D2515" s="1" t="n">
        <v>45238</v>
      </c>
      <c r="E2515" s="1" t="n">
        <v>46323</v>
      </c>
      <c r="F2515" t="inlineStr">
        <is>
          <t>KALMAR LÄN</t>
        </is>
      </c>
      <c r="G2515" t="inlineStr">
        <is>
          <t>VIMMERBY</t>
        </is>
      </c>
      <c r="I2515" t="n">
        <v>5.6</v>
      </c>
      <c r="J2515" t="n">
        <v>0</v>
      </c>
      <c r="K2515" t="n">
        <v>0</v>
      </c>
      <c r="L2515" t="n">
        <v>0</v>
      </c>
      <c r="M2515" t="n">
        <v>0</v>
      </c>
      <c r="N2515" t="n">
        <v>0</v>
      </c>
      <c r="O2515" t="n">
        <v>0</v>
      </c>
      <c r="P2515" t="n">
        <v>0</v>
      </c>
      <c r="Q2515" t="n">
        <v>0</v>
      </c>
      <c r="R2515" t="n">
        <v>0</v>
      </c>
      <c r="S2515" t="n">
        <v>0</v>
      </c>
      <c r="T2515" t="n">
        <v>0</v>
      </c>
      <c r="U2515" t="n">
        <v>0</v>
      </c>
      <c r="V2515" s="2" t="inlineStr"/>
    </row>
    <row r="2516" ht="15" customHeight="1">
      <c r="A2516" t="inlineStr">
        <is>
          <t>A 38814-2022</t>
        </is>
      </c>
      <c r="B2516" t="inlineStr">
        <is>
          <t>avverkningsanmälan</t>
        </is>
      </c>
      <c r="C2516" t="inlineStr">
        <is>
          <t>Föryngringsavverkning</t>
        </is>
      </c>
      <c r="D2516" s="1" t="n">
        <v>44816</v>
      </c>
      <c r="E2516" s="1" t="n">
        <v>46323</v>
      </c>
      <c r="F2516" t="inlineStr">
        <is>
          <t>KALMAR LÄN</t>
        </is>
      </c>
      <c r="G2516" t="inlineStr">
        <is>
          <t>NYBRO</t>
        </is>
      </c>
      <c r="I2516" t="n">
        <v>0.5</v>
      </c>
      <c r="J2516" t="n">
        <v>0</v>
      </c>
      <c r="K2516" t="n">
        <v>0</v>
      </c>
      <c r="L2516" t="n">
        <v>0</v>
      </c>
      <c r="M2516" t="n">
        <v>0</v>
      </c>
      <c r="N2516" t="n">
        <v>0</v>
      </c>
      <c r="O2516" t="n">
        <v>0</v>
      </c>
      <c r="P2516" t="n">
        <v>0</v>
      </c>
      <c r="Q2516" t="n">
        <v>0</v>
      </c>
      <c r="R2516" t="n">
        <v>0</v>
      </c>
      <c r="S2516" t="n">
        <v>0</v>
      </c>
      <c r="T2516" t="n">
        <v>0</v>
      </c>
      <c r="U2516" t="n">
        <v>0</v>
      </c>
      <c r="V2516" s="2" t="inlineStr"/>
    </row>
    <row r="2517" ht="15" customHeight="1">
      <c r="A2517" t="inlineStr">
        <is>
          <t>A 24710-2025</t>
        </is>
      </c>
      <c r="B2517" t="inlineStr">
        <is>
          <t>avverkningsanmälan</t>
        </is>
      </c>
      <c r="C2517" t="inlineStr">
        <is>
          <t>Föryngringsavverkning</t>
        </is>
      </c>
      <c r="D2517" s="1" t="n">
        <v>45798</v>
      </c>
      <c r="E2517" s="1" t="n">
        <v>46323</v>
      </c>
      <c r="F2517" t="inlineStr">
        <is>
          <t>KALMAR LÄN</t>
        </is>
      </c>
      <c r="G2517" t="inlineStr">
        <is>
          <t>NYBRO</t>
        </is>
      </c>
      <c r="I2517" t="n">
        <v>16</v>
      </c>
      <c r="J2517" t="n">
        <v>0</v>
      </c>
      <c r="K2517" t="n">
        <v>0</v>
      </c>
      <c r="L2517" t="n">
        <v>0</v>
      </c>
      <c r="M2517" t="n">
        <v>0</v>
      </c>
      <c r="N2517" t="n">
        <v>0</v>
      </c>
      <c r="O2517" t="n">
        <v>0</v>
      </c>
      <c r="P2517" t="n">
        <v>0</v>
      </c>
      <c r="Q2517" t="n">
        <v>0</v>
      </c>
      <c r="R2517" t="n">
        <v>0</v>
      </c>
      <c r="S2517" t="n">
        <v>0</v>
      </c>
      <c r="T2517" t="n">
        <v>0</v>
      </c>
      <c r="U2517" t="n">
        <v>0</v>
      </c>
      <c r="V2517" s="2" t="inlineStr"/>
    </row>
    <row r="2518" ht="15" customHeight="1">
      <c r="A2518" t="inlineStr">
        <is>
          <t>A 56919-2022</t>
        </is>
      </c>
      <c r="B2518" t="inlineStr">
        <is>
          <t>avverkningsanmälan</t>
        </is>
      </c>
      <c r="C2518" t="inlineStr">
        <is>
          <t>Föryngringsavverkning</t>
        </is>
      </c>
      <c r="D2518" s="1" t="n">
        <v>44894</v>
      </c>
      <c r="E2518" s="1" t="n">
        <v>46323</v>
      </c>
      <c r="F2518" t="inlineStr">
        <is>
          <t>KALMAR LÄN</t>
        </is>
      </c>
      <c r="G2518" t="inlineStr">
        <is>
          <t>HULTSFRED</t>
        </is>
      </c>
      <c r="I2518" t="n">
        <v>1.1</v>
      </c>
      <c r="J2518" t="n">
        <v>0</v>
      </c>
      <c r="K2518" t="n">
        <v>0</v>
      </c>
      <c r="L2518" t="n">
        <v>0</v>
      </c>
      <c r="M2518" t="n">
        <v>0</v>
      </c>
      <c r="N2518" t="n">
        <v>0</v>
      </c>
      <c r="O2518" t="n">
        <v>0</v>
      </c>
      <c r="P2518" t="n">
        <v>0</v>
      </c>
      <c r="Q2518" t="n">
        <v>0</v>
      </c>
      <c r="R2518" t="n">
        <v>0</v>
      </c>
      <c r="S2518" t="n">
        <v>0</v>
      </c>
      <c r="T2518" t="n">
        <v>0</v>
      </c>
      <c r="U2518" t="n">
        <v>0</v>
      </c>
      <c r="V2518" s="2" t="inlineStr"/>
    </row>
    <row r="2519" ht="15" customHeight="1">
      <c r="A2519" t="inlineStr">
        <is>
          <t>A 34066-2024</t>
        </is>
      </c>
      <c r="B2519" t="inlineStr">
        <is>
          <t>avverkningsanmälan</t>
        </is>
      </c>
      <c r="C2519" t="inlineStr">
        <is>
          <t>Föryngringsavverkning</t>
        </is>
      </c>
      <c r="D2519" s="1" t="n">
        <v>45523</v>
      </c>
      <c r="E2519" s="1" t="n">
        <v>46323</v>
      </c>
      <c r="F2519" t="inlineStr">
        <is>
          <t>KALMAR LÄN</t>
        </is>
      </c>
      <c r="G2519" t="inlineStr">
        <is>
          <t>OSKARSHAMN</t>
        </is>
      </c>
      <c r="I2519" t="n">
        <v>2</v>
      </c>
      <c r="J2519" t="n">
        <v>0</v>
      </c>
      <c r="K2519" t="n">
        <v>0</v>
      </c>
      <c r="L2519" t="n">
        <v>0</v>
      </c>
      <c r="M2519" t="n">
        <v>0</v>
      </c>
      <c r="N2519" t="n">
        <v>0</v>
      </c>
      <c r="O2519" t="n">
        <v>0</v>
      </c>
      <c r="P2519" t="n">
        <v>0</v>
      </c>
      <c r="Q2519" t="n">
        <v>0</v>
      </c>
      <c r="R2519" t="n">
        <v>0</v>
      </c>
      <c r="S2519" t="n">
        <v>0</v>
      </c>
      <c r="T2519" t="n">
        <v>0</v>
      </c>
      <c r="U2519" t="n">
        <v>0</v>
      </c>
      <c r="V2519" s="2" t="inlineStr"/>
    </row>
    <row r="2520" ht="15" customHeight="1">
      <c r="A2520" t="inlineStr">
        <is>
          <t>A 35710-2023</t>
        </is>
      </c>
      <c r="B2520" t="inlineStr">
        <is>
          <t>avverkningsanmälan</t>
        </is>
      </c>
      <c r="C2520" t="inlineStr">
        <is>
          <t>Föryngringsavverkning</t>
        </is>
      </c>
      <c r="D2520" s="1" t="n">
        <v>45147</v>
      </c>
      <c r="E2520" s="1" t="n">
        <v>46323</v>
      </c>
      <c r="F2520" t="inlineStr">
        <is>
          <t>KALMAR LÄN</t>
        </is>
      </c>
      <c r="G2520" t="inlineStr">
        <is>
          <t>VIMMERBY</t>
        </is>
      </c>
      <c r="I2520" t="n">
        <v>3.1</v>
      </c>
      <c r="J2520" t="n">
        <v>0</v>
      </c>
      <c r="K2520" t="n">
        <v>0</v>
      </c>
      <c r="L2520" t="n">
        <v>0</v>
      </c>
      <c r="M2520" t="n">
        <v>0</v>
      </c>
      <c r="N2520" t="n">
        <v>0</v>
      </c>
      <c r="O2520" t="n">
        <v>0</v>
      </c>
      <c r="P2520" t="n">
        <v>0</v>
      </c>
      <c r="Q2520" t="n">
        <v>0</v>
      </c>
      <c r="R2520" t="n">
        <v>0</v>
      </c>
      <c r="S2520" t="n">
        <v>0</v>
      </c>
      <c r="T2520" t="n">
        <v>0</v>
      </c>
      <c r="U2520" t="n">
        <v>0</v>
      </c>
      <c r="V2520" s="2" t="inlineStr"/>
    </row>
    <row r="2521" ht="15" customHeight="1">
      <c r="A2521" t="inlineStr">
        <is>
          <t>A 27546-2024</t>
        </is>
      </c>
      <c r="B2521" t="inlineStr">
        <is>
          <t>avverkningsanmälan</t>
        </is>
      </c>
      <c r="C2521" t="inlineStr">
        <is>
          <t>Föryngringsavverkning</t>
        </is>
      </c>
      <c r="D2521" s="1" t="n">
        <v>45474</v>
      </c>
      <c r="E2521" s="1" t="n">
        <v>46323</v>
      </c>
      <c r="F2521" t="inlineStr">
        <is>
          <t>KALMAR LÄN</t>
        </is>
      </c>
      <c r="G2521" t="inlineStr">
        <is>
          <t>TORSÅS</t>
        </is>
      </c>
      <c r="I2521" t="n">
        <v>3.6</v>
      </c>
      <c r="J2521" t="n">
        <v>0</v>
      </c>
      <c r="K2521" t="n">
        <v>0</v>
      </c>
      <c r="L2521" t="n">
        <v>0</v>
      </c>
      <c r="M2521" t="n">
        <v>0</v>
      </c>
      <c r="N2521" t="n">
        <v>0</v>
      </c>
      <c r="O2521" t="n">
        <v>0</v>
      </c>
      <c r="P2521" t="n">
        <v>0</v>
      </c>
      <c r="Q2521" t="n">
        <v>0</v>
      </c>
      <c r="R2521" t="n">
        <v>0</v>
      </c>
      <c r="S2521" t="n">
        <v>0</v>
      </c>
      <c r="T2521" t="n">
        <v>0</v>
      </c>
      <c r="U2521" t="n">
        <v>0</v>
      </c>
      <c r="V2521" s="2" t="inlineStr"/>
    </row>
    <row r="2522" ht="15" customHeight="1">
      <c r="A2522" t="inlineStr">
        <is>
          <t>A 35711-2023</t>
        </is>
      </c>
      <c r="B2522" t="inlineStr">
        <is>
          <t>avverkningsanmälan</t>
        </is>
      </c>
      <c r="C2522" t="inlineStr">
        <is>
          <t>Föryngringsavverkning</t>
        </is>
      </c>
      <c r="D2522" s="1" t="n">
        <v>45147</v>
      </c>
      <c r="E2522" s="1" t="n">
        <v>46323</v>
      </c>
      <c r="F2522" t="inlineStr">
        <is>
          <t>KALMAR LÄN</t>
        </is>
      </c>
      <c r="G2522" t="inlineStr">
        <is>
          <t>VIMMERBY</t>
        </is>
      </c>
      <c r="I2522" t="n">
        <v>1</v>
      </c>
      <c r="J2522" t="n">
        <v>0</v>
      </c>
      <c r="K2522" t="n">
        <v>0</v>
      </c>
      <c r="L2522" t="n">
        <v>0</v>
      </c>
      <c r="M2522" t="n">
        <v>0</v>
      </c>
      <c r="N2522" t="n">
        <v>0</v>
      </c>
      <c r="O2522" t="n">
        <v>0</v>
      </c>
      <c r="P2522" t="n">
        <v>0</v>
      </c>
      <c r="Q2522" t="n">
        <v>0</v>
      </c>
      <c r="R2522" t="n">
        <v>0</v>
      </c>
      <c r="S2522" t="n">
        <v>0</v>
      </c>
      <c r="T2522" t="n">
        <v>0</v>
      </c>
      <c r="U2522" t="n">
        <v>0</v>
      </c>
      <c r="V2522" s="2" t="inlineStr"/>
    </row>
    <row r="2523" ht="15" customHeight="1">
      <c r="A2523" t="inlineStr">
        <is>
          <t>A 35134-2025</t>
        </is>
      </c>
      <c r="B2523" t="inlineStr">
        <is>
          <t>avverkningsanmälan</t>
        </is>
      </c>
      <c r="C2523" t="inlineStr">
        <is>
          <t>Föryngringsavverkning</t>
        </is>
      </c>
      <c r="D2523" s="1" t="n">
        <v>45852</v>
      </c>
      <c r="E2523" s="1" t="n">
        <v>46323</v>
      </c>
      <c r="F2523" t="inlineStr">
        <is>
          <t>KALMAR LÄN</t>
        </is>
      </c>
      <c r="G2523" t="inlineStr">
        <is>
          <t>NYBRO</t>
        </is>
      </c>
      <c r="I2523" t="n">
        <v>1.5</v>
      </c>
      <c r="J2523" t="n">
        <v>0</v>
      </c>
      <c r="K2523" t="n">
        <v>0</v>
      </c>
      <c r="L2523" t="n">
        <v>0</v>
      </c>
      <c r="M2523" t="n">
        <v>0</v>
      </c>
      <c r="N2523" t="n">
        <v>0</v>
      </c>
      <c r="O2523" t="n">
        <v>0</v>
      </c>
      <c r="P2523" t="n">
        <v>0</v>
      </c>
      <c r="Q2523" t="n">
        <v>0</v>
      </c>
      <c r="R2523" t="n">
        <v>0</v>
      </c>
      <c r="S2523" t="n">
        <v>0</v>
      </c>
      <c r="T2523" t="n">
        <v>0</v>
      </c>
      <c r="U2523" t="n">
        <v>0</v>
      </c>
      <c r="V2523" s="2" t="inlineStr"/>
    </row>
    <row r="2524" ht="15" customHeight="1">
      <c r="A2524" t="inlineStr">
        <is>
          <t>A 27551-2024</t>
        </is>
      </c>
      <c r="B2524" t="inlineStr">
        <is>
          <t>avverkningsanmälan</t>
        </is>
      </c>
      <c r="C2524" t="inlineStr">
        <is>
          <t>Föryngringsavverkning</t>
        </is>
      </c>
      <c r="D2524" s="1" t="n">
        <v>45474</v>
      </c>
      <c r="E2524" s="1" t="n">
        <v>46323</v>
      </c>
      <c r="F2524" t="inlineStr">
        <is>
          <t>KALMAR LÄN</t>
        </is>
      </c>
      <c r="G2524" t="inlineStr">
        <is>
          <t>EMMABODA</t>
        </is>
      </c>
      <c r="I2524" t="n">
        <v>0.5</v>
      </c>
      <c r="J2524" t="n">
        <v>0</v>
      </c>
      <c r="K2524" t="n">
        <v>0</v>
      </c>
      <c r="L2524" t="n">
        <v>0</v>
      </c>
      <c r="M2524" t="n">
        <v>0</v>
      </c>
      <c r="N2524" t="n">
        <v>0</v>
      </c>
      <c r="O2524" t="n">
        <v>0</v>
      </c>
      <c r="P2524" t="n">
        <v>0</v>
      </c>
      <c r="Q2524" t="n">
        <v>0</v>
      </c>
      <c r="R2524" t="n">
        <v>0</v>
      </c>
      <c r="S2524" t="n">
        <v>0</v>
      </c>
      <c r="T2524" t="n">
        <v>0</v>
      </c>
      <c r="U2524" t="n">
        <v>0</v>
      </c>
      <c r="V2524" s="2" t="inlineStr"/>
    </row>
    <row r="2525" ht="15" customHeight="1">
      <c r="A2525" t="inlineStr">
        <is>
          <t>A 60056-2023</t>
        </is>
      </c>
      <c r="B2525" t="inlineStr">
        <is>
          <t>avverkningsanmälan</t>
        </is>
      </c>
      <c r="C2525" t="inlineStr">
        <is>
          <t>Avverkning för annat ändamål</t>
        </is>
      </c>
      <c r="D2525" s="1" t="n">
        <v>45258</v>
      </c>
      <c r="E2525" s="1" t="n">
        <v>46323</v>
      </c>
      <c r="F2525" t="inlineStr">
        <is>
          <t>KALMAR LÄN</t>
        </is>
      </c>
      <c r="G2525" t="inlineStr">
        <is>
          <t>VÄSTERVIK</t>
        </is>
      </c>
      <c r="I2525" t="n">
        <v>0.4</v>
      </c>
      <c r="J2525" t="n">
        <v>0</v>
      </c>
      <c r="K2525" t="n">
        <v>0</v>
      </c>
      <c r="L2525" t="n">
        <v>0</v>
      </c>
      <c r="M2525" t="n">
        <v>0</v>
      </c>
      <c r="N2525" t="n">
        <v>0</v>
      </c>
      <c r="O2525" t="n">
        <v>0</v>
      </c>
      <c r="P2525" t="n">
        <v>0</v>
      </c>
      <c r="Q2525" t="n">
        <v>0</v>
      </c>
      <c r="R2525" t="n">
        <v>0</v>
      </c>
      <c r="S2525" t="n">
        <v>0</v>
      </c>
      <c r="T2525" t="n">
        <v>0</v>
      </c>
      <c r="U2525" t="n">
        <v>0</v>
      </c>
      <c r="V2525" s="2" t="inlineStr"/>
    </row>
    <row r="2526" ht="15" customHeight="1">
      <c r="A2526" t="inlineStr">
        <is>
          <t>A 49627-2023</t>
        </is>
      </c>
      <c r="B2526" t="inlineStr">
        <is>
          <t>avverkningsanmälan</t>
        </is>
      </c>
      <c r="C2526" t="inlineStr">
        <is>
          <t>Föryngringsavverkning</t>
        </is>
      </c>
      <c r="D2526" s="1" t="n">
        <v>45211</v>
      </c>
      <c r="E2526" s="1" t="n">
        <v>46323</v>
      </c>
      <c r="F2526" t="inlineStr">
        <is>
          <t>KALMAR LÄN</t>
        </is>
      </c>
      <c r="G2526" t="inlineStr">
        <is>
          <t>EMMABODA</t>
        </is>
      </c>
      <c r="I2526" t="n">
        <v>2.4</v>
      </c>
      <c r="J2526" t="n">
        <v>0</v>
      </c>
      <c r="K2526" t="n">
        <v>0</v>
      </c>
      <c r="L2526" t="n">
        <v>0</v>
      </c>
      <c r="M2526" t="n">
        <v>0</v>
      </c>
      <c r="N2526" t="n">
        <v>0</v>
      </c>
      <c r="O2526" t="n">
        <v>0</v>
      </c>
      <c r="P2526" t="n">
        <v>0</v>
      </c>
      <c r="Q2526" t="n">
        <v>0</v>
      </c>
      <c r="R2526" t="n">
        <v>0</v>
      </c>
      <c r="S2526" t="n">
        <v>0</v>
      </c>
      <c r="T2526" t="n">
        <v>0</v>
      </c>
      <c r="U2526" t="n">
        <v>0</v>
      </c>
      <c r="V2526" s="2" t="inlineStr"/>
    </row>
    <row r="2527" ht="15" customHeight="1">
      <c r="A2527" t="inlineStr">
        <is>
          <t>A 9587-2025</t>
        </is>
      </c>
      <c r="B2527" t="inlineStr">
        <is>
          <t>avverkningsanmälan</t>
        </is>
      </c>
      <c r="C2527" t="inlineStr">
        <is>
          <t>Föryngringsavverkning</t>
        </is>
      </c>
      <c r="D2527" s="1" t="n">
        <v>45715</v>
      </c>
      <c r="E2527" s="1" t="n">
        <v>46323</v>
      </c>
      <c r="F2527" t="inlineStr">
        <is>
          <t>KALMAR LÄN</t>
        </is>
      </c>
      <c r="G2527" t="inlineStr">
        <is>
          <t>HULTSFRED</t>
        </is>
      </c>
      <c r="H2527" t="inlineStr">
        <is>
          <t>Sveaskog</t>
        </is>
      </c>
      <c r="I2527" t="n">
        <v>1.8</v>
      </c>
      <c r="J2527" t="n">
        <v>0</v>
      </c>
      <c r="K2527" t="n">
        <v>0</v>
      </c>
      <c r="L2527" t="n">
        <v>0</v>
      </c>
      <c r="M2527" t="n">
        <v>0</v>
      </c>
      <c r="N2527" t="n">
        <v>0</v>
      </c>
      <c r="O2527" t="n">
        <v>0</v>
      </c>
      <c r="P2527" t="n">
        <v>0</v>
      </c>
      <c r="Q2527" t="n">
        <v>0</v>
      </c>
      <c r="R2527" t="n">
        <v>0</v>
      </c>
      <c r="S2527" t="n">
        <v>0</v>
      </c>
      <c r="T2527" t="n">
        <v>0</v>
      </c>
      <c r="U2527" t="n">
        <v>0</v>
      </c>
      <c r="V2527" s="2" t="inlineStr"/>
    </row>
    <row r="2528" ht="15" customHeight="1">
      <c r="A2528" t="inlineStr">
        <is>
          <t>A 6941-2025</t>
        </is>
      </c>
      <c r="B2528" t="inlineStr">
        <is>
          <t>avverkningsanmälan</t>
        </is>
      </c>
      <c r="C2528" t="inlineStr">
        <is>
          <t>Föryngringsavverkning</t>
        </is>
      </c>
      <c r="D2528" s="1" t="n">
        <v>45701</v>
      </c>
      <c r="E2528" s="1" t="n">
        <v>46323</v>
      </c>
      <c r="F2528" t="inlineStr">
        <is>
          <t>KALMAR LÄN</t>
        </is>
      </c>
      <c r="G2528" t="inlineStr">
        <is>
          <t>VÄSTERVIK</t>
        </is>
      </c>
      <c r="I2528" t="n">
        <v>1.3</v>
      </c>
      <c r="J2528" t="n">
        <v>0</v>
      </c>
      <c r="K2528" t="n">
        <v>0</v>
      </c>
      <c r="L2528" t="n">
        <v>0</v>
      </c>
      <c r="M2528" t="n">
        <v>0</v>
      </c>
      <c r="N2528" t="n">
        <v>0</v>
      </c>
      <c r="O2528" t="n">
        <v>0</v>
      </c>
      <c r="P2528" t="n">
        <v>0</v>
      </c>
      <c r="Q2528" t="n">
        <v>0</v>
      </c>
      <c r="R2528" t="n">
        <v>0</v>
      </c>
      <c r="S2528" t="n">
        <v>0</v>
      </c>
      <c r="T2528" t="n">
        <v>0</v>
      </c>
      <c r="U2528" t="n">
        <v>0</v>
      </c>
      <c r="V2528" s="2" t="inlineStr"/>
    </row>
    <row r="2529" ht="15" customHeight="1">
      <c r="A2529" t="inlineStr">
        <is>
          <t>A 21507-2023</t>
        </is>
      </c>
      <c r="B2529" t="inlineStr">
        <is>
          <t>avverkningsanmälan</t>
        </is>
      </c>
      <c r="C2529" t="inlineStr">
        <is>
          <t>Föryngringsavverkning</t>
        </is>
      </c>
      <c r="D2529" s="1" t="n">
        <v>45063</v>
      </c>
      <c r="E2529" s="1" t="n">
        <v>46323</v>
      </c>
      <c r="F2529" t="inlineStr">
        <is>
          <t>KALMAR LÄN</t>
        </is>
      </c>
      <c r="G2529" t="inlineStr">
        <is>
          <t>VIMMERBY</t>
        </is>
      </c>
      <c r="I2529" t="n">
        <v>2.8</v>
      </c>
      <c r="J2529" t="n">
        <v>0</v>
      </c>
      <c r="K2529" t="n">
        <v>0</v>
      </c>
      <c r="L2529" t="n">
        <v>0</v>
      </c>
      <c r="M2529" t="n">
        <v>0</v>
      </c>
      <c r="N2529" t="n">
        <v>0</v>
      </c>
      <c r="O2529" t="n">
        <v>0</v>
      </c>
      <c r="P2529" t="n">
        <v>0</v>
      </c>
      <c r="Q2529" t="n">
        <v>0</v>
      </c>
      <c r="R2529" t="n">
        <v>0</v>
      </c>
      <c r="S2529" t="n">
        <v>0</v>
      </c>
      <c r="T2529" t="n">
        <v>0</v>
      </c>
      <c r="U2529" t="n">
        <v>0</v>
      </c>
      <c r="V2529" s="2" t="inlineStr"/>
    </row>
    <row r="2530" ht="15" customHeight="1">
      <c r="A2530" t="inlineStr">
        <is>
          <t>A 51187-2023</t>
        </is>
      </c>
      <c r="B2530" t="inlineStr">
        <is>
          <t>avverkningsanmälan</t>
        </is>
      </c>
      <c r="C2530" t="inlineStr">
        <is>
          <t>Föryngringsavverkning</t>
        </is>
      </c>
      <c r="D2530" s="1" t="n">
        <v>45219</v>
      </c>
      <c r="E2530" s="1" t="n">
        <v>46323</v>
      </c>
      <c r="F2530" t="inlineStr">
        <is>
          <t>KALMAR LÄN</t>
        </is>
      </c>
      <c r="G2530" t="inlineStr">
        <is>
          <t>VIMMERBY</t>
        </is>
      </c>
      <c r="I2530" t="n">
        <v>0.6</v>
      </c>
      <c r="J2530" t="n">
        <v>0</v>
      </c>
      <c r="K2530" t="n">
        <v>0</v>
      </c>
      <c r="L2530" t="n">
        <v>0</v>
      </c>
      <c r="M2530" t="n">
        <v>0</v>
      </c>
      <c r="N2530" t="n">
        <v>0</v>
      </c>
      <c r="O2530" t="n">
        <v>0</v>
      </c>
      <c r="P2530" t="n">
        <v>0</v>
      </c>
      <c r="Q2530" t="n">
        <v>0</v>
      </c>
      <c r="R2530" t="n">
        <v>0</v>
      </c>
      <c r="S2530" t="n">
        <v>0</v>
      </c>
      <c r="T2530" t="n">
        <v>0</v>
      </c>
      <c r="U2530" t="n">
        <v>0</v>
      </c>
      <c r="V2530" s="2" t="inlineStr"/>
    </row>
    <row r="2531" ht="15" customHeight="1">
      <c r="A2531" t="inlineStr">
        <is>
          <t>A 5882-2023</t>
        </is>
      </c>
      <c r="B2531" t="inlineStr">
        <is>
          <t>avverkningsanmälan</t>
        </is>
      </c>
      <c r="C2531" t="inlineStr">
        <is>
          <t>Föryngringsavverkning</t>
        </is>
      </c>
      <c r="D2531" s="1" t="n">
        <v>44963</v>
      </c>
      <c r="E2531" s="1" t="n">
        <v>46323</v>
      </c>
      <c r="F2531" t="inlineStr">
        <is>
          <t>KALMAR LÄN</t>
        </is>
      </c>
      <c r="G2531" t="inlineStr">
        <is>
          <t>OSKARSHAMN</t>
        </is>
      </c>
      <c r="I2531" t="n">
        <v>0.5</v>
      </c>
      <c r="J2531" t="n">
        <v>0</v>
      </c>
      <c r="K2531" t="n">
        <v>0</v>
      </c>
      <c r="L2531" t="n">
        <v>0</v>
      </c>
      <c r="M2531" t="n">
        <v>0</v>
      </c>
      <c r="N2531" t="n">
        <v>0</v>
      </c>
      <c r="O2531" t="n">
        <v>0</v>
      </c>
      <c r="P2531" t="n">
        <v>0</v>
      </c>
      <c r="Q2531" t="n">
        <v>0</v>
      </c>
      <c r="R2531" t="n">
        <v>0</v>
      </c>
      <c r="S2531" t="n">
        <v>0</v>
      </c>
      <c r="T2531" t="n">
        <v>0</v>
      </c>
      <c r="U2531" t="n">
        <v>0</v>
      </c>
      <c r="V2531" s="2" t="inlineStr"/>
    </row>
    <row r="2532" ht="15" customHeight="1">
      <c r="A2532" t="inlineStr">
        <is>
          <t>A 21938-2025</t>
        </is>
      </c>
      <c r="B2532" t="inlineStr">
        <is>
          <t>avverkningsanmälan</t>
        </is>
      </c>
      <c r="C2532" t="inlineStr">
        <is>
          <t>Föryngringsavverkning</t>
        </is>
      </c>
      <c r="D2532" s="1" t="n">
        <v>45784</v>
      </c>
      <c r="E2532" s="1" t="n">
        <v>46323</v>
      </c>
      <c r="F2532" t="inlineStr">
        <is>
          <t>KALMAR LÄN</t>
        </is>
      </c>
      <c r="G2532" t="inlineStr">
        <is>
          <t>OSKARSHAMN</t>
        </is>
      </c>
      <c r="I2532" t="n">
        <v>3.5</v>
      </c>
      <c r="J2532" t="n">
        <v>0</v>
      </c>
      <c r="K2532" t="n">
        <v>0</v>
      </c>
      <c r="L2532" t="n">
        <v>0</v>
      </c>
      <c r="M2532" t="n">
        <v>0</v>
      </c>
      <c r="N2532" t="n">
        <v>0</v>
      </c>
      <c r="O2532" t="n">
        <v>0</v>
      </c>
      <c r="P2532" t="n">
        <v>0</v>
      </c>
      <c r="Q2532" t="n">
        <v>0</v>
      </c>
      <c r="R2532" t="n">
        <v>0</v>
      </c>
      <c r="S2532" t="n">
        <v>0</v>
      </c>
      <c r="T2532" t="n">
        <v>0</v>
      </c>
      <c r="U2532" t="n">
        <v>0</v>
      </c>
      <c r="V2532" s="2" t="inlineStr"/>
    </row>
    <row r="2533" ht="15" customHeight="1">
      <c r="A2533" t="inlineStr">
        <is>
          <t>A 4074-2024</t>
        </is>
      </c>
      <c r="B2533" t="inlineStr">
        <is>
          <t>avverkningsanmälan</t>
        </is>
      </c>
      <c r="C2533" t="inlineStr">
        <is>
          <t>Avverkning för annat ändamål</t>
        </is>
      </c>
      <c r="D2533" s="1" t="n">
        <v>45323</v>
      </c>
      <c r="E2533" s="1" t="n">
        <v>46323</v>
      </c>
      <c r="F2533" t="inlineStr">
        <is>
          <t>KALMAR LÄN</t>
        </is>
      </c>
      <c r="G2533" t="inlineStr">
        <is>
          <t>OSKARSHAMN</t>
        </is>
      </c>
      <c r="I2533" t="n">
        <v>1.8</v>
      </c>
      <c r="J2533" t="n">
        <v>0</v>
      </c>
      <c r="K2533" t="n">
        <v>0</v>
      </c>
      <c r="L2533" t="n">
        <v>0</v>
      </c>
      <c r="M2533" t="n">
        <v>0</v>
      </c>
      <c r="N2533" t="n">
        <v>0</v>
      </c>
      <c r="O2533" t="n">
        <v>0</v>
      </c>
      <c r="P2533" t="n">
        <v>0</v>
      </c>
      <c r="Q2533" t="n">
        <v>0</v>
      </c>
      <c r="R2533" t="n">
        <v>0</v>
      </c>
      <c r="S2533" t="n">
        <v>0</v>
      </c>
      <c r="T2533" t="n">
        <v>0</v>
      </c>
      <c r="U2533" t="n">
        <v>0</v>
      </c>
      <c r="V2533" s="2" t="inlineStr"/>
    </row>
    <row r="2534" ht="15" customHeight="1">
      <c r="A2534" t="inlineStr">
        <is>
          <t>A 26260-2025</t>
        </is>
      </c>
      <c r="B2534" t="inlineStr">
        <is>
          <t>avverkningsanmälan</t>
        </is>
      </c>
      <c r="C2534" t="inlineStr">
        <is>
          <t>Föryngringsavverkning</t>
        </is>
      </c>
      <c r="D2534" s="1" t="n">
        <v>45805</v>
      </c>
      <c r="E2534" s="1" t="n">
        <v>46323</v>
      </c>
      <c r="F2534" t="inlineStr">
        <is>
          <t>KALMAR LÄN</t>
        </is>
      </c>
      <c r="G2534" t="inlineStr">
        <is>
          <t>OSKARSHAMN</t>
        </is>
      </c>
      <c r="I2534" t="n">
        <v>1.6</v>
      </c>
      <c r="J2534" t="n">
        <v>0</v>
      </c>
      <c r="K2534" t="n">
        <v>0</v>
      </c>
      <c r="L2534" t="n">
        <v>0</v>
      </c>
      <c r="M2534" t="n">
        <v>0</v>
      </c>
      <c r="N2534" t="n">
        <v>0</v>
      </c>
      <c r="O2534" t="n">
        <v>0</v>
      </c>
      <c r="P2534" t="n">
        <v>0</v>
      </c>
      <c r="Q2534" t="n">
        <v>0</v>
      </c>
      <c r="R2534" t="n">
        <v>0</v>
      </c>
      <c r="S2534" t="n">
        <v>0</v>
      </c>
      <c r="T2534" t="n">
        <v>0</v>
      </c>
      <c r="U2534" t="n">
        <v>0</v>
      </c>
      <c r="V2534" s="2" t="inlineStr"/>
    </row>
    <row r="2535" ht="15" customHeight="1">
      <c r="A2535" t="inlineStr">
        <is>
          <t>A 30648-2022</t>
        </is>
      </c>
      <c r="B2535" t="inlineStr">
        <is>
          <t>avverkningsanmälan</t>
        </is>
      </c>
      <c r="C2535" t="inlineStr">
        <is>
          <t>Föryngringsavverkning</t>
        </is>
      </c>
      <c r="D2535" s="1" t="n">
        <v>44763</v>
      </c>
      <c r="E2535" s="1" t="n">
        <v>46323</v>
      </c>
      <c r="F2535" t="inlineStr">
        <is>
          <t>KALMAR LÄN</t>
        </is>
      </c>
      <c r="G2535" t="inlineStr">
        <is>
          <t>TORSÅS</t>
        </is>
      </c>
      <c r="I2535" t="n">
        <v>2.4</v>
      </c>
      <c r="J2535" t="n">
        <v>0</v>
      </c>
      <c r="K2535" t="n">
        <v>0</v>
      </c>
      <c r="L2535" t="n">
        <v>0</v>
      </c>
      <c r="M2535" t="n">
        <v>0</v>
      </c>
      <c r="N2535" t="n">
        <v>0</v>
      </c>
      <c r="O2535" t="n">
        <v>0</v>
      </c>
      <c r="P2535" t="n">
        <v>0</v>
      </c>
      <c r="Q2535" t="n">
        <v>0</v>
      </c>
      <c r="R2535" t="n">
        <v>0</v>
      </c>
      <c r="S2535" t="n">
        <v>0</v>
      </c>
      <c r="T2535" t="n">
        <v>0</v>
      </c>
      <c r="U2535" t="n">
        <v>0</v>
      </c>
      <c r="V2535" s="2" t="inlineStr"/>
    </row>
    <row r="2536" ht="15" customHeight="1">
      <c r="A2536" t="inlineStr">
        <is>
          <t>A 41633-2023</t>
        </is>
      </c>
      <c r="B2536" t="inlineStr">
        <is>
          <t>avverkningsanmälan</t>
        </is>
      </c>
      <c r="C2536" t="inlineStr">
        <is>
          <t>Föryngringsavverkning</t>
        </is>
      </c>
      <c r="D2536" s="1" t="n">
        <v>45175</v>
      </c>
      <c r="E2536" s="1" t="n">
        <v>46323</v>
      </c>
      <c r="F2536" t="inlineStr">
        <is>
          <t>KALMAR LÄN</t>
        </is>
      </c>
      <c r="G2536" t="inlineStr">
        <is>
          <t>KALMAR</t>
        </is>
      </c>
      <c r="I2536" t="n">
        <v>2</v>
      </c>
      <c r="J2536" t="n">
        <v>0</v>
      </c>
      <c r="K2536" t="n">
        <v>0</v>
      </c>
      <c r="L2536" t="n">
        <v>0</v>
      </c>
      <c r="M2536" t="n">
        <v>0</v>
      </c>
      <c r="N2536" t="n">
        <v>0</v>
      </c>
      <c r="O2536" t="n">
        <v>0</v>
      </c>
      <c r="P2536" t="n">
        <v>0</v>
      </c>
      <c r="Q2536" t="n">
        <v>0</v>
      </c>
      <c r="R2536" t="n">
        <v>0</v>
      </c>
      <c r="S2536" t="n">
        <v>0</v>
      </c>
      <c r="T2536" t="n">
        <v>0</v>
      </c>
      <c r="U2536" t="n">
        <v>0</v>
      </c>
      <c r="V2536" s="2" t="inlineStr"/>
    </row>
    <row r="2537" ht="15" customHeight="1">
      <c r="A2537" t="inlineStr">
        <is>
          <t>A 27600-2023</t>
        </is>
      </c>
      <c r="B2537" t="inlineStr">
        <is>
          <t>avverkningsanmälan</t>
        </is>
      </c>
      <c r="C2537" t="inlineStr">
        <is>
          <t>Föryngringsavverkning</t>
        </is>
      </c>
      <c r="D2537" s="1" t="n">
        <v>45097</v>
      </c>
      <c r="E2537" s="1" t="n">
        <v>46323</v>
      </c>
      <c r="F2537" t="inlineStr">
        <is>
          <t>KALMAR LÄN</t>
        </is>
      </c>
      <c r="G2537" t="inlineStr">
        <is>
          <t>KALMAR</t>
        </is>
      </c>
      <c r="I2537" t="n">
        <v>4.8</v>
      </c>
      <c r="J2537" t="n">
        <v>0</v>
      </c>
      <c r="K2537" t="n">
        <v>0</v>
      </c>
      <c r="L2537" t="n">
        <v>0</v>
      </c>
      <c r="M2537" t="n">
        <v>0</v>
      </c>
      <c r="N2537" t="n">
        <v>0</v>
      </c>
      <c r="O2537" t="n">
        <v>0</v>
      </c>
      <c r="P2537" t="n">
        <v>0</v>
      </c>
      <c r="Q2537" t="n">
        <v>0</v>
      </c>
      <c r="R2537" t="n">
        <v>0</v>
      </c>
      <c r="S2537" t="n">
        <v>0</v>
      </c>
      <c r="T2537" t="n">
        <v>0</v>
      </c>
      <c r="U2537" t="n">
        <v>0</v>
      </c>
      <c r="V2537" s="2" t="inlineStr"/>
    </row>
    <row r="2538" ht="15" customHeight="1">
      <c r="A2538" t="inlineStr">
        <is>
          <t>A 55716-2023</t>
        </is>
      </c>
      <c r="B2538" t="inlineStr">
        <is>
          <t>avverkningsanmälan</t>
        </is>
      </c>
      <c r="C2538" t="inlineStr">
        <is>
          <t>Avverkning för att bevara och utveckla /försöksver</t>
        </is>
      </c>
      <c r="D2538" s="1" t="n">
        <v>45232</v>
      </c>
      <c r="E2538" s="1" t="n">
        <v>46323</v>
      </c>
      <c r="F2538" t="inlineStr">
        <is>
          <t>KALMAR LÄN</t>
        </is>
      </c>
      <c r="G2538" t="inlineStr">
        <is>
          <t>VIMMERBY</t>
        </is>
      </c>
      <c r="I2538" t="n">
        <v>2.3</v>
      </c>
      <c r="J2538" t="n">
        <v>0</v>
      </c>
      <c r="K2538" t="n">
        <v>0</v>
      </c>
      <c r="L2538" t="n">
        <v>0</v>
      </c>
      <c r="M2538" t="n">
        <v>0</v>
      </c>
      <c r="N2538" t="n">
        <v>0</v>
      </c>
      <c r="O2538" t="n">
        <v>0</v>
      </c>
      <c r="P2538" t="n">
        <v>0</v>
      </c>
      <c r="Q2538" t="n">
        <v>0</v>
      </c>
      <c r="R2538" t="n">
        <v>0</v>
      </c>
      <c r="S2538" t="n">
        <v>0</v>
      </c>
      <c r="T2538" t="n">
        <v>0</v>
      </c>
      <c r="U2538" t="n">
        <v>0</v>
      </c>
      <c r="V2538" s="2" t="inlineStr"/>
    </row>
    <row r="2539" ht="15" customHeight="1">
      <c r="A2539" t="inlineStr">
        <is>
          <t>A 17623-2023</t>
        </is>
      </c>
      <c r="B2539" t="inlineStr">
        <is>
          <t>avverkningsanmälan</t>
        </is>
      </c>
      <c r="C2539" t="inlineStr">
        <is>
          <t>Föryngringsavverkning</t>
        </is>
      </c>
      <c r="D2539" s="1" t="n">
        <v>45036</v>
      </c>
      <c r="E2539" s="1" t="n">
        <v>46323</v>
      </c>
      <c r="F2539" t="inlineStr">
        <is>
          <t>KALMAR LÄN</t>
        </is>
      </c>
      <c r="G2539" t="inlineStr">
        <is>
          <t>OSKARSHAMN</t>
        </is>
      </c>
      <c r="I2539" t="n">
        <v>2.2</v>
      </c>
      <c r="J2539" t="n">
        <v>0</v>
      </c>
      <c r="K2539" t="n">
        <v>0</v>
      </c>
      <c r="L2539" t="n">
        <v>0</v>
      </c>
      <c r="M2539" t="n">
        <v>0</v>
      </c>
      <c r="N2539" t="n">
        <v>0</v>
      </c>
      <c r="O2539" t="n">
        <v>0</v>
      </c>
      <c r="P2539" t="n">
        <v>0</v>
      </c>
      <c r="Q2539" t="n">
        <v>0</v>
      </c>
      <c r="R2539" t="n">
        <v>0</v>
      </c>
      <c r="S2539" t="n">
        <v>0</v>
      </c>
      <c r="T2539" t="n">
        <v>0</v>
      </c>
      <c r="U2539" t="n">
        <v>0</v>
      </c>
      <c r="V2539" s="2" t="inlineStr"/>
    </row>
    <row r="2540" ht="15" customHeight="1">
      <c r="A2540" t="inlineStr">
        <is>
          <t>A 53999-2022</t>
        </is>
      </c>
      <c r="B2540" t="inlineStr">
        <is>
          <t>avverkningsanmälan</t>
        </is>
      </c>
      <c r="C2540" t="inlineStr">
        <is>
          <t>Föryngringsavverkning</t>
        </is>
      </c>
      <c r="D2540" s="1" t="n">
        <v>44881</v>
      </c>
      <c r="E2540" s="1" t="n">
        <v>46323</v>
      </c>
      <c r="F2540" t="inlineStr">
        <is>
          <t>KALMAR LÄN</t>
        </is>
      </c>
      <c r="G2540" t="inlineStr">
        <is>
          <t>NYBRO</t>
        </is>
      </c>
      <c r="I2540" t="n">
        <v>2.1</v>
      </c>
      <c r="J2540" t="n">
        <v>0</v>
      </c>
      <c r="K2540" t="n">
        <v>0</v>
      </c>
      <c r="L2540" t="n">
        <v>0</v>
      </c>
      <c r="M2540" t="n">
        <v>0</v>
      </c>
      <c r="N2540" t="n">
        <v>0</v>
      </c>
      <c r="O2540" t="n">
        <v>0</v>
      </c>
      <c r="P2540" t="n">
        <v>0</v>
      </c>
      <c r="Q2540" t="n">
        <v>0</v>
      </c>
      <c r="R2540" t="n">
        <v>0</v>
      </c>
      <c r="S2540" t="n">
        <v>0</v>
      </c>
      <c r="T2540" t="n">
        <v>0</v>
      </c>
      <c r="U2540" t="n">
        <v>0</v>
      </c>
      <c r="V2540" s="2" t="inlineStr"/>
    </row>
    <row r="2541" ht="15" customHeight="1">
      <c r="A2541" t="inlineStr">
        <is>
          <t>A 45412-2022</t>
        </is>
      </c>
      <c r="B2541" t="inlineStr">
        <is>
          <t>avverkningsanmälan</t>
        </is>
      </c>
      <c r="C2541" t="inlineStr">
        <is>
          <t>Föryngringsavverkning</t>
        </is>
      </c>
      <c r="D2541" s="1" t="n">
        <v>44844</v>
      </c>
      <c r="E2541" s="1" t="n">
        <v>46323</v>
      </c>
      <c r="F2541" t="inlineStr">
        <is>
          <t>KALMAR LÄN</t>
        </is>
      </c>
      <c r="G2541" t="inlineStr">
        <is>
          <t>NYBRO</t>
        </is>
      </c>
      <c r="I2541" t="n">
        <v>8.300000000000001</v>
      </c>
      <c r="J2541" t="n">
        <v>0</v>
      </c>
      <c r="K2541" t="n">
        <v>0</v>
      </c>
      <c r="L2541" t="n">
        <v>0</v>
      </c>
      <c r="M2541" t="n">
        <v>0</v>
      </c>
      <c r="N2541" t="n">
        <v>0</v>
      </c>
      <c r="O2541" t="n">
        <v>0</v>
      </c>
      <c r="P2541" t="n">
        <v>0</v>
      </c>
      <c r="Q2541" t="n">
        <v>0</v>
      </c>
      <c r="R2541" t="n">
        <v>0</v>
      </c>
      <c r="S2541" t="n">
        <v>0</v>
      </c>
      <c r="T2541" t="n">
        <v>0</v>
      </c>
      <c r="U2541" t="n">
        <v>0</v>
      </c>
      <c r="V2541" s="2" t="inlineStr"/>
    </row>
    <row r="2542" ht="15" customHeight="1">
      <c r="A2542" t="inlineStr">
        <is>
          <t>A 46790-2022</t>
        </is>
      </c>
      <c r="B2542" t="inlineStr">
        <is>
          <t>avverkningsanmälan</t>
        </is>
      </c>
      <c r="C2542" t="inlineStr">
        <is>
          <t>Föryngringsavverkning</t>
        </is>
      </c>
      <c r="D2542" s="1" t="n">
        <v>44851</v>
      </c>
      <c r="E2542" s="1" t="n">
        <v>46323</v>
      </c>
      <c r="F2542" t="inlineStr">
        <is>
          <t>KALMAR LÄN</t>
        </is>
      </c>
      <c r="G2542" t="inlineStr">
        <is>
          <t>VÄSTERVIK</t>
        </is>
      </c>
      <c r="I2542" t="n">
        <v>9.9</v>
      </c>
      <c r="J2542" t="n">
        <v>0</v>
      </c>
      <c r="K2542" t="n">
        <v>0</v>
      </c>
      <c r="L2542" t="n">
        <v>0</v>
      </c>
      <c r="M2542" t="n">
        <v>0</v>
      </c>
      <c r="N2542" t="n">
        <v>0</v>
      </c>
      <c r="O2542" t="n">
        <v>0</v>
      </c>
      <c r="P2542" t="n">
        <v>0</v>
      </c>
      <c r="Q2542" t="n">
        <v>0</v>
      </c>
      <c r="R2542" t="n">
        <v>0</v>
      </c>
      <c r="S2542" t="n">
        <v>0</v>
      </c>
      <c r="T2542" t="n">
        <v>0</v>
      </c>
      <c r="U2542" t="n">
        <v>0</v>
      </c>
      <c r="V2542" s="2" t="inlineStr"/>
    </row>
    <row r="2543" ht="15" customHeight="1">
      <c r="A2543" t="inlineStr">
        <is>
          <t>A 50127-2023</t>
        </is>
      </c>
      <c r="B2543" t="inlineStr">
        <is>
          <t>avverkningsanmälan</t>
        </is>
      </c>
      <c r="C2543" t="inlineStr">
        <is>
          <t>Föryngringsavverkning</t>
        </is>
      </c>
      <c r="D2543" s="1" t="n">
        <v>45215</v>
      </c>
      <c r="E2543" s="1" t="n">
        <v>46323</v>
      </c>
      <c r="F2543" t="inlineStr">
        <is>
          <t>KALMAR LÄN</t>
        </is>
      </c>
      <c r="G2543" t="inlineStr">
        <is>
          <t>VÄSTERVIK</t>
        </is>
      </c>
      <c r="I2543" t="n">
        <v>1.2</v>
      </c>
      <c r="J2543" t="n">
        <v>0</v>
      </c>
      <c r="K2543" t="n">
        <v>0</v>
      </c>
      <c r="L2543" t="n">
        <v>0</v>
      </c>
      <c r="M2543" t="n">
        <v>0</v>
      </c>
      <c r="N2543" t="n">
        <v>0</v>
      </c>
      <c r="O2543" t="n">
        <v>0</v>
      </c>
      <c r="P2543" t="n">
        <v>0</v>
      </c>
      <c r="Q2543" t="n">
        <v>0</v>
      </c>
      <c r="R2543" t="n">
        <v>0</v>
      </c>
      <c r="S2543" t="n">
        <v>0</v>
      </c>
      <c r="T2543" t="n">
        <v>0</v>
      </c>
      <c r="U2543" t="n">
        <v>0</v>
      </c>
      <c r="V2543" s="2" t="inlineStr"/>
    </row>
    <row r="2544" ht="15" customHeight="1">
      <c r="A2544" t="inlineStr">
        <is>
          <t>A 41950-2025</t>
        </is>
      </c>
      <c r="B2544" t="inlineStr">
        <is>
          <t>avverkningsanmälan</t>
        </is>
      </c>
      <c r="C2544" t="inlineStr">
        <is>
          <t>Föryngringsavverkning</t>
        </is>
      </c>
      <c r="D2544" s="1" t="n">
        <v>45903</v>
      </c>
      <c r="E2544" s="1" t="n">
        <v>46323</v>
      </c>
      <c r="F2544" t="inlineStr">
        <is>
          <t>KALMAR LÄN</t>
        </is>
      </c>
      <c r="G2544" t="inlineStr">
        <is>
          <t>BORGHOLM</t>
        </is>
      </c>
      <c r="I2544" t="n">
        <v>1.8</v>
      </c>
      <c r="J2544" t="n">
        <v>0</v>
      </c>
      <c r="K2544" t="n">
        <v>0</v>
      </c>
      <c r="L2544" t="n">
        <v>0</v>
      </c>
      <c r="M2544" t="n">
        <v>0</v>
      </c>
      <c r="N2544" t="n">
        <v>0</v>
      </c>
      <c r="O2544" t="n">
        <v>0</v>
      </c>
      <c r="P2544" t="n">
        <v>0</v>
      </c>
      <c r="Q2544" t="n">
        <v>0</v>
      </c>
      <c r="R2544" t="n">
        <v>0</v>
      </c>
      <c r="S2544" t="n">
        <v>0</v>
      </c>
      <c r="T2544" t="n">
        <v>0</v>
      </c>
      <c r="U2544" t="n">
        <v>0</v>
      </c>
      <c r="V2544" s="2" t="inlineStr"/>
    </row>
    <row r="2545" ht="15" customHeight="1">
      <c r="A2545" t="inlineStr">
        <is>
          <t>A 41880-2025</t>
        </is>
      </c>
      <c r="B2545" t="inlineStr">
        <is>
          <t>avverkningsanmälan</t>
        </is>
      </c>
      <c r="C2545" t="inlineStr">
        <is>
          <t>Föryngringsavverkning</t>
        </is>
      </c>
      <c r="D2545" s="1" t="n">
        <v>45903</v>
      </c>
      <c r="E2545" s="1" t="n">
        <v>46323</v>
      </c>
      <c r="F2545" t="inlineStr">
        <is>
          <t>KALMAR LÄN</t>
        </is>
      </c>
      <c r="G2545" t="inlineStr">
        <is>
          <t>MÖNSTERÅS</t>
        </is>
      </c>
      <c r="I2545" t="n">
        <v>0.7</v>
      </c>
      <c r="J2545" t="n">
        <v>0</v>
      </c>
      <c r="K2545" t="n">
        <v>0</v>
      </c>
      <c r="L2545" t="n">
        <v>0</v>
      </c>
      <c r="M2545" t="n">
        <v>0</v>
      </c>
      <c r="N2545" t="n">
        <v>0</v>
      </c>
      <c r="O2545" t="n">
        <v>0</v>
      </c>
      <c r="P2545" t="n">
        <v>0</v>
      </c>
      <c r="Q2545" t="n">
        <v>0</v>
      </c>
      <c r="R2545" t="n">
        <v>0</v>
      </c>
      <c r="S2545" t="n">
        <v>0</v>
      </c>
      <c r="T2545" t="n">
        <v>0</v>
      </c>
      <c r="U2545" t="n">
        <v>0</v>
      </c>
      <c r="V2545" s="2" t="inlineStr"/>
    </row>
    <row r="2546" ht="15" customHeight="1">
      <c r="A2546" t="inlineStr">
        <is>
          <t>A 19648-2025</t>
        </is>
      </c>
      <c r="B2546" t="inlineStr">
        <is>
          <t>avverkningsanmälan</t>
        </is>
      </c>
      <c r="C2546" t="inlineStr">
        <is>
          <t>Föryngringsavverkning</t>
        </is>
      </c>
      <c r="D2546" s="1" t="n">
        <v>45770</v>
      </c>
      <c r="E2546" s="1" t="n">
        <v>46323</v>
      </c>
      <c r="F2546" t="inlineStr">
        <is>
          <t>KALMAR LÄN</t>
        </is>
      </c>
      <c r="G2546" t="inlineStr">
        <is>
          <t>TORSÅS</t>
        </is>
      </c>
      <c r="I2546" t="n">
        <v>0.5</v>
      </c>
      <c r="J2546" t="n">
        <v>0</v>
      </c>
      <c r="K2546" t="n">
        <v>0</v>
      </c>
      <c r="L2546" t="n">
        <v>0</v>
      </c>
      <c r="M2546" t="n">
        <v>0</v>
      </c>
      <c r="N2546" t="n">
        <v>0</v>
      </c>
      <c r="O2546" t="n">
        <v>0</v>
      </c>
      <c r="P2546" t="n">
        <v>0</v>
      </c>
      <c r="Q2546" t="n">
        <v>0</v>
      </c>
      <c r="R2546" t="n">
        <v>0</v>
      </c>
      <c r="S2546" t="n">
        <v>0</v>
      </c>
      <c r="T2546" t="n">
        <v>0</v>
      </c>
      <c r="U2546" t="n">
        <v>0</v>
      </c>
      <c r="V2546" s="2" t="inlineStr"/>
    </row>
    <row r="2547" ht="15" customHeight="1">
      <c r="A2547" t="inlineStr">
        <is>
          <t>A 3549-2024</t>
        </is>
      </c>
      <c r="B2547" t="inlineStr">
        <is>
          <t>avverkningsanmälan</t>
        </is>
      </c>
      <c r="C2547" t="inlineStr">
        <is>
          <t>Föryngringsavverkning</t>
        </is>
      </c>
      <c r="D2547" s="1" t="n">
        <v>45320</v>
      </c>
      <c r="E2547" s="1" t="n">
        <v>46323</v>
      </c>
      <c r="F2547" t="inlineStr">
        <is>
          <t>KALMAR LÄN</t>
        </is>
      </c>
      <c r="G2547" t="inlineStr">
        <is>
          <t>HÖGSBY</t>
        </is>
      </c>
      <c r="I2547" t="n">
        <v>1.6</v>
      </c>
      <c r="J2547" t="n">
        <v>0</v>
      </c>
      <c r="K2547" t="n">
        <v>0</v>
      </c>
      <c r="L2547" t="n">
        <v>0</v>
      </c>
      <c r="M2547" t="n">
        <v>0</v>
      </c>
      <c r="N2547" t="n">
        <v>0</v>
      </c>
      <c r="O2547" t="n">
        <v>0</v>
      </c>
      <c r="P2547" t="n">
        <v>0</v>
      </c>
      <c r="Q2547" t="n">
        <v>0</v>
      </c>
      <c r="R2547" t="n">
        <v>0</v>
      </c>
      <c r="S2547" t="n">
        <v>0</v>
      </c>
      <c r="T2547" t="n">
        <v>0</v>
      </c>
      <c r="U2547" t="n">
        <v>0</v>
      </c>
      <c r="V2547" s="2" t="inlineStr"/>
    </row>
    <row r="2548" ht="15" customHeight="1">
      <c r="A2548" t="inlineStr">
        <is>
          <t>A 34386-2024</t>
        </is>
      </c>
      <c r="B2548" t="inlineStr">
        <is>
          <t>avverkningsanmälan</t>
        </is>
      </c>
      <c r="C2548" t="inlineStr">
        <is>
          <t>Föryngringsavverkning</t>
        </is>
      </c>
      <c r="D2548" s="1" t="n">
        <v>45525</v>
      </c>
      <c r="E2548" s="1" t="n">
        <v>46323</v>
      </c>
      <c r="F2548" t="inlineStr">
        <is>
          <t>KALMAR LÄN</t>
        </is>
      </c>
      <c r="G2548" t="inlineStr">
        <is>
          <t>VIMMERBY</t>
        </is>
      </c>
      <c r="I2548" t="n">
        <v>0.3</v>
      </c>
      <c r="J2548" t="n">
        <v>0</v>
      </c>
      <c r="K2548" t="n">
        <v>0</v>
      </c>
      <c r="L2548" t="n">
        <v>0</v>
      </c>
      <c r="M2548" t="n">
        <v>0</v>
      </c>
      <c r="N2548" t="n">
        <v>0</v>
      </c>
      <c r="O2548" t="n">
        <v>0</v>
      </c>
      <c r="P2548" t="n">
        <v>0</v>
      </c>
      <c r="Q2548" t="n">
        <v>0</v>
      </c>
      <c r="R2548" t="n">
        <v>0</v>
      </c>
      <c r="S2548" t="n">
        <v>0</v>
      </c>
      <c r="T2548" t="n">
        <v>0</v>
      </c>
      <c r="U2548" t="n">
        <v>0</v>
      </c>
      <c r="V2548" s="2" t="inlineStr"/>
    </row>
    <row r="2549" ht="15" customHeight="1">
      <c r="A2549" t="inlineStr">
        <is>
          <t>A 5898-2025</t>
        </is>
      </c>
      <c r="B2549" t="inlineStr">
        <is>
          <t>avverkningsanmälan</t>
        </is>
      </c>
      <c r="C2549" t="inlineStr">
        <is>
          <t>Föryngringsavverkning</t>
        </is>
      </c>
      <c r="D2549" s="1" t="n">
        <v>45695</v>
      </c>
      <c r="E2549" s="1" t="n">
        <v>46323</v>
      </c>
      <c r="F2549" t="inlineStr">
        <is>
          <t>KALMAR LÄN</t>
        </is>
      </c>
      <c r="G2549" t="inlineStr">
        <is>
          <t>OSKARSHAMN</t>
        </is>
      </c>
      <c r="I2549" t="n">
        <v>11.2</v>
      </c>
      <c r="J2549" t="n">
        <v>0</v>
      </c>
      <c r="K2549" t="n">
        <v>0</v>
      </c>
      <c r="L2549" t="n">
        <v>0</v>
      </c>
      <c r="M2549" t="n">
        <v>0</v>
      </c>
      <c r="N2549" t="n">
        <v>0</v>
      </c>
      <c r="O2549" t="n">
        <v>0</v>
      </c>
      <c r="P2549" t="n">
        <v>0</v>
      </c>
      <c r="Q2549" t="n">
        <v>0</v>
      </c>
      <c r="R2549" t="n">
        <v>0</v>
      </c>
      <c r="S2549" t="n">
        <v>0</v>
      </c>
      <c r="T2549" t="n">
        <v>0</v>
      </c>
      <c r="U2549" t="n">
        <v>0</v>
      </c>
      <c r="V2549" s="2" t="inlineStr"/>
    </row>
    <row r="2550" ht="15" customHeight="1">
      <c r="A2550" t="inlineStr">
        <is>
          <t>A 53327-2022</t>
        </is>
      </c>
      <c r="B2550" t="inlineStr">
        <is>
          <t>avverkningsanmälan</t>
        </is>
      </c>
      <c r="C2550" t="inlineStr">
        <is>
          <t>Föryngringsavverkning</t>
        </is>
      </c>
      <c r="D2550" s="1" t="n">
        <v>44879</v>
      </c>
      <c r="E2550" s="1" t="n">
        <v>46323</v>
      </c>
      <c r="F2550" t="inlineStr">
        <is>
          <t>KALMAR LÄN</t>
        </is>
      </c>
      <c r="G2550" t="inlineStr">
        <is>
          <t>HÖGSBY</t>
        </is>
      </c>
      <c r="I2550" t="n">
        <v>4.6</v>
      </c>
      <c r="J2550" t="n">
        <v>0</v>
      </c>
      <c r="K2550" t="n">
        <v>0</v>
      </c>
      <c r="L2550" t="n">
        <v>0</v>
      </c>
      <c r="M2550" t="n">
        <v>0</v>
      </c>
      <c r="N2550" t="n">
        <v>0</v>
      </c>
      <c r="O2550" t="n">
        <v>0</v>
      </c>
      <c r="P2550" t="n">
        <v>0</v>
      </c>
      <c r="Q2550" t="n">
        <v>0</v>
      </c>
      <c r="R2550" t="n">
        <v>0</v>
      </c>
      <c r="S2550" t="n">
        <v>0</v>
      </c>
      <c r="T2550" t="n">
        <v>0</v>
      </c>
      <c r="U2550" t="n">
        <v>0</v>
      </c>
      <c r="V2550" s="2" t="inlineStr"/>
    </row>
    <row r="2551" ht="15" customHeight="1">
      <c r="A2551" t="inlineStr">
        <is>
          <t>A 53350-2022</t>
        </is>
      </c>
      <c r="B2551" t="inlineStr">
        <is>
          <t>avverkningsanmälan</t>
        </is>
      </c>
      <c r="C2551" t="inlineStr">
        <is>
          <t>Föryngringsavverkning</t>
        </is>
      </c>
      <c r="D2551" s="1" t="n">
        <v>44879</v>
      </c>
      <c r="E2551" s="1" t="n">
        <v>46323</v>
      </c>
      <c r="F2551" t="inlineStr">
        <is>
          <t>KALMAR LÄN</t>
        </is>
      </c>
      <c r="G2551" t="inlineStr">
        <is>
          <t>EMMABODA</t>
        </is>
      </c>
      <c r="I2551" t="n">
        <v>4.3</v>
      </c>
      <c r="J2551" t="n">
        <v>0</v>
      </c>
      <c r="K2551" t="n">
        <v>0</v>
      </c>
      <c r="L2551" t="n">
        <v>0</v>
      </c>
      <c r="M2551" t="n">
        <v>0</v>
      </c>
      <c r="N2551" t="n">
        <v>0</v>
      </c>
      <c r="O2551" t="n">
        <v>0</v>
      </c>
      <c r="P2551" t="n">
        <v>0</v>
      </c>
      <c r="Q2551" t="n">
        <v>0</v>
      </c>
      <c r="R2551" t="n">
        <v>0</v>
      </c>
      <c r="S2551" t="n">
        <v>0</v>
      </c>
      <c r="T2551" t="n">
        <v>0</v>
      </c>
      <c r="U2551" t="n">
        <v>0</v>
      </c>
      <c r="V2551" s="2" t="inlineStr"/>
    </row>
    <row r="2552" ht="15" customHeight="1">
      <c r="A2552" t="inlineStr">
        <is>
          <t>A 58050-2023</t>
        </is>
      </c>
      <c r="B2552" t="inlineStr">
        <is>
          <t>avverkningsanmälan</t>
        </is>
      </c>
      <c r="C2552" t="inlineStr">
        <is>
          <t>Föryngringsavverkning</t>
        </is>
      </c>
      <c r="D2552" s="1" t="n">
        <v>45247</v>
      </c>
      <c r="E2552" s="1" t="n">
        <v>46323</v>
      </c>
      <c r="F2552" t="inlineStr">
        <is>
          <t>KALMAR LÄN</t>
        </is>
      </c>
      <c r="G2552" t="inlineStr">
        <is>
          <t>HÖGSBY</t>
        </is>
      </c>
      <c r="I2552" t="n">
        <v>4.3</v>
      </c>
      <c r="J2552" t="n">
        <v>0</v>
      </c>
      <c r="K2552" t="n">
        <v>0</v>
      </c>
      <c r="L2552" t="n">
        <v>0</v>
      </c>
      <c r="M2552" t="n">
        <v>0</v>
      </c>
      <c r="N2552" t="n">
        <v>0</v>
      </c>
      <c r="O2552" t="n">
        <v>0</v>
      </c>
      <c r="P2552" t="n">
        <v>0</v>
      </c>
      <c r="Q2552" t="n">
        <v>0</v>
      </c>
      <c r="R2552" t="n">
        <v>0</v>
      </c>
      <c r="S2552" t="n">
        <v>0</v>
      </c>
      <c r="T2552" t="n">
        <v>0</v>
      </c>
      <c r="U2552" t="n">
        <v>0</v>
      </c>
      <c r="V2552" s="2" t="inlineStr"/>
    </row>
    <row r="2553" ht="15" customHeight="1">
      <c r="A2553" t="inlineStr">
        <is>
          <t>A 42145-2025</t>
        </is>
      </c>
      <c r="B2553" t="inlineStr">
        <is>
          <t>avverkningsanmälan</t>
        </is>
      </c>
      <c r="C2553" t="inlineStr">
        <is>
          <t>Föryngringsavverkning</t>
        </is>
      </c>
      <c r="D2553" s="1" t="n">
        <v>45904</v>
      </c>
      <c r="E2553" s="1" t="n">
        <v>46323</v>
      </c>
      <c r="F2553" t="inlineStr">
        <is>
          <t>KALMAR LÄN</t>
        </is>
      </c>
      <c r="G2553" t="inlineStr">
        <is>
          <t>MÖNSTERÅS</t>
        </is>
      </c>
      <c r="I2553" t="n">
        <v>6.7</v>
      </c>
      <c r="J2553" t="n">
        <v>0</v>
      </c>
      <c r="K2553" t="n">
        <v>0</v>
      </c>
      <c r="L2553" t="n">
        <v>0</v>
      </c>
      <c r="M2553" t="n">
        <v>0</v>
      </c>
      <c r="N2553" t="n">
        <v>0</v>
      </c>
      <c r="O2553" t="n">
        <v>0</v>
      </c>
      <c r="P2553" t="n">
        <v>0</v>
      </c>
      <c r="Q2553" t="n">
        <v>0</v>
      </c>
      <c r="R2553" t="n">
        <v>0</v>
      </c>
      <c r="S2553" t="n">
        <v>0</v>
      </c>
      <c r="T2553" t="n">
        <v>0</v>
      </c>
      <c r="U2553" t="n">
        <v>0</v>
      </c>
      <c r="V2553" s="2" t="inlineStr"/>
    </row>
    <row r="2554" ht="15" customHeight="1">
      <c r="A2554" t="inlineStr">
        <is>
          <t>A 57110-2023</t>
        </is>
      </c>
      <c r="B2554" t="inlineStr">
        <is>
          <t>avverkningsanmälan</t>
        </is>
      </c>
      <c r="C2554" t="inlineStr">
        <is>
          <t>Föryngringsavverkning</t>
        </is>
      </c>
      <c r="D2554" s="1" t="n">
        <v>45245</v>
      </c>
      <c r="E2554" s="1" t="n">
        <v>46323</v>
      </c>
      <c r="F2554" t="inlineStr">
        <is>
          <t>KALMAR LÄN</t>
        </is>
      </c>
      <c r="G2554" t="inlineStr">
        <is>
          <t>OSKARSHAMN</t>
        </is>
      </c>
      <c r="I2554" t="n">
        <v>4.1</v>
      </c>
      <c r="J2554" t="n">
        <v>0</v>
      </c>
      <c r="K2554" t="n">
        <v>0</v>
      </c>
      <c r="L2554" t="n">
        <v>0</v>
      </c>
      <c r="M2554" t="n">
        <v>0</v>
      </c>
      <c r="N2554" t="n">
        <v>0</v>
      </c>
      <c r="O2554" t="n">
        <v>0</v>
      </c>
      <c r="P2554" t="n">
        <v>0</v>
      </c>
      <c r="Q2554" t="n">
        <v>0</v>
      </c>
      <c r="R2554" t="n">
        <v>0</v>
      </c>
      <c r="S2554" t="n">
        <v>0</v>
      </c>
      <c r="T2554" t="n">
        <v>0</v>
      </c>
      <c r="U2554" t="n">
        <v>0</v>
      </c>
      <c r="V2554" s="2" t="inlineStr"/>
    </row>
    <row r="2555" ht="15" customHeight="1">
      <c r="A2555" t="inlineStr">
        <is>
          <t>A 57139-2023</t>
        </is>
      </c>
      <c r="B2555" t="inlineStr">
        <is>
          <t>avverkningsanmälan</t>
        </is>
      </c>
      <c r="C2555" t="inlineStr">
        <is>
          <t>Föryngringsavverkning</t>
        </is>
      </c>
      <c r="D2555" s="1" t="n">
        <v>45239</v>
      </c>
      <c r="E2555" s="1" t="n">
        <v>46323</v>
      </c>
      <c r="F2555" t="inlineStr">
        <is>
          <t>KALMAR LÄN</t>
        </is>
      </c>
      <c r="G2555" t="inlineStr">
        <is>
          <t>KALMAR</t>
        </is>
      </c>
      <c r="H2555" t="inlineStr">
        <is>
          <t>Kyrkan</t>
        </is>
      </c>
      <c r="I2555" t="n">
        <v>3.3</v>
      </c>
      <c r="J2555" t="n">
        <v>0</v>
      </c>
      <c r="K2555" t="n">
        <v>0</v>
      </c>
      <c r="L2555" t="n">
        <v>0</v>
      </c>
      <c r="M2555" t="n">
        <v>0</v>
      </c>
      <c r="N2555" t="n">
        <v>0</v>
      </c>
      <c r="O2555" t="n">
        <v>0</v>
      </c>
      <c r="P2555" t="n">
        <v>0</v>
      </c>
      <c r="Q2555" t="n">
        <v>0</v>
      </c>
      <c r="R2555" t="n">
        <v>0</v>
      </c>
      <c r="S2555" t="n">
        <v>0</v>
      </c>
      <c r="T2555" t="n">
        <v>0</v>
      </c>
      <c r="U2555" t="n">
        <v>0</v>
      </c>
      <c r="V2555" s="2" t="inlineStr"/>
    </row>
    <row r="2556" ht="15" customHeight="1">
      <c r="A2556" t="inlineStr">
        <is>
          <t>A 31870-2024</t>
        </is>
      </c>
      <c r="B2556" t="inlineStr">
        <is>
          <t>avverkningsanmälan</t>
        </is>
      </c>
      <c r="C2556" t="inlineStr">
        <is>
          <t>Föryngringsavverkning</t>
        </is>
      </c>
      <c r="D2556" s="1" t="n">
        <v>45509</v>
      </c>
      <c r="E2556" s="1" t="n">
        <v>46323</v>
      </c>
      <c r="F2556" t="inlineStr">
        <is>
          <t>KALMAR LÄN</t>
        </is>
      </c>
      <c r="G2556" t="inlineStr">
        <is>
          <t>NYBRO</t>
        </is>
      </c>
      <c r="I2556" t="n">
        <v>2</v>
      </c>
      <c r="J2556" t="n">
        <v>0</v>
      </c>
      <c r="K2556" t="n">
        <v>0</v>
      </c>
      <c r="L2556" t="n">
        <v>0</v>
      </c>
      <c r="M2556" t="n">
        <v>0</v>
      </c>
      <c r="N2556" t="n">
        <v>0</v>
      </c>
      <c r="O2556" t="n">
        <v>0</v>
      </c>
      <c r="P2556" t="n">
        <v>0</v>
      </c>
      <c r="Q2556" t="n">
        <v>0</v>
      </c>
      <c r="R2556" t="n">
        <v>0</v>
      </c>
      <c r="S2556" t="n">
        <v>0</v>
      </c>
      <c r="T2556" t="n">
        <v>0</v>
      </c>
      <c r="U2556" t="n">
        <v>0</v>
      </c>
      <c r="V2556" s="2" t="inlineStr"/>
    </row>
    <row r="2557" ht="15" customHeight="1">
      <c r="A2557" t="inlineStr">
        <is>
          <t>A 19395-2023</t>
        </is>
      </c>
      <c r="B2557" t="inlineStr">
        <is>
          <t>avverkningsanmälan</t>
        </is>
      </c>
      <c r="C2557" t="inlineStr">
        <is>
          <t>Föryngringsavverkning</t>
        </is>
      </c>
      <c r="D2557" s="1" t="n">
        <v>45049</v>
      </c>
      <c r="E2557" s="1" t="n">
        <v>46323</v>
      </c>
      <c r="F2557" t="inlineStr">
        <is>
          <t>KALMAR LÄN</t>
        </is>
      </c>
      <c r="G2557" t="inlineStr">
        <is>
          <t>EMMABODA</t>
        </is>
      </c>
      <c r="I2557" t="n">
        <v>1.4</v>
      </c>
      <c r="J2557" t="n">
        <v>0</v>
      </c>
      <c r="K2557" t="n">
        <v>0</v>
      </c>
      <c r="L2557" t="n">
        <v>0</v>
      </c>
      <c r="M2557" t="n">
        <v>0</v>
      </c>
      <c r="N2557" t="n">
        <v>0</v>
      </c>
      <c r="O2557" t="n">
        <v>0</v>
      </c>
      <c r="P2557" t="n">
        <v>0</v>
      </c>
      <c r="Q2557" t="n">
        <v>0</v>
      </c>
      <c r="R2557" t="n">
        <v>0</v>
      </c>
      <c r="S2557" t="n">
        <v>0</v>
      </c>
      <c r="T2557" t="n">
        <v>0</v>
      </c>
      <c r="U2557" t="n">
        <v>0</v>
      </c>
      <c r="V2557" s="2" t="inlineStr"/>
    </row>
    <row r="2558" ht="15" customHeight="1">
      <c r="A2558" t="inlineStr">
        <is>
          <t>A 16877-2025</t>
        </is>
      </c>
      <c r="B2558" t="inlineStr">
        <is>
          <t>avverkningsanmälan</t>
        </is>
      </c>
      <c r="C2558" t="inlineStr">
        <is>
          <t>Avverkning för att bevara och utveckla /försöksver</t>
        </is>
      </c>
      <c r="D2558" s="1" t="n">
        <v>45755</v>
      </c>
      <c r="E2558" s="1" t="n">
        <v>46323</v>
      </c>
      <c r="F2558" t="inlineStr">
        <is>
          <t>KALMAR LÄN</t>
        </is>
      </c>
      <c r="G2558" t="inlineStr">
        <is>
          <t>HULTSFRED</t>
        </is>
      </c>
      <c r="H2558" t="inlineStr">
        <is>
          <t>Sveaskog</t>
        </is>
      </c>
      <c r="I2558" t="n">
        <v>1.4</v>
      </c>
      <c r="J2558" t="n">
        <v>0</v>
      </c>
      <c r="K2558" t="n">
        <v>0</v>
      </c>
      <c r="L2558" t="n">
        <v>0</v>
      </c>
      <c r="M2558" t="n">
        <v>0</v>
      </c>
      <c r="N2558" t="n">
        <v>0</v>
      </c>
      <c r="O2558" t="n">
        <v>0</v>
      </c>
      <c r="P2558" t="n">
        <v>0</v>
      </c>
      <c r="Q2558" t="n">
        <v>0</v>
      </c>
      <c r="R2558" t="n">
        <v>0</v>
      </c>
      <c r="S2558" t="n">
        <v>0</v>
      </c>
      <c r="T2558" t="n">
        <v>0</v>
      </c>
      <c r="U2558" t="n">
        <v>0</v>
      </c>
      <c r="V2558" s="2" t="inlineStr"/>
    </row>
    <row r="2559" ht="15" customHeight="1">
      <c r="A2559" t="inlineStr">
        <is>
          <t>A 16888-2025</t>
        </is>
      </c>
      <c r="B2559" t="inlineStr">
        <is>
          <t>avverkningsanmälan</t>
        </is>
      </c>
      <c r="C2559" t="inlineStr">
        <is>
          <t>Avverkning för att bevara och utveckla /försöksver</t>
        </is>
      </c>
      <c r="D2559" s="1" t="n">
        <v>45755</v>
      </c>
      <c r="E2559" s="1" t="n">
        <v>46323</v>
      </c>
      <c r="F2559" t="inlineStr">
        <is>
          <t>KALMAR LÄN</t>
        </is>
      </c>
      <c r="G2559" t="inlineStr">
        <is>
          <t>HULTSFRED</t>
        </is>
      </c>
      <c r="I2559" t="n">
        <v>1.1</v>
      </c>
      <c r="J2559" t="n">
        <v>0</v>
      </c>
      <c r="K2559" t="n">
        <v>0</v>
      </c>
      <c r="L2559" t="n">
        <v>0</v>
      </c>
      <c r="M2559" t="n">
        <v>0</v>
      </c>
      <c r="N2559" t="n">
        <v>0</v>
      </c>
      <c r="O2559" t="n">
        <v>0</v>
      </c>
      <c r="P2559" t="n">
        <v>0</v>
      </c>
      <c r="Q2559" t="n">
        <v>0</v>
      </c>
      <c r="R2559" t="n">
        <v>0</v>
      </c>
      <c r="S2559" t="n">
        <v>0</v>
      </c>
      <c r="T2559" t="n">
        <v>0</v>
      </c>
      <c r="U2559" t="n">
        <v>0</v>
      </c>
      <c r="V2559" s="2" t="inlineStr"/>
    </row>
    <row r="2560" ht="15" customHeight="1">
      <c r="A2560" t="inlineStr">
        <is>
          <t>A 16889-2025</t>
        </is>
      </c>
      <c r="B2560" t="inlineStr">
        <is>
          <t>avverkningsanmälan</t>
        </is>
      </c>
      <c r="C2560" t="inlineStr">
        <is>
          <t>Avverkning för att bevara och utveckla /försöksver</t>
        </is>
      </c>
      <c r="D2560" s="1" t="n">
        <v>45755</v>
      </c>
      <c r="E2560" s="1" t="n">
        <v>46323</v>
      </c>
      <c r="F2560" t="inlineStr">
        <is>
          <t>KALMAR LÄN</t>
        </is>
      </c>
      <c r="G2560" t="inlineStr">
        <is>
          <t>HULTSFRED</t>
        </is>
      </c>
      <c r="I2560" t="n">
        <v>3</v>
      </c>
      <c r="J2560" t="n">
        <v>0</v>
      </c>
      <c r="K2560" t="n">
        <v>0</v>
      </c>
      <c r="L2560" t="n">
        <v>0</v>
      </c>
      <c r="M2560" t="n">
        <v>0</v>
      </c>
      <c r="N2560" t="n">
        <v>0</v>
      </c>
      <c r="O2560" t="n">
        <v>0</v>
      </c>
      <c r="P2560" t="n">
        <v>0</v>
      </c>
      <c r="Q2560" t="n">
        <v>0</v>
      </c>
      <c r="R2560" t="n">
        <v>0</v>
      </c>
      <c r="S2560" t="n">
        <v>0</v>
      </c>
      <c r="T2560" t="n">
        <v>0</v>
      </c>
      <c r="U2560" t="n">
        <v>0</v>
      </c>
      <c r="V2560" s="2" t="inlineStr"/>
    </row>
    <row r="2561" ht="15" customHeight="1">
      <c r="A2561" t="inlineStr">
        <is>
          <t>A 47318-2022</t>
        </is>
      </c>
      <c r="B2561" t="inlineStr">
        <is>
          <t>avverkningsanmälan</t>
        </is>
      </c>
      <c r="C2561" t="inlineStr">
        <is>
          <t>Föryngringsavverkning</t>
        </is>
      </c>
      <c r="D2561" s="1" t="n">
        <v>44853</v>
      </c>
      <c r="E2561" s="1" t="n">
        <v>46323</v>
      </c>
      <c r="F2561" t="inlineStr">
        <is>
          <t>KALMAR LÄN</t>
        </is>
      </c>
      <c r="G2561" t="inlineStr">
        <is>
          <t>TORSÅS</t>
        </is>
      </c>
      <c r="I2561" t="n">
        <v>6.4</v>
      </c>
      <c r="J2561" t="n">
        <v>0</v>
      </c>
      <c r="K2561" t="n">
        <v>0</v>
      </c>
      <c r="L2561" t="n">
        <v>0</v>
      </c>
      <c r="M2561" t="n">
        <v>0</v>
      </c>
      <c r="N2561" t="n">
        <v>0</v>
      </c>
      <c r="O2561" t="n">
        <v>0</v>
      </c>
      <c r="P2561" t="n">
        <v>0</v>
      </c>
      <c r="Q2561" t="n">
        <v>0</v>
      </c>
      <c r="R2561" t="n">
        <v>0</v>
      </c>
      <c r="S2561" t="n">
        <v>0</v>
      </c>
      <c r="T2561" t="n">
        <v>0</v>
      </c>
      <c r="U2561" t="n">
        <v>0</v>
      </c>
      <c r="V2561" s="2" t="inlineStr"/>
    </row>
    <row r="2562" ht="15" customHeight="1">
      <c r="A2562" t="inlineStr">
        <is>
          <t>A 46543-2023</t>
        </is>
      </c>
      <c r="B2562" t="inlineStr">
        <is>
          <t>avverkningsanmälan</t>
        </is>
      </c>
      <c r="C2562" t="inlineStr">
        <is>
          <t>Föryngringsavverkning</t>
        </is>
      </c>
      <c r="D2562" s="1" t="n">
        <v>45189</v>
      </c>
      <c r="E2562" s="1" t="n">
        <v>46323</v>
      </c>
      <c r="F2562" t="inlineStr">
        <is>
          <t>KALMAR LÄN</t>
        </is>
      </c>
      <c r="G2562" t="inlineStr">
        <is>
          <t>NYBRO</t>
        </is>
      </c>
      <c r="H2562" t="inlineStr">
        <is>
          <t>Kyrkan</t>
        </is>
      </c>
      <c r="I2562" t="n">
        <v>0.2</v>
      </c>
      <c r="J2562" t="n">
        <v>0</v>
      </c>
      <c r="K2562" t="n">
        <v>0</v>
      </c>
      <c r="L2562" t="n">
        <v>0</v>
      </c>
      <c r="M2562" t="n">
        <v>0</v>
      </c>
      <c r="N2562" t="n">
        <v>0</v>
      </c>
      <c r="O2562" t="n">
        <v>0</v>
      </c>
      <c r="P2562" t="n">
        <v>0</v>
      </c>
      <c r="Q2562" t="n">
        <v>0</v>
      </c>
      <c r="R2562" t="n">
        <v>0</v>
      </c>
      <c r="S2562" t="n">
        <v>0</v>
      </c>
      <c r="T2562" t="n">
        <v>0</v>
      </c>
      <c r="U2562" t="n">
        <v>0</v>
      </c>
      <c r="V2562" s="2" t="inlineStr"/>
    </row>
    <row r="2563" ht="15" customHeight="1">
      <c r="A2563" t="inlineStr">
        <is>
          <t>A 46603-2023</t>
        </is>
      </c>
      <c r="B2563" t="inlineStr">
        <is>
          <t>avverkningsanmälan</t>
        </is>
      </c>
      <c r="C2563" t="inlineStr">
        <is>
          <t>Föryngringsavverkning</t>
        </is>
      </c>
      <c r="D2563" s="1" t="n">
        <v>45198</v>
      </c>
      <c r="E2563" s="1" t="n">
        <v>46323</v>
      </c>
      <c r="F2563" t="inlineStr">
        <is>
          <t>KALMAR LÄN</t>
        </is>
      </c>
      <c r="G2563" t="inlineStr">
        <is>
          <t>OSKARSHAMN</t>
        </is>
      </c>
      <c r="I2563" t="n">
        <v>1.9</v>
      </c>
      <c r="J2563" t="n">
        <v>0</v>
      </c>
      <c r="K2563" t="n">
        <v>0</v>
      </c>
      <c r="L2563" t="n">
        <v>0</v>
      </c>
      <c r="M2563" t="n">
        <v>0</v>
      </c>
      <c r="N2563" t="n">
        <v>0</v>
      </c>
      <c r="O2563" t="n">
        <v>0</v>
      </c>
      <c r="P2563" t="n">
        <v>0</v>
      </c>
      <c r="Q2563" t="n">
        <v>0</v>
      </c>
      <c r="R2563" t="n">
        <v>0</v>
      </c>
      <c r="S2563" t="n">
        <v>0</v>
      </c>
      <c r="T2563" t="n">
        <v>0</v>
      </c>
      <c r="U2563" t="n">
        <v>0</v>
      </c>
      <c r="V2563" s="2" t="inlineStr"/>
    </row>
    <row r="2564" ht="15" customHeight="1">
      <c r="A2564" t="inlineStr">
        <is>
          <t>A 46607-2023</t>
        </is>
      </c>
      <c r="B2564" t="inlineStr">
        <is>
          <t>avverkningsanmälan</t>
        </is>
      </c>
      <c r="C2564" t="inlineStr">
        <is>
          <t>Föryngringsavverkning</t>
        </is>
      </c>
      <c r="D2564" s="1" t="n">
        <v>45198</v>
      </c>
      <c r="E2564" s="1" t="n">
        <v>46323</v>
      </c>
      <c r="F2564" t="inlineStr">
        <is>
          <t>KALMAR LÄN</t>
        </is>
      </c>
      <c r="G2564" t="inlineStr">
        <is>
          <t>TORSÅS</t>
        </is>
      </c>
      <c r="I2564" t="n">
        <v>0.5</v>
      </c>
      <c r="J2564" t="n">
        <v>0</v>
      </c>
      <c r="K2564" t="n">
        <v>0</v>
      </c>
      <c r="L2564" t="n">
        <v>0</v>
      </c>
      <c r="M2564" t="n">
        <v>0</v>
      </c>
      <c r="N2564" t="n">
        <v>0</v>
      </c>
      <c r="O2564" t="n">
        <v>0</v>
      </c>
      <c r="P2564" t="n">
        <v>0</v>
      </c>
      <c r="Q2564" t="n">
        <v>0</v>
      </c>
      <c r="R2564" t="n">
        <v>0</v>
      </c>
      <c r="S2564" t="n">
        <v>0</v>
      </c>
      <c r="T2564" t="n">
        <v>0</v>
      </c>
      <c r="U2564" t="n">
        <v>0</v>
      </c>
      <c r="V2564" s="2" t="inlineStr"/>
    </row>
    <row r="2565" ht="15" customHeight="1">
      <c r="A2565" t="inlineStr">
        <is>
          <t>A 30273-2024</t>
        </is>
      </c>
      <c r="B2565" t="inlineStr">
        <is>
          <t>avverkningsanmälan</t>
        </is>
      </c>
      <c r="C2565" t="inlineStr">
        <is>
          <t>Föryngringsavverkning</t>
        </is>
      </c>
      <c r="D2565" s="1" t="n">
        <v>45490</v>
      </c>
      <c r="E2565" s="1" t="n">
        <v>46323</v>
      </c>
      <c r="F2565" t="inlineStr">
        <is>
          <t>KALMAR LÄN</t>
        </is>
      </c>
      <c r="G2565" t="inlineStr">
        <is>
          <t>OSKARSHAMN</t>
        </is>
      </c>
      <c r="I2565" t="n">
        <v>0.3</v>
      </c>
      <c r="J2565" t="n">
        <v>0</v>
      </c>
      <c r="K2565" t="n">
        <v>0</v>
      </c>
      <c r="L2565" t="n">
        <v>0</v>
      </c>
      <c r="M2565" t="n">
        <v>0</v>
      </c>
      <c r="N2565" t="n">
        <v>0</v>
      </c>
      <c r="O2565" t="n">
        <v>0</v>
      </c>
      <c r="P2565" t="n">
        <v>0</v>
      </c>
      <c r="Q2565" t="n">
        <v>0</v>
      </c>
      <c r="R2565" t="n">
        <v>0</v>
      </c>
      <c r="S2565" t="n">
        <v>0</v>
      </c>
      <c r="T2565" t="n">
        <v>0</v>
      </c>
      <c r="U2565" t="n">
        <v>0</v>
      </c>
      <c r="V2565" s="2" t="inlineStr"/>
    </row>
    <row r="2566" ht="15" customHeight="1">
      <c r="A2566" t="inlineStr">
        <is>
          <t>A 41857-2025</t>
        </is>
      </c>
      <c r="B2566" t="inlineStr">
        <is>
          <t>avverkningsanmälan</t>
        </is>
      </c>
      <c r="C2566" t="inlineStr">
        <is>
          <t>Föryngringsavverkning</t>
        </is>
      </c>
      <c r="D2566" s="1" t="n">
        <v>45902</v>
      </c>
      <c r="E2566" s="1" t="n">
        <v>46323</v>
      </c>
      <c r="F2566" t="inlineStr">
        <is>
          <t>KALMAR LÄN</t>
        </is>
      </c>
      <c r="G2566" t="inlineStr">
        <is>
          <t>OSKARSHAMN</t>
        </is>
      </c>
      <c r="I2566" t="n">
        <v>1.8</v>
      </c>
      <c r="J2566" t="n">
        <v>0</v>
      </c>
      <c r="K2566" t="n">
        <v>0</v>
      </c>
      <c r="L2566" t="n">
        <v>0</v>
      </c>
      <c r="M2566" t="n">
        <v>0</v>
      </c>
      <c r="N2566" t="n">
        <v>0</v>
      </c>
      <c r="O2566" t="n">
        <v>0</v>
      </c>
      <c r="P2566" t="n">
        <v>0</v>
      </c>
      <c r="Q2566" t="n">
        <v>0</v>
      </c>
      <c r="R2566" t="n">
        <v>0</v>
      </c>
      <c r="S2566" t="n">
        <v>0</v>
      </c>
      <c r="T2566" t="n">
        <v>0</v>
      </c>
      <c r="U2566" t="n">
        <v>0</v>
      </c>
      <c r="V2566" s="2" t="inlineStr"/>
    </row>
    <row r="2567" ht="15" customHeight="1">
      <c r="A2567" t="inlineStr">
        <is>
          <t>A 62304-2022</t>
        </is>
      </c>
      <c r="B2567" t="inlineStr">
        <is>
          <t>avverkningsanmälan</t>
        </is>
      </c>
      <c r="C2567" t="inlineStr">
        <is>
          <t>Föryngringsavverkning</t>
        </is>
      </c>
      <c r="D2567" s="1" t="n">
        <v>44923</v>
      </c>
      <c r="E2567" s="1" t="n">
        <v>46323</v>
      </c>
      <c r="F2567" t="inlineStr">
        <is>
          <t>KALMAR LÄN</t>
        </is>
      </c>
      <c r="G2567" t="inlineStr">
        <is>
          <t>VÄSTERVIK</t>
        </is>
      </c>
      <c r="I2567" t="n">
        <v>1</v>
      </c>
      <c r="J2567" t="n">
        <v>0</v>
      </c>
      <c r="K2567" t="n">
        <v>0</v>
      </c>
      <c r="L2567" t="n">
        <v>0</v>
      </c>
      <c r="M2567" t="n">
        <v>0</v>
      </c>
      <c r="N2567" t="n">
        <v>0</v>
      </c>
      <c r="O2567" t="n">
        <v>0</v>
      </c>
      <c r="P2567" t="n">
        <v>0</v>
      </c>
      <c r="Q2567" t="n">
        <v>0</v>
      </c>
      <c r="R2567" t="n">
        <v>0</v>
      </c>
      <c r="S2567" t="n">
        <v>0</v>
      </c>
      <c r="T2567" t="n">
        <v>0</v>
      </c>
      <c r="U2567" t="n">
        <v>0</v>
      </c>
      <c r="V2567" s="2" t="inlineStr"/>
    </row>
    <row r="2568" ht="15" customHeight="1">
      <c r="A2568" t="inlineStr">
        <is>
          <t>A 62306-2022</t>
        </is>
      </c>
      <c r="B2568" t="inlineStr">
        <is>
          <t>avverkningsanmälan</t>
        </is>
      </c>
      <c r="C2568" t="inlineStr">
        <is>
          <t>Föryngringsavverkning</t>
        </is>
      </c>
      <c r="D2568" s="1" t="n">
        <v>44923</v>
      </c>
      <c r="E2568" s="1" t="n">
        <v>46323</v>
      </c>
      <c r="F2568" t="inlineStr">
        <is>
          <t>KALMAR LÄN</t>
        </is>
      </c>
      <c r="G2568" t="inlineStr">
        <is>
          <t>VÄSTERVIK</t>
        </is>
      </c>
      <c r="I2568" t="n">
        <v>1.5</v>
      </c>
      <c r="J2568" t="n">
        <v>0</v>
      </c>
      <c r="K2568" t="n">
        <v>0</v>
      </c>
      <c r="L2568" t="n">
        <v>0</v>
      </c>
      <c r="M2568" t="n">
        <v>0</v>
      </c>
      <c r="N2568" t="n">
        <v>0</v>
      </c>
      <c r="O2568" t="n">
        <v>0</v>
      </c>
      <c r="P2568" t="n">
        <v>0</v>
      </c>
      <c r="Q2568" t="n">
        <v>0</v>
      </c>
      <c r="R2568" t="n">
        <v>0</v>
      </c>
      <c r="S2568" t="n">
        <v>0</v>
      </c>
      <c r="T2568" t="n">
        <v>0</v>
      </c>
      <c r="U2568" t="n">
        <v>0</v>
      </c>
      <c r="V2568" s="2" t="inlineStr"/>
    </row>
    <row r="2569" ht="15" customHeight="1">
      <c r="A2569" t="inlineStr">
        <is>
          <t>A 55902-2024</t>
        </is>
      </c>
      <c r="B2569" t="inlineStr">
        <is>
          <t>avverkningsanmälan</t>
        </is>
      </c>
      <c r="C2569" t="inlineStr">
        <is>
          <t>Föryngringsavverkning</t>
        </is>
      </c>
      <c r="D2569" s="1" t="n">
        <v>45622</v>
      </c>
      <c r="E2569" s="1" t="n">
        <v>46323</v>
      </c>
      <c r="F2569" t="inlineStr">
        <is>
          <t>KALMAR LÄN</t>
        </is>
      </c>
      <c r="G2569" t="inlineStr">
        <is>
          <t>HÖGSBY</t>
        </is>
      </c>
      <c r="I2569" t="n">
        <v>8.9</v>
      </c>
      <c r="J2569" t="n">
        <v>0</v>
      </c>
      <c r="K2569" t="n">
        <v>0</v>
      </c>
      <c r="L2569" t="n">
        <v>0</v>
      </c>
      <c r="M2569" t="n">
        <v>0</v>
      </c>
      <c r="N2569" t="n">
        <v>0</v>
      </c>
      <c r="O2569" t="n">
        <v>0</v>
      </c>
      <c r="P2569" t="n">
        <v>0</v>
      </c>
      <c r="Q2569" t="n">
        <v>0</v>
      </c>
      <c r="R2569" t="n">
        <v>0</v>
      </c>
      <c r="S2569" t="n">
        <v>0</v>
      </c>
      <c r="T2569" t="n">
        <v>0</v>
      </c>
      <c r="U2569" t="n">
        <v>0</v>
      </c>
      <c r="V2569" s="2" t="inlineStr"/>
    </row>
    <row r="2570" ht="15" customHeight="1">
      <c r="A2570" t="inlineStr">
        <is>
          <t>A 42429-2024</t>
        </is>
      </c>
      <c r="B2570" t="inlineStr">
        <is>
          <t>avverkningsanmälan</t>
        </is>
      </c>
      <c r="C2570" t="inlineStr">
        <is>
          <t>Föryngringsavverkning</t>
        </is>
      </c>
      <c r="D2570" s="1" t="n">
        <v>45565</v>
      </c>
      <c r="E2570" s="1" t="n">
        <v>46323</v>
      </c>
      <c r="F2570" t="inlineStr">
        <is>
          <t>KALMAR LÄN</t>
        </is>
      </c>
      <c r="G2570" t="inlineStr">
        <is>
          <t>VIMMERBY</t>
        </is>
      </c>
      <c r="I2570" t="n">
        <v>1</v>
      </c>
      <c r="J2570" t="n">
        <v>0</v>
      </c>
      <c r="K2570" t="n">
        <v>0</v>
      </c>
      <c r="L2570" t="n">
        <v>0</v>
      </c>
      <c r="M2570" t="n">
        <v>0</v>
      </c>
      <c r="N2570" t="n">
        <v>0</v>
      </c>
      <c r="O2570" t="n">
        <v>0</v>
      </c>
      <c r="P2570" t="n">
        <v>0</v>
      </c>
      <c r="Q2570" t="n">
        <v>0</v>
      </c>
      <c r="R2570" t="n">
        <v>0</v>
      </c>
      <c r="S2570" t="n">
        <v>0</v>
      </c>
      <c r="T2570" t="n">
        <v>0</v>
      </c>
      <c r="U2570" t="n">
        <v>0</v>
      </c>
      <c r="V2570" s="2" t="inlineStr"/>
    </row>
    <row r="2571" ht="15" customHeight="1">
      <c r="A2571" t="inlineStr">
        <is>
          <t>A 3754-2025</t>
        </is>
      </c>
      <c r="B2571" t="inlineStr">
        <is>
          <t>avverkningsanmälan</t>
        </is>
      </c>
      <c r="C2571" t="inlineStr">
        <is>
          <t>Föryngringsavverkning</t>
        </is>
      </c>
      <c r="D2571" s="1" t="n">
        <v>45681</v>
      </c>
      <c r="E2571" s="1" t="n">
        <v>46323</v>
      </c>
      <c r="F2571" t="inlineStr">
        <is>
          <t>KALMAR LÄN</t>
        </is>
      </c>
      <c r="G2571" t="inlineStr">
        <is>
          <t>EMMABODA</t>
        </is>
      </c>
      <c r="I2571" t="n">
        <v>1.2</v>
      </c>
      <c r="J2571" t="n">
        <v>0</v>
      </c>
      <c r="K2571" t="n">
        <v>0</v>
      </c>
      <c r="L2571" t="n">
        <v>0</v>
      </c>
      <c r="M2571" t="n">
        <v>0</v>
      </c>
      <c r="N2571" t="n">
        <v>0</v>
      </c>
      <c r="O2571" t="n">
        <v>0</v>
      </c>
      <c r="P2571" t="n">
        <v>0</v>
      </c>
      <c r="Q2571" t="n">
        <v>0</v>
      </c>
      <c r="R2571" t="n">
        <v>0</v>
      </c>
      <c r="S2571" t="n">
        <v>0</v>
      </c>
      <c r="T2571" t="n">
        <v>0</v>
      </c>
      <c r="U2571" t="n">
        <v>0</v>
      </c>
      <c r="V2571" s="2" t="inlineStr"/>
    </row>
    <row r="2572" ht="15" customHeight="1">
      <c r="A2572" t="inlineStr">
        <is>
          <t>A 50169-2022</t>
        </is>
      </c>
      <c r="B2572" t="inlineStr">
        <is>
          <t>avverkningsanmälan</t>
        </is>
      </c>
      <c r="C2572" t="inlineStr">
        <is>
          <t>Föryngringsavverkning</t>
        </is>
      </c>
      <c r="D2572" s="1" t="n">
        <v>44865</v>
      </c>
      <c r="E2572" s="1" t="n">
        <v>46323</v>
      </c>
      <c r="F2572" t="inlineStr">
        <is>
          <t>KALMAR LÄN</t>
        </is>
      </c>
      <c r="G2572" t="inlineStr">
        <is>
          <t>OSKARSHAMN</t>
        </is>
      </c>
      <c r="I2572" t="n">
        <v>2.4</v>
      </c>
      <c r="J2572" t="n">
        <v>0</v>
      </c>
      <c r="K2572" t="n">
        <v>0</v>
      </c>
      <c r="L2572" t="n">
        <v>0</v>
      </c>
      <c r="M2572" t="n">
        <v>0</v>
      </c>
      <c r="N2572" t="n">
        <v>0</v>
      </c>
      <c r="O2572" t="n">
        <v>0</v>
      </c>
      <c r="P2572" t="n">
        <v>0</v>
      </c>
      <c r="Q2572" t="n">
        <v>0</v>
      </c>
      <c r="R2572" t="n">
        <v>0</v>
      </c>
      <c r="S2572" t="n">
        <v>0</v>
      </c>
      <c r="T2572" t="n">
        <v>0</v>
      </c>
      <c r="U2572" t="n">
        <v>0</v>
      </c>
      <c r="V2572" s="2" t="inlineStr"/>
    </row>
    <row r="2573" ht="15" customHeight="1">
      <c r="A2573" t="inlineStr">
        <is>
          <t>A 32388-2024</t>
        </is>
      </c>
      <c r="B2573" t="inlineStr">
        <is>
          <t>avverkningsanmälan</t>
        </is>
      </c>
      <c r="C2573" t="inlineStr">
        <is>
          <t>Föryngringsavverkning</t>
        </is>
      </c>
      <c r="D2573" s="1" t="n">
        <v>45512</v>
      </c>
      <c r="E2573" s="1" t="n">
        <v>46323</v>
      </c>
      <c r="F2573" t="inlineStr">
        <is>
          <t>KALMAR LÄN</t>
        </is>
      </c>
      <c r="G2573" t="inlineStr">
        <is>
          <t>VÄSTERVIK</t>
        </is>
      </c>
      <c r="I2573" t="n">
        <v>1.2</v>
      </c>
      <c r="J2573" t="n">
        <v>0</v>
      </c>
      <c r="K2573" t="n">
        <v>0</v>
      </c>
      <c r="L2573" t="n">
        <v>0</v>
      </c>
      <c r="M2573" t="n">
        <v>0</v>
      </c>
      <c r="N2573" t="n">
        <v>0</v>
      </c>
      <c r="O2573" t="n">
        <v>0</v>
      </c>
      <c r="P2573" t="n">
        <v>0</v>
      </c>
      <c r="Q2573" t="n">
        <v>0</v>
      </c>
      <c r="R2573" t="n">
        <v>0</v>
      </c>
      <c r="S2573" t="n">
        <v>0</v>
      </c>
      <c r="T2573" t="n">
        <v>0</v>
      </c>
      <c r="U2573" t="n">
        <v>0</v>
      </c>
      <c r="V2573" s="2" t="inlineStr"/>
    </row>
    <row r="2574" ht="15" customHeight="1">
      <c r="A2574" t="inlineStr">
        <is>
          <t>A 16622-2025</t>
        </is>
      </c>
      <c r="B2574" t="inlineStr">
        <is>
          <t>avverkningsanmälan</t>
        </is>
      </c>
      <c r="C2574" t="inlineStr">
        <is>
          <t>Föryngringsavverkning</t>
        </is>
      </c>
      <c r="D2574" s="1" t="n">
        <v>45754</v>
      </c>
      <c r="E2574" s="1" t="n">
        <v>46323</v>
      </c>
      <c r="F2574" t="inlineStr">
        <is>
          <t>KALMAR LÄN</t>
        </is>
      </c>
      <c r="G2574" t="inlineStr">
        <is>
          <t>VIMMERBY</t>
        </is>
      </c>
      <c r="I2574" t="n">
        <v>1</v>
      </c>
      <c r="J2574" t="n">
        <v>0</v>
      </c>
      <c r="K2574" t="n">
        <v>0</v>
      </c>
      <c r="L2574" t="n">
        <v>0</v>
      </c>
      <c r="M2574" t="n">
        <v>0</v>
      </c>
      <c r="N2574" t="n">
        <v>0</v>
      </c>
      <c r="O2574" t="n">
        <v>0</v>
      </c>
      <c r="P2574" t="n">
        <v>0</v>
      </c>
      <c r="Q2574" t="n">
        <v>0</v>
      </c>
      <c r="R2574" t="n">
        <v>0</v>
      </c>
      <c r="S2574" t="n">
        <v>0</v>
      </c>
      <c r="T2574" t="n">
        <v>0</v>
      </c>
      <c r="U2574" t="n">
        <v>0</v>
      </c>
      <c r="V2574" s="2" t="inlineStr"/>
    </row>
    <row r="2575" ht="15" customHeight="1">
      <c r="A2575" t="inlineStr">
        <is>
          <t>A 32389-2024</t>
        </is>
      </c>
      <c r="B2575" t="inlineStr">
        <is>
          <t>avverkningsanmälan</t>
        </is>
      </c>
      <c r="C2575" t="inlineStr">
        <is>
          <t>Föryngringsavverkning</t>
        </is>
      </c>
      <c r="D2575" s="1" t="n">
        <v>45512</v>
      </c>
      <c r="E2575" s="1" t="n">
        <v>46323</v>
      </c>
      <c r="F2575" t="inlineStr">
        <is>
          <t>KALMAR LÄN</t>
        </is>
      </c>
      <c r="G2575" t="inlineStr">
        <is>
          <t>VÄSTERVIK</t>
        </is>
      </c>
      <c r="I2575" t="n">
        <v>1.3</v>
      </c>
      <c r="J2575" t="n">
        <v>0</v>
      </c>
      <c r="K2575" t="n">
        <v>0</v>
      </c>
      <c r="L2575" t="n">
        <v>0</v>
      </c>
      <c r="M2575" t="n">
        <v>0</v>
      </c>
      <c r="N2575" t="n">
        <v>0</v>
      </c>
      <c r="O2575" t="n">
        <v>0</v>
      </c>
      <c r="P2575" t="n">
        <v>0</v>
      </c>
      <c r="Q2575" t="n">
        <v>0</v>
      </c>
      <c r="R2575" t="n">
        <v>0</v>
      </c>
      <c r="S2575" t="n">
        <v>0</v>
      </c>
      <c r="T2575" t="n">
        <v>0</v>
      </c>
      <c r="U2575" t="n">
        <v>0</v>
      </c>
      <c r="V2575" s="2" t="inlineStr"/>
    </row>
    <row r="2576" ht="15" customHeight="1">
      <c r="A2576" t="inlineStr">
        <is>
          <t>A 46640-2022</t>
        </is>
      </c>
      <c r="B2576" t="inlineStr">
        <is>
          <t>avverkningsanmälan</t>
        </is>
      </c>
      <c r="C2576" t="inlineStr">
        <is>
          <t>Föryngringsavverkning</t>
        </is>
      </c>
      <c r="D2576" s="1" t="n">
        <v>44849</v>
      </c>
      <c r="E2576" s="1" t="n">
        <v>46323</v>
      </c>
      <c r="F2576" t="inlineStr">
        <is>
          <t>KALMAR LÄN</t>
        </is>
      </c>
      <c r="G2576" t="inlineStr">
        <is>
          <t>TORSÅS</t>
        </is>
      </c>
      <c r="I2576" t="n">
        <v>1.1</v>
      </c>
      <c r="J2576" t="n">
        <v>0</v>
      </c>
      <c r="K2576" t="n">
        <v>0</v>
      </c>
      <c r="L2576" t="n">
        <v>0</v>
      </c>
      <c r="M2576" t="n">
        <v>0</v>
      </c>
      <c r="N2576" t="n">
        <v>0</v>
      </c>
      <c r="O2576" t="n">
        <v>0</v>
      </c>
      <c r="P2576" t="n">
        <v>0</v>
      </c>
      <c r="Q2576" t="n">
        <v>0</v>
      </c>
      <c r="R2576" t="n">
        <v>0</v>
      </c>
      <c r="S2576" t="n">
        <v>0</v>
      </c>
      <c r="T2576" t="n">
        <v>0</v>
      </c>
      <c r="U2576" t="n">
        <v>0</v>
      </c>
      <c r="V2576" s="2" t="inlineStr"/>
    </row>
    <row r="2577" ht="15" customHeight="1">
      <c r="A2577" t="inlineStr">
        <is>
          <t>A 54512-2023</t>
        </is>
      </c>
      <c r="B2577" t="inlineStr">
        <is>
          <t>avverkningsanmälan</t>
        </is>
      </c>
      <c r="C2577" t="inlineStr">
        <is>
          <t>Avverkning för annat ändamål</t>
        </is>
      </c>
      <c r="D2577" s="1" t="n">
        <v>45233</v>
      </c>
      <c r="E2577" s="1" t="n">
        <v>46323</v>
      </c>
      <c r="F2577" t="inlineStr">
        <is>
          <t>KALMAR LÄN</t>
        </is>
      </c>
      <c r="G2577" t="inlineStr">
        <is>
          <t>NYBRO</t>
        </is>
      </c>
      <c r="H2577" t="inlineStr">
        <is>
          <t>Sveaskog</t>
        </is>
      </c>
      <c r="I2577" t="n">
        <v>0.5</v>
      </c>
      <c r="J2577" t="n">
        <v>0</v>
      </c>
      <c r="K2577" t="n">
        <v>0</v>
      </c>
      <c r="L2577" t="n">
        <v>0</v>
      </c>
      <c r="M2577" t="n">
        <v>0</v>
      </c>
      <c r="N2577" t="n">
        <v>0</v>
      </c>
      <c r="O2577" t="n">
        <v>0</v>
      </c>
      <c r="P2577" t="n">
        <v>0</v>
      </c>
      <c r="Q2577" t="n">
        <v>0</v>
      </c>
      <c r="R2577" t="n">
        <v>0</v>
      </c>
      <c r="S2577" t="n">
        <v>0</v>
      </c>
      <c r="T2577" t="n">
        <v>0</v>
      </c>
      <c r="U2577" t="n">
        <v>0</v>
      </c>
      <c r="V2577" s="2" t="inlineStr"/>
    </row>
    <row r="2578" ht="15" customHeight="1">
      <c r="A2578" t="inlineStr">
        <is>
          <t>A 42751-2025</t>
        </is>
      </c>
      <c r="B2578" t="inlineStr">
        <is>
          <t>avverkningsanmälan</t>
        </is>
      </c>
      <c r="C2578" t="inlineStr">
        <is>
          <t>Avverkning för att bevara och utveckla /försöksver</t>
        </is>
      </c>
      <c r="D2578" s="1" t="n">
        <v>45908</v>
      </c>
      <c r="E2578" s="1" t="n">
        <v>46323</v>
      </c>
      <c r="F2578" t="inlineStr">
        <is>
          <t>KALMAR LÄN</t>
        </is>
      </c>
      <c r="G2578" t="inlineStr">
        <is>
          <t>OSKARSHAMN</t>
        </is>
      </c>
      <c r="I2578" t="n">
        <v>4.4</v>
      </c>
      <c r="J2578" t="n">
        <v>0</v>
      </c>
      <c r="K2578" t="n">
        <v>0</v>
      </c>
      <c r="L2578" t="n">
        <v>0</v>
      </c>
      <c r="M2578" t="n">
        <v>0</v>
      </c>
      <c r="N2578" t="n">
        <v>0</v>
      </c>
      <c r="O2578" t="n">
        <v>0</v>
      </c>
      <c r="P2578" t="n">
        <v>0</v>
      </c>
      <c r="Q2578" t="n">
        <v>0</v>
      </c>
      <c r="R2578" t="n">
        <v>0</v>
      </c>
      <c r="S2578" t="n">
        <v>0</v>
      </c>
      <c r="T2578" t="n">
        <v>0</v>
      </c>
      <c r="U2578" t="n">
        <v>0</v>
      </c>
      <c r="V2578" s="2" t="inlineStr"/>
    </row>
    <row r="2579" ht="15" customHeight="1">
      <c r="A2579" t="inlineStr">
        <is>
          <t>A 42769-2025</t>
        </is>
      </c>
      <c r="B2579" t="inlineStr">
        <is>
          <t>avverkningsanmälan</t>
        </is>
      </c>
      <c r="C2579" t="inlineStr">
        <is>
          <t>Föryngringsavverkning</t>
        </is>
      </c>
      <c r="D2579" s="1" t="n">
        <v>45908</v>
      </c>
      <c r="E2579" s="1" t="n">
        <v>46323</v>
      </c>
      <c r="F2579" t="inlineStr">
        <is>
          <t>KALMAR LÄN</t>
        </is>
      </c>
      <c r="G2579" t="inlineStr">
        <is>
          <t>OSKARSHAMN</t>
        </is>
      </c>
      <c r="I2579" t="n">
        <v>1.9</v>
      </c>
      <c r="J2579" t="n">
        <v>0</v>
      </c>
      <c r="K2579" t="n">
        <v>0</v>
      </c>
      <c r="L2579" t="n">
        <v>0</v>
      </c>
      <c r="M2579" t="n">
        <v>0</v>
      </c>
      <c r="N2579" t="n">
        <v>0</v>
      </c>
      <c r="O2579" t="n">
        <v>0</v>
      </c>
      <c r="P2579" t="n">
        <v>0</v>
      </c>
      <c r="Q2579" t="n">
        <v>0</v>
      </c>
      <c r="R2579" t="n">
        <v>0</v>
      </c>
      <c r="S2579" t="n">
        <v>0</v>
      </c>
      <c r="T2579" t="n">
        <v>0</v>
      </c>
      <c r="U2579" t="n">
        <v>0</v>
      </c>
      <c r="V2579" s="2" t="inlineStr"/>
    </row>
    <row r="2580" ht="15" customHeight="1">
      <c r="A2580" t="inlineStr">
        <is>
          <t>A 46341-2023</t>
        </is>
      </c>
      <c r="B2580" t="inlineStr">
        <is>
          <t>avverkningsanmälan</t>
        </is>
      </c>
      <c r="C2580" t="inlineStr">
        <is>
          <t>Föryngringsavverkning</t>
        </is>
      </c>
      <c r="D2580" s="1" t="n">
        <v>45197</v>
      </c>
      <c r="E2580" s="1" t="n">
        <v>46323</v>
      </c>
      <c r="F2580" t="inlineStr">
        <is>
          <t>KALMAR LÄN</t>
        </is>
      </c>
      <c r="G2580" t="inlineStr">
        <is>
          <t>HULTSFRED</t>
        </is>
      </c>
      <c r="I2580" t="n">
        <v>0.8</v>
      </c>
      <c r="J2580" t="n">
        <v>0</v>
      </c>
      <c r="K2580" t="n">
        <v>0</v>
      </c>
      <c r="L2580" t="n">
        <v>0</v>
      </c>
      <c r="M2580" t="n">
        <v>0</v>
      </c>
      <c r="N2580" t="n">
        <v>0</v>
      </c>
      <c r="O2580" t="n">
        <v>0</v>
      </c>
      <c r="P2580" t="n">
        <v>0</v>
      </c>
      <c r="Q2580" t="n">
        <v>0</v>
      </c>
      <c r="R2580" t="n">
        <v>0</v>
      </c>
      <c r="S2580" t="n">
        <v>0</v>
      </c>
      <c r="T2580" t="n">
        <v>0</v>
      </c>
      <c r="U2580" t="n">
        <v>0</v>
      </c>
      <c r="V2580" s="2" t="inlineStr"/>
    </row>
    <row r="2581" ht="15" customHeight="1">
      <c r="A2581" t="inlineStr">
        <is>
          <t>A 4750-2023</t>
        </is>
      </c>
      <c r="B2581" t="inlineStr">
        <is>
          <t>avverkningsanmälan</t>
        </is>
      </c>
      <c r="C2581" t="inlineStr">
        <is>
          <t>Föryngringsavverkning</t>
        </is>
      </c>
      <c r="D2581" s="1" t="n">
        <v>44957</v>
      </c>
      <c r="E2581" s="1" t="n">
        <v>46323</v>
      </c>
      <c r="F2581" t="inlineStr">
        <is>
          <t>KALMAR LÄN</t>
        </is>
      </c>
      <c r="G2581" t="inlineStr">
        <is>
          <t>NYBRO</t>
        </is>
      </c>
      <c r="I2581" t="n">
        <v>0.6</v>
      </c>
      <c r="J2581" t="n">
        <v>0</v>
      </c>
      <c r="K2581" t="n">
        <v>0</v>
      </c>
      <c r="L2581" t="n">
        <v>0</v>
      </c>
      <c r="M2581" t="n">
        <v>0</v>
      </c>
      <c r="N2581" t="n">
        <v>0</v>
      </c>
      <c r="O2581" t="n">
        <v>0</v>
      </c>
      <c r="P2581" t="n">
        <v>0</v>
      </c>
      <c r="Q2581" t="n">
        <v>0</v>
      </c>
      <c r="R2581" t="n">
        <v>0</v>
      </c>
      <c r="S2581" t="n">
        <v>0</v>
      </c>
      <c r="T2581" t="n">
        <v>0</v>
      </c>
      <c r="U2581" t="n">
        <v>0</v>
      </c>
      <c r="V2581" s="2" t="inlineStr"/>
    </row>
    <row r="2582" ht="15" customHeight="1">
      <c r="A2582" t="inlineStr">
        <is>
          <t>A 4751-2023</t>
        </is>
      </c>
      <c r="B2582" t="inlineStr">
        <is>
          <t>avverkningsanmälan</t>
        </is>
      </c>
      <c r="C2582" t="inlineStr">
        <is>
          <t>Föryngringsavverkning</t>
        </is>
      </c>
      <c r="D2582" s="1" t="n">
        <v>44957</v>
      </c>
      <c r="E2582" s="1" t="n">
        <v>46323</v>
      </c>
      <c r="F2582" t="inlineStr">
        <is>
          <t>KALMAR LÄN</t>
        </is>
      </c>
      <c r="G2582" t="inlineStr">
        <is>
          <t>NYBRO</t>
        </is>
      </c>
      <c r="I2582" t="n">
        <v>0.5</v>
      </c>
      <c r="J2582" t="n">
        <v>0</v>
      </c>
      <c r="K2582" t="n">
        <v>0</v>
      </c>
      <c r="L2582" t="n">
        <v>0</v>
      </c>
      <c r="M2582" t="n">
        <v>0</v>
      </c>
      <c r="N2582" t="n">
        <v>0</v>
      </c>
      <c r="O2582" t="n">
        <v>0</v>
      </c>
      <c r="P2582" t="n">
        <v>0</v>
      </c>
      <c r="Q2582" t="n">
        <v>0</v>
      </c>
      <c r="R2582" t="n">
        <v>0</v>
      </c>
      <c r="S2582" t="n">
        <v>0</v>
      </c>
      <c r="T2582" t="n">
        <v>0</v>
      </c>
      <c r="U2582" t="n">
        <v>0</v>
      </c>
      <c r="V2582" s="2" t="inlineStr"/>
    </row>
    <row r="2583" ht="15" customHeight="1">
      <c r="A2583" t="inlineStr">
        <is>
          <t>A 46411-2023</t>
        </is>
      </c>
      <c r="B2583" t="inlineStr">
        <is>
          <t>avverkningsanmälan</t>
        </is>
      </c>
      <c r="C2583" t="inlineStr">
        <is>
          <t>Föryngringsavverkning</t>
        </is>
      </c>
      <c r="D2583" s="1" t="n">
        <v>45194</v>
      </c>
      <c r="E2583" s="1" t="n">
        <v>46323</v>
      </c>
      <c r="F2583" t="inlineStr">
        <is>
          <t>KALMAR LÄN</t>
        </is>
      </c>
      <c r="G2583" t="inlineStr">
        <is>
          <t>HULTSFRED</t>
        </is>
      </c>
      <c r="I2583" t="n">
        <v>3.8</v>
      </c>
      <c r="J2583" t="n">
        <v>0</v>
      </c>
      <c r="K2583" t="n">
        <v>0</v>
      </c>
      <c r="L2583" t="n">
        <v>0</v>
      </c>
      <c r="M2583" t="n">
        <v>0</v>
      </c>
      <c r="N2583" t="n">
        <v>0</v>
      </c>
      <c r="O2583" t="n">
        <v>0</v>
      </c>
      <c r="P2583" t="n">
        <v>0</v>
      </c>
      <c r="Q2583" t="n">
        <v>0</v>
      </c>
      <c r="R2583" t="n">
        <v>0</v>
      </c>
      <c r="S2583" t="n">
        <v>0</v>
      </c>
      <c r="T2583" t="n">
        <v>0</v>
      </c>
      <c r="U2583" t="n">
        <v>0</v>
      </c>
      <c r="V2583" s="2" t="inlineStr"/>
    </row>
    <row r="2584" ht="15" customHeight="1">
      <c r="A2584" t="inlineStr">
        <is>
          <t>A 23080-2023</t>
        </is>
      </c>
      <c r="B2584" t="inlineStr">
        <is>
          <t>avverkningsanmälan</t>
        </is>
      </c>
      <c r="C2584" t="inlineStr">
        <is>
          <t>Föryngringsavverkning</t>
        </is>
      </c>
      <c r="D2584" s="1" t="n">
        <v>45075</v>
      </c>
      <c r="E2584" s="1" t="n">
        <v>46323</v>
      </c>
      <c r="F2584" t="inlineStr">
        <is>
          <t>KALMAR LÄN</t>
        </is>
      </c>
      <c r="G2584" t="inlineStr">
        <is>
          <t>VÄSTERVIK</t>
        </is>
      </c>
      <c r="I2584" t="n">
        <v>0.6</v>
      </c>
      <c r="J2584" t="n">
        <v>0</v>
      </c>
      <c r="K2584" t="n">
        <v>0</v>
      </c>
      <c r="L2584" t="n">
        <v>0</v>
      </c>
      <c r="M2584" t="n">
        <v>0</v>
      </c>
      <c r="N2584" t="n">
        <v>0</v>
      </c>
      <c r="O2584" t="n">
        <v>0</v>
      </c>
      <c r="P2584" t="n">
        <v>0</v>
      </c>
      <c r="Q2584" t="n">
        <v>0</v>
      </c>
      <c r="R2584" t="n">
        <v>0</v>
      </c>
      <c r="S2584" t="n">
        <v>0</v>
      </c>
      <c r="T2584" t="n">
        <v>0</v>
      </c>
      <c r="U2584" t="n">
        <v>0</v>
      </c>
      <c r="V2584" s="2" t="inlineStr"/>
    </row>
    <row r="2585" ht="15" customHeight="1">
      <c r="A2585" t="inlineStr">
        <is>
          <t>A 62635-2023</t>
        </is>
      </c>
      <c r="B2585" t="inlineStr">
        <is>
          <t>avverkningsanmälan</t>
        </is>
      </c>
      <c r="C2585" t="inlineStr">
        <is>
          <t>Föryngringsavverkning</t>
        </is>
      </c>
      <c r="D2585" s="1" t="n">
        <v>45271</v>
      </c>
      <c r="E2585" s="1" t="n">
        <v>46323</v>
      </c>
      <c r="F2585" t="inlineStr">
        <is>
          <t>KALMAR LÄN</t>
        </is>
      </c>
      <c r="G2585" t="inlineStr">
        <is>
          <t>HULTSFRED</t>
        </is>
      </c>
      <c r="I2585" t="n">
        <v>4.2</v>
      </c>
      <c r="J2585" t="n">
        <v>0</v>
      </c>
      <c r="K2585" t="n">
        <v>0</v>
      </c>
      <c r="L2585" t="n">
        <v>0</v>
      </c>
      <c r="M2585" t="n">
        <v>0</v>
      </c>
      <c r="N2585" t="n">
        <v>0</v>
      </c>
      <c r="O2585" t="n">
        <v>0</v>
      </c>
      <c r="P2585" t="n">
        <v>0</v>
      </c>
      <c r="Q2585" t="n">
        <v>0</v>
      </c>
      <c r="R2585" t="n">
        <v>0</v>
      </c>
      <c r="S2585" t="n">
        <v>0</v>
      </c>
      <c r="T2585" t="n">
        <v>0</v>
      </c>
      <c r="U2585" t="n">
        <v>0</v>
      </c>
      <c r="V2585" s="2" t="inlineStr"/>
    </row>
    <row r="2586" ht="15" customHeight="1">
      <c r="A2586" t="inlineStr">
        <is>
          <t>A 62638-2023</t>
        </is>
      </c>
      <c r="B2586" t="inlineStr">
        <is>
          <t>avverkningsanmälan</t>
        </is>
      </c>
      <c r="C2586" t="inlineStr">
        <is>
          <t>Föryngringsavverkning</t>
        </is>
      </c>
      <c r="D2586" s="1" t="n">
        <v>45271</v>
      </c>
      <c r="E2586" s="1" t="n">
        <v>46323</v>
      </c>
      <c r="F2586" t="inlineStr">
        <is>
          <t>KALMAR LÄN</t>
        </is>
      </c>
      <c r="G2586" t="inlineStr">
        <is>
          <t>MÖNSTERÅS</t>
        </is>
      </c>
      <c r="I2586" t="n">
        <v>8.300000000000001</v>
      </c>
      <c r="J2586" t="n">
        <v>0</v>
      </c>
      <c r="K2586" t="n">
        <v>0</v>
      </c>
      <c r="L2586" t="n">
        <v>0</v>
      </c>
      <c r="M2586" t="n">
        <v>0</v>
      </c>
      <c r="N2586" t="n">
        <v>0</v>
      </c>
      <c r="O2586" t="n">
        <v>0</v>
      </c>
      <c r="P2586" t="n">
        <v>0</v>
      </c>
      <c r="Q2586" t="n">
        <v>0</v>
      </c>
      <c r="R2586" t="n">
        <v>0</v>
      </c>
      <c r="S2586" t="n">
        <v>0</v>
      </c>
      <c r="T2586" t="n">
        <v>0</v>
      </c>
      <c r="U2586" t="n">
        <v>0</v>
      </c>
      <c r="V2586" s="2" t="inlineStr"/>
    </row>
    <row r="2587" ht="15" customHeight="1">
      <c r="A2587" t="inlineStr">
        <is>
          <t>A 24672-2025</t>
        </is>
      </c>
      <c r="B2587" t="inlineStr">
        <is>
          <t>avverkningsanmälan</t>
        </is>
      </c>
      <c r="C2587" t="inlineStr">
        <is>
          <t>Föryngringsavverkning</t>
        </is>
      </c>
      <c r="D2587" s="1" t="n">
        <v>45798</v>
      </c>
      <c r="E2587" s="1" t="n">
        <v>46323</v>
      </c>
      <c r="F2587" t="inlineStr">
        <is>
          <t>KALMAR LÄN</t>
        </is>
      </c>
      <c r="G2587" t="inlineStr">
        <is>
          <t>TORSÅS</t>
        </is>
      </c>
      <c r="I2587" t="n">
        <v>1.3</v>
      </c>
      <c r="J2587" t="n">
        <v>0</v>
      </c>
      <c r="K2587" t="n">
        <v>0</v>
      </c>
      <c r="L2587" t="n">
        <v>0</v>
      </c>
      <c r="M2587" t="n">
        <v>0</v>
      </c>
      <c r="N2587" t="n">
        <v>0</v>
      </c>
      <c r="O2587" t="n">
        <v>0</v>
      </c>
      <c r="P2587" t="n">
        <v>0</v>
      </c>
      <c r="Q2587" t="n">
        <v>0</v>
      </c>
      <c r="R2587" t="n">
        <v>0</v>
      </c>
      <c r="S2587" t="n">
        <v>0</v>
      </c>
      <c r="T2587" t="n">
        <v>0</v>
      </c>
      <c r="U2587" t="n">
        <v>0</v>
      </c>
      <c r="V2587" s="2" t="inlineStr"/>
    </row>
    <row r="2588" ht="15" customHeight="1">
      <c r="A2588" t="inlineStr">
        <is>
          <t>A 24488-2024</t>
        </is>
      </c>
      <c r="B2588" t="inlineStr">
        <is>
          <t>avverkningsanmälan</t>
        </is>
      </c>
      <c r="C2588" t="inlineStr">
        <is>
          <t>Föryngringsavverkning</t>
        </is>
      </c>
      <c r="D2588" s="1" t="n">
        <v>45459</v>
      </c>
      <c r="E2588" s="1" t="n">
        <v>46323</v>
      </c>
      <c r="F2588" t="inlineStr">
        <is>
          <t>KALMAR LÄN</t>
        </is>
      </c>
      <c r="G2588" t="inlineStr">
        <is>
          <t>MÖNSTERÅS</t>
        </is>
      </c>
      <c r="I2588" t="n">
        <v>1.3</v>
      </c>
      <c r="J2588" t="n">
        <v>0</v>
      </c>
      <c r="K2588" t="n">
        <v>0</v>
      </c>
      <c r="L2588" t="n">
        <v>0</v>
      </c>
      <c r="M2588" t="n">
        <v>0</v>
      </c>
      <c r="N2588" t="n">
        <v>0</v>
      </c>
      <c r="O2588" t="n">
        <v>0</v>
      </c>
      <c r="P2588" t="n">
        <v>0</v>
      </c>
      <c r="Q2588" t="n">
        <v>0</v>
      </c>
      <c r="R2588" t="n">
        <v>0</v>
      </c>
      <c r="S2588" t="n">
        <v>0</v>
      </c>
      <c r="T2588" t="n">
        <v>0</v>
      </c>
      <c r="U2588" t="n">
        <v>0</v>
      </c>
      <c r="V2588" s="2" t="inlineStr"/>
    </row>
    <row r="2589" ht="15" customHeight="1">
      <c r="A2589" t="inlineStr">
        <is>
          <t>A 42814-2025</t>
        </is>
      </c>
      <c r="B2589" t="inlineStr">
        <is>
          <t>avverkningsanmälan</t>
        </is>
      </c>
      <c r="C2589" t="inlineStr">
        <is>
          <t>Föryngringsavverkning</t>
        </is>
      </c>
      <c r="D2589" s="1" t="n">
        <v>45908</v>
      </c>
      <c r="E2589" s="1" t="n">
        <v>46323</v>
      </c>
      <c r="F2589" t="inlineStr">
        <is>
          <t>KALMAR LÄN</t>
        </is>
      </c>
      <c r="G2589" t="inlineStr">
        <is>
          <t>NYBRO</t>
        </is>
      </c>
      <c r="I2589" t="n">
        <v>1.6</v>
      </c>
      <c r="J2589" t="n">
        <v>0</v>
      </c>
      <c r="K2589" t="n">
        <v>0</v>
      </c>
      <c r="L2589" t="n">
        <v>0</v>
      </c>
      <c r="M2589" t="n">
        <v>0</v>
      </c>
      <c r="N2589" t="n">
        <v>0</v>
      </c>
      <c r="O2589" t="n">
        <v>0</v>
      </c>
      <c r="P2589" t="n">
        <v>0</v>
      </c>
      <c r="Q2589" t="n">
        <v>0</v>
      </c>
      <c r="R2589" t="n">
        <v>0</v>
      </c>
      <c r="S2589" t="n">
        <v>0</v>
      </c>
      <c r="T2589" t="n">
        <v>0</v>
      </c>
      <c r="U2589" t="n">
        <v>0</v>
      </c>
      <c r="V2589" s="2" t="inlineStr"/>
    </row>
    <row r="2590" ht="15" customHeight="1">
      <c r="A2590" t="inlineStr">
        <is>
          <t>A 42693-2025</t>
        </is>
      </c>
      <c r="B2590" t="inlineStr">
        <is>
          <t>avverkningsanmälan</t>
        </is>
      </c>
      <c r="C2590" t="inlineStr">
        <is>
          <t>Avverkning för att bevara och utveckla /försöksver</t>
        </is>
      </c>
      <c r="D2590" s="1" t="n">
        <v>45908</v>
      </c>
      <c r="E2590" s="1" t="n">
        <v>46323</v>
      </c>
      <c r="F2590" t="inlineStr">
        <is>
          <t>KALMAR LÄN</t>
        </is>
      </c>
      <c r="G2590" t="inlineStr">
        <is>
          <t>OSKARSHAMN</t>
        </is>
      </c>
      <c r="I2590" t="n">
        <v>1.1</v>
      </c>
      <c r="J2590" t="n">
        <v>0</v>
      </c>
      <c r="K2590" t="n">
        <v>0</v>
      </c>
      <c r="L2590" t="n">
        <v>0</v>
      </c>
      <c r="M2590" t="n">
        <v>0</v>
      </c>
      <c r="N2590" t="n">
        <v>0</v>
      </c>
      <c r="O2590" t="n">
        <v>0</v>
      </c>
      <c r="P2590" t="n">
        <v>0</v>
      </c>
      <c r="Q2590" t="n">
        <v>0</v>
      </c>
      <c r="R2590" t="n">
        <v>0</v>
      </c>
      <c r="S2590" t="n">
        <v>0</v>
      </c>
      <c r="T2590" t="n">
        <v>0</v>
      </c>
      <c r="U2590" t="n">
        <v>0</v>
      </c>
      <c r="V2590" s="2" t="inlineStr"/>
    </row>
    <row r="2591" ht="15" customHeight="1">
      <c r="A2591" t="inlineStr">
        <is>
          <t>A 54190-2022</t>
        </is>
      </c>
      <c r="B2591" t="inlineStr">
        <is>
          <t>avverkningsanmälan</t>
        </is>
      </c>
      <c r="C2591" t="inlineStr">
        <is>
          <t>Föryngringsavverkning</t>
        </is>
      </c>
      <c r="D2591" s="1" t="n">
        <v>44881</v>
      </c>
      <c r="E2591" s="1" t="n">
        <v>46323</v>
      </c>
      <c r="F2591" t="inlineStr">
        <is>
          <t>KALMAR LÄN</t>
        </is>
      </c>
      <c r="G2591" t="inlineStr">
        <is>
          <t>VÄSTERVIK</t>
        </is>
      </c>
      <c r="I2591" t="n">
        <v>7.4</v>
      </c>
      <c r="J2591" t="n">
        <v>0</v>
      </c>
      <c r="K2591" t="n">
        <v>0</v>
      </c>
      <c r="L2591" t="n">
        <v>0</v>
      </c>
      <c r="M2591" t="n">
        <v>0</v>
      </c>
      <c r="N2591" t="n">
        <v>0</v>
      </c>
      <c r="O2591" t="n">
        <v>0</v>
      </c>
      <c r="P2591" t="n">
        <v>0</v>
      </c>
      <c r="Q2591" t="n">
        <v>0</v>
      </c>
      <c r="R2591" t="n">
        <v>0</v>
      </c>
      <c r="S2591" t="n">
        <v>0</v>
      </c>
      <c r="T2591" t="n">
        <v>0</v>
      </c>
      <c r="U2591" t="n">
        <v>0</v>
      </c>
      <c r="V2591" s="2" t="inlineStr"/>
    </row>
    <row r="2592" ht="15" customHeight="1">
      <c r="A2592" t="inlineStr">
        <is>
          <t>A 11968-2025</t>
        </is>
      </c>
      <c r="B2592" t="inlineStr">
        <is>
          <t>avverkningsanmälan</t>
        </is>
      </c>
      <c r="C2592" t="inlineStr">
        <is>
          <t>Avverkning för att bevara och utveckla /försöksver</t>
        </is>
      </c>
      <c r="D2592" s="1" t="n">
        <v>45728</v>
      </c>
      <c r="E2592" s="1" t="n">
        <v>46323</v>
      </c>
      <c r="F2592" t="inlineStr">
        <is>
          <t>KALMAR LÄN</t>
        </is>
      </c>
      <c r="G2592" t="inlineStr">
        <is>
          <t>NYBRO</t>
        </is>
      </c>
      <c r="H2592" t="inlineStr">
        <is>
          <t>Sveaskog</t>
        </is>
      </c>
      <c r="I2592" t="n">
        <v>0.4</v>
      </c>
      <c r="J2592" t="n">
        <v>0</v>
      </c>
      <c r="K2592" t="n">
        <v>0</v>
      </c>
      <c r="L2592" t="n">
        <v>0</v>
      </c>
      <c r="M2592" t="n">
        <v>0</v>
      </c>
      <c r="N2592" t="n">
        <v>0</v>
      </c>
      <c r="O2592" t="n">
        <v>0</v>
      </c>
      <c r="P2592" t="n">
        <v>0</v>
      </c>
      <c r="Q2592" t="n">
        <v>0</v>
      </c>
      <c r="R2592" t="n">
        <v>0</v>
      </c>
      <c r="S2592" t="n">
        <v>0</v>
      </c>
      <c r="T2592" t="n">
        <v>0</v>
      </c>
      <c r="U2592" t="n">
        <v>0</v>
      </c>
      <c r="V2592" s="2" t="inlineStr"/>
    </row>
    <row r="2593" ht="15" customHeight="1">
      <c r="A2593" t="inlineStr">
        <is>
          <t>A 35816-2024</t>
        </is>
      </c>
      <c r="B2593" t="inlineStr">
        <is>
          <t>avverkningsanmälan</t>
        </is>
      </c>
      <c r="C2593" t="inlineStr">
        <is>
          <t>Föryngringsavverkning</t>
        </is>
      </c>
      <c r="D2593" s="1" t="n">
        <v>45532</v>
      </c>
      <c r="E2593" s="1" t="n">
        <v>46323</v>
      </c>
      <c r="F2593" t="inlineStr">
        <is>
          <t>KALMAR LÄN</t>
        </is>
      </c>
      <c r="G2593" t="inlineStr">
        <is>
          <t>HULTSFRED</t>
        </is>
      </c>
      <c r="H2593" t="inlineStr">
        <is>
          <t>Övriga Aktiebolag</t>
        </is>
      </c>
      <c r="I2593" t="n">
        <v>3.1</v>
      </c>
      <c r="J2593" t="n">
        <v>0</v>
      </c>
      <c r="K2593" t="n">
        <v>0</v>
      </c>
      <c r="L2593" t="n">
        <v>0</v>
      </c>
      <c r="M2593" t="n">
        <v>0</v>
      </c>
      <c r="N2593" t="n">
        <v>0</v>
      </c>
      <c r="O2593" t="n">
        <v>0</v>
      </c>
      <c r="P2593" t="n">
        <v>0</v>
      </c>
      <c r="Q2593" t="n">
        <v>0</v>
      </c>
      <c r="R2593" t="n">
        <v>0</v>
      </c>
      <c r="S2593" t="n">
        <v>0</v>
      </c>
      <c r="T2593" t="n">
        <v>0</v>
      </c>
      <c r="U2593" t="n">
        <v>0</v>
      </c>
      <c r="V2593" s="2" t="inlineStr"/>
    </row>
    <row r="2594" ht="15" customHeight="1">
      <c r="A2594" t="inlineStr">
        <is>
          <t>A 1598-2024</t>
        </is>
      </c>
      <c r="B2594" t="inlineStr">
        <is>
          <t>avverkningsanmälan</t>
        </is>
      </c>
      <c r="C2594" t="inlineStr">
        <is>
          <t>Avverkning för annat ändamål</t>
        </is>
      </c>
      <c r="D2594" s="1" t="n">
        <v>45306</v>
      </c>
      <c r="E2594" s="1" t="n">
        <v>46323</v>
      </c>
      <c r="F2594" t="inlineStr">
        <is>
          <t>KALMAR LÄN</t>
        </is>
      </c>
      <c r="G2594" t="inlineStr">
        <is>
          <t>KALMAR</t>
        </is>
      </c>
      <c r="I2594" t="n">
        <v>2.5</v>
      </c>
      <c r="J2594" t="n">
        <v>0</v>
      </c>
      <c r="K2594" t="n">
        <v>0</v>
      </c>
      <c r="L2594" t="n">
        <v>0</v>
      </c>
      <c r="M2594" t="n">
        <v>0</v>
      </c>
      <c r="N2594" t="n">
        <v>0</v>
      </c>
      <c r="O2594" t="n">
        <v>0</v>
      </c>
      <c r="P2594" t="n">
        <v>0</v>
      </c>
      <c r="Q2594" t="n">
        <v>0</v>
      </c>
      <c r="R2594" t="n">
        <v>0</v>
      </c>
      <c r="S2594" t="n">
        <v>0</v>
      </c>
      <c r="T2594" t="n">
        <v>0</v>
      </c>
      <c r="U2594" t="n">
        <v>0</v>
      </c>
      <c r="V2594" s="2" t="inlineStr"/>
    </row>
    <row r="2595" ht="15" customHeight="1">
      <c r="A2595" t="inlineStr">
        <is>
          <t>A 4965-2025</t>
        </is>
      </c>
      <c r="B2595" t="inlineStr">
        <is>
          <t>avverkningsanmälan</t>
        </is>
      </c>
      <c r="C2595" t="inlineStr">
        <is>
          <t>Föryngringsavverkning</t>
        </is>
      </c>
      <c r="D2595" s="1" t="n">
        <v>45690</v>
      </c>
      <c r="E2595" s="1" t="n">
        <v>46323</v>
      </c>
      <c r="F2595" t="inlineStr">
        <is>
          <t>KALMAR LÄN</t>
        </is>
      </c>
      <c r="G2595" t="inlineStr">
        <is>
          <t>HULTSFRED</t>
        </is>
      </c>
      <c r="H2595" t="inlineStr">
        <is>
          <t>Sveaskog</t>
        </is>
      </c>
      <c r="I2595" t="n">
        <v>5.9</v>
      </c>
      <c r="J2595" t="n">
        <v>0</v>
      </c>
      <c r="K2595" t="n">
        <v>0</v>
      </c>
      <c r="L2595" t="n">
        <v>0</v>
      </c>
      <c r="M2595" t="n">
        <v>0</v>
      </c>
      <c r="N2595" t="n">
        <v>0</v>
      </c>
      <c r="O2595" t="n">
        <v>0</v>
      </c>
      <c r="P2595" t="n">
        <v>0</v>
      </c>
      <c r="Q2595" t="n">
        <v>0</v>
      </c>
      <c r="R2595" t="n">
        <v>0</v>
      </c>
      <c r="S2595" t="n">
        <v>0</v>
      </c>
      <c r="T2595" t="n">
        <v>0</v>
      </c>
      <c r="U2595" t="n">
        <v>0</v>
      </c>
      <c r="V2595" s="2" t="inlineStr"/>
    </row>
    <row r="2596" ht="15" customHeight="1">
      <c r="A2596" t="inlineStr">
        <is>
          <t>A 16014-2025</t>
        </is>
      </c>
      <c r="B2596" t="inlineStr">
        <is>
          <t>avverkningsanmälan</t>
        </is>
      </c>
      <c r="C2596" t="inlineStr">
        <is>
          <t>Föryngringsavverkning</t>
        </is>
      </c>
      <c r="D2596" s="1" t="n">
        <v>45749</v>
      </c>
      <c r="E2596" s="1" t="n">
        <v>46323</v>
      </c>
      <c r="F2596" t="inlineStr">
        <is>
          <t>KALMAR LÄN</t>
        </is>
      </c>
      <c r="G2596" t="inlineStr">
        <is>
          <t>HÖGSBY</t>
        </is>
      </c>
      <c r="I2596" t="n">
        <v>4.3</v>
      </c>
      <c r="J2596" t="n">
        <v>0</v>
      </c>
      <c r="K2596" t="n">
        <v>0</v>
      </c>
      <c r="L2596" t="n">
        <v>0</v>
      </c>
      <c r="M2596" t="n">
        <v>0</v>
      </c>
      <c r="N2596" t="n">
        <v>0</v>
      </c>
      <c r="O2596" t="n">
        <v>0</v>
      </c>
      <c r="P2596" t="n">
        <v>0</v>
      </c>
      <c r="Q2596" t="n">
        <v>0</v>
      </c>
      <c r="R2596" t="n">
        <v>0</v>
      </c>
      <c r="S2596" t="n">
        <v>0</v>
      </c>
      <c r="T2596" t="n">
        <v>0</v>
      </c>
      <c r="U2596" t="n">
        <v>0</v>
      </c>
      <c r="V2596" s="2" t="inlineStr"/>
    </row>
    <row r="2597" ht="15" customHeight="1">
      <c r="A2597" t="inlineStr">
        <is>
          <t>A 11183-2022</t>
        </is>
      </c>
      <c r="B2597" t="inlineStr">
        <is>
          <t>avverkningsanmälan</t>
        </is>
      </c>
      <c r="C2597" t="inlineStr">
        <is>
          <t>Föryngringsavverkning</t>
        </is>
      </c>
      <c r="D2597" s="1" t="n">
        <v>44629</v>
      </c>
      <c r="E2597" s="1" t="n">
        <v>46323</v>
      </c>
      <c r="F2597" t="inlineStr">
        <is>
          <t>KALMAR LÄN</t>
        </is>
      </c>
      <c r="G2597" t="inlineStr">
        <is>
          <t>KALMAR</t>
        </is>
      </c>
      <c r="I2597" t="n">
        <v>0.9</v>
      </c>
      <c r="J2597" t="n">
        <v>0</v>
      </c>
      <c r="K2597" t="n">
        <v>0</v>
      </c>
      <c r="L2597" t="n">
        <v>0</v>
      </c>
      <c r="M2597" t="n">
        <v>0</v>
      </c>
      <c r="N2597" t="n">
        <v>0</v>
      </c>
      <c r="O2597" t="n">
        <v>0</v>
      </c>
      <c r="P2597" t="n">
        <v>0</v>
      </c>
      <c r="Q2597" t="n">
        <v>0</v>
      </c>
      <c r="R2597" t="n">
        <v>0</v>
      </c>
      <c r="S2597" t="n">
        <v>0</v>
      </c>
      <c r="T2597" t="n">
        <v>0</v>
      </c>
      <c r="U2597" t="n">
        <v>0</v>
      </c>
      <c r="V2597" s="2" t="inlineStr"/>
    </row>
    <row r="2598" ht="15" customHeight="1">
      <c r="A2598" t="inlineStr">
        <is>
          <t>A 18947-2022</t>
        </is>
      </c>
      <c r="B2598" t="inlineStr">
        <is>
          <t>avverkningsanmälan</t>
        </is>
      </c>
      <c r="C2598" t="inlineStr">
        <is>
          <t>Föryngringsavverkning</t>
        </is>
      </c>
      <c r="D2598" s="1" t="n">
        <v>44690</v>
      </c>
      <c r="E2598" s="1" t="n">
        <v>46323</v>
      </c>
      <c r="F2598" t="inlineStr">
        <is>
          <t>KALMAR LÄN</t>
        </is>
      </c>
      <c r="G2598" t="inlineStr">
        <is>
          <t>EMMABODA</t>
        </is>
      </c>
      <c r="I2598" t="n">
        <v>1.1</v>
      </c>
      <c r="J2598" t="n">
        <v>0</v>
      </c>
      <c r="K2598" t="n">
        <v>0</v>
      </c>
      <c r="L2598" t="n">
        <v>0</v>
      </c>
      <c r="M2598" t="n">
        <v>0</v>
      </c>
      <c r="N2598" t="n">
        <v>0</v>
      </c>
      <c r="O2598" t="n">
        <v>0</v>
      </c>
      <c r="P2598" t="n">
        <v>0</v>
      </c>
      <c r="Q2598" t="n">
        <v>0</v>
      </c>
      <c r="R2598" t="n">
        <v>0</v>
      </c>
      <c r="S2598" t="n">
        <v>0</v>
      </c>
      <c r="T2598" t="n">
        <v>0</v>
      </c>
      <c r="U2598" t="n">
        <v>0</v>
      </c>
      <c r="V2598" s="2" t="inlineStr"/>
    </row>
    <row r="2599" ht="15" customHeight="1">
      <c r="A2599" t="inlineStr">
        <is>
          <t>A 56659-2023</t>
        </is>
      </c>
      <c r="B2599" t="inlineStr">
        <is>
          <t>avverkningsanmälan</t>
        </is>
      </c>
      <c r="C2599" t="inlineStr">
        <is>
          <t>Föryngringsavverkning</t>
        </is>
      </c>
      <c r="D2599" s="1" t="n">
        <v>45243</v>
      </c>
      <c r="E2599" s="1" t="n">
        <v>46323</v>
      </c>
      <c r="F2599" t="inlineStr">
        <is>
          <t>KALMAR LÄN</t>
        </is>
      </c>
      <c r="G2599" t="inlineStr">
        <is>
          <t>VIMMERBY</t>
        </is>
      </c>
      <c r="I2599" t="n">
        <v>0.6</v>
      </c>
      <c r="J2599" t="n">
        <v>0</v>
      </c>
      <c r="K2599" t="n">
        <v>0</v>
      </c>
      <c r="L2599" t="n">
        <v>0</v>
      </c>
      <c r="M2599" t="n">
        <v>0</v>
      </c>
      <c r="N2599" t="n">
        <v>0</v>
      </c>
      <c r="O2599" t="n">
        <v>0</v>
      </c>
      <c r="P2599" t="n">
        <v>0</v>
      </c>
      <c r="Q2599" t="n">
        <v>0</v>
      </c>
      <c r="R2599" t="n">
        <v>0</v>
      </c>
      <c r="S2599" t="n">
        <v>0</v>
      </c>
      <c r="T2599" t="n">
        <v>0</v>
      </c>
      <c r="U2599" t="n">
        <v>0</v>
      </c>
      <c r="V2599" s="2" t="inlineStr"/>
    </row>
    <row r="2600" ht="15" customHeight="1">
      <c r="A2600" t="inlineStr">
        <is>
          <t>A 42797-2025</t>
        </is>
      </c>
      <c r="B2600" t="inlineStr">
        <is>
          <t>avverkningsanmälan</t>
        </is>
      </c>
      <c r="C2600" t="inlineStr">
        <is>
          <t>Föryngringsavverkning</t>
        </is>
      </c>
      <c r="D2600" s="1" t="n">
        <v>45908</v>
      </c>
      <c r="E2600" s="1" t="n">
        <v>46323</v>
      </c>
      <c r="F2600" t="inlineStr">
        <is>
          <t>KALMAR LÄN</t>
        </is>
      </c>
      <c r="G2600" t="inlineStr">
        <is>
          <t>OSKARSHAMN</t>
        </is>
      </c>
      <c r="I2600" t="n">
        <v>1.2</v>
      </c>
      <c r="J2600" t="n">
        <v>0</v>
      </c>
      <c r="K2600" t="n">
        <v>0</v>
      </c>
      <c r="L2600" t="n">
        <v>0</v>
      </c>
      <c r="M2600" t="n">
        <v>0</v>
      </c>
      <c r="N2600" t="n">
        <v>0</v>
      </c>
      <c r="O2600" t="n">
        <v>0</v>
      </c>
      <c r="P2600" t="n">
        <v>0</v>
      </c>
      <c r="Q2600" t="n">
        <v>0</v>
      </c>
      <c r="R2600" t="n">
        <v>0</v>
      </c>
      <c r="S2600" t="n">
        <v>0</v>
      </c>
      <c r="T2600" t="n">
        <v>0</v>
      </c>
      <c r="U2600" t="n">
        <v>0</v>
      </c>
      <c r="V2600" s="2" t="inlineStr"/>
    </row>
    <row r="2601" ht="15" customHeight="1">
      <c r="A2601" t="inlineStr">
        <is>
          <t>A 56706-2023</t>
        </is>
      </c>
      <c r="B2601" t="inlineStr">
        <is>
          <t>avverkningsanmälan</t>
        </is>
      </c>
      <c r="C2601" t="inlineStr">
        <is>
          <t>Föryngringsavverkning</t>
        </is>
      </c>
      <c r="D2601" s="1" t="n">
        <v>45244</v>
      </c>
      <c r="E2601" s="1" t="n">
        <v>46323</v>
      </c>
      <c r="F2601" t="inlineStr">
        <is>
          <t>KALMAR LÄN</t>
        </is>
      </c>
      <c r="G2601" t="inlineStr">
        <is>
          <t>HÖGSBY</t>
        </is>
      </c>
      <c r="I2601" t="n">
        <v>0.9</v>
      </c>
      <c r="J2601" t="n">
        <v>0</v>
      </c>
      <c r="K2601" t="n">
        <v>0</v>
      </c>
      <c r="L2601" t="n">
        <v>0</v>
      </c>
      <c r="M2601" t="n">
        <v>0</v>
      </c>
      <c r="N2601" t="n">
        <v>0</v>
      </c>
      <c r="O2601" t="n">
        <v>0</v>
      </c>
      <c r="P2601" t="n">
        <v>0</v>
      </c>
      <c r="Q2601" t="n">
        <v>0</v>
      </c>
      <c r="R2601" t="n">
        <v>0</v>
      </c>
      <c r="S2601" t="n">
        <v>0</v>
      </c>
      <c r="T2601" t="n">
        <v>0</v>
      </c>
      <c r="U2601" t="n">
        <v>0</v>
      </c>
      <c r="V2601" s="2" t="inlineStr"/>
    </row>
    <row r="2602" ht="15" customHeight="1">
      <c r="A2602" t="inlineStr">
        <is>
          <t>A 27109-2023</t>
        </is>
      </c>
      <c r="B2602" t="inlineStr">
        <is>
          <t>avverkningsanmälan</t>
        </is>
      </c>
      <c r="C2602" t="inlineStr">
        <is>
          <t>Föryngringsavverkning</t>
        </is>
      </c>
      <c r="D2602" s="1" t="n">
        <v>45096</v>
      </c>
      <c r="E2602" s="1" t="n">
        <v>46323</v>
      </c>
      <c r="F2602" t="inlineStr">
        <is>
          <t>KALMAR LÄN</t>
        </is>
      </c>
      <c r="G2602" t="inlineStr">
        <is>
          <t>KALMAR</t>
        </is>
      </c>
      <c r="I2602" t="n">
        <v>1.1</v>
      </c>
      <c r="J2602" t="n">
        <v>0</v>
      </c>
      <c r="K2602" t="n">
        <v>0</v>
      </c>
      <c r="L2602" t="n">
        <v>0</v>
      </c>
      <c r="M2602" t="n">
        <v>0</v>
      </c>
      <c r="N2602" t="n">
        <v>0</v>
      </c>
      <c r="O2602" t="n">
        <v>0</v>
      </c>
      <c r="P2602" t="n">
        <v>0</v>
      </c>
      <c r="Q2602" t="n">
        <v>0</v>
      </c>
      <c r="R2602" t="n">
        <v>0</v>
      </c>
      <c r="S2602" t="n">
        <v>0</v>
      </c>
      <c r="T2602" t="n">
        <v>0</v>
      </c>
      <c r="U2602" t="n">
        <v>0</v>
      </c>
      <c r="V2602" s="2" t="inlineStr"/>
    </row>
    <row r="2603" ht="15" customHeight="1">
      <c r="A2603" t="inlineStr">
        <is>
          <t>A 42833-2025</t>
        </is>
      </c>
      <c r="B2603" t="inlineStr">
        <is>
          <t>avverkningsanmälan</t>
        </is>
      </c>
      <c r="C2603" t="inlineStr">
        <is>
          <t>Föryngringsavverkning</t>
        </is>
      </c>
      <c r="D2603" s="1" t="n">
        <v>45908</v>
      </c>
      <c r="E2603" s="1" t="n">
        <v>46323</v>
      </c>
      <c r="F2603" t="inlineStr">
        <is>
          <t>KALMAR LÄN</t>
        </is>
      </c>
      <c r="G2603" t="inlineStr">
        <is>
          <t>EMMABODA</t>
        </is>
      </c>
      <c r="I2603" t="n">
        <v>0.5</v>
      </c>
      <c r="J2603" t="n">
        <v>0</v>
      </c>
      <c r="K2603" t="n">
        <v>0</v>
      </c>
      <c r="L2603" t="n">
        <v>0</v>
      </c>
      <c r="M2603" t="n">
        <v>0</v>
      </c>
      <c r="N2603" t="n">
        <v>0</v>
      </c>
      <c r="O2603" t="n">
        <v>0</v>
      </c>
      <c r="P2603" t="n">
        <v>0</v>
      </c>
      <c r="Q2603" t="n">
        <v>0</v>
      </c>
      <c r="R2603" t="n">
        <v>0</v>
      </c>
      <c r="S2603" t="n">
        <v>0</v>
      </c>
      <c r="T2603" t="n">
        <v>0</v>
      </c>
      <c r="U2603" t="n">
        <v>0</v>
      </c>
      <c r="V2603" s="2" t="inlineStr"/>
    </row>
    <row r="2604" ht="15" customHeight="1">
      <c r="A2604" t="inlineStr">
        <is>
          <t>A 33292-2025</t>
        </is>
      </c>
      <c r="B2604" t="inlineStr">
        <is>
          <t>avverkningsanmälan</t>
        </is>
      </c>
      <c r="C2604" t="inlineStr">
        <is>
          <t>Föryngringsavverkning</t>
        </is>
      </c>
      <c r="D2604" s="1" t="n">
        <v>45840</v>
      </c>
      <c r="E2604" s="1" t="n">
        <v>46323</v>
      </c>
      <c r="F2604" t="inlineStr">
        <is>
          <t>KALMAR LÄN</t>
        </is>
      </c>
      <c r="G2604" t="inlineStr">
        <is>
          <t>NYBRO</t>
        </is>
      </c>
      <c r="I2604" t="n">
        <v>1.7</v>
      </c>
      <c r="J2604" t="n">
        <v>0</v>
      </c>
      <c r="K2604" t="n">
        <v>0</v>
      </c>
      <c r="L2604" t="n">
        <v>0</v>
      </c>
      <c r="M2604" t="n">
        <v>0</v>
      </c>
      <c r="N2604" t="n">
        <v>0</v>
      </c>
      <c r="O2604" t="n">
        <v>0</v>
      </c>
      <c r="P2604" t="n">
        <v>0</v>
      </c>
      <c r="Q2604" t="n">
        <v>0</v>
      </c>
      <c r="R2604" t="n">
        <v>0</v>
      </c>
      <c r="S2604" t="n">
        <v>0</v>
      </c>
      <c r="T2604" t="n">
        <v>0</v>
      </c>
      <c r="U2604" t="n">
        <v>0</v>
      </c>
      <c r="V2604" s="2" t="inlineStr"/>
    </row>
    <row r="2605" ht="15" customHeight="1">
      <c r="A2605" t="inlineStr">
        <is>
          <t>A 43037-2025</t>
        </is>
      </c>
      <c r="B2605" t="inlineStr">
        <is>
          <t>avverkningsanmälan</t>
        </is>
      </c>
      <c r="C2605" t="inlineStr">
        <is>
          <t>Föryngringsavverkning</t>
        </is>
      </c>
      <c r="D2605" s="1" t="n">
        <v>45909</v>
      </c>
      <c r="E2605" s="1" t="n">
        <v>46323</v>
      </c>
      <c r="F2605" t="inlineStr">
        <is>
          <t>KALMAR LÄN</t>
        </is>
      </c>
      <c r="G2605" t="inlineStr">
        <is>
          <t>HULTSFRED</t>
        </is>
      </c>
      <c r="I2605" t="n">
        <v>0.4</v>
      </c>
      <c r="J2605" t="n">
        <v>0</v>
      </c>
      <c r="K2605" t="n">
        <v>0</v>
      </c>
      <c r="L2605" t="n">
        <v>0</v>
      </c>
      <c r="M2605" t="n">
        <v>0</v>
      </c>
      <c r="N2605" t="n">
        <v>0</v>
      </c>
      <c r="O2605" t="n">
        <v>0</v>
      </c>
      <c r="P2605" t="n">
        <v>0</v>
      </c>
      <c r="Q2605" t="n">
        <v>0</v>
      </c>
      <c r="R2605" t="n">
        <v>0</v>
      </c>
      <c r="S2605" t="n">
        <v>0</v>
      </c>
      <c r="T2605" t="n">
        <v>0</v>
      </c>
      <c r="U2605" t="n">
        <v>0</v>
      </c>
      <c r="V2605" s="2" t="inlineStr"/>
    </row>
    <row r="2606" ht="15" customHeight="1">
      <c r="A2606" t="inlineStr">
        <is>
          <t>A 31340-2023</t>
        </is>
      </c>
      <c r="B2606" t="inlineStr">
        <is>
          <t>avverkningsanmälan</t>
        </is>
      </c>
      <c r="C2606" t="inlineStr">
        <is>
          <t>Föryngringsavverkning</t>
        </is>
      </c>
      <c r="D2606" s="1" t="n">
        <v>45114</v>
      </c>
      <c r="E2606" s="1" t="n">
        <v>46323</v>
      </c>
      <c r="F2606" t="inlineStr">
        <is>
          <t>KALMAR LÄN</t>
        </is>
      </c>
      <c r="G2606" t="inlineStr">
        <is>
          <t>VIMMERBY</t>
        </is>
      </c>
      <c r="I2606" t="n">
        <v>1.8</v>
      </c>
      <c r="J2606" t="n">
        <v>0</v>
      </c>
      <c r="K2606" t="n">
        <v>0</v>
      </c>
      <c r="L2606" t="n">
        <v>0</v>
      </c>
      <c r="M2606" t="n">
        <v>0</v>
      </c>
      <c r="N2606" t="n">
        <v>0</v>
      </c>
      <c r="O2606" t="n">
        <v>0</v>
      </c>
      <c r="P2606" t="n">
        <v>0</v>
      </c>
      <c r="Q2606" t="n">
        <v>0</v>
      </c>
      <c r="R2606" t="n">
        <v>0</v>
      </c>
      <c r="S2606" t="n">
        <v>0</v>
      </c>
      <c r="T2606" t="n">
        <v>0</v>
      </c>
      <c r="U2606" t="n">
        <v>0</v>
      </c>
      <c r="V2606" s="2" t="inlineStr"/>
    </row>
    <row r="2607" ht="15" customHeight="1">
      <c r="A2607" t="inlineStr">
        <is>
          <t>A 67538-2021</t>
        </is>
      </c>
      <c r="B2607" t="inlineStr">
        <is>
          <t>avverkningsanmälan</t>
        </is>
      </c>
      <c r="C2607" t="inlineStr">
        <is>
          <t>Föryngringsavverkning</t>
        </is>
      </c>
      <c r="D2607" s="1" t="n">
        <v>44524</v>
      </c>
      <c r="E2607" s="1" t="n">
        <v>46323</v>
      </c>
      <c r="F2607" t="inlineStr">
        <is>
          <t>KALMAR LÄN</t>
        </is>
      </c>
      <c r="G2607" t="inlineStr">
        <is>
          <t>EMMABODA</t>
        </is>
      </c>
      <c r="I2607" t="n">
        <v>11.6</v>
      </c>
      <c r="J2607" t="n">
        <v>0</v>
      </c>
      <c r="K2607" t="n">
        <v>0</v>
      </c>
      <c r="L2607" t="n">
        <v>0</v>
      </c>
      <c r="M2607" t="n">
        <v>0</v>
      </c>
      <c r="N2607" t="n">
        <v>0</v>
      </c>
      <c r="O2607" t="n">
        <v>0</v>
      </c>
      <c r="P2607" t="n">
        <v>0</v>
      </c>
      <c r="Q2607" t="n">
        <v>0</v>
      </c>
      <c r="R2607" t="n">
        <v>0</v>
      </c>
      <c r="S2607" t="n">
        <v>0</v>
      </c>
      <c r="T2607" t="n">
        <v>0</v>
      </c>
      <c r="U2607" t="n">
        <v>0</v>
      </c>
      <c r="V2607" s="2" t="inlineStr"/>
    </row>
    <row r="2608" ht="15" customHeight="1">
      <c r="A2608" t="inlineStr">
        <is>
          <t>A 20621-2022</t>
        </is>
      </c>
      <c r="B2608" t="inlineStr">
        <is>
          <t>avverkningsanmälan</t>
        </is>
      </c>
      <c r="C2608" t="inlineStr">
        <is>
          <t>Föryngringsavverkning</t>
        </is>
      </c>
      <c r="D2608" s="1" t="n">
        <v>44700</v>
      </c>
      <c r="E2608" s="1" t="n">
        <v>46323</v>
      </c>
      <c r="F2608" t="inlineStr">
        <is>
          <t>KALMAR LÄN</t>
        </is>
      </c>
      <c r="G2608" t="inlineStr">
        <is>
          <t>NYBRO</t>
        </is>
      </c>
      <c r="I2608" t="n">
        <v>1</v>
      </c>
      <c r="J2608" t="n">
        <v>0</v>
      </c>
      <c r="K2608" t="n">
        <v>0</v>
      </c>
      <c r="L2608" t="n">
        <v>0</v>
      </c>
      <c r="M2608" t="n">
        <v>0</v>
      </c>
      <c r="N2608" t="n">
        <v>0</v>
      </c>
      <c r="O2608" t="n">
        <v>0</v>
      </c>
      <c r="P2608" t="n">
        <v>0</v>
      </c>
      <c r="Q2608" t="n">
        <v>0</v>
      </c>
      <c r="R2608" t="n">
        <v>0</v>
      </c>
      <c r="S2608" t="n">
        <v>0</v>
      </c>
      <c r="T2608" t="n">
        <v>0</v>
      </c>
      <c r="U2608" t="n">
        <v>0</v>
      </c>
      <c r="V2608" s="2" t="inlineStr"/>
    </row>
    <row r="2609" ht="15" customHeight="1">
      <c r="A2609" t="inlineStr">
        <is>
          <t>A 29168-2024</t>
        </is>
      </c>
      <c r="B2609" t="inlineStr">
        <is>
          <t>avverkningsanmälan</t>
        </is>
      </c>
      <c r="C2609" t="inlineStr">
        <is>
          <t>Föryngringsavverkning</t>
        </is>
      </c>
      <c r="D2609" s="1" t="n">
        <v>45482</v>
      </c>
      <c r="E2609" s="1" t="n">
        <v>46323</v>
      </c>
      <c r="F2609" t="inlineStr">
        <is>
          <t>KALMAR LÄN</t>
        </is>
      </c>
      <c r="G2609" t="inlineStr">
        <is>
          <t>VIMMERBY</t>
        </is>
      </c>
      <c r="I2609" t="n">
        <v>1.4</v>
      </c>
      <c r="J2609" t="n">
        <v>0</v>
      </c>
      <c r="K2609" t="n">
        <v>0</v>
      </c>
      <c r="L2609" t="n">
        <v>0</v>
      </c>
      <c r="M2609" t="n">
        <v>0</v>
      </c>
      <c r="N2609" t="n">
        <v>0</v>
      </c>
      <c r="O2609" t="n">
        <v>0</v>
      </c>
      <c r="P2609" t="n">
        <v>0</v>
      </c>
      <c r="Q2609" t="n">
        <v>0</v>
      </c>
      <c r="R2609" t="n">
        <v>0</v>
      </c>
      <c r="S2609" t="n">
        <v>0</v>
      </c>
      <c r="T2609" t="n">
        <v>0</v>
      </c>
      <c r="U2609" t="n">
        <v>0</v>
      </c>
      <c r="V2609" s="2" t="inlineStr"/>
    </row>
    <row r="2610" ht="15" customHeight="1">
      <c r="A2610" t="inlineStr">
        <is>
          <t>A 29186-2024</t>
        </is>
      </c>
      <c r="B2610" t="inlineStr">
        <is>
          <t>avverkningsanmälan</t>
        </is>
      </c>
      <c r="C2610" t="inlineStr">
        <is>
          <t>Föryngringsavverkning</t>
        </is>
      </c>
      <c r="D2610" s="1" t="n">
        <v>45482</v>
      </c>
      <c r="E2610" s="1" t="n">
        <v>46323</v>
      </c>
      <c r="F2610" t="inlineStr">
        <is>
          <t>KALMAR LÄN</t>
        </is>
      </c>
      <c r="G2610" t="inlineStr">
        <is>
          <t>VIMMERBY</t>
        </is>
      </c>
      <c r="I2610" t="n">
        <v>2.6</v>
      </c>
      <c r="J2610" t="n">
        <v>0</v>
      </c>
      <c r="K2610" t="n">
        <v>0</v>
      </c>
      <c r="L2610" t="n">
        <v>0</v>
      </c>
      <c r="M2610" t="n">
        <v>0</v>
      </c>
      <c r="N2610" t="n">
        <v>0</v>
      </c>
      <c r="O2610" t="n">
        <v>0</v>
      </c>
      <c r="P2610" t="n">
        <v>0</v>
      </c>
      <c r="Q2610" t="n">
        <v>0</v>
      </c>
      <c r="R2610" t="n">
        <v>0</v>
      </c>
      <c r="S2610" t="n">
        <v>0</v>
      </c>
      <c r="T2610" t="n">
        <v>0</v>
      </c>
      <c r="U2610" t="n">
        <v>0</v>
      </c>
      <c r="V2610" s="2" t="inlineStr"/>
    </row>
    <row r="2611" ht="15" customHeight="1">
      <c r="A2611" t="inlineStr">
        <is>
          <t>A 38115-2023</t>
        </is>
      </c>
      <c r="B2611" t="inlineStr">
        <is>
          <t>avverkningsanmälan</t>
        </is>
      </c>
      <c r="C2611" t="inlineStr">
        <is>
          <t>Föryngringsavverkning</t>
        </is>
      </c>
      <c r="D2611" s="1" t="n">
        <v>45161</v>
      </c>
      <c r="E2611" s="1" t="n">
        <v>46323</v>
      </c>
      <c r="F2611" t="inlineStr">
        <is>
          <t>KALMAR LÄN</t>
        </is>
      </c>
      <c r="G2611" t="inlineStr">
        <is>
          <t>EMMABODA</t>
        </is>
      </c>
      <c r="H2611" t="inlineStr">
        <is>
          <t>Kommuner</t>
        </is>
      </c>
      <c r="I2611" t="n">
        <v>1.2</v>
      </c>
      <c r="J2611" t="n">
        <v>0</v>
      </c>
      <c r="K2611" t="n">
        <v>0</v>
      </c>
      <c r="L2611" t="n">
        <v>0</v>
      </c>
      <c r="M2611" t="n">
        <v>0</v>
      </c>
      <c r="N2611" t="n">
        <v>0</v>
      </c>
      <c r="O2611" t="n">
        <v>0</v>
      </c>
      <c r="P2611" t="n">
        <v>0</v>
      </c>
      <c r="Q2611" t="n">
        <v>0</v>
      </c>
      <c r="R2611" t="n">
        <v>0</v>
      </c>
      <c r="S2611" t="n">
        <v>0</v>
      </c>
      <c r="T2611" t="n">
        <v>0</v>
      </c>
      <c r="U2611" t="n">
        <v>0</v>
      </c>
      <c r="V2611" s="2" t="inlineStr"/>
    </row>
    <row r="2612" ht="15" customHeight="1">
      <c r="A2612" t="inlineStr">
        <is>
          <t>A 34736-2023</t>
        </is>
      </c>
      <c r="B2612" t="inlineStr">
        <is>
          <t>avverkningsanmälan</t>
        </is>
      </c>
      <c r="C2612" t="inlineStr">
        <is>
          <t>Föryngringsavverkning</t>
        </is>
      </c>
      <c r="D2612" s="1" t="n">
        <v>45141</v>
      </c>
      <c r="E2612" s="1" t="n">
        <v>46323</v>
      </c>
      <c r="F2612" t="inlineStr">
        <is>
          <t>KALMAR LÄN</t>
        </is>
      </c>
      <c r="G2612" t="inlineStr">
        <is>
          <t>KALMAR</t>
        </is>
      </c>
      <c r="I2612" t="n">
        <v>1.5</v>
      </c>
      <c r="J2612" t="n">
        <v>0</v>
      </c>
      <c r="K2612" t="n">
        <v>0</v>
      </c>
      <c r="L2612" t="n">
        <v>0</v>
      </c>
      <c r="M2612" t="n">
        <v>0</v>
      </c>
      <c r="N2612" t="n">
        <v>0</v>
      </c>
      <c r="O2612" t="n">
        <v>0</v>
      </c>
      <c r="P2612" t="n">
        <v>0</v>
      </c>
      <c r="Q2612" t="n">
        <v>0</v>
      </c>
      <c r="R2612" t="n">
        <v>0</v>
      </c>
      <c r="S2612" t="n">
        <v>0</v>
      </c>
      <c r="T2612" t="n">
        <v>0</v>
      </c>
      <c r="U2612" t="n">
        <v>0</v>
      </c>
      <c r="V2612" s="2" t="inlineStr"/>
    </row>
    <row r="2613" ht="15" customHeight="1">
      <c r="A2613" t="inlineStr">
        <is>
          <t>A 35895-2024</t>
        </is>
      </c>
      <c r="B2613" t="inlineStr">
        <is>
          <t>avverkningsanmälan</t>
        </is>
      </c>
      <c r="C2613" t="inlineStr">
        <is>
          <t>Föryngringsavverkning</t>
        </is>
      </c>
      <c r="D2613" s="1" t="n">
        <v>45533</v>
      </c>
      <c r="E2613" s="1" t="n">
        <v>46323</v>
      </c>
      <c r="F2613" t="inlineStr">
        <is>
          <t>KALMAR LÄN</t>
        </is>
      </c>
      <c r="G2613" t="inlineStr">
        <is>
          <t>VIMMERBY</t>
        </is>
      </c>
      <c r="I2613" t="n">
        <v>1.4</v>
      </c>
      <c r="J2613" t="n">
        <v>0</v>
      </c>
      <c r="K2613" t="n">
        <v>0</v>
      </c>
      <c r="L2613" t="n">
        <v>0</v>
      </c>
      <c r="M2613" t="n">
        <v>0</v>
      </c>
      <c r="N2613" t="n">
        <v>0</v>
      </c>
      <c r="O2613" t="n">
        <v>0</v>
      </c>
      <c r="P2613" t="n">
        <v>0</v>
      </c>
      <c r="Q2613" t="n">
        <v>0</v>
      </c>
      <c r="R2613" t="n">
        <v>0</v>
      </c>
      <c r="S2613" t="n">
        <v>0</v>
      </c>
      <c r="T2613" t="n">
        <v>0</v>
      </c>
      <c r="U2613" t="n">
        <v>0</v>
      </c>
      <c r="V2613" s="2" t="inlineStr"/>
    </row>
    <row r="2614" ht="15" customHeight="1">
      <c r="A2614" t="inlineStr">
        <is>
          <t>A 22873-2023</t>
        </is>
      </c>
      <c r="B2614" t="inlineStr">
        <is>
          <t>avverkningsanmälan</t>
        </is>
      </c>
      <c r="C2614" t="inlineStr">
        <is>
          <t>Föryngringsavverkning</t>
        </is>
      </c>
      <c r="D2614" s="1" t="n">
        <v>45072</v>
      </c>
      <c r="E2614" s="1" t="n">
        <v>46323</v>
      </c>
      <c r="F2614" t="inlineStr">
        <is>
          <t>KALMAR LÄN</t>
        </is>
      </c>
      <c r="G2614" t="inlineStr">
        <is>
          <t>NYBRO</t>
        </is>
      </c>
      <c r="I2614" t="n">
        <v>1.2</v>
      </c>
      <c r="J2614" t="n">
        <v>0</v>
      </c>
      <c r="K2614" t="n">
        <v>0</v>
      </c>
      <c r="L2614" t="n">
        <v>0</v>
      </c>
      <c r="M2614" t="n">
        <v>0</v>
      </c>
      <c r="N2614" t="n">
        <v>0</v>
      </c>
      <c r="O2614" t="n">
        <v>0</v>
      </c>
      <c r="P2614" t="n">
        <v>0</v>
      </c>
      <c r="Q2614" t="n">
        <v>0</v>
      </c>
      <c r="R2614" t="n">
        <v>0</v>
      </c>
      <c r="S2614" t="n">
        <v>0</v>
      </c>
      <c r="T2614" t="n">
        <v>0</v>
      </c>
      <c r="U2614" t="n">
        <v>0</v>
      </c>
      <c r="V2614" s="2" t="inlineStr"/>
    </row>
    <row r="2615" ht="15" customHeight="1">
      <c r="A2615" t="inlineStr">
        <is>
          <t>A 12590-2025</t>
        </is>
      </c>
      <c r="B2615" t="inlineStr">
        <is>
          <t>avverkningsanmälan</t>
        </is>
      </c>
      <c r="C2615" t="inlineStr">
        <is>
          <t>Föryngringsavverkning</t>
        </is>
      </c>
      <c r="D2615" s="1" t="n">
        <v>45732</v>
      </c>
      <c r="E2615" s="1" t="n">
        <v>46323</v>
      </c>
      <c r="F2615" t="inlineStr">
        <is>
          <t>KALMAR LÄN</t>
        </is>
      </c>
      <c r="G2615" t="inlineStr">
        <is>
          <t>VIMMERBY</t>
        </is>
      </c>
      <c r="I2615" t="n">
        <v>0.8</v>
      </c>
      <c r="J2615" t="n">
        <v>0</v>
      </c>
      <c r="K2615" t="n">
        <v>0</v>
      </c>
      <c r="L2615" t="n">
        <v>0</v>
      </c>
      <c r="M2615" t="n">
        <v>0</v>
      </c>
      <c r="N2615" t="n">
        <v>0</v>
      </c>
      <c r="O2615" t="n">
        <v>0</v>
      </c>
      <c r="P2615" t="n">
        <v>0</v>
      </c>
      <c r="Q2615" t="n">
        <v>0</v>
      </c>
      <c r="R2615" t="n">
        <v>0</v>
      </c>
      <c r="S2615" t="n">
        <v>0</v>
      </c>
      <c r="T2615" t="n">
        <v>0</v>
      </c>
      <c r="U2615" t="n">
        <v>0</v>
      </c>
      <c r="V2615" s="2" t="inlineStr"/>
    </row>
    <row r="2616" ht="15" customHeight="1">
      <c r="A2616" t="inlineStr">
        <is>
          <t>A 42967-2025</t>
        </is>
      </c>
      <c r="B2616" t="inlineStr">
        <is>
          <t>avverkningsanmälan</t>
        </is>
      </c>
      <c r="C2616" t="inlineStr">
        <is>
          <t>Föryngringsavverkning</t>
        </is>
      </c>
      <c r="D2616" s="1" t="n">
        <v>45909</v>
      </c>
      <c r="E2616" s="1" t="n">
        <v>46323</v>
      </c>
      <c r="F2616" t="inlineStr">
        <is>
          <t>KALMAR LÄN</t>
        </is>
      </c>
      <c r="G2616" t="inlineStr">
        <is>
          <t>EMMABODA</t>
        </is>
      </c>
      <c r="I2616" t="n">
        <v>4.6</v>
      </c>
      <c r="J2616" t="n">
        <v>0</v>
      </c>
      <c r="K2616" t="n">
        <v>0</v>
      </c>
      <c r="L2616" t="n">
        <v>0</v>
      </c>
      <c r="M2616" t="n">
        <v>0</v>
      </c>
      <c r="N2616" t="n">
        <v>0</v>
      </c>
      <c r="O2616" t="n">
        <v>0</v>
      </c>
      <c r="P2616" t="n">
        <v>0</v>
      </c>
      <c r="Q2616" t="n">
        <v>0</v>
      </c>
      <c r="R2616" t="n">
        <v>0</v>
      </c>
      <c r="S2616" t="n">
        <v>0</v>
      </c>
      <c r="T2616" t="n">
        <v>0</v>
      </c>
      <c r="U2616" t="n">
        <v>0</v>
      </c>
      <c r="V2616" s="2" t="inlineStr"/>
    </row>
    <row r="2617" ht="15" customHeight="1">
      <c r="A2617" t="inlineStr">
        <is>
          <t>A 19185-2023</t>
        </is>
      </c>
      <c r="B2617" t="inlineStr">
        <is>
          <t>avverkningsanmälan</t>
        </is>
      </c>
      <c r="C2617" t="inlineStr">
        <is>
          <t>Föryngringsavverkning</t>
        </is>
      </c>
      <c r="D2617" s="1" t="n">
        <v>45048</v>
      </c>
      <c r="E2617" s="1" t="n">
        <v>46323</v>
      </c>
      <c r="F2617" t="inlineStr">
        <is>
          <t>KALMAR LÄN</t>
        </is>
      </c>
      <c r="G2617" t="inlineStr">
        <is>
          <t>HULTSFRED</t>
        </is>
      </c>
      <c r="I2617" t="n">
        <v>2.3</v>
      </c>
      <c r="J2617" t="n">
        <v>0</v>
      </c>
      <c r="K2617" t="n">
        <v>0</v>
      </c>
      <c r="L2617" t="n">
        <v>0</v>
      </c>
      <c r="M2617" t="n">
        <v>0</v>
      </c>
      <c r="N2617" t="n">
        <v>0</v>
      </c>
      <c r="O2617" t="n">
        <v>0</v>
      </c>
      <c r="P2617" t="n">
        <v>0</v>
      </c>
      <c r="Q2617" t="n">
        <v>0</v>
      </c>
      <c r="R2617" t="n">
        <v>0</v>
      </c>
      <c r="S2617" t="n">
        <v>0</v>
      </c>
      <c r="T2617" t="n">
        <v>0</v>
      </c>
      <c r="U2617" t="n">
        <v>0</v>
      </c>
      <c r="V2617" s="2" t="inlineStr"/>
    </row>
    <row r="2618" ht="15" customHeight="1">
      <c r="A2618" t="inlineStr">
        <is>
          <t>A 34038-2023</t>
        </is>
      </c>
      <c r="B2618" t="inlineStr">
        <is>
          <t>avverkningsanmälan</t>
        </is>
      </c>
      <c r="C2618" t="inlineStr">
        <is>
          <t>Föryngringsavverkning</t>
        </is>
      </c>
      <c r="D2618" s="1" t="n">
        <v>45135</v>
      </c>
      <c r="E2618" s="1" t="n">
        <v>46323</v>
      </c>
      <c r="F2618" t="inlineStr">
        <is>
          <t>KALMAR LÄN</t>
        </is>
      </c>
      <c r="G2618" t="inlineStr">
        <is>
          <t>HULTSFRED</t>
        </is>
      </c>
      <c r="I2618" t="n">
        <v>0.7</v>
      </c>
      <c r="J2618" t="n">
        <v>0</v>
      </c>
      <c r="K2618" t="n">
        <v>0</v>
      </c>
      <c r="L2618" t="n">
        <v>0</v>
      </c>
      <c r="M2618" t="n">
        <v>0</v>
      </c>
      <c r="N2618" t="n">
        <v>0</v>
      </c>
      <c r="O2618" t="n">
        <v>0</v>
      </c>
      <c r="P2618" t="n">
        <v>0</v>
      </c>
      <c r="Q2618" t="n">
        <v>0</v>
      </c>
      <c r="R2618" t="n">
        <v>0</v>
      </c>
      <c r="S2618" t="n">
        <v>0</v>
      </c>
      <c r="T2618" t="n">
        <v>0</v>
      </c>
      <c r="U2618" t="n">
        <v>0</v>
      </c>
      <c r="V2618" s="2" t="inlineStr"/>
    </row>
    <row r="2619" ht="15" customHeight="1">
      <c r="A2619" t="inlineStr">
        <is>
          <t>A 17712-2024</t>
        </is>
      </c>
      <c r="B2619" t="inlineStr">
        <is>
          <t>avverkningsanmälan</t>
        </is>
      </c>
      <c r="C2619" t="inlineStr">
        <is>
          <t>Föryngringsavverkning</t>
        </is>
      </c>
      <c r="D2619" s="1" t="n">
        <v>45415</v>
      </c>
      <c r="E2619" s="1" t="n">
        <v>46323</v>
      </c>
      <c r="F2619" t="inlineStr">
        <is>
          <t>KALMAR LÄN</t>
        </is>
      </c>
      <c r="G2619" t="inlineStr">
        <is>
          <t>EMMABODA</t>
        </is>
      </c>
      <c r="I2619" t="n">
        <v>5.1</v>
      </c>
      <c r="J2619" t="n">
        <v>0</v>
      </c>
      <c r="K2619" t="n">
        <v>0</v>
      </c>
      <c r="L2619" t="n">
        <v>0</v>
      </c>
      <c r="M2619" t="n">
        <v>0</v>
      </c>
      <c r="N2619" t="n">
        <v>0</v>
      </c>
      <c r="O2619" t="n">
        <v>0</v>
      </c>
      <c r="P2619" t="n">
        <v>0</v>
      </c>
      <c r="Q2619" t="n">
        <v>0</v>
      </c>
      <c r="R2619" t="n">
        <v>0</v>
      </c>
      <c r="S2619" t="n">
        <v>0</v>
      </c>
      <c r="T2619" t="n">
        <v>0</v>
      </c>
      <c r="U2619" t="n">
        <v>0</v>
      </c>
      <c r="V2619" s="2" t="inlineStr"/>
    </row>
    <row r="2620" ht="15" customHeight="1">
      <c r="A2620" t="inlineStr">
        <is>
          <t>A 30318-2023</t>
        </is>
      </c>
      <c r="B2620" t="inlineStr">
        <is>
          <t>avverkningsanmälan</t>
        </is>
      </c>
      <c r="C2620" t="inlineStr">
        <is>
          <t>Föryngringsavverkning</t>
        </is>
      </c>
      <c r="D2620" s="1" t="n">
        <v>45111</v>
      </c>
      <c r="E2620" s="1" t="n">
        <v>46323</v>
      </c>
      <c r="F2620" t="inlineStr">
        <is>
          <t>KALMAR LÄN</t>
        </is>
      </c>
      <c r="G2620" t="inlineStr">
        <is>
          <t>VIMMERBY</t>
        </is>
      </c>
      <c r="I2620" t="n">
        <v>2.6</v>
      </c>
      <c r="J2620" t="n">
        <v>0</v>
      </c>
      <c r="K2620" t="n">
        <v>0</v>
      </c>
      <c r="L2620" t="n">
        <v>0</v>
      </c>
      <c r="M2620" t="n">
        <v>0</v>
      </c>
      <c r="N2620" t="n">
        <v>0</v>
      </c>
      <c r="O2620" t="n">
        <v>0</v>
      </c>
      <c r="P2620" t="n">
        <v>0</v>
      </c>
      <c r="Q2620" t="n">
        <v>0</v>
      </c>
      <c r="R2620" t="n">
        <v>0</v>
      </c>
      <c r="S2620" t="n">
        <v>0</v>
      </c>
      <c r="T2620" t="n">
        <v>0</v>
      </c>
      <c r="U2620" t="n">
        <v>0</v>
      </c>
      <c r="V2620" s="2" t="inlineStr"/>
    </row>
    <row r="2621" ht="15" customHeight="1">
      <c r="A2621" t="inlineStr">
        <is>
          <t>A 43034-2025</t>
        </is>
      </c>
      <c r="B2621" t="inlineStr">
        <is>
          <t>avverkningsanmälan</t>
        </is>
      </c>
      <c r="C2621" t="inlineStr">
        <is>
          <t>Föryngringsavverkning</t>
        </is>
      </c>
      <c r="D2621" s="1" t="n">
        <v>45909</v>
      </c>
      <c r="E2621" s="1" t="n">
        <v>46323</v>
      </c>
      <c r="F2621" t="inlineStr">
        <is>
          <t>KALMAR LÄN</t>
        </is>
      </c>
      <c r="G2621" t="inlineStr">
        <is>
          <t>HULTSFRED</t>
        </is>
      </c>
      <c r="I2621" t="n">
        <v>0.6</v>
      </c>
      <c r="J2621" t="n">
        <v>0</v>
      </c>
      <c r="K2621" t="n">
        <v>0</v>
      </c>
      <c r="L2621" t="n">
        <v>0</v>
      </c>
      <c r="M2621" t="n">
        <v>0</v>
      </c>
      <c r="N2621" t="n">
        <v>0</v>
      </c>
      <c r="O2621" t="n">
        <v>0</v>
      </c>
      <c r="P2621" t="n">
        <v>0</v>
      </c>
      <c r="Q2621" t="n">
        <v>0</v>
      </c>
      <c r="R2621" t="n">
        <v>0</v>
      </c>
      <c r="S2621" t="n">
        <v>0</v>
      </c>
      <c r="T2621" t="n">
        <v>0</v>
      </c>
      <c r="U2621" t="n">
        <v>0</v>
      </c>
      <c r="V2621" s="2" t="inlineStr"/>
    </row>
    <row r="2622" ht="15" customHeight="1">
      <c r="A2622" t="inlineStr">
        <is>
          <t>A 43044-2025</t>
        </is>
      </c>
      <c r="B2622" t="inlineStr">
        <is>
          <t>avverkningsanmälan</t>
        </is>
      </c>
      <c r="C2622" t="inlineStr">
        <is>
          <t>Föryngringsavverkning</t>
        </is>
      </c>
      <c r="D2622" s="1" t="n">
        <v>45909</v>
      </c>
      <c r="E2622" s="1" t="n">
        <v>46323</v>
      </c>
      <c r="F2622" t="inlineStr">
        <is>
          <t>KALMAR LÄN</t>
        </is>
      </c>
      <c r="G2622" t="inlineStr">
        <is>
          <t>HULTSFRED</t>
        </is>
      </c>
      <c r="I2622" t="n">
        <v>0.5</v>
      </c>
      <c r="J2622" t="n">
        <v>0</v>
      </c>
      <c r="K2622" t="n">
        <v>0</v>
      </c>
      <c r="L2622" t="n">
        <v>0</v>
      </c>
      <c r="M2622" t="n">
        <v>0</v>
      </c>
      <c r="N2622" t="n">
        <v>0</v>
      </c>
      <c r="O2622" t="n">
        <v>0</v>
      </c>
      <c r="P2622" t="n">
        <v>0</v>
      </c>
      <c r="Q2622" t="n">
        <v>0</v>
      </c>
      <c r="R2622" t="n">
        <v>0</v>
      </c>
      <c r="S2622" t="n">
        <v>0</v>
      </c>
      <c r="T2622" t="n">
        <v>0</v>
      </c>
      <c r="U2622" t="n">
        <v>0</v>
      </c>
      <c r="V2622" s="2" t="inlineStr"/>
    </row>
    <row r="2623" ht="15" customHeight="1">
      <c r="A2623" t="inlineStr">
        <is>
          <t>A 33141-2025</t>
        </is>
      </c>
      <c r="B2623" t="inlineStr">
        <is>
          <t>avverkningsanmälan</t>
        </is>
      </c>
      <c r="C2623" t="inlineStr">
        <is>
          <t>Föryngringsavverkning</t>
        </is>
      </c>
      <c r="D2623" s="1" t="n">
        <v>45840</v>
      </c>
      <c r="E2623" s="1" t="n">
        <v>46323</v>
      </c>
      <c r="F2623" t="inlineStr">
        <is>
          <t>KALMAR LÄN</t>
        </is>
      </c>
      <c r="G2623" t="inlineStr">
        <is>
          <t>KALMAR</t>
        </is>
      </c>
      <c r="I2623" t="n">
        <v>0.8</v>
      </c>
      <c r="J2623" t="n">
        <v>0</v>
      </c>
      <c r="K2623" t="n">
        <v>0</v>
      </c>
      <c r="L2623" t="n">
        <v>0</v>
      </c>
      <c r="M2623" t="n">
        <v>0</v>
      </c>
      <c r="N2623" t="n">
        <v>0</v>
      </c>
      <c r="O2623" t="n">
        <v>0</v>
      </c>
      <c r="P2623" t="n">
        <v>0</v>
      </c>
      <c r="Q2623" t="n">
        <v>0</v>
      </c>
      <c r="R2623" t="n">
        <v>0</v>
      </c>
      <c r="S2623" t="n">
        <v>0</v>
      </c>
      <c r="T2623" t="n">
        <v>0</v>
      </c>
      <c r="U2623" t="n">
        <v>0</v>
      </c>
      <c r="V2623" s="2" t="inlineStr"/>
    </row>
    <row r="2624" ht="15" customHeight="1">
      <c r="A2624" t="inlineStr">
        <is>
          <t>A 62562-2022</t>
        </is>
      </c>
      <c r="B2624" t="inlineStr">
        <is>
          <t>avverkningsanmälan</t>
        </is>
      </c>
      <c r="C2624" t="inlineStr">
        <is>
          <t>Föryngringsavverkning</t>
        </is>
      </c>
      <c r="D2624" s="1" t="n">
        <v>44924</v>
      </c>
      <c r="E2624" s="1" t="n">
        <v>46323</v>
      </c>
      <c r="F2624" t="inlineStr">
        <is>
          <t>KALMAR LÄN</t>
        </is>
      </c>
      <c r="G2624" t="inlineStr">
        <is>
          <t>HÖGSBY</t>
        </is>
      </c>
      <c r="I2624" t="n">
        <v>2.6</v>
      </c>
      <c r="J2624" t="n">
        <v>0</v>
      </c>
      <c r="K2624" t="n">
        <v>0</v>
      </c>
      <c r="L2624" t="n">
        <v>0</v>
      </c>
      <c r="M2624" t="n">
        <v>0</v>
      </c>
      <c r="N2624" t="n">
        <v>0</v>
      </c>
      <c r="O2624" t="n">
        <v>0</v>
      </c>
      <c r="P2624" t="n">
        <v>0</v>
      </c>
      <c r="Q2624" t="n">
        <v>0</v>
      </c>
      <c r="R2624" t="n">
        <v>0</v>
      </c>
      <c r="S2624" t="n">
        <v>0</v>
      </c>
      <c r="T2624" t="n">
        <v>0</v>
      </c>
      <c r="U2624" t="n">
        <v>0</v>
      </c>
      <c r="V2624" s="2" t="inlineStr"/>
    </row>
    <row r="2625" ht="15" customHeight="1">
      <c r="A2625" t="inlineStr">
        <is>
          <t>A 11122-2025</t>
        </is>
      </c>
      <c r="B2625" t="inlineStr">
        <is>
          <t>avverkningsanmälan</t>
        </is>
      </c>
      <c r="C2625" t="inlineStr">
        <is>
          <t>Föryngringsavverkning</t>
        </is>
      </c>
      <c r="D2625" s="1" t="n">
        <v>45723</v>
      </c>
      <c r="E2625" s="1" t="n">
        <v>46323</v>
      </c>
      <c r="F2625" t="inlineStr">
        <is>
          <t>KALMAR LÄN</t>
        </is>
      </c>
      <c r="G2625" t="inlineStr">
        <is>
          <t>VÄSTERVIK</t>
        </is>
      </c>
      <c r="I2625" t="n">
        <v>0.3</v>
      </c>
      <c r="J2625" t="n">
        <v>0</v>
      </c>
      <c r="K2625" t="n">
        <v>0</v>
      </c>
      <c r="L2625" t="n">
        <v>0</v>
      </c>
      <c r="M2625" t="n">
        <v>0</v>
      </c>
      <c r="N2625" t="n">
        <v>0</v>
      </c>
      <c r="O2625" t="n">
        <v>0</v>
      </c>
      <c r="P2625" t="n">
        <v>0</v>
      </c>
      <c r="Q2625" t="n">
        <v>0</v>
      </c>
      <c r="R2625" t="n">
        <v>0</v>
      </c>
      <c r="S2625" t="n">
        <v>0</v>
      </c>
      <c r="T2625" t="n">
        <v>0</v>
      </c>
      <c r="U2625" t="n">
        <v>0</v>
      </c>
      <c r="V2625" s="2" t="inlineStr"/>
    </row>
    <row r="2626" ht="15" customHeight="1">
      <c r="A2626" t="inlineStr">
        <is>
          <t>A 3601-2024</t>
        </is>
      </c>
      <c r="B2626" t="inlineStr">
        <is>
          <t>avverkningsanmälan</t>
        </is>
      </c>
      <c r="C2626" t="inlineStr">
        <is>
          <t>Föryngringsavverkning</t>
        </is>
      </c>
      <c r="D2626" s="1" t="n">
        <v>45320</v>
      </c>
      <c r="E2626" s="1" t="n">
        <v>46323</v>
      </c>
      <c r="F2626" t="inlineStr">
        <is>
          <t>KALMAR LÄN</t>
        </is>
      </c>
      <c r="G2626" t="inlineStr">
        <is>
          <t>OSKARSHAMN</t>
        </is>
      </c>
      <c r="I2626" t="n">
        <v>0.6</v>
      </c>
      <c r="J2626" t="n">
        <v>0</v>
      </c>
      <c r="K2626" t="n">
        <v>0</v>
      </c>
      <c r="L2626" t="n">
        <v>0</v>
      </c>
      <c r="M2626" t="n">
        <v>0</v>
      </c>
      <c r="N2626" t="n">
        <v>0</v>
      </c>
      <c r="O2626" t="n">
        <v>0</v>
      </c>
      <c r="P2626" t="n">
        <v>0</v>
      </c>
      <c r="Q2626" t="n">
        <v>0</v>
      </c>
      <c r="R2626" t="n">
        <v>0</v>
      </c>
      <c r="S2626" t="n">
        <v>0</v>
      </c>
      <c r="T2626" t="n">
        <v>0</v>
      </c>
      <c r="U2626" t="n">
        <v>0</v>
      </c>
      <c r="V2626" s="2" t="inlineStr"/>
    </row>
    <row r="2627" ht="15" customHeight="1">
      <c r="A2627" t="inlineStr">
        <is>
          <t>A 63074-2023</t>
        </is>
      </c>
      <c r="B2627" t="inlineStr">
        <is>
          <t>avverkningsanmälan</t>
        </is>
      </c>
      <c r="C2627" t="inlineStr">
        <is>
          <t>Föryngringsavverkning</t>
        </is>
      </c>
      <c r="D2627" s="1" t="n">
        <v>45273</v>
      </c>
      <c r="E2627" s="1" t="n">
        <v>46323</v>
      </c>
      <c r="F2627" t="inlineStr">
        <is>
          <t>KALMAR LÄN</t>
        </is>
      </c>
      <c r="G2627" t="inlineStr">
        <is>
          <t>HULTSFRED</t>
        </is>
      </c>
      <c r="I2627" t="n">
        <v>0.6</v>
      </c>
      <c r="J2627" t="n">
        <v>0</v>
      </c>
      <c r="K2627" t="n">
        <v>0</v>
      </c>
      <c r="L2627" t="n">
        <v>0</v>
      </c>
      <c r="M2627" t="n">
        <v>0</v>
      </c>
      <c r="N2627" t="n">
        <v>0</v>
      </c>
      <c r="O2627" t="n">
        <v>0</v>
      </c>
      <c r="P2627" t="n">
        <v>0</v>
      </c>
      <c r="Q2627" t="n">
        <v>0</v>
      </c>
      <c r="R2627" t="n">
        <v>0</v>
      </c>
      <c r="S2627" t="n">
        <v>0</v>
      </c>
      <c r="T2627" t="n">
        <v>0</v>
      </c>
      <c r="U2627" t="n">
        <v>0</v>
      </c>
      <c r="V2627" s="2" t="inlineStr"/>
    </row>
    <row r="2628" ht="15" customHeight="1">
      <c r="A2628" t="inlineStr">
        <is>
          <t>A 63215-2023</t>
        </is>
      </c>
      <c r="B2628" t="inlineStr">
        <is>
          <t>avverkningsanmälan</t>
        </is>
      </c>
      <c r="C2628" t="inlineStr">
        <is>
          <t>Föryngringsavverkning</t>
        </is>
      </c>
      <c r="D2628" s="1" t="n">
        <v>45273</v>
      </c>
      <c r="E2628" s="1" t="n">
        <v>46323</v>
      </c>
      <c r="F2628" t="inlineStr">
        <is>
          <t>KALMAR LÄN</t>
        </is>
      </c>
      <c r="G2628" t="inlineStr">
        <is>
          <t>EMMABODA</t>
        </is>
      </c>
      <c r="H2628" t="inlineStr">
        <is>
          <t>Kommuner</t>
        </is>
      </c>
      <c r="I2628" t="n">
        <v>1.3</v>
      </c>
      <c r="J2628" t="n">
        <v>0</v>
      </c>
      <c r="K2628" t="n">
        <v>0</v>
      </c>
      <c r="L2628" t="n">
        <v>0</v>
      </c>
      <c r="M2628" t="n">
        <v>0</v>
      </c>
      <c r="N2628" t="n">
        <v>0</v>
      </c>
      <c r="O2628" t="n">
        <v>0</v>
      </c>
      <c r="P2628" t="n">
        <v>0</v>
      </c>
      <c r="Q2628" t="n">
        <v>0</v>
      </c>
      <c r="R2628" t="n">
        <v>0</v>
      </c>
      <c r="S2628" t="n">
        <v>0</v>
      </c>
      <c r="T2628" t="n">
        <v>0</v>
      </c>
      <c r="U2628" t="n">
        <v>0</v>
      </c>
      <c r="V2628" s="2" t="inlineStr"/>
    </row>
    <row r="2629" ht="15" customHeight="1">
      <c r="A2629" t="inlineStr">
        <is>
          <t>A 8597-2023</t>
        </is>
      </c>
      <c r="B2629" t="inlineStr">
        <is>
          <t>avverkningsanmälan</t>
        </is>
      </c>
      <c r="C2629" t="inlineStr">
        <is>
          <t>Föryngringsavverkning</t>
        </is>
      </c>
      <c r="D2629" s="1" t="n">
        <v>44977</v>
      </c>
      <c r="E2629" s="1" t="n">
        <v>46323</v>
      </c>
      <c r="F2629" t="inlineStr">
        <is>
          <t>KALMAR LÄN</t>
        </is>
      </c>
      <c r="G2629" t="inlineStr">
        <is>
          <t>VÄSTERVIK</t>
        </is>
      </c>
      <c r="I2629" t="n">
        <v>0.2</v>
      </c>
      <c r="J2629" t="n">
        <v>0</v>
      </c>
      <c r="K2629" t="n">
        <v>0</v>
      </c>
      <c r="L2629" t="n">
        <v>0</v>
      </c>
      <c r="M2629" t="n">
        <v>0</v>
      </c>
      <c r="N2629" t="n">
        <v>0</v>
      </c>
      <c r="O2629" t="n">
        <v>0</v>
      </c>
      <c r="P2629" t="n">
        <v>0</v>
      </c>
      <c r="Q2629" t="n">
        <v>0</v>
      </c>
      <c r="R2629" t="n">
        <v>0</v>
      </c>
      <c r="S2629" t="n">
        <v>0</v>
      </c>
      <c r="T2629" t="n">
        <v>0</v>
      </c>
      <c r="U2629" t="n">
        <v>0</v>
      </c>
      <c r="V2629" s="2" t="inlineStr"/>
    </row>
    <row r="2630" ht="15" customHeight="1">
      <c r="A2630" t="inlineStr">
        <is>
          <t>A 64106-2023</t>
        </is>
      </c>
      <c r="B2630" t="inlineStr">
        <is>
          <t>avverkningsanmälan</t>
        </is>
      </c>
      <c r="C2630" t="inlineStr">
        <is>
          <t>Föryngringsavverkning</t>
        </is>
      </c>
      <c r="D2630" s="1" t="n">
        <v>45279</v>
      </c>
      <c r="E2630" s="1" t="n">
        <v>46323</v>
      </c>
      <c r="F2630" t="inlineStr">
        <is>
          <t>KALMAR LÄN</t>
        </is>
      </c>
      <c r="G2630" t="inlineStr">
        <is>
          <t>MÖNSTERÅS</t>
        </is>
      </c>
      <c r="I2630" t="n">
        <v>3.7</v>
      </c>
      <c r="J2630" t="n">
        <v>0</v>
      </c>
      <c r="K2630" t="n">
        <v>0</v>
      </c>
      <c r="L2630" t="n">
        <v>0</v>
      </c>
      <c r="M2630" t="n">
        <v>0</v>
      </c>
      <c r="N2630" t="n">
        <v>0</v>
      </c>
      <c r="O2630" t="n">
        <v>0</v>
      </c>
      <c r="P2630" t="n">
        <v>0</v>
      </c>
      <c r="Q2630" t="n">
        <v>0</v>
      </c>
      <c r="R2630" t="n">
        <v>0</v>
      </c>
      <c r="S2630" t="n">
        <v>0</v>
      </c>
      <c r="T2630" t="n">
        <v>0</v>
      </c>
      <c r="U2630" t="n">
        <v>0</v>
      </c>
      <c r="V2630" s="2" t="inlineStr"/>
    </row>
    <row r="2631" ht="15" customHeight="1">
      <c r="A2631" t="inlineStr">
        <is>
          <t>A 21831-2023</t>
        </is>
      </c>
      <c r="B2631" t="inlineStr">
        <is>
          <t>avverkningsanmälan</t>
        </is>
      </c>
      <c r="C2631" t="inlineStr">
        <is>
          <t>Föryngringsavverkning</t>
        </is>
      </c>
      <c r="D2631" s="1" t="n">
        <v>45068</v>
      </c>
      <c r="E2631" s="1" t="n">
        <v>46323</v>
      </c>
      <c r="F2631" t="inlineStr">
        <is>
          <t>KALMAR LÄN</t>
        </is>
      </c>
      <c r="G2631" t="inlineStr">
        <is>
          <t>VÄSTERVIK</t>
        </is>
      </c>
      <c r="I2631" t="n">
        <v>0.4</v>
      </c>
      <c r="J2631" t="n">
        <v>0</v>
      </c>
      <c r="K2631" t="n">
        <v>0</v>
      </c>
      <c r="L2631" t="n">
        <v>0</v>
      </c>
      <c r="M2631" t="n">
        <v>0</v>
      </c>
      <c r="N2631" t="n">
        <v>0</v>
      </c>
      <c r="O2631" t="n">
        <v>0</v>
      </c>
      <c r="P2631" t="n">
        <v>0</v>
      </c>
      <c r="Q2631" t="n">
        <v>0</v>
      </c>
      <c r="R2631" t="n">
        <v>0</v>
      </c>
      <c r="S2631" t="n">
        <v>0</v>
      </c>
      <c r="T2631" t="n">
        <v>0</v>
      </c>
      <c r="U2631" t="n">
        <v>0</v>
      </c>
      <c r="V2631" s="2" t="inlineStr"/>
    </row>
    <row r="2632" ht="15" customHeight="1">
      <c r="A2632" t="inlineStr">
        <is>
          <t>A 21844-2023</t>
        </is>
      </c>
      <c r="B2632" t="inlineStr">
        <is>
          <t>avverkningsanmälan</t>
        </is>
      </c>
      <c r="C2632" t="inlineStr">
        <is>
          <t>Föryngringsavverkning</t>
        </is>
      </c>
      <c r="D2632" s="1" t="n">
        <v>45068</v>
      </c>
      <c r="E2632" s="1" t="n">
        <v>46323</v>
      </c>
      <c r="F2632" t="inlineStr">
        <is>
          <t>KALMAR LÄN</t>
        </is>
      </c>
      <c r="G2632" t="inlineStr">
        <is>
          <t>EMMABODA</t>
        </is>
      </c>
      <c r="H2632" t="inlineStr">
        <is>
          <t>Kommuner</t>
        </is>
      </c>
      <c r="I2632" t="n">
        <v>2.7</v>
      </c>
      <c r="J2632" t="n">
        <v>0</v>
      </c>
      <c r="K2632" t="n">
        <v>0</v>
      </c>
      <c r="L2632" t="n">
        <v>0</v>
      </c>
      <c r="M2632" t="n">
        <v>0</v>
      </c>
      <c r="N2632" t="n">
        <v>0</v>
      </c>
      <c r="O2632" t="n">
        <v>0</v>
      </c>
      <c r="P2632" t="n">
        <v>0</v>
      </c>
      <c r="Q2632" t="n">
        <v>0</v>
      </c>
      <c r="R2632" t="n">
        <v>0</v>
      </c>
      <c r="S2632" t="n">
        <v>0</v>
      </c>
      <c r="T2632" t="n">
        <v>0</v>
      </c>
      <c r="U2632" t="n">
        <v>0</v>
      </c>
      <c r="V2632" s="2" t="inlineStr"/>
    </row>
    <row r="2633" ht="15" customHeight="1">
      <c r="A2633" t="inlineStr">
        <is>
          <t>A 50894-2023</t>
        </is>
      </c>
      <c r="B2633" t="inlineStr">
        <is>
          <t>avverkningsanmälan</t>
        </is>
      </c>
      <c r="C2633" t="inlineStr">
        <is>
          <t>Föryngringsavverkning</t>
        </is>
      </c>
      <c r="D2633" s="1" t="n">
        <v>45218</v>
      </c>
      <c r="E2633" s="1" t="n">
        <v>46323</v>
      </c>
      <c r="F2633" t="inlineStr">
        <is>
          <t>KALMAR LÄN</t>
        </is>
      </c>
      <c r="G2633" t="inlineStr">
        <is>
          <t>HULTSFRED</t>
        </is>
      </c>
      <c r="I2633" t="n">
        <v>1.4</v>
      </c>
      <c r="J2633" t="n">
        <v>0</v>
      </c>
      <c r="K2633" t="n">
        <v>0</v>
      </c>
      <c r="L2633" t="n">
        <v>0</v>
      </c>
      <c r="M2633" t="n">
        <v>0</v>
      </c>
      <c r="N2633" t="n">
        <v>0</v>
      </c>
      <c r="O2633" t="n">
        <v>0</v>
      </c>
      <c r="P2633" t="n">
        <v>0</v>
      </c>
      <c r="Q2633" t="n">
        <v>0</v>
      </c>
      <c r="R2633" t="n">
        <v>0</v>
      </c>
      <c r="S2633" t="n">
        <v>0</v>
      </c>
      <c r="T2633" t="n">
        <v>0</v>
      </c>
      <c r="U2633" t="n">
        <v>0</v>
      </c>
      <c r="V2633" s="2" t="inlineStr"/>
    </row>
    <row r="2634" ht="15" customHeight="1">
      <c r="A2634" t="inlineStr">
        <is>
          <t>A 58094-2023</t>
        </is>
      </c>
      <c r="B2634" t="inlineStr">
        <is>
          <t>avverkningsanmälan</t>
        </is>
      </c>
      <c r="C2634" t="inlineStr">
        <is>
          <t>Föryngringsavverkning</t>
        </is>
      </c>
      <c r="D2634" s="1" t="n">
        <v>45248</v>
      </c>
      <c r="E2634" s="1" t="n">
        <v>46323</v>
      </c>
      <c r="F2634" t="inlineStr">
        <is>
          <t>KALMAR LÄN</t>
        </is>
      </c>
      <c r="G2634" t="inlineStr">
        <is>
          <t>HULTSFRED</t>
        </is>
      </c>
      <c r="I2634" t="n">
        <v>8</v>
      </c>
      <c r="J2634" t="n">
        <v>0</v>
      </c>
      <c r="K2634" t="n">
        <v>0</v>
      </c>
      <c r="L2634" t="n">
        <v>0</v>
      </c>
      <c r="M2634" t="n">
        <v>0</v>
      </c>
      <c r="N2634" t="n">
        <v>0</v>
      </c>
      <c r="O2634" t="n">
        <v>0</v>
      </c>
      <c r="P2634" t="n">
        <v>0</v>
      </c>
      <c r="Q2634" t="n">
        <v>0</v>
      </c>
      <c r="R2634" t="n">
        <v>0</v>
      </c>
      <c r="S2634" t="n">
        <v>0</v>
      </c>
      <c r="T2634" t="n">
        <v>0</v>
      </c>
      <c r="U2634" t="n">
        <v>0</v>
      </c>
      <c r="V2634" s="2" t="inlineStr"/>
    </row>
    <row r="2635" ht="15" customHeight="1">
      <c r="A2635" t="inlineStr">
        <is>
          <t>A 56143-2022</t>
        </is>
      </c>
      <c r="B2635" t="inlineStr">
        <is>
          <t>avverkningsanmälan</t>
        </is>
      </c>
      <c r="C2635" t="inlineStr">
        <is>
          <t>Föryngringsavverkning</t>
        </is>
      </c>
      <c r="D2635" s="1" t="n">
        <v>44889</v>
      </c>
      <c r="E2635" s="1" t="n">
        <v>46323</v>
      </c>
      <c r="F2635" t="inlineStr">
        <is>
          <t>KALMAR LÄN</t>
        </is>
      </c>
      <c r="G2635" t="inlineStr">
        <is>
          <t>NYBRO</t>
        </is>
      </c>
      <c r="I2635" t="n">
        <v>1.8</v>
      </c>
      <c r="J2635" t="n">
        <v>0</v>
      </c>
      <c r="K2635" t="n">
        <v>0</v>
      </c>
      <c r="L2635" t="n">
        <v>0</v>
      </c>
      <c r="M2635" t="n">
        <v>0</v>
      </c>
      <c r="N2635" t="n">
        <v>0</v>
      </c>
      <c r="O2635" t="n">
        <v>0</v>
      </c>
      <c r="P2635" t="n">
        <v>0</v>
      </c>
      <c r="Q2635" t="n">
        <v>0</v>
      </c>
      <c r="R2635" t="n">
        <v>0</v>
      </c>
      <c r="S2635" t="n">
        <v>0</v>
      </c>
      <c r="T2635" t="n">
        <v>0</v>
      </c>
      <c r="U2635" t="n">
        <v>0</v>
      </c>
      <c r="V2635" s="2" t="inlineStr"/>
    </row>
    <row r="2636" ht="15" customHeight="1">
      <c r="A2636" t="inlineStr">
        <is>
          <t>A 60230-2022</t>
        </is>
      </c>
      <c r="B2636" t="inlineStr">
        <is>
          <t>avverkningsanmälan</t>
        </is>
      </c>
      <c r="C2636" t="inlineStr">
        <is>
          <t>Föryngringsavverkning</t>
        </is>
      </c>
      <c r="D2636" s="1" t="n">
        <v>44910</v>
      </c>
      <c r="E2636" s="1" t="n">
        <v>46323</v>
      </c>
      <c r="F2636" t="inlineStr">
        <is>
          <t>KALMAR LÄN</t>
        </is>
      </c>
      <c r="G2636" t="inlineStr">
        <is>
          <t>VIMMERBY</t>
        </is>
      </c>
      <c r="I2636" t="n">
        <v>11.3</v>
      </c>
      <c r="J2636" t="n">
        <v>0</v>
      </c>
      <c r="K2636" t="n">
        <v>0</v>
      </c>
      <c r="L2636" t="n">
        <v>0</v>
      </c>
      <c r="M2636" t="n">
        <v>0</v>
      </c>
      <c r="N2636" t="n">
        <v>0</v>
      </c>
      <c r="O2636" t="n">
        <v>0</v>
      </c>
      <c r="P2636" t="n">
        <v>0</v>
      </c>
      <c r="Q2636" t="n">
        <v>0</v>
      </c>
      <c r="R2636" t="n">
        <v>0</v>
      </c>
      <c r="S2636" t="n">
        <v>0</v>
      </c>
      <c r="T2636" t="n">
        <v>0</v>
      </c>
      <c r="U2636" t="n">
        <v>0</v>
      </c>
      <c r="V2636" s="2" t="inlineStr"/>
    </row>
    <row r="2637" ht="15" customHeight="1">
      <c r="A2637" t="inlineStr">
        <is>
          <t>A 35723-2024</t>
        </is>
      </c>
      <c r="B2637" t="inlineStr">
        <is>
          <t>avverkningsanmälan</t>
        </is>
      </c>
      <c r="C2637" t="inlineStr">
        <is>
          <t>Föryngringsavverkning</t>
        </is>
      </c>
      <c r="D2637" s="1" t="n">
        <v>45532</v>
      </c>
      <c r="E2637" s="1" t="n">
        <v>46323</v>
      </c>
      <c r="F2637" t="inlineStr">
        <is>
          <t>KALMAR LÄN</t>
        </is>
      </c>
      <c r="G2637" t="inlineStr">
        <is>
          <t>HÖGSBY</t>
        </is>
      </c>
      <c r="I2637" t="n">
        <v>1</v>
      </c>
      <c r="J2637" t="n">
        <v>0</v>
      </c>
      <c r="K2637" t="n">
        <v>0</v>
      </c>
      <c r="L2637" t="n">
        <v>0</v>
      </c>
      <c r="M2637" t="n">
        <v>0</v>
      </c>
      <c r="N2637" t="n">
        <v>0</v>
      </c>
      <c r="O2637" t="n">
        <v>0</v>
      </c>
      <c r="P2637" t="n">
        <v>0</v>
      </c>
      <c r="Q2637" t="n">
        <v>0</v>
      </c>
      <c r="R2637" t="n">
        <v>0</v>
      </c>
      <c r="S2637" t="n">
        <v>0</v>
      </c>
      <c r="T2637" t="n">
        <v>0</v>
      </c>
      <c r="U2637" t="n">
        <v>0</v>
      </c>
      <c r="V2637" s="2" t="inlineStr"/>
    </row>
    <row r="2638" ht="15" customHeight="1">
      <c r="A2638" t="inlineStr">
        <is>
          <t>A 2187-2023</t>
        </is>
      </c>
      <c r="B2638" t="inlineStr">
        <is>
          <t>avverkningsanmälan</t>
        </is>
      </c>
      <c r="C2638" t="inlineStr">
        <is>
          <t>Föryngringsavverkning</t>
        </is>
      </c>
      <c r="D2638" s="1" t="n">
        <v>44942</v>
      </c>
      <c r="E2638" s="1" t="n">
        <v>46323</v>
      </c>
      <c r="F2638" t="inlineStr">
        <is>
          <t>KALMAR LÄN</t>
        </is>
      </c>
      <c r="G2638" t="inlineStr">
        <is>
          <t>TORSÅS</t>
        </is>
      </c>
      <c r="I2638" t="n">
        <v>0.4</v>
      </c>
      <c r="J2638" t="n">
        <v>0</v>
      </c>
      <c r="K2638" t="n">
        <v>0</v>
      </c>
      <c r="L2638" t="n">
        <v>0</v>
      </c>
      <c r="M2638" t="n">
        <v>0</v>
      </c>
      <c r="N2638" t="n">
        <v>0</v>
      </c>
      <c r="O2638" t="n">
        <v>0</v>
      </c>
      <c r="P2638" t="n">
        <v>0</v>
      </c>
      <c r="Q2638" t="n">
        <v>0</v>
      </c>
      <c r="R2638" t="n">
        <v>0</v>
      </c>
      <c r="S2638" t="n">
        <v>0</v>
      </c>
      <c r="T2638" t="n">
        <v>0</v>
      </c>
      <c r="U2638" t="n">
        <v>0</v>
      </c>
      <c r="V2638" s="2" t="inlineStr"/>
    </row>
    <row r="2639" ht="15" customHeight="1">
      <c r="A2639" t="inlineStr">
        <is>
          <t>A 33969-2024</t>
        </is>
      </c>
      <c r="B2639" t="inlineStr">
        <is>
          <t>avverkningsanmälan</t>
        </is>
      </c>
      <c r="C2639" t="inlineStr">
        <is>
          <t>Föryngringsavverkning</t>
        </is>
      </c>
      <c r="D2639" s="1" t="n">
        <v>45523</v>
      </c>
      <c r="E2639" s="1" t="n">
        <v>46323</v>
      </c>
      <c r="F2639" t="inlineStr">
        <is>
          <t>KALMAR LÄN</t>
        </is>
      </c>
      <c r="G2639" t="inlineStr">
        <is>
          <t>VÄSTERVIK</t>
        </is>
      </c>
      <c r="I2639" t="n">
        <v>0.6</v>
      </c>
      <c r="J2639" t="n">
        <v>0</v>
      </c>
      <c r="K2639" t="n">
        <v>0</v>
      </c>
      <c r="L2639" t="n">
        <v>0</v>
      </c>
      <c r="M2639" t="n">
        <v>0</v>
      </c>
      <c r="N2639" t="n">
        <v>0</v>
      </c>
      <c r="O2639" t="n">
        <v>0</v>
      </c>
      <c r="P2639" t="n">
        <v>0</v>
      </c>
      <c r="Q2639" t="n">
        <v>0</v>
      </c>
      <c r="R2639" t="n">
        <v>0</v>
      </c>
      <c r="S2639" t="n">
        <v>0</v>
      </c>
      <c r="T2639" t="n">
        <v>0</v>
      </c>
      <c r="U2639" t="n">
        <v>0</v>
      </c>
      <c r="V2639" s="2" t="inlineStr"/>
    </row>
    <row r="2640" ht="15" customHeight="1">
      <c r="A2640" t="inlineStr">
        <is>
          <t>A 29346-2024</t>
        </is>
      </c>
      <c r="B2640" t="inlineStr">
        <is>
          <t>avverkningsanmälan</t>
        </is>
      </c>
      <c r="C2640" t="inlineStr">
        <is>
          <t>Föryngringsavverkning</t>
        </is>
      </c>
      <c r="D2640" s="1" t="n">
        <v>45483</v>
      </c>
      <c r="E2640" s="1" t="n">
        <v>46323</v>
      </c>
      <c r="F2640" t="inlineStr">
        <is>
          <t>KALMAR LÄN</t>
        </is>
      </c>
      <c r="G2640" t="inlineStr">
        <is>
          <t>OSKARSHAMN</t>
        </is>
      </c>
      <c r="I2640" t="n">
        <v>3.9</v>
      </c>
      <c r="J2640" t="n">
        <v>0</v>
      </c>
      <c r="K2640" t="n">
        <v>0</v>
      </c>
      <c r="L2640" t="n">
        <v>0</v>
      </c>
      <c r="M2640" t="n">
        <v>0</v>
      </c>
      <c r="N2640" t="n">
        <v>0</v>
      </c>
      <c r="O2640" t="n">
        <v>0</v>
      </c>
      <c r="P2640" t="n">
        <v>0</v>
      </c>
      <c r="Q2640" t="n">
        <v>0</v>
      </c>
      <c r="R2640" t="n">
        <v>0</v>
      </c>
      <c r="S2640" t="n">
        <v>0</v>
      </c>
      <c r="T2640" t="n">
        <v>0</v>
      </c>
      <c r="U2640" t="n">
        <v>0</v>
      </c>
      <c r="V2640" s="2" t="inlineStr"/>
    </row>
    <row r="2641" ht="15" customHeight="1">
      <c r="A2641" t="inlineStr">
        <is>
          <t>A 29405-2024</t>
        </is>
      </c>
      <c r="B2641" t="inlineStr">
        <is>
          <t>avverkningsanmälan</t>
        </is>
      </c>
      <c r="C2641" t="inlineStr">
        <is>
          <t>Föryngringsavverkning</t>
        </is>
      </c>
      <c r="D2641" s="1" t="n">
        <v>45483</v>
      </c>
      <c r="E2641" s="1" t="n">
        <v>46323</v>
      </c>
      <c r="F2641" t="inlineStr">
        <is>
          <t>KALMAR LÄN</t>
        </is>
      </c>
      <c r="G2641" t="inlineStr">
        <is>
          <t>VÄSTERVIK</t>
        </is>
      </c>
      <c r="I2641" t="n">
        <v>1.8</v>
      </c>
      <c r="J2641" t="n">
        <v>0</v>
      </c>
      <c r="K2641" t="n">
        <v>0</v>
      </c>
      <c r="L2641" t="n">
        <v>0</v>
      </c>
      <c r="M2641" t="n">
        <v>0</v>
      </c>
      <c r="N2641" t="n">
        <v>0</v>
      </c>
      <c r="O2641" t="n">
        <v>0</v>
      </c>
      <c r="P2641" t="n">
        <v>0</v>
      </c>
      <c r="Q2641" t="n">
        <v>0</v>
      </c>
      <c r="R2641" t="n">
        <v>0</v>
      </c>
      <c r="S2641" t="n">
        <v>0</v>
      </c>
      <c r="T2641" t="n">
        <v>0</v>
      </c>
      <c r="U2641" t="n">
        <v>0</v>
      </c>
      <c r="V2641" s="2" t="inlineStr"/>
    </row>
    <row r="2642" ht="15" customHeight="1">
      <c r="A2642" t="inlineStr">
        <is>
          <t>A 5925-2022</t>
        </is>
      </c>
      <c r="B2642" t="inlineStr">
        <is>
          <t>avverkningsanmälan</t>
        </is>
      </c>
      <c r="C2642" t="inlineStr">
        <is>
          <t>Föryngringsavverkning</t>
        </is>
      </c>
      <c r="D2642" s="1" t="n">
        <v>44598</v>
      </c>
      <c r="E2642" s="1" t="n">
        <v>46323</v>
      </c>
      <c r="F2642" t="inlineStr">
        <is>
          <t>KALMAR LÄN</t>
        </is>
      </c>
      <c r="G2642" t="inlineStr">
        <is>
          <t>VIMMERBY</t>
        </is>
      </c>
      <c r="I2642" t="n">
        <v>2.1</v>
      </c>
      <c r="J2642" t="n">
        <v>0</v>
      </c>
      <c r="K2642" t="n">
        <v>0</v>
      </c>
      <c r="L2642" t="n">
        <v>0</v>
      </c>
      <c r="M2642" t="n">
        <v>0</v>
      </c>
      <c r="N2642" t="n">
        <v>0</v>
      </c>
      <c r="O2642" t="n">
        <v>0</v>
      </c>
      <c r="P2642" t="n">
        <v>0</v>
      </c>
      <c r="Q2642" t="n">
        <v>0</v>
      </c>
      <c r="R2642" t="n">
        <v>0</v>
      </c>
      <c r="S2642" t="n">
        <v>0</v>
      </c>
      <c r="T2642" t="n">
        <v>0</v>
      </c>
      <c r="U2642" t="n">
        <v>0</v>
      </c>
      <c r="V2642" s="2" t="inlineStr"/>
    </row>
    <row r="2643" ht="15" customHeight="1">
      <c r="A2643" t="inlineStr">
        <is>
          <t>A 34021-2023</t>
        </is>
      </c>
      <c r="B2643" t="inlineStr">
        <is>
          <t>avverkningsanmälan</t>
        </is>
      </c>
      <c r="C2643" t="inlineStr">
        <is>
          <t>Föryngringsavverkning</t>
        </is>
      </c>
      <c r="D2643" s="1" t="n">
        <v>45135</v>
      </c>
      <c r="E2643" s="1" t="n">
        <v>46323</v>
      </c>
      <c r="F2643" t="inlineStr">
        <is>
          <t>KALMAR LÄN</t>
        </is>
      </c>
      <c r="G2643" t="inlineStr">
        <is>
          <t>NYBRO</t>
        </is>
      </c>
      <c r="I2643" t="n">
        <v>2.1</v>
      </c>
      <c r="J2643" t="n">
        <v>0</v>
      </c>
      <c r="K2643" t="n">
        <v>0</v>
      </c>
      <c r="L2643" t="n">
        <v>0</v>
      </c>
      <c r="M2643" t="n">
        <v>0</v>
      </c>
      <c r="N2643" t="n">
        <v>0</v>
      </c>
      <c r="O2643" t="n">
        <v>0</v>
      </c>
      <c r="P2643" t="n">
        <v>0</v>
      </c>
      <c r="Q2643" t="n">
        <v>0</v>
      </c>
      <c r="R2643" t="n">
        <v>0</v>
      </c>
      <c r="S2643" t="n">
        <v>0</v>
      </c>
      <c r="T2643" t="n">
        <v>0</v>
      </c>
      <c r="U2643" t="n">
        <v>0</v>
      </c>
      <c r="V2643" s="2" t="inlineStr"/>
    </row>
    <row r="2644" ht="15" customHeight="1">
      <c r="A2644" t="inlineStr">
        <is>
          <t>A 845-2023</t>
        </is>
      </c>
      <c r="B2644" t="inlineStr">
        <is>
          <t>avverkningsanmälan</t>
        </is>
      </c>
      <c r="C2644" t="inlineStr">
        <is>
          <t>Föryngringsavverkning</t>
        </is>
      </c>
      <c r="D2644" s="1" t="n">
        <v>44931</v>
      </c>
      <c r="E2644" s="1" t="n">
        <v>46323</v>
      </c>
      <c r="F2644" t="inlineStr">
        <is>
          <t>KALMAR LÄN</t>
        </is>
      </c>
      <c r="G2644" t="inlineStr">
        <is>
          <t>VIMMERBY</t>
        </is>
      </c>
      <c r="H2644" t="inlineStr">
        <is>
          <t>Övriga Aktiebolag</t>
        </is>
      </c>
      <c r="I2644" t="n">
        <v>19</v>
      </c>
      <c r="J2644" t="n">
        <v>0</v>
      </c>
      <c r="K2644" t="n">
        <v>0</v>
      </c>
      <c r="L2644" t="n">
        <v>0</v>
      </c>
      <c r="M2644" t="n">
        <v>0</v>
      </c>
      <c r="N2644" t="n">
        <v>0</v>
      </c>
      <c r="O2644" t="n">
        <v>0</v>
      </c>
      <c r="P2644" t="n">
        <v>0</v>
      </c>
      <c r="Q2644" t="n">
        <v>0</v>
      </c>
      <c r="R2644" t="n">
        <v>0</v>
      </c>
      <c r="S2644" t="n">
        <v>0</v>
      </c>
      <c r="T2644" t="n">
        <v>0</v>
      </c>
      <c r="U2644" t="n">
        <v>0</v>
      </c>
      <c r="V2644" s="2" t="inlineStr"/>
    </row>
    <row r="2645" ht="15" customHeight="1">
      <c r="A2645" t="inlineStr">
        <is>
          <t>A 3190-2023</t>
        </is>
      </c>
      <c r="B2645" t="inlineStr">
        <is>
          <t>avverkningsanmälan</t>
        </is>
      </c>
      <c r="C2645" t="inlineStr">
        <is>
          <t>Föryngringsavverkning</t>
        </is>
      </c>
      <c r="D2645" s="1" t="n">
        <v>44946</v>
      </c>
      <c r="E2645" s="1" t="n">
        <v>46323</v>
      </c>
      <c r="F2645" t="inlineStr">
        <is>
          <t>KALMAR LÄN</t>
        </is>
      </c>
      <c r="G2645" t="inlineStr">
        <is>
          <t>VÄSTERVIK</t>
        </is>
      </c>
      <c r="I2645" t="n">
        <v>0.9</v>
      </c>
      <c r="J2645" t="n">
        <v>0</v>
      </c>
      <c r="K2645" t="n">
        <v>0</v>
      </c>
      <c r="L2645" t="n">
        <v>0</v>
      </c>
      <c r="M2645" t="n">
        <v>0</v>
      </c>
      <c r="N2645" t="n">
        <v>0</v>
      </c>
      <c r="O2645" t="n">
        <v>0</v>
      </c>
      <c r="P2645" t="n">
        <v>0</v>
      </c>
      <c r="Q2645" t="n">
        <v>0</v>
      </c>
      <c r="R2645" t="n">
        <v>0</v>
      </c>
      <c r="S2645" t="n">
        <v>0</v>
      </c>
      <c r="T2645" t="n">
        <v>0</v>
      </c>
      <c r="U2645" t="n">
        <v>0</v>
      </c>
      <c r="V2645" s="2" t="inlineStr"/>
    </row>
    <row r="2646" ht="15" customHeight="1">
      <c r="A2646" t="inlineStr">
        <is>
          <t>A 3331-2023</t>
        </is>
      </c>
      <c r="B2646" t="inlineStr">
        <is>
          <t>avverkningsanmälan</t>
        </is>
      </c>
      <c r="C2646" t="inlineStr">
        <is>
          <t>Föryngringsavverkning</t>
        </is>
      </c>
      <c r="D2646" s="1" t="n">
        <v>44949</v>
      </c>
      <c r="E2646" s="1" t="n">
        <v>46323</v>
      </c>
      <c r="F2646" t="inlineStr">
        <is>
          <t>KALMAR LÄN</t>
        </is>
      </c>
      <c r="G2646" t="inlineStr">
        <is>
          <t>VIMMERBY</t>
        </is>
      </c>
      <c r="I2646" t="n">
        <v>6.2</v>
      </c>
      <c r="J2646" t="n">
        <v>0</v>
      </c>
      <c r="K2646" t="n">
        <v>0</v>
      </c>
      <c r="L2646" t="n">
        <v>0</v>
      </c>
      <c r="M2646" t="n">
        <v>0</v>
      </c>
      <c r="N2646" t="n">
        <v>0</v>
      </c>
      <c r="O2646" t="n">
        <v>0</v>
      </c>
      <c r="P2646" t="n">
        <v>0</v>
      </c>
      <c r="Q2646" t="n">
        <v>0</v>
      </c>
      <c r="R2646" t="n">
        <v>0</v>
      </c>
      <c r="S2646" t="n">
        <v>0</v>
      </c>
      <c r="T2646" t="n">
        <v>0</v>
      </c>
      <c r="U2646" t="n">
        <v>0</v>
      </c>
      <c r="V2646" s="2" t="inlineStr"/>
    </row>
    <row r="2647" ht="15" customHeight="1">
      <c r="A2647" t="inlineStr">
        <is>
          <t>A 43892-2025</t>
        </is>
      </c>
      <c r="B2647" t="inlineStr">
        <is>
          <t>avverkningsanmälan</t>
        </is>
      </c>
      <c r="C2647" t="inlineStr">
        <is>
          <t>Föryngringsavverkning</t>
        </is>
      </c>
      <c r="D2647" s="1" t="n">
        <v>45912</v>
      </c>
      <c r="E2647" s="1" t="n">
        <v>46323</v>
      </c>
      <c r="F2647" t="inlineStr">
        <is>
          <t>KALMAR LÄN</t>
        </is>
      </c>
      <c r="G2647" t="inlineStr">
        <is>
          <t>KALMAR</t>
        </is>
      </c>
      <c r="I2647" t="n">
        <v>2.7</v>
      </c>
      <c r="J2647" t="n">
        <v>0</v>
      </c>
      <c r="K2647" t="n">
        <v>0</v>
      </c>
      <c r="L2647" t="n">
        <v>0</v>
      </c>
      <c r="M2647" t="n">
        <v>0</v>
      </c>
      <c r="N2647" t="n">
        <v>0</v>
      </c>
      <c r="O2647" t="n">
        <v>0</v>
      </c>
      <c r="P2647" t="n">
        <v>0</v>
      </c>
      <c r="Q2647" t="n">
        <v>0</v>
      </c>
      <c r="R2647" t="n">
        <v>0</v>
      </c>
      <c r="S2647" t="n">
        <v>0</v>
      </c>
      <c r="T2647" t="n">
        <v>0</v>
      </c>
      <c r="U2647" t="n">
        <v>0</v>
      </c>
      <c r="V2647" s="2" t="inlineStr"/>
    </row>
    <row r="2648" ht="15" customHeight="1">
      <c r="A2648" t="inlineStr">
        <is>
          <t>A 3373-2023</t>
        </is>
      </c>
      <c r="B2648" t="inlineStr">
        <is>
          <t>avverkningsanmälan</t>
        </is>
      </c>
      <c r="C2648" t="inlineStr">
        <is>
          <t>Föryngringsavverkning</t>
        </is>
      </c>
      <c r="D2648" s="1" t="n">
        <v>44949</v>
      </c>
      <c r="E2648" s="1" t="n">
        <v>46323</v>
      </c>
      <c r="F2648" t="inlineStr">
        <is>
          <t>KALMAR LÄN</t>
        </is>
      </c>
      <c r="G2648" t="inlineStr">
        <is>
          <t>TORSÅS</t>
        </is>
      </c>
      <c r="I2648" t="n">
        <v>2.3</v>
      </c>
      <c r="J2648" t="n">
        <v>0</v>
      </c>
      <c r="K2648" t="n">
        <v>0</v>
      </c>
      <c r="L2648" t="n">
        <v>0</v>
      </c>
      <c r="M2648" t="n">
        <v>0</v>
      </c>
      <c r="N2648" t="n">
        <v>0</v>
      </c>
      <c r="O2648" t="n">
        <v>0</v>
      </c>
      <c r="P2648" t="n">
        <v>0</v>
      </c>
      <c r="Q2648" t="n">
        <v>0</v>
      </c>
      <c r="R2648" t="n">
        <v>0</v>
      </c>
      <c r="S2648" t="n">
        <v>0</v>
      </c>
      <c r="T2648" t="n">
        <v>0</v>
      </c>
      <c r="U2648" t="n">
        <v>0</v>
      </c>
      <c r="V2648" s="2" t="inlineStr"/>
    </row>
    <row r="2649" ht="15" customHeight="1">
      <c r="A2649" t="inlineStr">
        <is>
          <t>A 49485-2022</t>
        </is>
      </c>
      <c r="B2649" t="inlineStr">
        <is>
          <t>avverkningsanmälan</t>
        </is>
      </c>
      <c r="C2649" t="inlineStr">
        <is>
          <t>Föryngringsavverkning</t>
        </is>
      </c>
      <c r="D2649" s="1" t="n">
        <v>44861</v>
      </c>
      <c r="E2649" s="1" t="n">
        <v>46323</v>
      </c>
      <c r="F2649" t="inlineStr">
        <is>
          <t>KALMAR LÄN</t>
        </is>
      </c>
      <c r="G2649" t="inlineStr">
        <is>
          <t>HÖGSBY</t>
        </is>
      </c>
      <c r="I2649" t="n">
        <v>2.6</v>
      </c>
      <c r="J2649" t="n">
        <v>0</v>
      </c>
      <c r="K2649" t="n">
        <v>0</v>
      </c>
      <c r="L2649" t="n">
        <v>0</v>
      </c>
      <c r="M2649" t="n">
        <v>0</v>
      </c>
      <c r="N2649" t="n">
        <v>0</v>
      </c>
      <c r="O2649" t="n">
        <v>0</v>
      </c>
      <c r="P2649" t="n">
        <v>0</v>
      </c>
      <c r="Q2649" t="n">
        <v>0</v>
      </c>
      <c r="R2649" t="n">
        <v>0</v>
      </c>
      <c r="S2649" t="n">
        <v>0</v>
      </c>
      <c r="T2649" t="n">
        <v>0</v>
      </c>
      <c r="U2649" t="n">
        <v>0</v>
      </c>
      <c r="V2649" s="2" t="inlineStr"/>
    </row>
    <row r="2650" ht="15" customHeight="1">
      <c r="A2650" t="inlineStr">
        <is>
          <t>A 15236-2023</t>
        </is>
      </c>
      <c r="B2650" t="inlineStr">
        <is>
          <t>avverkningsanmälan</t>
        </is>
      </c>
      <c r="C2650" t="inlineStr">
        <is>
          <t>Föryngringsavverkning</t>
        </is>
      </c>
      <c r="D2650" s="1" t="n">
        <v>45019</v>
      </c>
      <c r="E2650" s="1" t="n">
        <v>46323</v>
      </c>
      <c r="F2650" t="inlineStr">
        <is>
          <t>KALMAR LÄN</t>
        </is>
      </c>
      <c r="G2650" t="inlineStr">
        <is>
          <t>HULTSFRED</t>
        </is>
      </c>
      <c r="I2650" t="n">
        <v>0.5</v>
      </c>
      <c r="J2650" t="n">
        <v>0</v>
      </c>
      <c r="K2650" t="n">
        <v>0</v>
      </c>
      <c r="L2650" t="n">
        <v>0</v>
      </c>
      <c r="M2650" t="n">
        <v>0</v>
      </c>
      <c r="N2650" t="n">
        <v>0</v>
      </c>
      <c r="O2650" t="n">
        <v>0</v>
      </c>
      <c r="P2650" t="n">
        <v>0</v>
      </c>
      <c r="Q2650" t="n">
        <v>0</v>
      </c>
      <c r="R2650" t="n">
        <v>0</v>
      </c>
      <c r="S2650" t="n">
        <v>0</v>
      </c>
      <c r="T2650" t="n">
        <v>0</v>
      </c>
      <c r="U2650" t="n">
        <v>0</v>
      </c>
      <c r="V2650" s="2" t="inlineStr"/>
    </row>
    <row r="2651" ht="15" customHeight="1">
      <c r="A2651" t="inlineStr">
        <is>
          <t>A 15244-2023</t>
        </is>
      </c>
      <c r="B2651" t="inlineStr">
        <is>
          <t>avverkningsanmälan</t>
        </is>
      </c>
      <c r="C2651" t="inlineStr">
        <is>
          <t>Föryngringsavverkning</t>
        </is>
      </c>
      <c r="D2651" s="1" t="n">
        <v>45019</v>
      </c>
      <c r="E2651" s="1" t="n">
        <v>46323</v>
      </c>
      <c r="F2651" t="inlineStr">
        <is>
          <t>KALMAR LÄN</t>
        </is>
      </c>
      <c r="G2651" t="inlineStr">
        <is>
          <t>HULTSFRED</t>
        </is>
      </c>
      <c r="I2651" t="n">
        <v>0.9</v>
      </c>
      <c r="J2651" t="n">
        <v>0</v>
      </c>
      <c r="K2651" t="n">
        <v>0</v>
      </c>
      <c r="L2651" t="n">
        <v>0</v>
      </c>
      <c r="M2651" t="n">
        <v>0</v>
      </c>
      <c r="N2651" t="n">
        <v>0</v>
      </c>
      <c r="O2651" t="n">
        <v>0</v>
      </c>
      <c r="P2651" t="n">
        <v>0</v>
      </c>
      <c r="Q2651" t="n">
        <v>0</v>
      </c>
      <c r="R2651" t="n">
        <v>0</v>
      </c>
      <c r="S2651" t="n">
        <v>0</v>
      </c>
      <c r="T2651" t="n">
        <v>0</v>
      </c>
      <c r="U2651" t="n">
        <v>0</v>
      </c>
      <c r="V2651" s="2" t="inlineStr"/>
    </row>
    <row r="2652" ht="15" customHeight="1">
      <c r="A2652" t="inlineStr">
        <is>
          <t>A 18843-2025</t>
        </is>
      </c>
      <c r="B2652" t="inlineStr">
        <is>
          <t>avverkningsanmälan</t>
        </is>
      </c>
      <c r="C2652" t="inlineStr">
        <is>
          <t>Föryngringsavverkning</t>
        </is>
      </c>
      <c r="D2652" s="1" t="n">
        <v>45764</v>
      </c>
      <c r="E2652" s="1" t="n">
        <v>46323</v>
      </c>
      <c r="F2652" t="inlineStr">
        <is>
          <t>KALMAR LÄN</t>
        </is>
      </c>
      <c r="G2652" t="inlineStr">
        <is>
          <t>MÖNSTERÅS</t>
        </is>
      </c>
      <c r="I2652" t="n">
        <v>1.3</v>
      </c>
      <c r="J2652" t="n">
        <v>0</v>
      </c>
      <c r="K2652" t="n">
        <v>0</v>
      </c>
      <c r="L2652" t="n">
        <v>0</v>
      </c>
      <c r="M2652" t="n">
        <v>0</v>
      </c>
      <c r="N2652" t="n">
        <v>0</v>
      </c>
      <c r="O2652" t="n">
        <v>0</v>
      </c>
      <c r="P2652" t="n">
        <v>0</v>
      </c>
      <c r="Q2652" t="n">
        <v>0</v>
      </c>
      <c r="R2652" t="n">
        <v>0</v>
      </c>
      <c r="S2652" t="n">
        <v>0</v>
      </c>
      <c r="T2652" t="n">
        <v>0</v>
      </c>
      <c r="U2652" t="n">
        <v>0</v>
      </c>
      <c r="V2652" s="2" t="inlineStr"/>
    </row>
    <row r="2653" ht="15" customHeight="1">
      <c r="A2653" t="inlineStr">
        <is>
          <t>A 20112-2023</t>
        </is>
      </c>
      <c r="B2653" t="inlineStr">
        <is>
          <t>avverkningsanmälan</t>
        </is>
      </c>
      <c r="C2653" t="inlineStr">
        <is>
          <t>Föryngringsavverkning</t>
        </is>
      </c>
      <c r="D2653" s="1" t="n">
        <v>45055</v>
      </c>
      <c r="E2653" s="1" t="n">
        <v>46323</v>
      </c>
      <c r="F2653" t="inlineStr">
        <is>
          <t>KALMAR LÄN</t>
        </is>
      </c>
      <c r="G2653" t="inlineStr">
        <is>
          <t>NYBRO</t>
        </is>
      </c>
      <c r="I2653" t="n">
        <v>2.7</v>
      </c>
      <c r="J2653" t="n">
        <v>0</v>
      </c>
      <c r="K2653" t="n">
        <v>0</v>
      </c>
      <c r="L2653" t="n">
        <v>0</v>
      </c>
      <c r="M2653" t="n">
        <v>0</v>
      </c>
      <c r="N2653" t="n">
        <v>0</v>
      </c>
      <c r="O2653" t="n">
        <v>0</v>
      </c>
      <c r="P2653" t="n">
        <v>0</v>
      </c>
      <c r="Q2653" t="n">
        <v>0</v>
      </c>
      <c r="R2653" t="n">
        <v>0</v>
      </c>
      <c r="S2653" t="n">
        <v>0</v>
      </c>
      <c r="T2653" t="n">
        <v>0</v>
      </c>
      <c r="U2653" t="n">
        <v>0</v>
      </c>
      <c r="V2653" s="2" t="inlineStr"/>
    </row>
    <row r="2654" ht="15" customHeight="1">
      <c r="A2654" t="inlineStr">
        <is>
          <t>A 59430-2023</t>
        </is>
      </c>
      <c r="B2654" t="inlineStr">
        <is>
          <t>avverkningsanmälan</t>
        </is>
      </c>
      <c r="C2654" t="inlineStr">
        <is>
          <t>Föryngringsavverkning</t>
        </is>
      </c>
      <c r="D2654" s="1" t="n">
        <v>45254</v>
      </c>
      <c r="E2654" s="1" t="n">
        <v>46323</v>
      </c>
      <c r="F2654" t="inlineStr">
        <is>
          <t>KALMAR LÄN</t>
        </is>
      </c>
      <c r="G2654" t="inlineStr">
        <is>
          <t>HÖGSBY</t>
        </is>
      </c>
      <c r="I2654" t="n">
        <v>2.3</v>
      </c>
      <c r="J2654" t="n">
        <v>0</v>
      </c>
      <c r="K2654" t="n">
        <v>0</v>
      </c>
      <c r="L2654" t="n">
        <v>0</v>
      </c>
      <c r="M2654" t="n">
        <v>0</v>
      </c>
      <c r="N2654" t="n">
        <v>0</v>
      </c>
      <c r="O2654" t="n">
        <v>0</v>
      </c>
      <c r="P2654" t="n">
        <v>0</v>
      </c>
      <c r="Q2654" t="n">
        <v>0</v>
      </c>
      <c r="R2654" t="n">
        <v>0</v>
      </c>
      <c r="S2654" t="n">
        <v>0</v>
      </c>
      <c r="T2654" t="n">
        <v>0</v>
      </c>
      <c r="U2654" t="n">
        <v>0</v>
      </c>
      <c r="V2654" s="2" t="inlineStr"/>
    </row>
    <row r="2655" ht="15" customHeight="1">
      <c r="A2655" t="inlineStr">
        <is>
          <t>A 59455-2023</t>
        </is>
      </c>
      <c r="B2655" t="inlineStr">
        <is>
          <t>avverkningsanmälan</t>
        </is>
      </c>
      <c r="C2655" t="inlineStr">
        <is>
          <t>Föryngringsavverkning</t>
        </is>
      </c>
      <c r="D2655" s="1" t="n">
        <v>45254</v>
      </c>
      <c r="E2655" s="1" t="n">
        <v>46323</v>
      </c>
      <c r="F2655" t="inlineStr">
        <is>
          <t>KALMAR LÄN</t>
        </is>
      </c>
      <c r="G2655" t="inlineStr">
        <is>
          <t>KALMAR</t>
        </is>
      </c>
      <c r="I2655" t="n">
        <v>1.5</v>
      </c>
      <c r="J2655" t="n">
        <v>0</v>
      </c>
      <c r="K2655" t="n">
        <v>0</v>
      </c>
      <c r="L2655" t="n">
        <v>0</v>
      </c>
      <c r="M2655" t="n">
        <v>0</v>
      </c>
      <c r="N2655" t="n">
        <v>0</v>
      </c>
      <c r="O2655" t="n">
        <v>0</v>
      </c>
      <c r="P2655" t="n">
        <v>0</v>
      </c>
      <c r="Q2655" t="n">
        <v>0</v>
      </c>
      <c r="R2655" t="n">
        <v>0</v>
      </c>
      <c r="S2655" t="n">
        <v>0</v>
      </c>
      <c r="T2655" t="n">
        <v>0</v>
      </c>
      <c r="U2655" t="n">
        <v>0</v>
      </c>
      <c r="V2655" s="2" t="inlineStr"/>
    </row>
    <row r="2656" ht="15" customHeight="1">
      <c r="A2656" t="inlineStr">
        <is>
          <t>A 16119-2023</t>
        </is>
      </c>
      <c r="B2656" t="inlineStr">
        <is>
          <t>avverkningsanmälan</t>
        </is>
      </c>
      <c r="C2656" t="inlineStr">
        <is>
          <t>Föryngringsavverkning</t>
        </is>
      </c>
      <c r="D2656" s="1" t="n">
        <v>45027</v>
      </c>
      <c r="E2656" s="1" t="n">
        <v>46323</v>
      </c>
      <c r="F2656" t="inlineStr">
        <is>
          <t>KALMAR LÄN</t>
        </is>
      </c>
      <c r="G2656" t="inlineStr">
        <is>
          <t>VIMMERBY</t>
        </is>
      </c>
      <c r="H2656" t="inlineStr">
        <is>
          <t>Kommuner</t>
        </is>
      </c>
      <c r="I2656" t="n">
        <v>4.4</v>
      </c>
      <c r="J2656" t="n">
        <v>0</v>
      </c>
      <c r="K2656" t="n">
        <v>0</v>
      </c>
      <c r="L2656" t="n">
        <v>0</v>
      </c>
      <c r="M2656" t="n">
        <v>0</v>
      </c>
      <c r="N2656" t="n">
        <v>0</v>
      </c>
      <c r="O2656" t="n">
        <v>0</v>
      </c>
      <c r="P2656" t="n">
        <v>0</v>
      </c>
      <c r="Q2656" t="n">
        <v>0</v>
      </c>
      <c r="R2656" t="n">
        <v>0</v>
      </c>
      <c r="S2656" t="n">
        <v>0</v>
      </c>
      <c r="T2656" t="n">
        <v>0</v>
      </c>
      <c r="U2656" t="n">
        <v>0</v>
      </c>
      <c r="V2656" s="2" t="inlineStr"/>
    </row>
    <row r="2657" ht="15" customHeight="1">
      <c r="A2657" t="inlineStr">
        <is>
          <t>A 13449-2025</t>
        </is>
      </c>
      <c r="B2657" t="inlineStr">
        <is>
          <t>avverkningsanmälan</t>
        </is>
      </c>
      <c r="C2657" t="inlineStr">
        <is>
          <t>Avverkning för annat ändamål</t>
        </is>
      </c>
      <c r="D2657" s="1" t="n">
        <v>45736</v>
      </c>
      <c r="E2657" s="1" t="n">
        <v>46323</v>
      </c>
      <c r="F2657" t="inlineStr">
        <is>
          <t>KALMAR LÄN</t>
        </is>
      </c>
      <c r="G2657" t="inlineStr">
        <is>
          <t>HULTSFRED</t>
        </is>
      </c>
      <c r="I2657" t="n">
        <v>5.4</v>
      </c>
      <c r="J2657" t="n">
        <v>0</v>
      </c>
      <c r="K2657" t="n">
        <v>0</v>
      </c>
      <c r="L2657" t="n">
        <v>0</v>
      </c>
      <c r="M2657" t="n">
        <v>0</v>
      </c>
      <c r="N2657" t="n">
        <v>0</v>
      </c>
      <c r="O2657" t="n">
        <v>0</v>
      </c>
      <c r="P2657" t="n">
        <v>0</v>
      </c>
      <c r="Q2657" t="n">
        <v>0</v>
      </c>
      <c r="R2657" t="n">
        <v>0</v>
      </c>
      <c r="S2657" t="n">
        <v>0</v>
      </c>
      <c r="T2657" t="n">
        <v>0</v>
      </c>
      <c r="U2657" t="n">
        <v>0</v>
      </c>
      <c r="V2657" s="2" t="inlineStr"/>
    </row>
    <row r="2658" ht="15" customHeight="1">
      <c r="A2658" t="inlineStr">
        <is>
          <t>A 43891-2025</t>
        </is>
      </c>
      <c r="B2658" t="inlineStr">
        <is>
          <t>avverkningsanmälan</t>
        </is>
      </c>
      <c r="C2658" t="inlineStr">
        <is>
          <t>Föryngringsavverkning</t>
        </is>
      </c>
      <c r="D2658" s="1" t="n">
        <v>45912</v>
      </c>
      <c r="E2658" s="1" t="n">
        <v>46323</v>
      </c>
      <c r="F2658" t="inlineStr">
        <is>
          <t>KALMAR LÄN</t>
        </is>
      </c>
      <c r="G2658" t="inlineStr">
        <is>
          <t>KALMAR</t>
        </is>
      </c>
      <c r="I2658" t="n">
        <v>4.6</v>
      </c>
      <c r="J2658" t="n">
        <v>0</v>
      </c>
      <c r="K2658" t="n">
        <v>0</v>
      </c>
      <c r="L2658" t="n">
        <v>0</v>
      </c>
      <c r="M2658" t="n">
        <v>0</v>
      </c>
      <c r="N2658" t="n">
        <v>0</v>
      </c>
      <c r="O2658" t="n">
        <v>0</v>
      </c>
      <c r="P2658" t="n">
        <v>0</v>
      </c>
      <c r="Q2658" t="n">
        <v>0</v>
      </c>
      <c r="R2658" t="n">
        <v>0</v>
      </c>
      <c r="S2658" t="n">
        <v>0</v>
      </c>
      <c r="T2658" t="n">
        <v>0</v>
      </c>
      <c r="U2658" t="n">
        <v>0</v>
      </c>
      <c r="V2658" s="2" t="inlineStr"/>
    </row>
    <row r="2659" ht="15" customHeight="1">
      <c r="A2659" t="inlineStr">
        <is>
          <t>A 30588-2023</t>
        </is>
      </c>
      <c r="B2659" t="inlineStr">
        <is>
          <t>avverkningsanmälan</t>
        </is>
      </c>
      <c r="C2659" t="inlineStr">
        <is>
          <t>Föryngringsavverkning</t>
        </is>
      </c>
      <c r="D2659" s="1" t="n">
        <v>45112</v>
      </c>
      <c r="E2659" s="1" t="n">
        <v>46323</v>
      </c>
      <c r="F2659" t="inlineStr">
        <is>
          <t>KALMAR LÄN</t>
        </is>
      </c>
      <c r="G2659" t="inlineStr">
        <is>
          <t>VIMMERBY</t>
        </is>
      </c>
      <c r="I2659" t="n">
        <v>2.7</v>
      </c>
      <c r="J2659" t="n">
        <v>0</v>
      </c>
      <c r="K2659" t="n">
        <v>0</v>
      </c>
      <c r="L2659" t="n">
        <v>0</v>
      </c>
      <c r="M2659" t="n">
        <v>0</v>
      </c>
      <c r="N2659" t="n">
        <v>0</v>
      </c>
      <c r="O2659" t="n">
        <v>0</v>
      </c>
      <c r="P2659" t="n">
        <v>0</v>
      </c>
      <c r="Q2659" t="n">
        <v>0</v>
      </c>
      <c r="R2659" t="n">
        <v>0</v>
      </c>
      <c r="S2659" t="n">
        <v>0</v>
      </c>
      <c r="T2659" t="n">
        <v>0</v>
      </c>
      <c r="U2659" t="n">
        <v>0</v>
      </c>
      <c r="V2659" s="2" t="inlineStr"/>
    </row>
    <row r="2660" ht="15" customHeight="1">
      <c r="A2660" t="inlineStr">
        <is>
          <t>A 23316-2023</t>
        </is>
      </c>
      <c r="B2660" t="inlineStr">
        <is>
          <t>avverkningsanmälan</t>
        </is>
      </c>
      <c r="C2660" t="inlineStr">
        <is>
          <t>Föryngringsavverkning</t>
        </is>
      </c>
      <c r="D2660" s="1" t="n">
        <v>45076</v>
      </c>
      <c r="E2660" s="1" t="n">
        <v>46323</v>
      </c>
      <c r="F2660" t="inlineStr">
        <is>
          <t>KALMAR LÄN</t>
        </is>
      </c>
      <c r="G2660" t="inlineStr">
        <is>
          <t>VÄSTERVIK</t>
        </is>
      </c>
      <c r="I2660" t="n">
        <v>3.6</v>
      </c>
      <c r="J2660" t="n">
        <v>0</v>
      </c>
      <c r="K2660" t="n">
        <v>0</v>
      </c>
      <c r="L2660" t="n">
        <v>0</v>
      </c>
      <c r="M2660" t="n">
        <v>0</v>
      </c>
      <c r="N2660" t="n">
        <v>0</v>
      </c>
      <c r="O2660" t="n">
        <v>0</v>
      </c>
      <c r="P2660" t="n">
        <v>0</v>
      </c>
      <c r="Q2660" t="n">
        <v>0</v>
      </c>
      <c r="R2660" t="n">
        <v>0</v>
      </c>
      <c r="S2660" t="n">
        <v>0</v>
      </c>
      <c r="T2660" t="n">
        <v>0</v>
      </c>
      <c r="U2660" t="n">
        <v>0</v>
      </c>
      <c r="V2660" s="2" t="inlineStr"/>
    </row>
    <row r="2661" ht="15" customHeight="1">
      <c r="A2661" t="inlineStr">
        <is>
          <t>A 42259-2023</t>
        </is>
      </c>
      <c r="B2661" t="inlineStr">
        <is>
          <t>avverkningsanmälan</t>
        </is>
      </c>
      <c r="C2661" t="inlineStr">
        <is>
          <t>Föryngringsavverkning</t>
        </is>
      </c>
      <c r="D2661" s="1" t="n">
        <v>45180</v>
      </c>
      <c r="E2661" s="1" t="n">
        <v>46323</v>
      </c>
      <c r="F2661" t="inlineStr">
        <is>
          <t>KALMAR LÄN</t>
        </is>
      </c>
      <c r="G2661" t="inlineStr">
        <is>
          <t>KALMAR</t>
        </is>
      </c>
      <c r="I2661" t="n">
        <v>2.7</v>
      </c>
      <c r="J2661" t="n">
        <v>0</v>
      </c>
      <c r="K2661" t="n">
        <v>0</v>
      </c>
      <c r="L2661" t="n">
        <v>0</v>
      </c>
      <c r="M2661" t="n">
        <v>0</v>
      </c>
      <c r="N2661" t="n">
        <v>0</v>
      </c>
      <c r="O2661" t="n">
        <v>0</v>
      </c>
      <c r="P2661" t="n">
        <v>0</v>
      </c>
      <c r="Q2661" t="n">
        <v>0</v>
      </c>
      <c r="R2661" t="n">
        <v>0</v>
      </c>
      <c r="S2661" t="n">
        <v>0</v>
      </c>
      <c r="T2661" t="n">
        <v>0</v>
      </c>
      <c r="U2661" t="n">
        <v>0</v>
      </c>
      <c r="V2661" s="2" t="inlineStr"/>
    </row>
    <row r="2662" ht="15" customHeight="1">
      <c r="A2662" t="inlineStr">
        <is>
          <t>A 17001-2025</t>
        </is>
      </c>
      <c r="B2662" t="inlineStr">
        <is>
          <t>avverkningsanmälan</t>
        </is>
      </c>
      <c r="C2662" t="inlineStr">
        <is>
          <t>Föryngringsavverkning</t>
        </is>
      </c>
      <c r="D2662" s="1" t="n">
        <v>45755</v>
      </c>
      <c r="E2662" s="1" t="n">
        <v>46323</v>
      </c>
      <c r="F2662" t="inlineStr">
        <is>
          <t>KALMAR LÄN</t>
        </is>
      </c>
      <c r="G2662" t="inlineStr">
        <is>
          <t>EMMABODA</t>
        </is>
      </c>
      <c r="I2662" t="n">
        <v>0.7</v>
      </c>
      <c r="J2662" t="n">
        <v>0</v>
      </c>
      <c r="K2662" t="n">
        <v>0</v>
      </c>
      <c r="L2662" t="n">
        <v>0</v>
      </c>
      <c r="M2662" t="n">
        <v>0</v>
      </c>
      <c r="N2662" t="n">
        <v>0</v>
      </c>
      <c r="O2662" t="n">
        <v>0</v>
      </c>
      <c r="P2662" t="n">
        <v>0</v>
      </c>
      <c r="Q2662" t="n">
        <v>0</v>
      </c>
      <c r="R2662" t="n">
        <v>0</v>
      </c>
      <c r="S2662" t="n">
        <v>0</v>
      </c>
      <c r="T2662" t="n">
        <v>0</v>
      </c>
      <c r="U2662" t="n">
        <v>0</v>
      </c>
      <c r="V2662" s="2" t="inlineStr"/>
    </row>
    <row r="2663" ht="15" customHeight="1">
      <c r="A2663" t="inlineStr">
        <is>
          <t>A 30386-2023</t>
        </is>
      </c>
      <c r="B2663" t="inlineStr">
        <is>
          <t>avverkningsanmälan</t>
        </is>
      </c>
      <c r="C2663" t="inlineStr">
        <is>
          <t>Föryngringsavverkning</t>
        </is>
      </c>
      <c r="D2663" s="1" t="n">
        <v>45099</v>
      </c>
      <c r="E2663" s="1" t="n">
        <v>46323</v>
      </c>
      <c r="F2663" t="inlineStr">
        <is>
          <t>KALMAR LÄN</t>
        </is>
      </c>
      <c r="G2663" t="inlineStr">
        <is>
          <t>HULTSFRED</t>
        </is>
      </c>
      <c r="I2663" t="n">
        <v>1.5</v>
      </c>
      <c r="J2663" t="n">
        <v>0</v>
      </c>
      <c r="K2663" t="n">
        <v>0</v>
      </c>
      <c r="L2663" t="n">
        <v>0</v>
      </c>
      <c r="M2663" t="n">
        <v>0</v>
      </c>
      <c r="N2663" t="n">
        <v>0</v>
      </c>
      <c r="O2663" t="n">
        <v>0</v>
      </c>
      <c r="P2663" t="n">
        <v>0</v>
      </c>
      <c r="Q2663" t="n">
        <v>0</v>
      </c>
      <c r="R2663" t="n">
        <v>0</v>
      </c>
      <c r="S2663" t="n">
        <v>0</v>
      </c>
      <c r="T2663" t="n">
        <v>0</v>
      </c>
      <c r="U2663" t="n">
        <v>0</v>
      </c>
      <c r="V2663" s="2" t="inlineStr"/>
    </row>
    <row r="2664" ht="15" customHeight="1">
      <c r="A2664" t="inlineStr">
        <is>
          <t>A 30442-2023</t>
        </is>
      </c>
      <c r="B2664" t="inlineStr">
        <is>
          <t>avverkningsanmälan</t>
        </is>
      </c>
      <c r="C2664" t="inlineStr">
        <is>
          <t>Föryngringsavverkning</t>
        </is>
      </c>
      <c r="D2664" s="1" t="n">
        <v>45111</v>
      </c>
      <c r="E2664" s="1" t="n">
        <v>46323</v>
      </c>
      <c r="F2664" t="inlineStr">
        <is>
          <t>KALMAR LÄN</t>
        </is>
      </c>
      <c r="G2664" t="inlineStr">
        <is>
          <t>NYBRO</t>
        </is>
      </c>
      <c r="I2664" t="n">
        <v>1.1</v>
      </c>
      <c r="J2664" t="n">
        <v>0</v>
      </c>
      <c r="K2664" t="n">
        <v>0</v>
      </c>
      <c r="L2664" t="n">
        <v>0</v>
      </c>
      <c r="M2664" t="n">
        <v>0</v>
      </c>
      <c r="N2664" t="n">
        <v>0</v>
      </c>
      <c r="O2664" t="n">
        <v>0</v>
      </c>
      <c r="P2664" t="n">
        <v>0</v>
      </c>
      <c r="Q2664" t="n">
        <v>0</v>
      </c>
      <c r="R2664" t="n">
        <v>0</v>
      </c>
      <c r="S2664" t="n">
        <v>0</v>
      </c>
      <c r="T2664" t="n">
        <v>0</v>
      </c>
      <c r="U2664" t="n">
        <v>0</v>
      </c>
      <c r="V2664" s="2" t="inlineStr"/>
    </row>
    <row r="2665" ht="15" customHeight="1">
      <c r="A2665" t="inlineStr">
        <is>
          <t>A 10995-2025</t>
        </is>
      </c>
      <c r="B2665" t="inlineStr">
        <is>
          <t>avverkningsanmälan</t>
        </is>
      </c>
      <c r="C2665" t="inlineStr">
        <is>
          <t>Avverkning för att bevara och utveckla /försöksver</t>
        </is>
      </c>
      <c r="D2665" s="1" t="n">
        <v>45723</v>
      </c>
      <c r="E2665" s="1" t="n">
        <v>46323</v>
      </c>
      <c r="F2665" t="inlineStr">
        <is>
          <t>KALMAR LÄN</t>
        </is>
      </c>
      <c r="G2665" t="inlineStr">
        <is>
          <t>HULTSFRED</t>
        </is>
      </c>
      <c r="H2665" t="inlineStr">
        <is>
          <t>Sveaskog</t>
        </is>
      </c>
      <c r="I2665" t="n">
        <v>2</v>
      </c>
      <c r="J2665" t="n">
        <v>0</v>
      </c>
      <c r="K2665" t="n">
        <v>0</v>
      </c>
      <c r="L2665" t="n">
        <v>0</v>
      </c>
      <c r="M2665" t="n">
        <v>0</v>
      </c>
      <c r="N2665" t="n">
        <v>0</v>
      </c>
      <c r="O2665" t="n">
        <v>0</v>
      </c>
      <c r="P2665" t="n">
        <v>0</v>
      </c>
      <c r="Q2665" t="n">
        <v>0</v>
      </c>
      <c r="R2665" t="n">
        <v>0</v>
      </c>
      <c r="S2665" t="n">
        <v>0</v>
      </c>
      <c r="T2665" t="n">
        <v>0</v>
      </c>
      <c r="U2665" t="n">
        <v>0</v>
      </c>
      <c r="V2665" s="2" t="inlineStr"/>
    </row>
    <row r="2666" ht="15" customHeight="1">
      <c r="A2666" t="inlineStr">
        <is>
          <t>A 44089-2025</t>
        </is>
      </c>
      <c r="B2666" t="inlineStr">
        <is>
          <t>avverkningsanmälan</t>
        </is>
      </c>
      <c r="C2666" t="inlineStr">
        <is>
          <t>Föryngringsavverkning</t>
        </is>
      </c>
      <c r="D2666" s="1" t="n">
        <v>45915</v>
      </c>
      <c r="E2666" s="1" t="n">
        <v>46323</v>
      </c>
      <c r="F2666" t="inlineStr">
        <is>
          <t>KALMAR LÄN</t>
        </is>
      </c>
      <c r="G2666" t="inlineStr">
        <is>
          <t>EMMABODA</t>
        </is>
      </c>
      <c r="I2666" t="n">
        <v>5.3</v>
      </c>
      <c r="J2666" t="n">
        <v>0</v>
      </c>
      <c r="K2666" t="n">
        <v>0</v>
      </c>
      <c r="L2666" t="n">
        <v>0</v>
      </c>
      <c r="M2666" t="n">
        <v>0</v>
      </c>
      <c r="N2666" t="n">
        <v>0</v>
      </c>
      <c r="O2666" t="n">
        <v>0</v>
      </c>
      <c r="P2666" t="n">
        <v>0</v>
      </c>
      <c r="Q2666" t="n">
        <v>0</v>
      </c>
      <c r="R2666" t="n">
        <v>0</v>
      </c>
      <c r="S2666" t="n">
        <v>0</v>
      </c>
      <c r="T2666" t="n">
        <v>0</v>
      </c>
      <c r="U2666" t="n">
        <v>0</v>
      </c>
      <c r="V2666" s="2" t="inlineStr"/>
    </row>
    <row r="2667" ht="15" customHeight="1">
      <c r="A2667" t="inlineStr">
        <is>
          <t>A 30515-2023</t>
        </is>
      </c>
      <c r="B2667" t="inlineStr">
        <is>
          <t>avverkningsanmälan</t>
        </is>
      </c>
      <c r="C2667" t="inlineStr">
        <is>
          <t>Föryngringsavverkning</t>
        </is>
      </c>
      <c r="D2667" s="1" t="n">
        <v>45111</v>
      </c>
      <c r="E2667" s="1" t="n">
        <v>46323</v>
      </c>
      <c r="F2667" t="inlineStr">
        <is>
          <t>KALMAR LÄN</t>
        </is>
      </c>
      <c r="G2667" t="inlineStr">
        <is>
          <t>EMMABODA</t>
        </is>
      </c>
      <c r="I2667" t="n">
        <v>2</v>
      </c>
      <c r="J2667" t="n">
        <v>0</v>
      </c>
      <c r="K2667" t="n">
        <v>0</v>
      </c>
      <c r="L2667" t="n">
        <v>0</v>
      </c>
      <c r="M2667" t="n">
        <v>0</v>
      </c>
      <c r="N2667" t="n">
        <v>0</v>
      </c>
      <c r="O2667" t="n">
        <v>0</v>
      </c>
      <c r="P2667" t="n">
        <v>0</v>
      </c>
      <c r="Q2667" t="n">
        <v>0</v>
      </c>
      <c r="R2667" t="n">
        <v>0</v>
      </c>
      <c r="S2667" t="n">
        <v>0</v>
      </c>
      <c r="T2667" t="n">
        <v>0</v>
      </c>
      <c r="U2667" t="n">
        <v>0</v>
      </c>
      <c r="V2667" s="2" t="inlineStr"/>
    </row>
    <row r="2668" ht="15" customHeight="1">
      <c r="A2668" t="inlineStr">
        <is>
          <t>A 37300-2024</t>
        </is>
      </c>
      <c r="B2668" t="inlineStr">
        <is>
          <t>avverkningsanmälan</t>
        </is>
      </c>
      <c r="C2668" t="inlineStr">
        <is>
          <t>Föryngringsavverkning</t>
        </is>
      </c>
      <c r="D2668" s="1" t="n">
        <v>45540</v>
      </c>
      <c r="E2668" s="1" t="n">
        <v>46323</v>
      </c>
      <c r="F2668" t="inlineStr">
        <is>
          <t>KALMAR LÄN</t>
        </is>
      </c>
      <c r="G2668" t="inlineStr">
        <is>
          <t>KALMAR</t>
        </is>
      </c>
      <c r="I2668" t="n">
        <v>0.9</v>
      </c>
      <c r="J2668" t="n">
        <v>0</v>
      </c>
      <c r="K2668" t="n">
        <v>0</v>
      </c>
      <c r="L2668" t="n">
        <v>0</v>
      </c>
      <c r="M2668" t="n">
        <v>0</v>
      </c>
      <c r="N2668" t="n">
        <v>0</v>
      </c>
      <c r="O2668" t="n">
        <v>0</v>
      </c>
      <c r="P2668" t="n">
        <v>0</v>
      </c>
      <c r="Q2668" t="n">
        <v>0</v>
      </c>
      <c r="R2668" t="n">
        <v>0</v>
      </c>
      <c r="S2668" t="n">
        <v>0</v>
      </c>
      <c r="T2668" t="n">
        <v>0</v>
      </c>
      <c r="U2668" t="n">
        <v>0</v>
      </c>
      <c r="V2668" s="2" t="inlineStr"/>
    </row>
    <row r="2669" ht="15" customHeight="1">
      <c r="A2669" t="inlineStr">
        <is>
          <t>A 20052-2025</t>
        </is>
      </c>
      <c r="B2669" t="inlineStr">
        <is>
          <t>avverkningsanmälan</t>
        </is>
      </c>
      <c r="C2669" t="inlineStr">
        <is>
          <t>Föryngringsavverkning</t>
        </is>
      </c>
      <c r="D2669" s="1" t="n">
        <v>45772</v>
      </c>
      <c r="E2669" s="1" t="n">
        <v>46323</v>
      </c>
      <c r="F2669" t="inlineStr">
        <is>
          <t>KALMAR LÄN</t>
        </is>
      </c>
      <c r="G2669" t="inlineStr">
        <is>
          <t>EMMABODA</t>
        </is>
      </c>
      <c r="I2669" t="n">
        <v>1</v>
      </c>
      <c r="J2669" t="n">
        <v>0</v>
      </c>
      <c r="K2669" t="n">
        <v>0</v>
      </c>
      <c r="L2669" t="n">
        <v>0</v>
      </c>
      <c r="M2669" t="n">
        <v>0</v>
      </c>
      <c r="N2669" t="n">
        <v>0</v>
      </c>
      <c r="O2669" t="n">
        <v>0</v>
      </c>
      <c r="P2669" t="n">
        <v>0</v>
      </c>
      <c r="Q2669" t="n">
        <v>0</v>
      </c>
      <c r="R2669" t="n">
        <v>0</v>
      </c>
      <c r="S2669" t="n">
        <v>0</v>
      </c>
      <c r="T2669" t="n">
        <v>0</v>
      </c>
      <c r="U2669" t="n">
        <v>0</v>
      </c>
      <c r="V2669" s="2" t="inlineStr"/>
    </row>
    <row r="2670" ht="15" customHeight="1">
      <c r="A2670" t="inlineStr">
        <is>
          <t>A 19359-2023</t>
        </is>
      </c>
      <c r="B2670" t="inlineStr">
        <is>
          <t>avverkningsanmälan</t>
        </is>
      </c>
      <c r="C2670" t="inlineStr">
        <is>
          <t>Föryngringsavverkning</t>
        </is>
      </c>
      <c r="D2670" s="1" t="n">
        <v>45049</v>
      </c>
      <c r="E2670" s="1" t="n">
        <v>46323</v>
      </c>
      <c r="F2670" t="inlineStr">
        <is>
          <t>KALMAR LÄN</t>
        </is>
      </c>
      <c r="G2670" t="inlineStr">
        <is>
          <t>EMMABODA</t>
        </is>
      </c>
      <c r="I2670" t="n">
        <v>2.2</v>
      </c>
      <c r="J2670" t="n">
        <v>0</v>
      </c>
      <c r="K2670" t="n">
        <v>0</v>
      </c>
      <c r="L2670" t="n">
        <v>0</v>
      </c>
      <c r="M2670" t="n">
        <v>0</v>
      </c>
      <c r="N2670" t="n">
        <v>0</v>
      </c>
      <c r="O2670" t="n">
        <v>0</v>
      </c>
      <c r="P2670" t="n">
        <v>0</v>
      </c>
      <c r="Q2670" t="n">
        <v>0</v>
      </c>
      <c r="R2670" t="n">
        <v>0</v>
      </c>
      <c r="S2670" t="n">
        <v>0</v>
      </c>
      <c r="T2670" t="n">
        <v>0</v>
      </c>
      <c r="U2670" t="n">
        <v>0</v>
      </c>
      <c r="V2670" s="2" t="inlineStr"/>
    </row>
    <row r="2671" ht="15" customHeight="1">
      <c r="A2671" t="inlineStr">
        <is>
          <t>A 18219-2025</t>
        </is>
      </c>
      <c r="B2671" t="inlineStr">
        <is>
          <t>avverkningsanmälan</t>
        </is>
      </c>
      <c r="C2671" t="inlineStr">
        <is>
          <t>Föryngringsavverkning</t>
        </is>
      </c>
      <c r="D2671" s="1" t="n">
        <v>45761</v>
      </c>
      <c r="E2671" s="1" t="n">
        <v>46323</v>
      </c>
      <c r="F2671" t="inlineStr">
        <is>
          <t>KALMAR LÄN</t>
        </is>
      </c>
      <c r="G2671" t="inlineStr">
        <is>
          <t>NYBRO</t>
        </is>
      </c>
      <c r="H2671" t="inlineStr">
        <is>
          <t>Sveaskog</t>
        </is>
      </c>
      <c r="I2671" t="n">
        <v>0.5</v>
      </c>
      <c r="J2671" t="n">
        <v>0</v>
      </c>
      <c r="K2671" t="n">
        <v>0</v>
      </c>
      <c r="L2671" t="n">
        <v>0</v>
      </c>
      <c r="M2671" t="n">
        <v>0</v>
      </c>
      <c r="N2671" t="n">
        <v>0</v>
      </c>
      <c r="O2671" t="n">
        <v>0</v>
      </c>
      <c r="P2671" t="n">
        <v>0</v>
      </c>
      <c r="Q2671" t="n">
        <v>0</v>
      </c>
      <c r="R2671" t="n">
        <v>0</v>
      </c>
      <c r="S2671" t="n">
        <v>0</v>
      </c>
      <c r="T2671" t="n">
        <v>0</v>
      </c>
      <c r="U2671" t="n">
        <v>0</v>
      </c>
      <c r="V2671" s="2" t="inlineStr"/>
    </row>
    <row r="2672" ht="15" customHeight="1">
      <c r="A2672" t="inlineStr">
        <is>
          <t>A 5348-2024</t>
        </is>
      </c>
      <c r="B2672" t="inlineStr">
        <is>
          <t>avverkningsanmälan</t>
        </is>
      </c>
      <c r="C2672" t="inlineStr">
        <is>
          <t>Föryngringsavverkning</t>
        </is>
      </c>
      <c r="D2672" s="1" t="n">
        <v>45331</v>
      </c>
      <c r="E2672" s="1" t="n">
        <v>46323</v>
      </c>
      <c r="F2672" t="inlineStr">
        <is>
          <t>KALMAR LÄN</t>
        </is>
      </c>
      <c r="G2672" t="inlineStr">
        <is>
          <t>VÄSTERVIK</t>
        </is>
      </c>
      <c r="H2672" t="inlineStr">
        <is>
          <t>Övriga Aktiebolag</t>
        </is>
      </c>
      <c r="I2672" t="n">
        <v>0.8</v>
      </c>
      <c r="J2672" t="n">
        <v>0</v>
      </c>
      <c r="K2672" t="n">
        <v>0</v>
      </c>
      <c r="L2672" t="n">
        <v>0</v>
      </c>
      <c r="M2672" t="n">
        <v>0</v>
      </c>
      <c r="N2672" t="n">
        <v>0</v>
      </c>
      <c r="O2672" t="n">
        <v>0</v>
      </c>
      <c r="P2672" t="n">
        <v>0</v>
      </c>
      <c r="Q2672" t="n">
        <v>0</v>
      </c>
      <c r="R2672" t="n">
        <v>0</v>
      </c>
      <c r="S2672" t="n">
        <v>0</v>
      </c>
      <c r="T2672" t="n">
        <v>0</v>
      </c>
      <c r="U2672" t="n">
        <v>0</v>
      </c>
      <c r="V2672" s="2" t="inlineStr"/>
    </row>
    <row r="2673" ht="15" customHeight="1">
      <c r="A2673" t="inlineStr">
        <is>
          <t>A 17250-2024</t>
        </is>
      </c>
      <c r="B2673" t="inlineStr">
        <is>
          <t>avverkningsanmälan</t>
        </is>
      </c>
      <c r="C2673" t="inlineStr">
        <is>
          <t>Föryngringsavverkning</t>
        </is>
      </c>
      <c r="D2673" s="1" t="n">
        <v>45414</v>
      </c>
      <c r="E2673" s="1" t="n">
        <v>46323</v>
      </c>
      <c r="F2673" t="inlineStr">
        <is>
          <t>KALMAR LÄN</t>
        </is>
      </c>
      <c r="G2673" t="inlineStr">
        <is>
          <t>HÖGSBY</t>
        </is>
      </c>
      <c r="I2673" t="n">
        <v>0.5</v>
      </c>
      <c r="J2673" t="n">
        <v>0</v>
      </c>
      <c r="K2673" t="n">
        <v>0</v>
      </c>
      <c r="L2673" t="n">
        <v>0</v>
      </c>
      <c r="M2673" t="n">
        <v>0</v>
      </c>
      <c r="N2673" t="n">
        <v>0</v>
      </c>
      <c r="O2673" t="n">
        <v>0</v>
      </c>
      <c r="P2673" t="n">
        <v>0</v>
      </c>
      <c r="Q2673" t="n">
        <v>0</v>
      </c>
      <c r="R2673" t="n">
        <v>0</v>
      </c>
      <c r="S2673" t="n">
        <v>0</v>
      </c>
      <c r="T2673" t="n">
        <v>0</v>
      </c>
      <c r="U2673" t="n">
        <v>0</v>
      </c>
      <c r="V2673" s="2" t="inlineStr"/>
    </row>
    <row r="2674" ht="15" customHeight="1">
      <c r="A2674" t="inlineStr">
        <is>
          <t>A 44091-2025</t>
        </is>
      </c>
      <c r="B2674" t="inlineStr">
        <is>
          <t>avverkningsanmälan</t>
        </is>
      </c>
      <c r="C2674" t="inlineStr">
        <is>
          <t>Föryngringsavverkning</t>
        </is>
      </c>
      <c r="D2674" s="1" t="n">
        <v>45915</v>
      </c>
      <c r="E2674" s="1" t="n">
        <v>46323</v>
      </c>
      <c r="F2674" t="inlineStr">
        <is>
          <t>KALMAR LÄN</t>
        </is>
      </c>
      <c r="G2674" t="inlineStr">
        <is>
          <t>VIMMERBY</t>
        </is>
      </c>
      <c r="I2674" t="n">
        <v>0.8</v>
      </c>
      <c r="J2674" t="n">
        <v>0</v>
      </c>
      <c r="K2674" t="n">
        <v>0</v>
      </c>
      <c r="L2674" t="n">
        <v>0</v>
      </c>
      <c r="M2674" t="n">
        <v>0</v>
      </c>
      <c r="N2674" t="n">
        <v>0</v>
      </c>
      <c r="O2674" t="n">
        <v>0</v>
      </c>
      <c r="P2674" t="n">
        <v>0</v>
      </c>
      <c r="Q2674" t="n">
        <v>0</v>
      </c>
      <c r="R2674" t="n">
        <v>0</v>
      </c>
      <c r="S2674" t="n">
        <v>0</v>
      </c>
      <c r="T2674" t="n">
        <v>0</v>
      </c>
      <c r="U2674" t="n">
        <v>0</v>
      </c>
      <c r="V2674" s="2" t="inlineStr"/>
    </row>
    <row r="2675" ht="15" customHeight="1">
      <c r="A2675" t="inlineStr">
        <is>
          <t>A 44097-2025</t>
        </is>
      </c>
      <c r="B2675" t="inlineStr">
        <is>
          <t>avverkningsanmälan</t>
        </is>
      </c>
      <c r="C2675" t="inlineStr">
        <is>
          <t>Föryngringsavverkning</t>
        </is>
      </c>
      <c r="D2675" s="1" t="n">
        <v>45915</v>
      </c>
      <c r="E2675" s="1" t="n">
        <v>46323</v>
      </c>
      <c r="F2675" t="inlineStr">
        <is>
          <t>KALMAR LÄN</t>
        </is>
      </c>
      <c r="G2675" t="inlineStr">
        <is>
          <t>EMMABODA</t>
        </is>
      </c>
      <c r="I2675" t="n">
        <v>3</v>
      </c>
      <c r="J2675" t="n">
        <v>0</v>
      </c>
      <c r="K2675" t="n">
        <v>0</v>
      </c>
      <c r="L2675" t="n">
        <v>0</v>
      </c>
      <c r="M2675" t="n">
        <v>0</v>
      </c>
      <c r="N2675" t="n">
        <v>0</v>
      </c>
      <c r="O2675" t="n">
        <v>0</v>
      </c>
      <c r="P2675" t="n">
        <v>0</v>
      </c>
      <c r="Q2675" t="n">
        <v>0</v>
      </c>
      <c r="R2675" t="n">
        <v>0</v>
      </c>
      <c r="S2675" t="n">
        <v>0</v>
      </c>
      <c r="T2675" t="n">
        <v>0</v>
      </c>
      <c r="U2675" t="n">
        <v>0</v>
      </c>
      <c r="V2675" s="2" t="inlineStr"/>
    </row>
    <row r="2676" ht="15" customHeight="1">
      <c r="A2676" t="inlineStr">
        <is>
          <t>A 18831-2024</t>
        </is>
      </c>
      <c r="B2676" t="inlineStr">
        <is>
          <t>avverkningsanmälan</t>
        </is>
      </c>
      <c r="C2676" t="inlineStr">
        <is>
          <t>Föryngringsavverkning</t>
        </is>
      </c>
      <c r="D2676" s="1" t="n">
        <v>45426</v>
      </c>
      <c r="E2676" s="1" t="n">
        <v>46323</v>
      </c>
      <c r="F2676" t="inlineStr">
        <is>
          <t>KALMAR LÄN</t>
        </is>
      </c>
      <c r="G2676" t="inlineStr">
        <is>
          <t>NYBRO</t>
        </is>
      </c>
      <c r="I2676" t="n">
        <v>0.6</v>
      </c>
      <c r="J2676" t="n">
        <v>0</v>
      </c>
      <c r="K2676" t="n">
        <v>0</v>
      </c>
      <c r="L2676" t="n">
        <v>0</v>
      </c>
      <c r="M2676" t="n">
        <v>0</v>
      </c>
      <c r="N2676" t="n">
        <v>0</v>
      </c>
      <c r="O2676" t="n">
        <v>0</v>
      </c>
      <c r="P2676" t="n">
        <v>0</v>
      </c>
      <c r="Q2676" t="n">
        <v>0</v>
      </c>
      <c r="R2676" t="n">
        <v>0</v>
      </c>
      <c r="S2676" t="n">
        <v>0</v>
      </c>
      <c r="T2676" t="n">
        <v>0</v>
      </c>
      <c r="U2676" t="n">
        <v>0</v>
      </c>
      <c r="V2676" s="2" t="inlineStr"/>
    </row>
    <row r="2677" ht="15" customHeight="1">
      <c r="A2677" t="inlineStr">
        <is>
          <t>A 46562-2022</t>
        </is>
      </c>
      <c r="B2677" t="inlineStr">
        <is>
          <t>avverkningsanmälan</t>
        </is>
      </c>
      <c r="C2677" t="inlineStr">
        <is>
          <t>Föryngringsavverkning</t>
        </is>
      </c>
      <c r="D2677" s="1" t="n">
        <v>44848</v>
      </c>
      <c r="E2677" s="1" t="n">
        <v>46323</v>
      </c>
      <c r="F2677" t="inlineStr">
        <is>
          <t>KALMAR LÄN</t>
        </is>
      </c>
      <c r="G2677" t="inlineStr">
        <is>
          <t>VÄSTERVIK</t>
        </is>
      </c>
      <c r="H2677" t="inlineStr">
        <is>
          <t>Sveaskog</t>
        </is>
      </c>
      <c r="I2677" t="n">
        <v>1</v>
      </c>
      <c r="J2677" t="n">
        <v>0</v>
      </c>
      <c r="K2677" t="n">
        <v>0</v>
      </c>
      <c r="L2677" t="n">
        <v>0</v>
      </c>
      <c r="M2677" t="n">
        <v>0</v>
      </c>
      <c r="N2677" t="n">
        <v>0</v>
      </c>
      <c r="O2677" t="n">
        <v>0</v>
      </c>
      <c r="P2677" t="n">
        <v>0</v>
      </c>
      <c r="Q2677" t="n">
        <v>0</v>
      </c>
      <c r="R2677" t="n">
        <v>0</v>
      </c>
      <c r="S2677" t="n">
        <v>0</v>
      </c>
      <c r="T2677" t="n">
        <v>0</v>
      </c>
      <c r="U2677" t="n">
        <v>0</v>
      </c>
      <c r="V2677" s="2" t="inlineStr"/>
    </row>
    <row r="2678" ht="15" customHeight="1">
      <c r="A2678" t="inlineStr">
        <is>
          <t>A 44093-2025</t>
        </is>
      </c>
      <c r="B2678" t="inlineStr">
        <is>
          <t>avverkningsanmälan</t>
        </is>
      </c>
      <c r="C2678" t="inlineStr">
        <is>
          <t>Föryngringsavverkning</t>
        </is>
      </c>
      <c r="D2678" s="1" t="n">
        <v>45915</v>
      </c>
      <c r="E2678" s="1" t="n">
        <v>46323</v>
      </c>
      <c r="F2678" t="inlineStr">
        <is>
          <t>KALMAR LÄN</t>
        </is>
      </c>
      <c r="G2678" t="inlineStr">
        <is>
          <t>EMMABODA</t>
        </is>
      </c>
      <c r="I2678" t="n">
        <v>0.8</v>
      </c>
      <c r="J2678" t="n">
        <v>0</v>
      </c>
      <c r="K2678" t="n">
        <v>0</v>
      </c>
      <c r="L2678" t="n">
        <v>0</v>
      </c>
      <c r="M2678" t="n">
        <v>0</v>
      </c>
      <c r="N2678" t="n">
        <v>0</v>
      </c>
      <c r="O2678" t="n">
        <v>0</v>
      </c>
      <c r="P2678" t="n">
        <v>0</v>
      </c>
      <c r="Q2678" t="n">
        <v>0</v>
      </c>
      <c r="R2678" t="n">
        <v>0</v>
      </c>
      <c r="S2678" t="n">
        <v>0</v>
      </c>
      <c r="T2678" t="n">
        <v>0</v>
      </c>
      <c r="U2678" t="n">
        <v>0</v>
      </c>
      <c r="V2678" s="2" t="inlineStr"/>
    </row>
    <row r="2679" ht="15" customHeight="1">
      <c r="A2679" t="inlineStr">
        <is>
          <t>A 44095-2025</t>
        </is>
      </c>
      <c r="B2679" t="inlineStr">
        <is>
          <t>avverkningsanmälan</t>
        </is>
      </c>
      <c r="C2679" t="inlineStr">
        <is>
          <t>Föryngringsavverkning</t>
        </is>
      </c>
      <c r="D2679" s="1" t="n">
        <v>45915</v>
      </c>
      <c r="E2679" s="1" t="n">
        <v>46323</v>
      </c>
      <c r="F2679" t="inlineStr">
        <is>
          <t>KALMAR LÄN</t>
        </is>
      </c>
      <c r="G2679" t="inlineStr">
        <is>
          <t>VIMMERBY</t>
        </is>
      </c>
      <c r="I2679" t="n">
        <v>2.4</v>
      </c>
      <c r="J2679" t="n">
        <v>0</v>
      </c>
      <c r="K2679" t="n">
        <v>0</v>
      </c>
      <c r="L2679" t="n">
        <v>0</v>
      </c>
      <c r="M2679" t="n">
        <v>0</v>
      </c>
      <c r="N2679" t="n">
        <v>0</v>
      </c>
      <c r="O2679" t="n">
        <v>0</v>
      </c>
      <c r="P2679" t="n">
        <v>0</v>
      </c>
      <c r="Q2679" t="n">
        <v>0</v>
      </c>
      <c r="R2679" t="n">
        <v>0</v>
      </c>
      <c r="S2679" t="n">
        <v>0</v>
      </c>
      <c r="T2679" t="n">
        <v>0</v>
      </c>
      <c r="U2679" t="n">
        <v>0</v>
      </c>
      <c r="V2679" s="2" t="inlineStr"/>
    </row>
    <row r="2680" ht="15" customHeight="1">
      <c r="A2680" t="inlineStr">
        <is>
          <t>A 9138-2025</t>
        </is>
      </c>
      <c r="B2680" t="inlineStr">
        <is>
          <t>avverkningsanmälan</t>
        </is>
      </c>
      <c r="C2680" t="inlineStr">
        <is>
          <t>Föryngringsavverkning</t>
        </is>
      </c>
      <c r="D2680" s="1" t="n">
        <v>45714</v>
      </c>
      <c r="E2680" s="1" t="n">
        <v>46323</v>
      </c>
      <c r="F2680" t="inlineStr">
        <is>
          <t>KALMAR LÄN</t>
        </is>
      </c>
      <c r="G2680" t="inlineStr">
        <is>
          <t>NYBRO</t>
        </is>
      </c>
      <c r="I2680" t="n">
        <v>0.8</v>
      </c>
      <c r="J2680" t="n">
        <v>0</v>
      </c>
      <c r="K2680" t="n">
        <v>0</v>
      </c>
      <c r="L2680" t="n">
        <v>0</v>
      </c>
      <c r="M2680" t="n">
        <v>0</v>
      </c>
      <c r="N2680" t="n">
        <v>0</v>
      </c>
      <c r="O2680" t="n">
        <v>0</v>
      </c>
      <c r="P2680" t="n">
        <v>0</v>
      </c>
      <c r="Q2680" t="n">
        <v>0</v>
      </c>
      <c r="R2680" t="n">
        <v>0</v>
      </c>
      <c r="S2680" t="n">
        <v>0</v>
      </c>
      <c r="T2680" t="n">
        <v>0</v>
      </c>
      <c r="U2680" t="n">
        <v>0</v>
      </c>
      <c r="V2680" s="2" t="inlineStr"/>
    </row>
    <row r="2681" ht="15" customHeight="1">
      <c r="A2681" t="inlineStr">
        <is>
          <t>A 44399-2025</t>
        </is>
      </c>
      <c r="B2681" t="inlineStr">
        <is>
          <t>avverkningsanmälan</t>
        </is>
      </c>
      <c r="C2681" t="inlineStr">
        <is>
          <t>Föryngringsavverkning</t>
        </is>
      </c>
      <c r="D2681" s="1" t="n">
        <v>45916</v>
      </c>
      <c r="E2681" s="1" t="n">
        <v>46323</v>
      </c>
      <c r="F2681" t="inlineStr">
        <is>
          <t>KALMAR LÄN</t>
        </is>
      </c>
      <c r="G2681" t="inlineStr">
        <is>
          <t>HULTSFRED</t>
        </is>
      </c>
      <c r="I2681" t="n">
        <v>7.4</v>
      </c>
      <c r="J2681" t="n">
        <v>0</v>
      </c>
      <c r="K2681" t="n">
        <v>0</v>
      </c>
      <c r="L2681" t="n">
        <v>0</v>
      </c>
      <c r="M2681" t="n">
        <v>0</v>
      </c>
      <c r="N2681" t="n">
        <v>0</v>
      </c>
      <c r="O2681" t="n">
        <v>0</v>
      </c>
      <c r="P2681" t="n">
        <v>0</v>
      </c>
      <c r="Q2681" t="n">
        <v>0</v>
      </c>
      <c r="R2681" t="n">
        <v>0</v>
      </c>
      <c r="S2681" t="n">
        <v>0</v>
      </c>
      <c r="T2681" t="n">
        <v>0</v>
      </c>
      <c r="U2681" t="n">
        <v>0</v>
      </c>
      <c r="V2681" s="2" t="inlineStr"/>
    </row>
    <row r="2682" ht="15" customHeight="1">
      <c r="A2682" t="inlineStr">
        <is>
          <t>A 16516-2023</t>
        </is>
      </c>
      <c r="B2682" t="inlineStr">
        <is>
          <t>avverkningsanmälan</t>
        </is>
      </c>
      <c r="C2682" t="inlineStr">
        <is>
          <t>Föryngringsavverkning</t>
        </is>
      </c>
      <c r="D2682" s="1" t="n">
        <v>45029</v>
      </c>
      <c r="E2682" s="1" t="n">
        <v>46323</v>
      </c>
      <c r="F2682" t="inlineStr">
        <is>
          <t>KALMAR LÄN</t>
        </is>
      </c>
      <c r="G2682" t="inlineStr">
        <is>
          <t>VIMMERBY</t>
        </is>
      </c>
      <c r="I2682" t="n">
        <v>4.3</v>
      </c>
      <c r="J2682" t="n">
        <v>0</v>
      </c>
      <c r="K2682" t="n">
        <v>0</v>
      </c>
      <c r="L2682" t="n">
        <v>0</v>
      </c>
      <c r="M2682" t="n">
        <v>0</v>
      </c>
      <c r="N2682" t="n">
        <v>0</v>
      </c>
      <c r="O2682" t="n">
        <v>0</v>
      </c>
      <c r="P2682" t="n">
        <v>0</v>
      </c>
      <c r="Q2682" t="n">
        <v>0</v>
      </c>
      <c r="R2682" t="n">
        <v>0</v>
      </c>
      <c r="S2682" t="n">
        <v>0</v>
      </c>
      <c r="T2682" t="n">
        <v>0</v>
      </c>
      <c r="U2682" t="n">
        <v>0</v>
      </c>
      <c r="V2682" s="2" t="inlineStr"/>
    </row>
    <row r="2683" ht="15" customHeight="1">
      <c r="A2683" t="inlineStr">
        <is>
          <t>A 61925-2021</t>
        </is>
      </c>
      <c r="B2683" t="inlineStr">
        <is>
          <t>avverkningsanmälan</t>
        </is>
      </c>
      <c r="C2683" t="inlineStr">
        <is>
          <t>Föryngringsavverkning</t>
        </is>
      </c>
      <c r="D2683" s="1" t="n">
        <v>44502</v>
      </c>
      <c r="E2683" s="1" t="n">
        <v>46323</v>
      </c>
      <c r="F2683" t="inlineStr">
        <is>
          <t>KALMAR LÄN</t>
        </is>
      </c>
      <c r="G2683" t="inlineStr">
        <is>
          <t>KALMAR</t>
        </is>
      </c>
      <c r="I2683" t="n">
        <v>1.1</v>
      </c>
      <c r="J2683" t="n">
        <v>0</v>
      </c>
      <c r="K2683" t="n">
        <v>0</v>
      </c>
      <c r="L2683" t="n">
        <v>0</v>
      </c>
      <c r="M2683" t="n">
        <v>0</v>
      </c>
      <c r="N2683" t="n">
        <v>0</v>
      </c>
      <c r="O2683" t="n">
        <v>0</v>
      </c>
      <c r="P2683" t="n">
        <v>0</v>
      </c>
      <c r="Q2683" t="n">
        <v>0</v>
      </c>
      <c r="R2683" t="n">
        <v>0</v>
      </c>
      <c r="S2683" t="n">
        <v>0</v>
      </c>
      <c r="T2683" t="n">
        <v>0</v>
      </c>
      <c r="U2683" t="n">
        <v>0</v>
      </c>
      <c r="V2683" s="2" t="inlineStr"/>
    </row>
    <row r="2684" ht="15" customHeight="1">
      <c r="A2684" t="inlineStr">
        <is>
          <t>A 524-2022</t>
        </is>
      </c>
      <c r="B2684" t="inlineStr">
        <is>
          <t>avverkningsanmälan</t>
        </is>
      </c>
      <c r="C2684" t="inlineStr">
        <is>
          <t>Föryngringsavverkning</t>
        </is>
      </c>
      <c r="D2684" s="1" t="n">
        <v>44566</v>
      </c>
      <c r="E2684" s="1" t="n">
        <v>46323</v>
      </c>
      <c r="F2684" t="inlineStr">
        <is>
          <t>KALMAR LÄN</t>
        </is>
      </c>
      <c r="G2684" t="inlineStr">
        <is>
          <t>KALMAR</t>
        </is>
      </c>
      <c r="I2684" t="n">
        <v>0.8</v>
      </c>
      <c r="J2684" t="n">
        <v>0</v>
      </c>
      <c r="K2684" t="n">
        <v>0</v>
      </c>
      <c r="L2684" t="n">
        <v>0</v>
      </c>
      <c r="M2684" t="n">
        <v>0</v>
      </c>
      <c r="N2684" t="n">
        <v>0</v>
      </c>
      <c r="O2684" t="n">
        <v>0</v>
      </c>
      <c r="P2684" t="n">
        <v>0</v>
      </c>
      <c r="Q2684" t="n">
        <v>0</v>
      </c>
      <c r="R2684" t="n">
        <v>0</v>
      </c>
      <c r="S2684" t="n">
        <v>0</v>
      </c>
      <c r="T2684" t="n">
        <v>0</v>
      </c>
      <c r="U2684" t="n">
        <v>0</v>
      </c>
      <c r="V2684" s="2" t="inlineStr"/>
    </row>
    <row r="2685" ht="15" customHeight="1">
      <c r="A2685" t="inlineStr">
        <is>
          <t>A 14072-2025</t>
        </is>
      </c>
      <c r="B2685" t="inlineStr">
        <is>
          <t>avverkningsanmälan</t>
        </is>
      </c>
      <c r="C2685" t="inlineStr">
        <is>
          <t>Föryngringsavverkning</t>
        </is>
      </c>
      <c r="D2685" s="1" t="n">
        <v>45740</v>
      </c>
      <c r="E2685" s="1" t="n">
        <v>46323</v>
      </c>
      <c r="F2685" t="inlineStr">
        <is>
          <t>KALMAR LÄN</t>
        </is>
      </c>
      <c r="G2685" t="inlineStr">
        <is>
          <t>VÄSTERVIK</t>
        </is>
      </c>
      <c r="H2685" t="inlineStr">
        <is>
          <t>Sveaskog</t>
        </is>
      </c>
      <c r="I2685" t="n">
        <v>1.9</v>
      </c>
      <c r="J2685" t="n">
        <v>0</v>
      </c>
      <c r="K2685" t="n">
        <v>0</v>
      </c>
      <c r="L2685" t="n">
        <v>0</v>
      </c>
      <c r="M2685" t="n">
        <v>0</v>
      </c>
      <c r="N2685" t="n">
        <v>0</v>
      </c>
      <c r="O2685" t="n">
        <v>0</v>
      </c>
      <c r="P2685" t="n">
        <v>0</v>
      </c>
      <c r="Q2685" t="n">
        <v>0</v>
      </c>
      <c r="R2685" t="n">
        <v>0</v>
      </c>
      <c r="S2685" t="n">
        <v>0</v>
      </c>
      <c r="T2685" t="n">
        <v>0</v>
      </c>
      <c r="U2685" t="n">
        <v>0</v>
      </c>
      <c r="V2685" s="2" t="inlineStr"/>
    </row>
    <row r="2686" ht="15" customHeight="1">
      <c r="A2686" t="inlineStr">
        <is>
          <t>A 44661-2025</t>
        </is>
      </c>
      <c r="B2686" t="inlineStr">
        <is>
          <t>avverkningsanmälan</t>
        </is>
      </c>
      <c r="C2686" t="inlineStr">
        <is>
          <t>Föryngringsavverkning</t>
        </is>
      </c>
      <c r="D2686" s="1" t="n">
        <v>45917</v>
      </c>
      <c r="E2686" s="1" t="n">
        <v>46323</v>
      </c>
      <c r="F2686" t="inlineStr">
        <is>
          <t>KALMAR LÄN</t>
        </is>
      </c>
      <c r="G2686" t="inlineStr">
        <is>
          <t>NYBRO</t>
        </is>
      </c>
      <c r="I2686" t="n">
        <v>0.5</v>
      </c>
      <c r="J2686" t="n">
        <v>0</v>
      </c>
      <c r="K2686" t="n">
        <v>0</v>
      </c>
      <c r="L2686" t="n">
        <v>0</v>
      </c>
      <c r="M2686" t="n">
        <v>0</v>
      </c>
      <c r="N2686" t="n">
        <v>0</v>
      </c>
      <c r="O2686" t="n">
        <v>0</v>
      </c>
      <c r="P2686" t="n">
        <v>0</v>
      </c>
      <c r="Q2686" t="n">
        <v>0</v>
      </c>
      <c r="R2686" t="n">
        <v>0</v>
      </c>
      <c r="S2686" t="n">
        <v>0</v>
      </c>
      <c r="T2686" t="n">
        <v>0</v>
      </c>
      <c r="U2686" t="n">
        <v>0</v>
      </c>
      <c r="V2686" s="2" t="inlineStr"/>
    </row>
    <row r="2687" ht="15" customHeight="1">
      <c r="A2687" t="inlineStr">
        <is>
          <t>A 16692-2025</t>
        </is>
      </c>
      <c r="B2687" t="inlineStr">
        <is>
          <t>avverkningsanmälan</t>
        </is>
      </c>
      <c r="C2687" t="inlineStr">
        <is>
          <t>Föryngringsavverkning</t>
        </is>
      </c>
      <c r="D2687" s="1" t="n">
        <v>45754</v>
      </c>
      <c r="E2687" s="1" t="n">
        <v>46323</v>
      </c>
      <c r="F2687" t="inlineStr">
        <is>
          <t>KALMAR LÄN</t>
        </is>
      </c>
      <c r="G2687" t="inlineStr">
        <is>
          <t>VÄSTERVIK</t>
        </is>
      </c>
      <c r="H2687" t="inlineStr">
        <is>
          <t>Sveaskog</t>
        </is>
      </c>
      <c r="I2687" t="n">
        <v>0.6</v>
      </c>
      <c r="J2687" t="n">
        <v>0</v>
      </c>
      <c r="K2687" t="n">
        <v>0</v>
      </c>
      <c r="L2687" t="n">
        <v>0</v>
      </c>
      <c r="M2687" t="n">
        <v>0</v>
      </c>
      <c r="N2687" t="n">
        <v>0</v>
      </c>
      <c r="O2687" t="n">
        <v>0</v>
      </c>
      <c r="P2687" t="n">
        <v>0</v>
      </c>
      <c r="Q2687" t="n">
        <v>0</v>
      </c>
      <c r="R2687" t="n">
        <v>0</v>
      </c>
      <c r="S2687" t="n">
        <v>0</v>
      </c>
      <c r="T2687" t="n">
        <v>0</v>
      </c>
      <c r="U2687" t="n">
        <v>0</v>
      </c>
      <c r="V2687" s="2" t="inlineStr"/>
    </row>
    <row r="2688" ht="15" customHeight="1">
      <c r="A2688" t="inlineStr">
        <is>
          <t>A 6810-2024</t>
        </is>
      </c>
      <c r="B2688" t="inlineStr">
        <is>
          <t>avverkningsanmälan</t>
        </is>
      </c>
      <c r="C2688" t="inlineStr">
        <is>
          <t>Föryngringsavverkning</t>
        </is>
      </c>
      <c r="D2688" s="1" t="n">
        <v>45342</v>
      </c>
      <c r="E2688" s="1" t="n">
        <v>46323</v>
      </c>
      <c r="F2688" t="inlineStr">
        <is>
          <t>KALMAR LÄN</t>
        </is>
      </c>
      <c r="G2688" t="inlineStr">
        <is>
          <t>NYBRO</t>
        </is>
      </c>
      <c r="I2688" t="n">
        <v>1.9</v>
      </c>
      <c r="J2688" t="n">
        <v>0</v>
      </c>
      <c r="K2688" t="n">
        <v>0</v>
      </c>
      <c r="L2688" t="n">
        <v>0</v>
      </c>
      <c r="M2688" t="n">
        <v>0</v>
      </c>
      <c r="N2688" t="n">
        <v>0</v>
      </c>
      <c r="O2688" t="n">
        <v>0</v>
      </c>
      <c r="P2688" t="n">
        <v>0</v>
      </c>
      <c r="Q2688" t="n">
        <v>0</v>
      </c>
      <c r="R2688" t="n">
        <v>0</v>
      </c>
      <c r="S2688" t="n">
        <v>0</v>
      </c>
      <c r="T2688" t="n">
        <v>0</v>
      </c>
      <c r="U2688" t="n">
        <v>0</v>
      </c>
      <c r="V2688" s="2" t="inlineStr"/>
    </row>
    <row r="2689" ht="15" customHeight="1">
      <c r="A2689" t="inlineStr">
        <is>
          <t>A 3622-2022</t>
        </is>
      </c>
      <c r="B2689" t="inlineStr">
        <is>
          <t>avverkningsanmälan</t>
        </is>
      </c>
      <c r="C2689" t="inlineStr">
        <is>
          <t>Föryngringsavverkning</t>
        </is>
      </c>
      <c r="D2689" s="1" t="n">
        <v>44586</v>
      </c>
      <c r="E2689" s="1" t="n">
        <v>46323</v>
      </c>
      <c r="F2689" t="inlineStr">
        <is>
          <t>KALMAR LÄN</t>
        </is>
      </c>
      <c r="G2689" t="inlineStr">
        <is>
          <t>HÖGSBY</t>
        </is>
      </c>
      <c r="I2689" t="n">
        <v>1</v>
      </c>
      <c r="J2689" t="n">
        <v>0</v>
      </c>
      <c r="K2689" t="n">
        <v>0</v>
      </c>
      <c r="L2689" t="n">
        <v>0</v>
      </c>
      <c r="M2689" t="n">
        <v>0</v>
      </c>
      <c r="N2689" t="n">
        <v>0</v>
      </c>
      <c r="O2689" t="n">
        <v>0</v>
      </c>
      <c r="P2689" t="n">
        <v>0</v>
      </c>
      <c r="Q2689" t="n">
        <v>0</v>
      </c>
      <c r="R2689" t="n">
        <v>0</v>
      </c>
      <c r="S2689" t="n">
        <v>0</v>
      </c>
      <c r="T2689" t="n">
        <v>0</v>
      </c>
      <c r="U2689" t="n">
        <v>0</v>
      </c>
      <c r="V2689" s="2" t="inlineStr"/>
    </row>
    <row r="2690" ht="15" customHeight="1">
      <c r="A2690" t="inlineStr">
        <is>
          <t>A 44568-2025</t>
        </is>
      </c>
      <c r="B2690" t="inlineStr">
        <is>
          <t>avverkningsanmälan</t>
        </is>
      </c>
      <c r="C2690" t="inlineStr">
        <is>
          <t>Föryngringsavverkning</t>
        </is>
      </c>
      <c r="D2690" s="1" t="n">
        <v>45917</v>
      </c>
      <c r="E2690" s="1" t="n">
        <v>46323</v>
      </c>
      <c r="F2690" t="inlineStr">
        <is>
          <t>KALMAR LÄN</t>
        </is>
      </c>
      <c r="G2690" t="inlineStr">
        <is>
          <t>TORSÅS</t>
        </is>
      </c>
      <c r="I2690" t="n">
        <v>1.4</v>
      </c>
      <c r="J2690" t="n">
        <v>0</v>
      </c>
      <c r="K2690" t="n">
        <v>0</v>
      </c>
      <c r="L2690" t="n">
        <v>0</v>
      </c>
      <c r="M2690" t="n">
        <v>0</v>
      </c>
      <c r="N2690" t="n">
        <v>0</v>
      </c>
      <c r="O2690" t="n">
        <v>0</v>
      </c>
      <c r="P2690" t="n">
        <v>0</v>
      </c>
      <c r="Q2690" t="n">
        <v>0</v>
      </c>
      <c r="R2690" t="n">
        <v>0</v>
      </c>
      <c r="S2690" t="n">
        <v>0</v>
      </c>
      <c r="T2690" t="n">
        <v>0</v>
      </c>
      <c r="U2690" t="n">
        <v>0</v>
      </c>
      <c r="V2690" s="2" t="inlineStr"/>
    </row>
    <row r="2691" ht="15" customHeight="1">
      <c r="A2691" t="inlineStr">
        <is>
          <t>A 44570-2025</t>
        </is>
      </c>
      <c r="B2691" t="inlineStr">
        <is>
          <t>avverkningsanmälan</t>
        </is>
      </c>
      <c r="C2691" t="inlineStr">
        <is>
          <t>Föryngringsavverkning</t>
        </is>
      </c>
      <c r="D2691" s="1" t="n">
        <v>45917</v>
      </c>
      <c r="E2691" s="1" t="n">
        <v>46323</v>
      </c>
      <c r="F2691" t="inlineStr">
        <is>
          <t>KALMAR LÄN</t>
        </is>
      </c>
      <c r="G2691" t="inlineStr">
        <is>
          <t>TORSÅS</t>
        </is>
      </c>
      <c r="I2691" t="n">
        <v>6.5</v>
      </c>
      <c r="J2691" t="n">
        <v>0</v>
      </c>
      <c r="K2691" t="n">
        <v>0</v>
      </c>
      <c r="L2691" t="n">
        <v>0</v>
      </c>
      <c r="M2691" t="n">
        <v>0</v>
      </c>
      <c r="N2691" t="n">
        <v>0</v>
      </c>
      <c r="O2691" t="n">
        <v>0</v>
      </c>
      <c r="P2691" t="n">
        <v>0</v>
      </c>
      <c r="Q2691" t="n">
        <v>0</v>
      </c>
      <c r="R2691" t="n">
        <v>0</v>
      </c>
      <c r="S2691" t="n">
        <v>0</v>
      </c>
      <c r="T2691" t="n">
        <v>0</v>
      </c>
      <c r="U2691" t="n">
        <v>0</v>
      </c>
      <c r="V2691" s="2" t="inlineStr"/>
    </row>
    <row r="2692" ht="15" customHeight="1">
      <c r="A2692" t="inlineStr">
        <is>
          <t>A 54941-2022</t>
        </is>
      </c>
      <c r="B2692" t="inlineStr">
        <is>
          <t>avverkningsanmälan</t>
        </is>
      </c>
      <c r="C2692" t="inlineStr">
        <is>
          <t>Föryngringsavverkning</t>
        </is>
      </c>
      <c r="D2692" s="1" t="n">
        <v>44886</v>
      </c>
      <c r="E2692" s="1" t="n">
        <v>46323</v>
      </c>
      <c r="F2692" t="inlineStr">
        <is>
          <t>KALMAR LÄN</t>
        </is>
      </c>
      <c r="G2692" t="inlineStr">
        <is>
          <t>HÖGSBY</t>
        </is>
      </c>
      <c r="H2692" t="inlineStr">
        <is>
          <t>Kyrkan</t>
        </is>
      </c>
      <c r="I2692" t="n">
        <v>1.4</v>
      </c>
      <c r="J2692" t="n">
        <v>0</v>
      </c>
      <c r="K2692" t="n">
        <v>0</v>
      </c>
      <c r="L2692" t="n">
        <v>0</v>
      </c>
      <c r="M2692" t="n">
        <v>0</v>
      </c>
      <c r="N2692" t="n">
        <v>0</v>
      </c>
      <c r="O2692" t="n">
        <v>0</v>
      </c>
      <c r="P2692" t="n">
        <v>0</v>
      </c>
      <c r="Q2692" t="n">
        <v>0</v>
      </c>
      <c r="R2692" t="n">
        <v>0</v>
      </c>
      <c r="S2692" t="n">
        <v>0</v>
      </c>
      <c r="T2692" t="n">
        <v>0</v>
      </c>
      <c r="U2692" t="n">
        <v>0</v>
      </c>
      <c r="V2692" s="2" t="inlineStr"/>
    </row>
    <row r="2693" ht="15" customHeight="1">
      <c r="A2693" t="inlineStr">
        <is>
          <t>A 28323-2024</t>
        </is>
      </c>
      <c r="B2693" t="inlineStr">
        <is>
          <t>avverkningsanmälan</t>
        </is>
      </c>
      <c r="C2693" t="inlineStr">
        <is>
          <t>Föryngringsavverkning</t>
        </is>
      </c>
      <c r="D2693" s="1" t="n">
        <v>45477</v>
      </c>
      <c r="E2693" s="1" t="n">
        <v>46323</v>
      </c>
      <c r="F2693" t="inlineStr">
        <is>
          <t>KALMAR LÄN</t>
        </is>
      </c>
      <c r="G2693" t="inlineStr">
        <is>
          <t>EMMABODA</t>
        </is>
      </c>
      <c r="I2693" t="n">
        <v>1.7</v>
      </c>
      <c r="J2693" t="n">
        <v>0</v>
      </c>
      <c r="K2693" t="n">
        <v>0</v>
      </c>
      <c r="L2693" t="n">
        <v>0</v>
      </c>
      <c r="M2693" t="n">
        <v>0</v>
      </c>
      <c r="N2693" t="n">
        <v>0</v>
      </c>
      <c r="O2693" t="n">
        <v>0</v>
      </c>
      <c r="P2693" t="n">
        <v>0</v>
      </c>
      <c r="Q2693" t="n">
        <v>0</v>
      </c>
      <c r="R2693" t="n">
        <v>0</v>
      </c>
      <c r="S2693" t="n">
        <v>0</v>
      </c>
      <c r="T2693" t="n">
        <v>0</v>
      </c>
      <c r="U2693" t="n">
        <v>0</v>
      </c>
      <c r="V2693" s="2" t="inlineStr"/>
    </row>
    <row r="2694" ht="15" customHeight="1">
      <c r="A2694" t="inlineStr">
        <is>
          <t>A 20417-2023</t>
        </is>
      </c>
      <c r="B2694" t="inlineStr">
        <is>
          <t>avverkningsanmälan</t>
        </is>
      </c>
      <c r="C2694" t="inlineStr">
        <is>
          <t>Föryngringsavverkning</t>
        </is>
      </c>
      <c r="D2694" s="1" t="n">
        <v>45056</v>
      </c>
      <c r="E2694" s="1" t="n">
        <v>46323</v>
      </c>
      <c r="F2694" t="inlineStr">
        <is>
          <t>KALMAR LÄN</t>
        </is>
      </c>
      <c r="G2694" t="inlineStr">
        <is>
          <t>OSKARSHAMN</t>
        </is>
      </c>
      <c r="I2694" t="n">
        <v>3.4</v>
      </c>
      <c r="J2694" t="n">
        <v>0</v>
      </c>
      <c r="K2694" t="n">
        <v>0</v>
      </c>
      <c r="L2694" t="n">
        <v>0</v>
      </c>
      <c r="M2694" t="n">
        <v>0</v>
      </c>
      <c r="N2694" t="n">
        <v>0</v>
      </c>
      <c r="O2694" t="n">
        <v>0</v>
      </c>
      <c r="P2694" t="n">
        <v>0</v>
      </c>
      <c r="Q2694" t="n">
        <v>0</v>
      </c>
      <c r="R2694" t="n">
        <v>0</v>
      </c>
      <c r="S2694" t="n">
        <v>0</v>
      </c>
      <c r="T2694" t="n">
        <v>0</v>
      </c>
      <c r="U2694" t="n">
        <v>0</v>
      </c>
      <c r="V2694" s="2" t="inlineStr"/>
    </row>
    <row r="2695" ht="15" customHeight="1">
      <c r="A2695" t="inlineStr">
        <is>
          <t>A 10725-2023</t>
        </is>
      </c>
      <c r="B2695" t="inlineStr">
        <is>
          <t>avverkningsanmälan</t>
        </is>
      </c>
      <c r="C2695" t="inlineStr">
        <is>
          <t>Föryngringsavverkning</t>
        </is>
      </c>
      <c r="D2695" s="1" t="n">
        <v>44988</v>
      </c>
      <c r="E2695" s="1" t="n">
        <v>46323</v>
      </c>
      <c r="F2695" t="inlineStr">
        <is>
          <t>KALMAR LÄN</t>
        </is>
      </c>
      <c r="G2695" t="inlineStr">
        <is>
          <t>VÄSTERVIK</t>
        </is>
      </c>
      <c r="I2695" t="n">
        <v>0.6</v>
      </c>
      <c r="J2695" t="n">
        <v>0</v>
      </c>
      <c r="K2695" t="n">
        <v>0</v>
      </c>
      <c r="L2695" t="n">
        <v>0</v>
      </c>
      <c r="M2695" t="n">
        <v>0</v>
      </c>
      <c r="N2695" t="n">
        <v>0</v>
      </c>
      <c r="O2695" t="n">
        <v>0</v>
      </c>
      <c r="P2695" t="n">
        <v>0</v>
      </c>
      <c r="Q2695" t="n">
        <v>0</v>
      </c>
      <c r="R2695" t="n">
        <v>0</v>
      </c>
      <c r="S2695" t="n">
        <v>0</v>
      </c>
      <c r="T2695" t="n">
        <v>0</v>
      </c>
      <c r="U2695" t="n">
        <v>0</v>
      </c>
      <c r="V2695" s="2" t="inlineStr"/>
    </row>
    <row r="2696" ht="15" customHeight="1">
      <c r="A2696" t="inlineStr">
        <is>
          <t>A 54462-2023</t>
        </is>
      </c>
      <c r="B2696" t="inlineStr">
        <is>
          <t>avverkningsanmälan</t>
        </is>
      </c>
      <c r="C2696" t="inlineStr">
        <is>
          <t>Föryngringsavverkning</t>
        </is>
      </c>
      <c r="D2696" s="1" t="n">
        <v>45233</v>
      </c>
      <c r="E2696" s="1" t="n">
        <v>46323</v>
      </c>
      <c r="F2696" t="inlineStr">
        <is>
          <t>KALMAR LÄN</t>
        </is>
      </c>
      <c r="G2696" t="inlineStr">
        <is>
          <t>KALMAR</t>
        </is>
      </c>
      <c r="I2696" t="n">
        <v>0.6</v>
      </c>
      <c r="J2696" t="n">
        <v>0</v>
      </c>
      <c r="K2696" t="n">
        <v>0</v>
      </c>
      <c r="L2696" t="n">
        <v>0</v>
      </c>
      <c r="M2696" t="n">
        <v>0</v>
      </c>
      <c r="N2696" t="n">
        <v>0</v>
      </c>
      <c r="O2696" t="n">
        <v>0</v>
      </c>
      <c r="P2696" t="n">
        <v>0</v>
      </c>
      <c r="Q2696" t="n">
        <v>0</v>
      </c>
      <c r="R2696" t="n">
        <v>0</v>
      </c>
      <c r="S2696" t="n">
        <v>0</v>
      </c>
      <c r="T2696" t="n">
        <v>0</v>
      </c>
      <c r="U2696" t="n">
        <v>0</v>
      </c>
      <c r="V2696" s="2" t="inlineStr"/>
    </row>
    <row r="2697" ht="15" customHeight="1">
      <c r="A2697" t="inlineStr">
        <is>
          <t>A 28214-2024</t>
        </is>
      </c>
      <c r="B2697" t="inlineStr">
        <is>
          <t>avverkningsanmälan</t>
        </is>
      </c>
      <c r="C2697" t="inlineStr">
        <is>
          <t>Föryngringsavverkning</t>
        </is>
      </c>
      <c r="D2697" s="1" t="n">
        <v>45477</v>
      </c>
      <c r="E2697" s="1" t="n">
        <v>46323</v>
      </c>
      <c r="F2697" t="inlineStr">
        <is>
          <t>KALMAR LÄN</t>
        </is>
      </c>
      <c r="G2697" t="inlineStr">
        <is>
          <t>HULTSFRED</t>
        </is>
      </c>
      <c r="I2697" t="n">
        <v>0.6</v>
      </c>
      <c r="J2697" t="n">
        <v>0</v>
      </c>
      <c r="K2697" t="n">
        <v>0</v>
      </c>
      <c r="L2697" t="n">
        <v>0</v>
      </c>
      <c r="M2697" t="n">
        <v>0</v>
      </c>
      <c r="N2697" t="n">
        <v>0</v>
      </c>
      <c r="O2697" t="n">
        <v>0</v>
      </c>
      <c r="P2697" t="n">
        <v>0</v>
      </c>
      <c r="Q2697" t="n">
        <v>0</v>
      </c>
      <c r="R2697" t="n">
        <v>0</v>
      </c>
      <c r="S2697" t="n">
        <v>0</v>
      </c>
      <c r="T2697" t="n">
        <v>0</v>
      </c>
      <c r="U2697" t="n">
        <v>0</v>
      </c>
      <c r="V2697" s="2" t="inlineStr"/>
    </row>
    <row r="2698" ht="15" customHeight="1">
      <c r="A2698" t="inlineStr">
        <is>
          <t>A 44705-2025</t>
        </is>
      </c>
      <c r="B2698" t="inlineStr">
        <is>
          <t>avverkningsanmälan</t>
        </is>
      </c>
      <c r="C2698" t="inlineStr">
        <is>
          <t>Föryngringsavverkning</t>
        </is>
      </c>
      <c r="D2698" s="1" t="n">
        <v>45917</v>
      </c>
      <c r="E2698" s="1" t="n">
        <v>46323</v>
      </c>
      <c r="F2698" t="inlineStr">
        <is>
          <t>KALMAR LÄN</t>
        </is>
      </c>
      <c r="G2698" t="inlineStr">
        <is>
          <t>TORSÅS</t>
        </is>
      </c>
      <c r="I2698" t="n">
        <v>0.7</v>
      </c>
      <c r="J2698" t="n">
        <v>0</v>
      </c>
      <c r="K2698" t="n">
        <v>0</v>
      </c>
      <c r="L2698" t="n">
        <v>0</v>
      </c>
      <c r="M2698" t="n">
        <v>0</v>
      </c>
      <c r="N2698" t="n">
        <v>0</v>
      </c>
      <c r="O2698" t="n">
        <v>0</v>
      </c>
      <c r="P2698" t="n">
        <v>0</v>
      </c>
      <c r="Q2698" t="n">
        <v>0</v>
      </c>
      <c r="R2698" t="n">
        <v>0</v>
      </c>
      <c r="S2698" t="n">
        <v>0</v>
      </c>
      <c r="T2698" t="n">
        <v>0</v>
      </c>
      <c r="U2698" t="n">
        <v>0</v>
      </c>
      <c r="V2698" s="2" t="inlineStr"/>
    </row>
    <row r="2699" ht="15" customHeight="1">
      <c r="A2699" t="inlineStr">
        <is>
          <t>A 44712-2025</t>
        </is>
      </c>
      <c r="B2699" t="inlineStr">
        <is>
          <t>avverkningsanmälan</t>
        </is>
      </c>
      <c r="C2699" t="inlineStr">
        <is>
          <t>Föryngringsavverkning</t>
        </is>
      </c>
      <c r="D2699" s="1" t="n">
        <v>45917</v>
      </c>
      <c r="E2699" s="1" t="n">
        <v>46323</v>
      </c>
      <c r="F2699" t="inlineStr">
        <is>
          <t>KALMAR LÄN</t>
        </is>
      </c>
      <c r="G2699" t="inlineStr">
        <is>
          <t>TORSÅS</t>
        </is>
      </c>
      <c r="I2699" t="n">
        <v>0.6</v>
      </c>
      <c r="J2699" t="n">
        <v>0</v>
      </c>
      <c r="K2699" t="n">
        <v>0</v>
      </c>
      <c r="L2699" t="n">
        <v>0</v>
      </c>
      <c r="M2699" t="n">
        <v>0</v>
      </c>
      <c r="N2699" t="n">
        <v>0</v>
      </c>
      <c r="O2699" t="n">
        <v>0</v>
      </c>
      <c r="P2699" t="n">
        <v>0</v>
      </c>
      <c r="Q2699" t="n">
        <v>0</v>
      </c>
      <c r="R2699" t="n">
        <v>0</v>
      </c>
      <c r="S2699" t="n">
        <v>0</v>
      </c>
      <c r="T2699" t="n">
        <v>0</v>
      </c>
      <c r="U2699" t="n">
        <v>0</v>
      </c>
      <c r="V2699" s="2" t="inlineStr"/>
    </row>
    <row r="2700" ht="15" customHeight="1">
      <c r="A2700" t="inlineStr">
        <is>
          <t>A 7360-2023</t>
        </is>
      </c>
      <c r="B2700" t="inlineStr">
        <is>
          <t>avverkningsanmälan</t>
        </is>
      </c>
      <c r="C2700" t="inlineStr">
        <is>
          <t>Föryngringsavverkning</t>
        </is>
      </c>
      <c r="D2700" s="1" t="n">
        <v>44971</v>
      </c>
      <c r="E2700" s="1" t="n">
        <v>46323</v>
      </c>
      <c r="F2700" t="inlineStr">
        <is>
          <t>KALMAR LÄN</t>
        </is>
      </c>
      <c r="G2700" t="inlineStr">
        <is>
          <t>VÄSTERVIK</t>
        </is>
      </c>
      <c r="I2700" t="n">
        <v>0.5</v>
      </c>
      <c r="J2700" t="n">
        <v>0</v>
      </c>
      <c r="K2700" t="n">
        <v>0</v>
      </c>
      <c r="L2700" t="n">
        <v>0</v>
      </c>
      <c r="M2700" t="n">
        <v>0</v>
      </c>
      <c r="N2700" t="n">
        <v>0</v>
      </c>
      <c r="O2700" t="n">
        <v>0</v>
      </c>
      <c r="P2700" t="n">
        <v>0</v>
      </c>
      <c r="Q2700" t="n">
        <v>0</v>
      </c>
      <c r="R2700" t="n">
        <v>0</v>
      </c>
      <c r="S2700" t="n">
        <v>0</v>
      </c>
      <c r="T2700" t="n">
        <v>0</v>
      </c>
      <c r="U2700" t="n">
        <v>0</v>
      </c>
      <c r="V2700" s="2" t="inlineStr"/>
    </row>
    <row r="2701" ht="15" customHeight="1">
      <c r="A2701" t="inlineStr">
        <is>
          <t>A 17306-2023</t>
        </is>
      </c>
      <c r="B2701" t="inlineStr">
        <is>
          <t>avverkningsanmälan</t>
        </is>
      </c>
      <c r="C2701" t="inlineStr">
        <is>
          <t>Föryngringsavverkning</t>
        </is>
      </c>
      <c r="D2701" s="1" t="n">
        <v>45035</v>
      </c>
      <c r="E2701" s="1" t="n">
        <v>46323</v>
      </c>
      <c r="F2701" t="inlineStr">
        <is>
          <t>KALMAR LÄN</t>
        </is>
      </c>
      <c r="G2701" t="inlineStr">
        <is>
          <t>VÄSTERVIK</t>
        </is>
      </c>
      <c r="I2701" t="n">
        <v>4.3</v>
      </c>
      <c r="J2701" t="n">
        <v>0</v>
      </c>
      <c r="K2701" t="n">
        <v>0</v>
      </c>
      <c r="L2701" t="n">
        <v>0</v>
      </c>
      <c r="M2701" t="n">
        <v>0</v>
      </c>
      <c r="N2701" t="n">
        <v>0</v>
      </c>
      <c r="O2701" t="n">
        <v>0</v>
      </c>
      <c r="P2701" t="n">
        <v>0</v>
      </c>
      <c r="Q2701" t="n">
        <v>0</v>
      </c>
      <c r="R2701" t="n">
        <v>0</v>
      </c>
      <c r="S2701" t="n">
        <v>0</v>
      </c>
      <c r="T2701" t="n">
        <v>0</v>
      </c>
      <c r="U2701" t="n">
        <v>0</v>
      </c>
      <c r="V2701" s="2" t="inlineStr"/>
    </row>
    <row r="2702" ht="15" customHeight="1">
      <c r="A2702" t="inlineStr">
        <is>
          <t>A 68345-2021</t>
        </is>
      </c>
      <c r="B2702" t="inlineStr">
        <is>
          <t>avverkningsanmälan</t>
        </is>
      </c>
      <c r="C2702" t="inlineStr">
        <is>
          <t>Föryngringsavverkning</t>
        </is>
      </c>
      <c r="D2702" s="1" t="n">
        <v>44528</v>
      </c>
      <c r="E2702" s="1" t="n">
        <v>46323</v>
      </c>
      <c r="F2702" t="inlineStr">
        <is>
          <t>KALMAR LÄN</t>
        </is>
      </c>
      <c r="G2702" t="inlineStr">
        <is>
          <t>NYBRO</t>
        </is>
      </c>
      <c r="I2702" t="n">
        <v>2.9</v>
      </c>
      <c r="J2702" t="n">
        <v>0</v>
      </c>
      <c r="K2702" t="n">
        <v>0</v>
      </c>
      <c r="L2702" t="n">
        <v>0</v>
      </c>
      <c r="M2702" t="n">
        <v>0</v>
      </c>
      <c r="N2702" t="n">
        <v>0</v>
      </c>
      <c r="O2702" t="n">
        <v>0</v>
      </c>
      <c r="P2702" t="n">
        <v>0</v>
      </c>
      <c r="Q2702" t="n">
        <v>0</v>
      </c>
      <c r="R2702" t="n">
        <v>0</v>
      </c>
      <c r="S2702" t="n">
        <v>0</v>
      </c>
      <c r="T2702" t="n">
        <v>0</v>
      </c>
      <c r="U2702" t="n">
        <v>0</v>
      </c>
      <c r="V2702" s="2" t="inlineStr"/>
    </row>
    <row r="2703" ht="15" customHeight="1">
      <c r="A2703" t="inlineStr">
        <is>
          <t>A 32663-2024</t>
        </is>
      </c>
      <c r="B2703" t="inlineStr">
        <is>
          <t>avverkningsanmälan</t>
        </is>
      </c>
      <c r="C2703" t="inlineStr">
        <is>
          <t>Föryngringsavverkning</t>
        </is>
      </c>
      <c r="D2703" s="1" t="n">
        <v>45514</v>
      </c>
      <c r="E2703" s="1" t="n">
        <v>46323</v>
      </c>
      <c r="F2703" t="inlineStr">
        <is>
          <t>KALMAR LÄN</t>
        </is>
      </c>
      <c r="G2703" t="inlineStr">
        <is>
          <t>EMMABODA</t>
        </is>
      </c>
      <c r="I2703" t="n">
        <v>3.2</v>
      </c>
      <c r="J2703" t="n">
        <v>0</v>
      </c>
      <c r="K2703" t="n">
        <v>0</v>
      </c>
      <c r="L2703" t="n">
        <v>0</v>
      </c>
      <c r="M2703" t="n">
        <v>0</v>
      </c>
      <c r="N2703" t="n">
        <v>0</v>
      </c>
      <c r="O2703" t="n">
        <v>0</v>
      </c>
      <c r="P2703" t="n">
        <v>0</v>
      </c>
      <c r="Q2703" t="n">
        <v>0</v>
      </c>
      <c r="R2703" t="n">
        <v>0</v>
      </c>
      <c r="S2703" t="n">
        <v>0</v>
      </c>
      <c r="T2703" t="n">
        <v>0</v>
      </c>
      <c r="U2703" t="n">
        <v>0</v>
      </c>
      <c r="V2703" s="2" t="inlineStr"/>
    </row>
    <row r="2704" ht="15" customHeight="1">
      <c r="A2704" t="inlineStr">
        <is>
          <t>A 30278-2024</t>
        </is>
      </c>
      <c r="B2704" t="inlineStr">
        <is>
          <t>avverkningsanmälan</t>
        </is>
      </c>
      <c r="C2704" t="inlineStr">
        <is>
          <t>Föryngringsavverkning</t>
        </is>
      </c>
      <c r="D2704" s="1" t="n">
        <v>45490</v>
      </c>
      <c r="E2704" s="1" t="n">
        <v>46323</v>
      </c>
      <c r="F2704" t="inlineStr">
        <is>
          <t>KALMAR LÄN</t>
        </is>
      </c>
      <c r="G2704" t="inlineStr">
        <is>
          <t>OSKARSHAMN</t>
        </is>
      </c>
      <c r="I2704" t="n">
        <v>0.8</v>
      </c>
      <c r="J2704" t="n">
        <v>0</v>
      </c>
      <c r="K2704" t="n">
        <v>0</v>
      </c>
      <c r="L2704" t="n">
        <v>0</v>
      </c>
      <c r="M2704" t="n">
        <v>0</v>
      </c>
      <c r="N2704" t="n">
        <v>0</v>
      </c>
      <c r="O2704" t="n">
        <v>0</v>
      </c>
      <c r="P2704" t="n">
        <v>0</v>
      </c>
      <c r="Q2704" t="n">
        <v>0</v>
      </c>
      <c r="R2704" t="n">
        <v>0</v>
      </c>
      <c r="S2704" t="n">
        <v>0</v>
      </c>
      <c r="T2704" t="n">
        <v>0</v>
      </c>
      <c r="U2704" t="n">
        <v>0</v>
      </c>
      <c r="V2704" s="2" t="inlineStr"/>
    </row>
    <row r="2705" ht="15" customHeight="1">
      <c r="A2705" t="inlineStr">
        <is>
          <t>A 24795-2023</t>
        </is>
      </c>
      <c r="B2705" t="inlineStr">
        <is>
          <t>avverkningsanmälan</t>
        </is>
      </c>
      <c r="C2705" t="inlineStr">
        <is>
          <t>Föryngringsavverkning</t>
        </is>
      </c>
      <c r="D2705" s="1" t="n">
        <v>45084</v>
      </c>
      <c r="E2705" s="1" t="n">
        <v>46323</v>
      </c>
      <c r="F2705" t="inlineStr">
        <is>
          <t>KALMAR LÄN</t>
        </is>
      </c>
      <c r="G2705" t="inlineStr">
        <is>
          <t>EMMABODA</t>
        </is>
      </c>
      <c r="I2705" t="n">
        <v>0.5</v>
      </c>
      <c r="J2705" t="n">
        <v>0</v>
      </c>
      <c r="K2705" t="n">
        <v>0</v>
      </c>
      <c r="L2705" t="n">
        <v>0</v>
      </c>
      <c r="M2705" t="n">
        <v>0</v>
      </c>
      <c r="N2705" t="n">
        <v>0</v>
      </c>
      <c r="O2705" t="n">
        <v>0</v>
      </c>
      <c r="P2705" t="n">
        <v>0</v>
      </c>
      <c r="Q2705" t="n">
        <v>0</v>
      </c>
      <c r="R2705" t="n">
        <v>0</v>
      </c>
      <c r="S2705" t="n">
        <v>0</v>
      </c>
      <c r="T2705" t="n">
        <v>0</v>
      </c>
      <c r="U2705" t="n">
        <v>0</v>
      </c>
      <c r="V2705" s="2" t="inlineStr"/>
    </row>
    <row r="2706" ht="15" customHeight="1">
      <c r="A2706" t="inlineStr">
        <is>
          <t>A 14610-2023</t>
        </is>
      </c>
      <c r="B2706" t="inlineStr">
        <is>
          <t>avverkningsanmälan</t>
        </is>
      </c>
      <c r="C2706" t="inlineStr">
        <is>
          <t>Föryngringsavverkning</t>
        </is>
      </c>
      <c r="D2706" s="1" t="n">
        <v>45013</v>
      </c>
      <c r="E2706" s="1" t="n">
        <v>46323</v>
      </c>
      <c r="F2706" t="inlineStr">
        <is>
          <t>KALMAR LÄN</t>
        </is>
      </c>
      <c r="G2706" t="inlineStr">
        <is>
          <t>MÖNSTERÅS</t>
        </is>
      </c>
      <c r="I2706" t="n">
        <v>2.2</v>
      </c>
      <c r="J2706" t="n">
        <v>0</v>
      </c>
      <c r="K2706" t="n">
        <v>0</v>
      </c>
      <c r="L2706" t="n">
        <v>0</v>
      </c>
      <c r="M2706" t="n">
        <v>0</v>
      </c>
      <c r="N2706" t="n">
        <v>0</v>
      </c>
      <c r="O2706" t="n">
        <v>0</v>
      </c>
      <c r="P2706" t="n">
        <v>0</v>
      </c>
      <c r="Q2706" t="n">
        <v>0</v>
      </c>
      <c r="R2706" t="n">
        <v>0</v>
      </c>
      <c r="S2706" t="n">
        <v>0</v>
      </c>
      <c r="T2706" t="n">
        <v>0</v>
      </c>
      <c r="U2706" t="n">
        <v>0</v>
      </c>
      <c r="V2706" s="2" t="inlineStr"/>
    </row>
    <row r="2707" ht="15" customHeight="1">
      <c r="A2707" t="inlineStr">
        <is>
          <t>A 23317-2023</t>
        </is>
      </c>
      <c r="B2707" t="inlineStr">
        <is>
          <t>avverkningsanmälan</t>
        </is>
      </c>
      <c r="C2707" t="inlineStr">
        <is>
          <t>Föryngringsavverkning</t>
        </is>
      </c>
      <c r="D2707" s="1" t="n">
        <v>45076</v>
      </c>
      <c r="E2707" s="1" t="n">
        <v>46323</v>
      </c>
      <c r="F2707" t="inlineStr">
        <is>
          <t>KALMAR LÄN</t>
        </is>
      </c>
      <c r="G2707" t="inlineStr">
        <is>
          <t>VÄSTERVIK</t>
        </is>
      </c>
      <c r="I2707" t="n">
        <v>1.1</v>
      </c>
      <c r="J2707" t="n">
        <v>0</v>
      </c>
      <c r="K2707" t="n">
        <v>0</v>
      </c>
      <c r="L2707" t="n">
        <v>0</v>
      </c>
      <c r="M2707" t="n">
        <v>0</v>
      </c>
      <c r="N2707" t="n">
        <v>0</v>
      </c>
      <c r="O2707" t="n">
        <v>0</v>
      </c>
      <c r="P2707" t="n">
        <v>0</v>
      </c>
      <c r="Q2707" t="n">
        <v>0</v>
      </c>
      <c r="R2707" t="n">
        <v>0</v>
      </c>
      <c r="S2707" t="n">
        <v>0</v>
      </c>
      <c r="T2707" t="n">
        <v>0</v>
      </c>
      <c r="U2707" t="n">
        <v>0</v>
      </c>
      <c r="V2707" s="2" t="inlineStr"/>
    </row>
    <row r="2708" ht="15" customHeight="1">
      <c r="A2708" t="inlineStr">
        <is>
          <t>A 40828-2023</t>
        </is>
      </c>
      <c r="B2708" t="inlineStr">
        <is>
          <t>avverkningsanmälan</t>
        </is>
      </c>
      <c r="C2708" t="inlineStr">
        <is>
          <t>Föryngringsavverkning</t>
        </is>
      </c>
      <c r="D2708" s="1" t="n">
        <v>45171</v>
      </c>
      <c r="E2708" s="1" t="n">
        <v>46323</v>
      </c>
      <c r="F2708" t="inlineStr">
        <is>
          <t>KALMAR LÄN</t>
        </is>
      </c>
      <c r="G2708" t="inlineStr">
        <is>
          <t>VIMMERBY</t>
        </is>
      </c>
      <c r="I2708" t="n">
        <v>0.6</v>
      </c>
      <c r="J2708" t="n">
        <v>0</v>
      </c>
      <c r="K2708" t="n">
        <v>0</v>
      </c>
      <c r="L2708" t="n">
        <v>0</v>
      </c>
      <c r="M2708" t="n">
        <v>0</v>
      </c>
      <c r="N2708" t="n">
        <v>0</v>
      </c>
      <c r="O2708" t="n">
        <v>0</v>
      </c>
      <c r="P2708" t="n">
        <v>0</v>
      </c>
      <c r="Q2708" t="n">
        <v>0</v>
      </c>
      <c r="R2708" t="n">
        <v>0</v>
      </c>
      <c r="S2708" t="n">
        <v>0</v>
      </c>
      <c r="T2708" t="n">
        <v>0</v>
      </c>
      <c r="U2708" t="n">
        <v>0</v>
      </c>
      <c r="V2708" s="2" t="inlineStr"/>
    </row>
    <row r="2709" ht="15" customHeight="1">
      <c r="A2709" t="inlineStr">
        <is>
          <t>A 60810-2022</t>
        </is>
      </c>
      <c r="B2709" t="inlineStr">
        <is>
          <t>avverkningsanmälan</t>
        </is>
      </c>
      <c r="C2709" t="inlineStr">
        <is>
          <t>Föryngringsavverkning</t>
        </is>
      </c>
      <c r="D2709" s="1" t="n">
        <v>44914</v>
      </c>
      <c r="E2709" s="1" t="n">
        <v>46323</v>
      </c>
      <c r="F2709" t="inlineStr">
        <is>
          <t>KALMAR LÄN</t>
        </is>
      </c>
      <c r="G2709" t="inlineStr">
        <is>
          <t>TORSÅS</t>
        </is>
      </c>
      <c r="I2709" t="n">
        <v>3.4</v>
      </c>
      <c r="J2709" t="n">
        <v>0</v>
      </c>
      <c r="K2709" t="n">
        <v>0</v>
      </c>
      <c r="L2709" t="n">
        <v>0</v>
      </c>
      <c r="M2709" t="n">
        <v>0</v>
      </c>
      <c r="N2709" t="n">
        <v>0</v>
      </c>
      <c r="O2709" t="n">
        <v>0</v>
      </c>
      <c r="P2709" t="n">
        <v>0</v>
      </c>
      <c r="Q2709" t="n">
        <v>0</v>
      </c>
      <c r="R2709" t="n">
        <v>0</v>
      </c>
      <c r="S2709" t="n">
        <v>0</v>
      </c>
      <c r="T2709" t="n">
        <v>0</v>
      </c>
      <c r="U2709" t="n">
        <v>0</v>
      </c>
      <c r="V2709" s="2" t="inlineStr"/>
    </row>
    <row r="2710" ht="15" customHeight="1">
      <c r="A2710" t="inlineStr">
        <is>
          <t>A 40006-2023</t>
        </is>
      </c>
      <c r="B2710" t="inlineStr">
        <is>
          <t>avverkningsanmälan</t>
        </is>
      </c>
      <c r="C2710" t="inlineStr">
        <is>
          <t>Avverkning för annat ändamål</t>
        </is>
      </c>
      <c r="D2710" s="1" t="n">
        <v>45168</v>
      </c>
      <c r="E2710" s="1" t="n">
        <v>46323</v>
      </c>
      <c r="F2710" t="inlineStr">
        <is>
          <t>KALMAR LÄN</t>
        </is>
      </c>
      <c r="G2710" t="inlineStr">
        <is>
          <t>HULTSFRED</t>
        </is>
      </c>
      <c r="H2710" t="inlineStr">
        <is>
          <t>Sveaskog</t>
        </is>
      </c>
      <c r="I2710" t="n">
        <v>9.199999999999999</v>
      </c>
      <c r="J2710" t="n">
        <v>0</v>
      </c>
      <c r="K2710" t="n">
        <v>0</v>
      </c>
      <c r="L2710" t="n">
        <v>0</v>
      </c>
      <c r="M2710" t="n">
        <v>0</v>
      </c>
      <c r="N2710" t="n">
        <v>0</v>
      </c>
      <c r="O2710" t="n">
        <v>0</v>
      </c>
      <c r="P2710" t="n">
        <v>0</v>
      </c>
      <c r="Q2710" t="n">
        <v>0</v>
      </c>
      <c r="R2710" t="n">
        <v>0</v>
      </c>
      <c r="S2710" t="n">
        <v>0</v>
      </c>
      <c r="T2710" t="n">
        <v>0</v>
      </c>
      <c r="U2710" t="n">
        <v>0</v>
      </c>
      <c r="V2710" s="2" t="inlineStr"/>
    </row>
    <row r="2711" ht="15" customHeight="1">
      <c r="A2711" t="inlineStr">
        <is>
          <t>A 29283-2024</t>
        </is>
      </c>
      <c r="B2711" t="inlineStr">
        <is>
          <t>avverkningsanmälan</t>
        </is>
      </c>
      <c r="C2711" t="inlineStr">
        <is>
          <t>Föryngringsavverkning</t>
        </is>
      </c>
      <c r="D2711" s="1" t="n">
        <v>45482</v>
      </c>
      <c r="E2711" s="1" t="n">
        <v>46323</v>
      </c>
      <c r="F2711" t="inlineStr">
        <is>
          <t>KALMAR LÄN</t>
        </is>
      </c>
      <c r="G2711" t="inlineStr">
        <is>
          <t>OSKARSHAMN</t>
        </is>
      </c>
      <c r="I2711" t="n">
        <v>1.6</v>
      </c>
      <c r="J2711" t="n">
        <v>0</v>
      </c>
      <c r="K2711" t="n">
        <v>0</v>
      </c>
      <c r="L2711" t="n">
        <v>0</v>
      </c>
      <c r="M2711" t="n">
        <v>0</v>
      </c>
      <c r="N2711" t="n">
        <v>0</v>
      </c>
      <c r="O2711" t="n">
        <v>0</v>
      </c>
      <c r="P2711" t="n">
        <v>0</v>
      </c>
      <c r="Q2711" t="n">
        <v>0</v>
      </c>
      <c r="R2711" t="n">
        <v>0</v>
      </c>
      <c r="S2711" t="n">
        <v>0</v>
      </c>
      <c r="T2711" t="n">
        <v>0</v>
      </c>
      <c r="U2711" t="n">
        <v>0</v>
      </c>
      <c r="V2711" s="2" t="inlineStr"/>
    </row>
    <row r="2712" ht="15" customHeight="1">
      <c r="A2712" t="inlineStr">
        <is>
          <t>A 14491-2023</t>
        </is>
      </c>
      <c r="B2712" t="inlineStr">
        <is>
          <t>avverkningsanmälan</t>
        </is>
      </c>
      <c r="C2712" t="inlineStr">
        <is>
          <t>Föryngringsavverkning</t>
        </is>
      </c>
      <c r="D2712" s="1" t="n">
        <v>45012</v>
      </c>
      <c r="E2712" s="1" t="n">
        <v>46323</v>
      </c>
      <c r="F2712" t="inlineStr">
        <is>
          <t>KALMAR LÄN</t>
        </is>
      </c>
      <c r="G2712" t="inlineStr">
        <is>
          <t>OSKARSHAMN</t>
        </is>
      </c>
      <c r="I2712" t="n">
        <v>2.9</v>
      </c>
      <c r="J2712" t="n">
        <v>0</v>
      </c>
      <c r="K2712" t="n">
        <v>0</v>
      </c>
      <c r="L2712" t="n">
        <v>0</v>
      </c>
      <c r="M2712" t="n">
        <v>0</v>
      </c>
      <c r="N2712" t="n">
        <v>0</v>
      </c>
      <c r="O2712" t="n">
        <v>0</v>
      </c>
      <c r="P2712" t="n">
        <v>0</v>
      </c>
      <c r="Q2712" t="n">
        <v>0</v>
      </c>
      <c r="R2712" t="n">
        <v>0</v>
      </c>
      <c r="S2712" t="n">
        <v>0</v>
      </c>
      <c r="T2712" t="n">
        <v>0</v>
      </c>
      <c r="U2712" t="n">
        <v>0</v>
      </c>
      <c r="V2712" s="2" t="inlineStr"/>
    </row>
    <row r="2713" ht="15" customHeight="1">
      <c r="A2713" t="inlineStr">
        <is>
          <t>A 59943-2023</t>
        </is>
      </c>
      <c r="B2713" t="inlineStr">
        <is>
          <t>avverkningsanmälan</t>
        </is>
      </c>
      <c r="C2713" t="inlineStr">
        <is>
          <t>Föryngringsavverkning</t>
        </is>
      </c>
      <c r="D2713" s="1" t="n">
        <v>45257</v>
      </c>
      <c r="E2713" s="1" t="n">
        <v>46323</v>
      </c>
      <c r="F2713" t="inlineStr">
        <is>
          <t>KALMAR LÄN</t>
        </is>
      </c>
      <c r="G2713" t="inlineStr">
        <is>
          <t>VIMMERBY</t>
        </is>
      </c>
      <c r="I2713" t="n">
        <v>6.4</v>
      </c>
      <c r="J2713" t="n">
        <v>0</v>
      </c>
      <c r="K2713" t="n">
        <v>0</v>
      </c>
      <c r="L2713" t="n">
        <v>0</v>
      </c>
      <c r="M2713" t="n">
        <v>0</v>
      </c>
      <c r="N2713" t="n">
        <v>0</v>
      </c>
      <c r="O2713" t="n">
        <v>0</v>
      </c>
      <c r="P2713" t="n">
        <v>0</v>
      </c>
      <c r="Q2713" t="n">
        <v>0</v>
      </c>
      <c r="R2713" t="n">
        <v>0</v>
      </c>
      <c r="S2713" t="n">
        <v>0</v>
      </c>
      <c r="T2713" t="n">
        <v>0</v>
      </c>
      <c r="U2713" t="n">
        <v>0</v>
      </c>
      <c r="V2713" s="2" t="inlineStr"/>
    </row>
    <row r="2714" ht="15" customHeight="1">
      <c r="A2714" t="inlineStr">
        <is>
          <t>A 18586-2025</t>
        </is>
      </c>
      <c r="B2714" t="inlineStr">
        <is>
          <t>avverkningsanmälan</t>
        </is>
      </c>
      <c r="C2714" t="inlineStr">
        <is>
          <t>Avverkning för annat ändamål</t>
        </is>
      </c>
      <c r="D2714" s="1" t="n">
        <v>45763</v>
      </c>
      <c r="E2714" s="1" t="n">
        <v>46323</v>
      </c>
      <c r="F2714" t="inlineStr">
        <is>
          <t>KALMAR LÄN</t>
        </is>
      </c>
      <c r="G2714" t="inlineStr">
        <is>
          <t>NYBRO</t>
        </is>
      </c>
      <c r="I2714" t="n">
        <v>0.5</v>
      </c>
      <c r="J2714" t="n">
        <v>0</v>
      </c>
      <c r="K2714" t="n">
        <v>0</v>
      </c>
      <c r="L2714" t="n">
        <v>0</v>
      </c>
      <c r="M2714" t="n">
        <v>0</v>
      </c>
      <c r="N2714" t="n">
        <v>0</v>
      </c>
      <c r="O2714" t="n">
        <v>0</v>
      </c>
      <c r="P2714" t="n">
        <v>0</v>
      </c>
      <c r="Q2714" t="n">
        <v>0</v>
      </c>
      <c r="R2714" t="n">
        <v>0</v>
      </c>
      <c r="S2714" t="n">
        <v>0</v>
      </c>
      <c r="T2714" t="n">
        <v>0</v>
      </c>
      <c r="U2714" t="n">
        <v>0</v>
      </c>
      <c r="V2714" s="2" t="inlineStr"/>
    </row>
    <row r="2715" ht="15" customHeight="1">
      <c r="A2715" t="inlineStr">
        <is>
          <t>A 65651-2021</t>
        </is>
      </c>
      <c r="B2715" t="inlineStr">
        <is>
          <t>avverkningsanmälan</t>
        </is>
      </c>
      <c r="C2715" t="inlineStr">
        <is>
          <t>Föryngringsavverkning</t>
        </is>
      </c>
      <c r="D2715" s="1" t="n">
        <v>44516</v>
      </c>
      <c r="E2715" s="1" t="n">
        <v>46323</v>
      </c>
      <c r="F2715" t="inlineStr">
        <is>
          <t>KALMAR LÄN</t>
        </is>
      </c>
      <c r="G2715" t="inlineStr">
        <is>
          <t>TORSÅS</t>
        </is>
      </c>
      <c r="I2715" t="n">
        <v>0.9</v>
      </c>
      <c r="J2715" t="n">
        <v>0</v>
      </c>
      <c r="K2715" t="n">
        <v>0</v>
      </c>
      <c r="L2715" t="n">
        <v>0</v>
      </c>
      <c r="M2715" t="n">
        <v>0</v>
      </c>
      <c r="N2715" t="n">
        <v>0</v>
      </c>
      <c r="O2715" t="n">
        <v>0</v>
      </c>
      <c r="P2715" t="n">
        <v>0</v>
      </c>
      <c r="Q2715" t="n">
        <v>0</v>
      </c>
      <c r="R2715" t="n">
        <v>0</v>
      </c>
      <c r="S2715" t="n">
        <v>0</v>
      </c>
      <c r="T2715" t="n">
        <v>0</v>
      </c>
      <c r="U2715" t="n">
        <v>0</v>
      </c>
      <c r="V2715" s="2" t="inlineStr"/>
    </row>
    <row r="2716" ht="15" customHeight="1">
      <c r="A2716" t="inlineStr">
        <is>
          <t>A 68088-2021</t>
        </is>
      </c>
      <c r="B2716" t="inlineStr">
        <is>
          <t>avverkningsanmälan</t>
        </is>
      </c>
      <c r="C2716" t="inlineStr">
        <is>
          <t>Föryngringsavverkning</t>
        </is>
      </c>
      <c r="D2716" s="1" t="n">
        <v>44526</v>
      </c>
      <c r="E2716" s="1" t="n">
        <v>46323</v>
      </c>
      <c r="F2716" t="inlineStr">
        <is>
          <t>KALMAR LÄN</t>
        </is>
      </c>
      <c r="G2716" t="inlineStr">
        <is>
          <t>HULTSFRED</t>
        </is>
      </c>
      <c r="I2716" t="n">
        <v>2.1</v>
      </c>
      <c r="J2716" t="n">
        <v>0</v>
      </c>
      <c r="K2716" t="n">
        <v>0</v>
      </c>
      <c r="L2716" t="n">
        <v>0</v>
      </c>
      <c r="M2716" t="n">
        <v>0</v>
      </c>
      <c r="N2716" t="n">
        <v>0</v>
      </c>
      <c r="O2716" t="n">
        <v>0</v>
      </c>
      <c r="P2716" t="n">
        <v>0</v>
      </c>
      <c r="Q2716" t="n">
        <v>0</v>
      </c>
      <c r="R2716" t="n">
        <v>0</v>
      </c>
      <c r="S2716" t="n">
        <v>0</v>
      </c>
      <c r="T2716" t="n">
        <v>0</v>
      </c>
      <c r="U2716" t="n">
        <v>0</v>
      </c>
      <c r="V2716" s="2" t="inlineStr"/>
    </row>
    <row r="2717" ht="15" customHeight="1">
      <c r="A2717" t="inlineStr">
        <is>
          <t>A 2543-2024</t>
        </is>
      </c>
      <c r="B2717" t="inlineStr">
        <is>
          <t>avverkningsanmälan</t>
        </is>
      </c>
      <c r="C2717" t="inlineStr">
        <is>
          <t>Föryngringsavverkning</t>
        </is>
      </c>
      <c r="D2717" s="1" t="n">
        <v>45313</v>
      </c>
      <c r="E2717" s="1" t="n">
        <v>46323</v>
      </c>
      <c r="F2717" t="inlineStr">
        <is>
          <t>KALMAR LÄN</t>
        </is>
      </c>
      <c r="G2717" t="inlineStr">
        <is>
          <t>VÄSTERVIK</t>
        </is>
      </c>
      <c r="I2717" t="n">
        <v>1.4</v>
      </c>
      <c r="J2717" t="n">
        <v>0</v>
      </c>
      <c r="K2717" t="n">
        <v>0</v>
      </c>
      <c r="L2717" t="n">
        <v>0</v>
      </c>
      <c r="M2717" t="n">
        <v>0</v>
      </c>
      <c r="N2717" t="n">
        <v>0</v>
      </c>
      <c r="O2717" t="n">
        <v>0</v>
      </c>
      <c r="P2717" t="n">
        <v>0</v>
      </c>
      <c r="Q2717" t="n">
        <v>0</v>
      </c>
      <c r="R2717" t="n">
        <v>0</v>
      </c>
      <c r="S2717" t="n">
        <v>0</v>
      </c>
      <c r="T2717" t="n">
        <v>0</v>
      </c>
      <c r="U2717" t="n">
        <v>0</v>
      </c>
      <c r="V2717" s="2" t="inlineStr"/>
    </row>
    <row r="2718" ht="15" customHeight="1">
      <c r="A2718" t="inlineStr">
        <is>
          <t>A 16734-2023</t>
        </is>
      </c>
      <c r="B2718" t="inlineStr">
        <is>
          <t>avverkningsanmälan</t>
        </is>
      </c>
      <c r="C2718" t="inlineStr">
        <is>
          <t>Föryngringsavverkning</t>
        </is>
      </c>
      <c r="D2718" s="1" t="n">
        <v>45030</v>
      </c>
      <c r="E2718" s="1" t="n">
        <v>46323</v>
      </c>
      <c r="F2718" t="inlineStr">
        <is>
          <t>KALMAR LÄN</t>
        </is>
      </c>
      <c r="G2718" t="inlineStr">
        <is>
          <t>VIMMERBY</t>
        </is>
      </c>
      <c r="I2718" t="n">
        <v>0.7</v>
      </c>
      <c r="J2718" t="n">
        <v>0</v>
      </c>
      <c r="K2718" t="n">
        <v>0</v>
      </c>
      <c r="L2718" t="n">
        <v>0</v>
      </c>
      <c r="M2718" t="n">
        <v>0</v>
      </c>
      <c r="N2718" t="n">
        <v>0</v>
      </c>
      <c r="O2718" t="n">
        <v>0</v>
      </c>
      <c r="P2718" t="n">
        <v>0</v>
      </c>
      <c r="Q2718" t="n">
        <v>0</v>
      </c>
      <c r="R2718" t="n">
        <v>0</v>
      </c>
      <c r="S2718" t="n">
        <v>0</v>
      </c>
      <c r="T2718" t="n">
        <v>0</v>
      </c>
      <c r="U2718" t="n">
        <v>0</v>
      </c>
      <c r="V2718" s="2" t="inlineStr"/>
    </row>
    <row r="2719" ht="15" customHeight="1">
      <c r="A2719" t="inlineStr">
        <is>
          <t>A 7485-2024</t>
        </is>
      </c>
      <c r="B2719" t="inlineStr">
        <is>
          <t>avverkningsanmälan</t>
        </is>
      </c>
      <c r="C2719" t="inlineStr">
        <is>
          <t>Föryngringsavverkning</t>
        </is>
      </c>
      <c r="D2719" s="1" t="n">
        <v>45346</v>
      </c>
      <c r="E2719" s="1" t="n">
        <v>46323</v>
      </c>
      <c r="F2719" t="inlineStr">
        <is>
          <t>KALMAR LÄN</t>
        </is>
      </c>
      <c r="G2719" t="inlineStr">
        <is>
          <t>VIMMERBY</t>
        </is>
      </c>
      <c r="I2719" t="n">
        <v>1.9</v>
      </c>
      <c r="J2719" t="n">
        <v>0</v>
      </c>
      <c r="K2719" t="n">
        <v>0</v>
      </c>
      <c r="L2719" t="n">
        <v>0</v>
      </c>
      <c r="M2719" t="n">
        <v>0</v>
      </c>
      <c r="N2719" t="n">
        <v>0</v>
      </c>
      <c r="O2719" t="n">
        <v>0</v>
      </c>
      <c r="P2719" t="n">
        <v>0</v>
      </c>
      <c r="Q2719" t="n">
        <v>0</v>
      </c>
      <c r="R2719" t="n">
        <v>0</v>
      </c>
      <c r="S2719" t="n">
        <v>0</v>
      </c>
      <c r="T2719" t="n">
        <v>0</v>
      </c>
      <c r="U2719" t="n">
        <v>0</v>
      </c>
      <c r="V2719" s="2" t="inlineStr"/>
    </row>
    <row r="2720" ht="15" customHeight="1">
      <c r="A2720" t="inlineStr">
        <is>
          <t>A 8930-2022</t>
        </is>
      </c>
      <c r="B2720" t="inlineStr">
        <is>
          <t>avverkningsanmälan</t>
        </is>
      </c>
      <c r="C2720" t="inlineStr">
        <is>
          <t>Föryngringsavverkning</t>
        </is>
      </c>
      <c r="D2720" s="1" t="n">
        <v>44614</v>
      </c>
      <c r="E2720" s="1" t="n">
        <v>46323</v>
      </c>
      <c r="F2720" t="inlineStr">
        <is>
          <t>KALMAR LÄN</t>
        </is>
      </c>
      <c r="G2720" t="inlineStr">
        <is>
          <t>HULTSFRED</t>
        </is>
      </c>
      <c r="I2720" t="n">
        <v>4.3</v>
      </c>
      <c r="J2720" t="n">
        <v>0</v>
      </c>
      <c r="K2720" t="n">
        <v>0</v>
      </c>
      <c r="L2720" t="n">
        <v>0</v>
      </c>
      <c r="M2720" t="n">
        <v>0</v>
      </c>
      <c r="N2720" t="n">
        <v>0</v>
      </c>
      <c r="O2720" t="n">
        <v>0</v>
      </c>
      <c r="P2720" t="n">
        <v>0</v>
      </c>
      <c r="Q2720" t="n">
        <v>0</v>
      </c>
      <c r="R2720" t="n">
        <v>0</v>
      </c>
      <c r="S2720" t="n">
        <v>0</v>
      </c>
      <c r="T2720" t="n">
        <v>0</v>
      </c>
      <c r="U2720" t="n">
        <v>0</v>
      </c>
      <c r="V2720" s="2" t="inlineStr"/>
    </row>
    <row r="2721" ht="15" customHeight="1">
      <c r="A2721" t="inlineStr">
        <is>
          <t>A 9424-2023</t>
        </is>
      </c>
      <c r="B2721" t="inlineStr">
        <is>
          <t>avverkningsanmälan</t>
        </is>
      </c>
      <c r="C2721" t="inlineStr">
        <is>
          <t>Föryngringsavverkning</t>
        </is>
      </c>
      <c r="D2721" s="1" t="n">
        <v>44981</v>
      </c>
      <c r="E2721" s="1" t="n">
        <v>46323</v>
      </c>
      <c r="F2721" t="inlineStr">
        <is>
          <t>KALMAR LÄN</t>
        </is>
      </c>
      <c r="G2721" t="inlineStr">
        <is>
          <t>HÖGSBY</t>
        </is>
      </c>
      <c r="H2721" t="inlineStr">
        <is>
          <t>Övriga Aktiebolag</t>
        </is>
      </c>
      <c r="I2721" t="n">
        <v>1.1</v>
      </c>
      <c r="J2721" t="n">
        <v>0</v>
      </c>
      <c r="K2721" t="n">
        <v>0</v>
      </c>
      <c r="L2721" t="n">
        <v>0</v>
      </c>
      <c r="M2721" t="n">
        <v>0</v>
      </c>
      <c r="N2721" t="n">
        <v>0</v>
      </c>
      <c r="O2721" t="n">
        <v>0</v>
      </c>
      <c r="P2721" t="n">
        <v>0</v>
      </c>
      <c r="Q2721" t="n">
        <v>0</v>
      </c>
      <c r="R2721" t="n">
        <v>0</v>
      </c>
      <c r="S2721" t="n">
        <v>0</v>
      </c>
      <c r="T2721" t="n">
        <v>0</v>
      </c>
      <c r="U2721" t="n">
        <v>0</v>
      </c>
      <c r="V2721" s="2" t="inlineStr"/>
    </row>
    <row r="2722" ht="15" customHeight="1">
      <c r="A2722" t="inlineStr">
        <is>
          <t>A 15749-2024</t>
        </is>
      </c>
      <c r="B2722" t="inlineStr">
        <is>
          <t>avverkningsanmälan</t>
        </is>
      </c>
      <c r="C2722" t="inlineStr">
        <is>
          <t>Föryngringsavverkning</t>
        </is>
      </c>
      <c r="D2722" s="1" t="n">
        <v>45404</v>
      </c>
      <c r="E2722" s="1" t="n">
        <v>46323</v>
      </c>
      <c r="F2722" t="inlineStr">
        <is>
          <t>KALMAR LÄN</t>
        </is>
      </c>
      <c r="G2722" t="inlineStr">
        <is>
          <t>TORSÅS</t>
        </is>
      </c>
      <c r="I2722" t="n">
        <v>0.6</v>
      </c>
      <c r="J2722" t="n">
        <v>0</v>
      </c>
      <c r="K2722" t="n">
        <v>0</v>
      </c>
      <c r="L2722" t="n">
        <v>0</v>
      </c>
      <c r="M2722" t="n">
        <v>0</v>
      </c>
      <c r="N2722" t="n">
        <v>0</v>
      </c>
      <c r="O2722" t="n">
        <v>0</v>
      </c>
      <c r="P2722" t="n">
        <v>0</v>
      </c>
      <c r="Q2722" t="n">
        <v>0</v>
      </c>
      <c r="R2722" t="n">
        <v>0</v>
      </c>
      <c r="S2722" t="n">
        <v>0</v>
      </c>
      <c r="T2722" t="n">
        <v>0</v>
      </c>
      <c r="U2722" t="n">
        <v>0</v>
      </c>
      <c r="V2722" s="2" t="inlineStr"/>
    </row>
    <row r="2723" ht="15" customHeight="1">
      <c r="A2723" t="inlineStr">
        <is>
          <t>A 9220-2023</t>
        </is>
      </c>
      <c r="B2723" t="inlineStr">
        <is>
          <t>avverkningsanmälan</t>
        </is>
      </c>
      <c r="C2723" t="inlineStr">
        <is>
          <t>Föryngringsavverkning</t>
        </is>
      </c>
      <c r="D2723" s="1" t="n">
        <v>44980</v>
      </c>
      <c r="E2723" s="1" t="n">
        <v>46323</v>
      </c>
      <c r="F2723" t="inlineStr">
        <is>
          <t>KALMAR LÄN</t>
        </is>
      </c>
      <c r="G2723" t="inlineStr">
        <is>
          <t>VÄSTERVIK</t>
        </is>
      </c>
      <c r="I2723" t="n">
        <v>0.7</v>
      </c>
      <c r="J2723" t="n">
        <v>0</v>
      </c>
      <c r="K2723" t="n">
        <v>0</v>
      </c>
      <c r="L2723" t="n">
        <v>0</v>
      </c>
      <c r="M2723" t="n">
        <v>0</v>
      </c>
      <c r="N2723" t="n">
        <v>0</v>
      </c>
      <c r="O2723" t="n">
        <v>0</v>
      </c>
      <c r="P2723" t="n">
        <v>0</v>
      </c>
      <c r="Q2723" t="n">
        <v>0</v>
      </c>
      <c r="R2723" t="n">
        <v>0</v>
      </c>
      <c r="S2723" t="n">
        <v>0</v>
      </c>
      <c r="T2723" t="n">
        <v>0</v>
      </c>
      <c r="U2723" t="n">
        <v>0</v>
      </c>
      <c r="V2723" s="2" t="inlineStr"/>
    </row>
    <row r="2724" ht="15" customHeight="1">
      <c r="A2724" t="inlineStr">
        <is>
          <t>A 3871-2023</t>
        </is>
      </c>
      <c r="B2724" t="inlineStr">
        <is>
          <t>avverkningsanmälan</t>
        </is>
      </c>
      <c r="C2724" t="inlineStr">
        <is>
          <t>Föryngringsavverkning</t>
        </is>
      </c>
      <c r="D2724" s="1" t="n">
        <v>44951</v>
      </c>
      <c r="E2724" s="1" t="n">
        <v>46323</v>
      </c>
      <c r="F2724" t="inlineStr">
        <is>
          <t>KALMAR LÄN</t>
        </is>
      </c>
      <c r="G2724" t="inlineStr">
        <is>
          <t>EMMABODA</t>
        </is>
      </c>
      <c r="I2724" t="n">
        <v>0.8</v>
      </c>
      <c r="J2724" t="n">
        <v>0</v>
      </c>
      <c r="K2724" t="n">
        <v>0</v>
      </c>
      <c r="L2724" t="n">
        <v>0</v>
      </c>
      <c r="M2724" t="n">
        <v>0</v>
      </c>
      <c r="N2724" t="n">
        <v>0</v>
      </c>
      <c r="O2724" t="n">
        <v>0</v>
      </c>
      <c r="P2724" t="n">
        <v>0</v>
      </c>
      <c r="Q2724" t="n">
        <v>0</v>
      </c>
      <c r="R2724" t="n">
        <v>0</v>
      </c>
      <c r="S2724" t="n">
        <v>0</v>
      </c>
      <c r="T2724" t="n">
        <v>0</v>
      </c>
      <c r="U2724" t="n">
        <v>0</v>
      </c>
      <c r="V2724" s="2" t="inlineStr"/>
    </row>
    <row r="2725" ht="15" customHeight="1">
      <c r="A2725" t="inlineStr">
        <is>
          <t>A 35154-2024</t>
        </is>
      </c>
      <c r="B2725" t="inlineStr">
        <is>
          <t>avverkningsanmälan</t>
        </is>
      </c>
      <c r="C2725" t="inlineStr">
        <is>
          <t>Föryngringsavverkning</t>
        </is>
      </c>
      <c r="D2725" s="1" t="n">
        <v>45530</v>
      </c>
      <c r="E2725" s="1" t="n">
        <v>46323</v>
      </c>
      <c r="F2725" t="inlineStr">
        <is>
          <t>KALMAR LÄN</t>
        </is>
      </c>
      <c r="G2725" t="inlineStr">
        <is>
          <t>OSKARSHAMN</t>
        </is>
      </c>
      <c r="H2725" t="inlineStr">
        <is>
          <t>Sveaskog</t>
        </is>
      </c>
      <c r="I2725" t="n">
        <v>3.7</v>
      </c>
      <c r="J2725" t="n">
        <v>0</v>
      </c>
      <c r="K2725" t="n">
        <v>0</v>
      </c>
      <c r="L2725" t="n">
        <v>0</v>
      </c>
      <c r="M2725" t="n">
        <v>0</v>
      </c>
      <c r="N2725" t="n">
        <v>0</v>
      </c>
      <c r="O2725" t="n">
        <v>0</v>
      </c>
      <c r="P2725" t="n">
        <v>0</v>
      </c>
      <c r="Q2725" t="n">
        <v>0</v>
      </c>
      <c r="R2725" t="n">
        <v>0</v>
      </c>
      <c r="S2725" t="n">
        <v>0</v>
      </c>
      <c r="T2725" t="n">
        <v>0</v>
      </c>
      <c r="U2725" t="n">
        <v>0</v>
      </c>
      <c r="V2725" s="2" t="inlineStr"/>
    </row>
    <row r="2726" ht="15" customHeight="1">
      <c r="A2726" t="inlineStr">
        <is>
          <t>A 35162-2024</t>
        </is>
      </c>
      <c r="B2726" t="inlineStr">
        <is>
          <t>avverkningsanmälan</t>
        </is>
      </c>
      <c r="C2726" t="inlineStr">
        <is>
          <t>Föryngringsavverkning</t>
        </is>
      </c>
      <c r="D2726" s="1" t="n">
        <v>45530</v>
      </c>
      <c r="E2726" s="1" t="n">
        <v>46323</v>
      </c>
      <c r="F2726" t="inlineStr">
        <is>
          <t>KALMAR LÄN</t>
        </is>
      </c>
      <c r="G2726" t="inlineStr">
        <is>
          <t>VÄSTERVIK</t>
        </is>
      </c>
      <c r="H2726" t="inlineStr">
        <is>
          <t>Sveaskog</t>
        </is>
      </c>
      <c r="I2726" t="n">
        <v>0.7</v>
      </c>
      <c r="J2726" t="n">
        <v>0</v>
      </c>
      <c r="K2726" t="n">
        <v>0</v>
      </c>
      <c r="L2726" t="n">
        <v>0</v>
      </c>
      <c r="M2726" t="n">
        <v>0</v>
      </c>
      <c r="N2726" t="n">
        <v>0</v>
      </c>
      <c r="O2726" t="n">
        <v>0</v>
      </c>
      <c r="P2726" t="n">
        <v>0</v>
      </c>
      <c r="Q2726" t="n">
        <v>0</v>
      </c>
      <c r="R2726" t="n">
        <v>0</v>
      </c>
      <c r="S2726" t="n">
        <v>0</v>
      </c>
      <c r="T2726" t="n">
        <v>0</v>
      </c>
      <c r="U2726" t="n">
        <v>0</v>
      </c>
      <c r="V2726" s="2" t="inlineStr"/>
    </row>
    <row r="2727" ht="15" customHeight="1">
      <c r="A2727" t="inlineStr">
        <is>
          <t>A 8971-2023</t>
        </is>
      </c>
      <c r="B2727" t="inlineStr">
        <is>
          <t>avverkningsanmälan</t>
        </is>
      </c>
      <c r="C2727" t="inlineStr">
        <is>
          <t>Föryngringsavverkning</t>
        </is>
      </c>
      <c r="D2727" s="1" t="n">
        <v>44979</v>
      </c>
      <c r="E2727" s="1" t="n">
        <v>46323</v>
      </c>
      <c r="F2727" t="inlineStr">
        <is>
          <t>KALMAR LÄN</t>
        </is>
      </c>
      <c r="G2727" t="inlineStr">
        <is>
          <t>EMMABODA</t>
        </is>
      </c>
      <c r="I2727" t="n">
        <v>1.3</v>
      </c>
      <c r="J2727" t="n">
        <v>0</v>
      </c>
      <c r="K2727" t="n">
        <v>0</v>
      </c>
      <c r="L2727" t="n">
        <v>0</v>
      </c>
      <c r="M2727" t="n">
        <v>0</v>
      </c>
      <c r="N2727" t="n">
        <v>0</v>
      </c>
      <c r="O2727" t="n">
        <v>0</v>
      </c>
      <c r="P2727" t="n">
        <v>0</v>
      </c>
      <c r="Q2727" t="n">
        <v>0</v>
      </c>
      <c r="R2727" t="n">
        <v>0</v>
      </c>
      <c r="S2727" t="n">
        <v>0</v>
      </c>
      <c r="T2727" t="n">
        <v>0</v>
      </c>
      <c r="U2727" t="n">
        <v>0</v>
      </c>
      <c r="V2727" s="2" t="inlineStr"/>
    </row>
    <row r="2728" ht="15" customHeight="1">
      <c r="A2728" t="inlineStr">
        <is>
          <t>A 61816-2024</t>
        </is>
      </c>
      <c r="B2728" t="inlineStr">
        <is>
          <t>avverkningsanmälan</t>
        </is>
      </c>
      <c r="C2728" t="inlineStr">
        <is>
          <t>Föryngringsavverkning</t>
        </is>
      </c>
      <c r="D2728" s="1" t="n">
        <v>45649</v>
      </c>
      <c r="E2728" s="1" t="n">
        <v>46323</v>
      </c>
      <c r="F2728" t="inlineStr">
        <is>
          <t>KALMAR LÄN</t>
        </is>
      </c>
      <c r="G2728" t="inlineStr">
        <is>
          <t>NYBRO</t>
        </is>
      </c>
      <c r="I2728" t="n">
        <v>6.3</v>
      </c>
      <c r="J2728" t="n">
        <v>0</v>
      </c>
      <c r="K2728" t="n">
        <v>0</v>
      </c>
      <c r="L2728" t="n">
        <v>0</v>
      </c>
      <c r="M2728" t="n">
        <v>0</v>
      </c>
      <c r="N2728" t="n">
        <v>0</v>
      </c>
      <c r="O2728" t="n">
        <v>0</v>
      </c>
      <c r="P2728" t="n">
        <v>0</v>
      </c>
      <c r="Q2728" t="n">
        <v>0</v>
      </c>
      <c r="R2728" t="n">
        <v>0</v>
      </c>
      <c r="S2728" t="n">
        <v>0</v>
      </c>
      <c r="T2728" t="n">
        <v>0</v>
      </c>
      <c r="U2728" t="n">
        <v>0</v>
      </c>
      <c r="V2728" s="2" t="inlineStr"/>
    </row>
    <row r="2729" ht="15" customHeight="1">
      <c r="A2729" t="inlineStr">
        <is>
          <t>A 61839-2024</t>
        </is>
      </c>
      <c r="B2729" t="inlineStr">
        <is>
          <t>avverkningsanmälan</t>
        </is>
      </c>
      <c r="C2729" t="inlineStr">
        <is>
          <t>Föryngringsavverkning</t>
        </is>
      </c>
      <c r="D2729" s="1" t="n">
        <v>45649</v>
      </c>
      <c r="E2729" s="1" t="n">
        <v>46323</v>
      </c>
      <c r="F2729" t="inlineStr">
        <is>
          <t>KALMAR LÄN</t>
        </is>
      </c>
      <c r="G2729" t="inlineStr">
        <is>
          <t>NYBRO</t>
        </is>
      </c>
      <c r="I2729" t="n">
        <v>1.2</v>
      </c>
      <c r="J2729" t="n">
        <v>0</v>
      </c>
      <c r="K2729" t="n">
        <v>0</v>
      </c>
      <c r="L2729" t="n">
        <v>0</v>
      </c>
      <c r="M2729" t="n">
        <v>0</v>
      </c>
      <c r="N2729" t="n">
        <v>0</v>
      </c>
      <c r="O2729" t="n">
        <v>0</v>
      </c>
      <c r="P2729" t="n">
        <v>0</v>
      </c>
      <c r="Q2729" t="n">
        <v>0</v>
      </c>
      <c r="R2729" t="n">
        <v>0</v>
      </c>
      <c r="S2729" t="n">
        <v>0</v>
      </c>
      <c r="T2729" t="n">
        <v>0</v>
      </c>
      <c r="U2729" t="n">
        <v>0</v>
      </c>
      <c r="V2729" s="2" t="inlineStr"/>
    </row>
    <row r="2730" ht="15" customHeight="1">
      <c r="A2730" t="inlineStr">
        <is>
          <t>A 45755-2022</t>
        </is>
      </c>
      <c r="B2730" t="inlineStr">
        <is>
          <t>avverkningsanmälan</t>
        </is>
      </c>
      <c r="C2730" t="inlineStr">
        <is>
          <t>Föryngringsavverkning</t>
        </is>
      </c>
      <c r="D2730" s="1" t="n">
        <v>44846</v>
      </c>
      <c r="E2730" s="1" t="n">
        <v>46323</v>
      </c>
      <c r="F2730" t="inlineStr">
        <is>
          <t>KALMAR LÄN</t>
        </is>
      </c>
      <c r="G2730" t="inlineStr">
        <is>
          <t>KALMAR</t>
        </is>
      </c>
      <c r="I2730" t="n">
        <v>1</v>
      </c>
      <c r="J2730" t="n">
        <v>0</v>
      </c>
      <c r="K2730" t="n">
        <v>0</v>
      </c>
      <c r="L2730" t="n">
        <v>0</v>
      </c>
      <c r="M2730" t="n">
        <v>0</v>
      </c>
      <c r="N2730" t="n">
        <v>0</v>
      </c>
      <c r="O2730" t="n">
        <v>0</v>
      </c>
      <c r="P2730" t="n">
        <v>0</v>
      </c>
      <c r="Q2730" t="n">
        <v>0</v>
      </c>
      <c r="R2730" t="n">
        <v>0</v>
      </c>
      <c r="S2730" t="n">
        <v>0</v>
      </c>
      <c r="T2730" t="n">
        <v>0</v>
      </c>
      <c r="U2730" t="n">
        <v>0</v>
      </c>
      <c r="V2730" s="2" t="inlineStr"/>
    </row>
    <row r="2731" ht="15" customHeight="1">
      <c r="A2731" t="inlineStr">
        <is>
          <t>A 45306-2025</t>
        </is>
      </c>
      <c r="B2731" t="inlineStr">
        <is>
          <t>avverkningsanmälan</t>
        </is>
      </c>
      <c r="C2731" t="inlineStr">
        <is>
          <t>Föryngringsavverkning</t>
        </is>
      </c>
      <c r="D2731" s="1" t="n">
        <v>45921</v>
      </c>
      <c r="E2731" s="1" t="n">
        <v>46323</v>
      </c>
      <c r="F2731" t="inlineStr">
        <is>
          <t>KALMAR LÄN</t>
        </is>
      </c>
      <c r="G2731" t="inlineStr">
        <is>
          <t>EMMABODA</t>
        </is>
      </c>
      <c r="I2731" t="n">
        <v>2.3</v>
      </c>
      <c r="J2731" t="n">
        <v>0</v>
      </c>
      <c r="K2731" t="n">
        <v>0</v>
      </c>
      <c r="L2731" t="n">
        <v>0</v>
      </c>
      <c r="M2731" t="n">
        <v>0</v>
      </c>
      <c r="N2731" t="n">
        <v>0</v>
      </c>
      <c r="O2731" t="n">
        <v>0</v>
      </c>
      <c r="P2731" t="n">
        <v>0</v>
      </c>
      <c r="Q2731" t="n">
        <v>0</v>
      </c>
      <c r="R2731" t="n">
        <v>0</v>
      </c>
      <c r="S2731" t="n">
        <v>0</v>
      </c>
      <c r="T2731" t="n">
        <v>0</v>
      </c>
      <c r="U2731" t="n">
        <v>0</v>
      </c>
      <c r="V2731" s="2" t="inlineStr"/>
    </row>
    <row r="2732" ht="15" customHeight="1">
      <c r="A2732" t="inlineStr">
        <is>
          <t>A 2477-2023</t>
        </is>
      </c>
      <c r="B2732" t="inlineStr">
        <is>
          <t>avverkningsanmälan</t>
        </is>
      </c>
      <c r="C2732" t="inlineStr">
        <is>
          <t>Föryngringsavverkning</t>
        </is>
      </c>
      <c r="D2732" s="1" t="n">
        <v>44943</v>
      </c>
      <c r="E2732" s="1" t="n">
        <v>46323</v>
      </c>
      <c r="F2732" t="inlineStr">
        <is>
          <t>KALMAR LÄN</t>
        </is>
      </c>
      <c r="G2732" t="inlineStr">
        <is>
          <t>TORSÅS</t>
        </is>
      </c>
      <c r="I2732" t="n">
        <v>1.1</v>
      </c>
      <c r="J2732" t="n">
        <v>0</v>
      </c>
      <c r="K2732" t="n">
        <v>0</v>
      </c>
      <c r="L2732" t="n">
        <v>0</v>
      </c>
      <c r="M2732" t="n">
        <v>0</v>
      </c>
      <c r="N2732" t="n">
        <v>0</v>
      </c>
      <c r="O2732" t="n">
        <v>0</v>
      </c>
      <c r="P2732" t="n">
        <v>0</v>
      </c>
      <c r="Q2732" t="n">
        <v>0</v>
      </c>
      <c r="R2732" t="n">
        <v>0</v>
      </c>
      <c r="S2732" t="n">
        <v>0</v>
      </c>
      <c r="T2732" t="n">
        <v>0</v>
      </c>
      <c r="U2732" t="n">
        <v>0</v>
      </c>
      <c r="V2732" s="2" t="inlineStr"/>
    </row>
    <row r="2733" ht="15" customHeight="1">
      <c r="A2733" t="inlineStr">
        <is>
          <t>A 45824-2025</t>
        </is>
      </c>
      <c r="B2733" t="inlineStr">
        <is>
          <t>avverkningsanmälan</t>
        </is>
      </c>
      <c r="C2733" t="inlineStr">
        <is>
          <t>Föryngringsavverkning</t>
        </is>
      </c>
      <c r="D2733" s="1" t="n">
        <v>45923</v>
      </c>
      <c r="E2733" s="1" t="n">
        <v>46323</v>
      </c>
      <c r="F2733" t="inlineStr">
        <is>
          <t>KALMAR LÄN</t>
        </is>
      </c>
      <c r="G2733" t="inlineStr">
        <is>
          <t>HULTSFRED</t>
        </is>
      </c>
      <c r="I2733" t="n">
        <v>0.6</v>
      </c>
      <c r="J2733" t="n">
        <v>0</v>
      </c>
      <c r="K2733" t="n">
        <v>0</v>
      </c>
      <c r="L2733" t="n">
        <v>0</v>
      </c>
      <c r="M2733" t="n">
        <v>0</v>
      </c>
      <c r="N2733" t="n">
        <v>0</v>
      </c>
      <c r="O2733" t="n">
        <v>0</v>
      </c>
      <c r="P2733" t="n">
        <v>0</v>
      </c>
      <c r="Q2733" t="n">
        <v>0</v>
      </c>
      <c r="R2733" t="n">
        <v>0</v>
      </c>
      <c r="S2733" t="n">
        <v>0</v>
      </c>
      <c r="T2733" t="n">
        <v>0</v>
      </c>
      <c r="U2733" t="n">
        <v>0</v>
      </c>
      <c r="V2733" s="2" t="inlineStr"/>
    </row>
    <row r="2734" ht="15" customHeight="1">
      <c r="A2734" t="inlineStr">
        <is>
          <t>A 58679-2022</t>
        </is>
      </c>
      <c r="B2734" t="inlineStr">
        <is>
          <t>avverkningsanmälan</t>
        </is>
      </c>
      <c r="C2734" t="inlineStr">
        <is>
          <t>Föryngringsavverkning</t>
        </is>
      </c>
      <c r="D2734" s="1" t="n">
        <v>44902</v>
      </c>
      <c r="E2734" s="1" t="n">
        <v>46323</v>
      </c>
      <c r="F2734" t="inlineStr">
        <is>
          <t>KALMAR LÄN</t>
        </is>
      </c>
      <c r="G2734" t="inlineStr">
        <is>
          <t>HÖGSBY</t>
        </is>
      </c>
      <c r="I2734" t="n">
        <v>3.8</v>
      </c>
      <c r="J2734" t="n">
        <v>0</v>
      </c>
      <c r="K2734" t="n">
        <v>0</v>
      </c>
      <c r="L2734" t="n">
        <v>0</v>
      </c>
      <c r="M2734" t="n">
        <v>0</v>
      </c>
      <c r="N2734" t="n">
        <v>0</v>
      </c>
      <c r="O2734" t="n">
        <v>0</v>
      </c>
      <c r="P2734" t="n">
        <v>0</v>
      </c>
      <c r="Q2734" t="n">
        <v>0</v>
      </c>
      <c r="R2734" t="n">
        <v>0</v>
      </c>
      <c r="S2734" t="n">
        <v>0</v>
      </c>
      <c r="T2734" t="n">
        <v>0</v>
      </c>
      <c r="U2734" t="n">
        <v>0</v>
      </c>
      <c r="V2734" s="2" t="inlineStr"/>
    </row>
    <row r="2735" ht="15" customHeight="1">
      <c r="A2735" t="inlineStr">
        <is>
          <t>A 58680-2022</t>
        </is>
      </c>
      <c r="B2735" t="inlineStr">
        <is>
          <t>avverkningsanmälan</t>
        </is>
      </c>
      <c r="C2735" t="inlineStr">
        <is>
          <t>Föryngringsavverkning</t>
        </is>
      </c>
      <c r="D2735" s="1" t="n">
        <v>44902</v>
      </c>
      <c r="E2735" s="1" t="n">
        <v>46323</v>
      </c>
      <c r="F2735" t="inlineStr">
        <is>
          <t>KALMAR LÄN</t>
        </is>
      </c>
      <c r="G2735" t="inlineStr">
        <is>
          <t>TORSÅS</t>
        </is>
      </c>
      <c r="I2735" t="n">
        <v>0.8</v>
      </c>
      <c r="J2735" t="n">
        <v>0</v>
      </c>
      <c r="K2735" t="n">
        <v>0</v>
      </c>
      <c r="L2735" t="n">
        <v>0</v>
      </c>
      <c r="M2735" t="n">
        <v>0</v>
      </c>
      <c r="N2735" t="n">
        <v>0</v>
      </c>
      <c r="O2735" t="n">
        <v>0</v>
      </c>
      <c r="P2735" t="n">
        <v>0</v>
      </c>
      <c r="Q2735" t="n">
        <v>0</v>
      </c>
      <c r="R2735" t="n">
        <v>0</v>
      </c>
      <c r="S2735" t="n">
        <v>0</v>
      </c>
      <c r="T2735" t="n">
        <v>0</v>
      </c>
      <c r="U2735" t="n">
        <v>0</v>
      </c>
      <c r="V2735" s="2" t="inlineStr"/>
    </row>
    <row r="2736" ht="15" customHeight="1">
      <c r="A2736" t="inlineStr">
        <is>
          <t>A 211-2022</t>
        </is>
      </c>
      <c r="B2736" t="inlineStr">
        <is>
          <t>avverkningsanmälan</t>
        </is>
      </c>
      <c r="C2736" t="inlineStr">
        <is>
          <t>Avverkning för annat ändamål</t>
        </is>
      </c>
      <c r="D2736" s="1" t="n">
        <v>44564</v>
      </c>
      <c r="E2736" s="1" t="n">
        <v>46323</v>
      </c>
      <c r="F2736" t="inlineStr">
        <is>
          <t>KALMAR LÄN</t>
        </is>
      </c>
      <c r="G2736" t="inlineStr">
        <is>
          <t>HULTSFRED</t>
        </is>
      </c>
      <c r="I2736" t="n">
        <v>2.5</v>
      </c>
      <c r="J2736" t="n">
        <v>0</v>
      </c>
      <c r="K2736" t="n">
        <v>0</v>
      </c>
      <c r="L2736" t="n">
        <v>0</v>
      </c>
      <c r="M2736" t="n">
        <v>0</v>
      </c>
      <c r="N2736" t="n">
        <v>0</v>
      </c>
      <c r="O2736" t="n">
        <v>0</v>
      </c>
      <c r="P2736" t="n">
        <v>0</v>
      </c>
      <c r="Q2736" t="n">
        <v>0</v>
      </c>
      <c r="R2736" t="n">
        <v>0</v>
      </c>
      <c r="S2736" t="n">
        <v>0</v>
      </c>
      <c r="T2736" t="n">
        <v>0</v>
      </c>
      <c r="U2736" t="n">
        <v>0</v>
      </c>
      <c r="V2736" s="2" t="inlineStr"/>
    </row>
    <row r="2737" ht="15" customHeight="1">
      <c r="A2737" t="inlineStr">
        <is>
          <t>A 45934-2025</t>
        </is>
      </c>
      <c r="B2737" t="inlineStr">
        <is>
          <t>avverkningsanmälan</t>
        </is>
      </c>
      <c r="C2737" t="inlineStr">
        <is>
          <t>Föryngringsavverkning</t>
        </is>
      </c>
      <c r="D2737" s="1" t="n">
        <v>45923</v>
      </c>
      <c r="E2737" s="1" t="n">
        <v>46323</v>
      </c>
      <c r="F2737" t="inlineStr">
        <is>
          <t>KALMAR LÄN</t>
        </is>
      </c>
      <c r="G2737" t="inlineStr">
        <is>
          <t>HULTSFRED</t>
        </is>
      </c>
      <c r="I2737" t="n">
        <v>1.3</v>
      </c>
      <c r="J2737" t="n">
        <v>0</v>
      </c>
      <c r="K2737" t="n">
        <v>0</v>
      </c>
      <c r="L2737" t="n">
        <v>0</v>
      </c>
      <c r="M2737" t="n">
        <v>0</v>
      </c>
      <c r="N2737" t="n">
        <v>0</v>
      </c>
      <c r="O2737" t="n">
        <v>0</v>
      </c>
      <c r="P2737" t="n">
        <v>0</v>
      </c>
      <c r="Q2737" t="n">
        <v>0</v>
      </c>
      <c r="R2737" t="n">
        <v>0</v>
      </c>
      <c r="S2737" t="n">
        <v>0</v>
      </c>
      <c r="T2737" t="n">
        <v>0</v>
      </c>
      <c r="U2737" t="n">
        <v>0</v>
      </c>
      <c r="V2737" s="2" t="inlineStr"/>
    </row>
    <row r="2738" ht="15" customHeight="1">
      <c r="A2738" t="inlineStr">
        <is>
          <t>A 64143-2021</t>
        </is>
      </c>
      <c r="B2738" t="inlineStr">
        <is>
          <t>avverkningsanmälan</t>
        </is>
      </c>
      <c r="C2738" t="inlineStr">
        <is>
          <t>Föryngringsavverkning</t>
        </is>
      </c>
      <c r="D2738" s="1" t="n">
        <v>44510</v>
      </c>
      <c r="E2738" s="1" t="n">
        <v>46323</v>
      </c>
      <c r="F2738" t="inlineStr">
        <is>
          <t>KALMAR LÄN</t>
        </is>
      </c>
      <c r="G2738" t="inlineStr">
        <is>
          <t>VIMMERBY</t>
        </is>
      </c>
      <c r="I2738" t="n">
        <v>1.6</v>
      </c>
      <c r="J2738" t="n">
        <v>0</v>
      </c>
      <c r="K2738" t="n">
        <v>0</v>
      </c>
      <c r="L2738" t="n">
        <v>0</v>
      </c>
      <c r="M2738" t="n">
        <v>0</v>
      </c>
      <c r="N2738" t="n">
        <v>0</v>
      </c>
      <c r="O2738" t="n">
        <v>0</v>
      </c>
      <c r="P2738" t="n">
        <v>0</v>
      </c>
      <c r="Q2738" t="n">
        <v>0</v>
      </c>
      <c r="R2738" t="n">
        <v>0</v>
      </c>
      <c r="S2738" t="n">
        <v>0</v>
      </c>
      <c r="T2738" t="n">
        <v>0</v>
      </c>
      <c r="U2738" t="n">
        <v>0</v>
      </c>
      <c r="V2738" s="2" t="inlineStr"/>
    </row>
    <row r="2739" ht="15" customHeight="1">
      <c r="A2739" t="inlineStr">
        <is>
          <t>A 7637-2023</t>
        </is>
      </c>
      <c r="B2739" t="inlineStr">
        <is>
          <t>avverkningsanmälan</t>
        </is>
      </c>
      <c r="C2739" t="inlineStr">
        <is>
          <t>Föryngringsavverkning</t>
        </is>
      </c>
      <c r="D2739" s="1" t="n">
        <v>44972</v>
      </c>
      <c r="E2739" s="1" t="n">
        <v>46323</v>
      </c>
      <c r="F2739" t="inlineStr">
        <is>
          <t>KALMAR LÄN</t>
        </is>
      </c>
      <c r="G2739" t="inlineStr">
        <is>
          <t>MÖNSTERÅS</t>
        </is>
      </c>
      <c r="I2739" t="n">
        <v>2.3</v>
      </c>
      <c r="J2739" t="n">
        <v>0</v>
      </c>
      <c r="K2739" t="n">
        <v>0</v>
      </c>
      <c r="L2739" t="n">
        <v>0</v>
      </c>
      <c r="M2739" t="n">
        <v>0</v>
      </c>
      <c r="N2739" t="n">
        <v>0</v>
      </c>
      <c r="O2739" t="n">
        <v>0</v>
      </c>
      <c r="P2739" t="n">
        <v>0</v>
      </c>
      <c r="Q2739" t="n">
        <v>0</v>
      </c>
      <c r="R2739" t="n">
        <v>0</v>
      </c>
      <c r="S2739" t="n">
        <v>0</v>
      </c>
      <c r="T2739" t="n">
        <v>0</v>
      </c>
      <c r="U2739" t="n">
        <v>0</v>
      </c>
      <c r="V2739" s="2" t="inlineStr"/>
    </row>
    <row r="2740" ht="15" customHeight="1">
      <c r="A2740" t="inlineStr">
        <is>
          <t>A 28159-2023</t>
        </is>
      </c>
      <c r="B2740" t="inlineStr">
        <is>
          <t>avverkningsanmälan</t>
        </is>
      </c>
      <c r="C2740" t="inlineStr">
        <is>
          <t>Föryngringsavverkning</t>
        </is>
      </c>
      <c r="D2740" s="1" t="n">
        <v>45099</v>
      </c>
      <c r="E2740" s="1" t="n">
        <v>46323</v>
      </c>
      <c r="F2740" t="inlineStr">
        <is>
          <t>KALMAR LÄN</t>
        </is>
      </c>
      <c r="G2740" t="inlineStr">
        <is>
          <t>EMMABODA</t>
        </is>
      </c>
      <c r="I2740" t="n">
        <v>3</v>
      </c>
      <c r="J2740" t="n">
        <v>0</v>
      </c>
      <c r="K2740" t="n">
        <v>0</v>
      </c>
      <c r="L2740" t="n">
        <v>0</v>
      </c>
      <c r="M2740" t="n">
        <v>0</v>
      </c>
      <c r="N2740" t="n">
        <v>0</v>
      </c>
      <c r="O2740" t="n">
        <v>0</v>
      </c>
      <c r="P2740" t="n">
        <v>0</v>
      </c>
      <c r="Q2740" t="n">
        <v>0</v>
      </c>
      <c r="R2740" t="n">
        <v>0</v>
      </c>
      <c r="S2740" t="n">
        <v>0</v>
      </c>
      <c r="T2740" t="n">
        <v>0</v>
      </c>
      <c r="U2740" t="n">
        <v>0</v>
      </c>
      <c r="V2740" s="2" t="inlineStr"/>
    </row>
    <row r="2741" ht="15" customHeight="1">
      <c r="A2741" t="inlineStr">
        <is>
          <t>A 46032-2025</t>
        </is>
      </c>
      <c r="B2741" t="inlineStr">
        <is>
          <t>avverkningsanmälan</t>
        </is>
      </c>
      <c r="C2741" t="inlineStr">
        <is>
          <t>Föryngringsavverkning</t>
        </is>
      </c>
      <c r="D2741" s="1" t="n">
        <v>45924</v>
      </c>
      <c r="E2741" s="1" t="n">
        <v>46323</v>
      </c>
      <c r="F2741" t="inlineStr">
        <is>
          <t>KALMAR LÄN</t>
        </is>
      </c>
      <c r="G2741" t="inlineStr">
        <is>
          <t>HULTSFRED</t>
        </is>
      </c>
      <c r="I2741" t="n">
        <v>2.4</v>
      </c>
      <c r="J2741" t="n">
        <v>0</v>
      </c>
      <c r="K2741" t="n">
        <v>0</v>
      </c>
      <c r="L2741" t="n">
        <v>0</v>
      </c>
      <c r="M2741" t="n">
        <v>0</v>
      </c>
      <c r="N2741" t="n">
        <v>0</v>
      </c>
      <c r="O2741" t="n">
        <v>0</v>
      </c>
      <c r="P2741" t="n">
        <v>0</v>
      </c>
      <c r="Q2741" t="n">
        <v>0</v>
      </c>
      <c r="R2741" t="n">
        <v>0</v>
      </c>
      <c r="S2741" t="n">
        <v>0</v>
      </c>
      <c r="T2741" t="n">
        <v>0</v>
      </c>
      <c r="U2741" t="n">
        <v>0</v>
      </c>
      <c r="V2741" s="2" t="inlineStr"/>
    </row>
    <row r="2742" ht="15" customHeight="1">
      <c r="A2742" t="inlineStr">
        <is>
          <t>A 6574-2023</t>
        </is>
      </c>
      <c r="B2742" t="inlineStr">
        <is>
          <t>avverkningsanmälan</t>
        </is>
      </c>
      <c r="C2742" t="inlineStr">
        <is>
          <t>Föryngringsavverkning</t>
        </is>
      </c>
      <c r="D2742" s="1" t="n">
        <v>44966</v>
      </c>
      <c r="E2742" s="1" t="n">
        <v>46323</v>
      </c>
      <c r="F2742" t="inlineStr">
        <is>
          <t>KALMAR LÄN</t>
        </is>
      </c>
      <c r="G2742" t="inlineStr">
        <is>
          <t>VIMMERBY</t>
        </is>
      </c>
      <c r="I2742" t="n">
        <v>2.5</v>
      </c>
      <c r="J2742" t="n">
        <v>0</v>
      </c>
      <c r="K2742" t="n">
        <v>0</v>
      </c>
      <c r="L2742" t="n">
        <v>0</v>
      </c>
      <c r="M2742" t="n">
        <v>0</v>
      </c>
      <c r="N2742" t="n">
        <v>0</v>
      </c>
      <c r="O2742" t="n">
        <v>0</v>
      </c>
      <c r="P2742" t="n">
        <v>0</v>
      </c>
      <c r="Q2742" t="n">
        <v>0</v>
      </c>
      <c r="R2742" t="n">
        <v>0</v>
      </c>
      <c r="S2742" t="n">
        <v>0</v>
      </c>
      <c r="T2742" t="n">
        <v>0</v>
      </c>
      <c r="U2742" t="n">
        <v>0</v>
      </c>
      <c r="V2742" s="2" t="inlineStr"/>
    </row>
    <row r="2743" ht="15" customHeight="1">
      <c r="A2743" t="inlineStr">
        <is>
          <t>A 9720-2023</t>
        </is>
      </c>
      <c r="B2743" t="inlineStr">
        <is>
          <t>avverkningsanmälan</t>
        </is>
      </c>
      <c r="C2743" t="inlineStr">
        <is>
          <t>Föryngringsavverkning</t>
        </is>
      </c>
      <c r="D2743" s="1" t="n">
        <v>44984</v>
      </c>
      <c r="E2743" s="1" t="n">
        <v>46323</v>
      </c>
      <c r="F2743" t="inlineStr">
        <is>
          <t>KALMAR LÄN</t>
        </is>
      </c>
      <c r="G2743" t="inlineStr">
        <is>
          <t>VIMMERBY</t>
        </is>
      </c>
      <c r="I2743" t="n">
        <v>4.4</v>
      </c>
      <c r="J2743" t="n">
        <v>0</v>
      </c>
      <c r="K2743" t="n">
        <v>0</v>
      </c>
      <c r="L2743" t="n">
        <v>0</v>
      </c>
      <c r="M2743" t="n">
        <v>0</v>
      </c>
      <c r="N2743" t="n">
        <v>0</v>
      </c>
      <c r="O2743" t="n">
        <v>0</v>
      </c>
      <c r="P2743" t="n">
        <v>0</v>
      </c>
      <c r="Q2743" t="n">
        <v>0</v>
      </c>
      <c r="R2743" t="n">
        <v>0</v>
      </c>
      <c r="S2743" t="n">
        <v>0</v>
      </c>
      <c r="T2743" t="n">
        <v>0</v>
      </c>
      <c r="U2743" t="n">
        <v>0</v>
      </c>
      <c r="V2743" s="2" t="inlineStr"/>
    </row>
    <row r="2744" ht="15" customHeight="1">
      <c r="A2744" t="inlineStr">
        <is>
          <t>A 1987-2023</t>
        </is>
      </c>
      <c r="B2744" t="inlineStr">
        <is>
          <t>avverkningsanmälan</t>
        </is>
      </c>
      <c r="C2744" t="inlineStr">
        <is>
          <t>Föryngringsavverkning</t>
        </is>
      </c>
      <c r="D2744" s="1" t="n">
        <v>44939</v>
      </c>
      <c r="E2744" s="1" t="n">
        <v>46323</v>
      </c>
      <c r="F2744" t="inlineStr">
        <is>
          <t>KALMAR LÄN</t>
        </is>
      </c>
      <c r="G2744" t="inlineStr">
        <is>
          <t>KALMAR</t>
        </is>
      </c>
      <c r="I2744" t="n">
        <v>1.5</v>
      </c>
      <c r="J2744" t="n">
        <v>0</v>
      </c>
      <c r="K2744" t="n">
        <v>0</v>
      </c>
      <c r="L2744" t="n">
        <v>0</v>
      </c>
      <c r="M2744" t="n">
        <v>0</v>
      </c>
      <c r="N2744" t="n">
        <v>0</v>
      </c>
      <c r="O2744" t="n">
        <v>0</v>
      </c>
      <c r="P2744" t="n">
        <v>0</v>
      </c>
      <c r="Q2744" t="n">
        <v>0</v>
      </c>
      <c r="R2744" t="n">
        <v>0</v>
      </c>
      <c r="S2744" t="n">
        <v>0</v>
      </c>
      <c r="T2744" t="n">
        <v>0</v>
      </c>
      <c r="U2744" t="n">
        <v>0</v>
      </c>
      <c r="V2744" s="2" t="inlineStr"/>
    </row>
    <row r="2745" ht="15" customHeight="1">
      <c r="A2745" t="inlineStr">
        <is>
          <t>A 5938-2022</t>
        </is>
      </c>
      <c r="B2745" t="inlineStr">
        <is>
          <t>avverkningsanmälan</t>
        </is>
      </c>
      <c r="C2745" t="inlineStr">
        <is>
          <t>Föryngringsavverkning</t>
        </is>
      </c>
      <c r="D2745" s="1" t="n">
        <v>44598</v>
      </c>
      <c r="E2745" s="1" t="n">
        <v>46323</v>
      </c>
      <c r="F2745" t="inlineStr">
        <is>
          <t>KALMAR LÄN</t>
        </is>
      </c>
      <c r="G2745" t="inlineStr">
        <is>
          <t>VIMMERBY</t>
        </is>
      </c>
      <c r="I2745" t="n">
        <v>2.4</v>
      </c>
      <c r="J2745" t="n">
        <v>0</v>
      </c>
      <c r="K2745" t="n">
        <v>0</v>
      </c>
      <c r="L2745" t="n">
        <v>0</v>
      </c>
      <c r="M2745" t="n">
        <v>0</v>
      </c>
      <c r="N2745" t="n">
        <v>0</v>
      </c>
      <c r="O2745" t="n">
        <v>0</v>
      </c>
      <c r="P2745" t="n">
        <v>0</v>
      </c>
      <c r="Q2745" t="n">
        <v>0</v>
      </c>
      <c r="R2745" t="n">
        <v>0</v>
      </c>
      <c r="S2745" t="n">
        <v>0</v>
      </c>
      <c r="T2745" t="n">
        <v>0</v>
      </c>
      <c r="U2745" t="n">
        <v>0</v>
      </c>
      <c r="V2745" s="2" t="inlineStr"/>
    </row>
    <row r="2746" ht="15" customHeight="1">
      <c r="A2746" t="inlineStr">
        <is>
          <t>A 1568-2023</t>
        </is>
      </c>
      <c r="B2746" t="inlineStr">
        <is>
          <t>avverkningsanmälan</t>
        </is>
      </c>
      <c r="C2746" t="inlineStr">
        <is>
          <t>Föryngringsavverkning</t>
        </is>
      </c>
      <c r="D2746" s="1" t="n">
        <v>44937</v>
      </c>
      <c r="E2746" s="1" t="n">
        <v>46323</v>
      </c>
      <c r="F2746" t="inlineStr">
        <is>
          <t>KALMAR LÄN</t>
        </is>
      </c>
      <c r="G2746" t="inlineStr">
        <is>
          <t>VÄSTERVIK</t>
        </is>
      </c>
      <c r="I2746" t="n">
        <v>0.8</v>
      </c>
      <c r="J2746" t="n">
        <v>0</v>
      </c>
      <c r="K2746" t="n">
        <v>0</v>
      </c>
      <c r="L2746" t="n">
        <v>0</v>
      </c>
      <c r="M2746" t="n">
        <v>0</v>
      </c>
      <c r="N2746" t="n">
        <v>0</v>
      </c>
      <c r="O2746" t="n">
        <v>0</v>
      </c>
      <c r="P2746" t="n">
        <v>0</v>
      </c>
      <c r="Q2746" t="n">
        <v>0</v>
      </c>
      <c r="R2746" t="n">
        <v>0</v>
      </c>
      <c r="S2746" t="n">
        <v>0</v>
      </c>
      <c r="T2746" t="n">
        <v>0</v>
      </c>
      <c r="U2746" t="n">
        <v>0</v>
      </c>
      <c r="V2746" s="2" t="inlineStr"/>
    </row>
    <row r="2747" ht="15" customHeight="1">
      <c r="A2747" t="inlineStr">
        <is>
          <t>A 20398-2025</t>
        </is>
      </c>
      <c r="B2747" t="inlineStr">
        <is>
          <t>avverkningsanmälan</t>
        </is>
      </c>
      <c r="C2747" t="inlineStr">
        <is>
          <t>Föryngringsavverkning</t>
        </is>
      </c>
      <c r="D2747" s="1" t="n">
        <v>45775</v>
      </c>
      <c r="E2747" s="1" t="n">
        <v>46323</v>
      </c>
      <c r="F2747" t="inlineStr">
        <is>
          <t>KALMAR LÄN</t>
        </is>
      </c>
      <c r="G2747" t="inlineStr">
        <is>
          <t>HÖGSBY</t>
        </is>
      </c>
      <c r="I2747" t="n">
        <v>2.8</v>
      </c>
      <c r="J2747" t="n">
        <v>0</v>
      </c>
      <c r="K2747" t="n">
        <v>0</v>
      </c>
      <c r="L2747" t="n">
        <v>0</v>
      </c>
      <c r="M2747" t="n">
        <v>0</v>
      </c>
      <c r="N2747" t="n">
        <v>0</v>
      </c>
      <c r="O2747" t="n">
        <v>0</v>
      </c>
      <c r="P2747" t="n">
        <v>0</v>
      </c>
      <c r="Q2747" t="n">
        <v>0</v>
      </c>
      <c r="R2747" t="n">
        <v>0</v>
      </c>
      <c r="S2747" t="n">
        <v>0</v>
      </c>
      <c r="T2747" t="n">
        <v>0</v>
      </c>
      <c r="U2747" t="n">
        <v>0</v>
      </c>
      <c r="V2747" s="2" t="inlineStr"/>
    </row>
    <row r="2748" ht="15" customHeight="1">
      <c r="A2748" t="inlineStr">
        <is>
          <t>A 15493-2023</t>
        </is>
      </c>
      <c r="B2748" t="inlineStr">
        <is>
          <t>avverkningsanmälan</t>
        </is>
      </c>
      <c r="C2748" t="inlineStr">
        <is>
          <t>Föryngringsavverkning</t>
        </is>
      </c>
      <c r="D2748" s="1" t="n">
        <v>45018</v>
      </c>
      <c r="E2748" s="1" t="n">
        <v>46323</v>
      </c>
      <c r="F2748" t="inlineStr">
        <is>
          <t>KALMAR LÄN</t>
        </is>
      </c>
      <c r="G2748" t="inlineStr">
        <is>
          <t>VIMMERBY</t>
        </is>
      </c>
      <c r="I2748" t="n">
        <v>1</v>
      </c>
      <c r="J2748" t="n">
        <v>0</v>
      </c>
      <c r="K2748" t="n">
        <v>0</v>
      </c>
      <c r="L2748" t="n">
        <v>0</v>
      </c>
      <c r="M2748" t="n">
        <v>0</v>
      </c>
      <c r="N2748" t="n">
        <v>0</v>
      </c>
      <c r="O2748" t="n">
        <v>0</v>
      </c>
      <c r="P2748" t="n">
        <v>0</v>
      </c>
      <c r="Q2748" t="n">
        <v>0</v>
      </c>
      <c r="R2748" t="n">
        <v>0</v>
      </c>
      <c r="S2748" t="n">
        <v>0</v>
      </c>
      <c r="T2748" t="n">
        <v>0</v>
      </c>
      <c r="U2748" t="n">
        <v>0</v>
      </c>
      <c r="V2748" s="2" t="inlineStr"/>
    </row>
    <row r="2749" ht="15" customHeight="1">
      <c r="A2749" t="inlineStr">
        <is>
          <t>A 51881-2024</t>
        </is>
      </c>
      <c r="B2749" t="inlineStr">
        <is>
          <t>avverkningsanmälan</t>
        </is>
      </c>
      <c r="C2749" t="inlineStr">
        <is>
          <t>Föryngringsavverkning</t>
        </is>
      </c>
      <c r="D2749" s="1" t="n">
        <v>45607</v>
      </c>
      <c r="E2749" s="1" t="n">
        <v>46323</v>
      </c>
      <c r="F2749" t="inlineStr">
        <is>
          <t>KALMAR LÄN</t>
        </is>
      </c>
      <c r="G2749" t="inlineStr">
        <is>
          <t>VIMMERBY</t>
        </is>
      </c>
      <c r="I2749" t="n">
        <v>3.4</v>
      </c>
      <c r="J2749" t="n">
        <v>0</v>
      </c>
      <c r="K2749" t="n">
        <v>0</v>
      </c>
      <c r="L2749" t="n">
        <v>0</v>
      </c>
      <c r="M2749" t="n">
        <v>0</v>
      </c>
      <c r="N2749" t="n">
        <v>0</v>
      </c>
      <c r="O2749" t="n">
        <v>0</v>
      </c>
      <c r="P2749" t="n">
        <v>0</v>
      </c>
      <c r="Q2749" t="n">
        <v>0</v>
      </c>
      <c r="R2749" t="n">
        <v>0</v>
      </c>
      <c r="S2749" t="n">
        <v>0</v>
      </c>
      <c r="T2749" t="n">
        <v>0</v>
      </c>
      <c r="U2749" t="n">
        <v>0</v>
      </c>
      <c r="V2749" s="2" t="inlineStr"/>
    </row>
    <row r="2750" ht="15" customHeight="1">
      <c r="A2750" t="inlineStr">
        <is>
          <t>A 38123-2023</t>
        </is>
      </c>
      <c r="B2750" t="inlineStr">
        <is>
          <t>avverkningsanmälan</t>
        </is>
      </c>
      <c r="C2750" t="inlineStr">
        <is>
          <t>Föryngringsavverkning</t>
        </is>
      </c>
      <c r="D2750" s="1" t="n">
        <v>45161</v>
      </c>
      <c r="E2750" s="1" t="n">
        <v>46323</v>
      </c>
      <c r="F2750" t="inlineStr">
        <is>
          <t>KALMAR LÄN</t>
        </is>
      </c>
      <c r="G2750" t="inlineStr">
        <is>
          <t>EMMABODA</t>
        </is>
      </c>
      <c r="H2750" t="inlineStr">
        <is>
          <t>Kommuner</t>
        </is>
      </c>
      <c r="I2750" t="n">
        <v>2.6</v>
      </c>
      <c r="J2750" t="n">
        <v>0</v>
      </c>
      <c r="K2750" t="n">
        <v>0</v>
      </c>
      <c r="L2750" t="n">
        <v>0</v>
      </c>
      <c r="M2750" t="n">
        <v>0</v>
      </c>
      <c r="N2750" t="n">
        <v>0</v>
      </c>
      <c r="O2750" t="n">
        <v>0</v>
      </c>
      <c r="P2750" t="n">
        <v>0</v>
      </c>
      <c r="Q2750" t="n">
        <v>0</v>
      </c>
      <c r="R2750" t="n">
        <v>0</v>
      </c>
      <c r="S2750" t="n">
        <v>0</v>
      </c>
      <c r="T2750" t="n">
        <v>0</v>
      </c>
      <c r="U2750" t="n">
        <v>0</v>
      </c>
      <c r="V2750" s="2" t="inlineStr"/>
    </row>
    <row r="2751" ht="15" customHeight="1">
      <c r="A2751" t="inlineStr">
        <is>
          <t>A 1687-2023</t>
        </is>
      </c>
      <c r="B2751" t="inlineStr">
        <is>
          <t>avverkningsanmälan</t>
        </is>
      </c>
      <c r="C2751" t="inlineStr">
        <is>
          <t>Föryngringsavverkning</t>
        </is>
      </c>
      <c r="D2751" s="1" t="n">
        <v>44938</v>
      </c>
      <c r="E2751" s="1" t="n">
        <v>46323</v>
      </c>
      <c r="F2751" t="inlineStr">
        <is>
          <t>KALMAR LÄN</t>
        </is>
      </c>
      <c r="G2751" t="inlineStr">
        <is>
          <t>VIMMERBY</t>
        </is>
      </c>
      <c r="H2751" t="inlineStr">
        <is>
          <t>Kommuner</t>
        </is>
      </c>
      <c r="I2751" t="n">
        <v>2.5</v>
      </c>
      <c r="J2751" t="n">
        <v>0</v>
      </c>
      <c r="K2751" t="n">
        <v>0</v>
      </c>
      <c r="L2751" t="n">
        <v>0</v>
      </c>
      <c r="M2751" t="n">
        <v>0</v>
      </c>
      <c r="N2751" t="n">
        <v>0</v>
      </c>
      <c r="O2751" t="n">
        <v>0</v>
      </c>
      <c r="P2751" t="n">
        <v>0</v>
      </c>
      <c r="Q2751" t="n">
        <v>0</v>
      </c>
      <c r="R2751" t="n">
        <v>0</v>
      </c>
      <c r="S2751" t="n">
        <v>0</v>
      </c>
      <c r="T2751" t="n">
        <v>0</v>
      </c>
      <c r="U2751" t="n">
        <v>0</v>
      </c>
      <c r="V2751" s="2" t="inlineStr"/>
    </row>
    <row r="2752" ht="15" customHeight="1">
      <c r="A2752" t="inlineStr">
        <is>
          <t>A 6909-2022</t>
        </is>
      </c>
      <c r="B2752" t="inlineStr">
        <is>
          <t>avverkningsanmälan</t>
        </is>
      </c>
      <c r="C2752" t="inlineStr">
        <is>
          <t>Föryngringsavverkning</t>
        </is>
      </c>
      <c r="D2752" s="1" t="n">
        <v>44602</v>
      </c>
      <c r="E2752" s="1" t="n">
        <v>46323</v>
      </c>
      <c r="F2752" t="inlineStr">
        <is>
          <t>KALMAR LÄN</t>
        </is>
      </c>
      <c r="G2752" t="inlineStr">
        <is>
          <t>OSKARSHAMN</t>
        </is>
      </c>
      <c r="I2752" t="n">
        <v>1</v>
      </c>
      <c r="J2752" t="n">
        <v>0</v>
      </c>
      <c r="K2752" t="n">
        <v>0</v>
      </c>
      <c r="L2752" t="n">
        <v>0</v>
      </c>
      <c r="M2752" t="n">
        <v>0</v>
      </c>
      <c r="N2752" t="n">
        <v>0</v>
      </c>
      <c r="O2752" t="n">
        <v>0</v>
      </c>
      <c r="P2752" t="n">
        <v>0</v>
      </c>
      <c r="Q2752" t="n">
        <v>0</v>
      </c>
      <c r="R2752" t="n">
        <v>0</v>
      </c>
      <c r="S2752" t="n">
        <v>0</v>
      </c>
      <c r="T2752" t="n">
        <v>0</v>
      </c>
      <c r="U2752" t="n">
        <v>0</v>
      </c>
      <c r="V2752" s="2" t="inlineStr"/>
    </row>
    <row r="2753" ht="15" customHeight="1">
      <c r="A2753" t="inlineStr">
        <is>
          <t>A 56360-2022</t>
        </is>
      </c>
      <c r="B2753" t="inlineStr">
        <is>
          <t>avverkningsanmälan</t>
        </is>
      </c>
      <c r="C2753" t="inlineStr">
        <is>
          <t>Föryngringsavverkning</t>
        </is>
      </c>
      <c r="D2753" s="1" t="n">
        <v>44890</v>
      </c>
      <c r="E2753" s="1" t="n">
        <v>46323</v>
      </c>
      <c r="F2753" t="inlineStr">
        <is>
          <t>KALMAR LÄN</t>
        </is>
      </c>
      <c r="G2753" t="inlineStr">
        <is>
          <t>TORSÅS</t>
        </is>
      </c>
      <c r="I2753" t="n">
        <v>0.8</v>
      </c>
      <c r="J2753" t="n">
        <v>0</v>
      </c>
      <c r="K2753" t="n">
        <v>0</v>
      </c>
      <c r="L2753" t="n">
        <v>0</v>
      </c>
      <c r="M2753" t="n">
        <v>0</v>
      </c>
      <c r="N2753" t="n">
        <v>0</v>
      </c>
      <c r="O2753" t="n">
        <v>0</v>
      </c>
      <c r="P2753" t="n">
        <v>0</v>
      </c>
      <c r="Q2753" t="n">
        <v>0</v>
      </c>
      <c r="R2753" t="n">
        <v>0</v>
      </c>
      <c r="S2753" t="n">
        <v>0</v>
      </c>
      <c r="T2753" t="n">
        <v>0</v>
      </c>
      <c r="U2753" t="n">
        <v>0</v>
      </c>
      <c r="V2753" s="2" t="inlineStr"/>
    </row>
    <row r="2754" ht="15" customHeight="1">
      <c r="A2754" t="inlineStr">
        <is>
          <t>A 45911-2025</t>
        </is>
      </c>
      <c r="B2754" t="inlineStr">
        <is>
          <t>avverkningsanmälan</t>
        </is>
      </c>
      <c r="C2754" t="inlineStr">
        <is>
          <t>Föryngringsavverkning</t>
        </is>
      </c>
      <c r="D2754" s="1" t="n">
        <v>45923</v>
      </c>
      <c r="E2754" s="1" t="n">
        <v>46323</v>
      </c>
      <c r="F2754" t="inlineStr">
        <is>
          <t>KALMAR LÄN</t>
        </is>
      </c>
      <c r="G2754" t="inlineStr">
        <is>
          <t>NYBRO</t>
        </is>
      </c>
      <c r="I2754" t="n">
        <v>4.9</v>
      </c>
      <c r="J2754" t="n">
        <v>0</v>
      </c>
      <c r="K2754" t="n">
        <v>0</v>
      </c>
      <c r="L2754" t="n">
        <v>0</v>
      </c>
      <c r="M2754" t="n">
        <v>0</v>
      </c>
      <c r="N2754" t="n">
        <v>0</v>
      </c>
      <c r="O2754" t="n">
        <v>0</v>
      </c>
      <c r="P2754" t="n">
        <v>0</v>
      </c>
      <c r="Q2754" t="n">
        <v>0</v>
      </c>
      <c r="R2754" t="n">
        <v>0</v>
      </c>
      <c r="S2754" t="n">
        <v>0</v>
      </c>
      <c r="T2754" t="n">
        <v>0</v>
      </c>
      <c r="U2754" t="n">
        <v>0</v>
      </c>
      <c r="V2754" s="2" t="inlineStr"/>
    </row>
    <row r="2755" ht="15" customHeight="1">
      <c r="A2755" t="inlineStr">
        <is>
          <t>A 30182-2024</t>
        </is>
      </c>
      <c r="B2755" t="inlineStr">
        <is>
          <t>avverkningsanmälan</t>
        </is>
      </c>
      <c r="C2755" t="inlineStr">
        <is>
          <t>Föryngringsavverkning</t>
        </is>
      </c>
      <c r="D2755" s="1" t="n">
        <v>45489</v>
      </c>
      <c r="E2755" s="1" t="n">
        <v>46323</v>
      </c>
      <c r="F2755" t="inlineStr">
        <is>
          <t>KALMAR LÄN</t>
        </is>
      </c>
      <c r="G2755" t="inlineStr">
        <is>
          <t>OSKARSHAMN</t>
        </is>
      </c>
      <c r="I2755" t="n">
        <v>1.3</v>
      </c>
      <c r="J2755" t="n">
        <v>0</v>
      </c>
      <c r="K2755" t="n">
        <v>0</v>
      </c>
      <c r="L2755" t="n">
        <v>0</v>
      </c>
      <c r="M2755" t="n">
        <v>0</v>
      </c>
      <c r="N2755" t="n">
        <v>0</v>
      </c>
      <c r="O2755" t="n">
        <v>0</v>
      </c>
      <c r="P2755" t="n">
        <v>0</v>
      </c>
      <c r="Q2755" t="n">
        <v>0</v>
      </c>
      <c r="R2755" t="n">
        <v>0</v>
      </c>
      <c r="S2755" t="n">
        <v>0</v>
      </c>
      <c r="T2755" t="n">
        <v>0</v>
      </c>
      <c r="U2755" t="n">
        <v>0</v>
      </c>
      <c r="V2755" s="2" t="inlineStr"/>
    </row>
    <row r="2756" ht="15" customHeight="1">
      <c r="A2756" t="inlineStr">
        <is>
          <t>A 29440-2024</t>
        </is>
      </c>
      <c r="B2756" t="inlineStr">
        <is>
          <t>avverkningsanmälan</t>
        </is>
      </c>
      <c r="C2756" t="inlineStr">
        <is>
          <t>Föryngringsavverkning</t>
        </is>
      </c>
      <c r="D2756" s="1" t="n">
        <v>45483</v>
      </c>
      <c r="E2756" s="1" t="n">
        <v>46323</v>
      </c>
      <c r="F2756" t="inlineStr">
        <is>
          <t>KALMAR LÄN</t>
        </is>
      </c>
      <c r="G2756" t="inlineStr">
        <is>
          <t>VIMMERBY</t>
        </is>
      </c>
      <c r="I2756" t="n">
        <v>4.5</v>
      </c>
      <c r="J2756" t="n">
        <v>0</v>
      </c>
      <c r="K2756" t="n">
        <v>0</v>
      </c>
      <c r="L2756" t="n">
        <v>0</v>
      </c>
      <c r="M2756" t="n">
        <v>0</v>
      </c>
      <c r="N2756" t="n">
        <v>0</v>
      </c>
      <c r="O2756" t="n">
        <v>0</v>
      </c>
      <c r="P2756" t="n">
        <v>0</v>
      </c>
      <c r="Q2756" t="n">
        <v>0</v>
      </c>
      <c r="R2756" t="n">
        <v>0</v>
      </c>
      <c r="S2756" t="n">
        <v>0</v>
      </c>
      <c r="T2756" t="n">
        <v>0</v>
      </c>
      <c r="U2756" t="n">
        <v>0</v>
      </c>
      <c r="V2756" s="2" t="inlineStr"/>
    </row>
    <row r="2757" ht="15" customHeight="1">
      <c r="A2757" t="inlineStr">
        <is>
          <t>A 45869-2025</t>
        </is>
      </c>
      <c r="B2757" t="inlineStr">
        <is>
          <t>avverkningsanmälan</t>
        </is>
      </c>
      <c r="C2757" t="inlineStr">
        <is>
          <t>Föryngringsavverkning</t>
        </is>
      </c>
      <c r="D2757" s="1" t="n">
        <v>45923</v>
      </c>
      <c r="E2757" s="1" t="n">
        <v>46323</v>
      </c>
      <c r="F2757" t="inlineStr">
        <is>
          <t>KALMAR LÄN</t>
        </is>
      </c>
      <c r="G2757" t="inlineStr">
        <is>
          <t>BORGHOLM</t>
        </is>
      </c>
      <c r="I2757" t="n">
        <v>4.5</v>
      </c>
      <c r="J2757" t="n">
        <v>0</v>
      </c>
      <c r="K2757" t="n">
        <v>0</v>
      </c>
      <c r="L2757" t="n">
        <v>0</v>
      </c>
      <c r="M2757" t="n">
        <v>0</v>
      </c>
      <c r="N2757" t="n">
        <v>0</v>
      </c>
      <c r="O2757" t="n">
        <v>0</v>
      </c>
      <c r="P2757" t="n">
        <v>0</v>
      </c>
      <c r="Q2757" t="n">
        <v>0</v>
      </c>
      <c r="R2757" t="n">
        <v>0</v>
      </c>
      <c r="S2757" t="n">
        <v>0</v>
      </c>
      <c r="T2757" t="n">
        <v>0</v>
      </c>
      <c r="U2757" t="n">
        <v>0</v>
      </c>
      <c r="V2757" s="2" t="inlineStr"/>
    </row>
    <row r="2758" ht="15" customHeight="1">
      <c r="A2758" t="inlineStr">
        <is>
          <t>A 30921-2024</t>
        </is>
      </c>
      <c r="B2758" t="inlineStr">
        <is>
          <t>avverkningsanmälan</t>
        </is>
      </c>
      <c r="C2758" t="inlineStr">
        <is>
          <t>Föryngringsavverkning</t>
        </is>
      </c>
      <c r="D2758" s="1" t="n">
        <v>45498</v>
      </c>
      <c r="E2758" s="1" t="n">
        <v>46323</v>
      </c>
      <c r="F2758" t="inlineStr">
        <is>
          <t>KALMAR LÄN</t>
        </is>
      </c>
      <c r="G2758" t="inlineStr">
        <is>
          <t>VIMMERBY</t>
        </is>
      </c>
      <c r="I2758" t="n">
        <v>1.6</v>
      </c>
      <c r="J2758" t="n">
        <v>0</v>
      </c>
      <c r="K2758" t="n">
        <v>0</v>
      </c>
      <c r="L2758" t="n">
        <v>0</v>
      </c>
      <c r="M2758" t="n">
        <v>0</v>
      </c>
      <c r="N2758" t="n">
        <v>0</v>
      </c>
      <c r="O2758" t="n">
        <v>0</v>
      </c>
      <c r="P2758" t="n">
        <v>0</v>
      </c>
      <c r="Q2758" t="n">
        <v>0</v>
      </c>
      <c r="R2758" t="n">
        <v>0</v>
      </c>
      <c r="S2758" t="n">
        <v>0</v>
      </c>
      <c r="T2758" t="n">
        <v>0</v>
      </c>
      <c r="U2758" t="n">
        <v>0</v>
      </c>
      <c r="V2758" s="2" t="inlineStr"/>
    </row>
    <row r="2759" ht="15" customHeight="1">
      <c r="A2759" t="inlineStr">
        <is>
          <t>A 34646-2023</t>
        </is>
      </c>
      <c r="B2759" t="inlineStr">
        <is>
          <t>avverkningsanmälan</t>
        </is>
      </c>
      <c r="C2759" t="inlineStr">
        <is>
          <t>Föryngringsavverkning</t>
        </is>
      </c>
      <c r="D2759" s="1" t="n">
        <v>45140</v>
      </c>
      <c r="E2759" s="1" t="n">
        <v>46323</v>
      </c>
      <c r="F2759" t="inlineStr">
        <is>
          <t>KALMAR LÄN</t>
        </is>
      </c>
      <c r="G2759" t="inlineStr">
        <is>
          <t>VÄSTERVIK</t>
        </is>
      </c>
      <c r="I2759" t="n">
        <v>3.1</v>
      </c>
      <c r="J2759" t="n">
        <v>0</v>
      </c>
      <c r="K2759" t="n">
        <v>0</v>
      </c>
      <c r="L2759" t="n">
        <v>0</v>
      </c>
      <c r="M2759" t="n">
        <v>0</v>
      </c>
      <c r="N2759" t="n">
        <v>0</v>
      </c>
      <c r="O2759" t="n">
        <v>0</v>
      </c>
      <c r="P2759" t="n">
        <v>0</v>
      </c>
      <c r="Q2759" t="n">
        <v>0</v>
      </c>
      <c r="R2759" t="n">
        <v>0</v>
      </c>
      <c r="S2759" t="n">
        <v>0</v>
      </c>
      <c r="T2759" t="n">
        <v>0</v>
      </c>
      <c r="U2759" t="n">
        <v>0</v>
      </c>
      <c r="V2759" s="2" t="inlineStr"/>
    </row>
    <row r="2760" ht="15" customHeight="1">
      <c r="A2760" t="inlineStr">
        <is>
          <t>A 46092-2025</t>
        </is>
      </c>
      <c r="B2760" t="inlineStr">
        <is>
          <t>avverkningsanmälan</t>
        </is>
      </c>
      <c r="C2760" t="inlineStr">
        <is>
          <t>Föryngringsavverkning</t>
        </is>
      </c>
      <c r="D2760" s="1" t="n">
        <v>45924</v>
      </c>
      <c r="E2760" s="1" t="n">
        <v>46323</v>
      </c>
      <c r="F2760" t="inlineStr">
        <is>
          <t>KALMAR LÄN</t>
        </is>
      </c>
      <c r="G2760" t="inlineStr">
        <is>
          <t>KALMAR</t>
        </is>
      </c>
      <c r="I2760" t="n">
        <v>1.4</v>
      </c>
      <c r="J2760" t="n">
        <v>0</v>
      </c>
      <c r="K2760" t="n">
        <v>0</v>
      </c>
      <c r="L2760" t="n">
        <v>0</v>
      </c>
      <c r="M2760" t="n">
        <v>0</v>
      </c>
      <c r="N2760" t="n">
        <v>0</v>
      </c>
      <c r="O2760" t="n">
        <v>0</v>
      </c>
      <c r="P2760" t="n">
        <v>0</v>
      </c>
      <c r="Q2760" t="n">
        <v>0</v>
      </c>
      <c r="R2760" t="n">
        <v>0</v>
      </c>
      <c r="S2760" t="n">
        <v>0</v>
      </c>
      <c r="T2760" t="n">
        <v>0</v>
      </c>
      <c r="U2760" t="n">
        <v>0</v>
      </c>
      <c r="V2760" s="2" t="inlineStr"/>
    </row>
    <row r="2761" ht="15" customHeight="1">
      <c r="A2761" t="inlineStr">
        <is>
          <t>A 46098-2025</t>
        </is>
      </c>
      <c r="B2761" t="inlineStr">
        <is>
          <t>avverkningsanmälan</t>
        </is>
      </c>
      <c r="C2761" t="inlineStr">
        <is>
          <t>Föryngringsavverkning</t>
        </is>
      </c>
      <c r="D2761" s="1" t="n">
        <v>45924</v>
      </c>
      <c r="E2761" s="1" t="n">
        <v>46323</v>
      </c>
      <c r="F2761" t="inlineStr">
        <is>
          <t>KALMAR LÄN</t>
        </is>
      </c>
      <c r="G2761" t="inlineStr">
        <is>
          <t>TORSÅS</t>
        </is>
      </c>
      <c r="I2761" t="n">
        <v>3</v>
      </c>
      <c r="J2761" t="n">
        <v>0</v>
      </c>
      <c r="K2761" t="n">
        <v>0</v>
      </c>
      <c r="L2761" t="n">
        <v>0</v>
      </c>
      <c r="M2761" t="n">
        <v>0</v>
      </c>
      <c r="N2761" t="n">
        <v>0</v>
      </c>
      <c r="O2761" t="n">
        <v>0</v>
      </c>
      <c r="P2761" t="n">
        <v>0</v>
      </c>
      <c r="Q2761" t="n">
        <v>0</v>
      </c>
      <c r="R2761" t="n">
        <v>0</v>
      </c>
      <c r="S2761" t="n">
        <v>0</v>
      </c>
      <c r="T2761" t="n">
        <v>0</v>
      </c>
      <c r="U2761" t="n">
        <v>0</v>
      </c>
      <c r="V2761" s="2" t="inlineStr"/>
    </row>
    <row r="2762" ht="15" customHeight="1">
      <c r="A2762" t="inlineStr">
        <is>
          <t>A 54551-2022</t>
        </is>
      </c>
      <c r="B2762" t="inlineStr">
        <is>
          <t>avverkningsanmälan</t>
        </is>
      </c>
      <c r="C2762" t="inlineStr">
        <is>
          <t>Föryngringsavverkning</t>
        </is>
      </c>
      <c r="D2762" s="1" t="n">
        <v>44882</v>
      </c>
      <c r="E2762" s="1" t="n">
        <v>46323</v>
      </c>
      <c r="F2762" t="inlineStr">
        <is>
          <t>KALMAR LÄN</t>
        </is>
      </c>
      <c r="G2762" t="inlineStr">
        <is>
          <t>KALMAR</t>
        </is>
      </c>
      <c r="I2762" t="n">
        <v>0.5</v>
      </c>
      <c r="J2762" t="n">
        <v>0</v>
      </c>
      <c r="K2762" t="n">
        <v>0</v>
      </c>
      <c r="L2762" t="n">
        <v>0</v>
      </c>
      <c r="M2762" t="n">
        <v>0</v>
      </c>
      <c r="N2762" t="n">
        <v>0</v>
      </c>
      <c r="O2762" t="n">
        <v>0</v>
      </c>
      <c r="P2762" t="n">
        <v>0</v>
      </c>
      <c r="Q2762" t="n">
        <v>0</v>
      </c>
      <c r="R2762" t="n">
        <v>0</v>
      </c>
      <c r="S2762" t="n">
        <v>0</v>
      </c>
      <c r="T2762" t="n">
        <v>0</v>
      </c>
      <c r="U2762" t="n">
        <v>0</v>
      </c>
      <c r="V2762" s="2" t="inlineStr"/>
    </row>
    <row r="2763" ht="15" customHeight="1">
      <c r="A2763" t="inlineStr">
        <is>
          <t>A 53482-2022</t>
        </is>
      </c>
      <c r="B2763" t="inlineStr">
        <is>
          <t>avverkningsanmälan</t>
        </is>
      </c>
      <c r="C2763" t="inlineStr">
        <is>
          <t>Föryngringsavverkning</t>
        </is>
      </c>
      <c r="D2763" s="1" t="n">
        <v>44879</v>
      </c>
      <c r="E2763" s="1" t="n">
        <v>46323</v>
      </c>
      <c r="F2763" t="inlineStr">
        <is>
          <t>KALMAR LÄN</t>
        </is>
      </c>
      <c r="G2763" t="inlineStr">
        <is>
          <t>VIMMERBY</t>
        </is>
      </c>
      <c r="I2763" t="n">
        <v>10.1</v>
      </c>
      <c r="J2763" t="n">
        <v>0</v>
      </c>
      <c r="K2763" t="n">
        <v>0</v>
      </c>
      <c r="L2763" t="n">
        <v>0</v>
      </c>
      <c r="M2763" t="n">
        <v>0</v>
      </c>
      <c r="N2763" t="n">
        <v>0</v>
      </c>
      <c r="O2763" t="n">
        <v>0</v>
      </c>
      <c r="P2763" t="n">
        <v>0</v>
      </c>
      <c r="Q2763" t="n">
        <v>0</v>
      </c>
      <c r="R2763" t="n">
        <v>0</v>
      </c>
      <c r="S2763" t="n">
        <v>0</v>
      </c>
      <c r="T2763" t="n">
        <v>0</v>
      </c>
      <c r="U2763" t="n">
        <v>0</v>
      </c>
      <c r="V2763" s="2" t="inlineStr"/>
    </row>
    <row r="2764" ht="15" customHeight="1">
      <c r="A2764" t="inlineStr">
        <is>
          <t>A 58750-2022</t>
        </is>
      </c>
      <c r="B2764" t="inlineStr">
        <is>
          <t>avverkningsanmälan</t>
        </is>
      </c>
      <c r="C2764" t="inlineStr">
        <is>
          <t>Föryngringsavverkning</t>
        </is>
      </c>
      <c r="D2764" s="1" t="n">
        <v>44903</v>
      </c>
      <c r="E2764" s="1" t="n">
        <v>46323</v>
      </c>
      <c r="F2764" t="inlineStr">
        <is>
          <t>KALMAR LÄN</t>
        </is>
      </c>
      <c r="G2764" t="inlineStr">
        <is>
          <t>VIMMERBY</t>
        </is>
      </c>
      <c r="I2764" t="n">
        <v>3.3</v>
      </c>
      <c r="J2764" t="n">
        <v>0</v>
      </c>
      <c r="K2764" t="n">
        <v>0</v>
      </c>
      <c r="L2764" t="n">
        <v>0</v>
      </c>
      <c r="M2764" t="n">
        <v>0</v>
      </c>
      <c r="N2764" t="n">
        <v>0</v>
      </c>
      <c r="O2764" t="n">
        <v>0</v>
      </c>
      <c r="P2764" t="n">
        <v>0</v>
      </c>
      <c r="Q2764" t="n">
        <v>0</v>
      </c>
      <c r="R2764" t="n">
        <v>0</v>
      </c>
      <c r="S2764" t="n">
        <v>0</v>
      </c>
      <c r="T2764" t="n">
        <v>0</v>
      </c>
      <c r="U2764" t="n">
        <v>0</v>
      </c>
      <c r="V2764" s="2" t="inlineStr"/>
    </row>
    <row r="2765" ht="15" customHeight="1">
      <c r="A2765" t="inlineStr">
        <is>
          <t>A 50783-2023</t>
        </is>
      </c>
      <c r="B2765" t="inlineStr">
        <is>
          <t>avverkningsanmälan</t>
        </is>
      </c>
      <c r="C2765" t="inlineStr">
        <is>
          <t>Föryngringsavverkning</t>
        </is>
      </c>
      <c r="D2765" s="1" t="n">
        <v>45217</v>
      </c>
      <c r="E2765" s="1" t="n">
        <v>46323</v>
      </c>
      <c r="F2765" t="inlineStr">
        <is>
          <t>KALMAR LÄN</t>
        </is>
      </c>
      <c r="G2765" t="inlineStr">
        <is>
          <t>NYBRO</t>
        </is>
      </c>
      <c r="I2765" t="n">
        <v>0.5</v>
      </c>
      <c r="J2765" t="n">
        <v>0</v>
      </c>
      <c r="K2765" t="n">
        <v>0</v>
      </c>
      <c r="L2765" t="n">
        <v>0</v>
      </c>
      <c r="M2765" t="n">
        <v>0</v>
      </c>
      <c r="N2765" t="n">
        <v>0</v>
      </c>
      <c r="O2765" t="n">
        <v>0</v>
      </c>
      <c r="P2765" t="n">
        <v>0</v>
      </c>
      <c r="Q2765" t="n">
        <v>0</v>
      </c>
      <c r="R2765" t="n">
        <v>0</v>
      </c>
      <c r="S2765" t="n">
        <v>0</v>
      </c>
      <c r="T2765" t="n">
        <v>0</v>
      </c>
      <c r="U2765" t="n">
        <v>0</v>
      </c>
      <c r="V2765" s="2" t="inlineStr"/>
    </row>
    <row r="2766" ht="15" customHeight="1">
      <c r="A2766" t="inlineStr">
        <is>
          <t>A 18427-2025</t>
        </is>
      </c>
      <c r="B2766" t="inlineStr">
        <is>
          <t>avverkningsanmälan</t>
        </is>
      </c>
      <c r="C2766" t="inlineStr">
        <is>
          <t>Föryngringsavverkning</t>
        </is>
      </c>
      <c r="D2766" s="1" t="n">
        <v>45762</v>
      </c>
      <c r="E2766" s="1" t="n">
        <v>46323</v>
      </c>
      <c r="F2766" t="inlineStr">
        <is>
          <t>KALMAR LÄN</t>
        </is>
      </c>
      <c r="G2766" t="inlineStr">
        <is>
          <t>NYBRO</t>
        </is>
      </c>
      <c r="I2766" t="n">
        <v>3.6</v>
      </c>
      <c r="J2766" t="n">
        <v>0</v>
      </c>
      <c r="K2766" t="n">
        <v>0</v>
      </c>
      <c r="L2766" t="n">
        <v>0</v>
      </c>
      <c r="M2766" t="n">
        <v>0</v>
      </c>
      <c r="N2766" t="n">
        <v>0</v>
      </c>
      <c r="O2766" t="n">
        <v>0</v>
      </c>
      <c r="P2766" t="n">
        <v>0</v>
      </c>
      <c r="Q2766" t="n">
        <v>0</v>
      </c>
      <c r="R2766" t="n">
        <v>0</v>
      </c>
      <c r="S2766" t="n">
        <v>0</v>
      </c>
      <c r="T2766" t="n">
        <v>0</v>
      </c>
      <c r="U2766" t="n">
        <v>0</v>
      </c>
      <c r="V2766" s="2" t="inlineStr"/>
    </row>
    <row r="2767" ht="15" customHeight="1">
      <c r="A2767" t="inlineStr">
        <is>
          <t>A 1021-2024</t>
        </is>
      </c>
      <c r="B2767" t="inlineStr">
        <is>
          <t>avverkningsanmälan</t>
        </is>
      </c>
      <c r="C2767" t="inlineStr">
        <is>
          <t>Föryngringsavverkning</t>
        </is>
      </c>
      <c r="D2767" s="1" t="n">
        <v>45301</v>
      </c>
      <c r="E2767" s="1" t="n">
        <v>46323</v>
      </c>
      <c r="F2767" t="inlineStr">
        <is>
          <t>KALMAR LÄN</t>
        </is>
      </c>
      <c r="G2767" t="inlineStr">
        <is>
          <t>VIMMERBY</t>
        </is>
      </c>
      <c r="I2767" t="n">
        <v>1</v>
      </c>
      <c r="J2767" t="n">
        <v>0</v>
      </c>
      <c r="K2767" t="n">
        <v>0</v>
      </c>
      <c r="L2767" t="n">
        <v>0</v>
      </c>
      <c r="M2767" t="n">
        <v>0</v>
      </c>
      <c r="N2767" t="n">
        <v>0</v>
      </c>
      <c r="O2767" t="n">
        <v>0</v>
      </c>
      <c r="P2767" t="n">
        <v>0</v>
      </c>
      <c r="Q2767" t="n">
        <v>0</v>
      </c>
      <c r="R2767" t="n">
        <v>0</v>
      </c>
      <c r="S2767" t="n">
        <v>0</v>
      </c>
      <c r="T2767" t="n">
        <v>0</v>
      </c>
      <c r="U2767" t="n">
        <v>0</v>
      </c>
      <c r="V2767" s="2" t="inlineStr"/>
    </row>
    <row r="2768" ht="15" customHeight="1">
      <c r="A2768" t="inlineStr">
        <is>
          <t>A 16498-2024</t>
        </is>
      </c>
      <c r="B2768" t="inlineStr">
        <is>
          <t>avverkningsanmälan</t>
        </is>
      </c>
      <c r="C2768" t="inlineStr">
        <is>
          <t>Föryngringsavverkning</t>
        </is>
      </c>
      <c r="D2768" s="1" t="n">
        <v>45408</v>
      </c>
      <c r="E2768" s="1" t="n">
        <v>46323</v>
      </c>
      <c r="F2768" t="inlineStr">
        <is>
          <t>KALMAR LÄN</t>
        </is>
      </c>
      <c r="G2768" t="inlineStr">
        <is>
          <t>TORSÅS</t>
        </is>
      </c>
      <c r="I2768" t="n">
        <v>0.8</v>
      </c>
      <c r="J2768" t="n">
        <v>0</v>
      </c>
      <c r="K2768" t="n">
        <v>0</v>
      </c>
      <c r="L2768" t="n">
        <v>0</v>
      </c>
      <c r="M2768" t="n">
        <v>0</v>
      </c>
      <c r="N2768" t="n">
        <v>0</v>
      </c>
      <c r="O2768" t="n">
        <v>0</v>
      </c>
      <c r="P2768" t="n">
        <v>0</v>
      </c>
      <c r="Q2768" t="n">
        <v>0</v>
      </c>
      <c r="R2768" t="n">
        <v>0</v>
      </c>
      <c r="S2768" t="n">
        <v>0</v>
      </c>
      <c r="T2768" t="n">
        <v>0</v>
      </c>
      <c r="U2768" t="n">
        <v>0</v>
      </c>
      <c r="V2768" s="2" t="inlineStr"/>
    </row>
    <row r="2769" ht="15" customHeight="1">
      <c r="A2769" t="inlineStr">
        <is>
          <t>A 45691-2025</t>
        </is>
      </c>
      <c r="B2769" t="inlineStr">
        <is>
          <t>avverkningsanmälan</t>
        </is>
      </c>
      <c r="C2769" t="inlineStr">
        <is>
          <t>Föryngringsavverkning</t>
        </is>
      </c>
      <c r="D2769" s="1" t="n">
        <v>45923</v>
      </c>
      <c r="E2769" s="1" t="n">
        <v>46323</v>
      </c>
      <c r="F2769" t="inlineStr">
        <is>
          <t>KALMAR LÄN</t>
        </is>
      </c>
      <c r="G2769" t="inlineStr">
        <is>
          <t>KALMAR</t>
        </is>
      </c>
      <c r="I2769" t="n">
        <v>0.5</v>
      </c>
      <c r="J2769" t="n">
        <v>0</v>
      </c>
      <c r="K2769" t="n">
        <v>0</v>
      </c>
      <c r="L2769" t="n">
        <v>0</v>
      </c>
      <c r="M2769" t="n">
        <v>0</v>
      </c>
      <c r="N2769" t="n">
        <v>0</v>
      </c>
      <c r="O2769" t="n">
        <v>0</v>
      </c>
      <c r="P2769" t="n">
        <v>0</v>
      </c>
      <c r="Q2769" t="n">
        <v>0</v>
      </c>
      <c r="R2769" t="n">
        <v>0</v>
      </c>
      <c r="S2769" t="n">
        <v>0</v>
      </c>
      <c r="T2769" t="n">
        <v>0</v>
      </c>
      <c r="U2769" t="n">
        <v>0</v>
      </c>
      <c r="V2769" s="2" t="inlineStr"/>
    </row>
    <row r="2770" ht="15" customHeight="1">
      <c r="A2770" t="inlineStr">
        <is>
          <t>A 45727-2025</t>
        </is>
      </c>
      <c r="B2770" t="inlineStr">
        <is>
          <t>avverkningsanmälan</t>
        </is>
      </c>
      <c r="C2770" t="inlineStr">
        <is>
          <t>Föryngringsavverkning</t>
        </is>
      </c>
      <c r="D2770" s="1" t="n">
        <v>45923</v>
      </c>
      <c r="E2770" s="1" t="n">
        <v>46323</v>
      </c>
      <c r="F2770" t="inlineStr">
        <is>
          <t>KALMAR LÄN</t>
        </is>
      </c>
      <c r="G2770" t="inlineStr">
        <is>
          <t>HULTSFRED</t>
        </is>
      </c>
      <c r="I2770" t="n">
        <v>0.6</v>
      </c>
      <c r="J2770" t="n">
        <v>0</v>
      </c>
      <c r="K2770" t="n">
        <v>0</v>
      </c>
      <c r="L2770" t="n">
        <v>0</v>
      </c>
      <c r="M2770" t="n">
        <v>0</v>
      </c>
      <c r="N2770" t="n">
        <v>0</v>
      </c>
      <c r="O2770" t="n">
        <v>0</v>
      </c>
      <c r="P2770" t="n">
        <v>0</v>
      </c>
      <c r="Q2770" t="n">
        <v>0</v>
      </c>
      <c r="R2770" t="n">
        <v>0</v>
      </c>
      <c r="S2770" t="n">
        <v>0</v>
      </c>
      <c r="T2770" t="n">
        <v>0</v>
      </c>
      <c r="U2770" t="n">
        <v>0</v>
      </c>
      <c r="V2770" s="2" t="inlineStr"/>
    </row>
    <row r="2771" ht="15" customHeight="1">
      <c r="A2771" t="inlineStr">
        <is>
          <t>A 2857-2024</t>
        </is>
      </c>
      <c r="B2771" t="inlineStr">
        <is>
          <t>avverkningsanmälan</t>
        </is>
      </c>
      <c r="C2771" t="inlineStr">
        <is>
          <t>Föryngringsavverkning</t>
        </is>
      </c>
      <c r="D2771" s="1" t="n">
        <v>45315</v>
      </c>
      <c r="E2771" s="1" t="n">
        <v>46323</v>
      </c>
      <c r="F2771" t="inlineStr">
        <is>
          <t>KALMAR LÄN</t>
        </is>
      </c>
      <c r="G2771" t="inlineStr">
        <is>
          <t>HULTSFRED</t>
        </is>
      </c>
      <c r="I2771" t="n">
        <v>2.1</v>
      </c>
      <c r="J2771" t="n">
        <v>0</v>
      </c>
      <c r="K2771" t="n">
        <v>0</v>
      </c>
      <c r="L2771" t="n">
        <v>0</v>
      </c>
      <c r="M2771" t="n">
        <v>0</v>
      </c>
      <c r="N2771" t="n">
        <v>0</v>
      </c>
      <c r="O2771" t="n">
        <v>0</v>
      </c>
      <c r="P2771" t="n">
        <v>0</v>
      </c>
      <c r="Q2771" t="n">
        <v>0</v>
      </c>
      <c r="R2771" t="n">
        <v>0</v>
      </c>
      <c r="S2771" t="n">
        <v>0</v>
      </c>
      <c r="T2771" t="n">
        <v>0</v>
      </c>
      <c r="U2771" t="n">
        <v>0</v>
      </c>
      <c r="V2771" s="2" t="inlineStr"/>
    </row>
    <row r="2772" ht="15" customHeight="1">
      <c r="A2772" t="inlineStr">
        <is>
          <t>A 32569-2024</t>
        </is>
      </c>
      <c r="B2772" t="inlineStr">
        <is>
          <t>avverkningsanmälan</t>
        </is>
      </c>
      <c r="C2772" t="inlineStr">
        <is>
          <t>Föryngringsavverkning</t>
        </is>
      </c>
      <c r="D2772" s="1" t="n">
        <v>45513</v>
      </c>
      <c r="E2772" s="1" t="n">
        <v>46323</v>
      </c>
      <c r="F2772" t="inlineStr">
        <is>
          <t>KALMAR LÄN</t>
        </is>
      </c>
      <c r="G2772" t="inlineStr">
        <is>
          <t>VIMMERBY</t>
        </is>
      </c>
      <c r="I2772" t="n">
        <v>3.7</v>
      </c>
      <c r="J2772" t="n">
        <v>0</v>
      </c>
      <c r="K2772" t="n">
        <v>0</v>
      </c>
      <c r="L2772" t="n">
        <v>0</v>
      </c>
      <c r="M2772" t="n">
        <v>0</v>
      </c>
      <c r="N2772" t="n">
        <v>0</v>
      </c>
      <c r="O2772" t="n">
        <v>0</v>
      </c>
      <c r="P2772" t="n">
        <v>0</v>
      </c>
      <c r="Q2772" t="n">
        <v>0</v>
      </c>
      <c r="R2772" t="n">
        <v>0</v>
      </c>
      <c r="S2772" t="n">
        <v>0</v>
      </c>
      <c r="T2772" t="n">
        <v>0</v>
      </c>
      <c r="U2772" t="n">
        <v>0</v>
      </c>
      <c r="V2772" s="2" t="inlineStr"/>
    </row>
    <row r="2773" ht="15" customHeight="1">
      <c r="A2773" t="inlineStr">
        <is>
          <t>A 32575-2024</t>
        </is>
      </c>
      <c r="B2773" t="inlineStr">
        <is>
          <t>avverkningsanmälan</t>
        </is>
      </c>
      <c r="C2773" t="inlineStr">
        <is>
          <t>Föryngringsavverkning</t>
        </is>
      </c>
      <c r="D2773" s="1" t="n">
        <v>45513</v>
      </c>
      <c r="E2773" s="1" t="n">
        <v>46323</v>
      </c>
      <c r="F2773" t="inlineStr">
        <is>
          <t>KALMAR LÄN</t>
        </is>
      </c>
      <c r="G2773" t="inlineStr">
        <is>
          <t>VIMMERBY</t>
        </is>
      </c>
      <c r="I2773" t="n">
        <v>1.5</v>
      </c>
      <c r="J2773" t="n">
        <v>0</v>
      </c>
      <c r="K2773" t="n">
        <v>0</v>
      </c>
      <c r="L2773" t="n">
        <v>0</v>
      </c>
      <c r="M2773" t="n">
        <v>0</v>
      </c>
      <c r="N2773" t="n">
        <v>0</v>
      </c>
      <c r="O2773" t="n">
        <v>0</v>
      </c>
      <c r="P2773" t="n">
        <v>0</v>
      </c>
      <c r="Q2773" t="n">
        <v>0</v>
      </c>
      <c r="R2773" t="n">
        <v>0</v>
      </c>
      <c r="S2773" t="n">
        <v>0</v>
      </c>
      <c r="T2773" t="n">
        <v>0</v>
      </c>
      <c r="U2773" t="n">
        <v>0</v>
      </c>
      <c r="V2773" s="2" t="inlineStr"/>
    </row>
    <row r="2774" ht="15" customHeight="1">
      <c r="A2774" t="inlineStr">
        <is>
          <t>A 112-2023</t>
        </is>
      </c>
      <c r="B2774" t="inlineStr">
        <is>
          <t>avverkningsanmälan</t>
        </is>
      </c>
      <c r="C2774" t="inlineStr">
        <is>
          <t>Föryngringsavverkning</t>
        </is>
      </c>
      <c r="D2774" s="1" t="n">
        <v>44928</v>
      </c>
      <c r="E2774" s="1" t="n">
        <v>46323</v>
      </c>
      <c r="F2774" t="inlineStr">
        <is>
          <t>KALMAR LÄN</t>
        </is>
      </c>
      <c r="G2774" t="inlineStr">
        <is>
          <t>HULTSFRED</t>
        </is>
      </c>
      <c r="I2774" t="n">
        <v>0.8</v>
      </c>
      <c r="J2774" t="n">
        <v>0</v>
      </c>
      <c r="K2774" t="n">
        <v>0</v>
      </c>
      <c r="L2774" t="n">
        <v>0</v>
      </c>
      <c r="M2774" t="n">
        <v>0</v>
      </c>
      <c r="N2774" t="n">
        <v>0</v>
      </c>
      <c r="O2774" t="n">
        <v>0</v>
      </c>
      <c r="P2774" t="n">
        <v>0</v>
      </c>
      <c r="Q2774" t="n">
        <v>0</v>
      </c>
      <c r="R2774" t="n">
        <v>0</v>
      </c>
      <c r="S2774" t="n">
        <v>0</v>
      </c>
      <c r="T2774" t="n">
        <v>0</v>
      </c>
      <c r="U2774" t="n">
        <v>0</v>
      </c>
      <c r="V2774" s="2" t="inlineStr"/>
    </row>
    <row r="2775" ht="15" customHeight="1">
      <c r="A2775" t="inlineStr">
        <is>
          <t>A 46411-2025</t>
        </is>
      </c>
      <c r="B2775" t="inlineStr">
        <is>
          <t>avverkningsanmälan</t>
        </is>
      </c>
      <c r="C2775" t="inlineStr">
        <is>
          <t>Föryngringsavverkning</t>
        </is>
      </c>
      <c r="D2775" s="1" t="n">
        <v>45925</v>
      </c>
      <c r="E2775" s="1" t="n">
        <v>46323</v>
      </c>
      <c r="F2775" t="inlineStr">
        <is>
          <t>KALMAR LÄN</t>
        </is>
      </c>
      <c r="G2775" t="inlineStr">
        <is>
          <t>TORSÅS</t>
        </is>
      </c>
      <c r="I2775" t="n">
        <v>1.4</v>
      </c>
      <c r="J2775" t="n">
        <v>0</v>
      </c>
      <c r="K2775" t="n">
        <v>0</v>
      </c>
      <c r="L2775" t="n">
        <v>0</v>
      </c>
      <c r="M2775" t="n">
        <v>0</v>
      </c>
      <c r="N2775" t="n">
        <v>0</v>
      </c>
      <c r="O2775" t="n">
        <v>0</v>
      </c>
      <c r="P2775" t="n">
        <v>0</v>
      </c>
      <c r="Q2775" t="n">
        <v>0</v>
      </c>
      <c r="R2775" t="n">
        <v>0</v>
      </c>
      <c r="S2775" t="n">
        <v>0</v>
      </c>
      <c r="T2775" t="n">
        <v>0</v>
      </c>
      <c r="U2775" t="n">
        <v>0</v>
      </c>
      <c r="V2775" s="2" t="inlineStr"/>
    </row>
    <row r="2776" ht="15" customHeight="1">
      <c r="A2776" t="inlineStr">
        <is>
          <t>A 12407-2023</t>
        </is>
      </c>
      <c r="B2776" t="inlineStr">
        <is>
          <t>avverkningsanmälan</t>
        </is>
      </c>
      <c r="C2776" t="inlineStr">
        <is>
          <t>Föryngringsavverkning</t>
        </is>
      </c>
      <c r="D2776" s="1" t="n">
        <v>44999</v>
      </c>
      <c r="E2776" s="1" t="n">
        <v>46323</v>
      </c>
      <c r="F2776" t="inlineStr">
        <is>
          <t>KALMAR LÄN</t>
        </is>
      </c>
      <c r="G2776" t="inlineStr">
        <is>
          <t>NYBRO</t>
        </is>
      </c>
      <c r="I2776" t="n">
        <v>16.5</v>
      </c>
      <c r="J2776" t="n">
        <v>0</v>
      </c>
      <c r="K2776" t="n">
        <v>0</v>
      </c>
      <c r="L2776" t="n">
        <v>0</v>
      </c>
      <c r="M2776" t="n">
        <v>0</v>
      </c>
      <c r="N2776" t="n">
        <v>0</v>
      </c>
      <c r="O2776" t="n">
        <v>0</v>
      </c>
      <c r="P2776" t="n">
        <v>0</v>
      </c>
      <c r="Q2776" t="n">
        <v>0</v>
      </c>
      <c r="R2776" t="n">
        <v>0</v>
      </c>
      <c r="S2776" t="n">
        <v>0</v>
      </c>
      <c r="T2776" t="n">
        <v>0</v>
      </c>
      <c r="U2776" t="n">
        <v>0</v>
      </c>
      <c r="V2776" s="2" t="inlineStr"/>
    </row>
    <row r="2777" ht="15" customHeight="1">
      <c r="A2777" t="inlineStr">
        <is>
          <t>A 30063-2023</t>
        </is>
      </c>
      <c r="B2777" t="inlineStr">
        <is>
          <t>avverkningsanmälan</t>
        </is>
      </c>
      <c r="C2777" t="inlineStr">
        <is>
          <t>Föryngringsavverkning</t>
        </is>
      </c>
      <c r="D2777" s="1" t="n">
        <v>45110</v>
      </c>
      <c r="E2777" s="1" t="n">
        <v>46323</v>
      </c>
      <c r="F2777" t="inlineStr">
        <is>
          <t>KALMAR LÄN</t>
        </is>
      </c>
      <c r="G2777" t="inlineStr">
        <is>
          <t>VIMMERBY</t>
        </is>
      </c>
      <c r="I2777" t="n">
        <v>1.2</v>
      </c>
      <c r="J2777" t="n">
        <v>0</v>
      </c>
      <c r="K2777" t="n">
        <v>0</v>
      </c>
      <c r="L2777" t="n">
        <v>0</v>
      </c>
      <c r="M2777" t="n">
        <v>0</v>
      </c>
      <c r="N2777" t="n">
        <v>0</v>
      </c>
      <c r="O2777" t="n">
        <v>0</v>
      </c>
      <c r="P2777" t="n">
        <v>0</v>
      </c>
      <c r="Q2777" t="n">
        <v>0</v>
      </c>
      <c r="R2777" t="n">
        <v>0</v>
      </c>
      <c r="S2777" t="n">
        <v>0</v>
      </c>
      <c r="T2777" t="n">
        <v>0</v>
      </c>
      <c r="U2777" t="n">
        <v>0</v>
      </c>
      <c r="V2777" s="2" t="inlineStr"/>
    </row>
    <row r="2778" ht="15" customHeight="1">
      <c r="A2778" t="inlineStr">
        <is>
          <t>A 980-2025</t>
        </is>
      </c>
      <c r="B2778" t="inlineStr">
        <is>
          <t>avverkningsanmälan</t>
        </is>
      </c>
      <c r="C2778" t="inlineStr">
        <is>
          <t>Föryngringsavverkning</t>
        </is>
      </c>
      <c r="D2778" s="1" t="n">
        <v>45666</v>
      </c>
      <c r="E2778" s="1" t="n">
        <v>46323</v>
      </c>
      <c r="F2778" t="inlineStr">
        <is>
          <t>KALMAR LÄN</t>
        </is>
      </c>
      <c r="G2778" t="inlineStr">
        <is>
          <t>NYBRO</t>
        </is>
      </c>
      <c r="I2778" t="n">
        <v>2</v>
      </c>
      <c r="J2778" t="n">
        <v>0</v>
      </c>
      <c r="K2778" t="n">
        <v>0</v>
      </c>
      <c r="L2778" t="n">
        <v>0</v>
      </c>
      <c r="M2778" t="n">
        <v>0</v>
      </c>
      <c r="N2778" t="n">
        <v>0</v>
      </c>
      <c r="O2778" t="n">
        <v>0</v>
      </c>
      <c r="P2778" t="n">
        <v>0</v>
      </c>
      <c r="Q2778" t="n">
        <v>0</v>
      </c>
      <c r="R2778" t="n">
        <v>0</v>
      </c>
      <c r="S2778" t="n">
        <v>0</v>
      </c>
      <c r="T2778" t="n">
        <v>0</v>
      </c>
      <c r="U2778" t="n">
        <v>0</v>
      </c>
      <c r="V2778" s="2" t="inlineStr"/>
    </row>
    <row r="2779" ht="15" customHeight="1">
      <c r="A2779" t="inlineStr">
        <is>
          <t>A 17482-2024</t>
        </is>
      </c>
      <c r="B2779" t="inlineStr">
        <is>
          <t>avverkningsanmälan</t>
        </is>
      </c>
      <c r="C2779" t="inlineStr">
        <is>
          <t>Föryngringsavverkning</t>
        </is>
      </c>
      <c r="D2779" s="1" t="n">
        <v>45415</v>
      </c>
      <c r="E2779" s="1" t="n">
        <v>46323</v>
      </c>
      <c r="F2779" t="inlineStr">
        <is>
          <t>KALMAR LÄN</t>
        </is>
      </c>
      <c r="G2779" t="inlineStr">
        <is>
          <t>VIMMERBY</t>
        </is>
      </c>
      <c r="I2779" t="n">
        <v>1.7</v>
      </c>
      <c r="J2779" t="n">
        <v>0</v>
      </c>
      <c r="K2779" t="n">
        <v>0</v>
      </c>
      <c r="L2779" t="n">
        <v>0</v>
      </c>
      <c r="M2779" t="n">
        <v>0</v>
      </c>
      <c r="N2779" t="n">
        <v>0</v>
      </c>
      <c r="O2779" t="n">
        <v>0</v>
      </c>
      <c r="P2779" t="n">
        <v>0</v>
      </c>
      <c r="Q2779" t="n">
        <v>0</v>
      </c>
      <c r="R2779" t="n">
        <v>0</v>
      </c>
      <c r="S2779" t="n">
        <v>0</v>
      </c>
      <c r="T2779" t="n">
        <v>0</v>
      </c>
      <c r="U2779" t="n">
        <v>0</v>
      </c>
      <c r="V2779" s="2" t="inlineStr"/>
    </row>
    <row r="2780" ht="15" customHeight="1">
      <c r="A2780" t="inlineStr">
        <is>
          <t>A 56522-2022</t>
        </is>
      </c>
      <c r="B2780" t="inlineStr">
        <is>
          <t>avverkningsanmälan</t>
        </is>
      </c>
      <c r="C2780" t="inlineStr">
        <is>
          <t>Föryngringsavverkning</t>
        </is>
      </c>
      <c r="D2780" s="1" t="n">
        <v>44893</v>
      </c>
      <c r="E2780" s="1" t="n">
        <v>46323</v>
      </c>
      <c r="F2780" t="inlineStr">
        <is>
          <t>KALMAR LÄN</t>
        </is>
      </c>
      <c r="G2780" t="inlineStr">
        <is>
          <t>TORSÅS</t>
        </is>
      </c>
      <c r="I2780" t="n">
        <v>3.3</v>
      </c>
      <c r="J2780" t="n">
        <v>0</v>
      </c>
      <c r="K2780" t="n">
        <v>0</v>
      </c>
      <c r="L2780" t="n">
        <v>0</v>
      </c>
      <c r="M2780" t="n">
        <v>0</v>
      </c>
      <c r="N2780" t="n">
        <v>0</v>
      </c>
      <c r="O2780" t="n">
        <v>0</v>
      </c>
      <c r="P2780" t="n">
        <v>0</v>
      </c>
      <c r="Q2780" t="n">
        <v>0</v>
      </c>
      <c r="R2780" t="n">
        <v>0</v>
      </c>
      <c r="S2780" t="n">
        <v>0</v>
      </c>
      <c r="T2780" t="n">
        <v>0</v>
      </c>
      <c r="U2780" t="n">
        <v>0</v>
      </c>
      <c r="V2780" s="2" t="inlineStr"/>
    </row>
    <row r="2781" ht="15" customHeight="1">
      <c r="A2781" t="inlineStr">
        <is>
          <t>A 66662-2021</t>
        </is>
      </c>
      <c r="B2781" t="inlineStr">
        <is>
          <t>avverkningsanmälan</t>
        </is>
      </c>
      <c r="C2781" t="inlineStr">
        <is>
          <t>Föryngringsavverkning</t>
        </is>
      </c>
      <c r="D2781" s="1" t="n">
        <v>44519</v>
      </c>
      <c r="E2781" s="1" t="n">
        <v>46323</v>
      </c>
      <c r="F2781" t="inlineStr">
        <is>
          <t>KALMAR LÄN</t>
        </is>
      </c>
      <c r="G2781" t="inlineStr">
        <is>
          <t>EMMABODA</t>
        </is>
      </c>
      <c r="I2781" t="n">
        <v>2.6</v>
      </c>
      <c r="J2781" t="n">
        <v>0</v>
      </c>
      <c r="K2781" t="n">
        <v>0</v>
      </c>
      <c r="L2781" t="n">
        <v>0</v>
      </c>
      <c r="M2781" t="n">
        <v>0</v>
      </c>
      <c r="N2781" t="n">
        <v>0</v>
      </c>
      <c r="O2781" t="n">
        <v>0</v>
      </c>
      <c r="P2781" t="n">
        <v>0</v>
      </c>
      <c r="Q2781" t="n">
        <v>0</v>
      </c>
      <c r="R2781" t="n">
        <v>0</v>
      </c>
      <c r="S2781" t="n">
        <v>0</v>
      </c>
      <c r="T2781" t="n">
        <v>0</v>
      </c>
      <c r="U2781" t="n">
        <v>0</v>
      </c>
      <c r="V2781" s="2" t="inlineStr"/>
    </row>
    <row r="2782" ht="15" customHeight="1">
      <c r="A2782" t="inlineStr">
        <is>
          <t>A 44046-2023</t>
        </is>
      </c>
      <c r="B2782" t="inlineStr">
        <is>
          <t>avverkningsanmälan</t>
        </is>
      </c>
      <c r="C2782" t="inlineStr">
        <is>
          <t>Föryngringsavverkning</t>
        </is>
      </c>
      <c r="D2782" s="1" t="n">
        <v>45188</v>
      </c>
      <c r="E2782" s="1" t="n">
        <v>46323</v>
      </c>
      <c r="F2782" t="inlineStr">
        <is>
          <t>KALMAR LÄN</t>
        </is>
      </c>
      <c r="G2782" t="inlineStr">
        <is>
          <t>KALMAR</t>
        </is>
      </c>
      <c r="I2782" t="n">
        <v>1.8</v>
      </c>
      <c r="J2782" t="n">
        <v>0</v>
      </c>
      <c r="K2782" t="n">
        <v>0</v>
      </c>
      <c r="L2782" t="n">
        <v>0</v>
      </c>
      <c r="M2782" t="n">
        <v>0</v>
      </c>
      <c r="N2782" t="n">
        <v>0</v>
      </c>
      <c r="O2782" t="n">
        <v>0</v>
      </c>
      <c r="P2782" t="n">
        <v>0</v>
      </c>
      <c r="Q2782" t="n">
        <v>0</v>
      </c>
      <c r="R2782" t="n">
        <v>0</v>
      </c>
      <c r="S2782" t="n">
        <v>0</v>
      </c>
      <c r="T2782" t="n">
        <v>0</v>
      </c>
      <c r="U2782" t="n">
        <v>0</v>
      </c>
      <c r="V2782" s="2" t="inlineStr"/>
    </row>
    <row r="2783" ht="15" customHeight="1">
      <c r="A2783" t="inlineStr">
        <is>
          <t>A 18099-2023</t>
        </is>
      </c>
      <c r="B2783" t="inlineStr">
        <is>
          <t>avverkningsanmälan</t>
        </is>
      </c>
      <c r="C2783" t="inlineStr">
        <is>
          <t>Föryngringsavverkning</t>
        </is>
      </c>
      <c r="D2783" s="1" t="n">
        <v>45040</v>
      </c>
      <c r="E2783" s="1" t="n">
        <v>46323</v>
      </c>
      <c r="F2783" t="inlineStr">
        <is>
          <t>KALMAR LÄN</t>
        </is>
      </c>
      <c r="G2783" t="inlineStr">
        <is>
          <t>HÖGSBY</t>
        </is>
      </c>
      <c r="I2783" t="n">
        <v>0.7</v>
      </c>
      <c r="J2783" t="n">
        <v>0</v>
      </c>
      <c r="K2783" t="n">
        <v>0</v>
      </c>
      <c r="L2783" t="n">
        <v>0</v>
      </c>
      <c r="M2783" t="n">
        <v>0</v>
      </c>
      <c r="N2783" t="n">
        <v>0</v>
      </c>
      <c r="O2783" t="n">
        <v>0</v>
      </c>
      <c r="P2783" t="n">
        <v>0</v>
      </c>
      <c r="Q2783" t="n">
        <v>0</v>
      </c>
      <c r="R2783" t="n">
        <v>0</v>
      </c>
      <c r="S2783" t="n">
        <v>0</v>
      </c>
      <c r="T2783" t="n">
        <v>0</v>
      </c>
      <c r="U2783" t="n">
        <v>0</v>
      </c>
      <c r="V2783" s="2" t="inlineStr"/>
    </row>
    <row r="2784" ht="15" customHeight="1">
      <c r="A2784" t="inlineStr">
        <is>
          <t>A 42655-2023</t>
        </is>
      </c>
      <c r="B2784" t="inlineStr">
        <is>
          <t>avverkningsanmälan</t>
        </is>
      </c>
      <c r="C2784" t="inlineStr">
        <is>
          <t>Föryngringsavverkning</t>
        </is>
      </c>
      <c r="D2784" s="1" t="n">
        <v>45181</v>
      </c>
      <c r="E2784" s="1" t="n">
        <v>46323</v>
      </c>
      <c r="F2784" t="inlineStr">
        <is>
          <t>KALMAR LÄN</t>
        </is>
      </c>
      <c r="G2784" t="inlineStr">
        <is>
          <t>KALMAR</t>
        </is>
      </c>
      <c r="I2784" t="n">
        <v>5</v>
      </c>
      <c r="J2784" t="n">
        <v>0</v>
      </c>
      <c r="K2784" t="n">
        <v>0</v>
      </c>
      <c r="L2784" t="n">
        <v>0</v>
      </c>
      <c r="M2784" t="n">
        <v>0</v>
      </c>
      <c r="N2784" t="n">
        <v>0</v>
      </c>
      <c r="O2784" t="n">
        <v>0</v>
      </c>
      <c r="P2784" t="n">
        <v>0</v>
      </c>
      <c r="Q2784" t="n">
        <v>0</v>
      </c>
      <c r="R2784" t="n">
        <v>0</v>
      </c>
      <c r="S2784" t="n">
        <v>0</v>
      </c>
      <c r="T2784" t="n">
        <v>0</v>
      </c>
      <c r="U2784" t="n">
        <v>0</v>
      </c>
      <c r="V2784" s="2" t="inlineStr"/>
    </row>
    <row r="2785" ht="15" customHeight="1">
      <c r="A2785" t="inlineStr">
        <is>
          <t>A 42711-2023</t>
        </is>
      </c>
      <c r="B2785" t="inlineStr">
        <is>
          <t>avverkningsanmälan</t>
        </is>
      </c>
      <c r="C2785" t="inlineStr">
        <is>
          <t>Föryngringsavverkning</t>
        </is>
      </c>
      <c r="D2785" s="1" t="n">
        <v>45181</v>
      </c>
      <c r="E2785" s="1" t="n">
        <v>46323</v>
      </c>
      <c r="F2785" t="inlineStr">
        <is>
          <t>KALMAR LÄN</t>
        </is>
      </c>
      <c r="G2785" t="inlineStr">
        <is>
          <t>NYBRO</t>
        </is>
      </c>
      <c r="I2785" t="n">
        <v>1.9</v>
      </c>
      <c r="J2785" t="n">
        <v>0</v>
      </c>
      <c r="K2785" t="n">
        <v>0</v>
      </c>
      <c r="L2785" t="n">
        <v>0</v>
      </c>
      <c r="M2785" t="n">
        <v>0</v>
      </c>
      <c r="N2785" t="n">
        <v>0</v>
      </c>
      <c r="O2785" t="n">
        <v>0</v>
      </c>
      <c r="P2785" t="n">
        <v>0</v>
      </c>
      <c r="Q2785" t="n">
        <v>0</v>
      </c>
      <c r="R2785" t="n">
        <v>0</v>
      </c>
      <c r="S2785" t="n">
        <v>0</v>
      </c>
      <c r="T2785" t="n">
        <v>0</v>
      </c>
      <c r="U2785" t="n">
        <v>0</v>
      </c>
      <c r="V2785" s="2" t="inlineStr"/>
    </row>
    <row r="2786" ht="15" customHeight="1">
      <c r="A2786" t="inlineStr">
        <is>
          <t>A 27947-2024</t>
        </is>
      </c>
      <c r="B2786" t="inlineStr">
        <is>
          <t>avverkningsanmälan</t>
        </is>
      </c>
      <c r="C2786" t="inlineStr">
        <is>
          <t>Föryngringsavverkning</t>
        </is>
      </c>
      <c r="D2786" s="1" t="n">
        <v>45476</v>
      </c>
      <c r="E2786" s="1" t="n">
        <v>46323</v>
      </c>
      <c r="F2786" t="inlineStr">
        <is>
          <t>KALMAR LÄN</t>
        </is>
      </c>
      <c r="G2786" t="inlineStr">
        <is>
          <t>KALMAR</t>
        </is>
      </c>
      <c r="I2786" t="n">
        <v>1.5</v>
      </c>
      <c r="J2786" t="n">
        <v>0</v>
      </c>
      <c r="K2786" t="n">
        <v>0</v>
      </c>
      <c r="L2786" t="n">
        <v>0</v>
      </c>
      <c r="M2786" t="n">
        <v>0</v>
      </c>
      <c r="N2786" t="n">
        <v>0</v>
      </c>
      <c r="O2786" t="n">
        <v>0</v>
      </c>
      <c r="P2786" t="n">
        <v>0</v>
      </c>
      <c r="Q2786" t="n">
        <v>0</v>
      </c>
      <c r="R2786" t="n">
        <v>0</v>
      </c>
      <c r="S2786" t="n">
        <v>0</v>
      </c>
      <c r="T2786" t="n">
        <v>0</v>
      </c>
      <c r="U2786" t="n">
        <v>0</v>
      </c>
      <c r="V2786" s="2" t="inlineStr"/>
    </row>
    <row r="2787" ht="15" customHeight="1">
      <c r="A2787" t="inlineStr">
        <is>
          <t>A 58707-2022</t>
        </is>
      </c>
      <c r="B2787" t="inlineStr">
        <is>
          <t>avverkningsanmälan</t>
        </is>
      </c>
      <c r="C2787" t="inlineStr">
        <is>
          <t>Föryngringsavverkning</t>
        </is>
      </c>
      <c r="D2787" s="1" t="n">
        <v>44902</v>
      </c>
      <c r="E2787" s="1" t="n">
        <v>46323</v>
      </c>
      <c r="F2787" t="inlineStr">
        <is>
          <t>KALMAR LÄN</t>
        </is>
      </c>
      <c r="G2787" t="inlineStr">
        <is>
          <t>VÄSTERVIK</t>
        </is>
      </c>
      <c r="I2787" t="n">
        <v>2.3</v>
      </c>
      <c r="J2787" t="n">
        <v>0</v>
      </c>
      <c r="K2787" t="n">
        <v>0</v>
      </c>
      <c r="L2787" t="n">
        <v>0</v>
      </c>
      <c r="M2787" t="n">
        <v>0</v>
      </c>
      <c r="N2787" t="n">
        <v>0</v>
      </c>
      <c r="O2787" t="n">
        <v>0</v>
      </c>
      <c r="P2787" t="n">
        <v>0</v>
      </c>
      <c r="Q2787" t="n">
        <v>0</v>
      </c>
      <c r="R2787" t="n">
        <v>0</v>
      </c>
      <c r="S2787" t="n">
        <v>0</v>
      </c>
      <c r="T2787" t="n">
        <v>0</v>
      </c>
      <c r="U2787" t="n">
        <v>0</v>
      </c>
      <c r="V2787" s="2" t="inlineStr"/>
    </row>
    <row r="2788" ht="15" customHeight="1">
      <c r="A2788" t="inlineStr">
        <is>
          <t>A 46626-2024</t>
        </is>
      </c>
      <c r="B2788" t="inlineStr">
        <is>
          <t>avverkningsanmälan</t>
        </is>
      </c>
      <c r="C2788" t="inlineStr">
        <is>
          <t>Föryngringsavverkning</t>
        </is>
      </c>
      <c r="D2788" s="1" t="n">
        <v>45583</v>
      </c>
      <c r="E2788" s="1" t="n">
        <v>46323</v>
      </c>
      <c r="F2788" t="inlineStr">
        <is>
          <t>KALMAR LÄN</t>
        </is>
      </c>
      <c r="G2788" t="inlineStr">
        <is>
          <t>TORSÅS</t>
        </is>
      </c>
      <c r="I2788" t="n">
        <v>1.3</v>
      </c>
      <c r="J2788" t="n">
        <v>0</v>
      </c>
      <c r="K2788" t="n">
        <v>0</v>
      </c>
      <c r="L2788" t="n">
        <v>0</v>
      </c>
      <c r="M2788" t="n">
        <v>0</v>
      </c>
      <c r="N2788" t="n">
        <v>0</v>
      </c>
      <c r="O2788" t="n">
        <v>0</v>
      </c>
      <c r="P2788" t="n">
        <v>0</v>
      </c>
      <c r="Q2788" t="n">
        <v>0</v>
      </c>
      <c r="R2788" t="n">
        <v>0</v>
      </c>
      <c r="S2788" t="n">
        <v>0</v>
      </c>
      <c r="T2788" t="n">
        <v>0</v>
      </c>
      <c r="U2788" t="n">
        <v>0</v>
      </c>
      <c r="V2788" s="2" t="inlineStr"/>
    </row>
    <row r="2789" ht="15" customHeight="1">
      <c r="A2789" t="inlineStr">
        <is>
          <t>A 52382-2022</t>
        </is>
      </c>
      <c r="B2789" t="inlineStr">
        <is>
          <t>avverkningsanmälan</t>
        </is>
      </c>
      <c r="C2789" t="inlineStr">
        <is>
          <t>Föryngringsavverkning</t>
        </is>
      </c>
      <c r="D2789" s="1" t="n">
        <v>44874</v>
      </c>
      <c r="E2789" s="1" t="n">
        <v>46323</v>
      </c>
      <c r="F2789" t="inlineStr">
        <is>
          <t>KALMAR LÄN</t>
        </is>
      </c>
      <c r="G2789" t="inlineStr">
        <is>
          <t>NYBRO</t>
        </is>
      </c>
      <c r="I2789" t="n">
        <v>2.6</v>
      </c>
      <c r="J2789" t="n">
        <v>0</v>
      </c>
      <c r="K2789" t="n">
        <v>0</v>
      </c>
      <c r="L2789" t="n">
        <v>0</v>
      </c>
      <c r="M2789" t="n">
        <v>0</v>
      </c>
      <c r="N2789" t="n">
        <v>0</v>
      </c>
      <c r="O2789" t="n">
        <v>0</v>
      </c>
      <c r="P2789" t="n">
        <v>0</v>
      </c>
      <c r="Q2789" t="n">
        <v>0</v>
      </c>
      <c r="R2789" t="n">
        <v>0</v>
      </c>
      <c r="S2789" t="n">
        <v>0</v>
      </c>
      <c r="T2789" t="n">
        <v>0</v>
      </c>
      <c r="U2789" t="n">
        <v>0</v>
      </c>
      <c r="V2789" s="2" t="inlineStr"/>
    </row>
    <row r="2790" ht="15" customHeight="1">
      <c r="A2790" t="inlineStr">
        <is>
          <t>A 4944-2022</t>
        </is>
      </c>
      <c r="B2790" t="inlineStr">
        <is>
          <t>avverkningsanmälan</t>
        </is>
      </c>
      <c r="C2790" t="inlineStr">
        <is>
          <t>Föryngringsavverkning</t>
        </is>
      </c>
      <c r="D2790" s="1" t="n">
        <v>44593</v>
      </c>
      <c r="E2790" s="1" t="n">
        <v>46323</v>
      </c>
      <c r="F2790" t="inlineStr">
        <is>
          <t>KALMAR LÄN</t>
        </is>
      </c>
      <c r="G2790" t="inlineStr">
        <is>
          <t>HULTSFRED</t>
        </is>
      </c>
      <c r="I2790" t="n">
        <v>2.9</v>
      </c>
      <c r="J2790" t="n">
        <v>0</v>
      </c>
      <c r="K2790" t="n">
        <v>0</v>
      </c>
      <c r="L2790" t="n">
        <v>0</v>
      </c>
      <c r="M2790" t="n">
        <v>0</v>
      </c>
      <c r="N2790" t="n">
        <v>0</v>
      </c>
      <c r="O2790" t="n">
        <v>0</v>
      </c>
      <c r="P2790" t="n">
        <v>0</v>
      </c>
      <c r="Q2790" t="n">
        <v>0</v>
      </c>
      <c r="R2790" t="n">
        <v>0</v>
      </c>
      <c r="S2790" t="n">
        <v>0</v>
      </c>
      <c r="T2790" t="n">
        <v>0</v>
      </c>
      <c r="U2790" t="n">
        <v>0</v>
      </c>
      <c r="V2790" s="2" t="inlineStr"/>
    </row>
    <row r="2791" ht="15" customHeight="1">
      <c r="A2791" t="inlineStr">
        <is>
          <t>A 5018-2022</t>
        </is>
      </c>
      <c r="B2791" t="inlineStr">
        <is>
          <t>avverkningsanmälan</t>
        </is>
      </c>
      <c r="C2791" t="inlineStr">
        <is>
          <t>Föryngringsavverkning</t>
        </is>
      </c>
      <c r="D2791" s="1" t="n">
        <v>44593</v>
      </c>
      <c r="E2791" s="1" t="n">
        <v>46323</v>
      </c>
      <c r="F2791" t="inlineStr">
        <is>
          <t>KALMAR LÄN</t>
        </is>
      </c>
      <c r="G2791" t="inlineStr">
        <is>
          <t>EMMABODA</t>
        </is>
      </c>
      <c r="I2791" t="n">
        <v>2.3</v>
      </c>
      <c r="J2791" t="n">
        <v>0</v>
      </c>
      <c r="K2791" t="n">
        <v>0</v>
      </c>
      <c r="L2791" t="n">
        <v>0</v>
      </c>
      <c r="M2791" t="n">
        <v>0</v>
      </c>
      <c r="N2791" t="n">
        <v>0</v>
      </c>
      <c r="O2791" t="n">
        <v>0</v>
      </c>
      <c r="P2791" t="n">
        <v>0</v>
      </c>
      <c r="Q2791" t="n">
        <v>0</v>
      </c>
      <c r="R2791" t="n">
        <v>0</v>
      </c>
      <c r="S2791" t="n">
        <v>0</v>
      </c>
      <c r="T2791" t="n">
        <v>0</v>
      </c>
      <c r="U2791" t="n">
        <v>0</v>
      </c>
      <c r="V2791" s="2" t="inlineStr"/>
    </row>
    <row r="2792" ht="15" customHeight="1">
      <c r="A2792" t="inlineStr">
        <is>
          <t>A 14586-2023</t>
        </is>
      </c>
      <c r="B2792" t="inlineStr">
        <is>
          <t>avverkningsanmälan</t>
        </is>
      </c>
      <c r="C2792" t="inlineStr">
        <is>
          <t>Föryngringsavverkning</t>
        </is>
      </c>
      <c r="D2792" s="1" t="n">
        <v>45013</v>
      </c>
      <c r="E2792" s="1" t="n">
        <v>46323</v>
      </c>
      <c r="F2792" t="inlineStr">
        <is>
          <t>KALMAR LÄN</t>
        </is>
      </c>
      <c r="G2792" t="inlineStr">
        <is>
          <t>NYBRO</t>
        </is>
      </c>
      <c r="I2792" t="n">
        <v>1.6</v>
      </c>
      <c r="J2792" t="n">
        <v>0</v>
      </c>
      <c r="K2792" t="n">
        <v>0</v>
      </c>
      <c r="L2792" t="n">
        <v>0</v>
      </c>
      <c r="M2792" t="n">
        <v>0</v>
      </c>
      <c r="N2792" t="n">
        <v>0</v>
      </c>
      <c r="O2792" t="n">
        <v>0</v>
      </c>
      <c r="P2792" t="n">
        <v>0</v>
      </c>
      <c r="Q2792" t="n">
        <v>0</v>
      </c>
      <c r="R2792" t="n">
        <v>0</v>
      </c>
      <c r="S2792" t="n">
        <v>0</v>
      </c>
      <c r="T2792" t="n">
        <v>0</v>
      </c>
      <c r="U2792" t="n">
        <v>0</v>
      </c>
      <c r="V2792" s="2" t="inlineStr"/>
    </row>
    <row r="2793" ht="15" customHeight="1">
      <c r="A2793" t="inlineStr">
        <is>
          <t>A 46563-2025</t>
        </is>
      </c>
      <c r="B2793" t="inlineStr">
        <is>
          <t>avverkningsanmälan</t>
        </is>
      </c>
      <c r="C2793" t="inlineStr">
        <is>
          <t>Föryngringsavverkning</t>
        </is>
      </c>
      <c r="D2793" s="1" t="n">
        <v>45926</v>
      </c>
      <c r="E2793" s="1" t="n">
        <v>46323</v>
      </c>
      <c r="F2793" t="inlineStr">
        <is>
          <t>KALMAR LÄN</t>
        </is>
      </c>
      <c r="G2793" t="inlineStr">
        <is>
          <t>HULTSFRED</t>
        </is>
      </c>
      <c r="I2793" t="n">
        <v>2.6</v>
      </c>
      <c r="J2793" t="n">
        <v>0</v>
      </c>
      <c r="K2793" t="n">
        <v>0</v>
      </c>
      <c r="L2793" t="n">
        <v>0</v>
      </c>
      <c r="M2793" t="n">
        <v>0</v>
      </c>
      <c r="N2793" t="n">
        <v>0</v>
      </c>
      <c r="O2793" t="n">
        <v>0</v>
      </c>
      <c r="P2793" t="n">
        <v>0</v>
      </c>
      <c r="Q2793" t="n">
        <v>0</v>
      </c>
      <c r="R2793" t="n">
        <v>0</v>
      </c>
      <c r="S2793" t="n">
        <v>0</v>
      </c>
      <c r="T2793" t="n">
        <v>0</v>
      </c>
      <c r="U2793" t="n">
        <v>0</v>
      </c>
      <c r="V2793" s="2" t="inlineStr"/>
    </row>
    <row r="2794" ht="15" customHeight="1">
      <c r="A2794" t="inlineStr">
        <is>
          <t>A 115-2023</t>
        </is>
      </c>
      <c r="B2794" t="inlineStr">
        <is>
          <t>avverkningsanmälan</t>
        </is>
      </c>
      <c r="C2794" t="inlineStr">
        <is>
          <t>Föryngringsavverkning</t>
        </is>
      </c>
      <c r="D2794" s="1" t="n">
        <v>44928</v>
      </c>
      <c r="E2794" s="1" t="n">
        <v>46323</v>
      </c>
      <c r="F2794" t="inlineStr">
        <is>
          <t>KALMAR LÄN</t>
        </is>
      </c>
      <c r="G2794" t="inlineStr">
        <is>
          <t>HULTSFRED</t>
        </is>
      </c>
      <c r="I2794" t="n">
        <v>0.6</v>
      </c>
      <c r="J2794" t="n">
        <v>0</v>
      </c>
      <c r="K2794" t="n">
        <v>0</v>
      </c>
      <c r="L2794" t="n">
        <v>0</v>
      </c>
      <c r="M2794" t="n">
        <v>0</v>
      </c>
      <c r="N2794" t="n">
        <v>0</v>
      </c>
      <c r="O2794" t="n">
        <v>0</v>
      </c>
      <c r="P2794" t="n">
        <v>0</v>
      </c>
      <c r="Q2794" t="n">
        <v>0</v>
      </c>
      <c r="R2794" t="n">
        <v>0</v>
      </c>
      <c r="S2794" t="n">
        <v>0</v>
      </c>
      <c r="T2794" t="n">
        <v>0</v>
      </c>
      <c r="U2794" t="n">
        <v>0</v>
      </c>
      <c r="V2794" s="2" t="inlineStr"/>
    </row>
    <row r="2795" ht="15" customHeight="1">
      <c r="A2795" t="inlineStr">
        <is>
          <t>A 20913-2024</t>
        </is>
      </c>
      <c r="B2795" t="inlineStr">
        <is>
          <t>avverkningsanmälan</t>
        </is>
      </c>
      <c r="C2795" t="inlineStr">
        <is>
          <t>Föryngringsavverkning</t>
        </is>
      </c>
      <c r="D2795" s="1" t="n">
        <v>45439</v>
      </c>
      <c r="E2795" s="1" t="n">
        <v>46323</v>
      </c>
      <c r="F2795" t="inlineStr">
        <is>
          <t>KALMAR LÄN</t>
        </is>
      </c>
      <c r="G2795" t="inlineStr">
        <is>
          <t>KALMAR</t>
        </is>
      </c>
      <c r="I2795" t="n">
        <v>3.6</v>
      </c>
      <c r="J2795" t="n">
        <v>0</v>
      </c>
      <c r="K2795" t="n">
        <v>0</v>
      </c>
      <c r="L2795" t="n">
        <v>0</v>
      </c>
      <c r="M2795" t="n">
        <v>0</v>
      </c>
      <c r="N2795" t="n">
        <v>0</v>
      </c>
      <c r="O2795" t="n">
        <v>0</v>
      </c>
      <c r="P2795" t="n">
        <v>0</v>
      </c>
      <c r="Q2795" t="n">
        <v>0</v>
      </c>
      <c r="R2795" t="n">
        <v>0</v>
      </c>
      <c r="S2795" t="n">
        <v>0</v>
      </c>
      <c r="T2795" t="n">
        <v>0</v>
      </c>
      <c r="U2795" t="n">
        <v>0</v>
      </c>
      <c r="V2795" s="2" t="inlineStr"/>
    </row>
    <row r="2796" ht="15" customHeight="1">
      <c r="A2796" t="inlineStr">
        <is>
          <t>A 39521-2024</t>
        </is>
      </c>
      <c r="B2796" t="inlineStr">
        <is>
          <t>avverkningsanmälan</t>
        </is>
      </c>
      <c r="C2796" t="inlineStr">
        <is>
          <t>Föryngringsavverkning</t>
        </is>
      </c>
      <c r="D2796" s="1" t="n">
        <v>45551</v>
      </c>
      <c r="E2796" s="1" t="n">
        <v>46323</v>
      </c>
      <c r="F2796" t="inlineStr">
        <is>
          <t>KALMAR LÄN</t>
        </is>
      </c>
      <c r="G2796" t="inlineStr">
        <is>
          <t>EMMABODA</t>
        </is>
      </c>
      <c r="I2796" t="n">
        <v>2.4</v>
      </c>
      <c r="J2796" t="n">
        <v>0</v>
      </c>
      <c r="K2796" t="n">
        <v>0</v>
      </c>
      <c r="L2796" t="n">
        <v>0</v>
      </c>
      <c r="M2796" t="n">
        <v>0</v>
      </c>
      <c r="N2796" t="n">
        <v>0</v>
      </c>
      <c r="O2796" t="n">
        <v>0</v>
      </c>
      <c r="P2796" t="n">
        <v>0</v>
      </c>
      <c r="Q2796" t="n">
        <v>0</v>
      </c>
      <c r="R2796" t="n">
        <v>0</v>
      </c>
      <c r="S2796" t="n">
        <v>0</v>
      </c>
      <c r="T2796" t="n">
        <v>0</v>
      </c>
      <c r="U2796" t="n">
        <v>0</v>
      </c>
      <c r="V2796" s="2" t="inlineStr"/>
    </row>
    <row r="2797" ht="15" customHeight="1">
      <c r="A2797" t="inlineStr">
        <is>
          <t>A 13817-2024</t>
        </is>
      </c>
      <c r="B2797" t="inlineStr">
        <is>
          <t>avverkningsanmälan</t>
        </is>
      </c>
      <c r="C2797" t="inlineStr">
        <is>
          <t>Föryngringsavverkning</t>
        </is>
      </c>
      <c r="D2797" s="1" t="n">
        <v>45391</v>
      </c>
      <c r="E2797" s="1" t="n">
        <v>46323</v>
      </c>
      <c r="F2797" t="inlineStr">
        <is>
          <t>KALMAR LÄN</t>
        </is>
      </c>
      <c r="G2797" t="inlineStr">
        <is>
          <t>VIMMERBY</t>
        </is>
      </c>
      <c r="I2797" t="n">
        <v>1</v>
      </c>
      <c r="J2797" t="n">
        <v>0</v>
      </c>
      <c r="K2797" t="n">
        <v>0</v>
      </c>
      <c r="L2797" t="n">
        <v>0</v>
      </c>
      <c r="M2797" t="n">
        <v>0</v>
      </c>
      <c r="N2797" t="n">
        <v>0</v>
      </c>
      <c r="O2797" t="n">
        <v>0</v>
      </c>
      <c r="P2797" t="n">
        <v>0</v>
      </c>
      <c r="Q2797" t="n">
        <v>0</v>
      </c>
      <c r="R2797" t="n">
        <v>0</v>
      </c>
      <c r="S2797" t="n">
        <v>0</v>
      </c>
      <c r="T2797" t="n">
        <v>0</v>
      </c>
      <c r="U2797" t="n">
        <v>0</v>
      </c>
      <c r="V2797" s="2" t="inlineStr"/>
    </row>
    <row r="2798" ht="15" customHeight="1">
      <c r="A2798" t="inlineStr">
        <is>
          <t>A 41706-2023</t>
        </is>
      </c>
      <c r="B2798" t="inlineStr">
        <is>
          <t>avverkningsanmälan</t>
        </is>
      </c>
      <c r="C2798" t="inlineStr">
        <is>
          <t>Föryngringsavverkning</t>
        </is>
      </c>
      <c r="D2798" s="1" t="n">
        <v>45176</v>
      </c>
      <c r="E2798" s="1" t="n">
        <v>46323</v>
      </c>
      <c r="F2798" t="inlineStr">
        <is>
          <t>KALMAR LÄN</t>
        </is>
      </c>
      <c r="G2798" t="inlineStr">
        <is>
          <t>HÖGSBY</t>
        </is>
      </c>
      <c r="I2798" t="n">
        <v>2.6</v>
      </c>
      <c r="J2798" t="n">
        <v>0</v>
      </c>
      <c r="K2798" t="n">
        <v>0</v>
      </c>
      <c r="L2798" t="n">
        <v>0</v>
      </c>
      <c r="M2798" t="n">
        <v>0</v>
      </c>
      <c r="N2798" t="n">
        <v>0</v>
      </c>
      <c r="O2798" t="n">
        <v>0</v>
      </c>
      <c r="P2798" t="n">
        <v>0</v>
      </c>
      <c r="Q2798" t="n">
        <v>0</v>
      </c>
      <c r="R2798" t="n">
        <v>0</v>
      </c>
      <c r="S2798" t="n">
        <v>0</v>
      </c>
      <c r="T2798" t="n">
        <v>0</v>
      </c>
      <c r="U2798" t="n">
        <v>0</v>
      </c>
      <c r="V2798" s="2" t="inlineStr"/>
    </row>
    <row r="2799" ht="15" customHeight="1">
      <c r="A2799" t="inlineStr">
        <is>
          <t>A 68493-2021</t>
        </is>
      </c>
      <c r="B2799" t="inlineStr">
        <is>
          <t>avverkningsanmälan</t>
        </is>
      </c>
      <c r="C2799" t="inlineStr">
        <is>
          <t>Föryngringsavverkning</t>
        </is>
      </c>
      <c r="D2799" s="1" t="n">
        <v>44529</v>
      </c>
      <c r="E2799" s="1" t="n">
        <v>46323</v>
      </c>
      <c r="F2799" t="inlineStr">
        <is>
          <t>KALMAR LÄN</t>
        </is>
      </c>
      <c r="G2799" t="inlineStr">
        <is>
          <t>TORSÅS</t>
        </is>
      </c>
      <c r="I2799" t="n">
        <v>2.1</v>
      </c>
      <c r="J2799" t="n">
        <v>0</v>
      </c>
      <c r="K2799" t="n">
        <v>0</v>
      </c>
      <c r="L2799" t="n">
        <v>0</v>
      </c>
      <c r="M2799" t="n">
        <v>0</v>
      </c>
      <c r="N2799" t="n">
        <v>0</v>
      </c>
      <c r="O2799" t="n">
        <v>0</v>
      </c>
      <c r="P2799" t="n">
        <v>0</v>
      </c>
      <c r="Q2799" t="n">
        <v>0</v>
      </c>
      <c r="R2799" t="n">
        <v>0</v>
      </c>
      <c r="S2799" t="n">
        <v>0</v>
      </c>
      <c r="T2799" t="n">
        <v>0</v>
      </c>
      <c r="U2799" t="n">
        <v>0</v>
      </c>
      <c r="V2799" s="2" t="inlineStr"/>
    </row>
    <row r="2800" ht="15" customHeight="1">
      <c r="A2800" t="inlineStr">
        <is>
          <t>A 68940-2021</t>
        </is>
      </c>
      <c r="B2800" t="inlineStr">
        <is>
          <t>avverkningsanmälan</t>
        </is>
      </c>
      <c r="C2800" t="inlineStr">
        <is>
          <t>Föryngringsavverkning</t>
        </is>
      </c>
      <c r="D2800" s="1" t="n">
        <v>44530</v>
      </c>
      <c r="E2800" s="1" t="n">
        <v>46323</v>
      </c>
      <c r="F2800" t="inlineStr">
        <is>
          <t>KALMAR LÄN</t>
        </is>
      </c>
      <c r="G2800" t="inlineStr">
        <is>
          <t>EMMABODA</t>
        </is>
      </c>
      <c r="I2800" t="n">
        <v>2.6</v>
      </c>
      <c r="J2800" t="n">
        <v>0</v>
      </c>
      <c r="K2800" t="n">
        <v>0</v>
      </c>
      <c r="L2800" t="n">
        <v>0</v>
      </c>
      <c r="M2800" t="n">
        <v>0</v>
      </c>
      <c r="N2800" t="n">
        <v>0</v>
      </c>
      <c r="O2800" t="n">
        <v>0</v>
      </c>
      <c r="P2800" t="n">
        <v>0</v>
      </c>
      <c r="Q2800" t="n">
        <v>0</v>
      </c>
      <c r="R2800" t="n">
        <v>0</v>
      </c>
      <c r="S2800" t="n">
        <v>0</v>
      </c>
      <c r="T2800" t="n">
        <v>0</v>
      </c>
      <c r="U2800" t="n">
        <v>0</v>
      </c>
      <c r="V2800" s="2" t="inlineStr"/>
    </row>
    <row r="2801" ht="15" customHeight="1">
      <c r="A2801" t="inlineStr">
        <is>
          <t>A 68818-2021</t>
        </is>
      </c>
      <c r="B2801" t="inlineStr">
        <is>
          <t>avverkningsanmälan</t>
        </is>
      </c>
      <c r="C2801" t="inlineStr">
        <is>
          <t>Föryngringsavverkning</t>
        </is>
      </c>
      <c r="D2801" s="1" t="n">
        <v>44530</v>
      </c>
      <c r="E2801" s="1" t="n">
        <v>46323</v>
      </c>
      <c r="F2801" t="inlineStr">
        <is>
          <t>KALMAR LÄN</t>
        </is>
      </c>
      <c r="G2801" t="inlineStr">
        <is>
          <t>HULTSFRED</t>
        </is>
      </c>
      <c r="I2801" t="n">
        <v>1.1</v>
      </c>
      <c r="J2801" t="n">
        <v>0</v>
      </c>
      <c r="K2801" t="n">
        <v>0</v>
      </c>
      <c r="L2801" t="n">
        <v>0</v>
      </c>
      <c r="M2801" t="n">
        <v>0</v>
      </c>
      <c r="N2801" t="n">
        <v>0</v>
      </c>
      <c r="O2801" t="n">
        <v>0</v>
      </c>
      <c r="P2801" t="n">
        <v>0</v>
      </c>
      <c r="Q2801" t="n">
        <v>0</v>
      </c>
      <c r="R2801" t="n">
        <v>0</v>
      </c>
      <c r="S2801" t="n">
        <v>0</v>
      </c>
      <c r="T2801" t="n">
        <v>0</v>
      </c>
      <c r="U2801" t="n">
        <v>0</v>
      </c>
      <c r="V2801" s="2" t="inlineStr"/>
    </row>
    <row r="2802" ht="15" customHeight="1">
      <c r="A2802" t="inlineStr">
        <is>
          <t>A 25838-2023</t>
        </is>
      </c>
      <c r="B2802" t="inlineStr">
        <is>
          <t>avverkningsanmälan</t>
        </is>
      </c>
      <c r="C2802" t="inlineStr">
        <is>
          <t>Föryngringsavverkning</t>
        </is>
      </c>
      <c r="D2802" s="1" t="n">
        <v>45090</v>
      </c>
      <c r="E2802" s="1" t="n">
        <v>46323</v>
      </c>
      <c r="F2802" t="inlineStr">
        <is>
          <t>KALMAR LÄN</t>
        </is>
      </c>
      <c r="G2802" t="inlineStr">
        <is>
          <t>NYBRO</t>
        </is>
      </c>
      <c r="I2802" t="n">
        <v>0.5</v>
      </c>
      <c r="J2802" t="n">
        <v>0</v>
      </c>
      <c r="K2802" t="n">
        <v>0</v>
      </c>
      <c r="L2802" t="n">
        <v>0</v>
      </c>
      <c r="M2802" t="n">
        <v>0</v>
      </c>
      <c r="N2802" t="n">
        <v>0</v>
      </c>
      <c r="O2802" t="n">
        <v>0</v>
      </c>
      <c r="P2802" t="n">
        <v>0</v>
      </c>
      <c r="Q2802" t="n">
        <v>0</v>
      </c>
      <c r="R2802" t="n">
        <v>0</v>
      </c>
      <c r="S2802" t="n">
        <v>0</v>
      </c>
      <c r="T2802" t="n">
        <v>0</v>
      </c>
      <c r="U2802" t="n">
        <v>0</v>
      </c>
      <c r="V2802" s="2" t="inlineStr"/>
    </row>
    <row r="2803" ht="15" customHeight="1">
      <c r="A2803" t="inlineStr">
        <is>
          <t>A 46412-2025</t>
        </is>
      </c>
      <c r="B2803" t="inlineStr">
        <is>
          <t>avverkningsanmälan</t>
        </is>
      </c>
      <c r="C2803" t="inlineStr">
        <is>
          <t>Föryngringsavverkning</t>
        </is>
      </c>
      <c r="D2803" s="1" t="n">
        <v>45925</v>
      </c>
      <c r="E2803" s="1" t="n">
        <v>46323</v>
      </c>
      <c r="F2803" t="inlineStr">
        <is>
          <t>KALMAR LÄN</t>
        </is>
      </c>
      <c r="G2803" t="inlineStr">
        <is>
          <t>TORSÅS</t>
        </is>
      </c>
      <c r="I2803" t="n">
        <v>1.5</v>
      </c>
      <c r="J2803" t="n">
        <v>0</v>
      </c>
      <c r="K2803" t="n">
        <v>0</v>
      </c>
      <c r="L2803" t="n">
        <v>0</v>
      </c>
      <c r="M2803" t="n">
        <v>0</v>
      </c>
      <c r="N2803" t="n">
        <v>0</v>
      </c>
      <c r="O2803" t="n">
        <v>0</v>
      </c>
      <c r="P2803" t="n">
        <v>0</v>
      </c>
      <c r="Q2803" t="n">
        <v>0</v>
      </c>
      <c r="R2803" t="n">
        <v>0</v>
      </c>
      <c r="S2803" t="n">
        <v>0</v>
      </c>
      <c r="T2803" t="n">
        <v>0</v>
      </c>
      <c r="U2803" t="n">
        <v>0</v>
      </c>
      <c r="V2803" s="2" t="inlineStr"/>
    </row>
    <row r="2804" ht="15" customHeight="1">
      <c r="A2804" t="inlineStr">
        <is>
          <t>A 1653-2025</t>
        </is>
      </c>
      <c r="B2804" t="inlineStr">
        <is>
          <t>avverkningsanmälan</t>
        </is>
      </c>
      <c r="C2804" t="inlineStr">
        <is>
          <t>Föryngringsavverkning</t>
        </is>
      </c>
      <c r="D2804" s="1" t="n">
        <v>45670</v>
      </c>
      <c r="E2804" s="1" t="n">
        <v>46323</v>
      </c>
      <c r="F2804" t="inlineStr">
        <is>
          <t>KALMAR LÄN</t>
        </is>
      </c>
      <c r="G2804" t="inlineStr">
        <is>
          <t>MÖNSTERÅS</t>
        </is>
      </c>
      <c r="I2804" t="n">
        <v>0.8</v>
      </c>
      <c r="J2804" t="n">
        <v>0</v>
      </c>
      <c r="K2804" t="n">
        <v>0</v>
      </c>
      <c r="L2804" t="n">
        <v>0</v>
      </c>
      <c r="M2804" t="n">
        <v>0</v>
      </c>
      <c r="N2804" t="n">
        <v>0</v>
      </c>
      <c r="O2804" t="n">
        <v>0</v>
      </c>
      <c r="P2804" t="n">
        <v>0</v>
      </c>
      <c r="Q2804" t="n">
        <v>0</v>
      </c>
      <c r="R2804" t="n">
        <v>0</v>
      </c>
      <c r="S2804" t="n">
        <v>0</v>
      </c>
      <c r="T2804" t="n">
        <v>0</v>
      </c>
      <c r="U2804" t="n">
        <v>0</v>
      </c>
      <c r="V2804" s="2" t="inlineStr"/>
    </row>
    <row r="2805" ht="15" customHeight="1">
      <c r="A2805" t="inlineStr">
        <is>
          <t>A 9367-2025</t>
        </is>
      </c>
      <c r="B2805" t="inlineStr">
        <is>
          <t>avverkningsanmälan</t>
        </is>
      </c>
      <c r="C2805" t="inlineStr">
        <is>
          <t>Föryngringsavverkning</t>
        </is>
      </c>
      <c r="D2805" s="1" t="n">
        <v>45715</v>
      </c>
      <c r="E2805" s="1" t="n">
        <v>46323</v>
      </c>
      <c r="F2805" t="inlineStr">
        <is>
          <t>KALMAR LÄN</t>
        </is>
      </c>
      <c r="G2805" t="inlineStr">
        <is>
          <t>MÖNSTERÅS</t>
        </is>
      </c>
      <c r="I2805" t="n">
        <v>15.2</v>
      </c>
      <c r="J2805" t="n">
        <v>0</v>
      </c>
      <c r="K2805" t="n">
        <v>0</v>
      </c>
      <c r="L2805" t="n">
        <v>0</v>
      </c>
      <c r="M2805" t="n">
        <v>0</v>
      </c>
      <c r="N2805" t="n">
        <v>0</v>
      </c>
      <c r="O2805" t="n">
        <v>0</v>
      </c>
      <c r="P2805" t="n">
        <v>0</v>
      </c>
      <c r="Q2805" t="n">
        <v>0</v>
      </c>
      <c r="R2805" t="n">
        <v>0</v>
      </c>
      <c r="S2805" t="n">
        <v>0</v>
      </c>
      <c r="T2805" t="n">
        <v>0</v>
      </c>
      <c r="U2805" t="n">
        <v>0</v>
      </c>
      <c r="V2805" s="2" t="inlineStr"/>
    </row>
    <row r="2806" ht="15" customHeight="1">
      <c r="A2806" t="inlineStr">
        <is>
          <t>A 30406-2023</t>
        </is>
      </c>
      <c r="B2806" t="inlineStr">
        <is>
          <t>avverkningsanmälan</t>
        </is>
      </c>
      <c r="C2806" t="inlineStr">
        <is>
          <t>Föryngringsavverkning</t>
        </is>
      </c>
      <c r="D2806" s="1" t="n">
        <v>45111</v>
      </c>
      <c r="E2806" s="1" t="n">
        <v>46323</v>
      </c>
      <c r="F2806" t="inlineStr">
        <is>
          <t>KALMAR LÄN</t>
        </is>
      </c>
      <c r="G2806" t="inlineStr">
        <is>
          <t>VIMMERBY</t>
        </is>
      </c>
      <c r="I2806" t="n">
        <v>2.4</v>
      </c>
      <c r="J2806" t="n">
        <v>0</v>
      </c>
      <c r="K2806" t="n">
        <v>0</v>
      </c>
      <c r="L2806" t="n">
        <v>0</v>
      </c>
      <c r="M2806" t="n">
        <v>0</v>
      </c>
      <c r="N2806" t="n">
        <v>0</v>
      </c>
      <c r="O2806" t="n">
        <v>0</v>
      </c>
      <c r="P2806" t="n">
        <v>0</v>
      </c>
      <c r="Q2806" t="n">
        <v>0</v>
      </c>
      <c r="R2806" t="n">
        <v>0</v>
      </c>
      <c r="S2806" t="n">
        <v>0</v>
      </c>
      <c r="T2806" t="n">
        <v>0</v>
      </c>
      <c r="U2806" t="n">
        <v>0</v>
      </c>
      <c r="V2806" s="2" t="inlineStr"/>
    </row>
    <row r="2807" ht="15" customHeight="1">
      <c r="A2807" t="inlineStr">
        <is>
          <t>A 22435-2023</t>
        </is>
      </c>
      <c r="B2807" t="inlineStr">
        <is>
          <t>avverkningsanmälan</t>
        </is>
      </c>
      <c r="C2807" t="inlineStr">
        <is>
          <t>Avverkning för annat ändamål</t>
        </is>
      </c>
      <c r="D2807" s="1" t="n">
        <v>45070</v>
      </c>
      <c r="E2807" s="1" t="n">
        <v>46323</v>
      </c>
      <c r="F2807" t="inlineStr">
        <is>
          <t>KALMAR LÄN</t>
        </is>
      </c>
      <c r="G2807" t="inlineStr">
        <is>
          <t>NYBRO</t>
        </is>
      </c>
      <c r="I2807" t="n">
        <v>1.4</v>
      </c>
      <c r="J2807" t="n">
        <v>0</v>
      </c>
      <c r="K2807" t="n">
        <v>0</v>
      </c>
      <c r="L2807" t="n">
        <v>0</v>
      </c>
      <c r="M2807" t="n">
        <v>0</v>
      </c>
      <c r="N2807" t="n">
        <v>0</v>
      </c>
      <c r="O2807" t="n">
        <v>0</v>
      </c>
      <c r="P2807" t="n">
        <v>0</v>
      </c>
      <c r="Q2807" t="n">
        <v>0</v>
      </c>
      <c r="R2807" t="n">
        <v>0</v>
      </c>
      <c r="S2807" t="n">
        <v>0</v>
      </c>
      <c r="T2807" t="n">
        <v>0</v>
      </c>
      <c r="U2807" t="n">
        <v>0</v>
      </c>
      <c r="V2807" s="2" t="inlineStr"/>
    </row>
    <row r="2808" ht="15" customHeight="1">
      <c r="A2808" t="inlineStr">
        <is>
          <t>A 31957-2023</t>
        </is>
      </c>
      <c r="B2808" t="inlineStr">
        <is>
          <t>avverkningsanmälan</t>
        </is>
      </c>
      <c r="C2808" t="inlineStr">
        <is>
          <t>Föryngringsavverkning</t>
        </is>
      </c>
      <c r="D2808" s="1" t="n">
        <v>45119</v>
      </c>
      <c r="E2808" s="1" t="n">
        <v>46323</v>
      </c>
      <c r="F2808" t="inlineStr">
        <is>
          <t>KALMAR LÄN</t>
        </is>
      </c>
      <c r="G2808" t="inlineStr">
        <is>
          <t>OSKARSHAMN</t>
        </is>
      </c>
      <c r="I2808" t="n">
        <v>1.5</v>
      </c>
      <c r="J2808" t="n">
        <v>0</v>
      </c>
      <c r="K2808" t="n">
        <v>0</v>
      </c>
      <c r="L2808" t="n">
        <v>0</v>
      </c>
      <c r="M2808" t="n">
        <v>0</v>
      </c>
      <c r="N2808" t="n">
        <v>0</v>
      </c>
      <c r="O2808" t="n">
        <v>0</v>
      </c>
      <c r="P2808" t="n">
        <v>0</v>
      </c>
      <c r="Q2808" t="n">
        <v>0</v>
      </c>
      <c r="R2808" t="n">
        <v>0</v>
      </c>
      <c r="S2808" t="n">
        <v>0</v>
      </c>
      <c r="T2808" t="n">
        <v>0</v>
      </c>
      <c r="U2808" t="n">
        <v>0</v>
      </c>
      <c r="V2808" s="2" t="inlineStr"/>
    </row>
    <row r="2809" ht="15" customHeight="1">
      <c r="A2809" t="inlineStr">
        <is>
          <t>A 46821-2025</t>
        </is>
      </c>
      <c r="B2809" t="inlineStr">
        <is>
          <t>avverkningsanmälan</t>
        </is>
      </c>
      <c r="C2809" t="inlineStr">
        <is>
          <t>Föryngringsavverkning</t>
        </is>
      </c>
      <c r="D2809" s="1" t="n">
        <v>45926</v>
      </c>
      <c r="E2809" s="1" t="n">
        <v>46323</v>
      </c>
      <c r="F2809" t="inlineStr">
        <is>
          <t>KALMAR LÄN</t>
        </is>
      </c>
      <c r="G2809" t="inlineStr">
        <is>
          <t>NYBRO</t>
        </is>
      </c>
      <c r="I2809" t="n">
        <v>0.4</v>
      </c>
      <c r="J2809" t="n">
        <v>0</v>
      </c>
      <c r="K2809" t="n">
        <v>0</v>
      </c>
      <c r="L2809" t="n">
        <v>0</v>
      </c>
      <c r="M2809" t="n">
        <v>0</v>
      </c>
      <c r="N2809" t="n">
        <v>0</v>
      </c>
      <c r="O2809" t="n">
        <v>0</v>
      </c>
      <c r="P2809" t="n">
        <v>0</v>
      </c>
      <c r="Q2809" t="n">
        <v>0</v>
      </c>
      <c r="R2809" t="n">
        <v>0</v>
      </c>
      <c r="S2809" t="n">
        <v>0</v>
      </c>
      <c r="T2809" t="n">
        <v>0</v>
      </c>
      <c r="U2809" t="n">
        <v>0</v>
      </c>
      <c r="V2809" s="2" t="inlineStr"/>
    </row>
    <row r="2810" ht="15" customHeight="1">
      <c r="A2810" t="inlineStr">
        <is>
          <t>A 26555-2024</t>
        </is>
      </c>
      <c r="B2810" t="inlineStr">
        <is>
          <t>avverkningsanmälan</t>
        </is>
      </c>
      <c r="C2810" t="inlineStr">
        <is>
          <t>Föryngringsavverkning</t>
        </is>
      </c>
      <c r="D2810" s="1" t="n">
        <v>45469</v>
      </c>
      <c r="E2810" s="1" t="n">
        <v>46323</v>
      </c>
      <c r="F2810" t="inlineStr">
        <is>
          <t>KALMAR LÄN</t>
        </is>
      </c>
      <c r="G2810" t="inlineStr">
        <is>
          <t>OSKARSHAMN</t>
        </is>
      </c>
      <c r="I2810" t="n">
        <v>0.9</v>
      </c>
      <c r="J2810" t="n">
        <v>0</v>
      </c>
      <c r="K2810" t="n">
        <v>0</v>
      </c>
      <c r="L2810" t="n">
        <v>0</v>
      </c>
      <c r="M2810" t="n">
        <v>0</v>
      </c>
      <c r="N2810" t="n">
        <v>0</v>
      </c>
      <c r="O2810" t="n">
        <v>0</v>
      </c>
      <c r="P2810" t="n">
        <v>0</v>
      </c>
      <c r="Q2810" t="n">
        <v>0</v>
      </c>
      <c r="R2810" t="n">
        <v>0</v>
      </c>
      <c r="S2810" t="n">
        <v>0</v>
      </c>
      <c r="T2810" t="n">
        <v>0</v>
      </c>
      <c r="U2810" t="n">
        <v>0</v>
      </c>
      <c r="V2810" s="2" t="inlineStr"/>
    </row>
    <row r="2811" ht="15" customHeight="1">
      <c r="A2811" t="inlineStr">
        <is>
          <t>A 33980-2024</t>
        </is>
      </c>
      <c r="B2811" t="inlineStr">
        <is>
          <t>avverkningsanmälan</t>
        </is>
      </c>
      <c r="C2811" t="inlineStr">
        <is>
          <t>Föryngringsavverkning</t>
        </is>
      </c>
      <c r="D2811" s="1" t="n">
        <v>45523</v>
      </c>
      <c r="E2811" s="1" t="n">
        <v>46323</v>
      </c>
      <c r="F2811" t="inlineStr">
        <is>
          <t>KALMAR LÄN</t>
        </is>
      </c>
      <c r="G2811" t="inlineStr">
        <is>
          <t>EMMABODA</t>
        </is>
      </c>
      <c r="I2811" t="n">
        <v>1.8</v>
      </c>
      <c r="J2811" t="n">
        <v>0</v>
      </c>
      <c r="K2811" t="n">
        <v>0</v>
      </c>
      <c r="L2811" t="n">
        <v>0</v>
      </c>
      <c r="M2811" t="n">
        <v>0</v>
      </c>
      <c r="N2811" t="n">
        <v>0</v>
      </c>
      <c r="O2811" t="n">
        <v>0</v>
      </c>
      <c r="P2811" t="n">
        <v>0</v>
      </c>
      <c r="Q2811" t="n">
        <v>0</v>
      </c>
      <c r="R2811" t="n">
        <v>0</v>
      </c>
      <c r="S2811" t="n">
        <v>0</v>
      </c>
      <c r="T2811" t="n">
        <v>0</v>
      </c>
      <c r="U2811" t="n">
        <v>0</v>
      </c>
      <c r="V2811" s="2" t="inlineStr"/>
    </row>
    <row r="2812" ht="15" customHeight="1">
      <c r="A2812" t="inlineStr">
        <is>
          <t>A 5771-2025</t>
        </is>
      </c>
      <c r="B2812" t="inlineStr">
        <is>
          <t>avverkningsanmälan</t>
        </is>
      </c>
      <c r="C2812" t="inlineStr">
        <is>
          <t>Föryngringsavverkning</t>
        </is>
      </c>
      <c r="D2812" s="1" t="n">
        <v>45694</v>
      </c>
      <c r="E2812" s="1" t="n">
        <v>46323</v>
      </c>
      <c r="F2812" t="inlineStr">
        <is>
          <t>KALMAR LÄN</t>
        </is>
      </c>
      <c r="G2812" t="inlineStr">
        <is>
          <t>TORSÅS</t>
        </is>
      </c>
      <c r="I2812" t="n">
        <v>3.9</v>
      </c>
      <c r="J2812" t="n">
        <v>0</v>
      </c>
      <c r="K2812" t="n">
        <v>0</v>
      </c>
      <c r="L2812" t="n">
        <v>0</v>
      </c>
      <c r="M2812" t="n">
        <v>0</v>
      </c>
      <c r="N2812" t="n">
        <v>0</v>
      </c>
      <c r="O2812" t="n">
        <v>0</v>
      </c>
      <c r="P2812" t="n">
        <v>0</v>
      </c>
      <c r="Q2812" t="n">
        <v>0</v>
      </c>
      <c r="R2812" t="n">
        <v>0</v>
      </c>
      <c r="S2812" t="n">
        <v>0</v>
      </c>
      <c r="T2812" t="n">
        <v>0</v>
      </c>
      <c r="U2812" t="n">
        <v>0</v>
      </c>
      <c r="V2812" s="2" t="inlineStr"/>
    </row>
    <row r="2813" ht="15" customHeight="1">
      <c r="A2813" t="inlineStr">
        <is>
          <t>A 14129-2025</t>
        </is>
      </c>
      <c r="B2813" t="inlineStr">
        <is>
          <t>avverkningsanmälan</t>
        </is>
      </c>
      <c r="C2813" t="inlineStr">
        <is>
          <t>Avverkning för annat ändamål</t>
        </is>
      </c>
      <c r="D2813" s="1" t="n">
        <v>45740</v>
      </c>
      <c r="E2813" s="1" t="n">
        <v>46323</v>
      </c>
      <c r="F2813" t="inlineStr">
        <is>
          <t>KALMAR LÄN</t>
        </is>
      </c>
      <c r="G2813" t="inlineStr">
        <is>
          <t>OSKARSHAMN</t>
        </is>
      </c>
      <c r="I2813" t="n">
        <v>1.1</v>
      </c>
      <c r="J2813" t="n">
        <v>0</v>
      </c>
      <c r="K2813" t="n">
        <v>0</v>
      </c>
      <c r="L2813" t="n">
        <v>0</v>
      </c>
      <c r="M2813" t="n">
        <v>0</v>
      </c>
      <c r="N2813" t="n">
        <v>0</v>
      </c>
      <c r="O2813" t="n">
        <v>0</v>
      </c>
      <c r="P2813" t="n">
        <v>0</v>
      </c>
      <c r="Q2813" t="n">
        <v>0</v>
      </c>
      <c r="R2813" t="n">
        <v>0</v>
      </c>
      <c r="S2813" t="n">
        <v>0</v>
      </c>
      <c r="T2813" t="n">
        <v>0</v>
      </c>
      <c r="U2813" t="n">
        <v>0</v>
      </c>
      <c r="V2813" s="2" t="inlineStr"/>
    </row>
    <row r="2814" ht="15" customHeight="1">
      <c r="A2814" t="inlineStr">
        <is>
          <t>A 7424-2022</t>
        </is>
      </c>
      <c r="B2814" t="inlineStr">
        <is>
          <t>avverkningsanmälan</t>
        </is>
      </c>
      <c r="C2814" t="inlineStr">
        <is>
          <t>Föryngringsavverkning</t>
        </is>
      </c>
      <c r="D2814" s="1" t="n">
        <v>44606</v>
      </c>
      <c r="E2814" s="1" t="n">
        <v>46323</v>
      </c>
      <c r="F2814" t="inlineStr">
        <is>
          <t>KALMAR LÄN</t>
        </is>
      </c>
      <c r="G2814" t="inlineStr">
        <is>
          <t>NYBRO</t>
        </is>
      </c>
      <c r="I2814" t="n">
        <v>6.2</v>
      </c>
      <c r="J2814" t="n">
        <v>0</v>
      </c>
      <c r="K2814" t="n">
        <v>0</v>
      </c>
      <c r="L2814" t="n">
        <v>0</v>
      </c>
      <c r="M2814" t="n">
        <v>0</v>
      </c>
      <c r="N2814" t="n">
        <v>0</v>
      </c>
      <c r="O2814" t="n">
        <v>0</v>
      </c>
      <c r="P2814" t="n">
        <v>0</v>
      </c>
      <c r="Q2814" t="n">
        <v>0</v>
      </c>
      <c r="R2814" t="n">
        <v>0</v>
      </c>
      <c r="S2814" t="n">
        <v>0</v>
      </c>
      <c r="T2814" t="n">
        <v>0</v>
      </c>
      <c r="U2814" t="n">
        <v>0</v>
      </c>
      <c r="V2814" s="2" t="inlineStr"/>
    </row>
    <row r="2815" ht="15" customHeight="1">
      <c r="A2815" t="inlineStr">
        <is>
          <t>A 9050-2023</t>
        </is>
      </c>
      <c r="B2815" t="inlineStr">
        <is>
          <t>avverkningsanmälan</t>
        </is>
      </c>
      <c r="C2815" t="inlineStr">
        <is>
          <t>Föryngringsavverkning</t>
        </is>
      </c>
      <c r="D2815" s="1" t="n">
        <v>44979</v>
      </c>
      <c r="E2815" s="1" t="n">
        <v>46323</v>
      </c>
      <c r="F2815" t="inlineStr">
        <is>
          <t>KALMAR LÄN</t>
        </is>
      </c>
      <c r="G2815" t="inlineStr">
        <is>
          <t>MÖNSTERÅS</t>
        </is>
      </c>
      <c r="I2815" t="n">
        <v>1.4</v>
      </c>
      <c r="J2815" t="n">
        <v>0</v>
      </c>
      <c r="K2815" t="n">
        <v>0</v>
      </c>
      <c r="L2815" t="n">
        <v>0</v>
      </c>
      <c r="M2815" t="n">
        <v>0</v>
      </c>
      <c r="N2815" t="n">
        <v>0</v>
      </c>
      <c r="O2815" t="n">
        <v>0</v>
      </c>
      <c r="P2815" t="n">
        <v>0</v>
      </c>
      <c r="Q2815" t="n">
        <v>0</v>
      </c>
      <c r="R2815" t="n">
        <v>0</v>
      </c>
      <c r="S2815" t="n">
        <v>0</v>
      </c>
      <c r="T2815" t="n">
        <v>0</v>
      </c>
      <c r="U2815" t="n">
        <v>0</v>
      </c>
      <c r="V2815" s="2" t="inlineStr"/>
    </row>
    <row r="2816" ht="15" customHeight="1">
      <c r="A2816" t="inlineStr">
        <is>
          <t>A 27507-2024</t>
        </is>
      </c>
      <c r="B2816" t="inlineStr">
        <is>
          <t>avverkningsanmälan</t>
        </is>
      </c>
      <c r="C2816" t="inlineStr">
        <is>
          <t>Föryngringsavverkning</t>
        </is>
      </c>
      <c r="D2816" s="1" t="n">
        <v>45474</v>
      </c>
      <c r="E2816" s="1" t="n">
        <v>46323</v>
      </c>
      <c r="F2816" t="inlineStr">
        <is>
          <t>KALMAR LÄN</t>
        </is>
      </c>
      <c r="G2816" t="inlineStr">
        <is>
          <t>TORSÅS</t>
        </is>
      </c>
      <c r="I2816" t="n">
        <v>1.3</v>
      </c>
      <c r="J2816" t="n">
        <v>0</v>
      </c>
      <c r="K2816" t="n">
        <v>0</v>
      </c>
      <c r="L2816" t="n">
        <v>0</v>
      </c>
      <c r="M2816" t="n">
        <v>0</v>
      </c>
      <c r="N2816" t="n">
        <v>0</v>
      </c>
      <c r="O2816" t="n">
        <v>0</v>
      </c>
      <c r="P2816" t="n">
        <v>0</v>
      </c>
      <c r="Q2816" t="n">
        <v>0</v>
      </c>
      <c r="R2816" t="n">
        <v>0</v>
      </c>
      <c r="S2816" t="n">
        <v>0</v>
      </c>
      <c r="T2816" t="n">
        <v>0</v>
      </c>
      <c r="U2816" t="n">
        <v>0</v>
      </c>
      <c r="V2816" s="2" t="inlineStr"/>
    </row>
    <row r="2817" ht="15" customHeight="1">
      <c r="A2817" t="inlineStr">
        <is>
          <t>A 57626-2023</t>
        </is>
      </c>
      <c r="B2817" t="inlineStr">
        <is>
          <t>avverkningsanmälan</t>
        </is>
      </c>
      <c r="C2817" t="inlineStr">
        <is>
          <t>Föryngringsavverkning</t>
        </is>
      </c>
      <c r="D2817" s="1" t="n">
        <v>45246</v>
      </c>
      <c r="E2817" s="1" t="n">
        <v>46323</v>
      </c>
      <c r="F2817" t="inlineStr">
        <is>
          <t>KALMAR LÄN</t>
        </is>
      </c>
      <c r="G2817" t="inlineStr">
        <is>
          <t>KALMAR</t>
        </is>
      </c>
      <c r="I2817" t="n">
        <v>2.6</v>
      </c>
      <c r="J2817" t="n">
        <v>0</v>
      </c>
      <c r="K2817" t="n">
        <v>0</v>
      </c>
      <c r="L2817" t="n">
        <v>0</v>
      </c>
      <c r="M2817" t="n">
        <v>0</v>
      </c>
      <c r="N2817" t="n">
        <v>0</v>
      </c>
      <c r="O2817" t="n">
        <v>0</v>
      </c>
      <c r="P2817" t="n">
        <v>0</v>
      </c>
      <c r="Q2817" t="n">
        <v>0</v>
      </c>
      <c r="R2817" t="n">
        <v>0</v>
      </c>
      <c r="S2817" t="n">
        <v>0</v>
      </c>
      <c r="T2817" t="n">
        <v>0</v>
      </c>
      <c r="U2817" t="n">
        <v>0</v>
      </c>
      <c r="V2817" s="2" t="inlineStr"/>
    </row>
    <row r="2818" ht="15" customHeight="1">
      <c r="A2818" t="inlineStr">
        <is>
          <t>A 47288-2025</t>
        </is>
      </c>
      <c r="B2818" t="inlineStr">
        <is>
          <t>avverkningsanmälan</t>
        </is>
      </c>
      <c r="C2818" t="inlineStr">
        <is>
          <t>Föryngringsavverkning</t>
        </is>
      </c>
      <c r="D2818" s="1" t="n">
        <v>45930</v>
      </c>
      <c r="E2818" s="1" t="n">
        <v>46323</v>
      </c>
      <c r="F2818" t="inlineStr">
        <is>
          <t>KALMAR LÄN</t>
        </is>
      </c>
      <c r="G2818" t="inlineStr">
        <is>
          <t>OSKARSHAMN</t>
        </is>
      </c>
      <c r="I2818" t="n">
        <v>1.1</v>
      </c>
      <c r="J2818" t="n">
        <v>0</v>
      </c>
      <c r="K2818" t="n">
        <v>0</v>
      </c>
      <c r="L2818" t="n">
        <v>0</v>
      </c>
      <c r="M2818" t="n">
        <v>0</v>
      </c>
      <c r="N2818" t="n">
        <v>0</v>
      </c>
      <c r="O2818" t="n">
        <v>0</v>
      </c>
      <c r="P2818" t="n">
        <v>0</v>
      </c>
      <c r="Q2818" t="n">
        <v>0</v>
      </c>
      <c r="R2818" t="n">
        <v>0</v>
      </c>
      <c r="S2818" t="n">
        <v>0</v>
      </c>
      <c r="T2818" t="n">
        <v>0</v>
      </c>
      <c r="U2818" t="n">
        <v>0</v>
      </c>
      <c r="V2818" s="2" t="inlineStr"/>
    </row>
    <row r="2819" ht="15" customHeight="1">
      <c r="A2819" t="inlineStr">
        <is>
          <t>A 47290-2025</t>
        </is>
      </c>
      <c r="B2819" t="inlineStr">
        <is>
          <t>avverkningsanmälan</t>
        </is>
      </c>
      <c r="C2819" t="inlineStr">
        <is>
          <t>Föryngringsavverkning</t>
        </is>
      </c>
      <c r="D2819" s="1" t="n">
        <v>45930</v>
      </c>
      <c r="E2819" s="1" t="n">
        <v>46323</v>
      </c>
      <c r="F2819" t="inlineStr">
        <is>
          <t>KALMAR LÄN</t>
        </is>
      </c>
      <c r="G2819" t="inlineStr">
        <is>
          <t>OSKARSHAMN</t>
        </is>
      </c>
      <c r="I2819" t="n">
        <v>1.4</v>
      </c>
      <c r="J2819" t="n">
        <v>0</v>
      </c>
      <c r="K2819" t="n">
        <v>0</v>
      </c>
      <c r="L2819" t="n">
        <v>0</v>
      </c>
      <c r="M2819" t="n">
        <v>0</v>
      </c>
      <c r="N2819" t="n">
        <v>0</v>
      </c>
      <c r="O2819" t="n">
        <v>0</v>
      </c>
      <c r="P2819" t="n">
        <v>0</v>
      </c>
      <c r="Q2819" t="n">
        <v>0</v>
      </c>
      <c r="R2819" t="n">
        <v>0</v>
      </c>
      <c r="S2819" t="n">
        <v>0</v>
      </c>
      <c r="T2819" t="n">
        <v>0</v>
      </c>
      <c r="U2819" t="n">
        <v>0</v>
      </c>
      <c r="V2819" s="2" t="inlineStr"/>
    </row>
    <row r="2820" ht="15" customHeight="1">
      <c r="A2820" t="inlineStr">
        <is>
          <t>A 9124-2025</t>
        </is>
      </c>
      <c r="B2820" t="inlineStr">
        <is>
          <t>avverkningsanmälan</t>
        </is>
      </c>
      <c r="C2820" t="inlineStr">
        <is>
          <t>Föryngringsavverkning</t>
        </is>
      </c>
      <c r="D2820" s="1" t="n">
        <v>45713</v>
      </c>
      <c r="E2820" s="1" t="n">
        <v>46323</v>
      </c>
      <c r="F2820" t="inlineStr">
        <is>
          <t>KALMAR LÄN</t>
        </is>
      </c>
      <c r="G2820" t="inlineStr">
        <is>
          <t>TORSÅS</t>
        </is>
      </c>
      <c r="I2820" t="n">
        <v>4.2</v>
      </c>
      <c r="J2820" t="n">
        <v>0</v>
      </c>
      <c r="K2820" t="n">
        <v>0</v>
      </c>
      <c r="L2820" t="n">
        <v>0</v>
      </c>
      <c r="M2820" t="n">
        <v>0</v>
      </c>
      <c r="N2820" t="n">
        <v>0</v>
      </c>
      <c r="O2820" t="n">
        <v>0</v>
      </c>
      <c r="P2820" t="n">
        <v>0</v>
      </c>
      <c r="Q2820" t="n">
        <v>0</v>
      </c>
      <c r="R2820" t="n">
        <v>0</v>
      </c>
      <c r="S2820" t="n">
        <v>0</v>
      </c>
      <c r="T2820" t="n">
        <v>0</v>
      </c>
      <c r="U2820" t="n">
        <v>0</v>
      </c>
      <c r="V2820" s="2" t="inlineStr"/>
    </row>
    <row r="2821" ht="15" customHeight="1">
      <c r="A2821" t="inlineStr">
        <is>
          <t>A 6727-2024</t>
        </is>
      </c>
      <c r="B2821" t="inlineStr">
        <is>
          <t>avverkningsanmälan</t>
        </is>
      </c>
      <c r="C2821" t="inlineStr">
        <is>
          <t>Föryngringsavverkning</t>
        </is>
      </c>
      <c r="D2821" s="1" t="n">
        <v>45341</v>
      </c>
      <c r="E2821" s="1" t="n">
        <v>46323</v>
      </c>
      <c r="F2821" t="inlineStr">
        <is>
          <t>KALMAR LÄN</t>
        </is>
      </c>
      <c r="G2821" t="inlineStr">
        <is>
          <t>NYBRO</t>
        </is>
      </c>
      <c r="I2821" t="n">
        <v>3.2</v>
      </c>
      <c r="J2821" t="n">
        <v>0</v>
      </c>
      <c r="K2821" t="n">
        <v>0</v>
      </c>
      <c r="L2821" t="n">
        <v>0</v>
      </c>
      <c r="M2821" t="n">
        <v>0</v>
      </c>
      <c r="N2821" t="n">
        <v>0</v>
      </c>
      <c r="O2821" t="n">
        <v>0</v>
      </c>
      <c r="P2821" t="n">
        <v>0</v>
      </c>
      <c r="Q2821" t="n">
        <v>0</v>
      </c>
      <c r="R2821" t="n">
        <v>0</v>
      </c>
      <c r="S2821" t="n">
        <v>0</v>
      </c>
      <c r="T2821" t="n">
        <v>0</v>
      </c>
      <c r="U2821" t="n">
        <v>0</v>
      </c>
      <c r="V2821" s="2" t="inlineStr"/>
    </row>
    <row r="2822" ht="15" customHeight="1">
      <c r="A2822" t="inlineStr">
        <is>
          <t>A 29180-2024</t>
        </is>
      </c>
      <c r="B2822" t="inlineStr">
        <is>
          <t>avverkningsanmälan</t>
        </is>
      </c>
      <c r="C2822" t="inlineStr">
        <is>
          <t>Föryngringsavverkning</t>
        </is>
      </c>
      <c r="D2822" s="1" t="n">
        <v>45482</v>
      </c>
      <c r="E2822" s="1" t="n">
        <v>46323</v>
      </c>
      <c r="F2822" t="inlineStr">
        <is>
          <t>KALMAR LÄN</t>
        </is>
      </c>
      <c r="G2822" t="inlineStr">
        <is>
          <t>VIMMERBY</t>
        </is>
      </c>
      <c r="I2822" t="n">
        <v>3.8</v>
      </c>
      <c r="J2822" t="n">
        <v>0</v>
      </c>
      <c r="K2822" t="n">
        <v>0</v>
      </c>
      <c r="L2822" t="n">
        <v>0</v>
      </c>
      <c r="M2822" t="n">
        <v>0</v>
      </c>
      <c r="N2822" t="n">
        <v>0</v>
      </c>
      <c r="O2822" t="n">
        <v>0</v>
      </c>
      <c r="P2822" t="n">
        <v>0</v>
      </c>
      <c r="Q2822" t="n">
        <v>0</v>
      </c>
      <c r="R2822" t="n">
        <v>0</v>
      </c>
      <c r="S2822" t="n">
        <v>0</v>
      </c>
      <c r="T2822" t="n">
        <v>0</v>
      </c>
      <c r="U2822" t="n">
        <v>0</v>
      </c>
      <c r="V2822" s="2" t="inlineStr"/>
    </row>
    <row r="2823" ht="15" customHeight="1">
      <c r="A2823" t="inlineStr">
        <is>
          <t>A 38924-2022</t>
        </is>
      </c>
      <c r="B2823" t="inlineStr">
        <is>
          <t>avverkningsanmälan</t>
        </is>
      </c>
      <c r="C2823" t="inlineStr">
        <is>
          <t>Föryngringsavverkning</t>
        </is>
      </c>
      <c r="D2823" s="1" t="n">
        <v>44816</v>
      </c>
      <c r="E2823" s="1" t="n">
        <v>46323</v>
      </c>
      <c r="F2823" t="inlineStr">
        <is>
          <t>KALMAR LÄN</t>
        </is>
      </c>
      <c r="G2823" t="inlineStr">
        <is>
          <t>EMMABODA</t>
        </is>
      </c>
      <c r="I2823" t="n">
        <v>3.1</v>
      </c>
      <c r="J2823" t="n">
        <v>0</v>
      </c>
      <c r="K2823" t="n">
        <v>0</v>
      </c>
      <c r="L2823" t="n">
        <v>0</v>
      </c>
      <c r="M2823" t="n">
        <v>0</v>
      </c>
      <c r="N2823" t="n">
        <v>0</v>
      </c>
      <c r="O2823" t="n">
        <v>0</v>
      </c>
      <c r="P2823" t="n">
        <v>0</v>
      </c>
      <c r="Q2823" t="n">
        <v>0</v>
      </c>
      <c r="R2823" t="n">
        <v>0</v>
      </c>
      <c r="S2823" t="n">
        <v>0</v>
      </c>
      <c r="T2823" t="n">
        <v>0</v>
      </c>
      <c r="U2823" t="n">
        <v>0</v>
      </c>
      <c r="V2823" s="2" t="inlineStr"/>
    </row>
    <row r="2824" ht="15" customHeight="1">
      <c r="A2824" t="inlineStr">
        <is>
          <t>A 47040-2025</t>
        </is>
      </c>
      <c r="B2824" t="inlineStr">
        <is>
          <t>avverkningsanmälan</t>
        </is>
      </c>
      <c r="C2824" t="inlineStr">
        <is>
          <t>Föryngringsavverkning</t>
        </is>
      </c>
      <c r="D2824" s="1" t="n">
        <v>45929</v>
      </c>
      <c r="E2824" s="1" t="n">
        <v>46323</v>
      </c>
      <c r="F2824" t="inlineStr">
        <is>
          <t>KALMAR LÄN</t>
        </is>
      </c>
      <c r="G2824" t="inlineStr">
        <is>
          <t>HULTSFRED</t>
        </is>
      </c>
      <c r="I2824" t="n">
        <v>1.2</v>
      </c>
      <c r="J2824" t="n">
        <v>0</v>
      </c>
      <c r="K2824" t="n">
        <v>0</v>
      </c>
      <c r="L2824" t="n">
        <v>0</v>
      </c>
      <c r="M2824" t="n">
        <v>0</v>
      </c>
      <c r="N2824" t="n">
        <v>0</v>
      </c>
      <c r="O2824" t="n">
        <v>0</v>
      </c>
      <c r="P2824" t="n">
        <v>0</v>
      </c>
      <c r="Q2824" t="n">
        <v>0</v>
      </c>
      <c r="R2824" t="n">
        <v>0</v>
      </c>
      <c r="S2824" t="n">
        <v>0</v>
      </c>
      <c r="T2824" t="n">
        <v>0</v>
      </c>
      <c r="U2824" t="n">
        <v>0</v>
      </c>
      <c r="V2824" s="2" t="inlineStr"/>
    </row>
    <row r="2825" ht="15" customHeight="1">
      <c r="A2825" t="inlineStr">
        <is>
          <t>A 2260-2022</t>
        </is>
      </c>
      <c r="B2825" t="inlineStr">
        <is>
          <t>avverkningsanmälan</t>
        </is>
      </c>
      <c r="C2825" t="inlineStr">
        <is>
          <t>Föryngringsavverkning</t>
        </is>
      </c>
      <c r="D2825" s="1" t="n">
        <v>44578</v>
      </c>
      <c r="E2825" s="1" t="n">
        <v>46323</v>
      </c>
      <c r="F2825" t="inlineStr">
        <is>
          <t>KALMAR LÄN</t>
        </is>
      </c>
      <c r="G2825" t="inlineStr">
        <is>
          <t>VIMMERBY</t>
        </is>
      </c>
      <c r="I2825" t="n">
        <v>1.4</v>
      </c>
      <c r="J2825" t="n">
        <v>0</v>
      </c>
      <c r="K2825" t="n">
        <v>0</v>
      </c>
      <c r="L2825" t="n">
        <v>0</v>
      </c>
      <c r="M2825" t="n">
        <v>0</v>
      </c>
      <c r="N2825" t="n">
        <v>0</v>
      </c>
      <c r="O2825" t="n">
        <v>0</v>
      </c>
      <c r="P2825" t="n">
        <v>0</v>
      </c>
      <c r="Q2825" t="n">
        <v>0</v>
      </c>
      <c r="R2825" t="n">
        <v>0</v>
      </c>
      <c r="S2825" t="n">
        <v>0</v>
      </c>
      <c r="T2825" t="n">
        <v>0</v>
      </c>
      <c r="U2825" t="n">
        <v>0</v>
      </c>
      <c r="V2825" s="2" t="inlineStr"/>
    </row>
    <row r="2826" ht="15" customHeight="1">
      <c r="A2826" t="inlineStr">
        <is>
          <t>A 49953-2023</t>
        </is>
      </c>
      <c r="B2826" t="inlineStr">
        <is>
          <t>avverkningsanmälan</t>
        </is>
      </c>
      <c r="C2826" t="inlineStr">
        <is>
          <t>Föryngringsavverkning</t>
        </is>
      </c>
      <c r="D2826" s="1" t="n">
        <v>45215</v>
      </c>
      <c r="E2826" s="1" t="n">
        <v>46323</v>
      </c>
      <c r="F2826" t="inlineStr">
        <is>
          <t>KALMAR LÄN</t>
        </is>
      </c>
      <c r="G2826" t="inlineStr">
        <is>
          <t>EMMABODA</t>
        </is>
      </c>
      <c r="I2826" t="n">
        <v>1.9</v>
      </c>
      <c r="J2826" t="n">
        <v>0</v>
      </c>
      <c r="K2826" t="n">
        <v>0</v>
      </c>
      <c r="L2826" t="n">
        <v>0</v>
      </c>
      <c r="M2826" t="n">
        <v>0</v>
      </c>
      <c r="N2826" t="n">
        <v>0</v>
      </c>
      <c r="O2826" t="n">
        <v>0</v>
      </c>
      <c r="P2826" t="n">
        <v>0</v>
      </c>
      <c r="Q2826" t="n">
        <v>0</v>
      </c>
      <c r="R2826" t="n">
        <v>0</v>
      </c>
      <c r="S2826" t="n">
        <v>0</v>
      </c>
      <c r="T2826" t="n">
        <v>0</v>
      </c>
      <c r="U2826" t="n">
        <v>0</v>
      </c>
      <c r="V2826" s="2" t="inlineStr"/>
    </row>
    <row r="2827" ht="15" customHeight="1">
      <c r="A2827" t="inlineStr">
        <is>
          <t>A 3321-2023</t>
        </is>
      </c>
      <c r="B2827" t="inlineStr">
        <is>
          <t>avverkningsanmälan</t>
        </is>
      </c>
      <c r="C2827" t="inlineStr">
        <is>
          <t>Föryngringsavverkning</t>
        </is>
      </c>
      <c r="D2827" s="1" t="n">
        <v>44949</v>
      </c>
      <c r="E2827" s="1" t="n">
        <v>46323</v>
      </c>
      <c r="F2827" t="inlineStr">
        <is>
          <t>KALMAR LÄN</t>
        </is>
      </c>
      <c r="G2827" t="inlineStr">
        <is>
          <t>EMMABODA</t>
        </is>
      </c>
      <c r="I2827" t="n">
        <v>1.6</v>
      </c>
      <c r="J2827" t="n">
        <v>0</v>
      </c>
      <c r="K2827" t="n">
        <v>0</v>
      </c>
      <c r="L2827" t="n">
        <v>0</v>
      </c>
      <c r="M2827" t="n">
        <v>0</v>
      </c>
      <c r="N2827" t="n">
        <v>0</v>
      </c>
      <c r="O2827" t="n">
        <v>0</v>
      </c>
      <c r="P2827" t="n">
        <v>0</v>
      </c>
      <c r="Q2827" t="n">
        <v>0</v>
      </c>
      <c r="R2827" t="n">
        <v>0</v>
      </c>
      <c r="S2827" t="n">
        <v>0</v>
      </c>
      <c r="T2827" t="n">
        <v>0</v>
      </c>
      <c r="U2827" t="n">
        <v>0</v>
      </c>
      <c r="V2827" s="2" t="inlineStr"/>
    </row>
    <row r="2828" ht="15" customHeight="1">
      <c r="A2828" t="inlineStr">
        <is>
          <t>A 9407-2023</t>
        </is>
      </c>
      <c r="B2828" t="inlineStr">
        <is>
          <t>avverkningsanmälan</t>
        </is>
      </c>
      <c r="C2828" t="inlineStr">
        <is>
          <t>Föryngringsavverkning</t>
        </is>
      </c>
      <c r="D2828" s="1" t="n">
        <v>44981</v>
      </c>
      <c r="E2828" s="1" t="n">
        <v>46323</v>
      </c>
      <c r="F2828" t="inlineStr">
        <is>
          <t>KALMAR LÄN</t>
        </is>
      </c>
      <c r="G2828" t="inlineStr">
        <is>
          <t>OSKARSHAMN</t>
        </is>
      </c>
      <c r="I2828" t="n">
        <v>0.6</v>
      </c>
      <c r="J2828" t="n">
        <v>0</v>
      </c>
      <c r="K2828" t="n">
        <v>0</v>
      </c>
      <c r="L2828" t="n">
        <v>0</v>
      </c>
      <c r="M2828" t="n">
        <v>0</v>
      </c>
      <c r="N2828" t="n">
        <v>0</v>
      </c>
      <c r="O2828" t="n">
        <v>0</v>
      </c>
      <c r="P2828" t="n">
        <v>0</v>
      </c>
      <c r="Q2828" t="n">
        <v>0</v>
      </c>
      <c r="R2828" t="n">
        <v>0</v>
      </c>
      <c r="S2828" t="n">
        <v>0</v>
      </c>
      <c r="T2828" t="n">
        <v>0</v>
      </c>
      <c r="U2828" t="n">
        <v>0</v>
      </c>
      <c r="V2828" s="2" t="inlineStr"/>
    </row>
    <row r="2829" ht="15" customHeight="1">
      <c r="A2829" t="inlineStr">
        <is>
          <t>A 532-2024</t>
        </is>
      </c>
      <c r="B2829" t="inlineStr">
        <is>
          <t>avverkningsanmälan</t>
        </is>
      </c>
      <c r="C2829" t="inlineStr">
        <is>
          <t>Föryngringsavverkning</t>
        </is>
      </c>
      <c r="D2829" s="1" t="n">
        <v>45299</v>
      </c>
      <c r="E2829" s="1" t="n">
        <v>46323</v>
      </c>
      <c r="F2829" t="inlineStr">
        <is>
          <t>KALMAR LÄN</t>
        </is>
      </c>
      <c r="G2829" t="inlineStr">
        <is>
          <t>TORSÅS</t>
        </is>
      </c>
      <c r="I2829" t="n">
        <v>1.4</v>
      </c>
      <c r="J2829" t="n">
        <v>0</v>
      </c>
      <c r="K2829" t="n">
        <v>0</v>
      </c>
      <c r="L2829" t="n">
        <v>0</v>
      </c>
      <c r="M2829" t="n">
        <v>0</v>
      </c>
      <c r="N2829" t="n">
        <v>0</v>
      </c>
      <c r="O2829" t="n">
        <v>0</v>
      </c>
      <c r="P2829" t="n">
        <v>0</v>
      </c>
      <c r="Q2829" t="n">
        <v>0</v>
      </c>
      <c r="R2829" t="n">
        <v>0</v>
      </c>
      <c r="S2829" t="n">
        <v>0</v>
      </c>
      <c r="T2829" t="n">
        <v>0</v>
      </c>
      <c r="U2829" t="n">
        <v>0</v>
      </c>
      <c r="V2829" s="2" t="inlineStr"/>
    </row>
    <row r="2830" ht="15" customHeight="1">
      <c r="A2830" t="inlineStr">
        <is>
          <t>A 50586-2024</t>
        </is>
      </c>
      <c r="B2830" t="inlineStr">
        <is>
          <t>avverkningsanmälan</t>
        </is>
      </c>
      <c r="C2830" t="inlineStr">
        <is>
          <t>Föryngringsavverkning</t>
        </is>
      </c>
      <c r="D2830" s="1" t="n">
        <v>45601</v>
      </c>
      <c r="E2830" s="1" t="n">
        <v>46323</v>
      </c>
      <c r="F2830" t="inlineStr">
        <is>
          <t>KALMAR LÄN</t>
        </is>
      </c>
      <c r="G2830" t="inlineStr">
        <is>
          <t>NYBRO</t>
        </is>
      </c>
      <c r="I2830" t="n">
        <v>1.3</v>
      </c>
      <c r="J2830" t="n">
        <v>0</v>
      </c>
      <c r="K2830" t="n">
        <v>0</v>
      </c>
      <c r="L2830" t="n">
        <v>0</v>
      </c>
      <c r="M2830" t="n">
        <v>0</v>
      </c>
      <c r="N2830" t="n">
        <v>0</v>
      </c>
      <c r="O2830" t="n">
        <v>0</v>
      </c>
      <c r="P2830" t="n">
        <v>0</v>
      </c>
      <c r="Q2830" t="n">
        <v>0</v>
      </c>
      <c r="R2830" t="n">
        <v>0</v>
      </c>
      <c r="S2830" t="n">
        <v>0</v>
      </c>
      <c r="T2830" t="n">
        <v>0</v>
      </c>
      <c r="U2830" t="n">
        <v>0</v>
      </c>
      <c r="V2830" s="2" t="inlineStr"/>
    </row>
    <row r="2831" ht="15" customHeight="1">
      <c r="A2831" t="inlineStr">
        <is>
          <t>A 4089-2025</t>
        </is>
      </c>
      <c r="B2831" t="inlineStr">
        <is>
          <t>avverkningsanmälan</t>
        </is>
      </c>
      <c r="C2831" t="inlineStr">
        <is>
          <t>Föryngringsavverkning</t>
        </is>
      </c>
      <c r="D2831" s="1" t="n">
        <v>45684</v>
      </c>
      <c r="E2831" s="1" t="n">
        <v>46323</v>
      </c>
      <c r="F2831" t="inlineStr">
        <is>
          <t>KALMAR LÄN</t>
        </is>
      </c>
      <c r="G2831" t="inlineStr">
        <is>
          <t>EMMABODA</t>
        </is>
      </c>
      <c r="I2831" t="n">
        <v>2.9</v>
      </c>
      <c r="J2831" t="n">
        <v>0</v>
      </c>
      <c r="K2831" t="n">
        <v>0</v>
      </c>
      <c r="L2831" t="n">
        <v>0</v>
      </c>
      <c r="M2831" t="n">
        <v>0</v>
      </c>
      <c r="N2831" t="n">
        <v>0</v>
      </c>
      <c r="O2831" t="n">
        <v>0</v>
      </c>
      <c r="P2831" t="n">
        <v>0</v>
      </c>
      <c r="Q2831" t="n">
        <v>0</v>
      </c>
      <c r="R2831" t="n">
        <v>0</v>
      </c>
      <c r="S2831" t="n">
        <v>0</v>
      </c>
      <c r="T2831" t="n">
        <v>0</v>
      </c>
      <c r="U2831" t="n">
        <v>0</v>
      </c>
      <c r="V2831" s="2" t="inlineStr"/>
    </row>
    <row r="2832" ht="15" customHeight="1">
      <c r="A2832" t="inlineStr">
        <is>
          <t>A 7753-2025</t>
        </is>
      </c>
      <c r="B2832" t="inlineStr">
        <is>
          <t>avverkningsanmälan</t>
        </is>
      </c>
      <c r="C2832" t="inlineStr">
        <is>
          <t>Föryngringsavverkning</t>
        </is>
      </c>
      <c r="D2832" s="1" t="n">
        <v>45706</v>
      </c>
      <c r="E2832" s="1" t="n">
        <v>46323</v>
      </c>
      <c r="F2832" t="inlineStr">
        <is>
          <t>KALMAR LÄN</t>
        </is>
      </c>
      <c r="G2832" t="inlineStr">
        <is>
          <t>HULTSFRED</t>
        </is>
      </c>
      <c r="I2832" t="n">
        <v>1.2</v>
      </c>
      <c r="J2832" t="n">
        <v>0</v>
      </c>
      <c r="K2832" t="n">
        <v>0</v>
      </c>
      <c r="L2832" t="n">
        <v>0</v>
      </c>
      <c r="M2832" t="n">
        <v>0</v>
      </c>
      <c r="N2832" t="n">
        <v>0</v>
      </c>
      <c r="O2832" t="n">
        <v>0</v>
      </c>
      <c r="P2832" t="n">
        <v>0</v>
      </c>
      <c r="Q2832" t="n">
        <v>0</v>
      </c>
      <c r="R2832" t="n">
        <v>0</v>
      </c>
      <c r="S2832" t="n">
        <v>0</v>
      </c>
      <c r="T2832" t="n">
        <v>0</v>
      </c>
      <c r="U2832" t="n">
        <v>0</v>
      </c>
      <c r="V2832" s="2" t="inlineStr"/>
    </row>
    <row r="2833" ht="15" customHeight="1">
      <c r="A2833" t="inlineStr">
        <is>
          <t>A 39350-2024</t>
        </is>
      </c>
      <c r="B2833" t="inlineStr">
        <is>
          <t>avverkningsanmälan</t>
        </is>
      </c>
      <c r="C2833" t="inlineStr">
        <is>
          <t>Föryngringsavverkning</t>
        </is>
      </c>
      <c r="D2833" s="1" t="n">
        <v>45551</v>
      </c>
      <c r="E2833" s="1" t="n">
        <v>46323</v>
      </c>
      <c r="F2833" t="inlineStr">
        <is>
          <t>KALMAR LÄN</t>
        </is>
      </c>
      <c r="G2833" t="inlineStr">
        <is>
          <t>KALMAR</t>
        </is>
      </c>
      <c r="I2833" t="n">
        <v>3.6</v>
      </c>
      <c r="J2833" t="n">
        <v>0</v>
      </c>
      <c r="K2833" t="n">
        <v>0</v>
      </c>
      <c r="L2833" t="n">
        <v>0</v>
      </c>
      <c r="M2833" t="n">
        <v>0</v>
      </c>
      <c r="N2833" t="n">
        <v>0</v>
      </c>
      <c r="O2833" t="n">
        <v>0</v>
      </c>
      <c r="P2833" t="n">
        <v>0</v>
      </c>
      <c r="Q2833" t="n">
        <v>0</v>
      </c>
      <c r="R2833" t="n">
        <v>0</v>
      </c>
      <c r="S2833" t="n">
        <v>0</v>
      </c>
      <c r="T2833" t="n">
        <v>0</v>
      </c>
      <c r="U2833" t="n">
        <v>0</v>
      </c>
      <c r="V2833" s="2" t="inlineStr"/>
    </row>
    <row r="2834" ht="15" customHeight="1">
      <c r="A2834" t="inlineStr">
        <is>
          <t>A 9831-2023</t>
        </is>
      </c>
      <c r="B2834" t="inlineStr">
        <is>
          <t>avverkningsanmälan</t>
        </is>
      </c>
      <c r="C2834" t="inlineStr">
        <is>
          <t>Föryngringsavverkning</t>
        </is>
      </c>
      <c r="D2834" s="1" t="n">
        <v>44984</v>
      </c>
      <c r="E2834" s="1" t="n">
        <v>46323</v>
      </c>
      <c r="F2834" t="inlineStr">
        <is>
          <t>KALMAR LÄN</t>
        </is>
      </c>
      <c r="G2834" t="inlineStr">
        <is>
          <t>OSKARSHAMN</t>
        </is>
      </c>
      <c r="I2834" t="n">
        <v>0.7</v>
      </c>
      <c r="J2834" t="n">
        <v>0</v>
      </c>
      <c r="K2834" t="n">
        <v>0</v>
      </c>
      <c r="L2834" t="n">
        <v>0</v>
      </c>
      <c r="M2834" t="n">
        <v>0</v>
      </c>
      <c r="N2834" t="n">
        <v>0</v>
      </c>
      <c r="O2834" t="n">
        <v>0</v>
      </c>
      <c r="P2834" t="n">
        <v>0</v>
      </c>
      <c r="Q2834" t="n">
        <v>0</v>
      </c>
      <c r="R2834" t="n">
        <v>0</v>
      </c>
      <c r="S2834" t="n">
        <v>0</v>
      </c>
      <c r="T2834" t="n">
        <v>0</v>
      </c>
      <c r="U2834" t="n">
        <v>0</v>
      </c>
      <c r="V2834" s="2" t="inlineStr"/>
    </row>
    <row r="2835" ht="15" customHeight="1">
      <c r="A2835" t="inlineStr">
        <is>
          <t>A 47059-2025</t>
        </is>
      </c>
      <c r="B2835" t="inlineStr">
        <is>
          <t>avverkningsanmälan</t>
        </is>
      </c>
      <c r="C2835" t="inlineStr">
        <is>
          <t>Föryngringsavverkning</t>
        </is>
      </c>
      <c r="D2835" s="1" t="n">
        <v>45929</v>
      </c>
      <c r="E2835" s="1" t="n">
        <v>46323</v>
      </c>
      <c r="F2835" t="inlineStr">
        <is>
          <t>KALMAR LÄN</t>
        </is>
      </c>
      <c r="G2835" t="inlineStr">
        <is>
          <t>OSKARSHAMN</t>
        </is>
      </c>
      <c r="I2835" t="n">
        <v>4.6</v>
      </c>
      <c r="J2835" t="n">
        <v>0</v>
      </c>
      <c r="K2835" t="n">
        <v>0</v>
      </c>
      <c r="L2835" t="n">
        <v>0</v>
      </c>
      <c r="M2835" t="n">
        <v>0</v>
      </c>
      <c r="N2835" t="n">
        <v>0</v>
      </c>
      <c r="O2835" t="n">
        <v>0</v>
      </c>
      <c r="P2835" t="n">
        <v>0</v>
      </c>
      <c r="Q2835" t="n">
        <v>0</v>
      </c>
      <c r="R2835" t="n">
        <v>0</v>
      </c>
      <c r="S2835" t="n">
        <v>0</v>
      </c>
      <c r="T2835" t="n">
        <v>0</v>
      </c>
      <c r="U2835" t="n">
        <v>0</v>
      </c>
      <c r="V2835" s="2" t="inlineStr"/>
    </row>
    <row r="2836" ht="15" customHeight="1">
      <c r="A2836" t="inlineStr">
        <is>
          <t>A 35534-2024</t>
        </is>
      </c>
      <c r="B2836" t="inlineStr">
        <is>
          <t>avverkningsanmälan</t>
        </is>
      </c>
      <c r="C2836" t="inlineStr">
        <is>
          <t>Föryngringsavverkning</t>
        </is>
      </c>
      <c r="D2836" s="1" t="n">
        <v>45531</v>
      </c>
      <c r="E2836" s="1" t="n">
        <v>46323</v>
      </c>
      <c r="F2836" t="inlineStr">
        <is>
          <t>KALMAR LÄN</t>
        </is>
      </c>
      <c r="G2836" t="inlineStr">
        <is>
          <t>OSKARSHAMN</t>
        </is>
      </c>
      <c r="I2836" t="n">
        <v>0.7</v>
      </c>
      <c r="J2836" t="n">
        <v>0</v>
      </c>
      <c r="K2836" t="n">
        <v>0</v>
      </c>
      <c r="L2836" t="n">
        <v>0</v>
      </c>
      <c r="M2836" t="n">
        <v>0</v>
      </c>
      <c r="N2836" t="n">
        <v>0</v>
      </c>
      <c r="O2836" t="n">
        <v>0</v>
      </c>
      <c r="P2836" t="n">
        <v>0</v>
      </c>
      <c r="Q2836" t="n">
        <v>0</v>
      </c>
      <c r="R2836" t="n">
        <v>0</v>
      </c>
      <c r="S2836" t="n">
        <v>0</v>
      </c>
      <c r="T2836" t="n">
        <v>0</v>
      </c>
      <c r="U2836" t="n">
        <v>0</v>
      </c>
      <c r="V2836" s="2" t="inlineStr"/>
    </row>
    <row r="2837" ht="15" customHeight="1">
      <c r="A2837" t="inlineStr">
        <is>
          <t>A 56254-2024</t>
        </is>
      </c>
      <c r="B2837" t="inlineStr">
        <is>
          <t>avverkningsanmälan</t>
        </is>
      </c>
      <c r="C2837" t="inlineStr">
        <is>
          <t>Föryngringsavverkning</t>
        </is>
      </c>
      <c r="D2837" s="1" t="n">
        <v>45624</v>
      </c>
      <c r="E2837" s="1" t="n">
        <v>46323</v>
      </c>
      <c r="F2837" t="inlineStr">
        <is>
          <t>KALMAR LÄN</t>
        </is>
      </c>
      <c r="G2837" t="inlineStr">
        <is>
          <t>EMMABODA</t>
        </is>
      </c>
      <c r="I2837" t="n">
        <v>2.4</v>
      </c>
      <c r="J2837" t="n">
        <v>0</v>
      </c>
      <c r="K2837" t="n">
        <v>0</v>
      </c>
      <c r="L2837" t="n">
        <v>0</v>
      </c>
      <c r="M2837" t="n">
        <v>0</v>
      </c>
      <c r="N2837" t="n">
        <v>0</v>
      </c>
      <c r="O2837" t="n">
        <v>0</v>
      </c>
      <c r="P2837" t="n">
        <v>0</v>
      </c>
      <c r="Q2837" t="n">
        <v>0</v>
      </c>
      <c r="R2837" t="n">
        <v>0</v>
      </c>
      <c r="S2837" t="n">
        <v>0</v>
      </c>
      <c r="T2837" t="n">
        <v>0</v>
      </c>
      <c r="U2837" t="n">
        <v>0</v>
      </c>
      <c r="V2837" s="2" t="inlineStr"/>
    </row>
    <row r="2838" ht="15" customHeight="1">
      <c r="A2838" t="inlineStr">
        <is>
          <t>A 47417-2025</t>
        </is>
      </c>
      <c r="B2838" t="inlineStr">
        <is>
          <t>avverkningsanmälan</t>
        </is>
      </c>
      <c r="C2838" t="inlineStr">
        <is>
          <t>Föryngringsavverkning</t>
        </is>
      </c>
      <c r="D2838" s="1" t="n">
        <v>45930</v>
      </c>
      <c r="E2838" s="1" t="n">
        <v>46323</v>
      </c>
      <c r="F2838" t="inlineStr">
        <is>
          <t>KALMAR LÄN</t>
        </is>
      </c>
      <c r="G2838" t="inlineStr">
        <is>
          <t>KALMAR</t>
        </is>
      </c>
      <c r="I2838" t="n">
        <v>1.8</v>
      </c>
      <c r="J2838" t="n">
        <v>0</v>
      </c>
      <c r="K2838" t="n">
        <v>0</v>
      </c>
      <c r="L2838" t="n">
        <v>0</v>
      </c>
      <c r="M2838" t="n">
        <v>0</v>
      </c>
      <c r="N2838" t="n">
        <v>0</v>
      </c>
      <c r="O2838" t="n">
        <v>0</v>
      </c>
      <c r="P2838" t="n">
        <v>0</v>
      </c>
      <c r="Q2838" t="n">
        <v>0</v>
      </c>
      <c r="R2838" t="n">
        <v>0</v>
      </c>
      <c r="S2838" t="n">
        <v>0</v>
      </c>
      <c r="T2838" t="n">
        <v>0</v>
      </c>
      <c r="U2838" t="n">
        <v>0</v>
      </c>
      <c r="V2838" s="2" t="inlineStr"/>
    </row>
    <row r="2839" ht="15" customHeight="1">
      <c r="A2839" t="inlineStr">
        <is>
          <t>A 47033-2025</t>
        </is>
      </c>
      <c r="B2839" t="inlineStr">
        <is>
          <t>avverkningsanmälan</t>
        </is>
      </c>
      <c r="C2839" t="inlineStr">
        <is>
          <t>Föryngringsavverkning</t>
        </is>
      </c>
      <c r="D2839" s="1" t="n">
        <v>45929</v>
      </c>
      <c r="E2839" s="1" t="n">
        <v>46323</v>
      </c>
      <c r="F2839" t="inlineStr">
        <is>
          <t>KALMAR LÄN</t>
        </is>
      </c>
      <c r="G2839" t="inlineStr">
        <is>
          <t>HULTSFRED</t>
        </is>
      </c>
      <c r="H2839" t="inlineStr">
        <is>
          <t>Övriga Aktiebolag</t>
        </is>
      </c>
      <c r="I2839" t="n">
        <v>0.7</v>
      </c>
      <c r="J2839" t="n">
        <v>0</v>
      </c>
      <c r="K2839" t="n">
        <v>0</v>
      </c>
      <c r="L2839" t="n">
        <v>0</v>
      </c>
      <c r="M2839" t="n">
        <v>0</v>
      </c>
      <c r="N2839" t="n">
        <v>0</v>
      </c>
      <c r="O2839" t="n">
        <v>0</v>
      </c>
      <c r="P2839" t="n">
        <v>0</v>
      </c>
      <c r="Q2839" t="n">
        <v>0</v>
      </c>
      <c r="R2839" t="n">
        <v>0</v>
      </c>
      <c r="S2839" t="n">
        <v>0</v>
      </c>
      <c r="T2839" t="n">
        <v>0</v>
      </c>
      <c r="U2839" t="n">
        <v>0</v>
      </c>
      <c r="V2839" s="2" t="inlineStr"/>
    </row>
    <row r="2840" ht="15" customHeight="1">
      <c r="A2840" t="inlineStr">
        <is>
          <t>A 7760-2022</t>
        </is>
      </c>
      <c r="B2840" t="inlineStr">
        <is>
          <t>avverkningsanmälan</t>
        </is>
      </c>
      <c r="C2840" t="inlineStr">
        <is>
          <t>Föryngringsavverkning</t>
        </is>
      </c>
      <c r="D2840" s="1" t="n">
        <v>44608</v>
      </c>
      <c r="E2840" s="1" t="n">
        <v>46323</v>
      </c>
      <c r="F2840" t="inlineStr">
        <is>
          <t>KALMAR LÄN</t>
        </is>
      </c>
      <c r="G2840" t="inlineStr">
        <is>
          <t>EMMABODA</t>
        </is>
      </c>
      <c r="I2840" t="n">
        <v>1.4</v>
      </c>
      <c r="J2840" t="n">
        <v>0</v>
      </c>
      <c r="K2840" t="n">
        <v>0</v>
      </c>
      <c r="L2840" t="n">
        <v>0</v>
      </c>
      <c r="M2840" t="n">
        <v>0</v>
      </c>
      <c r="N2840" t="n">
        <v>0</v>
      </c>
      <c r="O2840" t="n">
        <v>0</v>
      </c>
      <c r="P2840" t="n">
        <v>0</v>
      </c>
      <c r="Q2840" t="n">
        <v>0</v>
      </c>
      <c r="R2840" t="n">
        <v>0</v>
      </c>
      <c r="S2840" t="n">
        <v>0</v>
      </c>
      <c r="T2840" t="n">
        <v>0</v>
      </c>
      <c r="U2840" t="n">
        <v>0</v>
      </c>
      <c r="V2840" s="2" t="inlineStr"/>
    </row>
    <row r="2841" ht="15" customHeight="1">
      <c r="A2841" t="inlineStr">
        <is>
          <t>A 40814-2024</t>
        </is>
      </c>
      <c r="B2841" t="inlineStr">
        <is>
          <t>avverkningsanmälan</t>
        </is>
      </c>
      <c r="C2841" t="inlineStr">
        <is>
          <t>Avverkning för att bevara och utveckla /försöksver</t>
        </is>
      </c>
      <c r="D2841" s="1" t="n">
        <v>45558</v>
      </c>
      <c r="E2841" s="1" t="n">
        <v>46323</v>
      </c>
      <c r="F2841" t="inlineStr">
        <is>
          <t>KALMAR LÄN</t>
        </is>
      </c>
      <c r="G2841" t="inlineStr">
        <is>
          <t>KALMAR</t>
        </is>
      </c>
      <c r="H2841" t="inlineStr">
        <is>
          <t>Sveaskog</t>
        </is>
      </c>
      <c r="I2841" t="n">
        <v>2.1</v>
      </c>
      <c r="J2841" t="n">
        <v>0</v>
      </c>
      <c r="K2841" t="n">
        <v>0</v>
      </c>
      <c r="L2841" t="n">
        <v>0</v>
      </c>
      <c r="M2841" t="n">
        <v>0</v>
      </c>
      <c r="N2841" t="n">
        <v>0</v>
      </c>
      <c r="O2841" t="n">
        <v>0</v>
      </c>
      <c r="P2841" t="n">
        <v>0</v>
      </c>
      <c r="Q2841" t="n">
        <v>0</v>
      </c>
      <c r="R2841" t="n">
        <v>0</v>
      </c>
      <c r="S2841" t="n">
        <v>0</v>
      </c>
      <c r="T2841" t="n">
        <v>0</v>
      </c>
      <c r="U2841" t="n">
        <v>0</v>
      </c>
      <c r="V2841" s="2" t="inlineStr"/>
    </row>
    <row r="2842" ht="15" customHeight="1">
      <c r="A2842" t="inlineStr">
        <is>
          <t>A 47062-2025</t>
        </is>
      </c>
      <c r="B2842" t="inlineStr">
        <is>
          <t>avverkningsanmälan</t>
        </is>
      </c>
      <c r="C2842" t="inlineStr">
        <is>
          <t>Föryngringsavverkning</t>
        </is>
      </c>
      <c r="D2842" s="1" t="n">
        <v>45929</v>
      </c>
      <c r="E2842" s="1" t="n">
        <v>46323</v>
      </c>
      <c r="F2842" t="inlineStr">
        <is>
          <t>KALMAR LÄN</t>
        </is>
      </c>
      <c r="G2842" t="inlineStr">
        <is>
          <t>OSKARSHAMN</t>
        </is>
      </c>
      <c r="I2842" t="n">
        <v>4.2</v>
      </c>
      <c r="J2842" t="n">
        <v>0</v>
      </c>
      <c r="K2842" t="n">
        <v>0</v>
      </c>
      <c r="L2842" t="n">
        <v>0</v>
      </c>
      <c r="M2842" t="n">
        <v>0</v>
      </c>
      <c r="N2842" t="n">
        <v>0</v>
      </c>
      <c r="O2842" t="n">
        <v>0</v>
      </c>
      <c r="P2842" t="n">
        <v>0</v>
      </c>
      <c r="Q2842" t="n">
        <v>0</v>
      </c>
      <c r="R2842" t="n">
        <v>0</v>
      </c>
      <c r="S2842" t="n">
        <v>0</v>
      </c>
      <c r="T2842" t="n">
        <v>0</v>
      </c>
      <c r="U2842" t="n">
        <v>0</v>
      </c>
      <c r="V2842" s="2" t="inlineStr"/>
    </row>
    <row r="2843" ht="15" customHeight="1">
      <c r="A2843" t="inlineStr">
        <is>
          <t>A 25714-2023</t>
        </is>
      </c>
      <c r="B2843" t="inlineStr">
        <is>
          <t>avverkningsanmälan</t>
        </is>
      </c>
      <c r="C2843" t="inlineStr">
        <is>
          <t>Föryngringsavverkning</t>
        </is>
      </c>
      <c r="D2843" s="1" t="n">
        <v>45089</v>
      </c>
      <c r="E2843" s="1" t="n">
        <v>46323</v>
      </c>
      <c r="F2843" t="inlineStr">
        <is>
          <t>KALMAR LÄN</t>
        </is>
      </c>
      <c r="G2843" t="inlineStr">
        <is>
          <t>VÄSTERVIK</t>
        </is>
      </c>
      <c r="I2843" t="n">
        <v>10.5</v>
      </c>
      <c r="J2843" t="n">
        <v>0</v>
      </c>
      <c r="K2843" t="n">
        <v>0</v>
      </c>
      <c r="L2843" t="n">
        <v>0</v>
      </c>
      <c r="M2843" t="n">
        <v>0</v>
      </c>
      <c r="N2843" t="n">
        <v>0</v>
      </c>
      <c r="O2843" t="n">
        <v>0</v>
      </c>
      <c r="P2843" t="n">
        <v>0</v>
      </c>
      <c r="Q2843" t="n">
        <v>0</v>
      </c>
      <c r="R2843" t="n">
        <v>0</v>
      </c>
      <c r="S2843" t="n">
        <v>0</v>
      </c>
      <c r="T2843" t="n">
        <v>0</v>
      </c>
      <c r="U2843" t="n">
        <v>0</v>
      </c>
      <c r="V2843" s="2" t="inlineStr"/>
    </row>
    <row r="2844" ht="15" customHeight="1">
      <c r="A2844" t="inlineStr">
        <is>
          <t>A 59467-2024</t>
        </is>
      </c>
      <c r="B2844" t="inlineStr">
        <is>
          <t>avverkningsanmälan</t>
        </is>
      </c>
      <c r="C2844" t="inlineStr">
        <is>
          <t>Föryngringsavverkning</t>
        </is>
      </c>
      <c r="D2844" s="1" t="n">
        <v>45638</v>
      </c>
      <c r="E2844" s="1" t="n">
        <v>46323</v>
      </c>
      <c r="F2844" t="inlineStr">
        <is>
          <t>KALMAR LÄN</t>
        </is>
      </c>
      <c r="G2844" t="inlineStr">
        <is>
          <t>HULTSFRED</t>
        </is>
      </c>
      <c r="H2844" t="inlineStr">
        <is>
          <t>Sveaskog</t>
        </is>
      </c>
      <c r="I2844" t="n">
        <v>3.8</v>
      </c>
      <c r="J2844" t="n">
        <v>0</v>
      </c>
      <c r="K2844" t="n">
        <v>0</v>
      </c>
      <c r="L2844" t="n">
        <v>0</v>
      </c>
      <c r="M2844" t="n">
        <v>0</v>
      </c>
      <c r="N2844" t="n">
        <v>0</v>
      </c>
      <c r="O2844" t="n">
        <v>0</v>
      </c>
      <c r="P2844" t="n">
        <v>0</v>
      </c>
      <c r="Q2844" t="n">
        <v>0</v>
      </c>
      <c r="R2844" t="n">
        <v>0</v>
      </c>
      <c r="S2844" t="n">
        <v>0</v>
      </c>
      <c r="T2844" t="n">
        <v>0</v>
      </c>
      <c r="U2844" t="n">
        <v>0</v>
      </c>
      <c r="V2844" s="2" t="inlineStr"/>
    </row>
    <row r="2845" ht="15" customHeight="1">
      <c r="A2845" t="inlineStr">
        <is>
          <t>A 26061-2023</t>
        </is>
      </c>
      <c r="B2845" t="inlineStr">
        <is>
          <t>avverkningsanmälan</t>
        </is>
      </c>
      <c r="C2845" t="inlineStr">
        <is>
          <t>Föryngringsavverkning</t>
        </is>
      </c>
      <c r="D2845" s="1" t="n">
        <v>45091</v>
      </c>
      <c r="E2845" s="1" t="n">
        <v>46323</v>
      </c>
      <c r="F2845" t="inlineStr">
        <is>
          <t>KALMAR LÄN</t>
        </is>
      </c>
      <c r="G2845" t="inlineStr">
        <is>
          <t>MÖNSTERÅS</t>
        </is>
      </c>
      <c r="I2845" t="n">
        <v>2.6</v>
      </c>
      <c r="J2845" t="n">
        <v>0</v>
      </c>
      <c r="K2845" t="n">
        <v>0</v>
      </c>
      <c r="L2845" t="n">
        <v>0</v>
      </c>
      <c r="M2845" t="n">
        <v>0</v>
      </c>
      <c r="N2845" t="n">
        <v>0</v>
      </c>
      <c r="O2845" t="n">
        <v>0</v>
      </c>
      <c r="P2845" t="n">
        <v>0</v>
      </c>
      <c r="Q2845" t="n">
        <v>0</v>
      </c>
      <c r="R2845" t="n">
        <v>0</v>
      </c>
      <c r="S2845" t="n">
        <v>0</v>
      </c>
      <c r="T2845" t="n">
        <v>0</v>
      </c>
      <c r="U2845" t="n">
        <v>0</v>
      </c>
      <c r="V2845" s="2" t="inlineStr"/>
    </row>
    <row r="2846" ht="15" customHeight="1">
      <c r="A2846" t="inlineStr">
        <is>
          <t>A 47163-2025</t>
        </is>
      </c>
      <c r="B2846" t="inlineStr">
        <is>
          <t>avverkningsanmälan</t>
        </is>
      </c>
      <c r="C2846" t="inlineStr">
        <is>
          <t>Föryngringsavverkning</t>
        </is>
      </c>
      <c r="D2846" s="1" t="n">
        <v>45929</v>
      </c>
      <c r="E2846" s="1" t="n">
        <v>46323</v>
      </c>
      <c r="F2846" t="inlineStr">
        <is>
          <t>KALMAR LÄN</t>
        </is>
      </c>
      <c r="G2846" t="inlineStr">
        <is>
          <t>OSKARSHAMN</t>
        </is>
      </c>
      <c r="I2846" t="n">
        <v>1</v>
      </c>
      <c r="J2846" t="n">
        <v>0</v>
      </c>
      <c r="K2846" t="n">
        <v>0</v>
      </c>
      <c r="L2846" t="n">
        <v>0</v>
      </c>
      <c r="M2846" t="n">
        <v>0</v>
      </c>
      <c r="N2846" t="n">
        <v>0</v>
      </c>
      <c r="O2846" t="n">
        <v>0</v>
      </c>
      <c r="P2846" t="n">
        <v>0</v>
      </c>
      <c r="Q2846" t="n">
        <v>0</v>
      </c>
      <c r="R2846" t="n">
        <v>0</v>
      </c>
      <c r="S2846" t="n">
        <v>0</v>
      </c>
      <c r="T2846" t="n">
        <v>0</v>
      </c>
      <c r="U2846" t="n">
        <v>0</v>
      </c>
      <c r="V2846" s="2" t="inlineStr"/>
    </row>
    <row r="2847" ht="15" customHeight="1">
      <c r="A2847" t="inlineStr">
        <is>
          <t>A 27873-2024</t>
        </is>
      </c>
      <c r="B2847" t="inlineStr">
        <is>
          <t>avverkningsanmälan</t>
        </is>
      </c>
      <c r="C2847" t="inlineStr">
        <is>
          <t>Föryngringsavverkning</t>
        </is>
      </c>
      <c r="D2847" s="1" t="n">
        <v>45475</v>
      </c>
      <c r="E2847" s="1" t="n">
        <v>46323</v>
      </c>
      <c r="F2847" t="inlineStr">
        <is>
          <t>KALMAR LÄN</t>
        </is>
      </c>
      <c r="G2847" t="inlineStr">
        <is>
          <t>NYBRO</t>
        </is>
      </c>
      <c r="I2847" t="n">
        <v>2.8</v>
      </c>
      <c r="J2847" t="n">
        <v>0</v>
      </c>
      <c r="K2847" t="n">
        <v>0</v>
      </c>
      <c r="L2847" t="n">
        <v>0</v>
      </c>
      <c r="M2847" t="n">
        <v>0</v>
      </c>
      <c r="N2847" t="n">
        <v>0</v>
      </c>
      <c r="O2847" t="n">
        <v>0</v>
      </c>
      <c r="P2847" t="n">
        <v>0</v>
      </c>
      <c r="Q2847" t="n">
        <v>0</v>
      </c>
      <c r="R2847" t="n">
        <v>0</v>
      </c>
      <c r="S2847" t="n">
        <v>0</v>
      </c>
      <c r="T2847" t="n">
        <v>0</v>
      </c>
      <c r="U2847" t="n">
        <v>0</v>
      </c>
      <c r="V2847" s="2" t="inlineStr"/>
    </row>
    <row r="2848" ht="15" customHeight="1">
      <c r="A2848" t="inlineStr">
        <is>
          <t>A 47227-2025</t>
        </is>
      </c>
      <c r="B2848" t="inlineStr">
        <is>
          <t>avverkningsanmälan</t>
        </is>
      </c>
      <c r="C2848" t="inlineStr">
        <is>
          <t>Föryngringsavverkning</t>
        </is>
      </c>
      <c r="D2848" s="1" t="n">
        <v>45930</v>
      </c>
      <c r="E2848" s="1" t="n">
        <v>46323</v>
      </c>
      <c r="F2848" t="inlineStr">
        <is>
          <t>KALMAR LÄN</t>
        </is>
      </c>
      <c r="G2848" t="inlineStr">
        <is>
          <t>VIMMERBY</t>
        </is>
      </c>
      <c r="I2848" t="n">
        <v>1.3</v>
      </c>
      <c r="J2848" t="n">
        <v>0</v>
      </c>
      <c r="K2848" t="n">
        <v>0</v>
      </c>
      <c r="L2848" t="n">
        <v>0</v>
      </c>
      <c r="M2848" t="n">
        <v>0</v>
      </c>
      <c r="N2848" t="n">
        <v>0</v>
      </c>
      <c r="O2848" t="n">
        <v>0</v>
      </c>
      <c r="P2848" t="n">
        <v>0</v>
      </c>
      <c r="Q2848" t="n">
        <v>0</v>
      </c>
      <c r="R2848" t="n">
        <v>0</v>
      </c>
      <c r="S2848" t="n">
        <v>0</v>
      </c>
      <c r="T2848" t="n">
        <v>0</v>
      </c>
      <c r="U2848" t="n">
        <v>0</v>
      </c>
      <c r="V2848" s="2" t="inlineStr"/>
    </row>
    <row r="2849" ht="15" customHeight="1">
      <c r="A2849" t="inlineStr">
        <is>
          <t>A 47283-2025</t>
        </is>
      </c>
      <c r="B2849" t="inlineStr">
        <is>
          <t>avverkningsanmälan</t>
        </is>
      </c>
      <c r="C2849" t="inlineStr">
        <is>
          <t>Föryngringsavverkning</t>
        </is>
      </c>
      <c r="D2849" s="1" t="n">
        <v>45930</v>
      </c>
      <c r="E2849" s="1" t="n">
        <v>46323</v>
      </c>
      <c r="F2849" t="inlineStr">
        <is>
          <t>KALMAR LÄN</t>
        </is>
      </c>
      <c r="G2849" t="inlineStr">
        <is>
          <t>OSKARSHAMN</t>
        </is>
      </c>
      <c r="I2849" t="n">
        <v>4.5</v>
      </c>
      <c r="J2849" t="n">
        <v>0</v>
      </c>
      <c r="K2849" t="n">
        <v>0</v>
      </c>
      <c r="L2849" t="n">
        <v>0</v>
      </c>
      <c r="M2849" t="n">
        <v>0</v>
      </c>
      <c r="N2849" t="n">
        <v>0</v>
      </c>
      <c r="O2849" t="n">
        <v>0</v>
      </c>
      <c r="P2849" t="n">
        <v>0</v>
      </c>
      <c r="Q2849" t="n">
        <v>0</v>
      </c>
      <c r="R2849" t="n">
        <v>0</v>
      </c>
      <c r="S2849" t="n">
        <v>0</v>
      </c>
      <c r="T2849" t="n">
        <v>0</v>
      </c>
      <c r="U2849" t="n">
        <v>0</v>
      </c>
      <c r="V2849" s="2" t="inlineStr"/>
    </row>
    <row r="2850" ht="15" customHeight="1">
      <c r="A2850" t="inlineStr">
        <is>
          <t>A 29020-2024</t>
        </is>
      </c>
      <c r="B2850" t="inlineStr">
        <is>
          <t>avverkningsanmälan</t>
        </is>
      </c>
      <c r="C2850" t="inlineStr">
        <is>
          <t>Föryngringsavverkning</t>
        </is>
      </c>
      <c r="D2850" s="1" t="n">
        <v>45481</v>
      </c>
      <c r="E2850" s="1" t="n">
        <v>46323</v>
      </c>
      <c r="F2850" t="inlineStr">
        <is>
          <t>KALMAR LÄN</t>
        </is>
      </c>
      <c r="G2850" t="inlineStr">
        <is>
          <t>VIMMERBY</t>
        </is>
      </c>
      <c r="I2850" t="n">
        <v>2.3</v>
      </c>
      <c r="J2850" t="n">
        <v>0</v>
      </c>
      <c r="K2850" t="n">
        <v>0</v>
      </c>
      <c r="L2850" t="n">
        <v>0</v>
      </c>
      <c r="M2850" t="n">
        <v>0</v>
      </c>
      <c r="N2850" t="n">
        <v>0</v>
      </c>
      <c r="O2850" t="n">
        <v>0</v>
      </c>
      <c r="P2850" t="n">
        <v>0</v>
      </c>
      <c r="Q2850" t="n">
        <v>0</v>
      </c>
      <c r="R2850" t="n">
        <v>0</v>
      </c>
      <c r="S2850" t="n">
        <v>0</v>
      </c>
      <c r="T2850" t="n">
        <v>0</v>
      </c>
      <c r="U2850" t="n">
        <v>0</v>
      </c>
      <c r="V2850" s="2" t="inlineStr"/>
    </row>
    <row r="2851" ht="15" customHeight="1">
      <c r="A2851" t="inlineStr">
        <is>
          <t>A 41581-2024</t>
        </is>
      </c>
      <c r="B2851" t="inlineStr">
        <is>
          <t>avverkningsanmälan</t>
        </is>
      </c>
      <c r="C2851" t="inlineStr">
        <is>
          <t>Föryngringsavverkning</t>
        </is>
      </c>
      <c r="D2851" s="1" t="n">
        <v>45560</v>
      </c>
      <c r="E2851" s="1" t="n">
        <v>46323</v>
      </c>
      <c r="F2851" t="inlineStr">
        <is>
          <t>KALMAR LÄN</t>
        </is>
      </c>
      <c r="G2851" t="inlineStr">
        <is>
          <t>MÖNSTERÅS</t>
        </is>
      </c>
      <c r="I2851" t="n">
        <v>2.7</v>
      </c>
      <c r="J2851" t="n">
        <v>0</v>
      </c>
      <c r="K2851" t="n">
        <v>0</v>
      </c>
      <c r="L2851" t="n">
        <v>0</v>
      </c>
      <c r="M2851" t="n">
        <v>0</v>
      </c>
      <c r="N2851" t="n">
        <v>0</v>
      </c>
      <c r="O2851" t="n">
        <v>0</v>
      </c>
      <c r="P2851" t="n">
        <v>0</v>
      </c>
      <c r="Q2851" t="n">
        <v>0</v>
      </c>
      <c r="R2851" t="n">
        <v>0</v>
      </c>
      <c r="S2851" t="n">
        <v>0</v>
      </c>
      <c r="T2851" t="n">
        <v>0</v>
      </c>
      <c r="U2851" t="n">
        <v>0</v>
      </c>
      <c r="V2851" s="2" t="inlineStr"/>
    </row>
    <row r="2852" ht="15" customHeight="1">
      <c r="A2852" t="inlineStr">
        <is>
          <t>A 22974-2024</t>
        </is>
      </c>
      <c r="B2852" t="inlineStr">
        <is>
          <t>avverkningsanmälan</t>
        </is>
      </c>
      <c r="C2852" t="inlineStr">
        <is>
          <t>Föryngringsavverkning</t>
        </is>
      </c>
      <c r="D2852" s="1" t="n">
        <v>45449</v>
      </c>
      <c r="E2852" s="1" t="n">
        <v>46323</v>
      </c>
      <c r="F2852" t="inlineStr">
        <is>
          <t>KALMAR LÄN</t>
        </is>
      </c>
      <c r="G2852" t="inlineStr">
        <is>
          <t>NYBRO</t>
        </is>
      </c>
      <c r="I2852" t="n">
        <v>8.4</v>
      </c>
      <c r="J2852" t="n">
        <v>0</v>
      </c>
      <c r="K2852" t="n">
        <v>0</v>
      </c>
      <c r="L2852" t="n">
        <v>0</v>
      </c>
      <c r="M2852" t="n">
        <v>0</v>
      </c>
      <c r="N2852" t="n">
        <v>0</v>
      </c>
      <c r="O2852" t="n">
        <v>0</v>
      </c>
      <c r="P2852" t="n">
        <v>0</v>
      </c>
      <c r="Q2852" t="n">
        <v>0</v>
      </c>
      <c r="R2852" t="n">
        <v>0</v>
      </c>
      <c r="S2852" t="n">
        <v>0</v>
      </c>
      <c r="T2852" t="n">
        <v>0</v>
      </c>
      <c r="U2852" t="n">
        <v>0</v>
      </c>
      <c r="V2852" s="2" t="inlineStr"/>
    </row>
    <row r="2853" ht="15" customHeight="1">
      <c r="A2853" t="inlineStr">
        <is>
          <t>A 26549-2024</t>
        </is>
      </c>
      <c r="B2853" t="inlineStr">
        <is>
          <t>avverkningsanmälan</t>
        </is>
      </c>
      <c r="C2853" t="inlineStr">
        <is>
          <t>Föryngringsavverkning</t>
        </is>
      </c>
      <c r="D2853" s="1" t="n">
        <v>45469</v>
      </c>
      <c r="E2853" s="1" t="n">
        <v>46323</v>
      </c>
      <c r="F2853" t="inlineStr">
        <is>
          <t>KALMAR LÄN</t>
        </is>
      </c>
      <c r="G2853" t="inlineStr">
        <is>
          <t>OSKARSHAMN</t>
        </is>
      </c>
      <c r="I2853" t="n">
        <v>0.8</v>
      </c>
      <c r="J2853" t="n">
        <v>0</v>
      </c>
      <c r="K2853" t="n">
        <v>0</v>
      </c>
      <c r="L2853" t="n">
        <v>0</v>
      </c>
      <c r="M2853" t="n">
        <v>0</v>
      </c>
      <c r="N2853" t="n">
        <v>0</v>
      </c>
      <c r="O2853" t="n">
        <v>0</v>
      </c>
      <c r="P2853" t="n">
        <v>0</v>
      </c>
      <c r="Q2853" t="n">
        <v>0</v>
      </c>
      <c r="R2853" t="n">
        <v>0</v>
      </c>
      <c r="S2853" t="n">
        <v>0</v>
      </c>
      <c r="T2853" t="n">
        <v>0</v>
      </c>
      <c r="U2853" t="n">
        <v>0</v>
      </c>
      <c r="V2853" s="2" t="inlineStr"/>
    </row>
    <row r="2854" ht="15" customHeight="1">
      <c r="A2854" t="inlineStr">
        <is>
          <t>A 27881-2024</t>
        </is>
      </c>
      <c r="B2854" t="inlineStr">
        <is>
          <t>avverkningsanmälan</t>
        </is>
      </c>
      <c r="C2854" t="inlineStr">
        <is>
          <t>Föryngringsavverkning</t>
        </is>
      </c>
      <c r="D2854" s="1" t="n">
        <v>45475</v>
      </c>
      <c r="E2854" s="1" t="n">
        <v>46323</v>
      </c>
      <c r="F2854" t="inlineStr">
        <is>
          <t>KALMAR LÄN</t>
        </is>
      </c>
      <c r="G2854" t="inlineStr">
        <is>
          <t>NYBRO</t>
        </is>
      </c>
      <c r="I2854" t="n">
        <v>2.3</v>
      </c>
      <c r="J2854" t="n">
        <v>0</v>
      </c>
      <c r="K2854" t="n">
        <v>0</v>
      </c>
      <c r="L2854" t="n">
        <v>0</v>
      </c>
      <c r="M2854" t="n">
        <v>0</v>
      </c>
      <c r="N2854" t="n">
        <v>0</v>
      </c>
      <c r="O2854" t="n">
        <v>0</v>
      </c>
      <c r="P2854" t="n">
        <v>0</v>
      </c>
      <c r="Q2854" t="n">
        <v>0</v>
      </c>
      <c r="R2854" t="n">
        <v>0</v>
      </c>
      <c r="S2854" t="n">
        <v>0</v>
      </c>
      <c r="T2854" t="n">
        <v>0</v>
      </c>
      <c r="U2854" t="n">
        <v>0</v>
      </c>
      <c r="V2854" s="2" t="inlineStr"/>
    </row>
    <row r="2855" ht="15" customHeight="1">
      <c r="A2855" t="inlineStr">
        <is>
          <t>A 20611-2025</t>
        </is>
      </c>
      <c r="B2855" t="inlineStr">
        <is>
          <t>avverkningsanmälan</t>
        </is>
      </c>
      <c r="C2855" t="inlineStr">
        <is>
          <t>Föryngringsavverkning</t>
        </is>
      </c>
      <c r="D2855" s="1" t="n">
        <v>45775</v>
      </c>
      <c r="E2855" s="1" t="n">
        <v>46323</v>
      </c>
      <c r="F2855" t="inlineStr">
        <is>
          <t>KALMAR LÄN</t>
        </is>
      </c>
      <c r="G2855" t="inlineStr">
        <is>
          <t>KALMAR</t>
        </is>
      </c>
      <c r="I2855" t="n">
        <v>0.6</v>
      </c>
      <c r="J2855" t="n">
        <v>0</v>
      </c>
      <c r="K2855" t="n">
        <v>0</v>
      </c>
      <c r="L2855" t="n">
        <v>0</v>
      </c>
      <c r="M2855" t="n">
        <v>0</v>
      </c>
      <c r="N2855" t="n">
        <v>0</v>
      </c>
      <c r="O2855" t="n">
        <v>0</v>
      </c>
      <c r="P2855" t="n">
        <v>0</v>
      </c>
      <c r="Q2855" t="n">
        <v>0</v>
      </c>
      <c r="R2855" t="n">
        <v>0</v>
      </c>
      <c r="S2855" t="n">
        <v>0</v>
      </c>
      <c r="T2855" t="n">
        <v>0</v>
      </c>
      <c r="U2855" t="n">
        <v>0</v>
      </c>
      <c r="V2855" s="2" t="inlineStr"/>
    </row>
    <row r="2856" ht="15" customHeight="1">
      <c r="A2856" t="inlineStr">
        <is>
          <t>A 10260-2023</t>
        </is>
      </c>
      <c r="B2856" t="inlineStr">
        <is>
          <t>avverkningsanmälan</t>
        </is>
      </c>
      <c r="C2856" t="inlineStr">
        <is>
          <t>Föryngringsavverkning</t>
        </is>
      </c>
      <c r="D2856" s="1" t="n">
        <v>44986</v>
      </c>
      <c r="E2856" s="1" t="n">
        <v>46323</v>
      </c>
      <c r="F2856" t="inlineStr">
        <is>
          <t>KALMAR LÄN</t>
        </is>
      </c>
      <c r="G2856" t="inlineStr">
        <is>
          <t>TORSÅS</t>
        </is>
      </c>
      <c r="I2856" t="n">
        <v>1.6</v>
      </c>
      <c r="J2856" t="n">
        <v>0</v>
      </c>
      <c r="K2856" t="n">
        <v>0</v>
      </c>
      <c r="L2856" t="n">
        <v>0</v>
      </c>
      <c r="M2856" t="n">
        <v>0</v>
      </c>
      <c r="N2856" t="n">
        <v>0</v>
      </c>
      <c r="O2856" t="n">
        <v>0</v>
      </c>
      <c r="P2856" t="n">
        <v>0</v>
      </c>
      <c r="Q2856" t="n">
        <v>0</v>
      </c>
      <c r="R2856" t="n">
        <v>0</v>
      </c>
      <c r="S2856" t="n">
        <v>0</v>
      </c>
      <c r="T2856" t="n">
        <v>0</v>
      </c>
      <c r="U2856" t="n">
        <v>0</v>
      </c>
      <c r="V2856" s="2" t="inlineStr"/>
    </row>
    <row r="2857" ht="15" customHeight="1">
      <c r="A2857" t="inlineStr">
        <is>
          <t>A 38170-2024</t>
        </is>
      </c>
      <c r="B2857" t="inlineStr">
        <is>
          <t>avverkningsanmälan</t>
        </is>
      </c>
      <c r="C2857" t="inlineStr">
        <is>
          <t>Föryngringsavverkning</t>
        </is>
      </c>
      <c r="D2857" s="1" t="n">
        <v>45545</v>
      </c>
      <c r="E2857" s="1" t="n">
        <v>46323</v>
      </c>
      <c r="F2857" t="inlineStr">
        <is>
          <t>KALMAR LÄN</t>
        </is>
      </c>
      <c r="G2857" t="inlineStr">
        <is>
          <t>NYBRO</t>
        </is>
      </c>
      <c r="I2857" t="n">
        <v>3.7</v>
      </c>
      <c r="J2857" t="n">
        <v>0</v>
      </c>
      <c r="K2857" t="n">
        <v>0</v>
      </c>
      <c r="L2857" t="n">
        <v>0</v>
      </c>
      <c r="M2857" t="n">
        <v>0</v>
      </c>
      <c r="N2857" t="n">
        <v>0</v>
      </c>
      <c r="O2857" t="n">
        <v>0</v>
      </c>
      <c r="P2857" t="n">
        <v>0</v>
      </c>
      <c r="Q2857" t="n">
        <v>0</v>
      </c>
      <c r="R2857" t="n">
        <v>0</v>
      </c>
      <c r="S2857" t="n">
        <v>0</v>
      </c>
      <c r="T2857" t="n">
        <v>0</v>
      </c>
      <c r="U2857" t="n">
        <v>0</v>
      </c>
      <c r="V2857" s="2" t="inlineStr"/>
    </row>
    <row r="2858" ht="15" customHeight="1">
      <c r="A2858" t="inlineStr">
        <is>
          <t>A 50860-2022</t>
        </is>
      </c>
      <c r="B2858" t="inlineStr">
        <is>
          <t>avverkningsanmälan</t>
        </is>
      </c>
      <c r="C2858" t="inlineStr">
        <is>
          <t>Föryngringsavverkning</t>
        </is>
      </c>
      <c r="D2858" s="1" t="n">
        <v>44867</v>
      </c>
      <c r="E2858" s="1" t="n">
        <v>46323</v>
      </c>
      <c r="F2858" t="inlineStr">
        <is>
          <t>KALMAR LÄN</t>
        </is>
      </c>
      <c r="G2858" t="inlineStr">
        <is>
          <t>VIMMERBY</t>
        </is>
      </c>
      <c r="I2858" t="n">
        <v>0.6</v>
      </c>
      <c r="J2858" t="n">
        <v>0</v>
      </c>
      <c r="K2858" t="n">
        <v>0</v>
      </c>
      <c r="L2858" t="n">
        <v>0</v>
      </c>
      <c r="M2858" t="n">
        <v>0</v>
      </c>
      <c r="N2858" t="n">
        <v>0</v>
      </c>
      <c r="O2858" t="n">
        <v>0</v>
      </c>
      <c r="P2858" t="n">
        <v>0</v>
      </c>
      <c r="Q2858" t="n">
        <v>0</v>
      </c>
      <c r="R2858" t="n">
        <v>0</v>
      </c>
      <c r="S2858" t="n">
        <v>0</v>
      </c>
      <c r="T2858" t="n">
        <v>0</v>
      </c>
      <c r="U2858" t="n">
        <v>0</v>
      </c>
      <c r="V2858" s="2" t="inlineStr"/>
    </row>
    <row r="2859" ht="15" customHeight="1">
      <c r="A2859" t="inlineStr">
        <is>
          <t>A 55289-2022</t>
        </is>
      </c>
      <c r="B2859" t="inlineStr">
        <is>
          <t>avverkningsanmälan</t>
        </is>
      </c>
      <c r="C2859" t="inlineStr">
        <is>
          <t>Föryngringsavverkning</t>
        </is>
      </c>
      <c r="D2859" s="1" t="n">
        <v>44882</v>
      </c>
      <c r="E2859" s="1" t="n">
        <v>46323</v>
      </c>
      <c r="F2859" t="inlineStr">
        <is>
          <t>KALMAR LÄN</t>
        </is>
      </c>
      <c r="G2859" t="inlineStr">
        <is>
          <t>NYBRO</t>
        </is>
      </c>
      <c r="I2859" t="n">
        <v>1.9</v>
      </c>
      <c r="J2859" t="n">
        <v>0</v>
      </c>
      <c r="K2859" t="n">
        <v>0</v>
      </c>
      <c r="L2859" t="n">
        <v>0</v>
      </c>
      <c r="M2859" t="n">
        <v>0</v>
      </c>
      <c r="N2859" t="n">
        <v>0</v>
      </c>
      <c r="O2859" t="n">
        <v>0</v>
      </c>
      <c r="P2859" t="n">
        <v>0</v>
      </c>
      <c r="Q2859" t="n">
        <v>0</v>
      </c>
      <c r="R2859" t="n">
        <v>0</v>
      </c>
      <c r="S2859" t="n">
        <v>0</v>
      </c>
      <c r="T2859" t="n">
        <v>0</v>
      </c>
      <c r="U2859" t="n">
        <v>0</v>
      </c>
      <c r="V2859" s="2" t="inlineStr"/>
    </row>
    <row r="2860" ht="15" customHeight="1">
      <c r="A2860" t="inlineStr">
        <is>
          <t>A 53483-2022</t>
        </is>
      </c>
      <c r="B2860" t="inlineStr">
        <is>
          <t>avverkningsanmälan</t>
        </is>
      </c>
      <c r="C2860" t="inlineStr">
        <is>
          <t>Föryngringsavverkning</t>
        </is>
      </c>
      <c r="D2860" s="1" t="n">
        <v>44879</v>
      </c>
      <c r="E2860" s="1" t="n">
        <v>46323</v>
      </c>
      <c r="F2860" t="inlineStr">
        <is>
          <t>KALMAR LÄN</t>
        </is>
      </c>
      <c r="G2860" t="inlineStr">
        <is>
          <t>VIMMERBY</t>
        </is>
      </c>
      <c r="I2860" t="n">
        <v>1.4</v>
      </c>
      <c r="J2860" t="n">
        <v>0</v>
      </c>
      <c r="K2860" t="n">
        <v>0</v>
      </c>
      <c r="L2860" t="n">
        <v>0</v>
      </c>
      <c r="M2860" t="n">
        <v>0</v>
      </c>
      <c r="N2860" t="n">
        <v>0</v>
      </c>
      <c r="O2860" t="n">
        <v>0</v>
      </c>
      <c r="P2860" t="n">
        <v>0</v>
      </c>
      <c r="Q2860" t="n">
        <v>0</v>
      </c>
      <c r="R2860" t="n">
        <v>0</v>
      </c>
      <c r="S2860" t="n">
        <v>0</v>
      </c>
      <c r="T2860" t="n">
        <v>0</v>
      </c>
      <c r="U2860" t="n">
        <v>0</v>
      </c>
      <c r="V2860" s="2" t="inlineStr"/>
    </row>
    <row r="2861" ht="15" customHeight="1">
      <c r="A2861" t="inlineStr">
        <is>
          <t>A 37233-2024</t>
        </is>
      </c>
      <c r="B2861" t="inlineStr">
        <is>
          <t>avverkningsanmälan</t>
        </is>
      </c>
      <c r="C2861" t="inlineStr">
        <is>
          <t>Föryngringsavverkning</t>
        </is>
      </c>
      <c r="D2861" s="1" t="n">
        <v>45540</v>
      </c>
      <c r="E2861" s="1" t="n">
        <v>46323</v>
      </c>
      <c r="F2861" t="inlineStr">
        <is>
          <t>KALMAR LÄN</t>
        </is>
      </c>
      <c r="G2861" t="inlineStr">
        <is>
          <t>MÖNSTERÅS</t>
        </is>
      </c>
      <c r="I2861" t="n">
        <v>4.8</v>
      </c>
      <c r="J2861" t="n">
        <v>0</v>
      </c>
      <c r="K2861" t="n">
        <v>0</v>
      </c>
      <c r="L2861" t="n">
        <v>0</v>
      </c>
      <c r="M2861" t="n">
        <v>0</v>
      </c>
      <c r="N2861" t="n">
        <v>0</v>
      </c>
      <c r="O2861" t="n">
        <v>0</v>
      </c>
      <c r="P2861" t="n">
        <v>0</v>
      </c>
      <c r="Q2861" t="n">
        <v>0</v>
      </c>
      <c r="R2861" t="n">
        <v>0</v>
      </c>
      <c r="S2861" t="n">
        <v>0</v>
      </c>
      <c r="T2861" t="n">
        <v>0</v>
      </c>
      <c r="U2861" t="n">
        <v>0</v>
      </c>
      <c r="V2861" s="2" t="inlineStr"/>
    </row>
    <row r="2862" ht="15" customHeight="1">
      <c r="A2862" t="inlineStr">
        <is>
          <t>A 37237-2024</t>
        </is>
      </c>
      <c r="B2862" t="inlineStr">
        <is>
          <t>avverkningsanmälan</t>
        </is>
      </c>
      <c r="C2862" t="inlineStr">
        <is>
          <t>Föryngringsavverkning</t>
        </is>
      </c>
      <c r="D2862" s="1" t="n">
        <v>45540</v>
      </c>
      <c r="E2862" s="1" t="n">
        <v>46323</v>
      </c>
      <c r="F2862" t="inlineStr">
        <is>
          <t>KALMAR LÄN</t>
        </is>
      </c>
      <c r="G2862" t="inlineStr">
        <is>
          <t>MÖNSTERÅS</t>
        </is>
      </c>
      <c r="I2862" t="n">
        <v>6</v>
      </c>
      <c r="J2862" t="n">
        <v>0</v>
      </c>
      <c r="K2862" t="n">
        <v>0</v>
      </c>
      <c r="L2862" t="n">
        <v>0</v>
      </c>
      <c r="M2862" t="n">
        <v>0</v>
      </c>
      <c r="N2862" t="n">
        <v>0</v>
      </c>
      <c r="O2862" t="n">
        <v>0</v>
      </c>
      <c r="P2862" t="n">
        <v>0</v>
      </c>
      <c r="Q2862" t="n">
        <v>0</v>
      </c>
      <c r="R2862" t="n">
        <v>0</v>
      </c>
      <c r="S2862" t="n">
        <v>0</v>
      </c>
      <c r="T2862" t="n">
        <v>0</v>
      </c>
      <c r="U2862" t="n">
        <v>0</v>
      </c>
      <c r="V2862" s="2" t="inlineStr"/>
    </row>
    <row r="2863" ht="15" customHeight="1">
      <c r="A2863" t="inlineStr">
        <is>
          <t>A 36367-2024</t>
        </is>
      </c>
      <c r="B2863" t="inlineStr">
        <is>
          <t>avverkningsanmälan</t>
        </is>
      </c>
      <c r="C2863" t="inlineStr">
        <is>
          <t>Föryngringsavverkning</t>
        </is>
      </c>
      <c r="D2863" s="1" t="n">
        <v>45534</v>
      </c>
      <c r="E2863" s="1" t="n">
        <v>46323</v>
      </c>
      <c r="F2863" t="inlineStr">
        <is>
          <t>KALMAR LÄN</t>
        </is>
      </c>
      <c r="G2863" t="inlineStr">
        <is>
          <t>EMMABODA</t>
        </is>
      </c>
      <c r="I2863" t="n">
        <v>3.9</v>
      </c>
      <c r="J2863" t="n">
        <v>0</v>
      </c>
      <c r="K2863" t="n">
        <v>0</v>
      </c>
      <c r="L2863" t="n">
        <v>0</v>
      </c>
      <c r="M2863" t="n">
        <v>0</v>
      </c>
      <c r="N2863" t="n">
        <v>0</v>
      </c>
      <c r="O2863" t="n">
        <v>0</v>
      </c>
      <c r="P2863" t="n">
        <v>0</v>
      </c>
      <c r="Q2863" t="n">
        <v>0</v>
      </c>
      <c r="R2863" t="n">
        <v>0</v>
      </c>
      <c r="S2863" t="n">
        <v>0</v>
      </c>
      <c r="T2863" t="n">
        <v>0</v>
      </c>
      <c r="U2863" t="n">
        <v>0</v>
      </c>
      <c r="V2863" s="2" t="inlineStr"/>
    </row>
    <row r="2864" ht="15" customHeight="1">
      <c r="A2864" t="inlineStr">
        <is>
          <t>A 45202-2023</t>
        </is>
      </c>
      <c r="B2864" t="inlineStr">
        <is>
          <t>avverkningsanmälan</t>
        </is>
      </c>
      <c r="C2864" t="inlineStr">
        <is>
          <t>Föryngringsavverkning</t>
        </is>
      </c>
      <c r="D2864" s="1" t="n">
        <v>45191</v>
      </c>
      <c r="E2864" s="1" t="n">
        <v>46323</v>
      </c>
      <c r="F2864" t="inlineStr">
        <is>
          <t>KALMAR LÄN</t>
        </is>
      </c>
      <c r="G2864" t="inlineStr">
        <is>
          <t>VÄSTERVIK</t>
        </is>
      </c>
      <c r="H2864" t="inlineStr">
        <is>
          <t>Holmen skog AB</t>
        </is>
      </c>
      <c r="I2864" t="n">
        <v>1.3</v>
      </c>
      <c r="J2864" t="n">
        <v>0</v>
      </c>
      <c r="K2864" t="n">
        <v>0</v>
      </c>
      <c r="L2864" t="n">
        <v>0</v>
      </c>
      <c r="M2864" t="n">
        <v>0</v>
      </c>
      <c r="N2864" t="n">
        <v>0</v>
      </c>
      <c r="O2864" t="n">
        <v>0</v>
      </c>
      <c r="P2864" t="n">
        <v>0</v>
      </c>
      <c r="Q2864" t="n">
        <v>0</v>
      </c>
      <c r="R2864" t="n">
        <v>0</v>
      </c>
      <c r="S2864" t="n">
        <v>0</v>
      </c>
      <c r="T2864" t="n">
        <v>0</v>
      </c>
      <c r="U2864" t="n">
        <v>0</v>
      </c>
      <c r="V2864" s="2" t="inlineStr"/>
    </row>
    <row r="2865" ht="15" customHeight="1">
      <c r="A2865" t="inlineStr">
        <is>
          <t>A 21964-2024</t>
        </is>
      </c>
      <c r="B2865" t="inlineStr">
        <is>
          <t>avverkningsanmälan</t>
        </is>
      </c>
      <c r="C2865" t="inlineStr">
        <is>
          <t>Föryngringsavverkning</t>
        </is>
      </c>
      <c r="D2865" s="1" t="n">
        <v>45443</v>
      </c>
      <c r="E2865" s="1" t="n">
        <v>46323</v>
      </c>
      <c r="F2865" t="inlineStr">
        <is>
          <t>KALMAR LÄN</t>
        </is>
      </c>
      <c r="G2865" t="inlineStr">
        <is>
          <t>KALMAR</t>
        </is>
      </c>
      <c r="I2865" t="n">
        <v>1.4</v>
      </c>
      <c r="J2865" t="n">
        <v>0</v>
      </c>
      <c r="K2865" t="n">
        <v>0</v>
      </c>
      <c r="L2865" t="n">
        <v>0</v>
      </c>
      <c r="M2865" t="n">
        <v>0</v>
      </c>
      <c r="N2865" t="n">
        <v>0</v>
      </c>
      <c r="O2865" t="n">
        <v>0</v>
      </c>
      <c r="P2865" t="n">
        <v>0</v>
      </c>
      <c r="Q2865" t="n">
        <v>0</v>
      </c>
      <c r="R2865" t="n">
        <v>0</v>
      </c>
      <c r="S2865" t="n">
        <v>0</v>
      </c>
      <c r="T2865" t="n">
        <v>0</v>
      </c>
      <c r="U2865" t="n">
        <v>0</v>
      </c>
      <c r="V2865" s="2" t="inlineStr"/>
    </row>
    <row r="2866" ht="15" customHeight="1">
      <c r="A2866" t="inlineStr">
        <is>
          <t>A 27966-2024</t>
        </is>
      </c>
      <c r="B2866" t="inlineStr">
        <is>
          <t>avverkningsanmälan</t>
        </is>
      </c>
      <c r="C2866" t="inlineStr">
        <is>
          <t>Föryngringsavverkning</t>
        </is>
      </c>
      <c r="D2866" s="1" t="n">
        <v>45476</v>
      </c>
      <c r="E2866" s="1" t="n">
        <v>46323</v>
      </c>
      <c r="F2866" t="inlineStr">
        <is>
          <t>KALMAR LÄN</t>
        </is>
      </c>
      <c r="G2866" t="inlineStr">
        <is>
          <t>NYBRO</t>
        </is>
      </c>
      <c r="I2866" t="n">
        <v>1.4</v>
      </c>
      <c r="J2866" t="n">
        <v>0</v>
      </c>
      <c r="K2866" t="n">
        <v>0</v>
      </c>
      <c r="L2866" t="n">
        <v>0</v>
      </c>
      <c r="M2866" t="n">
        <v>0</v>
      </c>
      <c r="N2866" t="n">
        <v>0</v>
      </c>
      <c r="O2866" t="n">
        <v>0</v>
      </c>
      <c r="P2866" t="n">
        <v>0</v>
      </c>
      <c r="Q2866" t="n">
        <v>0</v>
      </c>
      <c r="R2866" t="n">
        <v>0</v>
      </c>
      <c r="S2866" t="n">
        <v>0</v>
      </c>
      <c r="T2866" t="n">
        <v>0</v>
      </c>
      <c r="U2866" t="n">
        <v>0</v>
      </c>
      <c r="V2866" s="2" t="inlineStr"/>
    </row>
    <row r="2867" ht="15" customHeight="1">
      <c r="A2867" t="inlineStr">
        <is>
          <t>A 63279-2023</t>
        </is>
      </c>
      <c r="B2867" t="inlineStr">
        <is>
          <t>avverkningsanmälan</t>
        </is>
      </c>
      <c r="C2867" t="inlineStr">
        <is>
          <t>Föryngringsavverkning</t>
        </is>
      </c>
      <c r="D2867" s="1" t="n">
        <v>45273</v>
      </c>
      <c r="E2867" s="1" t="n">
        <v>46323</v>
      </c>
      <c r="F2867" t="inlineStr">
        <is>
          <t>KALMAR LÄN</t>
        </is>
      </c>
      <c r="G2867" t="inlineStr">
        <is>
          <t>KALMAR</t>
        </is>
      </c>
      <c r="I2867" t="n">
        <v>2.8</v>
      </c>
      <c r="J2867" t="n">
        <v>0</v>
      </c>
      <c r="K2867" t="n">
        <v>0</v>
      </c>
      <c r="L2867" t="n">
        <v>0</v>
      </c>
      <c r="M2867" t="n">
        <v>0</v>
      </c>
      <c r="N2867" t="n">
        <v>0</v>
      </c>
      <c r="O2867" t="n">
        <v>0</v>
      </c>
      <c r="P2867" t="n">
        <v>0</v>
      </c>
      <c r="Q2867" t="n">
        <v>0</v>
      </c>
      <c r="R2867" t="n">
        <v>0</v>
      </c>
      <c r="S2867" t="n">
        <v>0</v>
      </c>
      <c r="T2867" t="n">
        <v>0</v>
      </c>
      <c r="U2867" t="n">
        <v>0</v>
      </c>
      <c r="V2867" s="2" t="inlineStr"/>
    </row>
    <row r="2868" ht="15" customHeight="1">
      <c r="A2868" t="inlineStr">
        <is>
          <t>A 59281-2022</t>
        </is>
      </c>
      <c r="B2868" t="inlineStr">
        <is>
          <t>avverkningsanmälan</t>
        </is>
      </c>
      <c r="C2868" t="inlineStr">
        <is>
          <t>Avverkning för att bevara och utveckla /försöksver</t>
        </is>
      </c>
      <c r="D2868" s="1" t="n">
        <v>44904</v>
      </c>
      <c r="E2868" s="1" t="n">
        <v>46323</v>
      </c>
      <c r="F2868" t="inlineStr">
        <is>
          <t>KALMAR LÄN</t>
        </is>
      </c>
      <c r="G2868" t="inlineStr">
        <is>
          <t>HÖGSBY</t>
        </is>
      </c>
      <c r="H2868" t="inlineStr">
        <is>
          <t>Sveaskog</t>
        </is>
      </c>
      <c r="I2868" t="n">
        <v>1.2</v>
      </c>
      <c r="J2868" t="n">
        <v>0</v>
      </c>
      <c r="K2868" t="n">
        <v>0</v>
      </c>
      <c r="L2868" t="n">
        <v>0</v>
      </c>
      <c r="M2868" t="n">
        <v>0</v>
      </c>
      <c r="N2868" t="n">
        <v>0</v>
      </c>
      <c r="O2868" t="n">
        <v>0</v>
      </c>
      <c r="P2868" t="n">
        <v>0</v>
      </c>
      <c r="Q2868" t="n">
        <v>0</v>
      </c>
      <c r="R2868" t="n">
        <v>0</v>
      </c>
      <c r="S2868" t="n">
        <v>0</v>
      </c>
      <c r="T2868" t="n">
        <v>0</v>
      </c>
      <c r="U2868" t="n">
        <v>0</v>
      </c>
      <c r="V2868" s="2" t="inlineStr"/>
    </row>
    <row r="2869" ht="15" customHeight="1">
      <c r="A2869" t="inlineStr">
        <is>
          <t>A 47340-2025</t>
        </is>
      </c>
      <c r="B2869" t="inlineStr">
        <is>
          <t>avverkningsanmälan</t>
        </is>
      </c>
      <c r="C2869" t="inlineStr">
        <is>
          <t>Föryngringsavverkning</t>
        </is>
      </c>
      <c r="D2869" s="1" t="n">
        <v>45930</v>
      </c>
      <c r="E2869" s="1" t="n">
        <v>46323</v>
      </c>
      <c r="F2869" t="inlineStr">
        <is>
          <t>KALMAR LÄN</t>
        </is>
      </c>
      <c r="G2869" t="inlineStr">
        <is>
          <t>OSKARSHAMN</t>
        </is>
      </c>
      <c r="I2869" t="n">
        <v>4.9</v>
      </c>
      <c r="J2869" t="n">
        <v>0</v>
      </c>
      <c r="K2869" t="n">
        <v>0</v>
      </c>
      <c r="L2869" t="n">
        <v>0</v>
      </c>
      <c r="M2869" t="n">
        <v>0</v>
      </c>
      <c r="N2869" t="n">
        <v>0</v>
      </c>
      <c r="O2869" t="n">
        <v>0</v>
      </c>
      <c r="P2869" t="n">
        <v>0</v>
      </c>
      <c r="Q2869" t="n">
        <v>0</v>
      </c>
      <c r="R2869" t="n">
        <v>0</v>
      </c>
      <c r="S2869" t="n">
        <v>0</v>
      </c>
      <c r="T2869" t="n">
        <v>0</v>
      </c>
      <c r="U2869" t="n">
        <v>0</v>
      </c>
      <c r="V2869" s="2" t="inlineStr"/>
    </row>
    <row r="2870" ht="15" customHeight="1">
      <c r="A2870" t="inlineStr">
        <is>
          <t>A 39278-2024</t>
        </is>
      </c>
      <c r="B2870" t="inlineStr">
        <is>
          <t>avverkningsanmälan</t>
        </is>
      </c>
      <c r="C2870" t="inlineStr">
        <is>
          <t>Föryngringsavverkning</t>
        </is>
      </c>
      <c r="D2870" s="1" t="n">
        <v>45551</v>
      </c>
      <c r="E2870" s="1" t="n">
        <v>46323</v>
      </c>
      <c r="F2870" t="inlineStr">
        <is>
          <t>KALMAR LÄN</t>
        </is>
      </c>
      <c r="G2870" t="inlineStr">
        <is>
          <t>VÄSTERVIK</t>
        </is>
      </c>
      <c r="I2870" t="n">
        <v>2.9</v>
      </c>
      <c r="J2870" t="n">
        <v>0</v>
      </c>
      <c r="K2870" t="n">
        <v>0</v>
      </c>
      <c r="L2870" t="n">
        <v>0</v>
      </c>
      <c r="M2870" t="n">
        <v>0</v>
      </c>
      <c r="N2870" t="n">
        <v>0</v>
      </c>
      <c r="O2870" t="n">
        <v>0</v>
      </c>
      <c r="P2870" t="n">
        <v>0</v>
      </c>
      <c r="Q2870" t="n">
        <v>0</v>
      </c>
      <c r="R2870" t="n">
        <v>0</v>
      </c>
      <c r="S2870" t="n">
        <v>0</v>
      </c>
      <c r="T2870" t="n">
        <v>0</v>
      </c>
      <c r="U2870" t="n">
        <v>0</v>
      </c>
      <c r="V2870" s="2" t="inlineStr"/>
    </row>
    <row r="2871" ht="15" customHeight="1">
      <c r="A2871" t="inlineStr">
        <is>
          <t>A 57654-2023</t>
        </is>
      </c>
      <c r="B2871" t="inlineStr">
        <is>
          <t>avverkningsanmälan</t>
        </is>
      </c>
      <c r="C2871" t="inlineStr">
        <is>
          <t>Föryngringsavverkning</t>
        </is>
      </c>
      <c r="D2871" s="1" t="n">
        <v>45246</v>
      </c>
      <c r="E2871" s="1" t="n">
        <v>46323</v>
      </c>
      <c r="F2871" t="inlineStr">
        <is>
          <t>KALMAR LÄN</t>
        </is>
      </c>
      <c r="G2871" t="inlineStr">
        <is>
          <t>KALMAR</t>
        </is>
      </c>
      <c r="I2871" t="n">
        <v>1</v>
      </c>
      <c r="J2871" t="n">
        <v>0</v>
      </c>
      <c r="K2871" t="n">
        <v>0</v>
      </c>
      <c r="L2871" t="n">
        <v>0</v>
      </c>
      <c r="M2871" t="n">
        <v>0</v>
      </c>
      <c r="N2871" t="n">
        <v>0</v>
      </c>
      <c r="O2871" t="n">
        <v>0</v>
      </c>
      <c r="P2871" t="n">
        <v>0</v>
      </c>
      <c r="Q2871" t="n">
        <v>0</v>
      </c>
      <c r="R2871" t="n">
        <v>0</v>
      </c>
      <c r="S2871" t="n">
        <v>0</v>
      </c>
      <c r="T2871" t="n">
        <v>0</v>
      </c>
      <c r="U2871" t="n">
        <v>0</v>
      </c>
      <c r="V2871" s="2" t="inlineStr"/>
    </row>
    <row r="2872" ht="15" customHeight="1">
      <c r="A2872" t="inlineStr">
        <is>
          <t>A 57658-2023</t>
        </is>
      </c>
      <c r="B2872" t="inlineStr">
        <is>
          <t>avverkningsanmälan</t>
        </is>
      </c>
      <c r="C2872" t="inlineStr">
        <is>
          <t>Föryngringsavverkning</t>
        </is>
      </c>
      <c r="D2872" s="1" t="n">
        <v>45246</v>
      </c>
      <c r="E2872" s="1" t="n">
        <v>46323</v>
      </c>
      <c r="F2872" t="inlineStr">
        <is>
          <t>KALMAR LÄN</t>
        </is>
      </c>
      <c r="G2872" t="inlineStr">
        <is>
          <t>KALMAR</t>
        </is>
      </c>
      <c r="I2872" t="n">
        <v>2.3</v>
      </c>
      <c r="J2872" t="n">
        <v>0</v>
      </c>
      <c r="K2872" t="n">
        <v>0</v>
      </c>
      <c r="L2872" t="n">
        <v>0</v>
      </c>
      <c r="M2872" t="n">
        <v>0</v>
      </c>
      <c r="N2872" t="n">
        <v>0</v>
      </c>
      <c r="O2872" t="n">
        <v>0</v>
      </c>
      <c r="P2872" t="n">
        <v>0</v>
      </c>
      <c r="Q2872" t="n">
        <v>0</v>
      </c>
      <c r="R2872" t="n">
        <v>0</v>
      </c>
      <c r="S2872" t="n">
        <v>0</v>
      </c>
      <c r="T2872" t="n">
        <v>0</v>
      </c>
      <c r="U2872" t="n">
        <v>0</v>
      </c>
      <c r="V2872" s="2" t="inlineStr"/>
    </row>
    <row r="2873" ht="15" customHeight="1">
      <c r="A2873" t="inlineStr">
        <is>
          <t>A 25878-2024</t>
        </is>
      </c>
      <c r="B2873" t="inlineStr">
        <is>
          <t>avverkningsanmälan</t>
        </is>
      </c>
      <c r="C2873" t="inlineStr">
        <is>
          <t>Föryngringsavverkning</t>
        </is>
      </c>
      <c r="D2873" s="1" t="n">
        <v>45467</v>
      </c>
      <c r="E2873" s="1" t="n">
        <v>46323</v>
      </c>
      <c r="F2873" t="inlineStr">
        <is>
          <t>KALMAR LÄN</t>
        </is>
      </c>
      <c r="G2873" t="inlineStr">
        <is>
          <t>HULTSFRED</t>
        </is>
      </c>
      <c r="I2873" t="n">
        <v>1.3</v>
      </c>
      <c r="J2873" t="n">
        <v>0</v>
      </c>
      <c r="K2873" t="n">
        <v>0</v>
      </c>
      <c r="L2873" t="n">
        <v>0</v>
      </c>
      <c r="M2873" t="n">
        <v>0</v>
      </c>
      <c r="N2873" t="n">
        <v>0</v>
      </c>
      <c r="O2873" t="n">
        <v>0</v>
      </c>
      <c r="P2873" t="n">
        <v>0</v>
      </c>
      <c r="Q2873" t="n">
        <v>0</v>
      </c>
      <c r="R2873" t="n">
        <v>0</v>
      </c>
      <c r="S2873" t="n">
        <v>0</v>
      </c>
      <c r="T2873" t="n">
        <v>0</v>
      </c>
      <c r="U2873" t="n">
        <v>0</v>
      </c>
      <c r="V2873" s="2" t="inlineStr"/>
    </row>
    <row r="2874" ht="15" customHeight="1">
      <c r="A2874" t="inlineStr">
        <is>
          <t>A 57216-2022</t>
        </is>
      </c>
      <c r="B2874" t="inlineStr">
        <is>
          <t>avverkningsanmälan</t>
        </is>
      </c>
      <c r="C2874" t="inlineStr">
        <is>
          <t>Föryngringsavverkning</t>
        </is>
      </c>
      <c r="D2874" s="1" t="n">
        <v>44895</v>
      </c>
      <c r="E2874" s="1" t="n">
        <v>46323</v>
      </c>
      <c r="F2874" t="inlineStr">
        <is>
          <t>KALMAR LÄN</t>
        </is>
      </c>
      <c r="G2874" t="inlineStr">
        <is>
          <t>KALMAR</t>
        </is>
      </c>
      <c r="I2874" t="n">
        <v>1</v>
      </c>
      <c r="J2874" t="n">
        <v>0</v>
      </c>
      <c r="K2874" t="n">
        <v>0</v>
      </c>
      <c r="L2874" t="n">
        <v>0</v>
      </c>
      <c r="M2874" t="n">
        <v>0</v>
      </c>
      <c r="N2874" t="n">
        <v>0</v>
      </c>
      <c r="O2874" t="n">
        <v>0</v>
      </c>
      <c r="P2874" t="n">
        <v>0</v>
      </c>
      <c r="Q2874" t="n">
        <v>0</v>
      </c>
      <c r="R2874" t="n">
        <v>0</v>
      </c>
      <c r="S2874" t="n">
        <v>0</v>
      </c>
      <c r="T2874" t="n">
        <v>0</v>
      </c>
      <c r="U2874" t="n">
        <v>0</v>
      </c>
      <c r="V2874" s="2" t="inlineStr"/>
    </row>
    <row r="2875" ht="15" customHeight="1">
      <c r="A2875" t="inlineStr">
        <is>
          <t>A 58962-2022</t>
        </is>
      </c>
      <c r="B2875" t="inlineStr">
        <is>
          <t>avverkningsanmälan</t>
        </is>
      </c>
      <c r="C2875" t="inlineStr">
        <is>
          <t>Föryngringsavverkning</t>
        </is>
      </c>
      <c r="D2875" s="1" t="n">
        <v>44903</v>
      </c>
      <c r="E2875" s="1" t="n">
        <v>46323</v>
      </c>
      <c r="F2875" t="inlineStr">
        <is>
          <t>KALMAR LÄN</t>
        </is>
      </c>
      <c r="G2875" t="inlineStr">
        <is>
          <t>VIMMERBY</t>
        </is>
      </c>
      <c r="I2875" t="n">
        <v>1.1</v>
      </c>
      <c r="J2875" t="n">
        <v>0</v>
      </c>
      <c r="K2875" t="n">
        <v>0</v>
      </c>
      <c r="L2875" t="n">
        <v>0</v>
      </c>
      <c r="M2875" t="n">
        <v>0</v>
      </c>
      <c r="N2875" t="n">
        <v>0</v>
      </c>
      <c r="O2875" t="n">
        <v>0</v>
      </c>
      <c r="P2875" t="n">
        <v>0</v>
      </c>
      <c r="Q2875" t="n">
        <v>0</v>
      </c>
      <c r="R2875" t="n">
        <v>0</v>
      </c>
      <c r="S2875" t="n">
        <v>0</v>
      </c>
      <c r="T2875" t="n">
        <v>0</v>
      </c>
      <c r="U2875" t="n">
        <v>0</v>
      </c>
      <c r="V2875" s="2" t="inlineStr"/>
    </row>
    <row r="2876" ht="15" customHeight="1">
      <c r="A2876" t="inlineStr">
        <is>
          <t>A 47298-2025</t>
        </is>
      </c>
      <c r="B2876" t="inlineStr">
        <is>
          <t>avverkningsanmälan</t>
        </is>
      </c>
      <c r="C2876" t="inlineStr">
        <is>
          <t>Föryngringsavverkning</t>
        </is>
      </c>
      <c r="D2876" s="1" t="n">
        <v>45930</v>
      </c>
      <c r="E2876" s="1" t="n">
        <v>46323</v>
      </c>
      <c r="F2876" t="inlineStr">
        <is>
          <t>KALMAR LÄN</t>
        </is>
      </c>
      <c r="G2876" t="inlineStr">
        <is>
          <t>OSKARSHAMN</t>
        </is>
      </c>
      <c r="I2876" t="n">
        <v>7.5</v>
      </c>
      <c r="J2876" t="n">
        <v>0</v>
      </c>
      <c r="K2876" t="n">
        <v>0</v>
      </c>
      <c r="L2876" t="n">
        <v>0</v>
      </c>
      <c r="M2876" t="n">
        <v>0</v>
      </c>
      <c r="N2876" t="n">
        <v>0</v>
      </c>
      <c r="O2876" t="n">
        <v>0</v>
      </c>
      <c r="P2876" t="n">
        <v>0</v>
      </c>
      <c r="Q2876" t="n">
        <v>0</v>
      </c>
      <c r="R2876" t="n">
        <v>0</v>
      </c>
      <c r="S2876" t="n">
        <v>0</v>
      </c>
      <c r="T2876" t="n">
        <v>0</v>
      </c>
      <c r="U2876" t="n">
        <v>0</v>
      </c>
      <c r="V2876" s="2" t="inlineStr"/>
    </row>
    <row r="2877" ht="15" customHeight="1">
      <c r="A2877" t="inlineStr">
        <is>
          <t>A 47041-2025</t>
        </is>
      </c>
      <c r="B2877" t="inlineStr">
        <is>
          <t>avverkningsanmälan</t>
        </is>
      </c>
      <c r="C2877" t="inlineStr">
        <is>
          <t>Föryngringsavverkning</t>
        </is>
      </c>
      <c r="D2877" s="1" t="n">
        <v>45929</v>
      </c>
      <c r="E2877" s="1" t="n">
        <v>46323</v>
      </c>
      <c r="F2877" t="inlineStr">
        <is>
          <t>KALMAR LÄN</t>
        </is>
      </c>
      <c r="G2877" t="inlineStr">
        <is>
          <t>HULTSFRED</t>
        </is>
      </c>
      <c r="I2877" t="n">
        <v>1.2</v>
      </c>
      <c r="J2877" t="n">
        <v>0</v>
      </c>
      <c r="K2877" t="n">
        <v>0</v>
      </c>
      <c r="L2877" t="n">
        <v>0</v>
      </c>
      <c r="M2877" t="n">
        <v>0</v>
      </c>
      <c r="N2877" t="n">
        <v>0</v>
      </c>
      <c r="O2877" t="n">
        <v>0</v>
      </c>
      <c r="P2877" t="n">
        <v>0</v>
      </c>
      <c r="Q2877" t="n">
        <v>0</v>
      </c>
      <c r="R2877" t="n">
        <v>0</v>
      </c>
      <c r="S2877" t="n">
        <v>0</v>
      </c>
      <c r="T2877" t="n">
        <v>0</v>
      </c>
      <c r="U2877" t="n">
        <v>0</v>
      </c>
      <c r="V2877" s="2" t="inlineStr"/>
    </row>
    <row r="2878" ht="15" customHeight="1">
      <c r="A2878" t="inlineStr">
        <is>
          <t>A 47045-2025</t>
        </is>
      </c>
      <c r="B2878" t="inlineStr">
        <is>
          <t>avverkningsanmälan</t>
        </is>
      </c>
      <c r="C2878" t="inlineStr">
        <is>
          <t>Föryngringsavverkning</t>
        </is>
      </c>
      <c r="D2878" s="1" t="n">
        <v>45929</v>
      </c>
      <c r="E2878" s="1" t="n">
        <v>46323</v>
      </c>
      <c r="F2878" t="inlineStr">
        <is>
          <t>KALMAR LÄN</t>
        </is>
      </c>
      <c r="G2878" t="inlineStr">
        <is>
          <t>HULTSFRED</t>
        </is>
      </c>
      <c r="H2878" t="inlineStr">
        <is>
          <t>Övriga Aktiebolag</t>
        </is>
      </c>
      <c r="I2878" t="n">
        <v>1.8</v>
      </c>
      <c r="J2878" t="n">
        <v>0</v>
      </c>
      <c r="K2878" t="n">
        <v>0</v>
      </c>
      <c r="L2878" t="n">
        <v>0</v>
      </c>
      <c r="M2878" t="n">
        <v>0</v>
      </c>
      <c r="N2878" t="n">
        <v>0</v>
      </c>
      <c r="O2878" t="n">
        <v>0</v>
      </c>
      <c r="P2878" t="n">
        <v>0</v>
      </c>
      <c r="Q2878" t="n">
        <v>0</v>
      </c>
      <c r="R2878" t="n">
        <v>0</v>
      </c>
      <c r="S2878" t="n">
        <v>0</v>
      </c>
      <c r="T2878" t="n">
        <v>0</v>
      </c>
      <c r="U2878" t="n">
        <v>0</v>
      </c>
      <c r="V2878" s="2" t="inlineStr"/>
    </row>
    <row r="2879" ht="15" customHeight="1">
      <c r="A2879" t="inlineStr">
        <is>
          <t>A 47077-2025</t>
        </is>
      </c>
      <c r="B2879" t="inlineStr">
        <is>
          <t>avverkningsanmälan</t>
        </is>
      </c>
      <c r="C2879" t="inlineStr">
        <is>
          <t>Föryngringsavverkning</t>
        </is>
      </c>
      <c r="D2879" s="1" t="n">
        <v>45929</v>
      </c>
      <c r="E2879" s="1" t="n">
        <v>46323</v>
      </c>
      <c r="F2879" t="inlineStr">
        <is>
          <t>KALMAR LÄN</t>
        </is>
      </c>
      <c r="G2879" t="inlineStr">
        <is>
          <t>OSKARSHAMN</t>
        </is>
      </c>
      <c r="I2879" t="n">
        <v>1.2</v>
      </c>
      <c r="J2879" t="n">
        <v>0</v>
      </c>
      <c r="K2879" t="n">
        <v>0</v>
      </c>
      <c r="L2879" t="n">
        <v>0</v>
      </c>
      <c r="M2879" t="n">
        <v>0</v>
      </c>
      <c r="N2879" t="n">
        <v>0</v>
      </c>
      <c r="O2879" t="n">
        <v>0</v>
      </c>
      <c r="P2879" t="n">
        <v>0</v>
      </c>
      <c r="Q2879" t="n">
        <v>0</v>
      </c>
      <c r="R2879" t="n">
        <v>0</v>
      </c>
      <c r="S2879" t="n">
        <v>0</v>
      </c>
      <c r="T2879" t="n">
        <v>0</v>
      </c>
      <c r="U2879" t="n">
        <v>0</v>
      </c>
      <c r="V2879" s="2" t="inlineStr"/>
    </row>
    <row r="2880" ht="15" customHeight="1">
      <c r="A2880" t="inlineStr">
        <is>
          <t>A 47095-2025</t>
        </is>
      </c>
      <c r="B2880" t="inlineStr">
        <is>
          <t>avverkningsanmälan</t>
        </is>
      </c>
      <c r="C2880" t="inlineStr">
        <is>
          <t>Föryngringsavverkning</t>
        </is>
      </c>
      <c r="D2880" s="1" t="n">
        <v>45929</v>
      </c>
      <c r="E2880" s="1" t="n">
        <v>46323</v>
      </c>
      <c r="F2880" t="inlineStr">
        <is>
          <t>KALMAR LÄN</t>
        </is>
      </c>
      <c r="G2880" t="inlineStr">
        <is>
          <t>OSKARSHAMN</t>
        </is>
      </c>
      <c r="I2880" t="n">
        <v>1.4</v>
      </c>
      <c r="J2880" t="n">
        <v>0</v>
      </c>
      <c r="K2880" t="n">
        <v>0</v>
      </c>
      <c r="L2880" t="n">
        <v>0</v>
      </c>
      <c r="M2880" t="n">
        <v>0</v>
      </c>
      <c r="N2880" t="n">
        <v>0</v>
      </c>
      <c r="O2880" t="n">
        <v>0</v>
      </c>
      <c r="P2880" t="n">
        <v>0</v>
      </c>
      <c r="Q2880" t="n">
        <v>0</v>
      </c>
      <c r="R2880" t="n">
        <v>0</v>
      </c>
      <c r="S2880" t="n">
        <v>0</v>
      </c>
      <c r="T2880" t="n">
        <v>0</v>
      </c>
      <c r="U2880" t="n">
        <v>0</v>
      </c>
      <c r="V2880" s="2" t="inlineStr"/>
    </row>
    <row r="2881" ht="15" customHeight="1">
      <c r="A2881" t="inlineStr">
        <is>
          <t>A 47098-2025</t>
        </is>
      </c>
      <c r="B2881" t="inlineStr">
        <is>
          <t>avverkningsanmälan</t>
        </is>
      </c>
      <c r="C2881" t="inlineStr">
        <is>
          <t>Föryngringsavverkning</t>
        </is>
      </c>
      <c r="D2881" s="1" t="n">
        <v>45929</v>
      </c>
      <c r="E2881" s="1" t="n">
        <v>46323</v>
      </c>
      <c r="F2881" t="inlineStr">
        <is>
          <t>KALMAR LÄN</t>
        </is>
      </c>
      <c r="G2881" t="inlineStr">
        <is>
          <t>OSKARSHAMN</t>
        </is>
      </c>
      <c r="I2881" t="n">
        <v>2.3</v>
      </c>
      <c r="J2881" t="n">
        <v>0</v>
      </c>
      <c r="K2881" t="n">
        <v>0</v>
      </c>
      <c r="L2881" t="n">
        <v>0</v>
      </c>
      <c r="M2881" t="n">
        <v>0</v>
      </c>
      <c r="N2881" t="n">
        <v>0</v>
      </c>
      <c r="O2881" t="n">
        <v>0</v>
      </c>
      <c r="P2881" t="n">
        <v>0</v>
      </c>
      <c r="Q2881" t="n">
        <v>0</v>
      </c>
      <c r="R2881" t="n">
        <v>0</v>
      </c>
      <c r="S2881" t="n">
        <v>0</v>
      </c>
      <c r="T2881" t="n">
        <v>0</v>
      </c>
      <c r="U2881" t="n">
        <v>0</v>
      </c>
      <c r="V2881" s="2" t="inlineStr"/>
    </row>
    <row r="2882" ht="15" customHeight="1">
      <c r="A2882" t="inlineStr">
        <is>
          <t>A 47104-2025</t>
        </is>
      </c>
      <c r="B2882" t="inlineStr">
        <is>
          <t>avverkningsanmälan</t>
        </is>
      </c>
      <c r="C2882" t="inlineStr">
        <is>
          <t>Föryngringsavverkning</t>
        </is>
      </c>
      <c r="D2882" s="1" t="n">
        <v>45929</v>
      </c>
      <c r="E2882" s="1" t="n">
        <v>46323</v>
      </c>
      <c r="F2882" t="inlineStr">
        <is>
          <t>KALMAR LÄN</t>
        </is>
      </c>
      <c r="G2882" t="inlineStr">
        <is>
          <t>OSKARSHAMN</t>
        </is>
      </c>
      <c r="I2882" t="n">
        <v>0.9</v>
      </c>
      <c r="J2882" t="n">
        <v>0</v>
      </c>
      <c r="K2882" t="n">
        <v>0</v>
      </c>
      <c r="L2882" t="n">
        <v>0</v>
      </c>
      <c r="M2882" t="n">
        <v>0</v>
      </c>
      <c r="N2882" t="n">
        <v>0</v>
      </c>
      <c r="O2882" t="n">
        <v>0</v>
      </c>
      <c r="P2882" t="n">
        <v>0</v>
      </c>
      <c r="Q2882" t="n">
        <v>0</v>
      </c>
      <c r="R2882" t="n">
        <v>0</v>
      </c>
      <c r="S2882" t="n">
        <v>0</v>
      </c>
      <c r="T2882" t="n">
        <v>0</v>
      </c>
      <c r="U2882" t="n">
        <v>0</v>
      </c>
      <c r="V2882" s="2" t="inlineStr"/>
    </row>
    <row r="2883" ht="15" customHeight="1">
      <c r="A2883" t="inlineStr">
        <is>
          <t>A 26593-2023</t>
        </is>
      </c>
      <c r="B2883" t="inlineStr">
        <is>
          <t>avverkningsanmälan</t>
        </is>
      </c>
      <c r="C2883" t="inlineStr">
        <is>
          <t>Föryngringsavverkning</t>
        </is>
      </c>
      <c r="D2883" s="1" t="n">
        <v>45092</v>
      </c>
      <c r="E2883" s="1" t="n">
        <v>46323</v>
      </c>
      <c r="F2883" t="inlineStr">
        <is>
          <t>KALMAR LÄN</t>
        </is>
      </c>
      <c r="G2883" t="inlineStr">
        <is>
          <t>KALMAR</t>
        </is>
      </c>
      <c r="I2883" t="n">
        <v>3.9</v>
      </c>
      <c r="J2883" t="n">
        <v>0</v>
      </c>
      <c r="K2883" t="n">
        <v>0</v>
      </c>
      <c r="L2883" t="n">
        <v>0</v>
      </c>
      <c r="M2883" t="n">
        <v>0</v>
      </c>
      <c r="N2883" t="n">
        <v>0</v>
      </c>
      <c r="O2883" t="n">
        <v>0</v>
      </c>
      <c r="P2883" t="n">
        <v>0</v>
      </c>
      <c r="Q2883" t="n">
        <v>0</v>
      </c>
      <c r="R2883" t="n">
        <v>0</v>
      </c>
      <c r="S2883" t="n">
        <v>0</v>
      </c>
      <c r="T2883" t="n">
        <v>0</v>
      </c>
      <c r="U2883" t="n">
        <v>0</v>
      </c>
      <c r="V2883" s="2" t="inlineStr"/>
    </row>
    <row r="2884" ht="15" customHeight="1">
      <c r="A2884" t="inlineStr">
        <is>
          <t>A 13862-2024</t>
        </is>
      </c>
      <c r="B2884" t="inlineStr">
        <is>
          <t>avverkningsanmälan</t>
        </is>
      </c>
      <c r="C2884" t="inlineStr">
        <is>
          <t>Föryngringsavverkning</t>
        </is>
      </c>
      <c r="D2884" s="1" t="n">
        <v>45390</v>
      </c>
      <c r="E2884" s="1" t="n">
        <v>46323</v>
      </c>
      <c r="F2884" t="inlineStr">
        <is>
          <t>KALMAR LÄN</t>
        </is>
      </c>
      <c r="G2884" t="inlineStr">
        <is>
          <t>HULTSFRED</t>
        </is>
      </c>
      <c r="I2884" t="n">
        <v>5.3</v>
      </c>
      <c r="J2884" t="n">
        <v>0</v>
      </c>
      <c r="K2884" t="n">
        <v>0</v>
      </c>
      <c r="L2884" t="n">
        <v>0</v>
      </c>
      <c r="M2884" t="n">
        <v>0</v>
      </c>
      <c r="N2884" t="n">
        <v>0</v>
      </c>
      <c r="O2884" t="n">
        <v>0</v>
      </c>
      <c r="P2884" t="n">
        <v>0</v>
      </c>
      <c r="Q2884" t="n">
        <v>0</v>
      </c>
      <c r="R2884" t="n">
        <v>0</v>
      </c>
      <c r="S2884" t="n">
        <v>0</v>
      </c>
      <c r="T2884" t="n">
        <v>0</v>
      </c>
      <c r="U2884" t="n">
        <v>0</v>
      </c>
      <c r="V2884" s="2" t="inlineStr"/>
    </row>
    <row r="2885" ht="15" customHeight="1">
      <c r="A2885" t="inlineStr">
        <is>
          <t>A 58967-2022</t>
        </is>
      </c>
      <c r="B2885" t="inlineStr">
        <is>
          <t>avverkningsanmälan</t>
        </is>
      </c>
      <c r="C2885" t="inlineStr">
        <is>
          <t>Föryngringsavverkning</t>
        </is>
      </c>
      <c r="D2885" s="1" t="n">
        <v>44896</v>
      </c>
      <c r="E2885" s="1" t="n">
        <v>46323</v>
      </c>
      <c r="F2885" t="inlineStr">
        <is>
          <t>KALMAR LÄN</t>
        </is>
      </c>
      <c r="G2885" t="inlineStr">
        <is>
          <t>VIMMERBY</t>
        </is>
      </c>
      <c r="I2885" t="n">
        <v>5</v>
      </c>
      <c r="J2885" t="n">
        <v>0</v>
      </c>
      <c r="K2885" t="n">
        <v>0</v>
      </c>
      <c r="L2885" t="n">
        <v>0</v>
      </c>
      <c r="M2885" t="n">
        <v>0</v>
      </c>
      <c r="N2885" t="n">
        <v>0</v>
      </c>
      <c r="O2885" t="n">
        <v>0</v>
      </c>
      <c r="P2885" t="n">
        <v>0</v>
      </c>
      <c r="Q2885" t="n">
        <v>0</v>
      </c>
      <c r="R2885" t="n">
        <v>0</v>
      </c>
      <c r="S2885" t="n">
        <v>0</v>
      </c>
      <c r="T2885" t="n">
        <v>0</v>
      </c>
      <c r="U2885" t="n">
        <v>0</v>
      </c>
      <c r="V2885" s="2" t="inlineStr"/>
    </row>
    <row r="2886" ht="15" customHeight="1">
      <c r="A2886" t="inlineStr">
        <is>
          <t>A 54838-2024</t>
        </is>
      </c>
      <c r="B2886" t="inlineStr">
        <is>
          <t>avverkningsanmälan</t>
        </is>
      </c>
      <c r="C2886" t="inlineStr">
        <is>
          <t>Föryngringsavverkning</t>
        </is>
      </c>
      <c r="D2886" s="1" t="n">
        <v>45618</v>
      </c>
      <c r="E2886" s="1" t="n">
        <v>46323</v>
      </c>
      <c r="F2886" t="inlineStr">
        <is>
          <t>KALMAR LÄN</t>
        </is>
      </c>
      <c r="G2886" t="inlineStr">
        <is>
          <t>VIMMERBY</t>
        </is>
      </c>
      <c r="I2886" t="n">
        <v>3.3</v>
      </c>
      <c r="J2886" t="n">
        <v>0</v>
      </c>
      <c r="K2886" t="n">
        <v>0</v>
      </c>
      <c r="L2886" t="n">
        <v>0</v>
      </c>
      <c r="M2886" t="n">
        <v>0</v>
      </c>
      <c r="N2886" t="n">
        <v>0</v>
      </c>
      <c r="O2886" t="n">
        <v>0</v>
      </c>
      <c r="P2886" t="n">
        <v>0</v>
      </c>
      <c r="Q2886" t="n">
        <v>0</v>
      </c>
      <c r="R2886" t="n">
        <v>0</v>
      </c>
      <c r="S2886" t="n">
        <v>0</v>
      </c>
      <c r="T2886" t="n">
        <v>0</v>
      </c>
      <c r="U2886" t="n">
        <v>0</v>
      </c>
      <c r="V2886" s="2" t="inlineStr"/>
    </row>
    <row r="2887" ht="15" customHeight="1">
      <c r="A2887" t="inlineStr">
        <is>
          <t>A 34078-2024</t>
        </is>
      </c>
      <c r="B2887" t="inlineStr">
        <is>
          <t>avverkningsanmälan</t>
        </is>
      </c>
      <c r="C2887" t="inlineStr">
        <is>
          <t>Avverkning för att bevara och utveckla /försöksver</t>
        </is>
      </c>
      <c r="D2887" s="1" t="n">
        <v>45523</v>
      </c>
      <c r="E2887" s="1" t="n">
        <v>46323</v>
      </c>
      <c r="F2887" t="inlineStr">
        <is>
          <t>KALMAR LÄN</t>
        </is>
      </c>
      <c r="G2887" t="inlineStr">
        <is>
          <t>HÖGSBY</t>
        </is>
      </c>
      <c r="I2887" t="n">
        <v>2.3</v>
      </c>
      <c r="J2887" t="n">
        <v>0</v>
      </c>
      <c r="K2887" t="n">
        <v>0</v>
      </c>
      <c r="L2887" t="n">
        <v>0</v>
      </c>
      <c r="M2887" t="n">
        <v>0</v>
      </c>
      <c r="N2887" t="n">
        <v>0</v>
      </c>
      <c r="O2887" t="n">
        <v>0</v>
      </c>
      <c r="P2887" t="n">
        <v>0</v>
      </c>
      <c r="Q2887" t="n">
        <v>0</v>
      </c>
      <c r="R2887" t="n">
        <v>0</v>
      </c>
      <c r="S2887" t="n">
        <v>0</v>
      </c>
      <c r="T2887" t="n">
        <v>0</v>
      </c>
      <c r="U2887" t="n">
        <v>0</v>
      </c>
      <c r="V2887" s="2" t="inlineStr"/>
    </row>
    <row r="2888" ht="15" customHeight="1">
      <c r="A2888" t="inlineStr">
        <is>
          <t>A 57682-2022</t>
        </is>
      </c>
      <c r="B2888" t="inlineStr">
        <is>
          <t>avverkningsanmälan</t>
        </is>
      </c>
      <c r="C2888" t="inlineStr">
        <is>
          <t>Föryngringsavverkning</t>
        </is>
      </c>
      <c r="D2888" s="1" t="n">
        <v>44890</v>
      </c>
      <c r="E2888" s="1" t="n">
        <v>46323</v>
      </c>
      <c r="F2888" t="inlineStr">
        <is>
          <t>KALMAR LÄN</t>
        </is>
      </c>
      <c r="G2888" t="inlineStr">
        <is>
          <t>VIMMERBY</t>
        </is>
      </c>
      <c r="I2888" t="n">
        <v>1.5</v>
      </c>
      <c r="J2888" t="n">
        <v>0</v>
      </c>
      <c r="K2888" t="n">
        <v>0</v>
      </c>
      <c r="L2888" t="n">
        <v>0</v>
      </c>
      <c r="M2888" t="n">
        <v>0</v>
      </c>
      <c r="N2888" t="n">
        <v>0</v>
      </c>
      <c r="O2888" t="n">
        <v>0</v>
      </c>
      <c r="P2888" t="n">
        <v>0</v>
      </c>
      <c r="Q2888" t="n">
        <v>0</v>
      </c>
      <c r="R2888" t="n">
        <v>0</v>
      </c>
      <c r="S2888" t="n">
        <v>0</v>
      </c>
      <c r="T2888" t="n">
        <v>0</v>
      </c>
      <c r="U2888" t="n">
        <v>0</v>
      </c>
      <c r="V2888" s="2" t="inlineStr"/>
    </row>
    <row r="2889" ht="15" customHeight="1">
      <c r="A2889" t="inlineStr">
        <is>
          <t>A 44540-2023</t>
        </is>
      </c>
      <c r="B2889" t="inlineStr">
        <is>
          <t>avverkningsanmälan</t>
        </is>
      </c>
      <c r="C2889" t="inlineStr">
        <is>
          <t>Föryngringsavverkning</t>
        </is>
      </c>
      <c r="D2889" s="1" t="n">
        <v>45189</v>
      </c>
      <c r="E2889" s="1" t="n">
        <v>46323</v>
      </c>
      <c r="F2889" t="inlineStr">
        <is>
          <t>KALMAR LÄN</t>
        </is>
      </c>
      <c r="G2889" t="inlineStr">
        <is>
          <t>EMMABODA</t>
        </is>
      </c>
      <c r="I2889" t="n">
        <v>1.2</v>
      </c>
      <c r="J2889" t="n">
        <v>0</v>
      </c>
      <c r="K2889" t="n">
        <v>0</v>
      </c>
      <c r="L2889" t="n">
        <v>0</v>
      </c>
      <c r="M2889" t="n">
        <v>0</v>
      </c>
      <c r="N2889" t="n">
        <v>0</v>
      </c>
      <c r="O2889" t="n">
        <v>0</v>
      </c>
      <c r="P2889" t="n">
        <v>0</v>
      </c>
      <c r="Q2889" t="n">
        <v>0</v>
      </c>
      <c r="R2889" t="n">
        <v>0</v>
      </c>
      <c r="S2889" t="n">
        <v>0</v>
      </c>
      <c r="T2889" t="n">
        <v>0</v>
      </c>
      <c r="U2889" t="n">
        <v>0</v>
      </c>
      <c r="V2889" s="2" t="inlineStr"/>
    </row>
    <row r="2890" ht="15" customHeight="1">
      <c r="A2890" t="inlineStr">
        <is>
          <t>A 44542-2023</t>
        </is>
      </c>
      <c r="B2890" t="inlineStr">
        <is>
          <t>avverkningsanmälan</t>
        </is>
      </c>
      <c r="C2890" t="inlineStr">
        <is>
          <t>Föryngringsavverkning</t>
        </is>
      </c>
      <c r="D2890" s="1" t="n">
        <v>45189</v>
      </c>
      <c r="E2890" s="1" t="n">
        <v>46323</v>
      </c>
      <c r="F2890" t="inlineStr">
        <is>
          <t>KALMAR LÄN</t>
        </is>
      </c>
      <c r="G2890" t="inlineStr">
        <is>
          <t>EMMABODA</t>
        </is>
      </c>
      <c r="I2890" t="n">
        <v>2.4</v>
      </c>
      <c r="J2890" t="n">
        <v>0</v>
      </c>
      <c r="K2890" t="n">
        <v>0</v>
      </c>
      <c r="L2890" t="n">
        <v>0</v>
      </c>
      <c r="M2890" t="n">
        <v>0</v>
      </c>
      <c r="N2890" t="n">
        <v>0</v>
      </c>
      <c r="O2890" t="n">
        <v>0</v>
      </c>
      <c r="P2890" t="n">
        <v>0</v>
      </c>
      <c r="Q2890" t="n">
        <v>0</v>
      </c>
      <c r="R2890" t="n">
        <v>0</v>
      </c>
      <c r="S2890" t="n">
        <v>0</v>
      </c>
      <c r="T2890" t="n">
        <v>0</v>
      </c>
      <c r="U2890" t="n">
        <v>0</v>
      </c>
      <c r="V2890" s="2" t="inlineStr"/>
    </row>
    <row r="2891" ht="15" customHeight="1">
      <c r="A2891" t="inlineStr">
        <is>
          <t>A 27351-2023</t>
        </is>
      </c>
      <c r="B2891" t="inlineStr">
        <is>
          <t>avverkningsanmälan</t>
        </is>
      </c>
      <c r="C2891" t="inlineStr">
        <is>
          <t>Föryngringsavverkning</t>
        </is>
      </c>
      <c r="D2891" s="1" t="n">
        <v>45096</v>
      </c>
      <c r="E2891" s="1" t="n">
        <v>46323</v>
      </c>
      <c r="F2891" t="inlineStr">
        <is>
          <t>KALMAR LÄN</t>
        </is>
      </c>
      <c r="G2891" t="inlineStr">
        <is>
          <t>HULTSFRED</t>
        </is>
      </c>
      <c r="I2891" t="n">
        <v>2.3</v>
      </c>
      <c r="J2891" t="n">
        <v>0</v>
      </c>
      <c r="K2891" t="n">
        <v>0</v>
      </c>
      <c r="L2891" t="n">
        <v>0</v>
      </c>
      <c r="M2891" t="n">
        <v>0</v>
      </c>
      <c r="N2891" t="n">
        <v>0</v>
      </c>
      <c r="O2891" t="n">
        <v>0</v>
      </c>
      <c r="P2891" t="n">
        <v>0</v>
      </c>
      <c r="Q2891" t="n">
        <v>0</v>
      </c>
      <c r="R2891" t="n">
        <v>0</v>
      </c>
      <c r="S2891" t="n">
        <v>0</v>
      </c>
      <c r="T2891" t="n">
        <v>0</v>
      </c>
      <c r="U2891" t="n">
        <v>0</v>
      </c>
      <c r="V2891" s="2" t="inlineStr"/>
    </row>
    <row r="2892" ht="15" customHeight="1">
      <c r="A2892" t="inlineStr">
        <is>
          <t>A 7839-2024</t>
        </is>
      </c>
      <c r="B2892" t="inlineStr">
        <is>
          <t>avverkningsanmälan</t>
        </is>
      </c>
      <c r="C2892" t="inlineStr">
        <is>
          <t>Föryngringsavverkning</t>
        </is>
      </c>
      <c r="D2892" s="1" t="n">
        <v>45349</v>
      </c>
      <c r="E2892" s="1" t="n">
        <v>46323</v>
      </c>
      <c r="F2892" t="inlineStr">
        <is>
          <t>KALMAR LÄN</t>
        </is>
      </c>
      <c r="G2892" t="inlineStr">
        <is>
          <t>EMMABODA</t>
        </is>
      </c>
      <c r="I2892" t="n">
        <v>0.6</v>
      </c>
      <c r="J2892" t="n">
        <v>0</v>
      </c>
      <c r="K2892" t="n">
        <v>0</v>
      </c>
      <c r="L2892" t="n">
        <v>0</v>
      </c>
      <c r="M2892" t="n">
        <v>0</v>
      </c>
      <c r="N2892" t="n">
        <v>0</v>
      </c>
      <c r="O2892" t="n">
        <v>0</v>
      </c>
      <c r="P2892" t="n">
        <v>0</v>
      </c>
      <c r="Q2892" t="n">
        <v>0</v>
      </c>
      <c r="R2892" t="n">
        <v>0</v>
      </c>
      <c r="S2892" t="n">
        <v>0</v>
      </c>
      <c r="T2892" t="n">
        <v>0</v>
      </c>
      <c r="U2892" t="n">
        <v>0</v>
      </c>
      <c r="V2892" s="2" t="inlineStr"/>
    </row>
    <row r="2893" ht="15" customHeight="1">
      <c r="A2893" t="inlineStr">
        <is>
          <t>A 28-2022</t>
        </is>
      </c>
      <c r="B2893" t="inlineStr">
        <is>
          <t>avverkningsanmälan</t>
        </is>
      </c>
      <c r="C2893" t="inlineStr">
        <is>
          <t>Föryngringsavverkning</t>
        </is>
      </c>
      <c r="D2893" s="1" t="n">
        <v>44564</v>
      </c>
      <c r="E2893" s="1" t="n">
        <v>46323</v>
      </c>
      <c r="F2893" t="inlineStr">
        <is>
          <t>KALMAR LÄN</t>
        </is>
      </c>
      <c r="G2893" t="inlineStr">
        <is>
          <t>KALMAR</t>
        </is>
      </c>
      <c r="I2893" t="n">
        <v>1.1</v>
      </c>
      <c r="J2893" t="n">
        <v>0</v>
      </c>
      <c r="K2893" t="n">
        <v>0</v>
      </c>
      <c r="L2893" t="n">
        <v>0</v>
      </c>
      <c r="M2893" t="n">
        <v>0</v>
      </c>
      <c r="N2893" t="n">
        <v>0</v>
      </c>
      <c r="O2893" t="n">
        <v>0</v>
      </c>
      <c r="P2893" t="n">
        <v>0</v>
      </c>
      <c r="Q2893" t="n">
        <v>0</v>
      </c>
      <c r="R2893" t="n">
        <v>0</v>
      </c>
      <c r="S2893" t="n">
        <v>0</v>
      </c>
      <c r="T2893" t="n">
        <v>0</v>
      </c>
      <c r="U2893" t="n">
        <v>0</v>
      </c>
      <c r="V2893" s="2" t="inlineStr"/>
    </row>
    <row r="2894" ht="15" customHeight="1">
      <c r="A2894" t="inlineStr">
        <is>
          <t>A 46845-2025</t>
        </is>
      </c>
      <c r="B2894" t="inlineStr">
        <is>
          <t>avverkningsanmälan</t>
        </is>
      </c>
      <c r="C2894" t="inlineStr">
        <is>
          <t>Avverkning för annat ändamål</t>
        </is>
      </c>
      <c r="D2894" s="1" t="n">
        <v>45928</v>
      </c>
      <c r="E2894" s="1" t="n">
        <v>46323</v>
      </c>
      <c r="F2894" t="inlineStr">
        <is>
          <t>KALMAR LÄN</t>
        </is>
      </c>
      <c r="G2894" t="inlineStr">
        <is>
          <t>BORGHOLM</t>
        </is>
      </c>
      <c r="I2894" t="n">
        <v>2.7</v>
      </c>
      <c r="J2894" t="n">
        <v>0</v>
      </c>
      <c r="K2894" t="n">
        <v>0</v>
      </c>
      <c r="L2894" t="n">
        <v>0</v>
      </c>
      <c r="M2894" t="n">
        <v>0</v>
      </c>
      <c r="N2894" t="n">
        <v>0</v>
      </c>
      <c r="O2894" t="n">
        <v>0</v>
      </c>
      <c r="P2894" t="n">
        <v>0</v>
      </c>
      <c r="Q2894" t="n">
        <v>0</v>
      </c>
      <c r="R2894" t="n">
        <v>0</v>
      </c>
      <c r="S2894" t="n">
        <v>0</v>
      </c>
      <c r="T2894" t="n">
        <v>0</v>
      </c>
      <c r="U2894" t="n">
        <v>0</v>
      </c>
      <c r="V2894" s="2" t="inlineStr"/>
    </row>
    <row r="2895" ht="15" customHeight="1">
      <c r="A2895" t="inlineStr">
        <is>
          <t>A 29539-2024</t>
        </is>
      </c>
      <c r="B2895" t="inlineStr">
        <is>
          <t>avverkningsanmälan</t>
        </is>
      </c>
      <c r="C2895" t="inlineStr">
        <is>
          <t>Föryngringsavverkning</t>
        </is>
      </c>
      <c r="D2895" s="1" t="n">
        <v>45484</v>
      </c>
      <c r="E2895" s="1" t="n">
        <v>46323</v>
      </c>
      <c r="F2895" t="inlineStr">
        <is>
          <t>KALMAR LÄN</t>
        </is>
      </c>
      <c r="G2895" t="inlineStr">
        <is>
          <t>EMMABODA</t>
        </is>
      </c>
      <c r="I2895" t="n">
        <v>2.3</v>
      </c>
      <c r="J2895" t="n">
        <v>0</v>
      </c>
      <c r="K2895" t="n">
        <v>0</v>
      </c>
      <c r="L2895" t="n">
        <v>0</v>
      </c>
      <c r="M2895" t="n">
        <v>0</v>
      </c>
      <c r="N2895" t="n">
        <v>0</v>
      </c>
      <c r="O2895" t="n">
        <v>0</v>
      </c>
      <c r="P2895" t="n">
        <v>0</v>
      </c>
      <c r="Q2895" t="n">
        <v>0</v>
      </c>
      <c r="R2895" t="n">
        <v>0</v>
      </c>
      <c r="S2895" t="n">
        <v>0</v>
      </c>
      <c r="T2895" t="n">
        <v>0</v>
      </c>
      <c r="U2895" t="n">
        <v>0</v>
      </c>
      <c r="V2895" s="2" t="inlineStr"/>
    </row>
    <row r="2896" ht="15" customHeight="1">
      <c r="A2896" t="inlineStr">
        <is>
          <t>A 58095-2022</t>
        </is>
      </c>
      <c r="B2896" t="inlineStr">
        <is>
          <t>avverkningsanmälan</t>
        </is>
      </c>
      <c r="C2896" t="inlineStr">
        <is>
          <t>Föryngringsavverkning</t>
        </is>
      </c>
      <c r="D2896" s="1" t="n">
        <v>44900</v>
      </c>
      <c r="E2896" s="1" t="n">
        <v>46323</v>
      </c>
      <c r="F2896" t="inlineStr">
        <is>
          <t>KALMAR LÄN</t>
        </is>
      </c>
      <c r="G2896" t="inlineStr">
        <is>
          <t>OSKARSHAMN</t>
        </is>
      </c>
      <c r="I2896" t="n">
        <v>0.8</v>
      </c>
      <c r="J2896" t="n">
        <v>0</v>
      </c>
      <c r="K2896" t="n">
        <v>0</v>
      </c>
      <c r="L2896" t="n">
        <v>0</v>
      </c>
      <c r="M2896" t="n">
        <v>0</v>
      </c>
      <c r="N2896" t="n">
        <v>0</v>
      </c>
      <c r="O2896" t="n">
        <v>0</v>
      </c>
      <c r="P2896" t="n">
        <v>0</v>
      </c>
      <c r="Q2896" t="n">
        <v>0</v>
      </c>
      <c r="R2896" t="n">
        <v>0</v>
      </c>
      <c r="S2896" t="n">
        <v>0</v>
      </c>
      <c r="T2896" t="n">
        <v>0</v>
      </c>
      <c r="U2896" t="n">
        <v>0</v>
      </c>
      <c r="V2896" s="2" t="inlineStr"/>
    </row>
    <row r="2897" ht="15" customHeight="1">
      <c r="A2897" t="inlineStr">
        <is>
          <t>A 170-2022</t>
        </is>
      </c>
      <c r="B2897" t="inlineStr">
        <is>
          <t>avverkningsanmälan</t>
        </is>
      </c>
      <c r="C2897" t="inlineStr">
        <is>
          <t>Föryngringsavverkning</t>
        </is>
      </c>
      <c r="D2897" s="1" t="n">
        <v>44564</v>
      </c>
      <c r="E2897" s="1" t="n">
        <v>46323</v>
      </c>
      <c r="F2897" t="inlineStr">
        <is>
          <t>KALMAR LÄN</t>
        </is>
      </c>
      <c r="G2897" t="inlineStr">
        <is>
          <t>VÄSTERVIK</t>
        </is>
      </c>
      <c r="I2897" t="n">
        <v>0.8</v>
      </c>
      <c r="J2897" t="n">
        <v>0</v>
      </c>
      <c r="K2897" t="n">
        <v>0</v>
      </c>
      <c r="L2897" t="n">
        <v>0</v>
      </c>
      <c r="M2897" t="n">
        <v>0</v>
      </c>
      <c r="N2897" t="n">
        <v>0</v>
      </c>
      <c r="O2897" t="n">
        <v>0</v>
      </c>
      <c r="P2897" t="n">
        <v>0</v>
      </c>
      <c r="Q2897" t="n">
        <v>0</v>
      </c>
      <c r="R2897" t="n">
        <v>0</v>
      </c>
      <c r="S2897" t="n">
        <v>0</v>
      </c>
      <c r="T2897" t="n">
        <v>0</v>
      </c>
      <c r="U2897" t="n">
        <v>0</v>
      </c>
      <c r="V2897" s="2" t="inlineStr"/>
    </row>
    <row r="2898" ht="15" customHeight="1">
      <c r="A2898" t="inlineStr">
        <is>
          <t>A 174-2022</t>
        </is>
      </c>
      <c r="B2898" t="inlineStr">
        <is>
          <t>avverkningsanmälan</t>
        </is>
      </c>
      <c r="C2898" t="inlineStr">
        <is>
          <t>Föryngringsavverkning</t>
        </is>
      </c>
      <c r="D2898" s="1" t="n">
        <v>44564</v>
      </c>
      <c r="E2898" s="1" t="n">
        <v>46323</v>
      </c>
      <c r="F2898" t="inlineStr">
        <is>
          <t>KALMAR LÄN</t>
        </is>
      </c>
      <c r="G2898" t="inlineStr">
        <is>
          <t>VÄSTERVIK</t>
        </is>
      </c>
      <c r="I2898" t="n">
        <v>1.9</v>
      </c>
      <c r="J2898" t="n">
        <v>0</v>
      </c>
      <c r="K2898" t="n">
        <v>0</v>
      </c>
      <c r="L2898" t="n">
        <v>0</v>
      </c>
      <c r="M2898" t="n">
        <v>0</v>
      </c>
      <c r="N2898" t="n">
        <v>0</v>
      </c>
      <c r="O2898" t="n">
        <v>0</v>
      </c>
      <c r="P2898" t="n">
        <v>0</v>
      </c>
      <c r="Q2898" t="n">
        <v>0</v>
      </c>
      <c r="R2898" t="n">
        <v>0</v>
      </c>
      <c r="S2898" t="n">
        <v>0</v>
      </c>
      <c r="T2898" t="n">
        <v>0</v>
      </c>
      <c r="U2898" t="n">
        <v>0</v>
      </c>
      <c r="V2898" s="2" t="inlineStr"/>
    </row>
    <row r="2899" ht="15" customHeight="1">
      <c r="A2899" t="inlineStr">
        <is>
          <t>A 52117-2024</t>
        </is>
      </c>
      <c r="B2899" t="inlineStr">
        <is>
          <t>avverkningsanmälan</t>
        </is>
      </c>
      <c r="C2899" t="inlineStr">
        <is>
          <t>Föryngringsavverkning</t>
        </is>
      </c>
      <c r="D2899" s="1" t="n">
        <v>45608</v>
      </c>
      <c r="E2899" s="1" t="n">
        <v>46323</v>
      </c>
      <c r="F2899" t="inlineStr">
        <is>
          <t>KALMAR LÄN</t>
        </is>
      </c>
      <c r="G2899" t="inlineStr">
        <is>
          <t>HÖGSBY</t>
        </is>
      </c>
      <c r="I2899" t="n">
        <v>0.7</v>
      </c>
      <c r="J2899" t="n">
        <v>0</v>
      </c>
      <c r="K2899" t="n">
        <v>0</v>
      </c>
      <c r="L2899" t="n">
        <v>0</v>
      </c>
      <c r="M2899" t="n">
        <v>0</v>
      </c>
      <c r="N2899" t="n">
        <v>0</v>
      </c>
      <c r="O2899" t="n">
        <v>0</v>
      </c>
      <c r="P2899" t="n">
        <v>0</v>
      </c>
      <c r="Q2899" t="n">
        <v>0</v>
      </c>
      <c r="R2899" t="n">
        <v>0</v>
      </c>
      <c r="S2899" t="n">
        <v>0</v>
      </c>
      <c r="T2899" t="n">
        <v>0</v>
      </c>
      <c r="U2899" t="n">
        <v>0</v>
      </c>
      <c r="V2899" s="2" t="inlineStr"/>
    </row>
    <row r="2900" ht="15" customHeight="1">
      <c r="A2900" t="inlineStr">
        <is>
          <t>A 25987-2024</t>
        </is>
      </c>
      <c r="B2900" t="inlineStr">
        <is>
          <t>avverkningsanmälan</t>
        </is>
      </c>
      <c r="C2900" t="inlineStr">
        <is>
          <t>Avverkning för annat ändamål</t>
        </is>
      </c>
      <c r="D2900" s="1" t="n">
        <v>45467</v>
      </c>
      <c r="E2900" s="1" t="n">
        <v>46323</v>
      </c>
      <c r="F2900" t="inlineStr">
        <is>
          <t>KALMAR LÄN</t>
        </is>
      </c>
      <c r="G2900" t="inlineStr">
        <is>
          <t>VIMMERBY</t>
        </is>
      </c>
      <c r="I2900" t="n">
        <v>0.8</v>
      </c>
      <c r="J2900" t="n">
        <v>0</v>
      </c>
      <c r="K2900" t="n">
        <v>0</v>
      </c>
      <c r="L2900" t="n">
        <v>0</v>
      </c>
      <c r="M2900" t="n">
        <v>0</v>
      </c>
      <c r="N2900" t="n">
        <v>0</v>
      </c>
      <c r="O2900" t="n">
        <v>0</v>
      </c>
      <c r="P2900" t="n">
        <v>0</v>
      </c>
      <c r="Q2900" t="n">
        <v>0</v>
      </c>
      <c r="R2900" t="n">
        <v>0</v>
      </c>
      <c r="S2900" t="n">
        <v>0</v>
      </c>
      <c r="T2900" t="n">
        <v>0</v>
      </c>
      <c r="U2900" t="n">
        <v>0</v>
      </c>
      <c r="V2900" s="2" t="inlineStr"/>
    </row>
    <row r="2901" ht="15" customHeight="1">
      <c r="A2901" t="inlineStr">
        <is>
          <t>A 30173-2024</t>
        </is>
      </c>
      <c r="B2901" t="inlineStr">
        <is>
          <t>avverkningsanmälan</t>
        </is>
      </c>
      <c r="C2901" t="inlineStr">
        <is>
          <t>Föryngringsavverkning</t>
        </is>
      </c>
      <c r="D2901" s="1" t="n">
        <v>45489</v>
      </c>
      <c r="E2901" s="1" t="n">
        <v>46323</v>
      </c>
      <c r="F2901" t="inlineStr">
        <is>
          <t>KALMAR LÄN</t>
        </is>
      </c>
      <c r="G2901" t="inlineStr">
        <is>
          <t>NYBRO</t>
        </is>
      </c>
      <c r="I2901" t="n">
        <v>2.2</v>
      </c>
      <c r="J2901" t="n">
        <v>0</v>
      </c>
      <c r="K2901" t="n">
        <v>0</v>
      </c>
      <c r="L2901" t="n">
        <v>0</v>
      </c>
      <c r="M2901" t="n">
        <v>0</v>
      </c>
      <c r="N2901" t="n">
        <v>0</v>
      </c>
      <c r="O2901" t="n">
        <v>0</v>
      </c>
      <c r="P2901" t="n">
        <v>0</v>
      </c>
      <c r="Q2901" t="n">
        <v>0</v>
      </c>
      <c r="R2901" t="n">
        <v>0</v>
      </c>
      <c r="S2901" t="n">
        <v>0</v>
      </c>
      <c r="T2901" t="n">
        <v>0</v>
      </c>
      <c r="U2901" t="n">
        <v>0</v>
      </c>
      <c r="V2901" s="2" t="inlineStr"/>
    </row>
    <row r="2902" ht="15" customHeight="1">
      <c r="A2902" t="inlineStr">
        <is>
          <t>A 50723-2023</t>
        </is>
      </c>
      <c r="B2902" t="inlineStr">
        <is>
          <t>avverkningsanmälan</t>
        </is>
      </c>
      <c r="C2902" t="inlineStr">
        <is>
          <t>Föryngringsavverkning</t>
        </is>
      </c>
      <c r="D2902" s="1" t="n">
        <v>45210</v>
      </c>
      <c r="E2902" s="1" t="n">
        <v>46323</v>
      </c>
      <c r="F2902" t="inlineStr">
        <is>
          <t>KALMAR LÄN</t>
        </is>
      </c>
      <c r="G2902" t="inlineStr">
        <is>
          <t>NYBRO</t>
        </is>
      </c>
      <c r="I2902" t="n">
        <v>0.6</v>
      </c>
      <c r="J2902" t="n">
        <v>0</v>
      </c>
      <c r="K2902" t="n">
        <v>0</v>
      </c>
      <c r="L2902" t="n">
        <v>0</v>
      </c>
      <c r="M2902" t="n">
        <v>0</v>
      </c>
      <c r="N2902" t="n">
        <v>0</v>
      </c>
      <c r="O2902" t="n">
        <v>0</v>
      </c>
      <c r="P2902" t="n">
        <v>0</v>
      </c>
      <c r="Q2902" t="n">
        <v>0</v>
      </c>
      <c r="R2902" t="n">
        <v>0</v>
      </c>
      <c r="S2902" t="n">
        <v>0</v>
      </c>
      <c r="T2902" t="n">
        <v>0</v>
      </c>
      <c r="U2902" t="n">
        <v>0</v>
      </c>
      <c r="V2902" s="2" t="inlineStr"/>
    </row>
    <row r="2903" ht="15" customHeight="1">
      <c r="A2903" t="inlineStr">
        <is>
          <t>A 47668-2025</t>
        </is>
      </c>
      <c r="B2903" t="inlineStr">
        <is>
          <t>avverkningsanmälan</t>
        </is>
      </c>
      <c r="C2903" t="inlineStr">
        <is>
          <t>Föryngringsavverkning</t>
        </is>
      </c>
      <c r="D2903" s="1" t="n">
        <v>45931</v>
      </c>
      <c r="E2903" s="1" t="n">
        <v>46323</v>
      </c>
      <c r="F2903" t="inlineStr">
        <is>
          <t>KALMAR LÄN</t>
        </is>
      </c>
      <c r="G2903" t="inlineStr">
        <is>
          <t>OSKARSHAMN</t>
        </is>
      </c>
      <c r="I2903" t="n">
        <v>3.6</v>
      </c>
      <c r="J2903" t="n">
        <v>0</v>
      </c>
      <c r="K2903" t="n">
        <v>0</v>
      </c>
      <c r="L2903" t="n">
        <v>0</v>
      </c>
      <c r="M2903" t="n">
        <v>0</v>
      </c>
      <c r="N2903" t="n">
        <v>0</v>
      </c>
      <c r="O2903" t="n">
        <v>0</v>
      </c>
      <c r="P2903" t="n">
        <v>0</v>
      </c>
      <c r="Q2903" t="n">
        <v>0</v>
      </c>
      <c r="R2903" t="n">
        <v>0</v>
      </c>
      <c r="S2903" t="n">
        <v>0</v>
      </c>
      <c r="T2903" t="n">
        <v>0</v>
      </c>
      <c r="U2903" t="n">
        <v>0</v>
      </c>
      <c r="V2903" s="2" t="inlineStr"/>
    </row>
    <row r="2904" ht="15" customHeight="1">
      <c r="A2904" t="inlineStr">
        <is>
          <t>A 52897-2024</t>
        </is>
      </c>
      <c r="B2904" t="inlineStr">
        <is>
          <t>avverkningsanmälan</t>
        </is>
      </c>
      <c r="C2904" t="inlineStr">
        <is>
          <t>Föryngringsavverkning</t>
        </is>
      </c>
      <c r="D2904" s="1" t="n">
        <v>45610</v>
      </c>
      <c r="E2904" s="1" t="n">
        <v>46323</v>
      </c>
      <c r="F2904" t="inlineStr">
        <is>
          <t>KALMAR LÄN</t>
        </is>
      </c>
      <c r="G2904" t="inlineStr">
        <is>
          <t>HULTSFRED</t>
        </is>
      </c>
      <c r="I2904" t="n">
        <v>2.4</v>
      </c>
      <c r="J2904" t="n">
        <v>0</v>
      </c>
      <c r="K2904" t="n">
        <v>0</v>
      </c>
      <c r="L2904" t="n">
        <v>0</v>
      </c>
      <c r="M2904" t="n">
        <v>0</v>
      </c>
      <c r="N2904" t="n">
        <v>0</v>
      </c>
      <c r="O2904" t="n">
        <v>0</v>
      </c>
      <c r="P2904" t="n">
        <v>0</v>
      </c>
      <c r="Q2904" t="n">
        <v>0</v>
      </c>
      <c r="R2904" t="n">
        <v>0</v>
      </c>
      <c r="S2904" t="n">
        <v>0</v>
      </c>
      <c r="T2904" t="n">
        <v>0</v>
      </c>
      <c r="U2904" t="n">
        <v>0</v>
      </c>
      <c r="V2904" s="2" t="inlineStr"/>
    </row>
    <row r="2905" ht="15" customHeight="1">
      <c r="A2905" t="inlineStr">
        <is>
          <t>A 25109-2023</t>
        </is>
      </c>
      <c r="B2905" t="inlineStr">
        <is>
          <t>avverkningsanmälan</t>
        </is>
      </c>
      <c r="C2905" t="inlineStr">
        <is>
          <t>Föryngringsavverkning</t>
        </is>
      </c>
      <c r="D2905" s="1" t="n">
        <v>45086</v>
      </c>
      <c r="E2905" s="1" t="n">
        <v>46323</v>
      </c>
      <c r="F2905" t="inlineStr">
        <is>
          <t>KALMAR LÄN</t>
        </is>
      </c>
      <c r="G2905" t="inlineStr">
        <is>
          <t>VIMMERBY</t>
        </is>
      </c>
      <c r="I2905" t="n">
        <v>1.5</v>
      </c>
      <c r="J2905" t="n">
        <v>0</v>
      </c>
      <c r="K2905" t="n">
        <v>0</v>
      </c>
      <c r="L2905" t="n">
        <v>0</v>
      </c>
      <c r="M2905" t="n">
        <v>0</v>
      </c>
      <c r="N2905" t="n">
        <v>0</v>
      </c>
      <c r="O2905" t="n">
        <v>0</v>
      </c>
      <c r="P2905" t="n">
        <v>0</v>
      </c>
      <c r="Q2905" t="n">
        <v>0</v>
      </c>
      <c r="R2905" t="n">
        <v>0</v>
      </c>
      <c r="S2905" t="n">
        <v>0</v>
      </c>
      <c r="T2905" t="n">
        <v>0</v>
      </c>
      <c r="U2905" t="n">
        <v>0</v>
      </c>
      <c r="V2905" s="2" t="inlineStr"/>
    </row>
    <row r="2906" ht="15" customHeight="1">
      <c r="A2906" t="inlineStr">
        <is>
          <t>A 443-2024</t>
        </is>
      </c>
      <c r="B2906" t="inlineStr">
        <is>
          <t>avverkningsanmälan</t>
        </is>
      </c>
      <c r="C2906" t="inlineStr">
        <is>
          <t>Föryngringsavverkning</t>
        </is>
      </c>
      <c r="D2906" s="1" t="n">
        <v>45296</v>
      </c>
      <c r="E2906" s="1" t="n">
        <v>46323</v>
      </c>
      <c r="F2906" t="inlineStr">
        <is>
          <t>KALMAR LÄN</t>
        </is>
      </c>
      <c r="G2906" t="inlineStr">
        <is>
          <t>NYBRO</t>
        </is>
      </c>
      <c r="I2906" t="n">
        <v>3.9</v>
      </c>
      <c r="J2906" t="n">
        <v>0</v>
      </c>
      <c r="K2906" t="n">
        <v>0</v>
      </c>
      <c r="L2906" t="n">
        <v>0</v>
      </c>
      <c r="M2906" t="n">
        <v>0</v>
      </c>
      <c r="N2906" t="n">
        <v>0</v>
      </c>
      <c r="O2906" t="n">
        <v>0</v>
      </c>
      <c r="P2906" t="n">
        <v>0</v>
      </c>
      <c r="Q2906" t="n">
        <v>0</v>
      </c>
      <c r="R2906" t="n">
        <v>0</v>
      </c>
      <c r="S2906" t="n">
        <v>0</v>
      </c>
      <c r="T2906" t="n">
        <v>0</v>
      </c>
      <c r="U2906" t="n">
        <v>0</v>
      </c>
      <c r="V2906" s="2" t="inlineStr"/>
    </row>
    <row r="2907" ht="15" customHeight="1">
      <c r="A2907" t="inlineStr">
        <is>
          <t>A 8151-2024</t>
        </is>
      </c>
      <c r="B2907" t="inlineStr">
        <is>
          <t>avverkningsanmälan</t>
        </is>
      </c>
      <c r="C2907" t="inlineStr">
        <is>
          <t>Föryngringsavverkning</t>
        </is>
      </c>
      <c r="D2907" s="1" t="n">
        <v>45351</v>
      </c>
      <c r="E2907" s="1" t="n">
        <v>46323</v>
      </c>
      <c r="F2907" t="inlineStr">
        <is>
          <t>KALMAR LÄN</t>
        </is>
      </c>
      <c r="G2907" t="inlineStr">
        <is>
          <t>EMMABODA</t>
        </is>
      </c>
      <c r="I2907" t="n">
        <v>1.5</v>
      </c>
      <c r="J2907" t="n">
        <v>0</v>
      </c>
      <c r="K2907" t="n">
        <v>0</v>
      </c>
      <c r="L2907" t="n">
        <v>0</v>
      </c>
      <c r="M2907" t="n">
        <v>0</v>
      </c>
      <c r="N2907" t="n">
        <v>0</v>
      </c>
      <c r="O2907" t="n">
        <v>0</v>
      </c>
      <c r="P2907" t="n">
        <v>0</v>
      </c>
      <c r="Q2907" t="n">
        <v>0</v>
      </c>
      <c r="R2907" t="n">
        <v>0</v>
      </c>
      <c r="S2907" t="n">
        <v>0</v>
      </c>
      <c r="T2907" t="n">
        <v>0</v>
      </c>
      <c r="U2907" t="n">
        <v>0</v>
      </c>
      <c r="V2907" s="2" t="inlineStr"/>
    </row>
    <row r="2908" ht="15" customHeight="1">
      <c r="A2908" t="inlineStr">
        <is>
          <t>A 52845-2023</t>
        </is>
      </c>
      <c r="B2908" t="inlineStr">
        <is>
          <t>avverkningsanmälan</t>
        </is>
      </c>
      <c r="C2908" t="inlineStr">
        <is>
          <t>Föryngringsavverkning</t>
        </is>
      </c>
      <c r="D2908" s="1" t="n">
        <v>45226</v>
      </c>
      <c r="E2908" s="1" t="n">
        <v>46323</v>
      </c>
      <c r="F2908" t="inlineStr">
        <is>
          <t>KALMAR LÄN</t>
        </is>
      </c>
      <c r="G2908" t="inlineStr">
        <is>
          <t>VÄSTERVIK</t>
        </is>
      </c>
      <c r="H2908" t="inlineStr">
        <is>
          <t>Holmen skog AB</t>
        </is>
      </c>
      <c r="I2908" t="n">
        <v>1.2</v>
      </c>
      <c r="J2908" t="n">
        <v>0</v>
      </c>
      <c r="K2908" t="n">
        <v>0</v>
      </c>
      <c r="L2908" t="n">
        <v>0</v>
      </c>
      <c r="M2908" t="n">
        <v>0</v>
      </c>
      <c r="N2908" t="n">
        <v>0</v>
      </c>
      <c r="O2908" t="n">
        <v>0</v>
      </c>
      <c r="P2908" t="n">
        <v>0</v>
      </c>
      <c r="Q2908" t="n">
        <v>0</v>
      </c>
      <c r="R2908" t="n">
        <v>0</v>
      </c>
      <c r="S2908" t="n">
        <v>0</v>
      </c>
      <c r="T2908" t="n">
        <v>0</v>
      </c>
      <c r="U2908" t="n">
        <v>0</v>
      </c>
      <c r="V2908" s="2" t="inlineStr"/>
    </row>
    <row r="2909" ht="15" customHeight="1">
      <c r="A2909" t="inlineStr">
        <is>
          <t>A 2079-2023</t>
        </is>
      </c>
      <c r="B2909" t="inlineStr">
        <is>
          <t>avverkningsanmälan</t>
        </is>
      </c>
      <c r="C2909" t="inlineStr">
        <is>
          <t>Föryngringsavverkning</t>
        </is>
      </c>
      <c r="D2909" s="1" t="n">
        <v>44939</v>
      </c>
      <c r="E2909" s="1" t="n">
        <v>46323</v>
      </c>
      <c r="F2909" t="inlineStr">
        <is>
          <t>KALMAR LÄN</t>
        </is>
      </c>
      <c r="G2909" t="inlineStr">
        <is>
          <t>HÖGSBY</t>
        </is>
      </c>
      <c r="I2909" t="n">
        <v>2.8</v>
      </c>
      <c r="J2909" t="n">
        <v>0</v>
      </c>
      <c r="K2909" t="n">
        <v>0</v>
      </c>
      <c r="L2909" t="n">
        <v>0</v>
      </c>
      <c r="M2909" t="n">
        <v>0</v>
      </c>
      <c r="N2909" t="n">
        <v>0</v>
      </c>
      <c r="O2909" t="n">
        <v>0</v>
      </c>
      <c r="P2909" t="n">
        <v>0</v>
      </c>
      <c r="Q2909" t="n">
        <v>0</v>
      </c>
      <c r="R2909" t="n">
        <v>0</v>
      </c>
      <c r="S2909" t="n">
        <v>0</v>
      </c>
      <c r="T2909" t="n">
        <v>0</v>
      </c>
      <c r="U2909" t="n">
        <v>0</v>
      </c>
      <c r="V2909" s="2" t="inlineStr"/>
    </row>
    <row r="2910" ht="15" customHeight="1">
      <c r="A2910" t="inlineStr">
        <is>
          <t>A 21015-2025</t>
        </is>
      </c>
      <c r="B2910" t="inlineStr">
        <is>
          <t>avverkningsanmälan</t>
        </is>
      </c>
      <c r="C2910" t="inlineStr">
        <is>
          <t>Föryngringsavverkning</t>
        </is>
      </c>
      <c r="D2910" s="1" t="n">
        <v>45777</v>
      </c>
      <c r="E2910" s="1" t="n">
        <v>46323</v>
      </c>
      <c r="F2910" t="inlineStr">
        <is>
          <t>KALMAR LÄN</t>
        </is>
      </c>
      <c r="G2910" t="inlineStr">
        <is>
          <t>VÄSTERVIK</t>
        </is>
      </c>
      <c r="I2910" t="n">
        <v>1</v>
      </c>
      <c r="J2910" t="n">
        <v>0</v>
      </c>
      <c r="K2910" t="n">
        <v>0</v>
      </c>
      <c r="L2910" t="n">
        <v>0</v>
      </c>
      <c r="M2910" t="n">
        <v>0</v>
      </c>
      <c r="N2910" t="n">
        <v>0</v>
      </c>
      <c r="O2910" t="n">
        <v>0</v>
      </c>
      <c r="P2910" t="n">
        <v>0</v>
      </c>
      <c r="Q2910" t="n">
        <v>0</v>
      </c>
      <c r="R2910" t="n">
        <v>0</v>
      </c>
      <c r="S2910" t="n">
        <v>0</v>
      </c>
      <c r="T2910" t="n">
        <v>0</v>
      </c>
      <c r="U2910" t="n">
        <v>0</v>
      </c>
      <c r="V2910" s="2" t="inlineStr"/>
    </row>
    <row r="2911" ht="15" customHeight="1">
      <c r="A2911" t="inlineStr">
        <is>
          <t>A 20947-2024</t>
        </is>
      </c>
      <c r="B2911" t="inlineStr">
        <is>
          <t>avverkningsanmälan</t>
        </is>
      </c>
      <c r="C2911" t="inlineStr">
        <is>
          <t>Föryngringsavverkning</t>
        </is>
      </c>
      <c r="D2911" s="1" t="n">
        <v>45439</v>
      </c>
      <c r="E2911" s="1" t="n">
        <v>46323</v>
      </c>
      <c r="F2911" t="inlineStr">
        <is>
          <t>KALMAR LÄN</t>
        </is>
      </c>
      <c r="G2911" t="inlineStr">
        <is>
          <t>HULTSFRED</t>
        </is>
      </c>
      <c r="H2911" t="inlineStr">
        <is>
          <t>Övriga Aktiebolag</t>
        </is>
      </c>
      <c r="I2911" t="n">
        <v>1.9</v>
      </c>
      <c r="J2911" t="n">
        <v>0</v>
      </c>
      <c r="K2911" t="n">
        <v>0</v>
      </c>
      <c r="L2911" t="n">
        <v>0</v>
      </c>
      <c r="M2911" t="n">
        <v>0</v>
      </c>
      <c r="N2911" t="n">
        <v>0</v>
      </c>
      <c r="O2911" t="n">
        <v>0</v>
      </c>
      <c r="P2911" t="n">
        <v>0</v>
      </c>
      <c r="Q2911" t="n">
        <v>0</v>
      </c>
      <c r="R2911" t="n">
        <v>0</v>
      </c>
      <c r="S2911" t="n">
        <v>0</v>
      </c>
      <c r="T2911" t="n">
        <v>0</v>
      </c>
      <c r="U2911" t="n">
        <v>0</v>
      </c>
      <c r="V2911" s="2" t="inlineStr"/>
    </row>
    <row r="2912" ht="15" customHeight="1">
      <c r="A2912" t="inlineStr">
        <is>
          <t>A 73058-2021</t>
        </is>
      </c>
      <c r="B2912" t="inlineStr">
        <is>
          <t>avverkningsanmälan</t>
        </is>
      </c>
      <c r="C2912" t="inlineStr">
        <is>
          <t>Föryngringsavverkning</t>
        </is>
      </c>
      <c r="D2912" s="1" t="n">
        <v>44550</v>
      </c>
      <c r="E2912" s="1" t="n">
        <v>46323</v>
      </c>
      <c r="F2912" t="inlineStr">
        <is>
          <t>KALMAR LÄN</t>
        </is>
      </c>
      <c r="G2912" t="inlineStr">
        <is>
          <t>EMMABODA</t>
        </is>
      </c>
      <c r="I2912" t="n">
        <v>0.7</v>
      </c>
      <c r="J2912" t="n">
        <v>0</v>
      </c>
      <c r="K2912" t="n">
        <v>0</v>
      </c>
      <c r="L2912" t="n">
        <v>0</v>
      </c>
      <c r="M2912" t="n">
        <v>0</v>
      </c>
      <c r="N2912" t="n">
        <v>0</v>
      </c>
      <c r="O2912" t="n">
        <v>0</v>
      </c>
      <c r="P2912" t="n">
        <v>0</v>
      </c>
      <c r="Q2912" t="n">
        <v>0</v>
      </c>
      <c r="R2912" t="n">
        <v>0</v>
      </c>
      <c r="S2912" t="n">
        <v>0</v>
      </c>
      <c r="T2912" t="n">
        <v>0</v>
      </c>
      <c r="U2912" t="n">
        <v>0</v>
      </c>
      <c r="V2912" s="2" t="inlineStr"/>
    </row>
    <row r="2913" ht="15" customHeight="1">
      <c r="A2913" t="inlineStr">
        <is>
          <t>A 17330-2024</t>
        </is>
      </c>
      <c r="B2913" t="inlineStr">
        <is>
          <t>avverkningsanmälan</t>
        </is>
      </c>
      <c r="C2913" t="inlineStr">
        <is>
          <t>Föryngringsavverkning</t>
        </is>
      </c>
      <c r="D2913" s="1" t="n">
        <v>45414</v>
      </c>
      <c r="E2913" s="1" t="n">
        <v>46323</v>
      </c>
      <c r="F2913" t="inlineStr">
        <is>
          <t>KALMAR LÄN</t>
        </is>
      </c>
      <c r="G2913" t="inlineStr">
        <is>
          <t>HULTSFRED</t>
        </is>
      </c>
      <c r="I2913" t="n">
        <v>2.5</v>
      </c>
      <c r="J2913" t="n">
        <v>0</v>
      </c>
      <c r="K2913" t="n">
        <v>0</v>
      </c>
      <c r="L2913" t="n">
        <v>0</v>
      </c>
      <c r="M2913" t="n">
        <v>0</v>
      </c>
      <c r="N2913" t="n">
        <v>0</v>
      </c>
      <c r="O2913" t="n">
        <v>0</v>
      </c>
      <c r="P2913" t="n">
        <v>0</v>
      </c>
      <c r="Q2913" t="n">
        <v>0</v>
      </c>
      <c r="R2913" t="n">
        <v>0</v>
      </c>
      <c r="S2913" t="n">
        <v>0</v>
      </c>
      <c r="T2913" t="n">
        <v>0</v>
      </c>
      <c r="U2913" t="n">
        <v>0</v>
      </c>
      <c r="V2913" s="2" t="inlineStr"/>
    </row>
    <row r="2914" ht="15" customHeight="1">
      <c r="A2914" t="inlineStr">
        <is>
          <t>A 58731-2024</t>
        </is>
      </c>
      <c r="B2914" t="inlineStr">
        <is>
          <t>avverkningsanmälan</t>
        </is>
      </c>
      <c r="C2914" t="inlineStr">
        <is>
          <t>Föryngringsavverkning</t>
        </is>
      </c>
      <c r="D2914" s="1" t="n">
        <v>45635</v>
      </c>
      <c r="E2914" s="1" t="n">
        <v>46323</v>
      </c>
      <c r="F2914" t="inlineStr">
        <is>
          <t>KALMAR LÄN</t>
        </is>
      </c>
      <c r="G2914" t="inlineStr">
        <is>
          <t>VÄSTERVIK</t>
        </is>
      </c>
      <c r="I2914" t="n">
        <v>2.3</v>
      </c>
      <c r="J2914" t="n">
        <v>0</v>
      </c>
      <c r="K2914" t="n">
        <v>0</v>
      </c>
      <c r="L2914" t="n">
        <v>0</v>
      </c>
      <c r="M2914" t="n">
        <v>0</v>
      </c>
      <c r="N2914" t="n">
        <v>0</v>
      </c>
      <c r="O2914" t="n">
        <v>0</v>
      </c>
      <c r="P2914" t="n">
        <v>0</v>
      </c>
      <c r="Q2914" t="n">
        <v>0</v>
      </c>
      <c r="R2914" t="n">
        <v>0</v>
      </c>
      <c r="S2914" t="n">
        <v>0</v>
      </c>
      <c r="T2914" t="n">
        <v>0</v>
      </c>
      <c r="U2914" t="n">
        <v>0</v>
      </c>
      <c r="V2914" s="2" t="inlineStr"/>
    </row>
    <row r="2915" ht="15" customHeight="1">
      <c r="A2915" t="inlineStr">
        <is>
          <t>A 28295-2023</t>
        </is>
      </c>
      <c r="B2915" t="inlineStr">
        <is>
          <t>avverkningsanmälan</t>
        </is>
      </c>
      <c r="C2915" t="inlineStr">
        <is>
          <t>Föryngringsavverkning</t>
        </is>
      </c>
      <c r="D2915" s="1" t="n">
        <v>45099</v>
      </c>
      <c r="E2915" s="1" t="n">
        <v>46323</v>
      </c>
      <c r="F2915" t="inlineStr">
        <is>
          <t>KALMAR LÄN</t>
        </is>
      </c>
      <c r="G2915" t="inlineStr">
        <is>
          <t>EMMABODA</t>
        </is>
      </c>
      <c r="I2915" t="n">
        <v>0.9</v>
      </c>
      <c r="J2915" t="n">
        <v>0</v>
      </c>
      <c r="K2915" t="n">
        <v>0</v>
      </c>
      <c r="L2915" t="n">
        <v>0</v>
      </c>
      <c r="M2915" t="n">
        <v>0</v>
      </c>
      <c r="N2915" t="n">
        <v>0</v>
      </c>
      <c r="O2915" t="n">
        <v>0</v>
      </c>
      <c r="P2915" t="n">
        <v>0</v>
      </c>
      <c r="Q2915" t="n">
        <v>0</v>
      </c>
      <c r="R2915" t="n">
        <v>0</v>
      </c>
      <c r="S2915" t="n">
        <v>0</v>
      </c>
      <c r="T2915" t="n">
        <v>0</v>
      </c>
      <c r="U2915" t="n">
        <v>0</v>
      </c>
      <c r="V2915" s="2" t="inlineStr"/>
    </row>
    <row r="2916" ht="15" customHeight="1">
      <c r="A2916" t="inlineStr">
        <is>
          <t>A 12213-2025</t>
        </is>
      </c>
      <c r="B2916" t="inlineStr">
        <is>
          <t>avverkningsanmälan</t>
        </is>
      </c>
      <c r="C2916" t="inlineStr">
        <is>
          <t>Föryngringsavverkning</t>
        </is>
      </c>
      <c r="D2916" s="1" t="n">
        <v>45729</v>
      </c>
      <c r="E2916" s="1" t="n">
        <v>46323</v>
      </c>
      <c r="F2916" t="inlineStr">
        <is>
          <t>KALMAR LÄN</t>
        </is>
      </c>
      <c r="G2916" t="inlineStr">
        <is>
          <t>NYBRO</t>
        </is>
      </c>
      <c r="I2916" t="n">
        <v>0.7</v>
      </c>
      <c r="J2916" t="n">
        <v>0</v>
      </c>
      <c r="K2916" t="n">
        <v>0</v>
      </c>
      <c r="L2916" t="n">
        <v>0</v>
      </c>
      <c r="M2916" t="n">
        <v>0</v>
      </c>
      <c r="N2916" t="n">
        <v>0</v>
      </c>
      <c r="O2916" t="n">
        <v>0</v>
      </c>
      <c r="P2916" t="n">
        <v>0</v>
      </c>
      <c r="Q2916" t="n">
        <v>0</v>
      </c>
      <c r="R2916" t="n">
        <v>0</v>
      </c>
      <c r="S2916" t="n">
        <v>0</v>
      </c>
      <c r="T2916" t="n">
        <v>0</v>
      </c>
      <c r="U2916" t="n">
        <v>0</v>
      </c>
      <c r="V2916" s="2" t="inlineStr"/>
    </row>
    <row r="2917" ht="15" customHeight="1">
      <c r="A2917" t="inlineStr">
        <is>
          <t>A 60754-2022</t>
        </is>
      </c>
      <c r="B2917" t="inlineStr">
        <is>
          <t>avverkningsanmälan</t>
        </is>
      </c>
      <c r="C2917" t="inlineStr">
        <is>
          <t>Föryngringsavverkning</t>
        </is>
      </c>
      <c r="D2917" s="1" t="n">
        <v>44914</v>
      </c>
      <c r="E2917" s="1" t="n">
        <v>46323</v>
      </c>
      <c r="F2917" t="inlineStr">
        <is>
          <t>KALMAR LÄN</t>
        </is>
      </c>
      <c r="G2917" t="inlineStr">
        <is>
          <t>KALMAR</t>
        </is>
      </c>
      <c r="I2917" t="n">
        <v>4.7</v>
      </c>
      <c r="J2917" t="n">
        <v>0</v>
      </c>
      <c r="K2917" t="n">
        <v>0</v>
      </c>
      <c r="L2917" t="n">
        <v>0</v>
      </c>
      <c r="M2917" t="n">
        <v>0</v>
      </c>
      <c r="N2917" t="n">
        <v>0</v>
      </c>
      <c r="O2917" t="n">
        <v>0</v>
      </c>
      <c r="P2917" t="n">
        <v>0</v>
      </c>
      <c r="Q2917" t="n">
        <v>0</v>
      </c>
      <c r="R2917" t="n">
        <v>0</v>
      </c>
      <c r="S2917" t="n">
        <v>0</v>
      </c>
      <c r="T2917" t="n">
        <v>0</v>
      </c>
      <c r="U2917" t="n">
        <v>0</v>
      </c>
      <c r="V2917" s="2" t="inlineStr"/>
    </row>
    <row r="2918" ht="15" customHeight="1">
      <c r="A2918" t="inlineStr">
        <is>
          <t>A 22390-2023</t>
        </is>
      </c>
      <c r="B2918" t="inlineStr">
        <is>
          <t>avverkningsanmälan</t>
        </is>
      </c>
      <c r="C2918" t="inlineStr">
        <is>
          <t>Föryngringsavverkning</t>
        </is>
      </c>
      <c r="D2918" s="1" t="n">
        <v>45070</v>
      </c>
      <c r="E2918" s="1" t="n">
        <v>46323</v>
      </c>
      <c r="F2918" t="inlineStr">
        <is>
          <t>KALMAR LÄN</t>
        </is>
      </c>
      <c r="G2918" t="inlineStr">
        <is>
          <t>EMMABODA</t>
        </is>
      </c>
      <c r="I2918" t="n">
        <v>2.3</v>
      </c>
      <c r="J2918" t="n">
        <v>0</v>
      </c>
      <c r="K2918" t="n">
        <v>0</v>
      </c>
      <c r="L2918" t="n">
        <v>0</v>
      </c>
      <c r="M2918" t="n">
        <v>0</v>
      </c>
      <c r="N2918" t="n">
        <v>0</v>
      </c>
      <c r="O2918" t="n">
        <v>0</v>
      </c>
      <c r="P2918" t="n">
        <v>0</v>
      </c>
      <c r="Q2918" t="n">
        <v>0</v>
      </c>
      <c r="R2918" t="n">
        <v>0</v>
      </c>
      <c r="S2918" t="n">
        <v>0</v>
      </c>
      <c r="T2918" t="n">
        <v>0</v>
      </c>
      <c r="U2918" t="n">
        <v>0</v>
      </c>
      <c r="V2918" s="2" t="inlineStr"/>
    </row>
    <row r="2919" ht="15" customHeight="1">
      <c r="A2919" t="inlineStr">
        <is>
          <t>A 47519-2025</t>
        </is>
      </c>
      <c r="B2919" t="inlineStr">
        <is>
          <t>avverkningsanmälan</t>
        </is>
      </c>
      <c r="C2919" t="inlineStr">
        <is>
          <t>Föryngringsavverkning</t>
        </is>
      </c>
      <c r="D2919" s="1" t="n">
        <v>45931</v>
      </c>
      <c r="E2919" s="1" t="n">
        <v>46323</v>
      </c>
      <c r="F2919" t="inlineStr">
        <is>
          <t>KALMAR LÄN</t>
        </is>
      </c>
      <c r="G2919" t="inlineStr">
        <is>
          <t>EMMABODA</t>
        </is>
      </c>
      <c r="I2919" t="n">
        <v>1.1</v>
      </c>
      <c r="J2919" t="n">
        <v>0</v>
      </c>
      <c r="K2919" t="n">
        <v>0</v>
      </c>
      <c r="L2919" t="n">
        <v>0</v>
      </c>
      <c r="M2919" t="n">
        <v>0</v>
      </c>
      <c r="N2919" t="n">
        <v>0</v>
      </c>
      <c r="O2919" t="n">
        <v>0</v>
      </c>
      <c r="P2919" t="n">
        <v>0</v>
      </c>
      <c r="Q2919" t="n">
        <v>0</v>
      </c>
      <c r="R2919" t="n">
        <v>0</v>
      </c>
      <c r="S2919" t="n">
        <v>0</v>
      </c>
      <c r="T2919" t="n">
        <v>0</v>
      </c>
      <c r="U2919" t="n">
        <v>0</v>
      </c>
      <c r="V2919" s="2" t="inlineStr"/>
    </row>
    <row r="2920" ht="15" customHeight="1">
      <c r="A2920" t="inlineStr">
        <is>
          <t>A 14114-2025</t>
        </is>
      </c>
      <c r="B2920" t="inlineStr">
        <is>
          <t>avverkningsanmälan</t>
        </is>
      </c>
      <c r="C2920" t="inlineStr">
        <is>
          <t>Föryngringsavverkning</t>
        </is>
      </c>
      <c r="D2920" s="1" t="n">
        <v>45740</v>
      </c>
      <c r="E2920" s="1" t="n">
        <v>46323</v>
      </c>
      <c r="F2920" t="inlineStr">
        <is>
          <t>KALMAR LÄN</t>
        </is>
      </c>
      <c r="G2920" t="inlineStr">
        <is>
          <t>VÄSTERVIK</t>
        </is>
      </c>
      <c r="H2920" t="inlineStr">
        <is>
          <t>Sveaskog</t>
        </is>
      </c>
      <c r="I2920" t="n">
        <v>0.9</v>
      </c>
      <c r="J2920" t="n">
        <v>0</v>
      </c>
      <c r="K2920" t="n">
        <v>0</v>
      </c>
      <c r="L2920" t="n">
        <v>0</v>
      </c>
      <c r="M2920" t="n">
        <v>0</v>
      </c>
      <c r="N2920" t="n">
        <v>0</v>
      </c>
      <c r="O2920" t="n">
        <v>0</v>
      </c>
      <c r="P2920" t="n">
        <v>0</v>
      </c>
      <c r="Q2920" t="n">
        <v>0</v>
      </c>
      <c r="R2920" t="n">
        <v>0</v>
      </c>
      <c r="S2920" t="n">
        <v>0</v>
      </c>
      <c r="T2920" t="n">
        <v>0</v>
      </c>
      <c r="U2920" t="n">
        <v>0</v>
      </c>
      <c r="V2920" s="2" t="inlineStr"/>
    </row>
    <row r="2921" ht="15" customHeight="1">
      <c r="A2921" t="inlineStr">
        <is>
          <t>A 4076-2022</t>
        </is>
      </c>
      <c r="B2921" t="inlineStr">
        <is>
          <t>avverkningsanmälan</t>
        </is>
      </c>
      <c r="C2921" t="inlineStr">
        <is>
          <t>Föryngringsavverkning</t>
        </is>
      </c>
      <c r="D2921" s="1" t="n">
        <v>44588</v>
      </c>
      <c r="E2921" s="1" t="n">
        <v>46323</v>
      </c>
      <c r="F2921" t="inlineStr">
        <is>
          <t>KALMAR LÄN</t>
        </is>
      </c>
      <c r="G2921" t="inlineStr">
        <is>
          <t>VIMMERBY</t>
        </is>
      </c>
      <c r="I2921" t="n">
        <v>3</v>
      </c>
      <c r="J2921" t="n">
        <v>0</v>
      </c>
      <c r="K2921" t="n">
        <v>0</v>
      </c>
      <c r="L2921" t="n">
        <v>0</v>
      </c>
      <c r="M2921" t="n">
        <v>0</v>
      </c>
      <c r="N2921" t="n">
        <v>0</v>
      </c>
      <c r="O2921" t="n">
        <v>0</v>
      </c>
      <c r="P2921" t="n">
        <v>0</v>
      </c>
      <c r="Q2921" t="n">
        <v>0</v>
      </c>
      <c r="R2921" t="n">
        <v>0</v>
      </c>
      <c r="S2921" t="n">
        <v>0</v>
      </c>
      <c r="T2921" t="n">
        <v>0</v>
      </c>
      <c r="U2921" t="n">
        <v>0</v>
      </c>
      <c r="V2921" s="2" t="inlineStr"/>
    </row>
    <row r="2922" ht="15" customHeight="1">
      <c r="A2922" t="inlineStr">
        <is>
          <t>A 21950-2023</t>
        </is>
      </c>
      <c r="B2922" t="inlineStr">
        <is>
          <t>avverkningsanmälan</t>
        </is>
      </c>
      <c r="C2922" t="inlineStr">
        <is>
          <t>Föryngringsavverkning</t>
        </is>
      </c>
      <c r="D2922" s="1" t="n">
        <v>45068</v>
      </c>
      <c r="E2922" s="1" t="n">
        <v>46323</v>
      </c>
      <c r="F2922" t="inlineStr">
        <is>
          <t>KALMAR LÄN</t>
        </is>
      </c>
      <c r="G2922" t="inlineStr">
        <is>
          <t>MÖNSTERÅS</t>
        </is>
      </c>
      <c r="I2922" t="n">
        <v>1.4</v>
      </c>
      <c r="J2922" t="n">
        <v>0</v>
      </c>
      <c r="K2922" t="n">
        <v>0</v>
      </c>
      <c r="L2922" t="n">
        <v>0</v>
      </c>
      <c r="M2922" t="n">
        <v>0</v>
      </c>
      <c r="N2922" t="n">
        <v>0</v>
      </c>
      <c r="O2922" t="n">
        <v>0</v>
      </c>
      <c r="P2922" t="n">
        <v>0</v>
      </c>
      <c r="Q2922" t="n">
        <v>0</v>
      </c>
      <c r="R2922" t="n">
        <v>0</v>
      </c>
      <c r="S2922" t="n">
        <v>0</v>
      </c>
      <c r="T2922" t="n">
        <v>0</v>
      </c>
      <c r="U2922" t="n">
        <v>0</v>
      </c>
      <c r="V2922" s="2" t="inlineStr"/>
    </row>
    <row r="2923" ht="15" customHeight="1">
      <c r="A2923" t="inlineStr">
        <is>
          <t>A 4122-2022</t>
        </is>
      </c>
      <c r="B2923" t="inlineStr">
        <is>
          <t>avverkningsanmälan</t>
        </is>
      </c>
      <c r="C2923" t="inlineStr">
        <is>
          <t>Föryngringsavverkning</t>
        </is>
      </c>
      <c r="D2923" s="1" t="n">
        <v>44588</v>
      </c>
      <c r="E2923" s="1" t="n">
        <v>46323</v>
      </c>
      <c r="F2923" t="inlineStr">
        <is>
          <t>KALMAR LÄN</t>
        </is>
      </c>
      <c r="G2923" t="inlineStr">
        <is>
          <t>VIMMERBY</t>
        </is>
      </c>
      <c r="I2923" t="n">
        <v>0.6</v>
      </c>
      <c r="J2923" t="n">
        <v>0</v>
      </c>
      <c r="K2923" t="n">
        <v>0</v>
      </c>
      <c r="L2923" t="n">
        <v>0</v>
      </c>
      <c r="M2923" t="n">
        <v>0</v>
      </c>
      <c r="N2923" t="n">
        <v>0</v>
      </c>
      <c r="O2923" t="n">
        <v>0</v>
      </c>
      <c r="P2923" t="n">
        <v>0</v>
      </c>
      <c r="Q2923" t="n">
        <v>0</v>
      </c>
      <c r="R2923" t="n">
        <v>0</v>
      </c>
      <c r="S2923" t="n">
        <v>0</v>
      </c>
      <c r="T2923" t="n">
        <v>0</v>
      </c>
      <c r="U2923" t="n">
        <v>0</v>
      </c>
      <c r="V2923" s="2" t="inlineStr"/>
    </row>
    <row r="2924" ht="15" customHeight="1">
      <c r="A2924" t="inlineStr">
        <is>
          <t>A 51607-2023</t>
        </is>
      </c>
      <c r="B2924" t="inlineStr">
        <is>
          <t>avverkningsanmälan</t>
        </is>
      </c>
      <c r="C2924" t="inlineStr">
        <is>
          <t>Föryngringsavverkning</t>
        </is>
      </c>
      <c r="D2924" s="1" t="n">
        <v>45222</v>
      </c>
      <c r="E2924" s="1" t="n">
        <v>46323</v>
      </c>
      <c r="F2924" t="inlineStr">
        <is>
          <t>KALMAR LÄN</t>
        </is>
      </c>
      <c r="G2924" t="inlineStr">
        <is>
          <t>TORSÅS</t>
        </is>
      </c>
      <c r="I2924" t="n">
        <v>1.2</v>
      </c>
      <c r="J2924" t="n">
        <v>0</v>
      </c>
      <c r="K2924" t="n">
        <v>0</v>
      </c>
      <c r="L2924" t="n">
        <v>0</v>
      </c>
      <c r="M2924" t="n">
        <v>0</v>
      </c>
      <c r="N2924" t="n">
        <v>0</v>
      </c>
      <c r="O2924" t="n">
        <v>0</v>
      </c>
      <c r="P2924" t="n">
        <v>0</v>
      </c>
      <c r="Q2924" t="n">
        <v>0</v>
      </c>
      <c r="R2924" t="n">
        <v>0</v>
      </c>
      <c r="S2924" t="n">
        <v>0</v>
      </c>
      <c r="T2924" t="n">
        <v>0</v>
      </c>
      <c r="U2924" t="n">
        <v>0</v>
      </c>
      <c r="V2924" s="2" t="inlineStr"/>
    </row>
    <row r="2925" ht="15" customHeight="1">
      <c r="A2925" t="inlineStr">
        <is>
          <t>A 14876-2022</t>
        </is>
      </c>
      <c r="B2925" t="inlineStr">
        <is>
          <t>avverkningsanmälan</t>
        </is>
      </c>
      <c r="C2925" t="inlineStr">
        <is>
          <t>Föryngringsavverkning</t>
        </is>
      </c>
      <c r="D2925" s="1" t="n">
        <v>44656</v>
      </c>
      <c r="E2925" s="1" t="n">
        <v>46323</v>
      </c>
      <c r="F2925" t="inlineStr">
        <is>
          <t>KALMAR LÄN</t>
        </is>
      </c>
      <c r="G2925" t="inlineStr">
        <is>
          <t>OSKARSHAMN</t>
        </is>
      </c>
      <c r="I2925" t="n">
        <v>1.7</v>
      </c>
      <c r="J2925" t="n">
        <v>0</v>
      </c>
      <c r="K2925" t="n">
        <v>0</v>
      </c>
      <c r="L2925" t="n">
        <v>0</v>
      </c>
      <c r="M2925" t="n">
        <v>0</v>
      </c>
      <c r="N2925" t="n">
        <v>0</v>
      </c>
      <c r="O2925" t="n">
        <v>0</v>
      </c>
      <c r="P2925" t="n">
        <v>0</v>
      </c>
      <c r="Q2925" t="n">
        <v>0</v>
      </c>
      <c r="R2925" t="n">
        <v>0</v>
      </c>
      <c r="S2925" t="n">
        <v>0</v>
      </c>
      <c r="T2925" t="n">
        <v>0</v>
      </c>
      <c r="U2925" t="n">
        <v>0</v>
      </c>
      <c r="V2925" s="2" t="inlineStr"/>
    </row>
    <row r="2926" ht="15" customHeight="1">
      <c r="A2926" t="inlineStr">
        <is>
          <t>A 28299-2023</t>
        </is>
      </c>
      <c r="B2926" t="inlineStr">
        <is>
          <t>avverkningsanmälan</t>
        </is>
      </c>
      <c r="C2926" t="inlineStr">
        <is>
          <t>Föryngringsavverkning</t>
        </is>
      </c>
      <c r="D2926" s="1" t="n">
        <v>45099</v>
      </c>
      <c r="E2926" s="1" t="n">
        <v>46323</v>
      </c>
      <c r="F2926" t="inlineStr">
        <is>
          <t>KALMAR LÄN</t>
        </is>
      </c>
      <c r="G2926" t="inlineStr">
        <is>
          <t>KALMAR</t>
        </is>
      </c>
      <c r="I2926" t="n">
        <v>2.2</v>
      </c>
      <c r="J2926" t="n">
        <v>0</v>
      </c>
      <c r="K2926" t="n">
        <v>0</v>
      </c>
      <c r="L2926" t="n">
        <v>0</v>
      </c>
      <c r="M2926" t="n">
        <v>0</v>
      </c>
      <c r="N2926" t="n">
        <v>0</v>
      </c>
      <c r="O2926" t="n">
        <v>0</v>
      </c>
      <c r="P2926" t="n">
        <v>0</v>
      </c>
      <c r="Q2926" t="n">
        <v>0</v>
      </c>
      <c r="R2926" t="n">
        <v>0</v>
      </c>
      <c r="S2926" t="n">
        <v>0</v>
      </c>
      <c r="T2926" t="n">
        <v>0</v>
      </c>
      <c r="U2926" t="n">
        <v>0</v>
      </c>
      <c r="V2926" s="2" t="inlineStr"/>
    </row>
    <row r="2927" ht="15" customHeight="1">
      <c r="A2927" t="inlineStr">
        <is>
          <t>A 4463-2022</t>
        </is>
      </c>
      <c r="B2927" t="inlineStr">
        <is>
          <t>avverkningsanmälan</t>
        </is>
      </c>
      <c r="C2927" t="inlineStr">
        <is>
          <t>Föryngringsavverkning</t>
        </is>
      </c>
      <c r="D2927" s="1" t="n">
        <v>44589</v>
      </c>
      <c r="E2927" s="1" t="n">
        <v>46323</v>
      </c>
      <c r="F2927" t="inlineStr">
        <is>
          <t>KALMAR LÄN</t>
        </is>
      </c>
      <c r="G2927" t="inlineStr">
        <is>
          <t>VÄSTERVIK</t>
        </is>
      </c>
      <c r="H2927" t="inlineStr">
        <is>
          <t>Holmen skog AB</t>
        </is>
      </c>
      <c r="I2927" t="n">
        <v>1.8</v>
      </c>
      <c r="J2927" t="n">
        <v>0</v>
      </c>
      <c r="K2927" t="n">
        <v>0</v>
      </c>
      <c r="L2927" t="n">
        <v>0</v>
      </c>
      <c r="M2927" t="n">
        <v>0</v>
      </c>
      <c r="N2927" t="n">
        <v>0</v>
      </c>
      <c r="O2927" t="n">
        <v>0</v>
      </c>
      <c r="P2927" t="n">
        <v>0</v>
      </c>
      <c r="Q2927" t="n">
        <v>0</v>
      </c>
      <c r="R2927" t="n">
        <v>0</v>
      </c>
      <c r="S2927" t="n">
        <v>0</v>
      </c>
      <c r="T2927" t="n">
        <v>0</v>
      </c>
      <c r="U2927" t="n">
        <v>0</v>
      </c>
      <c r="V2927" s="2" t="inlineStr"/>
    </row>
    <row r="2928" ht="15" customHeight="1">
      <c r="A2928" t="inlineStr">
        <is>
          <t>A 25020-2023</t>
        </is>
      </c>
      <c r="B2928" t="inlineStr">
        <is>
          <t>avverkningsanmälan</t>
        </is>
      </c>
      <c r="C2928" t="inlineStr">
        <is>
          <t>Föryngringsavverkning</t>
        </is>
      </c>
      <c r="D2928" s="1" t="n">
        <v>45085</v>
      </c>
      <c r="E2928" s="1" t="n">
        <v>46323</v>
      </c>
      <c r="F2928" t="inlineStr">
        <is>
          <t>KALMAR LÄN</t>
        </is>
      </c>
      <c r="G2928" t="inlineStr">
        <is>
          <t>HULTSFRED</t>
        </is>
      </c>
      <c r="I2928" t="n">
        <v>2.5</v>
      </c>
      <c r="J2928" t="n">
        <v>0</v>
      </c>
      <c r="K2928" t="n">
        <v>0</v>
      </c>
      <c r="L2928" t="n">
        <v>0</v>
      </c>
      <c r="M2928" t="n">
        <v>0</v>
      </c>
      <c r="N2928" t="n">
        <v>0</v>
      </c>
      <c r="O2928" t="n">
        <v>0</v>
      </c>
      <c r="P2928" t="n">
        <v>0</v>
      </c>
      <c r="Q2928" t="n">
        <v>0</v>
      </c>
      <c r="R2928" t="n">
        <v>0</v>
      </c>
      <c r="S2928" t="n">
        <v>0</v>
      </c>
      <c r="T2928" t="n">
        <v>0</v>
      </c>
      <c r="U2928" t="n">
        <v>0</v>
      </c>
      <c r="V2928" s="2" t="inlineStr"/>
    </row>
    <row r="2929" ht="15" customHeight="1">
      <c r="A2929" t="inlineStr">
        <is>
          <t>A 47666-2025</t>
        </is>
      </c>
      <c r="B2929" t="inlineStr">
        <is>
          <t>avverkningsanmälan</t>
        </is>
      </c>
      <c r="C2929" t="inlineStr">
        <is>
          <t>Föryngringsavverkning</t>
        </is>
      </c>
      <c r="D2929" s="1" t="n">
        <v>45931</v>
      </c>
      <c r="E2929" s="1" t="n">
        <v>46323</v>
      </c>
      <c r="F2929" t="inlineStr">
        <is>
          <t>KALMAR LÄN</t>
        </is>
      </c>
      <c r="G2929" t="inlineStr">
        <is>
          <t>OSKARSHAMN</t>
        </is>
      </c>
      <c r="I2929" t="n">
        <v>1.9</v>
      </c>
      <c r="J2929" t="n">
        <v>0</v>
      </c>
      <c r="K2929" t="n">
        <v>0</v>
      </c>
      <c r="L2929" t="n">
        <v>0</v>
      </c>
      <c r="M2929" t="n">
        <v>0</v>
      </c>
      <c r="N2929" t="n">
        <v>0</v>
      </c>
      <c r="O2929" t="n">
        <v>0</v>
      </c>
      <c r="P2929" t="n">
        <v>0</v>
      </c>
      <c r="Q2929" t="n">
        <v>0</v>
      </c>
      <c r="R2929" t="n">
        <v>0</v>
      </c>
      <c r="S2929" t="n">
        <v>0</v>
      </c>
      <c r="T2929" t="n">
        <v>0</v>
      </c>
      <c r="U2929" t="n">
        <v>0</v>
      </c>
      <c r="V2929" s="2" t="inlineStr"/>
    </row>
    <row r="2930" ht="15" customHeight="1">
      <c r="A2930" t="inlineStr">
        <is>
          <t>A 59013-2023</t>
        </is>
      </c>
      <c r="B2930" t="inlineStr">
        <is>
          <t>avverkningsanmälan</t>
        </is>
      </c>
      <c r="C2930" t="inlineStr">
        <is>
          <t>Föryngringsavverkning</t>
        </is>
      </c>
      <c r="D2930" s="1" t="n">
        <v>45252</v>
      </c>
      <c r="E2930" s="1" t="n">
        <v>46323</v>
      </c>
      <c r="F2930" t="inlineStr">
        <is>
          <t>KALMAR LÄN</t>
        </is>
      </c>
      <c r="G2930" t="inlineStr">
        <is>
          <t>OSKARSHAMN</t>
        </is>
      </c>
      <c r="I2930" t="n">
        <v>1.7</v>
      </c>
      <c r="J2930" t="n">
        <v>0</v>
      </c>
      <c r="K2930" t="n">
        <v>0</v>
      </c>
      <c r="L2930" t="n">
        <v>0</v>
      </c>
      <c r="M2930" t="n">
        <v>0</v>
      </c>
      <c r="N2930" t="n">
        <v>0</v>
      </c>
      <c r="O2930" t="n">
        <v>0</v>
      </c>
      <c r="P2930" t="n">
        <v>0</v>
      </c>
      <c r="Q2930" t="n">
        <v>0</v>
      </c>
      <c r="R2930" t="n">
        <v>0</v>
      </c>
      <c r="S2930" t="n">
        <v>0</v>
      </c>
      <c r="T2930" t="n">
        <v>0</v>
      </c>
      <c r="U2930" t="n">
        <v>0</v>
      </c>
      <c r="V2930" s="2" t="inlineStr"/>
    </row>
    <row r="2931" ht="15" customHeight="1">
      <c r="A2931" t="inlineStr">
        <is>
          <t>A 62023-2022</t>
        </is>
      </c>
      <c r="B2931" t="inlineStr">
        <is>
          <t>avverkningsanmälan</t>
        </is>
      </c>
      <c r="C2931" t="inlineStr">
        <is>
          <t>Föryngringsavverkning</t>
        </is>
      </c>
      <c r="D2931" s="1" t="n">
        <v>44918</v>
      </c>
      <c r="E2931" s="1" t="n">
        <v>46323</v>
      </c>
      <c r="F2931" t="inlineStr">
        <is>
          <t>KALMAR LÄN</t>
        </is>
      </c>
      <c r="G2931" t="inlineStr">
        <is>
          <t>VIMMERBY</t>
        </is>
      </c>
      <c r="I2931" t="n">
        <v>0.3</v>
      </c>
      <c r="J2931" t="n">
        <v>0</v>
      </c>
      <c r="K2931" t="n">
        <v>0</v>
      </c>
      <c r="L2931" t="n">
        <v>0</v>
      </c>
      <c r="M2931" t="n">
        <v>0</v>
      </c>
      <c r="N2931" t="n">
        <v>0</v>
      </c>
      <c r="O2931" t="n">
        <v>0</v>
      </c>
      <c r="P2931" t="n">
        <v>0</v>
      </c>
      <c r="Q2931" t="n">
        <v>0</v>
      </c>
      <c r="R2931" t="n">
        <v>0</v>
      </c>
      <c r="S2931" t="n">
        <v>0</v>
      </c>
      <c r="T2931" t="n">
        <v>0</v>
      </c>
      <c r="U2931" t="n">
        <v>0</v>
      </c>
      <c r="V2931" s="2" t="inlineStr"/>
    </row>
    <row r="2932" ht="15" customHeight="1">
      <c r="A2932" t="inlineStr">
        <is>
          <t>A 47875-2025</t>
        </is>
      </c>
      <c r="B2932" t="inlineStr">
        <is>
          <t>avverkningsanmälan</t>
        </is>
      </c>
      <c r="C2932" t="inlineStr">
        <is>
          <t>Föryngringsavverkning</t>
        </is>
      </c>
      <c r="D2932" s="1" t="n">
        <v>45932</v>
      </c>
      <c r="E2932" s="1" t="n">
        <v>46323</v>
      </c>
      <c r="F2932" t="inlineStr">
        <is>
          <t>KALMAR LÄN</t>
        </is>
      </c>
      <c r="G2932" t="inlineStr">
        <is>
          <t>KALMAR</t>
        </is>
      </c>
      <c r="I2932" t="n">
        <v>1.1</v>
      </c>
      <c r="J2932" t="n">
        <v>0</v>
      </c>
      <c r="K2932" t="n">
        <v>0</v>
      </c>
      <c r="L2932" t="n">
        <v>0</v>
      </c>
      <c r="M2932" t="n">
        <v>0</v>
      </c>
      <c r="N2932" t="n">
        <v>0</v>
      </c>
      <c r="O2932" t="n">
        <v>0</v>
      </c>
      <c r="P2932" t="n">
        <v>0</v>
      </c>
      <c r="Q2932" t="n">
        <v>0</v>
      </c>
      <c r="R2932" t="n">
        <v>0</v>
      </c>
      <c r="S2932" t="n">
        <v>0</v>
      </c>
      <c r="T2932" t="n">
        <v>0</v>
      </c>
      <c r="U2932" t="n">
        <v>0</v>
      </c>
      <c r="V2932" s="2" t="inlineStr"/>
    </row>
    <row r="2933" ht="15" customHeight="1">
      <c r="A2933" t="inlineStr">
        <is>
          <t>A 47655-2025</t>
        </is>
      </c>
      <c r="B2933" t="inlineStr">
        <is>
          <t>avverkningsanmälan</t>
        </is>
      </c>
      <c r="C2933" t="inlineStr">
        <is>
          <t>Föryngringsavverkning</t>
        </is>
      </c>
      <c r="D2933" s="1" t="n">
        <v>45931</v>
      </c>
      <c r="E2933" s="1" t="n">
        <v>46323</v>
      </c>
      <c r="F2933" t="inlineStr">
        <is>
          <t>KALMAR LÄN</t>
        </is>
      </c>
      <c r="G2933" t="inlineStr">
        <is>
          <t>OSKARSHAMN</t>
        </is>
      </c>
      <c r="I2933" t="n">
        <v>1.1</v>
      </c>
      <c r="J2933" t="n">
        <v>0</v>
      </c>
      <c r="K2933" t="n">
        <v>0</v>
      </c>
      <c r="L2933" t="n">
        <v>0</v>
      </c>
      <c r="M2933" t="n">
        <v>0</v>
      </c>
      <c r="N2933" t="n">
        <v>0</v>
      </c>
      <c r="O2933" t="n">
        <v>0</v>
      </c>
      <c r="P2933" t="n">
        <v>0</v>
      </c>
      <c r="Q2933" t="n">
        <v>0</v>
      </c>
      <c r="R2933" t="n">
        <v>0</v>
      </c>
      <c r="S2933" t="n">
        <v>0</v>
      </c>
      <c r="T2933" t="n">
        <v>0</v>
      </c>
      <c r="U2933" t="n">
        <v>0</v>
      </c>
      <c r="V2933" s="2" t="inlineStr"/>
    </row>
    <row r="2934" ht="15" customHeight="1">
      <c r="A2934" t="inlineStr">
        <is>
          <t>A 43463-2022</t>
        </is>
      </c>
      <c r="B2934" t="inlineStr">
        <is>
          <t>avverkningsanmälan</t>
        </is>
      </c>
      <c r="C2934" t="inlineStr">
        <is>
          <t>Föryngringsavverkning</t>
        </is>
      </c>
      <c r="D2934" s="1" t="n">
        <v>44836</v>
      </c>
      <c r="E2934" s="1" t="n">
        <v>46323</v>
      </c>
      <c r="F2934" t="inlineStr">
        <is>
          <t>KALMAR LÄN</t>
        </is>
      </c>
      <c r="G2934" t="inlineStr">
        <is>
          <t>OSKARSHAMN</t>
        </is>
      </c>
      <c r="I2934" t="n">
        <v>1.9</v>
      </c>
      <c r="J2934" t="n">
        <v>0</v>
      </c>
      <c r="K2934" t="n">
        <v>0</v>
      </c>
      <c r="L2934" t="n">
        <v>0</v>
      </c>
      <c r="M2934" t="n">
        <v>0</v>
      </c>
      <c r="N2934" t="n">
        <v>0</v>
      </c>
      <c r="O2934" t="n">
        <v>0</v>
      </c>
      <c r="P2934" t="n">
        <v>0</v>
      </c>
      <c r="Q2934" t="n">
        <v>0</v>
      </c>
      <c r="R2934" t="n">
        <v>0</v>
      </c>
      <c r="S2934" t="n">
        <v>0</v>
      </c>
      <c r="T2934" t="n">
        <v>0</v>
      </c>
      <c r="U2934" t="n">
        <v>0</v>
      </c>
      <c r="V2934" s="2" t="inlineStr"/>
    </row>
    <row r="2935" ht="15" customHeight="1">
      <c r="A2935" t="inlineStr">
        <is>
          <t>A 64348-2021</t>
        </is>
      </c>
      <c r="B2935" t="inlineStr">
        <is>
          <t>avverkningsanmälan</t>
        </is>
      </c>
      <c r="C2935" t="inlineStr">
        <is>
          <t>Föryngringsavverkning</t>
        </is>
      </c>
      <c r="D2935" s="1" t="n">
        <v>44511</v>
      </c>
      <c r="E2935" s="1" t="n">
        <v>46323</v>
      </c>
      <c r="F2935" t="inlineStr">
        <is>
          <t>KALMAR LÄN</t>
        </is>
      </c>
      <c r="G2935" t="inlineStr">
        <is>
          <t>TORSÅS</t>
        </is>
      </c>
      <c r="I2935" t="n">
        <v>1.6</v>
      </c>
      <c r="J2935" t="n">
        <v>0</v>
      </c>
      <c r="K2935" t="n">
        <v>0</v>
      </c>
      <c r="L2935" t="n">
        <v>0</v>
      </c>
      <c r="M2935" t="n">
        <v>0</v>
      </c>
      <c r="N2935" t="n">
        <v>0</v>
      </c>
      <c r="O2935" t="n">
        <v>0</v>
      </c>
      <c r="P2935" t="n">
        <v>0</v>
      </c>
      <c r="Q2935" t="n">
        <v>0</v>
      </c>
      <c r="R2935" t="n">
        <v>0</v>
      </c>
      <c r="S2935" t="n">
        <v>0</v>
      </c>
      <c r="T2935" t="n">
        <v>0</v>
      </c>
      <c r="U2935" t="n">
        <v>0</v>
      </c>
      <c r="V2935" s="2" t="inlineStr"/>
    </row>
    <row r="2936" ht="15" customHeight="1">
      <c r="A2936" t="inlineStr">
        <is>
          <t>A 61316-2022</t>
        </is>
      </c>
      <c r="B2936" t="inlineStr">
        <is>
          <t>avverkningsanmälan</t>
        </is>
      </c>
      <c r="C2936" t="inlineStr">
        <is>
          <t>Föryngringsavverkning</t>
        </is>
      </c>
      <c r="D2936" s="1" t="n">
        <v>44915</v>
      </c>
      <c r="E2936" s="1" t="n">
        <v>46323</v>
      </c>
      <c r="F2936" t="inlineStr">
        <is>
          <t>KALMAR LÄN</t>
        </is>
      </c>
      <c r="G2936" t="inlineStr">
        <is>
          <t>NYBRO</t>
        </is>
      </c>
      <c r="I2936" t="n">
        <v>0.6</v>
      </c>
      <c r="J2936" t="n">
        <v>0</v>
      </c>
      <c r="K2936" t="n">
        <v>0</v>
      </c>
      <c r="L2936" t="n">
        <v>0</v>
      </c>
      <c r="M2936" t="n">
        <v>0</v>
      </c>
      <c r="N2936" t="n">
        <v>0</v>
      </c>
      <c r="O2936" t="n">
        <v>0</v>
      </c>
      <c r="P2936" t="n">
        <v>0</v>
      </c>
      <c r="Q2936" t="n">
        <v>0</v>
      </c>
      <c r="R2936" t="n">
        <v>0</v>
      </c>
      <c r="S2936" t="n">
        <v>0</v>
      </c>
      <c r="T2936" t="n">
        <v>0</v>
      </c>
      <c r="U2936" t="n">
        <v>0</v>
      </c>
      <c r="V2936" s="2" t="inlineStr"/>
    </row>
    <row r="2937" ht="15" customHeight="1">
      <c r="A2937" t="inlineStr">
        <is>
          <t>A 10651-2023</t>
        </is>
      </c>
      <c r="B2937" t="inlineStr">
        <is>
          <t>avverkningsanmälan</t>
        </is>
      </c>
      <c r="C2937" t="inlineStr">
        <is>
          <t>Föryngringsavverkning</t>
        </is>
      </c>
      <c r="D2937" s="1" t="n">
        <v>44988</v>
      </c>
      <c r="E2937" s="1" t="n">
        <v>46323</v>
      </c>
      <c r="F2937" t="inlineStr">
        <is>
          <t>KALMAR LÄN</t>
        </is>
      </c>
      <c r="G2937" t="inlineStr">
        <is>
          <t>TORSÅS</t>
        </is>
      </c>
      <c r="I2937" t="n">
        <v>0.8</v>
      </c>
      <c r="J2937" t="n">
        <v>0</v>
      </c>
      <c r="K2937" t="n">
        <v>0</v>
      </c>
      <c r="L2937" t="n">
        <v>0</v>
      </c>
      <c r="M2937" t="n">
        <v>0</v>
      </c>
      <c r="N2937" t="n">
        <v>0</v>
      </c>
      <c r="O2937" t="n">
        <v>0</v>
      </c>
      <c r="P2937" t="n">
        <v>0</v>
      </c>
      <c r="Q2937" t="n">
        <v>0</v>
      </c>
      <c r="R2937" t="n">
        <v>0</v>
      </c>
      <c r="S2937" t="n">
        <v>0</v>
      </c>
      <c r="T2937" t="n">
        <v>0</v>
      </c>
      <c r="U2937" t="n">
        <v>0</v>
      </c>
      <c r="V2937" s="2" t="inlineStr"/>
    </row>
    <row r="2938" ht="15" customHeight="1">
      <c r="A2938" t="inlineStr">
        <is>
          <t>A 47650-2025</t>
        </is>
      </c>
      <c r="B2938" t="inlineStr">
        <is>
          <t>avverkningsanmälan</t>
        </is>
      </c>
      <c r="C2938" t="inlineStr">
        <is>
          <t>Föryngringsavverkning</t>
        </is>
      </c>
      <c r="D2938" s="1" t="n">
        <v>45931</v>
      </c>
      <c r="E2938" s="1" t="n">
        <v>46323</v>
      </c>
      <c r="F2938" t="inlineStr">
        <is>
          <t>KALMAR LÄN</t>
        </is>
      </c>
      <c r="G2938" t="inlineStr">
        <is>
          <t>OSKARSHAMN</t>
        </is>
      </c>
      <c r="I2938" t="n">
        <v>4.1</v>
      </c>
      <c r="J2938" t="n">
        <v>0</v>
      </c>
      <c r="K2938" t="n">
        <v>0</v>
      </c>
      <c r="L2938" t="n">
        <v>0</v>
      </c>
      <c r="M2938" t="n">
        <v>0</v>
      </c>
      <c r="N2938" t="n">
        <v>0</v>
      </c>
      <c r="O2938" t="n">
        <v>0</v>
      </c>
      <c r="P2938" t="n">
        <v>0</v>
      </c>
      <c r="Q2938" t="n">
        <v>0</v>
      </c>
      <c r="R2938" t="n">
        <v>0</v>
      </c>
      <c r="S2938" t="n">
        <v>0</v>
      </c>
      <c r="T2938" t="n">
        <v>0</v>
      </c>
      <c r="U2938" t="n">
        <v>0</v>
      </c>
      <c r="V2938" s="2" t="inlineStr"/>
    </row>
    <row r="2939" ht="15" customHeight="1">
      <c r="A2939" t="inlineStr">
        <is>
          <t>A 47652-2025</t>
        </is>
      </c>
      <c r="B2939" t="inlineStr">
        <is>
          <t>avverkningsanmälan</t>
        </is>
      </c>
      <c r="C2939" t="inlineStr">
        <is>
          <t>Föryngringsavverkning</t>
        </is>
      </c>
      <c r="D2939" s="1" t="n">
        <v>45931</v>
      </c>
      <c r="E2939" s="1" t="n">
        <v>46323</v>
      </c>
      <c r="F2939" t="inlineStr">
        <is>
          <t>KALMAR LÄN</t>
        </is>
      </c>
      <c r="G2939" t="inlineStr">
        <is>
          <t>OSKARSHAMN</t>
        </is>
      </c>
      <c r="I2939" t="n">
        <v>4.6</v>
      </c>
      <c r="J2939" t="n">
        <v>0</v>
      </c>
      <c r="K2939" t="n">
        <v>0</v>
      </c>
      <c r="L2939" t="n">
        <v>0</v>
      </c>
      <c r="M2939" t="n">
        <v>0</v>
      </c>
      <c r="N2939" t="n">
        <v>0</v>
      </c>
      <c r="O2939" t="n">
        <v>0</v>
      </c>
      <c r="P2939" t="n">
        <v>0</v>
      </c>
      <c r="Q2939" t="n">
        <v>0</v>
      </c>
      <c r="R2939" t="n">
        <v>0</v>
      </c>
      <c r="S2939" t="n">
        <v>0</v>
      </c>
      <c r="T2939" t="n">
        <v>0</v>
      </c>
      <c r="U2939" t="n">
        <v>0</v>
      </c>
      <c r="V2939" s="2" t="inlineStr"/>
    </row>
    <row r="2940" ht="15" customHeight="1">
      <c r="A2940" t="inlineStr">
        <is>
          <t>A 50367-2022</t>
        </is>
      </c>
      <c r="B2940" t="inlineStr">
        <is>
          <t>avverkningsanmälan</t>
        </is>
      </c>
      <c r="C2940" t="inlineStr">
        <is>
          <t>Föryngringsavverkning</t>
        </is>
      </c>
      <c r="D2940" s="1" t="n">
        <v>44866</v>
      </c>
      <c r="E2940" s="1" t="n">
        <v>46323</v>
      </c>
      <c r="F2940" t="inlineStr">
        <is>
          <t>KALMAR LÄN</t>
        </is>
      </c>
      <c r="G2940" t="inlineStr">
        <is>
          <t>HÖGSBY</t>
        </is>
      </c>
      <c r="I2940" t="n">
        <v>1.3</v>
      </c>
      <c r="J2940" t="n">
        <v>0</v>
      </c>
      <c r="K2940" t="n">
        <v>0</v>
      </c>
      <c r="L2940" t="n">
        <v>0</v>
      </c>
      <c r="M2940" t="n">
        <v>0</v>
      </c>
      <c r="N2940" t="n">
        <v>0</v>
      </c>
      <c r="O2940" t="n">
        <v>0</v>
      </c>
      <c r="P2940" t="n">
        <v>0</v>
      </c>
      <c r="Q2940" t="n">
        <v>0</v>
      </c>
      <c r="R2940" t="n">
        <v>0</v>
      </c>
      <c r="S2940" t="n">
        <v>0</v>
      </c>
      <c r="T2940" t="n">
        <v>0</v>
      </c>
      <c r="U2940" t="n">
        <v>0</v>
      </c>
      <c r="V2940" s="2" t="inlineStr"/>
    </row>
    <row r="2941" ht="15" customHeight="1">
      <c r="A2941" t="inlineStr">
        <is>
          <t>A 10731-2023</t>
        </is>
      </c>
      <c r="B2941" t="inlineStr">
        <is>
          <t>avverkningsanmälan</t>
        </is>
      </c>
      <c r="C2941" t="inlineStr">
        <is>
          <t>Föryngringsavverkning</t>
        </is>
      </c>
      <c r="D2941" s="1" t="n">
        <v>44988</v>
      </c>
      <c r="E2941" s="1" t="n">
        <v>46323</v>
      </c>
      <c r="F2941" t="inlineStr">
        <is>
          <t>KALMAR LÄN</t>
        </is>
      </c>
      <c r="G2941" t="inlineStr">
        <is>
          <t>KALMAR</t>
        </is>
      </c>
      <c r="I2941" t="n">
        <v>1.9</v>
      </c>
      <c r="J2941" t="n">
        <v>0</v>
      </c>
      <c r="K2941" t="n">
        <v>0</v>
      </c>
      <c r="L2941" t="n">
        <v>0</v>
      </c>
      <c r="M2941" t="n">
        <v>0</v>
      </c>
      <c r="N2941" t="n">
        <v>0</v>
      </c>
      <c r="O2941" t="n">
        <v>0</v>
      </c>
      <c r="P2941" t="n">
        <v>0</v>
      </c>
      <c r="Q2941" t="n">
        <v>0</v>
      </c>
      <c r="R2941" t="n">
        <v>0</v>
      </c>
      <c r="S2941" t="n">
        <v>0</v>
      </c>
      <c r="T2941" t="n">
        <v>0</v>
      </c>
      <c r="U2941" t="n">
        <v>0</v>
      </c>
      <c r="V2941" s="2" t="inlineStr"/>
    </row>
    <row r="2942" ht="15" customHeight="1">
      <c r="A2942" t="inlineStr">
        <is>
          <t>A 63047-2023</t>
        </is>
      </c>
      <c r="B2942" t="inlineStr">
        <is>
          <t>avverkningsanmälan</t>
        </is>
      </c>
      <c r="C2942" t="inlineStr">
        <is>
          <t>Föryngringsavverkning</t>
        </is>
      </c>
      <c r="D2942" s="1" t="n">
        <v>45272</v>
      </c>
      <c r="E2942" s="1" t="n">
        <v>46323</v>
      </c>
      <c r="F2942" t="inlineStr">
        <is>
          <t>KALMAR LÄN</t>
        </is>
      </c>
      <c r="G2942" t="inlineStr">
        <is>
          <t>MÖNSTERÅS</t>
        </is>
      </c>
      <c r="I2942" t="n">
        <v>3.6</v>
      </c>
      <c r="J2942" t="n">
        <v>0</v>
      </c>
      <c r="K2942" t="n">
        <v>0</v>
      </c>
      <c r="L2942" t="n">
        <v>0</v>
      </c>
      <c r="M2942" t="n">
        <v>0</v>
      </c>
      <c r="N2942" t="n">
        <v>0</v>
      </c>
      <c r="O2942" t="n">
        <v>0</v>
      </c>
      <c r="P2942" t="n">
        <v>0</v>
      </c>
      <c r="Q2942" t="n">
        <v>0</v>
      </c>
      <c r="R2942" t="n">
        <v>0</v>
      </c>
      <c r="S2942" t="n">
        <v>0</v>
      </c>
      <c r="T2942" t="n">
        <v>0</v>
      </c>
      <c r="U2942" t="n">
        <v>0</v>
      </c>
      <c r="V2942" s="2" t="inlineStr"/>
    </row>
    <row r="2943" ht="15" customHeight="1">
      <c r="A2943" t="inlineStr">
        <is>
          <t>A 41060-2022</t>
        </is>
      </c>
      <c r="B2943" t="inlineStr">
        <is>
          <t>avverkningsanmälan</t>
        </is>
      </c>
      <c r="C2943" t="inlineStr">
        <is>
          <t>Föryngringsavverkning</t>
        </is>
      </c>
      <c r="D2943" s="1" t="n">
        <v>44825</v>
      </c>
      <c r="E2943" s="1" t="n">
        <v>46323</v>
      </c>
      <c r="F2943" t="inlineStr">
        <is>
          <t>KALMAR LÄN</t>
        </is>
      </c>
      <c r="G2943" t="inlineStr">
        <is>
          <t>NYBRO</t>
        </is>
      </c>
      <c r="I2943" t="n">
        <v>18.6</v>
      </c>
      <c r="J2943" t="n">
        <v>0</v>
      </c>
      <c r="K2943" t="n">
        <v>0</v>
      </c>
      <c r="L2943" t="n">
        <v>0</v>
      </c>
      <c r="M2943" t="n">
        <v>0</v>
      </c>
      <c r="N2943" t="n">
        <v>0</v>
      </c>
      <c r="O2943" t="n">
        <v>0</v>
      </c>
      <c r="P2943" t="n">
        <v>0</v>
      </c>
      <c r="Q2943" t="n">
        <v>0</v>
      </c>
      <c r="R2943" t="n">
        <v>0</v>
      </c>
      <c r="S2943" t="n">
        <v>0</v>
      </c>
      <c r="T2943" t="n">
        <v>0</v>
      </c>
      <c r="U2943" t="n">
        <v>0</v>
      </c>
      <c r="V2943" s="2" t="inlineStr"/>
    </row>
    <row r="2944" ht="15" customHeight="1">
      <c r="A2944" t="inlineStr">
        <is>
          <t>A 41572-2022</t>
        </is>
      </c>
      <c r="B2944" t="inlineStr">
        <is>
          <t>avverkningsanmälan</t>
        </is>
      </c>
      <c r="C2944" t="inlineStr">
        <is>
          <t>Föryngringsavverkning</t>
        </is>
      </c>
      <c r="D2944" s="1" t="n">
        <v>44827</v>
      </c>
      <c r="E2944" s="1" t="n">
        <v>46323</v>
      </c>
      <c r="F2944" t="inlineStr">
        <is>
          <t>KALMAR LÄN</t>
        </is>
      </c>
      <c r="G2944" t="inlineStr">
        <is>
          <t>TORSÅS</t>
        </is>
      </c>
      <c r="I2944" t="n">
        <v>2</v>
      </c>
      <c r="J2944" t="n">
        <v>0</v>
      </c>
      <c r="K2944" t="n">
        <v>0</v>
      </c>
      <c r="L2944" t="n">
        <v>0</v>
      </c>
      <c r="M2944" t="n">
        <v>0</v>
      </c>
      <c r="N2944" t="n">
        <v>0</v>
      </c>
      <c r="O2944" t="n">
        <v>0</v>
      </c>
      <c r="P2944" t="n">
        <v>0</v>
      </c>
      <c r="Q2944" t="n">
        <v>0</v>
      </c>
      <c r="R2944" t="n">
        <v>0</v>
      </c>
      <c r="S2944" t="n">
        <v>0</v>
      </c>
      <c r="T2944" t="n">
        <v>0</v>
      </c>
      <c r="U2944" t="n">
        <v>0</v>
      </c>
      <c r="V2944" s="2" t="inlineStr"/>
    </row>
    <row r="2945" ht="15" customHeight="1">
      <c r="A2945" t="inlineStr">
        <is>
          <t>A 6811-2024</t>
        </is>
      </c>
      <c r="B2945" t="inlineStr">
        <is>
          <t>avverkningsanmälan</t>
        </is>
      </c>
      <c r="C2945" t="inlineStr">
        <is>
          <t>Föryngringsavverkning</t>
        </is>
      </c>
      <c r="D2945" s="1" t="n">
        <v>45342</v>
      </c>
      <c r="E2945" s="1" t="n">
        <v>46323</v>
      </c>
      <c r="F2945" t="inlineStr">
        <is>
          <t>KALMAR LÄN</t>
        </is>
      </c>
      <c r="G2945" t="inlineStr">
        <is>
          <t>NYBRO</t>
        </is>
      </c>
      <c r="I2945" t="n">
        <v>0.7</v>
      </c>
      <c r="J2945" t="n">
        <v>0</v>
      </c>
      <c r="K2945" t="n">
        <v>0</v>
      </c>
      <c r="L2945" t="n">
        <v>0</v>
      </c>
      <c r="M2945" t="n">
        <v>0</v>
      </c>
      <c r="N2945" t="n">
        <v>0</v>
      </c>
      <c r="O2945" t="n">
        <v>0</v>
      </c>
      <c r="P2945" t="n">
        <v>0</v>
      </c>
      <c r="Q2945" t="n">
        <v>0</v>
      </c>
      <c r="R2945" t="n">
        <v>0</v>
      </c>
      <c r="S2945" t="n">
        <v>0</v>
      </c>
      <c r="T2945" t="n">
        <v>0</v>
      </c>
      <c r="U2945" t="n">
        <v>0</v>
      </c>
      <c r="V2945" s="2" t="inlineStr"/>
    </row>
    <row r="2946" ht="15" customHeight="1">
      <c r="A2946" t="inlineStr">
        <is>
          <t>A 47664-2025</t>
        </is>
      </c>
      <c r="B2946" t="inlineStr">
        <is>
          <t>avverkningsanmälan</t>
        </is>
      </c>
      <c r="C2946" t="inlineStr">
        <is>
          <t>Föryngringsavverkning</t>
        </is>
      </c>
      <c r="D2946" s="1" t="n">
        <v>45931</v>
      </c>
      <c r="E2946" s="1" t="n">
        <v>46323</v>
      </c>
      <c r="F2946" t="inlineStr">
        <is>
          <t>KALMAR LÄN</t>
        </is>
      </c>
      <c r="G2946" t="inlineStr">
        <is>
          <t>OSKARSHAMN</t>
        </is>
      </c>
      <c r="I2946" t="n">
        <v>2.9</v>
      </c>
      <c r="J2946" t="n">
        <v>0</v>
      </c>
      <c r="K2946" t="n">
        <v>0</v>
      </c>
      <c r="L2946" t="n">
        <v>0</v>
      </c>
      <c r="M2946" t="n">
        <v>0</v>
      </c>
      <c r="N2946" t="n">
        <v>0</v>
      </c>
      <c r="O2946" t="n">
        <v>0</v>
      </c>
      <c r="P2946" t="n">
        <v>0</v>
      </c>
      <c r="Q2946" t="n">
        <v>0</v>
      </c>
      <c r="R2946" t="n">
        <v>0</v>
      </c>
      <c r="S2946" t="n">
        <v>0</v>
      </c>
      <c r="T2946" t="n">
        <v>0</v>
      </c>
      <c r="U2946" t="n">
        <v>0</v>
      </c>
      <c r="V2946" s="2" t="inlineStr"/>
    </row>
    <row r="2947" ht="15" customHeight="1">
      <c r="A2947" t="inlineStr">
        <is>
          <t>A 27101-2023</t>
        </is>
      </c>
      <c r="B2947" t="inlineStr">
        <is>
          <t>avverkningsanmälan</t>
        </is>
      </c>
      <c r="C2947" t="inlineStr">
        <is>
          <t>Föryngringsavverkning</t>
        </is>
      </c>
      <c r="D2947" s="1" t="n">
        <v>45096</v>
      </c>
      <c r="E2947" s="1" t="n">
        <v>46323</v>
      </c>
      <c r="F2947" t="inlineStr">
        <is>
          <t>KALMAR LÄN</t>
        </is>
      </c>
      <c r="G2947" t="inlineStr">
        <is>
          <t>NYBRO</t>
        </is>
      </c>
      <c r="I2947" t="n">
        <v>1</v>
      </c>
      <c r="J2947" t="n">
        <v>0</v>
      </c>
      <c r="K2947" t="n">
        <v>0</v>
      </c>
      <c r="L2947" t="n">
        <v>0</v>
      </c>
      <c r="M2947" t="n">
        <v>0</v>
      </c>
      <c r="N2947" t="n">
        <v>0</v>
      </c>
      <c r="O2947" t="n">
        <v>0</v>
      </c>
      <c r="P2947" t="n">
        <v>0</v>
      </c>
      <c r="Q2947" t="n">
        <v>0</v>
      </c>
      <c r="R2947" t="n">
        <v>0</v>
      </c>
      <c r="S2947" t="n">
        <v>0</v>
      </c>
      <c r="T2947" t="n">
        <v>0</v>
      </c>
      <c r="U2947" t="n">
        <v>0</v>
      </c>
      <c r="V2947" s="2" t="inlineStr"/>
    </row>
    <row r="2948" ht="15" customHeight="1">
      <c r="A2948" t="inlineStr">
        <is>
          <t>A 57402-2022</t>
        </is>
      </c>
      <c r="B2948" t="inlineStr">
        <is>
          <t>avverkningsanmälan</t>
        </is>
      </c>
      <c r="C2948" t="inlineStr">
        <is>
          <t>Föryngringsavverkning</t>
        </is>
      </c>
      <c r="D2948" s="1" t="n">
        <v>44896</v>
      </c>
      <c r="E2948" s="1" t="n">
        <v>46323</v>
      </c>
      <c r="F2948" t="inlineStr">
        <is>
          <t>KALMAR LÄN</t>
        </is>
      </c>
      <c r="G2948" t="inlineStr">
        <is>
          <t>EMMABODA</t>
        </is>
      </c>
      <c r="I2948" t="n">
        <v>1.6</v>
      </c>
      <c r="J2948" t="n">
        <v>0</v>
      </c>
      <c r="K2948" t="n">
        <v>0</v>
      </c>
      <c r="L2948" t="n">
        <v>0</v>
      </c>
      <c r="M2948" t="n">
        <v>0</v>
      </c>
      <c r="N2948" t="n">
        <v>0</v>
      </c>
      <c r="O2948" t="n">
        <v>0</v>
      </c>
      <c r="P2948" t="n">
        <v>0</v>
      </c>
      <c r="Q2948" t="n">
        <v>0</v>
      </c>
      <c r="R2948" t="n">
        <v>0</v>
      </c>
      <c r="S2948" t="n">
        <v>0</v>
      </c>
      <c r="T2948" t="n">
        <v>0</v>
      </c>
      <c r="U2948" t="n">
        <v>0</v>
      </c>
      <c r="V2948" s="2" t="inlineStr"/>
    </row>
    <row r="2949" ht="15" customHeight="1">
      <c r="A2949" t="inlineStr">
        <is>
          <t>A 9624-2024</t>
        </is>
      </c>
      <c r="B2949" t="inlineStr">
        <is>
          <t>avverkningsanmälan</t>
        </is>
      </c>
      <c r="C2949" t="inlineStr">
        <is>
          <t>Föryngringsavverkning</t>
        </is>
      </c>
      <c r="D2949" s="1" t="n">
        <v>45361</v>
      </c>
      <c r="E2949" s="1" t="n">
        <v>46323</v>
      </c>
      <c r="F2949" t="inlineStr">
        <is>
          <t>KALMAR LÄN</t>
        </is>
      </c>
      <c r="G2949" t="inlineStr">
        <is>
          <t>VIMMERBY</t>
        </is>
      </c>
      <c r="I2949" t="n">
        <v>3.8</v>
      </c>
      <c r="J2949" t="n">
        <v>0</v>
      </c>
      <c r="K2949" t="n">
        <v>0</v>
      </c>
      <c r="L2949" t="n">
        <v>0</v>
      </c>
      <c r="M2949" t="n">
        <v>0</v>
      </c>
      <c r="N2949" t="n">
        <v>0</v>
      </c>
      <c r="O2949" t="n">
        <v>0</v>
      </c>
      <c r="P2949" t="n">
        <v>0</v>
      </c>
      <c r="Q2949" t="n">
        <v>0</v>
      </c>
      <c r="R2949" t="n">
        <v>0</v>
      </c>
      <c r="S2949" t="n">
        <v>0</v>
      </c>
      <c r="T2949" t="n">
        <v>0</v>
      </c>
      <c r="U2949" t="n">
        <v>0</v>
      </c>
      <c r="V2949" s="2" t="inlineStr"/>
    </row>
    <row r="2950" ht="15" customHeight="1">
      <c r="A2950" t="inlineStr">
        <is>
          <t>A 52327-2023</t>
        </is>
      </c>
      <c r="B2950" t="inlineStr">
        <is>
          <t>avverkningsanmälan</t>
        </is>
      </c>
      <c r="C2950" t="inlineStr">
        <is>
          <t>Föryngringsavverkning</t>
        </is>
      </c>
      <c r="D2950" s="1" t="n">
        <v>45224</v>
      </c>
      <c r="E2950" s="1" t="n">
        <v>46323</v>
      </c>
      <c r="F2950" t="inlineStr">
        <is>
          <t>KALMAR LÄN</t>
        </is>
      </c>
      <c r="G2950" t="inlineStr">
        <is>
          <t>VIMMERBY</t>
        </is>
      </c>
      <c r="H2950" t="inlineStr">
        <is>
          <t>Sveaskog</t>
        </is>
      </c>
      <c r="I2950" t="n">
        <v>1.1</v>
      </c>
      <c r="J2950" t="n">
        <v>0</v>
      </c>
      <c r="K2950" t="n">
        <v>0</v>
      </c>
      <c r="L2950" t="n">
        <v>0</v>
      </c>
      <c r="M2950" t="n">
        <v>0</v>
      </c>
      <c r="N2950" t="n">
        <v>0</v>
      </c>
      <c r="O2950" t="n">
        <v>0</v>
      </c>
      <c r="P2950" t="n">
        <v>0</v>
      </c>
      <c r="Q2950" t="n">
        <v>0</v>
      </c>
      <c r="R2950" t="n">
        <v>0</v>
      </c>
      <c r="S2950" t="n">
        <v>0</v>
      </c>
      <c r="T2950" t="n">
        <v>0</v>
      </c>
      <c r="U2950" t="n">
        <v>0</v>
      </c>
      <c r="V2950" s="2" t="inlineStr"/>
    </row>
    <row r="2951" ht="15" customHeight="1">
      <c r="A2951" t="inlineStr">
        <is>
          <t>A 37811-2024</t>
        </is>
      </c>
      <c r="B2951" t="inlineStr">
        <is>
          <t>avverkningsanmälan</t>
        </is>
      </c>
      <c r="C2951" t="inlineStr">
        <is>
          <t>Avverkning för annat ändamål</t>
        </is>
      </c>
      <c r="D2951" s="1" t="n">
        <v>45544</v>
      </c>
      <c r="E2951" s="1" t="n">
        <v>46323</v>
      </c>
      <c r="F2951" t="inlineStr">
        <is>
          <t>KALMAR LÄN</t>
        </is>
      </c>
      <c r="G2951" t="inlineStr">
        <is>
          <t>HÖGSBY</t>
        </is>
      </c>
      <c r="I2951" t="n">
        <v>1.3</v>
      </c>
      <c r="J2951" t="n">
        <v>0</v>
      </c>
      <c r="K2951" t="n">
        <v>0</v>
      </c>
      <c r="L2951" t="n">
        <v>0</v>
      </c>
      <c r="M2951" t="n">
        <v>0</v>
      </c>
      <c r="N2951" t="n">
        <v>0</v>
      </c>
      <c r="O2951" t="n">
        <v>0</v>
      </c>
      <c r="P2951" t="n">
        <v>0</v>
      </c>
      <c r="Q2951" t="n">
        <v>0</v>
      </c>
      <c r="R2951" t="n">
        <v>0</v>
      </c>
      <c r="S2951" t="n">
        <v>0</v>
      </c>
      <c r="T2951" t="n">
        <v>0</v>
      </c>
      <c r="U2951" t="n">
        <v>0</v>
      </c>
      <c r="V2951" s="2" t="inlineStr"/>
    </row>
    <row r="2952" ht="15" customHeight="1">
      <c r="A2952" t="inlineStr">
        <is>
          <t>A 12215-2024</t>
        </is>
      </c>
      <c r="B2952" t="inlineStr">
        <is>
          <t>avverkningsanmälan</t>
        </is>
      </c>
      <c r="C2952" t="inlineStr">
        <is>
          <t>Föryngringsavverkning</t>
        </is>
      </c>
      <c r="D2952" s="1" t="n">
        <v>45378</v>
      </c>
      <c r="E2952" s="1" t="n">
        <v>46323</v>
      </c>
      <c r="F2952" t="inlineStr">
        <is>
          <t>KALMAR LÄN</t>
        </is>
      </c>
      <c r="G2952" t="inlineStr">
        <is>
          <t>VIMMERBY</t>
        </is>
      </c>
      <c r="I2952" t="n">
        <v>1.6</v>
      </c>
      <c r="J2952" t="n">
        <v>0</v>
      </c>
      <c r="K2952" t="n">
        <v>0</v>
      </c>
      <c r="L2952" t="n">
        <v>0</v>
      </c>
      <c r="M2952" t="n">
        <v>0</v>
      </c>
      <c r="N2952" t="n">
        <v>0</v>
      </c>
      <c r="O2952" t="n">
        <v>0</v>
      </c>
      <c r="P2952" t="n">
        <v>0</v>
      </c>
      <c r="Q2952" t="n">
        <v>0</v>
      </c>
      <c r="R2952" t="n">
        <v>0</v>
      </c>
      <c r="S2952" t="n">
        <v>0</v>
      </c>
      <c r="T2952" t="n">
        <v>0</v>
      </c>
      <c r="U2952" t="n">
        <v>0</v>
      </c>
      <c r="V2952" s="2" t="inlineStr"/>
    </row>
    <row r="2953" ht="15" customHeight="1">
      <c r="A2953" t="inlineStr">
        <is>
          <t>A 28636-2023</t>
        </is>
      </c>
      <c r="B2953" t="inlineStr">
        <is>
          <t>avverkningsanmälan</t>
        </is>
      </c>
      <c r="C2953" t="inlineStr">
        <is>
          <t>Föryngringsavverkning</t>
        </is>
      </c>
      <c r="D2953" s="1" t="n">
        <v>45103</v>
      </c>
      <c r="E2953" s="1" t="n">
        <v>46323</v>
      </c>
      <c r="F2953" t="inlineStr">
        <is>
          <t>KALMAR LÄN</t>
        </is>
      </c>
      <c r="G2953" t="inlineStr">
        <is>
          <t>NYBRO</t>
        </is>
      </c>
      <c r="I2953" t="n">
        <v>2.9</v>
      </c>
      <c r="J2953" t="n">
        <v>0</v>
      </c>
      <c r="K2953" t="n">
        <v>0</v>
      </c>
      <c r="L2953" t="n">
        <v>0</v>
      </c>
      <c r="M2953" t="n">
        <v>0</v>
      </c>
      <c r="N2953" t="n">
        <v>0</v>
      </c>
      <c r="O2953" t="n">
        <v>0</v>
      </c>
      <c r="P2953" t="n">
        <v>0</v>
      </c>
      <c r="Q2953" t="n">
        <v>0</v>
      </c>
      <c r="R2953" t="n">
        <v>0</v>
      </c>
      <c r="S2953" t="n">
        <v>0</v>
      </c>
      <c r="T2953" t="n">
        <v>0</v>
      </c>
      <c r="U2953" t="n">
        <v>0</v>
      </c>
      <c r="V2953" s="2" t="inlineStr"/>
    </row>
    <row r="2954" ht="15" customHeight="1">
      <c r="A2954" t="inlineStr">
        <is>
          <t>A 28648-2023</t>
        </is>
      </c>
      <c r="B2954" t="inlineStr">
        <is>
          <t>avverkningsanmälan</t>
        </is>
      </c>
      <c r="C2954" t="inlineStr">
        <is>
          <t>Avverkning för att bevara och utveckla /försöksver</t>
        </is>
      </c>
      <c r="D2954" s="1" t="n">
        <v>45103</v>
      </c>
      <c r="E2954" s="1" t="n">
        <v>46323</v>
      </c>
      <c r="F2954" t="inlineStr">
        <is>
          <t>KALMAR LÄN</t>
        </is>
      </c>
      <c r="G2954" t="inlineStr">
        <is>
          <t>HÖGSBY</t>
        </is>
      </c>
      <c r="H2954" t="inlineStr">
        <is>
          <t>Sveaskog</t>
        </is>
      </c>
      <c r="I2954" t="n">
        <v>5.6</v>
      </c>
      <c r="J2954" t="n">
        <v>0</v>
      </c>
      <c r="K2954" t="n">
        <v>0</v>
      </c>
      <c r="L2954" t="n">
        <v>0</v>
      </c>
      <c r="M2954" t="n">
        <v>0</v>
      </c>
      <c r="N2954" t="n">
        <v>0</v>
      </c>
      <c r="O2954" t="n">
        <v>0</v>
      </c>
      <c r="P2954" t="n">
        <v>0</v>
      </c>
      <c r="Q2954" t="n">
        <v>0</v>
      </c>
      <c r="R2954" t="n">
        <v>0</v>
      </c>
      <c r="S2954" t="n">
        <v>0</v>
      </c>
      <c r="T2954" t="n">
        <v>0</v>
      </c>
      <c r="U2954" t="n">
        <v>0</v>
      </c>
      <c r="V2954" s="2" t="inlineStr"/>
    </row>
    <row r="2955" ht="15" customHeight="1">
      <c r="A2955" t="inlineStr">
        <is>
          <t>A 25488-2023</t>
        </is>
      </c>
      <c r="B2955" t="inlineStr">
        <is>
          <t>avverkningsanmälan</t>
        </is>
      </c>
      <c r="C2955" t="inlineStr">
        <is>
          <t>Föryngringsavverkning</t>
        </is>
      </c>
      <c r="D2955" s="1" t="n">
        <v>45089</v>
      </c>
      <c r="E2955" s="1" t="n">
        <v>46323</v>
      </c>
      <c r="F2955" t="inlineStr">
        <is>
          <t>KALMAR LÄN</t>
        </is>
      </c>
      <c r="G2955" t="inlineStr">
        <is>
          <t>VÄSTERVIK</t>
        </is>
      </c>
      <c r="I2955" t="n">
        <v>2.3</v>
      </c>
      <c r="J2955" t="n">
        <v>0</v>
      </c>
      <c r="K2955" t="n">
        <v>0</v>
      </c>
      <c r="L2955" t="n">
        <v>0</v>
      </c>
      <c r="M2955" t="n">
        <v>0</v>
      </c>
      <c r="N2955" t="n">
        <v>0</v>
      </c>
      <c r="O2955" t="n">
        <v>0</v>
      </c>
      <c r="P2955" t="n">
        <v>0</v>
      </c>
      <c r="Q2955" t="n">
        <v>0</v>
      </c>
      <c r="R2955" t="n">
        <v>0</v>
      </c>
      <c r="S2955" t="n">
        <v>0</v>
      </c>
      <c r="T2955" t="n">
        <v>0</v>
      </c>
      <c r="U2955" t="n">
        <v>0</v>
      </c>
      <c r="V2955" s="2" t="inlineStr"/>
    </row>
    <row r="2956" ht="15" customHeight="1">
      <c r="A2956" t="inlineStr">
        <is>
          <t>A 30920-2024</t>
        </is>
      </c>
      <c r="B2956" t="inlineStr">
        <is>
          <t>avverkningsanmälan</t>
        </is>
      </c>
      <c r="C2956" t="inlineStr">
        <is>
          <t>Föryngringsavverkning</t>
        </is>
      </c>
      <c r="D2956" s="1" t="n">
        <v>45498</v>
      </c>
      <c r="E2956" s="1" t="n">
        <v>46323</v>
      </c>
      <c r="F2956" t="inlineStr">
        <is>
          <t>KALMAR LÄN</t>
        </is>
      </c>
      <c r="G2956" t="inlineStr">
        <is>
          <t>VIMMERBY</t>
        </is>
      </c>
      <c r="I2956" t="n">
        <v>1.3</v>
      </c>
      <c r="J2956" t="n">
        <v>0</v>
      </c>
      <c r="K2956" t="n">
        <v>0</v>
      </c>
      <c r="L2956" t="n">
        <v>0</v>
      </c>
      <c r="M2956" t="n">
        <v>0</v>
      </c>
      <c r="N2956" t="n">
        <v>0</v>
      </c>
      <c r="O2956" t="n">
        <v>0</v>
      </c>
      <c r="P2956" t="n">
        <v>0</v>
      </c>
      <c r="Q2956" t="n">
        <v>0</v>
      </c>
      <c r="R2956" t="n">
        <v>0</v>
      </c>
      <c r="S2956" t="n">
        <v>0</v>
      </c>
      <c r="T2956" t="n">
        <v>0</v>
      </c>
      <c r="U2956" t="n">
        <v>0</v>
      </c>
      <c r="V2956" s="2" t="inlineStr"/>
    </row>
    <row r="2957" ht="15" customHeight="1">
      <c r="A2957" t="inlineStr">
        <is>
          <t>A 56536-2022</t>
        </is>
      </c>
      <c r="B2957" t="inlineStr">
        <is>
          <t>avverkningsanmälan</t>
        </is>
      </c>
      <c r="C2957" t="inlineStr">
        <is>
          <t>Föryngringsavverkning</t>
        </is>
      </c>
      <c r="D2957" s="1" t="n">
        <v>44893</v>
      </c>
      <c r="E2957" s="1" t="n">
        <v>46323</v>
      </c>
      <c r="F2957" t="inlineStr">
        <is>
          <t>KALMAR LÄN</t>
        </is>
      </c>
      <c r="G2957" t="inlineStr">
        <is>
          <t>VIMMERBY</t>
        </is>
      </c>
      <c r="I2957" t="n">
        <v>3.2</v>
      </c>
      <c r="J2957" t="n">
        <v>0</v>
      </c>
      <c r="K2957" t="n">
        <v>0</v>
      </c>
      <c r="L2957" t="n">
        <v>0</v>
      </c>
      <c r="M2957" t="n">
        <v>0</v>
      </c>
      <c r="N2957" t="n">
        <v>0</v>
      </c>
      <c r="O2957" t="n">
        <v>0</v>
      </c>
      <c r="P2957" t="n">
        <v>0</v>
      </c>
      <c r="Q2957" t="n">
        <v>0</v>
      </c>
      <c r="R2957" t="n">
        <v>0</v>
      </c>
      <c r="S2957" t="n">
        <v>0</v>
      </c>
      <c r="T2957" t="n">
        <v>0</v>
      </c>
      <c r="U2957" t="n">
        <v>0</v>
      </c>
      <c r="V2957" s="2" t="inlineStr"/>
    </row>
    <row r="2958" ht="15" customHeight="1">
      <c r="A2958" t="inlineStr">
        <is>
          <t>A 49830-2022</t>
        </is>
      </c>
      <c r="B2958" t="inlineStr">
        <is>
          <t>avverkningsanmälan</t>
        </is>
      </c>
      <c r="C2958" t="inlineStr">
        <is>
          <t>Föryngringsavverkning</t>
        </is>
      </c>
      <c r="D2958" s="1" t="n">
        <v>44862</v>
      </c>
      <c r="E2958" s="1" t="n">
        <v>46323</v>
      </c>
      <c r="F2958" t="inlineStr">
        <is>
          <t>KALMAR LÄN</t>
        </is>
      </c>
      <c r="G2958" t="inlineStr">
        <is>
          <t>KALMAR</t>
        </is>
      </c>
      <c r="I2958" t="n">
        <v>0.7</v>
      </c>
      <c r="J2958" t="n">
        <v>0</v>
      </c>
      <c r="K2958" t="n">
        <v>0</v>
      </c>
      <c r="L2958" t="n">
        <v>0</v>
      </c>
      <c r="M2958" t="n">
        <v>0</v>
      </c>
      <c r="N2958" t="n">
        <v>0</v>
      </c>
      <c r="O2958" t="n">
        <v>0</v>
      </c>
      <c r="P2958" t="n">
        <v>0</v>
      </c>
      <c r="Q2958" t="n">
        <v>0</v>
      </c>
      <c r="R2958" t="n">
        <v>0</v>
      </c>
      <c r="S2958" t="n">
        <v>0</v>
      </c>
      <c r="T2958" t="n">
        <v>0</v>
      </c>
      <c r="U2958" t="n">
        <v>0</v>
      </c>
      <c r="V2958" s="2" t="inlineStr"/>
    </row>
    <row r="2959" ht="15" customHeight="1">
      <c r="A2959" t="inlineStr">
        <is>
          <t>A 14212-2022</t>
        </is>
      </c>
      <c r="B2959" t="inlineStr">
        <is>
          <t>avverkningsanmälan</t>
        </is>
      </c>
      <c r="C2959" t="inlineStr">
        <is>
          <t>Föryngringsavverkning</t>
        </is>
      </c>
      <c r="D2959" s="1" t="n">
        <v>44651</v>
      </c>
      <c r="E2959" s="1" t="n">
        <v>46323</v>
      </c>
      <c r="F2959" t="inlineStr">
        <is>
          <t>KALMAR LÄN</t>
        </is>
      </c>
      <c r="G2959" t="inlineStr">
        <is>
          <t>VÄSTERVIK</t>
        </is>
      </c>
      <c r="I2959" t="n">
        <v>1.5</v>
      </c>
      <c r="J2959" t="n">
        <v>0</v>
      </c>
      <c r="K2959" t="n">
        <v>0</v>
      </c>
      <c r="L2959" t="n">
        <v>0</v>
      </c>
      <c r="M2959" t="n">
        <v>0</v>
      </c>
      <c r="N2959" t="n">
        <v>0</v>
      </c>
      <c r="O2959" t="n">
        <v>0</v>
      </c>
      <c r="P2959" t="n">
        <v>0</v>
      </c>
      <c r="Q2959" t="n">
        <v>0</v>
      </c>
      <c r="R2959" t="n">
        <v>0</v>
      </c>
      <c r="S2959" t="n">
        <v>0</v>
      </c>
      <c r="T2959" t="n">
        <v>0</v>
      </c>
      <c r="U2959" t="n">
        <v>0</v>
      </c>
      <c r="V2959" s="2" t="inlineStr"/>
    </row>
    <row r="2960" ht="15" customHeight="1">
      <c r="A2960" t="inlineStr">
        <is>
          <t>A 63541-2023</t>
        </is>
      </c>
      <c r="B2960" t="inlineStr">
        <is>
          <t>avverkningsanmälan</t>
        </is>
      </c>
      <c r="C2960" t="inlineStr">
        <is>
          <t>Föryngringsavverkning</t>
        </is>
      </c>
      <c r="D2960" s="1" t="n">
        <v>45275</v>
      </c>
      <c r="E2960" s="1" t="n">
        <v>46323</v>
      </c>
      <c r="F2960" t="inlineStr">
        <is>
          <t>KALMAR LÄN</t>
        </is>
      </c>
      <c r="G2960" t="inlineStr">
        <is>
          <t>VIMMERBY</t>
        </is>
      </c>
      <c r="I2960" t="n">
        <v>1.1</v>
      </c>
      <c r="J2960" t="n">
        <v>0</v>
      </c>
      <c r="K2960" t="n">
        <v>0</v>
      </c>
      <c r="L2960" t="n">
        <v>0</v>
      </c>
      <c r="M2960" t="n">
        <v>0</v>
      </c>
      <c r="N2960" t="n">
        <v>0</v>
      </c>
      <c r="O2960" t="n">
        <v>0</v>
      </c>
      <c r="P2960" t="n">
        <v>0</v>
      </c>
      <c r="Q2960" t="n">
        <v>0</v>
      </c>
      <c r="R2960" t="n">
        <v>0</v>
      </c>
      <c r="S2960" t="n">
        <v>0</v>
      </c>
      <c r="T2960" t="n">
        <v>0</v>
      </c>
      <c r="U2960" t="n">
        <v>0</v>
      </c>
      <c r="V2960" s="2" t="inlineStr"/>
    </row>
    <row r="2961" ht="15" customHeight="1">
      <c r="A2961" t="inlineStr">
        <is>
          <t>A 2785-2023</t>
        </is>
      </c>
      <c r="B2961" t="inlineStr">
        <is>
          <t>avverkningsanmälan</t>
        </is>
      </c>
      <c r="C2961" t="inlineStr">
        <is>
          <t>Föryngringsavverkning</t>
        </is>
      </c>
      <c r="D2961" s="1" t="n">
        <v>44944</v>
      </c>
      <c r="E2961" s="1" t="n">
        <v>46323</v>
      </c>
      <c r="F2961" t="inlineStr">
        <is>
          <t>KALMAR LÄN</t>
        </is>
      </c>
      <c r="G2961" t="inlineStr">
        <is>
          <t>TORSÅS</t>
        </is>
      </c>
      <c r="I2961" t="n">
        <v>0.5</v>
      </c>
      <c r="J2961" t="n">
        <v>0</v>
      </c>
      <c r="K2961" t="n">
        <v>0</v>
      </c>
      <c r="L2961" t="n">
        <v>0</v>
      </c>
      <c r="M2961" t="n">
        <v>0</v>
      </c>
      <c r="N2961" t="n">
        <v>0</v>
      </c>
      <c r="O2961" t="n">
        <v>0</v>
      </c>
      <c r="P2961" t="n">
        <v>0</v>
      </c>
      <c r="Q2961" t="n">
        <v>0</v>
      </c>
      <c r="R2961" t="n">
        <v>0</v>
      </c>
      <c r="S2961" t="n">
        <v>0</v>
      </c>
      <c r="T2961" t="n">
        <v>0</v>
      </c>
      <c r="U2961" t="n">
        <v>0</v>
      </c>
      <c r="V2961" s="2" t="inlineStr"/>
    </row>
    <row r="2962" ht="15" customHeight="1">
      <c r="A2962" t="inlineStr">
        <is>
          <t>A 37323-2024</t>
        </is>
      </c>
      <c r="B2962" t="inlineStr">
        <is>
          <t>avverkningsanmälan</t>
        </is>
      </c>
      <c r="C2962" t="inlineStr">
        <is>
          <t>Föryngringsavverkning</t>
        </is>
      </c>
      <c r="D2962" s="1" t="n">
        <v>45540</v>
      </c>
      <c r="E2962" s="1" t="n">
        <v>46323</v>
      </c>
      <c r="F2962" t="inlineStr">
        <is>
          <t>KALMAR LÄN</t>
        </is>
      </c>
      <c r="G2962" t="inlineStr">
        <is>
          <t>VIMMERBY</t>
        </is>
      </c>
      <c r="I2962" t="n">
        <v>1.2</v>
      </c>
      <c r="J2962" t="n">
        <v>0</v>
      </c>
      <c r="K2962" t="n">
        <v>0</v>
      </c>
      <c r="L2962" t="n">
        <v>0</v>
      </c>
      <c r="M2962" t="n">
        <v>0</v>
      </c>
      <c r="N2962" t="n">
        <v>0</v>
      </c>
      <c r="O2962" t="n">
        <v>0</v>
      </c>
      <c r="P2962" t="n">
        <v>0</v>
      </c>
      <c r="Q2962" t="n">
        <v>0</v>
      </c>
      <c r="R2962" t="n">
        <v>0</v>
      </c>
      <c r="S2962" t="n">
        <v>0</v>
      </c>
      <c r="T2962" t="n">
        <v>0</v>
      </c>
      <c r="U2962" t="n">
        <v>0</v>
      </c>
      <c r="V2962" s="2" t="inlineStr"/>
    </row>
    <row r="2963" ht="15" customHeight="1">
      <c r="A2963" t="inlineStr">
        <is>
          <t>A 57916-2022</t>
        </is>
      </c>
      <c r="B2963" t="inlineStr">
        <is>
          <t>avverkningsanmälan</t>
        </is>
      </c>
      <c r="C2963" t="inlineStr">
        <is>
          <t>Föryngringsavverkning</t>
        </is>
      </c>
      <c r="D2963" s="1" t="n">
        <v>44900</v>
      </c>
      <c r="E2963" s="1" t="n">
        <v>46323</v>
      </c>
      <c r="F2963" t="inlineStr">
        <is>
          <t>KALMAR LÄN</t>
        </is>
      </c>
      <c r="G2963" t="inlineStr">
        <is>
          <t>EMMABODA</t>
        </is>
      </c>
      <c r="I2963" t="n">
        <v>4</v>
      </c>
      <c r="J2963" t="n">
        <v>0</v>
      </c>
      <c r="K2963" t="n">
        <v>0</v>
      </c>
      <c r="L2963" t="n">
        <v>0</v>
      </c>
      <c r="M2963" t="n">
        <v>0</v>
      </c>
      <c r="N2963" t="n">
        <v>0</v>
      </c>
      <c r="O2963" t="n">
        <v>0</v>
      </c>
      <c r="P2963" t="n">
        <v>0</v>
      </c>
      <c r="Q2963" t="n">
        <v>0</v>
      </c>
      <c r="R2963" t="n">
        <v>0</v>
      </c>
      <c r="S2963" t="n">
        <v>0</v>
      </c>
      <c r="T2963" t="n">
        <v>0</v>
      </c>
      <c r="U2963" t="n">
        <v>0</v>
      </c>
      <c r="V2963" s="2" t="inlineStr"/>
    </row>
    <row r="2964" ht="15" customHeight="1">
      <c r="A2964" t="inlineStr">
        <is>
          <t>A 20334-2024</t>
        </is>
      </c>
      <c r="B2964" t="inlineStr">
        <is>
          <t>avverkningsanmälan</t>
        </is>
      </c>
      <c r="C2964" t="inlineStr">
        <is>
          <t>Föryngringsavverkning</t>
        </is>
      </c>
      <c r="D2964" s="1" t="n">
        <v>45435</v>
      </c>
      <c r="E2964" s="1" t="n">
        <v>46323</v>
      </c>
      <c r="F2964" t="inlineStr">
        <is>
          <t>KALMAR LÄN</t>
        </is>
      </c>
      <c r="G2964" t="inlineStr">
        <is>
          <t>OSKARSHAMN</t>
        </is>
      </c>
      <c r="I2964" t="n">
        <v>5.6</v>
      </c>
      <c r="J2964" t="n">
        <v>0</v>
      </c>
      <c r="K2964" t="n">
        <v>0</v>
      </c>
      <c r="L2964" t="n">
        <v>0</v>
      </c>
      <c r="M2964" t="n">
        <v>0</v>
      </c>
      <c r="N2964" t="n">
        <v>0</v>
      </c>
      <c r="O2964" t="n">
        <v>0</v>
      </c>
      <c r="P2964" t="n">
        <v>0</v>
      </c>
      <c r="Q2964" t="n">
        <v>0</v>
      </c>
      <c r="R2964" t="n">
        <v>0</v>
      </c>
      <c r="S2964" t="n">
        <v>0</v>
      </c>
      <c r="T2964" t="n">
        <v>0</v>
      </c>
      <c r="U2964" t="n">
        <v>0</v>
      </c>
      <c r="V2964" s="2" t="inlineStr"/>
    </row>
    <row r="2965" ht="15" customHeight="1">
      <c r="A2965" t="inlineStr">
        <is>
          <t>A 14105-2025</t>
        </is>
      </c>
      <c r="B2965" t="inlineStr">
        <is>
          <t>avverkningsanmälan</t>
        </is>
      </c>
      <c r="C2965" t="inlineStr">
        <is>
          <t>Föryngringsavverkning</t>
        </is>
      </c>
      <c r="D2965" s="1" t="n">
        <v>45740</v>
      </c>
      <c r="E2965" s="1" t="n">
        <v>46323</v>
      </c>
      <c r="F2965" t="inlineStr">
        <is>
          <t>KALMAR LÄN</t>
        </is>
      </c>
      <c r="G2965" t="inlineStr">
        <is>
          <t>VÄSTERVIK</t>
        </is>
      </c>
      <c r="H2965" t="inlineStr">
        <is>
          <t>Sveaskog</t>
        </is>
      </c>
      <c r="I2965" t="n">
        <v>1.2</v>
      </c>
      <c r="J2965" t="n">
        <v>0</v>
      </c>
      <c r="K2965" t="n">
        <v>0</v>
      </c>
      <c r="L2965" t="n">
        <v>0</v>
      </c>
      <c r="M2965" t="n">
        <v>0</v>
      </c>
      <c r="N2965" t="n">
        <v>0</v>
      </c>
      <c r="O2965" t="n">
        <v>0</v>
      </c>
      <c r="P2965" t="n">
        <v>0</v>
      </c>
      <c r="Q2965" t="n">
        <v>0</v>
      </c>
      <c r="R2965" t="n">
        <v>0</v>
      </c>
      <c r="S2965" t="n">
        <v>0</v>
      </c>
      <c r="T2965" t="n">
        <v>0</v>
      </c>
      <c r="U2965" t="n">
        <v>0</v>
      </c>
      <c r="V2965" s="2" t="inlineStr"/>
    </row>
    <row r="2966" ht="15" customHeight="1">
      <c r="A2966" t="inlineStr">
        <is>
          <t>A 14109-2025</t>
        </is>
      </c>
      <c r="B2966" t="inlineStr">
        <is>
          <t>avverkningsanmälan</t>
        </is>
      </c>
      <c r="C2966" t="inlineStr">
        <is>
          <t>Föryngringsavverkning</t>
        </is>
      </c>
      <c r="D2966" s="1" t="n">
        <v>45740</v>
      </c>
      <c r="E2966" s="1" t="n">
        <v>46323</v>
      </c>
      <c r="F2966" t="inlineStr">
        <is>
          <t>KALMAR LÄN</t>
        </is>
      </c>
      <c r="G2966" t="inlineStr">
        <is>
          <t>VÄSTERVIK</t>
        </is>
      </c>
      <c r="H2966" t="inlineStr">
        <is>
          <t>Sveaskog</t>
        </is>
      </c>
      <c r="I2966" t="n">
        <v>2.2</v>
      </c>
      <c r="J2966" t="n">
        <v>0</v>
      </c>
      <c r="K2966" t="n">
        <v>0</v>
      </c>
      <c r="L2966" t="n">
        <v>0</v>
      </c>
      <c r="M2966" t="n">
        <v>0</v>
      </c>
      <c r="N2966" t="n">
        <v>0</v>
      </c>
      <c r="O2966" t="n">
        <v>0</v>
      </c>
      <c r="P2966" t="n">
        <v>0</v>
      </c>
      <c r="Q2966" t="n">
        <v>0</v>
      </c>
      <c r="R2966" t="n">
        <v>0</v>
      </c>
      <c r="S2966" t="n">
        <v>0</v>
      </c>
      <c r="T2966" t="n">
        <v>0</v>
      </c>
      <c r="U2966" t="n">
        <v>0</v>
      </c>
      <c r="V2966" s="2" t="inlineStr"/>
    </row>
    <row r="2967" ht="15" customHeight="1">
      <c r="A2967" t="inlineStr">
        <is>
          <t>A 14167-2025</t>
        </is>
      </c>
      <c r="B2967" t="inlineStr">
        <is>
          <t>avverkningsanmälan</t>
        </is>
      </c>
      <c r="C2967" t="inlineStr">
        <is>
          <t>Föryngringsavverkning</t>
        </is>
      </c>
      <c r="D2967" s="1" t="n">
        <v>45740</v>
      </c>
      <c r="E2967" s="1" t="n">
        <v>46323</v>
      </c>
      <c r="F2967" t="inlineStr">
        <is>
          <t>KALMAR LÄN</t>
        </is>
      </c>
      <c r="G2967" t="inlineStr">
        <is>
          <t>EMMABODA</t>
        </is>
      </c>
      <c r="I2967" t="n">
        <v>0.6</v>
      </c>
      <c r="J2967" t="n">
        <v>0</v>
      </c>
      <c r="K2967" t="n">
        <v>0</v>
      </c>
      <c r="L2967" t="n">
        <v>0</v>
      </c>
      <c r="M2967" t="n">
        <v>0</v>
      </c>
      <c r="N2967" t="n">
        <v>0</v>
      </c>
      <c r="O2967" t="n">
        <v>0</v>
      </c>
      <c r="P2967" t="n">
        <v>0</v>
      </c>
      <c r="Q2967" t="n">
        <v>0</v>
      </c>
      <c r="R2967" t="n">
        <v>0</v>
      </c>
      <c r="S2967" t="n">
        <v>0</v>
      </c>
      <c r="T2967" t="n">
        <v>0</v>
      </c>
      <c r="U2967" t="n">
        <v>0</v>
      </c>
      <c r="V2967" s="2" t="inlineStr"/>
    </row>
    <row r="2968" ht="15" customHeight="1">
      <c r="A2968" t="inlineStr">
        <is>
          <t>A 29616-2022</t>
        </is>
      </c>
      <c r="B2968" t="inlineStr">
        <is>
          <t>avverkningsanmälan</t>
        </is>
      </c>
      <c r="C2968" t="inlineStr">
        <is>
          <t>Föryngringsavverkning</t>
        </is>
      </c>
      <c r="D2968" s="1" t="n">
        <v>44754</v>
      </c>
      <c r="E2968" s="1" t="n">
        <v>46323</v>
      </c>
      <c r="F2968" t="inlineStr">
        <is>
          <t>KALMAR LÄN</t>
        </is>
      </c>
      <c r="G2968" t="inlineStr">
        <is>
          <t>VIMMERBY</t>
        </is>
      </c>
      <c r="I2968" t="n">
        <v>1.1</v>
      </c>
      <c r="J2968" t="n">
        <v>0</v>
      </c>
      <c r="K2968" t="n">
        <v>0</v>
      </c>
      <c r="L2968" t="n">
        <v>0</v>
      </c>
      <c r="M2968" t="n">
        <v>0</v>
      </c>
      <c r="N2968" t="n">
        <v>0</v>
      </c>
      <c r="O2968" t="n">
        <v>0</v>
      </c>
      <c r="P2968" t="n">
        <v>0</v>
      </c>
      <c r="Q2968" t="n">
        <v>0</v>
      </c>
      <c r="R2968" t="n">
        <v>0</v>
      </c>
      <c r="S2968" t="n">
        <v>0</v>
      </c>
      <c r="T2968" t="n">
        <v>0</v>
      </c>
      <c r="U2968" t="n">
        <v>0</v>
      </c>
      <c r="V2968" s="2" t="inlineStr"/>
    </row>
    <row r="2969" ht="15" customHeight="1">
      <c r="A2969" t="inlineStr">
        <is>
          <t>A 30262-2022</t>
        </is>
      </c>
      <c r="B2969" t="inlineStr">
        <is>
          <t>avverkningsanmälan</t>
        </is>
      </c>
      <c r="C2969" t="inlineStr">
        <is>
          <t>Föryngringsavverkning</t>
        </is>
      </c>
      <c r="D2969" s="1" t="n">
        <v>44759</v>
      </c>
      <c r="E2969" s="1" t="n">
        <v>46323</v>
      </c>
      <c r="F2969" t="inlineStr">
        <is>
          <t>KALMAR LÄN</t>
        </is>
      </c>
      <c r="G2969" t="inlineStr">
        <is>
          <t>EMMABODA</t>
        </is>
      </c>
      <c r="I2969" t="n">
        <v>1</v>
      </c>
      <c r="J2969" t="n">
        <v>0</v>
      </c>
      <c r="K2969" t="n">
        <v>0</v>
      </c>
      <c r="L2969" t="n">
        <v>0</v>
      </c>
      <c r="M2969" t="n">
        <v>0</v>
      </c>
      <c r="N2969" t="n">
        <v>0</v>
      </c>
      <c r="O2969" t="n">
        <v>0</v>
      </c>
      <c r="P2969" t="n">
        <v>0</v>
      </c>
      <c r="Q2969" t="n">
        <v>0</v>
      </c>
      <c r="R2969" t="n">
        <v>0</v>
      </c>
      <c r="S2969" t="n">
        <v>0</v>
      </c>
      <c r="T2969" t="n">
        <v>0</v>
      </c>
      <c r="U2969" t="n">
        <v>0</v>
      </c>
      <c r="V2969" s="2" t="inlineStr"/>
    </row>
    <row r="2970" ht="15" customHeight="1">
      <c r="A2970" t="inlineStr">
        <is>
          <t>A 44920-2024</t>
        </is>
      </c>
      <c r="B2970" t="inlineStr">
        <is>
          <t>avverkningsanmälan</t>
        </is>
      </c>
      <c r="C2970" t="inlineStr">
        <is>
          <t>Föryngringsavverkning</t>
        </is>
      </c>
      <c r="D2970" s="1" t="n">
        <v>45575</v>
      </c>
      <c r="E2970" s="1" t="n">
        <v>46323</v>
      </c>
      <c r="F2970" t="inlineStr">
        <is>
          <t>KALMAR LÄN</t>
        </is>
      </c>
      <c r="G2970" t="inlineStr">
        <is>
          <t>NYBRO</t>
        </is>
      </c>
      <c r="I2970" t="n">
        <v>8.199999999999999</v>
      </c>
      <c r="J2970" t="n">
        <v>0</v>
      </c>
      <c r="K2970" t="n">
        <v>0</v>
      </c>
      <c r="L2970" t="n">
        <v>0</v>
      </c>
      <c r="M2970" t="n">
        <v>0</v>
      </c>
      <c r="N2970" t="n">
        <v>0</v>
      </c>
      <c r="O2970" t="n">
        <v>0</v>
      </c>
      <c r="P2970" t="n">
        <v>0</v>
      </c>
      <c r="Q2970" t="n">
        <v>0</v>
      </c>
      <c r="R2970" t="n">
        <v>0</v>
      </c>
      <c r="S2970" t="n">
        <v>0</v>
      </c>
      <c r="T2970" t="n">
        <v>0</v>
      </c>
      <c r="U2970" t="n">
        <v>0</v>
      </c>
      <c r="V2970" s="2" t="inlineStr"/>
    </row>
    <row r="2971" ht="15" customHeight="1">
      <c r="A2971" t="inlineStr">
        <is>
          <t>A 61318-2022</t>
        </is>
      </c>
      <c r="B2971" t="inlineStr">
        <is>
          <t>avverkningsanmälan</t>
        </is>
      </c>
      <c r="C2971" t="inlineStr">
        <is>
          <t>Föryngringsavverkning</t>
        </is>
      </c>
      <c r="D2971" s="1" t="n">
        <v>44915</v>
      </c>
      <c r="E2971" s="1" t="n">
        <v>46323</v>
      </c>
      <c r="F2971" t="inlineStr">
        <is>
          <t>KALMAR LÄN</t>
        </is>
      </c>
      <c r="G2971" t="inlineStr">
        <is>
          <t>OSKARSHAMN</t>
        </is>
      </c>
      <c r="I2971" t="n">
        <v>7.2</v>
      </c>
      <c r="J2971" t="n">
        <v>0</v>
      </c>
      <c r="K2971" t="n">
        <v>0</v>
      </c>
      <c r="L2971" t="n">
        <v>0</v>
      </c>
      <c r="M2971" t="n">
        <v>0</v>
      </c>
      <c r="N2971" t="n">
        <v>0</v>
      </c>
      <c r="O2971" t="n">
        <v>0</v>
      </c>
      <c r="P2971" t="n">
        <v>0</v>
      </c>
      <c r="Q2971" t="n">
        <v>0</v>
      </c>
      <c r="R2971" t="n">
        <v>0</v>
      </c>
      <c r="S2971" t="n">
        <v>0</v>
      </c>
      <c r="T2971" t="n">
        <v>0</v>
      </c>
      <c r="U2971" t="n">
        <v>0</v>
      </c>
      <c r="V2971" s="2" t="inlineStr"/>
    </row>
    <row r="2972" ht="15" customHeight="1">
      <c r="A2972" t="inlineStr">
        <is>
          <t>A 36496-2024</t>
        </is>
      </c>
      <c r="B2972" t="inlineStr">
        <is>
          <t>avverkningsanmälan</t>
        </is>
      </c>
      <c r="C2972" t="inlineStr">
        <is>
          <t>Föryngringsavverkning</t>
        </is>
      </c>
      <c r="D2972" s="1" t="n">
        <v>45537</v>
      </c>
      <c r="E2972" s="1" t="n">
        <v>46323</v>
      </c>
      <c r="F2972" t="inlineStr">
        <is>
          <t>KALMAR LÄN</t>
        </is>
      </c>
      <c r="G2972" t="inlineStr">
        <is>
          <t>EMMABODA</t>
        </is>
      </c>
      <c r="I2972" t="n">
        <v>0.9</v>
      </c>
      <c r="J2972" t="n">
        <v>0</v>
      </c>
      <c r="K2972" t="n">
        <v>0</v>
      </c>
      <c r="L2972" t="n">
        <v>0</v>
      </c>
      <c r="M2972" t="n">
        <v>0</v>
      </c>
      <c r="N2972" t="n">
        <v>0</v>
      </c>
      <c r="O2972" t="n">
        <v>0</v>
      </c>
      <c r="P2972" t="n">
        <v>0</v>
      </c>
      <c r="Q2972" t="n">
        <v>0</v>
      </c>
      <c r="R2972" t="n">
        <v>0</v>
      </c>
      <c r="S2972" t="n">
        <v>0</v>
      </c>
      <c r="T2972" t="n">
        <v>0</v>
      </c>
      <c r="U2972" t="n">
        <v>0</v>
      </c>
      <c r="V2972" s="2" t="inlineStr"/>
    </row>
    <row r="2973" ht="15" customHeight="1">
      <c r="A2973" t="inlineStr">
        <is>
          <t>A 27827-2023</t>
        </is>
      </c>
      <c r="B2973" t="inlineStr">
        <is>
          <t>avverkningsanmälan</t>
        </is>
      </c>
      <c r="C2973" t="inlineStr">
        <is>
          <t>Föryngringsavverkning</t>
        </is>
      </c>
      <c r="D2973" s="1" t="n">
        <v>45098</v>
      </c>
      <c r="E2973" s="1" t="n">
        <v>46323</v>
      </c>
      <c r="F2973" t="inlineStr">
        <is>
          <t>KALMAR LÄN</t>
        </is>
      </c>
      <c r="G2973" t="inlineStr">
        <is>
          <t>OSKARSHAMN</t>
        </is>
      </c>
      <c r="I2973" t="n">
        <v>1.3</v>
      </c>
      <c r="J2973" t="n">
        <v>0</v>
      </c>
      <c r="K2973" t="n">
        <v>0</v>
      </c>
      <c r="L2973" t="n">
        <v>0</v>
      </c>
      <c r="M2973" t="n">
        <v>0</v>
      </c>
      <c r="N2973" t="n">
        <v>0</v>
      </c>
      <c r="O2973" t="n">
        <v>0</v>
      </c>
      <c r="P2973" t="n">
        <v>0</v>
      </c>
      <c r="Q2973" t="n">
        <v>0</v>
      </c>
      <c r="R2973" t="n">
        <v>0</v>
      </c>
      <c r="S2973" t="n">
        <v>0</v>
      </c>
      <c r="T2973" t="n">
        <v>0</v>
      </c>
      <c r="U2973" t="n">
        <v>0</v>
      </c>
      <c r="V2973" s="2" t="inlineStr"/>
    </row>
    <row r="2974" ht="15" customHeight="1">
      <c r="A2974" t="inlineStr">
        <is>
          <t>A 28403-2023</t>
        </is>
      </c>
      <c r="B2974" t="inlineStr">
        <is>
          <t>avverkningsanmälan</t>
        </is>
      </c>
      <c r="C2974" t="inlineStr">
        <is>
          <t>Föryngringsavverkning</t>
        </is>
      </c>
      <c r="D2974" s="1" t="n">
        <v>45100</v>
      </c>
      <c r="E2974" s="1" t="n">
        <v>46323</v>
      </c>
      <c r="F2974" t="inlineStr">
        <is>
          <t>KALMAR LÄN</t>
        </is>
      </c>
      <c r="G2974" t="inlineStr">
        <is>
          <t>VIMMERBY</t>
        </is>
      </c>
      <c r="I2974" t="n">
        <v>1.8</v>
      </c>
      <c r="J2974" t="n">
        <v>0</v>
      </c>
      <c r="K2974" t="n">
        <v>0</v>
      </c>
      <c r="L2974" t="n">
        <v>0</v>
      </c>
      <c r="M2974" t="n">
        <v>0</v>
      </c>
      <c r="N2974" t="n">
        <v>0</v>
      </c>
      <c r="O2974" t="n">
        <v>0</v>
      </c>
      <c r="P2974" t="n">
        <v>0</v>
      </c>
      <c r="Q2974" t="n">
        <v>0</v>
      </c>
      <c r="R2974" t="n">
        <v>0</v>
      </c>
      <c r="S2974" t="n">
        <v>0</v>
      </c>
      <c r="T2974" t="n">
        <v>0</v>
      </c>
      <c r="U2974" t="n">
        <v>0</v>
      </c>
      <c r="V2974" s="2" t="inlineStr"/>
    </row>
    <row r="2975" ht="15" customHeight="1">
      <c r="A2975" t="inlineStr">
        <is>
          <t>A 7650-2023</t>
        </is>
      </c>
      <c r="B2975" t="inlineStr">
        <is>
          <t>avverkningsanmälan</t>
        </is>
      </c>
      <c r="C2975" t="inlineStr">
        <is>
          <t>Föryngringsavverkning</t>
        </is>
      </c>
      <c r="D2975" s="1" t="n">
        <v>44972</v>
      </c>
      <c r="E2975" s="1" t="n">
        <v>46323</v>
      </c>
      <c r="F2975" t="inlineStr">
        <is>
          <t>KALMAR LÄN</t>
        </is>
      </c>
      <c r="G2975" t="inlineStr">
        <is>
          <t>NYBRO</t>
        </is>
      </c>
      <c r="I2975" t="n">
        <v>1.2</v>
      </c>
      <c r="J2975" t="n">
        <v>0</v>
      </c>
      <c r="K2975" t="n">
        <v>0</v>
      </c>
      <c r="L2975" t="n">
        <v>0</v>
      </c>
      <c r="M2975" t="n">
        <v>0</v>
      </c>
      <c r="N2975" t="n">
        <v>0</v>
      </c>
      <c r="O2975" t="n">
        <v>0</v>
      </c>
      <c r="P2975" t="n">
        <v>0</v>
      </c>
      <c r="Q2975" t="n">
        <v>0</v>
      </c>
      <c r="R2975" t="n">
        <v>0</v>
      </c>
      <c r="S2975" t="n">
        <v>0</v>
      </c>
      <c r="T2975" t="n">
        <v>0</v>
      </c>
      <c r="U2975" t="n">
        <v>0</v>
      </c>
      <c r="V2975" s="2" t="inlineStr"/>
    </row>
    <row r="2976" ht="15" customHeight="1">
      <c r="A2976" t="inlineStr">
        <is>
          <t>A 42194-2024</t>
        </is>
      </c>
      <c r="B2976" t="inlineStr">
        <is>
          <t>avverkningsanmälan</t>
        </is>
      </c>
      <c r="C2976" t="inlineStr">
        <is>
          <t>Föryngringsavverkning</t>
        </is>
      </c>
      <c r="D2976" s="1" t="n">
        <v>45562</v>
      </c>
      <c r="E2976" s="1" t="n">
        <v>46323</v>
      </c>
      <c r="F2976" t="inlineStr">
        <is>
          <t>KALMAR LÄN</t>
        </is>
      </c>
      <c r="G2976" t="inlineStr">
        <is>
          <t>EMMABODA</t>
        </is>
      </c>
      <c r="I2976" t="n">
        <v>2.6</v>
      </c>
      <c r="J2976" t="n">
        <v>0</v>
      </c>
      <c r="K2976" t="n">
        <v>0</v>
      </c>
      <c r="L2976" t="n">
        <v>0</v>
      </c>
      <c r="M2976" t="n">
        <v>0</v>
      </c>
      <c r="N2976" t="n">
        <v>0</v>
      </c>
      <c r="O2976" t="n">
        <v>0</v>
      </c>
      <c r="P2976" t="n">
        <v>0</v>
      </c>
      <c r="Q2976" t="n">
        <v>0</v>
      </c>
      <c r="R2976" t="n">
        <v>0</v>
      </c>
      <c r="S2976" t="n">
        <v>0</v>
      </c>
      <c r="T2976" t="n">
        <v>0</v>
      </c>
      <c r="U2976" t="n">
        <v>0</v>
      </c>
      <c r="V2976" s="2" t="inlineStr"/>
    </row>
    <row r="2977" ht="15" customHeight="1">
      <c r="A2977" t="inlineStr">
        <is>
          <t>A 8405-2024</t>
        </is>
      </c>
      <c r="B2977" t="inlineStr">
        <is>
          <t>avverkningsanmälan</t>
        </is>
      </c>
      <c r="C2977" t="inlineStr">
        <is>
          <t>Föryngringsavverkning</t>
        </is>
      </c>
      <c r="D2977" s="1" t="n">
        <v>45352</v>
      </c>
      <c r="E2977" s="1" t="n">
        <v>46323</v>
      </c>
      <c r="F2977" t="inlineStr">
        <is>
          <t>KALMAR LÄN</t>
        </is>
      </c>
      <c r="G2977" t="inlineStr">
        <is>
          <t>TORSÅS</t>
        </is>
      </c>
      <c r="I2977" t="n">
        <v>2.1</v>
      </c>
      <c r="J2977" t="n">
        <v>0</v>
      </c>
      <c r="K2977" t="n">
        <v>0</v>
      </c>
      <c r="L2977" t="n">
        <v>0</v>
      </c>
      <c r="M2977" t="n">
        <v>0</v>
      </c>
      <c r="N2977" t="n">
        <v>0</v>
      </c>
      <c r="O2977" t="n">
        <v>0</v>
      </c>
      <c r="P2977" t="n">
        <v>0</v>
      </c>
      <c r="Q2977" t="n">
        <v>0</v>
      </c>
      <c r="R2977" t="n">
        <v>0</v>
      </c>
      <c r="S2977" t="n">
        <v>0</v>
      </c>
      <c r="T2977" t="n">
        <v>0</v>
      </c>
      <c r="U2977" t="n">
        <v>0</v>
      </c>
      <c r="V2977" s="2" t="inlineStr"/>
    </row>
    <row r="2978" ht="15" customHeight="1">
      <c r="A2978" t="inlineStr">
        <is>
          <t>A 3290-2024</t>
        </is>
      </c>
      <c r="B2978" t="inlineStr">
        <is>
          <t>avverkningsanmälan</t>
        </is>
      </c>
      <c r="C2978" t="inlineStr">
        <is>
          <t>Föryngringsavverkning</t>
        </is>
      </c>
      <c r="D2978" s="1" t="n">
        <v>45317</v>
      </c>
      <c r="E2978" s="1" t="n">
        <v>46323</v>
      </c>
      <c r="F2978" t="inlineStr">
        <is>
          <t>KALMAR LÄN</t>
        </is>
      </c>
      <c r="G2978" t="inlineStr">
        <is>
          <t>EMMABODA</t>
        </is>
      </c>
      <c r="I2978" t="n">
        <v>0.5</v>
      </c>
      <c r="J2978" t="n">
        <v>0</v>
      </c>
      <c r="K2978" t="n">
        <v>0</v>
      </c>
      <c r="L2978" t="n">
        <v>0</v>
      </c>
      <c r="M2978" t="n">
        <v>0</v>
      </c>
      <c r="N2978" t="n">
        <v>0</v>
      </c>
      <c r="O2978" t="n">
        <v>0</v>
      </c>
      <c r="P2978" t="n">
        <v>0</v>
      </c>
      <c r="Q2978" t="n">
        <v>0</v>
      </c>
      <c r="R2978" t="n">
        <v>0</v>
      </c>
      <c r="S2978" t="n">
        <v>0</v>
      </c>
      <c r="T2978" t="n">
        <v>0</v>
      </c>
      <c r="U2978" t="n">
        <v>0</v>
      </c>
      <c r="V2978" s="2" t="inlineStr"/>
    </row>
    <row r="2979" ht="15" customHeight="1">
      <c r="A2979" t="inlineStr">
        <is>
          <t>A 61549-2022</t>
        </is>
      </c>
      <c r="B2979" t="inlineStr">
        <is>
          <t>avverkningsanmälan</t>
        </is>
      </c>
      <c r="C2979" t="inlineStr">
        <is>
          <t>Föryngringsavverkning</t>
        </is>
      </c>
      <c r="D2979" s="1" t="n">
        <v>44916</v>
      </c>
      <c r="E2979" s="1" t="n">
        <v>46323</v>
      </c>
      <c r="F2979" t="inlineStr">
        <is>
          <t>KALMAR LÄN</t>
        </is>
      </c>
      <c r="G2979" t="inlineStr">
        <is>
          <t>HULTSFRED</t>
        </is>
      </c>
      <c r="I2979" t="n">
        <v>0.7</v>
      </c>
      <c r="J2979" t="n">
        <v>0</v>
      </c>
      <c r="K2979" t="n">
        <v>0</v>
      </c>
      <c r="L2979" t="n">
        <v>0</v>
      </c>
      <c r="M2979" t="n">
        <v>0</v>
      </c>
      <c r="N2979" t="n">
        <v>0</v>
      </c>
      <c r="O2979" t="n">
        <v>0</v>
      </c>
      <c r="P2979" t="n">
        <v>0</v>
      </c>
      <c r="Q2979" t="n">
        <v>0</v>
      </c>
      <c r="R2979" t="n">
        <v>0</v>
      </c>
      <c r="S2979" t="n">
        <v>0</v>
      </c>
      <c r="T2979" t="n">
        <v>0</v>
      </c>
      <c r="U2979" t="n">
        <v>0</v>
      </c>
      <c r="V2979" s="2" t="inlineStr"/>
    </row>
    <row r="2980" ht="15" customHeight="1">
      <c r="A2980" t="inlineStr">
        <is>
          <t>A 61122-2022</t>
        </is>
      </c>
      <c r="B2980" t="inlineStr">
        <is>
          <t>avverkningsanmälan</t>
        </is>
      </c>
      <c r="C2980" t="inlineStr">
        <is>
          <t>Föryngringsavverkning</t>
        </is>
      </c>
      <c r="D2980" s="1" t="n">
        <v>44908</v>
      </c>
      <c r="E2980" s="1" t="n">
        <v>46323</v>
      </c>
      <c r="F2980" t="inlineStr">
        <is>
          <t>KALMAR LÄN</t>
        </is>
      </c>
      <c r="G2980" t="inlineStr">
        <is>
          <t>OSKARSHAMN</t>
        </is>
      </c>
      <c r="I2980" t="n">
        <v>3.6</v>
      </c>
      <c r="J2980" t="n">
        <v>0</v>
      </c>
      <c r="K2980" t="n">
        <v>0</v>
      </c>
      <c r="L2980" t="n">
        <v>0</v>
      </c>
      <c r="M2980" t="n">
        <v>0</v>
      </c>
      <c r="N2980" t="n">
        <v>0</v>
      </c>
      <c r="O2980" t="n">
        <v>0</v>
      </c>
      <c r="P2980" t="n">
        <v>0</v>
      </c>
      <c r="Q2980" t="n">
        <v>0</v>
      </c>
      <c r="R2980" t="n">
        <v>0</v>
      </c>
      <c r="S2980" t="n">
        <v>0</v>
      </c>
      <c r="T2980" t="n">
        <v>0</v>
      </c>
      <c r="U2980" t="n">
        <v>0</v>
      </c>
      <c r="V2980" s="2" t="inlineStr"/>
    </row>
    <row r="2981" ht="15" customHeight="1">
      <c r="A2981" t="inlineStr">
        <is>
          <t>A 61127-2022</t>
        </is>
      </c>
      <c r="B2981" t="inlineStr">
        <is>
          <t>avverkningsanmälan</t>
        </is>
      </c>
      <c r="C2981" t="inlineStr">
        <is>
          <t>Föryngringsavverkning</t>
        </is>
      </c>
      <c r="D2981" s="1" t="n">
        <v>44915</v>
      </c>
      <c r="E2981" s="1" t="n">
        <v>46323</v>
      </c>
      <c r="F2981" t="inlineStr">
        <is>
          <t>KALMAR LÄN</t>
        </is>
      </c>
      <c r="G2981" t="inlineStr">
        <is>
          <t>MÖNSTERÅS</t>
        </is>
      </c>
      <c r="I2981" t="n">
        <v>1.9</v>
      </c>
      <c r="J2981" t="n">
        <v>0</v>
      </c>
      <c r="K2981" t="n">
        <v>0</v>
      </c>
      <c r="L2981" t="n">
        <v>0</v>
      </c>
      <c r="M2981" t="n">
        <v>0</v>
      </c>
      <c r="N2981" t="n">
        <v>0</v>
      </c>
      <c r="O2981" t="n">
        <v>0</v>
      </c>
      <c r="P2981" t="n">
        <v>0</v>
      </c>
      <c r="Q2981" t="n">
        <v>0</v>
      </c>
      <c r="R2981" t="n">
        <v>0</v>
      </c>
      <c r="S2981" t="n">
        <v>0</v>
      </c>
      <c r="T2981" t="n">
        <v>0</v>
      </c>
      <c r="U2981" t="n">
        <v>0</v>
      </c>
      <c r="V2981" s="2" t="inlineStr"/>
    </row>
    <row r="2982" ht="15" customHeight="1">
      <c r="A2982" t="inlineStr">
        <is>
          <t>A 37461-2023</t>
        </is>
      </c>
      <c r="B2982" t="inlineStr">
        <is>
          <t>avverkningsanmälan</t>
        </is>
      </c>
      <c r="C2982" t="inlineStr">
        <is>
          <t>Föryngringsavverkning</t>
        </is>
      </c>
      <c r="D2982" s="1" t="n">
        <v>45156</v>
      </c>
      <c r="E2982" s="1" t="n">
        <v>46323</v>
      </c>
      <c r="F2982" t="inlineStr">
        <is>
          <t>KALMAR LÄN</t>
        </is>
      </c>
      <c r="G2982" t="inlineStr">
        <is>
          <t>NYBRO</t>
        </is>
      </c>
      <c r="I2982" t="n">
        <v>1.8</v>
      </c>
      <c r="J2982" t="n">
        <v>0</v>
      </c>
      <c r="K2982" t="n">
        <v>0</v>
      </c>
      <c r="L2982" t="n">
        <v>0</v>
      </c>
      <c r="M2982" t="n">
        <v>0</v>
      </c>
      <c r="N2982" t="n">
        <v>0</v>
      </c>
      <c r="O2982" t="n">
        <v>0</v>
      </c>
      <c r="P2982" t="n">
        <v>0</v>
      </c>
      <c r="Q2982" t="n">
        <v>0</v>
      </c>
      <c r="R2982" t="n">
        <v>0</v>
      </c>
      <c r="S2982" t="n">
        <v>0</v>
      </c>
      <c r="T2982" t="n">
        <v>0</v>
      </c>
      <c r="U2982" t="n">
        <v>0</v>
      </c>
      <c r="V2982" s="2" t="inlineStr"/>
    </row>
    <row r="2983" ht="15" customHeight="1">
      <c r="A2983" t="inlineStr">
        <is>
          <t>A 61197-2022</t>
        </is>
      </c>
      <c r="B2983" t="inlineStr">
        <is>
          <t>avverkningsanmälan</t>
        </is>
      </c>
      <c r="C2983" t="inlineStr">
        <is>
          <t>Föryngringsavverkning</t>
        </is>
      </c>
      <c r="D2983" s="1" t="n">
        <v>44915</v>
      </c>
      <c r="E2983" s="1" t="n">
        <v>46323</v>
      </c>
      <c r="F2983" t="inlineStr">
        <is>
          <t>KALMAR LÄN</t>
        </is>
      </c>
      <c r="G2983" t="inlineStr">
        <is>
          <t>MÖNSTERÅS</t>
        </is>
      </c>
      <c r="I2983" t="n">
        <v>3.3</v>
      </c>
      <c r="J2983" t="n">
        <v>0</v>
      </c>
      <c r="K2983" t="n">
        <v>0</v>
      </c>
      <c r="L2983" t="n">
        <v>0</v>
      </c>
      <c r="M2983" t="n">
        <v>0</v>
      </c>
      <c r="N2983" t="n">
        <v>0</v>
      </c>
      <c r="O2983" t="n">
        <v>0</v>
      </c>
      <c r="P2983" t="n">
        <v>0</v>
      </c>
      <c r="Q2983" t="n">
        <v>0</v>
      </c>
      <c r="R2983" t="n">
        <v>0</v>
      </c>
      <c r="S2983" t="n">
        <v>0</v>
      </c>
      <c r="T2983" t="n">
        <v>0</v>
      </c>
      <c r="U2983" t="n">
        <v>0</v>
      </c>
      <c r="V2983" s="2" t="inlineStr"/>
    </row>
    <row r="2984" ht="15" customHeight="1">
      <c r="A2984" t="inlineStr">
        <is>
          <t>A 61204-2022</t>
        </is>
      </c>
      <c r="B2984" t="inlineStr">
        <is>
          <t>avverkningsanmälan</t>
        </is>
      </c>
      <c r="C2984" t="inlineStr">
        <is>
          <t>Föryngringsavverkning</t>
        </is>
      </c>
      <c r="D2984" s="1" t="n">
        <v>44915</v>
      </c>
      <c r="E2984" s="1" t="n">
        <v>46323</v>
      </c>
      <c r="F2984" t="inlineStr">
        <is>
          <t>KALMAR LÄN</t>
        </is>
      </c>
      <c r="G2984" t="inlineStr">
        <is>
          <t>MÖNSTERÅS</t>
        </is>
      </c>
      <c r="I2984" t="n">
        <v>5.7</v>
      </c>
      <c r="J2984" t="n">
        <v>0</v>
      </c>
      <c r="K2984" t="n">
        <v>0</v>
      </c>
      <c r="L2984" t="n">
        <v>0</v>
      </c>
      <c r="M2984" t="n">
        <v>0</v>
      </c>
      <c r="N2984" t="n">
        <v>0</v>
      </c>
      <c r="O2984" t="n">
        <v>0</v>
      </c>
      <c r="P2984" t="n">
        <v>0</v>
      </c>
      <c r="Q2984" t="n">
        <v>0</v>
      </c>
      <c r="R2984" t="n">
        <v>0</v>
      </c>
      <c r="S2984" t="n">
        <v>0</v>
      </c>
      <c r="T2984" t="n">
        <v>0</v>
      </c>
      <c r="U2984" t="n">
        <v>0</v>
      </c>
      <c r="V2984" s="2" t="inlineStr"/>
    </row>
    <row r="2985" ht="15" customHeight="1">
      <c r="A2985" t="inlineStr">
        <is>
          <t>A 26279-2023</t>
        </is>
      </c>
      <c r="B2985" t="inlineStr">
        <is>
          <t>avverkningsanmälan</t>
        </is>
      </c>
      <c r="C2985" t="inlineStr">
        <is>
          <t>Föryngringsavverkning</t>
        </is>
      </c>
      <c r="D2985" s="1" t="n">
        <v>45091</v>
      </c>
      <c r="E2985" s="1" t="n">
        <v>46323</v>
      </c>
      <c r="F2985" t="inlineStr">
        <is>
          <t>KALMAR LÄN</t>
        </is>
      </c>
      <c r="G2985" t="inlineStr">
        <is>
          <t>MÖNSTERÅS</t>
        </is>
      </c>
      <c r="I2985" t="n">
        <v>0.9</v>
      </c>
      <c r="J2985" t="n">
        <v>0</v>
      </c>
      <c r="K2985" t="n">
        <v>0</v>
      </c>
      <c r="L2985" t="n">
        <v>0</v>
      </c>
      <c r="M2985" t="n">
        <v>0</v>
      </c>
      <c r="N2985" t="n">
        <v>0</v>
      </c>
      <c r="O2985" t="n">
        <v>0</v>
      </c>
      <c r="P2985" t="n">
        <v>0</v>
      </c>
      <c r="Q2985" t="n">
        <v>0</v>
      </c>
      <c r="R2985" t="n">
        <v>0</v>
      </c>
      <c r="S2985" t="n">
        <v>0</v>
      </c>
      <c r="T2985" t="n">
        <v>0</v>
      </c>
      <c r="U2985" t="n">
        <v>0</v>
      </c>
      <c r="V2985" s="2" t="inlineStr"/>
    </row>
    <row r="2986" ht="15" customHeight="1">
      <c r="A2986" t="inlineStr">
        <is>
          <t>A 2529-2024</t>
        </is>
      </c>
      <c r="B2986" t="inlineStr">
        <is>
          <t>avverkningsanmälan</t>
        </is>
      </c>
      <c r="C2986" t="inlineStr">
        <is>
          <t>Föryngringsavverkning</t>
        </is>
      </c>
      <c r="D2986" s="1" t="n">
        <v>45313</v>
      </c>
      <c r="E2986" s="1" t="n">
        <v>46323</v>
      </c>
      <c r="F2986" t="inlineStr">
        <is>
          <t>KALMAR LÄN</t>
        </is>
      </c>
      <c r="G2986" t="inlineStr">
        <is>
          <t>NYBRO</t>
        </is>
      </c>
      <c r="I2986" t="n">
        <v>0.4</v>
      </c>
      <c r="J2986" t="n">
        <v>0</v>
      </c>
      <c r="K2986" t="n">
        <v>0</v>
      </c>
      <c r="L2986" t="n">
        <v>0</v>
      </c>
      <c r="M2986" t="n">
        <v>0</v>
      </c>
      <c r="N2986" t="n">
        <v>0</v>
      </c>
      <c r="O2986" t="n">
        <v>0</v>
      </c>
      <c r="P2986" t="n">
        <v>0</v>
      </c>
      <c r="Q2986" t="n">
        <v>0</v>
      </c>
      <c r="R2986" t="n">
        <v>0</v>
      </c>
      <c r="S2986" t="n">
        <v>0</v>
      </c>
      <c r="T2986" t="n">
        <v>0</v>
      </c>
      <c r="U2986" t="n">
        <v>0</v>
      </c>
      <c r="V2986" s="2" t="inlineStr"/>
    </row>
    <row r="2987" ht="15" customHeight="1">
      <c r="A2987" t="inlineStr">
        <is>
          <t>A 28894-2023</t>
        </is>
      </c>
      <c r="B2987" t="inlineStr">
        <is>
          <t>avverkningsanmälan</t>
        </is>
      </c>
      <c r="C2987" t="inlineStr">
        <is>
          <t>Föryngringsavverkning</t>
        </is>
      </c>
      <c r="D2987" s="1" t="n">
        <v>45104</v>
      </c>
      <c r="E2987" s="1" t="n">
        <v>46323</v>
      </c>
      <c r="F2987" t="inlineStr">
        <is>
          <t>KALMAR LÄN</t>
        </is>
      </c>
      <c r="G2987" t="inlineStr">
        <is>
          <t>VÄSTERVIK</t>
        </is>
      </c>
      <c r="I2987" t="n">
        <v>0.7</v>
      </c>
      <c r="J2987" t="n">
        <v>0</v>
      </c>
      <c r="K2987" t="n">
        <v>0</v>
      </c>
      <c r="L2987" t="n">
        <v>0</v>
      </c>
      <c r="M2987" t="n">
        <v>0</v>
      </c>
      <c r="N2987" t="n">
        <v>0</v>
      </c>
      <c r="O2987" t="n">
        <v>0</v>
      </c>
      <c r="P2987" t="n">
        <v>0</v>
      </c>
      <c r="Q2987" t="n">
        <v>0</v>
      </c>
      <c r="R2987" t="n">
        <v>0</v>
      </c>
      <c r="S2987" t="n">
        <v>0</v>
      </c>
      <c r="T2987" t="n">
        <v>0</v>
      </c>
      <c r="U2987" t="n">
        <v>0</v>
      </c>
      <c r="V2987" s="2" t="inlineStr"/>
    </row>
    <row r="2988" ht="15" customHeight="1">
      <c r="A2988" t="inlineStr">
        <is>
          <t>A 48408-2025</t>
        </is>
      </c>
      <c r="B2988" t="inlineStr">
        <is>
          <t>avverkningsanmälan</t>
        </is>
      </c>
      <c r="C2988" t="inlineStr">
        <is>
          <t>Föryngringsavverkning</t>
        </is>
      </c>
      <c r="D2988" s="1" t="n">
        <v>45934</v>
      </c>
      <c r="E2988" s="1" t="n">
        <v>46323</v>
      </c>
      <c r="F2988" t="inlineStr">
        <is>
          <t>KALMAR LÄN</t>
        </is>
      </c>
      <c r="G2988" t="inlineStr">
        <is>
          <t>VIMMERBY</t>
        </is>
      </c>
      <c r="I2988" t="n">
        <v>2.4</v>
      </c>
      <c r="J2988" t="n">
        <v>0</v>
      </c>
      <c r="K2988" t="n">
        <v>0</v>
      </c>
      <c r="L2988" t="n">
        <v>0</v>
      </c>
      <c r="M2988" t="n">
        <v>0</v>
      </c>
      <c r="N2988" t="n">
        <v>0</v>
      </c>
      <c r="O2988" t="n">
        <v>0</v>
      </c>
      <c r="P2988" t="n">
        <v>0</v>
      </c>
      <c r="Q2988" t="n">
        <v>0</v>
      </c>
      <c r="R2988" t="n">
        <v>0</v>
      </c>
      <c r="S2988" t="n">
        <v>0</v>
      </c>
      <c r="T2988" t="n">
        <v>0</v>
      </c>
      <c r="U2988" t="n">
        <v>0</v>
      </c>
      <c r="V2988" s="2" t="inlineStr"/>
    </row>
    <row r="2989" ht="15" customHeight="1">
      <c r="A2989" t="inlineStr">
        <is>
          <t>A 17969-2025</t>
        </is>
      </c>
      <c r="B2989" t="inlineStr">
        <is>
          <t>avverkningsanmälan</t>
        </is>
      </c>
      <c r="C2989" t="inlineStr">
        <is>
          <t>Föryngringsavverkning</t>
        </is>
      </c>
      <c r="D2989" s="1" t="n">
        <v>45761</v>
      </c>
      <c r="E2989" s="1" t="n">
        <v>46323</v>
      </c>
      <c r="F2989" t="inlineStr">
        <is>
          <t>KALMAR LÄN</t>
        </is>
      </c>
      <c r="G2989" t="inlineStr">
        <is>
          <t>NYBRO</t>
        </is>
      </c>
      <c r="I2989" t="n">
        <v>2.4</v>
      </c>
      <c r="J2989" t="n">
        <v>0</v>
      </c>
      <c r="K2989" t="n">
        <v>0</v>
      </c>
      <c r="L2989" t="n">
        <v>0</v>
      </c>
      <c r="M2989" t="n">
        <v>0</v>
      </c>
      <c r="N2989" t="n">
        <v>0</v>
      </c>
      <c r="O2989" t="n">
        <v>0</v>
      </c>
      <c r="P2989" t="n">
        <v>0</v>
      </c>
      <c r="Q2989" t="n">
        <v>0</v>
      </c>
      <c r="R2989" t="n">
        <v>0</v>
      </c>
      <c r="S2989" t="n">
        <v>0</v>
      </c>
      <c r="T2989" t="n">
        <v>0</v>
      </c>
      <c r="U2989" t="n">
        <v>0</v>
      </c>
      <c r="V2989" s="2" t="inlineStr"/>
    </row>
    <row r="2990" ht="15" customHeight="1">
      <c r="A2990" t="inlineStr">
        <is>
          <t>A 4835-2022</t>
        </is>
      </c>
      <c r="B2990" t="inlineStr">
        <is>
          <t>avverkningsanmälan</t>
        </is>
      </c>
      <c r="C2990" t="inlineStr">
        <is>
          <t>Föryngringsavverkning</t>
        </is>
      </c>
      <c r="D2990" s="1" t="n">
        <v>44592</v>
      </c>
      <c r="E2990" s="1" t="n">
        <v>46323</v>
      </c>
      <c r="F2990" t="inlineStr">
        <is>
          <t>KALMAR LÄN</t>
        </is>
      </c>
      <c r="G2990" t="inlineStr">
        <is>
          <t>HULTSFRED</t>
        </is>
      </c>
      <c r="I2990" t="n">
        <v>1</v>
      </c>
      <c r="J2990" t="n">
        <v>0</v>
      </c>
      <c r="K2990" t="n">
        <v>0</v>
      </c>
      <c r="L2990" t="n">
        <v>0</v>
      </c>
      <c r="M2990" t="n">
        <v>0</v>
      </c>
      <c r="N2990" t="n">
        <v>0</v>
      </c>
      <c r="O2990" t="n">
        <v>0</v>
      </c>
      <c r="P2990" t="n">
        <v>0</v>
      </c>
      <c r="Q2990" t="n">
        <v>0</v>
      </c>
      <c r="R2990" t="n">
        <v>0</v>
      </c>
      <c r="S2990" t="n">
        <v>0</v>
      </c>
      <c r="T2990" t="n">
        <v>0</v>
      </c>
      <c r="U2990" t="n">
        <v>0</v>
      </c>
      <c r="V2990" s="2" t="inlineStr"/>
    </row>
    <row r="2991" ht="15" customHeight="1">
      <c r="A2991" t="inlineStr">
        <is>
          <t>A 4472-2025</t>
        </is>
      </c>
      <c r="B2991" t="inlineStr">
        <is>
          <t>avverkningsanmälan</t>
        </is>
      </c>
      <c r="C2991" t="inlineStr">
        <is>
          <t>Föryngringsavverkning</t>
        </is>
      </c>
      <c r="D2991" s="1" t="n">
        <v>45686</v>
      </c>
      <c r="E2991" s="1" t="n">
        <v>46323</v>
      </c>
      <c r="F2991" t="inlineStr">
        <is>
          <t>KALMAR LÄN</t>
        </is>
      </c>
      <c r="G2991" t="inlineStr">
        <is>
          <t>MÖNSTERÅS</t>
        </is>
      </c>
      <c r="I2991" t="n">
        <v>4.2</v>
      </c>
      <c r="J2991" t="n">
        <v>0</v>
      </c>
      <c r="K2991" t="n">
        <v>0</v>
      </c>
      <c r="L2991" t="n">
        <v>0</v>
      </c>
      <c r="M2991" t="n">
        <v>0</v>
      </c>
      <c r="N2991" t="n">
        <v>0</v>
      </c>
      <c r="O2991" t="n">
        <v>0</v>
      </c>
      <c r="P2991" t="n">
        <v>0</v>
      </c>
      <c r="Q2991" t="n">
        <v>0</v>
      </c>
      <c r="R2991" t="n">
        <v>0</v>
      </c>
      <c r="S2991" t="n">
        <v>0</v>
      </c>
      <c r="T2991" t="n">
        <v>0</v>
      </c>
      <c r="U2991" t="n">
        <v>0</v>
      </c>
      <c r="V2991" s="2" t="inlineStr"/>
    </row>
    <row r="2992" ht="15" customHeight="1">
      <c r="A2992" t="inlineStr">
        <is>
          <t>A 66022-2021</t>
        </is>
      </c>
      <c r="B2992" t="inlineStr">
        <is>
          <t>avverkningsanmälan</t>
        </is>
      </c>
      <c r="C2992" t="inlineStr">
        <is>
          <t>Föryngringsavverkning</t>
        </is>
      </c>
      <c r="D2992" s="1" t="n">
        <v>44517</v>
      </c>
      <c r="E2992" s="1" t="n">
        <v>46323</v>
      </c>
      <c r="F2992" t="inlineStr">
        <is>
          <t>KALMAR LÄN</t>
        </is>
      </c>
      <c r="G2992" t="inlineStr">
        <is>
          <t>VIMMERBY</t>
        </is>
      </c>
      <c r="I2992" t="n">
        <v>0.5</v>
      </c>
      <c r="J2992" t="n">
        <v>0</v>
      </c>
      <c r="K2992" t="n">
        <v>0</v>
      </c>
      <c r="L2992" t="n">
        <v>0</v>
      </c>
      <c r="M2992" t="n">
        <v>0</v>
      </c>
      <c r="N2992" t="n">
        <v>0</v>
      </c>
      <c r="O2992" t="n">
        <v>0</v>
      </c>
      <c r="P2992" t="n">
        <v>0</v>
      </c>
      <c r="Q2992" t="n">
        <v>0</v>
      </c>
      <c r="R2992" t="n">
        <v>0</v>
      </c>
      <c r="S2992" t="n">
        <v>0</v>
      </c>
      <c r="T2992" t="n">
        <v>0</v>
      </c>
      <c r="U2992" t="n">
        <v>0</v>
      </c>
      <c r="V2992" s="2" t="inlineStr"/>
    </row>
    <row r="2993" ht="15" customHeight="1">
      <c r="A2993" t="inlineStr">
        <is>
          <t>A 24578-2024</t>
        </is>
      </c>
      <c r="B2993" t="inlineStr">
        <is>
          <t>avverkningsanmälan</t>
        </is>
      </c>
      <c r="C2993" t="inlineStr">
        <is>
          <t>Föryngringsavverkning</t>
        </is>
      </c>
      <c r="D2993" s="1" t="n">
        <v>45460</v>
      </c>
      <c r="E2993" s="1" t="n">
        <v>46323</v>
      </c>
      <c r="F2993" t="inlineStr">
        <is>
          <t>KALMAR LÄN</t>
        </is>
      </c>
      <c r="G2993" t="inlineStr">
        <is>
          <t>VÄSTERVIK</t>
        </is>
      </c>
      <c r="I2993" t="n">
        <v>1.2</v>
      </c>
      <c r="J2993" t="n">
        <v>0</v>
      </c>
      <c r="K2993" t="n">
        <v>0</v>
      </c>
      <c r="L2993" t="n">
        <v>0</v>
      </c>
      <c r="M2993" t="n">
        <v>0</v>
      </c>
      <c r="N2993" t="n">
        <v>0</v>
      </c>
      <c r="O2993" t="n">
        <v>0</v>
      </c>
      <c r="P2993" t="n">
        <v>0</v>
      </c>
      <c r="Q2993" t="n">
        <v>0</v>
      </c>
      <c r="R2993" t="n">
        <v>0</v>
      </c>
      <c r="S2993" t="n">
        <v>0</v>
      </c>
      <c r="T2993" t="n">
        <v>0</v>
      </c>
      <c r="U2993" t="n">
        <v>0</v>
      </c>
      <c r="V2993" s="2" t="inlineStr"/>
    </row>
    <row r="2994" ht="15" customHeight="1">
      <c r="A2994" t="inlineStr">
        <is>
          <t>A 49584-2023</t>
        </is>
      </c>
      <c r="B2994" t="inlineStr">
        <is>
          <t>avverkningsanmälan</t>
        </is>
      </c>
      <c r="C2994" t="inlineStr">
        <is>
          <t>Föryngringsavverkning</t>
        </is>
      </c>
      <c r="D2994" s="1" t="n">
        <v>45211</v>
      </c>
      <c r="E2994" s="1" t="n">
        <v>46323</v>
      </c>
      <c r="F2994" t="inlineStr">
        <is>
          <t>KALMAR LÄN</t>
        </is>
      </c>
      <c r="G2994" t="inlineStr">
        <is>
          <t>EMMABODA</t>
        </is>
      </c>
      <c r="I2994" t="n">
        <v>1.4</v>
      </c>
      <c r="J2994" t="n">
        <v>0</v>
      </c>
      <c r="K2994" t="n">
        <v>0</v>
      </c>
      <c r="L2994" t="n">
        <v>0</v>
      </c>
      <c r="M2994" t="n">
        <v>0</v>
      </c>
      <c r="N2994" t="n">
        <v>0</v>
      </c>
      <c r="O2994" t="n">
        <v>0</v>
      </c>
      <c r="P2994" t="n">
        <v>0</v>
      </c>
      <c r="Q2994" t="n">
        <v>0</v>
      </c>
      <c r="R2994" t="n">
        <v>0</v>
      </c>
      <c r="S2994" t="n">
        <v>0</v>
      </c>
      <c r="T2994" t="n">
        <v>0</v>
      </c>
      <c r="U2994" t="n">
        <v>0</v>
      </c>
      <c r="V2994" s="2" t="inlineStr"/>
    </row>
    <row r="2995" ht="15" customHeight="1">
      <c r="A2995" t="inlineStr">
        <is>
          <t>A 48887-2025</t>
        </is>
      </c>
      <c r="B2995" t="inlineStr">
        <is>
          <t>avverkningsanmälan</t>
        </is>
      </c>
      <c r="C2995" t="inlineStr">
        <is>
          <t>Föryngringsavverkning</t>
        </is>
      </c>
      <c r="D2995" s="1" t="n">
        <v>45937</v>
      </c>
      <c r="E2995" s="1" t="n">
        <v>46323</v>
      </c>
      <c r="F2995" t="inlineStr">
        <is>
          <t>KALMAR LÄN</t>
        </is>
      </c>
      <c r="G2995" t="inlineStr">
        <is>
          <t>VÄSTERVIK</t>
        </is>
      </c>
      <c r="H2995" t="inlineStr">
        <is>
          <t>Sveaskog</t>
        </is>
      </c>
      <c r="I2995" t="n">
        <v>3.7</v>
      </c>
      <c r="J2995" t="n">
        <v>0</v>
      </c>
      <c r="K2995" t="n">
        <v>0</v>
      </c>
      <c r="L2995" t="n">
        <v>0</v>
      </c>
      <c r="M2995" t="n">
        <v>0</v>
      </c>
      <c r="N2995" t="n">
        <v>0</v>
      </c>
      <c r="O2995" t="n">
        <v>0</v>
      </c>
      <c r="P2995" t="n">
        <v>0</v>
      </c>
      <c r="Q2995" t="n">
        <v>0</v>
      </c>
      <c r="R2995" t="n">
        <v>0</v>
      </c>
      <c r="S2995" t="n">
        <v>0</v>
      </c>
      <c r="T2995" t="n">
        <v>0</v>
      </c>
      <c r="U2995" t="n">
        <v>0</v>
      </c>
      <c r="V2995" s="2" t="inlineStr"/>
    </row>
    <row r="2996" ht="15" customHeight="1">
      <c r="A2996" t="inlineStr">
        <is>
          <t>A 49623-2023</t>
        </is>
      </c>
      <c r="B2996" t="inlineStr">
        <is>
          <t>avverkningsanmälan</t>
        </is>
      </c>
      <c r="C2996" t="inlineStr">
        <is>
          <t>Föryngringsavverkning</t>
        </is>
      </c>
      <c r="D2996" s="1" t="n">
        <v>45211</v>
      </c>
      <c r="E2996" s="1" t="n">
        <v>46323</v>
      </c>
      <c r="F2996" t="inlineStr">
        <is>
          <t>KALMAR LÄN</t>
        </is>
      </c>
      <c r="G2996" t="inlineStr">
        <is>
          <t>EMMABODA</t>
        </is>
      </c>
      <c r="I2996" t="n">
        <v>0.5</v>
      </c>
      <c r="J2996" t="n">
        <v>0</v>
      </c>
      <c r="K2996" t="n">
        <v>0</v>
      </c>
      <c r="L2996" t="n">
        <v>0</v>
      </c>
      <c r="M2996" t="n">
        <v>0</v>
      </c>
      <c r="N2996" t="n">
        <v>0</v>
      </c>
      <c r="O2996" t="n">
        <v>0</v>
      </c>
      <c r="P2996" t="n">
        <v>0</v>
      </c>
      <c r="Q2996" t="n">
        <v>0</v>
      </c>
      <c r="R2996" t="n">
        <v>0</v>
      </c>
      <c r="S2996" t="n">
        <v>0</v>
      </c>
      <c r="T2996" t="n">
        <v>0</v>
      </c>
      <c r="U2996" t="n">
        <v>0</v>
      </c>
      <c r="V2996" s="2" t="inlineStr"/>
    </row>
    <row r="2997" ht="15" customHeight="1">
      <c r="A2997" t="inlineStr">
        <is>
          <t>A 14726-2025</t>
        </is>
      </c>
      <c r="B2997" t="inlineStr">
        <is>
          <t>avverkningsanmälan</t>
        </is>
      </c>
      <c r="C2997" t="inlineStr">
        <is>
          <t>Föryngringsavverkning</t>
        </is>
      </c>
      <c r="D2997" s="1" t="n">
        <v>45742</v>
      </c>
      <c r="E2997" s="1" t="n">
        <v>46323</v>
      </c>
      <c r="F2997" t="inlineStr">
        <is>
          <t>KALMAR LÄN</t>
        </is>
      </c>
      <c r="G2997" t="inlineStr">
        <is>
          <t>HULTSFRED</t>
        </is>
      </c>
      <c r="I2997" t="n">
        <v>0.6</v>
      </c>
      <c r="J2997" t="n">
        <v>0</v>
      </c>
      <c r="K2997" t="n">
        <v>0</v>
      </c>
      <c r="L2997" t="n">
        <v>0</v>
      </c>
      <c r="M2997" t="n">
        <v>0</v>
      </c>
      <c r="N2997" t="n">
        <v>0</v>
      </c>
      <c r="O2997" t="n">
        <v>0</v>
      </c>
      <c r="P2997" t="n">
        <v>0</v>
      </c>
      <c r="Q2997" t="n">
        <v>0</v>
      </c>
      <c r="R2997" t="n">
        <v>0</v>
      </c>
      <c r="S2997" t="n">
        <v>0</v>
      </c>
      <c r="T2997" t="n">
        <v>0</v>
      </c>
      <c r="U2997" t="n">
        <v>0</v>
      </c>
      <c r="V2997" s="2" t="inlineStr"/>
    </row>
    <row r="2998" ht="15" customHeight="1">
      <c r="A2998" t="inlineStr">
        <is>
          <t>A 48897-2025</t>
        </is>
      </c>
      <c r="B2998" t="inlineStr">
        <is>
          <t>avverkningsanmälan</t>
        </is>
      </c>
      <c r="C2998" t="inlineStr">
        <is>
          <t>Avverkning för att bevara och utveckla /försöksver</t>
        </is>
      </c>
      <c r="D2998" s="1" t="n">
        <v>45937</v>
      </c>
      <c r="E2998" s="1" t="n">
        <v>46323</v>
      </c>
      <c r="F2998" t="inlineStr">
        <is>
          <t>KALMAR LÄN</t>
        </is>
      </c>
      <c r="G2998" t="inlineStr">
        <is>
          <t>VÄSTERVIK</t>
        </is>
      </c>
      <c r="H2998" t="inlineStr">
        <is>
          <t>Sveaskog</t>
        </is>
      </c>
      <c r="I2998" t="n">
        <v>4.9</v>
      </c>
      <c r="J2998" t="n">
        <v>0</v>
      </c>
      <c r="K2998" t="n">
        <v>0</v>
      </c>
      <c r="L2998" t="n">
        <v>0</v>
      </c>
      <c r="M2998" t="n">
        <v>0</v>
      </c>
      <c r="N2998" t="n">
        <v>0</v>
      </c>
      <c r="O2998" t="n">
        <v>0</v>
      </c>
      <c r="P2998" t="n">
        <v>0</v>
      </c>
      <c r="Q2998" t="n">
        <v>0</v>
      </c>
      <c r="R2998" t="n">
        <v>0</v>
      </c>
      <c r="S2998" t="n">
        <v>0</v>
      </c>
      <c r="T2998" t="n">
        <v>0</v>
      </c>
      <c r="U2998" t="n">
        <v>0</v>
      </c>
      <c r="V2998" s="2" t="inlineStr"/>
    </row>
    <row r="2999" ht="15" customHeight="1">
      <c r="A2999" t="inlineStr">
        <is>
          <t>A 25472-2023</t>
        </is>
      </c>
      <c r="B2999" t="inlineStr">
        <is>
          <t>avverkningsanmälan</t>
        </is>
      </c>
      <c r="C2999" t="inlineStr">
        <is>
          <t>Föryngringsavverkning</t>
        </is>
      </c>
      <c r="D2999" s="1" t="n">
        <v>45089</v>
      </c>
      <c r="E2999" s="1" t="n">
        <v>46323</v>
      </c>
      <c r="F2999" t="inlineStr">
        <is>
          <t>KALMAR LÄN</t>
        </is>
      </c>
      <c r="G2999" t="inlineStr">
        <is>
          <t>NYBRO</t>
        </is>
      </c>
      <c r="I2999" t="n">
        <v>1.6</v>
      </c>
      <c r="J2999" t="n">
        <v>0</v>
      </c>
      <c r="K2999" t="n">
        <v>0</v>
      </c>
      <c r="L2999" t="n">
        <v>0</v>
      </c>
      <c r="M2999" t="n">
        <v>0</v>
      </c>
      <c r="N2999" t="n">
        <v>0</v>
      </c>
      <c r="O2999" t="n">
        <v>0</v>
      </c>
      <c r="P2999" t="n">
        <v>0</v>
      </c>
      <c r="Q2999" t="n">
        <v>0</v>
      </c>
      <c r="R2999" t="n">
        <v>0</v>
      </c>
      <c r="S2999" t="n">
        <v>0</v>
      </c>
      <c r="T2999" t="n">
        <v>0</v>
      </c>
      <c r="U2999" t="n">
        <v>0</v>
      </c>
      <c r="V2999" s="2" t="inlineStr"/>
    </row>
    <row r="3000" ht="15" customHeight="1">
      <c r="A3000" t="inlineStr">
        <is>
          <t>A 48873-2025</t>
        </is>
      </c>
      <c r="B3000" t="inlineStr">
        <is>
          <t>avverkningsanmälan</t>
        </is>
      </c>
      <c r="C3000" t="inlineStr">
        <is>
          <t>Avverkning för att bevara och utveckla /försöksver</t>
        </is>
      </c>
      <c r="D3000" s="1" t="n">
        <v>45937</v>
      </c>
      <c r="E3000" s="1" t="n">
        <v>46323</v>
      </c>
      <c r="F3000" t="inlineStr">
        <is>
          <t>KALMAR LÄN</t>
        </is>
      </c>
      <c r="G3000" t="inlineStr">
        <is>
          <t>VÄSTERVIK</t>
        </is>
      </c>
      <c r="H3000" t="inlineStr">
        <is>
          <t>Sveaskog</t>
        </is>
      </c>
      <c r="I3000" t="n">
        <v>2.7</v>
      </c>
      <c r="J3000" t="n">
        <v>0</v>
      </c>
      <c r="K3000" t="n">
        <v>0</v>
      </c>
      <c r="L3000" t="n">
        <v>0</v>
      </c>
      <c r="M3000" t="n">
        <v>0</v>
      </c>
      <c r="N3000" t="n">
        <v>0</v>
      </c>
      <c r="O3000" t="n">
        <v>0</v>
      </c>
      <c r="P3000" t="n">
        <v>0</v>
      </c>
      <c r="Q3000" t="n">
        <v>0</v>
      </c>
      <c r="R3000" t="n">
        <v>0</v>
      </c>
      <c r="S3000" t="n">
        <v>0</v>
      </c>
      <c r="T3000" t="n">
        <v>0</v>
      </c>
      <c r="U3000" t="n">
        <v>0</v>
      </c>
      <c r="V3000" s="2" t="inlineStr"/>
    </row>
    <row r="3001" ht="15" customHeight="1">
      <c r="A3001" t="inlineStr">
        <is>
          <t>A 58476-2024</t>
        </is>
      </c>
      <c r="B3001" t="inlineStr">
        <is>
          <t>avverkningsanmälan</t>
        </is>
      </c>
      <c r="C3001" t="inlineStr">
        <is>
          <t>Föryngringsavverkning</t>
        </is>
      </c>
      <c r="D3001" s="1" t="n">
        <v>45635</v>
      </c>
      <c r="E3001" s="1" t="n">
        <v>46323</v>
      </c>
      <c r="F3001" t="inlineStr">
        <is>
          <t>KALMAR LÄN</t>
        </is>
      </c>
      <c r="G3001" t="inlineStr">
        <is>
          <t>HULTSFRED</t>
        </is>
      </c>
      <c r="I3001" t="n">
        <v>2.8</v>
      </c>
      <c r="J3001" t="n">
        <v>0</v>
      </c>
      <c r="K3001" t="n">
        <v>0</v>
      </c>
      <c r="L3001" t="n">
        <v>0</v>
      </c>
      <c r="M3001" t="n">
        <v>0</v>
      </c>
      <c r="N3001" t="n">
        <v>0</v>
      </c>
      <c r="O3001" t="n">
        <v>0</v>
      </c>
      <c r="P3001" t="n">
        <v>0</v>
      </c>
      <c r="Q3001" t="n">
        <v>0</v>
      </c>
      <c r="R3001" t="n">
        <v>0</v>
      </c>
      <c r="S3001" t="n">
        <v>0</v>
      </c>
      <c r="T3001" t="n">
        <v>0</v>
      </c>
      <c r="U3001" t="n">
        <v>0</v>
      </c>
      <c r="V3001" s="2" t="inlineStr"/>
    </row>
    <row r="3002" ht="15" customHeight="1">
      <c r="A3002" t="inlineStr">
        <is>
          <t>A 59464-2024</t>
        </is>
      </c>
      <c r="B3002" t="inlineStr">
        <is>
          <t>avverkningsanmälan</t>
        </is>
      </c>
      <c r="C3002" t="inlineStr">
        <is>
          <t>Föryngringsavverkning</t>
        </is>
      </c>
      <c r="D3002" s="1" t="n">
        <v>45638</v>
      </c>
      <c r="E3002" s="1" t="n">
        <v>46323</v>
      </c>
      <c r="F3002" t="inlineStr">
        <is>
          <t>KALMAR LÄN</t>
        </is>
      </c>
      <c r="G3002" t="inlineStr">
        <is>
          <t>HULTSFRED</t>
        </is>
      </c>
      <c r="H3002" t="inlineStr">
        <is>
          <t>Sveaskog</t>
        </is>
      </c>
      <c r="I3002" t="n">
        <v>3.4</v>
      </c>
      <c r="J3002" t="n">
        <v>0</v>
      </c>
      <c r="K3002" t="n">
        <v>0</v>
      </c>
      <c r="L3002" t="n">
        <v>0</v>
      </c>
      <c r="M3002" t="n">
        <v>0</v>
      </c>
      <c r="N3002" t="n">
        <v>0</v>
      </c>
      <c r="O3002" t="n">
        <v>0</v>
      </c>
      <c r="P3002" t="n">
        <v>0</v>
      </c>
      <c r="Q3002" t="n">
        <v>0</v>
      </c>
      <c r="R3002" t="n">
        <v>0</v>
      </c>
      <c r="S3002" t="n">
        <v>0</v>
      </c>
      <c r="T3002" t="n">
        <v>0</v>
      </c>
      <c r="U3002" t="n">
        <v>0</v>
      </c>
      <c r="V3002" s="2" t="inlineStr"/>
    </row>
    <row r="3003" ht="15" customHeight="1">
      <c r="A3003" t="inlineStr">
        <is>
          <t>A 39351-2024</t>
        </is>
      </c>
      <c r="B3003" t="inlineStr">
        <is>
          <t>avverkningsanmälan</t>
        </is>
      </c>
      <c r="C3003" t="inlineStr">
        <is>
          <t>Föryngringsavverkning</t>
        </is>
      </c>
      <c r="D3003" s="1" t="n">
        <v>45551</v>
      </c>
      <c r="E3003" s="1" t="n">
        <v>46323</v>
      </c>
      <c r="F3003" t="inlineStr">
        <is>
          <t>KALMAR LÄN</t>
        </is>
      </c>
      <c r="G3003" t="inlineStr">
        <is>
          <t>NYBRO</t>
        </is>
      </c>
      <c r="I3003" t="n">
        <v>1.6</v>
      </c>
      <c r="J3003" t="n">
        <v>0</v>
      </c>
      <c r="K3003" t="n">
        <v>0</v>
      </c>
      <c r="L3003" t="n">
        <v>0</v>
      </c>
      <c r="M3003" t="n">
        <v>0</v>
      </c>
      <c r="N3003" t="n">
        <v>0</v>
      </c>
      <c r="O3003" t="n">
        <v>0</v>
      </c>
      <c r="P3003" t="n">
        <v>0</v>
      </c>
      <c r="Q3003" t="n">
        <v>0</v>
      </c>
      <c r="R3003" t="n">
        <v>0</v>
      </c>
      <c r="S3003" t="n">
        <v>0</v>
      </c>
      <c r="T3003" t="n">
        <v>0</v>
      </c>
      <c r="U3003" t="n">
        <v>0</v>
      </c>
      <c r="V3003" s="2" t="inlineStr"/>
    </row>
    <row r="3004" ht="15" customHeight="1">
      <c r="A3004" t="inlineStr">
        <is>
          <t>A 14534-2024</t>
        </is>
      </c>
      <c r="B3004" t="inlineStr">
        <is>
          <t>avverkningsanmälan</t>
        </is>
      </c>
      <c r="C3004" t="inlineStr">
        <is>
          <t>Föryngringsavverkning</t>
        </is>
      </c>
      <c r="D3004" s="1" t="n">
        <v>45394</v>
      </c>
      <c r="E3004" s="1" t="n">
        <v>46323</v>
      </c>
      <c r="F3004" t="inlineStr">
        <is>
          <t>KALMAR LÄN</t>
        </is>
      </c>
      <c r="G3004" t="inlineStr">
        <is>
          <t>NYBRO</t>
        </is>
      </c>
      <c r="H3004" t="inlineStr">
        <is>
          <t>Kommuner</t>
        </is>
      </c>
      <c r="I3004" t="n">
        <v>1.8</v>
      </c>
      <c r="J3004" t="n">
        <v>0</v>
      </c>
      <c r="K3004" t="n">
        <v>0</v>
      </c>
      <c r="L3004" t="n">
        <v>0</v>
      </c>
      <c r="M3004" t="n">
        <v>0</v>
      </c>
      <c r="N3004" t="n">
        <v>0</v>
      </c>
      <c r="O3004" t="n">
        <v>0</v>
      </c>
      <c r="P3004" t="n">
        <v>0</v>
      </c>
      <c r="Q3004" t="n">
        <v>0</v>
      </c>
      <c r="R3004" t="n">
        <v>0</v>
      </c>
      <c r="S3004" t="n">
        <v>0</v>
      </c>
      <c r="T3004" t="n">
        <v>0</v>
      </c>
      <c r="U3004" t="n">
        <v>0</v>
      </c>
      <c r="V3004" s="2" t="inlineStr"/>
    </row>
    <row r="3005" ht="15" customHeight="1">
      <c r="A3005" t="inlineStr">
        <is>
          <t>A 49388-2025</t>
        </is>
      </c>
      <c r="B3005" t="inlineStr">
        <is>
          <t>avverkningsanmälan</t>
        </is>
      </c>
      <c r="C3005" t="inlineStr">
        <is>
          <t>Föryngringsavverkning</t>
        </is>
      </c>
      <c r="D3005" s="1" t="n">
        <v>45938</v>
      </c>
      <c r="E3005" s="1" t="n">
        <v>46323</v>
      </c>
      <c r="F3005" t="inlineStr">
        <is>
          <t>KALMAR LÄN</t>
        </is>
      </c>
      <c r="G3005" t="inlineStr">
        <is>
          <t>EMMABODA</t>
        </is>
      </c>
      <c r="I3005" t="n">
        <v>4</v>
      </c>
      <c r="J3005" t="n">
        <v>0</v>
      </c>
      <c r="K3005" t="n">
        <v>0</v>
      </c>
      <c r="L3005" t="n">
        <v>0</v>
      </c>
      <c r="M3005" t="n">
        <v>0</v>
      </c>
      <c r="N3005" t="n">
        <v>0</v>
      </c>
      <c r="O3005" t="n">
        <v>0</v>
      </c>
      <c r="P3005" t="n">
        <v>0</v>
      </c>
      <c r="Q3005" t="n">
        <v>0</v>
      </c>
      <c r="R3005" t="n">
        <v>0</v>
      </c>
      <c r="S3005" t="n">
        <v>0</v>
      </c>
      <c r="T3005" t="n">
        <v>0</v>
      </c>
      <c r="U3005" t="n">
        <v>0</v>
      </c>
      <c r="V3005" s="2" t="inlineStr"/>
    </row>
    <row r="3006" ht="15" customHeight="1">
      <c r="A3006" t="inlineStr">
        <is>
          <t>A 28978-2023</t>
        </is>
      </c>
      <c r="B3006" t="inlineStr">
        <is>
          <t>avverkningsanmälan</t>
        </is>
      </c>
      <c r="C3006" t="inlineStr">
        <is>
          <t>Föryngringsavverkning</t>
        </is>
      </c>
      <c r="D3006" s="1" t="n">
        <v>45104</v>
      </c>
      <c r="E3006" s="1" t="n">
        <v>46323</v>
      </c>
      <c r="F3006" t="inlineStr">
        <is>
          <t>KALMAR LÄN</t>
        </is>
      </c>
      <c r="G3006" t="inlineStr">
        <is>
          <t>KALMAR</t>
        </is>
      </c>
      <c r="I3006" t="n">
        <v>0.5</v>
      </c>
      <c r="J3006" t="n">
        <v>0</v>
      </c>
      <c r="K3006" t="n">
        <v>0</v>
      </c>
      <c r="L3006" t="n">
        <v>0</v>
      </c>
      <c r="M3006" t="n">
        <v>0</v>
      </c>
      <c r="N3006" t="n">
        <v>0</v>
      </c>
      <c r="O3006" t="n">
        <v>0</v>
      </c>
      <c r="P3006" t="n">
        <v>0</v>
      </c>
      <c r="Q3006" t="n">
        <v>0</v>
      </c>
      <c r="R3006" t="n">
        <v>0</v>
      </c>
      <c r="S3006" t="n">
        <v>0</v>
      </c>
      <c r="T3006" t="n">
        <v>0</v>
      </c>
      <c r="U3006" t="n">
        <v>0</v>
      </c>
      <c r="V3006" s="2" t="inlineStr"/>
    </row>
    <row r="3007" ht="15" customHeight="1">
      <c r="A3007" t="inlineStr">
        <is>
          <t>A 28985-2023</t>
        </is>
      </c>
      <c r="B3007" t="inlineStr">
        <is>
          <t>avverkningsanmälan</t>
        </is>
      </c>
      <c r="C3007" t="inlineStr">
        <is>
          <t>Föryngringsavverkning</t>
        </is>
      </c>
      <c r="D3007" s="1" t="n">
        <v>45104</v>
      </c>
      <c r="E3007" s="1" t="n">
        <v>46323</v>
      </c>
      <c r="F3007" t="inlineStr">
        <is>
          <t>KALMAR LÄN</t>
        </is>
      </c>
      <c r="G3007" t="inlineStr">
        <is>
          <t>KALMAR</t>
        </is>
      </c>
      <c r="I3007" t="n">
        <v>0.5</v>
      </c>
      <c r="J3007" t="n">
        <v>0</v>
      </c>
      <c r="K3007" t="n">
        <v>0</v>
      </c>
      <c r="L3007" t="n">
        <v>0</v>
      </c>
      <c r="M3007" t="n">
        <v>0</v>
      </c>
      <c r="N3007" t="n">
        <v>0</v>
      </c>
      <c r="O3007" t="n">
        <v>0</v>
      </c>
      <c r="P3007" t="n">
        <v>0</v>
      </c>
      <c r="Q3007" t="n">
        <v>0</v>
      </c>
      <c r="R3007" t="n">
        <v>0</v>
      </c>
      <c r="S3007" t="n">
        <v>0</v>
      </c>
      <c r="T3007" t="n">
        <v>0</v>
      </c>
      <c r="U3007" t="n">
        <v>0</v>
      </c>
      <c r="V3007" s="2" t="inlineStr"/>
    </row>
    <row r="3008" ht="15" customHeight="1">
      <c r="A3008" t="inlineStr">
        <is>
          <t>A 27705-2024</t>
        </is>
      </c>
      <c r="B3008" t="inlineStr">
        <is>
          <t>avverkningsanmälan</t>
        </is>
      </c>
      <c r="C3008" t="inlineStr">
        <is>
          <t>Föryngringsavverkning</t>
        </is>
      </c>
      <c r="D3008" s="1" t="n">
        <v>45475</v>
      </c>
      <c r="E3008" s="1" t="n">
        <v>46323</v>
      </c>
      <c r="F3008" t="inlineStr">
        <is>
          <t>KALMAR LÄN</t>
        </is>
      </c>
      <c r="G3008" t="inlineStr">
        <is>
          <t>EMMABODA</t>
        </is>
      </c>
      <c r="I3008" t="n">
        <v>0.5</v>
      </c>
      <c r="J3008" t="n">
        <v>0</v>
      </c>
      <c r="K3008" t="n">
        <v>0</v>
      </c>
      <c r="L3008" t="n">
        <v>0</v>
      </c>
      <c r="M3008" t="n">
        <v>0</v>
      </c>
      <c r="N3008" t="n">
        <v>0</v>
      </c>
      <c r="O3008" t="n">
        <v>0</v>
      </c>
      <c r="P3008" t="n">
        <v>0</v>
      </c>
      <c r="Q3008" t="n">
        <v>0</v>
      </c>
      <c r="R3008" t="n">
        <v>0</v>
      </c>
      <c r="S3008" t="n">
        <v>0</v>
      </c>
      <c r="T3008" t="n">
        <v>0</v>
      </c>
      <c r="U3008" t="n">
        <v>0</v>
      </c>
      <c r="V3008" s="2" t="inlineStr"/>
    </row>
    <row r="3009" ht="15" customHeight="1">
      <c r="A3009" t="inlineStr">
        <is>
          <t>A 30070-2023</t>
        </is>
      </c>
      <c r="B3009" t="inlineStr">
        <is>
          <t>avverkningsanmälan</t>
        </is>
      </c>
      <c r="C3009" t="inlineStr">
        <is>
          <t>Föryngringsavverkning</t>
        </is>
      </c>
      <c r="D3009" s="1" t="n">
        <v>45110</v>
      </c>
      <c r="E3009" s="1" t="n">
        <v>46323</v>
      </c>
      <c r="F3009" t="inlineStr">
        <is>
          <t>KALMAR LÄN</t>
        </is>
      </c>
      <c r="G3009" t="inlineStr">
        <is>
          <t>VIMMERBY</t>
        </is>
      </c>
      <c r="I3009" t="n">
        <v>1.6</v>
      </c>
      <c r="J3009" t="n">
        <v>0</v>
      </c>
      <c r="K3009" t="n">
        <v>0</v>
      </c>
      <c r="L3009" t="n">
        <v>0</v>
      </c>
      <c r="M3009" t="n">
        <v>0</v>
      </c>
      <c r="N3009" t="n">
        <v>0</v>
      </c>
      <c r="O3009" t="n">
        <v>0</v>
      </c>
      <c r="P3009" t="n">
        <v>0</v>
      </c>
      <c r="Q3009" t="n">
        <v>0</v>
      </c>
      <c r="R3009" t="n">
        <v>0</v>
      </c>
      <c r="S3009" t="n">
        <v>0</v>
      </c>
      <c r="T3009" t="n">
        <v>0</v>
      </c>
      <c r="U3009" t="n">
        <v>0</v>
      </c>
      <c r="V3009" s="2" t="inlineStr"/>
    </row>
    <row r="3010" ht="15" customHeight="1">
      <c r="A3010" t="inlineStr">
        <is>
          <t>A 36400-2024</t>
        </is>
      </c>
      <c r="B3010" t="inlineStr">
        <is>
          <t>avverkningsanmälan</t>
        </is>
      </c>
      <c r="C3010" t="inlineStr">
        <is>
          <t>Föryngringsavverkning</t>
        </is>
      </c>
      <c r="D3010" s="1" t="n">
        <v>45535</v>
      </c>
      <c r="E3010" s="1" t="n">
        <v>46323</v>
      </c>
      <c r="F3010" t="inlineStr">
        <is>
          <t>KALMAR LÄN</t>
        </is>
      </c>
      <c r="G3010" t="inlineStr">
        <is>
          <t>VÄSTERVIK</t>
        </is>
      </c>
      <c r="I3010" t="n">
        <v>1.7</v>
      </c>
      <c r="J3010" t="n">
        <v>0</v>
      </c>
      <c r="K3010" t="n">
        <v>0</v>
      </c>
      <c r="L3010" t="n">
        <v>0</v>
      </c>
      <c r="M3010" t="n">
        <v>0</v>
      </c>
      <c r="N3010" t="n">
        <v>0</v>
      </c>
      <c r="O3010" t="n">
        <v>0</v>
      </c>
      <c r="P3010" t="n">
        <v>0</v>
      </c>
      <c r="Q3010" t="n">
        <v>0</v>
      </c>
      <c r="R3010" t="n">
        <v>0</v>
      </c>
      <c r="S3010" t="n">
        <v>0</v>
      </c>
      <c r="T3010" t="n">
        <v>0</v>
      </c>
      <c r="U3010" t="n">
        <v>0</v>
      </c>
      <c r="V3010" s="2" t="inlineStr"/>
    </row>
    <row r="3011" ht="15" customHeight="1">
      <c r="A3011" t="inlineStr">
        <is>
          <t>A 11429-2022</t>
        </is>
      </c>
      <c r="B3011" t="inlineStr">
        <is>
          <t>avverkningsanmälan</t>
        </is>
      </c>
      <c r="C3011" t="inlineStr">
        <is>
          <t>Föryngringsavverkning</t>
        </is>
      </c>
      <c r="D3011" s="1" t="n">
        <v>44630</v>
      </c>
      <c r="E3011" s="1" t="n">
        <v>46323</v>
      </c>
      <c r="F3011" t="inlineStr">
        <is>
          <t>KALMAR LÄN</t>
        </is>
      </c>
      <c r="G3011" t="inlineStr">
        <is>
          <t>VIMMERBY</t>
        </is>
      </c>
      <c r="I3011" t="n">
        <v>2.6</v>
      </c>
      <c r="J3011" t="n">
        <v>0</v>
      </c>
      <c r="K3011" t="n">
        <v>0</v>
      </c>
      <c r="L3011" t="n">
        <v>0</v>
      </c>
      <c r="M3011" t="n">
        <v>0</v>
      </c>
      <c r="N3011" t="n">
        <v>0</v>
      </c>
      <c r="O3011" t="n">
        <v>0</v>
      </c>
      <c r="P3011" t="n">
        <v>0</v>
      </c>
      <c r="Q3011" t="n">
        <v>0</v>
      </c>
      <c r="R3011" t="n">
        <v>0</v>
      </c>
      <c r="S3011" t="n">
        <v>0</v>
      </c>
      <c r="T3011" t="n">
        <v>0</v>
      </c>
      <c r="U3011" t="n">
        <v>0</v>
      </c>
      <c r="V3011" s="2" t="inlineStr"/>
    </row>
    <row r="3012" ht="15" customHeight="1">
      <c r="A3012" t="inlineStr">
        <is>
          <t>A 3759-2024</t>
        </is>
      </c>
      <c r="B3012" t="inlineStr">
        <is>
          <t>avverkningsanmälan</t>
        </is>
      </c>
      <c r="C3012" t="inlineStr">
        <is>
          <t>Föryngringsavverkning</t>
        </is>
      </c>
      <c r="D3012" s="1" t="n">
        <v>45321</v>
      </c>
      <c r="E3012" s="1" t="n">
        <v>46323</v>
      </c>
      <c r="F3012" t="inlineStr">
        <is>
          <t>KALMAR LÄN</t>
        </is>
      </c>
      <c r="G3012" t="inlineStr">
        <is>
          <t>MÖNSTERÅS</t>
        </is>
      </c>
      <c r="I3012" t="n">
        <v>1.4</v>
      </c>
      <c r="J3012" t="n">
        <v>0</v>
      </c>
      <c r="K3012" t="n">
        <v>0</v>
      </c>
      <c r="L3012" t="n">
        <v>0</v>
      </c>
      <c r="M3012" t="n">
        <v>0</v>
      </c>
      <c r="N3012" t="n">
        <v>0</v>
      </c>
      <c r="O3012" t="n">
        <v>0</v>
      </c>
      <c r="P3012" t="n">
        <v>0</v>
      </c>
      <c r="Q3012" t="n">
        <v>0</v>
      </c>
      <c r="R3012" t="n">
        <v>0</v>
      </c>
      <c r="S3012" t="n">
        <v>0</v>
      </c>
      <c r="T3012" t="n">
        <v>0</v>
      </c>
      <c r="U3012" t="n">
        <v>0</v>
      </c>
      <c r="V3012" s="2" t="inlineStr"/>
    </row>
    <row r="3013" ht="15" customHeight="1">
      <c r="A3013" t="inlineStr">
        <is>
          <t>A 3776-2024</t>
        </is>
      </c>
      <c r="B3013" t="inlineStr">
        <is>
          <t>avverkningsanmälan</t>
        </is>
      </c>
      <c r="C3013" t="inlineStr">
        <is>
          <t>Föryngringsavverkning</t>
        </is>
      </c>
      <c r="D3013" s="1" t="n">
        <v>45321</v>
      </c>
      <c r="E3013" s="1" t="n">
        <v>46323</v>
      </c>
      <c r="F3013" t="inlineStr">
        <is>
          <t>KALMAR LÄN</t>
        </is>
      </c>
      <c r="G3013" t="inlineStr">
        <is>
          <t>VÄSTERVIK</t>
        </is>
      </c>
      <c r="I3013" t="n">
        <v>4.8</v>
      </c>
      <c r="J3013" t="n">
        <v>0</v>
      </c>
      <c r="K3013" t="n">
        <v>0</v>
      </c>
      <c r="L3013" t="n">
        <v>0</v>
      </c>
      <c r="M3013" t="n">
        <v>0</v>
      </c>
      <c r="N3013" t="n">
        <v>0</v>
      </c>
      <c r="O3013" t="n">
        <v>0</v>
      </c>
      <c r="P3013" t="n">
        <v>0</v>
      </c>
      <c r="Q3013" t="n">
        <v>0</v>
      </c>
      <c r="R3013" t="n">
        <v>0</v>
      </c>
      <c r="S3013" t="n">
        <v>0</v>
      </c>
      <c r="T3013" t="n">
        <v>0</v>
      </c>
      <c r="U3013" t="n">
        <v>0</v>
      </c>
      <c r="V3013" s="2" t="inlineStr"/>
    </row>
    <row r="3014" ht="15" customHeight="1">
      <c r="A3014" t="inlineStr">
        <is>
          <t>A 53976-2022</t>
        </is>
      </c>
      <c r="B3014" t="inlineStr">
        <is>
          <t>avverkningsanmälan</t>
        </is>
      </c>
      <c r="C3014" t="inlineStr">
        <is>
          <t>Föryngringsavverkning</t>
        </is>
      </c>
      <c r="D3014" s="1" t="n">
        <v>44881</v>
      </c>
      <c r="E3014" s="1" t="n">
        <v>46323</v>
      </c>
      <c r="F3014" t="inlineStr">
        <is>
          <t>KALMAR LÄN</t>
        </is>
      </c>
      <c r="G3014" t="inlineStr">
        <is>
          <t>TORSÅS</t>
        </is>
      </c>
      <c r="I3014" t="n">
        <v>1.6</v>
      </c>
      <c r="J3014" t="n">
        <v>0</v>
      </c>
      <c r="K3014" t="n">
        <v>0</v>
      </c>
      <c r="L3014" t="n">
        <v>0</v>
      </c>
      <c r="M3014" t="n">
        <v>0</v>
      </c>
      <c r="N3014" t="n">
        <v>0</v>
      </c>
      <c r="O3014" t="n">
        <v>0</v>
      </c>
      <c r="P3014" t="n">
        <v>0</v>
      </c>
      <c r="Q3014" t="n">
        <v>0</v>
      </c>
      <c r="R3014" t="n">
        <v>0</v>
      </c>
      <c r="S3014" t="n">
        <v>0</v>
      </c>
      <c r="T3014" t="n">
        <v>0</v>
      </c>
      <c r="U3014" t="n">
        <v>0</v>
      </c>
      <c r="V3014" s="2" t="inlineStr"/>
    </row>
    <row r="3015" ht="15" customHeight="1">
      <c r="A3015" t="inlineStr">
        <is>
          <t>A 21569-2025</t>
        </is>
      </c>
      <c r="B3015" t="inlineStr">
        <is>
          <t>avverkningsanmälan</t>
        </is>
      </c>
      <c r="C3015" t="inlineStr">
        <is>
          <t>Föryngringsavverkning</t>
        </is>
      </c>
      <c r="D3015" s="1" t="n">
        <v>45782</v>
      </c>
      <c r="E3015" s="1" t="n">
        <v>46323</v>
      </c>
      <c r="F3015" t="inlineStr">
        <is>
          <t>KALMAR LÄN</t>
        </is>
      </c>
      <c r="G3015" t="inlineStr">
        <is>
          <t>HÖGSBY</t>
        </is>
      </c>
      <c r="I3015" t="n">
        <v>0.8</v>
      </c>
      <c r="J3015" t="n">
        <v>0</v>
      </c>
      <c r="K3015" t="n">
        <v>0</v>
      </c>
      <c r="L3015" t="n">
        <v>0</v>
      </c>
      <c r="M3015" t="n">
        <v>0</v>
      </c>
      <c r="N3015" t="n">
        <v>0</v>
      </c>
      <c r="O3015" t="n">
        <v>0</v>
      </c>
      <c r="P3015" t="n">
        <v>0</v>
      </c>
      <c r="Q3015" t="n">
        <v>0</v>
      </c>
      <c r="R3015" t="n">
        <v>0</v>
      </c>
      <c r="S3015" t="n">
        <v>0</v>
      </c>
      <c r="T3015" t="n">
        <v>0</v>
      </c>
      <c r="U3015" t="n">
        <v>0</v>
      </c>
      <c r="V3015" s="2" t="inlineStr"/>
    </row>
    <row r="3016" ht="15" customHeight="1">
      <c r="A3016" t="inlineStr">
        <is>
          <t>A 26433-2023</t>
        </is>
      </c>
      <c r="B3016" t="inlineStr">
        <is>
          <t>avverkningsanmälan</t>
        </is>
      </c>
      <c r="C3016" t="inlineStr">
        <is>
          <t>Föryngringsavverkning</t>
        </is>
      </c>
      <c r="D3016" s="1" t="n">
        <v>45092</v>
      </c>
      <c r="E3016" s="1" t="n">
        <v>46323</v>
      </c>
      <c r="F3016" t="inlineStr">
        <is>
          <t>KALMAR LÄN</t>
        </is>
      </c>
      <c r="G3016" t="inlineStr">
        <is>
          <t>OSKARSHAMN</t>
        </is>
      </c>
      <c r="I3016" t="n">
        <v>4</v>
      </c>
      <c r="J3016" t="n">
        <v>0</v>
      </c>
      <c r="K3016" t="n">
        <v>0</v>
      </c>
      <c r="L3016" t="n">
        <v>0</v>
      </c>
      <c r="M3016" t="n">
        <v>0</v>
      </c>
      <c r="N3016" t="n">
        <v>0</v>
      </c>
      <c r="O3016" t="n">
        <v>0</v>
      </c>
      <c r="P3016" t="n">
        <v>0</v>
      </c>
      <c r="Q3016" t="n">
        <v>0</v>
      </c>
      <c r="R3016" t="n">
        <v>0</v>
      </c>
      <c r="S3016" t="n">
        <v>0</v>
      </c>
      <c r="T3016" t="n">
        <v>0</v>
      </c>
      <c r="U3016" t="n">
        <v>0</v>
      </c>
      <c r="V3016" s="2" t="inlineStr"/>
    </row>
    <row r="3017" ht="15" customHeight="1">
      <c r="A3017" t="inlineStr">
        <is>
          <t>A 56582-2022</t>
        </is>
      </c>
      <c r="B3017" t="inlineStr">
        <is>
          <t>avverkningsanmälan</t>
        </is>
      </c>
      <c r="C3017" t="inlineStr">
        <is>
          <t>Föryngringsavverkning</t>
        </is>
      </c>
      <c r="D3017" s="1" t="n">
        <v>44893</v>
      </c>
      <c r="E3017" s="1" t="n">
        <v>46323</v>
      </c>
      <c r="F3017" t="inlineStr">
        <is>
          <t>KALMAR LÄN</t>
        </is>
      </c>
      <c r="G3017" t="inlineStr">
        <is>
          <t>VIMMERBY</t>
        </is>
      </c>
      <c r="I3017" t="n">
        <v>2.2</v>
      </c>
      <c r="J3017" t="n">
        <v>0</v>
      </c>
      <c r="K3017" t="n">
        <v>0</v>
      </c>
      <c r="L3017" t="n">
        <v>0</v>
      </c>
      <c r="M3017" t="n">
        <v>0</v>
      </c>
      <c r="N3017" t="n">
        <v>0</v>
      </c>
      <c r="O3017" t="n">
        <v>0</v>
      </c>
      <c r="P3017" t="n">
        <v>0</v>
      </c>
      <c r="Q3017" t="n">
        <v>0</v>
      </c>
      <c r="R3017" t="n">
        <v>0</v>
      </c>
      <c r="S3017" t="n">
        <v>0</v>
      </c>
      <c r="T3017" t="n">
        <v>0</v>
      </c>
      <c r="U3017" t="n">
        <v>0</v>
      </c>
      <c r="V3017" s="2" t="inlineStr"/>
    </row>
    <row r="3018" ht="15" customHeight="1">
      <c r="A3018" t="inlineStr">
        <is>
          <t>A 19333-2023</t>
        </is>
      </c>
      <c r="B3018" t="inlineStr">
        <is>
          <t>avverkningsanmälan</t>
        </is>
      </c>
      <c r="C3018" t="inlineStr">
        <is>
          <t>Föryngringsavverkning</t>
        </is>
      </c>
      <c r="D3018" s="1" t="n">
        <v>45049</v>
      </c>
      <c r="E3018" s="1" t="n">
        <v>46323</v>
      </c>
      <c r="F3018" t="inlineStr">
        <is>
          <t>KALMAR LÄN</t>
        </is>
      </c>
      <c r="G3018" t="inlineStr">
        <is>
          <t>VÄSTERVIK</t>
        </is>
      </c>
      <c r="I3018" t="n">
        <v>0.5</v>
      </c>
      <c r="J3018" t="n">
        <v>0</v>
      </c>
      <c r="K3018" t="n">
        <v>0</v>
      </c>
      <c r="L3018" t="n">
        <v>0</v>
      </c>
      <c r="M3018" t="n">
        <v>0</v>
      </c>
      <c r="N3018" t="n">
        <v>0</v>
      </c>
      <c r="O3018" t="n">
        <v>0</v>
      </c>
      <c r="P3018" t="n">
        <v>0</v>
      </c>
      <c r="Q3018" t="n">
        <v>0</v>
      </c>
      <c r="R3018" t="n">
        <v>0</v>
      </c>
      <c r="S3018" t="n">
        <v>0</v>
      </c>
      <c r="T3018" t="n">
        <v>0</v>
      </c>
      <c r="U3018" t="n">
        <v>0</v>
      </c>
      <c r="V3018" s="2" t="inlineStr"/>
    </row>
    <row r="3019" ht="15" customHeight="1">
      <c r="A3019" t="inlineStr">
        <is>
          <t>A 15097-2023</t>
        </is>
      </c>
      <c r="B3019" t="inlineStr">
        <is>
          <t>avverkningsanmälan</t>
        </is>
      </c>
      <c r="C3019" t="inlineStr">
        <is>
          <t>Föryngringsavverkning</t>
        </is>
      </c>
      <c r="D3019" s="1" t="n">
        <v>45016</v>
      </c>
      <c r="E3019" s="1" t="n">
        <v>46323</v>
      </c>
      <c r="F3019" t="inlineStr">
        <is>
          <t>KALMAR LÄN</t>
        </is>
      </c>
      <c r="G3019" t="inlineStr">
        <is>
          <t>VÄSTERVIK</t>
        </is>
      </c>
      <c r="I3019" t="n">
        <v>5.9</v>
      </c>
      <c r="J3019" t="n">
        <v>0</v>
      </c>
      <c r="K3019" t="n">
        <v>0</v>
      </c>
      <c r="L3019" t="n">
        <v>0</v>
      </c>
      <c r="M3019" t="n">
        <v>0</v>
      </c>
      <c r="N3019" t="n">
        <v>0</v>
      </c>
      <c r="O3019" t="n">
        <v>0</v>
      </c>
      <c r="P3019" t="n">
        <v>0</v>
      </c>
      <c r="Q3019" t="n">
        <v>0</v>
      </c>
      <c r="R3019" t="n">
        <v>0</v>
      </c>
      <c r="S3019" t="n">
        <v>0</v>
      </c>
      <c r="T3019" t="n">
        <v>0</v>
      </c>
      <c r="U3019" t="n">
        <v>0</v>
      </c>
      <c r="V3019" s="2" t="inlineStr"/>
    </row>
    <row r="3020" ht="15" customHeight="1">
      <c r="A3020" t="inlineStr">
        <is>
          <t>A 49294-2025</t>
        </is>
      </c>
      <c r="B3020" t="inlineStr">
        <is>
          <t>avverkningsanmälan</t>
        </is>
      </c>
      <c r="C3020" t="inlineStr">
        <is>
          <t>Föryngringsavverkning</t>
        </is>
      </c>
      <c r="D3020" s="1" t="n">
        <v>45938</v>
      </c>
      <c r="E3020" s="1" t="n">
        <v>46323</v>
      </c>
      <c r="F3020" t="inlineStr">
        <is>
          <t>KALMAR LÄN</t>
        </is>
      </c>
      <c r="G3020" t="inlineStr">
        <is>
          <t>EMMABODA</t>
        </is>
      </c>
      <c r="I3020" t="n">
        <v>7</v>
      </c>
      <c r="J3020" t="n">
        <v>0</v>
      </c>
      <c r="K3020" t="n">
        <v>0</v>
      </c>
      <c r="L3020" t="n">
        <v>0</v>
      </c>
      <c r="M3020" t="n">
        <v>0</v>
      </c>
      <c r="N3020" t="n">
        <v>0</v>
      </c>
      <c r="O3020" t="n">
        <v>0</v>
      </c>
      <c r="P3020" t="n">
        <v>0</v>
      </c>
      <c r="Q3020" t="n">
        <v>0</v>
      </c>
      <c r="R3020" t="n">
        <v>0</v>
      </c>
      <c r="S3020" t="n">
        <v>0</v>
      </c>
      <c r="T3020" t="n">
        <v>0</v>
      </c>
      <c r="U3020" t="n">
        <v>0</v>
      </c>
      <c r="V3020" s="2" t="inlineStr"/>
    </row>
    <row r="3021" ht="15" customHeight="1">
      <c r="A3021" t="inlineStr">
        <is>
          <t>A 10654-2024</t>
        </is>
      </c>
      <c r="B3021" t="inlineStr">
        <is>
          <t>avverkningsanmälan</t>
        </is>
      </c>
      <c r="C3021" t="inlineStr">
        <is>
          <t>Föryngringsavverkning</t>
        </is>
      </c>
      <c r="D3021" s="1" t="n">
        <v>45368</v>
      </c>
      <c r="E3021" s="1" t="n">
        <v>46323</v>
      </c>
      <c r="F3021" t="inlineStr">
        <is>
          <t>KALMAR LÄN</t>
        </is>
      </c>
      <c r="G3021" t="inlineStr">
        <is>
          <t>NYBRO</t>
        </is>
      </c>
      <c r="I3021" t="n">
        <v>2.6</v>
      </c>
      <c r="J3021" t="n">
        <v>0</v>
      </c>
      <c r="K3021" t="n">
        <v>0</v>
      </c>
      <c r="L3021" t="n">
        <v>0</v>
      </c>
      <c r="M3021" t="n">
        <v>0</v>
      </c>
      <c r="N3021" t="n">
        <v>0</v>
      </c>
      <c r="O3021" t="n">
        <v>0</v>
      </c>
      <c r="P3021" t="n">
        <v>0</v>
      </c>
      <c r="Q3021" t="n">
        <v>0</v>
      </c>
      <c r="R3021" t="n">
        <v>0</v>
      </c>
      <c r="S3021" t="n">
        <v>0</v>
      </c>
      <c r="T3021" t="n">
        <v>0</v>
      </c>
      <c r="U3021" t="n">
        <v>0</v>
      </c>
      <c r="V3021" s="2" t="inlineStr"/>
    </row>
    <row r="3022" ht="15" customHeight="1">
      <c r="A3022" t="inlineStr">
        <is>
          <t>A 49285-2025</t>
        </is>
      </c>
      <c r="B3022" t="inlineStr">
        <is>
          <t>avverkningsanmälan</t>
        </is>
      </c>
      <c r="C3022" t="inlineStr">
        <is>
          <t>Föryngringsavverkning</t>
        </is>
      </c>
      <c r="D3022" s="1" t="n">
        <v>45938</v>
      </c>
      <c r="E3022" s="1" t="n">
        <v>46323</v>
      </c>
      <c r="F3022" t="inlineStr">
        <is>
          <t>KALMAR LÄN</t>
        </is>
      </c>
      <c r="G3022" t="inlineStr">
        <is>
          <t>EMMABODA</t>
        </is>
      </c>
      <c r="I3022" t="n">
        <v>0.4</v>
      </c>
      <c r="J3022" t="n">
        <v>0</v>
      </c>
      <c r="K3022" t="n">
        <v>0</v>
      </c>
      <c r="L3022" t="n">
        <v>0</v>
      </c>
      <c r="M3022" t="n">
        <v>0</v>
      </c>
      <c r="N3022" t="n">
        <v>0</v>
      </c>
      <c r="O3022" t="n">
        <v>0</v>
      </c>
      <c r="P3022" t="n">
        <v>0</v>
      </c>
      <c r="Q3022" t="n">
        <v>0</v>
      </c>
      <c r="R3022" t="n">
        <v>0</v>
      </c>
      <c r="S3022" t="n">
        <v>0</v>
      </c>
      <c r="T3022" t="n">
        <v>0</v>
      </c>
      <c r="U3022" t="n">
        <v>0</v>
      </c>
      <c r="V3022" s="2" t="inlineStr"/>
    </row>
    <row r="3023" ht="15" customHeight="1">
      <c r="A3023" t="inlineStr">
        <is>
          <t>A 10721-2024</t>
        </is>
      </c>
      <c r="B3023" t="inlineStr">
        <is>
          <t>avverkningsanmälan</t>
        </is>
      </c>
      <c r="C3023" t="inlineStr">
        <is>
          <t>Föryngringsavverkning</t>
        </is>
      </c>
      <c r="D3023" s="1" t="n">
        <v>45369</v>
      </c>
      <c r="E3023" s="1" t="n">
        <v>46323</v>
      </c>
      <c r="F3023" t="inlineStr">
        <is>
          <t>KALMAR LÄN</t>
        </is>
      </c>
      <c r="G3023" t="inlineStr">
        <is>
          <t>OSKARSHAMN</t>
        </is>
      </c>
      <c r="I3023" t="n">
        <v>1.2</v>
      </c>
      <c r="J3023" t="n">
        <v>0</v>
      </c>
      <c r="K3023" t="n">
        <v>0</v>
      </c>
      <c r="L3023" t="n">
        <v>0</v>
      </c>
      <c r="M3023" t="n">
        <v>0</v>
      </c>
      <c r="N3023" t="n">
        <v>0</v>
      </c>
      <c r="O3023" t="n">
        <v>0</v>
      </c>
      <c r="P3023" t="n">
        <v>0</v>
      </c>
      <c r="Q3023" t="n">
        <v>0</v>
      </c>
      <c r="R3023" t="n">
        <v>0</v>
      </c>
      <c r="S3023" t="n">
        <v>0</v>
      </c>
      <c r="T3023" t="n">
        <v>0</v>
      </c>
      <c r="U3023" t="n">
        <v>0</v>
      </c>
      <c r="V3023" s="2" t="inlineStr"/>
    </row>
    <row r="3024" ht="15" customHeight="1">
      <c r="A3024" t="inlineStr">
        <is>
          <t>A 10724-2024</t>
        </is>
      </c>
      <c r="B3024" t="inlineStr">
        <is>
          <t>avverkningsanmälan</t>
        </is>
      </c>
      <c r="C3024" t="inlineStr">
        <is>
          <t>Föryngringsavverkning</t>
        </is>
      </c>
      <c r="D3024" s="1" t="n">
        <v>45369</v>
      </c>
      <c r="E3024" s="1" t="n">
        <v>46323</v>
      </c>
      <c r="F3024" t="inlineStr">
        <is>
          <t>KALMAR LÄN</t>
        </is>
      </c>
      <c r="G3024" t="inlineStr">
        <is>
          <t>OSKARSHAMN</t>
        </is>
      </c>
      <c r="I3024" t="n">
        <v>0.7</v>
      </c>
      <c r="J3024" t="n">
        <v>0</v>
      </c>
      <c r="K3024" t="n">
        <v>0</v>
      </c>
      <c r="L3024" t="n">
        <v>0</v>
      </c>
      <c r="M3024" t="n">
        <v>0</v>
      </c>
      <c r="N3024" t="n">
        <v>0</v>
      </c>
      <c r="O3024" t="n">
        <v>0</v>
      </c>
      <c r="P3024" t="n">
        <v>0</v>
      </c>
      <c r="Q3024" t="n">
        <v>0</v>
      </c>
      <c r="R3024" t="n">
        <v>0</v>
      </c>
      <c r="S3024" t="n">
        <v>0</v>
      </c>
      <c r="T3024" t="n">
        <v>0</v>
      </c>
      <c r="U3024" t="n">
        <v>0</v>
      </c>
      <c r="V3024" s="2" t="inlineStr"/>
    </row>
    <row r="3025" ht="15" customHeight="1">
      <c r="A3025" t="inlineStr">
        <is>
          <t>A 10737-2024</t>
        </is>
      </c>
      <c r="B3025" t="inlineStr">
        <is>
          <t>avverkningsanmälan</t>
        </is>
      </c>
      <c r="C3025" t="inlineStr">
        <is>
          <t>Föryngringsavverkning</t>
        </is>
      </c>
      <c r="D3025" s="1" t="n">
        <v>45369</v>
      </c>
      <c r="E3025" s="1" t="n">
        <v>46323</v>
      </c>
      <c r="F3025" t="inlineStr">
        <is>
          <t>KALMAR LÄN</t>
        </is>
      </c>
      <c r="G3025" t="inlineStr">
        <is>
          <t>NYBRO</t>
        </is>
      </c>
      <c r="I3025" t="n">
        <v>1.3</v>
      </c>
      <c r="J3025" t="n">
        <v>0</v>
      </c>
      <c r="K3025" t="n">
        <v>0</v>
      </c>
      <c r="L3025" t="n">
        <v>0</v>
      </c>
      <c r="M3025" t="n">
        <v>0</v>
      </c>
      <c r="N3025" t="n">
        <v>0</v>
      </c>
      <c r="O3025" t="n">
        <v>0</v>
      </c>
      <c r="P3025" t="n">
        <v>0</v>
      </c>
      <c r="Q3025" t="n">
        <v>0</v>
      </c>
      <c r="R3025" t="n">
        <v>0</v>
      </c>
      <c r="S3025" t="n">
        <v>0</v>
      </c>
      <c r="T3025" t="n">
        <v>0</v>
      </c>
      <c r="U3025" t="n">
        <v>0</v>
      </c>
      <c r="V3025" s="2" t="inlineStr"/>
    </row>
    <row r="3026" ht="15" customHeight="1">
      <c r="A3026" t="inlineStr">
        <is>
          <t>A 60710-2022</t>
        </is>
      </c>
      <c r="B3026" t="inlineStr">
        <is>
          <t>avverkningsanmälan</t>
        </is>
      </c>
      <c r="C3026" t="inlineStr">
        <is>
          <t>Föryngringsavverkning</t>
        </is>
      </c>
      <c r="D3026" s="1" t="n">
        <v>44912</v>
      </c>
      <c r="E3026" s="1" t="n">
        <v>46323</v>
      </c>
      <c r="F3026" t="inlineStr">
        <is>
          <t>KALMAR LÄN</t>
        </is>
      </c>
      <c r="G3026" t="inlineStr">
        <is>
          <t>VÄSTERVIK</t>
        </is>
      </c>
      <c r="H3026" t="inlineStr">
        <is>
          <t>Övriga Aktiebolag</t>
        </is>
      </c>
      <c r="I3026" t="n">
        <v>0.6</v>
      </c>
      <c r="J3026" t="n">
        <v>0</v>
      </c>
      <c r="K3026" t="n">
        <v>0</v>
      </c>
      <c r="L3026" t="n">
        <v>0</v>
      </c>
      <c r="M3026" t="n">
        <v>0</v>
      </c>
      <c r="N3026" t="n">
        <v>0</v>
      </c>
      <c r="O3026" t="n">
        <v>0</v>
      </c>
      <c r="P3026" t="n">
        <v>0</v>
      </c>
      <c r="Q3026" t="n">
        <v>0</v>
      </c>
      <c r="R3026" t="n">
        <v>0</v>
      </c>
      <c r="S3026" t="n">
        <v>0</v>
      </c>
      <c r="T3026" t="n">
        <v>0</v>
      </c>
      <c r="U3026" t="n">
        <v>0</v>
      </c>
      <c r="V3026" s="2" t="inlineStr"/>
    </row>
    <row r="3027" ht="15" customHeight="1">
      <c r="A3027" t="inlineStr">
        <is>
          <t>A 60713-2022</t>
        </is>
      </c>
      <c r="B3027" t="inlineStr">
        <is>
          <t>avverkningsanmälan</t>
        </is>
      </c>
      <c r="C3027" t="inlineStr">
        <is>
          <t>Föryngringsavverkning</t>
        </is>
      </c>
      <c r="D3027" s="1" t="n">
        <v>44912</v>
      </c>
      <c r="E3027" s="1" t="n">
        <v>46323</v>
      </c>
      <c r="F3027" t="inlineStr">
        <is>
          <t>KALMAR LÄN</t>
        </is>
      </c>
      <c r="G3027" t="inlineStr">
        <is>
          <t>VÄSTERVIK</t>
        </is>
      </c>
      <c r="H3027" t="inlineStr">
        <is>
          <t>Övriga Aktiebolag</t>
        </is>
      </c>
      <c r="I3027" t="n">
        <v>2.6</v>
      </c>
      <c r="J3027" t="n">
        <v>0</v>
      </c>
      <c r="K3027" t="n">
        <v>0</v>
      </c>
      <c r="L3027" t="n">
        <v>0</v>
      </c>
      <c r="M3027" t="n">
        <v>0</v>
      </c>
      <c r="N3027" t="n">
        <v>0</v>
      </c>
      <c r="O3027" t="n">
        <v>0</v>
      </c>
      <c r="P3027" t="n">
        <v>0</v>
      </c>
      <c r="Q3027" t="n">
        <v>0</v>
      </c>
      <c r="R3027" t="n">
        <v>0</v>
      </c>
      <c r="S3027" t="n">
        <v>0</v>
      </c>
      <c r="T3027" t="n">
        <v>0</v>
      </c>
      <c r="U3027" t="n">
        <v>0</v>
      </c>
      <c r="V3027" s="2" t="inlineStr"/>
    </row>
    <row r="3028" ht="15" customHeight="1">
      <c r="A3028" t="inlineStr">
        <is>
          <t>A 64475-2023</t>
        </is>
      </c>
      <c r="B3028" t="inlineStr">
        <is>
          <t>avverkningsanmälan</t>
        </is>
      </c>
      <c r="C3028" t="inlineStr">
        <is>
          <t>Föryngringsavverkning</t>
        </is>
      </c>
      <c r="D3028" s="1" t="n">
        <v>45280</v>
      </c>
      <c r="E3028" s="1" t="n">
        <v>46323</v>
      </c>
      <c r="F3028" t="inlineStr">
        <is>
          <t>KALMAR LÄN</t>
        </is>
      </c>
      <c r="G3028" t="inlineStr">
        <is>
          <t>OSKARSHAMN</t>
        </is>
      </c>
      <c r="I3028" t="n">
        <v>3.5</v>
      </c>
      <c r="J3028" t="n">
        <v>0</v>
      </c>
      <c r="K3028" t="n">
        <v>0</v>
      </c>
      <c r="L3028" t="n">
        <v>0</v>
      </c>
      <c r="M3028" t="n">
        <v>0</v>
      </c>
      <c r="N3028" t="n">
        <v>0</v>
      </c>
      <c r="O3028" t="n">
        <v>0</v>
      </c>
      <c r="P3028" t="n">
        <v>0</v>
      </c>
      <c r="Q3028" t="n">
        <v>0</v>
      </c>
      <c r="R3028" t="n">
        <v>0</v>
      </c>
      <c r="S3028" t="n">
        <v>0</v>
      </c>
      <c r="T3028" t="n">
        <v>0</v>
      </c>
      <c r="U3028" t="n">
        <v>0</v>
      </c>
      <c r="V3028" s="2" t="inlineStr"/>
    </row>
    <row r="3029" ht="15" customHeight="1">
      <c r="A3029" t="inlineStr">
        <is>
          <t>A 57479-2022</t>
        </is>
      </c>
      <c r="B3029" t="inlineStr">
        <is>
          <t>avverkningsanmälan</t>
        </is>
      </c>
      <c r="C3029" t="inlineStr">
        <is>
          <t>Föryngringsavverkning</t>
        </is>
      </c>
      <c r="D3029" s="1" t="n">
        <v>44896</v>
      </c>
      <c r="E3029" s="1" t="n">
        <v>46323</v>
      </c>
      <c r="F3029" t="inlineStr">
        <is>
          <t>KALMAR LÄN</t>
        </is>
      </c>
      <c r="G3029" t="inlineStr">
        <is>
          <t>HULTSFRED</t>
        </is>
      </c>
      <c r="I3029" t="n">
        <v>6</v>
      </c>
      <c r="J3029" t="n">
        <v>0</v>
      </c>
      <c r="K3029" t="n">
        <v>0</v>
      </c>
      <c r="L3029" t="n">
        <v>0</v>
      </c>
      <c r="M3029" t="n">
        <v>0</v>
      </c>
      <c r="N3029" t="n">
        <v>0</v>
      </c>
      <c r="O3029" t="n">
        <v>0</v>
      </c>
      <c r="P3029" t="n">
        <v>0</v>
      </c>
      <c r="Q3029" t="n">
        <v>0</v>
      </c>
      <c r="R3029" t="n">
        <v>0</v>
      </c>
      <c r="S3029" t="n">
        <v>0</v>
      </c>
      <c r="T3029" t="n">
        <v>0</v>
      </c>
      <c r="U3029" t="n">
        <v>0</v>
      </c>
      <c r="V3029" s="2" t="inlineStr"/>
    </row>
    <row r="3030" ht="15" customHeight="1">
      <c r="A3030" t="inlineStr">
        <is>
          <t>A 49338-2025</t>
        </is>
      </c>
      <c r="B3030" t="inlineStr">
        <is>
          <t>avverkningsanmälan</t>
        </is>
      </c>
      <c r="C3030" t="inlineStr">
        <is>
          <t>Avverkning för att bevara och utveckla /försöksver</t>
        </is>
      </c>
      <c r="D3030" s="1" t="n">
        <v>45938</v>
      </c>
      <c r="E3030" s="1" t="n">
        <v>46323</v>
      </c>
      <c r="F3030" t="inlineStr">
        <is>
          <t>KALMAR LÄN</t>
        </is>
      </c>
      <c r="G3030" t="inlineStr">
        <is>
          <t>NYBRO</t>
        </is>
      </c>
      <c r="I3030" t="n">
        <v>3.5</v>
      </c>
      <c r="J3030" t="n">
        <v>0</v>
      </c>
      <c r="K3030" t="n">
        <v>0</v>
      </c>
      <c r="L3030" t="n">
        <v>0</v>
      </c>
      <c r="M3030" t="n">
        <v>0</v>
      </c>
      <c r="N3030" t="n">
        <v>0</v>
      </c>
      <c r="O3030" t="n">
        <v>0</v>
      </c>
      <c r="P3030" t="n">
        <v>0</v>
      </c>
      <c r="Q3030" t="n">
        <v>0</v>
      </c>
      <c r="R3030" t="n">
        <v>0</v>
      </c>
      <c r="S3030" t="n">
        <v>0</v>
      </c>
      <c r="T3030" t="n">
        <v>0</v>
      </c>
      <c r="U3030" t="n">
        <v>0</v>
      </c>
      <c r="V3030" s="2" t="inlineStr"/>
    </row>
    <row r="3031" ht="15" customHeight="1">
      <c r="A3031" t="inlineStr">
        <is>
          <t>A 49281-2025</t>
        </is>
      </c>
      <c r="B3031" t="inlineStr">
        <is>
          <t>avverkningsanmälan</t>
        </is>
      </c>
      <c r="C3031" t="inlineStr">
        <is>
          <t>Föryngringsavverkning</t>
        </is>
      </c>
      <c r="D3031" s="1" t="n">
        <v>45938</v>
      </c>
      <c r="E3031" s="1" t="n">
        <v>46323</v>
      </c>
      <c r="F3031" t="inlineStr">
        <is>
          <t>KALMAR LÄN</t>
        </is>
      </c>
      <c r="G3031" t="inlineStr">
        <is>
          <t>EMMABODA</t>
        </is>
      </c>
      <c r="I3031" t="n">
        <v>0.7</v>
      </c>
      <c r="J3031" t="n">
        <v>0</v>
      </c>
      <c r="K3031" t="n">
        <v>0</v>
      </c>
      <c r="L3031" t="n">
        <v>0</v>
      </c>
      <c r="M3031" t="n">
        <v>0</v>
      </c>
      <c r="N3031" t="n">
        <v>0</v>
      </c>
      <c r="O3031" t="n">
        <v>0</v>
      </c>
      <c r="P3031" t="n">
        <v>0</v>
      </c>
      <c r="Q3031" t="n">
        <v>0</v>
      </c>
      <c r="R3031" t="n">
        <v>0</v>
      </c>
      <c r="S3031" t="n">
        <v>0</v>
      </c>
      <c r="T3031" t="n">
        <v>0</v>
      </c>
      <c r="U3031" t="n">
        <v>0</v>
      </c>
      <c r="V3031" s="2" t="inlineStr"/>
    </row>
    <row r="3032" ht="15" customHeight="1">
      <c r="A3032" t="inlineStr">
        <is>
          <t>A 46070-2023</t>
        </is>
      </c>
      <c r="B3032" t="inlineStr">
        <is>
          <t>avverkningsanmälan</t>
        </is>
      </c>
      <c r="C3032" t="inlineStr">
        <is>
          <t>Föryngringsavverkning</t>
        </is>
      </c>
      <c r="D3032" s="1" t="n">
        <v>45196</v>
      </c>
      <c r="E3032" s="1" t="n">
        <v>46323</v>
      </c>
      <c r="F3032" t="inlineStr">
        <is>
          <t>KALMAR LÄN</t>
        </is>
      </c>
      <c r="G3032" t="inlineStr">
        <is>
          <t>VÄSTERVIK</t>
        </is>
      </c>
      <c r="H3032" t="inlineStr">
        <is>
          <t>Sveaskog</t>
        </is>
      </c>
      <c r="I3032" t="n">
        <v>0.7</v>
      </c>
      <c r="J3032" t="n">
        <v>0</v>
      </c>
      <c r="K3032" t="n">
        <v>0</v>
      </c>
      <c r="L3032" t="n">
        <v>0</v>
      </c>
      <c r="M3032" t="n">
        <v>0</v>
      </c>
      <c r="N3032" t="n">
        <v>0</v>
      </c>
      <c r="O3032" t="n">
        <v>0</v>
      </c>
      <c r="P3032" t="n">
        <v>0</v>
      </c>
      <c r="Q3032" t="n">
        <v>0</v>
      </c>
      <c r="R3032" t="n">
        <v>0</v>
      </c>
      <c r="S3032" t="n">
        <v>0</v>
      </c>
      <c r="T3032" t="n">
        <v>0</v>
      </c>
      <c r="U3032" t="n">
        <v>0</v>
      </c>
      <c r="V3032" s="2" t="inlineStr"/>
    </row>
    <row r="3033" ht="15" customHeight="1">
      <c r="A3033" t="inlineStr">
        <is>
          <t>A 46078-2023</t>
        </is>
      </c>
      <c r="B3033" t="inlineStr">
        <is>
          <t>avverkningsanmälan</t>
        </is>
      </c>
      <c r="C3033" t="inlineStr">
        <is>
          <t>Föryngringsavverkning</t>
        </is>
      </c>
      <c r="D3033" s="1" t="n">
        <v>45196</v>
      </c>
      <c r="E3033" s="1" t="n">
        <v>46323</v>
      </c>
      <c r="F3033" t="inlineStr">
        <is>
          <t>KALMAR LÄN</t>
        </is>
      </c>
      <c r="G3033" t="inlineStr">
        <is>
          <t>VIMMERBY</t>
        </is>
      </c>
      <c r="I3033" t="n">
        <v>0.7</v>
      </c>
      <c r="J3033" t="n">
        <v>0</v>
      </c>
      <c r="K3033" t="n">
        <v>0</v>
      </c>
      <c r="L3033" t="n">
        <v>0</v>
      </c>
      <c r="M3033" t="n">
        <v>0</v>
      </c>
      <c r="N3033" t="n">
        <v>0</v>
      </c>
      <c r="O3033" t="n">
        <v>0</v>
      </c>
      <c r="P3033" t="n">
        <v>0</v>
      </c>
      <c r="Q3033" t="n">
        <v>0</v>
      </c>
      <c r="R3033" t="n">
        <v>0</v>
      </c>
      <c r="S3033" t="n">
        <v>0</v>
      </c>
      <c r="T3033" t="n">
        <v>0</v>
      </c>
      <c r="U3033" t="n">
        <v>0</v>
      </c>
      <c r="V3033" s="2" t="inlineStr"/>
    </row>
    <row r="3034" ht="15" customHeight="1">
      <c r="A3034" t="inlineStr">
        <is>
          <t>A 6408-2025</t>
        </is>
      </c>
      <c r="B3034" t="inlineStr">
        <is>
          <t>avverkningsanmälan</t>
        </is>
      </c>
      <c r="C3034" t="inlineStr">
        <is>
          <t>Föryngringsavverkning</t>
        </is>
      </c>
      <c r="D3034" s="1" t="n">
        <v>45699</v>
      </c>
      <c r="E3034" s="1" t="n">
        <v>46323</v>
      </c>
      <c r="F3034" t="inlineStr">
        <is>
          <t>KALMAR LÄN</t>
        </is>
      </c>
      <c r="G3034" t="inlineStr">
        <is>
          <t>VIMMERBY</t>
        </is>
      </c>
      <c r="I3034" t="n">
        <v>1</v>
      </c>
      <c r="J3034" t="n">
        <v>0</v>
      </c>
      <c r="K3034" t="n">
        <v>0</v>
      </c>
      <c r="L3034" t="n">
        <v>0</v>
      </c>
      <c r="M3034" t="n">
        <v>0</v>
      </c>
      <c r="N3034" t="n">
        <v>0</v>
      </c>
      <c r="O3034" t="n">
        <v>0</v>
      </c>
      <c r="P3034" t="n">
        <v>0</v>
      </c>
      <c r="Q3034" t="n">
        <v>0</v>
      </c>
      <c r="R3034" t="n">
        <v>0</v>
      </c>
      <c r="S3034" t="n">
        <v>0</v>
      </c>
      <c r="T3034" t="n">
        <v>0</v>
      </c>
      <c r="U3034" t="n">
        <v>0</v>
      </c>
      <c r="V3034" s="2" t="inlineStr"/>
    </row>
    <row r="3035" ht="15" customHeight="1">
      <c r="A3035" t="inlineStr">
        <is>
          <t>A 11656-2023</t>
        </is>
      </c>
      <c r="B3035" t="inlineStr">
        <is>
          <t>avverkningsanmälan</t>
        </is>
      </c>
      <c r="C3035" t="inlineStr">
        <is>
          <t>Föryngringsavverkning</t>
        </is>
      </c>
      <c r="D3035" s="1" t="n">
        <v>44994</v>
      </c>
      <c r="E3035" s="1" t="n">
        <v>46323</v>
      </c>
      <c r="F3035" t="inlineStr">
        <is>
          <t>KALMAR LÄN</t>
        </is>
      </c>
      <c r="G3035" t="inlineStr">
        <is>
          <t>OSKARSHAMN</t>
        </is>
      </c>
      <c r="I3035" t="n">
        <v>2.2</v>
      </c>
      <c r="J3035" t="n">
        <v>0</v>
      </c>
      <c r="K3035" t="n">
        <v>0</v>
      </c>
      <c r="L3035" t="n">
        <v>0</v>
      </c>
      <c r="M3035" t="n">
        <v>0</v>
      </c>
      <c r="N3035" t="n">
        <v>0</v>
      </c>
      <c r="O3035" t="n">
        <v>0</v>
      </c>
      <c r="P3035" t="n">
        <v>0</v>
      </c>
      <c r="Q3035" t="n">
        <v>0</v>
      </c>
      <c r="R3035" t="n">
        <v>0</v>
      </c>
      <c r="S3035" t="n">
        <v>0</v>
      </c>
      <c r="T3035" t="n">
        <v>0</v>
      </c>
      <c r="U3035" t="n">
        <v>0</v>
      </c>
      <c r="V3035" s="2" t="inlineStr"/>
    </row>
    <row r="3036" ht="15" customHeight="1">
      <c r="A3036" t="inlineStr">
        <is>
          <t>A 49616-2025</t>
        </is>
      </c>
      <c r="B3036" t="inlineStr">
        <is>
          <t>avverkningsanmälan</t>
        </is>
      </c>
      <c r="C3036" t="inlineStr">
        <is>
          <t>Föryngringsavverkning</t>
        </is>
      </c>
      <c r="D3036" s="1" t="n">
        <v>45939</v>
      </c>
      <c r="E3036" s="1" t="n">
        <v>46323</v>
      </c>
      <c r="F3036" t="inlineStr">
        <is>
          <t>KALMAR LÄN</t>
        </is>
      </c>
      <c r="G3036" t="inlineStr">
        <is>
          <t>VÄSTERVIK</t>
        </is>
      </c>
      <c r="H3036" t="inlineStr">
        <is>
          <t>Holmen skog AB</t>
        </is>
      </c>
      <c r="I3036" t="n">
        <v>1.9</v>
      </c>
      <c r="J3036" t="n">
        <v>0</v>
      </c>
      <c r="K3036" t="n">
        <v>0</v>
      </c>
      <c r="L3036" t="n">
        <v>0</v>
      </c>
      <c r="M3036" t="n">
        <v>0</v>
      </c>
      <c r="N3036" t="n">
        <v>0</v>
      </c>
      <c r="O3036" t="n">
        <v>0</v>
      </c>
      <c r="P3036" t="n">
        <v>0</v>
      </c>
      <c r="Q3036" t="n">
        <v>0</v>
      </c>
      <c r="R3036" t="n">
        <v>0</v>
      </c>
      <c r="S3036" t="n">
        <v>0</v>
      </c>
      <c r="T3036" t="n">
        <v>0</v>
      </c>
      <c r="U3036" t="n">
        <v>0</v>
      </c>
      <c r="V3036" s="2" t="inlineStr"/>
    </row>
    <row r="3037" ht="15" customHeight="1">
      <c r="A3037" t="inlineStr">
        <is>
          <t>A 49648-2025</t>
        </is>
      </c>
      <c r="B3037" t="inlineStr">
        <is>
          <t>avverkningsanmälan</t>
        </is>
      </c>
      <c r="C3037" t="inlineStr">
        <is>
          <t>Föryngringsavverkning</t>
        </is>
      </c>
      <c r="D3037" s="1" t="n">
        <v>45939</v>
      </c>
      <c r="E3037" s="1" t="n">
        <v>46323</v>
      </c>
      <c r="F3037" t="inlineStr">
        <is>
          <t>KALMAR LÄN</t>
        </is>
      </c>
      <c r="G3037" t="inlineStr">
        <is>
          <t>VÄSTERVIK</t>
        </is>
      </c>
      <c r="H3037" t="inlineStr">
        <is>
          <t>Holmen skog AB</t>
        </is>
      </c>
      <c r="I3037" t="n">
        <v>7.2</v>
      </c>
      <c r="J3037" t="n">
        <v>0</v>
      </c>
      <c r="K3037" t="n">
        <v>0</v>
      </c>
      <c r="L3037" t="n">
        <v>0</v>
      </c>
      <c r="M3037" t="n">
        <v>0</v>
      </c>
      <c r="N3037" t="n">
        <v>0</v>
      </c>
      <c r="O3037" t="n">
        <v>0</v>
      </c>
      <c r="P3037" t="n">
        <v>0</v>
      </c>
      <c r="Q3037" t="n">
        <v>0</v>
      </c>
      <c r="R3037" t="n">
        <v>0</v>
      </c>
      <c r="S3037" t="n">
        <v>0</v>
      </c>
      <c r="T3037" t="n">
        <v>0</v>
      </c>
      <c r="U3037" t="n">
        <v>0</v>
      </c>
      <c r="V3037" s="2" t="inlineStr"/>
    </row>
    <row r="3038" ht="15" customHeight="1">
      <c r="A3038" t="inlineStr">
        <is>
          <t>A 6207-2022</t>
        </is>
      </c>
      <c r="B3038" t="inlineStr">
        <is>
          <t>avverkningsanmälan</t>
        </is>
      </c>
      <c r="C3038" t="inlineStr">
        <is>
          <t>Föryngringsavverkning</t>
        </is>
      </c>
      <c r="D3038" s="1" t="n">
        <v>44600</v>
      </c>
      <c r="E3038" s="1" t="n">
        <v>46323</v>
      </c>
      <c r="F3038" t="inlineStr">
        <is>
          <t>KALMAR LÄN</t>
        </is>
      </c>
      <c r="G3038" t="inlineStr">
        <is>
          <t>TORSÅS</t>
        </is>
      </c>
      <c r="I3038" t="n">
        <v>2.2</v>
      </c>
      <c r="J3038" t="n">
        <v>0</v>
      </c>
      <c r="K3038" t="n">
        <v>0</v>
      </c>
      <c r="L3038" t="n">
        <v>0</v>
      </c>
      <c r="M3038" t="n">
        <v>0</v>
      </c>
      <c r="N3038" t="n">
        <v>0</v>
      </c>
      <c r="O3038" t="n">
        <v>0</v>
      </c>
      <c r="P3038" t="n">
        <v>0</v>
      </c>
      <c r="Q3038" t="n">
        <v>0</v>
      </c>
      <c r="R3038" t="n">
        <v>0</v>
      </c>
      <c r="S3038" t="n">
        <v>0</v>
      </c>
      <c r="T3038" t="n">
        <v>0</v>
      </c>
      <c r="U3038" t="n">
        <v>0</v>
      </c>
      <c r="V3038" s="2" t="inlineStr"/>
    </row>
    <row r="3039" ht="15" customHeight="1">
      <c r="A3039" t="inlineStr">
        <is>
          <t>A 30490-2023</t>
        </is>
      </c>
      <c r="B3039" t="inlineStr">
        <is>
          <t>avverkningsanmälan</t>
        </is>
      </c>
      <c r="C3039" t="inlineStr">
        <is>
          <t>Föryngringsavverkning</t>
        </is>
      </c>
      <c r="D3039" s="1" t="n">
        <v>45111</v>
      </c>
      <c r="E3039" s="1" t="n">
        <v>46323</v>
      </c>
      <c r="F3039" t="inlineStr">
        <is>
          <t>KALMAR LÄN</t>
        </is>
      </c>
      <c r="G3039" t="inlineStr">
        <is>
          <t>HÖGSBY</t>
        </is>
      </c>
      <c r="I3039" t="n">
        <v>12.1</v>
      </c>
      <c r="J3039" t="n">
        <v>0</v>
      </c>
      <c r="K3039" t="n">
        <v>0</v>
      </c>
      <c r="L3039" t="n">
        <v>0</v>
      </c>
      <c r="M3039" t="n">
        <v>0</v>
      </c>
      <c r="N3039" t="n">
        <v>0</v>
      </c>
      <c r="O3039" t="n">
        <v>0</v>
      </c>
      <c r="P3039" t="n">
        <v>0</v>
      </c>
      <c r="Q3039" t="n">
        <v>0</v>
      </c>
      <c r="R3039" t="n">
        <v>0</v>
      </c>
      <c r="S3039" t="n">
        <v>0</v>
      </c>
      <c r="T3039" t="n">
        <v>0</v>
      </c>
      <c r="U3039" t="n">
        <v>0</v>
      </c>
      <c r="V3039" s="2" t="inlineStr"/>
    </row>
    <row r="3040" ht="15" customHeight="1">
      <c r="A3040" t="inlineStr">
        <is>
          <t>A 43746-2024</t>
        </is>
      </c>
      <c r="B3040" t="inlineStr">
        <is>
          <t>avverkningsanmälan</t>
        </is>
      </c>
      <c r="C3040" t="inlineStr">
        <is>
          <t>Föryngringsavverkning</t>
        </is>
      </c>
      <c r="D3040" s="1" t="n">
        <v>45569</v>
      </c>
      <c r="E3040" s="1" t="n">
        <v>46323</v>
      </c>
      <c r="F3040" t="inlineStr">
        <is>
          <t>KALMAR LÄN</t>
        </is>
      </c>
      <c r="G3040" t="inlineStr">
        <is>
          <t>MÖNSTERÅS</t>
        </is>
      </c>
      <c r="I3040" t="n">
        <v>1.3</v>
      </c>
      <c r="J3040" t="n">
        <v>0</v>
      </c>
      <c r="K3040" t="n">
        <v>0</v>
      </c>
      <c r="L3040" t="n">
        <v>0</v>
      </c>
      <c r="M3040" t="n">
        <v>0</v>
      </c>
      <c r="N3040" t="n">
        <v>0</v>
      </c>
      <c r="O3040" t="n">
        <v>0</v>
      </c>
      <c r="P3040" t="n">
        <v>0</v>
      </c>
      <c r="Q3040" t="n">
        <v>0</v>
      </c>
      <c r="R3040" t="n">
        <v>0</v>
      </c>
      <c r="S3040" t="n">
        <v>0</v>
      </c>
      <c r="T3040" t="n">
        <v>0</v>
      </c>
      <c r="U3040" t="n">
        <v>0</v>
      </c>
      <c r="V3040" s="2" t="inlineStr"/>
    </row>
    <row r="3041" ht="15" customHeight="1">
      <c r="A3041" t="inlineStr">
        <is>
          <t>A 6597-2024</t>
        </is>
      </c>
      <c r="B3041" t="inlineStr">
        <is>
          <t>avverkningsanmälan</t>
        </is>
      </c>
      <c r="C3041" t="inlineStr">
        <is>
          <t>Föryngringsavverkning</t>
        </is>
      </c>
      <c r="D3041" s="1" t="n">
        <v>45341</v>
      </c>
      <c r="E3041" s="1" t="n">
        <v>46323</v>
      </c>
      <c r="F3041" t="inlineStr">
        <is>
          <t>KALMAR LÄN</t>
        </is>
      </c>
      <c r="G3041" t="inlineStr">
        <is>
          <t>HÖGSBY</t>
        </is>
      </c>
      <c r="I3041" t="n">
        <v>5.5</v>
      </c>
      <c r="J3041" t="n">
        <v>0</v>
      </c>
      <c r="K3041" t="n">
        <v>0</v>
      </c>
      <c r="L3041" t="n">
        <v>0</v>
      </c>
      <c r="M3041" t="n">
        <v>0</v>
      </c>
      <c r="N3041" t="n">
        <v>0</v>
      </c>
      <c r="O3041" t="n">
        <v>0</v>
      </c>
      <c r="P3041" t="n">
        <v>0</v>
      </c>
      <c r="Q3041" t="n">
        <v>0</v>
      </c>
      <c r="R3041" t="n">
        <v>0</v>
      </c>
      <c r="S3041" t="n">
        <v>0</v>
      </c>
      <c r="T3041" t="n">
        <v>0</v>
      </c>
      <c r="U3041" t="n">
        <v>0</v>
      </c>
      <c r="V3041" s="2" t="inlineStr"/>
    </row>
    <row r="3042" ht="15" customHeight="1">
      <c r="A3042" t="inlineStr">
        <is>
          <t>A 38174-2023</t>
        </is>
      </c>
      <c r="B3042" t="inlineStr">
        <is>
          <t>avverkningsanmälan</t>
        </is>
      </c>
      <c r="C3042" t="inlineStr">
        <is>
          <t>Föryngringsavverkning</t>
        </is>
      </c>
      <c r="D3042" s="1" t="n">
        <v>45161</v>
      </c>
      <c r="E3042" s="1" t="n">
        <v>46323</v>
      </c>
      <c r="F3042" t="inlineStr">
        <is>
          <t>KALMAR LÄN</t>
        </is>
      </c>
      <c r="G3042" t="inlineStr">
        <is>
          <t>VÄSTERVIK</t>
        </is>
      </c>
      <c r="I3042" t="n">
        <v>3.4</v>
      </c>
      <c r="J3042" t="n">
        <v>0</v>
      </c>
      <c r="K3042" t="n">
        <v>0</v>
      </c>
      <c r="L3042" t="n">
        <v>0</v>
      </c>
      <c r="M3042" t="n">
        <v>0</v>
      </c>
      <c r="N3042" t="n">
        <v>0</v>
      </c>
      <c r="O3042" t="n">
        <v>0</v>
      </c>
      <c r="P3042" t="n">
        <v>0</v>
      </c>
      <c r="Q3042" t="n">
        <v>0</v>
      </c>
      <c r="R3042" t="n">
        <v>0</v>
      </c>
      <c r="S3042" t="n">
        <v>0</v>
      </c>
      <c r="T3042" t="n">
        <v>0</v>
      </c>
      <c r="U3042" t="n">
        <v>0</v>
      </c>
      <c r="V3042" s="2" t="inlineStr"/>
    </row>
    <row r="3043" ht="15" customHeight="1">
      <c r="A3043" t="inlineStr">
        <is>
          <t>A 7643-2022</t>
        </is>
      </c>
      <c r="B3043" t="inlineStr">
        <is>
          <t>avverkningsanmälan</t>
        </is>
      </c>
      <c r="C3043" t="inlineStr">
        <is>
          <t>Föryngringsavverkning</t>
        </is>
      </c>
      <c r="D3043" s="1" t="n">
        <v>44607</v>
      </c>
      <c r="E3043" s="1" t="n">
        <v>46323</v>
      </c>
      <c r="F3043" t="inlineStr">
        <is>
          <t>KALMAR LÄN</t>
        </is>
      </c>
      <c r="G3043" t="inlineStr">
        <is>
          <t>VIMMERBY</t>
        </is>
      </c>
      <c r="I3043" t="n">
        <v>8.699999999999999</v>
      </c>
      <c r="J3043" t="n">
        <v>0</v>
      </c>
      <c r="K3043" t="n">
        <v>0</v>
      </c>
      <c r="L3043" t="n">
        <v>0</v>
      </c>
      <c r="M3043" t="n">
        <v>0</v>
      </c>
      <c r="N3043" t="n">
        <v>0</v>
      </c>
      <c r="O3043" t="n">
        <v>0</v>
      </c>
      <c r="P3043" t="n">
        <v>0</v>
      </c>
      <c r="Q3043" t="n">
        <v>0</v>
      </c>
      <c r="R3043" t="n">
        <v>0</v>
      </c>
      <c r="S3043" t="n">
        <v>0</v>
      </c>
      <c r="T3043" t="n">
        <v>0</v>
      </c>
      <c r="U3043" t="n">
        <v>0</v>
      </c>
      <c r="V3043" s="2" t="inlineStr"/>
    </row>
    <row r="3044" ht="15" customHeight="1">
      <c r="A3044" t="inlineStr">
        <is>
          <t>A 62456-2022</t>
        </is>
      </c>
      <c r="B3044" t="inlineStr">
        <is>
          <t>avverkningsanmälan</t>
        </is>
      </c>
      <c r="C3044" t="inlineStr">
        <is>
          <t>Föryngringsavverkning</t>
        </is>
      </c>
      <c r="D3044" s="1" t="n">
        <v>44924</v>
      </c>
      <c r="E3044" s="1" t="n">
        <v>46323</v>
      </c>
      <c r="F3044" t="inlineStr">
        <is>
          <t>KALMAR LÄN</t>
        </is>
      </c>
      <c r="G3044" t="inlineStr">
        <is>
          <t>KALMAR</t>
        </is>
      </c>
      <c r="I3044" t="n">
        <v>6.7</v>
      </c>
      <c r="J3044" t="n">
        <v>0</v>
      </c>
      <c r="K3044" t="n">
        <v>0</v>
      </c>
      <c r="L3044" t="n">
        <v>0</v>
      </c>
      <c r="M3044" t="n">
        <v>0</v>
      </c>
      <c r="N3044" t="n">
        <v>0</v>
      </c>
      <c r="O3044" t="n">
        <v>0</v>
      </c>
      <c r="P3044" t="n">
        <v>0</v>
      </c>
      <c r="Q3044" t="n">
        <v>0</v>
      </c>
      <c r="R3044" t="n">
        <v>0</v>
      </c>
      <c r="S3044" t="n">
        <v>0</v>
      </c>
      <c r="T3044" t="n">
        <v>0</v>
      </c>
      <c r="U3044" t="n">
        <v>0</v>
      </c>
      <c r="V3044" s="2" t="inlineStr"/>
    </row>
    <row r="3045" ht="15" customHeight="1">
      <c r="A3045" t="inlineStr">
        <is>
          <t>A 36631-2023</t>
        </is>
      </c>
      <c r="B3045" t="inlineStr">
        <is>
          <t>avverkningsanmälan</t>
        </is>
      </c>
      <c r="C3045" t="inlineStr">
        <is>
          <t>Föryngringsavverkning</t>
        </is>
      </c>
      <c r="D3045" s="1" t="n">
        <v>45153</v>
      </c>
      <c r="E3045" s="1" t="n">
        <v>46323</v>
      </c>
      <c r="F3045" t="inlineStr">
        <is>
          <t>KALMAR LÄN</t>
        </is>
      </c>
      <c r="G3045" t="inlineStr">
        <is>
          <t>KALMAR</t>
        </is>
      </c>
      <c r="I3045" t="n">
        <v>6.4</v>
      </c>
      <c r="J3045" t="n">
        <v>0</v>
      </c>
      <c r="K3045" t="n">
        <v>0</v>
      </c>
      <c r="L3045" t="n">
        <v>0</v>
      </c>
      <c r="M3045" t="n">
        <v>0</v>
      </c>
      <c r="N3045" t="n">
        <v>0</v>
      </c>
      <c r="O3045" t="n">
        <v>0</v>
      </c>
      <c r="P3045" t="n">
        <v>0</v>
      </c>
      <c r="Q3045" t="n">
        <v>0</v>
      </c>
      <c r="R3045" t="n">
        <v>0</v>
      </c>
      <c r="S3045" t="n">
        <v>0</v>
      </c>
      <c r="T3045" t="n">
        <v>0</v>
      </c>
      <c r="U3045" t="n">
        <v>0</v>
      </c>
      <c r="V3045" s="2" t="inlineStr"/>
    </row>
    <row r="3046" ht="15" customHeight="1">
      <c r="A3046" t="inlineStr">
        <is>
          <t>A 33084-2023</t>
        </is>
      </c>
      <c r="B3046" t="inlineStr">
        <is>
          <t>avverkningsanmälan</t>
        </is>
      </c>
      <c r="C3046" t="inlineStr">
        <is>
          <t>Föryngringsavverkning</t>
        </is>
      </c>
      <c r="D3046" s="1" t="n">
        <v>45126</v>
      </c>
      <c r="E3046" s="1" t="n">
        <v>46323</v>
      </c>
      <c r="F3046" t="inlineStr">
        <is>
          <t>KALMAR LÄN</t>
        </is>
      </c>
      <c r="G3046" t="inlineStr">
        <is>
          <t>EMMABODA</t>
        </is>
      </c>
      <c r="I3046" t="n">
        <v>0.6</v>
      </c>
      <c r="J3046" t="n">
        <v>0</v>
      </c>
      <c r="K3046" t="n">
        <v>0</v>
      </c>
      <c r="L3046" t="n">
        <v>0</v>
      </c>
      <c r="M3046" t="n">
        <v>0</v>
      </c>
      <c r="N3046" t="n">
        <v>0</v>
      </c>
      <c r="O3046" t="n">
        <v>0</v>
      </c>
      <c r="P3046" t="n">
        <v>0</v>
      </c>
      <c r="Q3046" t="n">
        <v>0</v>
      </c>
      <c r="R3046" t="n">
        <v>0</v>
      </c>
      <c r="S3046" t="n">
        <v>0</v>
      </c>
      <c r="T3046" t="n">
        <v>0</v>
      </c>
      <c r="U3046" t="n">
        <v>0</v>
      </c>
      <c r="V3046" s="2" t="inlineStr"/>
    </row>
    <row r="3047" ht="15" customHeight="1">
      <c r="A3047" t="inlineStr">
        <is>
          <t>A 56440-2024</t>
        </is>
      </c>
      <c r="B3047" t="inlineStr">
        <is>
          <t>avverkningsanmälan</t>
        </is>
      </c>
      <c r="C3047" t="inlineStr">
        <is>
          <t>Föryngringsavverkning</t>
        </is>
      </c>
      <c r="D3047" s="1" t="n">
        <v>45625</v>
      </c>
      <c r="E3047" s="1" t="n">
        <v>46323</v>
      </c>
      <c r="F3047" t="inlineStr">
        <is>
          <t>KALMAR LÄN</t>
        </is>
      </c>
      <c r="G3047" t="inlineStr">
        <is>
          <t>VÄSTERVIK</t>
        </is>
      </c>
      <c r="H3047" t="inlineStr">
        <is>
          <t>Övriga Aktiebolag</t>
        </is>
      </c>
      <c r="I3047" t="n">
        <v>3</v>
      </c>
      <c r="J3047" t="n">
        <v>0</v>
      </c>
      <c r="K3047" t="n">
        <v>0</v>
      </c>
      <c r="L3047" t="n">
        <v>0</v>
      </c>
      <c r="M3047" t="n">
        <v>0</v>
      </c>
      <c r="N3047" t="n">
        <v>0</v>
      </c>
      <c r="O3047" t="n">
        <v>0</v>
      </c>
      <c r="P3047" t="n">
        <v>0</v>
      </c>
      <c r="Q3047" t="n">
        <v>0</v>
      </c>
      <c r="R3047" t="n">
        <v>0</v>
      </c>
      <c r="S3047" t="n">
        <v>0</v>
      </c>
      <c r="T3047" t="n">
        <v>0</v>
      </c>
      <c r="U3047" t="n">
        <v>0</v>
      </c>
      <c r="V3047" s="2" t="inlineStr"/>
    </row>
    <row r="3048" ht="15" customHeight="1">
      <c r="A3048" t="inlineStr">
        <is>
          <t>A 20036-2023</t>
        </is>
      </c>
      <c r="B3048" t="inlineStr">
        <is>
          <t>avverkningsanmälan</t>
        </is>
      </c>
      <c r="C3048" t="inlineStr">
        <is>
          <t>Föryngringsavverkning</t>
        </is>
      </c>
      <c r="D3048" s="1" t="n">
        <v>45054</v>
      </c>
      <c r="E3048" s="1" t="n">
        <v>46323</v>
      </c>
      <c r="F3048" t="inlineStr">
        <is>
          <t>KALMAR LÄN</t>
        </is>
      </c>
      <c r="G3048" t="inlineStr">
        <is>
          <t>HULTSFRED</t>
        </is>
      </c>
      <c r="I3048" t="n">
        <v>0.9</v>
      </c>
      <c r="J3048" t="n">
        <v>0</v>
      </c>
      <c r="K3048" t="n">
        <v>0</v>
      </c>
      <c r="L3048" t="n">
        <v>0</v>
      </c>
      <c r="M3048" t="n">
        <v>0</v>
      </c>
      <c r="N3048" t="n">
        <v>0</v>
      </c>
      <c r="O3048" t="n">
        <v>0</v>
      </c>
      <c r="P3048" t="n">
        <v>0</v>
      </c>
      <c r="Q3048" t="n">
        <v>0</v>
      </c>
      <c r="R3048" t="n">
        <v>0</v>
      </c>
      <c r="S3048" t="n">
        <v>0</v>
      </c>
      <c r="T3048" t="n">
        <v>0</v>
      </c>
      <c r="U3048" t="n">
        <v>0</v>
      </c>
      <c r="V3048" s="2" t="inlineStr"/>
    </row>
    <row r="3049" ht="15" customHeight="1">
      <c r="A3049" t="inlineStr">
        <is>
          <t>A 60896-2022</t>
        </is>
      </c>
      <c r="B3049" t="inlineStr">
        <is>
          <t>avverkningsanmälan</t>
        </is>
      </c>
      <c r="C3049" t="inlineStr">
        <is>
          <t>Föryngringsavverkning</t>
        </is>
      </c>
      <c r="D3049" s="1" t="n">
        <v>44914</v>
      </c>
      <c r="E3049" s="1" t="n">
        <v>46323</v>
      </c>
      <c r="F3049" t="inlineStr">
        <is>
          <t>KALMAR LÄN</t>
        </is>
      </c>
      <c r="G3049" t="inlineStr">
        <is>
          <t>NYBRO</t>
        </is>
      </c>
      <c r="I3049" t="n">
        <v>8.199999999999999</v>
      </c>
      <c r="J3049" t="n">
        <v>0</v>
      </c>
      <c r="K3049" t="n">
        <v>0</v>
      </c>
      <c r="L3049" t="n">
        <v>0</v>
      </c>
      <c r="M3049" t="n">
        <v>0</v>
      </c>
      <c r="N3049" t="n">
        <v>0</v>
      </c>
      <c r="O3049" t="n">
        <v>0</v>
      </c>
      <c r="P3049" t="n">
        <v>0</v>
      </c>
      <c r="Q3049" t="n">
        <v>0</v>
      </c>
      <c r="R3049" t="n">
        <v>0</v>
      </c>
      <c r="S3049" t="n">
        <v>0</v>
      </c>
      <c r="T3049" t="n">
        <v>0</v>
      </c>
      <c r="U3049" t="n">
        <v>0</v>
      </c>
      <c r="V3049" s="2" t="inlineStr"/>
    </row>
    <row r="3050" ht="15" customHeight="1">
      <c r="A3050" t="inlineStr">
        <is>
          <t>A 60905-2022</t>
        </is>
      </c>
      <c r="B3050" t="inlineStr">
        <is>
          <t>avverkningsanmälan</t>
        </is>
      </c>
      <c r="C3050" t="inlineStr">
        <is>
          <t>Föryngringsavverkning</t>
        </is>
      </c>
      <c r="D3050" s="1" t="n">
        <v>44914</v>
      </c>
      <c r="E3050" s="1" t="n">
        <v>46323</v>
      </c>
      <c r="F3050" t="inlineStr">
        <is>
          <t>KALMAR LÄN</t>
        </is>
      </c>
      <c r="G3050" t="inlineStr">
        <is>
          <t>OSKARSHAMN</t>
        </is>
      </c>
      <c r="I3050" t="n">
        <v>2.2</v>
      </c>
      <c r="J3050" t="n">
        <v>0</v>
      </c>
      <c r="K3050" t="n">
        <v>0</v>
      </c>
      <c r="L3050" t="n">
        <v>0</v>
      </c>
      <c r="M3050" t="n">
        <v>0</v>
      </c>
      <c r="N3050" t="n">
        <v>0</v>
      </c>
      <c r="O3050" t="n">
        <v>0</v>
      </c>
      <c r="P3050" t="n">
        <v>0</v>
      </c>
      <c r="Q3050" t="n">
        <v>0</v>
      </c>
      <c r="R3050" t="n">
        <v>0</v>
      </c>
      <c r="S3050" t="n">
        <v>0</v>
      </c>
      <c r="T3050" t="n">
        <v>0</v>
      </c>
      <c r="U3050" t="n">
        <v>0</v>
      </c>
      <c r="V3050" s="2" t="inlineStr"/>
    </row>
    <row r="3051" ht="15" customHeight="1">
      <c r="A3051" t="inlineStr">
        <is>
          <t>A 3494-2023</t>
        </is>
      </c>
      <c r="B3051" t="inlineStr">
        <is>
          <t>avverkningsanmälan</t>
        </is>
      </c>
      <c r="C3051" t="inlineStr">
        <is>
          <t>Föryngringsavverkning</t>
        </is>
      </c>
      <c r="D3051" s="1" t="n">
        <v>44949</v>
      </c>
      <c r="E3051" s="1" t="n">
        <v>46323</v>
      </c>
      <c r="F3051" t="inlineStr">
        <is>
          <t>KALMAR LÄN</t>
        </is>
      </c>
      <c r="G3051" t="inlineStr">
        <is>
          <t>VIMMERBY</t>
        </is>
      </c>
      <c r="H3051" t="inlineStr">
        <is>
          <t>Kyrkan</t>
        </is>
      </c>
      <c r="I3051" t="n">
        <v>0.8</v>
      </c>
      <c r="J3051" t="n">
        <v>0</v>
      </c>
      <c r="K3051" t="n">
        <v>0</v>
      </c>
      <c r="L3051" t="n">
        <v>0</v>
      </c>
      <c r="M3051" t="n">
        <v>0</v>
      </c>
      <c r="N3051" t="n">
        <v>0</v>
      </c>
      <c r="O3051" t="n">
        <v>0</v>
      </c>
      <c r="P3051" t="n">
        <v>0</v>
      </c>
      <c r="Q3051" t="n">
        <v>0</v>
      </c>
      <c r="R3051" t="n">
        <v>0</v>
      </c>
      <c r="S3051" t="n">
        <v>0</v>
      </c>
      <c r="T3051" t="n">
        <v>0</v>
      </c>
      <c r="U3051" t="n">
        <v>0</v>
      </c>
      <c r="V3051" s="2" t="inlineStr"/>
    </row>
    <row r="3052" ht="15" customHeight="1">
      <c r="A3052" t="inlineStr">
        <is>
          <t>A 3554-2023</t>
        </is>
      </c>
      <c r="B3052" t="inlineStr">
        <is>
          <t>avverkningsanmälan</t>
        </is>
      </c>
      <c r="C3052" t="inlineStr">
        <is>
          <t>Föryngringsavverkning</t>
        </is>
      </c>
      <c r="D3052" s="1" t="n">
        <v>44950</v>
      </c>
      <c r="E3052" s="1" t="n">
        <v>46323</v>
      </c>
      <c r="F3052" t="inlineStr">
        <is>
          <t>KALMAR LÄN</t>
        </is>
      </c>
      <c r="G3052" t="inlineStr">
        <is>
          <t>TORSÅS</t>
        </is>
      </c>
      <c r="I3052" t="n">
        <v>1.9</v>
      </c>
      <c r="J3052" t="n">
        <v>0</v>
      </c>
      <c r="K3052" t="n">
        <v>0</v>
      </c>
      <c r="L3052" t="n">
        <v>0</v>
      </c>
      <c r="M3052" t="n">
        <v>0</v>
      </c>
      <c r="N3052" t="n">
        <v>0</v>
      </c>
      <c r="O3052" t="n">
        <v>0</v>
      </c>
      <c r="P3052" t="n">
        <v>0</v>
      </c>
      <c r="Q3052" t="n">
        <v>0</v>
      </c>
      <c r="R3052" t="n">
        <v>0</v>
      </c>
      <c r="S3052" t="n">
        <v>0</v>
      </c>
      <c r="T3052" t="n">
        <v>0</v>
      </c>
      <c r="U3052" t="n">
        <v>0</v>
      </c>
      <c r="V3052" s="2" t="inlineStr"/>
    </row>
    <row r="3053" ht="15" customHeight="1">
      <c r="A3053" t="inlineStr">
        <is>
          <t>A 3559-2023</t>
        </is>
      </c>
      <c r="B3053" t="inlineStr">
        <is>
          <t>avverkningsanmälan</t>
        </is>
      </c>
      <c r="C3053" t="inlineStr">
        <is>
          <t>Föryngringsavverkning</t>
        </is>
      </c>
      <c r="D3053" s="1" t="n">
        <v>44950</v>
      </c>
      <c r="E3053" s="1" t="n">
        <v>46323</v>
      </c>
      <c r="F3053" t="inlineStr">
        <is>
          <t>KALMAR LÄN</t>
        </is>
      </c>
      <c r="G3053" t="inlineStr">
        <is>
          <t>MÖNSTERÅS</t>
        </is>
      </c>
      <c r="I3053" t="n">
        <v>16.4</v>
      </c>
      <c r="J3053" t="n">
        <v>0</v>
      </c>
      <c r="K3053" t="n">
        <v>0</v>
      </c>
      <c r="L3053" t="n">
        <v>0</v>
      </c>
      <c r="M3053" t="n">
        <v>0</v>
      </c>
      <c r="N3053" t="n">
        <v>0</v>
      </c>
      <c r="O3053" t="n">
        <v>0</v>
      </c>
      <c r="P3053" t="n">
        <v>0</v>
      </c>
      <c r="Q3053" t="n">
        <v>0</v>
      </c>
      <c r="R3053" t="n">
        <v>0</v>
      </c>
      <c r="S3053" t="n">
        <v>0</v>
      </c>
      <c r="T3053" t="n">
        <v>0</v>
      </c>
      <c r="U3053" t="n">
        <v>0</v>
      </c>
      <c r="V3053" s="2" t="inlineStr"/>
    </row>
    <row r="3054" ht="15" customHeight="1">
      <c r="A3054" t="inlineStr">
        <is>
          <t>A 19541-2023</t>
        </is>
      </c>
      <c r="B3054" t="inlineStr">
        <is>
          <t>avverkningsanmälan</t>
        </is>
      </c>
      <c r="C3054" t="inlineStr">
        <is>
          <t>Föryngringsavverkning</t>
        </is>
      </c>
      <c r="D3054" s="1" t="n">
        <v>45050</v>
      </c>
      <c r="E3054" s="1" t="n">
        <v>46323</v>
      </c>
      <c r="F3054" t="inlineStr">
        <is>
          <t>KALMAR LÄN</t>
        </is>
      </c>
      <c r="G3054" t="inlineStr">
        <is>
          <t>KALMAR</t>
        </is>
      </c>
      <c r="I3054" t="n">
        <v>5</v>
      </c>
      <c r="J3054" t="n">
        <v>0</v>
      </c>
      <c r="K3054" t="n">
        <v>0</v>
      </c>
      <c r="L3054" t="n">
        <v>0</v>
      </c>
      <c r="M3054" t="n">
        <v>0</v>
      </c>
      <c r="N3054" t="n">
        <v>0</v>
      </c>
      <c r="O3054" t="n">
        <v>0</v>
      </c>
      <c r="P3054" t="n">
        <v>0</v>
      </c>
      <c r="Q3054" t="n">
        <v>0</v>
      </c>
      <c r="R3054" t="n">
        <v>0</v>
      </c>
      <c r="S3054" t="n">
        <v>0</v>
      </c>
      <c r="T3054" t="n">
        <v>0</v>
      </c>
      <c r="U3054" t="n">
        <v>0</v>
      </c>
      <c r="V3054" s="2" t="inlineStr"/>
    </row>
    <row r="3055" ht="15" customHeight="1">
      <c r="A3055" t="inlineStr">
        <is>
          <t>A 48536-2023</t>
        </is>
      </c>
      <c r="B3055" t="inlineStr">
        <is>
          <t>avverkningsanmälan</t>
        </is>
      </c>
      <c r="C3055" t="inlineStr">
        <is>
          <t>Föryngringsavverkning</t>
        </is>
      </c>
      <c r="D3055" s="1" t="n">
        <v>45208</v>
      </c>
      <c r="E3055" s="1" t="n">
        <v>46323</v>
      </c>
      <c r="F3055" t="inlineStr">
        <is>
          <t>KALMAR LÄN</t>
        </is>
      </c>
      <c r="G3055" t="inlineStr">
        <is>
          <t>OSKARSHAMN</t>
        </is>
      </c>
      <c r="I3055" t="n">
        <v>4.6</v>
      </c>
      <c r="J3055" t="n">
        <v>0</v>
      </c>
      <c r="K3055" t="n">
        <v>0</v>
      </c>
      <c r="L3055" t="n">
        <v>0</v>
      </c>
      <c r="M3055" t="n">
        <v>0</v>
      </c>
      <c r="N3055" t="n">
        <v>0</v>
      </c>
      <c r="O3055" t="n">
        <v>0</v>
      </c>
      <c r="P3055" t="n">
        <v>0</v>
      </c>
      <c r="Q3055" t="n">
        <v>0</v>
      </c>
      <c r="R3055" t="n">
        <v>0</v>
      </c>
      <c r="S3055" t="n">
        <v>0</v>
      </c>
      <c r="T3055" t="n">
        <v>0</v>
      </c>
      <c r="U3055" t="n">
        <v>0</v>
      </c>
      <c r="V3055" s="2" t="inlineStr"/>
    </row>
    <row r="3056" ht="15" customHeight="1">
      <c r="A3056" t="inlineStr">
        <is>
          <t>A 5345-2023</t>
        </is>
      </c>
      <c r="B3056" t="inlineStr">
        <is>
          <t>avverkningsanmälan</t>
        </is>
      </c>
      <c r="C3056" t="inlineStr">
        <is>
          <t>Avverkning för annat ändamål</t>
        </is>
      </c>
      <c r="D3056" s="1" t="n">
        <v>44959</v>
      </c>
      <c r="E3056" s="1" t="n">
        <v>46323</v>
      </c>
      <c r="F3056" t="inlineStr">
        <is>
          <t>KALMAR LÄN</t>
        </is>
      </c>
      <c r="G3056" t="inlineStr">
        <is>
          <t>EMMABODA</t>
        </is>
      </c>
      <c r="I3056" t="n">
        <v>0.8</v>
      </c>
      <c r="J3056" t="n">
        <v>0</v>
      </c>
      <c r="K3056" t="n">
        <v>0</v>
      </c>
      <c r="L3056" t="n">
        <v>0</v>
      </c>
      <c r="M3056" t="n">
        <v>0</v>
      </c>
      <c r="N3056" t="n">
        <v>0</v>
      </c>
      <c r="O3056" t="n">
        <v>0</v>
      </c>
      <c r="P3056" t="n">
        <v>0</v>
      </c>
      <c r="Q3056" t="n">
        <v>0</v>
      </c>
      <c r="R3056" t="n">
        <v>0</v>
      </c>
      <c r="S3056" t="n">
        <v>0</v>
      </c>
      <c r="T3056" t="n">
        <v>0</v>
      </c>
      <c r="U3056" t="n">
        <v>0</v>
      </c>
      <c r="V3056" s="2" t="inlineStr"/>
    </row>
    <row r="3057" ht="15" customHeight="1">
      <c r="A3057" t="inlineStr">
        <is>
          <t>A 11609-2023</t>
        </is>
      </c>
      <c r="B3057" t="inlineStr">
        <is>
          <t>avverkningsanmälan</t>
        </is>
      </c>
      <c r="C3057" t="inlineStr">
        <is>
          <t>Föryngringsavverkning</t>
        </is>
      </c>
      <c r="D3057" s="1" t="n">
        <v>44994</v>
      </c>
      <c r="E3057" s="1" t="n">
        <v>46323</v>
      </c>
      <c r="F3057" t="inlineStr">
        <is>
          <t>KALMAR LÄN</t>
        </is>
      </c>
      <c r="G3057" t="inlineStr">
        <is>
          <t>VIMMERBY</t>
        </is>
      </c>
      <c r="I3057" t="n">
        <v>4.9</v>
      </c>
      <c r="J3057" t="n">
        <v>0</v>
      </c>
      <c r="K3057" t="n">
        <v>0</v>
      </c>
      <c r="L3057" t="n">
        <v>0</v>
      </c>
      <c r="M3057" t="n">
        <v>0</v>
      </c>
      <c r="N3057" t="n">
        <v>0</v>
      </c>
      <c r="O3057" t="n">
        <v>0</v>
      </c>
      <c r="P3057" t="n">
        <v>0</v>
      </c>
      <c r="Q3057" t="n">
        <v>0</v>
      </c>
      <c r="R3057" t="n">
        <v>0</v>
      </c>
      <c r="S3057" t="n">
        <v>0</v>
      </c>
      <c r="T3057" t="n">
        <v>0</v>
      </c>
      <c r="U3057" t="n">
        <v>0</v>
      </c>
      <c r="V3057" s="2" t="inlineStr"/>
    </row>
    <row r="3058" ht="15" customHeight="1">
      <c r="A3058" t="inlineStr">
        <is>
          <t>A 38761-2024</t>
        </is>
      </c>
      <c r="B3058" t="inlineStr">
        <is>
          <t>avverkningsanmälan</t>
        </is>
      </c>
      <c r="C3058" t="inlineStr">
        <is>
          <t>Föryngringsavverkning</t>
        </is>
      </c>
      <c r="D3058" s="1" t="n">
        <v>45547</v>
      </c>
      <c r="E3058" s="1" t="n">
        <v>46323</v>
      </c>
      <c r="F3058" t="inlineStr">
        <is>
          <t>KALMAR LÄN</t>
        </is>
      </c>
      <c r="G3058" t="inlineStr">
        <is>
          <t>NYBRO</t>
        </is>
      </c>
      <c r="I3058" t="n">
        <v>1.1</v>
      </c>
      <c r="J3058" t="n">
        <v>0</v>
      </c>
      <c r="K3058" t="n">
        <v>0</v>
      </c>
      <c r="L3058" t="n">
        <v>0</v>
      </c>
      <c r="M3058" t="n">
        <v>0</v>
      </c>
      <c r="N3058" t="n">
        <v>0</v>
      </c>
      <c r="O3058" t="n">
        <v>0</v>
      </c>
      <c r="P3058" t="n">
        <v>0</v>
      </c>
      <c r="Q3058" t="n">
        <v>0</v>
      </c>
      <c r="R3058" t="n">
        <v>0</v>
      </c>
      <c r="S3058" t="n">
        <v>0</v>
      </c>
      <c r="T3058" t="n">
        <v>0</v>
      </c>
      <c r="U3058" t="n">
        <v>0</v>
      </c>
      <c r="V3058" s="2" t="inlineStr"/>
    </row>
    <row r="3059" ht="15" customHeight="1">
      <c r="A3059" t="inlineStr">
        <is>
          <t>A 49521-2025</t>
        </is>
      </c>
      <c r="B3059" t="inlineStr">
        <is>
          <t>avverkningsanmälan</t>
        </is>
      </c>
      <c r="C3059" t="inlineStr">
        <is>
          <t>Föryngringsavverkning</t>
        </is>
      </c>
      <c r="D3059" s="1" t="n">
        <v>45939</v>
      </c>
      <c r="E3059" s="1" t="n">
        <v>46323</v>
      </c>
      <c r="F3059" t="inlineStr">
        <is>
          <t>KALMAR LÄN</t>
        </is>
      </c>
      <c r="G3059" t="inlineStr">
        <is>
          <t>KALMAR</t>
        </is>
      </c>
      <c r="I3059" t="n">
        <v>1</v>
      </c>
      <c r="J3059" t="n">
        <v>0</v>
      </c>
      <c r="K3059" t="n">
        <v>0</v>
      </c>
      <c r="L3059" t="n">
        <v>0</v>
      </c>
      <c r="M3059" t="n">
        <v>0</v>
      </c>
      <c r="N3059" t="n">
        <v>0</v>
      </c>
      <c r="O3059" t="n">
        <v>0</v>
      </c>
      <c r="P3059" t="n">
        <v>0</v>
      </c>
      <c r="Q3059" t="n">
        <v>0</v>
      </c>
      <c r="R3059" t="n">
        <v>0</v>
      </c>
      <c r="S3059" t="n">
        <v>0</v>
      </c>
      <c r="T3059" t="n">
        <v>0</v>
      </c>
      <c r="U3059" t="n">
        <v>0</v>
      </c>
      <c r="V3059" s="2" t="inlineStr"/>
    </row>
    <row r="3060" ht="15" customHeight="1">
      <c r="A3060" t="inlineStr">
        <is>
          <t>A 56606-2022</t>
        </is>
      </c>
      <c r="B3060" t="inlineStr">
        <is>
          <t>avverkningsanmälan</t>
        </is>
      </c>
      <c r="C3060" t="inlineStr">
        <is>
          <t>Föryngringsavverkning</t>
        </is>
      </c>
      <c r="D3060" s="1" t="n">
        <v>44893</v>
      </c>
      <c r="E3060" s="1" t="n">
        <v>46323</v>
      </c>
      <c r="F3060" t="inlineStr">
        <is>
          <t>KALMAR LÄN</t>
        </is>
      </c>
      <c r="G3060" t="inlineStr">
        <is>
          <t>EMMABODA</t>
        </is>
      </c>
      <c r="I3060" t="n">
        <v>3</v>
      </c>
      <c r="J3060" t="n">
        <v>0</v>
      </c>
      <c r="K3060" t="n">
        <v>0</v>
      </c>
      <c r="L3060" t="n">
        <v>0</v>
      </c>
      <c r="M3060" t="n">
        <v>0</v>
      </c>
      <c r="N3060" t="n">
        <v>0</v>
      </c>
      <c r="O3060" t="n">
        <v>0</v>
      </c>
      <c r="P3060" t="n">
        <v>0</v>
      </c>
      <c r="Q3060" t="n">
        <v>0</v>
      </c>
      <c r="R3060" t="n">
        <v>0</v>
      </c>
      <c r="S3060" t="n">
        <v>0</v>
      </c>
      <c r="T3060" t="n">
        <v>0</v>
      </c>
      <c r="U3060" t="n">
        <v>0</v>
      </c>
      <c r="V3060" s="2" t="inlineStr"/>
    </row>
    <row r="3061" ht="15" customHeight="1">
      <c r="A3061" t="inlineStr">
        <is>
          <t>A 40554-2023</t>
        </is>
      </c>
      <c r="B3061" t="inlineStr">
        <is>
          <t>avverkningsanmälan</t>
        </is>
      </c>
      <c r="C3061" t="inlineStr">
        <is>
          <t>Föryngringsavverkning</t>
        </is>
      </c>
      <c r="D3061" s="1" t="n">
        <v>45170</v>
      </c>
      <c r="E3061" s="1" t="n">
        <v>46323</v>
      </c>
      <c r="F3061" t="inlineStr">
        <is>
          <t>KALMAR LÄN</t>
        </is>
      </c>
      <c r="G3061" t="inlineStr">
        <is>
          <t>HULTSFRED</t>
        </is>
      </c>
      <c r="I3061" t="n">
        <v>1.9</v>
      </c>
      <c r="J3061" t="n">
        <v>0</v>
      </c>
      <c r="K3061" t="n">
        <v>0</v>
      </c>
      <c r="L3061" t="n">
        <v>0</v>
      </c>
      <c r="M3061" t="n">
        <v>0</v>
      </c>
      <c r="N3061" t="n">
        <v>0</v>
      </c>
      <c r="O3061" t="n">
        <v>0</v>
      </c>
      <c r="P3061" t="n">
        <v>0</v>
      </c>
      <c r="Q3061" t="n">
        <v>0</v>
      </c>
      <c r="R3061" t="n">
        <v>0</v>
      </c>
      <c r="S3061" t="n">
        <v>0</v>
      </c>
      <c r="T3061" t="n">
        <v>0</v>
      </c>
      <c r="U3061" t="n">
        <v>0</v>
      </c>
      <c r="V3061" s="2" t="inlineStr"/>
    </row>
    <row r="3062" ht="15" customHeight="1">
      <c r="A3062" t="inlineStr">
        <is>
          <t>A 52649-2022</t>
        </is>
      </c>
      <c r="B3062" t="inlineStr">
        <is>
          <t>avverkningsanmälan</t>
        </is>
      </c>
      <c r="C3062" t="inlineStr">
        <is>
          <t>Föryngringsavverkning</t>
        </is>
      </c>
      <c r="D3062" s="1" t="n">
        <v>44874</v>
      </c>
      <c r="E3062" s="1" t="n">
        <v>46323</v>
      </c>
      <c r="F3062" t="inlineStr">
        <is>
          <t>KALMAR LÄN</t>
        </is>
      </c>
      <c r="G3062" t="inlineStr">
        <is>
          <t>MÖNSTERÅS</t>
        </is>
      </c>
      <c r="I3062" t="n">
        <v>2</v>
      </c>
      <c r="J3062" t="n">
        <v>0</v>
      </c>
      <c r="K3062" t="n">
        <v>0</v>
      </c>
      <c r="L3062" t="n">
        <v>0</v>
      </c>
      <c r="M3062" t="n">
        <v>0</v>
      </c>
      <c r="N3062" t="n">
        <v>0</v>
      </c>
      <c r="O3062" t="n">
        <v>0</v>
      </c>
      <c r="P3062" t="n">
        <v>0</v>
      </c>
      <c r="Q3062" t="n">
        <v>0</v>
      </c>
      <c r="R3062" t="n">
        <v>0</v>
      </c>
      <c r="S3062" t="n">
        <v>0</v>
      </c>
      <c r="T3062" t="n">
        <v>0</v>
      </c>
      <c r="U3062" t="n">
        <v>0</v>
      </c>
      <c r="V3062" s="2" t="inlineStr"/>
    </row>
    <row r="3063" ht="15" customHeight="1">
      <c r="A3063" t="inlineStr">
        <is>
          <t>A 49660-2025</t>
        </is>
      </c>
      <c r="B3063" t="inlineStr">
        <is>
          <t>avverkningsanmälan</t>
        </is>
      </c>
      <c r="C3063" t="inlineStr">
        <is>
          <t>Föryngringsavverkning</t>
        </is>
      </c>
      <c r="D3063" s="1" t="n">
        <v>45939</v>
      </c>
      <c r="E3063" s="1" t="n">
        <v>46323</v>
      </c>
      <c r="F3063" t="inlineStr">
        <is>
          <t>KALMAR LÄN</t>
        </is>
      </c>
      <c r="G3063" t="inlineStr">
        <is>
          <t>OSKARSHAMN</t>
        </is>
      </c>
      <c r="I3063" t="n">
        <v>0.6</v>
      </c>
      <c r="J3063" t="n">
        <v>0</v>
      </c>
      <c r="K3063" t="n">
        <v>0</v>
      </c>
      <c r="L3063" t="n">
        <v>0</v>
      </c>
      <c r="M3063" t="n">
        <v>0</v>
      </c>
      <c r="N3063" t="n">
        <v>0</v>
      </c>
      <c r="O3063" t="n">
        <v>0</v>
      </c>
      <c r="P3063" t="n">
        <v>0</v>
      </c>
      <c r="Q3063" t="n">
        <v>0</v>
      </c>
      <c r="R3063" t="n">
        <v>0</v>
      </c>
      <c r="S3063" t="n">
        <v>0</v>
      </c>
      <c r="T3063" t="n">
        <v>0</v>
      </c>
      <c r="U3063" t="n">
        <v>0</v>
      </c>
      <c r="V3063" s="2" t="inlineStr"/>
    </row>
    <row r="3064" ht="15" customHeight="1">
      <c r="A3064" t="inlineStr">
        <is>
          <t>A 32633-2023</t>
        </is>
      </c>
      <c r="B3064" t="inlineStr">
        <is>
          <t>avverkningsanmälan</t>
        </is>
      </c>
      <c r="C3064" t="inlineStr">
        <is>
          <t>Föryngringsavverkning</t>
        </is>
      </c>
      <c r="D3064" s="1" t="n">
        <v>45121</v>
      </c>
      <c r="E3064" s="1" t="n">
        <v>46323</v>
      </c>
      <c r="F3064" t="inlineStr">
        <is>
          <t>KALMAR LÄN</t>
        </is>
      </c>
      <c r="G3064" t="inlineStr">
        <is>
          <t>VIMMERBY</t>
        </is>
      </c>
      <c r="H3064" t="inlineStr">
        <is>
          <t>Sveaskog</t>
        </is>
      </c>
      <c r="I3064" t="n">
        <v>0.8</v>
      </c>
      <c r="J3064" t="n">
        <v>0</v>
      </c>
      <c r="K3064" t="n">
        <v>0</v>
      </c>
      <c r="L3064" t="n">
        <v>0</v>
      </c>
      <c r="M3064" t="n">
        <v>0</v>
      </c>
      <c r="N3064" t="n">
        <v>0</v>
      </c>
      <c r="O3064" t="n">
        <v>0</v>
      </c>
      <c r="P3064" t="n">
        <v>0</v>
      </c>
      <c r="Q3064" t="n">
        <v>0</v>
      </c>
      <c r="R3064" t="n">
        <v>0</v>
      </c>
      <c r="S3064" t="n">
        <v>0</v>
      </c>
      <c r="T3064" t="n">
        <v>0</v>
      </c>
      <c r="U3064" t="n">
        <v>0</v>
      </c>
      <c r="V3064" s="2" t="inlineStr"/>
    </row>
    <row r="3065" ht="15" customHeight="1">
      <c r="A3065" t="inlineStr">
        <is>
          <t>A 44464-2024</t>
        </is>
      </c>
      <c r="B3065" t="inlineStr">
        <is>
          <t>avverkningsanmälan</t>
        </is>
      </c>
      <c r="C3065" t="inlineStr">
        <is>
          <t>Föryngringsavverkning</t>
        </is>
      </c>
      <c r="D3065" s="1" t="n">
        <v>45574</v>
      </c>
      <c r="E3065" s="1" t="n">
        <v>46323</v>
      </c>
      <c r="F3065" t="inlineStr">
        <is>
          <t>KALMAR LÄN</t>
        </is>
      </c>
      <c r="G3065" t="inlineStr">
        <is>
          <t>VIMMERBY</t>
        </is>
      </c>
      <c r="I3065" t="n">
        <v>0.7</v>
      </c>
      <c r="J3065" t="n">
        <v>0</v>
      </c>
      <c r="K3065" t="n">
        <v>0</v>
      </c>
      <c r="L3065" t="n">
        <v>0</v>
      </c>
      <c r="M3065" t="n">
        <v>0</v>
      </c>
      <c r="N3065" t="n">
        <v>0</v>
      </c>
      <c r="O3065" t="n">
        <v>0</v>
      </c>
      <c r="P3065" t="n">
        <v>0</v>
      </c>
      <c r="Q3065" t="n">
        <v>0</v>
      </c>
      <c r="R3065" t="n">
        <v>0</v>
      </c>
      <c r="S3065" t="n">
        <v>0</v>
      </c>
      <c r="T3065" t="n">
        <v>0</v>
      </c>
      <c r="U3065" t="n">
        <v>0</v>
      </c>
      <c r="V3065" s="2" t="inlineStr"/>
    </row>
    <row r="3066" ht="15" customHeight="1">
      <c r="A3066" t="inlineStr">
        <is>
          <t>A 38059-2024</t>
        </is>
      </c>
      <c r="B3066" t="inlineStr">
        <is>
          <t>avverkningsanmälan</t>
        </is>
      </c>
      <c r="C3066" t="inlineStr">
        <is>
          <t>Föryngringsavverkning</t>
        </is>
      </c>
      <c r="D3066" s="1" t="n">
        <v>45544</v>
      </c>
      <c r="E3066" s="1" t="n">
        <v>46323</v>
      </c>
      <c r="F3066" t="inlineStr">
        <is>
          <t>KALMAR LÄN</t>
        </is>
      </c>
      <c r="G3066" t="inlineStr">
        <is>
          <t>NYBRO</t>
        </is>
      </c>
      <c r="I3066" t="n">
        <v>0.5</v>
      </c>
      <c r="J3066" t="n">
        <v>0</v>
      </c>
      <c r="K3066" t="n">
        <v>0</v>
      </c>
      <c r="L3066" t="n">
        <v>0</v>
      </c>
      <c r="M3066" t="n">
        <v>0</v>
      </c>
      <c r="N3066" t="n">
        <v>0</v>
      </c>
      <c r="O3066" t="n">
        <v>0</v>
      </c>
      <c r="P3066" t="n">
        <v>0</v>
      </c>
      <c r="Q3066" t="n">
        <v>0</v>
      </c>
      <c r="R3066" t="n">
        <v>0</v>
      </c>
      <c r="S3066" t="n">
        <v>0</v>
      </c>
      <c r="T3066" t="n">
        <v>0</v>
      </c>
      <c r="U3066" t="n">
        <v>0</v>
      </c>
      <c r="V3066" s="2" t="inlineStr"/>
    </row>
    <row r="3067" ht="15" customHeight="1">
      <c r="A3067" t="inlineStr">
        <is>
          <t>A 37716-2023</t>
        </is>
      </c>
      <c r="B3067" t="inlineStr">
        <is>
          <t>avverkningsanmälan</t>
        </is>
      </c>
      <c r="C3067" t="inlineStr">
        <is>
          <t>Föryngringsavverkning</t>
        </is>
      </c>
      <c r="D3067" s="1" t="n">
        <v>45159</v>
      </c>
      <c r="E3067" s="1" t="n">
        <v>46323</v>
      </c>
      <c r="F3067" t="inlineStr">
        <is>
          <t>KALMAR LÄN</t>
        </is>
      </c>
      <c r="G3067" t="inlineStr">
        <is>
          <t>VÄSTERVIK</t>
        </is>
      </c>
      <c r="I3067" t="n">
        <v>1.7</v>
      </c>
      <c r="J3067" t="n">
        <v>0</v>
      </c>
      <c r="K3067" t="n">
        <v>0</v>
      </c>
      <c r="L3067" t="n">
        <v>0</v>
      </c>
      <c r="M3067" t="n">
        <v>0</v>
      </c>
      <c r="N3067" t="n">
        <v>0</v>
      </c>
      <c r="O3067" t="n">
        <v>0</v>
      </c>
      <c r="P3067" t="n">
        <v>0</v>
      </c>
      <c r="Q3067" t="n">
        <v>0</v>
      </c>
      <c r="R3067" t="n">
        <v>0</v>
      </c>
      <c r="S3067" t="n">
        <v>0</v>
      </c>
      <c r="T3067" t="n">
        <v>0</v>
      </c>
      <c r="U3067" t="n">
        <v>0</v>
      </c>
      <c r="V3067" s="2" t="inlineStr"/>
    </row>
    <row r="3068" ht="15" customHeight="1">
      <c r="A3068" t="inlineStr">
        <is>
          <t>A 58216-2022</t>
        </is>
      </c>
      <c r="B3068" t="inlineStr">
        <is>
          <t>avverkningsanmälan</t>
        </is>
      </c>
      <c r="C3068" t="inlineStr">
        <is>
          <t>Föryngringsavverkning</t>
        </is>
      </c>
      <c r="D3068" s="1" t="n">
        <v>44901</v>
      </c>
      <c r="E3068" s="1" t="n">
        <v>46323</v>
      </c>
      <c r="F3068" t="inlineStr">
        <is>
          <t>KALMAR LÄN</t>
        </is>
      </c>
      <c r="G3068" t="inlineStr">
        <is>
          <t>VÄSTERVIK</t>
        </is>
      </c>
      <c r="I3068" t="n">
        <v>0.5</v>
      </c>
      <c r="J3068" t="n">
        <v>0</v>
      </c>
      <c r="K3068" t="n">
        <v>0</v>
      </c>
      <c r="L3068" t="n">
        <v>0</v>
      </c>
      <c r="M3068" t="n">
        <v>0</v>
      </c>
      <c r="N3068" t="n">
        <v>0</v>
      </c>
      <c r="O3068" t="n">
        <v>0</v>
      </c>
      <c r="P3068" t="n">
        <v>0</v>
      </c>
      <c r="Q3068" t="n">
        <v>0</v>
      </c>
      <c r="R3068" t="n">
        <v>0</v>
      </c>
      <c r="S3068" t="n">
        <v>0</v>
      </c>
      <c r="T3068" t="n">
        <v>0</v>
      </c>
      <c r="U3068" t="n">
        <v>0</v>
      </c>
      <c r="V3068" s="2" t="inlineStr"/>
    </row>
    <row r="3069" ht="15" customHeight="1">
      <c r="A3069" t="inlineStr">
        <is>
          <t>A 50911-2022</t>
        </is>
      </c>
      <c r="B3069" t="inlineStr">
        <is>
          <t>avverkningsanmälan</t>
        </is>
      </c>
      <c r="C3069" t="inlineStr">
        <is>
          <t>Föryngringsavverkning</t>
        </is>
      </c>
      <c r="D3069" s="1" t="n">
        <v>44867</v>
      </c>
      <c r="E3069" s="1" t="n">
        <v>46323</v>
      </c>
      <c r="F3069" t="inlineStr">
        <is>
          <t>KALMAR LÄN</t>
        </is>
      </c>
      <c r="G3069" t="inlineStr">
        <is>
          <t>VÄSTERVIK</t>
        </is>
      </c>
      <c r="H3069" t="inlineStr">
        <is>
          <t>Sveaskog</t>
        </is>
      </c>
      <c r="I3069" t="n">
        <v>3</v>
      </c>
      <c r="J3069" t="n">
        <v>0</v>
      </c>
      <c r="K3069" t="n">
        <v>0</v>
      </c>
      <c r="L3069" t="n">
        <v>0</v>
      </c>
      <c r="M3069" t="n">
        <v>0</v>
      </c>
      <c r="N3069" t="n">
        <v>0</v>
      </c>
      <c r="O3069" t="n">
        <v>0</v>
      </c>
      <c r="P3069" t="n">
        <v>0</v>
      </c>
      <c r="Q3069" t="n">
        <v>0</v>
      </c>
      <c r="R3069" t="n">
        <v>0</v>
      </c>
      <c r="S3069" t="n">
        <v>0</v>
      </c>
      <c r="T3069" t="n">
        <v>0</v>
      </c>
      <c r="U3069" t="n">
        <v>0</v>
      </c>
      <c r="V3069" s="2" t="inlineStr"/>
    </row>
    <row r="3070" ht="15" customHeight="1">
      <c r="A3070" t="inlineStr">
        <is>
          <t>A 36906-2024</t>
        </is>
      </c>
      <c r="B3070" t="inlineStr">
        <is>
          <t>avverkningsanmälan</t>
        </is>
      </c>
      <c r="C3070" t="inlineStr">
        <is>
          <t>Föryngringsavverkning</t>
        </is>
      </c>
      <c r="D3070" s="1" t="n">
        <v>45538</v>
      </c>
      <c r="E3070" s="1" t="n">
        <v>46323</v>
      </c>
      <c r="F3070" t="inlineStr">
        <is>
          <t>KALMAR LÄN</t>
        </is>
      </c>
      <c r="G3070" t="inlineStr">
        <is>
          <t>VÄSTERVIK</t>
        </is>
      </c>
      <c r="I3070" t="n">
        <v>2</v>
      </c>
      <c r="J3070" t="n">
        <v>0</v>
      </c>
      <c r="K3070" t="n">
        <v>0</v>
      </c>
      <c r="L3070" t="n">
        <v>0</v>
      </c>
      <c r="M3070" t="n">
        <v>0</v>
      </c>
      <c r="N3070" t="n">
        <v>0</v>
      </c>
      <c r="O3070" t="n">
        <v>0</v>
      </c>
      <c r="P3070" t="n">
        <v>0</v>
      </c>
      <c r="Q3070" t="n">
        <v>0</v>
      </c>
      <c r="R3070" t="n">
        <v>0</v>
      </c>
      <c r="S3070" t="n">
        <v>0</v>
      </c>
      <c r="T3070" t="n">
        <v>0</v>
      </c>
      <c r="U3070" t="n">
        <v>0</v>
      </c>
      <c r="V3070" s="2" t="inlineStr"/>
    </row>
    <row r="3071" ht="15" customHeight="1">
      <c r="A3071" t="inlineStr">
        <is>
          <t>A 36931-2024</t>
        </is>
      </c>
      <c r="B3071" t="inlineStr">
        <is>
          <t>avverkningsanmälan</t>
        </is>
      </c>
      <c r="C3071" t="inlineStr">
        <is>
          <t>Föryngringsavverkning</t>
        </is>
      </c>
      <c r="D3071" s="1" t="n">
        <v>45538</v>
      </c>
      <c r="E3071" s="1" t="n">
        <v>46323</v>
      </c>
      <c r="F3071" t="inlineStr">
        <is>
          <t>KALMAR LÄN</t>
        </is>
      </c>
      <c r="G3071" t="inlineStr">
        <is>
          <t>HULTSFRED</t>
        </is>
      </c>
      <c r="I3071" t="n">
        <v>0.3</v>
      </c>
      <c r="J3071" t="n">
        <v>0</v>
      </c>
      <c r="K3071" t="n">
        <v>0</v>
      </c>
      <c r="L3071" t="n">
        <v>0</v>
      </c>
      <c r="M3071" t="n">
        <v>0</v>
      </c>
      <c r="N3071" t="n">
        <v>0</v>
      </c>
      <c r="O3071" t="n">
        <v>0</v>
      </c>
      <c r="P3071" t="n">
        <v>0</v>
      </c>
      <c r="Q3071" t="n">
        <v>0</v>
      </c>
      <c r="R3071" t="n">
        <v>0</v>
      </c>
      <c r="S3071" t="n">
        <v>0</v>
      </c>
      <c r="T3071" t="n">
        <v>0</v>
      </c>
      <c r="U3071" t="n">
        <v>0</v>
      </c>
      <c r="V3071" s="2" t="inlineStr"/>
    </row>
    <row r="3072" ht="15" customHeight="1">
      <c r="A3072" t="inlineStr">
        <is>
          <t>A 47451-2024</t>
        </is>
      </c>
      <c r="B3072" t="inlineStr">
        <is>
          <t>avverkningsanmälan</t>
        </is>
      </c>
      <c r="C3072" t="inlineStr">
        <is>
          <t>Föryngringsavverkning</t>
        </is>
      </c>
      <c r="D3072" s="1" t="n">
        <v>45587</v>
      </c>
      <c r="E3072" s="1" t="n">
        <v>46323</v>
      </c>
      <c r="F3072" t="inlineStr">
        <is>
          <t>KALMAR LÄN</t>
        </is>
      </c>
      <c r="G3072" t="inlineStr">
        <is>
          <t>EMMABODA</t>
        </is>
      </c>
      <c r="I3072" t="n">
        <v>0.6</v>
      </c>
      <c r="J3072" t="n">
        <v>0</v>
      </c>
      <c r="K3072" t="n">
        <v>0</v>
      </c>
      <c r="L3072" t="n">
        <v>0</v>
      </c>
      <c r="M3072" t="n">
        <v>0</v>
      </c>
      <c r="N3072" t="n">
        <v>0</v>
      </c>
      <c r="O3072" t="n">
        <v>0</v>
      </c>
      <c r="P3072" t="n">
        <v>0</v>
      </c>
      <c r="Q3072" t="n">
        <v>0</v>
      </c>
      <c r="R3072" t="n">
        <v>0</v>
      </c>
      <c r="S3072" t="n">
        <v>0</v>
      </c>
      <c r="T3072" t="n">
        <v>0</v>
      </c>
      <c r="U3072" t="n">
        <v>0</v>
      </c>
      <c r="V3072" s="2" t="inlineStr"/>
    </row>
    <row r="3073" ht="15" customHeight="1">
      <c r="A3073" t="inlineStr">
        <is>
          <t>A 5234-2024</t>
        </is>
      </c>
      <c r="B3073" t="inlineStr">
        <is>
          <t>avverkningsanmälan</t>
        </is>
      </c>
      <c r="C3073" t="inlineStr">
        <is>
          <t>Föryngringsavverkning</t>
        </is>
      </c>
      <c r="D3073" s="1" t="n">
        <v>45330</v>
      </c>
      <c r="E3073" s="1" t="n">
        <v>46323</v>
      </c>
      <c r="F3073" t="inlineStr">
        <is>
          <t>KALMAR LÄN</t>
        </is>
      </c>
      <c r="G3073" t="inlineStr">
        <is>
          <t>VÄSTERVIK</t>
        </is>
      </c>
      <c r="I3073" t="n">
        <v>1.3</v>
      </c>
      <c r="J3073" t="n">
        <v>0</v>
      </c>
      <c r="K3073" t="n">
        <v>0</v>
      </c>
      <c r="L3073" t="n">
        <v>0</v>
      </c>
      <c r="M3073" t="n">
        <v>0</v>
      </c>
      <c r="N3073" t="n">
        <v>0</v>
      </c>
      <c r="O3073" t="n">
        <v>0</v>
      </c>
      <c r="P3073" t="n">
        <v>0</v>
      </c>
      <c r="Q3073" t="n">
        <v>0</v>
      </c>
      <c r="R3073" t="n">
        <v>0</v>
      </c>
      <c r="S3073" t="n">
        <v>0</v>
      </c>
      <c r="T3073" t="n">
        <v>0</v>
      </c>
      <c r="U3073" t="n">
        <v>0</v>
      </c>
      <c r="V3073" s="2" t="inlineStr"/>
    </row>
    <row r="3074" ht="15" customHeight="1">
      <c r="A3074" t="inlineStr">
        <is>
          <t>A 43601-2024</t>
        </is>
      </c>
      <c r="B3074" t="inlineStr">
        <is>
          <t>avverkningsanmälan</t>
        </is>
      </c>
      <c r="C3074" t="inlineStr">
        <is>
          <t>Föryngringsavverkning</t>
        </is>
      </c>
      <c r="D3074" s="1" t="n">
        <v>45569</v>
      </c>
      <c r="E3074" s="1" t="n">
        <v>46323</v>
      </c>
      <c r="F3074" t="inlineStr">
        <is>
          <t>KALMAR LÄN</t>
        </is>
      </c>
      <c r="G3074" t="inlineStr">
        <is>
          <t>VIMMERBY</t>
        </is>
      </c>
      <c r="I3074" t="n">
        <v>0.5</v>
      </c>
      <c r="J3074" t="n">
        <v>0</v>
      </c>
      <c r="K3074" t="n">
        <v>0</v>
      </c>
      <c r="L3074" t="n">
        <v>0</v>
      </c>
      <c r="M3074" t="n">
        <v>0</v>
      </c>
      <c r="N3074" t="n">
        <v>0</v>
      </c>
      <c r="O3074" t="n">
        <v>0</v>
      </c>
      <c r="P3074" t="n">
        <v>0</v>
      </c>
      <c r="Q3074" t="n">
        <v>0</v>
      </c>
      <c r="R3074" t="n">
        <v>0</v>
      </c>
      <c r="S3074" t="n">
        <v>0</v>
      </c>
      <c r="T3074" t="n">
        <v>0</v>
      </c>
      <c r="U3074" t="n">
        <v>0</v>
      </c>
      <c r="V3074" s="2" t="inlineStr"/>
    </row>
    <row r="3075" ht="15" customHeight="1">
      <c r="A3075" t="inlineStr">
        <is>
          <t>A 43603-2024</t>
        </is>
      </c>
      <c r="B3075" t="inlineStr">
        <is>
          <t>avverkningsanmälan</t>
        </is>
      </c>
      <c r="C3075" t="inlineStr">
        <is>
          <t>Föryngringsavverkning</t>
        </is>
      </c>
      <c r="D3075" s="1" t="n">
        <v>45569</v>
      </c>
      <c r="E3075" s="1" t="n">
        <v>46323</v>
      </c>
      <c r="F3075" t="inlineStr">
        <is>
          <t>KALMAR LÄN</t>
        </is>
      </c>
      <c r="G3075" t="inlineStr">
        <is>
          <t>BORGHOLM</t>
        </is>
      </c>
      <c r="I3075" t="n">
        <v>3.8</v>
      </c>
      <c r="J3075" t="n">
        <v>0</v>
      </c>
      <c r="K3075" t="n">
        <v>0</v>
      </c>
      <c r="L3075" t="n">
        <v>0</v>
      </c>
      <c r="M3075" t="n">
        <v>0</v>
      </c>
      <c r="N3075" t="n">
        <v>0</v>
      </c>
      <c r="O3075" t="n">
        <v>0</v>
      </c>
      <c r="P3075" t="n">
        <v>0</v>
      </c>
      <c r="Q3075" t="n">
        <v>0</v>
      </c>
      <c r="R3075" t="n">
        <v>0</v>
      </c>
      <c r="S3075" t="n">
        <v>0</v>
      </c>
      <c r="T3075" t="n">
        <v>0</v>
      </c>
      <c r="U3075" t="n">
        <v>0</v>
      </c>
      <c r="V3075" s="2" t="inlineStr"/>
    </row>
    <row r="3076" ht="15" customHeight="1">
      <c r="A3076" t="inlineStr">
        <is>
          <t>A 41066-2024</t>
        </is>
      </c>
      <c r="B3076" t="inlineStr">
        <is>
          <t>avverkningsanmälan</t>
        </is>
      </c>
      <c r="C3076" t="inlineStr">
        <is>
          <t>Föryngringsavverkning</t>
        </is>
      </c>
      <c r="D3076" s="1" t="n">
        <v>45559</v>
      </c>
      <c r="E3076" s="1" t="n">
        <v>46323</v>
      </c>
      <c r="F3076" t="inlineStr">
        <is>
          <t>KALMAR LÄN</t>
        </is>
      </c>
      <c r="G3076" t="inlineStr">
        <is>
          <t>VIMMERBY</t>
        </is>
      </c>
      <c r="I3076" t="n">
        <v>2.4</v>
      </c>
      <c r="J3076" t="n">
        <v>0</v>
      </c>
      <c r="K3076" t="n">
        <v>0</v>
      </c>
      <c r="L3076" t="n">
        <v>0</v>
      </c>
      <c r="M3076" t="n">
        <v>0</v>
      </c>
      <c r="N3076" t="n">
        <v>0</v>
      </c>
      <c r="O3076" t="n">
        <v>0</v>
      </c>
      <c r="P3076" t="n">
        <v>0</v>
      </c>
      <c r="Q3076" t="n">
        <v>0</v>
      </c>
      <c r="R3076" t="n">
        <v>0</v>
      </c>
      <c r="S3076" t="n">
        <v>0</v>
      </c>
      <c r="T3076" t="n">
        <v>0</v>
      </c>
      <c r="U3076" t="n">
        <v>0</v>
      </c>
      <c r="V3076" s="2" t="inlineStr"/>
    </row>
    <row r="3077" ht="15" customHeight="1">
      <c r="A3077" t="inlineStr">
        <is>
          <t>A 7969-2024</t>
        </is>
      </c>
      <c r="B3077" t="inlineStr">
        <is>
          <t>avverkningsanmälan</t>
        </is>
      </c>
      <c r="C3077" t="inlineStr">
        <is>
          <t>Föryngringsavverkning</t>
        </is>
      </c>
      <c r="D3077" s="1" t="n">
        <v>45350</v>
      </c>
      <c r="E3077" s="1" t="n">
        <v>46323</v>
      </c>
      <c r="F3077" t="inlineStr">
        <is>
          <t>KALMAR LÄN</t>
        </is>
      </c>
      <c r="G3077" t="inlineStr">
        <is>
          <t>TORSÅS</t>
        </is>
      </c>
      <c r="I3077" t="n">
        <v>13.8</v>
      </c>
      <c r="J3077" t="n">
        <v>0</v>
      </c>
      <c r="K3077" t="n">
        <v>0</v>
      </c>
      <c r="L3077" t="n">
        <v>0</v>
      </c>
      <c r="M3077" t="n">
        <v>0</v>
      </c>
      <c r="N3077" t="n">
        <v>0</v>
      </c>
      <c r="O3077" t="n">
        <v>0</v>
      </c>
      <c r="P3077" t="n">
        <v>0</v>
      </c>
      <c r="Q3077" t="n">
        <v>0</v>
      </c>
      <c r="R3077" t="n">
        <v>0</v>
      </c>
      <c r="S3077" t="n">
        <v>0</v>
      </c>
      <c r="T3077" t="n">
        <v>0</v>
      </c>
      <c r="U3077" t="n">
        <v>0</v>
      </c>
      <c r="V3077" s="2" t="inlineStr"/>
    </row>
    <row r="3078" ht="15" customHeight="1">
      <c r="A3078" t="inlineStr">
        <is>
          <t>A 59958-2022</t>
        </is>
      </c>
      <c r="B3078" t="inlineStr">
        <is>
          <t>avverkningsanmälan</t>
        </is>
      </c>
      <c r="C3078" t="inlineStr">
        <is>
          <t>Föryngringsavverkning</t>
        </is>
      </c>
      <c r="D3078" s="1" t="n">
        <v>44909</v>
      </c>
      <c r="E3078" s="1" t="n">
        <v>46323</v>
      </c>
      <c r="F3078" t="inlineStr">
        <is>
          <t>KALMAR LÄN</t>
        </is>
      </c>
      <c r="G3078" t="inlineStr">
        <is>
          <t>KALMAR</t>
        </is>
      </c>
      <c r="I3078" t="n">
        <v>2.2</v>
      </c>
      <c r="J3078" t="n">
        <v>0</v>
      </c>
      <c r="K3078" t="n">
        <v>0</v>
      </c>
      <c r="L3078" t="n">
        <v>0</v>
      </c>
      <c r="M3078" t="n">
        <v>0</v>
      </c>
      <c r="N3078" t="n">
        <v>0</v>
      </c>
      <c r="O3078" t="n">
        <v>0</v>
      </c>
      <c r="P3078" t="n">
        <v>0</v>
      </c>
      <c r="Q3078" t="n">
        <v>0</v>
      </c>
      <c r="R3078" t="n">
        <v>0</v>
      </c>
      <c r="S3078" t="n">
        <v>0</v>
      </c>
      <c r="T3078" t="n">
        <v>0</v>
      </c>
      <c r="U3078" t="n">
        <v>0</v>
      </c>
      <c r="V3078" s="2" t="inlineStr"/>
    </row>
    <row r="3079" ht="15" customHeight="1">
      <c r="A3079" t="inlineStr">
        <is>
          <t>A 8361-2023</t>
        </is>
      </c>
      <c r="B3079" t="inlineStr">
        <is>
          <t>avverkningsanmälan</t>
        </is>
      </c>
      <c r="C3079" t="inlineStr">
        <is>
          <t>Föryngringsavverkning</t>
        </is>
      </c>
      <c r="D3079" s="1" t="n">
        <v>44977</v>
      </c>
      <c r="E3079" s="1" t="n">
        <v>46323</v>
      </c>
      <c r="F3079" t="inlineStr">
        <is>
          <t>KALMAR LÄN</t>
        </is>
      </c>
      <c r="G3079" t="inlineStr">
        <is>
          <t>EMMABODA</t>
        </is>
      </c>
      <c r="I3079" t="n">
        <v>1</v>
      </c>
      <c r="J3079" t="n">
        <v>0</v>
      </c>
      <c r="K3079" t="n">
        <v>0</v>
      </c>
      <c r="L3079" t="n">
        <v>0</v>
      </c>
      <c r="M3079" t="n">
        <v>0</v>
      </c>
      <c r="N3079" t="n">
        <v>0</v>
      </c>
      <c r="O3079" t="n">
        <v>0</v>
      </c>
      <c r="P3079" t="n">
        <v>0</v>
      </c>
      <c r="Q3079" t="n">
        <v>0</v>
      </c>
      <c r="R3079" t="n">
        <v>0</v>
      </c>
      <c r="S3079" t="n">
        <v>0</v>
      </c>
      <c r="T3079" t="n">
        <v>0</v>
      </c>
      <c r="U3079" t="n">
        <v>0</v>
      </c>
      <c r="V3079" s="2" t="inlineStr"/>
    </row>
    <row r="3080" ht="15" customHeight="1">
      <c r="A3080" t="inlineStr">
        <is>
          <t>A 3389-2023</t>
        </is>
      </c>
      <c r="B3080" t="inlineStr">
        <is>
          <t>avverkningsanmälan</t>
        </is>
      </c>
      <c r="C3080" t="inlineStr">
        <is>
          <t>Föryngringsavverkning</t>
        </is>
      </c>
      <c r="D3080" s="1" t="n">
        <v>44949</v>
      </c>
      <c r="E3080" s="1" t="n">
        <v>46323</v>
      </c>
      <c r="F3080" t="inlineStr">
        <is>
          <t>KALMAR LÄN</t>
        </is>
      </c>
      <c r="G3080" t="inlineStr">
        <is>
          <t>TORSÅS</t>
        </is>
      </c>
      <c r="I3080" t="n">
        <v>2.9</v>
      </c>
      <c r="J3080" t="n">
        <v>0</v>
      </c>
      <c r="K3080" t="n">
        <v>0</v>
      </c>
      <c r="L3080" t="n">
        <v>0</v>
      </c>
      <c r="M3080" t="n">
        <v>0</v>
      </c>
      <c r="N3080" t="n">
        <v>0</v>
      </c>
      <c r="O3080" t="n">
        <v>0</v>
      </c>
      <c r="P3080" t="n">
        <v>0</v>
      </c>
      <c r="Q3080" t="n">
        <v>0</v>
      </c>
      <c r="R3080" t="n">
        <v>0</v>
      </c>
      <c r="S3080" t="n">
        <v>0</v>
      </c>
      <c r="T3080" t="n">
        <v>0</v>
      </c>
      <c r="U3080" t="n">
        <v>0</v>
      </c>
      <c r="V3080" s="2" t="inlineStr"/>
    </row>
    <row r="3081" ht="15" customHeight="1">
      <c r="A3081" t="inlineStr">
        <is>
          <t>A 4400-2024</t>
        </is>
      </c>
      <c r="B3081" t="inlineStr">
        <is>
          <t>avverkningsanmälan</t>
        </is>
      </c>
      <c r="C3081" t="inlineStr">
        <is>
          <t>Föryngringsavverkning</t>
        </is>
      </c>
      <c r="D3081" s="1" t="n">
        <v>45327</v>
      </c>
      <c r="E3081" s="1" t="n">
        <v>46323</v>
      </c>
      <c r="F3081" t="inlineStr">
        <is>
          <t>KALMAR LÄN</t>
        </is>
      </c>
      <c r="G3081" t="inlineStr">
        <is>
          <t>EMMABODA</t>
        </is>
      </c>
      <c r="I3081" t="n">
        <v>2.4</v>
      </c>
      <c r="J3081" t="n">
        <v>0</v>
      </c>
      <c r="K3081" t="n">
        <v>0</v>
      </c>
      <c r="L3081" t="n">
        <v>0</v>
      </c>
      <c r="M3081" t="n">
        <v>0</v>
      </c>
      <c r="N3081" t="n">
        <v>0</v>
      </c>
      <c r="O3081" t="n">
        <v>0</v>
      </c>
      <c r="P3081" t="n">
        <v>0</v>
      </c>
      <c r="Q3081" t="n">
        <v>0</v>
      </c>
      <c r="R3081" t="n">
        <v>0</v>
      </c>
      <c r="S3081" t="n">
        <v>0</v>
      </c>
      <c r="T3081" t="n">
        <v>0</v>
      </c>
      <c r="U3081" t="n">
        <v>0</v>
      </c>
      <c r="V3081" s="2" t="inlineStr"/>
    </row>
    <row r="3082" ht="15" customHeight="1">
      <c r="A3082" t="inlineStr">
        <is>
          <t>A 17934-2022</t>
        </is>
      </c>
      <c r="B3082" t="inlineStr">
        <is>
          <t>avverkningsanmälan</t>
        </is>
      </c>
      <c r="C3082" t="inlineStr">
        <is>
          <t>Föryngringsavverkning</t>
        </is>
      </c>
      <c r="D3082" s="1" t="n">
        <v>44683</v>
      </c>
      <c r="E3082" s="1" t="n">
        <v>46323</v>
      </c>
      <c r="F3082" t="inlineStr">
        <is>
          <t>KALMAR LÄN</t>
        </is>
      </c>
      <c r="G3082" t="inlineStr">
        <is>
          <t>EMMABODA</t>
        </is>
      </c>
      <c r="I3082" t="n">
        <v>1.1</v>
      </c>
      <c r="J3082" t="n">
        <v>0</v>
      </c>
      <c r="K3082" t="n">
        <v>0</v>
      </c>
      <c r="L3082" t="n">
        <v>0</v>
      </c>
      <c r="M3082" t="n">
        <v>0</v>
      </c>
      <c r="N3082" t="n">
        <v>0</v>
      </c>
      <c r="O3082" t="n">
        <v>0</v>
      </c>
      <c r="P3082" t="n">
        <v>0</v>
      </c>
      <c r="Q3082" t="n">
        <v>0</v>
      </c>
      <c r="R3082" t="n">
        <v>0</v>
      </c>
      <c r="S3082" t="n">
        <v>0</v>
      </c>
      <c r="T3082" t="n">
        <v>0</v>
      </c>
      <c r="U3082" t="n">
        <v>0</v>
      </c>
      <c r="V3082" s="2" t="inlineStr"/>
    </row>
    <row r="3083" ht="15" customHeight="1">
      <c r="A3083" t="inlineStr">
        <is>
          <t>A 31799-2023</t>
        </is>
      </c>
      <c r="B3083" t="inlineStr">
        <is>
          <t>avverkningsanmälan</t>
        </is>
      </c>
      <c r="C3083" t="inlineStr">
        <is>
          <t>Föryngringsavverkning</t>
        </is>
      </c>
      <c r="D3083" s="1" t="n">
        <v>45118</v>
      </c>
      <c r="E3083" s="1" t="n">
        <v>46323</v>
      </c>
      <c r="F3083" t="inlineStr">
        <is>
          <t>KALMAR LÄN</t>
        </is>
      </c>
      <c r="G3083" t="inlineStr">
        <is>
          <t>NYBRO</t>
        </is>
      </c>
      <c r="I3083" t="n">
        <v>2.4</v>
      </c>
      <c r="J3083" t="n">
        <v>0</v>
      </c>
      <c r="K3083" t="n">
        <v>0</v>
      </c>
      <c r="L3083" t="n">
        <v>0</v>
      </c>
      <c r="M3083" t="n">
        <v>0</v>
      </c>
      <c r="N3083" t="n">
        <v>0</v>
      </c>
      <c r="O3083" t="n">
        <v>0</v>
      </c>
      <c r="P3083" t="n">
        <v>0</v>
      </c>
      <c r="Q3083" t="n">
        <v>0</v>
      </c>
      <c r="R3083" t="n">
        <v>0</v>
      </c>
      <c r="S3083" t="n">
        <v>0</v>
      </c>
      <c r="T3083" t="n">
        <v>0</v>
      </c>
      <c r="U3083" t="n">
        <v>0</v>
      </c>
      <c r="V3083" s="2" t="inlineStr"/>
    </row>
    <row r="3084" ht="15" customHeight="1">
      <c r="A3084" t="inlineStr">
        <is>
          <t>A 31806-2023</t>
        </is>
      </c>
      <c r="B3084" t="inlineStr">
        <is>
          <t>avverkningsanmälan</t>
        </is>
      </c>
      <c r="C3084" t="inlineStr">
        <is>
          <t>Föryngringsavverkning</t>
        </is>
      </c>
      <c r="D3084" s="1" t="n">
        <v>45118</v>
      </c>
      <c r="E3084" s="1" t="n">
        <v>46323</v>
      </c>
      <c r="F3084" t="inlineStr">
        <is>
          <t>KALMAR LÄN</t>
        </is>
      </c>
      <c r="G3084" t="inlineStr">
        <is>
          <t>KALMAR</t>
        </is>
      </c>
      <c r="I3084" t="n">
        <v>0.6</v>
      </c>
      <c r="J3084" t="n">
        <v>0</v>
      </c>
      <c r="K3084" t="n">
        <v>0</v>
      </c>
      <c r="L3084" t="n">
        <v>0</v>
      </c>
      <c r="M3084" t="n">
        <v>0</v>
      </c>
      <c r="N3084" t="n">
        <v>0</v>
      </c>
      <c r="O3084" t="n">
        <v>0</v>
      </c>
      <c r="P3084" t="n">
        <v>0</v>
      </c>
      <c r="Q3084" t="n">
        <v>0</v>
      </c>
      <c r="R3084" t="n">
        <v>0</v>
      </c>
      <c r="S3084" t="n">
        <v>0</v>
      </c>
      <c r="T3084" t="n">
        <v>0</v>
      </c>
      <c r="U3084" t="n">
        <v>0</v>
      </c>
      <c r="V3084" s="2" t="inlineStr"/>
    </row>
    <row r="3085" ht="15" customHeight="1">
      <c r="A3085" t="inlineStr">
        <is>
          <t>A 58894-2023</t>
        </is>
      </c>
      <c r="B3085" t="inlineStr">
        <is>
          <t>avverkningsanmälan</t>
        </is>
      </c>
      <c r="C3085" t="inlineStr">
        <is>
          <t>Föryngringsavverkning</t>
        </is>
      </c>
      <c r="D3085" s="1" t="n">
        <v>45250</v>
      </c>
      <c r="E3085" s="1" t="n">
        <v>46323</v>
      </c>
      <c r="F3085" t="inlineStr">
        <is>
          <t>KALMAR LÄN</t>
        </is>
      </c>
      <c r="G3085" t="inlineStr">
        <is>
          <t>MÖNSTERÅS</t>
        </is>
      </c>
      <c r="I3085" t="n">
        <v>1.4</v>
      </c>
      <c r="J3085" t="n">
        <v>0</v>
      </c>
      <c r="K3085" t="n">
        <v>0</v>
      </c>
      <c r="L3085" t="n">
        <v>0</v>
      </c>
      <c r="M3085" t="n">
        <v>0</v>
      </c>
      <c r="N3085" t="n">
        <v>0</v>
      </c>
      <c r="O3085" t="n">
        <v>0</v>
      </c>
      <c r="P3085" t="n">
        <v>0</v>
      </c>
      <c r="Q3085" t="n">
        <v>0</v>
      </c>
      <c r="R3085" t="n">
        <v>0</v>
      </c>
      <c r="S3085" t="n">
        <v>0</v>
      </c>
      <c r="T3085" t="n">
        <v>0</v>
      </c>
      <c r="U3085" t="n">
        <v>0</v>
      </c>
      <c r="V3085" s="2" t="inlineStr"/>
    </row>
    <row r="3086" ht="15" customHeight="1">
      <c r="A3086" t="inlineStr">
        <is>
          <t>A 32681-2023</t>
        </is>
      </c>
      <c r="B3086" t="inlineStr">
        <is>
          <t>avverkningsanmälan</t>
        </is>
      </c>
      <c r="C3086" t="inlineStr">
        <is>
          <t>Föryngringsavverkning</t>
        </is>
      </c>
      <c r="D3086" s="1" t="n">
        <v>45121</v>
      </c>
      <c r="E3086" s="1" t="n">
        <v>46323</v>
      </c>
      <c r="F3086" t="inlineStr">
        <is>
          <t>KALMAR LÄN</t>
        </is>
      </c>
      <c r="G3086" t="inlineStr">
        <is>
          <t>NYBRO</t>
        </is>
      </c>
      <c r="I3086" t="n">
        <v>2.3</v>
      </c>
      <c r="J3086" t="n">
        <v>0</v>
      </c>
      <c r="K3086" t="n">
        <v>0</v>
      </c>
      <c r="L3086" t="n">
        <v>0</v>
      </c>
      <c r="M3086" t="n">
        <v>0</v>
      </c>
      <c r="N3086" t="n">
        <v>0</v>
      </c>
      <c r="O3086" t="n">
        <v>0</v>
      </c>
      <c r="P3086" t="n">
        <v>0</v>
      </c>
      <c r="Q3086" t="n">
        <v>0</v>
      </c>
      <c r="R3086" t="n">
        <v>0</v>
      </c>
      <c r="S3086" t="n">
        <v>0</v>
      </c>
      <c r="T3086" t="n">
        <v>0</v>
      </c>
      <c r="U3086" t="n">
        <v>0</v>
      </c>
      <c r="V3086" s="2" t="inlineStr"/>
    </row>
    <row r="3087" ht="15" customHeight="1">
      <c r="A3087" t="inlineStr">
        <is>
          <t>A 64453-2023</t>
        </is>
      </c>
      <c r="B3087" t="inlineStr">
        <is>
          <t>avverkningsanmälan</t>
        </is>
      </c>
      <c r="C3087" t="inlineStr">
        <is>
          <t>Föryngringsavverkning</t>
        </is>
      </c>
      <c r="D3087" s="1" t="n">
        <v>45280</v>
      </c>
      <c r="E3087" s="1" t="n">
        <v>46323</v>
      </c>
      <c r="F3087" t="inlineStr">
        <is>
          <t>KALMAR LÄN</t>
        </is>
      </c>
      <c r="G3087" t="inlineStr">
        <is>
          <t>NYBRO</t>
        </is>
      </c>
      <c r="I3087" t="n">
        <v>0.5</v>
      </c>
      <c r="J3087" t="n">
        <v>0</v>
      </c>
      <c r="K3087" t="n">
        <v>0</v>
      </c>
      <c r="L3087" t="n">
        <v>0</v>
      </c>
      <c r="M3087" t="n">
        <v>0</v>
      </c>
      <c r="N3087" t="n">
        <v>0</v>
      </c>
      <c r="O3087" t="n">
        <v>0</v>
      </c>
      <c r="P3087" t="n">
        <v>0</v>
      </c>
      <c r="Q3087" t="n">
        <v>0</v>
      </c>
      <c r="R3087" t="n">
        <v>0</v>
      </c>
      <c r="S3087" t="n">
        <v>0</v>
      </c>
      <c r="T3087" t="n">
        <v>0</v>
      </c>
      <c r="U3087" t="n">
        <v>0</v>
      </c>
      <c r="V3087" s="2" t="inlineStr"/>
    </row>
    <row r="3088" ht="15" customHeight="1">
      <c r="A3088" t="inlineStr">
        <is>
          <t>A 64474-2023</t>
        </is>
      </c>
      <c r="B3088" t="inlineStr">
        <is>
          <t>avverkningsanmälan</t>
        </is>
      </c>
      <c r="C3088" t="inlineStr">
        <is>
          <t>Föryngringsavverkning</t>
        </is>
      </c>
      <c r="D3088" s="1" t="n">
        <v>45280</v>
      </c>
      <c r="E3088" s="1" t="n">
        <v>46323</v>
      </c>
      <c r="F3088" t="inlineStr">
        <is>
          <t>KALMAR LÄN</t>
        </is>
      </c>
      <c r="G3088" t="inlineStr">
        <is>
          <t>OSKARSHAMN</t>
        </is>
      </c>
      <c r="I3088" t="n">
        <v>2</v>
      </c>
      <c r="J3088" t="n">
        <v>0</v>
      </c>
      <c r="K3088" t="n">
        <v>0</v>
      </c>
      <c r="L3088" t="n">
        <v>0</v>
      </c>
      <c r="M3088" t="n">
        <v>0</v>
      </c>
      <c r="N3088" t="n">
        <v>0</v>
      </c>
      <c r="O3088" t="n">
        <v>0</v>
      </c>
      <c r="P3088" t="n">
        <v>0</v>
      </c>
      <c r="Q3088" t="n">
        <v>0</v>
      </c>
      <c r="R3088" t="n">
        <v>0</v>
      </c>
      <c r="S3088" t="n">
        <v>0</v>
      </c>
      <c r="T3088" t="n">
        <v>0</v>
      </c>
      <c r="U3088" t="n">
        <v>0</v>
      </c>
      <c r="V3088" s="2" t="inlineStr"/>
    </row>
    <row r="3089" ht="15" customHeight="1">
      <c r="A3089" t="inlineStr">
        <is>
          <t>A 64476-2023</t>
        </is>
      </c>
      <c r="B3089" t="inlineStr">
        <is>
          <t>avverkningsanmälan</t>
        </is>
      </c>
      <c r="C3089" t="inlineStr">
        <is>
          <t>Föryngringsavverkning</t>
        </is>
      </c>
      <c r="D3089" s="1" t="n">
        <v>45280</v>
      </c>
      <c r="E3089" s="1" t="n">
        <v>46323</v>
      </c>
      <c r="F3089" t="inlineStr">
        <is>
          <t>KALMAR LÄN</t>
        </is>
      </c>
      <c r="G3089" t="inlineStr">
        <is>
          <t>OSKARSHAMN</t>
        </is>
      </c>
      <c r="I3089" t="n">
        <v>0.9</v>
      </c>
      <c r="J3089" t="n">
        <v>0</v>
      </c>
      <c r="K3089" t="n">
        <v>0</v>
      </c>
      <c r="L3089" t="n">
        <v>0</v>
      </c>
      <c r="M3089" t="n">
        <v>0</v>
      </c>
      <c r="N3089" t="n">
        <v>0</v>
      </c>
      <c r="O3089" t="n">
        <v>0</v>
      </c>
      <c r="P3089" t="n">
        <v>0</v>
      </c>
      <c r="Q3089" t="n">
        <v>0</v>
      </c>
      <c r="R3089" t="n">
        <v>0</v>
      </c>
      <c r="S3089" t="n">
        <v>0</v>
      </c>
      <c r="T3089" t="n">
        <v>0</v>
      </c>
      <c r="U3089" t="n">
        <v>0</v>
      </c>
      <c r="V3089" s="2" t="inlineStr"/>
    </row>
    <row r="3090" ht="15" customHeight="1">
      <c r="A3090" t="inlineStr">
        <is>
          <t>A 70680-2021</t>
        </is>
      </c>
      <c r="B3090" t="inlineStr">
        <is>
          <t>avverkningsanmälan</t>
        </is>
      </c>
      <c r="C3090" t="inlineStr">
        <is>
          <t>Föryngringsavverkning</t>
        </is>
      </c>
      <c r="D3090" s="1" t="n">
        <v>44537</v>
      </c>
      <c r="E3090" s="1" t="n">
        <v>46323</v>
      </c>
      <c r="F3090" t="inlineStr">
        <is>
          <t>KALMAR LÄN</t>
        </is>
      </c>
      <c r="G3090" t="inlineStr">
        <is>
          <t>MÖNSTERÅS</t>
        </is>
      </c>
      <c r="I3090" t="n">
        <v>6.6</v>
      </c>
      <c r="J3090" t="n">
        <v>0</v>
      </c>
      <c r="K3090" t="n">
        <v>0</v>
      </c>
      <c r="L3090" t="n">
        <v>0</v>
      </c>
      <c r="M3090" t="n">
        <v>0</v>
      </c>
      <c r="N3090" t="n">
        <v>0</v>
      </c>
      <c r="O3090" t="n">
        <v>0</v>
      </c>
      <c r="P3090" t="n">
        <v>0</v>
      </c>
      <c r="Q3090" t="n">
        <v>0</v>
      </c>
      <c r="R3090" t="n">
        <v>0</v>
      </c>
      <c r="S3090" t="n">
        <v>0</v>
      </c>
      <c r="T3090" t="n">
        <v>0</v>
      </c>
      <c r="U3090" t="n">
        <v>0</v>
      </c>
      <c r="V3090" s="2" t="inlineStr"/>
    </row>
    <row r="3091" ht="15" customHeight="1">
      <c r="A3091" t="inlineStr">
        <is>
          <t>A 17216-2023</t>
        </is>
      </c>
      <c r="B3091" t="inlineStr">
        <is>
          <t>avverkningsanmälan</t>
        </is>
      </c>
      <c r="C3091" t="inlineStr">
        <is>
          <t>Föryngringsavverkning</t>
        </is>
      </c>
      <c r="D3091" s="1" t="n">
        <v>45034</v>
      </c>
      <c r="E3091" s="1" t="n">
        <v>46323</v>
      </c>
      <c r="F3091" t="inlineStr">
        <is>
          <t>KALMAR LÄN</t>
        </is>
      </c>
      <c r="G3091" t="inlineStr">
        <is>
          <t>HÖGSBY</t>
        </is>
      </c>
      <c r="I3091" t="n">
        <v>0.6</v>
      </c>
      <c r="J3091" t="n">
        <v>0</v>
      </c>
      <c r="K3091" t="n">
        <v>0</v>
      </c>
      <c r="L3091" t="n">
        <v>0</v>
      </c>
      <c r="M3091" t="n">
        <v>0</v>
      </c>
      <c r="N3091" t="n">
        <v>0</v>
      </c>
      <c r="O3091" t="n">
        <v>0</v>
      </c>
      <c r="P3091" t="n">
        <v>0</v>
      </c>
      <c r="Q3091" t="n">
        <v>0</v>
      </c>
      <c r="R3091" t="n">
        <v>0</v>
      </c>
      <c r="S3091" t="n">
        <v>0</v>
      </c>
      <c r="T3091" t="n">
        <v>0</v>
      </c>
      <c r="U3091" t="n">
        <v>0</v>
      </c>
      <c r="V3091" s="2" t="inlineStr"/>
    </row>
    <row r="3092" ht="15" customHeight="1">
      <c r="A3092" t="inlineStr">
        <is>
          <t>A 63075-2023</t>
        </is>
      </c>
      <c r="B3092" t="inlineStr">
        <is>
          <t>avverkningsanmälan</t>
        </is>
      </c>
      <c r="C3092" t="inlineStr">
        <is>
          <t>Avverkning för annat ändamål</t>
        </is>
      </c>
      <c r="D3092" s="1" t="n">
        <v>45273</v>
      </c>
      <c r="E3092" s="1" t="n">
        <v>46323</v>
      </c>
      <c r="F3092" t="inlineStr">
        <is>
          <t>KALMAR LÄN</t>
        </is>
      </c>
      <c r="G3092" t="inlineStr">
        <is>
          <t>BORGHOLM</t>
        </is>
      </c>
      <c r="I3092" t="n">
        <v>1.1</v>
      </c>
      <c r="J3092" t="n">
        <v>0</v>
      </c>
      <c r="K3092" t="n">
        <v>0</v>
      </c>
      <c r="L3092" t="n">
        <v>0</v>
      </c>
      <c r="M3092" t="n">
        <v>0</v>
      </c>
      <c r="N3092" t="n">
        <v>0</v>
      </c>
      <c r="O3092" t="n">
        <v>0</v>
      </c>
      <c r="P3092" t="n">
        <v>0</v>
      </c>
      <c r="Q3092" t="n">
        <v>0</v>
      </c>
      <c r="R3092" t="n">
        <v>0</v>
      </c>
      <c r="S3092" t="n">
        <v>0</v>
      </c>
      <c r="T3092" t="n">
        <v>0</v>
      </c>
      <c r="U3092" t="n">
        <v>0</v>
      </c>
      <c r="V3092" s="2" t="inlineStr"/>
    </row>
    <row r="3093" ht="15" customHeight="1">
      <c r="A3093" t="inlineStr">
        <is>
          <t>A 57006-2024</t>
        </is>
      </c>
      <c r="B3093" t="inlineStr">
        <is>
          <t>avverkningsanmälan</t>
        </is>
      </c>
      <c r="C3093" t="inlineStr">
        <is>
          <t>Avverkning för annat ändamål</t>
        </is>
      </c>
      <c r="D3093" s="1" t="n">
        <v>45626</v>
      </c>
      <c r="E3093" s="1" t="n">
        <v>46323</v>
      </c>
      <c r="F3093" t="inlineStr">
        <is>
          <t>KALMAR LÄN</t>
        </is>
      </c>
      <c r="G3093" t="inlineStr">
        <is>
          <t>HÖGSBY</t>
        </is>
      </c>
      <c r="I3093" t="n">
        <v>1.1</v>
      </c>
      <c r="J3093" t="n">
        <v>0</v>
      </c>
      <c r="K3093" t="n">
        <v>0</v>
      </c>
      <c r="L3093" t="n">
        <v>0</v>
      </c>
      <c r="M3093" t="n">
        <v>0</v>
      </c>
      <c r="N3093" t="n">
        <v>0</v>
      </c>
      <c r="O3093" t="n">
        <v>0</v>
      </c>
      <c r="P3093" t="n">
        <v>0</v>
      </c>
      <c r="Q3093" t="n">
        <v>0</v>
      </c>
      <c r="R3093" t="n">
        <v>0</v>
      </c>
      <c r="S3093" t="n">
        <v>0</v>
      </c>
      <c r="T3093" t="n">
        <v>0</v>
      </c>
      <c r="U3093" t="n">
        <v>0</v>
      </c>
      <c r="V3093" s="2" t="inlineStr"/>
    </row>
    <row r="3094" ht="15" customHeight="1">
      <c r="A3094" t="inlineStr">
        <is>
          <t>A 32757-2023</t>
        </is>
      </c>
      <c r="B3094" t="inlineStr">
        <is>
          <t>avverkningsanmälan</t>
        </is>
      </c>
      <c r="C3094" t="inlineStr">
        <is>
          <t>Föryngringsavverkning</t>
        </is>
      </c>
      <c r="D3094" s="1" t="n">
        <v>45123</v>
      </c>
      <c r="E3094" s="1" t="n">
        <v>46323</v>
      </c>
      <c r="F3094" t="inlineStr">
        <is>
          <t>KALMAR LÄN</t>
        </is>
      </c>
      <c r="G3094" t="inlineStr">
        <is>
          <t>NYBRO</t>
        </is>
      </c>
      <c r="I3094" t="n">
        <v>2.7</v>
      </c>
      <c r="J3094" t="n">
        <v>0</v>
      </c>
      <c r="K3094" t="n">
        <v>0</v>
      </c>
      <c r="L3094" t="n">
        <v>0</v>
      </c>
      <c r="M3094" t="n">
        <v>0</v>
      </c>
      <c r="N3094" t="n">
        <v>0</v>
      </c>
      <c r="O3094" t="n">
        <v>0</v>
      </c>
      <c r="P3094" t="n">
        <v>0</v>
      </c>
      <c r="Q3094" t="n">
        <v>0</v>
      </c>
      <c r="R3094" t="n">
        <v>0</v>
      </c>
      <c r="S3094" t="n">
        <v>0</v>
      </c>
      <c r="T3094" t="n">
        <v>0</v>
      </c>
      <c r="U3094" t="n">
        <v>0</v>
      </c>
      <c r="V3094" s="2" t="inlineStr"/>
    </row>
    <row r="3095" ht="15" customHeight="1">
      <c r="A3095" t="inlineStr">
        <is>
          <t>A 64514-2021</t>
        </is>
      </c>
      <c r="B3095" t="inlineStr">
        <is>
          <t>avverkningsanmälan</t>
        </is>
      </c>
      <c r="C3095" t="inlineStr">
        <is>
          <t>Föryngringsavverkning</t>
        </is>
      </c>
      <c r="D3095" s="1" t="n">
        <v>44511</v>
      </c>
      <c r="E3095" s="1" t="n">
        <v>46323</v>
      </c>
      <c r="F3095" t="inlineStr">
        <is>
          <t>KALMAR LÄN</t>
        </is>
      </c>
      <c r="G3095" t="inlineStr">
        <is>
          <t>MÖNSTERÅS</t>
        </is>
      </c>
      <c r="I3095" t="n">
        <v>5.6</v>
      </c>
      <c r="J3095" t="n">
        <v>0</v>
      </c>
      <c r="K3095" t="n">
        <v>0</v>
      </c>
      <c r="L3095" t="n">
        <v>0</v>
      </c>
      <c r="M3095" t="n">
        <v>0</v>
      </c>
      <c r="N3095" t="n">
        <v>0</v>
      </c>
      <c r="O3095" t="n">
        <v>0</v>
      </c>
      <c r="P3095" t="n">
        <v>0</v>
      </c>
      <c r="Q3095" t="n">
        <v>0</v>
      </c>
      <c r="R3095" t="n">
        <v>0</v>
      </c>
      <c r="S3095" t="n">
        <v>0</v>
      </c>
      <c r="T3095" t="n">
        <v>0</v>
      </c>
      <c r="U3095" t="n">
        <v>0</v>
      </c>
      <c r="V3095" s="2" t="inlineStr"/>
    </row>
    <row r="3096" ht="15" customHeight="1">
      <c r="A3096" t="inlineStr">
        <is>
          <t>A 27830-2023</t>
        </is>
      </c>
      <c r="B3096" t="inlineStr">
        <is>
          <t>avverkningsanmälan</t>
        </is>
      </c>
      <c r="C3096" t="inlineStr">
        <is>
          <t>Föryngringsavverkning</t>
        </is>
      </c>
      <c r="D3096" s="1" t="n">
        <v>45093</v>
      </c>
      <c r="E3096" s="1" t="n">
        <v>46323</v>
      </c>
      <c r="F3096" t="inlineStr">
        <is>
          <t>KALMAR LÄN</t>
        </is>
      </c>
      <c r="G3096" t="inlineStr">
        <is>
          <t>HÖGSBY</t>
        </is>
      </c>
      <c r="I3096" t="n">
        <v>4.4</v>
      </c>
      <c r="J3096" t="n">
        <v>0</v>
      </c>
      <c r="K3096" t="n">
        <v>0</v>
      </c>
      <c r="L3096" t="n">
        <v>0</v>
      </c>
      <c r="M3096" t="n">
        <v>0</v>
      </c>
      <c r="N3096" t="n">
        <v>0</v>
      </c>
      <c r="O3096" t="n">
        <v>0</v>
      </c>
      <c r="P3096" t="n">
        <v>0</v>
      </c>
      <c r="Q3096" t="n">
        <v>0</v>
      </c>
      <c r="R3096" t="n">
        <v>0</v>
      </c>
      <c r="S3096" t="n">
        <v>0</v>
      </c>
      <c r="T3096" t="n">
        <v>0</v>
      </c>
      <c r="U3096" t="n">
        <v>0</v>
      </c>
      <c r="V3096" s="2" t="inlineStr"/>
    </row>
    <row r="3097" ht="15" customHeight="1">
      <c r="A3097" t="inlineStr">
        <is>
          <t>A 4863-2024</t>
        </is>
      </c>
      <c r="B3097" t="inlineStr">
        <is>
          <t>avverkningsanmälan</t>
        </is>
      </c>
      <c r="C3097" t="inlineStr">
        <is>
          <t>Föryngringsavverkning</t>
        </is>
      </c>
      <c r="D3097" s="1" t="n">
        <v>45329</v>
      </c>
      <c r="E3097" s="1" t="n">
        <v>46323</v>
      </c>
      <c r="F3097" t="inlineStr">
        <is>
          <t>KALMAR LÄN</t>
        </is>
      </c>
      <c r="G3097" t="inlineStr">
        <is>
          <t>TORSÅS</t>
        </is>
      </c>
      <c r="I3097" t="n">
        <v>4.9</v>
      </c>
      <c r="J3097" t="n">
        <v>0</v>
      </c>
      <c r="K3097" t="n">
        <v>0</v>
      </c>
      <c r="L3097" t="n">
        <v>0</v>
      </c>
      <c r="M3097" t="n">
        <v>0</v>
      </c>
      <c r="N3097" t="n">
        <v>0</v>
      </c>
      <c r="O3097" t="n">
        <v>0</v>
      </c>
      <c r="P3097" t="n">
        <v>0</v>
      </c>
      <c r="Q3097" t="n">
        <v>0</v>
      </c>
      <c r="R3097" t="n">
        <v>0</v>
      </c>
      <c r="S3097" t="n">
        <v>0</v>
      </c>
      <c r="T3097" t="n">
        <v>0</v>
      </c>
      <c r="U3097" t="n">
        <v>0</v>
      </c>
      <c r="V3097" s="2" t="inlineStr"/>
    </row>
    <row r="3098" ht="15" customHeight="1">
      <c r="A3098" t="inlineStr">
        <is>
          <t>A 13748-2024</t>
        </is>
      </c>
      <c r="B3098" t="inlineStr">
        <is>
          <t>avverkningsanmälan</t>
        </is>
      </c>
      <c r="C3098" t="inlineStr">
        <is>
          <t>Föryngringsavverkning</t>
        </is>
      </c>
      <c r="D3098" s="1" t="n">
        <v>45390</v>
      </c>
      <c r="E3098" s="1" t="n">
        <v>46323</v>
      </c>
      <c r="F3098" t="inlineStr">
        <is>
          <t>KALMAR LÄN</t>
        </is>
      </c>
      <c r="G3098" t="inlineStr">
        <is>
          <t>VÄSTERVIK</t>
        </is>
      </c>
      <c r="I3098" t="n">
        <v>2.2</v>
      </c>
      <c r="J3098" t="n">
        <v>0</v>
      </c>
      <c r="K3098" t="n">
        <v>0</v>
      </c>
      <c r="L3098" t="n">
        <v>0</v>
      </c>
      <c r="M3098" t="n">
        <v>0</v>
      </c>
      <c r="N3098" t="n">
        <v>0</v>
      </c>
      <c r="O3098" t="n">
        <v>0</v>
      </c>
      <c r="P3098" t="n">
        <v>0</v>
      </c>
      <c r="Q3098" t="n">
        <v>0</v>
      </c>
      <c r="R3098" t="n">
        <v>0</v>
      </c>
      <c r="S3098" t="n">
        <v>0</v>
      </c>
      <c r="T3098" t="n">
        <v>0</v>
      </c>
      <c r="U3098" t="n">
        <v>0</v>
      </c>
      <c r="V3098" s="2" t="inlineStr"/>
    </row>
    <row r="3099" ht="15" customHeight="1">
      <c r="A3099" t="inlineStr">
        <is>
          <t>A 13778-2024</t>
        </is>
      </c>
      <c r="B3099" t="inlineStr">
        <is>
          <t>avverkningsanmälan</t>
        </is>
      </c>
      <c r="C3099" t="inlineStr">
        <is>
          <t>Föryngringsavverkning</t>
        </is>
      </c>
      <c r="D3099" s="1" t="n">
        <v>45391</v>
      </c>
      <c r="E3099" s="1" t="n">
        <v>46323</v>
      </c>
      <c r="F3099" t="inlineStr">
        <is>
          <t>KALMAR LÄN</t>
        </is>
      </c>
      <c r="G3099" t="inlineStr">
        <is>
          <t>OSKARSHAMN</t>
        </is>
      </c>
      <c r="I3099" t="n">
        <v>0.4</v>
      </c>
      <c r="J3099" t="n">
        <v>0</v>
      </c>
      <c r="K3099" t="n">
        <v>0</v>
      </c>
      <c r="L3099" t="n">
        <v>0</v>
      </c>
      <c r="M3099" t="n">
        <v>0</v>
      </c>
      <c r="N3099" t="n">
        <v>0</v>
      </c>
      <c r="O3099" t="n">
        <v>0</v>
      </c>
      <c r="P3099" t="n">
        <v>0</v>
      </c>
      <c r="Q3099" t="n">
        <v>0</v>
      </c>
      <c r="R3099" t="n">
        <v>0</v>
      </c>
      <c r="S3099" t="n">
        <v>0</v>
      </c>
      <c r="T3099" t="n">
        <v>0</v>
      </c>
      <c r="U3099" t="n">
        <v>0</v>
      </c>
      <c r="V3099" s="2" t="inlineStr"/>
    </row>
    <row r="3100" ht="15" customHeight="1">
      <c r="A3100" t="inlineStr">
        <is>
          <t>A 13813-2024</t>
        </is>
      </c>
      <c r="B3100" t="inlineStr">
        <is>
          <t>avverkningsanmälan</t>
        </is>
      </c>
      <c r="C3100" t="inlineStr">
        <is>
          <t>Föryngringsavverkning</t>
        </is>
      </c>
      <c r="D3100" s="1" t="n">
        <v>45391</v>
      </c>
      <c r="E3100" s="1" t="n">
        <v>46323</v>
      </c>
      <c r="F3100" t="inlineStr">
        <is>
          <t>KALMAR LÄN</t>
        </is>
      </c>
      <c r="G3100" t="inlineStr">
        <is>
          <t>VIMMERBY</t>
        </is>
      </c>
      <c r="I3100" t="n">
        <v>0.4</v>
      </c>
      <c r="J3100" t="n">
        <v>0</v>
      </c>
      <c r="K3100" t="n">
        <v>0</v>
      </c>
      <c r="L3100" t="n">
        <v>0</v>
      </c>
      <c r="M3100" t="n">
        <v>0</v>
      </c>
      <c r="N3100" t="n">
        <v>0</v>
      </c>
      <c r="O3100" t="n">
        <v>0</v>
      </c>
      <c r="P3100" t="n">
        <v>0</v>
      </c>
      <c r="Q3100" t="n">
        <v>0</v>
      </c>
      <c r="R3100" t="n">
        <v>0</v>
      </c>
      <c r="S3100" t="n">
        <v>0</v>
      </c>
      <c r="T3100" t="n">
        <v>0</v>
      </c>
      <c r="U3100" t="n">
        <v>0</v>
      </c>
      <c r="V3100" s="2" t="inlineStr"/>
    </row>
    <row r="3101" ht="15" customHeight="1">
      <c r="A3101" t="inlineStr">
        <is>
          <t>A 50409-2025</t>
        </is>
      </c>
      <c r="B3101" t="inlineStr">
        <is>
          <t>avverkningsanmälan</t>
        </is>
      </c>
      <c r="C3101" t="inlineStr">
        <is>
          <t>Föryngringsavverkning</t>
        </is>
      </c>
      <c r="D3101" s="1" t="n">
        <v>45944</v>
      </c>
      <c r="E3101" s="1" t="n">
        <v>46323</v>
      </c>
      <c r="F3101" t="inlineStr">
        <is>
          <t>KALMAR LÄN</t>
        </is>
      </c>
      <c r="G3101" t="inlineStr">
        <is>
          <t>OSKARSHAMN</t>
        </is>
      </c>
      <c r="I3101" t="n">
        <v>2.3</v>
      </c>
      <c r="J3101" t="n">
        <v>0</v>
      </c>
      <c r="K3101" t="n">
        <v>0</v>
      </c>
      <c r="L3101" t="n">
        <v>0</v>
      </c>
      <c r="M3101" t="n">
        <v>0</v>
      </c>
      <c r="N3101" t="n">
        <v>0</v>
      </c>
      <c r="O3101" t="n">
        <v>0</v>
      </c>
      <c r="P3101" t="n">
        <v>0</v>
      </c>
      <c r="Q3101" t="n">
        <v>0</v>
      </c>
      <c r="R3101" t="n">
        <v>0</v>
      </c>
      <c r="S3101" t="n">
        <v>0</v>
      </c>
      <c r="T3101" t="n">
        <v>0</v>
      </c>
      <c r="U3101" t="n">
        <v>0</v>
      </c>
      <c r="V3101" s="2" t="inlineStr"/>
    </row>
    <row r="3102" ht="15" customHeight="1">
      <c r="A3102" t="inlineStr">
        <is>
          <t>A 3816-2022</t>
        </is>
      </c>
      <c r="B3102" t="inlineStr">
        <is>
          <t>avverkningsanmälan</t>
        </is>
      </c>
      <c r="C3102" t="inlineStr">
        <is>
          <t>Föryngringsavverkning</t>
        </is>
      </c>
      <c r="D3102" s="1" t="n">
        <v>44587</v>
      </c>
      <c r="E3102" s="1" t="n">
        <v>46323</v>
      </c>
      <c r="F3102" t="inlineStr">
        <is>
          <t>KALMAR LÄN</t>
        </is>
      </c>
      <c r="G3102" t="inlineStr">
        <is>
          <t>VIMMERBY</t>
        </is>
      </c>
      <c r="I3102" t="n">
        <v>1.2</v>
      </c>
      <c r="J3102" t="n">
        <v>0</v>
      </c>
      <c r="K3102" t="n">
        <v>0</v>
      </c>
      <c r="L3102" t="n">
        <v>0</v>
      </c>
      <c r="M3102" t="n">
        <v>0</v>
      </c>
      <c r="N3102" t="n">
        <v>0</v>
      </c>
      <c r="O3102" t="n">
        <v>0</v>
      </c>
      <c r="P3102" t="n">
        <v>0</v>
      </c>
      <c r="Q3102" t="n">
        <v>0</v>
      </c>
      <c r="R3102" t="n">
        <v>0</v>
      </c>
      <c r="S3102" t="n">
        <v>0</v>
      </c>
      <c r="T3102" t="n">
        <v>0</v>
      </c>
      <c r="U3102" t="n">
        <v>0</v>
      </c>
      <c r="V3102" s="2" t="inlineStr"/>
    </row>
    <row r="3103" ht="15" customHeight="1">
      <c r="A3103" t="inlineStr">
        <is>
          <t>A 36873-2024</t>
        </is>
      </c>
      <c r="B3103" t="inlineStr">
        <is>
          <t>avverkningsanmälan</t>
        </is>
      </c>
      <c r="C3103" t="inlineStr">
        <is>
          <t>Föryngringsavverkning</t>
        </is>
      </c>
      <c r="D3103" s="1" t="n">
        <v>45538</v>
      </c>
      <c r="E3103" s="1" t="n">
        <v>46323</v>
      </c>
      <c r="F3103" t="inlineStr">
        <is>
          <t>KALMAR LÄN</t>
        </is>
      </c>
      <c r="G3103" t="inlineStr">
        <is>
          <t>MÖNSTERÅS</t>
        </is>
      </c>
      <c r="I3103" t="n">
        <v>7</v>
      </c>
      <c r="J3103" t="n">
        <v>0</v>
      </c>
      <c r="K3103" t="n">
        <v>0</v>
      </c>
      <c r="L3103" t="n">
        <v>0</v>
      </c>
      <c r="M3103" t="n">
        <v>0</v>
      </c>
      <c r="N3103" t="n">
        <v>0</v>
      </c>
      <c r="O3103" t="n">
        <v>0</v>
      </c>
      <c r="P3103" t="n">
        <v>0</v>
      </c>
      <c r="Q3103" t="n">
        <v>0</v>
      </c>
      <c r="R3103" t="n">
        <v>0</v>
      </c>
      <c r="S3103" t="n">
        <v>0</v>
      </c>
      <c r="T3103" t="n">
        <v>0</v>
      </c>
      <c r="U3103" t="n">
        <v>0</v>
      </c>
      <c r="V3103" s="2" t="inlineStr"/>
    </row>
    <row r="3104" ht="15" customHeight="1">
      <c r="A3104" t="inlineStr">
        <is>
          <t>A 36888-2024</t>
        </is>
      </c>
      <c r="B3104" t="inlineStr">
        <is>
          <t>avverkningsanmälan</t>
        </is>
      </c>
      <c r="C3104" t="inlineStr">
        <is>
          <t>Föryngringsavverkning</t>
        </is>
      </c>
      <c r="D3104" s="1" t="n">
        <v>45538</v>
      </c>
      <c r="E3104" s="1" t="n">
        <v>46323</v>
      </c>
      <c r="F3104" t="inlineStr">
        <is>
          <t>KALMAR LÄN</t>
        </is>
      </c>
      <c r="G3104" t="inlineStr">
        <is>
          <t>VÄSTERVIK</t>
        </is>
      </c>
      <c r="I3104" t="n">
        <v>1.5</v>
      </c>
      <c r="J3104" t="n">
        <v>0</v>
      </c>
      <c r="K3104" t="n">
        <v>0</v>
      </c>
      <c r="L3104" t="n">
        <v>0</v>
      </c>
      <c r="M3104" t="n">
        <v>0</v>
      </c>
      <c r="N3104" t="n">
        <v>0</v>
      </c>
      <c r="O3104" t="n">
        <v>0</v>
      </c>
      <c r="P3104" t="n">
        <v>0</v>
      </c>
      <c r="Q3104" t="n">
        <v>0</v>
      </c>
      <c r="R3104" t="n">
        <v>0</v>
      </c>
      <c r="S3104" t="n">
        <v>0</v>
      </c>
      <c r="T3104" t="n">
        <v>0</v>
      </c>
      <c r="U3104" t="n">
        <v>0</v>
      </c>
      <c r="V3104" s="2" t="inlineStr"/>
    </row>
    <row r="3105" ht="15" customHeight="1">
      <c r="A3105" t="inlineStr">
        <is>
          <t>A 62455-2022</t>
        </is>
      </c>
      <c r="B3105" t="inlineStr">
        <is>
          <t>avverkningsanmälan</t>
        </is>
      </c>
      <c r="C3105" t="inlineStr">
        <is>
          <t>Föryngringsavverkning</t>
        </is>
      </c>
      <c r="D3105" s="1" t="n">
        <v>44924</v>
      </c>
      <c r="E3105" s="1" t="n">
        <v>46323</v>
      </c>
      <c r="F3105" t="inlineStr">
        <is>
          <t>KALMAR LÄN</t>
        </is>
      </c>
      <c r="G3105" t="inlineStr">
        <is>
          <t>KALMAR</t>
        </is>
      </c>
      <c r="I3105" t="n">
        <v>3.1</v>
      </c>
      <c r="J3105" t="n">
        <v>0</v>
      </c>
      <c r="K3105" t="n">
        <v>0</v>
      </c>
      <c r="L3105" t="n">
        <v>0</v>
      </c>
      <c r="M3105" t="n">
        <v>0</v>
      </c>
      <c r="N3105" t="n">
        <v>0</v>
      </c>
      <c r="O3105" t="n">
        <v>0</v>
      </c>
      <c r="P3105" t="n">
        <v>0</v>
      </c>
      <c r="Q3105" t="n">
        <v>0</v>
      </c>
      <c r="R3105" t="n">
        <v>0</v>
      </c>
      <c r="S3105" t="n">
        <v>0</v>
      </c>
      <c r="T3105" t="n">
        <v>0</v>
      </c>
      <c r="U3105" t="n">
        <v>0</v>
      </c>
      <c r="V3105" s="2" t="inlineStr"/>
    </row>
    <row r="3106" ht="15" customHeight="1">
      <c r="A3106" t="inlineStr">
        <is>
          <t>A 60871-2022</t>
        </is>
      </c>
      <c r="B3106" t="inlineStr">
        <is>
          <t>avverkningsanmälan</t>
        </is>
      </c>
      <c r="C3106" t="inlineStr">
        <is>
          <t>Föryngringsavverkning</t>
        </is>
      </c>
      <c r="D3106" s="1" t="n">
        <v>44914</v>
      </c>
      <c r="E3106" s="1" t="n">
        <v>46323</v>
      </c>
      <c r="F3106" t="inlineStr">
        <is>
          <t>KALMAR LÄN</t>
        </is>
      </c>
      <c r="G3106" t="inlineStr">
        <is>
          <t>OSKARSHAMN</t>
        </is>
      </c>
      <c r="I3106" t="n">
        <v>2.2</v>
      </c>
      <c r="J3106" t="n">
        <v>0</v>
      </c>
      <c r="K3106" t="n">
        <v>0</v>
      </c>
      <c r="L3106" t="n">
        <v>0</v>
      </c>
      <c r="M3106" t="n">
        <v>0</v>
      </c>
      <c r="N3106" t="n">
        <v>0</v>
      </c>
      <c r="O3106" t="n">
        <v>0</v>
      </c>
      <c r="P3106" t="n">
        <v>0</v>
      </c>
      <c r="Q3106" t="n">
        <v>0</v>
      </c>
      <c r="R3106" t="n">
        <v>0</v>
      </c>
      <c r="S3106" t="n">
        <v>0</v>
      </c>
      <c r="T3106" t="n">
        <v>0</v>
      </c>
      <c r="U3106" t="n">
        <v>0</v>
      </c>
      <c r="V3106" s="2" t="inlineStr"/>
    </row>
    <row r="3107" ht="15" customHeight="1">
      <c r="A3107" t="inlineStr">
        <is>
          <t>A 6393-2023</t>
        </is>
      </c>
      <c r="B3107" t="inlineStr">
        <is>
          <t>avverkningsanmälan</t>
        </is>
      </c>
      <c r="C3107" t="inlineStr">
        <is>
          <t>Föryngringsavverkning</t>
        </is>
      </c>
      <c r="D3107" s="1" t="n">
        <v>44965</v>
      </c>
      <c r="E3107" s="1" t="n">
        <v>46323</v>
      </c>
      <c r="F3107" t="inlineStr">
        <is>
          <t>KALMAR LÄN</t>
        </is>
      </c>
      <c r="G3107" t="inlineStr">
        <is>
          <t>TORSÅS</t>
        </is>
      </c>
      <c r="I3107" t="n">
        <v>1</v>
      </c>
      <c r="J3107" t="n">
        <v>0</v>
      </c>
      <c r="K3107" t="n">
        <v>0</v>
      </c>
      <c r="L3107" t="n">
        <v>0</v>
      </c>
      <c r="M3107" t="n">
        <v>0</v>
      </c>
      <c r="N3107" t="n">
        <v>0</v>
      </c>
      <c r="O3107" t="n">
        <v>0</v>
      </c>
      <c r="P3107" t="n">
        <v>0</v>
      </c>
      <c r="Q3107" t="n">
        <v>0</v>
      </c>
      <c r="R3107" t="n">
        <v>0</v>
      </c>
      <c r="S3107" t="n">
        <v>0</v>
      </c>
      <c r="T3107" t="n">
        <v>0</v>
      </c>
      <c r="U3107" t="n">
        <v>0</v>
      </c>
      <c r="V3107" s="2" t="inlineStr"/>
    </row>
    <row r="3108" ht="15" customHeight="1">
      <c r="A3108" t="inlineStr">
        <is>
          <t>A 25214-2023</t>
        </is>
      </c>
      <c r="B3108" t="inlineStr">
        <is>
          <t>avverkningsanmälan</t>
        </is>
      </c>
      <c r="C3108" t="inlineStr">
        <is>
          <t>Föryngringsavverkning</t>
        </is>
      </c>
      <c r="D3108" s="1" t="n">
        <v>45086</v>
      </c>
      <c r="E3108" s="1" t="n">
        <v>46323</v>
      </c>
      <c r="F3108" t="inlineStr">
        <is>
          <t>KALMAR LÄN</t>
        </is>
      </c>
      <c r="G3108" t="inlineStr">
        <is>
          <t>KALMAR</t>
        </is>
      </c>
      <c r="I3108" t="n">
        <v>1.2</v>
      </c>
      <c r="J3108" t="n">
        <v>0</v>
      </c>
      <c r="K3108" t="n">
        <v>0</v>
      </c>
      <c r="L3108" t="n">
        <v>0</v>
      </c>
      <c r="M3108" t="n">
        <v>0</v>
      </c>
      <c r="N3108" t="n">
        <v>0</v>
      </c>
      <c r="O3108" t="n">
        <v>0</v>
      </c>
      <c r="P3108" t="n">
        <v>0</v>
      </c>
      <c r="Q3108" t="n">
        <v>0</v>
      </c>
      <c r="R3108" t="n">
        <v>0</v>
      </c>
      <c r="S3108" t="n">
        <v>0</v>
      </c>
      <c r="T3108" t="n">
        <v>0</v>
      </c>
      <c r="U3108" t="n">
        <v>0</v>
      </c>
      <c r="V3108" s="2" t="inlineStr"/>
    </row>
    <row r="3109" ht="15" customHeight="1">
      <c r="A3109" t="inlineStr">
        <is>
          <t>A 25234-2023</t>
        </is>
      </c>
      <c r="B3109" t="inlineStr">
        <is>
          <t>avverkningsanmälan</t>
        </is>
      </c>
      <c r="C3109" t="inlineStr">
        <is>
          <t>Föryngringsavverkning</t>
        </is>
      </c>
      <c r="D3109" s="1" t="n">
        <v>45086</v>
      </c>
      <c r="E3109" s="1" t="n">
        <v>46323</v>
      </c>
      <c r="F3109" t="inlineStr">
        <is>
          <t>KALMAR LÄN</t>
        </is>
      </c>
      <c r="G3109" t="inlineStr">
        <is>
          <t>VIMMERBY</t>
        </is>
      </c>
      <c r="I3109" t="n">
        <v>2.1</v>
      </c>
      <c r="J3109" t="n">
        <v>0</v>
      </c>
      <c r="K3109" t="n">
        <v>0</v>
      </c>
      <c r="L3109" t="n">
        <v>0</v>
      </c>
      <c r="M3109" t="n">
        <v>0</v>
      </c>
      <c r="N3109" t="n">
        <v>0</v>
      </c>
      <c r="O3109" t="n">
        <v>0</v>
      </c>
      <c r="P3109" t="n">
        <v>0</v>
      </c>
      <c r="Q3109" t="n">
        <v>0</v>
      </c>
      <c r="R3109" t="n">
        <v>0</v>
      </c>
      <c r="S3109" t="n">
        <v>0</v>
      </c>
      <c r="T3109" t="n">
        <v>0</v>
      </c>
      <c r="U3109" t="n">
        <v>0</v>
      </c>
      <c r="V3109" s="2" t="inlineStr"/>
    </row>
    <row r="3110" ht="15" customHeight="1">
      <c r="A3110" t="inlineStr">
        <is>
          <t>A 25236-2023</t>
        </is>
      </c>
      <c r="B3110" t="inlineStr">
        <is>
          <t>avverkningsanmälan</t>
        </is>
      </c>
      <c r="C3110" t="inlineStr">
        <is>
          <t>Föryngringsavverkning</t>
        </is>
      </c>
      <c r="D3110" s="1" t="n">
        <v>45086</v>
      </c>
      <c r="E3110" s="1" t="n">
        <v>46323</v>
      </c>
      <c r="F3110" t="inlineStr">
        <is>
          <t>KALMAR LÄN</t>
        </is>
      </c>
      <c r="G3110" t="inlineStr">
        <is>
          <t>VIMMERBY</t>
        </is>
      </c>
      <c r="I3110" t="n">
        <v>0.9</v>
      </c>
      <c r="J3110" t="n">
        <v>0</v>
      </c>
      <c r="K3110" t="n">
        <v>0</v>
      </c>
      <c r="L3110" t="n">
        <v>0</v>
      </c>
      <c r="M3110" t="n">
        <v>0</v>
      </c>
      <c r="N3110" t="n">
        <v>0</v>
      </c>
      <c r="O3110" t="n">
        <v>0</v>
      </c>
      <c r="P3110" t="n">
        <v>0</v>
      </c>
      <c r="Q3110" t="n">
        <v>0</v>
      </c>
      <c r="R3110" t="n">
        <v>0</v>
      </c>
      <c r="S3110" t="n">
        <v>0</v>
      </c>
      <c r="T3110" t="n">
        <v>0</v>
      </c>
      <c r="U3110" t="n">
        <v>0</v>
      </c>
      <c r="V3110" s="2" t="inlineStr"/>
    </row>
    <row r="3111" ht="15" customHeight="1">
      <c r="A3111" t="inlineStr">
        <is>
          <t>A 47387-2023</t>
        </is>
      </c>
      <c r="B3111" t="inlineStr">
        <is>
          <t>avverkningsanmälan</t>
        </is>
      </c>
      <c r="C3111" t="inlineStr">
        <is>
          <t>Föryngringsavverkning</t>
        </is>
      </c>
      <c r="D3111" s="1" t="n">
        <v>45202</v>
      </c>
      <c r="E3111" s="1" t="n">
        <v>46323</v>
      </c>
      <c r="F3111" t="inlineStr">
        <is>
          <t>KALMAR LÄN</t>
        </is>
      </c>
      <c r="G3111" t="inlineStr">
        <is>
          <t>KALMAR</t>
        </is>
      </c>
      <c r="I3111" t="n">
        <v>0.6</v>
      </c>
      <c r="J3111" t="n">
        <v>0</v>
      </c>
      <c r="K3111" t="n">
        <v>0</v>
      </c>
      <c r="L3111" t="n">
        <v>0</v>
      </c>
      <c r="M3111" t="n">
        <v>0</v>
      </c>
      <c r="N3111" t="n">
        <v>0</v>
      </c>
      <c r="O3111" t="n">
        <v>0</v>
      </c>
      <c r="P3111" t="n">
        <v>0</v>
      </c>
      <c r="Q3111" t="n">
        <v>0</v>
      </c>
      <c r="R3111" t="n">
        <v>0</v>
      </c>
      <c r="S3111" t="n">
        <v>0</v>
      </c>
      <c r="T3111" t="n">
        <v>0</v>
      </c>
      <c r="U3111" t="n">
        <v>0</v>
      </c>
      <c r="V3111" s="2" t="inlineStr"/>
    </row>
    <row r="3112" ht="15" customHeight="1">
      <c r="A3112" t="inlineStr">
        <is>
          <t>A 59289-2022</t>
        </is>
      </c>
      <c r="B3112" t="inlineStr">
        <is>
          <t>avverkningsanmälan</t>
        </is>
      </c>
      <c r="C3112" t="inlineStr">
        <is>
          <t>Föryngringsavverkning</t>
        </is>
      </c>
      <c r="D3112" s="1" t="n">
        <v>44904</v>
      </c>
      <c r="E3112" s="1" t="n">
        <v>46323</v>
      </c>
      <c r="F3112" t="inlineStr">
        <is>
          <t>KALMAR LÄN</t>
        </is>
      </c>
      <c r="G3112" t="inlineStr">
        <is>
          <t>MÖNSTERÅS</t>
        </is>
      </c>
      <c r="I3112" t="n">
        <v>1.7</v>
      </c>
      <c r="J3112" t="n">
        <v>0</v>
      </c>
      <c r="K3112" t="n">
        <v>0</v>
      </c>
      <c r="L3112" t="n">
        <v>0</v>
      </c>
      <c r="M3112" t="n">
        <v>0</v>
      </c>
      <c r="N3112" t="n">
        <v>0</v>
      </c>
      <c r="O3112" t="n">
        <v>0</v>
      </c>
      <c r="P3112" t="n">
        <v>0</v>
      </c>
      <c r="Q3112" t="n">
        <v>0</v>
      </c>
      <c r="R3112" t="n">
        <v>0</v>
      </c>
      <c r="S3112" t="n">
        <v>0</v>
      </c>
      <c r="T3112" t="n">
        <v>0</v>
      </c>
      <c r="U3112" t="n">
        <v>0</v>
      </c>
      <c r="V3112" s="2" t="inlineStr"/>
    </row>
    <row r="3113" ht="15" customHeight="1">
      <c r="A3113" t="inlineStr">
        <is>
          <t>A 15598-2025</t>
        </is>
      </c>
      <c r="B3113" t="inlineStr">
        <is>
          <t>avverkningsanmälan</t>
        </is>
      </c>
      <c r="C3113" t="inlineStr">
        <is>
          <t>Föryngringsavverkning</t>
        </is>
      </c>
      <c r="D3113" s="1" t="n">
        <v>45747</v>
      </c>
      <c r="E3113" s="1" t="n">
        <v>46323</v>
      </c>
      <c r="F3113" t="inlineStr">
        <is>
          <t>KALMAR LÄN</t>
        </is>
      </c>
      <c r="G3113" t="inlineStr">
        <is>
          <t>MÖNSTERÅS</t>
        </is>
      </c>
      <c r="I3113" t="n">
        <v>2.6</v>
      </c>
      <c r="J3113" t="n">
        <v>0</v>
      </c>
      <c r="K3113" t="n">
        <v>0</v>
      </c>
      <c r="L3113" t="n">
        <v>0</v>
      </c>
      <c r="M3113" t="n">
        <v>0</v>
      </c>
      <c r="N3113" t="n">
        <v>0</v>
      </c>
      <c r="O3113" t="n">
        <v>0</v>
      </c>
      <c r="P3113" t="n">
        <v>0</v>
      </c>
      <c r="Q3113" t="n">
        <v>0</v>
      </c>
      <c r="R3113" t="n">
        <v>0</v>
      </c>
      <c r="S3113" t="n">
        <v>0</v>
      </c>
      <c r="T3113" t="n">
        <v>0</v>
      </c>
      <c r="U3113" t="n">
        <v>0</v>
      </c>
      <c r="V3113" s="2" t="inlineStr"/>
    </row>
    <row r="3114" ht="15" customHeight="1">
      <c r="A3114" t="inlineStr">
        <is>
          <t>A 58346-2023</t>
        </is>
      </c>
      <c r="B3114" t="inlineStr">
        <is>
          <t>avverkningsanmälan</t>
        </is>
      </c>
      <c r="C3114" t="inlineStr">
        <is>
          <t>Föryngringsavverkning</t>
        </is>
      </c>
      <c r="D3114" s="1" t="n">
        <v>45250</v>
      </c>
      <c r="E3114" s="1" t="n">
        <v>46323</v>
      </c>
      <c r="F3114" t="inlineStr">
        <is>
          <t>KALMAR LÄN</t>
        </is>
      </c>
      <c r="G3114" t="inlineStr">
        <is>
          <t>TORSÅS</t>
        </is>
      </c>
      <c r="I3114" t="n">
        <v>1.4</v>
      </c>
      <c r="J3114" t="n">
        <v>0</v>
      </c>
      <c r="K3114" t="n">
        <v>0</v>
      </c>
      <c r="L3114" t="n">
        <v>0</v>
      </c>
      <c r="M3114" t="n">
        <v>0</v>
      </c>
      <c r="N3114" t="n">
        <v>0</v>
      </c>
      <c r="O3114" t="n">
        <v>0</v>
      </c>
      <c r="P3114" t="n">
        <v>0</v>
      </c>
      <c r="Q3114" t="n">
        <v>0</v>
      </c>
      <c r="R3114" t="n">
        <v>0</v>
      </c>
      <c r="S3114" t="n">
        <v>0</v>
      </c>
      <c r="T3114" t="n">
        <v>0</v>
      </c>
      <c r="U3114" t="n">
        <v>0</v>
      </c>
      <c r="V3114" s="2" t="inlineStr"/>
    </row>
    <row r="3115" ht="15" customHeight="1">
      <c r="A3115" t="inlineStr">
        <is>
          <t>A 19899-2025</t>
        </is>
      </c>
      <c r="B3115" t="inlineStr">
        <is>
          <t>avverkningsanmälan</t>
        </is>
      </c>
      <c r="C3115" t="inlineStr">
        <is>
          <t>Föryngringsavverkning</t>
        </is>
      </c>
      <c r="D3115" s="1" t="n">
        <v>45771</v>
      </c>
      <c r="E3115" s="1" t="n">
        <v>46323</v>
      </c>
      <c r="F3115" t="inlineStr">
        <is>
          <t>KALMAR LÄN</t>
        </is>
      </c>
      <c r="G3115" t="inlineStr">
        <is>
          <t>HULTSFRED</t>
        </is>
      </c>
      <c r="I3115" t="n">
        <v>6</v>
      </c>
      <c r="J3115" t="n">
        <v>0</v>
      </c>
      <c r="K3115" t="n">
        <v>0</v>
      </c>
      <c r="L3115" t="n">
        <v>0</v>
      </c>
      <c r="M3115" t="n">
        <v>0</v>
      </c>
      <c r="N3115" t="n">
        <v>0</v>
      </c>
      <c r="O3115" t="n">
        <v>0</v>
      </c>
      <c r="P3115" t="n">
        <v>0</v>
      </c>
      <c r="Q3115" t="n">
        <v>0</v>
      </c>
      <c r="R3115" t="n">
        <v>0</v>
      </c>
      <c r="S3115" t="n">
        <v>0</v>
      </c>
      <c r="T3115" t="n">
        <v>0</v>
      </c>
      <c r="U3115" t="n">
        <v>0</v>
      </c>
      <c r="V3115" s="2" t="inlineStr"/>
    </row>
    <row r="3116" ht="15" customHeight="1">
      <c r="A3116" t="inlineStr">
        <is>
          <t>A 50946-2025</t>
        </is>
      </c>
      <c r="B3116" t="inlineStr">
        <is>
          <t>avverkningsanmälan</t>
        </is>
      </c>
      <c r="C3116" t="inlineStr">
        <is>
          <t>Föryngringsavverkning</t>
        </is>
      </c>
      <c r="D3116" s="1" t="n">
        <v>45946</v>
      </c>
      <c r="E3116" s="1" t="n">
        <v>46323</v>
      </c>
      <c r="F3116" t="inlineStr">
        <is>
          <t>KALMAR LÄN</t>
        </is>
      </c>
      <c r="G3116" t="inlineStr">
        <is>
          <t>HÖGSBY</t>
        </is>
      </c>
      <c r="I3116" t="n">
        <v>0.5</v>
      </c>
      <c r="J3116" t="n">
        <v>0</v>
      </c>
      <c r="K3116" t="n">
        <v>0</v>
      </c>
      <c r="L3116" t="n">
        <v>0</v>
      </c>
      <c r="M3116" t="n">
        <v>0</v>
      </c>
      <c r="N3116" t="n">
        <v>0</v>
      </c>
      <c r="O3116" t="n">
        <v>0</v>
      </c>
      <c r="P3116" t="n">
        <v>0</v>
      </c>
      <c r="Q3116" t="n">
        <v>0</v>
      </c>
      <c r="R3116" t="n">
        <v>0</v>
      </c>
      <c r="S3116" t="n">
        <v>0</v>
      </c>
      <c r="T3116" t="n">
        <v>0</v>
      </c>
      <c r="U3116" t="n">
        <v>0</v>
      </c>
      <c r="V3116" s="2" t="inlineStr"/>
    </row>
    <row r="3117" ht="15" customHeight="1">
      <c r="A3117" t="inlineStr">
        <is>
          <t>A 2746-2023</t>
        </is>
      </c>
      <c r="B3117" t="inlineStr">
        <is>
          <t>avverkningsanmälan</t>
        </is>
      </c>
      <c r="C3117" t="inlineStr">
        <is>
          <t>Föryngringsavverkning</t>
        </is>
      </c>
      <c r="D3117" s="1" t="n">
        <v>44944</v>
      </c>
      <c r="E3117" s="1" t="n">
        <v>46323</v>
      </c>
      <c r="F3117" t="inlineStr">
        <is>
          <t>KALMAR LÄN</t>
        </is>
      </c>
      <c r="G3117" t="inlineStr">
        <is>
          <t>VÄSTERVIK</t>
        </is>
      </c>
      <c r="I3117" t="n">
        <v>5.5</v>
      </c>
      <c r="J3117" t="n">
        <v>0</v>
      </c>
      <c r="K3117" t="n">
        <v>0</v>
      </c>
      <c r="L3117" t="n">
        <v>0</v>
      </c>
      <c r="M3117" t="n">
        <v>0</v>
      </c>
      <c r="N3117" t="n">
        <v>0</v>
      </c>
      <c r="O3117" t="n">
        <v>0</v>
      </c>
      <c r="P3117" t="n">
        <v>0</v>
      </c>
      <c r="Q3117" t="n">
        <v>0</v>
      </c>
      <c r="R3117" t="n">
        <v>0</v>
      </c>
      <c r="S3117" t="n">
        <v>0</v>
      </c>
      <c r="T3117" t="n">
        <v>0</v>
      </c>
      <c r="U3117" t="n">
        <v>0</v>
      </c>
      <c r="V3117" s="2" t="inlineStr"/>
    </row>
    <row r="3118" ht="15" customHeight="1">
      <c r="A3118" t="inlineStr">
        <is>
          <t>A 25244-2023</t>
        </is>
      </c>
      <c r="B3118" t="inlineStr">
        <is>
          <t>avverkningsanmälan</t>
        </is>
      </c>
      <c r="C3118" t="inlineStr">
        <is>
          <t>Föryngringsavverkning</t>
        </is>
      </c>
      <c r="D3118" s="1" t="n">
        <v>45086</v>
      </c>
      <c r="E3118" s="1" t="n">
        <v>46323</v>
      </c>
      <c r="F3118" t="inlineStr">
        <is>
          <t>KALMAR LÄN</t>
        </is>
      </c>
      <c r="G3118" t="inlineStr">
        <is>
          <t>VIMMERBY</t>
        </is>
      </c>
      <c r="I3118" t="n">
        <v>4.7</v>
      </c>
      <c r="J3118" t="n">
        <v>0</v>
      </c>
      <c r="K3118" t="n">
        <v>0</v>
      </c>
      <c r="L3118" t="n">
        <v>0</v>
      </c>
      <c r="M3118" t="n">
        <v>0</v>
      </c>
      <c r="N3118" t="n">
        <v>0</v>
      </c>
      <c r="O3118" t="n">
        <v>0</v>
      </c>
      <c r="P3118" t="n">
        <v>0</v>
      </c>
      <c r="Q3118" t="n">
        <v>0</v>
      </c>
      <c r="R3118" t="n">
        <v>0</v>
      </c>
      <c r="S3118" t="n">
        <v>0</v>
      </c>
      <c r="T3118" t="n">
        <v>0</v>
      </c>
      <c r="U3118" t="n">
        <v>0</v>
      </c>
      <c r="V3118" s="2" t="inlineStr"/>
    </row>
    <row r="3119" ht="15" customHeight="1">
      <c r="A3119" t="inlineStr">
        <is>
          <t>A 33067-2023</t>
        </is>
      </c>
      <c r="B3119" t="inlineStr">
        <is>
          <t>avverkningsanmälan</t>
        </is>
      </c>
      <c r="C3119" t="inlineStr">
        <is>
          <t>Föryngringsavverkning</t>
        </is>
      </c>
      <c r="D3119" s="1" t="n">
        <v>45126</v>
      </c>
      <c r="E3119" s="1" t="n">
        <v>46323</v>
      </c>
      <c r="F3119" t="inlineStr">
        <is>
          <t>KALMAR LÄN</t>
        </is>
      </c>
      <c r="G3119" t="inlineStr">
        <is>
          <t>EMMABODA</t>
        </is>
      </c>
      <c r="I3119" t="n">
        <v>0.5</v>
      </c>
      <c r="J3119" t="n">
        <v>0</v>
      </c>
      <c r="K3119" t="n">
        <v>0</v>
      </c>
      <c r="L3119" t="n">
        <v>0</v>
      </c>
      <c r="M3119" t="n">
        <v>0</v>
      </c>
      <c r="N3119" t="n">
        <v>0</v>
      </c>
      <c r="O3119" t="n">
        <v>0</v>
      </c>
      <c r="P3119" t="n">
        <v>0</v>
      </c>
      <c r="Q3119" t="n">
        <v>0</v>
      </c>
      <c r="R3119" t="n">
        <v>0</v>
      </c>
      <c r="S3119" t="n">
        <v>0</v>
      </c>
      <c r="T3119" t="n">
        <v>0</v>
      </c>
      <c r="U3119" t="n">
        <v>0</v>
      </c>
      <c r="V3119" s="2" t="inlineStr"/>
    </row>
    <row r="3120" ht="15" customHeight="1">
      <c r="A3120" t="inlineStr">
        <is>
          <t>A 31612-2023</t>
        </is>
      </c>
      <c r="B3120" t="inlineStr">
        <is>
          <t>avverkningsanmälan</t>
        </is>
      </c>
      <c r="C3120" t="inlineStr">
        <is>
          <t>Föryngringsavverkning</t>
        </is>
      </c>
      <c r="D3120" s="1" t="n">
        <v>45117</v>
      </c>
      <c r="E3120" s="1" t="n">
        <v>46323</v>
      </c>
      <c r="F3120" t="inlineStr">
        <is>
          <t>KALMAR LÄN</t>
        </is>
      </c>
      <c r="G3120" t="inlineStr">
        <is>
          <t>NYBRO</t>
        </is>
      </c>
      <c r="I3120" t="n">
        <v>2.6</v>
      </c>
      <c r="J3120" t="n">
        <v>0</v>
      </c>
      <c r="K3120" t="n">
        <v>0</v>
      </c>
      <c r="L3120" t="n">
        <v>0</v>
      </c>
      <c r="M3120" t="n">
        <v>0</v>
      </c>
      <c r="N3120" t="n">
        <v>0</v>
      </c>
      <c r="O3120" t="n">
        <v>0</v>
      </c>
      <c r="P3120" t="n">
        <v>0</v>
      </c>
      <c r="Q3120" t="n">
        <v>0</v>
      </c>
      <c r="R3120" t="n">
        <v>0</v>
      </c>
      <c r="S3120" t="n">
        <v>0</v>
      </c>
      <c r="T3120" t="n">
        <v>0</v>
      </c>
      <c r="U3120" t="n">
        <v>0</v>
      </c>
      <c r="V3120" s="2" t="inlineStr"/>
    </row>
    <row r="3121" ht="15" customHeight="1">
      <c r="A3121" t="inlineStr">
        <is>
          <t>A 1081-2023</t>
        </is>
      </c>
      <c r="B3121" t="inlineStr">
        <is>
          <t>avverkningsanmälan</t>
        </is>
      </c>
      <c r="C3121" t="inlineStr">
        <is>
          <t>Föryngringsavverkning</t>
        </is>
      </c>
      <c r="D3121" s="1" t="n">
        <v>44935</v>
      </c>
      <c r="E3121" s="1" t="n">
        <v>46323</v>
      </c>
      <c r="F3121" t="inlineStr">
        <is>
          <t>KALMAR LÄN</t>
        </is>
      </c>
      <c r="G3121" t="inlineStr">
        <is>
          <t>VIMMERBY</t>
        </is>
      </c>
      <c r="I3121" t="n">
        <v>1.3</v>
      </c>
      <c r="J3121" t="n">
        <v>0</v>
      </c>
      <c r="K3121" t="n">
        <v>0</v>
      </c>
      <c r="L3121" t="n">
        <v>0</v>
      </c>
      <c r="M3121" t="n">
        <v>0</v>
      </c>
      <c r="N3121" t="n">
        <v>0</v>
      </c>
      <c r="O3121" t="n">
        <v>0</v>
      </c>
      <c r="P3121" t="n">
        <v>0</v>
      </c>
      <c r="Q3121" t="n">
        <v>0</v>
      </c>
      <c r="R3121" t="n">
        <v>0</v>
      </c>
      <c r="S3121" t="n">
        <v>0</v>
      </c>
      <c r="T3121" t="n">
        <v>0</v>
      </c>
      <c r="U3121" t="n">
        <v>0</v>
      </c>
      <c r="V3121" s="2" t="inlineStr"/>
    </row>
    <row r="3122" ht="15" customHeight="1">
      <c r="A3122" t="inlineStr">
        <is>
          <t>A 59054-2022</t>
        </is>
      </c>
      <c r="B3122" t="inlineStr">
        <is>
          <t>avverkningsanmälan</t>
        </is>
      </c>
      <c r="C3122" t="inlineStr">
        <is>
          <t>Föryngringsavverkning</t>
        </is>
      </c>
      <c r="D3122" s="1" t="n">
        <v>44904</v>
      </c>
      <c r="E3122" s="1" t="n">
        <v>46323</v>
      </c>
      <c r="F3122" t="inlineStr">
        <is>
          <t>KALMAR LÄN</t>
        </is>
      </c>
      <c r="G3122" t="inlineStr">
        <is>
          <t>NYBRO</t>
        </is>
      </c>
      <c r="I3122" t="n">
        <v>1.9</v>
      </c>
      <c r="J3122" t="n">
        <v>0</v>
      </c>
      <c r="K3122" t="n">
        <v>0</v>
      </c>
      <c r="L3122" t="n">
        <v>0</v>
      </c>
      <c r="M3122" t="n">
        <v>0</v>
      </c>
      <c r="N3122" t="n">
        <v>0</v>
      </c>
      <c r="O3122" t="n">
        <v>0</v>
      </c>
      <c r="P3122" t="n">
        <v>0</v>
      </c>
      <c r="Q3122" t="n">
        <v>0</v>
      </c>
      <c r="R3122" t="n">
        <v>0</v>
      </c>
      <c r="S3122" t="n">
        <v>0</v>
      </c>
      <c r="T3122" t="n">
        <v>0</v>
      </c>
      <c r="U3122" t="n">
        <v>0</v>
      </c>
      <c r="V3122" s="2" t="inlineStr"/>
    </row>
    <row r="3123" ht="15" customHeight="1">
      <c r="A3123" t="inlineStr">
        <is>
          <t>A 7808-2024</t>
        </is>
      </c>
      <c r="B3123" t="inlineStr">
        <is>
          <t>avverkningsanmälan</t>
        </is>
      </c>
      <c r="C3123" t="inlineStr">
        <is>
          <t>Föryngringsavverkning</t>
        </is>
      </c>
      <c r="D3123" s="1" t="n">
        <v>45349</v>
      </c>
      <c r="E3123" s="1" t="n">
        <v>46323</v>
      </c>
      <c r="F3123" t="inlineStr">
        <is>
          <t>KALMAR LÄN</t>
        </is>
      </c>
      <c r="G3123" t="inlineStr">
        <is>
          <t>EMMABODA</t>
        </is>
      </c>
      <c r="I3123" t="n">
        <v>1.9</v>
      </c>
      <c r="J3123" t="n">
        <v>0</v>
      </c>
      <c r="K3123" t="n">
        <v>0</v>
      </c>
      <c r="L3123" t="n">
        <v>0</v>
      </c>
      <c r="M3123" t="n">
        <v>0</v>
      </c>
      <c r="N3123" t="n">
        <v>0</v>
      </c>
      <c r="O3123" t="n">
        <v>0</v>
      </c>
      <c r="P3123" t="n">
        <v>0</v>
      </c>
      <c r="Q3123" t="n">
        <v>0</v>
      </c>
      <c r="R3123" t="n">
        <v>0</v>
      </c>
      <c r="S3123" t="n">
        <v>0</v>
      </c>
      <c r="T3123" t="n">
        <v>0</v>
      </c>
      <c r="U3123" t="n">
        <v>0</v>
      </c>
      <c r="V3123" s="2" t="inlineStr"/>
    </row>
    <row r="3124" ht="15" customHeight="1">
      <c r="A3124" t="inlineStr">
        <is>
          <t>A 58209-2022</t>
        </is>
      </c>
      <c r="B3124" t="inlineStr">
        <is>
          <t>avverkningsanmälan</t>
        </is>
      </c>
      <c r="C3124" t="inlineStr">
        <is>
          <t>Föryngringsavverkning</t>
        </is>
      </c>
      <c r="D3124" s="1" t="n">
        <v>44901</v>
      </c>
      <c r="E3124" s="1" t="n">
        <v>46323</v>
      </c>
      <c r="F3124" t="inlineStr">
        <is>
          <t>KALMAR LÄN</t>
        </is>
      </c>
      <c r="G3124" t="inlineStr">
        <is>
          <t>VÄSTERVIK</t>
        </is>
      </c>
      <c r="I3124" t="n">
        <v>1.5</v>
      </c>
      <c r="J3124" t="n">
        <v>0</v>
      </c>
      <c r="K3124" t="n">
        <v>0</v>
      </c>
      <c r="L3124" t="n">
        <v>0</v>
      </c>
      <c r="M3124" t="n">
        <v>0</v>
      </c>
      <c r="N3124" t="n">
        <v>0</v>
      </c>
      <c r="O3124" t="n">
        <v>0</v>
      </c>
      <c r="P3124" t="n">
        <v>0</v>
      </c>
      <c r="Q3124" t="n">
        <v>0</v>
      </c>
      <c r="R3124" t="n">
        <v>0</v>
      </c>
      <c r="S3124" t="n">
        <v>0</v>
      </c>
      <c r="T3124" t="n">
        <v>0</v>
      </c>
      <c r="U3124" t="n">
        <v>0</v>
      </c>
      <c r="V3124" s="2" t="inlineStr"/>
    </row>
    <row r="3125" ht="15" customHeight="1">
      <c r="A3125" t="inlineStr">
        <is>
          <t>A 61009-2024</t>
        </is>
      </c>
      <c r="B3125" t="inlineStr">
        <is>
          <t>avverkningsanmälan</t>
        </is>
      </c>
      <c r="C3125" t="inlineStr">
        <is>
          <t>Föryngringsavverkning</t>
        </is>
      </c>
      <c r="D3125" s="1" t="n">
        <v>45645</v>
      </c>
      <c r="E3125" s="1" t="n">
        <v>46323</v>
      </c>
      <c r="F3125" t="inlineStr">
        <is>
          <t>KALMAR LÄN</t>
        </is>
      </c>
      <c r="G3125" t="inlineStr">
        <is>
          <t>MÖNSTERÅS</t>
        </is>
      </c>
      <c r="I3125" t="n">
        <v>2</v>
      </c>
      <c r="J3125" t="n">
        <v>0</v>
      </c>
      <c r="K3125" t="n">
        <v>0</v>
      </c>
      <c r="L3125" t="n">
        <v>0</v>
      </c>
      <c r="M3125" t="n">
        <v>0</v>
      </c>
      <c r="N3125" t="n">
        <v>0</v>
      </c>
      <c r="O3125" t="n">
        <v>0</v>
      </c>
      <c r="P3125" t="n">
        <v>0</v>
      </c>
      <c r="Q3125" t="n">
        <v>0</v>
      </c>
      <c r="R3125" t="n">
        <v>0</v>
      </c>
      <c r="S3125" t="n">
        <v>0</v>
      </c>
      <c r="T3125" t="n">
        <v>0</v>
      </c>
      <c r="U3125" t="n">
        <v>0</v>
      </c>
      <c r="V3125" s="2" t="inlineStr"/>
    </row>
    <row r="3126" ht="15" customHeight="1">
      <c r="A3126" t="inlineStr">
        <is>
          <t>A 7047-2022</t>
        </is>
      </c>
      <c r="B3126" t="inlineStr">
        <is>
          <t>avverkningsanmälan</t>
        </is>
      </c>
      <c r="C3126" t="inlineStr">
        <is>
          <t>Föryngringsavverkning</t>
        </is>
      </c>
      <c r="D3126" s="1" t="n">
        <v>44603</v>
      </c>
      <c r="E3126" s="1" t="n">
        <v>46323</v>
      </c>
      <c r="F3126" t="inlineStr">
        <is>
          <t>KALMAR LÄN</t>
        </is>
      </c>
      <c r="G3126" t="inlineStr">
        <is>
          <t>VIMMERBY</t>
        </is>
      </c>
      <c r="I3126" t="n">
        <v>0.6</v>
      </c>
      <c r="J3126" t="n">
        <v>0</v>
      </c>
      <c r="K3126" t="n">
        <v>0</v>
      </c>
      <c r="L3126" t="n">
        <v>0</v>
      </c>
      <c r="M3126" t="n">
        <v>0</v>
      </c>
      <c r="N3126" t="n">
        <v>0</v>
      </c>
      <c r="O3126" t="n">
        <v>0</v>
      </c>
      <c r="P3126" t="n">
        <v>0</v>
      </c>
      <c r="Q3126" t="n">
        <v>0</v>
      </c>
      <c r="R3126" t="n">
        <v>0</v>
      </c>
      <c r="S3126" t="n">
        <v>0</v>
      </c>
      <c r="T3126" t="n">
        <v>0</v>
      </c>
      <c r="U3126" t="n">
        <v>0</v>
      </c>
      <c r="V3126" s="2" t="inlineStr"/>
    </row>
    <row r="3127" ht="15" customHeight="1">
      <c r="A3127" t="inlineStr">
        <is>
          <t>A 50947-2025</t>
        </is>
      </c>
      <c r="B3127" t="inlineStr">
        <is>
          <t>avverkningsanmälan</t>
        </is>
      </c>
      <c r="C3127" t="inlineStr">
        <is>
          <t>Föryngringsavverkning</t>
        </is>
      </c>
      <c r="D3127" s="1" t="n">
        <v>45946</v>
      </c>
      <c r="E3127" s="1" t="n">
        <v>46323</v>
      </c>
      <c r="F3127" t="inlineStr">
        <is>
          <t>KALMAR LÄN</t>
        </is>
      </c>
      <c r="G3127" t="inlineStr">
        <is>
          <t>HÖGSBY</t>
        </is>
      </c>
      <c r="I3127" t="n">
        <v>0.5</v>
      </c>
      <c r="J3127" t="n">
        <v>0</v>
      </c>
      <c r="K3127" t="n">
        <v>0</v>
      </c>
      <c r="L3127" t="n">
        <v>0</v>
      </c>
      <c r="M3127" t="n">
        <v>0</v>
      </c>
      <c r="N3127" t="n">
        <v>0</v>
      </c>
      <c r="O3127" t="n">
        <v>0</v>
      </c>
      <c r="P3127" t="n">
        <v>0</v>
      </c>
      <c r="Q3127" t="n">
        <v>0</v>
      </c>
      <c r="R3127" t="n">
        <v>0</v>
      </c>
      <c r="S3127" t="n">
        <v>0</v>
      </c>
      <c r="T3127" t="n">
        <v>0</v>
      </c>
      <c r="U3127" t="n">
        <v>0</v>
      </c>
      <c r="V3127" s="2" t="inlineStr"/>
    </row>
    <row r="3128" ht="15" customHeight="1">
      <c r="A3128" t="inlineStr">
        <is>
          <t>A 12499-2023</t>
        </is>
      </c>
      <c r="B3128" t="inlineStr">
        <is>
          <t>avverkningsanmälan</t>
        </is>
      </c>
      <c r="C3128" t="inlineStr">
        <is>
          <t>Föryngringsavverkning</t>
        </is>
      </c>
      <c r="D3128" s="1" t="n">
        <v>44999</v>
      </c>
      <c r="E3128" s="1" t="n">
        <v>46323</v>
      </c>
      <c r="F3128" t="inlineStr">
        <is>
          <t>KALMAR LÄN</t>
        </is>
      </c>
      <c r="G3128" t="inlineStr">
        <is>
          <t>VIMMERBY</t>
        </is>
      </c>
      <c r="I3128" t="n">
        <v>0.8</v>
      </c>
      <c r="J3128" t="n">
        <v>0</v>
      </c>
      <c r="K3128" t="n">
        <v>0</v>
      </c>
      <c r="L3128" t="n">
        <v>0</v>
      </c>
      <c r="M3128" t="n">
        <v>0</v>
      </c>
      <c r="N3128" t="n">
        <v>0</v>
      </c>
      <c r="O3128" t="n">
        <v>0</v>
      </c>
      <c r="P3128" t="n">
        <v>0</v>
      </c>
      <c r="Q3128" t="n">
        <v>0</v>
      </c>
      <c r="R3128" t="n">
        <v>0</v>
      </c>
      <c r="S3128" t="n">
        <v>0</v>
      </c>
      <c r="T3128" t="n">
        <v>0</v>
      </c>
      <c r="U3128" t="n">
        <v>0</v>
      </c>
      <c r="V3128" s="2" t="inlineStr"/>
    </row>
    <row r="3129" ht="15" customHeight="1">
      <c r="A3129" t="inlineStr">
        <is>
          <t>A 12500-2023</t>
        </is>
      </c>
      <c r="B3129" t="inlineStr">
        <is>
          <t>avverkningsanmälan</t>
        </is>
      </c>
      <c r="C3129" t="inlineStr">
        <is>
          <t>Föryngringsavverkning</t>
        </is>
      </c>
      <c r="D3129" s="1" t="n">
        <v>44999</v>
      </c>
      <c r="E3129" s="1" t="n">
        <v>46323</v>
      </c>
      <c r="F3129" t="inlineStr">
        <is>
          <t>KALMAR LÄN</t>
        </is>
      </c>
      <c r="G3129" t="inlineStr">
        <is>
          <t>VIMMERBY</t>
        </is>
      </c>
      <c r="I3129" t="n">
        <v>0.5</v>
      </c>
      <c r="J3129" t="n">
        <v>0</v>
      </c>
      <c r="K3129" t="n">
        <v>0</v>
      </c>
      <c r="L3129" t="n">
        <v>0</v>
      </c>
      <c r="M3129" t="n">
        <v>0</v>
      </c>
      <c r="N3129" t="n">
        <v>0</v>
      </c>
      <c r="O3129" t="n">
        <v>0</v>
      </c>
      <c r="P3129" t="n">
        <v>0</v>
      </c>
      <c r="Q3129" t="n">
        <v>0</v>
      </c>
      <c r="R3129" t="n">
        <v>0</v>
      </c>
      <c r="S3129" t="n">
        <v>0</v>
      </c>
      <c r="T3129" t="n">
        <v>0</v>
      </c>
      <c r="U3129" t="n">
        <v>0</v>
      </c>
      <c r="V3129" s="2" t="inlineStr"/>
    </row>
    <row r="3130" ht="15" customHeight="1">
      <c r="A3130" t="inlineStr">
        <is>
          <t>A 62921-2023</t>
        </is>
      </c>
      <c r="B3130" t="inlineStr">
        <is>
          <t>avverkningsanmälan</t>
        </is>
      </c>
      <c r="C3130" t="inlineStr">
        <is>
          <t>Föryngringsavverkning</t>
        </is>
      </c>
      <c r="D3130" s="1" t="n">
        <v>45272</v>
      </c>
      <c r="E3130" s="1" t="n">
        <v>46323</v>
      </c>
      <c r="F3130" t="inlineStr">
        <is>
          <t>KALMAR LÄN</t>
        </is>
      </c>
      <c r="G3130" t="inlineStr">
        <is>
          <t>VÄSTERVIK</t>
        </is>
      </c>
      <c r="I3130" t="n">
        <v>0.7</v>
      </c>
      <c r="J3130" t="n">
        <v>0</v>
      </c>
      <c r="K3130" t="n">
        <v>0</v>
      </c>
      <c r="L3130" t="n">
        <v>0</v>
      </c>
      <c r="M3130" t="n">
        <v>0</v>
      </c>
      <c r="N3130" t="n">
        <v>0</v>
      </c>
      <c r="O3130" t="n">
        <v>0</v>
      </c>
      <c r="P3130" t="n">
        <v>0</v>
      </c>
      <c r="Q3130" t="n">
        <v>0</v>
      </c>
      <c r="R3130" t="n">
        <v>0</v>
      </c>
      <c r="S3130" t="n">
        <v>0</v>
      </c>
      <c r="T3130" t="n">
        <v>0</v>
      </c>
      <c r="U3130" t="n">
        <v>0</v>
      </c>
      <c r="V3130" s="2" t="inlineStr"/>
    </row>
    <row r="3131" ht="15" customHeight="1">
      <c r="A3131" t="inlineStr">
        <is>
          <t>A 59409-2022</t>
        </is>
      </c>
      <c r="B3131" t="inlineStr">
        <is>
          <t>avverkningsanmälan</t>
        </is>
      </c>
      <c r="C3131" t="inlineStr">
        <is>
          <t>Föryngringsavverkning</t>
        </is>
      </c>
      <c r="D3131" s="1" t="n">
        <v>44907</v>
      </c>
      <c r="E3131" s="1" t="n">
        <v>46323</v>
      </c>
      <c r="F3131" t="inlineStr">
        <is>
          <t>KALMAR LÄN</t>
        </is>
      </c>
      <c r="G3131" t="inlineStr">
        <is>
          <t>HÖGSBY</t>
        </is>
      </c>
      <c r="I3131" t="n">
        <v>1.8</v>
      </c>
      <c r="J3131" t="n">
        <v>0</v>
      </c>
      <c r="K3131" t="n">
        <v>0</v>
      </c>
      <c r="L3131" t="n">
        <v>0</v>
      </c>
      <c r="M3131" t="n">
        <v>0</v>
      </c>
      <c r="N3131" t="n">
        <v>0</v>
      </c>
      <c r="O3131" t="n">
        <v>0</v>
      </c>
      <c r="P3131" t="n">
        <v>0</v>
      </c>
      <c r="Q3131" t="n">
        <v>0</v>
      </c>
      <c r="R3131" t="n">
        <v>0</v>
      </c>
      <c r="S3131" t="n">
        <v>0</v>
      </c>
      <c r="T3131" t="n">
        <v>0</v>
      </c>
      <c r="U3131" t="n">
        <v>0</v>
      </c>
      <c r="V3131" s="2" t="inlineStr"/>
    </row>
    <row r="3132" ht="15" customHeight="1">
      <c r="A3132" t="inlineStr">
        <is>
          <t>A 11954-2023</t>
        </is>
      </c>
      <c r="B3132" t="inlineStr">
        <is>
          <t>avverkningsanmälan</t>
        </is>
      </c>
      <c r="C3132" t="inlineStr">
        <is>
          <t>Föryngringsavverkning</t>
        </is>
      </c>
      <c r="D3132" s="1" t="n">
        <v>44995</v>
      </c>
      <c r="E3132" s="1" t="n">
        <v>46323</v>
      </c>
      <c r="F3132" t="inlineStr">
        <is>
          <t>KALMAR LÄN</t>
        </is>
      </c>
      <c r="G3132" t="inlineStr">
        <is>
          <t>OSKARSHAMN</t>
        </is>
      </c>
      <c r="I3132" t="n">
        <v>1</v>
      </c>
      <c r="J3132" t="n">
        <v>0</v>
      </c>
      <c r="K3132" t="n">
        <v>0</v>
      </c>
      <c r="L3132" t="n">
        <v>0</v>
      </c>
      <c r="M3132" t="n">
        <v>0</v>
      </c>
      <c r="N3132" t="n">
        <v>0</v>
      </c>
      <c r="O3132" t="n">
        <v>0</v>
      </c>
      <c r="P3132" t="n">
        <v>0</v>
      </c>
      <c r="Q3132" t="n">
        <v>0</v>
      </c>
      <c r="R3132" t="n">
        <v>0</v>
      </c>
      <c r="S3132" t="n">
        <v>0</v>
      </c>
      <c r="T3132" t="n">
        <v>0</v>
      </c>
      <c r="U3132" t="n">
        <v>0</v>
      </c>
      <c r="V3132" s="2" t="inlineStr"/>
    </row>
    <row r="3133" ht="15" customHeight="1">
      <c r="A3133" t="inlineStr">
        <is>
          <t>A 12014-2023</t>
        </is>
      </c>
      <c r="B3133" t="inlineStr">
        <is>
          <t>avverkningsanmälan</t>
        </is>
      </c>
      <c r="C3133" t="inlineStr">
        <is>
          <t>Avverkning för annat ändamål</t>
        </is>
      </c>
      <c r="D3133" s="1" t="n">
        <v>44995</v>
      </c>
      <c r="E3133" s="1" t="n">
        <v>46323</v>
      </c>
      <c r="F3133" t="inlineStr">
        <is>
          <t>KALMAR LÄN</t>
        </is>
      </c>
      <c r="G3133" t="inlineStr">
        <is>
          <t>EMMABODA</t>
        </is>
      </c>
      <c r="I3133" t="n">
        <v>0.7</v>
      </c>
      <c r="J3133" t="n">
        <v>0</v>
      </c>
      <c r="K3133" t="n">
        <v>0</v>
      </c>
      <c r="L3133" t="n">
        <v>0</v>
      </c>
      <c r="M3133" t="n">
        <v>0</v>
      </c>
      <c r="N3133" t="n">
        <v>0</v>
      </c>
      <c r="O3133" t="n">
        <v>0</v>
      </c>
      <c r="P3133" t="n">
        <v>0</v>
      </c>
      <c r="Q3133" t="n">
        <v>0</v>
      </c>
      <c r="R3133" t="n">
        <v>0</v>
      </c>
      <c r="S3133" t="n">
        <v>0</v>
      </c>
      <c r="T3133" t="n">
        <v>0</v>
      </c>
      <c r="U3133" t="n">
        <v>0</v>
      </c>
      <c r="V3133" s="2" t="inlineStr"/>
    </row>
    <row r="3134" ht="15" customHeight="1">
      <c r="A3134" t="inlineStr">
        <is>
          <t>A 3882-2023</t>
        </is>
      </c>
      <c r="B3134" t="inlineStr">
        <is>
          <t>avverkningsanmälan</t>
        </is>
      </c>
      <c r="C3134" t="inlineStr">
        <is>
          <t>Föryngringsavverkning</t>
        </is>
      </c>
      <c r="D3134" s="1" t="n">
        <v>44951</v>
      </c>
      <c r="E3134" s="1" t="n">
        <v>46323</v>
      </c>
      <c r="F3134" t="inlineStr">
        <is>
          <t>KALMAR LÄN</t>
        </is>
      </c>
      <c r="G3134" t="inlineStr">
        <is>
          <t>HULTSFRED</t>
        </is>
      </c>
      <c r="I3134" t="n">
        <v>1.6</v>
      </c>
      <c r="J3134" t="n">
        <v>0</v>
      </c>
      <c r="K3134" t="n">
        <v>0</v>
      </c>
      <c r="L3134" t="n">
        <v>0</v>
      </c>
      <c r="M3134" t="n">
        <v>0</v>
      </c>
      <c r="N3134" t="n">
        <v>0</v>
      </c>
      <c r="O3134" t="n">
        <v>0</v>
      </c>
      <c r="P3134" t="n">
        <v>0</v>
      </c>
      <c r="Q3134" t="n">
        <v>0</v>
      </c>
      <c r="R3134" t="n">
        <v>0</v>
      </c>
      <c r="S3134" t="n">
        <v>0</v>
      </c>
      <c r="T3134" t="n">
        <v>0</v>
      </c>
      <c r="U3134" t="n">
        <v>0</v>
      </c>
      <c r="V3134" s="2" t="inlineStr"/>
    </row>
    <row r="3135" ht="15" customHeight="1">
      <c r="A3135" t="inlineStr">
        <is>
          <t>A 50477-2025</t>
        </is>
      </c>
      <c r="B3135" t="inlineStr">
        <is>
          <t>avverkningsanmälan</t>
        </is>
      </c>
      <c r="C3135" t="inlineStr">
        <is>
          <t>Föryngringsavverkning</t>
        </is>
      </c>
      <c r="D3135" s="1" t="n">
        <v>45945</v>
      </c>
      <c r="E3135" s="1" t="n">
        <v>46323</v>
      </c>
      <c r="F3135" t="inlineStr">
        <is>
          <t>KALMAR LÄN</t>
        </is>
      </c>
      <c r="G3135" t="inlineStr">
        <is>
          <t>NYBRO</t>
        </is>
      </c>
      <c r="I3135" t="n">
        <v>0.4</v>
      </c>
      <c r="J3135" t="n">
        <v>0</v>
      </c>
      <c r="K3135" t="n">
        <v>0</v>
      </c>
      <c r="L3135" t="n">
        <v>0</v>
      </c>
      <c r="M3135" t="n">
        <v>0</v>
      </c>
      <c r="N3135" t="n">
        <v>0</v>
      </c>
      <c r="O3135" t="n">
        <v>0</v>
      </c>
      <c r="P3135" t="n">
        <v>0</v>
      </c>
      <c r="Q3135" t="n">
        <v>0</v>
      </c>
      <c r="R3135" t="n">
        <v>0</v>
      </c>
      <c r="S3135" t="n">
        <v>0</v>
      </c>
      <c r="T3135" t="n">
        <v>0</v>
      </c>
      <c r="U3135" t="n">
        <v>0</v>
      </c>
      <c r="V3135" s="2" t="inlineStr"/>
    </row>
    <row r="3136" ht="15" customHeight="1">
      <c r="A3136" t="inlineStr">
        <is>
          <t>A 21695-2024</t>
        </is>
      </c>
      <c r="B3136" t="inlineStr">
        <is>
          <t>avverkningsanmälan</t>
        </is>
      </c>
      <c r="C3136" t="inlineStr">
        <is>
          <t>Föryngringsavverkning</t>
        </is>
      </c>
      <c r="D3136" s="1" t="n">
        <v>45442</v>
      </c>
      <c r="E3136" s="1" t="n">
        <v>46323</v>
      </c>
      <c r="F3136" t="inlineStr">
        <is>
          <t>KALMAR LÄN</t>
        </is>
      </c>
      <c r="G3136" t="inlineStr">
        <is>
          <t>NYBRO</t>
        </is>
      </c>
      <c r="I3136" t="n">
        <v>1.8</v>
      </c>
      <c r="J3136" t="n">
        <v>0</v>
      </c>
      <c r="K3136" t="n">
        <v>0</v>
      </c>
      <c r="L3136" t="n">
        <v>0</v>
      </c>
      <c r="M3136" t="n">
        <v>0</v>
      </c>
      <c r="N3136" t="n">
        <v>0</v>
      </c>
      <c r="O3136" t="n">
        <v>0</v>
      </c>
      <c r="P3136" t="n">
        <v>0</v>
      </c>
      <c r="Q3136" t="n">
        <v>0</v>
      </c>
      <c r="R3136" t="n">
        <v>0</v>
      </c>
      <c r="S3136" t="n">
        <v>0</v>
      </c>
      <c r="T3136" t="n">
        <v>0</v>
      </c>
      <c r="U3136" t="n">
        <v>0</v>
      </c>
      <c r="V3136" s="2" t="inlineStr"/>
    </row>
    <row r="3137" ht="15" customHeight="1">
      <c r="A3137" t="inlineStr">
        <is>
          <t>A 55995-2023</t>
        </is>
      </c>
      <c r="B3137" t="inlineStr">
        <is>
          <t>avverkningsanmälan</t>
        </is>
      </c>
      <c r="C3137" t="inlineStr">
        <is>
          <t>Föryngringsavverkning</t>
        </is>
      </c>
      <c r="D3137" s="1" t="n">
        <v>45240</v>
      </c>
      <c r="E3137" s="1" t="n">
        <v>46323</v>
      </c>
      <c r="F3137" t="inlineStr">
        <is>
          <t>KALMAR LÄN</t>
        </is>
      </c>
      <c r="G3137" t="inlineStr">
        <is>
          <t>OSKARSHAMN</t>
        </is>
      </c>
      <c r="I3137" t="n">
        <v>2.3</v>
      </c>
      <c r="J3137" t="n">
        <v>0</v>
      </c>
      <c r="K3137" t="n">
        <v>0</v>
      </c>
      <c r="L3137" t="n">
        <v>0</v>
      </c>
      <c r="M3137" t="n">
        <v>0</v>
      </c>
      <c r="N3137" t="n">
        <v>0</v>
      </c>
      <c r="O3137" t="n">
        <v>0</v>
      </c>
      <c r="P3137" t="n">
        <v>0</v>
      </c>
      <c r="Q3137" t="n">
        <v>0</v>
      </c>
      <c r="R3137" t="n">
        <v>0</v>
      </c>
      <c r="S3137" t="n">
        <v>0</v>
      </c>
      <c r="T3137" t="n">
        <v>0</v>
      </c>
      <c r="U3137" t="n">
        <v>0</v>
      </c>
      <c r="V3137" s="2" t="inlineStr"/>
    </row>
    <row r="3138" ht="15" customHeight="1">
      <c r="A3138" t="inlineStr">
        <is>
          <t>A 55999-2023</t>
        </is>
      </c>
      <c r="B3138" t="inlineStr">
        <is>
          <t>avverkningsanmälan</t>
        </is>
      </c>
      <c r="C3138" t="inlineStr">
        <is>
          <t>Föryngringsavverkning</t>
        </is>
      </c>
      <c r="D3138" s="1" t="n">
        <v>45240</v>
      </c>
      <c r="E3138" s="1" t="n">
        <v>46323</v>
      </c>
      <c r="F3138" t="inlineStr">
        <is>
          <t>KALMAR LÄN</t>
        </is>
      </c>
      <c r="G3138" t="inlineStr">
        <is>
          <t>OSKARSHAMN</t>
        </is>
      </c>
      <c r="I3138" t="n">
        <v>2.3</v>
      </c>
      <c r="J3138" t="n">
        <v>0</v>
      </c>
      <c r="K3138" t="n">
        <v>0</v>
      </c>
      <c r="L3138" t="n">
        <v>0</v>
      </c>
      <c r="M3138" t="n">
        <v>0</v>
      </c>
      <c r="N3138" t="n">
        <v>0</v>
      </c>
      <c r="O3138" t="n">
        <v>0</v>
      </c>
      <c r="P3138" t="n">
        <v>0</v>
      </c>
      <c r="Q3138" t="n">
        <v>0</v>
      </c>
      <c r="R3138" t="n">
        <v>0</v>
      </c>
      <c r="S3138" t="n">
        <v>0</v>
      </c>
      <c r="T3138" t="n">
        <v>0</v>
      </c>
      <c r="U3138" t="n">
        <v>0</v>
      </c>
      <c r="V3138" s="2" t="inlineStr"/>
    </row>
    <row r="3139" ht="15" customHeight="1">
      <c r="A3139" t="inlineStr">
        <is>
          <t>A 24983-2022</t>
        </is>
      </c>
      <c r="B3139" t="inlineStr">
        <is>
          <t>avverkningsanmälan</t>
        </is>
      </c>
      <c r="C3139" t="inlineStr">
        <is>
          <t>Föryngringsavverkning</t>
        </is>
      </c>
      <c r="D3139" s="1" t="n">
        <v>44728</v>
      </c>
      <c r="E3139" s="1" t="n">
        <v>46323</v>
      </c>
      <c r="F3139" t="inlineStr">
        <is>
          <t>KALMAR LÄN</t>
        </is>
      </c>
      <c r="G3139" t="inlineStr">
        <is>
          <t>EMMABODA</t>
        </is>
      </c>
      <c r="I3139" t="n">
        <v>1</v>
      </c>
      <c r="J3139" t="n">
        <v>0</v>
      </c>
      <c r="K3139" t="n">
        <v>0</v>
      </c>
      <c r="L3139" t="n">
        <v>0</v>
      </c>
      <c r="M3139" t="n">
        <v>0</v>
      </c>
      <c r="N3139" t="n">
        <v>0</v>
      </c>
      <c r="O3139" t="n">
        <v>0</v>
      </c>
      <c r="P3139" t="n">
        <v>0</v>
      </c>
      <c r="Q3139" t="n">
        <v>0</v>
      </c>
      <c r="R3139" t="n">
        <v>0</v>
      </c>
      <c r="S3139" t="n">
        <v>0</v>
      </c>
      <c r="T3139" t="n">
        <v>0</v>
      </c>
      <c r="U3139" t="n">
        <v>0</v>
      </c>
      <c r="V3139" s="2" t="inlineStr"/>
    </row>
    <row r="3140" ht="15" customHeight="1">
      <c r="A3140" t="inlineStr">
        <is>
          <t>A 56339-2024</t>
        </is>
      </c>
      <c r="B3140" t="inlineStr">
        <is>
          <t>avverkningsanmälan</t>
        </is>
      </c>
      <c r="C3140" t="inlineStr">
        <is>
          <t>Föryngringsavverkning</t>
        </is>
      </c>
      <c r="D3140" s="1" t="n">
        <v>45624</v>
      </c>
      <c r="E3140" s="1" t="n">
        <v>46323</v>
      </c>
      <c r="F3140" t="inlineStr">
        <is>
          <t>KALMAR LÄN</t>
        </is>
      </c>
      <c r="G3140" t="inlineStr">
        <is>
          <t>HÖGSBY</t>
        </is>
      </c>
      <c r="I3140" t="n">
        <v>3.4</v>
      </c>
      <c r="J3140" t="n">
        <v>0</v>
      </c>
      <c r="K3140" t="n">
        <v>0</v>
      </c>
      <c r="L3140" t="n">
        <v>0</v>
      </c>
      <c r="M3140" t="n">
        <v>0</v>
      </c>
      <c r="N3140" t="n">
        <v>0</v>
      </c>
      <c r="O3140" t="n">
        <v>0</v>
      </c>
      <c r="P3140" t="n">
        <v>0</v>
      </c>
      <c r="Q3140" t="n">
        <v>0</v>
      </c>
      <c r="R3140" t="n">
        <v>0</v>
      </c>
      <c r="S3140" t="n">
        <v>0</v>
      </c>
      <c r="T3140" t="n">
        <v>0</v>
      </c>
      <c r="U3140" t="n">
        <v>0</v>
      </c>
      <c r="V3140" s="2" t="inlineStr"/>
    </row>
    <row r="3141" ht="15" customHeight="1">
      <c r="A3141" t="inlineStr">
        <is>
          <t>A 37093-2023</t>
        </is>
      </c>
      <c r="B3141" t="inlineStr">
        <is>
          <t>avverkningsanmälan</t>
        </is>
      </c>
      <c r="C3141" t="inlineStr">
        <is>
          <t>Föryngringsavverkning</t>
        </is>
      </c>
      <c r="D3141" s="1" t="n">
        <v>45155</v>
      </c>
      <c r="E3141" s="1" t="n">
        <v>46323</v>
      </c>
      <c r="F3141" t="inlineStr">
        <is>
          <t>KALMAR LÄN</t>
        </is>
      </c>
      <c r="G3141" t="inlineStr">
        <is>
          <t>EMMABODA</t>
        </is>
      </c>
      <c r="I3141" t="n">
        <v>2</v>
      </c>
      <c r="J3141" t="n">
        <v>0</v>
      </c>
      <c r="K3141" t="n">
        <v>0</v>
      </c>
      <c r="L3141" t="n">
        <v>0</v>
      </c>
      <c r="M3141" t="n">
        <v>0</v>
      </c>
      <c r="N3141" t="n">
        <v>0</v>
      </c>
      <c r="O3141" t="n">
        <v>0</v>
      </c>
      <c r="P3141" t="n">
        <v>0</v>
      </c>
      <c r="Q3141" t="n">
        <v>0</v>
      </c>
      <c r="R3141" t="n">
        <v>0</v>
      </c>
      <c r="S3141" t="n">
        <v>0</v>
      </c>
      <c r="T3141" t="n">
        <v>0</v>
      </c>
      <c r="U3141" t="n">
        <v>0</v>
      </c>
      <c r="V3141" s="2" t="inlineStr"/>
    </row>
    <row r="3142" ht="15" customHeight="1">
      <c r="A3142" t="inlineStr">
        <is>
          <t>A 37153-2023</t>
        </is>
      </c>
      <c r="B3142" t="inlineStr">
        <is>
          <t>avverkningsanmälan</t>
        </is>
      </c>
      <c r="C3142" t="inlineStr">
        <is>
          <t>Föryngringsavverkning</t>
        </is>
      </c>
      <c r="D3142" s="1" t="n">
        <v>45155</v>
      </c>
      <c r="E3142" s="1" t="n">
        <v>46323</v>
      </c>
      <c r="F3142" t="inlineStr">
        <is>
          <t>KALMAR LÄN</t>
        </is>
      </c>
      <c r="G3142" t="inlineStr">
        <is>
          <t>HULTSFRED</t>
        </is>
      </c>
      <c r="I3142" t="n">
        <v>0.6</v>
      </c>
      <c r="J3142" t="n">
        <v>0</v>
      </c>
      <c r="K3142" t="n">
        <v>0</v>
      </c>
      <c r="L3142" t="n">
        <v>0</v>
      </c>
      <c r="M3142" t="n">
        <v>0</v>
      </c>
      <c r="N3142" t="n">
        <v>0</v>
      </c>
      <c r="O3142" t="n">
        <v>0</v>
      </c>
      <c r="P3142" t="n">
        <v>0</v>
      </c>
      <c r="Q3142" t="n">
        <v>0</v>
      </c>
      <c r="R3142" t="n">
        <v>0</v>
      </c>
      <c r="S3142" t="n">
        <v>0</v>
      </c>
      <c r="T3142" t="n">
        <v>0</v>
      </c>
      <c r="U3142" t="n">
        <v>0</v>
      </c>
      <c r="V3142" s="2" t="inlineStr"/>
    </row>
    <row r="3143" ht="15" customHeight="1">
      <c r="A3143" t="inlineStr">
        <is>
          <t>A 23341-2022</t>
        </is>
      </c>
      <c r="B3143" t="inlineStr">
        <is>
          <t>avverkningsanmälan</t>
        </is>
      </c>
      <c r="C3143" t="inlineStr">
        <is>
          <t>Föryngringsavverkning</t>
        </is>
      </c>
      <c r="D3143" s="1" t="n">
        <v>44720</v>
      </c>
      <c r="E3143" s="1" t="n">
        <v>46323</v>
      </c>
      <c r="F3143" t="inlineStr">
        <is>
          <t>KALMAR LÄN</t>
        </is>
      </c>
      <c r="G3143" t="inlineStr">
        <is>
          <t>VIMMERBY</t>
        </is>
      </c>
      <c r="I3143" t="n">
        <v>0.8</v>
      </c>
      <c r="J3143" t="n">
        <v>0</v>
      </c>
      <c r="K3143" t="n">
        <v>0</v>
      </c>
      <c r="L3143" t="n">
        <v>0</v>
      </c>
      <c r="M3143" t="n">
        <v>0</v>
      </c>
      <c r="N3143" t="n">
        <v>0</v>
      </c>
      <c r="O3143" t="n">
        <v>0</v>
      </c>
      <c r="P3143" t="n">
        <v>0</v>
      </c>
      <c r="Q3143" t="n">
        <v>0</v>
      </c>
      <c r="R3143" t="n">
        <v>0</v>
      </c>
      <c r="S3143" t="n">
        <v>0</v>
      </c>
      <c r="T3143" t="n">
        <v>0</v>
      </c>
      <c r="U3143" t="n">
        <v>0</v>
      </c>
      <c r="V3143" s="2" t="inlineStr"/>
    </row>
    <row r="3144" ht="15" customHeight="1">
      <c r="A3144" t="inlineStr">
        <is>
          <t>A 5982-2023</t>
        </is>
      </c>
      <c r="B3144" t="inlineStr">
        <is>
          <t>avverkningsanmälan</t>
        </is>
      </c>
      <c r="C3144" t="inlineStr">
        <is>
          <t>Föryngringsavverkning</t>
        </is>
      </c>
      <c r="D3144" s="1" t="n">
        <v>44964</v>
      </c>
      <c r="E3144" s="1" t="n">
        <v>46323</v>
      </c>
      <c r="F3144" t="inlineStr">
        <is>
          <t>KALMAR LÄN</t>
        </is>
      </c>
      <c r="G3144" t="inlineStr">
        <is>
          <t>VÄSTERVIK</t>
        </is>
      </c>
      <c r="I3144" t="n">
        <v>2.8</v>
      </c>
      <c r="J3144" t="n">
        <v>0</v>
      </c>
      <c r="K3144" t="n">
        <v>0</v>
      </c>
      <c r="L3144" t="n">
        <v>0</v>
      </c>
      <c r="M3144" t="n">
        <v>0</v>
      </c>
      <c r="N3144" t="n">
        <v>0</v>
      </c>
      <c r="O3144" t="n">
        <v>0</v>
      </c>
      <c r="P3144" t="n">
        <v>0</v>
      </c>
      <c r="Q3144" t="n">
        <v>0</v>
      </c>
      <c r="R3144" t="n">
        <v>0</v>
      </c>
      <c r="S3144" t="n">
        <v>0</v>
      </c>
      <c r="T3144" t="n">
        <v>0</v>
      </c>
      <c r="U3144" t="n">
        <v>0</v>
      </c>
      <c r="V3144" s="2" t="inlineStr"/>
    </row>
    <row r="3145" ht="15" customHeight="1">
      <c r="A3145" t="inlineStr">
        <is>
          <t>A 6066-2023</t>
        </is>
      </c>
      <c r="B3145" t="inlineStr">
        <is>
          <t>avverkningsanmälan</t>
        </is>
      </c>
      <c r="C3145" t="inlineStr">
        <is>
          <t>Föryngringsavverkning</t>
        </is>
      </c>
      <c r="D3145" s="1" t="n">
        <v>44964</v>
      </c>
      <c r="E3145" s="1" t="n">
        <v>46323</v>
      </c>
      <c r="F3145" t="inlineStr">
        <is>
          <t>KALMAR LÄN</t>
        </is>
      </c>
      <c r="G3145" t="inlineStr">
        <is>
          <t>VIMMERBY</t>
        </is>
      </c>
      <c r="I3145" t="n">
        <v>2.8</v>
      </c>
      <c r="J3145" t="n">
        <v>0</v>
      </c>
      <c r="K3145" t="n">
        <v>0</v>
      </c>
      <c r="L3145" t="n">
        <v>0</v>
      </c>
      <c r="M3145" t="n">
        <v>0</v>
      </c>
      <c r="N3145" t="n">
        <v>0</v>
      </c>
      <c r="O3145" t="n">
        <v>0</v>
      </c>
      <c r="P3145" t="n">
        <v>0</v>
      </c>
      <c r="Q3145" t="n">
        <v>0</v>
      </c>
      <c r="R3145" t="n">
        <v>0</v>
      </c>
      <c r="S3145" t="n">
        <v>0</v>
      </c>
      <c r="T3145" t="n">
        <v>0</v>
      </c>
      <c r="U3145" t="n">
        <v>0</v>
      </c>
      <c r="V3145" s="2" t="inlineStr"/>
    </row>
    <row r="3146" ht="15" customHeight="1">
      <c r="A3146" t="inlineStr">
        <is>
          <t>A 71342-2021</t>
        </is>
      </c>
      <c r="B3146" t="inlineStr">
        <is>
          <t>avverkningsanmälan</t>
        </is>
      </c>
      <c r="C3146" t="inlineStr">
        <is>
          <t>Föryngringsavverkning</t>
        </is>
      </c>
      <c r="D3146" s="1" t="n">
        <v>44539</v>
      </c>
      <c r="E3146" s="1" t="n">
        <v>46323</v>
      </c>
      <c r="F3146" t="inlineStr">
        <is>
          <t>KALMAR LÄN</t>
        </is>
      </c>
      <c r="G3146" t="inlineStr">
        <is>
          <t>OSKARSHAMN</t>
        </is>
      </c>
      <c r="H3146" t="inlineStr">
        <is>
          <t>Sveaskog</t>
        </is>
      </c>
      <c r="I3146" t="n">
        <v>0.4</v>
      </c>
      <c r="J3146" t="n">
        <v>0</v>
      </c>
      <c r="K3146" t="n">
        <v>0</v>
      </c>
      <c r="L3146" t="n">
        <v>0</v>
      </c>
      <c r="M3146" t="n">
        <v>0</v>
      </c>
      <c r="N3146" t="n">
        <v>0</v>
      </c>
      <c r="O3146" t="n">
        <v>0</v>
      </c>
      <c r="P3146" t="n">
        <v>0</v>
      </c>
      <c r="Q3146" t="n">
        <v>0</v>
      </c>
      <c r="R3146" t="n">
        <v>0</v>
      </c>
      <c r="S3146" t="n">
        <v>0</v>
      </c>
      <c r="T3146" t="n">
        <v>0</v>
      </c>
      <c r="U3146" t="n">
        <v>0</v>
      </c>
      <c r="V3146" s="2" t="inlineStr"/>
    </row>
    <row r="3147" ht="15" customHeight="1">
      <c r="A3147" t="inlineStr">
        <is>
          <t>A 5214-2023</t>
        </is>
      </c>
      <c r="B3147" t="inlineStr">
        <is>
          <t>avverkningsanmälan</t>
        </is>
      </c>
      <c r="C3147" t="inlineStr">
        <is>
          <t>Föryngringsavverkning</t>
        </is>
      </c>
      <c r="D3147" s="1" t="n">
        <v>44959</v>
      </c>
      <c r="E3147" s="1" t="n">
        <v>46323</v>
      </c>
      <c r="F3147" t="inlineStr">
        <is>
          <t>KALMAR LÄN</t>
        </is>
      </c>
      <c r="G3147" t="inlineStr">
        <is>
          <t>NYBRO</t>
        </is>
      </c>
      <c r="I3147" t="n">
        <v>3.4</v>
      </c>
      <c r="J3147" t="n">
        <v>0</v>
      </c>
      <c r="K3147" t="n">
        <v>0</v>
      </c>
      <c r="L3147" t="n">
        <v>0</v>
      </c>
      <c r="M3147" t="n">
        <v>0</v>
      </c>
      <c r="N3147" t="n">
        <v>0</v>
      </c>
      <c r="O3147" t="n">
        <v>0</v>
      </c>
      <c r="P3147" t="n">
        <v>0</v>
      </c>
      <c r="Q3147" t="n">
        <v>0</v>
      </c>
      <c r="R3147" t="n">
        <v>0</v>
      </c>
      <c r="S3147" t="n">
        <v>0</v>
      </c>
      <c r="T3147" t="n">
        <v>0</v>
      </c>
      <c r="U3147" t="n">
        <v>0</v>
      </c>
      <c r="V3147" s="2" t="inlineStr"/>
    </row>
    <row r="3148" ht="15" customHeight="1">
      <c r="A3148" t="inlineStr">
        <is>
          <t>A 26923-2023</t>
        </is>
      </c>
      <c r="B3148" t="inlineStr">
        <is>
          <t>avverkningsanmälan</t>
        </is>
      </c>
      <c r="C3148" t="inlineStr">
        <is>
          <t>Föryngringsavverkning</t>
        </is>
      </c>
      <c r="D3148" s="1" t="n">
        <v>45093</v>
      </c>
      <c r="E3148" s="1" t="n">
        <v>46323</v>
      </c>
      <c r="F3148" t="inlineStr">
        <is>
          <t>KALMAR LÄN</t>
        </is>
      </c>
      <c r="G3148" t="inlineStr">
        <is>
          <t>EMMABODA</t>
        </is>
      </c>
      <c r="I3148" t="n">
        <v>0.5</v>
      </c>
      <c r="J3148" t="n">
        <v>0</v>
      </c>
      <c r="K3148" t="n">
        <v>0</v>
      </c>
      <c r="L3148" t="n">
        <v>0</v>
      </c>
      <c r="M3148" t="n">
        <v>0</v>
      </c>
      <c r="N3148" t="n">
        <v>0</v>
      </c>
      <c r="O3148" t="n">
        <v>0</v>
      </c>
      <c r="P3148" t="n">
        <v>0</v>
      </c>
      <c r="Q3148" t="n">
        <v>0</v>
      </c>
      <c r="R3148" t="n">
        <v>0</v>
      </c>
      <c r="S3148" t="n">
        <v>0</v>
      </c>
      <c r="T3148" t="n">
        <v>0</v>
      </c>
      <c r="U3148" t="n">
        <v>0</v>
      </c>
      <c r="V3148" s="2" t="inlineStr"/>
    </row>
    <row r="3149" ht="15" customHeight="1">
      <c r="A3149" t="inlineStr">
        <is>
          <t>A 57794-2022</t>
        </is>
      </c>
      <c r="B3149" t="inlineStr">
        <is>
          <t>avverkningsanmälan</t>
        </is>
      </c>
      <c r="C3149" t="inlineStr">
        <is>
          <t>Föryngringsavverkning</t>
        </is>
      </c>
      <c r="D3149" s="1" t="n">
        <v>44897</v>
      </c>
      <c r="E3149" s="1" t="n">
        <v>46323</v>
      </c>
      <c r="F3149" t="inlineStr">
        <is>
          <t>KALMAR LÄN</t>
        </is>
      </c>
      <c r="G3149" t="inlineStr">
        <is>
          <t>EMMABODA</t>
        </is>
      </c>
      <c r="I3149" t="n">
        <v>6.1</v>
      </c>
      <c r="J3149" t="n">
        <v>0</v>
      </c>
      <c r="K3149" t="n">
        <v>0</v>
      </c>
      <c r="L3149" t="n">
        <v>0</v>
      </c>
      <c r="M3149" t="n">
        <v>0</v>
      </c>
      <c r="N3149" t="n">
        <v>0</v>
      </c>
      <c r="O3149" t="n">
        <v>0</v>
      </c>
      <c r="P3149" t="n">
        <v>0</v>
      </c>
      <c r="Q3149" t="n">
        <v>0</v>
      </c>
      <c r="R3149" t="n">
        <v>0</v>
      </c>
      <c r="S3149" t="n">
        <v>0</v>
      </c>
      <c r="T3149" t="n">
        <v>0</v>
      </c>
      <c r="U3149" t="n">
        <v>0</v>
      </c>
      <c r="V3149" s="2" t="inlineStr"/>
    </row>
    <row r="3150" ht="15" customHeight="1">
      <c r="A3150" t="inlineStr">
        <is>
          <t>A 51513-2025</t>
        </is>
      </c>
      <c r="B3150" t="inlineStr">
        <is>
          <t>avverkningsanmälan</t>
        </is>
      </c>
      <c r="C3150" t="inlineStr">
        <is>
          <t>Föryngringsavverkning</t>
        </is>
      </c>
      <c r="D3150" s="1" t="n">
        <v>45950</v>
      </c>
      <c r="E3150" s="1" t="n">
        <v>46323</v>
      </c>
      <c r="F3150" t="inlineStr">
        <is>
          <t>KALMAR LÄN</t>
        </is>
      </c>
      <c r="G3150" t="inlineStr">
        <is>
          <t>VÄSTERVIK</t>
        </is>
      </c>
      <c r="I3150" t="n">
        <v>2.4</v>
      </c>
      <c r="J3150" t="n">
        <v>0</v>
      </c>
      <c r="K3150" t="n">
        <v>0</v>
      </c>
      <c r="L3150" t="n">
        <v>0</v>
      </c>
      <c r="M3150" t="n">
        <v>0</v>
      </c>
      <c r="N3150" t="n">
        <v>0</v>
      </c>
      <c r="O3150" t="n">
        <v>0</v>
      </c>
      <c r="P3150" t="n">
        <v>0</v>
      </c>
      <c r="Q3150" t="n">
        <v>0</v>
      </c>
      <c r="R3150" t="n">
        <v>0</v>
      </c>
      <c r="S3150" t="n">
        <v>0</v>
      </c>
      <c r="T3150" t="n">
        <v>0</v>
      </c>
      <c r="U3150" t="n">
        <v>0</v>
      </c>
      <c r="V3150" s="2" t="inlineStr"/>
    </row>
    <row r="3151" ht="15" customHeight="1">
      <c r="A3151" t="inlineStr">
        <is>
          <t>A 51520-2025</t>
        </is>
      </c>
      <c r="B3151" t="inlineStr">
        <is>
          <t>avverkningsanmälan</t>
        </is>
      </c>
      <c r="C3151" t="inlineStr">
        <is>
          <t>Föryngringsavverkning</t>
        </is>
      </c>
      <c r="D3151" s="1" t="n">
        <v>45950</v>
      </c>
      <c r="E3151" s="1" t="n">
        <v>46323</v>
      </c>
      <c r="F3151" t="inlineStr">
        <is>
          <t>KALMAR LÄN</t>
        </is>
      </c>
      <c r="G3151" t="inlineStr">
        <is>
          <t>VÄSTERVIK</t>
        </is>
      </c>
      <c r="I3151" t="n">
        <v>3.6</v>
      </c>
      <c r="J3151" t="n">
        <v>0</v>
      </c>
      <c r="K3151" t="n">
        <v>0</v>
      </c>
      <c r="L3151" t="n">
        <v>0</v>
      </c>
      <c r="M3151" t="n">
        <v>0</v>
      </c>
      <c r="N3151" t="n">
        <v>0</v>
      </c>
      <c r="O3151" t="n">
        <v>0</v>
      </c>
      <c r="P3151" t="n">
        <v>0</v>
      </c>
      <c r="Q3151" t="n">
        <v>0</v>
      </c>
      <c r="R3151" t="n">
        <v>0</v>
      </c>
      <c r="S3151" t="n">
        <v>0</v>
      </c>
      <c r="T3151" t="n">
        <v>0</v>
      </c>
      <c r="U3151" t="n">
        <v>0</v>
      </c>
      <c r="V3151" s="2" t="inlineStr"/>
    </row>
    <row r="3152" ht="15" customHeight="1">
      <c r="A3152" t="inlineStr">
        <is>
          <t>A 51182-2025</t>
        </is>
      </c>
      <c r="B3152" t="inlineStr">
        <is>
          <t>avverkningsanmälan</t>
        </is>
      </c>
      <c r="C3152" t="inlineStr">
        <is>
          <t>Föryngringsavverkning</t>
        </is>
      </c>
      <c r="D3152" s="1" t="n">
        <v>45947</v>
      </c>
      <c r="E3152" s="1" t="n">
        <v>46323</v>
      </c>
      <c r="F3152" t="inlineStr">
        <is>
          <t>KALMAR LÄN</t>
        </is>
      </c>
      <c r="G3152" t="inlineStr">
        <is>
          <t>VÄSTERVIK</t>
        </is>
      </c>
      <c r="I3152" t="n">
        <v>0.5</v>
      </c>
      <c r="J3152" t="n">
        <v>0</v>
      </c>
      <c r="K3152" t="n">
        <v>0</v>
      </c>
      <c r="L3152" t="n">
        <v>0</v>
      </c>
      <c r="M3152" t="n">
        <v>0</v>
      </c>
      <c r="N3152" t="n">
        <v>0</v>
      </c>
      <c r="O3152" t="n">
        <v>0</v>
      </c>
      <c r="P3152" t="n">
        <v>0</v>
      </c>
      <c r="Q3152" t="n">
        <v>0</v>
      </c>
      <c r="R3152" t="n">
        <v>0</v>
      </c>
      <c r="S3152" t="n">
        <v>0</v>
      </c>
      <c r="T3152" t="n">
        <v>0</v>
      </c>
      <c r="U3152" t="n">
        <v>0</v>
      </c>
      <c r="V3152" s="2" t="inlineStr"/>
    </row>
    <row r="3153" ht="15" customHeight="1">
      <c r="A3153" t="inlineStr">
        <is>
          <t>A 9151-2023</t>
        </is>
      </c>
      <c r="B3153" t="inlineStr">
        <is>
          <t>avverkningsanmälan</t>
        </is>
      </c>
      <c r="C3153" t="inlineStr">
        <is>
          <t>Föryngringsavverkning</t>
        </is>
      </c>
      <c r="D3153" s="1" t="n">
        <v>44980</v>
      </c>
      <c r="E3153" s="1" t="n">
        <v>46323</v>
      </c>
      <c r="F3153" t="inlineStr">
        <is>
          <t>KALMAR LÄN</t>
        </is>
      </c>
      <c r="G3153" t="inlineStr">
        <is>
          <t>TORSÅS</t>
        </is>
      </c>
      <c r="I3153" t="n">
        <v>5.3</v>
      </c>
      <c r="J3153" t="n">
        <v>0</v>
      </c>
      <c r="K3153" t="n">
        <v>0</v>
      </c>
      <c r="L3153" t="n">
        <v>0</v>
      </c>
      <c r="M3153" t="n">
        <v>0</v>
      </c>
      <c r="N3153" t="n">
        <v>0</v>
      </c>
      <c r="O3153" t="n">
        <v>0</v>
      </c>
      <c r="P3153" t="n">
        <v>0</v>
      </c>
      <c r="Q3153" t="n">
        <v>0</v>
      </c>
      <c r="R3153" t="n">
        <v>0</v>
      </c>
      <c r="S3153" t="n">
        <v>0</v>
      </c>
      <c r="T3153" t="n">
        <v>0</v>
      </c>
      <c r="U3153" t="n">
        <v>0</v>
      </c>
      <c r="V3153" s="2" t="inlineStr"/>
    </row>
    <row r="3154" ht="15" customHeight="1">
      <c r="A3154" t="inlineStr">
        <is>
          <t>A 24689-2023</t>
        </is>
      </c>
      <c r="B3154" t="inlineStr">
        <is>
          <t>avverkningsanmälan</t>
        </is>
      </c>
      <c r="C3154" t="inlineStr">
        <is>
          <t>Föryngringsavverkning</t>
        </is>
      </c>
      <c r="D3154" s="1" t="n">
        <v>45084</v>
      </c>
      <c r="E3154" s="1" t="n">
        <v>46323</v>
      </c>
      <c r="F3154" t="inlineStr">
        <is>
          <t>KALMAR LÄN</t>
        </is>
      </c>
      <c r="G3154" t="inlineStr">
        <is>
          <t>NYBRO</t>
        </is>
      </c>
      <c r="I3154" t="n">
        <v>3.6</v>
      </c>
      <c r="J3154" t="n">
        <v>0</v>
      </c>
      <c r="K3154" t="n">
        <v>0</v>
      </c>
      <c r="L3154" t="n">
        <v>0</v>
      </c>
      <c r="M3154" t="n">
        <v>0</v>
      </c>
      <c r="N3154" t="n">
        <v>0</v>
      </c>
      <c r="O3154" t="n">
        <v>0</v>
      </c>
      <c r="P3154" t="n">
        <v>0</v>
      </c>
      <c r="Q3154" t="n">
        <v>0</v>
      </c>
      <c r="R3154" t="n">
        <v>0</v>
      </c>
      <c r="S3154" t="n">
        <v>0</v>
      </c>
      <c r="T3154" t="n">
        <v>0</v>
      </c>
      <c r="U3154" t="n">
        <v>0</v>
      </c>
      <c r="V3154" s="2" t="inlineStr"/>
    </row>
    <row r="3155" ht="15" customHeight="1">
      <c r="A3155" t="inlineStr">
        <is>
          <t>A 33103-2024</t>
        </is>
      </c>
      <c r="B3155" t="inlineStr">
        <is>
          <t>avverkningsanmälan</t>
        </is>
      </c>
      <c r="C3155" t="inlineStr">
        <is>
          <t>Föryngringsavverkning</t>
        </is>
      </c>
      <c r="D3155" s="1" t="n">
        <v>45517</v>
      </c>
      <c r="E3155" s="1" t="n">
        <v>46323</v>
      </c>
      <c r="F3155" t="inlineStr">
        <is>
          <t>KALMAR LÄN</t>
        </is>
      </c>
      <c r="G3155" t="inlineStr">
        <is>
          <t>VIMMERBY</t>
        </is>
      </c>
      <c r="I3155" t="n">
        <v>1.6</v>
      </c>
      <c r="J3155" t="n">
        <v>0</v>
      </c>
      <c r="K3155" t="n">
        <v>0</v>
      </c>
      <c r="L3155" t="n">
        <v>0</v>
      </c>
      <c r="M3155" t="n">
        <v>0</v>
      </c>
      <c r="N3155" t="n">
        <v>0</v>
      </c>
      <c r="O3155" t="n">
        <v>0</v>
      </c>
      <c r="P3155" t="n">
        <v>0</v>
      </c>
      <c r="Q3155" t="n">
        <v>0</v>
      </c>
      <c r="R3155" t="n">
        <v>0</v>
      </c>
      <c r="S3155" t="n">
        <v>0</v>
      </c>
      <c r="T3155" t="n">
        <v>0</v>
      </c>
      <c r="U3155" t="n">
        <v>0</v>
      </c>
      <c r="V3155" s="2" t="inlineStr"/>
    </row>
    <row r="3156" ht="15" customHeight="1">
      <c r="A3156" t="inlineStr">
        <is>
          <t>A 27771-2023</t>
        </is>
      </c>
      <c r="B3156" t="inlineStr">
        <is>
          <t>avverkningsanmälan</t>
        </is>
      </c>
      <c r="C3156" t="inlineStr">
        <is>
          <t>Föryngringsavverkning</t>
        </is>
      </c>
      <c r="D3156" s="1" t="n">
        <v>45098</v>
      </c>
      <c r="E3156" s="1" t="n">
        <v>46323</v>
      </c>
      <c r="F3156" t="inlineStr">
        <is>
          <t>KALMAR LÄN</t>
        </is>
      </c>
      <c r="G3156" t="inlineStr">
        <is>
          <t>TORSÅS</t>
        </is>
      </c>
      <c r="I3156" t="n">
        <v>1.7</v>
      </c>
      <c r="J3156" t="n">
        <v>0</v>
      </c>
      <c r="K3156" t="n">
        <v>0</v>
      </c>
      <c r="L3156" t="n">
        <v>0</v>
      </c>
      <c r="M3156" t="n">
        <v>0</v>
      </c>
      <c r="N3156" t="n">
        <v>0</v>
      </c>
      <c r="O3156" t="n">
        <v>0</v>
      </c>
      <c r="P3156" t="n">
        <v>0</v>
      </c>
      <c r="Q3156" t="n">
        <v>0</v>
      </c>
      <c r="R3156" t="n">
        <v>0</v>
      </c>
      <c r="S3156" t="n">
        <v>0</v>
      </c>
      <c r="T3156" t="n">
        <v>0</v>
      </c>
      <c r="U3156" t="n">
        <v>0</v>
      </c>
      <c r="V3156" s="2" t="inlineStr"/>
    </row>
    <row r="3157" ht="15" customHeight="1">
      <c r="A3157" t="inlineStr">
        <is>
          <t>A 12510-2022</t>
        </is>
      </c>
      <c r="B3157" t="inlineStr">
        <is>
          <t>avverkningsanmälan</t>
        </is>
      </c>
      <c r="C3157" t="inlineStr">
        <is>
          <t>Föryngringsavverkning</t>
        </is>
      </c>
      <c r="D3157" s="1" t="n">
        <v>44638</v>
      </c>
      <c r="E3157" s="1" t="n">
        <v>46323</v>
      </c>
      <c r="F3157" t="inlineStr">
        <is>
          <t>KALMAR LÄN</t>
        </is>
      </c>
      <c r="G3157" t="inlineStr">
        <is>
          <t>VIMMERBY</t>
        </is>
      </c>
      <c r="I3157" t="n">
        <v>2.4</v>
      </c>
      <c r="J3157" t="n">
        <v>0</v>
      </c>
      <c r="K3157" t="n">
        <v>0</v>
      </c>
      <c r="L3157" t="n">
        <v>0</v>
      </c>
      <c r="M3157" t="n">
        <v>0</v>
      </c>
      <c r="N3157" t="n">
        <v>0</v>
      </c>
      <c r="O3157" t="n">
        <v>0</v>
      </c>
      <c r="P3157" t="n">
        <v>0</v>
      </c>
      <c r="Q3157" t="n">
        <v>0</v>
      </c>
      <c r="R3157" t="n">
        <v>0</v>
      </c>
      <c r="S3157" t="n">
        <v>0</v>
      </c>
      <c r="T3157" t="n">
        <v>0</v>
      </c>
      <c r="U3157" t="n">
        <v>0</v>
      </c>
      <c r="V3157" s="2" t="inlineStr"/>
    </row>
    <row r="3158" ht="15" customHeight="1">
      <c r="A3158" t="inlineStr">
        <is>
          <t>A 51062-2025</t>
        </is>
      </c>
      <c r="B3158" t="inlineStr">
        <is>
          <t>avverkningsanmälan</t>
        </is>
      </c>
      <c r="C3158" t="inlineStr">
        <is>
          <t>Föryngringsavverkning</t>
        </is>
      </c>
      <c r="D3158" s="1" t="n">
        <v>45947</v>
      </c>
      <c r="E3158" s="1" t="n">
        <v>46323</v>
      </c>
      <c r="F3158" t="inlineStr">
        <is>
          <t>KALMAR LÄN</t>
        </is>
      </c>
      <c r="G3158" t="inlineStr">
        <is>
          <t>VIMMERBY</t>
        </is>
      </c>
      <c r="I3158" t="n">
        <v>0.6</v>
      </c>
      <c r="J3158" t="n">
        <v>0</v>
      </c>
      <c r="K3158" t="n">
        <v>0</v>
      </c>
      <c r="L3158" t="n">
        <v>0</v>
      </c>
      <c r="M3158" t="n">
        <v>0</v>
      </c>
      <c r="N3158" t="n">
        <v>0</v>
      </c>
      <c r="O3158" t="n">
        <v>0</v>
      </c>
      <c r="P3158" t="n">
        <v>0</v>
      </c>
      <c r="Q3158" t="n">
        <v>0</v>
      </c>
      <c r="R3158" t="n">
        <v>0</v>
      </c>
      <c r="S3158" t="n">
        <v>0</v>
      </c>
      <c r="T3158" t="n">
        <v>0</v>
      </c>
      <c r="U3158" t="n">
        <v>0</v>
      </c>
      <c r="V3158" s="2" t="inlineStr"/>
    </row>
    <row r="3159" ht="15" customHeight="1">
      <c r="A3159" t="inlineStr">
        <is>
          <t>A 51022-2025</t>
        </is>
      </c>
      <c r="B3159" t="inlineStr">
        <is>
          <t>avverkningsanmälan</t>
        </is>
      </c>
      <c r="C3159" t="inlineStr">
        <is>
          <t>Föryngringsavverkning</t>
        </is>
      </c>
      <c r="D3159" s="1" t="n">
        <v>45947</v>
      </c>
      <c r="E3159" s="1" t="n">
        <v>46323</v>
      </c>
      <c r="F3159" t="inlineStr">
        <is>
          <t>KALMAR LÄN</t>
        </is>
      </c>
      <c r="G3159" t="inlineStr">
        <is>
          <t>TORSÅS</t>
        </is>
      </c>
      <c r="I3159" t="n">
        <v>0.8</v>
      </c>
      <c r="J3159" t="n">
        <v>0</v>
      </c>
      <c r="K3159" t="n">
        <v>0</v>
      </c>
      <c r="L3159" t="n">
        <v>0</v>
      </c>
      <c r="M3159" t="n">
        <v>0</v>
      </c>
      <c r="N3159" t="n">
        <v>0</v>
      </c>
      <c r="O3159" t="n">
        <v>0</v>
      </c>
      <c r="P3159" t="n">
        <v>0</v>
      </c>
      <c r="Q3159" t="n">
        <v>0</v>
      </c>
      <c r="R3159" t="n">
        <v>0</v>
      </c>
      <c r="S3159" t="n">
        <v>0</v>
      </c>
      <c r="T3159" t="n">
        <v>0</v>
      </c>
      <c r="U3159" t="n">
        <v>0</v>
      </c>
      <c r="V3159" s="2" t="inlineStr"/>
    </row>
    <row r="3160" ht="15" customHeight="1">
      <c r="A3160" t="inlineStr">
        <is>
          <t>A 35584-2023</t>
        </is>
      </c>
      <c r="B3160" t="inlineStr">
        <is>
          <t>avverkningsanmälan</t>
        </is>
      </c>
      <c r="C3160" t="inlineStr">
        <is>
          <t>Föryngringsavverkning</t>
        </is>
      </c>
      <c r="D3160" s="1" t="n">
        <v>45147</v>
      </c>
      <c r="E3160" s="1" t="n">
        <v>46323</v>
      </c>
      <c r="F3160" t="inlineStr">
        <is>
          <t>KALMAR LÄN</t>
        </is>
      </c>
      <c r="G3160" t="inlineStr">
        <is>
          <t>OSKARSHAMN</t>
        </is>
      </c>
      <c r="I3160" t="n">
        <v>0.5</v>
      </c>
      <c r="J3160" t="n">
        <v>0</v>
      </c>
      <c r="K3160" t="n">
        <v>0</v>
      </c>
      <c r="L3160" t="n">
        <v>0</v>
      </c>
      <c r="M3160" t="n">
        <v>0</v>
      </c>
      <c r="N3160" t="n">
        <v>0</v>
      </c>
      <c r="O3160" t="n">
        <v>0</v>
      </c>
      <c r="P3160" t="n">
        <v>0</v>
      </c>
      <c r="Q3160" t="n">
        <v>0</v>
      </c>
      <c r="R3160" t="n">
        <v>0</v>
      </c>
      <c r="S3160" t="n">
        <v>0</v>
      </c>
      <c r="T3160" t="n">
        <v>0</v>
      </c>
      <c r="U3160" t="n">
        <v>0</v>
      </c>
      <c r="V3160" s="2" t="inlineStr"/>
    </row>
    <row r="3161" ht="15" customHeight="1">
      <c r="A3161" t="inlineStr">
        <is>
          <t>A 50950-2025</t>
        </is>
      </c>
      <c r="B3161" t="inlineStr">
        <is>
          <t>avverkningsanmälan</t>
        </is>
      </c>
      <c r="C3161" t="inlineStr">
        <is>
          <t>Föryngringsavverkning</t>
        </is>
      </c>
      <c r="D3161" s="1" t="n">
        <v>45946</v>
      </c>
      <c r="E3161" s="1" t="n">
        <v>46323</v>
      </c>
      <c r="F3161" t="inlineStr">
        <is>
          <t>KALMAR LÄN</t>
        </is>
      </c>
      <c r="G3161" t="inlineStr">
        <is>
          <t>HÖGSBY</t>
        </is>
      </c>
      <c r="I3161" t="n">
        <v>0.5</v>
      </c>
      <c r="J3161" t="n">
        <v>0</v>
      </c>
      <c r="K3161" t="n">
        <v>0</v>
      </c>
      <c r="L3161" t="n">
        <v>0</v>
      </c>
      <c r="M3161" t="n">
        <v>0</v>
      </c>
      <c r="N3161" t="n">
        <v>0</v>
      </c>
      <c r="O3161" t="n">
        <v>0</v>
      </c>
      <c r="P3161" t="n">
        <v>0</v>
      </c>
      <c r="Q3161" t="n">
        <v>0</v>
      </c>
      <c r="R3161" t="n">
        <v>0</v>
      </c>
      <c r="S3161" t="n">
        <v>0</v>
      </c>
      <c r="T3161" t="n">
        <v>0</v>
      </c>
      <c r="U3161" t="n">
        <v>0</v>
      </c>
      <c r="V3161" s="2" t="inlineStr"/>
    </row>
    <row r="3162" ht="15" customHeight="1">
      <c r="A3162" t="inlineStr">
        <is>
          <t>A 50964-2025</t>
        </is>
      </c>
      <c r="B3162" t="inlineStr">
        <is>
          <t>avverkningsanmälan</t>
        </is>
      </c>
      <c r="C3162" t="inlineStr">
        <is>
          <t>Föryngringsavverkning</t>
        </is>
      </c>
      <c r="D3162" s="1" t="n">
        <v>45946</v>
      </c>
      <c r="E3162" s="1" t="n">
        <v>46323</v>
      </c>
      <c r="F3162" t="inlineStr">
        <is>
          <t>KALMAR LÄN</t>
        </is>
      </c>
      <c r="G3162" t="inlineStr">
        <is>
          <t>NYBRO</t>
        </is>
      </c>
      <c r="I3162" t="n">
        <v>5.4</v>
      </c>
      <c r="J3162" t="n">
        <v>0</v>
      </c>
      <c r="K3162" t="n">
        <v>0</v>
      </c>
      <c r="L3162" t="n">
        <v>0</v>
      </c>
      <c r="M3162" t="n">
        <v>0</v>
      </c>
      <c r="N3162" t="n">
        <v>0</v>
      </c>
      <c r="O3162" t="n">
        <v>0</v>
      </c>
      <c r="P3162" t="n">
        <v>0</v>
      </c>
      <c r="Q3162" t="n">
        <v>0</v>
      </c>
      <c r="R3162" t="n">
        <v>0</v>
      </c>
      <c r="S3162" t="n">
        <v>0</v>
      </c>
      <c r="T3162" t="n">
        <v>0</v>
      </c>
      <c r="U3162" t="n">
        <v>0</v>
      </c>
      <c r="V3162" s="2" t="inlineStr"/>
    </row>
    <row r="3163" ht="15" customHeight="1">
      <c r="A3163" t="inlineStr">
        <is>
          <t>A 71793-2021</t>
        </is>
      </c>
      <c r="B3163" t="inlineStr">
        <is>
          <t>avverkningsanmälan</t>
        </is>
      </c>
      <c r="C3163" t="inlineStr">
        <is>
          <t>Föryngringsavverkning</t>
        </is>
      </c>
      <c r="D3163" s="1" t="n">
        <v>44539</v>
      </c>
      <c r="E3163" s="1" t="n">
        <v>46323</v>
      </c>
      <c r="F3163" t="inlineStr">
        <is>
          <t>KALMAR LÄN</t>
        </is>
      </c>
      <c r="G3163" t="inlineStr">
        <is>
          <t>VIMMERBY</t>
        </is>
      </c>
      <c r="I3163" t="n">
        <v>2.7</v>
      </c>
      <c r="J3163" t="n">
        <v>0</v>
      </c>
      <c r="K3163" t="n">
        <v>0</v>
      </c>
      <c r="L3163" t="n">
        <v>0</v>
      </c>
      <c r="M3163" t="n">
        <v>0</v>
      </c>
      <c r="N3163" t="n">
        <v>0</v>
      </c>
      <c r="O3163" t="n">
        <v>0</v>
      </c>
      <c r="P3163" t="n">
        <v>0</v>
      </c>
      <c r="Q3163" t="n">
        <v>0</v>
      </c>
      <c r="R3163" t="n">
        <v>0</v>
      </c>
      <c r="S3163" t="n">
        <v>0</v>
      </c>
      <c r="T3163" t="n">
        <v>0</v>
      </c>
      <c r="U3163" t="n">
        <v>0</v>
      </c>
      <c r="V3163" s="2" t="inlineStr"/>
    </row>
    <row r="3164" ht="15" customHeight="1">
      <c r="A3164" t="inlineStr">
        <is>
          <t>A 35046-2023</t>
        </is>
      </c>
      <c r="B3164" t="inlineStr">
        <is>
          <t>avverkningsanmälan</t>
        </is>
      </c>
      <c r="C3164" t="inlineStr">
        <is>
          <t>Föryngringsavverkning</t>
        </is>
      </c>
      <c r="D3164" s="1" t="n">
        <v>45145</v>
      </c>
      <c r="E3164" s="1" t="n">
        <v>46323</v>
      </c>
      <c r="F3164" t="inlineStr">
        <is>
          <t>KALMAR LÄN</t>
        </is>
      </c>
      <c r="G3164" t="inlineStr">
        <is>
          <t>TORSÅS</t>
        </is>
      </c>
      <c r="I3164" t="n">
        <v>1.1</v>
      </c>
      <c r="J3164" t="n">
        <v>0</v>
      </c>
      <c r="K3164" t="n">
        <v>0</v>
      </c>
      <c r="L3164" t="n">
        <v>0</v>
      </c>
      <c r="M3164" t="n">
        <v>0</v>
      </c>
      <c r="N3164" t="n">
        <v>0</v>
      </c>
      <c r="O3164" t="n">
        <v>0</v>
      </c>
      <c r="P3164" t="n">
        <v>0</v>
      </c>
      <c r="Q3164" t="n">
        <v>0</v>
      </c>
      <c r="R3164" t="n">
        <v>0</v>
      </c>
      <c r="S3164" t="n">
        <v>0</v>
      </c>
      <c r="T3164" t="n">
        <v>0</v>
      </c>
      <c r="U3164" t="n">
        <v>0</v>
      </c>
      <c r="V3164" s="2" t="inlineStr"/>
    </row>
    <row r="3165" ht="15" customHeight="1">
      <c r="A3165" t="inlineStr">
        <is>
          <t>A 4583-2023</t>
        </is>
      </c>
      <c r="B3165" t="inlineStr">
        <is>
          <t>avverkningsanmälan</t>
        </is>
      </c>
      <c r="C3165" t="inlineStr">
        <is>
          <t>Föryngringsavverkning</t>
        </is>
      </c>
      <c r="D3165" s="1" t="n">
        <v>44956</v>
      </c>
      <c r="E3165" s="1" t="n">
        <v>46323</v>
      </c>
      <c r="F3165" t="inlineStr">
        <is>
          <t>KALMAR LÄN</t>
        </is>
      </c>
      <c r="G3165" t="inlineStr">
        <is>
          <t>VÄSTERVIK</t>
        </is>
      </c>
      <c r="I3165" t="n">
        <v>2.2</v>
      </c>
      <c r="J3165" t="n">
        <v>0</v>
      </c>
      <c r="K3165" t="n">
        <v>0</v>
      </c>
      <c r="L3165" t="n">
        <v>0</v>
      </c>
      <c r="M3165" t="n">
        <v>0</v>
      </c>
      <c r="N3165" t="n">
        <v>0</v>
      </c>
      <c r="O3165" t="n">
        <v>0</v>
      </c>
      <c r="P3165" t="n">
        <v>0</v>
      </c>
      <c r="Q3165" t="n">
        <v>0</v>
      </c>
      <c r="R3165" t="n">
        <v>0</v>
      </c>
      <c r="S3165" t="n">
        <v>0</v>
      </c>
      <c r="T3165" t="n">
        <v>0</v>
      </c>
      <c r="U3165" t="n">
        <v>0</v>
      </c>
      <c r="V3165" s="2" t="inlineStr"/>
    </row>
    <row r="3166" ht="15" customHeight="1">
      <c r="A3166" t="inlineStr">
        <is>
          <t>A 60453-2024</t>
        </is>
      </c>
      <c r="B3166" t="inlineStr">
        <is>
          <t>avverkningsanmälan</t>
        </is>
      </c>
      <c r="C3166" t="inlineStr">
        <is>
          <t>Föryngringsavverkning</t>
        </is>
      </c>
      <c r="D3166" s="1" t="n">
        <v>45643</v>
      </c>
      <c r="E3166" s="1" t="n">
        <v>46323</v>
      </c>
      <c r="F3166" t="inlineStr">
        <is>
          <t>KALMAR LÄN</t>
        </is>
      </c>
      <c r="G3166" t="inlineStr">
        <is>
          <t>VÄSTERVIK</t>
        </is>
      </c>
      <c r="I3166" t="n">
        <v>7.1</v>
      </c>
      <c r="J3166" t="n">
        <v>0</v>
      </c>
      <c r="K3166" t="n">
        <v>0</v>
      </c>
      <c r="L3166" t="n">
        <v>0</v>
      </c>
      <c r="M3166" t="n">
        <v>0</v>
      </c>
      <c r="N3166" t="n">
        <v>0</v>
      </c>
      <c r="O3166" t="n">
        <v>0</v>
      </c>
      <c r="P3166" t="n">
        <v>0</v>
      </c>
      <c r="Q3166" t="n">
        <v>0</v>
      </c>
      <c r="R3166" t="n">
        <v>0</v>
      </c>
      <c r="S3166" t="n">
        <v>0</v>
      </c>
      <c r="T3166" t="n">
        <v>0</v>
      </c>
      <c r="U3166" t="n">
        <v>0</v>
      </c>
      <c r="V3166" s="2" t="inlineStr"/>
    </row>
    <row r="3167" ht="15" customHeight="1">
      <c r="A3167" t="inlineStr">
        <is>
          <t>A 30281-2024</t>
        </is>
      </c>
      <c r="B3167" t="inlineStr">
        <is>
          <t>avverkningsanmälan</t>
        </is>
      </c>
      <c r="C3167" t="inlineStr">
        <is>
          <t>Föryngringsavverkning</t>
        </is>
      </c>
      <c r="D3167" s="1" t="n">
        <v>45490</v>
      </c>
      <c r="E3167" s="1" t="n">
        <v>46323</v>
      </c>
      <c r="F3167" t="inlineStr">
        <is>
          <t>KALMAR LÄN</t>
        </is>
      </c>
      <c r="G3167" t="inlineStr">
        <is>
          <t>OSKARSHAMN</t>
        </is>
      </c>
      <c r="I3167" t="n">
        <v>0.2</v>
      </c>
      <c r="J3167" t="n">
        <v>0</v>
      </c>
      <c r="K3167" t="n">
        <v>0</v>
      </c>
      <c r="L3167" t="n">
        <v>0</v>
      </c>
      <c r="M3167" t="n">
        <v>0</v>
      </c>
      <c r="N3167" t="n">
        <v>0</v>
      </c>
      <c r="O3167" t="n">
        <v>0</v>
      </c>
      <c r="P3167" t="n">
        <v>0</v>
      </c>
      <c r="Q3167" t="n">
        <v>0</v>
      </c>
      <c r="R3167" t="n">
        <v>0</v>
      </c>
      <c r="S3167" t="n">
        <v>0</v>
      </c>
      <c r="T3167" t="n">
        <v>0</v>
      </c>
      <c r="U3167" t="n">
        <v>0</v>
      </c>
      <c r="V3167" s="2" t="inlineStr"/>
    </row>
    <row r="3168" ht="15" customHeight="1">
      <c r="A3168" t="inlineStr">
        <is>
          <t>A 13415-2024</t>
        </is>
      </c>
      <c r="B3168" t="inlineStr">
        <is>
          <t>avverkningsanmälan</t>
        </is>
      </c>
      <c r="C3168" t="inlineStr">
        <is>
          <t>Föryngringsavverkning</t>
        </is>
      </c>
      <c r="D3168" s="1" t="n">
        <v>45387</v>
      </c>
      <c r="E3168" s="1" t="n">
        <v>46323</v>
      </c>
      <c r="F3168" t="inlineStr">
        <is>
          <t>KALMAR LÄN</t>
        </is>
      </c>
      <c r="G3168" t="inlineStr">
        <is>
          <t>KALMAR</t>
        </is>
      </c>
      <c r="I3168" t="n">
        <v>0.9</v>
      </c>
      <c r="J3168" t="n">
        <v>0</v>
      </c>
      <c r="K3168" t="n">
        <v>0</v>
      </c>
      <c r="L3168" t="n">
        <v>0</v>
      </c>
      <c r="M3168" t="n">
        <v>0</v>
      </c>
      <c r="N3168" t="n">
        <v>0</v>
      </c>
      <c r="O3168" t="n">
        <v>0</v>
      </c>
      <c r="P3168" t="n">
        <v>0</v>
      </c>
      <c r="Q3168" t="n">
        <v>0</v>
      </c>
      <c r="R3168" t="n">
        <v>0</v>
      </c>
      <c r="S3168" t="n">
        <v>0</v>
      </c>
      <c r="T3168" t="n">
        <v>0</v>
      </c>
      <c r="U3168" t="n">
        <v>0</v>
      </c>
      <c r="V3168" s="2" t="inlineStr"/>
    </row>
    <row r="3169" ht="15" customHeight="1">
      <c r="A3169" t="inlineStr">
        <is>
          <t>A 13419-2024</t>
        </is>
      </c>
      <c r="B3169" t="inlineStr">
        <is>
          <t>avverkningsanmälan</t>
        </is>
      </c>
      <c r="C3169" t="inlineStr">
        <is>
          <t>Föryngringsavverkning</t>
        </is>
      </c>
      <c r="D3169" s="1" t="n">
        <v>45387</v>
      </c>
      <c r="E3169" s="1" t="n">
        <v>46323</v>
      </c>
      <c r="F3169" t="inlineStr">
        <is>
          <t>KALMAR LÄN</t>
        </is>
      </c>
      <c r="G3169" t="inlineStr">
        <is>
          <t>KALMAR</t>
        </is>
      </c>
      <c r="I3169" t="n">
        <v>0.8</v>
      </c>
      <c r="J3169" t="n">
        <v>0</v>
      </c>
      <c r="K3169" t="n">
        <v>0</v>
      </c>
      <c r="L3169" t="n">
        <v>0</v>
      </c>
      <c r="M3169" t="n">
        <v>0</v>
      </c>
      <c r="N3169" t="n">
        <v>0</v>
      </c>
      <c r="O3169" t="n">
        <v>0</v>
      </c>
      <c r="P3169" t="n">
        <v>0</v>
      </c>
      <c r="Q3169" t="n">
        <v>0</v>
      </c>
      <c r="R3169" t="n">
        <v>0</v>
      </c>
      <c r="S3169" t="n">
        <v>0</v>
      </c>
      <c r="T3169" t="n">
        <v>0</v>
      </c>
      <c r="U3169" t="n">
        <v>0</v>
      </c>
      <c r="V3169" s="2" t="inlineStr"/>
    </row>
    <row r="3170" ht="15" customHeight="1">
      <c r="A3170" t="inlineStr">
        <is>
          <t>A 37954-2024</t>
        </is>
      </c>
      <c r="B3170" t="inlineStr">
        <is>
          <t>avverkningsanmälan</t>
        </is>
      </c>
      <c r="C3170" t="inlineStr">
        <is>
          <t>Föryngringsavverkning</t>
        </is>
      </c>
      <c r="D3170" s="1" t="n">
        <v>45544</v>
      </c>
      <c r="E3170" s="1" t="n">
        <v>46323</v>
      </c>
      <c r="F3170" t="inlineStr">
        <is>
          <t>KALMAR LÄN</t>
        </is>
      </c>
      <c r="G3170" t="inlineStr">
        <is>
          <t>HÖGSBY</t>
        </is>
      </c>
      <c r="I3170" t="n">
        <v>5.4</v>
      </c>
      <c r="J3170" t="n">
        <v>0</v>
      </c>
      <c r="K3170" t="n">
        <v>0</v>
      </c>
      <c r="L3170" t="n">
        <v>0</v>
      </c>
      <c r="M3170" t="n">
        <v>0</v>
      </c>
      <c r="N3170" t="n">
        <v>0</v>
      </c>
      <c r="O3170" t="n">
        <v>0</v>
      </c>
      <c r="P3170" t="n">
        <v>0</v>
      </c>
      <c r="Q3170" t="n">
        <v>0</v>
      </c>
      <c r="R3170" t="n">
        <v>0</v>
      </c>
      <c r="S3170" t="n">
        <v>0</v>
      </c>
      <c r="T3170" t="n">
        <v>0</v>
      </c>
      <c r="U3170" t="n">
        <v>0</v>
      </c>
      <c r="V3170" s="2" t="inlineStr"/>
    </row>
    <row r="3171" ht="15" customHeight="1">
      <c r="A3171" t="inlineStr">
        <is>
          <t>A 51720-2025</t>
        </is>
      </c>
      <c r="B3171" t="inlineStr">
        <is>
          <t>avverkningsanmälan</t>
        </is>
      </c>
      <c r="C3171" t="inlineStr">
        <is>
          <t>Föryngringsavverkning</t>
        </is>
      </c>
      <c r="D3171" s="1" t="n">
        <v>45950</v>
      </c>
      <c r="E3171" s="1" t="n">
        <v>46323</v>
      </c>
      <c r="F3171" t="inlineStr">
        <is>
          <t>KALMAR LÄN</t>
        </is>
      </c>
      <c r="G3171" t="inlineStr">
        <is>
          <t>HÖGSBY</t>
        </is>
      </c>
      <c r="I3171" t="n">
        <v>12.8</v>
      </c>
      <c r="J3171" t="n">
        <v>0</v>
      </c>
      <c r="K3171" t="n">
        <v>0</v>
      </c>
      <c r="L3171" t="n">
        <v>0</v>
      </c>
      <c r="M3171" t="n">
        <v>0</v>
      </c>
      <c r="N3171" t="n">
        <v>0</v>
      </c>
      <c r="O3171" t="n">
        <v>0</v>
      </c>
      <c r="P3171" t="n">
        <v>0</v>
      </c>
      <c r="Q3171" t="n">
        <v>0</v>
      </c>
      <c r="R3171" t="n">
        <v>0</v>
      </c>
      <c r="S3171" t="n">
        <v>0</v>
      </c>
      <c r="T3171" t="n">
        <v>0</v>
      </c>
      <c r="U3171" t="n">
        <v>0</v>
      </c>
      <c r="V3171" s="2" t="inlineStr"/>
    </row>
    <row r="3172" ht="15" customHeight="1">
      <c r="A3172" t="inlineStr">
        <is>
          <t>A 39093-2024</t>
        </is>
      </c>
      <c r="B3172" t="inlineStr">
        <is>
          <t>avverkningsanmälan</t>
        </is>
      </c>
      <c r="C3172" t="inlineStr">
        <is>
          <t>Föryngringsavverkning</t>
        </is>
      </c>
      <c r="D3172" s="1" t="n">
        <v>45548</v>
      </c>
      <c r="E3172" s="1" t="n">
        <v>46323</v>
      </c>
      <c r="F3172" t="inlineStr">
        <is>
          <t>KALMAR LÄN</t>
        </is>
      </c>
      <c r="G3172" t="inlineStr">
        <is>
          <t>KALMAR</t>
        </is>
      </c>
      <c r="I3172" t="n">
        <v>2.7</v>
      </c>
      <c r="J3172" t="n">
        <v>0</v>
      </c>
      <c r="K3172" t="n">
        <v>0</v>
      </c>
      <c r="L3172" t="n">
        <v>0</v>
      </c>
      <c r="M3172" t="n">
        <v>0</v>
      </c>
      <c r="N3172" t="n">
        <v>0</v>
      </c>
      <c r="O3172" t="n">
        <v>0</v>
      </c>
      <c r="P3172" t="n">
        <v>0</v>
      </c>
      <c r="Q3172" t="n">
        <v>0</v>
      </c>
      <c r="R3172" t="n">
        <v>0</v>
      </c>
      <c r="S3172" t="n">
        <v>0</v>
      </c>
      <c r="T3172" t="n">
        <v>0</v>
      </c>
      <c r="U3172" t="n">
        <v>0</v>
      </c>
      <c r="V3172" s="2" t="inlineStr"/>
    </row>
    <row r="3173" ht="15" customHeight="1">
      <c r="A3173" t="inlineStr">
        <is>
          <t>A 41846-2024</t>
        </is>
      </c>
      <c r="B3173" t="inlineStr">
        <is>
          <t>avverkningsanmälan</t>
        </is>
      </c>
      <c r="C3173" t="inlineStr">
        <is>
          <t>Föryngringsavverkning</t>
        </is>
      </c>
      <c r="D3173" s="1" t="n">
        <v>45561</v>
      </c>
      <c r="E3173" s="1" t="n">
        <v>46323</v>
      </c>
      <c r="F3173" t="inlineStr">
        <is>
          <t>KALMAR LÄN</t>
        </is>
      </c>
      <c r="G3173" t="inlineStr">
        <is>
          <t>NYBRO</t>
        </is>
      </c>
      <c r="I3173" t="n">
        <v>2.3</v>
      </c>
      <c r="J3173" t="n">
        <v>0</v>
      </c>
      <c r="K3173" t="n">
        <v>0</v>
      </c>
      <c r="L3173" t="n">
        <v>0</v>
      </c>
      <c r="M3173" t="n">
        <v>0</v>
      </c>
      <c r="N3173" t="n">
        <v>0</v>
      </c>
      <c r="O3173" t="n">
        <v>0</v>
      </c>
      <c r="P3173" t="n">
        <v>0</v>
      </c>
      <c r="Q3173" t="n">
        <v>0</v>
      </c>
      <c r="R3173" t="n">
        <v>0</v>
      </c>
      <c r="S3173" t="n">
        <v>0</v>
      </c>
      <c r="T3173" t="n">
        <v>0</v>
      </c>
      <c r="U3173" t="n">
        <v>0</v>
      </c>
      <c r="V3173" s="2" t="inlineStr"/>
    </row>
    <row r="3174" ht="15" customHeight="1">
      <c r="A3174" t="inlineStr">
        <is>
          <t>A 50962-2025</t>
        </is>
      </c>
      <c r="B3174" t="inlineStr">
        <is>
          <t>avverkningsanmälan</t>
        </is>
      </c>
      <c r="C3174" t="inlineStr">
        <is>
          <t>Föryngringsavverkning</t>
        </is>
      </c>
      <c r="D3174" s="1" t="n">
        <v>45946</v>
      </c>
      <c r="E3174" s="1" t="n">
        <v>46323</v>
      </c>
      <c r="F3174" t="inlineStr">
        <is>
          <t>KALMAR LÄN</t>
        </is>
      </c>
      <c r="G3174" t="inlineStr">
        <is>
          <t>TORSÅS</t>
        </is>
      </c>
      <c r="I3174" t="n">
        <v>0.5</v>
      </c>
      <c r="J3174" t="n">
        <v>0</v>
      </c>
      <c r="K3174" t="n">
        <v>0</v>
      </c>
      <c r="L3174" t="n">
        <v>0</v>
      </c>
      <c r="M3174" t="n">
        <v>0</v>
      </c>
      <c r="N3174" t="n">
        <v>0</v>
      </c>
      <c r="O3174" t="n">
        <v>0</v>
      </c>
      <c r="P3174" t="n">
        <v>0</v>
      </c>
      <c r="Q3174" t="n">
        <v>0</v>
      </c>
      <c r="R3174" t="n">
        <v>0</v>
      </c>
      <c r="S3174" t="n">
        <v>0</v>
      </c>
      <c r="T3174" t="n">
        <v>0</v>
      </c>
      <c r="U3174" t="n">
        <v>0</v>
      </c>
      <c r="V3174" s="2" t="inlineStr"/>
    </row>
    <row r="3175" ht="15" customHeight="1">
      <c r="A3175" t="inlineStr">
        <is>
          <t>A 51025-2023</t>
        </is>
      </c>
      <c r="B3175" t="inlineStr">
        <is>
          <t>avverkningsanmälan</t>
        </is>
      </c>
      <c r="C3175" t="inlineStr">
        <is>
          <t>Föryngringsavverkning</t>
        </is>
      </c>
      <c r="D3175" s="1" t="n">
        <v>45218</v>
      </c>
      <c r="E3175" s="1" t="n">
        <v>46323</v>
      </c>
      <c r="F3175" t="inlineStr">
        <is>
          <t>KALMAR LÄN</t>
        </is>
      </c>
      <c r="G3175" t="inlineStr">
        <is>
          <t>OSKARSHAMN</t>
        </is>
      </c>
      <c r="I3175" t="n">
        <v>1.3</v>
      </c>
      <c r="J3175" t="n">
        <v>0</v>
      </c>
      <c r="K3175" t="n">
        <v>0</v>
      </c>
      <c r="L3175" t="n">
        <v>0</v>
      </c>
      <c r="M3175" t="n">
        <v>0</v>
      </c>
      <c r="N3175" t="n">
        <v>0</v>
      </c>
      <c r="O3175" t="n">
        <v>0</v>
      </c>
      <c r="P3175" t="n">
        <v>0</v>
      </c>
      <c r="Q3175" t="n">
        <v>0</v>
      </c>
      <c r="R3175" t="n">
        <v>0</v>
      </c>
      <c r="S3175" t="n">
        <v>0</v>
      </c>
      <c r="T3175" t="n">
        <v>0</v>
      </c>
      <c r="U3175" t="n">
        <v>0</v>
      </c>
      <c r="V3175" s="2" t="inlineStr"/>
    </row>
    <row r="3176" ht="15" customHeight="1">
      <c r="A3176" t="inlineStr">
        <is>
          <t>A 28292-2023</t>
        </is>
      </c>
      <c r="B3176" t="inlineStr">
        <is>
          <t>avverkningsanmälan</t>
        </is>
      </c>
      <c r="C3176" t="inlineStr">
        <is>
          <t>Föryngringsavverkning</t>
        </is>
      </c>
      <c r="D3176" s="1" t="n">
        <v>45099</v>
      </c>
      <c r="E3176" s="1" t="n">
        <v>46323</v>
      </c>
      <c r="F3176" t="inlineStr">
        <is>
          <t>KALMAR LÄN</t>
        </is>
      </c>
      <c r="G3176" t="inlineStr">
        <is>
          <t>KALMAR</t>
        </is>
      </c>
      <c r="I3176" t="n">
        <v>1.5</v>
      </c>
      <c r="J3176" t="n">
        <v>0</v>
      </c>
      <c r="K3176" t="n">
        <v>0</v>
      </c>
      <c r="L3176" t="n">
        <v>0</v>
      </c>
      <c r="M3176" t="n">
        <v>0</v>
      </c>
      <c r="N3176" t="n">
        <v>0</v>
      </c>
      <c r="O3176" t="n">
        <v>0</v>
      </c>
      <c r="P3176" t="n">
        <v>0</v>
      </c>
      <c r="Q3176" t="n">
        <v>0</v>
      </c>
      <c r="R3176" t="n">
        <v>0</v>
      </c>
      <c r="S3176" t="n">
        <v>0</v>
      </c>
      <c r="T3176" t="n">
        <v>0</v>
      </c>
      <c r="U3176" t="n">
        <v>0</v>
      </c>
      <c r="V3176" s="2" t="inlineStr"/>
    </row>
    <row r="3177" ht="15" customHeight="1">
      <c r="A3177" t="inlineStr">
        <is>
          <t>A 50965-2025</t>
        </is>
      </c>
      <c r="B3177" t="inlineStr">
        <is>
          <t>avverkningsanmälan</t>
        </is>
      </c>
      <c r="C3177" t="inlineStr">
        <is>
          <t>Föryngringsavverkning</t>
        </is>
      </c>
      <c r="D3177" s="1" t="n">
        <v>45946</v>
      </c>
      <c r="E3177" s="1" t="n">
        <v>46323</v>
      </c>
      <c r="F3177" t="inlineStr">
        <is>
          <t>KALMAR LÄN</t>
        </is>
      </c>
      <c r="G3177" t="inlineStr">
        <is>
          <t>NYBRO</t>
        </is>
      </c>
      <c r="I3177" t="n">
        <v>0.7</v>
      </c>
      <c r="J3177" t="n">
        <v>0</v>
      </c>
      <c r="K3177" t="n">
        <v>0</v>
      </c>
      <c r="L3177" t="n">
        <v>0</v>
      </c>
      <c r="M3177" t="n">
        <v>0</v>
      </c>
      <c r="N3177" t="n">
        <v>0</v>
      </c>
      <c r="O3177" t="n">
        <v>0</v>
      </c>
      <c r="P3177" t="n">
        <v>0</v>
      </c>
      <c r="Q3177" t="n">
        <v>0</v>
      </c>
      <c r="R3177" t="n">
        <v>0</v>
      </c>
      <c r="S3177" t="n">
        <v>0</v>
      </c>
      <c r="T3177" t="n">
        <v>0</v>
      </c>
      <c r="U3177" t="n">
        <v>0</v>
      </c>
      <c r="V3177" s="2" t="inlineStr"/>
    </row>
    <row r="3178" ht="15" customHeight="1">
      <c r="A3178" t="inlineStr">
        <is>
          <t>A 51515-2025</t>
        </is>
      </c>
      <c r="B3178" t="inlineStr">
        <is>
          <t>avverkningsanmälan</t>
        </is>
      </c>
      <c r="C3178" t="inlineStr">
        <is>
          <t>Föryngringsavverkning</t>
        </is>
      </c>
      <c r="D3178" s="1" t="n">
        <v>45950</v>
      </c>
      <c r="E3178" s="1" t="n">
        <v>46323</v>
      </c>
      <c r="F3178" t="inlineStr">
        <is>
          <t>KALMAR LÄN</t>
        </is>
      </c>
      <c r="G3178" t="inlineStr">
        <is>
          <t>VÄSTERVIK</t>
        </is>
      </c>
      <c r="I3178" t="n">
        <v>1.4</v>
      </c>
      <c r="J3178" t="n">
        <v>0</v>
      </c>
      <c r="K3178" t="n">
        <v>0</v>
      </c>
      <c r="L3178" t="n">
        <v>0</v>
      </c>
      <c r="M3178" t="n">
        <v>0</v>
      </c>
      <c r="N3178" t="n">
        <v>0</v>
      </c>
      <c r="O3178" t="n">
        <v>0</v>
      </c>
      <c r="P3178" t="n">
        <v>0</v>
      </c>
      <c r="Q3178" t="n">
        <v>0</v>
      </c>
      <c r="R3178" t="n">
        <v>0</v>
      </c>
      <c r="S3178" t="n">
        <v>0</v>
      </c>
      <c r="T3178" t="n">
        <v>0</v>
      </c>
      <c r="U3178" t="n">
        <v>0</v>
      </c>
      <c r="V3178" s="2" t="inlineStr"/>
    </row>
    <row r="3179" ht="15" customHeight="1">
      <c r="A3179" t="inlineStr">
        <is>
          <t>A 73938-2021</t>
        </is>
      </c>
      <c r="B3179" t="inlineStr">
        <is>
          <t>avverkningsanmälan</t>
        </is>
      </c>
      <c r="C3179" t="inlineStr">
        <is>
          <t>Föryngringsavverkning</t>
        </is>
      </c>
      <c r="D3179" s="1" t="n">
        <v>44553</v>
      </c>
      <c r="E3179" s="1" t="n">
        <v>46323</v>
      </c>
      <c r="F3179" t="inlineStr">
        <is>
          <t>KALMAR LÄN</t>
        </is>
      </c>
      <c r="G3179" t="inlineStr">
        <is>
          <t>VIMMERBY</t>
        </is>
      </c>
      <c r="I3179" t="n">
        <v>3.2</v>
      </c>
      <c r="J3179" t="n">
        <v>0</v>
      </c>
      <c r="K3179" t="n">
        <v>0</v>
      </c>
      <c r="L3179" t="n">
        <v>0</v>
      </c>
      <c r="M3179" t="n">
        <v>0</v>
      </c>
      <c r="N3179" t="n">
        <v>0</v>
      </c>
      <c r="O3179" t="n">
        <v>0</v>
      </c>
      <c r="P3179" t="n">
        <v>0</v>
      </c>
      <c r="Q3179" t="n">
        <v>0</v>
      </c>
      <c r="R3179" t="n">
        <v>0</v>
      </c>
      <c r="S3179" t="n">
        <v>0</v>
      </c>
      <c r="T3179" t="n">
        <v>0</v>
      </c>
      <c r="U3179" t="n">
        <v>0</v>
      </c>
      <c r="V3179" s="2" t="inlineStr"/>
    </row>
    <row r="3180" ht="15" customHeight="1">
      <c r="A3180" t="inlineStr">
        <is>
          <t>A 6510-2024</t>
        </is>
      </c>
      <c r="B3180" t="inlineStr">
        <is>
          <t>avverkningsanmälan</t>
        </is>
      </c>
      <c r="C3180" t="inlineStr">
        <is>
          <t>Föryngringsavverkning</t>
        </is>
      </c>
      <c r="D3180" s="1" t="n">
        <v>45340</v>
      </c>
      <c r="E3180" s="1" t="n">
        <v>46323</v>
      </c>
      <c r="F3180" t="inlineStr">
        <is>
          <t>KALMAR LÄN</t>
        </is>
      </c>
      <c r="G3180" t="inlineStr">
        <is>
          <t>HULTSFRED</t>
        </is>
      </c>
      <c r="I3180" t="n">
        <v>4.4</v>
      </c>
      <c r="J3180" t="n">
        <v>0</v>
      </c>
      <c r="K3180" t="n">
        <v>0</v>
      </c>
      <c r="L3180" t="n">
        <v>0</v>
      </c>
      <c r="M3180" t="n">
        <v>0</v>
      </c>
      <c r="N3180" t="n">
        <v>0</v>
      </c>
      <c r="O3180" t="n">
        <v>0</v>
      </c>
      <c r="P3180" t="n">
        <v>0</v>
      </c>
      <c r="Q3180" t="n">
        <v>0</v>
      </c>
      <c r="R3180" t="n">
        <v>0</v>
      </c>
      <c r="S3180" t="n">
        <v>0</v>
      </c>
      <c r="T3180" t="n">
        <v>0</v>
      </c>
      <c r="U3180" t="n">
        <v>0</v>
      </c>
      <c r="V3180" s="2" t="inlineStr"/>
    </row>
    <row r="3181" ht="15" customHeight="1">
      <c r="A3181" t="inlineStr">
        <is>
          <t>A 66722-2021</t>
        </is>
      </c>
      <c r="B3181" t="inlineStr">
        <is>
          <t>avverkningsanmälan</t>
        </is>
      </c>
      <c r="C3181" t="inlineStr">
        <is>
          <t>Föryngringsavverkning</t>
        </is>
      </c>
      <c r="D3181" s="1" t="n">
        <v>44519</v>
      </c>
      <c r="E3181" s="1" t="n">
        <v>46323</v>
      </c>
      <c r="F3181" t="inlineStr">
        <is>
          <t>KALMAR LÄN</t>
        </is>
      </c>
      <c r="G3181" t="inlineStr">
        <is>
          <t>HULTSFRED</t>
        </is>
      </c>
      <c r="I3181" t="n">
        <v>1.9</v>
      </c>
      <c r="J3181" t="n">
        <v>0</v>
      </c>
      <c r="K3181" t="n">
        <v>0</v>
      </c>
      <c r="L3181" t="n">
        <v>0</v>
      </c>
      <c r="M3181" t="n">
        <v>0</v>
      </c>
      <c r="N3181" t="n">
        <v>0</v>
      </c>
      <c r="O3181" t="n">
        <v>0</v>
      </c>
      <c r="P3181" t="n">
        <v>0</v>
      </c>
      <c r="Q3181" t="n">
        <v>0</v>
      </c>
      <c r="R3181" t="n">
        <v>0</v>
      </c>
      <c r="S3181" t="n">
        <v>0</v>
      </c>
      <c r="T3181" t="n">
        <v>0</v>
      </c>
      <c r="U3181" t="n">
        <v>0</v>
      </c>
      <c r="V3181" s="2" t="inlineStr"/>
    </row>
    <row r="3182" ht="15" customHeight="1">
      <c r="A3182" t="inlineStr">
        <is>
          <t>A 5106-2025</t>
        </is>
      </c>
      <c r="B3182" t="inlineStr">
        <is>
          <t>avverkningsanmälan</t>
        </is>
      </c>
      <c r="C3182" t="inlineStr">
        <is>
          <t>Föryngringsavverkning</t>
        </is>
      </c>
      <c r="D3182" s="1" t="n">
        <v>45691</v>
      </c>
      <c r="E3182" s="1" t="n">
        <v>46323</v>
      </c>
      <c r="F3182" t="inlineStr">
        <is>
          <t>KALMAR LÄN</t>
        </is>
      </c>
      <c r="G3182" t="inlineStr">
        <is>
          <t>OSKARSHAMN</t>
        </is>
      </c>
      <c r="I3182" t="n">
        <v>1.1</v>
      </c>
      <c r="J3182" t="n">
        <v>0</v>
      </c>
      <c r="K3182" t="n">
        <v>0</v>
      </c>
      <c r="L3182" t="n">
        <v>0</v>
      </c>
      <c r="M3182" t="n">
        <v>0</v>
      </c>
      <c r="N3182" t="n">
        <v>0</v>
      </c>
      <c r="O3182" t="n">
        <v>0</v>
      </c>
      <c r="P3182" t="n">
        <v>0</v>
      </c>
      <c r="Q3182" t="n">
        <v>0</v>
      </c>
      <c r="R3182" t="n">
        <v>0</v>
      </c>
      <c r="S3182" t="n">
        <v>0</v>
      </c>
      <c r="T3182" t="n">
        <v>0</v>
      </c>
      <c r="U3182" t="n">
        <v>0</v>
      </c>
      <c r="V3182" s="2" t="inlineStr"/>
    </row>
    <row r="3183" ht="15" customHeight="1">
      <c r="A3183" t="inlineStr">
        <is>
          <t>A 6069-2023</t>
        </is>
      </c>
      <c r="B3183" t="inlineStr">
        <is>
          <t>avverkningsanmälan</t>
        </is>
      </c>
      <c r="C3183" t="inlineStr">
        <is>
          <t>Föryngringsavverkning</t>
        </is>
      </c>
      <c r="D3183" s="1" t="n">
        <v>44964</v>
      </c>
      <c r="E3183" s="1" t="n">
        <v>46323</v>
      </c>
      <c r="F3183" t="inlineStr">
        <is>
          <t>KALMAR LÄN</t>
        </is>
      </c>
      <c r="G3183" t="inlineStr">
        <is>
          <t>VIMMERBY</t>
        </is>
      </c>
      <c r="I3183" t="n">
        <v>1.1</v>
      </c>
      <c r="J3183" t="n">
        <v>0</v>
      </c>
      <c r="K3183" t="n">
        <v>0</v>
      </c>
      <c r="L3183" t="n">
        <v>0</v>
      </c>
      <c r="M3183" t="n">
        <v>0</v>
      </c>
      <c r="N3183" t="n">
        <v>0</v>
      </c>
      <c r="O3183" t="n">
        <v>0</v>
      </c>
      <c r="P3183" t="n">
        <v>0</v>
      </c>
      <c r="Q3183" t="n">
        <v>0</v>
      </c>
      <c r="R3183" t="n">
        <v>0</v>
      </c>
      <c r="S3183" t="n">
        <v>0</v>
      </c>
      <c r="T3183" t="n">
        <v>0</v>
      </c>
      <c r="U3183" t="n">
        <v>0</v>
      </c>
      <c r="V3183" s="2" t="inlineStr"/>
    </row>
    <row r="3184" ht="15" customHeight="1">
      <c r="A3184" t="inlineStr">
        <is>
          <t>A 36395-2023</t>
        </is>
      </c>
      <c r="B3184" t="inlineStr">
        <is>
          <t>avverkningsanmälan</t>
        </is>
      </c>
      <c r="C3184" t="inlineStr">
        <is>
          <t>Föryngringsavverkning</t>
        </is>
      </c>
      <c r="D3184" s="1" t="n">
        <v>45152</v>
      </c>
      <c r="E3184" s="1" t="n">
        <v>46323</v>
      </c>
      <c r="F3184" t="inlineStr">
        <is>
          <t>KALMAR LÄN</t>
        </is>
      </c>
      <c r="G3184" t="inlineStr">
        <is>
          <t>HULTSFRED</t>
        </is>
      </c>
      <c r="I3184" t="n">
        <v>1</v>
      </c>
      <c r="J3184" t="n">
        <v>0</v>
      </c>
      <c r="K3184" t="n">
        <v>0</v>
      </c>
      <c r="L3184" t="n">
        <v>0</v>
      </c>
      <c r="M3184" t="n">
        <v>0</v>
      </c>
      <c r="N3184" t="n">
        <v>0</v>
      </c>
      <c r="O3184" t="n">
        <v>0</v>
      </c>
      <c r="P3184" t="n">
        <v>0</v>
      </c>
      <c r="Q3184" t="n">
        <v>0</v>
      </c>
      <c r="R3184" t="n">
        <v>0</v>
      </c>
      <c r="S3184" t="n">
        <v>0</v>
      </c>
      <c r="T3184" t="n">
        <v>0</v>
      </c>
      <c r="U3184" t="n">
        <v>0</v>
      </c>
      <c r="V3184" s="2" t="inlineStr"/>
    </row>
    <row r="3185" ht="15" customHeight="1">
      <c r="A3185" t="inlineStr">
        <is>
          <t>A 489-2025</t>
        </is>
      </c>
      <c r="B3185" t="inlineStr">
        <is>
          <t>avverkningsanmälan</t>
        </is>
      </c>
      <c r="C3185" t="inlineStr">
        <is>
          <t>Föryngringsavverkning</t>
        </is>
      </c>
      <c r="D3185" s="1" t="n">
        <v>45664</v>
      </c>
      <c r="E3185" s="1" t="n">
        <v>46323</v>
      </c>
      <c r="F3185" t="inlineStr">
        <is>
          <t>KALMAR LÄN</t>
        </is>
      </c>
      <c r="G3185" t="inlineStr">
        <is>
          <t>NYBRO</t>
        </is>
      </c>
      <c r="I3185" t="n">
        <v>1.1</v>
      </c>
      <c r="J3185" t="n">
        <v>0</v>
      </c>
      <c r="K3185" t="n">
        <v>0</v>
      </c>
      <c r="L3185" t="n">
        <v>0</v>
      </c>
      <c r="M3185" t="n">
        <v>0</v>
      </c>
      <c r="N3185" t="n">
        <v>0</v>
      </c>
      <c r="O3185" t="n">
        <v>0</v>
      </c>
      <c r="P3185" t="n">
        <v>0</v>
      </c>
      <c r="Q3185" t="n">
        <v>0</v>
      </c>
      <c r="R3185" t="n">
        <v>0</v>
      </c>
      <c r="S3185" t="n">
        <v>0</v>
      </c>
      <c r="T3185" t="n">
        <v>0</v>
      </c>
      <c r="U3185" t="n">
        <v>0</v>
      </c>
      <c r="V3185" s="2" t="inlineStr"/>
    </row>
    <row r="3186" ht="15" customHeight="1">
      <c r="A3186" t="inlineStr">
        <is>
          <t>A 1146-2025</t>
        </is>
      </c>
      <c r="B3186" t="inlineStr">
        <is>
          <t>avverkningsanmälan</t>
        </is>
      </c>
      <c r="C3186" t="inlineStr">
        <is>
          <t>Föryngringsavverkning</t>
        </is>
      </c>
      <c r="D3186" s="1" t="n">
        <v>45666</v>
      </c>
      <c r="E3186" s="1" t="n">
        <v>46323</v>
      </c>
      <c r="F3186" t="inlineStr">
        <is>
          <t>KALMAR LÄN</t>
        </is>
      </c>
      <c r="G3186" t="inlineStr">
        <is>
          <t>VIMMERBY</t>
        </is>
      </c>
      <c r="I3186" t="n">
        <v>4</v>
      </c>
      <c r="J3186" t="n">
        <v>0</v>
      </c>
      <c r="K3186" t="n">
        <v>0</v>
      </c>
      <c r="L3186" t="n">
        <v>0</v>
      </c>
      <c r="M3186" t="n">
        <v>0</v>
      </c>
      <c r="N3186" t="n">
        <v>0</v>
      </c>
      <c r="O3186" t="n">
        <v>0</v>
      </c>
      <c r="P3186" t="n">
        <v>0</v>
      </c>
      <c r="Q3186" t="n">
        <v>0</v>
      </c>
      <c r="R3186" t="n">
        <v>0</v>
      </c>
      <c r="S3186" t="n">
        <v>0</v>
      </c>
      <c r="T3186" t="n">
        <v>0</v>
      </c>
      <c r="U3186" t="n">
        <v>0</v>
      </c>
      <c r="V3186" s="2" t="inlineStr"/>
    </row>
    <row r="3187" ht="15" customHeight="1">
      <c r="A3187" t="inlineStr">
        <is>
          <t>A 42462-2023</t>
        </is>
      </c>
      <c r="B3187" t="inlineStr">
        <is>
          <t>avverkningsanmälan</t>
        </is>
      </c>
      <c r="C3187" t="inlineStr">
        <is>
          <t>Föryngringsavverkning</t>
        </is>
      </c>
      <c r="D3187" s="1" t="n">
        <v>45175</v>
      </c>
      <c r="E3187" s="1" t="n">
        <v>46323</v>
      </c>
      <c r="F3187" t="inlineStr">
        <is>
          <t>KALMAR LÄN</t>
        </is>
      </c>
      <c r="G3187" t="inlineStr">
        <is>
          <t>HULTSFRED</t>
        </is>
      </c>
      <c r="I3187" t="n">
        <v>1.7</v>
      </c>
      <c r="J3187" t="n">
        <v>0</v>
      </c>
      <c r="K3187" t="n">
        <v>0</v>
      </c>
      <c r="L3187" t="n">
        <v>0</v>
      </c>
      <c r="M3187" t="n">
        <v>0</v>
      </c>
      <c r="N3187" t="n">
        <v>0</v>
      </c>
      <c r="O3187" t="n">
        <v>0</v>
      </c>
      <c r="P3187" t="n">
        <v>0</v>
      </c>
      <c r="Q3187" t="n">
        <v>0</v>
      </c>
      <c r="R3187" t="n">
        <v>0</v>
      </c>
      <c r="S3187" t="n">
        <v>0</v>
      </c>
      <c r="T3187" t="n">
        <v>0</v>
      </c>
      <c r="U3187" t="n">
        <v>0</v>
      </c>
      <c r="V3187" s="2" t="inlineStr"/>
    </row>
    <row r="3188" ht="15" customHeight="1">
      <c r="A3188" t="inlineStr">
        <is>
          <t>A 39363-2024</t>
        </is>
      </c>
      <c r="B3188" t="inlineStr">
        <is>
          <t>avverkningsanmälan</t>
        </is>
      </c>
      <c r="C3188" t="inlineStr">
        <is>
          <t>Föryngringsavverkning</t>
        </is>
      </c>
      <c r="D3188" s="1" t="n">
        <v>45551</v>
      </c>
      <c r="E3188" s="1" t="n">
        <v>46323</v>
      </c>
      <c r="F3188" t="inlineStr">
        <is>
          <t>KALMAR LÄN</t>
        </is>
      </c>
      <c r="G3188" t="inlineStr">
        <is>
          <t>KALMAR</t>
        </is>
      </c>
      <c r="I3188" t="n">
        <v>1.8</v>
      </c>
      <c r="J3188" t="n">
        <v>0</v>
      </c>
      <c r="K3188" t="n">
        <v>0</v>
      </c>
      <c r="L3188" t="n">
        <v>0</v>
      </c>
      <c r="M3188" t="n">
        <v>0</v>
      </c>
      <c r="N3188" t="n">
        <v>0</v>
      </c>
      <c r="O3188" t="n">
        <v>0</v>
      </c>
      <c r="P3188" t="n">
        <v>0</v>
      </c>
      <c r="Q3188" t="n">
        <v>0</v>
      </c>
      <c r="R3188" t="n">
        <v>0</v>
      </c>
      <c r="S3188" t="n">
        <v>0</v>
      </c>
      <c r="T3188" t="n">
        <v>0</v>
      </c>
      <c r="U3188" t="n">
        <v>0</v>
      </c>
      <c r="V3188" s="2" t="inlineStr"/>
    </row>
    <row r="3189" ht="15" customHeight="1">
      <c r="A3189" t="inlineStr">
        <is>
          <t>A 1768-2024</t>
        </is>
      </c>
      <c r="B3189" t="inlineStr">
        <is>
          <t>avverkningsanmälan</t>
        </is>
      </c>
      <c r="C3189" t="inlineStr">
        <is>
          <t>Föryngringsavverkning</t>
        </is>
      </c>
      <c r="D3189" s="1" t="n">
        <v>45307</v>
      </c>
      <c r="E3189" s="1" t="n">
        <v>46323</v>
      </c>
      <c r="F3189" t="inlineStr">
        <is>
          <t>KALMAR LÄN</t>
        </is>
      </c>
      <c r="G3189" t="inlineStr">
        <is>
          <t>HÖGSBY</t>
        </is>
      </c>
      <c r="I3189" t="n">
        <v>3.5</v>
      </c>
      <c r="J3189" t="n">
        <v>0</v>
      </c>
      <c r="K3189" t="n">
        <v>0</v>
      </c>
      <c r="L3189" t="n">
        <v>0</v>
      </c>
      <c r="M3189" t="n">
        <v>0</v>
      </c>
      <c r="N3189" t="n">
        <v>0</v>
      </c>
      <c r="O3189" t="n">
        <v>0</v>
      </c>
      <c r="P3189" t="n">
        <v>0</v>
      </c>
      <c r="Q3189" t="n">
        <v>0</v>
      </c>
      <c r="R3189" t="n">
        <v>0</v>
      </c>
      <c r="S3189" t="n">
        <v>0</v>
      </c>
      <c r="T3189" t="n">
        <v>0</v>
      </c>
      <c r="U3189" t="n">
        <v>0</v>
      </c>
      <c r="V3189" s="2" t="inlineStr"/>
    </row>
    <row r="3190" ht="15" customHeight="1">
      <c r="A3190" t="inlineStr">
        <is>
          <t>A 3337-2023</t>
        </is>
      </c>
      <c r="B3190" t="inlineStr">
        <is>
          <t>avverkningsanmälan</t>
        </is>
      </c>
      <c r="C3190" t="inlineStr">
        <is>
          <t>Föryngringsavverkning</t>
        </is>
      </c>
      <c r="D3190" s="1" t="n">
        <v>44949</v>
      </c>
      <c r="E3190" s="1" t="n">
        <v>46323</v>
      </c>
      <c r="F3190" t="inlineStr">
        <is>
          <t>KALMAR LÄN</t>
        </is>
      </c>
      <c r="G3190" t="inlineStr">
        <is>
          <t>HULTSFRED</t>
        </is>
      </c>
      <c r="I3190" t="n">
        <v>0.6</v>
      </c>
      <c r="J3190" t="n">
        <v>0</v>
      </c>
      <c r="K3190" t="n">
        <v>0</v>
      </c>
      <c r="L3190" t="n">
        <v>0</v>
      </c>
      <c r="M3190" t="n">
        <v>0</v>
      </c>
      <c r="N3190" t="n">
        <v>0</v>
      </c>
      <c r="O3190" t="n">
        <v>0</v>
      </c>
      <c r="P3190" t="n">
        <v>0</v>
      </c>
      <c r="Q3190" t="n">
        <v>0</v>
      </c>
      <c r="R3190" t="n">
        <v>0</v>
      </c>
      <c r="S3190" t="n">
        <v>0</v>
      </c>
      <c r="T3190" t="n">
        <v>0</v>
      </c>
      <c r="U3190" t="n">
        <v>0</v>
      </c>
      <c r="V3190" s="2" t="inlineStr"/>
    </row>
    <row r="3191" ht="15" customHeight="1">
      <c r="A3191" t="inlineStr">
        <is>
          <t>A 3344-2023</t>
        </is>
      </c>
      <c r="B3191" t="inlineStr">
        <is>
          <t>avverkningsanmälan</t>
        </is>
      </c>
      <c r="C3191" t="inlineStr">
        <is>
          <t>Föryngringsavverkning</t>
        </is>
      </c>
      <c r="D3191" s="1" t="n">
        <v>44949</v>
      </c>
      <c r="E3191" s="1" t="n">
        <v>46323</v>
      </c>
      <c r="F3191" t="inlineStr">
        <is>
          <t>KALMAR LÄN</t>
        </is>
      </c>
      <c r="G3191" t="inlineStr">
        <is>
          <t>EMMABODA</t>
        </is>
      </c>
      <c r="I3191" t="n">
        <v>1.2</v>
      </c>
      <c r="J3191" t="n">
        <v>0</v>
      </c>
      <c r="K3191" t="n">
        <v>0</v>
      </c>
      <c r="L3191" t="n">
        <v>0</v>
      </c>
      <c r="M3191" t="n">
        <v>0</v>
      </c>
      <c r="N3191" t="n">
        <v>0</v>
      </c>
      <c r="O3191" t="n">
        <v>0</v>
      </c>
      <c r="P3191" t="n">
        <v>0</v>
      </c>
      <c r="Q3191" t="n">
        <v>0</v>
      </c>
      <c r="R3191" t="n">
        <v>0</v>
      </c>
      <c r="S3191" t="n">
        <v>0</v>
      </c>
      <c r="T3191" t="n">
        <v>0</v>
      </c>
      <c r="U3191" t="n">
        <v>0</v>
      </c>
      <c r="V3191" s="2" t="inlineStr"/>
    </row>
    <row r="3192" ht="15" customHeight="1">
      <c r="A3192" t="inlineStr">
        <is>
          <t>A 47149-2022</t>
        </is>
      </c>
      <c r="B3192" t="inlineStr">
        <is>
          <t>avverkningsanmälan</t>
        </is>
      </c>
      <c r="C3192" t="inlineStr">
        <is>
          <t>Föryngringsavverkning</t>
        </is>
      </c>
      <c r="D3192" s="1" t="n">
        <v>44852</v>
      </c>
      <c r="E3192" s="1" t="n">
        <v>46323</v>
      </c>
      <c r="F3192" t="inlineStr">
        <is>
          <t>KALMAR LÄN</t>
        </is>
      </c>
      <c r="G3192" t="inlineStr">
        <is>
          <t>EMMABODA</t>
        </is>
      </c>
      <c r="I3192" t="n">
        <v>3.4</v>
      </c>
      <c r="J3192" t="n">
        <v>0</v>
      </c>
      <c r="K3192" t="n">
        <v>0</v>
      </c>
      <c r="L3192" t="n">
        <v>0</v>
      </c>
      <c r="M3192" t="n">
        <v>0</v>
      </c>
      <c r="N3192" t="n">
        <v>0</v>
      </c>
      <c r="O3192" t="n">
        <v>0</v>
      </c>
      <c r="P3192" t="n">
        <v>0</v>
      </c>
      <c r="Q3192" t="n">
        <v>0</v>
      </c>
      <c r="R3192" t="n">
        <v>0</v>
      </c>
      <c r="S3192" t="n">
        <v>0</v>
      </c>
      <c r="T3192" t="n">
        <v>0</v>
      </c>
      <c r="U3192" t="n">
        <v>0</v>
      </c>
      <c r="V3192" s="2" t="inlineStr"/>
    </row>
    <row r="3193" ht="15" customHeight="1">
      <c r="A3193" t="inlineStr">
        <is>
          <t>A 24111-2023</t>
        </is>
      </c>
      <c r="B3193" t="inlineStr">
        <is>
          <t>avverkningsanmälan</t>
        </is>
      </c>
      <c r="C3193" t="inlineStr">
        <is>
          <t>Föryngringsavverkning</t>
        </is>
      </c>
      <c r="D3193" s="1" t="n">
        <v>45079</v>
      </c>
      <c r="E3193" s="1" t="n">
        <v>46323</v>
      </c>
      <c r="F3193" t="inlineStr">
        <is>
          <t>KALMAR LÄN</t>
        </is>
      </c>
      <c r="G3193" t="inlineStr">
        <is>
          <t>NYBRO</t>
        </is>
      </c>
      <c r="I3193" t="n">
        <v>1.5</v>
      </c>
      <c r="J3193" t="n">
        <v>0</v>
      </c>
      <c r="K3193" t="n">
        <v>0</v>
      </c>
      <c r="L3193" t="n">
        <v>0</v>
      </c>
      <c r="M3193" t="n">
        <v>0</v>
      </c>
      <c r="N3193" t="n">
        <v>0</v>
      </c>
      <c r="O3193" t="n">
        <v>0</v>
      </c>
      <c r="P3193" t="n">
        <v>0</v>
      </c>
      <c r="Q3193" t="n">
        <v>0</v>
      </c>
      <c r="R3193" t="n">
        <v>0</v>
      </c>
      <c r="S3193" t="n">
        <v>0</v>
      </c>
      <c r="T3193" t="n">
        <v>0</v>
      </c>
      <c r="U3193" t="n">
        <v>0</v>
      </c>
      <c r="V3193" s="2" t="inlineStr"/>
    </row>
    <row r="3194" ht="15" customHeight="1">
      <c r="A3194" t="inlineStr">
        <is>
          <t>A 31384-2023</t>
        </is>
      </c>
      <c r="B3194" t="inlineStr">
        <is>
          <t>avverkningsanmälan</t>
        </is>
      </c>
      <c r="C3194" t="inlineStr">
        <is>
          <t>Föryngringsavverkning</t>
        </is>
      </c>
      <c r="D3194" s="1" t="n">
        <v>45114</v>
      </c>
      <c r="E3194" s="1" t="n">
        <v>46323</v>
      </c>
      <c r="F3194" t="inlineStr">
        <is>
          <t>KALMAR LÄN</t>
        </is>
      </c>
      <c r="G3194" t="inlineStr">
        <is>
          <t>MÖNSTERÅS</t>
        </is>
      </c>
      <c r="H3194" t="inlineStr">
        <is>
          <t>Kommuner</t>
        </is>
      </c>
      <c r="I3194" t="n">
        <v>2.9</v>
      </c>
      <c r="J3194" t="n">
        <v>0</v>
      </c>
      <c r="K3194" t="n">
        <v>0</v>
      </c>
      <c r="L3194" t="n">
        <v>0</v>
      </c>
      <c r="M3194" t="n">
        <v>0</v>
      </c>
      <c r="N3194" t="n">
        <v>0</v>
      </c>
      <c r="O3194" t="n">
        <v>0</v>
      </c>
      <c r="P3194" t="n">
        <v>0</v>
      </c>
      <c r="Q3194" t="n">
        <v>0</v>
      </c>
      <c r="R3194" t="n">
        <v>0</v>
      </c>
      <c r="S3194" t="n">
        <v>0</v>
      </c>
      <c r="T3194" t="n">
        <v>0</v>
      </c>
      <c r="U3194" t="n">
        <v>0</v>
      </c>
      <c r="V3194" s="2" t="inlineStr"/>
    </row>
    <row r="3195" ht="15" customHeight="1">
      <c r="A3195" t="inlineStr">
        <is>
          <t>A 31429-2023</t>
        </is>
      </c>
      <c r="B3195" t="inlineStr">
        <is>
          <t>avverkningsanmälan</t>
        </is>
      </c>
      <c r="C3195" t="inlineStr">
        <is>
          <t>Föryngringsavverkning</t>
        </is>
      </c>
      <c r="D3195" s="1" t="n">
        <v>45114</v>
      </c>
      <c r="E3195" s="1" t="n">
        <v>46323</v>
      </c>
      <c r="F3195" t="inlineStr">
        <is>
          <t>KALMAR LÄN</t>
        </is>
      </c>
      <c r="G3195" t="inlineStr">
        <is>
          <t>HÖGSBY</t>
        </is>
      </c>
      <c r="I3195" t="n">
        <v>2.8</v>
      </c>
      <c r="J3195" t="n">
        <v>0</v>
      </c>
      <c r="K3195" t="n">
        <v>0</v>
      </c>
      <c r="L3195" t="n">
        <v>0</v>
      </c>
      <c r="M3195" t="n">
        <v>0</v>
      </c>
      <c r="N3195" t="n">
        <v>0</v>
      </c>
      <c r="O3195" t="n">
        <v>0</v>
      </c>
      <c r="P3195" t="n">
        <v>0</v>
      </c>
      <c r="Q3195" t="n">
        <v>0</v>
      </c>
      <c r="R3195" t="n">
        <v>0</v>
      </c>
      <c r="S3195" t="n">
        <v>0</v>
      </c>
      <c r="T3195" t="n">
        <v>0</v>
      </c>
      <c r="U3195" t="n">
        <v>0</v>
      </c>
      <c r="V3195" s="2" t="inlineStr"/>
    </row>
    <row r="3196" ht="15" customHeight="1">
      <c r="A3196" t="inlineStr">
        <is>
          <t>A 32646-2023</t>
        </is>
      </c>
      <c r="B3196" t="inlineStr">
        <is>
          <t>avverkningsanmälan</t>
        </is>
      </c>
      <c r="C3196" t="inlineStr">
        <is>
          <t>Föryngringsavverkning</t>
        </is>
      </c>
      <c r="D3196" s="1" t="n">
        <v>45121</v>
      </c>
      <c r="E3196" s="1" t="n">
        <v>46323</v>
      </c>
      <c r="F3196" t="inlineStr">
        <is>
          <t>KALMAR LÄN</t>
        </is>
      </c>
      <c r="G3196" t="inlineStr">
        <is>
          <t>HULTSFRED</t>
        </is>
      </c>
      <c r="I3196" t="n">
        <v>5.1</v>
      </c>
      <c r="J3196" t="n">
        <v>0</v>
      </c>
      <c r="K3196" t="n">
        <v>0</v>
      </c>
      <c r="L3196" t="n">
        <v>0</v>
      </c>
      <c r="M3196" t="n">
        <v>0</v>
      </c>
      <c r="N3196" t="n">
        <v>0</v>
      </c>
      <c r="O3196" t="n">
        <v>0</v>
      </c>
      <c r="P3196" t="n">
        <v>0</v>
      </c>
      <c r="Q3196" t="n">
        <v>0</v>
      </c>
      <c r="R3196" t="n">
        <v>0</v>
      </c>
      <c r="S3196" t="n">
        <v>0</v>
      </c>
      <c r="T3196" t="n">
        <v>0</v>
      </c>
      <c r="U3196" t="n">
        <v>0</v>
      </c>
      <c r="V3196" s="2" t="inlineStr"/>
    </row>
    <row r="3197" ht="15" customHeight="1">
      <c r="A3197" t="inlineStr">
        <is>
          <t>A 32656-2023</t>
        </is>
      </c>
      <c r="B3197" t="inlineStr">
        <is>
          <t>avverkningsanmälan</t>
        </is>
      </c>
      <c r="C3197" t="inlineStr">
        <is>
          <t>Föryngringsavverkning</t>
        </is>
      </c>
      <c r="D3197" s="1" t="n">
        <v>45121</v>
      </c>
      <c r="E3197" s="1" t="n">
        <v>46323</v>
      </c>
      <c r="F3197" t="inlineStr">
        <is>
          <t>KALMAR LÄN</t>
        </is>
      </c>
      <c r="G3197" t="inlineStr">
        <is>
          <t>EMMABODA</t>
        </is>
      </c>
      <c r="I3197" t="n">
        <v>1</v>
      </c>
      <c r="J3197" t="n">
        <v>0</v>
      </c>
      <c r="K3197" t="n">
        <v>0</v>
      </c>
      <c r="L3197" t="n">
        <v>0</v>
      </c>
      <c r="M3197" t="n">
        <v>0</v>
      </c>
      <c r="N3197" t="n">
        <v>0</v>
      </c>
      <c r="O3197" t="n">
        <v>0</v>
      </c>
      <c r="P3197" t="n">
        <v>0</v>
      </c>
      <c r="Q3197" t="n">
        <v>0</v>
      </c>
      <c r="R3197" t="n">
        <v>0</v>
      </c>
      <c r="S3197" t="n">
        <v>0</v>
      </c>
      <c r="T3197" t="n">
        <v>0</v>
      </c>
      <c r="U3197" t="n">
        <v>0</v>
      </c>
      <c r="V3197" s="2" t="inlineStr"/>
    </row>
    <row r="3198" ht="15" customHeight="1">
      <c r="A3198" t="inlineStr">
        <is>
          <t>A 38705-2024</t>
        </is>
      </c>
      <c r="B3198" t="inlineStr">
        <is>
          <t>avverkningsanmälan</t>
        </is>
      </c>
      <c r="C3198" t="inlineStr">
        <is>
          <t>Föryngringsavverkning</t>
        </is>
      </c>
      <c r="D3198" s="1" t="n">
        <v>45547</v>
      </c>
      <c r="E3198" s="1" t="n">
        <v>46323</v>
      </c>
      <c r="F3198" t="inlineStr">
        <is>
          <t>KALMAR LÄN</t>
        </is>
      </c>
      <c r="G3198" t="inlineStr">
        <is>
          <t>HULTSFRED</t>
        </is>
      </c>
      <c r="I3198" t="n">
        <v>1.1</v>
      </c>
      <c r="J3198" t="n">
        <v>0</v>
      </c>
      <c r="K3198" t="n">
        <v>0</v>
      </c>
      <c r="L3198" t="n">
        <v>0</v>
      </c>
      <c r="M3198" t="n">
        <v>0</v>
      </c>
      <c r="N3198" t="n">
        <v>0</v>
      </c>
      <c r="O3198" t="n">
        <v>0</v>
      </c>
      <c r="P3198" t="n">
        <v>0</v>
      </c>
      <c r="Q3198" t="n">
        <v>0</v>
      </c>
      <c r="R3198" t="n">
        <v>0</v>
      </c>
      <c r="S3198" t="n">
        <v>0</v>
      </c>
      <c r="T3198" t="n">
        <v>0</v>
      </c>
      <c r="U3198" t="n">
        <v>0</v>
      </c>
      <c r="V3198" s="2" t="inlineStr"/>
    </row>
    <row r="3199" ht="15" customHeight="1">
      <c r="A3199" t="inlineStr">
        <is>
          <t>A 12328-2023</t>
        </is>
      </c>
      <c r="B3199" t="inlineStr">
        <is>
          <t>avverkningsanmälan</t>
        </is>
      </c>
      <c r="C3199" t="inlineStr">
        <is>
          <t>Föryngringsavverkning</t>
        </is>
      </c>
      <c r="D3199" s="1" t="n">
        <v>44999</v>
      </c>
      <c r="E3199" s="1" t="n">
        <v>46323</v>
      </c>
      <c r="F3199" t="inlineStr">
        <is>
          <t>KALMAR LÄN</t>
        </is>
      </c>
      <c r="G3199" t="inlineStr">
        <is>
          <t>HULTSFRED</t>
        </is>
      </c>
      <c r="I3199" t="n">
        <v>1</v>
      </c>
      <c r="J3199" t="n">
        <v>0</v>
      </c>
      <c r="K3199" t="n">
        <v>0</v>
      </c>
      <c r="L3199" t="n">
        <v>0</v>
      </c>
      <c r="M3199" t="n">
        <v>0</v>
      </c>
      <c r="N3199" t="n">
        <v>0</v>
      </c>
      <c r="O3199" t="n">
        <v>0</v>
      </c>
      <c r="P3199" t="n">
        <v>0</v>
      </c>
      <c r="Q3199" t="n">
        <v>0</v>
      </c>
      <c r="R3199" t="n">
        <v>0</v>
      </c>
      <c r="S3199" t="n">
        <v>0</v>
      </c>
      <c r="T3199" t="n">
        <v>0</v>
      </c>
      <c r="U3199" t="n">
        <v>0</v>
      </c>
      <c r="V3199" s="2" t="inlineStr"/>
    </row>
    <row r="3200" ht="15" customHeight="1">
      <c r="A3200" t="inlineStr">
        <is>
          <t>A 2267-2024</t>
        </is>
      </c>
      <c r="B3200" t="inlineStr">
        <is>
          <t>avverkningsanmälan</t>
        </is>
      </c>
      <c r="C3200" t="inlineStr">
        <is>
          <t>Föryngringsavverkning</t>
        </is>
      </c>
      <c r="D3200" s="1" t="n">
        <v>45310</v>
      </c>
      <c r="E3200" s="1" t="n">
        <v>46323</v>
      </c>
      <c r="F3200" t="inlineStr">
        <is>
          <t>KALMAR LÄN</t>
        </is>
      </c>
      <c r="G3200" t="inlineStr">
        <is>
          <t>HULTSFRED</t>
        </is>
      </c>
      <c r="I3200" t="n">
        <v>1.2</v>
      </c>
      <c r="J3200" t="n">
        <v>0</v>
      </c>
      <c r="K3200" t="n">
        <v>0</v>
      </c>
      <c r="L3200" t="n">
        <v>0</v>
      </c>
      <c r="M3200" t="n">
        <v>0</v>
      </c>
      <c r="N3200" t="n">
        <v>0</v>
      </c>
      <c r="O3200" t="n">
        <v>0</v>
      </c>
      <c r="P3200" t="n">
        <v>0</v>
      </c>
      <c r="Q3200" t="n">
        <v>0</v>
      </c>
      <c r="R3200" t="n">
        <v>0</v>
      </c>
      <c r="S3200" t="n">
        <v>0</v>
      </c>
      <c r="T3200" t="n">
        <v>0</v>
      </c>
      <c r="U3200" t="n">
        <v>0</v>
      </c>
      <c r="V3200" s="2" t="inlineStr"/>
    </row>
    <row r="3201" ht="15" customHeight="1">
      <c r="A3201" t="inlineStr">
        <is>
          <t>A 4159-2024</t>
        </is>
      </c>
      <c r="B3201" t="inlineStr">
        <is>
          <t>avverkningsanmälan</t>
        </is>
      </c>
      <c r="C3201" t="inlineStr">
        <is>
          <t>Föryngringsavverkning</t>
        </is>
      </c>
      <c r="D3201" s="1" t="n">
        <v>45323</v>
      </c>
      <c r="E3201" s="1" t="n">
        <v>46323</v>
      </c>
      <c r="F3201" t="inlineStr">
        <is>
          <t>KALMAR LÄN</t>
        </is>
      </c>
      <c r="G3201" t="inlineStr">
        <is>
          <t>BORGHOLM</t>
        </is>
      </c>
      <c r="I3201" t="n">
        <v>0.5</v>
      </c>
      <c r="J3201" t="n">
        <v>0</v>
      </c>
      <c r="K3201" t="n">
        <v>0</v>
      </c>
      <c r="L3201" t="n">
        <v>0</v>
      </c>
      <c r="M3201" t="n">
        <v>0</v>
      </c>
      <c r="N3201" t="n">
        <v>0</v>
      </c>
      <c r="O3201" t="n">
        <v>0</v>
      </c>
      <c r="P3201" t="n">
        <v>0</v>
      </c>
      <c r="Q3201" t="n">
        <v>0</v>
      </c>
      <c r="R3201" t="n">
        <v>0</v>
      </c>
      <c r="S3201" t="n">
        <v>0</v>
      </c>
      <c r="T3201" t="n">
        <v>0</v>
      </c>
      <c r="U3201" t="n">
        <v>0</v>
      </c>
      <c r="V3201" s="2" t="inlineStr"/>
    </row>
    <row r="3202" ht="15" customHeight="1">
      <c r="A3202" t="inlineStr">
        <is>
          <t>A 6532-2024</t>
        </is>
      </c>
      <c r="B3202" t="inlineStr">
        <is>
          <t>avverkningsanmälan</t>
        </is>
      </c>
      <c r="C3202" t="inlineStr">
        <is>
          <t>Föryngringsavverkning</t>
        </is>
      </c>
      <c r="D3202" s="1" t="n">
        <v>45341</v>
      </c>
      <c r="E3202" s="1" t="n">
        <v>46323</v>
      </c>
      <c r="F3202" t="inlineStr">
        <is>
          <t>KALMAR LÄN</t>
        </is>
      </c>
      <c r="G3202" t="inlineStr">
        <is>
          <t>EMMABODA</t>
        </is>
      </c>
      <c r="I3202" t="n">
        <v>3.2</v>
      </c>
      <c r="J3202" t="n">
        <v>0</v>
      </c>
      <c r="K3202" t="n">
        <v>0</v>
      </c>
      <c r="L3202" t="n">
        <v>0</v>
      </c>
      <c r="M3202" t="n">
        <v>0</v>
      </c>
      <c r="N3202" t="n">
        <v>0</v>
      </c>
      <c r="O3202" t="n">
        <v>0</v>
      </c>
      <c r="P3202" t="n">
        <v>0</v>
      </c>
      <c r="Q3202" t="n">
        <v>0</v>
      </c>
      <c r="R3202" t="n">
        <v>0</v>
      </c>
      <c r="S3202" t="n">
        <v>0</v>
      </c>
      <c r="T3202" t="n">
        <v>0</v>
      </c>
      <c r="U3202" t="n">
        <v>0</v>
      </c>
      <c r="V3202" s="2" t="inlineStr"/>
    </row>
    <row r="3203" ht="15" customHeight="1">
      <c r="A3203" t="inlineStr">
        <is>
          <t>A 51983-2025</t>
        </is>
      </c>
      <c r="B3203" t="inlineStr">
        <is>
          <t>avverkningsanmälan</t>
        </is>
      </c>
      <c r="C3203" t="inlineStr">
        <is>
          <t>Föryngringsavverkning</t>
        </is>
      </c>
      <c r="D3203" s="1" t="n">
        <v>45952</v>
      </c>
      <c r="E3203" s="1" t="n">
        <v>46323</v>
      </c>
      <c r="F3203" t="inlineStr">
        <is>
          <t>KALMAR LÄN</t>
        </is>
      </c>
      <c r="G3203" t="inlineStr">
        <is>
          <t>VÄSTERVIK</t>
        </is>
      </c>
      <c r="I3203" t="n">
        <v>2.6</v>
      </c>
      <c r="J3203" t="n">
        <v>0</v>
      </c>
      <c r="K3203" t="n">
        <v>0</v>
      </c>
      <c r="L3203" t="n">
        <v>0</v>
      </c>
      <c r="M3203" t="n">
        <v>0</v>
      </c>
      <c r="N3203" t="n">
        <v>0</v>
      </c>
      <c r="O3203" t="n">
        <v>0</v>
      </c>
      <c r="P3203" t="n">
        <v>0</v>
      </c>
      <c r="Q3203" t="n">
        <v>0</v>
      </c>
      <c r="R3203" t="n">
        <v>0</v>
      </c>
      <c r="S3203" t="n">
        <v>0</v>
      </c>
      <c r="T3203" t="n">
        <v>0</v>
      </c>
      <c r="U3203" t="n">
        <v>0</v>
      </c>
      <c r="V3203" s="2" t="inlineStr"/>
    </row>
    <row r="3204" ht="15" customHeight="1">
      <c r="A3204" t="inlineStr">
        <is>
          <t>A 60361-2023</t>
        </is>
      </c>
      <c r="B3204" t="inlineStr">
        <is>
          <t>avverkningsanmälan</t>
        </is>
      </c>
      <c r="C3204" t="inlineStr">
        <is>
          <t>Föryngringsavverkning</t>
        </is>
      </c>
      <c r="D3204" s="1" t="n">
        <v>45259</v>
      </c>
      <c r="E3204" s="1" t="n">
        <v>46323</v>
      </c>
      <c r="F3204" t="inlineStr">
        <is>
          <t>KALMAR LÄN</t>
        </is>
      </c>
      <c r="G3204" t="inlineStr">
        <is>
          <t>HULTSFRED</t>
        </is>
      </c>
      <c r="I3204" t="n">
        <v>3.4</v>
      </c>
      <c r="J3204" t="n">
        <v>0</v>
      </c>
      <c r="K3204" t="n">
        <v>0</v>
      </c>
      <c r="L3204" t="n">
        <v>0</v>
      </c>
      <c r="M3204" t="n">
        <v>0</v>
      </c>
      <c r="N3204" t="n">
        <v>0</v>
      </c>
      <c r="O3204" t="n">
        <v>0</v>
      </c>
      <c r="P3204" t="n">
        <v>0</v>
      </c>
      <c r="Q3204" t="n">
        <v>0</v>
      </c>
      <c r="R3204" t="n">
        <v>0</v>
      </c>
      <c r="S3204" t="n">
        <v>0</v>
      </c>
      <c r="T3204" t="n">
        <v>0</v>
      </c>
      <c r="U3204" t="n">
        <v>0</v>
      </c>
      <c r="V3204" s="2" t="inlineStr"/>
    </row>
    <row r="3205" ht="15" customHeight="1">
      <c r="A3205" t="inlineStr">
        <is>
          <t>A 32137-2024</t>
        </is>
      </c>
      <c r="B3205" t="inlineStr">
        <is>
          <t>avverkningsanmälan</t>
        </is>
      </c>
      <c r="C3205" t="inlineStr">
        <is>
          <t>Föryngringsavverkning</t>
        </is>
      </c>
      <c r="D3205" s="1" t="n">
        <v>45511</v>
      </c>
      <c r="E3205" s="1" t="n">
        <v>46323</v>
      </c>
      <c r="F3205" t="inlineStr">
        <is>
          <t>KALMAR LÄN</t>
        </is>
      </c>
      <c r="G3205" t="inlineStr">
        <is>
          <t>VÄSTERVIK</t>
        </is>
      </c>
      <c r="H3205" t="inlineStr">
        <is>
          <t>Övriga Aktiebolag</t>
        </is>
      </c>
      <c r="I3205" t="n">
        <v>1.4</v>
      </c>
      <c r="J3205" t="n">
        <v>0</v>
      </c>
      <c r="K3205" t="n">
        <v>0</v>
      </c>
      <c r="L3205" t="n">
        <v>0</v>
      </c>
      <c r="M3205" t="n">
        <v>0</v>
      </c>
      <c r="N3205" t="n">
        <v>0</v>
      </c>
      <c r="O3205" t="n">
        <v>0</v>
      </c>
      <c r="P3205" t="n">
        <v>0</v>
      </c>
      <c r="Q3205" t="n">
        <v>0</v>
      </c>
      <c r="R3205" t="n">
        <v>0</v>
      </c>
      <c r="S3205" t="n">
        <v>0</v>
      </c>
      <c r="T3205" t="n">
        <v>0</v>
      </c>
      <c r="U3205" t="n">
        <v>0</v>
      </c>
      <c r="V3205" s="2" t="inlineStr"/>
    </row>
    <row r="3206" ht="15" customHeight="1">
      <c r="A3206" t="inlineStr">
        <is>
          <t>A 47120-2023</t>
        </is>
      </c>
      <c r="B3206" t="inlineStr">
        <is>
          <t>avverkningsanmälan</t>
        </is>
      </c>
      <c r="C3206" t="inlineStr">
        <is>
          <t>Föryngringsavverkning</t>
        </is>
      </c>
      <c r="D3206" s="1" t="n">
        <v>45201</v>
      </c>
      <c r="E3206" s="1" t="n">
        <v>46323</v>
      </c>
      <c r="F3206" t="inlineStr">
        <is>
          <t>KALMAR LÄN</t>
        </is>
      </c>
      <c r="G3206" t="inlineStr">
        <is>
          <t>VÄSTERVIK</t>
        </is>
      </c>
      <c r="I3206" t="n">
        <v>1.1</v>
      </c>
      <c r="J3206" t="n">
        <v>0</v>
      </c>
      <c r="K3206" t="n">
        <v>0</v>
      </c>
      <c r="L3206" t="n">
        <v>0</v>
      </c>
      <c r="M3206" t="n">
        <v>0</v>
      </c>
      <c r="N3206" t="n">
        <v>0</v>
      </c>
      <c r="O3206" t="n">
        <v>0</v>
      </c>
      <c r="P3206" t="n">
        <v>0</v>
      </c>
      <c r="Q3206" t="n">
        <v>0</v>
      </c>
      <c r="R3206" t="n">
        <v>0</v>
      </c>
      <c r="S3206" t="n">
        <v>0</v>
      </c>
      <c r="T3206" t="n">
        <v>0</v>
      </c>
      <c r="U3206" t="n">
        <v>0</v>
      </c>
      <c r="V3206" s="2" t="inlineStr"/>
    </row>
    <row r="3207" ht="15" customHeight="1">
      <c r="A3207" t="inlineStr">
        <is>
          <t>A 47123-2023</t>
        </is>
      </c>
      <c r="B3207" t="inlineStr">
        <is>
          <t>avverkningsanmälan</t>
        </is>
      </c>
      <c r="C3207" t="inlineStr">
        <is>
          <t>Föryngringsavverkning</t>
        </is>
      </c>
      <c r="D3207" s="1" t="n">
        <v>45201</v>
      </c>
      <c r="E3207" s="1" t="n">
        <v>46323</v>
      </c>
      <c r="F3207" t="inlineStr">
        <is>
          <t>KALMAR LÄN</t>
        </is>
      </c>
      <c r="G3207" t="inlineStr">
        <is>
          <t>VÄSTERVIK</t>
        </is>
      </c>
      <c r="I3207" t="n">
        <v>0.5</v>
      </c>
      <c r="J3207" t="n">
        <v>0</v>
      </c>
      <c r="K3207" t="n">
        <v>0</v>
      </c>
      <c r="L3207" t="n">
        <v>0</v>
      </c>
      <c r="M3207" t="n">
        <v>0</v>
      </c>
      <c r="N3207" t="n">
        <v>0</v>
      </c>
      <c r="O3207" t="n">
        <v>0</v>
      </c>
      <c r="P3207" t="n">
        <v>0</v>
      </c>
      <c r="Q3207" t="n">
        <v>0</v>
      </c>
      <c r="R3207" t="n">
        <v>0</v>
      </c>
      <c r="S3207" t="n">
        <v>0</v>
      </c>
      <c r="T3207" t="n">
        <v>0</v>
      </c>
      <c r="U3207" t="n">
        <v>0</v>
      </c>
      <c r="V3207" s="2" t="inlineStr"/>
    </row>
    <row r="3208" ht="15" customHeight="1">
      <c r="A3208" t="inlineStr">
        <is>
          <t>A 46718-2023</t>
        </is>
      </c>
      <c r="B3208" t="inlineStr">
        <is>
          <t>avverkningsanmälan</t>
        </is>
      </c>
      <c r="C3208" t="inlineStr">
        <is>
          <t>Föryngringsavverkning</t>
        </is>
      </c>
      <c r="D3208" s="1" t="n">
        <v>45198</v>
      </c>
      <c r="E3208" s="1" t="n">
        <v>46323</v>
      </c>
      <c r="F3208" t="inlineStr">
        <is>
          <t>KALMAR LÄN</t>
        </is>
      </c>
      <c r="G3208" t="inlineStr">
        <is>
          <t>VÄSTERVIK</t>
        </is>
      </c>
      <c r="I3208" t="n">
        <v>0.4</v>
      </c>
      <c r="J3208" t="n">
        <v>0</v>
      </c>
      <c r="K3208" t="n">
        <v>0</v>
      </c>
      <c r="L3208" t="n">
        <v>0</v>
      </c>
      <c r="M3208" t="n">
        <v>0</v>
      </c>
      <c r="N3208" t="n">
        <v>0</v>
      </c>
      <c r="O3208" t="n">
        <v>0</v>
      </c>
      <c r="P3208" t="n">
        <v>0</v>
      </c>
      <c r="Q3208" t="n">
        <v>0</v>
      </c>
      <c r="R3208" t="n">
        <v>0</v>
      </c>
      <c r="S3208" t="n">
        <v>0</v>
      </c>
      <c r="T3208" t="n">
        <v>0</v>
      </c>
      <c r="U3208" t="n">
        <v>0</v>
      </c>
      <c r="V3208" s="2" t="inlineStr"/>
    </row>
    <row r="3209" ht="15" customHeight="1">
      <c r="A3209" t="inlineStr">
        <is>
          <t>A 29924-2023</t>
        </is>
      </c>
      <c r="B3209" t="inlineStr">
        <is>
          <t>avverkningsanmälan</t>
        </is>
      </c>
      <c r="C3209" t="inlineStr">
        <is>
          <t>Föryngringsavverkning</t>
        </is>
      </c>
      <c r="D3209" s="1" t="n">
        <v>45107</v>
      </c>
      <c r="E3209" s="1" t="n">
        <v>46323</v>
      </c>
      <c r="F3209" t="inlineStr">
        <is>
          <t>KALMAR LÄN</t>
        </is>
      </c>
      <c r="G3209" t="inlineStr">
        <is>
          <t>NYBRO</t>
        </is>
      </c>
      <c r="I3209" t="n">
        <v>1.5</v>
      </c>
      <c r="J3209" t="n">
        <v>0</v>
      </c>
      <c r="K3209" t="n">
        <v>0</v>
      </c>
      <c r="L3209" t="n">
        <v>0</v>
      </c>
      <c r="M3209" t="n">
        <v>0</v>
      </c>
      <c r="N3209" t="n">
        <v>0</v>
      </c>
      <c r="O3209" t="n">
        <v>0</v>
      </c>
      <c r="P3209" t="n">
        <v>0</v>
      </c>
      <c r="Q3209" t="n">
        <v>0</v>
      </c>
      <c r="R3209" t="n">
        <v>0</v>
      </c>
      <c r="S3209" t="n">
        <v>0</v>
      </c>
      <c r="T3209" t="n">
        <v>0</v>
      </c>
      <c r="U3209" t="n">
        <v>0</v>
      </c>
      <c r="V3209" s="2" t="inlineStr"/>
    </row>
    <row r="3210" ht="15" customHeight="1">
      <c r="A3210" t="inlineStr">
        <is>
          <t>A 175-2023</t>
        </is>
      </c>
      <c r="B3210" t="inlineStr">
        <is>
          <t>avverkningsanmälan</t>
        </is>
      </c>
      <c r="C3210" t="inlineStr">
        <is>
          <t>Föryngringsavverkning</t>
        </is>
      </c>
      <c r="D3210" s="1" t="n">
        <v>44928</v>
      </c>
      <c r="E3210" s="1" t="n">
        <v>46323</v>
      </c>
      <c r="F3210" t="inlineStr">
        <is>
          <t>KALMAR LÄN</t>
        </is>
      </c>
      <c r="G3210" t="inlineStr">
        <is>
          <t>NYBRO</t>
        </is>
      </c>
      <c r="I3210" t="n">
        <v>1.3</v>
      </c>
      <c r="J3210" t="n">
        <v>0</v>
      </c>
      <c r="K3210" t="n">
        <v>0</v>
      </c>
      <c r="L3210" t="n">
        <v>0</v>
      </c>
      <c r="M3210" t="n">
        <v>0</v>
      </c>
      <c r="N3210" t="n">
        <v>0</v>
      </c>
      <c r="O3210" t="n">
        <v>0</v>
      </c>
      <c r="P3210" t="n">
        <v>0</v>
      </c>
      <c r="Q3210" t="n">
        <v>0</v>
      </c>
      <c r="R3210" t="n">
        <v>0</v>
      </c>
      <c r="S3210" t="n">
        <v>0</v>
      </c>
      <c r="T3210" t="n">
        <v>0</v>
      </c>
      <c r="U3210" t="n">
        <v>0</v>
      </c>
      <c r="V3210" s="2" t="inlineStr"/>
    </row>
    <row r="3211" ht="15" customHeight="1">
      <c r="A3211" t="inlineStr">
        <is>
          <t>A 33939-2022</t>
        </is>
      </c>
      <c r="B3211" t="inlineStr">
        <is>
          <t>avverkningsanmälan</t>
        </is>
      </c>
      <c r="C3211" t="inlineStr">
        <is>
          <t>Föryngringsavverkning</t>
        </is>
      </c>
      <c r="D3211" s="1" t="n">
        <v>44790</v>
      </c>
      <c r="E3211" s="1" t="n">
        <v>46323</v>
      </c>
      <c r="F3211" t="inlineStr">
        <is>
          <t>KALMAR LÄN</t>
        </is>
      </c>
      <c r="G3211" t="inlineStr">
        <is>
          <t>TORSÅS</t>
        </is>
      </c>
      <c r="I3211" t="n">
        <v>1.5</v>
      </c>
      <c r="J3211" t="n">
        <v>0</v>
      </c>
      <c r="K3211" t="n">
        <v>0</v>
      </c>
      <c r="L3211" t="n">
        <v>0</v>
      </c>
      <c r="M3211" t="n">
        <v>0</v>
      </c>
      <c r="N3211" t="n">
        <v>0</v>
      </c>
      <c r="O3211" t="n">
        <v>0</v>
      </c>
      <c r="P3211" t="n">
        <v>0</v>
      </c>
      <c r="Q3211" t="n">
        <v>0</v>
      </c>
      <c r="R3211" t="n">
        <v>0</v>
      </c>
      <c r="S3211" t="n">
        <v>0</v>
      </c>
      <c r="T3211" t="n">
        <v>0</v>
      </c>
      <c r="U3211" t="n">
        <v>0</v>
      </c>
      <c r="V3211" s="2" t="inlineStr"/>
    </row>
    <row r="3212" ht="15" customHeight="1">
      <c r="A3212" t="inlineStr">
        <is>
          <t>A 13786-2024</t>
        </is>
      </c>
      <c r="B3212" t="inlineStr">
        <is>
          <t>avverkningsanmälan</t>
        </is>
      </c>
      <c r="C3212" t="inlineStr">
        <is>
          <t>Föryngringsavverkning</t>
        </is>
      </c>
      <c r="D3212" s="1" t="n">
        <v>45391</v>
      </c>
      <c r="E3212" s="1" t="n">
        <v>46323</v>
      </c>
      <c r="F3212" t="inlineStr">
        <is>
          <t>KALMAR LÄN</t>
        </is>
      </c>
      <c r="G3212" t="inlineStr">
        <is>
          <t>HULTSFRED</t>
        </is>
      </c>
      <c r="I3212" t="n">
        <v>3</v>
      </c>
      <c r="J3212" t="n">
        <v>0</v>
      </c>
      <c r="K3212" t="n">
        <v>0</v>
      </c>
      <c r="L3212" t="n">
        <v>0</v>
      </c>
      <c r="M3212" t="n">
        <v>0</v>
      </c>
      <c r="N3212" t="n">
        <v>0</v>
      </c>
      <c r="O3212" t="n">
        <v>0</v>
      </c>
      <c r="P3212" t="n">
        <v>0</v>
      </c>
      <c r="Q3212" t="n">
        <v>0</v>
      </c>
      <c r="R3212" t="n">
        <v>0</v>
      </c>
      <c r="S3212" t="n">
        <v>0</v>
      </c>
      <c r="T3212" t="n">
        <v>0</v>
      </c>
      <c r="U3212" t="n">
        <v>0</v>
      </c>
      <c r="V3212" s="2" t="inlineStr"/>
    </row>
    <row r="3213" ht="15" customHeight="1">
      <c r="A3213" t="inlineStr">
        <is>
          <t>A 15348-2024</t>
        </is>
      </c>
      <c r="B3213" t="inlineStr">
        <is>
          <t>avverkningsanmälan</t>
        </is>
      </c>
      <c r="C3213" t="inlineStr">
        <is>
          <t>Föryngringsavverkning</t>
        </is>
      </c>
      <c r="D3213" s="1" t="n">
        <v>45400</v>
      </c>
      <c r="E3213" s="1" t="n">
        <v>46323</v>
      </c>
      <c r="F3213" t="inlineStr">
        <is>
          <t>KALMAR LÄN</t>
        </is>
      </c>
      <c r="G3213" t="inlineStr">
        <is>
          <t>MÖNSTERÅS</t>
        </is>
      </c>
      <c r="I3213" t="n">
        <v>0.9</v>
      </c>
      <c r="J3213" t="n">
        <v>0</v>
      </c>
      <c r="K3213" t="n">
        <v>0</v>
      </c>
      <c r="L3213" t="n">
        <v>0</v>
      </c>
      <c r="M3213" t="n">
        <v>0</v>
      </c>
      <c r="N3213" t="n">
        <v>0</v>
      </c>
      <c r="O3213" t="n">
        <v>0</v>
      </c>
      <c r="P3213" t="n">
        <v>0</v>
      </c>
      <c r="Q3213" t="n">
        <v>0</v>
      </c>
      <c r="R3213" t="n">
        <v>0</v>
      </c>
      <c r="S3213" t="n">
        <v>0</v>
      </c>
      <c r="T3213" t="n">
        <v>0</v>
      </c>
      <c r="U3213" t="n">
        <v>0</v>
      </c>
      <c r="V3213" s="2" t="inlineStr"/>
    </row>
    <row r="3214" ht="15" customHeight="1">
      <c r="A3214" t="inlineStr">
        <is>
          <t>A 50995-2022</t>
        </is>
      </c>
      <c r="B3214" t="inlineStr">
        <is>
          <t>avverkningsanmälan</t>
        </is>
      </c>
      <c r="C3214" t="inlineStr">
        <is>
          <t>Föryngringsavverkning</t>
        </is>
      </c>
      <c r="D3214" s="1" t="n">
        <v>44867</v>
      </c>
      <c r="E3214" s="1" t="n">
        <v>46323</v>
      </c>
      <c r="F3214" t="inlineStr">
        <is>
          <t>KALMAR LÄN</t>
        </is>
      </c>
      <c r="G3214" t="inlineStr">
        <is>
          <t>VIMMERBY</t>
        </is>
      </c>
      <c r="I3214" t="n">
        <v>2.4</v>
      </c>
      <c r="J3214" t="n">
        <v>0</v>
      </c>
      <c r="K3214" t="n">
        <v>0</v>
      </c>
      <c r="L3214" t="n">
        <v>0</v>
      </c>
      <c r="M3214" t="n">
        <v>0</v>
      </c>
      <c r="N3214" t="n">
        <v>0</v>
      </c>
      <c r="O3214" t="n">
        <v>0</v>
      </c>
      <c r="P3214" t="n">
        <v>0</v>
      </c>
      <c r="Q3214" t="n">
        <v>0</v>
      </c>
      <c r="R3214" t="n">
        <v>0</v>
      </c>
      <c r="S3214" t="n">
        <v>0</v>
      </c>
      <c r="T3214" t="n">
        <v>0</v>
      </c>
      <c r="U3214" t="n">
        <v>0</v>
      </c>
      <c r="V3214" s="2" t="inlineStr"/>
    </row>
    <row r="3215" ht="15" customHeight="1">
      <c r="A3215" t="inlineStr">
        <is>
          <t>A 12890-2023</t>
        </is>
      </c>
      <c r="B3215" t="inlineStr">
        <is>
          <t>avverkningsanmälan</t>
        </is>
      </c>
      <c r="C3215" t="inlineStr">
        <is>
          <t>Föryngringsavverkning</t>
        </is>
      </c>
      <c r="D3215" s="1" t="n">
        <v>45001</v>
      </c>
      <c r="E3215" s="1" t="n">
        <v>46323</v>
      </c>
      <c r="F3215" t="inlineStr">
        <is>
          <t>KALMAR LÄN</t>
        </is>
      </c>
      <c r="G3215" t="inlineStr">
        <is>
          <t>VIMMERBY</t>
        </is>
      </c>
      <c r="I3215" t="n">
        <v>2.8</v>
      </c>
      <c r="J3215" t="n">
        <v>0</v>
      </c>
      <c r="K3215" t="n">
        <v>0</v>
      </c>
      <c r="L3215" t="n">
        <v>0</v>
      </c>
      <c r="M3215" t="n">
        <v>0</v>
      </c>
      <c r="N3215" t="n">
        <v>0</v>
      </c>
      <c r="O3215" t="n">
        <v>0</v>
      </c>
      <c r="P3215" t="n">
        <v>0</v>
      </c>
      <c r="Q3215" t="n">
        <v>0</v>
      </c>
      <c r="R3215" t="n">
        <v>0</v>
      </c>
      <c r="S3215" t="n">
        <v>0</v>
      </c>
      <c r="T3215" t="n">
        <v>0</v>
      </c>
      <c r="U3215" t="n">
        <v>0</v>
      </c>
      <c r="V3215" s="2" t="inlineStr"/>
    </row>
    <row r="3216" ht="15" customHeight="1">
      <c r="A3216" t="inlineStr">
        <is>
          <t>A 12915-2023</t>
        </is>
      </c>
      <c r="B3216" t="inlineStr">
        <is>
          <t>avverkningsanmälan</t>
        </is>
      </c>
      <c r="C3216" t="inlineStr">
        <is>
          <t>Föryngringsavverkning</t>
        </is>
      </c>
      <c r="D3216" s="1" t="n">
        <v>45001</v>
      </c>
      <c r="E3216" s="1" t="n">
        <v>46323</v>
      </c>
      <c r="F3216" t="inlineStr">
        <is>
          <t>KALMAR LÄN</t>
        </is>
      </c>
      <c r="G3216" t="inlineStr">
        <is>
          <t>TORSÅS</t>
        </is>
      </c>
      <c r="I3216" t="n">
        <v>0.7</v>
      </c>
      <c r="J3216" t="n">
        <v>0</v>
      </c>
      <c r="K3216" t="n">
        <v>0</v>
      </c>
      <c r="L3216" t="n">
        <v>0</v>
      </c>
      <c r="M3216" t="n">
        <v>0</v>
      </c>
      <c r="N3216" t="n">
        <v>0</v>
      </c>
      <c r="O3216" t="n">
        <v>0</v>
      </c>
      <c r="P3216" t="n">
        <v>0</v>
      </c>
      <c r="Q3216" t="n">
        <v>0</v>
      </c>
      <c r="R3216" t="n">
        <v>0</v>
      </c>
      <c r="S3216" t="n">
        <v>0</v>
      </c>
      <c r="T3216" t="n">
        <v>0</v>
      </c>
      <c r="U3216" t="n">
        <v>0</v>
      </c>
      <c r="V3216" s="2" t="inlineStr"/>
    </row>
    <row r="3217" ht="15" customHeight="1">
      <c r="A3217" t="inlineStr">
        <is>
          <t>A 12958-2023</t>
        </is>
      </c>
      <c r="B3217" t="inlineStr">
        <is>
          <t>avverkningsanmälan</t>
        </is>
      </c>
      <c r="C3217" t="inlineStr">
        <is>
          <t>Föryngringsavverkning</t>
        </is>
      </c>
      <c r="D3217" s="1" t="n">
        <v>45001</v>
      </c>
      <c r="E3217" s="1" t="n">
        <v>46323</v>
      </c>
      <c r="F3217" t="inlineStr">
        <is>
          <t>KALMAR LÄN</t>
        </is>
      </c>
      <c r="G3217" t="inlineStr">
        <is>
          <t>TORSÅS</t>
        </is>
      </c>
      <c r="I3217" t="n">
        <v>2.9</v>
      </c>
      <c r="J3217" t="n">
        <v>0</v>
      </c>
      <c r="K3217" t="n">
        <v>0</v>
      </c>
      <c r="L3217" t="n">
        <v>0</v>
      </c>
      <c r="M3217" t="n">
        <v>0</v>
      </c>
      <c r="N3217" t="n">
        <v>0</v>
      </c>
      <c r="O3217" t="n">
        <v>0</v>
      </c>
      <c r="P3217" t="n">
        <v>0</v>
      </c>
      <c r="Q3217" t="n">
        <v>0</v>
      </c>
      <c r="R3217" t="n">
        <v>0</v>
      </c>
      <c r="S3217" t="n">
        <v>0</v>
      </c>
      <c r="T3217" t="n">
        <v>0</v>
      </c>
      <c r="U3217" t="n">
        <v>0</v>
      </c>
      <c r="V3217" s="2" t="inlineStr"/>
    </row>
    <row r="3218" ht="15" customHeight="1">
      <c r="A3218" t="inlineStr">
        <is>
          <t>A 4172-2023</t>
        </is>
      </c>
      <c r="B3218" t="inlineStr">
        <is>
          <t>avverkningsanmälan</t>
        </is>
      </c>
      <c r="C3218" t="inlineStr">
        <is>
          <t>Föryngringsavverkning</t>
        </is>
      </c>
      <c r="D3218" s="1" t="n">
        <v>44953</v>
      </c>
      <c r="E3218" s="1" t="n">
        <v>46323</v>
      </c>
      <c r="F3218" t="inlineStr">
        <is>
          <t>KALMAR LÄN</t>
        </is>
      </c>
      <c r="G3218" t="inlineStr">
        <is>
          <t>NYBRO</t>
        </is>
      </c>
      <c r="I3218" t="n">
        <v>1.8</v>
      </c>
      <c r="J3218" t="n">
        <v>0</v>
      </c>
      <c r="K3218" t="n">
        <v>0</v>
      </c>
      <c r="L3218" t="n">
        <v>0</v>
      </c>
      <c r="M3218" t="n">
        <v>0</v>
      </c>
      <c r="N3218" t="n">
        <v>0</v>
      </c>
      <c r="O3218" t="n">
        <v>0</v>
      </c>
      <c r="P3218" t="n">
        <v>0</v>
      </c>
      <c r="Q3218" t="n">
        <v>0</v>
      </c>
      <c r="R3218" t="n">
        <v>0</v>
      </c>
      <c r="S3218" t="n">
        <v>0</v>
      </c>
      <c r="T3218" t="n">
        <v>0</v>
      </c>
      <c r="U3218" t="n">
        <v>0</v>
      </c>
      <c r="V3218" s="2" t="inlineStr"/>
    </row>
    <row r="3219" ht="15" customHeight="1">
      <c r="A3219" t="inlineStr">
        <is>
          <t>A 4173-2023</t>
        </is>
      </c>
      <c r="B3219" t="inlineStr">
        <is>
          <t>avverkningsanmälan</t>
        </is>
      </c>
      <c r="C3219" t="inlineStr">
        <is>
          <t>Föryngringsavverkning</t>
        </is>
      </c>
      <c r="D3219" s="1" t="n">
        <v>44953</v>
      </c>
      <c r="E3219" s="1" t="n">
        <v>46323</v>
      </c>
      <c r="F3219" t="inlineStr">
        <is>
          <t>KALMAR LÄN</t>
        </is>
      </c>
      <c r="G3219" t="inlineStr">
        <is>
          <t>EMMABODA</t>
        </is>
      </c>
      <c r="I3219" t="n">
        <v>1.7</v>
      </c>
      <c r="J3219" t="n">
        <v>0</v>
      </c>
      <c r="K3219" t="n">
        <v>0</v>
      </c>
      <c r="L3219" t="n">
        <v>0</v>
      </c>
      <c r="M3219" t="n">
        <v>0</v>
      </c>
      <c r="N3219" t="n">
        <v>0</v>
      </c>
      <c r="O3219" t="n">
        <v>0</v>
      </c>
      <c r="P3219" t="n">
        <v>0</v>
      </c>
      <c r="Q3219" t="n">
        <v>0</v>
      </c>
      <c r="R3219" t="n">
        <v>0</v>
      </c>
      <c r="S3219" t="n">
        <v>0</v>
      </c>
      <c r="T3219" t="n">
        <v>0</v>
      </c>
      <c r="U3219" t="n">
        <v>0</v>
      </c>
      <c r="V3219" s="2" t="inlineStr"/>
    </row>
    <row r="3220" ht="15" customHeight="1">
      <c r="A3220" t="inlineStr">
        <is>
          <t>A 4031-2024</t>
        </is>
      </c>
      <c r="B3220" t="inlineStr">
        <is>
          <t>avverkningsanmälan</t>
        </is>
      </c>
      <c r="C3220" t="inlineStr">
        <is>
          <t>Föryngringsavverkning</t>
        </is>
      </c>
      <c r="D3220" s="1" t="n">
        <v>45323</v>
      </c>
      <c r="E3220" s="1" t="n">
        <v>46323</v>
      </c>
      <c r="F3220" t="inlineStr">
        <is>
          <t>KALMAR LÄN</t>
        </is>
      </c>
      <c r="G3220" t="inlineStr">
        <is>
          <t>EMMABODA</t>
        </is>
      </c>
      <c r="I3220" t="n">
        <v>0.5</v>
      </c>
      <c r="J3220" t="n">
        <v>0</v>
      </c>
      <c r="K3220" t="n">
        <v>0</v>
      </c>
      <c r="L3220" t="n">
        <v>0</v>
      </c>
      <c r="M3220" t="n">
        <v>0</v>
      </c>
      <c r="N3220" t="n">
        <v>0</v>
      </c>
      <c r="O3220" t="n">
        <v>0</v>
      </c>
      <c r="P3220" t="n">
        <v>0</v>
      </c>
      <c r="Q3220" t="n">
        <v>0</v>
      </c>
      <c r="R3220" t="n">
        <v>0</v>
      </c>
      <c r="S3220" t="n">
        <v>0</v>
      </c>
      <c r="T3220" t="n">
        <v>0</v>
      </c>
      <c r="U3220" t="n">
        <v>0</v>
      </c>
      <c r="V3220" s="2" t="inlineStr"/>
    </row>
    <row r="3221" ht="15" customHeight="1">
      <c r="A3221" t="inlineStr">
        <is>
          <t>A 4198-2023</t>
        </is>
      </c>
      <c r="B3221" t="inlineStr">
        <is>
          <t>avverkningsanmälan</t>
        </is>
      </c>
      <c r="C3221" t="inlineStr">
        <is>
          <t>Föryngringsavverkning</t>
        </is>
      </c>
      <c r="D3221" s="1" t="n">
        <v>44953</v>
      </c>
      <c r="E3221" s="1" t="n">
        <v>46323</v>
      </c>
      <c r="F3221" t="inlineStr">
        <is>
          <t>KALMAR LÄN</t>
        </is>
      </c>
      <c r="G3221" t="inlineStr">
        <is>
          <t>EMMABODA</t>
        </is>
      </c>
      <c r="I3221" t="n">
        <v>1.2</v>
      </c>
      <c r="J3221" t="n">
        <v>0</v>
      </c>
      <c r="K3221" t="n">
        <v>0</v>
      </c>
      <c r="L3221" t="n">
        <v>0</v>
      </c>
      <c r="M3221" t="n">
        <v>0</v>
      </c>
      <c r="N3221" t="n">
        <v>0</v>
      </c>
      <c r="O3221" t="n">
        <v>0</v>
      </c>
      <c r="P3221" t="n">
        <v>0</v>
      </c>
      <c r="Q3221" t="n">
        <v>0</v>
      </c>
      <c r="R3221" t="n">
        <v>0</v>
      </c>
      <c r="S3221" t="n">
        <v>0</v>
      </c>
      <c r="T3221" t="n">
        <v>0</v>
      </c>
      <c r="U3221" t="n">
        <v>0</v>
      </c>
      <c r="V3221" s="2" t="inlineStr"/>
    </row>
    <row r="3222" ht="15" customHeight="1">
      <c r="A3222" t="inlineStr">
        <is>
          <t>A 3902-2022</t>
        </is>
      </c>
      <c r="B3222" t="inlineStr">
        <is>
          <t>avverkningsanmälan</t>
        </is>
      </c>
      <c r="C3222" t="inlineStr">
        <is>
          <t>Föryngringsavverkning</t>
        </is>
      </c>
      <c r="D3222" s="1" t="n">
        <v>44587</v>
      </c>
      <c r="E3222" s="1" t="n">
        <v>46323</v>
      </c>
      <c r="F3222" t="inlineStr">
        <is>
          <t>KALMAR LÄN</t>
        </is>
      </c>
      <c r="G3222" t="inlineStr">
        <is>
          <t>VIMMERBY</t>
        </is>
      </c>
      <c r="I3222" t="n">
        <v>2.6</v>
      </c>
      <c r="J3222" t="n">
        <v>0</v>
      </c>
      <c r="K3222" t="n">
        <v>0</v>
      </c>
      <c r="L3222" t="n">
        <v>0</v>
      </c>
      <c r="M3222" t="n">
        <v>0</v>
      </c>
      <c r="N3222" t="n">
        <v>0</v>
      </c>
      <c r="O3222" t="n">
        <v>0</v>
      </c>
      <c r="P3222" t="n">
        <v>0</v>
      </c>
      <c r="Q3222" t="n">
        <v>0</v>
      </c>
      <c r="R3222" t="n">
        <v>0</v>
      </c>
      <c r="S3222" t="n">
        <v>0</v>
      </c>
      <c r="T3222" t="n">
        <v>0</v>
      </c>
      <c r="U3222" t="n">
        <v>0</v>
      </c>
      <c r="V3222" s="2" t="inlineStr"/>
    </row>
    <row r="3223" ht="15" customHeight="1">
      <c r="A3223" t="inlineStr">
        <is>
          <t>A 50884-2023</t>
        </is>
      </c>
      <c r="B3223" t="inlineStr">
        <is>
          <t>avverkningsanmälan</t>
        </is>
      </c>
      <c r="C3223" t="inlineStr">
        <is>
          <t>Föryngringsavverkning</t>
        </is>
      </c>
      <c r="D3223" s="1" t="n">
        <v>45218</v>
      </c>
      <c r="E3223" s="1" t="n">
        <v>46323</v>
      </c>
      <c r="F3223" t="inlineStr">
        <is>
          <t>KALMAR LÄN</t>
        </is>
      </c>
      <c r="G3223" t="inlineStr">
        <is>
          <t>HULTSFRED</t>
        </is>
      </c>
      <c r="I3223" t="n">
        <v>1.4</v>
      </c>
      <c r="J3223" t="n">
        <v>0</v>
      </c>
      <c r="K3223" t="n">
        <v>0</v>
      </c>
      <c r="L3223" t="n">
        <v>0</v>
      </c>
      <c r="M3223" t="n">
        <v>0</v>
      </c>
      <c r="N3223" t="n">
        <v>0</v>
      </c>
      <c r="O3223" t="n">
        <v>0</v>
      </c>
      <c r="P3223" t="n">
        <v>0</v>
      </c>
      <c r="Q3223" t="n">
        <v>0</v>
      </c>
      <c r="R3223" t="n">
        <v>0</v>
      </c>
      <c r="S3223" t="n">
        <v>0</v>
      </c>
      <c r="T3223" t="n">
        <v>0</v>
      </c>
      <c r="U3223" t="n">
        <v>0</v>
      </c>
      <c r="V3223" s="2" t="inlineStr"/>
    </row>
    <row r="3224" ht="15" customHeight="1">
      <c r="A3224" t="inlineStr">
        <is>
          <t>A 30289-2024</t>
        </is>
      </c>
      <c r="B3224" t="inlineStr">
        <is>
          <t>avverkningsanmälan</t>
        </is>
      </c>
      <c r="C3224" t="inlineStr">
        <is>
          <t>Föryngringsavverkning</t>
        </is>
      </c>
      <c r="D3224" s="1" t="n">
        <v>45490</v>
      </c>
      <c r="E3224" s="1" t="n">
        <v>46323</v>
      </c>
      <c r="F3224" t="inlineStr">
        <is>
          <t>KALMAR LÄN</t>
        </is>
      </c>
      <c r="G3224" t="inlineStr">
        <is>
          <t>OSKARSHAMN</t>
        </is>
      </c>
      <c r="I3224" t="n">
        <v>1</v>
      </c>
      <c r="J3224" t="n">
        <v>0</v>
      </c>
      <c r="K3224" t="n">
        <v>0</v>
      </c>
      <c r="L3224" t="n">
        <v>0</v>
      </c>
      <c r="M3224" t="n">
        <v>0</v>
      </c>
      <c r="N3224" t="n">
        <v>0</v>
      </c>
      <c r="O3224" t="n">
        <v>0</v>
      </c>
      <c r="P3224" t="n">
        <v>0</v>
      </c>
      <c r="Q3224" t="n">
        <v>0</v>
      </c>
      <c r="R3224" t="n">
        <v>0</v>
      </c>
      <c r="S3224" t="n">
        <v>0</v>
      </c>
      <c r="T3224" t="n">
        <v>0</v>
      </c>
      <c r="U3224" t="n">
        <v>0</v>
      </c>
      <c r="V3224" s="2" t="inlineStr"/>
    </row>
    <row r="3225" ht="15" customHeight="1">
      <c r="A3225" t="inlineStr">
        <is>
          <t>A 1172-2022</t>
        </is>
      </c>
      <c r="B3225" t="inlineStr">
        <is>
          <t>avverkningsanmälan</t>
        </is>
      </c>
      <c r="C3225" t="inlineStr">
        <is>
          <t>Föryngringsavverkning</t>
        </is>
      </c>
      <c r="D3225" s="1" t="n">
        <v>44572</v>
      </c>
      <c r="E3225" s="1" t="n">
        <v>46323</v>
      </c>
      <c r="F3225" t="inlineStr">
        <is>
          <t>KALMAR LÄN</t>
        </is>
      </c>
      <c r="G3225" t="inlineStr">
        <is>
          <t>EMMABODA</t>
        </is>
      </c>
      <c r="I3225" t="n">
        <v>3.2</v>
      </c>
      <c r="J3225" t="n">
        <v>0</v>
      </c>
      <c r="K3225" t="n">
        <v>0</v>
      </c>
      <c r="L3225" t="n">
        <v>0</v>
      </c>
      <c r="M3225" t="n">
        <v>0</v>
      </c>
      <c r="N3225" t="n">
        <v>0</v>
      </c>
      <c r="O3225" t="n">
        <v>0</v>
      </c>
      <c r="P3225" t="n">
        <v>0</v>
      </c>
      <c r="Q3225" t="n">
        <v>0</v>
      </c>
      <c r="R3225" t="n">
        <v>0</v>
      </c>
      <c r="S3225" t="n">
        <v>0</v>
      </c>
      <c r="T3225" t="n">
        <v>0</v>
      </c>
      <c r="U3225" t="n">
        <v>0</v>
      </c>
      <c r="V3225" s="2" t="inlineStr"/>
    </row>
    <row r="3226" ht="15" customHeight="1">
      <c r="A3226" t="inlineStr">
        <is>
          <t>A 5450-2022</t>
        </is>
      </c>
      <c r="B3226" t="inlineStr">
        <is>
          <t>avverkningsanmälan</t>
        </is>
      </c>
      <c r="C3226" t="inlineStr">
        <is>
          <t>Avverkning för annat ändamål</t>
        </is>
      </c>
      <c r="D3226" s="1" t="n">
        <v>44595</v>
      </c>
      <c r="E3226" s="1" t="n">
        <v>46323</v>
      </c>
      <c r="F3226" t="inlineStr">
        <is>
          <t>KALMAR LÄN</t>
        </is>
      </c>
      <c r="G3226" t="inlineStr">
        <is>
          <t>VÄSTERVIK</t>
        </is>
      </c>
      <c r="I3226" t="n">
        <v>0.7</v>
      </c>
      <c r="J3226" t="n">
        <v>0</v>
      </c>
      <c r="K3226" t="n">
        <v>0</v>
      </c>
      <c r="L3226" t="n">
        <v>0</v>
      </c>
      <c r="M3226" t="n">
        <v>0</v>
      </c>
      <c r="N3226" t="n">
        <v>0</v>
      </c>
      <c r="O3226" t="n">
        <v>0</v>
      </c>
      <c r="P3226" t="n">
        <v>0</v>
      </c>
      <c r="Q3226" t="n">
        <v>0</v>
      </c>
      <c r="R3226" t="n">
        <v>0</v>
      </c>
      <c r="S3226" t="n">
        <v>0</v>
      </c>
      <c r="T3226" t="n">
        <v>0</v>
      </c>
      <c r="U3226" t="n">
        <v>0</v>
      </c>
      <c r="V3226" s="2" t="inlineStr"/>
    </row>
    <row r="3227" ht="15" customHeight="1">
      <c r="A3227" t="inlineStr">
        <is>
          <t>A 5460-2022</t>
        </is>
      </c>
      <c r="B3227" t="inlineStr">
        <is>
          <t>avverkningsanmälan</t>
        </is>
      </c>
      <c r="C3227" t="inlineStr">
        <is>
          <t>Föryngringsavverkning</t>
        </is>
      </c>
      <c r="D3227" s="1" t="n">
        <v>44595</v>
      </c>
      <c r="E3227" s="1" t="n">
        <v>46323</v>
      </c>
      <c r="F3227" t="inlineStr">
        <is>
          <t>KALMAR LÄN</t>
        </is>
      </c>
      <c r="G3227" t="inlineStr">
        <is>
          <t>KALMAR</t>
        </is>
      </c>
      <c r="I3227" t="n">
        <v>0.4</v>
      </c>
      <c r="J3227" t="n">
        <v>0</v>
      </c>
      <c r="K3227" t="n">
        <v>0</v>
      </c>
      <c r="L3227" t="n">
        <v>0</v>
      </c>
      <c r="M3227" t="n">
        <v>0</v>
      </c>
      <c r="N3227" t="n">
        <v>0</v>
      </c>
      <c r="O3227" t="n">
        <v>0</v>
      </c>
      <c r="P3227" t="n">
        <v>0</v>
      </c>
      <c r="Q3227" t="n">
        <v>0</v>
      </c>
      <c r="R3227" t="n">
        <v>0</v>
      </c>
      <c r="S3227" t="n">
        <v>0</v>
      </c>
      <c r="T3227" t="n">
        <v>0</v>
      </c>
      <c r="U3227" t="n">
        <v>0</v>
      </c>
      <c r="V3227" s="2" t="inlineStr"/>
    </row>
    <row r="3228" ht="15" customHeight="1">
      <c r="A3228" t="inlineStr">
        <is>
          <t>A 5464-2022</t>
        </is>
      </c>
      <c r="B3228" t="inlineStr">
        <is>
          <t>avverkningsanmälan</t>
        </is>
      </c>
      <c r="C3228" t="inlineStr">
        <is>
          <t>Föryngringsavverkning</t>
        </is>
      </c>
      <c r="D3228" s="1" t="n">
        <v>44595</v>
      </c>
      <c r="E3228" s="1" t="n">
        <v>46323</v>
      </c>
      <c r="F3228" t="inlineStr">
        <is>
          <t>KALMAR LÄN</t>
        </is>
      </c>
      <c r="G3228" t="inlineStr">
        <is>
          <t>KALMAR</t>
        </is>
      </c>
      <c r="I3228" t="n">
        <v>0.7</v>
      </c>
      <c r="J3228" t="n">
        <v>0</v>
      </c>
      <c r="K3228" t="n">
        <v>0</v>
      </c>
      <c r="L3228" t="n">
        <v>0</v>
      </c>
      <c r="M3228" t="n">
        <v>0</v>
      </c>
      <c r="N3228" t="n">
        <v>0</v>
      </c>
      <c r="O3228" t="n">
        <v>0</v>
      </c>
      <c r="P3228" t="n">
        <v>0</v>
      </c>
      <c r="Q3228" t="n">
        <v>0</v>
      </c>
      <c r="R3228" t="n">
        <v>0</v>
      </c>
      <c r="S3228" t="n">
        <v>0</v>
      </c>
      <c r="T3228" t="n">
        <v>0</v>
      </c>
      <c r="U3228" t="n">
        <v>0</v>
      </c>
      <c r="V3228" s="2" t="inlineStr"/>
    </row>
    <row r="3229" ht="15" customHeight="1">
      <c r="A3229" t="inlineStr">
        <is>
          <t>A 51643-2025</t>
        </is>
      </c>
      <c r="B3229" t="inlineStr">
        <is>
          <t>avverkningsanmälan</t>
        </is>
      </c>
      <c r="C3229" t="inlineStr">
        <is>
          <t>Föryngringsavverkning</t>
        </is>
      </c>
      <c r="D3229" s="1" t="n">
        <v>45951</v>
      </c>
      <c r="E3229" s="1" t="n">
        <v>46323</v>
      </c>
      <c r="F3229" t="inlineStr">
        <is>
          <t>KALMAR LÄN</t>
        </is>
      </c>
      <c r="G3229" t="inlineStr">
        <is>
          <t>TORSÅS</t>
        </is>
      </c>
      <c r="I3229" t="n">
        <v>3</v>
      </c>
      <c r="J3229" t="n">
        <v>0</v>
      </c>
      <c r="K3229" t="n">
        <v>0</v>
      </c>
      <c r="L3229" t="n">
        <v>0</v>
      </c>
      <c r="M3229" t="n">
        <v>0</v>
      </c>
      <c r="N3229" t="n">
        <v>0</v>
      </c>
      <c r="O3229" t="n">
        <v>0</v>
      </c>
      <c r="P3229" t="n">
        <v>0</v>
      </c>
      <c r="Q3229" t="n">
        <v>0</v>
      </c>
      <c r="R3229" t="n">
        <v>0</v>
      </c>
      <c r="S3229" t="n">
        <v>0</v>
      </c>
      <c r="T3229" t="n">
        <v>0</v>
      </c>
      <c r="U3229" t="n">
        <v>0</v>
      </c>
      <c r="V3229" s="2" t="inlineStr"/>
    </row>
    <row r="3230" ht="15" customHeight="1">
      <c r="A3230" t="inlineStr">
        <is>
          <t>A 7842-2024</t>
        </is>
      </c>
      <c r="B3230" t="inlineStr">
        <is>
          <t>avverkningsanmälan</t>
        </is>
      </c>
      <c r="C3230" t="inlineStr">
        <is>
          <t>Föryngringsavverkning</t>
        </is>
      </c>
      <c r="D3230" s="1" t="n">
        <v>45349</v>
      </c>
      <c r="E3230" s="1" t="n">
        <v>46323</v>
      </c>
      <c r="F3230" t="inlineStr">
        <is>
          <t>KALMAR LÄN</t>
        </is>
      </c>
      <c r="G3230" t="inlineStr">
        <is>
          <t>EMMABODA</t>
        </is>
      </c>
      <c r="I3230" t="n">
        <v>1.4</v>
      </c>
      <c r="J3230" t="n">
        <v>0</v>
      </c>
      <c r="K3230" t="n">
        <v>0</v>
      </c>
      <c r="L3230" t="n">
        <v>0</v>
      </c>
      <c r="M3230" t="n">
        <v>0</v>
      </c>
      <c r="N3230" t="n">
        <v>0</v>
      </c>
      <c r="O3230" t="n">
        <v>0</v>
      </c>
      <c r="P3230" t="n">
        <v>0</v>
      </c>
      <c r="Q3230" t="n">
        <v>0</v>
      </c>
      <c r="R3230" t="n">
        <v>0</v>
      </c>
      <c r="S3230" t="n">
        <v>0</v>
      </c>
      <c r="T3230" t="n">
        <v>0</v>
      </c>
      <c r="U3230" t="n">
        <v>0</v>
      </c>
      <c r="V3230" s="2" t="inlineStr"/>
    </row>
    <row r="3231" ht="15" customHeight="1">
      <c r="A3231" t="inlineStr">
        <is>
          <t>A 27122-2023</t>
        </is>
      </c>
      <c r="B3231" t="inlineStr">
        <is>
          <t>avverkningsanmälan</t>
        </is>
      </c>
      <c r="C3231" t="inlineStr">
        <is>
          <t>Föryngringsavverkning</t>
        </is>
      </c>
      <c r="D3231" s="1" t="n">
        <v>45096</v>
      </c>
      <c r="E3231" s="1" t="n">
        <v>46323</v>
      </c>
      <c r="F3231" t="inlineStr">
        <is>
          <t>KALMAR LÄN</t>
        </is>
      </c>
      <c r="G3231" t="inlineStr">
        <is>
          <t>VIMMERBY</t>
        </is>
      </c>
      <c r="I3231" t="n">
        <v>1.7</v>
      </c>
      <c r="J3231" t="n">
        <v>0</v>
      </c>
      <c r="K3231" t="n">
        <v>0</v>
      </c>
      <c r="L3231" t="n">
        <v>0</v>
      </c>
      <c r="M3231" t="n">
        <v>0</v>
      </c>
      <c r="N3231" t="n">
        <v>0</v>
      </c>
      <c r="O3231" t="n">
        <v>0</v>
      </c>
      <c r="P3231" t="n">
        <v>0</v>
      </c>
      <c r="Q3231" t="n">
        <v>0</v>
      </c>
      <c r="R3231" t="n">
        <v>0</v>
      </c>
      <c r="S3231" t="n">
        <v>0</v>
      </c>
      <c r="T3231" t="n">
        <v>0</v>
      </c>
      <c r="U3231" t="n">
        <v>0</v>
      </c>
      <c r="V3231" s="2" t="inlineStr"/>
    </row>
    <row r="3232" ht="15" customHeight="1">
      <c r="A3232" t="inlineStr">
        <is>
          <t>A 52575-2025</t>
        </is>
      </c>
      <c r="B3232" t="inlineStr">
        <is>
          <t>avverkningsanmälan</t>
        </is>
      </c>
      <c r="C3232" t="inlineStr">
        <is>
          <t>Föryngringsavverkning</t>
        </is>
      </c>
      <c r="D3232" s="1" t="n">
        <v>45953</v>
      </c>
      <c r="E3232" s="1" t="n">
        <v>46323</v>
      </c>
      <c r="F3232" t="inlineStr">
        <is>
          <t>KALMAR LÄN</t>
        </is>
      </c>
      <c r="G3232" t="inlineStr">
        <is>
          <t>HÖGSBY</t>
        </is>
      </c>
      <c r="H3232" t="inlineStr">
        <is>
          <t>Kyrkan</t>
        </is>
      </c>
      <c r="I3232" t="n">
        <v>1.9</v>
      </c>
      <c r="J3232" t="n">
        <v>0</v>
      </c>
      <c r="K3232" t="n">
        <v>0</v>
      </c>
      <c r="L3232" t="n">
        <v>0</v>
      </c>
      <c r="M3232" t="n">
        <v>0</v>
      </c>
      <c r="N3232" t="n">
        <v>0</v>
      </c>
      <c r="O3232" t="n">
        <v>0</v>
      </c>
      <c r="P3232" t="n">
        <v>0</v>
      </c>
      <c r="Q3232" t="n">
        <v>0</v>
      </c>
      <c r="R3232" t="n">
        <v>0</v>
      </c>
      <c r="S3232" t="n">
        <v>0</v>
      </c>
      <c r="T3232" t="n">
        <v>0</v>
      </c>
      <c r="U3232" t="n">
        <v>0</v>
      </c>
      <c r="V3232" s="2" t="inlineStr"/>
    </row>
    <row r="3233" ht="15" customHeight="1">
      <c r="A3233" t="inlineStr">
        <is>
          <t>A 45658-2023</t>
        </is>
      </c>
      <c r="B3233" t="inlineStr">
        <is>
          <t>avverkningsanmälan</t>
        </is>
      </c>
      <c r="C3233" t="inlineStr">
        <is>
          <t>Föryngringsavverkning</t>
        </is>
      </c>
      <c r="D3233" s="1" t="n">
        <v>45194</v>
      </c>
      <c r="E3233" s="1" t="n">
        <v>46323</v>
      </c>
      <c r="F3233" t="inlineStr">
        <is>
          <t>KALMAR LÄN</t>
        </is>
      </c>
      <c r="G3233" t="inlineStr">
        <is>
          <t>HULTSFRED</t>
        </is>
      </c>
      <c r="I3233" t="n">
        <v>1.2</v>
      </c>
      <c r="J3233" t="n">
        <v>0</v>
      </c>
      <c r="K3233" t="n">
        <v>0</v>
      </c>
      <c r="L3233" t="n">
        <v>0</v>
      </c>
      <c r="M3233" t="n">
        <v>0</v>
      </c>
      <c r="N3233" t="n">
        <v>0</v>
      </c>
      <c r="O3233" t="n">
        <v>0</v>
      </c>
      <c r="P3233" t="n">
        <v>0</v>
      </c>
      <c r="Q3233" t="n">
        <v>0</v>
      </c>
      <c r="R3233" t="n">
        <v>0</v>
      </c>
      <c r="S3233" t="n">
        <v>0</v>
      </c>
      <c r="T3233" t="n">
        <v>0</v>
      </c>
      <c r="U3233" t="n">
        <v>0</v>
      </c>
      <c r="V3233" s="2" t="inlineStr"/>
    </row>
    <row r="3234" ht="15" customHeight="1">
      <c r="A3234" t="inlineStr">
        <is>
          <t>A 26776-2023</t>
        </is>
      </c>
      <c r="B3234" t="inlineStr">
        <is>
          <t>avverkningsanmälan</t>
        </is>
      </c>
      <c r="C3234" t="inlineStr">
        <is>
          <t>Föryngringsavverkning</t>
        </is>
      </c>
      <c r="D3234" s="1" t="n">
        <v>45093</v>
      </c>
      <c r="E3234" s="1" t="n">
        <v>46323</v>
      </c>
      <c r="F3234" t="inlineStr">
        <is>
          <t>KALMAR LÄN</t>
        </is>
      </c>
      <c r="G3234" t="inlineStr">
        <is>
          <t>VÄSTERVIK</t>
        </is>
      </c>
      <c r="I3234" t="n">
        <v>1.3</v>
      </c>
      <c r="J3234" t="n">
        <v>0</v>
      </c>
      <c r="K3234" t="n">
        <v>0</v>
      </c>
      <c r="L3234" t="n">
        <v>0</v>
      </c>
      <c r="M3234" t="n">
        <v>0</v>
      </c>
      <c r="N3234" t="n">
        <v>0</v>
      </c>
      <c r="O3234" t="n">
        <v>0</v>
      </c>
      <c r="P3234" t="n">
        <v>0</v>
      </c>
      <c r="Q3234" t="n">
        <v>0</v>
      </c>
      <c r="R3234" t="n">
        <v>0</v>
      </c>
      <c r="S3234" t="n">
        <v>0</v>
      </c>
      <c r="T3234" t="n">
        <v>0</v>
      </c>
      <c r="U3234" t="n">
        <v>0</v>
      </c>
      <c r="V3234" s="2" t="inlineStr"/>
    </row>
    <row r="3235" ht="15" customHeight="1">
      <c r="A3235" t="inlineStr">
        <is>
          <t>A 52488-2025</t>
        </is>
      </c>
      <c r="B3235" t="inlineStr">
        <is>
          <t>avverkningsanmälan</t>
        </is>
      </c>
      <c r="C3235" t="inlineStr">
        <is>
          <t>Föryngringsavverkning</t>
        </is>
      </c>
      <c r="D3235" s="1" t="n">
        <v>45953</v>
      </c>
      <c r="E3235" s="1" t="n">
        <v>46323</v>
      </c>
      <c r="F3235" t="inlineStr">
        <is>
          <t>KALMAR LÄN</t>
        </is>
      </c>
      <c r="G3235" t="inlineStr">
        <is>
          <t>VÄSTERVIK</t>
        </is>
      </c>
      <c r="I3235" t="n">
        <v>0.5</v>
      </c>
      <c r="J3235" t="n">
        <v>0</v>
      </c>
      <c r="K3235" t="n">
        <v>0</v>
      </c>
      <c r="L3235" t="n">
        <v>0</v>
      </c>
      <c r="M3235" t="n">
        <v>0</v>
      </c>
      <c r="N3235" t="n">
        <v>0</v>
      </c>
      <c r="O3235" t="n">
        <v>0</v>
      </c>
      <c r="P3235" t="n">
        <v>0</v>
      </c>
      <c r="Q3235" t="n">
        <v>0</v>
      </c>
      <c r="R3235" t="n">
        <v>0</v>
      </c>
      <c r="S3235" t="n">
        <v>0</v>
      </c>
      <c r="T3235" t="n">
        <v>0</v>
      </c>
      <c r="U3235" t="n">
        <v>0</v>
      </c>
      <c r="V3235" s="2" t="inlineStr"/>
    </row>
    <row r="3236" ht="15" customHeight="1">
      <c r="A3236" t="inlineStr">
        <is>
          <t>A 42961-2023</t>
        </is>
      </c>
      <c r="B3236" t="inlineStr">
        <is>
          <t>avverkningsanmälan</t>
        </is>
      </c>
      <c r="C3236" t="inlineStr">
        <is>
          <t>Föryngringsavverkning</t>
        </is>
      </c>
      <c r="D3236" s="1" t="n">
        <v>45182</v>
      </c>
      <c r="E3236" s="1" t="n">
        <v>46323</v>
      </c>
      <c r="F3236" t="inlineStr">
        <is>
          <t>KALMAR LÄN</t>
        </is>
      </c>
      <c r="G3236" t="inlineStr">
        <is>
          <t>HULTSFRED</t>
        </is>
      </c>
      <c r="I3236" t="n">
        <v>1.2</v>
      </c>
      <c r="J3236" t="n">
        <v>0</v>
      </c>
      <c r="K3236" t="n">
        <v>0</v>
      </c>
      <c r="L3236" t="n">
        <v>0</v>
      </c>
      <c r="M3236" t="n">
        <v>0</v>
      </c>
      <c r="N3236" t="n">
        <v>0</v>
      </c>
      <c r="O3236" t="n">
        <v>0</v>
      </c>
      <c r="P3236" t="n">
        <v>0</v>
      </c>
      <c r="Q3236" t="n">
        <v>0</v>
      </c>
      <c r="R3236" t="n">
        <v>0</v>
      </c>
      <c r="S3236" t="n">
        <v>0</v>
      </c>
      <c r="T3236" t="n">
        <v>0</v>
      </c>
      <c r="U3236" t="n">
        <v>0</v>
      </c>
      <c r="V3236" s="2" t="inlineStr"/>
    </row>
    <row r="3237" ht="15" customHeight="1">
      <c r="A3237" t="inlineStr">
        <is>
          <t>A 52492-2025</t>
        </is>
      </c>
      <c r="B3237" t="inlineStr">
        <is>
          <t>avverkningsanmälan</t>
        </is>
      </c>
      <c r="C3237" t="inlineStr">
        <is>
          <t>Föryngringsavverkning</t>
        </is>
      </c>
      <c r="D3237" s="1" t="n">
        <v>45953</v>
      </c>
      <c r="E3237" s="1" t="n">
        <v>46323</v>
      </c>
      <c r="F3237" t="inlineStr">
        <is>
          <t>KALMAR LÄN</t>
        </is>
      </c>
      <c r="G3237" t="inlineStr">
        <is>
          <t>VÄSTERVIK</t>
        </is>
      </c>
      <c r="I3237" t="n">
        <v>0.9</v>
      </c>
      <c r="J3237" t="n">
        <v>0</v>
      </c>
      <c r="K3237" t="n">
        <v>0</v>
      </c>
      <c r="L3237" t="n">
        <v>0</v>
      </c>
      <c r="M3237" t="n">
        <v>0</v>
      </c>
      <c r="N3237" t="n">
        <v>0</v>
      </c>
      <c r="O3237" t="n">
        <v>0</v>
      </c>
      <c r="P3237" t="n">
        <v>0</v>
      </c>
      <c r="Q3237" t="n">
        <v>0</v>
      </c>
      <c r="R3237" t="n">
        <v>0</v>
      </c>
      <c r="S3237" t="n">
        <v>0</v>
      </c>
      <c r="T3237" t="n">
        <v>0</v>
      </c>
      <c r="U3237" t="n">
        <v>0</v>
      </c>
      <c r="V3237" s="2" t="inlineStr"/>
    </row>
    <row r="3238" ht="15" customHeight="1">
      <c r="A3238" t="inlineStr">
        <is>
          <t>A 38454-2024</t>
        </is>
      </c>
      <c r="B3238" t="inlineStr">
        <is>
          <t>avverkningsanmälan</t>
        </is>
      </c>
      <c r="C3238" t="inlineStr">
        <is>
          <t>Föryngringsavverkning</t>
        </is>
      </c>
      <c r="D3238" s="1" t="n">
        <v>45546</v>
      </c>
      <c r="E3238" s="1" t="n">
        <v>46323</v>
      </c>
      <c r="F3238" t="inlineStr">
        <is>
          <t>KALMAR LÄN</t>
        </is>
      </c>
      <c r="G3238" t="inlineStr">
        <is>
          <t>TORSÅS</t>
        </is>
      </c>
      <c r="I3238" t="n">
        <v>1</v>
      </c>
      <c r="J3238" t="n">
        <v>0</v>
      </c>
      <c r="K3238" t="n">
        <v>0</v>
      </c>
      <c r="L3238" t="n">
        <v>0</v>
      </c>
      <c r="M3238" t="n">
        <v>0</v>
      </c>
      <c r="N3238" t="n">
        <v>0</v>
      </c>
      <c r="O3238" t="n">
        <v>0</v>
      </c>
      <c r="P3238" t="n">
        <v>0</v>
      </c>
      <c r="Q3238" t="n">
        <v>0</v>
      </c>
      <c r="R3238" t="n">
        <v>0</v>
      </c>
      <c r="S3238" t="n">
        <v>0</v>
      </c>
      <c r="T3238" t="n">
        <v>0</v>
      </c>
      <c r="U3238" t="n">
        <v>0</v>
      </c>
      <c r="V3238" s="2" t="inlineStr"/>
    </row>
    <row r="3239" ht="15" customHeight="1">
      <c r="A3239" t="inlineStr">
        <is>
          <t>A 52274-2025</t>
        </is>
      </c>
      <c r="B3239" t="inlineStr">
        <is>
          <t>avverkningsanmälan</t>
        </is>
      </c>
      <c r="C3239" t="inlineStr">
        <is>
          <t>Föryngringsavverkning</t>
        </is>
      </c>
      <c r="D3239" s="1" t="n">
        <v>45953</v>
      </c>
      <c r="E3239" s="1" t="n">
        <v>46323</v>
      </c>
      <c r="F3239" t="inlineStr">
        <is>
          <t>KALMAR LÄN</t>
        </is>
      </c>
      <c r="G3239" t="inlineStr">
        <is>
          <t>EMMABODA</t>
        </is>
      </c>
      <c r="I3239" t="n">
        <v>1.2</v>
      </c>
      <c r="J3239" t="n">
        <v>0</v>
      </c>
      <c r="K3239" t="n">
        <v>0</v>
      </c>
      <c r="L3239" t="n">
        <v>0</v>
      </c>
      <c r="M3239" t="n">
        <v>0</v>
      </c>
      <c r="N3239" t="n">
        <v>0</v>
      </c>
      <c r="O3239" t="n">
        <v>0</v>
      </c>
      <c r="P3239" t="n">
        <v>0</v>
      </c>
      <c r="Q3239" t="n">
        <v>0</v>
      </c>
      <c r="R3239" t="n">
        <v>0</v>
      </c>
      <c r="S3239" t="n">
        <v>0</v>
      </c>
      <c r="T3239" t="n">
        <v>0</v>
      </c>
      <c r="U3239" t="n">
        <v>0</v>
      </c>
      <c r="V3239" s="2" t="inlineStr"/>
    </row>
    <row r="3240" ht="15" customHeight="1">
      <c r="A3240" t="inlineStr">
        <is>
          <t>A 52495-2025</t>
        </is>
      </c>
      <c r="B3240" t="inlineStr">
        <is>
          <t>avverkningsanmälan</t>
        </is>
      </c>
      <c r="C3240" t="inlineStr">
        <is>
          <t>Föryngringsavverkning</t>
        </is>
      </c>
      <c r="D3240" s="1" t="n">
        <v>45953</v>
      </c>
      <c r="E3240" s="1" t="n">
        <v>46323</v>
      </c>
      <c r="F3240" t="inlineStr">
        <is>
          <t>KALMAR LÄN</t>
        </is>
      </c>
      <c r="G3240" t="inlineStr">
        <is>
          <t>VÄSTERVIK</t>
        </is>
      </c>
      <c r="I3240" t="n">
        <v>1</v>
      </c>
      <c r="J3240" t="n">
        <v>0</v>
      </c>
      <c r="K3240" t="n">
        <v>0</v>
      </c>
      <c r="L3240" t="n">
        <v>0</v>
      </c>
      <c r="M3240" t="n">
        <v>0</v>
      </c>
      <c r="N3240" t="n">
        <v>0</v>
      </c>
      <c r="O3240" t="n">
        <v>0</v>
      </c>
      <c r="P3240" t="n">
        <v>0</v>
      </c>
      <c r="Q3240" t="n">
        <v>0</v>
      </c>
      <c r="R3240" t="n">
        <v>0</v>
      </c>
      <c r="S3240" t="n">
        <v>0</v>
      </c>
      <c r="T3240" t="n">
        <v>0</v>
      </c>
      <c r="U3240" t="n">
        <v>0</v>
      </c>
      <c r="V3240" s="2" t="inlineStr"/>
    </row>
    <row r="3241" ht="15" customHeight="1">
      <c r="A3241" t="inlineStr">
        <is>
          <t>A 30402-2023</t>
        </is>
      </c>
      <c r="B3241" t="inlineStr">
        <is>
          <t>avverkningsanmälan</t>
        </is>
      </c>
      <c r="C3241" t="inlineStr">
        <is>
          <t>Föryngringsavverkning</t>
        </is>
      </c>
      <c r="D3241" s="1" t="n">
        <v>45111</v>
      </c>
      <c r="E3241" s="1" t="n">
        <v>46323</v>
      </c>
      <c r="F3241" t="inlineStr">
        <is>
          <t>KALMAR LÄN</t>
        </is>
      </c>
      <c r="G3241" t="inlineStr">
        <is>
          <t>VIMMERBY</t>
        </is>
      </c>
      <c r="I3241" t="n">
        <v>0.7</v>
      </c>
      <c r="J3241" t="n">
        <v>0</v>
      </c>
      <c r="K3241" t="n">
        <v>0</v>
      </c>
      <c r="L3241" t="n">
        <v>0</v>
      </c>
      <c r="M3241" t="n">
        <v>0</v>
      </c>
      <c r="N3241" t="n">
        <v>0</v>
      </c>
      <c r="O3241" t="n">
        <v>0</v>
      </c>
      <c r="P3241" t="n">
        <v>0</v>
      </c>
      <c r="Q3241" t="n">
        <v>0</v>
      </c>
      <c r="R3241" t="n">
        <v>0</v>
      </c>
      <c r="S3241" t="n">
        <v>0</v>
      </c>
      <c r="T3241" t="n">
        <v>0</v>
      </c>
      <c r="U3241" t="n">
        <v>0</v>
      </c>
      <c r="V3241" s="2" t="inlineStr"/>
    </row>
    <row r="3242" ht="15" customHeight="1">
      <c r="A3242" t="inlineStr">
        <is>
          <t>A 52133-2025</t>
        </is>
      </c>
      <c r="B3242" t="inlineStr">
        <is>
          <t>avverkningsanmälan</t>
        </is>
      </c>
      <c r="C3242" t="inlineStr">
        <is>
          <t>Föryngringsavverkning</t>
        </is>
      </c>
      <c r="D3242" s="1" t="n">
        <v>45952</v>
      </c>
      <c r="E3242" s="1" t="n">
        <v>46323</v>
      </c>
      <c r="F3242" t="inlineStr">
        <is>
          <t>KALMAR LÄN</t>
        </is>
      </c>
      <c r="G3242" t="inlineStr">
        <is>
          <t>HULTSFRED</t>
        </is>
      </c>
      <c r="I3242" t="n">
        <v>1</v>
      </c>
      <c r="J3242" t="n">
        <v>0</v>
      </c>
      <c r="K3242" t="n">
        <v>0</v>
      </c>
      <c r="L3242" t="n">
        <v>0</v>
      </c>
      <c r="M3242" t="n">
        <v>0</v>
      </c>
      <c r="N3242" t="n">
        <v>0</v>
      </c>
      <c r="O3242" t="n">
        <v>0</v>
      </c>
      <c r="P3242" t="n">
        <v>0</v>
      </c>
      <c r="Q3242" t="n">
        <v>0</v>
      </c>
      <c r="R3242" t="n">
        <v>0</v>
      </c>
      <c r="S3242" t="n">
        <v>0</v>
      </c>
      <c r="T3242" t="n">
        <v>0</v>
      </c>
      <c r="U3242" t="n">
        <v>0</v>
      </c>
      <c r="V3242" s="2" t="inlineStr"/>
    </row>
    <row r="3243" ht="15" customHeight="1">
      <c r="A3243" t="inlineStr">
        <is>
          <t>A 13930-2023</t>
        </is>
      </c>
      <c r="B3243" t="inlineStr">
        <is>
          <t>avverkningsanmälan</t>
        </is>
      </c>
      <c r="C3243" t="inlineStr">
        <is>
          <t>Föryngringsavverkning</t>
        </is>
      </c>
      <c r="D3243" s="1" t="n">
        <v>45008</v>
      </c>
      <c r="E3243" s="1" t="n">
        <v>46323</v>
      </c>
      <c r="F3243" t="inlineStr">
        <is>
          <t>KALMAR LÄN</t>
        </is>
      </c>
      <c r="G3243" t="inlineStr">
        <is>
          <t>TORSÅS</t>
        </is>
      </c>
      <c r="I3243" t="n">
        <v>0.9</v>
      </c>
      <c r="J3243" t="n">
        <v>0</v>
      </c>
      <c r="K3243" t="n">
        <v>0</v>
      </c>
      <c r="L3243" t="n">
        <v>0</v>
      </c>
      <c r="M3243" t="n">
        <v>0</v>
      </c>
      <c r="N3243" t="n">
        <v>0</v>
      </c>
      <c r="O3243" t="n">
        <v>0</v>
      </c>
      <c r="P3243" t="n">
        <v>0</v>
      </c>
      <c r="Q3243" t="n">
        <v>0</v>
      </c>
      <c r="R3243" t="n">
        <v>0</v>
      </c>
      <c r="S3243" t="n">
        <v>0</v>
      </c>
      <c r="T3243" t="n">
        <v>0</v>
      </c>
      <c r="U3243" t="n">
        <v>0</v>
      </c>
      <c r="V3243" s="2" t="inlineStr"/>
    </row>
    <row r="3244" ht="15" customHeight="1">
      <c r="A3244" t="inlineStr">
        <is>
          <t>A 16331-2023</t>
        </is>
      </c>
      <c r="B3244" t="inlineStr">
        <is>
          <t>avverkningsanmälan</t>
        </is>
      </c>
      <c r="C3244" t="inlineStr">
        <is>
          <t>Avverkning för annat ändamål</t>
        </is>
      </c>
      <c r="D3244" s="1" t="n">
        <v>45028</v>
      </c>
      <c r="E3244" s="1" t="n">
        <v>46323</v>
      </c>
      <c r="F3244" t="inlineStr">
        <is>
          <t>KALMAR LÄN</t>
        </is>
      </c>
      <c r="G3244" t="inlineStr">
        <is>
          <t>KALMAR</t>
        </is>
      </c>
      <c r="I3244" t="n">
        <v>0.7</v>
      </c>
      <c r="J3244" t="n">
        <v>0</v>
      </c>
      <c r="K3244" t="n">
        <v>0</v>
      </c>
      <c r="L3244" t="n">
        <v>0</v>
      </c>
      <c r="M3244" t="n">
        <v>0</v>
      </c>
      <c r="N3244" t="n">
        <v>0</v>
      </c>
      <c r="O3244" t="n">
        <v>0</v>
      </c>
      <c r="P3244" t="n">
        <v>0</v>
      </c>
      <c r="Q3244" t="n">
        <v>0</v>
      </c>
      <c r="R3244" t="n">
        <v>0</v>
      </c>
      <c r="S3244" t="n">
        <v>0</v>
      </c>
      <c r="T3244" t="n">
        <v>0</v>
      </c>
      <c r="U3244" t="n">
        <v>0</v>
      </c>
      <c r="V3244" s="2" t="inlineStr"/>
    </row>
    <row r="3245" ht="15" customHeight="1">
      <c r="A3245" t="inlineStr">
        <is>
          <t>A 35382-2024</t>
        </is>
      </c>
      <c r="B3245" t="inlineStr">
        <is>
          <t>avverkningsanmälan</t>
        </is>
      </c>
      <c r="C3245" t="inlineStr">
        <is>
          <t>Föryngringsavverkning</t>
        </is>
      </c>
      <c r="D3245" s="1" t="n">
        <v>45531</v>
      </c>
      <c r="E3245" s="1" t="n">
        <v>46323</v>
      </c>
      <c r="F3245" t="inlineStr">
        <is>
          <t>KALMAR LÄN</t>
        </is>
      </c>
      <c r="G3245" t="inlineStr">
        <is>
          <t>EMMABODA</t>
        </is>
      </c>
      <c r="I3245" t="n">
        <v>1.9</v>
      </c>
      <c r="J3245" t="n">
        <v>0</v>
      </c>
      <c r="K3245" t="n">
        <v>0</v>
      </c>
      <c r="L3245" t="n">
        <v>0</v>
      </c>
      <c r="M3245" t="n">
        <v>0</v>
      </c>
      <c r="N3245" t="n">
        <v>0</v>
      </c>
      <c r="O3245" t="n">
        <v>0</v>
      </c>
      <c r="P3245" t="n">
        <v>0</v>
      </c>
      <c r="Q3245" t="n">
        <v>0</v>
      </c>
      <c r="R3245" t="n">
        <v>0</v>
      </c>
      <c r="S3245" t="n">
        <v>0</v>
      </c>
      <c r="T3245" t="n">
        <v>0</v>
      </c>
      <c r="U3245" t="n">
        <v>0</v>
      </c>
      <c r="V3245" s="2" t="inlineStr"/>
    </row>
    <row r="3246" ht="15" customHeight="1">
      <c r="A3246" t="inlineStr">
        <is>
          <t>A 72166-2021</t>
        </is>
      </c>
      <c r="B3246" t="inlineStr">
        <is>
          <t>avverkningsanmälan</t>
        </is>
      </c>
      <c r="C3246" t="inlineStr">
        <is>
          <t>Föryngringsavverkning</t>
        </is>
      </c>
      <c r="D3246" s="1" t="n">
        <v>44544</v>
      </c>
      <c r="E3246" s="1" t="n">
        <v>46323</v>
      </c>
      <c r="F3246" t="inlineStr">
        <is>
          <t>KALMAR LÄN</t>
        </is>
      </c>
      <c r="G3246" t="inlineStr">
        <is>
          <t>NYBRO</t>
        </is>
      </c>
      <c r="I3246" t="n">
        <v>1</v>
      </c>
      <c r="J3246" t="n">
        <v>0</v>
      </c>
      <c r="K3246" t="n">
        <v>0</v>
      </c>
      <c r="L3246" t="n">
        <v>0</v>
      </c>
      <c r="M3246" t="n">
        <v>0</v>
      </c>
      <c r="N3246" t="n">
        <v>0</v>
      </c>
      <c r="O3246" t="n">
        <v>0</v>
      </c>
      <c r="P3246" t="n">
        <v>0</v>
      </c>
      <c r="Q3246" t="n">
        <v>0</v>
      </c>
      <c r="R3246" t="n">
        <v>0</v>
      </c>
      <c r="S3246" t="n">
        <v>0</v>
      </c>
      <c r="T3246" t="n">
        <v>0</v>
      </c>
      <c r="U3246" t="n">
        <v>0</v>
      </c>
      <c r="V3246" s="2" t="inlineStr"/>
    </row>
    <row r="3247" ht="15" customHeight="1">
      <c r="A3247" t="inlineStr">
        <is>
          <t>A 52466-2025</t>
        </is>
      </c>
      <c r="B3247" t="inlineStr">
        <is>
          <t>avverkningsanmälan</t>
        </is>
      </c>
      <c r="C3247" t="inlineStr">
        <is>
          <t>Föryngringsavverkning</t>
        </is>
      </c>
      <c r="D3247" s="1" t="n">
        <v>45954</v>
      </c>
      <c r="E3247" s="1" t="n">
        <v>46323</v>
      </c>
      <c r="F3247" t="inlineStr">
        <is>
          <t>KALMAR LÄN</t>
        </is>
      </c>
      <c r="G3247" t="inlineStr">
        <is>
          <t>VIMMERBY</t>
        </is>
      </c>
      <c r="I3247" t="n">
        <v>0.6</v>
      </c>
      <c r="J3247" t="n">
        <v>0</v>
      </c>
      <c r="K3247" t="n">
        <v>0</v>
      </c>
      <c r="L3247" t="n">
        <v>0</v>
      </c>
      <c r="M3247" t="n">
        <v>0</v>
      </c>
      <c r="N3247" t="n">
        <v>0</v>
      </c>
      <c r="O3247" t="n">
        <v>0</v>
      </c>
      <c r="P3247" t="n">
        <v>0</v>
      </c>
      <c r="Q3247" t="n">
        <v>0</v>
      </c>
      <c r="R3247" t="n">
        <v>0</v>
      </c>
      <c r="S3247" t="n">
        <v>0</v>
      </c>
      <c r="T3247" t="n">
        <v>0</v>
      </c>
      <c r="U3247" t="n">
        <v>0</v>
      </c>
      <c r="V3247" s="2" t="inlineStr"/>
    </row>
    <row r="3248" ht="15" customHeight="1">
      <c r="A3248" t="inlineStr">
        <is>
          <t>A 89-2023</t>
        </is>
      </c>
      <c r="B3248" t="inlineStr">
        <is>
          <t>avverkningsanmälan</t>
        </is>
      </c>
      <c r="C3248" t="inlineStr">
        <is>
          <t>Avverkning för annat ändamål</t>
        </is>
      </c>
      <c r="D3248" s="1" t="n">
        <v>44918</v>
      </c>
      <c r="E3248" s="1" t="n">
        <v>46323</v>
      </c>
      <c r="F3248" t="inlineStr">
        <is>
          <t>KALMAR LÄN</t>
        </is>
      </c>
      <c r="G3248" t="inlineStr">
        <is>
          <t>VIMMERBY</t>
        </is>
      </c>
      <c r="I3248" t="n">
        <v>16.1</v>
      </c>
      <c r="J3248" t="n">
        <v>0</v>
      </c>
      <c r="K3248" t="n">
        <v>0</v>
      </c>
      <c r="L3248" t="n">
        <v>0</v>
      </c>
      <c r="M3248" t="n">
        <v>0</v>
      </c>
      <c r="N3248" t="n">
        <v>0</v>
      </c>
      <c r="O3248" t="n">
        <v>0</v>
      </c>
      <c r="P3248" t="n">
        <v>0</v>
      </c>
      <c r="Q3248" t="n">
        <v>0</v>
      </c>
      <c r="R3248" t="n">
        <v>0</v>
      </c>
      <c r="S3248" t="n">
        <v>0</v>
      </c>
      <c r="T3248" t="n">
        <v>0</v>
      </c>
      <c r="U3248" t="n">
        <v>0</v>
      </c>
      <c r="V3248" s="2" t="inlineStr"/>
    </row>
    <row r="3249" ht="15" customHeight="1">
      <c r="A3249" t="inlineStr">
        <is>
          <t>A 50309-2024</t>
        </is>
      </c>
      <c r="B3249" t="inlineStr">
        <is>
          <t>avverkningsanmälan</t>
        </is>
      </c>
      <c r="C3249" t="inlineStr">
        <is>
          <t>Föryngringsavverkning</t>
        </is>
      </c>
      <c r="D3249" s="1" t="n">
        <v>45600</v>
      </c>
      <c r="E3249" s="1" t="n">
        <v>46323</v>
      </c>
      <c r="F3249" t="inlineStr">
        <is>
          <t>KALMAR LÄN</t>
        </is>
      </c>
      <c r="G3249" t="inlineStr">
        <is>
          <t>EMMABODA</t>
        </is>
      </c>
      <c r="I3249" t="n">
        <v>3.1</v>
      </c>
      <c r="J3249" t="n">
        <v>0</v>
      </c>
      <c r="K3249" t="n">
        <v>0</v>
      </c>
      <c r="L3249" t="n">
        <v>0</v>
      </c>
      <c r="M3249" t="n">
        <v>0</v>
      </c>
      <c r="N3249" t="n">
        <v>0</v>
      </c>
      <c r="O3249" t="n">
        <v>0</v>
      </c>
      <c r="P3249" t="n">
        <v>0</v>
      </c>
      <c r="Q3249" t="n">
        <v>0</v>
      </c>
      <c r="R3249" t="n">
        <v>0</v>
      </c>
      <c r="S3249" t="n">
        <v>0</v>
      </c>
      <c r="T3249" t="n">
        <v>0</v>
      </c>
      <c r="U3249" t="n">
        <v>0</v>
      </c>
      <c r="V3249" s="2" t="inlineStr"/>
    </row>
    <row r="3250" ht="15" customHeight="1">
      <c r="A3250" t="inlineStr">
        <is>
          <t>A 13805-2023</t>
        </is>
      </c>
      <c r="B3250" t="inlineStr">
        <is>
          <t>avverkningsanmälan</t>
        </is>
      </c>
      <c r="C3250" t="inlineStr">
        <is>
          <t>Föryngringsavverkning</t>
        </is>
      </c>
      <c r="D3250" s="1" t="n">
        <v>45007</v>
      </c>
      <c r="E3250" s="1" t="n">
        <v>46323</v>
      </c>
      <c r="F3250" t="inlineStr">
        <is>
          <t>KALMAR LÄN</t>
        </is>
      </c>
      <c r="G3250" t="inlineStr">
        <is>
          <t>EMMABODA</t>
        </is>
      </c>
      <c r="I3250" t="n">
        <v>0.5</v>
      </c>
      <c r="J3250" t="n">
        <v>0</v>
      </c>
      <c r="K3250" t="n">
        <v>0</v>
      </c>
      <c r="L3250" t="n">
        <v>0</v>
      </c>
      <c r="M3250" t="n">
        <v>0</v>
      </c>
      <c r="N3250" t="n">
        <v>0</v>
      </c>
      <c r="O3250" t="n">
        <v>0</v>
      </c>
      <c r="P3250" t="n">
        <v>0</v>
      </c>
      <c r="Q3250" t="n">
        <v>0</v>
      </c>
      <c r="R3250" t="n">
        <v>0</v>
      </c>
      <c r="S3250" t="n">
        <v>0</v>
      </c>
      <c r="T3250" t="n">
        <v>0</v>
      </c>
      <c r="U3250" t="n">
        <v>0</v>
      </c>
      <c r="V3250" s="2" t="inlineStr"/>
    </row>
    <row r="3251" ht="15" customHeight="1">
      <c r="A3251" t="inlineStr">
        <is>
          <t>A 37462-2023</t>
        </is>
      </c>
      <c r="B3251" t="inlineStr">
        <is>
          <t>avverkningsanmälan</t>
        </is>
      </c>
      <c r="C3251" t="inlineStr">
        <is>
          <t>Föryngringsavverkning</t>
        </is>
      </c>
      <c r="D3251" s="1" t="n">
        <v>45156</v>
      </c>
      <c r="E3251" s="1" t="n">
        <v>46323</v>
      </c>
      <c r="F3251" t="inlineStr">
        <is>
          <t>KALMAR LÄN</t>
        </is>
      </c>
      <c r="G3251" t="inlineStr">
        <is>
          <t>NYBRO</t>
        </is>
      </c>
      <c r="I3251" t="n">
        <v>0.6</v>
      </c>
      <c r="J3251" t="n">
        <v>0</v>
      </c>
      <c r="K3251" t="n">
        <v>0</v>
      </c>
      <c r="L3251" t="n">
        <v>0</v>
      </c>
      <c r="M3251" t="n">
        <v>0</v>
      </c>
      <c r="N3251" t="n">
        <v>0</v>
      </c>
      <c r="O3251" t="n">
        <v>0</v>
      </c>
      <c r="P3251" t="n">
        <v>0</v>
      </c>
      <c r="Q3251" t="n">
        <v>0</v>
      </c>
      <c r="R3251" t="n">
        <v>0</v>
      </c>
      <c r="S3251" t="n">
        <v>0</v>
      </c>
      <c r="T3251" t="n">
        <v>0</v>
      </c>
      <c r="U3251" t="n">
        <v>0</v>
      </c>
      <c r="V3251" s="2" t="inlineStr"/>
    </row>
    <row r="3252" ht="15" customHeight="1">
      <c r="A3252" t="inlineStr">
        <is>
          <t>A 13902-2023</t>
        </is>
      </c>
      <c r="B3252" t="inlineStr">
        <is>
          <t>avverkningsanmälan</t>
        </is>
      </c>
      <c r="C3252" t="inlineStr">
        <is>
          <t>Föryngringsavverkning</t>
        </is>
      </c>
      <c r="D3252" s="1" t="n">
        <v>45008</v>
      </c>
      <c r="E3252" s="1" t="n">
        <v>46323</v>
      </c>
      <c r="F3252" t="inlineStr">
        <is>
          <t>KALMAR LÄN</t>
        </is>
      </c>
      <c r="G3252" t="inlineStr">
        <is>
          <t>MÖNSTERÅS</t>
        </is>
      </c>
      <c r="I3252" t="n">
        <v>0.5</v>
      </c>
      <c r="J3252" t="n">
        <v>0</v>
      </c>
      <c r="K3252" t="n">
        <v>0</v>
      </c>
      <c r="L3252" t="n">
        <v>0</v>
      </c>
      <c r="M3252" t="n">
        <v>0</v>
      </c>
      <c r="N3252" t="n">
        <v>0</v>
      </c>
      <c r="O3252" t="n">
        <v>0</v>
      </c>
      <c r="P3252" t="n">
        <v>0</v>
      </c>
      <c r="Q3252" t="n">
        <v>0</v>
      </c>
      <c r="R3252" t="n">
        <v>0</v>
      </c>
      <c r="S3252" t="n">
        <v>0</v>
      </c>
      <c r="T3252" t="n">
        <v>0</v>
      </c>
      <c r="U3252" t="n">
        <v>0</v>
      </c>
      <c r="V3252" s="2" t="inlineStr"/>
    </row>
    <row r="3253" ht="15" customHeight="1">
      <c r="A3253" t="inlineStr">
        <is>
          <t>A 11710-2023</t>
        </is>
      </c>
      <c r="B3253" t="inlineStr">
        <is>
          <t>avverkningsanmälan</t>
        </is>
      </c>
      <c r="C3253" t="inlineStr">
        <is>
          <t>Föryngringsavverkning</t>
        </is>
      </c>
      <c r="D3253" s="1" t="n">
        <v>44994</v>
      </c>
      <c r="E3253" s="1" t="n">
        <v>46323</v>
      </c>
      <c r="F3253" t="inlineStr">
        <is>
          <t>KALMAR LÄN</t>
        </is>
      </c>
      <c r="G3253" t="inlineStr">
        <is>
          <t>HULTSFRED</t>
        </is>
      </c>
      <c r="I3253" t="n">
        <v>1.2</v>
      </c>
      <c r="J3253" t="n">
        <v>0</v>
      </c>
      <c r="K3253" t="n">
        <v>0</v>
      </c>
      <c r="L3253" t="n">
        <v>0</v>
      </c>
      <c r="M3253" t="n">
        <v>0</v>
      </c>
      <c r="N3253" t="n">
        <v>0</v>
      </c>
      <c r="O3253" t="n">
        <v>0</v>
      </c>
      <c r="P3253" t="n">
        <v>0</v>
      </c>
      <c r="Q3253" t="n">
        <v>0</v>
      </c>
      <c r="R3253" t="n">
        <v>0</v>
      </c>
      <c r="S3253" t="n">
        <v>0</v>
      </c>
      <c r="T3253" t="n">
        <v>0</v>
      </c>
      <c r="U3253" t="n">
        <v>0</v>
      </c>
      <c r="V3253" s="2" t="inlineStr"/>
    </row>
    <row r="3254" ht="15" customHeight="1">
      <c r="A3254" t="inlineStr">
        <is>
          <t>A 5340-2023</t>
        </is>
      </c>
      <c r="B3254" t="inlineStr">
        <is>
          <t>avverkningsanmälan</t>
        </is>
      </c>
      <c r="C3254" t="inlineStr">
        <is>
          <t>Föryngringsavverkning</t>
        </is>
      </c>
      <c r="D3254" s="1" t="n">
        <v>44959</v>
      </c>
      <c r="E3254" s="1" t="n">
        <v>46323</v>
      </c>
      <c r="F3254" t="inlineStr">
        <is>
          <t>KALMAR LÄN</t>
        </is>
      </c>
      <c r="G3254" t="inlineStr">
        <is>
          <t>NYBRO</t>
        </is>
      </c>
      <c r="I3254" t="n">
        <v>1</v>
      </c>
      <c r="J3254" t="n">
        <v>0</v>
      </c>
      <c r="K3254" t="n">
        <v>0</v>
      </c>
      <c r="L3254" t="n">
        <v>0</v>
      </c>
      <c r="M3254" t="n">
        <v>0</v>
      </c>
      <c r="N3254" t="n">
        <v>0</v>
      </c>
      <c r="O3254" t="n">
        <v>0</v>
      </c>
      <c r="P3254" t="n">
        <v>0</v>
      </c>
      <c r="Q3254" t="n">
        <v>0</v>
      </c>
      <c r="R3254" t="n">
        <v>0</v>
      </c>
      <c r="S3254" t="n">
        <v>0</v>
      </c>
      <c r="T3254" t="n">
        <v>0</v>
      </c>
      <c r="U3254" t="n">
        <v>0</v>
      </c>
      <c r="V3254" s="2" t="inlineStr"/>
    </row>
    <row r="3255" ht="15" customHeight="1">
      <c r="A3255" t="inlineStr">
        <is>
          <t>A 5382-2023</t>
        </is>
      </c>
      <c r="B3255" t="inlineStr">
        <is>
          <t>avverkningsanmälan</t>
        </is>
      </c>
      <c r="C3255" t="inlineStr">
        <is>
          <t>Föryngringsavverkning</t>
        </is>
      </c>
      <c r="D3255" s="1" t="n">
        <v>44959</v>
      </c>
      <c r="E3255" s="1" t="n">
        <v>46323</v>
      </c>
      <c r="F3255" t="inlineStr">
        <is>
          <t>KALMAR LÄN</t>
        </is>
      </c>
      <c r="G3255" t="inlineStr">
        <is>
          <t>VIMMERBY</t>
        </is>
      </c>
      <c r="I3255" t="n">
        <v>1</v>
      </c>
      <c r="J3255" t="n">
        <v>0</v>
      </c>
      <c r="K3255" t="n">
        <v>0</v>
      </c>
      <c r="L3255" t="n">
        <v>0</v>
      </c>
      <c r="M3255" t="n">
        <v>0</v>
      </c>
      <c r="N3255" t="n">
        <v>0</v>
      </c>
      <c r="O3255" t="n">
        <v>0</v>
      </c>
      <c r="P3255" t="n">
        <v>0</v>
      </c>
      <c r="Q3255" t="n">
        <v>0</v>
      </c>
      <c r="R3255" t="n">
        <v>0</v>
      </c>
      <c r="S3255" t="n">
        <v>0</v>
      </c>
      <c r="T3255" t="n">
        <v>0</v>
      </c>
      <c r="U3255" t="n">
        <v>0</v>
      </c>
      <c r="V3255" s="2" t="inlineStr"/>
    </row>
    <row r="3256" ht="15" customHeight="1">
      <c r="A3256" t="inlineStr">
        <is>
          <t>A 19789-2023</t>
        </is>
      </c>
      <c r="B3256" t="inlineStr">
        <is>
          <t>avverkningsanmälan</t>
        </is>
      </c>
      <c r="C3256" t="inlineStr">
        <is>
          <t>Föryngringsavverkning</t>
        </is>
      </c>
      <c r="D3256" s="1" t="n">
        <v>45051</v>
      </c>
      <c r="E3256" s="1" t="n">
        <v>46323</v>
      </c>
      <c r="F3256" t="inlineStr">
        <is>
          <t>KALMAR LÄN</t>
        </is>
      </c>
      <c r="G3256" t="inlineStr">
        <is>
          <t>TORSÅS</t>
        </is>
      </c>
      <c r="I3256" t="n">
        <v>1.2</v>
      </c>
      <c r="J3256" t="n">
        <v>0</v>
      </c>
      <c r="K3256" t="n">
        <v>0</v>
      </c>
      <c r="L3256" t="n">
        <v>0</v>
      </c>
      <c r="M3256" t="n">
        <v>0</v>
      </c>
      <c r="N3256" t="n">
        <v>0</v>
      </c>
      <c r="O3256" t="n">
        <v>0</v>
      </c>
      <c r="P3256" t="n">
        <v>0</v>
      </c>
      <c r="Q3256" t="n">
        <v>0</v>
      </c>
      <c r="R3256" t="n">
        <v>0</v>
      </c>
      <c r="S3256" t="n">
        <v>0</v>
      </c>
      <c r="T3256" t="n">
        <v>0</v>
      </c>
      <c r="U3256" t="n">
        <v>0</v>
      </c>
      <c r="V3256" s="2" t="inlineStr"/>
    </row>
    <row r="3257" ht="15" customHeight="1">
      <c r="A3257" t="inlineStr">
        <is>
          <t>A 72194-2021</t>
        </is>
      </c>
      <c r="B3257" t="inlineStr">
        <is>
          <t>avverkningsanmälan</t>
        </is>
      </c>
      <c r="C3257" t="inlineStr">
        <is>
          <t>Föryngringsavverkning</t>
        </is>
      </c>
      <c r="D3257" s="1" t="n">
        <v>44544</v>
      </c>
      <c r="E3257" s="1" t="n">
        <v>46323</v>
      </c>
      <c r="F3257" t="inlineStr">
        <is>
          <t>KALMAR LÄN</t>
        </is>
      </c>
      <c r="G3257" t="inlineStr">
        <is>
          <t>KALMAR</t>
        </is>
      </c>
      <c r="I3257" t="n">
        <v>2.4</v>
      </c>
      <c r="J3257" t="n">
        <v>0</v>
      </c>
      <c r="K3257" t="n">
        <v>0</v>
      </c>
      <c r="L3257" t="n">
        <v>0</v>
      </c>
      <c r="M3257" t="n">
        <v>0</v>
      </c>
      <c r="N3257" t="n">
        <v>0</v>
      </c>
      <c r="O3257" t="n">
        <v>0</v>
      </c>
      <c r="P3257" t="n">
        <v>0</v>
      </c>
      <c r="Q3257" t="n">
        <v>0</v>
      </c>
      <c r="R3257" t="n">
        <v>0</v>
      </c>
      <c r="S3257" t="n">
        <v>0</v>
      </c>
      <c r="T3257" t="n">
        <v>0</v>
      </c>
      <c r="U3257" t="n">
        <v>0</v>
      </c>
      <c r="V3257" s="2" t="inlineStr"/>
    </row>
    <row r="3258" ht="15" customHeight="1">
      <c r="A3258" t="inlineStr">
        <is>
          <t>A 61927-2021</t>
        </is>
      </c>
      <c r="B3258" t="inlineStr">
        <is>
          <t>avverkningsanmälan</t>
        </is>
      </c>
      <c r="C3258" t="inlineStr">
        <is>
          <t>Föryngringsavverkning</t>
        </is>
      </c>
      <c r="D3258" s="1" t="n">
        <v>44502</v>
      </c>
      <c r="E3258" s="1" t="n">
        <v>46323</v>
      </c>
      <c r="F3258" t="inlineStr">
        <is>
          <t>KALMAR LÄN</t>
        </is>
      </c>
      <c r="G3258" t="inlineStr">
        <is>
          <t>KALMAR</t>
        </is>
      </c>
      <c r="I3258" t="n">
        <v>1</v>
      </c>
      <c r="J3258" t="n">
        <v>0</v>
      </c>
      <c r="K3258" t="n">
        <v>0</v>
      </c>
      <c r="L3258" t="n">
        <v>0</v>
      </c>
      <c r="M3258" t="n">
        <v>0</v>
      </c>
      <c r="N3258" t="n">
        <v>0</v>
      </c>
      <c r="O3258" t="n">
        <v>0</v>
      </c>
      <c r="P3258" t="n">
        <v>0</v>
      </c>
      <c r="Q3258" t="n">
        <v>0</v>
      </c>
      <c r="R3258" t="n">
        <v>0</v>
      </c>
      <c r="S3258" t="n">
        <v>0</v>
      </c>
      <c r="T3258" t="n">
        <v>0</v>
      </c>
      <c r="U3258" t="n">
        <v>0</v>
      </c>
      <c r="V3258" s="2" t="inlineStr"/>
    </row>
    <row r="3259" ht="15" customHeight="1">
      <c r="A3259" t="inlineStr">
        <is>
          <t>A 15329-2024</t>
        </is>
      </c>
      <c r="B3259" t="inlineStr">
        <is>
          <t>avverkningsanmälan</t>
        </is>
      </c>
      <c r="C3259" t="inlineStr">
        <is>
          <t>Föryngringsavverkning</t>
        </is>
      </c>
      <c r="D3259" s="1" t="n">
        <v>45400</v>
      </c>
      <c r="E3259" s="1" t="n">
        <v>46323</v>
      </c>
      <c r="F3259" t="inlineStr">
        <is>
          <t>KALMAR LÄN</t>
        </is>
      </c>
      <c r="G3259" t="inlineStr">
        <is>
          <t>EMMABODA</t>
        </is>
      </c>
      <c r="I3259" t="n">
        <v>1.1</v>
      </c>
      <c r="J3259" t="n">
        <v>0</v>
      </c>
      <c r="K3259" t="n">
        <v>0</v>
      </c>
      <c r="L3259" t="n">
        <v>0</v>
      </c>
      <c r="M3259" t="n">
        <v>0</v>
      </c>
      <c r="N3259" t="n">
        <v>0</v>
      </c>
      <c r="O3259" t="n">
        <v>0</v>
      </c>
      <c r="P3259" t="n">
        <v>0</v>
      </c>
      <c r="Q3259" t="n">
        <v>0</v>
      </c>
      <c r="R3259" t="n">
        <v>0</v>
      </c>
      <c r="S3259" t="n">
        <v>0</v>
      </c>
      <c r="T3259" t="n">
        <v>0</v>
      </c>
      <c r="U3259" t="n">
        <v>0</v>
      </c>
      <c r="V3259" s="2" t="inlineStr"/>
    </row>
    <row r="3260" ht="15" customHeight="1">
      <c r="A3260" t="inlineStr">
        <is>
          <t>A 68991-2021</t>
        </is>
      </c>
      <c r="B3260" t="inlineStr">
        <is>
          <t>avverkningsanmälan</t>
        </is>
      </c>
      <c r="C3260" t="inlineStr">
        <is>
          <t>Föryngringsavverkning</t>
        </is>
      </c>
      <c r="D3260" s="1" t="n">
        <v>44529</v>
      </c>
      <c r="E3260" s="1" t="n">
        <v>46323</v>
      </c>
      <c r="F3260" t="inlineStr">
        <is>
          <t>KALMAR LÄN</t>
        </is>
      </c>
      <c r="G3260" t="inlineStr">
        <is>
          <t>HULTSFRED</t>
        </is>
      </c>
      <c r="I3260" t="n">
        <v>2</v>
      </c>
      <c r="J3260" t="n">
        <v>0</v>
      </c>
      <c r="K3260" t="n">
        <v>0</v>
      </c>
      <c r="L3260" t="n">
        <v>0</v>
      </c>
      <c r="M3260" t="n">
        <v>0</v>
      </c>
      <c r="N3260" t="n">
        <v>0</v>
      </c>
      <c r="O3260" t="n">
        <v>0</v>
      </c>
      <c r="P3260" t="n">
        <v>0</v>
      </c>
      <c r="Q3260" t="n">
        <v>0</v>
      </c>
      <c r="R3260" t="n">
        <v>0</v>
      </c>
      <c r="S3260" t="n">
        <v>0</v>
      </c>
      <c r="T3260" t="n">
        <v>0</v>
      </c>
      <c r="U3260" t="n">
        <v>0</v>
      </c>
      <c r="V3260" s="2" t="inlineStr"/>
    </row>
    <row r="3261" ht="15" customHeight="1">
      <c r="A3261" t="inlineStr">
        <is>
          <t>A 6668-2023</t>
        </is>
      </c>
      <c r="B3261" t="inlineStr">
        <is>
          <t>avverkningsanmälan</t>
        </is>
      </c>
      <c r="C3261" t="inlineStr">
        <is>
          <t>Föryngringsavverkning</t>
        </is>
      </c>
      <c r="D3261" s="1" t="n">
        <v>44966</v>
      </c>
      <c r="E3261" s="1" t="n">
        <v>46323</v>
      </c>
      <c r="F3261" t="inlineStr">
        <is>
          <t>KALMAR LÄN</t>
        </is>
      </c>
      <c r="G3261" t="inlineStr">
        <is>
          <t>VIMMERBY</t>
        </is>
      </c>
      <c r="I3261" t="n">
        <v>0.9</v>
      </c>
      <c r="J3261" t="n">
        <v>0</v>
      </c>
      <c r="K3261" t="n">
        <v>0</v>
      </c>
      <c r="L3261" t="n">
        <v>0</v>
      </c>
      <c r="M3261" t="n">
        <v>0</v>
      </c>
      <c r="N3261" t="n">
        <v>0</v>
      </c>
      <c r="O3261" t="n">
        <v>0</v>
      </c>
      <c r="P3261" t="n">
        <v>0</v>
      </c>
      <c r="Q3261" t="n">
        <v>0</v>
      </c>
      <c r="R3261" t="n">
        <v>0</v>
      </c>
      <c r="S3261" t="n">
        <v>0</v>
      </c>
      <c r="T3261" t="n">
        <v>0</v>
      </c>
      <c r="U3261" t="n">
        <v>0</v>
      </c>
      <c r="V3261" s="2" t="inlineStr"/>
    </row>
    <row r="3262" ht="15" customHeight="1">
      <c r="A3262" t="inlineStr">
        <is>
          <t>A 16586-2022</t>
        </is>
      </c>
      <c r="B3262" t="inlineStr">
        <is>
          <t>avverkningsanmälan</t>
        </is>
      </c>
      <c r="C3262" t="inlineStr">
        <is>
          <t>Föryngringsavverkning</t>
        </is>
      </c>
      <c r="D3262" s="1" t="n">
        <v>44672</v>
      </c>
      <c r="E3262" s="1" t="n">
        <v>46323</v>
      </c>
      <c r="F3262" t="inlineStr">
        <is>
          <t>KALMAR LÄN</t>
        </is>
      </c>
      <c r="G3262" t="inlineStr">
        <is>
          <t>VÄSTERVIK</t>
        </is>
      </c>
      <c r="H3262" t="inlineStr">
        <is>
          <t>Sveaskog</t>
        </is>
      </c>
      <c r="I3262" t="n">
        <v>1</v>
      </c>
      <c r="J3262" t="n">
        <v>0</v>
      </c>
      <c r="K3262" t="n">
        <v>0</v>
      </c>
      <c r="L3262" t="n">
        <v>0</v>
      </c>
      <c r="M3262" t="n">
        <v>0</v>
      </c>
      <c r="N3262" t="n">
        <v>0</v>
      </c>
      <c r="O3262" t="n">
        <v>0</v>
      </c>
      <c r="P3262" t="n">
        <v>0</v>
      </c>
      <c r="Q3262" t="n">
        <v>0</v>
      </c>
      <c r="R3262" t="n">
        <v>0</v>
      </c>
      <c r="S3262" t="n">
        <v>0</v>
      </c>
      <c r="T3262" t="n">
        <v>0</v>
      </c>
      <c r="U3262" t="n">
        <v>0</v>
      </c>
      <c r="V3262" s="2" t="inlineStr"/>
    </row>
    <row r="3263" ht="15" customHeight="1">
      <c r="A3263" t="inlineStr">
        <is>
          <t>A 262-2022</t>
        </is>
      </c>
      <c r="B3263" t="inlineStr">
        <is>
          <t>avverkningsanmälan</t>
        </is>
      </c>
      <c r="C3263" t="inlineStr">
        <is>
          <t>Föryngringsavverkning</t>
        </is>
      </c>
      <c r="D3263" s="1" t="n">
        <v>44565</v>
      </c>
      <c r="E3263" s="1" t="n">
        <v>46323</v>
      </c>
      <c r="F3263" t="inlineStr">
        <is>
          <t>KALMAR LÄN</t>
        </is>
      </c>
      <c r="G3263" t="inlineStr">
        <is>
          <t>HULTSFRED</t>
        </is>
      </c>
      <c r="I3263" t="n">
        <v>2.7</v>
      </c>
      <c r="J3263" t="n">
        <v>0</v>
      </c>
      <c r="K3263" t="n">
        <v>0</v>
      </c>
      <c r="L3263" t="n">
        <v>0</v>
      </c>
      <c r="M3263" t="n">
        <v>0</v>
      </c>
      <c r="N3263" t="n">
        <v>0</v>
      </c>
      <c r="O3263" t="n">
        <v>0</v>
      </c>
      <c r="P3263" t="n">
        <v>0</v>
      </c>
      <c r="Q3263" t="n">
        <v>0</v>
      </c>
      <c r="R3263" t="n">
        <v>0</v>
      </c>
      <c r="S3263" t="n">
        <v>0</v>
      </c>
      <c r="T3263" t="n">
        <v>0</v>
      </c>
      <c r="U3263" t="n">
        <v>0</v>
      </c>
      <c r="V3263" s="2" t="inlineStr"/>
    </row>
    <row r="3264" ht="15" customHeight="1">
      <c r="A3264" t="inlineStr">
        <is>
          <t>A 5073-2022</t>
        </is>
      </c>
      <c r="B3264" t="inlineStr">
        <is>
          <t>avverkningsanmälan</t>
        </is>
      </c>
      <c r="C3264" t="inlineStr">
        <is>
          <t>Föryngringsavverkning</t>
        </is>
      </c>
      <c r="D3264" s="1" t="n">
        <v>44593</v>
      </c>
      <c r="E3264" s="1" t="n">
        <v>46323</v>
      </c>
      <c r="F3264" t="inlineStr">
        <is>
          <t>KALMAR LÄN</t>
        </is>
      </c>
      <c r="G3264" t="inlineStr">
        <is>
          <t>EMMABODA</t>
        </is>
      </c>
      <c r="I3264" t="n">
        <v>0</v>
      </c>
      <c r="J3264" t="n">
        <v>0</v>
      </c>
      <c r="K3264" t="n">
        <v>0</v>
      </c>
      <c r="L3264" t="n">
        <v>0</v>
      </c>
      <c r="M3264" t="n">
        <v>0</v>
      </c>
      <c r="N3264" t="n">
        <v>0</v>
      </c>
      <c r="O3264" t="n">
        <v>0</v>
      </c>
      <c r="P3264" t="n">
        <v>0</v>
      </c>
      <c r="Q3264" t="n">
        <v>0</v>
      </c>
      <c r="R3264" t="n">
        <v>0</v>
      </c>
      <c r="S3264" t="n">
        <v>0</v>
      </c>
      <c r="T3264" t="n">
        <v>0</v>
      </c>
      <c r="U3264" t="n">
        <v>0</v>
      </c>
      <c r="V3264" s="2" t="inlineStr"/>
    </row>
    <row r="3265" ht="15" customHeight="1">
      <c r="A3265" t="inlineStr">
        <is>
          <t>A 33235-2023</t>
        </is>
      </c>
      <c r="B3265" t="inlineStr">
        <is>
          <t>avverkningsanmälan</t>
        </is>
      </c>
      <c r="C3265" t="inlineStr">
        <is>
          <t>Föryngringsavverkning</t>
        </is>
      </c>
      <c r="D3265" s="1" t="n">
        <v>45127</v>
      </c>
      <c r="E3265" s="1" t="n">
        <v>46323</v>
      </c>
      <c r="F3265" t="inlineStr">
        <is>
          <t>KALMAR LÄN</t>
        </is>
      </c>
      <c r="G3265" t="inlineStr">
        <is>
          <t>HULTSFRED</t>
        </is>
      </c>
      <c r="I3265" t="n">
        <v>2.5</v>
      </c>
      <c r="J3265" t="n">
        <v>0</v>
      </c>
      <c r="K3265" t="n">
        <v>0</v>
      </c>
      <c r="L3265" t="n">
        <v>0</v>
      </c>
      <c r="M3265" t="n">
        <v>0</v>
      </c>
      <c r="N3265" t="n">
        <v>0</v>
      </c>
      <c r="O3265" t="n">
        <v>0</v>
      </c>
      <c r="P3265" t="n">
        <v>0</v>
      </c>
      <c r="Q3265" t="n">
        <v>0</v>
      </c>
      <c r="R3265" t="n">
        <v>0</v>
      </c>
      <c r="S3265" t="n">
        <v>0</v>
      </c>
      <c r="T3265" t="n">
        <v>0</v>
      </c>
      <c r="U3265" t="n">
        <v>0</v>
      </c>
      <c r="V3265" s="2" t="inlineStr"/>
    </row>
    <row r="3266" ht="15" customHeight="1">
      <c r="A3266" t="inlineStr">
        <is>
          <t>A 28910-2023</t>
        </is>
      </c>
      <c r="B3266" t="inlineStr">
        <is>
          <t>avverkningsanmälan</t>
        </is>
      </c>
      <c r="C3266" t="inlineStr">
        <is>
          <t>Föryngringsavverkning</t>
        </is>
      </c>
      <c r="D3266" s="1" t="n">
        <v>45104</v>
      </c>
      <c r="E3266" s="1" t="n">
        <v>46323</v>
      </c>
      <c r="F3266" t="inlineStr">
        <is>
          <t>KALMAR LÄN</t>
        </is>
      </c>
      <c r="G3266" t="inlineStr">
        <is>
          <t>HULTSFRED</t>
        </is>
      </c>
      <c r="I3266" t="n">
        <v>4.4</v>
      </c>
      <c r="J3266" t="n">
        <v>0</v>
      </c>
      <c r="K3266" t="n">
        <v>0</v>
      </c>
      <c r="L3266" t="n">
        <v>0</v>
      </c>
      <c r="M3266" t="n">
        <v>0</v>
      </c>
      <c r="N3266" t="n">
        <v>0</v>
      </c>
      <c r="O3266" t="n">
        <v>0</v>
      </c>
      <c r="P3266" t="n">
        <v>0</v>
      </c>
      <c r="Q3266" t="n">
        <v>0</v>
      </c>
      <c r="R3266" t="n">
        <v>0</v>
      </c>
      <c r="S3266" t="n">
        <v>0</v>
      </c>
      <c r="T3266" t="n">
        <v>0</v>
      </c>
      <c r="U3266" t="n">
        <v>0</v>
      </c>
      <c r="V3266" s="2" t="inlineStr"/>
    </row>
    <row r="3267" ht="15" customHeight="1">
      <c r="A3267" t="inlineStr">
        <is>
          <t>A 43066-2024</t>
        </is>
      </c>
      <c r="B3267" t="inlineStr">
        <is>
          <t>avverkningsanmälan</t>
        </is>
      </c>
      <c r="C3267" t="inlineStr">
        <is>
          <t>Avverkning för att bevara och utveckla /försöksver</t>
        </is>
      </c>
      <c r="D3267" s="1" t="n">
        <v>45567</v>
      </c>
      <c r="E3267" s="1" t="n">
        <v>46323</v>
      </c>
      <c r="F3267" t="inlineStr">
        <is>
          <t>KALMAR LÄN</t>
        </is>
      </c>
      <c r="G3267" t="inlineStr">
        <is>
          <t>TORSÅS</t>
        </is>
      </c>
      <c r="I3267" t="n">
        <v>4.6</v>
      </c>
      <c r="J3267" t="n">
        <v>0</v>
      </c>
      <c r="K3267" t="n">
        <v>0</v>
      </c>
      <c r="L3267" t="n">
        <v>0</v>
      </c>
      <c r="M3267" t="n">
        <v>0</v>
      </c>
      <c r="N3267" t="n">
        <v>0</v>
      </c>
      <c r="O3267" t="n">
        <v>0</v>
      </c>
      <c r="P3267" t="n">
        <v>0</v>
      </c>
      <c r="Q3267" t="n">
        <v>0</v>
      </c>
      <c r="R3267" t="n">
        <v>0</v>
      </c>
      <c r="S3267" t="n">
        <v>0</v>
      </c>
      <c r="T3267" t="n">
        <v>0</v>
      </c>
      <c r="U3267" t="n">
        <v>0</v>
      </c>
      <c r="V3267" s="2" t="inlineStr"/>
    </row>
    <row r="3268" ht="15" customHeight="1">
      <c r="A3268" t="inlineStr">
        <is>
          <t>A 33461-2024</t>
        </is>
      </c>
      <c r="B3268" t="inlineStr">
        <is>
          <t>avverkningsanmälan</t>
        </is>
      </c>
      <c r="C3268" t="inlineStr">
        <is>
          <t>Föryngringsavverkning</t>
        </is>
      </c>
      <c r="D3268" s="1" t="n">
        <v>45519</v>
      </c>
      <c r="E3268" s="1" t="n">
        <v>46323</v>
      </c>
      <c r="F3268" t="inlineStr">
        <is>
          <t>KALMAR LÄN</t>
        </is>
      </c>
      <c r="G3268" t="inlineStr">
        <is>
          <t>OSKARSHAMN</t>
        </is>
      </c>
      <c r="I3268" t="n">
        <v>3.1</v>
      </c>
      <c r="J3268" t="n">
        <v>0</v>
      </c>
      <c r="K3268" t="n">
        <v>0</v>
      </c>
      <c r="L3268" t="n">
        <v>0</v>
      </c>
      <c r="M3268" t="n">
        <v>0</v>
      </c>
      <c r="N3268" t="n">
        <v>0</v>
      </c>
      <c r="O3268" t="n">
        <v>0</v>
      </c>
      <c r="P3268" t="n">
        <v>0</v>
      </c>
      <c r="Q3268" t="n">
        <v>0</v>
      </c>
      <c r="R3268" t="n">
        <v>0</v>
      </c>
      <c r="S3268" t="n">
        <v>0</v>
      </c>
      <c r="T3268" t="n">
        <v>0</v>
      </c>
      <c r="U3268" t="n">
        <v>0</v>
      </c>
      <c r="V3268" s="2" t="inlineStr"/>
    </row>
    <row r="3269" ht="15" customHeight="1">
      <c r="A3269" t="inlineStr">
        <is>
          <t>A 2713-2022</t>
        </is>
      </c>
      <c r="B3269" t="inlineStr">
        <is>
          <t>avverkningsanmälan</t>
        </is>
      </c>
      <c r="C3269" t="inlineStr">
        <is>
          <t>Föryngringsavverkning</t>
        </is>
      </c>
      <c r="D3269" s="1" t="n">
        <v>44580</v>
      </c>
      <c r="E3269" s="1" t="n">
        <v>46323</v>
      </c>
      <c r="F3269" t="inlineStr">
        <is>
          <t>KALMAR LÄN</t>
        </is>
      </c>
      <c r="G3269" t="inlineStr">
        <is>
          <t>EMMABODA</t>
        </is>
      </c>
      <c r="I3269" t="n">
        <v>1</v>
      </c>
      <c r="J3269" t="n">
        <v>0</v>
      </c>
      <c r="K3269" t="n">
        <v>0</v>
      </c>
      <c r="L3269" t="n">
        <v>0</v>
      </c>
      <c r="M3269" t="n">
        <v>0</v>
      </c>
      <c r="N3269" t="n">
        <v>0</v>
      </c>
      <c r="O3269" t="n">
        <v>0</v>
      </c>
      <c r="P3269" t="n">
        <v>0</v>
      </c>
      <c r="Q3269" t="n">
        <v>0</v>
      </c>
      <c r="R3269" t="n">
        <v>0</v>
      </c>
      <c r="S3269" t="n">
        <v>0</v>
      </c>
      <c r="T3269" t="n">
        <v>0</v>
      </c>
      <c r="U3269" t="n">
        <v>0</v>
      </c>
      <c r="V3269" s="2" t="inlineStr"/>
    </row>
    <row r="3270" ht="15" customHeight="1">
      <c r="A3270" t="inlineStr">
        <is>
          <t>A 47842-2024</t>
        </is>
      </c>
      <c r="B3270" t="inlineStr">
        <is>
          <t>avverkningsanmälan</t>
        </is>
      </c>
      <c r="C3270" t="inlineStr">
        <is>
          <t>Föryngringsavverkning</t>
        </is>
      </c>
      <c r="D3270" s="1" t="n">
        <v>45588</v>
      </c>
      <c r="E3270" s="1" t="n">
        <v>46323</v>
      </c>
      <c r="F3270" t="inlineStr">
        <is>
          <t>KALMAR LÄN</t>
        </is>
      </c>
      <c r="G3270" t="inlineStr">
        <is>
          <t>VIMMERBY</t>
        </is>
      </c>
      <c r="I3270" t="n">
        <v>2.4</v>
      </c>
      <c r="J3270" t="n">
        <v>0</v>
      </c>
      <c r="K3270" t="n">
        <v>0</v>
      </c>
      <c r="L3270" t="n">
        <v>0</v>
      </c>
      <c r="M3270" t="n">
        <v>0</v>
      </c>
      <c r="N3270" t="n">
        <v>0</v>
      </c>
      <c r="O3270" t="n">
        <v>0</v>
      </c>
      <c r="P3270" t="n">
        <v>0</v>
      </c>
      <c r="Q3270" t="n">
        <v>0</v>
      </c>
      <c r="R3270" t="n">
        <v>0</v>
      </c>
      <c r="S3270" t="n">
        <v>0</v>
      </c>
      <c r="T3270" t="n">
        <v>0</v>
      </c>
      <c r="U3270" t="n">
        <v>0</v>
      </c>
      <c r="V3270" s="2" t="inlineStr"/>
    </row>
    <row r="3271" ht="15" customHeight="1">
      <c r="A3271" t="inlineStr">
        <is>
          <t>A 41441-2025</t>
        </is>
      </c>
      <c r="B3271" t="inlineStr">
        <is>
          <t>avverkningsanmälan</t>
        </is>
      </c>
      <c r="C3271" t="inlineStr">
        <is>
          <t>Föryngringsavverkning</t>
        </is>
      </c>
      <c r="D3271" s="1" t="n">
        <v>45901</v>
      </c>
      <c r="E3271" s="1" t="n">
        <v>46323</v>
      </c>
      <c r="F3271" t="inlineStr">
        <is>
          <t>KALMAR LÄN</t>
        </is>
      </c>
      <c r="G3271" t="inlineStr">
        <is>
          <t>EMMABODA</t>
        </is>
      </c>
      <c r="I3271" t="n">
        <v>7.2</v>
      </c>
      <c r="J3271" t="n">
        <v>0</v>
      </c>
      <c r="K3271" t="n">
        <v>0</v>
      </c>
      <c r="L3271" t="n">
        <v>0</v>
      </c>
      <c r="M3271" t="n">
        <v>0</v>
      </c>
      <c r="N3271" t="n">
        <v>0</v>
      </c>
      <c r="O3271" t="n">
        <v>0</v>
      </c>
      <c r="P3271" t="n">
        <v>0</v>
      </c>
      <c r="Q3271" t="n">
        <v>0</v>
      </c>
      <c r="R3271" t="n">
        <v>0</v>
      </c>
      <c r="S3271" t="n">
        <v>0</v>
      </c>
      <c r="T3271" t="n">
        <v>0</v>
      </c>
      <c r="U3271" t="n">
        <v>0</v>
      </c>
      <c r="V3271" s="2" t="inlineStr"/>
    </row>
    <row r="3272" ht="15" customHeight="1">
      <c r="A3272" t="inlineStr">
        <is>
          <t>A 30634-2024</t>
        </is>
      </c>
      <c r="B3272" t="inlineStr">
        <is>
          <t>avverkningsanmälan</t>
        </is>
      </c>
      <c r="C3272" t="inlineStr">
        <is>
          <t>Föryngringsavverkning</t>
        </is>
      </c>
      <c r="D3272" s="1" t="n">
        <v>45495</v>
      </c>
      <c r="E3272" s="1" t="n">
        <v>46323</v>
      </c>
      <c r="F3272" t="inlineStr">
        <is>
          <t>KALMAR LÄN</t>
        </is>
      </c>
      <c r="G3272" t="inlineStr">
        <is>
          <t>VIMMERBY</t>
        </is>
      </c>
      <c r="I3272" t="n">
        <v>1.2</v>
      </c>
      <c r="J3272" t="n">
        <v>0</v>
      </c>
      <c r="K3272" t="n">
        <v>0</v>
      </c>
      <c r="L3272" t="n">
        <v>0</v>
      </c>
      <c r="M3272" t="n">
        <v>0</v>
      </c>
      <c r="N3272" t="n">
        <v>0</v>
      </c>
      <c r="O3272" t="n">
        <v>0</v>
      </c>
      <c r="P3272" t="n">
        <v>0</v>
      </c>
      <c r="Q3272" t="n">
        <v>0</v>
      </c>
      <c r="R3272" t="n">
        <v>0</v>
      </c>
      <c r="S3272" t="n">
        <v>0</v>
      </c>
      <c r="T3272" t="n">
        <v>0</v>
      </c>
      <c r="U3272" t="n">
        <v>0</v>
      </c>
      <c r="V3272" s="2" t="inlineStr"/>
    </row>
    <row r="3273" ht="15" customHeight="1">
      <c r="A3273" t="inlineStr">
        <is>
          <t>A 6355-2022</t>
        </is>
      </c>
      <c r="B3273" t="inlineStr">
        <is>
          <t>avverkningsanmälan</t>
        </is>
      </c>
      <c r="C3273" t="inlineStr">
        <is>
          <t>Föryngringsavverkning</t>
        </is>
      </c>
      <c r="D3273" s="1" t="n">
        <v>44600</v>
      </c>
      <c r="E3273" s="1" t="n">
        <v>46323</v>
      </c>
      <c r="F3273" t="inlineStr">
        <is>
          <t>KALMAR LÄN</t>
        </is>
      </c>
      <c r="G3273" t="inlineStr">
        <is>
          <t>VIMMERBY</t>
        </is>
      </c>
      <c r="I3273" t="n">
        <v>4.9</v>
      </c>
      <c r="J3273" t="n">
        <v>0</v>
      </c>
      <c r="K3273" t="n">
        <v>0</v>
      </c>
      <c r="L3273" t="n">
        <v>0</v>
      </c>
      <c r="M3273" t="n">
        <v>0</v>
      </c>
      <c r="N3273" t="n">
        <v>0</v>
      </c>
      <c r="O3273" t="n">
        <v>0</v>
      </c>
      <c r="P3273" t="n">
        <v>0</v>
      </c>
      <c r="Q3273" t="n">
        <v>0</v>
      </c>
      <c r="R3273" t="n">
        <v>0</v>
      </c>
      <c r="S3273" t="n">
        <v>0</v>
      </c>
      <c r="T3273" t="n">
        <v>0</v>
      </c>
      <c r="U3273" t="n">
        <v>0</v>
      </c>
      <c r="V3273" s="2" t="inlineStr"/>
    </row>
    <row r="3274" ht="15" customHeight="1">
      <c r="A3274" t="inlineStr">
        <is>
          <t>A 58917-2024</t>
        </is>
      </c>
      <c r="B3274" t="inlineStr">
        <is>
          <t>avverkningsanmälan</t>
        </is>
      </c>
      <c r="C3274" t="inlineStr">
        <is>
          <t>Föryngringsavverkning</t>
        </is>
      </c>
      <c r="D3274" s="1" t="n">
        <v>45636</v>
      </c>
      <c r="E3274" s="1" t="n">
        <v>46323</v>
      </c>
      <c r="F3274" t="inlineStr">
        <is>
          <t>KALMAR LÄN</t>
        </is>
      </c>
      <c r="G3274" t="inlineStr">
        <is>
          <t>TORSÅS</t>
        </is>
      </c>
      <c r="I3274" t="n">
        <v>4.4</v>
      </c>
      <c r="J3274" t="n">
        <v>0</v>
      </c>
      <c r="K3274" t="n">
        <v>0</v>
      </c>
      <c r="L3274" t="n">
        <v>0</v>
      </c>
      <c r="M3274" t="n">
        <v>0</v>
      </c>
      <c r="N3274" t="n">
        <v>0</v>
      </c>
      <c r="O3274" t="n">
        <v>0</v>
      </c>
      <c r="P3274" t="n">
        <v>0</v>
      </c>
      <c r="Q3274" t="n">
        <v>0</v>
      </c>
      <c r="R3274" t="n">
        <v>0</v>
      </c>
      <c r="S3274" t="n">
        <v>0</v>
      </c>
      <c r="T3274" t="n">
        <v>0</v>
      </c>
      <c r="U3274" t="n">
        <v>0</v>
      </c>
      <c r="V3274" s="2" t="inlineStr"/>
    </row>
    <row r="3275" ht="15" customHeight="1">
      <c r="A3275" t="inlineStr">
        <is>
          <t>A 19244-2022</t>
        </is>
      </c>
      <c r="B3275" t="inlineStr">
        <is>
          <t>avverkningsanmälan</t>
        </is>
      </c>
      <c r="C3275" t="inlineStr">
        <is>
          <t>Avverkning för annat ändamål</t>
        </is>
      </c>
      <c r="D3275" s="1" t="n">
        <v>44692</v>
      </c>
      <c r="E3275" s="1" t="n">
        <v>46323</v>
      </c>
      <c r="F3275" t="inlineStr">
        <is>
          <t>KALMAR LÄN</t>
        </is>
      </c>
      <c r="G3275" t="inlineStr">
        <is>
          <t>NYBRO</t>
        </is>
      </c>
      <c r="I3275" t="n">
        <v>2.2</v>
      </c>
      <c r="J3275" t="n">
        <v>0</v>
      </c>
      <c r="K3275" t="n">
        <v>0</v>
      </c>
      <c r="L3275" t="n">
        <v>0</v>
      </c>
      <c r="M3275" t="n">
        <v>0</v>
      </c>
      <c r="N3275" t="n">
        <v>0</v>
      </c>
      <c r="O3275" t="n">
        <v>0</v>
      </c>
      <c r="P3275" t="n">
        <v>0</v>
      </c>
      <c r="Q3275" t="n">
        <v>0</v>
      </c>
      <c r="R3275" t="n">
        <v>0</v>
      </c>
      <c r="S3275" t="n">
        <v>0</v>
      </c>
      <c r="T3275" t="n">
        <v>0</v>
      </c>
      <c r="U3275" t="n">
        <v>0</v>
      </c>
      <c r="V3275" s="2" t="inlineStr"/>
    </row>
    <row r="3276" ht="15" customHeight="1">
      <c r="A3276" t="inlineStr">
        <is>
          <t>A 6857-2023</t>
        </is>
      </c>
      <c r="B3276" t="inlineStr">
        <is>
          <t>avverkningsanmälan</t>
        </is>
      </c>
      <c r="C3276" t="inlineStr">
        <is>
          <t>Föryngringsavverkning</t>
        </is>
      </c>
      <c r="D3276" s="1" t="n">
        <v>44967</v>
      </c>
      <c r="E3276" s="1" t="n">
        <v>46323</v>
      </c>
      <c r="F3276" t="inlineStr">
        <is>
          <t>KALMAR LÄN</t>
        </is>
      </c>
      <c r="G3276" t="inlineStr">
        <is>
          <t>VIMMERBY</t>
        </is>
      </c>
      <c r="I3276" t="n">
        <v>2.1</v>
      </c>
      <c r="J3276" t="n">
        <v>0</v>
      </c>
      <c r="K3276" t="n">
        <v>0</v>
      </c>
      <c r="L3276" t="n">
        <v>0</v>
      </c>
      <c r="M3276" t="n">
        <v>0</v>
      </c>
      <c r="N3276" t="n">
        <v>0</v>
      </c>
      <c r="O3276" t="n">
        <v>0</v>
      </c>
      <c r="P3276" t="n">
        <v>0</v>
      </c>
      <c r="Q3276" t="n">
        <v>0</v>
      </c>
      <c r="R3276" t="n">
        <v>0</v>
      </c>
      <c r="S3276" t="n">
        <v>0</v>
      </c>
      <c r="T3276" t="n">
        <v>0</v>
      </c>
      <c r="U3276" t="n">
        <v>0</v>
      </c>
      <c r="V3276" s="2" t="inlineStr"/>
    </row>
    <row r="3277" ht="15" customHeight="1">
      <c r="A3277" t="inlineStr">
        <is>
          <t>A 30869-2023</t>
        </is>
      </c>
      <c r="B3277" t="inlineStr">
        <is>
          <t>avverkningsanmälan</t>
        </is>
      </c>
      <c r="C3277" t="inlineStr">
        <is>
          <t>Föryngringsavverkning</t>
        </is>
      </c>
      <c r="D3277" s="1" t="n">
        <v>45113</v>
      </c>
      <c r="E3277" s="1" t="n">
        <v>46323</v>
      </c>
      <c r="F3277" t="inlineStr">
        <is>
          <t>KALMAR LÄN</t>
        </is>
      </c>
      <c r="G3277" t="inlineStr">
        <is>
          <t>TORSÅS</t>
        </is>
      </c>
      <c r="I3277" t="n">
        <v>0.5</v>
      </c>
      <c r="J3277" t="n">
        <v>0</v>
      </c>
      <c r="K3277" t="n">
        <v>0</v>
      </c>
      <c r="L3277" t="n">
        <v>0</v>
      </c>
      <c r="M3277" t="n">
        <v>0</v>
      </c>
      <c r="N3277" t="n">
        <v>0</v>
      </c>
      <c r="O3277" t="n">
        <v>0</v>
      </c>
      <c r="P3277" t="n">
        <v>0</v>
      </c>
      <c r="Q3277" t="n">
        <v>0</v>
      </c>
      <c r="R3277" t="n">
        <v>0</v>
      </c>
      <c r="S3277" t="n">
        <v>0</v>
      </c>
      <c r="T3277" t="n">
        <v>0</v>
      </c>
      <c r="U3277" t="n">
        <v>0</v>
      </c>
      <c r="V3277" s="2" t="inlineStr"/>
    </row>
    <row r="3278" ht="15" customHeight="1">
      <c r="A3278" t="inlineStr">
        <is>
          <t>A 27629-2023</t>
        </is>
      </c>
      <c r="B3278" t="inlineStr">
        <is>
          <t>avverkningsanmälan</t>
        </is>
      </c>
      <c r="C3278" t="inlineStr">
        <is>
          <t>Föryngringsavverkning</t>
        </is>
      </c>
      <c r="D3278" s="1" t="n">
        <v>45097</v>
      </c>
      <c r="E3278" s="1" t="n">
        <v>46323</v>
      </c>
      <c r="F3278" t="inlineStr">
        <is>
          <t>KALMAR LÄN</t>
        </is>
      </c>
      <c r="G3278" t="inlineStr">
        <is>
          <t>MÖNSTERÅS</t>
        </is>
      </c>
      <c r="I3278" t="n">
        <v>1.3</v>
      </c>
      <c r="J3278" t="n">
        <v>0</v>
      </c>
      <c r="K3278" t="n">
        <v>0</v>
      </c>
      <c r="L3278" t="n">
        <v>0</v>
      </c>
      <c r="M3278" t="n">
        <v>0</v>
      </c>
      <c r="N3278" t="n">
        <v>0</v>
      </c>
      <c r="O3278" t="n">
        <v>0</v>
      </c>
      <c r="P3278" t="n">
        <v>0</v>
      </c>
      <c r="Q3278" t="n">
        <v>0</v>
      </c>
      <c r="R3278" t="n">
        <v>0</v>
      </c>
      <c r="S3278" t="n">
        <v>0</v>
      </c>
      <c r="T3278" t="n">
        <v>0</v>
      </c>
      <c r="U3278" t="n">
        <v>0</v>
      </c>
      <c r="V3278" s="2" t="inlineStr"/>
    </row>
    <row r="3279" ht="15" customHeight="1">
      <c r="A3279" t="inlineStr">
        <is>
          <t>A 13308-2024</t>
        </is>
      </c>
      <c r="B3279" t="inlineStr">
        <is>
          <t>avverkningsanmälan</t>
        </is>
      </c>
      <c r="C3279" t="inlineStr">
        <is>
          <t>Föryngringsavverkning</t>
        </is>
      </c>
      <c r="D3279" s="1" t="n">
        <v>45386</v>
      </c>
      <c r="E3279" s="1" t="n">
        <v>46323</v>
      </c>
      <c r="F3279" t="inlineStr">
        <is>
          <t>KALMAR LÄN</t>
        </is>
      </c>
      <c r="G3279" t="inlineStr">
        <is>
          <t>HÖGSBY</t>
        </is>
      </c>
      <c r="I3279" t="n">
        <v>1.4</v>
      </c>
      <c r="J3279" t="n">
        <v>0</v>
      </c>
      <c r="K3279" t="n">
        <v>0</v>
      </c>
      <c r="L3279" t="n">
        <v>0</v>
      </c>
      <c r="M3279" t="n">
        <v>0</v>
      </c>
      <c r="N3279" t="n">
        <v>0</v>
      </c>
      <c r="O3279" t="n">
        <v>0</v>
      </c>
      <c r="P3279" t="n">
        <v>0</v>
      </c>
      <c r="Q3279" t="n">
        <v>0</v>
      </c>
      <c r="R3279" t="n">
        <v>0</v>
      </c>
      <c r="S3279" t="n">
        <v>0</v>
      </c>
      <c r="T3279" t="n">
        <v>0</v>
      </c>
      <c r="U3279" t="n">
        <v>0</v>
      </c>
      <c r="V3279" s="2" t="inlineStr"/>
    </row>
    <row r="3280" ht="15" customHeight="1">
      <c r="A3280" t="inlineStr">
        <is>
          <t>A 26494-2023</t>
        </is>
      </c>
      <c r="B3280" t="inlineStr">
        <is>
          <t>avverkningsanmälan</t>
        </is>
      </c>
      <c r="C3280" t="inlineStr">
        <is>
          <t>Föryngringsavverkning</t>
        </is>
      </c>
      <c r="D3280" s="1" t="n">
        <v>45092</v>
      </c>
      <c r="E3280" s="1" t="n">
        <v>46323</v>
      </c>
      <c r="F3280" t="inlineStr">
        <is>
          <t>KALMAR LÄN</t>
        </is>
      </c>
      <c r="G3280" t="inlineStr">
        <is>
          <t>MÖNSTERÅS</t>
        </is>
      </c>
      <c r="I3280" t="n">
        <v>0.9</v>
      </c>
      <c r="J3280" t="n">
        <v>0</v>
      </c>
      <c r="K3280" t="n">
        <v>0</v>
      </c>
      <c r="L3280" t="n">
        <v>0</v>
      </c>
      <c r="M3280" t="n">
        <v>0</v>
      </c>
      <c r="N3280" t="n">
        <v>0</v>
      </c>
      <c r="O3280" t="n">
        <v>0</v>
      </c>
      <c r="P3280" t="n">
        <v>0</v>
      </c>
      <c r="Q3280" t="n">
        <v>0</v>
      </c>
      <c r="R3280" t="n">
        <v>0</v>
      </c>
      <c r="S3280" t="n">
        <v>0</v>
      </c>
      <c r="T3280" t="n">
        <v>0</v>
      </c>
      <c r="U3280" t="n">
        <v>0</v>
      </c>
      <c r="V3280" s="2" t="inlineStr"/>
    </row>
    <row r="3281" ht="15" customHeight="1">
      <c r="A3281" t="inlineStr">
        <is>
          <t>A 53046-2025</t>
        </is>
      </c>
      <c r="B3281" t="inlineStr">
        <is>
          <t>avverkningsanmälan</t>
        </is>
      </c>
      <c r="C3281" t="inlineStr">
        <is>
          <t>Föryngringsavverkning</t>
        </is>
      </c>
      <c r="D3281" s="1" t="n">
        <v>45958</v>
      </c>
      <c r="E3281" s="1" t="n">
        <v>46323</v>
      </c>
      <c r="F3281" t="inlineStr">
        <is>
          <t>KALMAR LÄN</t>
        </is>
      </c>
      <c r="G3281" t="inlineStr">
        <is>
          <t>NYBRO</t>
        </is>
      </c>
      <c r="I3281" t="n">
        <v>1</v>
      </c>
      <c r="J3281" t="n">
        <v>0</v>
      </c>
      <c r="K3281" t="n">
        <v>0</v>
      </c>
      <c r="L3281" t="n">
        <v>0</v>
      </c>
      <c r="M3281" t="n">
        <v>0</v>
      </c>
      <c r="N3281" t="n">
        <v>0</v>
      </c>
      <c r="O3281" t="n">
        <v>0</v>
      </c>
      <c r="P3281" t="n">
        <v>0</v>
      </c>
      <c r="Q3281" t="n">
        <v>0</v>
      </c>
      <c r="R3281" t="n">
        <v>0</v>
      </c>
      <c r="S3281" t="n">
        <v>0</v>
      </c>
      <c r="T3281" t="n">
        <v>0</v>
      </c>
      <c r="U3281" t="n">
        <v>0</v>
      </c>
      <c r="V3281" s="2" t="inlineStr"/>
    </row>
    <row r="3282" ht="15" customHeight="1">
      <c r="A3282" t="inlineStr">
        <is>
          <t>A 19023-2025</t>
        </is>
      </c>
      <c r="B3282" t="inlineStr">
        <is>
          <t>avverkningsanmälan</t>
        </is>
      </c>
      <c r="C3282" t="inlineStr">
        <is>
          <t>Föryngringsavverkning</t>
        </is>
      </c>
      <c r="D3282" s="1" t="n">
        <v>45764</v>
      </c>
      <c r="E3282" s="1" t="n">
        <v>46323</v>
      </c>
      <c r="F3282" t="inlineStr">
        <is>
          <t>KALMAR LÄN</t>
        </is>
      </c>
      <c r="G3282" t="inlineStr">
        <is>
          <t>MÖNSTERÅS</t>
        </is>
      </c>
      <c r="I3282" t="n">
        <v>0.6</v>
      </c>
      <c r="J3282" t="n">
        <v>0</v>
      </c>
      <c r="K3282" t="n">
        <v>0</v>
      </c>
      <c r="L3282" t="n">
        <v>0</v>
      </c>
      <c r="M3282" t="n">
        <v>0</v>
      </c>
      <c r="N3282" t="n">
        <v>0</v>
      </c>
      <c r="O3282" t="n">
        <v>0</v>
      </c>
      <c r="P3282" t="n">
        <v>0</v>
      </c>
      <c r="Q3282" t="n">
        <v>0</v>
      </c>
      <c r="R3282" t="n">
        <v>0</v>
      </c>
      <c r="S3282" t="n">
        <v>0</v>
      </c>
      <c r="T3282" t="n">
        <v>0</v>
      </c>
      <c r="U3282" t="n">
        <v>0</v>
      </c>
      <c r="V3282" s="2" t="inlineStr"/>
    </row>
    <row r="3283" ht="15" customHeight="1">
      <c r="A3283" t="inlineStr">
        <is>
          <t>A 53066-2025</t>
        </is>
      </c>
      <c r="B3283" t="inlineStr">
        <is>
          <t>avverkningsanmälan</t>
        </is>
      </c>
      <c r="C3283" t="inlineStr">
        <is>
          <t>Föryngringsavverkning</t>
        </is>
      </c>
      <c r="D3283" s="1" t="n">
        <v>45958</v>
      </c>
      <c r="E3283" s="1" t="n">
        <v>46323</v>
      </c>
      <c r="F3283" t="inlineStr">
        <is>
          <t>KALMAR LÄN</t>
        </is>
      </c>
      <c r="G3283" t="inlineStr">
        <is>
          <t>NYBRO</t>
        </is>
      </c>
      <c r="I3283" t="n">
        <v>2</v>
      </c>
      <c r="J3283" t="n">
        <v>0</v>
      </c>
      <c r="K3283" t="n">
        <v>0</v>
      </c>
      <c r="L3283" t="n">
        <v>0</v>
      </c>
      <c r="M3283" t="n">
        <v>0</v>
      </c>
      <c r="N3283" t="n">
        <v>0</v>
      </c>
      <c r="O3283" t="n">
        <v>0</v>
      </c>
      <c r="P3283" t="n">
        <v>0</v>
      </c>
      <c r="Q3283" t="n">
        <v>0</v>
      </c>
      <c r="R3283" t="n">
        <v>0</v>
      </c>
      <c r="S3283" t="n">
        <v>0</v>
      </c>
      <c r="T3283" t="n">
        <v>0</v>
      </c>
      <c r="U3283" t="n">
        <v>0</v>
      </c>
      <c r="V3283" s="2" t="inlineStr"/>
    </row>
    <row r="3284" ht="15" customHeight="1">
      <c r="A3284" t="inlineStr">
        <is>
          <t>A 19151-2025</t>
        </is>
      </c>
      <c r="B3284" t="inlineStr">
        <is>
          <t>avverkningsanmälan</t>
        </is>
      </c>
      <c r="C3284" t="inlineStr">
        <is>
          <t>Föryngringsavverkning</t>
        </is>
      </c>
      <c r="D3284" s="1" t="n">
        <v>45769</v>
      </c>
      <c r="E3284" s="1" t="n">
        <v>46323</v>
      </c>
      <c r="F3284" t="inlineStr">
        <is>
          <t>KALMAR LÄN</t>
        </is>
      </c>
      <c r="G3284" t="inlineStr">
        <is>
          <t>EMMABODA</t>
        </is>
      </c>
      <c r="I3284" t="n">
        <v>0.4</v>
      </c>
      <c r="J3284" t="n">
        <v>0</v>
      </c>
      <c r="K3284" t="n">
        <v>0</v>
      </c>
      <c r="L3284" t="n">
        <v>0</v>
      </c>
      <c r="M3284" t="n">
        <v>0</v>
      </c>
      <c r="N3284" t="n">
        <v>0</v>
      </c>
      <c r="O3284" t="n">
        <v>0</v>
      </c>
      <c r="P3284" t="n">
        <v>0</v>
      </c>
      <c r="Q3284" t="n">
        <v>0</v>
      </c>
      <c r="R3284" t="n">
        <v>0</v>
      </c>
      <c r="S3284" t="n">
        <v>0</v>
      </c>
      <c r="T3284" t="n">
        <v>0</v>
      </c>
      <c r="U3284" t="n">
        <v>0</v>
      </c>
      <c r="V3284" s="2" t="inlineStr"/>
    </row>
    <row r="3285" ht="15" customHeight="1">
      <c r="A3285" t="inlineStr">
        <is>
          <t>A 52533-2025</t>
        </is>
      </c>
      <c r="B3285" t="inlineStr">
        <is>
          <t>avverkningsanmälan</t>
        </is>
      </c>
      <c r="C3285" t="inlineStr">
        <is>
          <t>Föryngringsavverkning</t>
        </is>
      </c>
      <c r="D3285" s="1" t="n">
        <v>45954</v>
      </c>
      <c r="E3285" s="1" t="n">
        <v>46323</v>
      </c>
      <c r="F3285" t="inlineStr">
        <is>
          <t>KALMAR LÄN</t>
        </is>
      </c>
      <c r="G3285" t="inlineStr">
        <is>
          <t>HÖGSBY</t>
        </is>
      </c>
      <c r="I3285" t="n">
        <v>1.3</v>
      </c>
      <c r="J3285" t="n">
        <v>0</v>
      </c>
      <c r="K3285" t="n">
        <v>0</v>
      </c>
      <c r="L3285" t="n">
        <v>0</v>
      </c>
      <c r="M3285" t="n">
        <v>0</v>
      </c>
      <c r="N3285" t="n">
        <v>0</v>
      </c>
      <c r="O3285" t="n">
        <v>0</v>
      </c>
      <c r="P3285" t="n">
        <v>0</v>
      </c>
      <c r="Q3285" t="n">
        <v>0</v>
      </c>
      <c r="R3285" t="n">
        <v>0</v>
      </c>
      <c r="S3285" t="n">
        <v>0</v>
      </c>
      <c r="T3285" t="n">
        <v>0</v>
      </c>
      <c r="U3285" t="n">
        <v>0</v>
      </c>
      <c r="V3285" s="2" t="inlineStr"/>
    </row>
    <row r="3286" ht="15" customHeight="1">
      <c r="A3286" t="inlineStr">
        <is>
          <t>A 27143-2023</t>
        </is>
      </c>
      <c r="B3286" t="inlineStr">
        <is>
          <t>avverkningsanmälan</t>
        </is>
      </c>
      <c r="C3286" t="inlineStr">
        <is>
          <t>Föryngringsavverkning</t>
        </is>
      </c>
      <c r="D3286" s="1" t="n">
        <v>45096</v>
      </c>
      <c r="E3286" s="1" t="n">
        <v>46323</v>
      </c>
      <c r="F3286" t="inlineStr">
        <is>
          <t>KALMAR LÄN</t>
        </is>
      </c>
      <c r="G3286" t="inlineStr">
        <is>
          <t>OSKARSHAMN</t>
        </is>
      </c>
      <c r="I3286" t="n">
        <v>0.5</v>
      </c>
      <c r="J3286" t="n">
        <v>0</v>
      </c>
      <c r="K3286" t="n">
        <v>0</v>
      </c>
      <c r="L3286" t="n">
        <v>0</v>
      </c>
      <c r="M3286" t="n">
        <v>0</v>
      </c>
      <c r="N3286" t="n">
        <v>0</v>
      </c>
      <c r="O3286" t="n">
        <v>0</v>
      </c>
      <c r="P3286" t="n">
        <v>0</v>
      </c>
      <c r="Q3286" t="n">
        <v>0</v>
      </c>
      <c r="R3286" t="n">
        <v>0</v>
      </c>
      <c r="S3286" t="n">
        <v>0</v>
      </c>
      <c r="T3286" t="n">
        <v>0</v>
      </c>
      <c r="U3286" t="n">
        <v>0</v>
      </c>
      <c r="V3286" s="2" t="inlineStr"/>
    </row>
    <row r="3287" ht="15" customHeight="1">
      <c r="A3287" t="inlineStr">
        <is>
          <t>A 53257-2025</t>
        </is>
      </c>
      <c r="B3287" t="inlineStr">
        <is>
          <t>avverkningsanmälan</t>
        </is>
      </c>
      <c r="C3287" t="inlineStr">
        <is>
          <t>Föryngringsavverkning</t>
        </is>
      </c>
      <c r="D3287" s="1" t="n">
        <v>45958</v>
      </c>
      <c r="E3287" s="1" t="n">
        <v>46323</v>
      </c>
      <c r="F3287" t="inlineStr">
        <is>
          <t>KALMAR LÄN</t>
        </is>
      </c>
      <c r="G3287" t="inlineStr">
        <is>
          <t>HULTSFRED</t>
        </is>
      </c>
      <c r="I3287" t="n">
        <v>1.1</v>
      </c>
      <c r="J3287" t="n">
        <v>0</v>
      </c>
      <c r="K3287" t="n">
        <v>0</v>
      </c>
      <c r="L3287" t="n">
        <v>0</v>
      </c>
      <c r="M3287" t="n">
        <v>0</v>
      </c>
      <c r="N3287" t="n">
        <v>0</v>
      </c>
      <c r="O3287" t="n">
        <v>0</v>
      </c>
      <c r="P3287" t="n">
        <v>0</v>
      </c>
      <c r="Q3287" t="n">
        <v>0</v>
      </c>
      <c r="R3287" t="n">
        <v>0</v>
      </c>
      <c r="S3287" t="n">
        <v>0</v>
      </c>
      <c r="T3287" t="n">
        <v>0</v>
      </c>
      <c r="U3287" t="n">
        <v>0</v>
      </c>
      <c r="V3287" s="2" t="inlineStr"/>
    </row>
    <row r="3288" ht="15" customHeight="1">
      <c r="A3288" t="inlineStr">
        <is>
          <t>A 53068-2025</t>
        </is>
      </c>
      <c r="B3288" t="inlineStr">
        <is>
          <t>avverkningsanmälan</t>
        </is>
      </c>
      <c r="C3288" t="inlineStr">
        <is>
          <t>Föryngringsavverkning</t>
        </is>
      </c>
      <c r="D3288" s="1" t="n">
        <v>45958</v>
      </c>
      <c r="E3288" s="1" t="n">
        <v>46323</v>
      </c>
      <c r="F3288" t="inlineStr">
        <is>
          <t>KALMAR LÄN</t>
        </is>
      </c>
      <c r="G3288" t="inlineStr">
        <is>
          <t>NYBRO</t>
        </is>
      </c>
      <c r="I3288" t="n">
        <v>3</v>
      </c>
      <c r="J3288" t="n">
        <v>0</v>
      </c>
      <c r="K3288" t="n">
        <v>0</v>
      </c>
      <c r="L3288" t="n">
        <v>0</v>
      </c>
      <c r="M3288" t="n">
        <v>0</v>
      </c>
      <c r="N3288" t="n">
        <v>0</v>
      </c>
      <c r="O3288" t="n">
        <v>0</v>
      </c>
      <c r="P3288" t="n">
        <v>0</v>
      </c>
      <c r="Q3288" t="n">
        <v>0</v>
      </c>
      <c r="R3288" t="n">
        <v>0</v>
      </c>
      <c r="S3288" t="n">
        <v>0</v>
      </c>
      <c r="T3288" t="n">
        <v>0</v>
      </c>
      <c r="U3288" t="n">
        <v>0</v>
      </c>
      <c r="V3288" s="2" t="inlineStr"/>
    </row>
    <row r="3289" ht="15" customHeight="1">
      <c r="A3289" t="inlineStr">
        <is>
          <t>A 53071-2025</t>
        </is>
      </c>
      <c r="B3289" t="inlineStr">
        <is>
          <t>avverkningsanmälan</t>
        </is>
      </c>
      <c r="C3289" t="inlineStr">
        <is>
          <t>Föryngringsavverkning</t>
        </is>
      </c>
      <c r="D3289" s="1" t="n">
        <v>45958</v>
      </c>
      <c r="E3289" s="1" t="n">
        <v>46323</v>
      </c>
      <c r="F3289" t="inlineStr">
        <is>
          <t>KALMAR LÄN</t>
        </is>
      </c>
      <c r="G3289" t="inlineStr">
        <is>
          <t>NYBRO</t>
        </is>
      </c>
      <c r="I3289" t="n">
        <v>3.7</v>
      </c>
      <c r="J3289" t="n">
        <v>0</v>
      </c>
      <c r="K3289" t="n">
        <v>0</v>
      </c>
      <c r="L3289" t="n">
        <v>0</v>
      </c>
      <c r="M3289" t="n">
        <v>0</v>
      </c>
      <c r="N3289" t="n">
        <v>0</v>
      </c>
      <c r="O3289" t="n">
        <v>0</v>
      </c>
      <c r="P3289" t="n">
        <v>0</v>
      </c>
      <c r="Q3289" t="n">
        <v>0</v>
      </c>
      <c r="R3289" t="n">
        <v>0</v>
      </c>
      <c r="S3289" t="n">
        <v>0</v>
      </c>
      <c r="T3289" t="n">
        <v>0</v>
      </c>
      <c r="U3289" t="n">
        <v>0</v>
      </c>
      <c r="V3289" s="2" t="inlineStr"/>
    </row>
    <row r="3290" ht="15" customHeight="1">
      <c r="A3290" t="inlineStr">
        <is>
          <t>A 6043-2025</t>
        </is>
      </c>
      <c r="B3290" t="inlineStr">
        <is>
          <t>avverkningsanmälan</t>
        </is>
      </c>
      <c r="C3290" t="inlineStr">
        <is>
          <t>Föryngringsavverkning</t>
        </is>
      </c>
      <c r="D3290" s="1" t="n">
        <v>45695</v>
      </c>
      <c r="E3290" s="1" t="n">
        <v>46323</v>
      </c>
      <c r="F3290" t="inlineStr">
        <is>
          <t>KALMAR LÄN</t>
        </is>
      </c>
      <c r="G3290" t="inlineStr">
        <is>
          <t>KALMAR</t>
        </is>
      </c>
      <c r="I3290" t="n">
        <v>0.7</v>
      </c>
      <c r="J3290" t="n">
        <v>0</v>
      </c>
      <c r="K3290" t="n">
        <v>0</v>
      </c>
      <c r="L3290" t="n">
        <v>0</v>
      </c>
      <c r="M3290" t="n">
        <v>0</v>
      </c>
      <c r="N3290" t="n">
        <v>0</v>
      </c>
      <c r="O3290" t="n">
        <v>0</v>
      </c>
      <c r="P3290" t="n">
        <v>0</v>
      </c>
      <c r="Q3290" t="n">
        <v>0</v>
      </c>
      <c r="R3290" t="n">
        <v>0</v>
      </c>
      <c r="S3290" t="n">
        <v>0</v>
      </c>
      <c r="T3290" t="n">
        <v>0</v>
      </c>
      <c r="U3290" t="n">
        <v>0</v>
      </c>
      <c r="V3290" s="2" t="inlineStr"/>
    </row>
    <row r="3291" ht="15" customHeight="1">
      <c r="A3291" t="inlineStr">
        <is>
          <t>A 60360-2022</t>
        </is>
      </c>
      <c r="B3291" t="inlineStr">
        <is>
          <t>avverkningsanmälan</t>
        </is>
      </c>
      <c r="C3291" t="inlineStr">
        <is>
          <t>Föryngringsavverkning</t>
        </is>
      </c>
      <c r="D3291" s="1" t="n">
        <v>44910</v>
      </c>
      <c r="E3291" s="1" t="n">
        <v>46323</v>
      </c>
      <c r="F3291" t="inlineStr">
        <is>
          <t>KALMAR LÄN</t>
        </is>
      </c>
      <c r="G3291" t="inlineStr">
        <is>
          <t>TORSÅS</t>
        </is>
      </c>
      <c r="I3291" t="n">
        <v>0.5</v>
      </c>
      <c r="J3291" t="n">
        <v>0</v>
      </c>
      <c r="K3291" t="n">
        <v>0</v>
      </c>
      <c r="L3291" t="n">
        <v>0</v>
      </c>
      <c r="M3291" t="n">
        <v>0</v>
      </c>
      <c r="N3291" t="n">
        <v>0</v>
      </c>
      <c r="O3291" t="n">
        <v>0</v>
      </c>
      <c r="P3291" t="n">
        <v>0</v>
      </c>
      <c r="Q3291" t="n">
        <v>0</v>
      </c>
      <c r="R3291" t="n">
        <v>0</v>
      </c>
      <c r="S3291" t="n">
        <v>0</v>
      </c>
      <c r="T3291" t="n">
        <v>0</v>
      </c>
      <c r="U3291" t="n">
        <v>0</v>
      </c>
      <c r="V3291" s="2" t="inlineStr"/>
    </row>
    <row r="3292" ht="15" customHeight="1">
      <c r="A3292" t="inlineStr">
        <is>
          <t>A 41992-2024</t>
        </is>
      </c>
      <c r="B3292" t="inlineStr">
        <is>
          <t>avverkningsanmälan</t>
        </is>
      </c>
      <c r="C3292" t="inlineStr">
        <is>
          <t>Föryngringsavverkning</t>
        </is>
      </c>
      <c r="D3292" s="1" t="n">
        <v>45561</v>
      </c>
      <c r="E3292" s="1" t="n">
        <v>46323</v>
      </c>
      <c r="F3292" t="inlineStr">
        <is>
          <t>KALMAR LÄN</t>
        </is>
      </c>
      <c r="G3292" t="inlineStr">
        <is>
          <t>NYBRO</t>
        </is>
      </c>
      <c r="H3292" t="inlineStr">
        <is>
          <t>Kyrkan</t>
        </is>
      </c>
      <c r="I3292" t="n">
        <v>3.8</v>
      </c>
      <c r="J3292" t="n">
        <v>0</v>
      </c>
      <c r="K3292" t="n">
        <v>0</v>
      </c>
      <c r="L3292" t="n">
        <v>0</v>
      </c>
      <c r="M3292" t="n">
        <v>0</v>
      </c>
      <c r="N3292" t="n">
        <v>0</v>
      </c>
      <c r="O3292" t="n">
        <v>0</v>
      </c>
      <c r="P3292" t="n">
        <v>0</v>
      </c>
      <c r="Q3292" t="n">
        <v>0</v>
      </c>
      <c r="R3292" t="n">
        <v>0</v>
      </c>
      <c r="S3292" t="n">
        <v>0</v>
      </c>
      <c r="T3292" t="n">
        <v>0</v>
      </c>
      <c r="U3292" t="n">
        <v>0</v>
      </c>
      <c r="V3292" s="2" t="inlineStr"/>
    </row>
    <row r="3293" ht="15" customHeight="1">
      <c r="A3293" t="inlineStr">
        <is>
          <t>A 41993-2024</t>
        </is>
      </c>
      <c r="B3293" t="inlineStr">
        <is>
          <t>avverkningsanmälan</t>
        </is>
      </c>
      <c r="C3293" t="inlineStr">
        <is>
          <t>Föryngringsavverkning</t>
        </is>
      </c>
      <c r="D3293" s="1" t="n">
        <v>45561</v>
      </c>
      <c r="E3293" s="1" t="n">
        <v>46323</v>
      </c>
      <c r="F3293" t="inlineStr">
        <is>
          <t>KALMAR LÄN</t>
        </is>
      </c>
      <c r="G3293" t="inlineStr">
        <is>
          <t>NYBRO</t>
        </is>
      </c>
      <c r="H3293" t="inlineStr">
        <is>
          <t>Kyrkan</t>
        </is>
      </c>
      <c r="I3293" t="n">
        <v>9.800000000000001</v>
      </c>
      <c r="J3293" t="n">
        <v>0</v>
      </c>
      <c r="K3293" t="n">
        <v>0</v>
      </c>
      <c r="L3293" t="n">
        <v>0</v>
      </c>
      <c r="M3293" t="n">
        <v>0</v>
      </c>
      <c r="N3293" t="n">
        <v>0</v>
      </c>
      <c r="O3293" t="n">
        <v>0</v>
      </c>
      <c r="P3293" t="n">
        <v>0</v>
      </c>
      <c r="Q3293" t="n">
        <v>0</v>
      </c>
      <c r="R3293" t="n">
        <v>0</v>
      </c>
      <c r="S3293" t="n">
        <v>0</v>
      </c>
      <c r="T3293" t="n">
        <v>0</v>
      </c>
      <c r="U3293" t="n">
        <v>0</v>
      </c>
      <c r="V3293" s="2" t="inlineStr"/>
    </row>
    <row r="3294" ht="15" customHeight="1">
      <c r="A3294" t="inlineStr">
        <is>
          <t>A 28647-2023</t>
        </is>
      </c>
      <c r="B3294" t="inlineStr">
        <is>
          <t>avverkningsanmälan</t>
        </is>
      </c>
      <c r="C3294" t="inlineStr">
        <is>
          <t>Föryngringsavverkning</t>
        </is>
      </c>
      <c r="D3294" s="1" t="n">
        <v>45103</v>
      </c>
      <c r="E3294" s="1" t="n">
        <v>46323</v>
      </c>
      <c r="F3294" t="inlineStr">
        <is>
          <t>KALMAR LÄN</t>
        </is>
      </c>
      <c r="G3294" t="inlineStr">
        <is>
          <t>NYBRO</t>
        </is>
      </c>
      <c r="I3294" t="n">
        <v>5.6</v>
      </c>
      <c r="J3294" t="n">
        <v>0</v>
      </c>
      <c r="K3294" t="n">
        <v>0</v>
      </c>
      <c r="L3294" t="n">
        <v>0</v>
      </c>
      <c r="M3294" t="n">
        <v>0</v>
      </c>
      <c r="N3294" t="n">
        <v>0</v>
      </c>
      <c r="O3294" t="n">
        <v>0</v>
      </c>
      <c r="P3294" t="n">
        <v>0</v>
      </c>
      <c r="Q3294" t="n">
        <v>0</v>
      </c>
      <c r="R3294" t="n">
        <v>0</v>
      </c>
      <c r="S3294" t="n">
        <v>0</v>
      </c>
      <c r="T3294" t="n">
        <v>0</v>
      </c>
      <c r="U3294" t="n">
        <v>0</v>
      </c>
      <c r="V3294" s="2" t="inlineStr"/>
    </row>
    <row r="3295" ht="15" customHeight="1">
      <c r="A3295" t="inlineStr">
        <is>
          <t>A 15960-2023</t>
        </is>
      </c>
      <c r="B3295" t="inlineStr">
        <is>
          <t>avverkningsanmälan</t>
        </is>
      </c>
      <c r="C3295" t="inlineStr">
        <is>
          <t>Föryngringsavverkning</t>
        </is>
      </c>
      <c r="D3295" s="1" t="n">
        <v>45022</v>
      </c>
      <c r="E3295" s="1" t="n">
        <v>46323</v>
      </c>
      <c r="F3295" t="inlineStr">
        <is>
          <t>KALMAR LÄN</t>
        </is>
      </c>
      <c r="G3295" t="inlineStr">
        <is>
          <t>EMMABODA</t>
        </is>
      </c>
      <c r="I3295" t="n">
        <v>3.7</v>
      </c>
      <c r="J3295" t="n">
        <v>0</v>
      </c>
      <c r="K3295" t="n">
        <v>0</v>
      </c>
      <c r="L3295" t="n">
        <v>0</v>
      </c>
      <c r="M3295" t="n">
        <v>0</v>
      </c>
      <c r="N3295" t="n">
        <v>0</v>
      </c>
      <c r="O3295" t="n">
        <v>0</v>
      </c>
      <c r="P3295" t="n">
        <v>0</v>
      </c>
      <c r="Q3295" t="n">
        <v>0</v>
      </c>
      <c r="R3295" t="n">
        <v>0</v>
      </c>
      <c r="S3295" t="n">
        <v>0</v>
      </c>
      <c r="T3295" t="n">
        <v>0</v>
      </c>
      <c r="U3295" t="n">
        <v>0</v>
      </c>
      <c r="V3295" s="2" t="inlineStr"/>
    </row>
    <row r="3296" ht="15" customHeight="1">
      <c r="A3296" t="inlineStr">
        <is>
          <t>A 15962-2023</t>
        </is>
      </c>
      <c r="B3296" t="inlineStr">
        <is>
          <t>avverkningsanmälan</t>
        </is>
      </c>
      <c r="C3296" t="inlineStr">
        <is>
          <t>Föryngringsavverkning</t>
        </is>
      </c>
      <c r="D3296" s="1" t="n">
        <v>45022</v>
      </c>
      <c r="E3296" s="1" t="n">
        <v>46323</v>
      </c>
      <c r="F3296" t="inlineStr">
        <is>
          <t>KALMAR LÄN</t>
        </is>
      </c>
      <c r="G3296" t="inlineStr">
        <is>
          <t>EMMABODA</t>
        </is>
      </c>
      <c r="I3296" t="n">
        <v>2.4</v>
      </c>
      <c r="J3296" t="n">
        <v>0</v>
      </c>
      <c r="K3296" t="n">
        <v>0</v>
      </c>
      <c r="L3296" t="n">
        <v>0</v>
      </c>
      <c r="M3296" t="n">
        <v>0</v>
      </c>
      <c r="N3296" t="n">
        <v>0</v>
      </c>
      <c r="O3296" t="n">
        <v>0</v>
      </c>
      <c r="P3296" t="n">
        <v>0</v>
      </c>
      <c r="Q3296" t="n">
        <v>0</v>
      </c>
      <c r="R3296" t="n">
        <v>0</v>
      </c>
      <c r="S3296" t="n">
        <v>0</v>
      </c>
      <c r="T3296" t="n">
        <v>0</v>
      </c>
      <c r="U3296" t="n">
        <v>0</v>
      </c>
      <c r="V3296" s="2" t="inlineStr"/>
    </row>
    <row r="3297" ht="15" customHeight="1">
      <c r="A3297" t="inlineStr">
        <is>
          <t>A 33052-2023</t>
        </is>
      </c>
      <c r="B3297" t="inlineStr">
        <is>
          <t>avverkningsanmälan</t>
        </is>
      </c>
      <c r="C3297" t="inlineStr">
        <is>
          <t>Föryngringsavverkning</t>
        </is>
      </c>
      <c r="D3297" s="1" t="n">
        <v>45126</v>
      </c>
      <c r="E3297" s="1" t="n">
        <v>46323</v>
      </c>
      <c r="F3297" t="inlineStr">
        <is>
          <t>KALMAR LÄN</t>
        </is>
      </c>
      <c r="G3297" t="inlineStr">
        <is>
          <t>EMMABODA</t>
        </is>
      </c>
      <c r="I3297" t="n">
        <v>0.6</v>
      </c>
      <c r="J3297" t="n">
        <v>0</v>
      </c>
      <c r="K3297" t="n">
        <v>0</v>
      </c>
      <c r="L3297" t="n">
        <v>0</v>
      </c>
      <c r="M3297" t="n">
        <v>0</v>
      </c>
      <c r="N3297" t="n">
        <v>0</v>
      </c>
      <c r="O3297" t="n">
        <v>0</v>
      </c>
      <c r="P3297" t="n">
        <v>0</v>
      </c>
      <c r="Q3297" t="n">
        <v>0</v>
      </c>
      <c r="R3297" t="n">
        <v>0</v>
      </c>
      <c r="S3297" t="n">
        <v>0</v>
      </c>
      <c r="T3297" t="n">
        <v>0</v>
      </c>
      <c r="U3297" t="n">
        <v>0</v>
      </c>
      <c r="V3297" s="2" t="inlineStr"/>
    </row>
    <row r="3298" ht="15" customHeight="1">
      <c r="A3298" t="inlineStr">
        <is>
          <t>A 16020-2023</t>
        </is>
      </c>
      <c r="B3298" t="inlineStr">
        <is>
          <t>avverkningsanmälan</t>
        </is>
      </c>
      <c r="C3298" t="inlineStr">
        <is>
          <t>Föryngringsavverkning</t>
        </is>
      </c>
      <c r="D3298" s="1" t="n">
        <v>45026</v>
      </c>
      <c r="E3298" s="1" t="n">
        <v>46323</v>
      </c>
      <c r="F3298" t="inlineStr">
        <is>
          <t>KALMAR LÄN</t>
        </is>
      </c>
      <c r="G3298" t="inlineStr">
        <is>
          <t>VIMMERBY</t>
        </is>
      </c>
      <c r="I3298" t="n">
        <v>1.1</v>
      </c>
      <c r="J3298" t="n">
        <v>0</v>
      </c>
      <c r="K3298" t="n">
        <v>0</v>
      </c>
      <c r="L3298" t="n">
        <v>0</v>
      </c>
      <c r="M3298" t="n">
        <v>0</v>
      </c>
      <c r="N3298" t="n">
        <v>0</v>
      </c>
      <c r="O3298" t="n">
        <v>0</v>
      </c>
      <c r="P3298" t="n">
        <v>0</v>
      </c>
      <c r="Q3298" t="n">
        <v>0</v>
      </c>
      <c r="R3298" t="n">
        <v>0</v>
      </c>
      <c r="S3298" t="n">
        <v>0</v>
      </c>
      <c r="T3298" t="n">
        <v>0</v>
      </c>
      <c r="U3298" t="n">
        <v>0</v>
      </c>
      <c r="V3298" s="2" t="inlineStr"/>
    </row>
    <row r="3299" ht="15" customHeight="1">
      <c r="A3299" t="inlineStr">
        <is>
          <t>A 42770-2024</t>
        </is>
      </c>
      <c r="B3299" t="inlineStr">
        <is>
          <t>avverkningsanmälan</t>
        </is>
      </c>
      <c r="C3299" t="inlineStr">
        <is>
          <t>Avverkning för annat ändamål</t>
        </is>
      </c>
      <c r="D3299" s="1" t="n">
        <v>45566</v>
      </c>
      <c r="E3299" s="1" t="n">
        <v>46323</v>
      </c>
      <c r="F3299" t="inlineStr">
        <is>
          <t>KALMAR LÄN</t>
        </is>
      </c>
      <c r="G3299" t="inlineStr">
        <is>
          <t>HULTSFRED</t>
        </is>
      </c>
      <c r="I3299" t="n">
        <v>0.3</v>
      </c>
      <c r="J3299" t="n">
        <v>0</v>
      </c>
      <c r="K3299" t="n">
        <v>0</v>
      </c>
      <c r="L3299" t="n">
        <v>0</v>
      </c>
      <c r="M3299" t="n">
        <v>0</v>
      </c>
      <c r="N3299" t="n">
        <v>0</v>
      </c>
      <c r="O3299" t="n">
        <v>0</v>
      </c>
      <c r="P3299" t="n">
        <v>0</v>
      </c>
      <c r="Q3299" t="n">
        <v>0</v>
      </c>
      <c r="R3299" t="n">
        <v>0</v>
      </c>
      <c r="S3299" t="n">
        <v>0</v>
      </c>
      <c r="T3299" t="n">
        <v>0</v>
      </c>
      <c r="U3299" t="n">
        <v>0</v>
      </c>
      <c r="V3299" s="2" t="inlineStr"/>
    </row>
    <row r="3300" ht="15" customHeight="1">
      <c r="A3300" t="inlineStr">
        <is>
          <t>A 5000-2025</t>
        </is>
      </c>
      <c r="B3300" t="inlineStr">
        <is>
          <t>avverkningsanmälan</t>
        </is>
      </c>
      <c r="C3300" t="inlineStr">
        <is>
          <t>Föryngringsavverkning</t>
        </is>
      </c>
      <c r="D3300" s="1" t="n">
        <v>45691</v>
      </c>
      <c r="E3300" s="1" t="n">
        <v>46323</v>
      </c>
      <c r="F3300" t="inlineStr">
        <is>
          <t>KALMAR LÄN</t>
        </is>
      </c>
      <c r="G3300" t="inlineStr">
        <is>
          <t>HULTSFRED</t>
        </is>
      </c>
      <c r="I3300" t="n">
        <v>0.7</v>
      </c>
      <c r="J3300" t="n">
        <v>0</v>
      </c>
      <c r="K3300" t="n">
        <v>0</v>
      </c>
      <c r="L3300" t="n">
        <v>0</v>
      </c>
      <c r="M3300" t="n">
        <v>0</v>
      </c>
      <c r="N3300" t="n">
        <v>0</v>
      </c>
      <c r="O3300" t="n">
        <v>0</v>
      </c>
      <c r="P3300" t="n">
        <v>0</v>
      </c>
      <c r="Q3300" t="n">
        <v>0</v>
      </c>
      <c r="R3300" t="n">
        <v>0</v>
      </c>
      <c r="S3300" t="n">
        <v>0</v>
      </c>
      <c r="T3300" t="n">
        <v>0</v>
      </c>
      <c r="U3300" t="n">
        <v>0</v>
      </c>
      <c r="V3300" s="2" t="inlineStr"/>
    </row>
    <row r="3301" ht="15" customHeight="1">
      <c r="A3301" t="inlineStr">
        <is>
          <t>A 52545-2025</t>
        </is>
      </c>
      <c r="B3301" t="inlineStr">
        <is>
          <t>avverkningsanmälan</t>
        </is>
      </c>
      <c r="C3301" t="inlineStr">
        <is>
          <t>Föryngringsavverkning</t>
        </is>
      </c>
      <c r="D3301" s="1" t="n">
        <v>45954</v>
      </c>
      <c r="E3301" s="1" t="n">
        <v>46323</v>
      </c>
      <c r="F3301" t="inlineStr">
        <is>
          <t>KALMAR LÄN</t>
        </is>
      </c>
      <c r="G3301" t="inlineStr">
        <is>
          <t>HÖGSBY</t>
        </is>
      </c>
      <c r="I3301" t="n">
        <v>2.2</v>
      </c>
      <c r="J3301" t="n">
        <v>0</v>
      </c>
      <c r="K3301" t="n">
        <v>0</v>
      </c>
      <c r="L3301" t="n">
        <v>0</v>
      </c>
      <c r="M3301" t="n">
        <v>0</v>
      </c>
      <c r="N3301" t="n">
        <v>0</v>
      </c>
      <c r="O3301" t="n">
        <v>0</v>
      </c>
      <c r="P3301" t="n">
        <v>0</v>
      </c>
      <c r="Q3301" t="n">
        <v>0</v>
      </c>
      <c r="R3301" t="n">
        <v>0</v>
      </c>
      <c r="S3301" t="n">
        <v>0</v>
      </c>
      <c r="T3301" t="n">
        <v>0</v>
      </c>
      <c r="U3301" t="n">
        <v>0</v>
      </c>
      <c r="V3301" s="2" t="inlineStr"/>
    </row>
    <row r="3302" ht="15" customHeight="1">
      <c r="A3302" t="inlineStr">
        <is>
          <t>A 46224-2024</t>
        </is>
      </c>
      <c r="B3302" t="inlineStr">
        <is>
          <t>avverkningsanmälan</t>
        </is>
      </c>
      <c r="C3302" t="inlineStr">
        <is>
          <t>Föryngringsavverkning</t>
        </is>
      </c>
      <c r="D3302" s="1" t="n">
        <v>45581</v>
      </c>
      <c r="E3302" s="1" t="n">
        <v>46323</v>
      </c>
      <c r="F3302" t="inlineStr">
        <is>
          <t>KALMAR LÄN</t>
        </is>
      </c>
      <c r="G3302" t="inlineStr">
        <is>
          <t>VIMMERBY</t>
        </is>
      </c>
      <c r="I3302" t="n">
        <v>3.1</v>
      </c>
      <c r="J3302" t="n">
        <v>0</v>
      </c>
      <c r="K3302" t="n">
        <v>0</v>
      </c>
      <c r="L3302" t="n">
        <v>0</v>
      </c>
      <c r="M3302" t="n">
        <v>0</v>
      </c>
      <c r="N3302" t="n">
        <v>0</v>
      </c>
      <c r="O3302" t="n">
        <v>0</v>
      </c>
      <c r="P3302" t="n">
        <v>0</v>
      </c>
      <c r="Q3302" t="n">
        <v>0</v>
      </c>
      <c r="R3302" t="n">
        <v>0</v>
      </c>
      <c r="S3302" t="n">
        <v>0</v>
      </c>
      <c r="T3302" t="n">
        <v>0</v>
      </c>
      <c r="U3302" t="n">
        <v>0</v>
      </c>
      <c r="V3302" s="2" t="inlineStr"/>
    </row>
    <row r="3303" ht="15" customHeight="1">
      <c r="A3303" t="inlineStr">
        <is>
          <t>A 46329-2024</t>
        </is>
      </c>
      <c r="B3303" t="inlineStr">
        <is>
          <t>avverkningsanmälan</t>
        </is>
      </c>
      <c r="C3303" t="inlineStr">
        <is>
          <t>Föryngringsavverkning</t>
        </is>
      </c>
      <c r="D3303" s="1" t="n">
        <v>45581</v>
      </c>
      <c r="E3303" s="1" t="n">
        <v>46323</v>
      </c>
      <c r="F3303" t="inlineStr">
        <is>
          <t>KALMAR LÄN</t>
        </is>
      </c>
      <c r="G3303" t="inlineStr">
        <is>
          <t>HÖGSBY</t>
        </is>
      </c>
      <c r="I3303" t="n">
        <v>2.3</v>
      </c>
      <c r="J3303" t="n">
        <v>0</v>
      </c>
      <c r="K3303" t="n">
        <v>0</v>
      </c>
      <c r="L3303" t="n">
        <v>0</v>
      </c>
      <c r="M3303" t="n">
        <v>0</v>
      </c>
      <c r="N3303" t="n">
        <v>0</v>
      </c>
      <c r="O3303" t="n">
        <v>0</v>
      </c>
      <c r="P3303" t="n">
        <v>0</v>
      </c>
      <c r="Q3303" t="n">
        <v>0</v>
      </c>
      <c r="R3303" t="n">
        <v>0</v>
      </c>
      <c r="S3303" t="n">
        <v>0</v>
      </c>
      <c r="T3303" t="n">
        <v>0</v>
      </c>
      <c r="U3303" t="n">
        <v>0</v>
      </c>
      <c r="V3303" s="2" t="inlineStr"/>
    </row>
    <row r="3304" ht="15" customHeight="1">
      <c r="A3304" t="inlineStr">
        <is>
          <t>A 28987-2023</t>
        </is>
      </c>
      <c r="B3304" t="inlineStr">
        <is>
          <t>avverkningsanmälan</t>
        </is>
      </c>
      <c r="C3304" t="inlineStr">
        <is>
          <t>Föryngringsavverkning</t>
        </is>
      </c>
      <c r="D3304" s="1" t="n">
        <v>45104</v>
      </c>
      <c r="E3304" s="1" t="n">
        <v>46323</v>
      </c>
      <c r="F3304" t="inlineStr">
        <is>
          <t>KALMAR LÄN</t>
        </is>
      </c>
      <c r="G3304" t="inlineStr">
        <is>
          <t>KALMAR</t>
        </is>
      </c>
      <c r="I3304" t="n">
        <v>0.9</v>
      </c>
      <c r="J3304" t="n">
        <v>0</v>
      </c>
      <c r="K3304" t="n">
        <v>0</v>
      </c>
      <c r="L3304" t="n">
        <v>0</v>
      </c>
      <c r="M3304" t="n">
        <v>0</v>
      </c>
      <c r="N3304" t="n">
        <v>0</v>
      </c>
      <c r="O3304" t="n">
        <v>0</v>
      </c>
      <c r="P3304" t="n">
        <v>0</v>
      </c>
      <c r="Q3304" t="n">
        <v>0</v>
      </c>
      <c r="R3304" t="n">
        <v>0</v>
      </c>
      <c r="S3304" t="n">
        <v>0</v>
      </c>
      <c r="T3304" t="n">
        <v>0</v>
      </c>
      <c r="U3304" t="n">
        <v>0</v>
      </c>
      <c r="V3304" s="2" t="inlineStr"/>
    </row>
    <row r="3305" ht="15" customHeight="1">
      <c r="A3305" t="inlineStr">
        <is>
          <t>A 13276-2023</t>
        </is>
      </c>
      <c r="B3305" t="inlineStr">
        <is>
          <t>avverkningsanmälan</t>
        </is>
      </c>
      <c r="C3305" t="inlineStr">
        <is>
          <t>Föryngringsavverkning</t>
        </is>
      </c>
      <c r="D3305" s="1" t="n">
        <v>45003</v>
      </c>
      <c r="E3305" s="1" t="n">
        <v>46323</v>
      </c>
      <c r="F3305" t="inlineStr">
        <is>
          <t>KALMAR LÄN</t>
        </is>
      </c>
      <c r="G3305" t="inlineStr">
        <is>
          <t>EMMABODA</t>
        </is>
      </c>
      <c r="I3305" t="n">
        <v>3</v>
      </c>
      <c r="J3305" t="n">
        <v>0</v>
      </c>
      <c r="K3305" t="n">
        <v>0</v>
      </c>
      <c r="L3305" t="n">
        <v>0</v>
      </c>
      <c r="M3305" t="n">
        <v>0</v>
      </c>
      <c r="N3305" t="n">
        <v>0</v>
      </c>
      <c r="O3305" t="n">
        <v>0</v>
      </c>
      <c r="P3305" t="n">
        <v>0</v>
      </c>
      <c r="Q3305" t="n">
        <v>0</v>
      </c>
      <c r="R3305" t="n">
        <v>0</v>
      </c>
      <c r="S3305" t="n">
        <v>0</v>
      </c>
      <c r="T3305" t="n">
        <v>0</v>
      </c>
      <c r="U3305" t="n">
        <v>0</v>
      </c>
      <c r="V3305" s="2" t="inlineStr"/>
    </row>
    <row r="3306" ht="15" customHeight="1">
      <c r="A3306" t="inlineStr">
        <is>
          <t>A 16530-2024</t>
        </is>
      </c>
      <c r="B3306" t="inlineStr">
        <is>
          <t>avverkningsanmälan</t>
        </is>
      </c>
      <c r="C3306" t="inlineStr">
        <is>
          <t>Föryngringsavverkning</t>
        </is>
      </c>
      <c r="D3306" s="1" t="n">
        <v>45408</v>
      </c>
      <c r="E3306" s="1" t="n">
        <v>46323</v>
      </c>
      <c r="F3306" t="inlineStr">
        <is>
          <t>KALMAR LÄN</t>
        </is>
      </c>
      <c r="G3306" t="inlineStr">
        <is>
          <t>NYBRO</t>
        </is>
      </c>
      <c r="I3306" t="n">
        <v>0.6</v>
      </c>
      <c r="J3306" t="n">
        <v>0</v>
      </c>
      <c r="K3306" t="n">
        <v>0</v>
      </c>
      <c r="L3306" t="n">
        <v>0</v>
      </c>
      <c r="M3306" t="n">
        <v>0</v>
      </c>
      <c r="N3306" t="n">
        <v>0</v>
      </c>
      <c r="O3306" t="n">
        <v>0</v>
      </c>
      <c r="P3306" t="n">
        <v>0</v>
      </c>
      <c r="Q3306" t="n">
        <v>0</v>
      </c>
      <c r="R3306" t="n">
        <v>0</v>
      </c>
      <c r="S3306" t="n">
        <v>0</v>
      </c>
      <c r="T3306" t="n">
        <v>0</v>
      </c>
      <c r="U3306" t="n">
        <v>0</v>
      </c>
      <c r="V3306" s="2" t="inlineStr"/>
    </row>
    <row r="3307" ht="15" customHeight="1">
      <c r="A3307" t="inlineStr">
        <is>
          <t>A 44067-2022</t>
        </is>
      </c>
      <c r="B3307" t="inlineStr">
        <is>
          <t>avverkningsanmälan</t>
        </is>
      </c>
      <c r="C3307" t="inlineStr">
        <is>
          <t>Föryngringsavverkning</t>
        </is>
      </c>
      <c r="D3307" s="1" t="n">
        <v>44839</v>
      </c>
      <c r="E3307" s="1" t="n">
        <v>46323</v>
      </c>
      <c r="F3307" t="inlineStr">
        <is>
          <t>KALMAR LÄN</t>
        </is>
      </c>
      <c r="G3307" t="inlineStr">
        <is>
          <t>EMMABODA</t>
        </is>
      </c>
      <c r="I3307" t="n">
        <v>1.9</v>
      </c>
      <c r="J3307" t="n">
        <v>0</v>
      </c>
      <c r="K3307" t="n">
        <v>0</v>
      </c>
      <c r="L3307" t="n">
        <v>0</v>
      </c>
      <c r="M3307" t="n">
        <v>0</v>
      </c>
      <c r="N3307" t="n">
        <v>0</v>
      </c>
      <c r="O3307" t="n">
        <v>0</v>
      </c>
      <c r="P3307" t="n">
        <v>0</v>
      </c>
      <c r="Q3307" t="n">
        <v>0</v>
      </c>
      <c r="R3307" t="n">
        <v>0</v>
      </c>
      <c r="S3307" t="n">
        <v>0</v>
      </c>
      <c r="T3307" t="n">
        <v>0</v>
      </c>
      <c r="U3307" t="n">
        <v>0</v>
      </c>
      <c r="V3307" s="2" t="inlineStr"/>
    </row>
    <row r="3308" ht="15" customHeight="1">
      <c r="A3308" t="inlineStr">
        <is>
          <t>A 43931-2024</t>
        </is>
      </c>
      <c r="B3308" t="inlineStr">
        <is>
          <t>avverkningsanmälan</t>
        </is>
      </c>
      <c r="C3308" t="inlineStr">
        <is>
          <t>Föryngringsavverkning</t>
        </is>
      </c>
      <c r="D3308" s="1" t="n">
        <v>45572</v>
      </c>
      <c r="E3308" s="1" t="n">
        <v>46323</v>
      </c>
      <c r="F3308" t="inlineStr">
        <is>
          <t>KALMAR LÄN</t>
        </is>
      </c>
      <c r="G3308" t="inlineStr">
        <is>
          <t>OSKARSHAMN</t>
        </is>
      </c>
      <c r="I3308" t="n">
        <v>1.2</v>
      </c>
      <c r="J3308" t="n">
        <v>0</v>
      </c>
      <c r="K3308" t="n">
        <v>0</v>
      </c>
      <c r="L3308" t="n">
        <v>0</v>
      </c>
      <c r="M3308" t="n">
        <v>0</v>
      </c>
      <c r="N3308" t="n">
        <v>0</v>
      </c>
      <c r="O3308" t="n">
        <v>0</v>
      </c>
      <c r="P3308" t="n">
        <v>0</v>
      </c>
      <c r="Q3308" t="n">
        <v>0</v>
      </c>
      <c r="R3308" t="n">
        <v>0</v>
      </c>
      <c r="S3308" t="n">
        <v>0</v>
      </c>
      <c r="T3308" t="n">
        <v>0</v>
      </c>
      <c r="U3308" t="n">
        <v>0</v>
      </c>
      <c r="V3308" s="2" t="inlineStr"/>
    </row>
    <row r="3309" ht="15" customHeight="1">
      <c r="A3309" t="inlineStr">
        <is>
          <t>A 4885-2023</t>
        </is>
      </c>
      <c r="B3309" t="inlineStr">
        <is>
          <t>avverkningsanmälan</t>
        </is>
      </c>
      <c r="C3309" t="inlineStr">
        <is>
          <t>Föryngringsavverkning</t>
        </is>
      </c>
      <c r="D3309" s="1" t="n">
        <v>44955</v>
      </c>
      <c r="E3309" s="1" t="n">
        <v>46323</v>
      </c>
      <c r="F3309" t="inlineStr">
        <is>
          <t>KALMAR LÄN</t>
        </is>
      </c>
      <c r="G3309" t="inlineStr">
        <is>
          <t>EMMABODA</t>
        </is>
      </c>
      <c r="I3309" t="n">
        <v>4.7</v>
      </c>
      <c r="J3309" t="n">
        <v>0</v>
      </c>
      <c r="K3309" t="n">
        <v>0</v>
      </c>
      <c r="L3309" t="n">
        <v>0</v>
      </c>
      <c r="M3309" t="n">
        <v>0</v>
      </c>
      <c r="N3309" t="n">
        <v>0</v>
      </c>
      <c r="O3309" t="n">
        <v>0</v>
      </c>
      <c r="P3309" t="n">
        <v>0</v>
      </c>
      <c r="Q3309" t="n">
        <v>0</v>
      </c>
      <c r="R3309" t="n">
        <v>0</v>
      </c>
      <c r="S3309" t="n">
        <v>0</v>
      </c>
      <c r="T3309" t="n">
        <v>0</v>
      </c>
      <c r="U3309" t="n">
        <v>0</v>
      </c>
      <c r="V3309" s="2" t="inlineStr"/>
    </row>
    <row r="3310" ht="15" customHeight="1">
      <c r="A3310" t="inlineStr">
        <is>
          <t>A 19679-2024</t>
        </is>
      </c>
      <c r="B3310" t="inlineStr">
        <is>
          <t>avverkningsanmälan</t>
        </is>
      </c>
      <c r="C3310" t="inlineStr">
        <is>
          <t>Föryngringsavverkning</t>
        </is>
      </c>
      <c r="D3310" s="1" t="n">
        <v>45432</v>
      </c>
      <c r="E3310" s="1" t="n">
        <v>46323</v>
      </c>
      <c r="F3310" t="inlineStr">
        <is>
          <t>KALMAR LÄN</t>
        </is>
      </c>
      <c r="G3310" t="inlineStr">
        <is>
          <t>HULTSFRED</t>
        </is>
      </c>
      <c r="I3310" t="n">
        <v>1.6</v>
      </c>
      <c r="J3310" t="n">
        <v>0</v>
      </c>
      <c r="K3310" t="n">
        <v>0</v>
      </c>
      <c r="L3310" t="n">
        <v>0</v>
      </c>
      <c r="M3310" t="n">
        <v>0</v>
      </c>
      <c r="N3310" t="n">
        <v>0</v>
      </c>
      <c r="O3310" t="n">
        <v>0</v>
      </c>
      <c r="P3310" t="n">
        <v>0</v>
      </c>
      <c r="Q3310" t="n">
        <v>0</v>
      </c>
      <c r="R3310" t="n">
        <v>0</v>
      </c>
      <c r="S3310" t="n">
        <v>0</v>
      </c>
      <c r="T3310" t="n">
        <v>0</v>
      </c>
      <c r="U3310" t="n">
        <v>0</v>
      </c>
      <c r="V3310" s="2" t="inlineStr"/>
    </row>
    <row r="3311" ht="15" customHeight="1">
      <c r="A3311" t="inlineStr">
        <is>
          <t>A 19704-2024</t>
        </is>
      </c>
      <c r="B3311" t="inlineStr">
        <is>
          <t>avverkningsanmälan</t>
        </is>
      </c>
      <c r="C3311" t="inlineStr">
        <is>
          <t>Föryngringsavverkning</t>
        </is>
      </c>
      <c r="D3311" s="1" t="n">
        <v>45432</v>
      </c>
      <c r="E3311" s="1" t="n">
        <v>46323</v>
      </c>
      <c r="F3311" t="inlineStr">
        <is>
          <t>KALMAR LÄN</t>
        </is>
      </c>
      <c r="G3311" t="inlineStr">
        <is>
          <t>OSKARSHAMN</t>
        </is>
      </c>
      <c r="I3311" t="n">
        <v>5.8</v>
      </c>
      <c r="J3311" t="n">
        <v>0</v>
      </c>
      <c r="K3311" t="n">
        <v>0</v>
      </c>
      <c r="L3311" t="n">
        <v>0</v>
      </c>
      <c r="M3311" t="n">
        <v>0</v>
      </c>
      <c r="N3311" t="n">
        <v>0</v>
      </c>
      <c r="O3311" t="n">
        <v>0</v>
      </c>
      <c r="P3311" t="n">
        <v>0</v>
      </c>
      <c r="Q3311" t="n">
        <v>0</v>
      </c>
      <c r="R3311" t="n">
        <v>0</v>
      </c>
      <c r="S3311" t="n">
        <v>0</v>
      </c>
      <c r="T3311" t="n">
        <v>0</v>
      </c>
      <c r="U3311" t="n">
        <v>0</v>
      </c>
      <c r="V3311" s="2" t="inlineStr"/>
    </row>
    <row r="3312" ht="15" customHeight="1">
      <c r="A3312" t="inlineStr">
        <is>
          <t>A 20770-2023</t>
        </is>
      </c>
      <c r="B3312" t="inlineStr">
        <is>
          <t>avverkningsanmälan</t>
        </is>
      </c>
      <c r="C3312" t="inlineStr">
        <is>
          <t>Föryngringsavverkning</t>
        </is>
      </c>
      <c r="D3312" s="1" t="n">
        <v>45058</v>
      </c>
      <c r="E3312" s="1" t="n">
        <v>46323</v>
      </c>
      <c r="F3312" t="inlineStr">
        <is>
          <t>KALMAR LÄN</t>
        </is>
      </c>
      <c r="G3312" t="inlineStr">
        <is>
          <t>HÖGSBY</t>
        </is>
      </c>
      <c r="I3312" t="n">
        <v>4.6</v>
      </c>
      <c r="J3312" t="n">
        <v>0</v>
      </c>
      <c r="K3312" t="n">
        <v>0</v>
      </c>
      <c r="L3312" t="n">
        <v>0</v>
      </c>
      <c r="M3312" t="n">
        <v>0</v>
      </c>
      <c r="N3312" t="n">
        <v>0</v>
      </c>
      <c r="O3312" t="n">
        <v>0</v>
      </c>
      <c r="P3312" t="n">
        <v>0</v>
      </c>
      <c r="Q3312" t="n">
        <v>0</v>
      </c>
      <c r="R3312" t="n">
        <v>0</v>
      </c>
      <c r="S3312" t="n">
        <v>0</v>
      </c>
      <c r="T3312" t="n">
        <v>0</v>
      </c>
      <c r="U3312" t="n">
        <v>0</v>
      </c>
      <c r="V3312" s="2" t="inlineStr"/>
    </row>
    <row r="3313" ht="15" customHeight="1">
      <c r="A3313" t="inlineStr">
        <is>
          <t>A 60292-2022</t>
        </is>
      </c>
      <c r="B3313" t="inlineStr">
        <is>
          <t>avverkningsanmälan</t>
        </is>
      </c>
      <c r="C3313" t="inlineStr">
        <is>
          <t>Föryngringsavverkning</t>
        </is>
      </c>
      <c r="D3313" s="1" t="n">
        <v>44910</v>
      </c>
      <c r="E3313" s="1" t="n">
        <v>46323</v>
      </c>
      <c r="F3313" t="inlineStr">
        <is>
          <t>KALMAR LÄN</t>
        </is>
      </c>
      <c r="G3313" t="inlineStr">
        <is>
          <t>VIMMERBY</t>
        </is>
      </c>
      <c r="I3313" t="n">
        <v>4.4</v>
      </c>
      <c r="J3313" t="n">
        <v>0</v>
      </c>
      <c r="K3313" t="n">
        <v>0</v>
      </c>
      <c r="L3313" t="n">
        <v>0</v>
      </c>
      <c r="M3313" t="n">
        <v>0</v>
      </c>
      <c r="N3313" t="n">
        <v>0</v>
      </c>
      <c r="O3313" t="n">
        <v>0</v>
      </c>
      <c r="P3313" t="n">
        <v>0</v>
      </c>
      <c r="Q3313" t="n">
        <v>0</v>
      </c>
      <c r="R3313" t="n">
        <v>0</v>
      </c>
      <c r="S3313" t="n">
        <v>0</v>
      </c>
      <c r="T3313" t="n">
        <v>0</v>
      </c>
      <c r="U3313" t="n">
        <v>0</v>
      </c>
      <c r="V3313" s="2" t="inlineStr"/>
    </row>
    <row r="3314" ht="15" customHeight="1">
      <c r="A3314" t="inlineStr">
        <is>
          <t>A 73640-2021</t>
        </is>
      </c>
      <c r="B3314" t="inlineStr">
        <is>
          <t>avverkningsanmälan</t>
        </is>
      </c>
      <c r="C3314" t="inlineStr">
        <is>
          <t>Föryngringsavverkning</t>
        </is>
      </c>
      <c r="D3314" s="1" t="n">
        <v>44552</v>
      </c>
      <c r="E3314" s="1" t="n">
        <v>46323</v>
      </c>
      <c r="F3314" t="inlineStr">
        <is>
          <t>KALMAR LÄN</t>
        </is>
      </c>
      <c r="G3314" t="inlineStr">
        <is>
          <t>VÄSTERVIK</t>
        </is>
      </c>
      <c r="I3314" t="n">
        <v>1.9</v>
      </c>
      <c r="J3314" t="n">
        <v>0</v>
      </c>
      <c r="K3314" t="n">
        <v>0</v>
      </c>
      <c r="L3314" t="n">
        <v>0</v>
      </c>
      <c r="M3314" t="n">
        <v>0</v>
      </c>
      <c r="N3314" t="n">
        <v>0</v>
      </c>
      <c r="O3314" t="n">
        <v>0</v>
      </c>
      <c r="P3314" t="n">
        <v>0</v>
      </c>
      <c r="Q3314" t="n">
        <v>0</v>
      </c>
      <c r="R3314" t="n">
        <v>0</v>
      </c>
      <c r="S3314" t="n">
        <v>0</v>
      </c>
      <c r="T3314" t="n">
        <v>0</v>
      </c>
      <c r="U3314" t="n">
        <v>0</v>
      </c>
      <c r="V3314" s="2" t="inlineStr"/>
    </row>
    <row r="3315" ht="15" customHeight="1">
      <c r="A3315" t="inlineStr">
        <is>
          <t>A 73709-2021</t>
        </is>
      </c>
      <c r="B3315" t="inlineStr">
        <is>
          <t>avverkningsanmälan</t>
        </is>
      </c>
      <c r="C3315" t="inlineStr">
        <is>
          <t>Föryngringsavverkning</t>
        </is>
      </c>
      <c r="D3315" s="1" t="n">
        <v>44552</v>
      </c>
      <c r="E3315" s="1" t="n">
        <v>46323</v>
      </c>
      <c r="F3315" t="inlineStr">
        <is>
          <t>KALMAR LÄN</t>
        </is>
      </c>
      <c r="G3315" t="inlineStr">
        <is>
          <t>HÖGSBY</t>
        </is>
      </c>
      <c r="I3315" t="n">
        <v>1.9</v>
      </c>
      <c r="J3315" t="n">
        <v>0</v>
      </c>
      <c r="K3315" t="n">
        <v>0</v>
      </c>
      <c r="L3315" t="n">
        <v>0</v>
      </c>
      <c r="M3315" t="n">
        <v>0</v>
      </c>
      <c r="N3315" t="n">
        <v>0</v>
      </c>
      <c r="O3315" t="n">
        <v>0</v>
      </c>
      <c r="P3315" t="n">
        <v>0</v>
      </c>
      <c r="Q3315" t="n">
        <v>0</v>
      </c>
      <c r="R3315" t="n">
        <v>0</v>
      </c>
      <c r="S3315" t="n">
        <v>0</v>
      </c>
      <c r="T3315" t="n">
        <v>0</v>
      </c>
      <c r="U3315" t="n">
        <v>0</v>
      </c>
      <c r="V3315" s="2" t="inlineStr"/>
    </row>
    <row r="3316" ht="15" customHeight="1">
      <c r="A3316" t="inlineStr">
        <is>
          <t>A 9662-2023</t>
        </is>
      </c>
      <c r="B3316" t="inlineStr">
        <is>
          <t>avverkningsanmälan</t>
        </is>
      </c>
      <c r="C3316" t="inlineStr">
        <is>
          <t>Föryngringsavverkning</t>
        </is>
      </c>
      <c r="D3316" s="1" t="n">
        <v>44984</v>
      </c>
      <c r="E3316" s="1" t="n">
        <v>46323</v>
      </c>
      <c r="F3316" t="inlineStr">
        <is>
          <t>KALMAR LÄN</t>
        </is>
      </c>
      <c r="G3316" t="inlineStr">
        <is>
          <t>EMMABODA</t>
        </is>
      </c>
      <c r="I3316" t="n">
        <v>1.9</v>
      </c>
      <c r="J3316" t="n">
        <v>0</v>
      </c>
      <c r="K3316" t="n">
        <v>0</v>
      </c>
      <c r="L3316" t="n">
        <v>0</v>
      </c>
      <c r="M3316" t="n">
        <v>0</v>
      </c>
      <c r="N3316" t="n">
        <v>0</v>
      </c>
      <c r="O3316" t="n">
        <v>0</v>
      </c>
      <c r="P3316" t="n">
        <v>0</v>
      </c>
      <c r="Q3316" t="n">
        <v>0</v>
      </c>
      <c r="R3316" t="n">
        <v>0</v>
      </c>
      <c r="S3316" t="n">
        <v>0</v>
      </c>
      <c r="T3316" t="n">
        <v>0</v>
      </c>
      <c r="U3316" t="n">
        <v>0</v>
      </c>
      <c r="V3316" s="2" t="inlineStr"/>
    </row>
    <row r="3317" ht="15" customHeight="1">
      <c r="A3317" t="inlineStr">
        <is>
          <t>A 784-2025</t>
        </is>
      </c>
      <c r="B3317" t="inlineStr">
        <is>
          <t>avverkningsanmälan</t>
        </is>
      </c>
      <c r="C3317" t="inlineStr">
        <is>
          <t>Föryngringsavverkning</t>
        </is>
      </c>
      <c r="D3317" s="1" t="n">
        <v>45665</v>
      </c>
      <c r="E3317" s="1" t="n">
        <v>46323</v>
      </c>
      <c r="F3317" t="inlineStr">
        <is>
          <t>KALMAR LÄN</t>
        </is>
      </c>
      <c r="G3317" t="inlineStr">
        <is>
          <t>TORSÅS</t>
        </is>
      </c>
      <c r="I3317" t="n">
        <v>1.9</v>
      </c>
      <c r="J3317" t="n">
        <v>0</v>
      </c>
      <c r="K3317" t="n">
        <v>0</v>
      </c>
      <c r="L3317" t="n">
        <v>0</v>
      </c>
      <c r="M3317" t="n">
        <v>0</v>
      </c>
      <c r="N3317" t="n">
        <v>0</v>
      </c>
      <c r="O3317" t="n">
        <v>0</v>
      </c>
      <c r="P3317" t="n">
        <v>0</v>
      </c>
      <c r="Q3317" t="n">
        <v>0</v>
      </c>
      <c r="R3317" t="n">
        <v>0</v>
      </c>
      <c r="S3317" t="n">
        <v>0</v>
      </c>
      <c r="T3317" t="n">
        <v>0</v>
      </c>
      <c r="U3317" t="n">
        <v>0</v>
      </c>
      <c r="V3317" s="2" t="inlineStr"/>
    </row>
    <row r="3318" ht="15" customHeight="1">
      <c r="A3318" t="inlineStr">
        <is>
          <t>A 15410-2023</t>
        </is>
      </c>
      <c r="B3318" t="inlineStr">
        <is>
          <t>avverkningsanmälan</t>
        </is>
      </c>
      <c r="C3318" t="inlineStr">
        <is>
          <t>Föryngringsavverkning</t>
        </is>
      </c>
      <c r="D3318" s="1" t="n">
        <v>45019</v>
      </c>
      <c r="E3318" s="1" t="n">
        <v>46323</v>
      </c>
      <c r="F3318" t="inlineStr">
        <is>
          <t>KALMAR LÄN</t>
        </is>
      </c>
      <c r="G3318" t="inlineStr">
        <is>
          <t>EMMABODA</t>
        </is>
      </c>
      <c r="I3318" t="n">
        <v>0.5</v>
      </c>
      <c r="J3318" t="n">
        <v>0</v>
      </c>
      <c r="K3318" t="n">
        <v>0</v>
      </c>
      <c r="L3318" t="n">
        <v>0</v>
      </c>
      <c r="M3318" t="n">
        <v>0</v>
      </c>
      <c r="N3318" t="n">
        <v>0</v>
      </c>
      <c r="O3318" t="n">
        <v>0</v>
      </c>
      <c r="P3318" t="n">
        <v>0</v>
      </c>
      <c r="Q3318" t="n">
        <v>0</v>
      </c>
      <c r="R3318" t="n">
        <v>0</v>
      </c>
      <c r="S3318" t="n">
        <v>0</v>
      </c>
      <c r="T3318" t="n">
        <v>0</v>
      </c>
      <c r="U3318" t="n">
        <v>0</v>
      </c>
      <c r="V3318" s="2" t="inlineStr"/>
    </row>
    <row r="3319" ht="15" customHeight="1">
      <c r="A3319" t="inlineStr">
        <is>
          <t>A 14273-2024</t>
        </is>
      </c>
      <c r="B3319" t="inlineStr">
        <is>
          <t>avverkningsanmälan</t>
        </is>
      </c>
      <c r="C3319" t="inlineStr">
        <is>
          <t>Föryngringsavverkning</t>
        </is>
      </c>
      <c r="D3319" s="1" t="n">
        <v>45393</v>
      </c>
      <c r="E3319" s="1" t="n">
        <v>46323</v>
      </c>
      <c r="F3319" t="inlineStr">
        <is>
          <t>KALMAR LÄN</t>
        </is>
      </c>
      <c r="G3319" t="inlineStr">
        <is>
          <t>HÖGSBY</t>
        </is>
      </c>
      <c r="I3319" t="n">
        <v>0.6</v>
      </c>
      <c r="J3319" t="n">
        <v>0</v>
      </c>
      <c r="K3319" t="n">
        <v>0</v>
      </c>
      <c r="L3319" t="n">
        <v>0</v>
      </c>
      <c r="M3319" t="n">
        <v>0</v>
      </c>
      <c r="N3319" t="n">
        <v>0</v>
      </c>
      <c r="O3319" t="n">
        <v>0</v>
      </c>
      <c r="P3319" t="n">
        <v>0</v>
      </c>
      <c r="Q3319" t="n">
        <v>0</v>
      </c>
      <c r="R3319" t="n">
        <v>0</v>
      </c>
      <c r="S3319" t="n">
        <v>0</v>
      </c>
      <c r="T3319" t="n">
        <v>0</v>
      </c>
      <c r="U3319" t="n">
        <v>0</v>
      </c>
      <c r="V3319" s="2" t="inlineStr"/>
    </row>
    <row r="3320" ht="15" customHeight="1">
      <c r="A3320" t="inlineStr">
        <is>
          <t>A 43034-2024</t>
        </is>
      </c>
      <c r="B3320" t="inlineStr">
        <is>
          <t>avverkningsanmälan</t>
        </is>
      </c>
      <c r="C3320" t="inlineStr">
        <is>
          <t>Föryngringsavverkning</t>
        </is>
      </c>
      <c r="D3320" s="1" t="n">
        <v>45567</v>
      </c>
      <c r="E3320" s="1" t="n">
        <v>46323</v>
      </c>
      <c r="F3320" t="inlineStr">
        <is>
          <t>KALMAR LÄN</t>
        </is>
      </c>
      <c r="G3320" t="inlineStr">
        <is>
          <t>VIMMERBY</t>
        </is>
      </c>
      <c r="I3320" t="n">
        <v>1.8</v>
      </c>
      <c r="J3320" t="n">
        <v>0</v>
      </c>
      <c r="K3320" t="n">
        <v>0</v>
      </c>
      <c r="L3320" t="n">
        <v>0</v>
      </c>
      <c r="M3320" t="n">
        <v>0</v>
      </c>
      <c r="N3320" t="n">
        <v>0</v>
      </c>
      <c r="O3320" t="n">
        <v>0</v>
      </c>
      <c r="P3320" t="n">
        <v>0</v>
      </c>
      <c r="Q3320" t="n">
        <v>0</v>
      </c>
      <c r="R3320" t="n">
        <v>0</v>
      </c>
      <c r="S3320" t="n">
        <v>0</v>
      </c>
      <c r="T3320" t="n">
        <v>0</v>
      </c>
      <c r="U3320" t="n">
        <v>0</v>
      </c>
      <c r="V3320" s="2" t="inlineStr"/>
    </row>
    <row r="3321" ht="15" customHeight="1">
      <c r="A3321" t="inlineStr">
        <is>
          <t>A 53334-2025</t>
        </is>
      </c>
      <c r="B3321" t="inlineStr">
        <is>
          <t>avverkningsanmälan</t>
        </is>
      </c>
      <c r="C3321" t="inlineStr">
        <is>
          <t>Avverkning för annat ändamål</t>
        </is>
      </c>
      <c r="D3321" s="1" t="n">
        <v>45959</v>
      </c>
      <c r="E3321" s="1" t="n">
        <v>46323</v>
      </c>
      <c r="F3321" t="inlineStr">
        <is>
          <t>KALMAR LÄN</t>
        </is>
      </c>
      <c r="G3321" t="inlineStr">
        <is>
          <t>VÄSTERVIK</t>
        </is>
      </c>
      <c r="H3321" t="inlineStr">
        <is>
          <t>Sveaskog</t>
        </is>
      </c>
      <c r="I3321" t="n">
        <v>1.4</v>
      </c>
      <c r="J3321" t="n">
        <v>0</v>
      </c>
      <c r="K3321" t="n">
        <v>0</v>
      </c>
      <c r="L3321" t="n">
        <v>0</v>
      </c>
      <c r="M3321" t="n">
        <v>0</v>
      </c>
      <c r="N3321" t="n">
        <v>0</v>
      </c>
      <c r="O3321" t="n">
        <v>0</v>
      </c>
      <c r="P3321" t="n">
        <v>0</v>
      </c>
      <c r="Q3321" t="n">
        <v>0</v>
      </c>
      <c r="R3321" t="n">
        <v>0</v>
      </c>
      <c r="S3321" t="n">
        <v>0</v>
      </c>
      <c r="T3321" t="n">
        <v>0</v>
      </c>
      <c r="U3321" t="n">
        <v>0</v>
      </c>
      <c r="V3321" s="2" t="inlineStr"/>
    </row>
    <row r="3322" ht="15" customHeight="1">
      <c r="A3322" t="inlineStr">
        <is>
          <t>A 40256-2024</t>
        </is>
      </c>
      <c r="B3322" t="inlineStr">
        <is>
          <t>avverkningsanmälan</t>
        </is>
      </c>
      <c r="C3322" t="inlineStr">
        <is>
          <t>Föryngringsavverkning</t>
        </is>
      </c>
      <c r="D3322" s="1" t="n">
        <v>45554</v>
      </c>
      <c r="E3322" s="1" t="n">
        <v>46323</v>
      </c>
      <c r="F3322" t="inlineStr">
        <is>
          <t>KALMAR LÄN</t>
        </is>
      </c>
      <c r="G3322" t="inlineStr">
        <is>
          <t>VIMMERBY</t>
        </is>
      </c>
      <c r="I3322" t="n">
        <v>0.9</v>
      </c>
      <c r="J3322" t="n">
        <v>0</v>
      </c>
      <c r="K3322" t="n">
        <v>0</v>
      </c>
      <c r="L3322" t="n">
        <v>0</v>
      </c>
      <c r="M3322" t="n">
        <v>0</v>
      </c>
      <c r="N3322" t="n">
        <v>0</v>
      </c>
      <c r="O3322" t="n">
        <v>0</v>
      </c>
      <c r="P3322" t="n">
        <v>0</v>
      </c>
      <c r="Q3322" t="n">
        <v>0</v>
      </c>
      <c r="R3322" t="n">
        <v>0</v>
      </c>
      <c r="S3322" t="n">
        <v>0</v>
      </c>
      <c r="T3322" t="n">
        <v>0</v>
      </c>
      <c r="U3322" t="n">
        <v>0</v>
      </c>
      <c r="V3322" s="2" t="inlineStr"/>
    </row>
    <row r="3323" ht="15" customHeight="1">
      <c r="A3323" t="inlineStr">
        <is>
          <t>A 53398-2025</t>
        </is>
      </c>
      <c r="B3323" t="inlineStr">
        <is>
          <t>avverkningsanmälan</t>
        </is>
      </c>
      <c r="C3323" t="inlineStr">
        <is>
          <t>Föryngringsavverkning</t>
        </is>
      </c>
      <c r="D3323" s="1" t="n">
        <v>45959</v>
      </c>
      <c r="E3323" s="1" t="n">
        <v>46323</v>
      </c>
      <c r="F3323" t="inlineStr">
        <is>
          <t>KALMAR LÄN</t>
        </is>
      </c>
      <c r="G3323" t="inlineStr">
        <is>
          <t>VIMMERBY</t>
        </is>
      </c>
      <c r="I3323" t="n">
        <v>0.8</v>
      </c>
      <c r="J3323" t="n">
        <v>0</v>
      </c>
      <c r="K3323" t="n">
        <v>0</v>
      </c>
      <c r="L3323" t="n">
        <v>0</v>
      </c>
      <c r="M3323" t="n">
        <v>0</v>
      </c>
      <c r="N3323" t="n">
        <v>0</v>
      </c>
      <c r="O3323" t="n">
        <v>0</v>
      </c>
      <c r="P3323" t="n">
        <v>0</v>
      </c>
      <c r="Q3323" t="n">
        <v>0</v>
      </c>
      <c r="R3323" t="n">
        <v>0</v>
      </c>
      <c r="S3323" t="n">
        <v>0</v>
      </c>
      <c r="T3323" t="n">
        <v>0</v>
      </c>
      <c r="U3323" t="n">
        <v>0</v>
      </c>
      <c r="V3323" s="2" t="inlineStr"/>
    </row>
    <row r="3324" ht="15" customHeight="1">
      <c r="A3324" t="inlineStr">
        <is>
          <t>A 35108-2024</t>
        </is>
      </c>
      <c r="B3324" t="inlineStr">
        <is>
          <t>avverkningsanmälan</t>
        </is>
      </c>
      <c r="C3324" t="inlineStr">
        <is>
          <t>Föryngringsavverkning</t>
        </is>
      </c>
      <c r="D3324" s="1" t="n">
        <v>45529</v>
      </c>
      <c r="E3324" s="1" t="n">
        <v>46323</v>
      </c>
      <c r="F3324" t="inlineStr">
        <is>
          <t>KALMAR LÄN</t>
        </is>
      </c>
      <c r="G3324" t="inlineStr">
        <is>
          <t>VÄSTERVIK</t>
        </is>
      </c>
      <c r="I3324" t="n">
        <v>10.5</v>
      </c>
      <c r="J3324" t="n">
        <v>0</v>
      </c>
      <c r="K3324" t="n">
        <v>0</v>
      </c>
      <c r="L3324" t="n">
        <v>0</v>
      </c>
      <c r="M3324" t="n">
        <v>0</v>
      </c>
      <c r="N3324" t="n">
        <v>0</v>
      </c>
      <c r="O3324" t="n">
        <v>0</v>
      </c>
      <c r="P3324" t="n">
        <v>0</v>
      </c>
      <c r="Q3324" t="n">
        <v>0</v>
      </c>
      <c r="R3324" t="n">
        <v>0</v>
      </c>
      <c r="S3324" t="n">
        <v>0</v>
      </c>
      <c r="T3324" t="n">
        <v>0</v>
      </c>
      <c r="U3324" t="n">
        <v>0</v>
      </c>
      <c r="V3324" s="2" t="inlineStr"/>
    </row>
    <row r="3325" ht="15" customHeight="1">
      <c r="A3325" t="inlineStr">
        <is>
          <t>A 19363-2024</t>
        </is>
      </c>
      <c r="B3325" t="inlineStr">
        <is>
          <t>avverkningsanmälan</t>
        </is>
      </c>
      <c r="C3325" t="inlineStr">
        <is>
          <t>Föryngringsavverkning</t>
        </is>
      </c>
      <c r="D3325" s="1" t="n">
        <v>45429</v>
      </c>
      <c r="E3325" s="1" t="n">
        <v>46323</v>
      </c>
      <c r="F3325" t="inlineStr">
        <is>
          <t>KALMAR LÄN</t>
        </is>
      </c>
      <c r="G3325" t="inlineStr">
        <is>
          <t>NYBRO</t>
        </is>
      </c>
      <c r="I3325" t="n">
        <v>4.4</v>
      </c>
      <c r="J3325" t="n">
        <v>0</v>
      </c>
      <c r="K3325" t="n">
        <v>0</v>
      </c>
      <c r="L3325" t="n">
        <v>0</v>
      </c>
      <c r="M3325" t="n">
        <v>0</v>
      </c>
      <c r="N3325" t="n">
        <v>0</v>
      </c>
      <c r="O3325" t="n">
        <v>0</v>
      </c>
      <c r="P3325" t="n">
        <v>0</v>
      </c>
      <c r="Q3325" t="n">
        <v>0</v>
      </c>
      <c r="R3325" t="n">
        <v>0</v>
      </c>
      <c r="S3325" t="n">
        <v>0</v>
      </c>
      <c r="T3325" t="n">
        <v>0</v>
      </c>
      <c r="U3325" t="n">
        <v>0</v>
      </c>
      <c r="V3325" s="2" t="inlineStr"/>
    </row>
    <row r="3326" ht="15" customHeight="1">
      <c r="A3326" t="inlineStr">
        <is>
          <t>A 29013-2024</t>
        </is>
      </c>
      <c r="B3326" t="inlineStr">
        <is>
          <t>avverkningsanmälan</t>
        </is>
      </c>
      <c r="C3326" t="inlineStr">
        <is>
          <t>Föryngringsavverkning</t>
        </is>
      </c>
      <c r="D3326" s="1" t="n">
        <v>45481</v>
      </c>
      <c r="E3326" s="1" t="n">
        <v>46323</v>
      </c>
      <c r="F3326" t="inlineStr">
        <is>
          <t>KALMAR LÄN</t>
        </is>
      </c>
      <c r="G3326" t="inlineStr">
        <is>
          <t>VIMMERBY</t>
        </is>
      </c>
      <c r="I3326" t="n">
        <v>3.4</v>
      </c>
      <c r="J3326" t="n">
        <v>0</v>
      </c>
      <c r="K3326" t="n">
        <v>0</v>
      </c>
      <c r="L3326" t="n">
        <v>0</v>
      </c>
      <c r="M3326" t="n">
        <v>0</v>
      </c>
      <c r="N3326" t="n">
        <v>0</v>
      </c>
      <c r="O3326" t="n">
        <v>0</v>
      </c>
      <c r="P3326" t="n">
        <v>0</v>
      </c>
      <c r="Q3326" t="n">
        <v>0</v>
      </c>
      <c r="R3326" t="n">
        <v>0</v>
      </c>
      <c r="S3326" t="n">
        <v>0</v>
      </c>
      <c r="T3326" t="n">
        <v>0</v>
      </c>
      <c r="U3326" t="n">
        <v>0</v>
      </c>
      <c r="V3326" s="2" t="inlineStr"/>
    </row>
    <row r="3327" ht="15" customHeight="1">
      <c r="A3327" t="inlineStr">
        <is>
          <t>A 55990-2022</t>
        </is>
      </c>
      <c r="B3327" t="inlineStr">
        <is>
          <t>avverkningsanmälan</t>
        </is>
      </c>
      <c r="C3327" t="inlineStr">
        <is>
          <t>Föryngringsavverkning</t>
        </is>
      </c>
      <c r="D3327" s="1" t="n">
        <v>44889</v>
      </c>
      <c r="E3327" s="1" t="n">
        <v>46323</v>
      </c>
      <c r="F3327" t="inlineStr">
        <is>
          <t>KALMAR LÄN</t>
        </is>
      </c>
      <c r="G3327" t="inlineStr">
        <is>
          <t>HULTSFRED</t>
        </is>
      </c>
      <c r="I3327" t="n">
        <v>2.6</v>
      </c>
      <c r="J3327" t="n">
        <v>0</v>
      </c>
      <c r="K3327" t="n">
        <v>0</v>
      </c>
      <c r="L3327" t="n">
        <v>0</v>
      </c>
      <c r="M3327" t="n">
        <v>0</v>
      </c>
      <c r="N3327" t="n">
        <v>0</v>
      </c>
      <c r="O3327" t="n">
        <v>0</v>
      </c>
      <c r="P3327" t="n">
        <v>0</v>
      </c>
      <c r="Q3327" t="n">
        <v>0</v>
      </c>
      <c r="R3327" t="n">
        <v>0</v>
      </c>
      <c r="S3327" t="n">
        <v>0</v>
      </c>
      <c r="T3327" t="n">
        <v>0</v>
      </c>
      <c r="U3327" t="n">
        <v>0</v>
      </c>
      <c r="V3327" s="2" t="inlineStr"/>
    </row>
    <row r="3328" ht="15" customHeight="1">
      <c r="A3328" t="inlineStr">
        <is>
          <t>A 53397-2025</t>
        </is>
      </c>
      <c r="B3328" t="inlineStr">
        <is>
          <t>avverkningsanmälan</t>
        </is>
      </c>
      <c r="C3328" t="inlineStr">
        <is>
          <t>Föryngringsavverkning</t>
        </is>
      </c>
      <c r="D3328" s="1" t="n">
        <v>45959</v>
      </c>
      <c r="E3328" s="1" t="n">
        <v>46323</v>
      </c>
      <c r="F3328" t="inlineStr">
        <is>
          <t>KALMAR LÄN</t>
        </is>
      </c>
      <c r="G3328" t="inlineStr">
        <is>
          <t>VIMMERBY</t>
        </is>
      </c>
      <c r="I3328" t="n">
        <v>1.6</v>
      </c>
      <c r="J3328" t="n">
        <v>0</v>
      </c>
      <c r="K3328" t="n">
        <v>0</v>
      </c>
      <c r="L3328" t="n">
        <v>0</v>
      </c>
      <c r="M3328" t="n">
        <v>0</v>
      </c>
      <c r="N3328" t="n">
        <v>0</v>
      </c>
      <c r="O3328" t="n">
        <v>0</v>
      </c>
      <c r="P3328" t="n">
        <v>0</v>
      </c>
      <c r="Q3328" t="n">
        <v>0</v>
      </c>
      <c r="R3328" t="n">
        <v>0</v>
      </c>
      <c r="S3328" t="n">
        <v>0</v>
      </c>
      <c r="T3328" t="n">
        <v>0</v>
      </c>
      <c r="U3328" t="n">
        <v>0</v>
      </c>
      <c r="V3328" s="2" t="inlineStr"/>
    </row>
    <row r="3329" ht="15" customHeight="1">
      <c r="A3329" t="inlineStr">
        <is>
          <t>A 9246-2023</t>
        </is>
      </c>
      <c r="B3329" t="inlineStr">
        <is>
          <t>avverkningsanmälan</t>
        </is>
      </c>
      <c r="C3329" t="inlineStr">
        <is>
          <t>Föryngringsavverkning</t>
        </is>
      </c>
      <c r="D3329" s="1" t="n">
        <v>44980</v>
      </c>
      <c r="E3329" s="1" t="n">
        <v>46323</v>
      </c>
      <c r="F3329" t="inlineStr">
        <is>
          <t>KALMAR LÄN</t>
        </is>
      </c>
      <c r="G3329" t="inlineStr">
        <is>
          <t>EMMABODA</t>
        </is>
      </c>
      <c r="I3329" t="n">
        <v>7.8</v>
      </c>
      <c r="J3329" t="n">
        <v>0</v>
      </c>
      <c r="K3329" t="n">
        <v>0</v>
      </c>
      <c r="L3329" t="n">
        <v>0</v>
      </c>
      <c r="M3329" t="n">
        <v>0</v>
      </c>
      <c r="N3329" t="n">
        <v>0</v>
      </c>
      <c r="O3329" t="n">
        <v>0</v>
      </c>
      <c r="P3329" t="n">
        <v>0</v>
      </c>
      <c r="Q3329" t="n">
        <v>0</v>
      </c>
      <c r="R3329" t="n">
        <v>0</v>
      </c>
      <c r="S3329" t="n">
        <v>0</v>
      </c>
      <c r="T3329" t="n">
        <v>0</v>
      </c>
      <c r="U3329" t="n">
        <v>0</v>
      </c>
      <c r="V3329" s="2" t="inlineStr"/>
    </row>
    <row r="3330" ht="15" customHeight="1">
      <c r="A3330" t="inlineStr">
        <is>
          <t>A 68824-2021</t>
        </is>
      </c>
      <c r="B3330" t="inlineStr">
        <is>
          <t>avverkningsanmälan</t>
        </is>
      </c>
      <c r="C3330" t="inlineStr">
        <is>
          <t>Föryngringsavverkning</t>
        </is>
      </c>
      <c r="D3330" s="1" t="n">
        <v>44530</v>
      </c>
      <c r="E3330" s="1" t="n">
        <v>46323</v>
      </c>
      <c r="F3330" t="inlineStr">
        <is>
          <t>KALMAR LÄN</t>
        </is>
      </c>
      <c r="G3330" t="inlineStr">
        <is>
          <t>HULTSFRED</t>
        </is>
      </c>
      <c r="I3330" t="n">
        <v>0.9</v>
      </c>
      <c r="J3330" t="n">
        <v>0</v>
      </c>
      <c r="K3330" t="n">
        <v>0</v>
      </c>
      <c r="L3330" t="n">
        <v>0</v>
      </c>
      <c r="M3330" t="n">
        <v>0</v>
      </c>
      <c r="N3330" t="n">
        <v>0</v>
      </c>
      <c r="O3330" t="n">
        <v>0</v>
      </c>
      <c r="P3330" t="n">
        <v>0</v>
      </c>
      <c r="Q3330" t="n">
        <v>0</v>
      </c>
      <c r="R3330" t="n">
        <v>0</v>
      </c>
      <c r="S3330" t="n">
        <v>0</v>
      </c>
      <c r="T3330" t="n">
        <v>0</v>
      </c>
      <c r="U3330" t="n">
        <v>0</v>
      </c>
      <c r="V3330" s="2" t="inlineStr"/>
    </row>
    <row r="3331" ht="15" customHeight="1">
      <c r="A3331" t="inlineStr">
        <is>
          <t>A 53534-2025</t>
        </is>
      </c>
      <c r="B3331" t="inlineStr">
        <is>
          <t>avverkningsanmälan</t>
        </is>
      </c>
      <c r="C3331" t="inlineStr">
        <is>
          <t>Föryngringsavverkning</t>
        </is>
      </c>
      <c r="D3331" s="1" t="n">
        <v>45960</v>
      </c>
      <c r="E3331" s="1" t="n">
        <v>46323</v>
      </c>
      <c r="F3331" t="inlineStr">
        <is>
          <t>KALMAR LÄN</t>
        </is>
      </c>
      <c r="G3331" t="inlineStr">
        <is>
          <t>EMMABODA</t>
        </is>
      </c>
      <c r="I3331" t="n">
        <v>0.5</v>
      </c>
      <c r="J3331" t="n">
        <v>0</v>
      </c>
      <c r="K3331" t="n">
        <v>0</v>
      </c>
      <c r="L3331" t="n">
        <v>0</v>
      </c>
      <c r="M3331" t="n">
        <v>0</v>
      </c>
      <c r="N3331" t="n">
        <v>0</v>
      </c>
      <c r="O3331" t="n">
        <v>0</v>
      </c>
      <c r="P3331" t="n">
        <v>0</v>
      </c>
      <c r="Q3331" t="n">
        <v>0</v>
      </c>
      <c r="R3331" t="n">
        <v>0</v>
      </c>
      <c r="S3331" t="n">
        <v>0</v>
      </c>
      <c r="T3331" t="n">
        <v>0</v>
      </c>
      <c r="U3331" t="n">
        <v>0</v>
      </c>
      <c r="V3331" s="2" t="inlineStr"/>
    </row>
    <row r="3332" ht="15" customHeight="1">
      <c r="A3332" t="inlineStr">
        <is>
          <t>A 11156-2023</t>
        </is>
      </c>
      <c r="B3332" t="inlineStr">
        <is>
          <t>avverkningsanmälan</t>
        </is>
      </c>
      <c r="C3332" t="inlineStr">
        <is>
          <t>Föryngringsavverkning</t>
        </is>
      </c>
      <c r="D3332" s="1" t="n">
        <v>44992</v>
      </c>
      <c r="E3332" s="1" t="n">
        <v>46323</v>
      </c>
      <c r="F3332" t="inlineStr">
        <is>
          <t>KALMAR LÄN</t>
        </is>
      </c>
      <c r="G3332" t="inlineStr">
        <is>
          <t>NYBRO</t>
        </is>
      </c>
      <c r="I3332" t="n">
        <v>0.6</v>
      </c>
      <c r="J3332" t="n">
        <v>0</v>
      </c>
      <c r="K3332" t="n">
        <v>0</v>
      </c>
      <c r="L3332" t="n">
        <v>0</v>
      </c>
      <c r="M3332" t="n">
        <v>0</v>
      </c>
      <c r="N3332" t="n">
        <v>0</v>
      </c>
      <c r="O3332" t="n">
        <v>0</v>
      </c>
      <c r="P3332" t="n">
        <v>0</v>
      </c>
      <c r="Q3332" t="n">
        <v>0</v>
      </c>
      <c r="R3332" t="n">
        <v>0</v>
      </c>
      <c r="S3332" t="n">
        <v>0</v>
      </c>
      <c r="T3332" t="n">
        <v>0</v>
      </c>
      <c r="U3332" t="n">
        <v>0</v>
      </c>
      <c r="V3332" s="2" t="inlineStr"/>
    </row>
    <row r="3333" ht="15" customHeight="1">
      <c r="A3333" t="inlineStr">
        <is>
          <t>A 16495-2023</t>
        </is>
      </c>
      <c r="B3333" t="inlineStr">
        <is>
          <t>avverkningsanmälan</t>
        </is>
      </c>
      <c r="C3333" t="inlineStr">
        <is>
          <t>Avverkning för annat ändamål</t>
        </is>
      </c>
      <c r="D3333" s="1" t="n">
        <v>45026</v>
      </c>
      <c r="E3333" s="1" t="n">
        <v>46323</v>
      </c>
      <c r="F3333" t="inlineStr">
        <is>
          <t>KALMAR LÄN</t>
        </is>
      </c>
      <c r="G3333" t="inlineStr">
        <is>
          <t>HULTSFRED</t>
        </is>
      </c>
      <c r="I3333" t="n">
        <v>12.6</v>
      </c>
      <c r="J3333" t="n">
        <v>0</v>
      </c>
      <c r="K3333" t="n">
        <v>0</v>
      </c>
      <c r="L3333" t="n">
        <v>0</v>
      </c>
      <c r="M3333" t="n">
        <v>0</v>
      </c>
      <c r="N3333" t="n">
        <v>0</v>
      </c>
      <c r="O3333" t="n">
        <v>0</v>
      </c>
      <c r="P3333" t="n">
        <v>0</v>
      </c>
      <c r="Q3333" t="n">
        <v>0</v>
      </c>
      <c r="R3333" t="n">
        <v>0</v>
      </c>
      <c r="S3333" t="n">
        <v>0</v>
      </c>
      <c r="T3333" t="n">
        <v>0</v>
      </c>
      <c r="U3333" t="n">
        <v>0</v>
      </c>
      <c r="V3333" s="2" t="inlineStr"/>
    </row>
    <row r="3334" ht="15" customHeight="1">
      <c r="A3334" t="inlineStr">
        <is>
          <t>A 40050-2022</t>
        </is>
      </c>
      <c r="B3334" t="inlineStr">
        <is>
          <t>avverkningsanmälan</t>
        </is>
      </c>
      <c r="C3334" t="inlineStr">
        <is>
          <t>Föryngringsavverkning</t>
        </is>
      </c>
      <c r="D3334" s="1" t="n">
        <v>44820</v>
      </c>
      <c r="E3334" s="1" t="n">
        <v>46323</v>
      </c>
      <c r="F3334" t="inlineStr">
        <is>
          <t>KALMAR LÄN</t>
        </is>
      </c>
      <c r="G3334" t="inlineStr">
        <is>
          <t>VÄSTERVIK</t>
        </is>
      </c>
      <c r="I3334" t="n">
        <v>1.8</v>
      </c>
      <c r="J3334" t="n">
        <v>0</v>
      </c>
      <c r="K3334" t="n">
        <v>0</v>
      </c>
      <c r="L3334" t="n">
        <v>0</v>
      </c>
      <c r="M3334" t="n">
        <v>0</v>
      </c>
      <c r="N3334" t="n">
        <v>0</v>
      </c>
      <c r="O3334" t="n">
        <v>0</v>
      </c>
      <c r="P3334" t="n">
        <v>0</v>
      </c>
      <c r="Q3334" t="n">
        <v>0</v>
      </c>
      <c r="R3334" t="n">
        <v>0</v>
      </c>
      <c r="S3334" t="n">
        <v>0</v>
      </c>
      <c r="T3334" t="n">
        <v>0</v>
      </c>
      <c r="U3334" t="n">
        <v>0</v>
      </c>
      <c r="V3334" s="2" t="inlineStr"/>
    </row>
    <row r="3335" ht="15" customHeight="1">
      <c r="A3335" t="inlineStr">
        <is>
          <t>A 71340-2021</t>
        </is>
      </c>
      <c r="B3335" t="inlineStr">
        <is>
          <t>avverkningsanmälan</t>
        </is>
      </c>
      <c r="C3335" t="inlineStr">
        <is>
          <t>Föryngringsavverkning</t>
        </is>
      </c>
      <c r="D3335" s="1" t="n">
        <v>44539</v>
      </c>
      <c r="E3335" s="1" t="n">
        <v>46323</v>
      </c>
      <c r="F3335" t="inlineStr">
        <is>
          <t>KALMAR LÄN</t>
        </is>
      </c>
      <c r="G3335" t="inlineStr">
        <is>
          <t>OSKARSHAMN</t>
        </is>
      </c>
      <c r="H3335" t="inlineStr">
        <is>
          <t>Sveaskog</t>
        </is>
      </c>
      <c r="I3335" t="n">
        <v>1.3</v>
      </c>
      <c r="J3335" t="n">
        <v>0</v>
      </c>
      <c r="K3335" t="n">
        <v>0</v>
      </c>
      <c r="L3335" t="n">
        <v>0</v>
      </c>
      <c r="M3335" t="n">
        <v>0</v>
      </c>
      <c r="N3335" t="n">
        <v>0</v>
      </c>
      <c r="O3335" t="n">
        <v>0</v>
      </c>
      <c r="P3335" t="n">
        <v>0</v>
      </c>
      <c r="Q3335" t="n">
        <v>0</v>
      </c>
      <c r="R3335" t="n">
        <v>0</v>
      </c>
      <c r="S3335" t="n">
        <v>0</v>
      </c>
      <c r="T3335" t="n">
        <v>0</v>
      </c>
      <c r="U3335" t="n">
        <v>0</v>
      </c>
      <c r="V3335" s="2" t="inlineStr"/>
    </row>
    <row r="3336" ht="15" customHeight="1">
      <c r="A3336" t="inlineStr">
        <is>
          <t>A 53345-2025</t>
        </is>
      </c>
      <c r="B3336" t="inlineStr">
        <is>
          <t>avverkningsanmälan</t>
        </is>
      </c>
      <c r="C3336" t="inlineStr">
        <is>
          <t>Föryngringsavverkning</t>
        </is>
      </c>
      <c r="D3336" s="1" t="n">
        <v>45959</v>
      </c>
      <c r="E3336" s="1" t="n">
        <v>46323</v>
      </c>
      <c r="F3336" t="inlineStr">
        <is>
          <t>KALMAR LÄN</t>
        </is>
      </c>
      <c r="G3336" t="inlineStr">
        <is>
          <t>HULTSFRED</t>
        </is>
      </c>
      <c r="I3336" t="n">
        <v>2</v>
      </c>
      <c r="J3336" t="n">
        <v>0</v>
      </c>
      <c r="K3336" t="n">
        <v>0</v>
      </c>
      <c r="L3336" t="n">
        <v>0</v>
      </c>
      <c r="M3336" t="n">
        <v>0</v>
      </c>
      <c r="N3336" t="n">
        <v>0</v>
      </c>
      <c r="O3336" t="n">
        <v>0</v>
      </c>
      <c r="P3336" t="n">
        <v>0</v>
      </c>
      <c r="Q3336" t="n">
        <v>0</v>
      </c>
      <c r="R3336" t="n">
        <v>0</v>
      </c>
      <c r="S3336" t="n">
        <v>0</v>
      </c>
      <c r="T3336" t="n">
        <v>0</v>
      </c>
      <c r="U3336" t="n">
        <v>0</v>
      </c>
      <c r="V3336" s="2" t="inlineStr"/>
    </row>
    <row r="3337" ht="15" customHeight="1">
      <c r="A3337" t="inlineStr">
        <is>
          <t>A 37028-2024</t>
        </is>
      </c>
      <c r="B3337" t="inlineStr">
        <is>
          <t>avverkningsanmälan</t>
        </is>
      </c>
      <c r="C3337" t="inlineStr">
        <is>
          <t>Föryngringsavverkning</t>
        </is>
      </c>
      <c r="D3337" s="1" t="n">
        <v>45539</v>
      </c>
      <c r="E3337" s="1" t="n">
        <v>46323</v>
      </c>
      <c r="F3337" t="inlineStr">
        <is>
          <t>KALMAR LÄN</t>
        </is>
      </c>
      <c r="G3337" t="inlineStr">
        <is>
          <t>VIMMERBY</t>
        </is>
      </c>
      <c r="I3337" t="n">
        <v>5.2</v>
      </c>
      <c r="J3337" t="n">
        <v>0</v>
      </c>
      <c r="K3337" t="n">
        <v>0</v>
      </c>
      <c r="L3337" t="n">
        <v>0</v>
      </c>
      <c r="M3337" t="n">
        <v>0</v>
      </c>
      <c r="N3337" t="n">
        <v>0</v>
      </c>
      <c r="O3337" t="n">
        <v>0</v>
      </c>
      <c r="P3337" t="n">
        <v>0</v>
      </c>
      <c r="Q3337" t="n">
        <v>0</v>
      </c>
      <c r="R3337" t="n">
        <v>0</v>
      </c>
      <c r="S3337" t="n">
        <v>0</v>
      </c>
      <c r="T3337" t="n">
        <v>0</v>
      </c>
      <c r="U3337" t="n">
        <v>0</v>
      </c>
      <c r="V3337" s="2" t="inlineStr"/>
    </row>
    <row r="3338" ht="15" customHeight="1">
      <c r="A3338" t="inlineStr">
        <is>
          <t>A 3820-2023</t>
        </is>
      </c>
      <c r="B3338" t="inlineStr">
        <is>
          <t>avverkningsanmälan</t>
        </is>
      </c>
      <c r="C3338" t="inlineStr">
        <is>
          <t>Föryngringsavverkning</t>
        </is>
      </c>
      <c r="D3338" s="1" t="n">
        <v>44951</v>
      </c>
      <c r="E3338" s="1" t="n">
        <v>46323</v>
      </c>
      <c r="F3338" t="inlineStr">
        <is>
          <t>KALMAR LÄN</t>
        </is>
      </c>
      <c r="G3338" t="inlineStr">
        <is>
          <t>OSKARSHAMN</t>
        </is>
      </c>
      <c r="I3338" t="n">
        <v>5.3</v>
      </c>
      <c r="J3338" t="n">
        <v>0</v>
      </c>
      <c r="K3338" t="n">
        <v>0</v>
      </c>
      <c r="L3338" t="n">
        <v>0</v>
      </c>
      <c r="M3338" t="n">
        <v>0</v>
      </c>
      <c r="N3338" t="n">
        <v>0</v>
      </c>
      <c r="O3338" t="n">
        <v>0</v>
      </c>
      <c r="P3338" t="n">
        <v>0</v>
      </c>
      <c r="Q3338" t="n">
        <v>0</v>
      </c>
      <c r="R3338" t="n">
        <v>0</v>
      </c>
      <c r="S3338" t="n">
        <v>0</v>
      </c>
      <c r="T3338" t="n">
        <v>0</v>
      </c>
      <c r="U3338" t="n">
        <v>0</v>
      </c>
      <c r="V3338" s="2" t="inlineStr"/>
    </row>
    <row r="3339" ht="15" customHeight="1">
      <c r="A3339" t="inlineStr">
        <is>
          <t>A 37973-2024</t>
        </is>
      </c>
      <c r="B3339" t="inlineStr">
        <is>
          <t>avverkningsanmälan</t>
        </is>
      </c>
      <c r="C3339" t="inlineStr">
        <is>
          <t>Föryngringsavverkning</t>
        </is>
      </c>
      <c r="D3339" s="1" t="n">
        <v>45544</v>
      </c>
      <c r="E3339" s="1" t="n">
        <v>46323</v>
      </c>
      <c r="F3339" t="inlineStr">
        <is>
          <t>KALMAR LÄN</t>
        </is>
      </c>
      <c r="G3339" t="inlineStr">
        <is>
          <t>KALMAR</t>
        </is>
      </c>
      <c r="I3339" t="n">
        <v>0.5</v>
      </c>
      <c r="J3339" t="n">
        <v>0</v>
      </c>
      <c r="K3339" t="n">
        <v>0</v>
      </c>
      <c r="L3339" t="n">
        <v>0</v>
      </c>
      <c r="M3339" t="n">
        <v>0</v>
      </c>
      <c r="N3339" t="n">
        <v>0</v>
      </c>
      <c r="O3339" t="n">
        <v>0</v>
      </c>
      <c r="P3339" t="n">
        <v>0</v>
      </c>
      <c r="Q3339" t="n">
        <v>0</v>
      </c>
      <c r="R3339" t="n">
        <v>0</v>
      </c>
      <c r="S3339" t="n">
        <v>0</v>
      </c>
      <c r="T3339" t="n">
        <v>0</v>
      </c>
      <c r="U3339" t="n">
        <v>0</v>
      </c>
      <c r="V3339" s="2" t="inlineStr"/>
    </row>
    <row r="3340" ht="15" customHeight="1">
      <c r="A3340" t="inlineStr">
        <is>
          <t>A 29782-2023</t>
        </is>
      </c>
      <c r="B3340" t="inlineStr">
        <is>
          <t>avverkningsanmälan</t>
        </is>
      </c>
      <c r="C3340" t="inlineStr">
        <is>
          <t>Föryngringsavverkning</t>
        </is>
      </c>
      <c r="D3340" s="1" t="n">
        <v>45107</v>
      </c>
      <c r="E3340" s="1" t="n">
        <v>46323</v>
      </c>
      <c r="F3340" t="inlineStr">
        <is>
          <t>KALMAR LÄN</t>
        </is>
      </c>
      <c r="G3340" t="inlineStr">
        <is>
          <t>EMMABODA</t>
        </is>
      </c>
      <c r="I3340" t="n">
        <v>7.4</v>
      </c>
      <c r="J3340" t="n">
        <v>0</v>
      </c>
      <c r="K3340" t="n">
        <v>0</v>
      </c>
      <c r="L3340" t="n">
        <v>0</v>
      </c>
      <c r="M3340" t="n">
        <v>0</v>
      </c>
      <c r="N3340" t="n">
        <v>0</v>
      </c>
      <c r="O3340" t="n">
        <v>0</v>
      </c>
      <c r="P3340" t="n">
        <v>0</v>
      </c>
      <c r="Q3340" t="n">
        <v>0</v>
      </c>
      <c r="R3340" t="n">
        <v>0</v>
      </c>
      <c r="S3340" t="n">
        <v>0</v>
      </c>
      <c r="T3340" t="n">
        <v>0</v>
      </c>
      <c r="U3340" t="n">
        <v>0</v>
      </c>
      <c r="V3340" s="2" t="inlineStr"/>
    </row>
    <row r="3341" ht="15" customHeight="1">
      <c r="A3341" t="inlineStr">
        <is>
          <t>A 53396-2025</t>
        </is>
      </c>
      <c r="B3341" t="inlineStr">
        <is>
          <t>avverkningsanmälan</t>
        </is>
      </c>
      <c r="C3341" t="inlineStr">
        <is>
          <t>Föryngringsavverkning</t>
        </is>
      </c>
      <c r="D3341" s="1" t="n">
        <v>45959</v>
      </c>
      <c r="E3341" s="1" t="n">
        <v>46323</v>
      </c>
      <c r="F3341" t="inlineStr">
        <is>
          <t>KALMAR LÄN</t>
        </is>
      </c>
      <c r="G3341" t="inlineStr">
        <is>
          <t>VIMMERBY</t>
        </is>
      </c>
      <c r="I3341" t="n">
        <v>0.6</v>
      </c>
      <c r="J3341" t="n">
        <v>0</v>
      </c>
      <c r="K3341" t="n">
        <v>0</v>
      </c>
      <c r="L3341" t="n">
        <v>0</v>
      </c>
      <c r="M3341" t="n">
        <v>0</v>
      </c>
      <c r="N3341" t="n">
        <v>0</v>
      </c>
      <c r="O3341" t="n">
        <v>0</v>
      </c>
      <c r="P3341" t="n">
        <v>0</v>
      </c>
      <c r="Q3341" t="n">
        <v>0</v>
      </c>
      <c r="R3341" t="n">
        <v>0</v>
      </c>
      <c r="S3341" t="n">
        <v>0</v>
      </c>
      <c r="T3341" t="n">
        <v>0</v>
      </c>
      <c r="U3341" t="n">
        <v>0</v>
      </c>
      <c r="V3341" s="2" t="inlineStr"/>
    </row>
    <row r="3342" ht="15" customHeight="1">
      <c r="A3342" t="inlineStr">
        <is>
          <t>A 35456-2024</t>
        </is>
      </c>
      <c r="B3342" t="inlineStr">
        <is>
          <t>avverkningsanmälan</t>
        </is>
      </c>
      <c r="C3342" t="inlineStr">
        <is>
          <t>Föryngringsavverkning</t>
        </is>
      </c>
      <c r="D3342" s="1" t="n">
        <v>45531</v>
      </c>
      <c r="E3342" s="1" t="n">
        <v>46323</v>
      </c>
      <c r="F3342" t="inlineStr">
        <is>
          <t>KALMAR LÄN</t>
        </is>
      </c>
      <c r="G3342" t="inlineStr">
        <is>
          <t>VÄSTERVIK</t>
        </is>
      </c>
      <c r="I3342" t="n">
        <v>5.8</v>
      </c>
      <c r="J3342" t="n">
        <v>0</v>
      </c>
      <c r="K3342" t="n">
        <v>0</v>
      </c>
      <c r="L3342" t="n">
        <v>0</v>
      </c>
      <c r="M3342" t="n">
        <v>0</v>
      </c>
      <c r="N3342" t="n">
        <v>0</v>
      </c>
      <c r="O3342" t="n">
        <v>0</v>
      </c>
      <c r="P3342" t="n">
        <v>0</v>
      </c>
      <c r="Q3342" t="n">
        <v>0</v>
      </c>
      <c r="R3342" t="n">
        <v>0</v>
      </c>
      <c r="S3342" t="n">
        <v>0</v>
      </c>
      <c r="T3342" t="n">
        <v>0</v>
      </c>
      <c r="U3342" t="n">
        <v>0</v>
      </c>
      <c r="V3342" s="2" t="inlineStr"/>
    </row>
    <row r="3343" ht="15" customHeight="1">
      <c r="A3343" t="inlineStr">
        <is>
          <t>A 27996-2023</t>
        </is>
      </c>
      <c r="B3343" t="inlineStr">
        <is>
          <t>avverkningsanmälan</t>
        </is>
      </c>
      <c r="C3343" t="inlineStr">
        <is>
          <t>Föryngringsavverkning</t>
        </is>
      </c>
      <c r="D3343" s="1" t="n">
        <v>45098</v>
      </c>
      <c r="E3343" s="1" t="n">
        <v>46323</v>
      </c>
      <c r="F3343" t="inlineStr">
        <is>
          <t>KALMAR LÄN</t>
        </is>
      </c>
      <c r="G3343" t="inlineStr">
        <is>
          <t>EMMABODA</t>
        </is>
      </c>
      <c r="I3343" t="n">
        <v>3.1</v>
      </c>
      <c r="J3343" t="n">
        <v>0</v>
      </c>
      <c r="K3343" t="n">
        <v>0</v>
      </c>
      <c r="L3343" t="n">
        <v>0</v>
      </c>
      <c r="M3343" t="n">
        <v>0</v>
      </c>
      <c r="N3343" t="n">
        <v>0</v>
      </c>
      <c r="O3343" t="n">
        <v>0</v>
      </c>
      <c r="P3343" t="n">
        <v>0</v>
      </c>
      <c r="Q3343" t="n">
        <v>0</v>
      </c>
      <c r="R3343" t="n">
        <v>0</v>
      </c>
      <c r="S3343" t="n">
        <v>0</v>
      </c>
      <c r="T3343" t="n">
        <v>0</v>
      </c>
      <c r="U3343" t="n">
        <v>0</v>
      </c>
      <c r="V3343" s="2" t="inlineStr"/>
    </row>
    <row r="3344" ht="15" customHeight="1">
      <c r="A3344" t="inlineStr">
        <is>
          <t>A 27997-2023</t>
        </is>
      </c>
      <c r="B3344" t="inlineStr">
        <is>
          <t>avverkningsanmälan</t>
        </is>
      </c>
      <c r="C3344" t="inlineStr">
        <is>
          <t>Föryngringsavverkning</t>
        </is>
      </c>
      <c r="D3344" s="1" t="n">
        <v>45098</v>
      </c>
      <c r="E3344" s="1" t="n">
        <v>46323</v>
      </c>
      <c r="F3344" t="inlineStr">
        <is>
          <t>KALMAR LÄN</t>
        </is>
      </c>
      <c r="G3344" t="inlineStr">
        <is>
          <t>NYBRO</t>
        </is>
      </c>
      <c r="I3344" t="n">
        <v>1.5</v>
      </c>
      <c r="J3344" t="n">
        <v>0</v>
      </c>
      <c r="K3344" t="n">
        <v>0</v>
      </c>
      <c r="L3344" t="n">
        <v>0</v>
      </c>
      <c r="M3344" t="n">
        <v>0</v>
      </c>
      <c r="N3344" t="n">
        <v>0</v>
      </c>
      <c r="O3344" t="n">
        <v>0</v>
      </c>
      <c r="P3344" t="n">
        <v>0</v>
      </c>
      <c r="Q3344" t="n">
        <v>0</v>
      </c>
      <c r="R3344" t="n">
        <v>0</v>
      </c>
      <c r="S3344" t="n">
        <v>0</v>
      </c>
      <c r="T3344" t="n">
        <v>0</v>
      </c>
      <c r="U3344" t="n">
        <v>0</v>
      </c>
      <c r="V3344" s="2" t="inlineStr"/>
    </row>
    <row r="3345" ht="15" customHeight="1">
      <c r="A3345" t="inlineStr">
        <is>
          <t>A 49625-2023</t>
        </is>
      </c>
      <c r="B3345" t="inlineStr">
        <is>
          <t>avverkningsanmälan</t>
        </is>
      </c>
      <c r="C3345" t="inlineStr">
        <is>
          <t>Föryngringsavverkning</t>
        </is>
      </c>
      <c r="D3345" s="1" t="n">
        <v>45211</v>
      </c>
      <c r="E3345" s="1" t="n">
        <v>46323</v>
      </c>
      <c r="F3345" t="inlineStr">
        <is>
          <t>KALMAR LÄN</t>
        </is>
      </c>
      <c r="G3345" t="inlineStr">
        <is>
          <t>EMMABODA</t>
        </is>
      </c>
      <c r="I3345" t="n">
        <v>2.2</v>
      </c>
      <c r="J3345" t="n">
        <v>0</v>
      </c>
      <c r="K3345" t="n">
        <v>0</v>
      </c>
      <c r="L3345" t="n">
        <v>0</v>
      </c>
      <c r="M3345" t="n">
        <v>0</v>
      </c>
      <c r="N3345" t="n">
        <v>0</v>
      </c>
      <c r="O3345" t="n">
        <v>0</v>
      </c>
      <c r="P3345" t="n">
        <v>0</v>
      </c>
      <c r="Q3345" t="n">
        <v>0</v>
      </c>
      <c r="R3345" t="n">
        <v>0</v>
      </c>
      <c r="S3345" t="n">
        <v>0</v>
      </c>
      <c r="T3345" t="n">
        <v>0</v>
      </c>
      <c r="U3345" t="n">
        <v>0</v>
      </c>
      <c r="V3345" s="2" t="inlineStr"/>
    </row>
    <row r="3346" ht="15" customHeight="1">
      <c r="A3346" t="inlineStr">
        <is>
          <t>A 31691-2023</t>
        </is>
      </c>
      <c r="B3346" t="inlineStr">
        <is>
          <t>avverkningsanmälan</t>
        </is>
      </c>
      <c r="C3346" t="inlineStr">
        <is>
          <t>Föryngringsavverkning</t>
        </is>
      </c>
      <c r="D3346" s="1" t="n">
        <v>45117</v>
      </c>
      <c r="E3346" s="1" t="n">
        <v>46323</v>
      </c>
      <c r="F3346" t="inlineStr">
        <is>
          <t>KALMAR LÄN</t>
        </is>
      </c>
      <c r="G3346" t="inlineStr">
        <is>
          <t>VÄSTERVIK</t>
        </is>
      </c>
      <c r="I3346" t="n">
        <v>0.6</v>
      </c>
      <c r="J3346" t="n">
        <v>0</v>
      </c>
      <c r="K3346" t="n">
        <v>0</v>
      </c>
      <c r="L3346" t="n">
        <v>0</v>
      </c>
      <c r="M3346" t="n">
        <v>0</v>
      </c>
      <c r="N3346" t="n">
        <v>0</v>
      </c>
      <c r="O3346" t="n">
        <v>0</v>
      </c>
      <c r="P3346" t="n">
        <v>0</v>
      </c>
      <c r="Q3346" t="n">
        <v>0</v>
      </c>
      <c r="R3346" t="n">
        <v>0</v>
      </c>
      <c r="S3346" t="n">
        <v>0</v>
      </c>
      <c r="T3346" t="n">
        <v>0</v>
      </c>
      <c r="U3346" t="n">
        <v>0</v>
      </c>
      <c r="V3346" s="2" t="inlineStr"/>
    </row>
    <row r="3347" ht="15" customHeight="1">
      <c r="A3347" t="inlineStr">
        <is>
          <t>A 37187-2024</t>
        </is>
      </c>
      <c r="B3347" t="inlineStr">
        <is>
          <t>avverkningsanmälan</t>
        </is>
      </c>
      <c r="C3347" t="inlineStr">
        <is>
          <t>Föryngringsavverkning</t>
        </is>
      </c>
      <c r="D3347" s="1" t="n">
        <v>45539</v>
      </c>
      <c r="E3347" s="1" t="n">
        <v>46323</v>
      </c>
      <c r="F3347" t="inlineStr">
        <is>
          <t>KALMAR LÄN</t>
        </is>
      </c>
      <c r="G3347" t="inlineStr">
        <is>
          <t>VIMMERBY</t>
        </is>
      </c>
      <c r="I3347" t="n">
        <v>2.7</v>
      </c>
      <c r="J3347" t="n">
        <v>0</v>
      </c>
      <c r="K3347" t="n">
        <v>0</v>
      </c>
      <c r="L3347" t="n">
        <v>0</v>
      </c>
      <c r="M3347" t="n">
        <v>0</v>
      </c>
      <c r="N3347" t="n">
        <v>0</v>
      </c>
      <c r="O3347" t="n">
        <v>0</v>
      </c>
      <c r="P3347" t="n">
        <v>0</v>
      </c>
      <c r="Q3347" t="n">
        <v>0</v>
      </c>
      <c r="R3347" t="n">
        <v>0</v>
      </c>
      <c r="S3347" t="n">
        <v>0</v>
      </c>
      <c r="T3347" t="n">
        <v>0</v>
      </c>
      <c r="U3347" t="n">
        <v>0</v>
      </c>
      <c r="V3347" s="2" t="inlineStr"/>
    </row>
    <row r="3348" ht="15" customHeight="1">
      <c r="A3348" t="inlineStr">
        <is>
          <t>A 53900-2025</t>
        </is>
      </c>
      <c r="B3348" t="inlineStr">
        <is>
          <t>avverkningsanmälan</t>
        </is>
      </c>
      <c r="C3348" t="inlineStr">
        <is>
          <t>Föryngringsavverkning</t>
        </is>
      </c>
      <c r="D3348" s="1" t="n">
        <v>45961</v>
      </c>
      <c r="E3348" s="1" t="n">
        <v>46323</v>
      </c>
      <c r="F3348" t="inlineStr">
        <is>
          <t>KALMAR LÄN</t>
        </is>
      </c>
      <c r="G3348" t="inlineStr">
        <is>
          <t>HULTSFRED</t>
        </is>
      </c>
      <c r="H3348" t="inlineStr">
        <is>
          <t>Sveaskog</t>
        </is>
      </c>
      <c r="I3348" t="n">
        <v>2.4</v>
      </c>
      <c r="J3348" t="n">
        <v>0</v>
      </c>
      <c r="K3348" t="n">
        <v>0</v>
      </c>
      <c r="L3348" t="n">
        <v>0</v>
      </c>
      <c r="M3348" t="n">
        <v>0</v>
      </c>
      <c r="N3348" t="n">
        <v>0</v>
      </c>
      <c r="O3348" t="n">
        <v>0</v>
      </c>
      <c r="P3348" t="n">
        <v>0</v>
      </c>
      <c r="Q3348" t="n">
        <v>0</v>
      </c>
      <c r="R3348" t="n">
        <v>0</v>
      </c>
      <c r="S3348" t="n">
        <v>0</v>
      </c>
      <c r="T3348" t="n">
        <v>0</v>
      </c>
      <c r="U3348" t="n">
        <v>0</v>
      </c>
      <c r="V3348" s="2" t="inlineStr"/>
    </row>
    <row r="3349" ht="15" customHeight="1">
      <c r="A3349" t="inlineStr">
        <is>
          <t>A 53910-2025</t>
        </is>
      </c>
      <c r="B3349" t="inlineStr">
        <is>
          <t>avverkningsanmälan</t>
        </is>
      </c>
      <c r="C3349" t="inlineStr">
        <is>
          <t>Föryngringsavverkning</t>
        </is>
      </c>
      <c r="D3349" s="1" t="n">
        <v>45961</v>
      </c>
      <c r="E3349" s="1" t="n">
        <v>46323</v>
      </c>
      <c r="F3349" t="inlineStr">
        <is>
          <t>KALMAR LÄN</t>
        </is>
      </c>
      <c r="G3349" t="inlineStr">
        <is>
          <t>HULTSFRED</t>
        </is>
      </c>
      <c r="H3349" t="inlineStr">
        <is>
          <t>Sveaskog</t>
        </is>
      </c>
      <c r="I3349" t="n">
        <v>2.1</v>
      </c>
      <c r="J3349" t="n">
        <v>0</v>
      </c>
      <c r="K3349" t="n">
        <v>0</v>
      </c>
      <c r="L3349" t="n">
        <v>0</v>
      </c>
      <c r="M3349" t="n">
        <v>0</v>
      </c>
      <c r="N3349" t="n">
        <v>0</v>
      </c>
      <c r="O3349" t="n">
        <v>0</v>
      </c>
      <c r="P3349" t="n">
        <v>0</v>
      </c>
      <c r="Q3349" t="n">
        <v>0</v>
      </c>
      <c r="R3349" t="n">
        <v>0</v>
      </c>
      <c r="S3349" t="n">
        <v>0</v>
      </c>
      <c r="T3349" t="n">
        <v>0</v>
      </c>
      <c r="U3349" t="n">
        <v>0</v>
      </c>
      <c r="V3349" s="2" t="inlineStr"/>
    </row>
    <row r="3350" ht="15" customHeight="1">
      <c r="A3350" t="inlineStr">
        <is>
          <t>A 44924-2022</t>
        </is>
      </c>
      <c r="B3350" t="inlineStr">
        <is>
          <t>avverkningsanmälan</t>
        </is>
      </c>
      <c r="C3350" t="inlineStr">
        <is>
          <t>Föryngringsavverkning</t>
        </is>
      </c>
      <c r="D3350" s="1" t="n">
        <v>44840</v>
      </c>
      <c r="E3350" s="1" t="n">
        <v>46323</v>
      </c>
      <c r="F3350" t="inlineStr">
        <is>
          <t>KALMAR LÄN</t>
        </is>
      </c>
      <c r="G3350" t="inlineStr">
        <is>
          <t>EMMABODA</t>
        </is>
      </c>
      <c r="H3350" t="inlineStr">
        <is>
          <t>Övriga Aktiebolag</t>
        </is>
      </c>
      <c r="I3350" t="n">
        <v>1.5</v>
      </c>
      <c r="J3350" t="n">
        <v>0</v>
      </c>
      <c r="K3350" t="n">
        <v>0</v>
      </c>
      <c r="L3350" t="n">
        <v>0</v>
      </c>
      <c r="M3350" t="n">
        <v>0</v>
      </c>
      <c r="N3350" t="n">
        <v>0</v>
      </c>
      <c r="O3350" t="n">
        <v>0</v>
      </c>
      <c r="P3350" t="n">
        <v>0</v>
      </c>
      <c r="Q3350" t="n">
        <v>0</v>
      </c>
      <c r="R3350" t="n">
        <v>0</v>
      </c>
      <c r="S3350" t="n">
        <v>0</v>
      </c>
      <c r="T3350" t="n">
        <v>0</v>
      </c>
      <c r="U3350" t="n">
        <v>0</v>
      </c>
      <c r="V3350" s="2" t="inlineStr"/>
    </row>
    <row r="3351" ht="15" customHeight="1">
      <c r="A3351" t="inlineStr">
        <is>
          <t>A 52311-2022</t>
        </is>
      </c>
      <c r="B3351" t="inlineStr">
        <is>
          <t>avverkningsanmälan</t>
        </is>
      </c>
      <c r="C3351" t="inlineStr">
        <is>
          <t>Föryngringsavverkning</t>
        </is>
      </c>
      <c r="D3351" s="1" t="n">
        <v>44873</v>
      </c>
      <c r="E3351" s="1" t="n">
        <v>46323</v>
      </c>
      <c r="F3351" t="inlineStr">
        <is>
          <t>KALMAR LÄN</t>
        </is>
      </c>
      <c r="G3351" t="inlineStr">
        <is>
          <t>NYBRO</t>
        </is>
      </c>
      <c r="I3351" t="n">
        <v>4.1</v>
      </c>
      <c r="J3351" t="n">
        <v>0</v>
      </c>
      <c r="K3351" t="n">
        <v>0</v>
      </c>
      <c r="L3351" t="n">
        <v>0</v>
      </c>
      <c r="M3351" t="n">
        <v>0</v>
      </c>
      <c r="N3351" t="n">
        <v>0</v>
      </c>
      <c r="O3351" t="n">
        <v>0</v>
      </c>
      <c r="P3351" t="n">
        <v>0</v>
      </c>
      <c r="Q3351" t="n">
        <v>0</v>
      </c>
      <c r="R3351" t="n">
        <v>0</v>
      </c>
      <c r="S3351" t="n">
        <v>0</v>
      </c>
      <c r="T3351" t="n">
        <v>0</v>
      </c>
      <c r="U3351" t="n">
        <v>0</v>
      </c>
      <c r="V3351" s="2" t="inlineStr"/>
    </row>
    <row r="3352" ht="15" customHeight="1">
      <c r="A3352" t="inlineStr">
        <is>
          <t>A 53914-2025</t>
        </is>
      </c>
      <c r="B3352" t="inlineStr">
        <is>
          <t>avverkningsanmälan</t>
        </is>
      </c>
      <c r="C3352" t="inlineStr">
        <is>
          <t>Föryngringsavverkning</t>
        </is>
      </c>
      <c r="D3352" s="1" t="n">
        <v>45961</v>
      </c>
      <c r="E3352" s="1" t="n">
        <v>46323</v>
      </c>
      <c r="F3352" t="inlineStr">
        <is>
          <t>KALMAR LÄN</t>
        </is>
      </c>
      <c r="G3352" t="inlineStr">
        <is>
          <t>HULTSFRED</t>
        </is>
      </c>
      <c r="H3352" t="inlineStr">
        <is>
          <t>Sveaskog</t>
        </is>
      </c>
      <c r="I3352" t="n">
        <v>3.5</v>
      </c>
      <c r="J3352" t="n">
        <v>0</v>
      </c>
      <c r="K3352" t="n">
        <v>0</v>
      </c>
      <c r="L3352" t="n">
        <v>0</v>
      </c>
      <c r="M3352" t="n">
        <v>0</v>
      </c>
      <c r="N3352" t="n">
        <v>0</v>
      </c>
      <c r="O3352" t="n">
        <v>0</v>
      </c>
      <c r="P3352" t="n">
        <v>0</v>
      </c>
      <c r="Q3352" t="n">
        <v>0</v>
      </c>
      <c r="R3352" t="n">
        <v>0</v>
      </c>
      <c r="S3352" t="n">
        <v>0</v>
      </c>
      <c r="T3352" t="n">
        <v>0</v>
      </c>
      <c r="U3352" t="n">
        <v>0</v>
      </c>
      <c r="V3352" s="2" t="inlineStr"/>
    </row>
    <row r="3353" ht="15" customHeight="1">
      <c r="A3353" t="inlineStr">
        <is>
          <t>A 53933-2025</t>
        </is>
      </c>
      <c r="B3353" t="inlineStr">
        <is>
          <t>avverkningsanmälan</t>
        </is>
      </c>
      <c r="C3353" t="inlineStr">
        <is>
          <t>Föryngringsavverkning</t>
        </is>
      </c>
      <c r="D3353" s="1" t="n">
        <v>45961</v>
      </c>
      <c r="E3353" s="1" t="n">
        <v>46323</v>
      </c>
      <c r="F3353" t="inlineStr">
        <is>
          <t>KALMAR LÄN</t>
        </is>
      </c>
      <c r="G3353" t="inlineStr">
        <is>
          <t>VIMMERBY</t>
        </is>
      </c>
      <c r="I3353" t="n">
        <v>0.9</v>
      </c>
      <c r="J3353" t="n">
        <v>0</v>
      </c>
      <c r="K3353" t="n">
        <v>0</v>
      </c>
      <c r="L3353" t="n">
        <v>0</v>
      </c>
      <c r="M3353" t="n">
        <v>0</v>
      </c>
      <c r="N3353" t="n">
        <v>0</v>
      </c>
      <c r="O3353" t="n">
        <v>0</v>
      </c>
      <c r="P3353" t="n">
        <v>0</v>
      </c>
      <c r="Q3353" t="n">
        <v>0</v>
      </c>
      <c r="R3353" t="n">
        <v>0</v>
      </c>
      <c r="S3353" t="n">
        <v>0</v>
      </c>
      <c r="T3353" t="n">
        <v>0</v>
      </c>
      <c r="U3353" t="n">
        <v>0</v>
      </c>
      <c r="V3353" s="2" t="inlineStr"/>
    </row>
    <row r="3354" ht="15" customHeight="1">
      <c r="A3354" t="inlineStr">
        <is>
          <t>A 46465-2023</t>
        </is>
      </c>
      <c r="B3354" t="inlineStr">
        <is>
          <t>avverkningsanmälan</t>
        </is>
      </c>
      <c r="C3354" t="inlineStr">
        <is>
          <t>Föryngringsavverkning</t>
        </is>
      </c>
      <c r="D3354" s="1" t="n">
        <v>45197</v>
      </c>
      <c r="E3354" s="1" t="n">
        <v>46323</v>
      </c>
      <c r="F3354" t="inlineStr">
        <is>
          <t>KALMAR LÄN</t>
        </is>
      </c>
      <c r="G3354" t="inlineStr">
        <is>
          <t>HULTSFRED</t>
        </is>
      </c>
      <c r="I3354" t="n">
        <v>3.9</v>
      </c>
      <c r="J3354" t="n">
        <v>0</v>
      </c>
      <c r="K3354" t="n">
        <v>0</v>
      </c>
      <c r="L3354" t="n">
        <v>0</v>
      </c>
      <c r="M3354" t="n">
        <v>0</v>
      </c>
      <c r="N3354" t="n">
        <v>0</v>
      </c>
      <c r="O3354" t="n">
        <v>0</v>
      </c>
      <c r="P3354" t="n">
        <v>0</v>
      </c>
      <c r="Q3354" t="n">
        <v>0</v>
      </c>
      <c r="R3354" t="n">
        <v>0</v>
      </c>
      <c r="S3354" t="n">
        <v>0</v>
      </c>
      <c r="T3354" t="n">
        <v>0</v>
      </c>
      <c r="U3354" t="n">
        <v>0</v>
      </c>
      <c r="V3354" s="2" t="inlineStr"/>
    </row>
    <row r="3355" ht="15" customHeight="1">
      <c r="A3355" t="inlineStr">
        <is>
          <t>A 38600-2024</t>
        </is>
      </c>
      <c r="B3355" t="inlineStr">
        <is>
          <t>avverkningsanmälan</t>
        </is>
      </c>
      <c r="C3355" t="inlineStr">
        <is>
          <t>Föryngringsavverkning</t>
        </is>
      </c>
      <c r="D3355" s="1" t="n">
        <v>45546</v>
      </c>
      <c r="E3355" s="1" t="n">
        <v>46323</v>
      </c>
      <c r="F3355" t="inlineStr">
        <is>
          <t>KALMAR LÄN</t>
        </is>
      </c>
      <c r="G3355" t="inlineStr">
        <is>
          <t>HÖGSBY</t>
        </is>
      </c>
      <c r="H3355" t="inlineStr">
        <is>
          <t>Sveaskog</t>
        </is>
      </c>
      <c r="I3355" t="n">
        <v>2.4</v>
      </c>
      <c r="J3355" t="n">
        <v>0</v>
      </c>
      <c r="K3355" t="n">
        <v>0</v>
      </c>
      <c r="L3355" t="n">
        <v>0</v>
      </c>
      <c r="M3355" t="n">
        <v>0</v>
      </c>
      <c r="N3355" t="n">
        <v>0</v>
      </c>
      <c r="O3355" t="n">
        <v>0</v>
      </c>
      <c r="P3355" t="n">
        <v>0</v>
      </c>
      <c r="Q3355" t="n">
        <v>0</v>
      </c>
      <c r="R3355" t="n">
        <v>0</v>
      </c>
      <c r="S3355" t="n">
        <v>0</v>
      </c>
      <c r="T3355" t="n">
        <v>0</v>
      </c>
      <c r="U3355" t="n">
        <v>0</v>
      </c>
      <c r="V3355" s="2" t="inlineStr"/>
    </row>
    <row r="3356" ht="15" customHeight="1">
      <c r="A3356" t="inlineStr">
        <is>
          <t>A 35305-2023</t>
        </is>
      </c>
      <c r="B3356" t="inlineStr">
        <is>
          <t>avverkningsanmälan</t>
        </is>
      </c>
      <c r="C3356" t="inlineStr">
        <is>
          <t>Föryngringsavverkning</t>
        </is>
      </c>
      <c r="D3356" s="1" t="n">
        <v>45146</v>
      </c>
      <c r="E3356" s="1" t="n">
        <v>46323</v>
      </c>
      <c r="F3356" t="inlineStr">
        <is>
          <t>KALMAR LÄN</t>
        </is>
      </c>
      <c r="G3356" t="inlineStr">
        <is>
          <t>HULTSFRED</t>
        </is>
      </c>
      <c r="I3356" t="n">
        <v>2</v>
      </c>
      <c r="J3356" t="n">
        <v>0</v>
      </c>
      <c r="K3356" t="n">
        <v>0</v>
      </c>
      <c r="L3356" t="n">
        <v>0</v>
      </c>
      <c r="M3356" t="n">
        <v>0</v>
      </c>
      <c r="N3356" t="n">
        <v>0</v>
      </c>
      <c r="O3356" t="n">
        <v>0</v>
      </c>
      <c r="P3356" t="n">
        <v>0</v>
      </c>
      <c r="Q3356" t="n">
        <v>0</v>
      </c>
      <c r="R3356" t="n">
        <v>0</v>
      </c>
      <c r="S3356" t="n">
        <v>0</v>
      </c>
      <c r="T3356" t="n">
        <v>0</v>
      </c>
      <c r="U3356" t="n">
        <v>0</v>
      </c>
      <c r="V3356" s="2" t="inlineStr"/>
    </row>
    <row r="3357" ht="15" customHeight="1">
      <c r="A3357" t="inlineStr">
        <is>
          <t>A 11933-2023</t>
        </is>
      </c>
      <c r="B3357" t="inlineStr">
        <is>
          <t>avverkningsanmälan</t>
        </is>
      </c>
      <c r="C3357" t="inlineStr">
        <is>
          <t>Föryngringsavverkning</t>
        </is>
      </c>
      <c r="D3357" s="1" t="n">
        <v>44995</v>
      </c>
      <c r="E3357" s="1" t="n">
        <v>46323</v>
      </c>
      <c r="F3357" t="inlineStr">
        <is>
          <t>KALMAR LÄN</t>
        </is>
      </c>
      <c r="G3357" t="inlineStr">
        <is>
          <t>OSKARSHAMN</t>
        </is>
      </c>
      <c r="I3357" t="n">
        <v>1.5</v>
      </c>
      <c r="J3357" t="n">
        <v>0</v>
      </c>
      <c r="K3357" t="n">
        <v>0</v>
      </c>
      <c r="L3357" t="n">
        <v>0</v>
      </c>
      <c r="M3357" t="n">
        <v>0</v>
      </c>
      <c r="N3357" t="n">
        <v>0</v>
      </c>
      <c r="O3357" t="n">
        <v>0</v>
      </c>
      <c r="P3357" t="n">
        <v>0</v>
      </c>
      <c r="Q3357" t="n">
        <v>0</v>
      </c>
      <c r="R3357" t="n">
        <v>0</v>
      </c>
      <c r="S3357" t="n">
        <v>0</v>
      </c>
      <c r="T3357" t="n">
        <v>0</v>
      </c>
      <c r="U3357" t="n">
        <v>0</v>
      </c>
      <c r="V3357" s="2" t="inlineStr"/>
    </row>
    <row r="3358" ht="15" customHeight="1">
      <c r="A3358" t="inlineStr">
        <is>
          <t>A 11947-2023</t>
        </is>
      </c>
      <c r="B3358" t="inlineStr">
        <is>
          <t>avverkningsanmälan</t>
        </is>
      </c>
      <c r="C3358" t="inlineStr">
        <is>
          <t>Föryngringsavverkning</t>
        </is>
      </c>
      <c r="D3358" s="1" t="n">
        <v>44995</v>
      </c>
      <c r="E3358" s="1" t="n">
        <v>46323</v>
      </c>
      <c r="F3358" t="inlineStr">
        <is>
          <t>KALMAR LÄN</t>
        </is>
      </c>
      <c r="G3358" t="inlineStr">
        <is>
          <t>OSKARSHAMN</t>
        </is>
      </c>
      <c r="I3358" t="n">
        <v>0.6</v>
      </c>
      <c r="J3358" t="n">
        <v>0</v>
      </c>
      <c r="K3358" t="n">
        <v>0</v>
      </c>
      <c r="L3358" t="n">
        <v>0</v>
      </c>
      <c r="M3358" t="n">
        <v>0</v>
      </c>
      <c r="N3358" t="n">
        <v>0</v>
      </c>
      <c r="O3358" t="n">
        <v>0</v>
      </c>
      <c r="P3358" t="n">
        <v>0</v>
      </c>
      <c r="Q3358" t="n">
        <v>0</v>
      </c>
      <c r="R3358" t="n">
        <v>0</v>
      </c>
      <c r="S3358" t="n">
        <v>0</v>
      </c>
      <c r="T3358" t="n">
        <v>0</v>
      </c>
      <c r="U3358" t="n">
        <v>0</v>
      </c>
      <c r="V3358" s="2" t="inlineStr"/>
    </row>
    <row r="3359" ht="15" customHeight="1">
      <c r="A3359" t="inlineStr">
        <is>
          <t>A 53912-2025</t>
        </is>
      </c>
      <c r="B3359" t="inlineStr">
        <is>
          <t>avverkningsanmälan</t>
        </is>
      </c>
      <c r="C3359" t="inlineStr">
        <is>
          <t>Föryngringsavverkning</t>
        </is>
      </c>
      <c r="D3359" s="1" t="n">
        <v>45961</v>
      </c>
      <c r="E3359" s="1" t="n">
        <v>46323</v>
      </c>
      <c r="F3359" t="inlineStr">
        <is>
          <t>KALMAR LÄN</t>
        </is>
      </c>
      <c r="G3359" t="inlineStr">
        <is>
          <t>HULTSFRED</t>
        </is>
      </c>
      <c r="H3359" t="inlineStr">
        <is>
          <t>Sveaskog</t>
        </is>
      </c>
      <c r="I3359" t="n">
        <v>2.8</v>
      </c>
      <c r="J3359" t="n">
        <v>0</v>
      </c>
      <c r="K3359" t="n">
        <v>0</v>
      </c>
      <c r="L3359" t="n">
        <v>0</v>
      </c>
      <c r="M3359" t="n">
        <v>0</v>
      </c>
      <c r="N3359" t="n">
        <v>0</v>
      </c>
      <c r="O3359" t="n">
        <v>0</v>
      </c>
      <c r="P3359" t="n">
        <v>0</v>
      </c>
      <c r="Q3359" t="n">
        <v>0</v>
      </c>
      <c r="R3359" t="n">
        <v>0</v>
      </c>
      <c r="S3359" t="n">
        <v>0</v>
      </c>
      <c r="T3359" t="n">
        <v>0</v>
      </c>
      <c r="U3359" t="n">
        <v>0</v>
      </c>
      <c r="V3359" s="2" t="inlineStr"/>
    </row>
    <row r="3360" ht="15" customHeight="1">
      <c r="A3360" t="inlineStr">
        <is>
          <t>A 1568-2024</t>
        </is>
      </c>
      <c r="B3360" t="inlineStr">
        <is>
          <t>avverkningsanmälan</t>
        </is>
      </c>
      <c r="C3360" t="inlineStr">
        <is>
          <t>Föryngringsavverkning</t>
        </is>
      </c>
      <c r="D3360" s="1" t="n">
        <v>45306</v>
      </c>
      <c r="E3360" s="1" t="n">
        <v>46323</v>
      </c>
      <c r="F3360" t="inlineStr">
        <is>
          <t>KALMAR LÄN</t>
        </is>
      </c>
      <c r="G3360" t="inlineStr">
        <is>
          <t>VÄSTERVIK</t>
        </is>
      </c>
      <c r="I3360" t="n">
        <v>3.4</v>
      </c>
      <c r="J3360" t="n">
        <v>0</v>
      </c>
      <c r="K3360" t="n">
        <v>0</v>
      </c>
      <c r="L3360" t="n">
        <v>0</v>
      </c>
      <c r="M3360" t="n">
        <v>0</v>
      </c>
      <c r="N3360" t="n">
        <v>0</v>
      </c>
      <c r="O3360" t="n">
        <v>0</v>
      </c>
      <c r="P3360" t="n">
        <v>0</v>
      </c>
      <c r="Q3360" t="n">
        <v>0</v>
      </c>
      <c r="R3360" t="n">
        <v>0</v>
      </c>
      <c r="S3360" t="n">
        <v>0</v>
      </c>
      <c r="T3360" t="n">
        <v>0</v>
      </c>
      <c r="U3360" t="n">
        <v>0</v>
      </c>
      <c r="V3360" s="2" t="inlineStr"/>
    </row>
    <row r="3361" ht="15" customHeight="1">
      <c r="A3361" t="inlineStr">
        <is>
          <t>A 1572-2024</t>
        </is>
      </c>
      <c r="B3361" t="inlineStr">
        <is>
          <t>avverkningsanmälan</t>
        </is>
      </c>
      <c r="C3361" t="inlineStr">
        <is>
          <t>Föryngringsavverkning</t>
        </is>
      </c>
      <c r="D3361" s="1" t="n">
        <v>45306</v>
      </c>
      <c r="E3361" s="1" t="n">
        <v>46323</v>
      </c>
      <c r="F3361" t="inlineStr">
        <is>
          <t>KALMAR LÄN</t>
        </is>
      </c>
      <c r="G3361" t="inlineStr">
        <is>
          <t>VÄSTERVIK</t>
        </is>
      </c>
      <c r="I3361" t="n">
        <v>4.4</v>
      </c>
      <c r="J3361" t="n">
        <v>0</v>
      </c>
      <c r="K3361" t="n">
        <v>0</v>
      </c>
      <c r="L3361" t="n">
        <v>0</v>
      </c>
      <c r="M3361" t="n">
        <v>0</v>
      </c>
      <c r="N3361" t="n">
        <v>0</v>
      </c>
      <c r="O3361" t="n">
        <v>0</v>
      </c>
      <c r="P3361" t="n">
        <v>0</v>
      </c>
      <c r="Q3361" t="n">
        <v>0</v>
      </c>
      <c r="R3361" t="n">
        <v>0</v>
      </c>
      <c r="S3361" t="n">
        <v>0</v>
      </c>
      <c r="T3361" t="n">
        <v>0</v>
      </c>
      <c r="U3361" t="n">
        <v>0</v>
      </c>
      <c r="V3361" s="2" t="inlineStr"/>
    </row>
    <row r="3362" ht="15" customHeight="1">
      <c r="A3362" t="inlineStr">
        <is>
          <t>A 53907-2025</t>
        </is>
      </c>
      <c r="B3362" t="inlineStr">
        <is>
          <t>avverkningsanmälan</t>
        </is>
      </c>
      <c r="C3362" t="inlineStr">
        <is>
          <t>Föryngringsavverkning</t>
        </is>
      </c>
      <c r="D3362" s="1" t="n">
        <v>45961</v>
      </c>
      <c r="E3362" s="1" t="n">
        <v>46323</v>
      </c>
      <c r="F3362" t="inlineStr">
        <is>
          <t>KALMAR LÄN</t>
        </is>
      </c>
      <c r="G3362" t="inlineStr">
        <is>
          <t>HULTSFRED</t>
        </is>
      </c>
      <c r="H3362" t="inlineStr">
        <is>
          <t>Sveaskog</t>
        </is>
      </c>
      <c r="I3362" t="n">
        <v>1.3</v>
      </c>
      <c r="J3362" t="n">
        <v>0</v>
      </c>
      <c r="K3362" t="n">
        <v>0</v>
      </c>
      <c r="L3362" t="n">
        <v>0</v>
      </c>
      <c r="M3362" t="n">
        <v>0</v>
      </c>
      <c r="N3362" t="n">
        <v>0</v>
      </c>
      <c r="O3362" t="n">
        <v>0</v>
      </c>
      <c r="P3362" t="n">
        <v>0</v>
      </c>
      <c r="Q3362" t="n">
        <v>0</v>
      </c>
      <c r="R3362" t="n">
        <v>0</v>
      </c>
      <c r="S3362" t="n">
        <v>0</v>
      </c>
      <c r="T3362" t="n">
        <v>0</v>
      </c>
      <c r="U3362" t="n">
        <v>0</v>
      </c>
      <c r="V3362" s="2" t="inlineStr"/>
    </row>
    <row r="3363" ht="15" customHeight="1">
      <c r="A3363" t="inlineStr">
        <is>
          <t>A 1663-2023</t>
        </is>
      </c>
      <c r="B3363" t="inlineStr">
        <is>
          <t>avverkningsanmälan</t>
        </is>
      </c>
      <c r="C3363" t="inlineStr">
        <is>
          <t>Föryngringsavverkning</t>
        </is>
      </c>
      <c r="D3363" s="1" t="n">
        <v>44938</v>
      </c>
      <c r="E3363" s="1" t="n">
        <v>46323</v>
      </c>
      <c r="F3363" t="inlineStr">
        <is>
          <t>KALMAR LÄN</t>
        </is>
      </c>
      <c r="G3363" t="inlineStr">
        <is>
          <t>TORSÅS</t>
        </is>
      </c>
      <c r="I3363" t="n">
        <v>1.1</v>
      </c>
      <c r="J3363" t="n">
        <v>0</v>
      </c>
      <c r="K3363" t="n">
        <v>0</v>
      </c>
      <c r="L3363" t="n">
        <v>0</v>
      </c>
      <c r="M3363" t="n">
        <v>0</v>
      </c>
      <c r="N3363" t="n">
        <v>0</v>
      </c>
      <c r="O3363" t="n">
        <v>0</v>
      </c>
      <c r="P3363" t="n">
        <v>0</v>
      </c>
      <c r="Q3363" t="n">
        <v>0</v>
      </c>
      <c r="R3363" t="n">
        <v>0</v>
      </c>
      <c r="S3363" t="n">
        <v>0</v>
      </c>
      <c r="T3363" t="n">
        <v>0</v>
      </c>
      <c r="U3363" t="n">
        <v>0</v>
      </c>
      <c r="V3363" s="2" t="inlineStr"/>
    </row>
    <row r="3364" ht="15" customHeight="1">
      <c r="A3364" t="inlineStr">
        <is>
          <t>A 1729-2023</t>
        </is>
      </c>
      <c r="B3364" t="inlineStr">
        <is>
          <t>avverkningsanmälan</t>
        </is>
      </c>
      <c r="C3364" t="inlineStr">
        <is>
          <t>Föryngringsavverkning</t>
        </is>
      </c>
      <c r="D3364" s="1" t="n">
        <v>44938</v>
      </c>
      <c r="E3364" s="1" t="n">
        <v>46323</v>
      </c>
      <c r="F3364" t="inlineStr">
        <is>
          <t>KALMAR LÄN</t>
        </is>
      </c>
      <c r="G3364" t="inlineStr">
        <is>
          <t>NYBRO</t>
        </is>
      </c>
      <c r="I3364" t="n">
        <v>0.7</v>
      </c>
      <c r="J3364" t="n">
        <v>0</v>
      </c>
      <c r="K3364" t="n">
        <v>0</v>
      </c>
      <c r="L3364" t="n">
        <v>0</v>
      </c>
      <c r="M3364" t="n">
        <v>0</v>
      </c>
      <c r="N3364" t="n">
        <v>0</v>
      </c>
      <c r="O3364" t="n">
        <v>0</v>
      </c>
      <c r="P3364" t="n">
        <v>0</v>
      </c>
      <c r="Q3364" t="n">
        <v>0</v>
      </c>
      <c r="R3364" t="n">
        <v>0</v>
      </c>
      <c r="S3364" t="n">
        <v>0</v>
      </c>
      <c r="T3364" t="n">
        <v>0</v>
      </c>
      <c r="U3364" t="n">
        <v>0</v>
      </c>
      <c r="V3364" s="2" t="inlineStr"/>
    </row>
    <row r="3365" ht="15" customHeight="1">
      <c r="A3365" t="inlineStr">
        <is>
          <t>A 54177-2025</t>
        </is>
      </c>
      <c r="B3365" t="inlineStr">
        <is>
          <t>avverkningsanmälan</t>
        </is>
      </c>
      <c r="C3365" t="inlineStr">
        <is>
          <t>Föryngringsavverkning</t>
        </is>
      </c>
      <c r="D3365" s="1" t="n">
        <v>45964</v>
      </c>
      <c r="E3365" s="1" t="n">
        <v>46323</v>
      </c>
      <c r="F3365" t="inlineStr">
        <is>
          <t>KALMAR LÄN</t>
        </is>
      </c>
      <c r="G3365" t="inlineStr">
        <is>
          <t>EMMABODA</t>
        </is>
      </c>
      <c r="I3365" t="n">
        <v>0.5</v>
      </c>
      <c r="J3365" t="n">
        <v>0</v>
      </c>
      <c r="K3365" t="n">
        <v>0</v>
      </c>
      <c r="L3365" t="n">
        <v>0</v>
      </c>
      <c r="M3365" t="n">
        <v>0</v>
      </c>
      <c r="N3365" t="n">
        <v>0</v>
      </c>
      <c r="O3365" t="n">
        <v>0</v>
      </c>
      <c r="P3365" t="n">
        <v>0</v>
      </c>
      <c r="Q3365" t="n">
        <v>0</v>
      </c>
      <c r="R3365" t="n">
        <v>0</v>
      </c>
      <c r="S3365" t="n">
        <v>0</v>
      </c>
      <c r="T3365" t="n">
        <v>0</v>
      </c>
      <c r="U3365" t="n">
        <v>0</v>
      </c>
      <c r="V3365" s="2" t="inlineStr"/>
    </row>
    <row r="3366" ht="15" customHeight="1">
      <c r="A3366" t="inlineStr">
        <is>
          <t>A 9249-2024</t>
        </is>
      </c>
      <c r="B3366" t="inlineStr">
        <is>
          <t>avverkningsanmälan</t>
        </is>
      </c>
      <c r="C3366" t="inlineStr">
        <is>
          <t>Föryngringsavverkning</t>
        </is>
      </c>
      <c r="D3366" s="1" t="n">
        <v>45358</v>
      </c>
      <c r="E3366" s="1" t="n">
        <v>46323</v>
      </c>
      <c r="F3366" t="inlineStr">
        <is>
          <t>KALMAR LÄN</t>
        </is>
      </c>
      <c r="G3366" t="inlineStr">
        <is>
          <t>VÄSTERVIK</t>
        </is>
      </c>
      <c r="I3366" t="n">
        <v>0.7</v>
      </c>
      <c r="J3366" t="n">
        <v>0</v>
      </c>
      <c r="K3366" t="n">
        <v>0</v>
      </c>
      <c r="L3366" t="n">
        <v>0</v>
      </c>
      <c r="M3366" t="n">
        <v>0</v>
      </c>
      <c r="N3366" t="n">
        <v>0</v>
      </c>
      <c r="O3366" t="n">
        <v>0</v>
      </c>
      <c r="P3366" t="n">
        <v>0</v>
      </c>
      <c r="Q3366" t="n">
        <v>0</v>
      </c>
      <c r="R3366" t="n">
        <v>0</v>
      </c>
      <c r="S3366" t="n">
        <v>0</v>
      </c>
      <c r="T3366" t="n">
        <v>0</v>
      </c>
      <c r="U3366" t="n">
        <v>0</v>
      </c>
      <c r="V3366" s="2" t="inlineStr"/>
    </row>
    <row r="3367" ht="15" customHeight="1">
      <c r="A3367" t="inlineStr">
        <is>
          <t>A 10472-2023</t>
        </is>
      </c>
      <c r="B3367" t="inlineStr">
        <is>
          <t>avverkningsanmälan</t>
        </is>
      </c>
      <c r="C3367" t="inlineStr">
        <is>
          <t>Avverkning för annat ändamål</t>
        </is>
      </c>
      <c r="D3367" s="1" t="n">
        <v>44987</v>
      </c>
      <c r="E3367" s="1" t="n">
        <v>46323</v>
      </c>
      <c r="F3367" t="inlineStr">
        <is>
          <t>KALMAR LÄN</t>
        </is>
      </c>
      <c r="G3367" t="inlineStr">
        <is>
          <t>TORSÅS</t>
        </is>
      </c>
      <c r="I3367" t="n">
        <v>0.6</v>
      </c>
      <c r="J3367" t="n">
        <v>0</v>
      </c>
      <c r="K3367" t="n">
        <v>0</v>
      </c>
      <c r="L3367" t="n">
        <v>0</v>
      </c>
      <c r="M3367" t="n">
        <v>0</v>
      </c>
      <c r="N3367" t="n">
        <v>0</v>
      </c>
      <c r="O3367" t="n">
        <v>0</v>
      </c>
      <c r="P3367" t="n">
        <v>0</v>
      </c>
      <c r="Q3367" t="n">
        <v>0</v>
      </c>
      <c r="R3367" t="n">
        <v>0</v>
      </c>
      <c r="S3367" t="n">
        <v>0</v>
      </c>
      <c r="T3367" t="n">
        <v>0</v>
      </c>
      <c r="U3367" t="n">
        <v>0</v>
      </c>
      <c r="V3367" s="2" t="inlineStr"/>
    </row>
    <row r="3368" ht="15" customHeight="1">
      <c r="A3368" t="inlineStr">
        <is>
          <t>A 54117-2025</t>
        </is>
      </c>
      <c r="B3368" t="inlineStr">
        <is>
          <t>avverkningsanmälan</t>
        </is>
      </c>
      <c r="C3368" t="inlineStr">
        <is>
          <t>Föryngringsavverkning</t>
        </is>
      </c>
      <c r="D3368" s="1" t="n">
        <v>45964</v>
      </c>
      <c r="E3368" s="1" t="n">
        <v>46323</v>
      </c>
      <c r="F3368" t="inlineStr">
        <is>
          <t>KALMAR LÄN</t>
        </is>
      </c>
      <c r="G3368" t="inlineStr">
        <is>
          <t>EMMABODA</t>
        </is>
      </c>
      <c r="I3368" t="n">
        <v>2.6</v>
      </c>
      <c r="J3368" t="n">
        <v>0</v>
      </c>
      <c r="K3368" t="n">
        <v>0</v>
      </c>
      <c r="L3368" t="n">
        <v>0</v>
      </c>
      <c r="M3368" t="n">
        <v>0</v>
      </c>
      <c r="N3368" t="n">
        <v>0</v>
      </c>
      <c r="O3368" t="n">
        <v>0</v>
      </c>
      <c r="P3368" t="n">
        <v>0</v>
      </c>
      <c r="Q3368" t="n">
        <v>0</v>
      </c>
      <c r="R3368" t="n">
        <v>0</v>
      </c>
      <c r="S3368" t="n">
        <v>0</v>
      </c>
      <c r="T3368" t="n">
        <v>0</v>
      </c>
      <c r="U3368" t="n">
        <v>0</v>
      </c>
      <c r="V3368" s="2" t="inlineStr"/>
    </row>
    <row r="3369" ht="15" customHeight="1">
      <c r="A3369" t="inlineStr">
        <is>
          <t>A 43093-2024</t>
        </is>
      </c>
      <c r="B3369" t="inlineStr">
        <is>
          <t>avverkningsanmälan</t>
        </is>
      </c>
      <c r="C3369" t="inlineStr">
        <is>
          <t>Föryngringsavverkning</t>
        </is>
      </c>
      <c r="D3369" s="1" t="n">
        <v>45567</v>
      </c>
      <c r="E3369" s="1" t="n">
        <v>46323</v>
      </c>
      <c r="F3369" t="inlineStr">
        <is>
          <t>KALMAR LÄN</t>
        </is>
      </c>
      <c r="G3369" t="inlineStr">
        <is>
          <t>VIMMERBY</t>
        </is>
      </c>
      <c r="I3369" t="n">
        <v>0.7</v>
      </c>
      <c r="J3369" t="n">
        <v>0</v>
      </c>
      <c r="K3369" t="n">
        <v>0</v>
      </c>
      <c r="L3369" t="n">
        <v>0</v>
      </c>
      <c r="M3369" t="n">
        <v>0</v>
      </c>
      <c r="N3369" t="n">
        <v>0</v>
      </c>
      <c r="O3369" t="n">
        <v>0</v>
      </c>
      <c r="P3369" t="n">
        <v>0</v>
      </c>
      <c r="Q3369" t="n">
        <v>0</v>
      </c>
      <c r="R3369" t="n">
        <v>0</v>
      </c>
      <c r="S3369" t="n">
        <v>0</v>
      </c>
      <c r="T3369" t="n">
        <v>0</v>
      </c>
      <c r="U3369" t="n">
        <v>0</v>
      </c>
      <c r="V3369" s="2" t="inlineStr"/>
    </row>
    <row r="3370" ht="15" customHeight="1">
      <c r="A3370" t="inlineStr">
        <is>
          <t>A 53884-2025</t>
        </is>
      </c>
      <c r="B3370" t="inlineStr">
        <is>
          <t>avverkningsanmälan</t>
        </is>
      </c>
      <c r="C3370" t="inlineStr">
        <is>
          <t>Avverkning för att bevara och utveckla /försöksver</t>
        </is>
      </c>
      <c r="D3370" s="1" t="n">
        <v>45961</v>
      </c>
      <c r="E3370" s="1" t="n">
        <v>46323</v>
      </c>
      <c r="F3370" t="inlineStr">
        <is>
          <t>KALMAR LÄN</t>
        </is>
      </c>
      <c r="G3370" t="inlineStr">
        <is>
          <t>VÄSTERVIK</t>
        </is>
      </c>
      <c r="H3370" t="inlineStr">
        <is>
          <t>Sveaskog</t>
        </is>
      </c>
      <c r="I3370" t="n">
        <v>1.4</v>
      </c>
      <c r="J3370" t="n">
        <v>0</v>
      </c>
      <c r="K3370" t="n">
        <v>0</v>
      </c>
      <c r="L3370" t="n">
        <v>0</v>
      </c>
      <c r="M3370" t="n">
        <v>0</v>
      </c>
      <c r="N3370" t="n">
        <v>0</v>
      </c>
      <c r="O3370" t="n">
        <v>0</v>
      </c>
      <c r="P3370" t="n">
        <v>0</v>
      </c>
      <c r="Q3370" t="n">
        <v>0</v>
      </c>
      <c r="R3370" t="n">
        <v>0</v>
      </c>
      <c r="S3370" t="n">
        <v>0</v>
      </c>
      <c r="T3370" t="n">
        <v>0</v>
      </c>
      <c r="U3370" t="n">
        <v>0</v>
      </c>
      <c r="V3370" s="2" t="inlineStr"/>
    </row>
    <row r="3371" ht="15" customHeight="1">
      <c r="A3371" t="inlineStr">
        <is>
          <t>A 54348-2025</t>
        </is>
      </c>
      <c r="B3371" t="inlineStr">
        <is>
          <t>avverkningsanmälan</t>
        </is>
      </c>
      <c r="C3371" t="inlineStr">
        <is>
          <t>Föryngringsavverkning</t>
        </is>
      </c>
      <c r="D3371" s="1" t="n">
        <v>45964</v>
      </c>
      <c r="E3371" s="1" t="n">
        <v>46323</v>
      </c>
      <c r="F3371" t="inlineStr">
        <is>
          <t>KALMAR LÄN</t>
        </is>
      </c>
      <c r="G3371" t="inlineStr">
        <is>
          <t>HULTSFRED</t>
        </is>
      </c>
      <c r="I3371" t="n">
        <v>6.4</v>
      </c>
      <c r="J3371" t="n">
        <v>0</v>
      </c>
      <c r="K3371" t="n">
        <v>0</v>
      </c>
      <c r="L3371" t="n">
        <v>0</v>
      </c>
      <c r="M3371" t="n">
        <v>0</v>
      </c>
      <c r="N3371" t="n">
        <v>0</v>
      </c>
      <c r="O3371" t="n">
        <v>0</v>
      </c>
      <c r="P3371" t="n">
        <v>0</v>
      </c>
      <c r="Q3371" t="n">
        <v>0</v>
      </c>
      <c r="R3371" t="n">
        <v>0</v>
      </c>
      <c r="S3371" t="n">
        <v>0</v>
      </c>
      <c r="T3371" t="n">
        <v>0</v>
      </c>
      <c r="U3371" t="n">
        <v>0</v>
      </c>
      <c r="V3371" s="2" t="inlineStr"/>
    </row>
    <row r="3372" ht="15" customHeight="1">
      <c r="A3372" t="inlineStr">
        <is>
          <t>A 53908-2025</t>
        </is>
      </c>
      <c r="B3372" t="inlineStr">
        <is>
          <t>avverkningsanmälan</t>
        </is>
      </c>
      <c r="C3372" t="inlineStr">
        <is>
          <t>Föryngringsavverkning</t>
        </is>
      </c>
      <c r="D3372" s="1" t="n">
        <v>45961</v>
      </c>
      <c r="E3372" s="1" t="n">
        <v>46323</v>
      </c>
      <c r="F3372" t="inlineStr">
        <is>
          <t>KALMAR LÄN</t>
        </is>
      </c>
      <c r="G3372" t="inlineStr">
        <is>
          <t>HULTSFRED</t>
        </is>
      </c>
      <c r="H3372" t="inlineStr">
        <is>
          <t>Sveaskog</t>
        </is>
      </c>
      <c r="I3372" t="n">
        <v>1.3</v>
      </c>
      <c r="J3372" t="n">
        <v>0</v>
      </c>
      <c r="K3372" t="n">
        <v>0</v>
      </c>
      <c r="L3372" t="n">
        <v>0</v>
      </c>
      <c r="M3372" t="n">
        <v>0</v>
      </c>
      <c r="N3372" t="n">
        <v>0</v>
      </c>
      <c r="O3372" t="n">
        <v>0</v>
      </c>
      <c r="P3372" t="n">
        <v>0</v>
      </c>
      <c r="Q3372" t="n">
        <v>0</v>
      </c>
      <c r="R3372" t="n">
        <v>0</v>
      </c>
      <c r="S3372" t="n">
        <v>0</v>
      </c>
      <c r="T3372" t="n">
        <v>0</v>
      </c>
      <c r="U3372" t="n">
        <v>0</v>
      </c>
      <c r="V3372" s="2" t="inlineStr"/>
    </row>
    <row r="3373" ht="15" customHeight="1">
      <c r="A3373" t="inlineStr">
        <is>
          <t>A 19047-2023</t>
        </is>
      </c>
      <c r="B3373" t="inlineStr">
        <is>
          <t>avverkningsanmälan</t>
        </is>
      </c>
      <c r="C3373" t="inlineStr">
        <is>
          <t>Föryngringsavverkning</t>
        </is>
      </c>
      <c r="D3373" s="1" t="n">
        <v>45047</v>
      </c>
      <c r="E3373" s="1" t="n">
        <v>46323</v>
      </c>
      <c r="F3373" t="inlineStr">
        <is>
          <t>KALMAR LÄN</t>
        </is>
      </c>
      <c r="G3373" t="inlineStr">
        <is>
          <t>HULTSFRED</t>
        </is>
      </c>
      <c r="I3373" t="n">
        <v>1.1</v>
      </c>
      <c r="J3373" t="n">
        <v>0</v>
      </c>
      <c r="K3373" t="n">
        <v>0</v>
      </c>
      <c r="L3373" t="n">
        <v>0</v>
      </c>
      <c r="M3373" t="n">
        <v>0</v>
      </c>
      <c r="N3373" t="n">
        <v>0</v>
      </c>
      <c r="O3373" t="n">
        <v>0</v>
      </c>
      <c r="P3373" t="n">
        <v>0</v>
      </c>
      <c r="Q3373" t="n">
        <v>0</v>
      </c>
      <c r="R3373" t="n">
        <v>0</v>
      </c>
      <c r="S3373" t="n">
        <v>0</v>
      </c>
      <c r="T3373" t="n">
        <v>0</v>
      </c>
      <c r="U3373" t="n">
        <v>0</v>
      </c>
      <c r="V3373" s="2" t="inlineStr"/>
    </row>
    <row r="3374" ht="15" customHeight="1">
      <c r="A3374" t="inlineStr">
        <is>
          <t>A 62101-2021</t>
        </is>
      </c>
      <c r="B3374" t="inlineStr">
        <is>
          <t>avverkningsanmälan</t>
        </is>
      </c>
      <c r="C3374" t="inlineStr">
        <is>
          <t>Föryngringsavverkning</t>
        </is>
      </c>
      <c r="D3374" s="1" t="n">
        <v>44502</v>
      </c>
      <c r="E3374" s="1" t="n">
        <v>46323</v>
      </c>
      <c r="F3374" t="inlineStr">
        <is>
          <t>KALMAR LÄN</t>
        </is>
      </c>
      <c r="G3374" t="inlineStr">
        <is>
          <t>TORSÅS</t>
        </is>
      </c>
      <c r="I3374" t="n">
        <v>3.8</v>
      </c>
      <c r="J3374" t="n">
        <v>0</v>
      </c>
      <c r="K3374" t="n">
        <v>0</v>
      </c>
      <c r="L3374" t="n">
        <v>0</v>
      </c>
      <c r="M3374" t="n">
        <v>0</v>
      </c>
      <c r="N3374" t="n">
        <v>0</v>
      </c>
      <c r="O3374" t="n">
        <v>0</v>
      </c>
      <c r="P3374" t="n">
        <v>0</v>
      </c>
      <c r="Q3374" t="n">
        <v>0</v>
      </c>
      <c r="R3374" t="n">
        <v>0</v>
      </c>
      <c r="S3374" t="n">
        <v>0</v>
      </c>
      <c r="T3374" t="n">
        <v>0</v>
      </c>
      <c r="U3374" t="n">
        <v>0</v>
      </c>
      <c r="V3374" s="2" t="inlineStr"/>
    </row>
    <row r="3375" ht="15" customHeight="1">
      <c r="A3375" t="inlineStr">
        <is>
          <t>A 43173-2024</t>
        </is>
      </c>
      <c r="B3375" t="inlineStr">
        <is>
          <t>avverkningsanmälan</t>
        </is>
      </c>
      <c r="C3375" t="inlineStr">
        <is>
          <t>Föryngringsavverkning</t>
        </is>
      </c>
      <c r="D3375" s="1" t="n">
        <v>45567</v>
      </c>
      <c r="E3375" s="1" t="n">
        <v>46323</v>
      </c>
      <c r="F3375" t="inlineStr">
        <is>
          <t>KALMAR LÄN</t>
        </is>
      </c>
      <c r="G3375" t="inlineStr">
        <is>
          <t>OSKARSHAMN</t>
        </is>
      </c>
      <c r="I3375" t="n">
        <v>0.9</v>
      </c>
      <c r="J3375" t="n">
        <v>0</v>
      </c>
      <c r="K3375" t="n">
        <v>0</v>
      </c>
      <c r="L3375" t="n">
        <v>0</v>
      </c>
      <c r="M3375" t="n">
        <v>0</v>
      </c>
      <c r="N3375" t="n">
        <v>0</v>
      </c>
      <c r="O3375" t="n">
        <v>0</v>
      </c>
      <c r="P3375" t="n">
        <v>0</v>
      </c>
      <c r="Q3375" t="n">
        <v>0</v>
      </c>
      <c r="R3375" t="n">
        <v>0</v>
      </c>
      <c r="S3375" t="n">
        <v>0</v>
      </c>
      <c r="T3375" t="n">
        <v>0</v>
      </c>
      <c r="U3375" t="n">
        <v>0</v>
      </c>
      <c r="V3375" s="2" t="inlineStr"/>
    </row>
    <row r="3376" ht="15" customHeight="1">
      <c r="A3376" t="inlineStr">
        <is>
          <t>A 54022-2025</t>
        </is>
      </c>
      <c r="B3376" t="inlineStr">
        <is>
          <t>avverkningsanmälan</t>
        </is>
      </c>
      <c r="C3376" t="inlineStr">
        <is>
          <t>Föryngringsavverkning</t>
        </is>
      </c>
      <c r="D3376" s="1" t="n">
        <v>45961</v>
      </c>
      <c r="E3376" s="1" t="n">
        <v>46323</v>
      </c>
      <c r="F3376" t="inlineStr">
        <is>
          <t>KALMAR LÄN</t>
        </is>
      </c>
      <c r="G3376" t="inlineStr">
        <is>
          <t>MÖNSTERÅS</t>
        </is>
      </c>
      <c r="I3376" t="n">
        <v>3.3</v>
      </c>
      <c r="J3376" t="n">
        <v>0</v>
      </c>
      <c r="K3376" t="n">
        <v>0</v>
      </c>
      <c r="L3376" t="n">
        <v>0</v>
      </c>
      <c r="M3376" t="n">
        <v>0</v>
      </c>
      <c r="N3376" t="n">
        <v>0</v>
      </c>
      <c r="O3376" t="n">
        <v>0</v>
      </c>
      <c r="P3376" t="n">
        <v>0</v>
      </c>
      <c r="Q3376" t="n">
        <v>0</v>
      </c>
      <c r="R3376" t="n">
        <v>0</v>
      </c>
      <c r="S3376" t="n">
        <v>0</v>
      </c>
      <c r="T3376" t="n">
        <v>0</v>
      </c>
      <c r="U3376" t="n">
        <v>0</v>
      </c>
      <c r="V3376" s="2" t="inlineStr"/>
    </row>
    <row r="3377" ht="15" customHeight="1">
      <c r="A3377" t="inlineStr">
        <is>
          <t>A 7471-2023</t>
        </is>
      </c>
      <c r="B3377" t="inlineStr">
        <is>
          <t>avverkningsanmälan</t>
        </is>
      </c>
      <c r="C3377" t="inlineStr">
        <is>
          <t>Föryngringsavverkning</t>
        </is>
      </c>
      <c r="D3377" s="1" t="n">
        <v>44971</v>
      </c>
      <c r="E3377" s="1" t="n">
        <v>46323</v>
      </c>
      <c r="F3377" t="inlineStr">
        <is>
          <t>KALMAR LÄN</t>
        </is>
      </c>
      <c r="G3377" t="inlineStr">
        <is>
          <t>KALMAR</t>
        </is>
      </c>
      <c r="I3377" t="n">
        <v>2.8</v>
      </c>
      <c r="J3377" t="n">
        <v>0</v>
      </c>
      <c r="K3377" t="n">
        <v>0</v>
      </c>
      <c r="L3377" t="n">
        <v>0</v>
      </c>
      <c r="M3377" t="n">
        <v>0</v>
      </c>
      <c r="N3377" t="n">
        <v>0</v>
      </c>
      <c r="O3377" t="n">
        <v>0</v>
      </c>
      <c r="P3377" t="n">
        <v>0</v>
      </c>
      <c r="Q3377" t="n">
        <v>0</v>
      </c>
      <c r="R3377" t="n">
        <v>0</v>
      </c>
      <c r="S3377" t="n">
        <v>0</v>
      </c>
      <c r="T3377" t="n">
        <v>0</v>
      </c>
      <c r="U3377" t="n">
        <v>0</v>
      </c>
      <c r="V3377" s="2" t="inlineStr"/>
    </row>
    <row r="3378" ht="15" customHeight="1">
      <c r="A3378" t="inlineStr">
        <is>
          <t>A 27746-2024</t>
        </is>
      </c>
      <c r="B3378" t="inlineStr">
        <is>
          <t>avverkningsanmälan</t>
        </is>
      </c>
      <c r="C3378" t="inlineStr">
        <is>
          <t>Föryngringsavverkning</t>
        </is>
      </c>
      <c r="D3378" s="1" t="n">
        <v>45475</v>
      </c>
      <c r="E3378" s="1" t="n">
        <v>46323</v>
      </c>
      <c r="F3378" t="inlineStr">
        <is>
          <t>KALMAR LÄN</t>
        </is>
      </c>
      <c r="G3378" t="inlineStr">
        <is>
          <t>EMMABODA</t>
        </is>
      </c>
      <c r="I3378" t="n">
        <v>0.5</v>
      </c>
      <c r="J3378" t="n">
        <v>0</v>
      </c>
      <c r="K3378" t="n">
        <v>0</v>
      </c>
      <c r="L3378" t="n">
        <v>0</v>
      </c>
      <c r="M3378" t="n">
        <v>0</v>
      </c>
      <c r="N3378" t="n">
        <v>0</v>
      </c>
      <c r="O3378" t="n">
        <v>0</v>
      </c>
      <c r="P3378" t="n">
        <v>0</v>
      </c>
      <c r="Q3378" t="n">
        <v>0</v>
      </c>
      <c r="R3378" t="n">
        <v>0</v>
      </c>
      <c r="S3378" t="n">
        <v>0</v>
      </c>
      <c r="T3378" t="n">
        <v>0</v>
      </c>
      <c r="U3378" t="n">
        <v>0</v>
      </c>
      <c r="V3378" s="2" t="inlineStr"/>
    </row>
    <row r="3379" ht="15" customHeight="1">
      <c r="A3379" t="inlineStr">
        <is>
          <t>A 12435-2024</t>
        </is>
      </c>
      <c r="B3379" t="inlineStr">
        <is>
          <t>avverkningsanmälan</t>
        </is>
      </c>
      <c r="C3379" t="inlineStr">
        <is>
          <t>Föryngringsavverkning</t>
        </is>
      </c>
      <c r="D3379" s="1" t="n">
        <v>45379</v>
      </c>
      <c r="E3379" s="1" t="n">
        <v>46323</v>
      </c>
      <c r="F3379" t="inlineStr">
        <is>
          <t>KALMAR LÄN</t>
        </is>
      </c>
      <c r="G3379" t="inlineStr">
        <is>
          <t>VÄSTERVIK</t>
        </is>
      </c>
      <c r="I3379" t="n">
        <v>0.4</v>
      </c>
      <c r="J3379" t="n">
        <v>0</v>
      </c>
      <c r="K3379" t="n">
        <v>0</v>
      </c>
      <c r="L3379" t="n">
        <v>0</v>
      </c>
      <c r="M3379" t="n">
        <v>0</v>
      </c>
      <c r="N3379" t="n">
        <v>0</v>
      </c>
      <c r="O3379" t="n">
        <v>0</v>
      </c>
      <c r="P3379" t="n">
        <v>0</v>
      </c>
      <c r="Q3379" t="n">
        <v>0</v>
      </c>
      <c r="R3379" t="n">
        <v>0</v>
      </c>
      <c r="S3379" t="n">
        <v>0</v>
      </c>
      <c r="T3379" t="n">
        <v>0</v>
      </c>
      <c r="U3379" t="n">
        <v>0</v>
      </c>
      <c r="V3379" s="2" t="inlineStr"/>
    </row>
    <row r="3380" ht="15" customHeight="1">
      <c r="A3380" t="inlineStr">
        <is>
          <t>A 28932-2023</t>
        </is>
      </c>
      <c r="B3380" t="inlineStr">
        <is>
          <t>avverkningsanmälan</t>
        </is>
      </c>
      <c r="C3380" t="inlineStr">
        <is>
          <t>Föryngringsavverkning</t>
        </is>
      </c>
      <c r="D3380" s="1" t="n">
        <v>45104</v>
      </c>
      <c r="E3380" s="1" t="n">
        <v>46323</v>
      </c>
      <c r="F3380" t="inlineStr">
        <is>
          <t>KALMAR LÄN</t>
        </is>
      </c>
      <c r="G3380" t="inlineStr">
        <is>
          <t>KALMAR</t>
        </is>
      </c>
      <c r="H3380" t="inlineStr">
        <is>
          <t>Sveaskog</t>
        </is>
      </c>
      <c r="I3380" t="n">
        <v>2</v>
      </c>
      <c r="J3380" t="n">
        <v>0</v>
      </c>
      <c r="K3380" t="n">
        <v>0</v>
      </c>
      <c r="L3380" t="n">
        <v>0</v>
      </c>
      <c r="M3380" t="n">
        <v>0</v>
      </c>
      <c r="N3380" t="n">
        <v>0</v>
      </c>
      <c r="O3380" t="n">
        <v>0</v>
      </c>
      <c r="P3380" t="n">
        <v>0</v>
      </c>
      <c r="Q3380" t="n">
        <v>0</v>
      </c>
      <c r="R3380" t="n">
        <v>0</v>
      </c>
      <c r="S3380" t="n">
        <v>0</v>
      </c>
      <c r="T3380" t="n">
        <v>0</v>
      </c>
      <c r="U3380" t="n">
        <v>0</v>
      </c>
      <c r="V3380" s="2" t="inlineStr"/>
    </row>
    <row r="3381" ht="15" customHeight="1">
      <c r="A3381" t="inlineStr">
        <is>
          <t>A 53905-2025</t>
        </is>
      </c>
      <c r="B3381" t="inlineStr">
        <is>
          <t>avverkningsanmälan</t>
        </is>
      </c>
      <c r="C3381" t="inlineStr">
        <is>
          <t>Föryngringsavverkning</t>
        </is>
      </c>
      <c r="D3381" s="1" t="n">
        <v>45961</v>
      </c>
      <c r="E3381" s="1" t="n">
        <v>46323</v>
      </c>
      <c r="F3381" t="inlineStr">
        <is>
          <t>KALMAR LÄN</t>
        </is>
      </c>
      <c r="G3381" t="inlineStr">
        <is>
          <t>HULTSFRED</t>
        </is>
      </c>
      <c r="H3381" t="inlineStr">
        <is>
          <t>Sveaskog</t>
        </is>
      </c>
      <c r="I3381" t="n">
        <v>0.7</v>
      </c>
      <c r="J3381" t="n">
        <v>0</v>
      </c>
      <c r="K3381" t="n">
        <v>0</v>
      </c>
      <c r="L3381" t="n">
        <v>0</v>
      </c>
      <c r="M3381" t="n">
        <v>0</v>
      </c>
      <c r="N3381" t="n">
        <v>0</v>
      </c>
      <c r="O3381" t="n">
        <v>0</v>
      </c>
      <c r="P3381" t="n">
        <v>0</v>
      </c>
      <c r="Q3381" t="n">
        <v>0</v>
      </c>
      <c r="R3381" t="n">
        <v>0</v>
      </c>
      <c r="S3381" t="n">
        <v>0</v>
      </c>
      <c r="T3381" t="n">
        <v>0</v>
      </c>
      <c r="U3381" t="n">
        <v>0</v>
      </c>
      <c r="V3381" s="2" t="inlineStr"/>
    </row>
    <row r="3382" ht="15" customHeight="1">
      <c r="A3382" t="inlineStr">
        <is>
          <t>A 3828-2024</t>
        </is>
      </c>
      <c r="B3382" t="inlineStr">
        <is>
          <t>avverkningsanmälan</t>
        </is>
      </c>
      <c r="C3382" t="inlineStr">
        <is>
          <t>Föryngringsavverkning</t>
        </is>
      </c>
      <c r="D3382" s="1" t="n">
        <v>45321</v>
      </c>
      <c r="E3382" s="1" t="n">
        <v>46323</v>
      </c>
      <c r="F3382" t="inlineStr">
        <is>
          <t>KALMAR LÄN</t>
        </is>
      </c>
      <c r="G3382" t="inlineStr">
        <is>
          <t>VÄSTERVIK</t>
        </is>
      </c>
      <c r="H3382" t="inlineStr">
        <is>
          <t>Holmen skog AB</t>
        </is>
      </c>
      <c r="I3382" t="n">
        <v>1.9</v>
      </c>
      <c r="J3382" t="n">
        <v>0</v>
      </c>
      <c r="K3382" t="n">
        <v>0</v>
      </c>
      <c r="L3382" t="n">
        <v>0</v>
      </c>
      <c r="M3382" t="n">
        <v>0</v>
      </c>
      <c r="N3382" t="n">
        <v>0</v>
      </c>
      <c r="O3382" t="n">
        <v>0</v>
      </c>
      <c r="P3382" t="n">
        <v>0</v>
      </c>
      <c r="Q3382" t="n">
        <v>0</v>
      </c>
      <c r="R3382" t="n">
        <v>0</v>
      </c>
      <c r="S3382" t="n">
        <v>0</v>
      </c>
      <c r="T3382" t="n">
        <v>0</v>
      </c>
      <c r="U3382" t="n">
        <v>0</v>
      </c>
      <c r="V3382" s="2" t="inlineStr"/>
    </row>
    <row r="3383" ht="15" customHeight="1">
      <c r="A3383" t="inlineStr">
        <is>
          <t>A 47335-2024</t>
        </is>
      </c>
      <c r="B3383" t="inlineStr">
        <is>
          <t>avverkningsanmälan</t>
        </is>
      </c>
      <c r="C3383" t="inlineStr">
        <is>
          <t>Föryngringsavverkning</t>
        </is>
      </c>
      <c r="D3383" s="1" t="n">
        <v>45587</v>
      </c>
      <c r="E3383" s="1" t="n">
        <v>46323</v>
      </c>
      <c r="F3383" t="inlineStr">
        <is>
          <t>KALMAR LÄN</t>
        </is>
      </c>
      <c r="G3383" t="inlineStr">
        <is>
          <t>NYBRO</t>
        </is>
      </c>
      <c r="I3383" t="n">
        <v>8.699999999999999</v>
      </c>
      <c r="J3383" t="n">
        <v>0</v>
      </c>
      <c r="K3383" t="n">
        <v>0</v>
      </c>
      <c r="L3383" t="n">
        <v>0</v>
      </c>
      <c r="M3383" t="n">
        <v>0</v>
      </c>
      <c r="N3383" t="n">
        <v>0</v>
      </c>
      <c r="O3383" t="n">
        <v>0</v>
      </c>
      <c r="P3383" t="n">
        <v>0</v>
      </c>
      <c r="Q3383" t="n">
        <v>0</v>
      </c>
      <c r="R3383" t="n">
        <v>0</v>
      </c>
      <c r="S3383" t="n">
        <v>0</v>
      </c>
      <c r="T3383" t="n">
        <v>0</v>
      </c>
      <c r="U3383" t="n">
        <v>0</v>
      </c>
      <c r="V3383" s="2" t="inlineStr"/>
    </row>
    <row r="3384" ht="15" customHeight="1">
      <c r="A3384" t="inlineStr">
        <is>
          <t>A 7934-2023</t>
        </is>
      </c>
      <c r="B3384" t="inlineStr">
        <is>
          <t>avverkningsanmälan</t>
        </is>
      </c>
      <c r="C3384" t="inlineStr">
        <is>
          <t>Föryngringsavverkning</t>
        </is>
      </c>
      <c r="D3384" s="1" t="n">
        <v>44973</v>
      </c>
      <c r="E3384" s="1" t="n">
        <v>46323</v>
      </c>
      <c r="F3384" t="inlineStr">
        <is>
          <t>KALMAR LÄN</t>
        </is>
      </c>
      <c r="G3384" t="inlineStr">
        <is>
          <t>VÄSTERVIK</t>
        </is>
      </c>
      <c r="I3384" t="n">
        <v>4.1</v>
      </c>
      <c r="J3384" t="n">
        <v>0</v>
      </c>
      <c r="K3384" t="n">
        <v>0</v>
      </c>
      <c r="L3384" t="n">
        <v>0</v>
      </c>
      <c r="M3384" t="n">
        <v>0</v>
      </c>
      <c r="N3384" t="n">
        <v>0</v>
      </c>
      <c r="O3384" t="n">
        <v>0</v>
      </c>
      <c r="P3384" t="n">
        <v>0</v>
      </c>
      <c r="Q3384" t="n">
        <v>0</v>
      </c>
      <c r="R3384" t="n">
        <v>0</v>
      </c>
      <c r="S3384" t="n">
        <v>0</v>
      </c>
      <c r="T3384" t="n">
        <v>0</v>
      </c>
      <c r="U3384" t="n">
        <v>0</v>
      </c>
      <c r="V3384" s="2" t="inlineStr"/>
    </row>
    <row r="3385" ht="15" customHeight="1">
      <c r="A3385" t="inlineStr">
        <is>
          <t>A 71192-2021</t>
        </is>
      </c>
      <c r="B3385" t="inlineStr">
        <is>
          <t>avverkningsanmälan</t>
        </is>
      </c>
      <c r="C3385" t="inlineStr">
        <is>
          <t>Föryngringsavverkning</t>
        </is>
      </c>
      <c r="D3385" s="1" t="n">
        <v>44539</v>
      </c>
      <c r="E3385" s="1" t="n">
        <v>46323</v>
      </c>
      <c r="F3385" t="inlineStr">
        <is>
          <t>KALMAR LÄN</t>
        </is>
      </c>
      <c r="G3385" t="inlineStr">
        <is>
          <t>KALMAR</t>
        </is>
      </c>
      <c r="I3385" t="n">
        <v>2.5</v>
      </c>
      <c r="J3385" t="n">
        <v>0</v>
      </c>
      <c r="K3385" t="n">
        <v>0</v>
      </c>
      <c r="L3385" t="n">
        <v>0</v>
      </c>
      <c r="M3385" t="n">
        <v>0</v>
      </c>
      <c r="N3385" t="n">
        <v>0</v>
      </c>
      <c r="O3385" t="n">
        <v>0</v>
      </c>
      <c r="P3385" t="n">
        <v>0</v>
      </c>
      <c r="Q3385" t="n">
        <v>0</v>
      </c>
      <c r="R3385" t="n">
        <v>0</v>
      </c>
      <c r="S3385" t="n">
        <v>0</v>
      </c>
      <c r="T3385" t="n">
        <v>0</v>
      </c>
      <c r="U3385" t="n">
        <v>0</v>
      </c>
      <c r="V3385" s="2" t="inlineStr"/>
    </row>
    <row r="3386" ht="15" customHeight="1">
      <c r="A3386" t="inlineStr">
        <is>
          <t>A 41480-2024</t>
        </is>
      </c>
      <c r="B3386" t="inlineStr">
        <is>
          <t>avverkningsanmälan</t>
        </is>
      </c>
      <c r="C3386" t="inlineStr">
        <is>
          <t>Avverkning för annat ändamål</t>
        </is>
      </c>
      <c r="D3386" s="1" t="n">
        <v>45560</v>
      </c>
      <c r="E3386" s="1" t="n">
        <v>46323</v>
      </c>
      <c r="F3386" t="inlineStr">
        <is>
          <t>KALMAR LÄN</t>
        </is>
      </c>
      <c r="G3386" t="inlineStr">
        <is>
          <t>MÖNSTERÅS</t>
        </is>
      </c>
      <c r="I3386" t="n">
        <v>10.2</v>
      </c>
      <c r="J3386" t="n">
        <v>0</v>
      </c>
      <c r="K3386" t="n">
        <v>0</v>
      </c>
      <c r="L3386" t="n">
        <v>0</v>
      </c>
      <c r="M3386" t="n">
        <v>0</v>
      </c>
      <c r="N3386" t="n">
        <v>0</v>
      </c>
      <c r="O3386" t="n">
        <v>0</v>
      </c>
      <c r="P3386" t="n">
        <v>0</v>
      </c>
      <c r="Q3386" t="n">
        <v>0</v>
      </c>
      <c r="R3386" t="n">
        <v>0</v>
      </c>
      <c r="S3386" t="n">
        <v>0</v>
      </c>
      <c r="T3386" t="n">
        <v>0</v>
      </c>
      <c r="U3386" t="n">
        <v>0</v>
      </c>
      <c r="V3386" s="2" t="inlineStr"/>
    </row>
    <row r="3387" ht="15" customHeight="1">
      <c r="A3387" t="inlineStr">
        <is>
          <t>A 7956-2023</t>
        </is>
      </c>
      <c r="B3387" t="inlineStr">
        <is>
          <t>avverkningsanmälan</t>
        </is>
      </c>
      <c r="C3387" t="inlineStr">
        <is>
          <t>Föryngringsavverkning</t>
        </is>
      </c>
      <c r="D3387" s="1" t="n">
        <v>44973</v>
      </c>
      <c r="E3387" s="1" t="n">
        <v>46323</v>
      </c>
      <c r="F3387" t="inlineStr">
        <is>
          <t>KALMAR LÄN</t>
        </is>
      </c>
      <c r="G3387" t="inlineStr">
        <is>
          <t>NYBRO</t>
        </is>
      </c>
      <c r="I3387" t="n">
        <v>3.2</v>
      </c>
      <c r="J3387" t="n">
        <v>0</v>
      </c>
      <c r="K3387" t="n">
        <v>0</v>
      </c>
      <c r="L3387" t="n">
        <v>0</v>
      </c>
      <c r="M3387" t="n">
        <v>0</v>
      </c>
      <c r="N3387" t="n">
        <v>0</v>
      </c>
      <c r="O3387" t="n">
        <v>0</v>
      </c>
      <c r="P3387" t="n">
        <v>0</v>
      </c>
      <c r="Q3387" t="n">
        <v>0</v>
      </c>
      <c r="R3387" t="n">
        <v>0</v>
      </c>
      <c r="S3387" t="n">
        <v>0</v>
      </c>
      <c r="T3387" t="n">
        <v>0</v>
      </c>
      <c r="U3387" t="n">
        <v>0</v>
      </c>
      <c r="V3387" s="2" t="inlineStr"/>
    </row>
    <row r="3388" ht="15" customHeight="1">
      <c r="A3388" t="inlineStr">
        <is>
          <t>A 72786-2021</t>
        </is>
      </c>
      <c r="B3388" t="inlineStr">
        <is>
          <t>avverkningsanmälan</t>
        </is>
      </c>
      <c r="C3388" t="inlineStr">
        <is>
          <t>Föryngringsavverkning</t>
        </is>
      </c>
      <c r="D3388" s="1" t="n">
        <v>44547</v>
      </c>
      <c r="E3388" s="1" t="n">
        <v>46323</v>
      </c>
      <c r="F3388" t="inlineStr">
        <is>
          <t>KALMAR LÄN</t>
        </is>
      </c>
      <c r="G3388" t="inlineStr">
        <is>
          <t>OSKARSHAMN</t>
        </is>
      </c>
      <c r="I3388" t="n">
        <v>1.5</v>
      </c>
      <c r="J3388" t="n">
        <v>0</v>
      </c>
      <c r="K3388" t="n">
        <v>0</v>
      </c>
      <c r="L3388" t="n">
        <v>0</v>
      </c>
      <c r="M3388" t="n">
        <v>0</v>
      </c>
      <c r="N3388" t="n">
        <v>0</v>
      </c>
      <c r="O3388" t="n">
        <v>0</v>
      </c>
      <c r="P3388" t="n">
        <v>0</v>
      </c>
      <c r="Q3388" t="n">
        <v>0</v>
      </c>
      <c r="R3388" t="n">
        <v>0</v>
      </c>
      <c r="S3388" t="n">
        <v>0</v>
      </c>
      <c r="T3388" t="n">
        <v>0</v>
      </c>
      <c r="U3388" t="n">
        <v>0</v>
      </c>
      <c r="V3388" s="2" t="inlineStr"/>
    </row>
    <row r="3389" ht="15" customHeight="1">
      <c r="A3389" t="inlineStr">
        <is>
          <t>A 41536-2024</t>
        </is>
      </c>
      <c r="B3389" t="inlineStr">
        <is>
          <t>avverkningsanmälan</t>
        </is>
      </c>
      <c r="C3389" t="inlineStr">
        <is>
          <t>Föryngringsavverkning</t>
        </is>
      </c>
      <c r="D3389" s="1" t="n">
        <v>45560</v>
      </c>
      <c r="E3389" s="1" t="n">
        <v>46323</v>
      </c>
      <c r="F3389" t="inlineStr">
        <is>
          <t>KALMAR LÄN</t>
        </is>
      </c>
      <c r="G3389" t="inlineStr">
        <is>
          <t>OSKARSHAMN</t>
        </is>
      </c>
      <c r="I3389" t="n">
        <v>0.4</v>
      </c>
      <c r="J3389" t="n">
        <v>0</v>
      </c>
      <c r="K3389" t="n">
        <v>0</v>
      </c>
      <c r="L3389" t="n">
        <v>0</v>
      </c>
      <c r="M3389" t="n">
        <v>0</v>
      </c>
      <c r="N3389" t="n">
        <v>0</v>
      </c>
      <c r="O3389" t="n">
        <v>0</v>
      </c>
      <c r="P3389" t="n">
        <v>0</v>
      </c>
      <c r="Q3389" t="n">
        <v>0</v>
      </c>
      <c r="R3389" t="n">
        <v>0</v>
      </c>
      <c r="S3389" t="n">
        <v>0</v>
      </c>
      <c r="T3389" t="n">
        <v>0</v>
      </c>
      <c r="U3389" t="n">
        <v>0</v>
      </c>
      <c r="V3389" s="2" t="inlineStr"/>
    </row>
    <row r="3390" ht="15" customHeight="1">
      <c r="A3390" t="inlineStr">
        <is>
          <t>A 17975-2023</t>
        </is>
      </c>
      <c r="B3390" t="inlineStr">
        <is>
          <t>avverkningsanmälan</t>
        </is>
      </c>
      <c r="C3390" t="inlineStr">
        <is>
          <t>Föryngringsavverkning</t>
        </is>
      </c>
      <c r="D3390" s="1" t="n">
        <v>45040</v>
      </c>
      <c r="E3390" s="1" t="n">
        <v>46323</v>
      </c>
      <c r="F3390" t="inlineStr">
        <is>
          <t>KALMAR LÄN</t>
        </is>
      </c>
      <c r="G3390" t="inlineStr">
        <is>
          <t>EMMABODA</t>
        </is>
      </c>
      <c r="I3390" t="n">
        <v>1.3</v>
      </c>
      <c r="J3390" t="n">
        <v>0</v>
      </c>
      <c r="K3390" t="n">
        <v>0</v>
      </c>
      <c r="L3390" t="n">
        <v>0</v>
      </c>
      <c r="M3390" t="n">
        <v>0</v>
      </c>
      <c r="N3390" t="n">
        <v>0</v>
      </c>
      <c r="O3390" t="n">
        <v>0</v>
      </c>
      <c r="P3390" t="n">
        <v>0</v>
      </c>
      <c r="Q3390" t="n">
        <v>0</v>
      </c>
      <c r="R3390" t="n">
        <v>0</v>
      </c>
      <c r="S3390" t="n">
        <v>0</v>
      </c>
      <c r="T3390" t="n">
        <v>0</v>
      </c>
      <c r="U3390" t="n">
        <v>0</v>
      </c>
      <c r="V3390" s="2" t="inlineStr"/>
    </row>
    <row r="3391" ht="15" customHeight="1">
      <c r="A3391" t="inlineStr">
        <is>
          <t>A 53854-2025</t>
        </is>
      </c>
      <c r="B3391" t="inlineStr">
        <is>
          <t>avverkningsanmälan</t>
        </is>
      </c>
      <c r="C3391" t="inlineStr">
        <is>
          <t>Avverkning för att bevara och utveckla /försöksver</t>
        </is>
      </c>
      <c r="D3391" s="1" t="n">
        <v>45961</v>
      </c>
      <c r="E3391" s="1" t="n">
        <v>46323</v>
      </c>
      <c r="F3391" t="inlineStr">
        <is>
          <t>KALMAR LÄN</t>
        </is>
      </c>
      <c r="G3391" t="inlineStr">
        <is>
          <t>VÄSTERVIK</t>
        </is>
      </c>
      <c r="H3391" t="inlineStr">
        <is>
          <t>Sveaskog</t>
        </is>
      </c>
      <c r="I3391" t="n">
        <v>3.9</v>
      </c>
      <c r="J3391" t="n">
        <v>0</v>
      </c>
      <c r="K3391" t="n">
        <v>0</v>
      </c>
      <c r="L3391" t="n">
        <v>0</v>
      </c>
      <c r="M3391" t="n">
        <v>0</v>
      </c>
      <c r="N3391" t="n">
        <v>0</v>
      </c>
      <c r="O3391" t="n">
        <v>0</v>
      </c>
      <c r="P3391" t="n">
        <v>0</v>
      </c>
      <c r="Q3391" t="n">
        <v>0</v>
      </c>
      <c r="R3391" t="n">
        <v>0</v>
      </c>
      <c r="S3391" t="n">
        <v>0</v>
      </c>
      <c r="T3391" t="n">
        <v>0</v>
      </c>
      <c r="U3391" t="n">
        <v>0</v>
      </c>
      <c r="V3391" s="2" t="inlineStr"/>
    </row>
    <row r="3392" ht="15" customHeight="1">
      <c r="A3392" t="inlineStr">
        <is>
          <t>A 53872-2025</t>
        </is>
      </c>
      <c r="B3392" t="inlineStr">
        <is>
          <t>avverkningsanmälan</t>
        </is>
      </c>
      <c r="C3392" t="inlineStr">
        <is>
          <t>Avverkning för att bevara och utveckla /försöksver</t>
        </is>
      </c>
      <c r="D3392" s="1" t="n">
        <v>45961</v>
      </c>
      <c r="E3392" s="1" t="n">
        <v>46323</v>
      </c>
      <c r="F3392" t="inlineStr">
        <is>
          <t>KALMAR LÄN</t>
        </is>
      </c>
      <c r="G3392" t="inlineStr">
        <is>
          <t>VÄSTERVIK</t>
        </is>
      </c>
      <c r="H3392" t="inlineStr">
        <is>
          <t>Sveaskog</t>
        </is>
      </c>
      <c r="I3392" t="n">
        <v>1.6</v>
      </c>
      <c r="J3392" t="n">
        <v>0</v>
      </c>
      <c r="K3392" t="n">
        <v>0</v>
      </c>
      <c r="L3392" t="n">
        <v>0</v>
      </c>
      <c r="M3392" t="n">
        <v>0</v>
      </c>
      <c r="N3392" t="n">
        <v>0</v>
      </c>
      <c r="O3392" t="n">
        <v>0</v>
      </c>
      <c r="P3392" t="n">
        <v>0</v>
      </c>
      <c r="Q3392" t="n">
        <v>0</v>
      </c>
      <c r="R3392" t="n">
        <v>0</v>
      </c>
      <c r="S3392" t="n">
        <v>0</v>
      </c>
      <c r="T3392" t="n">
        <v>0</v>
      </c>
      <c r="U3392" t="n">
        <v>0</v>
      </c>
      <c r="V3392" s="2" t="inlineStr"/>
    </row>
    <row r="3393" ht="15" customHeight="1">
      <c r="A3393" t="inlineStr">
        <is>
          <t>A 7599-2024</t>
        </is>
      </c>
      <c r="B3393" t="inlineStr">
        <is>
          <t>avverkningsanmälan</t>
        </is>
      </c>
      <c r="C3393" t="inlineStr">
        <is>
          <t>Föryngringsavverkning</t>
        </is>
      </c>
      <c r="D3393" s="1" t="n">
        <v>45348</v>
      </c>
      <c r="E3393" s="1" t="n">
        <v>46323</v>
      </c>
      <c r="F3393" t="inlineStr">
        <is>
          <t>KALMAR LÄN</t>
        </is>
      </c>
      <c r="G3393" t="inlineStr">
        <is>
          <t>HÖGSBY</t>
        </is>
      </c>
      <c r="I3393" t="n">
        <v>0.6</v>
      </c>
      <c r="J3393" t="n">
        <v>0</v>
      </c>
      <c r="K3393" t="n">
        <v>0</v>
      </c>
      <c r="L3393" t="n">
        <v>0</v>
      </c>
      <c r="M3393" t="n">
        <v>0</v>
      </c>
      <c r="N3393" t="n">
        <v>0</v>
      </c>
      <c r="O3393" t="n">
        <v>0</v>
      </c>
      <c r="P3393" t="n">
        <v>0</v>
      </c>
      <c r="Q3393" t="n">
        <v>0</v>
      </c>
      <c r="R3393" t="n">
        <v>0</v>
      </c>
      <c r="S3393" t="n">
        <v>0</v>
      </c>
      <c r="T3393" t="n">
        <v>0</v>
      </c>
      <c r="U3393" t="n">
        <v>0</v>
      </c>
      <c r="V3393" s="2" t="inlineStr"/>
    </row>
    <row r="3394" ht="15" customHeight="1">
      <c r="A3394" t="inlineStr">
        <is>
          <t>A 55495-2023</t>
        </is>
      </c>
      <c r="B3394" t="inlineStr">
        <is>
          <t>avverkningsanmälan</t>
        </is>
      </c>
      <c r="C3394" t="inlineStr">
        <is>
          <t>Föryngringsavverkning</t>
        </is>
      </c>
      <c r="D3394" s="1" t="n">
        <v>45238</v>
      </c>
      <c r="E3394" s="1" t="n">
        <v>46323</v>
      </c>
      <c r="F3394" t="inlineStr">
        <is>
          <t>KALMAR LÄN</t>
        </is>
      </c>
      <c r="G3394" t="inlineStr">
        <is>
          <t>HULTSFRED</t>
        </is>
      </c>
      <c r="H3394" t="inlineStr">
        <is>
          <t>Kyrkan</t>
        </is>
      </c>
      <c r="I3394" t="n">
        <v>4.6</v>
      </c>
      <c r="J3394" t="n">
        <v>0</v>
      </c>
      <c r="K3394" t="n">
        <v>0</v>
      </c>
      <c r="L3394" t="n">
        <v>0</v>
      </c>
      <c r="M3394" t="n">
        <v>0</v>
      </c>
      <c r="N3394" t="n">
        <v>0</v>
      </c>
      <c r="O3394" t="n">
        <v>0</v>
      </c>
      <c r="P3394" t="n">
        <v>0</v>
      </c>
      <c r="Q3394" t="n">
        <v>0</v>
      </c>
      <c r="R3394" t="n">
        <v>0</v>
      </c>
      <c r="S3394" t="n">
        <v>0</v>
      </c>
      <c r="T3394" t="n">
        <v>0</v>
      </c>
      <c r="U3394" t="n">
        <v>0</v>
      </c>
      <c r="V3394" s="2" t="inlineStr"/>
    </row>
    <row r="3395" ht="15" customHeight="1">
      <c r="A3395" t="inlineStr">
        <is>
          <t>A 10930-2023</t>
        </is>
      </c>
      <c r="B3395" t="inlineStr">
        <is>
          <t>avverkningsanmälan</t>
        </is>
      </c>
      <c r="C3395" t="inlineStr">
        <is>
          <t>Föryngringsavverkning</t>
        </is>
      </c>
      <c r="D3395" s="1" t="n">
        <v>44991</v>
      </c>
      <c r="E3395" s="1" t="n">
        <v>46323</v>
      </c>
      <c r="F3395" t="inlineStr">
        <is>
          <t>KALMAR LÄN</t>
        </is>
      </c>
      <c r="G3395" t="inlineStr">
        <is>
          <t>KALMAR</t>
        </is>
      </c>
      <c r="I3395" t="n">
        <v>9.6</v>
      </c>
      <c r="J3395" t="n">
        <v>0</v>
      </c>
      <c r="K3395" t="n">
        <v>0</v>
      </c>
      <c r="L3395" t="n">
        <v>0</v>
      </c>
      <c r="M3395" t="n">
        <v>0</v>
      </c>
      <c r="N3395" t="n">
        <v>0</v>
      </c>
      <c r="O3395" t="n">
        <v>0</v>
      </c>
      <c r="P3395" t="n">
        <v>0</v>
      </c>
      <c r="Q3395" t="n">
        <v>0</v>
      </c>
      <c r="R3395" t="n">
        <v>0</v>
      </c>
      <c r="S3395" t="n">
        <v>0</v>
      </c>
      <c r="T3395" t="n">
        <v>0</v>
      </c>
      <c r="U3395" t="n">
        <v>0</v>
      </c>
      <c r="V3395" s="2" t="inlineStr"/>
    </row>
    <row r="3396" ht="15" customHeight="1">
      <c r="A3396" t="inlineStr">
        <is>
          <t>A 53901-2025</t>
        </is>
      </c>
      <c r="B3396" t="inlineStr">
        <is>
          <t>avverkningsanmälan</t>
        </is>
      </c>
      <c r="C3396" t="inlineStr">
        <is>
          <t>Föryngringsavverkning</t>
        </is>
      </c>
      <c r="D3396" s="1" t="n">
        <v>45961</v>
      </c>
      <c r="E3396" s="1" t="n">
        <v>46323</v>
      </c>
      <c r="F3396" t="inlineStr">
        <is>
          <t>KALMAR LÄN</t>
        </is>
      </c>
      <c r="G3396" t="inlineStr">
        <is>
          <t>HULTSFRED</t>
        </is>
      </c>
      <c r="H3396" t="inlineStr">
        <is>
          <t>Sveaskog</t>
        </is>
      </c>
      <c r="I3396" t="n">
        <v>1</v>
      </c>
      <c r="J3396" t="n">
        <v>0</v>
      </c>
      <c r="K3396" t="n">
        <v>0</v>
      </c>
      <c r="L3396" t="n">
        <v>0</v>
      </c>
      <c r="M3396" t="n">
        <v>0</v>
      </c>
      <c r="N3396" t="n">
        <v>0</v>
      </c>
      <c r="O3396" t="n">
        <v>0</v>
      </c>
      <c r="P3396" t="n">
        <v>0</v>
      </c>
      <c r="Q3396" t="n">
        <v>0</v>
      </c>
      <c r="R3396" t="n">
        <v>0</v>
      </c>
      <c r="S3396" t="n">
        <v>0</v>
      </c>
      <c r="T3396" t="n">
        <v>0</v>
      </c>
      <c r="U3396" t="n">
        <v>0</v>
      </c>
      <c r="V3396" s="2" t="inlineStr"/>
    </row>
    <row r="3397" ht="15" customHeight="1">
      <c r="A3397" t="inlineStr">
        <is>
          <t>A 51478-2022</t>
        </is>
      </c>
      <c r="B3397" t="inlineStr">
        <is>
          <t>avverkningsanmälan</t>
        </is>
      </c>
      <c r="C3397" t="inlineStr">
        <is>
          <t>Föryngringsavverkning</t>
        </is>
      </c>
      <c r="D3397" s="1" t="n">
        <v>44869</v>
      </c>
      <c r="E3397" s="1" t="n">
        <v>46323</v>
      </c>
      <c r="F3397" t="inlineStr">
        <is>
          <t>KALMAR LÄN</t>
        </is>
      </c>
      <c r="G3397" t="inlineStr">
        <is>
          <t>MÖNSTERÅS</t>
        </is>
      </c>
      <c r="I3397" t="n">
        <v>0.6</v>
      </c>
      <c r="J3397" t="n">
        <v>0</v>
      </c>
      <c r="K3397" t="n">
        <v>0</v>
      </c>
      <c r="L3397" t="n">
        <v>0</v>
      </c>
      <c r="M3397" t="n">
        <v>0</v>
      </c>
      <c r="N3397" t="n">
        <v>0</v>
      </c>
      <c r="O3397" t="n">
        <v>0</v>
      </c>
      <c r="P3397" t="n">
        <v>0</v>
      </c>
      <c r="Q3397" t="n">
        <v>0</v>
      </c>
      <c r="R3397" t="n">
        <v>0</v>
      </c>
      <c r="S3397" t="n">
        <v>0</v>
      </c>
      <c r="T3397" t="n">
        <v>0</v>
      </c>
      <c r="U3397" t="n">
        <v>0</v>
      </c>
      <c r="V3397" s="2" t="inlineStr"/>
    </row>
    <row r="3398" ht="15" customHeight="1">
      <c r="A3398" t="inlineStr">
        <is>
          <t>A 35129-2023</t>
        </is>
      </c>
      <c r="B3398" t="inlineStr">
        <is>
          <t>avverkningsanmälan</t>
        </is>
      </c>
      <c r="C3398" t="inlineStr">
        <is>
          <t>Föryngringsavverkning</t>
        </is>
      </c>
      <c r="D3398" s="1" t="n">
        <v>45145</v>
      </c>
      <c r="E3398" s="1" t="n">
        <v>46323</v>
      </c>
      <c r="F3398" t="inlineStr">
        <is>
          <t>KALMAR LÄN</t>
        </is>
      </c>
      <c r="G3398" t="inlineStr">
        <is>
          <t>NYBRO</t>
        </is>
      </c>
      <c r="I3398" t="n">
        <v>3.8</v>
      </c>
      <c r="J3398" t="n">
        <v>0</v>
      </c>
      <c r="K3398" t="n">
        <v>0</v>
      </c>
      <c r="L3398" t="n">
        <v>0</v>
      </c>
      <c r="M3398" t="n">
        <v>0</v>
      </c>
      <c r="N3398" t="n">
        <v>0</v>
      </c>
      <c r="O3398" t="n">
        <v>0</v>
      </c>
      <c r="P3398" t="n">
        <v>0</v>
      </c>
      <c r="Q3398" t="n">
        <v>0</v>
      </c>
      <c r="R3398" t="n">
        <v>0</v>
      </c>
      <c r="S3398" t="n">
        <v>0</v>
      </c>
      <c r="T3398" t="n">
        <v>0</v>
      </c>
      <c r="U3398" t="n">
        <v>0</v>
      </c>
      <c r="V3398" s="2" t="inlineStr"/>
    </row>
    <row r="3399" ht="15" customHeight="1">
      <c r="A3399" t="inlineStr">
        <is>
          <t>A 35135-2023</t>
        </is>
      </c>
      <c r="B3399" t="inlineStr">
        <is>
          <t>avverkningsanmälan</t>
        </is>
      </c>
      <c r="C3399" t="inlineStr">
        <is>
          <t>Föryngringsavverkning</t>
        </is>
      </c>
      <c r="D3399" s="1" t="n">
        <v>45145</v>
      </c>
      <c r="E3399" s="1" t="n">
        <v>46323</v>
      </c>
      <c r="F3399" t="inlineStr">
        <is>
          <t>KALMAR LÄN</t>
        </is>
      </c>
      <c r="G3399" t="inlineStr">
        <is>
          <t>MÖNSTERÅS</t>
        </is>
      </c>
      <c r="I3399" t="n">
        <v>5.3</v>
      </c>
      <c r="J3399" t="n">
        <v>0</v>
      </c>
      <c r="K3399" t="n">
        <v>0</v>
      </c>
      <c r="L3399" t="n">
        <v>0</v>
      </c>
      <c r="M3399" t="n">
        <v>0</v>
      </c>
      <c r="N3399" t="n">
        <v>0</v>
      </c>
      <c r="O3399" t="n">
        <v>0</v>
      </c>
      <c r="P3399" t="n">
        <v>0</v>
      </c>
      <c r="Q3399" t="n">
        <v>0</v>
      </c>
      <c r="R3399" t="n">
        <v>0</v>
      </c>
      <c r="S3399" t="n">
        <v>0</v>
      </c>
      <c r="T3399" t="n">
        <v>0</v>
      </c>
      <c r="U3399" t="n">
        <v>0</v>
      </c>
      <c r="V3399" s="2" t="inlineStr"/>
    </row>
    <row r="3400" ht="15" customHeight="1">
      <c r="A3400" t="inlineStr">
        <is>
          <t>A 35165-2023</t>
        </is>
      </c>
      <c r="B3400" t="inlineStr">
        <is>
          <t>avverkningsanmälan</t>
        </is>
      </c>
      <c r="C3400" t="inlineStr">
        <is>
          <t>Föryngringsavverkning</t>
        </is>
      </c>
      <c r="D3400" s="1" t="n">
        <v>45145</v>
      </c>
      <c r="E3400" s="1" t="n">
        <v>46323</v>
      </c>
      <c r="F3400" t="inlineStr">
        <is>
          <t>KALMAR LÄN</t>
        </is>
      </c>
      <c r="G3400" t="inlineStr">
        <is>
          <t>NYBRO</t>
        </is>
      </c>
      <c r="I3400" t="n">
        <v>2.5</v>
      </c>
      <c r="J3400" t="n">
        <v>0</v>
      </c>
      <c r="K3400" t="n">
        <v>0</v>
      </c>
      <c r="L3400" t="n">
        <v>0</v>
      </c>
      <c r="M3400" t="n">
        <v>0</v>
      </c>
      <c r="N3400" t="n">
        <v>0</v>
      </c>
      <c r="O3400" t="n">
        <v>0</v>
      </c>
      <c r="P3400" t="n">
        <v>0</v>
      </c>
      <c r="Q3400" t="n">
        <v>0</v>
      </c>
      <c r="R3400" t="n">
        <v>0</v>
      </c>
      <c r="S3400" t="n">
        <v>0</v>
      </c>
      <c r="T3400" t="n">
        <v>0</v>
      </c>
      <c r="U3400" t="n">
        <v>0</v>
      </c>
      <c r="V3400" s="2" t="inlineStr"/>
    </row>
    <row r="3401" ht="15" customHeight="1">
      <c r="A3401" t="inlineStr">
        <is>
          <t>A 35198-2023</t>
        </is>
      </c>
      <c r="B3401" t="inlineStr">
        <is>
          <t>avverkningsanmälan</t>
        </is>
      </c>
      <c r="C3401" t="inlineStr">
        <is>
          <t>Avverkning för annat ändamål</t>
        </is>
      </c>
      <c r="D3401" s="1" t="n">
        <v>45145</v>
      </c>
      <c r="E3401" s="1" t="n">
        <v>46323</v>
      </c>
      <c r="F3401" t="inlineStr">
        <is>
          <t>KALMAR LÄN</t>
        </is>
      </c>
      <c r="G3401" t="inlineStr">
        <is>
          <t>VIMMERBY</t>
        </is>
      </c>
      <c r="I3401" t="n">
        <v>1.6</v>
      </c>
      <c r="J3401" t="n">
        <v>0</v>
      </c>
      <c r="K3401" t="n">
        <v>0</v>
      </c>
      <c r="L3401" t="n">
        <v>0</v>
      </c>
      <c r="M3401" t="n">
        <v>0</v>
      </c>
      <c r="N3401" t="n">
        <v>0</v>
      </c>
      <c r="O3401" t="n">
        <v>0</v>
      </c>
      <c r="P3401" t="n">
        <v>0</v>
      </c>
      <c r="Q3401" t="n">
        <v>0</v>
      </c>
      <c r="R3401" t="n">
        <v>0</v>
      </c>
      <c r="S3401" t="n">
        <v>0</v>
      </c>
      <c r="T3401" t="n">
        <v>0</v>
      </c>
      <c r="U3401" t="n">
        <v>0</v>
      </c>
      <c r="V3401" s="2" t="inlineStr"/>
    </row>
    <row r="3402" ht="15" customHeight="1">
      <c r="A3402" t="inlineStr">
        <is>
          <t>A 53970-2025</t>
        </is>
      </c>
      <c r="B3402" t="inlineStr">
        <is>
          <t>avverkningsanmälan</t>
        </is>
      </c>
      <c r="C3402" t="inlineStr">
        <is>
          <t>Föryngringsavverkning</t>
        </is>
      </c>
      <c r="D3402" s="1" t="n">
        <v>45961</v>
      </c>
      <c r="E3402" s="1" t="n">
        <v>46323</v>
      </c>
      <c r="F3402" t="inlineStr">
        <is>
          <t>KALMAR LÄN</t>
        </is>
      </c>
      <c r="G3402" t="inlineStr">
        <is>
          <t>OSKARSHAMN</t>
        </is>
      </c>
      <c r="I3402" t="n">
        <v>1.4</v>
      </c>
      <c r="J3402" t="n">
        <v>0</v>
      </c>
      <c r="K3402" t="n">
        <v>0</v>
      </c>
      <c r="L3402" t="n">
        <v>0</v>
      </c>
      <c r="M3402" t="n">
        <v>0</v>
      </c>
      <c r="N3402" t="n">
        <v>0</v>
      </c>
      <c r="O3402" t="n">
        <v>0</v>
      </c>
      <c r="P3402" t="n">
        <v>0</v>
      </c>
      <c r="Q3402" t="n">
        <v>0</v>
      </c>
      <c r="R3402" t="n">
        <v>0</v>
      </c>
      <c r="S3402" t="n">
        <v>0</v>
      </c>
      <c r="T3402" t="n">
        <v>0</v>
      </c>
      <c r="U3402" t="n">
        <v>0</v>
      </c>
      <c r="V3402" s="2" t="inlineStr"/>
    </row>
    <row r="3403" ht="15" customHeight="1">
      <c r="A3403" t="inlineStr">
        <is>
          <t>A 42743-2024</t>
        </is>
      </c>
      <c r="B3403" t="inlineStr">
        <is>
          <t>avverkningsanmälan</t>
        </is>
      </c>
      <c r="C3403" t="inlineStr">
        <is>
          <t>Föryngringsavverkning</t>
        </is>
      </c>
      <c r="D3403" s="1" t="n">
        <v>45566</v>
      </c>
      <c r="E3403" s="1" t="n">
        <v>46323</v>
      </c>
      <c r="F3403" t="inlineStr">
        <is>
          <t>KALMAR LÄN</t>
        </is>
      </c>
      <c r="G3403" t="inlineStr">
        <is>
          <t>HULTSFRED</t>
        </is>
      </c>
      <c r="I3403" t="n">
        <v>0.8</v>
      </c>
      <c r="J3403" t="n">
        <v>0</v>
      </c>
      <c r="K3403" t="n">
        <v>0</v>
      </c>
      <c r="L3403" t="n">
        <v>0</v>
      </c>
      <c r="M3403" t="n">
        <v>0</v>
      </c>
      <c r="N3403" t="n">
        <v>0</v>
      </c>
      <c r="O3403" t="n">
        <v>0</v>
      </c>
      <c r="P3403" t="n">
        <v>0</v>
      </c>
      <c r="Q3403" t="n">
        <v>0</v>
      </c>
      <c r="R3403" t="n">
        <v>0</v>
      </c>
      <c r="S3403" t="n">
        <v>0</v>
      </c>
      <c r="T3403" t="n">
        <v>0</v>
      </c>
      <c r="U3403" t="n">
        <v>0</v>
      </c>
      <c r="V3403" s="2" t="inlineStr"/>
    </row>
    <row r="3404" ht="15" customHeight="1">
      <c r="A3404" t="inlineStr">
        <is>
          <t>A 33606-2023</t>
        </is>
      </c>
      <c r="B3404" t="inlineStr">
        <is>
          <t>avverkningsanmälan</t>
        </is>
      </c>
      <c r="C3404" t="inlineStr">
        <is>
          <t>Föryngringsavverkning</t>
        </is>
      </c>
      <c r="D3404" s="1" t="n">
        <v>45132</v>
      </c>
      <c r="E3404" s="1" t="n">
        <v>46323</v>
      </c>
      <c r="F3404" t="inlineStr">
        <is>
          <t>KALMAR LÄN</t>
        </is>
      </c>
      <c r="G3404" t="inlineStr">
        <is>
          <t>EMMABODA</t>
        </is>
      </c>
      <c r="I3404" t="n">
        <v>2.5</v>
      </c>
      <c r="J3404" t="n">
        <v>0</v>
      </c>
      <c r="K3404" t="n">
        <v>0</v>
      </c>
      <c r="L3404" t="n">
        <v>0</v>
      </c>
      <c r="M3404" t="n">
        <v>0</v>
      </c>
      <c r="N3404" t="n">
        <v>0</v>
      </c>
      <c r="O3404" t="n">
        <v>0</v>
      </c>
      <c r="P3404" t="n">
        <v>0</v>
      </c>
      <c r="Q3404" t="n">
        <v>0</v>
      </c>
      <c r="R3404" t="n">
        <v>0</v>
      </c>
      <c r="S3404" t="n">
        <v>0</v>
      </c>
      <c r="T3404" t="n">
        <v>0</v>
      </c>
      <c r="U3404" t="n">
        <v>0</v>
      </c>
      <c r="V3404" s="2" t="inlineStr"/>
    </row>
    <row r="3405" ht="15" customHeight="1">
      <c r="A3405" t="inlineStr">
        <is>
          <t>A 4863-2022</t>
        </is>
      </c>
      <c r="B3405" t="inlineStr">
        <is>
          <t>avverkningsanmälan</t>
        </is>
      </c>
      <c r="C3405" t="inlineStr">
        <is>
          <t>Föryngringsavverkning</t>
        </is>
      </c>
      <c r="D3405" s="1" t="n">
        <v>44593</v>
      </c>
      <c r="E3405" s="1" t="n">
        <v>46323</v>
      </c>
      <c r="F3405" t="inlineStr">
        <is>
          <t>KALMAR LÄN</t>
        </is>
      </c>
      <c r="G3405" t="inlineStr">
        <is>
          <t>NYBRO</t>
        </is>
      </c>
      <c r="I3405" t="n">
        <v>2.1</v>
      </c>
      <c r="J3405" t="n">
        <v>0</v>
      </c>
      <c r="K3405" t="n">
        <v>0</v>
      </c>
      <c r="L3405" t="n">
        <v>0</v>
      </c>
      <c r="M3405" t="n">
        <v>0</v>
      </c>
      <c r="N3405" t="n">
        <v>0</v>
      </c>
      <c r="O3405" t="n">
        <v>0</v>
      </c>
      <c r="P3405" t="n">
        <v>0</v>
      </c>
      <c r="Q3405" t="n">
        <v>0</v>
      </c>
      <c r="R3405" t="n">
        <v>0</v>
      </c>
      <c r="S3405" t="n">
        <v>0</v>
      </c>
      <c r="T3405" t="n">
        <v>0</v>
      </c>
      <c r="U3405" t="n">
        <v>0</v>
      </c>
      <c r="V3405" s="2" t="inlineStr"/>
    </row>
    <row r="3406" ht="15" customHeight="1">
      <c r="A3406" t="inlineStr">
        <is>
          <t>A 36361-2023</t>
        </is>
      </c>
      <c r="B3406" t="inlineStr">
        <is>
          <t>avverkningsanmälan</t>
        </is>
      </c>
      <c r="C3406" t="inlineStr">
        <is>
          <t>Föryngringsavverkning</t>
        </is>
      </c>
      <c r="D3406" s="1" t="n">
        <v>45152</v>
      </c>
      <c r="E3406" s="1" t="n">
        <v>46323</v>
      </c>
      <c r="F3406" t="inlineStr">
        <is>
          <t>KALMAR LÄN</t>
        </is>
      </c>
      <c r="G3406" t="inlineStr">
        <is>
          <t>MÖNSTERÅS</t>
        </is>
      </c>
      <c r="H3406" t="inlineStr">
        <is>
          <t>Kommuner</t>
        </is>
      </c>
      <c r="I3406" t="n">
        <v>1.8</v>
      </c>
      <c r="J3406" t="n">
        <v>0</v>
      </c>
      <c r="K3406" t="n">
        <v>0</v>
      </c>
      <c r="L3406" t="n">
        <v>0</v>
      </c>
      <c r="M3406" t="n">
        <v>0</v>
      </c>
      <c r="N3406" t="n">
        <v>0</v>
      </c>
      <c r="O3406" t="n">
        <v>0</v>
      </c>
      <c r="P3406" t="n">
        <v>0</v>
      </c>
      <c r="Q3406" t="n">
        <v>0</v>
      </c>
      <c r="R3406" t="n">
        <v>0</v>
      </c>
      <c r="S3406" t="n">
        <v>0</v>
      </c>
      <c r="T3406" t="n">
        <v>0</v>
      </c>
      <c r="U3406" t="n">
        <v>0</v>
      </c>
      <c r="V3406" s="2" t="inlineStr"/>
    </row>
    <row r="3407" ht="15" customHeight="1">
      <c r="A3407" t="inlineStr">
        <is>
          <t>A 11735-2024</t>
        </is>
      </c>
      <c r="B3407" t="inlineStr">
        <is>
          <t>avverkningsanmälan</t>
        </is>
      </c>
      <c r="C3407" t="inlineStr">
        <is>
          <t>Föryngringsavverkning</t>
        </is>
      </c>
      <c r="D3407" s="1" t="n">
        <v>45373</v>
      </c>
      <c r="E3407" s="1" t="n">
        <v>46323</v>
      </c>
      <c r="F3407" t="inlineStr">
        <is>
          <t>KALMAR LÄN</t>
        </is>
      </c>
      <c r="G3407" t="inlineStr">
        <is>
          <t>OSKARSHAMN</t>
        </is>
      </c>
      <c r="I3407" t="n">
        <v>2</v>
      </c>
      <c r="J3407" t="n">
        <v>0</v>
      </c>
      <c r="K3407" t="n">
        <v>0</v>
      </c>
      <c r="L3407" t="n">
        <v>0</v>
      </c>
      <c r="M3407" t="n">
        <v>0</v>
      </c>
      <c r="N3407" t="n">
        <v>0</v>
      </c>
      <c r="O3407" t="n">
        <v>0</v>
      </c>
      <c r="P3407" t="n">
        <v>0</v>
      </c>
      <c r="Q3407" t="n">
        <v>0</v>
      </c>
      <c r="R3407" t="n">
        <v>0</v>
      </c>
      <c r="S3407" t="n">
        <v>0</v>
      </c>
      <c r="T3407" t="n">
        <v>0</v>
      </c>
      <c r="U3407" t="n">
        <v>0</v>
      </c>
      <c r="V3407" s="2" t="inlineStr"/>
    </row>
    <row r="3408" ht="15" customHeight="1">
      <c r="A3408" t="inlineStr">
        <is>
          <t>A 3291-2024</t>
        </is>
      </c>
      <c r="B3408" t="inlineStr">
        <is>
          <t>avverkningsanmälan</t>
        </is>
      </c>
      <c r="C3408" t="inlineStr">
        <is>
          <t>Föryngringsavverkning</t>
        </is>
      </c>
      <c r="D3408" s="1" t="n">
        <v>45317</v>
      </c>
      <c r="E3408" s="1" t="n">
        <v>46323</v>
      </c>
      <c r="F3408" t="inlineStr">
        <is>
          <t>KALMAR LÄN</t>
        </is>
      </c>
      <c r="G3408" t="inlineStr">
        <is>
          <t>EMMABODA</t>
        </is>
      </c>
      <c r="I3408" t="n">
        <v>3.1</v>
      </c>
      <c r="J3408" t="n">
        <v>0</v>
      </c>
      <c r="K3408" t="n">
        <v>0</v>
      </c>
      <c r="L3408" t="n">
        <v>0</v>
      </c>
      <c r="M3408" t="n">
        <v>0</v>
      </c>
      <c r="N3408" t="n">
        <v>0</v>
      </c>
      <c r="O3408" t="n">
        <v>0</v>
      </c>
      <c r="P3408" t="n">
        <v>0</v>
      </c>
      <c r="Q3408" t="n">
        <v>0</v>
      </c>
      <c r="R3408" t="n">
        <v>0</v>
      </c>
      <c r="S3408" t="n">
        <v>0</v>
      </c>
      <c r="T3408" t="n">
        <v>0</v>
      </c>
      <c r="U3408" t="n">
        <v>0</v>
      </c>
      <c r="V3408" s="2" t="inlineStr"/>
    </row>
    <row r="3409" ht="15" customHeight="1">
      <c r="A3409" t="inlineStr">
        <is>
          <t>A 17314-2023</t>
        </is>
      </c>
      <c r="B3409" t="inlineStr">
        <is>
          <t>avverkningsanmälan</t>
        </is>
      </c>
      <c r="C3409" t="inlineStr">
        <is>
          <t>Föryngringsavverkning</t>
        </is>
      </c>
      <c r="D3409" s="1" t="n">
        <v>45035</v>
      </c>
      <c r="E3409" s="1" t="n">
        <v>46323</v>
      </c>
      <c r="F3409" t="inlineStr">
        <is>
          <t>KALMAR LÄN</t>
        </is>
      </c>
      <c r="G3409" t="inlineStr">
        <is>
          <t>VÄSTERVIK</t>
        </is>
      </c>
      <c r="I3409" t="n">
        <v>0.7</v>
      </c>
      <c r="J3409" t="n">
        <v>0</v>
      </c>
      <c r="K3409" t="n">
        <v>0</v>
      </c>
      <c r="L3409" t="n">
        <v>0</v>
      </c>
      <c r="M3409" t="n">
        <v>0</v>
      </c>
      <c r="N3409" t="n">
        <v>0</v>
      </c>
      <c r="O3409" t="n">
        <v>0</v>
      </c>
      <c r="P3409" t="n">
        <v>0</v>
      </c>
      <c r="Q3409" t="n">
        <v>0</v>
      </c>
      <c r="R3409" t="n">
        <v>0</v>
      </c>
      <c r="S3409" t="n">
        <v>0</v>
      </c>
      <c r="T3409" t="n">
        <v>0</v>
      </c>
      <c r="U3409" t="n">
        <v>0</v>
      </c>
      <c r="V3409" s="2" t="inlineStr"/>
    </row>
    <row r="3410" ht="15" customHeight="1">
      <c r="A3410" t="inlineStr">
        <is>
          <t>A 65155-2023</t>
        </is>
      </c>
      <c r="B3410" t="inlineStr">
        <is>
          <t>avverkningsanmälan</t>
        </is>
      </c>
      <c r="C3410" t="inlineStr">
        <is>
          <t>Föryngringsavverkning</t>
        </is>
      </c>
      <c r="D3410" s="1" t="n">
        <v>45288</v>
      </c>
      <c r="E3410" s="1" t="n">
        <v>46323</v>
      </c>
      <c r="F3410" t="inlineStr">
        <is>
          <t>KALMAR LÄN</t>
        </is>
      </c>
      <c r="G3410" t="inlineStr">
        <is>
          <t>TORSÅS</t>
        </is>
      </c>
      <c r="I3410" t="n">
        <v>5</v>
      </c>
      <c r="J3410" t="n">
        <v>0</v>
      </c>
      <c r="K3410" t="n">
        <v>0</v>
      </c>
      <c r="L3410" t="n">
        <v>0</v>
      </c>
      <c r="M3410" t="n">
        <v>0</v>
      </c>
      <c r="N3410" t="n">
        <v>0</v>
      </c>
      <c r="O3410" t="n">
        <v>0</v>
      </c>
      <c r="P3410" t="n">
        <v>0</v>
      </c>
      <c r="Q3410" t="n">
        <v>0</v>
      </c>
      <c r="R3410" t="n">
        <v>0</v>
      </c>
      <c r="S3410" t="n">
        <v>0</v>
      </c>
      <c r="T3410" t="n">
        <v>0</v>
      </c>
      <c r="U3410" t="n">
        <v>0</v>
      </c>
      <c r="V3410" s="2" t="inlineStr"/>
    </row>
    <row r="3411" ht="15" customHeight="1">
      <c r="A3411" t="inlineStr">
        <is>
          <t>A 65159-2023</t>
        </is>
      </c>
      <c r="B3411" t="inlineStr">
        <is>
          <t>avverkningsanmälan</t>
        </is>
      </c>
      <c r="C3411" t="inlineStr">
        <is>
          <t>Föryngringsavverkning</t>
        </is>
      </c>
      <c r="D3411" s="1" t="n">
        <v>45288</v>
      </c>
      <c r="E3411" s="1" t="n">
        <v>46323</v>
      </c>
      <c r="F3411" t="inlineStr">
        <is>
          <t>KALMAR LÄN</t>
        </is>
      </c>
      <c r="G3411" t="inlineStr">
        <is>
          <t>TORSÅS</t>
        </is>
      </c>
      <c r="I3411" t="n">
        <v>6.3</v>
      </c>
      <c r="J3411" t="n">
        <v>0</v>
      </c>
      <c r="K3411" t="n">
        <v>0</v>
      </c>
      <c r="L3411" t="n">
        <v>0</v>
      </c>
      <c r="M3411" t="n">
        <v>0</v>
      </c>
      <c r="N3411" t="n">
        <v>0</v>
      </c>
      <c r="O3411" t="n">
        <v>0</v>
      </c>
      <c r="P3411" t="n">
        <v>0</v>
      </c>
      <c r="Q3411" t="n">
        <v>0</v>
      </c>
      <c r="R3411" t="n">
        <v>0</v>
      </c>
      <c r="S3411" t="n">
        <v>0</v>
      </c>
      <c r="T3411" t="n">
        <v>0</v>
      </c>
      <c r="U3411" t="n">
        <v>0</v>
      </c>
      <c r="V3411" s="2" t="inlineStr"/>
    </row>
    <row r="3412" ht="15" customHeight="1">
      <c r="A3412" t="inlineStr">
        <is>
          <t>A 12630-2023</t>
        </is>
      </c>
      <c r="B3412" t="inlineStr">
        <is>
          <t>avverkningsanmälan</t>
        </is>
      </c>
      <c r="C3412" t="inlineStr">
        <is>
          <t>Föryngringsavverkning</t>
        </is>
      </c>
      <c r="D3412" s="1" t="n">
        <v>45000</v>
      </c>
      <c r="E3412" s="1" t="n">
        <v>46323</v>
      </c>
      <c r="F3412" t="inlineStr">
        <is>
          <t>KALMAR LÄN</t>
        </is>
      </c>
      <c r="G3412" t="inlineStr">
        <is>
          <t>VIMMERBY</t>
        </is>
      </c>
      <c r="I3412" t="n">
        <v>2.1</v>
      </c>
      <c r="J3412" t="n">
        <v>0</v>
      </c>
      <c r="K3412" t="n">
        <v>0</v>
      </c>
      <c r="L3412" t="n">
        <v>0</v>
      </c>
      <c r="M3412" t="n">
        <v>0</v>
      </c>
      <c r="N3412" t="n">
        <v>0</v>
      </c>
      <c r="O3412" t="n">
        <v>0</v>
      </c>
      <c r="P3412" t="n">
        <v>0</v>
      </c>
      <c r="Q3412" t="n">
        <v>0</v>
      </c>
      <c r="R3412" t="n">
        <v>0</v>
      </c>
      <c r="S3412" t="n">
        <v>0</v>
      </c>
      <c r="T3412" t="n">
        <v>0</v>
      </c>
      <c r="U3412" t="n">
        <v>0</v>
      </c>
      <c r="V3412" s="2" t="inlineStr"/>
    </row>
    <row r="3413" ht="15" customHeight="1">
      <c r="A3413" t="inlineStr">
        <is>
          <t>A 8463-2023</t>
        </is>
      </c>
      <c r="B3413" t="inlineStr">
        <is>
          <t>avverkningsanmälan</t>
        </is>
      </c>
      <c r="C3413" t="inlineStr">
        <is>
          <t>Föryngringsavverkning</t>
        </is>
      </c>
      <c r="D3413" s="1" t="n">
        <v>44972</v>
      </c>
      <c r="E3413" s="1" t="n">
        <v>46323</v>
      </c>
      <c r="F3413" t="inlineStr">
        <is>
          <t>KALMAR LÄN</t>
        </is>
      </c>
      <c r="G3413" t="inlineStr">
        <is>
          <t>HÖGSBY</t>
        </is>
      </c>
      <c r="I3413" t="n">
        <v>5.5</v>
      </c>
      <c r="J3413" t="n">
        <v>0</v>
      </c>
      <c r="K3413" t="n">
        <v>0</v>
      </c>
      <c r="L3413" t="n">
        <v>0</v>
      </c>
      <c r="M3413" t="n">
        <v>0</v>
      </c>
      <c r="N3413" t="n">
        <v>0</v>
      </c>
      <c r="O3413" t="n">
        <v>0</v>
      </c>
      <c r="P3413" t="n">
        <v>0</v>
      </c>
      <c r="Q3413" t="n">
        <v>0</v>
      </c>
      <c r="R3413" t="n">
        <v>0</v>
      </c>
      <c r="S3413" t="n">
        <v>0</v>
      </c>
      <c r="T3413" t="n">
        <v>0</v>
      </c>
      <c r="U3413" t="n">
        <v>0</v>
      </c>
      <c r="V3413" s="2" t="inlineStr"/>
    </row>
    <row r="3414" ht="15" customHeight="1">
      <c r="A3414" t="inlineStr">
        <is>
          <t>A 6299-2022</t>
        </is>
      </c>
      <c r="B3414" t="inlineStr">
        <is>
          <t>avverkningsanmälan</t>
        </is>
      </c>
      <c r="C3414" t="inlineStr">
        <is>
          <t>Föryngringsavverkning</t>
        </is>
      </c>
      <c r="D3414" s="1" t="n">
        <v>44600</v>
      </c>
      <c r="E3414" s="1" t="n">
        <v>46323</v>
      </c>
      <c r="F3414" t="inlineStr">
        <is>
          <t>KALMAR LÄN</t>
        </is>
      </c>
      <c r="G3414" t="inlineStr">
        <is>
          <t>EMMABODA</t>
        </is>
      </c>
      <c r="I3414" t="n">
        <v>2.1</v>
      </c>
      <c r="J3414" t="n">
        <v>0</v>
      </c>
      <c r="K3414" t="n">
        <v>0</v>
      </c>
      <c r="L3414" t="n">
        <v>0</v>
      </c>
      <c r="M3414" t="n">
        <v>0</v>
      </c>
      <c r="N3414" t="n">
        <v>0</v>
      </c>
      <c r="O3414" t="n">
        <v>0</v>
      </c>
      <c r="P3414" t="n">
        <v>0</v>
      </c>
      <c r="Q3414" t="n">
        <v>0</v>
      </c>
      <c r="R3414" t="n">
        <v>0</v>
      </c>
      <c r="S3414" t="n">
        <v>0</v>
      </c>
      <c r="T3414" t="n">
        <v>0</v>
      </c>
      <c r="U3414" t="n">
        <v>0</v>
      </c>
      <c r="V3414" s="2" t="inlineStr"/>
    </row>
    <row r="3415" ht="15" customHeight="1">
      <c r="A3415" t="inlineStr">
        <is>
          <t>A 8594-2023</t>
        </is>
      </c>
      <c r="B3415" t="inlineStr">
        <is>
          <t>avverkningsanmälan</t>
        </is>
      </c>
      <c r="C3415" t="inlineStr">
        <is>
          <t>Föryngringsavverkning</t>
        </is>
      </c>
      <c r="D3415" s="1" t="n">
        <v>44977</v>
      </c>
      <c r="E3415" s="1" t="n">
        <v>46323</v>
      </c>
      <c r="F3415" t="inlineStr">
        <is>
          <t>KALMAR LÄN</t>
        </is>
      </c>
      <c r="G3415" t="inlineStr">
        <is>
          <t>VÄSTERVIK</t>
        </is>
      </c>
      <c r="I3415" t="n">
        <v>0.7</v>
      </c>
      <c r="J3415" t="n">
        <v>0</v>
      </c>
      <c r="K3415" t="n">
        <v>0</v>
      </c>
      <c r="L3415" t="n">
        <v>0</v>
      </c>
      <c r="M3415" t="n">
        <v>0</v>
      </c>
      <c r="N3415" t="n">
        <v>0</v>
      </c>
      <c r="O3415" t="n">
        <v>0</v>
      </c>
      <c r="P3415" t="n">
        <v>0</v>
      </c>
      <c r="Q3415" t="n">
        <v>0</v>
      </c>
      <c r="R3415" t="n">
        <v>0</v>
      </c>
      <c r="S3415" t="n">
        <v>0</v>
      </c>
      <c r="T3415" t="n">
        <v>0</v>
      </c>
      <c r="U3415" t="n">
        <v>0</v>
      </c>
      <c r="V3415" s="2" t="inlineStr"/>
    </row>
    <row r="3416" ht="15" customHeight="1">
      <c r="A3416" t="inlineStr">
        <is>
          <t>A 5766-2024</t>
        </is>
      </c>
      <c r="B3416" t="inlineStr">
        <is>
          <t>avverkningsanmälan</t>
        </is>
      </c>
      <c r="C3416" t="inlineStr">
        <is>
          <t>Föryngringsavverkning</t>
        </is>
      </c>
      <c r="D3416" s="1" t="n">
        <v>45335</v>
      </c>
      <c r="E3416" s="1" t="n">
        <v>46323</v>
      </c>
      <c r="F3416" t="inlineStr">
        <is>
          <t>KALMAR LÄN</t>
        </is>
      </c>
      <c r="G3416" t="inlineStr">
        <is>
          <t>NYBRO</t>
        </is>
      </c>
      <c r="I3416" t="n">
        <v>3.5</v>
      </c>
      <c r="J3416" t="n">
        <v>0</v>
      </c>
      <c r="K3416" t="n">
        <v>0</v>
      </c>
      <c r="L3416" t="n">
        <v>0</v>
      </c>
      <c r="M3416" t="n">
        <v>0</v>
      </c>
      <c r="N3416" t="n">
        <v>0</v>
      </c>
      <c r="O3416" t="n">
        <v>0</v>
      </c>
      <c r="P3416" t="n">
        <v>0</v>
      </c>
      <c r="Q3416" t="n">
        <v>0</v>
      </c>
      <c r="R3416" t="n">
        <v>0</v>
      </c>
      <c r="S3416" t="n">
        <v>0</v>
      </c>
      <c r="T3416" t="n">
        <v>0</v>
      </c>
      <c r="U3416" t="n">
        <v>0</v>
      </c>
      <c r="V3416" s="2" t="inlineStr"/>
    </row>
    <row r="3417" ht="15" customHeight="1">
      <c r="A3417" t="inlineStr">
        <is>
          <t>A 48956-2024</t>
        </is>
      </c>
      <c r="B3417" t="inlineStr">
        <is>
          <t>avverkningsanmälan</t>
        </is>
      </c>
      <c r="C3417" t="inlineStr">
        <is>
          <t>Föryngringsavverkning</t>
        </is>
      </c>
      <c r="D3417" s="1" t="n">
        <v>45594</v>
      </c>
      <c r="E3417" s="1" t="n">
        <v>46323</v>
      </c>
      <c r="F3417" t="inlineStr">
        <is>
          <t>KALMAR LÄN</t>
        </is>
      </c>
      <c r="G3417" t="inlineStr">
        <is>
          <t>HULTSFRED</t>
        </is>
      </c>
      <c r="I3417" t="n">
        <v>1</v>
      </c>
      <c r="J3417" t="n">
        <v>0</v>
      </c>
      <c r="K3417" t="n">
        <v>0</v>
      </c>
      <c r="L3417" t="n">
        <v>0</v>
      </c>
      <c r="M3417" t="n">
        <v>0</v>
      </c>
      <c r="N3417" t="n">
        <v>0</v>
      </c>
      <c r="O3417" t="n">
        <v>0</v>
      </c>
      <c r="P3417" t="n">
        <v>0</v>
      </c>
      <c r="Q3417" t="n">
        <v>0</v>
      </c>
      <c r="R3417" t="n">
        <v>0</v>
      </c>
      <c r="S3417" t="n">
        <v>0</v>
      </c>
      <c r="T3417" t="n">
        <v>0</v>
      </c>
      <c r="U3417" t="n">
        <v>0</v>
      </c>
      <c r="V3417" s="2" t="inlineStr"/>
    </row>
    <row r="3418" ht="15" customHeight="1">
      <c r="A3418" t="inlineStr">
        <is>
          <t>A 54836-2025</t>
        </is>
      </c>
      <c r="B3418" t="inlineStr">
        <is>
          <t>avverkningsanmälan</t>
        </is>
      </c>
      <c r="C3418" t="inlineStr">
        <is>
          <t>Föryngringsavverkning</t>
        </is>
      </c>
      <c r="D3418" s="1" t="n">
        <v>45966</v>
      </c>
      <c r="E3418" s="1" t="n">
        <v>46323</v>
      </c>
      <c r="F3418" t="inlineStr">
        <is>
          <t>KALMAR LÄN</t>
        </is>
      </c>
      <c r="G3418" t="inlineStr">
        <is>
          <t>TORSÅS</t>
        </is>
      </c>
      <c r="I3418" t="n">
        <v>2.6</v>
      </c>
      <c r="J3418" t="n">
        <v>0</v>
      </c>
      <c r="K3418" t="n">
        <v>0</v>
      </c>
      <c r="L3418" t="n">
        <v>0</v>
      </c>
      <c r="M3418" t="n">
        <v>0</v>
      </c>
      <c r="N3418" t="n">
        <v>0</v>
      </c>
      <c r="O3418" t="n">
        <v>0</v>
      </c>
      <c r="P3418" t="n">
        <v>0</v>
      </c>
      <c r="Q3418" t="n">
        <v>0</v>
      </c>
      <c r="R3418" t="n">
        <v>0</v>
      </c>
      <c r="S3418" t="n">
        <v>0</v>
      </c>
      <c r="T3418" t="n">
        <v>0</v>
      </c>
      <c r="U3418" t="n">
        <v>0</v>
      </c>
      <c r="V3418" s="2" t="inlineStr"/>
    </row>
    <row r="3419" ht="15" customHeight="1">
      <c r="A3419" t="inlineStr">
        <is>
          <t>A 3403-2024</t>
        </is>
      </c>
      <c r="B3419" t="inlineStr">
        <is>
          <t>avverkningsanmälan</t>
        </is>
      </c>
      <c r="C3419" t="inlineStr">
        <is>
          <t>Föryngringsavverkning</t>
        </is>
      </c>
      <c r="D3419" s="1" t="n">
        <v>45318</v>
      </c>
      <c r="E3419" s="1" t="n">
        <v>46323</v>
      </c>
      <c r="F3419" t="inlineStr">
        <is>
          <t>KALMAR LÄN</t>
        </is>
      </c>
      <c r="G3419" t="inlineStr">
        <is>
          <t>HULTSFRED</t>
        </is>
      </c>
      <c r="I3419" t="n">
        <v>1.3</v>
      </c>
      <c r="J3419" t="n">
        <v>0</v>
      </c>
      <c r="K3419" t="n">
        <v>0</v>
      </c>
      <c r="L3419" t="n">
        <v>0</v>
      </c>
      <c r="M3419" t="n">
        <v>0</v>
      </c>
      <c r="N3419" t="n">
        <v>0</v>
      </c>
      <c r="O3419" t="n">
        <v>0</v>
      </c>
      <c r="P3419" t="n">
        <v>0</v>
      </c>
      <c r="Q3419" t="n">
        <v>0</v>
      </c>
      <c r="R3419" t="n">
        <v>0</v>
      </c>
      <c r="S3419" t="n">
        <v>0</v>
      </c>
      <c r="T3419" t="n">
        <v>0</v>
      </c>
      <c r="U3419" t="n">
        <v>0</v>
      </c>
      <c r="V3419" s="2" t="inlineStr"/>
    </row>
    <row r="3420" ht="15" customHeight="1">
      <c r="A3420" t="inlineStr">
        <is>
          <t>A 72708-2021</t>
        </is>
      </c>
      <c r="B3420" t="inlineStr">
        <is>
          <t>avverkningsanmälan</t>
        </is>
      </c>
      <c r="C3420" t="inlineStr">
        <is>
          <t>Föryngringsavverkning</t>
        </is>
      </c>
      <c r="D3420" s="1" t="n">
        <v>44546</v>
      </c>
      <c r="E3420" s="1" t="n">
        <v>46323</v>
      </c>
      <c r="F3420" t="inlineStr">
        <is>
          <t>KALMAR LÄN</t>
        </is>
      </c>
      <c r="G3420" t="inlineStr">
        <is>
          <t>HULTSFRED</t>
        </is>
      </c>
      <c r="I3420" t="n">
        <v>1.6</v>
      </c>
      <c r="J3420" t="n">
        <v>0</v>
      </c>
      <c r="K3420" t="n">
        <v>0</v>
      </c>
      <c r="L3420" t="n">
        <v>0</v>
      </c>
      <c r="M3420" t="n">
        <v>0</v>
      </c>
      <c r="N3420" t="n">
        <v>0</v>
      </c>
      <c r="O3420" t="n">
        <v>0</v>
      </c>
      <c r="P3420" t="n">
        <v>0</v>
      </c>
      <c r="Q3420" t="n">
        <v>0</v>
      </c>
      <c r="R3420" t="n">
        <v>0</v>
      </c>
      <c r="S3420" t="n">
        <v>0</v>
      </c>
      <c r="T3420" t="n">
        <v>0</v>
      </c>
      <c r="U3420" t="n">
        <v>0</v>
      </c>
      <c r="V3420" s="2" t="inlineStr"/>
    </row>
    <row r="3421" ht="15" customHeight="1">
      <c r="A3421" t="inlineStr">
        <is>
          <t>A 8337-2023</t>
        </is>
      </c>
      <c r="B3421" t="inlineStr">
        <is>
          <t>avverkningsanmälan</t>
        </is>
      </c>
      <c r="C3421" t="inlineStr">
        <is>
          <t>Föryngringsavverkning</t>
        </is>
      </c>
      <c r="D3421" s="1" t="n">
        <v>44975</v>
      </c>
      <c r="E3421" s="1" t="n">
        <v>46323</v>
      </c>
      <c r="F3421" t="inlineStr">
        <is>
          <t>KALMAR LÄN</t>
        </is>
      </c>
      <c r="G3421" t="inlineStr">
        <is>
          <t>HULTSFRED</t>
        </is>
      </c>
      <c r="I3421" t="n">
        <v>0.9</v>
      </c>
      <c r="J3421" t="n">
        <v>0</v>
      </c>
      <c r="K3421" t="n">
        <v>0</v>
      </c>
      <c r="L3421" t="n">
        <v>0</v>
      </c>
      <c r="M3421" t="n">
        <v>0</v>
      </c>
      <c r="N3421" t="n">
        <v>0</v>
      </c>
      <c r="O3421" t="n">
        <v>0</v>
      </c>
      <c r="P3421" t="n">
        <v>0</v>
      </c>
      <c r="Q3421" t="n">
        <v>0</v>
      </c>
      <c r="R3421" t="n">
        <v>0</v>
      </c>
      <c r="S3421" t="n">
        <v>0</v>
      </c>
      <c r="T3421" t="n">
        <v>0</v>
      </c>
      <c r="U3421" t="n">
        <v>0</v>
      </c>
      <c r="V3421" s="2" t="inlineStr"/>
    </row>
    <row r="3422" ht="15" customHeight="1">
      <c r="A3422" t="inlineStr">
        <is>
          <t>A 39584-2024</t>
        </is>
      </c>
      <c r="B3422" t="inlineStr">
        <is>
          <t>avverkningsanmälan</t>
        </is>
      </c>
      <c r="C3422" t="inlineStr">
        <is>
          <t>Föryngringsavverkning</t>
        </is>
      </c>
      <c r="D3422" s="1" t="n">
        <v>45552</v>
      </c>
      <c r="E3422" s="1" t="n">
        <v>46323</v>
      </c>
      <c r="F3422" t="inlineStr">
        <is>
          <t>KALMAR LÄN</t>
        </is>
      </c>
      <c r="G3422" t="inlineStr">
        <is>
          <t>VIMMERBY</t>
        </is>
      </c>
      <c r="I3422" t="n">
        <v>1.9</v>
      </c>
      <c r="J3422" t="n">
        <v>0</v>
      </c>
      <c r="K3422" t="n">
        <v>0</v>
      </c>
      <c r="L3422" t="n">
        <v>0</v>
      </c>
      <c r="M3422" t="n">
        <v>0</v>
      </c>
      <c r="N3422" t="n">
        <v>0</v>
      </c>
      <c r="O3422" t="n">
        <v>0</v>
      </c>
      <c r="P3422" t="n">
        <v>0</v>
      </c>
      <c r="Q3422" t="n">
        <v>0</v>
      </c>
      <c r="R3422" t="n">
        <v>0</v>
      </c>
      <c r="S3422" t="n">
        <v>0</v>
      </c>
      <c r="T3422" t="n">
        <v>0</v>
      </c>
      <c r="U3422" t="n">
        <v>0</v>
      </c>
      <c r="V3422" s="2" t="inlineStr"/>
    </row>
    <row r="3423" ht="15" customHeight="1">
      <c r="A3423" t="inlineStr">
        <is>
          <t>A 54308-2025</t>
        </is>
      </c>
      <c r="B3423" t="inlineStr">
        <is>
          <t>avverkningsanmälan</t>
        </is>
      </c>
      <c r="C3423" t="inlineStr">
        <is>
          <t>Avverkning för att bevara och utveckla /försöksver</t>
        </is>
      </c>
      <c r="D3423" s="1" t="n">
        <v>45965</v>
      </c>
      <c r="E3423" s="1" t="n">
        <v>46323</v>
      </c>
      <c r="F3423" t="inlineStr">
        <is>
          <t>KALMAR LÄN</t>
        </is>
      </c>
      <c r="G3423" t="inlineStr">
        <is>
          <t>HULTSFRED</t>
        </is>
      </c>
      <c r="H3423" t="inlineStr">
        <is>
          <t>Sveaskog</t>
        </is>
      </c>
      <c r="I3423" t="n">
        <v>1.1</v>
      </c>
      <c r="J3423" t="n">
        <v>0</v>
      </c>
      <c r="K3423" t="n">
        <v>0</v>
      </c>
      <c r="L3423" t="n">
        <v>0</v>
      </c>
      <c r="M3423" t="n">
        <v>0</v>
      </c>
      <c r="N3423" t="n">
        <v>0</v>
      </c>
      <c r="O3423" t="n">
        <v>0</v>
      </c>
      <c r="P3423" t="n">
        <v>0</v>
      </c>
      <c r="Q3423" t="n">
        <v>0</v>
      </c>
      <c r="R3423" t="n">
        <v>0</v>
      </c>
      <c r="S3423" t="n">
        <v>0</v>
      </c>
      <c r="T3423" t="n">
        <v>0</v>
      </c>
      <c r="U3423" t="n">
        <v>0</v>
      </c>
      <c r="V3423" s="2" t="inlineStr"/>
    </row>
    <row r="3424" ht="15" customHeight="1">
      <c r="A3424" t="inlineStr">
        <is>
          <t>A 33658-2023</t>
        </is>
      </c>
      <c r="B3424" t="inlineStr">
        <is>
          <t>avverkningsanmälan</t>
        </is>
      </c>
      <c r="C3424" t="inlineStr">
        <is>
          <t>Föryngringsavverkning</t>
        </is>
      </c>
      <c r="D3424" s="1" t="n">
        <v>45132</v>
      </c>
      <c r="E3424" s="1" t="n">
        <v>46323</v>
      </c>
      <c r="F3424" t="inlineStr">
        <is>
          <t>KALMAR LÄN</t>
        </is>
      </c>
      <c r="G3424" t="inlineStr">
        <is>
          <t>MÖNSTERÅS</t>
        </is>
      </c>
      <c r="I3424" t="n">
        <v>0.9</v>
      </c>
      <c r="J3424" t="n">
        <v>0</v>
      </c>
      <c r="K3424" t="n">
        <v>0</v>
      </c>
      <c r="L3424" t="n">
        <v>0</v>
      </c>
      <c r="M3424" t="n">
        <v>0</v>
      </c>
      <c r="N3424" t="n">
        <v>0</v>
      </c>
      <c r="O3424" t="n">
        <v>0</v>
      </c>
      <c r="P3424" t="n">
        <v>0</v>
      </c>
      <c r="Q3424" t="n">
        <v>0</v>
      </c>
      <c r="R3424" t="n">
        <v>0</v>
      </c>
      <c r="S3424" t="n">
        <v>0</v>
      </c>
      <c r="T3424" t="n">
        <v>0</v>
      </c>
      <c r="U3424" t="n">
        <v>0</v>
      </c>
      <c r="V3424" s="2" t="inlineStr"/>
    </row>
    <row r="3425" ht="15" customHeight="1">
      <c r="A3425" t="inlineStr">
        <is>
          <t>A 27705-2023</t>
        </is>
      </c>
      <c r="B3425" t="inlineStr">
        <is>
          <t>avverkningsanmälan</t>
        </is>
      </c>
      <c r="C3425" t="inlineStr">
        <is>
          <t>Föryngringsavverkning</t>
        </is>
      </c>
      <c r="D3425" s="1" t="n">
        <v>45098</v>
      </c>
      <c r="E3425" s="1" t="n">
        <v>46323</v>
      </c>
      <c r="F3425" t="inlineStr">
        <is>
          <t>KALMAR LÄN</t>
        </is>
      </c>
      <c r="G3425" t="inlineStr">
        <is>
          <t>VIMMERBY</t>
        </is>
      </c>
      <c r="I3425" t="n">
        <v>1</v>
      </c>
      <c r="J3425" t="n">
        <v>0</v>
      </c>
      <c r="K3425" t="n">
        <v>0</v>
      </c>
      <c r="L3425" t="n">
        <v>0</v>
      </c>
      <c r="M3425" t="n">
        <v>0</v>
      </c>
      <c r="N3425" t="n">
        <v>0</v>
      </c>
      <c r="O3425" t="n">
        <v>0</v>
      </c>
      <c r="P3425" t="n">
        <v>0</v>
      </c>
      <c r="Q3425" t="n">
        <v>0</v>
      </c>
      <c r="R3425" t="n">
        <v>0</v>
      </c>
      <c r="S3425" t="n">
        <v>0</v>
      </c>
      <c r="T3425" t="n">
        <v>0</v>
      </c>
      <c r="U3425" t="n">
        <v>0</v>
      </c>
      <c r="V3425" s="2" t="inlineStr"/>
    </row>
    <row r="3426" ht="15" customHeight="1">
      <c r="A3426" t="inlineStr">
        <is>
          <t>A 37210-2023</t>
        </is>
      </c>
      <c r="B3426" t="inlineStr">
        <is>
          <t>avverkningsanmälan</t>
        </is>
      </c>
      <c r="C3426" t="inlineStr">
        <is>
          <t>Föryngringsavverkning</t>
        </is>
      </c>
      <c r="D3426" s="1" t="n">
        <v>45155</v>
      </c>
      <c r="E3426" s="1" t="n">
        <v>46323</v>
      </c>
      <c r="F3426" t="inlineStr">
        <is>
          <t>KALMAR LÄN</t>
        </is>
      </c>
      <c r="G3426" t="inlineStr">
        <is>
          <t>TORSÅS</t>
        </is>
      </c>
      <c r="I3426" t="n">
        <v>0.5</v>
      </c>
      <c r="J3426" t="n">
        <v>0</v>
      </c>
      <c r="K3426" t="n">
        <v>0</v>
      </c>
      <c r="L3426" t="n">
        <v>0</v>
      </c>
      <c r="M3426" t="n">
        <v>0</v>
      </c>
      <c r="N3426" t="n">
        <v>0</v>
      </c>
      <c r="O3426" t="n">
        <v>0</v>
      </c>
      <c r="P3426" t="n">
        <v>0</v>
      </c>
      <c r="Q3426" t="n">
        <v>0</v>
      </c>
      <c r="R3426" t="n">
        <v>0</v>
      </c>
      <c r="S3426" t="n">
        <v>0</v>
      </c>
      <c r="T3426" t="n">
        <v>0</v>
      </c>
      <c r="U3426" t="n">
        <v>0</v>
      </c>
      <c r="V3426" s="2" t="inlineStr"/>
    </row>
    <row r="3427" ht="15" customHeight="1">
      <c r="A3427" t="inlineStr">
        <is>
          <t>A 51582-2023</t>
        </is>
      </c>
      <c r="B3427" t="inlineStr">
        <is>
          <t>avverkningsanmälan</t>
        </is>
      </c>
      <c r="C3427" t="inlineStr">
        <is>
          <t>Föryngringsavverkning</t>
        </is>
      </c>
      <c r="D3427" s="1" t="n">
        <v>45222</v>
      </c>
      <c r="E3427" s="1" t="n">
        <v>46323</v>
      </c>
      <c r="F3427" t="inlineStr">
        <is>
          <t>KALMAR LÄN</t>
        </is>
      </c>
      <c r="G3427" t="inlineStr">
        <is>
          <t>NYBRO</t>
        </is>
      </c>
      <c r="I3427" t="n">
        <v>1.8</v>
      </c>
      <c r="J3427" t="n">
        <v>0</v>
      </c>
      <c r="K3427" t="n">
        <v>0</v>
      </c>
      <c r="L3427" t="n">
        <v>0</v>
      </c>
      <c r="M3427" t="n">
        <v>0</v>
      </c>
      <c r="N3427" t="n">
        <v>0</v>
      </c>
      <c r="O3427" t="n">
        <v>0</v>
      </c>
      <c r="P3427" t="n">
        <v>0</v>
      </c>
      <c r="Q3427" t="n">
        <v>0</v>
      </c>
      <c r="R3427" t="n">
        <v>0</v>
      </c>
      <c r="S3427" t="n">
        <v>0</v>
      </c>
      <c r="T3427" t="n">
        <v>0</v>
      </c>
      <c r="U3427" t="n">
        <v>0</v>
      </c>
      <c r="V3427" s="2" t="inlineStr"/>
    </row>
    <row r="3428" ht="15" customHeight="1">
      <c r="A3428" t="inlineStr">
        <is>
          <t>A 7925-2023</t>
        </is>
      </c>
      <c r="B3428" t="inlineStr">
        <is>
          <t>avverkningsanmälan</t>
        </is>
      </c>
      <c r="C3428" t="inlineStr">
        <is>
          <t>Föryngringsavverkning</t>
        </is>
      </c>
      <c r="D3428" s="1" t="n">
        <v>44973</v>
      </c>
      <c r="E3428" s="1" t="n">
        <v>46323</v>
      </c>
      <c r="F3428" t="inlineStr">
        <is>
          <t>KALMAR LÄN</t>
        </is>
      </c>
      <c r="G3428" t="inlineStr">
        <is>
          <t>VÄSTERVIK</t>
        </is>
      </c>
      <c r="I3428" t="n">
        <v>4.9</v>
      </c>
      <c r="J3428" t="n">
        <v>0</v>
      </c>
      <c r="K3428" t="n">
        <v>0</v>
      </c>
      <c r="L3428" t="n">
        <v>0</v>
      </c>
      <c r="M3428" t="n">
        <v>0</v>
      </c>
      <c r="N3428" t="n">
        <v>0</v>
      </c>
      <c r="O3428" t="n">
        <v>0</v>
      </c>
      <c r="P3428" t="n">
        <v>0</v>
      </c>
      <c r="Q3428" t="n">
        <v>0</v>
      </c>
      <c r="R3428" t="n">
        <v>0</v>
      </c>
      <c r="S3428" t="n">
        <v>0</v>
      </c>
      <c r="T3428" t="n">
        <v>0</v>
      </c>
      <c r="U3428" t="n">
        <v>0</v>
      </c>
      <c r="V3428" s="2" t="inlineStr"/>
    </row>
    <row r="3429" ht="15" customHeight="1">
      <c r="A3429" t="inlineStr">
        <is>
          <t>A 51510-2024</t>
        </is>
      </c>
      <c r="B3429" t="inlineStr">
        <is>
          <t>avverkningsanmälan</t>
        </is>
      </c>
      <c r="C3429" t="inlineStr">
        <is>
          <t>Föryngringsavverkning</t>
        </is>
      </c>
      <c r="D3429" s="1" t="n">
        <v>45604</v>
      </c>
      <c r="E3429" s="1" t="n">
        <v>46323</v>
      </c>
      <c r="F3429" t="inlineStr">
        <is>
          <t>KALMAR LÄN</t>
        </is>
      </c>
      <c r="G3429" t="inlineStr">
        <is>
          <t>VÄSTERVIK</t>
        </is>
      </c>
      <c r="H3429" t="inlineStr">
        <is>
          <t>Övriga Aktiebolag</t>
        </is>
      </c>
      <c r="I3429" t="n">
        <v>1.5</v>
      </c>
      <c r="J3429" t="n">
        <v>0</v>
      </c>
      <c r="K3429" t="n">
        <v>0</v>
      </c>
      <c r="L3429" t="n">
        <v>0</v>
      </c>
      <c r="M3429" t="n">
        <v>0</v>
      </c>
      <c r="N3429" t="n">
        <v>0</v>
      </c>
      <c r="O3429" t="n">
        <v>0</v>
      </c>
      <c r="P3429" t="n">
        <v>0</v>
      </c>
      <c r="Q3429" t="n">
        <v>0</v>
      </c>
      <c r="R3429" t="n">
        <v>0</v>
      </c>
      <c r="S3429" t="n">
        <v>0</v>
      </c>
      <c r="T3429" t="n">
        <v>0</v>
      </c>
      <c r="U3429" t="n">
        <v>0</v>
      </c>
      <c r="V3429" s="2" t="inlineStr"/>
    </row>
    <row r="3430" ht="15" customHeight="1">
      <c r="A3430" t="inlineStr">
        <is>
          <t>A 8003-2023</t>
        </is>
      </c>
      <c r="B3430" t="inlineStr">
        <is>
          <t>avverkningsanmälan</t>
        </is>
      </c>
      <c r="C3430" t="inlineStr">
        <is>
          <t>Föryngringsavverkning</t>
        </is>
      </c>
      <c r="D3430" s="1" t="n">
        <v>44973</v>
      </c>
      <c r="E3430" s="1" t="n">
        <v>46323</v>
      </c>
      <c r="F3430" t="inlineStr">
        <is>
          <t>KALMAR LÄN</t>
        </is>
      </c>
      <c r="G3430" t="inlineStr">
        <is>
          <t>NYBRO</t>
        </is>
      </c>
      <c r="I3430" t="n">
        <v>1.5</v>
      </c>
      <c r="J3430" t="n">
        <v>0</v>
      </c>
      <c r="K3430" t="n">
        <v>0</v>
      </c>
      <c r="L3430" t="n">
        <v>0</v>
      </c>
      <c r="M3430" t="n">
        <v>0</v>
      </c>
      <c r="N3430" t="n">
        <v>0</v>
      </c>
      <c r="O3430" t="n">
        <v>0</v>
      </c>
      <c r="P3430" t="n">
        <v>0</v>
      </c>
      <c r="Q3430" t="n">
        <v>0</v>
      </c>
      <c r="R3430" t="n">
        <v>0</v>
      </c>
      <c r="S3430" t="n">
        <v>0</v>
      </c>
      <c r="T3430" t="n">
        <v>0</v>
      </c>
      <c r="U3430" t="n">
        <v>0</v>
      </c>
      <c r="V3430" s="2" t="inlineStr"/>
    </row>
    <row r="3431" ht="15" customHeight="1">
      <c r="A3431" t="inlineStr">
        <is>
          <t>A 6287-2023</t>
        </is>
      </c>
      <c r="B3431" t="inlineStr">
        <is>
          <t>avverkningsanmälan</t>
        </is>
      </c>
      <c r="C3431" t="inlineStr">
        <is>
          <t>Föryngringsavverkning</t>
        </is>
      </c>
      <c r="D3431" s="1" t="n">
        <v>44965</v>
      </c>
      <c r="E3431" s="1" t="n">
        <v>46323</v>
      </c>
      <c r="F3431" t="inlineStr">
        <is>
          <t>KALMAR LÄN</t>
        </is>
      </c>
      <c r="G3431" t="inlineStr">
        <is>
          <t>OSKARSHAMN</t>
        </is>
      </c>
      <c r="I3431" t="n">
        <v>0.6</v>
      </c>
      <c r="J3431" t="n">
        <v>0</v>
      </c>
      <c r="K3431" t="n">
        <v>0</v>
      </c>
      <c r="L3431" t="n">
        <v>0</v>
      </c>
      <c r="M3431" t="n">
        <v>0</v>
      </c>
      <c r="N3431" t="n">
        <v>0</v>
      </c>
      <c r="O3431" t="n">
        <v>0</v>
      </c>
      <c r="P3431" t="n">
        <v>0</v>
      </c>
      <c r="Q3431" t="n">
        <v>0</v>
      </c>
      <c r="R3431" t="n">
        <v>0</v>
      </c>
      <c r="S3431" t="n">
        <v>0</v>
      </c>
      <c r="T3431" t="n">
        <v>0</v>
      </c>
      <c r="U3431" t="n">
        <v>0</v>
      </c>
      <c r="V3431" s="2" t="inlineStr"/>
    </row>
    <row r="3432" ht="15" customHeight="1">
      <c r="A3432" t="inlineStr">
        <is>
          <t>A 37994-2023</t>
        </is>
      </c>
      <c r="B3432" t="inlineStr">
        <is>
          <t>avverkningsanmälan</t>
        </is>
      </c>
      <c r="C3432" t="inlineStr">
        <is>
          <t>Föryngringsavverkning</t>
        </is>
      </c>
      <c r="D3432" s="1" t="n">
        <v>45160</v>
      </c>
      <c r="E3432" s="1" t="n">
        <v>46323</v>
      </c>
      <c r="F3432" t="inlineStr">
        <is>
          <t>KALMAR LÄN</t>
        </is>
      </c>
      <c r="G3432" t="inlineStr">
        <is>
          <t>HULTSFRED</t>
        </is>
      </c>
      <c r="I3432" t="n">
        <v>2</v>
      </c>
      <c r="J3432" t="n">
        <v>0</v>
      </c>
      <c r="K3432" t="n">
        <v>0</v>
      </c>
      <c r="L3432" t="n">
        <v>0</v>
      </c>
      <c r="M3432" t="n">
        <v>0</v>
      </c>
      <c r="N3432" t="n">
        <v>0</v>
      </c>
      <c r="O3432" t="n">
        <v>0</v>
      </c>
      <c r="P3432" t="n">
        <v>0</v>
      </c>
      <c r="Q3432" t="n">
        <v>0</v>
      </c>
      <c r="R3432" t="n">
        <v>0</v>
      </c>
      <c r="S3432" t="n">
        <v>0</v>
      </c>
      <c r="T3432" t="n">
        <v>0</v>
      </c>
      <c r="U3432" t="n">
        <v>0</v>
      </c>
      <c r="V3432" s="2" t="inlineStr"/>
    </row>
    <row r="3433" ht="15" customHeight="1">
      <c r="A3433" t="inlineStr">
        <is>
          <t>A 39230-2023</t>
        </is>
      </c>
      <c r="B3433" t="inlineStr">
        <is>
          <t>avverkningsanmälan</t>
        </is>
      </c>
      <c r="C3433" t="inlineStr">
        <is>
          <t>Föryngringsavverkning</t>
        </is>
      </c>
      <c r="D3433" s="1" t="n">
        <v>45166</v>
      </c>
      <c r="E3433" s="1" t="n">
        <v>46323</v>
      </c>
      <c r="F3433" t="inlineStr">
        <is>
          <t>KALMAR LÄN</t>
        </is>
      </c>
      <c r="G3433" t="inlineStr">
        <is>
          <t>EMMABODA</t>
        </is>
      </c>
      <c r="I3433" t="n">
        <v>1.6</v>
      </c>
      <c r="J3433" t="n">
        <v>0</v>
      </c>
      <c r="K3433" t="n">
        <v>0</v>
      </c>
      <c r="L3433" t="n">
        <v>0</v>
      </c>
      <c r="M3433" t="n">
        <v>0</v>
      </c>
      <c r="N3433" t="n">
        <v>0</v>
      </c>
      <c r="O3433" t="n">
        <v>0</v>
      </c>
      <c r="P3433" t="n">
        <v>0</v>
      </c>
      <c r="Q3433" t="n">
        <v>0</v>
      </c>
      <c r="R3433" t="n">
        <v>0</v>
      </c>
      <c r="S3433" t="n">
        <v>0</v>
      </c>
      <c r="T3433" t="n">
        <v>0</v>
      </c>
      <c r="U3433" t="n">
        <v>0</v>
      </c>
      <c r="V3433" s="2" t="inlineStr"/>
    </row>
    <row r="3434" ht="15" customHeight="1">
      <c r="A3434" t="inlineStr">
        <is>
          <t>A 13058-2024</t>
        </is>
      </c>
      <c r="B3434" t="inlineStr">
        <is>
          <t>avverkningsanmälan</t>
        </is>
      </c>
      <c r="C3434" t="inlineStr">
        <is>
          <t>Föryngringsavverkning</t>
        </is>
      </c>
      <c r="D3434" s="1" t="n">
        <v>45385</v>
      </c>
      <c r="E3434" s="1" t="n">
        <v>46323</v>
      </c>
      <c r="F3434" t="inlineStr">
        <is>
          <t>KALMAR LÄN</t>
        </is>
      </c>
      <c r="G3434" t="inlineStr">
        <is>
          <t>NYBRO</t>
        </is>
      </c>
      <c r="I3434" t="n">
        <v>2.7</v>
      </c>
      <c r="J3434" t="n">
        <v>0</v>
      </c>
      <c r="K3434" t="n">
        <v>0</v>
      </c>
      <c r="L3434" t="n">
        <v>0</v>
      </c>
      <c r="M3434" t="n">
        <v>0</v>
      </c>
      <c r="N3434" t="n">
        <v>0</v>
      </c>
      <c r="O3434" t="n">
        <v>0</v>
      </c>
      <c r="P3434" t="n">
        <v>0</v>
      </c>
      <c r="Q3434" t="n">
        <v>0</v>
      </c>
      <c r="R3434" t="n">
        <v>0</v>
      </c>
      <c r="S3434" t="n">
        <v>0</v>
      </c>
      <c r="T3434" t="n">
        <v>0</v>
      </c>
      <c r="U3434" t="n">
        <v>0</v>
      </c>
      <c r="V3434" s="2" t="inlineStr"/>
    </row>
    <row r="3435" ht="15" customHeight="1">
      <c r="A3435" t="inlineStr">
        <is>
          <t>A 28644-2023</t>
        </is>
      </c>
      <c r="B3435" t="inlineStr">
        <is>
          <t>avverkningsanmälan</t>
        </is>
      </c>
      <c r="C3435" t="inlineStr">
        <is>
          <t>Föryngringsavverkning</t>
        </is>
      </c>
      <c r="D3435" s="1" t="n">
        <v>45103</v>
      </c>
      <c r="E3435" s="1" t="n">
        <v>46323</v>
      </c>
      <c r="F3435" t="inlineStr">
        <is>
          <t>KALMAR LÄN</t>
        </is>
      </c>
      <c r="G3435" t="inlineStr">
        <is>
          <t>HULTSFRED</t>
        </is>
      </c>
      <c r="I3435" t="n">
        <v>2.1</v>
      </c>
      <c r="J3435" t="n">
        <v>0</v>
      </c>
      <c r="K3435" t="n">
        <v>0</v>
      </c>
      <c r="L3435" t="n">
        <v>0</v>
      </c>
      <c r="M3435" t="n">
        <v>0</v>
      </c>
      <c r="N3435" t="n">
        <v>0</v>
      </c>
      <c r="O3435" t="n">
        <v>0</v>
      </c>
      <c r="P3435" t="n">
        <v>0</v>
      </c>
      <c r="Q3435" t="n">
        <v>0</v>
      </c>
      <c r="R3435" t="n">
        <v>0</v>
      </c>
      <c r="S3435" t="n">
        <v>0</v>
      </c>
      <c r="T3435" t="n">
        <v>0</v>
      </c>
      <c r="U3435" t="n">
        <v>0</v>
      </c>
      <c r="V3435" s="2" t="inlineStr"/>
    </row>
    <row r="3436" ht="15" customHeight="1">
      <c r="A3436" t="inlineStr">
        <is>
          <t>A 27504-2024</t>
        </is>
      </c>
      <c r="B3436" t="inlineStr">
        <is>
          <t>avverkningsanmälan</t>
        </is>
      </c>
      <c r="C3436" t="inlineStr">
        <is>
          <t>Föryngringsavverkning</t>
        </is>
      </c>
      <c r="D3436" s="1" t="n">
        <v>45474</v>
      </c>
      <c r="E3436" s="1" t="n">
        <v>46323</v>
      </c>
      <c r="F3436" t="inlineStr">
        <is>
          <t>KALMAR LÄN</t>
        </is>
      </c>
      <c r="G3436" t="inlineStr">
        <is>
          <t>TORSÅS</t>
        </is>
      </c>
      <c r="I3436" t="n">
        <v>3.5</v>
      </c>
      <c r="J3436" t="n">
        <v>0</v>
      </c>
      <c r="K3436" t="n">
        <v>0</v>
      </c>
      <c r="L3436" t="n">
        <v>0</v>
      </c>
      <c r="M3436" t="n">
        <v>0</v>
      </c>
      <c r="N3436" t="n">
        <v>0</v>
      </c>
      <c r="O3436" t="n">
        <v>0</v>
      </c>
      <c r="P3436" t="n">
        <v>0</v>
      </c>
      <c r="Q3436" t="n">
        <v>0</v>
      </c>
      <c r="R3436" t="n">
        <v>0</v>
      </c>
      <c r="S3436" t="n">
        <v>0</v>
      </c>
      <c r="T3436" t="n">
        <v>0</v>
      </c>
      <c r="U3436" t="n">
        <v>0</v>
      </c>
      <c r="V3436" s="2" t="inlineStr"/>
    </row>
    <row r="3437" ht="15" customHeight="1">
      <c r="A3437" t="inlineStr">
        <is>
          <t>A 54522-2023</t>
        </is>
      </c>
      <c r="B3437" t="inlineStr">
        <is>
          <t>avverkningsanmälan</t>
        </is>
      </c>
      <c r="C3437" t="inlineStr">
        <is>
          <t>Föryngringsavverkning</t>
        </is>
      </c>
      <c r="D3437" s="1" t="n">
        <v>45233</v>
      </c>
      <c r="E3437" s="1" t="n">
        <v>46323</v>
      </c>
      <c r="F3437" t="inlineStr">
        <is>
          <t>KALMAR LÄN</t>
        </is>
      </c>
      <c r="G3437" t="inlineStr">
        <is>
          <t>OSKARSHAMN</t>
        </is>
      </c>
      <c r="I3437" t="n">
        <v>1.5</v>
      </c>
      <c r="J3437" t="n">
        <v>0</v>
      </c>
      <c r="K3437" t="n">
        <v>0</v>
      </c>
      <c r="L3437" t="n">
        <v>0</v>
      </c>
      <c r="M3437" t="n">
        <v>0</v>
      </c>
      <c r="N3437" t="n">
        <v>0</v>
      </c>
      <c r="O3437" t="n">
        <v>0</v>
      </c>
      <c r="P3437" t="n">
        <v>0</v>
      </c>
      <c r="Q3437" t="n">
        <v>0</v>
      </c>
      <c r="R3437" t="n">
        <v>0</v>
      </c>
      <c r="S3437" t="n">
        <v>0</v>
      </c>
      <c r="T3437" t="n">
        <v>0</v>
      </c>
      <c r="U3437" t="n">
        <v>0</v>
      </c>
      <c r="V3437" s="2" t="inlineStr"/>
    </row>
    <row r="3438" ht="15" customHeight="1">
      <c r="A3438" t="inlineStr">
        <is>
          <t>A 58839-2023</t>
        </is>
      </c>
      <c r="B3438" t="inlineStr">
        <is>
          <t>avverkningsanmälan</t>
        </is>
      </c>
      <c r="C3438" t="inlineStr">
        <is>
          <t>Föryngringsavverkning</t>
        </is>
      </c>
      <c r="D3438" s="1" t="n">
        <v>45252</v>
      </c>
      <c r="E3438" s="1" t="n">
        <v>46323</v>
      </c>
      <c r="F3438" t="inlineStr">
        <is>
          <t>KALMAR LÄN</t>
        </is>
      </c>
      <c r="G3438" t="inlineStr">
        <is>
          <t>EMMABODA</t>
        </is>
      </c>
      <c r="I3438" t="n">
        <v>1.2</v>
      </c>
      <c r="J3438" t="n">
        <v>0</v>
      </c>
      <c r="K3438" t="n">
        <v>0</v>
      </c>
      <c r="L3438" t="n">
        <v>0</v>
      </c>
      <c r="M3438" t="n">
        <v>0</v>
      </c>
      <c r="N3438" t="n">
        <v>0</v>
      </c>
      <c r="O3438" t="n">
        <v>0</v>
      </c>
      <c r="P3438" t="n">
        <v>0</v>
      </c>
      <c r="Q3438" t="n">
        <v>0</v>
      </c>
      <c r="R3438" t="n">
        <v>0</v>
      </c>
      <c r="S3438" t="n">
        <v>0</v>
      </c>
      <c r="T3438" t="n">
        <v>0</v>
      </c>
      <c r="U3438" t="n">
        <v>0</v>
      </c>
      <c r="V3438" s="2" t="inlineStr"/>
    </row>
    <row r="3439" ht="15" customHeight="1">
      <c r="A3439" t="inlineStr">
        <is>
          <t>A 58861-2023</t>
        </is>
      </c>
      <c r="B3439" t="inlineStr">
        <is>
          <t>avverkningsanmälan</t>
        </is>
      </c>
      <c r="C3439" t="inlineStr">
        <is>
          <t>Föryngringsavverkning</t>
        </is>
      </c>
      <c r="D3439" s="1" t="n">
        <v>45252</v>
      </c>
      <c r="E3439" s="1" t="n">
        <v>46323</v>
      </c>
      <c r="F3439" t="inlineStr">
        <is>
          <t>KALMAR LÄN</t>
        </is>
      </c>
      <c r="G3439" t="inlineStr">
        <is>
          <t>HULTSFRED</t>
        </is>
      </c>
      <c r="H3439" t="inlineStr">
        <is>
          <t>Kyrkan</t>
        </is>
      </c>
      <c r="I3439" t="n">
        <v>2.5</v>
      </c>
      <c r="J3439" t="n">
        <v>0</v>
      </c>
      <c r="K3439" t="n">
        <v>0</v>
      </c>
      <c r="L3439" t="n">
        <v>0</v>
      </c>
      <c r="M3439" t="n">
        <v>0</v>
      </c>
      <c r="N3439" t="n">
        <v>0</v>
      </c>
      <c r="O3439" t="n">
        <v>0</v>
      </c>
      <c r="P3439" t="n">
        <v>0</v>
      </c>
      <c r="Q3439" t="n">
        <v>0</v>
      </c>
      <c r="R3439" t="n">
        <v>0</v>
      </c>
      <c r="S3439" t="n">
        <v>0</v>
      </c>
      <c r="T3439" t="n">
        <v>0</v>
      </c>
      <c r="U3439" t="n">
        <v>0</v>
      </c>
      <c r="V3439" s="2" t="inlineStr"/>
    </row>
    <row r="3440" ht="15" customHeight="1">
      <c r="A3440" t="inlineStr">
        <is>
          <t>A 58910-2023</t>
        </is>
      </c>
      <c r="B3440" t="inlineStr">
        <is>
          <t>avverkningsanmälan</t>
        </is>
      </c>
      <c r="C3440" t="inlineStr">
        <is>
          <t>Föryngringsavverkning</t>
        </is>
      </c>
      <c r="D3440" s="1" t="n">
        <v>45252</v>
      </c>
      <c r="E3440" s="1" t="n">
        <v>46323</v>
      </c>
      <c r="F3440" t="inlineStr">
        <is>
          <t>KALMAR LÄN</t>
        </is>
      </c>
      <c r="G3440" t="inlineStr">
        <is>
          <t>OSKARSHAMN</t>
        </is>
      </c>
      <c r="I3440" t="n">
        <v>1.2</v>
      </c>
      <c r="J3440" t="n">
        <v>0</v>
      </c>
      <c r="K3440" t="n">
        <v>0</v>
      </c>
      <c r="L3440" t="n">
        <v>0</v>
      </c>
      <c r="M3440" t="n">
        <v>0</v>
      </c>
      <c r="N3440" t="n">
        <v>0</v>
      </c>
      <c r="O3440" t="n">
        <v>0</v>
      </c>
      <c r="P3440" t="n">
        <v>0</v>
      </c>
      <c r="Q3440" t="n">
        <v>0</v>
      </c>
      <c r="R3440" t="n">
        <v>0</v>
      </c>
      <c r="S3440" t="n">
        <v>0</v>
      </c>
      <c r="T3440" t="n">
        <v>0</v>
      </c>
      <c r="U3440" t="n">
        <v>0</v>
      </c>
      <c r="V3440" s="2" t="inlineStr"/>
    </row>
    <row r="3441" ht="15" customHeight="1">
      <c r="A3441" t="inlineStr">
        <is>
          <t>A 17838-2023</t>
        </is>
      </c>
      <c r="B3441" t="inlineStr">
        <is>
          <t>avverkningsanmälan</t>
        </is>
      </c>
      <c r="C3441" t="inlineStr">
        <is>
          <t>Föryngringsavverkning</t>
        </is>
      </c>
      <c r="D3441" s="1" t="n">
        <v>45037</v>
      </c>
      <c r="E3441" s="1" t="n">
        <v>46323</v>
      </c>
      <c r="F3441" t="inlineStr">
        <is>
          <t>KALMAR LÄN</t>
        </is>
      </c>
      <c r="G3441" t="inlineStr">
        <is>
          <t>EMMABODA</t>
        </is>
      </c>
      <c r="I3441" t="n">
        <v>8.300000000000001</v>
      </c>
      <c r="J3441" t="n">
        <v>0</v>
      </c>
      <c r="K3441" t="n">
        <v>0</v>
      </c>
      <c r="L3441" t="n">
        <v>0</v>
      </c>
      <c r="M3441" t="n">
        <v>0</v>
      </c>
      <c r="N3441" t="n">
        <v>0</v>
      </c>
      <c r="O3441" t="n">
        <v>0</v>
      </c>
      <c r="P3441" t="n">
        <v>0</v>
      </c>
      <c r="Q3441" t="n">
        <v>0</v>
      </c>
      <c r="R3441" t="n">
        <v>0</v>
      </c>
      <c r="S3441" t="n">
        <v>0</v>
      </c>
      <c r="T3441" t="n">
        <v>0</v>
      </c>
      <c r="U3441" t="n">
        <v>0</v>
      </c>
      <c r="V3441" s="2" t="inlineStr"/>
    </row>
    <row r="3442" ht="15" customHeight="1">
      <c r="A3442" t="inlineStr">
        <is>
          <t>A 15200-2025</t>
        </is>
      </c>
      <c r="B3442" t="inlineStr">
        <is>
          <t>avverkningsanmälan</t>
        </is>
      </c>
      <c r="C3442" t="inlineStr">
        <is>
          <t>Föryngringsavverkning</t>
        </is>
      </c>
      <c r="D3442" s="1" t="n">
        <v>45744</v>
      </c>
      <c r="E3442" s="1" t="n">
        <v>46323</v>
      </c>
      <c r="F3442" t="inlineStr">
        <is>
          <t>KALMAR LÄN</t>
        </is>
      </c>
      <c r="G3442" t="inlineStr">
        <is>
          <t>NYBRO</t>
        </is>
      </c>
      <c r="I3442" t="n">
        <v>6</v>
      </c>
      <c r="J3442" t="n">
        <v>0</v>
      </c>
      <c r="K3442" t="n">
        <v>0</v>
      </c>
      <c r="L3442" t="n">
        <v>0</v>
      </c>
      <c r="M3442" t="n">
        <v>0</v>
      </c>
      <c r="N3442" t="n">
        <v>0</v>
      </c>
      <c r="O3442" t="n">
        <v>0</v>
      </c>
      <c r="P3442" t="n">
        <v>0</v>
      </c>
      <c r="Q3442" t="n">
        <v>0</v>
      </c>
      <c r="R3442" t="n">
        <v>0</v>
      </c>
      <c r="S3442" t="n">
        <v>0</v>
      </c>
      <c r="T3442" t="n">
        <v>0</v>
      </c>
      <c r="U3442" t="n">
        <v>0</v>
      </c>
      <c r="V3442" s="2" t="inlineStr"/>
    </row>
    <row r="3443" ht="15" customHeight="1">
      <c r="A3443" t="inlineStr">
        <is>
          <t>A 14083-2024</t>
        </is>
      </c>
      <c r="B3443" t="inlineStr">
        <is>
          <t>avverkningsanmälan</t>
        </is>
      </c>
      <c r="C3443" t="inlineStr">
        <is>
          <t>Föryngringsavverkning</t>
        </is>
      </c>
      <c r="D3443" s="1" t="n">
        <v>45392</v>
      </c>
      <c r="E3443" s="1" t="n">
        <v>46323</v>
      </c>
      <c r="F3443" t="inlineStr">
        <is>
          <t>KALMAR LÄN</t>
        </is>
      </c>
      <c r="G3443" t="inlineStr">
        <is>
          <t>EMMABODA</t>
        </is>
      </c>
      <c r="I3443" t="n">
        <v>0.9</v>
      </c>
      <c r="J3443" t="n">
        <v>0</v>
      </c>
      <c r="K3443" t="n">
        <v>0</v>
      </c>
      <c r="L3443" t="n">
        <v>0</v>
      </c>
      <c r="M3443" t="n">
        <v>0</v>
      </c>
      <c r="N3443" t="n">
        <v>0</v>
      </c>
      <c r="O3443" t="n">
        <v>0</v>
      </c>
      <c r="P3443" t="n">
        <v>0</v>
      </c>
      <c r="Q3443" t="n">
        <v>0</v>
      </c>
      <c r="R3443" t="n">
        <v>0</v>
      </c>
      <c r="S3443" t="n">
        <v>0</v>
      </c>
      <c r="T3443" t="n">
        <v>0</v>
      </c>
      <c r="U3443" t="n">
        <v>0</v>
      </c>
      <c r="V3443" s="2" t="inlineStr"/>
    </row>
    <row r="3444" ht="15" customHeight="1">
      <c r="A3444" t="inlineStr">
        <is>
          <t>A 11975-2023</t>
        </is>
      </c>
      <c r="B3444" t="inlineStr">
        <is>
          <t>avverkningsanmälan</t>
        </is>
      </c>
      <c r="C3444" t="inlineStr">
        <is>
          <t>Föryngringsavverkning</t>
        </is>
      </c>
      <c r="D3444" s="1" t="n">
        <v>44995</v>
      </c>
      <c r="E3444" s="1" t="n">
        <v>46323</v>
      </c>
      <c r="F3444" t="inlineStr">
        <is>
          <t>KALMAR LÄN</t>
        </is>
      </c>
      <c r="G3444" t="inlineStr">
        <is>
          <t>EMMABODA</t>
        </is>
      </c>
      <c r="I3444" t="n">
        <v>1.1</v>
      </c>
      <c r="J3444" t="n">
        <v>0</v>
      </c>
      <c r="K3444" t="n">
        <v>0</v>
      </c>
      <c r="L3444" t="n">
        <v>0</v>
      </c>
      <c r="M3444" t="n">
        <v>0</v>
      </c>
      <c r="N3444" t="n">
        <v>0</v>
      </c>
      <c r="O3444" t="n">
        <v>0</v>
      </c>
      <c r="P3444" t="n">
        <v>0</v>
      </c>
      <c r="Q3444" t="n">
        <v>0</v>
      </c>
      <c r="R3444" t="n">
        <v>0</v>
      </c>
      <c r="S3444" t="n">
        <v>0</v>
      </c>
      <c r="T3444" t="n">
        <v>0</v>
      </c>
      <c r="U3444" t="n">
        <v>0</v>
      </c>
      <c r="V3444" s="2" t="inlineStr"/>
    </row>
    <row r="3445" ht="15" customHeight="1">
      <c r="A3445" t="inlineStr">
        <is>
          <t>A 54983-2025</t>
        </is>
      </c>
      <c r="B3445" t="inlineStr">
        <is>
          <t>avverkningsanmälan</t>
        </is>
      </c>
      <c r="C3445" t="inlineStr">
        <is>
          <t>Avverkning för att bevara och utveckla /försöksver</t>
        </is>
      </c>
      <c r="D3445" s="1" t="n">
        <v>45967</v>
      </c>
      <c r="E3445" s="1" t="n">
        <v>46323</v>
      </c>
      <c r="F3445" t="inlineStr">
        <is>
          <t>KALMAR LÄN</t>
        </is>
      </c>
      <c r="G3445" t="inlineStr">
        <is>
          <t>EMMABODA</t>
        </is>
      </c>
      <c r="I3445" t="n">
        <v>2.9</v>
      </c>
      <c r="J3445" t="n">
        <v>0</v>
      </c>
      <c r="K3445" t="n">
        <v>0</v>
      </c>
      <c r="L3445" t="n">
        <v>0</v>
      </c>
      <c r="M3445" t="n">
        <v>0</v>
      </c>
      <c r="N3445" t="n">
        <v>0</v>
      </c>
      <c r="O3445" t="n">
        <v>0</v>
      </c>
      <c r="P3445" t="n">
        <v>0</v>
      </c>
      <c r="Q3445" t="n">
        <v>0</v>
      </c>
      <c r="R3445" t="n">
        <v>0</v>
      </c>
      <c r="S3445" t="n">
        <v>0</v>
      </c>
      <c r="T3445" t="n">
        <v>0</v>
      </c>
      <c r="U3445" t="n">
        <v>0</v>
      </c>
      <c r="V3445" s="2" t="inlineStr"/>
    </row>
    <row r="3446" ht="15" customHeight="1">
      <c r="A3446" t="inlineStr">
        <is>
          <t>A 46622-2024</t>
        </is>
      </c>
      <c r="B3446" t="inlineStr">
        <is>
          <t>avverkningsanmälan</t>
        </is>
      </c>
      <c r="C3446" t="inlineStr">
        <is>
          <t>Föryngringsavverkning</t>
        </is>
      </c>
      <c r="D3446" s="1" t="n">
        <v>45583</v>
      </c>
      <c r="E3446" s="1" t="n">
        <v>46323</v>
      </c>
      <c r="F3446" t="inlineStr">
        <is>
          <t>KALMAR LÄN</t>
        </is>
      </c>
      <c r="G3446" t="inlineStr">
        <is>
          <t>TORSÅS</t>
        </is>
      </c>
      <c r="I3446" t="n">
        <v>0.6</v>
      </c>
      <c r="J3446" t="n">
        <v>0</v>
      </c>
      <c r="K3446" t="n">
        <v>0</v>
      </c>
      <c r="L3446" t="n">
        <v>0</v>
      </c>
      <c r="M3446" t="n">
        <v>0</v>
      </c>
      <c r="N3446" t="n">
        <v>0</v>
      </c>
      <c r="O3446" t="n">
        <v>0</v>
      </c>
      <c r="P3446" t="n">
        <v>0</v>
      </c>
      <c r="Q3446" t="n">
        <v>0</v>
      </c>
      <c r="R3446" t="n">
        <v>0</v>
      </c>
      <c r="S3446" t="n">
        <v>0</v>
      </c>
      <c r="T3446" t="n">
        <v>0</v>
      </c>
      <c r="U3446" t="n">
        <v>0</v>
      </c>
      <c r="V3446" s="2" t="inlineStr"/>
    </row>
    <row r="3447" ht="15" customHeight="1">
      <c r="A3447" t="inlineStr">
        <is>
          <t>A 60622-2023</t>
        </is>
      </c>
      <c r="B3447" t="inlineStr">
        <is>
          <t>avverkningsanmälan</t>
        </is>
      </c>
      <c r="C3447" t="inlineStr">
        <is>
          <t>Föryngringsavverkning</t>
        </is>
      </c>
      <c r="D3447" s="1" t="n">
        <v>45260</v>
      </c>
      <c r="E3447" s="1" t="n">
        <v>46323</v>
      </c>
      <c r="F3447" t="inlineStr">
        <is>
          <t>KALMAR LÄN</t>
        </is>
      </c>
      <c r="G3447" t="inlineStr">
        <is>
          <t>NYBRO</t>
        </is>
      </c>
      <c r="I3447" t="n">
        <v>1.1</v>
      </c>
      <c r="J3447" t="n">
        <v>0</v>
      </c>
      <c r="K3447" t="n">
        <v>0</v>
      </c>
      <c r="L3447" t="n">
        <v>0</v>
      </c>
      <c r="M3447" t="n">
        <v>0</v>
      </c>
      <c r="N3447" t="n">
        <v>0</v>
      </c>
      <c r="O3447" t="n">
        <v>0</v>
      </c>
      <c r="P3447" t="n">
        <v>0</v>
      </c>
      <c r="Q3447" t="n">
        <v>0</v>
      </c>
      <c r="R3447" t="n">
        <v>0</v>
      </c>
      <c r="S3447" t="n">
        <v>0</v>
      </c>
      <c r="T3447" t="n">
        <v>0</v>
      </c>
      <c r="U3447" t="n">
        <v>0</v>
      </c>
      <c r="V3447" s="2" t="inlineStr"/>
    </row>
    <row r="3448" ht="15" customHeight="1">
      <c r="A3448" t="inlineStr">
        <is>
          <t>A 60638-2023</t>
        </is>
      </c>
      <c r="B3448" t="inlineStr">
        <is>
          <t>avverkningsanmälan</t>
        </is>
      </c>
      <c r="C3448" t="inlineStr">
        <is>
          <t>Föryngringsavverkning</t>
        </is>
      </c>
      <c r="D3448" s="1" t="n">
        <v>45260</v>
      </c>
      <c r="E3448" s="1" t="n">
        <v>46323</v>
      </c>
      <c r="F3448" t="inlineStr">
        <is>
          <t>KALMAR LÄN</t>
        </is>
      </c>
      <c r="G3448" t="inlineStr">
        <is>
          <t>KALMAR</t>
        </is>
      </c>
      <c r="I3448" t="n">
        <v>0.4</v>
      </c>
      <c r="J3448" t="n">
        <v>0</v>
      </c>
      <c r="K3448" t="n">
        <v>0</v>
      </c>
      <c r="L3448" t="n">
        <v>0</v>
      </c>
      <c r="M3448" t="n">
        <v>0</v>
      </c>
      <c r="N3448" t="n">
        <v>0</v>
      </c>
      <c r="O3448" t="n">
        <v>0</v>
      </c>
      <c r="P3448" t="n">
        <v>0</v>
      </c>
      <c r="Q3448" t="n">
        <v>0</v>
      </c>
      <c r="R3448" t="n">
        <v>0</v>
      </c>
      <c r="S3448" t="n">
        <v>0</v>
      </c>
      <c r="T3448" t="n">
        <v>0</v>
      </c>
      <c r="U3448" t="n">
        <v>0</v>
      </c>
      <c r="V3448" s="2" t="inlineStr"/>
    </row>
    <row r="3449" ht="15" customHeight="1">
      <c r="A3449" t="inlineStr">
        <is>
          <t>A 44257-2024</t>
        </is>
      </c>
      <c r="B3449" t="inlineStr">
        <is>
          <t>avverkningsanmälan</t>
        </is>
      </c>
      <c r="C3449" t="inlineStr">
        <is>
          <t>Föryngringsavverkning</t>
        </is>
      </c>
      <c r="D3449" s="1" t="n">
        <v>45573</v>
      </c>
      <c r="E3449" s="1" t="n">
        <v>46323</v>
      </c>
      <c r="F3449" t="inlineStr">
        <is>
          <t>KALMAR LÄN</t>
        </is>
      </c>
      <c r="G3449" t="inlineStr">
        <is>
          <t>HULTSFRED</t>
        </is>
      </c>
      <c r="I3449" t="n">
        <v>1.4</v>
      </c>
      <c r="J3449" t="n">
        <v>0</v>
      </c>
      <c r="K3449" t="n">
        <v>0</v>
      </c>
      <c r="L3449" t="n">
        <v>0</v>
      </c>
      <c r="M3449" t="n">
        <v>0</v>
      </c>
      <c r="N3449" t="n">
        <v>0</v>
      </c>
      <c r="O3449" t="n">
        <v>0</v>
      </c>
      <c r="P3449" t="n">
        <v>0</v>
      </c>
      <c r="Q3449" t="n">
        <v>0</v>
      </c>
      <c r="R3449" t="n">
        <v>0</v>
      </c>
      <c r="S3449" t="n">
        <v>0</v>
      </c>
      <c r="T3449" t="n">
        <v>0</v>
      </c>
      <c r="U3449" t="n">
        <v>0</v>
      </c>
      <c r="V3449" s="2" t="inlineStr"/>
    </row>
    <row r="3450" ht="15" customHeight="1">
      <c r="A3450" t="inlineStr">
        <is>
          <t>A 11464-2022</t>
        </is>
      </c>
      <c r="B3450" t="inlineStr">
        <is>
          <t>avverkningsanmälan</t>
        </is>
      </c>
      <c r="C3450" t="inlineStr">
        <is>
          <t>Föryngringsavverkning</t>
        </is>
      </c>
      <c r="D3450" s="1" t="n">
        <v>44630</v>
      </c>
      <c r="E3450" s="1" t="n">
        <v>46323</v>
      </c>
      <c r="F3450" t="inlineStr">
        <is>
          <t>KALMAR LÄN</t>
        </is>
      </c>
      <c r="G3450" t="inlineStr">
        <is>
          <t>OSKARSHAMN</t>
        </is>
      </c>
      <c r="I3450" t="n">
        <v>2.4</v>
      </c>
      <c r="J3450" t="n">
        <v>0</v>
      </c>
      <c r="K3450" t="n">
        <v>0</v>
      </c>
      <c r="L3450" t="n">
        <v>0</v>
      </c>
      <c r="M3450" t="n">
        <v>0</v>
      </c>
      <c r="N3450" t="n">
        <v>0</v>
      </c>
      <c r="O3450" t="n">
        <v>0</v>
      </c>
      <c r="P3450" t="n">
        <v>0</v>
      </c>
      <c r="Q3450" t="n">
        <v>0</v>
      </c>
      <c r="R3450" t="n">
        <v>0</v>
      </c>
      <c r="S3450" t="n">
        <v>0</v>
      </c>
      <c r="T3450" t="n">
        <v>0</v>
      </c>
      <c r="U3450" t="n">
        <v>0</v>
      </c>
      <c r="V3450" s="2" t="inlineStr"/>
    </row>
    <row r="3451" ht="15" customHeight="1">
      <c r="A3451" t="inlineStr">
        <is>
          <t>A 37628-2024</t>
        </is>
      </c>
      <c r="B3451" t="inlineStr">
        <is>
          <t>avverkningsanmälan</t>
        </is>
      </c>
      <c r="C3451" t="inlineStr">
        <is>
          <t>Föryngringsavverkning</t>
        </is>
      </c>
      <c r="D3451" s="1" t="n">
        <v>45541</v>
      </c>
      <c r="E3451" s="1" t="n">
        <v>46323</v>
      </c>
      <c r="F3451" t="inlineStr">
        <is>
          <t>KALMAR LÄN</t>
        </is>
      </c>
      <c r="G3451" t="inlineStr">
        <is>
          <t>HULTSFRED</t>
        </is>
      </c>
      <c r="H3451" t="inlineStr">
        <is>
          <t>Övriga Aktiebolag</t>
        </is>
      </c>
      <c r="I3451" t="n">
        <v>2.9</v>
      </c>
      <c r="J3451" t="n">
        <v>0</v>
      </c>
      <c r="K3451" t="n">
        <v>0</v>
      </c>
      <c r="L3451" t="n">
        <v>0</v>
      </c>
      <c r="M3451" t="n">
        <v>0</v>
      </c>
      <c r="N3451" t="n">
        <v>0</v>
      </c>
      <c r="O3451" t="n">
        <v>0</v>
      </c>
      <c r="P3451" t="n">
        <v>0</v>
      </c>
      <c r="Q3451" t="n">
        <v>0</v>
      </c>
      <c r="R3451" t="n">
        <v>0</v>
      </c>
      <c r="S3451" t="n">
        <v>0</v>
      </c>
      <c r="T3451" t="n">
        <v>0</v>
      </c>
      <c r="U3451" t="n">
        <v>0</v>
      </c>
      <c r="V3451" s="2" t="inlineStr"/>
    </row>
    <row r="3452" ht="15" customHeight="1">
      <c r="A3452" t="inlineStr">
        <is>
          <t>A 61198-2022</t>
        </is>
      </c>
      <c r="B3452" t="inlineStr">
        <is>
          <t>avverkningsanmälan</t>
        </is>
      </c>
      <c r="C3452" t="inlineStr">
        <is>
          <t>Föryngringsavverkning</t>
        </is>
      </c>
      <c r="D3452" s="1" t="n">
        <v>44915</v>
      </c>
      <c r="E3452" s="1" t="n">
        <v>46323</v>
      </c>
      <c r="F3452" t="inlineStr">
        <is>
          <t>KALMAR LÄN</t>
        </is>
      </c>
      <c r="G3452" t="inlineStr">
        <is>
          <t>MÖNSTERÅS</t>
        </is>
      </c>
      <c r="I3452" t="n">
        <v>6</v>
      </c>
      <c r="J3452" t="n">
        <v>0</v>
      </c>
      <c r="K3452" t="n">
        <v>0</v>
      </c>
      <c r="L3452" t="n">
        <v>0</v>
      </c>
      <c r="M3452" t="n">
        <v>0</v>
      </c>
      <c r="N3452" t="n">
        <v>0</v>
      </c>
      <c r="O3452" t="n">
        <v>0</v>
      </c>
      <c r="P3452" t="n">
        <v>0</v>
      </c>
      <c r="Q3452" t="n">
        <v>0</v>
      </c>
      <c r="R3452" t="n">
        <v>0</v>
      </c>
      <c r="S3452" t="n">
        <v>0</v>
      </c>
      <c r="T3452" t="n">
        <v>0</v>
      </c>
      <c r="U3452" t="n">
        <v>0</v>
      </c>
      <c r="V3452" s="2" t="inlineStr"/>
    </row>
    <row r="3453" ht="15" customHeight="1">
      <c r="A3453" t="inlineStr">
        <is>
          <t>A 54982-2025</t>
        </is>
      </c>
      <c r="B3453" t="inlineStr">
        <is>
          <t>avverkningsanmälan</t>
        </is>
      </c>
      <c r="C3453" t="inlineStr">
        <is>
          <t>Avverkning för att bevara och utveckla /försöksver</t>
        </is>
      </c>
      <c r="D3453" s="1" t="n">
        <v>45967</v>
      </c>
      <c r="E3453" s="1" t="n">
        <v>46323</v>
      </c>
      <c r="F3453" t="inlineStr">
        <is>
          <t>KALMAR LÄN</t>
        </is>
      </c>
      <c r="G3453" t="inlineStr">
        <is>
          <t>EMMABODA</t>
        </is>
      </c>
      <c r="I3453" t="n">
        <v>0.8</v>
      </c>
      <c r="J3453" t="n">
        <v>0</v>
      </c>
      <c r="K3453" t="n">
        <v>0</v>
      </c>
      <c r="L3453" t="n">
        <v>0</v>
      </c>
      <c r="M3453" t="n">
        <v>0</v>
      </c>
      <c r="N3453" t="n">
        <v>0</v>
      </c>
      <c r="O3453" t="n">
        <v>0</v>
      </c>
      <c r="P3453" t="n">
        <v>0</v>
      </c>
      <c r="Q3453" t="n">
        <v>0</v>
      </c>
      <c r="R3453" t="n">
        <v>0</v>
      </c>
      <c r="S3453" t="n">
        <v>0</v>
      </c>
      <c r="T3453" t="n">
        <v>0</v>
      </c>
      <c r="U3453" t="n">
        <v>0</v>
      </c>
      <c r="V3453" s="2" t="inlineStr"/>
    </row>
    <row r="3454" ht="15" customHeight="1">
      <c r="A3454" t="inlineStr">
        <is>
          <t>A 31013-2023</t>
        </is>
      </c>
      <c r="B3454" t="inlineStr">
        <is>
          <t>avverkningsanmälan</t>
        </is>
      </c>
      <c r="C3454" t="inlineStr">
        <is>
          <t>Föryngringsavverkning</t>
        </is>
      </c>
      <c r="D3454" s="1" t="n">
        <v>45113</v>
      </c>
      <c r="E3454" s="1" t="n">
        <v>46323</v>
      </c>
      <c r="F3454" t="inlineStr">
        <is>
          <t>KALMAR LÄN</t>
        </is>
      </c>
      <c r="G3454" t="inlineStr">
        <is>
          <t>VIMMERBY</t>
        </is>
      </c>
      <c r="I3454" t="n">
        <v>1</v>
      </c>
      <c r="J3454" t="n">
        <v>0</v>
      </c>
      <c r="K3454" t="n">
        <v>0</v>
      </c>
      <c r="L3454" t="n">
        <v>0</v>
      </c>
      <c r="M3454" t="n">
        <v>0</v>
      </c>
      <c r="N3454" t="n">
        <v>0</v>
      </c>
      <c r="O3454" t="n">
        <v>0</v>
      </c>
      <c r="P3454" t="n">
        <v>0</v>
      </c>
      <c r="Q3454" t="n">
        <v>0</v>
      </c>
      <c r="R3454" t="n">
        <v>0</v>
      </c>
      <c r="S3454" t="n">
        <v>0</v>
      </c>
      <c r="T3454" t="n">
        <v>0</v>
      </c>
      <c r="U3454" t="n">
        <v>0</v>
      </c>
      <c r="V3454" s="2" t="inlineStr"/>
    </row>
    <row r="3455" ht="15" customHeight="1">
      <c r="A3455" t="inlineStr">
        <is>
          <t>A 39748-2023</t>
        </is>
      </c>
      <c r="B3455" t="inlineStr">
        <is>
          <t>avverkningsanmälan</t>
        </is>
      </c>
      <c r="C3455" t="inlineStr">
        <is>
          <t>Föryngringsavverkning</t>
        </is>
      </c>
      <c r="D3455" s="1" t="n">
        <v>45167</v>
      </c>
      <c r="E3455" s="1" t="n">
        <v>46323</v>
      </c>
      <c r="F3455" t="inlineStr">
        <is>
          <t>KALMAR LÄN</t>
        </is>
      </c>
      <c r="G3455" t="inlineStr">
        <is>
          <t>KALMAR</t>
        </is>
      </c>
      <c r="I3455" t="n">
        <v>0.5</v>
      </c>
      <c r="J3455" t="n">
        <v>0</v>
      </c>
      <c r="K3455" t="n">
        <v>0</v>
      </c>
      <c r="L3455" t="n">
        <v>0</v>
      </c>
      <c r="M3455" t="n">
        <v>0</v>
      </c>
      <c r="N3455" t="n">
        <v>0</v>
      </c>
      <c r="O3455" t="n">
        <v>0</v>
      </c>
      <c r="P3455" t="n">
        <v>0</v>
      </c>
      <c r="Q3455" t="n">
        <v>0</v>
      </c>
      <c r="R3455" t="n">
        <v>0</v>
      </c>
      <c r="S3455" t="n">
        <v>0</v>
      </c>
      <c r="T3455" t="n">
        <v>0</v>
      </c>
      <c r="U3455" t="n">
        <v>0</v>
      </c>
      <c r="V3455" s="2" t="inlineStr"/>
    </row>
    <row r="3456" ht="15" customHeight="1">
      <c r="A3456" t="inlineStr">
        <is>
          <t>A 25582-2024</t>
        </is>
      </c>
      <c r="B3456" t="inlineStr">
        <is>
          <t>avverkningsanmälan</t>
        </is>
      </c>
      <c r="C3456" t="inlineStr">
        <is>
          <t>Föryngringsavverkning</t>
        </is>
      </c>
      <c r="D3456" s="1" t="n">
        <v>45463</v>
      </c>
      <c r="E3456" s="1" t="n">
        <v>46323</v>
      </c>
      <c r="F3456" t="inlineStr">
        <is>
          <t>KALMAR LÄN</t>
        </is>
      </c>
      <c r="G3456" t="inlineStr">
        <is>
          <t>VIMMERBY</t>
        </is>
      </c>
      <c r="I3456" t="n">
        <v>1.4</v>
      </c>
      <c r="J3456" t="n">
        <v>0</v>
      </c>
      <c r="K3456" t="n">
        <v>0</v>
      </c>
      <c r="L3456" t="n">
        <v>0</v>
      </c>
      <c r="M3456" t="n">
        <v>0</v>
      </c>
      <c r="N3456" t="n">
        <v>0</v>
      </c>
      <c r="O3456" t="n">
        <v>0</v>
      </c>
      <c r="P3456" t="n">
        <v>0</v>
      </c>
      <c r="Q3456" t="n">
        <v>0</v>
      </c>
      <c r="R3456" t="n">
        <v>0</v>
      </c>
      <c r="S3456" t="n">
        <v>0</v>
      </c>
      <c r="T3456" t="n">
        <v>0</v>
      </c>
      <c r="U3456" t="n">
        <v>0</v>
      </c>
      <c r="V3456" s="2" t="inlineStr"/>
    </row>
    <row r="3457" ht="15" customHeight="1">
      <c r="A3457" t="inlineStr">
        <is>
          <t>A 58868-2023</t>
        </is>
      </c>
      <c r="B3457" t="inlineStr">
        <is>
          <t>avverkningsanmälan</t>
        </is>
      </c>
      <c r="C3457" t="inlineStr">
        <is>
          <t>Föryngringsavverkning</t>
        </is>
      </c>
      <c r="D3457" s="1" t="n">
        <v>45252</v>
      </c>
      <c r="E3457" s="1" t="n">
        <v>46323</v>
      </c>
      <c r="F3457" t="inlineStr">
        <is>
          <t>KALMAR LÄN</t>
        </is>
      </c>
      <c r="G3457" t="inlineStr">
        <is>
          <t>HULTSFRED</t>
        </is>
      </c>
      <c r="H3457" t="inlineStr">
        <is>
          <t>Kyrkan</t>
        </is>
      </c>
      <c r="I3457" t="n">
        <v>1.5</v>
      </c>
      <c r="J3457" t="n">
        <v>0</v>
      </c>
      <c r="K3457" t="n">
        <v>0</v>
      </c>
      <c r="L3457" t="n">
        <v>0</v>
      </c>
      <c r="M3457" t="n">
        <v>0</v>
      </c>
      <c r="N3457" t="n">
        <v>0</v>
      </c>
      <c r="O3457" t="n">
        <v>0</v>
      </c>
      <c r="P3457" t="n">
        <v>0</v>
      </c>
      <c r="Q3457" t="n">
        <v>0</v>
      </c>
      <c r="R3457" t="n">
        <v>0</v>
      </c>
      <c r="S3457" t="n">
        <v>0</v>
      </c>
      <c r="T3457" t="n">
        <v>0</v>
      </c>
      <c r="U3457" t="n">
        <v>0</v>
      </c>
      <c r="V3457" s="2" t="inlineStr"/>
    </row>
    <row r="3458" ht="15" customHeight="1">
      <c r="A3458" t="inlineStr">
        <is>
          <t>A 11566-2025</t>
        </is>
      </c>
      <c r="B3458" t="inlineStr">
        <is>
          <t>avverkningsanmälan</t>
        </is>
      </c>
      <c r="C3458" t="inlineStr">
        <is>
          <t>Föryngringsavverkning</t>
        </is>
      </c>
      <c r="D3458" s="1" t="n">
        <v>45727</v>
      </c>
      <c r="E3458" s="1" t="n">
        <v>46323</v>
      </c>
      <c r="F3458" t="inlineStr">
        <is>
          <t>KALMAR LÄN</t>
        </is>
      </c>
      <c r="G3458" t="inlineStr">
        <is>
          <t>HULTSFRED</t>
        </is>
      </c>
      <c r="I3458" t="n">
        <v>5.5</v>
      </c>
      <c r="J3458" t="n">
        <v>0</v>
      </c>
      <c r="K3458" t="n">
        <v>0</v>
      </c>
      <c r="L3458" t="n">
        <v>0</v>
      </c>
      <c r="M3458" t="n">
        <v>0</v>
      </c>
      <c r="N3458" t="n">
        <v>0</v>
      </c>
      <c r="O3458" t="n">
        <v>0</v>
      </c>
      <c r="P3458" t="n">
        <v>0</v>
      </c>
      <c r="Q3458" t="n">
        <v>0</v>
      </c>
      <c r="R3458" t="n">
        <v>0</v>
      </c>
      <c r="S3458" t="n">
        <v>0</v>
      </c>
      <c r="T3458" t="n">
        <v>0</v>
      </c>
      <c r="U3458" t="n">
        <v>0</v>
      </c>
      <c r="V3458" s="2" t="inlineStr"/>
    </row>
    <row r="3459" ht="15" customHeight="1">
      <c r="A3459" t="inlineStr">
        <is>
          <t>A 8002-2023</t>
        </is>
      </c>
      <c r="B3459" t="inlineStr">
        <is>
          <t>avverkningsanmälan</t>
        </is>
      </c>
      <c r="C3459" t="inlineStr">
        <is>
          <t>Föryngringsavverkning</t>
        </is>
      </c>
      <c r="D3459" s="1" t="n">
        <v>44973</v>
      </c>
      <c r="E3459" s="1" t="n">
        <v>46323</v>
      </c>
      <c r="F3459" t="inlineStr">
        <is>
          <t>KALMAR LÄN</t>
        </is>
      </c>
      <c r="G3459" t="inlineStr">
        <is>
          <t>EMMABODA</t>
        </is>
      </c>
      <c r="H3459" t="inlineStr">
        <is>
          <t>Kommuner</t>
        </is>
      </c>
      <c r="I3459" t="n">
        <v>2.4</v>
      </c>
      <c r="J3459" t="n">
        <v>0</v>
      </c>
      <c r="K3459" t="n">
        <v>0</v>
      </c>
      <c r="L3459" t="n">
        <v>0</v>
      </c>
      <c r="M3459" t="n">
        <v>0</v>
      </c>
      <c r="N3459" t="n">
        <v>0</v>
      </c>
      <c r="O3459" t="n">
        <v>0</v>
      </c>
      <c r="P3459" t="n">
        <v>0</v>
      </c>
      <c r="Q3459" t="n">
        <v>0</v>
      </c>
      <c r="R3459" t="n">
        <v>0</v>
      </c>
      <c r="S3459" t="n">
        <v>0</v>
      </c>
      <c r="T3459" t="n">
        <v>0</v>
      </c>
      <c r="U3459" t="n">
        <v>0</v>
      </c>
      <c r="V3459" s="2" t="inlineStr"/>
    </row>
    <row r="3460" ht="15" customHeight="1">
      <c r="A3460" t="inlineStr">
        <is>
          <t>A 8007-2023</t>
        </is>
      </c>
      <c r="B3460" t="inlineStr">
        <is>
          <t>avverkningsanmälan</t>
        </is>
      </c>
      <c r="C3460" t="inlineStr">
        <is>
          <t>Föryngringsavverkning</t>
        </is>
      </c>
      <c r="D3460" s="1" t="n">
        <v>44973</v>
      </c>
      <c r="E3460" s="1" t="n">
        <v>46323</v>
      </c>
      <c r="F3460" t="inlineStr">
        <is>
          <t>KALMAR LÄN</t>
        </is>
      </c>
      <c r="G3460" t="inlineStr">
        <is>
          <t>VÄSTERVIK</t>
        </is>
      </c>
      <c r="I3460" t="n">
        <v>4.5</v>
      </c>
      <c r="J3460" t="n">
        <v>0</v>
      </c>
      <c r="K3460" t="n">
        <v>0</v>
      </c>
      <c r="L3460" t="n">
        <v>0</v>
      </c>
      <c r="M3460" t="n">
        <v>0</v>
      </c>
      <c r="N3460" t="n">
        <v>0</v>
      </c>
      <c r="O3460" t="n">
        <v>0</v>
      </c>
      <c r="P3460" t="n">
        <v>0</v>
      </c>
      <c r="Q3460" t="n">
        <v>0</v>
      </c>
      <c r="R3460" t="n">
        <v>0</v>
      </c>
      <c r="S3460" t="n">
        <v>0</v>
      </c>
      <c r="T3460" t="n">
        <v>0</v>
      </c>
      <c r="U3460" t="n">
        <v>0</v>
      </c>
      <c r="V3460" s="2" t="inlineStr"/>
    </row>
    <row r="3461" ht="15" customHeight="1">
      <c r="A3461" t="inlineStr">
        <is>
          <t>A 61499-2022</t>
        </is>
      </c>
      <c r="B3461" t="inlineStr">
        <is>
          <t>avverkningsanmälan</t>
        </is>
      </c>
      <c r="C3461" t="inlineStr">
        <is>
          <t>Föryngringsavverkning</t>
        </is>
      </c>
      <c r="D3461" s="1" t="n">
        <v>44910</v>
      </c>
      <c r="E3461" s="1" t="n">
        <v>46323</v>
      </c>
      <c r="F3461" t="inlineStr">
        <is>
          <t>KALMAR LÄN</t>
        </is>
      </c>
      <c r="G3461" t="inlineStr">
        <is>
          <t>NYBRO</t>
        </is>
      </c>
      <c r="I3461" t="n">
        <v>4.5</v>
      </c>
      <c r="J3461" t="n">
        <v>0</v>
      </c>
      <c r="K3461" t="n">
        <v>0</v>
      </c>
      <c r="L3461" t="n">
        <v>0</v>
      </c>
      <c r="M3461" t="n">
        <v>0</v>
      </c>
      <c r="N3461" t="n">
        <v>0</v>
      </c>
      <c r="O3461" t="n">
        <v>0</v>
      </c>
      <c r="P3461" t="n">
        <v>0</v>
      </c>
      <c r="Q3461" t="n">
        <v>0</v>
      </c>
      <c r="R3461" t="n">
        <v>0</v>
      </c>
      <c r="S3461" t="n">
        <v>0</v>
      </c>
      <c r="T3461" t="n">
        <v>0</v>
      </c>
      <c r="U3461" t="n">
        <v>0</v>
      </c>
      <c r="V3461" s="2" t="inlineStr"/>
    </row>
    <row r="3462" ht="15" customHeight="1">
      <c r="A3462" t="inlineStr">
        <is>
          <t>A 47263-2023</t>
        </is>
      </c>
      <c r="B3462" t="inlineStr">
        <is>
          <t>avverkningsanmälan</t>
        </is>
      </c>
      <c r="C3462" t="inlineStr">
        <is>
          <t>Föryngringsavverkning</t>
        </is>
      </c>
      <c r="D3462" s="1" t="n">
        <v>45202</v>
      </c>
      <c r="E3462" s="1" t="n">
        <v>46323</v>
      </c>
      <c r="F3462" t="inlineStr">
        <is>
          <t>KALMAR LÄN</t>
        </is>
      </c>
      <c r="G3462" t="inlineStr">
        <is>
          <t>VIMMERBY</t>
        </is>
      </c>
      <c r="I3462" t="n">
        <v>1.8</v>
      </c>
      <c r="J3462" t="n">
        <v>0</v>
      </c>
      <c r="K3462" t="n">
        <v>0</v>
      </c>
      <c r="L3462" t="n">
        <v>0</v>
      </c>
      <c r="M3462" t="n">
        <v>0</v>
      </c>
      <c r="N3462" t="n">
        <v>0</v>
      </c>
      <c r="O3462" t="n">
        <v>0</v>
      </c>
      <c r="P3462" t="n">
        <v>0</v>
      </c>
      <c r="Q3462" t="n">
        <v>0</v>
      </c>
      <c r="R3462" t="n">
        <v>0</v>
      </c>
      <c r="S3462" t="n">
        <v>0</v>
      </c>
      <c r="T3462" t="n">
        <v>0</v>
      </c>
      <c r="U3462" t="n">
        <v>0</v>
      </c>
      <c r="V3462" s="2" t="inlineStr"/>
    </row>
    <row r="3463" ht="15" customHeight="1">
      <c r="A3463" t="inlineStr">
        <is>
          <t>A 9253-2023</t>
        </is>
      </c>
      <c r="B3463" t="inlineStr">
        <is>
          <t>avverkningsanmälan</t>
        </is>
      </c>
      <c r="C3463" t="inlineStr">
        <is>
          <t>Föryngringsavverkning</t>
        </is>
      </c>
      <c r="D3463" s="1" t="n">
        <v>44980</v>
      </c>
      <c r="E3463" s="1" t="n">
        <v>46323</v>
      </c>
      <c r="F3463" t="inlineStr">
        <is>
          <t>KALMAR LÄN</t>
        </is>
      </c>
      <c r="G3463" t="inlineStr">
        <is>
          <t>OSKARSHAMN</t>
        </is>
      </c>
      <c r="I3463" t="n">
        <v>0.5</v>
      </c>
      <c r="J3463" t="n">
        <v>0</v>
      </c>
      <c r="K3463" t="n">
        <v>0</v>
      </c>
      <c r="L3463" t="n">
        <v>0</v>
      </c>
      <c r="M3463" t="n">
        <v>0</v>
      </c>
      <c r="N3463" t="n">
        <v>0</v>
      </c>
      <c r="O3463" t="n">
        <v>0</v>
      </c>
      <c r="P3463" t="n">
        <v>0</v>
      </c>
      <c r="Q3463" t="n">
        <v>0</v>
      </c>
      <c r="R3463" t="n">
        <v>0</v>
      </c>
      <c r="S3463" t="n">
        <v>0</v>
      </c>
      <c r="T3463" t="n">
        <v>0</v>
      </c>
      <c r="U3463" t="n">
        <v>0</v>
      </c>
      <c r="V3463" s="2" t="inlineStr"/>
    </row>
    <row r="3464" ht="15" customHeight="1">
      <c r="A3464" t="inlineStr">
        <is>
          <t>A 55381-2025</t>
        </is>
      </c>
      <c r="B3464" t="inlineStr">
        <is>
          <t>avverkningsanmälan</t>
        </is>
      </c>
      <c r="C3464" t="inlineStr">
        <is>
          <t>Föryngringsavverkning</t>
        </is>
      </c>
      <c r="D3464" s="1" t="n">
        <v>45971</v>
      </c>
      <c r="E3464" s="1" t="n">
        <v>46323</v>
      </c>
      <c r="F3464" t="inlineStr">
        <is>
          <t>KALMAR LÄN</t>
        </is>
      </c>
      <c r="G3464" t="inlineStr">
        <is>
          <t>EMMABODA</t>
        </is>
      </c>
      <c r="I3464" t="n">
        <v>0.7</v>
      </c>
      <c r="J3464" t="n">
        <v>0</v>
      </c>
      <c r="K3464" t="n">
        <v>0</v>
      </c>
      <c r="L3464" t="n">
        <v>0</v>
      </c>
      <c r="M3464" t="n">
        <v>0</v>
      </c>
      <c r="N3464" t="n">
        <v>0</v>
      </c>
      <c r="O3464" t="n">
        <v>0</v>
      </c>
      <c r="P3464" t="n">
        <v>0</v>
      </c>
      <c r="Q3464" t="n">
        <v>0</v>
      </c>
      <c r="R3464" t="n">
        <v>0</v>
      </c>
      <c r="S3464" t="n">
        <v>0</v>
      </c>
      <c r="T3464" t="n">
        <v>0</v>
      </c>
      <c r="U3464" t="n">
        <v>0</v>
      </c>
      <c r="V3464" s="2" t="inlineStr"/>
    </row>
    <row r="3465" ht="15" customHeight="1">
      <c r="A3465" t="inlineStr">
        <is>
          <t>A 8845-2025</t>
        </is>
      </c>
      <c r="B3465" t="inlineStr">
        <is>
          <t>avverkningsanmälan</t>
        </is>
      </c>
      <c r="C3465" t="inlineStr">
        <is>
          <t>Föryngringsavverkning</t>
        </is>
      </c>
      <c r="D3465" s="1" t="n">
        <v>45713</v>
      </c>
      <c r="E3465" s="1" t="n">
        <v>46323</v>
      </c>
      <c r="F3465" t="inlineStr">
        <is>
          <t>KALMAR LÄN</t>
        </is>
      </c>
      <c r="G3465" t="inlineStr">
        <is>
          <t>KALMAR</t>
        </is>
      </c>
      <c r="I3465" t="n">
        <v>0.9</v>
      </c>
      <c r="J3465" t="n">
        <v>0</v>
      </c>
      <c r="K3465" t="n">
        <v>0</v>
      </c>
      <c r="L3465" t="n">
        <v>0</v>
      </c>
      <c r="M3465" t="n">
        <v>0</v>
      </c>
      <c r="N3465" t="n">
        <v>0</v>
      </c>
      <c r="O3465" t="n">
        <v>0</v>
      </c>
      <c r="P3465" t="n">
        <v>0</v>
      </c>
      <c r="Q3465" t="n">
        <v>0</v>
      </c>
      <c r="R3465" t="n">
        <v>0</v>
      </c>
      <c r="S3465" t="n">
        <v>0</v>
      </c>
      <c r="T3465" t="n">
        <v>0</v>
      </c>
      <c r="U3465" t="n">
        <v>0</v>
      </c>
      <c r="V3465" s="2" t="inlineStr"/>
    </row>
    <row r="3466" ht="15" customHeight="1">
      <c r="A3466" t="inlineStr">
        <is>
          <t>A 15719-2024</t>
        </is>
      </c>
      <c r="B3466" t="inlineStr">
        <is>
          <t>avverkningsanmälan</t>
        </is>
      </c>
      <c r="C3466" t="inlineStr">
        <is>
          <t>Föryngringsavverkning</t>
        </is>
      </c>
      <c r="D3466" s="1" t="n">
        <v>45404</v>
      </c>
      <c r="E3466" s="1" t="n">
        <v>46323</v>
      </c>
      <c r="F3466" t="inlineStr">
        <is>
          <t>KALMAR LÄN</t>
        </is>
      </c>
      <c r="G3466" t="inlineStr">
        <is>
          <t>MÖNSTERÅS</t>
        </is>
      </c>
      <c r="I3466" t="n">
        <v>0.7</v>
      </c>
      <c r="J3466" t="n">
        <v>0</v>
      </c>
      <c r="K3466" t="n">
        <v>0</v>
      </c>
      <c r="L3466" t="n">
        <v>0</v>
      </c>
      <c r="M3466" t="n">
        <v>0</v>
      </c>
      <c r="N3466" t="n">
        <v>0</v>
      </c>
      <c r="O3466" t="n">
        <v>0</v>
      </c>
      <c r="P3466" t="n">
        <v>0</v>
      </c>
      <c r="Q3466" t="n">
        <v>0</v>
      </c>
      <c r="R3466" t="n">
        <v>0</v>
      </c>
      <c r="S3466" t="n">
        <v>0</v>
      </c>
      <c r="T3466" t="n">
        <v>0</v>
      </c>
      <c r="U3466" t="n">
        <v>0</v>
      </c>
      <c r="V3466" s="2" t="inlineStr"/>
    </row>
    <row r="3467" ht="15" customHeight="1">
      <c r="A3467" t="inlineStr">
        <is>
          <t>A 2507-2023</t>
        </is>
      </c>
      <c r="B3467" t="inlineStr">
        <is>
          <t>avverkningsanmälan</t>
        </is>
      </c>
      <c r="C3467" t="inlineStr">
        <is>
          <t>Föryngringsavverkning</t>
        </is>
      </c>
      <c r="D3467" s="1" t="n">
        <v>44939</v>
      </c>
      <c r="E3467" s="1" t="n">
        <v>46323</v>
      </c>
      <c r="F3467" t="inlineStr">
        <is>
          <t>KALMAR LÄN</t>
        </is>
      </c>
      <c r="G3467" t="inlineStr">
        <is>
          <t>HULTSFRED</t>
        </is>
      </c>
      <c r="I3467" t="n">
        <v>1.3</v>
      </c>
      <c r="J3467" t="n">
        <v>0</v>
      </c>
      <c r="K3467" t="n">
        <v>0</v>
      </c>
      <c r="L3467" t="n">
        <v>0</v>
      </c>
      <c r="M3467" t="n">
        <v>0</v>
      </c>
      <c r="N3467" t="n">
        <v>0</v>
      </c>
      <c r="O3467" t="n">
        <v>0</v>
      </c>
      <c r="P3467" t="n">
        <v>0</v>
      </c>
      <c r="Q3467" t="n">
        <v>0</v>
      </c>
      <c r="R3467" t="n">
        <v>0</v>
      </c>
      <c r="S3467" t="n">
        <v>0</v>
      </c>
      <c r="T3467" t="n">
        <v>0</v>
      </c>
      <c r="U3467" t="n">
        <v>0</v>
      </c>
      <c r="V3467" s="2" t="inlineStr"/>
    </row>
    <row r="3468" ht="15" customHeight="1">
      <c r="A3468" t="inlineStr">
        <is>
          <t>A 42746-2024</t>
        </is>
      </c>
      <c r="B3468" t="inlineStr">
        <is>
          <t>avverkningsanmälan</t>
        </is>
      </c>
      <c r="C3468" t="inlineStr">
        <is>
          <t>Föryngringsavverkning</t>
        </is>
      </c>
      <c r="D3468" s="1" t="n">
        <v>45566</v>
      </c>
      <c r="E3468" s="1" t="n">
        <v>46323</v>
      </c>
      <c r="F3468" t="inlineStr">
        <is>
          <t>KALMAR LÄN</t>
        </is>
      </c>
      <c r="G3468" t="inlineStr">
        <is>
          <t>VÄSTERVIK</t>
        </is>
      </c>
      <c r="I3468" t="n">
        <v>2</v>
      </c>
      <c r="J3468" t="n">
        <v>0</v>
      </c>
      <c r="K3468" t="n">
        <v>0</v>
      </c>
      <c r="L3468" t="n">
        <v>0</v>
      </c>
      <c r="M3468" t="n">
        <v>0</v>
      </c>
      <c r="N3468" t="n">
        <v>0</v>
      </c>
      <c r="O3468" t="n">
        <v>0</v>
      </c>
      <c r="P3468" t="n">
        <v>0</v>
      </c>
      <c r="Q3468" t="n">
        <v>0</v>
      </c>
      <c r="R3468" t="n">
        <v>0</v>
      </c>
      <c r="S3468" t="n">
        <v>0</v>
      </c>
      <c r="T3468" t="n">
        <v>0</v>
      </c>
      <c r="U3468" t="n">
        <v>0</v>
      </c>
      <c r="V3468" s="2" t="inlineStr"/>
    </row>
    <row r="3469" ht="15" customHeight="1">
      <c r="A3469" t="inlineStr">
        <is>
          <t>A 42747-2024</t>
        </is>
      </c>
      <c r="B3469" t="inlineStr">
        <is>
          <t>avverkningsanmälan</t>
        </is>
      </c>
      <c r="C3469" t="inlineStr">
        <is>
          <t>Föryngringsavverkning</t>
        </is>
      </c>
      <c r="D3469" s="1" t="n">
        <v>45566</v>
      </c>
      <c r="E3469" s="1" t="n">
        <v>46323</v>
      </c>
      <c r="F3469" t="inlineStr">
        <is>
          <t>KALMAR LÄN</t>
        </is>
      </c>
      <c r="G3469" t="inlineStr">
        <is>
          <t>HULTSFRED</t>
        </is>
      </c>
      <c r="I3469" t="n">
        <v>0.6</v>
      </c>
      <c r="J3469" t="n">
        <v>0</v>
      </c>
      <c r="K3469" t="n">
        <v>0</v>
      </c>
      <c r="L3469" t="n">
        <v>0</v>
      </c>
      <c r="M3469" t="n">
        <v>0</v>
      </c>
      <c r="N3469" t="n">
        <v>0</v>
      </c>
      <c r="O3469" t="n">
        <v>0</v>
      </c>
      <c r="P3469" t="n">
        <v>0</v>
      </c>
      <c r="Q3469" t="n">
        <v>0</v>
      </c>
      <c r="R3469" t="n">
        <v>0</v>
      </c>
      <c r="S3469" t="n">
        <v>0</v>
      </c>
      <c r="T3469" t="n">
        <v>0</v>
      </c>
      <c r="U3469" t="n">
        <v>0</v>
      </c>
      <c r="V3469" s="2" t="inlineStr"/>
    </row>
    <row r="3470" ht="15" customHeight="1">
      <c r="A3470" t="inlineStr">
        <is>
          <t>A 42749-2024</t>
        </is>
      </c>
      <c r="B3470" t="inlineStr">
        <is>
          <t>avverkningsanmälan</t>
        </is>
      </c>
      <c r="C3470" t="inlineStr">
        <is>
          <t>Föryngringsavverkning</t>
        </is>
      </c>
      <c r="D3470" s="1" t="n">
        <v>45566</v>
      </c>
      <c r="E3470" s="1" t="n">
        <v>46323</v>
      </c>
      <c r="F3470" t="inlineStr">
        <is>
          <t>KALMAR LÄN</t>
        </is>
      </c>
      <c r="G3470" t="inlineStr">
        <is>
          <t>HULTSFRED</t>
        </is>
      </c>
      <c r="I3470" t="n">
        <v>0.8</v>
      </c>
      <c r="J3470" t="n">
        <v>0</v>
      </c>
      <c r="K3470" t="n">
        <v>0</v>
      </c>
      <c r="L3470" t="n">
        <v>0</v>
      </c>
      <c r="M3470" t="n">
        <v>0</v>
      </c>
      <c r="N3470" t="n">
        <v>0</v>
      </c>
      <c r="O3470" t="n">
        <v>0</v>
      </c>
      <c r="P3470" t="n">
        <v>0</v>
      </c>
      <c r="Q3470" t="n">
        <v>0</v>
      </c>
      <c r="R3470" t="n">
        <v>0</v>
      </c>
      <c r="S3470" t="n">
        <v>0</v>
      </c>
      <c r="T3470" t="n">
        <v>0</v>
      </c>
      <c r="U3470" t="n">
        <v>0</v>
      </c>
      <c r="V3470" s="2" t="inlineStr"/>
    </row>
    <row r="3471" ht="15" customHeight="1">
      <c r="A3471" t="inlineStr">
        <is>
          <t>A 55489-2025</t>
        </is>
      </c>
      <c r="B3471" t="inlineStr">
        <is>
          <t>avverkningsanmälan</t>
        </is>
      </c>
      <c r="C3471" t="inlineStr">
        <is>
          <t>Föryngringsavverkning</t>
        </is>
      </c>
      <c r="D3471" s="1" t="n">
        <v>45971</v>
      </c>
      <c r="E3471" s="1" t="n">
        <v>46323</v>
      </c>
      <c r="F3471" t="inlineStr">
        <is>
          <t>KALMAR LÄN</t>
        </is>
      </c>
      <c r="G3471" t="inlineStr">
        <is>
          <t>VÄSTERVIK</t>
        </is>
      </c>
      <c r="H3471" t="inlineStr">
        <is>
          <t>Holmen skog AB</t>
        </is>
      </c>
      <c r="I3471" t="n">
        <v>1.5</v>
      </c>
      <c r="J3471" t="n">
        <v>0</v>
      </c>
      <c r="K3471" t="n">
        <v>0</v>
      </c>
      <c r="L3471" t="n">
        <v>0</v>
      </c>
      <c r="M3471" t="n">
        <v>0</v>
      </c>
      <c r="N3471" t="n">
        <v>0</v>
      </c>
      <c r="O3471" t="n">
        <v>0</v>
      </c>
      <c r="P3471" t="n">
        <v>0</v>
      </c>
      <c r="Q3471" t="n">
        <v>0</v>
      </c>
      <c r="R3471" t="n">
        <v>0</v>
      </c>
      <c r="S3471" t="n">
        <v>0</v>
      </c>
      <c r="T3471" t="n">
        <v>0</v>
      </c>
      <c r="U3471" t="n">
        <v>0</v>
      </c>
      <c r="V3471" s="2" t="inlineStr"/>
    </row>
    <row r="3472" ht="15" customHeight="1">
      <c r="A3472" t="inlineStr">
        <is>
          <t>A 9577-2023</t>
        </is>
      </c>
      <c r="B3472" t="inlineStr">
        <is>
          <t>avverkningsanmälan</t>
        </is>
      </c>
      <c r="C3472" t="inlineStr">
        <is>
          <t>Föryngringsavverkning</t>
        </is>
      </c>
      <c r="D3472" s="1" t="n">
        <v>44982</v>
      </c>
      <c r="E3472" s="1" t="n">
        <v>46323</v>
      </c>
      <c r="F3472" t="inlineStr">
        <is>
          <t>KALMAR LÄN</t>
        </is>
      </c>
      <c r="G3472" t="inlineStr">
        <is>
          <t>EMMABODA</t>
        </is>
      </c>
      <c r="I3472" t="n">
        <v>1.1</v>
      </c>
      <c r="J3472" t="n">
        <v>0</v>
      </c>
      <c r="K3472" t="n">
        <v>0</v>
      </c>
      <c r="L3472" t="n">
        <v>0</v>
      </c>
      <c r="M3472" t="n">
        <v>0</v>
      </c>
      <c r="N3472" t="n">
        <v>0</v>
      </c>
      <c r="O3472" t="n">
        <v>0</v>
      </c>
      <c r="P3472" t="n">
        <v>0</v>
      </c>
      <c r="Q3472" t="n">
        <v>0</v>
      </c>
      <c r="R3472" t="n">
        <v>0</v>
      </c>
      <c r="S3472" t="n">
        <v>0</v>
      </c>
      <c r="T3472" t="n">
        <v>0</v>
      </c>
      <c r="U3472" t="n">
        <v>0</v>
      </c>
      <c r="V3472" s="2" t="inlineStr"/>
    </row>
    <row r="3473" ht="15" customHeight="1">
      <c r="A3473" t="inlineStr">
        <is>
          <t>A 36278-2023</t>
        </is>
      </c>
      <c r="B3473" t="inlineStr">
        <is>
          <t>avverkningsanmälan</t>
        </is>
      </c>
      <c r="C3473" t="inlineStr">
        <is>
          <t>Föryngringsavverkning</t>
        </is>
      </c>
      <c r="D3473" s="1" t="n">
        <v>45152</v>
      </c>
      <c r="E3473" s="1" t="n">
        <v>46323</v>
      </c>
      <c r="F3473" t="inlineStr">
        <is>
          <t>KALMAR LÄN</t>
        </is>
      </c>
      <c r="G3473" t="inlineStr">
        <is>
          <t>HULTSFRED</t>
        </is>
      </c>
      <c r="I3473" t="n">
        <v>1</v>
      </c>
      <c r="J3473" t="n">
        <v>0</v>
      </c>
      <c r="K3473" t="n">
        <v>0</v>
      </c>
      <c r="L3473" t="n">
        <v>0</v>
      </c>
      <c r="M3473" t="n">
        <v>0</v>
      </c>
      <c r="N3473" t="n">
        <v>0</v>
      </c>
      <c r="O3473" t="n">
        <v>0</v>
      </c>
      <c r="P3473" t="n">
        <v>0</v>
      </c>
      <c r="Q3473" t="n">
        <v>0</v>
      </c>
      <c r="R3473" t="n">
        <v>0</v>
      </c>
      <c r="S3473" t="n">
        <v>0</v>
      </c>
      <c r="T3473" t="n">
        <v>0</v>
      </c>
      <c r="U3473" t="n">
        <v>0</v>
      </c>
      <c r="V3473" s="2" t="inlineStr"/>
    </row>
    <row r="3474" ht="15" customHeight="1">
      <c r="A3474" t="inlineStr">
        <is>
          <t>A 9592-2024</t>
        </is>
      </c>
      <c r="B3474" t="inlineStr">
        <is>
          <t>avverkningsanmälan</t>
        </is>
      </c>
      <c r="C3474" t="inlineStr">
        <is>
          <t>Föryngringsavverkning</t>
        </is>
      </c>
      <c r="D3474" s="1" t="n">
        <v>45360</v>
      </c>
      <c r="E3474" s="1" t="n">
        <v>46323</v>
      </c>
      <c r="F3474" t="inlineStr">
        <is>
          <t>KALMAR LÄN</t>
        </is>
      </c>
      <c r="G3474" t="inlineStr">
        <is>
          <t>HÖGSBY</t>
        </is>
      </c>
      <c r="H3474" t="inlineStr">
        <is>
          <t>Sveaskog</t>
        </is>
      </c>
      <c r="I3474" t="n">
        <v>1.6</v>
      </c>
      <c r="J3474" t="n">
        <v>0</v>
      </c>
      <c r="K3474" t="n">
        <v>0</v>
      </c>
      <c r="L3474" t="n">
        <v>0</v>
      </c>
      <c r="M3474" t="n">
        <v>0</v>
      </c>
      <c r="N3474" t="n">
        <v>0</v>
      </c>
      <c r="O3474" t="n">
        <v>0</v>
      </c>
      <c r="P3474" t="n">
        <v>0</v>
      </c>
      <c r="Q3474" t="n">
        <v>0</v>
      </c>
      <c r="R3474" t="n">
        <v>0</v>
      </c>
      <c r="S3474" t="n">
        <v>0</v>
      </c>
      <c r="T3474" t="n">
        <v>0</v>
      </c>
      <c r="U3474" t="n">
        <v>0</v>
      </c>
      <c r="V3474" s="2" t="inlineStr"/>
    </row>
    <row r="3475" ht="15" customHeight="1">
      <c r="A3475" t="inlineStr">
        <is>
          <t>A 15162-2023</t>
        </is>
      </c>
      <c r="B3475" t="inlineStr">
        <is>
          <t>avverkningsanmälan</t>
        </is>
      </c>
      <c r="C3475" t="inlineStr">
        <is>
          <t>Föryngringsavverkning</t>
        </is>
      </c>
      <c r="D3475" s="1" t="n">
        <v>45016</v>
      </c>
      <c r="E3475" s="1" t="n">
        <v>46323</v>
      </c>
      <c r="F3475" t="inlineStr">
        <is>
          <t>KALMAR LÄN</t>
        </is>
      </c>
      <c r="G3475" t="inlineStr">
        <is>
          <t>TORSÅS</t>
        </is>
      </c>
      <c r="I3475" t="n">
        <v>1.6</v>
      </c>
      <c r="J3475" t="n">
        <v>0</v>
      </c>
      <c r="K3475" t="n">
        <v>0</v>
      </c>
      <c r="L3475" t="n">
        <v>0</v>
      </c>
      <c r="M3475" t="n">
        <v>0</v>
      </c>
      <c r="N3475" t="n">
        <v>0</v>
      </c>
      <c r="O3475" t="n">
        <v>0</v>
      </c>
      <c r="P3475" t="n">
        <v>0</v>
      </c>
      <c r="Q3475" t="n">
        <v>0</v>
      </c>
      <c r="R3475" t="n">
        <v>0</v>
      </c>
      <c r="S3475" t="n">
        <v>0</v>
      </c>
      <c r="T3475" t="n">
        <v>0</v>
      </c>
      <c r="U3475" t="n">
        <v>0</v>
      </c>
      <c r="V3475" s="2" t="inlineStr"/>
    </row>
    <row r="3476" ht="15" customHeight="1">
      <c r="A3476" t="inlineStr">
        <is>
          <t>A 61529-2022</t>
        </is>
      </c>
      <c r="B3476" t="inlineStr">
        <is>
          <t>avverkningsanmälan</t>
        </is>
      </c>
      <c r="C3476" t="inlineStr">
        <is>
          <t>Föryngringsavverkning</t>
        </is>
      </c>
      <c r="D3476" s="1" t="n">
        <v>44910</v>
      </c>
      <c r="E3476" s="1" t="n">
        <v>46323</v>
      </c>
      <c r="F3476" t="inlineStr">
        <is>
          <t>KALMAR LÄN</t>
        </is>
      </c>
      <c r="G3476" t="inlineStr">
        <is>
          <t>VÄSTERVIK</t>
        </is>
      </c>
      <c r="I3476" t="n">
        <v>6.5</v>
      </c>
      <c r="J3476" t="n">
        <v>0</v>
      </c>
      <c r="K3476" t="n">
        <v>0</v>
      </c>
      <c r="L3476" t="n">
        <v>0</v>
      </c>
      <c r="M3476" t="n">
        <v>0</v>
      </c>
      <c r="N3476" t="n">
        <v>0</v>
      </c>
      <c r="O3476" t="n">
        <v>0</v>
      </c>
      <c r="P3476" t="n">
        <v>0</v>
      </c>
      <c r="Q3476" t="n">
        <v>0</v>
      </c>
      <c r="R3476" t="n">
        <v>0</v>
      </c>
      <c r="S3476" t="n">
        <v>0</v>
      </c>
      <c r="T3476" t="n">
        <v>0</v>
      </c>
      <c r="U3476" t="n">
        <v>0</v>
      </c>
      <c r="V3476" s="2" t="inlineStr"/>
    </row>
    <row r="3477" ht="15" customHeight="1">
      <c r="A3477" t="inlineStr">
        <is>
          <t>A 20658-2023</t>
        </is>
      </c>
      <c r="B3477" t="inlineStr">
        <is>
          <t>avverkningsanmälan</t>
        </is>
      </c>
      <c r="C3477" t="inlineStr">
        <is>
          <t>Föryngringsavverkning</t>
        </is>
      </c>
      <c r="D3477" s="1" t="n">
        <v>45058</v>
      </c>
      <c r="E3477" s="1" t="n">
        <v>46323</v>
      </c>
      <c r="F3477" t="inlineStr">
        <is>
          <t>KALMAR LÄN</t>
        </is>
      </c>
      <c r="G3477" t="inlineStr">
        <is>
          <t>KALMAR</t>
        </is>
      </c>
      <c r="I3477" t="n">
        <v>0.7</v>
      </c>
      <c r="J3477" t="n">
        <v>0</v>
      </c>
      <c r="K3477" t="n">
        <v>0</v>
      </c>
      <c r="L3477" t="n">
        <v>0</v>
      </c>
      <c r="M3477" t="n">
        <v>0</v>
      </c>
      <c r="N3477" t="n">
        <v>0</v>
      </c>
      <c r="O3477" t="n">
        <v>0</v>
      </c>
      <c r="P3477" t="n">
        <v>0</v>
      </c>
      <c r="Q3477" t="n">
        <v>0</v>
      </c>
      <c r="R3477" t="n">
        <v>0</v>
      </c>
      <c r="S3477" t="n">
        <v>0</v>
      </c>
      <c r="T3477" t="n">
        <v>0</v>
      </c>
      <c r="U3477" t="n">
        <v>0</v>
      </c>
      <c r="V3477" s="2" t="inlineStr"/>
    </row>
    <row r="3478" ht="15" customHeight="1">
      <c r="A3478" t="inlineStr">
        <is>
          <t>A 46476-2024</t>
        </is>
      </c>
      <c r="B3478" t="inlineStr">
        <is>
          <t>avverkningsanmälan</t>
        </is>
      </c>
      <c r="C3478" t="inlineStr">
        <is>
          <t>Avverkning för annat ändamål</t>
        </is>
      </c>
      <c r="D3478" s="1" t="n">
        <v>45582</v>
      </c>
      <c r="E3478" s="1" t="n">
        <v>46323</v>
      </c>
      <c r="F3478" t="inlineStr">
        <is>
          <t>KALMAR LÄN</t>
        </is>
      </c>
      <c r="G3478" t="inlineStr">
        <is>
          <t>HULTSFRED</t>
        </is>
      </c>
      <c r="H3478" t="inlineStr">
        <is>
          <t>Sveaskog</t>
        </is>
      </c>
      <c r="I3478" t="n">
        <v>0.3</v>
      </c>
      <c r="J3478" t="n">
        <v>0</v>
      </c>
      <c r="K3478" t="n">
        <v>0</v>
      </c>
      <c r="L3478" t="n">
        <v>0</v>
      </c>
      <c r="M3478" t="n">
        <v>0</v>
      </c>
      <c r="N3478" t="n">
        <v>0</v>
      </c>
      <c r="O3478" t="n">
        <v>0</v>
      </c>
      <c r="P3478" t="n">
        <v>0</v>
      </c>
      <c r="Q3478" t="n">
        <v>0</v>
      </c>
      <c r="R3478" t="n">
        <v>0</v>
      </c>
      <c r="S3478" t="n">
        <v>0</v>
      </c>
      <c r="T3478" t="n">
        <v>0</v>
      </c>
      <c r="U3478" t="n">
        <v>0</v>
      </c>
      <c r="V3478" s="2" t="inlineStr"/>
    </row>
    <row r="3479" ht="15" customHeight="1">
      <c r="A3479" t="inlineStr">
        <is>
          <t>A 5182-2022</t>
        </is>
      </c>
      <c r="B3479" t="inlineStr">
        <is>
          <t>avverkningsanmälan</t>
        </is>
      </c>
      <c r="C3479" t="inlineStr">
        <is>
          <t>Föryngringsavverkning</t>
        </is>
      </c>
      <c r="D3479" s="1" t="n">
        <v>44594</v>
      </c>
      <c r="E3479" s="1" t="n">
        <v>46323</v>
      </c>
      <c r="F3479" t="inlineStr">
        <is>
          <t>KALMAR LÄN</t>
        </is>
      </c>
      <c r="G3479" t="inlineStr">
        <is>
          <t>EMMABODA</t>
        </is>
      </c>
      <c r="I3479" t="n">
        <v>1</v>
      </c>
      <c r="J3479" t="n">
        <v>0</v>
      </c>
      <c r="K3479" t="n">
        <v>0</v>
      </c>
      <c r="L3479" t="n">
        <v>0</v>
      </c>
      <c r="M3479" t="n">
        <v>0</v>
      </c>
      <c r="N3479" t="n">
        <v>0</v>
      </c>
      <c r="O3479" t="n">
        <v>0</v>
      </c>
      <c r="P3479" t="n">
        <v>0</v>
      </c>
      <c r="Q3479" t="n">
        <v>0</v>
      </c>
      <c r="R3479" t="n">
        <v>0</v>
      </c>
      <c r="S3479" t="n">
        <v>0</v>
      </c>
      <c r="T3479" t="n">
        <v>0</v>
      </c>
      <c r="U3479" t="n">
        <v>0</v>
      </c>
      <c r="V3479" s="2" t="inlineStr"/>
    </row>
    <row r="3480" ht="15" customHeight="1">
      <c r="A3480" t="inlineStr">
        <is>
          <t>A 6649-2023</t>
        </is>
      </c>
      <c r="B3480" t="inlineStr">
        <is>
          <t>avverkningsanmälan</t>
        </is>
      </c>
      <c r="C3480" t="inlineStr">
        <is>
          <t>Avverkning för annat ändamål</t>
        </is>
      </c>
      <c r="D3480" s="1" t="n">
        <v>44966</v>
      </c>
      <c r="E3480" s="1" t="n">
        <v>46323</v>
      </c>
      <c r="F3480" t="inlineStr">
        <is>
          <t>KALMAR LÄN</t>
        </is>
      </c>
      <c r="G3480" t="inlineStr">
        <is>
          <t>HULTSFRED</t>
        </is>
      </c>
      <c r="I3480" t="n">
        <v>1</v>
      </c>
      <c r="J3480" t="n">
        <v>0</v>
      </c>
      <c r="K3480" t="n">
        <v>0</v>
      </c>
      <c r="L3480" t="n">
        <v>0</v>
      </c>
      <c r="M3480" t="n">
        <v>0</v>
      </c>
      <c r="N3480" t="n">
        <v>0</v>
      </c>
      <c r="O3480" t="n">
        <v>0</v>
      </c>
      <c r="P3480" t="n">
        <v>0</v>
      </c>
      <c r="Q3480" t="n">
        <v>0</v>
      </c>
      <c r="R3480" t="n">
        <v>0</v>
      </c>
      <c r="S3480" t="n">
        <v>0</v>
      </c>
      <c r="T3480" t="n">
        <v>0</v>
      </c>
      <c r="U3480" t="n">
        <v>0</v>
      </c>
      <c r="V3480" s="2" t="inlineStr"/>
    </row>
    <row r="3481" ht="15" customHeight="1">
      <c r="A3481" t="inlineStr">
        <is>
          <t>A 17527-2024</t>
        </is>
      </c>
      <c r="B3481" t="inlineStr">
        <is>
          <t>avverkningsanmälan</t>
        </is>
      </c>
      <c r="C3481" t="inlineStr">
        <is>
          <t>Föryngringsavverkning</t>
        </is>
      </c>
      <c r="D3481" s="1" t="n">
        <v>45415</v>
      </c>
      <c r="E3481" s="1" t="n">
        <v>46323</v>
      </c>
      <c r="F3481" t="inlineStr">
        <is>
          <t>KALMAR LÄN</t>
        </is>
      </c>
      <c r="G3481" t="inlineStr">
        <is>
          <t>EMMABODA</t>
        </is>
      </c>
      <c r="I3481" t="n">
        <v>2.2</v>
      </c>
      <c r="J3481" t="n">
        <v>0</v>
      </c>
      <c r="K3481" t="n">
        <v>0</v>
      </c>
      <c r="L3481" t="n">
        <v>0</v>
      </c>
      <c r="M3481" t="n">
        <v>0</v>
      </c>
      <c r="N3481" t="n">
        <v>0</v>
      </c>
      <c r="O3481" t="n">
        <v>0</v>
      </c>
      <c r="P3481" t="n">
        <v>0</v>
      </c>
      <c r="Q3481" t="n">
        <v>0</v>
      </c>
      <c r="R3481" t="n">
        <v>0</v>
      </c>
      <c r="S3481" t="n">
        <v>0</v>
      </c>
      <c r="T3481" t="n">
        <v>0</v>
      </c>
      <c r="U3481" t="n">
        <v>0</v>
      </c>
      <c r="V3481" s="2" t="inlineStr"/>
    </row>
    <row r="3482" ht="15" customHeight="1">
      <c r="A3482" t="inlineStr">
        <is>
          <t>A 48035-2024</t>
        </is>
      </c>
      <c r="B3482" t="inlineStr">
        <is>
          <t>avverkningsanmälan</t>
        </is>
      </c>
      <c r="C3482" t="inlineStr">
        <is>
          <t>Föryngringsavverkning</t>
        </is>
      </c>
      <c r="D3482" s="1" t="n">
        <v>45589</v>
      </c>
      <c r="E3482" s="1" t="n">
        <v>46323</v>
      </c>
      <c r="F3482" t="inlineStr">
        <is>
          <t>KALMAR LÄN</t>
        </is>
      </c>
      <c r="G3482" t="inlineStr">
        <is>
          <t>VÄSTERVIK</t>
        </is>
      </c>
      <c r="I3482" t="n">
        <v>2.1</v>
      </c>
      <c r="J3482" t="n">
        <v>0</v>
      </c>
      <c r="K3482" t="n">
        <v>0</v>
      </c>
      <c r="L3482" t="n">
        <v>0</v>
      </c>
      <c r="M3482" t="n">
        <v>0</v>
      </c>
      <c r="N3482" t="n">
        <v>0</v>
      </c>
      <c r="O3482" t="n">
        <v>0</v>
      </c>
      <c r="P3482" t="n">
        <v>0</v>
      </c>
      <c r="Q3482" t="n">
        <v>0</v>
      </c>
      <c r="R3482" t="n">
        <v>0</v>
      </c>
      <c r="S3482" t="n">
        <v>0</v>
      </c>
      <c r="T3482" t="n">
        <v>0</v>
      </c>
      <c r="U3482" t="n">
        <v>0</v>
      </c>
      <c r="V3482" s="2" t="inlineStr"/>
    </row>
    <row r="3483" ht="15" customHeight="1">
      <c r="A3483" t="inlineStr">
        <is>
          <t>A 55557-2025</t>
        </is>
      </c>
      <c r="B3483" t="inlineStr">
        <is>
          <t>avverkningsanmälan</t>
        </is>
      </c>
      <c r="C3483" t="inlineStr">
        <is>
          <t>Föryngringsavverkning</t>
        </is>
      </c>
      <c r="D3483" s="1" t="n">
        <v>45971</v>
      </c>
      <c r="E3483" s="1" t="n">
        <v>46323</v>
      </c>
      <c r="F3483" t="inlineStr">
        <is>
          <t>KALMAR LÄN</t>
        </is>
      </c>
      <c r="G3483" t="inlineStr">
        <is>
          <t>VÄSTERVIK</t>
        </is>
      </c>
      <c r="H3483" t="inlineStr">
        <is>
          <t>Holmen skog AB</t>
        </is>
      </c>
      <c r="I3483" t="n">
        <v>0.9</v>
      </c>
      <c r="J3483" t="n">
        <v>0</v>
      </c>
      <c r="K3483" t="n">
        <v>0</v>
      </c>
      <c r="L3483" t="n">
        <v>0</v>
      </c>
      <c r="M3483" t="n">
        <v>0</v>
      </c>
      <c r="N3483" t="n">
        <v>0</v>
      </c>
      <c r="O3483" t="n">
        <v>0</v>
      </c>
      <c r="P3483" t="n">
        <v>0</v>
      </c>
      <c r="Q3483" t="n">
        <v>0</v>
      </c>
      <c r="R3483" t="n">
        <v>0</v>
      </c>
      <c r="S3483" t="n">
        <v>0</v>
      </c>
      <c r="T3483" t="n">
        <v>0</v>
      </c>
      <c r="U3483" t="n">
        <v>0</v>
      </c>
      <c r="V3483" s="2" t="inlineStr"/>
    </row>
    <row r="3484" ht="15" customHeight="1">
      <c r="A3484" t="inlineStr">
        <is>
          <t>A 55603-2025</t>
        </is>
      </c>
      <c r="B3484" t="inlineStr">
        <is>
          <t>avverkningsanmälan</t>
        </is>
      </c>
      <c r="C3484" t="inlineStr">
        <is>
          <t>Föryngringsavverkning</t>
        </is>
      </c>
      <c r="D3484" s="1" t="n">
        <v>45971</v>
      </c>
      <c r="E3484" s="1" t="n">
        <v>46323</v>
      </c>
      <c r="F3484" t="inlineStr">
        <is>
          <t>KALMAR LÄN</t>
        </is>
      </c>
      <c r="G3484" t="inlineStr">
        <is>
          <t>VIMMERBY</t>
        </is>
      </c>
      <c r="I3484" t="n">
        <v>0.9</v>
      </c>
      <c r="J3484" t="n">
        <v>0</v>
      </c>
      <c r="K3484" t="n">
        <v>0</v>
      </c>
      <c r="L3484" t="n">
        <v>0</v>
      </c>
      <c r="M3484" t="n">
        <v>0</v>
      </c>
      <c r="N3484" t="n">
        <v>0</v>
      </c>
      <c r="O3484" t="n">
        <v>0</v>
      </c>
      <c r="P3484" t="n">
        <v>0</v>
      </c>
      <c r="Q3484" t="n">
        <v>0</v>
      </c>
      <c r="R3484" t="n">
        <v>0</v>
      </c>
      <c r="S3484" t="n">
        <v>0</v>
      </c>
      <c r="T3484" t="n">
        <v>0</v>
      </c>
      <c r="U3484" t="n">
        <v>0</v>
      </c>
      <c r="V3484" s="2" t="inlineStr"/>
    </row>
    <row r="3485" ht="15" customHeight="1">
      <c r="A3485" t="inlineStr">
        <is>
          <t>A 10116-2022</t>
        </is>
      </c>
      <c r="B3485" t="inlineStr">
        <is>
          <t>avverkningsanmälan</t>
        </is>
      </c>
      <c r="C3485" t="inlineStr">
        <is>
          <t>Föryngringsavverkning</t>
        </is>
      </c>
      <c r="D3485" s="1" t="n">
        <v>44621</v>
      </c>
      <c r="E3485" s="1" t="n">
        <v>46323</v>
      </c>
      <c r="F3485" t="inlineStr">
        <is>
          <t>KALMAR LÄN</t>
        </is>
      </c>
      <c r="G3485" t="inlineStr">
        <is>
          <t>VÄSTERVIK</t>
        </is>
      </c>
      <c r="I3485" t="n">
        <v>1.6</v>
      </c>
      <c r="J3485" t="n">
        <v>0</v>
      </c>
      <c r="K3485" t="n">
        <v>0</v>
      </c>
      <c r="L3485" t="n">
        <v>0</v>
      </c>
      <c r="M3485" t="n">
        <v>0</v>
      </c>
      <c r="N3485" t="n">
        <v>0</v>
      </c>
      <c r="O3485" t="n">
        <v>0</v>
      </c>
      <c r="P3485" t="n">
        <v>0</v>
      </c>
      <c r="Q3485" t="n">
        <v>0</v>
      </c>
      <c r="R3485" t="n">
        <v>0</v>
      </c>
      <c r="S3485" t="n">
        <v>0</v>
      </c>
      <c r="T3485" t="n">
        <v>0</v>
      </c>
      <c r="U3485" t="n">
        <v>0</v>
      </c>
      <c r="V3485" s="2" t="inlineStr"/>
    </row>
    <row r="3486" ht="15" customHeight="1">
      <c r="A3486" t="inlineStr">
        <is>
          <t>A 67543-2021</t>
        </is>
      </c>
      <c r="B3486" t="inlineStr">
        <is>
          <t>avverkningsanmälan</t>
        </is>
      </c>
      <c r="C3486" t="inlineStr">
        <is>
          <t>Föryngringsavverkning</t>
        </is>
      </c>
      <c r="D3486" s="1" t="n">
        <v>44524</v>
      </c>
      <c r="E3486" s="1" t="n">
        <v>46323</v>
      </c>
      <c r="F3486" t="inlineStr">
        <is>
          <t>KALMAR LÄN</t>
        </is>
      </c>
      <c r="G3486" t="inlineStr">
        <is>
          <t>EMMABODA</t>
        </is>
      </c>
      <c r="I3486" t="n">
        <v>4.7</v>
      </c>
      <c r="J3486" t="n">
        <v>0</v>
      </c>
      <c r="K3486" t="n">
        <v>0</v>
      </c>
      <c r="L3486" t="n">
        <v>0</v>
      </c>
      <c r="M3486" t="n">
        <v>0</v>
      </c>
      <c r="N3486" t="n">
        <v>0</v>
      </c>
      <c r="O3486" t="n">
        <v>0</v>
      </c>
      <c r="P3486" t="n">
        <v>0</v>
      </c>
      <c r="Q3486" t="n">
        <v>0</v>
      </c>
      <c r="R3486" t="n">
        <v>0</v>
      </c>
      <c r="S3486" t="n">
        <v>0</v>
      </c>
      <c r="T3486" t="n">
        <v>0</v>
      </c>
      <c r="U3486" t="n">
        <v>0</v>
      </c>
      <c r="V3486" s="2" t="inlineStr"/>
    </row>
    <row r="3487" ht="15" customHeight="1">
      <c r="A3487" t="inlineStr">
        <is>
          <t>A 54252-2024</t>
        </is>
      </c>
      <c r="B3487" t="inlineStr">
        <is>
          <t>avverkningsanmälan</t>
        </is>
      </c>
      <c r="C3487" t="inlineStr">
        <is>
          <t>Föryngringsavverkning</t>
        </is>
      </c>
      <c r="D3487" s="1" t="n">
        <v>45616</v>
      </c>
      <c r="E3487" s="1" t="n">
        <v>46323</v>
      </c>
      <c r="F3487" t="inlineStr">
        <is>
          <t>KALMAR LÄN</t>
        </is>
      </c>
      <c r="G3487" t="inlineStr">
        <is>
          <t>NYBRO</t>
        </is>
      </c>
      <c r="I3487" t="n">
        <v>2.2</v>
      </c>
      <c r="J3487" t="n">
        <v>0</v>
      </c>
      <c r="K3487" t="n">
        <v>0</v>
      </c>
      <c r="L3487" t="n">
        <v>0</v>
      </c>
      <c r="M3487" t="n">
        <v>0</v>
      </c>
      <c r="N3487" t="n">
        <v>0</v>
      </c>
      <c r="O3487" t="n">
        <v>0</v>
      </c>
      <c r="P3487" t="n">
        <v>0</v>
      </c>
      <c r="Q3487" t="n">
        <v>0</v>
      </c>
      <c r="R3487" t="n">
        <v>0</v>
      </c>
      <c r="S3487" t="n">
        <v>0</v>
      </c>
      <c r="T3487" t="n">
        <v>0</v>
      </c>
      <c r="U3487" t="n">
        <v>0</v>
      </c>
      <c r="V3487" s="2" t="inlineStr"/>
    </row>
    <row r="3488" ht="15" customHeight="1">
      <c r="A3488" t="inlineStr">
        <is>
          <t>A 11352-2024</t>
        </is>
      </c>
      <c r="B3488" t="inlineStr">
        <is>
          <t>avverkningsanmälan</t>
        </is>
      </c>
      <c r="C3488" t="inlineStr">
        <is>
          <t>Föryngringsavverkning</t>
        </is>
      </c>
      <c r="D3488" s="1" t="n">
        <v>45372</v>
      </c>
      <c r="E3488" s="1" t="n">
        <v>46323</v>
      </c>
      <c r="F3488" t="inlineStr">
        <is>
          <t>KALMAR LÄN</t>
        </is>
      </c>
      <c r="G3488" t="inlineStr">
        <is>
          <t>NYBRO</t>
        </is>
      </c>
      <c r="I3488" t="n">
        <v>1.5</v>
      </c>
      <c r="J3488" t="n">
        <v>0</v>
      </c>
      <c r="K3488" t="n">
        <v>0</v>
      </c>
      <c r="L3488" t="n">
        <v>0</v>
      </c>
      <c r="M3488" t="n">
        <v>0</v>
      </c>
      <c r="N3488" t="n">
        <v>0</v>
      </c>
      <c r="O3488" t="n">
        <v>0</v>
      </c>
      <c r="P3488" t="n">
        <v>0</v>
      </c>
      <c r="Q3488" t="n">
        <v>0</v>
      </c>
      <c r="R3488" t="n">
        <v>0</v>
      </c>
      <c r="S3488" t="n">
        <v>0</v>
      </c>
      <c r="T3488" t="n">
        <v>0</v>
      </c>
      <c r="U3488" t="n">
        <v>0</v>
      </c>
      <c r="V3488" s="2" t="inlineStr"/>
    </row>
    <row r="3489" ht="15" customHeight="1">
      <c r="A3489" t="inlineStr">
        <is>
          <t>A 17749-2023</t>
        </is>
      </c>
      <c r="B3489" t="inlineStr">
        <is>
          <t>avverkningsanmälan</t>
        </is>
      </c>
      <c r="C3489" t="inlineStr">
        <is>
          <t>Föryngringsavverkning</t>
        </is>
      </c>
      <c r="D3489" s="1" t="n">
        <v>45037</v>
      </c>
      <c r="E3489" s="1" t="n">
        <v>46323</v>
      </c>
      <c r="F3489" t="inlineStr">
        <is>
          <t>KALMAR LÄN</t>
        </is>
      </c>
      <c r="G3489" t="inlineStr">
        <is>
          <t>NYBRO</t>
        </is>
      </c>
      <c r="I3489" t="n">
        <v>1</v>
      </c>
      <c r="J3489" t="n">
        <v>0</v>
      </c>
      <c r="K3489" t="n">
        <v>0</v>
      </c>
      <c r="L3489" t="n">
        <v>0</v>
      </c>
      <c r="M3489" t="n">
        <v>0</v>
      </c>
      <c r="N3489" t="n">
        <v>0</v>
      </c>
      <c r="O3489" t="n">
        <v>0</v>
      </c>
      <c r="P3489" t="n">
        <v>0</v>
      </c>
      <c r="Q3489" t="n">
        <v>0</v>
      </c>
      <c r="R3489" t="n">
        <v>0</v>
      </c>
      <c r="S3489" t="n">
        <v>0</v>
      </c>
      <c r="T3489" t="n">
        <v>0</v>
      </c>
      <c r="U3489" t="n">
        <v>0</v>
      </c>
      <c r="V3489" s="2" t="inlineStr"/>
    </row>
    <row r="3490" ht="15" customHeight="1">
      <c r="A3490" t="inlineStr">
        <is>
          <t>A 11473-2024</t>
        </is>
      </c>
      <c r="B3490" t="inlineStr">
        <is>
          <t>avverkningsanmälan</t>
        </is>
      </c>
      <c r="C3490" t="inlineStr">
        <is>
          <t>Föryngringsavverkning</t>
        </is>
      </c>
      <c r="D3490" s="1" t="n">
        <v>45372</v>
      </c>
      <c r="E3490" s="1" t="n">
        <v>46323</v>
      </c>
      <c r="F3490" t="inlineStr">
        <is>
          <t>KALMAR LÄN</t>
        </is>
      </c>
      <c r="G3490" t="inlineStr">
        <is>
          <t>OSKARSHAMN</t>
        </is>
      </c>
      <c r="I3490" t="n">
        <v>3.4</v>
      </c>
      <c r="J3490" t="n">
        <v>0</v>
      </c>
      <c r="K3490" t="n">
        <v>0</v>
      </c>
      <c r="L3490" t="n">
        <v>0</v>
      </c>
      <c r="M3490" t="n">
        <v>0</v>
      </c>
      <c r="N3490" t="n">
        <v>0</v>
      </c>
      <c r="O3490" t="n">
        <v>0</v>
      </c>
      <c r="P3490" t="n">
        <v>0</v>
      </c>
      <c r="Q3490" t="n">
        <v>0</v>
      </c>
      <c r="R3490" t="n">
        <v>0</v>
      </c>
      <c r="S3490" t="n">
        <v>0</v>
      </c>
      <c r="T3490" t="n">
        <v>0</v>
      </c>
      <c r="U3490" t="n">
        <v>0</v>
      </c>
      <c r="V3490" s="2" t="inlineStr"/>
    </row>
    <row r="3491" ht="15" customHeight="1">
      <c r="A3491" t="inlineStr">
        <is>
          <t>A 33352-2022</t>
        </is>
      </c>
      <c r="B3491" t="inlineStr">
        <is>
          <t>avverkningsanmälan</t>
        </is>
      </c>
      <c r="C3491" t="inlineStr">
        <is>
          <t>Föryngringsavverkning</t>
        </is>
      </c>
      <c r="D3491" s="1" t="n">
        <v>44788</v>
      </c>
      <c r="E3491" s="1" t="n">
        <v>46323</v>
      </c>
      <c r="F3491" t="inlineStr">
        <is>
          <t>KALMAR LÄN</t>
        </is>
      </c>
      <c r="G3491" t="inlineStr">
        <is>
          <t>VIMMERBY</t>
        </is>
      </c>
      <c r="I3491" t="n">
        <v>0.8</v>
      </c>
      <c r="J3491" t="n">
        <v>0</v>
      </c>
      <c r="K3491" t="n">
        <v>0</v>
      </c>
      <c r="L3491" t="n">
        <v>0</v>
      </c>
      <c r="M3491" t="n">
        <v>0</v>
      </c>
      <c r="N3491" t="n">
        <v>0</v>
      </c>
      <c r="O3491" t="n">
        <v>0</v>
      </c>
      <c r="P3491" t="n">
        <v>0</v>
      </c>
      <c r="Q3491" t="n">
        <v>0</v>
      </c>
      <c r="R3491" t="n">
        <v>0</v>
      </c>
      <c r="S3491" t="n">
        <v>0</v>
      </c>
      <c r="T3491" t="n">
        <v>0</v>
      </c>
      <c r="U3491" t="n">
        <v>0</v>
      </c>
      <c r="V3491" s="2" t="inlineStr"/>
    </row>
    <row r="3492" ht="15" customHeight="1">
      <c r="A3492" t="inlineStr">
        <is>
          <t>A 10351-2025</t>
        </is>
      </c>
      <c r="B3492" t="inlineStr">
        <is>
          <t>avverkningsanmälan</t>
        </is>
      </c>
      <c r="C3492" t="inlineStr">
        <is>
          <t>Föryngringsavverkning</t>
        </is>
      </c>
      <c r="D3492" s="1" t="n">
        <v>45720</v>
      </c>
      <c r="E3492" s="1" t="n">
        <v>46323</v>
      </c>
      <c r="F3492" t="inlineStr">
        <is>
          <t>KALMAR LÄN</t>
        </is>
      </c>
      <c r="G3492" t="inlineStr">
        <is>
          <t>TORSÅS</t>
        </is>
      </c>
      <c r="I3492" t="n">
        <v>2.4</v>
      </c>
      <c r="J3492" t="n">
        <v>0</v>
      </c>
      <c r="K3492" t="n">
        <v>0</v>
      </c>
      <c r="L3492" t="n">
        <v>0</v>
      </c>
      <c r="M3492" t="n">
        <v>0</v>
      </c>
      <c r="N3492" t="n">
        <v>0</v>
      </c>
      <c r="O3492" t="n">
        <v>0</v>
      </c>
      <c r="P3492" t="n">
        <v>0</v>
      </c>
      <c r="Q3492" t="n">
        <v>0</v>
      </c>
      <c r="R3492" t="n">
        <v>0</v>
      </c>
      <c r="S3492" t="n">
        <v>0</v>
      </c>
      <c r="T3492" t="n">
        <v>0</v>
      </c>
      <c r="U3492" t="n">
        <v>0</v>
      </c>
      <c r="V3492" s="2" t="inlineStr"/>
    </row>
    <row r="3493" ht="15" customHeight="1">
      <c r="A3493" t="inlineStr">
        <is>
          <t>A 10365-2025</t>
        </is>
      </c>
      <c r="B3493" t="inlineStr">
        <is>
          <t>avverkningsanmälan</t>
        </is>
      </c>
      <c r="C3493" t="inlineStr">
        <is>
          <t>Föryngringsavverkning</t>
        </is>
      </c>
      <c r="D3493" s="1" t="n">
        <v>45720</v>
      </c>
      <c r="E3493" s="1" t="n">
        <v>46323</v>
      </c>
      <c r="F3493" t="inlineStr">
        <is>
          <t>KALMAR LÄN</t>
        </is>
      </c>
      <c r="G3493" t="inlineStr">
        <is>
          <t>KALMAR</t>
        </is>
      </c>
      <c r="I3493" t="n">
        <v>0.6</v>
      </c>
      <c r="J3493" t="n">
        <v>0</v>
      </c>
      <c r="K3493" t="n">
        <v>0</v>
      </c>
      <c r="L3493" t="n">
        <v>0</v>
      </c>
      <c r="M3493" t="n">
        <v>0</v>
      </c>
      <c r="N3493" t="n">
        <v>0</v>
      </c>
      <c r="O3493" t="n">
        <v>0</v>
      </c>
      <c r="P3493" t="n">
        <v>0</v>
      </c>
      <c r="Q3493" t="n">
        <v>0</v>
      </c>
      <c r="R3493" t="n">
        <v>0</v>
      </c>
      <c r="S3493" t="n">
        <v>0</v>
      </c>
      <c r="T3493" t="n">
        <v>0</v>
      </c>
      <c r="U3493" t="n">
        <v>0</v>
      </c>
      <c r="V3493" s="2" t="inlineStr"/>
    </row>
    <row r="3494" ht="15" customHeight="1">
      <c r="A3494" t="inlineStr">
        <is>
          <t>A 17753-2023</t>
        </is>
      </c>
      <c r="B3494" t="inlineStr">
        <is>
          <t>avverkningsanmälan</t>
        </is>
      </c>
      <c r="C3494" t="inlineStr">
        <is>
          <t>Föryngringsavverkning</t>
        </is>
      </c>
      <c r="D3494" s="1" t="n">
        <v>45037</v>
      </c>
      <c r="E3494" s="1" t="n">
        <v>46323</v>
      </c>
      <c r="F3494" t="inlineStr">
        <is>
          <t>KALMAR LÄN</t>
        </is>
      </c>
      <c r="G3494" t="inlineStr">
        <is>
          <t>MÖNSTERÅS</t>
        </is>
      </c>
      <c r="I3494" t="n">
        <v>3.3</v>
      </c>
      <c r="J3494" t="n">
        <v>0</v>
      </c>
      <c r="K3494" t="n">
        <v>0</v>
      </c>
      <c r="L3494" t="n">
        <v>0</v>
      </c>
      <c r="M3494" t="n">
        <v>0</v>
      </c>
      <c r="N3494" t="n">
        <v>0</v>
      </c>
      <c r="O3494" t="n">
        <v>0</v>
      </c>
      <c r="P3494" t="n">
        <v>0</v>
      </c>
      <c r="Q3494" t="n">
        <v>0</v>
      </c>
      <c r="R3494" t="n">
        <v>0</v>
      </c>
      <c r="S3494" t="n">
        <v>0</v>
      </c>
      <c r="T3494" t="n">
        <v>0</v>
      </c>
      <c r="U3494" t="n">
        <v>0</v>
      </c>
      <c r="V3494" s="2" t="inlineStr"/>
    </row>
    <row r="3495" ht="15" customHeight="1">
      <c r="A3495" t="inlineStr">
        <is>
          <t>A 28149-2023</t>
        </is>
      </c>
      <c r="B3495" t="inlineStr">
        <is>
          <t>avverkningsanmälan</t>
        </is>
      </c>
      <c r="C3495" t="inlineStr">
        <is>
          <t>Avverkning för annat ändamål</t>
        </is>
      </c>
      <c r="D3495" s="1" t="n">
        <v>45096</v>
      </c>
      <c r="E3495" s="1" t="n">
        <v>46323</v>
      </c>
      <c r="F3495" t="inlineStr">
        <is>
          <t>KALMAR LÄN</t>
        </is>
      </c>
      <c r="G3495" t="inlineStr">
        <is>
          <t>NYBRO</t>
        </is>
      </c>
      <c r="I3495" t="n">
        <v>1.1</v>
      </c>
      <c r="J3495" t="n">
        <v>0</v>
      </c>
      <c r="K3495" t="n">
        <v>0</v>
      </c>
      <c r="L3495" t="n">
        <v>0</v>
      </c>
      <c r="M3495" t="n">
        <v>0</v>
      </c>
      <c r="N3495" t="n">
        <v>0</v>
      </c>
      <c r="O3495" t="n">
        <v>0</v>
      </c>
      <c r="P3495" t="n">
        <v>0</v>
      </c>
      <c r="Q3495" t="n">
        <v>0</v>
      </c>
      <c r="R3495" t="n">
        <v>0</v>
      </c>
      <c r="S3495" t="n">
        <v>0</v>
      </c>
      <c r="T3495" t="n">
        <v>0</v>
      </c>
      <c r="U3495" t="n">
        <v>0</v>
      </c>
      <c r="V3495" s="2" t="inlineStr"/>
    </row>
    <row r="3496" ht="15" customHeight="1">
      <c r="A3496" t="inlineStr">
        <is>
          <t>A 55152-2025</t>
        </is>
      </c>
      <c r="B3496" t="inlineStr">
        <is>
          <t>avverkningsanmälan</t>
        </is>
      </c>
      <c r="C3496" t="inlineStr">
        <is>
          <t>Föryngringsavverkning</t>
        </is>
      </c>
      <c r="D3496" s="1" t="n">
        <v>45968</v>
      </c>
      <c r="E3496" s="1" t="n">
        <v>46323</v>
      </c>
      <c r="F3496" t="inlineStr">
        <is>
          <t>KALMAR LÄN</t>
        </is>
      </c>
      <c r="G3496" t="inlineStr">
        <is>
          <t>VÄSTERVIK</t>
        </is>
      </c>
      <c r="H3496" t="inlineStr">
        <is>
          <t>Holmen skog AB</t>
        </is>
      </c>
      <c r="I3496" t="n">
        <v>0.6</v>
      </c>
      <c r="J3496" t="n">
        <v>0</v>
      </c>
      <c r="K3496" t="n">
        <v>0</v>
      </c>
      <c r="L3496" t="n">
        <v>0</v>
      </c>
      <c r="M3496" t="n">
        <v>0</v>
      </c>
      <c r="N3496" t="n">
        <v>0</v>
      </c>
      <c r="O3496" t="n">
        <v>0</v>
      </c>
      <c r="P3496" t="n">
        <v>0</v>
      </c>
      <c r="Q3496" t="n">
        <v>0</v>
      </c>
      <c r="R3496" t="n">
        <v>0</v>
      </c>
      <c r="S3496" t="n">
        <v>0</v>
      </c>
      <c r="T3496" t="n">
        <v>0</v>
      </c>
      <c r="U3496" t="n">
        <v>0</v>
      </c>
      <c r="V3496" s="2" t="inlineStr"/>
    </row>
    <row r="3497" ht="15" customHeight="1">
      <c r="A3497" t="inlineStr">
        <is>
          <t>A 9700-2023</t>
        </is>
      </c>
      <c r="B3497" t="inlineStr">
        <is>
          <t>avverkningsanmälan</t>
        </is>
      </c>
      <c r="C3497" t="inlineStr">
        <is>
          <t>Föryngringsavverkning</t>
        </is>
      </c>
      <c r="D3497" s="1" t="n">
        <v>44984</v>
      </c>
      <c r="E3497" s="1" t="n">
        <v>46323</v>
      </c>
      <c r="F3497" t="inlineStr">
        <is>
          <t>KALMAR LÄN</t>
        </is>
      </c>
      <c r="G3497" t="inlineStr">
        <is>
          <t>HÖGSBY</t>
        </is>
      </c>
      <c r="I3497" t="n">
        <v>0.8</v>
      </c>
      <c r="J3497" t="n">
        <v>0</v>
      </c>
      <c r="K3497" t="n">
        <v>0</v>
      </c>
      <c r="L3497" t="n">
        <v>0</v>
      </c>
      <c r="M3497" t="n">
        <v>0</v>
      </c>
      <c r="N3497" t="n">
        <v>0</v>
      </c>
      <c r="O3497" t="n">
        <v>0</v>
      </c>
      <c r="P3497" t="n">
        <v>0</v>
      </c>
      <c r="Q3497" t="n">
        <v>0</v>
      </c>
      <c r="R3497" t="n">
        <v>0</v>
      </c>
      <c r="S3497" t="n">
        <v>0</v>
      </c>
      <c r="T3497" t="n">
        <v>0</v>
      </c>
      <c r="U3497" t="n">
        <v>0</v>
      </c>
      <c r="V3497" s="2" t="inlineStr"/>
    </row>
    <row r="3498" ht="15" customHeight="1">
      <c r="A3498" t="inlineStr">
        <is>
          <t>A 2536-2023</t>
        </is>
      </c>
      <c r="B3498" t="inlineStr">
        <is>
          <t>avverkningsanmälan</t>
        </is>
      </c>
      <c r="C3498" t="inlineStr">
        <is>
          <t>Föryngringsavverkning</t>
        </is>
      </c>
      <c r="D3498" s="1" t="n">
        <v>44943</v>
      </c>
      <c r="E3498" s="1" t="n">
        <v>46323</v>
      </c>
      <c r="F3498" t="inlineStr">
        <is>
          <t>KALMAR LÄN</t>
        </is>
      </c>
      <c r="G3498" t="inlineStr">
        <is>
          <t>VIMMERBY</t>
        </is>
      </c>
      <c r="I3498" t="n">
        <v>8.300000000000001</v>
      </c>
      <c r="J3498" t="n">
        <v>0</v>
      </c>
      <c r="K3498" t="n">
        <v>0</v>
      </c>
      <c r="L3498" t="n">
        <v>0</v>
      </c>
      <c r="M3498" t="n">
        <v>0</v>
      </c>
      <c r="N3498" t="n">
        <v>0</v>
      </c>
      <c r="O3498" t="n">
        <v>0</v>
      </c>
      <c r="P3498" t="n">
        <v>0</v>
      </c>
      <c r="Q3498" t="n">
        <v>0</v>
      </c>
      <c r="R3498" t="n">
        <v>0</v>
      </c>
      <c r="S3498" t="n">
        <v>0</v>
      </c>
      <c r="T3498" t="n">
        <v>0</v>
      </c>
      <c r="U3498" t="n">
        <v>0</v>
      </c>
      <c r="V3498" s="2" t="inlineStr"/>
    </row>
    <row r="3499" ht="15" customHeight="1">
      <c r="A3499" t="inlineStr">
        <is>
          <t>A 46234-2024</t>
        </is>
      </c>
      <c r="B3499" t="inlineStr">
        <is>
          <t>avverkningsanmälan</t>
        </is>
      </c>
      <c r="C3499" t="inlineStr">
        <is>
          <t>Föryngringsavverkning</t>
        </is>
      </c>
      <c r="D3499" s="1" t="n">
        <v>45581</v>
      </c>
      <c r="E3499" s="1" t="n">
        <v>46323</v>
      </c>
      <c r="F3499" t="inlineStr">
        <is>
          <t>KALMAR LÄN</t>
        </is>
      </c>
      <c r="G3499" t="inlineStr">
        <is>
          <t>VIMMERBY</t>
        </is>
      </c>
      <c r="I3499" t="n">
        <v>0.6</v>
      </c>
      <c r="J3499" t="n">
        <v>0</v>
      </c>
      <c r="K3499" t="n">
        <v>0</v>
      </c>
      <c r="L3499" t="n">
        <v>0</v>
      </c>
      <c r="M3499" t="n">
        <v>0</v>
      </c>
      <c r="N3499" t="n">
        <v>0</v>
      </c>
      <c r="O3499" t="n">
        <v>0</v>
      </c>
      <c r="P3499" t="n">
        <v>0</v>
      </c>
      <c r="Q3499" t="n">
        <v>0</v>
      </c>
      <c r="R3499" t="n">
        <v>0</v>
      </c>
      <c r="S3499" t="n">
        <v>0</v>
      </c>
      <c r="T3499" t="n">
        <v>0</v>
      </c>
      <c r="U3499" t="n">
        <v>0</v>
      </c>
      <c r="V3499" s="2" t="inlineStr"/>
    </row>
    <row r="3500" ht="15" customHeight="1">
      <c r="A3500" t="inlineStr">
        <is>
          <t>A 61285-2022</t>
        </is>
      </c>
      <c r="B3500" t="inlineStr">
        <is>
          <t>avverkningsanmälan</t>
        </is>
      </c>
      <c r="C3500" t="inlineStr">
        <is>
          <t>Föryngringsavverkning</t>
        </is>
      </c>
      <c r="D3500" s="1" t="n">
        <v>44915</v>
      </c>
      <c r="E3500" s="1" t="n">
        <v>46323</v>
      </c>
      <c r="F3500" t="inlineStr">
        <is>
          <t>KALMAR LÄN</t>
        </is>
      </c>
      <c r="G3500" t="inlineStr">
        <is>
          <t>KALMAR</t>
        </is>
      </c>
      <c r="I3500" t="n">
        <v>0.8</v>
      </c>
      <c r="J3500" t="n">
        <v>0</v>
      </c>
      <c r="K3500" t="n">
        <v>0</v>
      </c>
      <c r="L3500" t="n">
        <v>0</v>
      </c>
      <c r="M3500" t="n">
        <v>0</v>
      </c>
      <c r="N3500" t="n">
        <v>0</v>
      </c>
      <c r="O3500" t="n">
        <v>0</v>
      </c>
      <c r="P3500" t="n">
        <v>0</v>
      </c>
      <c r="Q3500" t="n">
        <v>0</v>
      </c>
      <c r="R3500" t="n">
        <v>0</v>
      </c>
      <c r="S3500" t="n">
        <v>0</v>
      </c>
      <c r="T3500" t="n">
        <v>0</v>
      </c>
      <c r="U3500" t="n">
        <v>0</v>
      </c>
      <c r="V3500" s="2" t="inlineStr"/>
    </row>
    <row r="3501" ht="15" customHeight="1">
      <c r="A3501" t="inlineStr">
        <is>
          <t>A 60401-2024</t>
        </is>
      </c>
      <c r="B3501" t="inlineStr">
        <is>
          <t>avverkningsanmälan</t>
        </is>
      </c>
      <c r="C3501" t="inlineStr">
        <is>
          <t>Föryngringsavverkning</t>
        </is>
      </c>
      <c r="D3501" s="1" t="n">
        <v>45643</v>
      </c>
      <c r="E3501" s="1" t="n">
        <v>46323</v>
      </c>
      <c r="F3501" t="inlineStr">
        <is>
          <t>KALMAR LÄN</t>
        </is>
      </c>
      <c r="G3501" t="inlineStr">
        <is>
          <t>OSKARSHAMN</t>
        </is>
      </c>
      <c r="I3501" t="n">
        <v>2.8</v>
      </c>
      <c r="J3501" t="n">
        <v>0</v>
      </c>
      <c r="K3501" t="n">
        <v>0</v>
      </c>
      <c r="L3501" t="n">
        <v>0</v>
      </c>
      <c r="M3501" t="n">
        <v>0</v>
      </c>
      <c r="N3501" t="n">
        <v>0</v>
      </c>
      <c r="O3501" t="n">
        <v>0</v>
      </c>
      <c r="P3501" t="n">
        <v>0</v>
      </c>
      <c r="Q3501" t="n">
        <v>0</v>
      </c>
      <c r="R3501" t="n">
        <v>0</v>
      </c>
      <c r="S3501" t="n">
        <v>0</v>
      </c>
      <c r="T3501" t="n">
        <v>0</v>
      </c>
      <c r="U3501" t="n">
        <v>0</v>
      </c>
      <c r="V3501" s="2" t="inlineStr"/>
    </row>
    <row r="3502" ht="15" customHeight="1">
      <c r="A3502" t="inlineStr">
        <is>
          <t>A 53835-2024</t>
        </is>
      </c>
      <c r="B3502" t="inlineStr">
        <is>
          <t>avverkningsanmälan</t>
        </is>
      </c>
      <c r="C3502" t="inlineStr">
        <is>
          <t>Föryngringsavverkning</t>
        </is>
      </c>
      <c r="D3502" s="1" t="n">
        <v>45615</v>
      </c>
      <c r="E3502" s="1" t="n">
        <v>46323</v>
      </c>
      <c r="F3502" t="inlineStr">
        <is>
          <t>KALMAR LÄN</t>
        </is>
      </c>
      <c r="G3502" t="inlineStr">
        <is>
          <t>HULTSFRED</t>
        </is>
      </c>
      <c r="I3502" t="n">
        <v>1.5</v>
      </c>
      <c r="J3502" t="n">
        <v>0</v>
      </c>
      <c r="K3502" t="n">
        <v>0</v>
      </c>
      <c r="L3502" t="n">
        <v>0</v>
      </c>
      <c r="M3502" t="n">
        <v>0</v>
      </c>
      <c r="N3502" t="n">
        <v>0</v>
      </c>
      <c r="O3502" t="n">
        <v>0</v>
      </c>
      <c r="P3502" t="n">
        <v>0</v>
      </c>
      <c r="Q3502" t="n">
        <v>0</v>
      </c>
      <c r="R3502" t="n">
        <v>0</v>
      </c>
      <c r="S3502" t="n">
        <v>0</v>
      </c>
      <c r="T3502" t="n">
        <v>0</v>
      </c>
      <c r="U3502" t="n">
        <v>0</v>
      </c>
      <c r="V3502" s="2" t="inlineStr"/>
    </row>
    <row r="3503" ht="15" customHeight="1">
      <c r="A3503" t="inlineStr">
        <is>
          <t>A 2801-2023</t>
        </is>
      </c>
      <c r="B3503" t="inlineStr">
        <is>
          <t>avverkningsanmälan</t>
        </is>
      </c>
      <c r="C3503" t="inlineStr">
        <is>
          <t>Föryngringsavverkning</t>
        </is>
      </c>
      <c r="D3503" s="1" t="n">
        <v>44944</v>
      </c>
      <c r="E3503" s="1" t="n">
        <v>46323</v>
      </c>
      <c r="F3503" t="inlineStr">
        <is>
          <t>KALMAR LÄN</t>
        </is>
      </c>
      <c r="G3503" t="inlineStr">
        <is>
          <t>VIMMERBY</t>
        </is>
      </c>
      <c r="I3503" t="n">
        <v>0.6</v>
      </c>
      <c r="J3503" t="n">
        <v>0</v>
      </c>
      <c r="K3503" t="n">
        <v>0</v>
      </c>
      <c r="L3503" t="n">
        <v>0</v>
      </c>
      <c r="M3503" t="n">
        <v>0</v>
      </c>
      <c r="N3503" t="n">
        <v>0</v>
      </c>
      <c r="O3503" t="n">
        <v>0</v>
      </c>
      <c r="P3503" t="n">
        <v>0</v>
      </c>
      <c r="Q3503" t="n">
        <v>0</v>
      </c>
      <c r="R3503" t="n">
        <v>0</v>
      </c>
      <c r="S3503" t="n">
        <v>0</v>
      </c>
      <c r="T3503" t="n">
        <v>0</v>
      </c>
      <c r="U3503" t="n">
        <v>0</v>
      </c>
      <c r="V3503" s="2" t="inlineStr"/>
    </row>
    <row r="3504" ht="15" customHeight="1">
      <c r="A3504" t="inlineStr">
        <is>
          <t>A 39053-2024</t>
        </is>
      </c>
      <c r="B3504" t="inlineStr">
        <is>
          <t>avverkningsanmälan</t>
        </is>
      </c>
      <c r="C3504" t="inlineStr">
        <is>
          <t>Föryngringsavverkning</t>
        </is>
      </c>
      <c r="D3504" s="1" t="n">
        <v>45548</v>
      </c>
      <c r="E3504" s="1" t="n">
        <v>46323</v>
      </c>
      <c r="F3504" t="inlineStr">
        <is>
          <t>KALMAR LÄN</t>
        </is>
      </c>
      <c r="G3504" t="inlineStr">
        <is>
          <t>VIMMERBY</t>
        </is>
      </c>
      <c r="I3504" t="n">
        <v>5</v>
      </c>
      <c r="J3504" t="n">
        <v>0</v>
      </c>
      <c r="K3504" t="n">
        <v>0</v>
      </c>
      <c r="L3504" t="n">
        <v>0</v>
      </c>
      <c r="M3504" t="n">
        <v>0</v>
      </c>
      <c r="N3504" t="n">
        <v>0</v>
      </c>
      <c r="O3504" t="n">
        <v>0</v>
      </c>
      <c r="P3504" t="n">
        <v>0</v>
      </c>
      <c r="Q3504" t="n">
        <v>0</v>
      </c>
      <c r="R3504" t="n">
        <v>0</v>
      </c>
      <c r="S3504" t="n">
        <v>0</v>
      </c>
      <c r="T3504" t="n">
        <v>0</v>
      </c>
      <c r="U3504" t="n">
        <v>0</v>
      </c>
      <c r="V3504" s="2" t="inlineStr"/>
    </row>
    <row r="3505" ht="15" customHeight="1">
      <c r="A3505" t="inlineStr">
        <is>
          <t>A 49452-2023</t>
        </is>
      </c>
      <c r="B3505" t="inlineStr">
        <is>
          <t>avverkningsanmälan</t>
        </is>
      </c>
      <c r="C3505" t="inlineStr">
        <is>
          <t>Föryngringsavverkning</t>
        </is>
      </c>
      <c r="D3505" s="1" t="n">
        <v>45211</v>
      </c>
      <c r="E3505" s="1" t="n">
        <v>46323</v>
      </c>
      <c r="F3505" t="inlineStr">
        <is>
          <t>KALMAR LÄN</t>
        </is>
      </c>
      <c r="G3505" t="inlineStr">
        <is>
          <t>VÄSTERVIK</t>
        </is>
      </c>
      <c r="H3505" t="inlineStr">
        <is>
          <t>Övriga Aktiebolag</t>
        </is>
      </c>
      <c r="I3505" t="n">
        <v>2.2</v>
      </c>
      <c r="J3505" t="n">
        <v>0</v>
      </c>
      <c r="K3505" t="n">
        <v>0</v>
      </c>
      <c r="L3505" t="n">
        <v>0</v>
      </c>
      <c r="M3505" t="n">
        <v>0</v>
      </c>
      <c r="N3505" t="n">
        <v>0</v>
      </c>
      <c r="O3505" t="n">
        <v>0</v>
      </c>
      <c r="P3505" t="n">
        <v>0</v>
      </c>
      <c r="Q3505" t="n">
        <v>0</v>
      </c>
      <c r="R3505" t="n">
        <v>0</v>
      </c>
      <c r="S3505" t="n">
        <v>0</v>
      </c>
      <c r="T3505" t="n">
        <v>0</v>
      </c>
      <c r="U3505" t="n">
        <v>0</v>
      </c>
      <c r="V3505" s="2" t="inlineStr"/>
    </row>
    <row r="3506" ht="15" customHeight="1">
      <c r="A3506" t="inlineStr">
        <is>
          <t>A 8688-2023</t>
        </is>
      </c>
      <c r="B3506" t="inlineStr">
        <is>
          <t>avverkningsanmälan</t>
        </is>
      </c>
      <c r="C3506" t="inlineStr">
        <is>
          <t>Föryngringsavverkning</t>
        </is>
      </c>
      <c r="D3506" s="1" t="n">
        <v>44978</v>
      </c>
      <c r="E3506" s="1" t="n">
        <v>46323</v>
      </c>
      <c r="F3506" t="inlineStr">
        <is>
          <t>KALMAR LÄN</t>
        </is>
      </c>
      <c r="G3506" t="inlineStr">
        <is>
          <t>EMMABODA</t>
        </is>
      </c>
      <c r="I3506" t="n">
        <v>0.6</v>
      </c>
      <c r="J3506" t="n">
        <v>0</v>
      </c>
      <c r="K3506" t="n">
        <v>0</v>
      </c>
      <c r="L3506" t="n">
        <v>0</v>
      </c>
      <c r="M3506" t="n">
        <v>0</v>
      </c>
      <c r="N3506" t="n">
        <v>0</v>
      </c>
      <c r="O3506" t="n">
        <v>0</v>
      </c>
      <c r="P3506" t="n">
        <v>0</v>
      </c>
      <c r="Q3506" t="n">
        <v>0</v>
      </c>
      <c r="R3506" t="n">
        <v>0</v>
      </c>
      <c r="S3506" t="n">
        <v>0</v>
      </c>
      <c r="T3506" t="n">
        <v>0</v>
      </c>
      <c r="U3506" t="n">
        <v>0</v>
      </c>
      <c r="V3506" s="2" t="inlineStr"/>
    </row>
    <row r="3507" ht="15" customHeight="1">
      <c r="A3507" t="inlineStr">
        <is>
          <t>A 1965-2023</t>
        </is>
      </c>
      <c r="B3507" t="inlineStr">
        <is>
          <t>avverkningsanmälan</t>
        </is>
      </c>
      <c r="C3507" t="inlineStr">
        <is>
          <t>Föryngringsavverkning</t>
        </is>
      </c>
      <c r="D3507" s="1" t="n">
        <v>44939</v>
      </c>
      <c r="E3507" s="1" t="n">
        <v>46323</v>
      </c>
      <c r="F3507" t="inlineStr">
        <is>
          <t>KALMAR LÄN</t>
        </is>
      </c>
      <c r="G3507" t="inlineStr">
        <is>
          <t>NYBRO</t>
        </is>
      </c>
      <c r="I3507" t="n">
        <v>1.7</v>
      </c>
      <c r="J3507" t="n">
        <v>0</v>
      </c>
      <c r="K3507" t="n">
        <v>0</v>
      </c>
      <c r="L3507" t="n">
        <v>0</v>
      </c>
      <c r="M3507" t="n">
        <v>0</v>
      </c>
      <c r="N3507" t="n">
        <v>0</v>
      </c>
      <c r="O3507" t="n">
        <v>0</v>
      </c>
      <c r="P3507" t="n">
        <v>0</v>
      </c>
      <c r="Q3507" t="n">
        <v>0</v>
      </c>
      <c r="R3507" t="n">
        <v>0</v>
      </c>
      <c r="S3507" t="n">
        <v>0</v>
      </c>
      <c r="T3507" t="n">
        <v>0</v>
      </c>
      <c r="U3507" t="n">
        <v>0</v>
      </c>
      <c r="V3507" s="2" t="inlineStr"/>
    </row>
    <row r="3508" ht="15" customHeight="1">
      <c r="A3508" t="inlineStr">
        <is>
          <t>A 42229-2023</t>
        </is>
      </c>
      <c r="B3508" t="inlineStr">
        <is>
          <t>avverkningsanmälan</t>
        </is>
      </c>
      <c r="C3508" t="inlineStr">
        <is>
          <t>Föryngringsavverkning</t>
        </is>
      </c>
      <c r="D3508" s="1" t="n">
        <v>45180</v>
      </c>
      <c r="E3508" s="1" t="n">
        <v>46323</v>
      </c>
      <c r="F3508" t="inlineStr">
        <is>
          <t>KALMAR LÄN</t>
        </is>
      </c>
      <c r="G3508" t="inlineStr">
        <is>
          <t>HULTSFRED</t>
        </is>
      </c>
      <c r="I3508" t="n">
        <v>1.4</v>
      </c>
      <c r="J3508" t="n">
        <v>0</v>
      </c>
      <c r="K3508" t="n">
        <v>0</v>
      </c>
      <c r="L3508" t="n">
        <v>0</v>
      </c>
      <c r="M3508" t="n">
        <v>0</v>
      </c>
      <c r="N3508" t="n">
        <v>0</v>
      </c>
      <c r="O3508" t="n">
        <v>0</v>
      </c>
      <c r="P3508" t="n">
        <v>0</v>
      </c>
      <c r="Q3508" t="n">
        <v>0</v>
      </c>
      <c r="R3508" t="n">
        <v>0</v>
      </c>
      <c r="S3508" t="n">
        <v>0</v>
      </c>
      <c r="T3508" t="n">
        <v>0</v>
      </c>
      <c r="U3508" t="n">
        <v>0</v>
      </c>
      <c r="V3508" s="2" t="inlineStr"/>
    </row>
    <row r="3509" ht="15" customHeight="1">
      <c r="A3509" t="inlineStr">
        <is>
          <t>A 23486-2023</t>
        </is>
      </c>
      <c r="B3509" t="inlineStr">
        <is>
          <t>avverkningsanmälan</t>
        </is>
      </c>
      <c r="C3509" t="inlineStr">
        <is>
          <t>Föryngringsavverkning</t>
        </is>
      </c>
      <c r="D3509" s="1" t="n">
        <v>45076</v>
      </c>
      <c r="E3509" s="1" t="n">
        <v>46323</v>
      </c>
      <c r="F3509" t="inlineStr">
        <is>
          <t>KALMAR LÄN</t>
        </is>
      </c>
      <c r="G3509" t="inlineStr">
        <is>
          <t>KALMAR</t>
        </is>
      </c>
      <c r="H3509" t="inlineStr">
        <is>
          <t>Kommuner</t>
        </is>
      </c>
      <c r="I3509" t="n">
        <v>1.1</v>
      </c>
      <c r="J3509" t="n">
        <v>0</v>
      </c>
      <c r="K3509" t="n">
        <v>0</v>
      </c>
      <c r="L3509" t="n">
        <v>0</v>
      </c>
      <c r="M3509" t="n">
        <v>0</v>
      </c>
      <c r="N3509" t="n">
        <v>0</v>
      </c>
      <c r="O3509" t="n">
        <v>0</v>
      </c>
      <c r="P3509" t="n">
        <v>0</v>
      </c>
      <c r="Q3509" t="n">
        <v>0</v>
      </c>
      <c r="R3509" t="n">
        <v>0</v>
      </c>
      <c r="S3509" t="n">
        <v>0</v>
      </c>
      <c r="T3509" t="n">
        <v>0</v>
      </c>
      <c r="U3509" t="n">
        <v>0</v>
      </c>
      <c r="V3509" s="2" t="inlineStr"/>
    </row>
    <row r="3510" ht="15" customHeight="1">
      <c r="A3510" t="inlineStr">
        <is>
          <t>A 55971-2025</t>
        </is>
      </c>
      <c r="B3510" t="inlineStr">
        <is>
          <t>avverkningsanmälan</t>
        </is>
      </c>
      <c r="C3510" t="inlineStr">
        <is>
          <t>Föryngringsavverkning</t>
        </is>
      </c>
      <c r="D3510" s="1" t="n">
        <v>45973</v>
      </c>
      <c r="E3510" s="1" t="n">
        <v>46323</v>
      </c>
      <c r="F3510" t="inlineStr">
        <is>
          <t>KALMAR LÄN</t>
        </is>
      </c>
      <c r="G3510" t="inlineStr">
        <is>
          <t>HULTSFRED</t>
        </is>
      </c>
      <c r="I3510" t="n">
        <v>4.9</v>
      </c>
      <c r="J3510" t="n">
        <v>0</v>
      </c>
      <c r="K3510" t="n">
        <v>0</v>
      </c>
      <c r="L3510" t="n">
        <v>0</v>
      </c>
      <c r="M3510" t="n">
        <v>0</v>
      </c>
      <c r="N3510" t="n">
        <v>0</v>
      </c>
      <c r="O3510" t="n">
        <v>0</v>
      </c>
      <c r="P3510" t="n">
        <v>0</v>
      </c>
      <c r="Q3510" t="n">
        <v>0</v>
      </c>
      <c r="R3510" t="n">
        <v>0</v>
      </c>
      <c r="S3510" t="n">
        <v>0</v>
      </c>
      <c r="T3510" t="n">
        <v>0</v>
      </c>
      <c r="U3510" t="n">
        <v>0</v>
      </c>
      <c r="V3510" s="2" t="inlineStr"/>
    </row>
    <row r="3511" ht="15" customHeight="1">
      <c r="A3511" t="inlineStr">
        <is>
          <t>A 53614-2023</t>
        </is>
      </c>
      <c r="B3511" t="inlineStr">
        <is>
          <t>avverkningsanmälan</t>
        </is>
      </c>
      <c r="C3511" t="inlineStr">
        <is>
          <t>Föryngringsavverkning</t>
        </is>
      </c>
      <c r="D3511" s="1" t="n">
        <v>45223</v>
      </c>
      <c r="E3511" s="1" t="n">
        <v>46323</v>
      </c>
      <c r="F3511" t="inlineStr">
        <is>
          <t>KALMAR LÄN</t>
        </is>
      </c>
      <c r="G3511" t="inlineStr">
        <is>
          <t>NYBRO</t>
        </is>
      </c>
      <c r="I3511" t="n">
        <v>1.8</v>
      </c>
      <c r="J3511" t="n">
        <v>0</v>
      </c>
      <c r="K3511" t="n">
        <v>0</v>
      </c>
      <c r="L3511" t="n">
        <v>0</v>
      </c>
      <c r="M3511" t="n">
        <v>0</v>
      </c>
      <c r="N3511" t="n">
        <v>0</v>
      </c>
      <c r="O3511" t="n">
        <v>0</v>
      </c>
      <c r="P3511" t="n">
        <v>0</v>
      </c>
      <c r="Q3511" t="n">
        <v>0</v>
      </c>
      <c r="R3511" t="n">
        <v>0</v>
      </c>
      <c r="S3511" t="n">
        <v>0</v>
      </c>
      <c r="T3511" t="n">
        <v>0</v>
      </c>
      <c r="U3511" t="n">
        <v>0</v>
      </c>
      <c r="V3511" s="2" t="inlineStr"/>
    </row>
    <row r="3512" ht="15" customHeight="1">
      <c r="A3512" t="inlineStr">
        <is>
          <t>A 53650-2023</t>
        </is>
      </c>
      <c r="B3512" t="inlineStr">
        <is>
          <t>avverkningsanmälan</t>
        </is>
      </c>
      <c r="C3512" t="inlineStr">
        <is>
          <t>Föryngringsavverkning</t>
        </is>
      </c>
      <c r="D3512" s="1" t="n">
        <v>45230</v>
      </c>
      <c r="E3512" s="1" t="n">
        <v>46323</v>
      </c>
      <c r="F3512" t="inlineStr">
        <is>
          <t>KALMAR LÄN</t>
        </is>
      </c>
      <c r="G3512" t="inlineStr">
        <is>
          <t>NYBRO</t>
        </is>
      </c>
      <c r="I3512" t="n">
        <v>1</v>
      </c>
      <c r="J3512" t="n">
        <v>0</v>
      </c>
      <c r="K3512" t="n">
        <v>0</v>
      </c>
      <c r="L3512" t="n">
        <v>0</v>
      </c>
      <c r="M3512" t="n">
        <v>0</v>
      </c>
      <c r="N3512" t="n">
        <v>0</v>
      </c>
      <c r="O3512" t="n">
        <v>0</v>
      </c>
      <c r="P3512" t="n">
        <v>0</v>
      </c>
      <c r="Q3512" t="n">
        <v>0</v>
      </c>
      <c r="R3512" t="n">
        <v>0</v>
      </c>
      <c r="S3512" t="n">
        <v>0</v>
      </c>
      <c r="T3512" t="n">
        <v>0</v>
      </c>
      <c r="U3512" t="n">
        <v>0</v>
      </c>
      <c r="V3512" s="2" t="inlineStr"/>
    </row>
    <row r="3513" ht="15" customHeight="1">
      <c r="A3513" t="inlineStr">
        <is>
          <t>A 8112-2025</t>
        </is>
      </c>
      <c r="B3513" t="inlineStr">
        <is>
          <t>avverkningsanmälan</t>
        </is>
      </c>
      <c r="C3513" t="inlineStr">
        <is>
          <t>Föryngringsavverkning</t>
        </is>
      </c>
      <c r="D3513" s="1" t="n">
        <v>45707</v>
      </c>
      <c r="E3513" s="1" t="n">
        <v>46323</v>
      </c>
      <c r="F3513" t="inlineStr">
        <is>
          <t>KALMAR LÄN</t>
        </is>
      </c>
      <c r="G3513" t="inlineStr">
        <is>
          <t>EMMABODA</t>
        </is>
      </c>
      <c r="I3513" t="n">
        <v>5.5</v>
      </c>
      <c r="J3513" t="n">
        <v>0</v>
      </c>
      <c r="K3513" t="n">
        <v>0</v>
      </c>
      <c r="L3513" t="n">
        <v>0</v>
      </c>
      <c r="M3513" t="n">
        <v>0</v>
      </c>
      <c r="N3513" t="n">
        <v>0</v>
      </c>
      <c r="O3513" t="n">
        <v>0</v>
      </c>
      <c r="P3513" t="n">
        <v>0</v>
      </c>
      <c r="Q3513" t="n">
        <v>0</v>
      </c>
      <c r="R3513" t="n">
        <v>0</v>
      </c>
      <c r="S3513" t="n">
        <v>0</v>
      </c>
      <c r="T3513" t="n">
        <v>0</v>
      </c>
      <c r="U3513" t="n">
        <v>0</v>
      </c>
      <c r="V3513" s="2" t="inlineStr"/>
    </row>
    <row r="3514" ht="15" customHeight="1">
      <c r="A3514" t="inlineStr">
        <is>
          <t>A 27513-2024</t>
        </is>
      </c>
      <c r="B3514" t="inlineStr">
        <is>
          <t>avverkningsanmälan</t>
        </is>
      </c>
      <c r="C3514" t="inlineStr">
        <is>
          <t>Föryngringsavverkning</t>
        </is>
      </c>
      <c r="D3514" s="1" t="n">
        <v>45474</v>
      </c>
      <c r="E3514" s="1" t="n">
        <v>46323</v>
      </c>
      <c r="F3514" t="inlineStr">
        <is>
          <t>KALMAR LÄN</t>
        </is>
      </c>
      <c r="G3514" t="inlineStr">
        <is>
          <t>NYBRO</t>
        </is>
      </c>
      <c r="I3514" t="n">
        <v>0.5</v>
      </c>
      <c r="J3514" t="n">
        <v>0</v>
      </c>
      <c r="K3514" t="n">
        <v>0</v>
      </c>
      <c r="L3514" t="n">
        <v>0</v>
      </c>
      <c r="M3514" t="n">
        <v>0</v>
      </c>
      <c r="N3514" t="n">
        <v>0</v>
      </c>
      <c r="O3514" t="n">
        <v>0</v>
      </c>
      <c r="P3514" t="n">
        <v>0</v>
      </c>
      <c r="Q3514" t="n">
        <v>0</v>
      </c>
      <c r="R3514" t="n">
        <v>0</v>
      </c>
      <c r="S3514" t="n">
        <v>0</v>
      </c>
      <c r="T3514" t="n">
        <v>0</v>
      </c>
      <c r="U3514" t="n">
        <v>0</v>
      </c>
      <c r="V3514" s="2" t="inlineStr"/>
    </row>
    <row r="3515" ht="15" customHeight="1">
      <c r="A3515" t="inlineStr">
        <is>
          <t>A 15445-2023</t>
        </is>
      </c>
      <c r="B3515" t="inlineStr">
        <is>
          <t>avverkningsanmälan</t>
        </is>
      </c>
      <c r="C3515" t="inlineStr">
        <is>
          <t>Föryngringsavverkning</t>
        </is>
      </c>
      <c r="D3515" s="1" t="n">
        <v>45016</v>
      </c>
      <c r="E3515" s="1" t="n">
        <v>46323</v>
      </c>
      <c r="F3515" t="inlineStr">
        <is>
          <t>KALMAR LÄN</t>
        </is>
      </c>
      <c r="G3515" t="inlineStr">
        <is>
          <t>HULTSFRED</t>
        </is>
      </c>
      <c r="I3515" t="n">
        <v>2</v>
      </c>
      <c r="J3515" t="n">
        <v>0</v>
      </c>
      <c r="K3515" t="n">
        <v>0</v>
      </c>
      <c r="L3515" t="n">
        <v>0</v>
      </c>
      <c r="M3515" t="n">
        <v>0</v>
      </c>
      <c r="N3515" t="n">
        <v>0</v>
      </c>
      <c r="O3515" t="n">
        <v>0</v>
      </c>
      <c r="P3515" t="n">
        <v>0</v>
      </c>
      <c r="Q3515" t="n">
        <v>0</v>
      </c>
      <c r="R3515" t="n">
        <v>0</v>
      </c>
      <c r="S3515" t="n">
        <v>0</v>
      </c>
      <c r="T3515" t="n">
        <v>0</v>
      </c>
      <c r="U3515" t="n">
        <v>0</v>
      </c>
      <c r="V3515" s="2" t="inlineStr"/>
    </row>
    <row r="3516" ht="15" customHeight="1">
      <c r="A3516" t="inlineStr">
        <is>
          <t>A 15449-2023</t>
        </is>
      </c>
      <c r="B3516" t="inlineStr">
        <is>
          <t>avverkningsanmälan</t>
        </is>
      </c>
      <c r="C3516" t="inlineStr">
        <is>
          <t>Föryngringsavverkning</t>
        </is>
      </c>
      <c r="D3516" s="1" t="n">
        <v>45020</v>
      </c>
      <c r="E3516" s="1" t="n">
        <v>46323</v>
      </c>
      <c r="F3516" t="inlineStr">
        <is>
          <t>KALMAR LÄN</t>
        </is>
      </c>
      <c r="G3516" t="inlineStr">
        <is>
          <t>VIMMERBY</t>
        </is>
      </c>
      <c r="I3516" t="n">
        <v>0.5</v>
      </c>
      <c r="J3516" t="n">
        <v>0</v>
      </c>
      <c r="K3516" t="n">
        <v>0</v>
      </c>
      <c r="L3516" t="n">
        <v>0</v>
      </c>
      <c r="M3516" t="n">
        <v>0</v>
      </c>
      <c r="N3516" t="n">
        <v>0</v>
      </c>
      <c r="O3516" t="n">
        <v>0</v>
      </c>
      <c r="P3516" t="n">
        <v>0</v>
      </c>
      <c r="Q3516" t="n">
        <v>0</v>
      </c>
      <c r="R3516" t="n">
        <v>0</v>
      </c>
      <c r="S3516" t="n">
        <v>0</v>
      </c>
      <c r="T3516" t="n">
        <v>0</v>
      </c>
      <c r="U3516" t="n">
        <v>0</v>
      </c>
      <c r="V3516" s="2" t="inlineStr"/>
    </row>
    <row r="3517" ht="15" customHeight="1">
      <c r="A3517" t="inlineStr">
        <is>
          <t>A 59389-2023</t>
        </is>
      </c>
      <c r="B3517" t="inlineStr">
        <is>
          <t>avverkningsanmälan</t>
        </is>
      </c>
      <c r="C3517" t="inlineStr">
        <is>
          <t>Föryngringsavverkning</t>
        </is>
      </c>
      <c r="D3517" s="1" t="n">
        <v>45253</v>
      </c>
      <c r="E3517" s="1" t="n">
        <v>46323</v>
      </c>
      <c r="F3517" t="inlineStr">
        <is>
          <t>KALMAR LÄN</t>
        </is>
      </c>
      <c r="G3517" t="inlineStr">
        <is>
          <t>OSKARSHAMN</t>
        </is>
      </c>
      <c r="I3517" t="n">
        <v>4.8</v>
      </c>
      <c r="J3517" t="n">
        <v>0</v>
      </c>
      <c r="K3517" t="n">
        <v>0</v>
      </c>
      <c r="L3517" t="n">
        <v>0</v>
      </c>
      <c r="M3517" t="n">
        <v>0</v>
      </c>
      <c r="N3517" t="n">
        <v>0</v>
      </c>
      <c r="O3517" t="n">
        <v>0</v>
      </c>
      <c r="P3517" t="n">
        <v>0</v>
      </c>
      <c r="Q3517" t="n">
        <v>0</v>
      </c>
      <c r="R3517" t="n">
        <v>0</v>
      </c>
      <c r="S3517" t="n">
        <v>0</v>
      </c>
      <c r="T3517" t="n">
        <v>0</v>
      </c>
      <c r="U3517" t="n">
        <v>0</v>
      </c>
      <c r="V3517" s="2" t="inlineStr"/>
    </row>
    <row r="3518" ht="15" customHeight="1">
      <c r="A3518" t="inlineStr">
        <is>
          <t>A 59170-2022</t>
        </is>
      </c>
      <c r="B3518" t="inlineStr">
        <is>
          <t>avverkningsanmälan</t>
        </is>
      </c>
      <c r="C3518" t="inlineStr">
        <is>
          <t>Föryngringsavverkning</t>
        </is>
      </c>
      <c r="D3518" s="1" t="n">
        <v>44904</v>
      </c>
      <c r="E3518" s="1" t="n">
        <v>46323</v>
      </c>
      <c r="F3518" t="inlineStr">
        <is>
          <t>KALMAR LÄN</t>
        </is>
      </c>
      <c r="G3518" t="inlineStr">
        <is>
          <t>VÄSTERVIK</t>
        </is>
      </c>
      <c r="I3518" t="n">
        <v>1.3</v>
      </c>
      <c r="J3518" t="n">
        <v>0</v>
      </c>
      <c r="K3518" t="n">
        <v>0</v>
      </c>
      <c r="L3518" t="n">
        <v>0</v>
      </c>
      <c r="M3518" t="n">
        <v>0</v>
      </c>
      <c r="N3518" t="n">
        <v>0</v>
      </c>
      <c r="O3518" t="n">
        <v>0</v>
      </c>
      <c r="P3518" t="n">
        <v>0</v>
      </c>
      <c r="Q3518" t="n">
        <v>0</v>
      </c>
      <c r="R3518" t="n">
        <v>0</v>
      </c>
      <c r="S3518" t="n">
        <v>0</v>
      </c>
      <c r="T3518" t="n">
        <v>0</v>
      </c>
      <c r="U3518" t="n">
        <v>0</v>
      </c>
      <c r="V3518" s="2" t="inlineStr"/>
    </row>
    <row r="3519" ht="15" customHeight="1">
      <c r="A3519" t="inlineStr">
        <is>
          <t>A 39937-2023</t>
        </is>
      </c>
      <c r="B3519" t="inlineStr">
        <is>
          <t>avverkningsanmälan</t>
        </is>
      </c>
      <c r="C3519" t="inlineStr">
        <is>
          <t>Föryngringsavverkning</t>
        </is>
      </c>
      <c r="D3519" s="1" t="n">
        <v>45168</v>
      </c>
      <c r="E3519" s="1" t="n">
        <v>46323</v>
      </c>
      <c r="F3519" t="inlineStr">
        <is>
          <t>KALMAR LÄN</t>
        </is>
      </c>
      <c r="G3519" t="inlineStr">
        <is>
          <t>OSKARSHAMN</t>
        </is>
      </c>
      <c r="I3519" t="n">
        <v>2.7</v>
      </c>
      <c r="J3519" t="n">
        <v>0</v>
      </c>
      <c r="K3519" t="n">
        <v>0</v>
      </c>
      <c r="L3519" t="n">
        <v>0</v>
      </c>
      <c r="M3519" t="n">
        <v>0</v>
      </c>
      <c r="N3519" t="n">
        <v>0</v>
      </c>
      <c r="O3519" t="n">
        <v>0</v>
      </c>
      <c r="P3519" t="n">
        <v>0</v>
      </c>
      <c r="Q3519" t="n">
        <v>0</v>
      </c>
      <c r="R3519" t="n">
        <v>0</v>
      </c>
      <c r="S3519" t="n">
        <v>0</v>
      </c>
      <c r="T3519" t="n">
        <v>0</v>
      </c>
      <c r="U3519" t="n">
        <v>0</v>
      </c>
      <c r="V3519" s="2" t="inlineStr"/>
    </row>
    <row r="3520" ht="15" customHeight="1">
      <c r="A3520" t="inlineStr">
        <is>
          <t>A 11005-2025</t>
        </is>
      </c>
      <c r="B3520" t="inlineStr">
        <is>
          <t>avverkningsanmälan</t>
        </is>
      </c>
      <c r="C3520" t="inlineStr">
        <is>
          <t>Föryngringsavverkning</t>
        </is>
      </c>
      <c r="D3520" s="1" t="n">
        <v>45723</v>
      </c>
      <c r="E3520" s="1" t="n">
        <v>46323</v>
      </c>
      <c r="F3520" t="inlineStr">
        <is>
          <t>KALMAR LÄN</t>
        </is>
      </c>
      <c r="G3520" t="inlineStr">
        <is>
          <t>HULTSFRED</t>
        </is>
      </c>
      <c r="H3520" t="inlineStr">
        <is>
          <t>Sveaskog</t>
        </is>
      </c>
      <c r="I3520" t="n">
        <v>1.4</v>
      </c>
      <c r="J3520" t="n">
        <v>0</v>
      </c>
      <c r="K3520" t="n">
        <v>0</v>
      </c>
      <c r="L3520" t="n">
        <v>0</v>
      </c>
      <c r="M3520" t="n">
        <v>0</v>
      </c>
      <c r="N3520" t="n">
        <v>0</v>
      </c>
      <c r="O3520" t="n">
        <v>0</v>
      </c>
      <c r="P3520" t="n">
        <v>0</v>
      </c>
      <c r="Q3520" t="n">
        <v>0</v>
      </c>
      <c r="R3520" t="n">
        <v>0</v>
      </c>
      <c r="S3520" t="n">
        <v>0</v>
      </c>
      <c r="T3520" t="n">
        <v>0</v>
      </c>
      <c r="U3520" t="n">
        <v>0</v>
      </c>
      <c r="V3520" s="2" t="inlineStr"/>
    </row>
    <row r="3521" ht="15" customHeight="1">
      <c r="A3521" t="inlineStr">
        <is>
          <t>A 59212-2022</t>
        </is>
      </c>
      <c r="B3521" t="inlineStr">
        <is>
          <t>avverkningsanmälan</t>
        </is>
      </c>
      <c r="C3521" t="inlineStr">
        <is>
          <t>Föryngringsavverkning</t>
        </is>
      </c>
      <c r="D3521" s="1" t="n">
        <v>44904</v>
      </c>
      <c r="E3521" s="1" t="n">
        <v>46323</v>
      </c>
      <c r="F3521" t="inlineStr">
        <is>
          <t>KALMAR LÄN</t>
        </is>
      </c>
      <c r="G3521" t="inlineStr">
        <is>
          <t>VÄSTERVIK</t>
        </is>
      </c>
      <c r="I3521" t="n">
        <v>2.3</v>
      </c>
      <c r="J3521" t="n">
        <v>0</v>
      </c>
      <c r="K3521" t="n">
        <v>0</v>
      </c>
      <c r="L3521" t="n">
        <v>0</v>
      </c>
      <c r="M3521" t="n">
        <v>0</v>
      </c>
      <c r="N3521" t="n">
        <v>0</v>
      </c>
      <c r="O3521" t="n">
        <v>0</v>
      </c>
      <c r="P3521" t="n">
        <v>0</v>
      </c>
      <c r="Q3521" t="n">
        <v>0</v>
      </c>
      <c r="R3521" t="n">
        <v>0</v>
      </c>
      <c r="S3521" t="n">
        <v>0</v>
      </c>
      <c r="T3521" t="n">
        <v>0</v>
      </c>
      <c r="U3521" t="n">
        <v>0</v>
      </c>
      <c r="V3521" s="2" t="inlineStr"/>
    </row>
    <row r="3522" ht="15" customHeight="1">
      <c r="A3522" t="inlineStr">
        <is>
          <t>A 9944-2025</t>
        </is>
      </c>
      <c r="B3522" t="inlineStr">
        <is>
          <t>avverkningsanmälan</t>
        </is>
      </c>
      <c r="C3522" t="inlineStr">
        <is>
          <t>Föryngringsavverkning</t>
        </is>
      </c>
      <c r="D3522" s="1" t="n">
        <v>45719</v>
      </c>
      <c r="E3522" s="1" t="n">
        <v>46323</v>
      </c>
      <c r="F3522" t="inlineStr">
        <is>
          <t>KALMAR LÄN</t>
        </is>
      </c>
      <c r="G3522" t="inlineStr">
        <is>
          <t>HULTSFRED</t>
        </is>
      </c>
      <c r="I3522" t="n">
        <v>0.6</v>
      </c>
      <c r="J3522" t="n">
        <v>0</v>
      </c>
      <c r="K3522" t="n">
        <v>0</v>
      </c>
      <c r="L3522" t="n">
        <v>0</v>
      </c>
      <c r="M3522" t="n">
        <v>0</v>
      </c>
      <c r="N3522" t="n">
        <v>0</v>
      </c>
      <c r="O3522" t="n">
        <v>0</v>
      </c>
      <c r="P3522" t="n">
        <v>0</v>
      </c>
      <c r="Q3522" t="n">
        <v>0</v>
      </c>
      <c r="R3522" t="n">
        <v>0</v>
      </c>
      <c r="S3522" t="n">
        <v>0</v>
      </c>
      <c r="T3522" t="n">
        <v>0</v>
      </c>
      <c r="U3522" t="n">
        <v>0</v>
      </c>
      <c r="V3522" s="2" t="inlineStr"/>
    </row>
    <row r="3523" ht="15" customHeight="1">
      <c r="A3523" t="inlineStr">
        <is>
          <t>A 59227-2022</t>
        </is>
      </c>
      <c r="B3523" t="inlineStr">
        <is>
          <t>avverkningsanmälan</t>
        </is>
      </c>
      <c r="C3523" t="inlineStr">
        <is>
          <t>Föryngringsavverkning</t>
        </is>
      </c>
      <c r="D3523" s="1" t="n">
        <v>44904</v>
      </c>
      <c r="E3523" s="1" t="n">
        <v>46323</v>
      </c>
      <c r="F3523" t="inlineStr">
        <is>
          <t>KALMAR LÄN</t>
        </is>
      </c>
      <c r="G3523" t="inlineStr">
        <is>
          <t>VÄSTERVIK</t>
        </is>
      </c>
      <c r="I3523" t="n">
        <v>6</v>
      </c>
      <c r="J3523" t="n">
        <v>0</v>
      </c>
      <c r="K3523" t="n">
        <v>0</v>
      </c>
      <c r="L3523" t="n">
        <v>0</v>
      </c>
      <c r="M3523" t="n">
        <v>0</v>
      </c>
      <c r="N3523" t="n">
        <v>0</v>
      </c>
      <c r="O3523" t="n">
        <v>0</v>
      </c>
      <c r="P3523" t="n">
        <v>0</v>
      </c>
      <c r="Q3523" t="n">
        <v>0</v>
      </c>
      <c r="R3523" t="n">
        <v>0</v>
      </c>
      <c r="S3523" t="n">
        <v>0</v>
      </c>
      <c r="T3523" t="n">
        <v>0</v>
      </c>
      <c r="U3523" t="n">
        <v>0</v>
      </c>
      <c r="V3523" s="2" t="inlineStr"/>
    </row>
    <row r="3524" ht="15" customHeight="1">
      <c r="A3524" t="inlineStr">
        <is>
          <t>A 59243-2022</t>
        </is>
      </c>
      <c r="B3524" t="inlineStr">
        <is>
          <t>avverkningsanmälan</t>
        </is>
      </c>
      <c r="C3524" t="inlineStr">
        <is>
          <t>Föryngringsavverkning</t>
        </is>
      </c>
      <c r="D3524" s="1" t="n">
        <v>44904</v>
      </c>
      <c r="E3524" s="1" t="n">
        <v>46323</v>
      </c>
      <c r="F3524" t="inlineStr">
        <is>
          <t>KALMAR LÄN</t>
        </is>
      </c>
      <c r="G3524" t="inlineStr">
        <is>
          <t>MÖNSTERÅS</t>
        </is>
      </c>
      <c r="I3524" t="n">
        <v>6</v>
      </c>
      <c r="J3524" t="n">
        <v>0</v>
      </c>
      <c r="K3524" t="n">
        <v>0</v>
      </c>
      <c r="L3524" t="n">
        <v>0</v>
      </c>
      <c r="M3524" t="n">
        <v>0</v>
      </c>
      <c r="N3524" t="n">
        <v>0</v>
      </c>
      <c r="O3524" t="n">
        <v>0</v>
      </c>
      <c r="P3524" t="n">
        <v>0</v>
      </c>
      <c r="Q3524" t="n">
        <v>0</v>
      </c>
      <c r="R3524" t="n">
        <v>0</v>
      </c>
      <c r="S3524" t="n">
        <v>0</v>
      </c>
      <c r="T3524" t="n">
        <v>0</v>
      </c>
      <c r="U3524" t="n">
        <v>0</v>
      </c>
      <c r="V3524" s="2" t="inlineStr"/>
    </row>
    <row r="3525" ht="15" customHeight="1">
      <c r="A3525" t="inlineStr">
        <is>
          <t>A 15179-2024</t>
        </is>
      </c>
      <c r="B3525" t="inlineStr">
        <is>
          <t>avverkningsanmälan</t>
        </is>
      </c>
      <c r="C3525" t="inlineStr">
        <is>
          <t>Föryngringsavverkning</t>
        </is>
      </c>
      <c r="D3525" s="1" t="n">
        <v>45400</v>
      </c>
      <c r="E3525" s="1" t="n">
        <v>46323</v>
      </c>
      <c r="F3525" t="inlineStr">
        <is>
          <t>KALMAR LÄN</t>
        </is>
      </c>
      <c r="G3525" t="inlineStr">
        <is>
          <t>KALMAR</t>
        </is>
      </c>
      <c r="I3525" t="n">
        <v>0.9</v>
      </c>
      <c r="J3525" t="n">
        <v>0</v>
      </c>
      <c r="K3525" t="n">
        <v>0</v>
      </c>
      <c r="L3525" t="n">
        <v>0</v>
      </c>
      <c r="M3525" t="n">
        <v>0</v>
      </c>
      <c r="N3525" t="n">
        <v>0</v>
      </c>
      <c r="O3525" t="n">
        <v>0</v>
      </c>
      <c r="P3525" t="n">
        <v>0</v>
      </c>
      <c r="Q3525" t="n">
        <v>0</v>
      </c>
      <c r="R3525" t="n">
        <v>0</v>
      </c>
      <c r="S3525" t="n">
        <v>0</v>
      </c>
      <c r="T3525" t="n">
        <v>0</v>
      </c>
      <c r="U3525" t="n">
        <v>0</v>
      </c>
      <c r="V3525" s="2" t="inlineStr"/>
    </row>
    <row r="3526" ht="15" customHeight="1">
      <c r="A3526" t="inlineStr">
        <is>
          <t>A 16761-2024</t>
        </is>
      </c>
      <c r="B3526" t="inlineStr">
        <is>
          <t>avverkningsanmälan</t>
        </is>
      </c>
      <c r="C3526" t="inlineStr">
        <is>
          <t>Föryngringsavverkning</t>
        </is>
      </c>
      <c r="D3526" s="1" t="n">
        <v>45411</v>
      </c>
      <c r="E3526" s="1" t="n">
        <v>46323</v>
      </c>
      <c r="F3526" t="inlineStr">
        <is>
          <t>KALMAR LÄN</t>
        </is>
      </c>
      <c r="G3526" t="inlineStr">
        <is>
          <t>OSKARSHAMN</t>
        </is>
      </c>
      <c r="I3526" t="n">
        <v>0.9</v>
      </c>
      <c r="J3526" t="n">
        <v>0</v>
      </c>
      <c r="K3526" t="n">
        <v>0</v>
      </c>
      <c r="L3526" t="n">
        <v>0</v>
      </c>
      <c r="M3526" t="n">
        <v>0</v>
      </c>
      <c r="N3526" t="n">
        <v>0</v>
      </c>
      <c r="O3526" t="n">
        <v>0</v>
      </c>
      <c r="P3526" t="n">
        <v>0</v>
      </c>
      <c r="Q3526" t="n">
        <v>0</v>
      </c>
      <c r="R3526" t="n">
        <v>0</v>
      </c>
      <c r="S3526" t="n">
        <v>0</v>
      </c>
      <c r="T3526" t="n">
        <v>0</v>
      </c>
      <c r="U3526" t="n">
        <v>0</v>
      </c>
      <c r="V3526" s="2" t="inlineStr"/>
    </row>
    <row r="3527" ht="15" customHeight="1">
      <c r="A3527" t="inlineStr">
        <is>
          <t>A 10632-2024</t>
        </is>
      </c>
      <c r="B3527" t="inlineStr">
        <is>
          <t>avverkningsanmälan</t>
        </is>
      </c>
      <c r="C3527" t="inlineStr">
        <is>
          <t>Föryngringsavverkning</t>
        </is>
      </c>
      <c r="D3527" s="1" t="n">
        <v>45367</v>
      </c>
      <c r="E3527" s="1" t="n">
        <v>46323</v>
      </c>
      <c r="F3527" t="inlineStr">
        <is>
          <t>KALMAR LÄN</t>
        </is>
      </c>
      <c r="G3527" t="inlineStr">
        <is>
          <t>NYBRO</t>
        </is>
      </c>
      <c r="I3527" t="n">
        <v>2.9</v>
      </c>
      <c r="J3527" t="n">
        <v>0</v>
      </c>
      <c r="K3527" t="n">
        <v>0</v>
      </c>
      <c r="L3527" t="n">
        <v>0</v>
      </c>
      <c r="M3527" t="n">
        <v>0</v>
      </c>
      <c r="N3527" t="n">
        <v>0</v>
      </c>
      <c r="O3527" t="n">
        <v>0</v>
      </c>
      <c r="P3527" t="n">
        <v>0</v>
      </c>
      <c r="Q3527" t="n">
        <v>0</v>
      </c>
      <c r="R3527" t="n">
        <v>0</v>
      </c>
      <c r="S3527" t="n">
        <v>0</v>
      </c>
      <c r="T3527" t="n">
        <v>0</v>
      </c>
      <c r="U3527" t="n">
        <v>0</v>
      </c>
      <c r="V3527" s="2" t="inlineStr"/>
    </row>
    <row r="3528" ht="15" customHeight="1">
      <c r="A3528" t="inlineStr">
        <is>
          <t>A 43594-2024</t>
        </is>
      </c>
      <c r="B3528" t="inlineStr">
        <is>
          <t>avverkningsanmälan</t>
        </is>
      </c>
      <c r="C3528" t="inlineStr">
        <is>
          <t>Föryngringsavverkning</t>
        </is>
      </c>
      <c r="D3528" s="1" t="n">
        <v>45569</v>
      </c>
      <c r="E3528" s="1" t="n">
        <v>46323</v>
      </c>
      <c r="F3528" t="inlineStr">
        <is>
          <t>KALMAR LÄN</t>
        </is>
      </c>
      <c r="G3528" t="inlineStr">
        <is>
          <t>VIMMERBY</t>
        </is>
      </c>
      <c r="I3528" t="n">
        <v>3.9</v>
      </c>
      <c r="J3528" t="n">
        <v>0</v>
      </c>
      <c r="K3528" t="n">
        <v>0</v>
      </c>
      <c r="L3528" t="n">
        <v>0</v>
      </c>
      <c r="M3528" t="n">
        <v>0</v>
      </c>
      <c r="N3528" t="n">
        <v>0</v>
      </c>
      <c r="O3528" t="n">
        <v>0</v>
      </c>
      <c r="P3528" t="n">
        <v>0</v>
      </c>
      <c r="Q3528" t="n">
        <v>0</v>
      </c>
      <c r="R3528" t="n">
        <v>0</v>
      </c>
      <c r="S3528" t="n">
        <v>0</v>
      </c>
      <c r="T3528" t="n">
        <v>0</v>
      </c>
      <c r="U3528" t="n">
        <v>0</v>
      </c>
      <c r="V3528" s="2" t="inlineStr"/>
    </row>
    <row r="3529" ht="15" customHeight="1">
      <c r="A3529" t="inlineStr">
        <is>
          <t>A 53388-2023</t>
        </is>
      </c>
      <c r="B3529" t="inlineStr">
        <is>
          <t>avverkningsanmälan</t>
        </is>
      </c>
      <c r="C3529" t="inlineStr">
        <is>
          <t>Föryngringsavverkning</t>
        </is>
      </c>
      <c r="D3529" s="1" t="n">
        <v>45229</v>
      </c>
      <c r="E3529" s="1" t="n">
        <v>46323</v>
      </c>
      <c r="F3529" t="inlineStr">
        <is>
          <t>KALMAR LÄN</t>
        </is>
      </c>
      <c r="G3529" t="inlineStr">
        <is>
          <t>KALMAR</t>
        </is>
      </c>
      <c r="I3529" t="n">
        <v>3.5</v>
      </c>
      <c r="J3529" t="n">
        <v>0</v>
      </c>
      <c r="K3529" t="n">
        <v>0</v>
      </c>
      <c r="L3529" t="n">
        <v>0</v>
      </c>
      <c r="M3529" t="n">
        <v>0</v>
      </c>
      <c r="N3529" t="n">
        <v>0</v>
      </c>
      <c r="O3529" t="n">
        <v>0</v>
      </c>
      <c r="P3529" t="n">
        <v>0</v>
      </c>
      <c r="Q3529" t="n">
        <v>0</v>
      </c>
      <c r="R3529" t="n">
        <v>0</v>
      </c>
      <c r="S3529" t="n">
        <v>0</v>
      </c>
      <c r="T3529" t="n">
        <v>0</v>
      </c>
      <c r="U3529" t="n">
        <v>0</v>
      </c>
      <c r="V3529" s="2" t="inlineStr"/>
    </row>
    <row r="3530" ht="15" customHeight="1">
      <c r="A3530" t="inlineStr">
        <is>
          <t>A 4175-2023</t>
        </is>
      </c>
      <c r="B3530" t="inlineStr">
        <is>
          <t>avverkningsanmälan</t>
        </is>
      </c>
      <c r="C3530" t="inlineStr">
        <is>
          <t>Föryngringsavverkning</t>
        </is>
      </c>
      <c r="D3530" s="1" t="n">
        <v>44953</v>
      </c>
      <c r="E3530" s="1" t="n">
        <v>46323</v>
      </c>
      <c r="F3530" t="inlineStr">
        <is>
          <t>KALMAR LÄN</t>
        </is>
      </c>
      <c r="G3530" t="inlineStr">
        <is>
          <t>EMMABODA</t>
        </is>
      </c>
      <c r="I3530" t="n">
        <v>0.8</v>
      </c>
      <c r="J3530" t="n">
        <v>0</v>
      </c>
      <c r="K3530" t="n">
        <v>0</v>
      </c>
      <c r="L3530" t="n">
        <v>0</v>
      </c>
      <c r="M3530" t="n">
        <v>0</v>
      </c>
      <c r="N3530" t="n">
        <v>0</v>
      </c>
      <c r="O3530" t="n">
        <v>0</v>
      </c>
      <c r="P3530" t="n">
        <v>0</v>
      </c>
      <c r="Q3530" t="n">
        <v>0</v>
      </c>
      <c r="R3530" t="n">
        <v>0</v>
      </c>
      <c r="S3530" t="n">
        <v>0</v>
      </c>
      <c r="T3530" t="n">
        <v>0</v>
      </c>
      <c r="U3530" t="n">
        <v>0</v>
      </c>
      <c r="V3530" s="2" t="inlineStr"/>
    </row>
    <row r="3531" ht="15" customHeight="1">
      <c r="A3531" t="inlineStr">
        <is>
          <t>A 40335-2023</t>
        </is>
      </c>
      <c r="B3531" t="inlineStr">
        <is>
          <t>avverkningsanmälan</t>
        </is>
      </c>
      <c r="C3531" t="inlineStr">
        <is>
          <t>Föryngringsavverkning</t>
        </is>
      </c>
      <c r="D3531" s="1" t="n">
        <v>45169</v>
      </c>
      <c r="E3531" s="1" t="n">
        <v>46323</v>
      </c>
      <c r="F3531" t="inlineStr">
        <is>
          <t>KALMAR LÄN</t>
        </is>
      </c>
      <c r="G3531" t="inlineStr">
        <is>
          <t>NYBRO</t>
        </is>
      </c>
      <c r="I3531" t="n">
        <v>3.3</v>
      </c>
      <c r="J3531" t="n">
        <v>0</v>
      </c>
      <c r="K3531" t="n">
        <v>0</v>
      </c>
      <c r="L3531" t="n">
        <v>0</v>
      </c>
      <c r="M3531" t="n">
        <v>0</v>
      </c>
      <c r="N3531" t="n">
        <v>0</v>
      </c>
      <c r="O3531" t="n">
        <v>0</v>
      </c>
      <c r="P3531" t="n">
        <v>0</v>
      </c>
      <c r="Q3531" t="n">
        <v>0</v>
      </c>
      <c r="R3531" t="n">
        <v>0</v>
      </c>
      <c r="S3531" t="n">
        <v>0</v>
      </c>
      <c r="T3531" t="n">
        <v>0</v>
      </c>
      <c r="U3531" t="n">
        <v>0</v>
      </c>
      <c r="V3531" s="2" t="inlineStr"/>
    </row>
    <row r="3532" ht="15" customHeight="1">
      <c r="A3532" t="inlineStr">
        <is>
          <t>A 2580-2022</t>
        </is>
      </c>
      <c r="B3532" t="inlineStr">
        <is>
          <t>avverkningsanmälan</t>
        </is>
      </c>
      <c r="C3532" t="inlineStr">
        <is>
          <t>Föryngringsavverkning</t>
        </is>
      </c>
      <c r="D3532" s="1" t="n">
        <v>44580</v>
      </c>
      <c r="E3532" s="1" t="n">
        <v>46323</v>
      </c>
      <c r="F3532" t="inlineStr">
        <is>
          <t>KALMAR LÄN</t>
        </is>
      </c>
      <c r="G3532" t="inlineStr">
        <is>
          <t>NYBRO</t>
        </is>
      </c>
      <c r="I3532" t="n">
        <v>0.9</v>
      </c>
      <c r="J3532" t="n">
        <v>0</v>
      </c>
      <c r="K3532" t="n">
        <v>0</v>
      </c>
      <c r="L3532" t="n">
        <v>0</v>
      </c>
      <c r="M3532" t="n">
        <v>0</v>
      </c>
      <c r="N3532" t="n">
        <v>0</v>
      </c>
      <c r="O3532" t="n">
        <v>0</v>
      </c>
      <c r="P3532" t="n">
        <v>0</v>
      </c>
      <c r="Q3532" t="n">
        <v>0</v>
      </c>
      <c r="R3532" t="n">
        <v>0</v>
      </c>
      <c r="S3532" t="n">
        <v>0</v>
      </c>
      <c r="T3532" t="n">
        <v>0</v>
      </c>
      <c r="U3532" t="n">
        <v>0</v>
      </c>
      <c r="V3532" s="2" t="inlineStr"/>
    </row>
    <row r="3533" ht="15" customHeight="1">
      <c r="A3533" t="inlineStr">
        <is>
          <t>A 18946-2022</t>
        </is>
      </c>
      <c r="B3533" t="inlineStr">
        <is>
          <t>avverkningsanmälan</t>
        </is>
      </c>
      <c r="C3533" t="inlineStr">
        <is>
          <t>Föryngringsavverkning</t>
        </is>
      </c>
      <c r="D3533" s="1" t="n">
        <v>44690</v>
      </c>
      <c r="E3533" s="1" t="n">
        <v>46323</v>
      </c>
      <c r="F3533" t="inlineStr">
        <is>
          <t>KALMAR LÄN</t>
        </is>
      </c>
      <c r="G3533" t="inlineStr">
        <is>
          <t>EMMABODA</t>
        </is>
      </c>
      <c r="I3533" t="n">
        <v>2.5</v>
      </c>
      <c r="J3533" t="n">
        <v>0</v>
      </c>
      <c r="K3533" t="n">
        <v>0</v>
      </c>
      <c r="L3533" t="n">
        <v>0</v>
      </c>
      <c r="M3533" t="n">
        <v>0</v>
      </c>
      <c r="N3533" t="n">
        <v>0</v>
      </c>
      <c r="O3533" t="n">
        <v>0</v>
      </c>
      <c r="P3533" t="n">
        <v>0</v>
      </c>
      <c r="Q3533" t="n">
        <v>0</v>
      </c>
      <c r="R3533" t="n">
        <v>0</v>
      </c>
      <c r="S3533" t="n">
        <v>0</v>
      </c>
      <c r="T3533" t="n">
        <v>0</v>
      </c>
      <c r="U3533" t="n">
        <v>0</v>
      </c>
      <c r="V3533" s="2" t="inlineStr"/>
    </row>
    <row r="3534" ht="15" customHeight="1">
      <c r="A3534" t="inlineStr">
        <is>
          <t>A 17486-2024</t>
        </is>
      </c>
      <c r="B3534" t="inlineStr">
        <is>
          <t>avverkningsanmälan</t>
        </is>
      </c>
      <c r="C3534" t="inlineStr">
        <is>
          <t>Föryngringsavverkning</t>
        </is>
      </c>
      <c r="D3534" s="1" t="n">
        <v>45415</v>
      </c>
      <c r="E3534" s="1" t="n">
        <v>46323</v>
      </c>
      <c r="F3534" t="inlineStr">
        <is>
          <t>KALMAR LÄN</t>
        </is>
      </c>
      <c r="G3534" t="inlineStr">
        <is>
          <t>VIMMERBY</t>
        </is>
      </c>
      <c r="I3534" t="n">
        <v>2.6</v>
      </c>
      <c r="J3534" t="n">
        <v>0</v>
      </c>
      <c r="K3534" t="n">
        <v>0</v>
      </c>
      <c r="L3534" t="n">
        <v>0</v>
      </c>
      <c r="M3534" t="n">
        <v>0</v>
      </c>
      <c r="N3534" t="n">
        <v>0</v>
      </c>
      <c r="O3534" t="n">
        <v>0</v>
      </c>
      <c r="P3534" t="n">
        <v>0</v>
      </c>
      <c r="Q3534" t="n">
        <v>0</v>
      </c>
      <c r="R3534" t="n">
        <v>0</v>
      </c>
      <c r="S3534" t="n">
        <v>0</v>
      </c>
      <c r="T3534" t="n">
        <v>0</v>
      </c>
      <c r="U3534" t="n">
        <v>0</v>
      </c>
      <c r="V3534" s="2" t="inlineStr"/>
    </row>
    <row r="3535" ht="15" customHeight="1">
      <c r="A3535" t="inlineStr">
        <is>
          <t>A 20969-2024</t>
        </is>
      </c>
      <c r="B3535" t="inlineStr">
        <is>
          <t>avverkningsanmälan</t>
        </is>
      </c>
      <c r="C3535" t="inlineStr">
        <is>
          <t>Föryngringsavverkning</t>
        </is>
      </c>
      <c r="D3535" s="1" t="n">
        <v>45439</v>
      </c>
      <c r="E3535" s="1" t="n">
        <v>46323</v>
      </c>
      <c r="F3535" t="inlineStr">
        <is>
          <t>KALMAR LÄN</t>
        </is>
      </c>
      <c r="G3535" t="inlineStr">
        <is>
          <t>HULTSFRED</t>
        </is>
      </c>
      <c r="I3535" t="n">
        <v>1.5</v>
      </c>
      <c r="J3535" t="n">
        <v>0</v>
      </c>
      <c r="K3535" t="n">
        <v>0</v>
      </c>
      <c r="L3535" t="n">
        <v>0</v>
      </c>
      <c r="M3535" t="n">
        <v>0</v>
      </c>
      <c r="N3535" t="n">
        <v>0</v>
      </c>
      <c r="O3535" t="n">
        <v>0</v>
      </c>
      <c r="P3535" t="n">
        <v>0</v>
      </c>
      <c r="Q3535" t="n">
        <v>0</v>
      </c>
      <c r="R3535" t="n">
        <v>0</v>
      </c>
      <c r="S3535" t="n">
        <v>0</v>
      </c>
      <c r="T3535" t="n">
        <v>0</v>
      </c>
      <c r="U3535" t="n">
        <v>0</v>
      </c>
      <c r="V3535" s="2" t="inlineStr"/>
    </row>
    <row r="3536" ht="15" customHeight="1">
      <c r="A3536" t="inlineStr">
        <is>
          <t>A 15700-2023</t>
        </is>
      </c>
      <c r="B3536" t="inlineStr">
        <is>
          <t>avverkningsanmälan</t>
        </is>
      </c>
      <c r="C3536" t="inlineStr">
        <is>
          <t>Föryngringsavverkning</t>
        </is>
      </c>
      <c r="D3536" s="1" t="n">
        <v>45021</v>
      </c>
      <c r="E3536" s="1" t="n">
        <v>46323</v>
      </c>
      <c r="F3536" t="inlineStr">
        <is>
          <t>KALMAR LÄN</t>
        </is>
      </c>
      <c r="G3536" t="inlineStr">
        <is>
          <t>EMMABODA</t>
        </is>
      </c>
      <c r="I3536" t="n">
        <v>1.7</v>
      </c>
      <c r="J3536" t="n">
        <v>0</v>
      </c>
      <c r="K3536" t="n">
        <v>0</v>
      </c>
      <c r="L3536" t="n">
        <v>0</v>
      </c>
      <c r="M3536" t="n">
        <v>0</v>
      </c>
      <c r="N3536" t="n">
        <v>0</v>
      </c>
      <c r="O3536" t="n">
        <v>0</v>
      </c>
      <c r="P3536" t="n">
        <v>0</v>
      </c>
      <c r="Q3536" t="n">
        <v>0</v>
      </c>
      <c r="R3536" t="n">
        <v>0</v>
      </c>
      <c r="S3536" t="n">
        <v>0</v>
      </c>
      <c r="T3536" t="n">
        <v>0</v>
      </c>
      <c r="U3536" t="n">
        <v>0</v>
      </c>
      <c r="V3536" s="2" t="inlineStr"/>
    </row>
    <row r="3537" ht="15" customHeight="1">
      <c r="A3537" t="inlineStr">
        <is>
          <t>A 56353-2025</t>
        </is>
      </c>
      <c r="B3537" t="inlineStr">
        <is>
          <t>avverkningsanmälan</t>
        </is>
      </c>
      <c r="C3537" t="inlineStr">
        <is>
          <t>Föryngringsavverkning</t>
        </is>
      </c>
      <c r="D3537" s="1" t="n">
        <v>45974</v>
      </c>
      <c r="E3537" s="1" t="n">
        <v>46323</v>
      </c>
      <c r="F3537" t="inlineStr">
        <is>
          <t>KALMAR LÄN</t>
        </is>
      </c>
      <c r="G3537" t="inlineStr">
        <is>
          <t>HÖGSBY</t>
        </is>
      </c>
      <c r="H3537" t="inlineStr">
        <is>
          <t>Sveaskog</t>
        </is>
      </c>
      <c r="I3537" t="n">
        <v>4.5</v>
      </c>
      <c r="J3537" t="n">
        <v>0</v>
      </c>
      <c r="K3537" t="n">
        <v>0</v>
      </c>
      <c r="L3537" t="n">
        <v>0</v>
      </c>
      <c r="M3537" t="n">
        <v>0</v>
      </c>
      <c r="N3537" t="n">
        <v>0</v>
      </c>
      <c r="O3537" t="n">
        <v>0</v>
      </c>
      <c r="P3537" t="n">
        <v>0</v>
      </c>
      <c r="Q3537" t="n">
        <v>0</v>
      </c>
      <c r="R3537" t="n">
        <v>0</v>
      </c>
      <c r="S3537" t="n">
        <v>0</v>
      </c>
      <c r="T3537" t="n">
        <v>0</v>
      </c>
      <c r="U3537" t="n">
        <v>0</v>
      </c>
      <c r="V3537" s="2" t="inlineStr"/>
    </row>
    <row r="3538" ht="15" customHeight="1">
      <c r="A3538" t="inlineStr">
        <is>
          <t>A 11434-2023</t>
        </is>
      </c>
      <c r="B3538" t="inlineStr">
        <is>
          <t>avverkningsanmälan</t>
        </is>
      </c>
      <c r="C3538" t="inlineStr">
        <is>
          <t>Föryngringsavverkning</t>
        </is>
      </c>
      <c r="D3538" s="1" t="n">
        <v>44993</v>
      </c>
      <c r="E3538" s="1" t="n">
        <v>46323</v>
      </c>
      <c r="F3538" t="inlineStr">
        <is>
          <t>KALMAR LÄN</t>
        </is>
      </c>
      <c r="G3538" t="inlineStr">
        <is>
          <t>EMMABODA</t>
        </is>
      </c>
      <c r="I3538" t="n">
        <v>2.3</v>
      </c>
      <c r="J3538" t="n">
        <v>0</v>
      </c>
      <c r="K3538" t="n">
        <v>0</v>
      </c>
      <c r="L3538" t="n">
        <v>0</v>
      </c>
      <c r="M3538" t="n">
        <v>0</v>
      </c>
      <c r="N3538" t="n">
        <v>0</v>
      </c>
      <c r="O3538" t="n">
        <v>0</v>
      </c>
      <c r="P3538" t="n">
        <v>0</v>
      </c>
      <c r="Q3538" t="n">
        <v>0</v>
      </c>
      <c r="R3538" t="n">
        <v>0</v>
      </c>
      <c r="S3538" t="n">
        <v>0</v>
      </c>
      <c r="T3538" t="n">
        <v>0</v>
      </c>
      <c r="U3538" t="n">
        <v>0</v>
      </c>
      <c r="V3538" s="2" t="inlineStr"/>
    </row>
    <row r="3539" ht="15" customHeight="1">
      <c r="A3539" t="inlineStr">
        <is>
          <t>A 14248-2023</t>
        </is>
      </c>
      <c r="B3539" t="inlineStr">
        <is>
          <t>avverkningsanmälan</t>
        </is>
      </c>
      <c r="C3539" t="inlineStr">
        <is>
          <t>Föryngringsavverkning</t>
        </is>
      </c>
      <c r="D3539" s="1" t="n">
        <v>45009</v>
      </c>
      <c r="E3539" s="1" t="n">
        <v>46323</v>
      </c>
      <c r="F3539" t="inlineStr">
        <is>
          <t>KALMAR LÄN</t>
        </is>
      </c>
      <c r="G3539" t="inlineStr">
        <is>
          <t>VIMMERBY</t>
        </is>
      </c>
      <c r="I3539" t="n">
        <v>2.6</v>
      </c>
      <c r="J3539" t="n">
        <v>0</v>
      </c>
      <c r="K3539" t="n">
        <v>0</v>
      </c>
      <c r="L3539" t="n">
        <v>0</v>
      </c>
      <c r="M3539" t="n">
        <v>0</v>
      </c>
      <c r="N3539" t="n">
        <v>0</v>
      </c>
      <c r="O3539" t="n">
        <v>0</v>
      </c>
      <c r="P3539" t="n">
        <v>0</v>
      </c>
      <c r="Q3539" t="n">
        <v>0</v>
      </c>
      <c r="R3539" t="n">
        <v>0</v>
      </c>
      <c r="S3539" t="n">
        <v>0</v>
      </c>
      <c r="T3539" t="n">
        <v>0</v>
      </c>
      <c r="U3539" t="n">
        <v>0</v>
      </c>
      <c r="V3539" s="2" t="inlineStr"/>
    </row>
    <row r="3540" ht="15" customHeight="1">
      <c r="A3540" t="inlineStr">
        <is>
          <t>A 41479-2023</t>
        </is>
      </c>
      <c r="B3540" t="inlineStr">
        <is>
          <t>avverkningsanmälan</t>
        </is>
      </c>
      <c r="C3540" t="inlineStr">
        <is>
          <t>Föryngringsavverkning</t>
        </is>
      </c>
      <c r="D3540" s="1" t="n">
        <v>45175</v>
      </c>
      <c r="E3540" s="1" t="n">
        <v>46323</v>
      </c>
      <c r="F3540" t="inlineStr">
        <is>
          <t>KALMAR LÄN</t>
        </is>
      </c>
      <c r="G3540" t="inlineStr">
        <is>
          <t>HÖGSBY</t>
        </is>
      </c>
      <c r="I3540" t="n">
        <v>2.3</v>
      </c>
      <c r="J3540" t="n">
        <v>0</v>
      </c>
      <c r="K3540" t="n">
        <v>0</v>
      </c>
      <c r="L3540" t="n">
        <v>0</v>
      </c>
      <c r="M3540" t="n">
        <v>0</v>
      </c>
      <c r="N3540" t="n">
        <v>0</v>
      </c>
      <c r="O3540" t="n">
        <v>0</v>
      </c>
      <c r="P3540" t="n">
        <v>0</v>
      </c>
      <c r="Q3540" t="n">
        <v>0</v>
      </c>
      <c r="R3540" t="n">
        <v>0</v>
      </c>
      <c r="S3540" t="n">
        <v>0</v>
      </c>
      <c r="T3540" t="n">
        <v>0</v>
      </c>
      <c r="U3540" t="n">
        <v>0</v>
      </c>
      <c r="V3540" s="2" t="inlineStr"/>
    </row>
    <row r="3541" ht="15" customHeight="1">
      <c r="A3541" t="inlineStr">
        <is>
          <t>A 19854-2024</t>
        </is>
      </c>
      <c r="B3541" t="inlineStr">
        <is>
          <t>avverkningsanmälan</t>
        </is>
      </c>
      <c r="C3541" t="inlineStr">
        <is>
          <t>Föryngringsavverkning</t>
        </is>
      </c>
      <c r="D3541" s="1" t="n">
        <v>45433</v>
      </c>
      <c r="E3541" s="1" t="n">
        <v>46323</v>
      </c>
      <c r="F3541" t="inlineStr">
        <is>
          <t>KALMAR LÄN</t>
        </is>
      </c>
      <c r="G3541" t="inlineStr">
        <is>
          <t>EMMABODA</t>
        </is>
      </c>
      <c r="I3541" t="n">
        <v>0.6</v>
      </c>
      <c r="J3541" t="n">
        <v>0</v>
      </c>
      <c r="K3541" t="n">
        <v>0</v>
      </c>
      <c r="L3541" t="n">
        <v>0</v>
      </c>
      <c r="M3541" t="n">
        <v>0</v>
      </c>
      <c r="N3541" t="n">
        <v>0</v>
      </c>
      <c r="O3541" t="n">
        <v>0</v>
      </c>
      <c r="P3541" t="n">
        <v>0</v>
      </c>
      <c r="Q3541" t="n">
        <v>0</v>
      </c>
      <c r="R3541" t="n">
        <v>0</v>
      </c>
      <c r="S3541" t="n">
        <v>0</v>
      </c>
      <c r="T3541" t="n">
        <v>0</v>
      </c>
      <c r="U3541" t="n">
        <v>0</v>
      </c>
      <c r="V3541" s="2" t="inlineStr"/>
    </row>
    <row r="3542" ht="15" customHeight="1">
      <c r="A3542" t="inlineStr">
        <is>
          <t>A 53501-2024</t>
        </is>
      </c>
      <c r="B3542" t="inlineStr">
        <is>
          <t>avverkningsanmälan</t>
        </is>
      </c>
      <c r="C3542" t="inlineStr">
        <is>
          <t>Föryngringsavverkning</t>
        </is>
      </c>
      <c r="D3542" s="1" t="n">
        <v>45614</v>
      </c>
      <c r="E3542" s="1" t="n">
        <v>46323</v>
      </c>
      <c r="F3542" t="inlineStr">
        <is>
          <t>KALMAR LÄN</t>
        </is>
      </c>
      <c r="G3542" t="inlineStr">
        <is>
          <t>HÖGSBY</t>
        </is>
      </c>
      <c r="I3542" t="n">
        <v>1.1</v>
      </c>
      <c r="J3542" t="n">
        <v>0</v>
      </c>
      <c r="K3542" t="n">
        <v>0</v>
      </c>
      <c r="L3542" t="n">
        <v>0</v>
      </c>
      <c r="M3542" t="n">
        <v>0</v>
      </c>
      <c r="N3542" t="n">
        <v>0</v>
      </c>
      <c r="O3542" t="n">
        <v>0</v>
      </c>
      <c r="P3542" t="n">
        <v>0</v>
      </c>
      <c r="Q3542" t="n">
        <v>0</v>
      </c>
      <c r="R3542" t="n">
        <v>0</v>
      </c>
      <c r="S3542" t="n">
        <v>0</v>
      </c>
      <c r="T3542" t="n">
        <v>0</v>
      </c>
      <c r="U3542" t="n">
        <v>0</v>
      </c>
      <c r="V3542" s="2" t="inlineStr"/>
    </row>
    <row r="3543" ht="15" customHeight="1">
      <c r="A3543" t="inlineStr">
        <is>
          <t>A 68803-2021</t>
        </is>
      </c>
      <c r="B3543" t="inlineStr">
        <is>
          <t>avverkningsanmälan</t>
        </is>
      </c>
      <c r="C3543" t="inlineStr">
        <is>
          <t>Föryngringsavverkning</t>
        </is>
      </c>
      <c r="D3543" s="1" t="n">
        <v>44530</v>
      </c>
      <c r="E3543" s="1" t="n">
        <v>46323</v>
      </c>
      <c r="F3543" t="inlineStr">
        <is>
          <t>KALMAR LÄN</t>
        </is>
      </c>
      <c r="G3543" t="inlineStr">
        <is>
          <t>HULTSFRED</t>
        </is>
      </c>
      <c r="I3543" t="n">
        <v>1</v>
      </c>
      <c r="J3543" t="n">
        <v>0</v>
      </c>
      <c r="K3543" t="n">
        <v>0</v>
      </c>
      <c r="L3543" t="n">
        <v>0</v>
      </c>
      <c r="M3543" t="n">
        <v>0</v>
      </c>
      <c r="N3543" t="n">
        <v>0</v>
      </c>
      <c r="O3543" t="n">
        <v>0</v>
      </c>
      <c r="P3543" t="n">
        <v>0</v>
      </c>
      <c r="Q3543" t="n">
        <v>0</v>
      </c>
      <c r="R3543" t="n">
        <v>0</v>
      </c>
      <c r="S3543" t="n">
        <v>0</v>
      </c>
      <c r="T3543" t="n">
        <v>0</v>
      </c>
      <c r="U3543" t="n">
        <v>0</v>
      </c>
      <c r="V3543" s="2" t="inlineStr"/>
    </row>
    <row r="3544" ht="15" customHeight="1">
      <c r="A3544" t="inlineStr">
        <is>
          <t>A 29557-2024</t>
        </is>
      </c>
      <c r="B3544" t="inlineStr">
        <is>
          <t>avverkningsanmälan</t>
        </is>
      </c>
      <c r="C3544" t="inlineStr">
        <is>
          <t>Föryngringsavverkning</t>
        </is>
      </c>
      <c r="D3544" s="1" t="n">
        <v>45484</v>
      </c>
      <c r="E3544" s="1" t="n">
        <v>46323</v>
      </c>
      <c r="F3544" t="inlineStr">
        <is>
          <t>KALMAR LÄN</t>
        </is>
      </c>
      <c r="G3544" t="inlineStr">
        <is>
          <t>VÄSTERVIK</t>
        </is>
      </c>
      <c r="I3544" t="n">
        <v>5.9</v>
      </c>
      <c r="J3544" t="n">
        <v>0</v>
      </c>
      <c r="K3544" t="n">
        <v>0</v>
      </c>
      <c r="L3544" t="n">
        <v>0</v>
      </c>
      <c r="M3544" t="n">
        <v>0</v>
      </c>
      <c r="N3544" t="n">
        <v>0</v>
      </c>
      <c r="O3544" t="n">
        <v>0</v>
      </c>
      <c r="P3544" t="n">
        <v>0</v>
      </c>
      <c r="Q3544" t="n">
        <v>0</v>
      </c>
      <c r="R3544" t="n">
        <v>0</v>
      </c>
      <c r="S3544" t="n">
        <v>0</v>
      </c>
      <c r="T3544" t="n">
        <v>0</v>
      </c>
      <c r="U3544" t="n">
        <v>0</v>
      </c>
      <c r="V3544" s="2" t="inlineStr"/>
    </row>
    <row r="3545" ht="15" customHeight="1">
      <c r="A3545" t="inlineStr">
        <is>
          <t>A 24188-2023</t>
        </is>
      </c>
      <c r="B3545" t="inlineStr">
        <is>
          <t>avverkningsanmälan</t>
        </is>
      </c>
      <c r="C3545" t="inlineStr">
        <is>
          <t>Föryngringsavverkning</t>
        </is>
      </c>
      <c r="D3545" s="1" t="n">
        <v>45079</v>
      </c>
      <c r="E3545" s="1" t="n">
        <v>46323</v>
      </c>
      <c r="F3545" t="inlineStr">
        <is>
          <t>KALMAR LÄN</t>
        </is>
      </c>
      <c r="G3545" t="inlineStr">
        <is>
          <t>NYBRO</t>
        </is>
      </c>
      <c r="I3545" t="n">
        <v>2.8</v>
      </c>
      <c r="J3545" t="n">
        <v>0</v>
      </c>
      <c r="K3545" t="n">
        <v>0</v>
      </c>
      <c r="L3545" t="n">
        <v>0</v>
      </c>
      <c r="M3545" t="n">
        <v>0</v>
      </c>
      <c r="N3545" t="n">
        <v>0</v>
      </c>
      <c r="O3545" t="n">
        <v>0</v>
      </c>
      <c r="P3545" t="n">
        <v>0</v>
      </c>
      <c r="Q3545" t="n">
        <v>0</v>
      </c>
      <c r="R3545" t="n">
        <v>0</v>
      </c>
      <c r="S3545" t="n">
        <v>0</v>
      </c>
      <c r="T3545" t="n">
        <v>0</v>
      </c>
      <c r="U3545" t="n">
        <v>0</v>
      </c>
      <c r="V3545" s="2" t="inlineStr"/>
    </row>
    <row r="3546" ht="15" customHeight="1">
      <c r="A3546" t="inlineStr">
        <is>
          <t>A 62280-2022</t>
        </is>
      </c>
      <c r="B3546" t="inlineStr">
        <is>
          <t>avverkningsanmälan</t>
        </is>
      </c>
      <c r="C3546" t="inlineStr">
        <is>
          <t>Föryngringsavverkning</t>
        </is>
      </c>
      <c r="D3546" s="1" t="n">
        <v>44923</v>
      </c>
      <c r="E3546" s="1" t="n">
        <v>46323</v>
      </c>
      <c r="F3546" t="inlineStr">
        <is>
          <t>KALMAR LÄN</t>
        </is>
      </c>
      <c r="G3546" t="inlineStr">
        <is>
          <t>MÖNSTERÅS</t>
        </is>
      </c>
      <c r="I3546" t="n">
        <v>2.2</v>
      </c>
      <c r="J3546" t="n">
        <v>0</v>
      </c>
      <c r="K3546" t="n">
        <v>0</v>
      </c>
      <c r="L3546" t="n">
        <v>0</v>
      </c>
      <c r="M3546" t="n">
        <v>0</v>
      </c>
      <c r="N3546" t="n">
        <v>0</v>
      </c>
      <c r="O3546" t="n">
        <v>0</v>
      </c>
      <c r="P3546" t="n">
        <v>0</v>
      </c>
      <c r="Q3546" t="n">
        <v>0</v>
      </c>
      <c r="R3546" t="n">
        <v>0</v>
      </c>
      <c r="S3546" t="n">
        <v>0</v>
      </c>
      <c r="T3546" t="n">
        <v>0</v>
      </c>
      <c r="U3546" t="n">
        <v>0</v>
      </c>
      <c r="V3546" s="2" t="inlineStr"/>
    </row>
    <row r="3547" ht="15" customHeight="1">
      <c r="A3547" t="inlineStr">
        <is>
          <t>A 62283-2022</t>
        </is>
      </c>
      <c r="B3547" t="inlineStr">
        <is>
          <t>avverkningsanmälan</t>
        </is>
      </c>
      <c r="C3547" t="inlineStr">
        <is>
          <t>Föryngringsavverkning</t>
        </is>
      </c>
      <c r="D3547" s="1" t="n">
        <v>44923</v>
      </c>
      <c r="E3547" s="1" t="n">
        <v>46323</v>
      </c>
      <c r="F3547" t="inlineStr">
        <is>
          <t>KALMAR LÄN</t>
        </is>
      </c>
      <c r="G3547" t="inlineStr">
        <is>
          <t>MÖNSTERÅS</t>
        </is>
      </c>
      <c r="I3547" t="n">
        <v>0.6</v>
      </c>
      <c r="J3547" t="n">
        <v>0</v>
      </c>
      <c r="K3547" t="n">
        <v>0</v>
      </c>
      <c r="L3547" t="n">
        <v>0</v>
      </c>
      <c r="M3547" t="n">
        <v>0</v>
      </c>
      <c r="N3547" t="n">
        <v>0</v>
      </c>
      <c r="O3547" t="n">
        <v>0</v>
      </c>
      <c r="P3547" t="n">
        <v>0</v>
      </c>
      <c r="Q3547" t="n">
        <v>0</v>
      </c>
      <c r="R3547" t="n">
        <v>0</v>
      </c>
      <c r="S3547" t="n">
        <v>0</v>
      </c>
      <c r="T3547" t="n">
        <v>0</v>
      </c>
      <c r="U3547" t="n">
        <v>0</v>
      </c>
      <c r="V3547" s="2" t="inlineStr"/>
    </row>
    <row r="3548" ht="15" customHeight="1">
      <c r="A3548" t="inlineStr">
        <is>
          <t>A 14451-2024</t>
        </is>
      </c>
      <c r="B3548" t="inlineStr">
        <is>
          <t>avverkningsanmälan</t>
        </is>
      </c>
      <c r="C3548" t="inlineStr">
        <is>
          <t>Föryngringsavverkning</t>
        </is>
      </c>
      <c r="D3548" s="1" t="n">
        <v>45394</v>
      </c>
      <c r="E3548" s="1" t="n">
        <v>46323</v>
      </c>
      <c r="F3548" t="inlineStr">
        <is>
          <t>KALMAR LÄN</t>
        </is>
      </c>
      <c r="G3548" t="inlineStr">
        <is>
          <t>VIMMERBY</t>
        </is>
      </c>
      <c r="I3548" t="n">
        <v>1.9</v>
      </c>
      <c r="J3548" t="n">
        <v>0</v>
      </c>
      <c r="K3548" t="n">
        <v>0</v>
      </c>
      <c r="L3548" t="n">
        <v>0</v>
      </c>
      <c r="M3548" t="n">
        <v>0</v>
      </c>
      <c r="N3548" t="n">
        <v>0</v>
      </c>
      <c r="O3548" t="n">
        <v>0</v>
      </c>
      <c r="P3548" t="n">
        <v>0</v>
      </c>
      <c r="Q3548" t="n">
        <v>0</v>
      </c>
      <c r="R3548" t="n">
        <v>0</v>
      </c>
      <c r="S3548" t="n">
        <v>0</v>
      </c>
      <c r="T3548" t="n">
        <v>0</v>
      </c>
      <c r="U3548" t="n">
        <v>0</v>
      </c>
      <c r="V3548" s="2" t="inlineStr"/>
    </row>
    <row r="3549" ht="15" customHeight="1">
      <c r="A3549" t="inlineStr">
        <is>
          <t>A 686-2025</t>
        </is>
      </c>
      <c r="B3549" t="inlineStr">
        <is>
          <t>avverkningsanmälan</t>
        </is>
      </c>
      <c r="C3549" t="inlineStr">
        <is>
          <t>Föryngringsavverkning</t>
        </is>
      </c>
      <c r="D3549" s="1" t="n">
        <v>45665</v>
      </c>
      <c r="E3549" s="1" t="n">
        <v>46323</v>
      </c>
      <c r="F3549" t="inlineStr">
        <is>
          <t>KALMAR LÄN</t>
        </is>
      </c>
      <c r="G3549" t="inlineStr">
        <is>
          <t>NYBRO</t>
        </is>
      </c>
      <c r="I3549" t="n">
        <v>1.9</v>
      </c>
      <c r="J3549" t="n">
        <v>0</v>
      </c>
      <c r="K3549" t="n">
        <v>0</v>
      </c>
      <c r="L3549" t="n">
        <v>0</v>
      </c>
      <c r="M3549" t="n">
        <v>0</v>
      </c>
      <c r="N3549" t="n">
        <v>0</v>
      </c>
      <c r="O3549" t="n">
        <v>0</v>
      </c>
      <c r="P3549" t="n">
        <v>0</v>
      </c>
      <c r="Q3549" t="n">
        <v>0</v>
      </c>
      <c r="R3549" t="n">
        <v>0</v>
      </c>
      <c r="S3549" t="n">
        <v>0</v>
      </c>
      <c r="T3549" t="n">
        <v>0</v>
      </c>
      <c r="U3549" t="n">
        <v>0</v>
      </c>
      <c r="V3549" s="2" t="inlineStr"/>
    </row>
    <row r="3550" ht="15" customHeight="1">
      <c r="A3550" t="inlineStr">
        <is>
          <t>A 42697-2024</t>
        </is>
      </c>
      <c r="B3550" t="inlineStr">
        <is>
          <t>avverkningsanmälan</t>
        </is>
      </c>
      <c r="C3550" t="inlineStr">
        <is>
          <t>Avverkning för att bevara och utveckla /försöksver</t>
        </is>
      </c>
      <c r="D3550" s="1" t="n">
        <v>45566</v>
      </c>
      <c r="E3550" s="1" t="n">
        <v>46323</v>
      </c>
      <c r="F3550" t="inlineStr">
        <is>
          <t>KALMAR LÄN</t>
        </is>
      </c>
      <c r="G3550" t="inlineStr">
        <is>
          <t>KALMAR</t>
        </is>
      </c>
      <c r="I3550" t="n">
        <v>1.5</v>
      </c>
      <c r="J3550" t="n">
        <v>0</v>
      </c>
      <c r="K3550" t="n">
        <v>0</v>
      </c>
      <c r="L3550" t="n">
        <v>0</v>
      </c>
      <c r="M3550" t="n">
        <v>0</v>
      </c>
      <c r="N3550" t="n">
        <v>0</v>
      </c>
      <c r="O3550" t="n">
        <v>0</v>
      </c>
      <c r="P3550" t="n">
        <v>0</v>
      </c>
      <c r="Q3550" t="n">
        <v>0</v>
      </c>
      <c r="R3550" t="n">
        <v>0</v>
      </c>
      <c r="S3550" t="n">
        <v>0</v>
      </c>
      <c r="T3550" t="n">
        <v>0</v>
      </c>
      <c r="U3550" t="n">
        <v>0</v>
      </c>
      <c r="V3550" s="2" t="inlineStr"/>
    </row>
    <row r="3551" ht="15" customHeight="1">
      <c r="A3551" t="inlineStr">
        <is>
          <t>A 57578-2024</t>
        </is>
      </c>
      <c r="B3551" t="inlineStr">
        <is>
          <t>avverkningsanmälan</t>
        </is>
      </c>
      <c r="C3551" t="inlineStr">
        <is>
          <t>Föryngringsavverkning</t>
        </is>
      </c>
      <c r="D3551" s="1" t="n">
        <v>45630</v>
      </c>
      <c r="E3551" s="1" t="n">
        <v>46323</v>
      </c>
      <c r="F3551" t="inlineStr">
        <is>
          <t>KALMAR LÄN</t>
        </is>
      </c>
      <c r="G3551" t="inlineStr">
        <is>
          <t>VIMMERBY</t>
        </is>
      </c>
      <c r="I3551" t="n">
        <v>2.6</v>
      </c>
      <c r="J3551" t="n">
        <v>0</v>
      </c>
      <c r="K3551" t="n">
        <v>0</v>
      </c>
      <c r="L3551" t="n">
        <v>0</v>
      </c>
      <c r="M3551" t="n">
        <v>0</v>
      </c>
      <c r="N3551" t="n">
        <v>0</v>
      </c>
      <c r="O3551" t="n">
        <v>0</v>
      </c>
      <c r="P3551" t="n">
        <v>0</v>
      </c>
      <c r="Q3551" t="n">
        <v>0</v>
      </c>
      <c r="R3551" t="n">
        <v>0</v>
      </c>
      <c r="S3551" t="n">
        <v>0</v>
      </c>
      <c r="T3551" t="n">
        <v>0</v>
      </c>
      <c r="U3551" t="n">
        <v>0</v>
      </c>
      <c r="V3551" s="2" t="inlineStr"/>
    </row>
    <row r="3552" ht="15" customHeight="1">
      <c r="A3552" t="inlineStr">
        <is>
          <t>A 59413-2024</t>
        </is>
      </c>
      <c r="B3552" t="inlineStr">
        <is>
          <t>avverkningsanmälan</t>
        </is>
      </c>
      <c r="C3552" t="inlineStr">
        <is>
          <t>Föryngringsavverkning</t>
        </is>
      </c>
      <c r="D3552" s="1" t="n">
        <v>45638</v>
      </c>
      <c r="E3552" s="1" t="n">
        <v>46323</v>
      </c>
      <c r="F3552" t="inlineStr">
        <is>
          <t>KALMAR LÄN</t>
        </is>
      </c>
      <c r="G3552" t="inlineStr">
        <is>
          <t>EMMABODA</t>
        </is>
      </c>
      <c r="I3552" t="n">
        <v>3</v>
      </c>
      <c r="J3552" t="n">
        <v>0</v>
      </c>
      <c r="K3552" t="n">
        <v>0</v>
      </c>
      <c r="L3552" t="n">
        <v>0</v>
      </c>
      <c r="M3552" t="n">
        <v>0</v>
      </c>
      <c r="N3552" t="n">
        <v>0</v>
      </c>
      <c r="O3552" t="n">
        <v>0</v>
      </c>
      <c r="P3552" t="n">
        <v>0</v>
      </c>
      <c r="Q3552" t="n">
        <v>0</v>
      </c>
      <c r="R3552" t="n">
        <v>0</v>
      </c>
      <c r="S3552" t="n">
        <v>0</v>
      </c>
      <c r="T3552" t="n">
        <v>0</v>
      </c>
      <c r="U3552" t="n">
        <v>0</v>
      </c>
      <c r="V3552" s="2" t="inlineStr"/>
    </row>
    <row r="3553" ht="15" customHeight="1">
      <c r="A3553" t="inlineStr">
        <is>
          <t>A 56686-2025</t>
        </is>
      </c>
      <c r="B3553" t="inlineStr">
        <is>
          <t>avverkningsanmälan</t>
        </is>
      </c>
      <c r="C3553" t="inlineStr">
        <is>
          <t>Föryngringsavverkning</t>
        </is>
      </c>
      <c r="D3553" s="1" t="n">
        <v>45975</v>
      </c>
      <c r="E3553" s="1" t="n">
        <v>46323</v>
      </c>
      <c r="F3553" t="inlineStr">
        <is>
          <t>KALMAR LÄN</t>
        </is>
      </c>
      <c r="G3553" t="inlineStr">
        <is>
          <t>NYBRO</t>
        </is>
      </c>
      <c r="I3553" t="n">
        <v>1.3</v>
      </c>
      <c r="J3553" t="n">
        <v>0</v>
      </c>
      <c r="K3553" t="n">
        <v>0</v>
      </c>
      <c r="L3553" t="n">
        <v>0</v>
      </c>
      <c r="M3553" t="n">
        <v>0</v>
      </c>
      <c r="N3553" t="n">
        <v>0</v>
      </c>
      <c r="O3553" t="n">
        <v>0</v>
      </c>
      <c r="P3553" t="n">
        <v>0</v>
      </c>
      <c r="Q3553" t="n">
        <v>0</v>
      </c>
      <c r="R3553" t="n">
        <v>0</v>
      </c>
      <c r="S3553" t="n">
        <v>0</v>
      </c>
      <c r="T3553" t="n">
        <v>0</v>
      </c>
      <c r="U3553" t="n">
        <v>0</v>
      </c>
      <c r="V3553" s="2" t="inlineStr"/>
    </row>
    <row r="3554" ht="15" customHeight="1">
      <c r="A3554" t="inlineStr">
        <is>
          <t>A 10089-2022</t>
        </is>
      </c>
      <c r="B3554" t="inlineStr">
        <is>
          <t>avverkningsanmälan</t>
        </is>
      </c>
      <c r="C3554" t="inlineStr">
        <is>
          <t>Föryngringsavverkning</t>
        </is>
      </c>
      <c r="D3554" s="1" t="n">
        <v>44621</v>
      </c>
      <c r="E3554" s="1" t="n">
        <v>46323</v>
      </c>
      <c r="F3554" t="inlineStr">
        <is>
          <t>KALMAR LÄN</t>
        </is>
      </c>
      <c r="G3554" t="inlineStr">
        <is>
          <t>OSKARSHAMN</t>
        </is>
      </c>
      <c r="I3554" t="n">
        <v>2.6</v>
      </c>
      <c r="J3554" t="n">
        <v>0</v>
      </c>
      <c r="K3554" t="n">
        <v>0</v>
      </c>
      <c r="L3554" t="n">
        <v>0</v>
      </c>
      <c r="M3554" t="n">
        <v>0</v>
      </c>
      <c r="N3554" t="n">
        <v>0</v>
      </c>
      <c r="O3554" t="n">
        <v>0</v>
      </c>
      <c r="P3554" t="n">
        <v>0</v>
      </c>
      <c r="Q3554" t="n">
        <v>0</v>
      </c>
      <c r="R3554" t="n">
        <v>0</v>
      </c>
      <c r="S3554" t="n">
        <v>0</v>
      </c>
      <c r="T3554" t="n">
        <v>0</v>
      </c>
      <c r="U3554" t="n">
        <v>0</v>
      </c>
      <c r="V3554" s="2" t="inlineStr"/>
    </row>
    <row r="3555" ht="15" customHeight="1">
      <c r="A3555" t="inlineStr">
        <is>
          <t>A 38471-2023</t>
        </is>
      </c>
      <c r="B3555" t="inlineStr">
        <is>
          <t>avverkningsanmälan</t>
        </is>
      </c>
      <c r="C3555" t="inlineStr">
        <is>
          <t>Föryngringsavverkning</t>
        </is>
      </c>
      <c r="D3555" s="1" t="n">
        <v>45162</v>
      </c>
      <c r="E3555" s="1" t="n">
        <v>46323</v>
      </c>
      <c r="F3555" t="inlineStr">
        <is>
          <t>KALMAR LÄN</t>
        </is>
      </c>
      <c r="G3555" t="inlineStr">
        <is>
          <t>MÖNSTERÅS</t>
        </is>
      </c>
      <c r="I3555" t="n">
        <v>2.1</v>
      </c>
      <c r="J3555" t="n">
        <v>0</v>
      </c>
      <c r="K3555" t="n">
        <v>0</v>
      </c>
      <c r="L3555" t="n">
        <v>0</v>
      </c>
      <c r="M3555" t="n">
        <v>0</v>
      </c>
      <c r="N3555" t="n">
        <v>0</v>
      </c>
      <c r="O3555" t="n">
        <v>0</v>
      </c>
      <c r="P3555" t="n">
        <v>0</v>
      </c>
      <c r="Q3555" t="n">
        <v>0</v>
      </c>
      <c r="R3555" t="n">
        <v>0</v>
      </c>
      <c r="S3555" t="n">
        <v>0</v>
      </c>
      <c r="T3555" t="n">
        <v>0</v>
      </c>
      <c r="U3555" t="n">
        <v>0</v>
      </c>
      <c r="V3555" s="2" t="inlineStr"/>
    </row>
    <row r="3556" ht="15" customHeight="1">
      <c r="A3556" t="inlineStr">
        <is>
          <t>A 8382-2023</t>
        </is>
      </c>
      <c r="B3556" t="inlineStr">
        <is>
          <t>avverkningsanmälan</t>
        </is>
      </c>
      <c r="C3556" t="inlineStr">
        <is>
          <t>Föryngringsavverkning</t>
        </is>
      </c>
      <c r="D3556" s="1" t="n">
        <v>44977</v>
      </c>
      <c r="E3556" s="1" t="n">
        <v>46323</v>
      </c>
      <c r="F3556" t="inlineStr">
        <is>
          <t>KALMAR LÄN</t>
        </is>
      </c>
      <c r="G3556" t="inlineStr">
        <is>
          <t>VÄSTERVIK</t>
        </is>
      </c>
      <c r="I3556" t="n">
        <v>1.1</v>
      </c>
      <c r="J3556" t="n">
        <v>0</v>
      </c>
      <c r="K3556" t="n">
        <v>0</v>
      </c>
      <c r="L3556" t="n">
        <v>0</v>
      </c>
      <c r="M3556" t="n">
        <v>0</v>
      </c>
      <c r="N3556" t="n">
        <v>0</v>
      </c>
      <c r="O3556" t="n">
        <v>0</v>
      </c>
      <c r="P3556" t="n">
        <v>0</v>
      </c>
      <c r="Q3556" t="n">
        <v>0</v>
      </c>
      <c r="R3556" t="n">
        <v>0</v>
      </c>
      <c r="S3556" t="n">
        <v>0</v>
      </c>
      <c r="T3556" t="n">
        <v>0</v>
      </c>
      <c r="U3556" t="n">
        <v>0</v>
      </c>
      <c r="V3556" s="2" t="inlineStr"/>
    </row>
    <row r="3557" ht="15" customHeight="1">
      <c r="A3557" t="inlineStr">
        <is>
          <t>A 35959-2023</t>
        </is>
      </c>
      <c r="B3557" t="inlineStr">
        <is>
          <t>avverkningsanmälan</t>
        </is>
      </c>
      <c r="C3557" t="inlineStr">
        <is>
          <t>Föryngringsavverkning</t>
        </is>
      </c>
      <c r="D3557" s="1" t="n">
        <v>45148</v>
      </c>
      <c r="E3557" s="1" t="n">
        <v>46323</v>
      </c>
      <c r="F3557" t="inlineStr">
        <is>
          <t>KALMAR LÄN</t>
        </is>
      </c>
      <c r="G3557" t="inlineStr">
        <is>
          <t>VÄSTERVIK</t>
        </is>
      </c>
      <c r="H3557" t="inlineStr">
        <is>
          <t>Sveaskog</t>
        </is>
      </c>
      <c r="I3557" t="n">
        <v>1.1</v>
      </c>
      <c r="J3557" t="n">
        <v>0</v>
      </c>
      <c r="K3557" t="n">
        <v>0</v>
      </c>
      <c r="L3557" t="n">
        <v>0</v>
      </c>
      <c r="M3557" t="n">
        <v>0</v>
      </c>
      <c r="N3557" t="n">
        <v>0</v>
      </c>
      <c r="O3557" t="n">
        <v>0</v>
      </c>
      <c r="P3557" t="n">
        <v>0</v>
      </c>
      <c r="Q3557" t="n">
        <v>0</v>
      </c>
      <c r="R3557" t="n">
        <v>0</v>
      </c>
      <c r="S3557" t="n">
        <v>0</v>
      </c>
      <c r="T3557" t="n">
        <v>0</v>
      </c>
      <c r="U3557" t="n">
        <v>0</v>
      </c>
      <c r="V3557" s="2" t="inlineStr"/>
    </row>
    <row r="3558" ht="15" customHeight="1">
      <c r="A3558" t="inlineStr">
        <is>
          <t>A 3428-2024</t>
        </is>
      </c>
      <c r="B3558" t="inlineStr">
        <is>
          <t>avverkningsanmälan</t>
        </is>
      </c>
      <c r="C3558" t="inlineStr">
        <is>
          <t>Föryngringsavverkning</t>
        </is>
      </c>
      <c r="D3558" s="1" t="n">
        <v>45320</v>
      </c>
      <c r="E3558" s="1" t="n">
        <v>46323</v>
      </c>
      <c r="F3558" t="inlineStr">
        <is>
          <t>KALMAR LÄN</t>
        </is>
      </c>
      <c r="G3558" t="inlineStr">
        <is>
          <t>NYBRO</t>
        </is>
      </c>
      <c r="I3558" t="n">
        <v>1.5</v>
      </c>
      <c r="J3558" t="n">
        <v>0</v>
      </c>
      <c r="K3558" t="n">
        <v>0</v>
      </c>
      <c r="L3558" t="n">
        <v>0</v>
      </c>
      <c r="M3558" t="n">
        <v>0</v>
      </c>
      <c r="N3558" t="n">
        <v>0</v>
      </c>
      <c r="O3558" t="n">
        <v>0</v>
      </c>
      <c r="P3558" t="n">
        <v>0</v>
      </c>
      <c r="Q3558" t="n">
        <v>0</v>
      </c>
      <c r="R3558" t="n">
        <v>0</v>
      </c>
      <c r="S3558" t="n">
        <v>0</v>
      </c>
      <c r="T3558" t="n">
        <v>0</v>
      </c>
      <c r="U3558" t="n">
        <v>0</v>
      </c>
      <c r="V3558" s="2" t="inlineStr"/>
    </row>
    <row r="3559" ht="15" customHeight="1">
      <c r="A3559" t="inlineStr">
        <is>
          <t>A 25717-2022</t>
        </is>
      </c>
      <c r="B3559" t="inlineStr">
        <is>
          <t>avverkningsanmälan</t>
        </is>
      </c>
      <c r="C3559" t="inlineStr">
        <is>
          <t>Avverkning för annat ändamål</t>
        </is>
      </c>
      <c r="D3559" s="1" t="n">
        <v>44733</v>
      </c>
      <c r="E3559" s="1" t="n">
        <v>46323</v>
      </c>
      <c r="F3559" t="inlineStr">
        <is>
          <t>KALMAR LÄN</t>
        </is>
      </c>
      <c r="G3559" t="inlineStr">
        <is>
          <t>NYBRO</t>
        </is>
      </c>
      <c r="I3559" t="n">
        <v>0.1</v>
      </c>
      <c r="J3559" t="n">
        <v>0</v>
      </c>
      <c r="K3559" t="n">
        <v>0</v>
      </c>
      <c r="L3559" t="n">
        <v>0</v>
      </c>
      <c r="M3559" t="n">
        <v>0</v>
      </c>
      <c r="N3559" t="n">
        <v>0</v>
      </c>
      <c r="O3559" t="n">
        <v>0</v>
      </c>
      <c r="P3559" t="n">
        <v>0</v>
      </c>
      <c r="Q3559" t="n">
        <v>0</v>
      </c>
      <c r="R3559" t="n">
        <v>0</v>
      </c>
      <c r="S3559" t="n">
        <v>0</v>
      </c>
      <c r="T3559" t="n">
        <v>0</v>
      </c>
      <c r="U3559" t="n">
        <v>0</v>
      </c>
      <c r="V3559" s="2" t="inlineStr"/>
    </row>
    <row r="3560" ht="15" customHeight="1">
      <c r="A3560" t="inlineStr">
        <is>
          <t>A 56548-2025</t>
        </is>
      </c>
      <c r="B3560" t="inlineStr">
        <is>
          <t>avverkningsanmälan</t>
        </is>
      </c>
      <c r="C3560" t="inlineStr">
        <is>
          <t>Föryngringsavverkning</t>
        </is>
      </c>
      <c r="D3560" s="1" t="n">
        <v>45975</v>
      </c>
      <c r="E3560" s="1" t="n">
        <v>46323</v>
      </c>
      <c r="F3560" t="inlineStr">
        <is>
          <t>KALMAR LÄN</t>
        </is>
      </c>
      <c r="G3560" t="inlineStr">
        <is>
          <t>OSKARSHAMN</t>
        </is>
      </c>
      <c r="I3560" t="n">
        <v>3.9</v>
      </c>
      <c r="J3560" t="n">
        <v>0</v>
      </c>
      <c r="K3560" t="n">
        <v>0</v>
      </c>
      <c r="L3560" t="n">
        <v>0</v>
      </c>
      <c r="M3560" t="n">
        <v>0</v>
      </c>
      <c r="N3560" t="n">
        <v>0</v>
      </c>
      <c r="O3560" t="n">
        <v>0</v>
      </c>
      <c r="P3560" t="n">
        <v>0</v>
      </c>
      <c r="Q3560" t="n">
        <v>0</v>
      </c>
      <c r="R3560" t="n">
        <v>0</v>
      </c>
      <c r="S3560" t="n">
        <v>0</v>
      </c>
      <c r="T3560" t="n">
        <v>0</v>
      </c>
      <c r="U3560" t="n">
        <v>0</v>
      </c>
      <c r="V3560" s="2" t="inlineStr"/>
    </row>
    <row r="3561" ht="15" customHeight="1">
      <c r="A3561" t="inlineStr">
        <is>
          <t>A 43259-2024</t>
        </is>
      </c>
      <c r="B3561" t="inlineStr">
        <is>
          <t>avverkningsanmälan</t>
        </is>
      </c>
      <c r="C3561" t="inlineStr">
        <is>
          <t>Föryngringsavverkning</t>
        </is>
      </c>
      <c r="D3561" s="1" t="n">
        <v>45568</v>
      </c>
      <c r="E3561" s="1" t="n">
        <v>46323</v>
      </c>
      <c r="F3561" t="inlineStr">
        <is>
          <t>KALMAR LÄN</t>
        </is>
      </c>
      <c r="G3561" t="inlineStr">
        <is>
          <t>HULTSFRED</t>
        </is>
      </c>
      <c r="I3561" t="n">
        <v>1.6</v>
      </c>
      <c r="J3561" t="n">
        <v>0</v>
      </c>
      <c r="K3561" t="n">
        <v>0</v>
      </c>
      <c r="L3561" t="n">
        <v>0</v>
      </c>
      <c r="M3561" t="n">
        <v>0</v>
      </c>
      <c r="N3561" t="n">
        <v>0</v>
      </c>
      <c r="O3561" t="n">
        <v>0</v>
      </c>
      <c r="P3561" t="n">
        <v>0</v>
      </c>
      <c r="Q3561" t="n">
        <v>0</v>
      </c>
      <c r="R3561" t="n">
        <v>0</v>
      </c>
      <c r="S3561" t="n">
        <v>0</v>
      </c>
      <c r="T3561" t="n">
        <v>0</v>
      </c>
      <c r="U3561" t="n">
        <v>0</v>
      </c>
      <c r="V3561" s="2" t="inlineStr"/>
    </row>
    <row r="3562" ht="15" customHeight="1">
      <c r="A3562" t="inlineStr">
        <is>
          <t>A 56994-2025</t>
        </is>
      </c>
      <c r="B3562" t="inlineStr">
        <is>
          <t>avverkningsanmälan</t>
        </is>
      </c>
      <c r="C3562" t="inlineStr">
        <is>
          <t>Föryngringsavverkning</t>
        </is>
      </c>
      <c r="D3562" s="1" t="n">
        <v>45978</v>
      </c>
      <c r="E3562" s="1" t="n">
        <v>46323</v>
      </c>
      <c r="F3562" t="inlineStr">
        <is>
          <t>KALMAR LÄN</t>
        </is>
      </c>
      <c r="G3562" t="inlineStr">
        <is>
          <t>KALMAR</t>
        </is>
      </c>
      <c r="I3562" t="n">
        <v>0.4</v>
      </c>
      <c r="J3562" t="n">
        <v>0</v>
      </c>
      <c r="K3562" t="n">
        <v>0</v>
      </c>
      <c r="L3562" t="n">
        <v>0</v>
      </c>
      <c r="M3562" t="n">
        <v>0</v>
      </c>
      <c r="N3562" t="n">
        <v>0</v>
      </c>
      <c r="O3562" t="n">
        <v>0</v>
      </c>
      <c r="P3562" t="n">
        <v>0</v>
      </c>
      <c r="Q3562" t="n">
        <v>0</v>
      </c>
      <c r="R3562" t="n">
        <v>0</v>
      </c>
      <c r="S3562" t="n">
        <v>0</v>
      </c>
      <c r="T3562" t="n">
        <v>0</v>
      </c>
      <c r="U3562" t="n">
        <v>0</v>
      </c>
      <c r="V3562" s="2" t="inlineStr"/>
    </row>
    <row r="3563" ht="15" customHeight="1">
      <c r="A3563" t="inlineStr">
        <is>
          <t>A 50976-2022</t>
        </is>
      </c>
      <c r="B3563" t="inlineStr">
        <is>
          <t>avverkningsanmälan</t>
        </is>
      </c>
      <c r="C3563" t="inlineStr">
        <is>
          <t>Föryngringsavverkning</t>
        </is>
      </c>
      <c r="D3563" s="1" t="n">
        <v>44867</v>
      </c>
      <c r="E3563" s="1" t="n">
        <v>46323</v>
      </c>
      <c r="F3563" t="inlineStr">
        <is>
          <t>KALMAR LÄN</t>
        </is>
      </c>
      <c r="G3563" t="inlineStr">
        <is>
          <t>NYBRO</t>
        </is>
      </c>
      <c r="I3563" t="n">
        <v>2.8</v>
      </c>
      <c r="J3563" t="n">
        <v>0</v>
      </c>
      <c r="K3563" t="n">
        <v>0</v>
      </c>
      <c r="L3563" t="n">
        <v>0</v>
      </c>
      <c r="M3563" t="n">
        <v>0</v>
      </c>
      <c r="N3563" t="n">
        <v>0</v>
      </c>
      <c r="O3563" t="n">
        <v>0</v>
      </c>
      <c r="P3563" t="n">
        <v>0</v>
      </c>
      <c r="Q3563" t="n">
        <v>0</v>
      </c>
      <c r="R3563" t="n">
        <v>0</v>
      </c>
      <c r="S3563" t="n">
        <v>0</v>
      </c>
      <c r="T3563" t="n">
        <v>0</v>
      </c>
      <c r="U3563" t="n">
        <v>0</v>
      </c>
      <c r="V3563" s="2" t="inlineStr"/>
    </row>
    <row r="3564" ht="15" customHeight="1">
      <c r="A3564" t="inlineStr">
        <is>
          <t>A 50993-2022</t>
        </is>
      </c>
      <c r="B3564" t="inlineStr">
        <is>
          <t>avverkningsanmälan</t>
        </is>
      </c>
      <c r="C3564" t="inlineStr">
        <is>
          <t>Föryngringsavverkning</t>
        </is>
      </c>
      <c r="D3564" s="1" t="n">
        <v>44867</v>
      </c>
      <c r="E3564" s="1" t="n">
        <v>46323</v>
      </c>
      <c r="F3564" t="inlineStr">
        <is>
          <t>KALMAR LÄN</t>
        </is>
      </c>
      <c r="G3564" t="inlineStr">
        <is>
          <t>VIMMERBY</t>
        </is>
      </c>
      <c r="I3564" t="n">
        <v>1.7</v>
      </c>
      <c r="J3564" t="n">
        <v>0</v>
      </c>
      <c r="K3564" t="n">
        <v>0</v>
      </c>
      <c r="L3564" t="n">
        <v>0</v>
      </c>
      <c r="M3564" t="n">
        <v>0</v>
      </c>
      <c r="N3564" t="n">
        <v>0</v>
      </c>
      <c r="O3564" t="n">
        <v>0</v>
      </c>
      <c r="P3564" t="n">
        <v>0</v>
      </c>
      <c r="Q3564" t="n">
        <v>0</v>
      </c>
      <c r="R3564" t="n">
        <v>0</v>
      </c>
      <c r="S3564" t="n">
        <v>0</v>
      </c>
      <c r="T3564" t="n">
        <v>0</v>
      </c>
      <c r="U3564" t="n">
        <v>0</v>
      </c>
      <c r="V3564" s="2" t="inlineStr"/>
    </row>
    <row r="3565" ht="15" customHeight="1">
      <c r="A3565" t="inlineStr">
        <is>
          <t>A 46225-2024</t>
        </is>
      </c>
      <c r="B3565" t="inlineStr">
        <is>
          <t>avverkningsanmälan</t>
        </is>
      </c>
      <c r="C3565" t="inlineStr">
        <is>
          <t>Föryngringsavverkning</t>
        </is>
      </c>
      <c r="D3565" s="1" t="n">
        <v>45581</v>
      </c>
      <c r="E3565" s="1" t="n">
        <v>46323</v>
      </c>
      <c r="F3565" t="inlineStr">
        <is>
          <t>KALMAR LÄN</t>
        </is>
      </c>
      <c r="G3565" t="inlineStr">
        <is>
          <t>VIMMERBY</t>
        </is>
      </c>
      <c r="I3565" t="n">
        <v>1.3</v>
      </c>
      <c r="J3565" t="n">
        <v>0</v>
      </c>
      <c r="K3565" t="n">
        <v>0</v>
      </c>
      <c r="L3565" t="n">
        <v>0</v>
      </c>
      <c r="M3565" t="n">
        <v>0</v>
      </c>
      <c r="N3565" t="n">
        <v>0</v>
      </c>
      <c r="O3565" t="n">
        <v>0</v>
      </c>
      <c r="P3565" t="n">
        <v>0</v>
      </c>
      <c r="Q3565" t="n">
        <v>0</v>
      </c>
      <c r="R3565" t="n">
        <v>0</v>
      </c>
      <c r="S3565" t="n">
        <v>0</v>
      </c>
      <c r="T3565" t="n">
        <v>0</v>
      </c>
      <c r="U3565" t="n">
        <v>0</v>
      </c>
      <c r="V3565" s="2" t="inlineStr"/>
    </row>
    <row r="3566" ht="15" customHeight="1">
      <c r="A3566" t="inlineStr">
        <is>
          <t>A 60685-2024</t>
        </is>
      </c>
      <c r="B3566" t="inlineStr">
        <is>
          <t>avverkningsanmälan</t>
        </is>
      </c>
      <c r="C3566" t="inlineStr">
        <is>
          <t>Föryngringsavverkning</t>
        </is>
      </c>
      <c r="D3566" s="1" t="n">
        <v>45644</v>
      </c>
      <c r="E3566" s="1" t="n">
        <v>46323</v>
      </c>
      <c r="F3566" t="inlineStr">
        <is>
          <t>KALMAR LÄN</t>
        </is>
      </c>
      <c r="G3566" t="inlineStr">
        <is>
          <t>VÄSTERVIK</t>
        </is>
      </c>
      <c r="H3566" t="inlineStr">
        <is>
          <t>Holmen skog AB</t>
        </is>
      </c>
      <c r="I3566" t="n">
        <v>1</v>
      </c>
      <c r="J3566" t="n">
        <v>0</v>
      </c>
      <c r="K3566" t="n">
        <v>0</v>
      </c>
      <c r="L3566" t="n">
        <v>0</v>
      </c>
      <c r="M3566" t="n">
        <v>0</v>
      </c>
      <c r="N3566" t="n">
        <v>0</v>
      </c>
      <c r="O3566" t="n">
        <v>0</v>
      </c>
      <c r="P3566" t="n">
        <v>0</v>
      </c>
      <c r="Q3566" t="n">
        <v>0</v>
      </c>
      <c r="R3566" t="n">
        <v>0</v>
      </c>
      <c r="S3566" t="n">
        <v>0</v>
      </c>
      <c r="T3566" t="n">
        <v>0</v>
      </c>
      <c r="U3566" t="n">
        <v>0</v>
      </c>
      <c r="V3566" s="2" t="inlineStr"/>
    </row>
    <row r="3567" ht="15" customHeight="1">
      <c r="A3567" t="inlineStr">
        <is>
          <t>A 592-2025</t>
        </is>
      </c>
      <c r="B3567" t="inlineStr">
        <is>
          <t>avverkningsanmälan</t>
        </is>
      </c>
      <c r="C3567" t="inlineStr">
        <is>
          <t>Föryngringsavverkning</t>
        </is>
      </c>
      <c r="D3567" s="1" t="n">
        <v>45664</v>
      </c>
      <c r="E3567" s="1" t="n">
        <v>46323</v>
      </c>
      <c r="F3567" t="inlineStr">
        <is>
          <t>KALMAR LÄN</t>
        </is>
      </c>
      <c r="G3567" t="inlineStr">
        <is>
          <t>KALMAR</t>
        </is>
      </c>
      <c r="I3567" t="n">
        <v>2.4</v>
      </c>
      <c r="J3567" t="n">
        <v>0</v>
      </c>
      <c r="K3567" t="n">
        <v>0</v>
      </c>
      <c r="L3567" t="n">
        <v>0</v>
      </c>
      <c r="M3567" t="n">
        <v>0</v>
      </c>
      <c r="N3567" t="n">
        <v>0</v>
      </c>
      <c r="O3567" t="n">
        <v>0</v>
      </c>
      <c r="P3567" t="n">
        <v>0</v>
      </c>
      <c r="Q3567" t="n">
        <v>0</v>
      </c>
      <c r="R3567" t="n">
        <v>0</v>
      </c>
      <c r="S3567" t="n">
        <v>0</v>
      </c>
      <c r="T3567" t="n">
        <v>0</v>
      </c>
      <c r="U3567" t="n">
        <v>0</v>
      </c>
      <c r="V3567" s="2" t="inlineStr"/>
    </row>
    <row r="3568" ht="15" customHeight="1">
      <c r="A3568" t="inlineStr">
        <is>
          <t>A 9293-2025</t>
        </is>
      </c>
      <c r="B3568" t="inlineStr">
        <is>
          <t>avverkningsanmälan</t>
        </is>
      </c>
      <c r="C3568" t="inlineStr">
        <is>
          <t>Föryngringsavverkning</t>
        </is>
      </c>
      <c r="D3568" s="1" t="n">
        <v>45714</v>
      </c>
      <c r="E3568" s="1" t="n">
        <v>46323</v>
      </c>
      <c r="F3568" t="inlineStr">
        <is>
          <t>KALMAR LÄN</t>
        </is>
      </c>
      <c r="G3568" t="inlineStr">
        <is>
          <t>HULTSFRED</t>
        </is>
      </c>
      <c r="I3568" t="n">
        <v>3</v>
      </c>
      <c r="J3568" t="n">
        <v>0</v>
      </c>
      <c r="K3568" t="n">
        <v>0</v>
      </c>
      <c r="L3568" t="n">
        <v>0</v>
      </c>
      <c r="M3568" t="n">
        <v>0</v>
      </c>
      <c r="N3568" t="n">
        <v>0</v>
      </c>
      <c r="O3568" t="n">
        <v>0</v>
      </c>
      <c r="P3568" t="n">
        <v>0</v>
      </c>
      <c r="Q3568" t="n">
        <v>0</v>
      </c>
      <c r="R3568" t="n">
        <v>0</v>
      </c>
      <c r="S3568" t="n">
        <v>0</v>
      </c>
      <c r="T3568" t="n">
        <v>0</v>
      </c>
      <c r="U3568" t="n">
        <v>0</v>
      </c>
      <c r="V3568" s="2" t="inlineStr"/>
    </row>
    <row r="3569" ht="15" customHeight="1">
      <c r="A3569" t="inlineStr">
        <is>
          <t>A 56857-2025</t>
        </is>
      </c>
      <c r="B3569" t="inlineStr">
        <is>
          <t>avverkningsanmälan</t>
        </is>
      </c>
      <c r="C3569" t="inlineStr">
        <is>
          <t>Föryngringsavverkning</t>
        </is>
      </c>
      <c r="D3569" s="1" t="n">
        <v>45978</v>
      </c>
      <c r="E3569" s="1" t="n">
        <v>46323</v>
      </c>
      <c r="F3569" t="inlineStr">
        <is>
          <t>KALMAR LÄN</t>
        </is>
      </c>
      <c r="G3569" t="inlineStr">
        <is>
          <t>VÄSTERVIK</t>
        </is>
      </c>
      <c r="H3569" t="inlineStr">
        <is>
          <t>Holmen skog AB</t>
        </is>
      </c>
      <c r="I3569" t="n">
        <v>5.5</v>
      </c>
      <c r="J3569" t="n">
        <v>0</v>
      </c>
      <c r="K3569" t="n">
        <v>0</v>
      </c>
      <c r="L3569" t="n">
        <v>0</v>
      </c>
      <c r="M3569" t="n">
        <v>0</v>
      </c>
      <c r="N3569" t="n">
        <v>0</v>
      </c>
      <c r="O3569" t="n">
        <v>0</v>
      </c>
      <c r="P3569" t="n">
        <v>0</v>
      </c>
      <c r="Q3569" t="n">
        <v>0</v>
      </c>
      <c r="R3569" t="n">
        <v>0</v>
      </c>
      <c r="S3569" t="n">
        <v>0</v>
      </c>
      <c r="T3569" t="n">
        <v>0</v>
      </c>
      <c r="U3569" t="n">
        <v>0</v>
      </c>
      <c r="V3569" s="2" t="inlineStr"/>
    </row>
    <row r="3570" ht="15" customHeight="1">
      <c r="A3570" t="inlineStr">
        <is>
          <t>A 19098-2023</t>
        </is>
      </c>
      <c r="B3570" t="inlineStr">
        <is>
          <t>avverkningsanmälan</t>
        </is>
      </c>
      <c r="C3570" t="inlineStr">
        <is>
          <t>Föryngringsavverkning</t>
        </is>
      </c>
      <c r="D3570" s="1" t="n">
        <v>45048</v>
      </c>
      <c r="E3570" s="1" t="n">
        <v>46323</v>
      </c>
      <c r="F3570" t="inlineStr">
        <is>
          <t>KALMAR LÄN</t>
        </is>
      </c>
      <c r="G3570" t="inlineStr">
        <is>
          <t>EMMABODA</t>
        </is>
      </c>
      <c r="I3570" t="n">
        <v>2.8</v>
      </c>
      <c r="J3570" t="n">
        <v>0</v>
      </c>
      <c r="K3570" t="n">
        <v>0</v>
      </c>
      <c r="L3570" t="n">
        <v>0</v>
      </c>
      <c r="M3570" t="n">
        <v>0</v>
      </c>
      <c r="N3570" t="n">
        <v>0</v>
      </c>
      <c r="O3570" t="n">
        <v>0</v>
      </c>
      <c r="P3570" t="n">
        <v>0</v>
      </c>
      <c r="Q3570" t="n">
        <v>0</v>
      </c>
      <c r="R3570" t="n">
        <v>0</v>
      </c>
      <c r="S3570" t="n">
        <v>0</v>
      </c>
      <c r="T3570" t="n">
        <v>0</v>
      </c>
      <c r="U3570" t="n">
        <v>0</v>
      </c>
      <c r="V3570" s="2" t="inlineStr"/>
    </row>
    <row r="3571" ht="15" customHeight="1">
      <c r="A3571" t="inlineStr">
        <is>
          <t>A 7830-2025</t>
        </is>
      </c>
      <c r="B3571" t="inlineStr">
        <is>
          <t>avverkningsanmälan</t>
        </is>
      </c>
      <c r="C3571" t="inlineStr">
        <is>
          <t>Föryngringsavverkning</t>
        </is>
      </c>
      <c r="D3571" s="1" t="n">
        <v>45706</v>
      </c>
      <c r="E3571" s="1" t="n">
        <v>46323</v>
      </c>
      <c r="F3571" t="inlineStr">
        <is>
          <t>KALMAR LÄN</t>
        </is>
      </c>
      <c r="G3571" t="inlineStr">
        <is>
          <t>NYBRO</t>
        </is>
      </c>
      <c r="I3571" t="n">
        <v>1</v>
      </c>
      <c r="J3571" t="n">
        <v>0</v>
      </c>
      <c r="K3571" t="n">
        <v>0</v>
      </c>
      <c r="L3571" t="n">
        <v>0</v>
      </c>
      <c r="M3571" t="n">
        <v>0</v>
      </c>
      <c r="N3571" t="n">
        <v>0</v>
      </c>
      <c r="O3571" t="n">
        <v>0</v>
      </c>
      <c r="P3571" t="n">
        <v>0</v>
      </c>
      <c r="Q3571" t="n">
        <v>0</v>
      </c>
      <c r="R3571" t="n">
        <v>0</v>
      </c>
      <c r="S3571" t="n">
        <v>0</v>
      </c>
      <c r="T3571" t="n">
        <v>0</v>
      </c>
      <c r="U3571" t="n">
        <v>0</v>
      </c>
      <c r="V3571" s="2" t="inlineStr"/>
    </row>
    <row r="3572" ht="15" customHeight="1">
      <c r="A3572" t="inlineStr">
        <is>
          <t>A 8512-2022</t>
        </is>
      </c>
      <c r="B3572" t="inlineStr">
        <is>
          <t>avverkningsanmälan</t>
        </is>
      </c>
      <c r="C3572" t="inlineStr">
        <is>
          <t>Föryngringsavverkning</t>
        </is>
      </c>
      <c r="D3572" s="1" t="n">
        <v>44613</v>
      </c>
      <c r="E3572" s="1" t="n">
        <v>46323</v>
      </c>
      <c r="F3572" t="inlineStr">
        <is>
          <t>KALMAR LÄN</t>
        </is>
      </c>
      <c r="G3572" t="inlineStr">
        <is>
          <t>TORSÅS</t>
        </is>
      </c>
      <c r="I3572" t="n">
        <v>2.7</v>
      </c>
      <c r="J3572" t="n">
        <v>0</v>
      </c>
      <c r="K3572" t="n">
        <v>0</v>
      </c>
      <c r="L3572" t="n">
        <v>0</v>
      </c>
      <c r="M3572" t="n">
        <v>0</v>
      </c>
      <c r="N3572" t="n">
        <v>0</v>
      </c>
      <c r="O3572" t="n">
        <v>0</v>
      </c>
      <c r="P3572" t="n">
        <v>0</v>
      </c>
      <c r="Q3572" t="n">
        <v>0</v>
      </c>
      <c r="R3572" t="n">
        <v>0</v>
      </c>
      <c r="S3572" t="n">
        <v>0</v>
      </c>
      <c r="T3572" t="n">
        <v>0</v>
      </c>
      <c r="U3572" t="n">
        <v>0</v>
      </c>
      <c r="V3572" s="2" t="inlineStr"/>
    </row>
    <row r="3573" ht="15" customHeight="1">
      <c r="A3573" t="inlineStr">
        <is>
          <t>A 35087-2023</t>
        </is>
      </c>
      <c r="B3573" t="inlineStr">
        <is>
          <t>avverkningsanmälan</t>
        </is>
      </c>
      <c r="C3573" t="inlineStr">
        <is>
          <t>Föryngringsavverkning</t>
        </is>
      </c>
      <c r="D3573" s="1" t="n">
        <v>45145</v>
      </c>
      <c r="E3573" s="1" t="n">
        <v>46323</v>
      </c>
      <c r="F3573" t="inlineStr">
        <is>
          <t>KALMAR LÄN</t>
        </is>
      </c>
      <c r="G3573" t="inlineStr">
        <is>
          <t>HÖGSBY</t>
        </is>
      </c>
      <c r="I3573" t="n">
        <v>1</v>
      </c>
      <c r="J3573" t="n">
        <v>0</v>
      </c>
      <c r="K3573" t="n">
        <v>0</v>
      </c>
      <c r="L3573" t="n">
        <v>0</v>
      </c>
      <c r="M3573" t="n">
        <v>0</v>
      </c>
      <c r="N3573" t="n">
        <v>0</v>
      </c>
      <c r="O3573" t="n">
        <v>0</v>
      </c>
      <c r="P3573" t="n">
        <v>0</v>
      </c>
      <c r="Q3573" t="n">
        <v>0</v>
      </c>
      <c r="R3573" t="n">
        <v>0</v>
      </c>
      <c r="S3573" t="n">
        <v>0</v>
      </c>
      <c r="T3573" t="n">
        <v>0</v>
      </c>
      <c r="U3573" t="n">
        <v>0</v>
      </c>
      <c r="V3573" s="2" t="inlineStr"/>
    </row>
    <row r="3574" ht="15" customHeight="1">
      <c r="A3574" t="inlineStr">
        <is>
          <t>A 36050-2024</t>
        </is>
      </c>
      <c r="B3574" t="inlineStr">
        <is>
          <t>avverkningsanmälan</t>
        </is>
      </c>
      <c r="C3574" t="inlineStr">
        <is>
          <t>Föryngringsavverkning</t>
        </is>
      </c>
      <c r="D3574" s="1" t="n">
        <v>45533</v>
      </c>
      <c r="E3574" s="1" t="n">
        <v>46323</v>
      </c>
      <c r="F3574" t="inlineStr">
        <is>
          <t>KALMAR LÄN</t>
        </is>
      </c>
      <c r="G3574" t="inlineStr">
        <is>
          <t>VÄSTERVIK</t>
        </is>
      </c>
      <c r="H3574" t="inlineStr">
        <is>
          <t>Holmen skog AB</t>
        </is>
      </c>
      <c r="I3574" t="n">
        <v>1.3</v>
      </c>
      <c r="J3574" t="n">
        <v>0</v>
      </c>
      <c r="K3574" t="n">
        <v>0</v>
      </c>
      <c r="L3574" t="n">
        <v>0</v>
      </c>
      <c r="M3574" t="n">
        <v>0</v>
      </c>
      <c r="N3574" t="n">
        <v>0</v>
      </c>
      <c r="O3574" t="n">
        <v>0</v>
      </c>
      <c r="P3574" t="n">
        <v>0</v>
      </c>
      <c r="Q3574" t="n">
        <v>0</v>
      </c>
      <c r="R3574" t="n">
        <v>0</v>
      </c>
      <c r="S3574" t="n">
        <v>0</v>
      </c>
      <c r="T3574" t="n">
        <v>0</v>
      </c>
      <c r="U3574" t="n">
        <v>0</v>
      </c>
      <c r="V3574" s="2" t="inlineStr"/>
    </row>
    <row r="3575" ht="15" customHeight="1">
      <c r="A3575" t="inlineStr">
        <is>
          <t>A 36055-2024</t>
        </is>
      </c>
      <c r="B3575" t="inlineStr">
        <is>
          <t>avverkningsanmälan</t>
        </is>
      </c>
      <c r="C3575" t="inlineStr">
        <is>
          <t>Föryngringsavverkning</t>
        </is>
      </c>
      <c r="D3575" s="1" t="n">
        <v>45533</v>
      </c>
      <c r="E3575" s="1" t="n">
        <v>46323</v>
      </c>
      <c r="F3575" t="inlineStr">
        <is>
          <t>KALMAR LÄN</t>
        </is>
      </c>
      <c r="G3575" t="inlineStr">
        <is>
          <t>VIMMERBY</t>
        </is>
      </c>
      <c r="H3575" t="inlineStr">
        <is>
          <t>Kommuner</t>
        </is>
      </c>
      <c r="I3575" t="n">
        <v>1.9</v>
      </c>
      <c r="J3575" t="n">
        <v>0</v>
      </c>
      <c r="K3575" t="n">
        <v>0</v>
      </c>
      <c r="L3575" t="n">
        <v>0</v>
      </c>
      <c r="M3575" t="n">
        <v>0</v>
      </c>
      <c r="N3575" t="n">
        <v>0</v>
      </c>
      <c r="O3575" t="n">
        <v>0</v>
      </c>
      <c r="P3575" t="n">
        <v>0</v>
      </c>
      <c r="Q3575" t="n">
        <v>0</v>
      </c>
      <c r="R3575" t="n">
        <v>0</v>
      </c>
      <c r="S3575" t="n">
        <v>0</v>
      </c>
      <c r="T3575" t="n">
        <v>0</v>
      </c>
      <c r="U3575" t="n">
        <v>0</v>
      </c>
      <c r="V3575" s="2" t="inlineStr"/>
    </row>
    <row r="3576" ht="15" customHeight="1">
      <c r="A3576" t="inlineStr">
        <is>
          <t>A 7308-2023</t>
        </is>
      </c>
      <c r="B3576" t="inlineStr">
        <is>
          <t>avverkningsanmälan</t>
        </is>
      </c>
      <c r="C3576" t="inlineStr">
        <is>
          <t>Föryngringsavverkning</t>
        </is>
      </c>
      <c r="D3576" s="1" t="n">
        <v>44970</v>
      </c>
      <c r="E3576" s="1" t="n">
        <v>46323</v>
      </c>
      <c r="F3576" t="inlineStr">
        <is>
          <t>KALMAR LÄN</t>
        </is>
      </c>
      <c r="G3576" t="inlineStr">
        <is>
          <t>NYBRO</t>
        </is>
      </c>
      <c r="I3576" t="n">
        <v>0.8</v>
      </c>
      <c r="J3576" t="n">
        <v>0</v>
      </c>
      <c r="K3576" t="n">
        <v>0</v>
      </c>
      <c r="L3576" t="n">
        <v>0</v>
      </c>
      <c r="M3576" t="n">
        <v>0</v>
      </c>
      <c r="N3576" t="n">
        <v>0</v>
      </c>
      <c r="O3576" t="n">
        <v>0</v>
      </c>
      <c r="P3576" t="n">
        <v>0</v>
      </c>
      <c r="Q3576" t="n">
        <v>0</v>
      </c>
      <c r="R3576" t="n">
        <v>0</v>
      </c>
      <c r="S3576" t="n">
        <v>0</v>
      </c>
      <c r="T3576" t="n">
        <v>0</v>
      </c>
      <c r="U3576" t="n">
        <v>0</v>
      </c>
      <c r="V3576" s="2" t="inlineStr"/>
    </row>
    <row r="3577" ht="15" customHeight="1">
      <c r="A3577" t="inlineStr">
        <is>
          <t>A 9877-2024</t>
        </is>
      </c>
      <c r="B3577" t="inlineStr">
        <is>
          <t>avverkningsanmälan</t>
        </is>
      </c>
      <c r="C3577" t="inlineStr">
        <is>
          <t>Föryngringsavverkning</t>
        </is>
      </c>
      <c r="D3577" s="1" t="n">
        <v>45363</v>
      </c>
      <c r="E3577" s="1" t="n">
        <v>46323</v>
      </c>
      <c r="F3577" t="inlineStr">
        <is>
          <t>KALMAR LÄN</t>
        </is>
      </c>
      <c r="G3577" t="inlineStr">
        <is>
          <t>KALMAR</t>
        </is>
      </c>
      <c r="I3577" t="n">
        <v>3.5</v>
      </c>
      <c r="J3577" t="n">
        <v>0</v>
      </c>
      <c r="K3577" t="n">
        <v>0</v>
      </c>
      <c r="L3577" t="n">
        <v>0</v>
      </c>
      <c r="M3577" t="n">
        <v>0</v>
      </c>
      <c r="N3577" t="n">
        <v>0</v>
      </c>
      <c r="O3577" t="n">
        <v>0</v>
      </c>
      <c r="P3577" t="n">
        <v>0</v>
      </c>
      <c r="Q3577" t="n">
        <v>0</v>
      </c>
      <c r="R3577" t="n">
        <v>0</v>
      </c>
      <c r="S3577" t="n">
        <v>0</v>
      </c>
      <c r="T3577" t="n">
        <v>0</v>
      </c>
      <c r="U3577" t="n">
        <v>0</v>
      </c>
      <c r="V3577" s="2" t="inlineStr"/>
    </row>
    <row r="3578" ht="15" customHeight="1">
      <c r="A3578" t="inlineStr">
        <is>
          <t>A 45463-2024</t>
        </is>
      </c>
      <c r="B3578" t="inlineStr">
        <is>
          <t>avverkningsanmälan</t>
        </is>
      </c>
      <c r="C3578" t="inlineStr">
        <is>
          <t>Föryngringsavverkning</t>
        </is>
      </c>
      <c r="D3578" s="1" t="n">
        <v>45576</v>
      </c>
      <c r="E3578" s="1" t="n">
        <v>46323</v>
      </c>
      <c r="F3578" t="inlineStr">
        <is>
          <t>KALMAR LÄN</t>
        </is>
      </c>
      <c r="G3578" t="inlineStr">
        <is>
          <t>VÄSTERVIK</t>
        </is>
      </c>
      <c r="I3578" t="n">
        <v>0.8</v>
      </c>
      <c r="J3578" t="n">
        <v>0</v>
      </c>
      <c r="K3578" t="n">
        <v>0</v>
      </c>
      <c r="L3578" t="n">
        <v>0</v>
      </c>
      <c r="M3578" t="n">
        <v>0</v>
      </c>
      <c r="N3578" t="n">
        <v>0</v>
      </c>
      <c r="O3578" t="n">
        <v>0</v>
      </c>
      <c r="P3578" t="n">
        <v>0</v>
      </c>
      <c r="Q3578" t="n">
        <v>0</v>
      </c>
      <c r="R3578" t="n">
        <v>0</v>
      </c>
      <c r="S3578" t="n">
        <v>0</v>
      </c>
      <c r="T3578" t="n">
        <v>0</v>
      </c>
      <c r="U3578" t="n">
        <v>0</v>
      </c>
      <c r="V3578" s="2" t="inlineStr"/>
    </row>
    <row r="3579" ht="15" customHeight="1">
      <c r="A3579" t="inlineStr">
        <is>
          <t>A 9025-2022</t>
        </is>
      </c>
      <c r="B3579" t="inlineStr">
        <is>
          <t>avverkningsanmälan</t>
        </is>
      </c>
      <c r="C3579" t="inlineStr">
        <is>
          <t>Föryngringsavverkning</t>
        </is>
      </c>
      <c r="D3579" s="1" t="n">
        <v>44615</v>
      </c>
      <c r="E3579" s="1" t="n">
        <v>46323</v>
      </c>
      <c r="F3579" t="inlineStr">
        <is>
          <t>KALMAR LÄN</t>
        </is>
      </c>
      <c r="G3579" t="inlineStr">
        <is>
          <t>VÄSTERVIK</t>
        </is>
      </c>
      <c r="I3579" t="n">
        <v>0.6</v>
      </c>
      <c r="J3579" t="n">
        <v>0</v>
      </c>
      <c r="K3579" t="n">
        <v>0</v>
      </c>
      <c r="L3579" t="n">
        <v>0</v>
      </c>
      <c r="M3579" t="n">
        <v>0</v>
      </c>
      <c r="N3579" t="n">
        <v>0</v>
      </c>
      <c r="O3579" t="n">
        <v>0</v>
      </c>
      <c r="P3579" t="n">
        <v>0</v>
      </c>
      <c r="Q3579" t="n">
        <v>0</v>
      </c>
      <c r="R3579" t="n">
        <v>0</v>
      </c>
      <c r="S3579" t="n">
        <v>0</v>
      </c>
      <c r="T3579" t="n">
        <v>0</v>
      </c>
      <c r="U3579" t="n">
        <v>0</v>
      </c>
      <c r="V3579" s="2" t="inlineStr"/>
    </row>
    <row r="3580" ht="15" customHeight="1">
      <c r="A3580" t="inlineStr">
        <is>
          <t>A 35306-2023</t>
        </is>
      </c>
      <c r="B3580" t="inlineStr">
        <is>
          <t>avverkningsanmälan</t>
        </is>
      </c>
      <c r="C3580" t="inlineStr">
        <is>
          <t>Föryngringsavverkning</t>
        </is>
      </c>
      <c r="D3580" s="1" t="n">
        <v>45146</v>
      </c>
      <c r="E3580" s="1" t="n">
        <v>46323</v>
      </c>
      <c r="F3580" t="inlineStr">
        <is>
          <t>KALMAR LÄN</t>
        </is>
      </c>
      <c r="G3580" t="inlineStr">
        <is>
          <t>EMMABODA</t>
        </is>
      </c>
      <c r="I3580" t="n">
        <v>1</v>
      </c>
      <c r="J3580" t="n">
        <v>0</v>
      </c>
      <c r="K3580" t="n">
        <v>0</v>
      </c>
      <c r="L3580" t="n">
        <v>0</v>
      </c>
      <c r="M3580" t="n">
        <v>0</v>
      </c>
      <c r="N3580" t="n">
        <v>0</v>
      </c>
      <c r="O3580" t="n">
        <v>0</v>
      </c>
      <c r="P3580" t="n">
        <v>0</v>
      </c>
      <c r="Q3580" t="n">
        <v>0</v>
      </c>
      <c r="R3580" t="n">
        <v>0</v>
      </c>
      <c r="S3580" t="n">
        <v>0</v>
      </c>
      <c r="T3580" t="n">
        <v>0</v>
      </c>
      <c r="U3580" t="n">
        <v>0</v>
      </c>
      <c r="V3580" s="2" t="inlineStr"/>
    </row>
    <row r="3581" ht="15" customHeight="1">
      <c r="A3581" t="inlineStr">
        <is>
          <t>A 10398-2023</t>
        </is>
      </c>
      <c r="B3581" t="inlineStr">
        <is>
          <t>avverkningsanmälan</t>
        </is>
      </c>
      <c r="C3581" t="inlineStr">
        <is>
          <t>Föryngringsavverkning</t>
        </is>
      </c>
      <c r="D3581" s="1" t="n">
        <v>44981</v>
      </c>
      <c r="E3581" s="1" t="n">
        <v>46323</v>
      </c>
      <c r="F3581" t="inlineStr">
        <is>
          <t>KALMAR LÄN</t>
        </is>
      </c>
      <c r="G3581" t="inlineStr">
        <is>
          <t>MÖNSTERÅS</t>
        </is>
      </c>
      <c r="I3581" t="n">
        <v>4.8</v>
      </c>
      <c r="J3581" t="n">
        <v>0</v>
      </c>
      <c r="K3581" t="n">
        <v>0</v>
      </c>
      <c r="L3581" t="n">
        <v>0</v>
      </c>
      <c r="M3581" t="n">
        <v>0</v>
      </c>
      <c r="N3581" t="n">
        <v>0</v>
      </c>
      <c r="O3581" t="n">
        <v>0</v>
      </c>
      <c r="P3581" t="n">
        <v>0</v>
      </c>
      <c r="Q3581" t="n">
        <v>0</v>
      </c>
      <c r="R3581" t="n">
        <v>0</v>
      </c>
      <c r="S3581" t="n">
        <v>0</v>
      </c>
      <c r="T3581" t="n">
        <v>0</v>
      </c>
      <c r="U3581" t="n">
        <v>0</v>
      </c>
      <c r="V3581" s="2" t="inlineStr"/>
    </row>
    <row r="3582" ht="15" customHeight="1">
      <c r="A3582" t="inlineStr">
        <is>
          <t>A 52913-2024</t>
        </is>
      </c>
      <c r="B3582" t="inlineStr">
        <is>
          <t>avverkningsanmälan</t>
        </is>
      </c>
      <c r="C3582" t="inlineStr">
        <is>
          <t>Föryngringsavverkning</t>
        </is>
      </c>
      <c r="D3582" s="1" t="n">
        <v>45610</v>
      </c>
      <c r="E3582" s="1" t="n">
        <v>46323</v>
      </c>
      <c r="F3582" t="inlineStr">
        <is>
          <t>KALMAR LÄN</t>
        </is>
      </c>
      <c r="G3582" t="inlineStr">
        <is>
          <t>EMMABODA</t>
        </is>
      </c>
      <c r="I3582" t="n">
        <v>6.6</v>
      </c>
      <c r="J3582" t="n">
        <v>0</v>
      </c>
      <c r="K3582" t="n">
        <v>0</v>
      </c>
      <c r="L3582" t="n">
        <v>0</v>
      </c>
      <c r="M3582" t="n">
        <v>0</v>
      </c>
      <c r="N3582" t="n">
        <v>0</v>
      </c>
      <c r="O3582" t="n">
        <v>0</v>
      </c>
      <c r="P3582" t="n">
        <v>0</v>
      </c>
      <c r="Q3582" t="n">
        <v>0</v>
      </c>
      <c r="R3582" t="n">
        <v>0</v>
      </c>
      <c r="S3582" t="n">
        <v>0</v>
      </c>
      <c r="T3582" t="n">
        <v>0</v>
      </c>
      <c r="U3582" t="n">
        <v>0</v>
      </c>
      <c r="V3582" s="2" t="inlineStr"/>
    </row>
    <row r="3583" ht="15" customHeight="1">
      <c r="A3583" t="inlineStr">
        <is>
          <t>A 8300-2025</t>
        </is>
      </c>
      <c r="B3583" t="inlineStr">
        <is>
          <t>avverkningsanmälan</t>
        </is>
      </c>
      <c r="C3583" t="inlineStr">
        <is>
          <t>Föryngringsavverkning</t>
        </is>
      </c>
      <c r="D3583" s="1" t="n">
        <v>45708</v>
      </c>
      <c r="E3583" s="1" t="n">
        <v>46323</v>
      </c>
      <c r="F3583" t="inlineStr">
        <is>
          <t>KALMAR LÄN</t>
        </is>
      </c>
      <c r="G3583" t="inlineStr">
        <is>
          <t>OSKARSHAMN</t>
        </is>
      </c>
      <c r="I3583" t="n">
        <v>2.3</v>
      </c>
      <c r="J3583" t="n">
        <v>0</v>
      </c>
      <c r="K3583" t="n">
        <v>0</v>
      </c>
      <c r="L3583" t="n">
        <v>0</v>
      </c>
      <c r="M3583" t="n">
        <v>0</v>
      </c>
      <c r="N3583" t="n">
        <v>0</v>
      </c>
      <c r="O3583" t="n">
        <v>0</v>
      </c>
      <c r="P3583" t="n">
        <v>0</v>
      </c>
      <c r="Q3583" t="n">
        <v>0</v>
      </c>
      <c r="R3583" t="n">
        <v>0</v>
      </c>
      <c r="S3583" t="n">
        <v>0</v>
      </c>
      <c r="T3583" t="n">
        <v>0</v>
      </c>
      <c r="U3583" t="n">
        <v>0</v>
      </c>
      <c r="V3583" s="2" t="inlineStr"/>
    </row>
    <row r="3584" ht="15" customHeight="1">
      <c r="A3584" t="inlineStr">
        <is>
          <t>A 10413-2023</t>
        </is>
      </c>
      <c r="B3584" t="inlineStr">
        <is>
          <t>avverkningsanmälan</t>
        </is>
      </c>
      <c r="C3584" t="inlineStr">
        <is>
          <t>Föryngringsavverkning</t>
        </is>
      </c>
      <c r="D3584" s="1" t="n">
        <v>44987</v>
      </c>
      <c r="E3584" s="1" t="n">
        <v>46323</v>
      </c>
      <c r="F3584" t="inlineStr">
        <is>
          <t>KALMAR LÄN</t>
        </is>
      </c>
      <c r="G3584" t="inlineStr">
        <is>
          <t>HÖGSBY</t>
        </is>
      </c>
      <c r="I3584" t="n">
        <v>1.5</v>
      </c>
      <c r="J3584" t="n">
        <v>0</v>
      </c>
      <c r="K3584" t="n">
        <v>0</v>
      </c>
      <c r="L3584" t="n">
        <v>0</v>
      </c>
      <c r="M3584" t="n">
        <v>0</v>
      </c>
      <c r="N3584" t="n">
        <v>0</v>
      </c>
      <c r="O3584" t="n">
        <v>0</v>
      </c>
      <c r="P3584" t="n">
        <v>0</v>
      </c>
      <c r="Q3584" t="n">
        <v>0</v>
      </c>
      <c r="R3584" t="n">
        <v>0</v>
      </c>
      <c r="S3584" t="n">
        <v>0</v>
      </c>
      <c r="T3584" t="n">
        <v>0</v>
      </c>
      <c r="U3584" t="n">
        <v>0</v>
      </c>
      <c r="V3584" s="2" t="inlineStr"/>
    </row>
    <row r="3585" ht="15" customHeight="1">
      <c r="A3585" t="inlineStr">
        <is>
          <t>A 22889-2024</t>
        </is>
      </c>
      <c r="B3585" t="inlineStr">
        <is>
          <t>avverkningsanmälan</t>
        </is>
      </c>
      <c r="C3585" t="inlineStr">
        <is>
          <t>Föryngringsavverkning</t>
        </is>
      </c>
      <c r="D3585" s="1" t="n">
        <v>45448</v>
      </c>
      <c r="E3585" s="1" t="n">
        <v>46323</v>
      </c>
      <c r="F3585" t="inlineStr">
        <is>
          <t>KALMAR LÄN</t>
        </is>
      </c>
      <c r="G3585" t="inlineStr">
        <is>
          <t>OSKARSHAMN</t>
        </is>
      </c>
      <c r="I3585" t="n">
        <v>6.2</v>
      </c>
      <c r="J3585" t="n">
        <v>0</v>
      </c>
      <c r="K3585" t="n">
        <v>0</v>
      </c>
      <c r="L3585" t="n">
        <v>0</v>
      </c>
      <c r="M3585" t="n">
        <v>0</v>
      </c>
      <c r="N3585" t="n">
        <v>0</v>
      </c>
      <c r="O3585" t="n">
        <v>0</v>
      </c>
      <c r="P3585" t="n">
        <v>0</v>
      </c>
      <c r="Q3585" t="n">
        <v>0</v>
      </c>
      <c r="R3585" t="n">
        <v>0</v>
      </c>
      <c r="S3585" t="n">
        <v>0</v>
      </c>
      <c r="T3585" t="n">
        <v>0</v>
      </c>
      <c r="U3585" t="n">
        <v>0</v>
      </c>
      <c r="V3585" s="2" t="inlineStr"/>
    </row>
    <row r="3586" ht="15" customHeight="1">
      <c r="A3586" t="inlineStr">
        <is>
          <t>A 33814-2023</t>
        </is>
      </c>
      <c r="B3586" t="inlineStr">
        <is>
          <t>avverkningsanmälan</t>
        </is>
      </c>
      <c r="C3586" t="inlineStr">
        <is>
          <t>Föryngringsavverkning</t>
        </is>
      </c>
      <c r="D3586" s="1" t="n">
        <v>45133</v>
      </c>
      <c r="E3586" s="1" t="n">
        <v>46323</v>
      </c>
      <c r="F3586" t="inlineStr">
        <is>
          <t>KALMAR LÄN</t>
        </is>
      </c>
      <c r="G3586" t="inlineStr">
        <is>
          <t>VÄSTERVIK</t>
        </is>
      </c>
      <c r="I3586" t="n">
        <v>3.9</v>
      </c>
      <c r="J3586" t="n">
        <v>0</v>
      </c>
      <c r="K3586" t="n">
        <v>0</v>
      </c>
      <c r="L3586" t="n">
        <v>0</v>
      </c>
      <c r="M3586" t="n">
        <v>0</v>
      </c>
      <c r="N3586" t="n">
        <v>0</v>
      </c>
      <c r="O3586" t="n">
        <v>0</v>
      </c>
      <c r="P3586" t="n">
        <v>0</v>
      </c>
      <c r="Q3586" t="n">
        <v>0</v>
      </c>
      <c r="R3586" t="n">
        <v>0</v>
      </c>
      <c r="S3586" t="n">
        <v>0</v>
      </c>
      <c r="T3586" t="n">
        <v>0</v>
      </c>
      <c r="U3586" t="n">
        <v>0</v>
      </c>
      <c r="V3586" s="2" t="inlineStr"/>
    </row>
    <row r="3587" ht="15" customHeight="1">
      <c r="A3587" t="inlineStr">
        <is>
          <t>A 47399-2025</t>
        </is>
      </c>
      <c r="B3587" t="inlineStr">
        <is>
          <t>avverkningsanmälan</t>
        </is>
      </c>
      <c r="C3587" t="inlineStr">
        <is>
          <t>Föryngringsavverkning</t>
        </is>
      </c>
      <c r="D3587" s="1" t="n">
        <v>45930</v>
      </c>
      <c r="E3587" s="1" t="n">
        <v>46323</v>
      </c>
      <c r="F3587" t="inlineStr">
        <is>
          <t>KALMAR LÄN</t>
        </is>
      </c>
      <c r="G3587" t="inlineStr">
        <is>
          <t>KALMAR</t>
        </is>
      </c>
      <c r="I3587" t="n">
        <v>2.1</v>
      </c>
      <c r="J3587" t="n">
        <v>0</v>
      </c>
      <c r="K3587" t="n">
        <v>0</v>
      </c>
      <c r="L3587" t="n">
        <v>0</v>
      </c>
      <c r="M3587" t="n">
        <v>0</v>
      </c>
      <c r="N3587" t="n">
        <v>0</v>
      </c>
      <c r="O3587" t="n">
        <v>0</v>
      </c>
      <c r="P3587" t="n">
        <v>0</v>
      </c>
      <c r="Q3587" t="n">
        <v>0</v>
      </c>
      <c r="R3587" t="n">
        <v>0</v>
      </c>
      <c r="S3587" t="n">
        <v>0</v>
      </c>
      <c r="T3587" t="n">
        <v>0</v>
      </c>
      <c r="U3587" t="n">
        <v>0</v>
      </c>
      <c r="V3587" s="2" t="inlineStr"/>
    </row>
    <row r="3588" ht="15" customHeight="1">
      <c r="A3588" t="inlineStr">
        <is>
          <t>A 43934-2024</t>
        </is>
      </c>
      <c r="B3588" t="inlineStr">
        <is>
          <t>avverkningsanmälan</t>
        </is>
      </c>
      <c r="C3588" t="inlineStr">
        <is>
          <t>Föryngringsavverkning</t>
        </is>
      </c>
      <c r="D3588" s="1" t="n">
        <v>45572</v>
      </c>
      <c r="E3588" s="1" t="n">
        <v>46323</v>
      </c>
      <c r="F3588" t="inlineStr">
        <is>
          <t>KALMAR LÄN</t>
        </is>
      </c>
      <c r="G3588" t="inlineStr">
        <is>
          <t>OSKARSHAMN</t>
        </is>
      </c>
      <c r="I3588" t="n">
        <v>3</v>
      </c>
      <c r="J3588" t="n">
        <v>0</v>
      </c>
      <c r="K3588" t="n">
        <v>0</v>
      </c>
      <c r="L3588" t="n">
        <v>0</v>
      </c>
      <c r="M3588" t="n">
        <v>0</v>
      </c>
      <c r="N3588" t="n">
        <v>0</v>
      </c>
      <c r="O3588" t="n">
        <v>0</v>
      </c>
      <c r="P3588" t="n">
        <v>0</v>
      </c>
      <c r="Q3588" t="n">
        <v>0</v>
      </c>
      <c r="R3588" t="n">
        <v>0</v>
      </c>
      <c r="S3588" t="n">
        <v>0</v>
      </c>
      <c r="T3588" t="n">
        <v>0</v>
      </c>
      <c r="U3588" t="n">
        <v>0</v>
      </c>
      <c r="V3588" s="2" t="inlineStr"/>
    </row>
    <row r="3589" ht="15" customHeight="1">
      <c r="A3589" t="inlineStr">
        <is>
          <t>A 43984-2024</t>
        </is>
      </c>
      <c r="B3589" t="inlineStr">
        <is>
          <t>avverkningsanmälan</t>
        </is>
      </c>
      <c r="C3589" t="inlineStr">
        <is>
          <t>Föryngringsavverkning</t>
        </is>
      </c>
      <c r="D3589" s="1" t="n">
        <v>45572</v>
      </c>
      <c r="E3589" s="1" t="n">
        <v>46323</v>
      </c>
      <c r="F3589" t="inlineStr">
        <is>
          <t>KALMAR LÄN</t>
        </is>
      </c>
      <c r="G3589" t="inlineStr">
        <is>
          <t>NYBRO</t>
        </is>
      </c>
      <c r="I3589" t="n">
        <v>1</v>
      </c>
      <c r="J3589" t="n">
        <v>0</v>
      </c>
      <c r="K3589" t="n">
        <v>0</v>
      </c>
      <c r="L3589" t="n">
        <v>0</v>
      </c>
      <c r="M3589" t="n">
        <v>0</v>
      </c>
      <c r="N3589" t="n">
        <v>0</v>
      </c>
      <c r="O3589" t="n">
        <v>0</v>
      </c>
      <c r="P3589" t="n">
        <v>0</v>
      </c>
      <c r="Q3589" t="n">
        <v>0</v>
      </c>
      <c r="R3589" t="n">
        <v>0</v>
      </c>
      <c r="S3589" t="n">
        <v>0</v>
      </c>
      <c r="T3589" t="n">
        <v>0</v>
      </c>
      <c r="U3589" t="n">
        <v>0</v>
      </c>
      <c r="V3589" s="2" t="inlineStr"/>
    </row>
    <row r="3590" ht="15" customHeight="1">
      <c r="A3590" t="inlineStr">
        <is>
          <t>A 46429-2024</t>
        </is>
      </c>
      <c r="B3590" t="inlineStr">
        <is>
          <t>avverkningsanmälan</t>
        </is>
      </c>
      <c r="C3590" t="inlineStr">
        <is>
          <t>Föryngringsavverkning</t>
        </is>
      </c>
      <c r="D3590" s="1" t="n">
        <v>45582</v>
      </c>
      <c r="E3590" s="1" t="n">
        <v>46323</v>
      </c>
      <c r="F3590" t="inlineStr">
        <is>
          <t>KALMAR LÄN</t>
        </is>
      </c>
      <c r="G3590" t="inlineStr">
        <is>
          <t>EMMABODA</t>
        </is>
      </c>
      <c r="I3590" t="n">
        <v>2.5</v>
      </c>
      <c r="J3590" t="n">
        <v>0</v>
      </c>
      <c r="K3590" t="n">
        <v>0</v>
      </c>
      <c r="L3590" t="n">
        <v>0</v>
      </c>
      <c r="M3590" t="n">
        <v>0</v>
      </c>
      <c r="N3590" t="n">
        <v>0</v>
      </c>
      <c r="O3590" t="n">
        <v>0</v>
      </c>
      <c r="P3590" t="n">
        <v>0</v>
      </c>
      <c r="Q3590" t="n">
        <v>0</v>
      </c>
      <c r="R3590" t="n">
        <v>0</v>
      </c>
      <c r="S3590" t="n">
        <v>0</v>
      </c>
      <c r="T3590" t="n">
        <v>0</v>
      </c>
      <c r="U3590" t="n">
        <v>0</v>
      </c>
      <c r="V3590" s="2" t="inlineStr"/>
    </row>
    <row r="3591" ht="15" customHeight="1">
      <c r="A3591" t="inlineStr">
        <is>
          <t>A 47859-2024</t>
        </is>
      </c>
      <c r="B3591" t="inlineStr">
        <is>
          <t>avverkningsanmälan</t>
        </is>
      </c>
      <c r="C3591" t="inlineStr">
        <is>
          <t>Föryngringsavverkning</t>
        </is>
      </c>
      <c r="D3591" s="1" t="n">
        <v>45588</v>
      </c>
      <c r="E3591" s="1" t="n">
        <v>46323</v>
      </c>
      <c r="F3591" t="inlineStr">
        <is>
          <t>KALMAR LÄN</t>
        </is>
      </c>
      <c r="G3591" t="inlineStr">
        <is>
          <t>VIMMERBY</t>
        </is>
      </c>
      <c r="I3591" t="n">
        <v>1.7</v>
      </c>
      <c r="J3591" t="n">
        <v>0</v>
      </c>
      <c r="K3591" t="n">
        <v>0</v>
      </c>
      <c r="L3591" t="n">
        <v>0</v>
      </c>
      <c r="M3591" t="n">
        <v>0</v>
      </c>
      <c r="N3591" t="n">
        <v>0</v>
      </c>
      <c r="O3591" t="n">
        <v>0</v>
      </c>
      <c r="P3591" t="n">
        <v>0</v>
      </c>
      <c r="Q3591" t="n">
        <v>0</v>
      </c>
      <c r="R3591" t="n">
        <v>0</v>
      </c>
      <c r="S3591" t="n">
        <v>0</v>
      </c>
      <c r="T3591" t="n">
        <v>0</v>
      </c>
      <c r="U3591" t="n">
        <v>0</v>
      </c>
      <c r="V3591" s="2" t="inlineStr"/>
    </row>
    <row r="3592" ht="15" customHeight="1">
      <c r="A3592" t="inlineStr">
        <is>
          <t>A 30400-2023</t>
        </is>
      </c>
      <c r="B3592" t="inlineStr">
        <is>
          <t>avverkningsanmälan</t>
        </is>
      </c>
      <c r="C3592" t="inlineStr">
        <is>
          <t>Föryngringsavverkning</t>
        </is>
      </c>
      <c r="D3592" s="1" t="n">
        <v>45111</v>
      </c>
      <c r="E3592" s="1" t="n">
        <v>46323</v>
      </c>
      <c r="F3592" t="inlineStr">
        <is>
          <t>KALMAR LÄN</t>
        </is>
      </c>
      <c r="G3592" t="inlineStr">
        <is>
          <t>VIMMERBY</t>
        </is>
      </c>
      <c r="I3592" t="n">
        <v>2.7</v>
      </c>
      <c r="J3592" t="n">
        <v>0</v>
      </c>
      <c r="K3592" t="n">
        <v>0</v>
      </c>
      <c r="L3592" t="n">
        <v>0</v>
      </c>
      <c r="M3592" t="n">
        <v>0</v>
      </c>
      <c r="N3592" t="n">
        <v>0</v>
      </c>
      <c r="O3592" t="n">
        <v>0</v>
      </c>
      <c r="P3592" t="n">
        <v>0</v>
      </c>
      <c r="Q3592" t="n">
        <v>0</v>
      </c>
      <c r="R3592" t="n">
        <v>0</v>
      </c>
      <c r="S3592" t="n">
        <v>0</v>
      </c>
      <c r="T3592" t="n">
        <v>0</v>
      </c>
      <c r="U3592" t="n">
        <v>0</v>
      </c>
      <c r="V3592" s="2" t="inlineStr"/>
    </row>
    <row r="3593" ht="15" customHeight="1">
      <c r="A3593" t="inlineStr">
        <is>
          <t>A 30404-2023</t>
        </is>
      </c>
      <c r="B3593" t="inlineStr">
        <is>
          <t>avverkningsanmälan</t>
        </is>
      </c>
      <c r="C3593" t="inlineStr">
        <is>
          <t>Föryngringsavverkning</t>
        </is>
      </c>
      <c r="D3593" s="1" t="n">
        <v>45111</v>
      </c>
      <c r="E3593" s="1" t="n">
        <v>46323</v>
      </c>
      <c r="F3593" t="inlineStr">
        <is>
          <t>KALMAR LÄN</t>
        </is>
      </c>
      <c r="G3593" t="inlineStr">
        <is>
          <t>VIMMERBY</t>
        </is>
      </c>
      <c r="I3593" t="n">
        <v>0.6</v>
      </c>
      <c r="J3593" t="n">
        <v>0</v>
      </c>
      <c r="K3593" t="n">
        <v>0</v>
      </c>
      <c r="L3593" t="n">
        <v>0</v>
      </c>
      <c r="M3593" t="n">
        <v>0</v>
      </c>
      <c r="N3593" t="n">
        <v>0</v>
      </c>
      <c r="O3593" t="n">
        <v>0</v>
      </c>
      <c r="P3593" t="n">
        <v>0</v>
      </c>
      <c r="Q3593" t="n">
        <v>0</v>
      </c>
      <c r="R3593" t="n">
        <v>0</v>
      </c>
      <c r="S3593" t="n">
        <v>0</v>
      </c>
      <c r="T3593" t="n">
        <v>0</v>
      </c>
      <c r="U3593" t="n">
        <v>0</v>
      </c>
      <c r="V3593" s="2" t="inlineStr"/>
    </row>
    <row r="3594" ht="15" customHeight="1">
      <c r="A3594" t="inlineStr">
        <is>
          <t>A 1757-2025</t>
        </is>
      </c>
      <c r="B3594" t="inlineStr">
        <is>
          <t>avverkningsanmälan</t>
        </is>
      </c>
      <c r="C3594" t="inlineStr">
        <is>
          <t>Föryngringsavverkning</t>
        </is>
      </c>
      <c r="D3594" s="1" t="n">
        <v>45671</v>
      </c>
      <c r="E3594" s="1" t="n">
        <v>46323</v>
      </c>
      <c r="F3594" t="inlineStr">
        <is>
          <t>KALMAR LÄN</t>
        </is>
      </c>
      <c r="G3594" t="inlineStr">
        <is>
          <t>BORGHOLM</t>
        </is>
      </c>
      <c r="I3594" t="n">
        <v>1.4</v>
      </c>
      <c r="J3594" t="n">
        <v>0</v>
      </c>
      <c r="K3594" t="n">
        <v>0</v>
      </c>
      <c r="L3594" t="n">
        <v>0</v>
      </c>
      <c r="M3594" t="n">
        <v>0</v>
      </c>
      <c r="N3594" t="n">
        <v>0</v>
      </c>
      <c r="O3594" t="n">
        <v>0</v>
      </c>
      <c r="P3594" t="n">
        <v>0</v>
      </c>
      <c r="Q3594" t="n">
        <v>0</v>
      </c>
      <c r="R3594" t="n">
        <v>0</v>
      </c>
      <c r="S3594" t="n">
        <v>0</v>
      </c>
      <c r="T3594" t="n">
        <v>0</v>
      </c>
      <c r="U3594" t="n">
        <v>0</v>
      </c>
      <c r="V3594" s="2" t="inlineStr"/>
    </row>
    <row r="3595" ht="15" customHeight="1">
      <c r="A3595" t="inlineStr">
        <is>
          <t>A 1787-2025</t>
        </is>
      </c>
      <c r="B3595" t="inlineStr">
        <is>
          <t>avverkningsanmälan</t>
        </is>
      </c>
      <c r="C3595" t="inlineStr">
        <is>
          <t>Föryngringsavverkning</t>
        </is>
      </c>
      <c r="D3595" s="1" t="n">
        <v>45671</v>
      </c>
      <c r="E3595" s="1" t="n">
        <v>46323</v>
      </c>
      <c r="F3595" t="inlineStr">
        <is>
          <t>KALMAR LÄN</t>
        </is>
      </c>
      <c r="G3595" t="inlineStr">
        <is>
          <t>VÄSTERVIK</t>
        </is>
      </c>
      <c r="H3595" t="inlineStr">
        <is>
          <t>Sveaskog</t>
        </is>
      </c>
      <c r="I3595" t="n">
        <v>0.6</v>
      </c>
      <c r="J3595" t="n">
        <v>0</v>
      </c>
      <c r="K3595" t="n">
        <v>0</v>
      </c>
      <c r="L3595" t="n">
        <v>0</v>
      </c>
      <c r="M3595" t="n">
        <v>0</v>
      </c>
      <c r="N3595" t="n">
        <v>0</v>
      </c>
      <c r="O3595" t="n">
        <v>0</v>
      </c>
      <c r="P3595" t="n">
        <v>0</v>
      </c>
      <c r="Q3595" t="n">
        <v>0</v>
      </c>
      <c r="R3595" t="n">
        <v>0</v>
      </c>
      <c r="S3595" t="n">
        <v>0</v>
      </c>
      <c r="T3595" t="n">
        <v>0</v>
      </c>
      <c r="U3595" t="n">
        <v>0</v>
      </c>
      <c r="V3595" s="2" t="inlineStr"/>
    </row>
    <row r="3596" ht="15" customHeight="1">
      <c r="A3596" t="inlineStr">
        <is>
          <t>A 55123-2024</t>
        </is>
      </c>
      <c r="B3596" t="inlineStr">
        <is>
          <t>avverkningsanmälan</t>
        </is>
      </c>
      <c r="C3596" t="inlineStr">
        <is>
          <t>Föryngringsavverkning</t>
        </is>
      </c>
      <c r="D3596" s="1" t="n">
        <v>45621</v>
      </c>
      <c r="E3596" s="1" t="n">
        <v>46323</v>
      </c>
      <c r="F3596" t="inlineStr">
        <is>
          <t>KALMAR LÄN</t>
        </is>
      </c>
      <c r="G3596" t="inlineStr">
        <is>
          <t>VIMMERBY</t>
        </is>
      </c>
      <c r="I3596" t="n">
        <v>3.1</v>
      </c>
      <c r="J3596" t="n">
        <v>0</v>
      </c>
      <c r="K3596" t="n">
        <v>0</v>
      </c>
      <c r="L3596" t="n">
        <v>0</v>
      </c>
      <c r="M3596" t="n">
        <v>0</v>
      </c>
      <c r="N3596" t="n">
        <v>0</v>
      </c>
      <c r="O3596" t="n">
        <v>0</v>
      </c>
      <c r="P3596" t="n">
        <v>0</v>
      </c>
      <c r="Q3596" t="n">
        <v>0</v>
      </c>
      <c r="R3596" t="n">
        <v>0</v>
      </c>
      <c r="S3596" t="n">
        <v>0</v>
      </c>
      <c r="T3596" t="n">
        <v>0</v>
      </c>
      <c r="U3596" t="n">
        <v>0</v>
      </c>
      <c r="V3596" s="2" t="inlineStr"/>
    </row>
    <row r="3597" ht="15" customHeight="1">
      <c r="A3597" t="inlineStr">
        <is>
          <t>A 31405-2023</t>
        </is>
      </c>
      <c r="B3597" t="inlineStr">
        <is>
          <t>avverkningsanmälan</t>
        </is>
      </c>
      <c r="C3597" t="inlineStr">
        <is>
          <t>Föryngringsavverkning</t>
        </is>
      </c>
      <c r="D3597" s="1" t="n">
        <v>45114</v>
      </c>
      <c r="E3597" s="1" t="n">
        <v>46323</v>
      </c>
      <c r="F3597" t="inlineStr">
        <is>
          <t>KALMAR LÄN</t>
        </is>
      </c>
      <c r="G3597" t="inlineStr">
        <is>
          <t>VIMMERBY</t>
        </is>
      </c>
      <c r="I3597" t="n">
        <v>2.6</v>
      </c>
      <c r="J3597" t="n">
        <v>0</v>
      </c>
      <c r="K3597" t="n">
        <v>0</v>
      </c>
      <c r="L3597" t="n">
        <v>0</v>
      </c>
      <c r="M3597" t="n">
        <v>0</v>
      </c>
      <c r="N3597" t="n">
        <v>0</v>
      </c>
      <c r="O3597" t="n">
        <v>0</v>
      </c>
      <c r="P3597" t="n">
        <v>0</v>
      </c>
      <c r="Q3597" t="n">
        <v>0</v>
      </c>
      <c r="R3597" t="n">
        <v>0</v>
      </c>
      <c r="S3597" t="n">
        <v>0</v>
      </c>
      <c r="T3597" t="n">
        <v>0</v>
      </c>
      <c r="U3597" t="n">
        <v>0</v>
      </c>
      <c r="V3597" s="2" t="inlineStr"/>
    </row>
    <row r="3598" ht="15" customHeight="1">
      <c r="A3598" t="inlineStr">
        <is>
          <t>A 8689-2023</t>
        </is>
      </c>
      <c r="B3598" t="inlineStr">
        <is>
          <t>avverkningsanmälan</t>
        </is>
      </c>
      <c r="C3598" t="inlineStr">
        <is>
          <t>Föryngringsavverkning</t>
        </is>
      </c>
      <c r="D3598" s="1" t="n">
        <v>44978</v>
      </c>
      <c r="E3598" s="1" t="n">
        <v>46323</v>
      </c>
      <c r="F3598" t="inlineStr">
        <is>
          <t>KALMAR LÄN</t>
        </is>
      </c>
      <c r="G3598" t="inlineStr">
        <is>
          <t>EMMABODA</t>
        </is>
      </c>
      <c r="I3598" t="n">
        <v>1.1</v>
      </c>
      <c r="J3598" t="n">
        <v>0</v>
      </c>
      <c r="K3598" t="n">
        <v>0</v>
      </c>
      <c r="L3598" t="n">
        <v>0</v>
      </c>
      <c r="M3598" t="n">
        <v>0</v>
      </c>
      <c r="N3598" t="n">
        <v>0</v>
      </c>
      <c r="O3598" t="n">
        <v>0</v>
      </c>
      <c r="P3598" t="n">
        <v>0</v>
      </c>
      <c r="Q3598" t="n">
        <v>0</v>
      </c>
      <c r="R3598" t="n">
        <v>0</v>
      </c>
      <c r="S3598" t="n">
        <v>0</v>
      </c>
      <c r="T3598" t="n">
        <v>0</v>
      </c>
      <c r="U3598" t="n">
        <v>0</v>
      </c>
      <c r="V3598" s="2" t="inlineStr"/>
    </row>
    <row r="3599" ht="15" customHeight="1">
      <c r="A3599" t="inlineStr">
        <is>
          <t>A 18576-2023</t>
        </is>
      </c>
      <c r="B3599" t="inlineStr">
        <is>
          <t>avverkningsanmälan</t>
        </is>
      </c>
      <c r="C3599" t="inlineStr">
        <is>
          <t>Föryngringsavverkning</t>
        </is>
      </c>
      <c r="D3599" s="1" t="n">
        <v>45043</v>
      </c>
      <c r="E3599" s="1" t="n">
        <v>46323</v>
      </c>
      <c r="F3599" t="inlineStr">
        <is>
          <t>KALMAR LÄN</t>
        </is>
      </c>
      <c r="G3599" t="inlineStr">
        <is>
          <t>OSKARSHAMN</t>
        </is>
      </c>
      <c r="I3599" t="n">
        <v>1.5</v>
      </c>
      <c r="J3599" t="n">
        <v>0</v>
      </c>
      <c r="K3599" t="n">
        <v>0</v>
      </c>
      <c r="L3599" t="n">
        <v>0</v>
      </c>
      <c r="M3599" t="n">
        <v>0</v>
      </c>
      <c r="N3599" t="n">
        <v>0</v>
      </c>
      <c r="O3599" t="n">
        <v>0</v>
      </c>
      <c r="P3599" t="n">
        <v>0</v>
      </c>
      <c r="Q3599" t="n">
        <v>0</v>
      </c>
      <c r="R3599" t="n">
        <v>0</v>
      </c>
      <c r="S3599" t="n">
        <v>0</v>
      </c>
      <c r="T3599" t="n">
        <v>0</v>
      </c>
      <c r="U3599" t="n">
        <v>0</v>
      </c>
      <c r="V3599" s="2" t="inlineStr"/>
    </row>
    <row r="3600" ht="15" customHeight="1">
      <c r="A3600" t="inlineStr">
        <is>
          <t>A 32835-2022</t>
        </is>
      </c>
      <c r="B3600" t="inlineStr">
        <is>
          <t>avverkningsanmälan</t>
        </is>
      </c>
      <c r="C3600" t="inlineStr">
        <is>
          <t>Föryngringsavverkning</t>
        </is>
      </c>
      <c r="D3600" s="1" t="n">
        <v>44784</v>
      </c>
      <c r="E3600" s="1" t="n">
        <v>46323</v>
      </c>
      <c r="F3600" t="inlineStr">
        <is>
          <t>KALMAR LÄN</t>
        </is>
      </c>
      <c r="G3600" t="inlineStr">
        <is>
          <t>VIMMERBY</t>
        </is>
      </c>
      <c r="I3600" t="n">
        <v>1.6</v>
      </c>
      <c r="J3600" t="n">
        <v>0</v>
      </c>
      <c r="K3600" t="n">
        <v>0</v>
      </c>
      <c r="L3600" t="n">
        <v>0</v>
      </c>
      <c r="M3600" t="n">
        <v>0</v>
      </c>
      <c r="N3600" t="n">
        <v>0</v>
      </c>
      <c r="O3600" t="n">
        <v>0</v>
      </c>
      <c r="P3600" t="n">
        <v>0</v>
      </c>
      <c r="Q3600" t="n">
        <v>0</v>
      </c>
      <c r="R3600" t="n">
        <v>0</v>
      </c>
      <c r="S3600" t="n">
        <v>0</v>
      </c>
      <c r="T3600" t="n">
        <v>0</v>
      </c>
      <c r="U3600" t="n">
        <v>0</v>
      </c>
      <c r="V3600" s="2" t="inlineStr"/>
    </row>
    <row r="3601" ht="15" customHeight="1">
      <c r="A3601" t="inlineStr">
        <is>
          <t>A 30140-2023</t>
        </is>
      </c>
      <c r="B3601" t="inlineStr">
        <is>
          <t>avverkningsanmälan</t>
        </is>
      </c>
      <c r="C3601" t="inlineStr">
        <is>
          <t>Föryngringsavverkning</t>
        </is>
      </c>
      <c r="D3601" s="1" t="n">
        <v>45110</v>
      </c>
      <c r="E3601" s="1" t="n">
        <v>46323</v>
      </c>
      <c r="F3601" t="inlineStr">
        <is>
          <t>KALMAR LÄN</t>
        </is>
      </c>
      <c r="G3601" t="inlineStr">
        <is>
          <t>KALMAR</t>
        </is>
      </c>
      <c r="H3601" t="inlineStr">
        <is>
          <t>Sveaskog</t>
        </is>
      </c>
      <c r="I3601" t="n">
        <v>2.2</v>
      </c>
      <c r="J3601" t="n">
        <v>0</v>
      </c>
      <c r="K3601" t="n">
        <v>0</v>
      </c>
      <c r="L3601" t="n">
        <v>0</v>
      </c>
      <c r="M3601" t="n">
        <v>0</v>
      </c>
      <c r="N3601" t="n">
        <v>0</v>
      </c>
      <c r="O3601" t="n">
        <v>0</v>
      </c>
      <c r="P3601" t="n">
        <v>0</v>
      </c>
      <c r="Q3601" t="n">
        <v>0</v>
      </c>
      <c r="R3601" t="n">
        <v>0</v>
      </c>
      <c r="S3601" t="n">
        <v>0</v>
      </c>
      <c r="T3601" t="n">
        <v>0</v>
      </c>
      <c r="U3601" t="n">
        <v>0</v>
      </c>
      <c r="V3601" s="2" t="inlineStr"/>
    </row>
    <row r="3602" ht="15" customHeight="1">
      <c r="A3602" t="inlineStr">
        <is>
          <t>A 40674-2023</t>
        </is>
      </c>
      <c r="B3602" t="inlineStr">
        <is>
          <t>avverkningsanmälan</t>
        </is>
      </c>
      <c r="C3602" t="inlineStr">
        <is>
          <t>Föryngringsavverkning</t>
        </is>
      </c>
      <c r="D3602" s="1" t="n">
        <v>45170</v>
      </c>
      <c r="E3602" s="1" t="n">
        <v>46323</v>
      </c>
      <c r="F3602" t="inlineStr">
        <is>
          <t>KALMAR LÄN</t>
        </is>
      </c>
      <c r="G3602" t="inlineStr">
        <is>
          <t>VÄSTERVIK</t>
        </is>
      </c>
      <c r="I3602" t="n">
        <v>4.2</v>
      </c>
      <c r="J3602" t="n">
        <v>0</v>
      </c>
      <c r="K3602" t="n">
        <v>0</v>
      </c>
      <c r="L3602" t="n">
        <v>0</v>
      </c>
      <c r="M3602" t="n">
        <v>0</v>
      </c>
      <c r="N3602" t="n">
        <v>0</v>
      </c>
      <c r="O3602" t="n">
        <v>0</v>
      </c>
      <c r="P3602" t="n">
        <v>0</v>
      </c>
      <c r="Q3602" t="n">
        <v>0</v>
      </c>
      <c r="R3602" t="n">
        <v>0</v>
      </c>
      <c r="S3602" t="n">
        <v>0</v>
      </c>
      <c r="T3602" t="n">
        <v>0</v>
      </c>
      <c r="U3602" t="n">
        <v>0</v>
      </c>
      <c r="V3602" s="2" t="inlineStr"/>
    </row>
    <row r="3603" ht="15" customHeight="1">
      <c r="A3603" t="inlineStr">
        <is>
          <t>A 40677-2023</t>
        </is>
      </c>
      <c r="B3603" t="inlineStr">
        <is>
          <t>avverkningsanmälan</t>
        </is>
      </c>
      <c r="C3603" t="inlineStr">
        <is>
          <t>Föryngringsavverkning</t>
        </is>
      </c>
      <c r="D3603" s="1" t="n">
        <v>45170</v>
      </c>
      <c r="E3603" s="1" t="n">
        <v>46323</v>
      </c>
      <c r="F3603" t="inlineStr">
        <is>
          <t>KALMAR LÄN</t>
        </is>
      </c>
      <c r="G3603" t="inlineStr">
        <is>
          <t>VÄSTERVIK</t>
        </is>
      </c>
      <c r="I3603" t="n">
        <v>1</v>
      </c>
      <c r="J3603" t="n">
        <v>0</v>
      </c>
      <c r="K3603" t="n">
        <v>0</v>
      </c>
      <c r="L3603" t="n">
        <v>0</v>
      </c>
      <c r="M3603" t="n">
        <v>0</v>
      </c>
      <c r="N3603" t="n">
        <v>0</v>
      </c>
      <c r="O3603" t="n">
        <v>0</v>
      </c>
      <c r="P3603" t="n">
        <v>0</v>
      </c>
      <c r="Q3603" t="n">
        <v>0</v>
      </c>
      <c r="R3603" t="n">
        <v>0</v>
      </c>
      <c r="S3603" t="n">
        <v>0</v>
      </c>
      <c r="T3603" t="n">
        <v>0</v>
      </c>
      <c r="U3603" t="n">
        <v>0</v>
      </c>
      <c r="V3603" s="2" t="inlineStr"/>
    </row>
    <row r="3604" ht="15" customHeight="1">
      <c r="A3604" t="inlineStr">
        <is>
          <t>A 42448-2024</t>
        </is>
      </c>
      <c r="B3604" t="inlineStr">
        <is>
          <t>avverkningsanmälan</t>
        </is>
      </c>
      <c r="C3604" t="inlineStr">
        <is>
          <t>Föryngringsavverkning</t>
        </is>
      </c>
      <c r="D3604" s="1" t="n">
        <v>45565</v>
      </c>
      <c r="E3604" s="1" t="n">
        <v>46323</v>
      </c>
      <c r="F3604" t="inlineStr">
        <is>
          <t>KALMAR LÄN</t>
        </is>
      </c>
      <c r="G3604" t="inlineStr">
        <is>
          <t>EMMABODA</t>
        </is>
      </c>
      <c r="I3604" t="n">
        <v>1.1</v>
      </c>
      <c r="J3604" t="n">
        <v>0</v>
      </c>
      <c r="K3604" t="n">
        <v>0</v>
      </c>
      <c r="L3604" t="n">
        <v>0</v>
      </c>
      <c r="M3604" t="n">
        <v>0</v>
      </c>
      <c r="N3604" t="n">
        <v>0</v>
      </c>
      <c r="O3604" t="n">
        <v>0</v>
      </c>
      <c r="P3604" t="n">
        <v>0</v>
      </c>
      <c r="Q3604" t="n">
        <v>0</v>
      </c>
      <c r="R3604" t="n">
        <v>0</v>
      </c>
      <c r="S3604" t="n">
        <v>0</v>
      </c>
      <c r="T3604" t="n">
        <v>0</v>
      </c>
      <c r="U3604" t="n">
        <v>0</v>
      </c>
      <c r="V3604" s="2" t="inlineStr"/>
    </row>
    <row r="3605" ht="15" customHeight="1">
      <c r="A3605" t="inlineStr">
        <is>
          <t>A 14366-2023</t>
        </is>
      </c>
      <c r="B3605" t="inlineStr">
        <is>
          <t>avverkningsanmälan</t>
        </is>
      </c>
      <c r="C3605" t="inlineStr">
        <is>
          <t>Föryngringsavverkning</t>
        </is>
      </c>
      <c r="D3605" s="1" t="n">
        <v>45012</v>
      </c>
      <c r="E3605" s="1" t="n">
        <v>46323</v>
      </c>
      <c r="F3605" t="inlineStr">
        <is>
          <t>KALMAR LÄN</t>
        </is>
      </c>
      <c r="G3605" t="inlineStr">
        <is>
          <t>TORSÅS</t>
        </is>
      </c>
      <c r="I3605" t="n">
        <v>7.3</v>
      </c>
      <c r="J3605" t="n">
        <v>0</v>
      </c>
      <c r="K3605" t="n">
        <v>0</v>
      </c>
      <c r="L3605" t="n">
        <v>0</v>
      </c>
      <c r="M3605" t="n">
        <v>0</v>
      </c>
      <c r="N3605" t="n">
        <v>0</v>
      </c>
      <c r="O3605" t="n">
        <v>0</v>
      </c>
      <c r="P3605" t="n">
        <v>0</v>
      </c>
      <c r="Q3605" t="n">
        <v>0</v>
      </c>
      <c r="R3605" t="n">
        <v>0</v>
      </c>
      <c r="S3605" t="n">
        <v>0</v>
      </c>
      <c r="T3605" t="n">
        <v>0</v>
      </c>
      <c r="U3605" t="n">
        <v>0</v>
      </c>
      <c r="V3605" s="2" t="inlineStr"/>
    </row>
    <row r="3606" ht="15" customHeight="1">
      <c r="A3606" t="inlineStr">
        <is>
          <t>A 52693-2023</t>
        </is>
      </c>
      <c r="B3606" t="inlineStr">
        <is>
          <t>avverkningsanmälan</t>
        </is>
      </c>
      <c r="C3606" t="inlineStr">
        <is>
          <t>Föryngringsavverkning</t>
        </is>
      </c>
      <c r="D3606" s="1" t="n">
        <v>45225</v>
      </c>
      <c r="E3606" s="1" t="n">
        <v>46323</v>
      </c>
      <c r="F3606" t="inlineStr">
        <is>
          <t>KALMAR LÄN</t>
        </is>
      </c>
      <c r="G3606" t="inlineStr">
        <is>
          <t>HULTSFRED</t>
        </is>
      </c>
      <c r="I3606" t="n">
        <v>4.8</v>
      </c>
      <c r="J3606" t="n">
        <v>0</v>
      </c>
      <c r="K3606" t="n">
        <v>0</v>
      </c>
      <c r="L3606" t="n">
        <v>0</v>
      </c>
      <c r="M3606" t="n">
        <v>0</v>
      </c>
      <c r="N3606" t="n">
        <v>0</v>
      </c>
      <c r="O3606" t="n">
        <v>0</v>
      </c>
      <c r="P3606" t="n">
        <v>0</v>
      </c>
      <c r="Q3606" t="n">
        <v>0</v>
      </c>
      <c r="R3606" t="n">
        <v>0</v>
      </c>
      <c r="S3606" t="n">
        <v>0</v>
      </c>
      <c r="T3606" t="n">
        <v>0</v>
      </c>
      <c r="U3606" t="n">
        <v>0</v>
      </c>
      <c r="V3606" s="2" t="inlineStr"/>
    </row>
    <row r="3607" ht="15" customHeight="1">
      <c r="A3607" t="inlineStr">
        <is>
          <t>A 45113-2023</t>
        </is>
      </c>
      <c r="B3607" t="inlineStr">
        <is>
          <t>avverkningsanmälan</t>
        </is>
      </c>
      <c r="C3607" t="inlineStr">
        <is>
          <t>Föryngringsavverkning</t>
        </is>
      </c>
      <c r="D3607" s="1" t="n">
        <v>45191</v>
      </c>
      <c r="E3607" s="1" t="n">
        <v>46323</v>
      </c>
      <c r="F3607" t="inlineStr">
        <is>
          <t>KALMAR LÄN</t>
        </is>
      </c>
      <c r="G3607" t="inlineStr">
        <is>
          <t>NYBRO</t>
        </is>
      </c>
      <c r="H3607" t="inlineStr">
        <is>
          <t>Sveaskog</t>
        </is>
      </c>
      <c r="I3607" t="n">
        <v>1</v>
      </c>
      <c r="J3607" t="n">
        <v>0</v>
      </c>
      <c r="K3607" t="n">
        <v>0</v>
      </c>
      <c r="L3607" t="n">
        <v>0</v>
      </c>
      <c r="M3607" t="n">
        <v>0</v>
      </c>
      <c r="N3607" t="n">
        <v>0</v>
      </c>
      <c r="O3607" t="n">
        <v>0</v>
      </c>
      <c r="P3607" t="n">
        <v>0</v>
      </c>
      <c r="Q3607" t="n">
        <v>0</v>
      </c>
      <c r="R3607" t="n">
        <v>0</v>
      </c>
      <c r="S3607" t="n">
        <v>0</v>
      </c>
      <c r="T3607" t="n">
        <v>0</v>
      </c>
      <c r="U3607" t="n">
        <v>0</v>
      </c>
      <c r="V3607" s="2" t="inlineStr"/>
    </row>
    <row r="3608" ht="15" customHeight="1">
      <c r="A3608" t="inlineStr">
        <is>
          <t>A 57688-2024</t>
        </is>
      </c>
      <c r="B3608" t="inlineStr">
        <is>
          <t>avverkningsanmälan</t>
        </is>
      </c>
      <c r="C3608" t="inlineStr">
        <is>
          <t>Föryngringsavverkning</t>
        </is>
      </c>
      <c r="D3608" s="1" t="n">
        <v>45630</v>
      </c>
      <c r="E3608" s="1" t="n">
        <v>46323</v>
      </c>
      <c r="F3608" t="inlineStr">
        <is>
          <t>KALMAR LÄN</t>
        </is>
      </c>
      <c r="G3608" t="inlineStr">
        <is>
          <t>VÄSTERVIK</t>
        </is>
      </c>
      <c r="I3608" t="n">
        <v>3.1</v>
      </c>
      <c r="J3608" t="n">
        <v>0</v>
      </c>
      <c r="K3608" t="n">
        <v>0</v>
      </c>
      <c r="L3608" t="n">
        <v>0</v>
      </c>
      <c r="M3608" t="n">
        <v>0</v>
      </c>
      <c r="N3608" t="n">
        <v>0</v>
      </c>
      <c r="O3608" t="n">
        <v>0</v>
      </c>
      <c r="P3608" t="n">
        <v>0</v>
      </c>
      <c r="Q3608" t="n">
        <v>0</v>
      </c>
      <c r="R3608" t="n">
        <v>0</v>
      </c>
      <c r="S3608" t="n">
        <v>0</v>
      </c>
      <c r="T3608" t="n">
        <v>0</v>
      </c>
      <c r="U3608" t="n">
        <v>0</v>
      </c>
      <c r="V3608" s="2" t="inlineStr"/>
    </row>
    <row r="3609" ht="15" customHeight="1">
      <c r="A3609" t="inlineStr">
        <is>
          <t>A 57476-2025</t>
        </is>
      </c>
      <c r="B3609" t="inlineStr">
        <is>
          <t>avverkningsanmälan</t>
        </is>
      </c>
      <c r="C3609" t="inlineStr">
        <is>
          <t>Föryngringsavverkning</t>
        </is>
      </c>
      <c r="D3609" s="1" t="n">
        <v>45980</v>
      </c>
      <c r="E3609" s="1" t="n">
        <v>46323</v>
      </c>
      <c r="F3609" t="inlineStr">
        <is>
          <t>KALMAR LÄN</t>
        </is>
      </c>
      <c r="G3609" t="inlineStr">
        <is>
          <t>NYBRO</t>
        </is>
      </c>
      <c r="H3609" t="inlineStr">
        <is>
          <t>Sveaskog</t>
        </is>
      </c>
      <c r="I3609" t="n">
        <v>0.4</v>
      </c>
      <c r="J3609" t="n">
        <v>0</v>
      </c>
      <c r="K3609" t="n">
        <v>0</v>
      </c>
      <c r="L3609" t="n">
        <v>0</v>
      </c>
      <c r="M3609" t="n">
        <v>0</v>
      </c>
      <c r="N3609" t="n">
        <v>0</v>
      </c>
      <c r="O3609" t="n">
        <v>0</v>
      </c>
      <c r="P3609" t="n">
        <v>0</v>
      </c>
      <c r="Q3609" t="n">
        <v>0</v>
      </c>
      <c r="R3609" t="n">
        <v>0</v>
      </c>
      <c r="S3609" t="n">
        <v>0</v>
      </c>
      <c r="T3609" t="n">
        <v>0</v>
      </c>
      <c r="U3609" t="n">
        <v>0</v>
      </c>
      <c r="V3609" s="2" t="inlineStr"/>
    </row>
    <row r="3610" ht="15" customHeight="1">
      <c r="A3610" t="inlineStr">
        <is>
          <t>A 19350-2025</t>
        </is>
      </c>
      <c r="B3610" t="inlineStr">
        <is>
          <t>avverkningsanmälan</t>
        </is>
      </c>
      <c r="C3610" t="inlineStr">
        <is>
          <t>Föryngringsavverkning</t>
        </is>
      </c>
      <c r="D3610" s="1" t="n">
        <v>45769</v>
      </c>
      <c r="E3610" s="1" t="n">
        <v>46323</v>
      </c>
      <c r="F3610" t="inlineStr">
        <is>
          <t>KALMAR LÄN</t>
        </is>
      </c>
      <c r="G3610" t="inlineStr">
        <is>
          <t>EMMABODA</t>
        </is>
      </c>
      <c r="I3610" t="n">
        <v>1.9</v>
      </c>
      <c r="J3610" t="n">
        <v>0</v>
      </c>
      <c r="K3610" t="n">
        <v>0</v>
      </c>
      <c r="L3610" t="n">
        <v>0</v>
      </c>
      <c r="M3610" t="n">
        <v>0</v>
      </c>
      <c r="N3610" t="n">
        <v>0</v>
      </c>
      <c r="O3610" t="n">
        <v>0</v>
      </c>
      <c r="P3610" t="n">
        <v>0</v>
      </c>
      <c r="Q3610" t="n">
        <v>0</v>
      </c>
      <c r="R3610" t="n">
        <v>0</v>
      </c>
      <c r="S3610" t="n">
        <v>0</v>
      </c>
      <c r="T3610" t="n">
        <v>0</v>
      </c>
      <c r="U3610" t="n">
        <v>0</v>
      </c>
      <c r="V3610" s="2" t="inlineStr"/>
    </row>
    <row r="3611" ht="15" customHeight="1">
      <c r="A3611" t="inlineStr">
        <is>
          <t>A 11343-2023</t>
        </is>
      </c>
      <c r="B3611" t="inlineStr">
        <is>
          <t>avverkningsanmälan</t>
        </is>
      </c>
      <c r="C3611" t="inlineStr">
        <is>
          <t>Föryngringsavverkning</t>
        </is>
      </c>
      <c r="D3611" s="1" t="n">
        <v>44993</v>
      </c>
      <c r="E3611" s="1" t="n">
        <v>46323</v>
      </c>
      <c r="F3611" t="inlineStr">
        <is>
          <t>KALMAR LÄN</t>
        </is>
      </c>
      <c r="G3611" t="inlineStr">
        <is>
          <t>HÖGSBY</t>
        </is>
      </c>
      <c r="H3611" t="inlineStr">
        <is>
          <t>Sveaskog</t>
        </is>
      </c>
      <c r="I3611" t="n">
        <v>1.3</v>
      </c>
      <c r="J3611" t="n">
        <v>0</v>
      </c>
      <c r="K3611" t="n">
        <v>0</v>
      </c>
      <c r="L3611" t="n">
        <v>0</v>
      </c>
      <c r="M3611" t="n">
        <v>0</v>
      </c>
      <c r="N3611" t="n">
        <v>0</v>
      </c>
      <c r="O3611" t="n">
        <v>0</v>
      </c>
      <c r="P3611" t="n">
        <v>0</v>
      </c>
      <c r="Q3611" t="n">
        <v>0</v>
      </c>
      <c r="R3611" t="n">
        <v>0</v>
      </c>
      <c r="S3611" t="n">
        <v>0</v>
      </c>
      <c r="T3611" t="n">
        <v>0</v>
      </c>
      <c r="U3611" t="n">
        <v>0</v>
      </c>
      <c r="V3611" s="2" t="inlineStr"/>
    </row>
    <row r="3612" ht="15" customHeight="1">
      <c r="A3612" t="inlineStr">
        <is>
          <t>A 51152-2023</t>
        </is>
      </c>
      <c r="B3612" t="inlineStr">
        <is>
          <t>avverkningsanmälan</t>
        </is>
      </c>
      <c r="C3612" t="inlineStr">
        <is>
          <t>Föryngringsavverkning</t>
        </is>
      </c>
      <c r="D3612" s="1" t="n">
        <v>45219</v>
      </c>
      <c r="E3612" s="1" t="n">
        <v>46323</v>
      </c>
      <c r="F3612" t="inlineStr">
        <is>
          <t>KALMAR LÄN</t>
        </is>
      </c>
      <c r="G3612" t="inlineStr">
        <is>
          <t>KALMAR</t>
        </is>
      </c>
      <c r="I3612" t="n">
        <v>0.9</v>
      </c>
      <c r="J3612" t="n">
        <v>0</v>
      </c>
      <c r="K3612" t="n">
        <v>0</v>
      </c>
      <c r="L3612" t="n">
        <v>0</v>
      </c>
      <c r="M3612" t="n">
        <v>0</v>
      </c>
      <c r="N3612" t="n">
        <v>0</v>
      </c>
      <c r="O3612" t="n">
        <v>0</v>
      </c>
      <c r="P3612" t="n">
        <v>0</v>
      </c>
      <c r="Q3612" t="n">
        <v>0</v>
      </c>
      <c r="R3612" t="n">
        <v>0</v>
      </c>
      <c r="S3612" t="n">
        <v>0</v>
      </c>
      <c r="T3612" t="n">
        <v>0</v>
      </c>
      <c r="U3612" t="n">
        <v>0</v>
      </c>
      <c r="V3612" s="2" t="inlineStr"/>
    </row>
    <row r="3613" ht="15" customHeight="1">
      <c r="A3613" t="inlineStr">
        <is>
          <t>A 5949-2024</t>
        </is>
      </c>
      <c r="B3613" t="inlineStr">
        <is>
          <t>avverkningsanmälan</t>
        </is>
      </c>
      <c r="C3613" t="inlineStr">
        <is>
          <t>Föryngringsavverkning</t>
        </is>
      </c>
      <c r="D3613" s="1" t="n">
        <v>45335</v>
      </c>
      <c r="E3613" s="1" t="n">
        <v>46323</v>
      </c>
      <c r="F3613" t="inlineStr">
        <is>
          <t>KALMAR LÄN</t>
        </is>
      </c>
      <c r="G3613" t="inlineStr">
        <is>
          <t>KALMAR</t>
        </is>
      </c>
      <c r="H3613" t="inlineStr">
        <is>
          <t>Kyrkan</t>
        </is>
      </c>
      <c r="I3613" t="n">
        <v>4.8</v>
      </c>
      <c r="J3613" t="n">
        <v>0</v>
      </c>
      <c r="K3613" t="n">
        <v>0</v>
      </c>
      <c r="L3613" t="n">
        <v>0</v>
      </c>
      <c r="M3613" t="n">
        <v>0</v>
      </c>
      <c r="N3613" t="n">
        <v>0</v>
      </c>
      <c r="O3613" t="n">
        <v>0</v>
      </c>
      <c r="P3613" t="n">
        <v>0</v>
      </c>
      <c r="Q3613" t="n">
        <v>0</v>
      </c>
      <c r="R3613" t="n">
        <v>0</v>
      </c>
      <c r="S3613" t="n">
        <v>0</v>
      </c>
      <c r="T3613" t="n">
        <v>0</v>
      </c>
      <c r="U3613" t="n">
        <v>0</v>
      </c>
      <c r="V3613" s="2" t="inlineStr"/>
    </row>
    <row r="3614" ht="15" customHeight="1">
      <c r="A3614" t="inlineStr">
        <is>
          <t>A 15925-2023</t>
        </is>
      </c>
      <c r="B3614" t="inlineStr">
        <is>
          <t>avverkningsanmälan</t>
        </is>
      </c>
      <c r="C3614" t="inlineStr">
        <is>
          <t>Föryngringsavverkning</t>
        </is>
      </c>
      <c r="D3614" s="1" t="n">
        <v>45022</v>
      </c>
      <c r="E3614" s="1" t="n">
        <v>46323</v>
      </c>
      <c r="F3614" t="inlineStr">
        <is>
          <t>KALMAR LÄN</t>
        </is>
      </c>
      <c r="G3614" t="inlineStr">
        <is>
          <t>OSKARSHAMN</t>
        </is>
      </c>
      <c r="I3614" t="n">
        <v>8.6</v>
      </c>
      <c r="J3614" t="n">
        <v>0</v>
      </c>
      <c r="K3614" t="n">
        <v>0</v>
      </c>
      <c r="L3614" t="n">
        <v>0</v>
      </c>
      <c r="M3614" t="n">
        <v>0</v>
      </c>
      <c r="N3614" t="n">
        <v>0</v>
      </c>
      <c r="O3614" t="n">
        <v>0</v>
      </c>
      <c r="P3614" t="n">
        <v>0</v>
      </c>
      <c r="Q3614" t="n">
        <v>0</v>
      </c>
      <c r="R3614" t="n">
        <v>0</v>
      </c>
      <c r="S3614" t="n">
        <v>0</v>
      </c>
      <c r="T3614" t="n">
        <v>0</v>
      </c>
      <c r="U3614" t="n">
        <v>0</v>
      </c>
      <c r="V3614" s="2" t="inlineStr"/>
    </row>
    <row r="3615" ht="15" customHeight="1">
      <c r="A3615" t="inlineStr">
        <is>
          <t>A 50592-2024</t>
        </is>
      </c>
      <c r="B3615" t="inlineStr">
        <is>
          <t>avverkningsanmälan</t>
        </is>
      </c>
      <c r="C3615" t="inlineStr">
        <is>
          <t>Föryngringsavverkning</t>
        </is>
      </c>
      <c r="D3615" s="1" t="n">
        <v>45601</v>
      </c>
      <c r="E3615" s="1" t="n">
        <v>46323</v>
      </c>
      <c r="F3615" t="inlineStr">
        <is>
          <t>KALMAR LÄN</t>
        </is>
      </c>
      <c r="G3615" t="inlineStr">
        <is>
          <t>OSKARSHAMN</t>
        </is>
      </c>
      <c r="I3615" t="n">
        <v>0.7</v>
      </c>
      <c r="J3615" t="n">
        <v>0</v>
      </c>
      <c r="K3615" t="n">
        <v>0</v>
      </c>
      <c r="L3615" t="n">
        <v>0</v>
      </c>
      <c r="M3615" t="n">
        <v>0</v>
      </c>
      <c r="N3615" t="n">
        <v>0</v>
      </c>
      <c r="O3615" t="n">
        <v>0</v>
      </c>
      <c r="P3615" t="n">
        <v>0</v>
      </c>
      <c r="Q3615" t="n">
        <v>0</v>
      </c>
      <c r="R3615" t="n">
        <v>0</v>
      </c>
      <c r="S3615" t="n">
        <v>0</v>
      </c>
      <c r="T3615" t="n">
        <v>0</v>
      </c>
      <c r="U3615" t="n">
        <v>0</v>
      </c>
      <c r="V3615" s="2" t="inlineStr"/>
    </row>
    <row r="3616" ht="15" customHeight="1">
      <c r="A3616" t="inlineStr">
        <is>
          <t>A 42831-2023</t>
        </is>
      </c>
      <c r="B3616" t="inlineStr">
        <is>
          <t>avverkningsanmälan</t>
        </is>
      </c>
      <c r="C3616" t="inlineStr">
        <is>
          <t>Föryngringsavverkning</t>
        </is>
      </c>
      <c r="D3616" s="1" t="n">
        <v>45182</v>
      </c>
      <c r="E3616" s="1" t="n">
        <v>46323</v>
      </c>
      <c r="F3616" t="inlineStr">
        <is>
          <t>KALMAR LÄN</t>
        </is>
      </c>
      <c r="G3616" t="inlineStr">
        <is>
          <t>OSKARSHAMN</t>
        </is>
      </c>
      <c r="I3616" t="n">
        <v>1.3</v>
      </c>
      <c r="J3616" t="n">
        <v>0</v>
      </c>
      <c r="K3616" t="n">
        <v>0</v>
      </c>
      <c r="L3616" t="n">
        <v>0</v>
      </c>
      <c r="M3616" t="n">
        <v>0</v>
      </c>
      <c r="N3616" t="n">
        <v>0</v>
      </c>
      <c r="O3616" t="n">
        <v>0</v>
      </c>
      <c r="P3616" t="n">
        <v>0</v>
      </c>
      <c r="Q3616" t="n">
        <v>0</v>
      </c>
      <c r="R3616" t="n">
        <v>0</v>
      </c>
      <c r="S3616" t="n">
        <v>0</v>
      </c>
      <c r="T3616" t="n">
        <v>0</v>
      </c>
      <c r="U3616" t="n">
        <v>0</v>
      </c>
      <c r="V3616" s="2" t="inlineStr"/>
    </row>
    <row r="3617" ht="15" customHeight="1">
      <c r="A3617" t="inlineStr">
        <is>
          <t>A 42836-2023</t>
        </is>
      </c>
      <c r="B3617" t="inlineStr">
        <is>
          <t>avverkningsanmälan</t>
        </is>
      </c>
      <c r="C3617" t="inlineStr">
        <is>
          <t>Föryngringsavverkning</t>
        </is>
      </c>
      <c r="D3617" s="1" t="n">
        <v>45182</v>
      </c>
      <c r="E3617" s="1" t="n">
        <v>46323</v>
      </c>
      <c r="F3617" t="inlineStr">
        <is>
          <t>KALMAR LÄN</t>
        </is>
      </c>
      <c r="G3617" t="inlineStr">
        <is>
          <t>EMMABODA</t>
        </is>
      </c>
      <c r="I3617" t="n">
        <v>2.2</v>
      </c>
      <c r="J3617" t="n">
        <v>0</v>
      </c>
      <c r="K3617" t="n">
        <v>0</v>
      </c>
      <c r="L3617" t="n">
        <v>0</v>
      </c>
      <c r="M3617" t="n">
        <v>0</v>
      </c>
      <c r="N3617" t="n">
        <v>0</v>
      </c>
      <c r="O3617" t="n">
        <v>0</v>
      </c>
      <c r="P3617" t="n">
        <v>0</v>
      </c>
      <c r="Q3617" t="n">
        <v>0</v>
      </c>
      <c r="R3617" t="n">
        <v>0</v>
      </c>
      <c r="S3617" t="n">
        <v>0</v>
      </c>
      <c r="T3617" t="n">
        <v>0</v>
      </c>
      <c r="U3617" t="n">
        <v>0</v>
      </c>
      <c r="V3617" s="2" t="inlineStr"/>
    </row>
    <row r="3618" ht="15" customHeight="1">
      <c r="A3618" t="inlineStr">
        <is>
          <t>A 18689-2024</t>
        </is>
      </c>
      <c r="B3618" t="inlineStr">
        <is>
          <t>avverkningsanmälan</t>
        </is>
      </c>
      <c r="C3618" t="inlineStr">
        <is>
          <t>Föryngringsavverkning</t>
        </is>
      </c>
      <c r="D3618" s="1" t="n">
        <v>45426</v>
      </c>
      <c r="E3618" s="1" t="n">
        <v>46323</v>
      </c>
      <c r="F3618" t="inlineStr">
        <is>
          <t>KALMAR LÄN</t>
        </is>
      </c>
      <c r="G3618" t="inlineStr">
        <is>
          <t>TORSÅS</t>
        </is>
      </c>
      <c r="I3618" t="n">
        <v>4.1</v>
      </c>
      <c r="J3618" t="n">
        <v>0</v>
      </c>
      <c r="K3618" t="n">
        <v>0</v>
      </c>
      <c r="L3618" t="n">
        <v>0</v>
      </c>
      <c r="M3618" t="n">
        <v>0</v>
      </c>
      <c r="N3618" t="n">
        <v>0</v>
      </c>
      <c r="O3618" t="n">
        <v>0</v>
      </c>
      <c r="P3618" t="n">
        <v>0</v>
      </c>
      <c r="Q3618" t="n">
        <v>0</v>
      </c>
      <c r="R3618" t="n">
        <v>0</v>
      </c>
      <c r="S3618" t="n">
        <v>0</v>
      </c>
      <c r="T3618" t="n">
        <v>0</v>
      </c>
      <c r="U3618" t="n">
        <v>0</v>
      </c>
      <c r="V3618" s="2" t="inlineStr"/>
    </row>
    <row r="3619" ht="15" customHeight="1">
      <c r="A3619" t="inlineStr">
        <is>
          <t>A 57474-2025</t>
        </is>
      </c>
      <c r="B3619" t="inlineStr">
        <is>
          <t>avverkningsanmälan</t>
        </is>
      </c>
      <c r="C3619" t="inlineStr">
        <is>
          <t>Föryngringsavverkning</t>
        </is>
      </c>
      <c r="D3619" s="1" t="n">
        <v>45980</v>
      </c>
      <c r="E3619" s="1" t="n">
        <v>46323</v>
      </c>
      <c r="F3619" t="inlineStr">
        <is>
          <t>KALMAR LÄN</t>
        </is>
      </c>
      <c r="G3619" t="inlineStr">
        <is>
          <t>NYBRO</t>
        </is>
      </c>
      <c r="H3619" t="inlineStr">
        <is>
          <t>Sveaskog</t>
        </is>
      </c>
      <c r="I3619" t="n">
        <v>0.8</v>
      </c>
      <c r="J3619" t="n">
        <v>0</v>
      </c>
      <c r="K3619" t="n">
        <v>0</v>
      </c>
      <c r="L3619" t="n">
        <v>0</v>
      </c>
      <c r="M3619" t="n">
        <v>0</v>
      </c>
      <c r="N3619" t="n">
        <v>0</v>
      </c>
      <c r="O3619" t="n">
        <v>0</v>
      </c>
      <c r="P3619" t="n">
        <v>0</v>
      </c>
      <c r="Q3619" t="n">
        <v>0</v>
      </c>
      <c r="R3619" t="n">
        <v>0</v>
      </c>
      <c r="S3619" t="n">
        <v>0</v>
      </c>
      <c r="T3619" t="n">
        <v>0</v>
      </c>
      <c r="U3619" t="n">
        <v>0</v>
      </c>
      <c r="V3619" s="2" t="inlineStr"/>
    </row>
    <row r="3620" ht="15" customHeight="1">
      <c r="A3620" t="inlineStr">
        <is>
          <t>A 24707-2024</t>
        </is>
      </c>
      <c r="B3620" t="inlineStr">
        <is>
          <t>avverkningsanmälan</t>
        </is>
      </c>
      <c r="C3620" t="inlineStr">
        <is>
          <t>Föryngringsavverkning</t>
        </is>
      </c>
      <c r="D3620" s="1" t="n">
        <v>45460</v>
      </c>
      <c r="E3620" s="1" t="n">
        <v>46323</v>
      </c>
      <c r="F3620" t="inlineStr">
        <is>
          <t>KALMAR LÄN</t>
        </is>
      </c>
      <c r="G3620" t="inlineStr">
        <is>
          <t>VIMMERBY</t>
        </is>
      </c>
      <c r="I3620" t="n">
        <v>1.7</v>
      </c>
      <c r="J3620" t="n">
        <v>0</v>
      </c>
      <c r="K3620" t="n">
        <v>0</v>
      </c>
      <c r="L3620" t="n">
        <v>0</v>
      </c>
      <c r="M3620" t="n">
        <v>0</v>
      </c>
      <c r="N3620" t="n">
        <v>0</v>
      </c>
      <c r="O3620" t="n">
        <v>0</v>
      </c>
      <c r="P3620" t="n">
        <v>0</v>
      </c>
      <c r="Q3620" t="n">
        <v>0</v>
      </c>
      <c r="R3620" t="n">
        <v>0</v>
      </c>
      <c r="S3620" t="n">
        <v>0</v>
      </c>
      <c r="T3620" t="n">
        <v>0</v>
      </c>
      <c r="U3620" t="n">
        <v>0</v>
      </c>
      <c r="V3620" s="2" t="inlineStr"/>
    </row>
    <row r="3621" ht="15" customHeight="1">
      <c r="A3621" t="inlineStr">
        <is>
          <t>A 57490-2025</t>
        </is>
      </c>
      <c r="B3621" t="inlineStr">
        <is>
          <t>avverkningsanmälan</t>
        </is>
      </c>
      <c r="C3621" t="inlineStr">
        <is>
          <t>Föryngringsavverkning</t>
        </is>
      </c>
      <c r="D3621" s="1" t="n">
        <v>45980</v>
      </c>
      <c r="E3621" s="1" t="n">
        <v>46323</v>
      </c>
      <c r="F3621" t="inlineStr">
        <is>
          <t>KALMAR LÄN</t>
        </is>
      </c>
      <c r="G3621" t="inlineStr">
        <is>
          <t>NYBRO</t>
        </is>
      </c>
      <c r="H3621" t="inlineStr">
        <is>
          <t>Sveaskog</t>
        </is>
      </c>
      <c r="I3621" t="n">
        <v>0.5</v>
      </c>
      <c r="J3621" t="n">
        <v>0</v>
      </c>
      <c r="K3621" t="n">
        <v>0</v>
      </c>
      <c r="L3621" t="n">
        <v>0</v>
      </c>
      <c r="M3621" t="n">
        <v>0</v>
      </c>
      <c r="N3621" t="n">
        <v>0</v>
      </c>
      <c r="O3621" t="n">
        <v>0</v>
      </c>
      <c r="P3621" t="n">
        <v>0</v>
      </c>
      <c r="Q3621" t="n">
        <v>0</v>
      </c>
      <c r="R3621" t="n">
        <v>0</v>
      </c>
      <c r="S3621" t="n">
        <v>0</v>
      </c>
      <c r="T3621" t="n">
        <v>0</v>
      </c>
      <c r="U3621" t="n">
        <v>0</v>
      </c>
      <c r="V3621" s="2" t="inlineStr"/>
    </row>
    <row r="3622" ht="15" customHeight="1">
      <c r="A3622" t="inlineStr">
        <is>
          <t>A 11007-2025</t>
        </is>
      </c>
      <c r="B3622" t="inlineStr">
        <is>
          <t>avverkningsanmälan</t>
        </is>
      </c>
      <c r="C3622" t="inlineStr">
        <is>
          <t>Föryngringsavverkning</t>
        </is>
      </c>
      <c r="D3622" s="1" t="n">
        <v>45723</v>
      </c>
      <c r="E3622" s="1" t="n">
        <v>46323</v>
      </c>
      <c r="F3622" t="inlineStr">
        <is>
          <t>KALMAR LÄN</t>
        </is>
      </c>
      <c r="G3622" t="inlineStr">
        <is>
          <t>HULTSFRED</t>
        </is>
      </c>
      <c r="H3622" t="inlineStr">
        <is>
          <t>Sveaskog</t>
        </is>
      </c>
      <c r="I3622" t="n">
        <v>1.2</v>
      </c>
      <c r="J3622" t="n">
        <v>0</v>
      </c>
      <c r="K3622" t="n">
        <v>0</v>
      </c>
      <c r="L3622" t="n">
        <v>0</v>
      </c>
      <c r="M3622" t="n">
        <v>0</v>
      </c>
      <c r="N3622" t="n">
        <v>0</v>
      </c>
      <c r="O3622" t="n">
        <v>0</v>
      </c>
      <c r="P3622" t="n">
        <v>0</v>
      </c>
      <c r="Q3622" t="n">
        <v>0</v>
      </c>
      <c r="R3622" t="n">
        <v>0</v>
      </c>
      <c r="S3622" t="n">
        <v>0</v>
      </c>
      <c r="T3622" t="n">
        <v>0</v>
      </c>
      <c r="U3622" t="n">
        <v>0</v>
      </c>
      <c r="V3622" s="2" t="inlineStr"/>
    </row>
    <row r="3623" ht="15" customHeight="1">
      <c r="A3623" t="inlineStr">
        <is>
          <t>A 31060-2023</t>
        </is>
      </c>
      <c r="B3623" t="inlineStr">
        <is>
          <t>avverkningsanmälan</t>
        </is>
      </c>
      <c r="C3623" t="inlineStr">
        <is>
          <t>Föryngringsavverkning</t>
        </is>
      </c>
      <c r="D3623" s="1" t="n">
        <v>45113</v>
      </c>
      <c r="E3623" s="1" t="n">
        <v>46323</v>
      </c>
      <c r="F3623" t="inlineStr">
        <is>
          <t>KALMAR LÄN</t>
        </is>
      </c>
      <c r="G3623" t="inlineStr">
        <is>
          <t>NYBRO</t>
        </is>
      </c>
      <c r="I3623" t="n">
        <v>0.6</v>
      </c>
      <c r="J3623" t="n">
        <v>0</v>
      </c>
      <c r="K3623" t="n">
        <v>0</v>
      </c>
      <c r="L3623" t="n">
        <v>0</v>
      </c>
      <c r="M3623" t="n">
        <v>0</v>
      </c>
      <c r="N3623" t="n">
        <v>0</v>
      </c>
      <c r="O3623" t="n">
        <v>0</v>
      </c>
      <c r="P3623" t="n">
        <v>0</v>
      </c>
      <c r="Q3623" t="n">
        <v>0</v>
      </c>
      <c r="R3623" t="n">
        <v>0</v>
      </c>
      <c r="S3623" t="n">
        <v>0</v>
      </c>
      <c r="T3623" t="n">
        <v>0</v>
      </c>
      <c r="U3623" t="n">
        <v>0</v>
      </c>
      <c r="V3623" s="2" t="inlineStr"/>
    </row>
    <row r="3624" ht="15" customHeight="1">
      <c r="A3624" t="inlineStr">
        <is>
          <t>A 15106-2023</t>
        </is>
      </c>
      <c r="B3624" t="inlineStr">
        <is>
          <t>avverkningsanmälan</t>
        </is>
      </c>
      <c r="C3624" t="inlineStr">
        <is>
          <t>Föryngringsavverkning</t>
        </is>
      </c>
      <c r="D3624" s="1" t="n">
        <v>45016</v>
      </c>
      <c r="E3624" s="1" t="n">
        <v>46323</v>
      </c>
      <c r="F3624" t="inlineStr">
        <is>
          <t>KALMAR LÄN</t>
        </is>
      </c>
      <c r="G3624" t="inlineStr">
        <is>
          <t>VÄSTERVIK</t>
        </is>
      </c>
      <c r="I3624" t="n">
        <v>0.4</v>
      </c>
      <c r="J3624" t="n">
        <v>0</v>
      </c>
      <c r="K3624" t="n">
        <v>0</v>
      </c>
      <c r="L3624" t="n">
        <v>0</v>
      </c>
      <c r="M3624" t="n">
        <v>0</v>
      </c>
      <c r="N3624" t="n">
        <v>0</v>
      </c>
      <c r="O3624" t="n">
        <v>0</v>
      </c>
      <c r="P3624" t="n">
        <v>0</v>
      </c>
      <c r="Q3624" t="n">
        <v>0</v>
      </c>
      <c r="R3624" t="n">
        <v>0</v>
      </c>
      <c r="S3624" t="n">
        <v>0</v>
      </c>
      <c r="T3624" t="n">
        <v>0</v>
      </c>
      <c r="U3624" t="n">
        <v>0</v>
      </c>
      <c r="V3624" s="2" t="inlineStr"/>
    </row>
    <row r="3625" ht="15" customHeight="1">
      <c r="A3625" t="inlineStr">
        <is>
          <t>A 22171-2025</t>
        </is>
      </c>
      <c r="B3625" t="inlineStr">
        <is>
          <t>avverkningsanmälan</t>
        </is>
      </c>
      <c r="C3625" t="inlineStr">
        <is>
          <t>Avverkning för annat ändamål</t>
        </is>
      </c>
      <c r="D3625" s="1" t="n">
        <v>45785</v>
      </c>
      <c r="E3625" s="1" t="n">
        <v>46323</v>
      </c>
      <c r="F3625" t="inlineStr">
        <is>
          <t>KALMAR LÄN</t>
        </is>
      </c>
      <c r="G3625" t="inlineStr">
        <is>
          <t>KALMAR</t>
        </is>
      </c>
      <c r="I3625" t="n">
        <v>1</v>
      </c>
      <c r="J3625" t="n">
        <v>0</v>
      </c>
      <c r="K3625" t="n">
        <v>0</v>
      </c>
      <c r="L3625" t="n">
        <v>0</v>
      </c>
      <c r="M3625" t="n">
        <v>0</v>
      </c>
      <c r="N3625" t="n">
        <v>0</v>
      </c>
      <c r="O3625" t="n">
        <v>0</v>
      </c>
      <c r="P3625" t="n">
        <v>0</v>
      </c>
      <c r="Q3625" t="n">
        <v>0</v>
      </c>
      <c r="R3625" t="n">
        <v>0</v>
      </c>
      <c r="S3625" t="n">
        <v>0</v>
      </c>
      <c r="T3625" t="n">
        <v>0</v>
      </c>
      <c r="U3625" t="n">
        <v>0</v>
      </c>
      <c r="V3625" s="2" t="inlineStr"/>
    </row>
    <row r="3626" ht="15" customHeight="1">
      <c r="A3626" t="inlineStr">
        <is>
          <t>A 41896-2023</t>
        </is>
      </c>
      <c r="B3626" t="inlineStr">
        <is>
          <t>avverkningsanmälan</t>
        </is>
      </c>
      <c r="C3626" t="inlineStr">
        <is>
          <t>Föryngringsavverkning</t>
        </is>
      </c>
      <c r="D3626" s="1" t="n">
        <v>45176</v>
      </c>
      <c r="E3626" s="1" t="n">
        <v>46323</v>
      </c>
      <c r="F3626" t="inlineStr">
        <is>
          <t>KALMAR LÄN</t>
        </is>
      </c>
      <c r="G3626" t="inlineStr">
        <is>
          <t>VIMMERBY</t>
        </is>
      </c>
      <c r="I3626" t="n">
        <v>1.3</v>
      </c>
      <c r="J3626" t="n">
        <v>0</v>
      </c>
      <c r="K3626" t="n">
        <v>0</v>
      </c>
      <c r="L3626" t="n">
        <v>0</v>
      </c>
      <c r="M3626" t="n">
        <v>0</v>
      </c>
      <c r="N3626" t="n">
        <v>0</v>
      </c>
      <c r="O3626" t="n">
        <v>0</v>
      </c>
      <c r="P3626" t="n">
        <v>0</v>
      </c>
      <c r="Q3626" t="n">
        <v>0</v>
      </c>
      <c r="R3626" t="n">
        <v>0</v>
      </c>
      <c r="S3626" t="n">
        <v>0</v>
      </c>
      <c r="T3626" t="n">
        <v>0</v>
      </c>
      <c r="U3626" t="n">
        <v>0</v>
      </c>
      <c r="V3626" s="2" t="inlineStr"/>
    </row>
    <row r="3627" ht="15" customHeight="1">
      <c r="A3627" t="inlineStr">
        <is>
          <t>A 48225-2023</t>
        </is>
      </c>
      <c r="B3627" t="inlineStr">
        <is>
          <t>avverkningsanmälan</t>
        </is>
      </c>
      <c r="C3627" t="inlineStr">
        <is>
          <t>Föryngringsavverkning</t>
        </is>
      </c>
      <c r="D3627" s="1" t="n">
        <v>45205</v>
      </c>
      <c r="E3627" s="1" t="n">
        <v>46323</v>
      </c>
      <c r="F3627" t="inlineStr">
        <is>
          <t>KALMAR LÄN</t>
        </is>
      </c>
      <c r="G3627" t="inlineStr">
        <is>
          <t>KALMAR</t>
        </is>
      </c>
      <c r="I3627" t="n">
        <v>3</v>
      </c>
      <c r="J3627" t="n">
        <v>0</v>
      </c>
      <c r="K3627" t="n">
        <v>0</v>
      </c>
      <c r="L3627" t="n">
        <v>0</v>
      </c>
      <c r="M3627" t="n">
        <v>0</v>
      </c>
      <c r="N3627" t="n">
        <v>0</v>
      </c>
      <c r="O3627" t="n">
        <v>0</v>
      </c>
      <c r="P3627" t="n">
        <v>0</v>
      </c>
      <c r="Q3627" t="n">
        <v>0</v>
      </c>
      <c r="R3627" t="n">
        <v>0</v>
      </c>
      <c r="S3627" t="n">
        <v>0</v>
      </c>
      <c r="T3627" t="n">
        <v>0</v>
      </c>
      <c r="U3627" t="n">
        <v>0</v>
      </c>
      <c r="V3627" s="2" t="inlineStr"/>
    </row>
    <row r="3628" ht="15" customHeight="1">
      <c r="A3628" t="inlineStr">
        <is>
          <t>A 22145-2024</t>
        </is>
      </c>
      <c r="B3628" t="inlineStr">
        <is>
          <t>avverkningsanmälan</t>
        </is>
      </c>
      <c r="C3628" t="inlineStr">
        <is>
          <t>Föryngringsavverkning</t>
        </is>
      </c>
      <c r="D3628" s="1" t="n">
        <v>45445</v>
      </c>
      <c r="E3628" s="1" t="n">
        <v>46323</v>
      </c>
      <c r="F3628" t="inlineStr">
        <is>
          <t>KALMAR LÄN</t>
        </is>
      </c>
      <c r="G3628" t="inlineStr">
        <is>
          <t>EMMABODA</t>
        </is>
      </c>
      <c r="I3628" t="n">
        <v>0.8</v>
      </c>
      <c r="J3628" t="n">
        <v>0</v>
      </c>
      <c r="K3628" t="n">
        <v>0</v>
      </c>
      <c r="L3628" t="n">
        <v>0</v>
      </c>
      <c r="M3628" t="n">
        <v>0</v>
      </c>
      <c r="N3628" t="n">
        <v>0</v>
      </c>
      <c r="O3628" t="n">
        <v>0</v>
      </c>
      <c r="P3628" t="n">
        <v>0</v>
      </c>
      <c r="Q3628" t="n">
        <v>0</v>
      </c>
      <c r="R3628" t="n">
        <v>0</v>
      </c>
      <c r="S3628" t="n">
        <v>0</v>
      </c>
      <c r="T3628" t="n">
        <v>0</v>
      </c>
      <c r="U3628" t="n">
        <v>0</v>
      </c>
      <c r="V3628" s="2" t="inlineStr"/>
    </row>
    <row r="3629" ht="15" customHeight="1">
      <c r="A3629" t="inlineStr">
        <is>
          <t>A 53649-2023</t>
        </is>
      </c>
      <c r="B3629" t="inlineStr">
        <is>
          <t>avverkningsanmälan</t>
        </is>
      </c>
      <c r="C3629" t="inlineStr">
        <is>
          <t>Föryngringsavverkning</t>
        </is>
      </c>
      <c r="D3629" s="1" t="n">
        <v>45230</v>
      </c>
      <c r="E3629" s="1" t="n">
        <v>46323</v>
      </c>
      <c r="F3629" t="inlineStr">
        <is>
          <t>KALMAR LÄN</t>
        </is>
      </c>
      <c r="G3629" t="inlineStr">
        <is>
          <t>NYBRO</t>
        </is>
      </c>
      <c r="I3629" t="n">
        <v>2.5</v>
      </c>
      <c r="J3629" t="n">
        <v>0</v>
      </c>
      <c r="K3629" t="n">
        <v>0</v>
      </c>
      <c r="L3629" t="n">
        <v>0</v>
      </c>
      <c r="M3629" t="n">
        <v>0</v>
      </c>
      <c r="N3629" t="n">
        <v>0</v>
      </c>
      <c r="O3629" t="n">
        <v>0</v>
      </c>
      <c r="P3629" t="n">
        <v>0</v>
      </c>
      <c r="Q3629" t="n">
        <v>0</v>
      </c>
      <c r="R3629" t="n">
        <v>0</v>
      </c>
      <c r="S3629" t="n">
        <v>0</v>
      </c>
      <c r="T3629" t="n">
        <v>0</v>
      </c>
      <c r="U3629" t="n">
        <v>0</v>
      </c>
      <c r="V3629" s="2" t="inlineStr"/>
    </row>
    <row r="3630" ht="15" customHeight="1">
      <c r="A3630" t="inlineStr">
        <is>
          <t>A 57200-2025</t>
        </is>
      </c>
      <c r="B3630" t="inlineStr">
        <is>
          <t>avverkningsanmälan</t>
        </is>
      </c>
      <c r="C3630" t="inlineStr">
        <is>
          <t>Föryngringsavverkning</t>
        </is>
      </c>
      <c r="D3630" s="1" t="n">
        <v>45979</v>
      </c>
      <c r="E3630" s="1" t="n">
        <v>46323</v>
      </c>
      <c r="F3630" t="inlineStr">
        <is>
          <t>KALMAR LÄN</t>
        </is>
      </c>
      <c r="G3630" t="inlineStr">
        <is>
          <t>EMMABODA</t>
        </is>
      </c>
      <c r="I3630" t="n">
        <v>6</v>
      </c>
      <c r="J3630" t="n">
        <v>0</v>
      </c>
      <c r="K3630" t="n">
        <v>0</v>
      </c>
      <c r="L3630" t="n">
        <v>0</v>
      </c>
      <c r="M3630" t="n">
        <v>0</v>
      </c>
      <c r="N3630" t="n">
        <v>0</v>
      </c>
      <c r="O3630" t="n">
        <v>0</v>
      </c>
      <c r="P3630" t="n">
        <v>0</v>
      </c>
      <c r="Q3630" t="n">
        <v>0</v>
      </c>
      <c r="R3630" t="n">
        <v>0</v>
      </c>
      <c r="S3630" t="n">
        <v>0</v>
      </c>
      <c r="T3630" t="n">
        <v>0</v>
      </c>
      <c r="U3630" t="n">
        <v>0</v>
      </c>
      <c r="V3630" s="2" t="inlineStr"/>
    </row>
    <row r="3631" ht="15" customHeight="1">
      <c r="A3631" t="inlineStr">
        <is>
          <t>A 71843-2021</t>
        </is>
      </c>
      <c r="B3631" t="inlineStr">
        <is>
          <t>avverkningsanmälan</t>
        </is>
      </c>
      <c r="C3631" t="inlineStr">
        <is>
          <t>Föryngringsavverkning</t>
        </is>
      </c>
      <c r="D3631" s="1" t="n">
        <v>44543</v>
      </c>
      <c r="E3631" s="1" t="n">
        <v>46323</v>
      </c>
      <c r="F3631" t="inlineStr">
        <is>
          <t>KALMAR LÄN</t>
        </is>
      </c>
      <c r="G3631" t="inlineStr">
        <is>
          <t>KALMAR</t>
        </is>
      </c>
      <c r="I3631" t="n">
        <v>4.7</v>
      </c>
      <c r="J3631" t="n">
        <v>0</v>
      </c>
      <c r="K3631" t="n">
        <v>0</v>
      </c>
      <c r="L3631" t="n">
        <v>0</v>
      </c>
      <c r="M3631" t="n">
        <v>0</v>
      </c>
      <c r="N3631" t="n">
        <v>0</v>
      </c>
      <c r="O3631" t="n">
        <v>0</v>
      </c>
      <c r="P3631" t="n">
        <v>0</v>
      </c>
      <c r="Q3631" t="n">
        <v>0</v>
      </c>
      <c r="R3631" t="n">
        <v>0</v>
      </c>
      <c r="S3631" t="n">
        <v>0</v>
      </c>
      <c r="T3631" t="n">
        <v>0</v>
      </c>
      <c r="U3631" t="n">
        <v>0</v>
      </c>
      <c r="V3631" s="2" t="inlineStr"/>
    </row>
    <row r="3632" ht="15" customHeight="1">
      <c r="A3632" t="inlineStr">
        <is>
          <t>A 28600-2022</t>
        </is>
      </c>
      <c r="B3632" t="inlineStr">
        <is>
          <t>avverkningsanmälan</t>
        </is>
      </c>
      <c r="C3632" t="inlineStr">
        <is>
          <t>Föryngringsavverkning</t>
        </is>
      </c>
      <c r="D3632" s="1" t="n">
        <v>44748</v>
      </c>
      <c r="E3632" s="1" t="n">
        <v>46323</v>
      </c>
      <c r="F3632" t="inlineStr">
        <is>
          <t>KALMAR LÄN</t>
        </is>
      </c>
      <c r="G3632" t="inlineStr">
        <is>
          <t>EMMABODA</t>
        </is>
      </c>
      <c r="I3632" t="n">
        <v>1.3</v>
      </c>
      <c r="J3632" t="n">
        <v>0</v>
      </c>
      <c r="K3632" t="n">
        <v>0</v>
      </c>
      <c r="L3632" t="n">
        <v>0</v>
      </c>
      <c r="M3632" t="n">
        <v>0</v>
      </c>
      <c r="N3632" t="n">
        <v>0</v>
      </c>
      <c r="O3632" t="n">
        <v>0</v>
      </c>
      <c r="P3632" t="n">
        <v>0</v>
      </c>
      <c r="Q3632" t="n">
        <v>0</v>
      </c>
      <c r="R3632" t="n">
        <v>0</v>
      </c>
      <c r="S3632" t="n">
        <v>0</v>
      </c>
      <c r="T3632" t="n">
        <v>0</v>
      </c>
      <c r="U3632" t="n">
        <v>0</v>
      </c>
      <c r="V3632" s="2" t="inlineStr"/>
    </row>
    <row r="3633" ht="15" customHeight="1">
      <c r="A3633" t="inlineStr">
        <is>
          <t>A 57407-2025</t>
        </is>
      </c>
      <c r="B3633" t="inlineStr">
        <is>
          <t>avverkningsanmälan</t>
        </is>
      </c>
      <c r="C3633" t="inlineStr">
        <is>
          <t>Föryngringsavverkning</t>
        </is>
      </c>
      <c r="D3633" s="1" t="n">
        <v>45980</v>
      </c>
      <c r="E3633" s="1" t="n">
        <v>46323</v>
      </c>
      <c r="F3633" t="inlineStr">
        <is>
          <t>KALMAR LÄN</t>
        </is>
      </c>
      <c r="G3633" t="inlineStr">
        <is>
          <t>MÖRBYLÅNGA</t>
        </is>
      </c>
      <c r="I3633" t="n">
        <v>0.8</v>
      </c>
      <c r="J3633" t="n">
        <v>0</v>
      </c>
      <c r="K3633" t="n">
        <v>0</v>
      </c>
      <c r="L3633" t="n">
        <v>0</v>
      </c>
      <c r="M3633" t="n">
        <v>0</v>
      </c>
      <c r="N3633" t="n">
        <v>0</v>
      </c>
      <c r="O3633" t="n">
        <v>0</v>
      </c>
      <c r="P3633" t="n">
        <v>0</v>
      </c>
      <c r="Q3633" t="n">
        <v>0</v>
      </c>
      <c r="R3633" t="n">
        <v>0</v>
      </c>
      <c r="S3633" t="n">
        <v>0</v>
      </c>
      <c r="T3633" t="n">
        <v>0</v>
      </c>
      <c r="U3633" t="n">
        <v>0</v>
      </c>
      <c r="V3633" s="2" t="inlineStr"/>
    </row>
    <row r="3634" ht="15" customHeight="1">
      <c r="A3634" t="inlineStr">
        <is>
          <t>A 11478-2023</t>
        </is>
      </c>
      <c r="B3634" t="inlineStr">
        <is>
          <t>avverkningsanmälan</t>
        </is>
      </c>
      <c r="C3634" t="inlineStr">
        <is>
          <t>Föryngringsavverkning</t>
        </is>
      </c>
      <c r="D3634" s="1" t="n">
        <v>44991</v>
      </c>
      <c r="E3634" s="1" t="n">
        <v>46323</v>
      </c>
      <c r="F3634" t="inlineStr">
        <is>
          <t>KALMAR LÄN</t>
        </is>
      </c>
      <c r="G3634" t="inlineStr">
        <is>
          <t>HÖGSBY</t>
        </is>
      </c>
      <c r="I3634" t="n">
        <v>3.7</v>
      </c>
      <c r="J3634" t="n">
        <v>0</v>
      </c>
      <c r="K3634" t="n">
        <v>0</v>
      </c>
      <c r="L3634" t="n">
        <v>0</v>
      </c>
      <c r="M3634" t="n">
        <v>0</v>
      </c>
      <c r="N3634" t="n">
        <v>0</v>
      </c>
      <c r="O3634" t="n">
        <v>0</v>
      </c>
      <c r="P3634" t="n">
        <v>0</v>
      </c>
      <c r="Q3634" t="n">
        <v>0</v>
      </c>
      <c r="R3634" t="n">
        <v>0</v>
      </c>
      <c r="S3634" t="n">
        <v>0</v>
      </c>
      <c r="T3634" t="n">
        <v>0</v>
      </c>
      <c r="U3634" t="n">
        <v>0</v>
      </c>
      <c r="V3634" s="2" t="inlineStr"/>
    </row>
    <row r="3635" ht="15" customHeight="1">
      <c r="A3635" t="inlineStr">
        <is>
          <t>A 13571-2023</t>
        </is>
      </c>
      <c r="B3635" t="inlineStr">
        <is>
          <t>avverkningsanmälan</t>
        </is>
      </c>
      <c r="C3635" t="inlineStr">
        <is>
          <t>Föryngringsavverkning</t>
        </is>
      </c>
      <c r="D3635" s="1" t="n">
        <v>45006</v>
      </c>
      <c r="E3635" s="1" t="n">
        <v>46323</v>
      </c>
      <c r="F3635" t="inlineStr">
        <is>
          <t>KALMAR LÄN</t>
        </is>
      </c>
      <c r="G3635" t="inlineStr">
        <is>
          <t>KALMAR</t>
        </is>
      </c>
      <c r="I3635" t="n">
        <v>3.8</v>
      </c>
      <c r="J3635" t="n">
        <v>0</v>
      </c>
      <c r="K3635" t="n">
        <v>0</v>
      </c>
      <c r="L3635" t="n">
        <v>0</v>
      </c>
      <c r="M3635" t="n">
        <v>0</v>
      </c>
      <c r="N3635" t="n">
        <v>0</v>
      </c>
      <c r="O3635" t="n">
        <v>0</v>
      </c>
      <c r="P3635" t="n">
        <v>0</v>
      </c>
      <c r="Q3635" t="n">
        <v>0</v>
      </c>
      <c r="R3635" t="n">
        <v>0</v>
      </c>
      <c r="S3635" t="n">
        <v>0</v>
      </c>
      <c r="T3635" t="n">
        <v>0</v>
      </c>
      <c r="U3635" t="n">
        <v>0</v>
      </c>
      <c r="V3635" s="2" t="inlineStr"/>
    </row>
    <row r="3636" ht="15" customHeight="1">
      <c r="A3636" t="inlineStr">
        <is>
          <t>A 57168-2025</t>
        </is>
      </c>
      <c r="B3636" t="inlineStr">
        <is>
          <t>avverkningsanmälan</t>
        </is>
      </c>
      <c r="C3636" t="inlineStr">
        <is>
          <t>Föryngringsavverkning</t>
        </is>
      </c>
      <c r="D3636" s="1" t="n">
        <v>45979</v>
      </c>
      <c r="E3636" s="1" t="n">
        <v>46323</v>
      </c>
      <c r="F3636" t="inlineStr">
        <is>
          <t>KALMAR LÄN</t>
        </is>
      </c>
      <c r="G3636" t="inlineStr">
        <is>
          <t>HÖGSBY</t>
        </is>
      </c>
      <c r="I3636" t="n">
        <v>1.8</v>
      </c>
      <c r="J3636" t="n">
        <v>0</v>
      </c>
      <c r="K3636" t="n">
        <v>0</v>
      </c>
      <c r="L3636" t="n">
        <v>0</v>
      </c>
      <c r="M3636" t="n">
        <v>0</v>
      </c>
      <c r="N3636" t="n">
        <v>0</v>
      </c>
      <c r="O3636" t="n">
        <v>0</v>
      </c>
      <c r="P3636" t="n">
        <v>0</v>
      </c>
      <c r="Q3636" t="n">
        <v>0</v>
      </c>
      <c r="R3636" t="n">
        <v>0</v>
      </c>
      <c r="S3636" t="n">
        <v>0</v>
      </c>
      <c r="T3636" t="n">
        <v>0</v>
      </c>
      <c r="U3636" t="n">
        <v>0</v>
      </c>
      <c r="V3636" s="2" t="inlineStr"/>
    </row>
    <row r="3637" ht="15" customHeight="1">
      <c r="A3637" t="inlineStr">
        <is>
          <t>A 54748-2024</t>
        </is>
      </c>
      <c r="B3637" t="inlineStr">
        <is>
          <t>avverkningsanmälan</t>
        </is>
      </c>
      <c r="C3637" t="inlineStr">
        <is>
          <t>Avverkning för att bevara och utveckla /försöksver</t>
        </is>
      </c>
      <c r="D3637" s="1" t="n">
        <v>45618</v>
      </c>
      <c r="E3637" s="1" t="n">
        <v>46323</v>
      </c>
      <c r="F3637" t="inlineStr">
        <is>
          <t>KALMAR LÄN</t>
        </is>
      </c>
      <c r="G3637" t="inlineStr">
        <is>
          <t>KALMAR</t>
        </is>
      </c>
      <c r="I3637" t="n">
        <v>1.4</v>
      </c>
      <c r="J3637" t="n">
        <v>0</v>
      </c>
      <c r="K3637" t="n">
        <v>0</v>
      </c>
      <c r="L3637" t="n">
        <v>0</v>
      </c>
      <c r="M3637" t="n">
        <v>0</v>
      </c>
      <c r="N3637" t="n">
        <v>0</v>
      </c>
      <c r="O3637" t="n">
        <v>0</v>
      </c>
      <c r="P3637" t="n">
        <v>0</v>
      </c>
      <c r="Q3637" t="n">
        <v>0</v>
      </c>
      <c r="R3637" t="n">
        <v>0</v>
      </c>
      <c r="S3637" t="n">
        <v>0</v>
      </c>
      <c r="T3637" t="n">
        <v>0</v>
      </c>
      <c r="U3637" t="n">
        <v>0</v>
      </c>
      <c r="V3637" s="2" t="inlineStr"/>
    </row>
    <row r="3638" ht="15" customHeight="1">
      <c r="A3638" t="inlineStr">
        <is>
          <t>A 44681-2023</t>
        </is>
      </c>
      <c r="B3638" t="inlineStr">
        <is>
          <t>avverkningsanmälan</t>
        </is>
      </c>
      <c r="C3638" t="inlineStr">
        <is>
          <t>Föryngringsavverkning</t>
        </is>
      </c>
      <c r="D3638" s="1" t="n">
        <v>45189</v>
      </c>
      <c r="E3638" s="1" t="n">
        <v>46323</v>
      </c>
      <c r="F3638" t="inlineStr">
        <is>
          <t>KALMAR LÄN</t>
        </is>
      </c>
      <c r="G3638" t="inlineStr">
        <is>
          <t>HULTSFRED</t>
        </is>
      </c>
      <c r="I3638" t="n">
        <v>0.6</v>
      </c>
      <c r="J3638" t="n">
        <v>0</v>
      </c>
      <c r="K3638" t="n">
        <v>0</v>
      </c>
      <c r="L3638" t="n">
        <v>0</v>
      </c>
      <c r="M3638" t="n">
        <v>0</v>
      </c>
      <c r="N3638" t="n">
        <v>0</v>
      </c>
      <c r="O3638" t="n">
        <v>0</v>
      </c>
      <c r="P3638" t="n">
        <v>0</v>
      </c>
      <c r="Q3638" t="n">
        <v>0</v>
      </c>
      <c r="R3638" t="n">
        <v>0</v>
      </c>
      <c r="S3638" t="n">
        <v>0</v>
      </c>
      <c r="T3638" t="n">
        <v>0</v>
      </c>
      <c r="U3638" t="n">
        <v>0</v>
      </c>
      <c r="V3638" s="2" t="inlineStr"/>
    </row>
    <row r="3639" ht="15" customHeight="1">
      <c r="A3639" t="inlineStr">
        <is>
          <t>A 24471-2023</t>
        </is>
      </c>
      <c r="B3639" t="inlineStr">
        <is>
          <t>avverkningsanmälan</t>
        </is>
      </c>
      <c r="C3639" t="inlineStr">
        <is>
          <t>Föryngringsavverkning</t>
        </is>
      </c>
      <c r="D3639" s="1" t="n">
        <v>45082</v>
      </c>
      <c r="E3639" s="1" t="n">
        <v>46323</v>
      </c>
      <c r="F3639" t="inlineStr">
        <is>
          <t>KALMAR LÄN</t>
        </is>
      </c>
      <c r="G3639" t="inlineStr">
        <is>
          <t>TORSÅS</t>
        </is>
      </c>
      <c r="I3639" t="n">
        <v>4.2</v>
      </c>
      <c r="J3639" t="n">
        <v>0</v>
      </c>
      <c r="K3639" t="n">
        <v>0</v>
      </c>
      <c r="L3639" t="n">
        <v>0</v>
      </c>
      <c r="M3639" t="n">
        <v>0</v>
      </c>
      <c r="N3639" t="n">
        <v>0</v>
      </c>
      <c r="O3639" t="n">
        <v>0</v>
      </c>
      <c r="P3639" t="n">
        <v>0</v>
      </c>
      <c r="Q3639" t="n">
        <v>0</v>
      </c>
      <c r="R3639" t="n">
        <v>0</v>
      </c>
      <c r="S3639" t="n">
        <v>0</v>
      </c>
      <c r="T3639" t="n">
        <v>0</v>
      </c>
      <c r="U3639" t="n">
        <v>0</v>
      </c>
      <c r="V3639" s="2" t="inlineStr"/>
    </row>
    <row r="3640" ht="15" customHeight="1">
      <c r="A3640" t="inlineStr">
        <is>
          <t>A 32525-2024</t>
        </is>
      </c>
      <c r="B3640" t="inlineStr">
        <is>
          <t>avverkningsanmälan</t>
        </is>
      </c>
      <c r="C3640" t="inlineStr">
        <is>
          <t>Avverkning för att bevara och utveckla /försöksver</t>
        </is>
      </c>
      <c r="D3640" s="1" t="n">
        <v>45513</v>
      </c>
      <c r="E3640" s="1" t="n">
        <v>46323</v>
      </c>
      <c r="F3640" t="inlineStr">
        <is>
          <t>KALMAR LÄN</t>
        </is>
      </c>
      <c r="G3640" t="inlineStr">
        <is>
          <t>TORSÅS</t>
        </is>
      </c>
      <c r="I3640" t="n">
        <v>4.9</v>
      </c>
      <c r="J3640" t="n">
        <v>0</v>
      </c>
      <c r="K3640" t="n">
        <v>0</v>
      </c>
      <c r="L3640" t="n">
        <v>0</v>
      </c>
      <c r="M3640" t="n">
        <v>0</v>
      </c>
      <c r="N3640" t="n">
        <v>0</v>
      </c>
      <c r="O3640" t="n">
        <v>0</v>
      </c>
      <c r="P3640" t="n">
        <v>0</v>
      </c>
      <c r="Q3640" t="n">
        <v>0</v>
      </c>
      <c r="R3640" t="n">
        <v>0</v>
      </c>
      <c r="S3640" t="n">
        <v>0</v>
      </c>
      <c r="T3640" t="n">
        <v>0</v>
      </c>
      <c r="U3640" t="n">
        <v>0</v>
      </c>
      <c r="V3640" s="2" t="inlineStr"/>
    </row>
    <row r="3641" ht="15" customHeight="1">
      <c r="A3641" t="inlineStr">
        <is>
          <t>A 32532-2024</t>
        </is>
      </c>
      <c r="B3641" t="inlineStr">
        <is>
          <t>avverkningsanmälan</t>
        </is>
      </c>
      <c r="C3641" t="inlineStr">
        <is>
          <t>Avverkning för att bevara och utveckla /försöksver</t>
        </is>
      </c>
      <c r="D3641" s="1" t="n">
        <v>45513</v>
      </c>
      <c r="E3641" s="1" t="n">
        <v>46323</v>
      </c>
      <c r="F3641" t="inlineStr">
        <is>
          <t>KALMAR LÄN</t>
        </is>
      </c>
      <c r="G3641" t="inlineStr">
        <is>
          <t>TORSÅS</t>
        </is>
      </c>
      <c r="I3641" t="n">
        <v>0.7</v>
      </c>
      <c r="J3641" t="n">
        <v>0</v>
      </c>
      <c r="K3641" t="n">
        <v>0</v>
      </c>
      <c r="L3641" t="n">
        <v>0</v>
      </c>
      <c r="M3641" t="n">
        <v>0</v>
      </c>
      <c r="N3641" t="n">
        <v>0</v>
      </c>
      <c r="O3641" t="n">
        <v>0</v>
      </c>
      <c r="P3641" t="n">
        <v>0</v>
      </c>
      <c r="Q3641" t="n">
        <v>0</v>
      </c>
      <c r="R3641" t="n">
        <v>0</v>
      </c>
      <c r="S3641" t="n">
        <v>0</v>
      </c>
      <c r="T3641" t="n">
        <v>0</v>
      </c>
      <c r="U3641" t="n">
        <v>0</v>
      </c>
      <c r="V3641" s="2" t="inlineStr"/>
    </row>
    <row r="3642" ht="15" customHeight="1">
      <c r="A3642" t="inlineStr">
        <is>
          <t>A 53810-2024</t>
        </is>
      </c>
      <c r="B3642" t="inlineStr">
        <is>
          <t>avverkningsanmälan</t>
        </is>
      </c>
      <c r="C3642" t="inlineStr">
        <is>
          <t>Föryngringsavverkning</t>
        </is>
      </c>
      <c r="D3642" s="1" t="n">
        <v>45615</v>
      </c>
      <c r="E3642" s="1" t="n">
        <v>46323</v>
      </c>
      <c r="F3642" t="inlineStr">
        <is>
          <t>KALMAR LÄN</t>
        </is>
      </c>
      <c r="G3642" t="inlineStr">
        <is>
          <t>HULTSFRED</t>
        </is>
      </c>
      <c r="I3642" t="n">
        <v>1.7</v>
      </c>
      <c r="J3642" t="n">
        <v>0</v>
      </c>
      <c r="K3642" t="n">
        <v>0</v>
      </c>
      <c r="L3642" t="n">
        <v>0</v>
      </c>
      <c r="M3642" t="n">
        <v>0</v>
      </c>
      <c r="N3642" t="n">
        <v>0</v>
      </c>
      <c r="O3642" t="n">
        <v>0</v>
      </c>
      <c r="P3642" t="n">
        <v>0</v>
      </c>
      <c r="Q3642" t="n">
        <v>0</v>
      </c>
      <c r="R3642" t="n">
        <v>0</v>
      </c>
      <c r="S3642" t="n">
        <v>0</v>
      </c>
      <c r="T3642" t="n">
        <v>0</v>
      </c>
      <c r="U3642" t="n">
        <v>0</v>
      </c>
      <c r="V3642" s="2" t="inlineStr"/>
    </row>
    <row r="3643" ht="15" customHeight="1">
      <c r="A3643" t="inlineStr">
        <is>
          <t>A 41068-2023</t>
        </is>
      </c>
      <c r="B3643" t="inlineStr">
        <is>
          <t>avverkningsanmälan</t>
        </is>
      </c>
      <c r="C3643" t="inlineStr">
        <is>
          <t>Föryngringsavverkning</t>
        </is>
      </c>
      <c r="D3643" s="1" t="n">
        <v>45173</v>
      </c>
      <c r="E3643" s="1" t="n">
        <v>46323</v>
      </c>
      <c r="F3643" t="inlineStr">
        <is>
          <t>KALMAR LÄN</t>
        </is>
      </c>
      <c r="G3643" t="inlineStr">
        <is>
          <t>KALMAR</t>
        </is>
      </c>
      <c r="I3643" t="n">
        <v>12</v>
      </c>
      <c r="J3643" t="n">
        <v>0</v>
      </c>
      <c r="K3643" t="n">
        <v>0</v>
      </c>
      <c r="L3643" t="n">
        <v>0</v>
      </c>
      <c r="M3643" t="n">
        <v>0</v>
      </c>
      <c r="N3643" t="n">
        <v>0</v>
      </c>
      <c r="O3643" t="n">
        <v>0</v>
      </c>
      <c r="P3643" t="n">
        <v>0</v>
      </c>
      <c r="Q3643" t="n">
        <v>0</v>
      </c>
      <c r="R3643" t="n">
        <v>0</v>
      </c>
      <c r="S3643" t="n">
        <v>0</v>
      </c>
      <c r="T3643" t="n">
        <v>0</v>
      </c>
      <c r="U3643" t="n">
        <v>0</v>
      </c>
      <c r="V3643" s="2" t="inlineStr"/>
    </row>
    <row r="3644" ht="15" customHeight="1">
      <c r="A3644" t="inlineStr">
        <is>
          <t>A 36049-2024</t>
        </is>
      </c>
      <c r="B3644" t="inlineStr">
        <is>
          <t>avverkningsanmälan</t>
        </is>
      </c>
      <c r="C3644" t="inlineStr">
        <is>
          <t>Föryngringsavverkning</t>
        </is>
      </c>
      <c r="D3644" s="1" t="n">
        <v>45533</v>
      </c>
      <c r="E3644" s="1" t="n">
        <v>46323</v>
      </c>
      <c r="F3644" t="inlineStr">
        <is>
          <t>KALMAR LÄN</t>
        </is>
      </c>
      <c r="G3644" t="inlineStr">
        <is>
          <t>VIMMERBY</t>
        </is>
      </c>
      <c r="H3644" t="inlineStr">
        <is>
          <t>Kommuner</t>
        </is>
      </c>
      <c r="I3644" t="n">
        <v>2.6</v>
      </c>
      <c r="J3644" t="n">
        <v>0</v>
      </c>
      <c r="K3644" t="n">
        <v>0</v>
      </c>
      <c r="L3644" t="n">
        <v>0</v>
      </c>
      <c r="M3644" t="n">
        <v>0</v>
      </c>
      <c r="N3644" t="n">
        <v>0</v>
      </c>
      <c r="O3644" t="n">
        <v>0</v>
      </c>
      <c r="P3644" t="n">
        <v>0</v>
      </c>
      <c r="Q3644" t="n">
        <v>0</v>
      </c>
      <c r="R3644" t="n">
        <v>0</v>
      </c>
      <c r="S3644" t="n">
        <v>0</v>
      </c>
      <c r="T3644" t="n">
        <v>0</v>
      </c>
      <c r="U3644" t="n">
        <v>0</v>
      </c>
      <c r="V3644" s="2" t="inlineStr"/>
    </row>
    <row r="3645" ht="15" customHeight="1">
      <c r="A3645" t="inlineStr">
        <is>
          <t>A 61036-2025</t>
        </is>
      </c>
      <c r="B3645" t="inlineStr">
        <is>
          <t>avverkningsanmälan</t>
        </is>
      </c>
      <c r="C3645" t="inlineStr">
        <is>
          <t>Föryngringsavverkning</t>
        </is>
      </c>
      <c r="D3645" s="1" t="n">
        <v>45999</v>
      </c>
      <c r="E3645" s="1" t="n">
        <v>46323</v>
      </c>
      <c r="F3645" t="inlineStr">
        <is>
          <t>KALMAR LÄN</t>
        </is>
      </c>
      <c r="G3645" t="inlineStr">
        <is>
          <t>OSKARSHAMN</t>
        </is>
      </c>
      <c r="I3645" t="n">
        <v>1</v>
      </c>
      <c r="J3645" t="n">
        <v>0</v>
      </c>
      <c r="K3645" t="n">
        <v>0</v>
      </c>
      <c r="L3645" t="n">
        <v>0</v>
      </c>
      <c r="M3645" t="n">
        <v>0</v>
      </c>
      <c r="N3645" t="n">
        <v>0</v>
      </c>
      <c r="O3645" t="n">
        <v>0</v>
      </c>
      <c r="P3645" t="n">
        <v>0</v>
      </c>
      <c r="Q3645" t="n">
        <v>0</v>
      </c>
      <c r="R3645" t="n">
        <v>0</v>
      </c>
      <c r="S3645" t="n">
        <v>0</v>
      </c>
      <c r="T3645" t="n">
        <v>0</v>
      </c>
      <c r="U3645" t="n">
        <v>0</v>
      </c>
      <c r="V3645" s="2" t="inlineStr"/>
    </row>
    <row r="3646" ht="15" customHeight="1">
      <c r="A3646" t="inlineStr">
        <is>
          <t>A 61038-2025</t>
        </is>
      </c>
      <c r="B3646" t="inlineStr">
        <is>
          <t>avverkningsanmälan</t>
        </is>
      </c>
      <c r="C3646" t="inlineStr">
        <is>
          <t>Föryngringsavverkning</t>
        </is>
      </c>
      <c r="D3646" s="1" t="n">
        <v>45999</v>
      </c>
      <c r="E3646" s="1" t="n">
        <v>46323</v>
      </c>
      <c r="F3646" t="inlineStr">
        <is>
          <t>KALMAR LÄN</t>
        </is>
      </c>
      <c r="G3646" t="inlineStr">
        <is>
          <t>OSKARSHAMN</t>
        </is>
      </c>
      <c r="I3646" t="n">
        <v>0.5</v>
      </c>
      <c r="J3646" t="n">
        <v>0</v>
      </c>
      <c r="K3646" t="n">
        <v>0</v>
      </c>
      <c r="L3646" t="n">
        <v>0</v>
      </c>
      <c r="M3646" t="n">
        <v>0</v>
      </c>
      <c r="N3646" t="n">
        <v>0</v>
      </c>
      <c r="O3646" t="n">
        <v>0</v>
      </c>
      <c r="P3646" t="n">
        <v>0</v>
      </c>
      <c r="Q3646" t="n">
        <v>0</v>
      </c>
      <c r="R3646" t="n">
        <v>0</v>
      </c>
      <c r="S3646" t="n">
        <v>0</v>
      </c>
      <c r="T3646" t="n">
        <v>0</v>
      </c>
      <c r="U3646" t="n">
        <v>0</v>
      </c>
      <c r="V3646" s="2" t="inlineStr"/>
    </row>
    <row r="3647" ht="15" customHeight="1">
      <c r="A3647" t="inlineStr">
        <is>
          <t>A 58170-2025</t>
        </is>
      </c>
      <c r="B3647" t="inlineStr">
        <is>
          <t>avverkningsanmälan</t>
        </is>
      </c>
      <c r="C3647" t="inlineStr">
        <is>
          <t>Föryngringsavverkning</t>
        </is>
      </c>
      <c r="D3647" s="1" t="n">
        <v>45982</v>
      </c>
      <c r="E3647" s="1" t="n">
        <v>46323</v>
      </c>
      <c r="F3647" t="inlineStr">
        <is>
          <t>KALMAR LÄN</t>
        </is>
      </c>
      <c r="G3647" t="inlineStr">
        <is>
          <t>VÄSTERVIK</t>
        </is>
      </c>
      <c r="I3647" t="n">
        <v>0.9</v>
      </c>
      <c r="J3647" t="n">
        <v>0</v>
      </c>
      <c r="K3647" t="n">
        <v>0</v>
      </c>
      <c r="L3647" t="n">
        <v>0</v>
      </c>
      <c r="M3647" t="n">
        <v>0</v>
      </c>
      <c r="N3647" t="n">
        <v>0</v>
      </c>
      <c r="O3647" t="n">
        <v>0</v>
      </c>
      <c r="P3647" t="n">
        <v>0</v>
      </c>
      <c r="Q3647" t="n">
        <v>0</v>
      </c>
      <c r="R3647" t="n">
        <v>0</v>
      </c>
      <c r="S3647" t="n">
        <v>0</v>
      </c>
      <c r="T3647" t="n">
        <v>0</v>
      </c>
      <c r="U3647" t="n">
        <v>0</v>
      </c>
      <c r="V3647" s="2" t="inlineStr"/>
    </row>
    <row r="3648" ht="15" customHeight="1">
      <c r="A3648" t="inlineStr">
        <is>
          <t>A 8198-2022</t>
        </is>
      </c>
      <c r="B3648" t="inlineStr">
        <is>
          <t>avverkningsanmälan</t>
        </is>
      </c>
      <c r="C3648" t="inlineStr">
        <is>
          <t>Föryngringsavverkning</t>
        </is>
      </c>
      <c r="D3648" s="1" t="n">
        <v>44609</v>
      </c>
      <c r="E3648" s="1" t="n">
        <v>46323</v>
      </c>
      <c r="F3648" t="inlineStr">
        <is>
          <t>KALMAR LÄN</t>
        </is>
      </c>
      <c r="G3648" t="inlineStr">
        <is>
          <t>HULTSFRED</t>
        </is>
      </c>
      <c r="I3648" t="n">
        <v>2.2</v>
      </c>
      <c r="J3648" t="n">
        <v>0</v>
      </c>
      <c r="K3648" t="n">
        <v>0</v>
      </c>
      <c r="L3648" t="n">
        <v>0</v>
      </c>
      <c r="M3648" t="n">
        <v>0</v>
      </c>
      <c r="N3648" t="n">
        <v>0</v>
      </c>
      <c r="O3648" t="n">
        <v>0</v>
      </c>
      <c r="P3648" t="n">
        <v>0</v>
      </c>
      <c r="Q3648" t="n">
        <v>0</v>
      </c>
      <c r="R3648" t="n">
        <v>0</v>
      </c>
      <c r="S3648" t="n">
        <v>0</v>
      </c>
      <c r="T3648" t="n">
        <v>0</v>
      </c>
      <c r="U3648" t="n">
        <v>0</v>
      </c>
      <c r="V3648" s="2" t="inlineStr"/>
    </row>
    <row r="3649" ht="15" customHeight="1">
      <c r="A3649" t="inlineStr">
        <is>
          <t>A 61398-2025</t>
        </is>
      </c>
      <c r="B3649" t="inlineStr">
        <is>
          <t>avverkningsanmälan</t>
        </is>
      </c>
      <c r="C3649" t="inlineStr">
        <is>
          <t>Föryngringsavverkning</t>
        </is>
      </c>
      <c r="D3649" s="1" t="n">
        <v>46001</v>
      </c>
      <c r="E3649" s="1" t="n">
        <v>46323</v>
      </c>
      <c r="F3649" t="inlineStr">
        <is>
          <t>KALMAR LÄN</t>
        </is>
      </c>
      <c r="G3649" t="inlineStr">
        <is>
          <t>OSKARSHAMN</t>
        </is>
      </c>
      <c r="I3649" t="n">
        <v>2.6</v>
      </c>
      <c r="J3649" t="n">
        <v>0</v>
      </c>
      <c r="K3649" t="n">
        <v>0</v>
      </c>
      <c r="L3649" t="n">
        <v>0</v>
      </c>
      <c r="M3649" t="n">
        <v>0</v>
      </c>
      <c r="N3649" t="n">
        <v>0</v>
      </c>
      <c r="O3649" t="n">
        <v>0</v>
      </c>
      <c r="P3649" t="n">
        <v>0</v>
      </c>
      <c r="Q3649" t="n">
        <v>0</v>
      </c>
      <c r="R3649" t="n">
        <v>0</v>
      </c>
      <c r="S3649" t="n">
        <v>0</v>
      </c>
      <c r="T3649" t="n">
        <v>0</v>
      </c>
      <c r="U3649" t="n">
        <v>0</v>
      </c>
      <c r="V3649" s="2" t="inlineStr"/>
    </row>
    <row r="3650" ht="15" customHeight="1">
      <c r="A3650" t="inlineStr">
        <is>
          <t>A 45893-2024</t>
        </is>
      </c>
      <c r="B3650" t="inlineStr">
        <is>
          <t>avverkningsanmälan</t>
        </is>
      </c>
      <c r="C3650" t="inlineStr">
        <is>
          <t>Föryngringsavverkning</t>
        </is>
      </c>
      <c r="D3650" s="1" t="n">
        <v>45580</v>
      </c>
      <c r="E3650" s="1" t="n">
        <v>46323</v>
      </c>
      <c r="F3650" t="inlineStr">
        <is>
          <t>KALMAR LÄN</t>
        </is>
      </c>
      <c r="G3650" t="inlineStr">
        <is>
          <t>OSKARSHAMN</t>
        </is>
      </c>
      <c r="I3650" t="n">
        <v>2.9</v>
      </c>
      <c r="J3650" t="n">
        <v>0</v>
      </c>
      <c r="K3650" t="n">
        <v>0</v>
      </c>
      <c r="L3650" t="n">
        <v>0</v>
      </c>
      <c r="M3650" t="n">
        <v>0</v>
      </c>
      <c r="N3650" t="n">
        <v>0</v>
      </c>
      <c r="O3650" t="n">
        <v>0</v>
      </c>
      <c r="P3650" t="n">
        <v>0</v>
      </c>
      <c r="Q3650" t="n">
        <v>0</v>
      </c>
      <c r="R3650" t="n">
        <v>0</v>
      </c>
      <c r="S3650" t="n">
        <v>0</v>
      </c>
      <c r="T3650" t="n">
        <v>0</v>
      </c>
      <c r="U3650" t="n">
        <v>0</v>
      </c>
      <c r="V3650" s="2" t="inlineStr"/>
    </row>
    <row r="3651" ht="15" customHeight="1">
      <c r="A3651" t="inlineStr">
        <is>
          <t>A 61543-2025</t>
        </is>
      </c>
      <c r="B3651" t="inlineStr">
        <is>
          <t>avverkningsanmälan</t>
        </is>
      </c>
      <c r="C3651" t="inlineStr">
        <is>
          <t>Föryngringsavverkning</t>
        </is>
      </c>
      <c r="D3651" s="1" t="n">
        <v>46001</v>
      </c>
      <c r="E3651" s="1" t="n">
        <v>46323</v>
      </c>
      <c r="F3651" t="inlineStr">
        <is>
          <t>KALMAR LÄN</t>
        </is>
      </c>
      <c r="G3651" t="inlineStr">
        <is>
          <t>VÄSTERVIK</t>
        </is>
      </c>
      <c r="H3651" t="inlineStr">
        <is>
          <t>Sveaskog</t>
        </is>
      </c>
      <c r="I3651" t="n">
        <v>2.1</v>
      </c>
      <c r="J3651" t="n">
        <v>0</v>
      </c>
      <c r="K3651" t="n">
        <v>0</v>
      </c>
      <c r="L3651" t="n">
        <v>0</v>
      </c>
      <c r="M3651" t="n">
        <v>0</v>
      </c>
      <c r="N3651" t="n">
        <v>0</v>
      </c>
      <c r="O3651" t="n">
        <v>0</v>
      </c>
      <c r="P3651" t="n">
        <v>0</v>
      </c>
      <c r="Q3651" t="n">
        <v>0</v>
      </c>
      <c r="R3651" t="n">
        <v>0</v>
      </c>
      <c r="S3651" t="n">
        <v>0</v>
      </c>
      <c r="T3651" t="n">
        <v>0</v>
      </c>
      <c r="U3651" t="n">
        <v>0</v>
      </c>
      <c r="V3651" s="2" t="inlineStr"/>
    </row>
    <row r="3652" ht="15" customHeight="1">
      <c r="A3652" t="inlineStr">
        <is>
          <t>A 61390-2025</t>
        </is>
      </c>
      <c r="B3652" t="inlineStr">
        <is>
          <t>avverkningsanmälan</t>
        </is>
      </c>
      <c r="C3652" t="inlineStr">
        <is>
          <t>Föryngringsavverkning</t>
        </is>
      </c>
      <c r="D3652" s="1" t="n">
        <v>46001</v>
      </c>
      <c r="E3652" s="1" t="n">
        <v>46323</v>
      </c>
      <c r="F3652" t="inlineStr">
        <is>
          <t>KALMAR LÄN</t>
        </is>
      </c>
      <c r="G3652" t="inlineStr">
        <is>
          <t>OSKARSHAMN</t>
        </is>
      </c>
      <c r="I3652" t="n">
        <v>1.7</v>
      </c>
      <c r="J3652" t="n">
        <v>0</v>
      </c>
      <c r="K3652" t="n">
        <v>0</v>
      </c>
      <c r="L3652" t="n">
        <v>0</v>
      </c>
      <c r="M3652" t="n">
        <v>0</v>
      </c>
      <c r="N3652" t="n">
        <v>0</v>
      </c>
      <c r="O3652" t="n">
        <v>0</v>
      </c>
      <c r="P3652" t="n">
        <v>0</v>
      </c>
      <c r="Q3652" t="n">
        <v>0</v>
      </c>
      <c r="R3652" t="n">
        <v>0</v>
      </c>
      <c r="S3652" t="n">
        <v>0</v>
      </c>
      <c r="T3652" t="n">
        <v>0</v>
      </c>
      <c r="U3652" t="n">
        <v>0</v>
      </c>
      <c r="V3652" s="2" t="inlineStr"/>
    </row>
    <row r="3653" ht="15" customHeight="1">
      <c r="A3653" t="inlineStr">
        <is>
          <t>A 61409-2025</t>
        </is>
      </c>
      <c r="B3653" t="inlineStr">
        <is>
          <t>avverkningsanmälan</t>
        </is>
      </c>
      <c r="C3653" t="inlineStr">
        <is>
          <t>Föryngringsavverkning</t>
        </is>
      </c>
      <c r="D3653" s="1" t="n">
        <v>46001</v>
      </c>
      <c r="E3653" s="1" t="n">
        <v>46323</v>
      </c>
      <c r="F3653" t="inlineStr">
        <is>
          <t>KALMAR LÄN</t>
        </is>
      </c>
      <c r="G3653" t="inlineStr">
        <is>
          <t>TORSÅS</t>
        </is>
      </c>
      <c r="I3653" t="n">
        <v>2</v>
      </c>
      <c r="J3653" t="n">
        <v>0</v>
      </c>
      <c r="K3653" t="n">
        <v>0</v>
      </c>
      <c r="L3653" t="n">
        <v>0</v>
      </c>
      <c r="M3653" t="n">
        <v>0</v>
      </c>
      <c r="N3653" t="n">
        <v>0</v>
      </c>
      <c r="O3653" t="n">
        <v>0</v>
      </c>
      <c r="P3653" t="n">
        <v>0</v>
      </c>
      <c r="Q3653" t="n">
        <v>0</v>
      </c>
      <c r="R3653" t="n">
        <v>0</v>
      </c>
      <c r="S3653" t="n">
        <v>0</v>
      </c>
      <c r="T3653" t="n">
        <v>0</v>
      </c>
      <c r="U3653" t="n">
        <v>0</v>
      </c>
      <c r="V3653" s="2" t="inlineStr"/>
    </row>
    <row r="3654" ht="15" customHeight="1">
      <c r="A3654" t="inlineStr">
        <is>
          <t>A 39169-2024</t>
        </is>
      </c>
      <c r="B3654" t="inlineStr">
        <is>
          <t>avverkningsanmälan</t>
        </is>
      </c>
      <c r="C3654" t="inlineStr">
        <is>
          <t>Föryngringsavverkning</t>
        </is>
      </c>
      <c r="D3654" s="1" t="n">
        <v>45548</v>
      </c>
      <c r="E3654" s="1" t="n">
        <v>46323</v>
      </c>
      <c r="F3654" t="inlineStr">
        <is>
          <t>KALMAR LÄN</t>
        </is>
      </c>
      <c r="G3654" t="inlineStr">
        <is>
          <t>EMMABODA</t>
        </is>
      </c>
      <c r="I3654" t="n">
        <v>2.1</v>
      </c>
      <c r="J3654" t="n">
        <v>0</v>
      </c>
      <c r="K3654" t="n">
        <v>0</v>
      </c>
      <c r="L3654" t="n">
        <v>0</v>
      </c>
      <c r="M3654" t="n">
        <v>0</v>
      </c>
      <c r="N3654" t="n">
        <v>0</v>
      </c>
      <c r="O3654" t="n">
        <v>0</v>
      </c>
      <c r="P3654" t="n">
        <v>0</v>
      </c>
      <c r="Q3654" t="n">
        <v>0</v>
      </c>
      <c r="R3654" t="n">
        <v>0</v>
      </c>
      <c r="S3654" t="n">
        <v>0</v>
      </c>
      <c r="T3654" t="n">
        <v>0</v>
      </c>
      <c r="U3654" t="n">
        <v>0</v>
      </c>
      <c r="V3654" s="2" t="inlineStr"/>
    </row>
    <row r="3655" ht="15" customHeight="1">
      <c r="A3655" t="inlineStr">
        <is>
          <t>A 61544-2025</t>
        </is>
      </c>
      <c r="B3655" t="inlineStr">
        <is>
          <t>avverkningsanmälan</t>
        </is>
      </c>
      <c r="C3655" t="inlineStr">
        <is>
          <t>Föryngringsavverkning</t>
        </is>
      </c>
      <c r="D3655" s="1" t="n">
        <v>46001</v>
      </c>
      <c r="E3655" s="1" t="n">
        <v>46323</v>
      </c>
      <c r="F3655" t="inlineStr">
        <is>
          <t>KALMAR LÄN</t>
        </is>
      </c>
      <c r="G3655" t="inlineStr">
        <is>
          <t>VÄSTERVIK</t>
        </is>
      </c>
      <c r="H3655" t="inlineStr">
        <is>
          <t>Sveaskog</t>
        </is>
      </c>
      <c r="I3655" t="n">
        <v>17.8</v>
      </c>
      <c r="J3655" t="n">
        <v>0</v>
      </c>
      <c r="K3655" t="n">
        <v>0</v>
      </c>
      <c r="L3655" t="n">
        <v>0</v>
      </c>
      <c r="M3655" t="n">
        <v>0</v>
      </c>
      <c r="N3655" t="n">
        <v>0</v>
      </c>
      <c r="O3655" t="n">
        <v>0</v>
      </c>
      <c r="P3655" t="n">
        <v>0</v>
      </c>
      <c r="Q3655" t="n">
        <v>0</v>
      </c>
      <c r="R3655" t="n">
        <v>0</v>
      </c>
      <c r="S3655" t="n">
        <v>0</v>
      </c>
      <c r="T3655" t="n">
        <v>0</v>
      </c>
      <c r="U3655" t="n">
        <v>0</v>
      </c>
      <c r="V3655" s="2" t="inlineStr"/>
    </row>
    <row r="3656" ht="15" customHeight="1">
      <c r="A3656" t="inlineStr">
        <is>
          <t>A 58360-2025</t>
        </is>
      </c>
      <c r="B3656" t="inlineStr">
        <is>
          <t>avverkningsanmälan</t>
        </is>
      </c>
      <c r="C3656" t="inlineStr">
        <is>
          <t>Föryngringsavverkning</t>
        </is>
      </c>
      <c r="D3656" s="1" t="n">
        <v>45985</v>
      </c>
      <c r="E3656" s="1" t="n">
        <v>46323</v>
      </c>
      <c r="F3656" t="inlineStr">
        <is>
          <t>KALMAR LÄN</t>
        </is>
      </c>
      <c r="G3656" t="inlineStr">
        <is>
          <t>VÄSTERVIK</t>
        </is>
      </c>
      <c r="I3656" t="n">
        <v>0.5</v>
      </c>
      <c r="J3656" t="n">
        <v>0</v>
      </c>
      <c r="K3656" t="n">
        <v>0</v>
      </c>
      <c r="L3656" t="n">
        <v>0</v>
      </c>
      <c r="M3656" t="n">
        <v>0</v>
      </c>
      <c r="N3656" t="n">
        <v>0</v>
      </c>
      <c r="O3656" t="n">
        <v>0</v>
      </c>
      <c r="P3656" t="n">
        <v>0</v>
      </c>
      <c r="Q3656" t="n">
        <v>0</v>
      </c>
      <c r="R3656" t="n">
        <v>0</v>
      </c>
      <c r="S3656" t="n">
        <v>0</v>
      </c>
      <c r="T3656" t="n">
        <v>0</v>
      </c>
      <c r="U3656" t="n">
        <v>0</v>
      </c>
      <c r="V3656" s="2" t="inlineStr"/>
    </row>
    <row r="3657" ht="15" customHeight="1">
      <c r="A3657" t="inlineStr">
        <is>
          <t>A 61790-2025</t>
        </is>
      </c>
      <c r="B3657" t="inlineStr">
        <is>
          <t>avverkningsanmälan</t>
        </is>
      </c>
      <c r="C3657" t="inlineStr">
        <is>
          <t>Föryngringsavverkning</t>
        </is>
      </c>
      <c r="D3657" s="1" t="n">
        <v>46002</v>
      </c>
      <c r="E3657" s="1" t="n">
        <v>46323</v>
      </c>
      <c r="F3657" t="inlineStr">
        <is>
          <t>KALMAR LÄN</t>
        </is>
      </c>
      <c r="G3657" t="inlineStr">
        <is>
          <t>VIMMERBY</t>
        </is>
      </c>
      <c r="H3657" t="inlineStr">
        <is>
          <t>Sveaskog</t>
        </is>
      </c>
      <c r="I3657" t="n">
        <v>1.2</v>
      </c>
      <c r="J3657" t="n">
        <v>0</v>
      </c>
      <c r="K3657" t="n">
        <v>0</v>
      </c>
      <c r="L3657" t="n">
        <v>0</v>
      </c>
      <c r="M3657" t="n">
        <v>0</v>
      </c>
      <c r="N3657" t="n">
        <v>0</v>
      </c>
      <c r="O3657" t="n">
        <v>0</v>
      </c>
      <c r="P3657" t="n">
        <v>0</v>
      </c>
      <c r="Q3657" t="n">
        <v>0</v>
      </c>
      <c r="R3657" t="n">
        <v>0</v>
      </c>
      <c r="S3657" t="n">
        <v>0</v>
      </c>
      <c r="T3657" t="n">
        <v>0</v>
      </c>
      <c r="U3657" t="n">
        <v>0</v>
      </c>
      <c r="V3657" s="2" t="inlineStr"/>
    </row>
    <row r="3658" ht="15" customHeight="1">
      <c r="A3658" t="inlineStr">
        <is>
          <t>A 61021-2025</t>
        </is>
      </c>
      <c r="B3658" t="inlineStr">
        <is>
          <t>avverkningsanmälan</t>
        </is>
      </c>
      <c r="C3658" t="inlineStr">
        <is>
          <t>Föryngringsavverkning</t>
        </is>
      </c>
      <c r="D3658" s="1" t="n">
        <v>45999</v>
      </c>
      <c r="E3658" s="1" t="n">
        <v>46323</v>
      </c>
      <c r="F3658" t="inlineStr">
        <is>
          <t>KALMAR LÄN</t>
        </is>
      </c>
      <c r="G3658" t="inlineStr">
        <is>
          <t>HÖGSBY</t>
        </is>
      </c>
      <c r="H3658" t="inlineStr">
        <is>
          <t>Sveaskog</t>
        </is>
      </c>
      <c r="I3658" t="n">
        <v>2.6</v>
      </c>
      <c r="J3658" t="n">
        <v>0</v>
      </c>
      <c r="K3658" t="n">
        <v>0</v>
      </c>
      <c r="L3658" t="n">
        <v>0</v>
      </c>
      <c r="M3658" t="n">
        <v>0</v>
      </c>
      <c r="N3658" t="n">
        <v>0</v>
      </c>
      <c r="O3658" t="n">
        <v>0</v>
      </c>
      <c r="P3658" t="n">
        <v>0</v>
      </c>
      <c r="Q3658" t="n">
        <v>0</v>
      </c>
      <c r="R3658" t="n">
        <v>0</v>
      </c>
      <c r="S3658" t="n">
        <v>0</v>
      </c>
      <c r="T3658" t="n">
        <v>0</v>
      </c>
      <c r="U3658" t="n">
        <v>0</v>
      </c>
      <c r="V3658" s="2" t="inlineStr"/>
    </row>
    <row r="3659" ht="15" customHeight="1">
      <c r="A3659" t="inlineStr">
        <is>
          <t>A 37281-2023</t>
        </is>
      </c>
      <c r="B3659" t="inlineStr">
        <is>
          <t>avverkningsanmälan</t>
        </is>
      </c>
      <c r="C3659" t="inlineStr">
        <is>
          <t>Föryngringsavverkning</t>
        </is>
      </c>
      <c r="D3659" s="1" t="n">
        <v>45156</v>
      </c>
      <c r="E3659" s="1" t="n">
        <v>46323</v>
      </c>
      <c r="F3659" t="inlineStr">
        <is>
          <t>KALMAR LÄN</t>
        </is>
      </c>
      <c r="G3659" t="inlineStr">
        <is>
          <t>HULTSFRED</t>
        </is>
      </c>
      <c r="I3659" t="n">
        <v>1.2</v>
      </c>
      <c r="J3659" t="n">
        <v>0</v>
      </c>
      <c r="K3659" t="n">
        <v>0</v>
      </c>
      <c r="L3659" t="n">
        <v>0</v>
      </c>
      <c r="M3659" t="n">
        <v>0</v>
      </c>
      <c r="N3659" t="n">
        <v>0</v>
      </c>
      <c r="O3659" t="n">
        <v>0</v>
      </c>
      <c r="P3659" t="n">
        <v>0</v>
      </c>
      <c r="Q3659" t="n">
        <v>0</v>
      </c>
      <c r="R3659" t="n">
        <v>0</v>
      </c>
      <c r="S3659" t="n">
        <v>0</v>
      </c>
      <c r="T3659" t="n">
        <v>0</v>
      </c>
      <c r="U3659" t="n">
        <v>0</v>
      </c>
      <c r="V3659" s="2" t="inlineStr"/>
    </row>
    <row r="3660" ht="15" customHeight="1">
      <c r="A3660" t="inlineStr">
        <is>
          <t>A 61481-2025</t>
        </is>
      </c>
      <c r="B3660" t="inlineStr">
        <is>
          <t>avverkningsanmälan</t>
        </is>
      </c>
      <c r="C3660" t="inlineStr">
        <is>
          <t>Föryngringsavverkning</t>
        </is>
      </c>
      <c r="D3660" s="1" t="n">
        <v>46001</v>
      </c>
      <c r="E3660" s="1" t="n">
        <v>46323</v>
      </c>
      <c r="F3660" t="inlineStr">
        <is>
          <t>KALMAR LÄN</t>
        </is>
      </c>
      <c r="G3660" t="inlineStr">
        <is>
          <t>HÖGSBY</t>
        </is>
      </c>
      <c r="I3660" t="n">
        <v>0.5</v>
      </c>
      <c r="J3660" t="n">
        <v>0</v>
      </c>
      <c r="K3660" t="n">
        <v>0</v>
      </c>
      <c r="L3660" t="n">
        <v>0</v>
      </c>
      <c r="M3660" t="n">
        <v>0</v>
      </c>
      <c r="N3660" t="n">
        <v>0</v>
      </c>
      <c r="O3660" t="n">
        <v>0</v>
      </c>
      <c r="P3660" t="n">
        <v>0</v>
      </c>
      <c r="Q3660" t="n">
        <v>0</v>
      </c>
      <c r="R3660" t="n">
        <v>0</v>
      </c>
      <c r="S3660" t="n">
        <v>0</v>
      </c>
      <c r="T3660" t="n">
        <v>0</v>
      </c>
      <c r="U3660" t="n">
        <v>0</v>
      </c>
      <c r="V3660" s="2" t="inlineStr"/>
    </row>
    <row r="3661" ht="15" customHeight="1">
      <c r="A3661" t="inlineStr">
        <is>
          <t>A 58680-2025</t>
        </is>
      </c>
      <c r="B3661" t="inlineStr">
        <is>
          <t>avverkningsanmälan</t>
        </is>
      </c>
      <c r="C3661" t="inlineStr">
        <is>
          <t>Föryngringsavverkning</t>
        </is>
      </c>
      <c r="D3661" s="1" t="n">
        <v>45986</v>
      </c>
      <c r="E3661" s="1" t="n">
        <v>46323</v>
      </c>
      <c r="F3661" t="inlineStr">
        <is>
          <t>KALMAR LÄN</t>
        </is>
      </c>
      <c r="G3661" t="inlineStr">
        <is>
          <t>NYBRO</t>
        </is>
      </c>
      <c r="I3661" t="n">
        <v>1.3</v>
      </c>
      <c r="J3661" t="n">
        <v>0</v>
      </c>
      <c r="K3661" t="n">
        <v>0</v>
      </c>
      <c r="L3661" t="n">
        <v>0</v>
      </c>
      <c r="M3661" t="n">
        <v>0</v>
      </c>
      <c r="N3661" t="n">
        <v>0</v>
      </c>
      <c r="O3661" t="n">
        <v>0</v>
      </c>
      <c r="P3661" t="n">
        <v>0</v>
      </c>
      <c r="Q3661" t="n">
        <v>0</v>
      </c>
      <c r="R3661" t="n">
        <v>0</v>
      </c>
      <c r="S3661" t="n">
        <v>0</v>
      </c>
      <c r="T3661" t="n">
        <v>0</v>
      </c>
      <c r="U3661" t="n">
        <v>0</v>
      </c>
      <c r="V3661" s="2" t="inlineStr"/>
    </row>
    <row r="3662" ht="15" customHeight="1">
      <c r="A3662" t="inlineStr">
        <is>
          <t>A 11014-2024</t>
        </is>
      </c>
      <c r="B3662" t="inlineStr">
        <is>
          <t>avverkningsanmälan</t>
        </is>
      </c>
      <c r="C3662" t="inlineStr">
        <is>
          <t>Föryngringsavverkning</t>
        </is>
      </c>
      <c r="D3662" s="1" t="n">
        <v>45370</v>
      </c>
      <c r="E3662" s="1" t="n">
        <v>46323</v>
      </c>
      <c r="F3662" t="inlineStr">
        <is>
          <t>KALMAR LÄN</t>
        </is>
      </c>
      <c r="G3662" t="inlineStr">
        <is>
          <t>NYBRO</t>
        </is>
      </c>
      <c r="I3662" t="n">
        <v>2.3</v>
      </c>
      <c r="J3662" t="n">
        <v>0</v>
      </c>
      <c r="K3662" t="n">
        <v>0</v>
      </c>
      <c r="L3662" t="n">
        <v>0</v>
      </c>
      <c r="M3662" t="n">
        <v>0</v>
      </c>
      <c r="N3662" t="n">
        <v>0</v>
      </c>
      <c r="O3662" t="n">
        <v>0</v>
      </c>
      <c r="P3662" t="n">
        <v>0</v>
      </c>
      <c r="Q3662" t="n">
        <v>0</v>
      </c>
      <c r="R3662" t="n">
        <v>0</v>
      </c>
      <c r="S3662" t="n">
        <v>0</v>
      </c>
      <c r="T3662" t="n">
        <v>0</v>
      </c>
      <c r="U3662" t="n">
        <v>0</v>
      </c>
      <c r="V3662" s="2" t="inlineStr"/>
    </row>
    <row r="3663" ht="15" customHeight="1">
      <c r="A3663" t="inlineStr">
        <is>
          <t>A 459-2025</t>
        </is>
      </c>
      <c r="B3663" t="inlineStr">
        <is>
          <t>avverkningsanmälan</t>
        </is>
      </c>
      <c r="C3663" t="inlineStr">
        <is>
          <t>Föryngringsavverkning</t>
        </is>
      </c>
      <c r="D3663" s="1" t="n">
        <v>45664</v>
      </c>
      <c r="E3663" s="1" t="n">
        <v>46323</v>
      </c>
      <c r="F3663" t="inlineStr">
        <is>
          <t>KALMAR LÄN</t>
        </is>
      </c>
      <c r="G3663" t="inlineStr">
        <is>
          <t>KALMAR</t>
        </is>
      </c>
      <c r="I3663" t="n">
        <v>1.5</v>
      </c>
      <c r="J3663" t="n">
        <v>0</v>
      </c>
      <c r="K3663" t="n">
        <v>0</v>
      </c>
      <c r="L3663" t="n">
        <v>0</v>
      </c>
      <c r="M3663" t="n">
        <v>0</v>
      </c>
      <c r="N3663" t="n">
        <v>0</v>
      </c>
      <c r="O3663" t="n">
        <v>0</v>
      </c>
      <c r="P3663" t="n">
        <v>0</v>
      </c>
      <c r="Q3663" t="n">
        <v>0</v>
      </c>
      <c r="R3663" t="n">
        <v>0</v>
      </c>
      <c r="S3663" t="n">
        <v>0</v>
      </c>
      <c r="T3663" t="n">
        <v>0</v>
      </c>
      <c r="U3663" t="n">
        <v>0</v>
      </c>
      <c r="V3663" s="2" t="inlineStr"/>
    </row>
    <row r="3664" ht="15" customHeight="1">
      <c r="A3664" t="inlineStr">
        <is>
          <t>A 61726-2025</t>
        </is>
      </c>
      <c r="B3664" t="inlineStr">
        <is>
          <t>avverkningsanmälan</t>
        </is>
      </c>
      <c r="C3664" t="inlineStr">
        <is>
          <t>Föryngringsavverkning</t>
        </is>
      </c>
      <c r="D3664" s="1" t="n">
        <v>46002</v>
      </c>
      <c r="E3664" s="1" t="n">
        <v>46323</v>
      </c>
      <c r="F3664" t="inlineStr">
        <is>
          <t>KALMAR LÄN</t>
        </is>
      </c>
      <c r="G3664" t="inlineStr">
        <is>
          <t>VIMMERBY</t>
        </is>
      </c>
      <c r="H3664" t="inlineStr">
        <is>
          <t>Sveaskog</t>
        </is>
      </c>
      <c r="I3664" t="n">
        <v>0.2</v>
      </c>
      <c r="J3664" t="n">
        <v>0</v>
      </c>
      <c r="K3664" t="n">
        <v>0</v>
      </c>
      <c r="L3664" t="n">
        <v>0</v>
      </c>
      <c r="M3664" t="n">
        <v>0</v>
      </c>
      <c r="N3664" t="n">
        <v>0</v>
      </c>
      <c r="O3664" t="n">
        <v>0</v>
      </c>
      <c r="P3664" t="n">
        <v>0</v>
      </c>
      <c r="Q3664" t="n">
        <v>0</v>
      </c>
      <c r="R3664" t="n">
        <v>0</v>
      </c>
      <c r="S3664" t="n">
        <v>0</v>
      </c>
      <c r="T3664" t="n">
        <v>0</v>
      </c>
      <c r="U3664" t="n">
        <v>0</v>
      </c>
      <c r="V3664" s="2" t="inlineStr"/>
    </row>
    <row r="3665" ht="15" customHeight="1">
      <c r="A3665" t="inlineStr">
        <is>
          <t>A 19050-2023</t>
        </is>
      </c>
      <c r="B3665" t="inlineStr">
        <is>
          <t>avverkningsanmälan</t>
        </is>
      </c>
      <c r="C3665" t="inlineStr">
        <is>
          <t>Föryngringsavverkning</t>
        </is>
      </c>
      <c r="D3665" s="1" t="n">
        <v>45047</v>
      </c>
      <c r="E3665" s="1" t="n">
        <v>46323</v>
      </c>
      <c r="F3665" t="inlineStr">
        <is>
          <t>KALMAR LÄN</t>
        </is>
      </c>
      <c r="G3665" t="inlineStr">
        <is>
          <t>HULTSFRED</t>
        </is>
      </c>
      <c r="I3665" t="n">
        <v>4.7</v>
      </c>
      <c r="J3665" t="n">
        <v>0</v>
      </c>
      <c r="K3665" t="n">
        <v>0</v>
      </c>
      <c r="L3665" t="n">
        <v>0</v>
      </c>
      <c r="M3665" t="n">
        <v>0</v>
      </c>
      <c r="N3665" t="n">
        <v>0</v>
      </c>
      <c r="O3665" t="n">
        <v>0</v>
      </c>
      <c r="P3665" t="n">
        <v>0</v>
      </c>
      <c r="Q3665" t="n">
        <v>0</v>
      </c>
      <c r="R3665" t="n">
        <v>0</v>
      </c>
      <c r="S3665" t="n">
        <v>0</v>
      </c>
      <c r="T3665" t="n">
        <v>0</v>
      </c>
      <c r="U3665" t="n">
        <v>0</v>
      </c>
      <c r="V3665" s="2" t="inlineStr"/>
    </row>
    <row r="3666" ht="15" customHeight="1">
      <c r="A3666" t="inlineStr">
        <is>
          <t>A 61542-2025</t>
        </is>
      </c>
      <c r="B3666" t="inlineStr">
        <is>
          <t>avverkningsanmälan</t>
        </is>
      </c>
      <c r="C3666" t="inlineStr">
        <is>
          <t>Föryngringsavverkning</t>
        </is>
      </c>
      <c r="D3666" s="1" t="n">
        <v>46001</v>
      </c>
      <c r="E3666" s="1" t="n">
        <v>46323</v>
      </c>
      <c r="F3666" t="inlineStr">
        <is>
          <t>KALMAR LÄN</t>
        </is>
      </c>
      <c r="G3666" t="inlineStr">
        <is>
          <t>VÄSTERVIK</t>
        </is>
      </c>
      <c r="H3666" t="inlineStr">
        <is>
          <t>Sveaskog</t>
        </is>
      </c>
      <c r="I3666" t="n">
        <v>5.9</v>
      </c>
      <c r="J3666" t="n">
        <v>0</v>
      </c>
      <c r="K3666" t="n">
        <v>0</v>
      </c>
      <c r="L3666" t="n">
        <v>0</v>
      </c>
      <c r="M3666" t="n">
        <v>0</v>
      </c>
      <c r="N3666" t="n">
        <v>0</v>
      </c>
      <c r="O3666" t="n">
        <v>0</v>
      </c>
      <c r="P3666" t="n">
        <v>0</v>
      </c>
      <c r="Q3666" t="n">
        <v>0</v>
      </c>
      <c r="R3666" t="n">
        <v>0</v>
      </c>
      <c r="S3666" t="n">
        <v>0</v>
      </c>
      <c r="T3666" t="n">
        <v>0</v>
      </c>
      <c r="U3666" t="n">
        <v>0</v>
      </c>
      <c r="V3666" s="2" t="inlineStr"/>
    </row>
    <row r="3667" ht="15" customHeight="1">
      <c r="A3667" t="inlineStr">
        <is>
          <t>A 38045-2023</t>
        </is>
      </c>
      <c r="B3667" t="inlineStr">
        <is>
          <t>avverkningsanmälan</t>
        </is>
      </c>
      <c r="C3667" t="inlineStr">
        <is>
          <t>Föryngringsavverkning</t>
        </is>
      </c>
      <c r="D3667" s="1" t="n">
        <v>45160</v>
      </c>
      <c r="E3667" s="1" t="n">
        <v>46323</v>
      </c>
      <c r="F3667" t="inlineStr">
        <is>
          <t>KALMAR LÄN</t>
        </is>
      </c>
      <c r="G3667" t="inlineStr">
        <is>
          <t>VÄSTERVIK</t>
        </is>
      </c>
      <c r="H3667" t="inlineStr">
        <is>
          <t>Sveaskog</t>
        </is>
      </c>
      <c r="I3667" t="n">
        <v>7.9</v>
      </c>
      <c r="J3667" t="n">
        <v>0</v>
      </c>
      <c r="K3667" t="n">
        <v>0</v>
      </c>
      <c r="L3667" t="n">
        <v>0</v>
      </c>
      <c r="M3667" t="n">
        <v>0</v>
      </c>
      <c r="N3667" t="n">
        <v>0</v>
      </c>
      <c r="O3667" t="n">
        <v>0</v>
      </c>
      <c r="P3667" t="n">
        <v>0</v>
      </c>
      <c r="Q3667" t="n">
        <v>0</v>
      </c>
      <c r="R3667" t="n">
        <v>0</v>
      </c>
      <c r="S3667" t="n">
        <v>0</v>
      </c>
      <c r="T3667" t="n">
        <v>0</v>
      </c>
      <c r="U3667" t="n">
        <v>0</v>
      </c>
      <c r="V3667" s="2" t="inlineStr"/>
    </row>
    <row r="3668" ht="15" customHeight="1">
      <c r="A3668" t="inlineStr">
        <is>
          <t>A 58349-2025</t>
        </is>
      </c>
      <c r="B3668" t="inlineStr">
        <is>
          <t>avverkningsanmälan</t>
        </is>
      </c>
      <c r="C3668" t="inlineStr">
        <is>
          <t>Föryngringsavverkning</t>
        </is>
      </c>
      <c r="D3668" s="1" t="n">
        <v>45985</v>
      </c>
      <c r="E3668" s="1" t="n">
        <v>46323</v>
      </c>
      <c r="F3668" t="inlineStr">
        <is>
          <t>KALMAR LÄN</t>
        </is>
      </c>
      <c r="G3668" t="inlineStr">
        <is>
          <t>VÄSTERVIK</t>
        </is>
      </c>
      <c r="I3668" t="n">
        <v>0.8</v>
      </c>
      <c r="J3668" t="n">
        <v>0</v>
      </c>
      <c r="K3668" t="n">
        <v>0</v>
      </c>
      <c r="L3668" t="n">
        <v>0</v>
      </c>
      <c r="M3668" t="n">
        <v>0</v>
      </c>
      <c r="N3668" t="n">
        <v>0</v>
      </c>
      <c r="O3668" t="n">
        <v>0</v>
      </c>
      <c r="P3668" t="n">
        <v>0</v>
      </c>
      <c r="Q3668" t="n">
        <v>0</v>
      </c>
      <c r="R3668" t="n">
        <v>0</v>
      </c>
      <c r="S3668" t="n">
        <v>0</v>
      </c>
      <c r="T3668" t="n">
        <v>0</v>
      </c>
      <c r="U3668" t="n">
        <v>0</v>
      </c>
      <c r="V3668" s="2" t="inlineStr"/>
    </row>
    <row r="3669" ht="15" customHeight="1">
      <c r="A3669" t="inlineStr">
        <is>
          <t>A 61028-2025</t>
        </is>
      </c>
      <c r="B3669" t="inlineStr">
        <is>
          <t>avverkningsanmälan</t>
        </is>
      </c>
      <c r="C3669" t="inlineStr">
        <is>
          <t>Föryngringsavverkning</t>
        </is>
      </c>
      <c r="D3669" s="1" t="n">
        <v>45999</v>
      </c>
      <c r="E3669" s="1" t="n">
        <v>46323</v>
      </c>
      <c r="F3669" t="inlineStr">
        <is>
          <t>KALMAR LÄN</t>
        </is>
      </c>
      <c r="G3669" t="inlineStr">
        <is>
          <t>HÖGSBY</t>
        </is>
      </c>
      <c r="H3669" t="inlineStr">
        <is>
          <t>Sveaskog</t>
        </is>
      </c>
      <c r="I3669" t="n">
        <v>10.9</v>
      </c>
      <c r="J3669" t="n">
        <v>0</v>
      </c>
      <c r="K3669" t="n">
        <v>0</v>
      </c>
      <c r="L3669" t="n">
        <v>0</v>
      </c>
      <c r="M3669" t="n">
        <v>0</v>
      </c>
      <c r="N3669" t="n">
        <v>0</v>
      </c>
      <c r="O3669" t="n">
        <v>0</v>
      </c>
      <c r="P3669" t="n">
        <v>0</v>
      </c>
      <c r="Q3669" t="n">
        <v>0</v>
      </c>
      <c r="R3669" t="n">
        <v>0</v>
      </c>
      <c r="S3669" t="n">
        <v>0</v>
      </c>
      <c r="T3669" t="n">
        <v>0</v>
      </c>
      <c r="U3669" t="n">
        <v>0</v>
      </c>
      <c r="V3669" s="2" t="inlineStr"/>
    </row>
    <row r="3670" ht="15" customHeight="1">
      <c r="A3670" t="inlineStr">
        <is>
          <t>A 58771-2025</t>
        </is>
      </c>
      <c r="B3670" t="inlineStr">
        <is>
          <t>avverkningsanmälan</t>
        </is>
      </c>
      <c r="C3670" t="inlineStr">
        <is>
          <t>Föryngringsavverkning</t>
        </is>
      </c>
      <c r="D3670" s="1" t="n">
        <v>45986</v>
      </c>
      <c r="E3670" s="1" t="n">
        <v>46323</v>
      </c>
      <c r="F3670" t="inlineStr">
        <is>
          <t>KALMAR LÄN</t>
        </is>
      </c>
      <c r="G3670" t="inlineStr">
        <is>
          <t>VÄSTERVIK</t>
        </is>
      </c>
      <c r="H3670" t="inlineStr">
        <is>
          <t>Holmen skog AB</t>
        </is>
      </c>
      <c r="I3670" t="n">
        <v>0.5</v>
      </c>
      <c r="J3670" t="n">
        <v>0</v>
      </c>
      <c r="K3670" t="n">
        <v>0</v>
      </c>
      <c r="L3670" t="n">
        <v>0</v>
      </c>
      <c r="M3670" t="n">
        <v>0</v>
      </c>
      <c r="N3670" t="n">
        <v>0</v>
      </c>
      <c r="O3670" t="n">
        <v>0</v>
      </c>
      <c r="P3670" t="n">
        <v>0</v>
      </c>
      <c r="Q3670" t="n">
        <v>0</v>
      </c>
      <c r="R3670" t="n">
        <v>0</v>
      </c>
      <c r="S3670" t="n">
        <v>0</v>
      </c>
      <c r="T3670" t="n">
        <v>0</v>
      </c>
      <c r="U3670" t="n">
        <v>0</v>
      </c>
      <c r="V3670" s="2" t="inlineStr"/>
    </row>
    <row r="3671" ht="15" customHeight="1">
      <c r="A3671" t="inlineStr">
        <is>
          <t>A 58482-2025</t>
        </is>
      </c>
      <c r="B3671" t="inlineStr">
        <is>
          <t>avverkningsanmälan</t>
        </is>
      </c>
      <c r="C3671" t="inlineStr">
        <is>
          <t>Föryngringsavverkning</t>
        </is>
      </c>
      <c r="D3671" s="1" t="n">
        <v>45985</v>
      </c>
      <c r="E3671" s="1" t="n">
        <v>46323</v>
      </c>
      <c r="F3671" t="inlineStr">
        <is>
          <t>KALMAR LÄN</t>
        </is>
      </c>
      <c r="G3671" t="inlineStr">
        <is>
          <t>NYBRO</t>
        </is>
      </c>
      <c r="I3671" t="n">
        <v>1.5</v>
      </c>
      <c r="J3671" t="n">
        <v>0</v>
      </c>
      <c r="K3671" t="n">
        <v>0</v>
      </c>
      <c r="L3671" t="n">
        <v>0</v>
      </c>
      <c r="M3671" t="n">
        <v>0</v>
      </c>
      <c r="N3671" t="n">
        <v>0</v>
      </c>
      <c r="O3671" t="n">
        <v>0</v>
      </c>
      <c r="P3671" t="n">
        <v>0</v>
      </c>
      <c r="Q3671" t="n">
        <v>0</v>
      </c>
      <c r="R3671" t="n">
        <v>0</v>
      </c>
      <c r="S3671" t="n">
        <v>0</v>
      </c>
      <c r="T3671" t="n">
        <v>0</v>
      </c>
      <c r="U3671" t="n">
        <v>0</v>
      </c>
      <c r="V3671" s="2" t="inlineStr"/>
    </row>
    <row r="3672" ht="15" customHeight="1">
      <c r="A3672" t="inlineStr">
        <is>
          <t>A 22232-2025</t>
        </is>
      </c>
      <c r="B3672" t="inlineStr">
        <is>
          <t>avverkningsanmälan</t>
        </is>
      </c>
      <c r="C3672" t="inlineStr">
        <is>
          <t>Föryngringsavverkning</t>
        </is>
      </c>
      <c r="D3672" s="1" t="n">
        <v>45785</v>
      </c>
      <c r="E3672" s="1" t="n">
        <v>46323</v>
      </c>
      <c r="F3672" t="inlineStr">
        <is>
          <t>KALMAR LÄN</t>
        </is>
      </c>
      <c r="G3672" t="inlineStr">
        <is>
          <t>TORSÅS</t>
        </is>
      </c>
      <c r="I3672" t="n">
        <v>0.6</v>
      </c>
      <c r="J3672" t="n">
        <v>0</v>
      </c>
      <c r="K3672" t="n">
        <v>0</v>
      </c>
      <c r="L3672" t="n">
        <v>0</v>
      </c>
      <c r="M3672" t="n">
        <v>0</v>
      </c>
      <c r="N3672" t="n">
        <v>0</v>
      </c>
      <c r="O3672" t="n">
        <v>0</v>
      </c>
      <c r="P3672" t="n">
        <v>0</v>
      </c>
      <c r="Q3672" t="n">
        <v>0</v>
      </c>
      <c r="R3672" t="n">
        <v>0</v>
      </c>
      <c r="S3672" t="n">
        <v>0</v>
      </c>
      <c r="T3672" t="n">
        <v>0</v>
      </c>
      <c r="U3672" t="n">
        <v>0</v>
      </c>
      <c r="V3672" s="2" t="inlineStr"/>
    </row>
    <row r="3673" ht="15" customHeight="1">
      <c r="A3673" t="inlineStr">
        <is>
          <t>A 58370-2025</t>
        </is>
      </c>
      <c r="B3673" t="inlineStr">
        <is>
          <t>avverkningsanmälan</t>
        </is>
      </c>
      <c r="C3673" t="inlineStr">
        <is>
          <t>Föryngringsavverkning</t>
        </is>
      </c>
      <c r="D3673" s="1" t="n">
        <v>45985</v>
      </c>
      <c r="E3673" s="1" t="n">
        <v>46323</v>
      </c>
      <c r="F3673" t="inlineStr">
        <is>
          <t>KALMAR LÄN</t>
        </is>
      </c>
      <c r="G3673" t="inlineStr">
        <is>
          <t>VÄSTERVIK</t>
        </is>
      </c>
      <c r="I3673" t="n">
        <v>1.7</v>
      </c>
      <c r="J3673" t="n">
        <v>0</v>
      </c>
      <c r="K3673" t="n">
        <v>0</v>
      </c>
      <c r="L3673" t="n">
        <v>0</v>
      </c>
      <c r="M3673" t="n">
        <v>0</v>
      </c>
      <c r="N3673" t="n">
        <v>0</v>
      </c>
      <c r="O3673" t="n">
        <v>0</v>
      </c>
      <c r="P3673" t="n">
        <v>0</v>
      </c>
      <c r="Q3673" t="n">
        <v>0</v>
      </c>
      <c r="R3673" t="n">
        <v>0</v>
      </c>
      <c r="S3673" t="n">
        <v>0</v>
      </c>
      <c r="T3673" t="n">
        <v>0</v>
      </c>
      <c r="U3673" t="n">
        <v>0</v>
      </c>
      <c r="V3673" s="2" t="inlineStr"/>
    </row>
    <row r="3674" ht="15" customHeight="1">
      <c r="A3674" t="inlineStr">
        <is>
          <t>A 36555-2024</t>
        </is>
      </c>
      <c r="B3674" t="inlineStr">
        <is>
          <t>avverkningsanmälan</t>
        </is>
      </c>
      <c r="C3674" t="inlineStr">
        <is>
          <t>Avverkning för annat ändamål</t>
        </is>
      </c>
      <c r="D3674" s="1" t="n">
        <v>45537</v>
      </c>
      <c r="E3674" s="1" t="n">
        <v>46323</v>
      </c>
      <c r="F3674" t="inlineStr">
        <is>
          <t>KALMAR LÄN</t>
        </is>
      </c>
      <c r="G3674" t="inlineStr">
        <is>
          <t>VÄSTERVIK</t>
        </is>
      </c>
      <c r="H3674" t="inlineStr">
        <is>
          <t>Kommuner</t>
        </is>
      </c>
      <c r="I3674" t="n">
        <v>0.8</v>
      </c>
      <c r="J3674" t="n">
        <v>0</v>
      </c>
      <c r="K3674" t="n">
        <v>0</v>
      </c>
      <c r="L3674" t="n">
        <v>0</v>
      </c>
      <c r="M3674" t="n">
        <v>0</v>
      </c>
      <c r="N3674" t="n">
        <v>0</v>
      </c>
      <c r="O3674" t="n">
        <v>0</v>
      </c>
      <c r="P3674" t="n">
        <v>0</v>
      </c>
      <c r="Q3674" t="n">
        <v>0</v>
      </c>
      <c r="R3674" t="n">
        <v>0</v>
      </c>
      <c r="S3674" t="n">
        <v>0</v>
      </c>
      <c r="T3674" t="n">
        <v>0</v>
      </c>
      <c r="U3674" t="n">
        <v>0</v>
      </c>
      <c r="V3674" s="2" t="inlineStr"/>
    </row>
    <row r="3675" ht="15" customHeight="1">
      <c r="A3675" t="inlineStr">
        <is>
          <t>A 58446-2025</t>
        </is>
      </c>
      <c r="B3675" t="inlineStr">
        <is>
          <t>avverkningsanmälan</t>
        </is>
      </c>
      <c r="C3675" t="inlineStr">
        <is>
          <t>Föryngringsavverkning</t>
        </is>
      </c>
      <c r="D3675" s="1" t="n">
        <v>45985</v>
      </c>
      <c r="E3675" s="1" t="n">
        <v>46323</v>
      </c>
      <c r="F3675" t="inlineStr">
        <is>
          <t>KALMAR LÄN</t>
        </is>
      </c>
      <c r="G3675" t="inlineStr">
        <is>
          <t>VIMMERBY</t>
        </is>
      </c>
      <c r="I3675" t="n">
        <v>0.5</v>
      </c>
      <c r="J3675" t="n">
        <v>0</v>
      </c>
      <c r="K3675" t="n">
        <v>0</v>
      </c>
      <c r="L3675" t="n">
        <v>0</v>
      </c>
      <c r="M3675" t="n">
        <v>0</v>
      </c>
      <c r="N3675" t="n">
        <v>0</v>
      </c>
      <c r="O3675" t="n">
        <v>0</v>
      </c>
      <c r="P3675" t="n">
        <v>0</v>
      </c>
      <c r="Q3675" t="n">
        <v>0</v>
      </c>
      <c r="R3675" t="n">
        <v>0</v>
      </c>
      <c r="S3675" t="n">
        <v>0</v>
      </c>
      <c r="T3675" t="n">
        <v>0</v>
      </c>
      <c r="U3675" t="n">
        <v>0</v>
      </c>
      <c r="V3675" s="2" t="inlineStr"/>
    </row>
    <row r="3676" ht="15" customHeight="1">
      <c r="A3676" t="inlineStr">
        <is>
          <t>A 61498-2025</t>
        </is>
      </c>
      <c r="B3676" t="inlineStr">
        <is>
          <t>avverkningsanmälan</t>
        </is>
      </c>
      <c r="C3676" t="inlineStr">
        <is>
          <t>Föryngringsavverkning</t>
        </is>
      </c>
      <c r="D3676" s="1" t="n">
        <v>46001</v>
      </c>
      <c r="E3676" s="1" t="n">
        <v>46323</v>
      </c>
      <c r="F3676" t="inlineStr">
        <is>
          <t>KALMAR LÄN</t>
        </is>
      </c>
      <c r="G3676" t="inlineStr">
        <is>
          <t>TORSÅS</t>
        </is>
      </c>
      <c r="I3676" t="n">
        <v>1.8</v>
      </c>
      <c r="J3676" t="n">
        <v>0</v>
      </c>
      <c r="K3676" t="n">
        <v>0</v>
      </c>
      <c r="L3676" t="n">
        <v>0</v>
      </c>
      <c r="M3676" t="n">
        <v>0</v>
      </c>
      <c r="N3676" t="n">
        <v>0</v>
      </c>
      <c r="O3676" t="n">
        <v>0</v>
      </c>
      <c r="P3676" t="n">
        <v>0</v>
      </c>
      <c r="Q3676" t="n">
        <v>0</v>
      </c>
      <c r="R3676" t="n">
        <v>0</v>
      </c>
      <c r="S3676" t="n">
        <v>0</v>
      </c>
      <c r="T3676" t="n">
        <v>0</v>
      </c>
      <c r="U3676" t="n">
        <v>0</v>
      </c>
      <c r="V3676" s="2" t="inlineStr"/>
    </row>
    <row r="3677" ht="15" customHeight="1">
      <c r="A3677" t="inlineStr">
        <is>
          <t>A 33472-2023</t>
        </is>
      </c>
      <c r="B3677" t="inlineStr">
        <is>
          <t>avverkningsanmälan</t>
        </is>
      </c>
      <c r="C3677" t="inlineStr">
        <is>
          <t>Föryngringsavverkning</t>
        </is>
      </c>
      <c r="D3677" s="1" t="n">
        <v>45131</v>
      </c>
      <c r="E3677" s="1" t="n">
        <v>46323</v>
      </c>
      <c r="F3677" t="inlineStr">
        <is>
          <t>KALMAR LÄN</t>
        </is>
      </c>
      <c r="G3677" t="inlineStr">
        <is>
          <t>NYBRO</t>
        </is>
      </c>
      <c r="I3677" t="n">
        <v>1.3</v>
      </c>
      <c r="J3677" t="n">
        <v>0</v>
      </c>
      <c r="K3677" t="n">
        <v>0</v>
      </c>
      <c r="L3677" t="n">
        <v>0</v>
      </c>
      <c r="M3677" t="n">
        <v>0</v>
      </c>
      <c r="N3677" t="n">
        <v>0</v>
      </c>
      <c r="O3677" t="n">
        <v>0</v>
      </c>
      <c r="P3677" t="n">
        <v>0</v>
      </c>
      <c r="Q3677" t="n">
        <v>0</v>
      </c>
      <c r="R3677" t="n">
        <v>0</v>
      </c>
      <c r="S3677" t="n">
        <v>0</v>
      </c>
      <c r="T3677" t="n">
        <v>0</v>
      </c>
      <c r="U3677" t="n">
        <v>0</v>
      </c>
      <c r="V3677" s="2" t="inlineStr"/>
    </row>
    <row r="3678" ht="15" customHeight="1">
      <c r="A3678" t="inlineStr">
        <is>
          <t>A 61029-2025</t>
        </is>
      </c>
      <c r="B3678" t="inlineStr">
        <is>
          <t>avverkningsanmälan</t>
        </is>
      </c>
      <c r="C3678" t="inlineStr">
        <is>
          <t>Föryngringsavverkning</t>
        </is>
      </c>
      <c r="D3678" s="1" t="n">
        <v>45999</v>
      </c>
      <c r="E3678" s="1" t="n">
        <v>46323</v>
      </c>
      <c r="F3678" t="inlineStr">
        <is>
          <t>KALMAR LÄN</t>
        </is>
      </c>
      <c r="G3678" t="inlineStr">
        <is>
          <t>HÖGSBY</t>
        </is>
      </c>
      <c r="H3678" t="inlineStr">
        <is>
          <t>Sveaskog</t>
        </is>
      </c>
      <c r="I3678" t="n">
        <v>3.3</v>
      </c>
      <c r="J3678" t="n">
        <v>0</v>
      </c>
      <c r="K3678" t="n">
        <v>0</v>
      </c>
      <c r="L3678" t="n">
        <v>0</v>
      </c>
      <c r="M3678" t="n">
        <v>0</v>
      </c>
      <c r="N3678" t="n">
        <v>0</v>
      </c>
      <c r="O3678" t="n">
        <v>0</v>
      </c>
      <c r="P3678" t="n">
        <v>0</v>
      </c>
      <c r="Q3678" t="n">
        <v>0</v>
      </c>
      <c r="R3678" t="n">
        <v>0</v>
      </c>
      <c r="S3678" t="n">
        <v>0</v>
      </c>
      <c r="T3678" t="n">
        <v>0</v>
      </c>
      <c r="U3678" t="n">
        <v>0</v>
      </c>
      <c r="V3678" s="2" t="inlineStr"/>
    </row>
    <row r="3679" ht="15" customHeight="1">
      <c r="A3679" t="inlineStr">
        <is>
          <t>A 18587-2025</t>
        </is>
      </c>
      <c r="B3679" t="inlineStr">
        <is>
          <t>avverkningsanmälan</t>
        </is>
      </c>
      <c r="C3679" t="inlineStr">
        <is>
          <t>Föryngringsavverkning</t>
        </is>
      </c>
      <c r="D3679" s="1" t="n">
        <v>45763</v>
      </c>
      <c r="E3679" s="1" t="n">
        <v>46323</v>
      </c>
      <c r="F3679" t="inlineStr">
        <is>
          <t>KALMAR LÄN</t>
        </is>
      </c>
      <c r="G3679" t="inlineStr">
        <is>
          <t>NYBRO</t>
        </is>
      </c>
      <c r="I3679" t="n">
        <v>30</v>
      </c>
      <c r="J3679" t="n">
        <v>0</v>
      </c>
      <c r="K3679" t="n">
        <v>0</v>
      </c>
      <c r="L3679" t="n">
        <v>0</v>
      </c>
      <c r="M3679" t="n">
        <v>0</v>
      </c>
      <c r="N3679" t="n">
        <v>0</v>
      </c>
      <c r="O3679" t="n">
        <v>0</v>
      </c>
      <c r="P3679" t="n">
        <v>0</v>
      </c>
      <c r="Q3679" t="n">
        <v>0</v>
      </c>
      <c r="R3679" t="n">
        <v>0</v>
      </c>
      <c r="S3679" t="n">
        <v>0</v>
      </c>
      <c r="T3679" t="n">
        <v>0</v>
      </c>
      <c r="U3679" t="n">
        <v>0</v>
      </c>
      <c r="V3679" s="2" t="inlineStr"/>
    </row>
    <row r="3680" ht="15" customHeight="1">
      <c r="A3680" t="inlineStr">
        <is>
          <t>A 58377-2025</t>
        </is>
      </c>
      <c r="B3680" t="inlineStr">
        <is>
          <t>avverkningsanmälan</t>
        </is>
      </c>
      <c r="C3680" t="inlineStr">
        <is>
          <t>Föryngringsavverkning</t>
        </is>
      </c>
      <c r="D3680" s="1" t="n">
        <v>45985</v>
      </c>
      <c r="E3680" s="1" t="n">
        <v>46323</v>
      </c>
      <c r="F3680" t="inlineStr">
        <is>
          <t>KALMAR LÄN</t>
        </is>
      </c>
      <c r="G3680" t="inlineStr">
        <is>
          <t>VÄSTERVIK</t>
        </is>
      </c>
      <c r="I3680" t="n">
        <v>0.6</v>
      </c>
      <c r="J3680" t="n">
        <v>0</v>
      </c>
      <c r="K3680" t="n">
        <v>0</v>
      </c>
      <c r="L3680" t="n">
        <v>0</v>
      </c>
      <c r="M3680" t="n">
        <v>0</v>
      </c>
      <c r="N3680" t="n">
        <v>0</v>
      </c>
      <c r="O3680" t="n">
        <v>0</v>
      </c>
      <c r="P3680" t="n">
        <v>0</v>
      </c>
      <c r="Q3680" t="n">
        <v>0</v>
      </c>
      <c r="R3680" t="n">
        <v>0</v>
      </c>
      <c r="S3680" t="n">
        <v>0</v>
      </c>
      <c r="T3680" t="n">
        <v>0</v>
      </c>
      <c r="U3680" t="n">
        <v>0</v>
      </c>
      <c r="V3680" s="2" t="inlineStr"/>
    </row>
    <row r="3681" ht="15" customHeight="1">
      <c r="A3681" t="inlineStr">
        <is>
          <t>A 61105-2024</t>
        </is>
      </c>
      <c r="B3681" t="inlineStr">
        <is>
          <t>avverkningsanmälan</t>
        </is>
      </c>
      <c r="C3681" t="inlineStr">
        <is>
          <t>Föryngringsavverkning</t>
        </is>
      </c>
      <c r="D3681" s="1" t="n">
        <v>45645</v>
      </c>
      <c r="E3681" s="1" t="n">
        <v>46323</v>
      </c>
      <c r="F3681" t="inlineStr">
        <is>
          <t>KALMAR LÄN</t>
        </is>
      </c>
      <c r="G3681" t="inlineStr">
        <is>
          <t>TORSÅS</t>
        </is>
      </c>
      <c r="I3681" t="n">
        <v>2.2</v>
      </c>
      <c r="J3681" t="n">
        <v>0</v>
      </c>
      <c r="K3681" t="n">
        <v>0</v>
      </c>
      <c r="L3681" t="n">
        <v>0</v>
      </c>
      <c r="M3681" t="n">
        <v>0</v>
      </c>
      <c r="N3681" t="n">
        <v>0</v>
      </c>
      <c r="O3681" t="n">
        <v>0</v>
      </c>
      <c r="P3681" t="n">
        <v>0</v>
      </c>
      <c r="Q3681" t="n">
        <v>0</v>
      </c>
      <c r="R3681" t="n">
        <v>0</v>
      </c>
      <c r="S3681" t="n">
        <v>0</v>
      </c>
      <c r="T3681" t="n">
        <v>0</v>
      </c>
      <c r="U3681" t="n">
        <v>0</v>
      </c>
      <c r="V3681" s="2" t="inlineStr"/>
    </row>
    <row r="3682" ht="15" customHeight="1">
      <c r="A3682" t="inlineStr">
        <is>
          <t>A 61749-2024</t>
        </is>
      </c>
      <c r="B3682" t="inlineStr">
        <is>
          <t>avverkningsanmälan</t>
        </is>
      </c>
      <c r="C3682" t="inlineStr">
        <is>
          <t>Föryngringsavverkning</t>
        </is>
      </c>
      <c r="D3682" s="1" t="n">
        <v>45649</v>
      </c>
      <c r="E3682" s="1" t="n">
        <v>46323</v>
      </c>
      <c r="F3682" t="inlineStr">
        <is>
          <t>KALMAR LÄN</t>
        </is>
      </c>
      <c r="G3682" t="inlineStr">
        <is>
          <t>MÖNSTERÅS</t>
        </is>
      </c>
      <c r="H3682" t="inlineStr">
        <is>
          <t>Övriga Aktiebolag</t>
        </is>
      </c>
      <c r="I3682" t="n">
        <v>2.7</v>
      </c>
      <c r="J3682" t="n">
        <v>0</v>
      </c>
      <c r="K3682" t="n">
        <v>0</v>
      </c>
      <c r="L3682" t="n">
        <v>0</v>
      </c>
      <c r="M3682" t="n">
        <v>0</v>
      </c>
      <c r="N3682" t="n">
        <v>0</v>
      </c>
      <c r="O3682" t="n">
        <v>0</v>
      </c>
      <c r="P3682" t="n">
        <v>0</v>
      </c>
      <c r="Q3682" t="n">
        <v>0</v>
      </c>
      <c r="R3682" t="n">
        <v>0</v>
      </c>
      <c r="S3682" t="n">
        <v>0</v>
      </c>
      <c r="T3682" t="n">
        <v>0</v>
      </c>
      <c r="U3682" t="n">
        <v>0</v>
      </c>
      <c r="V3682" s="2" t="inlineStr"/>
    </row>
    <row r="3683" ht="15" customHeight="1">
      <c r="A3683" t="inlineStr">
        <is>
          <t>A 21305-2024</t>
        </is>
      </c>
      <c r="B3683" t="inlineStr">
        <is>
          <t>avverkningsanmälan</t>
        </is>
      </c>
      <c r="C3683" t="inlineStr">
        <is>
          <t>Föryngringsavverkning</t>
        </is>
      </c>
      <c r="D3683" s="1" t="n">
        <v>45440</v>
      </c>
      <c r="E3683" s="1" t="n">
        <v>46323</v>
      </c>
      <c r="F3683" t="inlineStr">
        <is>
          <t>KALMAR LÄN</t>
        </is>
      </c>
      <c r="G3683" t="inlineStr">
        <is>
          <t>TORSÅS</t>
        </is>
      </c>
      <c r="I3683" t="n">
        <v>2.5</v>
      </c>
      <c r="J3683" t="n">
        <v>0</v>
      </c>
      <c r="K3683" t="n">
        <v>0</v>
      </c>
      <c r="L3683" t="n">
        <v>0</v>
      </c>
      <c r="M3683" t="n">
        <v>0</v>
      </c>
      <c r="N3683" t="n">
        <v>0</v>
      </c>
      <c r="O3683" t="n">
        <v>0</v>
      </c>
      <c r="P3683" t="n">
        <v>0</v>
      </c>
      <c r="Q3683" t="n">
        <v>0</v>
      </c>
      <c r="R3683" t="n">
        <v>0</v>
      </c>
      <c r="S3683" t="n">
        <v>0</v>
      </c>
      <c r="T3683" t="n">
        <v>0</v>
      </c>
      <c r="U3683" t="n">
        <v>0</v>
      </c>
      <c r="V3683" s="2" t="inlineStr"/>
    </row>
    <row r="3684" ht="15" customHeight="1">
      <c r="A3684" t="inlineStr">
        <is>
          <t>A 58673-2025</t>
        </is>
      </c>
      <c r="B3684" t="inlineStr">
        <is>
          <t>avverkningsanmälan</t>
        </is>
      </c>
      <c r="C3684" t="inlineStr">
        <is>
          <t>Föryngringsavverkning</t>
        </is>
      </c>
      <c r="D3684" s="1" t="n">
        <v>45986</v>
      </c>
      <c r="E3684" s="1" t="n">
        <v>46323</v>
      </c>
      <c r="F3684" t="inlineStr">
        <is>
          <t>KALMAR LÄN</t>
        </is>
      </c>
      <c r="G3684" t="inlineStr">
        <is>
          <t>NYBRO</t>
        </is>
      </c>
      <c r="I3684" t="n">
        <v>1.5</v>
      </c>
      <c r="J3684" t="n">
        <v>0</v>
      </c>
      <c r="K3684" t="n">
        <v>0</v>
      </c>
      <c r="L3684" t="n">
        <v>0</v>
      </c>
      <c r="M3684" t="n">
        <v>0</v>
      </c>
      <c r="N3684" t="n">
        <v>0</v>
      </c>
      <c r="O3684" t="n">
        <v>0</v>
      </c>
      <c r="P3684" t="n">
        <v>0</v>
      </c>
      <c r="Q3684" t="n">
        <v>0</v>
      </c>
      <c r="R3684" t="n">
        <v>0</v>
      </c>
      <c r="S3684" t="n">
        <v>0</v>
      </c>
      <c r="T3684" t="n">
        <v>0</v>
      </c>
      <c r="U3684" t="n">
        <v>0</v>
      </c>
      <c r="V3684" s="2" t="inlineStr"/>
    </row>
    <row r="3685" ht="15" customHeight="1">
      <c r="A3685" t="inlineStr">
        <is>
          <t>A 61387-2025</t>
        </is>
      </c>
      <c r="B3685" t="inlineStr">
        <is>
          <t>avverkningsanmälan</t>
        </is>
      </c>
      <c r="C3685" t="inlineStr">
        <is>
          <t>Föryngringsavverkning</t>
        </is>
      </c>
      <c r="D3685" s="1" t="n">
        <v>46001</v>
      </c>
      <c r="E3685" s="1" t="n">
        <v>46323</v>
      </c>
      <c r="F3685" t="inlineStr">
        <is>
          <t>KALMAR LÄN</t>
        </is>
      </c>
      <c r="G3685" t="inlineStr">
        <is>
          <t>OSKARSHAMN</t>
        </is>
      </c>
      <c r="I3685" t="n">
        <v>1.2</v>
      </c>
      <c r="J3685" t="n">
        <v>0</v>
      </c>
      <c r="K3685" t="n">
        <v>0</v>
      </c>
      <c r="L3685" t="n">
        <v>0</v>
      </c>
      <c r="M3685" t="n">
        <v>0</v>
      </c>
      <c r="N3685" t="n">
        <v>0</v>
      </c>
      <c r="O3685" t="n">
        <v>0</v>
      </c>
      <c r="P3685" t="n">
        <v>0</v>
      </c>
      <c r="Q3685" t="n">
        <v>0</v>
      </c>
      <c r="R3685" t="n">
        <v>0</v>
      </c>
      <c r="S3685" t="n">
        <v>0</v>
      </c>
      <c r="T3685" t="n">
        <v>0</v>
      </c>
      <c r="U3685" t="n">
        <v>0</v>
      </c>
      <c r="V3685" s="2" t="inlineStr"/>
    </row>
    <row r="3686" ht="15" customHeight="1">
      <c r="A3686" t="inlineStr">
        <is>
          <t>A 61389-2025</t>
        </is>
      </c>
      <c r="B3686" t="inlineStr">
        <is>
          <t>avverkningsanmälan</t>
        </is>
      </c>
      <c r="C3686" t="inlineStr">
        <is>
          <t>Föryngringsavverkning</t>
        </is>
      </c>
      <c r="D3686" s="1" t="n">
        <v>46001</v>
      </c>
      <c r="E3686" s="1" t="n">
        <v>46323</v>
      </c>
      <c r="F3686" t="inlineStr">
        <is>
          <t>KALMAR LÄN</t>
        </is>
      </c>
      <c r="G3686" t="inlineStr">
        <is>
          <t>OSKARSHAMN</t>
        </is>
      </c>
      <c r="I3686" t="n">
        <v>0.6</v>
      </c>
      <c r="J3686" t="n">
        <v>0</v>
      </c>
      <c r="K3686" t="n">
        <v>0</v>
      </c>
      <c r="L3686" t="n">
        <v>0</v>
      </c>
      <c r="M3686" t="n">
        <v>0</v>
      </c>
      <c r="N3686" t="n">
        <v>0</v>
      </c>
      <c r="O3686" t="n">
        <v>0</v>
      </c>
      <c r="P3686" t="n">
        <v>0</v>
      </c>
      <c r="Q3686" t="n">
        <v>0</v>
      </c>
      <c r="R3686" t="n">
        <v>0</v>
      </c>
      <c r="S3686" t="n">
        <v>0</v>
      </c>
      <c r="T3686" t="n">
        <v>0</v>
      </c>
      <c r="U3686" t="n">
        <v>0</v>
      </c>
      <c r="V3686" s="2" t="inlineStr"/>
    </row>
    <row r="3687" ht="15" customHeight="1">
      <c r="A3687" t="inlineStr">
        <is>
          <t>A 1401-2022</t>
        </is>
      </c>
      <c r="B3687" t="inlineStr">
        <is>
          <t>avverkningsanmälan</t>
        </is>
      </c>
      <c r="C3687" t="inlineStr">
        <is>
          <t>Föryngringsavverkning</t>
        </is>
      </c>
      <c r="D3687" s="1" t="n">
        <v>44573</v>
      </c>
      <c r="E3687" s="1" t="n">
        <v>46323</v>
      </c>
      <c r="F3687" t="inlineStr">
        <is>
          <t>KALMAR LÄN</t>
        </is>
      </c>
      <c r="G3687" t="inlineStr">
        <is>
          <t>OSKARSHAMN</t>
        </is>
      </c>
      <c r="I3687" t="n">
        <v>2.9</v>
      </c>
      <c r="J3687" t="n">
        <v>0</v>
      </c>
      <c r="K3687" t="n">
        <v>0</v>
      </c>
      <c r="L3687" t="n">
        <v>0</v>
      </c>
      <c r="M3687" t="n">
        <v>0</v>
      </c>
      <c r="N3687" t="n">
        <v>0</v>
      </c>
      <c r="O3687" t="n">
        <v>0</v>
      </c>
      <c r="P3687" t="n">
        <v>0</v>
      </c>
      <c r="Q3687" t="n">
        <v>0</v>
      </c>
      <c r="R3687" t="n">
        <v>0</v>
      </c>
      <c r="S3687" t="n">
        <v>0</v>
      </c>
      <c r="T3687" t="n">
        <v>0</v>
      </c>
      <c r="U3687" t="n">
        <v>0</v>
      </c>
      <c r="V3687" s="2" t="inlineStr"/>
    </row>
    <row r="3688" ht="15" customHeight="1">
      <c r="A3688" t="inlineStr">
        <is>
          <t>A 13074-2025</t>
        </is>
      </c>
      <c r="B3688" t="inlineStr">
        <is>
          <t>avverkningsanmälan</t>
        </is>
      </c>
      <c r="C3688" t="inlineStr">
        <is>
          <t>Föryngringsavverkning</t>
        </is>
      </c>
      <c r="D3688" s="1" t="n">
        <v>45734</v>
      </c>
      <c r="E3688" s="1" t="n">
        <v>46323</v>
      </c>
      <c r="F3688" t="inlineStr">
        <is>
          <t>KALMAR LÄN</t>
        </is>
      </c>
      <c r="G3688" t="inlineStr">
        <is>
          <t>TORSÅS</t>
        </is>
      </c>
      <c r="I3688" t="n">
        <v>9</v>
      </c>
      <c r="J3688" t="n">
        <v>0</v>
      </c>
      <c r="K3688" t="n">
        <v>0</v>
      </c>
      <c r="L3688" t="n">
        <v>0</v>
      </c>
      <c r="M3688" t="n">
        <v>0</v>
      </c>
      <c r="N3688" t="n">
        <v>0</v>
      </c>
      <c r="O3688" t="n">
        <v>0</v>
      </c>
      <c r="P3688" t="n">
        <v>0</v>
      </c>
      <c r="Q3688" t="n">
        <v>0</v>
      </c>
      <c r="R3688" t="n">
        <v>0</v>
      </c>
      <c r="S3688" t="n">
        <v>0</v>
      </c>
      <c r="T3688" t="n">
        <v>0</v>
      </c>
      <c r="U3688" t="n">
        <v>0</v>
      </c>
      <c r="V3688" s="2" t="inlineStr"/>
    </row>
    <row r="3689" ht="15" customHeight="1">
      <c r="A3689" t="inlineStr">
        <is>
          <t>A 28037-2024</t>
        </is>
      </c>
      <c r="B3689" t="inlineStr">
        <is>
          <t>avverkningsanmälan</t>
        </is>
      </c>
      <c r="C3689" t="inlineStr">
        <is>
          <t>Föryngringsavverkning</t>
        </is>
      </c>
      <c r="D3689" s="1" t="n">
        <v>45476</v>
      </c>
      <c r="E3689" s="1" t="n">
        <v>46323</v>
      </c>
      <c r="F3689" t="inlineStr">
        <is>
          <t>KALMAR LÄN</t>
        </is>
      </c>
      <c r="G3689" t="inlineStr">
        <is>
          <t>VÄSTERVIK</t>
        </is>
      </c>
      <c r="I3689" t="n">
        <v>1</v>
      </c>
      <c r="J3689" t="n">
        <v>0</v>
      </c>
      <c r="K3689" t="n">
        <v>0</v>
      </c>
      <c r="L3689" t="n">
        <v>0</v>
      </c>
      <c r="M3689" t="n">
        <v>0</v>
      </c>
      <c r="N3689" t="n">
        <v>0</v>
      </c>
      <c r="O3689" t="n">
        <v>0</v>
      </c>
      <c r="P3689" t="n">
        <v>0</v>
      </c>
      <c r="Q3689" t="n">
        <v>0</v>
      </c>
      <c r="R3689" t="n">
        <v>0</v>
      </c>
      <c r="S3689" t="n">
        <v>0</v>
      </c>
      <c r="T3689" t="n">
        <v>0</v>
      </c>
      <c r="U3689" t="n">
        <v>0</v>
      </c>
      <c r="V3689" s="2" t="inlineStr"/>
    </row>
    <row r="3690" ht="15" customHeight="1">
      <c r="A3690" t="inlineStr">
        <is>
          <t>A 58778-2025</t>
        </is>
      </c>
      <c r="B3690" t="inlineStr">
        <is>
          <t>avverkningsanmälan</t>
        </is>
      </c>
      <c r="C3690" t="inlineStr">
        <is>
          <t>Föryngringsavverkning</t>
        </is>
      </c>
      <c r="D3690" s="1" t="n">
        <v>45986</v>
      </c>
      <c r="E3690" s="1" t="n">
        <v>46323</v>
      </c>
      <c r="F3690" t="inlineStr">
        <is>
          <t>KALMAR LÄN</t>
        </is>
      </c>
      <c r="G3690" t="inlineStr">
        <is>
          <t>VÄSTERVIK</t>
        </is>
      </c>
      <c r="H3690" t="inlineStr">
        <is>
          <t>Holmen skog AB</t>
        </is>
      </c>
      <c r="I3690" t="n">
        <v>0.9</v>
      </c>
      <c r="J3690" t="n">
        <v>0</v>
      </c>
      <c r="K3690" t="n">
        <v>0</v>
      </c>
      <c r="L3690" t="n">
        <v>0</v>
      </c>
      <c r="M3690" t="n">
        <v>0</v>
      </c>
      <c r="N3690" t="n">
        <v>0</v>
      </c>
      <c r="O3690" t="n">
        <v>0</v>
      </c>
      <c r="P3690" t="n">
        <v>0</v>
      </c>
      <c r="Q3690" t="n">
        <v>0</v>
      </c>
      <c r="R3690" t="n">
        <v>0</v>
      </c>
      <c r="S3690" t="n">
        <v>0</v>
      </c>
      <c r="T3690" t="n">
        <v>0</v>
      </c>
      <c r="U3690" t="n">
        <v>0</v>
      </c>
      <c r="V3690" s="2" t="inlineStr"/>
    </row>
    <row r="3691" ht="15" customHeight="1">
      <c r="A3691" t="inlineStr">
        <is>
          <t>A 24666-2023</t>
        </is>
      </c>
      <c r="B3691" t="inlineStr">
        <is>
          <t>avverkningsanmälan</t>
        </is>
      </c>
      <c r="C3691" t="inlineStr">
        <is>
          <t>Föryngringsavverkning</t>
        </is>
      </c>
      <c r="D3691" s="1" t="n">
        <v>45084</v>
      </c>
      <c r="E3691" s="1" t="n">
        <v>46323</v>
      </c>
      <c r="F3691" t="inlineStr">
        <is>
          <t>KALMAR LÄN</t>
        </is>
      </c>
      <c r="G3691" t="inlineStr">
        <is>
          <t>TORSÅS</t>
        </is>
      </c>
      <c r="I3691" t="n">
        <v>0.7</v>
      </c>
      <c r="J3691" t="n">
        <v>0</v>
      </c>
      <c r="K3691" t="n">
        <v>0</v>
      </c>
      <c r="L3691" t="n">
        <v>0</v>
      </c>
      <c r="M3691" t="n">
        <v>0</v>
      </c>
      <c r="N3691" t="n">
        <v>0</v>
      </c>
      <c r="O3691" t="n">
        <v>0</v>
      </c>
      <c r="P3691" t="n">
        <v>0</v>
      </c>
      <c r="Q3691" t="n">
        <v>0</v>
      </c>
      <c r="R3691" t="n">
        <v>0</v>
      </c>
      <c r="S3691" t="n">
        <v>0</v>
      </c>
      <c r="T3691" t="n">
        <v>0</v>
      </c>
      <c r="U3691" t="n">
        <v>0</v>
      </c>
      <c r="V3691" s="2" t="inlineStr"/>
    </row>
    <row r="3692" ht="15" customHeight="1">
      <c r="A3692" t="inlineStr">
        <is>
          <t>A 57716-2023</t>
        </is>
      </c>
      <c r="B3692" t="inlineStr">
        <is>
          <t>avverkningsanmälan</t>
        </is>
      </c>
      <c r="C3692" t="inlineStr">
        <is>
          <t>Föryngringsavverkning</t>
        </is>
      </c>
      <c r="D3692" s="1" t="n">
        <v>45246</v>
      </c>
      <c r="E3692" s="1" t="n">
        <v>46323</v>
      </c>
      <c r="F3692" t="inlineStr">
        <is>
          <t>KALMAR LÄN</t>
        </is>
      </c>
      <c r="G3692" t="inlineStr">
        <is>
          <t>NYBRO</t>
        </is>
      </c>
      <c r="I3692" t="n">
        <v>5.2</v>
      </c>
      <c r="J3692" t="n">
        <v>0</v>
      </c>
      <c r="K3692" t="n">
        <v>0</v>
      </c>
      <c r="L3692" t="n">
        <v>0</v>
      </c>
      <c r="M3692" t="n">
        <v>0</v>
      </c>
      <c r="N3692" t="n">
        <v>0</v>
      </c>
      <c r="O3692" t="n">
        <v>0</v>
      </c>
      <c r="P3692" t="n">
        <v>0</v>
      </c>
      <c r="Q3692" t="n">
        <v>0</v>
      </c>
      <c r="R3692" t="n">
        <v>0</v>
      </c>
      <c r="S3692" t="n">
        <v>0</v>
      </c>
      <c r="T3692" t="n">
        <v>0</v>
      </c>
      <c r="U3692" t="n">
        <v>0</v>
      </c>
      <c r="V3692" s="2" t="inlineStr"/>
    </row>
    <row r="3693" ht="15" customHeight="1">
      <c r="A3693" t="inlineStr">
        <is>
          <t>A 36126-2024</t>
        </is>
      </c>
      <c r="B3693" t="inlineStr">
        <is>
          <t>avverkningsanmälan</t>
        </is>
      </c>
      <c r="C3693" t="inlineStr">
        <is>
          <t>Föryngringsavverkning</t>
        </is>
      </c>
      <c r="D3693" s="1" t="n">
        <v>45534</v>
      </c>
      <c r="E3693" s="1" t="n">
        <v>46323</v>
      </c>
      <c r="F3693" t="inlineStr">
        <is>
          <t>KALMAR LÄN</t>
        </is>
      </c>
      <c r="G3693" t="inlineStr">
        <is>
          <t>KALMAR</t>
        </is>
      </c>
      <c r="I3693" t="n">
        <v>0.7</v>
      </c>
      <c r="J3693" t="n">
        <v>0</v>
      </c>
      <c r="K3693" t="n">
        <v>0</v>
      </c>
      <c r="L3693" t="n">
        <v>0</v>
      </c>
      <c r="M3693" t="n">
        <v>0</v>
      </c>
      <c r="N3693" t="n">
        <v>0</v>
      </c>
      <c r="O3693" t="n">
        <v>0</v>
      </c>
      <c r="P3693" t="n">
        <v>0</v>
      </c>
      <c r="Q3693" t="n">
        <v>0</v>
      </c>
      <c r="R3693" t="n">
        <v>0</v>
      </c>
      <c r="S3693" t="n">
        <v>0</v>
      </c>
      <c r="T3693" t="n">
        <v>0</v>
      </c>
      <c r="U3693" t="n">
        <v>0</v>
      </c>
      <c r="V3693" s="2" t="inlineStr"/>
    </row>
    <row r="3694" ht="15" customHeight="1">
      <c r="A3694" t="inlineStr">
        <is>
          <t>A 14359-2025</t>
        </is>
      </c>
      <c r="B3694" t="inlineStr">
        <is>
          <t>avverkningsanmälan</t>
        </is>
      </c>
      <c r="C3694" t="inlineStr">
        <is>
          <t>Föryngringsavverkning</t>
        </is>
      </c>
      <c r="D3694" s="1" t="n">
        <v>45741</v>
      </c>
      <c r="E3694" s="1" t="n">
        <v>46323</v>
      </c>
      <c r="F3694" t="inlineStr">
        <is>
          <t>KALMAR LÄN</t>
        </is>
      </c>
      <c r="G3694" t="inlineStr">
        <is>
          <t>VIMMERBY</t>
        </is>
      </c>
      <c r="I3694" t="n">
        <v>2</v>
      </c>
      <c r="J3694" t="n">
        <v>0</v>
      </c>
      <c r="K3694" t="n">
        <v>0</v>
      </c>
      <c r="L3694" t="n">
        <v>0</v>
      </c>
      <c r="M3694" t="n">
        <v>0</v>
      </c>
      <c r="N3694" t="n">
        <v>0</v>
      </c>
      <c r="O3694" t="n">
        <v>0</v>
      </c>
      <c r="P3694" t="n">
        <v>0</v>
      </c>
      <c r="Q3694" t="n">
        <v>0</v>
      </c>
      <c r="R3694" t="n">
        <v>0</v>
      </c>
      <c r="S3694" t="n">
        <v>0</v>
      </c>
      <c r="T3694" t="n">
        <v>0</v>
      </c>
      <c r="U3694" t="n">
        <v>0</v>
      </c>
      <c r="V3694" s="2" t="inlineStr"/>
    </row>
    <row r="3695" ht="15" customHeight="1">
      <c r="A3695" t="inlineStr">
        <is>
          <t>A 58367-2025</t>
        </is>
      </c>
      <c r="B3695" t="inlineStr">
        <is>
          <t>avverkningsanmälan</t>
        </is>
      </c>
      <c r="C3695" t="inlineStr">
        <is>
          <t>Föryngringsavverkning</t>
        </is>
      </c>
      <c r="D3695" s="1" t="n">
        <v>45985</v>
      </c>
      <c r="E3695" s="1" t="n">
        <v>46323</v>
      </c>
      <c r="F3695" t="inlineStr">
        <is>
          <t>KALMAR LÄN</t>
        </is>
      </c>
      <c r="G3695" t="inlineStr">
        <is>
          <t>VÄSTERVIK</t>
        </is>
      </c>
      <c r="I3695" t="n">
        <v>2.2</v>
      </c>
      <c r="J3695" t="n">
        <v>0</v>
      </c>
      <c r="K3695" t="n">
        <v>0</v>
      </c>
      <c r="L3695" t="n">
        <v>0</v>
      </c>
      <c r="M3695" t="n">
        <v>0</v>
      </c>
      <c r="N3695" t="n">
        <v>0</v>
      </c>
      <c r="O3695" t="n">
        <v>0</v>
      </c>
      <c r="P3695" t="n">
        <v>0</v>
      </c>
      <c r="Q3695" t="n">
        <v>0</v>
      </c>
      <c r="R3695" t="n">
        <v>0</v>
      </c>
      <c r="S3695" t="n">
        <v>0</v>
      </c>
      <c r="T3695" t="n">
        <v>0</v>
      </c>
      <c r="U3695" t="n">
        <v>0</v>
      </c>
      <c r="V3695" s="2" t="inlineStr"/>
    </row>
    <row r="3696" ht="15" customHeight="1">
      <c r="A3696" t="inlineStr">
        <is>
          <t>A 2958-2024</t>
        </is>
      </c>
      <c r="B3696" t="inlineStr">
        <is>
          <t>avverkningsanmälan</t>
        </is>
      </c>
      <c r="C3696" t="inlineStr">
        <is>
          <t>Föryngringsavverkning</t>
        </is>
      </c>
      <c r="D3696" s="1" t="n">
        <v>45315</v>
      </c>
      <c r="E3696" s="1" t="n">
        <v>46323</v>
      </c>
      <c r="F3696" t="inlineStr">
        <is>
          <t>KALMAR LÄN</t>
        </is>
      </c>
      <c r="G3696" t="inlineStr">
        <is>
          <t>NYBRO</t>
        </is>
      </c>
      <c r="I3696" t="n">
        <v>2.5</v>
      </c>
      <c r="J3696" t="n">
        <v>0</v>
      </c>
      <c r="K3696" t="n">
        <v>0</v>
      </c>
      <c r="L3696" t="n">
        <v>0</v>
      </c>
      <c r="M3696" t="n">
        <v>0</v>
      </c>
      <c r="N3696" t="n">
        <v>0</v>
      </c>
      <c r="O3696" t="n">
        <v>0</v>
      </c>
      <c r="P3696" t="n">
        <v>0</v>
      </c>
      <c r="Q3696" t="n">
        <v>0</v>
      </c>
      <c r="R3696" t="n">
        <v>0</v>
      </c>
      <c r="S3696" t="n">
        <v>0</v>
      </c>
      <c r="T3696" t="n">
        <v>0</v>
      </c>
      <c r="U3696" t="n">
        <v>0</v>
      </c>
      <c r="V3696" s="2" t="inlineStr"/>
    </row>
    <row r="3697" ht="15" customHeight="1">
      <c r="A3697" t="inlineStr">
        <is>
          <t>A 38520-2023</t>
        </is>
      </c>
      <c r="B3697" t="inlineStr">
        <is>
          <t>avverkningsanmälan</t>
        </is>
      </c>
      <c r="C3697" t="inlineStr">
        <is>
          <t>Föryngringsavverkning</t>
        </is>
      </c>
      <c r="D3697" s="1" t="n">
        <v>45162</v>
      </c>
      <c r="E3697" s="1" t="n">
        <v>46323</v>
      </c>
      <c r="F3697" t="inlineStr">
        <is>
          <t>KALMAR LÄN</t>
        </is>
      </c>
      <c r="G3697" t="inlineStr">
        <is>
          <t>HÖGSBY</t>
        </is>
      </c>
      <c r="I3697" t="n">
        <v>5.9</v>
      </c>
      <c r="J3697" t="n">
        <v>0</v>
      </c>
      <c r="K3697" t="n">
        <v>0</v>
      </c>
      <c r="L3697" t="n">
        <v>0</v>
      </c>
      <c r="M3697" t="n">
        <v>0</v>
      </c>
      <c r="N3697" t="n">
        <v>0</v>
      </c>
      <c r="O3697" t="n">
        <v>0</v>
      </c>
      <c r="P3697" t="n">
        <v>0</v>
      </c>
      <c r="Q3697" t="n">
        <v>0</v>
      </c>
      <c r="R3697" t="n">
        <v>0</v>
      </c>
      <c r="S3697" t="n">
        <v>0</v>
      </c>
      <c r="T3697" t="n">
        <v>0</v>
      </c>
      <c r="U3697" t="n">
        <v>0</v>
      </c>
      <c r="V3697" s="2" t="inlineStr"/>
    </row>
    <row r="3698" ht="15" customHeight="1">
      <c r="A3698" t="inlineStr">
        <is>
          <t>A 62043-2025</t>
        </is>
      </c>
      <c r="B3698" t="inlineStr">
        <is>
          <t>avverkningsanmälan</t>
        </is>
      </c>
      <c r="C3698" t="inlineStr">
        <is>
          <t>Föryngringsavverkning</t>
        </is>
      </c>
      <c r="D3698" s="1" t="n">
        <v>46005</v>
      </c>
      <c r="E3698" s="1" t="n">
        <v>46323</v>
      </c>
      <c r="F3698" t="inlineStr">
        <is>
          <t>KALMAR LÄN</t>
        </is>
      </c>
      <c r="G3698" t="inlineStr">
        <is>
          <t>HULTSFRED</t>
        </is>
      </c>
      <c r="I3698" t="n">
        <v>1.7</v>
      </c>
      <c r="J3698" t="n">
        <v>0</v>
      </c>
      <c r="K3698" t="n">
        <v>0</v>
      </c>
      <c r="L3698" t="n">
        <v>0</v>
      </c>
      <c r="M3698" t="n">
        <v>0</v>
      </c>
      <c r="N3698" t="n">
        <v>0</v>
      </c>
      <c r="O3698" t="n">
        <v>0</v>
      </c>
      <c r="P3698" t="n">
        <v>0</v>
      </c>
      <c r="Q3698" t="n">
        <v>0</v>
      </c>
      <c r="R3698" t="n">
        <v>0</v>
      </c>
      <c r="S3698" t="n">
        <v>0</v>
      </c>
      <c r="T3698" t="n">
        <v>0</v>
      </c>
      <c r="U3698" t="n">
        <v>0</v>
      </c>
      <c r="V3698" s="2" t="inlineStr"/>
    </row>
    <row r="3699" ht="15" customHeight="1">
      <c r="A3699" t="inlineStr">
        <is>
          <t>A 31754-2023</t>
        </is>
      </c>
      <c r="B3699" t="inlineStr">
        <is>
          <t>avverkningsanmälan</t>
        </is>
      </c>
      <c r="C3699" t="inlineStr">
        <is>
          <t>Föryngringsavverkning</t>
        </is>
      </c>
      <c r="D3699" s="1" t="n">
        <v>45106</v>
      </c>
      <c r="E3699" s="1" t="n">
        <v>46323</v>
      </c>
      <c r="F3699" t="inlineStr">
        <is>
          <t>KALMAR LÄN</t>
        </is>
      </c>
      <c r="G3699" t="inlineStr">
        <is>
          <t>MÖNSTERÅS</t>
        </is>
      </c>
      <c r="H3699" t="inlineStr">
        <is>
          <t>Kyrkan</t>
        </is>
      </c>
      <c r="I3699" t="n">
        <v>0.9</v>
      </c>
      <c r="J3699" t="n">
        <v>0</v>
      </c>
      <c r="K3699" t="n">
        <v>0</v>
      </c>
      <c r="L3699" t="n">
        <v>0</v>
      </c>
      <c r="M3699" t="n">
        <v>0</v>
      </c>
      <c r="N3699" t="n">
        <v>0</v>
      </c>
      <c r="O3699" t="n">
        <v>0</v>
      </c>
      <c r="P3699" t="n">
        <v>0</v>
      </c>
      <c r="Q3699" t="n">
        <v>0</v>
      </c>
      <c r="R3699" t="n">
        <v>0</v>
      </c>
      <c r="S3699" t="n">
        <v>0</v>
      </c>
      <c r="T3699" t="n">
        <v>0</v>
      </c>
      <c r="U3699" t="n">
        <v>0</v>
      </c>
      <c r="V3699" s="2" t="inlineStr"/>
    </row>
    <row r="3700" ht="15" customHeight="1">
      <c r="A3700" t="inlineStr">
        <is>
          <t>A 7680-2024</t>
        </is>
      </c>
      <c r="B3700" t="inlineStr">
        <is>
          <t>avverkningsanmälan</t>
        </is>
      </c>
      <c r="C3700" t="inlineStr">
        <is>
          <t>Föryngringsavverkning</t>
        </is>
      </c>
      <c r="D3700" s="1" t="n">
        <v>45348</v>
      </c>
      <c r="E3700" s="1" t="n">
        <v>46323</v>
      </c>
      <c r="F3700" t="inlineStr">
        <is>
          <t>KALMAR LÄN</t>
        </is>
      </c>
      <c r="G3700" t="inlineStr">
        <is>
          <t>HÖGSBY</t>
        </is>
      </c>
      <c r="I3700" t="n">
        <v>3.2</v>
      </c>
      <c r="J3700" t="n">
        <v>0</v>
      </c>
      <c r="K3700" t="n">
        <v>0</v>
      </c>
      <c r="L3700" t="n">
        <v>0</v>
      </c>
      <c r="M3700" t="n">
        <v>0</v>
      </c>
      <c r="N3700" t="n">
        <v>0</v>
      </c>
      <c r="O3700" t="n">
        <v>0</v>
      </c>
      <c r="P3700" t="n">
        <v>0</v>
      </c>
      <c r="Q3700" t="n">
        <v>0</v>
      </c>
      <c r="R3700" t="n">
        <v>0</v>
      </c>
      <c r="S3700" t="n">
        <v>0</v>
      </c>
      <c r="T3700" t="n">
        <v>0</v>
      </c>
      <c r="U3700" t="n">
        <v>0</v>
      </c>
      <c r="V3700" s="2" t="inlineStr"/>
    </row>
    <row r="3701" ht="15" customHeight="1">
      <c r="A3701" t="inlineStr">
        <is>
          <t>A 15116-2023</t>
        </is>
      </c>
      <c r="B3701" t="inlineStr">
        <is>
          <t>avverkningsanmälan</t>
        </is>
      </c>
      <c r="C3701" t="inlineStr">
        <is>
          <t>Föryngringsavverkning</t>
        </is>
      </c>
      <c r="D3701" s="1" t="n">
        <v>45016</v>
      </c>
      <c r="E3701" s="1" t="n">
        <v>46323</v>
      </c>
      <c r="F3701" t="inlineStr">
        <is>
          <t>KALMAR LÄN</t>
        </is>
      </c>
      <c r="G3701" t="inlineStr">
        <is>
          <t>NYBRO</t>
        </is>
      </c>
      <c r="I3701" t="n">
        <v>2.3</v>
      </c>
      <c r="J3701" t="n">
        <v>0</v>
      </c>
      <c r="K3701" t="n">
        <v>0</v>
      </c>
      <c r="L3701" t="n">
        <v>0</v>
      </c>
      <c r="M3701" t="n">
        <v>0</v>
      </c>
      <c r="N3701" t="n">
        <v>0</v>
      </c>
      <c r="O3701" t="n">
        <v>0</v>
      </c>
      <c r="P3701" t="n">
        <v>0</v>
      </c>
      <c r="Q3701" t="n">
        <v>0</v>
      </c>
      <c r="R3701" t="n">
        <v>0</v>
      </c>
      <c r="S3701" t="n">
        <v>0</v>
      </c>
      <c r="T3701" t="n">
        <v>0</v>
      </c>
      <c r="U3701" t="n">
        <v>0</v>
      </c>
      <c r="V3701" s="2" t="inlineStr"/>
    </row>
    <row r="3702" ht="15" customHeight="1">
      <c r="A3702" t="inlineStr">
        <is>
          <t>A 59130-2025</t>
        </is>
      </c>
      <c r="B3702" t="inlineStr">
        <is>
          <t>avverkningsanmälan</t>
        </is>
      </c>
      <c r="C3702" t="inlineStr">
        <is>
          <t>Avverkning för att bevara och utveckla /försöksver</t>
        </is>
      </c>
      <c r="D3702" s="1" t="n">
        <v>45988</v>
      </c>
      <c r="E3702" s="1" t="n">
        <v>46323</v>
      </c>
      <c r="F3702" t="inlineStr">
        <is>
          <t>KALMAR LÄN</t>
        </is>
      </c>
      <c r="G3702" t="inlineStr">
        <is>
          <t>TORSÅS</t>
        </is>
      </c>
      <c r="I3702" t="n">
        <v>0.6</v>
      </c>
      <c r="J3702" t="n">
        <v>0</v>
      </c>
      <c r="K3702" t="n">
        <v>0</v>
      </c>
      <c r="L3702" t="n">
        <v>0</v>
      </c>
      <c r="M3702" t="n">
        <v>0</v>
      </c>
      <c r="N3702" t="n">
        <v>0</v>
      </c>
      <c r="O3702" t="n">
        <v>0</v>
      </c>
      <c r="P3702" t="n">
        <v>0</v>
      </c>
      <c r="Q3702" t="n">
        <v>0</v>
      </c>
      <c r="R3702" t="n">
        <v>0</v>
      </c>
      <c r="S3702" t="n">
        <v>0</v>
      </c>
      <c r="T3702" t="n">
        <v>0</v>
      </c>
      <c r="U3702" t="n">
        <v>0</v>
      </c>
      <c r="V3702" s="2" t="inlineStr"/>
    </row>
    <row r="3703" ht="15" customHeight="1">
      <c r="A3703" t="inlineStr">
        <is>
          <t>A 8468-2024</t>
        </is>
      </c>
      <c r="B3703" t="inlineStr">
        <is>
          <t>avverkningsanmälan</t>
        </is>
      </c>
      <c r="C3703" t="inlineStr">
        <is>
          <t>Föryngringsavverkning</t>
        </is>
      </c>
      <c r="D3703" s="1" t="n">
        <v>45355</v>
      </c>
      <c r="E3703" s="1" t="n">
        <v>46323</v>
      </c>
      <c r="F3703" t="inlineStr">
        <is>
          <t>KALMAR LÄN</t>
        </is>
      </c>
      <c r="G3703" t="inlineStr">
        <is>
          <t>MÖNSTERÅS</t>
        </is>
      </c>
      <c r="I3703" t="n">
        <v>2</v>
      </c>
      <c r="J3703" t="n">
        <v>0</v>
      </c>
      <c r="K3703" t="n">
        <v>0</v>
      </c>
      <c r="L3703" t="n">
        <v>0</v>
      </c>
      <c r="M3703" t="n">
        <v>0</v>
      </c>
      <c r="N3703" t="n">
        <v>0</v>
      </c>
      <c r="O3703" t="n">
        <v>0</v>
      </c>
      <c r="P3703" t="n">
        <v>0</v>
      </c>
      <c r="Q3703" t="n">
        <v>0</v>
      </c>
      <c r="R3703" t="n">
        <v>0</v>
      </c>
      <c r="S3703" t="n">
        <v>0</v>
      </c>
      <c r="T3703" t="n">
        <v>0</v>
      </c>
      <c r="U3703" t="n">
        <v>0</v>
      </c>
      <c r="V3703" s="2" t="inlineStr"/>
    </row>
    <row r="3704" ht="15" customHeight="1">
      <c r="A3704" t="inlineStr">
        <is>
          <t>A 59233-2025</t>
        </is>
      </c>
      <c r="B3704" t="inlineStr">
        <is>
          <t>avverkningsanmälan</t>
        </is>
      </c>
      <c r="C3704" t="inlineStr">
        <is>
          <t>Föryngringsavverkning</t>
        </is>
      </c>
      <c r="D3704" s="1" t="n">
        <v>45988</v>
      </c>
      <c r="E3704" s="1" t="n">
        <v>46323</v>
      </c>
      <c r="F3704" t="inlineStr">
        <is>
          <t>KALMAR LÄN</t>
        </is>
      </c>
      <c r="G3704" t="inlineStr">
        <is>
          <t>MÖNSTERÅS</t>
        </is>
      </c>
      <c r="I3704" t="n">
        <v>2.4</v>
      </c>
      <c r="J3704" t="n">
        <v>0</v>
      </c>
      <c r="K3704" t="n">
        <v>0</v>
      </c>
      <c r="L3704" t="n">
        <v>0</v>
      </c>
      <c r="M3704" t="n">
        <v>0</v>
      </c>
      <c r="N3704" t="n">
        <v>0</v>
      </c>
      <c r="O3704" t="n">
        <v>0</v>
      </c>
      <c r="P3704" t="n">
        <v>0</v>
      </c>
      <c r="Q3704" t="n">
        <v>0</v>
      </c>
      <c r="R3704" t="n">
        <v>0</v>
      </c>
      <c r="S3704" t="n">
        <v>0</v>
      </c>
      <c r="T3704" t="n">
        <v>0</v>
      </c>
      <c r="U3704" t="n">
        <v>0</v>
      </c>
      <c r="V3704" s="2" t="inlineStr"/>
    </row>
    <row r="3705" ht="15" customHeight="1">
      <c r="A3705" t="inlineStr">
        <is>
          <t>A 6819-2023</t>
        </is>
      </c>
      <c r="B3705" t="inlineStr">
        <is>
          <t>avverkningsanmälan</t>
        </is>
      </c>
      <c r="C3705" t="inlineStr">
        <is>
          <t>Föryngringsavverkning</t>
        </is>
      </c>
      <c r="D3705" s="1" t="n">
        <v>44967</v>
      </c>
      <c r="E3705" s="1" t="n">
        <v>46323</v>
      </c>
      <c r="F3705" t="inlineStr">
        <is>
          <t>KALMAR LÄN</t>
        </is>
      </c>
      <c r="G3705" t="inlineStr">
        <is>
          <t>TORSÅS</t>
        </is>
      </c>
      <c r="I3705" t="n">
        <v>1.1</v>
      </c>
      <c r="J3705" t="n">
        <v>0</v>
      </c>
      <c r="K3705" t="n">
        <v>0</v>
      </c>
      <c r="L3705" t="n">
        <v>0</v>
      </c>
      <c r="M3705" t="n">
        <v>0</v>
      </c>
      <c r="N3705" t="n">
        <v>0</v>
      </c>
      <c r="O3705" t="n">
        <v>0</v>
      </c>
      <c r="P3705" t="n">
        <v>0</v>
      </c>
      <c r="Q3705" t="n">
        <v>0</v>
      </c>
      <c r="R3705" t="n">
        <v>0</v>
      </c>
      <c r="S3705" t="n">
        <v>0</v>
      </c>
      <c r="T3705" t="n">
        <v>0</v>
      </c>
      <c r="U3705" t="n">
        <v>0</v>
      </c>
      <c r="V3705" s="2" t="inlineStr"/>
    </row>
    <row r="3706" ht="15" customHeight="1">
      <c r="A3706" t="inlineStr">
        <is>
          <t>A 41366-2024</t>
        </is>
      </c>
      <c r="B3706" t="inlineStr">
        <is>
          <t>avverkningsanmälan</t>
        </is>
      </c>
      <c r="C3706" t="inlineStr">
        <is>
          <t>Föryngringsavverkning</t>
        </is>
      </c>
      <c r="D3706" s="1" t="n">
        <v>45559</v>
      </c>
      <c r="E3706" s="1" t="n">
        <v>46323</v>
      </c>
      <c r="F3706" t="inlineStr">
        <is>
          <t>KALMAR LÄN</t>
        </is>
      </c>
      <c r="G3706" t="inlineStr">
        <is>
          <t>EMMABODA</t>
        </is>
      </c>
      <c r="H3706" t="inlineStr">
        <is>
          <t>Övriga Aktiebolag</t>
        </is>
      </c>
      <c r="I3706" t="n">
        <v>5.1</v>
      </c>
      <c r="J3706" t="n">
        <v>0</v>
      </c>
      <c r="K3706" t="n">
        <v>0</v>
      </c>
      <c r="L3706" t="n">
        <v>0</v>
      </c>
      <c r="M3706" t="n">
        <v>0</v>
      </c>
      <c r="N3706" t="n">
        <v>0</v>
      </c>
      <c r="O3706" t="n">
        <v>0</v>
      </c>
      <c r="P3706" t="n">
        <v>0</v>
      </c>
      <c r="Q3706" t="n">
        <v>0</v>
      </c>
      <c r="R3706" t="n">
        <v>0</v>
      </c>
      <c r="S3706" t="n">
        <v>0</v>
      </c>
      <c r="T3706" t="n">
        <v>0</v>
      </c>
      <c r="U3706" t="n">
        <v>0</v>
      </c>
      <c r="V3706" s="2" t="inlineStr"/>
    </row>
    <row r="3707" ht="15" customHeight="1">
      <c r="A3707" t="inlineStr">
        <is>
          <t>A 58984-2025</t>
        </is>
      </c>
      <c r="B3707" t="inlineStr">
        <is>
          <t>avverkningsanmälan</t>
        </is>
      </c>
      <c r="C3707" t="inlineStr">
        <is>
          <t>Avverkning för annat ändamål</t>
        </is>
      </c>
      <c r="D3707" s="1" t="n">
        <v>45987</v>
      </c>
      <c r="E3707" s="1" t="n">
        <v>46323</v>
      </c>
      <c r="F3707" t="inlineStr">
        <is>
          <t>KALMAR LÄN</t>
        </is>
      </c>
      <c r="G3707" t="inlineStr">
        <is>
          <t>MÖNSTERÅS</t>
        </is>
      </c>
      <c r="I3707" t="n">
        <v>0.1</v>
      </c>
      <c r="J3707" t="n">
        <v>0</v>
      </c>
      <c r="K3707" t="n">
        <v>0</v>
      </c>
      <c r="L3707" t="n">
        <v>0</v>
      </c>
      <c r="M3707" t="n">
        <v>0</v>
      </c>
      <c r="N3707" t="n">
        <v>0</v>
      </c>
      <c r="O3707" t="n">
        <v>0</v>
      </c>
      <c r="P3707" t="n">
        <v>0</v>
      </c>
      <c r="Q3707" t="n">
        <v>0</v>
      </c>
      <c r="R3707" t="n">
        <v>0</v>
      </c>
      <c r="S3707" t="n">
        <v>0</v>
      </c>
      <c r="T3707" t="n">
        <v>0</v>
      </c>
      <c r="U3707" t="n">
        <v>0</v>
      </c>
      <c r="V3707" s="2" t="inlineStr"/>
    </row>
    <row r="3708" ht="15" customHeight="1">
      <c r="A3708" t="inlineStr">
        <is>
          <t>A 37180-2024</t>
        </is>
      </c>
      <c r="B3708" t="inlineStr">
        <is>
          <t>avverkningsanmälan</t>
        </is>
      </c>
      <c r="C3708" t="inlineStr">
        <is>
          <t>Föryngringsavverkning</t>
        </is>
      </c>
      <c r="D3708" s="1" t="n">
        <v>45539</v>
      </c>
      <c r="E3708" s="1" t="n">
        <v>46323</v>
      </c>
      <c r="F3708" t="inlineStr">
        <is>
          <t>KALMAR LÄN</t>
        </is>
      </c>
      <c r="G3708" t="inlineStr">
        <is>
          <t>MÖNSTERÅS</t>
        </is>
      </c>
      <c r="I3708" t="n">
        <v>7.5</v>
      </c>
      <c r="J3708" t="n">
        <v>0</v>
      </c>
      <c r="K3708" t="n">
        <v>0</v>
      </c>
      <c r="L3708" t="n">
        <v>0</v>
      </c>
      <c r="M3708" t="n">
        <v>0</v>
      </c>
      <c r="N3708" t="n">
        <v>0</v>
      </c>
      <c r="O3708" t="n">
        <v>0</v>
      </c>
      <c r="P3708" t="n">
        <v>0</v>
      </c>
      <c r="Q3708" t="n">
        <v>0</v>
      </c>
      <c r="R3708" t="n">
        <v>0</v>
      </c>
      <c r="S3708" t="n">
        <v>0</v>
      </c>
      <c r="T3708" t="n">
        <v>0</v>
      </c>
      <c r="U3708" t="n">
        <v>0</v>
      </c>
      <c r="V3708" s="2" t="inlineStr"/>
    </row>
    <row r="3709" ht="15" customHeight="1">
      <c r="A3709" t="inlineStr">
        <is>
          <t>A 37245-2024</t>
        </is>
      </c>
      <c r="B3709" t="inlineStr">
        <is>
          <t>avverkningsanmälan</t>
        </is>
      </c>
      <c r="C3709" t="inlineStr">
        <is>
          <t>Föryngringsavverkning</t>
        </is>
      </c>
      <c r="D3709" s="1" t="n">
        <v>45540</v>
      </c>
      <c r="E3709" s="1" t="n">
        <v>46323</v>
      </c>
      <c r="F3709" t="inlineStr">
        <is>
          <t>KALMAR LÄN</t>
        </is>
      </c>
      <c r="G3709" t="inlineStr">
        <is>
          <t>MÖNSTERÅS</t>
        </is>
      </c>
      <c r="I3709" t="n">
        <v>3.6</v>
      </c>
      <c r="J3709" t="n">
        <v>0</v>
      </c>
      <c r="K3709" t="n">
        <v>0</v>
      </c>
      <c r="L3709" t="n">
        <v>0</v>
      </c>
      <c r="M3709" t="n">
        <v>0</v>
      </c>
      <c r="N3709" t="n">
        <v>0</v>
      </c>
      <c r="O3709" t="n">
        <v>0</v>
      </c>
      <c r="P3709" t="n">
        <v>0</v>
      </c>
      <c r="Q3709" t="n">
        <v>0</v>
      </c>
      <c r="R3709" t="n">
        <v>0</v>
      </c>
      <c r="S3709" t="n">
        <v>0</v>
      </c>
      <c r="T3709" t="n">
        <v>0</v>
      </c>
      <c r="U3709" t="n">
        <v>0</v>
      </c>
      <c r="V3709" s="2" t="inlineStr"/>
    </row>
    <row r="3710" ht="15" customHeight="1">
      <c r="A3710" t="inlineStr">
        <is>
          <t>A 41974-2024</t>
        </is>
      </c>
      <c r="B3710" t="inlineStr">
        <is>
          <t>avverkningsanmälan</t>
        </is>
      </c>
      <c r="C3710" t="inlineStr">
        <is>
          <t>Föryngringsavverkning</t>
        </is>
      </c>
      <c r="D3710" s="1" t="n">
        <v>45561</v>
      </c>
      <c r="E3710" s="1" t="n">
        <v>46323</v>
      </c>
      <c r="F3710" t="inlineStr">
        <is>
          <t>KALMAR LÄN</t>
        </is>
      </c>
      <c r="G3710" t="inlineStr">
        <is>
          <t>NYBRO</t>
        </is>
      </c>
      <c r="H3710" t="inlineStr">
        <is>
          <t>Sveaskog</t>
        </is>
      </c>
      <c r="I3710" t="n">
        <v>0.6</v>
      </c>
      <c r="J3710" t="n">
        <v>0</v>
      </c>
      <c r="K3710" t="n">
        <v>0</v>
      </c>
      <c r="L3710" t="n">
        <v>0</v>
      </c>
      <c r="M3710" t="n">
        <v>0</v>
      </c>
      <c r="N3710" t="n">
        <v>0</v>
      </c>
      <c r="O3710" t="n">
        <v>0</v>
      </c>
      <c r="P3710" t="n">
        <v>0</v>
      </c>
      <c r="Q3710" t="n">
        <v>0</v>
      </c>
      <c r="R3710" t="n">
        <v>0</v>
      </c>
      <c r="S3710" t="n">
        <v>0</v>
      </c>
      <c r="T3710" t="n">
        <v>0</v>
      </c>
      <c r="U3710" t="n">
        <v>0</v>
      </c>
      <c r="V3710" s="2" t="inlineStr"/>
    </row>
    <row r="3711" ht="15" customHeight="1">
      <c r="A3711" t="inlineStr">
        <is>
          <t>A 37312-2024</t>
        </is>
      </c>
      <c r="B3711" t="inlineStr">
        <is>
          <t>avverkningsanmälan</t>
        </is>
      </c>
      <c r="C3711" t="inlineStr">
        <is>
          <t>Föryngringsavverkning</t>
        </is>
      </c>
      <c r="D3711" s="1" t="n">
        <v>45540</v>
      </c>
      <c r="E3711" s="1" t="n">
        <v>46323</v>
      </c>
      <c r="F3711" t="inlineStr">
        <is>
          <t>KALMAR LÄN</t>
        </is>
      </c>
      <c r="G3711" t="inlineStr">
        <is>
          <t>KALMAR</t>
        </is>
      </c>
      <c r="I3711" t="n">
        <v>0.7</v>
      </c>
      <c r="J3711" t="n">
        <v>0</v>
      </c>
      <c r="K3711" t="n">
        <v>0</v>
      </c>
      <c r="L3711" t="n">
        <v>0</v>
      </c>
      <c r="M3711" t="n">
        <v>0</v>
      </c>
      <c r="N3711" t="n">
        <v>0</v>
      </c>
      <c r="O3711" t="n">
        <v>0</v>
      </c>
      <c r="P3711" t="n">
        <v>0</v>
      </c>
      <c r="Q3711" t="n">
        <v>0</v>
      </c>
      <c r="R3711" t="n">
        <v>0</v>
      </c>
      <c r="S3711" t="n">
        <v>0</v>
      </c>
      <c r="T3711" t="n">
        <v>0</v>
      </c>
      <c r="U3711" t="n">
        <v>0</v>
      </c>
      <c r="V3711" s="2" t="inlineStr"/>
    </row>
    <row r="3712" ht="15" customHeight="1">
      <c r="A3712" t="inlineStr">
        <is>
          <t>A 39578-2024</t>
        </is>
      </c>
      <c r="B3712" t="inlineStr">
        <is>
          <t>avverkningsanmälan</t>
        </is>
      </c>
      <c r="C3712" t="inlineStr">
        <is>
          <t>Föryngringsavverkning</t>
        </is>
      </c>
      <c r="D3712" s="1" t="n">
        <v>45552</v>
      </c>
      <c r="E3712" s="1" t="n">
        <v>46323</v>
      </c>
      <c r="F3712" t="inlineStr">
        <is>
          <t>KALMAR LÄN</t>
        </is>
      </c>
      <c r="G3712" t="inlineStr">
        <is>
          <t>VIMMERBY</t>
        </is>
      </c>
      <c r="I3712" t="n">
        <v>1.5</v>
      </c>
      <c r="J3712" t="n">
        <v>0</v>
      </c>
      <c r="K3712" t="n">
        <v>0</v>
      </c>
      <c r="L3712" t="n">
        <v>0</v>
      </c>
      <c r="M3712" t="n">
        <v>0</v>
      </c>
      <c r="N3712" t="n">
        <v>0</v>
      </c>
      <c r="O3712" t="n">
        <v>0</v>
      </c>
      <c r="P3712" t="n">
        <v>0</v>
      </c>
      <c r="Q3712" t="n">
        <v>0</v>
      </c>
      <c r="R3712" t="n">
        <v>0</v>
      </c>
      <c r="S3712" t="n">
        <v>0</v>
      </c>
      <c r="T3712" t="n">
        <v>0</v>
      </c>
      <c r="U3712" t="n">
        <v>0</v>
      </c>
      <c r="V3712" s="2" t="inlineStr"/>
    </row>
    <row r="3713" ht="15" customHeight="1">
      <c r="A3713" t="inlineStr">
        <is>
          <t>A 55703-2023</t>
        </is>
      </c>
      <c r="B3713" t="inlineStr">
        <is>
          <t>avverkningsanmälan</t>
        </is>
      </c>
      <c r="C3713" t="inlineStr">
        <is>
          <t>Föryngringsavverkning</t>
        </is>
      </c>
      <c r="D3713" s="1" t="n">
        <v>45239</v>
      </c>
      <c r="E3713" s="1" t="n">
        <v>46323</v>
      </c>
      <c r="F3713" t="inlineStr">
        <is>
          <t>KALMAR LÄN</t>
        </is>
      </c>
      <c r="G3713" t="inlineStr">
        <is>
          <t>HÖGSBY</t>
        </is>
      </c>
      <c r="I3713" t="n">
        <v>1.7</v>
      </c>
      <c r="J3713" t="n">
        <v>0</v>
      </c>
      <c r="K3713" t="n">
        <v>0</v>
      </c>
      <c r="L3713" t="n">
        <v>0</v>
      </c>
      <c r="M3713" t="n">
        <v>0</v>
      </c>
      <c r="N3713" t="n">
        <v>0</v>
      </c>
      <c r="O3713" t="n">
        <v>0</v>
      </c>
      <c r="P3713" t="n">
        <v>0</v>
      </c>
      <c r="Q3713" t="n">
        <v>0</v>
      </c>
      <c r="R3713" t="n">
        <v>0</v>
      </c>
      <c r="S3713" t="n">
        <v>0</v>
      </c>
      <c r="T3713" t="n">
        <v>0</v>
      </c>
      <c r="U3713" t="n">
        <v>0</v>
      </c>
      <c r="V3713" s="2" t="inlineStr"/>
    </row>
    <row r="3714" ht="15" customHeight="1">
      <c r="A3714" t="inlineStr">
        <is>
          <t>A 58985-2025</t>
        </is>
      </c>
      <c r="B3714" t="inlineStr">
        <is>
          <t>avverkningsanmälan</t>
        </is>
      </c>
      <c r="C3714" t="inlineStr">
        <is>
          <t>Avverkning för annat ändamål</t>
        </is>
      </c>
      <c r="D3714" s="1" t="n">
        <v>45987</v>
      </c>
      <c r="E3714" s="1" t="n">
        <v>46323</v>
      </c>
      <c r="F3714" t="inlineStr">
        <is>
          <t>KALMAR LÄN</t>
        </is>
      </c>
      <c r="G3714" t="inlineStr">
        <is>
          <t>MÖNSTERÅS</t>
        </is>
      </c>
      <c r="I3714" t="n">
        <v>0.4</v>
      </c>
      <c r="J3714" t="n">
        <v>0</v>
      </c>
      <c r="K3714" t="n">
        <v>0</v>
      </c>
      <c r="L3714" t="n">
        <v>0</v>
      </c>
      <c r="M3714" t="n">
        <v>0</v>
      </c>
      <c r="N3714" t="n">
        <v>0</v>
      </c>
      <c r="O3714" t="n">
        <v>0</v>
      </c>
      <c r="P3714" t="n">
        <v>0</v>
      </c>
      <c r="Q3714" t="n">
        <v>0</v>
      </c>
      <c r="R3714" t="n">
        <v>0</v>
      </c>
      <c r="S3714" t="n">
        <v>0</v>
      </c>
      <c r="T3714" t="n">
        <v>0</v>
      </c>
      <c r="U3714" t="n">
        <v>0</v>
      </c>
      <c r="V3714" s="2" t="inlineStr"/>
    </row>
    <row r="3715" ht="15" customHeight="1">
      <c r="A3715" t="inlineStr">
        <is>
          <t>A 58987-2025</t>
        </is>
      </c>
      <c r="B3715" t="inlineStr">
        <is>
          <t>avverkningsanmälan</t>
        </is>
      </c>
      <c r="C3715" t="inlineStr">
        <is>
          <t>Avverkning för annat ändamål</t>
        </is>
      </c>
      <c r="D3715" s="1" t="n">
        <v>45987</v>
      </c>
      <c r="E3715" s="1" t="n">
        <v>46323</v>
      </c>
      <c r="F3715" t="inlineStr">
        <is>
          <t>KALMAR LÄN</t>
        </is>
      </c>
      <c r="G3715" t="inlineStr">
        <is>
          <t>MÖNSTERÅS</t>
        </is>
      </c>
      <c r="I3715" t="n">
        <v>0.7</v>
      </c>
      <c r="J3715" t="n">
        <v>0</v>
      </c>
      <c r="K3715" t="n">
        <v>0</v>
      </c>
      <c r="L3715" t="n">
        <v>0</v>
      </c>
      <c r="M3715" t="n">
        <v>0</v>
      </c>
      <c r="N3715" t="n">
        <v>0</v>
      </c>
      <c r="O3715" t="n">
        <v>0</v>
      </c>
      <c r="P3715" t="n">
        <v>0</v>
      </c>
      <c r="Q3715" t="n">
        <v>0</v>
      </c>
      <c r="R3715" t="n">
        <v>0</v>
      </c>
      <c r="S3715" t="n">
        <v>0</v>
      </c>
      <c r="T3715" t="n">
        <v>0</v>
      </c>
      <c r="U3715" t="n">
        <v>0</v>
      </c>
      <c r="V3715" s="2" t="inlineStr"/>
    </row>
    <row r="3716" ht="15" customHeight="1">
      <c r="A3716" t="inlineStr">
        <is>
          <t>A 45898-2024</t>
        </is>
      </c>
      <c r="B3716" t="inlineStr">
        <is>
          <t>avverkningsanmälan</t>
        </is>
      </c>
      <c r="C3716" t="inlineStr">
        <is>
          <t>Föryngringsavverkning</t>
        </is>
      </c>
      <c r="D3716" s="1" t="n">
        <v>45580</v>
      </c>
      <c r="E3716" s="1" t="n">
        <v>46323</v>
      </c>
      <c r="F3716" t="inlineStr">
        <is>
          <t>KALMAR LÄN</t>
        </is>
      </c>
      <c r="G3716" t="inlineStr">
        <is>
          <t>OSKARSHAMN</t>
        </is>
      </c>
      <c r="I3716" t="n">
        <v>1.8</v>
      </c>
      <c r="J3716" t="n">
        <v>0</v>
      </c>
      <c r="K3716" t="n">
        <v>0</v>
      </c>
      <c r="L3716" t="n">
        <v>0</v>
      </c>
      <c r="M3716" t="n">
        <v>0</v>
      </c>
      <c r="N3716" t="n">
        <v>0</v>
      </c>
      <c r="O3716" t="n">
        <v>0</v>
      </c>
      <c r="P3716" t="n">
        <v>0</v>
      </c>
      <c r="Q3716" t="n">
        <v>0</v>
      </c>
      <c r="R3716" t="n">
        <v>0</v>
      </c>
      <c r="S3716" t="n">
        <v>0</v>
      </c>
      <c r="T3716" t="n">
        <v>0</v>
      </c>
      <c r="U3716" t="n">
        <v>0</v>
      </c>
      <c r="V3716" s="2" t="inlineStr"/>
    </row>
    <row r="3717" ht="15" customHeight="1">
      <c r="A3717" t="inlineStr">
        <is>
          <t>A 494-2022</t>
        </is>
      </c>
      <c r="B3717" t="inlineStr">
        <is>
          <t>avverkningsanmälan</t>
        </is>
      </c>
      <c r="C3717" t="inlineStr">
        <is>
          <t>Föryngringsavverkning</t>
        </is>
      </c>
      <c r="D3717" s="1" t="n">
        <v>44566</v>
      </c>
      <c r="E3717" s="1" t="n">
        <v>46323</v>
      </c>
      <c r="F3717" t="inlineStr">
        <is>
          <t>KALMAR LÄN</t>
        </is>
      </c>
      <c r="G3717" t="inlineStr">
        <is>
          <t>NYBRO</t>
        </is>
      </c>
      <c r="I3717" t="n">
        <v>0.6</v>
      </c>
      <c r="J3717" t="n">
        <v>0</v>
      </c>
      <c r="K3717" t="n">
        <v>0</v>
      </c>
      <c r="L3717" t="n">
        <v>0</v>
      </c>
      <c r="M3717" t="n">
        <v>0</v>
      </c>
      <c r="N3717" t="n">
        <v>0</v>
      </c>
      <c r="O3717" t="n">
        <v>0</v>
      </c>
      <c r="P3717" t="n">
        <v>0</v>
      </c>
      <c r="Q3717" t="n">
        <v>0</v>
      </c>
      <c r="R3717" t="n">
        <v>0</v>
      </c>
      <c r="S3717" t="n">
        <v>0</v>
      </c>
      <c r="T3717" t="n">
        <v>0</v>
      </c>
      <c r="U3717" t="n">
        <v>0</v>
      </c>
      <c r="V3717" s="2" t="inlineStr"/>
    </row>
    <row r="3718" ht="15" customHeight="1">
      <c r="A3718" t="inlineStr">
        <is>
          <t>A 51993-2023</t>
        </is>
      </c>
      <c r="B3718" t="inlineStr">
        <is>
          <t>avverkningsanmälan</t>
        </is>
      </c>
      <c r="C3718" t="inlineStr">
        <is>
          <t>Föryngringsavverkning</t>
        </is>
      </c>
      <c r="D3718" s="1" t="n">
        <v>45223</v>
      </c>
      <c r="E3718" s="1" t="n">
        <v>46323</v>
      </c>
      <c r="F3718" t="inlineStr">
        <is>
          <t>KALMAR LÄN</t>
        </is>
      </c>
      <c r="G3718" t="inlineStr">
        <is>
          <t>OSKARSHAMN</t>
        </is>
      </c>
      <c r="I3718" t="n">
        <v>15.3</v>
      </c>
      <c r="J3718" t="n">
        <v>0</v>
      </c>
      <c r="K3718" t="n">
        <v>0</v>
      </c>
      <c r="L3718" t="n">
        <v>0</v>
      </c>
      <c r="M3718" t="n">
        <v>0</v>
      </c>
      <c r="N3718" t="n">
        <v>0</v>
      </c>
      <c r="O3718" t="n">
        <v>0</v>
      </c>
      <c r="P3718" t="n">
        <v>0</v>
      </c>
      <c r="Q3718" t="n">
        <v>0</v>
      </c>
      <c r="R3718" t="n">
        <v>0</v>
      </c>
      <c r="S3718" t="n">
        <v>0</v>
      </c>
      <c r="T3718" t="n">
        <v>0</v>
      </c>
      <c r="U3718" t="n">
        <v>0</v>
      </c>
      <c r="V3718" s="2" t="inlineStr"/>
    </row>
    <row r="3719" ht="15" customHeight="1">
      <c r="A3719" t="inlineStr">
        <is>
          <t>A 25246-2023</t>
        </is>
      </c>
      <c r="B3719" t="inlineStr">
        <is>
          <t>avverkningsanmälan</t>
        </is>
      </c>
      <c r="C3719" t="inlineStr">
        <is>
          <t>Föryngringsavverkning</t>
        </is>
      </c>
      <c r="D3719" s="1" t="n">
        <v>45086</v>
      </c>
      <c r="E3719" s="1" t="n">
        <v>46323</v>
      </c>
      <c r="F3719" t="inlineStr">
        <is>
          <t>KALMAR LÄN</t>
        </is>
      </c>
      <c r="G3719" t="inlineStr">
        <is>
          <t>HULTSFRED</t>
        </is>
      </c>
      <c r="I3719" t="n">
        <v>3.8</v>
      </c>
      <c r="J3719" t="n">
        <v>0</v>
      </c>
      <c r="K3719" t="n">
        <v>0</v>
      </c>
      <c r="L3719" t="n">
        <v>0</v>
      </c>
      <c r="M3719" t="n">
        <v>0</v>
      </c>
      <c r="N3719" t="n">
        <v>0</v>
      </c>
      <c r="O3719" t="n">
        <v>0</v>
      </c>
      <c r="P3719" t="n">
        <v>0</v>
      </c>
      <c r="Q3719" t="n">
        <v>0</v>
      </c>
      <c r="R3719" t="n">
        <v>0</v>
      </c>
      <c r="S3719" t="n">
        <v>0</v>
      </c>
      <c r="T3719" t="n">
        <v>0</v>
      </c>
      <c r="U3719" t="n">
        <v>0</v>
      </c>
      <c r="V3719" s="2" t="inlineStr"/>
    </row>
    <row r="3720" ht="15" customHeight="1">
      <c r="A3720" t="inlineStr">
        <is>
          <t>A 59109-2025</t>
        </is>
      </c>
      <c r="B3720" t="inlineStr">
        <is>
          <t>avverkningsanmälan</t>
        </is>
      </c>
      <c r="C3720" t="inlineStr">
        <is>
          <t>Föryngringsavverkning</t>
        </is>
      </c>
      <c r="D3720" s="1" t="n">
        <v>45988</v>
      </c>
      <c r="E3720" s="1" t="n">
        <v>46323</v>
      </c>
      <c r="F3720" t="inlineStr">
        <is>
          <t>KALMAR LÄN</t>
        </is>
      </c>
      <c r="G3720" t="inlineStr">
        <is>
          <t>HÖGSBY</t>
        </is>
      </c>
      <c r="I3720" t="n">
        <v>2.1</v>
      </c>
      <c r="J3720" t="n">
        <v>0</v>
      </c>
      <c r="K3720" t="n">
        <v>0</v>
      </c>
      <c r="L3720" t="n">
        <v>0</v>
      </c>
      <c r="M3720" t="n">
        <v>0</v>
      </c>
      <c r="N3720" t="n">
        <v>0</v>
      </c>
      <c r="O3720" t="n">
        <v>0</v>
      </c>
      <c r="P3720" t="n">
        <v>0</v>
      </c>
      <c r="Q3720" t="n">
        <v>0</v>
      </c>
      <c r="R3720" t="n">
        <v>0</v>
      </c>
      <c r="S3720" t="n">
        <v>0</v>
      </c>
      <c r="T3720" t="n">
        <v>0</v>
      </c>
      <c r="U3720" t="n">
        <v>0</v>
      </c>
      <c r="V3720" s="2" t="inlineStr"/>
    </row>
    <row r="3721" ht="15" customHeight="1">
      <c r="A3721" t="inlineStr">
        <is>
          <t>A 59187-2025</t>
        </is>
      </c>
      <c r="B3721" t="inlineStr">
        <is>
          <t>avverkningsanmälan</t>
        </is>
      </c>
      <c r="C3721" t="inlineStr">
        <is>
          <t>Föryngringsavverkning</t>
        </is>
      </c>
      <c r="D3721" s="1" t="n">
        <v>45988</v>
      </c>
      <c r="E3721" s="1" t="n">
        <v>46323</v>
      </c>
      <c r="F3721" t="inlineStr">
        <is>
          <t>KALMAR LÄN</t>
        </is>
      </c>
      <c r="G3721" t="inlineStr">
        <is>
          <t>VÄSTERVIK</t>
        </is>
      </c>
      <c r="I3721" t="n">
        <v>1.6</v>
      </c>
      <c r="J3721" t="n">
        <v>0</v>
      </c>
      <c r="K3721" t="n">
        <v>0</v>
      </c>
      <c r="L3721" t="n">
        <v>0</v>
      </c>
      <c r="M3721" t="n">
        <v>0</v>
      </c>
      <c r="N3721" t="n">
        <v>0</v>
      </c>
      <c r="O3721" t="n">
        <v>0</v>
      </c>
      <c r="P3721" t="n">
        <v>0</v>
      </c>
      <c r="Q3721" t="n">
        <v>0</v>
      </c>
      <c r="R3721" t="n">
        <v>0</v>
      </c>
      <c r="S3721" t="n">
        <v>0</v>
      </c>
      <c r="T3721" t="n">
        <v>0</v>
      </c>
      <c r="U3721" t="n">
        <v>0</v>
      </c>
      <c r="V3721" s="2" t="inlineStr"/>
    </row>
    <row r="3722" ht="15" customHeight="1">
      <c r="A3722" t="inlineStr">
        <is>
          <t>A 62720-2025</t>
        </is>
      </c>
      <c r="B3722" t="inlineStr">
        <is>
          <t>avverkningsanmälan</t>
        </is>
      </c>
      <c r="C3722" t="inlineStr">
        <is>
          <t>Avverkning för att bevara och utveckla /försöksver</t>
        </is>
      </c>
      <c r="D3722" s="1" t="n">
        <v>46008</v>
      </c>
      <c r="E3722" s="1" t="n">
        <v>46323</v>
      </c>
      <c r="F3722" t="inlineStr">
        <is>
          <t>KALMAR LÄN</t>
        </is>
      </c>
      <c r="G3722" t="inlineStr">
        <is>
          <t>HÖGSBY</t>
        </is>
      </c>
      <c r="H3722" t="inlineStr">
        <is>
          <t>Sveaskog</t>
        </is>
      </c>
      <c r="I3722" t="n">
        <v>2.6</v>
      </c>
      <c r="J3722" t="n">
        <v>0</v>
      </c>
      <c r="K3722" t="n">
        <v>0</v>
      </c>
      <c r="L3722" t="n">
        <v>0</v>
      </c>
      <c r="M3722" t="n">
        <v>0</v>
      </c>
      <c r="N3722" t="n">
        <v>0</v>
      </c>
      <c r="O3722" t="n">
        <v>0</v>
      </c>
      <c r="P3722" t="n">
        <v>0</v>
      </c>
      <c r="Q3722" t="n">
        <v>0</v>
      </c>
      <c r="R3722" t="n">
        <v>0</v>
      </c>
      <c r="S3722" t="n">
        <v>0</v>
      </c>
      <c r="T3722" t="n">
        <v>0</v>
      </c>
      <c r="U3722" t="n">
        <v>0</v>
      </c>
      <c r="V3722" s="2" t="inlineStr"/>
    </row>
    <row r="3723" ht="15" customHeight="1">
      <c r="A3723" t="inlineStr">
        <is>
          <t>A 62722-2025</t>
        </is>
      </c>
      <c r="B3723" t="inlineStr">
        <is>
          <t>avverkningsanmälan</t>
        </is>
      </c>
      <c r="C3723" t="inlineStr">
        <is>
          <t>Avverkning för att bevara och utveckla /försöksver</t>
        </is>
      </c>
      <c r="D3723" s="1" t="n">
        <v>46008</v>
      </c>
      <c r="E3723" s="1" t="n">
        <v>46323</v>
      </c>
      <c r="F3723" t="inlineStr">
        <is>
          <t>KALMAR LÄN</t>
        </is>
      </c>
      <c r="G3723" t="inlineStr">
        <is>
          <t>HÖGSBY</t>
        </is>
      </c>
      <c r="H3723" t="inlineStr">
        <is>
          <t>Sveaskog</t>
        </is>
      </c>
      <c r="I3723" t="n">
        <v>1.1</v>
      </c>
      <c r="J3723" t="n">
        <v>0</v>
      </c>
      <c r="K3723" t="n">
        <v>0</v>
      </c>
      <c r="L3723" t="n">
        <v>0</v>
      </c>
      <c r="M3723" t="n">
        <v>0</v>
      </c>
      <c r="N3723" t="n">
        <v>0</v>
      </c>
      <c r="O3723" t="n">
        <v>0</v>
      </c>
      <c r="P3723" t="n">
        <v>0</v>
      </c>
      <c r="Q3723" t="n">
        <v>0</v>
      </c>
      <c r="R3723" t="n">
        <v>0</v>
      </c>
      <c r="S3723" t="n">
        <v>0</v>
      </c>
      <c r="T3723" t="n">
        <v>0</v>
      </c>
      <c r="U3723" t="n">
        <v>0</v>
      </c>
      <c r="V3723" s="2" t="inlineStr"/>
    </row>
    <row r="3724" ht="15" customHeight="1">
      <c r="A3724" t="inlineStr">
        <is>
          <t>A 62750-2025</t>
        </is>
      </c>
      <c r="B3724" t="inlineStr">
        <is>
          <t>avverkningsanmälan</t>
        </is>
      </c>
      <c r="C3724" t="inlineStr">
        <is>
          <t>Föryngringsavverkning</t>
        </is>
      </c>
      <c r="D3724" s="1" t="n">
        <v>46008</v>
      </c>
      <c r="E3724" s="1" t="n">
        <v>46323</v>
      </c>
      <c r="F3724" t="inlineStr">
        <is>
          <t>KALMAR LÄN</t>
        </is>
      </c>
      <c r="G3724" t="inlineStr">
        <is>
          <t>VÄSTERVIK</t>
        </is>
      </c>
      <c r="I3724" t="n">
        <v>2.6</v>
      </c>
      <c r="J3724" t="n">
        <v>0</v>
      </c>
      <c r="K3724" t="n">
        <v>0</v>
      </c>
      <c r="L3724" t="n">
        <v>0</v>
      </c>
      <c r="M3724" t="n">
        <v>0</v>
      </c>
      <c r="N3724" t="n">
        <v>0</v>
      </c>
      <c r="O3724" t="n">
        <v>0</v>
      </c>
      <c r="P3724" t="n">
        <v>0</v>
      </c>
      <c r="Q3724" t="n">
        <v>0</v>
      </c>
      <c r="R3724" t="n">
        <v>0</v>
      </c>
      <c r="S3724" t="n">
        <v>0</v>
      </c>
      <c r="T3724" t="n">
        <v>0</v>
      </c>
      <c r="U3724" t="n">
        <v>0</v>
      </c>
      <c r="V3724" s="2" t="inlineStr"/>
    </row>
    <row r="3725" ht="15" customHeight="1">
      <c r="A3725" t="inlineStr">
        <is>
          <t>A 58988-2025</t>
        </is>
      </c>
      <c r="B3725" t="inlineStr">
        <is>
          <t>avverkningsanmälan</t>
        </is>
      </c>
      <c r="C3725" t="inlineStr">
        <is>
          <t>Föryngringsavverkning</t>
        </is>
      </c>
      <c r="D3725" s="1" t="n">
        <v>45987</v>
      </c>
      <c r="E3725" s="1" t="n">
        <v>46323</v>
      </c>
      <c r="F3725" t="inlineStr">
        <is>
          <t>KALMAR LÄN</t>
        </is>
      </c>
      <c r="G3725" t="inlineStr">
        <is>
          <t>NYBRO</t>
        </is>
      </c>
      <c r="I3725" t="n">
        <v>4.4</v>
      </c>
      <c r="J3725" t="n">
        <v>0</v>
      </c>
      <c r="K3725" t="n">
        <v>0</v>
      </c>
      <c r="L3725" t="n">
        <v>0</v>
      </c>
      <c r="M3725" t="n">
        <v>0</v>
      </c>
      <c r="N3725" t="n">
        <v>0</v>
      </c>
      <c r="O3725" t="n">
        <v>0</v>
      </c>
      <c r="P3725" t="n">
        <v>0</v>
      </c>
      <c r="Q3725" t="n">
        <v>0</v>
      </c>
      <c r="R3725" t="n">
        <v>0</v>
      </c>
      <c r="S3725" t="n">
        <v>0</v>
      </c>
      <c r="T3725" t="n">
        <v>0</v>
      </c>
      <c r="U3725" t="n">
        <v>0</v>
      </c>
      <c r="V3725" s="2" t="inlineStr"/>
    </row>
    <row r="3726" ht="15" customHeight="1">
      <c r="A3726" t="inlineStr">
        <is>
          <t>A 26426-2023</t>
        </is>
      </c>
      <c r="B3726" t="inlineStr">
        <is>
          <t>avverkningsanmälan</t>
        </is>
      </c>
      <c r="C3726" t="inlineStr">
        <is>
          <t>Föryngringsavverkning</t>
        </is>
      </c>
      <c r="D3726" s="1" t="n">
        <v>45092</v>
      </c>
      <c r="E3726" s="1" t="n">
        <v>46323</v>
      </c>
      <c r="F3726" t="inlineStr">
        <is>
          <t>KALMAR LÄN</t>
        </is>
      </c>
      <c r="G3726" t="inlineStr">
        <is>
          <t>NYBRO</t>
        </is>
      </c>
      <c r="H3726" t="inlineStr">
        <is>
          <t>Kommuner</t>
        </is>
      </c>
      <c r="I3726" t="n">
        <v>1.7</v>
      </c>
      <c r="J3726" t="n">
        <v>0</v>
      </c>
      <c r="K3726" t="n">
        <v>0</v>
      </c>
      <c r="L3726" t="n">
        <v>0</v>
      </c>
      <c r="M3726" t="n">
        <v>0</v>
      </c>
      <c r="N3726" t="n">
        <v>0</v>
      </c>
      <c r="O3726" t="n">
        <v>0</v>
      </c>
      <c r="P3726" t="n">
        <v>0</v>
      </c>
      <c r="Q3726" t="n">
        <v>0</v>
      </c>
      <c r="R3726" t="n">
        <v>0</v>
      </c>
      <c r="S3726" t="n">
        <v>0</v>
      </c>
      <c r="T3726" t="n">
        <v>0</v>
      </c>
      <c r="U3726" t="n">
        <v>0</v>
      </c>
      <c r="V3726" s="2" t="inlineStr"/>
    </row>
    <row r="3727" ht="15" customHeight="1">
      <c r="A3727" t="inlineStr">
        <is>
          <t>A 34780-2022</t>
        </is>
      </c>
      <c r="B3727" t="inlineStr">
        <is>
          <t>avverkningsanmälan</t>
        </is>
      </c>
      <c r="C3727" t="inlineStr">
        <is>
          <t>Föryngringsavverkning</t>
        </is>
      </c>
      <c r="D3727" s="1" t="n">
        <v>44795</v>
      </c>
      <c r="E3727" s="1" t="n">
        <v>46323</v>
      </c>
      <c r="F3727" t="inlineStr">
        <is>
          <t>KALMAR LÄN</t>
        </is>
      </c>
      <c r="G3727" t="inlineStr">
        <is>
          <t>BORGHOLM</t>
        </is>
      </c>
      <c r="H3727" t="inlineStr">
        <is>
          <t>Sveaskog</t>
        </is>
      </c>
      <c r="I3727" t="n">
        <v>6.7</v>
      </c>
      <c r="J3727" t="n">
        <v>0</v>
      </c>
      <c r="K3727" t="n">
        <v>0</v>
      </c>
      <c r="L3727" t="n">
        <v>0</v>
      </c>
      <c r="M3727" t="n">
        <v>0</v>
      </c>
      <c r="N3727" t="n">
        <v>0</v>
      </c>
      <c r="O3727" t="n">
        <v>0</v>
      </c>
      <c r="P3727" t="n">
        <v>0</v>
      </c>
      <c r="Q3727" t="n">
        <v>0</v>
      </c>
      <c r="R3727" t="n">
        <v>0</v>
      </c>
      <c r="S3727" t="n">
        <v>0</v>
      </c>
      <c r="T3727" t="n">
        <v>0</v>
      </c>
      <c r="U3727" t="n">
        <v>0</v>
      </c>
      <c r="V3727" s="2" t="inlineStr"/>
    </row>
    <row r="3728" ht="15" customHeight="1">
      <c r="A3728" t="inlineStr">
        <is>
          <t>A 39453-2022</t>
        </is>
      </c>
      <c r="B3728" t="inlineStr">
        <is>
          <t>avverkningsanmälan</t>
        </is>
      </c>
      <c r="C3728" t="inlineStr">
        <is>
          <t>Föryngringsavverkning</t>
        </is>
      </c>
      <c r="D3728" s="1" t="n">
        <v>44818</v>
      </c>
      <c r="E3728" s="1" t="n">
        <v>46323</v>
      </c>
      <c r="F3728" t="inlineStr">
        <is>
          <t>KALMAR LÄN</t>
        </is>
      </c>
      <c r="G3728" t="inlineStr">
        <is>
          <t>KALMAR</t>
        </is>
      </c>
      <c r="I3728" t="n">
        <v>5</v>
      </c>
      <c r="J3728" t="n">
        <v>0</v>
      </c>
      <c r="K3728" t="n">
        <v>0</v>
      </c>
      <c r="L3728" t="n">
        <v>0</v>
      </c>
      <c r="M3728" t="n">
        <v>0</v>
      </c>
      <c r="N3728" t="n">
        <v>0</v>
      </c>
      <c r="O3728" t="n">
        <v>0</v>
      </c>
      <c r="P3728" t="n">
        <v>0</v>
      </c>
      <c r="Q3728" t="n">
        <v>0</v>
      </c>
      <c r="R3728" t="n">
        <v>0</v>
      </c>
      <c r="S3728" t="n">
        <v>0</v>
      </c>
      <c r="T3728" t="n">
        <v>0</v>
      </c>
      <c r="U3728" t="n">
        <v>0</v>
      </c>
      <c r="V3728" s="2" t="inlineStr"/>
    </row>
    <row r="3729" ht="15" customHeight="1">
      <c r="A3729" t="inlineStr">
        <is>
          <t>A 59449-2025</t>
        </is>
      </c>
      <c r="B3729" t="inlineStr">
        <is>
          <t>avverkningsanmälan</t>
        </is>
      </c>
      <c r="C3729" t="inlineStr">
        <is>
          <t>Föryngringsavverkning</t>
        </is>
      </c>
      <c r="D3729" s="1" t="n">
        <v>45989</v>
      </c>
      <c r="E3729" s="1" t="n">
        <v>46323</v>
      </c>
      <c r="F3729" t="inlineStr">
        <is>
          <t>KALMAR LÄN</t>
        </is>
      </c>
      <c r="G3729" t="inlineStr">
        <is>
          <t>OSKARSHAMN</t>
        </is>
      </c>
      <c r="I3729" t="n">
        <v>5</v>
      </c>
      <c r="J3729" t="n">
        <v>0</v>
      </c>
      <c r="K3729" t="n">
        <v>0</v>
      </c>
      <c r="L3729" t="n">
        <v>0</v>
      </c>
      <c r="M3729" t="n">
        <v>0</v>
      </c>
      <c r="N3729" t="n">
        <v>0</v>
      </c>
      <c r="O3729" t="n">
        <v>0</v>
      </c>
      <c r="P3729" t="n">
        <v>0</v>
      </c>
      <c r="Q3729" t="n">
        <v>0</v>
      </c>
      <c r="R3729" t="n">
        <v>0</v>
      </c>
      <c r="S3729" t="n">
        <v>0</v>
      </c>
      <c r="T3729" t="n">
        <v>0</v>
      </c>
      <c r="U3729" t="n">
        <v>0</v>
      </c>
      <c r="V3729" s="2" t="inlineStr"/>
    </row>
    <row r="3730" ht="15" customHeight="1">
      <c r="A3730" t="inlineStr">
        <is>
          <t>A 62743-2025</t>
        </is>
      </c>
      <c r="B3730" t="inlineStr">
        <is>
          <t>avverkningsanmälan</t>
        </is>
      </c>
      <c r="C3730" t="inlineStr">
        <is>
          <t>Föryngringsavverkning</t>
        </is>
      </c>
      <c r="D3730" s="1" t="n">
        <v>46008</v>
      </c>
      <c r="E3730" s="1" t="n">
        <v>46323</v>
      </c>
      <c r="F3730" t="inlineStr">
        <is>
          <t>KALMAR LÄN</t>
        </is>
      </c>
      <c r="G3730" t="inlineStr">
        <is>
          <t>VÄSTERVIK</t>
        </is>
      </c>
      <c r="I3730" t="n">
        <v>7.5</v>
      </c>
      <c r="J3730" t="n">
        <v>0</v>
      </c>
      <c r="K3730" t="n">
        <v>0</v>
      </c>
      <c r="L3730" t="n">
        <v>0</v>
      </c>
      <c r="M3730" t="n">
        <v>0</v>
      </c>
      <c r="N3730" t="n">
        <v>0</v>
      </c>
      <c r="O3730" t="n">
        <v>0</v>
      </c>
      <c r="P3730" t="n">
        <v>0</v>
      </c>
      <c r="Q3730" t="n">
        <v>0</v>
      </c>
      <c r="R3730" t="n">
        <v>0</v>
      </c>
      <c r="S3730" t="n">
        <v>0</v>
      </c>
      <c r="T3730" t="n">
        <v>0</v>
      </c>
      <c r="U3730" t="n">
        <v>0</v>
      </c>
      <c r="V3730" s="2" t="inlineStr"/>
    </row>
    <row r="3731" ht="15" customHeight="1">
      <c r="A3731" t="inlineStr">
        <is>
          <t>A 23200-2023</t>
        </is>
      </c>
      <c r="B3731" t="inlineStr">
        <is>
          <t>avverkningsanmälan</t>
        </is>
      </c>
      <c r="C3731" t="inlineStr">
        <is>
          <t>Föryngringsavverkning</t>
        </is>
      </c>
      <c r="D3731" s="1" t="n">
        <v>45075</v>
      </c>
      <c r="E3731" s="1" t="n">
        <v>46323</v>
      </c>
      <c r="F3731" t="inlineStr">
        <is>
          <t>KALMAR LÄN</t>
        </is>
      </c>
      <c r="G3731" t="inlineStr">
        <is>
          <t>OSKARSHAMN</t>
        </is>
      </c>
      <c r="I3731" t="n">
        <v>2</v>
      </c>
      <c r="J3731" t="n">
        <v>0</v>
      </c>
      <c r="K3731" t="n">
        <v>0</v>
      </c>
      <c r="L3731" t="n">
        <v>0</v>
      </c>
      <c r="M3731" t="n">
        <v>0</v>
      </c>
      <c r="N3731" t="n">
        <v>0</v>
      </c>
      <c r="O3731" t="n">
        <v>0</v>
      </c>
      <c r="P3731" t="n">
        <v>0</v>
      </c>
      <c r="Q3731" t="n">
        <v>0</v>
      </c>
      <c r="R3731" t="n">
        <v>0</v>
      </c>
      <c r="S3731" t="n">
        <v>0</v>
      </c>
      <c r="T3731" t="n">
        <v>0</v>
      </c>
      <c r="U3731" t="n">
        <v>0</v>
      </c>
      <c r="V3731" s="2" t="inlineStr"/>
    </row>
    <row r="3732" ht="15" customHeight="1">
      <c r="A3732" t="inlineStr">
        <is>
          <t>A 23202-2023</t>
        </is>
      </c>
      <c r="B3732" t="inlineStr">
        <is>
          <t>avverkningsanmälan</t>
        </is>
      </c>
      <c r="C3732" t="inlineStr">
        <is>
          <t>Föryngringsavverkning</t>
        </is>
      </c>
      <c r="D3732" s="1" t="n">
        <v>45075</v>
      </c>
      <c r="E3732" s="1" t="n">
        <v>46323</v>
      </c>
      <c r="F3732" t="inlineStr">
        <is>
          <t>KALMAR LÄN</t>
        </is>
      </c>
      <c r="G3732" t="inlineStr">
        <is>
          <t>OSKARSHAMN</t>
        </is>
      </c>
      <c r="I3732" t="n">
        <v>3.5</v>
      </c>
      <c r="J3732" t="n">
        <v>0</v>
      </c>
      <c r="K3732" t="n">
        <v>0</v>
      </c>
      <c r="L3732" t="n">
        <v>0</v>
      </c>
      <c r="M3732" t="n">
        <v>0</v>
      </c>
      <c r="N3732" t="n">
        <v>0</v>
      </c>
      <c r="O3732" t="n">
        <v>0</v>
      </c>
      <c r="P3732" t="n">
        <v>0</v>
      </c>
      <c r="Q3732" t="n">
        <v>0</v>
      </c>
      <c r="R3732" t="n">
        <v>0</v>
      </c>
      <c r="S3732" t="n">
        <v>0</v>
      </c>
      <c r="T3732" t="n">
        <v>0</v>
      </c>
      <c r="U3732" t="n">
        <v>0</v>
      </c>
      <c r="V3732" s="2" t="inlineStr"/>
    </row>
    <row r="3733" ht="15" customHeight="1">
      <c r="A3733" t="inlineStr">
        <is>
          <t>A 62765-2025</t>
        </is>
      </c>
      <c r="B3733" t="inlineStr">
        <is>
          <t>avverkningsanmälan</t>
        </is>
      </c>
      <c r="C3733" t="inlineStr">
        <is>
          <t>Föryngringsavverkning</t>
        </is>
      </c>
      <c r="D3733" s="1" t="n">
        <v>46008</v>
      </c>
      <c r="E3733" s="1" t="n">
        <v>46323</v>
      </c>
      <c r="F3733" t="inlineStr">
        <is>
          <t>KALMAR LÄN</t>
        </is>
      </c>
      <c r="G3733" t="inlineStr">
        <is>
          <t>VÄSTERVIK</t>
        </is>
      </c>
      <c r="I3733" t="n">
        <v>1.5</v>
      </c>
      <c r="J3733" t="n">
        <v>0</v>
      </c>
      <c r="K3733" t="n">
        <v>0</v>
      </c>
      <c r="L3733" t="n">
        <v>0</v>
      </c>
      <c r="M3733" t="n">
        <v>0</v>
      </c>
      <c r="N3733" t="n">
        <v>0</v>
      </c>
      <c r="O3733" t="n">
        <v>0</v>
      </c>
      <c r="P3733" t="n">
        <v>0</v>
      </c>
      <c r="Q3733" t="n">
        <v>0</v>
      </c>
      <c r="R3733" t="n">
        <v>0</v>
      </c>
      <c r="S3733" t="n">
        <v>0</v>
      </c>
      <c r="T3733" t="n">
        <v>0</v>
      </c>
      <c r="U3733" t="n">
        <v>0</v>
      </c>
      <c r="V3733" s="2" t="inlineStr"/>
    </row>
    <row r="3734" ht="15" customHeight="1">
      <c r="A3734" t="inlineStr">
        <is>
          <t>A 62752-2025</t>
        </is>
      </c>
      <c r="B3734" t="inlineStr">
        <is>
          <t>avverkningsanmälan</t>
        </is>
      </c>
      <c r="C3734" t="inlineStr">
        <is>
          <t>Föryngringsavverkning</t>
        </is>
      </c>
      <c r="D3734" s="1" t="n">
        <v>46008</v>
      </c>
      <c r="E3734" s="1" t="n">
        <v>46323</v>
      </c>
      <c r="F3734" t="inlineStr">
        <is>
          <t>KALMAR LÄN</t>
        </is>
      </c>
      <c r="G3734" t="inlineStr">
        <is>
          <t>VÄSTERVIK</t>
        </is>
      </c>
      <c r="I3734" t="n">
        <v>9.4</v>
      </c>
      <c r="J3734" t="n">
        <v>0</v>
      </c>
      <c r="K3734" t="n">
        <v>0</v>
      </c>
      <c r="L3734" t="n">
        <v>0</v>
      </c>
      <c r="M3734" t="n">
        <v>0</v>
      </c>
      <c r="N3734" t="n">
        <v>0</v>
      </c>
      <c r="O3734" t="n">
        <v>0</v>
      </c>
      <c r="P3734" t="n">
        <v>0</v>
      </c>
      <c r="Q3734" t="n">
        <v>0</v>
      </c>
      <c r="R3734" t="n">
        <v>0</v>
      </c>
      <c r="S3734" t="n">
        <v>0</v>
      </c>
      <c r="T3734" t="n">
        <v>0</v>
      </c>
      <c r="U3734" t="n">
        <v>0</v>
      </c>
      <c r="V3734" s="2" t="inlineStr"/>
    </row>
    <row r="3735" ht="15" customHeight="1">
      <c r="A3735" t="inlineStr">
        <is>
          <t>A 5106-2024</t>
        </is>
      </c>
      <c r="B3735" t="inlineStr">
        <is>
          <t>avverkningsanmälan</t>
        </is>
      </c>
      <c r="C3735" t="inlineStr">
        <is>
          <t>Föryngringsavverkning</t>
        </is>
      </c>
      <c r="D3735" s="1" t="n">
        <v>45330</v>
      </c>
      <c r="E3735" s="1" t="n">
        <v>46323</v>
      </c>
      <c r="F3735" t="inlineStr">
        <is>
          <t>KALMAR LÄN</t>
        </is>
      </c>
      <c r="G3735" t="inlineStr">
        <is>
          <t>TORSÅS</t>
        </is>
      </c>
      <c r="I3735" t="n">
        <v>3.2</v>
      </c>
      <c r="J3735" t="n">
        <v>0</v>
      </c>
      <c r="K3735" t="n">
        <v>0</v>
      </c>
      <c r="L3735" t="n">
        <v>0</v>
      </c>
      <c r="M3735" t="n">
        <v>0</v>
      </c>
      <c r="N3735" t="n">
        <v>0</v>
      </c>
      <c r="O3735" t="n">
        <v>0</v>
      </c>
      <c r="P3735" t="n">
        <v>0</v>
      </c>
      <c r="Q3735" t="n">
        <v>0</v>
      </c>
      <c r="R3735" t="n">
        <v>0</v>
      </c>
      <c r="S3735" t="n">
        <v>0</v>
      </c>
      <c r="T3735" t="n">
        <v>0</v>
      </c>
      <c r="U3735" t="n">
        <v>0</v>
      </c>
      <c r="V3735" s="2" t="inlineStr"/>
    </row>
    <row r="3736" ht="15" customHeight="1">
      <c r="A3736" t="inlineStr">
        <is>
          <t>A 14970-2025</t>
        </is>
      </c>
      <c r="B3736" t="inlineStr">
        <is>
          <t>avverkningsanmälan</t>
        </is>
      </c>
      <c r="C3736" t="inlineStr">
        <is>
          <t>Föryngringsavverkning</t>
        </is>
      </c>
      <c r="D3736" s="1" t="n">
        <v>45743</v>
      </c>
      <c r="E3736" s="1" t="n">
        <v>46323</v>
      </c>
      <c r="F3736" t="inlineStr">
        <is>
          <t>KALMAR LÄN</t>
        </is>
      </c>
      <c r="G3736" t="inlineStr">
        <is>
          <t>EMMABODA</t>
        </is>
      </c>
      <c r="I3736" t="n">
        <v>1.6</v>
      </c>
      <c r="J3736" t="n">
        <v>0</v>
      </c>
      <c r="K3736" t="n">
        <v>0</v>
      </c>
      <c r="L3736" t="n">
        <v>0</v>
      </c>
      <c r="M3736" t="n">
        <v>0</v>
      </c>
      <c r="N3736" t="n">
        <v>0</v>
      </c>
      <c r="O3736" t="n">
        <v>0</v>
      </c>
      <c r="P3736" t="n">
        <v>0</v>
      </c>
      <c r="Q3736" t="n">
        <v>0</v>
      </c>
      <c r="R3736" t="n">
        <v>0</v>
      </c>
      <c r="S3736" t="n">
        <v>0</v>
      </c>
      <c r="T3736" t="n">
        <v>0</v>
      </c>
      <c r="U3736" t="n">
        <v>0</v>
      </c>
      <c r="V3736" s="2" t="inlineStr"/>
    </row>
    <row r="3737" ht="15" customHeight="1">
      <c r="A3737" t="inlineStr">
        <is>
          <t>A 62779-2023</t>
        </is>
      </c>
      <c r="B3737" t="inlineStr">
        <is>
          <t>avverkningsanmälan</t>
        </is>
      </c>
      <c r="C3737" t="inlineStr">
        <is>
          <t>Föryngringsavverkning</t>
        </is>
      </c>
      <c r="D3737" s="1" t="n">
        <v>45271</v>
      </c>
      <c r="E3737" s="1" t="n">
        <v>46323</v>
      </c>
      <c r="F3737" t="inlineStr">
        <is>
          <t>KALMAR LÄN</t>
        </is>
      </c>
      <c r="G3737" t="inlineStr">
        <is>
          <t>VIMMERBY</t>
        </is>
      </c>
      <c r="I3737" t="n">
        <v>1.1</v>
      </c>
      <c r="J3737" t="n">
        <v>0</v>
      </c>
      <c r="K3737" t="n">
        <v>0</v>
      </c>
      <c r="L3737" t="n">
        <v>0</v>
      </c>
      <c r="M3737" t="n">
        <v>0</v>
      </c>
      <c r="N3737" t="n">
        <v>0</v>
      </c>
      <c r="O3737" t="n">
        <v>0</v>
      </c>
      <c r="P3737" t="n">
        <v>0</v>
      </c>
      <c r="Q3737" t="n">
        <v>0</v>
      </c>
      <c r="R3737" t="n">
        <v>0</v>
      </c>
      <c r="S3737" t="n">
        <v>0</v>
      </c>
      <c r="T3737" t="n">
        <v>0</v>
      </c>
      <c r="U3737" t="n">
        <v>0</v>
      </c>
      <c r="V3737" s="2" t="inlineStr"/>
    </row>
    <row r="3738" ht="15" customHeight="1">
      <c r="A3738" t="inlineStr">
        <is>
          <t>A 25577-2023</t>
        </is>
      </c>
      <c r="B3738" t="inlineStr">
        <is>
          <t>avverkningsanmälan</t>
        </is>
      </c>
      <c r="C3738" t="inlineStr">
        <is>
          <t>Föryngringsavverkning</t>
        </is>
      </c>
      <c r="D3738" s="1" t="n">
        <v>45089</v>
      </c>
      <c r="E3738" s="1" t="n">
        <v>46323</v>
      </c>
      <c r="F3738" t="inlineStr">
        <is>
          <t>KALMAR LÄN</t>
        </is>
      </c>
      <c r="G3738" t="inlineStr">
        <is>
          <t>MÖNSTERÅS</t>
        </is>
      </c>
      <c r="I3738" t="n">
        <v>6.3</v>
      </c>
      <c r="J3738" t="n">
        <v>0</v>
      </c>
      <c r="K3738" t="n">
        <v>0</v>
      </c>
      <c r="L3738" t="n">
        <v>0</v>
      </c>
      <c r="M3738" t="n">
        <v>0</v>
      </c>
      <c r="N3738" t="n">
        <v>0</v>
      </c>
      <c r="O3738" t="n">
        <v>0</v>
      </c>
      <c r="P3738" t="n">
        <v>0</v>
      </c>
      <c r="Q3738" t="n">
        <v>0</v>
      </c>
      <c r="R3738" t="n">
        <v>0</v>
      </c>
      <c r="S3738" t="n">
        <v>0</v>
      </c>
      <c r="T3738" t="n">
        <v>0</v>
      </c>
      <c r="U3738" t="n">
        <v>0</v>
      </c>
      <c r="V3738" s="2" t="inlineStr"/>
    </row>
    <row r="3739" ht="15" customHeight="1">
      <c r="A3739" t="inlineStr">
        <is>
          <t>A 62756-2025</t>
        </is>
      </c>
      <c r="B3739" t="inlineStr">
        <is>
          <t>avverkningsanmälan</t>
        </is>
      </c>
      <c r="C3739" t="inlineStr">
        <is>
          <t>Föryngringsavverkning</t>
        </is>
      </c>
      <c r="D3739" s="1" t="n">
        <v>46008</v>
      </c>
      <c r="E3739" s="1" t="n">
        <v>46323</v>
      </c>
      <c r="F3739" t="inlineStr">
        <is>
          <t>KALMAR LÄN</t>
        </is>
      </c>
      <c r="G3739" t="inlineStr">
        <is>
          <t>VÄSTERVIK</t>
        </is>
      </c>
      <c r="I3739" t="n">
        <v>3.1</v>
      </c>
      <c r="J3739" t="n">
        <v>0</v>
      </c>
      <c r="K3739" t="n">
        <v>0</v>
      </c>
      <c r="L3739" t="n">
        <v>0</v>
      </c>
      <c r="M3739" t="n">
        <v>0</v>
      </c>
      <c r="N3739" t="n">
        <v>0</v>
      </c>
      <c r="O3739" t="n">
        <v>0</v>
      </c>
      <c r="P3739" t="n">
        <v>0</v>
      </c>
      <c r="Q3739" t="n">
        <v>0</v>
      </c>
      <c r="R3739" t="n">
        <v>0</v>
      </c>
      <c r="S3739" t="n">
        <v>0</v>
      </c>
      <c r="T3739" t="n">
        <v>0</v>
      </c>
      <c r="U3739" t="n">
        <v>0</v>
      </c>
      <c r="V3739" s="2" t="inlineStr"/>
    </row>
    <row r="3740" ht="15" customHeight="1">
      <c r="A3740" t="inlineStr">
        <is>
          <t>A 62789-2025</t>
        </is>
      </c>
      <c r="B3740" t="inlineStr">
        <is>
          <t>avverkningsanmälan</t>
        </is>
      </c>
      <c r="C3740" t="inlineStr">
        <is>
          <t>Föryngringsavverkning</t>
        </is>
      </c>
      <c r="D3740" s="1" t="n">
        <v>46008</v>
      </c>
      <c r="E3740" s="1" t="n">
        <v>46323</v>
      </c>
      <c r="F3740" t="inlineStr">
        <is>
          <t>KALMAR LÄN</t>
        </is>
      </c>
      <c r="G3740" t="inlineStr">
        <is>
          <t>VÄSTERVIK</t>
        </is>
      </c>
      <c r="I3740" t="n">
        <v>0.5</v>
      </c>
      <c r="J3740" t="n">
        <v>0</v>
      </c>
      <c r="K3740" t="n">
        <v>0</v>
      </c>
      <c r="L3740" t="n">
        <v>0</v>
      </c>
      <c r="M3740" t="n">
        <v>0</v>
      </c>
      <c r="N3740" t="n">
        <v>0</v>
      </c>
      <c r="O3740" t="n">
        <v>0</v>
      </c>
      <c r="P3740" t="n">
        <v>0</v>
      </c>
      <c r="Q3740" t="n">
        <v>0</v>
      </c>
      <c r="R3740" t="n">
        <v>0</v>
      </c>
      <c r="S3740" t="n">
        <v>0</v>
      </c>
      <c r="T3740" t="n">
        <v>0</v>
      </c>
      <c r="U3740" t="n">
        <v>0</v>
      </c>
      <c r="V3740" s="2" t="inlineStr"/>
    </row>
    <row r="3741" ht="15" customHeight="1">
      <c r="A3741" t="inlineStr">
        <is>
          <t>A 17523-2022</t>
        </is>
      </c>
      <c r="B3741" t="inlineStr">
        <is>
          <t>avverkningsanmälan</t>
        </is>
      </c>
      <c r="C3741" t="inlineStr">
        <is>
          <t>Föryngringsavverkning</t>
        </is>
      </c>
      <c r="D3741" s="1" t="n">
        <v>44679</v>
      </c>
      <c r="E3741" s="1" t="n">
        <v>46323</v>
      </c>
      <c r="F3741" t="inlineStr">
        <is>
          <t>KALMAR LÄN</t>
        </is>
      </c>
      <c r="G3741" t="inlineStr">
        <is>
          <t>TORSÅS</t>
        </is>
      </c>
      <c r="I3741" t="n">
        <v>2.6</v>
      </c>
      <c r="J3741" t="n">
        <v>0</v>
      </c>
      <c r="K3741" t="n">
        <v>0</v>
      </c>
      <c r="L3741" t="n">
        <v>0</v>
      </c>
      <c r="M3741" t="n">
        <v>0</v>
      </c>
      <c r="N3741" t="n">
        <v>0</v>
      </c>
      <c r="O3741" t="n">
        <v>0</v>
      </c>
      <c r="P3741" t="n">
        <v>0</v>
      </c>
      <c r="Q3741" t="n">
        <v>0</v>
      </c>
      <c r="R3741" t="n">
        <v>0</v>
      </c>
      <c r="S3741" t="n">
        <v>0</v>
      </c>
      <c r="T3741" t="n">
        <v>0</v>
      </c>
      <c r="U3741" t="n">
        <v>0</v>
      </c>
      <c r="V3741" s="2" t="inlineStr"/>
    </row>
    <row r="3742" ht="15" customHeight="1">
      <c r="A3742" t="inlineStr">
        <is>
          <t>A 47965-2023</t>
        </is>
      </c>
      <c r="B3742" t="inlineStr">
        <is>
          <t>avverkningsanmälan</t>
        </is>
      </c>
      <c r="C3742" t="inlineStr">
        <is>
          <t>Föryngringsavverkning</t>
        </is>
      </c>
      <c r="D3742" s="1" t="n">
        <v>45204</v>
      </c>
      <c r="E3742" s="1" t="n">
        <v>46323</v>
      </c>
      <c r="F3742" t="inlineStr">
        <is>
          <t>KALMAR LÄN</t>
        </is>
      </c>
      <c r="G3742" t="inlineStr">
        <is>
          <t>OSKARSHAMN</t>
        </is>
      </c>
      <c r="I3742" t="n">
        <v>4</v>
      </c>
      <c r="J3742" t="n">
        <v>0</v>
      </c>
      <c r="K3742" t="n">
        <v>0</v>
      </c>
      <c r="L3742" t="n">
        <v>0</v>
      </c>
      <c r="M3742" t="n">
        <v>0</v>
      </c>
      <c r="N3742" t="n">
        <v>0</v>
      </c>
      <c r="O3742" t="n">
        <v>0</v>
      </c>
      <c r="P3742" t="n">
        <v>0</v>
      </c>
      <c r="Q3742" t="n">
        <v>0</v>
      </c>
      <c r="R3742" t="n">
        <v>0</v>
      </c>
      <c r="S3742" t="n">
        <v>0</v>
      </c>
      <c r="T3742" t="n">
        <v>0</v>
      </c>
      <c r="U3742" t="n">
        <v>0</v>
      </c>
      <c r="V3742" s="2" t="inlineStr"/>
    </row>
    <row r="3743" ht="15" customHeight="1">
      <c r="A3743" t="inlineStr">
        <is>
          <t>A 46282-2023</t>
        </is>
      </c>
      <c r="B3743" t="inlineStr">
        <is>
          <t>avverkningsanmälan</t>
        </is>
      </c>
      <c r="C3743" t="inlineStr">
        <is>
          <t>Avverkning för annat ändamål</t>
        </is>
      </c>
      <c r="D3743" s="1" t="n">
        <v>45197</v>
      </c>
      <c r="E3743" s="1" t="n">
        <v>46323</v>
      </c>
      <c r="F3743" t="inlineStr">
        <is>
          <t>KALMAR LÄN</t>
        </is>
      </c>
      <c r="G3743" t="inlineStr">
        <is>
          <t>NYBRO</t>
        </is>
      </c>
      <c r="I3743" t="n">
        <v>0.8</v>
      </c>
      <c r="J3743" t="n">
        <v>0</v>
      </c>
      <c r="K3743" t="n">
        <v>0</v>
      </c>
      <c r="L3743" t="n">
        <v>0</v>
      </c>
      <c r="M3743" t="n">
        <v>0</v>
      </c>
      <c r="N3743" t="n">
        <v>0</v>
      </c>
      <c r="O3743" t="n">
        <v>0</v>
      </c>
      <c r="P3743" t="n">
        <v>0</v>
      </c>
      <c r="Q3743" t="n">
        <v>0</v>
      </c>
      <c r="R3743" t="n">
        <v>0</v>
      </c>
      <c r="S3743" t="n">
        <v>0</v>
      </c>
      <c r="T3743" t="n">
        <v>0</v>
      </c>
      <c r="U3743" t="n">
        <v>0</v>
      </c>
      <c r="V3743" s="2" t="inlineStr"/>
    </row>
    <row r="3744" ht="15" customHeight="1">
      <c r="A3744" t="inlineStr">
        <is>
          <t>A 45896-2023</t>
        </is>
      </c>
      <c r="B3744" t="inlineStr">
        <is>
          <t>avverkningsanmälan</t>
        </is>
      </c>
      <c r="C3744" t="inlineStr">
        <is>
          <t>Föryngringsavverkning</t>
        </is>
      </c>
      <c r="D3744" s="1" t="n">
        <v>45195</v>
      </c>
      <c r="E3744" s="1" t="n">
        <v>46323</v>
      </c>
      <c r="F3744" t="inlineStr">
        <is>
          <t>KALMAR LÄN</t>
        </is>
      </c>
      <c r="G3744" t="inlineStr">
        <is>
          <t>KALMAR</t>
        </is>
      </c>
      <c r="I3744" t="n">
        <v>3.7</v>
      </c>
      <c r="J3744" t="n">
        <v>0</v>
      </c>
      <c r="K3744" t="n">
        <v>0</v>
      </c>
      <c r="L3744" t="n">
        <v>0</v>
      </c>
      <c r="M3744" t="n">
        <v>0</v>
      </c>
      <c r="N3744" t="n">
        <v>0</v>
      </c>
      <c r="O3744" t="n">
        <v>0</v>
      </c>
      <c r="P3744" t="n">
        <v>0</v>
      </c>
      <c r="Q3744" t="n">
        <v>0</v>
      </c>
      <c r="R3744" t="n">
        <v>0</v>
      </c>
      <c r="S3744" t="n">
        <v>0</v>
      </c>
      <c r="T3744" t="n">
        <v>0</v>
      </c>
      <c r="U3744" t="n">
        <v>0</v>
      </c>
      <c r="V3744" s="2" t="inlineStr"/>
    </row>
    <row r="3745" ht="15" customHeight="1">
      <c r="A3745" t="inlineStr">
        <is>
          <t>A 47859-2023</t>
        </is>
      </c>
      <c r="B3745" t="inlineStr">
        <is>
          <t>avverkningsanmälan</t>
        </is>
      </c>
      <c r="C3745" t="inlineStr">
        <is>
          <t>Föryngringsavverkning</t>
        </is>
      </c>
      <c r="D3745" s="1" t="n">
        <v>45204</v>
      </c>
      <c r="E3745" s="1" t="n">
        <v>46323</v>
      </c>
      <c r="F3745" t="inlineStr">
        <is>
          <t>KALMAR LÄN</t>
        </is>
      </c>
      <c r="G3745" t="inlineStr">
        <is>
          <t>HÖGSBY</t>
        </is>
      </c>
      <c r="I3745" t="n">
        <v>0.6</v>
      </c>
      <c r="J3745" t="n">
        <v>0</v>
      </c>
      <c r="K3745" t="n">
        <v>0</v>
      </c>
      <c r="L3745" t="n">
        <v>0</v>
      </c>
      <c r="M3745" t="n">
        <v>0</v>
      </c>
      <c r="N3745" t="n">
        <v>0</v>
      </c>
      <c r="O3745" t="n">
        <v>0</v>
      </c>
      <c r="P3745" t="n">
        <v>0</v>
      </c>
      <c r="Q3745" t="n">
        <v>0</v>
      </c>
      <c r="R3745" t="n">
        <v>0</v>
      </c>
      <c r="S3745" t="n">
        <v>0</v>
      </c>
      <c r="T3745" t="n">
        <v>0</v>
      </c>
      <c r="U3745" t="n">
        <v>0</v>
      </c>
      <c r="V3745" s="2" t="inlineStr"/>
    </row>
    <row r="3746" ht="15" customHeight="1">
      <c r="A3746" t="inlineStr">
        <is>
          <t>A 62782-2025</t>
        </is>
      </c>
      <c r="B3746" t="inlineStr">
        <is>
          <t>avverkningsanmälan</t>
        </is>
      </c>
      <c r="C3746" t="inlineStr">
        <is>
          <t>Föryngringsavverkning</t>
        </is>
      </c>
      <c r="D3746" s="1" t="n">
        <v>46008</v>
      </c>
      <c r="E3746" s="1" t="n">
        <v>46323</v>
      </c>
      <c r="F3746" t="inlineStr">
        <is>
          <t>KALMAR LÄN</t>
        </is>
      </c>
      <c r="G3746" t="inlineStr">
        <is>
          <t>VÄSTERVIK</t>
        </is>
      </c>
      <c r="I3746" t="n">
        <v>0.6</v>
      </c>
      <c r="J3746" t="n">
        <v>0</v>
      </c>
      <c r="K3746" t="n">
        <v>0</v>
      </c>
      <c r="L3746" t="n">
        <v>0</v>
      </c>
      <c r="M3746" t="n">
        <v>0</v>
      </c>
      <c r="N3746" t="n">
        <v>0</v>
      </c>
      <c r="O3746" t="n">
        <v>0</v>
      </c>
      <c r="P3746" t="n">
        <v>0</v>
      </c>
      <c r="Q3746" t="n">
        <v>0</v>
      </c>
      <c r="R3746" t="n">
        <v>0</v>
      </c>
      <c r="S3746" t="n">
        <v>0</v>
      </c>
      <c r="T3746" t="n">
        <v>0</v>
      </c>
      <c r="U3746" t="n">
        <v>0</v>
      </c>
      <c r="V3746" s="2" t="inlineStr"/>
    </row>
    <row r="3747" ht="15" customHeight="1">
      <c r="A3747" t="inlineStr">
        <is>
          <t>A 62732-2025</t>
        </is>
      </c>
      <c r="B3747" t="inlineStr">
        <is>
          <t>avverkningsanmälan</t>
        </is>
      </c>
      <c r="C3747" t="inlineStr">
        <is>
          <t>Föryngringsavverkning</t>
        </is>
      </c>
      <c r="D3747" s="1" t="n">
        <v>46008</v>
      </c>
      <c r="E3747" s="1" t="n">
        <v>46323</v>
      </c>
      <c r="F3747" t="inlineStr">
        <is>
          <t>KALMAR LÄN</t>
        </is>
      </c>
      <c r="G3747" t="inlineStr">
        <is>
          <t>KALMAR</t>
        </is>
      </c>
      <c r="I3747" t="n">
        <v>1.5</v>
      </c>
      <c r="J3747" t="n">
        <v>0</v>
      </c>
      <c r="K3747" t="n">
        <v>0</v>
      </c>
      <c r="L3747" t="n">
        <v>0</v>
      </c>
      <c r="M3747" t="n">
        <v>0</v>
      </c>
      <c r="N3747" t="n">
        <v>0</v>
      </c>
      <c r="O3747" t="n">
        <v>0</v>
      </c>
      <c r="P3747" t="n">
        <v>0</v>
      </c>
      <c r="Q3747" t="n">
        <v>0</v>
      </c>
      <c r="R3747" t="n">
        <v>0</v>
      </c>
      <c r="S3747" t="n">
        <v>0</v>
      </c>
      <c r="T3747" t="n">
        <v>0</v>
      </c>
      <c r="U3747" t="n">
        <v>0</v>
      </c>
      <c r="V3747" s="2" t="inlineStr"/>
    </row>
    <row r="3748" ht="15" customHeight="1">
      <c r="A3748" t="inlineStr">
        <is>
          <t>A 9005-2024</t>
        </is>
      </c>
      <c r="B3748" t="inlineStr">
        <is>
          <t>avverkningsanmälan</t>
        </is>
      </c>
      <c r="C3748" t="inlineStr">
        <is>
          <t>Föryngringsavverkning</t>
        </is>
      </c>
      <c r="D3748" s="1" t="n">
        <v>45357</v>
      </c>
      <c r="E3748" s="1" t="n">
        <v>46323</v>
      </c>
      <c r="F3748" t="inlineStr">
        <is>
          <t>KALMAR LÄN</t>
        </is>
      </c>
      <c r="G3748" t="inlineStr">
        <is>
          <t>NYBRO</t>
        </is>
      </c>
      <c r="I3748" t="n">
        <v>3.6</v>
      </c>
      <c r="J3748" t="n">
        <v>0</v>
      </c>
      <c r="K3748" t="n">
        <v>0</v>
      </c>
      <c r="L3748" t="n">
        <v>0</v>
      </c>
      <c r="M3748" t="n">
        <v>0</v>
      </c>
      <c r="N3748" t="n">
        <v>0</v>
      </c>
      <c r="O3748" t="n">
        <v>0</v>
      </c>
      <c r="P3748" t="n">
        <v>0</v>
      </c>
      <c r="Q3748" t="n">
        <v>0</v>
      </c>
      <c r="R3748" t="n">
        <v>0</v>
      </c>
      <c r="S3748" t="n">
        <v>0</v>
      </c>
      <c r="T3748" t="n">
        <v>0</v>
      </c>
      <c r="U3748" t="n">
        <v>0</v>
      </c>
      <c r="V3748" s="2" t="inlineStr"/>
    </row>
    <row r="3749" ht="15" customHeight="1">
      <c r="A3749" t="inlineStr">
        <is>
          <t>A 55367-2024</t>
        </is>
      </c>
      <c r="B3749" t="inlineStr">
        <is>
          <t>avverkningsanmälan</t>
        </is>
      </c>
      <c r="C3749" t="inlineStr">
        <is>
          <t>Föryngringsavverkning</t>
        </is>
      </c>
      <c r="D3749" s="1" t="n">
        <v>45621</v>
      </c>
      <c r="E3749" s="1" t="n">
        <v>46323</v>
      </c>
      <c r="F3749" t="inlineStr">
        <is>
          <t>KALMAR LÄN</t>
        </is>
      </c>
      <c r="G3749" t="inlineStr">
        <is>
          <t>BORGHOLM</t>
        </is>
      </c>
      <c r="I3749" t="n">
        <v>0.7</v>
      </c>
      <c r="J3749" t="n">
        <v>0</v>
      </c>
      <c r="K3749" t="n">
        <v>0</v>
      </c>
      <c r="L3749" t="n">
        <v>0</v>
      </c>
      <c r="M3749" t="n">
        <v>0</v>
      </c>
      <c r="N3749" t="n">
        <v>0</v>
      </c>
      <c r="O3749" t="n">
        <v>0</v>
      </c>
      <c r="P3749" t="n">
        <v>0</v>
      </c>
      <c r="Q3749" t="n">
        <v>0</v>
      </c>
      <c r="R3749" t="n">
        <v>0</v>
      </c>
      <c r="S3749" t="n">
        <v>0</v>
      </c>
      <c r="T3749" t="n">
        <v>0</v>
      </c>
      <c r="U3749" t="n">
        <v>0</v>
      </c>
      <c r="V3749" s="2" t="inlineStr"/>
    </row>
    <row r="3750" ht="15" customHeight="1">
      <c r="A3750" t="inlineStr">
        <is>
          <t>A 62770-2025</t>
        </is>
      </c>
      <c r="B3750" t="inlineStr">
        <is>
          <t>avverkningsanmälan</t>
        </is>
      </c>
      <c r="C3750" t="inlineStr">
        <is>
          <t>Föryngringsavverkning</t>
        </is>
      </c>
      <c r="D3750" s="1" t="n">
        <v>46008</v>
      </c>
      <c r="E3750" s="1" t="n">
        <v>46323</v>
      </c>
      <c r="F3750" t="inlineStr">
        <is>
          <t>KALMAR LÄN</t>
        </is>
      </c>
      <c r="G3750" t="inlineStr">
        <is>
          <t>VÄSTERVIK</t>
        </is>
      </c>
      <c r="I3750" t="n">
        <v>3.2</v>
      </c>
      <c r="J3750" t="n">
        <v>0</v>
      </c>
      <c r="K3750" t="n">
        <v>0</v>
      </c>
      <c r="L3750" t="n">
        <v>0</v>
      </c>
      <c r="M3750" t="n">
        <v>0</v>
      </c>
      <c r="N3750" t="n">
        <v>0</v>
      </c>
      <c r="O3750" t="n">
        <v>0</v>
      </c>
      <c r="P3750" t="n">
        <v>0</v>
      </c>
      <c r="Q3750" t="n">
        <v>0</v>
      </c>
      <c r="R3750" t="n">
        <v>0</v>
      </c>
      <c r="S3750" t="n">
        <v>0</v>
      </c>
      <c r="T3750" t="n">
        <v>0</v>
      </c>
      <c r="U3750" t="n">
        <v>0</v>
      </c>
      <c r="V3750" s="2" t="inlineStr"/>
    </row>
    <row r="3751" ht="15" customHeight="1">
      <c r="A3751" t="inlineStr">
        <is>
          <t>A 31371-2023</t>
        </is>
      </c>
      <c r="B3751" t="inlineStr">
        <is>
          <t>avverkningsanmälan</t>
        </is>
      </c>
      <c r="C3751" t="inlineStr">
        <is>
          <t>Föryngringsavverkning</t>
        </is>
      </c>
      <c r="D3751" s="1" t="n">
        <v>45114</v>
      </c>
      <c r="E3751" s="1" t="n">
        <v>46323</v>
      </c>
      <c r="F3751" t="inlineStr">
        <is>
          <t>KALMAR LÄN</t>
        </is>
      </c>
      <c r="G3751" t="inlineStr">
        <is>
          <t>KALMAR</t>
        </is>
      </c>
      <c r="I3751" t="n">
        <v>0.9</v>
      </c>
      <c r="J3751" t="n">
        <v>0</v>
      </c>
      <c r="K3751" t="n">
        <v>0</v>
      </c>
      <c r="L3751" t="n">
        <v>0</v>
      </c>
      <c r="M3751" t="n">
        <v>0</v>
      </c>
      <c r="N3751" t="n">
        <v>0</v>
      </c>
      <c r="O3751" t="n">
        <v>0</v>
      </c>
      <c r="P3751" t="n">
        <v>0</v>
      </c>
      <c r="Q3751" t="n">
        <v>0</v>
      </c>
      <c r="R3751" t="n">
        <v>0</v>
      </c>
      <c r="S3751" t="n">
        <v>0</v>
      </c>
      <c r="T3751" t="n">
        <v>0</v>
      </c>
      <c r="U3751" t="n">
        <v>0</v>
      </c>
      <c r="V3751" s="2" t="inlineStr"/>
    </row>
    <row r="3752" ht="15" customHeight="1">
      <c r="A3752" t="inlineStr">
        <is>
          <t>A 59445-2025</t>
        </is>
      </c>
      <c r="B3752" t="inlineStr">
        <is>
          <t>avverkningsanmälan</t>
        </is>
      </c>
      <c r="C3752" t="inlineStr">
        <is>
          <t>Föryngringsavverkning</t>
        </is>
      </c>
      <c r="D3752" s="1" t="n">
        <v>45989</v>
      </c>
      <c r="E3752" s="1" t="n">
        <v>46323</v>
      </c>
      <c r="F3752" t="inlineStr">
        <is>
          <t>KALMAR LÄN</t>
        </is>
      </c>
      <c r="G3752" t="inlineStr">
        <is>
          <t>OSKARSHAMN</t>
        </is>
      </c>
      <c r="I3752" t="n">
        <v>2.2</v>
      </c>
      <c r="J3752" t="n">
        <v>0</v>
      </c>
      <c r="K3752" t="n">
        <v>0</v>
      </c>
      <c r="L3752" t="n">
        <v>0</v>
      </c>
      <c r="M3752" t="n">
        <v>0</v>
      </c>
      <c r="N3752" t="n">
        <v>0</v>
      </c>
      <c r="O3752" t="n">
        <v>0</v>
      </c>
      <c r="P3752" t="n">
        <v>0</v>
      </c>
      <c r="Q3752" t="n">
        <v>0</v>
      </c>
      <c r="R3752" t="n">
        <v>0</v>
      </c>
      <c r="S3752" t="n">
        <v>0</v>
      </c>
      <c r="T3752" t="n">
        <v>0</v>
      </c>
      <c r="U3752" t="n">
        <v>0</v>
      </c>
      <c r="V3752" s="2" t="inlineStr"/>
    </row>
    <row r="3753" ht="15" customHeight="1">
      <c r="A3753" t="inlineStr">
        <is>
          <t>A 3041-2025</t>
        </is>
      </c>
      <c r="B3753" t="inlineStr">
        <is>
          <t>avverkningsanmälan</t>
        </is>
      </c>
      <c r="C3753" t="inlineStr">
        <is>
          <t>Föryngringsavverkning</t>
        </is>
      </c>
      <c r="D3753" s="1" t="n">
        <v>45678</v>
      </c>
      <c r="E3753" s="1" t="n">
        <v>46323</v>
      </c>
      <c r="F3753" t="inlineStr">
        <is>
          <t>KALMAR LÄN</t>
        </is>
      </c>
      <c r="G3753" t="inlineStr">
        <is>
          <t>VÄSTERVIK</t>
        </is>
      </c>
      <c r="I3753" t="n">
        <v>0.7</v>
      </c>
      <c r="J3753" t="n">
        <v>0</v>
      </c>
      <c r="K3753" t="n">
        <v>0</v>
      </c>
      <c r="L3753" t="n">
        <v>0</v>
      </c>
      <c r="M3753" t="n">
        <v>0</v>
      </c>
      <c r="N3753" t="n">
        <v>0</v>
      </c>
      <c r="O3753" t="n">
        <v>0</v>
      </c>
      <c r="P3753" t="n">
        <v>0</v>
      </c>
      <c r="Q3753" t="n">
        <v>0</v>
      </c>
      <c r="R3753" t="n">
        <v>0</v>
      </c>
      <c r="S3753" t="n">
        <v>0</v>
      </c>
      <c r="T3753" t="n">
        <v>0</v>
      </c>
      <c r="U3753" t="n">
        <v>0</v>
      </c>
      <c r="V3753" s="2" t="inlineStr"/>
      <c r="Z3753">
        <f>HYPERLINK("https://klasma.github.io/Logging_0883/knärot/A 3041-2025 karta knärot.png", "A 3041-2025")</f>
        <v/>
      </c>
      <c r="AA3753">
        <f>HYPERLINK("https://klasma.github.io/Logging_0883/klagomål/A 3041-2025 FSC-klagomål.docx", "A 3041-2025")</f>
        <v/>
      </c>
      <c r="AB3753">
        <f>HYPERLINK("https://klasma.github.io/Logging_0883/klagomålsmail/A 3041-2025 FSC-klagomål mail.docx", "A 3041-2025")</f>
        <v/>
      </c>
      <c r="AC3753">
        <f>HYPERLINK("https://klasma.github.io/Logging_0883/tillsyn/A 3041-2025 tillsynsbegäran.docx", "A 3041-2025")</f>
        <v/>
      </c>
      <c r="AD3753">
        <f>HYPERLINK("https://klasma.github.io/Logging_0883/tillsynsmail/A 3041-2025 tillsynsbegäran mail.docx", "A 3041-2025")</f>
        <v/>
      </c>
    </row>
    <row r="3754" ht="15" customHeight="1">
      <c r="A3754" t="inlineStr">
        <is>
          <t>A 2360-2025</t>
        </is>
      </c>
      <c r="B3754" t="inlineStr">
        <is>
          <t>avverkningsanmälan</t>
        </is>
      </c>
      <c r="C3754" t="inlineStr">
        <is>
          <t>Föryngringsavverkning</t>
        </is>
      </c>
      <c r="D3754" s="1" t="n">
        <v>45673</v>
      </c>
      <c r="E3754" s="1" t="n">
        <v>46323</v>
      </c>
      <c r="F3754" t="inlineStr">
        <is>
          <t>KALMAR LÄN</t>
        </is>
      </c>
      <c r="G3754" t="inlineStr">
        <is>
          <t>VÄSTERVIK</t>
        </is>
      </c>
      <c r="I3754" t="n">
        <v>3</v>
      </c>
      <c r="J3754" t="n">
        <v>0</v>
      </c>
      <c r="K3754" t="n">
        <v>0</v>
      </c>
      <c r="L3754" t="n">
        <v>0</v>
      </c>
      <c r="M3754" t="n">
        <v>0</v>
      </c>
      <c r="N3754" t="n">
        <v>0</v>
      </c>
      <c r="O3754" t="n">
        <v>0</v>
      </c>
      <c r="P3754" t="n">
        <v>0</v>
      </c>
      <c r="Q3754" t="n">
        <v>0</v>
      </c>
      <c r="R3754" t="n">
        <v>0</v>
      </c>
      <c r="S3754" t="n">
        <v>0</v>
      </c>
      <c r="T3754" t="n">
        <v>0</v>
      </c>
      <c r="U3754" t="n">
        <v>0</v>
      </c>
      <c r="V3754" s="2" t="inlineStr"/>
    </row>
    <row r="3755" ht="15" customHeight="1">
      <c r="A3755" t="inlineStr">
        <is>
          <t>A 58375-2024</t>
        </is>
      </c>
      <c r="B3755" t="inlineStr">
        <is>
          <t>avverkningsanmälan</t>
        </is>
      </c>
      <c r="C3755" t="inlineStr">
        <is>
          <t>Föryngringsavverkning</t>
        </is>
      </c>
      <c r="D3755" s="1" t="n">
        <v>45632</v>
      </c>
      <c r="E3755" s="1" t="n">
        <v>46323</v>
      </c>
      <c r="F3755" t="inlineStr">
        <is>
          <t>KALMAR LÄN</t>
        </is>
      </c>
      <c r="G3755" t="inlineStr">
        <is>
          <t>OSKARSHAMN</t>
        </is>
      </c>
      <c r="I3755" t="n">
        <v>2.9</v>
      </c>
      <c r="J3755" t="n">
        <v>0</v>
      </c>
      <c r="K3755" t="n">
        <v>0</v>
      </c>
      <c r="L3755" t="n">
        <v>0</v>
      </c>
      <c r="M3755" t="n">
        <v>0</v>
      </c>
      <c r="N3755" t="n">
        <v>0</v>
      </c>
      <c r="O3755" t="n">
        <v>0</v>
      </c>
      <c r="P3755" t="n">
        <v>0</v>
      </c>
      <c r="Q3755" t="n">
        <v>0</v>
      </c>
      <c r="R3755" t="n">
        <v>0</v>
      </c>
      <c r="S3755" t="n">
        <v>0</v>
      </c>
      <c r="T3755" t="n">
        <v>0</v>
      </c>
      <c r="U3755" t="n">
        <v>0</v>
      </c>
      <c r="V3755" s="2" t="inlineStr"/>
    </row>
    <row r="3756" ht="15" customHeight="1">
      <c r="A3756" t="inlineStr">
        <is>
          <t>A 40046-2023</t>
        </is>
      </c>
      <c r="B3756" t="inlineStr">
        <is>
          <t>avverkningsanmälan</t>
        </is>
      </c>
      <c r="C3756" t="inlineStr">
        <is>
          <t>Föryngringsavverkning</t>
        </is>
      </c>
      <c r="D3756" s="1" t="n">
        <v>45167</v>
      </c>
      <c r="E3756" s="1" t="n">
        <v>46323</v>
      </c>
      <c r="F3756" t="inlineStr">
        <is>
          <t>KALMAR LÄN</t>
        </is>
      </c>
      <c r="G3756" t="inlineStr">
        <is>
          <t>TORSÅS</t>
        </is>
      </c>
      <c r="I3756" t="n">
        <v>0.7</v>
      </c>
      <c r="J3756" t="n">
        <v>0</v>
      </c>
      <c r="K3756" t="n">
        <v>0</v>
      </c>
      <c r="L3756" t="n">
        <v>0</v>
      </c>
      <c r="M3756" t="n">
        <v>0</v>
      </c>
      <c r="N3756" t="n">
        <v>0</v>
      </c>
      <c r="O3756" t="n">
        <v>0</v>
      </c>
      <c r="P3756" t="n">
        <v>0</v>
      </c>
      <c r="Q3756" t="n">
        <v>0</v>
      </c>
      <c r="R3756" t="n">
        <v>0</v>
      </c>
      <c r="S3756" t="n">
        <v>0</v>
      </c>
      <c r="T3756" t="n">
        <v>0</v>
      </c>
      <c r="U3756" t="n">
        <v>0</v>
      </c>
      <c r="V3756" s="2" t="inlineStr"/>
    </row>
    <row r="3757" ht="15" customHeight="1">
      <c r="A3757" t="inlineStr">
        <is>
          <t>A 40047-2023</t>
        </is>
      </c>
      <c r="B3757" t="inlineStr">
        <is>
          <t>avverkningsanmälan</t>
        </is>
      </c>
      <c r="C3757" t="inlineStr">
        <is>
          <t>Föryngringsavverkning</t>
        </is>
      </c>
      <c r="D3757" s="1" t="n">
        <v>45167</v>
      </c>
      <c r="E3757" s="1" t="n">
        <v>46323</v>
      </c>
      <c r="F3757" t="inlineStr">
        <is>
          <t>KALMAR LÄN</t>
        </is>
      </c>
      <c r="G3757" t="inlineStr">
        <is>
          <t>TORSÅS</t>
        </is>
      </c>
      <c r="I3757" t="n">
        <v>1.1</v>
      </c>
      <c r="J3757" t="n">
        <v>0</v>
      </c>
      <c r="K3757" t="n">
        <v>0</v>
      </c>
      <c r="L3757" t="n">
        <v>0</v>
      </c>
      <c r="M3757" t="n">
        <v>0</v>
      </c>
      <c r="N3757" t="n">
        <v>0</v>
      </c>
      <c r="O3757" t="n">
        <v>0</v>
      </c>
      <c r="P3757" t="n">
        <v>0</v>
      </c>
      <c r="Q3757" t="n">
        <v>0</v>
      </c>
      <c r="R3757" t="n">
        <v>0</v>
      </c>
      <c r="S3757" t="n">
        <v>0</v>
      </c>
      <c r="T3757" t="n">
        <v>0</v>
      </c>
      <c r="U3757" t="n">
        <v>0</v>
      </c>
      <c r="V3757" s="2" t="inlineStr"/>
    </row>
    <row r="3758" ht="15" customHeight="1">
      <c r="A3758" t="inlineStr">
        <is>
          <t>A 10631-2024</t>
        </is>
      </c>
      <c r="B3758" t="inlineStr">
        <is>
          <t>avverkningsanmälan</t>
        </is>
      </c>
      <c r="C3758" t="inlineStr">
        <is>
          <t>Föryngringsavverkning</t>
        </is>
      </c>
      <c r="D3758" s="1" t="n">
        <v>45367</v>
      </c>
      <c r="E3758" s="1" t="n">
        <v>46323</v>
      </c>
      <c r="F3758" t="inlineStr">
        <is>
          <t>KALMAR LÄN</t>
        </is>
      </c>
      <c r="G3758" t="inlineStr">
        <is>
          <t>NYBRO</t>
        </is>
      </c>
      <c r="I3758" t="n">
        <v>1.6</v>
      </c>
      <c r="J3758" t="n">
        <v>0</v>
      </c>
      <c r="K3758" t="n">
        <v>0</v>
      </c>
      <c r="L3758" t="n">
        <v>0</v>
      </c>
      <c r="M3758" t="n">
        <v>0</v>
      </c>
      <c r="N3758" t="n">
        <v>0</v>
      </c>
      <c r="O3758" t="n">
        <v>0</v>
      </c>
      <c r="P3758" t="n">
        <v>0</v>
      </c>
      <c r="Q3758" t="n">
        <v>0</v>
      </c>
      <c r="R3758" t="n">
        <v>0</v>
      </c>
      <c r="S3758" t="n">
        <v>0</v>
      </c>
      <c r="T3758" t="n">
        <v>0</v>
      </c>
      <c r="U3758" t="n">
        <v>0</v>
      </c>
      <c r="V3758" s="2" t="inlineStr"/>
    </row>
    <row r="3759" ht="15" customHeight="1">
      <c r="A3759" t="inlineStr">
        <is>
          <t>A 3425-2022</t>
        </is>
      </c>
      <c r="B3759" t="inlineStr">
        <is>
          <t>avverkningsanmälan</t>
        </is>
      </c>
      <c r="C3759" t="inlineStr">
        <is>
          <t>Föryngringsavverkning</t>
        </is>
      </c>
      <c r="D3759" s="1" t="n">
        <v>44585</v>
      </c>
      <c r="E3759" s="1" t="n">
        <v>46323</v>
      </c>
      <c r="F3759" t="inlineStr">
        <is>
          <t>KALMAR LÄN</t>
        </is>
      </c>
      <c r="G3759" t="inlineStr">
        <is>
          <t>VIMMERBY</t>
        </is>
      </c>
      <c r="I3759" t="n">
        <v>1.3</v>
      </c>
      <c r="J3759" t="n">
        <v>0</v>
      </c>
      <c r="K3759" t="n">
        <v>0</v>
      </c>
      <c r="L3759" t="n">
        <v>0</v>
      </c>
      <c r="M3759" t="n">
        <v>0</v>
      </c>
      <c r="N3759" t="n">
        <v>0</v>
      </c>
      <c r="O3759" t="n">
        <v>0</v>
      </c>
      <c r="P3759" t="n">
        <v>0</v>
      </c>
      <c r="Q3759" t="n">
        <v>0</v>
      </c>
      <c r="R3759" t="n">
        <v>0</v>
      </c>
      <c r="S3759" t="n">
        <v>0</v>
      </c>
      <c r="T3759" t="n">
        <v>0</v>
      </c>
      <c r="U3759" t="n">
        <v>0</v>
      </c>
      <c r="V3759" s="2" t="inlineStr"/>
    </row>
    <row r="3760" ht="15" customHeight="1">
      <c r="A3760" t="inlineStr">
        <is>
          <t>A 33050-2023</t>
        </is>
      </c>
      <c r="B3760" t="inlineStr">
        <is>
          <t>avverkningsanmälan</t>
        </is>
      </c>
      <c r="C3760" t="inlineStr">
        <is>
          <t>Föryngringsavverkning</t>
        </is>
      </c>
      <c r="D3760" s="1" t="n">
        <v>45126</v>
      </c>
      <c r="E3760" s="1" t="n">
        <v>46323</v>
      </c>
      <c r="F3760" t="inlineStr">
        <is>
          <t>KALMAR LÄN</t>
        </is>
      </c>
      <c r="G3760" t="inlineStr">
        <is>
          <t>EMMABODA</t>
        </is>
      </c>
      <c r="I3760" t="n">
        <v>1.6</v>
      </c>
      <c r="J3760" t="n">
        <v>0</v>
      </c>
      <c r="K3760" t="n">
        <v>0</v>
      </c>
      <c r="L3760" t="n">
        <v>0</v>
      </c>
      <c r="M3760" t="n">
        <v>0</v>
      </c>
      <c r="N3760" t="n">
        <v>0</v>
      </c>
      <c r="O3760" t="n">
        <v>0</v>
      </c>
      <c r="P3760" t="n">
        <v>0</v>
      </c>
      <c r="Q3760" t="n">
        <v>0</v>
      </c>
      <c r="R3760" t="n">
        <v>0</v>
      </c>
      <c r="S3760" t="n">
        <v>0</v>
      </c>
      <c r="T3760" t="n">
        <v>0</v>
      </c>
      <c r="U3760" t="n">
        <v>0</v>
      </c>
      <c r="V3760" s="2" t="inlineStr"/>
    </row>
    <row r="3761" ht="15" customHeight="1">
      <c r="A3761" t="inlineStr">
        <is>
          <t>A 33065-2023</t>
        </is>
      </c>
      <c r="B3761" t="inlineStr">
        <is>
          <t>avverkningsanmälan</t>
        </is>
      </c>
      <c r="C3761" t="inlineStr">
        <is>
          <t>Föryngringsavverkning</t>
        </is>
      </c>
      <c r="D3761" s="1" t="n">
        <v>45126</v>
      </c>
      <c r="E3761" s="1" t="n">
        <v>46323</v>
      </c>
      <c r="F3761" t="inlineStr">
        <is>
          <t>KALMAR LÄN</t>
        </is>
      </c>
      <c r="G3761" t="inlineStr">
        <is>
          <t>EMMABODA</t>
        </is>
      </c>
      <c r="I3761" t="n">
        <v>1.1</v>
      </c>
      <c r="J3761" t="n">
        <v>0</v>
      </c>
      <c r="K3761" t="n">
        <v>0</v>
      </c>
      <c r="L3761" t="n">
        <v>0</v>
      </c>
      <c r="M3761" t="n">
        <v>0</v>
      </c>
      <c r="N3761" t="n">
        <v>0</v>
      </c>
      <c r="O3761" t="n">
        <v>0</v>
      </c>
      <c r="P3761" t="n">
        <v>0</v>
      </c>
      <c r="Q3761" t="n">
        <v>0</v>
      </c>
      <c r="R3761" t="n">
        <v>0</v>
      </c>
      <c r="S3761" t="n">
        <v>0</v>
      </c>
      <c r="T3761" t="n">
        <v>0</v>
      </c>
      <c r="U3761" t="n">
        <v>0</v>
      </c>
      <c r="V3761" s="2" t="inlineStr"/>
    </row>
    <row r="3762" ht="15" customHeight="1">
      <c r="A3762" t="inlineStr">
        <is>
          <t>A 43962-2024</t>
        </is>
      </c>
      <c r="B3762" t="inlineStr">
        <is>
          <t>avverkningsanmälan</t>
        </is>
      </c>
      <c r="C3762" t="inlineStr">
        <is>
          <t>Föryngringsavverkning</t>
        </is>
      </c>
      <c r="D3762" s="1" t="n">
        <v>45572</v>
      </c>
      <c r="E3762" s="1" t="n">
        <v>46323</v>
      </c>
      <c r="F3762" t="inlineStr">
        <is>
          <t>KALMAR LÄN</t>
        </is>
      </c>
      <c r="G3762" t="inlineStr">
        <is>
          <t>VIMMERBY</t>
        </is>
      </c>
      <c r="I3762" t="n">
        <v>0.6</v>
      </c>
      <c r="J3762" t="n">
        <v>0</v>
      </c>
      <c r="K3762" t="n">
        <v>0</v>
      </c>
      <c r="L3762" t="n">
        <v>0</v>
      </c>
      <c r="M3762" t="n">
        <v>0</v>
      </c>
      <c r="N3762" t="n">
        <v>0</v>
      </c>
      <c r="O3762" t="n">
        <v>0</v>
      </c>
      <c r="P3762" t="n">
        <v>0</v>
      </c>
      <c r="Q3762" t="n">
        <v>0</v>
      </c>
      <c r="R3762" t="n">
        <v>0</v>
      </c>
      <c r="S3762" t="n">
        <v>0</v>
      </c>
      <c r="T3762" t="n">
        <v>0</v>
      </c>
      <c r="U3762" t="n">
        <v>0</v>
      </c>
      <c r="V3762" s="2" t="inlineStr"/>
    </row>
    <row r="3763" ht="15" customHeight="1">
      <c r="A3763" t="inlineStr">
        <is>
          <t>A 45214-2023</t>
        </is>
      </c>
      <c r="B3763" t="inlineStr">
        <is>
          <t>avverkningsanmälan</t>
        </is>
      </c>
      <c r="C3763" t="inlineStr">
        <is>
          <t>Föryngringsavverkning</t>
        </is>
      </c>
      <c r="D3763" s="1" t="n">
        <v>45191</v>
      </c>
      <c r="E3763" s="1" t="n">
        <v>46323</v>
      </c>
      <c r="F3763" t="inlineStr">
        <is>
          <t>KALMAR LÄN</t>
        </is>
      </c>
      <c r="G3763" t="inlineStr">
        <is>
          <t>EMMABODA</t>
        </is>
      </c>
      <c r="I3763" t="n">
        <v>1.3</v>
      </c>
      <c r="J3763" t="n">
        <v>0</v>
      </c>
      <c r="K3763" t="n">
        <v>0</v>
      </c>
      <c r="L3763" t="n">
        <v>0</v>
      </c>
      <c r="M3763" t="n">
        <v>0</v>
      </c>
      <c r="N3763" t="n">
        <v>0</v>
      </c>
      <c r="O3763" t="n">
        <v>0</v>
      </c>
      <c r="P3763" t="n">
        <v>0</v>
      </c>
      <c r="Q3763" t="n">
        <v>0</v>
      </c>
      <c r="R3763" t="n">
        <v>0</v>
      </c>
      <c r="S3763" t="n">
        <v>0</v>
      </c>
      <c r="T3763" t="n">
        <v>0</v>
      </c>
      <c r="U3763" t="n">
        <v>0</v>
      </c>
      <c r="V3763" s="2" t="inlineStr"/>
    </row>
    <row r="3764" ht="15" customHeight="1">
      <c r="A3764" t="inlineStr">
        <is>
          <t>A 33070-2023</t>
        </is>
      </c>
      <c r="B3764" t="inlineStr">
        <is>
          <t>avverkningsanmälan</t>
        </is>
      </c>
      <c r="C3764" t="inlineStr">
        <is>
          <t>Föryngringsavverkning</t>
        </is>
      </c>
      <c r="D3764" s="1" t="n">
        <v>45126</v>
      </c>
      <c r="E3764" s="1" t="n">
        <v>46323</v>
      </c>
      <c r="F3764" t="inlineStr">
        <is>
          <t>KALMAR LÄN</t>
        </is>
      </c>
      <c r="G3764" t="inlineStr">
        <is>
          <t>EMMABODA</t>
        </is>
      </c>
      <c r="I3764" t="n">
        <v>0.6</v>
      </c>
      <c r="J3764" t="n">
        <v>0</v>
      </c>
      <c r="K3764" t="n">
        <v>0</v>
      </c>
      <c r="L3764" t="n">
        <v>0</v>
      </c>
      <c r="M3764" t="n">
        <v>0</v>
      </c>
      <c r="N3764" t="n">
        <v>0</v>
      </c>
      <c r="O3764" t="n">
        <v>0</v>
      </c>
      <c r="P3764" t="n">
        <v>0</v>
      </c>
      <c r="Q3764" t="n">
        <v>0</v>
      </c>
      <c r="R3764" t="n">
        <v>0</v>
      </c>
      <c r="S3764" t="n">
        <v>0</v>
      </c>
      <c r="T3764" t="n">
        <v>0</v>
      </c>
      <c r="U3764" t="n">
        <v>0</v>
      </c>
      <c r="V3764" s="2" t="inlineStr"/>
    </row>
    <row r="3765" ht="15" customHeight="1">
      <c r="A3765" t="inlineStr">
        <is>
          <t>A 59400-2025</t>
        </is>
      </c>
      <c r="B3765" t="inlineStr">
        <is>
          <t>avverkningsanmälan</t>
        </is>
      </c>
      <c r="C3765" t="inlineStr">
        <is>
          <t>Föryngringsavverkning</t>
        </is>
      </c>
      <c r="D3765" s="1" t="n">
        <v>45989</v>
      </c>
      <c r="E3765" s="1" t="n">
        <v>46323</v>
      </c>
      <c r="F3765" t="inlineStr">
        <is>
          <t>KALMAR LÄN</t>
        </is>
      </c>
      <c r="G3765" t="inlineStr">
        <is>
          <t>EMMABODA</t>
        </is>
      </c>
      <c r="I3765" t="n">
        <v>0.6</v>
      </c>
      <c r="J3765" t="n">
        <v>0</v>
      </c>
      <c r="K3765" t="n">
        <v>0</v>
      </c>
      <c r="L3765" t="n">
        <v>0</v>
      </c>
      <c r="M3765" t="n">
        <v>0</v>
      </c>
      <c r="N3765" t="n">
        <v>0</v>
      </c>
      <c r="O3765" t="n">
        <v>0</v>
      </c>
      <c r="P3765" t="n">
        <v>0</v>
      </c>
      <c r="Q3765" t="n">
        <v>0</v>
      </c>
      <c r="R3765" t="n">
        <v>0</v>
      </c>
      <c r="S3765" t="n">
        <v>0</v>
      </c>
      <c r="T3765" t="n">
        <v>0</v>
      </c>
      <c r="U3765" t="n">
        <v>0</v>
      </c>
      <c r="V3765" s="2" t="inlineStr"/>
    </row>
    <row r="3766" ht="15" customHeight="1">
      <c r="A3766" t="inlineStr">
        <is>
          <t>A 52462-2024</t>
        </is>
      </c>
      <c r="B3766" t="inlineStr">
        <is>
          <t>avverkningsanmälan</t>
        </is>
      </c>
      <c r="C3766" t="inlineStr">
        <is>
          <t>Föryngringsavverkning</t>
        </is>
      </c>
      <c r="D3766" s="1" t="n">
        <v>45609</v>
      </c>
      <c r="E3766" s="1" t="n">
        <v>46323</v>
      </c>
      <c r="F3766" t="inlineStr">
        <is>
          <t>KALMAR LÄN</t>
        </is>
      </c>
      <c r="G3766" t="inlineStr">
        <is>
          <t>EMMABODA</t>
        </is>
      </c>
      <c r="I3766" t="n">
        <v>3</v>
      </c>
      <c r="J3766" t="n">
        <v>0</v>
      </c>
      <c r="K3766" t="n">
        <v>0</v>
      </c>
      <c r="L3766" t="n">
        <v>0</v>
      </c>
      <c r="M3766" t="n">
        <v>0</v>
      </c>
      <c r="N3766" t="n">
        <v>0</v>
      </c>
      <c r="O3766" t="n">
        <v>0</v>
      </c>
      <c r="P3766" t="n">
        <v>0</v>
      </c>
      <c r="Q3766" t="n">
        <v>0</v>
      </c>
      <c r="R3766" t="n">
        <v>0</v>
      </c>
      <c r="S3766" t="n">
        <v>0</v>
      </c>
      <c r="T3766" t="n">
        <v>0</v>
      </c>
      <c r="U3766" t="n">
        <v>0</v>
      </c>
      <c r="V3766" s="2" t="inlineStr"/>
    </row>
    <row r="3767" ht="15" customHeight="1">
      <c r="A3767" t="inlineStr">
        <is>
          <t>A 12810-2023</t>
        </is>
      </c>
      <c r="B3767" t="inlineStr">
        <is>
          <t>avverkningsanmälan</t>
        </is>
      </c>
      <c r="C3767" t="inlineStr">
        <is>
          <t>Föryngringsavverkning</t>
        </is>
      </c>
      <c r="D3767" s="1" t="n">
        <v>45001</v>
      </c>
      <c r="E3767" s="1" t="n">
        <v>46323</v>
      </c>
      <c r="F3767" t="inlineStr">
        <is>
          <t>KALMAR LÄN</t>
        </is>
      </c>
      <c r="G3767" t="inlineStr">
        <is>
          <t>VIMMERBY</t>
        </is>
      </c>
      <c r="I3767" t="n">
        <v>1.5</v>
      </c>
      <c r="J3767" t="n">
        <v>0</v>
      </c>
      <c r="K3767" t="n">
        <v>0</v>
      </c>
      <c r="L3767" t="n">
        <v>0</v>
      </c>
      <c r="M3767" t="n">
        <v>0</v>
      </c>
      <c r="N3767" t="n">
        <v>0</v>
      </c>
      <c r="O3767" t="n">
        <v>0</v>
      </c>
      <c r="P3767" t="n">
        <v>0</v>
      </c>
      <c r="Q3767" t="n">
        <v>0</v>
      </c>
      <c r="R3767" t="n">
        <v>0</v>
      </c>
      <c r="S3767" t="n">
        <v>0</v>
      </c>
      <c r="T3767" t="n">
        <v>0</v>
      </c>
      <c r="U3767" t="n">
        <v>0</v>
      </c>
      <c r="V3767" s="2" t="inlineStr"/>
    </row>
    <row r="3768" ht="15" customHeight="1">
      <c r="A3768" t="inlineStr">
        <is>
          <t>A 5200-2025</t>
        </is>
      </c>
      <c r="B3768" t="inlineStr">
        <is>
          <t>avverkningsanmälan</t>
        </is>
      </c>
      <c r="C3768" t="inlineStr">
        <is>
          <t>Föryngringsavverkning</t>
        </is>
      </c>
      <c r="D3768" s="1" t="n">
        <v>45688</v>
      </c>
      <c r="E3768" s="1" t="n">
        <v>46323</v>
      </c>
      <c r="F3768" t="inlineStr">
        <is>
          <t>KALMAR LÄN</t>
        </is>
      </c>
      <c r="G3768" t="inlineStr">
        <is>
          <t>EMMABODA</t>
        </is>
      </c>
      <c r="I3768" t="n">
        <v>1.1</v>
      </c>
      <c r="J3768" t="n">
        <v>0</v>
      </c>
      <c r="K3768" t="n">
        <v>0</v>
      </c>
      <c r="L3768" t="n">
        <v>0</v>
      </c>
      <c r="M3768" t="n">
        <v>0</v>
      </c>
      <c r="N3768" t="n">
        <v>0</v>
      </c>
      <c r="O3768" t="n">
        <v>0</v>
      </c>
      <c r="P3768" t="n">
        <v>0</v>
      </c>
      <c r="Q3768" t="n">
        <v>0</v>
      </c>
      <c r="R3768" t="n">
        <v>0</v>
      </c>
      <c r="S3768" t="n">
        <v>0</v>
      </c>
      <c r="T3768" t="n">
        <v>0</v>
      </c>
      <c r="U3768" t="n">
        <v>0</v>
      </c>
      <c r="V3768" s="2" t="inlineStr"/>
    </row>
    <row r="3769" ht="15" customHeight="1">
      <c r="A3769" t="inlineStr">
        <is>
          <t>A 73404-2021</t>
        </is>
      </c>
      <c r="B3769" t="inlineStr">
        <is>
          <t>avverkningsanmälan</t>
        </is>
      </c>
      <c r="C3769" t="inlineStr">
        <is>
          <t>Föryngringsavverkning</t>
        </is>
      </c>
      <c r="D3769" s="1" t="n">
        <v>44551</v>
      </c>
      <c r="E3769" s="1" t="n">
        <v>46323</v>
      </c>
      <c r="F3769" t="inlineStr">
        <is>
          <t>KALMAR LÄN</t>
        </is>
      </c>
      <c r="G3769" t="inlineStr">
        <is>
          <t>OSKARSHAMN</t>
        </is>
      </c>
      <c r="I3769" t="n">
        <v>1.3</v>
      </c>
      <c r="J3769" t="n">
        <v>0</v>
      </c>
      <c r="K3769" t="n">
        <v>0</v>
      </c>
      <c r="L3769" t="n">
        <v>0</v>
      </c>
      <c r="M3769" t="n">
        <v>0</v>
      </c>
      <c r="N3769" t="n">
        <v>0</v>
      </c>
      <c r="O3769" t="n">
        <v>0</v>
      </c>
      <c r="P3769" t="n">
        <v>0</v>
      </c>
      <c r="Q3769" t="n">
        <v>0</v>
      </c>
      <c r="R3769" t="n">
        <v>0</v>
      </c>
      <c r="S3769" t="n">
        <v>0</v>
      </c>
      <c r="T3769" t="n">
        <v>0</v>
      </c>
      <c r="U3769" t="n">
        <v>0</v>
      </c>
      <c r="V3769" s="2" t="inlineStr"/>
    </row>
    <row r="3770" ht="15" customHeight="1">
      <c r="A3770" t="inlineStr">
        <is>
          <t>A 60266-2025</t>
        </is>
      </c>
      <c r="B3770" t="inlineStr">
        <is>
          <t>avverkningsanmälan</t>
        </is>
      </c>
      <c r="C3770" t="inlineStr">
        <is>
          <t>Föryngringsavverkning</t>
        </is>
      </c>
      <c r="D3770" s="1" t="n">
        <v>45994</v>
      </c>
      <c r="E3770" s="1" t="n">
        <v>46323</v>
      </c>
      <c r="F3770" t="inlineStr">
        <is>
          <t>KALMAR LÄN</t>
        </is>
      </c>
      <c r="G3770" t="inlineStr">
        <is>
          <t>HÖGSBY</t>
        </is>
      </c>
      <c r="H3770" t="inlineStr">
        <is>
          <t>Sveaskog</t>
        </is>
      </c>
      <c r="I3770" t="n">
        <v>4.9</v>
      </c>
      <c r="J3770" t="n">
        <v>0</v>
      </c>
      <c r="K3770" t="n">
        <v>0</v>
      </c>
      <c r="L3770" t="n">
        <v>0</v>
      </c>
      <c r="M3770" t="n">
        <v>0</v>
      </c>
      <c r="N3770" t="n">
        <v>0</v>
      </c>
      <c r="O3770" t="n">
        <v>0</v>
      </c>
      <c r="P3770" t="n">
        <v>0</v>
      </c>
      <c r="Q3770" t="n">
        <v>0</v>
      </c>
      <c r="R3770" t="n">
        <v>0</v>
      </c>
      <c r="S3770" t="n">
        <v>0</v>
      </c>
      <c r="T3770" t="n">
        <v>0</v>
      </c>
      <c r="U3770" t="n">
        <v>0</v>
      </c>
      <c r="V3770" s="2" t="inlineStr"/>
    </row>
    <row r="3771" ht="15" customHeight="1">
      <c r="A3771" t="inlineStr">
        <is>
          <t>A 60180-2025</t>
        </is>
      </c>
      <c r="B3771" t="inlineStr">
        <is>
          <t>avverkningsanmälan</t>
        </is>
      </c>
      <c r="C3771" t="inlineStr">
        <is>
          <t>Föryngringsavverkning</t>
        </is>
      </c>
      <c r="D3771" s="1" t="n">
        <v>45994</v>
      </c>
      <c r="E3771" s="1" t="n">
        <v>46323</v>
      </c>
      <c r="F3771" t="inlineStr">
        <is>
          <t>KALMAR LÄN</t>
        </is>
      </c>
      <c r="G3771" t="inlineStr">
        <is>
          <t>VIMMERBY</t>
        </is>
      </c>
      <c r="I3771" t="n">
        <v>6.8</v>
      </c>
      <c r="J3771" t="n">
        <v>0</v>
      </c>
      <c r="K3771" t="n">
        <v>0</v>
      </c>
      <c r="L3771" t="n">
        <v>0</v>
      </c>
      <c r="M3771" t="n">
        <v>0</v>
      </c>
      <c r="N3771" t="n">
        <v>0</v>
      </c>
      <c r="O3771" t="n">
        <v>0</v>
      </c>
      <c r="P3771" t="n">
        <v>0</v>
      </c>
      <c r="Q3771" t="n">
        <v>0</v>
      </c>
      <c r="R3771" t="n">
        <v>0</v>
      </c>
      <c r="S3771" t="n">
        <v>0</v>
      </c>
      <c r="T3771" t="n">
        <v>0</v>
      </c>
      <c r="U3771" t="n">
        <v>0</v>
      </c>
      <c r="V3771" s="2" t="inlineStr"/>
    </row>
    <row r="3772" ht="15" customHeight="1">
      <c r="A3772" t="inlineStr">
        <is>
          <t>A 60192-2025</t>
        </is>
      </c>
      <c r="B3772" t="inlineStr">
        <is>
          <t>avverkningsanmälan</t>
        </is>
      </c>
      <c r="C3772" t="inlineStr">
        <is>
          <t>Föryngringsavverkning</t>
        </is>
      </c>
      <c r="D3772" s="1" t="n">
        <v>45994</v>
      </c>
      <c r="E3772" s="1" t="n">
        <v>46323</v>
      </c>
      <c r="F3772" t="inlineStr">
        <is>
          <t>KALMAR LÄN</t>
        </is>
      </c>
      <c r="G3772" t="inlineStr">
        <is>
          <t>EMMABODA</t>
        </is>
      </c>
      <c r="I3772" t="n">
        <v>0.5</v>
      </c>
      <c r="J3772" t="n">
        <v>0</v>
      </c>
      <c r="K3772" t="n">
        <v>0</v>
      </c>
      <c r="L3772" t="n">
        <v>0</v>
      </c>
      <c r="M3772" t="n">
        <v>0</v>
      </c>
      <c r="N3772" t="n">
        <v>0</v>
      </c>
      <c r="O3772" t="n">
        <v>0</v>
      </c>
      <c r="P3772" t="n">
        <v>0</v>
      </c>
      <c r="Q3772" t="n">
        <v>0</v>
      </c>
      <c r="R3772" t="n">
        <v>0</v>
      </c>
      <c r="S3772" t="n">
        <v>0</v>
      </c>
      <c r="T3772" t="n">
        <v>0</v>
      </c>
      <c r="U3772" t="n">
        <v>0</v>
      </c>
      <c r="V3772" s="2" t="inlineStr"/>
    </row>
    <row r="3773" ht="15" customHeight="1">
      <c r="A3773" t="inlineStr">
        <is>
          <t>A 48233-2023</t>
        </is>
      </c>
      <c r="B3773" t="inlineStr">
        <is>
          <t>avverkningsanmälan</t>
        </is>
      </c>
      <c r="C3773" t="inlineStr">
        <is>
          <t>Föryngringsavverkning</t>
        </is>
      </c>
      <c r="D3773" s="1" t="n">
        <v>45205</v>
      </c>
      <c r="E3773" s="1" t="n">
        <v>46323</v>
      </c>
      <c r="F3773" t="inlineStr">
        <is>
          <t>KALMAR LÄN</t>
        </is>
      </c>
      <c r="G3773" t="inlineStr">
        <is>
          <t>EMMABODA</t>
        </is>
      </c>
      <c r="I3773" t="n">
        <v>1.6</v>
      </c>
      <c r="J3773" t="n">
        <v>0</v>
      </c>
      <c r="K3773" t="n">
        <v>0</v>
      </c>
      <c r="L3773" t="n">
        <v>0</v>
      </c>
      <c r="M3773" t="n">
        <v>0</v>
      </c>
      <c r="N3773" t="n">
        <v>0</v>
      </c>
      <c r="O3773" t="n">
        <v>0</v>
      </c>
      <c r="P3773" t="n">
        <v>0</v>
      </c>
      <c r="Q3773" t="n">
        <v>0</v>
      </c>
      <c r="R3773" t="n">
        <v>0</v>
      </c>
      <c r="S3773" t="n">
        <v>0</v>
      </c>
      <c r="T3773" t="n">
        <v>0</v>
      </c>
      <c r="U3773" t="n">
        <v>0</v>
      </c>
      <c r="V3773" s="2" t="inlineStr"/>
    </row>
    <row r="3774" ht="15" customHeight="1">
      <c r="A3774" t="inlineStr">
        <is>
          <t>A 48242-2023</t>
        </is>
      </c>
      <c r="B3774" t="inlineStr">
        <is>
          <t>avverkningsanmälan</t>
        </is>
      </c>
      <c r="C3774" t="inlineStr">
        <is>
          <t>Föryngringsavverkning</t>
        </is>
      </c>
      <c r="D3774" s="1" t="n">
        <v>45205</v>
      </c>
      <c r="E3774" s="1" t="n">
        <v>46323</v>
      </c>
      <c r="F3774" t="inlineStr">
        <is>
          <t>KALMAR LÄN</t>
        </is>
      </c>
      <c r="G3774" t="inlineStr">
        <is>
          <t>KALMAR</t>
        </is>
      </c>
      <c r="I3774" t="n">
        <v>0.3</v>
      </c>
      <c r="J3774" t="n">
        <v>0</v>
      </c>
      <c r="K3774" t="n">
        <v>0</v>
      </c>
      <c r="L3774" t="n">
        <v>0</v>
      </c>
      <c r="M3774" t="n">
        <v>0</v>
      </c>
      <c r="N3774" t="n">
        <v>0</v>
      </c>
      <c r="O3774" t="n">
        <v>0</v>
      </c>
      <c r="P3774" t="n">
        <v>0</v>
      </c>
      <c r="Q3774" t="n">
        <v>0</v>
      </c>
      <c r="R3774" t="n">
        <v>0</v>
      </c>
      <c r="S3774" t="n">
        <v>0</v>
      </c>
      <c r="T3774" t="n">
        <v>0</v>
      </c>
      <c r="U3774" t="n">
        <v>0</v>
      </c>
      <c r="V3774" s="2" t="inlineStr"/>
    </row>
    <row r="3775" ht="15" customHeight="1">
      <c r="A3775" t="inlineStr">
        <is>
          <t>A 63313-2025</t>
        </is>
      </c>
      <c r="B3775" t="inlineStr">
        <is>
          <t>avverkningsanmälan</t>
        </is>
      </c>
      <c r="C3775" t="inlineStr">
        <is>
          <t>Föryngringsavverkning</t>
        </is>
      </c>
      <c r="D3775" s="1" t="n">
        <v>46010</v>
      </c>
      <c r="E3775" s="1" t="n">
        <v>46323</v>
      </c>
      <c r="F3775" t="inlineStr">
        <is>
          <t>KALMAR LÄN</t>
        </is>
      </c>
      <c r="G3775" t="inlineStr">
        <is>
          <t>KALMAR</t>
        </is>
      </c>
      <c r="I3775" t="n">
        <v>2.6</v>
      </c>
      <c r="J3775" t="n">
        <v>0</v>
      </c>
      <c r="K3775" t="n">
        <v>0</v>
      </c>
      <c r="L3775" t="n">
        <v>0</v>
      </c>
      <c r="M3775" t="n">
        <v>0</v>
      </c>
      <c r="N3775" t="n">
        <v>0</v>
      </c>
      <c r="O3775" t="n">
        <v>0</v>
      </c>
      <c r="P3775" t="n">
        <v>0</v>
      </c>
      <c r="Q3775" t="n">
        <v>0</v>
      </c>
      <c r="R3775" t="n">
        <v>0</v>
      </c>
      <c r="S3775" t="n">
        <v>0</v>
      </c>
      <c r="T3775" t="n">
        <v>0</v>
      </c>
      <c r="U3775" t="n">
        <v>0</v>
      </c>
      <c r="V3775" s="2" t="inlineStr"/>
    </row>
    <row r="3776" ht="15" customHeight="1">
      <c r="A3776" t="inlineStr">
        <is>
          <t>A 43068-2023</t>
        </is>
      </c>
      <c r="B3776" t="inlineStr">
        <is>
          <t>avverkningsanmälan</t>
        </is>
      </c>
      <c r="C3776" t="inlineStr">
        <is>
          <t>Föryngringsavverkning</t>
        </is>
      </c>
      <c r="D3776" s="1" t="n">
        <v>45182</v>
      </c>
      <c r="E3776" s="1" t="n">
        <v>46323</v>
      </c>
      <c r="F3776" t="inlineStr">
        <is>
          <t>KALMAR LÄN</t>
        </is>
      </c>
      <c r="G3776" t="inlineStr">
        <is>
          <t>VIMMERBY</t>
        </is>
      </c>
      <c r="I3776" t="n">
        <v>1.5</v>
      </c>
      <c r="J3776" t="n">
        <v>0</v>
      </c>
      <c r="K3776" t="n">
        <v>0</v>
      </c>
      <c r="L3776" t="n">
        <v>0</v>
      </c>
      <c r="M3776" t="n">
        <v>0</v>
      </c>
      <c r="N3776" t="n">
        <v>0</v>
      </c>
      <c r="O3776" t="n">
        <v>0</v>
      </c>
      <c r="P3776" t="n">
        <v>0</v>
      </c>
      <c r="Q3776" t="n">
        <v>0</v>
      </c>
      <c r="R3776" t="n">
        <v>0</v>
      </c>
      <c r="S3776" t="n">
        <v>0</v>
      </c>
      <c r="T3776" t="n">
        <v>0</v>
      </c>
      <c r="U3776" t="n">
        <v>0</v>
      </c>
      <c r="V3776" s="2" t="inlineStr"/>
    </row>
    <row r="3777" ht="15" customHeight="1">
      <c r="A3777" t="inlineStr">
        <is>
          <t>A 60178-2025</t>
        </is>
      </c>
      <c r="B3777" t="inlineStr">
        <is>
          <t>avverkningsanmälan</t>
        </is>
      </c>
      <c r="C3777" t="inlineStr">
        <is>
          <t>Föryngringsavverkning</t>
        </is>
      </c>
      <c r="D3777" s="1" t="n">
        <v>45994</v>
      </c>
      <c r="E3777" s="1" t="n">
        <v>46323</v>
      </c>
      <c r="F3777" t="inlineStr">
        <is>
          <t>KALMAR LÄN</t>
        </is>
      </c>
      <c r="G3777" t="inlineStr">
        <is>
          <t>VÄSTERVIK</t>
        </is>
      </c>
      <c r="I3777" t="n">
        <v>1.4</v>
      </c>
      <c r="J3777" t="n">
        <v>0</v>
      </c>
      <c r="K3777" t="n">
        <v>0</v>
      </c>
      <c r="L3777" t="n">
        <v>0</v>
      </c>
      <c r="M3777" t="n">
        <v>0</v>
      </c>
      <c r="N3777" t="n">
        <v>0</v>
      </c>
      <c r="O3777" t="n">
        <v>0</v>
      </c>
      <c r="P3777" t="n">
        <v>0</v>
      </c>
      <c r="Q3777" t="n">
        <v>0</v>
      </c>
      <c r="R3777" t="n">
        <v>0</v>
      </c>
      <c r="S3777" t="n">
        <v>0</v>
      </c>
      <c r="T3777" t="n">
        <v>0</v>
      </c>
      <c r="U3777" t="n">
        <v>0</v>
      </c>
      <c r="V3777" s="2" t="inlineStr"/>
    </row>
    <row r="3778" ht="15" customHeight="1">
      <c r="A3778" t="inlineStr">
        <is>
          <t>A 48320-2023</t>
        </is>
      </c>
      <c r="B3778" t="inlineStr">
        <is>
          <t>avverkningsanmälan</t>
        </is>
      </c>
      <c r="C3778" t="inlineStr">
        <is>
          <t>Föryngringsavverkning</t>
        </is>
      </c>
      <c r="D3778" s="1" t="n">
        <v>45205</v>
      </c>
      <c r="E3778" s="1" t="n">
        <v>46323</v>
      </c>
      <c r="F3778" t="inlineStr">
        <is>
          <t>KALMAR LÄN</t>
        </is>
      </c>
      <c r="G3778" t="inlineStr">
        <is>
          <t>HULTSFRED</t>
        </is>
      </c>
      <c r="I3778" t="n">
        <v>0.8</v>
      </c>
      <c r="J3778" t="n">
        <v>0</v>
      </c>
      <c r="K3778" t="n">
        <v>0</v>
      </c>
      <c r="L3778" t="n">
        <v>0</v>
      </c>
      <c r="M3778" t="n">
        <v>0</v>
      </c>
      <c r="N3778" t="n">
        <v>0</v>
      </c>
      <c r="O3778" t="n">
        <v>0</v>
      </c>
      <c r="P3778" t="n">
        <v>0</v>
      </c>
      <c r="Q3778" t="n">
        <v>0</v>
      </c>
      <c r="R3778" t="n">
        <v>0</v>
      </c>
      <c r="S3778" t="n">
        <v>0</v>
      </c>
      <c r="T3778" t="n">
        <v>0</v>
      </c>
      <c r="U3778" t="n">
        <v>0</v>
      </c>
      <c r="V3778" s="2" t="inlineStr"/>
    </row>
    <row r="3779" ht="15" customHeight="1">
      <c r="A3779" t="inlineStr">
        <is>
          <t>A 17605-2023</t>
        </is>
      </c>
      <c r="B3779" t="inlineStr">
        <is>
          <t>avverkningsanmälan</t>
        </is>
      </c>
      <c r="C3779" t="inlineStr">
        <is>
          <t>Föryngringsavverkning</t>
        </is>
      </c>
      <c r="D3779" s="1" t="n">
        <v>45035</v>
      </c>
      <c r="E3779" s="1" t="n">
        <v>46323</v>
      </c>
      <c r="F3779" t="inlineStr">
        <is>
          <t>KALMAR LÄN</t>
        </is>
      </c>
      <c r="G3779" t="inlineStr">
        <is>
          <t>NYBRO</t>
        </is>
      </c>
      <c r="I3779" t="n">
        <v>15.1</v>
      </c>
      <c r="J3779" t="n">
        <v>0</v>
      </c>
      <c r="K3779" t="n">
        <v>0</v>
      </c>
      <c r="L3779" t="n">
        <v>0</v>
      </c>
      <c r="M3779" t="n">
        <v>0</v>
      </c>
      <c r="N3779" t="n">
        <v>0</v>
      </c>
      <c r="O3779" t="n">
        <v>0</v>
      </c>
      <c r="P3779" t="n">
        <v>0</v>
      </c>
      <c r="Q3779" t="n">
        <v>0</v>
      </c>
      <c r="R3779" t="n">
        <v>0</v>
      </c>
      <c r="S3779" t="n">
        <v>0</v>
      </c>
      <c r="T3779" t="n">
        <v>0</v>
      </c>
      <c r="U3779" t="n">
        <v>0</v>
      </c>
      <c r="V3779" s="2" t="inlineStr"/>
    </row>
    <row r="3780" ht="15" customHeight="1">
      <c r="A3780" t="inlineStr">
        <is>
          <t>A 39736-2023</t>
        </is>
      </c>
      <c r="B3780" t="inlineStr">
        <is>
          <t>avverkningsanmälan</t>
        </is>
      </c>
      <c r="C3780" t="inlineStr">
        <is>
          <t>Föryngringsavverkning</t>
        </is>
      </c>
      <c r="D3780" s="1" t="n">
        <v>45167</v>
      </c>
      <c r="E3780" s="1" t="n">
        <v>46323</v>
      </c>
      <c r="F3780" t="inlineStr">
        <is>
          <t>KALMAR LÄN</t>
        </is>
      </c>
      <c r="G3780" t="inlineStr">
        <is>
          <t>EMMABODA</t>
        </is>
      </c>
      <c r="I3780" t="n">
        <v>0.5</v>
      </c>
      <c r="J3780" t="n">
        <v>0</v>
      </c>
      <c r="K3780" t="n">
        <v>0</v>
      </c>
      <c r="L3780" t="n">
        <v>0</v>
      </c>
      <c r="M3780" t="n">
        <v>0</v>
      </c>
      <c r="N3780" t="n">
        <v>0</v>
      </c>
      <c r="O3780" t="n">
        <v>0</v>
      </c>
      <c r="P3780" t="n">
        <v>0</v>
      </c>
      <c r="Q3780" t="n">
        <v>0</v>
      </c>
      <c r="R3780" t="n">
        <v>0</v>
      </c>
      <c r="S3780" t="n">
        <v>0</v>
      </c>
      <c r="T3780" t="n">
        <v>0</v>
      </c>
      <c r="U3780" t="n">
        <v>0</v>
      </c>
      <c r="V3780" s="2" t="inlineStr"/>
    </row>
    <row r="3781" ht="15" customHeight="1">
      <c r="A3781" t="inlineStr">
        <is>
          <t>A 70315-2021</t>
        </is>
      </c>
      <c r="B3781" t="inlineStr">
        <is>
          <t>avverkningsanmälan</t>
        </is>
      </c>
      <c r="C3781" t="inlineStr">
        <is>
          <t>Föryngringsavverkning</t>
        </is>
      </c>
      <c r="D3781" s="1" t="n">
        <v>44536</v>
      </c>
      <c r="E3781" s="1" t="n">
        <v>46323</v>
      </c>
      <c r="F3781" t="inlineStr">
        <is>
          <t>KALMAR LÄN</t>
        </is>
      </c>
      <c r="G3781" t="inlineStr">
        <is>
          <t>TORSÅS</t>
        </is>
      </c>
      <c r="I3781" t="n">
        <v>3.3</v>
      </c>
      <c r="J3781" t="n">
        <v>0</v>
      </c>
      <c r="K3781" t="n">
        <v>0</v>
      </c>
      <c r="L3781" t="n">
        <v>0</v>
      </c>
      <c r="M3781" t="n">
        <v>0</v>
      </c>
      <c r="N3781" t="n">
        <v>0</v>
      </c>
      <c r="O3781" t="n">
        <v>0</v>
      </c>
      <c r="P3781" t="n">
        <v>0</v>
      </c>
      <c r="Q3781" t="n">
        <v>0</v>
      </c>
      <c r="R3781" t="n">
        <v>0</v>
      </c>
      <c r="S3781" t="n">
        <v>0</v>
      </c>
      <c r="T3781" t="n">
        <v>0</v>
      </c>
      <c r="U3781" t="n">
        <v>0</v>
      </c>
      <c r="V3781" s="2" t="inlineStr"/>
    </row>
    <row r="3782" ht="15" customHeight="1">
      <c r="A3782" t="inlineStr">
        <is>
          <t>A 62968-2025</t>
        </is>
      </c>
      <c r="B3782" t="inlineStr">
        <is>
          <t>avverkningsanmälan</t>
        </is>
      </c>
      <c r="C3782" t="inlineStr">
        <is>
          <t>Föryngringsavverkning</t>
        </is>
      </c>
      <c r="D3782" s="1" t="n">
        <v>46009</v>
      </c>
      <c r="E3782" s="1" t="n">
        <v>46323</v>
      </c>
      <c r="F3782" t="inlineStr">
        <is>
          <t>KALMAR LÄN</t>
        </is>
      </c>
      <c r="G3782" t="inlineStr">
        <is>
          <t>OSKARSHAMN</t>
        </is>
      </c>
      <c r="I3782" t="n">
        <v>2</v>
      </c>
      <c r="J3782" t="n">
        <v>0</v>
      </c>
      <c r="K3782" t="n">
        <v>0</v>
      </c>
      <c r="L3782" t="n">
        <v>0</v>
      </c>
      <c r="M3782" t="n">
        <v>0</v>
      </c>
      <c r="N3782" t="n">
        <v>0</v>
      </c>
      <c r="O3782" t="n">
        <v>0</v>
      </c>
      <c r="P3782" t="n">
        <v>0</v>
      </c>
      <c r="Q3782" t="n">
        <v>0</v>
      </c>
      <c r="R3782" t="n">
        <v>0</v>
      </c>
      <c r="S3782" t="n">
        <v>0</v>
      </c>
      <c r="T3782" t="n">
        <v>0</v>
      </c>
      <c r="U3782" t="n">
        <v>0</v>
      </c>
      <c r="V3782" s="2" t="inlineStr"/>
    </row>
    <row r="3783" ht="15" customHeight="1">
      <c r="A3783" t="inlineStr">
        <is>
          <t>A 63001-2025</t>
        </is>
      </c>
      <c r="B3783" t="inlineStr">
        <is>
          <t>avverkningsanmälan</t>
        </is>
      </c>
      <c r="C3783" t="inlineStr">
        <is>
          <t>Föryngringsavverkning</t>
        </is>
      </c>
      <c r="D3783" s="1" t="n">
        <v>46009</v>
      </c>
      <c r="E3783" s="1" t="n">
        <v>46323</v>
      </c>
      <c r="F3783" t="inlineStr">
        <is>
          <t>KALMAR LÄN</t>
        </is>
      </c>
      <c r="G3783" t="inlineStr">
        <is>
          <t>OSKARSHAMN</t>
        </is>
      </c>
      <c r="I3783" t="n">
        <v>10.7</v>
      </c>
      <c r="J3783" t="n">
        <v>0</v>
      </c>
      <c r="K3783" t="n">
        <v>0</v>
      </c>
      <c r="L3783" t="n">
        <v>0</v>
      </c>
      <c r="M3783" t="n">
        <v>0</v>
      </c>
      <c r="N3783" t="n">
        <v>0</v>
      </c>
      <c r="O3783" t="n">
        <v>0</v>
      </c>
      <c r="P3783" t="n">
        <v>0</v>
      </c>
      <c r="Q3783" t="n">
        <v>0</v>
      </c>
      <c r="R3783" t="n">
        <v>0</v>
      </c>
      <c r="S3783" t="n">
        <v>0</v>
      </c>
      <c r="T3783" t="n">
        <v>0</v>
      </c>
      <c r="U3783" t="n">
        <v>0</v>
      </c>
      <c r="V3783" s="2" t="inlineStr"/>
    </row>
    <row r="3784" ht="15" customHeight="1">
      <c r="A3784" t="inlineStr">
        <is>
          <t>A 11858-2025</t>
        </is>
      </c>
      <c r="B3784" t="inlineStr">
        <is>
          <t>avverkningsanmälan</t>
        </is>
      </c>
      <c r="C3784" t="inlineStr">
        <is>
          <t>Föryngringsavverkning</t>
        </is>
      </c>
      <c r="D3784" s="1" t="n">
        <v>45728</v>
      </c>
      <c r="E3784" s="1" t="n">
        <v>46323</v>
      </c>
      <c r="F3784" t="inlineStr">
        <is>
          <t>KALMAR LÄN</t>
        </is>
      </c>
      <c r="G3784" t="inlineStr">
        <is>
          <t>OSKARSHAMN</t>
        </is>
      </c>
      <c r="I3784" t="n">
        <v>1.4</v>
      </c>
      <c r="J3784" t="n">
        <v>0</v>
      </c>
      <c r="K3784" t="n">
        <v>0</v>
      </c>
      <c r="L3784" t="n">
        <v>0</v>
      </c>
      <c r="M3784" t="n">
        <v>0</v>
      </c>
      <c r="N3784" t="n">
        <v>0</v>
      </c>
      <c r="O3784" t="n">
        <v>0</v>
      </c>
      <c r="P3784" t="n">
        <v>0</v>
      </c>
      <c r="Q3784" t="n">
        <v>0</v>
      </c>
      <c r="R3784" t="n">
        <v>0</v>
      </c>
      <c r="S3784" t="n">
        <v>0</v>
      </c>
      <c r="T3784" t="n">
        <v>0</v>
      </c>
      <c r="U3784" t="n">
        <v>0</v>
      </c>
      <c r="V3784" s="2" t="inlineStr"/>
    </row>
    <row r="3785" ht="15" customHeight="1">
      <c r="A3785" t="inlineStr">
        <is>
          <t>A 5107-2024</t>
        </is>
      </c>
      <c r="B3785" t="inlineStr">
        <is>
          <t>avverkningsanmälan</t>
        </is>
      </c>
      <c r="C3785" t="inlineStr">
        <is>
          <t>Föryngringsavverkning</t>
        </is>
      </c>
      <c r="D3785" s="1" t="n">
        <v>45330</v>
      </c>
      <c r="E3785" s="1" t="n">
        <v>46323</v>
      </c>
      <c r="F3785" t="inlineStr">
        <is>
          <t>KALMAR LÄN</t>
        </is>
      </c>
      <c r="G3785" t="inlineStr">
        <is>
          <t>TORSÅS</t>
        </is>
      </c>
      <c r="I3785" t="n">
        <v>3.1</v>
      </c>
      <c r="J3785" t="n">
        <v>0</v>
      </c>
      <c r="K3785" t="n">
        <v>0</v>
      </c>
      <c r="L3785" t="n">
        <v>0</v>
      </c>
      <c r="M3785" t="n">
        <v>0</v>
      </c>
      <c r="N3785" t="n">
        <v>0</v>
      </c>
      <c r="O3785" t="n">
        <v>0</v>
      </c>
      <c r="P3785" t="n">
        <v>0</v>
      </c>
      <c r="Q3785" t="n">
        <v>0</v>
      </c>
      <c r="R3785" t="n">
        <v>0</v>
      </c>
      <c r="S3785" t="n">
        <v>0</v>
      </c>
      <c r="T3785" t="n">
        <v>0</v>
      </c>
      <c r="U3785" t="n">
        <v>0</v>
      </c>
      <c r="V3785" s="2" t="inlineStr"/>
    </row>
    <row r="3786" ht="15" customHeight="1">
      <c r="A3786" t="inlineStr">
        <is>
          <t>A 2184-2025</t>
        </is>
      </c>
      <c r="B3786" t="inlineStr">
        <is>
          <t>avverkningsanmälan</t>
        </is>
      </c>
      <c r="C3786" t="inlineStr">
        <is>
          <t>Föryngringsavverkning</t>
        </is>
      </c>
      <c r="D3786" s="1" t="n">
        <v>45673</v>
      </c>
      <c r="E3786" s="1" t="n">
        <v>46323</v>
      </c>
      <c r="F3786" t="inlineStr">
        <is>
          <t>KALMAR LÄN</t>
        </is>
      </c>
      <c r="G3786" t="inlineStr">
        <is>
          <t>NYBRO</t>
        </is>
      </c>
      <c r="I3786" t="n">
        <v>4.4</v>
      </c>
      <c r="J3786" t="n">
        <v>0</v>
      </c>
      <c r="K3786" t="n">
        <v>0</v>
      </c>
      <c r="L3786" t="n">
        <v>0</v>
      </c>
      <c r="M3786" t="n">
        <v>0</v>
      </c>
      <c r="N3786" t="n">
        <v>0</v>
      </c>
      <c r="O3786" t="n">
        <v>0</v>
      </c>
      <c r="P3786" t="n">
        <v>0</v>
      </c>
      <c r="Q3786" t="n">
        <v>0</v>
      </c>
      <c r="R3786" t="n">
        <v>0</v>
      </c>
      <c r="S3786" t="n">
        <v>0</v>
      </c>
      <c r="T3786" t="n">
        <v>0</v>
      </c>
      <c r="U3786" t="n">
        <v>0</v>
      </c>
      <c r="V3786" s="2" t="inlineStr"/>
    </row>
    <row r="3787" ht="15" customHeight="1">
      <c r="A3787" t="inlineStr">
        <is>
          <t>A 62931-2025</t>
        </is>
      </c>
      <c r="B3787" t="inlineStr">
        <is>
          <t>avverkningsanmälan</t>
        </is>
      </c>
      <c r="C3787" t="inlineStr">
        <is>
          <t>Föryngringsavverkning</t>
        </is>
      </c>
      <c r="D3787" s="1" t="n">
        <v>46009</v>
      </c>
      <c r="E3787" s="1" t="n">
        <v>46323</v>
      </c>
      <c r="F3787" t="inlineStr">
        <is>
          <t>KALMAR LÄN</t>
        </is>
      </c>
      <c r="G3787" t="inlineStr">
        <is>
          <t>OSKARSHAMN</t>
        </is>
      </c>
      <c r="I3787" t="n">
        <v>0.8</v>
      </c>
      <c r="J3787" t="n">
        <v>0</v>
      </c>
      <c r="K3787" t="n">
        <v>0</v>
      </c>
      <c r="L3787" t="n">
        <v>0</v>
      </c>
      <c r="M3787" t="n">
        <v>0</v>
      </c>
      <c r="N3787" t="n">
        <v>0</v>
      </c>
      <c r="O3787" t="n">
        <v>0</v>
      </c>
      <c r="P3787" t="n">
        <v>0</v>
      </c>
      <c r="Q3787" t="n">
        <v>0</v>
      </c>
      <c r="R3787" t="n">
        <v>0</v>
      </c>
      <c r="S3787" t="n">
        <v>0</v>
      </c>
      <c r="T3787" t="n">
        <v>0</v>
      </c>
      <c r="U3787" t="n">
        <v>0</v>
      </c>
      <c r="V3787" s="2" t="inlineStr"/>
    </row>
    <row r="3788" ht="15" customHeight="1">
      <c r="A3788" t="inlineStr">
        <is>
          <t>A 3758-2025</t>
        </is>
      </c>
      <c r="B3788" t="inlineStr">
        <is>
          <t>avverkningsanmälan</t>
        </is>
      </c>
      <c r="C3788" t="inlineStr">
        <is>
          <t>Föryngringsavverkning</t>
        </is>
      </c>
      <c r="D3788" s="1" t="n">
        <v>45681</v>
      </c>
      <c r="E3788" s="1" t="n">
        <v>46323</v>
      </c>
      <c r="F3788" t="inlineStr">
        <is>
          <t>KALMAR LÄN</t>
        </is>
      </c>
      <c r="G3788" t="inlineStr">
        <is>
          <t>HULTSFRED</t>
        </is>
      </c>
      <c r="I3788" t="n">
        <v>2.4</v>
      </c>
      <c r="J3788" t="n">
        <v>0</v>
      </c>
      <c r="K3788" t="n">
        <v>0</v>
      </c>
      <c r="L3788" t="n">
        <v>0</v>
      </c>
      <c r="M3788" t="n">
        <v>0</v>
      </c>
      <c r="N3788" t="n">
        <v>0</v>
      </c>
      <c r="O3788" t="n">
        <v>0</v>
      </c>
      <c r="P3788" t="n">
        <v>0</v>
      </c>
      <c r="Q3788" t="n">
        <v>0</v>
      </c>
      <c r="R3788" t="n">
        <v>0</v>
      </c>
      <c r="S3788" t="n">
        <v>0</v>
      </c>
      <c r="T3788" t="n">
        <v>0</v>
      </c>
      <c r="U3788" t="n">
        <v>0</v>
      </c>
      <c r="V3788" s="2" t="inlineStr"/>
    </row>
    <row r="3789" ht="15" customHeight="1">
      <c r="A3789" t="inlineStr">
        <is>
          <t>A 20287-2025</t>
        </is>
      </c>
      <c r="B3789" t="inlineStr">
        <is>
          <t>avverkningsanmälan</t>
        </is>
      </c>
      <c r="C3789" t="inlineStr">
        <is>
          <t>Avverkning för att bevara och utveckla /försöksver</t>
        </is>
      </c>
      <c r="D3789" s="1" t="n">
        <v>45774</v>
      </c>
      <c r="E3789" s="1" t="n">
        <v>46323</v>
      </c>
      <c r="F3789" t="inlineStr">
        <is>
          <t>KALMAR LÄN</t>
        </is>
      </c>
      <c r="G3789" t="inlineStr">
        <is>
          <t>BORGHOLM</t>
        </is>
      </c>
      <c r="I3789" t="n">
        <v>0.6</v>
      </c>
      <c r="J3789" t="n">
        <v>0</v>
      </c>
      <c r="K3789" t="n">
        <v>0</v>
      </c>
      <c r="L3789" t="n">
        <v>0</v>
      </c>
      <c r="M3789" t="n">
        <v>0</v>
      </c>
      <c r="N3789" t="n">
        <v>0</v>
      </c>
      <c r="O3789" t="n">
        <v>0</v>
      </c>
      <c r="P3789" t="n">
        <v>0</v>
      </c>
      <c r="Q3789" t="n">
        <v>0</v>
      </c>
      <c r="R3789" t="n">
        <v>0</v>
      </c>
      <c r="S3789" t="n">
        <v>0</v>
      </c>
      <c r="T3789" t="n">
        <v>0</v>
      </c>
      <c r="U3789" t="n">
        <v>0</v>
      </c>
      <c r="V3789" s="2" t="inlineStr"/>
    </row>
    <row r="3790" ht="15" customHeight="1">
      <c r="A3790" t="inlineStr">
        <is>
          <t>A 35515-2024</t>
        </is>
      </c>
      <c r="B3790" t="inlineStr">
        <is>
          <t>avverkningsanmälan</t>
        </is>
      </c>
      <c r="C3790" t="inlineStr">
        <is>
          <t>Föryngringsavverkning</t>
        </is>
      </c>
      <c r="D3790" s="1" t="n">
        <v>45531</v>
      </c>
      <c r="E3790" s="1" t="n">
        <v>46323</v>
      </c>
      <c r="F3790" t="inlineStr">
        <is>
          <t>KALMAR LÄN</t>
        </is>
      </c>
      <c r="G3790" t="inlineStr">
        <is>
          <t>KALMAR</t>
        </is>
      </c>
      <c r="I3790" t="n">
        <v>0.4</v>
      </c>
      <c r="J3790" t="n">
        <v>0</v>
      </c>
      <c r="K3790" t="n">
        <v>0</v>
      </c>
      <c r="L3790" t="n">
        <v>0</v>
      </c>
      <c r="M3790" t="n">
        <v>0</v>
      </c>
      <c r="N3790" t="n">
        <v>0</v>
      </c>
      <c r="O3790" t="n">
        <v>0</v>
      </c>
      <c r="P3790" t="n">
        <v>0</v>
      </c>
      <c r="Q3790" t="n">
        <v>0</v>
      </c>
      <c r="R3790" t="n">
        <v>0</v>
      </c>
      <c r="S3790" t="n">
        <v>0</v>
      </c>
      <c r="T3790" t="n">
        <v>0</v>
      </c>
      <c r="U3790" t="n">
        <v>0</v>
      </c>
      <c r="V3790" s="2" t="inlineStr"/>
    </row>
    <row r="3791" ht="15" customHeight="1">
      <c r="A3791" t="inlineStr">
        <is>
          <t>A 42740-2022</t>
        </is>
      </c>
      <c r="B3791" t="inlineStr">
        <is>
          <t>avverkningsanmälan</t>
        </is>
      </c>
      <c r="C3791" t="inlineStr">
        <is>
          <t>Föryngringsavverkning</t>
        </is>
      </c>
      <c r="D3791" s="1" t="n">
        <v>44832</v>
      </c>
      <c r="E3791" s="1" t="n">
        <v>46323</v>
      </c>
      <c r="F3791" t="inlineStr">
        <is>
          <t>KALMAR LÄN</t>
        </is>
      </c>
      <c r="G3791" t="inlineStr">
        <is>
          <t>NYBRO</t>
        </is>
      </c>
      <c r="H3791" t="inlineStr">
        <is>
          <t>Sveaskog</t>
        </is>
      </c>
      <c r="I3791" t="n">
        <v>2</v>
      </c>
      <c r="J3791" t="n">
        <v>0</v>
      </c>
      <c r="K3791" t="n">
        <v>0</v>
      </c>
      <c r="L3791" t="n">
        <v>0</v>
      </c>
      <c r="M3791" t="n">
        <v>0</v>
      </c>
      <c r="N3791" t="n">
        <v>0</v>
      </c>
      <c r="O3791" t="n">
        <v>0</v>
      </c>
      <c r="P3791" t="n">
        <v>0</v>
      </c>
      <c r="Q3791" t="n">
        <v>0</v>
      </c>
      <c r="R3791" t="n">
        <v>0</v>
      </c>
      <c r="S3791" t="n">
        <v>0</v>
      </c>
      <c r="T3791" t="n">
        <v>0</v>
      </c>
      <c r="U3791" t="n">
        <v>0</v>
      </c>
      <c r="V3791" s="2" t="inlineStr"/>
    </row>
    <row r="3792" ht="15" customHeight="1">
      <c r="A3792" t="inlineStr">
        <is>
          <t>A 1079-2024</t>
        </is>
      </c>
      <c r="B3792" t="inlineStr">
        <is>
          <t>avverkningsanmälan</t>
        </is>
      </c>
      <c r="C3792" t="inlineStr">
        <is>
          <t>Föryngringsavverkning</t>
        </is>
      </c>
      <c r="D3792" s="1" t="n">
        <v>45301</v>
      </c>
      <c r="E3792" s="1" t="n">
        <v>46323</v>
      </c>
      <c r="F3792" t="inlineStr">
        <is>
          <t>KALMAR LÄN</t>
        </is>
      </c>
      <c r="G3792" t="inlineStr">
        <is>
          <t>NYBRO</t>
        </is>
      </c>
      <c r="I3792" t="n">
        <v>4.4</v>
      </c>
      <c r="J3792" t="n">
        <v>0</v>
      </c>
      <c r="K3792" t="n">
        <v>0</v>
      </c>
      <c r="L3792" t="n">
        <v>0</v>
      </c>
      <c r="M3792" t="n">
        <v>0</v>
      </c>
      <c r="N3792" t="n">
        <v>0</v>
      </c>
      <c r="O3792" t="n">
        <v>0</v>
      </c>
      <c r="P3792" t="n">
        <v>0</v>
      </c>
      <c r="Q3792" t="n">
        <v>0</v>
      </c>
      <c r="R3792" t="n">
        <v>0</v>
      </c>
      <c r="S3792" t="n">
        <v>0</v>
      </c>
      <c r="T3792" t="n">
        <v>0</v>
      </c>
      <c r="U3792" t="n">
        <v>0</v>
      </c>
      <c r="V3792" s="2" t="inlineStr"/>
    </row>
    <row r="3793" ht="15" customHeight="1">
      <c r="A3793" t="inlineStr">
        <is>
          <t>A 53564-2023</t>
        </is>
      </c>
      <c r="B3793" t="inlineStr">
        <is>
          <t>avverkningsanmälan</t>
        </is>
      </c>
      <c r="C3793" t="inlineStr">
        <is>
          <t>Föryngringsavverkning</t>
        </is>
      </c>
      <c r="D3793" s="1" t="n">
        <v>45224</v>
      </c>
      <c r="E3793" s="1" t="n">
        <v>46323</v>
      </c>
      <c r="F3793" t="inlineStr">
        <is>
          <t>KALMAR LÄN</t>
        </is>
      </c>
      <c r="G3793" t="inlineStr">
        <is>
          <t>OSKARSHAMN</t>
        </is>
      </c>
      <c r="I3793" t="n">
        <v>5.3</v>
      </c>
      <c r="J3793" t="n">
        <v>0</v>
      </c>
      <c r="K3793" t="n">
        <v>0</v>
      </c>
      <c r="L3793" t="n">
        <v>0</v>
      </c>
      <c r="M3793" t="n">
        <v>0</v>
      </c>
      <c r="N3793" t="n">
        <v>0</v>
      </c>
      <c r="O3793" t="n">
        <v>0</v>
      </c>
      <c r="P3793" t="n">
        <v>0</v>
      </c>
      <c r="Q3793" t="n">
        <v>0</v>
      </c>
      <c r="R3793" t="n">
        <v>0</v>
      </c>
      <c r="S3793" t="n">
        <v>0</v>
      </c>
      <c r="T3793" t="n">
        <v>0</v>
      </c>
      <c r="U3793" t="n">
        <v>0</v>
      </c>
      <c r="V3793" s="2" t="inlineStr"/>
    </row>
    <row r="3794" ht="15" customHeight="1">
      <c r="A3794" t="inlineStr">
        <is>
          <t>A 40464-2023</t>
        </is>
      </c>
      <c r="B3794" t="inlineStr">
        <is>
          <t>avverkningsanmälan</t>
        </is>
      </c>
      <c r="C3794" t="inlineStr">
        <is>
          <t>Föryngringsavverkning</t>
        </is>
      </c>
      <c r="D3794" s="1" t="n">
        <v>45170</v>
      </c>
      <c r="E3794" s="1" t="n">
        <v>46323</v>
      </c>
      <c r="F3794" t="inlineStr">
        <is>
          <t>KALMAR LÄN</t>
        </is>
      </c>
      <c r="G3794" t="inlineStr">
        <is>
          <t>HÖGSBY</t>
        </is>
      </c>
      <c r="I3794" t="n">
        <v>1.7</v>
      </c>
      <c r="J3794" t="n">
        <v>0</v>
      </c>
      <c r="K3794" t="n">
        <v>0</v>
      </c>
      <c r="L3794" t="n">
        <v>0</v>
      </c>
      <c r="M3794" t="n">
        <v>0</v>
      </c>
      <c r="N3794" t="n">
        <v>0</v>
      </c>
      <c r="O3794" t="n">
        <v>0</v>
      </c>
      <c r="P3794" t="n">
        <v>0</v>
      </c>
      <c r="Q3794" t="n">
        <v>0</v>
      </c>
      <c r="R3794" t="n">
        <v>0</v>
      </c>
      <c r="S3794" t="n">
        <v>0</v>
      </c>
      <c r="T3794" t="n">
        <v>0</v>
      </c>
      <c r="U3794" t="n">
        <v>0</v>
      </c>
      <c r="V3794" s="2" t="inlineStr"/>
    </row>
    <row r="3795" ht="15" customHeight="1">
      <c r="A3795" t="inlineStr">
        <is>
          <t>A 39944-2023</t>
        </is>
      </c>
      <c r="B3795" t="inlineStr">
        <is>
          <t>avverkningsanmälan</t>
        </is>
      </c>
      <c r="C3795" t="inlineStr">
        <is>
          <t>Föryngringsavverkning</t>
        </is>
      </c>
      <c r="D3795" s="1" t="n">
        <v>45168</v>
      </c>
      <c r="E3795" s="1" t="n">
        <v>46323</v>
      </c>
      <c r="F3795" t="inlineStr">
        <is>
          <t>KALMAR LÄN</t>
        </is>
      </c>
      <c r="G3795" t="inlineStr">
        <is>
          <t>HULTSFRED</t>
        </is>
      </c>
      <c r="I3795" t="n">
        <v>1.2</v>
      </c>
      <c r="J3795" t="n">
        <v>0</v>
      </c>
      <c r="K3795" t="n">
        <v>0</v>
      </c>
      <c r="L3795" t="n">
        <v>0</v>
      </c>
      <c r="M3795" t="n">
        <v>0</v>
      </c>
      <c r="N3795" t="n">
        <v>0</v>
      </c>
      <c r="O3795" t="n">
        <v>0</v>
      </c>
      <c r="P3795" t="n">
        <v>0</v>
      </c>
      <c r="Q3795" t="n">
        <v>0</v>
      </c>
      <c r="R3795" t="n">
        <v>0</v>
      </c>
      <c r="S3795" t="n">
        <v>0</v>
      </c>
      <c r="T3795" t="n">
        <v>0</v>
      </c>
      <c r="U3795" t="n">
        <v>0</v>
      </c>
      <c r="V3795" s="2" t="inlineStr"/>
    </row>
    <row r="3796" ht="15" customHeight="1">
      <c r="A3796" t="inlineStr">
        <is>
          <t>A 58623-2025</t>
        </is>
      </c>
      <c r="B3796" t="inlineStr">
        <is>
          <t>avverkningsanmälan</t>
        </is>
      </c>
      <c r="C3796" t="inlineStr">
        <is>
          <t>Föryngringsavverkning</t>
        </is>
      </c>
      <c r="D3796" s="1" t="n">
        <v>45986</v>
      </c>
      <c r="E3796" s="1" t="n">
        <v>46323</v>
      </c>
      <c r="F3796" t="inlineStr">
        <is>
          <t>KALMAR LÄN</t>
        </is>
      </c>
      <c r="G3796" t="inlineStr">
        <is>
          <t>EMMABODA</t>
        </is>
      </c>
      <c r="I3796" t="n">
        <v>1</v>
      </c>
      <c r="J3796" t="n">
        <v>0</v>
      </c>
      <c r="K3796" t="n">
        <v>0</v>
      </c>
      <c r="L3796" t="n">
        <v>0</v>
      </c>
      <c r="M3796" t="n">
        <v>0</v>
      </c>
      <c r="N3796" t="n">
        <v>0</v>
      </c>
      <c r="O3796" t="n">
        <v>0</v>
      </c>
      <c r="P3796" t="n">
        <v>0</v>
      </c>
      <c r="Q3796" t="n">
        <v>0</v>
      </c>
      <c r="R3796" t="n">
        <v>0</v>
      </c>
      <c r="S3796" t="n">
        <v>0</v>
      </c>
      <c r="T3796" t="n">
        <v>0</v>
      </c>
      <c r="U3796" t="n">
        <v>0</v>
      </c>
      <c r="V3796" s="2" t="inlineStr"/>
    </row>
    <row r="3797" ht="15" customHeight="1">
      <c r="A3797" t="inlineStr">
        <is>
          <t>A 62918-2025</t>
        </is>
      </c>
      <c r="B3797" t="inlineStr">
        <is>
          <t>avverkningsanmälan</t>
        </is>
      </c>
      <c r="C3797" t="inlineStr">
        <is>
          <t>Föryngringsavverkning</t>
        </is>
      </c>
      <c r="D3797" s="1" t="n">
        <v>46009</v>
      </c>
      <c r="E3797" s="1" t="n">
        <v>46323</v>
      </c>
      <c r="F3797" t="inlineStr">
        <is>
          <t>KALMAR LÄN</t>
        </is>
      </c>
      <c r="G3797" t="inlineStr">
        <is>
          <t>HÖGSBY</t>
        </is>
      </c>
      <c r="I3797" t="n">
        <v>2.4</v>
      </c>
      <c r="J3797" t="n">
        <v>0</v>
      </c>
      <c r="K3797" t="n">
        <v>0</v>
      </c>
      <c r="L3797" t="n">
        <v>0</v>
      </c>
      <c r="M3797" t="n">
        <v>0</v>
      </c>
      <c r="N3797" t="n">
        <v>0</v>
      </c>
      <c r="O3797" t="n">
        <v>0</v>
      </c>
      <c r="P3797" t="n">
        <v>0</v>
      </c>
      <c r="Q3797" t="n">
        <v>0</v>
      </c>
      <c r="R3797" t="n">
        <v>0</v>
      </c>
      <c r="S3797" t="n">
        <v>0</v>
      </c>
      <c r="T3797" t="n">
        <v>0</v>
      </c>
      <c r="U3797" t="n">
        <v>0</v>
      </c>
      <c r="V3797" s="2" t="inlineStr"/>
    </row>
    <row r="3798" ht="15" customHeight="1">
      <c r="A3798" t="inlineStr">
        <is>
          <t>A 29289-2023</t>
        </is>
      </c>
      <c r="B3798" t="inlineStr">
        <is>
          <t>avverkningsanmälan</t>
        </is>
      </c>
      <c r="C3798" t="inlineStr">
        <is>
          <t>Föryngringsavverkning</t>
        </is>
      </c>
      <c r="D3798" s="1" t="n">
        <v>45098</v>
      </c>
      <c r="E3798" s="1" t="n">
        <v>46323</v>
      </c>
      <c r="F3798" t="inlineStr">
        <is>
          <t>KALMAR LÄN</t>
        </is>
      </c>
      <c r="G3798" t="inlineStr">
        <is>
          <t>NYBRO</t>
        </is>
      </c>
      <c r="I3798" t="n">
        <v>0.8</v>
      </c>
      <c r="J3798" t="n">
        <v>0</v>
      </c>
      <c r="K3798" t="n">
        <v>0</v>
      </c>
      <c r="L3798" t="n">
        <v>0</v>
      </c>
      <c r="M3798" t="n">
        <v>0</v>
      </c>
      <c r="N3798" t="n">
        <v>0</v>
      </c>
      <c r="O3798" t="n">
        <v>0</v>
      </c>
      <c r="P3798" t="n">
        <v>0</v>
      </c>
      <c r="Q3798" t="n">
        <v>0</v>
      </c>
      <c r="R3798" t="n">
        <v>0</v>
      </c>
      <c r="S3798" t="n">
        <v>0</v>
      </c>
      <c r="T3798" t="n">
        <v>0</v>
      </c>
      <c r="U3798" t="n">
        <v>0</v>
      </c>
      <c r="V3798" s="2" t="inlineStr"/>
    </row>
    <row r="3799" ht="15" customHeight="1">
      <c r="A3799" t="inlineStr">
        <is>
          <t>A 19932-2023</t>
        </is>
      </c>
      <c r="B3799" t="inlineStr">
        <is>
          <t>avverkningsanmälan</t>
        </is>
      </c>
      <c r="C3799" t="inlineStr">
        <is>
          <t>Föryngringsavverkning</t>
        </is>
      </c>
      <c r="D3799" s="1" t="n">
        <v>45054</v>
      </c>
      <c r="E3799" s="1" t="n">
        <v>46323</v>
      </c>
      <c r="F3799" t="inlineStr">
        <is>
          <t>KALMAR LÄN</t>
        </is>
      </c>
      <c r="G3799" t="inlineStr">
        <is>
          <t>HULTSFRED</t>
        </is>
      </c>
      <c r="I3799" t="n">
        <v>1.2</v>
      </c>
      <c r="J3799" t="n">
        <v>0</v>
      </c>
      <c r="K3799" t="n">
        <v>0</v>
      </c>
      <c r="L3799" t="n">
        <v>0</v>
      </c>
      <c r="M3799" t="n">
        <v>0</v>
      </c>
      <c r="N3799" t="n">
        <v>0</v>
      </c>
      <c r="O3799" t="n">
        <v>0</v>
      </c>
      <c r="P3799" t="n">
        <v>0</v>
      </c>
      <c r="Q3799" t="n">
        <v>0</v>
      </c>
      <c r="R3799" t="n">
        <v>0</v>
      </c>
      <c r="S3799" t="n">
        <v>0</v>
      </c>
      <c r="T3799" t="n">
        <v>0</v>
      </c>
      <c r="U3799" t="n">
        <v>0</v>
      </c>
      <c r="V3799" s="2" t="inlineStr"/>
    </row>
    <row r="3800" ht="15" customHeight="1">
      <c r="A3800" t="inlineStr">
        <is>
          <t>A 12075-2024</t>
        </is>
      </c>
      <c r="B3800" t="inlineStr">
        <is>
          <t>avverkningsanmälan</t>
        </is>
      </c>
      <c r="C3800" t="inlineStr">
        <is>
          <t>Föryngringsavverkning</t>
        </is>
      </c>
      <c r="D3800" s="1" t="n">
        <v>45377</v>
      </c>
      <c r="E3800" s="1" t="n">
        <v>46323</v>
      </c>
      <c r="F3800" t="inlineStr">
        <is>
          <t>KALMAR LÄN</t>
        </is>
      </c>
      <c r="G3800" t="inlineStr">
        <is>
          <t>VIMMERBY</t>
        </is>
      </c>
      <c r="I3800" t="n">
        <v>3.7</v>
      </c>
      <c r="J3800" t="n">
        <v>0</v>
      </c>
      <c r="K3800" t="n">
        <v>0</v>
      </c>
      <c r="L3800" t="n">
        <v>0</v>
      </c>
      <c r="M3800" t="n">
        <v>0</v>
      </c>
      <c r="N3800" t="n">
        <v>0</v>
      </c>
      <c r="O3800" t="n">
        <v>0</v>
      </c>
      <c r="P3800" t="n">
        <v>0</v>
      </c>
      <c r="Q3800" t="n">
        <v>0</v>
      </c>
      <c r="R3800" t="n">
        <v>0</v>
      </c>
      <c r="S3800" t="n">
        <v>0</v>
      </c>
      <c r="T3800" t="n">
        <v>0</v>
      </c>
      <c r="U3800" t="n">
        <v>0</v>
      </c>
      <c r="V3800" s="2" t="inlineStr"/>
    </row>
    <row r="3801" ht="15" customHeight="1">
      <c r="A3801" t="inlineStr">
        <is>
          <t>A 56972-2024</t>
        </is>
      </c>
      <c r="B3801" t="inlineStr">
        <is>
          <t>avverkningsanmälan</t>
        </is>
      </c>
      <c r="C3801" t="inlineStr">
        <is>
          <t>Föryngringsavverkning</t>
        </is>
      </c>
      <c r="D3801" s="1" t="n">
        <v>45625</v>
      </c>
      <c r="E3801" s="1" t="n">
        <v>46323</v>
      </c>
      <c r="F3801" t="inlineStr">
        <is>
          <t>KALMAR LÄN</t>
        </is>
      </c>
      <c r="G3801" t="inlineStr">
        <is>
          <t>NYBRO</t>
        </is>
      </c>
      <c r="I3801" t="n">
        <v>3.8</v>
      </c>
      <c r="J3801" t="n">
        <v>0</v>
      </c>
      <c r="K3801" t="n">
        <v>0</v>
      </c>
      <c r="L3801" t="n">
        <v>0</v>
      </c>
      <c r="M3801" t="n">
        <v>0</v>
      </c>
      <c r="N3801" t="n">
        <v>0</v>
      </c>
      <c r="O3801" t="n">
        <v>0</v>
      </c>
      <c r="P3801" t="n">
        <v>0</v>
      </c>
      <c r="Q3801" t="n">
        <v>0</v>
      </c>
      <c r="R3801" t="n">
        <v>0</v>
      </c>
      <c r="S3801" t="n">
        <v>0</v>
      </c>
      <c r="T3801" t="n">
        <v>0</v>
      </c>
      <c r="U3801" t="n">
        <v>0</v>
      </c>
      <c r="V3801" s="2" t="inlineStr"/>
    </row>
    <row r="3802" ht="15" customHeight="1">
      <c r="A3802" t="inlineStr">
        <is>
          <t>A 60435-2025</t>
        </is>
      </c>
      <c r="B3802" t="inlineStr">
        <is>
          <t>avverkningsanmälan</t>
        </is>
      </c>
      <c r="C3802" t="inlineStr">
        <is>
          <t>Föryngringsavverkning</t>
        </is>
      </c>
      <c r="D3802" s="1" t="n">
        <v>45995</v>
      </c>
      <c r="E3802" s="1" t="n">
        <v>46323</v>
      </c>
      <c r="F3802" t="inlineStr">
        <is>
          <t>KALMAR LÄN</t>
        </is>
      </c>
      <c r="G3802" t="inlineStr">
        <is>
          <t>HULTSFRED</t>
        </is>
      </c>
      <c r="I3802" t="n">
        <v>2.8</v>
      </c>
      <c r="J3802" t="n">
        <v>0</v>
      </c>
      <c r="K3802" t="n">
        <v>0</v>
      </c>
      <c r="L3802" t="n">
        <v>0</v>
      </c>
      <c r="M3802" t="n">
        <v>0</v>
      </c>
      <c r="N3802" t="n">
        <v>0</v>
      </c>
      <c r="O3802" t="n">
        <v>0</v>
      </c>
      <c r="P3802" t="n">
        <v>0</v>
      </c>
      <c r="Q3802" t="n">
        <v>0</v>
      </c>
      <c r="R3802" t="n">
        <v>0</v>
      </c>
      <c r="S3802" t="n">
        <v>0</v>
      </c>
      <c r="T3802" t="n">
        <v>0</v>
      </c>
      <c r="U3802" t="n">
        <v>0</v>
      </c>
      <c r="V3802" s="2" t="inlineStr"/>
    </row>
    <row r="3803" ht="15" customHeight="1">
      <c r="A3803" t="inlineStr">
        <is>
          <t>A 18055-2024</t>
        </is>
      </c>
      <c r="B3803" t="inlineStr">
        <is>
          <t>avverkningsanmälan</t>
        </is>
      </c>
      <c r="C3803" t="inlineStr">
        <is>
          <t>Föryngringsavverkning</t>
        </is>
      </c>
      <c r="D3803" s="1" t="n">
        <v>45420</v>
      </c>
      <c r="E3803" s="1" t="n">
        <v>46323</v>
      </c>
      <c r="F3803" t="inlineStr">
        <is>
          <t>KALMAR LÄN</t>
        </is>
      </c>
      <c r="G3803" t="inlineStr">
        <is>
          <t>HULTSFRED</t>
        </is>
      </c>
      <c r="I3803" t="n">
        <v>0.9</v>
      </c>
      <c r="J3803" t="n">
        <v>0</v>
      </c>
      <c r="K3803" t="n">
        <v>0</v>
      </c>
      <c r="L3803" t="n">
        <v>0</v>
      </c>
      <c r="M3803" t="n">
        <v>0</v>
      </c>
      <c r="N3803" t="n">
        <v>0</v>
      </c>
      <c r="O3803" t="n">
        <v>0</v>
      </c>
      <c r="P3803" t="n">
        <v>0</v>
      </c>
      <c r="Q3803" t="n">
        <v>0</v>
      </c>
      <c r="R3803" t="n">
        <v>0</v>
      </c>
      <c r="S3803" t="n">
        <v>0</v>
      </c>
      <c r="T3803" t="n">
        <v>0</v>
      </c>
      <c r="U3803" t="n">
        <v>0</v>
      </c>
      <c r="V3803" s="2" t="inlineStr"/>
    </row>
    <row r="3804" ht="15" customHeight="1">
      <c r="A3804" t="inlineStr">
        <is>
          <t>A 34956-2024</t>
        </is>
      </c>
      <c r="B3804" t="inlineStr">
        <is>
          <t>avverkningsanmälan</t>
        </is>
      </c>
      <c r="C3804" t="inlineStr">
        <is>
          <t>Föryngringsavverkning</t>
        </is>
      </c>
      <c r="D3804" s="1" t="n">
        <v>45527</v>
      </c>
      <c r="E3804" s="1" t="n">
        <v>46323</v>
      </c>
      <c r="F3804" t="inlineStr">
        <is>
          <t>KALMAR LÄN</t>
        </is>
      </c>
      <c r="G3804" t="inlineStr">
        <is>
          <t>TORSÅS</t>
        </is>
      </c>
      <c r="I3804" t="n">
        <v>3</v>
      </c>
      <c r="J3804" t="n">
        <v>0</v>
      </c>
      <c r="K3804" t="n">
        <v>0</v>
      </c>
      <c r="L3804" t="n">
        <v>0</v>
      </c>
      <c r="M3804" t="n">
        <v>0</v>
      </c>
      <c r="N3804" t="n">
        <v>0</v>
      </c>
      <c r="O3804" t="n">
        <v>0</v>
      </c>
      <c r="P3804" t="n">
        <v>0</v>
      </c>
      <c r="Q3804" t="n">
        <v>0</v>
      </c>
      <c r="R3804" t="n">
        <v>0</v>
      </c>
      <c r="S3804" t="n">
        <v>0</v>
      </c>
      <c r="T3804" t="n">
        <v>0</v>
      </c>
      <c r="U3804" t="n">
        <v>0</v>
      </c>
      <c r="V3804" s="2" t="inlineStr"/>
    </row>
    <row r="3805" ht="15" customHeight="1">
      <c r="A3805" t="inlineStr">
        <is>
          <t>A 50905-2023</t>
        </is>
      </c>
      <c r="B3805" t="inlineStr">
        <is>
          <t>avverkningsanmälan</t>
        </is>
      </c>
      <c r="C3805" t="inlineStr">
        <is>
          <t>Föryngringsavverkning</t>
        </is>
      </c>
      <c r="D3805" s="1" t="n">
        <v>45218</v>
      </c>
      <c r="E3805" s="1" t="n">
        <v>46323</v>
      </c>
      <c r="F3805" t="inlineStr">
        <is>
          <t>KALMAR LÄN</t>
        </is>
      </c>
      <c r="G3805" t="inlineStr">
        <is>
          <t>NYBRO</t>
        </is>
      </c>
      <c r="I3805" t="n">
        <v>1.3</v>
      </c>
      <c r="J3805" t="n">
        <v>0</v>
      </c>
      <c r="K3805" t="n">
        <v>0</v>
      </c>
      <c r="L3805" t="n">
        <v>0</v>
      </c>
      <c r="M3805" t="n">
        <v>0</v>
      </c>
      <c r="N3805" t="n">
        <v>0</v>
      </c>
      <c r="O3805" t="n">
        <v>0</v>
      </c>
      <c r="P3805" t="n">
        <v>0</v>
      </c>
      <c r="Q3805" t="n">
        <v>0</v>
      </c>
      <c r="R3805" t="n">
        <v>0</v>
      </c>
      <c r="S3805" t="n">
        <v>0</v>
      </c>
      <c r="T3805" t="n">
        <v>0</v>
      </c>
      <c r="U3805" t="n">
        <v>0</v>
      </c>
      <c r="V3805" s="2" t="inlineStr"/>
    </row>
    <row r="3806" ht="15" customHeight="1">
      <c r="A3806" t="inlineStr">
        <is>
          <t>A 21824-2023</t>
        </is>
      </c>
      <c r="B3806" t="inlineStr">
        <is>
          <t>avverkningsanmälan</t>
        </is>
      </c>
      <c r="C3806" t="inlineStr">
        <is>
          <t>Föryngringsavverkning</t>
        </is>
      </c>
      <c r="D3806" s="1" t="n">
        <v>45068</v>
      </c>
      <c r="E3806" s="1" t="n">
        <v>46323</v>
      </c>
      <c r="F3806" t="inlineStr">
        <is>
          <t>KALMAR LÄN</t>
        </is>
      </c>
      <c r="G3806" t="inlineStr">
        <is>
          <t>VÄSTERVIK</t>
        </is>
      </c>
      <c r="I3806" t="n">
        <v>1.7</v>
      </c>
      <c r="J3806" t="n">
        <v>0</v>
      </c>
      <c r="K3806" t="n">
        <v>0</v>
      </c>
      <c r="L3806" t="n">
        <v>0</v>
      </c>
      <c r="M3806" t="n">
        <v>0</v>
      </c>
      <c r="N3806" t="n">
        <v>0</v>
      </c>
      <c r="O3806" t="n">
        <v>0</v>
      </c>
      <c r="P3806" t="n">
        <v>0</v>
      </c>
      <c r="Q3806" t="n">
        <v>0</v>
      </c>
      <c r="R3806" t="n">
        <v>0</v>
      </c>
      <c r="S3806" t="n">
        <v>0</v>
      </c>
      <c r="T3806" t="n">
        <v>0</v>
      </c>
      <c r="U3806" t="n">
        <v>0</v>
      </c>
      <c r="V3806" s="2" t="inlineStr"/>
    </row>
    <row r="3807" ht="15" customHeight="1">
      <c r="A3807" t="inlineStr">
        <is>
          <t>A 29491-2024</t>
        </is>
      </c>
      <c r="B3807" t="inlineStr">
        <is>
          <t>avverkningsanmälan</t>
        </is>
      </c>
      <c r="C3807" t="inlineStr">
        <is>
          <t>Föryngringsavverkning</t>
        </is>
      </c>
      <c r="D3807" s="1" t="n">
        <v>45484</v>
      </c>
      <c r="E3807" s="1" t="n">
        <v>46323</v>
      </c>
      <c r="F3807" t="inlineStr">
        <is>
          <t>KALMAR LÄN</t>
        </is>
      </c>
      <c r="G3807" t="inlineStr">
        <is>
          <t>EMMABODA</t>
        </is>
      </c>
      <c r="I3807" t="n">
        <v>1.7</v>
      </c>
      <c r="J3807" t="n">
        <v>0</v>
      </c>
      <c r="K3807" t="n">
        <v>0</v>
      </c>
      <c r="L3807" t="n">
        <v>0</v>
      </c>
      <c r="M3807" t="n">
        <v>0</v>
      </c>
      <c r="N3807" t="n">
        <v>0</v>
      </c>
      <c r="O3807" t="n">
        <v>0</v>
      </c>
      <c r="P3807" t="n">
        <v>0</v>
      </c>
      <c r="Q3807" t="n">
        <v>0</v>
      </c>
      <c r="R3807" t="n">
        <v>0</v>
      </c>
      <c r="S3807" t="n">
        <v>0</v>
      </c>
      <c r="T3807" t="n">
        <v>0</v>
      </c>
      <c r="U3807" t="n">
        <v>0</v>
      </c>
      <c r="V3807" s="2" t="inlineStr"/>
    </row>
    <row r="3808" ht="15" customHeight="1">
      <c r="A3808" t="inlineStr">
        <is>
          <t>A 30076-2024</t>
        </is>
      </c>
      <c r="B3808" t="inlineStr">
        <is>
          <t>avverkningsanmälan</t>
        </is>
      </c>
      <c r="C3808" t="inlineStr">
        <is>
          <t>Föryngringsavverkning</t>
        </is>
      </c>
      <c r="D3808" s="1" t="n">
        <v>45489</v>
      </c>
      <c r="E3808" s="1" t="n">
        <v>46323</v>
      </c>
      <c r="F3808" t="inlineStr">
        <is>
          <t>KALMAR LÄN</t>
        </is>
      </c>
      <c r="G3808" t="inlineStr">
        <is>
          <t>NYBRO</t>
        </is>
      </c>
      <c r="I3808" t="n">
        <v>5.6</v>
      </c>
      <c r="J3808" t="n">
        <v>0</v>
      </c>
      <c r="K3808" t="n">
        <v>0</v>
      </c>
      <c r="L3808" t="n">
        <v>0</v>
      </c>
      <c r="M3808" t="n">
        <v>0</v>
      </c>
      <c r="N3808" t="n">
        <v>0</v>
      </c>
      <c r="O3808" t="n">
        <v>0</v>
      </c>
      <c r="P3808" t="n">
        <v>0</v>
      </c>
      <c r="Q3808" t="n">
        <v>0</v>
      </c>
      <c r="R3808" t="n">
        <v>0</v>
      </c>
      <c r="S3808" t="n">
        <v>0</v>
      </c>
      <c r="T3808" t="n">
        <v>0</v>
      </c>
      <c r="U3808" t="n">
        <v>0</v>
      </c>
      <c r="V3808" s="2" t="inlineStr"/>
    </row>
    <row r="3809" ht="15" customHeight="1">
      <c r="A3809" t="inlineStr">
        <is>
          <t>A 25699-2023</t>
        </is>
      </c>
      <c r="B3809" t="inlineStr">
        <is>
          <t>avverkningsanmälan</t>
        </is>
      </c>
      <c r="C3809" t="inlineStr">
        <is>
          <t>Föryngringsavverkning</t>
        </is>
      </c>
      <c r="D3809" s="1" t="n">
        <v>45090</v>
      </c>
      <c r="E3809" s="1" t="n">
        <v>46323</v>
      </c>
      <c r="F3809" t="inlineStr">
        <is>
          <t>KALMAR LÄN</t>
        </is>
      </c>
      <c r="G3809" t="inlineStr">
        <is>
          <t>KALMAR</t>
        </is>
      </c>
      <c r="I3809" t="n">
        <v>1.4</v>
      </c>
      <c r="J3809" t="n">
        <v>0</v>
      </c>
      <c r="K3809" t="n">
        <v>0</v>
      </c>
      <c r="L3809" t="n">
        <v>0</v>
      </c>
      <c r="M3809" t="n">
        <v>0</v>
      </c>
      <c r="N3809" t="n">
        <v>0</v>
      </c>
      <c r="O3809" t="n">
        <v>0</v>
      </c>
      <c r="P3809" t="n">
        <v>0</v>
      </c>
      <c r="Q3809" t="n">
        <v>0</v>
      </c>
      <c r="R3809" t="n">
        <v>0</v>
      </c>
      <c r="S3809" t="n">
        <v>0</v>
      </c>
      <c r="T3809" t="n">
        <v>0</v>
      </c>
      <c r="U3809" t="n">
        <v>0</v>
      </c>
      <c r="V3809" s="2" t="inlineStr"/>
    </row>
    <row r="3810" ht="15" customHeight="1">
      <c r="A3810" t="inlineStr">
        <is>
          <t>A 25700-2023</t>
        </is>
      </c>
      <c r="B3810" t="inlineStr">
        <is>
          <t>avverkningsanmälan</t>
        </is>
      </c>
      <c r="C3810" t="inlineStr">
        <is>
          <t>Föryngringsavverkning</t>
        </is>
      </c>
      <c r="D3810" s="1" t="n">
        <v>45090</v>
      </c>
      <c r="E3810" s="1" t="n">
        <v>46323</v>
      </c>
      <c r="F3810" t="inlineStr">
        <is>
          <t>KALMAR LÄN</t>
        </is>
      </c>
      <c r="G3810" t="inlineStr">
        <is>
          <t>KALMAR</t>
        </is>
      </c>
      <c r="I3810" t="n">
        <v>0</v>
      </c>
      <c r="J3810" t="n">
        <v>0</v>
      </c>
      <c r="K3810" t="n">
        <v>0</v>
      </c>
      <c r="L3810" t="n">
        <v>0</v>
      </c>
      <c r="M3810" t="n">
        <v>0</v>
      </c>
      <c r="N3810" t="n">
        <v>0</v>
      </c>
      <c r="O3810" t="n">
        <v>0</v>
      </c>
      <c r="P3810" t="n">
        <v>0</v>
      </c>
      <c r="Q3810" t="n">
        <v>0</v>
      </c>
      <c r="R3810" t="n">
        <v>0</v>
      </c>
      <c r="S3810" t="n">
        <v>0</v>
      </c>
      <c r="T3810" t="n">
        <v>0</v>
      </c>
      <c r="U3810" t="n">
        <v>0</v>
      </c>
      <c r="V3810" s="2" t="inlineStr"/>
    </row>
    <row r="3811" ht="15" customHeight="1">
      <c r="A3811" t="inlineStr">
        <is>
          <t>A 40334-2023</t>
        </is>
      </c>
      <c r="B3811" t="inlineStr">
        <is>
          <t>avverkningsanmälan</t>
        </is>
      </c>
      <c r="C3811" t="inlineStr">
        <is>
          <t>Föryngringsavverkning</t>
        </is>
      </c>
      <c r="D3811" s="1" t="n">
        <v>45169</v>
      </c>
      <c r="E3811" s="1" t="n">
        <v>46323</v>
      </c>
      <c r="F3811" t="inlineStr">
        <is>
          <t>KALMAR LÄN</t>
        </is>
      </c>
      <c r="G3811" t="inlineStr">
        <is>
          <t>HULTSFRED</t>
        </is>
      </c>
      <c r="I3811" t="n">
        <v>0.5</v>
      </c>
      <c r="J3811" t="n">
        <v>0</v>
      </c>
      <c r="K3811" t="n">
        <v>0</v>
      </c>
      <c r="L3811" t="n">
        <v>0</v>
      </c>
      <c r="M3811" t="n">
        <v>0</v>
      </c>
      <c r="N3811" t="n">
        <v>0</v>
      </c>
      <c r="O3811" t="n">
        <v>0</v>
      </c>
      <c r="P3811" t="n">
        <v>0</v>
      </c>
      <c r="Q3811" t="n">
        <v>0</v>
      </c>
      <c r="R3811" t="n">
        <v>0</v>
      </c>
      <c r="S3811" t="n">
        <v>0</v>
      </c>
      <c r="T3811" t="n">
        <v>0</v>
      </c>
      <c r="U3811" t="n">
        <v>0</v>
      </c>
      <c r="V3811" s="2" t="inlineStr"/>
    </row>
    <row r="3812" ht="15" customHeight="1">
      <c r="A3812" t="inlineStr">
        <is>
          <t>A 6560-2024</t>
        </is>
      </c>
      <c r="B3812" t="inlineStr">
        <is>
          <t>avverkningsanmälan</t>
        </is>
      </c>
      <c r="C3812" t="inlineStr">
        <is>
          <t>Föryngringsavverkning</t>
        </is>
      </c>
      <c r="D3812" s="1" t="n">
        <v>45341</v>
      </c>
      <c r="E3812" s="1" t="n">
        <v>46323</v>
      </c>
      <c r="F3812" t="inlineStr">
        <is>
          <t>KALMAR LÄN</t>
        </is>
      </c>
      <c r="G3812" t="inlineStr">
        <is>
          <t>HULTSFRED</t>
        </is>
      </c>
      <c r="I3812" t="n">
        <v>0.5</v>
      </c>
      <c r="J3812" t="n">
        <v>0</v>
      </c>
      <c r="K3812" t="n">
        <v>0</v>
      </c>
      <c r="L3812" t="n">
        <v>0</v>
      </c>
      <c r="M3812" t="n">
        <v>0</v>
      </c>
      <c r="N3812" t="n">
        <v>0</v>
      </c>
      <c r="O3812" t="n">
        <v>0</v>
      </c>
      <c r="P3812" t="n">
        <v>0</v>
      </c>
      <c r="Q3812" t="n">
        <v>0</v>
      </c>
      <c r="R3812" t="n">
        <v>0</v>
      </c>
      <c r="S3812" t="n">
        <v>0</v>
      </c>
      <c r="T3812" t="n">
        <v>0</v>
      </c>
      <c r="U3812" t="n">
        <v>0</v>
      </c>
      <c r="V3812" s="2" t="inlineStr"/>
    </row>
    <row r="3813" ht="15" customHeight="1">
      <c r="A3813" t="inlineStr">
        <is>
          <t>A 54747-2024</t>
        </is>
      </c>
      <c r="B3813" t="inlineStr">
        <is>
          <t>avverkningsanmälan</t>
        </is>
      </c>
      <c r="C3813" t="inlineStr">
        <is>
          <t>Avverkning för att bevara och utveckla /försöksver</t>
        </is>
      </c>
      <c r="D3813" s="1" t="n">
        <v>45618</v>
      </c>
      <c r="E3813" s="1" t="n">
        <v>46323</v>
      </c>
      <c r="F3813" t="inlineStr">
        <is>
          <t>KALMAR LÄN</t>
        </is>
      </c>
      <c r="G3813" t="inlineStr">
        <is>
          <t>KALMAR</t>
        </is>
      </c>
      <c r="I3813" t="n">
        <v>0.7</v>
      </c>
      <c r="J3813" t="n">
        <v>0</v>
      </c>
      <c r="K3813" t="n">
        <v>0</v>
      </c>
      <c r="L3813" t="n">
        <v>0</v>
      </c>
      <c r="M3813" t="n">
        <v>0</v>
      </c>
      <c r="N3813" t="n">
        <v>0</v>
      </c>
      <c r="O3813" t="n">
        <v>0</v>
      </c>
      <c r="P3813" t="n">
        <v>0</v>
      </c>
      <c r="Q3813" t="n">
        <v>0</v>
      </c>
      <c r="R3813" t="n">
        <v>0</v>
      </c>
      <c r="S3813" t="n">
        <v>0</v>
      </c>
      <c r="T3813" t="n">
        <v>0</v>
      </c>
      <c r="U3813" t="n">
        <v>0</v>
      </c>
      <c r="V3813" s="2" t="inlineStr"/>
    </row>
    <row r="3814" ht="15" customHeight="1">
      <c r="A3814" t="inlineStr">
        <is>
          <t>A 34533-2024</t>
        </is>
      </c>
      <c r="B3814" t="inlineStr">
        <is>
          <t>avverkningsanmälan</t>
        </is>
      </c>
      <c r="C3814" t="inlineStr">
        <is>
          <t>Föryngringsavverkning</t>
        </is>
      </c>
      <c r="D3814" s="1" t="n">
        <v>45525</v>
      </c>
      <c r="E3814" s="1" t="n">
        <v>46323</v>
      </c>
      <c r="F3814" t="inlineStr">
        <is>
          <t>KALMAR LÄN</t>
        </is>
      </c>
      <c r="G3814" t="inlineStr">
        <is>
          <t>OSKARSHAMN</t>
        </is>
      </c>
      <c r="I3814" t="n">
        <v>1.8</v>
      </c>
      <c r="J3814" t="n">
        <v>0</v>
      </c>
      <c r="K3814" t="n">
        <v>0</v>
      </c>
      <c r="L3814" t="n">
        <v>0</v>
      </c>
      <c r="M3814" t="n">
        <v>0</v>
      </c>
      <c r="N3814" t="n">
        <v>0</v>
      </c>
      <c r="O3814" t="n">
        <v>0</v>
      </c>
      <c r="P3814" t="n">
        <v>0</v>
      </c>
      <c r="Q3814" t="n">
        <v>0</v>
      </c>
      <c r="R3814" t="n">
        <v>0</v>
      </c>
      <c r="S3814" t="n">
        <v>0</v>
      </c>
      <c r="T3814" t="n">
        <v>0</v>
      </c>
      <c r="U3814" t="n">
        <v>0</v>
      </c>
      <c r="V3814" s="2" t="inlineStr"/>
    </row>
    <row r="3815" ht="15" customHeight="1">
      <c r="A3815" t="inlineStr">
        <is>
          <t>A 9215-2025</t>
        </is>
      </c>
      <c r="B3815" t="inlineStr">
        <is>
          <t>avverkningsanmälan</t>
        </is>
      </c>
      <c r="C3815" t="inlineStr">
        <is>
          <t>Föryngringsavverkning</t>
        </is>
      </c>
      <c r="D3815" s="1" t="n">
        <v>45714</v>
      </c>
      <c r="E3815" s="1" t="n">
        <v>46323</v>
      </c>
      <c r="F3815" t="inlineStr">
        <is>
          <t>KALMAR LÄN</t>
        </is>
      </c>
      <c r="G3815" t="inlineStr">
        <is>
          <t>MÖNSTERÅS</t>
        </is>
      </c>
      <c r="I3815" t="n">
        <v>1.9</v>
      </c>
      <c r="J3815" t="n">
        <v>0</v>
      </c>
      <c r="K3815" t="n">
        <v>0</v>
      </c>
      <c r="L3815" t="n">
        <v>0</v>
      </c>
      <c r="M3815" t="n">
        <v>0</v>
      </c>
      <c r="N3815" t="n">
        <v>0</v>
      </c>
      <c r="O3815" t="n">
        <v>0</v>
      </c>
      <c r="P3815" t="n">
        <v>0</v>
      </c>
      <c r="Q3815" t="n">
        <v>0</v>
      </c>
      <c r="R3815" t="n">
        <v>0</v>
      </c>
      <c r="S3815" t="n">
        <v>0</v>
      </c>
      <c r="T3815" t="n">
        <v>0</v>
      </c>
      <c r="U3815" t="n">
        <v>0</v>
      </c>
      <c r="V3815" s="2" t="inlineStr"/>
    </row>
    <row r="3816" ht="15" customHeight="1">
      <c r="A3816" t="inlineStr">
        <is>
          <t>A 61030-2025</t>
        </is>
      </c>
      <c r="B3816" t="inlineStr">
        <is>
          <t>avverkningsanmälan</t>
        </is>
      </c>
      <c r="C3816" t="inlineStr">
        <is>
          <t>Föryngringsavverkning</t>
        </is>
      </c>
      <c r="D3816" s="1" t="n">
        <v>45999</v>
      </c>
      <c r="E3816" s="1" t="n">
        <v>46323</v>
      </c>
      <c r="F3816" t="inlineStr">
        <is>
          <t>KALMAR LÄN</t>
        </is>
      </c>
      <c r="G3816" t="inlineStr">
        <is>
          <t>HÖGSBY</t>
        </is>
      </c>
      <c r="H3816" t="inlineStr">
        <is>
          <t>Sveaskog</t>
        </is>
      </c>
      <c r="I3816" t="n">
        <v>6.1</v>
      </c>
      <c r="J3816" t="n">
        <v>0</v>
      </c>
      <c r="K3816" t="n">
        <v>0</v>
      </c>
      <c r="L3816" t="n">
        <v>0</v>
      </c>
      <c r="M3816" t="n">
        <v>0</v>
      </c>
      <c r="N3816" t="n">
        <v>0</v>
      </c>
      <c r="O3816" t="n">
        <v>0</v>
      </c>
      <c r="P3816" t="n">
        <v>0</v>
      </c>
      <c r="Q3816" t="n">
        <v>0</v>
      </c>
      <c r="R3816" t="n">
        <v>0</v>
      </c>
      <c r="S3816" t="n">
        <v>0</v>
      </c>
      <c r="T3816" t="n">
        <v>0</v>
      </c>
      <c r="U3816" t="n">
        <v>0</v>
      </c>
      <c r="V3816" s="2" t="inlineStr"/>
    </row>
    <row r="3817" ht="15" customHeight="1">
      <c r="A3817" t="inlineStr">
        <is>
          <t>A 60792-2025</t>
        </is>
      </c>
      <c r="B3817" t="inlineStr">
        <is>
          <t>avverkningsanmälan</t>
        </is>
      </c>
      <c r="C3817" t="inlineStr">
        <is>
          <t>Föryngringsavverkning</t>
        </is>
      </c>
      <c r="D3817" s="1" t="n">
        <v>45999</v>
      </c>
      <c r="E3817" s="1" t="n">
        <v>46323</v>
      </c>
      <c r="F3817" t="inlineStr">
        <is>
          <t>KALMAR LÄN</t>
        </is>
      </c>
      <c r="G3817" t="inlineStr">
        <is>
          <t>HULTSFRED</t>
        </is>
      </c>
      <c r="I3817" t="n">
        <v>0.5</v>
      </c>
      <c r="J3817" t="n">
        <v>0</v>
      </c>
      <c r="K3817" t="n">
        <v>0</v>
      </c>
      <c r="L3817" t="n">
        <v>0</v>
      </c>
      <c r="M3817" t="n">
        <v>0</v>
      </c>
      <c r="N3817" t="n">
        <v>0</v>
      </c>
      <c r="O3817" t="n">
        <v>0</v>
      </c>
      <c r="P3817" t="n">
        <v>0</v>
      </c>
      <c r="Q3817" t="n">
        <v>0</v>
      </c>
      <c r="R3817" t="n">
        <v>0</v>
      </c>
      <c r="S3817" t="n">
        <v>0</v>
      </c>
      <c r="T3817" t="n">
        <v>0</v>
      </c>
      <c r="U3817" t="n">
        <v>0</v>
      </c>
      <c r="V3817" s="2" t="inlineStr"/>
    </row>
    <row r="3818" ht="15" customHeight="1">
      <c r="A3818" t="inlineStr">
        <is>
          <t>A 60797-2025</t>
        </is>
      </c>
      <c r="B3818" t="inlineStr">
        <is>
          <t>avverkningsanmälan</t>
        </is>
      </c>
      <c r="C3818" t="inlineStr">
        <is>
          <t>Föryngringsavverkning</t>
        </is>
      </c>
      <c r="D3818" s="1" t="n">
        <v>45999</v>
      </c>
      <c r="E3818" s="1" t="n">
        <v>46323</v>
      </c>
      <c r="F3818" t="inlineStr">
        <is>
          <t>KALMAR LÄN</t>
        </is>
      </c>
      <c r="G3818" t="inlineStr">
        <is>
          <t>HULTSFRED</t>
        </is>
      </c>
      <c r="I3818" t="n">
        <v>1.9</v>
      </c>
      <c r="J3818" t="n">
        <v>0</v>
      </c>
      <c r="K3818" t="n">
        <v>0</v>
      </c>
      <c r="L3818" t="n">
        <v>0</v>
      </c>
      <c r="M3818" t="n">
        <v>0</v>
      </c>
      <c r="N3818" t="n">
        <v>0</v>
      </c>
      <c r="O3818" t="n">
        <v>0</v>
      </c>
      <c r="P3818" t="n">
        <v>0</v>
      </c>
      <c r="Q3818" t="n">
        <v>0</v>
      </c>
      <c r="R3818" t="n">
        <v>0</v>
      </c>
      <c r="S3818" t="n">
        <v>0</v>
      </c>
      <c r="T3818" t="n">
        <v>0</v>
      </c>
      <c r="U3818" t="n">
        <v>0</v>
      </c>
      <c r="V3818" s="2" t="inlineStr"/>
    </row>
    <row r="3819" ht="15" customHeight="1">
      <c r="A3819" t="inlineStr">
        <is>
          <t>A 6306-2024</t>
        </is>
      </c>
      <c r="B3819" t="inlineStr">
        <is>
          <t>avverkningsanmälan</t>
        </is>
      </c>
      <c r="C3819" t="inlineStr">
        <is>
          <t>Föryngringsavverkning</t>
        </is>
      </c>
      <c r="D3819" s="1" t="n">
        <v>45338</v>
      </c>
      <c r="E3819" s="1" t="n">
        <v>46323</v>
      </c>
      <c r="F3819" t="inlineStr">
        <is>
          <t>KALMAR LÄN</t>
        </is>
      </c>
      <c r="G3819" t="inlineStr">
        <is>
          <t>NYBRO</t>
        </is>
      </c>
      <c r="I3819" t="n">
        <v>2.9</v>
      </c>
      <c r="J3819" t="n">
        <v>0</v>
      </c>
      <c r="K3819" t="n">
        <v>0</v>
      </c>
      <c r="L3819" t="n">
        <v>0</v>
      </c>
      <c r="M3819" t="n">
        <v>0</v>
      </c>
      <c r="N3819" t="n">
        <v>0</v>
      </c>
      <c r="O3819" t="n">
        <v>0</v>
      </c>
      <c r="P3819" t="n">
        <v>0</v>
      </c>
      <c r="Q3819" t="n">
        <v>0</v>
      </c>
      <c r="R3819" t="n">
        <v>0</v>
      </c>
      <c r="S3819" t="n">
        <v>0</v>
      </c>
      <c r="T3819" t="n">
        <v>0</v>
      </c>
      <c r="U3819" t="n">
        <v>0</v>
      </c>
      <c r="V3819" s="2" t="inlineStr"/>
    </row>
    <row r="3820" ht="15" customHeight="1">
      <c r="A3820" t="inlineStr">
        <is>
          <t>A 44547-2023</t>
        </is>
      </c>
      <c r="B3820" t="inlineStr">
        <is>
          <t>avverkningsanmälan</t>
        </is>
      </c>
      <c r="C3820" t="inlineStr">
        <is>
          <t>Föryngringsavverkning</t>
        </is>
      </c>
      <c r="D3820" s="1" t="n">
        <v>45189</v>
      </c>
      <c r="E3820" s="1" t="n">
        <v>46323</v>
      </c>
      <c r="F3820" t="inlineStr">
        <is>
          <t>KALMAR LÄN</t>
        </is>
      </c>
      <c r="G3820" t="inlineStr">
        <is>
          <t>KALMAR</t>
        </is>
      </c>
      <c r="I3820" t="n">
        <v>1.4</v>
      </c>
      <c r="J3820" t="n">
        <v>0</v>
      </c>
      <c r="K3820" t="n">
        <v>0</v>
      </c>
      <c r="L3820" t="n">
        <v>0</v>
      </c>
      <c r="M3820" t="n">
        <v>0</v>
      </c>
      <c r="N3820" t="n">
        <v>0</v>
      </c>
      <c r="O3820" t="n">
        <v>0</v>
      </c>
      <c r="P3820" t="n">
        <v>0</v>
      </c>
      <c r="Q3820" t="n">
        <v>0</v>
      </c>
      <c r="R3820" t="n">
        <v>0</v>
      </c>
      <c r="S3820" t="n">
        <v>0</v>
      </c>
      <c r="T3820" t="n">
        <v>0</v>
      </c>
      <c r="U3820" t="n">
        <v>0</v>
      </c>
      <c r="V3820" s="2" t="inlineStr"/>
    </row>
    <row r="3821" ht="15" customHeight="1">
      <c r="A3821" t="inlineStr">
        <is>
          <t>A 63589-2025</t>
        </is>
      </c>
      <c r="B3821" t="inlineStr">
        <is>
          <t>avverkningsanmälan</t>
        </is>
      </c>
      <c r="C3821" t="inlineStr">
        <is>
          <t>Föryngringsavverkning</t>
        </is>
      </c>
      <c r="D3821" s="1" t="n">
        <v>46013</v>
      </c>
      <c r="E3821" s="1" t="n">
        <v>46323</v>
      </c>
      <c r="F3821" t="inlineStr">
        <is>
          <t>KALMAR LÄN</t>
        </is>
      </c>
      <c r="G3821" t="inlineStr">
        <is>
          <t>VÄSTERVIK</t>
        </is>
      </c>
      <c r="H3821" t="inlineStr">
        <is>
          <t>Sveaskog</t>
        </is>
      </c>
      <c r="I3821" t="n">
        <v>13.2</v>
      </c>
      <c r="J3821" t="n">
        <v>0</v>
      </c>
      <c r="K3821" t="n">
        <v>0</v>
      </c>
      <c r="L3821" t="n">
        <v>0</v>
      </c>
      <c r="M3821" t="n">
        <v>0</v>
      </c>
      <c r="N3821" t="n">
        <v>0</v>
      </c>
      <c r="O3821" t="n">
        <v>0</v>
      </c>
      <c r="P3821" t="n">
        <v>0</v>
      </c>
      <c r="Q3821" t="n">
        <v>0</v>
      </c>
      <c r="R3821" t="n">
        <v>0</v>
      </c>
      <c r="S3821" t="n">
        <v>0</v>
      </c>
      <c r="T3821" t="n">
        <v>0</v>
      </c>
      <c r="U3821" t="n">
        <v>0</v>
      </c>
      <c r="V3821" s="2" t="inlineStr"/>
    </row>
    <row r="3822" ht="15" customHeight="1">
      <c r="A3822" t="inlineStr">
        <is>
          <t>A 63498-2025</t>
        </is>
      </c>
      <c r="B3822" t="inlineStr">
        <is>
          <t>avverkningsanmälan</t>
        </is>
      </c>
      <c r="C3822" t="inlineStr">
        <is>
          <t>Föryngringsavverkning</t>
        </is>
      </c>
      <c r="D3822" s="1" t="n">
        <v>46013</v>
      </c>
      <c r="E3822" s="1" t="n">
        <v>46323</v>
      </c>
      <c r="F3822" t="inlineStr">
        <is>
          <t>KALMAR LÄN</t>
        </is>
      </c>
      <c r="G3822" t="inlineStr">
        <is>
          <t>KALMAR</t>
        </is>
      </c>
      <c r="I3822" t="n">
        <v>4.6</v>
      </c>
      <c r="J3822" t="n">
        <v>0</v>
      </c>
      <c r="K3822" t="n">
        <v>0</v>
      </c>
      <c r="L3822" t="n">
        <v>0</v>
      </c>
      <c r="M3822" t="n">
        <v>0</v>
      </c>
      <c r="N3822" t="n">
        <v>0</v>
      </c>
      <c r="O3822" t="n">
        <v>0</v>
      </c>
      <c r="P3822" t="n">
        <v>0</v>
      </c>
      <c r="Q3822" t="n">
        <v>0</v>
      </c>
      <c r="R3822" t="n">
        <v>0</v>
      </c>
      <c r="S3822" t="n">
        <v>0</v>
      </c>
      <c r="T3822" t="n">
        <v>0</v>
      </c>
      <c r="U3822" t="n">
        <v>0</v>
      </c>
      <c r="V3822" s="2" t="inlineStr"/>
    </row>
    <row r="3823" ht="15" customHeight="1">
      <c r="A3823" t="inlineStr">
        <is>
          <t>A 61751-2024</t>
        </is>
      </c>
      <c r="B3823" t="inlineStr">
        <is>
          <t>avverkningsanmälan</t>
        </is>
      </c>
      <c r="C3823" t="inlineStr">
        <is>
          <t>Föryngringsavverkning</t>
        </is>
      </c>
      <c r="D3823" s="1" t="n">
        <v>45649</v>
      </c>
      <c r="E3823" s="1" t="n">
        <v>46323</v>
      </c>
      <c r="F3823" t="inlineStr">
        <is>
          <t>KALMAR LÄN</t>
        </is>
      </c>
      <c r="G3823" t="inlineStr">
        <is>
          <t>MÖNSTERÅS</t>
        </is>
      </c>
      <c r="H3823" t="inlineStr">
        <is>
          <t>Övriga Aktiebolag</t>
        </is>
      </c>
      <c r="I3823" t="n">
        <v>2.7</v>
      </c>
      <c r="J3823" t="n">
        <v>0</v>
      </c>
      <c r="K3823" t="n">
        <v>0</v>
      </c>
      <c r="L3823" t="n">
        <v>0</v>
      </c>
      <c r="M3823" t="n">
        <v>0</v>
      </c>
      <c r="N3823" t="n">
        <v>0</v>
      </c>
      <c r="O3823" t="n">
        <v>0</v>
      </c>
      <c r="P3823" t="n">
        <v>0</v>
      </c>
      <c r="Q3823" t="n">
        <v>0</v>
      </c>
      <c r="R3823" t="n">
        <v>0</v>
      </c>
      <c r="S3823" t="n">
        <v>0</v>
      </c>
      <c r="T3823" t="n">
        <v>0</v>
      </c>
      <c r="U3823" t="n">
        <v>0</v>
      </c>
      <c r="V3823" s="2" t="inlineStr"/>
    </row>
    <row r="3824" ht="15" customHeight="1">
      <c r="A3824" t="inlineStr">
        <is>
          <t>A 56377-2024</t>
        </is>
      </c>
      <c r="B3824" t="inlineStr">
        <is>
          <t>avverkningsanmälan</t>
        </is>
      </c>
      <c r="C3824" t="inlineStr">
        <is>
          <t>Föryngringsavverkning</t>
        </is>
      </c>
      <c r="D3824" s="1" t="n">
        <v>45625</v>
      </c>
      <c r="E3824" s="1" t="n">
        <v>46323</v>
      </c>
      <c r="F3824" t="inlineStr">
        <is>
          <t>KALMAR LÄN</t>
        </is>
      </c>
      <c r="G3824" t="inlineStr">
        <is>
          <t>VÄSTERVIK</t>
        </is>
      </c>
      <c r="H3824" t="inlineStr">
        <is>
          <t>Sveaskog</t>
        </is>
      </c>
      <c r="I3824" t="n">
        <v>1.3</v>
      </c>
      <c r="J3824" t="n">
        <v>0</v>
      </c>
      <c r="K3824" t="n">
        <v>0</v>
      </c>
      <c r="L3824" t="n">
        <v>0</v>
      </c>
      <c r="M3824" t="n">
        <v>0</v>
      </c>
      <c r="N3824" t="n">
        <v>0</v>
      </c>
      <c r="O3824" t="n">
        <v>0</v>
      </c>
      <c r="P3824" t="n">
        <v>0</v>
      </c>
      <c r="Q3824" t="n">
        <v>0</v>
      </c>
      <c r="R3824" t="n">
        <v>0</v>
      </c>
      <c r="S3824" t="n">
        <v>0</v>
      </c>
      <c r="T3824" t="n">
        <v>0</v>
      </c>
      <c r="U3824" t="n">
        <v>0</v>
      </c>
      <c r="V3824" s="2" t="inlineStr"/>
    </row>
    <row r="3825" ht="15" customHeight="1">
      <c r="A3825" t="inlineStr">
        <is>
          <t>A 12389-2025</t>
        </is>
      </c>
      <c r="B3825" t="inlineStr">
        <is>
          <t>avverkningsanmälan</t>
        </is>
      </c>
      <c r="C3825" t="inlineStr">
        <is>
          <t>Föryngringsavverkning</t>
        </is>
      </c>
      <c r="D3825" s="1" t="n">
        <v>45730</v>
      </c>
      <c r="E3825" s="1" t="n">
        <v>46323</v>
      </c>
      <c r="F3825" t="inlineStr">
        <is>
          <t>KALMAR LÄN</t>
        </is>
      </c>
      <c r="G3825" t="inlineStr">
        <is>
          <t>KALMAR</t>
        </is>
      </c>
      <c r="I3825" t="n">
        <v>2.7</v>
      </c>
      <c r="J3825" t="n">
        <v>0</v>
      </c>
      <c r="K3825" t="n">
        <v>0</v>
      </c>
      <c r="L3825" t="n">
        <v>0</v>
      </c>
      <c r="M3825" t="n">
        <v>0</v>
      </c>
      <c r="N3825" t="n">
        <v>0</v>
      </c>
      <c r="O3825" t="n">
        <v>0</v>
      </c>
      <c r="P3825" t="n">
        <v>0</v>
      </c>
      <c r="Q3825" t="n">
        <v>0</v>
      </c>
      <c r="R3825" t="n">
        <v>0</v>
      </c>
      <c r="S3825" t="n">
        <v>0</v>
      </c>
      <c r="T3825" t="n">
        <v>0</v>
      </c>
      <c r="U3825" t="n">
        <v>0</v>
      </c>
      <c r="V3825" s="2" t="inlineStr"/>
    </row>
    <row r="3826" ht="15" customHeight="1">
      <c r="A3826" t="inlineStr">
        <is>
          <t>A 1788-2025</t>
        </is>
      </c>
      <c r="B3826" t="inlineStr">
        <is>
          <t>avverkningsanmälan</t>
        </is>
      </c>
      <c r="C3826" t="inlineStr">
        <is>
          <t>Föryngringsavverkning</t>
        </is>
      </c>
      <c r="D3826" s="1" t="n">
        <v>45671</v>
      </c>
      <c r="E3826" s="1" t="n">
        <v>46323</v>
      </c>
      <c r="F3826" t="inlineStr">
        <is>
          <t>KALMAR LÄN</t>
        </is>
      </c>
      <c r="G3826" t="inlineStr">
        <is>
          <t>VÄSTERVIK</t>
        </is>
      </c>
      <c r="H3826" t="inlineStr">
        <is>
          <t>Sveaskog</t>
        </is>
      </c>
      <c r="I3826" t="n">
        <v>2.7</v>
      </c>
      <c r="J3826" t="n">
        <v>0</v>
      </c>
      <c r="K3826" t="n">
        <v>0</v>
      </c>
      <c r="L3826" t="n">
        <v>0</v>
      </c>
      <c r="M3826" t="n">
        <v>0</v>
      </c>
      <c r="N3826" t="n">
        <v>0</v>
      </c>
      <c r="O3826" t="n">
        <v>0</v>
      </c>
      <c r="P3826" t="n">
        <v>0</v>
      </c>
      <c r="Q3826" t="n">
        <v>0</v>
      </c>
      <c r="R3826" t="n">
        <v>0</v>
      </c>
      <c r="S3826" t="n">
        <v>0</v>
      </c>
      <c r="T3826" t="n">
        <v>0</v>
      </c>
      <c r="U3826" t="n">
        <v>0</v>
      </c>
      <c r="V3826" s="2" t="inlineStr"/>
    </row>
    <row r="3827" ht="15" customHeight="1">
      <c r="A3827" t="inlineStr">
        <is>
          <t>A 60758-2025</t>
        </is>
      </c>
      <c r="B3827" t="inlineStr">
        <is>
          <t>avverkningsanmälan</t>
        </is>
      </c>
      <c r="C3827" t="inlineStr">
        <is>
          <t>Föryngringsavverkning</t>
        </is>
      </c>
      <c r="D3827" s="1" t="n">
        <v>45999</v>
      </c>
      <c r="E3827" s="1" t="n">
        <v>46323</v>
      </c>
      <c r="F3827" t="inlineStr">
        <is>
          <t>KALMAR LÄN</t>
        </is>
      </c>
      <c r="G3827" t="inlineStr">
        <is>
          <t>NYBRO</t>
        </is>
      </c>
      <c r="I3827" t="n">
        <v>2.4</v>
      </c>
      <c r="J3827" t="n">
        <v>0</v>
      </c>
      <c r="K3827" t="n">
        <v>0</v>
      </c>
      <c r="L3827" t="n">
        <v>0</v>
      </c>
      <c r="M3827" t="n">
        <v>0</v>
      </c>
      <c r="N3827" t="n">
        <v>0</v>
      </c>
      <c r="O3827" t="n">
        <v>0</v>
      </c>
      <c r="P3827" t="n">
        <v>0</v>
      </c>
      <c r="Q3827" t="n">
        <v>0</v>
      </c>
      <c r="R3827" t="n">
        <v>0</v>
      </c>
      <c r="S3827" t="n">
        <v>0</v>
      </c>
      <c r="T3827" t="n">
        <v>0</v>
      </c>
      <c r="U3827" t="n">
        <v>0</v>
      </c>
      <c r="V3827" s="2" t="inlineStr"/>
    </row>
    <row r="3828" ht="15" customHeight="1">
      <c r="A3828" t="inlineStr">
        <is>
          <t>A 22042-2025</t>
        </is>
      </c>
      <c r="B3828" t="inlineStr">
        <is>
          <t>avverkningsanmälan</t>
        </is>
      </c>
      <c r="C3828" t="inlineStr">
        <is>
          <t>Föryngringsavverkning</t>
        </is>
      </c>
      <c r="D3828" s="1" t="n">
        <v>45785</v>
      </c>
      <c r="E3828" s="1" t="n">
        <v>46323</v>
      </c>
      <c r="F3828" t="inlineStr">
        <is>
          <t>KALMAR LÄN</t>
        </is>
      </c>
      <c r="G3828" t="inlineStr">
        <is>
          <t>NYBRO</t>
        </is>
      </c>
      <c r="I3828" t="n">
        <v>0.8</v>
      </c>
      <c r="J3828" t="n">
        <v>0</v>
      </c>
      <c r="K3828" t="n">
        <v>0</v>
      </c>
      <c r="L3828" t="n">
        <v>0</v>
      </c>
      <c r="M3828" t="n">
        <v>0</v>
      </c>
      <c r="N3828" t="n">
        <v>0</v>
      </c>
      <c r="O3828" t="n">
        <v>0</v>
      </c>
      <c r="P3828" t="n">
        <v>0</v>
      </c>
      <c r="Q3828" t="n">
        <v>0</v>
      </c>
      <c r="R3828" t="n">
        <v>0</v>
      </c>
      <c r="S3828" t="n">
        <v>0</v>
      </c>
      <c r="T3828" t="n">
        <v>0</v>
      </c>
      <c r="U3828" t="n">
        <v>0</v>
      </c>
      <c r="V3828" s="2" t="inlineStr"/>
    </row>
    <row r="3829" ht="15" customHeight="1">
      <c r="A3829" t="inlineStr">
        <is>
          <t>A 7325-2025</t>
        </is>
      </c>
      <c r="B3829" t="inlineStr">
        <is>
          <t>avverkningsanmälan</t>
        </is>
      </c>
      <c r="C3829" t="inlineStr">
        <is>
          <t>Avverkning för annat ändamål</t>
        </is>
      </c>
      <c r="D3829" s="1" t="n">
        <v>45702</v>
      </c>
      <c r="E3829" s="1" t="n">
        <v>46323</v>
      </c>
      <c r="F3829" t="inlineStr">
        <is>
          <t>KALMAR LÄN</t>
        </is>
      </c>
      <c r="G3829" t="inlineStr">
        <is>
          <t>HÖGSBY</t>
        </is>
      </c>
      <c r="I3829" t="n">
        <v>1.8</v>
      </c>
      <c r="J3829" t="n">
        <v>0</v>
      </c>
      <c r="K3829" t="n">
        <v>0</v>
      </c>
      <c r="L3829" t="n">
        <v>0</v>
      </c>
      <c r="M3829" t="n">
        <v>0</v>
      </c>
      <c r="N3829" t="n">
        <v>0</v>
      </c>
      <c r="O3829" t="n">
        <v>0</v>
      </c>
      <c r="P3829" t="n">
        <v>0</v>
      </c>
      <c r="Q3829" t="n">
        <v>0</v>
      </c>
      <c r="R3829" t="n">
        <v>0</v>
      </c>
      <c r="S3829" t="n">
        <v>0</v>
      </c>
      <c r="T3829" t="n">
        <v>0</v>
      </c>
      <c r="U3829" t="n">
        <v>0</v>
      </c>
      <c r="V3829" s="2" t="inlineStr"/>
    </row>
    <row r="3830" ht="15" customHeight="1">
      <c r="A3830" t="inlineStr">
        <is>
          <t>A 51496-2024</t>
        </is>
      </c>
      <c r="B3830" t="inlineStr">
        <is>
          <t>avverkningsanmälan</t>
        </is>
      </c>
      <c r="C3830" t="inlineStr">
        <is>
          <t>Föryngringsavverkning</t>
        </is>
      </c>
      <c r="D3830" s="1" t="n">
        <v>45604</v>
      </c>
      <c r="E3830" s="1" t="n">
        <v>46323</v>
      </c>
      <c r="F3830" t="inlineStr">
        <is>
          <t>KALMAR LÄN</t>
        </is>
      </c>
      <c r="G3830" t="inlineStr">
        <is>
          <t>VÄSTERVIK</t>
        </is>
      </c>
      <c r="H3830" t="inlineStr">
        <is>
          <t>Övriga Aktiebolag</t>
        </is>
      </c>
      <c r="I3830" t="n">
        <v>4.6</v>
      </c>
      <c r="J3830" t="n">
        <v>0</v>
      </c>
      <c r="K3830" t="n">
        <v>0</v>
      </c>
      <c r="L3830" t="n">
        <v>0</v>
      </c>
      <c r="M3830" t="n">
        <v>0</v>
      </c>
      <c r="N3830" t="n">
        <v>0</v>
      </c>
      <c r="O3830" t="n">
        <v>0</v>
      </c>
      <c r="P3830" t="n">
        <v>0</v>
      </c>
      <c r="Q3830" t="n">
        <v>0</v>
      </c>
      <c r="R3830" t="n">
        <v>0</v>
      </c>
      <c r="S3830" t="n">
        <v>0</v>
      </c>
      <c r="T3830" t="n">
        <v>0</v>
      </c>
      <c r="U3830" t="n">
        <v>0</v>
      </c>
      <c r="V3830" s="2" t="inlineStr"/>
    </row>
    <row r="3831" ht="15" customHeight="1">
      <c r="A3831" t="inlineStr">
        <is>
          <t>A 61035-2025</t>
        </is>
      </c>
      <c r="B3831" t="inlineStr">
        <is>
          <t>avverkningsanmälan</t>
        </is>
      </c>
      <c r="C3831" t="inlineStr">
        <is>
          <t>Föryngringsavverkning</t>
        </is>
      </c>
      <c r="D3831" s="1" t="n">
        <v>45999</v>
      </c>
      <c r="E3831" s="1" t="n">
        <v>46323</v>
      </c>
      <c r="F3831" t="inlineStr">
        <is>
          <t>KALMAR LÄN</t>
        </is>
      </c>
      <c r="G3831" t="inlineStr">
        <is>
          <t>OSKARSHAMN</t>
        </is>
      </c>
      <c r="I3831" t="n">
        <v>2.9</v>
      </c>
      <c r="J3831" t="n">
        <v>0</v>
      </c>
      <c r="K3831" t="n">
        <v>0</v>
      </c>
      <c r="L3831" t="n">
        <v>0</v>
      </c>
      <c r="M3831" t="n">
        <v>0</v>
      </c>
      <c r="N3831" t="n">
        <v>0</v>
      </c>
      <c r="O3831" t="n">
        <v>0</v>
      </c>
      <c r="P3831" t="n">
        <v>0</v>
      </c>
      <c r="Q3831" t="n">
        <v>0</v>
      </c>
      <c r="R3831" t="n">
        <v>0</v>
      </c>
      <c r="S3831" t="n">
        <v>0</v>
      </c>
      <c r="T3831" t="n">
        <v>0</v>
      </c>
      <c r="U3831" t="n">
        <v>0</v>
      </c>
      <c r="V3831" s="2" t="inlineStr"/>
    </row>
    <row r="3832" ht="15" customHeight="1">
      <c r="A3832" t="inlineStr">
        <is>
          <t>A 61039-2025</t>
        </is>
      </c>
      <c r="B3832" t="inlineStr">
        <is>
          <t>avverkningsanmälan</t>
        </is>
      </c>
      <c r="C3832" t="inlineStr">
        <is>
          <t>Föryngringsavverkning</t>
        </is>
      </c>
      <c r="D3832" s="1" t="n">
        <v>45999</v>
      </c>
      <c r="E3832" s="1" t="n">
        <v>46323</v>
      </c>
      <c r="F3832" t="inlineStr">
        <is>
          <t>KALMAR LÄN</t>
        </is>
      </c>
      <c r="G3832" t="inlineStr">
        <is>
          <t>OSKARSHAMN</t>
        </is>
      </c>
      <c r="I3832" t="n">
        <v>1</v>
      </c>
      <c r="J3832" t="n">
        <v>0</v>
      </c>
      <c r="K3832" t="n">
        <v>0</v>
      </c>
      <c r="L3832" t="n">
        <v>0</v>
      </c>
      <c r="M3832" t="n">
        <v>0</v>
      </c>
      <c r="N3832" t="n">
        <v>0</v>
      </c>
      <c r="O3832" t="n">
        <v>0</v>
      </c>
      <c r="P3832" t="n">
        <v>0</v>
      </c>
      <c r="Q3832" t="n">
        <v>0</v>
      </c>
      <c r="R3832" t="n">
        <v>0</v>
      </c>
      <c r="S3832" t="n">
        <v>0</v>
      </c>
      <c r="T3832" t="n">
        <v>0</v>
      </c>
      <c r="U3832" t="n">
        <v>0</v>
      </c>
      <c r="V3832" s="2" t="inlineStr"/>
    </row>
    <row r="3833" ht="15" customHeight="1">
      <c r="A3833" t="inlineStr">
        <is>
          <t>A 61040-2025</t>
        </is>
      </c>
      <c r="B3833" t="inlineStr">
        <is>
          <t>avverkningsanmälan</t>
        </is>
      </c>
      <c r="C3833" t="inlineStr">
        <is>
          <t>Föryngringsavverkning</t>
        </is>
      </c>
      <c r="D3833" s="1" t="n">
        <v>46000</v>
      </c>
      <c r="E3833" s="1" t="n">
        <v>46323</v>
      </c>
      <c r="F3833" t="inlineStr">
        <is>
          <t>KALMAR LÄN</t>
        </is>
      </c>
      <c r="G3833" t="inlineStr">
        <is>
          <t>OSKARSHAMN</t>
        </is>
      </c>
      <c r="I3833" t="n">
        <v>1.5</v>
      </c>
      <c r="J3833" t="n">
        <v>0</v>
      </c>
      <c r="K3833" t="n">
        <v>0</v>
      </c>
      <c r="L3833" t="n">
        <v>0</v>
      </c>
      <c r="M3833" t="n">
        <v>0</v>
      </c>
      <c r="N3833" t="n">
        <v>0</v>
      </c>
      <c r="O3833" t="n">
        <v>0</v>
      </c>
      <c r="P3833" t="n">
        <v>0</v>
      </c>
      <c r="Q3833" t="n">
        <v>0</v>
      </c>
      <c r="R3833" t="n">
        <v>0</v>
      </c>
      <c r="S3833" t="n">
        <v>0</v>
      </c>
      <c r="T3833" t="n">
        <v>0</v>
      </c>
      <c r="U3833" t="n">
        <v>0</v>
      </c>
      <c r="V3833" s="2" t="inlineStr"/>
    </row>
    <row r="3834" ht="15" customHeight="1">
      <c r="A3834" t="inlineStr">
        <is>
          <t>A 41679-2024</t>
        </is>
      </c>
      <c r="B3834" t="inlineStr">
        <is>
          <t>avverkningsanmälan</t>
        </is>
      </c>
      <c r="C3834" t="inlineStr">
        <is>
          <t>Avverkning för att bevara och utveckla /försöksver</t>
        </is>
      </c>
      <c r="D3834" s="1" t="n">
        <v>45560</v>
      </c>
      <c r="E3834" s="1" t="n">
        <v>46323</v>
      </c>
      <c r="F3834" t="inlineStr">
        <is>
          <t>KALMAR LÄN</t>
        </is>
      </c>
      <c r="G3834" t="inlineStr">
        <is>
          <t>NYBRO</t>
        </is>
      </c>
      <c r="I3834" t="n">
        <v>0.5</v>
      </c>
      <c r="J3834" t="n">
        <v>0</v>
      </c>
      <c r="K3834" t="n">
        <v>0</v>
      </c>
      <c r="L3834" t="n">
        <v>0</v>
      </c>
      <c r="M3834" t="n">
        <v>0</v>
      </c>
      <c r="N3834" t="n">
        <v>0</v>
      </c>
      <c r="O3834" t="n">
        <v>0</v>
      </c>
      <c r="P3834" t="n">
        <v>0</v>
      </c>
      <c r="Q3834" t="n">
        <v>0</v>
      </c>
      <c r="R3834" t="n">
        <v>0</v>
      </c>
      <c r="S3834" t="n">
        <v>0</v>
      </c>
      <c r="T3834" t="n">
        <v>0</v>
      </c>
      <c r="U3834" t="n">
        <v>0</v>
      </c>
      <c r="V3834" s="2" t="inlineStr"/>
    </row>
    <row r="3835" ht="15" customHeight="1">
      <c r="A3835" t="inlineStr">
        <is>
          <t>A 10704-2022</t>
        </is>
      </c>
      <c r="B3835" t="inlineStr">
        <is>
          <t>avverkningsanmälan</t>
        </is>
      </c>
      <c r="C3835" t="inlineStr">
        <is>
          <t>Föryngringsavverkning</t>
        </is>
      </c>
      <c r="D3835" s="1" t="n">
        <v>44625</v>
      </c>
      <c r="E3835" s="1" t="n">
        <v>46323</v>
      </c>
      <c r="F3835" t="inlineStr">
        <is>
          <t>KALMAR LÄN</t>
        </is>
      </c>
      <c r="G3835" t="inlineStr">
        <is>
          <t>HÖGSBY</t>
        </is>
      </c>
      <c r="I3835" t="n">
        <v>2.2</v>
      </c>
      <c r="J3835" t="n">
        <v>0</v>
      </c>
      <c r="K3835" t="n">
        <v>0</v>
      </c>
      <c r="L3835" t="n">
        <v>0</v>
      </c>
      <c r="M3835" t="n">
        <v>0</v>
      </c>
      <c r="N3835" t="n">
        <v>0</v>
      </c>
      <c r="O3835" t="n">
        <v>0</v>
      </c>
      <c r="P3835" t="n">
        <v>0</v>
      </c>
      <c r="Q3835" t="n">
        <v>0</v>
      </c>
      <c r="R3835" t="n">
        <v>0</v>
      </c>
      <c r="S3835" t="n">
        <v>0</v>
      </c>
      <c r="T3835" t="n">
        <v>0</v>
      </c>
      <c r="U3835" t="n">
        <v>0</v>
      </c>
      <c r="V3835" s="2" t="inlineStr"/>
    </row>
    <row r="3836" ht="15" customHeight="1">
      <c r="A3836" t="inlineStr">
        <is>
          <t>A 10706-2022</t>
        </is>
      </c>
      <c r="B3836" t="inlineStr">
        <is>
          <t>avverkningsanmälan</t>
        </is>
      </c>
      <c r="C3836" t="inlineStr">
        <is>
          <t>Föryngringsavverkning</t>
        </is>
      </c>
      <c r="D3836" s="1" t="n">
        <v>44625</v>
      </c>
      <c r="E3836" s="1" t="n">
        <v>46323</v>
      </c>
      <c r="F3836" t="inlineStr">
        <is>
          <t>KALMAR LÄN</t>
        </is>
      </c>
      <c r="G3836" t="inlineStr">
        <is>
          <t>HÖGSBY</t>
        </is>
      </c>
      <c r="I3836" t="n">
        <v>3.5</v>
      </c>
      <c r="J3836" t="n">
        <v>0</v>
      </c>
      <c r="K3836" t="n">
        <v>0</v>
      </c>
      <c r="L3836" t="n">
        <v>0</v>
      </c>
      <c r="M3836" t="n">
        <v>0</v>
      </c>
      <c r="N3836" t="n">
        <v>0</v>
      </c>
      <c r="O3836" t="n">
        <v>0</v>
      </c>
      <c r="P3836" t="n">
        <v>0</v>
      </c>
      <c r="Q3836" t="n">
        <v>0</v>
      </c>
      <c r="R3836" t="n">
        <v>0</v>
      </c>
      <c r="S3836" t="n">
        <v>0</v>
      </c>
      <c r="T3836" t="n">
        <v>0</v>
      </c>
      <c r="U3836" t="n">
        <v>0</v>
      </c>
      <c r="V3836" s="2" t="inlineStr"/>
    </row>
    <row r="3837" ht="15" customHeight="1">
      <c r="A3837" t="inlineStr">
        <is>
          <t>A 63587-2025</t>
        </is>
      </c>
      <c r="B3837" t="inlineStr">
        <is>
          <t>avverkningsanmälan</t>
        </is>
      </c>
      <c r="C3837" t="inlineStr">
        <is>
          <t>Föryngringsavverkning</t>
        </is>
      </c>
      <c r="D3837" s="1" t="n">
        <v>46013</v>
      </c>
      <c r="E3837" s="1" t="n">
        <v>46323</v>
      </c>
      <c r="F3837" t="inlineStr">
        <is>
          <t>KALMAR LÄN</t>
        </is>
      </c>
      <c r="G3837" t="inlineStr">
        <is>
          <t>VÄSTERVIK</t>
        </is>
      </c>
      <c r="H3837" t="inlineStr">
        <is>
          <t>Sveaskog</t>
        </is>
      </c>
      <c r="I3837" t="n">
        <v>2.5</v>
      </c>
      <c r="J3837" t="n">
        <v>0</v>
      </c>
      <c r="K3837" t="n">
        <v>0</v>
      </c>
      <c r="L3837" t="n">
        <v>0</v>
      </c>
      <c r="M3837" t="n">
        <v>0</v>
      </c>
      <c r="N3837" t="n">
        <v>0</v>
      </c>
      <c r="O3837" t="n">
        <v>0</v>
      </c>
      <c r="P3837" t="n">
        <v>0</v>
      </c>
      <c r="Q3837" t="n">
        <v>0</v>
      </c>
      <c r="R3837" t="n">
        <v>0</v>
      </c>
      <c r="S3837" t="n">
        <v>0</v>
      </c>
      <c r="T3837" t="n">
        <v>0</v>
      </c>
      <c r="U3837" t="n">
        <v>0</v>
      </c>
      <c r="V3837" s="2" t="inlineStr"/>
    </row>
    <row r="3838" ht="15" customHeight="1">
      <c r="A3838" t="inlineStr">
        <is>
          <t>A 13148-2024</t>
        </is>
      </c>
      <c r="B3838" t="inlineStr">
        <is>
          <t>avverkningsanmälan</t>
        </is>
      </c>
      <c r="C3838" t="inlineStr">
        <is>
          <t>Föryngringsavverkning</t>
        </is>
      </c>
      <c r="D3838" s="1" t="n">
        <v>45386</v>
      </c>
      <c r="E3838" s="1" t="n">
        <v>46323</v>
      </c>
      <c r="F3838" t="inlineStr">
        <is>
          <t>KALMAR LÄN</t>
        </is>
      </c>
      <c r="G3838" t="inlineStr">
        <is>
          <t>EMMABODA</t>
        </is>
      </c>
      <c r="I3838" t="n">
        <v>1.4</v>
      </c>
      <c r="J3838" t="n">
        <v>0</v>
      </c>
      <c r="K3838" t="n">
        <v>0</v>
      </c>
      <c r="L3838" t="n">
        <v>0</v>
      </c>
      <c r="M3838" t="n">
        <v>0</v>
      </c>
      <c r="N3838" t="n">
        <v>0</v>
      </c>
      <c r="O3838" t="n">
        <v>0</v>
      </c>
      <c r="P3838" t="n">
        <v>0</v>
      </c>
      <c r="Q3838" t="n">
        <v>0</v>
      </c>
      <c r="R3838" t="n">
        <v>0</v>
      </c>
      <c r="S3838" t="n">
        <v>0</v>
      </c>
      <c r="T3838" t="n">
        <v>0</v>
      </c>
      <c r="U3838" t="n">
        <v>0</v>
      </c>
      <c r="V3838" s="2" t="inlineStr"/>
    </row>
    <row r="3839" ht="15" customHeight="1">
      <c r="A3839" t="inlineStr">
        <is>
          <t>A 63588-2025</t>
        </is>
      </c>
      <c r="B3839" t="inlineStr">
        <is>
          <t>avverkningsanmälan</t>
        </is>
      </c>
      <c r="C3839" t="inlineStr">
        <is>
          <t>Föryngringsavverkning</t>
        </is>
      </c>
      <c r="D3839" s="1" t="n">
        <v>46013</v>
      </c>
      <c r="E3839" s="1" t="n">
        <v>46323</v>
      </c>
      <c r="F3839" t="inlineStr">
        <is>
          <t>KALMAR LÄN</t>
        </is>
      </c>
      <c r="G3839" t="inlineStr">
        <is>
          <t>VÄSTERVIK</t>
        </is>
      </c>
      <c r="H3839" t="inlineStr">
        <is>
          <t>Sveaskog</t>
        </is>
      </c>
      <c r="I3839" t="n">
        <v>8.800000000000001</v>
      </c>
      <c r="J3839" t="n">
        <v>0</v>
      </c>
      <c r="K3839" t="n">
        <v>0</v>
      </c>
      <c r="L3839" t="n">
        <v>0</v>
      </c>
      <c r="M3839" t="n">
        <v>0</v>
      </c>
      <c r="N3839" t="n">
        <v>0</v>
      </c>
      <c r="O3839" t="n">
        <v>0</v>
      </c>
      <c r="P3839" t="n">
        <v>0</v>
      </c>
      <c r="Q3839" t="n">
        <v>0</v>
      </c>
      <c r="R3839" t="n">
        <v>0</v>
      </c>
      <c r="S3839" t="n">
        <v>0</v>
      </c>
      <c r="T3839" t="n">
        <v>0</v>
      </c>
      <c r="U3839" t="n">
        <v>0</v>
      </c>
      <c r="V3839" s="2" t="inlineStr"/>
    </row>
    <row r="3840" ht="15" customHeight="1">
      <c r="A3840" t="inlineStr">
        <is>
          <t>A 61031-2025</t>
        </is>
      </c>
      <c r="B3840" t="inlineStr">
        <is>
          <t>avverkningsanmälan</t>
        </is>
      </c>
      <c r="C3840" t="inlineStr">
        <is>
          <t>Föryngringsavverkning</t>
        </is>
      </c>
      <c r="D3840" s="1" t="n">
        <v>45999</v>
      </c>
      <c r="E3840" s="1" t="n">
        <v>46323</v>
      </c>
      <c r="F3840" t="inlineStr">
        <is>
          <t>KALMAR LÄN</t>
        </is>
      </c>
      <c r="G3840" t="inlineStr">
        <is>
          <t>HÖGSBY</t>
        </is>
      </c>
      <c r="H3840" t="inlineStr">
        <is>
          <t>Sveaskog</t>
        </is>
      </c>
      <c r="I3840" t="n">
        <v>18.4</v>
      </c>
      <c r="J3840" t="n">
        <v>0</v>
      </c>
      <c r="K3840" t="n">
        <v>0</v>
      </c>
      <c r="L3840" t="n">
        <v>0</v>
      </c>
      <c r="M3840" t="n">
        <v>0</v>
      </c>
      <c r="N3840" t="n">
        <v>0</v>
      </c>
      <c r="O3840" t="n">
        <v>0</v>
      </c>
      <c r="P3840" t="n">
        <v>0</v>
      </c>
      <c r="Q3840" t="n">
        <v>0</v>
      </c>
      <c r="R3840" t="n">
        <v>0</v>
      </c>
      <c r="S3840" t="n">
        <v>0</v>
      </c>
      <c r="T3840" t="n">
        <v>0</v>
      </c>
      <c r="U3840" t="n">
        <v>0</v>
      </c>
      <c r="V3840" s="2" t="inlineStr"/>
    </row>
    <row r="3841" ht="15" customHeight="1">
      <c r="A3841" t="inlineStr">
        <is>
          <t>A 63590-2025</t>
        </is>
      </c>
      <c r="B3841" t="inlineStr">
        <is>
          <t>avverkningsanmälan</t>
        </is>
      </c>
      <c r="C3841" t="inlineStr">
        <is>
          <t>Föryngringsavverkning</t>
        </is>
      </c>
      <c r="D3841" s="1" t="n">
        <v>46013</v>
      </c>
      <c r="E3841" s="1" t="n">
        <v>46323</v>
      </c>
      <c r="F3841" t="inlineStr">
        <is>
          <t>KALMAR LÄN</t>
        </is>
      </c>
      <c r="G3841" t="inlineStr">
        <is>
          <t>VÄSTERVIK</t>
        </is>
      </c>
      <c r="H3841" t="inlineStr">
        <is>
          <t>Sveaskog</t>
        </is>
      </c>
      <c r="I3841" t="n">
        <v>3.9</v>
      </c>
      <c r="J3841" t="n">
        <v>0</v>
      </c>
      <c r="K3841" t="n">
        <v>0</v>
      </c>
      <c r="L3841" t="n">
        <v>0</v>
      </c>
      <c r="M3841" t="n">
        <v>0</v>
      </c>
      <c r="N3841" t="n">
        <v>0</v>
      </c>
      <c r="O3841" t="n">
        <v>0</v>
      </c>
      <c r="P3841" t="n">
        <v>0</v>
      </c>
      <c r="Q3841" t="n">
        <v>0</v>
      </c>
      <c r="R3841" t="n">
        <v>0</v>
      </c>
      <c r="S3841" t="n">
        <v>0</v>
      </c>
      <c r="T3841" t="n">
        <v>0</v>
      </c>
      <c r="U3841" t="n">
        <v>0</v>
      </c>
      <c r="V3841" s="2" t="inlineStr"/>
    </row>
    <row r="3842" ht="15" customHeight="1">
      <c r="A3842" t="inlineStr">
        <is>
          <t>A 63591-2025</t>
        </is>
      </c>
      <c r="B3842" t="inlineStr">
        <is>
          <t>avverkningsanmälan</t>
        </is>
      </c>
      <c r="C3842" t="inlineStr">
        <is>
          <t>Föryngringsavverkning</t>
        </is>
      </c>
      <c r="D3842" s="1" t="n">
        <v>46013</v>
      </c>
      <c r="E3842" s="1" t="n">
        <v>46323</v>
      </c>
      <c r="F3842" t="inlineStr">
        <is>
          <t>KALMAR LÄN</t>
        </is>
      </c>
      <c r="G3842" t="inlineStr">
        <is>
          <t>VÄSTERVIK</t>
        </is>
      </c>
      <c r="H3842" t="inlineStr">
        <is>
          <t>Sveaskog</t>
        </is>
      </c>
      <c r="I3842" t="n">
        <v>13.7</v>
      </c>
      <c r="J3842" t="n">
        <v>0</v>
      </c>
      <c r="K3842" t="n">
        <v>0</v>
      </c>
      <c r="L3842" t="n">
        <v>0</v>
      </c>
      <c r="M3842" t="n">
        <v>0</v>
      </c>
      <c r="N3842" t="n">
        <v>0</v>
      </c>
      <c r="O3842" t="n">
        <v>0</v>
      </c>
      <c r="P3842" t="n">
        <v>0</v>
      </c>
      <c r="Q3842" t="n">
        <v>0</v>
      </c>
      <c r="R3842" t="n">
        <v>0</v>
      </c>
      <c r="S3842" t="n">
        <v>0</v>
      </c>
      <c r="T3842" t="n">
        <v>0</v>
      </c>
      <c r="U3842" t="n">
        <v>0</v>
      </c>
      <c r="V3842" s="2" t="inlineStr"/>
    </row>
    <row r="3843" ht="15" customHeight="1">
      <c r="A3843" t="inlineStr">
        <is>
          <t>A 61074-2025</t>
        </is>
      </c>
      <c r="B3843" t="inlineStr">
        <is>
          <t>avverkningsanmälan</t>
        </is>
      </c>
      <c r="C3843" t="inlineStr">
        <is>
          <t>Föryngringsavverkning</t>
        </is>
      </c>
      <c r="D3843" s="1" t="n">
        <v>46000</v>
      </c>
      <c r="E3843" s="1" t="n">
        <v>46323</v>
      </c>
      <c r="F3843" t="inlineStr">
        <is>
          <t>KALMAR LÄN</t>
        </is>
      </c>
      <c r="G3843" t="inlineStr">
        <is>
          <t>NYBRO</t>
        </is>
      </c>
      <c r="I3843" t="n">
        <v>0.7</v>
      </c>
      <c r="J3843" t="n">
        <v>0</v>
      </c>
      <c r="K3843" t="n">
        <v>0</v>
      </c>
      <c r="L3843" t="n">
        <v>0</v>
      </c>
      <c r="M3843" t="n">
        <v>0</v>
      </c>
      <c r="N3843" t="n">
        <v>0</v>
      </c>
      <c r="O3843" t="n">
        <v>0</v>
      </c>
      <c r="P3843" t="n">
        <v>0</v>
      </c>
      <c r="Q3843" t="n">
        <v>0</v>
      </c>
      <c r="R3843" t="n">
        <v>0</v>
      </c>
      <c r="S3843" t="n">
        <v>0</v>
      </c>
      <c r="T3843" t="n">
        <v>0</v>
      </c>
      <c r="U3843" t="n">
        <v>0</v>
      </c>
      <c r="V3843" s="2" t="inlineStr"/>
    </row>
    <row r="3844" ht="15" customHeight="1">
      <c r="A3844" t="inlineStr">
        <is>
          <t>A 20506-2025</t>
        </is>
      </c>
      <c r="B3844" t="inlineStr">
        <is>
          <t>avverkningsanmälan</t>
        </is>
      </c>
      <c r="C3844" t="inlineStr">
        <is>
          <t>Föryngringsavverkning</t>
        </is>
      </c>
      <c r="D3844" s="1" t="n">
        <v>45775</v>
      </c>
      <c r="E3844" s="1" t="n">
        <v>46323</v>
      </c>
      <c r="F3844" t="inlineStr">
        <is>
          <t>KALMAR LÄN</t>
        </is>
      </c>
      <c r="G3844" t="inlineStr">
        <is>
          <t>EMMABODA</t>
        </is>
      </c>
      <c r="I3844" t="n">
        <v>1</v>
      </c>
      <c r="J3844" t="n">
        <v>0</v>
      </c>
      <c r="K3844" t="n">
        <v>0</v>
      </c>
      <c r="L3844" t="n">
        <v>0</v>
      </c>
      <c r="M3844" t="n">
        <v>0</v>
      </c>
      <c r="N3844" t="n">
        <v>0</v>
      </c>
      <c r="O3844" t="n">
        <v>0</v>
      </c>
      <c r="P3844" t="n">
        <v>0</v>
      </c>
      <c r="Q3844" t="n">
        <v>0</v>
      </c>
      <c r="R3844" t="n">
        <v>0</v>
      </c>
      <c r="S3844" t="n">
        <v>0</v>
      </c>
      <c r="T3844" t="n">
        <v>0</v>
      </c>
      <c r="U3844" t="n">
        <v>0</v>
      </c>
      <c r="V3844" s="2" t="inlineStr"/>
    </row>
    <row r="3845" ht="15" customHeight="1">
      <c r="A3845" t="inlineStr">
        <is>
          <t>A 22894-2025</t>
        </is>
      </c>
      <c r="B3845" t="inlineStr">
        <is>
          <t>avverkningsanmälan</t>
        </is>
      </c>
      <c r="C3845" t="inlineStr">
        <is>
          <t>Föryngringsavverkning</t>
        </is>
      </c>
      <c r="D3845" s="1" t="n">
        <v>45790</v>
      </c>
      <c r="E3845" s="1" t="n">
        <v>46323</v>
      </c>
      <c r="F3845" t="inlineStr">
        <is>
          <t>KALMAR LÄN</t>
        </is>
      </c>
      <c r="G3845" t="inlineStr">
        <is>
          <t>TORSÅS</t>
        </is>
      </c>
      <c r="I3845" t="n">
        <v>3</v>
      </c>
      <c r="J3845" t="n">
        <v>0</v>
      </c>
      <c r="K3845" t="n">
        <v>0</v>
      </c>
      <c r="L3845" t="n">
        <v>0</v>
      </c>
      <c r="M3845" t="n">
        <v>0</v>
      </c>
      <c r="N3845" t="n">
        <v>0</v>
      </c>
      <c r="O3845" t="n">
        <v>0</v>
      </c>
      <c r="P3845" t="n">
        <v>0</v>
      </c>
      <c r="Q3845" t="n">
        <v>0</v>
      </c>
      <c r="R3845" t="n">
        <v>0</v>
      </c>
      <c r="S3845" t="n">
        <v>0</v>
      </c>
      <c r="T3845" t="n">
        <v>0</v>
      </c>
      <c r="U3845" t="n">
        <v>0</v>
      </c>
      <c r="V3845" s="2" t="inlineStr"/>
    </row>
    <row r="3846" ht="15" customHeight="1">
      <c r="A3846" t="inlineStr">
        <is>
          <t>A 61037-2025</t>
        </is>
      </c>
      <c r="B3846" t="inlineStr">
        <is>
          <t>avverkningsanmälan</t>
        </is>
      </c>
      <c r="C3846" t="inlineStr">
        <is>
          <t>Föryngringsavverkning</t>
        </is>
      </c>
      <c r="D3846" s="1" t="n">
        <v>45999</v>
      </c>
      <c r="E3846" s="1" t="n">
        <v>46323</v>
      </c>
      <c r="F3846" t="inlineStr">
        <is>
          <t>KALMAR LÄN</t>
        </is>
      </c>
      <c r="G3846" t="inlineStr">
        <is>
          <t>OSKARSHAMN</t>
        </is>
      </c>
      <c r="I3846" t="n">
        <v>2.5</v>
      </c>
      <c r="J3846" t="n">
        <v>0</v>
      </c>
      <c r="K3846" t="n">
        <v>0</v>
      </c>
      <c r="L3846" t="n">
        <v>0</v>
      </c>
      <c r="M3846" t="n">
        <v>0</v>
      </c>
      <c r="N3846" t="n">
        <v>0</v>
      </c>
      <c r="O3846" t="n">
        <v>0</v>
      </c>
      <c r="P3846" t="n">
        <v>0</v>
      </c>
      <c r="Q3846" t="n">
        <v>0</v>
      </c>
      <c r="R3846" t="n">
        <v>0</v>
      </c>
      <c r="S3846" t="n">
        <v>0</v>
      </c>
      <c r="T3846" t="n">
        <v>0</v>
      </c>
      <c r="U3846" t="n">
        <v>0</v>
      </c>
      <c r="V3846" s="2" t="inlineStr"/>
    </row>
    <row r="3847" ht="15" customHeight="1">
      <c r="A3847" t="inlineStr">
        <is>
          <t>A 13416-2022</t>
        </is>
      </c>
      <c r="B3847" t="inlineStr">
        <is>
          <t>avverkningsanmälan</t>
        </is>
      </c>
      <c r="C3847" t="inlineStr">
        <is>
          <t>Föryngringsavverkning</t>
        </is>
      </c>
      <c r="D3847" s="1" t="n">
        <v>44645</v>
      </c>
      <c r="E3847" s="1" t="n">
        <v>46323</v>
      </c>
      <c r="F3847" t="inlineStr">
        <is>
          <t>KALMAR LÄN</t>
        </is>
      </c>
      <c r="G3847" t="inlineStr">
        <is>
          <t>KALMAR</t>
        </is>
      </c>
      <c r="I3847" t="n">
        <v>1.6</v>
      </c>
      <c r="J3847" t="n">
        <v>0</v>
      </c>
      <c r="K3847" t="n">
        <v>0</v>
      </c>
      <c r="L3847" t="n">
        <v>0</v>
      </c>
      <c r="M3847" t="n">
        <v>0</v>
      </c>
      <c r="N3847" t="n">
        <v>0</v>
      </c>
      <c r="O3847" t="n">
        <v>0</v>
      </c>
      <c r="P3847" t="n">
        <v>0</v>
      </c>
      <c r="Q3847" t="n">
        <v>0</v>
      </c>
      <c r="R3847" t="n">
        <v>0</v>
      </c>
      <c r="S3847" t="n">
        <v>0</v>
      </c>
      <c r="T3847" t="n">
        <v>0</v>
      </c>
      <c r="U3847" t="n">
        <v>0</v>
      </c>
      <c r="V3847" s="2" t="inlineStr"/>
    </row>
    <row r="3848" ht="15" customHeight="1">
      <c r="A3848" t="inlineStr">
        <is>
          <t>A 28657-2024</t>
        </is>
      </c>
      <c r="B3848" t="inlineStr">
        <is>
          <t>avverkningsanmälan</t>
        </is>
      </c>
      <c r="C3848" t="inlineStr">
        <is>
          <t>Föryngringsavverkning</t>
        </is>
      </c>
      <c r="D3848" s="1" t="n">
        <v>45478</v>
      </c>
      <c r="E3848" s="1" t="n">
        <v>46323</v>
      </c>
      <c r="F3848" t="inlineStr">
        <is>
          <t>KALMAR LÄN</t>
        </is>
      </c>
      <c r="G3848" t="inlineStr">
        <is>
          <t>VÄSTERVIK</t>
        </is>
      </c>
      <c r="I3848" t="n">
        <v>0.5</v>
      </c>
      <c r="J3848" t="n">
        <v>0</v>
      </c>
      <c r="K3848" t="n">
        <v>0</v>
      </c>
      <c r="L3848" t="n">
        <v>0</v>
      </c>
      <c r="M3848" t="n">
        <v>0</v>
      </c>
      <c r="N3848" t="n">
        <v>0</v>
      </c>
      <c r="O3848" t="n">
        <v>0</v>
      </c>
      <c r="P3848" t="n">
        <v>0</v>
      </c>
      <c r="Q3848" t="n">
        <v>0</v>
      </c>
      <c r="R3848" t="n">
        <v>0</v>
      </c>
      <c r="S3848" t="n">
        <v>0</v>
      </c>
      <c r="T3848" t="n">
        <v>0</v>
      </c>
      <c r="U3848" t="n">
        <v>0</v>
      </c>
      <c r="V3848" s="2" t="inlineStr"/>
    </row>
    <row r="3849" ht="15" customHeight="1">
      <c r="A3849" t="inlineStr">
        <is>
          <t>A 13445-2022</t>
        </is>
      </c>
      <c r="B3849" t="inlineStr">
        <is>
          <t>avverkningsanmälan</t>
        </is>
      </c>
      <c r="C3849" t="inlineStr">
        <is>
          <t>Föryngringsavverkning</t>
        </is>
      </c>
      <c r="D3849" s="1" t="n">
        <v>44645</v>
      </c>
      <c r="E3849" s="1" t="n">
        <v>46323</v>
      </c>
      <c r="F3849" t="inlineStr">
        <is>
          <t>KALMAR LÄN</t>
        </is>
      </c>
      <c r="G3849" t="inlineStr">
        <is>
          <t>NYBRO</t>
        </is>
      </c>
      <c r="I3849" t="n">
        <v>1.1</v>
      </c>
      <c r="J3849" t="n">
        <v>0</v>
      </c>
      <c r="K3849" t="n">
        <v>0</v>
      </c>
      <c r="L3849" t="n">
        <v>0</v>
      </c>
      <c r="M3849" t="n">
        <v>0</v>
      </c>
      <c r="N3849" t="n">
        <v>0</v>
      </c>
      <c r="O3849" t="n">
        <v>0</v>
      </c>
      <c r="P3849" t="n">
        <v>0</v>
      </c>
      <c r="Q3849" t="n">
        <v>0</v>
      </c>
      <c r="R3849" t="n">
        <v>0</v>
      </c>
      <c r="S3849" t="n">
        <v>0</v>
      </c>
      <c r="T3849" t="n">
        <v>0</v>
      </c>
      <c r="U3849" t="n">
        <v>0</v>
      </c>
      <c r="V3849" s="2" t="inlineStr"/>
    </row>
    <row r="3850" ht="15" customHeight="1">
      <c r="A3850" t="inlineStr">
        <is>
          <t>A 60674-2024</t>
        </is>
      </c>
      <c r="B3850" t="inlineStr">
        <is>
          <t>avverkningsanmälan</t>
        </is>
      </c>
      <c r="C3850" t="inlineStr">
        <is>
          <t>Föryngringsavverkning</t>
        </is>
      </c>
      <c r="D3850" s="1" t="n">
        <v>45644</v>
      </c>
      <c r="E3850" s="1" t="n">
        <v>46323</v>
      </c>
      <c r="F3850" t="inlineStr">
        <is>
          <t>KALMAR LÄN</t>
        </is>
      </c>
      <c r="G3850" t="inlineStr">
        <is>
          <t>EMMABODA</t>
        </is>
      </c>
      <c r="I3850" t="n">
        <v>1</v>
      </c>
      <c r="J3850" t="n">
        <v>0</v>
      </c>
      <c r="K3850" t="n">
        <v>0</v>
      </c>
      <c r="L3850" t="n">
        <v>0</v>
      </c>
      <c r="M3850" t="n">
        <v>0</v>
      </c>
      <c r="N3850" t="n">
        <v>0</v>
      </c>
      <c r="O3850" t="n">
        <v>0</v>
      </c>
      <c r="P3850" t="n">
        <v>0</v>
      </c>
      <c r="Q3850" t="n">
        <v>0</v>
      </c>
      <c r="R3850" t="n">
        <v>0</v>
      </c>
      <c r="S3850" t="n">
        <v>0</v>
      </c>
      <c r="T3850" t="n">
        <v>0</v>
      </c>
      <c r="U3850" t="n">
        <v>0</v>
      </c>
      <c r="V3850" s="2" t="inlineStr"/>
    </row>
    <row r="3851" ht="15" customHeight="1">
      <c r="A3851" t="inlineStr">
        <is>
          <t>A 2462-2022</t>
        </is>
      </c>
      <c r="B3851" t="inlineStr">
        <is>
          <t>avverkningsanmälan</t>
        </is>
      </c>
      <c r="C3851" t="inlineStr">
        <is>
          <t>Föryngringsavverkning</t>
        </is>
      </c>
      <c r="D3851" s="1" t="n">
        <v>44579</v>
      </c>
      <c r="E3851" s="1" t="n">
        <v>46323</v>
      </c>
      <c r="F3851" t="inlineStr">
        <is>
          <t>KALMAR LÄN</t>
        </is>
      </c>
      <c r="G3851" t="inlineStr">
        <is>
          <t>VIMMERBY</t>
        </is>
      </c>
      <c r="I3851" t="n">
        <v>1.1</v>
      </c>
      <c r="J3851" t="n">
        <v>0</v>
      </c>
      <c r="K3851" t="n">
        <v>0</v>
      </c>
      <c r="L3851" t="n">
        <v>0</v>
      </c>
      <c r="M3851" t="n">
        <v>0</v>
      </c>
      <c r="N3851" t="n">
        <v>0</v>
      </c>
      <c r="O3851" t="n">
        <v>0</v>
      </c>
      <c r="P3851" t="n">
        <v>0</v>
      </c>
      <c r="Q3851" t="n">
        <v>0</v>
      </c>
      <c r="R3851" t="n">
        <v>0</v>
      </c>
      <c r="S3851" t="n">
        <v>0</v>
      </c>
      <c r="T3851" t="n">
        <v>0</v>
      </c>
      <c r="U3851" t="n">
        <v>0</v>
      </c>
      <c r="V3851" s="2" t="inlineStr"/>
    </row>
    <row r="3852" ht="15" customHeight="1">
      <c r="A3852" t="inlineStr">
        <is>
          <t>A 16788-2025</t>
        </is>
      </c>
      <c r="B3852" t="inlineStr">
        <is>
          <t>avverkningsanmälan</t>
        </is>
      </c>
      <c r="C3852" t="inlineStr">
        <is>
          <t>Föryngringsavverkning</t>
        </is>
      </c>
      <c r="D3852" s="1" t="n">
        <v>45754</v>
      </c>
      <c r="E3852" s="1" t="n">
        <v>46323</v>
      </c>
      <c r="F3852" t="inlineStr">
        <is>
          <t>KALMAR LÄN</t>
        </is>
      </c>
      <c r="G3852" t="inlineStr">
        <is>
          <t>OSKARSHAMN</t>
        </is>
      </c>
      <c r="I3852" t="n">
        <v>2.2</v>
      </c>
      <c r="J3852" t="n">
        <v>0</v>
      </c>
      <c r="K3852" t="n">
        <v>0</v>
      </c>
      <c r="L3852" t="n">
        <v>0</v>
      </c>
      <c r="M3852" t="n">
        <v>0</v>
      </c>
      <c r="N3852" t="n">
        <v>0</v>
      </c>
      <c r="O3852" t="n">
        <v>0</v>
      </c>
      <c r="P3852" t="n">
        <v>0</v>
      </c>
      <c r="Q3852" t="n">
        <v>0</v>
      </c>
      <c r="R3852" t="n">
        <v>0</v>
      </c>
      <c r="S3852" t="n">
        <v>0</v>
      </c>
      <c r="T3852" t="n">
        <v>0</v>
      </c>
      <c r="U3852" t="n">
        <v>0</v>
      </c>
      <c r="V3852" s="2" t="inlineStr"/>
    </row>
    <row r="3853" ht="15" customHeight="1">
      <c r="A3853" t="inlineStr">
        <is>
          <t>A 42847-2024</t>
        </is>
      </c>
      <c r="B3853" t="inlineStr">
        <is>
          <t>avverkningsanmälan</t>
        </is>
      </c>
      <c r="C3853" t="inlineStr">
        <is>
          <t>Föryngringsavverkning</t>
        </is>
      </c>
      <c r="D3853" s="1" t="n">
        <v>45566</v>
      </c>
      <c r="E3853" s="1" t="n">
        <v>46323</v>
      </c>
      <c r="F3853" t="inlineStr">
        <is>
          <t>KALMAR LÄN</t>
        </is>
      </c>
      <c r="G3853" t="inlineStr">
        <is>
          <t>EMMABODA</t>
        </is>
      </c>
      <c r="I3853" t="n">
        <v>1.1</v>
      </c>
      <c r="J3853" t="n">
        <v>0</v>
      </c>
      <c r="K3853" t="n">
        <v>0</v>
      </c>
      <c r="L3853" t="n">
        <v>0</v>
      </c>
      <c r="M3853" t="n">
        <v>0</v>
      </c>
      <c r="N3853" t="n">
        <v>0</v>
      </c>
      <c r="O3853" t="n">
        <v>0</v>
      </c>
      <c r="P3853" t="n">
        <v>0</v>
      </c>
      <c r="Q3853" t="n">
        <v>0</v>
      </c>
      <c r="R3853" t="n">
        <v>0</v>
      </c>
      <c r="S3853" t="n">
        <v>0</v>
      </c>
      <c r="T3853" t="n">
        <v>0</v>
      </c>
      <c r="U3853" t="n">
        <v>0</v>
      </c>
      <c r="V3853" s="2" t="inlineStr"/>
    </row>
    <row r="3854" ht="15" customHeight="1">
      <c r="A3854" t="inlineStr">
        <is>
          <t>A 28347-2026</t>
        </is>
      </c>
      <c r="B3854" t="inlineStr">
        <is>
          <t>avverkningsanmälan</t>
        </is>
      </c>
      <c r="C3854" t="inlineStr">
        <is>
          <t>Föryngringsavverkning</t>
        </is>
      </c>
      <c r="D3854" s="1" t="n">
        <v>46196</v>
      </c>
      <c r="E3854" s="1" t="n">
        <v>46323</v>
      </c>
      <c r="F3854" t="inlineStr">
        <is>
          <t>KALMAR LÄN</t>
        </is>
      </c>
      <c r="G3854" t="inlineStr">
        <is>
          <t>EMMABODA</t>
        </is>
      </c>
      <c r="I3854" t="n">
        <v>1.3</v>
      </c>
      <c r="J3854" t="n">
        <v>0</v>
      </c>
      <c r="K3854" t="n">
        <v>0</v>
      </c>
      <c r="L3854" t="n">
        <v>0</v>
      </c>
      <c r="M3854" t="n">
        <v>0</v>
      </c>
      <c r="N3854" t="n">
        <v>0</v>
      </c>
      <c r="O3854" t="n">
        <v>0</v>
      </c>
      <c r="P3854" t="n">
        <v>0</v>
      </c>
      <c r="Q3854" t="n">
        <v>0</v>
      </c>
      <c r="R3854" t="n">
        <v>0</v>
      </c>
      <c r="S3854" t="n">
        <v>0</v>
      </c>
      <c r="T3854" t="n">
        <v>0</v>
      </c>
      <c r="U3854" t="n">
        <v>0</v>
      </c>
      <c r="V3854" s="2" t="inlineStr"/>
    </row>
    <row r="3855" ht="15" customHeight="1">
      <c r="A3855" t="inlineStr">
        <is>
          <t>A 28444-2026</t>
        </is>
      </c>
      <c r="B3855" t="inlineStr">
        <is>
          <t>avverkningsanmälan</t>
        </is>
      </c>
      <c r="C3855" t="inlineStr">
        <is>
          <t>Föryngringsavverkning</t>
        </is>
      </c>
      <c r="D3855" s="1" t="n">
        <v>46197</v>
      </c>
      <c r="E3855" s="1" t="n">
        <v>46323</v>
      </c>
      <c r="F3855" t="inlineStr">
        <is>
          <t>KALMAR LÄN</t>
        </is>
      </c>
      <c r="G3855" t="inlineStr">
        <is>
          <t>KALMAR</t>
        </is>
      </c>
      <c r="I3855" t="n">
        <v>3.7</v>
      </c>
      <c r="J3855" t="n">
        <v>0</v>
      </c>
      <c r="K3855" t="n">
        <v>0</v>
      </c>
      <c r="L3855" t="n">
        <v>0</v>
      </c>
      <c r="M3855" t="n">
        <v>0</v>
      </c>
      <c r="N3855" t="n">
        <v>0</v>
      </c>
      <c r="O3855" t="n">
        <v>0</v>
      </c>
      <c r="P3855" t="n">
        <v>0</v>
      </c>
      <c r="Q3855" t="n">
        <v>0</v>
      </c>
      <c r="R3855" t="n">
        <v>0</v>
      </c>
      <c r="S3855" t="n">
        <v>0</v>
      </c>
      <c r="T3855" t="n">
        <v>0</v>
      </c>
      <c r="U3855" t="n">
        <v>0</v>
      </c>
      <c r="V3855" s="2" t="inlineStr"/>
    </row>
    <row r="3856" ht="15" customHeight="1">
      <c r="A3856" t="inlineStr">
        <is>
          <t>A 28411-2026</t>
        </is>
      </c>
      <c r="B3856" t="inlineStr">
        <is>
          <t>avverkningsanmälan</t>
        </is>
      </c>
      <c r="C3856" t="inlineStr">
        <is>
          <t>Avverkning för att bevara och utveckla /försöksver</t>
        </is>
      </c>
      <c r="D3856" s="1" t="n">
        <v>46197</v>
      </c>
      <c r="E3856" s="1" t="n">
        <v>46323</v>
      </c>
      <c r="F3856" t="inlineStr">
        <is>
          <t>KALMAR LÄN</t>
        </is>
      </c>
      <c r="G3856" t="inlineStr">
        <is>
          <t>BORGHOLM</t>
        </is>
      </c>
      <c r="H3856" t="inlineStr">
        <is>
          <t>Sveaskog</t>
        </is>
      </c>
      <c r="I3856" t="n">
        <v>0.5</v>
      </c>
      <c r="J3856" t="n">
        <v>0</v>
      </c>
      <c r="K3856" t="n">
        <v>0</v>
      </c>
      <c r="L3856" t="n">
        <v>0</v>
      </c>
      <c r="M3856" t="n">
        <v>0</v>
      </c>
      <c r="N3856" t="n">
        <v>0</v>
      </c>
      <c r="O3856" t="n">
        <v>0</v>
      </c>
      <c r="P3856" t="n">
        <v>0</v>
      </c>
      <c r="Q3856" t="n">
        <v>0</v>
      </c>
      <c r="R3856" t="n">
        <v>0</v>
      </c>
      <c r="S3856" t="n">
        <v>0</v>
      </c>
      <c r="T3856" t="n">
        <v>0</v>
      </c>
      <c r="U3856" t="n">
        <v>0</v>
      </c>
      <c r="V3856" s="2" t="inlineStr"/>
    </row>
    <row r="3857" ht="15" customHeight="1">
      <c r="A3857" t="inlineStr">
        <is>
          <t>A 28448-2026</t>
        </is>
      </c>
      <c r="B3857" t="inlineStr">
        <is>
          <t>avverkningsanmälan</t>
        </is>
      </c>
      <c r="C3857" t="inlineStr">
        <is>
          <t>Föryngringsavverkning</t>
        </is>
      </c>
      <c r="D3857" s="1" t="n">
        <v>46197</v>
      </c>
      <c r="E3857" s="1" t="n">
        <v>46323</v>
      </c>
      <c r="F3857" t="inlineStr">
        <is>
          <t>KALMAR LÄN</t>
        </is>
      </c>
      <c r="G3857" t="inlineStr">
        <is>
          <t>EMMABODA</t>
        </is>
      </c>
      <c r="H3857" t="inlineStr">
        <is>
          <t>Sveaskog</t>
        </is>
      </c>
      <c r="I3857" t="n">
        <v>6.3</v>
      </c>
      <c r="J3857" t="n">
        <v>0</v>
      </c>
      <c r="K3857" t="n">
        <v>0</v>
      </c>
      <c r="L3857" t="n">
        <v>0</v>
      </c>
      <c r="M3857" t="n">
        <v>0</v>
      </c>
      <c r="N3857" t="n">
        <v>0</v>
      </c>
      <c r="O3857" t="n">
        <v>0</v>
      </c>
      <c r="P3857" t="n">
        <v>0</v>
      </c>
      <c r="Q3857" t="n">
        <v>0</v>
      </c>
      <c r="R3857" t="n">
        <v>0</v>
      </c>
      <c r="S3857" t="n">
        <v>0</v>
      </c>
      <c r="T3857" t="n">
        <v>0</v>
      </c>
      <c r="U3857" t="n">
        <v>0</v>
      </c>
      <c r="V3857" s="2" t="inlineStr"/>
    </row>
    <row r="3858" ht="15" customHeight="1">
      <c r="A3858" t="inlineStr">
        <is>
          <t>A 63758-2025</t>
        </is>
      </c>
      <c r="B3858" t="inlineStr">
        <is>
          <t>avverkningsanmälan</t>
        </is>
      </c>
      <c r="C3858" t="inlineStr">
        <is>
          <t>Föryngringsavverkning</t>
        </is>
      </c>
      <c r="D3858" s="1" t="n">
        <v>46018</v>
      </c>
      <c r="E3858" s="1" t="n">
        <v>46323</v>
      </c>
      <c r="F3858" t="inlineStr">
        <is>
          <t>KALMAR LÄN</t>
        </is>
      </c>
      <c r="G3858" t="inlineStr">
        <is>
          <t>VIMMERBY</t>
        </is>
      </c>
      <c r="I3858" t="n">
        <v>0.6</v>
      </c>
      <c r="J3858" t="n">
        <v>0</v>
      </c>
      <c r="K3858" t="n">
        <v>0</v>
      </c>
      <c r="L3858" t="n">
        <v>0</v>
      </c>
      <c r="M3858" t="n">
        <v>0</v>
      </c>
      <c r="N3858" t="n">
        <v>0</v>
      </c>
      <c r="O3858" t="n">
        <v>0</v>
      </c>
      <c r="P3858" t="n">
        <v>0</v>
      </c>
      <c r="Q3858" t="n">
        <v>0</v>
      </c>
      <c r="R3858" t="n">
        <v>0</v>
      </c>
      <c r="S3858" t="n">
        <v>0</v>
      </c>
      <c r="T3858" t="n">
        <v>0</v>
      </c>
      <c r="U3858" t="n">
        <v>0</v>
      </c>
      <c r="V3858" s="2" t="inlineStr"/>
    </row>
    <row r="3859" ht="15" customHeight="1">
      <c r="A3859" t="inlineStr">
        <is>
          <t>A 50914-2023</t>
        </is>
      </c>
      <c r="B3859" t="inlineStr">
        <is>
          <t>avverkningsanmälan</t>
        </is>
      </c>
      <c r="C3859" t="inlineStr">
        <is>
          <t>Avverkning för annat ändamål</t>
        </is>
      </c>
      <c r="D3859" s="1" t="n">
        <v>45218</v>
      </c>
      <c r="E3859" s="1" t="n">
        <v>46323</v>
      </c>
      <c r="F3859" t="inlineStr">
        <is>
          <t>KALMAR LÄN</t>
        </is>
      </c>
      <c r="G3859" t="inlineStr">
        <is>
          <t>MÖNSTERÅS</t>
        </is>
      </c>
      <c r="I3859" t="n">
        <v>0.6</v>
      </c>
      <c r="J3859" t="n">
        <v>0</v>
      </c>
      <c r="K3859" t="n">
        <v>0</v>
      </c>
      <c r="L3859" t="n">
        <v>0</v>
      </c>
      <c r="M3859" t="n">
        <v>0</v>
      </c>
      <c r="N3859" t="n">
        <v>0</v>
      </c>
      <c r="O3859" t="n">
        <v>0</v>
      </c>
      <c r="P3859" t="n">
        <v>0</v>
      </c>
      <c r="Q3859" t="n">
        <v>0</v>
      </c>
      <c r="R3859" t="n">
        <v>0</v>
      </c>
      <c r="S3859" t="n">
        <v>0</v>
      </c>
      <c r="T3859" t="n">
        <v>0</v>
      </c>
      <c r="U3859" t="n">
        <v>0</v>
      </c>
      <c r="V3859" s="2" t="inlineStr"/>
    </row>
    <row r="3860" ht="15" customHeight="1">
      <c r="A3860" t="inlineStr">
        <is>
          <t>A 26061-2024</t>
        </is>
      </c>
      <c r="B3860" t="inlineStr">
        <is>
          <t>avverkningsanmälan</t>
        </is>
      </c>
      <c r="C3860" t="inlineStr">
        <is>
          <t>Föryngringsavverkning</t>
        </is>
      </c>
      <c r="D3860" s="1" t="n">
        <v>45468</v>
      </c>
      <c r="E3860" s="1" t="n">
        <v>46323</v>
      </c>
      <c r="F3860" t="inlineStr">
        <is>
          <t>KALMAR LÄN</t>
        </is>
      </c>
      <c r="G3860" t="inlineStr">
        <is>
          <t>VÄSTERVIK</t>
        </is>
      </c>
      <c r="I3860" t="n">
        <v>0.5</v>
      </c>
      <c r="J3860" t="n">
        <v>0</v>
      </c>
      <c r="K3860" t="n">
        <v>0</v>
      </c>
      <c r="L3860" t="n">
        <v>0</v>
      </c>
      <c r="M3860" t="n">
        <v>0</v>
      </c>
      <c r="N3860" t="n">
        <v>0</v>
      </c>
      <c r="O3860" t="n">
        <v>0</v>
      </c>
      <c r="P3860" t="n">
        <v>0</v>
      </c>
      <c r="Q3860" t="n">
        <v>0</v>
      </c>
      <c r="R3860" t="n">
        <v>0</v>
      </c>
      <c r="S3860" t="n">
        <v>0</v>
      </c>
      <c r="T3860" t="n">
        <v>0</v>
      </c>
      <c r="U3860" t="n">
        <v>0</v>
      </c>
      <c r="V3860" s="2" t="inlineStr"/>
    </row>
    <row r="3861" ht="15" customHeight="1">
      <c r="A3861" t="inlineStr">
        <is>
          <t>A 26066-2024</t>
        </is>
      </c>
      <c r="B3861" t="inlineStr">
        <is>
          <t>avverkningsanmälan</t>
        </is>
      </c>
      <c r="C3861" t="inlineStr">
        <is>
          <t>Föryngringsavverkning</t>
        </is>
      </c>
      <c r="D3861" s="1" t="n">
        <v>45468</v>
      </c>
      <c r="E3861" s="1" t="n">
        <v>46323</v>
      </c>
      <c r="F3861" t="inlineStr">
        <is>
          <t>KALMAR LÄN</t>
        </is>
      </c>
      <c r="G3861" t="inlineStr">
        <is>
          <t>VÄSTERVIK</t>
        </is>
      </c>
      <c r="I3861" t="n">
        <v>0.6</v>
      </c>
      <c r="J3861" t="n">
        <v>0</v>
      </c>
      <c r="K3861" t="n">
        <v>0</v>
      </c>
      <c r="L3861" t="n">
        <v>0</v>
      </c>
      <c r="M3861" t="n">
        <v>0</v>
      </c>
      <c r="N3861" t="n">
        <v>0</v>
      </c>
      <c r="O3861" t="n">
        <v>0</v>
      </c>
      <c r="P3861" t="n">
        <v>0</v>
      </c>
      <c r="Q3861" t="n">
        <v>0</v>
      </c>
      <c r="R3861" t="n">
        <v>0</v>
      </c>
      <c r="S3861" t="n">
        <v>0</v>
      </c>
      <c r="T3861" t="n">
        <v>0</v>
      </c>
      <c r="U3861" t="n">
        <v>0</v>
      </c>
      <c r="V3861" s="2" t="inlineStr"/>
    </row>
    <row r="3862" ht="15" customHeight="1">
      <c r="A3862" t="inlineStr">
        <is>
          <t>A 58764-2024</t>
        </is>
      </c>
      <c r="B3862" t="inlineStr">
        <is>
          <t>avverkningsanmälan</t>
        </is>
      </c>
      <c r="C3862" t="inlineStr">
        <is>
          <t>Föryngringsavverkning</t>
        </is>
      </c>
      <c r="D3862" s="1" t="n">
        <v>45635</v>
      </c>
      <c r="E3862" s="1" t="n">
        <v>46323</v>
      </c>
      <c r="F3862" t="inlineStr">
        <is>
          <t>KALMAR LÄN</t>
        </is>
      </c>
      <c r="G3862" t="inlineStr">
        <is>
          <t>VÄSTERVIK</t>
        </is>
      </c>
      <c r="I3862" t="n">
        <v>0.7</v>
      </c>
      <c r="J3862" t="n">
        <v>0</v>
      </c>
      <c r="K3862" t="n">
        <v>0</v>
      </c>
      <c r="L3862" t="n">
        <v>0</v>
      </c>
      <c r="M3862" t="n">
        <v>0</v>
      </c>
      <c r="N3862" t="n">
        <v>0</v>
      </c>
      <c r="O3862" t="n">
        <v>0</v>
      </c>
      <c r="P3862" t="n">
        <v>0</v>
      </c>
      <c r="Q3862" t="n">
        <v>0</v>
      </c>
      <c r="R3862" t="n">
        <v>0</v>
      </c>
      <c r="S3862" t="n">
        <v>0</v>
      </c>
      <c r="T3862" t="n">
        <v>0</v>
      </c>
      <c r="U3862" t="n">
        <v>0</v>
      </c>
      <c r="V3862" s="2" t="inlineStr"/>
    </row>
    <row r="3863" ht="15" customHeight="1">
      <c r="A3863" t="inlineStr">
        <is>
          <t>A 63835-2025</t>
        </is>
      </c>
      <c r="B3863" t="inlineStr">
        <is>
          <t>avverkningsanmälan</t>
        </is>
      </c>
      <c r="C3863" t="inlineStr">
        <is>
          <t>Föryngringsavverkning</t>
        </is>
      </c>
      <c r="D3863" s="1" t="n">
        <v>46020</v>
      </c>
      <c r="E3863" s="1" t="n">
        <v>46323</v>
      </c>
      <c r="F3863" t="inlineStr">
        <is>
          <t>KALMAR LÄN</t>
        </is>
      </c>
      <c r="G3863" t="inlineStr">
        <is>
          <t>VÄSTERVIK</t>
        </is>
      </c>
      <c r="I3863" t="n">
        <v>2.8</v>
      </c>
      <c r="J3863" t="n">
        <v>0</v>
      </c>
      <c r="K3863" t="n">
        <v>0</v>
      </c>
      <c r="L3863" t="n">
        <v>0</v>
      </c>
      <c r="M3863" t="n">
        <v>0</v>
      </c>
      <c r="N3863" t="n">
        <v>0</v>
      </c>
      <c r="O3863" t="n">
        <v>0</v>
      </c>
      <c r="P3863" t="n">
        <v>0</v>
      </c>
      <c r="Q3863" t="n">
        <v>0</v>
      </c>
      <c r="R3863" t="n">
        <v>0</v>
      </c>
      <c r="S3863" t="n">
        <v>0</v>
      </c>
      <c r="T3863" t="n">
        <v>0</v>
      </c>
      <c r="U3863" t="n">
        <v>0</v>
      </c>
      <c r="V3863" s="2" t="inlineStr"/>
    </row>
    <row r="3864" ht="15" customHeight="1">
      <c r="A3864" t="inlineStr">
        <is>
          <t>A 28677-2026</t>
        </is>
      </c>
      <c r="B3864" t="inlineStr">
        <is>
          <t>avverkningsanmälan</t>
        </is>
      </c>
      <c r="C3864" t="inlineStr">
        <is>
          <t>Föryngringsavverkning</t>
        </is>
      </c>
      <c r="D3864" s="1" t="n">
        <v>46198</v>
      </c>
      <c r="E3864" s="1" t="n">
        <v>46323</v>
      </c>
      <c r="F3864" t="inlineStr">
        <is>
          <t>KALMAR LÄN</t>
        </is>
      </c>
      <c r="G3864" t="inlineStr">
        <is>
          <t>EMMABODA</t>
        </is>
      </c>
      <c r="I3864" t="n">
        <v>2.6</v>
      </c>
      <c r="J3864" t="n">
        <v>0</v>
      </c>
      <c r="K3864" t="n">
        <v>0</v>
      </c>
      <c r="L3864" t="n">
        <v>0</v>
      </c>
      <c r="M3864" t="n">
        <v>0</v>
      </c>
      <c r="N3864" t="n">
        <v>0</v>
      </c>
      <c r="O3864" t="n">
        <v>0</v>
      </c>
      <c r="P3864" t="n">
        <v>0</v>
      </c>
      <c r="Q3864" t="n">
        <v>0</v>
      </c>
      <c r="R3864" t="n">
        <v>0</v>
      </c>
      <c r="S3864" t="n">
        <v>0</v>
      </c>
      <c r="T3864" t="n">
        <v>0</v>
      </c>
      <c r="U3864" t="n">
        <v>0</v>
      </c>
      <c r="V3864" s="2" t="inlineStr"/>
    </row>
    <row r="3865" ht="15" customHeight="1">
      <c r="A3865" t="inlineStr">
        <is>
          <t>A 29085-2024</t>
        </is>
      </c>
      <c r="B3865" t="inlineStr">
        <is>
          <t>avverkningsanmälan</t>
        </is>
      </c>
      <c r="C3865" t="inlineStr">
        <is>
          <t>Föryngringsavverkning</t>
        </is>
      </c>
      <c r="D3865" s="1" t="n">
        <v>45481</v>
      </c>
      <c r="E3865" s="1" t="n">
        <v>46323</v>
      </c>
      <c r="F3865" t="inlineStr">
        <is>
          <t>KALMAR LÄN</t>
        </is>
      </c>
      <c r="G3865" t="inlineStr">
        <is>
          <t>EMMABODA</t>
        </is>
      </c>
      <c r="I3865" t="n">
        <v>1.6</v>
      </c>
      <c r="J3865" t="n">
        <v>0</v>
      </c>
      <c r="K3865" t="n">
        <v>0</v>
      </c>
      <c r="L3865" t="n">
        <v>0</v>
      </c>
      <c r="M3865" t="n">
        <v>0</v>
      </c>
      <c r="N3865" t="n">
        <v>0</v>
      </c>
      <c r="O3865" t="n">
        <v>0</v>
      </c>
      <c r="P3865" t="n">
        <v>0</v>
      </c>
      <c r="Q3865" t="n">
        <v>0</v>
      </c>
      <c r="R3865" t="n">
        <v>0</v>
      </c>
      <c r="S3865" t="n">
        <v>0</v>
      </c>
      <c r="T3865" t="n">
        <v>0</v>
      </c>
      <c r="U3865" t="n">
        <v>0</v>
      </c>
      <c r="V3865" s="2" t="inlineStr"/>
    </row>
    <row r="3866" ht="15" customHeight="1">
      <c r="A3866" t="inlineStr">
        <is>
          <t>A 60717-2024</t>
        </is>
      </c>
      <c r="B3866" t="inlineStr">
        <is>
          <t>avverkningsanmälan</t>
        </is>
      </c>
      <c r="C3866" t="inlineStr">
        <is>
          <t>Föryngringsavverkning</t>
        </is>
      </c>
      <c r="D3866" s="1" t="n">
        <v>45644</v>
      </c>
      <c r="E3866" s="1" t="n">
        <v>46323</v>
      </c>
      <c r="F3866" t="inlineStr">
        <is>
          <t>KALMAR LÄN</t>
        </is>
      </c>
      <c r="G3866" t="inlineStr">
        <is>
          <t>OSKARSHAMN</t>
        </is>
      </c>
      <c r="I3866" t="n">
        <v>3.2</v>
      </c>
      <c r="J3866" t="n">
        <v>0</v>
      </c>
      <c r="K3866" t="n">
        <v>0</v>
      </c>
      <c r="L3866" t="n">
        <v>0</v>
      </c>
      <c r="M3866" t="n">
        <v>0</v>
      </c>
      <c r="N3866" t="n">
        <v>0</v>
      </c>
      <c r="O3866" t="n">
        <v>0</v>
      </c>
      <c r="P3866" t="n">
        <v>0</v>
      </c>
      <c r="Q3866" t="n">
        <v>0</v>
      </c>
      <c r="R3866" t="n">
        <v>0</v>
      </c>
      <c r="S3866" t="n">
        <v>0</v>
      </c>
      <c r="T3866" t="n">
        <v>0</v>
      </c>
      <c r="U3866" t="n">
        <v>0</v>
      </c>
      <c r="V3866" s="2" t="inlineStr"/>
    </row>
    <row r="3867" ht="15" customHeight="1">
      <c r="A3867" t="inlineStr">
        <is>
          <t>A 23009-2025</t>
        </is>
      </c>
      <c r="B3867" t="inlineStr">
        <is>
          <t>avverkningsanmälan</t>
        </is>
      </c>
      <c r="C3867" t="inlineStr">
        <is>
          <t>Föryngringsavverkning</t>
        </is>
      </c>
      <c r="D3867" s="1" t="n">
        <v>45790</v>
      </c>
      <c r="E3867" s="1" t="n">
        <v>46323</v>
      </c>
      <c r="F3867" t="inlineStr">
        <is>
          <t>KALMAR LÄN</t>
        </is>
      </c>
      <c r="G3867" t="inlineStr">
        <is>
          <t>MÖNSTERÅS</t>
        </is>
      </c>
      <c r="I3867" t="n">
        <v>1.7</v>
      </c>
      <c r="J3867" t="n">
        <v>0</v>
      </c>
      <c r="K3867" t="n">
        <v>0</v>
      </c>
      <c r="L3867" t="n">
        <v>0</v>
      </c>
      <c r="M3867" t="n">
        <v>0</v>
      </c>
      <c r="N3867" t="n">
        <v>0</v>
      </c>
      <c r="O3867" t="n">
        <v>0</v>
      </c>
      <c r="P3867" t="n">
        <v>0</v>
      </c>
      <c r="Q3867" t="n">
        <v>0</v>
      </c>
      <c r="R3867" t="n">
        <v>0</v>
      </c>
      <c r="S3867" t="n">
        <v>0</v>
      </c>
      <c r="T3867" t="n">
        <v>0</v>
      </c>
      <c r="U3867" t="n">
        <v>0</v>
      </c>
      <c r="V3867" s="2" t="inlineStr"/>
    </row>
    <row r="3868" ht="15" customHeight="1">
      <c r="A3868" t="inlineStr">
        <is>
          <t>A 13489-2022</t>
        </is>
      </c>
      <c r="B3868" t="inlineStr">
        <is>
          <t>avverkningsanmälan</t>
        </is>
      </c>
      <c r="C3868" t="inlineStr">
        <is>
          <t>Föryngringsavverkning</t>
        </is>
      </c>
      <c r="D3868" s="1" t="n">
        <v>44646</v>
      </c>
      <c r="E3868" s="1" t="n">
        <v>46323</v>
      </c>
      <c r="F3868" t="inlineStr">
        <is>
          <t>KALMAR LÄN</t>
        </is>
      </c>
      <c r="G3868" t="inlineStr">
        <is>
          <t>VÄSTERVIK</t>
        </is>
      </c>
      <c r="I3868" t="n">
        <v>2.5</v>
      </c>
      <c r="J3868" t="n">
        <v>0</v>
      </c>
      <c r="K3868" t="n">
        <v>0</v>
      </c>
      <c r="L3868" t="n">
        <v>0</v>
      </c>
      <c r="M3868" t="n">
        <v>0</v>
      </c>
      <c r="N3868" t="n">
        <v>0</v>
      </c>
      <c r="O3868" t="n">
        <v>0</v>
      </c>
      <c r="P3868" t="n">
        <v>0</v>
      </c>
      <c r="Q3868" t="n">
        <v>0</v>
      </c>
      <c r="R3868" t="n">
        <v>0</v>
      </c>
      <c r="S3868" t="n">
        <v>0</v>
      </c>
      <c r="T3868" t="n">
        <v>0</v>
      </c>
      <c r="U3868" t="n">
        <v>0</v>
      </c>
      <c r="V3868" s="2" t="inlineStr"/>
    </row>
    <row r="3869" ht="15" customHeight="1">
      <c r="A3869" t="inlineStr">
        <is>
          <t>A 4104-2024</t>
        </is>
      </c>
      <c r="B3869" t="inlineStr">
        <is>
          <t>avverkningsanmälan</t>
        </is>
      </c>
      <c r="C3869" t="inlineStr">
        <is>
          <t>Föryngringsavverkning</t>
        </is>
      </c>
      <c r="D3869" s="1" t="n">
        <v>45323</v>
      </c>
      <c r="E3869" s="1" t="n">
        <v>46323</v>
      </c>
      <c r="F3869" t="inlineStr">
        <is>
          <t>KALMAR LÄN</t>
        </is>
      </c>
      <c r="G3869" t="inlineStr">
        <is>
          <t>MÖNSTERÅS</t>
        </is>
      </c>
      <c r="I3869" t="n">
        <v>0.5</v>
      </c>
      <c r="J3869" t="n">
        <v>0</v>
      </c>
      <c r="K3869" t="n">
        <v>0</v>
      </c>
      <c r="L3869" t="n">
        <v>0</v>
      </c>
      <c r="M3869" t="n">
        <v>0</v>
      </c>
      <c r="N3869" t="n">
        <v>0</v>
      </c>
      <c r="O3869" t="n">
        <v>0</v>
      </c>
      <c r="P3869" t="n">
        <v>0</v>
      </c>
      <c r="Q3869" t="n">
        <v>0</v>
      </c>
      <c r="R3869" t="n">
        <v>0</v>
      </c>
      <c r="S3869" t="n">
        <v>0</v>
      </c>
      <c r="T3869" t="n">
        <v>0</v>
      </c>
      <c r="U3869" t="n">
        <v>0</v>
      </c>
      <c r="V3869" s="2" t="inlineStr"/>
    </row>
    <row r="3870" ht="15" customHeight="1">
      <c r="A3870" t="inlineStr">
        <is>
          <t>A 29619-2026</t>
        </is>
      </c>
      <c r="B3870" t="inlineStr">
        <is>
          <t>avverkningsanmälan</t>
        </is>
      </c>
      <c r="C3870" t="inlineStr">
        <is>
          <t>Avverkning för annat ändamål</t>
        </is>
      </c>
      <c r="D3870" s="1" t="n">
        <v>46199</v>
      </c>
      <c r="E3870" s="1" t="n">
        <v>46323</v>
      </c>
      <c r="F3870" t="inlineStr">
        <is>
          <t>KALMAR LÄN</t>
        </is>
      </c>
      <c r="G3870" t="inlineStr">
        <is>
          <t>OSKARSHAMN</t>
        </is>
      </c>
      <c r="H3870" t="inlineStr">
        <is>
          <t>Kommuner</t>
        </is>
      </c>
      <c r="I3870" t="n">
        <v>1.5</v>
      </c>
      <c r="J3870" t="n">
        <v>0</v>
      </c>
      <c r="K3870" t="n">
        <v>0</v>
      </c>
      <c r="L3870" t="n">
        <v>0</v>
      </c>
      <c r="M3870" t="n">
        <v>0</v>
      </c>
      <c r="N3870" t="n">
        <v>0</v>
      </c>
      <c r="O3870" t="n">
        <v>0</v>
      </c>
      <c r="P3870" t="n">
        <v>0</v>
      </c>
      <c r="Q3870" t="n">
        <v>0</v>
      </c>
      <c r="R3870" t="n">
        <v>0</v>
      </c>
      <c r="S3870" t="n">
        <v>0</v>
      </c>
      <c r="T3870" t="n">
        <v>0</v>
      </c>
      <c r="U3870" t="n">
        <v>0</v>
      </c>
      <c r="V3870" s="2" t="inlineStr"/>
    </row>
    <row r="3871" ht="15" customHeight="1">
      <c r="A3871" t="inlineStr">
        <is>
          <t>A 24784-2023</t>
        </is>
      </c>
      <c r="B3871" t="inlineStr">
        <is>
          <t>avverkningsanmälan</t>
        </is>
      </c>
      <c r="C3871" t="inlineStr">
        <is>
          <t>Föryngringsavverkning</t>
        </is>
      </c>
      <c r="D3871" s="1" t="n">
        <v>45084</v>
      </c>
      <c r="E3871" s="1" t="n">
        <v>46323</v>
      </c>
      <c r="F3871" t="inlineStr">
        <is>
          <t>KALMAR LÄN</t>
        </is>
      </c>
      <c r="G3871" t="inlineStr">
        <is>
          <t>EMMABODA</t>
        </is>
      </c>
      <c r="I3871" t="n">
        <v>1.4</v>
      </c>
      <c r="J3871" t="n">
        <v>0</v>
      </c>
      <c r="K3871" t="n">
        <v>0</v>
      </c>
      <c r="L3871" t="n">
        <v>0</v>
      </c>
      <c r="M3871" t="n">
        <v>0</v>
      </c>
      <c r="N3871" t="n">
        <v>0</v>
      </c>
      <c r="O3871" t="n">
        <v>0</v>
      </c>
      <c r="P3871" t="n">
        <v>0</v>
      </c>
      <c r="Q3871" t="n">
        <v>0</v>
      </c>
      <c r="R3871" t="n">
        <v>0</v>
      </c>
      <c r="S3871" t="n">
        <v>0</v>
      </c>
      <c r="T3871" t="n">
        <v>0</v>
      </c>
      <c r="U3871" t="n">
        <v>0</v>
      </c>
      <c r="V3871" s="2" t="inlineStr"/>
    </row>
    <row r="3872" ht="15" customHeight="1">
      <c r="A3872" t="inlineStr">
        <is>
          <t>A 28784-2026</t>
        </is>
      </c>
      <c r="B3872" t="inlineStr">
        <is>
          <t>avverkningsanmälan</t>
        </is>
      </c>
      <c r="C3872" t="inlineStr">
        <is>
          <t>Avverkning för att bevara och utveckla /försöksver</t>
        </is>
      </c>
      <c r="D3872" s="1" t="n">
        <v>46198</v>
      </c>
      <c r="E3872" s="1" t="n">
        <v>46323</v>
      </c>
      <c r="F3872" t="inlineStr">
        <is>
          <t>KALMAR LÄN</t>
        </is>
      </c>
      <c r="G3872" t="inlineStr">
        <is>
          <t>VIMMERBY</t>
        </is>
      </c>
      <c r="H3872" t="inlineStr">
        <is>
          <t>Sveaskog</t>
        </is>
      </c>
      <c r="I3872" t="n">
        <v>0.8</v>
      </c>
      <c r="J3872" t="n">
        <v>0</v>
      </c>
      <c r="K3872" t="n">
        <v>0</v>
      </c>
      <c r="L3872" t="n">
        <v>0</v>
      </c>
      <c r="M3872" t="n">
        <v>0</v>
      </c>
      <c r="N3872" t="n">
        <v>0</v>
      </c>
      <c r="O3872" t="n">
        <v>0</v>
      </c>
      <c r="P3872" t="n">
        <v>0</v>
      </c>
      <c r="Q3872" t="n">
        <v>0</v>
      </c>
      <c r="R3872" t="n">
        <v>0</v>
      </c>
      <c r="S3872" t="n">
        <v>0</v>
      </c>
      <c r="T3872" t="n">
        <v>0</v>
      </c>
      <c r="U3872" t="n">
        <v>0</v>
      </c>
      <c r="V3872" s="2" t="inlineStr"/>
    </row>
    <row r="3873" ht="15" customHeight="1">
      <c r="A3873" t="inlineStr">
        <is>
          <t>A 28702-2026</t>
        </is>
      </c>
      <c r="B3873" t="inlineStr">
        <is>
          <t>avverkningsanmälan</t>
        </is>
      </c>
      <c r="C3873" t="inlineStr">
        <is>
          <t>Avverkning för att bevara och utveckla /försöksver</t>
        </is>
      </c>
      <c r="D3873" s="1" t="n">
        <v>46198</v>
      </c>
      <c r="E3873" s="1" t="n">
        <v>46323</v>
      </c>
      <c r="F3873" t="inlineStr">
        <is>
          <t>KALMAR LÄN</t>
        </is>
      </c>
      <c r="G3873" t="inlineStr">
        <is>
          <t>HÖGSBY</t>
        </is>
      </c>
      <c r="H3873" t="inlineStr">
        <is>
          <t>Sveaskog</t>
        </is>
      </c>
      <c r="I3873" t="n">
        <v>3.1</v>
      </c>
      <c r="J3873" t="n">
        <v>0</v>
      </c>
      <c r="K3873" t="n">
        <v>0</v>
      </c>
      <c r="L3873" t="n">
        <v>0</v>
      </c>
      <c r="M3873" t="n">
        <v>0</v>
      </c>
      <c r="N3873" t="n">
        <v>0</v>
      </c>
      <c r="O3873" t="n">
        <v>0</v>
      </c>
      <c r="P3873" t="n">
        <v>0</v>
      </c>
      <c r="Q3873" t="n">
        <v>0</v>
      </c>
      <c r="R3873" t="n">
        <v>0</v>
      </c>
      <c r="S3873" t="n">
        <v>0</v>
      </c>
      <c r="T3873" t="n">
        <v>0</v>
      </c>
      <c r="U3873" t="n">
        <v>0</v>
      </c>
      <c r="V3873" s="2" t="inlineStr"/>
    </row>
    <row r="3874" ht="15" customHeight="1">
      <c r="A3874" t="inlineStr">
        <is>
          <t>A 28692-2026</t>
        </is>
      </c>
      <c r="B3874" t="inlineStr">
        <is>
          <t>avverkningsanmälan</t>
        </is>
      </c>
      <c r="C3874" t="inlineStr">
        <is>
          <t>Avverkning för att bevara och utveckla /försöksver</t>
        </is>
      </c>
      <c r="D3874" s="1" t="n">
        <v>46198</v>
      </c>
      <c r="E3874" s="1" t="n">
        <v>46323</v>
      </c>
      <c r="F3874" t="inlineStr">
        <is>
          <t>KALMAR LÄN</t>
        </is>
      </c>
      <c r="G3874" t="inlineStr">
        <is>
          <t>HÖGSBY</t>
        </is>
      </c>
      <c r="H3874" t="inlineStr">
        <is>
          <t>Sveaskog</t>
        </is>
      </c>
      <c r="I3874" t="n">
        <v>2.8</v>
      </c>
      <c r="J3874" t="n">
        <v>0</v>
      </c>
      <c r="K3874" t="n">
        <v>0</v>
      </c>
      <c r="L3874" t="n">
        <v>0</v>
      </c>
      <c r="M3874" t="n">
        <v>0</v>
      </c>
      <c r="N3874" t="n">
        <v>0</v>
      </c>
      <c r="O3874" t="n">
        <v>0</v>
      </c>
      <c r="P3874" t="n">
        <v>0</v>
      </c>
      <c r="Q3874" t="n">
        <v>0</v>
      </c>
      <c r="R3874" t="n">
        <v>0</v>
      </c>
      <c r="S3874" t="n">
        <v>0</v>
      </c>
      <c r="T3874" t="n">
        <v>0</v>
      </c>
      <c r="U3874" t="n">
        <v>0</v>
      </c>
      <c r="V3874" s="2" t="inlineStr"/>
    </row>
    <row r="3875" ht="15" customHeight="1">
      <c r="A3875" t="inlineStr">
        <is>
          <t>A 28713-2026</t>
        </is>
      </c>
      <c r="B3875" t="inlineStr">
        <is>
          <t>avverkningsanmälan</t>
        </is>
      </c>
      <c r="C3875" t="inlineStr">
        <is>
          <t>Avverkning för att bevara och utveckla /försöksver</t>
        </is>
      </c>
      <c r="D3875" s="1" t="n">
        <v>46198</v>
      </c>
      <c r="E3875" s="1" t="n">
        <v>46323</v>
      </c>
      <c r="F3875" t="inlineStr">
        <is>
          <t>KALMAR LÄN</t>
        </is>
      </c>
      <c r="G3875" t="inlineStr">
        <is>
          <t>HÖGSBY</t>
        </is>
      </c>
      <c r="H3875" t="inlineStr">
        <is>
          <t>Sveaskog</t>
        </is>
      </c>
      <c r="I3875" t="n">
        <v>3.1</v>
      </c>
      <c r="J3875" t="n">
        <v>0</v>
      </c>
      <c r="K3875" t="n">
        <v>0</v>
      </c>
      <c r="L3875" t="n">
        <v>0</v>
      </c>
      <c r="M3875" t="n">
        <v>0</v>
      </c>
      <c r="N3875" t="n">
        <v>0</v>
      </c>
      <c r="O3875" t="n">
        <v>0</v>
      </c>
      <c r="P3875" t="n">
        <v>0</v>
      </c>
      <c r="Q3875" t="n">
        <v>0</v>
      </c>
      <c r="R3875" t="n">
        <v>0</v>
      </c>
      <c r="S3875" t="n">
        <v>0</v>
      </c>
      <c r="T3875" t="n">
        <v>0</v>
      </c>
      <c r="U3875" t="n">
        <v>0</v>
      </c>
      <c r="V3875" s="2" t="inlineStr"/>
    </row>
    <row r="3876" ht="15" customHeight="1">
      <c r="A3876" t="inlineStr">
        <is>
          <t>A 63935-2025</t>
        </is>
      </c>
      <c r="B3876" t="inlineStr">
        <is>
          <t>avverkningsanmälan</t>
        </is>
      </c>
      <c r="C3876" t="inlineStr">
        <is>
          <t>Föryngringsavverkning</t>
        </is>
      </c>
      <c r="D3876" s="1" t="n">
        <v>46020</v>
      </c>
      <c r="E3876" s="1" t="n">
        <v>46323</v>
      </c>
      <c r="F3876" t="inlineStr">
        <is>
          <t>KALMAR LÄN</t>
        </is>
      </c>
      <c r="G3876" t="inlineStr">
        <is>
          <t>HULTSFRED</t>
        </is>
      </c>
      <c r="I3876" t="n">
        <v>2.2</v>
      </c>
      <c r="J3876" t="n">
        <v>0</v>
      </c>
      <c r="K3876" t="n">
        <v>0</v>
      </c>
      <c r="L3876" t="n">
        <v>0</v>
      </c>
      <c r="M3876" t="n">
        <v>0</v>
      </c>
      <c r="N3876" t="n">
        <v>0</v>
      </c>
      <c r="O3876" t="n">
        <v>0</v>
      </c>
      <c r="P3876" t="n">
        <v>0</v>
      </c>
      <c r="Q3876" t="n">
        <v>0</v>
      </c>
      <c r="R3876" t="n">
        <v>0</v>
      </c>
      <c r="S3876" t="n">
        <v>0</v>
      </c>
      <c r="T3876" t="n">
        <v>0</v>
      </c>
      <c r="U3876" t="n">
        <v>0</v>
      </c>
      <c r="V3876" s="2" t="inlineStr"/>
    </row>
    <row r="3877" ht="15" customHeight="1">
      <c r="A3877" t="inlineStr">
        <is>
          <t>A 22302-2025</t>
        </is>
      </c>
      <c r="B3877" t="inlineStr">
        <is>
          <t>avverkningsanmälan</t>
        </is>
      </c>
      <c r="C3877" t="inlineStr">
        <is>
          <t>Föryngringsavverkning</t>
        </is>
      </c>
      <c r="D3877" s="1" t="n">
        <v>45786</v>
      </c>
      <c r="E3877" s="1" t="n">
        <v>46323</v>
      </c>
      <c r="F3877" t="inlineStr">
        <is>
          <t>KALMAR LÄN</t>
        </is>
      </c>
      <c r="G3877" t="inlineStr">
        <is>
          <t>NYBRO</t>
        </is>
      </c>
      <c r="I3877" t="n">
        <v>0</v>
      </c>
      <c r="J3877" t="n">
        <v>0</v>
      </c>
      <c r="K3877" t="n">
        <v>0</v>
      </c>
      <c r="L3877" t="n">
        <v>0</v>
      </c>
      <c r="M3877" t="n">
        <v>0</v>
      </c>
      <c r="N3877" t="n">
        <v>0</v>
      </c>
      <c r="O3877" t="n">
        <v>0</v>
      </c>
      <c r="P3877" t="n">
        <v>0</v>
      </c>
      <c r="Q3877" t="n">
        <v>0</v>
      </c>
      <c r="R3877" t="n">
        <v>0</v>
      </c>
      <c r="S3877" t="n">
        <v>0</v>
      </c>
      <c r="T3877" t="n">
        <v>0</v>
      </c>
      <c r="U3877" t="n">
        <v>0</v>
      </c>
      <c r="V3877" s="2" t="inlineStr"/>
    </row>
    <row r="3878" ht="15" customHeight="1">
      <c r="A3878" t="inlineStr">
        <is>
          <t>A 46613-2023</t>
        </is>
      </c>
      <c r="B3878" t="inlineStr">
        <is>
          <t>avverkningsanmälan</t>
        </is>
      </c>
      <c r="C3878" t="inlineStr">
        <is>
          <t>Föryngringsavverkning</t>
        </is>
      </c>
      <c r="D3878" s="1" t="n">
        <v>45198</v>
      </c>
      <c r="E3878" s="1" t="n">
        <v>46323</v>
      </c>
      <c r="F3878" t="inlineStr">
        <is>
          <t>KALMAR LÄN</t>
        </is>
      </c>
      <c r="G3878" t="inlineStr">
        <is>
          <t>OSKARSHAMN</t>
        </is>
      </c>
      <c r="I3878" t="n">
        <v>1.4</v>
      </c>
      <c r="J3878" t="n">
        <v>0</v>
      </c>
      <c r="K3878" t="n">
        <v>0</v>
      </c>
      <c r="L3878" t="n">
        <v>0</v>
      </c>
      <c r="M3878" t="n">
        <v>0</v>
      </c>
      <c r="N3878" t="n">
        <v>0</v>
      </c>
      <c r="O3878" t="n">
        <v>0</v>
      </c>
      <c r="P3878" t="n">
        <v>0</v>
      </c>
      <c r="Q3878" t="n">
        <v>0</v>
      </c>
      <c r="R3878" t="n">
        <v>0</v>
      </c>
      <c r="S3878" t="n">
        <v>0</v>
      </c>
      <c r="T3878" t="n">
        <v>0</v>
      </c>
      <c r="U3878" t="n">
        <v>0</v>
      </c>
      <c r="V3878" s="2" t="inlineStr"/>
    </row>
    <row r="3879" ht="15" customHeight="1">
      <c r="A3879" t="inlineStr">
        <is>
          <t>A 13015-2022</t>
        </is>
      </c>
      <c r="B3879" t="inlineStr">
        <is>
          <t>avverkningsanmälan</t>
        </is>
      </c>
      <c r="C3879" t="inlineStr">
        <is>
          <t>Föryngringsavverkning</t>
        </is>
      </c>
      <c r="D3879" s="1" t="n">
        <v>44643</v>
      </c>
      <c r="E3879" s="1" t="n">
        <v>46323</v>
      </c>
      <c r="F3879" t="inlineStr">
        <is>
          <t>KALMAR LÄN</t>
        </is>
      </c>
      <c r="G3879" t="inlineStr">
        <is>
          <t>VIMMERBY</t>
        </is>
      </c>
      <c r="I3879" t="n">
        <v>2.4</v>
      </c>
      <c r="J3879" t="n">
        <v>0</v>
      </c>
      <c r="K3879" t="n">
        <v>0</v>
      </c>
      <c r="L3879" t="n">
        <v>0</v>
      </c>
      <c r="M3879" t="n">
        <v>0</v>
      </c>
      <c r="N3879" t="n">
        <v>0</v>
      </c>
      <c r="O3879" t="n">
        <v>0</v>
      </c>
      <c r="P3879" t="n">
        <v>0</v>
      </c>
      <c r="Q3879" t="n">
        <v>0</v>
      </c>
      <c r="R3879" t="n">
        <v>0</v>
      </c>
      <c r="S3879" t="n">
        <v>0</v>
      </c>
      <c r="T3879" t="n">
        <v>0</v>
      </c>
      <c r="U3879" t="n">
        <v>0</v>
      </c>
      <c r="V3879" s="2" t="inlineStr"/>
    </row>
    <row r="3880" ht="15" customHeight="1">
      <c r="A3880" t="inlineStr">
        <is>
          <t>A 61237-2025</t>
        </is>
      </c>
      <c r="B3880" t="inlineStr">
        <is>
          <t>avverkningsanmälan</t>
        </is>
      </c>
      <c r="C3880" t="inlineStr">
        <is>
          <t>Föryngringsavverkning</t>
        </is>
      </c>
      <c r="D3880" s="1" t="n">
        <v>46000</v>
      </c>
      <c r="E3880" s="1" t="n">
        <v>46323</v>
      </c>
      <c r="F3880" t="inlineStr">
        <is>
          <t>KALMAR LÄN</t>
        </is>
      </c>
      <c r="G3880" t="inlineStr">
        <is>
          <t>NYBRO</t>
        </is>
      </c>
      <c r="I3880" t="n">
        <v>1.2</v>
      </c>
      <c r="J3880" t="n">
        <v>0</v>
      </c>
      <c r="K3880" t="n">
        <v>0</v>
      </c>
      <c r="L3880" t="n">
        <v>0</v>
      </c>
      <c r="M3880" t="n">
        <v>0</v>
      </c>
      <c r="N3880" t="n">
        <v>0</v>
      </c>
      <c r="O3880" t="n">
        <v>0</v>
      </c>
      <c r="P3880" t="n">
        <v>0</v>
      </c>
      <c r="Q3880" t="n">
        <v>0</v>
      </c>
      <c r="R3880" t="n">
        <v>0</v>
      </c>
      <c r="S3880" t="n">
        <v>0</v>
      </c>
      <c r="T3880" t="n">
        <v>0</v>
      </c>
      <c r="U3880" t="n">
        <v>0</v>
      </c>
      <c r="V3880" s="2" t="inlineStr"/>
    </row>
    <row r="3881" ht="15" customHeight="1">
      <c r="A3881" t="inlineStr">
        <is>
          <t>A 13047-2022</t>
        </is>
      </c>
      <c r="B3881" t="inlineStr">
        <is>
          <t>avverkningsanmälan</t>
        </is>
      </c>
      <c r="C3881" t="inlineStr">
        <is>
          <t>Föryngringsavverkning</t>
        </is>
      </c>
      <c r="D3881" s="1" t="n">
        <v>44643</v>
      </c>
      <c r="E3881" s="1" t="n">
        <v>46323</v>
      </c>
      <c r="F3881" t="inlineStr">
        <is>
          <t>KALMAR LÄN</t>
        </is>
      </c>
      <c r="G3881" t="inlineStr">
        <is>
          <t>MÖNSTERÅS</t>
        </is>
      </c>
      <c r="I3881" t="n">
        <v>1</v>
      </c>
      <c r="J3881" t="n">
        <v>0</v>
      </c>
      <c r="K3881" t="n">
        <v>0</v>
      </c>
      <c r="L3881" t="n">
        <v>0</v>
      </c>
      <c r="M3881" t="n">
        <v>0</v>
      </c>
      <c r="N3881" t="n">
        <v>0</v>
      </c>
      <c r="O3881" t="n">
        <v>0</v>
      </c>
      <c r="P3881" t="n">
        <v>0</v>
      </c>
      <c r="Q3881" t="n">
        <v>0</v>
      </c>
      <c r="R3881" t="n">
        <v>0</v>
      </c>
      <c r="S3881" t="n">
        <v>0</v>
      </c>
      <c r="T3881" t="n">
        <v>0</v>
      </c>
      <c r="U3881" t="n">
        <v>0</v>
      </c>
      <c r="V3881" s="2" t="inlineStr"/>
    </row>
    <row r="3882" ht="15" customHeight="1">
      <c r="A3882" t="inlineStr">
        <is>
          <t>A 44317-2023</t>
        </is>
      </c>
      <c r="B3882" t="inlineStr">
        <is>
          <t>avverkningsanmälan</t>
        </is>
      </c>
      <c r="C3882" t="inlineStr">
        <is>
          <t>Föryngringsavverkning</t>
        </is>
      </c>
      <c r="D3882" s="1" t="n">
        <v>45188</v>
      </c>
      <c r="E3882" s="1" t="n">
        <v>46323</v>
      </c>
      <c r="F3882" t="inlineStr">
        <is>
          <t>KALMAR LÄN</t>
        </is>
      </c>
      <c r="G3882" t="inlineStr">
        <is>
          <t>MÖNSTERÅS</t>
        </is>
      </c>
      <c r="I3882" t="n">
        <v>5.8</v>
      </c>
      <c r="J3882" t="n">
        <v>0</v>
      </c>
      <c r="K3882" t="n">
        <v>0</v>
      </c>
      <c r="L3882" t="n">
        <v>0</v>
      </c>
      <c r="M3882" t="n">
        <v>0</v>
      </c>
      <c r="N3882" t="n">
        <v>0</v>
      </c>
      <c r="O3882" t="n">
        <v>0</v>
      </c>
      <c r="P3882" t="n">
        <v>0</v>
      </c>
      <c r="Q3882" t="n">
        <v>0</v>
      </c>
      <c r="R3882" t="n">
        <v>0</v>
      </c>
      <c r="S3882" t="n">
        <v>0</v>
      </c>
      <c r="T3882" t="n">
        <v>0</v>
      </c>
      <c r="U3882" t="n">
        <v>0</v>
      </c>
      <c r="V3882" s="2" t="inlineStr"/>
    </row>
    <row r="3883" ht="15" customHeight="1">
      <c r="A3883" t="inlineStr">
        <is>
          <t>A 15281-2024</t>
        </is>
      </c>
      <c r="B3883" t="inlineStr">
        <is>
          <t>avverkningsanmälan</t>
        </is>
      </c>
      <c r="C3883" t="inlineStr">
        <is>
          <t>Föryngringsavverkning</t>
        </is>
      </c>
      <c r="D3883" s="1" t="n">
        <v>45400</v>
      </c>
      <c r="E3883" s="1" t="n">
        <v>46323</v>
      </c>
      <c r="F3883" t="inlineStr">
        <is>
          <t>KALMAR LÄN</t>
        </is>
      </c>
      <c r="G3883" t="inlineStr">
        <is>
          <t>EMMABODA</t>
        </is>
      </c>
      <c r="I3883" t="n">
        <v>8</v>
      </c>
      <c r="J3883" t="n">
        <v>0</v>
      </c>
      <c r="K3883" t="n">
        <v>0</v>
      </c>
      <c r="L3883" t="n">
        <v>0</v>
      </c>
      <c r="M3883" t="n">
        <v>0</v>
      </c>
      <c r="N3883" t="n">
        <v>0</v>
      </c>
      <c r="O3883" t="n">
        <v>0</v>
      </c>
      <c r="P3883" t="n">
        <v>0</v>
      </c>
      <c r="Q3883" t="n">
        <v>0</v>
      </c>
      <c r="R3883" t="n">
        <v>0</v>
      </c>
      <c r="S3883" t="n">
        <v>0</v>
      </c>
      <c r="T3883" t="n">
        <v>0</v>
      </c>
      <c r="U3883" t="n">
        <v>0</v>
      </c>
      <c r="V3883" s="2" t="inlineStr"/>
    </row>
    <row r="3884" ht="15" customHeight="1">
      <c r="A3884" t="inlineStr">
        <is>
          <t>A 7883-2025</t>
        </is>
      </c>
      <c r="B3884" t="inlineStr">
        <is>
          <t>avverkningsanmälan</t>
        </is>
      </c>
      <c r="C3884" t="inlineStr">
        <is>
          <t>Föryngringsavverkning</t>
        </is>
      </c>
      <c r="D3884" s="1" t="n">
        <v>45706</v>
      </c>
      <c r="E3884" s="1" t="n">
        <v>46323</v>
      </c>
      <c r="F3884" t="inlineStr">
        <is>
          <t>KALMAR LÄN</t>
        </is>
      </c>
      <c r="G3884" t="inlineStr">
        <is>
          <t>VÄSTERVIK</t>
        </is>
      </c>
      <c r="I3884" t="n">
        <v>0.2</v>
      </c>
      <c r="J3884" t="n">
        <v>0</v>
      </c>
      <c r="K3884" t="n">
        <v>0</v>
      </c>
      <c r="L3884" t="n">
        <v>0</v>
      </c>
      <c r="M3884" t="n">
        <v>0</v>
      </c>
      <c r="N3884" t="n">
        <v>0</v>
      </c>
      <c r="O3884" t="n">
        <v>0</v>
      </c>
      <c r="P3884" t="n">
        <v>0</v>
      </c>
      <c r="Q3884" t="n">
        <v>0</v>
      </c>
      <c r="R3884" t="n">
        <v>0</v>
      </c>
      <c r="S3884" t="n">
        <v>0</v>
      </c>
      <c r="T3884" t="n">
        <v>0</v>
      </c>
      <c r="U3884" t="n">
        <v>0</v>
      </c>
      <c r="V3884" s="2" t="inlineStr"/>
    </row>
    <row r="3885" ht="15" customHeight="1">
      <c r="A3885" t="inlineStr">
        <is>
          <t>A 52727-2024</t>
        </is>
      </c>
      <c r="B3885" t="inlineStr">
        <is>
          <t>avverkningsanmälan</t>
        </is>
      </c>
      <c r="C3885" t="inlineStr">
        <is>
          <t>Föryngringsavverkning</t>
        </is>
      </c>
      <c r="D3885" s="1" t="n">
        <v>45610</v>
      </c>
      <c r="E3885" s="1" t="n">
        <v>46323</v>
      </c>
      <c r="F3885" t="inlineStr">
        <is>
          <t>KALMAR LÄN</t>
        </is>
      </c>
      <c r="G3885" t="inlineStr">
        <is>
          <t>OSKARSHAMN</t>
        </is>
      </c>
      <c r="I3885" t="n">
        <v>11.6</v>
      </c>
      <c r="J3885" t="n">
        <v>0</v>
      </c>
      <c r="K3885" t="n">
        <v>0</v>
      </c>
      <c r="L3885" t="n">
        <v>0</v>
      </c>
      <c r="M3885" t="n">
        <v>0</v>
      </c>
      <c r="N3885" t="n">
        <v>0</v>
      </c>
      <c r="O3885" t="n">
        <v>0</v>
      </c>
      <c r="P3885" t="n">
        <v>0</v>
      </c>
      <c r="Q3885" t="n">
        <v>0</v>
      </c>
      <c r="R3885" t="n">
        <v>0</v>
      </c>
      <c r="S3885" t="n">
        <v>0</v>
      </c>
      <c r="T3885" t="n">
        <v>0</v>
      </c>
      <c r="U3885" t="n">
        <v>0</v>
      </c>
      <c r="V3885" s="2" t="inlineStr"/>
    </row>
    <row r="3886" ht="15" customHeight="1">
      <c r="A3886" t="inlineStr">
        <is>
          <t>A 28909-2026</t>
        </is>
      </c>
      <c r="B3886" t="inlineStr">
        <is>
          <t>avverkningsanmälan</t>
        </is>
      </c>
      <c r="C3886" t="inlineStr">
        <is>
          <t>Föryngringsavverkning</t>
        </is>
      </c>
      <c r="D3886" s="1" t="n">
        <v>46199</v>
      </c>
      <c r="E3886" s="1" t="n">
        <v>46323</v>
      </c>
      <c r="F3886" t="inlineStr">
        <is>
          <t>KALMAR LÄN</t>
        </is>
      </c>
      <c r="G3886" t="inlineStr">
        <is>
          <t>OSKARSHAMN</t>
        </is>
      </c>
      <c r="I3886" t="n">
        <v>1.6</v>
      </c>
      <c r="J3886" t="n">
        <v>0</v>
      </c>
      <c r="K3886" t="n">
        <v>0</v>
      </c>
      <c r="L3886" t="n">
        <v>0</v>
      </c>
      <c r="M3886" t="n">
        <v>0</v>
      </c>
      <c r="N3886" t="n">
        <v>0</v>
      </c>
      <c r="O3886" t="n">
        <v>0</v>
      </c>
      <c r="P3886" t="n">
        <v>0</v>
      </c>
      <c r="Q3886" t="n">
        <v>0</v>
      </c>
      <c r="R3886" t="n">
        <v>0</v>
      </c>
      <c r="S3886" t="n">
        <v>0</v>
      </c>
      <c r="T3886" t="n">
        <v>0</v>
      </c>
      <c r="U3886" t="n">
        <v>0</v>
      </c>
      <c r="V3886" s="2" t="inlineStr"/>
    </row>
    <row r="3887" ht="15" customHeight="1">
      <c r="A3887" t="inlineStr">
        <is>
          <t>A 33842-2025</t>
        </is>
      </c>
      <c r="B3887" t="inlineStr">
        <is>
          <t>avverkningsanmälan</t>
        </is>
      </c>
      <c r="C3887" t="inlineStr">
        <is>
          <t>Föryngringsavverkning</t>
        </is>
      </c>
      <c r="D3887" s="1" t="n">
        <v>45842</v>
      </c>
      <c r="E3887" s="1" t="n">
        <v>46323</v>
      </c>
      <c r="F3887" t="inlineStr">
        <is>
          <t>KALMAR LÄN</t>
        </is>
      </c>
      <c r="G3887" t="inlineStr">
        <is>
          <t>VÄSTERVIK</t>
        </is>
      </c>
      <c r="I3887" t="n">
        <v>2</v>
      </c>
      <c r="J3887" t="n">
        <v>0</v>
      </c>
      <c r="K3887" t="n">
        <v>0</v>
      </c>
      <c r="L3887" t="n">
        <v>0</v>
      </c>
      <c r="M3887" t="n">
        <v>0</v>
      </c>
      <c r="N3887" t="n">
        <v>0</v>
      </c>
      <c r="O3887" t="n">
        <v>0</v>
      </c>
      <c r="P3887" t="n">
        <v>0</v>
      </c>
      <c r="Q3887" t="n">
        <v>0</v>
      </c>
      <c r="R3887" t="n">
        <v>0</v>
      </c>
      <c r="S3887" t="n">
        <v>0</v>
      </c>
      <c r="T3887" t="n">
        <v>0</v>
      </c>
      <c r="U3887" t="n">
        <v>0</v>
      </c>
      <c r="V3887" s="2" t="inlineStr"/>
    </row>
    <row r="3888" ht="15" customHeight="1">
      <c r="A3888" t="inlineStr">
        <is>
          <t>A 28-2026</t>
        </is>
      </c>
      <c r="B3888" t="inlineStr">
        <is>
          <t>avverkningsanmälan</t>
        </is>
      </c>
      <c r="C3888" t="inlineStr">
        <is>
          <t>Föryngringsavverkning</t>
        </is>
      </c>
      <c r="D3888" s="1" t="n">
        <v>46024</v>
      </c>
      <c r="E3888" s="1" t="n">
        <v>46323</v>
      </c>
      <c r="F3888" t="inlineStr">
        <is>
          <t>KALMAR LÄN</t>
        </is>
      </c>
      <c r="G3888" t="inlineStr">
        <is>
          <t>EMMABODA</t>
        </is>
      </c>
      <c r="I3888" t="n">
        <v>7.9</v>
      </c>
      <c r="J3888" t="n">
        <v>0</v>
      </c>
      <c r="K3888" t="n">
        <v>0</v>
      </c>
      <c r="L3888" t="n">
        <v>0</v>
      </c>
      <c r="M3888" t="n">
        <v>0</v>
      </c>
      <c r="N3888" t="n">
        <v>0</v>
      </c>
      <c r="O3888" t="n">
        <v>0</v>
      </c>
      <c r="P3888" t="n">
        <v>0</v>
      </c>
      <c r="Q3888" t="n">
        <v>0</v>
      </c>
      <c r="R3888" t="n">
        <v>0</v>
      </c>
      <c r="S3888" t="n">
        <v>0</v>
      </c>
      <c r="T3888" t="n">
        <v>0</v>
      </c>
      <c r="U3888" t="n">
        <v>0</v>
      </c>
      <c r="V3888" s="2" t="inlineStr"/>
    </row>
    <row r="3889" ht="15" customHeight="1">
      <c r="A3889" t="inlineStr">
        <is>
          <t>A 50675-2024</t>
        </is>
      </c>
      <c r="B3889" t="inlineStr">
        <is>
          <t>avverkningsanmälan</t>
        </is>
      </c>
      <c r="C3889" t="inlineStr">
        <is>
          <t>Föryngringsavverkning</t>
        </is>
      </c>
      <c r="D3889" s="1" t="n">
        <v>45601</v>
      </c>
      <c r="E3889" s="1" t="n">
        <v>46323</v>
      </c>
      <c r="F3889" t="inlineStr">
        <is>
          <t>KALMAR LÄN</t>
        </is>
      </c>
      <c r="G3889" t="inlineStr">
        <is>
          <t>TORSÅS</t>
        </is>
      </c>
      <c r="I3889" t="n">
        <v>1</v>
      </c>
      <c r="J3889" t="n">
        <v>0</v>
      </c>
      <c r="K3889" t="n">
        <v>0</v>
      </c>
      <c r="L3889" t="n">
        <v>0</v>
      </c>
      <c r="M3889" t="n">
        <v>0</v>
      </c>
      <c r="N3889" t="n">
        <v>0</v>
      </c>
      <c r="O3889" t="n">
        <v>0</v>
      </c>
      <c r="P3889" t="n">
        <v>0</v>
      </c>
      <c r="Q3889" t="n">
        <v>0</v>
      </c>
      <c r="R3889" t="n">
        <v>0</v>
      </c>
      <c r="S3889" t="n">
        <v>0</v>
      </c>
      <c r="T3889" t="n">
        <v>0</v>
      </c>
      <c r="U3889" t="n">
        <v>0</v>
      </c>
      <c r="V3889" s="2" t="inlineStr"/>
    </row>
    <row r="3890" ht="15" customHeight="1">
      <c r="A3890" t="inlineStr">
        <is>
          <t>A 9076-2025</t>
        </is>
      </c>
      <c r="B3890" t="inlineStr">
        <is>
          <t>avverkningsanmälan</t>
        </is>
      </c>
      <c r="C3890" t="inlineStr">
        <is>
          <t>Föryngringsavverkning</t>
        </is>
      </c>
      <c r="D3890" s="1" t="n">
        <v>45713</v>
      </c>
      <c r="E3890" s="1" t="n">
        <v>46323</v>
      </c>
      <c r="F3890" t="inlineStr">
        <is>
          <t>KALMAR LÄN</t>
        </is>
      </c>
      <c r="G3890" t="inlineStr">
        <is>
          <t>BORGHOLM</t>
        </is>
      </c>
      <c r="H3890" t="inlineStr">
        <is>
          <t>Sveaskog</t>
        </is>
      </c>
      <c r="I3890" t="n">
        <v>4.2</v>
      </c>
      <c r="J3890" t="n">
        <v>0</v>
      </c>
      <c r="K3890" t="n">
        <v>0</v>
      </c>
      <c r="L3890" t="n">
        <v>0</v>
      </c>
      <c r="M3890" t="n">
        <v>0</v>
      </c>
      <c r="N3890" t="n">
        <v>0</v>
      </c>
      <c r="O3890" t="n">
        <v>0</v>
      </c>
      <c r="P3890" t="n">
        <v>0</v>
      </c>
      <c r="Q3890" t="n">
        <v>0</v>
      </c>
      <c r="R3890" t="n">
        <v>0</v>
      </c>
      <c r="S3890" t="n">
        <v>0</v>
      </c>
      <c r="T3890" t="n">
        <v>0</v>
      </c>
      <c r="U3890" t="n">
        <v>0</v>
      </c>
      <c r="V3890" s="2" t="inlineStr"/>
    </row>
    <row r="3891" ht="15" customHeight="1">
      <c r="A3891" t="inlineStr">
        <is>
          <t>A 29038-2026</t>
        </is>
      </c>
      <c r="B3891" t="inlineStr">
        <is>
          <t>avverkningsanmälan</t>
        </is>
      </c>
      <c r="C3891" t="inlineStr">
        <is>
          <t>Föryngringsavverkning</t>
        </is>
      </c>
      <c r="D3891" s="1" t="n">
        <v>46199</v>
      </c>
      <c r="E3891" s="1" t="n">
        <v>46323</v>
      </c>
      <c r="F3891" t="inlineStr">
        <is>
          <t>KALMAR LÄN</t>
        </is>
      </c>
      <c r="G3891" t="inlineStr">
        <is>
          <t>HÖGSBY</t>
        </is>
      </c>
      <c r="I3891" t="n">
        <v>2.1</v>
      </c>
      <c r="J3891" t="n">
        <v>0</v>
      </c>
      <c r="K3891" t="n">
        <v>0</v>
      </c>
      <c r="L3891" t="n">
        <v>0</v>
      </c>
      <c r="M3891" t="n">
        <v>0</v>
      </c>
      <c r="N3891" t="n">
        <v>0</v>
      </c>
      <c r="O3891" t="n">
        <v>0</v>
      </c>
      <c r="P3891" t="n">
        <v>0</v>
      </c>
      <c r="Q3891" t="n">
        <v>0</v>
      </c>
      <c r="R3891" t="n">
        <v>0</v>
      </c>
      <c r="S3891" t="n">
        <v>0</v>
      </c>
      <c r="T3891" t="n">
        <v>0</v>
      </c>
      <c r="U3891" t="n">
        <v>0</v>
      </c>
      <c r="V3891" s="2" t="inlineStr"/>
    </row>
    <row r="3892" ht="15" customHeight="1">
      <c r="A3892" t="inlineStr">
        <is>
          <t>A 4624-2024</t>
        </is>
      </c>
      <c r="B3892" t="inlineStr">
        <is>
          <t>avverkningsanmälan</t>
        </is>
      </c>
      <c r="C3892" t="inlineStr">
        <is>
          <t>Föryngringsavverkning</t>
        </is>
      </c>
      <c r="D3892" s="1" t="n">
        <v>45328</v>
      </c>
      <c r="E3892" s="1" t="n">
        <v>46323</v>
      </c>
      <c r="F3892" t="inlineStr">
        <is>
          <t>KALMAR LÄN</t>
        </is>
      </c>
      <c r="G3892" t="inlineStr">
        <is>
          <t>VIMMERBY</t>
        </is>
      </c>
      <c r="I3892" t="n">
        <v>1.7</v>
      </c>
      <c r="J3892" t="n">
        <v>0</v>
      </c>
      <c r="K3892" t="n">
        <v>0</v>
      </c>
      <c r="L3892" t="n">
        <v>0</v>
      </c>
      <c r="M3892" t="n">
        <v>0</v>
      </c>
      <c r="N3892" t="n">
        <v>0</v>
      </c>
      <c r="O3892" t="n">
        <v>0</v>
      </c>
      <c r="P3892" t="n">
        <v>0</v>
      </c>
      <c r="Q3892" t="n">
        <v>0</v>
      </c>
      <c r="R3892" t="n">
        <v>0</v>
      </c>
      <c r="S3892" t="n">
        <v>0</v>
      </c>
      <c r="T3892" t="n">
        <v>0</v>
      </c>
      <c r="U3892" t="n">
        <v>0</v>
      </c>
      <c r="V3892" s="2" t="inlineStr"/>
    </row>
    <row r="3893" ht="15" customHeight="1">
      <c r="A3893" t="inlineStr">
        <is>
          <t>A 9129-2025</t>
        </is>
      </c>
      <c r="B3893" t="inlineStr">
        <is>
          <t>avverkningsanmälan</t>
        </is>
      </c>
      <c r="C3893" t="inlineStr">
        <is>
          <t>Föryngringsavverkning</t>
        </is>
      </c>
      <c r="D3893" s="1" t="n">
        <v>45713</v>
      </c>
      <c r="E3893" s="1" t="n">
        <v>46323</v>
      </c>
      <c r="F3893" t="inlineStr">
        <is>
          <t>KALMAR LÄN</t>
        </is>
      </c>
      <c r="G3893" t="inlineStr">
        <is>
          <t>VIMMERBY</t>
        </is>
      </c>
      <c r="I3893" t="n">
        <v>2.8</v>
      </c>
      <c r="J3893" t="n">
        <v>0</v>
      </c>
      <c r="K3893" t="n">
        <v>0</v>
      </c>
      <c r="L3893" t="n">
        <v>0</v>
      </c>
      <c r="M3893" t="n">
        <v>0</v>
      </c>
      <c r="N3893" t="n">
        <v>0</v>
      </c>
      <c r="O3893" t="n">
        <v>0</v>
      </c>
      <c r="P3893" t="n">
        <v>0</v>
      </c>
      <c r="Q3893" t="n">
        <v>0</v>
      </c>
      <c r="R3893" t="n">
        <v>0</v>
      </c>
      <c r="S3893" t="n">
        <v>0</v>
      </c>
      <c r="T3893" t="n">
        <v>0</v>
      </c>
      <c r="U3893" t="n">
        <v>0</v>
      </c>
      <c r="V3893" s="2" t="inlineStr"/>
    </row>
    <row r="3894" ht="15" customHeight="1">
      <c r="A3894" t="inlineStr">
        <is>
          <t>A 28634-2026</t>
        </is>
      </c>
      <c r="B3894" t="inlineStr">
        <is>
          <t>avverkningsanmälan</t>
        </is>
      </c>
      <c r="C3894" t="inlineStr">
        <is>
          <t>Föryngringsavverkning</t>
        </is>
      </c>
      <c r="D3894" s="1" t="n">
        <v>46198</v>
      </c>
      <c r="E3894" s="1" t="n">
        <v>46323</v>
      </c>
      <c r="F3894" t="inlineStr">
        <is>
          <t>KALMAR LÄN</t>
        </is>
      </c>
      <c r="G3894" t="inlineStr">
        <is>
          <t>HÖGSBY</t>
        </is>
      </c>
      <c r="I3894" t="n">
        <v>0.6</v>
      </c>
      <c r="J3894" t="n">
        <v>0</v>
      </c>
      <c r="K3894" t="n">
        <v>0</v>
      </c>
      <c r="L3894" t="n">
        <v>0</v>
      </c>
      <c r="M3894" t="n">
        <v>0</v>
      </c>
      <c r="N3894" t="n">
        <v>0</v>
      </c>
      <c r="O3894" t="n">
        <v>0</v>
      </c>
      <c r="P3894" t="n">
        <v>0</v>
      </c>
      <c r="Q3894" t="n">
        <v>0</v>
      </c>
      <c r="R3894" t="n">
        <v>0</v>
      </c>
      <c r="S3894" t="n">
        <v>0</v>
      </c>
      <c r="T3894" t="n">
        <v>0</v>
      </c>
      <c r="U3894" t="n">
        <v>0</v>
      </c>
      <c r="V3894" s="2" t="inlineStr"/>
    </row>
    <row r="3895" ht="15" customHeight="1">
      <c r="A3895" t="inlineStr">
        <is>
          <t>A 409-2026</t>
        </is>
      </c>
      <c r="B3895" t="inlineStr">
        <is>
          <t>avverkningsanmälan</t>
        </is>
      </c>
      <c r="C3895" t="inlineStr">
        <is>
          <t>Föryngringsavverkning</t>
        </is>
      </c>
      <c r="D3895" s="1" t="n">
        <v>46028</v>
      </c>
      <c r="E3895" s="1" t="n">
        <v>46323</v>
      </c>
      <c r="F3895" t="inlineStr">
        <is>
          <t>KALMAR LÄN</t>
        </is>
      </c>
      <c r="G3895" t="inlineStr">
        <is>
          <t>VIMMERBY</t>
        </is>
      </c>
      <c r="I3895" t="n">
        <v>2.2</v>
      </c>
      <c r="J3895" t="n">
        <v>0</v>
      </c>
      <c r="K3895" t="n">
        <v>0</v>
      </c>
      <c r="L3895" t="n">
        <v>0</v>
      </c>
      <c r="M3895" t="n">
        <v>0</v>
      </c>
      <c r="N3895" t="n">
        <v>0</v>
      </c>
      <c r="O3895" t="n">
        <v>0</v>
      </c>
      <c r="P3895" t="n">
        <v>0</v>
      </c>
      <c r="Q3895" t="n">
        <v>0</v>
      </c>
      <c r="R3895" t="n">
        <v>0</v>
      </c>
      <c r="S3895" t="n">
        <v>0</v>
      </c>
      <c r="T3895" t="n">
        <v>0</v>
      </c>
      <c r="U3895" t="n">
        <v>0</v>
      </c>
      <c r="V3895" s="2" t="inlineStr"/>
    </row>
    <row r="3896" ht="15" customHeight="1">
      <c r="A3896" t="inlineStr">
        <is>
          <t>A 55590-2024</t>
        </is>
      </c>
      <c r="B3896" t="inlineStr">
        <is>
          <t>avverkningsanmälan</t>
        </is>
      </c>
      <c r="C3896" t="inlineStr">
        <is>
          <t>Föryngringsavverkning</t>
        </is>
      </c>
      <c r="D3896" s="1" t="n">
        <v>45622</v>
      </c>
      <c r="E3896" s="1" t="n">
        <v>46323</v>
      </c>
      <c r="F3896" t="inlineStr">
        <is>
          <t>KALMAR LÄN</t>
        </is>
      </c>
      <c r="G3896" t="inlineStr">
        <is>
          <t>EMMABODA</t>
        </is>
      </c>
      <c r="I3896" t="n">
        <v>0.5</v>
      </c>
      <c r="J3896" t="n">
        <v>0</v>
      </c>
      <c r="K3896" t="n">
        <v>0</v>
      </c>
      <c r="L3896" t="n">
        <v>0</v>
      </c>
      <c r="M3896" t="n">
        <v>0</v>
      </c>
      <c r="N3896" t="n">
        <v>0</v>
      </c>
      <c r="O3896" t="n">
        <v>0</v>
      </c>
      <c r="P3896" t="n">
        <v>0</v>
      </c>
      <c r="Q3896" t="n">
        <v>0</v>
      </c>
      <c r="R3896" t="n">
        <v>0</v>
      </c>
      <c r="S3896" t="n">
        <v>0</v>
      </c>
      <c r="T3896" t="n">
        <v>0</v>
      </c>
      <c r="U3896" t="n">
        <v>0</v>
      </c>
      <c r="V3896" s="2" t="inlineStr"/>
    </row>
    <row r="3897" ht="15" customHeight="1">
      <c r="A3897" t="inlineStr">
        <is>
          <t>A 28863-2026</t>
        </is>
      </c>
      <c r="B3897" t="inlineStr">
        <is>
          <t>avverkningsanmälan</t>
        </is>
      </c>
      <c r="C3897" t="inlineStr">
        <is>
          <t>Föryngringsavverkning</t>
        </is>
      </c>
      <c r="D3897" s="1" t="n">
        <v>46199</v>
      </c>
      <c r="E3897" s="1" t="n">
        <v>46323</v>
      </c>
      <c r="F3897" t="inlineStr">
        <is>
          <t>KALMAR LÄN</t>
        </is>
      </c>
      <c r="G3897" t="inlineStr">
        <is>
          <t>VÄSTERVIK</t>
        </is>
      </c>
      <c r="H3897" t="inlineStr">
        <is>
          <t>Naturvårdsverket</t>
        </is>
      </c>
      <c r="I3897" t="n">
        <v>15</v>
      </c>
      <c r="J3897" t="n">
        <v>0</v>
      </c>
      <c r="K3897" t="n">
        <v>0</v>
      </c>
      <c r="L3897" t="n">
        <v>0</v>
      </c>
      <c r="M3897" t="n">
        <v>0</v>
      </c>
      <c r="N3897" t="n">
        <v>0</v>
      </c>
      <c r="O3897" t="n">
        <v>0</v>
      </c>
      <c r="P3897" t="n">
        <v>0</v>
      </c>
      <c r="Q3897" t="n">
        <v>0</v>
      </c>
      <c r="R3897" t="n">
        <v>0</v>
      </c>
      <c r="S3897" t="n">
        <v>0</v>
      </c>
      <c r="T3897" t="n">
        <v>0</v>
      </c>
      <c r="U3897" t="n">
        <v>0</v>
      </c>
      <c r="V3897" s="2" t="inlineStr"/>
    </row>
    <row r="3898" ht="15" customHeight="1">
      <c r="A3898" t="inlineStr">
        <is>
          <t>A 28867-2026</t>
        </is>
      </c>
      <c r="B3898" t="inlineStr">
        <is>
          <t>avverkningsanmälan</t>
        </is>
      </c>
      <c r="C3898" t="inlineStr">
        <is>
          <t>Föryngringsavverkning</t>
        </is>
      </c>
      <c r="D3898" s="1" t="n">
        <v>46199</v>
      </c>
      <c r="E3898" s="1" t="n">
        <v>46323</v>
      </c>
      <c r="F3898" t="inlineStr">
        <is>
          <t>KALMAR LÄN</t>
        </is>
      </c>
      <c r="G3898" t="inlineStr">
        <is>
          <t>OSKARSHAMN</t>
        </is>
      </c>
      <c r="I3898" t="n">
        <v>3.2</v>
      </c>
      <c r="J3898" t="n">
        <v>0</v>
      </c>
      <c r="K3898" t="n">
        <v>0</v>
      </c>
      <c r="L3898" t="n">
        <v>0</v>
      </c>
      <c r="M3898" t="n">
        <v>0</v>
      </c>
      <c r="N3898" t="n">
        <v>0</v>
      </c>
      <c r="O3898" t="n">
        <v>0</v>
      </c>
      <c r="P3898" t="n">
        <v>0</v>
      </c>
      <c r="Q3898" t="n">
        <v>0</v>
      </c>
      <c r="R3898" t="n">
        <v>0</v>
      </c>
      <c r="S3898" t="n">
        <v>0</v>
      </c>
      <c r="T3898" t="n">
        <v>0</v>
      </c>
      <c r="U3898" t="n">
        <v>0</v>
      </c>
      <c r="V3898" s="2" t="inlineStr"/>
    </row>
    <row r="3899" ht="15" customHeight="1">
      <c r="A3899" t="inlineStr">
        <is>
          <t>A 28901-2026</t>
        </is>
      </c>
      <c r="B3899" t="inlineStr">
        <is>
          <t>avverkningsanmälan</t>
        </is>
      </c>
      <c r="C3899" t="inlineStr">
        <is>
          <t>Föryngringsavverkning</t>
        </is>
      </c>
      <c r="D3899" s="1" t="n">
        <v>46199</v>
      </c>
      <c r="E3899" s="1" t="n">
        <v>46323</v>
      </c>
      <c r="F3899" t="inlineStr">
        <is>
          <t>KALMAR LÄN</t>
        </is>
      </c>
      <c r="G3899" t="inlineStr">
        <is>
          <t>HÖGSBY</t>
        </is>
      </c>
      <c r="I3899" t="n">
        <v>0.9</v>
      </c>
      <c r="J3899" t="n">
        <v>0</v>
      </c>
      <c r="K3899" t="n">
        <v>0</v>
      </c>
      <c r="L3899" t="n">
        <v>0</v>
      </c>
      <c r="M3899" t="n">
        <v>0</v>
      </c>
      <c r="N3899" t="n">
        <v>0</v>
      </c>
      <c r="O3899" t="n">
        <v>0</v>
      </c>
      <c r="P3899" t="n">
        <v>0</v>
      </c>
      <c r="Q3899" t="n">
        <v>0</v>
      </c>
      <c r="R3899" t="n">
        <v>0</v>
      </c>
      <c r="S3899" t="n">
        <v>0</v>
      </c>
      <c r="T3899" t="n">
        <v>0</v>
      </c>
      <c r="U3899" t="n">
        <v>0</v>
      </c>
      <c r="V3899" s="2" t="inlineStr"/>
    </row>
    <row r="3900" ht="15" customHeight="1">
      <c r="A3900" t="inlineStr">
        <is>
          <t>A 37630-2023</t>
        </is>
      </c>
      <c r="B3900" t="inlineStr">
        <is>
          <t>avverkningsanmälan</t>
        </is>
      </c>
      <c r="C3900" t="inlineStr">
        <is>
          <t>Föryngringsavverkning</t>
        </is>
      </c>
      <c r="D3900" s="1" t="n">
        <v>45159</v>
      </c>
      <c r="E3900" s="1" t="n">
        <v>46323</v>
      </c>
      <c r="F3900" t="inlineStr">
        <is>
          <t>KALMAR LÄN</t>
        </is>
      </c>
      <c r="G3900" t="inlineStr">
        <is>
          <t>EMMABODA</t>
        </is>
      </c>
      <c r="I3900" t="n">
        <v>3.9</v>
      </c>
      <c r="J3900" t="n">
        <v>0</v>
      </c>
      <c r="K3900" t="n">
        <v>0</v>
      </c>
      <c r="L3900" t="n">
        <v>0</v>
      </c>
      <c r="M3900" t="n">
        <v>0</v>
      </c>
      <c r="N3900" t="n">
        <v>0</v>
      </c>
      <c r="O3900" t="n">
        <v>0</v>
      </c>
      <c r="P3900" t="n">
        <v>0</v>
      </c>
      <c r="Q3900" t="n">
        <v>0</v>
      </c>
      <c r="R3900" t="n">
        <v>0</v>
      </c>
      <c r="S3900" t="n">
        <v>0</v>
      </c>
      <c r="T3900" t="n">
        <v>0</v>
      </c>
      <c r="U3900" t="n">
        <v>0</v>
      </c>
      <c r="V3900" s="2" t="inlineStr"/>
    </row>
    <row r="3901" ht="15" customHeight="1">
      <c r="A3901" t="inlineStr">
        <is>
          <t>A 28808-2026</t>
        </is>
      </c>
      <c r="B3901" t="inlineStr">
        <is>
          <t>avverkningsanmälan</t>
        </is>
      </c>
      <c r="C3901" t="inlineStr">
        <is>
          <t>Föryngringsavverkning</t>
        </is>
      </c>
      <c r="D3901" s="1" t="n">
        <v>46198</v>
      </c>
      <c r="E3901" s="1" t="n">
        <v>46323</v>
      </c>
      <c r="F3901" t="inlineStr">
        <is>
          <t>KALMAR LÄN</t>
        </is>
      </c>
      <c r="G3901" t="inlineStr">
        <is>
          <t>HÖGSBY</t>
        </is>
      </c>
      <c r="I3901" t="n">
        <v>1.5</v>
      </c>
      <c r="J3901" t="n">
        <v>0</v>
      </c>
      <c r="K3901" t="n">
        <v>0</v>
      </c>
      <c r="L3901" t="n">
        <v>0</v>
      </c>
      <c r="M3901" t="n">
        <v>0</v>
      </c>
      <c r="N3901" t="n">
        <v>0</v>
      </c>
      <c r="O3901" t="n">
        <v>0</v>
      </c>
      <c r="P3901" t="n">
        <v>0</v>
      </c>
      <c r="Q3901" t="n">
        <v>0</v>
      </c>
      <c r="R3901" t="n">
        <v>0</v>
      </c>
      <c r="S3901" t="n">
        <v>0</v>
      </c>
      <c r="T3901" t="n">
        <v>0</v>
      </c>
      <c r="U3901" t="n">
        <v>0</v>
      </c>
      <c r="V3901" s="2" t="inlineStr"/>
    </row>
    <row r="3902" ht="15" customHeight="1">
      <c r="A3902" t="inlineStr">
        <is>
          <t>A 28927-2026</t>
        </is>
      </c>
      <c r="B3902" t="inlineStr">
        <is>
          <t>avverkningsanmälan</t>
        </is>
      </c>
      <c r="C3902" t="inlineStr">
        <is>
          <t>Föryngringsavverkning</t>
        </is>
      </c>
      <c r="D3902" s="1" t="n">
        <v>46199</v>
      </c>
      <c r="E3902" s="1" t="n">
        <v>46323</v>
      </c>
      <c r="F3902" t="inlineStr">
        <is>
          <t>KALMAR LÄN</t>
        </is>
      </c>
      <c r="G3902" t="inlineStr">
        <is>
          <t>NYBRO</t>
        </is>
      </c>
      <c r="I3902" t="n">
        <v>2.2</v>
      </c>
      <c r="J3902" t="n">
        <v>0</v>
      </c>
      <c r="K3902" t="n">
        <v>0</v>
      </c>
      <c r="L3902" t="n">
        <v>0</v>
      </c>
      <c r="M3902" t="n">
        <v>0</v>
      </c>
      <c r="N3902" t="n">
        <v>0</v>
      </c>
      <c r="O3902" t="n">
        <v>0</v>
      </c>
      <c r="P3902" t="n">
        <v>0</v>
      </c>
      <c r="Q3902" t="n">
        <v>0</v>
      </c>
      <c r="R3902" t="n">
        <v>0</v>
      </c>
      <c r="S3902" t="n">
        <v>0</v>
      </c>
      <c r="T3902" t="n">
        <v>0</v>
      </c>
      <c r="U3902" t="n">
        <v>0</v>
      </c>
      <c r="V3902" s="2" t="inlineStr"/>
    </row>
    <row r="3903" ht="15" customHeight="1">
      <c r="A3903" t="inlineStr">
        <is>
          <t>A 26909-2022</t>
        </is>
      </c>
      <c r="B3903" t="inlineStr">
        <is>
          <t>avverkningsanmälan</t>
        </is>
      </c>
      <c r="C3903" t="inlineStr">
        <is>
          <t>Föryngringsavverkning</t>
        </is>
      </c>
      <c r="D3903" s="1" t="n">
        <v>44740</v>
      </c>
      <c r="E3903" s="1" t="n">
        <v>46323</v>
      </c>
      <c r="F3903" t="inlineStr">
        <is>
          <t>KALMAR LÄN</t>
        </is>
      </c>
      <c r="G3903" t="inlineStr">
        <is>
          <t>HULTSFRED</t>
        </is>
      </c>
      <c r="I3903" t="n">
        <v>1.2</v>
      </c>
      <c r="J3903" t="n">
        <v>0</v>
      </c>
      <c r="K3903" t="n">
        <v>0</v>
      </c>
      <c r="L3903" t="n">
        <v>0</v>
      </c>
      <c r="M3903" t="n">
        <v>0</v>
      </c>
      <c r="N3903" t="n">
        <v>0</v>
      </c>
      <c r="O3903" t="n">
        <v>0</v>
      </c>
      <c r="P3903" t="n">
        <v>0</v>
      </c>
      <c r="Q3903" t="n">
        <v>0</v>
      </c>
      <c r="R3903" t="n">
        <v>0</v>
      </c>
      <c r="S3903" t="n">
        <v>0</v>
      </c>
      <c r="T3903" t="n">
        <v>0</v>
      </c>
      <c r="U3903" t="n">
        <v>0</v>
      </c>
      <c r="V3903" s="2" t="inlineStr"/>
    </row>
    <row r="3904" ht="15" customHeight="1">
      <c r="A3904" t="inlineStr">
        <is>
          <t>A 44215-2024</t>
        </is>
      </c>
      <c r="B3904" t="inlineStr">
        <is>
          <t>avverkningsanmälan</t>
        </is>
      </c>
      <c r="C3904" t="inlineStr">
        <is>
          <t>Föryngringsavverkning</t>
        </is>
      </c>
      <c r="D3904" s="1" t="n">
        <v>45573</v>
      </c>
      <c r="E3904" s="1" t="n">
        <v>46323</v>
      </c>
      <c r="F3904" t="inlineStr">
        <is>
          <t>KALMAR LÄN</t>
        </is>
      </c>
      <c r="G3904" t="inlineStr">
        <is>
          <t>EMMABODA</t>
        </is>
      </c>
      <c r="I3904" t="n">
        <v>2.6</v>
      </c>
      <c r="J3904" t="n">
        <v>0</v>
      </c>
      <c r="K3904" t="n">
        <v>0</v>
      </c>
      <c r="L3904" t="n">
        <v>0</v>
      </c>
      <c r="M3904" t="n">
        <v>0</v>
      </c>
      <c r="N3904" t="n">
        <v>0</v>
      </c>
      <c r="O3904" t="n">
        <v>0</v>
      </c>
      <c r="P3904" t="n">
        <v>0</v>
      </c>
      <c r="Q3904" t="n">
        <v>0</v>
      </c>
      <c r="R3904" t="n">
        <v>0</v>
      </c>
      <c r="S3904" t="n">
        <v>0</v>
      </c>
      <c r="T3904" t="n">
        <v>0</v>
      </c>
      <c r="U3904" t="n">
        <v>0</v>
      </c>
      <c r="V3904" s="2" t="inlineStr"/>
    </row>
    <row r="3905" ht="15" customHeight="1">
      <c r="A3905" t="inlineStr">
        <is>
          <t>A 36607-2024</t>
        </is>
      </c>
      <c r="B3905" t="inlineStr">
        <is>
          <t>avverkningsanmälan</t>
        </is>
      </c>
      <c r="C3905" t="inlineStr">
        <is>
          <t>Föryngringsavverkning</t>
        </is>
      </c>
      <c r="D3905" s="1" t="n">
        <v>45537</v>
      </c>
      <c r="E3905" s="1" t="n">
        <v>46323</v>
      </c>
      <c r="F3905" t="inlineStr">
        <is>
          <t>KALMAR LÄN</t>
        </is>
      </c>
      <c r="G3905" t="inlineStr">
        <is>
          <t>MÖNSTERÅS</t>
        </is>
      </c>
      <c r="I3905" t="n">
        <v>5.8</v>
      </c>
      <c r="J3905" t="n">
        <v>0</v>
      </c>
      <c r="K3905" t="n">
        <v>0</v>
      </c>
      <c r="L3905" t="n">
        <v>0</v>
      </c>
      <c r="M3905" t="n">
        <v>0</v>
      </c>
      <c r="N3905" t="n">
        <v>0</v>
      </c>
      <c r="O3905" t="n">
        <v>0</v>
      </c>
      <c r="P3905" t="n">
        <v>0</v>
      </c>
      <c r="Q3905" t="n">
        <v>0</v>
      </c>
      <c r="R3905" t="n">
        <v>0</v>
      </c>
      <c r="S3905" t="n">
        <v>0</v>
      </c>
      <c r="T3905" t="n">
        <v>0</v>
      </c>
      <c r="U3905" t="n">
        <v>0</v>
      </c>
      <c r="V3905" s="2" t="inlineStr"/>
    </row>
    <row r="3906" ht="15" customHeight="1">
      <c r="A3906" t="inlineStr">
        <is>
          <t>A 406-2026</t>
        </is>
      </c>
      <c r="B3906" t="inlineStr">
        <is>
          <t>avverkningsanmälan</t>
        </is>
      </c>
      <c r="C3906" t="inlineStr">
        <is>
          <t>Föryngringsavverkning</t>
        </is>
      </c>
      <c r="D3906" s="1" t="n">
        <v>46028</v>
      </c>
      <c r="E3906" s="1" t="n">
        <v>46323</v>
      </c>
      <c r="F3906" t="inlineStr">
        <is>
          <t>KALMAR LÄN</t>
        </is>
      </c>
      <c r="G3906" t="inlineStr">
        <is>
          <t>VIMMERBY</t>
        </is>
      </c>
      <c r="I3906" t="n">
        <v>1.8</v>
      </c>
      <c r="J3906" t="n">
        <v>0</v>
      </c>
      <c r="K3906" t="n">
        <v>0</v>
      </c>
      <c r="L3906" t="n">
        <v>0</v>
      </c>
      <c r="M3906" t="n">
        <v>0</v>
      </c>
      <c r="N3906" t="n">
        <v>0</v>
      </c>
      <c r="O3906" t="n">
        <v>0</v>
      </c>
      <c r="P3906" t="n">
        <v>0</v>
      </c>
      <c r="Q3906" t="n">
        <v>0</v>
      </c>
      <c r="R3906" t="n">
        <v>0</v>
      </c>
      <c r="S3906" t="n">
        <v>0</v>
      </c>
      <c r="T3906" t="n">
        <v>0</v>
      </c>
      <c r="U3906" t="n">
        <v>0</v>
      </c>
      <c r="V3906" s="2" t="inlineStr"/>
    </row>
    <row r="3907" ht="15" customHeight="1">
      <c r="A3907" t="inlineStr">
        <is>
          <t>A 28964-2026</t>
        </is>
      </c>
      <c r="B3907" t="inlineStr">
        <is>
          <t>avverkningsanmälan</t>
        </is>
      </c>
      <c r="C3907" t="inlineStr">
        <is>
          <t>Föryngringsavverkning</t>
        </is>
      </c>
      <c r="D3907" s="1" t="n">
        <v>46199</v>
      </c>
      <c r="E3907" s="1" t="n">
        <v>46323</v>
      </c>
      <c r="F3907" t="inlineStr">
        <is>
          <t>KALMAR LÄN</t>
        </is>
      </c>
      <c r="G3907" t="inlineStr">
        <is>
          <t>OSKARSHAMN</t>
        </is>
      </c>
      <c r="I3907" t="n">
        <v>2.7</v>
      </c>
      <c r="J3907" t="n">
        <v>0</v>
      </c>
      <c r="K3907" t="n">
        <v>0</v>
      </c>
      <c r="L3907" t="n">
        <v>0</v>
      </c>
      <c r="M3907" t="n">
        <v>0</v>
      </c>
      <c r="N3907" t="n">
        <v>0</v>
      </c>
      <c r="O3907" t="n">
        <v>0</v>
      </c>
      <c r="P3907" t="n">
        <v>0</v>
      </c>
      <c r="Q3907" t="n">
        <v>0</v>
      </c>
      <c r="R3907" t="n">
        <v>0</v>
      </c>
      <c r="S3907" t="n">
        <v>0</v>
      </c>
      <c r="T3907" t="n">
        <v>0</v>
      </c>
      <c r="U3907" t="n">
        <v>0</v>
      </c>
      <c r="V3907" s="2" t="inlineStr"/>
    </row>
    <row r="3908" ht="15" customHeight="1">
      <c r="A3908" t="inlineStr">
        <is>
          <t>A 28746-2026</t>
        </is>
      </c>
      <c r="B3908" t="inlineStr">
        <is>
          <t>avverkningsanmälan</t>
        </is>
      </c>
      <c r="C3908" t="inlineStr">
        <is>
          <t>Föryngringsavverkning</t>
        </is>
      </c>
      <c r="D3908" s="1" t="n">
        <v>46198</v>
      </c>
      <c r="E3908" s="1" t="n">
        <v>46323</v>
      </c>
      <c r="F3908" t="inlineStr">
        <is>
          <t>KALMAR LÄN</t>
        </is>
      </c>
      <c r="G3908" t="inlineStr">
        <is>
          <t>KALMAR</t>
        </is>
      </c>
      <c r="I3908" t="n">
        <v>1</v>
      </c>
      <c r="J3908" t="n">
        <v>0</v>
      </c>
      <c r="K3908" t="n">
        <v>0</v>
      </c>
      <c r="L3908" t="n">
        <v>0</v>
      </c>
      <c r="M3908" t="n">
        <v>0</v>
      </c>
      <c r="N3908" t="n">
        <v>0</v>
      </c>
      <c r="O3908" t="n">
        <v>0</v>
      </c>
      <c r="P3908" t="n">
        <v>0</v>
      </c>
      <c r="Q3908" t="n">
        <v>0</v>
      </c>
      <c r="R3908" t="n">
        <v>0</v>
      </c>
      <c r="S3908" t="n">
        <v>0</v>
      </c>
      <c r="T3908" t="n">
        <v>0</v>
      </c>
      <c r="U3908" t="n">
        <v>0</v>
      </c>
      <c r="V3908" s="2" t="inlineStr"/>
    </row>
    <row r="3909" ht="15" customHeight="1">
      <c r="A3909" t="inlineStr">
        <is>
          <t>A 27503-2024</t>
        </is>
      </c>
      <c r="B3909" t="inlineStr">
        <is>
          <t>avverkningsanmälan</t>
        </is>
      </c>
      <c r="C3909" t="inlineStr">
        <is>
          <t>Föryngringsavverkning</t>
        </is>
      </c>
      <c r="D3909" s="1" t="n">
        <v>45474</v>
      </c>
      <c r="E3909" s="1" t="n">
        <v>46323</v>
      </c>
      <c r="F3909" t="inlineStr">
        <is>
          <t>KALMAR LÄN</t>
        </is>
      </c>
      <c r="G3909" t="inlineStr">
        <is>
          <t>OSKARSHAMN</t>
        </is>
      </c>
      <c r="I3909" t="n">
        <v>1.9</v>
      </c>
      <c r="J3909" t="n">
        <v>0</v>
      </c>
      <c r="K3909" t="n">
        <v>0</v>
      </c>
      <c r="L3909" t="n">
        <v>0</v>
      </c>
      <c r="M3909" t="n">
        <v>0</v>
      </c>
      <c r="N3909" t="n">
        <v>0</v>
      </c>
      <c r="O3909" t="n">
        <v>0</v>
      </c>
      <c r="P3909" t="n">
        <v>0</v>
      </c>
      <c r="Q3909" t="n">
        <v>0</v>
      </c>
      <c r="R3909" t="n">
        <v>0</v>
      </c>
      <c r="S3909" t="n">
        <v>0</v>
      </c>
      <c r="T3909" t="n">
        <v>0</v>
      </c>
      <c r="U3909" t="n">
        <v>0</v>
      </c>
      <c r="V3909" s="2" t="inlineStr"/>
    </row>
    <row r="3910" ht="15" customHeight="1">
      <c r="A3910" t="inlineStr">
        <is>
          <t>A 59540-2024</t>
        </is>
      </c>
      <c r="B3910" t="inlineStr">
        <is>
          <t>avverkningsanmälan</t>
        </is>
      </c>
      <c r="C3910" t="inlineStr">
        <is>
          <t>Föryngringsavverkning</t>
        </is>
      </c>
      <c r="D3910" s="1" t="n">
        <v>45638</v>
      </c>
      <c r="E3910" s="1" t="n">
        <v>46323</v>
      </c>
      <c r="F3910" t="inlineStr">
        <is>
          <t>KALMAR LÄN</t>
        </is>
      </c>
      <c r="G3910" t="inlineStr">
        <is>
          <t>MÖNSTERÅS</t>
        </is>
      </c>
      <c r="I3910" t="n">
        <v>2</v>
      </c>
      <c r="J3910" t="n">
        <v>0</v>
      </c>
      <c r="K3910" t="n">
        <v>0</v>
      </c>
      <c r="L3910" t="n">
        <v>0</v>
      </c>
      <c r="M3910" t="n">
        <v>0</v>
      </c>
      <c r="N3910" t="n">
        <v>0</v>
      </c>
      <c r="O3910" t="n">
        <v>0</v>
      </c>
      <c r="P3910" t="n">
        <v>0</v>
      </c>
      <c r="Q3910" t="n">
        <v>0</v>
      </c>
      <c r="R3910" t="n">
        <v>0</v>
      </c>
      <c r="S3910" t="n">
        <v>0</v>
      </c>
      <c r="T3910" t="n">
        <v>0</v>
      </c>
      <c r="U3910" t="n">
        <v>0</v>
      </c>
      <c r="V3910" s="2" t="inlineStr"/>
    </row>
    <row r="3911" ht="15" customHeight="1">
      <c r="A3911" t="inlineStr">
        <is>
          <t>A 15510-2024</t>
        </is>
      </c>
      <c r="B3911" t="inlineStr">
        <is>
          <t>avverkningsanmälan</t>
        </is>
      </c>
      <c r="C3911" t="inlineStr">
        <is>
          <t>Föryngringsavverkning</t>
        </is>
      </c>
      <c r="D3911" s="1" t="n">
        <v>45401</v>
      </c>
      <c r="E3911" s="1" t="n">
        <v>46323</v>
      </c>
      <c r="F3911" t="inlineStr">
        <is>
          <t>KALMAR LÄN</t>
        </is>
      </c>
      <c r="G3911" t="inlineStr">
        <is>
          <t>NYBRO</t>
        </is>
      </c>
      <c r="I3911" t="n">
        <v>0.8</v>
      </c>
      <c r="J3911" t="n">
        <v>0</v>
      </c>
      <c r="K3911" t="n">
        <v>0</v>
      </c>
      <c r="L3911" t="n">
        <v>0</v>
      </c>
      <c r="M3911" t="n">
        <v>0</v>
      </c>
      <c r="N3911" t="n">
        <v>0</v>
      </c>
      <c r="O3911" t="n">
        <v>0</v>
      </c>
      <c r="P3911" t="n">
        <v>0</v>
      </c>
      <c r="Q3911" t="n">
        <v>0</v>
      </c>
      <c r="R3911" t="n">
        <v>0</v>
      </c>
      <c r="S3911" t="n">
        <v>0</v>
      </c>
      <c r="T3911" t="n">
        <v>0</v>
      </c>
      <c r="U3911" t="n">
        <v>0</v>
      </c>
      <c r="V3911" s="2" t="inlineStr"/>
    </row>
    <row r="3912" ht="15" customHeight="1">
      <c r="A3912" t="inlineStr">
        <is>
          <t>A 28691-2026</t>
        </is>
      </c>
      <c r="B3912" t="inlineStr">
        <is>
          <t>avverkningsanmälan</t>
        </is>
      </c>
      <c r="C3912" t="inlineStr">
        <is>
          <t>Avverkning för att bevara och utveckla /försöksver</t>
        </is>
      </c>
      <c r="D3912" s="1" t="n">
        <v>46198</v>
      </c>
      <c r="E3912" s="1" t="n">
        <v>46323</v>
      </c>
      <c r="F3912" t="inlineStr">
        <is>
          <t>KALMAR LÄN</t>
        </is>
      </c>
      <c r="G3912" t="inlineStr">
        <is>
          <t>HÖGSBY</t>
        </is>
      </c>
      <c r="H3912" t="inlineStr">
        <is>
          <t>Sveaskog</t>
        </is>
      </c>
      <c r="I3912" t="n">
        <v>3.8</v>
      </c>
      <c r="J3912" t="n">
        <v>0</v>
      </c>
      <c r="K3912" t="n">
        <v>0</v>
      </c>
      <c r="L3912" t="n">
        <v>0</v>
      </c>
      <c r="M3912" t="n">
        <v>0</v>
      </c>
      <c r="N3912" t="n">
        <v>0</v>
      </c>
      <c r="O3912" t="n">
        <v>0</v>
      </c>
      <c r="P3912" t="n">
        <v>0</v>
      </c>
      <c r="Q3912" t="n">
        <v>0</v>
      </c>
      <c r="R3912" t="n">
        <v>0</v>
      </c>
      <c r="S3912" t="n">
        <v>0</v>
      </c>
      <c r="T3912" t="n">
        <v>0</v>
      </c>
      <c r="U3912" t="n">
        <v>0</v>
      </c>
      <c r="V3912" s="2" t="inlineStr"/>
    </row>
    <row r="3913" ht="15" customHeight="1">
      <c r="A3913" t="inlineStr">
        <is>
          <t>A 28697-2026</t>
        </is>
      </c>
      <c r="B3913" t="inlineStr">
        <is>
          <t>avverkningsanmälan</t>
        </is>
      </c>
      <c r="C3913" t="inlineStr">
        <is>
          <t>Avverkning för att bevara och utveckla /försöksver</t>
        </is>
      </c>
      <c r="D3913" s="1" t="n">
        <v>46198</v>
      </c>
      <c r="E3913" s="1" t="n">
        <v>46323</v>
      </c>
      <c r="F3913" t="inlineStr">
        <is>
          <t>KALMAR LÄN</t>
        </is>
      </c>
      <c r="G3913" t="inlineStr">
        <is>
          <t>HÖGSBY</t>
        </is>
      </c>
      <c r="H3913" t="inlineStr">
        <is>
          <t>Sveaskog</t>
        </is>
      </c>
      <c r="I3913" t="n">
        <v>3.1</v>
      </c>
      <c r="J3913" t="n">
        <v>0</v>
      </c>
      <c r="K3913" t="n">
        <v>0</v>
      </c>
      <c r="L3913" t="n">
        <v>0</v>
      </c>
      <c r="M3913" t="n">
        <v>0</v>
      </c>
      <c r="N3913" t="n">
        <v>0</v>
      </c>
      <c r="O3913" t="n">
        <v>0</v>
      </c>
      <c r="P3913" t="n">
        <v>0</v>
      </c>
      <c r="Q3913" t="n">
        <v>0</v>
      </c>
      <c r="R3913" t="n">
        <v>0</v>
      </c>
      <c r="S3913" t="n">
        <v>0</v>
      </c>
      <c r="T3913" t="n">
        <v>0</v>
      </c>
      <c r="U3913" t="n">
        <v>0</v>
      </c>
      <c r="V3913" s="2" t="inlineStr"/>
    </row>
    <row r="3914" ht="15" customHeight="1">
      <c r="A3914" t="inlineStr">
        <is>
          <t>A 28924-2026</t>
        </is>
      </c>
      <c r="B3914" t="inlineStr">
        <is>
          <t>avverkningsanmälan</t>
        </is>
      </c>
      <c r="C3914" t="inlineStr">
        <is>
          <t>Föryngringsavverkning</t>
        </is>
      </c>
      <c r="D3914" s="1" t="n">
        <v>46199</v>
      </c>
      <c r="E3914" s="1" t="n">
        <v>46323</v>
      </c>
      <c r="F3914" t="inlineStr">
        <is>
          <t>KALMAR LÄN</t>
        </is>
      </c>
      <c r="G3914" t="inlineStr">
        <is>
          <t>KALMAR</t>
        </is>
      </c>
      <c r="I3914" t="n">
        <v>2.6</v>
      </c>
      <c r="J3914" t="n">
        <v>0</v>
      </c>
      <c r="K3914" t="n">
        <v>0</v>
      </c>
      <c r="L3914" t="n">
        <v>0</v>
      </c>
      <c r="M3914" t="n">
        <v>0</v>
      </c>
      <c r="N3914" t="n">
        <v>0</v>
      </c>
      <c r="O3914" t="n">
        <v>0</v>
      </c>
      <c r="P3914" t="n">
        <v>0</v>
      </c>
      <c r="Q3914" t="n">
        <v>0</v>
      </c>
      <c r="R3914" t="n">
        <v>0</v>
      </c>
      <c r="S3914" t="n">
        <v>0</v>
      </c>
      <c r="T3914" t="n">
        <v>0</v>
      </c>
      <c r="U3914" t="n">
        <v>0</v>
      </c>
      <c r="V3914" s="2" t="inlineStr"/>
    </row>
    <row r="3915" ht="15" customHeight="1">
      <c r="A3915" t="inlineStr">
        <is>
          <t>A 682-2025</t>
        </is>
      </c>
      <c r="B3915" t="inlineStr">
        <is>
          <t>avverkningsanmälan</t>
        </is>
      </c>
      <c r="C3915" t="inlineStr">
        <is>
          <t>Föryngringsavverkning</t>
        </is>
      </c>
      <c r="D3915" s="1" t="n">
        <v>45664</v>
      </c>
      <c r="E3915" s="1" t="n">
        <v>46323</v>
      </c>
      <c r="F3915" t="inlineStr">
        <is>
          <t>KALMAR LÄN</t>
        </is>
      </c>
      <c r="G3915" t="inlineStr">
        <is>
          <t>NYBRO</t>
        </is>
      </c>
      <c r="I3915" t="n">
        <v>0.8</v>
      </c>
      <c r="J3915" t="n">
        <v>0</v>
      </c>
      <c r="K3915" t="n">
        <v>0</v>
      </c>
      <c r="L3915" t="n">
        <v>0</v>
      </c>
      <c r="M3915" t="n">
        <v>0</v>
      </c>
      <c r="N3915" t="n">
        <v>0</v>
      </c>
      <c r="O3915" t="n">
        <v>0</v>
      </c>
      <c r="P3915" t="n">
        <v>0</v>
      </c>
      <c r="Q3915" t="n">
        <v>0</v>
      </c>
      <c r="R3915" t="n">
        <v>0</v>
      </c>
      <c r="S3915" t="n">
        <v>0</v>
      </c>
      <c r="T3915" t="n">
        <v>0</v>
      </c>
      <c r="U3915" t="n">
        <v>0</v>
      </c>
      <c r="V3915" s="2" t="inlineStr"/>
    </row>
    <row r="3916" ht="15" customHeight="1">
      <c r="A3916" t="inlineStr">
        <is>
          <t>A 29303-2026</t>
        </is>
      </c>
      <c r="B3916" t="inlineStr">
        <is>
          <t>avverkningsanmälan</t>
        </is>
      </c>
      <c r="C3916" t="inlineStr">
        <is>
          <t>Föryngringsavverkning</t>
        </is>
      </c>
      <c r="D3916" s="1" t="n">
        <v>46202</v>
      </c>
      <c r="E3916" s="1" t="n">
        <v>46323</v>
      </c>
      <c r="F3916" t="inlineStr">
        <is>
          <t>KALMAR LÄN</t>
        </is>
      </c>
      <c r="G3916" t="inlineStr">
        <is>
          <t>MÖNSTERÅS</t>
        </is>
      </c>
      <c r="I3916" t="n">
        <v>1</v>
      </c>
      <c r="J3916" t="n">
        <v>0</v>
      </c>
      <c r="K3916" t="n">
        <v>0</v>
      </c>
      <c r="L3916" t="n">
        <v>0</v>
      </c>
      <c r="M3916" t="n">
        <v>0</v>
      </c>
      <c r="N3916" t="n">
        <v>0</v>
      </c>
      <c r="O3916" t="n">
        <v>0</v>
      </c>
      <c r="P3916" t="n">
        <v>0</v>
      </c>
      <c r="Q3916" t="n">
        <v>0</v>
      </c>
      <c r="R3916" t="n">
        <v>0</v>
      </c>
      <c r="S3916" t="n">
        <v>0</v>
      </c>
      <c r="T3916" t="n">
        <v>0</v>
      </c>
      <c r="U3916" t="n">
        <v>0</v>
      </c>
      <c r="V3916" s="2" t="inlineStr"/>
    </row>
    <row r="3917" ht="15" customHeight="1">
      <c r="A3917" t="inlineStr">
        <is>
          <t>A 29397-2026</t>
        </is>
      </c>
      <c r="B3917" t="inlineStr">
        <is>
          <t>avverkningsanmälan</t>
        </is>
      </c>
      <c r="C3917" t="inlineStr">
        <is>
          <t>Föryngringsavverkning</t>
        </is>
      </c>
      <c r="D3917" s="1" t="n">
        <v>46203</v>
      </c>
      <c r="E3917" s="1" t="n">
        <v>46323</v>
      </c>
      <c r="F3917" t="inlineStr">
        <is>
          <t>KALMAR LÄN</t>
        </is>
      </c>
      <c r="G3917" t="inlineStr">
        <is>
          <t>OSKARSHAMN</t>
        </is>
      </c>
      <c r="I3917" t="n">
        <v>1.4</v>
      </c>
      <c r="J3917" t="n">
        <v>0</v>
      </c>
      <c r="K3917" t="n">
        <v>0</v>
      </c>
      <c r="L3917" t="n">
        <v>0</v>
      </c>
      <c r="M3917" t="n">
        <v>0</v>
      </c>
      <c r="N3917" t="n">
        <v>0</v>
      </c>
      <c r="O3917" t="n">
        <v>0</v>
      </c>
      <c r="P3917" t="n">
        <v>0</v>
      </c>
      <c r="Q3917" t="n">
        <v>0</v>
      </c>
      <c r="R3917" t="n">
        <v>0</v>
      </c>
      <c r="S3917" t="n">
        <v>0</v>
      </c>
      <c r="T3917" t="n">
        <v>0</v>
      </c>
      <c r="U3917" t="n">
        <v>0</v>
      </c>
      <c r="V3917" s="2" t="inlineStr"/>
    </row>
    <row r="3918" ht="15" customHeight="1">
      <c r="A3918" t="inlineStr">
        <is>
          <t>A 29413-2026</t>
        </is>
      </c>
      <c r="B3918" t="inlineStr">
        <is>
          <t>avverkningsanmälan</t>
        </is>
      </c>
      <c r="C3918" t="inlineStr">
        <is>
          <t>Avverkning för att bevara och utveckla /försöksver</t>
        </is>
      </c>
      <c r="D3918" s="1" t="n">
        <v>46203</v>
      </c>
      <c r="E3918" s="1" t="n">
        <v>46323</v>
      </c>
      <c r="F3918" t="inlineStr">
        <is>
          <t>KALMAR LÄN</t>
        </is>
      </c>
      <c r="G3918" t="inlineStr">
        <is>
          <t>BORGHOLM</t>
        </is>
      </c>
      <c r="H3918" t="inlineStr">
        <is>
          <t>Sveaskog</t>
        </is>
      </c>
      <c r="I3918" t="n">
        <v>1.3</v>
      </c>
      <c r="J3918" t="n">
        <v>0</v>
      </c>
      <c r="K3918" t="n">
        <v>0</v>
      </c>
      <c r="L3918" t="n">
        <v>0</v>
      </c>
      <c r="M3918" t="n">
        <v>0</v>
      </c>
      <c r="N3918" t="n">
        <v>0</v>
      </c>
      <c r="O3918" t="n">
        <v>0</v>
      </c>
      <c r="P3918" t="n">
        <v>0</v>
      </c>
      <c r="Q3918" t="n">
        <v>0</v>
      </c>
      <c r="R3918" t="n">
        <v>0</v>
      </c>
      <c r="S3918" t="n">
        <v>0</v>
      </c>
      <c r="T3918" t="n">
        <v>0</v>
      </c>
      <c r="U3918" t="n">
        <v>0</v>
      </c>
      <c r="V3918" s="2" t="inlineStr"/>
    </row>
    <row r="3919" ht="15" customHeight="1">
      <c r="A3919" t="inlineStr">
        <is>
          <t>A 29414-2026</t>
        </is>
      </c>
      <c r="B3919" t="inlineStr">
        <is>
          <t>avverkningsanmälan</t>
        </is>
      </c>
      <c r="C3919" t="inlineStr">
        <is>
          <t>Avverkning för att bevara och utveckla /försöksver</t>
        </is>
      </c>
      <c r="D3919" s="1" t="n">
        <v>46203</v>
      </c>
      <c r="E3919" s="1" t="n">
        <v>46323</v>
      </c>
      <c r="F3919" t="inlineStr">
        <is>
          <t>KALMAR LÄN</t>
        </is>
      </c>
      <c r="G3919" t="inlineStr">
        <is>
          <t>BORGHOLM</t>
        </is>
      </c>
      <c r="H3919" t="inlineStr">
        <is>
          <t>Sveaskog</t>
        </is>
      </c>
      <c r="I3919" t="n">
        <v>0.6</v>
      </c>
      <c r="J3919" t="n">
        <v>0</v>
      </c>
      <c r="K3919" t="n">
        <v>0</v>
      </c>
      <c r="L3919" t="n">
        <v>0</v>
      </c>
      <c r="M3919" t="n">
        <v>0</v>
      </c>
      <c r="N3919" t="n">
        <v>0</v>
      </c>
      <c r="O3919" t="n">
        <v>0</v>
      </c>
      <c r="P3919" t="n">
        <v>0</v>
      </c>
      <c r="Q3919" t="n">
        <v>0</v>
      </c>
      <c r="R3919" t="n">
        <v>0</v>
      </c>
      <c r="S3919" t="n">
        <v>0</v>
      </c>
      <c r="T3919" t="n">
        <v>0</v>
      </c>
      <c r="U3919" t="n">
        <v>0</v>
      </c>
      <c r="V3919" s="2" t="inlineStr"/>
    </row>
    <row r="3920" ht="15" customHeight="1">
      <c r="A3920" t="inlineStr">
        <is>
          <t>A 11442-2025</t>
        </is>
      </c>
      <c r="B3920" t="inlineStr">
        <is>
          <t>avverkningsanmälan</t>
        </is>
      </c>
      <c r="C3920" t="inlineStr">
        <is>
          <t>Föryngringsavverkning</t>
        </is>
      </c>
      <c r="D3920" s="1" t="n">
        <v>45726</v>
      </c>
      <c r="E3920" s="1" t="n">
        <v>46323</v>
      </c>
      <c r="F3920" t="inlineStr">
        <is>
          <t>KALMAR LÄN</t>
        </is>
      </c>
      <c r="G3920" t="inlineStr">
        <is>
          <t>VIMMERBY</t>
        </is>
      </c>
      <c r="I3920" t="n">
        <v>2.6</v>
      </c>
      <c r="J3920" t="n">
        <v>0</v>
      </c>
      <c r="K3920" t="n">
        <v>0</v>
      </c>
      <c r="L3920" t="n">
        <v>0</v>
      </c>
      <c r="M3920" t="n">
        <v>0</v>
      </c>
      <c r="N3920" t="n">
        <v>0</v>
      </c>
      <c r="O3920" t="n">
        <v>0</v>
      </c>
      <c r="P3920" t="n">
        <v>0</v>
      </c>
      <c r="Q3920" t="n">
        <v>0</v>
      </c>
      <c r="R3920" t="n">
        <v>0</v>
      </c>
      <c r="S3920" t="n">
        <v>0</v>
      </c>
      <c r="T3920" t="n">
        <v>0</v>
      </c>
      <c r="U3920" t="n">
        <v>0</v>
      </c>
      <c r="V3920" s="2" t="inlineStr"/>
    </row>
    <row r="3921" ht="15" customHeight="1">
      <c r="A3921" t="inlineStr">
        <is>
          <t>A 40137-2024</t>
        </is>
      </c>
      <c r="B3921" t="inlineStr">
        <is>
          <t>avverkningsanmälan</t>
        </is>
      </c>
      <c r="C3921" t="inlineStr">
        <is>
          <t>Föryngringsavverkning</t>
        </is>
      </c>
      <c r="D3921" s="1" t="n">
        <v>45554</v>
      </c>
      <c r="E3921" s="1" t="n">
        <v>46323</v>
      </c>
      <c r="F3921" t="inlineStr">
        <is>
          <t>KALMAR LÄN</t>
        </is>
      </c>
      <c r="G3921" t="inlineStr">
        <is>
          <t>HÖGSBY</t>
        </is>
      </c>
      <c r="I3921" t="n">
        <v>1.4</v>
      </c>
      <c r="J3921" t="n">
        <v>0</v>
      </c>
      <c r="K3921" t="n">
        <v>0</v>
      </c>
      <c r="L3921" t="n">
        <v>0</v>
      </c>
      <c r="M3921" t="n">
        <v>0</v>
      </c>
      <c r="N3921" t="n">
        <v>0</v>
      </c>
      <c r="O3921" t="n">
        <v>0</v>
      </c>
      <c r="P3921" t="n">
        <v>0</v>
      </c>
      <c r="Q3921" t="n">
        <v>0</v>
      </c>
      <c r="R3921" t="n">
        <v>0</v>
      </c>
      <c r="S3921" t="n">
        <v>0</v>
      </c>
      <c r="T3921" t="n">
        <v>0</v>
      </c>
      <c r="U3921" t="n">
        <v>0</v>
      </c>
      <c r="V3921" s="2" t="inlineStr"/>
      <c r="Z3921">
        <f>HYPERLINK("https://klasma.github.io/Logging_0821/knärot/A 40137-2024 karta knärot.png", "A 40137-2024")</f>
        <v/>
      </c>
      <c r="AA3921">
        <f>HYPERLINK("https://klasma.github.io/Logging_0821/klagomål/A 40137-2024 FSC-klagomål.docx", "A 40137-2024")</f>
        <v/>
      </c>
      <c r="AB3921">
        <f>HYPERLINK("https://klasma.github.io/Logging_0821/klagomålsmail/A 40137-2024 FSC-klagomål mail.docx", "A 40137-2024")</f>
        <v/>
      </c>
      <c r="AC3921">
        <f>HYPERLINK("https://klasma.github.io/Logging_0821/tillsyn/A 40137-2024 tillsynsbegäran.docx", "A 40137-2024")</f>
        <v/>
      </c>
      <c r="AD3921">
        <f>HYPERLINK("https://klasma.github.io/Logging_0821/tillsynsmail/A 40137-2024 tillsynsbegäran mail.docx", "A 40137-2024")</f>
        <v/>
      </c>
    </row>
    <row r="3922" ht="15" customHeight="1">
      <c r="A3922" t="inlineStr">
        <is>
          <t>A 29226-2026</t>
        </is>
      </c>
      <c r="B3922" t="inlineStr">
        <is>
          <t>avverkningsanmälan</t>
        </is>
      </c>
      <c r="C3922" t="inlineStr">
        <is>
          <t>Föryngringsavverkning</t>
        </is>
      </c>
      <c r="D3922" s="1" t="n">
        <v>46202</v>
      </c>
      <c r="E3922" s="1" t="n">
        <v>46323</v>
      </c>
      <c r="F3922" t="inlineStr">
        <is>
          <t>KALMAR LÄN</t>
        </is>
      </c>
      <c r="G3922" t="inlineStr">
        <is>
          <t>OSKARSHAMN</t>
        </is>
      </c>
      <c r="I3922" t="n">
        <v>2.7</v>
      </c>
      <c r="J3922" t="n">
        <v>0</v>
      </c>
      <c r="K3922" t="n">
        <v>0</v>
      </c>
      <c r="L3922" t="n">
        <v>0</v>
      </c>
      <c r="M3922" t="n">
        <v>0</v>
      </c>
      <c r="N3922" t="n">
        <v>0</v>
      </c>
      <c r="O3922" t="n">
        <v>0</v>
      </c>
      <c r="P3922" t="n">
        <v>0</v>
      </c>
      <c r="Q3922" t="n">
        <v>0</v>
      </c>
      <c r="R3922" t="n">
        <v>0</v>
      </c>
      <c r="S3922" t="n">
        <v>0</v>
      </c>
      <c r="T3922" t="n">
        <v>0</v>
      </c>
      <c r="U3922" t="n">
        <v>0</v>
      </c>
      <c r="V3922" s="2" t="inlineStr"/>
    </row>
    <row r="3923" ht="15" customHeight="1">
      <c r="A3923" t="inlineStr">
        <is>
          <t>A 52610-2023</t>
        </is>
      </c>
      <c r="B3923" t="inlineStr">
        <is>
          <t>avverkningsanmälan</t>
        </is>
      </c>
      <c r="C3923" t="inlineStr">
        <is>
          <t>Föryngringsavverkning</t>
        </is>
      </c>
      <c r="D3923" s="1" t="n">
        <v>45225</v>
      </c>
      <c r="E3923" s="1" t="n">
        <v>46323</v>
      </c>
      <c r="F3923" t="inlineStr">
        <is>
          <t>KALMAR LÄN</t>
        </is>
      </c>
      <c r="G3923" t="inlineStr">
        <is>
          <t>EMMABODA</t>
        </is>
      </c>
      <c r="I3923" t="n">
        <v>2.3</v>
      </c>
      <c r="J3923" t="n">
        <v>0</v>
      </c>
      <c r="K3923" t="n">
        <v>0</v>
      </c>
      <c r="L3923" t="n">
        <v>0</v>
      </c>
      <c r="M3923" t="n">
        <v>0</v>
      </c>
      <c r="N3923" t="n">
        <v>0</v>
      </c>
      <c r="O3923" t="n">
        <v>0</v>
      </c>
      <c r="P3923" t="n">
        <v>0</v>
      </c>
      <c r="Q3923" t="n">
        <v>0</v>
      </c>
      <c r="R3923" t="n">
        <v>0</v>
      </c>
      <c r="S3923" t="n">
        <v>0</v>
      </c>
      <c r="T3923" t="n">
        <v>0</v>
      </c>
      <c r="U3923" t="n">
        <v>0</v>
      </c>
      <c r="V3923" s="2" t="inlineStr"/>
    </row>
    <row r="3924" ht="15" customHeight="1">
      <c r="A3924" t="inlineStr">
        <is>
          <t>A 29172-2026</t>
        </is>
      </c>
      <c r="B3924" t="inlineStr">
        <is>
          <t>avverkningsanmälan</t>
        </is>
      </c>
      <c r="C3924" t="inlineStr">
        <is>
          <t>Föryngringsavverkning</t>
        </is>
      </c>
      <c r="D3924" s="1" t="n">
        <v>46202</v>
      </c>
      <c r="E3924" s="1" t="n">
        <v>46323</v>
      </c>
      <c r="F3924" t="inlineStr">
        <is>
          <t>KALMAR LÄN</t>
        </is>
      </c>
      <c r="G3924" t="inlineStr">
        <is>
          <t>OSKARSHAMN</t>
        </is>
      </c>
      <c r="I3924" t="n">
        <v>4.9</v>
      </c>
      <c r="J3924" t="n">
        <v>0</v>
      </c>
      <c r="K3924" t="n">
        <v>0</v>
      </c>
      <c r="L3924" t="n">
        <v>0</v>
      </c>
      <c r="M3924" t="n">
        <v>0</v>
      </c>
      <c r="N3924" t="n">
        <v>0</v>
      </c>
      <c r="O3924" t="n">
        <v>0</v>
      </c>
      <c r="P3924" t="n">
        <v>0</v>
      </c>
      <c r="Q3924" t="n">
        <v>0</v>
      </c>
      <c r="R3924" t="n">
        <v>0</v>
      </c>
      <c r="S3924" t="n">
        <v>0</v>
      </c>
      <c r="T3924" t="n">
        <v>0</v>
      </c>
      <c r="U3924" t="n">
        <v>0</v>
      </c>
      <c r="V3924" s="2" t="inlineStr"/>
    </row>
    <row r="3925" ht="15" customHeight="1">
      <c r="A3925" t="inlineStr">
        <is>
          <t>A 29206-2026</t>
        </is>
      </c>
      <c r="B3925" t="inlineStr">
        <is>
          <t>avverkningsanmälan</t>
        </is>
      </c>
      <c r="C3925" t="inlineStr">
        <is>
          <t>Föryngringsavverkning</t>
        </is>
      </c>
      <c r="D3925" s="1" t="n">
        <v>46202</v>
      </c>
      <c r="E3925" s="1" t="n">
        <v>46323</v>
      </c>
      <c r="F3925" t="inlineStr">
        <is>
          <t>KALMAR LÄN</t>
        </is>
      </c>
      <c r="G3925" t="inlineStr">
        <is>
          <t>HÖGSBY</t>
        </is>
      </c>
      <c r="I3925" t="n">
        <v>1.2</v>
      </c>
      <c r="J3925" t="n">
        <v>0</v>
      </c>
      <c r="K3925" t="n">
        <v>0</v>
      </c>
      <c r="L3925" t="n">
        <v>0</v>
      </c>
      <c r="M3925" t="n">
        <v>0</v>
      </c>
      <c r="N3925" t="n">
        <v>0</v>
      </c>
      <c r="O3925" t="n">
        <v>0</v>
      </c>
      <c r="P3925" t="n">
        <v>0</v>
      </c>
      <c r="Q3925" t="n">
        <v>0</v>
      </c>
      <c r="R3925" t="n">
        <v>0</v>
      </c>
      <c r="S3925" t="n">
        <v>0</v>
      </c>
      <c r="T3925" t="n">
        <v>0</v>
      </c>
      <c r="U3925" t="n">
        <v>0</v>
      </c>
      <c r="V3925" s="2" t="inlineStr"/>
    </row>
    <row r="3926" ht="15" customHeight="1">
      <c r="A3926" t="inlineStr">
        <is>
          <t>A 17157-2022</t>
        </is>
      </c>
      <c r="B3926" t="inlineStr">
        <is>
          <t>avverkningsanmälan</t>
        </is>
      </c>
      <c r="C3926" t="inlineStr">
        <is>
          <t>Föryngringsavverkning</t>
        </is>
      </c>
      <c r="D3926" s="1" t="n">
        <v>44677</v>
      </c>
      <c r="E3926" s="1" t="n">
        <v>46323</v>
      </c>
      <c r="F3926" t="inlineStr">
        <is>
          <t>KALMAR LÄN</t>
        </is>
      </c>
      <c r="G3926" t="inlineStr">
        <is>
          <t>NYBRO</t>
        </is>
      </c>
      <c r="I3926" t="n">
        <v>0.5</v>
      </c>
      <c r="J3926" t="n">
        <v>0</v>
      </c>
      <c r="K3926" t="n">
        <v>0</v>
      </c>
      <c r="L3926" t="n">
        <v>0</v>
      </c>
      <c r="M3926" t="n">
        <v>0</v>
      </c>
      <c r="N3926" t="n">
        <v>0</v>
      </c>
      <c r="O3926" t="n">
        <v>0</v>
      </c>
      <c r="P3926" t="n">
        <v>0</v>
      </c>
      <c r="Q3926" t="n">
        <v>0</v>
      </c>
      <c r="R3926" t="n">
        <v>0</v>
      </c>
      <c r="S3926" t="n">
        <v>0</v>
      </c>
      <c r="T3926" t="n">
        <v>0</v>
      </c>
      <c r="U3926" t="n">
        <v>0</v>
      </c>
      <c r="V3926" s="2" t="inlineStr"/>
    </row>
    <row r="3927" ht="15" customHeight="1">
      <c r="A3927" t="inlineStr">
        <is>
          <t>A 47004-2023</t>
        </is>
      </c>
      <c r="B3927" t="inlineStr">
        <is>
          <t>avverkningsanmälan</t>
        </is>
      </c>
      <c r="C3927" t="inlineStr">
        <is>
          <t>Föryngringsavverkning</t>
        </is>
      </c>
      <c r="D3927" s="1" t="n">
        <v>45201</v>
      </c>
      <c r="E3927" s="1" t="n">
        <v>46323</v>
      </c>
      <c r="F3927" t="inlineStr">
        <is>
          <t>KALMAR LÄN</t>
        </is>
      </c>
      <c r="G3927" t="inlineStr">
        <is>
          <t>TORSÅS</t>
        </is>
      </c>
      <c r="I3927" t="n">
        <v>1.7</v>
      </c>
      <c r="J3927" t="n">
        <v>0</v>
      </c>
      <c r="K3927" t="n">
        <v>0</v>
      </c>
      <c r="L3927" t="n">
        <v>0</v>
      </c>
      <c r="M3927" t="n">
        <v>0</v>
      </c>
      <c r="N3927" t="n">
        <v>0</v>
      </c>
      <c r="O3927" t="n">
        <v>0</v>
      </c>
      <c r="P3927" t="n">
        <v>0</v>
      </c>
      <c r="Q3927" t="n">
        <v>0</v>
      </c>
      <c r="R3927" t="n">
        <v>0</v>
      </c>
      <c r="S3927" t="n">
        <v>0</v>
      </c>
      <c r="T3927" t="n">
        <v>0</v>
      </c>
      <c r="U3927" t="n">
        <v>0</v>
      </c>
      <c r="V3927" s="2" t="inlineStr"/>
    </row>
    <row r="3928" ht="15" customHeight="1">
      <c r="A3928" t="inlineStr">
        <is>
          <t>A 61490-2024</t>
        </is>
      </c>
      <c r="B3928" t="inlineStr">
        <is>
          <t>avverkningsanmälan</t>
        </is>
      </c>
      <c r="C3928" t="inlineStr">
        <is>
          <t>Föryngringsavverkning</t>
        </is>
      </c>
      <c r="D3928" s="1" t="n">
        <v>45646</v>
      </c>
      <c r="E3928" s="1" t="n">
        <v>46323</v>
      </c>
      <c r="F3928" t="inlineStr">
        <is>
          <t>KALMAR LÄN</t>
        </is>
      </c>
      <c r="G3928" t="inlineStr">
        <is>
          <t>MÖNSTERÅS</t>
        </is>
      </c>
      <c r="H3928" t="inlineStr">
        <is>
          <t>Kommuner</t>
        </is>
      </c>
      <c r="I3928" t="n">
        <v>8</v>
      </c>
      <c r="J3928" t="n">
        <v>0</v>
      </c>
      <c r="K3928" t="n">
        <v>0</v>
      </c>
      <c r="L3928" t="n">
        <v>0</v>
      </c>
      <c r="M3928" t="n">
        <v>0</v>
      </c>
      <c r="N3928" t="n">
        <v>0</v>
      </c>
      <c r="O3928" t="n">
        <v>0</v>
      </c>
      <c r="P3928" t="n">
        <v>0</v>
      </c>
      <c r="Q3928" t="n">
        <v>0</v>
      </c>
      <c r="R3928" t="n">
        <v>0</v>
      </c>
      <c r="S3928" t="n">
        <v>0</v>
      </c>
      <c r="T3928" t="n">
        <v>0</v>
      </c>
      <c r="U3928" t="n">
        <v>0</v>
      </c>
      <c r="V3928" s="2" t="inlineStr"/>
    </row>
    <row r="3929" ht="15" customHeight="1">
      <c r="A3929" t="inlineStr">
        <is>
          <t>A 22643-2023</t>
        </is>
      </c>
      <c r="B3929" t="inlineStr">
        <is>
          <t>avverkningsanmälan</t>
        </is>
      </c>
      <c r="C3929" t="inlineStr">
        <is>
          <t>Föryngringsavverkning</t>
        </is>
      </c>
      <c r="D3929" s="1" t="n">
        <v>45071</v>
      </c>
      <c r="E3929" s="1" t="n">
        <v>46323</v>
      </c>
      <c r="F3929" t="inlineStr">
        <is>
          <t>KALMAR LÄN</t>
        </is>
      </c>
      <c r="G3929" t="inlineStr">
        <is>
          <t>VIMMERBY</t>
        </is>
      </c>
      <c r="I3929" t="n">
        <v>3.9</v>
      </c>
      <c r="J3929" t="n">
        <v>0</v>
      </c>
      <c r="K3929" t="n">
        <v>0</v>
      </c>
      <c r="L3929" t="n">
        <v>0</v>
      </c>
      <c r="M3929" t="n">
        <v>0</v>
      </c>
      <c r="N3929" t="n">
        <v>0</v>
      </c>
      <c r="O3929" t="n">
        <v>0</v>
      </c>
      <c r="P3929" t="n">
        <v>0</v>
      </c>
      <c r="Q3929" t="n">
        <v>0</v>
      </c>
      <c r="R3929" t="n">
        <v>0</v>
      </c>
      <c r="S3929" t="n">
        <v>0</v>
      </c>
      <c r="T3929" t="n">
        <v>0</v>
      </c>
      <c r="U3929" t="n">
        <v>0</v>
      </c>
      <c r="V3929" s="2" t="inlineStr"/>
    </row>
    <row r="3930" ht="15" customHeight="1">
      <c r="A3930" t="inlineStr">
        <is>
          <t>A 29255-2026</t>
        </is>
      </c>
      <c r="B3930" t="inlineStr">
        <is>
          <t>avverkningsanmälan</t>
        </is>
      </c>
      <c r="C3930" t="inlineStr">
        <is>
          <t>Föryngringsavverkning</t>
        </is>
      </c>
      <c r="D3930" s="1" t="n">
        <v>46202</v>
      </c>
      <c r="E3930" s="1" t="n">
        <v>46323</v>
      </c>
      <c r="F3930" t="inlineStr">
        <is>
          <t>KALMAR LÄN</t>
        </is>
      </c>
      <c r="G3930" t="inlineStr">
        <is>
          <t>OSKARSHAMN</t>
        </is>
      </c>
      <c r="I3930" t="n">
        <v>3.5</v>
      </c>
      <c r="J3930" t="n">
        <v>0</v>
      </c>
      <c r="K3930" t="n">
        <v>0</v>
      </c>
      <c r="L3930" t="n">
        <v>0</v>
      </c>
      <c r="M3930" t="n">
        <v>0</v>
      </c>
      <c r="N3930" t="n">
        <v>0</v>
      </c>
      <c r="O3930" t="n">
        <v>0</v>
      </c>
      <c r="P3930" t="n">
        <v>0</v>
      </c>
      <c r="Q3930" t="n">
        <v>0</v>
      </c>
      <c r="R3930" t="n">
        <v>0</v>
      </c>
      <c r="S3930" t="n">
        <v>0</v>
      </c>
      <c r="T3930" t="n">
        <v>0</v>
      </c>
      <c r="U3930" t="n">
        <v>0</v>
      </c>
      <c r="V3930" s="2" t="inlineStr"/>
    </row>
    <row r="3931" ht="15" customHeight="1">
      <c r="A3931" t="inlineStr">
        <is>
          <t>A 11621-2024</t>
        </is>
      </c>
      <c r="B3931" t="inlineStr">
        <is>
          <t>avverkningsanmälan</t>
        </is>
      </c>
      <c r="C3931" t="inlineStr">
        <is>
          <t>Föryngringsavverkning</t>
        </is>
      </c>
      <c r="D3931" s="1" t="n">
        <v>45373</v>
      </c>
      <c r="E3931" s="1" t="n">
        <v>46323</v>
      </c>
      <c r="F3931" t="inlineStr">
        <is>
          <t>KALMAR LÄN</t>
        </is>
      </c>
      <c r="G3931" t="inlineStr">
        <is>
          <t>NYBRO</t>
        </is>
      </c>
      <c r="I3931" t="n">
        <v>0.9</v>
      </c>
      <c r="J3931" t="n">
        <v>0</v>
      </c>
      <c r="K3931" t="n">
        <v>0</v>
      </c>
      <c r="L3931" t="n">
        <v>0</v>
      </c>
      <c r="M3931" t="n">
        <v>0</v>
      </c>
      <c r="N3931" t="n">
        <v>0</v>
      </c>
      <c r="O3931" t="n">
        <v>0</v>
      </c>
      <c r="P3931" t="n">
        <v>0</v>
      </c>
      <c r="Q3931" t="n">
        <v>0</v>
      </c>
      <c r="R3931" t="n">
        <v>0</v>
      </c>
      <c r="S3931" t="n">
        <v>0</v>
      </c>
      <c r="T3931" t="n">
        <v>0</v>
      </c>
      <c r="U3931" t="n">
        <v>0</v>
      </c>
      <c r="V3931" s="2" t="inlineStr"/>
    </row>
    <row r="3932" ht="15" customHeight="1">
      <c r="A3932" t="inlineStr">
        <is>
          <t>A 842-2026</t>
        </is>
      </c>
      <c r="B3932" t="inlineStr">
        <is>
          <t>avverkningsanmälan</t>
        </is>
      </c>
      <c r="C3932" t="inlineStr">
        <is>
          <t>Föryngringsavverkning</t>
        </is>
      </c>
      <c r="D3932" s="1" t="n">
        <v>46030</v>
      </c>
      <c r="E3932" s="1" t="n">
        <v>46323</v>
      </c>
      <c r="F3932" t="inlineStr">
        <is>
          <t>KALMAR LÄN</t>
        </is>
      </c>
      <c r="G3932" t="inlineStr">
        <is>
          <t>VIMMERBY</t>
        </is>
      </c>
      <c r="I3932" t="n">
        <v>0.9</v>
      </c>
      <c r="J3932" t="n">
        <v>0</v>
      </c>
      <c r="K3932" t="n">
        <v>0</v>
      </c>
      <c r="L3932" t="n">
        <v>0</v>
      </c>
      <c r="M3932" t="n">
        <v>0</v>
      </c>
      <c r="N3932" t="n">
        <v>0</v>
      </c>
      <c r="O3932" t="n">
        <v>0</v>
      </c>
      <c r="P3932" t="n">
        <v>0</v>
      </c>
      <c r="Q3932" t="n">
        <v>0</v>
      </c>
      <c r="R3932" t="n">
        <v>0</v>
      </c>
      <c r="S3932" t="n">
        <v>0</v>
      </c>
      <c r="T3932" t="n">
        <v>0</v>
      </c>
      <c r="U3932" t="n">
        <v>0</v>
      </c>
      <c r="V3932" s="2" t="inlineStr"/>
    </row>
    <row r="3933" ht="15" customHeight="1">
      <c r="A3933" t="inlineStr">
        <is>
          <t>A 36374-2024</t>
        </is>
      </c>
      <c r="B3933" t="inlineStr">
        <is>
          <t>avverkningsanmälan</t>
        </is>
      </c>
      <c r="C3933" t="inlineStr">
        <is>
          <t>Föryngringsavverkning</t>
        </is>
      </c>
      <c r="D3933" s="1" t="n">
        <v>45534</v>
      </c>
      <c r="E3933" s="1" t="n">
        <v>46323</v>
      </c>
      <c r="F3933" t="inlineStr">
        <is>
          <t>KALMAR LÄN</t>
        </is>
      </c>
      <c r="G3933" t="inlineStr">
        <is>
          <t>NYBRO</t>
        </is>
      </c>
      <c r="I3933" t="n">
        <v>1.4</v>
      </c>
      <c r="J3933" t="n">
        <v>0</v>
      </c>
      <c r="K3933" t="n">
        <v>0</v>
      </c>
      <c r="L3933" t="n">
        <v>0</v>
      </c>
      <c r="M3933" t="n">
        <v>0</v>
      </c>
      <c r="N3933" t="n">
        <v>0</v>
      </c>
      <c r="O3933" t="n">
        <v>0</v>
      </c>
      <c r="P3933" t="n">
        <v>0</v>
      </c>
      <c r="Q3933" t="n">
        <v>0</v>
      </c>
      <c r="R3933" t="n">
        <v>0</v>
      </c>
      <c r="S3933" t="n">
        <v>0</v>
      </c>
      <c r="T3933" t="n">
        <v>0</v>
      </c>
      <c r="U3933" t="n">
        <v>0</v>
      </c>
      <c r="V3933" s="2" t="inlineStr"/>
    </row>
    <row r="3934" ht="15" customHeight="1">
      <c r="A3934" t="inlineStr">
        <is>
          <t>A 29293-2026</t>
        </is>
      </c>
      <c r="B3934" t="inlineStr">
        <is>
          <t>avverkningsanmälan</t>
        </is>
      </c>
      <c r="C3934" t="inlineStr">
        <is>
          <t>Föryngringsavverkning</t>
        </is>
      </c>
      <c r="D3934" s="1" t="n">
        <v>46202</v>
      </c>
      <c r="E3934" s="1" t="n">
        <v>46323</v>
      </c>
      <c r="F3934" t="inlineStr">
        <is>
          <t>KALMAR LÄN</t>
        </is>
      </c>
      <c r="G3934" t="inlineStr">
        <is>
          <t>EMMABODA</t>
        </is>
      </c>
      <c r="I3934" t="n">
        <v>1.6</v>
      </c>
      <c r="J3934" t="n">
        <v>0</v>
      </c>
      <c r="K3934" t="n">
        <v>0</v>
      </c>
      <c r="L3934" t="n">
        <v>0</v>
      </c>
      <c r="M3934" t="n">
        <v>0</v>
      </c>
      <c r="N3934" t="n">
        <v>0</v>
      </c>
      <c r="O3934" t="n">
        <v>0</v>
      </c>
      <c r="P3934" t="n">
        <v>0</v>
      </c>
      <c r="Q3934" t="n">
        <v>0</v>
      </c>
      <c r="R3934" t="n">
        <v>0</v>
      </c>
      <c r="S3934" t="n">
        <v>0</v>
      </c>
      <c r="T3934" t="n">
        <v>0</v>
      </c>
      <c r="U3934" t="n">
        <v>0</v>
      </c>
      <c r="V3934" s="2" t="inlineStr"/>
    </row>
    <row r="3935" ht="15" customHeight="1">
      <c r="A3935" t="inlineStr">
        <is>
          <t>A 786-2025</t>
        </is>
      </c>
      <c r="B3935" t="inlineStr">
        <is>
          <t>avverkningsanmälan</t>
        </is>
      </c>
      <c r="C3935" t="inlineStr">
        <is>
          <t>Föryngringsavverkning</t>
        </is>
      </c>
      <c r="D3935" s="1" t="n">
        <v>45665</v>
      </c>
      <c r="E3935" s="1" t="n">
        <v>46323</v>
      </c>
      <c r="F3935" t="inlineStr">
        <is>
          <t>KALMAR LÄN</t>
        </is>
      </c>
      <c r="G3935" t="inlineStr">
        <is>
          <t>TORSÅS</t>
        </is>
      </c>
      <c r="I3935" t="n">
        <v>1.9</v>
      </c>
      <c r="J3935" t="n">
        <v>0</v>
      </c>
      <c r="K3935" t="n">
        <v>0</v>
      </c>
      <c r="L3935" t="n">
        <v>0</v>
      </c>
      <c r="M3935" t="n">
        <v>0</v>
      </c>
      <c r="N3935" t="n">
        <v>0</v>
      </c>
      <c r="O3935" t="n">
        <v>0</v>
      </c>
      <c r="P3935" t="n">
        <v>0</v>
      </c>
      <c r="Q3935" t="n">
        <v>0</v>
      </c>
      <c r="R3935" t="n">
        <v>0</v>
      </c>
      <c r="S3935" t="n">
        <v>0</v>
      </c>
      <c r="T3935" t="n">
        <v>0</v>
      </c>
      <c r="U3935" t="n">
        <v>0</v>
      </c>
      <c r="V3935" s="2" t="inlineStr"/>
    </row>
    <row r="3936" ht="15" customHeight="1">
      <c r="A3936" t="inlineStr">
        <is>
          <t>A 895-2026</t>
        </is>
      </c>
      <c r="B3936" t="inlineStr">
        <is>
          <t>avverkningsanmälan</t>
        </is>
      </c>
      <c r="C3936" t="inlineStr">
        <is>
          <t>Föryngringsavverkning</t>
        </is>
      </c>
      <c r="D3936" s="1" t="n">
        <v>46030</v>
      </c>
      <c r="E3936" s="1" t="n">
        <v>46323</v>
      </c>
      <c r="F3936" t="inlineStr">
        <is>
          <t>KALMAR LÄN</t>
        </is>
      </c>
      <c r="G3936" t="inlineStr">
        <is>
          <t>VÄSTERVIK</t>
        </is>
      </c>
      <c r="H3936" t="inlineStr">
        <is>
          <t>Kyrkan</t>
        </is>
      </c>
      <c r="I3936" t="n">
        <v>3.2</v>
      </c>
      <c r="J3936" t="n">
        <v>0</v>
      </c>
      <c r="K3936" t="n">
        <v>0</v>
      </c>
      <c r="L3936" t="n">
        <v>0</v>
      </c>
      <c r="M3936" t="n">
        <v>0</v>
      </c>
      <c r="N3936" t="n">
        <v>0</v>
      </c>
      <c r="O3936" t="n">
        <v>0</v>
      </c>
      <c r="P3936" t="n">
        <v>0</v>
      </c>
      <c r="Q3936" t="n">
        <v>0</v>
      </c>
      <c r="R3936" t="n">
        <v>0</v>
      </c>
      <c r="S3936" t="n">
        <v>0</v>
      </c>
      <c r="T3936" t="n">
        <v>0</v>
      </c>
      <c r="U3936" t="n">
        <v>0</v>
      </c>
      <c r="V3936" s="2" t="inlineStr"/>
    </row>
    <row r="3937" ht="15" customHeight="1">
      <c r="A3937" t="inlineStr">
        <is>
          <t>A 1069-2026</t>
        </is>
      </c>
      <c r="B3937" t="inlineStr">
        <is>
          <t>avverkningsanmälan</t>
        </is>
      </c>
      <c r="C3937" t="inlineStr">
        <is>
          <t>Föryngringsavverkning</t>
        </is>
      </c>
      <c r="D3937" s="1" t="n">
        <v>46030</v>
      </c>
      <c r="E3937" s="1" t="n">
        <v>46323</v>
      </c>
      <c r="F3937" t="inlineStr">
        <is>
          <t>KALMAR LÄN</t>
        </is>
      </c>
      <c r="G3937" t="inlineStr">
        <is>
          <t>VIMMERBY</t>
        </is>
      </c>
      <c r="I3937" t="n">
        <v>3.3</v>
      </c>
      <c r="J3937" t="n">
        <v>0</v>
      </c>
      <c r="K3937" t="n">
        <v>0</v>
      </c>
      <c r="L3937" t="n">
        <v>0</v>
      </c>
      <c r="M3937" t="n">
        <v>0</v>
      </c>
      <c r="N3937" t="n">
        <v>0</v>
      </c>
      <c r="O3937" t="n">
        <v>0</v>
      </c>
      <c r="P3937" t="n">
        <v>0</v>
      </c>
      <c r="Q3937" t="n">
        <v>0</v>
      </c>
      <c r="R3937" t="n">
        <v>0</v>
      </c>
      <c r="S3937" t="n">
        <v>0</v>
      </c>
      <c r="T3937" t="n">
        <v>0</v>
      </c>
      <c r="U3937" t="n">
        <v>0</v>
      </c>
      <c r="V3937" s="2" t="inlineStr"/>
    </row>
    <row r="3938" ht="15" customHeight="1">
      <c r="A3938" t="inlineStr">
        <is>
          <t>A 29160-2026</t>
        </is>
      </c>
      <c r="B3938" t="inlineStr">
        <is>
          <t>avverkningsanmälan</t>
        </is>
      </c>
      <c r="C3938" t="inlineStr">
        <is>
          <t>Föryngringsavverkning</t>
        </is>
      </c>
      <c r="D3938" s="1" t="n">
        <v>46202</v>
      </c>
      <c r="E3938" s="1" t="n">
        <v>46323</v>
      </c>
      <c r="F3938" t="inlineStr">
        <is>
          <t>KALMAR LÄN</t>
        </is>
      </c>
      <c r="G3938" t="inlineStr">
        <is>
          <t>KALMAR</t>
        </is>
      </c>
      <c r="I3938" t="n">
        <v>1.4</v>
      </c>
      <c r="J3938" t="n">
        <v>0</v>
      </c>
      <c r="K3938" t="n">
        <v>0</v>
      </c>
      <c r="L3938" t="n">
        <v>0</v>
      </c>
      <c r="M3938" t="n">
        <v>0</v>
      </c>
      <c r="N3938" t="n">
        <v>0</v>
      </c>
      <c r="O3938" t="n">
        <v>0</v>
      </c>
      <c r="P3938" t="n">
        <v>0</v>
      </c>
      <c r="Q3938" t="n">
        <v>0</v>
      </c>
      <c r="R3938" t="n">
        <v>0</v>
      </c>
      <c r="S3938" t="n">
        <v>0</v>
      </c>
      <c r="T3938" t="n">
        <v>0</v>
      </c>
      <c r="U3938" t="n">
        <v>0</v>
      </c>
      <c r="V3938" s="2" t="inlineStr"/>
    </row>
    <row r="3939" ht="15" customHeight="1">
      <c r="A3939" t="inlineStr">
        <is>
          <t>A 6307-2025</t>
        </is>
      </c>
      <c r="B3939" t="inlineStr">
        <is>
          <t>avverkningsanmälan</t>
        </is>
      </c>
      <c r="C3939" t="inlineStr">
        <is>
          <t>Föryngringsavverkning</t>
        </is>
      </c>
      <c r="D3939" s="1" t="n">
        <v>45698</v>
      </c>
      <c r="E3939" s="1" t="n">
        <v>46323</v>
      </c>
      <c r="F3939" t="inlineStr">
        <is>
          <t>KALMAR LÄN</t>
        </is>
      </c>
      <c r="G3939" t="inlineStr">
        <is>
          <t>VIMMERBY</t>
        </is>
      </c>
      <c r="I3939" t="n">
        <v>3</v>
      </c>
      <c r="J3939" t="n">
        <v>0</v>
      </c>
      <c r="K3939" t="n">
        <v>0</v>
      </c>
      <c r="L3939" t="n">
        <v>0</v>
      </c>
      <c r="M3939" t="n">
        <v>0</v>
      </c>
      <c r="N3939" t="n">
        <v>0</v>
      </c>
      <c r="O3939" t="n">
        <v>0</v>
      </c>
      <c r="P3939" t="n">
        <v>0</v>
      </c>
      <c r="Q3939" t="n">
        <v>0</v>
      </c>
      <c r="R3939" t="n">
        <v>0</v>
      </c>
      <c r="S3939" t="n">
        <v>0</v>
      </c>
      <c r="T3939" t="n">
        <v>0</v>
      </c>
      <c r="U3939" t="n">
        <v>0</v>
      </c>
      <c r="V3939" s="2" t="inlineStr"/>
    </row>
    <row r="3940" ht="15" customHeight="1">
      <c r="A3940" t="inlineStr">
        <is>
          <t>A 28810-2026</t>
        </is>
      </c>
      <c r="B3940" t="inlineStr">
        <is>
          <t>avverkningsanmälan</t>
        </is>
      </c>
      <c r="C3940" t="inlineStr">
        <is>
          <t>Föryngringsavverkning</t>
        </is>
      </c>
      <c r="D3940" s="1" t="n">
        <v>46198</v>
      </c>
      <c r="E3940" s="1" t="n">
        <v>46323</v>
      </c>
      <c r="F3940" t="inlineStr">
        <is>
          <t>KALMAR LÄN</t>
        </is>
      </c>
      <c r="G3940" t="inlineStr">
        <is>
          <t>OSKARSHAMN</t>
        </is>
      </c>
      <c r="I3940" t="n">
        <v>3.9</v>
      </c>
      <c r="J3940" t="n">
        <v>0</v>
      </c>
      <c r="K3940" t="n">
        <v>0</v>
      </c>
      <c r="L3940" t="n">
        <v>0</v>
      </c>
      <c r="M3940" t="n">
        <v>0</v>
      </c>
      <c r="N3940" t="n">
        <v>0</v>
      </c>
      <c r="O3940" t="n">
        <v>0</v>
      </c>
      <c r="P3940" t="n">
        <v>0</v>
      </c>
      <c r="Q3940" t="n">
        <v>0</v>
      </c>
      <c r="R3940" t="n">
        <v>0</v>
      </c>
      <c r="S3940" t="n">
        <v>0</v>
      </c>
      <c r="T3940" t="n">
        <v>0</v>
      </c>
      <c r="U3940" t="n">
        <v>0</v>
      </c>
      <c r="V3940" s="2" t="inlineStr"/>
    </row>
    <row r="3941" ht="15" customHeight="1">
      <c r="A3941" t="inlineStr">
        <is>
          <t>A 28813-2026</t>
        </is>
      </c>
      <c r="B3941" t="inlineStr">
        <is>
          <t>avverkningsanmälan</t>
        </is>
      </c>
      <c r="C3941" t="inlineStr">
        <is>
          <t>Föryngringsavverkning</t>
        </is>
      </c>
      <c r="D3941" s="1" t="n">
        <v>46198</v>
      </c>
      <c r="E3941" s="1" t="n">
        <v>46323</v>
      </c>
      <c r="F3941" t="inlineStr">
        <is>
          <t>KALMAR LÄN</t>
        </is>
      </c>
      <c r="G3941" t="inlineStr">
        <is>
          <t>OSKARSHAMN</t>
        </is>
      </c>
      <c r="I3941" t="n">
        <v>6.4</v>
      </c>
      <c r="J3941" t="n">
        <v>0</v>
      </c>
      <c r="K3941" t="n">
        <v>0</v>
      </c>
      <c r="L3941" t="n">
        <v>0</v>
      </c>
      <c r="M3941" t="n">
        <v>0</v>
      </c>
      <c r="N3941" t="n">
        <v>0</v>
      </c>
      <c r="O3941" t="n">
        <v>0</v>
      </c>
      <c r="P3941" t="n">
        <v>0</v>
      </c>
      <c r="Q3941" t="n">
        <v>0</v>
      </c>
      <c r="R3941" t="n">
        <v>0</v>
      </c>
      <c r="S3941" t="n">
        <v>0</v>
      </c>
      <c r="T3941" t="n">
        <v>0</v>
      </c>
      <c r="U3941" t="n">
        <v>0</v>
      </c>
      <c r="V3941" s="2" t="inlineStr"/>
    </row>
    <row r="3942" ht="15" customHeight="1">
      <c r="A3942" t="inlineStr">
        <is>
          <t>A 28862-2026</t>
        </is>
      </c>
      <c r="B3942" t="inlineStr">
        <is>
          <t>avverkningsanmälan</t>
        </is>
      </c>
      <c r="C3942" t="inlineStr">
        <is>
          <t>Föryngringsavverkning</t>
        </is>
      </c>
      <c r="D3942" s="1" t="n">
        <v>46199</v>
      </c>
      <c r="E3942" s="1" t="n">
        <v>46323</v>
      </c>
      <c r="F3942" t="inlineStr">
        <is>
          <t>KALMAR LÄN</t>
        </is>
      </c>
      <c r="G3942" t="inlineStr">
        <is>
          <t>VÄSTERVIK</t>
        </is>
      </c>
      <c r="H3942" t="inlineStr">
        <is>
          <t>Naturvårdsverket</t>
        </is>
      </c>
      <c r="I3942" t="n">
        <v>3.2</v>
      </c>
      <c r="J3942" t="n">
        <v>0</v>
      </c>
      <c r="K3942" t="n">
        <v>0</v>
      </c>
      <c r="L3942" t="n">
        <v>0</v>
      </c>
      <c r="M3942" t="n">
        <v>0</v>
      </c>
      <c r="N3942" t="n">
        <v>0</v>
      </c>
      <c r="O3942" t="n">
        <v>0</v>
      </c>
      <c r="P3942" t="n">
        <v>0</v>
      </c>
      <c r="Q3942" t="n">
        <v>0</v>
      </c>
      <c r="R3942" t="n">
        <v>0</v>
      </c>
      <c r="S3942" t="n">
        <v>0</v>
      </c>
      <c r="T3942" t="n">
        <v>0</v>
      </c>
      <c r="U3942" t="n">
        <v>0</v>
      </c>
      <c r="V3942" s="2" t="inlineStr"/>
    </row>
    <row r="3943" ht="15" customHeight="1">
      <c r="A3943" t="inlineStr">
        <is>
          <t>A 22785-2025</t>
        </is>
      </c>
      <c r="B3943" t="inlineStr">
        <is>
          <t>avverkningsanmälan</t>
        </is>
      </c>
      <c r="C3943" t="inlineStr">
        <is>
          <t>Föryngringsavverkning</t>
        </is>
      </c>
      <c r="D3943" s="1" t="n">
        <v>45789</v>
      </c>
      <c r="E3943" s="1" t="n">
        <v>46323</v>
      </c>
      <c r="F3943" t="inlineStr">
        <is>
          <t>KALMAR LÄN</t>
        </is>
      </c>
      <c r="G3943" t="inlineStr">
        <is>
          <t>BORGHOLM</t>
        </is>
      </c>
      <c r="I3943" t="n">
        <v>0.6</v>
      </c>
      <c r="J3943" t="n">
        <v>0</v>
      </c>
      <c r="K3943" t="n">
        <v>0</v>
      </c>
      <c r="L3943" t="n">
        <v>0</v>
      </c>
      <c r="M3943" t="n">
        <v>0</v>
      </c>
      <c r="N3943" t="n">
        <v>0</v>
      </c>
      <c r="O3943" t="n">
        <v>0</v>
      </c>
      <c r="P3943" t="n">
        <v>0</v>
      </c>
      <c r="Q3943" t="n">
        <v>0</v>
      </c>
      <c r="R3943" t="n">
        <v>0</v>
      </c>
      <c r="S3943" t="n">
        <v>0</v>
      </c>
      <c r="T3943" t="n">
        <v>0</v>
      </c>
      <c r="U3943" t="n">
        <v>0</v>
      </c>
      <c r="V3943" s="2" t="inlineStr"/>
    </row>
    <row r="3944" ht="15" customHeight="1">
      <c r="A3944" t="inlineStr">
        <is>
          <t>A 678-2026</t>
        </is>
      </c>
      <c r="B3944" t="inlineStr">
        <is>
          <t>avverkningsanmälan</t>
        </is>
      </c>
      <c r="C3944" t="inlineStr">
        <is>
          <t>Föryngringsavverkning</t>
        </is>
      </c>
      <c r="D3944" s="1" t="n">
        <v>46029</v>
      </c>
      <c r="E3944" s="1" t="n">
        <v>46323</v>
      </c>
      <c r="F3944" t="inlineStr">
        <is>
          <t>KALMAR LÄN</t>
        </is>
      </c>
      <c r="G3944" t="inlineStr">
        <is>
          <t>NYBRO</t>
        </is>
      </c>
      <c r="I3944" t="n">
        <v>2.6</v>
      </c>
      <c r="J3944" t="n">
        <v>0</v>
      </c>
      <c r="K3944" t="n">
        <v>0</v>
      </c>
      <c r="L3944" t="n">
        <v>0</v>
      </c>
      <c r="M3944" t="n">
        <v>0</v>
      </c>
      <c r="N3944" t="n">
        <v>0</v>
      </c>
      <c r="O3944" t="n">
        <v>0</v>
      </c>
      <c r="P3944" t="n">
        <v>0</v>
      </c>
      <c r="Q3944" t="n">
        <v>0</v>
      </c>
      <c r="R3944" t="n">
        <v>0</v>
      </c>
      <c r="S3944" t="n">
        <v>0</v>
      </c>
      <c r="T3944" t="n">
        <v>0</v>
      </c>
      <c r="U3944" t="n">
        <v>0</v>
      </c>
      <c r="V3944" s="2" t="inlineStr"/>
    </row>
    <row r="3945" ht="15" customHeight="1">
      <c r="A3945" t="inlineStr">
        <is>
          <t>A 4393-2024</t>
        </is>
      </c>
      <c r="B3945" t="inlineStr">
        <is>
          <t>avverkningsanmälan</t>
        </is>
      </c>
      <c r="C3945" t="inlineStr">
        <is>
          <t>Föryngringsavverkning</t>
        </is>
      </c>
      <c r="D3945" s="1" t="n">
        <v>45327</v>
      </c>
      <c r="E3945" s="1" t="n">
        <v>46323</v>
      </c>
      <c r="F3945" t="inlineStr">
        <is>
          <t>KALMAR LÄN</t>
        </is>
      </c>
      <c r="G3945" t="inlineStr">
        <is>
          <t>EMMABODA</t>
        </is>
      </c>
      <c r="I3945" t="n">
        <v>3.8</v>
      </c>
      <c r="J3945" t="n">
        <v>0</v>
      </c>
      <c r="K3945" t="n">
        <v>0</v>
      </c>
      <c r="L3945" t="n">
        <v>0</v>
      </c>
      <c r="M3945" t="n">
        <v>0</v>
      </c>
      <c r="N3945" t="n">
        <v>0</v>
      </c>
      <c r="O3945" t="n">
        <v>0</v>
      </c>
      <c r="P3945" t="n">
        <v>0</v>
      </c>
      <c r="Q3945" t="n">
        <v>0</v>
      </c>
      <c r="R3945" t="n">
        <v>0</v>
      </c>
      <c r="S3945" t="n">
        <v>0</v>
      </c>
      <c r="T3945" t="n">
        <v>0</v>
      </c>
      <c r="U3945" t="n">
        <v>0</v>
      </c>
      <c r="V3945" s="2" t="inlineStr"/>
    </row>
    <row r="3946" ht="15" customHeight="1">
      <c r="A3946" t="inlineStr">
        <is>
          <t>A 4448-2024</t>
        </is>
      </c>
      <c r="B3946" t="inlineStr">
        <is>
          <t>avverkningsanmälan</t>
        </is>
      </c>
      <c r="C3946" t="inlineStr">
        <is>
          <t>Föryngringsavverkning</t>
        </is>
      </c>
      <c r="D3946" s="1" t="n">
        <v>45327</v>
      </c>
      <c r="E3946" s="1" t="n">
        <v>46323</v>
      </c>
      <c r="F3946" t="inlineStr">
        <is>
          <t>KALMAR LÄN</t>
        </is>
      </c>
      <c r="G3946" t="inlineStr">
        <is>
          <t>KALMAR</t>
        </is>
      </c>
      <c r="I3946" t="n">
        <v>1.5</v>
      </c>
      <c r="J3946" t="n">
        <v>0</v>
      </c>
      <c r="K3946" t="n">
        <v>0</v>
      </c>
      <c r="L3946" t="n">
        <v>0</v>
      </c>
      <c r="M3946" t="n">
        <v>0</v>
      </c>
      <c r="N3946" t="n">
        <v>0</v>
      </c>
      <c r="O3946" t="n">
        <v>0</v>
      </c>
      <c r="P3946" t="n">
        <v>0</v>
      </c>
      <c r="Q3946" t="n">
        <v>0</v>
      </c>
      <c r="R3946" t="n">
        <v>0</v>
      </c>
      <c r="S3946" t="n">
        <v>0</v>
      </c>
      <c r="T3946" t="n">
        <v>0</v>
      </c>
      <c r="U3946" t="n">
        <v>0</v>
      </c>
      <c r="V3946" s="2" t="inlineStr"/>
    </row>
    <row r="3947" ht="15" customHeight="1">
      <c r="A3947" t="inlineStr">
        <is>
          <t>A 29489-2026</t>
        </is>
      </c>
      <c r="B3947" t="inlineStr">
        <is>
          <t>avverkningsanmälan</t>
        </is>
      </c>
      <c r="C3947" t="inlineStr">
        <is>
          <t>Föryngringsavverkning</t>
        </is>
      </c>
      <c r="D3947" s="1" t="n">
        <v>46203</v>
      </c>
      <c r="E3947" s="1" t="n">
        <v>46323</v>
      </c>
      <c r="F3947" t="inlineStr">
        <is>
          <t>KALMAR LÄN</t>
        </is>
      </c>
      <c r="G3947" t="inlineStr">
        <is>
          <t>KALMAR</t>
        </is>
      </c>
      <c r="I3947" t="n">
        <v>0.9</v>
      </c>
      <c r="J3947" t="n">
        <v>0</v>
      </c>
      <c r="K3947" t="n">
        <v>0</v>
      </c>
      <c r="L3947" t="n">
        <v>0</v>
      </c>
      <c r="M3947" t="n">
        <v>0</v>
      </c>
      <c r="N3947" t="n">
        <v>0</v>
      </c>
      <c r="O3947" t="n">
        <v>0</v>
      </c>
      <c r="P3947" t="n">
        <v>0</v>
      </c>
      <c r="Q3947" t="n">
        <v>0</v>
      </c>
      <c r="R3947" t="n">
        <v>0</v>
      </c>
      <c r="S3947" t="n">
        <v>0</v>
      </c>
      <c r="T3947" t="n">
        <v>0</v>
      </c>
      <c r="U3947" t="n">
        <v>0</v>
      </c>
      <c r="V3947" s="2" t="inlineStr"/>
    </row>
    <row r="3948" ht="15" customHeight="1">
      <c r="A3948" t="inlineStr">
        <is>
          <t>A 29491-2026</t>
        </is>
      </c>
      <c r="B3948" t="inlineStr">
        <is>
          <t>avverkningsanmälan</t>
        </is>
      </c>
      <c r="C3948" t="inlineStr">
        <is>
          <t>Föryngringsavverkning</t>
        </is>
      </c>
      <c r="D3948" s="1" t="n">
        <v>46203</v>
      </c>
      <c r="E3948" s="1" t="n">
        <v>46323</v>
      </c>
      <c r="F3948" t="inlineStr">
        <is>
          <t>KALMAR LÄN</t>
        </is>
      </c>
      <c r="G3948" t="inlineStr">
        <is>
          <t>TORSÅS</t>
        </is>
      </c>
      <c r="I3948" t="n">
        <v>1.2</v>
      </c>
      <c r="J3948" t="n">
        <v>0</v>
      </c>
      <c r="K3948" t="n">
        <v>0</v>
      </c>
      <c r="L3948" t="n">
        <v>0</v>
      </c>
      <c r="M3948" t="n">
        <v>0</v>
      </c>
      <c r="N3948" t="n">
        <v>0</v>
      </c>
      <c r="O3948" t="n">
        <v>0</v>
      </c>
      <c r="P3948" t="n">
        <v>0</v>
      </c>
      <c r="Q3948" t="n">
        <v>0</v>
      </c>
      <c r="R3948" t="n">
        <v>0</v>
      </c>
      <c r="S3948" t="n">
        <v>0</v>
      </c>
      <c r="T3948" t="n">
        <v>0</v>
      </c>
      <c r="U3948" t="n">
        <v>0</v>
      </c>
      <c r="V3948" s="2" t="inlineStr"/>
    </row>
    <row r="3949" ht="15" customHeight="1">
      <c r="A3949" t="inlineStr">
        <is>
          <t>A 47503-2023</t>
        </is>
      </c>
      <c r="B3949" t="inlineStr">
        <is>
          <t>avverkningsanmälan</t>
        </is>
      </c>
      <c r="C3949" t="inlineStr">
        <is>
          <t>Föryngringsavverkning</t>
        </is>
      </c>
      <c r="D3949" s="1" t="n">
        <v>45203</v>
      </c>
      <c r="E3949" s="1" t="n">
        <v>46323</v>
      </c>
      <c r="F3949" t="inlineStr">
        <is>
          <t>KALMAR LÄN</t>
        </is>
      </c>
      <c r="G3949" t="inlineStr">
        <is>
          <t>HÖGSBY</t>
        </is>
      </c>
      <c r="I3949" t="n">
        <v>1.5</v>
      </c>
      <c r="J3949" t="n">
        <v>0</v>
      </c>
      <c r="K3949" t="n">
        <v>0</v>
      </c>
      <c r="L3949" t="n">
        <v>0</v>
      </c>
      <c r="M3949" t="n">
        <v>0</v>
      </c>
      <c r="N3949" t="n">
        <v>0</v>
      </c>
      <c r="O3949" t="n">
        <v>0</v>
      </c>
      <c r="P3949" t="n">
        <v>0</v>
      </c>
      <c r="Q3949" t="n">
        <v>0</v>
      </c>
      <c r="R3949" t="n">
        <v>0</v>
      </c>
      <c r="S3949" t="n">
        <v>0</v>
      </c>
      <c r="T3949" t="n">
        <v>0</v>
      </c>
      <c r="U3949" t="n">
        <v>0</v>
      </c>
      <c r="V3949" s="2" t="inlineStr"/>
    </row>
    <row r="3950" ht="15" customHeight="1">
      <c r="A3950" t="inlineStr">
        <is>
          <t>A 7324-2024</t>
        </is>
      </c>
      <c r="B3950" t="inlineStr">
        <is>
          <t>avverkningsanmälan</t>
        </is>
      </c>
      <c r="C3950" t="inlineStr">
        <is>
          <t>Föryngringsavverkning</t>
        </is>
      </c>
      <c r="D3950" s="1" t="n">
        <v>45345</v>
      </c>
      <c r="E3950" s="1" t="n">
        <v>46323</v>
      </c>
      <c r="F3950" t="inlineStr">
        <is>
          <t>KALMAR LÄN</t>
        </is>
      </c>
      <c r="G3950" t="inlineStr">
        <is>
          <t>KALMAR</t>
        </is>
      </c>
      <c r="I3950" t="n">
        <v>3.9</v>
      </c>
      <c r="J3950" t="n">
        <v>0</v>
      </c>
      <c r="K3950" t="n">
        <v>0</v>
      </c>
      <c r="L3950" t="n">
        <v>0</v>
      </c>
      <c r="M3950" t="n">
        <v>0</v>
      </c>
      <c r="N3950" t="n">
        <v>0</v>
      </c>
      <c r="O3950" t="n">
        <v>0</v>
      </c>
      <c r="P3950" t="n">
        <v>0</v>
      </c>
      <c r="Q3950" t="n">
        <v>0</v>
      </c>
      <c r="R3950" t="n">
        <v>0</v>
      </c>
      <c r="S3950" t="n">
        <v>0</v>
      </c>
      <c r="T3950" t="n">
        <v>0</v>
      </c>
      <c r="U3950" t="n">
        <v>0</v>
      </c>
      <c r="V3950" s="2" t="inlineStr"/>
    </row>
    <row r="3951" ht="15" customHeight="1">
      <c r="A3951" t="inlineStr">
        <is>
          <t>A 29431-2026</t>
        </is>
      </c>
      <c r="B3951" t="inlineStr">
        <is>
          <t>avverkningsanmälan</t>
        </is>
      </c>
      <c r="C3951" t="inlineStr">
        <is>
          <t>Avverkning för att bevara och utveckla /försöksver</t>
        </is>
      </c>
      <c r="D3951" s="1" t="n">
        <v>46203</v>
      </c>
      <c r="E3951" s="1" t="n">
        <v>46323</v>
      </c>
      <c r="F3951" t="inlineStr">
        <is>
          <t>KALMAR LÄN</t>
        </is>
      </c>
      <c r="G3951" t="inlineStr">
        <is>
          <t>BORGHOLM</t>
        </is>
      </c>
      <c r="H3951" t="inlineStr">
        <is>
          <t>Sveaskog</t>
        </is>
      </c>
      <c r="I3951" t="n">
        <v>2.9</v>
      </c>
      <c r="J3951" t="n">
        <v>0</v>
      </c>
      <c r="K3951" t="n">
        <v>0</v>
      </c>
      <c r="L3951" t="n">
        <v>0</v>
      </c>
      <c r="M3951" t="n">
        <v>0</v>
      </c>
      <c r="N3951" t="n">
        <v>0</v>
      </c>
      <c r="O3951" t="n">
        <v>0</v>
      </c>
      <c r="P3951" t="n">
        <v>0</v>
      </c>
      <c r="Q3951" t="n">
        <v>0</v>
      </c>
      <c r="R3951" t="n">
        <v>0</v>
      </c>
      <c r="S3951" t="n">
        <v>0</v>
      </c>
      <c r="T3951" t="n">
        <v>0</v>
      </c>
      <c r="U3951" t="n">
        <v>0</v>
      </c>
      <c r="V3951" s="2" t="inlineStr"/>
    </row>
    <row r="3952" ht="15" customHeight="1">
      <c r="A3952" t="inlineStr">
        <is>
          <t>A 21604-2023</t>
        </is>
      </c>
      <c r="B3952" t="inlineStr">
        <is>
          <t>avverkningsanmälan</t>
        </is>
      </c>
      <c r="C3952" t="inlineStr">
        <is>
          <t>Föryngringsavverkning</t>
        </is>
      </c>
      <c r="D3952" s="1" t="n">
        <v>45063</v>
      </c>
      <c r="E3952" s="1" t="n">
        <v>46323</v>
      </c>
      <c r="F3952" t="inlineStr">
        <is>
          <t>KALMAR LÄN</t>
        </is>
      </c>
      <c r="G3952" t="inlineStr">
        <is>
          <t>TORSÅS</t>
        </is>
      </c>
      <c r="I3952" t="n">
        <v>0.5</v>
      </c>
      <c r="J3952" t="n">
        <v>0</v>
      </c>
      <c r="K3952" t="n">
        <v>0</v>
      </c>
      <c r="L3952" t="n">
        <v>0</v>
      </c>
      <c r="M3952" t="n">
        <v>0</v>
      </c>
      <c r="N3952" t="n">
        <v>0</v>
      </c>
      <c r="O3952" t="n">
        <v>0</v>
      </c>
      <c r="P3952" t="n">
        <v>0</v>
      </c>
      <c r="Q3952" t="n">
        <v>0</v>
      </c>
      <c r="R3952" t="n">
        <v>0</v>
      </c>
      <c r="S3952" t="n">
        <v>0</v>
      </c>
      <c r="T3952" t="n">
        <v>0</v>
      </c>
      <c r="U3952" t="n">
        <v>0</v>
      </c>
      <c r="V3952" s="2" t="inlineStr"/>
    </row>
    <row r="3953" ht="15" customHeight="1">
      <c r="A3953" t="inlineStr">
        <is>
          <t>A 21613-2023</t>
        </is>
      </c>
      <c r="B3953" t="inlineStr">
        <is>
          <t>avverkningsanmälan</t>
        </is>
      </c>
      <c r="C3953" t="inlineStr">
        <is>
          <t>Föryngringsavverkning</t>
        </is>
      </c>
      <c r="D3953" s="1" t="n">
        <v>45063</v>
      </c>
      <c r="E3953" s="1" t="n">
        <v>46323</v>
      </c>
      <c r="F3953" t="inlineStr">
        <is>
          <t>KALMAR LÄN</t>
        </is>
      </c>
      <c r="G3953" t="inlineStr">
        <is>
          <t>NYBRO</t>
        </is>
      </c>
      <c r="I3953" t="n">
        <v>0.5</v>
      </c>
      <c r="J3953" t="n">
        <v>0</v>
      </c>
      <c r="K3953" t="n">
        <v>0</v>
      </c>
      <c r="L3953" t="n">
        <v>0</v>
      </c>
      <c r="M3953" t="n">
        <v>0</v>
      </c>
      <c r="N3953" t="n">
        <v>0</v>
      </c>
      <c r="O3953" t="n">
        <v>0</v>
      </c>
      <c r="P3953" t="n">
        <v>0</v>
      </c>
      <c r="Q3953" t="n">
        <v>0</v>
      </c>
      <c r="R3953" t="n">
        <v>0</v>
      </c>
      <c r="S3953" t="n">
        <v>0</v>
      </c>
      <c r="T3953" t="n">
        <v>0</v>
      </c>
      <c r="U3953" t="n">
        <v>0</v>
      </c>
      <c r="V3953" s="2" t="inlineStr"/>
    </row>
    <row r="3954" ht="15" customHeight="1">
      <c r="A3954" t="inlineStr">
        <is>
          <t>A 21619-2023</t>
        </is>
      </c>
      <c r="B3954" t="inlineStr">
        <is>
          <t>avverkningsanmälan</t>
        </is>
      </c>
      <c r="C3954" t="inlineStr">
        <is>
          <t>Föryngringsavverkning</t>
        </is>
      </c>
      <c r="D3954" s="1" t="n">
        <v>45063</v>
      </c>
      <c r="E3954" s="1" t="n">
        <v>46323</v>
      </c>
      <c r="F3954" t="inlineStr">
        <is>
          <t>KALMAR LÄN</t>
        </is>
      </c>
      <c r="G3954" t="inlineStr">
        <is>
          <t>HULTSFRED</t>
        </is>
      </c>
      <c r="I3954" t="n">
        <v>1.5</v>
      </c>
      <c r="J3954" t="n">
        <v>0</v>
      </c>
      <c r="K3954" t="n">
        <v>0</v>
      </c>
      <c r="L3954" t="n">
        <v>0</v>
      </c>
      <c r="M3954" t="n">
        <v>0</v>
      </c>
      <c r="N3954" t="n">
        <v>0</v>
      </c>
      <c r="O3954" t="n">
        <v>0</v>
      </c>
      <c r="P3954" t="n">
        <v>0</v>
      </c>
      <c r="Q3954" t="n">
        <v>0</v>
      </c>
      <c r="R3954" t="n">
        <v>0</v>
      </c>
      <c r="S3954" t="n">
        <v>0</v>
      </c>
      <c r="T3954" t="n">
        <v>0</v>
      </c>
      <c r="U3954" t="n">
        <v>0</v>
      </c>
      <c r="V3954" s="2" t="inlineStr"/>
    </row>
    <row r="3955" ht="15" customHeight="1">
      <c r="A3955" t="inlineStr">
        <is>
          <t>A 40990-2023</t>
        </is>
      </c>
      <c r="B3955" t="inlineStr">
        <is>
          <t>avverkningsanmälan</t>
        </is>
      </c>
      <c r="C3955" t="inlineStr">
        <is>
          <t>Föryngringsavverkning</t>
        </is>
      </c>
      <c r="D3955" s="1" t="n">
        <v>45173</v>
      </c>
      <c r="E3955" s="1" t="n">
        <v>46323</v>
      </c>
      <c r="F3955" t="inlineStr">
        <is>
          <t>KALMAR LÄN</t>
        </is>
      </c>
      <c r="G3955" t="inlineStr">
        <is>
          <t>HÖGSBY</t>
        </is>
      </c>
      <c r="I3955" t="n">
        <v>5.3</v>
      </c>
      <c r="J3955" t="n">
        <v>0</v>
      </c>
      <c r="K3955" t="n">
        <v>0</v>
      </c>
      <c r="L3955" t="n">
        <v>0</v>
      </c>
      <c r="M3955" t="n">
        <v>0</v>
      </c>
      <c r="N3955" t="n">
        <v>0</v>
      </c>
      <c r="O3955" t="n">
        <v>0</v>
      </c>
      <c r="P3955" t="n">
        <v>0</v>
      </c>
      <c r="Q3955" t="n">
        <v>0</v>
      </c>
      <c r="R3955" t="n">
        <v>0</v>
      </c>
      <c r="S3955" t="n">
        <v>0</v>
      </c>
      <c r="T3955" t="n">
        <v>0</v>
      </c>
      <c r="U3955" t="n">
        <v>0</v>
      </c>
      <c r="V3955" s="2" t="inlineStr"/>
    </row>
    <row r="3956" ht="15" customHeight="1">
      <c r="A3956" t="inlineStr">
        <is>
          <t>A 29230-2026</t>
        </is>
      </c>
      <c r="B3956" t="inlineStr">
        <is>
          <t>avverkningsanmälan</t>
        </is>
      </c>
      <c r="C3956" t="inlineStr">
        <is>
          <t>Föryngringsavverkning</t>
        </is>
      </c>
      <c r="D3956" s="1" t="n">
        <v>46202</v>
      </c>
      <c r="E3956" s="1" t="n">
        <v>46323</v>
      </c>
      <c r="F3956" t="inlineStr">
        <is>
          <t>KALMAR LÄN</t>
        </is>
      </c>
      <c r="G3956" t="inlineStr">
        <is>
          <t>OSKARSHAMN</t>
        </is>
      </c>
      <c r="I3956" t="n">
        <v>1.3</v>
      </c>
      <c r="J3956" t="n">
        <v>0</v>
      </c>
      <c r="K3956" t="n">
        <v>0</v>
      </c>
      <c r="L3956" t="n">
        <v>0</v>
      </c>
      <c r="M3956" t="n">
        <v>0</v>
      </c>
      <c r="N3956" t="n">
        <v>0</v>
      </c>
      <c r="O3956" t="n">
        <v>0</v>
      </c>
      <c r="P3956" t="n">
        <v>0</v>
      </c>
      <c r="Q3956" t="n">
        <v>0</v>
      </c>
      <c r="R3956" t="n">
        <v>0</v>
      </c>
      <c r="S3956" t="n">
        <v>0</v>
      </c>
      <c r="T3956" t="n">
        <v>0</v>
      </c>
      <c r="U3956" t="n">
        <v>0</v>
      </c>
      <c r="V3956" s="2" t="inlineStr"/>
    </row>
    <row r="3957" ht="15" customHeight="1">
      <c r="A3957" t="inlineStr">
        <is>
          <t>A 29241-2026</t>
        </is>
      </c>
      <c r="B3957" t="inlineStr">
        <is>
          <t>avverkningsanmälan</t>
        </is>
      </c>
      <c r="C3957" t="inlineStr">
        <is>
          <t>Föryngringsavverkning</t>
        </is>
      </c>
      <c r="D3957" s="1" t="n">
        <v>46202</v>
      </c>
      <c r="E3957" s="1" t="n">
        <v>46323</v>
      </c>
      <c r="F3957" t="inlineStr">
        <is>
          <t>KALMAR LÄN</t>
        </is>
      </c>
      <c r="G3957" t="inlineStr">
        <is>
          <t>OSKARSHAMN</t>
        </is>
      </c>
      <c r="I3957" t="n">
        <v>7.4</v>
      </c>
      <c r="J3957" t="n">
        <v>0</v>
      </c>
      <c r="K3957" t="n">
        <v>0</v>
      </c>
      <c r="L3957" t="n">
        <v>0</v>
      </c>
      <c r="M3957" t="n">
        <v>0</v>
      </c>
      <c r="N3957" t="n">
        <v>0</v>
      </c>
      <c r="O3957" t="n">
        <v>0</v>
      </c>
      <c r="P3957" t="n">
        <v>0</v>
      </c>
      <c r="Q3957" t="n">
        <v>0</v>
      </c>
      <c r="R3957" t="n">
        <v>0</v>
      </c>
      <c r="S3957" t="n">
        <v>0</v>
      </c>
      <c r="T3957" t="n">
        <v>0</v>
      </c>
      <c r="U3957" t="n">
        <v>0</v>
      </c>
      <c r="V3957" s="2" t="inlineStr"/>
    </row>
    <row r="3958" ht="15" customHeight="1">
      <c r="A3958" t="inlineStr">
        <is>
          <t>A 30085-2026</t>
        </is>
      </c>
      <c r="B3958" t="inlineStr">
        <is>
          <t>avverkningsanmälan</t>
        </is>
      </c>
      <c r="C3958" t="inlineStr">
        <is>
          <t>Avverkning för annat ändamål</t>
        </is>
      </c>
      <c r="D3958" s="1" t="n">
        <v>46203</v>
      </c>
      <c r="E3958" s="1" t="n">
        <v>46323</v>
      </c>
      <c r="F3958" t="inlineStr">
        <is>
          <t>KALMAR LÄN</t>
        </is>
      </c>
      <c r="G3958" t="inlineStr">
        <is>
          <t>VIMMERBY</t>
        </is>
      </c>
      <c r="I3958" t="n">
        <v>0.5</v>
      </c>
      <c r="J3958" t="n">
        <v>0</v>
      </c>
      <c r="K3958" t="n">
        <v>0</v>
      </c>
      <c r="L3958" t="n">
        <v>0</v>
      </c>
      <c r="M3958" t="n">
        <v>0</v>
      </c>
      <c r="N3958" t="n">
        <v>0</v>
      </c>
      <c r="O3958" t="n">
        <v>0</v>
      </c>
      <c r="P3958" t="n">
        <v>0</v>
      </c>
      <c r="Q3958" t="n">
        <v>0</v>
      </c>
      <c r="R3958" t="n">
        <v>0</v>
      </c>
      <c r="S3958" t="n">
        <v>0</v>
      </c>
      <c r="T3958" t="n">
        <v>0</v>
      </c>
      <c r="U3958" t="n">
        <v>0</v>
      </c>
      <c r="V3958" s="2" t="inlineStr"/>
    </row>
    <row r="3959" ht="15" customHeight="1">
      <c r="A3959" t="inlineStr">
        <is>
          <t>A 29412-2026</t>
        </is>
      </c>
      <c r="B3959" t="inlineStr">
        <is>
          <t>avverkningsanmälan</t>
        </is>
      </c>
      <c r="C3959" t="inlineStr">
        <is>
          <t>Föryngringsavverkning</t>
        </is>
      </c>
      <c r="D3959" s="1" t="n">
        <v>46203</v>
      </c>
      <c r="E3959" s="1" t="n">
        <v>46323</v>
      </c>
      <c r="F3959" t="inlineStr">
        <is>
          <t>KALMAR LÄN</t>
        </is>
      </c>
      <c r="G3959" t="inlineStr">
        <is>
          <t>VIMMERBY</t>
        </is>
      </c>
      <c r="I3959" t="n">
        <v>6.3</v>
      </c>
      <c r="J3959" t="n">
        <v>0</v>
      </c>
      <c r="K3959" t="n">
        <v>0</v>
      </c>
      <c r="L3959" t="n">
        <v>0</v>
      </c>
      <c r="M3959" t="n">
        <v>0</v>
      </c>
      <c r="N3959" t="n">
        <v>0</v>
      </c>
      <c r="O3959" t="n">
        <v>0</v>
      </c>
      <c r="P3959" t="n">
        <v>0</v>
      </c>
      <c r="Q3959" t="n">
        <v>0</v>
      </c>
      <c r="R3959" t="n">
        <v>0</v>
      </c>
      <c r="S3959" t="n">
        <v>0</v>
      </c>
      <c r="T3959" t="n">
        <v>0</v>
      </c>
      <c r="U3959" t="n">
        <v>0</v>
      </c>
      <c r="V3959" s="2" t="inlineStr"/>
    </row>
    <row r="3960" ht="15" customHeight="1">
      <c r="A3960" t="inlineStr">
        <is>
          <t>A 29423-2026</t>
        </is>
      </c>
      <c r="B3960" t="inlineStr">
        <is>
          <t>avverkningsanmälan</t>
        </is>
      </c>
      <c r="C3960" t="inlineStr">
        <is>
          <t>Föryngringsavverkning</t>
        </is>
      </c>
      <c r="D3960" s="1" t="n">
        <v>46203</v>
      </c>
      <c r="E3960" s="1" t="n">
        <v>46323</v>
      </c>
      <c r="F3960" t="inlineStr">
        <is>
          <t>KALMAR LÄN</t>
        </is>
      </c>
      <c r="G3960" t="inlineStr">
        <is>
          <t>OSKARSHAMN</t>
        </is>
      </c>
      <c r="I3960" t="n">
        <v>15.3</v>
      </c>
      <c r="J3960" t="n">
        <v>0</v>
      </c>
      <c r="K3960" t="n">
        <v>0</v>
      </c>
      <c r="L3960" t="n">
        <v>0</v>
      </c>
      <c r="M3960" t="n">
        <v>0</v>
      </c>
      <c r="N3960" t="n">
        <v>0</v>
      </c>
      <c r="O3960" t="n">
        <v>0</v>
      </c>
      <c r="P3960" t="n">
        <v>0</v>
      </c>
      <c r="Q3960" t="n">
        <v>0</v>
      </c>
      <c r="R3960" t="n">
        <v>0</v>
      </c>
      <c r="S3960" t="n">
        <v>0</v>
      </c>
      <c r="T3960" t="n">
        <v>0</v>
      </c>
      <c r="U3960" t="n">
        <v>0</v>
      </c>
      <c r="V3960" s="2" t="inlineStr"/>
    </row>
    <row r="3961" ht="15" customHeight="1">
      <c r="A3961" t="inlineStr">
        <is>
          <t>A 43165-2024</t>
        </is>
      </c>
      <c r="B3961" t="inlineStr">
        <is>
          <t>avverkningsanmälan</t>
        </is>
      </c>
      <c r="C3961" t="inlineStr">
        <is>
          <t>Föryngringsavverkning</t>
        </is>
      </c>
      <c r="D3961" s="1" t="n">
        <v>45567</v>
      </c>
      <c r="E3961" s="1" t="n">
        <v>46323</v>
      </c>
      <c r="F3961" t="inlineStr">
        <is>
          <t>KALMAR LÄN</t>
        </is>
      </c>
      <c r="G3961" t="inlineStr">
        <is>
          <t>OSKARSHAMN</t>
        </is>
      </c>
      <c r="I3961" t="n">
        <v>1.7</v>
      </c>
      <c r="J3961" t="n">
        <v>0</v>
      </c>
      <c r="K3961" t="n">
        <v>0</v>
      </c>
      <c r="L3961" t="n">
        <v>0</v>
      </c>
      <c r="M3961" t="n">
        <v>0</v>
      </c>
      <c r="N3961" t="n">
        <v>0</v>
      </c>
      <c r="O3961" t="n">
        <v>0</v>
      </c>
      <c r="P3961" t="n">
        <v>0</v>
      </c>
      <c r="Q3961" t="n">
        <v>0</v>
      </c>
      <c r="R3961" t="n">
        <v>0</v>
      </c>
      <c r="S3961" t="n">
        <v>0</v>
      </c>
      <c r="T3961" t="n">
        <v>0</v>
      </c>
      <c r="U3961" t="n">
        <v>0</v>
      </c>
      <c r="V3961" s="2" t="inlineStr"/>
    </row>
    <row r="3962" ht="15" customHeight="1">
      <c r="A3962" t="inlineStr">
        <is>
          <t>A 24452-2023</t>
        </is>
      </c>
      <c r="B3962" t="inlineStr">
        <is>
          <t>avverkningsanmälan</t>
        </is>
      </c>
      <c r="C3962" t="inlineStr">
        <is>
          <t>Föryngringsavverkning</t>
        </is>
      </c>
      <c r="D3962" s="1" t="n">
        <v>45082</v>
      </c>
      <c r="E3962" s="1" t="n">
        <v>46323</v>
      </c>
      <c r="F3962" t="inlineStr">
        <is>
          <t>KALMAR LÄN</t>
        </is>
      </c>
      <c r="G3962" t="inlineStr">
        <is>
          <t>NYBRO</t>
        </is>
      </c>
      <c r="H3962" t="inlineStr">
        <is>
          <t>Kommuner</t>
        </is>
      </c>
      <c r="I3962" t="n">
        <v>1.3</v>
      </c>
      <c r="J3962" t="n">
        <v>0</v>
      </c>
      <c r="K3962" t="n">
        <v>0</v>
      </c>
      <c r="L3962" t="n">
        <v>0</v>
      </c>
      <c r="M3962" t="n">
        <v>0</v>
      </c>
      <c r="N3962" t="n">
        <v>0</v>
      </c>
      <c r="O3962" t="n">
        <v>0</v>
      </c>
      <c r="P3962" t="n">
        <v>0</v>
      </c>
      <c r="Q3962" t="n">
        <v>0</v>
      </c>
      <c r="R3962" t="n">
        <v>0</v>
      </c>
      <c r="S3962" t="n">
        <v>0</v>
      </c>
      <c r="T3962" t="n">
        <v>0</v>
      </c>
      <c r="U3962" t="n">
        <v>0</v>
      </c>
      <c r="V3962" s="2" t="inlineStr"/>
    </row>
    <row r="3963" ht="15" customHeight="1">
      <c r="A3963" t="inlineStr">
        <is>
          <t>A 32561-2022</t>
        </is>
      </c>
      <c r="B3963" t="inlineStr">
        <is>
          <t>avverkningsanmälan</t>
        </is>
      </c>
      <c r="C3963" t="inlineStr">
        <is>
          <t>Föryngringsavverkning</t>
        </is>
      </c>
      <c r="D3963" s="1" t="n">
        <v>44783</v>
      </c>
      <c r="E3963" s="1" t="n">
        <v>46323</v>
      </c>
      <c r="F3963" t="inlineStr">
        <is>
          <t>KALMAR LÄN</t>
        </is>
      </c>
      <c r="G3963" t="inlineStr">
        <is>
          <t>EMMABODA</t>
        </is>
      </c>
      <c r="I3963" t="n">
        <v>1.6</v>
      </c>
      <c r="J3963" t="n">
        <v>0</v>
      </c>
      <c r="K3963" t="n">
        <v>0</v>
      </c>
      <c r="L3963" t="n">
        <v>0</v>
      </c>
      <c r="M3963" t="n">
        <v>0</v>
      </c>
      <c r="N3963" t="n">
        <v>0</v>
      </c>
      <c r="O3963" t="n">
        <v>0</v>
      </c>
      <c r="P3963" t="n">
        <v>0</v>
      </c>
      <c r="Q3963" t="n">
        <v>0</v>
      </c>
      <c r="R3963" t="n">
        <v>0</v>
      </c>
      <c r="S3963" t="n">
        <v>0</v>
      </c>
      <c r="T3963" t="n">
        <v>0</v>
      </c>
      <c r="U3963" t="n">
        <v>0</v>
      </c>
      <c r="V3963" s="2" t="inlineStr"/>
    </row>
    <row r="3964" ht="15" customHeight="1">
      <c r="A3964" t="inlineStr">
        <is>
          <t>A 56311-2024</t>
        </is>
      </c>
      <c r="B3964" t="inlineStr">
        <is>
          <t>avverkningsanmälan</t>
        </is>
      </c>
      <c r="C3964" t="inlineStr">
        <is>
          <t>Föryngringsavverkning</t>
        </is>
      </c>
      <c r="D3964" s="1" t="n">
        <v>45624</v>
      </c>
      <c r="E3964" s="1" t="n">
        <v>46323</v>
      </c>
      <c r="F3964" t="inlineStr">
        <is>
          <t>KALMAR LÄN</t>
        </is>
      </c>
      <c r="G3964" t="inlineStr">
        <is>
          <t>TORSÅS</t>
        </is>
      </c>
      <c r="I3964" t="n">
        <v>3.4</v>
      </c>
      <c r="J3964" t="n">
        <v>0</v>
      </c>
      <c r="K3964" t="n">
        <v>0</v>
      </c>
      <c r="L3964" t="n">
        <v>0</v>
      </c>
      <c r="M3964" t="n">
        <v>0</v>
      </c>
      <c r="N3964" t="n">
        <v>0</v>
      </c>
      <c r="O3964" t="n">
        <v>0</v>
      </c>
      <c r="P3964" t="n">
        <v>0</v>
      </c>
      <c r="Q3964" t="n">
        <v>0</v>
      </c>
      <c r="R3964" t="n">
        <v>0</v>
      </c>
      <c r="S3964" t="n">
        <v>0</v>
      </c>
      <c r="T3964" t="n">
        <v>0</v>
      </c>
      <c r="U3964" t="n">
        <v>0</v>
      </c>
      <c r="V3964" s="2" t="inlineStr"/>
    </row>
    <row r="3965" ht="15" customHeight="1">
      <c r="A3965" t="inlineStr">
        <is>
          <t>A 1743-2026</t>
        </is>
      </c>
      <c r="B3965" t="inlineStr">
        <is>
          <t>avverkningsanmälan</t>
        </is>
      </c>
      <c r="C3965" t="inlineStr">
        <is>
          <t>Föryngringsavverkning</t>
        </is>
      </c>
      <c r="D3965" s="1" t="n">
        <v>46034</v>
      </c>
      <c r="E3965" s="1" t="n">
        <v>46323</v>
      </c>
      <c r="F3965" t="inlineStr">
        <is>
          <t>KALMAR LÄN</t>
        </is>
      </c>
      <c r="G3965" t="inlineStr">
        <is>
          <t>VIMMERBY</t>
        </is>
      </c>
      <c r="I3965" t="n">
        <v>0.9</v>
      </c>
      <c r="J3965" t="n">
        <v>0</v>
      </c>
      <c r="K3965" t="n">
        <v>0</v>
      </c>
      <c r="L3965" t="n">
        <v>0</v>
      </c>
      <c r="M3965" t="n">
        <v>0</v>
      </c>
      <c r="N3965" t="n">
        <v>0</v>
      </c>
      <c r="O3965" t="n">
        <v>0</v>
      </c>
      <c r="P3965" t="n">
        <v>0</v>
      </c>
      <c r="Q3965" t="n">
        <v>0</v>
      </c>
      <c r="R3965" t="n">
        <v>0</v>
      </c>
      <c r="S3965" t="n">
        <v>0</v>
      </c>
      <c r="T3965" t="n">
        <v>0</v>
      </c>
      <c r="U3965" t="n">
        <v>0</v>
      </c>
      <c r="V3965" s="2" t="inlineStr"/>
    </row>
    <row r="3966" ht="15" customHeight="1">
      <c r="A3966" t="inlineStr">
        <is>
          <t>A 29410-2026</t>
        </is>
      </c>
      <c r="B3966" t="inlineStr">
        <is>
          <t>avverkningsanmälan</t>
        </is>
      </c>
      <c r="C3966" t="inlineStr">
        <is>
          <t>Avverkning för att bevara och utveckla /försöksver</t>
        </is>
      </c>
      <c r="D3966" s="1" t="n">
        <v>46203</v>
      </c>
      <c r="E3966" s="1" t="n">
        <v>46323</v>
      </c>
      <c r="F3966" t="inlineStr">
        <is>
          <t>KALMAR LÄN</t>
        </is>
      </c>
      <c r="G3966" t="inlineStr">
        <is>
          <t>BORGHOLM</t>
        </is>
      </c>
      <c r="H3966" t="inlineStr">
        <is>
          <t>Sveaskog</t>
        </is>
      </c>
      <c r="I3966" t="n">
        <v>1.5</v>
      </c>
      <c r="J3966" t="n">
        <v>0</v>
      </c>
      <c r="K3966" t="n">
        <v>0</v>
      </c>
      <c r="L3966" t="n">
        <v>0</v>
      </c>
      <c r="M3966" t="n">
        <v>0</v>
      </c>
      <c r="N3966" t="n">
        <v>0</v>
      </c>
      <c r="O3966" t="n">
        <v>0</v>
      </c>
      <c r="P3966" t="n">
        <v>0</v>
      </c>
      <c r="Q3966" t="n">
        <v>0</v>
      </c>
      <c r="R3966" t="n">
        <v>0</v>
      </c>
      <c r="S3966" t="n">
        <v>0</v>
      </c>
      <c r="T3966" t="n">
        <v>0</v>
      </c>
      <c r="U3966" t="n">
        <v>0</v>
      </c>
      <c r="V3966" s="2" t="inlineStr"/>
    </row>
    <row r="3967" ht="15" customHeight="1">
      <c r="A3967" t="inlineStr">
        <is>
          <t>A 56358-2024</t>
        </is>
      </c>
      <c r="B3967" t="inlineStr">
        <is>
          <t>avverkningsanmälan</t>
        </is>
      </c>
      <c r="C3967" t="inlineStr">
        <is>
          <t>Föryngringsavverkning</t>
        </is>
      </c>
      <c r="D3967" s="1" t="n">
        <v>45624</v>
      </c>
      <c r="E3967" s="1" t="n">
        <v>46323</v>
      </c>
      <c r="F3967" t="inlineStr">
        <is>
          <t>KALMAR LÄN</t>
        </is>
      </c>
      <c r="G3967" t="inlineStr">
        <is>
          <t>HULTSFRED</t>
        </is>
      </c>
      <c r="I3967" t="n">
        <v>5.1</v>
      </c>
      <c r="J3967" t="n">
        <v>0</v>
      </c>
      <c r="K3967" t="n">
        <v>0</v>
      </c>
      <c r="L3967" t="n">
        <v>0</v>
      </c>
      <c r="M3967" t="n">
        <v>0</v>
      </c>
      <c r="N3967" t="n">
        <v>0</v>
      </c>
      <c r="O3967" t="n">
        <v>0</v>
      </c>
      <c r="P3967" t="n">
        <v>0</v>
      </c>
      <c r="Q3967" t="n">
        <v>0</v>
      </c>
      <c r="R3967" t="n">
        <v>0</v>
      </c>
      <c r="S3967" t="n">
        <v>0</v>
      </c>
      <c r="T3967" t="n">
        <v>0</v>
      </c>
      <c r="U3967" t="n">
        <v>0</v>
      </c>
      <c r="V3967" s="2" t="inlineStr"/>
    </row>
    <row r="3968" ht="15" customHeight="1">
      <c r="A3968" t="inlineStr">
        <is>
          <t>A 1488-2026</t>
        </is>
      </c>
      <c r="B3968" t="inlineStr">
        <is>
          <t>avverkningsanmälan</t>
        </is>
      </c>
      <c r="C3968" t="inlineStr">
        <is>
          <t>Föryngringsavverkning</t>
        </is>
      </c>
      <c r="D3968" s="1" t="n">
        <v>46034</v>
      </c>
      <c r="E3968" s="1" t="n">
        <v>46323</v>
      </c>
      <c r="F3968" t="inlineStr">
        <is>
          <t>KALMAR LÄN</t>
        </is>
      </c>
      <c r="G3968" t="inlineStr">
        <is>
          <t>VÄSTERVIK</t>
        </is>
      </c>
      <c r="I3968" t="n">
        <v>2</v>
      </c>
      <c r="J3968" t="n">
        <v>0</v>
      </c>
      <c r="K3968" t="n">
        <v>0</v>
      </c>
      <c r="L3968" t="n">
        <v>0</v>
      </c>
      <c r="M3968" t="n">
        <v>0</v>
      </c>
      <c r="N3968" t="n">
        <v>0</v>
      </c>
      <c r="O3968" t="n">
        <v>0</v>
      </c>
      <c r="P3968" t="n">
        <v>0</v>
      </c>
      <c r="Q3968" t="n">
        <v>0</v>
      </c>
      <c r="R3968" t="n">
        <v>0</v>
      </c>
      <c r="S3968" t="n">
        <v>0</v>
      </c>
      <c r="T3968" t="n">
        <v>0</v>
      </c>
      <c r="U3968" t="n">
        <v>0</v>
      </c>
      <c r="V3968" s="2" t="inlineStr"/>
    </row>
    <row r="3969" ht="15" customHeight="1">
      <c r="A3969" t="inlineStr">
        <is>
          <t>A 1489-2026</t>
        </is>
      </c>
      <c r="B3969" t="inlineStr">
        <is>
          <t>avverkningsanmälan</t>
        </is>
      </c>
      <c r="C3969" t="inlineStr">
        <is>
          <t>Föryngringsavverkning</t>
        </is>
      </c>
      <c r="D3969" s="1" t="n">
        <v>46034</v>
      </c>
      <c r="E3969" s="1" t="n">
        <v>46323</v>
      </c>
      <c r="F3969" t="inlineStr">
        <is>
          <t>KALMAR LÄN</t>
        </is>
      </c>
      <c r="G3969" t="inlineStr">
        <is>
          <t>VÄSTERVIK</t>
        </is>
      </c>
      <c r="I3969" t="n">
        <v>2.4</v>
      </c>
      <c r="J3969" t="n">
        <v>0</v>
      </c>
      <c r="K3969" t="n">
        <v>0</v>
      </c>
      <c r="L3969" t="n">
        <v>0</v>
      </c>
      <c r="M3969" t="n">
        <v>0</v>
      </c>
      <c r="N3969" t="n">
        <v>0</v>
      </c>
      <c r="O3969" t="n">
        <v>0</v>
      </c>
      <c r="P3969" t="n">
        <v>0</v>
      </c>
      <c r="Q3969" t="n">
        <v>0</v>
      </c>
      <c r="R3969" t="n">
        <v>0</v>
      </c>
      <c r="S3969" t="n">
        <v>0</v>
      </c>
      <c r="T3969" t="n">
        <v>0</v>
      </c>
      <c r="U3969" t="n">
        <v>0</v>
      </c>
      <c r="V3969" s="2" t="inlineStr"/>
    </row>
    <row r="3970" ht="15" customHeight="1">
      <c r="A3970" t="inlineStr">
        <is>
          <t>A 29286-2026</t>
        </is>
      </c>
      <c r="B3970" t="inlineStr">
        <is>
          <t>avverkningsanmälan</t>
        </is>
      </c>
      <c r="C3970" t="inlineStr">
        <is>
          <t>Föryngringsavverkning</t>
        </is>
      </c>
      <c r="D3970" s="1" t="n">
        <v>46202</v>
      </c>
      <c r="E3970" s="1" t="n">
        <v>46323</v>
      </c>
      <c r="F3970" t="inlineStr">
        <is>
          <t>KALMAR LÄN</t>
        </is>
      </c>
      <c r="G3970" t="inlineStr">
        <is>
          <t>VÄSTERVIK</t>
        </is>
      </c>
      <c r="I3970" t="n">
        <v>1.6</v>
      </c>
      <c r="J3970" t="n">
        <v>0</v>
      </c>
      <c r="K3970" t="n">
        <v>0</v>
      </c>
      <c r="L3970" t="n">
        <v>0</v>
      </c>
      <c r="M3970" t="n">
        <v>0</v>
      </c>
      <c r="N3970" t="n">
        <v>0</v>
      </c>
      <c r="O3970" t="n">
        <v>0</v>
      </c>
      <c r="P3970" t="n">
        <v>0</v>
      </c>
      <c r="Q3970" t="n">
        <v>0</v>
      </c>
      <c r="R3970" t="n">
        <v>0</v>
      </c>
      <c r="S3970" t="n">
        <v>0</v>
      </c>
      <c r="T3970" t="n">
        <v>0</v>
      </c>
      <c r="U3970" t="n">
        <v>0</v>
      </c>
      <c r="V3970" s="2" t="inlineStr"/>
    </row>
    <row r="3971" ht="15" customHeight="1">
      <c r="A3971" t="inlineStr">
        <is>
          <t>A 1486-2026</t>
        </is>
      </c>
      <c r="B3971" t="inlineStr">
        <is>
          <t>avverkningsanmälan</t>
        </is>
      </c>
      <c r="C3971" t="inlineStr">
        <is>
          <t>Föryngringsavverkning</t>
        </is>
      </c>
      <c r="D3971" s="1" t="n">
        <v>46034</v>
      </c>
      <c r="E3971" s="1" t="n">
        <v>46323</v>
      </c>
      <c r="F3971" t="inlineStr">
        <is>
          <t>KALMAR LÄN</t>
        </is>
      </c>
      <c r="G3971" t="inlineStr">
        <is>
          <t>VÄSTERVIK</t>
        </is>
      </c>
      <c r="I3971" t="n">
        <v>1.2</v>
      </c>
      <c r="J3971" t="n">
        <v>0</v>
      </c>
      <c r="K3971" t="n">
        <v>0</v>
      </c>
      <c r="L3971" t="n">
        <v>0</v>
      </c>
      <c r="M3971" t="n">
        <v>0</v>
      </c>
      <c r="N3971" t="n">
        <v>0</v>
      </c>
      <c r="O3971" t="n">
        <v>0</v>
      </c>
      <c r="P3971" t="n">
        <v>0</v>
      </c>
      <c r="Q3971" t="n">
        <v>0</v>
      </c>
      <c r="R3971" t="n">
        <v>0</v>
      </c>
      <c r="S3971" t="n">
        <v>0</v>
      </c>
      <c r="T3971" t="n">
        <v>0</v>
      </c>
      <c r="U3971" t="n">
        <v>0</v>
      </c>
      <c r="V3971" s="2" t="inlineStr"/>
    </row>
    <row r="3972" ht="15" customHeight="1">
      <c r="A3972" t="inlineStr">
        <is>
          <t>A 1487-2026</t>
        </is>
      </c>
      <c r="B3972" t="inlineStr">
        <is>
          <t>avverkningsanmälan</t>
        </is>
      </c>
      <c r="C3972" t="inlineStr">
        <is>
          <t>Föryngringsavverkning</t>
        </is>
      </c>
      <c r="D3972" s="1" t="n">
        <v>46034</v>
      </c>
      <c r="E3972" s="1" t="n">
        <v>46323</v>
      </c>
      <c r="F3972" t="inlineStr">
        <is>
          <t>KALMAR LÄN</t>
        </is>
      </c>
      <c r="G3972" t="inlineStr">
        <is>
          <t>VÄSTERVIK</t>
        </is>
      </c>
      <c r="I3972" t="n">
        <v>2.4</v>
      </c>
      <c r="J3972" t="n">
        <v>0</v>
      </c>
      <c r="K3972" t="n">
        <v>0</v>
      </c>
      <c r="L3972" t="n">
        <v>0</v>
      </c>
      <c r="M3972" t="n">
        <v>0</v>
      </c>
      <c r="N3972" t="n">
        <v>0</v>
      </c>
      <c r="O3972" t="n">
        <v>0</v>
      </c>
      <c r="P3972" t="n">
        <v>0</v>
      </c>
      <c r="Q3972" t="n">
        <v>0</v>
      </c>
      <c r="R3972" t="n">
        <v>0</v>
      </c>
      <c r="S3972" t="n">
        <v>0</v>
      </c>
      <c r="T3972" t="n">
        <v>0</v>
      </c>
      <c r="U3972" t="n">
        <v>0</v>
      </c>
      <c r="V3972" s="2" t="inlineStr"/>
    </row>
    <row r="3973" ht="15" customHeight="1">
      <c r="A3973" t="inlineStr">
        <is>
          <t>A 45074-2023</t>
        </is>
      </c>
      <c r="B3973" t="inlineStr">
        <is>
          <t>avverkningsanmälan</t>
        </is>
      </c>
      <c r="C3973" t="inlineStr">
        <is>
          <t>Föryngringsavverkning</t>
        </is>
      </c>
      <c r="D3973" s="1" t="n">
        <v>45191</v>
      </c>
      <c r="E3973" s="1" t="n">
        <v>46323</v>
      </c>
      <c r="F3973" t="inlineStr">
        <is>
          <t>KALMAR LÄN</t>
        </is>
      </c>
      <c r="G3973" t="inlineStr">
        <is>
          <t>NYBRO</t>
        </is>
      </c>
      <c r="H3973" t="inlineStr">
        <is>
          <t>Sveaskog</t>
        </is>
      </c>
      <c r="I3973" t="n">
        <v>0.7</v>
      </c>
      <c r="J3973" t="n">
        <v>0</v>
      </c>
      <c r="K3973" t="n">
        <v>0</v>
      </c>
      <c r="L3973" t="n">
        <v>0</v>
      </c>
      <c r="M3973" t="n">
        <v>0</v>
      </c>
      <c r="N3973" t="n">
        <v>0</v>
      </c>
      <c r="O3973" t="n">
        <v>0</v>
      </c>
      <c r="P3973" t="n">
        <v>0</v>
      </c>
      <c r="Q3973" t="n">
        <v>0</v>
      </c>
      <c r="R3973" t="n">
        <v>0</v>
      </c>
      <c r="S3973" t="n">
        <v>0</v>
      </c>
      <c r="T3973" t="n">
        <v>0</v>
      </c>
      <c r="U3973" t="n">
        <v>0</v>
      </c>
      <c r="V3973" s="2" t="inlineStr"/>
    </row>
    <row r="3974" ht="15" customHeight="1">
      <c r="A3974" t="inlineStr">
        <is>
          <t>A 16149-2023</t>
        </is>
      </c>
      <c r="B3974" t="inlineStr">
        <is>
          <t>avverkningsanmälan</t>
        </is>
      </c>
      <c r="C3974" t="inlineStr">
        <is>
          <t>Föryngringsavverkning</t>
        </is>
      </c>
      <c r="D3974" s="1" t="n">
        <v>45027</v>
      </c>
      <c r="E3974" s="1" t="n">
        <v>46323</v>
      </c>
      <c r="F3974" t="inlineStr">
        <is>
          <t>KALMAR LÄN</t>
        </is>
      </c>
      <c r="G3974" t="inlineStr">
        <is>
          <t>KALMAR</t>
        </is>
      </c>
      <c r="I3974" t="n">
        <v>3.7</v>
      </c>
      <c r="J3974" t="n">
        <v>0</v>
      </c>
      <c r="K3974" t="n">
        <v>0</v>
      </c>
      <c r="L3974" t="n">
        <v>0</v>
      </c>
      <c r="M3974" t="n">
        <v>0</v>
      </c>
      <c r="N3974" t="n">
        <v>0</v>
      </c>
      <c r="O3974" t="n">
        <v>0</v>
      </c>
      <c r="P3974" t="n">
        <v>0</v>
      </c>
      <c r="Q3974" t="n">
        <v>0</v>
      </c>
      <c r="R3974" t="n">
        <v>0</v>
      </c>
      <c r="S3974" t="n">
        <v>0</v>
      </c>
      <c r="T3974" t="n">
        <v>0</v>
      </c>
      <c r="U3974" t="n">
        <v>0</v>
      </c>
      <c r="V3974" s="2" t="inlineStr"/>
    </row>
    <row r="3975" ht="15" customHeight="1">
      <c r="A3975" t="inlineStr">
        <is>
          <t>A 16152-2023</t>
        </is>
      </c>
      <c r="B3975" t="inlineStr">
        <is>
          <t>avverkningsanmälan</t>
        </is>
      </c>
      <c r="C3975" t="inlineStr">
        <is>
          <t>Föryngringsavverkning</t>
        </is>
      </c>
      <c r="D3975" s="1" t="n">
        <v>45027</v>
      </c>
      <c r="E3975" s="1" t="n">
        <v>46323</v>
      </c>
      <c r="F3975" t="inlineStr">
        <is>
          <t>KALMAR LÄN</t>
        </is>
      </c>
      <c r="G3975" t="inlineStr">
        <is>
          <t>TORSÅS</t>
        </is>
      </c>
      <c r="I3975" t="n">
        <v>2.3</v>
      </c>
      <c r="J3975" t="n">
        <v>0</v>
      </c>
      <c r="K3975" t="n">
        <v>0</v>
      </c>
      <c r="L3975" t="n">
        <v>0</v>
      </c>
      <c r="M3975" t="n">
        <v>0</v>
      </c>
      <c r="N3975" t="n">
        <v>0</v>
      </c>
      <c r="O3975" t="n">
        <v>0</v>
      </c>
      <c r="P3975" t="n">
        <v>0</v>
      </c>
      <c r="Q3975" t="n">
        <v>0</v>
      </c>
      <c r="R3975" t="n">
        <v>0</v>
      </c>
      <c r="S3975" t="n">
        <v>0</v>
      </c>
      <c r="T3975" t="n">
        <v>0</v>
      </c>
      <c r="U3975" t="n">
        <v>0</v>
      </c>
      <c r="V3975" s="2" t="inlineStr"/>
    </row>
    <row r="3976" ht="15" customHeight="1">
      <c r="A3976" t="inlineStr">
        <is>
          <t>A 2265-2026</t>
        </is>
      </c>
      <c r="B3976" t="inlineStr">
        <is>
          <t>avverkningsanmälan</t>
        </is>
      </c>
      <c r="C3976" t="inlineStr">
        <is>
          <t>Föryngringsavverkning</t>
        </is>
      </c>
      <c r="D3976" s="1" t="n">
        <v>46034</v>
      </c>
      <c r="E3976" s="1" t="n">
        <v>46323</v>
      </c>
      <c r="F3976" t="inlineStr">
        <is>
          <t>KALMAR LÄN</t>
        </is>
      </c>
      <c r="G3976" t="inlineStr">
        <is>
          <t>HULTSFRED</t>
        </is>
      </c>
      <c r="I3976" t="n">
        <v>7.3</v>
      </c>
      <c r="J3976" t="n">
        <v>0</v>
      </c>
      <c r="K3976" t="n">
        <v>0</v>
      </c>
      <c r="L3976" t="n">
        <v>0</v>
      </c>
      <c r="M3976" t="n">
        <v>0</v>
      </c>
      <c r="N3976" t="n">
        <v>0</v>
      </c>
      <c r="O3976" t="n">
        <v>0</v>
      </c>
      <c r="P3976" t="n">
        <v>0</v>
      </c>
      <c r="Q3976" t="n">
        <v>0</v>
      </c>
      <c r="R3976" t="n">
        <v>0</v>
      </c>
      <c r="S3976" t="n">
        <v>0</v>
      </c>
      <c r="T3976" t="n">
        <v>0</v>
      </c>
      <c r="U3976" t="n">
        <v>0</v>
      </c>
      <c r="V3976" s="2" t="inlineStr"/>
    </row>
    <row r="3977" ht="15" customHeight="1">
      <c r="A3977" t="inlineStr">
        <is>
          <t>A 34597-2022</t>
        </is>
      </c>
      <c r="B3977" t="inlineStr">
        <is>
          <t>avverkningsanmälan</t>
        </is>
      </c>
      <c r="C3977" t="inlineStr">
        <is>
          <t>Föryngringsavverkning</t>
        </is>
      </c>
      <c r="D3977" s="1" t="n">
        <v>44795</v>
      </c>
      <c r="E3977" s="1" t="n">
        <v>46323</v>
      </c>
      <c r="F3977" t="inlineStr">
        <is>
          <t>KALMAR LÄN</t>
        </is>
      </c>
      <c r="G3977" t="inlineStr">
        <is>
          <t>VIMMERBY</t>
        </is>
      </c>
      <c r="I3977" t="n">
        <v>2.2</v>
      </c>
      <c r="J3977" t="n">
        <v>0</v>
      </c>
      <c r="K3977" t="n">
        <v>0</v>
      </c>
      <c r="L3977" t="n">
        <v>0</v>
      </c>
      <c r="M3977" t="n">
        <v>0</v>
      </c>
      <c r="N3977" t="n">
        <v>0</v>
      </c>
      <c r="O3977" t="n">
        <v>0</v>
      </c>
      <c r="P3977" t="n">
        <v>0</v>
      </c>
      <c r="Q3977" t="n">
        <v>0</v>
      </c>
      <c r="R3977" t="n">
        <v>0</v>
      </c>
      <c r="S3977" t="n">
        <v>0</v>
      </c>
      <c r="T3977" t="n">
        <v>0</v>
      </c>
      <c r="U3977" t="n">
        <v>0</v>
      </c>
      <c r="V3977" s="2" t="inlineStr"/>
    </row>
    <row r="3978" ht="15" customHeight="1">
      <c r="A3978" t="inlineStr">
        <is>
          <t>A 34636-2022</t>
        </is>
      </c>
      <c r="B3978" t="inlineStr">
        <is>
          <t>avverkningsanmälan</t>
        </is>
      </c>
      <c r="C3978" t="inlineStr">
        <is>
          <t>Föryngringsavverkning</t>
        </is>
      </c>
      <c r="D3978" s="1" t="n">
        <v>44795</v>
      </c>
      <c r="E3978" s="1" t="n">
        <v>46323</v>
      </c>
      <c r="F3978" t="inlineStr">
        <is>
          <t>KALMAR LÄN</t>
        </is>
      </c>
      <c r="G3978" t="inlineStr">
        <is>
          <t>TORSÅS</t>
        </is>
      </c>
      <c r="I3978" t="n">
        <v>2</v>
      </c>
      <c r="J3978" t="n">
        <v>0</v>
      </c>
      <c r="K3978" t="n">
        <v>0</v>
      </c>
      <c r="L3978" t="n">
        <v>0</v>
      </c>
      <c r="M3978" t="n">
        <v>0</v>
      </c>
      <c r="N3978" t="n">
        <v>0</v>
      </c>
      <c r="O3978" t="n">
        <v>0</v>
      </c>
      <c r="P3978" t="n">
        <v>0</v>
      </c>
      <c r="Q3978" t="n">
        <v>0</v>
      </c>
      <c r="R3978" t="n">
        <v>0</v>
      </c>
      <c r="S3978" t="n">
        <v>0</v>
      </c>
      <c r="T3978" t="n">
        <v>0</v>
      </c>
      <c r="U3978" t="n">
        <v>0</v>
      </c>
      <c r="V3978" s="2" t="inlineStr"/>
    </row>
    <row r="3979" ht="15" customHeight="1">
      <c r="A3979" t="inlineStr">
        <is>
          <t>A 40079-2023</t>
        </is>
      </c>
      <c r="B3979" t="inlineStr">
        <is>
          <t>avverkningsanmälan</t>
        </is>
      </c>
      <c r="C3979" t="inlineStr">
        <is>
          <t>Föryngringsavverkning</t>
        </is>
      </c>
      <c r="D3979" s="1" t="n">
        <v>45168</v>
      </c>
      <c r="E3979" s="1" t="n">
        <v>46323</v>
      </c>
      <c r="F3979" t="inlineStr">
        <is>
          <t>KALMAR LÄN</t>
        </is>
      </c>
      <c r="G3979" t="inlineStr">
        <is>
          <t>VIMMERBY</t>
        </is>
      </c>
      <c r="I3979" t="n">
        <v>1.2</v>
      </c>
      <c r="J3979" t="n">
        <v>0</v>
      </c>
      <c r="K3979" t="n">
        <v>0</v>
      </c>
      <c r="L3979" t="n">
        <v>0</v>
      </c>
      <c r="M3979" t="n">
        <v>0</v>
      </c>
      <c r="N3979" t="n">
        <v>0</v>
      </c>
      <c r="O3979" t="n">
        <v>0</v>
      </c>
      <c r="P3979" t="n">
        <v>0</v>
      </c>
      <c r="Q3979" t="n">
        <v>0</v>
      </c>
      <c r="R3979" t="n">
        <v>0</v>
      </c>
      <c r="S3979" t="n">
        <v>0</v>
      </c>
      <c r="T3979" t="n">
        <v>0</v>
      </c>
      <c r="U3979" t="n">
        <v>0</v>
      </c>
      <c r="V3979" s="2" t="inlineStr"/>
    </row>
    <row r="3980" ht="15" customHeight="1">
      <c r="A3980" t="inlineStr">
        <is>
          <t>A 29922-2026</t>
        </is>
      </c>
      <c r="B3980" t="inlineStr">
        <is>
          <t>avverkningsanmälan</t>
        </is>
      </c>
      <c r="C3980" t="inlineStr">
        <is>
          <t>Föryngringsavverkning</t>
        </is>
      </c>
      <c r="D3980" s="1" t="n">
        <v>46205</v>
      </c>
      <c r="E3980" s="1" t="n">
        <v>46323</v>
      </c>
      <c r="F3980" t="inlineStr">
        <is>
          <t>KALMAR LÄN</t>
        </is>
      </c>
      <c r="G3980" t="inlineStr">
        <is>
          <t>NYBRO</t>
        </is>
      </c>
      <c r="I3980" t="n">
        <v>5.1</v>
      </c>
      <c r="J3980" t="n">
        <v>0</v>
      </c>
      <c r="K3980" t="n">
        <v>0</v>
      </c>
      <c r="L3980" t="n">
        <v>0</v>
      </c>
      <c r="M3980" t="n">
        <v>0</v>
      </c>
      <c r="N3980" t="n">
        <v>0</v>
      </c>
      <c r="O3980" t="n">
        <v>0</v>
      </c>
      <c r="P3980" t="n">
        <v>0</v>
      </c>
      <c r="Q3980" t="n">
        <v>0</v>
      </c>
      <c r="R3980" t="n">
        <v>0</v>
      </c>
      <c r="S3980" t="n">
        <v>0</v>
      </c>
      <c r="T3980" t="n">
        <v>0</v>
      </c>
      <c r="U3980" t="n">
        <v>0</v>
      </c>
      <c r="V3980" s="2" t="inlineStr"/>
    </row>
    <row r="3981" ht="15" customHeight="1">
      <c r="A3981" t="inlineStr">
        <is>
          <t>A 29943-2026</t>
        </is>
      </c>
      <c r="B3981" t="inlineStr">
        <is>
          <t>avverkningsanmälan</t>
        </is>
      </c>
      <c r="C3981" t="inlineStr">
        <is>
          <t>Föryngringsavverkning</t>
        </is>
      </c>
      <c r="D3981" s="1" t="n">
        <v>46205</v>
      </c>
      <c r="E3981" s="1" t="n">
        <v>46323</v>
      </c>
      <c r="F3981" t="inlineStr">
        <is>
          <t>KALMAR LÄN</t>
        </is>
      </c>
      <c r="G3981" t="inlineStr">
        <is>
          <t>EMMABODA</t>
        </is>
      </c>
      <c r="H3981" t="inlineStr">
        <is>
          <t>Sveaskog</t>
        </is>
      </c>
      <c r="I3981" t="n">
        <v>6.1</v>
      </c>
      <c r="J3981" t="n">
        <v>0</v>
      </c>
      <c r="K3981" t="n">
        <v>0</v>
      </c>
      <c r="L3981" t="n">
        <v>0</v>
      </c>
      <c r="M3981" t="n">
        <v>0</v>
      </c>
      <c r="N3981" t="n">
        <v>0</v>
      </c>
      <c r="O3981" t="n">
        <v>0</v>
      </c>
      <c r="P3981" t="n">
        <v>0</v>
      </c>
      <c r="Q3981" t="n">
        <v>0</v>
      </c>
      <c r="R3981" t="n">
        <v>0</v>
      </c>
      <c r="S3981" t="n">
        <v>0</v>
      </c>
      <c r="T3981" t="n">
        <v>0</v>
      </c>
      <c r="U3981" t="n">
        <v>0</v>
      </c>
      <c r="V3981" s="2" t="inlineStr"/>
    </row>
    <row r="3982" ht="15" customHeight="1">
      <c r="A3982" t="inlineStr">
        <is>
          <t>A 29851-2026</t>
        </is>
      </c>
      <c r="B3982" t="inlineStr">
        <is>
          <t>avverkningsanmälan</t>
        </is>
      </c>
      <c r="C3982" t="inlineStr">
        <is>
          <t>Föryngringsavverkning</t>
        </is>
      </c>
      <c r="D3982" s="1" t="n">
        <v>46205</v>
      </c>
      <c r="E3982" s="1" t="n">
        <v>46323</v>
      </c>
      <c r="F3982" t="inlineStr">
        <is>
          <t>KALMAR LÄN</t>
        </is>
      </c>
      <c r="G3982" t="inlineStr">
        <is>
          <t>VÄSTERVIK</t>
        </is>
      </c>
      <c r="I3982" t="n">
        <v>6.2</v>
      </c>
      <c r="J3982" t="n">
        <v>0</v>
      </c>
      <c r="K3982" t="n">
        <v>0</v>
      </c>
      <c r="L3982" t="n">
        <v>0</v>
      </c>
      <c r="M3982" t="n">
        <v>0</v>
      </c>
      <c r="N3982" t="n">
        <v>0</v>
      </c>
      <c r="O3982" t="n">
        <v>0</v>
      </c>
      <c r="P3982" t="n">
        <v>0</v>
      </c>
      <c r="Q3982" t="n">
        <v>0</v>
      </c>
      <c r="R3982" t="n">
        <v>0</v>
      </c>
      <c r="S3982" t="n">
        <v>0</v>
      </c>
      <c r="T3982" t="n">
        <v>0</v>
      </c>
      <c r="U3982" t="n">
        <v>0</v>
      </c>
      <c r="V3982" s="2" t="inlineStr"/>
    </row>
    <row r="3983" ht="15" customHeight="1">
      <c r="A3983" t="inlineStr">
        <is>
          <t>A 29812-2026</t>
        </is>
      </c>
      <c r="B3983" t="inlineStr">
        <is>
          <t>avverkningsanmälan</t>
        </is>
      </c>
      <c r="C3983" t="inlineStr">
        <is>
          <t>Föryngringsavverkning</t>
        </is>
      </c>
      <c r="D3983" s="1" t="n">
        <v>46205</v>
      </c>
      <c r="E3983" s="1" t="n">
        <v>46323</v>
      </c>
      <c r="F3983" t="inlineStr">
        <is>
          <t>KALMAR LÄN</t>
        </is>
      </c>
      <c r="G3983" t="inlineStr">
        <is>
          <t>MÖNSTERÅS</t>
        </is>
      </c>
      <c r="I3983" t="n">
        <v>1.1</v>
      </c>
      <c r="J3983" t="n">
        <v>0</v>
      </c>
      <c r="K3983" t="n">
        <v>0</v>
      </c>
      <c r="L3983" t="n">
        <v>0</v>
      </c>
      <c r="M3983" t="n">
        <v>0</v>
      </c>
      <c r="N3983" t="n">
        <v>0</v>
      </c>
      <c r="O3983" t="n">
        <v>0</v>
      </c>
      <c r="P3983" t="n">
        <v>0</v>
      </c>
      <c r="Q3983" t="n">
        <v>0</v>
      </c>
      <c r="R3983" t="n">
        <v>0</v>
      </c>
      <c r="S3983" t="n">
        <v>0</v>
      </c>
      <c r="T3983" t="n">
        <v>0</v>
      </c>
      <c r="U3983" t="n">
        <v>0</v>
      </c>
      <c r="V3983" s="2" t="inlineStr"/>
    </row>
    <row r="3984" ht="15" customHeight="1">
      <c r="A3984" t="inlineStr">
        <is>
          <t>A 26132-2023</t>
        </is>
      </c>
      <c r="B3984" t="inlineStr">
        <is>
          <t>avverkningsanmälan</t>
        </is>
      </c>
      <c r="C3984" t="inlineStr">
        <is>
          <t>Avverkning för annat ändamål</t>
        </is>
      </c>
      <c r="D3984" s="1" t="n">
        <v>45091</v>
      </c>
      <c r="E3984" s="1" t="n">
        <v>46323</v>
      </c>
      <c r="F3984" t="inlineStr">
        <is>
          <t>KALMAR LÄN</t>
        </is>
      </c>
      <c r="G3984" t="inlineStr">
        <is>
          <t>OSKARSHAMN</t>
        </is>
      </c>
      <c r="I3984" t="n">
        <v>0.7</v>
      </c>
      <c r="J3984" t="n">
        <v>0</v>
      </c>
      <c r="K3984" t="n">
        <v>0</v>
      </c>
      <c r="L3984" t="n">
        <v>0</v>
      </c>
      <c r="M3984" t="n">
        <v>0</v>
      </c>
      <c r="N3984" t="n">
        <v>0</v>
      </c>
      <c r="O3984" t="n">
        <v>0</v>
      </c>
      <c r="P3984" t="n">
        <v>0</v>
      </c>
      <c r="Q3984" t="n">
        <v>0</v>
      </c>
      <c r="R3984" t="n">
        <v>0</v>
      </c>
      <c r="S3984" t="n">
        <v>0</v>
      </c>
      <c r="T3984" t="n">
        <v>0</v>
      </c>
      <c r="U3984" t="n">
        <v>0</v>
      </c>
      <c r="V3984" s="2" t="inlineStr"/>
    </row>
    <row r="3985" ht="15" customHeight="1">
      <c r="A3985" t="inlineStr">
        <is>
          <t>A 26971-2023</t>
        </is>
      </c>
      <c r="B3985" t="inlineStr">
        <is>
          <t>avverkningsanmälan</t>
        </is>
      </c>
      <c r="C3985" t="inlineStr">
        <is>
          <t>Föryngringsavverkning</t>
        </is>
      </c>
      <c r="D3985" s="1" t="n">
        <v>45091</v>
      </c>
      <c r="E3985" s="1" t="n">
        <v>46323</v>
      </c>
      <c r="F3985" t="inlineStr">
        <is>
          <t>KALMAR LÄN</t>
        </is>
      </c>
      <c r="G3985" t="inlineStr">
        <is>
          <t>EMMABODA</t>
        </is>
      </c>
      <c r="I3985" t="n">
        <v>5.5</v>
      </c>
      <c r="J3985" t="n">
        <v>0</v>
      </c>
      <c r="K3985" t="n">
        <v>0</v>
      </c>
      <c r="L3985" t="n">
        <v>0</v>
      </c>
      <c r="M3985" t="n">
        <v>0</v>
      </c>
      <c r="N3985" t="n">
        <v>0</v>
      </c>
      <c r="O3985" t="n">
        <v>0</v>
      </c>
      <c r="P3985" t="n">
        <v>0</v>
      </c>
      <c r="Q3985" t="n">
        <v>0</v>
      </c>
      <c r="R3985" t="n">
        <v>0</v>
      </c>
      <c r="S3985" t="n">
        <v>0</v>
      </c>
      <c r="T3985" t="n">
        <v>0</v>
      </c>
      <c r="U3985" t="n">
        <v>0</v>
      </c>
      <c r="V3985" s="2" t="inlineStr"/>
    </row>
    <row r="3986" ht="15" customHeight="1">
      <c r="A3986" t="inlineStr">
        <is>
          <t>A 29945-2026</t>
        </is>
      </c>
      <c r="B3986" t="inlineStr">
        <is>
          <t>avverkningsanmälan</t>
        </is>
      </c>
      <c r="C3986" t="inlineStr">
        <is>
          <t>Föryngringsavverkning</t>
        </is>
      </c>
      <c r="D3986" s="1" t="n">
        <v>46205</v>
      </c>
      <c r="E3986" s="1" t="n">
        <v>46323</v>
      </c>
      <c r="F3986" t="inlineStr">
        <is>
          <t>KALMAR LÄN</t>
        </is>
      </c>
      <c r="G3986" t="inlineStr">
        <is>
          <t>VÄSTERVIK</t>
        </is>
      </c>
      <c r="I3986" t="n">
        <v>2.9</v>
      </c>
      <c r="J3986" t="n">
        <v>0</v>
      </c>
      <c r="K3986" t="n">
        <v>0</v>
      </c>
      <c r="L3986" t="n">
        <v>0</v>
      </c>
      <c r="M3986" t="n">
        <v>0</v>
      </c>
      <c r="N3986" t="n">
        <v>0</v>
      </c>
      <c r="O3986" t="n">
        <v>0</v>
      </c>
      <c r="P3986" t="n">
        <v>0</v>
      </c>
      <c r="Q3986" t="n">
        <v>0</v>
      </c>
      <c r="R3986" t="n">
        <v>0</v>
      </c>
      <c r="S3986" t="n">
        <v>0</v>
      </c>
      <c r="T3986" t="n">
        <v>0</v>
      </c>
      <c r="U3986" t="n">
        <v>0</v>
      </c>
      <c r="V3986" s="2" t="inlineStr"/>
    </row>
    <row r="3987" ht="15" customHeight="1">
      <c r="A3987" t="inlineStr">
        <is>
          <t>A 19833-2023</t>
        </is>
      </c>
      <c r="B3987" t="inlineStr">
        <is>
          <t>avverkningsanmälan</t>
        </is>
      </c>
      <c r="C3987" t="inlineStr">
        <is>
          <t>Föryngringsavverkning</t>
        </is>
      </c>
      <c r="D3987" s="1" t="n">
        <v>45052</v>
      </c>
      <c r="E3987" s="1" t="n">
        <v>46323</v>
      </c>
      <c r="F3987" t="inlineStr">
        <is>
          <t>KALMAR LÄN</t>
        </is>
      </c>
      <c r="G3987" t="inlineStr">
        <is>
          <t>VIMMERBY</t>
        </is>
      </c>
      <c r="I3987" t="n">
        <v>6.7</v>
      </c>
      <c r="J3987" t="n">
        <v>0</v>
      </c>
      <c r="K3987" t="n">
        <v>0</v>
      </c>
      <c r="L3987" t="n">
        <v>0</v>
      </c>
      <c r="M3987" t="n">
        <v>0</v>
      </c>
      <c r="N3987" t="n">
        <v>0</v>
      </c>
      <c r="O3987" t="n">
        <v>0</v>
      </c>
      <c r="P3987" t="n">
        <v>0</v>
      </c>
      <c r="Q3987" t="n">
        <v>0</v>
      </c>
      <c r="R3987" t="n">
        <v>0</v>
      </c>
      <c r="S3987" t="n">
        <v>0</v>
      </c>
      <c r="T3987" t="n">
        <v>0</v>
      </c>
      <c r="U3987" t="n">
        <v>0</v>
      </c>
      <c r="V3987" s="2" t="inlineStr"/>
    </row>
    <row r="3988" ht="15" customHeight="1">
      <c r="A3988" t="inlineStr">
        <is>
          <t>A 1748-2026</t>
        </is>
      </c>
      <c r="B3988" t="inlineStr">
        <is>
          <t>avverkningsanmälan</t>
        </is>
      </c>
      <c r="C3988" t="inlineStr">
        <is>
          <t>Föryngringsavverkning</t>
        </is>
      </c>
      <c r="D3988" s="1" t="n">
        <v>46034</v>
      </c>
      <c r="E3988" s="1" t="n">
        <v>46323</v>
      </c>
      <c r="F3988" t="inlineStr">
        <is>
          <t>KALMAR LÄN</t>
        </is>
      </c>
      <c r="G3988" t="inlineStr">
        <is>
          <t>VIMMERBY</t>
        </is>
      </c>
      <c r="I3988" t="n">
        <v>0.9</v>
      </c>
      <c r="J3988" t="n">
        <v>0</v>
      </c>
      <c r="K3988" t="n">
        <v>0</v>
      </c>
      <c r="L3988" t="n">
        <v>0</v>
      </c>
      <c r="M3988" t="n">
        <v>0</v>
      </c>
      <c r="N3988" t="n">
        <v>0</v>
      </c>
      <c r="O3988" t="n">
        <v>0</v>
      </c>
      <c r="P3988" t="n">
        <v>0</v>
      </c>
      <c r="Q3988" t="n">
        <v>0</v>
      </c>
      <c r="R3988" t="n">
        <v>0</v>
      </c>
      <c r="S3988" t="n">
        <v>0</v>
      </c>
      <c r="T3988" t="n">
        <v>0</v>
      </c>
      <c r="U3988" t="n">
        <v>0</v>
      </c>
      <c r="V3988" s="2" t="inlineStr"/>
    </row>
    <row r="3989" ht="15" customHeight="1">
      <c r="A3989" t="inlineStr">
        <is>
          <t>A 23565-2025</t>
        </is>
      </c>
      <c r="B3989" t="inlineStr">
        <is>
          <t>avverkningsanmälan</t>
        </is>
      </c>
      <c r="C3989" t="inlineStr">
        <is>
          <t>Föryngringsavverkning</t>
        </is>
      </c>
      <c r="D3989" s="1" t="n">
        <v>45792</v>
      </c>
      <c r="E3989" s="1" t="n">
        <v>46323</v>
      </c>
      <c r="F3989" t="inlineStr">
        <is>
          <t>KALMAR LÄN</t>
        </is>
      </c>
      <c r="G3989" t="inlineStr">
        <is>
          <t>KALMAR</t>
        </is>
      </c>
      <c r="H3989" t="inlineStr">
        <is>
          <t>Sveaskog</t>
        </is>
      </c>
      <c r="I3989" t="n">
        <v>1.4</v>
      </c>
      <c r="J3989" t="n">
        <v>0</v>
      </c>
      <c r="K3989" t="n">
        <v>0</v>
      </c>
      <c r="L3989" t="n">
        <v>0</v>
      </c>
      <c r="M3989" t="n">
        <v>0</v>
      </c>
      <c r="N3989" t="n">
        <v>0</v>
      </c>
      <c r="O3989" t="n">
        <v>0</v>
      </c>
      <c r="P3989" t="n">
        <v>0</v>
      </c>
      <c r="Q3989" t="n">
        <v>0</v>
      </c>
      <c r="R3989" t="n">
        <v>0</v>
      </c>
      <c r="S3989" t="n">
        <v>0</v>
      </c>
      <c r="T3989" t="n">
        <v>0</v>
      </c>
      <c r="U3989" t="n">
        <v>0</v>
      </c>
      <c r="V3989" s="2" t="inlineStr"/>
    </row>
    <row r="3990" ht="15" customHeight="1">
      <c r="A3990" t="inlineStr">
        <is>
          <t>A 14377-2022</t>
        </is>
      </c>
      <c r="B3990" t="inlineStr">
        <is>
          <t>avverkningsanmälan</t>
        </is>
      </c>
      <c r="C3990" t="inlineStr">
        <is>
          <t>Föryngringsavverkning</t>
        </is>
      </c>
      <c r="D3990" s="1" t="n">
        <v>44652</v>
      </c>
      <c r="E3990" s="1" t="n">
        <v>46323</v>
      </c>
      <c r="F3990" t="inlineStr">
        <is>
          <t>KALMAR LÄN</t>
        </is>
      </c>
      <c r="G3990" t="inlineStr">
        <is>
          <t>EMMABODA</t>
        </is>
      </c>
      <c r="I3990" t="n">
        <v>0.5</v>
      </c>
      <c r="J3990" t="n">
        <v>0</v>
      </c>
      <c r="K3990" t="n">
        <v>0</v>
      </c>
      <c r="L3990" t="n">
        <v>0</v>
      </c>
      <c r="M3990" t="n">
        <v>0</v>
      </c>
      <c r="N3990" t="n">
        <v>0</v>
      </c>
      <c r="O3990" t="n">
        <v>0</v>
      </c>
      <c r="P3990" t="n">
        <v>0</v>
      </c>
      <c r="Q3990" t="n">
        <v>0</v>
      </c>
      <c r="R3990" t="n">
        <v>0</v>
      </c>
      <c r="S3990" t="n">
        <v>0</v>
      </c>
      <c r="T3990" t="n">
        <v>0</v>
      </c>
      <c r="U3990" t="n">
        <v>0</v>
      </c>
      <c r="V3990" s="2" t="inlineStr"/>
    </row>
    <row r="3991" ht="15" customHeight="1">
      <c r="A3991" t="inlineStr">
        <is>
          <t>A 14983-2022</t>
        </is>
      </c>
      <c r="B3991" t="inlineStr">
        <is>
          <t>avverkningsanmälan</t>
        </is>
      </c>
      <c r="C3991" t="inlineStr">
        <is>
          <t>Föryngringsavverkning</t>
        </is>
      </c>
      <c r="D3991" s="1" t="n">
        <v>44657</v>
      </c>
      <c r="E3991" s="1" t="n">
        <v>46323</v>
      </c>
      <c r="F3991" t="inlineStr">
        <is>
          <t>KALMAR LÄN</t>
        </is>
      </c>
      <c r="G3991" t="inlineStr">
        <is>
          <t>NYBRO</t>
        </is>
      </c>
      <c r="H3991" t="inlineStr">
        <is>
          <t>Kyrkan</t>
        </is>
      </c>
      <c r="I3991" t="n">
        <v>1</v>
      </c>
      <c r="J3991" t="n">
        <v>0</v>
      </c>
      <c r="K3991" t="n">
        <v>0</v>
      </c>
      <c r="L3991" t="n">
        <v>0</v>
      </c>
      <c r="M3991" t="n">
        <v>0</v>
      </c>
      <c r="N3991" t="n">
        <v>0</v>
      </c>
      <c r="O3991" t="n">
        <v>0</v>
      </c>
      <c r="P3991" t="n">
        <v>0</v>
      </c>
      <c r="Q3991" t="n">
        <v>0</v>
      </c>
      <c r="R3991" t="n">
        <v>0</v>
      </c>
      <c r="S3991" t="n">
        <v>0</v>
      </c>
      <c r="T3991" t="n">
        <v>0</v>
      </c>
      <c r="U3991" t="n">
        <v>0</v>
      </c>
      <c r="V3991" s="2" t="inlineStr"/>
    </row>
    <row r="3992" ht="15" customHeight="1">
      <c r="A3992" t="inlineStr">
        <is>
          <t>A 45650-2023</t>
        </is>
      </c>
      <c r="B3992" t="inlineStr">
        <is>
          <t>avverkningsanmälan</t>
        </is>
      </c>
      <c r="C3992" t="inlineStr">
        <is>
          <t>Föryngringsavverkning</t>
        </is>
      </c>
      <c r="D3992" s="1" t="n">
        <v>45194</v>
      </c>
      <c r="E3992" s="1" t="n">
        <v>46323</v>
      </c>
      <c r="F3992" t="inlineStr">
        <is>
          <t>KALMAR LÄN</t>
        </is>
      </c>
      <c r="G3992" t="inlineStr">
        <is>
          <t>HÖGSBY</t>
        </is>
      </c>
      <c r="I3992" t="n">
        <v>1.3</v>
      </c>
      <c r="J3992" t="n">
        <v>0</v>
      </c>
      <c r="K3992" t="n">
        <v>0</v>
      </c>
      <c r="L3992" t="n">
        <v>0</v>
      </c>
      <c r="M3992" t="n">
        <v>0</v>
      </c>
      <c r="N3992" t="n">
        <v>0</v>
      </c>
      <c r="O3992" t="n">
        <v>0</v>
      </c>
      <c r="P3992" t="n">
        <v>0</v>
      </c>
      <c r="Q3992" t="n">
        <v>0</v>
      </c>
      <c r="R3992" t="n">
        <v>0</v>
      </c>
      <c r="S3992" t="n">
        <v>0</v>
      </c>
      <c r="T3992" t="n">
        <v>0</v>
      </c>
      <c r="U3992" t="n">
        <v>0</v>
      </c>
      <c r="V3992" s="2" t="inlineStr"/>
    </row>
    <row r="3993" ht="15" customHeight="1">
      <c r="A3993" t="inlineStr">
        <is>
          <t>A 45660-2023</t>
        </is>
      </c>
      <c r="B3993" t="inlineStr">
        <is>
          <t>avverkningsanmälan</t>
        </is>
      </c>
      <c r="C3993" t="inlineStr">
        <is>
          <t>Föryngringsavverkning</t>
        </is>
      </c>
      <c r="D3993" s="1" t="n">
        <v>45194</v>
      </c>
      <c r="E3993" s="1" t="n">
        <v>46323</v>
      </c>
      <c r="F3993" t="inlineStr">
        <is>
          <t>KALMAR LÄN</t>
        </is>
      </c>
      <c r="G3993" t="inlineStr">
        <is>
          <t>HULTSFRED</t>
        </is>
      </c>
      <c r="I3993" t="n">
        <v>1</v>
      </c>
      <c r="J3993" t="n">
        <v>0</v>
      </c>
      <c r="K3993" t="n">
        <v>0</v>
      </c>
      <c r="L3993" t="n">
        <v>0</v>
      </c>
      <c r="M3993" t="n">
        <v>0</v>
      </c>
      <c r="N3993" t="n">
        <v>0</v>
      </c>
      <c r="O3993" t="n">
        <v>0</v>
      </c>
      <c r="P3993" t="n">
        <v>0</v>
      </c>
      <c r="Q3993" t="n">
        <v>0</v>
      </c>
      <c r="R3993" t="n">
        <v>0</v>
      </c>
      <c r="S3993" t="n">
        <v>0</v>
      </c>
      <c r="T3993" t="n">
        <v>0</v>
      </c>
      <c r="U3993" t="n">
        <v>0</v>
      </c>
      <c r="V3993" s="2" t="inlineStr"/>
    </row>
    <row r="3994" ht="15" customHeight="1">
      <c r="A3994" t="inlineStr">
        <is>
          <t>A 29984-2026</t>
        </is>
      </c>
      <c r="B3994" t="inlineStr">
        <is>
          <t>avverkningsanmälan</t>
        </is>
      </c>
      <c r="C3994" t="inlineStr">
        <is>
          <t>Föryngringsavverkning</t>
        </is>
      </c>
      <c r="D3994" s="1" t="n">
        <v>46205</v>
      </c>
      <c r="E3994" s="1" t="n">
        <v>46323</v>
      </c>
      <c r="F3994" t="inlineStr">
        <is>
          <t>KALMAR LÄN</t>
        </is>
      </c>
      <c r="G3994" t="inlineStr">
        <is>
          <t>HULTSFRED</t>
        </is>
      </c>
      <c r="I3994" t="n">
        <v>1.2</v>
      </c>
      <c r="J3994" t="n">
        <v>0</v>
      </c>
      <c r="K3994" t="n">
        <v>0</v>
      </c>
      <c r="L3994" t="n">
        <v>0</v>
      </c>
      <c r="M3994" t="n">
        <v>0</v>
      </c>
      <c r="N3994" t="n">
        <v>0</v>
      </c>
      <c r="O3994" t="n">
        <v>0</v>
      </c>
      <c r="P3994" t="n">
        <v>0</v>
      </c>
      <c r="Q3994" t="n">
        <v>0</v>
      </c>
      <c r="R3994" t="n">
        <v>0</v>
      </c>
      <c r="S3994" t="n">
        <v>0</v>
      </c>
      <c r="T3994" t="n">
        <v>0</v>
      </c>
      <c r="U3994" t="n">
        <v>0</v>
      </c>
      <c r="V3994" s="2" t="inlineStr"/>
    </row>
    <row r="3995" ht="15" customHeight="1">
      <c r="A3995" t="inlineStr">
        <is>
          <t>A 72819-2021</t>
        </is>
      </c>
      <c r="B3995" t="inlineStr">
        <is>
          <t>avverkningsanmälan</t>
        </is>
      </c>
      <c r="C3995" t="inlineStr">
        <is>
          <t>Föryngringsavverkning</t>
        </is>
      </c>
      <c r="D3995" s="1" t="n">
        <v>44547</v>
      </c>
      <c r="E3995" s="1" t="n">
        <v>46323</v>
      </c>
      <c r="F3995" t="inlineStr">
        <is>
          <t>KALMAR LÄN</t>
        </is>
      </c>
      <c r="G3995" t="inlineStr">
        <is>
          <t>OSKARSHAMN</t>
        </is>
      </c>
      <c r="I3995" t="n">
        <v>1</v>
      </c>
      <c r="J3995" t="n">
        <v>0</v>
      </c>
      <c r="K3995" t="n">
        <v>0</v>
      </c>
      <c r="L3995" t="n">
        <v>0</v>
      </c>
      <c r="M3995" t="n">
        <v>0</v>
      </c>
      <c r="N3995" t="n">
        <v>0</v>
      </c>
      <c r="O3995" t="n">
        <v>0</v>
      </c>
      <c r="P3995" t="n">
        <v>0</v>
      </c>
      <c r="Q3995" t="n">
        <v>0</v>
      </c>
      <c r="R3995" t="n">
        <v>0</v>
      </c>
      <c r="S3995" t="n">
        <v>0</v>
      </c>
      <c r="T3995" t="n">
        <v>0</v>
      </c>
      <c r="U3995" t="n">
        <v>0</v>
      </c>
      <c r="V3995" s="2" t="inlineStr"/>
    </row>
    <row r="3996" ht="15" customHeight="1">
      <c r="A3996" t="inlineStr">
        <is>
          <t>A 23454-2025</t>
        </is>
      </c>
      <c r="B3996" t="inlineStr">
        <is>
          <t>avverkningsanmälan</t>
        </is>
      </c>
      <c r="C3996" t="inlineStr">
        <is>
          <t>Avverkning för annat ändamål</t>
        </is>
      </c>
      <c r="D3996" s="1" t="n">
        <v>45792</v>
      </c>
      <c r="E3996" s="1" t="n">
        <v>46323</v>
      </c>
      <c r="F3996" t="inlineStr">
        <is>
          <t>KALMAR LÄN</t>
        </is>
      </c>
      <c r="G3996" t="inlineStr">
        <is>
          <t>MÖNSTERÅS</t>
        </is>
      </c>
      <c r="I3996" t="n">
        <v>1.5</v>
      </c>
      <c r="J3996" t="n">
        <v>0</v>
      </c>
      <c r="K3996" t="n">
        <v>0</v>
      </c>
      <c r="L3996" t="n">
        <v>0</v>
      </c>
      <c r="M3996" t="n">
        <v>0</v>
      </c>
      <c r="N3996" t="n">
        <v>0</v>
      </c>
      <c r="O3996" t="n">
        <v>0</v>
      </c>
      <c r="P3996" t="n">
        <v>0</v>
      </c>
      <c r="Q3996" t="n">
        <v>0</v>
      </c>
      <c r="R3996" t="n">
        <v>0</v>
      </c>
      <c r="S3996" t="n">
        <v>0</v>
      </c>
      <c r="T3996" t="n">
        <v>0</v>
      </c>
      <c r="U3996" t="n">
        <v>0</v>
      </c>
      <c r="V3996" s="2" t="inlineStr"/>
    </row>
    <row r="3997" ht="15" customHeight="1">
      <c r="A3997" t="inlineStr">
        <is>
          <t>A 40155-2023</t>
        </is>
      </c>
      <c r="B3997" t="inlineStr">
        <is>
          <t>avverkningsanmälan</t>
        </is>
      </c>
      <c r="C3997" t="inlineStr">
        <is>
          <t>Föryngringsavverkning</t>
        </is>
      </c>
      <c r="D3997" s="1" t="n">
        <v>45168</v>
      </c>
      <c r="E3997" s="1" t="n">
        <v>46323</v>
      </c>
      <c r="F3997" t="inlineStr">
        <is>
          <t>KALMAR LÄN</t>
        </is>
      </c>
      <c r="G3997" t="inlineStr">
        <is>
          <t>HÖGSBY</t>
        </is>
      </c>
      <c r="H3997" t="inlineStr">
        <is>
          <t>Kommuner</t>
        </is>
      </c>
      <c r="I3997" t="n">
        <v>1.3</v>
      </c>
      <c r="J3997" t="n">
        <v>0</v>
      </c>
      <c r="K3997" t="n">
        <v>0</v>
      </c>
      <c r="L3997" t="n">
        <v>0</v>
      </c>
      <c r="M3997" t="n">
        <v>0</v>
      </c>
      <c r="N3997" t="n">
        <v>0</v>
      </c>
      <c r="O3997" t="n">
        <v>0</v>
      </c>
      <c r="P3997" t="n">
        <v>0</v>
      </c>
      <c r="Q3997" t="n">
        <v>0</v>
      </c>
      <c r="R3997" t="n">
        <v>0</v>
      </c>
      <c r="S3997" t="n">
        <v>0</v>
      </c>
      <c r="T3997" t="n">
        <v>0</v>
      </c>
      <c r="U3997" t="n">
        <v>0</v>
      </c>
      <c r="V3997" s="2" t="inlineStr"/>
    </row>
    <row r="3998" ht="15" customHeight="1">
      <c r="A3998" t="inlineStr">
        <is>
          <t>A 48539-2023</t>
        </is>
      </c>
      <c r="B3998" t="inlineStr">
        <is>
          <t>avverkningsanmälan</t>
        </is>
      </c>
      <c r="C3998" t="inlineStr">
        <is>
          <t>Föryngringsavverkning</t>
        </is>
      </c>
      <c r="D3998" s="1" t="n">
        <v>45208</v>
      </c>
      <c r="E3998" s="1" t="n">
        <v>46323</v>
      </c>
      <c r="F3998" t="inlineStr">
        <is>
          <t>KALMAR LÄN</t>
        </is>
      </c>
      <c r="G3998" t="inlineStr">
        <is>
          <t>OSKARSHAMN</t>
        </is>
      </c>
      <c r="I3998" t="n">
        <v>0.5</v>
      </c>
      <c r="J3998" t="n">
        <v>0</v>
      </c>
      <c r="K3998" t="n">
        <v>0</v>
      </c>
      <c r="L3998" t="n">
        <v>0</v>
      </c>
      <c r="M3998" t="n">
        <v>0</v>
      </c>
      <c r="N3998" t="n">
        <v>0</v>
      </c>
      <c r="O3998" t="n">
        <v>0</v>
      </c>
      <c r="P3998" t="n">
        <v>0</v>
      </c>
      <c r="Q3998" t="n">
        <v>0</v>
      </c>
      <c r="R3998" t="n">
        <v>0</v>
      </c>
      <c r="S3998" t="n">
        <v>0</v>
      </c>
      <c r="T3998" t="n">
        <v>0</v>
      </c>
      <c r="U3998" t="n">
        <v>0</v>
      </c>
      <c r="V3998" s="2" t="inlineStr"/>
    </row>
    <row r="3999" ht="15" customHeight="1">
      <c r="A3999" t="inlineStr">
        <is>
          <t>A 55037-2024</t>
        </is>
      </c>
      <c r="B3999" t="inlineStr">
        <is>
          <t>avverkningsanmälan</t>
        </is>
      </c>
      <c r="C3999" t="inlineStr">
        <is>
          <t>Föryngringsavverkning</t>
        </is>
      </c>
      <c r="D3999" s="1" t="n">
        <v>45621</v>
      </c>
      <c r="E3999" s="1" t="n">
        <v>46323</v>
      </c>
      <c r="F3999" t="inlineStr">
        <is>
          <t>KALMAR LÄN</t>
        </is>
      </c>
      <c r="G3999" t="inlineStr">
        <is>
          <t>VÄSTERVIK</t>
        </is>
      </c>
      <c r="H3999" t="inlineStr">
        <is>
          <t>Sveaskog</t>
        </is>
      </c>
      <c r="I3999" t="n">
        <v>0.6</v>
      </c>
      <c r="J3999" t="n">
        <v>0</v>
      </c>
      <c r="K3999" t="n">
        <v>0</v>
      </c>
      <c r="L3999" t="n">
        <v>0</v>
      </c>
      <c r="M3999" t="n">
        <v>0</v>
      </c>
      <c r="N3999" t="n">
        <v>0</v>
      </c>
      <c r="O3999" t="n">
        <v>0</v>
      </c>
      <c r="P3999" t="n">
        <v>0</v>
      </c>
      <c r="Q3999" t="n">
        <v>0</v>
      </c>
      <c r="R3999" t="n">
        <v>0</v>
      </c>
      <c r="S3999" t="n">
        <v>0</v>
      </c>
      <c r="T3999" t="n">
        <v>0</v>
      </c>
      <c r="U3999" t="n">
        <v>0</v>
      </c>
      <c r="V3999" s="2" t="inlineStr"/>
    </row>
    <row r="4000" ht="15" customHeight="1">
      <c r="A4000" t="inlineStr">
        <is>
          <t>A 23187-2025</t>
        </is>
      </c>
      <c r="B4000" t="inlineStr">
        <is>
          <t>avverkningsanmälan</t>
        </is>
      </c>
      <c r="C4000" t="inlineStr">
        <is>
          <t>Föryngringsavverkning</t>
        </is>
      </c>
      <c r="D4000" s="1" t="n">
        <v>45791</v>
      </c>
      <c r="E4000" s="1" t="n">
        <v>46323</v>
      </c>
      <c r="F4000" t="inlineStr">
        <is>
          <t>KALMAR LÄN</t>
        </is>
      </c>
      <c r="G4000" t="inlineStr">
        <is>
          <t>KALMAR</t>
        </is>
      </c>
      <c r="I4000" t="n">
        <v>0.6</v>
      </c>
      <c r="J4000" t="n">
        <v>0</v>
      </c>
      <c r="K4000" t="n">
        <v>0</v>
      </c>
      <c r="L4000" t="n">
        <v>0</v>
      </c>
      <c r="M4000" t="n">
        <v>0</v>
      </c>
      <c r="N4000" t="n">
        <v>0</v>
      </c>
      <c r="O4000" t="n">
        <v>0</v>
      </c>
      <c r="P4000" t="n">
        <v>0</v>
      </c>
      <c r="Q4000" t="n">
        <v>0</v>
      </c>
      <c r="R4000" t="n">
        <v>0</v>
      </c>
      <c r="S4000" t="n">
        <v>0</v>
      </c>
      <c r="T4000" t="n">
        <v>0</v>
      </c>
      <c r="U4000" t="n">
        <v>0</v>
      </c>
      <c r="V4000" s="2" t="inlineStr"/>
    </row>
    <row r="4001" ht="15" customHeight="1">
      <c r="A4001" t="inlineStr">
        <is>
          <t>A 5355-2022</t>
        </is>
      </c>
      <c r="B4001" t="inlineStr">
        <is>
          <t>avverkningsanmälan</t>
        </is>
      </c>
      <c r="C4001" t="inlineStr">
        <is>
          <t>Föryngringsavverkning</t>
        </is>
      </c>
      <c r="D4001" s="1" t="n">
        <v>44594</v>
      </c>
      <c r="E4001" s="1" t="n">
        <v>46323</v>
      </c>
      <c r="F4001" t="inlineStr">
        <is>
          <t>KALMAR LÄN</t>
        </is>
      </c>
      <c r="G4001" t="inlineStr">
        <is>
          <t>NYBRO</t>
        </is>
      </c>
      <c r="I4001" t="n">
        <v>0.5</v>
      </c>
      <c r="J4001" t="n">
        <v>0</v>
      </c>
      <c r="K4001" t="n">
        <v>0</v>
      </c>
      <c r="L4001" t="n">
        <v>0</v>
      </c>
      <c r="M4001" t="n">
        <v>0</v>
      </c>
      <c r="N4001" t="n">
        <v>0</v>
      </c>
      <c r="O4001" t="n">
        <v>0</v>
      </c>
      <c r="P4001" t="n">
        <v>0</v>
      </c>
      <c r="Q4001" t="n">
        <v>0</v>
      </c>
      <c r="R4001" t="n">
        <v>0</v>
      </c>
      <c r="S4001" t="n">
        <v>0</v>
      </c>
      <c r="T4001" t="n">
        <v>0</v>
      </c>
      <c r="U4001" t="n">
        <v>0</v>
      </c>
      <c r="V4001" s="2" t="inlineStr"/>
    </row>
    <row r="4002" ht="15" customHeight="1">
      <c r="A4002" t="inlineStr">
        <is>
          <t>A 1862-2026</t>
        </is>
      </c>
      <c r="B4002" t="inlineStr">
        <is>
          <t>avverkningsanmälan</t>
        </is>
      </c>
      <c r="C4002" t="inlineStr">
        <is>
          <t>Föryngringsavverkning</t>
        </is>
      </c>
      <c r="D4002" s="1" t="n">
        <v>46035</v>
      </c>
      <c r="E4002" s="1" t="n">
        <v>46323</v>
      </c>
      <c r="F4002" t="inlineStr">
        <is>
          <t>KALMAR LÄN</t>
        </is>
      </c>
      <c r="G4002" t="inlineStr">
        <is>
          <t>VIMMERBY</t>
        </is>
      </c>
      <c r="I4002" t="n">
        <v>3.1</v>
      </c>
      <c r="J4002" t="n">
        <v>0</v>
      </c>
      <c r="K4002" t="n">
        <v>0</v>
      </c>
      <c r="L4002" t="n">
        <v>0</v>
      </c>
      <c r="M4002" t="n">
        <v>0</v>
      </c>
      <c r="N4002" t="n">
        <v>0</v>
      </c>
      <c r="O4002" t="n">
        <v>0</v>
      </c>
      <c r="P4002" t="n">
        <v>0</v>
      </c>
      <c r="Q4002" t="n">
        <v>0</v>
      </c>
      <c r="R4002" t="n">
        <v>0</v>
      </c>
      <c r="S4002" t="n">
        <v>0</v>
      </c>
      <c r="T4002" t="n">
        <v>0</v>
      </c>
      <c r="U4002" t="n">
        <v>0</v>
      </c>
      <c r="V4002" s="2" t="inlineStr"/>
    </row>
    <row r="4003" ht="15" customHeight="1">
      <c r="A4003" t="inlineStr">
        <is>
          <t>A 53704-2023</t>
        </is>
      </c>
      <c r="B4003" t="inlineStr">
        <is>
          <t>avverkningsanmälan</t>
        </is>
      </c>
      <c r="C4003" t="inlineStr">
        <is>
          <t>Föryngringsavverkning</t>
        </is>
      </c>
      <c r="D4003" s="1" t="n">
        <v>45230</v>
      </c>
      <c r="E4003" s="1" t="n">
        <v>46323</v>
      </c>
      <c r="F4003" t="inlineStr">
        <is>
          <t>KALMAR LÄN</t>
        </is>
      </c>
      <c r="G4003" t="inlineStr">
        <is>
          <t>EMMABODA</t>
        </is>
      </c>
      <c r="I4003" t="n">
        <v>2.6</v>
      </c>
      <c r="J4003" t="n">
        <v>0</v>
      </c>
      <c r="K4003" t="n">
        <v>0</v>
      </c>
      <c r="L4003" t="n">
        <v>0</v>
      </c>
      <c r="M4003" t="n">
        <v>0</v>
      </c>
      <c r="N4003" t="n">
        <v>0</v>
      </c>
      <c r="O4003" t="n">
        <v>0</v>
      </c>
      <c r="P4003" t="n">
        <v>0</v>
      </c>
      <c r="Q4003" t="n">
        <v>0</v>
      </c>
      <c r="R4003" t="n">
        <v>0</v>
      </c>
      <c r="S4003" t="n">
        <v>0</v>
      </c>
      <c r="T4003" t="n">
        <v>0</v>
      </c>
      <c r="U4003" t="n">
        <v>0</v>
      </c>
      <c r="V4003" s="2" t="inlineStr"/>
    </row>
    <row r="4004" ht="15" customHeight="1">
      <c r="A4004" t="inlineStr">
        <is>
          <t>A 40188-2023</t>
        </is>
      </c>
      <c r="B4004" t="inlineStr">
        <is>
          <t>avverkningsanmälan</t>
        </is>
      </c>
      <c r="C4004" t="inlineStr">
        <is>
          <t>Föryngringsavverkning</t>
        </is>
      </c>
      <c r="D4004" s="1" t="n">
        <v>45169</v>
      </c>
      <c r="E4004" s="1" t="n">
        <v>46323</v>
      </c>
      <c r="F4004" t="inlineStr">
        <is>
          <t>KALMAR LÄN</t>
        </is>
      </c>
      <c r="G4004" t="inlineStr">
        <is>
          <t>MÖNSTERÅS</t>
        </is>
      </c>
      <c r="I4004" t="n">
        <v>0.5</v>
      </c>
      <c r="J4004" t="n">
        <v>0</v>
      </c>
      <c r="K4004" t="n">
        <v>0</v>
      </c>
      <c r="L4004" t="n">
        <v>0</v>
      </c>
      <c r="M4004" t="n">
        <v>0</v>
      </c>
      <c r="N4004" t="n">
        <v>0</v>
      </c>
      <c r="O4004" t="n">
        <v>0</v>
      </c>
      <c r="P4004" t="n">
        <v>0</v>
      </c>
      <c r="Q4004" t="n">
        <v>0</v>
      </c>
      <c r="R4004" t="n">
        <v>0</v>
      </c>
      <c r="S4004" t="n">
        <v>0</v>
      </c>
      <c r="T4004" t="n">
        <v>0</v>
      </c>
      <c r="U4004" t="n">
        <v>0</v>
      </c>
      <c r="V4004" s="2" t="inlineStr"/>
    </row>
    <row r="4005" ht="15" customHeight="1">
      <c r="A4005" t="inlineStr">
        <is>
          <t>A 12163-2023</t>
        </is>
      </c>
      <c r="B4005" t="inlineStr">
        <is>
          <t>avverkningsanmälan</t>
        </is>
      </c>
      <c r="C4005" t="inlineStr">
        <is>
          <t>Föryngringsavverkning</t>
        </is>
      </c>
      <c r="D4005" s="1" t="n">
        <v>44998</v>
      </c>
      <c r="E4005" s="1" t="n">
        <v>46323</v>
      </c>
      <c r="F4005" t="inlineStr">
        <is>
          <t>KALMAR LÄN</t>
        </is>
      </c>
      <c r="G4005" t="inlineStr">
        <is>
          <t>TORSÅS</t>
        </is>
      </c>
      <c r="I4005" t="n">
        <v>1.5</v>
      </c>
      <c r="J4005" t="n">
        <v>0</v>
      </c>
      <c r="K4005" t="n">
        <v>0</v>
      </c>
      <c r="L4005" t="n">
        <v>0</v>
      </c>
      <c r="M4005" t="n">
        <v>0</v>
      </c>
      <c r="N4005" t="n">
        <v>0</v>
      </c>
      <c r="O4005" t="n">
        <v>0</v>
      </c>
      <c r="P4005" t="n">
        <v>0</v>
      </c>
      <c r="Q4005" t="n">
        <v>0</v>
      </c>
      <c r="R4005" t="n">
        <v>0</v>
      </c>
      <c r="S4005" t="n">
        <v>0</v>
      </c>
      <c r="T4005" t="n">
        <v>0</v>
      </c>
      <c r="U4005" t="n">
        <v>0</v>
      </c>
      <c r="V4005" s="2" t="inlineStr"/>
    </row>
    <row r="4006" ht="15" customHeight="1">
      <c r="A4006" t="inlineStr">
        <is>
          <t>A 19522-2023</t>
        </is>
      </c>
      <c r="B4006" t="inlineStr">
        <is>
          <t>avverkningsanmälan</t>
        </is>
      </c>
      <c r="C4006" t="inlineStr">
        <is>
          <t>Föryngringsavverkning</t>
        </is>
      </c>
      <c r="D4006" s="1" t="n">
        <v>45049</v>
      </c>
      <c r="E4006" s="1" t="n">
        <v>46323</v>
      </c>
      <c r="F4006" t="inlineStr">
        <is>
          <t>KALMAR LÄN</t>
        </is>
      </c>
      <c r="G4006" t="inlineStr">
        <is>
          <t>NYBRO</t>
        </is>
      </c>
      <c r="I4006" t="n">
        <v>2</v>
      </c>
      <c r="J4006" t="n">
        <v>0</v>
      </c>
      <c r="K4006" t="n">
        <v>0</v>
      </c>
      <c r="L4006" t="n">
        <v>0</v>
      </c>
      <c r="M4006" t="n">
        <v>0</v>
      </c>
      <c r="N4006" t="n">
        <v>0</v>
      </c>
      <c r="O4006" t="n">
        <v>0</v>
      </c>
      <c r="P4006" t="n">
        <v>0</v>
      </c>
      <c r="Q4006" t="n">
        <v>0</v>
      </c>
      <c r="R4006" t="n">
        <v>0</v>
      </c>
      <c r="S4006" t="n">
        <v>0</v>
      </c>
      <c r="T4006" t="n">
        <v>0</v>
      </c>
      <c r="U4006" t="n">
        <v>0</v>
      </c>
      <c r="V4006" s="2" t="inlineStr"/>
    </row>
    <row r="4007" ht="15" customHeight="1">
      <c r="A4007" t="inlineStr">
        <is>
          <t>A 2186-2026</t>
        </is>
      </c>
      <c r="B4007" t="inlineStr">
        <is>
          <t>avverkningsanmälan</t>
        </is>
      </c>
      <c r="C4007" t="inlineStr">
        <is>
          <t>Föryngringsavverkning</t>
        </is>
      </c>
      <c r="D4007" s="1" t="n">
        <v>46036</v>
      </c>
      <c r="E4007" s="1" t="n">
        <v>46323</v>
      </c>
      <c r="F4007" t="inlineStr">
        <is>
          <t>KALMAR LÄN</t>
        </is>
      </c>
      <c r="G4007" t="inlineStr">
        <is>
          <t>EMMABODA</t>
        </is>
      </c>
      <c r="I4007" t="n">
        <v>2</v>
      </c>
      <c r="J4007" t="n">
        <v>0</v>
      </c>
      <c r="K4007" t="n">
        <v>0</v>
      </c>
      <c r="L4007" t="n">
        <v>0</v>
      </c>
      <c r="M4007" t="n">
        <v>0</v>
      </c>
      <c r="N4007" t="n">
        <v>0</v>
      </c>
      <c r="O4007" t="n">
        <v>0</v>
      </c>
      <c r="P4007" t="n">
        <v>0</v>
      </c>
      <c r="Q4007" t="n">
        <v>0</v>
      </c>
      <c r="R4007" t="n">
        <v>0</v>
      </c>
      <c r="S4007" t="n">
        <v>0</v>
      </c>
      <c r="T4007" t="n">
        <v>0</v>
      </c>
      <c r="U4007" t="n">
        <v>0</v>
      </c>
      <c r="V4007" s="2" t="inlineStr"/>
    </row>
    <row r="4008" ht="15" customHeight="1">
      <c r="A4008" t="inlineStr">
        <is>
          <t>A 45556-2023</t>
        </is>
      </c>
      <c r="B4008" t="inlineStr">
        <is>
          <t>avverkningsanmälan</t>
        </is>
      </c>
      <c r="C4008" t="inlineStr">
        <is>
          <t>Föryngringsavverkning</t>
        </is>
      </c>
      <c r="D4008" s="1" t="n">
        <v>45194</v>
      </c>
      <c r="E4008" s="1" t="n">
        <v>46323</v>
      </c>
      <c r="F4008" t="inlineStr">
        <is>
          <t>KALMAR LÄN</t>
        </is>
      </c>
      <c r="G4008" t="inlineStr">
        <is>
          <t>TORSÅS</t>
        </is>
      </c>
      <c r="I4008" t="n">
        <v>1.2</v>
      </c>
      <c r="J4008" t="n">
        <v>0</v>
      </c>
      <c r="K4008" t="n">
        <v>0</v>
      </c>
      <c r="L4008" t="n">
        <v>0</v>
      </c>
      <c r="M4008" t="n">
        <v>0</v>
      </c>
      <c r="N4008" t="n">
        <v>0</v>
      </c>
      <c r="O4008" t="n">
        <v>0</v>
      </c>
      <c r="P4008" t="n">
        <v>0</v>
      </c>
      <c r="Q4008" t="n">
        <v>0</v>
      </c>
      <c r="R4008" t="n">
        <v>0</v>
      </c>
      <c r="S4008" t="n">
        <v>0</v>
      </c>
      <c r="T4008" t="n">
        <v>0</v>
      </c>
      <c r="U4008" t="n">
        <v>0</v>
      </c>
      <c r="V4008" s="2" t="inlineStr"/>
    </row>
    <row r="4009" ht="15" customHeight="1">
      <c r="A4009" t="inlineStr">
        <is>
          <t>A 39843-2022</t>
        </is>
      </c>
      <c r="B4009" t="inlineStr">
        <is>
          <t>avverkningsanmälan</t>
        </is>
      </c>
      <c r="C4009" t="inlineStr">
        <is>
          <t>Föryngringsavverkning</t>
        </is>
      </c>
      <c r="D4009" s="1" t="n">
        <v>44819</v>
      </c>
      <c r="E4009" s="1" t="n">
        <v>46323</v>
      </c>
      <c r="F4009" t="inlineStr">
        <is>
          <t>KALMAR LÄN</t>
        </is>
      </c>
      <c r="G4009" t="inlineStr">
        <is>
          <t>KALMAR</t>
        </is>
      </c>
      <c r="I4009" t="n">
        <v>4.2</v>
      </c>
      <c r="J4009" t="n">
        <v>0</v>
      </c>
      <c r="K4009" t="n">
        <v>0</v>
      </c>
      <c r="L4009" t="n">
        <v>0</v>
      </c>
      <c r="M4009" t="n">
        <v>0</v>
      </c>
      <c r="N4009" t="n">
        <v>0</v>
      </c>
      <c r="O4009" t="n">
        <v>0</v>
      </c>
      <c r="P4009" t="n">
        <v>0</v>
      </c>
      <c r="Q4009" t="n">
        <v>0</v>
      </c>
      <c r="R4009" t="n">
        <v>0</v>
      </c>
      <c r="S4009" t="n">
        <v>0</v>
      </c>
      <c r="T4009" t="n">
        <v>0</v>
      </c>
      <c r="U4009" t="n">
        <v>0</v>
      </c>
      <c r="V4009" s="2" t="inlineStr"/>
    </row>
    <row r="4010" ht="15" customHeight="1">
      <c r="A4010" t="inlineStr">
        <is>
          <t>A 29988-2026</t>
        </is>
      </c>
      <c r="B4010" t="inlineStr">
        <is>
          <t>avverkningsanmälan</t>
        </is>
      </c>
      <c r="C4010" t="inlineStr">
        <is>
          <t>Föryngringsavverkning</t>
        </is>
      </c>
      <c r="D4010" s="1" t="n">
        <v>46205</v>
      </c>
      <c r="E4010" s="1" t="n">
        <v>46323</v>
      </c>
      <c r="F4010" t="inlineStr">
        <is>
          <t>KALMAR LÄN</t>
        </is>
      </c>
      <c r="G4010" t="inlineStr">
        <is>
          <t>VÄSTERVIK</t>
        </is>
      </c>
      <c r="H4010" t="inlineStr">
        <is>
          <t>Sveaskog</t>
        </is>
      </c>
      <c r="I4010" t="n">
        <v>4.1</v>
      </c>
      <c r="J4010" t="n">
        <v>0</v>
      </c>
      <c r="K4010" t="n">
        <v>0</v>
      </c>
      <c r="L4010" t="n">
        <v>0</v>
      </c>
      <c r="M4010" t="n">
        <v>0</v>
      </c>
      <c r="N4010" t="n">
        <v>0</v>
      </c>
      <c r="O4010" t="n">
        <v>0</v>
      </c>
      <c r="P4010" t="n">
        <v>0</v>
      </c>
      <c r="Q4010" t="n">
        <v>0</v>
      </c>
      <c r="R4010" t="n">
        <v>0</v>
      </c>
      <c r="S4010" t="n">
        <v>0</v>
      </c>
      <c r="T4010" t="n">
        <v>0</v>
      </c>
      <c r="U4010" t="n">
        <v>0</v>
      </c>
      <c r="V4010" s="2" t="inlineStr"/>
    </row>
    <row r="4011" ht="15" customHeight="1">
      <c r="A4011" t="inlineStr">
        <is>
          <t>A 19551-2023</t>
        </is>
      </c>
      <c r="B4011" t="inlineStr">
        <is>
          <t>avverkningsanmälan</t>
        </is>
      </c>
      <c r="C4011" t="inlineStr">
        <is>
          <t>Föryngringsavverkning</t>
        </is>
      </c>
      <c r="D4011" s="1" t="n">
        <v>45049</v>
      </c>
      <c r="E4011" s="1" t="n">
        <v>46323</v>
      </c>
      <c r="F4011" t="inlineStr">
        <is>
          <t>KALMAR LÄN</t>
        </is>
      </c>
      <c r="G4011" t="inlineStr">
        <is>
          <t>VÄSTERVIK</t>
        </is>
      </c>
      <c r="I4011" t="n">
        <v>3.2</v>
      </c>
      <c r="J4011" t="n">
        <v>0</v>
      </c>
      <c r="K4011" t="n">
        <v>0</v>
      </c>
      <c r="L4011" t="n">
        <v>0</v>
      </c>
      <c r="M4011" t="n">
        <v>0</v>
      </c>
      <c r="N4011" t="n">
        <v>0</v>
      </c>
      <c r="O4011" t="n">
        <v>0</v>
      </c>
      <c r="P4011" t="n">
        <v>0</v>
      </c>
      <c r="Q4011" t="n">
        <v>0</v>
      </c>
      <c r="R4011" t="n">
        <v>0</v>
      </c>
      <c r="S4011" t="n">
        <v>0</v>
      </c>
      <c r="T4011" t="n">
        <v>0</v>
      </c>
      <c r="U4011" t="n">
        <v>0</v>
      </c>
      <c r="V4011" s="2" t="inlineStr"/>
    </row>
    <row r="4012" ht="15" customHeight="1">
      <c r="A4012" t="inlineStr">
        <is>
          <t>A 19587-2023</t>
        </is>
      </c>
      <c r="B4012" t="inlineStr">
        <is>
          <t>avverkningsanmälan</t>
        </is>
      </c>
      <c r="C4012" t="inlineStr">
        <is>
          <t>Föryngringsavverkning</t>
        </is>
      </c>
      <c r="D4012" s="1" t="n">
        <v>45050</v>
      </c>
      <c r="E4012" s="1" t="n">
        <v>46323</v>
      </c>
      <c r="F4012" t="inlineStr">
        <is>
          <t>KALMAR LÄN</t>
        </is>
      </c>
      <c r="G4012" t="inlineStr">
        <is>
          <t>TORSÅS</t>
        </is>
      </c>
      <c r="I4012" t="n">
        <v>1.9</v>
      </c>
      <c r="J4012" t="n">
        <v>0</v>
      </c>
      <c r="K4012" t="n">
        <v>0</v>
      </c>
      <c r="L4012" t="n">
        <v>0</v>
      </c>
      <c r="M4012" t="n">
        <v>0</v>
      </c>
      <c r="N4012" t="n">
        <v>0</v>
      </c>
      <c r="O4012" t="n">
        <v>0</v>
      </c>
      <c r="P4012" t="n">
        <v>0</v>
      </c>
      <c r="Q4012" t="n">
        <v>0</v>
      </c>
      <c r="R4012" t="n">
        <v>0</v>
      </c>
      <c r="S4012" t="n">
        <v>0</v>
      </c>
      <c r="T4012" t="n">
        <v>0</v>
      </c>
      <c r="U4012" t="n">
        <v>0</v>
      </c>
      <c r="V4012" s="2" t="inlineStr"/>
    </row>
    <row r="4013" ht="15" customHeight="1">
      <c r="A4013" t="inlineStr">
        <is>
          <t>A 1909-2026</t>
        </is>
      </c>
      <c r="B4013" t="inlineStr">
        <is>
          <t>avverkningsanmälan</t>
        </is>
      </c>
      <c r="C4013" t="inlineStr">
        <is>
          <t>Föryngringsavverkning</t>
        </is>
      </c>
      <c r="D4013" s="1" t="n">
        <v>46035</v>
      </c>
      <c r="E4013" s="1" t="n">
        <v>46323</v>
      </c>
      <c r="F4013" t="inlineStr">
        <is>
          <t>KALMAR LÄN</t>
        </is>
      </c>
      <c r="G4013" t="inlineStr">
        <is>
          <t>TORSÅS</t>
        </is>
      </c>
      <c r="I4013" t="n">
        <v>0.6</v>
      </c>
      <c r="J4013" t="n">
        <v>0</v>
      </c>
      <c r="K4013" t="n">
        <v>0</v>
      </c>
      <c r="L4013" t="n">
        <v>0</v>
      </c>
      <c r="M4013" t="n">
        <v>0</v>
      </c>
      <c r="N4013" t="n">
        <v>0</v>
      </c>
      <c r="O4013" t="n">
        <v>0</v>
      </c>
      <c r="P4013" t="n">
        <v>0</v>
      </c>
      <c r="Q4013" t="n">
        <v>0</v>
      </c>
      <c r="R4013" t="n">
        <v>0</v>
      </c>
      <c r="S4013" t="n">
        <v>0</v>
      </c>
      <c r="T4013" t="n">
        <v>0</v>
      </c>
      <c r="U4013" t="n">
        <v>0</v>
      </c>
      <c r="V4013" s="2" t="inlineStr"/>
    </row>
    <row r="4014" ht="15" customHeight="1">
      <c r="A4014" t="inlineStr">
        <is>
          <t>A 37096-2022</t>
        </is>
      </c>
      <c r="B4014" t="inlineStr">
        <is>
          <t>avverkningsanmälan</t>
        </is>
      </c>
      <c r="C4014" t="inlineStr">
        <is>
          <t>Föryngringsavverkning</t>
        </is>
      </c>
      <c r="D4014" s="1" t="n">
        <v>44806</v>
      </c>
      <c r="E4014" s="1" t="n">
        <v>46323</v>
      </c>
      <c r="F4014" t="inlineStr">
        <is>
          <t>KALMAR LÄN</t>
        </is>
      </c>
      <c r="G4014" t="inlineStr">
        <is>
          <t>MÖNSTERÅS</t>
        </is>
      </c>
      <c r="I4014" t="n">
        <v>1.7</v>
      </c>
      <c r="J4014" t="n">
        <v>0</v>
      </c>
      <c r="K4014" t="n">
        <v>0</v>
      </c>
      <c r="L4014" t="n">
        <v>0</v>
      </c>
      <c r="M4014" t="n">
        <v>0</v>
      </c>
      <c r="N4014" t="n">
        <v>0</v>
      </c>
      <c r="O4014" t="n">
        <v>0</v>
      </c>
      <c r="P4014" t="n">
        <v>0</v>
      </c>
      <c r="Q4014" t="n">
        <v>0</v>
      </c>
      <c r="R4014" t="n">
        <v>0</v>
      </c>
      <c r="S4014" t="n">
        <v>0</v>
      </c>
      <c r="T4014" t="n">
        <v>0</v>
      </c>
      <c r="U4014" t="n">
        <v>0</v>
      </c>
      <c r="V4014" s="2" t="inlineStr"/>
    </row>
    <row r="4015" ht="15" customHeight="1">
      <c r="A4015" t="inlineStr">
        <is>
          <t>A 10289-2022</t>
        </is>
      </c>
      <c r="B4015" t="inlineStr">
        <is>
          <t>avverkningsanmälan</t>
        </is>
      </c>
      <c r="C4015" t="inlineStr">
        <is>
          <t>Föryngringsavverkning</t>
        </is>
      </c>
      <c r="D4015" s="1" t="n">
        <v>44622</v>
      </c>
      <c r="E4015" s="1" t="n">
        <v>46323</v>
      </c>
      <c r="F4015" t="inlineStr">
        <is>
          <t>KALMAR LÄN</t>
        </is>
      </c>
      <c r="G4015" t="inlineStr">
        <is>
          <t>NYBRO</t>
        </is>
      </c>
      <c r="I4015" t="n">
        <v>2.5</v>
      </c>
      <c r="J4015" t="n">
        <v>0</v>
      </c>
      <c r="K4015" t="n">
        <v>0</v>
      </c>
      <c r="L4015" t="n">
        <v>0</v>
      </c>
      <c r="M4015" t="n">
        <v>0</v>
      </c>
      <c r="N4015" t="n">
        <v>0</v>
      </c>
      <c r="O4015" t="n">
        <v>0</v>
      </c>
      <c r="P4015" t="n">
        <v>0</v>
      </c>
      <c r="Q4015" t="n">
        <v>0</v>
      </c>
      <c r="R4015" t="n">
        <v>0</v>
      </c>
      <c r="S4015" t="n">
        <v>0</v>
      </c>
      <c r="T4015" t="n">
        <v>0</v>
      </c>
      <c r="U4015" t="n">
        <v>0</v>
      </c>
      <c r="V4015" s="2" t="inlineStr"/>
    </row>
    <row r="4016" ht="15" customHeight="1">
      <c r="A4016" t="inlineStr">
        <is>
          <t>A 29570-2026</t>
        </is>
      </c>
      <c r="B4016" t="inlineStr">
        <is>
          <t>avverkningsanmälan</t>
        </is>
      </c>
      <c r="C4016" t="inlineStr">
        <is>
          <t>Föryngringsavverkning</t>
        </is>
      </c>
      <c r="D4016" s="1" t="n">
        <v>46204</v>
      </c>
      <c r="E4016" s="1" t="n">
        <v>46323</v>
      </c>
      <c r="F4016" t="inlineStr">
        <is>
          <t>KALMAR LÄN</t>
        </is>
      </c>
      <c r="G4016" t="inlineStr">
        <is>
          <t>MÖNSTERÅS</t>
        </is>
      </c>
      <c r="I4016" t="n">
        <v>3.6</v>
      </c>
      <c r="J4016" t="n">
        <v>0</v>
      </c>
      <c r="K4016" t="n">
        <v>0</v>
      </c>
      <c r="L4016" t="n">
        <v>0</v>
      </c>
      <c r="M4016" t="n">
        <v>0</v>
      </c>
      <c r="N4016" t="n">
        <v>0</v>
      </c>
      <c r="O4016" t="n">
        <v>0</v>
      </c>
      <c r="P4016" t="n">
        <v>0</v>
      </c>
      <c r="Q4016" t="n">
        <v>0</v>
      </c>
      <c r="R4016" t="n">
        <v>0</v>
      </c>
      <c r="S4016" t="n">
        <v>0</v>
      </c>
      <c r="T4016" t="n">
        <v>0</v>
      </c>
      <c r="U4016" t="n">
        <v>0</v>
      </c>
      <c r="V4016" s="2" t="inlineStr"/>
    </row>
    <row r="4017" ht="15" customHeight="1">
      <c r="A4017" t="inlineStr">
        <is>
          <t>A 13073-2024</t>
        </is>
      </c>
      <c r="B4017" t="inlineStr">
        <is>
          <t>avverkningsanmälan</t>
        </is>
      </c>
      <c r="C4017" t="inlineStr">
        <is>
          <t>Föryngringsavverkning</t>
        </is>
      </c>
      <c r="D4017" s="1" t="n">
        <v>45385</v>
      </c>
      <c r="E4017" s="1" t="n">
        <v>46323</v>
      </c>
      <c r="F4017" t="inlineStr">
        <is>
          <t>KALMAR LÄN</t>
        </is>
      </c>
      <c r="G4017" t="inlineStr">
        <is>
          <t>OSKARSHAMN</t>
        </is>
      </c>
      <c r="I4017" t="n">
        <v>1.9</v>
      </c>
      <c r="J4017" t="n">
        <v>0</v>
      </c>
      <c r="K4017" t="n">
        <v>0</v>
      </c>
      <c r="L4017" t="n">
        <v>0</v>
      </c>
      <c r="M4017" t="n">
        <v>0</v>
      </c>
      <c r="N4017" t="n">
        <v>0</v>
      </c>
      <c r="O4017" t="n">
        <v>0</v>
      </c>
      <c r="P4017" t="n">
        <v>0</v>
      </c>
      <c r="Q4017" t="n">
        <v>0</v>
      </c>
      <c r="R4017" t="n">
        <v>0</v>
      </c>
      <c r="S4017" t="n">
        <v>0</v>
      </c>
      <c r="T4017" t="n">
        <v>0</v>
      </c>
      <c r="U4017" t="n">
        <v>0</v>
      </c>
      <c r="V4017" s="2" t="inlineStr"/>
    </row>
    <row r="4018" ht="15" customHeight="1">
      <c r="A4018" t="inlineStr">
        <is>
          <t>A 23776-2024</t>
        </is>
      </c>
      <c r="B4018" t="inlineStr">
        <is>
          <t>avverkningsanmälan</t>
        </is>
      </c>
      <c r="C4018" t="inlineStr">
        <is>
          <t>Föryngringsavverkning</t>
        </is>
      </c>
      <c r="D4018" s="1" t="n">
        <v>45455</v>
      </c>
      <c r="E4018" s="1" t="n">
        <v>46323</v>
      </c>
      <c r="F4018" t="inlineStr">
        <is>
          <t>KALMAR LÄN</t>
        </is>
      </c>
      <c r="G4018" t="inlineStr">
        <is>
          <t>EMMABODA</t>
        </is>
      </c>
      <c r="I4018" t="n">
        <v>2.2</v>
      </c>
      <c r="J4018" t="n">
        <v>0</v>
      </c>
      <c r="K4018" t="n">
        <v>0</v>
      </c>
      <c r="L4018" t="n">
        <v>0</v>
      </c>
      <c r="M4018" t="n">
        <v>0</v>
      </c>
      <c r="N4018" t="n">
        <v>0</v>
      </c>
      <c r="O4018" t="n">
        <v>0</v>
      </c>
      <c r="P4018" t="n">
        <v>0</v>
      </c>
      <c r="Q4018" t="n">
        <v>0</v>
      </c>
      <c r="R4018" t="n">
        <v>0</v>
      </c>
      <c r="S4018" t="n">
        <v>0</v>
      </c>
      <c r="T4018" t="n">
        <v>0</v>
      </c>
      <c r="U4018" t="n">
        <v>0</v>
      </c>
      <c r="V4018" s="2" t="inlineStr"/>
    </row>
    <row r="4019" ht="15" customHeight="1">
      <c r="A4019" t="inlineStr">
        <is>
          <t>A 1904-2026</t>
        </is>
      </c>
      <c r="B4019" t="inlineStr">
        <is>
          <t>avverkningsanmälan</t>
        </is>
      </c>
      <c r="C4019" t="inlineStr">
        <is>
          <t>Föryngringsavverkning</t>
        </is>
      </c>
      <c r="D4019" s="1" t="n">
        <v>46035</v>
      </c>
      <c r="E4019" s="1" t="n">
        <v>46323</v>
      </c>
      <c r="F4019" t="inlineStr">
        <is>
          <t>KALMAR LÄN</t>
        </is>
      </c>
      <c r="G4019" t="inlineStr">
        <is>
          <t>TORSÅS</t>
        </is>
      </c>
      <c r="I4019" t="n">
        <v>1.4</v>
      </c>
      <c r="J4019" t="n">
        <v>0</v>
      </c>
      <c r="K4019" t="n">
        <v>0</v>
      </c>
      <c r="L4019" t="n">
        <v>0</v>
      </c>
      <c r="M4019" t="n">
        <v>0</v>
      </c>
      <c r="N4019" t="n">
        <v>0</v>
      </c>
      <c r="O4019" t="n">
        <v>0</v>
      </c>
      <c r="P4019" t="n">
        <v>0</v>
      </c>
      <c r="Q4019" t="n">
        <v>0</v>
      </c>
      <c r="R4019" t="n">
        <v>0</v>
      </c>
      <c r="S4019" t="n">
        <v>0</v>
      </c>
      <c r="T4019" t="n">
        <v>0</v>
      </c>
      <c r="U4019" t="n">
        <v>0</v>
      </c>
      <c r="V4019" s="2" t="inlineStr"/>
    </row>
    <row r="4020" ht="15" customHeight="1">
      <c r="A4020" t="inlineStr">
        <is>
          <t>A 20182-2026</t>
        </is>
      </c>
      <c r="B4020" t="inlineStr">
        <is>
          <t>avverkningsanmälan</t>
        </is>
      </c>
      <c r="C4020" t="inlineStr">
        <is>
          <t>Föryngringsavverkning</t>
        </is>
      </c>
      <c r="D4020" s="1" t="n">
        <v>46139</v>
      </c>
      <c r="E4020" s="1" t="n">
        <v>46323</v>
      </c>
      <c r="F4020" t="inlineStr">
        <is>
          <t>KALMAR LÄN</t>
        </is>
      </c>
      <c r="G4020" t="inlineStr">
        <is>
          <t>KALMAR</t>
        </is>
      </c>
      <c r="I4020" t="n">
        <v>4.3</v>
      </c>
      <c r="J4020" t="n">
        <v>0</v>
      </c>
      <c r="K4020" t="n">
        <v>0</v>
      </c>
      <c r="L4020" t="n">
        <v>0</v>
      </c>
      <c r="M4020" t="n">
        <v>0</v>
      </c>
      <c r="N4020" t="n">
        <v>0</v>
      </c>
      <c r="O4020" t="n">
        <v>0</v>
      </c>
      <c r="P4020" t="n">
        <v>0</v>
      </c>
      <c r="Q4020" t="n">
        <v>0</v>
      </c>
      <c r="R4020" t="n">
        <v>0</v>
      </c>
      <c r="S4020" t="n">
        <v>0</v>
      </c>
      <c r="T4020" t="n">
        <v>0</v>
      </c>
      <c r="U4020" t="n">
        <v>0</v>
      </c>
      <c r="V4020" s="2" t="inlineStr"/>
    </row>
    <row r="4021" ht="15" customHeight="1">
      <c r="A4021" t="inlineStr">
        <is>
          <t>A 22303-2023</t>
        </is>
      </c>
      <c r="B4021" t="inlineStr">
        <is>
          <t>avverkningsanmälan</t>
        </is>
      </c>
      <c r="C4021" t="inlineStr">
        <is>
          <t>Avverkning för annat ändamål</t>
        </is>
      </c>
      <c r="D4021" s="1" t="n">
        <v>45070</v>
      </c>
      <c r="E4021" s="1" t="n">
        <v>46323</v>
      </c>
      <c r="F4021" t="inlineStr">
        <is>
          <t>KALMAR LÄN</t>
        </is>
      </c>
      <c r="G4021" t="inlineStr">
        <is>
          <t>KALMAR</t>
        </is>
      </c>
      <c r="H4021" t="inlineStr">
        <is>
          <t>Sveaskog</t>
        </is>
      </c>
      <c r="I4021" t="n">
        <v>0.1</v>
      </c>
      <c r="J4021" t="n">
        <v>0</v>
      </c>
      <c r="K4021" t="n">
        <v>0</v>
      </c>
      <c r="L4021" t="n">
        <v>0</v>
      </c>
      <c r="M4021" t="n">
        <v>0</v>
      </c>
      <c r="N4021" t="n">
        <v>0</v>
      </c>
      <c r="O4021" t="n">
        <v>0</v>
      </c>
      <c r="P4021" t="n">
        <v>0</v>
      </c>
      <c r="Q4021" t="n">
        <v>0</v>
      </c>
      <c r="R4021" t="n">
        <v>0</v>
      </c>
      <c r="S4021" t="n">
        <v>0</v>
      </c>
      <c r="T4021" t="n">
        <v>0</v>
      </c>
      <c r="U4021" t="n">
        <v>0</v>
      </c>
      <c r="V4021" s="2" t="inlineStr"/>
    </row>
    <row r="4022" ht="15" customHeight="1">
      <c r="A4022" t="inlineStr">
        <is>
          <t>A 2527-2026</t>
        </is>
      </c>
      <c r="B4022" t="inlineStr">
        <is>
          <t>avverkningsanmälan</t>
        </is>
      </c>
      <c r="C4022" t="inlineStr">
        <is>
          <t>Föryngringsavverkning</t>
        </is>
      </c>
      <c r="D4022" s="1" t="n">
        <v>46037</v>
      </c>
      <c r="E4022" s="1" t="n">
        <v>46323</v>
      </c>
      <c r="F4022" t="inlineStr">
        <is>
          <t>KALMAR LÄN</t>
        </is>
      </c>
      <c r="G4022" t="inlineStr">
        <is>
          <t>HÖGSBY</t>
        </is>
      </c>
      <c r="H4022" t="inlineStr">
        <is>
          <t>Sveaskog</t>
        </is>
      </c>
      <c r="I4022" t="n">
        <v>1.6</v>
      </c>
      <c r="J4022" t="n">
        <v>0</v>
      </c>
      <c r="K4022" t="n">
        <v>0</v>
      </c>
      <c r="L4022" t="n">
        <v>0</v>
      </c>
      <c r="M4022" t="n">
        <v>0</v>
      </c>
      <c r="N4022" t="n">
        <v>0</v>
      </c>
      <c r="O4022" t="n">
        <v>0</v>
      </c>
      <c r="P4022" t="n">
        <v>0</v>
      </c>
      <c r="Q4022" t="n">
        <v>0</v>
      </c>
      <c r="R4022" t="n">
        <v>0</v>
      </c>
      <c r="S4022" t="n">
        <v>0</v>
      </c>
      <c r="T4022" t="n">
        <v>0</v>
      </c>
      <c r="U4022" t="n">
        <v>0</v>
      </c>
      <c r="V4022" s="2" t="inlineStr"/>
    </row>
    <row r="4023" ht="15" customHeight="1">
      <c r="A4023" t="inlineStr">
        <is>
          <t>A 5145-2025</t>
        </is>
      </c>
      <c r="B4023" t="inlineStr">
        <is>
          <t>avverkningsanmälan</t>
        </is>
      </c>
      <c r="C4023" t="inlineStr">
        <is>
          <t>Föryngringsavverkning</t>
        </is>
      </c>
      <c r="D4023" s="1" t="n">
        <v>45691</v>
      </c>
      <c r="E4023" s="1" t="n">
        <v>46323</v>
      </c>
      <c r="F4023" t="inlineStr">
        <is>
          <t>KALMAR LÄN</t>
        </is>
      </c>
      <c r="G4023" t="inlineStr">
        <is>
          <t>OSKARSHAMN</t>
        </is>
      </c>
      <c r="I4023" t="n">
        <v>0.5</v>
      </c>
      <c r="J4023" t="n">
        <v>0</v>
      </c>
      <c r="K4023" t="n">
        <v>0</v>
      </c>
      <c r="L4023" t="n">
        <v>0</v>
      </c>
      <c r="M4023" t="n">
        <v>0</v>
      </c>
      <c r="N4023" t="n">
        <v>0</v>
      </c>
      <c r="O4023" t="n">
        <v>0</v>
      </c>
      <c r="P4023" t="n">
        <v>0</v>
      </c>
      <c r="Q4023" t="n">
        <v>0</v>
      </c>
      <c r="R4023" t="n">
        <v>0</v>
      </c>
      <c r="S4023" t="n">
        <v>0</v>
      </c>
      <c r="T4023" t="n">
        <v>0</v>
      </c>
      <c r="U4023" t="n">
        <v>0</v>
      </c>
      <c r="V4023" s="2" t="inlineStr"/>
    </row>
    <row r="4024" ht="15" customHeight="1">
      <c r="A4024" t="inlineStr">
        <is>
          <t>A 43038-2023</t>
        </is>
      </c>
      <c r="B4024" t="inlineStr">
        <is>
          <t>avverkningsanmälan</t>
        </is>
      </c>
      <c r="C4024" t="inlineStr">
        <is>
          <t>Föryngringsavverkning</t>
        </is>
      </c>
      <c r="D4024" s="1" t="n">
        <v>45182</v>
      </c>
      <c r="E4024" s="1" t="n">
        <v>46323</v>
      </c>
      <c r="F4024" t="inlineStr">
        <is>
          <t>KALMAR LÄN</t>
        </is>
      </c>
      <c r="G4024" t="inlineStr">
        <is>
          <t>KALMAR</t>
        </is>
      </c>
      <c r="I4024" t="n">
        <v>1.9</v>
      </c>
      <c r="J4024" t="n">
        <v>0</v>
      </c>
      <c r="K4024" t="n">
        <v>0</v>
      </c>
      <c r="L4024" t="n">
        <v>0</v>
      </c>
      <c r="M4024" t="n">
        <v>0</v>
      </c>
      <c r="N4024" t="n">
        <v>0</v>
      </c>
      <c r="O4024" t="n">
        <v>0</v>
      </c>
      <c r="P4024" t="n">
        <v>0</v>
      </c>
      <c r="Q4024" t="n">
        <v>0</v>
      </c>
      <c r="R4024" t="n">
        <v>0</v>
      </c>
      <c r="S4024" t="n">
        <v>0</v>
      </c>
      <c r="T4024" t="n">
        <v>0</v>
      </c>
      <c r="U4024" t="n">
        <v>0</v>
      </c>
      <c r="V4024" s="2" t="inlineStr"/>
    </row>
    <row r="4025" ht="15" customHeight="1">
      <c r="A4025" t="inlineStr">
        <is>
          <t>A 30166-2026</t>
        </is>
      </c>
      <c r="B4025" t="inlineStr">
        <is>
          <t>avverkningsanmälan</t>
        </is>
      </c>
      <c r="C4025" t="inlineStr">
        <is>
          <t>Föryngringsavverkning</t>
        </is>
      </c>
      <c r="D4025" s="1" t="n">
        <v>46206</v>
      </c>
      <c r="E4025" s="1" t="n">
        <v>46323</v>
      </c>
      <c r="F4025" t="inlineStr">
        <is>
          <t>KALMAR LÄN</t>
        </is>
      </c>
      <c r="G4025" t="inlineStr">
        <is>
          <t>HÖGSBY</t>
        </is>
      </c>
      <c r="H4025" t="inlineStr">
        <is>
          <t>Sveaskog</t>
        </is>
      </c>
      <c r="I4025" t="n">
        <v>12.7</v>
      </c>
      <c r="J4025" t="n">
        <v>0</v>
      </c>
      <c r="K4025" t="n">
        <v>0</v>
      </c>
      <c r="L4025" t="n">
        <v>0</v>
      </c>
      <c r="M4025" t="n">
        <v>0</v>
      </c>
      <c r="N4025" t="n">
        <v>0</v>
      </c>
      <c r="O4025" t="n">
        <v>0</v>
      </c>
      <c r="P4025" t="n">
        <v>0</v>
      </c>
      <c r="Q4025" t="n">
        <v>0</v>
      </c>
      <c r="R4025" t="n">
        <v>0</v>
      </c>
      <c r="S4025" t="n">
        <v>0</v>
      </c>
      <c r="T4025" t="n">
        <v>0</v>
      </c>
      <c r="U4025" t="n">
        <v>0</v>
      </c>
      <c r="V4025" s="2" t="inlineStr"/>
    </row>
    <row r="4026" ht="15" customHeight="1">
      <c r="A4026" t="inlineStr">
        <is>
          <t>A 28390-2024</t>
        </is>
      </c>
      <c r="B4026" t="inlineStr">
        <is>
          <t>avverkningsanmälan</t>
        </is>
      </c>
      <c r="C4026" t="inlineStr">
        <is>
          <t>Föryngringsavverkning</t>
        </is>
      </c>
      <c r="D4026" s="1" t="n">
        <v>45477</v>
      </c>
      <c r="E4026" s="1" t="n">
        <v>46323</v>
      </c>
      <c r="F4026" t="inlineStr">
        <is>
          <t>KALMAR LÄN</t>
        </is>
      </c>
      <c r="G4026" t="inlineStr">
        <is>
          <t>VÄSTERVIK</t>
        </is>
      </c>
      <c r="H4026" t="inlineStr">
        <is>
          <t>Holmen skog AB</t>
        </is>
      </c>
      <c r="I4026" t="n">
        <v>1.4</v>
      </c>
      <c r="J4026" t="n">
        <v>0</v>
      </c>
      <c r="K4026" t="n">
        <v>0</v>
      </c>
      <c r="L4026" t="n">
        <v>0</v>
      </c>
      <c r="M4026" t="n">
        <v>0</v>
      </c>
      <c r="N4026" t="n">
        <v>0</v>
      </c>
      <c r="O4026" t="n">
        <v>0</v>
      </c>
      <c r="P4026" t="n">
        <v>0</v>
      </c>
      <c r="Q4026" t="n">
        <v>0</v>
      </c>
      <c r="R4026" t="n">
        <v>0</v>
      </c>
      <c r="S4026" t="n">
        <v>0</v>
      </c>
      <c r="T4026" t="n">
        <v>0</v>
      </c>
      <c r="U4026" t="n">
        <v>0</v>
      </c>
      <c r="V4026" s="2" t="inlineStr"/>
    </row>
    <row r="4027" ht="15" customHeight="1">
      <c r="A4027" t="inlineStr">
        <is>
          <t>A 59275-2023</t>
        </is>
      </c>
      <c r="B4027" t="inlineStr">
        <is>
          <t>avverkningsanmälan</t>
        </is>
      </c>
      <c r="C4027" t="inlineStr">
        <is>
          <t>Föryngringsavverkning</t>
        </is>
      </c>
      <c r="D4027" s="1" t="n">
        <v>45253</v>
      </c>
      <c r="E4027" s="1" t="n">
        <v>46323</v>
      </c>
      <c r="F4027" t="inlineStr">
        <is>
          <t>KALMAR LÄN</t>
        </is>
      </c>
      <c r="G4027" t="inlineStr">
        <is>
          <t>TORSÅS</t>
        </is>
      </c>
      <c r="I4027" t="n">
        <v>12</v>
      </c>
      <c r="J4027" t="n">
        <v>0</v>
      </c>
      <c r="K4027" t="n">
        <v>0</v>
      </c>
      <c r="L4027" t="n">
        <v>0</v>
      </c>
      <c r="M4027" t="n">
        <v>0</v>
      </c>
      <c r="N4027" t="n">
        <v>0</v>
      </c>
      <c r="O4027" t="n">
        <v>0</v>
      </c>
      <c r="P4027" t="n">
        <v>0</v>
      </c>
      <c r="Q4027" t="n">
        <v>0</v>
      </c>
      <c r="R4027" t="n">
        <v>0</v>
      </c>
      <c r="S4027" t="n">
        <v>0</v>
      </c>
      <c r="T4027" t="n">
        <v>0</v>
      </c>
      <c r="U4027" t="n">
        <v>0</v>
      </c>
      <c r="V4027" s="2" t="inlineStr"/>
    </row>
    <row r="4028" ht="15" customHeight="1">
      <c r="A4028" t="inlineStr">
        <is>
          <t>A 17054-2025</t>
        </is>
      </c>
      <c r="B4028" t="inlineStr">
        <is>
          <t>avverkningsanmälan</t>
        </is>
      </c>
      <c r="C4028" t="inlineStr">
        <is>
          <t>Föryngringsavverkning</t>
        </is>
      </c>
      <c r="D4028" s="1" t="n">
        <v>45755</v>
      </c>
      <c r="E4028" s="1" t="n">
        <v>46323</v>
      </c>
      <c r="F4028" t="inlineStr">
        <is>
          <t>KALMAR LÄN</t>
        </is>
      </c>
      <c r="G4028" t="inlineStr">
        <is>
          <t>VÄSTERVIK</t>
        </is>
      </c>
      <c r="I4028" t="n">
        <v>0.4</v>
      </c>
      <c r="J4028" t="n">
        <v>0</v>
      </c>
      <c r="K4028" t="n">
        <v>0</v>
      </c>
      <c r="L4028" t="n">
        <v>0</v>
      </c>
      <c r="M4028" t="n">
        <v>0</v>
      </c>
      <c r="N4028" t="n">
        <v>0</v>
      </c>
      <c r="O4028" t="n">
        <v>0</v>
      </c>
      <c r="P4028" t="n">
        <v>0</v>
      </c>
      <c r="Q4028" t="n">
        <v>0</v>
      </c>
      <c r="R4028" t="n">
        <v>0</v>
      </c>
      <c r="S4028" t="n">
        <v>0</v>
      </c>
      <c r="T4028" t="n">
        <v>0</v>
      </c>
      <c r="U4028" t="n">
        <v>0</v>
      </c>
      <c r="V4028" s="2" t="inlineStr"/>
    </row>
    <row r="4029" ht="15" customHeight="1">
      <c r="A4029" t="inlineStr">
        <is>
          <t>A 52598-2023</t>
        </is>
      </c>
      <c r="B4029" t="inlineStr">
        <is>
          <t>avverkningsanmälan</t>
        </is>
      </c>
      <c r="C4029" t="inlineStr">
        <is>
          <t>Föryngringsavverkning</t>
        </is>
      </c>
      <c r="D4029" s="1" t="n">
        <v>45225</v>
      </c>
      <c r="E4029" s="1" t="n">
        <v>46323</v>
      </c>
      <c r="F4029" t="inlineStr">
        <is>
          <t>KALMAR LÄN</t>
        </is>
      </c>
      <c r="G4029" t="inlineStr">
        <is>
          <t>TORSÅS</t>
        </is>
      </c>
      <c r="I4029" t="n">
        <v>0.8</v>
      </c>
      <c r="J4029" t="n">
        <v>0</v>
      </c>
      <c r="K4029" t="n">
        <v>0</v>
      </c>
      <c r="L4029" t="n">
        <v>0</v>
      </c>
      <c r="M4029" t="n">
        <v>0</v>
      </c>
      <c r="N4029" t="n">
        <v>0</v>
      </c>
      <c r="O4029" t="n">
        <v>0</v>
      </c>
      <c r="P4029" t="n">
        <v>0</v>
      </c>
      <c r="Q4029" t="n">
        <v>0</v>
      </c>
      <c r="R4029" t="n">
        <v>0</v>
      </c>
      <c r="S4029" t="n">
        <v>0</v>
      </c>
      <c r="T4029" t="n">
        <v>0</v>
      </c>
      <c r="U4029" t="n">
        <v>0</v>
      </c>
      <c r="V4029" s="2" t="inlineStr"/>
    </row>
    <row r="4030" ht="15" customHeight="1">
      <c r="A4030" t="inlineStr">
        <is>
          <t>A 54230-2023</t>
        </is>
      </c>
      <c r="B4030" t="inlineStr">
        <is>
          <t>avverkningsanmälan</t>
        </is>
      </c>
      <c r="C4030" t="inlineStr">
        <is>
          <t>Föryngringsavverkning</t>
        </is>
      </c>
      <c r="D4030" s="1" t="n">
        <v>45232</v>
      </c>
      <c r="E4030" s="1" t="n">
        <v>46323</v>
      </c>
      <c r="F4030" t="inlineStr">
        <is>
          <t>KALMAR LÄN</t>
        </is>
      </c>
      <c r="G4030" t="inlineStr">
        <is>
          <t>EMMABODA</t>
        </is>
      </c>
      <c r="I4030" t="n">
        <v>4.3</v>
      </c>
      <c r="J4030" t="n">
        <v>0</v>
      </c>
      <c r="K4030" t="n">
        <v>0</v>
      </c>
      <c r="L4030" t="n">
        <v>0</v>
      </c>
      <c r="M4030" t="n">
        <v>0</v>
      </c>
      <c r="N4030" t="n">
        <v>0</v>
      </c>
      <c r="O4030" t="n">
        <v>0</v>
      </c>
      <c r="P4030" t="n">
        <v>0</v>
      </c>
      <c r="Q4030" t="n">
        <v>0</v>
      </c>
      <c r="R4030" t="n">
        <v>0</v>
      </c>
      <c r="S4030" t="n">
        <v>0</v>
      </c>
      <c r="T4030" t="n">
        <v>0</v>
      </c>
      <c r="U4030" t="n">
        <v>0</v>
      </c>
      <c r="V4030" s="2" t="inlineStr"/>
    </row>
    <row r="4031" ht="15" customHeight="1">
      <c r="A4031" t="inlineStr">
        <is>
          <t>A 26770-2023</t>
        </is>
      </c>
      <c r="B4031" t="inlineStr">
        <is>
          <t>avverkningsanmälan</t>
        </is>
      </c>
      <c r="C4031" t="inlineStr">
        <is>
          <t>Föryngringsavverkning</t>
        </is>
      </c>
      <c r="D4031" s="1" t="n">
        <v>45093</v>
      </c>
      <c r="E4031" s="1" t="n">
        <v>46323</v>
      </c>
      <c r="F4031" t="inlineStr">
        <is>
          <t>KALMAR LÄN</t>
        </is>
      </c>
      <c r="G4031" t="inlineStr">
        <is>
          <t>VÄSTERVIK</t>
        </is>
      </c>
      <c r="I4031" t="n">
        <v>2.6</v>
      </c>
      <c r="J4031" t="n">
        <v>0</v>
      </c>
      <c r="K4031" t="n">
        <v>0</v>
      </c>
      <c r="L4031" t="n">
        <v>0</v>
      </c>
      <c r="M4031" t="n">
        <v>0</v>
      </c>
      <c r="N4031" t="n">
        <v>0</v>
      </c>
      <c r="O4031" t="n">
        <v>0</v>
      </c>
      <c r="P4031" t="n">
        <v>0</v>
      </c>
      <c r="Q4031" t="n">
        <v>0</v>
      </c>
      <c r="R4031" t="n">
        <v>0</v>
      </c>
      <c r="S4031" t="n">
        <v>0</v>
      </c>
      <c r="T4031" t="n">
        <v>0</v>
      </c>
      <c r="U4031" t="n">
        <v>0</v>
      </c>
      <c r="V4031" s="2" t="inlineStr"/>
    </row>
    <row r="4032" ht="15" customHeight="1">
      <c r="A4032" t="inlineStr">
        <is>
          <t>A 26772-2023</t>
        </is>
      </c>
      <c r="B4032" t="inlineStr">
        <is>
          <t>avverkningsanmälan</t>
        </is>
      </c>
      <c r="C4032" t="inlineStr">
        <is>
          <t>Föryngringsavverkning</t>
        </is>
      </c>
      <c r="D4032" s="1" t="n">
        <v>45093</v>
      </c>
      <c r="E4032" s="1" t="n">
        <v>46323</v>
      </c>
      <c r="F4032" t="inlineStr">
        <is>
          <t>KALMAR LÄN</t>
        </is>
      </c>
      <c r="G4032" t="inlineStr">
        <is>
          <t>VÄSTERVIK</t>
        </is>
      </c>
      <c r="I4032" t="n">
        <v>2</v>
      </c>
      <c r="J4032" t="n">
        <v>0</v>
      </c>
      <c r="K4032" t="n">
        <v>0</v>
      </c>
      <c r="L4032" t="n">
        <v>0</v>
      </c>
      <c r="M4032" t="n">
        <v>0</v>
      </c>
      <c r="N4032" t="n">
        <v>0</v>
      </c>
      <c r="O4032" t="n">
        <v>0</v>
      </c>
      <c r="P4032" t="n">
        <v>0</v>
      </c>
      <c r="Q4032" t="n">
        <v>0</v>
      </c>
      <c r="R4032" t="n">
        <v>0</v>
      </c>
      <c r="S4032" t="n">
        <v>0</v>
      </c>
      <c r="T4032" t="n">
        <v>0</v>
      </c>
      <c r="U4032" t="n">
        <v>0</v>
      </c>
      <c r="V4032" s="2" t="inlineStr"/>
    </row>
    <row r="4033" ht="15" customHeight="1">
      <c r="A4033" t="inlineStr">
        <is>
          <t>A 26773-2023</t>
        </is>
      </c>
      <c r="B4033" t="inlineStr">
        <is>
          <t>avverkningsanmälan</t>
        </is>
      </c>
      <c r="C4033" t="inlineStr">
        <is>
          <t>Föryngringsavverkning</t>
        </is>
      </c>
      <c r="D4033" s="1" t="n">
        <v>45093</v>
      </c>
      <c r="E4033" s="1" t="n">
        <v>46323</v>
      </c>
      <c r="F4033" t="inlineStr">
        <is>
          <t>KALMAR LÄN</t>
        </is>
      </c>
      <c r="G4033" t="inlineStr">
        <is>
          <t>VÄSTERVIK</t>
        </is>
      </c>
      <c r="I4033" t="n">
        <v>2.2</v>
      </c>
      <c r="J4033" t="n">
        <v>0</v>
      </c>
      <c r="K4033" t="n">
        <v>0</v>
      </c>
      <c r="L4033" t="n">
        <v>0</v>
      </c>
      <c r="M4033" t="n">
        <v>0</v>
      </c>
      <c r="N4033" t="n">
        <v>0</v>
      </c>
      <c r="O4033" t="n">
        <v>0</v>
      </c>
      <c r="P4033" t="n">
        <v>0</v>
      </c>
      <c r="Q4033" t="n">
        <v>0</v>
      </c>
      <c r="R4033" t="n">
        <v>0</v>
      </c>
      <c r="S4033" t="n">
        <v>0</v>
      </c>
      <c r="T4033" t="n">
        <v>0</v>
      </c>
      <c r="U4033" t="n">
        <v>0</v>
      </c>
      <c r="V4033" s="2" t="inlineStr"/>
    </row>
    <row r="4034" ht="15" customHeight="1">
      <c r="A4034" t="inlineStr">
        <is>
          <t>A 30180-2026</t>
        </is>
      </c>
      <c r="B4034" t="inlineStr">
        <is>
          <t>avverkningsanmälan</t>
        </is>
      </c>
      <c r="C4034" t="inlineStr">
        <is>
          <t>Föryngringsavverkning</t>
        </is>
      </c>
      <c r="D4034" s="1" t="n">
        <v>46206</v>
      </c>
      <c r="E4034" s="1" t="n">
        <v>46323</v>
      </c>
      <c r="F4034" t="inlineStr">
        <is>
          <t>KALMAR LÄN</t>
        </is>
      </c>
      <c r="G4034" t="inlineStr">
        <is>
          <t>HÖGSBY</t>
        </is>
      </c>
      <c r="H4034" t="inlineStr">
        <is>
          <t>Sveaskog</t>
        </is>
      </c>
      <c r="I4034" t="n">
        <v>10.7</v>
      </c>
      <c r="J4034" t="n">
        <v>0</v>
      </c>
      <c r="K4034" t="n">
        <v>0</v>
      </c>
      <c r="L4034" t="n">
        <v>0</v>
      </c>
      <c r="M4034" t="n">
        <v>0</v>
      </c>
      <c r="N4034" t="n">
        <v>0</v>
      </c>
      <c r="O4034" t="n">
        <v>0</v>
      </c>
      <c r="P4034" t="n">
        <v>0</v>
      </c>
      <c r="Q4034" t="n">
        <v>0</v>
      </c>
      <c r="R4034" t="n">
        <v>0</v>
      </c>
      <c r="S4034" t="n">
        <v>0</v>
      </c>
      <c r="T4034" t="n">
        <v>0</v>
      </c>
      <c r="U4034" t="n">
        <v>0</v>
      </c>
      <c r="V4034" s="2" t="inlineStr"/>
    </row>
    <row r="4035" ht="15" customHeight="1">
      <c r="A4035" t="inlineStr">
        <is>
          <t>A 46038-2023</t>
        </is>
      </c>
      <c r="B4035" t="inlineStr">
        <is>
          <t>avverkningsanmälan</t>
        </is>
      </c>
      <c r="C4035" t="inlineStr">
        <is>
          <t>Föryngringsavverkning</t>
        </is>
      </c>
      <c r="D4035" s="1" t="n">
        <v>45196</v>
      </c>
      <c r="E4035" s="1" t="n">
        <v>46323</v>
      </c>
      <c r="F4035" t="inlineStr">
        <is>
          <t>KALMAR LÄN</t>
        </is>
      </c>
      <c r="G4035" t="inlineStr">
        <is>
          <t>TORSÅS</t>
        </is>
      </c>
      <c r="I4035" t="n">
        <v>2.9</v>
      </c>
      <c r="J4035" t="n">
        <v>0</v>
      </c>
      <c r="K4035" t="n">
        <v>0</v>
      </c>
      <c r="L4035" t="n">
        <v>0</v>
      </c>
      <c r="M4035" t="n">
        <v>0</v>
      </c>
      <c r="N4035" t="n">
        <v>0</v>
      </c>
      <c r="O4035" t="n">
        <v>0</v>
      </c>
      <c r="P4035" t="n">
        <v>0</v>
      </c>
      <c r="Q4035" t="n">
        <v>0</v>
      </c>
      <c r="R4035" t="n">
        <v>0</v>
      </c>
      <c r="S4035" t="n">
        <v>0</v>
      </c>
      <c r="T4035" t="n">
        <v>0</v>
      </c>
      <c r="U4035" t="n">
        <v>0</v>
      </c>
      <c r="V4035" s="2" t="inlineStr"/>
    </row>
    <row r="4036" ht="15" customHeight="1">
      <c r="A4036" t="inlineStr">
        <is>
          <t>A 56022-2024</t>
        </is>
      </c>
      <c r="B4036" t="inlineStr">
        <is>
          <t>avverkningsanmälan</t>
        </is>
      </c>
      <c r="C4036" t="inlineStr">
        <is>
          <t>Föryngringsavverkning</t>
        </is>
      </c>
      <c r="D4036" s="1" t="n">
        <v>45623</v>
      </c>
      <c r="E4036" s="1" t="n">
        <v>46323</v>
      </c>
      <c r="F4036" t="inlineStr">
        <is>
          <t>KALMAR LÄN</t>
        </is>
      </c>
      <c r="G4036" t="inlineStr">
        <is>
          <t>VIMMERBY</t>
        </is>
      </c>
      <c r="I4036" t="n">
        <v>0.3</v>
      </c>
      <c r="J4036" t="n">
        <v>0</v>
      </c>
      <c r="K4036" t="n">
        <v>0</v>
      </c>
      <c r="L4036" t="n">
        <v>0</v>
      </c>
      <c r="M4036" t="n">
        <v>0</v>
      </c>
      <c r="N4036" t="n">
        <v>0</v>
      </c>
      <c r="O4036" t="n">
        <v>0</v>
      </c>
      <c r="P4036" t="n">
        <v>0</v>
      </c>
      <c r="Q4036" t="n">
        <v>0</v>
      </c>
      <c r="R4036" t="n">
        <v>0</v>
      </c>
      <c r="S4036" t="n">
        <v>0</v>
      </c>
      <c r="T4036" t="n">
        <v>0</v>
      </c>
      <c r="U4036" t="n">
        <v>0</v>
      </c>
      <c r="V4036" s="2" t="inlineStr"/>
    </row>
    <row r="4037" ht="15" customHeight="1">
      <c r="A4037" t="inlineStr">
        <is>
          <t>A 11928-2022</t>
        </is>
      </c>
      <c r="B4037" t="inlineStr">
        <is>
          <t>avverkningsanmälan</t>
        </is>
      </c>
      <c r="C4037" t="inlineStr">
        <is>
          <t>Föryngringsavverkning</t>
        </is>
      </c>
      <c r="D4037" s="1" t="n">
        <v>44635</v>
      </c>
      <c r="E4037" s="1" t="n">
        <v>46323</v>
      </c>
      <c r="F4037" t="inlineStr">
        <is>
          <t>KALMAR LÄN</t>
        </is>
      </c>
      <c r="G4037" t="inlineStr">
        <is>
          <t>VIMMERBY</t>
        </is>
      </c>
      <c r="I4037" t="n">
        <v>2.8</v>
      </c>
      <c r="J4037" t="n">
        <v>0</v>
      </c>
      <c r="K4037" t="n">
        <v>0</v>
      </c>
      <c r="L4037" t="n">
        <v>0</v>
      </c>
      <c r="M4037" t="n">
        <v>0</v>
      </c>
      <c r="N4037" t="n">
        <v>0</v>
      </c>
      <c r="O4037" t="n">
        <v>0</v>
      </c>
      <c r="P4037" t="n">
        <v>0</v>
      </c>
      <c r="Q4037" t="n">
        <v>0</v>
      </c>
      <c r="R4037" t="n">
        <v>0</v>
      </c>
      <c r="S4037" t="n">
        <v>0</v>
      </c>
      <c r="T4037" t="n">
        <v>0</v>
      </c>
      <c r="U4037" t="n">
        <v>0</v>
      </c>
      <c r="V4037" s="2" t="inlineStr"/>
    </row>
    <row r="4038" ht="15" customHeight="1">
      <c r="A4038" t="inlineStr">
        <is>
          <t>A 14726-2022</t>
        </is>
      </c>
      <c r="B4038" t="inlineStr">
        <is>
          <t>avverkningsanmälan</t>
        </is>
      </c>
      <c r="C4038" t="inlineStr">
        <is>
          <t>Föryngringsavverkning</t>
        </is>
      </c>
      <c r="D4038" s="1" t="n">
        <v>44656</v>
      </c>
      <c r="E4038" s="1" t="n">
        <v>46323</v>
      </c>
      <c r="F4038" t="inlineStr">
        <is>
          <t>KALMAR LÄN</t>
        </is>
      </c>
      <c r="G4038" t="inlineStr">
        <is>
          <t>KALMAR</t>
        </is>
      </c>
      <c r="I4038" t="n">
        <v>1.8</v>
      </c>
      <c r="J4038" t="n">
        <v>0</v>
      </c>
      <c r="K4038" t="n">
        <v>0</v>
      </c>
      <c r="L4038" t="n">
        <v>0</v>
      </c>
      <c r="M4038" t="n">
        <v>0</v>
      </c>
      <c r="N4038" t="n">
        <v>0</v>
      </c>
      <c r="O4038" t="n">
        <v>0</v>
      </c>
      <c r="P4038" t="n">
        <v>0</v>
      </c>
      <c r="Q4038" t="n">
        <v>0</v>
      </c>
      <c r="R4038" t="n">
        <v>0</v>
      </c>
      <c r="S4038" t="n">
        <v>0</v>
      </c>
      <c r="T4038" t="n">
        <v>0</v>
      </c>
      <c r="U4038" t="n">
        <v>0</v>
      </c>
      <c r="V4038" s="2" t="inlineStr"/>
    </row>
    <row r="4039" ht="15" customHeight="1">
      <c r="A4039" t="inlineStr">
        <is>
          <t>A 59207-2024</t>
        </is>
      </c>
      <c r="B4039" t="inlineStr">
        <is>
          <t>avverkningsanmälan</t>
        </is>
      </c>
      <c r="C4039" t="inlineStr">
        <is>
          <t>Föryngringsavverkning</t>
        </is>
      </c>
      <c r="D4039" s="1" t="n">
        <v>45637</v>
      </c>
      <c r="E4039" s="1" t="n">
        <v>46323</v>
      </c>
      <c r="F4039" t="inlineStr">
        <is>
          <t>KALMAR LÄN</t>
        </is>
      </c>
      <c r="G4039" t="inlineStr">
        <is>
          <t>NYBRO</t>
        </is>
      </c>
      <c r="I4039" t="n">
        <v>3.3</v>
      </c>
      <c r="J4039" t="n">
        <v>0</v>
      </c>
      <c r="K4039" t="n">
        <v>0</v>
      </c>
      <c r="L4039" t="n">
        <v>0</v>
      </c>
      <c r="M4039" t="n">
        <v>0</v>
      </c>
      <c r="N4039" t="n">
        <v>0</v>
      </c>
      <c r="O4039" t="n">
        <v>0</v>
      </c>
      <c r="P4039" t="n">
        <v>0</v>
      </c>
      <c r="Q4039" t="n">
        <v>0</v>
      </c>
      <c r="R4039" t="n">
        <v>0</v>
      </c>
      <c r="S4039" t="n">
        <v>0</v>
      </c>
      <c r="T4039" t="n">
        <v>0</v>
      </c>
      <c r="U4039" t="n">
        <v>0</v>
      </c>
      <c r="V4039" s="2" t="inlineStr"/>
    </row>
    <row r="4040" ht="15" customHeight="1">
      <c r="A4040" t="inlineStr">
        <is>
          <t>A 2523-2026</t>
        </is>
      </c>
      <c r="B4040" t="inlineStr">
        <is>
          <t>avverkningsanmälan</t>
        </is>
      </c>
      <c r="C4040" t="inlineStr">
        <is>
          <t>Föryngringsavverkning</t>
        </is>
      </c>
      <c r="D4040" s="1" t="n">
        <v>46037</v>
      </c>
      <c r="E4040" s="1" t="n">
        <v>46323</v>
      </c>
      <c r="F4040" t="inlineStr">
        <is>
          <t>KALMAR LÄN</t>
        </is>
      </c>
      <c r="G4040" t="inlineStr">
        <is>
          <t>VIMMERBY</t>
        </is>
      </c>
      <c r="I4040" t="n">
        <v>1.1</v>
      </c>
      <c r="J4040" t="n">
        <v>0</v>
      </c>
      <c r="K4040" t="n">
        <v>0</v>
      </c>
      <c r="L4040" t="n">
        <v>0</v>
      </c>
      <c r="M4040" t="n">
        <v>0</v>
      </c>
      <c r="N4040" t="n">
        <v>0</v>
      </c>
      <c r="O4040" t="n">
        <v>0</v>
      </c>
      <c r="P4040" t="n">
        <v>0</v>
      </c>
      <c r="Q4040" t="n">
        <v>0</v>
      </c>
      <c r="R4040" t="n">
        <v>0</v>
      </c>
      <c r="S4040" t="n">
        <v>0</v>
      </c>
      <c r="T4040" t="n">
        <v>0</v>
      </c>
      <c r="U4040" t="n">
        <v>0</v>
      </c>
      <c r="V4040" s="2" t="inlineStr"/>
    </row>
    <row r="4041" ht="15" customHeight="1">
      <c r="A4041" t="inlineStr">
        <is>
          <t>A 46130-2023</t>
        </is>
      </c>
      <c r="B4041" t="inlineStr">
        <is>
          <t>avverkningsanmälan</t>
        </is>
      </c>
      <c r="C4041" t="inlineStr">
        <is>
          <t>Föryngringsavverkning</t>
        </is>
      </c>
      <c r="D4041" s="1" t="n">
        <v>45196</v>
      </c>
      <c r="E4041" s="1" t="n">
        <v>46323</v>
      </c>
      <c r="F4041" t="inlineStr">
        <is>
          <t>KALMAR LÄN</t>
        </is>
      </c>
      <c r="G4041" t="inlineStr">
        <is>
          <t>VÄSTERVIK</t>
        </is>
      </c>
      <c r="H4041" t="inlineStr">
        <is>
          <t>Sveaskog</t>
        </is>
      </c>
      <c r="I4041" t="n">
        <v>1.7</v>
      </c>
      <c r="J4041" t="n">
        <v>0</v>
      </c>
      <c r="K4041" t="n">
        <v>0</v>
      </c>
      <c r="L4041" t="n">
        <v>0</v>
      </c>
      <c r="M4041" t="n">
        <v>0</v>
      </c>
      <c r="N4041" t="n">
        <v>0</v>
      </c>
      <c r="O4041" t="n">
        <v>0</v>
      </c>
      <c r="P4041" t="n">
        <v>0</v>
      </c>
      <c r="Q4041" t="n">
        <v>0</v>
      </c>
      <c r="R4041" t="n">
        <v>0</v>
      </c>
      <c r="S4041" t="n">
        <v>0</v>
      </c>
      <c r="T4041" t="n">
        <v>0</v>
      </c>
      <c r="U4041" t="n">
        <v>0</v>
      </c>
      <c r="V4041" s="2" t="inlineStr"/>
    </row>
    <row r="4042" ht="15" customHeight="1">
      <c r="A4042" t="inlineStr">
        <is>
          <t>A 18424-2026</t>
        </is>
      </c>
      <c r="B4042" t="inlineStr">
        <is>
          <t>avverkningsanmälan</t>
        </is>
      </c>
      <c r="C4042" t="inlineStr">
        <is>
          <t>Föryngringsavverkning</t>
        </is>
      </c>
      <c r="D4042" s="1" t="n">
        <v>46127</v>
      </c>
      <c r="E4042" s="1" t="n">
        <v>46323</v>
      </c>
      <c r="F4042" t="inlineStr">
        <is>
          <t>KALMAR LÄN</t>
        </is>
      </c>
      <c r="G4042" t="inlineStr">
        <is>
          <t>EMMABODA</t>
        </is>
      </c>
      <c r="H4042" t="inlineStr">
        <is>
          <t>Sveaskog</t>
        </is>
      </c>
      <c r="I4042" t="n">
        <v>1.2</v>
      </c>
      <c r="J4042" t="n">
        <v>0</v>
      </c>
      <c r="K4042" t="n">
        <v>0</v>
      </c>
      <c r="L4042" t="n">
        <v>0</v>
      </c>
      <c r="M4042" t="n">
        <v>0</v>
      </c>
      <c r="N4042" t="n">
        <v>0</v>
      </c>
      <c r="O4042" t="n">
        <v>0</v>
      </c>
      <c r="P4042" t="n">
        <v>0</v>
      </c>
      <c r="Q4042" t="n">
        <v>0</v>
      </c>
      <c r="R4042" t="n">
        <v>0</v>
      </c>
      <c r="S4042" t="n">
        <v>0</v>
      </c>
      <c r="T4042" t="n">
        <v>0</v>
      </c>
      <c r="U4042" t="n">
        <v>0</v>
      </c>
      <c r="V4042" s="2" t="inlineStr"/>
    </row>
    <row r="4043" ht="15" customHeight="1">
      <c r="A4043" t="inlineStr">
        <is>
          <t>A 7962-2022</t>
        </is>
      </c>
      <c r="B4043" t="inlineStr">
        <is>
          <t>avverkningsanmälan</t>
        </is>
      </c>
      <c r="C4043" t="inlineStr">
        <is>
          <t>Föryngringsavverkning</t>
        </is>
      </c>
      <c r="D4043" s="1" t="n">
        <v>44608</v>
      </c>
      <c r="E4043" s="1" t="n">
        <v>46323</v>
      </c>
      <c r="F4043" t="inlineStr">
        <is>
          <t>KALMAR LÄN</t>
        </is>
      </c>
      <c r="G4043" t="inlineStr">
        <is>
          <t>OSKARSHAMN</t>
        </is>
      </c>
      <c r="I4043" t="n">
        <v>1.1</v>
      </c>
      <c r="J4043" t="n">
        <v>0</v>
      </c>
      <c r="K4043" t="n">
        <v>0</v>
      </c>
      <c r="L4043" t="n">
        <v>0</v>
      </c>
      <c r="M4043" t="n">
        <v>0</v>
      </c>
      <c r="N4043" t="n">
        <v>0</v>
      </c>
      <c r="O4043" t="n">
        <v>0</v>
      </c>
      <c r="P4043" t="n">
        <v>0</v>
      </c>
      <c r="Q4043" t="n">
        <v>0</v>
      </c>
      <c r="R4043" t="n">
        <v>0</v>
      </c>
      <c r="S4043" t="n">
        <v>0</v>
      </c>
      <c r="T4043" t="n">
        <v>0</v>
      </c>
      <c r="U4043" t="n">
        <v>0</v>
      </c>
      <c r="V4043" s="2" t="inlineStr"/>
    </row>
    <row r="4044" ht="15" customHeight="1">
      <c r="A4044" t="inlineStr">
        <is>
          <t>A 23566-2025</t>
        </is>
      </c>
      <c r="B4044" t="inlineStr">
        <is>
          <t>avverkningsanmälan</t>
        </is>
      </c>
      <c r="C4044" t="inlineStr">
        <is>
          <t>Föryngringsavverkning</t>
        </is>
      </c>
      <c r="D4044" s="1" t="n">
        <v>45792</v>
      </c>
      <c r="E4044" s="1" t="n">
        <v>46323</v>
      </c>
      <c r="F4044" t="inlineStr">
        <is>
          <t>KALMAR LÄN</t>
        </is>
      </c>
      <c r="G4044" t="inlineStr">
        <is>
          <t>MÖNSTERÅS</t>
        </is>
      </c>
      <c r="I4044" t="n">
        <v>2</v>
      </c>
      <c r="J4044" t="n">
        <v>0</v>
      </c>
      <c r="K4044" t="n">
        <v>0</v>
      </c>
      <c r="L4044" t="n">
        <v>0</v>
      </c>
      <c r="M4044" t="n">
        <v>0</v>
      </c>
      <c r="N4044" t="n">
        <v>0</v>
      </c>
      <c r="O4044" t="n">
        <v>0</v>
      </c>
      <c r="P4044" t="n">
        <v>0</v>
      </c>
      <c r="Q4044" t="n">
        <v>0</v>
      </c>
      <c r="R4044" t="n">
        <v>0</v>
      </c>
      <c r="S4044" t="n">
        <v>0</v>
      </c>
      <c r="T4044" t="n">
        <v>0</v>
      </c>
      <c r="U4044" t="n">
        <v>0</v>
      </c>
      <c r="V4044" s="2" t="inlineStr"/>
    </row>
    <row r="4045" ht="15" customHeight="1">
      <c r="A4045" t="inlineStr">
        <is>
          <t>A 15658-2024</t>
        </is>
      </c>
      <c r="B4045" t="inlineStr">
        <is>
          <t>avverkningsanmälan</t>
        </is>
      </c>
      <c r="C4045" t="inlineStr">
        <is>
          <t>Föryngringsavverkning</t>
        </is>
      </c>
      <c r="D4045" s="1" t="n">
        <v>45402</v>
      </c>
      <c r="E4045" s="1" t="n">
        <v>46323</v>
      </c>
      <c r="F4045" t="inlineStr">
        <is>
          <t>KALMAR LÄN</t>
        </is>
      </c>
      <c r="G4045" t="inlineStr">
        <is>
          <t>KALMAR</t>
        </is>
      </c>
      <c r="H4045" t="inlineStr">
        <is>
          <t>Kyrkan</t>
        </is>
      </c>
      <c r="I4045" t="n">
        <v>1</v>
      </c>
      <c r="J4045" t="n">
        <v>0</v>
      </c>
      <c r="K4045" t="n">
        <v>0</v>
      </c>
      <c r="L4045" t="n">
        <v>0</v>
      </c>
      <c r="M4045" t="n">
        <v>0</v>
      </c>
      <c r="N4045" t="n">
        <v>0</v>
      </c>
      <c r="O4045" t="n">
        <v>0</v>
      </c>
      <c r="P4045" t="n">
        <v>0</v>
      </c>
      <c r="Q4045" t="n">
        <v>0</v>
      </c>
      <c r="R4045" t="n">
        <v>0</v>
      </c>
      <c r="S4045" t="n">
        <v>0</v>
      </c>
      <c r="T4045" t="n">
        <v>0</v>
      </c>
      <c r="U4045" t="n">
        <v>0</v>
      </c>
      <c r="V4045" s="2" t="inlineStr"/>
    </row>
    <row r="4046" ht="15" customHeight="1">
      <c r="A4046" t="inlineStr">
        <is>
          <t>A 16207-2022</t>
        </is>
      </c>
      <c r="B4046" t="inlineStr">
        <is>
          <t>avverkningsanmälan</t>
        </is>
      </c>
      <c r="C4046" t="inlineStr">
        <is>
          <t>Föryngringsavverkning</t>
        </is>
      </c>
      <c r="D4046" s="1" t="n">
        <v>44669</v>
      </c>
      <c r="E4046" s="1" t="n">
        <v>46323</v>
      </c>
      <c r="F4046" t="inlineStr">
        <is>
          <t>KALMAR LÄN</t>
        </is>
      </c>
      <c r="G4046" t="inlineStr">
        <is>
          <t>VÄSTERVIK</t>
        </is>
      </c>
      <c r="I4046" t="n">
        <v>1.1</v>
      </c>
      <c r="J4046" t="n">
        <v>0</v>
      </c>
      <c r="K4046" t="n">
        <v>0</v>
      </c>
      <c r="L4046" t="n">
        <v>0</v>
      </c>
      <c r="M4046" t="n">
        <v>0</v>
      </c>
      <c r="N4046" t="n">
        <v>0</v>
      </c>
      <c r="O4046" t="n">
        <v>0</v>
      </c>
      <c r="P4046" t="n">
        <v>0</v>
      </c>
      <c r="Q4046" t="n">
        <v>0</v>
      </c>
      <c r="R4046" t="n">
        <v>0</v>
      </c>
      <c r="S4046" t="n">
        <v>0</v>
      </c>
      <c r="T4046" t="n">
        <v>0</v>
      </c>
      <c r="U4046" t="n">
        <v>0</v>
      </c>
      <c r="V4046" s="2" t="inlineStr"/>
    </row>
    <row r="4047" ht="15" customHeight="1">
      <c r="A4047" t="inlineStr">
        <is>
          <t>A 2514-2026</t>
        </is>
      </c>
      <c r="B4047" t="inlineStr">
        <is>
          <t>avverkningsanmälan</t>
        </is>
      </c>
      <c r="C4047" t="inlineStr">
        <is>
          <t>Föryngringsavverkning</t>
        </is>
      </c>
      <c r="D4047" s="1" t="n">
        <v>46037</v>
      </c>
      <c r="E4047" s="1" t="n">
        <v>46323</v>
      </c>
      <c r="F4047" t="inlineStr">
        <is>
          <t>KALMAR LÄN</t>
        </is>
      </c>
      <c r="G4047" t="inlineStr">
        <is>
          <t>VIMMERBY</t>
        </is>
      </c>
      <c r="I4047" t="n">
        <v>0.7</v>
      </c>
      <c r="J4047" t="n">
        <v>0</v>
      </c>
      <c r="K4047" t="n">
        <v>0</v>
      </c>
      <c r="L4047" t="n">
        <v>0</v>
      </c>
      <c r="M4047" t="n">
        <v>0</v>
      </c>
      <c r="N4047" t="n">
        <v>0</v>
      </c>
      <c r="O4047" t="n">
        <v>0</v>
      </c>
      <c r="P4047" t="n">
        <v>0</v>
      </c>
      <c r="Q4047" t="n">
        <v>0</v>
      </c>
      <c r="R4047" t="n">
        <v>0</v>
      </c>
      <c r="S4047" t="n">
        <v>0</v>
      </c>
      <c r="T4047" t="n">
        <v>0</v>
      </c>
      <c r="U4047" t="n">
        <v>0</v>
      </c>
      <c r="V4047" s="2" t="inlineStr"/>
    </row>
    <row r="4048" ht="15" customHeight="1">
      <c r="A4048" t="inlineStr">
        <is>
          <t>A 2518-2026</t>
        </is>
      </c>
      <c r="B4048" t="inlineStr">
        <is>
          <t>avverkningsanmälan</t>
        </is>
      </c>
      <c r="C4048" t="inlineStr">
        <is>
          <t>Föryngringsavverkning</t>
        </is>
      </c>
      <c r="D4048" s="1" t="n">
        <v>46037</v>
      </c>
      <c r="E4048" s="1" t="n">
        <v>46323</v>
      </c>
      <c r="F4048" t="inlineStr">
        <is>
          <t>KALMAR LÄN</t>
        </is>
      </c>
      <c r="G4048" t="inlineStr">
        <is>
          <t>VIMMERBY</t>
        </is>
      </c>
      <c r="I4048" t="n">
        <v>1.2</v>
      </c>
      <c r="J4048" t="n">
        <v>0</v>
      </c>
      <c r="K4048" t="n">
        <v>0</v>
      </c>
      <c r="L4048" t="n">
        <v>0</v>
      </c>
      <c r="M4048" t="n">
        <v>0</v>
      </c>
      <c r="N4048" t="n">
        <v>0</v>
      </c>
      <c r="O4048" t="n">
        <v>0</v>
      </c>
      <c r="P4048" t="n">
        <v>0</v>
      </c>
      <c r="Q4048" t="n">
        <v>0</v>
      </c>
      <c r="R4048" t="n">
        <v>0</v>
      </c>
      <c r="S4048" t="n">
        <v>0</v>
      </c>
      <c r="T4048" t="n">
        <v>0</v>
      </c>
      <c r="U4048" t="n">
        <v>0</v>
      </c>
      <c r="V4048" s="2" t="inlineStr"/>
    </row>
    <row r="4049" ht="15" customHeight="1">
      <c r="A4049" t="inlineStr">
        <is>
          <t>A 30157-2026</t>
        </is>
      </c>
      <c r="B4049" t="inlineStr">
        <is>
          <t>avverkningsanmälan</t>
        </is>
      </c>
      <c r="C4049" t="inlineStr">
        <is>
          <t>Föryngringsavverkning</t>
        </is>
      </c>
      <c r="D4049" s="1" t="n">
        <v>46206</v>
      </c>
      <c r="E4049" s="1" t="n">
        <v>46323</v>
      </c>
      <c r="F4049" t="inlineStr">
        <is>
          <t>KALMAR LÄN</t>
        </is>
      </c>
      <c r="G4049" t="inlineStr">
        <is>
          <t>HÖGSBY</t>
        </is>
      </c>
      <c r="H4049" t="inlineStr">
        <is>
          <t>Sveaskog</t>
        </is>
      </c>
      <c r="I4049" t="n">
        <v>1</v>
      </c>
      <c r="J4049" t="n">
        <v>0</v>
      </c>
      <c r="K4049" t="n">
        <v>0</v>
      </c>
      <c r="L4049" t="n">
        <v>0</v>
      </c>
      <c r="M4049" t="n">
        <v>0</v>
      </c>
      <c r="N4049" t="n">
        <v>0</v>
      </c>
      <c r="O4049" t="n">
        <v>0</v>
      </c>
      <c r="P4049" t="n">
        <v>0</v>
      </c>
      <c r="Q4049" t="n">
        <v>0</v>
      </c>
      <c r="R4049" t="n">
        <v>0</v>
      </c>
      <c r="S4049" t="n">
        <v>0</v>
      </c>
      <c r="T4049" t="n">
        <v>0</v>
      </c>
      <c r="U4049" t="n">
        <v>0</v>
      </c>
      <c r="V4049" s="2" t="inlineStr"/>
    </row>
    <row r="4050" ht="15" customHeight="1">
      <c r="A4050" t="inlineStr">
        <is>
          <t>A 18346-2026</t>
        </is>
      </c>
      <c r="B4050" t="inlineStr">
        <is>
          <t>avverkningsanmälan</t>
        </is>
      </c>
      <c r="C4050" t="inlineStr">
        <is>
          <t>Avverkning för annat ändamål</t>
        </is>
      </c>
      <c r="D4050" s="1" t="n">
        <v>46126</v>
      </c>
      <c r="E4050" s="1" t="n">
        <v>46323</v>
      </c>
      <c r="F4050" t="inlineStr">
        <is>
          <t>KALMAR LÄN</t>
        </is>
      </c>
      <c r="G4050" t="inlineStr">
        <is>
          <t>MÖNSTERÅS</t>
        </is>
      </c>
      <c r="I4050" t="n">
        <v>1.9</v>
      </c>
      <c r="J4050" t="n">
        <v>0</v>
      </c>
      <c r="K4050" t="n">
        <v>0</v>
      </c>
      <c r="L4050" t="n">
        <v>0</v>
      </c>
      <c r="M4050" t="n">
        <v>0</v>
      </c>
      <c r="N4050" t="n">
        <v>0</v>
      </c>
      <c r="O4050" t="n">
        <v>0</v>
      </c>
      <c r="P4050" t="n">
        <v>0</v>
      </c>
      <c r="Q4050" t="n">
        <v>0</v>
      </c>
      <c r="R4050" t="n">
        <v>0</v>
      </c>
      <c r="S4050" t="n">
        <v>0</v>
      </c>
      <c r="T4050" t="n">
        <v>0</v>
      </c>
      <c r="U4050" t="n">
        <v>0</v>
      </c>
      <c r="V4050" s="2" t="inlineStr"/>
    </row>
    <row r="4051" ht="15" customHeight="1">
      <c r="A4051" t="inlineStr">
        <is>
          <t>A 38797-2024</t>
        </is>
      </c>
      <c r="B4051" t="inlineStr">
        <is>
          <t>avverkningsanmälan</t>
        </is>
      </c>
      <c r="C4051" t="inlineStr">
        <is>
          <t>Avverkning för att bevara och utveckla /försöksver</t>
        </is>
      </c>
      <c r="D4051" s="1" t="n">
        <v>45547</v>
      </c>
      <c r="E4051" s="1" t="n">
        <v>46323</v>
      </c>
      <c r="F4051" t="inlineStr">
        <is>
          <t>KALMAR LÄN</t>
        </is>
      </c>
      <c r="G4051" t="inlineStr">
        <is>
          <t>HÖGSBY</t>
        </is>
      </c>
      <c r="H4051" t="inlineStr">
        <is>
          <t>Sveaskog</t>
        </is>
      </c>
      <c r="I4051" t="n">
        <v>6.4</v>
      </c>
      <c r="J4051" t="n">
        <v>0</v>
      </c>
      <c r="K4051" t="n">
        <v>0</v>
      </c>
      <c r="L4051" t="n">
        <v>0</v>
      </c>
      <c r="M4051" t="n">
        <v>0</v>
      </c>
      <c r="N4051" t="n">
        <v>0</v>
      </c>
      <c r="O4051" t="n">
        <v>0</v>
      </c>
      <c r="P4051" t="n">
        <v>0</v>
      </c>
      <c r="Q4051" t="n">
        <v>0</v>
      </c>
      <c r="R4051" t="n">
        <v>0</v>
      </c>
      <c r="S4051" t="n">
        <v>0</v>
      </c>
      <c r="T4051" t="n">
        <v>0</v>
      </c>
      <c r="U4051" t="n">
        <v>0</v>
      </c>
      <c r="V4051" s="2" t="inlineStr"/>
    </row>
    <row r="4052" ht="15" customHeight="1">
      <c r="A4052" t="inlineStr">
        <is>
          <t>A 8282-2025</t>
        </is>
      </c>
      <c r="B4052" t="inlineStr">
        <is>
          <t>avverkningsanmälan</t>
        </is>
      </c>
      <c r="C4052" t="inlineStr">
        <is>
          <t>Föryngringsavverkning</t>
        </is>
      </c>
      <c r="D4052" s="1" t="n">
        <v>45708</v>
      </c>
      <c r="E4052" s="1" t="n">
        <v>46323</v>
      </c>
      <c r="F4052" t="inlineStr">
        <is>
          <t>KALMAR LÄN</t>
        </is>
      </c>
      <c r="G4052" t="inlineStr">
        <is>
          <t>OSKARSHAMN</t>
        </is>
      </c>
      <c r="I4052" t="n">
        <v>6.2</v>
      </c>
      <c r="J4052" t="n">
        <v>0</v>
      </c>
      <c r="K4052" t="n">
        <v>0</v>
      </c>
      <c r="L4052" t="n">
        <v>0</v>
      </c>
      <c r="M4052" t="n">
        <v>0</v>
      </c>
      <c r="N4052" t="n">
        <v>0</v>
      </c>
      <c r="O4052" t="n">
        <v>0</v>
      </c>
      <c r="P4052" t="n">
        <v>0</v>
      </c>
      <c r="Q4052" t="n">
        <v>0</v>
      </c>
      <c r="R4052" t="n">
        <v>0</v>
      </c>
      <c r="S4052" t="n">
        <v>0</v>
      </c>
      <c r="T4052" t="n">
        <v>0</v>
      </c>
      <c r="U4052" t="n">
        <v>0</v>
      </c>
      <c r="V4052" s="2" t="inlineStr"/>
    </row>
    <row r="4053" ht="15" customHeight="1">
      <c r="A4053" t="inlineStr">
        <is>
          <t>A 16119-2024</t>
        </is>
      </c>
      <c r="B4053" t="inlineStr">
        <is>
          <t>avverkningsanmälan</t>
        </is>
      </c>
      <c r="C4053" t="inlineStr">
        <is>
          <t>Föryngringsavverkning</t>
        </is>
      </c>
      <c r="D4053" s="1" t="n">
        <v>45406</v>
      </c>
      <c r="E4053" s="1" t="n">
        <v>46323</v>
      </c>
      <c r="F4053" t="inlineStr">
        <is>
          <t>KALMAR LÄN</t>
        </is>
      </c>
      <c r="G4053" t="inlineStr">
        <is>
          <t>KALMAR</t>
        </is>
      </c>
      <c r="I4053" t="n">
        <v>4.1</v>
      </c>
      <c r="J4053" t="n">
        <v>0</v>
      </c>
      <c r="K4053" t="n">
        <v>0</v>
      </c>
      <c r="L4053" t="n">
        <v>0</v>
      </c>
      <c r="M4053" t="n">
        <v>0</v>
      </c>
      <c r="N4053" t="n">
        <v>0</v>
      </c>
      <c r="O4053" t="n">
        <v>0</v>
      </c>
      <c r="P4053" t="n">
        <v>0</v>
      </c>
      <c r="Q4053" t="n">
        <v>0</v>
      </c>
      <c r="R4053" t="n">
        <v>0</v>
      </c>
      <c r="S4053" t="n">
        <v>0</v>
      </c>
      <c r="T4053" t="n">
        <v>0</v>
      </c>
      <c r="U4053" t="n">
        <v>0</v>
      </c>
      <c r="V4053" s="2" t="inlineStr"/>
    </row>
    <row r="4054" ht="15" customHeight="1">
      <c r="A4054" t="inlineStr">
        <is>
          <t>A 31025-2026</t>
        </is>
      </c>
      <c r="B4054" t="inlineStr">
        <is>
          <t>avverkningsanmälan</t>
        </is>
      </c>
      <c r="C4054" t="inlineStr">
        <is>
          <t>Föryngringsavverkning</t>
        </is>
      </c>
      <c r="D4054" s="1" t="n">
        <v>46208</v>
      </c>
      <c r="E4054" s="1" t="n">
        <v>46323</v>
      </c>
      <c r="F4054" t="inlineStr">
        <is>
          <t>KALMAR LÄN</t>
        </is>
      </c>
      <c r="G4054" t="inlineStr">
        <is>
          <t>VIMMERBY</t>
        </is>
      </c>
      <c r="I4054" t="n">
        <v>1.6</v>
      </c>
      <c r="J4054" t="n">
        <v>0</v>
      </c>
      <c r="K4054" t="n">
        <v>0</v>
      </c>
      <c r="L4054" t="n">
        <v>0</v>
      </c>
      <c r="M4054" t="n">
        <v>0</v>
      </c>
      <c r="N4054" t="n">
        <v>0</v>
      </c>
      <c r="O4054" t="n">
        <v>0</v>
      </c>
      <c r="P4054" t="n">
        <v>0</v>
      </c>
      <c r="Q4054" t="n">
        <v>0</v>
      </c>
      <c r="R4054" t="n">
        <v>0</v>
      </c>
      <c r="S4054" t="n">
        <v>0</v>
      </c>
      <c r="T4054" t="n">
        <v>0</v>
      </c>
      <c r="U4054" t="n">
        <v>0</v>
      </c>
      <c r="V4054" s="2" t="inlineStr"/>
    </row>
    <row r="4055" ht="15" customHeight="1">
      <c r="A4055" t="inlineStr">
        <is>
          <t>A 30142-2026</t>
        </is>
      </c>
      <c r="B4055" t="inlineStr">
        <is>
          <t>avverkningsanmälan</t>
        </is>
      </c>
      <c r="C4055" t="inlineStr">
        <is>
          <t>Föryngringsavverkning</t>
        </is>
      </c>
      <c r="D4055" s="1" t="n">
        <v>46206</v>
      </c>
      <c r="E4055" s="1" t="n">
        <v>46323</v>
      </c>
      <c r="F4055" t="inlineStr">
        <is>
          <t>KALMAR LÄN</t>
        </is>
      </c>
      <c r="G4055" t="inlineStr">
        <is>
          <t>VIMMERBY</t>
        </is>
      </c>
      <c r="I4055" t="n">
        <v>0.6</v>
      </c>
      <c r="J4055" t="n">
        <v>0</v>
      </c>
      <c r="K4055" t="n">
        <v>0</v>
      </c>
      <c r="L4055" t="n">
        <v>0</v>
      </c>
      <c r="M4055" t="n">
        <v>0</v>
      </c>
      <c r="N4055" t="n">
        <v>0</v>
      </c>
      <c r="O4055" t="n">
        <v>0</v>
      </c>
      <c r="P4055" t="n">
        <v>0</v>
      </c>
      <c r="Q4055" t="n">
        <v>0</v>
      </c>
      <c r="R4055" t="n">
        <v>0</v>
      </c>
      <c r="S4055" t="n">
        <v>0</v>
      </c>
      <c r="T4055" t="n">
        <v>0</v>
      </c>
      <c r="U4055" t="n">
        <v>0</v>
      </c>
      <c r="V4055" s="2" t="inlineStr"/>
    </row>
    <row r="4056" ht="15" customHeight="1">
      <c r="A4056" t="inlineStr">
        <is>
          <t>A 22877-2023</t>
        </is>
      </c>
      <c r="B4056" t="inlineStr">
        <is>
          <t>avverkningsanmälan</t>
        </is>
      </c>
      <c r="C4056" t="inlineStr">
        <is>
          <t>Föryngringsavverkning</t>
        </is>
      </c>
      <c r="D4056" s="1" t="n">
        <v>45072</v>
      </c>
      <c r="E4056" s="1" t="n">
        <v>46323</v>
      </c>
      <c r="F4056" t="inlineStr">
        <is>
          <t>KALMAR LÄN</t>
        </is>
      </c>
      <c r="G4056" t="inlineStr">
        <is>
          <t>NYBRO</t>
        </is>
      </c>
      <c r="I4056" t="n">
        <v>1.4</v>
      </c>
      <c r="J4056" t="n">
        <v>0</v>
      </c>
      <c r="K4056" t="n">
        <v>0</v>
      </c>
      <c r="L4056" t="n">
        <v>0</v>
      </c>
      <c r="M4056" t="n">
        <v>0</v>
      </c>
      <c r="N4056" t="n">
        <v>0</v>
      </c>
      <c r="O4056" t="n">
        <v>0</v>
      </c>
      <c r="P4056" t="n">
        <v>0</v>
      </c>
      <c r="Q4056" t="n">
        <v>0</v>
      </c>
      <c r="R4056" t="n">
        <v>0</v>
      </c>
      <c r="S4056" t="n">
        <v>0</v>
      </c>
      <c r="T4056" t="n">
        <v>0</v>
      </c>
      <c r="U4056" t="n">
        <v>0</v>
      </c>
      <c r="V4056" s="2" t="inlineStr"/>
    </row>
    <row r="4057" ht="15" customHeight="1">
      <c r="A4057" t="inlineStr">
        <is>
          <t>A 72860-2021</t>
        </is>
      </c>
      <c r="B4057" t="inlineStr">
        <is>
          <t>avverkningsanmälan</t>
        </is>
      </c>
      <c r="C4057" t="inlineStr">
        <is>
          <t>Föryngringsavverkning</t>
        </is>
      </c>
      <c r="D4057" s="1" t="n">
        <v>44547</v>
      </c>
      <c r="E4057" s="1" t="n">
        <v>46323</v>
      </c>
      <c r="F4057" t="inlineStr">
        <is>
          <t>KALMAR LÄN</t>
        </is>
      </c>
      <c r="G4057" t="inlineStr">
        <is>
          <t>HULTSFRED</t>
        </is>
      </c>
      <c r="I4057" t="n">
        <v>4.6</v>
      </c>
      <c r="J4057" t="n">
        <v>0</v>
      </c>
      <c r="K4057" t="n">
        <v>0</v>
      </c>
      <c r="L4057" t="n">
        <v>0</v>
      </c>
      <c r="M4057" t="n">
        <v>0</v>
      </c>
      <c r="N4057" t="n">
        <v>0</v>
      </c>
      <c r="O4057" t="n">
        <v>0</v>
      </c>
      <c r="P4057" t="n">
        <v>0</v>
      </c>
      <c r="Q4057" t="n">
        <v>0</v>
      </c>
      <c r="R4057" t="n">
        <v>0</v>
      </c>
      <c r="S4057" t="n">
        <v>0</v>
      </c>
      <c r="T4057" t="n">
        <v>0</v>
      </c>
      <c r="U4057" t="n">
        <v>0</v>
      </c>
      <c r="V4057" s="2" t="inlineStr"/>
    </row>
    <row r="4058" ht="15" customHeight="1">
      <c r="A4058" t="inlineStr">
        <is>
          <t>A 719-2026</t>
        </is>
      </c>
      <c r="B4058" t="inlineStr">
        <is>
          <t>avverkningsanmälan</t>
        </is>
      </c>
      <c r="C4058" t="inlineStr">
        <is>
          <t>Föryngringsavverkning</t>
        </is>
      </c>
      <c r="D4058" s="1" t="n">
        <v>46029</v>
      </c>
      <c r="E4058" s="1" t="n">
        <v>46323</v>
      </c>
      <c r="F4058" t="inlineStr">
        <is>
          <t>KALMAR LÄN</t>
        </is>
      </c>
      <c r="G4058" t="inlineStr">
        <is>
          <t>VÄSTERVIK</t>
        </is>
      </c>
      <c r="I4058" t="n">
        <v>2.2</v>
      </c>
      <c r="J4058" t="n">
        <v>0</v>
      </c>
      <c r="K4058" t="n">
        <v>0</v>
      </c>
      <c r="L4058" t="n">
        <v>0</v>
      </c>
      <c r="M4058" t="n">
        <v>0</v>
      </c>
      <c r="N4058" t="n">
        <v>0</v>
      </c>
      <c r="O4058" t="n">
        <v>0</v>
      </c>
      <c r="P4058" t="n">
        <v>0</v>
      </c>
      <c r="Q4058" t="n">
        <v>0</v>
      </c>
      <c r="R4058" t="n">
        <v>0</v>
      </c>
      <c r="S4058" t="n">
        <v>0</v>
      </c>
      <c r="T4058" t="n">
        <v>0</v>
      </c>
      <c r="U4058" t="n">
        <v>0</v>
      </c>
      <c r="V4058" s="2" t="inlineStr"/>
    </row>
    <row r="4059" ht="15" customHeight="1">
      <c r="A4059" t="inlineStr">
        <is>
          <t>A 53349-2022</t>
        </is>
      </c>
      <c r="B4059" t="inlineStr">
        <is>
          <t>avverkningsanmälan</t>
        </is>
      </c>
      <c r="C4059" t="inlineStr">
        <is>
          <t>Föryngringsavverkning</t>
        </is>
      </c>
      <c r="D4059" s="1" t="n">
        <v>44879</v>
      </c>
      <c r="E4059" s="1" t="n">
        <v>46323</v>
      </c>
      <c r="F4059" t="inlineStr">
        <is>
          <t>KALMAR LÄN</t>
        </is>
      </c>
      <c r="G4059" t="inlineStr">
        <is>
          <t>TORSÅS</t>
        </is>
      </c>
      <c r="I4059" t="n">
        <v>0.8</v>
      </c>
      <c r="J4059" t="n">
        <v>0</v>
      </c>
      <c r="K4059" t="n">
        <v>0</v>
      </c>
      <c r="L4059" t="n">
        <v>0</v>
      </c>
      <c r="M4059" t="n">
        <v>0</v>
      </c>
      <c r="N4059" t="n">
        <v>0</v>
      </c>
      <c r="O4059" t="n">
        <v>0</v>
      </c>
      <c r="P4059" t="n">
        <v>0</v>
      </c>
      <c r="Q4059" t="n">
        <v>0</v>
      </c>
      <c r="R4059" t="n">
        <v>0</v>
      </c>
      <c r="S4059" t="n">
        <v>0</v>
      </c>
      <c r="T4059" t="n">
        <v>0</v>
      </c>
      <c r="U4059" t="n">
        <v>0</v>
      </c>
      <c r="V4059" s="2" t="inlineStr"/>
    </row>
    <row r="4060" ht="15" customHeight="1">
      <c r="A4060" t="inlineStr">
        <is>
          <t>A 50651-2025</t>
        </is>
      </c>
      <c r="B4060" t="inlineStr">
        <is>
          <t>avverkningsanmälan</t>
        </is>
      </c>
      <c r="C4060" t="inlineStr">
        <is>
          <t>Föryngringsavverkning</t>
        </is>
      </c>
      <c r="D4060" s="1" t="n">
        <v>45945</v>
      </c>
      <c r="E4060" s="1" t="n">
        <v>46323</v>
      </c>
      <c r="F4060" t="inlineStr">
        <is>
          <t>KALMAR LÄN</t>
        </is>
      </c>
      <c r="G4060" t="inlineStr">
        <is>
          <t>VÄSTERVIK</t>
        </is>
      </c>
      <c r="I4060" t="n">
        <v>0.7</v>
      </c>
      <c r="J4060" t="n">
        <v>0</v>
      </c>
      <c r="K4060" t="n">
        <v>0</v>
      </c>
      <c r="L4060" t="n">
        <v>0</v>
      </c>
      <c r="M4060" t="n">
        <v>0</v>
      </c>
      <c r="N4060" t="n">
        <v>0</v>
      </c>
      <c r="O4060" t="n">
        <v>0</v>
      </c>
      <c r="P4060" t="n">
        <v>0</v>
      </c>
      <c r="Q4060" t="n">
        <v>0</v>
      </c>
      <c r="R4060" t="n">
        <v>0</v>
      </c>
      <c r="S4060" t="n">
        <v>0</v>
      </c>
      <c r="T4060" t="n">
        <v>0</v>
      </c>
      <c r="U4060" t="n">
        <v>0</v>
      </c>
      <c r="V4060" s="2" t="inlineStr"/>
    </row>
    <row r="4061" ht="15" customHeight="1">
      <c r="A4061" t="inlineStr">
        <is>
          <t>A 3461-2026</t>
        </is>
      </c>
      <c r="B4061" t="inlineStr">
        <is>
          <t>avverkningsanmälan</t>
        </is>
      </c>
      <c r="C4061" t="inlineStr">
        <is>
          <t>Föryngringsavverkning</t>
        </is>
      </c>
      <c r="D4061" s="1" t="n">
        <v>46042</v>
      </c>
      <c r="E4061" s="1" t="n">
        <v>46323</v>
      </c>
      <c r="F4061" t="inlineStr">
        <is>
          <t>KALMAR LÄN</t>
        </is>
      </c>
      <c r="G4061" t="inlineStr">
        <is>
          <t>OSKARSHAMN</t>
        </is>
      </c>
      <c r="I4061" t="n">
        <v>0.5</v>
      </c>
      <c r="J4061" t="n">
        <v>0</v>
      </c>
      <c r="K4061" t="n">
        <v>0</v>
      </c>
      <c r="L4061" t="n">
        <v>0</v>
      </c>
      <c r="M4061" t="n">
        <v>0</v>
      </c>
      <c r="N4061" t="n">
        <v>0</v>
      </c>
      <c r="O4061" t="n">
        <v>0</v>
      </c>
      <c r="P4061" t="n">
        <v>0</v>
      </c>
      <c r="Q4061" t="n">
        <v>0</v>
      </c>
      <c r="R4061" t="n">
        <v>0</v>
      </c>
      <c r="S4061" t="n">
        <v>0</v>
      </c>
      <c r="T4061" t="n">
        <v>0</v>
      </c>
      <c r="U4061" t="n">
        <v>0</v>
      </c>
      <c r="V4061" s="2" t="inlineStr"/>
    </row>
    <row r="4062" ht="15" customHeight="1">
      <c r="A4062" t="inlineStr">
        <is>
          <t>A 48546-2023</t>
        </is>
      </c>
      <c r="B4062" t="inlineStr">
        <is>
          <t>avverkningsanmälan</t>
        </is>
      </c>
      <c r="C4062" t="inlineStr">
        <is>
          <t>Föryngringsavverkning</t>
        </is>
      </c>
      <c r="D4062" s="1" t="n">
        <v>45208</v>
      </c>
      <c r="E4062" s="1" t="n">
        <v>46323</v>
      </c>
      <c r="F4062" t="inlineStr">
        <is>
          <t>KALMAR LÄN</t>
        </is>
      </c>
      <c r="G4062" t="inlineStr">
        <is>
          <t>TORSÅS</t>
        </is>
      </c>
      <c r="I4062" t="n">
        <v>1.5</v>
      </c>
      <c r="J4062" t="n">
        <v>0</v>
      </c>
      <c r="K4062" t="n">
        <v>0</v>
      </c>
      <c r="L4062" t="n">
        <v>0</v>
      </c>
      <c r="M4062" t="n">
        <v>0</v>
      </c>
      <c r="N4062" t="n">
        <v>0</v>
      </c>
      <c r="O4062" t="n">
        <v>0</v>
      </c>
      <c r="P4062" t="n">
        <v>0</v>
      </c>
      <c r="Q4062" t="n">
        <v>0</v>
      </c>
      <c r="R4062" t="n">
        <v>0</v>
      </c>
      <c r="S4062" t="n">
        <v>0</v>
      </c>
      <c r="T4062" t="n">
        <v>0</v>
      </c>
      <c r="U4062" t="n">
        <v>0</v>
      </c>
      <c r="V4062" s="2" t="inlineStr"/>
    </row>
    <row r="4063" ht="15" customHeight="1">
      <c r="A4063" t="inlineStr">
        <is>
          <t>A 47953-2023</t>
        </is>
      </c>
      <c r="B4063" t="inlineStr">
        <is>
          <t>avverkningsanmälan</t>
        </is>
      </c>
      <c r="C4063" t="inlineStr">
        <is>
          <t>Föryngringsavverkning</t>
        </is>
      </c>
      <c r="D4063" s="1" t="n">
        <v>45204</v>
      </c>
      <c r="E4063" s="1" t="n">
        <v>46323</v>
      </c>
      <c r="F4063" t="inlineStr">
        <is>
          <t>KALMAR LÄN</t>
        </is>
      </c>
      <c r="G4063" t="inlineStr">
        <is>
          <t>OSKARSHAMN</t>
        </is>
      </c>
      <c r="I4063" t="n">
        <v>4.1</v>
      </c>
      <c r="J4063" t="n">
        <v>0</v>
      </c>
      <c r="K4063" t="n">
        <v>0</v>
      </c>
      <c r="L4063" t="n">
        <v>0</v>
      </c>
      <c r="M4063" t="n">
        <v>0</v>
      </c>
      <c r="N4063" t="n">
        <v>0</v>
      </c>
      <c r="O4063" t="n">
        <v>0</v>
      </c>
      <c r="P4063" t="n">
        <v>0</v>
      </c>
      <c r="Q4063" t="n">
        <v>0</v>
      </c>
      <c r="R4063" t="n">
        <v>0</v>
      </c>
      <c r="S4063" t="n">
        <v>0</v>
      </c>
      <c r="T4063" t="n">
        <v>0</v>
      </c>
      <c r="U4063" t="n">
        <v>0</v>
      </c>
      <c r="V4063" s="2" t="inlineStr"/>
    </row>
    <row r="4064" ht="15" customHeight="1">
      <c r="A4064" t="inlineStr">
        <is>
          <t>A 30156-2026</t>
        </is>
      </c>
      <c r="B4064" t="inlineStr">
        <is>
          <t>avverkningsanmälan</t>
        </is>
      </c>
      <c r="C4064" t="inlineStr">
        <is>
          <t>Föryngringsavverkning</t>
        </is>
      </c>
      <c r="D4064" s="1" t="n">
        <v>46206</v>
      </c>
      <c r="E4064" s="1" t="n">
        <v>46323</v>
      </c>
      <c r="F4064" t="inlineStr">
        <is>
          <t>KALMAR LÄN</t>
        </is>
      </c>
      <c r="G4064" t="inlineStr">
        <is>
          <t>HÖGSBY</t>
        </is>
      </c>
      <c r="H4064" t="inlineStr">
        <is>
          <t>Sveaskog</t>
        </is>
      </c>
      <c r="I4064" t="n">
        <v>3.7</v>
      </c>
      <c r="J4064" t="n">
        <v>0</v>
      </c>
      <c r="K4064" t="n">
        <v>0</v>
      </c>
      <c r="L4064" t="n">
        <v>0</v>
      </c>
      <c r="M4064" t="n">
        <v>0</v>
      </c>
      <c r="N4064" t="n">
        <v>0</v>
      </c>
      <c r="O4064" t="n">
        <v>0</v>
      </c>
      <c r="P4064" t="n">
        <v>0</v>
      </c>
      <c r="Q4064" t="n">
        <v>0</v>
      </c>
      <c r="R4064" t="n">
        <v>0</v>
      </c>
      <c r="S4064" t="n">
        <v>0</v>
      </c>
      <c r="T4064" t="n">
        <v>0</v>
      </c>
      <c r="U4064" t="n">
        <v>0</v>
      </c>
      <c r="V4064" s="2" t="inlineStr"/>
    </row>
    <row r="4065" ht="15" customHeight="1">
      <c r="A4065" t="inlineStr">
        <is>
          <t>A 30162-2026</t>
        </is>
      </c>
      <c r="B4065" t="inlineStr">
        <is>
          <t>avverkningsanmälan</t>
        </is>
      </c>
      <c r="C4065" t="inlineStr">
        <is>
          <t>Föryngringsavverkning</t>
        </is>
      </c>
      <c r="D4065" s="1" t="n">
        <v>46206</v>
      </c>
      <c r="E4065" s="1" t="n">
        <v>46323</v>
      </c>
      <c r="F4065" t="inlineStr">
        <is>
          <t>KALMAR LÄN</t>
        </is>
      </c>
      <c r="G4065" t="inlineStr">
        <is>
          <t>HÖGSBY</t>
        </is>
      </c>
      <c r="H4065" t="inlineStr">
        <is>
          <t>Sveaskog</t>
        </is>
      </c>
      <c r="I4065" t="n">
        <v>0.8</v>
      </c>
      <c r="J4065" t="n">
        <v>0</v>
      </c>
      <c r="K4065" t="n">
        <v>0</v>
      </c>
      <c r="L4065" t="n">
        <v>0</v>
      </c>
      <c r="M4065" t="n">
        <v>0</v>
      </c>
      <c r="N4065" t="n">
        <v>0</v>
      </c>
      <c r="O4065" t="n">
        <v>0</v>
      </c>
      <c r="P4065" t="n">
        <v>0</v>
      </c>
      <c r="Q4065" t="n">
        <v>0</v>
      </c>
      <c r="R4065" t="n">
        <v>0</v>
      </c>
      <c r="S4065" t="n">
        <v>0</v>
      </c>
      <c r="T4065" t="n">
        <v>0</v>
      </c>
      <c r="U4065" t="n">
        <v>0</v>
      </c>
      <c r="V4065" s="2" t="inlineStr"/>
    </row>
    <row r="4066" ht="15" customHeight="1">
      <c r="A4066" t="inlineStr">
        <is>
          <t>A 42943-2023</t>
        </is>
      </c>
      <c r="B4066" t="inlineStr">
        <is>
          <t>avverkningsanmälan</t>
        </is>
      </c>
      <c r="C4066" t="inlineStr">
        <is>
          <t>Föryngringsavverkning</t>
        </is>
      </c>
      <c r="D4066" s="1" t="n">
        <v>45182</v>
      </c>
      <c r="E4066" s="1" t="n">
        <v>46323</v>
      </c>
      <c r="F4066" t="inlineStr">
        <is>
          <t>KALMAR LÄN</t>
        </is>
      </c>
      <c r="G4066" t="inlineStr">
        <is>
          <t>EMMABODA</t>
        </is>
      </c>
      <c r="I4066" t="n">
        <v>1</v>
      </c>
      <c r="J4066" t="n">
        <v>0</v>
      </c>
      <c r="K4066" t="n">
        <v>0</v>
      </c>
      <c r="L4066" t="n">
        <v>0</v>
      </c>
      <c r="M4066" t="n">
        <v>0</v>
      </c>
      <c r="N4066" t="n">
        <v>0</v>
      </c>
      <c r="O4066" t="n">
        <v>0</v>
      </c>
      <c r="P4066" t="n">
        <v>0</v>
      </c>
      <c r="Q4066" t="n">
        <v>0</v>
      </c>
      <c r="R4066" t="n">
        <v>0</v>
      </c>
      <c r="S4066" t="n">
        <v>0</v>
      </c>
      <c r="T4066" t="n">
        <v>0</v>
      </c>
      <c r="U4066" t="n">
        <v>0</v>
      </c>
      <c r="V4066" s="2" t="inlineStr"/>
    </row>
    <row r="4067" ht="15" customHeight="1">
      <c r="A4067" t="inlineStr">
        <is>
          <t>A 42953-2023</t>
        </is>
      </c>
      <c r="B4067" t="inlineStr">
        <is>
          <t>avverkningsanmälan</t>
        </is>
      </c>
      <c r="C4067" t="inlineStr">
        <is>
          <t>Föryngringsavverkning</t>
        </is>
      </c>
      <c r="D4067" s="1" t="n">
        <v>45182</v>
      </c>
      <c r="E4067" s="1" t="n">
        <v>46323</v>
      </c>
      <c r="F4067" t="inlineStr">
        <is>
          <t>KALMAR LÄN</t>
        </is>
      </c>
      <c r="G4067" t="inlineStr">
        <is>
          <t>KALMAR</t>
        </is>
      </c>
      <c r="I4067" t="n">
        <v>0.6</v>
      </c>
      <c r="J4067" t="n">
        <v>0</v>
      </c>
      <c r="K4067" t="n">
        <v>0</v>
      </c>
      <c r="L4067" t="n">
        <v>0</v>
      </c>
      <c r="M4067" t="n">
        <v>0</v>
      </c>
      <c r="N4067" t="n">
        <v>0</v>
      </c>
      <c r="O4067" t="n">
        <v>0</v>
      </c>
      <c r="P4067" t="n">
        <v>0</v>
      </c>
      <c r="Q4067" t="n">
        <v>0</v>
      </c>
      <c r="R4067" t="n">
        <v>0</v>
      </c>
      <c r="S4067" t="n">
        <v>0</v>
      </c>
      <c r="T4067" t="n">
        <v>0</v>
      </c>
      <c r="U4067" t="n">
        <v>0</v>
      </c>
      <c r="V4067" s="2" t="inlineStr"/>
    </row>
    <row r="4068" ht="15" customHeight="1">
      <c r="A4068" t="inlineStr">
        <is>
          <t>A 6857-2025</t>
        </is>
      </c>
      <c r="B4068" t="inlineStr">
        <is>
          <t>avverkningsanmälan</t>
        </is>
      </c>
      <c r="C4068" t="inlineStr">
        <is>
          <t>Föryngringsavverkning</t>
        </is>
      </c>
      <c r="D4068" s="1" t="n">
        <v>45701</v>
      </c>
      <c r="E4068" s="1" t="n">
        <v>46323</v>
      </c>
      <c r="F4068" t="inlineStr">
        <is>
          <t>KALMAR LÄN</t>
        </is>
      </c>
      <c r="G4068" t="inlineStr">
        <is>
          <t>NYBRO</t>
        </is>
      </c>
      <c r="I4068" t="n">
        <v>0.9</v>
      </c>
      <c r="J4068" t="n">
        <v>0</v>
      </c>
      <c r="K4068" t="n">
        <v>0</v>
      </c>
      <c r="L4068" t="n">
        <v>0</v>
      </c>
      <c r="M4068" t="n">
        <v>0</v>
      </c>
      <c r="N4068" t="n">
        <v>0</v>
      </c>
      <c r="O4068" t="n">
        <v>0</v>
      </c>
      <c r="P4068" t="n">
        <v>0</v>
      </c>
      <c r="Q4068" t="n">
        <v>0</v>
      </c>
      <c r="R4068" t="n">
        <v>0</v>
      </c>
      <c r="S4068" t="n">
        <v>0</v>
      </c>
      <c r="T4068" t="n">
        <v>0</v>
      </c>
      <c r="U4068" t="n">
        <v>0</v>
      </c>
      <c r="V4068" s="2" t="inlineStr"/>
    </row>
    <row r="4069" ht="15" customHeight="1">
      <c r="A4069" t="inlineStr">
        <is>
          <t>A 22314-2026</t>
        </is>
      </c>
      <c r="B4069" t="inlineStr">
        <is>
          <t>avverkningsanmälan</t>
        </is>
      </c>
      <c r="C4069" t="inlineStr">
        <is>
          <t>Föryngringsavverkning</t>
        </is>
      </c>
      <c r="D4069" s="1" t="n">
        <v>46154</v>
      </c>
      <c r="E4069" s="1" t="n">
        <v>46323</v>
      </c>
      <c r="F4069" t="inlineStr">
        <is>
          <t>KALMAR LÄN</t>
        </is>
      </c>
      <c r="G4069" t="inlineStr">
        <is>
          <t>KALMAR</t>
        </is>
      </c>
      <c r="I4069" t="n">
        <v>2.3</v>
      </c>
      <c r="J4069" t="n">
        <v>0</v>
      </c>
      <c r="K4069" t="n">
        <v>0</v>
      </c>
      <c r="L4069" t="n">
        <v>0</v>
      </c>
      <c r="M4069" t="n">
        <v>0</v>
      </c>
      <c r="N4069" t="n">
        <v>0</v>
      </c>
      <c r="O4069" t="n">
        <v>0</v>
      </c>
      <c r="P4069" t="n">
        <v>0</v>
      </c>
      <c r="Q4069" t="n">
        <v>0</v>
      </c>
      <c r="R4069" t="n">
        <v>0</v>
      </c>
      <c r="S4069" t="n">
        <v>0</v>
      </c>
      <c r="T4069" t="n">
        <v>0</v>
      </c>
      <c r="U4069" t="n">
        <v>0</v>
      </c>
      <c r="V4069" s="2" t="inlineStr"/>
    </row>
    <row r="4070" ht="15" customHeight="1">
      <c r="A4070" t="inlineStr">
        <is>
          <t>A 58479-2025</t>
        </is>
      </c>
      <c r="B4070" t="inlineStr">
        <is>
          <t>avverkningsanmälan</t>
        </is>
      </c>
      <c r="C4070" t="inlineStr">
        <is>
          <t>Föryngringsavverkning</t>
        </is>
      </c>
      <c r="D4070" s="1" t="n">
        <v>45985</v>
      </c>
      <c r="E4070" s="1" t="n">
        <v>46323</v>
      </c>
      <c r="F4070" t="inlineStr">
        <is>
          <t>KALMAR LÄN</t>
        </is>
      </c>
      <c r="G4070" t="inlineStr">
        <is>
          <t>OSKARSHAMN</t>
        </is>
      </c>
      <c r="I4070" t="n">
        <v>1.1</v>
      </c>
      <c r="J4070" t="n">
        <v>0</v>
      </c>
      <c r="K4070" t="n">
        <v>0</v>
      </c>
      <c r="L4070" t="n">
        <v>0</v>
      </c>
      <c r="M4070" t="n">
        <v>0</v>
      </c>
      <c r="N4070" t="n">
        <v>0</v>
      </c>
      <c r="O4070" t="n">
        <v>0</v>
      </c>
      <c r="P4070" t="n">
        <v>0</v>
      </c>
      <c r="Q4070" t="n">
        <v>0</v>
      </c>
      <c r="R4070" t="n">
        <v>0</v>
      </c>
      <c r="S4070" t="n">
        <v>0</v>
      </c>
      <c r="T4070" t="n">
        <v>0</v>
      </c>
      <c r="U4070" t="n">
        <v>0</v>
      </c>
      <c r="V4070" s="2" t="inlineStr"/>
    </row>
    <row r="4071" ht="15" customHeight="1">
      <c r="A4071" t="inlineStr">
        <is>
          <t>A 3050-2026</t>
        </is>
      </c>
      <c r="B4071" t="inlineStr">
        <is>
          <t>avverkningsanmälan</t>
        </is>
      </c>
      <c r="C4071" t="inlineStr">
        <is>
          <t>Föryngringsavverkning</t>
        </is>
      </c>
      <c r="D4071" s="1" t="n">
        <v>46038</v>
      </c>
      <c r="E4071" s="1" t="n">
        <v>46323</v>
      </c>
      <c r="F4071" t="inlineStr">
        <is>
          <t>KALMAR LÄN</t>
        </is>
      </c>
      <c r="G4071" t="inlineStr">
        <is>
          <t>HÖGSBY</t>
        </is>
      </c>
      <c r="I4071" t="n">
        <v>2</v>
      </c>
      <c r="J4071" t="n">
        <v>0</v>
      </c>
      <c r="K4071" t="n">
        <v>0</v>
      </c>
      <c r="L4071" t="n">
        <v>0</v>
      </c>
      <c r="M4071" t="n">
        <v>0</v>
      </c>
      <c r="N4071" t="n">
        <v>0</v>
      </c>
      <c r="O4071" t="n">
        <v>0</v>
      </c>
      <c r="P4071" t="n">
        <v>0</v>
      </c>
      <c r="Q4071" t="n">
        <v>0</v>
      </c>
      <c r="R4071" t="n">
        <v>0</v>
      </c>
      <c r="S4071" t="n">
        <v>0</v>
      </c>
      <c r="T4071" t="n">
        <v>0</v>
      </c>
      <c r="U4071" t="n">
        <v>0</v>
      </c>
      <c r="V4071" s="2" t="inlineStr"/>
    </row>
    <row r="4072" ht="15" customHeight="1">
      <c r="A4072" t="inlineStr">
        <is>
          <t>A 9869-2024</t>
        </is>
      </c>
      <c r="B4072" t="inlineStr">
        <is>
          <t>avverkningsanmälan</t>
        </is>
      </c>
      <c r="C4072" t="inlineStr">
        <is>
          <t>Föryngringsavverkning</t>
        </is>
      </c>
      <c r="D4072" s="1" t="n">
        <v>45363</v>
      </c>
      <c r="E4072" s="1" t="n">
        <v>46323</v>
      </c>
      <c r="F4072" t="inlineStr">
        <is>
          <t>KALMAR LÄN</t>
        </is>
      </c>
      <c r="G4072" t="inlineStr">
        <is>
          <t>KALMAR</t>
        </is>
      </c>
      <c r="I4072" t="n">
        <v>1.5</v>
      </c>
      <c r="J4072" t="n">
        <v>0</v>
      </c>
      <c r="K4072" t="n">
        <v>0</v>
      </c>
      <c r="L4072" t="n">
        <v>0</v>
      </c>
      <c r="M4072" t="n">
        <v>0</v>
      </c>
      <c r="N4072" t="n">
        <v>0</v>
      </c>
      <c r="O4072" t="n">
        <v>0</v>
      </c>
      <c r="P4072" t="n">
        <v>0</v>
      </c>
      <c r="Q4072" t="n">
        <v>0</v>
      </c>
      <c r="R4072" t="n">
        <v>0</v>
      </c>
      <c r="S4072" t="n">
        <v>0</v>
      </c>
      <c r="T4072" t="n">
        <v>0</v>
      </c>
      <c r="U4072" t="n">
        <v>0</v>
      </c>
      <c r="V4072" s="2" t="inlineStr"/>
    </row>
    <row r="4073" ht="15" customHeight="1">
      <c r="A4073" t="inlineStr">
        <is>
          <t>A 48500-2023</t>
        </is>
      </c>
      <c r="B4073" t="inlineStr">
        <is>
          <t>avverkningsanmälan</t>
        </is>
      </c>
      <c r="C4073" t="inlineStr">
        <is>
          <t>Föryngringsavverkning</t>
        </is>
      </c>
      <c r="D4073" s="1" t="n">
        <v>45207</v>
      </c>
      <c r="E4073" s="1" t="n">
        <v>46323</v>
      </c>
      <c r="F4073" t="inlineStr">
        <is>
          <t>KALMAR LÄN</t>
        </is>
      </c>
      <c r="G4073" t="inlineStr">
        <is>
          <t>OSKARSHAMN</t>
        </is>
      </c>
      <c r="I4073" t="n">
        <v>4.4</v>
      </c>
      <c r="J4073" t="n">
        <v>0</v>
      </c>
      <c r="K4073" t="n">
        <v>0</v>
      </c>
      <c r="L4073" t="n">
        <v>0</v>
      </c>
      <c r="M4073" t="n">
        <v>0</v>
      </c>
      <c r="N4073" t="n">
        <v>0</v>
      </c>
      <c r="O4073" t="n">
        <v>0</v>
      </c>
      <c r="P4073" t="n">
        <v>0</v>
      </c>
      <c r="Q4073" t="n">
        <v>0</v>
      </c>
      <c r="R4073" t="n">
        <v>0</v>
      </c>
      <c r="S4073" t="n">
        <v>0</v>
      </c>
      <c r="T4073" t="n">
        <v>0</v>
      </c>
      <c r="U4073" t="n">
        <v>0</v>
      </c>
      <c r="V4073" s="2" t="inlineStr"/>
    </row>
    <row r="4074" ht="15" customHeight="1">
      <c r="A4074" t="inlineStr">
        <is>
          <t>A 49461-2023</t>
        </is>
      </c>
      <c r="B4074" t="inlineStr">
        <is>
          <t>avverkningsanmälan</t>
        </is>
      </c>
      <c r="C4074" t="inlineStr">
        <is>
          <t>Föryngringsavverkning</t>
        </is>
      </c>
      <c r="D4074" s="1" t="n">
        <v>45211</v>
      </c>
      <c r="E4074" s="1" t="n">
        <v>46323</v>
      </c>
      <c r="F4074" t="inlineStr">
        <is>
          <t>KALMAR LÄN</t>
        </is>
      </c>
      <c r="G4074" t="inlineStr">
        <is>
          <t>VIMMERBY</t>
        </is>
      </c>
      <c r="I4074" t="n">
        <v>1.5</v>
      </c>
      <c r="J4074" t="n">
        <v>0</v>
      </c>
      <c r="K4074" t="n">
        <v>0</v>
      </c>
      <c r="L4074" t="n">
        <v>0</v>
      </c>
      <c r="M4074" t="n">
        <v>0</v>
      </c>
      <c r="N4074" t="n">
        <v>0</v>
      </c>
      <c r="O4074" t="n">
        <v>0</v>
      </c>
      <c r="P4074" t="n">
        <v>0</v>
      </c>
      <c r="Q4074" t="n">
        <v>0</v>
      </c>
      <c r="R4074" t="n">
        <v>0</v>
      </c>
      <c r="S4074" t="n">
        <v>0</v>
      </c>
      <c r="T4074" t="n">
        <v>0</v>
      </c>
      <c r="U4074" t="n">
        <v>0</v>
      </c>
      <c r="V4074" s="2" t="inlineStr"/>
    </row>
    <row r="4075" ht="15" customHeight="1">
      <c r="A4075" t="inlineStr">
        <is>
          <t>A 49474-2023</t>
        </is>
      </c>
      <c r="B4075" t="inlineStr">
        <is>
          <t>avverkningsanmälan</t>
        </is>
      </c>
      <c r="C4075" t="inlineStr">
        <is>
          <t>Föryngringsavverkning</t>
        </is>
      </c>
      <c r="D4075" s="1" t="n">
        <v>45211</v>
      </c>
      <c r="E4075" s="1" t="n">
        <v>46323</v>
      </c>
      <c r="F4075" t="inlineStr">
        <is>
          <t>KALMAR LÄN</t>
        </is>
      </c>
      <c r="G4075" t="inlineStr">
        <is>
          <t>VIMMERBY</t>
        </is>
      </c>
      <c r="I4075" t="n">
        <v>3.6</v>
      </c>
      <c r="J4075" t="n">
        <v>0</v>
      </c>
      <c r="K4075" t="n">
        <v>0</v>
      </c>
      <c r="L4075" t="n">
        <v>0</v>
      </c>
      <c r="M4075" t="n">
        <v>0</v>
      </c>
      <c r="N4075" t="n">
        <v>0</v>
      </c>
      <c r="O4075" t="n">
        <v>0</v>
      </c>
      <c r="P4075" t="n">
        <v>0</v>
      </c>
      <c r="Q4075" t="n">
        <v>0</v>
      </c>
      <c r="R4075" t="n">
        <v>0</v>
      </c>
      <c r="S4075" t="n">
        <v>0</v>
      </c>
      <c r="T4075" t="n">
        <v>0</v>
      </c>
      <c r="U4075" t="n">
        <v>0</v>
      </c>
      <c r="V4075" s="2" t="inlineStr"/>
    </row>
    <row r="4076" ht="15" customHeight="1">
      <c r="A4076" t="inlineStr">
        <is>
          <t>A 5146-2024</t>
        </is>
      </c>
      <c r="B4076" t="inlineStr">
        <is>
          <t>avverkningsanmälan</t>
        </is>
      </c>
      <c r="C4076" t="inlineStr">
        <is>
          <t>Föryngringsavverkning</t>
        </is>
      </c>
      <c r="D4076" s="1" t="n">
        <v>45330</v>
      </c>
      <c r="E4076" s="1" t="n">
        <v>46323</v>
      </c>
      <c r="F4076" t="inlineStr">
        <is>
          <t>KALMAR LÄN</t>
        </is>
      </c>
      <c r="G4076" t="inlineStr">
        <is>
          <t>VIMMERBY</t>
        </is>
      </c>
      <c r="I4076" t="n">
        <v>5.3</v>
      </c>
      <c r="J4076" t="n">
        <v>0</v>
      </c>
      <c r="K4076" t="n">
        <v>0</v>
      </c>
      <c r="L4076" t="n">
        <v>0</v>
      </c>
      <c r="M4076" t="n">
        <v>0</v>
      </c>
      <c r="N4076" t="n">
        <v>0</v>
      </c>
      <c r="O4076" t="n">
        <v>0</v>
      </c>
      <c r="P4076" t="n">
        <v>0</v>
      </c>
      <c r="Q4076" t="n">
        <v>0</v>
      </c>
      <c r="R4076" t="n">
        <v>0</v>
      </c>
      <c r="S4076" t="n">
        <v>0</v>
      </c>
      <c r="T4076" t="n">
        <v>0</v>
      </c>
      <c r="U4076" t="n">
        <v>0</v>
      </c>
      <c r="V4076" s="2" t="inlineStr"/>
    </row>
    <row r="4077" ht="15" customHeight="1">
      <c r="A4077" t="inlineStr">
        <is>
          <t>A 30712-2026</t>
        </is>
      </c>
      <c r="B4077" t="inlineStr">
        <is>
          <t>avverkningsanmälan</t>
        </is>
      </c>
      <c r="C4077" t="inlineStr">
        <is>
          <t>Föryngringsavverkning</t>
        </is>
      </c>
      <c r="D4077" s="1" t="n">
        <v>46211</v>
      </c>
      <c r="E4077" s="1" t="n">
        <v>46323</v>
      </c>
      <c r="F4077" t="inlineStr">
        <is>
          <t>KALMAR LÄN</t>
        </is>
      </c>
      <c r="G4077" t="inlineStr">
        <is>
          <t>HULTSFRED</t>
        </is>
      </c>
      <c r="I4077" t="n">
        <v>2.5</v>
      </c>
      <c r="J4077" t="n">
        <v>0</v>
      </c>
      <c r="K4077" t="n">
        <v>0</v>
      </c>
      <c r="L4077" t="n">
        <v>0</v>
      </c>
      <c r="M4077" t="n">
        <v>0</v>
      </c>
      <c r="N4077" t="n">
        <v>0</v>
      </c>
      <c r="O4077" t="n">
        <v>0</v>
      </c>
      <c r="P4077" t="n">
        <v>0</v>
      </c>
      <c r="Q4077" t="n">
        <v>0</v>
      </c>
      <c r="R4077" t="n">
        <v>0</v>
      </c>
      <c r="S4077" t="n">
        <v>0</v>
      </c>
      <c r="T4077" t="n">
        <v>0</v>
      </c>
      <c r="U4077" t="n">
        <v>0</v>
      </c>
      <c r="V4077" s="2" t="inlineStr"/>
    </row>
    <row r="4078" ht="15" customHeight="1">
      <c r="A4078" t="inlineStr">
        <is>
          <t>A 3965-2026</t>
        </is>
      </c>
      <c r="B4078" t="inlineStr">
        <is>
          <t>avverkningsanmälan</t>
        </is>
      </c>
      <c r="C4078" t="inlineStr">
        <is>
          <t>Föryngringsavverkning</t>
        </is>
      </c>
      <c r="D4078" s="1" t="n">
        <v>46044</v>
      </c>
      <c r="E4078" s="1" t="n">
        <v>46323</v>
      </c>
      <c r="F4078" t="inlineStr">
        <is>
          <t>KALMAR LÄN</t>
        </is>
      </c>
      <c r="G4078" t="inlineStr">
        <is>
          <t>VIMMERBY</t>
        </is>
      </c>
      <c r="I4078" t="n">
        <v>2.6</v>
      </c>
      <c r="J4078" t="n">
        <v>0</v>
      </c>
      <c r="K4078" t="n">
        <v>0</v>
      </c>
      <c r="L4078" t="n">
        <v>0</v>
      </c>
      <c r="M4078" t="n">
        <v>0</v>
      </c>
      <c r="N4078" t="n">
        <v>0</v>
      </c>
      <c r="O4078" t="n">
        <v>0</v>
      </c>
      <c r="P4078" t="n">
        <v>0</v>
      </c>
      <c r="Q4078" t="n">
        <v>0</v>
      </c>
      <c r="R4078" t="n">
        <v>0</v>
      </c>
      <c r="S4078" t="n">
        <v>0</v>
      </c>
      <c r="T4078" t="n">
        <v>0</v>
      </c>
      <c r="U4078" t="n">
        <v>0</v>
      </c>
      <c r="V4078" s="2" t="inlineStr"/>
    </row>
    <row r="4079" ht="15" customHeight="1">
      <c r="A4079" t="inlineStr">
        <is>
          <t>A 4190-2026</t>
        </is>
      </c>
      <c r="B4079" t="inlineStr">
        <is>
          <t>avverkningsanmälan</t>
        </is>
      </c>
      <c r="C4079" t="inlineStr">
        <is>
          <t>Föryngringsavverkning</t>
        </is>
      </c>
      <c r="D4079" s="1" t="n">
        <v>46044</v>
      </c>
      <c r="E4079" s="1" t="n">
        <v>46323</v>
      </c>
      <c r="F4079" t="inlineStr">
        <is>
          <t>KALMAR LÄN</t>
        </is>
      </c>
      <c r="G4079" t="inlineStr">
        <is>
          <t>VÄSTERVIK</t>
        </is>
      </c>
      <c r="I4079" t="n">
        <v>10.5</v>
      </c>
      <c r="J4079" t="n">
        <v>0</v>
      </c>
      <c r="K4079" t="n">
        <v>0</v>
      </c>
      <c r="L4079" t="n">
        <v>0</v>
      </c>
      <c r="M4079" t="n">
        <v>0</v>
      </c>
      <c r="N4079" t="n">
        <v>0</v>
      </c>
      <c r="O4079" t="n">
        <v>0</v>
      </c>
      <c r="P4079" t="n">
        <v>0</v>
      </c>
      <c r="Q4079" t="n">
        <v>0</v>
      </c>
      <c r="R4079" t="n">
        <v>0</v>
      </c>
      <c r="S4079" t="n">
        <v>0</v>
      </c>
      <c r="T4079" t="n">
        <v>0</v>
      </c>
      <c r="U4079" t="n">
        <v>0</v>
      </c>
      <c r="V4079" s="2" t="inlineStr"/>
    </row>
    <row r="4080" ht="15" customHeight="1">
      <c r="A4080" t="inlineStr">
        <is>
          <t>A 61861-2024</t>
        </is>
      </c>
      <c r="B4080" t="inlineStr">
        <is>
          <t>avverkningsanmälan</t>
        </is>
      </c>
      <c r="C4080" t="inlineStr">
        <is>
          <t>Föryngringsavverkning</t>
        </is>
      </c>
      <c r="D4080" s="1" t="n">
        <v>45650</v>
      </c>
      <c r="E4080" s="1" t="n">
        <v>46323</v>
      </c>
      <c r="F4080" t="inlineStr">
        <is>
          <t>KALMAR LÄN</t>
        </is>
      </c>
      <c r="G4080" t="inlineStr">
        <is>
          <t>VIMMERBY</t>
        </is>
      </c>
      <c r="I4080" t="n">
        <v>1</v>
      </c>
      <c r="J4080" t="n">
        <v>0</v>
      </c>
      <c r="K4080" t="n">
        <v>0</v>
      </c>
      <c r="L4080" t="n">
        <v>0</v>
      </c>
      <c r="M4080" t="n">
        <v>0</v>
      </c>
      <c r="N4080" t="n">
        <v>0</v>
      </c>
      <c r="O4080" t="n">
        <v>0</v>
      </c>
      <c r="P4080" t="n">
        <v>0</v>
      </c>
      <c r="Q4080" t="n">
        <v>0</v>
      </c>
      <c r="R4080" t="n">
        <v>0</v>
      </c>
      <c r="S4080" t="n">
        <v>0</v>
      </c>
      <c r="T4080" t="n">
        <v>0</v>
      </c>
      <c r="U4080" t="n">
        <v>0</v>
      </c>
      <c r="V4080" s="2" t="inlineStr"/>
    </row>
    <row r="4081" ht="15" customHeight="1">
      <c r="A4081" t="inlineStr">
        <is>
          <t>A 4268-2025</t>
        </is>
      </c>
      <c r="B4081" t="inlineStr">
        <is>
          <t>avverkningsanmälan</t>
        </is>
      </c>
      <c r="C4081" t="inlineStr">
        <is>
          <t>Föryngringsavverkning</t>
        </is>
      </c>
      <c r="D4081" s="1" t="n">
        <v>45685</v>
      </c>
      <c r="E4081" s="1" t="n">
        <v>46323</v>
      </c>
      <c r="F4081" t="inlineStr">
        <is>
          <t>KALMAR LÄN</t>
        </is>
      </c>
      <c r="G4081" t="inlineStr">
        <is>
          <t>MÖNSTERÅS</t>
        </is>
      </c>
      <c r="I4081" t="n">
        <v>0.5</v>
      </c>
      <c r="J4081" t="n">
        <v>0</v>
      </c>
      <c r="K4081" t="n">
        <v>0</v>
      </c>
      <c r="L4081" t="n">
        <v>0</v>
      </c>
      <c r="M4081" t="n">
        <v>0</v>
      </c>
      <c r="N4081" t="n">
        <v>0</v>
      </c>
      <c r="O4081" t="n">
        <v>0</v>
      </c>
      <c r="P4081" t="n">
        <v>0</v>
      </c>
      <c r="Q4081" t="n">
        <v>0</v>
      </c>
      <c r="R4081" t="n">
        <v>0</v>
      </c>
      <c r="S4081" t="n">
        <v>0</v>
      </c>
      <c r="T4081" t="n">
        <v>0</v>
      </c>
      <c r="U4081" t="n">
        <v>0</v>
      </c>
      <c r="V4081" s="2" t="inlineStr"/>
    </row>
    <row r="4082" ht="15" customHeight="1">
      <c r="A4082" t="inlineStr">
        <is>
          <t>A 3869-2026</t>
        </is>
      </c>
      <c r="B4082" t="inlineStr">
        <is>
          <t>avverkningsanmälan</t>
        </is>
      </c>
      <c r="C4082" t="inlineStr">
        <is>
          <t>Föryngringsavverkning</t>
        </is>
      </c>
      <c r="D4082" s="1" t="n">
        <v>46043</v>
      </c>
      <c r="E4082" s="1" t="n">
        <v>46323</v>
      </c>
      <c r="F4082" t="inlineStr">
        <is>
          <t>KALMAR LÄN</t>
        </is>
      </c>
      <c r="G4082" t="inlineStr">
        <is>
          <t>VIMMERBY</t>
        </is>
      </c>
      <c r="I4082" t="n">
        <v>0.7</v>
      </c>
      <c r="J4082" t="n">
        <v>0</v>
      </c>
      <c r="K4082" t="n">
        <v>0</v>
      </c>
      <c r="L4082" t="n">
        <v>0</v>
      </c>
      <c r="M4082" t="n">
        <v>0</v>
      </c>
      <c r="N4082" t="n">
        <v>0</v>
      </c>
      <c r="O4082" t="n">
        <v>0</v>
      </c>
      <c r="P4082" t="n">
        <v>0</v>
      </c>
      <c r="Q4082" t="n">
        <v>0</v>
      </c>
      <c r="R4082" t="n">
        <v>0</v>
      </c>
      <c r="S4082" t="n">
        <v>0</v>
      </c>
      <c r="T4082" t="n">
        <v>0</v>
      </c>
      <c r="U4082" t="n">
        <v>0</v>
      </c>
      <c r="V4082" s="2" t="inlineStr"/>
    </row>
    <row r="4083" ht="15" customHeight="1">
      <c r="A4083" t="inlineStr">
        <is>
          <t>A 18323-2025</t>
        </is>
      </c>
      <c r="B4083" t="inlineStr">
        <is>
          <t>avverkningsanmälan</t>
        </is>
      </c>
      <c r="C4083" t="inlineStr">
        <is>
          <t>Föryngringsavverkning</t>
        </is>
      </c>
      <c r="D4083" s="1" t="n">
        <v>45762</v>
      </c>
      <c r="E4083" s="1" t="n">
        <v>46323</v>
      </c>
      <c r="F4083" t="inlineStr">
        <is>
          <t>KALMAR LÄN</t>
        </is>
      </c>
      <c r="G4083" t="inlineStr">
        <is>
          <t>NYBRO</t>
        </is>
      </c>
      <c r="H4083" t="inlineStr">
        <is>
          <t>Sveaskog</t>
        </is>
      </c>
      <c r="I4083" t="n">
        <v>0.9</v>
      </c>
      <c r="J4083" t="n">
        <v>0</v>
      </c>
      <c r="K4083" t="n">
        <v>0</v>
      </c>
      <c r="L4083" t="n">
        <v>0</v>
      </c>
      <c r="M4083" t="n">
        <v>0</v>
      </c>
      <c r="N4083" t="n">
        <v>0</v>
      </c>
      <c r="O4083" t="n">
        <v>0</v>
      </c>
      <c r="P4083" t="n">
        <v>0</v>
      </c>
      <c r="Q4083" t="n">
        <v>0</v>
      </c>
      <c r="R4083" t="n">
        <v>0</v>
      </c>
      <c r="S4083" t="n">
        <v>0</v>
      </c>
      <c r="T4083" t="n">
        <v>0</v>
      </c>
      <c r="U4083" t="n">
        <v>0</v>
      </c>
      <c r="V4083" s="2" t="inlineStr"/>
    </row>
    <row r="4084" ht="15" customHeight="1">
      <c r="A4084" t="inlineStr">
        <is>
          <t>A 30730-2026</t>
        </is>
      </c>
      <c r="B4084" t="inlineStr">
        <is>
          <t>avverkningsanmälan</t>
        </is>
      </c>
      <c r="C4084" t="inlineStr">
        <is>
          <t>Föryngringsavverkning</t>
        </is>
      </c>
      <c r="D4084" s="1" t="n">
        <v>46211</v>
      </c>
      <c r="E4084" s="1" t="n">
        <v>46323</v>
      </c>
      <c r="F4084" t="inlineStr">
        <is>
          <t>KALMAR LÄN</t>
        </is>
      </c>
      <c r="G4084" t="inlineStr">
        <is>
          <t>HULTSFRED</t>
        </is>
      </c>
      <c r="I4084" t="n">
        <v>1</v>
      </c>
      <c r="J4084" t="n">
        <v>0</v>
      </c>
      <c r="K4084" t="n">
        <v>0</v>
      </c>
      <c r="L4084" t="n">
        <v>0</v>
      </c>
      <c r="M4084" t="n">
        <v>0</v>
      </c>
      <c r="N4084" t="n">
        <v>0</v>
      </c>
      <c r="O4084" t="n">
        <v>0</v>
      </c>
      <c r="P4084" t="n">
        <v>0</v>
      </c>
      <c r="Q4084" t="n">
        <v>0</v>
      </c>
      <c r="R4084" t="n">
        <v>0</v>
      </c>
      <c r="S4084" t="n">
        <v>0</v>
      </c>
      <c r="T4084" t="n">
        <v>0</v>
      </c>
      <c r="U4084" t="n">
        <v>0</v>
      </c>
      <c r="V4084" s="2" t="inlineStr"/>
    </row>
    <row r="4085" ht="15" customHeight="1">
      <c r="A4085" t="inlineStr">
        <is>
          <t>A 30731-2026</t>
        </is>
      </c>
      <c r="B4085" t="inlineStr">
        <is>
          <t>avverkningsanmälan</t>
        </is>
      </c>
      <c r="C4085" t="inlineStr">
        <is>
          <t>Föryngringsavverkning</t>
        </is>
      </c>
      <c r="D4085" s="1" t="n">
        <v>46211</v>
      </c>
      <c r="E4085" s="1" t="n">
        <v>46323</v>
      </c>
      <c r="F4085" t="inlineStr">
        <is>
          <t>KALMAR LÄN</t>
        </is>
      </c>
      <c r="G4085" t="inlineStr">
        <is>
          <t>HULTSFRED</t>
        </is>
      </c>
      <c r="I4085" t="n">
        <v>0.4</v>
      </c>
      <c r="J4085" t="n">
        <v>0</v>
      </c>
      <c r="K4085" t="n">
        <v>0</v>
      </c>
      <c r="L4085" t="n">
        <v>0</v>
      </c>
      <c r="M4085" t="n">
        <v>0</v>
      </c>
      <c r="N4085" t="n">
        <v>0</v>
      </c>
      <c r="O4085" t="n">
        <v>0</v>
      </c>
      <c r="P4085" t="n">
        <v>0</v>
      </c>
      <c r="Q4085" t="n">
        <v>0</v>
      </c>
      <c r="R4085" t="n">
        <v>0</v>
      </c>
      <c r="S4085" t="n">
        <v>0</v>
      </c>
      <c r="T4085" t="n">
        <v>0</v>
      </c>
      <c r="U4085" t="n">
        <v>0</v>
      </c>
      <c r="V4085" s="2" t="inlineStr"/>
    </row>
    <row r="4086" ht="15" customHeight="1">
      <c r="A4086" t="inlineStr">
        <is>
          <t>A 30743-2026</t>
        </is>
      </c>
      <c r="B4086" t="inlineStr">
        <is>
          <t>avverkningsanmälan</t>
        </is>
      </c>
      <c r="C4086" t="inlineStr">
        <is>
          <t>Föryngringsavverkning</t>
        </is>
      </c>
      <c r="D4086" s="1" t="n">
        <v>46211</v>
      </c>
      <c r="E4086" s="1" t="n">
        <v>46323</v>
      </c>
      <c r="F4086" t="inlineStr">
        <is>
          <t>KALMAR LÄN</t>
        </is>
      </c>
      <c r="G4086" t="inlineStr">
        <is>
          <t>OSKARSHAMN</t>
        </is>
      </c>
      <c r="I4086" t="n">
        <v>13.6</v>
      </c>
      <c r="J4086" t="n">
        <v>0</v>
      </c>
      <c r="K4086" t="n">
        <v>0</v>
      </c>
      <c r="L4086" t="n">
        <v>0</v>
      </c>
      <c r="M4086" t="n">
        <v>0</v>
      </c>
      <c r="N4086" t="n">
        <v>0</v>
      </c>
      <c r="O4086" t="n">
        <v>0</v>
      </c>
      <c r="P4086" t="n">
        <v>0</v>
      </c>
      <c r="Q4086" t="n">
        <v>0</v>
      </c>
      <c r="R4086" t="n">
        <v>0</v>
      </c>
      <c r="S4086" t="n">
        <v>0</v>
      </c>
      <c r="T4086" t="n">
        <v>0</v>
      </c>
      <c r="U4086" t="n">
        <v>0</v>
      </c>
      <c r="V4086" s="2" t="inlineStr"/>
    </row>
    <row r="4087" ht="15" customHeight="1">
      <c r="A4087" t="inlineStr">
        <is>
          <t>A 3789-2026</t>
        </is>
      </c>
      <c r="B4087" t="inlineStr">
        <is>
          <t>avverkningsanmälan</t>
        </is>
      </c>
      <c r="C4087" t="inlineStr">
        <is>
          <t>Föryngringsavverkning</t>
        </is>
      </c>
      <c r="D4087" s="1" t="n">
        <v>46043</v>
      </c>
      <c r="E4087" s="1" t="n">
        <v>46323</v>
      </c>
      <c r="F4087" t="inlineStr">
        <is>
          <t>KALMAR LÄN</t>
        </is>
      </c>
      <c r="G4087" t="inlineStr">
        <is>
          <t>MÖNSTERÅS</t>
        </is>
      </c>
      <c r="I4087" t="n">
        <v>1.2</v>
      </c>
      <c r="J4087" t="n">
        <v>0</v>
      </c>
      <c r="K4087" t="n">
        <v>0</v>
      </c>
      <c r="L4087" t="n">
        <v>0</v>
      </c>
      <c r="M4087" t="n">
        <v>0</v>
      </c>
      <c r="N4087" t="n">
        <v>0</v>
      </c>
      <c r="O4087" t="n">
        <v>0</v>
      </c>
      <c r="P4087" t="n">
        <v>0</v>
      </c>
      <c r="Q4087" t="n">
        <v>0</v>
      </c>
      <c r="R4087" t="n">
        <v>0</v>
      </c>
      <c r="S4087" t="n">
        <v>0</v>
      </c>
      <c r="T4087" t="n">
        <v>0</v>
      </c>
      <c r="U4087" t="n">
        <v>0</v>
      </c>
      <c r="V4087" s="2" t="inlineStr"/>
    </row>
    <row r="4088" ht="15" customHeight="1">
      <c r="A4088" t="inlineStr">
        <is>
          <t>A 4191-2026</t>
        </is>
      </c>
      <c r="B4088" t="inlineStr">
        <is>
          <t>avverkningsanmälan</t>
        </is>
      </c>
      <c r="C4088" t="inlineStr">
        <is>
          <t>Föryngringsavverkning</t>
        </is>
      </c>
      <c r="D4088" s="1" t="n">
        <v>46044</v>
      </c>
      <c r="E4088" s="1" t="n">
        <v>46323</v>
      </c>
      <c r="F4088" t="inlineStr">
        <is>
          <t>KALMAR LÄN</t>
        </is>
      </c>
      <c r="G4088" t="inlineStr">
        <is>
          <t>VÄSTERVIK</t>
        </is>
      </c>
      <c r="I4088" t="n">
        <v>10.9</v>
      </c>
      <c r="J4088" t="n">
        <v>0</v>
      </c>
      <c r="K4088" t="n">
        <v>0</v>
      </c>
      <c r="L4088" t="n">
        <v>0</v>
      </c>
      <c r="M4088" t="n">
        <v>0</v>
      </c>
      <c r="N4088" t="n">
        <v>0</v>
      </c>
      <c r="O4088" t="n">
        <v>0</v>
      </c>
      <c r="P4088" t="n">
        <v>0</v>
      </c>
      <c r="Q4088" t="n">
        <v>0</v>
      </c>
      <c r="R4088" t="n">
        <v>0</v>
      </c>
      <c r="S4088" t="n">
        <v>0</v>
      </c>
      <c r="T4088" t="n">
        <v>0</v>
      </c>
      <c r="U4088" t="n">
        <v>0</v>
      </c>
      <c r="V4088" s="2" t="inlineStr"/>
    </row>
    <row r="4089" ht="15" customHeight="1">
      <c r="A4089" t="inlineStr">
        <is>
          <t>A 4192-2026</t>
        </is>
      </c>
      <c r="B4089" t="inlineStr">
        <is>
          <t>avverkningsanmälan</t>
        </is>
      </c>
      <c r="C4089" t="inlineStr">
        <is>
          <t>Föryngringsavverkning</t>
        </is>
      </c>
      <c r="D4089" s="1" t="n">
        <v>46044</v>
      </c>
      <c r="E4089" s="1" t="n">
        <v>46323</v>
      </c>
      <c r="F4089" t="inlineStr">
        <is>
          <t>KALMAR LÄN</t>
        </is>
      </c>
      <c r="G4089" t="inlineStr">
        <is>
          <t>VÄSTERVIK</t>
        </is>
      </c>
      <c r="I4089" t="n">
        <v>16.6</v>
      </c>
      <c r="J4089" t="n">
        <v>0</v>
      </c>
      <c r="K4089" t="n">
        <v>0</v>
      </c>
      <c r="L4089" t="n">
        <v>0</v>
      </c>
      <c r="M4089" t="n">
        <v>0</v>
      </c>
      <c r="N4089" t="n">
        <v>0</v>
      </c>
      <c r="O4089" t="n">
        <v>0</v>
      </c>
      <c r="P4089" t="n">
        <v>0</v>
      </c>
      <c r="Q4089" t="n">
        <v>0</v>
      </c>
      <c r="R4089" t="n">
        <v>0</v>
      </c>
      <c r="S4089" t="n">
        <v>0</v>
      </c>
      <c r="T4089" t="n">
        <v>0</v>
      </c>
      <c r="U4089" t="n">
        <v>0</v>
      </c>
      <c r="V4089" s="2" t="inlineStr"/>
    </row>
    <row r="4090" ht="15" customHeight="1">
      <c r="A4090" t="inlineStr">
        <is>
          <t>A 3610-2026</t>
        </is>
      </c>
      <c r="B4090" t="inlineStr">
        <is>
          <t>avverkningsanmälan</t>
        </is>
      </c>
      <c r="C4090" t="inlineStr">
        <is>
          <t>Föryngringsavverkning</t>
        </is>
      </c>
      <c r="D4090" s="1" t="n">
        <v>46042</v>
      </c>
      <c r="E4090" s="1" t="n">
        <v>46323</v>
      </c>
      <c r="F4090" t="inlineStr">
        <is>
          <t>KALMAR LÄN</t>
        </is>
      </c>
      <c r="G4090" t="inlineStr">
        <is>
          <t>VÄSTERVIK</t>
        </is>
      </c>
      <c r="I4090" t="n">
        <v>9.9</v>
      </c>
      <c r="J4090" t="n">
        <v>0</v>
      </c>
      <c r="K4090" t="n">
        <v>0</v>
      </c>
      <c r="L4090" t="n">
        <v>0</v>
      </c>
      <c r="M4090" t="n">
        <v>0</v>
      </c>
      <c r="N4090" t="n">
        <v>0</v>
      </c>
      <c r="O4090" t="n">
        <v>0</v>
      </c>
      <c r="P4090" t="n">
        <v>0</v>
      </c>
      <c r="Q4090" t="n">
        <v>0</v>
      </c>
      <c r="R4090" t="n">
        <v>0</v>
      </c>
      <c r="S4090" t="n">
        <v>0</v>
      </c>
      <c r="T4090" t="n">
        <v>0</v>
      </c>
      <c r="U4090" t="n">
        <v>0</v>
      </c>
      <c r="V4090" s="2" t="inlineStr"/>
    </row>
    <row r="4091" ht="15" customHeight="1">
      <c r="A4091" t="inlineStr">
        <is>
          <t>A 4185-2026</t>
        </is>
      </c>
      <c r="B4091" t="inlineStr">
        <is>
          <t>avverkningsanmälan</t>
        </is>
      </c>
      <c r="C4091" t="inlineStr">
        <is>
          <t>Föryngringsavverkning</t>
        </is>
      </c>
      <c r="D4091" s="1" t="n">
        <v>46044</v>
      </c>
      <c r="E4091" s="1" t="n">
        <v>46323</v>
      </c>
      <c r="F4091" t="inlineStr">
        <is>
          <t>KALMAR LÄN</t>
        </is>
      </c>
      <c r="G4091" t="inlineStr">
        <is>
          <t>VÄSTERVIK</t>
        </is>
      </c>
      <c r="I4091" t="n">
        <v>2</v>
      </c>
      <c r="J4091" t="n">
        <v>0</v>
      </c>
      <c r="K4091" t="n">
        <v>0</v>
      </c>
      <c r="L4091" t="n">
        <v>0</v>
      </c>
      <c r="M4091" t="n">
        <v>0</v>
      </c>
      <c r="N4091" t="n">
        <v>0</v>
      </c>
      <c r="O4091" t="n">
        <v>0</v>
      </c>
      <c r="P4091" t="n">
        <v>0</v>
      </c>
      <c r="Q4091" t="n">
        <v>0</v>
      </c>
      <c r="R4091" t="n">
        <v>0</v>
      </c>
      <c r="S4091" t="n">
        <v>0</v>
      </c>
      <c r="T4091" t="n">
        <v>0</v>
      </c>
      <c r="U4091" t="n">
        <v>0</v>
      </c>
      <c r="V4091" s="2" t="inlineStr"/>
    </row>
    <row r="4092" ht="15" customHeight="1">
      <c r="A4092" t="inlineStr">
        <is>
          <t>A 58980-2025</t>
        </is>
      </c>
      <c r="B4092" t="inlineStr">
        <is>
          <t>avverkningsanmälan</t>
        </is>
      </c>
      <c r="C4092" t="inlineStr">
        <is>
          <t>Avverkning för annat ändamål</t>
        </is>
      </c>
      <c r="D4092" s="1" t="n">
        <v>45987</v>
      </c>
      <c r="E4092" s="1" t="n">
        <v>46323</v>
      </c>
      <c r="F4092" t="inlineStr">
        <is>
          <t>KALMAR LÄN</t>
        </is>
      </c>
      <c r="G4092" t="inlineStr">
        <is>
          <t>MÖNSTERÅS</t>
        </is>
      </c>
      <c r="I4092" t="n">
        <v>1.3</v>
      </c>
      <c r="J4092" t="n">
        <v>0</v>
      </c>
      <c r="K4092" t="n">
        <v>0</v>
      </c>
      <c r="L4092" t="n">
        <v>0</v>
      </c>
      <c r="M4092" t="n">
        <v>0</v>
      </c>
      <c r="N4092" t="n">
        <v>0</v>
      </c>
      <c r="O4092" t="n">
        <v>0</v>
      </c>
      <c r="P4092" t="n">
        <v>0</v>
      </c>
      <c r="Q4092" t="n">
        <v>0</v>
      </c>
      <c r="R4092" t="n">
        <v>0</v>
      </c>
      <c r="S4092" t="n">
        <v>0</v>
      </c>
      <c r="T4092" t="n">
        <v>0</v>
      </c>
      <c r="U4092" t="n">
        <v>0</v>
      </c>
      <c r="V4092" s="2" t="inlineStr"/>
    </row>
    <row r="4093" ht="15" customHeight="1">
      <c r="A4093" t="inlineStr">
        <is>
          <t>A 4186-2026</t>
        </is>
      </c>
      <c r="B4093" t="inlineStr">
        <is>
          <t>avverkningsanmälan</t>
        </is>
      </c>
      <c r="C4093" t="inlineStr">
        <is>
          <t>Föryngringsavverkning</t>
        </is>
      </c>
      <c r="D4093" s="1" t="n">
        <v>46044</v>
      </c>
      <c r="E4093" s="1" t="n">
        <v>46323</v>
      </c>
      <c r="F4093" t="inlineStr">
        <is>
          <t>KALMAR LÄN</t>
        </is>
      </c>
      <c r="G4093" t="inlineStr">
        <is>
          <t>VÄSTERVIK</t>
        </is>
      </c>
      <c r="I4093" t="n">
        <v>8.800000000000001</v>
      </c>
      <c r="J4093" t="n">
        <v>0</v>
      </c>
      <c r="K4093" t="n">
        <v>0</v>
      </c>
      <c r="L4093" t="n">
        <v>0</v>
      </c>
      <c r="M4093" t="n">
        <v>0</v>
      </c>
      <c r="N4093" t="n">
        <v>0</v>
      </c>
      <c r="O4093" t="n">
        <v>0</v>
      </c>
      <c r="P4093" t="n">
        <v>0</v>
      </c>
      <c r="Q4093" t="n">
        <v>0</v>
      </c>
      <c r="R4093" t="n">
        <v>0</v>
      </c>
      <c r="S4093" t="n">
        <v>0</v>
      </c>
      <c r="T4093" t="n">
        <v>0</v>
      </c>
      <c r="U4093" t="n">
        <v>0</v>
      </c>
      <c r="V4093" s="2" t="inlineStr"/>
    </row>
    <row r="4094" ht="15" customHeight="1">
      <c r="A4094" t="inlineStr">
        <is>
          <t>A 4189-2026</t>
        </is>
      </c>
      <c r="B4094" t="inlineStr">
        <is>
          <t>avverkningsanmälan</t>
        </is>
      </c>
      <c r="C4094" t="inlineStr">
        <is>
          <t>Föryngringsavverkning</t>
        </is>
      </c>
      <c r="D4094" s="1" t="n">
        <v>46044</v>
      </c>
      <c r="E4094" s="1" t="n">
        <v>46323</v>
      </c>
      <c r="F4094" t="inlineStr">
        <is>
          <t>KALMAR LÄN</t>
        </is>
      </c>
      <c r="G4094" t="inlineStr">
        <is>
          <t>VÄSTERVIK</t>
        </is>
      </c>
      <c r="I4094" t="n">
        <v>3.4</v>
      </c>
      <c r="J4094" t="n">
        <v>0</v>
      </c>
      <c r="K4094" t="n">
        <v>0</v>
      </c>
      <c r="L4094" t="n">
        <v>0</v>
      </c>
      <c r="M4094" t="n">
        <v>0</v>
      </c>
      <c r="N4094" t="n">
        <v>0</v>
      </c>
      <c r="O4094" t="n">
        <v>0</v>
      </c>
      <c r="P4094" t="n">
        <v>0</v>
      </c>
      <c r="Q4094" t="n">
        <v>0</v>
      </c>
      <c r="R4094" t="n">
        <v>0</v>
      </c>
      <c r="S4094" t="n">
        <v>0</v>
      </c>
      <c r="T4094" t="n">
        <v>0</v>
      </c>
      <c r="U4094" t="n">
        <v>0</v>
      </c>
      <c r="V4094" s="2" t="inlineStr"/>
    </row>
    <row r="4095" ht="15" customHeight="1">
      <c r="A4095" t="inlineStr">
        <is>
          <t>A 31791-2023</t>
        </is>
      </c>
      <c r="B4095" t="inlineStr">
        <is>
          <t>avverkningsanmälan</t>
        </is>
      </c>
      <c r="C4095" t="inlineStr">
        <is>
          <t>Föryngringsavverkning</t>
        </is>
      </c>
      <c r="D4095" s="1" t="n">
        <v>45118</v>
      </c>
      <c r="E4095" s="1" t="n">
        <v>46323</v>
      </c>
      <c r="F4095" t="inlineStr">
        <is>
          <t>KALMAR LÄN</t>
        </is>
      </c>
      <c r="G4095" t="inlineStr">
        <is>
          <t>NYBRO</t>
        </is>
      </c>
      <c r="I4095" t="n">
        <v>1</v>
      </c>
      <c r="J4095" t="n">
        <v>0</v>
      </c>
      <c r="K4095" t="n">
        <v>0</v>
      </c>
      <c r="L4095" t="n">
        <v>0</v>
      </c>
      <c r="M4095" t="n">
        <v>0</v>
      </c>
      <c r="N4095" t="n">
        <v>0</v>
      </c>
      <c r="O4095" t="n">
        <v>0</v>
      </c>
      <c r="P4095" t="n">
        <v>0</v>
      </c>
      <c r="Q4095" t="n">
        <v>0</v>
      </c>
      <c r="R4095" t="n">
        <v>0</v>
      </c>
      <c r="S4095" t="n">
        <v>0</v>
      </c>
      <c r="T4095" t="n">
        <v>0</v>
      </c>
      <c r="U4095" t="n">
        <v>0</v>
      </c>
      <c r="V4095" s="2" t="inlineStr"/>
    </row>
    <row r="4096" ht="15" customHeight="1">
      <c r="A4096" t="inlineStr">
        <is>
          <t>A 45846-2023</t>
        </is>
      </c>
      <c r="B4096" t="inlineStr">
        <is>
          <t>avverkningsanmälan</t>
        </is>
      </c>
      <c r="C4096" t="inlineStr">
        <is>
          <t>Föryngringsavverkning</t>
        </is>
      </c>
      <c r="D4096" s="1" t="n">
        <v>45195</v>
      </c>
      <c r="E4096" s="1" t="n">
        <v>46323</v>
      </c>
      <c r="F4096" t="inlineStr">
        <is>
          <t>KALMAR LÄN</t>
        </is>
      </c>
      <c r="G4096" t="inlineStr">
        <is>
          <t>VIMMERBY</t>
        </is>
      </c>
      <c r="I4096" t="n">
        <v>0.7</v>
      </c>
      <c r="J4096" t="n">
        <v>0</v>
      </c>
      <c r="K4096" t="n">
        <v>0</v>
      </c>
      <c r="L4096" t="n">
        <v>0</v>
      </c>
      <c r="M4096" t="n">
        <v>0</v>
      </c>
      <c r="N4096" t="n">
        <v>0</v>
      </c>
      <c r="O4096" t="n">
        <v>0</v>
      </c>
      <c r="P4096" t="n">
        <v>0</v>
      </c>
      <c r="Q4096" t="n">
        <v>0</v>
      </c>
      <c r="R4096" t="n">
        <v>0</v>
      </c>
      <c r="S4096" t="n">
        <v>0</v>
      </c>
      <c r="T4096" t="n">
        <v>0</v>
      </c>
      <c r="U4096" t="n">
        <v>0</v>
      </c>
      <c r="V4096" s="2" t="inlineStr"/>
    </row>
    <row r="4097" ht="15" customHeight="1">
      <c r="A4097" t="inlineStr">
        <is>
          <t>A 30716-2026</t>
        </is>
      </c>
      <c r="B4097" t="inlineStr">
        <is>
          <t>avverkningsanmälan</t>
        </is>
      </c>
      <c r="C4097" t="inlineStr">
        <is>
          <t>Föryngringsavverkning</t>
        </is>
      </c>
      <c r="D4097" s="1" t="n">
        <v>46211</v>
      </c>
      <c r="E4097" s="1" t="n">
        <v>46323</v>
      </c>
      <c r="F4097" t="inlineStr">
        <is>
          <t>KALMAR LÄN</t>
        </is>
      </c>
      <c r="G4097" t="inlineStr">
        <is>
          <t>HULTSFRED</t>
        </is>
      </c>
      <c r="I4097" t="n">
        <v>1.8</v>
      </c>
      <c r="J4097" t="n">
        <v>0</v>
      </c>
      <c r="K4097" t="n">
        <v>0</v>
      </c>
      <c r="L4097" t="n">
        <v>0</v>
      </c>
      <c r="M4097" t="n">
        <v>0</v>
      </c>
      <c r="N4097" t="n">
        <v>0</v>
      </c>
      <c r="O4097" t="n">
        <v>0</v>
      </c>
      <c r="P4097" t="n">
        <v>0</v>
      </c>
      <c r="Q4097" t="n">
        <v>0</v>
      </c>
      <c r="R4097" t="n">
        <v>0</v>
      </c>
      <c r="S4097" t="n">
        <v>0</v>
      </c>
      <c r="T4097" t="n">
        <v>0</v>
      </c>
      <c r="U4097" t="n">
        <v>0</v>
      </c>
      <c r="V4097" s="2" t="inlineStr"/>
    </row>
    <row r="4098" ht="15" customHeight="1">
      <c r="A4098" t="inlineStr">
        <is>
          <t>A 30689-2026</t>
        </is>
      </c>
      <c r="B4098" t="inlineStr">
        <is>
          <t>avverkningsanmälan</t>
        </is>
      </c>
      <c r="C4098" t="inlineStr">
        <is>
          <t>Föryngringsavverkning</t>
        </is>
      </c>
      <c r="D4098" s="1" t="n">
        <v>46211</v>
      </c>
      <c r="E4098" s="1" t="n">
        <v>46323</v>
      </c>
      <c r="F4098" t="inlineStr">
        <is>
          <t>KALMAR LÄN</t>
        </is>
      </c>
      <c r="G4098" t="inlineStr">
        <is>
          <t>EMMABODA</t>
        </is>
      </c>
      <c r="I4098" t="n">
        <v>0.8</v>
      </c>
      <c r="J4098" t="n">
        <v>0</v>
      </c>
      <c r="K4098" t="n">
        <v>0</v>
      </c>
      <c r="L4098" t="n">
        <v>0</v>
      </c>
      <c r="M4098" t="n">
        <v>0</v>
      </c>
      <c r="N4098" t="n">
        <v>0</v>
      </c>
      <c r="O4098" t="n">
        <v>0</v>
      </c>
      <c r="P4098" t="n">
        <v>0</v>
      </c>
      <c r="Q4098" t="n">
        <v>0</v>
      </c>
      <c r="R4098" t="n">
        <v>0</v>
      </c>
      <c r="S4098" t="n">
        <v>0</v>
      </c>
      <c r="T4098" t="n">
        <v>0</v>
      </c>
      <c r="U4098" t="n">
        <v>0</v>
      </c>
      <c r="V4098" s="2" t="inlineStr"/>
    </row>
    <row r="4099" ht="15" customHeight="1">
      <c r="A4099" t="inlineStr">
        <is>
          <t>A 14057-2024</t>
        </is>
      </c>
      <c r="B4099" t="inlineStr">
        <is>
          <t>avverkningsanmälan</t>
        </is>
      </c>
      <c r="C4099" t="inlineStr">
        <is>
          <t>Föryngringsavverkning</t>
        </is>
      </c>
      <c r="D4099" s="1" t="n">
        <v>45392</v>
      </c>
      <c r="E4099" s="1" t="n">
        <v>46323</v>
      </c>
      <c r="F4099" t="inlineStr">
        <is>
          <t>KALMAR LÄN</t>
        </is>
      </c>
      <c r="G4099" t="inlineStr">
        <is>
          <t>NYBRO</t>
        </is>
      </c>
      <c r="I4099" t="n">
        <v>2.2</v>
      </c>
      <c r="J4099" t="n">
        <v>0</v>
      </c>
      <c r="K4099" t="n">
        <v>0</v>
      </c>
      <c r="L4099" t="n">
        <v>0</v>
      </c>
      <c r="M4099" t="n">
        <v>0</v>
      </c>
      <c r="N4099" t="n">
        <v>0</v>
      </c>
      <c r="O4099" t="n">
        <v>0</v>
      </c>
      <c r="P4099" t="n">
        <v>0</v>
      </c>
      <c r="Q4099" t="n">
        <v>0</v>
      </c>
      <c r="R4099" t="n">
        <v>0</v>
      </c>
      <c r="S4099" t="n">
        <v>0</v>
      </c>
      <c r="T4099" t="n">
        <v>0</v>
      </c>
      <c r="U4099" t="n">
        <v>0</v>
      </c>
      <c r="V4099" s="2" t="inlineStr"/>
    </row>
    <row r="4100" ht="15" customHeight="1">
      <c r="A4100" t="inlineStr">
        <is>
          <t>A 14071-2024</t>
        </is>
      </c>
      <c r="B4100" t="inlineStr">
        <is>
          <t>avverkningsanmälan</t>
        </is>
      </c>
      <c r="C4100" t="inlineStr">
        <is>
          <t>Föryngringsavverkning</t>
        </is>
      </c>
      <c r="D4100" s="1" t="n">
        <v>45392</v>
      </c>
      <c r="E4100" s="1" t="n">
        <v>46323</v>
      </c>
      <c r="F4100" t="inlineStr">
        <is>
          <t>KALMAR LÄN</t>
        </is>
      </c>
      <c r="G4100" t="inlineStr">
        <is>
          <t>EMMABODA</t>
        </is>
      </c>
      <c r="I4100" t="n">
        <v>2.5</v>
      </c>
      <c r="J4100" t="n">
        <v>0</v>
      </c>
      <c r="K4100" t="n">
        <v>0</v>
      </c>
      <c r="L4100" t="n">
        <v>0</v>
      </c>
      <c r="M4100" t="n">
        <v>0</v>
      </c>
      <c r="N4100" t="n">
        <v>0</v>
      </c>
      <c r="O4100" t="n">
        <v>0</v>
      </c>
      <c r="P4100" t="n">
        <v>0</v>
      </c>
      <c r="Q4100" t="n">
        <v>0</v>
      </c>
      <c r="R4100" t="n">
        <v>0</v>
      </c>
      <c r="S4100" t="n">
        <v>0</v>
      </c>
      <c r="T4100" t="n">
        <v>0</v>
      </c>
      <c r="U4100" t="n">
        <v>0</v>
      </c>
      <c r="V4100" s="2" t="inlineStr"/>
    </row>
    <row r="4101" ht="15" customHeight="1">
      <c r="A4101" t="inlineStr">
        <is>
          <t>A 8167-2024</t>
        </is>
      </c>
      <c r="B4101" t="inlineStr">
        <is>
          <t>avverkningsanmälan</t>
        </is>
      </c>
      <c r="C4101" t="inlineStr">
        <is>
          <t>Föryngringsavverkning</t>
        </is>
      </c>
      <c r="D4101" s="1" t="n">
        <v>45351</v>
      </c>
      <c r="E4101" s="1" t="n">
        <v>46323</v>
      </c>
      <c r="F4101" t="inlineStr">
        <is>
          <t>KALMAR LÄN</t>
        </is>
      </c>
      <c r="G4101" t="inlineStr">
        <is>
          <t>VIMMERBY</t>
        </is>
      </c>
      <c r="I4101" t="n">
        <v>3.8</v>
      </c>
      <c r="J4101" t="n">
        <v>0</v>
      </c>
      <c r="K4101" t="n">
        <v>0</v>
      </c>
      <c r="L4101" t="n">
        <v>0</v>
      </c>
      <c r="M4101" t="n">
        <v>0</v>
      </c>
      <c r="N4101" t="n">
        <v>0</v>
      </c>
      <c r="O4101" t="n">
        <v>0</v>
      </c>
      <c r="P4101" t="n">
        <v>0</v>
      </c>
      <c r="Q4101" t="n">
        <v>0</v>
      </c>
      <c r="R4101" t="n">
        <v>0</v>
      </c>
      <c r="S4101" t="n">
        <v>0</v>
      </c>
      <c r="T4101" t="n">
        <v>0</v>
      </c>
      <c r="U4101" t="n">
        <v>0</v>
      </c>
      <c r="V4101" s="2" t="inlineStr"/>
    </row>
    <row r="4102" ht="15" customHeight="1">
      <c r="A4102" t="inlineStr">
        <is>
          <t>A 23938-2025</t>
        </is>
      </c>
      <c r="B4102" t="inlineStr">
        <is>
          <t>avverkningsanmälan</t>
        </is>
      </c>
      <c r="C4102" t="inlineStr">
        <is>
          <t>Föryngringsavverkning</t>
        </is>
      </c>
      <c r="D4102" s="1" t="n">
        <v>45796</v>
      </c>
      <c r="E4102" s="1" t="n">
        <v>46323</v>
      </c>
      <c r="F4102" t="inlineStr">
        <is>
          <t>KALMAR LÄN</t>
        </is>
      </c>
      <c r="G4102" t="inlineStr">
        <is>
          <t>OSKARSHAMN</t>
        </is>
      </c>
      <c r="I4102" t="n">
        <v>5.3</v>
      </c>
      <c r="J4102" t="n">
        <v>0</v>
      </c>
      <c r="K4102" t="n">
        <v>0</v>
      </c>
      <c r="L4102" t="n">
        <v>0</v>
      </c>
      <c r="M4102" t="n">
        <v>0</v>
      </c>
      <c r="N4102" t="n">
        <v>0</v>
      </c>
      <c r="O4102" t="n">
        <v>0</v>
      </c>
      <c r="P4102" t="n">
        <v>0</v>
      </c>
      <c r="Q4102" t="n">
        <v>0</v>
      </c>
      <c r="R4102" t="n">
        <v>0</v>
      </c>
      <c r="S4102" t="n">
        <v>0</v>
      </c>
      <c r="T4102" t="n">
        <v>0</v>
      </c>
      <c r="U4102" t="n">
        <v>0</v>
      </c>
      <c r="V4102" s="2" t="inlineStr"/>
    </row>
    <row r="4103" ht="15" customHeight="1">
      <c r="A4103" t="inlineStr">
        <is>
          <t>A 32919-2023</t>
        </is>
      </c>
      <c r="B4103" t="inlineStr">
        <is>
          <t>avverkningsanmälan</t>
        </is>
      </c>
      <c r="C4103" t="inlineStr">
        <is>
          <t>Föryngringsavverkning</t>
        </is>
      </c>
      <c r="D4103" s="1" t="n">
        <v>45125</v>
      </c>
      <c r="E4103" s="1" t="n">
        <v>46323</v>
      </c>
      <c r="F4103" t="inlineStr">
        <is>
          <t>KALMAR LÄN</t>
        </is>
      </c>
      <c r="G4103" t="inlineStr">
        <is>
          <t>BORGHOLM</t>
        </is>
      </c>
      <c r="I4103" t="n">
        <v>2.7</v>
      </c>
      <c r="J4103" t="n">
        <v>0</v>
      </c>
      <c r="K4103" t="n">
        <v>0</v>
      </c>
      <c r="L4103" t="n">
        <v>0</v>
      </c>
      <c r="M4103" t="n">
        <v>0</v>
      </c>
      <c r="N4103" t="n">
        <v>0</v>
      </c>
      <c r="O4103" t="n">
        <v>0</v>
      </c>
      <c r="P4103" t="n">
        <v>0</v>
      </c>
      <c r="Q4103" t="n">
        <v>0</v>
      </c>
      <c r="R4103" t="n">
        <v>0</v>
      </c>
      <c r="S4103" t="n">
        <v>0</v>
      </c>
      <c r="T4103" t="n">
        <v>0</v>
      </c>
      <c r="U4103" t="n">
        <v>0</v>
      </c>
      <c r="V4103" s="2" t="inlineStr"/>
    </row>
    <row r="4104" ht="15" customHeight="1">
      <c r="A4104" t="inlineStr">
        <is>
          <t>A 20505-2022</t>
        </is>
      </c>
      <c r="B4104" t="inlineStr">
        <is>
          <t>avverkningsanmälan</t>
        </is>
      </c>
      <c r="C4104" t="inlineStr">
        <is>
          <t>Föryngringsavverkning</t>
        </is>
      </c>
      <c r="D4104" s="1" t="n">
        <v>44699</v>
      </c>
      <c r="E4104" s="1" t="n">
        <v>46323</v>
      </c>
      <c r="F4104" t="inlineStr">
        <is>
          <t>KALMAR LÄN</t>
        </is>
      </c>
      <c r="G4104" t="inlineStr">
        <is>
          <t>EMMABODA</t>
        </is>
      </c>
      <c r="I4104" t="n">
        <v>0.9</v>
      </c>
      <c r="J4104" t="n">
        <v>0</v>
      </c>
      <c r="K4104" t="n">
        <v>0</v>
      </c>
      <c r="L4104" t="n">
        <v>0</v>
      </c>
      <c r="M4104" t="n">
        <v>0</v>
      </c>
      <c r="N4104" t="n">
        <v>0</v>
      </c>
      <c r="O4104" t="n">
        <v>0</v>
      </c>
      <c r="P4104" t="n">
        <v>0</v>
      </c>
      <c r="Q4104" t="n">
        <v>0</v>
      </c>
      <c r="R4104" t="n">
        <v>0</v>
      </c>
      <c r="S4104" t="n">
        <v>0</v>
      </c>
      <c r="T4104" t="n">
        <v>0</v>
      </c>
      <c r="U4104" t="n">
        <v>0</v>
      </c>
      <c r="V4104" s="2" t="inlineStr"/>
    </row>
    <row r="4105" ht="15" customHeight="1">
      <c r="A4105" t="inlineStr">
        <is>
          <t>A 57417-2024</t>
        </is>
      </c>
      <c r="B4105" t="inlineStr">
        <is>
          <t>avverkningsanmälan</t>
        </is>
      </c>
      <c r="C4105" t="inlineStr">
        <is>
          <t>Föryngringsavverkning</t>
        </is>
      </c>
      <c r="D4105" s="1" t="n">
        <v>45629</v>
      </c>
      <c r="E4105" s="1" t="n">
        <v>46323</v>
      </c>
      <c r="F4105" t="inlineStr">
        <is>
          <t>KALMAR LÄN</t>
        </is>
      </c>
      <c r="G4105" t="inlineStr">
        <is>
          <t>KALMAR</t>
        </is>
      </c>
      <c r="I4105" t="n">
        <v>13.5</v>
      </c>
      <c r="J4105" t="n">
        <v>0</v>
      </c>
      <c r="K4105" t="n">
        <v>0</v>
      </c>
      <c r="L4105" t="n">
        <v>0</v>
      </c>
      <c r="M4105" t="n">
        <v>0</v>
      </c>
      <c r="N4105" t="n">
        <v>0</v>
      </c>
      <c r="O4105" t="n">
        <v>0</v>
      </c>
      <c r="P4105" t="n">
        <v>0</v>
      </c>
      <c r="Q4105" t="n">
        <v>0</v>
      </c>
      <c r="R4105" t="n">
        <v>0</v>
      </c>
      <c r="S4105" t="n">
        <v>0</v>
      </c>
      <c r="T4105" t="n">
        <v>0</v>
      </c>
      <c r="U4105" t="n">
        <v>0</v>
      </c>
      <c r="V4105" s="2" t="inlineStr"/>
    </row>
    <row r="4106" ht="15" customHeight="1">
      <c r="A4106" t="inlineStr">
        <is>
          <t>A 4188-2026</t>
        </is>
      </c>
      <c r="B4106" t="inlineStr">
        <is>
          <t>avverkningsanmälan</t>
        </is>
      </c>
      <c r="C4106" t="inlineStr">
        <is>
          <t>Föryngringsavverkning</t>
        </is>
      </c>
      <c r="D4106" s="1" t="n">
        <v>46044</v>
      </c>
      <c r="E4106" s="1" t="n">
        <v>46323</v>
      </c>
      <c r="F4106" t="inlineStr">
        <is>
          <t>KALMAR LÄN</t>
        </is>
      </c>
      <c r="G4106" t="inlineStr">
        <is>
          <t>VÄSTERVIK</t>
        </is>
      </c>
      <c r="I4106" t="n">
        <v>3.1</v>
      </c>
      <c r="J4106" t="n">
        <v>0</v>
      </c>
      <c r="K4106" t="n">
        <v>0</v>
      </c>
      <c r="L4106" t="n">
        <v>0</v>
      </c>
      <c r="M4106" t="n">
        <v>0</v>
      </c>
      <c r="N4106" t="n">
        <v>0</v>
      </c>
      <c r="O4106" t="n">
        <v>0</v>
      </c>
      <c r="P4106" t="n">
        <v>0</v>
      </c>
      <c r="Q4106" t="n">
        <v>0</v>
      </c>
      <c r="R4106" t="n">
        <v>0</v>
      </c>
      <c r="S4106" t="n">
        <v>0</v>
      </c>
      <c r="T4106" t="n">
        <v>0</v>
      </c>
      <c r="U4106" t="n">
        <v>0</v>
      </c>
      <c r="V4106" s="2" t="inlineStr"/>
    </row>
    <row r="4107" ht="15" customHeight="1">
      <c r="A4107" t="inlineStr">
        <is>
          <t>A 30721-2026</t>
        </is>
      </c>
      <c r="B4107" t="inlineStr">
        <is>
          <t>avverkningsanmälan</t>
        </is>
      </c>
      <c r="C4107" t="inlineStr">
        <is>
          <t>Föryngringsavverkning</t>
        </is>
      </c>
      <c r="D4107" s="1" t="n">
        <v>46211</v>
      </c>
      <c r="E4107" s="1" t="n">
        <v>46323</v>
      </c>
      <c r="F4107" t="inlineStr">
        <is>
          <t>KALMAR LÄN</t>
        </is>
      </c>
      <c r="G4107" t="inlineStr">
        <is>
          <t>HULTSFRED</t>
        </is>
      </c>
      <c r="I4107" t="n">
        <v>1.7</v>
      </c>
      <c r="J4107" t="n">
        <v>0</v>
      </c>
      <c r="K4107" t="n">
        <v>0</v>
      </c>
      <c r="L4107" t="n">
        <v>0</v>
      </c>
      <c r="M4107" t="n">
        <v>0</v>
      </c>
      <c r="N4107" t="n">
        <v>0</v>
      </c>
      <c r="O4107" t="n">
        <v>0</v>
      </c>
      <c r="P4107" t="n">
        <v>0</v>
      </c>
      <c r="Q4107" t="n">
        <v>0</v>
      </c>
      <c r="R4107" t="n">
        <v>0</v>
      </c>
      <c r="S4107" t="n">
        <v>0</v>
      </c>
      <c r="T4107" t="n">
        <v>0</v>
      </c>
      <c r="U4107" t="n">
        <v>0</v>
      </c>
      <c r="V4107" s="2" t="inlineStr"/>
    </row>
    <row r="4108" ht="15" customHeight="1">
      <c r="A4108" t="inlineStr">
        <is>
          <t>A 3780-2026</t>
        </is>
      </c>
      <c r="B4108" t="inlineStr">
        <is>
          <t>avverkningsanmälan</t>
        </is>
      </c>
      <c r="C4108" t="inlineStr">
        <is>
          <t>Föryngringsavverkning</t>
        </is>
      </c>
      <c r="D4108" s="1" t="n">
        <v>46043</v>
      </c>
      <c r="E4108" s="1" t="n">
        <v>46323</v>
      </c>
      <c r="F4108" t="inlineStr">
        <is>
          <t>KALMAR LÄN</t>
        </is>
      </c>
      <c r="G4108" t="inlineStr">
        <is>
          <t>MÖNSTERÅS</t>
        </is>
      </c>
      <c r="I4108" t="n">
        <v>3.8</v>
      </c>
      <c r="J4108" t="n">
        <v>0</v>
      </c>
      <c r="K4108" t="n">
        <v>0</v>
      </c>
      <c r="L4108" t="n">
        <v>0</v>
      </c>
      <c r="M4108" t="n">
        <v>0</v>
      </c>
      <c r="N4108" t="n">
        <v>0</v>
      </c>
      <c r="O4108" t="n">
        <v>0</v>
      </c>
      <c r="P4108" t="n">
        <v>0</v>
      </c>
      <c r="Q4108" t="n">
        <v>0</v>
      </c>
      <c r="R4108" t="n">
        <v>0</v>
      </c>
      <c r="S4108" t="n">
        <v>0</v>
      </c>
      <c r="T4108" t="n">
        <v>0</v>
      </c>
      <c r="U4108" t="n">
        <v>0</v>
      </c>
      <c r="V4108" s="2" t="inlineStr"/>
    </row>
    <row r="4109" ht="15" customHeight="1">
      <c r="A4109" t="inlineStr">
        <is>
          <t>A 56042-2023</t>
        </is>
      </c>
      <c r="B4109" t="inlineStr">
        <is>
          <t>avverkningsanmälan</t>
        </is>
      </c>
      <c r="C4109" t="inlineStr">
        <is>
          <t>Föryngringsavverkning</t>
        </is>
      </c>
      <c r="D4109" s="1" t="n">
        <v>45240</v>
      </c>
      <c r="E4109" s="1" t="n">
        <v>46323</v>
      </c>
      <c r="F4109" t="inlineStr">
        <is>
          <t>KALMAR LÄN</t>
        </is>
      </c>
      <c r="G4109" t="inlineStr">
        <is>
          <t>VÄSTERVIK</t>
        </is>
      </c>
      <c r="I4109" t="n">
        <v>0.7</v>
      </c>
      <c r="J4109" t="n">
        <v>0</v>
      </c>
      <c r="K4109" t="n">
        <v>0</v>
      </c>
      <c r="L4109" t="n">
        <v>0</v>
      </c>
      <c r="M4109" t="n">
        <v>0</v>
      </c>
      <c r="N4109" t="n">
        <v>0</v>
      </c>
      <c r="O4109" t="n">
        <v>0</v>
      </c>
      <c r="P4109" t="n">
        <v>0</v>
      </c>
      <c r="Q4109" t="n">
        <v>0</v>
      </c>
      <c r="R4109" t="n">
        <v>0</v>
      </c>
      <c r="S4109" t="n">
        <v>0</v>
      </c>
      <c r="T4109" t="n">
        <v>0</v>
      </c>
      <c r="U4109" t="n">
        <v>0</v>
      </c>
      <c r="V4109" s="2" t="inlineStr"/>
    </row>
    <row r="4110" ht="15" customHeight="1">
      <c r="A4110" t="inlineStr">
        <is>
          <t>A 4032-2026</t>
        </is>
      </c>
      <c r="B4110" t="inlineStr">
        <is>
          <t>avverkningsanmälan</t>
        </is>
      </c>
      <c r="C4110" t="inlineStr">
        <is>
          <t>Föryngringsavverkning</t>
        </is>
      </c>
      <c r="D4110" s="1" t="n">
        <v>46044</v>
      </c>
      <c r="E4110" s="1" t="n">
        <v>46323</v>
      </c>
      <c r="F4110" t="inlineStr">
        <is>
          <t>KALMAR LÄN</t>
        </is>
      </c>
      <c r="G4110" t="inlineStr">
        <is>
          <t>EMMABODA</t>
        </is>
      </c>
      <c r="I4110" t="n">
        <v>5.1</v>
      </c>
      <c r="J4110" t="n">
        <v>0</v>
      </c>
      <c r="K4110" t="n">
        <v>0</v>
      </c>
      <c r="L4110" t="n">
        <v>0</v>
      </c>
      <c r="M4110" t="n">
        <v>0</v>
      </c>
      <c r="N4110" t="n">
        <v>0</v>
      </c>
      <c r="O4110" t="n">
        <v>0</v>
      </c>
      <c r="P4110" t="n">
        <v>0</v>
      </c>
      <c r="Q4110" t="n">
        <v>0</v>
      </c>
      <c r="R4110" t="n">
        <v>0</v>
      </c>
      <c r="S4110" t="n">
        <v>0</v>
      </c>
      <c r="T4110" t="n">
        <v>0</v>
      </c>
      <c r="U4110" t="n">
        <v>0</v>
      </c>
      <c r="V4110" s="2" t="inlineStr"/>
    </row>
    <row r="4111" ht="15" customHeight="1">
      <c r="A4111" t="inlineStr">
        <is>
          <t>A 23745-2025</t>
        </is>
      </c>
      <c r="B4111" t="inlineStr">
        <is>
          <t>avverkningsanmälan</t>
        </is>
      </c>
      <c r="C4111" t="inlineStr">
        <is>
          <t>Föryngringsavverkning</t>
        </is>
      </c>
      <c r="D4111" s="1" t="n">
        <v>45793</v>
      </c>
      <c r="E4111" s="1" t="n">
        <v>46323</v>
      </c>
      <c r="F4111" t="inlineStr">
        <is>
          <t>KALMAR LÄN</t>
        </is>
      </c>
      <c r="G4111" t="inlineStr">
        <is>
          <t>VÄSTERVIK</t>
        </is>
      </c>
      <c r="H4111" t="inlineStr">
        <is>
          <t>Holmen skog AB</t>
        </is>
      </c>
      <c r="I4111" t="n">
        <v>3.7</v>
      </c>
      <c r="J4111" t="n">
        <v>0</v>
      </c>
      <c r="K4111" t="n">
        <v>0</v>
      </c>
      <c r="L4111" t="n">
        <v>0</v>
      </c>
      <c r="M4111" t="n">
        <v>0</v>
      </c>
      <c r="N4111" t="n">
        <v>0</v>
      </c>
      <c r="O4111" t="n">
        <v>0</v>
      </c>
      <c r="P4111" t="n">
        <v>0</v>
      </c>
      <c r="Q4111" t="n">
        <v>0</v>
      </c>
      <c r="R4111" t="n">
        <v>0</v>
      </c>
      <c r="S4111" t="n">
        <v>0</v>
      </c>
      <c r="T4111" t="n">
        <v>0</v>
      </c>
      <c r="U4111" t="n">
        <v>0</v>
      </c>
      <c r="V4111" s="2" t="inlineStr"/>
    </row>
    <row r="4112" ht="15" customHeight="1">
      <c r="A4112" t="inlineStr">
        <is>
          <t>A 4121-2026</t>
        </is>
      </c>
      <c r="B4112" t="inlineStr">
        <is>
          <t>avverkningsanmälan</t>
        </is>
      </c>
      <c r="C4112" t="inlineStr">
        <is>
          <t>Föryngringsavverkning</t>
        </is>
      </c>
      <c r="D4112" s="1" t="n">
        <v>46044</v>
      </c>
      <c r="E4112" s="1" t="n">
        <v>46323</v>
      </c>
      <c r="F4112" t="inlineStr">
        <is>
          <t>KALMAR LÄN</t>
        </is>
      </c>
      <c r="G4112" t="inlineStr">
        <is>
          <t>HULTSFRED</t>
        </is>
      </c>
      <c r="I4112" t="n">
        <v>1.8</v>
      </c>
      <c r="J4112" t="n">
        <v>0</v>
      </c>
      <c r="K4112" t="n">
        <v>0</v>
      </c>
      <c r="L4112" t="n">
        <v>0</v>
      </c>
      <c r="M4112" t="n">
        <v>0</v>
      </c>
      <c r="N4112" t="n">
        <v>0</v>
      </c>
      <c r="O4112" t="n">
        <v>0</v>
      </c>
      <c r="P4112" t="n">
        <v>0</v>
      </c>
      <c r="Q4112" t="n">
        <v>0</v>
      </c>
      <c r="R4112" t="n">
        <v>0</v>
      </c>
      <c r="S4112" t="n">
        <v>0</v>
      </c>
      <c r="T4112" t="n">
        <v>0</v>
      </c>
      <c r="U4112" t="n">
        <v>0</v>
      </c>
      <c r="V4112" s="2" t="inlineStr"/>
    </row>
    <row r="4113" ht="15" customHeight="1">
      <c r="A4113" t="inlineStr">
        <is>
          <t>A 49330-2022</t>
        </is>
      </c>
      <c r="B4113" t="inlineStr">
        <is>
          <t>avverkningsanmälan</t>
        </is>
      </c>
      <c r="C4113" t="inlineStr">
        <is>
          <t>Föryngringsavverkning</t>
        </is>
      </c>
      <c r="D4113" s="1" t="n">
        <v>44861</v>
      </c>
      <c r="E4113" s="1" t="n">
        <v>46323</v>
      </c>
      <c r="F4113" t="inlineStr">
        <is>
          <t>KALMAR LÄN</t>
        </is>
      </c>
      <c r="G4113" t="inlineStr">
        <is>
          <t>TORSÅS</t>
        </is>
      </c>
      <c r="I4113" t="n">
        <v>0.7</v>
      </c>
      <c r="J4113" t="n">
        <v>0</v>
      </c>
      <c r="K4113" t="n">
        <v>0</v>
      </c>
      <c r="L4113" t="n">
        <v>0</v>
      </c>
      <c r="M4113" t="n">
        <v>0</v>
      </c>
      <c r="N4113" t="n">
        <v>0</v>
      </c>
      <c r="O4113" t="n">
        <v>0</v>
      </c>
      <c r="P4113" t="n">
        <v>0</v>
      </c>
      <c r="Q4113" t="n">
        <v>0</v>
      </c>
      <c r="R4113" t="n">
        <v>0</v>
      </c>
      <c r="S4113" t="n">
        <v>0</v>
      </c>
      <c r="T4113" t="n">
        <v>0</v>
      </c>
      <c r="U4113" t="n">
        <v>0</v>
      </c>
      <c r="V4113" s="2" t="inlineStr"/>
    </row>
    <row r="4114" ht="15" customHeight="1">
      <c r="A4114" t="inlineStr">
        <is>
          <t>A 49331-2022</t>
        </is>
      </c>
      <c r="B4114" t="inlineStr">
        <is>
          <t>avverkningsanmälan</t>
        </is>
      </c>
      <c r="C4114" t="inlineStr">
        <is>
          <t>Föryngringsavverkning</t>
        </is>
      </c>
      <c r="D4114" s="1" t="n">
        <v>44861</v>
      </c>
      <c r="E4114" s="1" t="n">
        <v>46323</v>
      </c>
      <c r="F4114" t="inlineStr">
        <is>
          <t>KALMAR LÄN</t>
        </is>
      </c>
      <c r="G4114" t="inlineStr">
        <is>
          <t>TORSÅS</t>
        </is>
      </c>
      <c r="I4114" t="n">
        <v>1.7</v>
      </c>
      <c r="J4114" t="n">
        <v>0</v>
      </c>
      <c r="K4114" t="n">
        <v>0</v>
      </c>
      <c r="L4114" t="n">
        <v>0</v>
      </c>
      <c r="M4114" t="n">
        <v>0</v>
      </c>
      <c r="N4114" t="n">
        <v>0</v>
      </c>
      <c r="O4114" t="n">
        <v>0</v>
      </c>
      <c r="P4114" t="n">
        <v>0</v>
      </c>
      <c r="Q4114" t="n">
        <v>0</v>
      </c>
      <c r="R4114" t="n">
        <v>0</v>
      </c>
      <c r="S4114" t="n">
        <v>0</v>
      </c>
      <c r="T4114" t="n">
        <v>0</v>
      </c>
      <c r="U4114" t="n">
        <v>0</v>
      </c>
      <c r="V4114" s="2" t="inlineStr"/>
    </row>
    <row r="4115" ht="15" customHeight="1">
      <c r="A4115" t="inlineStr">
        <is>
          <t>A 30941-2026</t>
        </is>
      </c>
      <c r="B4115" t="inlineStr">
        <is>
          <t>avverkningsanmälan</t>
        </is>
      </c>
      <c r="C4115" t="inlineStr">
        <is>
          <t>Föryngringsavverkning</t>
        </is>
      </c>
      <c r="D4115" s="1" t="n">
        <v>46213</v>
      </c>
      <c r="E4115" s="1" t="n">
        <v>46323</v>
      </c>
      <c r="F4115" t="inlineStr">
        <is>
          <t>KALMAR LÄN</t>
        </is>
      </c>
      <c r="G4115" t="inlineStr">
        <is>
          <t>VIMMERBY</t>
        </is>
      </c>
      <c r="I4115" t="n">
        <v>0.6</v>
      </c>
      <c r="J4115" t="n">
        <v>0</v>
      </c>
      <c r="K4115" t="n">
        <v>0</v>
      </c>
      <c r="L4115" t="n">
        <v>0</v>
      </c>
      <c r="M4115" t="n">
        <v>0</v>
      </c>
      <c r="N4115" t="n">
        <v>0</v>
      </c>
      <c r="O4115" t="n">
        <v>0</v>
      </c>
      <c r="P4115" t="n">
        <v>0</v>
      </c>
      <c r="Q4115" t="n">
        <v>0</v>
      </c>
      <c r="R4115" t="n">
        <v>0</v>
      </c>
      <c r="S4115" t="n">
        <v>0</v>
      </c>
      <c r="T4115" t="n">
        <v>0</v>
      </c>
      <c r="U4115" t="n">
        <v>0</v>
      </c>
      <c r="V4115" s="2" t="inlineStr"/>
    </row>
    <row r="4116" ht="15" customHeight="1">
      <c r="A4116" t="inlineStr">
        <is>
          <t>A 35662-2023</t>
        </is>
      </c>
      <c r="B4116" t="inlineStr">
        <is>
          <t>avverkningsanmälan</t>
        </is>
      </c>
      <c r="C4116" t="inlineStr">
        <is>
          <t>Föryngringsavverkning</t>
        </is>
      </c>
      <c r="D4116" s="1" t="n">
        <v>45147</v>
      </c>
      <c r="E4116" s="1" t="n">
        <v>46323</v>
      </c>
      <c r="F4116" t="inlineStr">
        <is>
          <t>KALMAR LÄN</t>
        </is>
      </c>
      <c r="G4116" t="inlineStr">
        <is>
          <t>VÄSTERVIK</t>
        </is>
      </c>
      <c r="I4116" t="n">
        <v>0.4</v>
      </c>
      <c r="J4116" t="n">
        <v>0</v>
      </c>
      <c r="K4116" t="n">
        <v>0</v>
      </c>
      <c r="L4116" t="n">
        <v>0</v>
      </c>
      <c r="M4116" t="n">
        <v>0</v>
      </c>
      <c r="N4116" t="n">
        <v>0</v>
      </c>
      <c r="O4116" t="n">
        <v>0</v>
      </c>
      <c r="P4116" t="n">
        <v>0</v>
      </c>
      <c r="Q4116" t="n">
        <v>0</v>
      </c>
      <c r="R4116" t="n">
        <v>0</v>
      </c>
      <c r="S4116" t="n">
        <v>0</v>
      </c>
      <c r="T4116" t="n">
        <v>0</v>
      </c>
      <c r="U4116" t="n">
        <v>0</v>
      </c>
      <c r="V4116" s="2" t="inlineStr"/>
    </row>
    <row r="4117" ht="15" customHeight="1">
      <c r="A4117" t="inlineStr">
        <is>
          <t>A 30965-2026</t>
        </is>
      </c>
      <c r="B4117" t="inlineStr">
        <is>
          <t>avverkningsanmälan</t>
        </is>
      </c>
      <c r="C4117" t="inlineStr">
        <is>
          <t>Föryngringsavverkning</t>
        </is>
      </c>
      <c r="D4117" s="1" t="n">
        <v>46213</v>
      </c>
      <c r="E4117" s="1" t="n">
        <v>46323</v>
      </c>
      <c r="F4117" t="inlineStr">
        <is>
          <t>KALMAR LÄN</t>
        </is>
      </c>
      <c r="G4117" t="inlineStr">
        <is>
          <t>HULTSFRED</t>
        </is>
      </c>
      <c r="I4117" t="n">
        <v>2.3</v>
      </c>
      <c r="J4117" t="n">
        <v>0</v>
      </c>
      <c r="K4117" t="n">
        <v>0</v>
      </c>
      <c r="L4117" t="n">
        <v>0</v>
      </c>
      <c r="M4117" t="n">
        <v>0</v>
      </c>
      <c r="N4117" t="n">
        <v>0</v>
      </c>
      <c r="O4117" t="n">
        <v>0</v>
      </c>
      <c r="P4117" t="n">
        <v>0</v>
      </c>
      <c r="Q4117" t="n">
        <v>0</v>
      </c>
      <c r="R4117" t="n">
        <v>0</v>
      </c>
      <c r="S4117" t="n">
        <v>0</v>
      </c>
      <c r="T4117" t="n">
        <v>0</v>
      </c>
      <c r="U4117" t="n">
        <v>0</v>
      </c>
      <c r="V4117" s="2" t="inlineStr"/>
    </row>
    <row r="4118" ht="15" customHeight="1">
      <c r="A4118" t="inlineStr">
        <is>
          <t>A 18092-2025</t>
        </is>
      </c>
      <c r="B4118" t="inlineStr">
        <is>
          <t>avverkningsanmälan</t>
        </is>
      </c>
      <c r="C4118" t="inlineStr">
        <is>
          <t>Föryngringsavverkning</t>
        </is>
      </c>
      <c r="D4118" s="1" t="n">
        <v>45761</v>
      </c>
      <c r="E4118" s="1" t="n">
        <v>46323</v>
      </c>
      <c r="F4118" t="inlineStr">
        <is>
          <t>KALMAR LÄN</t>
        </is>
      </c>
      <c r="G4118" t="inlineStr">
        <is>
          <t>NYBRO</t>
        </is>
      </c>
      <c r="I4118" t="n">
        <v>0.9</v>
      </c>
      <c r="J4118" t="n">
        <v>0</v>
      </c>
      <c r="K4118" t="n">
        <v>0</v>
      </c>
      <c r="L4118" t="n">
        <v>0</v>
      </c>
      <c r="M4118" t="n">
        <v>0</v>
      </c>
      <c r="N4118" t="n">
        <v>0</v>
      </c>
      <c r="O4118" t="n">
        <v>0</v>
      </c>
      <c r="P4118" t="n">
        <v>0</v>
      </c>
      <c r="Q4118" t="n">
        <v>0</v>
      </c>
      <c r="R4118" t="n">
        <v>0</v>
      </c>
      <c r="S4118" t="n">
        <v>0</v>
      </c>
      <c r="T4118" t="n">
        <v>0</v>
      </c>
      <c r="U4118" t="n">
        <v>0</v>
      </c>
      <c r="V4118" s="2" t="inlineStr"/>
    </row>
    <row r="4119" ht="15" customHeight="1">
      <c r="A4119" t="inlineStr">
        <is>
          <t>A 36016-2023</t>
        </is>
      </c>
      <c r="B4119" t="inlineStr">
        <is>
          <t>avverkningsanmälan</t>
        </is>
      </c>
      <c r="C4119" t="inlineStr">
        <is>
          <t>Föryngringsavverkning</t>
        </is>
      </c>
      <c r="D4119" s="1" t="n">
        <v>45149</v>
      </c>
      <c r="E4119" s="1" t="n">
        <v>46323</v>
      </c>
      <c r="F4119" t="inlineStr">
        <is>
          <t>KALMAR LÄN</t>
        </is>
      </c>
      <c r="G4119" t="inlineStr">
        <is>
          <t>KALMAR</t>
        </is>
      </c>
      <c r="I4119" t="n">
        <v>0.6</v>
      </c>
      <c r="J4119" t="n">
        <v>0</v>
      </c>
      <c r="K4119" t="n">
        <v>0</v>
      </c>
      <c r="L4119" t="n">
        <v>0</v>
      </c>
      <c r="M4119" t="n">
        <v>0</v>
      </c>
      <c r="N4119" t="n">
        <v>0</v>
      </c>
      <c r="O4119" t="n">
        <v>0</v>
      </c>
      <c r="P4119" t="n">
        <v>0</v>
      </c>
      <c r="Q4119" t="n">
        <v>0</v>
      </c>
      <c r="R4119" t="n">
        <v>0</v>
      </c>
      <c r="S4119" t="n">
        <v>0</v>
      </c>
      <c r="T4119" t="n">
        <v>0</v>
      </c>
      <c r="U4119" t="n">
        <v>0</v>
      </c>
      <c r="V4119" s="2" t="inlineStr"/>
    </row>
    <row r="4120" ht="15" customHeight="1">
      <c r="A4120" t="inlineStr">
        <is>
          <t>A 36018-2023</t>
        </is>
      </c>
      <c r="B4120" t="inlineStr">
        <is>
          <t>avverkningsanmälan</t>
        </is>
      </c>
      <c r="C4120" t="inlineStr">
        <is>
          <t>Föryngringsavverkning</t>
        </is>
      </c>
      <c r="D4120" s="1" t="n">
        <v>45149</v>
      </c>
      <c r="E4120" s="1" t="n">
        <v>46323</v>
      </c>
      <c r="F4120" t="inlineStr">
        <is>
          <t>KALMAR LÄN</t>
        </is>
      </c>
      <c r="G4120" t="inlineStr">
        <is>
          <t>KALMAR</t>
        </is>
      </c>
      <c r="I4120" t="n">
        <v>3</v>
      </c>
      <c r="J4120" t="n">
        <v>0</v>
      </c>
      <c r="K4120" t="n">
        <v>0</v>
      </c>
      <c r="L4120" t="n">
        <v>0</v>
      </c>
      <c r="M4120" t="n">
        <v>0</v>
      </c>
      <c r="N4120" t="n">
        <v>0</v>
      </c>
      <c r="O4120" t="n">
        <v>0</v>
      </c>
      <c r="P4120" t="n">
        <v>0</v>
      </c>
      <c r="Q4120" t="n">
        <v>0</v>
      </c>
      <c r="R4120" t="n">
        <v>0</v>
      </c>
      <c r="S4120" t="n">
        <v>0</v>
      </c>
      <c r="T4120" t="n">
        <v>0</v>
      </c>
      <c r="U4120" t="n">
        <v>0</v>
      </c>
      <c r="V4120" s="2" t="inlineStr"/>
    </row>
    <row r="4121" ht="15" customHeight="1">
      <c r="A4121" t="inlineStr">
        <is>
          <t>A 49382-2023</t>
        </is>
      </c>
      <c r="B4121" t="inlineStr">
        <is>
          <t>avverkningsanmälan</t>
        </is>
      </c>
      <c r="C4121" t="inlineStr">
        <is>
          <t>Föryngringsavverkning</t>
        </is>
      </c>
      <c r="D4121" s="1" t="n">
        <v>45208</v>
      </c>
      <c r="E4121" s="1" t="n">
        <v>46323</v>
      </c>
      <c r="F4121" t="inlineStr">
        <is>
          <t>KALMAR LÄN</t>
        </is>
      </c>
      <c r="G4121" t="inlineStr">
        <is>
          <t>VIMMERBY</t>
        </is>
      </c>
      <c r="I4121" t="n">
        <v>2.2</v>
      </c>
      <c r="J4121" t="n">
        <v>0</v>
      </c>
      <c r="K4121" t="n">
        <v>0</v>
      </c>
      <c r="L4121" t="n">
        <v>0</v>
      </c>
      <c r="M4121" t="n">
        <v>0</v>
      </c>
      <c r="N4121" t="n">
        <v>0</v>
      </c>
      <c r="O4121" t="n">
        <v>0</v>
      </c>
      <c r="P4121" t="n">
        <v>0</v>
      </c>
      <c r="Q4121" t="n">
        <v>0</v>
      </c>
      <c r="R4121" t="n">
        <v>0</v>
      </c>
      <c r="S4121" t="n">
        <v>0</v>
      </c>
      <c r="T4121" t="n">
        <v>0</v>
      </c>
      <c r="U4121" t="n">
        <v>0</v>
      </c>
      <c r="V4121" s="2" t="inlineStr"/>
    </row>
    <row r="4122" ht="15" customHeight="1">
      <c r="A4122" t="inlineStr">
        <is>
          <t>A 46024-2023</t>
        </is>
      </c>
      <c r="B4122" t="inlineStr">
        <is>
          <t>avverkningsanmälan</t>
        </is>
      </c>
      <c r="C4122" t="inlineStr">
        <is>
          <t>Föryngringsavverkning</t>
        </is>
      </c>
      <c r="D4122" s="1" t="n">
        <v>45196</v>
      </c>
      <c r="E4122" s="1" t="n">
        <v>46323</v>
      </c>
      <c r="F4122" t="inlineStr">
        <is>
          <t>KALMAR LÄN</t>
        </is>
      </c>
      <c r="G4122" t="inlineStr">
        <is>
          <t>NYBRO</t>
        </is>
      </c>
      <c r="I4122" t="n">
        <v>1.6</v>
      </c>
      <c r="J4122" t="n">
        <v>0</v>
      </c>
      <c r="K4122" t="n">
        <v>0</v>
      </c>
      <c r="L4122" t="n">
        <v>0</v>
      </c>
      <c r="M4122" t="n">
        <v>0</v>
      </c>
      <c r="N4122" t="n">
        <v>0</v>
      </c>
      <c r="O4122" t="n">
        <v>0</v>
      </c>
      <c r="P4122" t="n">
        <v>0</v>
      </c>
      <c r="Q4122" t="n">
        <v>0</v>
      </c>
      <c r="R4122" t="n">
        <v>0</v>
      </c>
      <c r="S4122" t="n">
        <v>0</v>
      </c>
      <c r="T4122" t="n">
        <v>0</v>
      </c>
      <c r="U4122" t="n">
        <v>0</v>
      </c>
      <c r="V4122" s="2" t="inlineStr"/>
    </row>
    <row r="4123" ht="15" customHeight="1">
      <c r="A4123" t="inlineStr">
        <is>
          <t>A 46030-2023</t>
        </is>
      </c>
      <c r="B4123" t="inlineStr">
        <is>
          <t>avverkningsanmälan</t>
        </is>
      </c>
      <c r="C4123" t="inlineStr">
        <is>
          <t>Föryngringsavverkning</t>
        </is>
      </c>
      <c r="D4123" s="1" t="n">
        <v>45196</v>
      </c>
      <c r="E4123" s="1" t="n">
        <v>46323</v>
      </c>
      <c r="F4123" t="inlineStr">
        <is>
          <t>KALMAR LÄN</t>
        </is>
      </c>
      <c r="G4123" t="inlineStr">
        <is>
          <t>TORSÅS</t>
        </is>
      </c>
      <c r="I4123" t="n">
        <v>3.1</v>
      </c>
      <c r="J4123" t="n">
        <v>0</v>
      </c>
      <c r="K4123" t="n">
        <v>0</v>
      </c>
      <c r="L4123" t="n">
        <v>0</v>
      </c>
      <c r="M4123" t="n">
        <v>0</v>
      </c>
      <c r="N4123" t="n">
        <v>0</v>
      </c>
      <c r="O4123" t="n">
        <v>0</v>
      </c>
      <c r="P4123" t="n">
        <v>0</v>
      </c>
      <c r="Q4123" t="n">
        <v>0</v>
      </c>
      <c r="R4123" t="n">
        <v>0</v>
      </c>
      <c r="S4123" t="n">
        <v>0</v>
      </c>
      <c r="T4123" t="n">
        <v>0</v>
      </c>
      <c r="U4123" t="n">
        <v>0</v>
      </c>
      <c r="V4123" s="2" t="inlineStr"/>
    </row>
    <row r="4124" ht="15" customHeight="1">
      <c r="A4124" t="inlineStr">
        <is>
          <t>A 58095-2023</t>
        </is>
      </c>
      <c r="B4124" t="inlineStr">
        <is>
          <t>avverkningsanmälan</t>
        </is>
      </c>
      <c r="C4124" t="inlineStr">
        <is>
          <t>Föryngringsavverkning</t>
        </is>
      </c>
      <c r="D4124" s="1" t="n">
        <v>45248</v>
      </c>
      <c r="E4124" s="1" t="n">
        <v>46323</v>
      </c>
      <c r="F4124" t="inlineStr">
        <is>
          <t>KALMAR LÄN</t>
        </is>
      </c>
      <c r="G4124" t="inlineStr">
        <is>
          <t>HULTSFRED</t>
        </is>
      </c>
      <c r="I4124" t="n">
        <v>0.4</v>
      </c>
      <c r="J4124" t="n">
        <v>0</v>
      </c>
      <c r="K4124" t="n">
        <v>0</v>
      </c>
      <c r="L4124" t="n">
        <v>0</v>
      </c>
      <c r="M4124" t="n">
        <v>0</v>
      </c>
      <c r="N4124" t="n">
        <v>0</v>
      </c>
      <c r="O4124" t="n">
        <v>0</v>
      </c>
      <c r="P4124" t="n">
        <v>0</v>
      </c>
      <c r="Q4124" t="n">
        <v>0</v>
      </c>
      <c r="R4124" t="n">
        <v>0</v>
      </c>
      <c r="S4124" t="n">
        <v>0</v>
      </c>
      <c r="T4124" t="n">
        <v>0</v>
      </c>
      <c r="U4124" t="n">
        <v>0</v>
      </c>
      <c r="V4124" s="2" t="inlineStr"/>
    </row>
    <row r="4125" ht="15" customHeight="1">
      <c r="A4125" t="inlineStr">
        <is>
          <t>A 30952-2026</t>
        </is>
      </c>
      <c r="B4125" t="inlineStr">
        <is>
          <t>avverkningsanmälan</t>
        </is>
      </c>
      <c r="C4125" t="inlineStr">
        <is>
          <t>Föryngringsavverkning</t>
        </is>
      </c>
      <c r="D4125" s="1" t="n">
        <v>46213</v>
      </c>
      <c r="E4125" s="1" t="n">
        <v>46323</v>
      </c>
      <c r="F4125" t="inlineStr">
        <is>
          <t>KALMAR LÄN</t>
        </is>
      </c>
      <c r="G4125" t="inlineStr">
        <is>
          <t>VIMMERBY</t>
        </is>
      </c>
      <c r="I4125" t="n">
        <v>1</v>
      </c>
      <c r="J4125" t="n">
        <v>0</v>
      </c>
      <c r="K4125" t="n">
        <v>0</v>
      </c>
      <c r="L4125" t="n">
        <v>0</v>
      </c>
      <c r="M4125" t="n">
        <v>0</v>
      </c>
      <c r="N4125" t="n">
        <v>0</v>
      </c>
      <c r="O4125" t="n">
        <v>0</v>
      </c>
      <c r="P4125" t="n">
        <v>0</v>
      </c>
      <c r="Q4125" t="n">
        <v>0</v>
      </c>
      <c r="R4125" t="n">
        <v>0</v>
      </c>
      <c r="S4125" t="n">
        <v>0</v>
      </c>
      <c r="T4125" t="n">
        <v>0</v>
      </c>
      <c r="U4125" t="n">
        <v>0</v>
      </c>
      <c r="V4125" s="2" t="inlineStr"/>
    </row>
    <row r="4126" ht="15" customHeight="1">
      <c r="A4126" t="inlineStr">
        <is>
          <t>A 47956-2023</t>
        </is>
      </c>
      <c r="B4126" t="inlineStr">
        <is>
          <t>avverkningsanmälan</t>
        </is>
      </c>
      <c r="C4126" t="inlineStr">
        <is>
          <t>Föryngringsavverkning</t>
        </is>
      </c>
      <c r="D4126" s="1" t="n">
        <v>45204</v>
      </c>
      <c r="E4126" s="1" t="n">
        <v>46323</v>
      </c>
      <c r="F4126" t="inlineStr">
        <is>
          <t>KALMAR LÄN</t>
        </is>
      </c>
      <c r="G4126" t="inlineStr">
        <is>
          <t>OSKARSHAMN</t>
        </is>
      </c>
      <c r="I4126" t="n">
        <v>1.3</v>
      </c>
      <c r="J4126" t="n">
        <v>0</v>
      </c>
      <c r="K4126" t="n">
        <v>0</v>
      </c>
      <c r="L4126" t="n">
        <v>0</v>
      </c>
      <c r="M4126" t="n">
        <v>0</v>
      </c>
      <c r="N4126" t="n">
        <v>0</v>
      </c>
      <c r="O4126" t="n">
        <v>0</v>
      </c>
      <c r="P4126" t="n">
        <v>0</v>
      </c>
      <c r="Q4126" t="n">
        <v>0</v>
      </c>
      <c r="R4126" t="n">
        <v>0</v>
      </c>
      <c r="S4126" t="n">
        <v>0</v>
      </c>
      <c r="T4126" t="n">
        <v>0</v>
      </c>
      <c r="U4126" t="n">
        <v>0</v>
      </c>
      <c r="V4126" s="2" t="inlineStr"/>
    </row>
    <row r="4127" ht="15" customHeight="1">
      <c r="A4127" t="inlineStr">
        <is>
          <t>A 4427-2026</t>
        </is>
      </c>
      <c r="B4127" t="inlineStr">
        <is>
          <t>avverkningsanmälan</t>
        </is>
      </c>
      <c r="C4127" t="inlineStr">
        <is>
          <t>Föryngringsavverkning</t>
        </is>
      </c>
      <c r="D4127" s="1" t="n">
        <v>46045</v>
      </c>
      <c r="E4127" s="1" t="n">
        <v>46323</v>
      </c>
      <c r="F4127" t="inlineStr">
        <is>
          <t>KALMAR LÄN</t>
        </is>
      </c>
      <c r="G4127" t="inlineStr">
        <is>
          <t>OSKARSHAMN</t>
        </is>
      </c>
      <c r="I4127" t="n">
        <v>0.9</v>
      </c>
      <c r="J4127" t="n">
        <v>0</v>
      </c>
      <c r="K4127" t="n">
        <v>0</v>
      </c>
      <c r="L4127" t="n">
        <v>0</v>
      </c>
      <c r="M4127" t="n">
        <v>0</v>
      </c>
      <c r="N4127" t="n">
        <v>0</v>
      </c>
      <c r="O4127" t="n">
        <v>0</v>
      </c>
      <c r="P4127" t="n">
        <v>0</v>
      </c>
      <c r="Q4127" t="n">
        <v>0</v>
      </c>
      <c r="R4127" t="n">
        <v>0</v>
      </c>
      <c r="S4127" t="n">
        <v>0</v>
      </c>
      <c r="T4127" t="n">
        <v>0</v>
      </c>
      <c r="U4127" t="n">
        <v>0</v>
      </c>
      <c r="V4127" s="2" t="inlineStr"/>
    </row>
    <row r="4128" ht="15" customHeight="1">
      <c r="A4128" t="inlineStr">
        <is>
          <t>A 30985-2026</t>
        </is>
      </c>
      <c r="B4128" t="inlineStr">
        <is>
          <t>avverkningsanmälan</t>
        </is>
      </c>
      <c r="C4128" t="inlineStr">
        <is>
          <t>Föryngringsavverkning</t>
        </is>
      </c>
      <c r="D4128" s="1" t="n">
        <v>46213</v>
      </c>
      <c r="E4128" s="1" t="n">
        <v>46323</v>
      </c>
      <c r="F4128" t="inlineStr">
        <is>
          <t>KALMAR LÄN</t>
        </is>
      </c>
      <c r="G4128" t="inlineStr">
        <is>
          <t>HULTSFRED</t>
        </is>
      </c>
      <c r="I4128" t="n">
        <v>2.9</v>
      </c>
      <c r="J4128" t="n">
        <v>0</v>
      </c>
      <c r="K4128" t="n">
        <v>0</v>
      </c>
      <c r="L4128" t="n">
        <v>0</v>
      </c>
      <c r="M4128" t="n">
        <v>0</v>
      </c>
      <c r="N4128" t="n">
        <v>0</v>
      </c>
      <c r="O4128" t="n">
        <v>0</v>
      </c>
      <c r="P4128" t="n">
        <v>0</v>
      </c>
      <c r="Q4128" t="n">
        <v>0</v>
      </c>
      <c r="R4128" t="n">
        <v>0</v>
      </c>
      <c r="S4128" t="n">
        <v>0</v>
      </c>
      <c r="T4128" t="n">
        <v>0</v>
      </c>
      <c r="U4128" t="n">
        <v>0</v>
      </c>
      <c r="V4128" s="2" t="inlineStr"/>
    </row>
    <row r="4129" ht="15" customHeight="1">
      <c r="A4129" t="inlineStr">
        <is>
          <t>A 59581-2024</t>
        </is>
      </c>
      <c r="B4129" t="inlineStr">
        <is>
          <t>avverkningsanmälan</t>
        </is>
      </c>
      <c r="C4129" t="inlineStr">
        <is>
          <t>Föryngringsavverkning</t>
        </is>
      </c>
      <c r="D4129" s="1" t="n">
        <v>45638</v>
      </c>
      <c r="E4129" s="1" t="n">
        <v>46323</v>
      </c>
      <c r="F4129" t="inlineStr">
        <is>
          <t>KALMAR LÄN</t>
        </is>
      </c>
      <c r="G4129" t="inlineStr">
        <is>
          <t>HÖGSBY</t>
        </is>
      </c>
      <c r="I4129" t="n">
        <v>1</v>
      </c>
      <c r="J4129" t="n">
        <v>0</v>
      </c>
      <c r="K4129" t="n">
        <v>0</v>
      </c>
      <c r="L4129" t="n">
        <v>0</v>
      </c>
      <c r="M4129" t="n">
        <v>0</v>
      </c>
      <c r="N4129" t="n">
        <v>0</v>
      </c>
      <c r="O4129" t="n">
        <v>0</v>
      </c>
      <c r="P4129" t="n">
        <v>0</v>
      </c>
      <c r="Q4129" t="n">
        <v>0</v>
      </c>
      <c r="R4129" t="n">
        <v>0</v>
      </c>
      <c r="S4129" t="n">
        <v>0</v>
      </c>
      <c r="T4129" t="n">
        <v>0</v>
      </c>
      <c r="U4129" t="n">
        <v>0</v>
      </c>
      <c r="V4129" s="2" t="inlineStr"/>
    </row>
    <row r="4130" ht="15" customHeight="1">
      <c r="A4130" t="inlineStr">
        <is>
          <t>A 7345-2025</t>
        </is>
      </c>
      <c r="B4130" t="inlineStr">
        <is>
          <t>avverkningsanmälan</t>
        </is>
      </c>
      <c r="C4130" t="inlineStr">
        <is>
          <t>Föryngringsavverkning</t>
        </is>
      </c>
      <c r="D4130" s="1" t="n">
        <v>45703</v>
      </c>
      <c r="E4130" s="1" t="n">
        <v>46323</v>
      </c>
      <c r="F4130" t="inlineStr">
        <is>
          <t>KALMAR LÄN</t>
        </is>
      </c>
      <c r="G4130" t="inlineStr">
        <is>
          <t>KALMAR</t>
        </is>
      </c>
      <c r="I4130" t="n">
        <v>0.8</v>
      </c>
      <c r="J4130" t="n">
        <v>0</v>
      </c>
      <c r="K4130" t="n">
        <v>0</v>
      </c>
      <c r="L4130" t="n">
        <v>0</v>
      </c>
      <c r="M4130" t="n">
        <v>0</v>
      </c>
      <c r="N4130" t="n">
        <v>0</v>
      </c>
      <c r="O4130" t="n">
        <v>0</v>
      </c>
      <c r="P4130" t="n">
        <v>0</v>
      </c>
      <c r="Q4130" t="n">
        <v>0</v>
      </c>
      <c r="R4130" t="n">
        <v>0</v>
      </c>
      <c r="S4130" t="n">
        <v>0</v>
      </c>
      <c r="T4130" t="n">
        <v>0</v>
      </c>
      <c r="U4130" t="n">
        <v>0</v>
      </c>
      <c r="V4130" s="2" t="inlineStr"/>
    </row>
    <row r="4131" ht="15" customHeight="1">
      <c r="A4131" t="inlineStr">
        <is>
          <t>A 35846-2023</t>
        </is>
      </c>
      <c r="B4131" t="inlineStr">
        <is>
          <t>avverkningsanmälan</t>
        </is>
      </c>
      <c r="C4131" t="inlineStr">
        <is>
          <t>Föryngringsavverkning</t>
        </is>
      </c>
      <c r="D4131" s="1" t="n">
        <v>45148</v>
      </c>
      <c r="E4131" s="1" t="n">
        <v>46323</v>
      </c>
      <c r="F4131" t="inlineStr">
        <is>
          <t>KALMAR LÄN</t>
        </is>
      </c>
      <c r="G4131" t="inlineStr">
        <is>
          <t>VIMMERBY</t>
        </is>
      </c>
      <c r="I4131" t="n">
        <v>1</v>
      </c>
      <c r="J4131" t="n">
        <v>0</v>
      </c>
      <c r="K4131" t="n">
        <v>0</v>
      </c>
      <c r="L4131" t="n">
        <v>0</v>
      </c>
      <c r="M4131" t="n">
        <v>0</v>
      </c>
      <c r="N4131" t="n">
        <v>0</v>
      </c>
      <c r="O4131" t="n">
        <v>0</v>
      </c>
      <c r="P4131" t="n">
        <v>0</v>
      </c>
      <c r="Q4131" t="n">
        <v>0</v>
      </c>
      <c r="R4131" t="n">
        <v>0</v>
      </c>
      <c r="S4131" t="n">
        <v>0</v>
      </c>
      <c r="T4131" t="n">
        <v>0</v>
      </c>
      <c r="U4131" t="n">
        <v>0</v>
      </c>
      <c r="V4131" s="2" t="inlineStr"/>
    </row>
    <row r="4132" ht="15" customHeight="1">
      <c r="A4132" t="inlineStr">
        <is>
          <t>A 35849-2023</t>
        </is>
      </c>
      <c r="B4132" t="inlineStr">
        <is>
          <t>avverkningsanmälan</t>
        </is>
      </c>
      <c r="C4132" t="inlineStr">
        <is>
          <t>Föryngringsavverkning</t>
        </is>
      </c>
      <c r="D4132" s="1" t="n">
        <v>45148</v>
      </c>
      <c r="E4132" s="1" t="n">
        <v>46323</v>
      </c>
      <c r="F4132" t="inlineStr">
        <is>
          <t>KALMAR LÄN</t>
        </is>
      </c>
      <c r="G4132" t="inlineStr">
        <is>
          <t>EMMABODA</t>
        </is>
      </c>
      <c r="I4132" t="n">
        <v>1</v>
      </c>
      <c r="J4132" t="n">
        <v>0</v>
      </c>
      <c r="K4132" t="n">
        <v>0</v>
      </c>
      <c r="L4132" t="n">
        <v>0</v>
      </c>
      <c r="M4132" t="n">
        <v>0</v>
      </c>
      <c r="N4132" t="n">
        <v>0</v>
      </c>
      <c r="O4132" t="n">
        <v>0</v>
      </c>
      <c r="P4132" t="n">
        <v>0</v>
      </c>
      <c r="Q4132" t="n">
        <v>0</v>
      </c>
      <c r="R4132" t="n">
        <v>0</v>
      </c>
      <c r="S4132" t="n">
        <v>0</v>
      </c>
      <c r="T4132" t="n">
        <v>0</v>
      </c>
      <c r="U4132" t="n">
        <v>0</v>
      </c>
      <c r="V4132" s="2" t="inlineStr"/>
    </row>
    <row r="4133" ht="15" customHeight="1">
      <c r="A4133" t="inlineStr">
        <is>
          <t>A 30978-2026</t>
        </is>
      </c>
      <c r="B4133" t="inlineStr">
        <is>
          <t>avverkningsanmälan</t>
        </is>
      </c>
      <c r="C4133" t="inlineStr">
        <is>
          <t>Föryngringsavverkning</t>
        </is>
      </c>
      <c r="D4133" s="1" t="n">
        <v>46213</v>
      </c>
      <c r="E4133" s="1" t="n">
        <v>46323</v>
      </c>
      <c r="F4133" t="inlineStr">
        <is>
          <t>KALMAR LÄN</t>
        </is>
      </c>
      <c r="G4133" t="inlineStr">
        <is>
          <t>HULTSFRED</t>
        </is>
      </c>
      <c r="I4133" t="n">
        <v>1</v>
      </c>
      <c r="J4133" t="n">
        <v>0</v>
      </c>
      <c r="K4133" t="n">
        <v>0</v>
      </c>
      <c r="L4133" t="n">
        <v>0</v>
      </c>
      <c r="M4133" t="n">
        <v>0</v>
      </c>
      <c r="N4133" t="n">
        <v>0</v>
      </c>
      <c r="O4133" t="n">
        <v>0</v>
      </c>
      <c r="P4133" t="n">
        <v>0</v>
      </c>
      <c r="Q4133" t="n">
        <v>0</v>
      </c>
      <c r="R4133" t="n">
        <v>0</v>
      </c>
      <c r="S4133" t="n">
        <v>0</v>
      </c>
      <c r="T4133" t="n">
        <v>0</v>
      </c>
      <c r="U4133" t="n">
        <v>0</v>
      </c>
      <c r="V4133" s="2" t="inlineStr"/>
    </row>
    <row r="4134" ht="15" customHeight="1">
      <c r="A4134" t="inlineStr">
        <is>
          <t>A 23776-2022</t>
        </is>
      </c>
      <c r="B4134" t="inlineStr">
        <is>
          <t>avverkningsanmälan</t>
        </is>
      </c>
      <c r="C4134" t="inlineStr">
        <is>
          <t>Föryngringsavverkning</t>
        </is>
      </c>
      <c r="D4134" s="1" t="n">
        <v>44722</v>
      </c>
      <c r="E4134" s="1" t="n">
        <v>46323</v>
      </c>
      <c r="F4134" t="inlineStr">
        <is>
          <t>KALMAR LÄN</t>
        </is>
      </c>
      <c r="G4134" t="inlineStr">
        <is>
          <t>TORSÅS</t>
        </is>
      </c>
      <c r="I4134" t="n">
        <v>1.6</v>
      </c>
      <c r="J4134" t="n">
        <v>0</v>
      </c>
      <c r="K4134" t="n">
        <v>0</v>
      </c>
      <c r="L4134" t="n">
        <v>0</v>
      </c>
      <c r="M4134" t="n">
        <v>0</v>
      </c>
      <c r="N4134" t="n">
        <v>0</v>
      </c>
      <c r="O4134" t="n">
        <v>0</v>
      </c>
      <c r="P4134" t="n">
        <v>0</v>
      </c>
      <c r="Q4134" t="n">
        <v>0</v>
      </c>
      <c r="R4134" t="n">
        <v>0</v>
      </c>
      <c r="S4134" t="n">
        <v>0</v>
      </c>
      <c r="T4134" t="n">
        <v>0</v>
      </c>
      <c r="U4134" t="n">
        <v>0</v>
      </c>
      <c r="V4134" s="2" t="inlineStr"/>
    </row>
    <row r="4135" ht="15" customHeight="1">
      <c r="A4135" t="inlineStr">
        <is>
          <t>A 35913-2023</t>
        </is>
      </c>
      <c r="B4135" t="inlineStr">
        <is>
          <t>avverkningsanmälan</t>
        </is>
      </c>
      <c r="C4135" t="inlineStr">
        <is>
          <t>Föryngringsavverkning</t>
        </is>
      </c>
      <c r="D4135" s="1" t="n">
        <v>45148</v>
      </c>
      <c r="E4135" s="1" t="n">
        <v>46323</v>
      </c>
      <c r="F4135" t="inlineStr">
        <is>
          <t>KALMAR LÄN</t>
        </is>
      </c>
      <c r="G4135" t="inlineStr">
        <is>
          <t>VIMMERBY</t>
        </is>
      </c>
      <c r="I4135" t="n">
        <v>6.9</v>
      </c>
      <c r="J4135" t="n">
        <v>0</v>
      </c>
      <c r="K4135" t="n">
        <v>0</v>
      </c>
      <c r="L4135" t="n">
        <v>0</v>
      </c>
      <c r="M4135" t="n">
        <v>0</v>
      </c>
      <c r="N4135" t="n">
        <v>0</v>
      </c>
      <c r="O4135" t="n">
        <v>0</v>
      </c>
      <c r="P4135" t="n">
        <v>0</v>
      </c>
      <c r="Q4135" t="n">
        <v>0</v>
      </c>
      <c r="R4135" t="n">
        <v>0</v>
      </c>
      <c r="S4135" t="n">
        <v>0</v>
      </c>
      <c r="T4135" t="n">
        <v>0</v>
      </c>
      <c r="U4135" t="n">
        <v>0</v>
      </c>
      <c r="V4135" s="2" t="inlineStr"/>
    </row>
    <row r="4136" ht="15" customHeight="1">
      <c r="A4136" t="inlineStr">
        <is>
          <t>A 32955-2023</t>
        </is>
      </c>
      <c r="B4136" t="inlineStr">
        <is>
          <t>avverkningsanmälan</t>
        </is>
      </c>
      <c r="C4136" t="inlineStr">
        <is>
          <t>Föryngringsavverkning</t>
        </is>
      </c>
      <c r="D4136" s="1" t="n">
        <v>45125</v>
      </c>
      <c r="E4136" s="1" t="n">
        <v>46323</v>
      </c>
      <c r="F4136" t="inlineStr">
        <is>
          <t>KALMAR LÄN</t>
        </is>
      </c>
      <c r="G4136" t="inlineStr">
        <is>
          <t>KALMAR</t>
        </is>
      </c>
      <c r="I4136" t="n">
        <v>1</v>
      </c>
      <c r="J4136" t="n">
        <v>0</v>
      </c>
      <c r="K4136" t="n">
        <v>0</v>
      </c>
      <c r="L4136" t="n">
        <v>0</v>
      </c>
      <c r="M4136" t="n">
        <v>0</v>
      </c>
      <c r="N4136" t="n">
        <v>0</v>
      </c>
      <c r="O4136" t="n">
        <v>0</v>
      </c>
      <c r="P4136" t="n">
        <v>0</v>
      </c>
      <c r="Q4136" t="n">
        <v>0</v>
      </c>
      <c r="R4136" t="n">
        <v>0</v>
      </c>
      <c r="S4136" t="n">
        <v>0</v>
      </c>
      <c r="T4136" t="n">
        <v>0</v>
      </c>
      <c r="U4136" t="n">
        <v>0</v>
      </c>
      <c r="V4136" s="2" t="inlineStr"/>
    </row>
    <row r="4137" ht="15" customHeight="1">
      <c r="A4137" t="inlineStr">
        <is>
          <t>A 38757-2023</t>
        </is>
      </c>
      <c r="B4137" t="inlineStr">
        <is>
          <t>avverkningsanmälan</t>
        </is>
      </c>
      <c r="C4137" t="inlineStr">
        <is>
          <t>Föryngringsavverkning</t>
        </is>
      </c>
      <c r="D4137" s="1" t="n">
        <v>45163</v>
      </c>
      <c r="E4137" s="1" t="n">
        <v>46323</v>
      </c>
      <c r="F4137" t="inlineStr">
        <is>
          <t>KALMAR LÄN</t>
        </is>
      </c>
      <c r="G4137" t="inlineStr">
        <is>
          <t>VIMMERBY</t>
        </is>
      </c>
      <c r="I4137" t="n">
        <v>2.5</v>
      </c>
      <c r="J4137" t="n">
        <v>0</v>
      </c>
      <c r="K4137" t="n">
        <v>0</v>
      </c>
      <c r="L4137" t="n">
        <v>0</v>
      </c>
      <c r="M4137" t="n">
        <v>0</v>
      </c>
      <c r="N4137" t="n">
        <v>0</v>
      </c>
      <c r="O4137" t="n">
        <v>0</v>
      </c>
      <c r="P4137" t="n">
        <v>0</v>
      </c>
      <c r="Q4137" t="n">
        <v>0</v>
      </c>
      <c r="R4137" t="n">
        <v>0</v>
      </c>
      <c r="S4137" t="n">
        <v>0</v>
      </c>
      <c r="T4137" t="n">
        <v>0</v>
      </c>
      <c r="U4137" t="n">
        <v>0</v>
      </c>
      <c r="V4137" s="2" t="inlineStr"/>
    </row>
    <row r="4138" ht="15" customHeight="1">
      <c r="A4138" t="inlineStr">
        <is>
          <t>A 25861-2023</t>
        </is>
      </c>
      <c r="B4138" t="inlineStr">
        <is>
          <t>avverkningsanmälan</t>
        </is>
      </c>
      <c r="C4138" t="inlineStr">
        <is>
          <t>Föryngringsavverkning</t>
        </is>
      </c>
      <c r="D4138" s="1" t="n">
        <v>45090</v>
      </c>
      <c r="E4138" s="1" t="n">
        <v>46323</v>
      </c>
      <c r="F4138" t="inlineStr">
        <is>
          <t>KALMAR LÄN</t>
        </is>
      </c>
      <c r="G4138" t="inlineStr">
        <is>
          <t>HÖGSBY</t>
        </is>
      </c>
      <c r="I4138" t="n">
        <v>4.4</v>
      </c>
      <c r="J4138" t="n">
        <v>0</v>
      </c>
      <c r="K4138" t="n">
        <v>0</v>
      </c>
      <c r="L4138" t="n">
        <v>0</v>
      </c>
      <c r="M4138" t="n">
        <v>0</v>
      </c>
      <c r="N4138" t="n">
        <v>0</v>
      </c>
      <c r="O4138" t="n">
        <v>0</v>
      </c>
      <c r="P4138" t="n">
        <v>0</v>
      </c>
      <c r="Q4138" t="n">
        <v>0</v>
      </c>
      <c r="R4138" t="n">
        <v>0</v>
      </c>
      <c r="S4138" t="n">
        <v>0</v>
      </c>
      <c r="T4138" t="n">
        <v>0</v>
      </c>
      <c r="U4138" t="n">
        <v>0</v>
      </c>
      <c r="V4138" s="2" t="inlineStr"/>
    </row>
    <row r="4139" ht="15" customHeight="1">
      <c r="A4139" t="inlineStr">
        <is>
          <t>A 25876-2023</t>
        </is>
      </c>
      <c r="B4139" t="inlineStr">
        <is>
          <t>avverkningsanmälan</t>
        </is>
      </c>
      <c r="C4139" t="inlineStr">
        <is>
          <t>Föryngringsavverkning</t>
        </is>
      </c>
      <c r="D4139" s="1" t="n">
        <v>45090</v>
      </c>
      <c r="E4139" s="1" t="n">
        <v>46323</v>
      </c>
      <c r="F4139" t="inlineStr">
        <is>
          <t>KALMAR LÄN</t>
        </is>
      </c>
      <c r="G4139" t="inlineStr">
        <is>
          <t>HÖGSBY</t>
        </is>
      </c>
      <c r="I4139" t="n">
        <v>1.2</v>
      </c>
      <c r="J4139" t="n">
        <v>0</v>
      </c>
      <c r="K4139" t="n">
        <v>0</v>
      </c>
      <c r="L4139" t="n">
        <v>0</v>
      </c>
      <c r="M4139" t="n">
        <v>0</v>
      </c>
      <c r="N4139" t="n">
        <v>0</v>
      </c>
      <c r="O4139" t="n">
        <v>0</v>
      </c>
      <c r="P4139" t="n">
        <v>0</v>
      </c>
      <c r="Q4139" t="n">
        <v>0</v>
      </c>
      <c r="R4139" t="n">
        <v>0</v>
      </c>
      <c r="S4139" t="n">
        <v>0</v>
      </c>
      <c r="T4139" t="n">
        <v>0</v>
      </c>
      <c r="U4139" t="n">
        <v>0</v>
      </c>
      <c r="V4139" s="2" t="inlineStr"/>
    </row>
    <row r="4140" ht="15" customHeight="1">
      <c r="A4140" t="inlineStr">
        <is>
          <t>A 45690-2023</t>
        </is>
      </c>
      <c r="B4140" t="inlineStr">
        <is>
          <t>avverkningsanmälan</t>
        </is>
      </c>
      <c r="C4140" t="inlineStr">
        <is>
          <t>Föryngringsavverkning</t>
        </is>
      </c>
      <c r="D4140" s="1" t="n">
        <v>45195</v>
      </c>
      <c r="E4140" s="1" t="n">
        <v>46323</v>
      </c>
      <c r="F4140" t="inlineStr">
        <is>
          <t>KALMAR LÄN</t>
        </is>
      </c>
      <c r="G4140" t="inlineStr">
        <is>
          <t>TORSÅS</t>
        </is>
      </c>
      <c r="I4140" t="n">
        <v>0.5</v>
      </c>
      <c r="J4140" t="n">
        <v>0</v>
      </c>
      <c r="K4140" t="n">
        <v>0</v>
      </c>
      <c r="L4140" t="n">
        <v>0</v>
      </c>
      <c r="M4140" t="n">
        <v>0</v>
      </c>
      <c r="N4140" t="n">
        <v>0</v>
      </c>
      <c r="O4140" t="n">
        <v>0</v>
      </c>
      <c r="P4140" t="n">
        <v>0</v>
      </c>
      <c r="Q4140" t="n">
        <v>0</v>
      </c>
      <c r="R4140" t="n">
        <v>0</v>
      </c>
      <c r="S4140" t="n">
        <v>0</v>
      </c>
      <c r="T4140" t="n">
        <v>0</v>
      </c>
      <c r="U4140" t="n">
        <v>0</v>
      </c>
      <c r="V4140" s="2" t="inlineStr"/>
    </row>
    <row r="4141" ht="15" customHeight="1">
      <c r="A4141" t="inlineStr">
        <is>
          <t>A 30882-2026</t>
        </is>
      </c>
      <c r="B4141" t="inlineStr">
        <is>
          <t>avverkningsanmälan</t>
        </is>
      </c>
      <c r="C4141" t="inlineStr">
        <is>
          <t>Föryngringsavverkning</t>
        </is>
      </c>
      <c r="D4141" s="1" t="n">
        <v>46212</v>
      </c>
      <c r="E4141" s="1" t="n">
        <v>46323</v>
      </c>
      <c r="F4141" t="inlineStr">
        <is>
          <t>KALMAR LÄN</t>
        </is>
      </c>
      <c r="G4141" t="inlineStr">
        <is>
          <t>EMMABODA</t>
        </is>
      </c>
      <c r="I4141" t="n">
        <v>2.1</v>
      </c>
      <c r="J4141" t="n">
        <v>0</v>
      </c>
      <c r="K4141" t="n">
        <v>0</v>
      </c>
      <c r="L4141" t="n">
        <v>0</v>
      </c>
      <c r="M4141" t="n">
        <v>0</v>
      </c>
      <c r="N4141" t="n">
        <v>0</v>
      </c>
      <c r="O4141" t="n">
        <v>0</v>
      </c>
      <c r="P4141" t="n">
        <v>0</v>
      </c>
      <c r="Q4141" t="n">
        <v>0</v>
      </c>
      <c r="R4141" t="n">
        <v>0</v>
      </c>
      <c r="S4141" t="n">
        <v>0</v>
      </c>
      <c r="T4141" t="n">
        <v>0</v>
      </c>
      <c r="U4141" t="n">
        <v>0</v>
      </c>
      <c r="V4141" s="2" t="inlineStr"/>
    </row>
    <row r="4142" ht="15" customHeight="1">
      <c r="A4142" t="inlineStr">
        <is>
          <t>A 30940-2026</t>
        </is>
      </c>
      <c r="B4142" t="inlineStr">
        <is>
          <t>avverkningsanmälan</t>
        </is>
      </c>
      <c r="C4142" t="inlineStr">
        <is>
          <t>Föryngringsavverkning</t>
        </is>
      </c>
      <c r="D4142" s="1" t="n">
        <v>46213</v>
      </c>
      <c r="E4142" s="1" t="n">
        <v>46323</v>
      </c>
      <c r="F4142" t="inlineStr">
        <is>
          <t>KALMAR LÄN</t>
        </is>
      </c>
      <c r="G4142" t="inlineStr">
        <is>
          <t>VIMMERBY</t>
        </is>
      </c>
      <c r="I4142" t="n">
        <v>1.8</v>
      </c>
      <c r="J4142" t="n">
        <v>0</v>
      </c>
      <c r="K4142" t="n">
        <v>0</v>
      </c>
      <c r="L4142" t="n">
        <v>0</v>
      </c>
      <c r="M4142" t="n">
        <v>0</v>
      </c>
      <c r="N4142" t="n">
        <v>0</v>
      </c>
      <c r="O4142" t="n">
        <v>0</v>
      </c>
      <c r="P4142" t="n">
        <v>0</v>
      </c>
      <c r="Q4142" t="n">
        <v>0</v>
      </c>
      <c r="R4142" t="n">
        <v>0</v>
      </c>
      <c r="S4142" t="n">
        <v>0</v>
      </c>
      <c r="T4142" t="n">
        <v>0</v>
      </c>
      <c r="U4142" t="n">
        <v>0</v>
      </c>
      <c r="V4142" s="2" t="inlineStr"/>
    </row>
    <row r="4143" ht="15" customHeight="1">
      <c r="A4143" t="inlineStr">
        <is>
          <t>A 43118-2022</t>
        </is>
      </c>
      <c r="B4143" t="inlineStr">
        <is>
          <t>avverkningsanmälan</t>
        </is>
      </c>
      <c r="C4143" t="inlineStr">
        <is>
          <t>Föryngringsavverkning</t>
        </is>
      </c>
      <c r="D4143" s="1" t="n">
        <v>44833</v>
      </c>
      <c r="E4143" s="1" t="n">
        <v>46323</v>
      </c>
      <c r="F4143" t="inlineStr">
        <is>
          <t>KALMAR LÄN</t>
        </is>
      </c>
      <c r="G4143" t="inlineStr">
        <is>
          <t>NYBRO</t>
        </is>
      </c>
      <c r="I4143" t="n">
        <v>3.5</v>
      </c>
      <c r="J4143" t="n">
        <v>0</v>
      </c>
      <c r="K4143" t="n">
        <v>0</v>
      </c>
      <c r="L4143" t="n">
        <v>0</v>
      </c>
      <c r="M4143" t="n">
        <v>0</v>
      </c>
      <c r="N4143" t="n">
        <v>0</v>
      </c>
      <c r="O4143" t="n">
        <v>0</v>
      </c>
      <c r="P4143" t="n">
        <v>0</v>
      </c>
      <c r="Q4143" t="n">
        <v>0</v>
      </c>
      <c r="R4143" t="n">
        <v>0</v>
      </c>
      <c r="S4143" t="n">
        <v>0</v>
      </c>
      <c r="T4143" t="n">
        <v>0</v>
      </c>
      <c r="U4143" t="n">
        <v>0</v>
      </c>
      <c r="V4143" s="2" t="inlineStr"/>
    </row>
    <row r="4144" ht="15" customHeight="1">
      <c r="A4144" t="inlineStr">
        <is>
          <t>A 38285-2023</t>
        </is>
      </c>
      <c r="B4144" t="inlineStr">
        <is>
          <t>avverkningsanmälan</t>
        </is>
      </c>
      <c r="C4144" t="inlineStr">
        <is>
          <t>Föryngringsavverkning</t>
        </is>
      </c>
      <c r="D4144" s="1" t="n">
        <v>45160</v>
      </c>
      <c r="E4144" s="1" t="n">
        <v>46323</v>
      </c>
      <c r="F4144" t="inlineStr">
        <is>
          <t>KALMAR LÄN</t>
        </is>
      </c>
      <c r="G4144" t="inlineStr">
        <is>
          <t>HÖGSBY</t>
        </is>
      </c>
      <c r="I4144" t="n">
        <v>0.7</v>
      </c>
      <c r="J4144" t="n">
        <v>0</v>
      </c>
      <c r="K4144" t="n">
        <v>0</v>
      </c>
      <c r="L4144" t="n">
        <v>0</v>
      </c>
      <c r="M4144" t="n">
        <v>0</v>
      </c>
      <c r="N4144" t="n">
        <v>0</v>
      </c>
      <c r="O4144" t="n">
        <v>0</v>
      </c>
      <c r="P4144" t="n">
        <v>0</v>
      </c>
      <c r="Q4144" t="n">
        <v>0</v>
      </c>
      <c r="R4144" t="n">
        <v>0</v>
      </c>
      <c r="S4144" t="n">
        <v>0</v>
      </c>
      <c r="T4144" t="n">
        <v>0</v>
      </c>
      <c r="U4144" t="n">
        <v>0</v>
      </c>
      <c r="V4144" s="2" t="inlineStr"/>
    </row>
    <row r="4145" ht="15" customHeight="1">
      <c r="A4145" t="inlineStr">
        <is>
          <t>A 30883-2026</t>
        </is>
      </c>
      <c r="B4145" t="inlineStr">
        <is>
          <t>avverkningsanmälan</t>
        </is>
      </c>
      <c r="C4145" t="inlineStr">
        <is>
          <t>Föryngringsavverkning</t>
        </is>
      </c>
      <c r="D4145" s="1" t="n">
        <v>46212</v>
      </c>
      <c r="E4145" s="1" t="n">
        <v>46323</v>
      </c>
      <c r="F4145" t="inlineStr">
        <is>
          <t>KALMAR LÄN</t>
        </is>
      </c>
      <c r="G4145" t="inlineStr">
        <is>
          <t>EMMABODA</t>
        </is>
      </c>
      <c r="I4145" t="n">
        <v>4.9</v>
      </c>
      <c r="J4145" t="n">
        <v>0</v>
      </c>
      <c r="K4145" t="n">
        <v>0</v>
      </c>
      <c r="L4145" t="n">
        <v>0</v>
      </c>
      <c r="M4145" t="n">
        <v>0</v>
      </c>
      <c r="N4145" t="n">
        <v>0</v>
      </c>
      <c r="O4145" t="n">
        <v>0</v>
      </c>
      <c r="P4145" t="n">
        <v>0</v>
      </c>
      <c r="Q4145" t="n">
        <v>0</v>
      </c>
      <c r="R4145" t="n">
        <v>0</v>
      </c>
      <c r="S4145" t="n">
        <v>0</v>
      </c>
      <c r="T4145" t="n">
        <v>0</v>
      </c>
      <c r="U4145" t="n">
        <v>0</v>
      </c>
      <c r="V4145" s="2" t="inlineStr"/>
    </row>
    <row r="4146" ht="15" customHeight="1">
      <c r="A4146" t="inlineStr">
        <is>
          <t>A 4635-2026</t>
        </is>
      </c>
      <c r="B4146" t="inlineStr">
        <is>
          <t>avverkningsanmälan</t>
        </is>
      </c>
      <c r="C4146" t="inlineStr">
        <is>
          <t>Föryngringsavverkning</t>
        </is>
      </c>
      <c r="D4146" s="1" t="n">
        <v>46048</v>
      </c>
      <c r="E4146" s="1" t="n">
        <v>46323</v>
      </c>
      <c r="F4146" t="inlineStr">
        <is>
          <t>KALMAR LÄN</t>
        </is>
      </c>
      <c r="G4146" t="inlineStr">
        <is>
          <t>KALMAR</t>
        </is>
      </c>
      <c r="I4146" t="n">
        <v>9.1</v>
      </c>
      <c r="J4146" t="n">
        <v>0</v>
      </c>
      <c r="K4146" t="n">
        <v>0</v>
      </c>
      <c r="L4146" t="n">
        <v>0</v>
      </c>
      <c r="M4146" t="n">
        <v>0</v>
      </c>
      <c r="N4146" t="n">
        <v>0</v>
      </c>
      <c r="O4146" t="n">
        <v>0</v>
      </c>
      <c r="P4146" t="n">
        <v>0</v>
      </c>
      <c r="Q4146" t="n">
        <v>0</v>
      </c>
      <c r="R4146" t="n">
        <v>0</v>
      </c>
      <c r="S4146" t="n">
        <v>0</v>
      </c>
      <c r="T4146" t="n">
        <v>0</v>
      </c>
      <c r="U4146" t="n">
        <v>0</v>
      </c>
      <c r="V4146" s="2" t="inlineStr"/>
    </row>
    <row r="4147" ht="15" customHeight="1">
      <c r="A4147" t="inlineStr">
        <is>
          <t>A 27610-2023</t>
        </is>
      </c>
      <c r="B4147" t="inlineStr">
        <is>
          <t>avverkningsanmälan</t>
        </is>
      </c>
      <c r="C4147" t="inlineStr">
        <is>
          <t>Föryngringsavverkning</t>
        </is>
      </c>
      <c r="D4147" s="1" t="n">
        <v>45097</v>
      </c>
      <c r="E4147" s="1" t="n">
        <v>46323</v>
      </c>
      <c r="F4147" t="inlineStr">
        <is>
          <t>KALMAR LÄN</t>
        </is>
      </c>
      <c r="G4147" t="inlineStr">
        <is>
          <t>MÖNSTERÅS</t>
        </is>
      </c>
      <c r="I4147" t="n">
        <v>1.5</v>
      </c>
      <c r="J4147" t="n">
        <v>0</v>
      </c>
      <c r="K4147" t="n">
        <v>0</v>
      </c>
      <c r="L4147" t="n">
        <v>0</v>
      </c>
      <c r="M4147" t="n">
        <v>0</v>
      </c>
      <c r="N4147" t="n">
        <v>0</v>
      </c>
      <c r="O4147" t="n">
        <v>0</v>
      </c>
      <c r="P4147" t="n">
        <v>0</v>
      </c>
      <c r="Q4147" t="n">
        <v>0</v>
      </c>
      <c r="R4147" t="n">
        <v>0</v>
      </c>
      <c r="S4147" t="n">
        <v>0</v>
      </c>
      <c r="T4147" t="n">
        <v>0</v>
      </c>
      <c r="U4147" t="n">
        <v>0</v>
      </c>
      <c r="V4147" s="2" t="inlineStr"/>
    </row>
    <row r="4148" ht="15" customHeight="1">
      <c r="A4148" t="inlineStr">
        <is>
          <t>A 31027-2026</t>
        </is>
      </c>
      <c r="B4148" t="inlineStr">
        <is>
          <t>avverkningsanmälan</t>
        </is>
      </c>
      <c r="C4148" t="inlineStr">
        <is>
          <t>Föryngringsavverkning</t>
        </is>
      </c>
      <c r="D4148" s="1" t="n">
        <v>46213</v>
      </c>
      <c r="E4148" s="1" t="n">
        <v>46323</v>
      </c>
      <c r="F4148" t="inlineStr">
        <is>
          <t>KALMAR LÄN</t>
        </is>
      </c>
      <c r="G4148" t="inlineStr">
        <is>
          <t>EMMABODA</t>
        </is>
      </c>
      <c r="I4148" t="n">
        <v>1.4</v>
      </c>
      <c r="J4148" t="n">
        <v>0</v>
      </c>
      <c r="K4148" t="n">
        <v>0</v>
      </c>
      <c r="L4148" t="n">
        <v>0</v>
      </c>
      <c r="M4148" t="n">
        <v>0</v>
      </c>
      <c r="N4148" t="n">
        <v>0</v>
      </c>
      <c r="O4148" t="n">
        <v>0</v>
      </c>
      <c r="P4148" t="n">
        <v>0</v>
      </c>
      <c r="Q4148" t="n">
        <v>0</v>
      </c>
      <c r="R4148" t="n">
        <v>0</v>
      </c>
      <c r="S4148" t="n">
        <v>0</v>
      </c>
      <c r="T4148" t="n">
        <v>0</v>
      </c>
      <c r="U4148" t="n">
        <v>0</v>
      </c>
      <c r="V4148" s="2" t="inlineStr"/>
    </row>
    <row r="4149" ht="15" customHeight="1">
      <c r="A4149" t="inlineStr">
        <is>
          <t>A 35531-2024</t>
        </is>
      </c>
      <c r="B4149" t="inlineStr">
        <is>
          <t>avverkningsanmälan</t>
        </is>
      </c>
      <c r="C4149" t="inlineStr">
        <is>
          <t>Föryngringsavverkning</t>
        </is>
      </c>
      <c r="D4149" s="1" t="n">
        <v>45531</v>
      </c>
      <c r="E4149" s="1" t="n">
        <v>46323</v>
      </c>
      <c r="F4149" t="inlineStr">
        <is>
          <t>KALMAR LÄN</t>
        </is>
      </c>
      <c r="G4149" t="inlineStr">
        <is>
          <t>OSKARSHAMN</t>
        </is>
      </c>
      <c r="I4149" t="n">
        <v>0.8</v>
      </c>
      <c r="J4149" t="n">
        <v>0</v>
      </c>
      <c r="K4149" t="n">
        <v>0</v>
      </c>
      <c r="L4149" t="n">
        <v>0</v>
      </c>
      <c r="M4149" t="n">
        <v>0</v>
      </c>
      <c r="N4149" t="n">
        <v>0</v>
      </c>
      <c r="O4149" t="n">
        <v>0</v>
      </c>
      <c r="P4149" t="n">
        <v>0</v>
      </c>
      <c r="Q4149" t="n">
        <v>0</v>
      </c>
      <c r="R4149" t="n">
        <v>0</v>
      </c>
      <c r="S4149" t="n">
        <v>0</v>
      </c>
      <c r="T4149" t="n">
        <v>0</v>
      </c>
      <c r="U4149" t="n">
        <v>0</v>
      </c>
      <c r="V4149" s="2" t="inlineStr"/>
    </row>
    <row r="4150" ht="15" customHeight="1">
      <c r="A4150" t="inlineStr">
        <is>
          <t>A 35490-2024</t>
        </is>
      </c>
      <c r="B4150" t="inlineStr">
        <is>
          <t>avverkningsanmälan</t>
        </is>
      </c>
      <c r="C4150" t="inlineStr">
        <is>
          <t>Föryngringsavverkning</t>
        </is>
      </c>
      <c r="D4150" s="1" t="n">
        <v>45531</v>
      </c>
      <c r="E4150" s="1" t="n">
        <v>46323</v>
      </c>
      <c r="F4150" t="inlineStr">
        <is>
          <t>KALMAR LÄN</t>
        </is>
      </c>
      <c r="G4150" t="inlineStr">
        <is>
          <t>EMMABODA</t>
        </is>
      </c>
      <c r="I4150" t="n">
        <v>1.4</v>
      </c>
      <c r="J4150" t="n">
        <v>0</v>
      </c>
      <c r="K4150" t="n">
        <v>0</v>
      </c>
      <c r="L4150" t="n">
        <v>0</v>
      </c>
      <c r="M4150" t="n">
        <v>0</v>
      </c>
      <c r="N4150" t="n">
        <v>0</v>
      </c>
      <c r="O4150" t="n">
        <v>0</v>
      </c>
      <c r="P4150" t="n">
        <v>0</v>
      </c>
      <c r="Q4150" t="n">
        <v>0</v>
      </c>
      <c r="R4150" t="n">
        <v>0</v>
      </c>
      <c r="S4150" t="n">
        <v>0</v>
      </c>
      <c r="T4150" t="n">
        <v>0</v>
      </c>
      <c r="U4150" t="n">
        <v>0</v>
      </c>
      <c r="V4150" s="2" t="inlineStr"/>
    </row>
    <row r="4151" ht="15" customHeight="1">
      <c r="A4151" t="inlineStr">
        <is>
          <t>A 35566-2023</t>
        </is>
      </c>
      <c r="B4151" t="inlineStr">
        <is>
          <t>avverkningsanmälan</t>
        </is>
      </c>
      <c r="C4151" t="inlineStr">
        <is>
          <t>Föryngringsavverkning</t>
        </is>
      </c>
      <c r="D4151" s="1" t="n">
        <v>45147</v>
      </c>
      <c r="E4151" s="1" t="n">
        <v>46323</v>
      </c>
      <c r="F4151" t="inlineStr">
        <is>
          <t>KALMAR LÄN</t>
        </is>
      </c>
      <c r="G4151" t="inlineStr">
        <is>
          <t>OSKARSHAMN</t>
        </is>
      </c>
      <c r="I4151" t="n">
        <v>2.2</v>
      </c>
      <c r="J4151" t="n">
        <v>0</v>
      </c>
      <c r="K4151" t="n">
        <v>0</v>
      </c>
      <c r="L4151" t="n">
        <v>0</v>
      </c>
      <c r="M4151" t="n">
        <v>0</v>
      </c>
      <c r="N4151" t="n">
        <v>0</v>
      </c>
      <c r="O4151" t="n">
        <v>0</v>
      </c>
      <c r="P4151" t="n">
        <v>0</v>
      </c>
      <c r="Q4151" t="n">
        <v>0</v>
      </c>
      <c r="R4151" t="n">
        <v>0</v>
      </c>
      <c r="S4151" t="n">
        <v>0</v>
      </c>
      <c r="T4151" t="n">
        <v>0</v>
      </c>
      <c r="U4151" t="n">
        <v>0</v>
      </c>
      <c r="V4151" s="2" t="inlineStr"/>
    </row>
    <row r="4152" ht="15" customHeight="1">
      <c r="A4152" t="inlineStr">
        <is>
          <t>A 33061-2023</t>
        </is>
      </c>
      <c r="B4152" t="inlineStr">
        <is>
          <t>avverkningsanmälan</t>
        </is>
      </c>
      <c r="C4152" t="inlineStr">
        <is>
          <t>Föryngringsavverkning</t>
        </is>
      </c>
      <c r="D4152" s="1" t="n">
        <v>45126</v>
      </c>
      <c r="E4152" s="1" t="n">
        <v>46323</v>
      </c>
      <c r="F4152" t="inlineStr">
        <is>
          <t>KALMAR LÄN</t>
        </is>
      </c>
      <c r="G4152" t="inlineStr">
        <is>
          <t>EMMABODA</t>
        </is>
      </c>
      <c r="I4152" t="n">
        <v>0.8</v>
      </c>
      <c r="J4152" t="n">
        <v>0</v>
      </c>
      <c r="K4152" t="n">
        <v>0</v>
      </c>
      <c r="L4152" t="n">
        <v>0</v>
      </c>
      <c r="M4152" t="n">
        <v>0</v>
      </c>
      <c r="N4152" t="n">
        <v>0</v>
      </c>
      <c r="O4152" t="n">
        <v>0</v>
      </c>
      <c r="P4152" t="n">
        <v>0</v>
      </c>
      <c r="Q4152" t="n">
        <v>0</v>
      </c>
      <c r="R4152" t="n">
        <v>0</v>
      </c>
      <c r="S4152" t="n">
        <v>0</v>
      </c>
      <c r="T4152" t="n">
        <v>0</v>
      </c>
      <c r="U4152" t="n">
        <v>0</v>
      </c>
      <c r="V4152" s="2" t="inlineStr"/>
    </row>
    <row r="4153" ht="15" customHeight="1">
      <c r="A4153" t="inlineStr">
        <is>
          <t>A 8222-2025</t>
        </is>
      </c>
      <c r="B4153" t="inlineStr">
        <is>
          <t>avverkningsanmälan</t>
        </is>
      </c>
      <c r="C4153" t="inlineStr">
        <is>
          <t>Föryngringsavverkning</t>
        </is>
      </c>
      <c r="D4153" s="1" t="n">
        <v>45708</v>
      </c>
      <c r="E4153" s="1" t="n">
        <v>46323</v>
      </c>
      <c r="F4153" t="inlineStr">
        <is>
          <t>KALMAR LÄN</t>
        </is>
      </c>
      <c r="G4153" t="inlineStr">
        <is>
          <t>MÖNSTERÅS</t>
        </is>
      </c>
      <c r="I4153" t="n">
        <v>1.4</v>
      </c>
      <c r="J4153" t="n">
        <v>0</v>
      </c>
      <c r="K4153" t="n">
        <v>0</v>
      </c>
      <c r="L4153" t="n">
        <v>0</v>
      </c>
      <c r="M4153" t="n">
        <v>0</v>
      </c>
      <c r="N4153" t="n">
        <v>0</v>
      </c>
      <c r="O4153" t="n">
        <v>0</v>
      </c>
      <c r="P4153" t="n">
        <v>0</v>
      </c>
      <c r="Q4153" t="n">
        <v>0</v>
      </c>
      <c r="R4153" t="n">
        <v>0</v>
      </c>
      <c r="S4153" t="n">
        <v>0</v>
      </c>
      <c r="T4153" t="n">
        <v>0</v>
      </c>
      <c r="U4153" t="n">
        <v>0</v>
      </c>
      <c r="V4153" s="2" t="inlineStr"/>
    </row>
    <row r="4154" ht="15" customHeight="1">
      <c r="A4154" t="inlineStr">
        <is>
          <t>A 20164-2024</t>
        </is>
      </c>
      <c r="B4154" t="inlineStr">
        <is>
          <t>avverkningsanmälan</t>
        </is>
      </c>
      <c r="C4154" t="inlineStr">
        <is>
          <t>Föryngringsavverkning</t>
        </is>
      </c>
      <c r="D4154" s="1" t="n">
        <v>45434</v>
      </c>
      <c r="E4154" s="1" t="n">
        <v>46323</v>
      </c>
      <c r="F4154" t="inlineStr">
        <is>
          <t>KALMAR LÄN</t>
        </is>
      </c>
      <c r="G4154" t="inlineStr">
        <is>
          <t>EMMABODA</t>
        </is>
      </c>
      <c r="I4154" t="n">
        <v>1.7</v>
      </c>
      <c r="J4154" t="n">
        <v>0</v>
      </c>
      <c r="K4154" t="n">
        <v>0</v>
      </c>
      <c r="L4154" t="n">
        <v>0</v>
      </c>
      <c r="M4154" t="n">
        <v>0</v>
      </c>
      <c r="N4154" t="n">
        <v>0</v>
      </c>
      <c r="O4154" t="n">
        <v>0</v>
      </c>
      <c r="P4154" t="n">
        <v>0</v>
      </c>
      <c r="Q4154" t="n">
        <v>0</v>
      </c>
      <c r="R4154" t="n">
        <v>0</v>
      </c>
      <c r="S4154" t="n">
        <v>0</v>
      </c>
      <c r="T4154" t="n">
        <v>0</v>
      </c>
      <c r="U4154" t="n">
        <v>0</v>
      </c>
      <c r="V4154" s="2" t="inlineStr"/>
    </row>
    <row r="4155" ht="15" customHeight="1">
      <c r="A4155" t="inlineStr">
        <is>
          <t>A 4939-2026</t>
        </is>
      </c>
      <c r="B4155" t="inlineStr">
        <is>
          <t>avverkningsanmälan</t>
        </is>
      </c>
      <c r="C4155" t="inlineStr">
        <is>
          <t>Föryngringsavverkning</t>
        </is>
      </c>
      <c r="D4155" s="1" t="n">
        <v>46048</v>
      </c>
      <c r="E4155" s="1" t="n">
        <v>46323</v>
      </c>
      <c r="F4155" t="inlineStr">
        <is>
          <t>KALMAR LÄN</t>
        </is>
      </c>
      <c r="G4155" t="inlineStr">
        <is>
          <t>HULTSFRED</t>
        </is>
      </c>
      <c r="I4155" t="n">
        <v>1.9</v>
      </c>
      <c r="J4155" t="n">
        <v>0</v>
      </c>
      <c r="K4155" t="n">
        <v>0</v>
      </c>
      <c r="L4155" t="n">
        <v>0</v>
      </c>
      <c r="M4155" t="n">
        <v>0</v>
      </c>
      <c r="N4155" t="n">
        <v>0</v>
      </c>
      <c r="O4155" t="n">
        <v>0</v>
      </c>
      <c r="P4155" t="n">
        <v>0</v>
      </c>
      <c r="Q4155" t="n">
        <v>0</v>
      </c>
      <c r="R4155" t="n">
        <v>0</v>
      </c>
      <c r="S4155" t="n">
        <v>0</v>
      </c>
      <c r="T4155" t="n">
        <v>0</v>
      </c>
      <c r="U4155" t="n">
        <v>0</v>
      </c>
      <c r="V4155" s="2" t="inlineStr"/>
    </row>
    <row r="4156" ht="15" customHeight="1">
      <c r="A4156" t="inlineStr">
        <is>
          <t>A 5248-2026</t>
        </is>
      </c>
      <c r="B4156" t="inlineStr">
        <is>
          <t>avverkningsanmälan</t>
        </is>
      </c>
      <c r="C4156" t="inlineStr">
        <is>
          <t>Föryngringsavverkning</t>
        </is>
      </c>
      <c r="D4156" s="1" t="n">
        <v>46049</v>
      </c>
      <c r="E4156" s="1" t="n">
        <v>46323</v>
      </c>
      <c r="F4156" t="inlineStr">
        <is>
          <t>KALMAR LÄN</t>
        </is>
      </c>
      <c r="G4156" t="inlineStr">
        <is>
          <t>KALMAR</t>
        </is>
      </c>
      <c r="I4156" t="n">
        <v>4.7</v>
      </c>
      <c r="J4156" t="n">
        <v>0</v>
      </c>
      <c r="K4156" t="n">
        <v>0</v>
      </c>
      <c r="L4156" t="n">
        <v>0</v>
      </c>
      <c r="M4156" t="n">
        <v>0</v>
      </c>
      <c r="N4156" t="n">
        <v>0</v>
      </c>
      <c r="O4156" t="n">
        <v>0</v>
      </c>
      <c r="P4156" t="n">
        <v>0</v>
      </c>
      <c r="Q4156" t="n">
        <v>0</v>
      </c>
      <c r="R4156" t="n">
        <v>0</v>
      </c>
      <c r="S4156" t="n">
        <v>0</v>
      </c>
      <c r="T4156" t="n">
        <v>0</v>
      </c>
      <c r="U4156" t="n">
        <v>0</v>
      </c>
      <c r="V4156" s="2" t="inlineStr"/>
    </row>
    <row r="4157" ht="15" customHeight="1">
      <c r="A4157" t="inlineStr">
        <is>
          <t>A 17185-2022</t>
        </is>
      </c>
      <c r="B4157" t="inlineStr">
        <is>
          <t>avverkningsanmälan</t>
        </is>
      </c>
      <c r="C4157" t="inlineStr">
        <is>
          <t>Föryngringsavverkning</t>
        </is>
      </c>
      <c r="D4157" s="1" t="n">
        <v>44677</v>
      </c>
      <c r="E4157" s="1" t="n">
        <v>46323</v>
      </c>
      <c r="F4157" t="inlineStr">
        <is>
          <t>KALMAR LÄN</t>
        </is>
      </c>
      <c r="G4157" t="inlineStr">
        <is>
          <t>HÖGSBY</t>
        </is>
      </c>
      <c r="I4157" t="n">
        <v>3.4</v>
      </c>
      <c r="J4157" t="n">
        <v>0</v>
      </c>
      <c r="K4157" t="n">
        <v>0</v>
      </c>
      <c r="L4157" t="n">
        <v>0</v>
      </c>
      <c r="M4157" t="n">
        <v>0</v>
      </c>
      <c r="N4157" t="n">
        <v>0</v>
      </c>
      <c r="O4157" t="n">
        <v>0</v>
      </c>
      <c r="P4157" t="n">
        <v>0</v>
      </c>
      <c r="Q4157" t="n">
        <v>0</v>
      </c>
      <c r="R4157" t="n">
        <v>0</v>
      </c>
      <c r="S4157" t="n">
        <v>0</v>
      </c>
      <c r="T4157" t="n">
        <v>0</v>
      </c>
      <c r="U4157" t="n">
        <v>0</v>
      </c>
      <c r="V4157" s="2" t="inlineStr"/>
    </row>
    <row r="4158" ht="15" customHeight="1">
      <c r="A4158" t="inlineStr">
        <is>
          <t>A 1585-2022</t>
        </is>
      </c>
      <c r="B4158" t="inlineStr">
        <is>
          <t>avverkningsanmälan</t>
        </is>
      </c>
      <c r="C4158" t="inlineStr">
        <is>
          <t>Föryngringsavverkning</t>
        </is>
      </c>
      <c r="D4158" s="1" t="n">
        <v>44573</v>
      </c>
      <c r="E4158" s="1" t="n">
        <v>46323</v>
      </c>
      <c r="F4158" t="inlineStr">
        <is>
          <t>KALMAR LÄN</t>
        </is>
      </c>
      <c r="G4158" t="inlineStr">
        <is>
          <t>VÄSTERVIK</t>
        </is>
      </c>
      <c r="H4158" t="inlineStr">
        <is>
          <t>Holmen skog AB</t>
        </is>
      </c>
      <c r="I4158" t="n">
        <v>2.4</v>
      </c>
      <c r="J4158" t="n">
        <v>0</v>
      </c>
      <c r="K4158" t="n">
        <v>0</v>
      </c>
      <c r="L4158" t="n">
        <v>0</v>
      </c>
      <c r="M4158" t="n">
        <v>0</v>
      </c>
      <c r="N4158" t="n">
        <v>0</v>
      </c>
      <c r="O4158" t="n">
        <v>0</v>
      </c>
      <c r="P4158" t="n">
        <v>0</v>
      </c>
      <c r="Q4158" t="n">
        <v>0</v>
      </c>
      <c r="R4158" t="n">
        <v>0</v>
      </c>
      <c r="S4158" t="n">
        <v>0</v>
      </c>
      <c r="T4158" t="n">
        <v>0</v>
      </c>
      <c r="U4158" t="n">
        <v>0</v>
      </c>
      <c r="V4158" s="2" t="inlineStr"/>
    </row>
    <row r="4159" ht="15" customHeight="1">
      <c r="A4159" t="inlineStr">
        <is>
          <t>A 24283-2023</t>
        </is>
      </c>
      <c r="B4159" t="inlineStr">
        <is>
          <t>avverkningsanmälan</t>
        </is>
      </c>
      <c r="C4159" t="inlineStr">
        <is>
          <t>Föryngringsavverkning</t>
        </is>
      </c>
      <c r="D4159" s="1" t="n">
        <v>45079</v>
      </c>
      <c r="E4159" s="1" t="n">
        <v>46323</v>
      </c>
      <c r="F4159" t="inlineStr">
        <is>
          <t>KALMAR LÄN</t>
        </is>
      </c>
      <c r="G4159" t="inlineStr">
        <is>
          <t>VIMMERBY</t>
        </is>
      </c>
      <c r="I4159" t="n">
        <v>2</v>
      </c>
      <c r="J4159" t="n">
        <v>0</v>
      </c>
      <c r="K4159" t="n">
        <v>0</v>
      </c>
      <c r="L4159" t="n">
        <v>0</v>
      </c>
      <c r="M4159" t="n">
        <v>0</v>
      </c>
      <c r="N4159" t="n">
        <v>0</v>
      </c>
      <c r="O4159" t="n">
        <v>0</v>
      </c>
      <c r="P4159" t="n">
        <v>0</v>
      </c>
      <c r="Q4159" t="n">
        <v>0</v>
      </c>
      <c r="R4159" t="n">
        <v>0</v>
      </c>
      <c r="S4159" t="n">
        <v>0</v>
      </c>
      <c r="T4159" t="n">
        <v>0</v>
      </c>
      <c r="U4159" t="n">
        <v>0</v>
      </c>
      <c r="V4159" s="2" t="inlineStr"/>
    </row>
    <row r="4160" ht="15" customHeight="1">
      <c r="A4160" t="inlineStr">
        <is>
          <t>A 44865-2023</t>
        </is>
      </c>
      <c r="B4160" t="inlineStr">
        <is>
          <t>avverkningsanmälan</t>
        </is>
      </c>
      <c r="C4160" t="inlineStr">
        <is>
          <t>Föryngringsavverkning</t>
        </is>
      </c>
      <c r="D4160" s="1" t="n">
        <v>45190</v>
      </c>
      <c r="E4160" s="1" t="n">
        <v>46323</v>
      </c>
      <c r="F4160" t="inlineStr">
        <is>
          <t>KALMAR LÄN</t>
        </is>
      </c>
      <c r="G4160" t="inlineStr">
        <is>
          <t>HÖGSBY</t>
        </is>
      </c>
      <c r="I4160" t="n">
        <v>2.9</v>
      </c>
      <c r="J4160" t="n">
        <v>0</v>
      </c>
      <c r="K4160" t="n">
        <v>0</v>
      </c>
      <c r="L4160" t="n">
        <v>0</v>
      </c>
      <c r="M4160" t="n">
        <v>0</v>
      </c>
      <c r="N4160" t="n">
        <v>0</v>
      </c>
      <c r="O4160" t="n">
        <v>0</v>
      </c>
      <c r="P4160" t="n">
        <v>0</v>
      </c>
      <c r="Q4160" t="n">
        <v>0</v>
      </c>
      <c r="R4160" t="n">
        <v>0</v>
      </c>
      <c r="S4160" t="n">
        <v>0</v>
      </c>
      <c r="T4160" t="n">
        <v>0</v>
      </c>
      <c r="U4160" t="n">
        <v>0</v>
      </c>
      <c r="V4160" s="2" t="inlineStr"/>
    </row>
    <row r="4161" ht="15" customHeight="1">
      <c r="A4161" t="inlineStr">
        <is>
          <t>A 31214-2026</t>
        </is>
      </c>
      <c r="B4161" t="inlineStr">
        <is>
          <t>avverkningsanmälan</t>
        </is>
      </c>
      <c r="C4161" t="inlineStr">
        <is>
          <t>Föryngringsavverkning</t>
        </is>
      </c>
      <c r="D4161" s="1" t="n">
        <v>46217</v>
      </c>
      <c r="E4161" s="1" t="n">
        <v>46323</v>
      </c>
      <c r="F4161" t="inlineStr">
        <is>
          <t>KALMAR LÄN</t>
        </is>
      </c>
      <c r="G4161" t="inlineStr">
        <is>
          <t>VÄSTERVIK</t>
        </is>
      </c>
      <c r="I4161" t="n">
        <v>1.5</v>
      </c>
      <c r="J4161" t="n">
        <v>0</v>
      </c>
      <c r="K4161" t="n">
        <v>0</v>
      </c>
      <c r="L4161" t="n">
        <v>0</v>
      </c>
      <c r="M4161" t="n">
        <v>0</v>
      </c>
      <c r="N4161" t="n">
        <v>0</v>
      </c>
      <c r="O4161" t="n">
        <v>0</v>
      </c>
      <c r="P4161" t="n">
        <v>0</v>
      </c>
      <c r="Q4161" t="n">
        <v>0</v>
      </c>
      <c r="R4161" t="n">
        <v>0</v>
      </c>
      <c r="S4161" t="n">
        <v>0</v>
      </c>
      <c r="T4161" t="n">
        <v>0</v>
      </c>
      <c r="U4161" t="n">
        <v>0</v>
      </c>
      <c r="V4161" s="2" t="inlineStr"/>
    </row>
    <row r="4162" ht="15" customHeight="1">
      <c r="A4162" t="inlineStr">
        <is>
          <t>A 40971-2025</t>
        </is>
      </c>
      <c r="B4162" t="inlineStr">
        <is>
          <t>avverkningsanmälan</t>
        </is>
      </c>
      <c r="C4162" t="inlineStr">
        <is>
          <t>Föryngringsavverkning</t>
        </is>
      </c>
      <c r="D4162" s="1" t="n">
        <v>45897</v>
      </c>
      <c r="E4162" s="1" t="n">
        <v>46323</v>
      </c>
      <c r="F4162" t="inlineStr">
        <is>
          <t>KALMAR LÄN</t>
        </is>
      </c>
      <c r="G4162" t="inlineStr">
        <is>
          <t>VIMMERBY</t>
        </is>
      </c>
      <c r="I4162" t="n">
        <v>1.5</v>
      </c>
      <c r="J4162" t="n">
        <v>0</v>
      </c>
      <c r="K4162" t="n">
        <v>0</v>
      </c>
      <c r="L4162" t="n">
        <v>0</v>
      </c>
      <c r="M4162" t="n">
        <v>0</v>
      </c>
      <c r="N4162" t="n">
        <v>0</v>
      </c>
      <c r="O4162" t="n">
        <v>0</v>
      </c>
      <c r="P4162" t="n">
        <v>0</v>
      </c>
      <c r="Q4162" t="n">
        <v>0</v>
      </c>
      <c r="R4162" t="n">
        <v>0</v>
      </c>
      <c r="S4162" t="n">
        <v>0</v>
      </c>
      <c r="T4162" t="n">
        <v>0</v>
      </c>
      <c r="U4162" t="n">
        <v>0</v>
      </c>
      <c r="V4162" s="2" t="inlineStr"/>
    </row>
    <row r="4163" ht="15" customHeight="1">
      <c r="A4163" t="inlineStr">
        <is>
          <t>A 18884-2022</t>
        </is>
      </c>
      <c r="B4163" t="inlineStr">
        <is>
          <t>avverkningsanmälan</t>
        </is>
      </c>
      <c r="C4163" t="inlineStr">
        <is>
          <t>Föryngringsavverkning</t>
        </is>
      </c>
      <c r="D4163" s="1" t="n">
        <v>44690</v>
      </c>
      <c r="E4163" s="1" t="n">
        <v>46323</v>
      </c>
      <c r="F4163" t="inlineStr">
        <is>
          <t>KALMAR LÄN</t>
        </is>
      </c>
      <c r="G4163" t="inlineStr">
        <is>
          <t>NYBRO</t>
        </is>
      </c>
      <c r="I4163" t="n">
        <v>1.2</v>
      </c>
      <c r="J4163" t="n">
        <v>0</v>
      </c>
      <c r="K4163" t="n">
        <v>0</v>
      </c>
      <c r="L4163" t="n">
        <v>0</v>
      </c>
      <c r="M4163" t="n">
        <v>0</v>
      </c>
      <c r="N4163" t="n">
        <v>0</v>
      </c>
      <c r="O4163" t="n">
        <v>0</v>
      </c>
      <c r="P4163" t="n">
        <v>0</v>
      </c>
      <c r="Q4163" t="n">
        <v>0</v>
      </c>
      <c r="R4163" t="n">
        <v>0</v>
      </c>
      <c r="S4163" t="n">
        <v>0</v>
      </c>
      <c r="T4163" t="n">
        <v>0</v>
      </c>
      <c r="U4163" t="n">
        <v>0</v>
      </c>
      <c r="V4163" s="2" t="inlineStr"/>
    </row>
    <row r="4164" ht="15" customHeight="1">
      <c r="A4164" t="inlineStr">
        <is>
          <t>A 5397-2026</t>
        </is>
      </c>
      <c r="B4164" t="inlineStr">
        <is>
          <t>avverkningsanmälan</t>
        </is>
      </c>
      <c r="C4164" t="inlineStr">
        <is>
          <t>Föryngringsavverkning</t>
        </is>
      </c>
      <c r="D4164" s="1" t="n">
        <v>46050</v>
      </c>
      <c r="E4164" s="1" t="n">
        <v>46323</v>
      </c>
      <c r="F4164" t="inlineStr">
        <is>
          <t>KALMAR LÄN</t>
        </is>
      </c>
      <c r="G4164" t="inlineStr">
        <is>
          <t>MÖNSTERÅS</t>
        </is>
      </c>
      <c r="I4164" t="n">
        <v>1.8</v>
      </c>
      <c r="J4164" t="n">
        <v>0</v>
      </c>
      <c r="K4164" t="n">
        <v>0</v>
      </c>
      <c r="L4164" t="n">
        <v>0</v>
      </c>
      <c r="M4164" t="n">
        <v>0</v>
      </c>
      <c r="N4164" t="n">
        <v>0</v>
      </c>
      <c r="O4164" t="n">
        <v>0</v>
      </c>
      <c r="P4164" t="n">
        <v>0</v>
      </c>
      <c r="Q4164" t="n">
        <v>0</v>
      </c>
      <c r="R4164" t="n">
        <v>0</v>
      </c>
      <c r="S4164" t="n">
        <v>0</v>
      </c>
      <c r="T4164" t="n">
        <v>0</v>
      </c>
      <c r="U4164" t="n">
        <v>0</v>
      </c>
      <c r="V4164" s="2" t="inlineStr"/>
    </row>
    <row r="4165" ht="15" customHeight="1">
      <c r="A4165" t="inlineStr">
        <is>
          <t>A 4651-2025</t>
        </is>
      </c>
      <c r="B4165" t="inlineStr">
        <is>
          <t>avverkningsanmälan</t>
        </is>
      </c>
      <c r="C4165" t="inlineStr">
        <is>
          <t>Föryngringsavverkning</t>
        </is>
      </c>
      <c r="D4165" s="1" t="n">
        <v>45687</v>
      </c>
      <c r="E4165" s="1" t="n">
        <v>46323</v>
      </c>
      <c r="F4165" t="inlineStr">
        <is>
          <t>KALMAR LÄN</t>
        </is>
      </c>
      <c r="G4165" t="inlineStr">
        <is>
          <t>OSKARSHAMN</t>
        </is>
      </c>
      <c r="I4165" t="n">
        <v>3.7</v>
      </c>
      <c r="J4165" t="n">
        <v>0</v>
      </c>
      <c r="K4165" t="n">
        <v>0</v>
      </c>
      <c r="L4165" t="n">
        <v>0</v>
      </c>
      <c r="M4165" t="n">
        <v>0</v>
      </c>
      <c r="N4165" t="n">
        <v>0</v>
      </c>
      <c r="O4165" t="n">
        <v>0</v>
      </c>
      <c r="P4165" t="n">
        <v>0</v>
      </c>
      <c r="Q4165" t="n">
        <v>0</v>
      </c>
      <c r="R4165" t="n">
        <v>0</v>
      </c>
      <c r="S4165" t="n">
        <v>0</v>
      </c>
      <c r="T4165" t="n">
        <v>0</v>
      </c>
      <c r="U4165" t="n">
        <v>0</v>
      </c>
      <c r="V4165" s="2" t="inlineStr"/>
    </row>
    <row r="4166" ht="15" customHeight="1">
      <c r="A4166" t="inlineStr">
        <is>
          <t>A 4941-2026</t>
        </is>
      </c>
      <c r="B4166" t="inlineStr">
        <is>
          <t>avverkningsanmälan</t>
        </is>
      </c>
      <c r="C4166" t="inlineStr">
        <is>
          <t>Föryngringsavverkning</t>
        </is>
      </c>
      <c r="D4166" s="1" t="n">
        <v>46048</v>
      </c>
      <c r="E4166" s="1" t="n">
        <v>46323</v>
      </c>
      <c r="F4166" t="inlineStr">
        <is>
          <t>KALMAR LÄN</t>
        </is>
      </c>
      <c r="G4166" t="inlineStr">
        <is>
          <t>HULTSFRED</t>
        </is>
      </c>
      <c r="I4166" t="n">
        <v>4.5</v>
      </c>
      <c r="J4166" t="n">
        <v>0</v>
      </c>
      <c r="K4166" t="n">
        <v>0</v>
      </c>
      <c r="L4166" t="n">
        <v>0</v>
      </c>
      <c r="M4166" t="n">
        <v>0</v>
      </c>
      <c r="N4166" t="n">
        <v>0</v>
      </c>
      <c r="O4166" t="n">
        <v>0</v>
      </c>
      <c r="P4166" t="n">
        <v>0</v>
      </c>
      <c r="Q4166" t="n">
        <v>0</v>
      </c>
      <c r="R4166" t="n">
        <v>0</v>
      </c>
      <c r="S4166" t="n">
        <v>0</v>
      </c>
      <c r="T4166" t="n">
        <v>0</v>
      </c>
      <c r="U4166" t="n">
        <v>0</v>
      </c>
      <c r="V4166" s="2" t="inlineStr"/>
    </row>
    <row r="4167" ht="15" customHeight="1">
      <c r="A4167" t="inlineStr">
        <is>
          <t>A 31215-2026</t>
        </is>
      </c>
      <c r="B4167" t="inlineStr">
        <is>
          <t>avverkningsanmälan</t>
        </is>
      </c>
      <c r="C4167" t="inlineStr">
        <is>
          <t>Föryngringsavverkning</t>
        </is>
      </c>
      <c r="D4167" s="1" t="n">
        <v>46217</v>
      </c>
      <c r="E4167" s="1" t="n">
        <v>46323</v>
      </c>
      <c r="F4167" t="inlineStr">
        <is>
          <t>KALMAR LÄN</t>
        </is>
      </c>
      <c r="G4167" t="inlineStr">
        <is>
          <t>VÄSTERVIK</t>
        </is>
      </c>
      <c r="I4167" t="n">
        <v>1.1</v>
      </c>
      <c r="J4167" t="n">
        <v>0</v>
      </c>
      <c r="K4167" t="n">
        <v>0</v>
      </c>
      <c r="L4167" t="n">
        <v>0</v>
      </c>
      <c r="M4167" t="n">
        <v>0</v>
      </c>
      <c r="N4167" t="n">
        <v>0</v>
      </c>
      <c r="O4167" t="n">
        <v>0</v>
      </c>
      <c r="P4167" t="n">
        <v>0</v>
      </c>
      <c r="Q4167" t="n">
        <v>0</v>
      </c>
      <c r="R4167" t="n">
        <v>0</v>
      </c>
      <c r="S4167" t="n">
        <v>0</v>
      </c>
      <c r="T4167" t="n">
        <v>0</v>
      </c>
      <c r="U4167" t="n">
        <v>0</v>
      </c>
      <c r="V4167" s="2" t="inlineStr"/>
    </row>
    <row r="4168" ht="15" customHeight="1">
      <c r="A4168" t="inlineStr">
        <is>
          <t>A 31220-2026</t>
        </is>
      </c>
      <c r="B4168" t="inlineStr">
        <is>
          <t>avverkningsanmälan</t>
        </is>
      </c>
      <c r="C4168" t="inlineStr">
        <is>
          <t>Föryngringsavverkning</t>
        </is>
      </c>
      <c r="D4168" s="1" t="n">
        <v>46217</v>
      </c>
      <c r="E4168" s="1" t="n">
        <v>46323</v>
      </c>
      <c r="F4168" t="inlineStr">
        <is>
          <t>KALMAR LÄN</t>
        </is>
      </c>
      <c r="G4168" t="inlineStr">
        <is>
          <t>VÄSTERVIK</t>
        </is>
      </c>
      <c r="I4168" t="n">
        <v>6.2</v>
      </c>
      <c r="J4168" t="n">
        <v>0</v>
      </c>
      <c r="K4168" t="n">
        <v>0</v>
      </c>
      <c r="L4168" t="n">
        <v>0</v>
      </c>
      <c r="M4168" t="n">
        <v>0</v>
      </c>
      <c r="N4168" t="n">
        <v>0</v>
      </c>
      <c r="O4168" t="n">
        <v>0</v>
      </c>
      <c r="P4168" t="n">
        <v>0</v>
      </c>
      <c r="Q4168" t="n">
        <v>0</v>
      </c>
      <c r="R4168" t="n">
        <v>0</v>
      </c>
      <c r="S4168" t="n">
        <v>0</v>
      </c>
      <c r="T4168" t="n">
        <v>0</v>
      </c>
      <c r="U4168" t="n">
        <v>0</v>
      </c>
      <c r="V4168" s="2" t="inlineStr"/>
    </row>
    <row r="4169" ht="15" customHeight="1">
      <c r="A4169" t="inlineStr">
        <is>
          <t>A 31228-2026</t>
        </is>
      </c>
      <c r="B4169" t="inlineStr">
        <is>
          <t>avverkningsanmälan</t>
        </is>
      </c>
      <c r="C4169" t="inlineStr">
        <is>
          <t>Föryngringsavverkning</t>
        </is>
      </c>
      <c r="D4169" s="1" t="n">
        <v>46217</v>
      </c>
      <c r="E4169" s="1" t="n">
        <v>46323</v>
      </c>
      <c r="F4169" t="inlineStr">
        <is>
          <t>KALMAR LÄN</t>
        </is>
      </c>
      <c r="G4169" t="inlineStr">
        <is>
          <t>TORSÅS</t>
        </is>
      </c>
      <c r="I4169" t="n">
        <v>1</v>
      </c>
      <c r="J4169" t="n">
        <v>0</v>
      </c>
      <c r="K4169" t="n">
        <v>0</v>
      </c>
      <c r="L4169" t="n">
        <v>0</v>
      </c>
      <c r="M4169" t="n">
        <v>0</v>
      </c>
      <c r="N4169" t="n">
        <v>0</v>
      </c>
      <c r="O4169" t="n">
        <v>0</v>
      </c>
      <c r="P4169" t="n">
        <v>0</v>
      </c>
      <c r="Q4169" t="n">
        <v>0</v>
      </c>
      <c r="R4169" t="n">
        <v>0</v>
      </c>
      <c r="S4169" t="n">
        <v>0</v>
      </c>
      <c r="T4169" t="n">
        <v>0</v>
      </c>
      <c r="U4169" t="n">
        <v>0</v>
      </c>
      <c r="V4169" s="2" t="inlineStr"/>
    </row>
    <row r="4170" ht="15" customHeight="1">
      <c r="A4170" t="inlineStr">
        <is>
          <t>A 18072-2022</t>
        </is>
      </c>
      <c r="B4170" t="inlineStr">
        <is>
          <t>avverkningsanmälan</t>
        </is>
      </c>
      <c r="C4170" t="inlineStr">
        <is>
          <t>Föryngringsavverkning</t>
        </is>
      </c>
      <c r="D4170" s="1" t="n">
        <v>44684</v>
      </c>
      <c r="E4170" s="1" t="n">
        <v>46323</v>
      </c>
      <c r="F4170" t="inlineStr">
        <is>
          <t>KALMAR LÄN</t>
        </is>
      </c>
      <c r="G4170" t="inlineStr">
        <is>
          <t>NYBRO</t>
        </is>
      </c>
      <c r="I4170" t="n">
        <v>3</v>
      </c>
      <c r="J4170" t="n">
        <v>0</v>
      </c>
      <c r="K4170" t="n">
        <v>0</v>
      </c>
      <c r="L4170" t="n">
        <v>0</v>
      </c>
      <c r="M4170" t="n">
        <v>0</v>
      </c>
      <c r="N4170" t="n">
        <v>0</v>
      </c>
      <c r="O4170" t="n">
        <v>0</v>
      </c>
      <c r="P4170" t="n">
        <v>0</v>
      </c>
      <c r="Q4170" t="n">
        <v>0</v>
      </c>
      <c r="R4170" t="n">
        <v>0</v>
      </c>
      <c r="S4170" t="n">
        <v>0</v>
      </c>
      <c r="T4170" t="n">
        <v>0</v>
      </c>
      <c r="U4170" t="n">
        <v>0</v>
      </c>
      <c r="V4170" s="2" t="inlineStr"/>
    </row>
    <row r="4171" ht="15" customHeight="1">
      <c r="A4171" t="inlineStr">
        <is>
          <t>A 54053-2024</t>
        </is>
      </c>
      <c r="B4171" t="inlineStr">
        <is>
          <t>avverkningsanmälan</t>
        </is>
      </c>
      <c r="C4171" t="inlineStr">
        <is>
          <t>Föryngringsavverkning</t>
        </is>
      </c>
      <c r="D4171" s="1" t="n">
        <v>45616</v>
      </c>
      <c r="E4171" s="1" t="n">
        <v>46323</v>
      </c>
      <c r="F4171" t="inlineStr">
        <is>
          <t>KALMAR LÄN</t>
        </is>
      </c>
      <c r="G4171" t="inlineStr">
        <is>
          <t>HULTSFRED</t>
        </is>
      </c>
      <c r="H4171" t="inlineStr">
        <is>
          <t>Kyrkan</t>
        </is>
      </c>
      <c r="I4171" t="n">
        <v>1.3</v>
      </c>
      <c r="J4171" t="n">
        <v>0</v>
      </c>
      <c r="K4171" t="n">
        <v>0</v>
      </c>
      <c r="L4171" t="n">
        <v>0</v>
      </c>
      <c r="M4171" t="n">
        <v>0</v>
      </c>
      <c r="N4171" t="n">
        <v>0</v>
      </c>
      <c r="O4171" t="n">
        <v>0</v>
      </c>
      <c r="P4171" t="n">
        <v>0</v>
      </c>
      <c r="Q4171" t="n">
        <v>0</v>
      </c>
      <c r="R4171" t="n">
        <v>0</v>
      </c>
      <c r="S4171" t="n">
        <v>0</v>
      </c>
      <c r="T4171" t="n">
        <v>0</v>
      </c>
      <c r="U4171" t="n">
        <v>0</v>
      </c>
      <c r="V4171" s="2" t="inlineStr"/>
    </row>
    <row r="4172" ht="15" customHeight="1">
      <c r="A4172" t="inlineStr">
        <is>
          <t>A 36846-2023</t>
        </is>
      </c>
      <c r="B4172" t="inlineStr">
        <is>
          <t>avverkningsanmälan</t>
        </is>
      </c>
      <c r="C4172" t="inlineStr">
        <is>
          <t>Föryngringsavverkning</t>
        </is>
      </c>
      <c r="D4172" s="1" t="n">
        <v>45154</v>
      </c>
      <c r="E4172" s="1" t="n">
        <v>46323</v>
      </c>
      <c r="F4172" t="inlineStr">
        <is>
          <t>KALMAR LÄN</t>
        </is>
      </c>
      <c r="G4172" t="inlineStr">
        <is>
          <t>KALMAR</t>
        </is>
      </c>
      <c r="I4172" t="n">
        <v>2.4</v>
      </c>
      <c r="J4172" t="n">
        <v>0</v>
      </c>
      <c r="K4172" t="n">
        <v>0</v>
      </c>
      <c r="L4172" t="n">
        <v>0</v>
      </c>
      <c r="M4172" t="n">
        <v>0</v>
      </c>
      <c r="N4172" t="n">
        <v>0</v>
      </c>
      <c r="O4172" t="n">
        <v>0</v>
      </c>
      <c r="P4172" t="n">
        <v>0</v>
      </c>
      <c r="Q4172" t="n">
        <v>0</v>
      </c>
      <c r="R4172" t="n">
        <v>0</v>
      </c>
      <c r="S4172" t="n">
        <v>0</v>
      </c>
      <c r="T4172" t="n">
        <v>0</v>
      </c>
      <c r="U4172" t="n">
        <v>0</v>
      </c>
      <c r="V4172" s="2" t="inlineStr"/>
    </row>
    <row r="4173" ht="15" customHeight="1">
      <c r="A4173" t="inlineStr">
        <is>
          <t>A 57367-2023</t>
        </is>
      </c>
      <c r="B4173" t="inlineStr">
        <is>
          <t>avverkningsanmälan</t>
        </is>
      </c>
      <c r="C4173" t="inlineStr">
        <is>
          <t>Föryngringsavverkning</t>
        </is>
      </c>
      <c r="D4173" s="1" t="n">
        <v>45245</v>
      </c>
      <c r="E4173" s="1" t="n">
        <v>46323</v>
      </c>
      <c r="F4173" t="inlineStr">
        <is>
          <t>KALMAR LÄN</t>
        </is>
      </c>
      <c r="G4173" t="inlineStr">
        <is>
          <t>VÄSTERVIK</t>
        </is>
      </c>
      <c r="H4173" t="inlineStr">
        <is>
          <t>Sveaskog</t>
        </is>
      </c>
      <c r="I4173" t="n">
        <v>1.9</v>
      </c>
      <c r="J4173" t="n">
        <v>0</v>
      </c>
      <c r="K4173" t="n">
        <v>0</v>
      </c>
      <c r="L4173" t="n">
        <v>0</v>
      </c>
      <c r="M4173" t="n">
        <v>0</v>
      </c>
      <c r="N4173" t="n">
        <v>0</v>
      </c>
      <c r="O4173" t="n">
        <v>0</v>
      </c>
      <c r="P4173" t="n">
        <v>0</v>
      </c>
      <c r="Q4173" t="n">
        <v>0</v>
      </c>
      <c r="R4173" t="n">
        <v>0</v>
      </c>
      <c r="S4173" t="n">
        <v>0</v>
      </c>
      <c r="T4173" t="n">
        <v>0</v>
      </c>
      <c r="U4173" t="n">
        <v>0</v>
      </c>
      <c r="V4173" s="2" t="inlineStr"/>
    </row>
    <row r="4174" ht="15" customHeight="1">
      <c r="A4174" t="inlineStr">
        <is>
          <t>A 5057-2026</t>
        </is>
      </c>
      <c r="B4174" t="inlineStr">
        <is>
          <t>avverkningsanmälan</t>
        </is>
      </c>
      <c r="C4174" t="inlineStr">
        <is>
          <t>Föryngringsavverkning</t>
        </is>
      </c>
      <c r="D4174" s="1" t="n">
        <v>46049</v>
      </c>
      <c r="E4174" s="1" t="n">
        <v>46323</v>
      </c>
      <c r="F4174" t="inlineStr">
        <is>
          <t>KALMAR LÄN</t>
        </is>
      </c>
      <c r="G4174" t="inlineStr">
        <is>
          <t>EMMABODA</t>
        </is>
      </c>
      <c r="I4174" t="n">
        <v>2.4</v>
      </c>
      <c r="J4174" t="n">
        <v>0</v>
      </c>
      <c r="K4174" t="n">
        <v>0</v>
      </c>
      <c r="L4174" t="n">
        <v>0</v>
      </c>
      <c r="M4174" t="n">
        <v>0</v>
      </c>
      <c r="N4174" t="n">
        <v>0</v>
      </c>
      <c r="O4174" t="n">
        <v>0</v>
      </c>
      <c r="P4174" t="n">
        <v>0</v>
      </c>
      <c r="Q4174" t="n">
        <v>0</v>
      </c>
      <c r="R4174" t="n">
        <v>0</v>
      </c>
      <c r="S4174" t="n">
        <v>0</v>
      </c>
      <c r="T4174" t="n">
        <v>0</v>
      </c>
      <c r="U4174" t="n">
        <v>0</v>
      </c>
      <c r="V4174" s="2" t="inlineStr"/>
    </row>
    <row r="4175" ht="15" customHeight="1">
      <c r="A4175" t="inlineStr">
        <is>
          <t>A 24666-2025</t>
        </is>
      </c>
      <c r="B4175" t="inlineStr">
        <is>
          <t>avverkningsanmälan</t>
        </is>
      </c>
      <c r="C4175" t="inlineStr">
        <is>
          <t>Föryngringsavverkning</t>
        </is>
      </c>
      <c r="D4175" s="1" t="n">
        <v>45798</v>
      </c>
      <c r="E4175" s="1" t="n">
        <v>46323</v>
      </c>
      <c r="F4175" t="inlineStr">
        <is>
          <t>KALMAR LÄN</t>
        </is>
      </c>
      <c r="G4175" t="inlineStr">
        <is>
          <t>TORSÅS</t>
        </is>
      </c>
      <c r="I4175" t="n">
        <v>2.2</v>
      </c>
      <c r="J4175" t="n">
        <v>0</v>
      </c>
      <c r="K4175" t="n">
        <v>0</v>
      </c>
      <c r="L4175" t="n">
        <v>0</v>
      </c>
      <c r="M4175" t="n">
        <v>0</v>
      </c>
      <c r="N4175" t="n">
        <v>0</v>
      </c>
      <c r="O4175" t="n">
        <v>0</v>
      </c>
      <c r="P4175" t="n">
        <v>0</v>
      </c>
      <c r="Q4175" t="n">
        <v>0</v>
      </c>
      <c r="R4175" t="n">
        <v>0</v>
      </c>
      <c r="S4175" t="n">
        <v>0</v>
      </c>
      <c r="T4175" t="n">
        <v>0</v>
      </c>
      <c r="U4175" t="n">
        <v>0</v>
      </c>
      <c r="V4175" s="2" t="inlineStr"/>
    </row>
    <row r="4176" ht="15" customHeight="1">
      <c r="A4176" t="inlineStr">
        <is>
          <t>A 5195-2026</t>
        </is>
      </c>
      <c r="B4176" t="inlineStr">
        <is>
          <t>avverkningsanmälan</t>
        </is>
      </c>
      <c r="C4176" t="inlineStr">
        <is>
          <t>Föryngringsavverkning</t>
        </is>
      </c>
      <c r="D4176" s="1" t="n">
        <v>46049</v>
      </c>
      <c r="E4176" s="1" t="n">
        <v>46323</v>
      </c>
      <c r="F4176" t="inlineStr">
        <is>
          <t>KALMAR LÄN</t>
        </is>
      </c>
      <c r="G4176" t="inlineStr">
        <is>
          <t>OSKARSHAMN</t>
        </is>
      </c>
      <c r="I4176" t="n">
        <v>1.4</v>
      </c>
      <c r="J4176" t="n">
        <v>0</v>
      </c>
      <c r="K4176" t="n">
        <v>0</v>
      </c>
      <c r="L4176" t="n">
        <v>0</v>
      </c>
      <c r="M4176" t="n">
        <v>0</v>
      </c>
      <c r="N4176" t="n">
        <v>0</v>
      </c>
      <c r="O4176" t="n">
        <v>0</v>
      </c>
      <c r="P4176" t="n">
        <v>0</v>
      </c>
      <c r="Q4176" t="n">
        <v>0</v>
      </c>
      <c r="R4176" t="n">
        <v>0</v>
      </c>
      <c r="S4176" t="n">
        <v>0</v>
      </c>
      <c r="T4176" t="n">
        <v>0</v>
      </c>
      <c r="U4176" t="n">
        <v>0</v>
      </c>
      <c r="V4176" s="2" t="inlineStr"/>
    </row>
    <row r="4177" ht="15" customHeight="1">
      <c r="A4177" t="inlineStr">
        <is>
          <t>A 5555-2026</t>
        </is>
      </c>
      <c r="B4177" t="inlineStr">
        <is>
          <t>avverkningsanmälan</t>
        </is>
      </c>
      <c r="C4177" t="inlineStr">
        <is>
          <t>Föryngringsavverkning</t>
        </is>
      </c>
      <c r="D4177" s="1" t="n">
        <v>46050</v>
      </c>
      <c r="E4177" s="1" t="n">
        <v>46323</v>
      </c>
      <c r="F4177" t="inlineStr">
        <is>
          <t>KALMAR LÄN</t>
        </is>
      </c>
      <c r="G4177" t="inlineStr">
        <is>
          <t>OSKARSHAMN</t>
        </is>
      </c>
      <c r="I4177" t="n">
        <v>0.9</v>
      </c>
      <c r="J4177" t="n">
        <v>0</v>
      </c>
      <c r="K4177" t="n">
        <v>0</v>
      </c>
      <c r="L4177" t="n">
        <v>0</v>
      </c>
      <c r="M4177" t="n">
        <v>0</v>
      </c>
      <c r="N4177" t="n">
        <v>0</v>
      </c>
      <c r="O4177" t="n">
        <v>0</v>
      </c>
      <c r="P4177" t="n">
        <v>0</v>
      </c>
      <c r="Q4177" t="n">
        <v>0</v>
      </c>
      <c r="R4177" t="n">
        <v>0</v>
      </c>
      <c r="S4177" t="n">
        <v>0</v>
      </c>
      <c r="T4177" t="n">
        <v>0</v>
      </c>
      <c r="U4177" t="n">
        <v>0</v>
      </c>
      <c r="V4177" s="2" t="inlineStr"/>
    </row>
    <row r="4178" ht="15" customHeight="1">
      <c r="A4178" t="inlineStr">
        <is>
          <t>A 31174-2026</t>
        </is>
      </c>
      <c r="B4178" t="inlineStr">
        <is>
          <t>avverkningsanmälan</t>
        </is>
      </c>
      <c r="C4178" t="inlineStr">
        <is>
          <t>Föryngringsavverkning</t>
        </is>
      </c>
      <c r="D4178" s="1" t="n">
        <v>46216</v>
      </c>
      <c r="E4178" s="1" t="n">
        <v>46323</v>
      </c>
      <c r="F4178" t="inlineStr">
        <is>
          <t>KALMAR LÄN</t>
        </is>
      </c>
      <c r="G4178" t="inlineStr">
        <is>
          <t>VIMMERBY</t>
        </is>
      </c>
      <c r="I4178" t="n">
        <v>1.8</v>
      </c>
      <c r="J4178" t="n">
        <v>0</v>
      </c>
      <c r="K4178" t="n">
        <v>0</v>
      </c>
      <c r="L4178" t="n">
        <v>0</v>
      </c>
      <c r="M4178" t="n">
        <v>0</v>
      </c>
      <c r="N4178" t="n">
        <v>0</v>
      </c>
      <c r="O4178" t="n">
        <v>0</v>
      </c>
      <c r="P4178" t="n">
        <v>0</v>
      </c>
      <c r="Q4178" t="n">
        <v>0</v>
      </c>
      <c r="R4178" t="n">
        <v>0</v>
      </c>
      <c r="S4178" t="n">
        <v>0</v>
      </c>
      <c r="T4178" t="n">
        <v>0</v>
      </c>
      <c r="U4178" t="n">
        <v>0</v>
      </c>
      <c r="V4178" s="2" t="inlineStr"/>
    </row>
    <row r="4179" ht="15" customHeight="1">
      <c r="A4179" t="inlineStr">
        <is>
          <t>A 31175-2026</t>
        </is>
      </c>
      <c r="B4179" t="inlineStr">
        <is>
          <t>avverkningsanmälan</t>
        </is>
      </c>
      <c r="C4179" t="inlineStr">
        <is>
          <t>Föryngringsavverkning</t>
        </is>
      </c>
      <c r="D4179" s="1" t="n">
        <v>46216</v>
      </c>
      <c r="E4179" s="1" t="n">
        <v>46323</v>
      </c>
      <c r="F4179" t="inlineStr">
        <is>
          <t>KALMAR LÄN</t>
        </is>
      </c>
      <c r="G4179" t="inlineStr">
        <is>
          <t>VIMMERBY</t>
        </is>
      </c>
      <c r="I4179" t="n">
        <v>8.300000000000001</v>
      </c>
      <c r="J4179" t="n">
        <v>0</v>
      </c>
      <c r="K4179" t="n">
        <v>0</v>
      </c>
      <c r="L4179" t="n">
        <v>0</v>
      </c>
      <c r="M4179" t="n">
        <v>0</v>
      </c>
      <c r="N4179" t="n">
        <v>0</v>
      </c>
      <c r="O4179" t="n">
        <v>0</v>
      </c>
      <c r="P4179" t="n">
        <v>0</v>
      </c>
      <c r="Q4179" t="n">
        <v>0</v>
      </c>
      <c r="R4179" t="n">
        <v>0</v>
      </c>
      <c r="S4179" t="n">
        <v>0</v>
      </c>
      <c r="T4179" t="n">
        <v>0</v>
      </c>
      <c r="U4179" t="n">
        <v>0</v>
      </c>
      <c r="V4179" s="2" t="inlineStr"/>
    </row>
    <row r="4180" ht="15" customHeight="1">
      <c r="A4180" t="inlineStr">
        <is>
          <t>A 4938-2026</t>
        </is>
      </c>
      <c r="B4180" t="inlineStr">
        <is>
          <t>avverkningsanmälan</t>
        </is>
      </c>
      <c r="C4180" t="inlineStr">
        <is>
          <t>Föryngringsavverkning</t>
        </is>
      </c>
      <c r="D4180" s="1" t="n">
        <v>46048</v>
      </c>
      <c r="E4180" s="1" t="n">
        <v>46323</v>
      </c>
      <c r="F4180" t="inlineStr">
        <is>
          <t>KALMAR LÄN</t>
        </is>
      </c>
      <c r="G4180" t="inlineStr">
        <is>
          <t>HULTSFRED</t>
        </is>
      </c>
      <c r="I4180" t="n">
        <v>4.5</v>
      </c>
      <c r="J4180" t="n">
        <v>0</v>
      </c>
      <c r="K4180" t="n">
        <v>0</v>
      </c>
      <c r="L4180" t="n">
        <v>0</v>
      </c>
      <c r="M4180" t="n">
        <v>0</v>
      </c>
      <c r="N4180" t="n">
        <v>0</v>
      </c>
      <c r="O4180" t="n">
        <v>0</v>
      </c>
      <c r="P4180" t="n">
        <v>0</v>
      </c>
      <c r="Q4180" t="n">
        <v>0</v>
      </c>
      <c r="R4180" t="n">
        <v>0</v>
      </c>
      <c r="S4180" t="n">
        <v>0</v>
      </c>
      <c r="T4180" t="n">
        <v>0</v>
      </c>
      <c r="U4180" t="n">
        <v>0</v>
      </c>
      <c r="V4180" s="2" t="inlineStr"/>
    </row>
    <row r="4181" ht="15" customHeight="1">
      <c r="A4181" t="inlineStr">
        <is>
          <t>A 59598-2023</t>
        </is>
      </c>
      <c r="B4181" t="inlineStr">
        <is>
          <t>avverkningsanmälan</t>
        </is>
      </c>
      <c r="C4181" t="inlineStr">
        <is>
          <t>Föryngringsavverkning</t>
        </is>
      </c>
      <c r="D4181" s="1" t="n">
        <v>45254</v>
      </c>
      <c r="E4181" s="1" t="n">
        <v>46323</v>
      </c>
      <c r="F4181" t="inlineStr">
        <is>
          <t>KALMAR LÄN</t>
        </is>
      </c>
      <c r="G4181" t="inlineStr">
        <is>
          <t>VIMMERBY</t>
        </is>
      </c>
      <c r="H4181" t="inlineStr">
        <is>
          <t>Övriga Aktiebolag</t>
        </is>
      </c>
      <c r="I4181" t="n">
        <v>4</v>
      </c>
      <c r="J4181" t="n">
        <v>0</v>
      </c>
      <c r="K4181" t="n">
        <v>0</v>
      </c>
      <c r="L4181" t="n">
        <v>0</v>
      </c>
      <c r="M4181" t="n">
        <v>0</v>
      </c>
      <c r="N4181" t="n">
        <v>0</v>
      </c>
      <c r="O4181" t="n">
        <v>0</v>
      </c>
      <c r="P4181" t="n">
        <v>0</v>
      </c>
      <c r="Q4181" t="n">
        <v>0</v>
      </c>
      <c r="R4181" t="n">
        <v>0</v>
      </c>
      <c r="S4181" t="n">
        <v>0</v>
      </c>
      <c r="T4181" t="n">
        <v>0</v>
      </c>
      <c r="U4181" t="n">
        <v>0</v>
      </c>
      <c r="V4181" s="2" t="inlineStr"/>
    </row>
    <row r="4182" ht="15" customHeight="1">
      <c r="A4182" t="inlineStr">
        <is>
          <t>A 31172-2026</t>
        </is>
      </c>
      <c r="B4182" t="inlineStr">
        <is>
          <t>avverkningsanmälan</t>
        </is>
      </c>
      <c r="C4182" t="inlineStr">
        <is>
          <t>Föryngringsavverkning</t>
        </is>
      </c>
      <c r="D4182" s="1" t="n">
        <v>46216</v>
      </c>
      <c r="E4182" s="1" t="n">
        <v>46323</v>
      </c>
      <c r="F4182" t="inlineStr">
        <is>
          <t>KALMAR LÄN</t>
        </is>
      </c>
      <c r="G4182" t="inlineStr">
        <is>
          <t>VIMMERBY</t>
        </is>
      </c>
      <c r="I4182" t="n">
        <v>10.9</v>
      </c>
      <c r="J4182" t="n">
        <v>0</v>
      </c>
      <c r="K4182" t="n">
        <v>0</v>
      </c>
      <c r="L4182" t="n">
        <v>0</v>
      </c>
      <c r="M4182" t="n">
        <v>0</v>
      </c>
      <c r="N4182" t="n">
        <v>0</v>
      </c>
      <c r="O4182" t="n">
        <v>0</v>
      </c>
      <c r="P4182" t="n">
        <v>0</v>
      </c>
      <c r="Q4182" t="n">
        <v>0</v>
      </c>
      <c r="R4182" t="n">
        <v>0</v>
      </c>
      <c r="S4182" t="n">
        <v>0</v>
      </c>
      <c r="T4182" t="n">
        <v>0</v>
      </c>
      <c r="U4182" t="n">
        <v>0</v>
      </c>
      <c r="V4182" s="2" t="inlineStr"/>
    </row>
    <row r="4183" ht="15" customHeight="1">
      <c r="A4183" t="inlineStr">
        <is>
          <t>A 59456-2023</t>
        </is>
      </c>
      <c r="B4183" t="inlineStr">
        <is>
          <t>avverkningsanmälan</t>
        </is>
      </c>
      <c r="C4183" t="inlineStr">
        <is>
          <t>Föryngringsavverkning</t>
        </is>
      </c>
      <c r="D4183" s="1" t="n">
        <v>45254</v>
      </c>
      <c r="E4183" s="1" t="n">
        <v>46323</v>
      </c>
      <c r="F4183" t="inlineStr">
        <is>
          <t>KALMAR LÄN</t>
        </is>
      </c>
      <c r="G4183" t="inlineStr">
        <is>
          <t>OSKARSHAMN</t>
        </is>
      </c>
      <c r="I4183" t="n">
        <v>1.8</v>
      </c>
      <c r="J4183" t="n">
        <v>0</v>
      </c>
      <c r="K4183" t="n">
        <v>0</v>
      </c>
      <c r="L4183" t="n">
        <v>0</v>
      </c>
      <c r="M4183" t="n">
        <v>0</v>
      </c>
      <c r="N4183" t="n">
        <v>0</v>
      </c>
      <c r="O4183" t="n">
        <v>0</v>
      </c>
      <c r="P4183" t="n">
        <v>0</v>
      </c>
      <c r="Q4183" t="n">
        <v>0</v>
      </c>
      <c r="R4183" t="n">
        <v>0</v>
      </c>
      <c r="S4183" t="n">
        <v>0</v>
      </c>
      <c r="T4183" t="n">
        <v>0</v>
      </c>
      <c r="U4183" t="n">
        <v>0</v>
      </c>
      <c r="V4183" s="2" t="inlineStr"/>
    </row>
    <row r="4184" ht="15" customHeight="1">
      <c r="A4184" t="inlineStr">
        <is>
          <t>A 30920-2023</t>
        </is>
      </c>
      <c r="B4184" t="inlineStr">
        <is>
          <t>avverkningsanmälan</t>
        </is>
      </c>
      <c r="C4184" t="inlineStr">
        <is>
          <t>Föryngringsavverkning</t>
        </is>
      </c>
      <c r="D4184" s="1" t="n">
        <v>45113</v>
      </c>
      <c r="E4184" s="1" t="n">
        <v>46323</v>
      </c>
      <c r="F4184" t="inlineStr">
        <is>
          <t>KALMAR LÄN</t>
        </is>
      </c>
      <c r="G4184" t="inlineStr">
        <is>
          <t>VIMMERBY</t>
        </is>
      </c>
      <c r="I4184" t="n">
        <v>3.1</v>
      </c>
      <c r="J4184" t="n">
        <v>0</v>
      </c>
      <c r="K4184" t="n">
        <v>0</v>
      </c>
      <c r="L4184" t="n">
        <v>0</v>
      </c>
      <c r="M4184" t="n">
        <v>0</v>
      </c>
      <c r="N4184" t="n">
        <v>0</v>
      </c>
      <c r="O4184" t="n">
        <v>0</v>
      </c>
      <c r="P4184" t="n">
        <v>0</v>
      </c>
      <c r="Q4184" t="n">
        <v>0</v>
      </c>
      <c r="R4184" t="n">
        <v>0</v>
      </c>
      <c r="S4184" t="n">
        <v>0</v>
      </c>
      <c r="T4184" t="n">
        <v>0</v>
      </c>
      <c r="U4184" t="n">
        <v>0</v>
      </c>
      <c r="V4184" s="2" t="inlineStr"/>
    </row>
    <row r="4185" ht="15" customHeight="1">
      <c r="A4185" t="inlineStr">
        <is>
          <t>A 44765-2024</t>
        </is>
      </c>
      <c r="B4185" t="inlineStr">
        <is>
          <t>avverkningsanmälan</t>
        </is>
      </c>
      <c r="C4185" t="inlineStr">
        <is>
          <t>Föryngringsavverkning</t>
        </is>
      </c>
      <c r="D4185" s="1" t="n">
        <v>45574</v>
      </c>
      <c r="E4185" s="1" t="n">
        <v>46323</v>
      </c>
      <c r="F4185" t="inlineStr">
        <is>
          <t>KALMAR LÄN</t>
        </is>
      </c>
      <c r="G4185" t="inlineStr">
        <is>
          <t>KALMAR</t>
        </is>
      </c>
      <c r="H4185" t="inlineStr">
        <is>
          <t>Kommuner</t>
        </is>
      </c>
      <c r="I4185" t="n">
        <v>2.7</v>
      </c>
      <c r="J4185" t="n">
        <v>0</v>
      </c>
      <c r="K4185" t="n">
        <v>0</v>
      </c>
      <c r="L4185" t="n">
        <v>0</v>
      </c>
      <c r="M4185" t="n">
        <v>0</v>
      </c>
      <c r="N4185" t="n">
        <v>0</v>
      </c>
      <c r="O4185" t="n">
        <v>0</v>
      </c>
      <c r="P4185" t="n">
        <v>0</v>
      </c>
      <c r="Q4185" t="n">
        <v>0</v>
      </c>
      <c r="R4185" t="n">
        <v>0</v>
      </c>
      <c r="S4185" t="n">
        <v>0</v>
      </c>
      <c r="T4185" t="n">
        <v>0</v>
      </c>
      <c r="U4185" t="n">
        <v>0</v>
      </c>
      <c r="V4185" s="2" t="inlineStr"/>
    </row>
    <row r="4186" ht="15" customHeight="1">
      <c r="A4186" t="inlineStr">
        <is>
          <t>A 9775-2022</t>
        </is>
      </c>
      <c r="B4186" t="inlineStr">
        <is>
          <t>avverkningsanmälan</t>
        </is>
      </c>
      <c r="C4186" t="inlineStr">
        <is>
          <t>Föryngringsavverkning</t>
        </is>
      </c>
      <c r="D4186" s="1" t="n">
        <v>44619</v>
      </c>
      <c r="E4186" s="1" t="n">
        <v>46323</v>
      </c>
      <c r="F4186" t="inlineStr">
        <is>
          <t>KALMAR LÄN</t>
        </is>
      </c>
      <c r="G4186" t="inlineStr">
        <is>
          <t>EMMABODA</t>
        </is>
      </c>
      <c r="I4186" t="n">
        <v>3.5</v>
      </c>
      <c r="J4186" t="n">
        <v>0</v>
      </c>
      <c r="K4186" t="n">
        <v>0</v>
      </c>
      <c r="L4186" t="n">
        <v>0</v>
      </c>
      <c r="M4186" t="n">
        <v>0</v>
      </c>
      <c r="N4186" t="n">
        <v>0</v>
      </c>
      <c r="O4186" t="n">
        <v>0</v>
      </c>
      <c r="P4186" t="n">
        <v>0</v>
      </c>
      <c r="Q4186" t="n">
        <v>0</v>
      </c>
      <c r="R4186" t="n">
        <v>0</v>
      </c>
      <c r="S4186" t="n">
        <v>0</v>
      </c>
      <c r="T4186" t="n">
        <v>0</v>
      </c>
      <c r="U4186" t="n">
        <v>0</v>
      </c>
      <c r="V4186" s="2" t="inlineStr"/>
    </row>
    <row r="4187" ht="15" customHeight="1">
      <c r="A4187" t="inlineStr">
        <is>
          <t>A 16395-2026</t>
        </is>
      </c>
      <c r="B4187" t="inlineStr">
        <is>
          <t>avverkningsanmälan</t>
        </is>
      </c>
      <c r="C4187" t="inlineStr">
        <is>
          <t>Föryngringsavverkning</t>
        </is>
      </c>
      <c r="D4187" s="1" t="n">
        <v>46111</v>
      </c>
      <c r="E4187" s="1" t="n">
        <v>46323</v>
      </c>
      <c r="F4187" t="inlineStr">
        <is>
          <t>KALMAR LÄN</t>
        </is>
      </c>
      <c r="G4187" t="inlineStr">
        <is>
          <t>KALMAR</t>
        </is>
      </c>
      <c r="I4187" t="n">
        <v>2.5</v>
      </c>
      <c r="J4187" t="n">
        <v>0</v>
      </c>
      <c r="K4187" t="n">
        <v>0</v>
      </c>
      <c r="L4187" t="n">
        <v>0</v>
      </c>
      <c r="M4187" t="n">
        <v>0</v>
      </c>
      <c r="N4187" t="n">
        <v>0</v>
      </c>
      <c r="O4187" t="n">
        <v>0</v>
      </c>
      <c r="P4187" t="n">
        <v>0</v>
      </c>
      <c r="Q4187" t="n">
        <v>0</v>
      </c>
      <c r="R4187" t="n">
        <v>0</v>
      </c>
      <c r="S4187" t="n">
        <v>0</v>
      </c>
      <c r="T4187" t="n">
        <v>0</v>
      </c>
      <c r="U4187" t="n">
        <v>0</v>
      </c>
      <c r="V4187" s="2" t="inlineStr"/>
    </row>
    <row r="4188" ht="15" customHeight="1">
      <c r="A4188" t="inlineStr">
        <is>
          <t>A 6819-2025</t>
        </is>
      </c>
      <c r="B4188" t="inlineStr">
        <is>
          <t>avverkningsanmälan</t>
        </is>
      </c>
      <c r="C4188" t="inlineStr">
        <is>
          <t>Föryngringsavverkning</t>
        </is>
      </c>
      <c r="D4188" s="1" t="n">
        <v>45700</v>
      </c>
      <c r="E4188" s="1" t="n">
        <v>46323</v>
      </c>
      <c r="F4188" t="inlineStr">
        <is>
          <t>KALMAR LÄN</t>
        </is>
      </c>
      <c r="G4188" t="inlineStr">
        <is>
          <t>HÖGSBY</t>
        </is>
      </c>
      <c r="I4188" t="n">
        <v>0.8</v>
      </c>
      <c r="J4188" t="n">
        <v>0</v>
      </c>
      <c r="K4188" t="n">
        <v>0</v>
      </c>
      <c r="L4188" t="n">
        <v>0</v>
      </c>
      <c r="M4188" t="n">
        <v>0</v>
      </c>
      <c r="N4188" t="n">
        <v>0</v>
      </c>
      <c r="O4188" t="n">
        <v>0</v>
      </c>
      <c r="P4188" t="n">
        <v>0</v>
      </c>
      <c r="Q4188" t="n">
        <v>0</v>
      </c>
      <c r="R4188" t="n">
        <v>0</v>
      </c>
      <c r="S4188" t="n">
        <v>0</v>
      </c>
      <c r="T4188" t="n">
        <v>0</v>
      </c>
      <c r="U4188" t="n">
        <v>0</v>
      </c>
      <c r="V4188" s="2" t="inlineStr"/>
    </row>
    <row r="4189" ht="15" customHeight="1">
      <c r="A4189" t="inlineStr">
        <is>
          <t>A 6828-2025</t>
        </is>
      </c>
      <c r="B4189" t="inlineStr">
        <is>
          <t>avverkningsanmälan</t>
        </is>
      </c>
      <c r="C4189" t="inlineStr">
        <is>
          <t>Föryngringsavverkning</t>
        </is>
      </c>
      <c r="D4189" s="1" t="n">
        <v>45700</v>
      </c>
      <c r="E4189" s="1" t="n">
        <v>46323</v>
      </c>
      <c r="F4189" t="inlineStr">
        <is>
          <t>KALMAR LÄN</t>
        </is>
      </c>
      <c r="G4189" t="inlineStr">
        <is>
          <t>HÖGSBY</t>
        </is>
      </c>
      <c r="I4189" t="n">
        <v>0.6</v>
      </c>
      <c r="J4189" t="n">
        <v>0</v>
      </c>
      <c r="K4189" t="n">
        <v>0</v>
      </c>
      <c r="L4189" t="n">
        <v>0</v>
      </c>
      <c r="M4189" t="n">
        <v>0</v>
      </c>
      <c r="N4189" t="n">
        <v>0</v>
      </c>
      <c r="O4189" t="n">
        <v>0</v>
      </c>
      <c r="P4189" t="n">
        <v>0</v>
      </c>
      <c r="Q4189" t="n">
        <v>0</v>
      </c>
      <c r="R4189" t="n">
        <v>0</v>
      </c>
      <c r="S4189" t="n">
        <v>0</v>
      </c>
      <c r="T4189" t="n">
        <v>0</v>
      </c>
      <c r="U4189" t="n">
        <v>0</v>
      </c>
      <c r="V4189" s="2" t="inlineStr"/>
    </row>
    <row r="4190" ht="15" customHeight="1">
      <c r="A4190" t="inlineStr">
        <is>
          <t>A 7931-2026</t>
        </is>
      </c>
      <c r="B4190" t="inlineStr">
        <is>
          <t>avverkningsanmälan</t>
        </is>
      </c>
      <c r="C4190" t="inlineStr">
        <is>
          <t>Föryngringsavverkning</t>
        </is>
      </c>
      <c r="D4190" s="1" t="n">
        <v>46063</v>
      </c>
      <c r="E4190" s="1" t="n">
        <v>46323</v>
      </c>
      <c r="F4190" t="inlineStr">
        <is>
          <t>KALMAR LÄN</t>
        </is>
      </c>
      <c r="G4190" t="inlineStr">
        <is>
          <t>KALMAR</t>
        </is>
      </c>
      <c r="I4190" t="n">
        <v>1.4</v>
      </c>
      <c r="J4190" t="n">
        <v>0</v>
      </c>
      <c r="K4190" t="n">
        <v>0</v>
      </c>
      <c r="L4190" t="n">
        <v>0</v>
      </c>
      <c r="M4190" t="n">
        <v>0</v>
      </c>
      <c r="N4190" t="n">
        <v>0</v>
      </c>
      <c r="O4190" t="n">
        <v>0</v>
      </c>
      <c r="P4190" t="n">
        <v>0</v>
      </c>
      <c r="Q4190" t="n">
        <v>0</v>
      </c>
      <c r="R4190" t="n">
        <v>0</v>
      </c>
      <c r="S4190" t="n">
        <v>0</v>
      </c>
      <c r="T4190" t="n">
        <v>0</v>
      </c>
      <c r="U4190" t="n">
        <v>0</v>
      </c>
      <c r="V4190" s="2" t="inlineStr"/>
    </row>
    <row r="4191" ht="15" customHeight="1">
      <c r="A4191" t="inlineStr">
        <is>
          <t>A 42817-2023</t>
        </is>
      </c>
      <c r="B4191" t="inlineStr">
        <is>
          <t>avverkningsanmälan</t>
        </is>
      </c>
      <c r="C4191" t="inlineStr">
        <is>
          <t>Föryngringsavverkning</t>
        </is>
      </c>
      <c r="D4191" s="1" t="n">
        <v>45182</v>
      </c>
      <c r="E4191" s="1" t="n">
        <v>46323</v>
      </c>
      <c r="F4191" t="inlineStr">
        <is>
          <t>KALMAR LÄN</t>
        </is>
      </c>
      <c r="G4191" t="inlineStr">
        <is>
          <t>NYBRO</t>
        </is>
      </c>
      <c r="I4191" t="n">
        <v>1.9</v>
      </c>
      <c r="J4191" t="n">
        <v>0</v>
      </c>
      <c r="K4191" t="n">
        <v>0</v>
      </c>
      <c r="L4191" t="n">
        <v>0</v>
      </c>
      <c r="M4191" t="n">
        <v>0</v>
      </c>
      <c r="N4191" t="n">
        <v>0</v>
      </c>
      <c r="O4191" t="n">
        <v>0</v>
      </c>
      <c r="P4191" t="n">
        <v>0</v>
      </c>
      <c r="Q4191" t="n">
        <v>0</v>
      </c>
      <c r="R4191" t="n">
        <v>0</v>
      </c>
      <c r="S4191" t="n">
        <v>0</v>
      </c>
      <c r="T4191" t="n">
        <v>0</v>
      </c>
      <c r="U4191" t="n">
        <v>0</v>
      </c>
      <c r="V4191" s="2" t="inlineStr"/>
    </row>
    <row r="4192" ht="15" customHeight="1">
      <c r="A4192" t="inlineStr">
        <is>
          <t>A 21921-2022</t>
        </is>
      </c>
      <c r="B4192" t="inlineStr">
        <is>
          <t>avverkningsanmälan</t>
        </is>
      </c>
      <c r="C4192" t="inlineStr">
        <is>
          <t>Föryngringsavverkning</t>
        </is>
      </c>
      <c r="D4192" s="1" t="n">
        <v>44711</v>
      </c>
      <c r="E4192" s="1" t="n">
        <v>46323</v>
      </c>
      <c r="F4192" t="inlineStr">
        <is>
          <t>KALMAR LÄN</t>
        </is>
      </c>
      <c r="G4192" t="inlineStr">
        <is>
          <t>OSKARSHAMN</t>
        </is>
      </c>
      <c r="I4192" t="n">
        <v>1</v>
      </c>
      <c r="J4192" t="n">
        <v>0</v>
      </c>
      <c r="K4192" t="n">
        <v>0</v>
      </c>
      <c r="L4192" t="n">
        <v>0</v>
      </c>
      <c r="M4192" t="n">
        <v>0</v>
      </c>
      <c r="N4192" t="n">
        <v>0</v>
      </c>
      <c r="O4192" t="n">
        <v>0</v>
      </c>
      <c r="P4192" t="n">
        <v>0</v>
      </c>
      <c r="Q4192" t="n">
        <v>0</v>
      </c>
      <c r="R4192" t="n">
        <v>0</v>
      </c>
      <c r="S4192" t="n">
        <v>0</v>
      </c>
      <c r="T4192" t="n">
        <v>0</v>
      </c>
      <c r="U4192" t="n">
        <v>0</v>
      </c>
      <c r="V4192" s="2" t="inlineStr"/>
    </row>
    <row r="4193" ht="15" customHeight="1">
      <c r="A4193" t="inlineStr">
        <is>
          <t>A 31255-2026</t>
        </is>
      </c>
      <c r="B4193" t="inlineStr">
        <is>
          <t>avverkningsanmälan</t>
        </is>
      </c>
      <c r="C4193" t="inlineStr">
        <is>
          <t>Föryngringsavverkning</t>
        </is>
      </c>
      <c r="D4193" s="1" t="n">
        <v>46218</v>
      </c>
      <c r="E4193" s="1" t="n">
        <v>46323</v>
      </c>
      <c r="F4193" t="inlineStr">
        <is>
          <t>KALMAR LÄN</t>
        </is>
      </c>
      <c r="G4193" t="inlineStr">
        <is>
          <t>TORSÅS</t>
        </is>
      </c>
      <c r="I4193" t="n">
        <v>0.5</v>
      </c>
      <c r="J4193" t="n">
        <v>0</v>
      </c>
      <c r="K4193" t="n">
        <v>0</v>
      </c>
      <c r="L4193" t="n">
        <v>0</v>
      </c>
      <c r="M4193" t="n">
        <v>0</v>
      </c>
      <c r="N4193" t="n">
        <v>0</v>
      </c>
      <c r="O4193" t="n">
        <v>0</v>
      </c>
      <c r="P4193" t="n">
        <v>0</v>
      </c>
      <c r="Q4193" t="n">
        <v>0</v>
      </c>
      <c r="R4193" t="n">
        <v>0</v>
      </c>
      <c r="S4193" t="n">
        <v>0</v>
      </c>
      <c r="T4193" t="n">
        <v>0</v>
      </c>
      <c r="U4193" t="n">
        <v>0</v>
      </c>
      <c r="V4193" s="2" t="inlineStr"/>
    </row>
    <row r="4194" ht="15" customHeight="1">
      <c r="A4194" t="inlineStr">
        <is>
          <t>A 31256-2026</t>
        </is>
      </c>
      <c r="B4194" t="inlineStr">
        <is>
          <t>avverkningsanmälan</t>
        </is>
      </c>
      <c r="C4194" t="inlineStr">
        <is>
          <t>Föryngringsavverkning</t>
        </is>
      </c>
      <c r="D4194" s="1" t="n">
        <v>46218</v>
      </c>
      <c r="E4194" s="1" t="n">
        <v>46323</v>
      </c>
      <c r="F4194" t="inlineStr">
        <is>
          <t>KALMAR LÄN</t>
        </is>
      </c>
      <c r="G4194" t="inlineStr">
        <is>
          <t>TORSÅS</t>
        </is>
      </c>
      <c r="I4194" t="n">
        <v>1.7</v>
      </c>
      <c r="J4194" t="n">
        <v>0</v>
      </c>
      <c r="K4194" t="n">
        <v>0</v>
      </c>
      <c r="L4194" t="n">
        <v>0</v>
      </c>
      <c r="M4194" t="n">
        <v>0</v>
      </c>
      <c r="N4194" t="n">
        <v>0</v>
      </c>
      <c r="O4194" t="n">
        <v>0</v>
      </c>
      <c r="P4194" t="n">
        <v>0</v>
      </c>
      <c r="Q4194" t="n">
        <v>0</v>
      </c>
      <c r="R4194" t="n">
        <v>0</v>
      </c>
      <c r="S4194" t="n">
        <v>0</v>
      </c>
      <c r="T4194" t="n">
        <v>0</v>
      </c>
      <c r="U4194" t="n">
        <v>0</v>
      </c>
      <c r="V4194" s="2" t="inlineStr"/>
    </row>
    <row r="4195" ht="15" customHeight="1">
      <c r="A4195" t="inlineStr">
        <is>
          <t>A 31379-2026</t>
        </is>
      </c>
      <c r="B4195" t="inlineStr">
        <is>
          <t>avverkningsanmälan</t>
        </is>
      </c>
      <c r="C4195" t="inlineStr">
        <is>
          <t>Föryngringsavverkning</t>
        </is>
      </c>
      <c r="D4195" s="1" t="n">
        <v>46219</v>
      </c>
      <c r="E4195" s="1" t="n">
        <v>46323</v>
      </c>
      <c r="F4195" t="inlineStr">
        <is>
          <t>KALMAR LÄN</t>
        </is>
      </c>
      <c r="G4195" t="inlineStr">
        <is>
          <t>VIMMERBY</t>
        </is>
      </c>
      <c r="I4195" t="n">
        <v>1.9</v>
      </c>
      <c r="J4195" t="n">
        <v>0</v>
      </c>
      <c r="K4195" t="n">
        <v>0</v>
      </c>
      <c r="L4195" t="n">
        <v>0</v>
      </c>
      <c r="M4195" t="n">
        <v>0</v>
      </c>
      <c r="N4195" t="n">
        <v>0</v>
      </c>
      <c r="O4195" t="n">
        <v>0</v>
      </c>
      <c r="P4195" t="n">
        <v>0</v>
      </c>
      <c r="Q4195" t="n">
        <v>0</v>
      </c>
      <c r="R4195" t="n">
        <v>0</v>
      </c>
      <c r="S4195" t="n">
        <v>0</v>
      </c>
      <c r="T4195" t="n">
        <v>0</v>
      </c>
      <c r="U4195" t="n">
        <v>0</v>
      </c>
      <c r="V4195" s="2" t="inlineStr"/>
    </row>
    <row r="4196" ht="15" customHeight="1">
      <c r="A4196" t="inlineStr">
        <is>
          <t>A 5564-2026</t>
        </is>
      </c>
      <c r="B4196" t="inlineStr">
        <is>
          <t>avverkningsanmälan</t>
        </is>
      </c>
      <c r="C4196" t="inlineStr">
        <is>
          <t>Föryngringsavverkning</t>
        </is>
      </c>
      <c r="D4196" s="1" t="n">
        <v>46050</v>
      </c>
      <c r="E4196" s="1" t="n">
        <v>46323</v>
      </c>
      <c r="F4196" t="inlineStr">
        <is>
          <t>KALMAR LÄN</t>
        </is>
      </c>
      <c r="G4196" t="inlineStr">
        <is>
          <t>HULTSFRED</t>
        </is>
      </c>
      <c r="I4196" t="n">
        <v>2.8</v>
      </c>
      <c r="J4196" t="n">
        <v>0</v>
      </c>
      <c r="K4196" t="n">
        <v>0</v>
      </c>
      <c r="L4196" t="n">
        <v>0</v>
      </c>
      <c r="M4196" t="n">
        <v>0</v>
      </c>
      <c r="N4196" t="n">
        <v>0</v>
      </c>
      <c r="O4196" t="n">
        <v>0</v>
      </c>
      <c r="P4196" t="n">
        <v>0</v>
      </c>
      <c r="Q4196" t="n">
        <v>0</v>
      </c>
      <c r="R4196" t="n">
        <v>0</v>
      </c>
      <c r="S4196" t="n">
        <v>0</v>
      </c>
      <c r="T4196" t="n">
        <v>0</v>
      </c>
      <c r="U4196" t="n">
        <v>0</v>
      </c>
      <c r="V4196" s="2" t="inlineStr"/>
    </row>
    <row r="4197" ht="15" customHeight="1">
      <c r="A4197" t="inlineStr">
        <is>
          <t>A 42277-2023</t>
        </is>
      </c>
      <c r="B4197" t="inlineStr">
        <is>
          <t>avverkningsanmälan</t>
        </is>
      </c>
      <c r="C4197" t="inlineStr">
        <is>
          <t>Föryngringsavverkning</t>
        </is>
      </c>
      <c r="D4197" s="1" t="n">
        <v>45175</v>
      </c>
      <c r="E4197" s="1" t="n">
        <v>46323</v>
      </c>
      <c r="F4197" t="inlineStr">
        <is>
          <t>KALMAR LÄN</t>
        </is>
      </c>
      <c r="G4197" t="inlineStr">
        <is>
          <t>NYBRO</t>
        </is>
      </c>
      <c r="I4197" t="n">
        <v>2.5</v>
      </c>
      <c r="J4197" t="n">
        <v>0</v>
      </c>
      <c r="K4197" t="n">
        <v>0</v>
      </c>
      <c r="L4197" t="n">
        <v>0</v>
      </c>
      <c r="M4197" t="n">
        <v>0</v>
      </c>
      <c r="N4197" t="n">
        <v>0</v>
      </c>
      <c r="O4197" t="n">
        <v>0</v>
      </c>
      <c r="P4197" t="n">
        <v>0</v>
      </c>
      <c r="Q4197" t="n">
        <v>0</v>
      </c>
      <c r="R4197" t="n">
        <v>0</v>
      </c>
      <c r="S4197" t="n">
        <v>0</v>
      </c>
      <c r="T4197" t="n">
        <v>0</v>
      </c>
      <c r="U4197" t="n">
        <v>0</v>
      </c>
      <c r="V4197" s="2" t="inlineStr"/>
    </row>
    <row r="4198" ht="15" customHeight="1">
      <c r="A4198" t="inlineStr">
        <is>
          <t>A 31376-2026</t>
        </is>
      </c>
      <c r="B4198" t="inlineStr">
        <is>
          <t>avverkningsanmälan</t>
        </is>
      </c>
      <c r="C4198" t="inlineStr">
        <is>
          <t>Föryngringsavverkning</t>
        </is>
      </c>
      <c r="D4198" s="1" t="n">
        <v>46219</v>
      </c>
      <c r="E4198" s="1" t="n">
        <v>46323</v>
      </c>
      <c r="F4198" t="inlineStr">
        <is>
          <t>KALMAR LÄN</t>
        </is>
      </c>
      <c r="G4198" t="inlineStr">
        <is>
          <t>VIMMERBY</t>
        </is>
      </c>
      <c r="I4198" t="n">
        <v>0.6</v>
      </c>
      <c r="J4198" t="n">
        <v>0</v>
      </c>
      <c r="K4198" t="n">
        <v>0</v>
      </c>
      <c r="L4198" t="n">
        <v>0</v>
      </c>
      <c r="M4198" t="n">
        <v>0</v>
      </c>
      <c r="N4198" t="n">
        <v>0</v>
      </c>
      <c r="O4198" t="n">
        <v>0</v>
      </c>
      <c r="P4198" t="n">
        <v>0</v>
      </c>
      <c r="Q4198" t="n">
        <v>0</v>
      </c>
      <c r="R4198" t="n">
        <v>0</v>
      </c>
      <c r="S4198" t="n">
        <v>0</v>
      </c>
      <c r="T4198" t="n">
        <v>0</v>
      </c>
      <c r="U4198" t="n">
        <v>0</v>
      </c>
      <c r="V4198" s="2" t="inlineStr"/>
    </row>
    <row r="4199" ht="15" customHeight="1">
      <c r="A4199" t="inlineStr">
        <is>
          <t>A 26859-2023</t>
        </is>
      </c>
      <c r="B4199" t="inlineStr">
        <is>
          <t>avverkningsanmälan</t>
        </is>
      </c>
      <c r="C4199" t="inlineStr">
        <is>
          <t>Föryngringsavverkning</t>
        </is>
      </c>
      <c r="D4199" s="1" t="n">
        <v>45093</v>
      </c>
      <c r="E4199" s="1" t="n">
        <v>46323</v>
      </c>
      <c r="F4199" t="inlineStr">
        <is>
          <t>KALMAR LÄN</t>
        </is>
      </c>
      <c r="G4199" t="inlineStr">
        <is>
          <t>NYBRO</t>
        </is>
      </c>
      <c r="I4199" t="n">
        <v>2.3</v>
      </c>
      <c r="J4199" t="n">
        <v>0</v>
      </c>
      <c r="K4199" t="n">
        <v>0</v>
      </c>
      <c r="L4199" t="n">
        <v>0</v>
      </c>
      <c r="M4199" t="n">
        <v>0</v>
      </c>
      <c r="N4199" t="n">
        <v>0</v>
      </c>
      <c r="O4199" t="n">
        <v>0</v>
      </c>
      <c r="P4199" t="n">
        <v>0</v>
      </c>
      <c r="Q4199" t="n">
        <v>0</v>
      </c>
      <c r="R4199" t="n">
        <v>0</v>
      </c>
      <c r="S4199" t="n">
        <v>0</v>
      </c>
      <c r="T4199" t="n">
        <v>0</v>
      </c>
      <c r="U4199" t="n">
        <v>0</v>
      </c>
      <c r="V4199" s="2" t="inlineStr"/>
    </row>
    <row r="4200" ht="15" customHeight="1">
      <c r="A4200" t="inlineStr">
        <is>
          <t>A 35960-2023</t>
        </is>
      </c>
      <c r="B4200" t="inlineStr">
        <is>
          <t>avverkningsanmälan</t>
        </is>
      </c>
      <c r="C4200" t="inlineStr">
        <is>
          <t>Föryngringsavverkning</t>
        </is>
      </c>
      <c r="D4200" s="1" t="n">
        <v>45148</v>
      </c>
      <c r="E4200" s="1" t="n">
        <v>46323</v>
      </c>
      <c r="F4200" t="inlineStr">
        <is>
          <t>KALMAR LÄN</t>
        </is>
      </c>
      <c r="G4200" t="inlineStr">
        <is>
          <t>VÄSTERVIK</t>
        </is>
      </c>
      <c r="H4200" t="inlineStr">
        <is>
          <t>Sveaskog</t>
        </is>
      </c>
      <c r="I4200" t="n">
        <v>1.9</v>
      </c>
      <c r="J4200" t="n">
        <v>0</v>
      </c>
      <c r="K4200" t="n">
        <v>0</v>
      </c>
      <c r="L4200" t="n">
        <v>0</v>
      </c>
      <c r="M4200" t="n">
        <v>0</v>
      </c>
      <c r="N4200" t="n">
        <v>0</v>
      </c>
      <c r="O4200" t="n">
        <v>0</v>
      </c>
      <c r="P4200" t="n">
        <v>0</v>
      </c>
      <c r="Q4200" t="n">
        <v>0</v>
      </c>
      <c r="R4200" t="n">
        <v>0</v>
      </c>
      <c r="S4200" t="n">
        <v>0</v>
      </c>
      <c r="T4200" t="n">
        <v>0</v>
      </c>
      <c r="U4200" t="n">
        <v>0</v>
      </c>
      <c r="V4200" s="2" t="inlineStr"/>
    </row>
    <row r="4201" ht="15" customHeight="1">
      <c r="A4201" t="inlineStr">
        <is>
          <t>A 10441-2022</t>
        </is>
      </c>
      <c r="B4201" t="inlineStr">
        <is>
          <t>avverkningsanmälan</t>
        </is>
      </c>
      <c r="C4201" t="inlineStr">
        <is>
          <t>Föryngringsavverkning</t>
        </is>
      </c>
      <c r="D4201" s="1" t="n">
        <v>44623</v>
      </c>
      <c r="E4201" s="1" t="n">
        <v>46323</v>
      </c>
      <c r="F4201" t="inlineStr">
        <is>
          <t>KALMAR LÄN</t>
        </is>
      </c>
      <c r="G4201" t="inlineStr">
        <is>
          <t>VÄSTERVIK</t>
        </is>
      </c>
      <c r="H4201" t="inlineStr">
        <is>
          <t>Holmen skog AB</t>
        </is>
      </c>
      <c r="I4201" t="n">
        <v>1.4</v>
      </c>
      <c r="J4201" t="n">
        <v>0</v>
      </c>
      <c r="K4201" t="n">
        <v>0</v>
      </c>
      <c r="L4201" t="n">
        <v>0</v>
      </c>
      <c r="M4201" t="n">
        <v>0</v>
      </c>
      <c r="N4201" t="n">
        <v>0</v>
      </c>
      <c r="O4201" t="n">
        <v>0</v>
      </c>
      <c r="P4201" t="n">
        <v>0</v>
      </c>
      <c r="Q4201" t="n">
        <v>0</v>
      </c>
      <c r="R4201" t="n">
        <v>0</v>
      </c>
      <c r="S4201" t="n">
        <v>0</v>
      </c>
      <c r="T4201" t="n">
        <v>0</v>
      </c>
      <c r="U4201" t="n">
        <v>0</v>
      </c>
      <c r="V4201" s="2" t="inlineStr"/>
    </row>
    <row r="4202" ht="15" customHeight="1">
      <c r="A4202" t="inlineStr">
        <is>
          <t>A 27906-2023</t>
        </is>
      </c>
      <c r="B4202" t="inlineStr">
        <is>
          <t>avverkningsanmälan</t>
        </is>
      </c>
      <c r="C4202" t="inlineStr">
        <is>
          <t>Föryngringsavverkning</t>
        </is>
      </c>
      <c r="D4202" s="1" t="n">
        <v>45098</v>
      </c>
      <c r="E4202" s="1" t="n">
        <v>46323</v>
      </c>
      <c r="F4202" t="inlineStr">
        <is>
          <t>KALMAR LÄN</t>
        </is>
      </c>
      <c r="G4202" t="inlineStr">
        <is>
          <t>OSKARSHAMN</t>
        </is>
      </c>
      <c r="I4202" t="n">
        <v>3.2</v>
      </c>
      <c r="J4202" t="n">
        <v>0</v>
      </c>
      <c r="K4202" t="n">
        <v>0</v>
      </c>
      <c r="L4202" t="n">
        <v>0</v>
      </c>
      <c r="M4202" t="n">
        <v>0</v>
      </c>
      <c r="N4202" t="n">
        <v>0</v>
      </c>
      <c r="O4202" t="n">
        <v>0</v>
      </c>
      <c r="P4202" t="n">
        <v>0</v>
      </c>
      <c r="Q4202" t="n">
        <v>0</v>
      </c>
      <c r="R4202" t="n">
        <v>0</v>
      </c>
      <c r="S4202" t="n">
        <v>0</v>
      </c>
      <c r="T4202" t="n">
        <v>0</v>
      </c>
      <c r="U4202" t="n">
        <v>0</v>
      </c>
      <c r="V4202" s="2" t="inlineStr"/>
    </row>
    <row r="4203" ht="15" customHeight="1">
      <c r="A4203" t="inlineStr">
        <is>
          <t>A 27916-2023</t>
        </is>
      </c>
      <c r="B4203" t="inlineStr">
        <is>
          <t>avverkningsanmälan</t>
        </is>
      </c>
      <c r="C4203" t="inlineStr">
        <is>
          <t>Föryngringsavverkning</t>
        </is>
      </c>
      <c r="D4203" s="1" t="n">
        <v>45093</v>
      </c>
      <c r="E4203" s="1" t="n">
        <v>46323</v>
      </c>
      <c r="F4203" t="inlineStr">
        <is>
          <t>KALMAR LÄN</t>
        </is>
      </c>
      <c r="G4203" t="inlineStr">
        <is>
          <t>HÖGSBY</t>
        </is>
      </c>
      <c r="I4203" t="n">
        <v>0.5</v>
      </c>
      <c r="J4203" t="n">
        <v>0</v>
      </c>
      <c r="K4203" t="n">
        <v>0</v>
      </c>
      <c r="L4203" t="n">
        <v>0</v>
      </c>
      <c r="M4203" t="n">
        <v>0</v>
      </c>
      <c r="N4203" t="n">
        <v>0</v>
      </c>
      <c r="O4203" t="n">
        <v>0</v>
      </c>
      <c r="P4203" t="n">
        <v>0</v>
      </c>
      <c r="Q4203" t="n">
        <v>0</v>
      </c>
      <c r="R4203" t="n">
        <v>0</v>
      </c>
      <c r="S4203" t="n">
        <v>0</v>
      </c>
      <c r="T4203" t="n">
        <v>0</v>
      </c>
      <c r="U4203" t="n">
        <v>0</v>
      </c>
      <c r="V4203" s="2" t="inlineStr"/>
    </row>
    <row r="4204" ht="15" customHeight="1">
      <c r="A4204" t="inlineStr">
        <is>
          <t>A 11988-2022</t>
        </is>
      </c>
      <c r="B4204" t="inlineStr">
        <is>
          <t>avverkningsanmälan</t>
        </is>
      </c>
      <c r="C4204" t="inlineStr">
        <is>
          <t>Föryngringsavverkning</t>
        </is>
      </c>
      <c r="D4204" s="1" t="n">
        <v>44635</v>
      </c>
      <c r="E4204" s="1" t="n">
        <v>46323</v>
      </c>
      <c r="F4204" t="inlineStr">
        <is>
          <t>KALMAR LÄN</t>
        </is>
      </c>
      <c r="G4204" t="inlineStr">
        <is>
          <t>VÄSTERVIK</t>
        </is>
      </c>
      <c r="I4204" t="n">
        <v>1.1</v>
      </c>
      <c r="J4204" t="n">
        <v>0</v>
      </c>
      <c r="K4204" t="n">
        <v>0</v>
      </c>
      <c r="L4204" t="n">
        <v>0</v>
      </c>
      <c r="M4204" t="n">
        <v>0</v>
      </c>
      <c r="N4204" t="n">
        <v>0</v>
      </c>
      <c r="O4204" t="n">
        <v>0</v>
      </c>
      <c r="P4204" t="n">
        <v>0</v>
      </c>
      <c r="Q4204" t="n">
        <v>0</v>
      </c>
      <c r="R4204" t="n">
        <v>0</v>
      </c>
      <c r="S4204" t="n">
        <v>0</v>
      </c>
      <c r="T4204" t="n">
        <v>0</v>
      </c>
      <c r="U4204" t="n">
        <v>0</v>
      </c>
      <c r="V4204" s="2" t="inlineStr"/>
    </row>
    <row r="4205" ht="15" customHeight="1">
      <c r="A4205" t="inlineStr">
        <is>
          <t>A 50298-2023</t>
        </is>
      </c>
      <c r="B4205" t="inlineStr">
        <is>
          <t>avverkningsanmälan</t>
        </is>
      </c>
      <c r="C4205" t="inlineStr">
        <is>
          <t>Föryngringsavverkning</t>
        </is>
      </c>
      <c r="D4205" s="1" t="n">
        <v>45209</v>
      </c>
      <c r="E4205" s="1" t="n">
        <v>46323</v>
      </c>
      <c r="F4205" t="inlineStr">
        <is>
          <t>KALMAR LÄN</t>
        </is>
      </c>
      <c r="G4205" t="inlineStr">
        <is>
          <t>MÖNSTERÅS</t>
        </is>
      </c>
      <c r="I4205" t="n">
        <v>6.1</v>
      </c>
      <c r="J4205" t="n">
        <v>0</v>
      </c>
      <c r="K4205" t="n">
        <v>0</v>
      </c>
      <c r="L4205" t="n">
        <v>0</v>
      </c>
      <c r="M4205" t="n">
        <v>0</v>
      </c>
      <c r="N4205" t="n">
        <v>0</v>
      </c>
      <c r="O4205" t="n">
        <v>0</v>
      </c>
      <c r="P4205" t="n">
        <v>0</v>
      </c>
      <c r="Q4205" t="n">
        <v>0</v>
      </c>
      <c r="R4205" t="n">
        <v>0</v>
      </c>
      <c r="S4205" t="n">
        <v>0</v>
      </c>
      <c r="T4205" t="n">
        <v>0</v>
      </c>
      <c r="U4205" t="n">
        <v>0</v>
      </c>
      <c r="V4205" s="2" t="inlineStr"/>
    </row>
    <row r="4206" ht="15" customHeight="1">
      <c r="A4206" t="inlineStr">
        <is>
          <t>A 50320-2023</t>
        </is>
      </c>
      <c r="B4206" t="inlineStr">
        <is>
          <t>avverkningsanmälan</t>
        </is>
      </c>
      <c r="C4206" t="inlineStr">
        <is>
          <t>Föryngringsavverkning</t>
        </is>
      </c>
      <c r="D4206" s="1" t="n">
        <v>45216</v>
      </c>
      <c r="E4206" s="1" t="n">
        <v>46323</v>
      </c>
      <c r="F4206" t="inlineStr">
        <is>
          <t>KALMAR LÄN</t>
        </is>
      </c>
      <c r="G4206" t="inlineStr">
        <is>
          <t>HULTSFRED</t>
        </is>
      </c>
      <c r="I4206" t="n">
        <v>3.8</v>
      </c>
      <c r="J4206" t="n">
        <v>0</v>
      </c>
      <c r="K4206" t="n">
        <v>0</v>
      </c>
      <c r="L4206" t="n">
        <v>0</v>
      </c>
      <c r="M4206" t="n">
        <v>0</v>
      </c>
      <c r="N4206" t="n">
        <v>0</v>
      </c>
      <c r="O4206" t="n">
        <v>0</v>
      </c>
      <c r="P4206" t="n">
        <v>0</v>
      </c>
      <c r="Q4206" t="n">
        <v>0</v>
      </c>
      <c r="R4206" t="n">
        <v>0</v>
      </c>
      <c r="S4206" t="n">
        <v>0</v>
      </c>
      <c r="T4206" t="n">
        <v>0</v>
      </c>
      <c r="U4206" t="n">
        <v>0</v>
      </c>
      <c r="V4206" s="2" t="inlineStr"/>
    </row>
    <row r="4207" ht="15" customHeight="1">
      <c r="A4207" t="inlineStr">
        <is>
          <t>A 5728-2026</t>
        </is>
      </c>
      <c r="B4207" t="inlineStr">
        <is>
          <t>avverkningsanmälan</t>
        </is>
      </c>
      <c r="C4207" t="inlineStr">
        <is>
          <t>Föryngringsavverkning</t>
        </is>
      </c>
      <c r="D4207" s="1" t="n">
        <v>46051</v>
      </c>
      <c r="E4207" s="1" t="n">
        <v>46323</v>
      </c>
      <c r="F4207" t="inlineStr">
        <is>
          <t>KALMAR LÄN</t>
        </is>
      </c>
      <c r="G4207" t="inlineStr">
        <is>
          <t>NYBRO</t>
        </is>
      </c>
      <c r="H4207" t="inlineStr">
        <is>
          <t>Sveaskog</t>
        </is>
      </c>
      <c r="I4207" t="n">
        <v>1.1</v>
      </c>
      <c r="J4207" t="n">
        <v>0</v>
      </c>
      <c r="K4207" t="n">
        <v>0</v>
      </c>
      <c r="L4207" t="n">
        <v>0</v>
      </c>
      <c r="M4207" t="n">
        <v>0</v>
      </c>
      <c r="N4207" t="n">
        <v>0</v>
      </c>
      <c r="O4207" t="n">
        <v>0</v>
      </c>
      <c r="P4207" t="n">
        <v>0</v>
      </c>
      <c r="Q4207" t="n">
        <v>0</v>
      </c>
      <c r="R4207" t="n">
        <v>0</v>
      </c>
      <c r="S4207" t="n">
        <v>0</v>
      </c>
      <c r="T4207" t="n">
        <v>0</v>
      </c>
      <c r="U4207" t="n">
        <v>0</v>
      </c>
      <c r="V4207" s="2" t="inlineStr"/>
    </row>
    <row r="4208" ht="15" customHeight="1">
      <c r="A4208" t="inlineStr">
        <is>
          <t>A 5740-2026</t>
        </is>
      </c>
      <c r="B4208" t="inlineStr">
        <is>
          <t>avverkningsanmälan</t>
        </is>
      </c>
      <c r="C4208" t="inlineStr">
        <is>
          <t>Föryngringsavverkning</t>
        </is>
      </c>
      <c r="D4208" s="1" t="n">
        <v>46051</v>
      </c>
      <c r="E4208" s="1" t="n">
        <v>46323</v>
      </c>
      <c r="F4208" t="inlineStr">
        <is>
          <t>KALMAR LÄN</t>
        </is>
      </c>
      <c r="G4208" t="inlineStr">
        <is>
          <t>VÄSTERVIK</t>
        </is>
      </c>
      <c r="H4208" t="inlineStr">
        <is>
          <t>Kyrkan</t>
        </is>
      </c>
      <c r="I4208" t="n">
        <v>7.7</v>
      </c>
      <c r="J4208" t="n">
        <v>0</v>
      </c>
      <c r="K4208" t="n">
        <v>0</v>
      </c>
      <c r="L4208" t="n">
        <v>0</v>
      </c>
      <c r="M4208" t="n">
        <v>0</v>
      </c>
      <c r="N4208" t="n">
        <v>0</v>
      </c>
      <c r="O4208" t="n">
        <v>0</v>
      </c>
      <c r="P4208" t="n">
        <v>0</v>
      </c>
      <c r="Q4208" t="n">
        <v>0</v>
      </c>
      <c r="R4208" t="n">
        <v>0</v>
      </c>
      <c r="S4208" t="n">
        <v>0</v>
      </c>
      <c r="T4208" t="n">
        <v>0</v>
      </c>
      <c r="U4208" t="n">
        <v>0</v>
      </c>
      <c r="V4208" s="2" t="inlineStr"/>
    </row>
    <row r="4209" ht="15" customHeight="1">
      <c r="A4209" t="inlineStr">
        <is>
          <t>A 24378-2025</t>
        </is>
      </c>
      <c r="B4209" t="inlineStr">
        <is>
          <t>avverkningsanmälan</t>
        </is>
      </c>
      <c r="C4209" t="inlineStr">
        <is>
          <t>Föryngringsavverkning</t>
        </is>
      </c>
      <c r="D4209" s="1" t="n">
        <v>45797</v>
      </c>
      <c r="E4209" s="1" t="n">
        <v>46323</v>
      </c>
      <c r="F4209" t="inlineStr">
        <is>
          <t>KALMAR LÄN</t>
        </is>
      </c>
      <c r="G4209" t="inlineStr">
        <is>
          <t>HÖGSBY</t>
        </is>
      </c>
      <c r="H4209" t="inlineStr">
        <is>
          <t>Sveaskog</t>
        </is>
      </c>
      <c r="I4209" t="n">
        <v>1.9</v>
      </c>
      <c r="J4209" t="n">
        <v>0</v>
      </c>
      <c r="K4209" t="n">
        <v>0</v>
      </c>
      <c r="L4209" t="n">
        <v>0</v>
      </c>
      <c r="M4209" t="n">
        <v>0</v>
      </c>
      <c r="N4209" t="n">
        <v>0</v>
      </c>
      <c r="O4209" t="n">
        <v>0</v>
      </c>
      <c r="P4209" t="n">
        <v>0</v>
      </c>
      <c r="Q4209" t="n">
        <v>0</v>
      </c>
      <c r="R4209" t="n">
        <v>0</v>
      </c>
      <c r="S4209" t="n">
        <v>0</v>
      </c>
      <c r="T4209" t="n">
        <v>0</v>
      </c>
      <c r="U4209" t="n">
        <v>0</v>
      </c>
      <c r="V4209" s="2" t="inlineStr"/>
    </row>
    <row r="4210" ht="15" customHeight="1">
      <c r="A4210" t="inlineStr">
        <is>
          <t>A 16521-2024</t>
        </is>
      </c>
      <c r="B4210" t="inlineStr">
        <is>
          <t>avverkningsanmälan</t>
        </is>
      </c>
      <c r="C4210" t="inlineStr">
        <is>
          <t>Föryngringsavverkning</t>
        </is>
      </c>
      <c r="D4210" s="1" t="n">
        <v>45408</v>
      </c>
      <c r="E4210" s="1" t="n">
        <v>46323</v>
      </c>
      <c r="F4210" t="inlineStr">
        <is>
          <t>KALMAR LÄN</t>
        </is>
      </c>
      <c r="G4210" t="inlineStr">
        <is>
          <t>EMMABODA</t>
        </is>
      </c>
      <c r="I4210" t="n">
        <v>1.4</v>
      </c>
      <c r="J4210" t="n">
        <v>0</v>
      </c>
      <c r="K4210" t="n">
        <v>0</v>
      </c>
      <c r="L4210" t="n">
        <v>0</v>
      </c>
      <c r="M4210" t="n">
        <v>0</v>
      </c>
      <c r="N4210" t="n">
        <v>0</v>
      </c>
      <c r="O4210" t="n">
        <v>0</v>
      </c>
      <c r="P4210" t="n">
        <v>0</v>
      </c>
      <c r="Q4210" t="n">
        <v>0</v>
      </c>
      <c r="R4210" t="n">
        <v>0</v>
      </c>
      <c r="S4210" t="n">
        <v>0</v>
      </c>
      <c r="T4210" t="n">
        <v>0</v>
      </c>
      <c r="U4210" t="n">
        <v>0</v>
      </c>
      <c r="V4210" s="2" t="inlineStr"/>
    </row>
    <row r="4211" ht="15" customHeight="1">
      <c r="A4211" t="inlineStr">
        <is>
          <t>A 25582-2022</t>
        </is>
      </c>
      <c r="B4211" t="inlineStr">
        <is>
          <t>avverkningsanmälan</t>
        </is>
      </c>
      <c r="C4211" t="inlineStr">
        <is>
          <t>Föryngringsavverkning</t>
        </is>
      </c>
      <c r="D4211" s="1" t="n">
        <v>44732</v>
      </c>
      <c r="E4211" s="1" t="n">
        <v>46323</v>
      </c>
      <c r="F4211" t="inlineStr">
        <is>
          <t>KALMAR LÄN</t>
        </is>
      </c>
      <c r="G4211" t="inlineStr">
        <is>
          <t>HULTSFRED</t>
        </is>
      </c>
      <c r="I4211" t="n">
        <v>1.3</v>
      </c>
      <c r="J4211" t="n">
        <v>0</v>
      </c>
      <c r="K4211" t="n">
        <v>0</v>
      </c>
      <c r="L4211" t="n">
        <v>0</v>
      </c>
      <c r="M4211" t="n">
        <v>0</v>
      </c>
      <c r="N4211" t="n">
        <v>0</v>
      </c>
      <c r="O4211" t="n">
        <v>0</v>
      </c>
      <c r="P4211" t="n">
        <v>0</v>
      </c>
      <c r="Q4211" t="n">
        <v>0</v>
      </c>
      <c r="R4211" t="n">
        <v>0</v>
      </c>
      <c r="S4211" t="n">
        <v>0</v>
      </c>
      <c r="T4211" t="n">
        <v>0</v>
      </c>
      <c r="U4211" t="n">
        <v>0</v>
      </c>
      <c r="V4211" s="2" t="inlineStr"/>
    </row>
    <row r="4212" ht="15" customHeight="1">
      <c r="A4212" t="inlineStr">
        <is>
          <t>A 5589-2025</t>
        </is>
      </c>
      <c r="B4212" t="inlineStr">
        <is>
          <t>avverkningsanmälan</t>
        </is>
      </c>
      <c r="C4212" t="inlineStr">
        <is>
          <t>Föryngringsavverkning</t>
        </is>
      </c>
      <c r="D4212" s="1" t="n">
        <v>45693</v>
      </c>
      <c r="E4212" s="1" t="n">
        <v>46323</v>
      </c>
      <c r="F4212" t="inlineStr">
        <is>
          <t>KALMAR LÄN</t>
        </is>
      </c>
      <c r="G4212" t="inlineStr">
        <is>
          <t>HULTSFRED</t>
        </is>
      </c>
      <c r="I4212" t="n">
        <v>1.1</v>
      </c>
      <c r="J4212" t="n">
        <v>0</v>
      </c>
      <c r="K4212" t="n">
        <v>0</v>
      </c>
      <c r="L4212" t="n">
        <v>0</v>
      </c>
      <c r="M4212" t="n">
        <v>0</v>
      </c>
      <c r="N4212" t="n">
        <v>0</v>
      </c>
      <c r="O4212" t="n">
        <v>0</v>
      </c>
      <c r="P4212" t="n">
        <v>0</v>
      </c>
      <c r="Q4212" t="n">
        <v>0</v>
      </c>
      <c r="R4212" t="n">
        <v>0</v>
      </c>
      <c r="S4212" t="n">
        <v>0</v>
      </c>
      <c r="T4212" t="n">
        <v>0</v>
      </c>
      <c r="U4212" t="n">
        <v>0</v>
      </c>
      <c r="V4212" s="2" t="inlineStr"/>
    </row>
    <row r="4213" ht="15" customHeight="1">
      <c r="A4213" t="inlineStr">
        <is>
          <t>A 9974-2022</t>
        </is>
      </c>
      <c r="B4213" t="inlineStr">
        <is>
          <t>avverkningsanmälan</t>
        </is>
      </c>
      <c r="C4213" t="inlineStr">
        <is>
          <t>Föryngringsavverkning</t>
        </is>
      </c>
      <c r="D4213" s="1" t="n">
        <v>44621</v>
      </c>
      <c r="E4213" s="1" t="n">
        <v>46323</v>
      </c>
      <c r="F4213" t="inlineStr">
        <is>
          <t>KALMAR LÄN</t>
        </is>
      </c>
      <c r="G4213" t="inlineStr">
        <is>
          <t>MÖNSTERÅS</t>
        </is>
      </c>
      <c r="I4213" t="n">
        <v>2.7</v>
      </c>
      <c r="J4213" t="n">
        <v>0</v>
      </c>
      <c r="K4213" t="n">
        <v>0</v>
      </c>
      <c r="L4213" t="n">
        <v>0</v>
      </c>
      <c r="M4213" t="n">
        <v>0</v>
      </c>
      <c r="N4213" t="n">
        <v>0</v>
      </c>
      <c r="O4213" t="n">
        <v>0</v>
      </c>
      <c r="P4213" t="n">
        <v>0</v>
      </c>
      <c r="Q4213" t="n">
        <v>0</v>
      </c>
      <c r="R4213" t="n">
        <v>0</v>
      </c>
      <c r="S4213" t="n">
        <v>0</v>
      </c>
      <c r="T4213" t="n">
        <v>0</v>
      </c>
      <c r="U4213" t="n">
        <v>0</v>
      </c>
      <c r="V4213" s="2" t="inlineStr"/>
    </row>
    <row r="4214" ht="15" customHeight="1">
      <c r="A4214" t="inlineStr">
        <is>
          <t>A 23022-2025</t>
        </is>
      </c>
      <c r="B4214" t="inlineStr">
        <is>
          <t>avverkningsanmälan</t>
        </is>
      </c>
      <c r="C4214" t="inlineStr">
        <is>
          <t>Föryngringsavverkning</t>
        </is>
      </c>
      <c r="D4214" s="1" t="n">
        <v>45790</v>
      </c>
      <c r="E4214" s="1" t="n">
        <v>46323</v>
      </c>
      <c r="F4214" t="inlineStr">
        <is>
          <t>KALMAR LÄN</t>
        </is>
      </c>
      <c r="G4214" t="inlineStr">
        <is>
          <t>VÄSTERVIK</t>
        </is>
      </c>
      <c r="I4214" t="n">
        <v>3.3</v>
      </c>
      <c r="J4214" t="n">
        <v>0</v>
      </c>
      <c r="K4214" t="n">
        <v>0</v>
      </c>
      <c r="L4214" t="n">
        <v>0</v>
      </c>
      <c r="M4214" t="n">
        <v>0</v>
      </c>
      <c r="N4214" t="n">
        <v>0</v>
      </c>
      <c r="O4214" t="n">
        <v>0</v>
      </c>
      <c r="P4214" t="n">
        <v>0</v>
      </c>
      <c r="Q4214" t="n">
        <v>0</v>
      </c>
      <c r="R4214" t="n">
        <v>0</v>
      </c>
      <c r="S4214" t="n">
        <v>0</v>
      </c>
      <c r="T4214" t="n">
        <v>0</v>
      </c>
      <c r="U4214" t="n">
        <v>0</v>
      </c>
      <c r="V4214" s="2" t="inlineStr"/>
    </row>
    <row r="4215" ht="15" customHeight="1">
      <c r="A4215" t="inlineStr">
        <is>
          <t>A 54483-2022</t>
        </is>
      </c>
      <c r="B4215" t="inlineStr">
        <is>
          <t>avverkningsanmälan</t>
        </is>
      </c>
      <c r="C4215" t="inlineStr">
        <is>
          <t>Föryngringsavverkning</t>
        </is>
      </c>
      <c r="D4215" s="1" t="n">
        <v>44882</v>
      </c>
      <c r="E4215" s="1" t="n">
        <v>46323</v>
      </c>
      <c r="F4215" t="inlineStr">
        <is>
          <t>KALMAR LÄN</t>
        </is>
      </c>
      <c r="G4215" t="inlineStr">
        <is>
          <t>HÖGSBY</t>
        </is>
      </c>
      <c r="I4215" t="n">
        <v>1.4</v>
      </c>
      <c r="J4215" t="n">
        <v>0</v>
      </c>
      <c r="K4215" t="n">
        <v>0</v>
      </c>
      <c r="L4215" t="n">
        <v>0</v>
      </c>
      <c r="M4215" t="n">
        <v>0</v>
      </c>
      <c r="N4215" t="n">
        <v>0</v>
      </c>
      <c r="O4215" t="n">
        <v>0</v>
      </c>
      <c r="P4215" t="n">
        <v>0</v>
      </c>
      <c r="Q4215" t="n">
        <v>0</v>
      </c>
      <c r="R4215" t="n">
        <v>0</v>
      </c>
      <c r="S4215" t="n">
        <v>0</v>
      </c>
      <c r="T4215" t="n">
        <v>0</v>
      </c>
      <c r="U4215" t="n">
        <v>0</v>
      </c>
      <c r="V4215" s="2" t="inlineStr"/>
    </row>
    <row r="4216" ht="15" customHeight="1">
      <c r="A4216" t="inlineStr">
        <is>
          <t>A 14467-2024</t>
        </is>
      </c>
      <c r="B4216" t="inlineStr">
        <is>
          <t>avverkningsanmälan</t>
        </is>
      </c>
      <c r="C4216" t="inlineStr">
        <is>
          <t>Föryngringsavverkning</t>
        </is>
      </c>
      <c r="D4216" s="1" t="n">
        <v>45394</v>
      </c>
      <c r="E4216" s="1" t="n">
        <v>46323</v>
      </c>
      <c r="F4216" t="inlineStr">
        <is>
          <t>KALMAR LÄN</t>
        </is>
      </c>
      <c r="G4216" t="inlineStr">
        <is>
          <t>EMMABODA</t>
        </is>
      </c>
      <c r="I4216" t="n">
        <v>0.6</v>
      </c>
      <c r="J4216" t="n">
        <v>0</v>
      </c>
      <c r="K4216" t="n">
        <v>0</v>
      </c>
      <c r="L4216" t="n">
        <v>0</v>
      </c>
      <c r="M4216" t="n">
        <v>0</v>
      </c>
      <c r="N4216" t="n">
        <v>0</v>
      </c>
      <c r="O4216" t="n">
        <v>0</v>
      </c>
      <c r="P4216" t="n">
        <v>0</v>
      </c>
      <c r="Q4216" t="n">
        <v>0</v>
      </c>
      <c r="R4216" t="n">
        <v>0</v>
      </c>
      <c r="S4216" t="n">
        <v>0</v>
      </c>
      <c r="T4216" t="n">
        <v>0</v>
      </c>
      <c r="U4216" t="n">
        <v>0</v>
      </c>
      <c r="V4216" s="2" t="inlineStr"/>
    </row>
    <row r="4217" ht="15" customHeight="1">
      <c r="A4217" t="inlineStr">
        <is>
          <t>A 55866-2023</t>
        </is>
      </c>
      <c r="B4217" t="inlineStr">
        <is>
          <t>avverkningsanmälan</t>
        </is>
      </c>
      <c r="C4217" t="inlineStr">
        <is>
          <t>Avverkning för annat ändamål</t>
        </is>
      </c>
      <c r="D4217" s="1" t="n">
        <v>45239</v>
      </c>
      <c r="E4217" s="1" t="n">
        <v>46323</v>
      </c>
      <c r="F4217" t="inlineStr">
        <is>
          <t>KALMAR LÄN</t>
        </is>
      </c>
      <c r="G4217" t="inlineStr">
        <is>
          <t>VÄSTERVIK</t>
        </is>
      </c>
      <c r="I4217" t="n">
        <v>1.3</v>
      </c>
      <c r="J4217" t="n">
        <v>0</v>
      </c>
      <c r="K4217" t="n">
        <v>0</v>
      </c>
      <c r="L4217" t="n">
        <v>0</v>
      </c>
      <c r="M4217" t="n">
        <v>0</v>
      </c>
      <c r="N4217" t="n">
        <v>0</v>
      </c>
      <c r="O4217" t="n">
        <v>0</v>
      </c>
      <c r="P4217" t="n">
        <v>0</v>
      </c>
      <c r="Q4217" t="n">
        <v>0</v>
      </c>
      <c r="R4217" t="n">
        <v>0</v>
      </c>
      <c r="S4217" t="n">
        <v>0</v>
      </c>
      <c r="T4217" t="n">
        <v>0</v>
      </c>
      <c r="U4217" t="n">
        <v>0</v>
      </c>
      <c r="V4217" s="2" t="inlineStr"/>
    </row>
    <row r="4218" ht="15" customHeight="1">
      <c r="A4218" t="inlineStr">
        <is>
          <t>A 40929-2022</t>
        </is>
      </c>
      <c r="B4218" t="inlineStr">
        <is>
          <t>avverkningsanmälan</t>
        </is>
      </c>
      <c r="C4218" t="inlineStr">
        <is>
          <t>Föryngringsavverkning</t>
        </is>
      </c>
      <c r="D4218" s="1" t="n">
        <v>44825</v>
      </c>
      <c r="E4218" s="1" t="n">
        <v>46323</v>
      </c>
      <c r="F4218" t="inlineStr">
        <is>
          <t>KALMAR LÄN</t>
        </is>
      </c>
      <c r="G4218" t="inlineStr">
        <is>
          <t>VIMMERBY</t>
        </is>
      </c>
      <c r="I4218" t="n">
        <v>2.5</v>
      </c>
      <c r="J4218" t="n">
        <v>0</v>
      </c>
      <c r="K4218" t="n">
        <v>0</v>
      </c>
      <c r="L4218" t="n">
        <v>0</v>
      </c>
      <c r="M4218" t="n">
        <v>0</v>
      </c>
      <c r="N4218" t="n">
        <v>0</v>
      </c>
      <c r="O4218" t="n">
        <v>0</v>
      </c>
      <c r="P4218" t="n">
        <v>0</v>
      </c>
      <c r="Q4218" t="n">
        <v>0</v>
      </c>
      <c r="R4218" t="n">
        <v>0</v>
      </c>
      <c r="S4218" t="n">
        <v>0</v>
      </c>
      <c r="T4218" t="n">
        <v>0</v>
      </c>
      <c r="U4218" t="n">
        <v>0</v>
      </c>
      <c r="V4218" s="2" t="inlineStr"/>
    </row>
    <row r="4219" ht="15" customHeight="1">
      <c r="A4219" t="inlineStr">
        <is>
          <t>A 31507-2026</t>
        </is>
      </c>
      <c r="B4219" t="inlineStr">
        <is>
          <t>avverkningsanmälan</t>
        </is>
      </c>
      <c r="C4219" t="inlineStr">
        <is>
          <t>Föryngringsavverkning</t>
        </is>
      </c>
      <c r="D4219" s="1" t="n">
        <v>46223</v>
      </c>
      <c r="E4219" s="1" t="n">
        <v>46323</v>
      </c>
      <c r="F4219" t="inlineStr">
        <is>
          <t>KALMAR LÄN</t>
        </is>
      </c>
      <c r="G4219" t="inlineStr">
        <is>
          <t>KALMAR</t>
        </is>
      </c>
      <c r="I4219" t="n">
        <v>4.7</v>
      </c>
      <c r="J4219" t="n">
        <v>0</v>
      </c>
      <c r="K4219" t="n">
        <v>0</v>
      </c>
      <c r="L4219" t="n">
        <v>0</v>
      </c>
      <c r="M4219" t="n">
        <v>0</v>
      </c>
      <c r="N4219" t="n">
        <v>0</v>
      </c>
      <c r="O4219" t="n">
        <v>0</v>
      </c>
      <c r="P4219" t="n">
        <v>0</v>
      </c>
      <c r="Q4219" t="n">
        <v>0</v>
      </c>
      <c r="R4219" t="n">
        <v>0</v>
      </c>
      <c r="S4219" t="n">
        <v>0</v>
      </c>
      <c r="T4219" t="n">
        <v>0</v>
      </c>
      <c r="U4219" t="n">
        <v>0</v>
      </c>
      <c r="V4219" s="2" t="inlineStr"/>
    </row>
    <row r="4220" ht="15" customHeight="1">
      <c r="A4220" t="inlineStr">
        <is>
          <t>A 37376-2023</t>
        </is>
      </c>
      <c r="B4220" t="inlineStr">
        <is>
          <t>avverkningsanmälan</t>
        </is>
      </c>
      <c r="C4220" t="inlineStr">
        <is>
          <t>Föryngringsavverkning</t>
        </is>
      </c>
      <c r="D4220" s="1" t="n">
        <v>45155</v>
      </c>
      <c r="E4220" s="1" t="n">
        <v>46323</v>
      </c>
      <c r="F4220" t="inlineStr">
        <is>
          <t>KALMAR LÄN</t>
        </is>
      </c>
      <c r="G4220" t="inlineStr">
        <is>
          <t>MÖNSTERÅS</t>
        </is>
      </c>
      <c r="I4220" t="n">
        <v>0.9</v>
      </c>
      <c r="J4220" t="n">
        <v>0</v>
      </c>
      <c r="K4220" t="n">
        <v>0</v>
      </c>
      <c r="L4220" t="n">
        <v>0</v>
      </c>
      <c r="M4220" t="n">
        <v>0</v>
      </c>
      <c r="N4220" t="n">
        <v>0</v>
      </c>
      <c r="O4220" t="n">
        <v>0</v>
      </c>
      <c r="P4220" t="n">
        <v>0</v>
      </c>
      <c r="Q4220" t="n">
        <v>0</v>
      </c>
      <c r="R4220" t="n">
        <v>0</v>
      </c>
      <c r="S4220" t="n">
        <v>0</v>
      </c>
      <c r="T4220" t="n">
        <v>0</v>
      </c>
      <c r="U4220" t="n">
        <v>0</v>
      </c>
      <c r="V4220" s="2" t="inlineStr"/>
    </row>
    <row r="4221" ht="15" customHeight="1">
      <c r="A4221" t="inlineStr">
        <is>
          <t>A 54450-2023</t>
        </is>
      </c>
      <c r="B4221" t="inlineStr">
        <is>
          <t>avverkningsanmälan</t>
        </is>
      </c>
      <c r="C4221" t="inlineStr">
        <is>
          <t>Föryngringsavverkning</t>
        </is>
      </c>
      <c r="D4221" s="1" t="n">
        <v>45233</v>
      </c>
      <c r="E4221" s="1" t="n">
        <v>46323</v>
      </c>
      <c r="F4221" t="inlineStr">
        <is>
          <t>KALMAR LÄN</t>
        </is>
      </c>
      <c r="G4221" t="inlineStr">
        <is>
          <t>KALMAR</t>
        </is>
      </c>
      <c r="I4221" t="n">
        <v>2</v>
      </c>
      <c r="J4221" t="n">
        <v>0</v>
      </c>
      <c r="K4221" t="n">
        <v>0</v>
      </c>
      <c r="L4221" t="n">
        <v>0</v>
      </c>
      <c r="M4221" t="n">
        <v>0</v>
      </c>
      <c r="N4221" t="n">
        <v>0</v>
      </c>
      <c r="O4221" t="n">
        <v>0</v>
      </c>
      <c r="P4221" t="n">
        <v>0</v>
      </c>
      <c r="Q4221" t="n">
        <v>0</v>
      </c>
      <c r="R4221" t="n">
        <v>0</v>
      </c>
      <c r="S4221" t="n">
        <v>0</v>
      </c>
      <c r="T4221" t="n">
        <v>0</v>
      </c>
      <c r="U4221" t="n">
        <v>0</v>
      </c>
      <c r="V4221" s="2" t="inlineStr"/>
    </row>
    <row r="4222" ht="15" customHeight="1">
      <c r="A4222" t="inlineStr">
        <is>
          <t>A 54468-2023</t>
        </is>
      </c>
      <c r="B4222" t="inlineStr">
        <is>
          <t>avverkningsanmälan</t>
        </is>
      </c>
      <c r="C4222" t="inlineStr">
        <is>
          <t>Föryngringsavverkning</t>
        </is>
      </c>
      <c r="D4222" s="1" t="n">
        <v>45233</v>
      </c>
      <c r="E4222" s="1" t="n">
        <v>46323</v>
      </c>
      <c r="F4222" t="inlineStr">
        <is>
          <t>KALMAR LÄN</t>
        </is>
      </c>
      <c r="G4222" t="inlineStr">
        <is>
          <t>KALMAR</t>
        </is>
      </c>
      <c r="I4222" t="n">
        <v>2.2</v>
      </c>
      <c r="J4222" t="n">
        <v>0</v>
      </c>
      <c r="K4222" t="n">
        <v>0</v>
      </c>
      <c r="L4222" t="n">
        <v>0</v>
      </c>
      <c r="M4222" t="n">
        <v>0</v>
      </c>
      <c r="N4222" t="n">
        <v>0</v>
      </c>
      <c r="O4222" t="n">
        <v>0</v>
      </c>
      <c r="P4222" t="n">
        <v>0</v>
      </c>
      <c r="Q4222" t="n">
        <v>0</v>
      </c>
      <c r="R4222" t="n">
        <v>0</v>
      </c>
      <c r="S4222" t="n">
        <v>0</v>
      </c>
      <c r="T4222" t="n">
        <v>0</v>
      </c>
      <c r="U4222" t="n">
        <v>0</v>
      </c>
      <c r="V4222" s="2" t="inlineStr"/>
    </row>
    <row r="4223" ht="15" customHeight="1">
      <c r="A4223" t="inlineStr">
        <is>
          <t>A 6272-2026</t>
        </is>
      </c>
      <c r="B4223" t="inlineStr">
        <is>
          <t>avverkningsanmälan</t>
        </is>
      </c>
      <c r="C4223" t="inlineStr">
        <is>
          <t>Föryngringsavverkning</t>
        </is>
      </c>
      <c r="D4223" s="1" t="n">
        <v>46055</v>
      </c>
      <c r="E4223" s="1" t="n">
        <v>46323</v>
      </c>
      <c r="F4223" t="inlineStr">
        <is>
          <t>KALMAR LÄN</t>
        </is>
      </c>
      <c r="G4223" t="inlineStr">
        <is>
          <t>EMMABODA</t>
        </is>
      </c>
      <c r="I4223" t="n">
        <v>1</v>
      </c>
      <c r="J4223" t="n">
        <v>0</v>
      </c>
      <c r="K4223" t="n">
        <v>0</v>
      </c>
      <c r="L4223" t="n">
        <v>0</v>
      </c>
      <c r="M4223" t="n">
        <v>0</v>
      </c>
      <c r="N4223" t="n">
        <v>0</v>
      </c>
      <c r="O4223" t="n">
        <v>0</v>
      </c>
      <c r="P4223" t="n">
        <v>0</v>
      </c>
      <c r="Q4223" t="n">
        <v>0</v>
      </c>
      <c r="R4223" t="n">
        <v>0</v>
      </c>
      <c r="S4223" t="n">
        <v>0</v>
      </c>
      <c r="T4223" t="n">
        <v>0</v>
      </c>
      <c r="U4223" t="n">
        <v>0</v>
      </c>
      <c r="V4223" s="2" t="inlineStr"/>
    </row>
    <row r="4224" ht="15" customHeight="1">
      <c r="A4224" t="inlineStr">
        <is>
          <t>A 35770-2023</t>
        </is>
      </c>
      <c r="B4224" t="inlineStr">
        <is>
          <t>avverkningsanmälan</t>
        </is>
      </c>
      <c r="C4224" t="inlineStr">
        <is>
          <t>Föryngringsavverkning</t>
        </is>
      </c>
      <c r="D4224" s="1" t="n">
        <v>45147</v>
      </c>
      <c r="E4224" s="1" t="n">
        <v>46323</v>
      </c>
      <c r="F4224" t="inlineStr">
        <is>
          <t>KALMAR LÄN</t>
        </is>
      </c>
      <c r="G4224" t="inlineStr">
        <is>
          <t>VÄSTERVIK</t>
        </is>
      </c>
      <c r="H4224" t="inlineStr">
        <is>
          <t>Holmen skog AB</t>
        </is>
      </c>
      <c r="I4224" t="n">
        <v>2</v>
      </c>
      <c r="J4224" t="n">
        <v>0</v>
      </c>
      <c r="K4224" t="n">
        <v>0</v>
      </c>
      <c r="L4224" t="n">
        <v>0</v>
      </c>
      <c r="M4224" t="n">
        <v>0</v>
      </c>
      <c r="N4224" t="n">
        <v>0</v>
      </c>
      <c r="O4224" t="n">
        <v>0</v>
      </c>
      <c r="P4224" t="n">
        <v>0</v>
      </c>
      <c r="Q4224" t="n">
        <v>0</v>
      </c>
      <c r="R4224" t="n">
        <v>0</v>
      </c>
      <c r="S4224" t="n">
        <v>0</v>
      </c>
      <c r="T4224" t="n">
        <v>0</v>
      </c>
      <c r="U4224" t="n">
        <v>0</v>
      </c>
      <c r="V4224" s="2" t="inlineStr"/>
    </row>
    <row r="4225" ht="15" customHeight="1">
      <c r="A4225" t="inlineStr">
        <is>
          <t>A 57809-2023</t>
        </is>
      </c>
      <c r="B4225" t="inlineStr">
        <is>
          <t>avverkningsanmälan</t>
        </is>
      </c>
      <c r="C4225" t="inlineStr">
        <is>
          <t>Föryngringsavverkning</t>
        </is>
      </c>
      <c r="D4225" s="1" t="n">
        <v>45244</v>
      </c>
      <c r="E4225" s="1" t="n">
        <v>46323</v>
      </c>
      <c r="F4225" t="inlineStr">
        <is>
          <t>KALMAR LÄN</t>
        </is>
      </c>
      <c r="G4225" t="inlineStr">
        <is>
          <t>NYBRO</t>
        </is>
      </c>
      <c r="I4225" t="n">
        <v>1.2</v>
      </c>
      <c r="J4225" t="n">
        <v>0</v>
      </c>
      <c r="K4225" t="n">
        <v>0</v>
      </c>
      <c r="L4225" t="n">
        <v>0</v>
      </c>
      <c r="M4225" t="n">
        <v>0</v>
      </c>
      <c r="N4225" t="n">
        <v>0</v>
      </c>
      <c r="O4225" t="n">
        <v>0</v>
      </c>
      <c r="P4225" t="n">
        <v>0</v>
      </c>
      <c r="Q4225" t="n">
        <v>0</v>
      </c>
      <c r="R4225" t="n">
        <v>0</v>
      </c>
      <c r="S4225" t="n">
        <v>0</v>
      </c>
      <c r="T4225" t="n">
        <v>0</v>
      </c>
      <c r="U4225" t="n">
        <v>0</v>
      </c>
      <c r="V4225" s="2" t="inlineStr"/>
    </row>
    <row r="4226" ht="15" customHeight="1">
      <c r="A4226" t="inlineStr">
        <is>
          <t>A 58045-2023</t>
        </is>
      </c>
      <c r="B4226" t="inlineStr">
        <is>
          <t>avverkningsanmälan</t>
        </is>
      </c>
      <c r="C4226" t="inlineStr">
        <is>
          <t>Föryngringsavverkning</t>
        </is>
      </c>
      <c r="D4226" s="1" t="n">
        <v>45247</v>
      </c>
      <c r="E4226" s="1" t="n">
        <v>46323</v>
      </c>
      <c r="F4226" t="inlineStr">
        <is>
          <t>KALMAR LÄN</t>
        </is>
      </c>
      <c r="G4226" t="inlineStr">
        <is>
          <t>HÖGSBY</t>
        </is>
      </c>
      <c r="I4226" t="n">
        <v>0.7</v>
      </c>
      <c r="J4226" t="n">
        <v>0</v>
      </c>
      <c r="K4226" t="n">
        <v>0</v>
      </c>
      <c r="L4226" t="n">
        <v>0</v>
      </c>
      <c r="M4226" t="n">
        <v>0</v>
      </c>
      <c r="N4226" t="n">
        <v>0</v>
      </c>
      <c r="O4226" t="n">
        <v>0</v>
      </c>
      <c r="P4226" t="n">
        <v>0</v>
      </c>
      <c r="Q4226" t="n">
        <v>0</v>
      </c>
      <c r="R4226" t="n">
        <v>0</v>
      </c>
      <c r="S4226" t="n">
        <v>0</v>
      </c>
      <c r="T4226" t="n">
        <v>0</v>
      </c>
      <c r="U4226" t="n">
        <v>0</v>
      </c>
      <c r="V4226" s="2" t="inlineStr"/>
    </row>
    <row r="4227" ht="15" customHeight="1">
      <c r="A4227" t="inlineStr">
        <is>
          <t>A 58804-2023</t>
        </is>
      </c>
      <c r="B4227" t="inlineStr">
        <is>
          <t>avverkningsanmälan</t>
        </is>
      </c>
      <c r="C4227" t="inlineStr">
        <is>
          <t>Föryngringsavverkning</t>
        </is>
      </c>
      <c r="D4227" s="1" t="n">
        <v>45252</v>
      </c>
      <c r="E4227" s="1" t="n">
        <v>46323</v>
      </c>
      <c r="F4227" t="inlineStr">
        <is>
          <t>KALMAR LÄN</t>
        </is>
      </c>
      <c r="G4227" t="inlineStr">
        <is>
          <t>TORSÅS</t>
        </is>
      </c>
      <c r="I4227" t="n">
        <v>0.5</v>
      </c>
      <c r="J4227" t="n">
        <v>0</v>
      </c>
      <c r="K4227" t="n">
        <v>0</v>
      </c>
      <c r="L4227" t="n">
        <v>0</v>
      </c>
      <c r="M4227" t="n">
        <v>0</v>
      </c>
      <c r="N4227" t="n">
        <v>0</v>
      </c>
      <c r="O4227" t="n">
        <v>0</v>
      </c>
      <c r="P4227" t="n">
        <v>0</v>
      </c>
      <c r="Q4227" t="n">
        <v>0</v>
      </c>
      <c r="R4227" t="n">
        <v>0</v>
      </c>
      <c r="S4227" t="n">
        <v>0</v>
      </c>
      <c r="T4227" t="n">
        <v>0</v>
      </c>
      <c r="U4227" t="n">
        <v>0</v>
      </c>
      <c r="V4227" s="2" t="inlineStr"/>
    </row>
    <row r="4228" ht="15" customHeight="1">
      <c r="A4228" t="inlineStr">
        <is>
          <t>A 62995-2025</t>
        </is>
      </c>
      <c r="B4228" t="inlineStr">
        <is>
          <t>avverkningsanmälan</t>
        </is>
      </c>
      <c r="C4228" t="inlineStr">
        <is>
          <t>Avverkning för annat ändamål</t>
        </is>
      </c>
      <c r="D4228" s="1" t="n">
        <v>46009</v>
      </c>
      <c r="E4228" s="1" t="n">
        <v>46323</v>
      </c>
      <c r="F4228" t="inlineStr">
        <is>
          <t>KALMAR LÄN</t>
        </is>
      </c>
      <c r="G4228" t="inlineStr">
        <is>
          <t>OSKARSHAMN</t>
        </is>
      </c>
      <c r="I4228" t="n">
        <v>1</v>
      </c>
      <c r="J4228" t="n">
        <v>0</v>
      </c>
      <c r="K4228" t="n">
        <v>0</v>
      </c>
      <c r="L4228" t="n">
        <v>0</v>
      </c>
      <c r="M4228" t="n">
        <v>0</v>
      </c>
      <c r="N4228" t="n">
        <v>0</v>
      </c>
      <c r="O4228" t="n">
        <v>0</v>
      </c>
      <c r="P4228" t="n">
        <v>0</v>
      </c>
      <c r="Q4228" t="n">
        <v>0</v>
      </c>
      <c r="R4228" t="n">
        <v>0</v>
      </c>
      <c r="S4228" t="n">
        <v>0</v>
      </c>
      <c r="T4228" t="n">
        <v>0</v>
      </c>
      <c r="U4228" t="n">
        <v>0</v>
      </c>
      <c r="V4228" s="2" t="inlineStr"/>
    </row>
    <row r="4229" ht="15" customHeight="1">
      <c r="A4229" t="inlineStr">
        <is>
          <t>A 39670-2022</t>
        </is>
      </c>
      <c r="B4229" t="inlineStr">
        <is>
          <t>avverkningsanmälan</t>
        </is>
      </c>
      <c r="C4229" t="inlineStr">
        <is>
          <t>Föryngringsavverkning</t>
        </is>
      </c>
      <c r="D4229" s="1" t="n">
        <v>44818</v>
      </c>
      <c r="E4229" s="1" t="n">
        <v>46323</v>
      </c>
      <c r="F4229" t="inlineStr">
        <is>
          <t>KALMAR LÄN</t>
        </is>
      </c>
      <c r="G4229" t="inlineStr">
        <is>
          <t>OSKARSHAMN</t>
        </is>
      </c>
      <c r="I4229" t="n">
        <v>4.1</v>
      </c>
      <c r="J4229" t="n">
        <v>0</v>
      </c>
      <c r="K4229" t="n">
        <v>0</v>
      </c>
      <c r="L4229" t="n">
        <v>0</v>
      </c>
      <c r="M4229" t="n">
        <v>0</v>
      </c>
      <c r="N4229" t="n">
        <v>0</v>
      </c>
      <c r="O4229" t="n">
        <v>0</v>
      </c>
      <c r="P4229" t="n">
        <v>0</v>
      </c>
      <c r="Q4229" t="n">
        <v>0</v>
      </c>
      <c r="R4229" t="n">
        <v>0</v>
      </c>
      <c r="S4229" t="n">
        <v>0</v>
      </c>
      <c r="T4229" t="n">
        <v>0</v>
      </c>
      <c r="U4229" t="n">
        <v>0</v>
      </c>
      <c r="V4229" s="2" t="inlineStr"/>
    </row>
    <row r="4230" ht="15" customHeight="1">
      <c r="A4230" t="inlineStr">
        <is>
          <t>A 6315-2026</t>
        </is>
      </c>
      <c r="B4230" t="inlineStr">
        <is>
          <t>avverkningsanmälan</t>
        </is>
      </c>
      <c r="C4230" t="inlineStr">
        <is>
          <t>Föryngringsavverkning</t>
        </is>
      </c>
      <c r="D4230" s="1" t="n">
        <v>46055</v>
      </c>
      <c r="E4230" s="1" t="n">
        <v>46323</v>
      </c>
      <c r="F4230" t="inlineStr">
        <is>
          <t>KALMAR LÄN</t>
        </is>
      </c>
      <c r="G4230" t="inlineStr">
        <is>
          <t>VÄSTERVIK</t>
        </is>
      </c>
      <c r="I4230" t="n">
        <v>2.6</v>
      </c>
      <c r="J4230" t="n">
        <v>0</v>
      </c>
      <c r="K4230" t="n">
        <v>0</v>
      </c>
      <c r="L4230" t="n">
        <v>0</v>
      </c>
      <c r="M4230" t="n">
        <v>0</v>
      </c>
      <c r="N4230" t="n">
        <v>0</v>
      </c>
      <c r="O4230" t="n">
        <v>0</v>
      </c>
      <c r="P4230" t="n">
        <v>0</v>
      </c>
      <c r="Q4230" t="n">
        <v>0</v>
      </c>
      <c r="R4230" t="n">
        <v>0</v>
      </c>
      <c r="S4230" t="n">
        <v>0</v>
      </c>
      <c r="T4230" t="n">
        <v>0</v>
      </c>
      <c r="U4230" t="n">
        <v>0</v>
      </c>
      <c r="V4230" s="2" t="inlineStr"/>
    </row>
    <row r="4231" ht="15" customHeight="1">
      <c r="A4231" t="inlineStr">
        <is>
          <t>A 56701-2025</t>
        </is>
      </c>
      <c r="B4231" t="inlineStr">
        <is>
          <t>avverkningsanmälan</t>
        </is>
      </c>
      <c r="C4231" t="inlineStr">
        <is>
          <t>Föryngringsavverkning</t>
        </is>
      </c>
      <c r="D4231" s="1" t="n">
        <v>45977</v>
      </c>
      <c r="E4231" s="1" t="n">
        <v>46323</v>
      </c>
      <c r="F4231" t="inlineStr">
        <is>
          <t>KALMAR LÄN</t>
        </is>
      </c>
      <c r="G4231" t="inlineStr">
        <is>
          <t>TORSÅS</t>
        </is>
      </c>
      <c r="I4231" t="n">
        <v>1.3</v>
      </c>
      <c r="J4231" t="n">
        <v>0</v>
      </c>
      <c r="K4231" t="n">
        <v>0</v>
      </c>
      <c r="L4231" t="n">
        <v>0</v>
      </c>
      <c r="M4231" t="n">
        <v>0</v>
      </c>
      <c r="N4231" t="n">
        <v>0</v>
      </c>
      <c r="O4231" t="n">
        <v>0</v>
      </c>
      <c r="P4231" t="n">
        <v>0</v>
      </c>
      <c r="Q4231" t="n">
        <v>0</v>
      </c>
      <c r="R4231" t="n">
        <v>0</v>
      </c>
      <c r="S4231" t="n">
        <v>0</v>
      </c>
      <c r="T4231" t="n">
        <v>0</v>
      </c>
      <c r="U4231" t="n">
        <v>0</v>
      </c>
      <c r="V4231" s="2" t="inlineStr"/>
    </row>
    <row r="4232" ht="15" customHeight="1">
      <c r="A4232" t="inlineStr">
        <is>
          <t>A 6142-2026</t>
        </is>
      </c>
      <c r="B4232" t="inlineStr">
        <is>
          <t>avverkningsanmälan</t>
        </is>
      </c>
      <c r="C4232" t="inlineStr">
        <is>
          <t>Föryngringsavverkning</t>
        </is>
      </c>
      <c r="D4232" s="1" t="n">
        <v>46054</v>
      </c>
      <c r="E4232" s="1" t="n">
        <v>46323</v>
      </c>
      <c r="F4232" t="inlineStr">
        <is>
          <t>KALMAR LÄN</t>
        </is>
      </c>
      <c r="G4232" t="inlineStr">
        <is>
          <t>KALMAR</t>
        </is>
      </c>
      <c r="I4232" t="n">
        <v>0.4</v>
      </c>
      <c r="J4232" t="n">
        <v>0</v>
      </c>
      <c r="K4232" t="n">
        <v>0</v>
      </c>
      <c r="L4232" t="n">
        <v>0</v>
      </c>
      <c r="M4232" t="n">
        <v>0</v>
      </c>
      <c r="N4232" t="n">
        <v>0</v>
      </c>
      <c r="O4232" t="n">
        <v>0</v>
      </c>
      <c r="P4232" t="n">
        <v>0</v>
      </c>
      <c r="Q4232" t="n">
        <v>0</v>
      </c>
      <c r="R4232" t="n">
        <v>0</v>
      </c>
      <c r="S4232" t="n">
        <v>0</v>
      </c>
      <c r="T4232" t="n">
        <v>0</v>
      </c>
      <c r="U4232" t="n">
        <v>0</v>
      </c>
      <c r="V4232" s="2" t="inlineStr"/>
    </row>
    <row r="4233" ht="15" customHeight="1">
      <c r="A4233" t="inlineStr">
        <is>
          <t>A 6144-2026</t>
        </is>
      </c>
      <c r="B4233" t="inlineStr">
        <is>
          <t>avverkningsanmälan</t>
        </is>
      </c>
      <c r="C4233" t="inlineStr">
        <is>
          <t>Föryngringsavverkning</t>
        </is>
      </c>
      <c r="D4233" s="1" t="n">
        <v>46054</v>
      </c>
      <c r="E4233" s="1" t="n">
        <v>46323</v>
      </c>
      <c r="F4233" t="inlineStr">
        <is>
          <t>KALMAR LÄN</t>
        </is>
      </c>
      <c r="G4233" t="inlineStr">
        <is>
          <t>KALMAR</t>
        </is>
      </c>
      <c r="I4233" t="n">
        <v>0.6</v>
      </c>
      <c r="J4233" t="n">
        <v>0</v>
      </c>
      <c r="K4233" t="n">
        <v>0</v>
      </c>
      <c r="L4233" t="n">
        <v>0</v>
      </c>
      <c r="M4233" t="n">
        <v>0</v>
      </c>
      <c r="N4233" t="n">
        <v>0</v>
      </c>
      <c r="O4233" t="n">
        <v>0</v>
      </c>
      <c r="P4233" t="n">
        <v>0</v>
      </c>
      <c r="Q4233" t="n">
        <v>0</v>
      </c>
      <c r="R4233" t="n">
        <v>0</v>
      </c>
      <c r="S4233" t="n">
        <v>0</v>
      </c>
      <c r="T4233" t="n">
        <v>0</v>
      </c>
      <c r="U4233" t="n">
        <v>0</v>
      </c>
      <c r="V4233" s="2" t="inlineStr"/>
    </row>
    <row r="4234" ht="15" customHeight="1">
      <c r="A4234" t="inlineStr">
        <is>
          <t>A 33380-2023</t>
        </is>
      </c>
      <c r="B4234" t="inlineStr">
        <is>
          <t>avverkningsanmälan</t>
        </is>
      </c>
      <c r="C4234" t="inlineStr">
        <is>
          <t>Föryngringsavverkning</t>
        </is>
      </c>
      <c r="D4234" s="1" t="n">
        <v>45128</v>
      </c>
      <c r="E4234" s="1" t="n">
        <v>46323</v>
      </c>
      <c r="F4234" t="inlineStr">
        <is>
          <t>KALMAR LÄN</t>
        </is>
      </c>
      <c r="G4234" t="inlineStr">
        <is>
          <t>VIMMERBY</t>
        </is>
      </c>
      <c r="I4234" t="n">
        <v>5.2</v>
      </c>
      <c r="J4234" t="n">
        <v>0</v>
      </c>
      <c r="K4234" t="n">
        <v>0</v>
      </c>
      <c r="L4234" t="n">
        <v>0</v>
      </c>
      <c r="M4234" t="n">
        <v>0</v>
      </c>
      <c r="N4234" t="n">
        <v>0</v>
      </c>
      <c r="O4234" t="n">
        <v>0</v>
      </c>
      <c r="P4234" t="n">
        <v>0</v>
      </c>
      <c r="Q4234" t="n">
        <v>0</v>
      </c>
      <c r="R4234" t="n">
        <v>0</v>
      </c>
      <c r="S4234" t="n">
        <v>0</v>
      </c>
      <c r="T4234" t="n">
        <v>0</v>
      </c>
      <c r="U4234" t="n">
        <v>0</v>
      </c>
      <c r="V4234" s="2" t="inlineStr"/>
    </row>
    <row r="4235" ht="15" customHeight="1">
      <c r="A4235" t="inlineStr">
        <is>
          <t>A 14371-2025</t>
        </is>
      </c>
      <c r="B4235" t="inlineStr">
        <is>
          <t>avverkningsanmälan</t>
        </is>
      </c>
      <c r="C4235" t="inlineStr">
        <is>
          <t>Föryngringsavverkning</t>
        </is>
      </c>
      <c r="D4235" s="1" t="n">
        <v>45741</v>
      </c>
      <c r="E4235" s="1" t="n">
        <v>46323</v>
      </c>
      <c r="F4235" t="inlineStr">
        <is>
          <t>KALMAR LÄN</t>
        </is>
      </c>
      <c r="G4235" t="inlineStr">
        <is>
          <t>NYBRO</t>
        </is>
      </c>
      <c r="I4235" t="n">
        <v>4.4</v>
      </c>
      <c r="J4235" t="n">
        <v>0</v>
      </c>
      <c r="K4235" t="n">
        <v>0</v>
      </c>
      <c r="L4235" t="n">
        <v>0</v>
      </c>
      <c r="M4235" t="n">
        <v>0</v>
      </c>
      <c r="N4235" t="n">
        <v>0</v>
      </c>
      <c r="O4235" t="n">
        <v>0</v>
      </c>
      <c r="P4235" t="n">
        <v>0</v>
      </c>
      <c r="Q4235" t="n">
        <v>0</v>
      </c>
      <c r="R4235" t="n">
        <v>0</v>
      </c>
      <c r="S4235" t="n">
        <v>0</v>
      </c>
      <c r="T4235" t="n">
        <v>0</v>
      </c>
      <c r="U4235" t="n">
        <v>0</v>
      </c>
      <c r="V4235" s="2" t="inlineStr"/>
    </row>
    <row r="4236" ht="15" customHeight="1">
      <c r="A4236" t="inlineStr">
        <is>
          <t>A 46144-2023</t>
        </is>
      </c>
      <c r="B4236" t="inlineStr">
        <is>
          <t>avverkningsanmälan</t>
        </is>
      </c>
      <c r="C4236" t="inlineStr">
        <is>
          <t>Föryngringsavverkning</t>
        </is>
      </c>
      <c r="D4236" s="1" t="n">
        <v>45196</v>
      </c>
      <c r="E4236" s="1" t="n">
        <v>46323</v>
      </c>
      <c r="F4236" t="inlineStr">
        <is>
          <t>KALMAR LÄN</t>
        </is>
      </c>
      <c r="G4236" t="inlineStr">
        <is>
          <t>VIMMERBY</t>
        </is>
      </c>
      <c r="I4236" t="n">
        <v>6.5</v>
      </c>
      <c r="J4236" t="n">
        <v>0</v>
      </c>
      <c r="K4236" t="n">
        <v>0</v>
      </c>
      <c r="L4236" t="n">
        <v>0</v>
      </c>
      <c r="M4236" t="n">
        <v>0</v>
      </c>
      <c r="N4236" t="n">
        <v>0</v>
      </c>
      <c r="O4236" t="n">
        <v>0</v>
      </c>
      <c r="P4236" t="n">
        <v>0</v>
      </c>
      <c r="Q4236" t="n">
        <v>0</v>
      </c>
      <c r="R4236" t="n">
        <v>0</v>
      </c>
      <c r="S4236" t="n">
        <v>0</v>
      </c>
      <c r="T4236" t="n">
        <v>0</v>
      </c>
      <c r="U4236" t="n">
        <v>0</v>
      </c>
      <c r="V4236" s="2" t="inlineStr"/>
    </row>
    <row r="4237" ht="15" customHeight="1">
      <c r="A4237" t="inlineStr">
        <is>
          <t>A 15780-2025</t>
        </is>
      </c>
      <c r="B4237" t="inlineStr">
        <is>
          <t>avverkningsanmälan</t>
        </is>
      </c>
      <c r="C4237" t="inlineStr">
        <is>
          <t>Föryngringsavverkning</t>
        </is>
      </c>
      <c r="D4237" s="1" t="n">
        <v>45748</v>
      </c>
      <c r="E4237" s="1" t="n">
        <v>46323</v>
      </c>
      <c r="F4237" t="inlineStr">
        <is>
          <t>KALMAR LÄN</t>
        </is>
      </c>
      <c r="G4237" t="inlineStr">
        <is>
          <t>HULTSFRED</t>
        </is>
      </c>
      <c r="I4237" t="n">
        <v>0.6</v>
      </c>
      <c r="J4237" t="n">
        <v>0</v>
      </c>
      <c r="K4237" t="n">
        <v>0</v>
      </c>
      <c r="L4237" t="n">
        <v>0</v>
      </c>
      <c r="M4237" t="n">
        <v>0</v>
      </c>
      <c r="N4237" t="n">
        <v>0</v>
      </c>
      <c r="O4237" t="n">
        <v>0</v>
      </c>
      <c r="P4237" t="n">
        <v>0</v>
      </c>
      <c r="Q4237" t="n">
        <v>0</v>
      </c>
      <c r="R4237" t="n">
        <v>0</v>
      </c>
      <c r="S4237" t="n">
        <v>0</v>
      </c>
      <c r="T4237" t="n">
        <v>0</v>
      </c>
      <c r="U4237" t="n">
        <v>0</v>
      </c>
      <c r="V4237" s="2" t="inlineStr"/>
    </row>
    <row r="4238" ht="15" customHeight="1">
      <c r="A4238" t="inlineStr">
        <is>
          <t>A 36643-2023</t>
        </is>
      </c>
      <c r="B4238" t="inlineStr">
        <is>
          <t>avverkningsanmälan</t>
        </is>
      </c>
      <c r="C4238" t="inlineStr">
        <is>
          <t>Föryngringsavverkning</t>
        </is>
      </c>
      <c r="D4238" s="1" t="n">
        <v>45153</v>
      </c>
      <c r="E4238" s="1" t="n">
        <v>46323</v>
      </c>
      <c r="F4238" t="inlineStr">
        <is>
          <t>KALMAR LÄN</t>
        </is>
      </c>
      <c r="G4238" t="inlineStr">
        <is>
          <t>VÄSTERVIK</t>
        </is>
      </c>
      <c r="I4238" t="n">
        <v>0.8</v>
      </c>
      <c r="J4238" t="n">
        <v>0</v>
      </c>
      <c r="K4238" t="n">
        <v>0</v>
      </c>
      <c r="L4238" t="n">
        <v>0</v>
      </c>
      <c r="M4238" t="n">
        <v>0</v>
      </c>
      <c r="N4238" t="n">
        <v>0</v>
      </c>
      <c r="O4238" t="n">
        <v>0</v>
      </c>
      <c r="P4238" t="n">
        <v>0</v>
      </c>
      <c r="Q4238" t="n">
        <v>0</v>
      </c>
      <c r="R4238" t="n">
        <v>0</v>
      </c>
      <c r="S4238" t="n">
        <v>0</v>
      </c>
      <c r="T4238" t="n">
        <v>0</v>
      </c>
      <c r="U4238" t="n">
        <v>0</v>
      </c>
      <c r="V4238" s="2" t="inlineStr"/>
    </row>
    <row r="4239" ht="15" customHeight="1">
      <c r="A4239" t="inlineStr">
        <is>
          <t>A 46778-2023</t>
        </is>
      </c>
      <c r="B4239" t="inlineStr">
        <is>
          <t>avverkningsanmälan</t>
        </is>
      </c>
      <c r="C4239" t="inlineStr">
        <is>
          <t>Föryngringsavverkning</t>
        </is>
      </c>
      <c r="D4239" s="1" t="n">
        <v>45198</v>
      </c>
      <c r="E4239" s="1" t="n">
        <v>46323</v>
      </c>
      <c r="F4239" t="inlineStr">
        <is>
          <t>KALMAR LÄN</t>
        </is>
      </c>
      <c r="G4239" t="inlineStr">
        <is>
          <t>KALMAR</t>
        </is>
      </c>
      <c r="I4239" t="n">
        <v>1</v>
      </c>
      <c r="J4239" t="n">
        <v>0</v>
      </c>
      <c r="K4239" t="n">
        <v>0</v>
      </c>
      <c r="L4239" t="n">
        <v>0</v>
      </c>
      <c r="M4239" t="n">
        <v>0</v>
      </c>
      <c r="N4239" t="n">
        <v>0</v>
      </c>
      <c r="O4239" t="n">
        <v>0</v>
      </c>
      <c r="P4239" t="n">
        <v>0</v>
      </c>
      <c r="Q4239" t="n">
        <v>0</v>
      </c>
      <c r="R4239" t="n">
        <v>0</v>
      </c>
      <c r="S4239" t="n">
        <v>0</v>
      </c>
      <c r="T4239" t="n">
        <v>0</v>
      </c>
      <c r="U4239" t="n">
        <v>0</v>
      </c>
      <c r="V4239" s="2" t="inlineStr"/>
    </row>
    <row r="4240" ht="15" customHeight="1">
      <c r="A4240" t="inlineStr">
        <is>
          <t>A 17226-2025</t>
        </is>
      </c>
      <c r="B4240" t="inlineStr">
        <is>
          <t>avverkningsanmälan</t>
        </is>
      </c>
      <c r="C4240" t="inlineStr">
        <is>
          <t>Föryngringsavverkning</t>
        </is>
      </c>
      <c r="D4240" s="1" t="n">
        <v>45756</v>
      </c>
      <c r="E4240" s="1" t="n">
        <v>46323</v>
      </c>
      <c r="F4240" t="inlineStr">
        <is>
          <t>KALMAR LÄN</t>
        </is>
      </c>
      <c r="G4240" t="inlineStr">
        <is>
          <t>NYBRO</t>
        </is>
      </c>
      <c r="I4240" t="n">
        <v>4.5</v>
      </c>
      <c r="J4240" t="n">
        <v>0</v>
      </c>
      <c r="K4240" t="n">
        <v>0</v>
      </c>
      <c r="L4240" t="n">
        <v>0</v>
      </c>
      <c r="M4240" t="n">
        <v>0</v>
      </c>
      <c r="N4240" t="n">
        <v>0</v>
      </c>
      <c r="O4240" t="n">
        <v>0</v>
      </c>
      <c r="P4240" t="n">
        <v>0</v>
      </c>
      <c r="Q4240" t="n">
        <v>0</v>
      </c>
      <c r="R4240" t="n">
        <v>0</v>
      </c>
      <c r="S4240" t="n">
        <v>0</v>
      </c>
      <c r="T4240" t="n">
        <v>0</v>
      </c>
      <c r="U4240" t="n">
        <v>0</v>
      </c>
      <c r="V4240" s="2" t="inlineStr"/>
    </row>
    <row r="4241" ht="15" customHeight="1">
      <c r="A4241" t="inlineStr">
        <is>
          <t>A 24776-2022</t>
        </is>
      </c>
      <c r="B4241" t="inlineStr">
        <is>
          <t>avverkningsanmälan</t>
        </is>
      </c>
      <c r="C4241" t="inlineStr">
        <is>
          <t>Föryngringsavverkning</t>
        </is>
      </c>
      <c r="D4241" s="1" t="n">
        <v>44728</v>
      </c>
      <c r="E4241" s="1" t="n">
        <v>46323</v>
      </c>
      <c r="F4241" t="inlineStr">
        <is>
          <t>KALMAR LÄN</t>
        </is>
      </c>
      <c r="G4241" t="inlineStr">
        <is>
          <t>EMMABODA</t>
        </is>
      </c>
      <c r="I4241" t="n">
        <v>3.2</v>
      </c>
      <c r="J4241" t="n">
        <v>0</v>
      </c>
      <c r="K4241" t="n">
        <v>0</v>
      </c>
      <c r="L4241" t="n">
        <v>0</v>
      </c>
      <c r="M4241" t="n">
        <v>0</v>
      </c>
      <c r="N4241" t="n">
        <v>0</v>
      </c>
      <c r="O4241" t="n">
        <v>0</v>
      </c>
      <c r="P4241" t="n">
        <v>0</v>
      </c>
      <c r="Q4241" t="n">
        <v>0</v>
      </c>
      <c r="R4241" t="n">
        <v>0</v>
      </c>
      <c r="S4241" t="n">
        <v>0</v>
      </c>
      <c r="T4241" t="n">
        <v>0</v>
      </c>
      <c r="U4241" t="n">
        <v>0</v>
      </c>
      <c r="V4241" s="2" t="inlineStr"/>
    </row>
    <row r="4242" ht="15" customHeight="1">
      <c r="A4242" t="inlineStr">
        <is>
          <t>A 7208-2026</t>
        </is>
      </c>
      <c r="B4242" t="inlineStr">
        <is>
          <t>avverkningsanmälan</t>
        </is>
      </c>
      <c r="C4242" t="inlineStr">
        <is>
          <t>Avverkning för annat ändamål</t>
        </is>
      </c>
      <c r="D4242" s="1" t="n">
        <v>46058</v>
      </c>
      <c r="E4242" s="1" t="n">
        <v>46323</v>
      </c>
      <c r="F4242" t="inlineStr">
        <is>
          <t>KALMAR LÄN</t>
        </is>
      </c>
      <c r="G4242" t="inlineStr">
        <is>
          <t>HULTSFRED</t>
        </is>
      </c>
      <c r="I4242" t="n">
        <v>7.7</v>
      </c>
      <c r="J4242" t="n">
        <v>0</v>
      </c>
      <c r="K4242" t="n">
        <v>0</v>
      </c>
      <c r="L4242" t="n">
        <v>0</v>
      </c>
      <c r="M4242" t="n">
        <v>0</v>
      </c>
      <c r="N4242" t="n">
        <v>0</v>
      </c>
      <c r="O4242" t="n">
        <v>0</v>
      </c>
      <c r="P4242" t="n">
        <v>0</v>
      </c>
      <c r="Q4242" t="n">
        <v>0</v>
      </c>
      <c r="R4242" t="n">
        <v>0</v>
      </c>
      <c r="S4242" t="n">
        <v>0</v>
      </c>
      <c r="T4242" t="n">
        <v>0</v>
      </c>
      <c r="U4242" t="n">
        <v>0</v>
      </c>
      <c r="V4242" s="2" t="inlineStr"/>
    </row>
    <row r="4243" ht="15" customHeight="1">
      <c r="A4243" t="inlineStr">
        <is>
          <t>A 7299-2026</t>
        </is>
      </c>
      <c r="B4243" t="inlineStr">
        <is>
          <t>avverkningsanmälan</t>
        </is>
      </c>
      <c r="C4243" t="inlineStr">
        <is>
          <t>Föryngringsavverkning</t>
        </is>
      </c>
      <c r="D4243" s="1" t="n">
        <v>46058</v>
      </c>
      <c r="E4243" s="1" t="n">
        <v>46323</v>
      </c>
      <c r="F4243" t="inlineStr">
        <is>
          <t>KALMAR LÄN</t>
        </is>
      </c>
      <c r="G4243" t="inlineStr">
        <is>
          <t>OSKARSHAMN</t>
        </is>
      </c>
      <c r="I4243" t="n">
        <v>4.1</v>
      </c>
      <c r="J4243" t="n">
        <v>0</v>
      </c>
      <c r="K4243" t="n">
        <v>0</v>
      </c>
      <c r="L4243" t="n">
        <v>0</v>
      </c>
      <c r="M4243" t="n">
        <v>0</v>
      </c>
      <c r="N4243" t="n">
        <v>0</v>
      </c>
      <c r="O4243" t="n">
        <v>0</v>
      </c>
      <c r="P4243" t="n">
        <v>0</v>
      </c>
      <c r="Q4243" t="n">
        <v>0</v>
      </c>
      <c r="R4243" t="n">
        <v>0</v>
      </c>
      <c r="S4243" t="n">
        <v>0</v>
      </c>
      <c r="T4243" t="n">
        <v>0</v>
      </c>
      <c r="U4243" t="n">
        <v>0</v>
      </c>
      <c r="V4243" s="2" t="inlineStr"/>
    </row>
    <row r="4244" ht="15" customHeight="1">
      <c r="A4244" t="inlineStr">
        <is>
          <t>A 35047-2023</t>
        </is>
      </c>
      <c r="B4244" t="inlineStr">
        <is>
          <t>avverkningsanmälan</t>
        </is>
      </c>
      <c r="C4244" t="inlineStr">
        <is>
          <t>Föryngringsavverkning</t>
        </is>
      </c>
      <c r="D4244" s="1" t="n">
        <v>45145</v>
      </c>
      <c r="E4244" s="1" t="n">
        <v>46323</v>
      </c>
      <c r="F4244" t="inlineStr">
        <is>
          <t>KALMAR LÄN</t>
        </is>
      </c>
      <c r="G4244" t="inlineStr">
        <is>
          <t>HÖGSBY</t>
        </is>
      </c>
      <c r="I4244" t="n">
        <v>0.5</v>
      </c>
      <c r="J4244" t="n">
        <v>0</v>
      </c>
      <c r="K4244" t="n">
        <v>0</v>
      </c>
      <c r="L4244" t="n">
        <v>0</v>
      </c>
      <c r="M4244" t="n">
        <v>0</v>
      </c>
      <c r="N4244" t="n">
        <v>0</v>
      </c>
      <c r="O4244" t="n">
        <v>0</v>
      </c>
      <c r="P4244" t="n">
        <v>0</v>
      </c>
      <c r="Q4244" t="n">
        <v>0</v>
      </c>
      <c r="R4244" t="n">
        <v>0</v>
      </c>
      <c r="S4244" t="n">
        <v>0</v>
      </c>
      <c r="T4244" t="n">
        <v>0</v>
      </c>
      <c r="U4244" t="n">
        <v>0</v>
      </c>
      <c r="V4244" s="2" t="inlineStr"/>
    </row>
    <row r="4245" ht="15" customHeight="1">
      <c r="A4245" t="inlineStr">
        <is>
          <t>A 54784-2023</t>
        </is>
      </c>
      <c r="B4245" t="inlineStr">
        <is>
          <t>avverkningsanmälan</t>
        </is>
      </c>
      <c r="C4245" t="inlineStr">
        <is>
          <t>Föryngringsavverkning</t>
        </is>
      </c>
      <c r="D4245" s="1" t="n">
        <v>45236</v>
      </c>
      <c r="E4245" s="1" t="n">
        <v>46323</v>
      </c>
      <c r="F4245" t="inlineStr">
        <is>
          <t>KALMAR LÄN</t>
        </is>
      </c>
      <c r="G4245" t="inlineStr">
        <is>
          <t>VÄSTERVIK</t>
        </is>
      </c>
      <c r="I4245" t="n">
        <v>1.3</v>
      </c>
      <c r="J4245" t="n">
        <v>0</v>
      </c>
      <c r="K4245" t="n">
        <v>0</v>
      </c>
      <c r="L4245" t="n">
        <v>0</v>
      </c>
      <c r="M4245" t="n">
        <v>0</v>
      </c>
      <c r="N4245" t="n">
        <v>0</v>
      </c>
      <c r="O4245" t="n">
        <v>0</v>
      </c>
      <c r="P4245" t="n">
        <v>0</v>
      </c>
      <c r="Q4245" t="n">
        <v>0</v>
      </c>
      <c r="R4245" t="n">
        <v>0</v>
      </c>
      <c r="S4245" t="n">
        <v>0</v>
      </c>
      <c r="T4245" t="n">
        <v>0</v>
      </c>
      <c r="U4245" t="n">
        <v>0</v>
      </c>
      <c r="V4245" s="2" t="inlineStr"/>
    </row>
    <row r="4246" ht="15" customHeight="1">
      <c r="A4246" t="inlineStr">
        <is>
          <t>A 54787-2023</t>
        </is>
      </c>
      <c r="B4246" t="inlineStr">
        <is>
          <t>avverkningsanmälan</t>
        </is>
      </c>
      <c r="C4246" t="inlineStr">
        <is>
          <t>Föryngringsavverkning</t>
        </is>
      </c>
      <c r="D4246" s="1" t="n">
        <v>45236</v>
      </c>
      <c r="E4246" s="1" t="n">
        <v>46323</v>
      </c>
      <c r="F4246" t="inlineStr">
        <is>
          <t>KALMAR LÄN</t>
        </is>
      </c>
      <c r="G4246" t="inlineStr">
        <is>
          <t>VIMMERBY</t>
        </is>
      </c>
      <c r="I4246" t="n">
        <v>1</v>
      </c>
      <c r="J4246" t="n">
        <v>0</v>
      </c>
      <c r="K4246" t="n">
        <v>0</v>
      </c>
      <c r="L4246" t="n">
        <v>0</v>
      </c>
      <c r="M4246" t="n">
        <v>0</v>
      </c>
      <c r="N4246" t="n">
        <v>0</v>
      </c>
      <c r="O4246" t="n">
        <v>0</v>
      </c>
      <c r="P4246" t="n">
        <v>0</v>
      </c>
      <c r="Q4246" t="n">
        <v>0</v>
      </c>
      <c r="R4246" t="n">
        <v>0</v>
      </c>
      <c r="S4246" t="n">
        <v>0</v>
      </c>
      <c r="T4246" t="n">
        <v>0</v>
      </c>
      <c r="U4246" t="n">
        <v>0</v>
      </c>
      <c r="V4246" s="2" t="inlineStr"/>
    </row>
    <row r="4247" ht="15" customHeight="1">
      <c r="A4247" t="inlineStr">
        <is>
          <t>A 15715-2022</t>
        </is>
      </c>
      <c r="B4247" t="inlineStr">
        <is>
          <t>avverkningsanmälan</t>
        </is>
      </c>
      <c r="C4247" t="inlineStr">
        <is>
          <t>Föryngringsavverkning</t>
        </is>
      </c>
      <c r="D4247" s="1" t="n">
        <v>44663</v>
      </c>
      <c r="E4247" s="1" t="n">
        <v>46323</v>
      </c>
      <c r="F4247" t="inlineStr">
        <is>
          <t>KALMAR LÄN</t>
        </is>
      </c>
      <c r="G4247" t="inlineStr">
        <is>
          <t>VIMMERBY</t>
        </is>
      </c>
      <c r="I4247" t="n">
        <v>2.3</v>
      </c>
      <c r="J4247" t="n">
        <v>0</v>
      </c>
      <c r="K4247" t="n">
        <v>0</v>
      </c>
      <c r="L4247" t="n">
        <v>0</v>
      </c>
      <c r="M4247" t="n">
        <v>0</v>
      </c>
      <c r="N4247" t="n">
        <v>0</v>
      </c>
      <c r="O4247" t="n">
        <v>0</v>
      </c>
      <c r="P4247" t="n">
        <v>0</v>
      </c>
      <c r="Q4247" t="n">
        <v>0</v>
      </c>
      <c r="R4247" t="n">
        <v>0</v>
      </c>
      <c r="S4247" t="n">
        <v>0</v>
      </c>
      <c r="T4247" t="n">
        <v>0</v>
      </c>
      <c r="U4247" t="n">
        <v>0</v>
      </c>
      <c r="V4247" s="2" t="inlineStr"/>
    </row>
    <row r="4248" ht="15" customHeight="1">
      <c r="A4248" t="inlineStr">
        <is>
          <t>A 23147-2022</t>
        </is>
      </c>
      <c r="B4248" t="inlineStr">
        <is>
          <t>avverkningsanmälan</t>
        </is>
      </c>
      <c r="C4248" t="inlineStr">
        <is>
          <t>Föryngringsavverkning</t>
        </is>
      </c>
      <c r="D4248" s="1" t="n">
        <v>44719</v>
      </c>
      <c r="E4248" s="1" t="n">
        <v>46323</v>
      </c>
      <c r="F4248" t="inlineStr">
        <is>
          <t>KALMAR LÄN</t>
        </is>
      </c>
      <c r="G4248" t="inlineStr">
        <is>
          <t>HULTSFRED</t>
        </is>
      </c>
      <c r="I4248" t="n">
        <v>1.1</v>
      </c>
      <c r="J4248" t="n">
        <v>0</v>
      </c>
      <c r="K4248" t="n">
        <v>0</v>
      </c>
      <c r="L4248" t="n">
        <v>0</v>
      </c>
      <c r="M4248" t="n">
        <v>0</v>
      </c>
      <c r="N4248" t="n">
        <v>0</v>
      </c>
      <c r="O4248" t="n">
        <v>0</v>
      </c>
      <c r="P4248" t="n">
        <v>0</v>
      </c>
      <c r="Q4248" t="n">
        <v>0</v>
      </c>
      <c r="R4248" t="n">
        <v>0</v>
      </c>
      <c r="S4248" t="n">
        <v>0</v>
      </c>
      <c r="T4248" t="n">
        <v>0</v>
      </c>
      <c r="U4248" t="n">
        <v>0</v>
      </c>
      <c r="V4248" s="2" t="inlineStr"/>
    </row>
    <row r="4249" ht="15" customHeight="1">
      <c r="A4249" t="inlineStr">
        <is>
          <t>A 42460-2023</t>
        </is>
      </c>
      <c r="B4249" t="inlineStr">
        <is>
          <t>avverkningsanmälan</t>
        </is>
      </c>
      <c r="C4249" t="inlineStr">
        <is>
          <t>Föryngringsavverkning</t>
        </is>
      </c>
      <c r="D4249" s="1" t="n">
        <v>45175</v>
      </c>
      <c r="E4249" s="1" t="n">
        <v>46323</v>
      </c>
      <c r="F4249" t="inlineStr">
        <is>
          <t>KALMAR LÄN</t>
        </is>
      </c>
      <c r="G4249" t="inlineStr">
        <is>
          <t>HULTSFRED</t>
        </is>
      </c>
      <c r="I4249" t="n">
        <v>1.5</v>
      </c>
      <c r="J4249" t="n">
        <v>0</v>
      </c>
      <c r="K4249" t="n">
        <v>0</v>
      </c>
      <c r="L4249" t="n">
        <v>0</v>
      </c>
      <c r="M4249" t="n">
        <v>0</v>
      </c>
      <c r="N4249" t="n">
        <v>0</v>
      </c>
      <c r="O4249" t="n">
        <v>0</v>
      </c>
      <c r="P4249" t="n">
        <v>0</v>
      </c>
      <c r="Q4249" t="n">
        <v>0</v>
      </c>
      <c r="R4249" t="n">
        <v>0</v>
      </c>
      <c r="S4249" t="n">
        <v>0</v>
      </c>
      <c r="T4249" t="n">
        <v>0</v>
      </c>
      <c r="U4249" t="n">
        <v>0</v>
      </c>
      <c r="V4249" s="2" t="inlineStr"/>
    </row>
    <row r="4250" ht="15" customHeight="1">
      <c r="A4250" t="inlineStr">
        <is>
          <t>A 7166-2026</t>
        </is>
      </c>
      <c r="B4250" t="inlineStr">
        <is>
          <t>avverkningsanmälan</t>
        </is>
      </c>
      <c r="C4250" t="inlineStr">
        <is>
          <t>Föryngringsavverkning</t>
        </is>
      </c>
      <c r="D4250" s="1" t="n">
        <v>46058</v>
      </c>
      <c r="E4250" s="1" t="n">
        <v>46323</v>
      </c>
      <c r="F4250" t="inlineStr">
        <is>
          <t>KALMAR LÄN</t>
        </is>
      </c>
      <c r="G4250" t="inlineStr">
        <is>
          <t>HÖGSBY</t>
        </is>
      </c>
      <c r="H4250" t="inlineStr">
        <is>
          <t>Sveaskog</t>
        </is>
      </c>
      <c r="I4250" t="n">
        <v>4.7</v>
      </c>
      <c r="J4250" t="n">
        <v>0</v>
      </c>
      <c r="K4250" t="n">
        <v>0</v>
      </c>
      <c r="L4250" t="n">
        <v>0</v>
      </c>
      <c r="M4250" t="n">
        <v>0</v>
      </c>
      <c r="N4250" t="n">
        <v>0</v>
      </c>
      <c r="O4250" t="n">
        <v>0</v>
      </c>
      <c r="P4250" t="n">
        <v>0</v>
      </c>
      <c r="Q4250" t="n">
        <v>0</v>
      </c>
      <c r="R4250" t="n">
        <v>0</v>
      </c>
      <c r="S4250" t="n">
        <v>0</v>
      </c>
      <c r="T4250" t="n">
        <v>0</v>
      </c>
      <c r="U4250" t="n">
        <v>0</v>
      </c>
      <c r="V4250" s="2" t="inlineStr"/>
    </row>
    <row r="4251" ht="15" customHeight="1">
      <c r="A4251" t="inlineStr">
        <is>
          <t>A 49340-2023</t>
        </is>
      </c>
      <c r="B4251" t="inlineStr">
        <is>
          <t>avverkningsanmälan</t>
        </is>
      </c>
      <c r="C4251" t="inlineStr">
        <is>
          <t>Föryngringsavverkning</t>
        </is>
      </c>
      <c r="D4251" s="1" t="n">
        <v>45211</v>
      </c>
      <c r="E4251" s="1" t="n">
        <v>46323</v>
      </c>
      <c r="F4251" t="inlineStr">
        <is>
          <t>KALMAR LÄN</t>
        </is>
      </c>
      <c r="G4251" t="inlineStr">
        <is>
          <t>NYBRO</t>
        </is>
      </c>
      <c r="I4251" t="n">
        <v>3.6</v>
      </c>
      <c r="J4251" t="n">
        <v>0</v>
      </c>
      <c r="K4251" t="n">
        <v>0</v>
      </c>
      <c r="L4251" t="n">
        <v>0</v>
      </c>
      <c r="M4251" t="n">
        <v>0</v>
      </c>
      <c r="N4251" t="n">
        <v>0</v>
      </c>
      <c r="O4251" t="n">
        <v>0</v>
      </c>
      <c r="P4251" t="n">
        <v>0</v>
      </c>
      <c r="Q4251" t="n">
        <v>0</v>
      </c>
      <c r="R4251" t="n">
        <v>0</v>
      </c>
      <c r="S4251" t="n">
        <v>0</v>
      </c>
      <c r="T4251" t="n">
        <v>0</v>
      </c>
      <c r="U4251" t="n">
        <v>0</v>
      </c>
      <c r="V4251" s="2" t="inlineStr"/>
    </row>
    <row r="4252" ht="15" customHeight="1">
      <c r="A4252" t="inlineStr">
        <is>
          <t>A 13156-2025</t>
        </is>
      </c>
      <c r="B4252" t="inlineStr">
        <is>
          <t>avverkningsanmälan</t>
        </is>
      </c>
      <c r="C4252" t="inlineStr">
        <is>
          <t>Föryngringsavverkning</t>
        </is>
      </c>
      <c r="D4252" s="1" t="n">
        <v>45735</v>
      </c>
      <c r="E4252" s="1" t="n">
        <v>46323</v>
      </c>
      <c r="F4252" t="inlineStr">
        <is>
          <t>KALMAR LÄN</t>
        </is>
      </c>
      <c r="G4252" t="inlineStr">
        <is>
          <t>HULTSFRED</t>
        </is>
      </c>
      <c r="I4252" t="n">
        <v>1.1</v>
      </c>
      <c r="J4252" t="n">
        <v>0</v>
      </c>
      <c r="K4252" t="n">
        <v>0</v>
      </c>
      <c r="L4252" t="n">
        <v>0</v>
      </c>
      <c r="M4252" t="n">
        <v>0</v>
      </c>
      <c r="N4252" t="n">
        <v>0</v>
      </c>
      <c r="O4252" t="n">
        <v>0</v>
      </c>
      <c r="P4252" t="n">
        <v>0</v>
      </c>
      <c r="Q4252" t="n">
        <v>0</v>
      </c>
      <c r="R4252" t="n">
        <v>0</v>
      </c>
      <c r="S4252" t="n">
        <v>0</v>
      </c>
      <c r="T4252" t="n">
        <v>0</v>
      </c>
      <c r="U4252" t="n">
        <v>0</v>
      </c>
      <c r="V4252" s="2" t="inlineStr"/>
    </row>
    <row r="4253" ht="15" customHeight="1">
      <c r="A4253" t="inlineStr">
        <is>
          <t>A 7306-2026</t>
        </is>
      </c>
      <c r="B4253" t="inlineStr">
        <is>
          <t>avverkningsanmälan</t>
        </is>
      </c>
      <c r="C4253" t="inlineStr">
        <is>
          <t>Föryngringsavverkning</t>
        </is>
      </c>
      <c r="D4253" s="1" t="n">
        <v>46058</v>
      </c>
      <c r="E4253" s="1" t="n">
        <v>46323</v>
      </c>
      <c r="F4253" t="inlineStr">
        <is>
          <t>KALMAR LÄN</t>
        </is>
      </c>
      <c r="G4253" t="inlineStr">
        <is>
          <t>HULTSFRED</t>
        </is>
      </c>
      <c r="I4253" t="n">
        <v>2.7</v>
      </c>
      <c r="J4253" t="n">
        <v>0</v>
      </c>
      <c r="K4253" t="n">
        <v>0</v>
      </c>
      <c r="L4253" t="n">
        <v>0</v>
      </c>
      <c r="M4253" t="n">
        <v>0</v>
      </c>
      <c r="N4253" t="n">
        <v>0</v>
      </c>
      <c r="O4253" t="n">
        <v>0</v>
      </c>
      <c r="P4253" t="n">
        <v>0</v>
      </c>
      <c r="Q4253" t="n">
        <v>0</v>
      </c>
      <c r="R4253" t="n">
        <v>0</v>
      </c>
      <c r="S4253" t="n">
        <v>0</v>
      </c>
      <c r="T4253" t="n">
        <v>0</v>
      </c>
      <c r="U4253" t="n">
        <v>0</v>
      </c>
      <c r="V4253" s="2" t="inlineStr"/>
    </row>
    <row r="4254" ht="15" customHeight="1">
      <c r="A4254" t="inlineStr">
        <is>
          <t>A 63379-2023</t>
        </is>
      </c>
      <c r="B4254" t="inlineStr">
        <is>
          <t>avverkningsanmälan</t>
        </is>
      </c>
      <c r="C4254" t="inlineStr">
        <is>
          <t>Föryngringsavverkning</t>
        </is>
      </c>
      <c r="D4254" s="1" t="n">
        <v>45274</v>
      </c>
      <c r="E4254" s="1" t="n">
        <v>46323</v>
      </c>
      <c r="F4254" t="inlineStr">
        <is>
          <t>KALMAR LÄN</t>
        </is>
      </c>
      <c r="G4254" t="inlineStr">
        <is>
          <t>HÖGSBY</t>
        </is>
      </c>
      <c r="I4254" t="n">
        <v>1.1</v>
      </c>
      <c r="J4254" t="n">
        <v>0</v>
      </c>
      <c r="K4254" t="n">
        <v>0</v>
      </c>
      <c r="L4254" t="n">
        <v>0</v>
      </c>
      <c r="M4254" t="n">
        <v>0</v>
      </c>
      <c r="N4254" t="n">
        <v>0</v>
      </c>
      <c r="O4254" t="n">
        <v>0</v>
      </c>
      <c r="P4254" t="n">
        <v>0</v>
      </c>
      <c r="Q4254" t="n">
        <v>0</v>
      </c>
      <c r="R4254" t="n">
        <v>0</v>
      </c>
      <c r="S4254" t="n">
        <v>0</v>
      </c>
      <c r="T4254" t="n">
        <v>0</v>
      </c>
      <c r="U4254" t="n">
        <v>0</v>
      </c>
      <c r="V4254" s="2" t="inlineStr"/>
    </row>
    <row r="4255" ht="15" customHeight="1">
      <c r="A4255" t="inlineStr">
        <is>
          <t>A 30952-2023</t>
        </is>
      </c>
      <c r="B4255" t="inlineStr">
        <is>
          <t>avverkningsanmälan</t>
        </is>
      </c>
      <c r="C4255" t="inlineStr">
        <is>
          <t>Föryngringsavverkning</t>
        </is>
      </c>
      <c r="D4255" s="1" t="n">
        <v>45113</v>
      </c>
      <c r="E4255" s="1" t="n">
        <v>46323</v>
      </c>
      <c r="F4255" t="inlineStr">
        <is>
          <t>KALMAR LÄN</t>
        </is>
      </c>
      <c r="G4255" t="inlineStr">
        <is>
          <t>OSKARSHAMN</t>
        </is>
      </c>
      <c r="I4255" t="n">
        <v>1.2</v>
      </c>
      <c r="J4255" t="n">
        <v>0</v>
      </c>
      <c r="K4255" t="n">
        <v>0</v>
      </c>
      <c r="L4255" t="n">
        <v>0</v>
      </c>
      <c r="M4255" t="n">
        <v>0</v>
      </c>
      <c r="N4255" t="n">
        <v>0</v>
      </c>
      <c r="O4255" t="n">
        <v>0</v>
      </c>
      <c r="P4255" t="n">
        <v>0</v>
      </c>
      <c r="Q4255" t="n">
        <v>0</v>
      </c>
      <c r="R4255" t="n">
        <v>0</v>
      </c>
      <c r="S4255" t="n">
        <v>0</v>
      </c>
      <c r="T4255" t="n">
        <v>0</v>
      </c>
      <c r="U4255" t="n">
        <v>0</v>
      </c>
      <c r="V4255" s="2" t="inlineStr"/>
    </row>
    <row r="4256" ht="15" customHeight="1">
      <c r="A4256" t="inlineStr">
        <is>
          <t>A 36909-2023</t>
        </is>
      </c>
      <c r="B4256" t="inlineStr">
        <is>
          <t>avverkningsanmälan</t>
        </is>
      </c>
      <c r="C4256" t="inlineStr">
        <is>
          <t>Föryngringsavverkning</t>
        </is>
      </c>
      <c r="D4256" s="1" t="n">
        <v>45154</v>
      </c>
      <c r="E4256" s="1" t="n">
        <v>46323</v>
      </c>
      <c r="F4256" t="inlineStr">
        <is>
          <t>KALMAR LÄN</t>
        </is>
      </c>
      <c r="G4256" t="inlineStr">
        <is>
          <t>HÖGSBY</t>
        </is>
      </c>
      <c r="I4256" t="n">
        <v>1.3</v>
      </c>
      <c r="J4256" t="n">
        <v>0</v>
      </c>
      <c r="K4256" t="n">
        <v>0</v>
      </c>
      <c r="L4256" t="n">
        <v>0</v>
      </c>
      <c r="M4256" t="n">
        <v>0</v>
      </c>
      <c r="N4256" t="n">
        <v>0</v>
      </c>
      <c r="O4256" t="n">
        <v>0</v>
      </c>
      <c r="P4256" t="n">
        <v>0</v>
      </c>
      <c r="Q4256" t="n">
        <v>0</v>
      </c>
      <c r="R4256" t="n">
        <v>0</v>
      </c>
      <c r="S4256" t="n">
        <v>0</v>
      </c>
      <c r="T4256" t="n">
        <v>0</v>
      </c>
      <c r="U4256" t="n">
        <v>0</v>
      </c>
      <c r="V4256" s="2" t="inlineStr"/>
    </row>
    <row r="4257" ht="15" customHeight="1">
      <c r="A4257" t="inlineStr">
        <is>
          <t>A 7080-2026</t>
        </is>
      </c>
      <c r="B4257" t="inlineStr">
        <is>
          <t>avverkningsanmälan</t>
        </is>
      </c>
      <c r="C4257" t="inlineStr">
        <is>
          <t>Föryngringsavverkning</t>
        </is>
      </c>
      <c r="D4257" s="1" t="n">
        <v>46058</v>
      </c>
      <c r="E4257" s="1" t="n">
        <v>46323</v>
      </c>
      <c r="F4257" t="inlineStr">
        <is>
          <t>KALMAR LÄN</t>
        </is>
      </c>
      <c r="G4257" t="inlineStr">
        <is>
          <t>EMMABODA</t>
        </is>
      </c>
      <c r="I4257" t="n">
        <v>0.6</v>
      </c>
      <c r="J4257" t="n">
        <v>0</v>
      </c>
      <c r="K4257" t="n">
        <v>0</v>
      </c>
      <c r="L4257" t="n">
        <v>0</v>
      </c>
      <c r="M4257" t="n">
        <v>0</v>
      </c>
      <c r="N4257" t="n">
        <v>0</v>
      </c>
      <c r="O4257" t="n">
        <v>0</v>
      </c>
      <c r="P4257" t="n">
        <v>0</v>
      </c>
      <c r="Q4257" t="n">
        <v>0</v>
      </c>
      <c r="R4257" t="n">
        <v>0</v>
      </c>
      <c r="S4257" t="n">
        <v>0</v>
      </c>
      <c r="T4257" t="n">
        <v>0</v>
      </c>
      <c r="U4257" t="n">
        <v>0</v>
      </c>
      <c r="V4257" s="2" t="inlineStr"/>
    </row>
    <row r="4258" ht="15" customHeight="1">
      <c r="A4258" t="inlineStr">
        <is>
          <t>A 25316-2025</t>
        </is>
      </c>
      <c r="B4258" t="inlineStr">
        <is>
          <t>avverkningsanmälan</t>
        </is>
      </c>
      <c r="C4258" t="inlineStr">
        <is>
          <t>Föryngringsavverkning</t>
        </is>
      </c>
      <c r="D4258" s="1" t="n">
        <v>45800</v>
      </c>
      <c r="E4258" s="1" t="n">
        <v>46323</v>
      </c>
      <c r="F4258" t="inlineStr">
        <is>
          <t>KALMAR LÄN</t>
        </is>
      </c>
      <c r="G4258" t="inlineStr">
        <is>
          <t>EMMABODA</t>
        </is>
      </c>
      <c r="I4258" t="n">
        <v>1.3</v>
      </c>
      <c r="J4258" t="n">
        <v>0</v>
      </c>
      <c r="K4258" t="n">
        <v>0</v>
      </c>
      <c r="L4258" t="n">
        <v>0</v>
      </c>
      <c r="M4258" t="n">
        <v>0</v>
      </c>
      <c r="N4258" t="n">
        <v>0</v>
      </c>
      <c r="O4258" t="n">
        <v>0</v>
      </c>
      <c r="P4258" t="n">
        <v>0</v>
      </c>
      <c r="Q4258" t="n">
        <v>0</v>
      </c>
      <c r="R4258" t="n">
        <v>0</v>
      </c>
      <c r="S4258" t="n">
        <v>0</v>
      </c>
      <c r="T4258" t="n">
        <v>0</v>
      </c>
      <c r="U4258" t="n">
        <v>0</v>
      </c>
      <c r="V4258" s="2" t="inlineStr"/>
    </row>
    <row r="4259" ht="15" customHeight="1">
      <c r="A4259" t="inlineStr">
        <is>
          <t>A 49507-2023</t>
        </is>
      </c>
      <c r="B4259" t="inlineStr">
        <is>
          <t>avverkningsanmälan</t>
        </is>
      </c>
      <c r="C4259" t="inlineStr">
        <is>
          <t>Föryngringsavverkning</t>
        </is>
      </c>
      <c r="D4259" s="1" t="n">
        <v>45211</v>
      </c>
      <c r="E4259" s="1" t="n">
        <v>46323</v>
      </c>
      <c r="F4259" t="inlineStr">
        <is>
          <t>KALMAR LÄN</t>
        </is>
      </c>
      <c r="G4259" t="inlineStr">
        <is>
          <t>VÄSTERVIK</t>
        </is>
      </c>
      <c r="H4259" t="inlineStr">
        <is>
          <t>Övriga Aktiebolag</t>
        </is>
      </c>
      <c r="I4259" t="n">
        <v>1</v>
      </c>
      <c r="J4259" t="n">
        <v>0</v>
      </c>
      <c r="K4259" t="n">
        <v>0</v>
      </c>
      <c r="L4259" t="n">
        <v>0</v>
      </c>
      <c r="M4259" t="n">
        <v>0</v>
      </c>
      <c r="N4259" t="n">
        <v>0</v>
      </c>
      <c r="O4259" t="n">
        <v>0</v>
      </c>
      <c r="P4259" t="n">
        <v>0</v>
      </c>
      <c r="Q4259" t="n">
        <v>0</v>
      </c>
      <c r="R4259" t="n">
        <v>0</v>
      </c>
      <c r="S4259" t="n">
        <v>0</v>
      </c>
      <c r="T4259" t="n">
        <v>0</v>
      </c>
      <c r="U4259" t="n">
        <v>0</v>
      </c>
      <c r="V4259" s="2" t="inlineStr"/>
    </row>
    <row r="4260" ht="15" customHeight="1">
      <c r="A4260" t="inlineStr">
        <is>
          <t>A 43774-2023</t>
        </is>
      </c>
      <c r="B4260" t="inlineStr">
        <is>
          <t>avverkningsanmälan</t>
        </is>
      </c>
      <c r="C4260" t="inlineStr">
        <is>
          <t>Föryngringsavverkning</t>
        </is>
      </c>
      <c r="D4260" s="1" t="n">
        <v>45187</v>
      </c>
      <c r="E4260" s="1" t="n">
        <v>46323</v>
      </c>
      <c r="F4260" t="inlineStr">
        <is>
          <t>KALMAR LÄN</t>
        </is>
      </c>
      <c r="G4260" t="inlineStr">
        <is>
          <t>VIMMERBY</t>
        </is>
      </c>
      <c r="I4260" t="n">
        <v>3.4</v>
      </c>
      <c r="J4260" t="n">
        <v>0</v>
      </c>
      <c r="K4260" t="n">
        <v>0</v>
      </c>
      <c r="L4260" t="n">
        <v>0</v>
      </c>
      <c r="M4260" t="n">
        <v>0</v>
      </c>
      <c r="N4260" t="n">
        <v>0</v>
      </c>
      <c r="O4260" t="n">
        <v>0</v>
      </c>
      <c r="P4260" t="n">
        <v>0</v>
      </c>
      <c r="Q4260" t="n">
        <v>0</v>
      </c>
      <c r="R4260" t="n">
        <v>0</v>
      </c>
      <c r="S4260" t="n">
        <v>0</v>
      </c>
      <c r="T4260" t="n">
        <v>0</v>
      </c>
      <c r="U4260" t="n">
        <v>0</v>
      </c>
      <c r="V4260" s="2" t="inlineStr"/>
    </row>
    <row r="4261" ht="15" customHeight="1">
      <c r="A4261" t="inlineStr">
        <is>
          <t>A 31860-2026</t>
        </is>
      </c>
      <c r="B4261" t="inlineStr">
        <is>
          <t>avverkningsanmälan</t>
        </is>
      </c>
      <c r="C4261" t="inlineStr">
        <is>
          <t>Föryngringsavverkning</t>
        </is>
      </c>
      <c r="D4261" s="1" t="n">
        <v>46231</v>
      </c>
      <c r="E4261" s="1" t="n">
        <v>46323</v>
      </c>
      <c r="F4261" t="inlineStr">
        <is>
          <t>KALMAR LÄN</t>
        </is>
      </c>
      <c r="G4261" t="inlineStr">
        <is>
          <t>VIMMERBY</t>
        </is>
      </c>
      <c r="I4261" t="n">
        <v>1.5</v>
      </c>
      <c r="J4261" t="n">
        <v>0</v>
      </c>
      <c r="K4261" t="n">
        <v>0</v>
      </c>
      <c r="L4261" t="n">
        <v>0</v>
      </c>
      <c r="M4261" t="n">
        <v>0</v>
      </c>
      <c r="N4261" t="n">
        <v>0</v>
      </c>
      <c r="O4261" t="n">
        <v>0</v>
      </c>
      <c r="P4261" t="n">
        <v>0</v>
      </c>
      <c r="Q4261" t="n">
        <v>0</v>
      </c>
      <c r="R4261" t="n">
        <v>0</v>
      </c>
      <c r="S4261" t="n">
        <v>0</v>
      </c>
      <c r="T4261" t="n">
        <v>0</v>
      </c>
      <c r="U4261" t="n">
        <v>0</v>
      </c>
      <c r="V4261" s="2" t="inlineStr"/>
    </row>
    <row r="4262" ht="15" customHeight="1">
      <c r="A4262" t="inlineStr">
        <is>
          <t>A 51278-2024</t>
        </is>
      </c>
      <c r="B4262" t="inlineStr">
        <is>
          <t>avverkningsanmälan</t>
        </is>
      </c>
      <c r="C4262" t="inlineStr">
        <is>
          <t>Föryngringsavverkning</t>
        </is>
      </c>
      <c r="D4262" s="1" t="n">
        <v>45603</v>
      </c>
      <c r="E4262" s="1" t="n">
        <v>46323</v>
      </c>
      <c r="F4262" t="inlineStr">
        <is>
          <t>KALMAR LÄN</t>
        </is>
      </c>
      <c r="G4262" t="inlineStr">
        <is>
          <t>VIMMERBY</t>
        </is>
      </c>
      <c r="I4262" t="n">
        <v>3.4</v>
      </c>
      <c r="J4262" t="n">
        <v>0</v>
      </c>
      <c r="K4262" t="n">
        <v>0</v>
      </c>
      <c r="L4262" t="n">
        <v>0</v>
      </c>
      <c r="M4262" t="n">
        <v>0</v>
      </c>
      <c r="N4262" t="n">
        <v>0</v>
      </c>
      <c r="O4262" t="n">
        <v>0</v>
      </c>
      <c r="P4262" t="n">
        <v>0</v>
      </c>
      <c r="Q4262" t="n">
        <v>0</v>
      </c>
      <c r="R4262" t="n">
        <v>0</v>
      </c>
      <c r="S4262" t="n">
        <v>0</v>
      </c>
      <c r="T4262" t="n">
        <v>0</v>
      </c>
      <c r="U4262" t="n">
        <v>0</v>
      </c>
      <c r="V4262" s="2" t="inlineStr"/>
    </row>
    <row r="4263" ht="15" customHeight="1">
      <c r="A4263" t="inlineStr">
        <is>
          <t>A 6934-2025</t>
        </is>
      </c>
      <c r="B4263" t="inlineStr">
        <is>
          <t>avverkningsanmälan</t>
        </is>
      </c>
      <c r="C4263" t="inlineStr">
        <is>
          <t>Föryngringsavverkning</t>
        </is>
      </c>
      <c r="D4263" s="1" t="n">
        <v>45701</v>
      </c>
      <c r="E4263" s="1" t="n">
        <v>46323</v>
      </c>
      <c r="F4263" t="inlineStr">
        <is>
          <t>KALMAR LÄN</t>
        </is>
      </c>
      <c r="G4263" t="inlineStr">
        <is>
          <t>MÖNSTERÅS</t>
        </is>
      </c>
      <c r="I4263" t="n">
        <v>4.2</v>
      </c>
      <c r="J4263" t="n">
        <v>0</v>
      </c>
      <c r="K4263" t="n">
        <v>0</v>
      </c>
      <c r="L4263" t="n">
        <v>0</v>
      </c>
      <c r="M4263" t="n">
        <v>0</v>
      </c>
      <c r="N4263" t="n">
        <v>0</v>
      </c>
      <c r="O4263" t="n">
        <v>0</v>
      </c>
      <c r="P4263" t="n">
        <v>0</v>
      </c>
      <c r="Q4263" t="n">
        <v>0</v>
      </c>
      <c r="R4263" t="n">
        <v>0</v>
      </c>
      <c r="S4263" t="n">
        <v>0</v>
      </c>
      <c r="T4263" t="n">
        <v>0</v>
      </c>
      <c r="U4263" t="n">
        <v>0</v>
      </c>
      <c r="V4263" s="2" t="inlineStr"/>
    </row>
    <row r="4264" ht="15" customHeight="1">
      <c r="A4264" t="inlineStr">
        <is>
          <t>A 43705-2023</t>
        </is>
      </c>
      <c r="B4264" t="inlineStr">
        <is>
          <t>avverkningsanmälan</t>
        </is>
      </c>
      <c r="C4264" t="inlineStr">
        <is>
          <t>Föryngringsavverkning</t>
        </is>
      </c>
      <c r="D4264" s="1" t="n">
        <v>45187</v>
      </c>
      <c r="E4264" s="1" t="n">
        <v>46323</v>
      </c>
      <c r="F4264" t="inlineStr">
        <is>
          <t>KALMAR LÄN</t>
        </is>
      </c>
      <c r="G4264" t="inlineStr">
        <is>
          <t>VIMMERBY</t>
        </is>
      </c>
      <c r="I4264" t="n">
        <v>1.2</v>
      </c>
      <c r="J4264" t="n">
        <v>0</v>
      </c>
      <c r="K4264" t="n">
        <v>0</v>
      </c>
      <c r="L4264" t="n">
        <v>0</v>
      </c>
      <c r="M4264" t="n">
        <v>0</v>
      </c>
      <c r="N4264" t="n">
        <v>0</v>
      </c>
      <c r="O4264" t="n">
        <v>0</v>
      </c>
      <c r="P4264" t="n">
        <v>0</v>
      </c>
      <c r="Q4264" t="n">
        <v>0</v>
      </c>
      <c r="R4264" t="n">
        <v>0</v>
      </c>
      <c r="S4264" t="n">
        <v>0</v>
      </c>
      <c r="T4264" t="n">
        <v>0</v>
      </c>
      <c r="U4264" t="n">
        <v>0</v>
      </c>
      <c r="V4264" s="2" t="inlineStr"/>
    </row>
    <row r="4265" ht="15" customHeight="1">
      <c r="A4265" t="inlineStr">
        <is>
          <t>A 43731-2023</t>
        </is>
      </c>
      <c r="B4265" t="inlineStr">
        <is>
          <t>avverkningsanmälan</t>
        </is>
      </c>
      <c r="C4265" t="inlineStr">
        <is>
          <t>Föryngringsavverkning</t>
        </is>
      </c>
      <c r="D4265" s="1" t="n">
        <v>45187</v>
      </c>
      <c r="E4265" s="1" t="n">
        <v>46323</v>
      </c>
      <c r="F4265" t="inlineStr">
        <is>
          <t>KALMAR LÄN</t>
        </is>
      </c>
      <c r="G4265" t="inlineStr">
        <is>
          <t>NYBRO</t>
        </is>
      </c>
      <c r="I4265" t="n">
        <v>3</v>
      </c>
      <c r="J4265" t="n">
        <v>0</v>
      </c>
      <c r="K4265" t="n">
        <v>0</v>
      </c>
      <c r="L4265" t="n">
        <v>0</v>
      </c>
      <c r="M4265" t="n">
        <v>0</v>
      </c>
      <c r="N4265" t="n">
        <v>0</v>
      </c>
      <c r="O4265" t="n">
        <v>0</v>
      </c>
      <c r="P4265" t="n">
        <v>0</v>
      </c>
      <c r="Q4265" t="n">
        <v>0</v>
      </c>
      <c r="R4265" t="n">
        <v>0</v>
      </c>
      <c r="S4265" t="n">
        <v>0</v>
      </c>
      <c r="T4265" t="n">
        <v>0</v>
      </c>
      <c r="U4265" t="n">
        <v>0</v>
      </c>
      <c r="V4265" s="2" t="inlineStr"/>
    </row>
    <row r="4266" ht="15" customHeight="1">
      <c r="A4266" t="inlineStr">
        <is>
          <t>A 7932-2025</t>
        </is>
      </c>
      <c r="B4266" t="inlineStr">
        <is>
          <t>avverkningsanmälan</t>
        </is>
      </c>
      <c r="C4266" t="inlineStr">
        <is>
          <t>Föryngringsavverkning</t>
        </is>
      </c>
      <c r="D4266" s="1" t="n">
        <v>45707</v>
      </c>
      <c r="E4266" s="1" t="n">
        <v>46323</v>
      </c>
      <c r="F4266" t="inlineStr">
        <is>
          <t>KALMAR LÄN</t>
        </is>
      </c>
      <c r="G4266" t="inlineStr">
        <is>
          <t>VIMMERBY</t>
        </is>
      </c>
      <c r="I4266" t="n">
        <v>0.6</v>
      </c>
      <c r="J4266" t="n">
        <v>0</v>
      </c>
      <c r="K4266" t="n">
        <v>0</v>
      </c>
      <c r="L4266" t="n">
        <v>0</v>
      </c>
      <c r="M4266" t="n">
        <v>0</v>
      </c>
      <c r="N4266" t="n">
        <v>0</v>
      </c>
      <c r="O4266" t="n">
        <v>0</v>
      </c>
      <c r="P4266" t="n">
        <v>0</v>
      </c>
      <c r="Q4266" t="n">
        <v>0</v>
      </c>
      <c r="R4266" t="n">
        <v>0</v>
      </c>
      <c r="S4266" t="n">
        <v>0</v>
      </c>
      <c r="T4266" t="n">
        <v>0</v>
      </c>
      <c r="U4266" t="n">
        <v>0</v>
      </c>
      <c r="V4266" s="2" t="inlineStr"/>
    </row>
    <row r="4267" ht="15" customHeight="1">
      <c r="A4267" t="inlineStr">
        <is>
          <t>A 6817-2026</t>
        </is>
      </c>
      <c r="B4267" t="inlineStr">
        <is>
          <t>avverkningsanmälan</t>
        </is>
      </c>
      <c r="C4267" t="inlineStr">
        <is>
          <t>Avverkning för annat ändamål</t>
        </is>
      </c>
      <c r="D4267" s="1" t="n">
        <v>46057</v>
      </c>
      <c r="E4267" s="1" t="n">
        <v>46323</v>
      </c>
      <c r="F4267" t="inlineStr">
        <is>
          <t>KALMAR LÄN</t>
        </is>
      </c>
      <c r="G4267" t="inlineStr">
        <is>
          <t>VIMMERBY</t>
        </is>
      </c>
      <c r="I4267" t="n">
        <v>0.7</v>
      </c>
      <c r="J4267" t="n">
        <v>0</v>
      </c>
      <c r="K4267" t="n">
        <v>0</v>
      </c>
      <c r="L4267" t="n">
        <v>0</v>
      </c>
      <c r="M4267" t="n">
        <v>0</v>
      </c>
      <c r="N4267" t="n">
        <v>0</v>
      </c>
      <c r="O4267" t="n">
        <v>0</v>
      </c>
      <c r="P4267" t="n">
        <v>0</v>
      </c>
      <c r="Q4267" t="n">
        <v>0</v>
      </c>
      <c r="R4267" t="n">
        <v>0</v>
      </c>
      <c r="S4267" t="n">
        <v>0</v>
      </c>
      <c r="T4267" t="n">
        <v>0</v>
      </c>
      <c r="U4267" t="n">
        <v>0</v>
      </c>
      <c r="V4267" s="2" t="inlineStr"/>
    </row>
    <row r="4268" ht="15" customHeight="1">
      <c r="A4268" t="inlineStr">
        <is>
          <t>A 7330-2026</t>
        </is>
      </c>
      <c r="B4268" t="inlineStr">
        <is>
          <t>avverkningsanmälan</t>
        </is>
      </c>
      <c r="C4268" t="inlineStr">
        <is>
          <t>Föryngringsavverkning</t>
        </is>
      </c>
      <c r="D4268" s="1" t="n">
        <v>46058</v>
      </c>
      <c r="E4268" s="1" t="n">
        <v>46323</v>
      </c>
      <c r="F4268" t="inlineStr">
        <is>
          <t>KALMAR LÄN</t>
        </is>
      </c>
      <c r="G4268" t="inlineStr">
        <is>
          <t>HULTSFRED</t>
        </is>
      </c>
      <c r="I4268" t="n">
        <v>2.5</v>
      </c>
      <c r="J4268" t="n">
        <v>0</v>
      </c>
      <c r="K4268" t="n">
        <v>0</v>
      </c>
      <c r="L4268" t="n">
        <v>0</v>
      </c>
      <c r="M4268" t="n">
        <v>0</v>
      </c>
      <c r="N4268" t="n">
        <v>0</v>
      </c>
      <c r="O4268" t="n">
        <v>0</v>
      </c>
      <c r="P4268" t="n">
        <v>0</v>
      </c>
      <c r="Q4268" t="n">
        <v>0</v>
      </c>
      <c r="R4268" t="n">
        <v>0</v>
      </c>
      <c r="S4268" t="n">
        <v>0</v>
      </c>
      <c r="T4268" t="n">
        <v>0</v>
      </c>
      <c r="U4268" t="n">
        <v>0</v>
      </c>
      <c r="V4268" s="2" t="inlineStr"/>
    </row>
    <row r="4269" ht="15" customHeight="1">
      <c r="A4269" t="inlineStr">
        <is>
          <t>A 7313-2026</t>
        </is>
      </c>
      <c r="B4269" t="inlineStr">
        <is>
          <t>avverkningsanmälan</t>
        </is>
      </c>
      <c r="C4269" t="inlineStr">
        <is>
          <t>Föryngringsavverkning</t>
        </is>
      </c>
      <c r="D4269" s="1" t="n">
        <v>46058</v>
      </c>
      <c r="E4269" s="1" t="n">
        <v>46323</v>
      </c>
      <c r="F4269" t="inlineStr">
        <is>
          <t>KALMAR LÄN</t>
        </is>
      </c>
      <c r="G4269" t="inlineStr">
        <is>
          <t>OSKARSHAMN</t>
        </is>
      </c>
      <c r="I4269" t="n">
        <v>1.4</v>
      </c>
      <c r="J4269" t="n">
        <v>0</v>
      </c>
      <c r="K4269" t="n">
        <v>0</v>
      </c>
      <c r="L4269" t="n">
        <v>0</v>
      </c>
      <c r="M4269" t="n">
        <v>0</v>
      </c>
      <c r="N4269" t="n">
        <v>0</v>
      </c>
      <c r="O4269" t="n">
        <v>0</v>
      </c>
      <c r="P4269" t="n">
        <v>0</v>
      </c>
      <c r="Q4269" t="n">
        <v>0</v>
      </c>
      <c r="R4269" t="n">
        <v>0</v>
      </c>
      <c r="S4269" t="n">
        <v>0</v>
      </c>
      <c r="T4269" t="n">
        <v>0</v>
      </c>
      <c r="U4269" t="n">
        <v>0</v>
      </c>
      <c r="V4269" s="2" t="inlineStr"/>
    </row>
    <row r="4270" ht="15" customHeight="1">
      <c r="A4270" t="inlineStr">
        <is>
          <t>A 7319-2026</t>
        </is>
      </c>
      <c r="B4270" t="inlineStr">
        <is>
          <t>avverkningsanmälan</t>
        </is>
      </c>
      <c r="C4270" t="inlineStr">
        <is>
          <t>Föryngringsavverkning</t>
        </is>
      </c>
      <c r="D4270" s="1" t="n">
        <v>46058</v>
      </c>
      <c r="E4270" s="1" t="n">
        <v>46323</v>
      </c>
      <c r="F4270" t="inlineStr">
        <is>
          <t>KALMAR LÄN</t>
        </is>
      </c>
      <c r="G4270" t="inlineStr">
        <is>
          <t>OSKARSHAMN</t>
        </is>
      </c>
      <c r="I4270" t="n">
        <v>1.4</v>
      </c>
      <c r="J4270" t="n">
        <v>0</v>
      </c>
      <c r="K4270" t="n">
        <v>0</v>
      </c>
      <c r="L4270" t="n">
        <v>0</v>
      </c>
      <c r="M4270" t="n">
        <v>0</v>
      </c>
      <c r="N4270" t="n">
        <v>0</v>
      </c>
      <c r="O4270" t="n">
        <v>0</v>
      </c>
      <c r="P4270" t="n">
        <v>0</v>
      </c>
      <c r="Q4270" t="n">
        <v>0</v>
      </c>
      <c r="R4270" t="n">
        <v>0</v>
      </c>
      <c r="S4270" t="n">
        <v>0</v>
      </c>
      <c r="T4270" t="n">
        <v>0</v>
      </c>
      <c r="U4270" t="n">
        <v>0</v>
      </c>
      <c r="V4270" s="2" t="inlineStr"/>
    </row>
    <row r="4271" ht="15" customHeight="1">
      <c r="A4271" t="inlineStr">
        <is>
          <t>A 44196-2023</t>
        </is>
      </c>
      <c r="B4271" t="inlineStr">
        <is>
          <t>avverkningsanmälan</t>
        </is>
      </c>
      <c r="C4271" t="inlineStr">
        <is>
          <t>Föryngringsavverkning</t>
        </is>
      </c>
      <c r="D4271" s="1" t="n">
        <v>45188</v>
      </c>
      <c r="E4271" s="1" t="n">
        <v>46323</v>
      </c>
      <c r="F4271" t="inlineStr">
        <is>
          <t>KALMAR LÄN</t>
        </is>
      </c>
      <c r="G4271" t="inlineStr">
        <is>
          <t>HULTSFRED</t>
        </is>
      </c>
      <c r="I4271" t="n">
        <v>1.8</v>
      </c>
      <c r="J4271" t="n">
        <v>0</v>
      </c>
      <c r="K4271" t="n">
        <v>0</v>
      </c>
      <c r="L4271" t="n">
        <v>0</v>
      </c>
      <c r="M4271" t="n">
        <v>0</v>
      </c>
      <c r="N4271" t="n">
        <v>0</v>
      </c>
      <c r="O4271" t="n">
        <v>0</v>
      </c>
      <c r="P4271" t="n">
        <v>0</v>
      </c>
      <c r="Q4271" t="n">
        <v>0</v>
      </c>
      <c r="R4271" t="n">
        <v>0</v>
      </c>
      <c r="S4271" t="n">
        <v>0</v>
      </c>
      <c r="T4271" t="n">
        <v>0</v>
      </c>
      <c r="U4271" t="n">
        <v>0</v>
      </c>
      <c r="V4271" s="2" t="inlineStr"/>
    </row>
    <row r="4272" ht="15" customHeight="1">
      <c r="A4272" t="inlineStr">
        <is>
          <t>A 31856-2026</t>
        </is>
      </c>
      <c r="B4272" t="inlineStr">
        <is>
          <t>avverkningsanmälan</t>
        </is>
      </c>
      <c r="C4272" t="inlineStr">
        <is>
          <t>Föryngringsavverkning</t>
        </is>
      </c>
      <c r="D4272" s="1" t="n">
        <v>46230</v>
      </c>
      <c r="E4272" s="1" t="n">
        <v>46323</v>
      </c>
      <c r="F4272" t="inlineStr">
        <is>
          <t>KALMAR LÄN</t>
        </is>
      </c>
      <c r="G4272" t="inlineStr">
        <is>
          <t>VIMMERBY</t>
        </is>
      </c>
      <c r="I4272" t="n">
        <v>1.8</v>
      </c>
      <c r="J4272" t="n">
        <v>0</v>
      </c>
      <c r="K4272" t="n">
        <v>0</v>
      </c>
      <c r="L4272" t="n">
        <v>0</v>
      </c>
      <c r="M4272" t="n">
        <v>0</v>
      </c>
      <c r="N4272" t="n">
        <v>0</v>
      </c>
      <c r="O4272" t="n">
        <v>0</v>
      </c>
      <c r="P4272" t="n">
        <v>0</v>
      </c>
      <c r="Q4272" t="n">
        <v>0</v>
      </c>
      <c r="R4272" t="n">
        <v>0</v>
      </c>
      <c r="S4272" t="n">
        <v>0</v>
      </c>
      <c r="T4272" t="n">
        <v>0</v>
      </c>
      <c r="U4272" t="n">
        <v>0</v>
      </c>
      <c r="V4272" s="2" t="inlineStr"/>
    </row>
    <row r="4273" ht="15" customHeight="1">
      <c r="A4273" t="inlineStr">
        <is>
          <t>A 27155-2026</t>
        </is>
      </c>
      <c r="B4273" t="inlineStr">
        <is>
          <t>avverkningsanmälan</t>
        </is>
      </c>
      <c r="C4273" t="inlineStr">
        <is>
          <t>Avverkning för att bevara och utveckla /försöksver</t>
        </is>
      </c>
      <c r="D4273" s="1" t="n">
        <v>46188</v>
      </c>
      <c r="E4273" s="1" t="n">
        <v>46323</v>
      </c>
      <c r="F4273" t="inlineStr">
        <is>
          <t>KALMAR LÄN</t>
        </is>
      </c>
      <c r="G4273" t="inlineStr">
        <is>
          <t>EMMABODA</t>
        </is>
      </c>
      <c r="I4273" t="n">
        <v>5</v>
      </c>
      <c r="J4273" t="n">
        <v>0</v>
      </c>
      <c r="K4273" t="n">
        <v>0</v>
      </c>
      <c r="L4273" t="n">
        <v>0</v>
      </c>
      <c r="M4273" t="n">
        <v>0</v>
      </c>
      <c r="N4273" t="n">
        <v>0</v>
      </c>
      <c r="O4273" t="n">
        <v>0</v>
      </c>
      <c r="P4273" t="n">
        <v>0</v>
      </c>
      <c r="Q4273" t="n">
        <v>0</v>
      </c>
      <c r="R4273" t="n">
        <v>0</v>
      </c>
      <c r="S4273" t="n">
        <v>0</v>
      </c>
      <c r="T4273" t="n">
        <v>0</v>
      </c>
      <c r="U4273" t="n">
        <v>0</v>
      </c>
      <c r="V4273" s="2" t="inlineStr"/>
    </row>
    <row r="4274" ht="15" customHeight="1">
      <c r="A4274" t="inlineStr">
        <is>
          <t>A 7449-2026</t>
        </is>
      </c>
      <c r="B4274" t="inlineStr">
        <is>
          <t>avverkningsanmälan</t>
        </is>
      </c>
      <c r="C4274" t="inlineStr">
        <is>
          <t>Föryngringsavverkning</t>
        </is>
      </c>
      <c r="D4274" s="1" t="n">
        <v>46059</v>
      </c>
      <c r="E4274" s="1" t="n">
        <v>46323</v>
      </c>
      <c r="F4274" t="inlineStr">
        <is>
          <t>KALMAR LÄN</t>
        </is>
      </c>
      <c r="G4274" t="inlineStr">
        <is>
          <t>OSKARSHAMN</t>
        </is>
      </c>
      <c r="I4274" t="n">
        <v>0.8</v>
      </c>
      <c r="J4274" t="n">
        <v>0</v>
      </c>
      <c r="K4274" t="n">
        <v>0</v>
      </c>
      <c r="L4274" t="n">
        <v>0</v>
      </c>
      <c r="M4274" t="n">
        <v>0</v>
      </c>
      <c r="N4274" t="n">
        <v>0</v>
      </c>
      <c r="O4274" t="n">
        <v>0</v>
      </c>
      <c r="P4274" t="n">
        <v>0</v>
      </c>
      <c r="Q4274" t="n">
        <v>0</v>
      </c>
      <c r="R4274" t="n">
        <v>0</v>
      </c>
      <c r="S4274" t="n">
        <v>0</v>
      </c>
      <c r="T4274" t="n">
        <v>0</v>
      </c>
      <c r="U4274" t="n">
        <v>0</v>
      </c>
      <c r="V4274" s="2" t="inlineStr"/>
    </row>
    <row r="4275" ht="15" customHeight="1">
      <c r="A4275" t="inlineStr">
        <is>
          <t>A 7469-2026</t>
        </is>
      </c>
      <c r="B4275" t="inlineStr">
        <is>
          <t>avverkningsanmälan</t>
        </is>
      </c>
      <c r="C4275" t="inlineStr">
        <is>
          <t>Föryngringsavverkning</t>
        </is>
      </c>
      <c r="D4275" s="1" t="n">
        <v>46059</v>
      </c>
      <c r="E4275" s="1" t="n">
        <v>46323</v>
      </c>
      <c r="F4275" t="inlineStr">
        <is>
          <t>KALMAR LÄN</t>
        </is>
      </c>
      <c r="G4275" t="inlineStr">
        <is>
          <t>TORSÅS</t>
        </is>
      </c>
      <c r="I4275" t="n">
        <v>0.8</v>
      </c>
      <c r="J4275" t="n">
        <v>0</v>
      </c>
      <c r="K4275" t="n">
        <v>0</v>
      </c>
      <c r="L4275" t="n">
        <v>0</v>
      </c>
      <c r="M4275" t="n">
        <v>0</v>
      </c>
      <c r="N4275" t="n">
        <v>0</v>
      </c>
      <c r="O4275" t="n">
        <v>0</v>
      </c>
      <c r="P4275" t="n">
        <v>0</v>
      </c>
      <c r="Q4275" t="n">
        <v>0</v>
      </c>
      <c r="R4275" t="n">
        <v>0</v>
      </c>
      <c r="S4275" t="n">
        <v>0</v>
      </c>
      <c r="T4275" t="n">
        <v>0</v>
      </c>
      <c r="U4275" t="n">
        <v>0</v>
      </c>
      <c r="V4275" s="2" t="inlineStr"/>
    </row>
    <row r="4276" ht="15" customHeight="1">
      <c r="A4276" t="inlineStr">
        <is>
          <t>A 31835-2026</t>
        </is>
      </c>
      <c r="B4276" t="inlineStr">
        <is>
          <t>avverkningsanmälan</t>
        </is>
      </c>
      <c r="C4276" t="inlineStr">
        <is>
          <t>Föryngringsavverkning</t>
        </is>
      </c>
      <c r="D4276" s="1" t="n">
        <v>46230</v>
      </c>
      <c r="E4276" s="1" t="n">
        <v>46323</v>
      </c>
      <c r="F4276" t="inlineStr">
        <is>
          <t>KALMAR LÄN</t>
        </is>
      </c>
      <c r="G4276" t="inlineStr">
        <is>
          <t>OSKARSHAMN</t>
        </is>
      </c>
      <c r="I4276" t="n">
        <v>1.6</v>
      </c>
      <c r="J4276" t="n">
        <v>0</v>
      </c>
      <c r="K4276" t="n">
        <v>0</v>
      </c>
      <c r="L4276" t="n">
        <v>0</v>
      </c>
      <c r="M4276" t="n">
        <v>0</v>
      </c>
      <c r="N4276" t="n">
        <v>0</v>
      </c>
      <c r="O4276" t="n">
        <v>0</v>
      </c>
      <c r="P4276" t="n">
        <v>0</v>
      </c>
      <c r="Q4276" t="n">
        <v>0</v>
      </c>
      <c r="R4276" t="n">
        <v>0</v>
      </c>
      <c r="S4276" t="n">
        <v>0</v>
      </c>
      <c r="T4276" t="n">
        <v>0</v>
      </c>
      <c r="U4276" t="n">
        <v>0</v>
      </c>
      <c r="V4276" s="2" t="inlineStr"/>
    </row>
    <row r="4277" ht="15" customHeight="1">
      <c r="A4277" t="inlineStr">
        <is>
          <t>A 45292-2023</t>
        </is>
      </c>
      <c r="B4277" t="inlineStr">
        <is>
          <t>avverkningsanmälan</t>
        </is>
      </c>
      <c r="C4277" t="inlineStr">
        <is>
          <t>Föryngringsavverkning</t>
        </is>
      </c>
      <c r="D4277" s="1" t="n">
        <v>45188</v>
      </c>
      <c r="E4277" s="1" t="n">
        <v>46323</v>
      </c>
      <c r="F4277" t="inlineStr">
        <is>
          <t>KALMAR LÄN</t>
        </is>
      </c>
      <c r="G4277" t="inlineStr">
        <is>
          <t>EMMABODA</t>
        </is>
      </c>
      <c r="H4277" t="inlineStr">
        <is>
          <t>Kyrkan</t>
        </is>
      </c>
      <c r="I4277" t="n">
        <v>0.5</v>
      </c>
      <c r="J4277" t="n">
        <v>0</v>
      </c>
      <c r="K4277" t="n">
        <v>0</v>
      </c>
      <c r="L4277" t="n">
        <v>0</v>
      </c>
      <c r="M4277" t="n">
        <v>0</v>
      </c>
      <c r="N4277" t="n">
        <v>0</v>
      </c>
      <c r="O4277" t="n">
        <v>0</v>
      </c>
      <c r="P4277" t="n">
        <v>0</v>
      </c>
      <c r="Q4277" t="n">
        <v>0</v>
      </c>
      <c r="R4277" t="n">
        <v>0</v>
      </c>
      <c r="S4277" t="n">
        <v>0</v>
      </c>
      <c r="T4277" t="n">
        <v>0</v>
      </c>
      <c r="U4277" t="n">
        <v>0</v>
      </c>
      <c r="V4277" s="2" t="inlineStr"/>
    </row>
    <row r="4278" ht="15" customHeight="1">
      <c r="A4278" t="inlineStr">
        <is>
          <t>A 45293-2023</t>
        </is>
      </c>
      <c r="B4278" t="inlineStr">
        <is>
          <t>avverkningsanmälan</t>
        </is>
      </c>
      <c r="C4278" t="inlineStr">
        <is>
          <t>Föryngringsavverkning</t>
        </is>
      </c>
      <c r="D4278" s="1" t="n">
        <v>45188</v>
      </c>
      <c r="E4278" s="1" t="n">
        <v>46323</v>
      </c>
      <c r="F4278" t="inlineStr">
        <is>
          <t>KALMAR LÄN</t>
        </is>
      </c>
      <c r="G4278" t="inlineStr">
        <is>
          <t>EMMABODA</t>
        </is>
      </c>
      <c r="H4278" t="inlineStr">
        <is>
          <t>Kyrkan</t>
        </is>
      </c>
      <c r="I4278" t="n">
        <v>2.1</v>
      </c>
      <c r="J4278" t="n">
        <v>0</v>
      </c>
      <c r="K4278" t="n">
        <v>0</v>
      </c>
      <c r="L4278" t="n">
        <v>0</v>
      </c>
      <c r="M4278" t="n">
        <v>0</v>
      </c>
      <c r="N4278" t="n">
        <v>0</v>
      </c>
      <c r="O4278" t="n">
        <v>0</v>
      </c>
      <c r="P4278" t="n">
        <v>0</v>
      </c>
      <c r="Q4278" t="n">
        <v>0</v>
      </c>
      <c r="R4278" t="n">
        <v>0</v>
      </c>
      <c r="S4278" t="n">
        <v>0</v>
      </c>
      <c r="T4278" t="n">
        <v>0</v>
      </c>
      <c r="U4278" t="n">
        <v>0</v>
      </c>
      <c r="V4278" s="2" t="inlineStr"/>
    </row>
    <row r="4279" ht="15" customHeight="1">
      <c r="A4279" t="inlineStr">
        <is>
          <t>A 7840-2025</t>
        </is>
      </c>
      <c r="B4279" t="inlineStr">
        <is>
          <t>avverkningsanmälan</t>
        </is>
      </c>
      <c r="C4279" t="inlineStr">
        <is>
          <t>Föryngringsavverkning</t>
        </is>
      </c>
      <c r="D4279" s="1" t="n">
        <v>45706</v>
      </c>
      <c r="E4279" s="1" t="n">
        <v>46323</v>
      </c>
      <c r="F4279" t="inlineStr">
        <is>
          <t>KALMAR LÄN</t>
        </is>
      </c>
      <c r="G4279" t="inlineStr">
        <is>
          <t>VÄSTERVIK</t>
        </is>
      </c>
      <c r="I4279" t="n">
        <v>0.7</v>
      </c>
      <c r="J4279" t="n">
        <v>0</v>
      </c>
      <c r="K4279" t="n">
        <v>0</v>
      </c>
      <c r="L4279" t="n">
        <v>0</v>
      </c>
      <c r="M4279" t="n">
        <v>0</v>
      </c>
      <c r="N4279" t="n">
        <v>0</v>
      </c>
      <c r="O4279" t="n">
        <v>0</v>
      </c>
      <c r="P4279" t="n">
        <v>0</v>
      </c>
      <c r="Q4279" t="n">
        <v>0</v>
      </c>
      <c r="R4279" t="n">
        <v>0</v>
      </c>
      <c r="S4279" t="n">
        <v>0</v>
      </c>
      <c r="T4279" t="n">
        <v>0</v>
      </c>
      <c r="U4279" t="n">
        <v>0</v>
      </c>
      <c r="V4279" s="2" t="inlineStr"/>
    </row>
    <row r="4280" ht="15" customHeight="1">
      <c r="A4280" t="inlineStr">
        <is>
          <t>A 31833-2026</t>
        </is>
      </c>
      <c r="B4280" t="inlineStr">
        <is>
          <t>avverkningsanmälan</t>
        </is>
      </c>
      <c r="C4280" t="inlineStr">
        <is>
          <t>Föryngringsavverkning</t>
        </is>
      </c>
      <c r="D4280" s="1" t="n">
        <v>46230</v>
      </c>
      <c r="E4280" s="1" t="n">
        <v>46323</v>
      </c>
      <c r="F4280" t="inlineStr">
        <is>
          <t>KALMAR LÄN</t>
        </is>
      </c>
      <c r="G4280" t="inlineStr">
        <is>
          <t>MÖNSTERÅS</t>
        </is>
      </c>
      <c r="I4280" t="n">
        <v>4.7</v>
      </c>
      <c r="J4280" t="n">
        <v>0</v>
      </c>
      <c r="K4280" t="n">
        <v>0</v>
      </c>
      <c r="L4280" t="n">
        <v>0</v>
      </c>
      <c r="M4280" t="n">
        <v>0</v>
      </c>
      <c r="N4280" t="n">
        <v>0</v>
      </c>
      <c r="O4280" t="n">
        <v>0</v>
      </c>
      <c r="P4280" t="n">
        <v>0</v>
      </c>
      <c r="Q4280" t="n">
        <v>0</v>
      </c>
      <c r="R4280" t="n">
        <v>0</v>
      </c>
      <c r="S4280" t="n">
        <v>0</v>
      </c>
      <c r="T4280" t="n">
        <v>0</v>
      </c>
      <c r="U4280" t="n">
        <v>0</v>
      </c>
      <c r="V4280" s="2" t="inlineStr"/>
    </row>
    <row r="4281" ht="15" customHeight="1">
      <c r="A4281" t="inlineStr">
        <is>
          <t>A 7443-2026</t>
        </is>
      </c>
      <c r="B4281" t="inlineStr">
        <is>
          <t>avverkningsanmälan</t>
        </is>
      </c>
      <c r="C4281" t="inlineStr">
        <is>
          <t>Avverkning för att bevara och utveckla /försöksver</t>
        </is>
      </c>
      <c r="D4281" s="1" t="n">
        <v>46059</v>
      </c>
      <c r="E4281" s="1" t="n">
        <v>46323</v>
      </c>
      <c r="F4281" t="inlineStr">
        <is>
          <t>KALMAR LÄN</t>
        </is>
      </c>
      <c r="G4281" t="inlineStr">
        <is>
          <t>HÖGSBY</t>
        </is>
      </c>
      <c r="H4281" t="inlineStr">
        <is>
          <t>Sveaskog</t>
        </is>
      </c>
      <c r="I4281" t="n">
        <v>7.7</v>
      </c>
      <c r="J4281" t="n">
        <v>0</v>
      </c>
      <c r="K4281" t="n">
        <v>0</v>
      </c>
      <c r="L4281" t="n">
        <v>0</v>
      </c>
      <c r="M4281" t="n">
        <v>0</v>
      </c>
      <c r="N4281" t="n">
        <v>0</v>
      </c>
      <c r="O4281" t="n">
        <v>0</v>
      </c>
      <c r="P4281" t="n">
        <v>0</v>
      </c>
      <c r="Q4281" t="n">
        <v>0</v>
      </c>
      <c r="R4281" t="n">
        <v>0</v>
      </c>
      <c r="S4281" t="n">
        <v>0</v>
      </c>
      <c r="T4281" t="n">
        <v>0</v>
      </c>
      <c r="U4281" t="n">
        <v>0</v>
      </c>
      <c r="V4281" s="2" t="inlineStr"/>
    </row>
    <row r="4282" ht="15" customHeight="1">
      <c r="A4282" t="inlineStr">
        <is>
          <t>A 54716-2024</t>
        </is>
      </c>
      <c r="B4282" t="inlineStr">
        <is>
          <t>avverkningsanmälan</t>
        </is>
      </c>
      <c r="C4282" t="inlineStr">
        <is>
          <t>Föryngringsavverkning</t>
        </is>
      </c>
      <c r="D4282" s="1" t="n">
        <v>45618</v>
      </c>
      <c r="E4282" s="1" t="n">
        <v>46323</v>
      </c>
      <c r="F4282" t="inlineStr">
        <is>
          <t>KALMAR LÄN</t>
        </is>
      </c>
      <c r="G4282" t="inlineStr">
        <is>
          <t>TORSÅS</t>
        </is>
      </c>
      <c r="I4282" t="n">
        <v>1</v>
      </c>
      <c r="J4282" t="n">
        <v>0</v>
      </c>
      <c r="K4282" t="n">
        <v>0</v>
      </c>
      <c r="L4282" t="n">
        <v>0</v>
      </c>
      <c r="M4282" t="n">
        <v>0</v>
      </c>
      <c r="N4282" t="n">
        <v>0</v>
      </c>
      <c r="O4282" t="n">
        <v>0</v>
      </c>
      <c r="P4282" t="n">
        <v>0</v>
      </c>
      <c r="Q4282" t="n">
        <v>0</v>
      </c>
      <c r="R4282" t="n">
        <v>0</v>
      </c>
      <c r="S4282" t="n">
        <v>0</v>
      </c>
      <c r="T4282" t="n">
        <v>0</v>
      </c>
      <c r="U4282" t="n">
        <v>0</v>
      </c>
      <c r="V4282" s="2" t="inlineStr"/>
    </row>
    <row r="4283" ht="15" customHeight="1">
      <c r="A4283" t="inlineStr">
        <is>
          <t>A 36491-2024</t>
        </is>
      </c>
      <c r="B4283" t="inlineStr">
        <is>
          <t>avverkningsanmälan</t>
        </is>
      </c>
      <c r="C4283" t="inlineStr">
        <is>
          <t>Föryngringsavverkning</t>
        </is>
      </c>
      <c r="D4283" s="1" t="n">
        <v>45537</v>
      </c>
      <c r="E4283" s="1" t="n">
        <v>46323</v>
      </c>
      <c r="F4283" t="inlineStr">
        <is>
          <t>KALMAR LÄN</t>
        </is>
      </c>
      <c r="G4283" t="inlineStr">
        <is>
          <t>EMMABODA</t>
        </is>
      </c>
      <c r="I4283" t="n">
        <v>1.7</v>
      </c>
      <c r="J4283" t="n">
        <v>0</v>
      </c>
      <c r="K4283" t="n">
        <v>0</v>
      </c>
      <c r="L4283" t="n">
        <v>0</v>
      </c>
      <c r="M4283" t="n">
        <v>0</v>
      </c>
      <c r="N4283" t="n">
        <v>0</v>
      </c>
      <c r="O4283" t="n">
        <v>0</v>
      </c>
      <c r="P4283" t="n">
        <v>0</v>
      </c>
      <c r="Q4283" t="n">
        <v>0</v>
      </c>
      <c r="R4283" t="n">
        <v>0</v>
      </c>
      <c r="S4283" t="n">
        <v>0</v>
      </c>
      <c r="T4283" t="n">
        <v>0</v>
      </c>
      <c r="U4283" t="n">
        <v>0</v>
      </c>
      <c r="V4283" s="2" t="inlineStr"/>
    </row>
    <row r="4284" ht="15" customHeight="1">
      <c r="A4284" t="inlineStr">
        <is>
          <t>A 24819-2025</t>
        </is>
      </c>
      <c r="B4284" t="inlineStr">
        <is>
          <t>avverkningsanmälan</t>
        </is>
      </c>
      <c r="C4284" t="inlineStr">
        <is>
          <t>Föryngringsavverkning</t>
        </is>
      </c>
      <c r="D4284" s="1" t="n">
        <v>45799</v>
      </c>
      <c r="E4284" s="1" t="n">
        <v>46323</v>
      </c>
      <c r="F4284" t="inlineStr">
        <is>
          <t>KALMAR LÄN</t>
        </is>
      </c>
      <c r="G4284" t="inlineStr">
        <is>
          <t>VÄSTERVIK</t>
        </is>
      </c>
      <c r="I4284" t="n">
        <v>1.2</v>
      </c>
      <c r="J4284" t="n">
        <v>0</v>
      </c>
      <c r="K4284" t="n">
        <v>0</v>
      </c>
      <c r="L4284" t="n">
        <v>0</v>
      </c>
      <c r="M4284" t="n">
        <v>0</v>
      </c>
      <c r="N4284" t="n">
        <v>0</v>
      </c>
      <c r="O4284" t="n">
        <v>0</v>
      </c>
      <c r="P4284" t="n">
        <v>0</v>
      </c>
      <c r="Q4284" t="n">
        <v>0</v>
      </c>
      <c r="R4284" t="n">
        <v>0</v>
      </c>
      <c r="S4284" t="n">
        <v>0</v>
      </c>
      <c r="T4284" t="n">
        <v>0</v>
      </c>
      <c r="U4284" t="n">
        <v>0</v>
      </c>
      <c r="V4284" s="2" t="inlineStr"/>
    </row>
    <row r="4285" ht="15" customHeight="1">
      <c r="A4285" t="inlineStr">
        <is>
          <t>A 15292-2024</t>
        </is>
      </c>
      <c r="B4285" t="inlineStr">
        <is>
          <t>avverkningsanmälan</t>
        </is>
      </c>
      <c r="C4285" t="inlineStr">
        <is>
          <t>Föryngringsavverkning</t>
        </is>
      </c>
      <c r="D4285" s="1" t="n">
        <v>45400</v>
      </c>
      <c r="E4285" s="1" t="n">
        <v>46323</v>
      </c>
      <c r="F4285" t="inlineStr">
        <is>
          <t>KALMAR LÄN</t>
        </is>
      </c>
      <c r="G4285" t="inlineStr">
        <is>
          <t>EMMABODA</t>
        </is>
      </c>
      <c r="I4285" t="n">
        <v>2.2</v>
      </c>
      <c r="J4285" t="n">
        <v>0</v>
      </c>
      <c r="K4285" t="n">
        <v>0</v>
      </c>
      <c r="L4285" t="n">
        <v>0</v>
      </c>
      <c r="M4285" t="n">
        <v>0</v>
      </c>
      <c r="N4285" t="n">
        <v>0</v>
      </c>
      <c r="O4285" t="n">
        <v>0</v>
      </c>
      <c r="P4285" t="n">
        <v>0</v>
      </c>
      <c r="Q4285" t="n">
        <v>0</v>
      </c>
      <c r="R4285" t="n">
        <v>0</v>
      </c>
      <c r="S4285" t="n">
        <v>0</v>
      </c>
      <c r="T4285" t="n">
        <v>0</v>
      </c>
      <c r="U4285" t="n">
        <v>0</v>
      </c>
      <c r="V4285" s="2" t="inlineStr"/>
    </row>
    <row r="4286" ht="15" customHeight="1">
      <c r="A4286" t="inlineStr">
        <is>
          <t>A 3753-2025</t>
        </is>
      </c>
      <c r="B4286" t="inlineStr">
        <is>
          <t>avverkningsanmälan</t>
        </is>
      </c>
      <c r="C4286" t="inlineStr">
        <is>
          <t>Föryngringsavverkning</t>
        </is>
      </c>
      <c r="D4286" s="1" t="n">
        <v>45681</v>
      </c>
      <c r="E4286" s="1" t="n">
        <v>46323</v>
      </c>
      <c r="F4286" t="inlineStr">
        <is>
          <t>KALMAR LÄN</t>
        </is>
      </c>
      <c r="G4286" t="inlineStr">
        <is>
          <t>HULTSFRED</t>
        </is>
      </c>
      <c r="I4286" t="n">
        <v>2.3</v>
      </c>
      <c r="J4286" t="n">
        <v>0</v>
      </c>
      <c r="K4286" t="n">
        <v>0</v>
      </c>
      <c r="L4286" t="n">
        <v>0</v>
      </c>
      <c r="M4286" t="n">
        <v>0</v>
      </c>
      <c r="N4286" t="n">
        <v>0</v>
      </c>
      <c r="O4286" t="n">
        <v>0</v>
      </c>
      <c r="P4286" t="n">
        <v>0</v>
      </c>
      <c r="Q4286" t="n">
        <v>0</v>
      </c>
      <c r="R4286" t="n">
        <v>0</v>
      </c>
      <c r="S4286" t="n">
        <v>0</v>
      </c>
      <c r="T4286" t="n">
        <v>0</v>
      </c>
      <c r="U4286" t="n">
        <v>0</v>
      </c>
      <c r="V4286" s="2" t="inlineStr"/>
    </row>
    <row r="4287" ht="15" customHeight="1">
      <c r="A4287" t="inlineStr">
        <is>
          <t>A 7521-2026</t>
        </is>
      </c>
      <c r="B4287" t="inlineStr">
        <is>
          <t>avverkningsanmälan</t>
        </is>
      </c>
      <c r="C4287" t="inlineStr">
        <is>
          <t>Föryngringsavverkning</t>
        </is>
      </c>
      <c r="D4287" s="1" t="n">
        <v>46059</v>
      </c>
      <c r="E4287" s="1" t="n">
        <v>46323</v>
      </c>
      <c r="F4287" t="inlineStr">
        <is>
          <t>KALMAR LÄN</t>
        </is>
      </c>
      <c r="G4287" t="inlineStr">
        <is>
          <t>VÄSTERVIK</t>
        </is>
      </c>
      <c r="I4287" t="n">
        <v>1.8</v>
      </c>
      <c r="J4287" t="n">
        <v>0</v>
      </c>
      <c r="K4287" t="n">
        <v>0</v>
      </c>
      <c r="L4287" t="n">
        <v>0</v>
      </c>
      <c r="M4287" t="n">
        <v>0</v>
      </c>
      <c r="N4287" t="n">
        <v>0</v>
      </c>
      <c r="O4287" t="n">
        <v>0</v>
      </c>
      <c r="P4287" t="n">
        <v>0</v>
      </c>
      <c r="Q4287" t="n">
        <v>0</v>
      </c>
      <c r="R4287" t="n">
        <v>0</v>
      </c>
      <c r="S4287" t="n">
        <v>0</v>
      </c>
      <c r="T4287" t="n">
        <v>0</v>
      </c>
      <c r="U4287" t="n">
        <v>0</v>
      </c>
      <c r="V4287" s="2" t="inlineStr"/>
    </row>
    <row r="4288" ht="15" customHeight="1">
      <c r="A4288" t="inlineStr">
        <is>
          <t>A 32014-2026</t>
        </is>
      </c>
      <c r="B4288" t="inlineStr">
        <is>
          <t>avverkningsanmälan</t>
        </is>
      </c>
      <c r="C4288" t="inlineStr">
        <is>
          <t>Föryngringsavverkning</t>
        </is>
      </c>
      <c r="D4288" s="1" t="n">
        <v>46233</v>
      </c>
      <c r="E4288" s="1" t="n">
        <v>46323</v>
      </c>
      <c r="F4288" t="inlineStr">
        <is>
          <t>KALMAR LÄN</t>
        </is>
      </c>
      <c r="G4288" t="inlineStr">
        <is>
          <t>VIMMERBY</t>
        </is>
      </c>
      <c r="I4288" t="n">
        <v>0.6</v>
      </c>
      <c r="J4288" t="n">
        <v>0</v>
      </c>
      <c r="K4288" t="n">
        <v>0</v>
      </c>
      <c r="L4288" t="n">
        <v>0</v>
      </c>
      <c r="M4288" t="n">
        <v>0</v>
      </c>
      <c r="N4288" t="n">
        <v>0</v>
      </c>
      <c r="O4288" t="n">
        <v>0</v>
      </c>
      <c r="P4288" t="n">
        <v>0</v>
      </c>
      <c r="Q4288" t="n">
        <v>0</v>
      </c>
      <c r="R4288" t="n">
        <v>0</v>
      </c>
      <c r="S4288" t="n">
        <v>0</v>
      </c>
      <c r="T4288" t="n">
        <v>0</v>
      </c>
      <c r="U4288" t="n">
        <v>0</v>
      </c>
      <c r="V4288" s="2" t="inlineStr"/>
    </row>
    <row r="4289" ht="15" customHeight="1">
      <c r="A4289" t="inlineStr">
        <is>
          <t>A 16268-2024</t>
        </is>
      </c>
      <c r="B4289" t="inlineStr">
        <is>
          <t>avverkningsanmälan</t>
        </is>
      </c>
      <c r="C4289" t="inlineStr">
        <is>
          <t>Föryngringsavverkning</t>
        </is>
      </c>
      <c r="D4289" s="1" t="n">
        <v>45407</v>
      </c>
      <c r="E4289" s="1" t="n">
        <v>46323</v>
      </c>
      <c r="F4289" t="inlineStr">
        <is>
          <t>KALMAR LÄN</t>
        </is>
      </c>
      <c r="G4289" t="inlineStr">
        <is>
          <t>NYBRO</t>
        </is>
      </c>
      <c r="I4289" t="n">
        <v>2.5</v>
      </c>
      <c r="J4289" t="n">
        <v>0</v>
      </c>
      <c r="K4289" t="n">
        <v>0</v>
      </c>
      <c r="L4289" t="n">
        <v>0</v>
      </c>
      <c r="M4289" t="n">
        <v>0</v>
      </c>
      <c r="N4289" t="n">
        <v>0</v>
      </c>
      <c r="O4289" t="n">
        <v>0</v>
      </c>
      <c r="P4289" t="n">
        <v>0</v>
      </c>
      <c r="Q4289" t="n">
        <v>0</v>
      </c>
      <c r="R4289" t="n">
        <v>0</v>
      </c>
      <c r="S4289" t="n">
        <v>0</v>
      </c>
      <c r="T4289" t="n">
        <v>0</v>
      </c>
      <c r="U4289" t="n">
        <v>0</v>
      </c>
      <c r="V4289" s="2" t="inlineStr"/>
    </row>
    <row r="4290" ht="15" customHeight="1">
      <c r="A4290" t="inlineStr">
        <is>
          <t>A 31975-2026</t>
        </is>
      </c>
      <c r="B4290" t="inlineStr">
        <is>
          <t>avverkningsanmälan</t>
        </is>
      </c>
      <c r="C4290" t="inlineStr">
        <is>
          <t>Föryngringsavverkning</t>
        </is>
      </c>
      <c r="D4290" s="1" t="n">
        <v>46232</v>
      </c>
      <c r="E4290" s="1" t="n">
        <v>46323</v>
      </c>
      <c r="F4290" t="inlineStr">
        <is>
          <t>KALMAR LÄN</t>
        </is>
      </c>
      <c r="G4290" t="inlineStr">
        <is>
          <t>VIMMERBY</t>
        </is>
      </c>
      <c r="I4290" t="n">
        <v>1.8</v>
      </c>
      <c r="J4290" t="n">
        <v>0</v>
      </c>
      <c r="K4290" t="n">
        <v>0</v>
      </c>
      <c r="L4290" t="n">
        <v>0</v>
      </c>
      <c r="M4290" t="n">
        <v>0</v>
      </c>
      <c r="N4290" t="n">
        <v>0</v>
      </c>
      <c r="O4290" t="n">
        <v>0</v>
      </c>
      <c r="P4290" t="n">
        <v>0</v>
      </c>
      <c r="Q4290" t="n">
        <v>0</v>
      </c>
      <c r="R4290" t="n">
        <v>0</v>
      </c>
      <c r="S4290" t="n">
        <v>0</v>
      </c>
      <c r="T4290" t="n">
        <v>0</v>
      </c>
      <c r="U4290" t="n">
        <v>0</v>
      </c>
      <c r="V4290" s="2" t="inlineStr"/>
    </row>
    <row r="4291" ht="15" customHeight="1">
      <c r="A4291" t="inlineStr">
        <is>
          <t>A 3762-2025</t>
        </is>
      </c>
      <c r="B4291" t="inlineStr">
        <is>
          <t>avverkningsanmälan</t>
        </is>
      </c>
      <c r="C4291" t="inlineStr">
        <is>
          <t>Föryngringsavverkning</t>
        </is>
      </c>
      <c r="D4291" s="1" t="n">
        <v>45681</v>
      </c>
      <c r="E4291" s="1" t="n">
        <v>46323</v>
      </c>
      <c r="F4291" t="inlineStr">
        <is>
          <t>KALMAR LÄN</t>
        </is>
      </c>
      <c r="G4291" t="inlineStr">
        <is>
          <t>HULTSFRED</t>
        </is>
      </c>
      <c r="I4291" t="n">
        <v>2.1</v>
      </c>
      <c r="J4291" t="n">
        <v>0</v>
      </c>
      <c r="K4291" t="n">
        <v>0</v>
      </c>
      <c r="L4291" t="n">
        <v>0</v>
      </c>
      <c r="M4291" t="n">
        <v>0</v>
      </c>
      <c r="N4291" t="n">
        <v>0</v>
      </c>
      <c r="O4291" t="n">
        <v>0</v>
      </c>
      <c r="P4291" t="n">
        <v>0</v>
      </c>
      <c r="Q4291" t="n">
        <v>0</v>
      </c>
      <c r="R4291" t="n">
        <v>0</v>
      </c>
      <c r="S4291" t="n">
        <v>0</v>
      </c>
      <c r="T4291" t="n">
        <v>0</v>
      </c>
      <c r="U4291" t="n">
        <v>0</v>
      </c>
      <c r="V4291" s="2" t="inlineStr"/>
    </row>
    <row r="4292" ht="15" customHeight="1">
      <c r="A4292" t="inlineStr">
        <is>
          <t>A 32133-2026</t>
        </is>
      </c>
      <c r="B4292" t="inlineStr">
        <is>
          <t>avverkningsanmälan</t>
        </is>
      </c>
      <c r="C4292" t="inlineStr">
        <is>
          <t>Föryngringsavverkning</t>
        </is>
      </c>
      <c r="D4292" s="1" t="n">
        <v>46234</v>
      </c>
      <c r="E4292" s="1" t="n">
        <v>46323</v>
      </c>
      <c r="F4292" t="inlineStr">
        <is>
          <t>KALMAR LÄN</t>
        </is>
      </c>
      <c r="G4292" t="inlineStr">
        <is>
          <t>VIMMERBY</t>
        </is>
      </c>
      <c r="I4292" t="n">
        <v>0.9</v>
      </c>
      <c r="J4292" t="n">
        <v>0</v>
      </c>
      <c r="K4292" t="n">
        <v>0</v>
      </c>
      <c r="L4292" t="n">
        <v>0</v>
      </c>
      <c r="M4292" t="n">
        <v>0</v>
      </c>
      <c r="N4292" t="n">
        <v>0</v>
      </c>
      <c r="O4292" t="n">
        <v>0</v>
      </c>
      <c r="P4292" t="n">
        <v>0</v>
      </c>
      <c r="Q4292" t="n">
        <v>0</v>
      </c>
      <c r="R4292" t="n">
        <v>0</v>
      </c>
      <c r="S4292" t="n">
        <v>0</v>
      </c>
      <c r="T4292" t="n">
        <v>0</v>
      </c>
      <c r="U4292" t="n">
        <v>0</v>
      </c>
      <c r="V4292" s="2" t="inlineStr"/>
    </row>
    <row r="4293" ht="15" customHeight="1">
      <c r="A4293" t="inlineStr">
        <is>
          <t>A 8397-2023</t>
        </is>
      </c>
      <c r="B4293" t="inlineStr">
        <is>
          <t>avverkningsanmälan</t>
        </is>
      </c>
      <c r="C4293" t="inlineStr">
        <is>
          <t>Avverkning för annat ändamål</t>
        </is>
      </c>
      <c r="D4293" s="1" t="n">
        <v>44977</v>
      </c>
      <c r="E4293" s="1" t="n">
        <v>46323</v>
      </c>
      <c r="F4293" t="inlineStr">
        <is>
          <t>KALMAR LÄN</t>
        </is>
      </c>
      <c r="G4293" t="inlineStr">
        <is>
          <t>EMMABODA</t>
        </is>
      </c>
      <c r="I4293" t="n">
        <v>5.6</v>
      </c>
      <c r="J4293" t="n">
        <v>0</v>
      </c>
      <c r="K4293" t="n">
        <v>0</v>
      </c>
      <c r="L4293" t="n">
        <v>0</v>
      </c>
      <c r="M4293" t="n">
        <v>0</v>
      </c>
      <c r="N4293" t="n">
        <v>0</v>
      </c>
      <c r="O4293" t="n">
        <v>0</v>
      </c>
      <c r="P4293" t="n">
        <v>0</v>
      </c>
      <c r="Q4293" t="n">
        <v>0</v>
      </c>
      <c r="R4293" t="n">
        <v>0</v>
      </c>
      <c r="S4293" t="n">
        <v>0</v>
      </c>
      <c r="T4293" t="n">
        <v>0</v>
      </c>
      <c r="U4293" t="n">
        <v>0</v>
      </c>
      <c r="V4293" s="2" t="inlineStr"/>
    </row>
    <row r="4294" ht="15" customHeight="1">
      <c r="A4294" t="inlineStr">
        <is>
          <t>A 58703-2023</t>
        </is>
      </c>
      <c r="B4294" t="inlineStr">
        <is>
          <t>avverkningsanmälan</t>
        </is>
      </c>
      <c r="C4294" t="inlineStr">
        <is>
          <t>Föryngringsavverkning</t>
        </is>
      </c>
      <c r="D4294" s="1" t="n">
        <v>45251</v>
      </c>
      <c r="E4294" s="1" t="n">
        <v>46323</v>
      </c>
      <c r="F4294" t="inlineStr">
        <is>
          <t>KALMAR LÄN</t>
        </is>
      </c>
      <c r="G4294" t="inlineStr">
        <is>
          <t>VÄSTERVIK</t>
        </is>
      </c>
      <c r="H4294" t="inlineStr">
        <is>
          <t>Övriga Aktiebolag</t>
        </is>
      </c>
      <c r="I4294" t="n">
        <v>2.7</v>
      </c>
      <c r="J4294" t="n">
        <v>0</v>
      </c>
      <c r="K4294" t="n">
        <v>0</v>
      </c>
      <c r="L4294" t="n">
        <v>0</v>
      </c>
      <c r="M4294" t="n">
        <v>0</v>
      </c>
      <c r="N4294" t="n">
        <v>0</v>
      </c>
      <c r="O4294" t="n">
        <v>0</v>
      </c>
      <c r="P4294" t="n">
        <v>0</v>
      </c>
      <c r="Q4294" t="n">
        <v>0</v>
      </c>
      <c r="R4294" t="n">
        <v>0</v>
      </c>
      <c r="S4294" t="n">
        <v>0</v>
      </c>
      <c r="T4294" t="n">
        <v>0</v>
      </c>
      <c r="U4294" t="n">
        <v>0</v>
      </c>
      <c r="V4294" s="2" t="inlineStr"/>
    </row>
    <row r="4295" ht="15" customHeight="1">
      <c r="A4295" t="inlineStr">
        <is>
          <t>A 58439-2023</t>
        </is>
      </c>
      <c r="B4295" t="inlineStr">
        <is>
          <t>avverkningsanmälan</t>
        </is>
      </c>
      <c r="C4295" t="inlineStr">
        <is>
          <t>Föryngringsavverkning</t>
        </is>
      </c>
      <c r="D4295" s="1" t="n">
        <v>45250</v>
      </c>
      <c r="E4295" s="1" t="n">
        <v>46323</v>
      </c>
      <c r="F4295" t="inlineStr">
        <is>
          <t>KALMAR LÄN</t>
        </is>
      </c>
      <c r="G4295" t="inlineStr">
        <is>
          <t>TORSÅS</t>
        </is>
      </c>
      <c r="I4295" t="n">
        <v>0.6</v>
      </c>
      <c r="J4295" t="n">
        <v>0</v>
      </c>
      <c r="K4295" t="n">
        <v>0</v>
      </c>
      <c r="L4295" t="n">
        <v>0</v>
      </c>
      <c r="M4295" t="n">
        <v>0</v>
      </c>
      <c r="N4295" t="n">
        <v>0</v>
      </c>
      <c r="O4295" t="n">
        <v>0</v>
      </c>
      <c r="P4295" t="n">
        <v>0</v>
      </c>
      <c r="Q4295" t="n">
        <v>0</v>
      </c>
      <c r="R4295" t="n">
        <v>0</v>
      </c>
      <c r="S4295" t="n">
        <v>0</v>
      </c>
      <c r="T4295" t="n">
        <v>0</v>
      </c>
      <c r="U4295" t="n">
        <v>0</v>
      </c>
      <c r="V4295" s="2" t="inlineStr"/>
    </row>
    <row r="4296" ht="15" customHeight="1">
      <c r="A4296" t="inlineStr">
        <is>
          <t>A 38114-2023</t>
        </is>
      </c>
      <c r="B4296" t="inlineStr">
        <is>
          <t>avverkningsanmälan</t>
        </is>
      </c>
      <c r="C4296" t="inlineStr">
        <is>
          <t>Föryngringsavverkning</t>
        </is>
      </c>
      <c r="D4296" s="1" t="n">
        <v>45161</v>
      </c>
      <c r="E4296" s="1" t="n">
        <v>46323</v>
      </c>
      <c r="F4296" t="inlineStr">
        <is>
          <t>KALMAR LÄN</t>
        </is>
      </c>
      <c r="G4296" t="inlineStr">
        <is>
          <t>TORSÅS</t>
        </is>
      </c>
      <c r="I4296" t="n">
        <v>2</v>
      </c>
      <c r="J4296" t="n">
        <v>0</v>
      </c>
      <c r="K4296" t="n">
        <v>0</v>
      </c>
      <c r="L4296" t="n">
        <v>0</v>
      </c>
      <c r="M4296" t="n">
        <v>0</v>
      </c>
      <c r="N4296" t="n">
        <v>0</v>
      </c>
      <c r="O4296" t="n">
        <v>0</v>
      </c>
      <c r="P4296" t="n">
        <v>0</v>
      </c>
      <c r="Q4296" t="n">
        <v>0</v>
      </c>
      <c r="R4296" t="n">
        <v>0</v>
      </c>
      <c r="S4296" t="n">
        <v>0</v>
      </c>
      <c r="T4296" t="n">
        <v>0</v>
      </c>
      <c r="U4296" t="n">
        <v>0</v>
      </c>
      <c r="V4296" s="2" t="inlineStr"/>
    </row>
    <row r="4297" ht="15" customHeight="1">
      <c r="A4297" t="inlineStr">
        <is>
          <t>A 35082-2024</t>
        </is>
      </c>
      <c r="B4297" t="inlineStr">
        <is>
          <t>avverkningsanmälan</t>
        </is>
      </c>
      <c r="C4297" t="inlineStr">
        <is>
          <t>Föryngringsavverkning</t>
        </is>
      </c>
      <c r="D4297" s="1" t="n">
        <v>45527</v>
      </c>
      <c r="E4297" s="1" t="n">
        <v>46323</v>
      </c>
      <c r="F4297" t="inlineStr">
        <is>
          <t>KALMAR LÄN</t>
        </is>
      </c>
      <c r="G4297" t="inlineStr">
        <is>
          <t>VIMMERBY</t>
        </is>
      </c>
      <c r="I4297" t="n">
        <v>0.8</v>
      </c>
      <c r="J4297" t="n">
        <v>0</v>
      </c>
      <c r="K4297" t="n">
        <v>0</v>
      </c>
      <c r="L4297" t="n">
        <v>0</v>
      </c>
      <c r="M4297" t="n">
        <v>0</v>
      </c>
      <c r="N4297" t="n">
        <v>0</v>
      </c>
      <c r="O4297" t="n">
        <v>0</v>
      </c>
      <c r="P4297" t="n">
        <v>0</v>
      </c>
      <c r="Q4297" t="n">
        <v>0</v>
      </c>
      <c r="R4297" t="n">
        <v>0</v>
      </c>
      <c r="S4297" t="n">
        <v>0</v>
      </c>
      <c r="T4297" t="n">
        <v>0</v>
      </c>
      <c r="U4297" t="n">
        <v>0</v>
      </c>
      <c r="V4297" s="2" t="inlineStr"/>
    </row>
    <row r="4298" ht="15" customHeight="1">
      <c r="A4298" t="inlineStr">
        <is>
          <t>A 8115-2026</t>
        </is>
      </c>
      <c r="B4298" t="inlineStr">
        <is>
          <t>avverkningsanmälan</t>
        </is>
      </c>
      <c r="C4298" t="inlineStr">
        <is>
          <t>Avverkning för annat ändamål</t>
        </is>
      </c>
      <c r="D4298" s="1" t="n">
        <v>46062</v>
      </c>
      <c r="E4298" s="1" t="n">
        <v>46323</v>
      </c>
      <c r="F4298" t="inlineStr">
        <is>
          <t>KALMAR LÄN</t>
        </is>
      </c>
      <c r="G4298" t="inlineStr">
        <is>
          <t>HULTSFRED</t>
        </is>
      </c>
      <c r="I4298" t="n">
        <v>17.2</v>
      </c>
      <c r="J4298" t="n">
        <v>0</v>
      </c>
      <c r="K4298" t="n">
        <v>0</v>
      </c>
      <c r="L4298" t="n">
        <v>0</v>
      </c>
      <c r="M4298" t="n">
        <v>0</v>
      </c>
      <c r="N4298" t="n">
        <v>0</v>
      </c>
      <c r="O4298" t="n">
        <v>0</v>
      </c>
      <c r="P4298" t="n">
        <v>0</v>
      </c>
      <c r="Q4298" t="n">
        <v>0</v>
      </c>
      <c r="R4298" t="n">
        <v>0</v>
      </c>
      <c r="S4298" t="n">
        <v>0</v>
      </c>
      <c r="T4298" t="n">
        <v>0</v>
      </c>
      <c r="U4298" t="n">
        <v>0</v>
      </c>
      <c r="V4298" s="2" t="inlineStr"/>
    </row>
    <row r="4299" ht="15" customHeight="1">
      <c r="A4299" t="inlineStr">
        <is>
          <t>A 24257-2022</t>
        </is>
      </c>
      <c r="B4299" t="inlineStr">
        <is>
          <t>avverkningsanmälan</t>
        </is>
      </c>
      <c r="C4299" t="inlineStr">
        <is>
          <t>Föryngringsavverkning</t>
        </is>
      </c>
      <c r="D4299" s="1" t="n">
        <v>44725</v>
      </c>
      <c r="E4299" s="1" t="n">
        <v>46323</v>
      </c>
      <c r="F4299" t="inlineStr">
        <is>
          <t>KALMAR LÄN</t>
        </is>
      </c>
      <c r="G4299" t="inlineStr">
        <is>
          <t>HULTSFRED</t>
        </is>
      </c>
      <c r="I4299" t="n">
        <v>2.3</v>
      </c>
      <c r="J4299" t="n">
        <v>0</v>
      </c>
      <c r="K4299" t="n">
        <v>0</v>
      </c>
      <c r="L4299" t="n">
        <v>0</v>
      </c>
      <c r="M4299" t="n">
        <v>0</v>
      </c>
      <c r="N4299" t="n">
        <v>0</v>
      </c>
      <c r="O4299" t="n">
        <v>0</v>
      </c>
      <c r="P4299" t="n">
        <v>0</v>
      </c>
      <c r="Q4299" t="n">
        <v>0</v>
      </c>
      <c r="R4299" t="n">
        <v>0</v>
      </c>
      <c r="S4299" t="n">
        <v>0</v>
      </c>
      <c r="T4299" t="n">
        <v>0</v>
      </c>
      <c r="U4299" t="n">
        <v>0</v>
      </c>
      <c r="V4299" s="2" t="inlineStr"/>
    </row>
    <row r="4300" ht="15" customHeight="1">
      <c r="A4300" t="inlineStr">
        <is>
          <t>A 55723-2023</t>
        </is>
      </c>
      <c r="B4300" t="inlineStr">
        <is>
          <t>avverkningsanmälan</t>
        </is>
      </c>
      <c r="C4300" t="inlineStr">
        <is>
          <t>Föryngringsavverkning</t>
        </is>
      </c>
      <c r="D4300" s="1" t="n">
        <v>45239</v>
      </c>
      <c r="E4300" s="1" t="n">
        <v>46323</v>
      </c>
      <c r="F4300" t="inlineStr">
        <is>
          <t>KALMAR LÄN</t>
        </is>
      </c>
      <c r="G4300" t="inlineStr">
        <is>
          <t>NYBRO</t>
        </is>
      </c>
      <c r="I4300" t="n">
        <v>2.4</v>
      </c>
      <c r="J4300" t="n">
        <v>0</v>
      </c>
      <c r="K4300" t="n">
        <v>0</v>
      </c>
      <c r="L4300" t="n">
        <v>0</v>
      </c>
      <c r="M4300" t="n">
        <v>0</v>
      </c>
      <c r="N4300" t="n">
        <v>0</v>
      </c>
      <c r="O4300" t="n">
        <v>0</v>
      </c>
      <c r="P4300" t="n">
        <v>0</v>
      </c>
      <c r="Q4300" t="n">
        <v>0</v>
      </c>
      <c r="R4300" t="n">
        <v>0</v>
      </c>
      <c r="S4300" t="n">
        <v>0</v>
      </c>
      <c r="T4300" t="n">
        <v>0</v>
      </c>
      <c r="U4300" t="n">
        <v>0</v>
      </c>
      <c r="V4300" s="2" t="inlineStr"/>
    </row>
    <row r="4301" ht="15" customHeight="1">
      <c r="A4301" t="inlineStr">
        <is>
          <t>A 7711-2026</t>
        </is>
      </c>
      <c r="B4301" t="inlineStr">
        <is>
          <t>avverkningsanmälan</t>
        </is>
      </c>
      <c r="C4301" t="inlineStr">
        <is>
          <t>Föryngringsavverkning</t>
        </is>
      </c>
      <c r="D4301" s="1" t="n">
        <v>46062</v>
      </c>
      <c r="E4301" s="1" t="n">
        <v>46323</v>
      </c>
      <c r="F4301" t="inlineStr">
        <is>
          <t>KALMAR LÄN</t>
        </is>
      </c>
      <c r="G4301" t="inlineStr">
        <is>
          <t>KALMAR</t>
        </is>
      </c>
      <c r="I4301" t="n">
        <v>1.4</v>
      </c>
      <c r="J4301" t="n">
        <v>0</v>
      </c>
      <c r="K4301" t="n">
        <v>0</v>
      </c>
      <c r="L4301" t="n">
        <v>0</v>
      </c>
      <c r="M4301" t="n">
        <v>0</v>
      </c>
      <c r="N4301" t="n">
        <v>0</v>
      </c>
      <c r="O4301" t="n">
        <v>0</v>
      </c>
      <c r="P4301" t="n">
        <v>0</v>
      </c>
      <c r="Q4301" t="n">
        <v>0</v>
      </c>
      <c r="R4301" t="n">
        <v>0</v>
      </c>
      <c r="S4301" t="n">
        <v>0</v>
      </c>
      <c r="T4301" t="n">
        <v>0</v>
      </c>
      <c r="U4301" t="n">
        <v>0</v>
      </c>
      <c r="V4301" s="2" t="inlineStr"/>
    </row>
    <row r="4302" ht="15" customHeight="1">
      <c r="A4302" t="inlineStr">
        <is>
          <t>A 29757-2023</t>
        </is>
      </c>
      <c r="B4302" t="inlineStr">
        <is>
          <t>avverkningsanmälan</t>
        </is>
      </c>
      <c r="C4302" t="inlineStr">
        <is>
          <t>Föryngringsavverkning</t>
        </is>
      </c>
      <c r="D4302" s="1" t="n">
        <v>45107</v>
      </c>
      <c r="E4302" s="1" t="n">
        <v>46323</v>
      </c>
      <c r="F4302" t="inlineStr">
        <is>
          <t>KALMAR LÄN</t>
        </is>
      </c>
      <c r="G4302" t="inlineStr">
        <is>
          <t>EMMABODA</t>
        </is>
      </c>
      <c r="I4302" t="n">
        <v>0.4</v>
      </c>
      <c r="J4302" t="n">
        <v>0</v>
      </c>
      <c r="K4302" t="n">
        <v>0</v>
      </c>
      <c r="L4302" t="n">
        <v>0</v>
      </c>
      <c r="M4302" t="n">
        <v>0</v>
      </c>
      <c r="N4302" t="n">
        <v>0</v>
      </c>
      <c r="O4302" t="n">
        <v>0</v>
      </c>
      <c r="P4302" t="n">
        <v>0</v>
      </c>
      <c r="Q4302" t="n">
        <v>0</v>
      </c>
      <c r="R4302" t="n">
        <v>0</v>
      </c>
      <c r="S4302" t="n">
        <v>0</v>
      </c>
      <c r="T4302" t="n">
        <v>0</v>
      </c>
      <c r="U4302" t="n">
        <v>0</v>
      </c>
      <c r="V4302" s="2" t="inlineStr"/>
    </row>
    <row r="4303" ht="15" customHeight="1">
      <c r="A4303" t="inlineStr">
        <is>
          <t>A 37551-2023</t>
        </is>
      </c>
      <c r="B4303" t="inlineStr">
        <is>
          <t>avverkningsanmälan</t>
        </is>
      </c>
      <c r="C4303" t="inlineStr">
        <is>
          <t>Föryngringsavverkning</t>
        </is>
      </c>
      <c r="D4303" s="1" t="n">
        <v>45159</v>
      </c>
      <c r="E4303" s="1" t="n">
        <v>46323</v>
      </c>
      <c r="F4303" t="inlineStr">
        <is>
          <t>KALMAR LÄN</t>
        </is>
      </c>
      <c r="G4303" t="inlineStr">
        <is>
          <t>TORSÅS</t>
        </is>
      </c>
      <c r="I4303" t="n">
        <v>0.6</v>
      </c>
      <c r="J4303" t="n">
        <v>0</v>
      </c>
      <c r="K4303" t="n">
        <v>0</v>
      </c>
      <c r="L4303" t="n">
        <v>0</v>
      </c>
      <c r="M4303" t="n">
        <v>0</v>
      </c>
      <c r="N4303" t="n">
        <v>0</v>
      </c>
      <c r="O4303" t="n">
        <v>0</v>
      </c>
      <c r="P4303" t="n">
        <v>0</v>
      </c>
      <c r="Q4303" t="n">
        <v>0</v>
      </c>
      <c r="R4303" t="n">
        <v>0</v>
      </c>
      <c r="S4303" t="n">
        <v>0</v>
      </c>
      <c r="T4303" t="n">
        <v>0</v>
      </c>
      <c r="U4303" t="n">
        <v>0</v>
      </c>
      <c r="V4303" s="2" t="inlineStr"/>
    </row>
    <row r="4304" ht="15" customHeight="1">
      <c r="A4304" t="inlineStr">
        <is>
          <t>A 27419-2022</t>
        </is>
      </c>
      <c r="B4304" t="inlineStr">
        <is>
          <t>avverkningsanmälan</t>
        </is>
      </c>
      <c r="C4304" t="inlineStr">
        <is>
          <t>Föryngringsavverkning</t>
        </is>
      </c>
      <c r="D4304" s="1" t="n">
        <v>44742</v>
      </c>
      <c r="E4304" s="1" t="n">
        <v>46323</v>
      </c>
      <c r="F4304" t="inlineStr">
        <is>
          <t>KALMAR LÄN</t>
        </is>
      </c>
      <c r="G4304" t="inlineStr">
        <is>
          <t>NYBRO</t>
        </is>
      </c>
      <c r="I4304" t="n">
        <v>2.2</v>
      </c>
      <c r="J4304" t="n">
        <v>0</v>
      </c>
      <c r="K4304" t="n">
        <v>0</v>
      </c>
      <c r="L4304" t="n">
        <v>0</v>
      </c>
      <c r="M4304" t="n">
        <v>0</v>
      </c>
      <c r="N4304" t="n">
        <v>0</v>
      </c>
      <c r="O4304" t="n">
        <v>0</v>
      </c>
      <c r="P4304" t="n">
        <v>0</v>
      </c>
      <c r="Q4304" t="n">
        <v>0</v>
      </c>
      <c r="R4304" t="n">
        <v>0</v>
      </c>
      <c r="S4304" t="n">
        <v>0</v>
      </c>
      <c r="T4304" t="n">
        <v>0</v>
      </c>
      <c r="U4304" t="n">
        <v>0</v>
      </c>
      <c r="V4304" s="2" t="inlineStr"/>
    </row>
    <row r="4305" ht="15" customHeight="1">
      <c r="A4305" t="inlineStr">
        <is>
          <t>A 39845-2022</t>
        </is>
      </c>
      <c r="B4305" t="inlineStr">
        <is>
          <t>avverkningsanmälan</t>
        </is>
      </c>
      <c r="C4305" t="inlineStr">
        <is>
          <t>Avverkning för annat ändamål</t>
        </is>
      </c>
      <c r="D4305" s="1" t="n">
        <v>44819</v>
      </c>
      <c r="E4305" s="1" t="n">
        <v>46323</v>
      </c>
      <c r="F4305" t="inlineStr">
        <is>
          <t>KALMAR LÄN</t>
        </is>
      </c>
      <c r="G4305" t="inlineStr">
        <is>
          <t>HULTSFRED</t>
        </is>
      </c>
      <c r="I4305" t="n">
        <v>1.1</v>
      </c>
      <c r="J4305" t="n">
        <v>0</v>
      </c>
      <c r="K4305" t="n">
        <v>0</v>
      </c>
      <c r="L4305" t="n">
        <v>0</v>
      </c>
      <c r="M4305" t="n">
        <v>0</v>
      </c>
      <c r="N4305" t="n">
        <v>0</v>
      </c>
      <c r="O4305" t="n">
        <v>0</v>
      </c>
      <c r="P4305" t="n">
        <v>0</v>
      </c>
      <c r="Q4305" t="n">
        <v>0</v>
      </c>
      <c r="R4305" t="n">
        <v>0</v>
      </c>
      <c r="S4305" t="n">
        <v>0</v>
      </c>
      <c r="T4305" t="n">
        <v>0</v>
      </c>
      <c r="U4305" t="n">
        <v>0</v>
      </c>
      <c r="V4305" s="2" t="inlineStr"/>
    </row>
    <row r="4306" ht="15" customHeight="1">
      <c r="A4306" t="inlineStr">
        <is>
          <t>A 42909-2023</t>
        </is>
      </c>
      <c r="B4306" t="inlineStr">
        <is>
          <t>avverkningsanmälan</t>
        </is>
      </c>
      <c r="C4306" t="inlineStr">
        <is>
          <t>Föryngringsavverkning</t>
        </is>
      </c>
      <c r="D4306" s="1" t="n">
        <v>45182</v>
      </c>
      <c r="E4306" s="1" t="n">
        <v>46323</v>
      </c>
      <c r="F4306" t="inlineStr">
        <is>
          <t>KALMAR LÄN</t>
        </is>
      </c>
      <c r="G4306" t="inlineStr">
        <is>
          <t>TORSÅS</t>
        </is>
      </c>
      <c r="I4306" t="n">
        <v>0.4</v>
      </c>
      <c r="J4306" t="n">
        <v>0</v>
      </c>
      <c r="K4306" t="n">
        <v>0</v>
      </c>
      <c r="L4306" t="n">
        <v>0</v>
      </c>
      <c r="M4306" t="n">
        <v>0</v>
      </c>
      <c r="N4306" t="n">
        <v>0</v>
      </c>
      <c r="O4306" t="n">
        <v>0</v>
      </c>
      <c r="P4306" t="n">
        <v>0</v>
      </c>
      <c r="Q4306" t="n">
        <v>0</v>
      </c>
      <c r="R4306" t="n">
        <v>0</v>
      </c>
      <c r="S4306" t="n">
        <v>0</v>
      </c>
      <c r="T4306" t="n">
        <v>0</v>
      </c>
      <c r="U4306" t="n">
        <v>0</v>
      </c>
      <c r="V4306" s="2" t="inlineStr"/>
    </row>
    <row r="4307" ht="15" customHeight="1">
      <c r="A4307" t="inlineStr">
        <is>
          <t>A 42927-2023</t>
        </is>
      </c>
      <c r="B4307" t="inlineStr">
        <is>
          <t>avverkningsanmälan</t>
        </is>
      </c>
      <c r="C4307" t="inlineStr">
        <is>
          <t>Föryngringsavverkning</t>
        </is>
      </c>
      <c r="D4307" s="1" t="n">
        <v>45182</v>
      </c>
      <c r="E4307" s="1" t="n">
        <v>46323</v>
      </c>
      <c r="F4307" t="inlineStr">
        <is>
          <t>KALMAR LÄN</t>
        </is>
      </c>
      <c r="G4307" t="inlineStr">
        <is>
          <t>MÖNSTERÅS</t>
        </is>
      </c>
      <c r="I4307" t="n">
        <v>1.3</v>
      </c>
      <c r="J4307" t="n">
        <v>0</v>
      </c>
      <c r="K4307" t="n">
        <v>0</v>
      </c>
      <c r="L4307" t="n">
        <v>0</v>
      </c>
      <c r="M4307" t="n">
        <v>0</v>
      </c>
      <c r="N4307" t="n">
        <v>0</v>
      </c>
      <c r="O4307" t="n">
        <v>0</v>
      </c>
      <c r="P4307" t="n">
        <v>0</v>
      </c>
      <c r="Q4307" t="n">
        <v>0</v>
      </c>
      <c r="R4307" t="n">
        <v>0</v>
      </c>
      <c r="S4307" t="n">
        <v>0</v>
      </c>
      <c r="T4307" t="n">
        <v>0</v>
      </c>
      <c r="U4307" t="n">
        <v>0</v>
      </c>
      <c r="V4307" s="2" t="inlineStr"/>
    </row>
    <row r="4308" ht="15" customHeight="1">
      <c r="A4308" t="inlineStr">
        <is>
          <t>A 8121-2026</t>
        </is>
      </c>
      <c r="B4308" t="inlineStr">
        <is>
          <t>avverkningsanmälan</t>
        </is>
      </c>
      <c r="C4308" t="inlineStr">
        <is>
          <t>Föryngringsavverkning</t>
        </is>
      </c>
      <c r="D4308" s="1" t="n">
        <v>46063</v>
      </c>
      <c r="E4308" s="1" t="n">
        <v>46323</v>
      </c>
      <c r="F4308" t="inlineStr">
        <is>
          <t>KALMAR LÄN</t>
        </is>
      </c>
      <c r="G4308" t="inlineStr">
        <is>
          <t>KALMAR</t>
        </is>
      </c>
      <c r="I4308" t="n">
        <v>5.9</v>
      </c>
      <c r="J4308" t="n">
        <v>0</v>
      </c>
      <c r="K4308" t="n">
        <v>0</v>
      </c>
      <c r="L4308" t="n">
        <v>0</v>
      </c>
      <c r="M4308" t="n">
        <v>0</v>
      </c>
      <c r="N4308" t="n">
        <v>0</v>
      </c>
      <c r="O4308" t="n">
        <v>0</v>
      </c>
      <c r="P4308" t="n">
        <v>0</v>
      </c>
      <c r="Q4308" t="n">
        <v>0</v>
      </c>
      <c r="R4308" t="n">
        <v>0</v>
      </c>
      <c r="S4308" t="n">
        <v>0</v>
      </c>
      <c r="T4308" t="n">
        <v>0</v>
      </c>
      <c r="U4308" t="n">
        <v>0</v>
      </c>
      <c r="V4308" s="2" t="inlineStr"/>
    </row>
    <row r="4309" ht="15" customHeight="1">
      <c r="A4309" t="inlineStr">
        <is>
          <t>A 59940-2022</t>
        </is>
      </c>
      <c r="B4309" t="inlineStr">
        <is>
          <t>avverkningsanmälan</t>
        </is>
      </c>
      <c r="C4309" t="inlineStr">
        <is>
          <t>Föryngringsavverkning</t>
        </is>
      </c>
      <c r="D4309" s="1" t="n">
        <v>44909</v>
      </c>
      <c r="E4309" s="1" t="n">
        <v>46323</v>
      </c>
      <c r="F4309" t="inlineStr">
        <is>
          <t>KALMAR LÄN</t>
        </is>
      </c>
      <c r="G4309" t="inlineStr">
        <is>
          <t>NYBRO</t>
        </is>
      </c>
      <c r="I4309" t="n">
        <v>2.3</v>
      </c>
      <c r="J4309" t="n">
        <v>0</v>
      </c>
      <c r="K4309" t="n">
        <v>0</v>
      </c>
      <c r="L4309" t="n">
        <v>0</v>
      </c>
      <c r="M4309" t="n">
        <v>0</v>
      </c>
      <c r="N4309" t="n">
        <v>0</v>
      </c>
      <c r="O4309" t="n">
        <v>0</v>
      </c>
      <c r="P4309" t="n">
        <v>0</v>
      </c>
      <c r="Q4309" t="n">
        <v>0</v>
      </c>
      <c r="R4309" t="n">
        <v>0</v>
      </c>
      <c r="S4309" t="n">
        <v>0</v>
      </c>
      <c r="T4309" t="n">
        <v>0</v>
      </c>
      <c r="U4309" t="n">
        <v>0</v>
      </c>
      <c r="V4309" s="2" t="inlineStr"/>
    </row>
    <row r="4310" ht="15" customHeight="1">
      <c r="A4310" t="inlineStr">
        <is>
          <t>A 55967-2023</t>
        </is>
      </c>
      <c r="B4310" t="inlineStr">
        <is>
          <t>avverkningsanmälan</t>
        </is>
      </c>
      <c r="C4310" t="inlineStr">
        <is>
          <t>Föryngringsavverkning</t>
        </is>
      </c>
      <c r="D4310" s="1" t="n">
        <v>45240</v>
      </c>
      <c r="E4310" s="1" t="n">
        <v>46323</v>
      </c>
      <c r="F4310" t="inlineStr">
        <is>
          <t>KALMAR LÄN</t>
        </is>
      </c>
      <c r="G4310" t="inlineStr">
        <is>
          <t>TORSÅS</t>
        </is>
      </c>
      <c r="I4310" t="n">
        <v>1.2</v>
      </c>
      <c r="J4310" t="n">
        <v>0</v>
      </c>
      <c r="K4310" t="n">
        <v>0</v>
      </c>
      <c r="L4310" t="n">
        <v>0</v>
      </c>
      <c r="M4310" t="n">
        <v>0</v>
      </c>
      <c r="N4310" t="n">
        <v>0</v>
      </c>
      <c r="O4310" t="n">
        <v>0</v>
      </c>
      <c r="P4310" t="n">
        <v>0</v>
      </c>
      <c r="Q4310" t="n">
        <v>0</v>
      </c>
      <c r="R4310" t="n">
        <v>0</v>
      </c>
      <c r="S4310" t="n">
        <v>0</v>
      </c>
      <c r="T4310" t="n">
        <v>0</v>
      </c>
      <c r="U4310" t="n">
        <v>0</v>
      </c>
      <c r="V4310" s="2" t="inlineStr"/>
    </row>
    <row r="4311" ht="15" customHeight="1">
      <c r="A4311" t="inlineStr">
        <is>
          <t>A 45504-2023</t>
        </is>
      </c>
      <c r="B4311" t="inlineStr">
        <is>
          <t>avverkningsanmälan</t>
        </is>
      </c>
      <c r="C4311" t="inlineStr">
        <is>
          <t>Föryngringsavverkning</t>
        </is>
      </c>
      <c r="D4311" s="1" t="n">
        <v>45188</v>
      </c>
      <c r="E4311" s="1" t="n">
        <v>46323</v>
      </c>
      <c r="F4311" t="inlineStr">
        <is>
          <t>KALMAR LÄN</t>
        </is>
      </c>
      <c r="G4311" t="inlineStr">
        <is>
          <t>MÖNSTERÅS</t>
        </is>
      </c>
      <c r="I4311" t="n">
        <v>2.3</v>
      </c>
      <c r="J4311" t="n">
        <v>0</v>
      </c>
      <c r="K4311" t="n">
        <v>0</v>
      </c>
      <c r="L4311" t="n">
        <v>0</v>
      </c>
      <c r="M4311" t="n">
        <v>0</v>
      </c>
      <c r="N4311" t="n">
        <v>0</v>
      </c>
      <c r="O4311" t="n">
        <v>0</v>
      </c>
      <c r="P4311" t="n">
        <v>0</v>
      </c>
      <c r="Q4311" t="n">
        <v>0</v>
      </c>
      <c r="R4311" t="n">
        <v>0</v>
      </c>
      <c r="S4311" t="n">
        <v>0</v>
      </c>
      <c r="T4311" t="n">
        <v>0</v>
      </c>
      <c r="U4311" t="n">
        <v>0</v>
      </c>
      <c r="V4311" s="2" t="inlineStr"/>
    </row>
    <row r="4312" ht="15" customHeight="1">
      <c r="A4312" t="inlineStr">
        <is>
          <t>A 32131-2026</t>
        </is>
      </c>
      <c r="B4312" t="inlineStr">
        <is>
          <t>avverkningsanmälan</t>
        </is>
      </c>
      <c r="C4312" t="inlineStr">
        <is>
          <t>Föryngringsavverkning</t>
        </is>
      </c>
      <c r="D4312" s="1" t="n">
        <v>46234</v>
      </c>
      <c r="E4312" s="1" t="n">
        <v>46323</v>
      </c>
      <c r="F4312" t="inlineStr">
        <is>
          <t>KALMAR LÄN</t>
        </is>
      </c>
      <c r="G4312" t="inlineStr">
        <is>
          <t>VÄSTERVIK</t>
        </is>
      </c>
      <c r="H4312" t="inlineStr">
        <is>
          <t>Holmen skog AB</t>
        </is>
      </c>
      <c r="I4312" t="n">
        <v>5.7</v>
      </c>
      <c r="J4312" t="n">
        <v>0</v>
      </c>
      <c r="K4312" t="n">
        <v>0</v>
      </c>
      <c r="L4312" t="n">
        <v>0</v>
      </c>
      <c r="M4312" t="n">
        <v>0</v>
      </c>
      <c r="N4312" t="n">
        <v>0</v>
      </c>
      <c r="O4312" t="n">
        <v>0</v>
      </c>
      <c r="P4312" t="n">
        <v>0</v>
      </c>
      <c r="Q4312" t="n">
        <v>0</v>
      </c>
      <c r="R4312" t="n">
        <v>0</v>
      </c>
      <c r="S4312" t="n">
        <v>0</v>
      </c>
      <c r="T4312" t="n">
        <v>0</v>
      </c>
      <c r="U4312" t="n">
        <v>0</v>
      </c>
      <c r="V4312" s="2" t="inlineStr"/>
    </row>
    <row r="4313" ht="15" customHeight="1">
      <c r="A4313" t="inlineStr">
        <is>
          <t>A 16703-2022</t>
        </is>
      </c>
      <c r="B4313" t="inlineStr">
        <is>
          <t>avverkningsanmälan</t>
        </is>
      </c>
      <c r="C4313" t="inlineStr">
        <is>
          <t>Föryngringsavverkning</t>
        </is>
      </c>
      <c r="D4313" s="1" t="n">
        <v>44673</v>
      </c>
      <c r="E4313" s="1" t="n">
        <v>46323</v>
      </c>
      <c r="F4313" t="inlineStr">
        <is>
          <t>KALMAR LÄN</t>
        </is>
      </c>
      <c r="G4313" t="inlineStr">
        <is>
          <t>EMMABODA</t>
        </is>
      </c>
      <c r="I4313" t="n">
        <v>0.7</v>
      </c>
      <c r="J4313" t="n">
        <v>0</v>
      </c>
      <c r="K4313" t="n">
        <v>0</v>
      </c>
      <c r="L4313" t="n">
        <v>0</v>
      </c>
      <c r="M4313" t="n">
        <v>0</v>
      </c>
      <c r="N4313" t="n">
        <v>0</v>
      </c>
      <c r="O4313" t="n">
        <v>0</v>
      </c>
      <c r="P4313" t="n">
        <v>0</v>
      </c>
      <c r="Q4313" t="n">
        <v>0</v>
      </c>
      <c r="R4313" t="n">
        <v>0</v>
      </c>
      <c r="S4313" t="n">
        <v>0</v>
      </c>
      <c r="T4313" t="n">
        <v>0</v>
      </c>
      <c r="U4313" t="n">
        <v>0</v>
      </c>
      <c r="V4313" s="2" t="inlineStr"/>
    </row>
    <row r="4314" ht="15" customHeight="1">
      <c r="A4314" t="inlineStr">
        <is>
          <t>A 41531-2023</t>
        </is>
      </c>
      <c r="B4314" t="inlineStr">
        <is>
          <t>avverkningsanmälan</t>
        </is>
      </c>
      <c r="C4314" t="inlineStr">
        <is>
          <t>Föryngringsavverkning</t>
        </is>
      </c>
      <c r="D4314" s="1" t="n">
        <v>45175</v>
      </c>
      <c r="E4314" s="1" t="n">
        <v>46323</v>
      </c>
      <c r="F4314" t="inlineStr">
        <is>
          <t>KALMAR LÄN</t>
        </is>
      </c>
      <c r="G4314" t="inlineStr">
        <is>
          <t>NYBRO</t>
        </is>
      </c>
      <c r="I4314" t="n">
        <v>0.5</v>
      </c>
      <c r="J4314" t="n">
        <v>0</v>
      </c>
      <c r="K4314" t="n">
        <v>0</v>
      </c>
      <c r="L4314" t="n">
        <v>0</v>
      </c>
      <c r="M4314" t="n">
        <v>0</v>
      </c>
      <c r="N4314" t="n">
        <v>0</v>
      </c>
      <c r="O4314" t="n">
        <v>0</v>
      </c>
      <c r="P4314" t="n">
        <v>0</v>
      </c>
      <c r="Q4314" t="n">
        <v>0</v>
      </c>
      <c r="R4314" t="n">
        <v>0</v>
      </c>
      <c r="S4314" t="n">
        <v>0</v>
      </c>
      <c r="T4314" t="n">
        <v>0</v>
      </c>
      <c r="U4314" t="n">
        <v>0</v>
      </c>
      <c r="V4314" s="2" t="inlineStr"/>
    </row>
    <row r="4315" ht="15" customHeight="1">
      <c r="A4315" t="inlineStr">
        <is>
          <t>A 44549-2023</t>
        </is>
      </c>
      <c r="B4315" t="inlineStr">
        <is>
          <t>avverkningsanmälan</t>
        </is>
      </c>
      <c r="C4315" t="inlineStr">
        <is>
          <t>Föryngringsavverkning</t>
        </is>
      </c>
      <c r="D4315" s="1" t="n">
        <v>45189</v>
      </c>
      <c r="E4315" s="1" t="n">
        <v>46323</v>
      </c>
      <c r="F4315" t="inlineStr">
        <is>
          <t>KALMAR LÄN</t>
        </is>
      </c>
      <c r="G4315" t="inlineStr">
        <is>
          <t>KALMAR</t>
        </is>
      </c>
      <c r="I4315" t="n">
        <v>2</v>
      </c>
      <c r="J4315" t="n">
        <v>0</v>
      </c>
      <c r="K4315" t="n">
        <v>0</v>
      </c>
      <c r="L4315" t="n">
        <v>0</v>
      </c>
      <c r="M4315" t="n">
        <v>0</v>
      </c>
      <c r="N4315" t="n">
        <v>0</v>
      </c>
      <c r="O4315" t="n">
        <v>0</v>
      </c>
      <c r="P4315" t="n">
        <v>0</v>
      </c>
      <c r="Q4315" t="n">
        <v>0</v>
      </c>
      <c r="R4315" t="n">
        <v>0</v>
      </c>
      <c r="S4315" t="n">
        <v>0</v>
      </c>
      <c r="T4315" t="n">
        <v>0</v>
      </c>
      <c r="U4315" t="n">
        <v>0</v>
      </c>
      <c r="V4315" s="2" t="inlineStr"/>
    </row>
    <row r="4316" ht="15" customHeight="1">
      <c r="A4316" t="inlineStr">
        <is>
          <t>A 7871-2026</t>
        </is>
      </c>
      <c r="B4316" t="inlineStr">
        <is>
          <t>avverkningsanmälan</t>
        </is>
      </c>
      <c r="C4316" t="inlineStr">
        <is>
          <t>Föryngringsavverkning</t>
        </is>
      </c>
      <c r="D4316" s="1" t="n">
        <v>46062</v>
      </c>
      <c r="E4316" s="1" t="n">
        <v>46323</v>
      </c>
      <c r="F4316" t="inlineStr">
        <is>
          <t>KALMAR LÄN</t>
        </is>
      </c>
      <c r="G4316" t="inlineStr">
        <is>
          <t>EMMABODA</t>
        </is>
      </c>
      <c r="I4316" t="n">
        <v>0.6</v>
      </c>
      <c r="J4316" t="n">
        <v>0</v>
      </c>
      <c r="K4316" t="n">
        <v>0</v>
      </c>
      <c r="L4316" t="n">
        <v>0</v>
      </c>
      <c r="M4316" t="n">
        <v>0</v>
      </c>
      <c r="N4316" t="n">
        <v>0</v>
      </c>
      <c r="O4316" t="n">
        <v>0</v>
      </c>
      <c r="P4316" t="n">
        <v>0</v>
      </c>
      <c r="Q4316" t="n">
        <v>0</v>
      </c>
      <c r="R4316" t="n">
        <v>0</v>
      </c>
      <c r="S4316" t="n">
        <v>0</v>
      </c>
      <c r="T4316" t="n">
        <v>0</v>
      </c>
      <c r="U4316" t="n">
        <v>0</v>
      </c>
      <c r="V4316" s="2" t="inlineStr"/>
    </row>
    <row r="4317" ht="15" customHeight="1">
      <c r="A4317" t="inlineStr">
        <is>
          <t>A 8025-2026</t>
        </is>
      </c>
      <c r="B4317" t="inlineStr">
        <is>
          <t>avverkningsanmälan</t>
        </is>
      </c>
      <c r="C4317" t="inlineStr">
        <is>
          <t>Föryngringsavverkning</t>
        </is>
      </c>
      <c r="D4317" s="1" t="n">
        <v>46063</v>
      </c>
      <c r="E4317" s="1" t="n">
        <v>46323</v>
      </c>
      <c r="F4317" t="inlineStr">
        <is>
          <t>KALMAR LÄN</t>
        </is>
      </c>
      <c r="G4317" t="inlineStr">
        <is>
          <t>HULTSFRED</t>
        </is>
      </c>
      <c r="H4317" t="inlineStr">
        <is>
          <t>Övriga Aktiebolag</t>
        </is>
      </c>
      <c r="I4317" t="n">
        <v>1.6</v>
      </c>
      <c r="J4317" t="n">
        <v>0</v>
      </c>
      <c r="K4317" t="n">
        <v>0</v>
      </c>
      <c r="L4317" t="n">
        <v>0</v>
      </c>
      <c r="M4317" t="n">
        <v>0</v>
      </c>
      <c r="N4317" t="n">
        <v>0</v>
      </c>
      <c r="O4317" t="n">
        <v>0</v>
      </c>
      <c r="P4317" t="n">
        <v>0</v>
      </c>
      <c r="Q4317" t="n">
        <v>0</v>
      </c>
      <c r="R4317" t="n">
        <v>0</v>
      </c>
      <c r="S4317" t="n">
        <v>0</v>
      </c>
      <c r="T4317" t="n">
        <v>0</v>
      </c>
      <c r="U4317" t="n">
        <v>0</v>
      </c>
      <c r="V4317" s="2" t="inlineStr"/>
    </row>
    <row r="4318" ht="15" customHeight="1">
      <c r="A4318" t="inlineStr">
        <is>
          <t>A 46684-2023</t>
        </is>
      </c>
      <c r="B4318" t="inlineStr">
        <is>
          <t>avverkningsanmälan</t>
        </is>
      </c>
      <c r="C4318" t="inlineStr">
        <is>
          <t>Föryngringsavverkning</t>
        </is>
      </c>
      <c r="D4318" s="1" t="n">
        <v>45198</v>
      </c>
      <c r="E4318" s="1" t="n">
        <v>46323</v>
      </c>
      <c r="F4318" t="inlineStr">
        <is>
          <t>KALMAR LÄN</t>
        </is>
      </c>
      <c r="G4318" t="inlineStr">
        <is>
          <t>NYBRO</t>
        </is>
      </c>
      <c r="I4318" t="n">
        <v>2.4</v>
      </c>
      <c r="J4318" t="n">
        <v>0</v>
      </c>
      <c r="K4318" t="n">
        <v>0</v>
      </c>
      <c r="L4318" t="n">
        <v>0</v>
      </c>
      <c r="M4318" t="n">
        <v>0</v>
      </c>
      <c r="N4318" t="n">
        <v>0</v>
      </c>
      <c r="O4318" t="n">
        <v>0</v>
      </c>
      <c r="P4318" t="n">
        <v>0</v>
      </c>
      <c r="Q4318" t="n">
        <v>0</v>
      </c>
      <c r="R4318" t="n">
        <v>0</v>
      </c>
      <c r="S4318" t="n">
        <v>0</v>
      </c>
      <c r="T4318" t="n">
        <v>0</v>
      </c>
      <c r="U4318" t="n">
        <v>0</v>
      </c>
      <c r="V4318" s="2" t="inlineStr"/>
    </row>
    <row r="4319" ht="15" customHeight="1">
      <c r="A4319" t="inlineStr">
        <is>
          <t>A 30294-2022</t>
        </is>
      </c>
      <c r="B4319" t="inlineStr">
        <is>
          <t>avverkningsanmälan</t>
        </is>
      </c>
      <c r="C4319" t="inlineStr">
        <is>
          <t>Föryngringsavverkning</t>
        </is>
      </c>
      <c r="D4319" s="1" t="n">
        <v>44760</v>
      </c>
      <c r="E4319" s="1" t="n">
        <v>46323</v>
      </c>
      <c r="F4319" t="inlineStr">
        <is>
          <t>KALMAR LÄN</t>
        </is>
      </c>
      <c r="G4319" t="inlineStr">
        <is>
          <t>HÖGSBY</t>
        </is>
      </c>
      <c r="I4319" t="n">
        <v>1.2</v>
      </c>
      <c r="J4319" t="n">
        <v>0</v>
      </c>
      <c r="K4319" t="n">
        <v>0</v>
      </c>
      <c r="L4319" t="n">
        <v>0</v>
      </c>
      <c r="M4319" t="n">
        <v>0</v>
      </c>
      <c r="N4319" t="n">
        <v>0</v>
      </c>
      <c r="O4319" t="n">
        <v>0</v>
      </c>
      <c r="P4319" t="n">
        <v>0</v>
      </c>
      <c r="Q4319" t="n">
        <v>0</v>
      </c>
      <c r="R4319" t="n">
        <v>0</v>
      </c>
      <c r="S4319" t="n">
        <v>0</v>
      </c>
      <c r="T4319" t="n">
        <v>0</v>
      </c>
      <c r="U4319" t="n">
        <v>0</v>
      </c>
      <c r="V4319" s="2" t="inlineStr"/>
    </row>
    <row r="4320" ht="15" customHeight="1">
      <c r="A4320" t="inlineStr">
        <is>
          <t>A 32291-2026</t>
        </is>
      </c>
      <c r="B4320" t="inlineStr">
        <is>
          <t>avverkningsanmälan</t>
        </is>
      </c>
      <c r="C4320" t="inlineStr">
        <is>
          <t>Föryngringsavverkning</t>
        </is>
      </c>
      <c r="D4320" s="1" t="n">
        <v>46237</v>
      </c>
      <c r="E4320" s="1" t="n">
        <v>46323</v>
      </c>
      <c r="F4320" t="inlineStr">
        <is>
          <t>KALMAR LÄN</t>
        </is>
      </c>
      <c r="G4320" t="inlineStr">
        <is>
          <t>VIMMERBY</t>
        </is>
      </c>
      <c r="I4320" t="n">
        <v>2.8</v>
      </c>
      <c r="J4320" t="n">
        <v>0</v>
      </c>
      <c r="K4320" t="n">
        <v>0</v>
      </c>
      <c r="L4320" t="n">
        <v>0</v>
      </c>
      <c r="M4320" t="n">
        <v>0</v>
      </c>
      <c r="N4320" t="n">
        <v>0</v>
      </c>
      <c r="O4320" t="n">
        <v>0</v>
      </c>
      <c r="P4320" t="n">
        <v>0</v>
      </c>
      <c r="Q4320" t="n">
        <v>0</v>
      </c>
      <c r="R4320" t="n">
        <v>0</v>
      </c>
      <c r="S4320" t="n">
        <v>0</v>
      </c>
      <c r="T4320" t="n">
        <v>0</v>
      </c>
      <c r="U4320" t="n">
        <v>0</v>
      </c>
      <c r="V4320" s="2" t="inlineStr"/>
    </row>
    <row r="4321" ht="15" customHeight="1">
      <c r="A4321" t="inlineStr">
        <is>
          <t>A 1978-2024</t>
        </is>
      </c>
      <c r="B4321" t="inlineStr">
        <is>
          <t>avverkningsanmälan</t>
        </is>
      </c>
      <c r="C4321" t="inlineStr">
        <is>
          <t>Föryngringsavverkning</t>
        </is>
      </c>
      <c r="D4321" s="1" t="n">
        <v>45308</v>
      </c>
      <c r="E4321" s="1" t="n">
        <v>46323</v>
      </c>
      <c r="F4321" t="inlineStr">
        <is>
          <t>KALMAR LÄN</t>
        </is>
      </c>
      <c r="G4321" t="inlineStr">
        <is>
          <t>VIMMERBY</t>
        </is>
      </c>
      <c r="I4321" t="n">
        <v>0.9</v>
      </c>
      <c r="J4321" t="n">
        <v>0</v>
      </c>
      <c r="K4321" t="n">
        <v>0</v>
      </c>
      <c r="L4321" t="n">
        <v>0</v>
      </c>
      <c r="M4321" t="n">
        <v>0</v>
      </c>
      <c r="N4321" t="n">
        <v>0</v>
      </c>
      <c r="O4321" t="n">
        <v>0</v>
      </c>
      <c r="P4321" t="n">
        <v>0</v>
      </c>
      <c r="Q4321" t="n">
        <v>0</v>
      </c>
      <c r="R4321" t="n">
        <v>0</v>
      </c>
      <c r="S4321" t="n">
        <v>0</v>
      </c>
      <c r="T4321" t="n">
        <v>0</v>
      </c>
      <c r="U4321" t="n">
        <v>0</v>
      </c>
      <c r="V4321" s="2" t="inlineStr"/>
    </row>
    <row r="4322" ht="15" customHeight="1">
      <c r="A4322" t="inlineStr">
        <is>
          <t>A 6399-2025</t>
        </is>
      </c>
      <c r="B4322" t="inlineStr">
        <is>
          <t>avverkningsanmälan</t>
        </is>
      </c>
      <c r="C4322" t="inlineStr">
        <is>
          <t>Föryngringsavverkning</t>
        </is>
      </c>
      <c r="D4322" s="1" t="n">
        <v>45699</v>
      </c>
      <c r="E4322" s="1" t="n">
        <v>46323</v>
      </c>
      <c r="F4322" t="inlineStr">
        <is>
          <t>KALMAR LÄN</t>
        </is>
      </c>
      <c r="G4322" t="inlineStr">
        <is>
          <t>VIMMERBY</t>
        </is>
      </c>
      <c r="I4322" t="n">
        <v>3.1</v>
      </c>
      <c r="J4322" t="n">
        <v>0</v>
      </c>
      <c r="K4322" t="n">
        <v>0</v>
      </c>
      <c r="L4322" t="n">
        <v>0</v>
      </c>
      <c r="M4322" t="n">
        <v>0</v>
      </c>
      <c r="N4322" t="n">
        <v>0</v>
      </c>
      <c r="O4322" t="n">
        <v>0</v>
      </c>
      <c r="P4322" t="n">
        <v>0</v>
      </c>
      <c r="Q4322" t="n">
        <v>0</v>
      </c>
      <c r="R4322" t="n">
        <v>0</v>
      </c>
      <c r="S4322" t="n">
        <v>0</v>
      </c>
      <c r="T4322" t="n">
        <v>0</v>
      </c>
      <c r="U4322" t="n">
        <v>0</v>
      </c>
      <c r="V4322" s="2" t="inlineStr"/>
    </row>
    <row r="4323" ht="15" customHeight="1">
      <c r="A4323" t="inlineStr">
        <is>
          <t>A 41277-2022</t>
        </is>
      </c>
      <c r="B4323" t="inlineStr">
        <is>
          <t>avverkningsanmälan</t>
        </is>
      </c>
      <c r="C4323" t="inlineStr">
        <is>
          <t>Föryngringsavverkning</t>
        </is>
      </c>
      <c r="D4323" s="1" t="n">
        <v>44826</v>
      </c>
      <c r="E4323" s="1" t="n">
        <v>46323</v>
      </c>
      <c r="F4323" t="inlineStr">
        <is>
          <t>KALMAR LÄN</t>
        </is>
      </c>
      <c r="G4323" t="inlineStr">
        <is>
          <t>HULTSFRED</t>
        </is>
      </c>
      <c r="I4323" t="n">
        <v>1.2</v>
      </c>
      <c r="J4323" t="n">
        <v>0</v>
      </c>
      <c r="K4323" t="n">
        <v>0</v>
      </c>
      <c r="L4323" t="n">
        <v>0</v>
      </c>
      <c r="M4323" t="n">
        <v>0</v>
      </c>
      <c r="N4323" t="n">
        <v>0</v>
      </c>
      <c r="O4323" t="n">
        <v>0</v>
      </c>
      <c r="P4323" t="n">
        <v>0</v>
      </c>
      <c r="Q4323" t="n">
        <v>0</v>
      </c>
      <c r="R4323" t="n">
        <v>0</v>
      </c>
      <c r="S4323" t="n">
        <v>0</v>
      </c>
      <c r="T4323" t="n">
        <v>0</v>
      </c>
      <c r="U4323" t="n">
        <v>0</v>
      </c>
      <c r="V4323" s="2" t="inlineStr"/>
    </row>
    <row r="4324" ht="15" customHeight="1">
      <c r="A4324" t="inlineStr">
        <is>
          <t>A 41311-2023</t>
        </is>
      </c>
      <c r="B4324" t="inlineStr">
        <is>
          <t>avverkningsanmälan</t>
        </is>
      </c>
      <c r="C4324" t="inlineStr">
        <is>
          <t>Föryngringsavverkning</t>
        </is>
      </c>
      <c r="D4324" s="1" t="n">
        <v>45174</v>
      </c>
      <c r="E4324" s="1" t="n">
        <v>46323</v>
      </c>
      <c r="F4324" t="inlineStr">
        <is>
          <t>KALMAR LÄN</t>
        </is>
      </c>
      <c r="G4324" t="inlineStr">
        <is>
          <t>VIMMERBY</t>
        </is>
      </c>
      <c r="I4324" t="n">
        <v>0.7</v>
      </c>
      <c r="J4324" t="n">
        <v>0</v>
      </c>
      <c r="K4324" t="n">
        <v>0</v>
      </c>
      <c r="L4324" t="n">
        <v>0</v>
      </c>
      <c r="M4324" t="n">
        <v>0</v>
      </c>
      <c r="N4324" t="n">
        <v>0</v>
      </c>
      <c r="O4324" t="n">
        <v>0</v>
      </c>
      <c r="P4324" t="n">
        <v>0</v>
      </c>
      <c r="Q4324" t="n">
        <v>0</v>
      </c>
      <c r="R4324" t="n">
        <v>0</v>
      </c>
      <c r="S4324" t="n">
        <v>0</v>
      </c>
      <c r="T4324" t="n">
        <v>0</v>
      </c>
      <c r="U4324" t="n">
        <v>0</v>
      </c>
      <c r="V4324" s="2" t="inlineStr"/>
    </row>
    <row r="4325" ht="15" customHeight="1">
      <c r="A4325" t="inlineStr">
        <is>
          <t>A 32228-2026</t>
        </is>
      </c>
      <c r="B4325" t="inlineStr">
        <is>
          <t>avverkningsanmälan</t>
        </is>
      </c>
      <c r="C4325" t="inlineStr">
        <is>
          <t>Föryngringsavverkning</t>
        </is>
      </c>
      <c r="D4325" s="1" t="n">
        <v>46237</v>
      </c>
      <c r="E4325" s="1" t="n">
        <v>46323</v>
      </c>
      <c r="F4325" t="inlineStr">
        <is>
          <t>KALMAR LÄN</t>
        </is>
      </c>
      <c r="G4325" t="inlineStr">
        <is>
          <t>HÖGSBY</t>
        </is>
      </c>
      <c r="I4325" t="n">
        <v>1.8</v>
      </c>
      <c r="J4325" t="n">
        <v>0</v>
      </c>
      <c r="K4325" t="n">
        <v>0</v>
      </c>
      <c r="L4325" t="n">
        <v>0</v>
      </c>
      <c r="M4325" t="n">
        <v>0</v>
      </c>
      <c r="N4325" t="n">
        <v>0</v>
      </c>
      <c r="O4325" t="n">
        <v>0</v>
      </c>
      <c r="P4325" t="n">
        <v>0</v>
      </c>
      <c r="Q4325" t="n">
        <v>0</v>
      </c>
      <c r="R4325" t="n">
        <v>0</v>
      </c>
      <c r="S4325" t="n">
        <v>0</v>
      </c>
      <c r="T4325" t="n">
        <v>0</v>
      </c>
      <c r="U4325" t="n">
        <v>0</v>
      </c>
      <c r="V4325" s="2" t="inlineStr"/>
    </row>
    <row r="4326" ht="15" customHeight="1">
      <c r="A4326" t="inlineStr">
        <is>
          <t>A 49405-2023</t>
        </is>
      </c>
      <c r="B4326" t="inlineStr">
        <is>
          <t>avverkningsanmälan</t>
        </is>
      </c>
      <c r="C4326" t="inlineStr">
        <is>
          <t>Föryngringsavverkning</t>
        </is>
      </c>
      <c r="D4326" s="1" t="n">
        <v>45211</v>
      </c>
      <c r="E4326" s="1" t="n">
        <v>46323</v>
      </c>
      <c r="F4326" t="inlineStr">
        <is>
          <t>KALMAR LÄN</t>
        </is>
      </c>
      <c r="G4326" t="inlineStr">
        <is>
          <t>NYBRO</t>
        </is>
      </c>
      <c r="I4326" t="n">
        <v>2.3</v>
      </c>
      <c r="J4326" t="n">
        <v>0</v>
      </c>
      <c r="K4326" t="n">
        <v>0</v>
      </c>
      <c r="L4326" t="n">
        <v>0</v>
      </c>
      <c r="M4326" t="n">
        <v>0</v>
      </c>
      <c r="N4326" t="n">
        <v>0</v>
      </c>
      <c r="O4326" t="n">
        <v>0</v>
      </c>
      <c r="P4326" t="n">
        <v>0</v>
      </c>
      <c r="Q4326" t="n">
        <v>0</v>
      </c>
      <c r="R4326" t="n">
        <v>0</v>
      </c>
      <c r="S4326" t="n">
        <v>0</v>
      </c>
      <c r="T4326" t="n">
        <v>0</v>
      </c>
      <c r="U4326" t="n">
        <v>0</v>
      </c>
      <c r="V4326" s="2" t="inlineStr"/>
    </row>
    <row r="4327" ht="15" customHeight="1">
      <c r="A4327" t="inlineStr">
        <is>
          <t>A 8759-2026</t>
        </is>
      </c>
      <c r="B4327" t="inlineStr">
        <is>
          <t>avverkningsanmälan</t>
        </is>
      </c>
      <c r="C4327" t="inlineStr">
        <is>
          <t>Föryngringsavverkning</t>
        </is>
      </c>
      <c r="D4327" s="1" t="n">
        <v>46066</v>
      </c>
      <c r="E4327" s="1" t="n">
        <v>46323</v>
      </c>
      <c r="F4327" t="inlineStr">
        <is>
          <t>KALMAR LÄN</t>
        </is>
      </c>
      <c r="G4327" t="inlineStr">
        <is>
          <t>HULTSFRED</t>
        </is>
      </c>
      <c r="H4327" t="inlineStr">
        <is>
          <t>Övriga Aktiebolag</t>
        </is>
      </c>
      <c r="I4327" t="n">
        <v>6.9</v>
      </c>
      <c r="J4327" t="n">
        <v>0</v>
      </c>
      <c r="K4327" t="n">
        <v>0</v>
      </c>
      <c r="L4327" t="n">
        <v>0</v>
      </c>
      <c r="M4327" t="n">
        <v>0</v>
      </c>
      <c r="N4327" t="n">
        <v>0</v>
      </c>
      <c r="O4327" t="n">
        <v>0</v>
      </c>
      <c r="P4327" t="n">
        <v>0</v>
      </c>
      <c r="Q4327" t="n">
        <v>0</v>
      </c>
      <c r="R4327" t="n">
        <v>0</v>
      </c>
      <c r="S4327" t="n">
        <v>0</v>
      </c>
      <c r="T4327" t="n">
        <v>0</v>
      </c>
      <c r="U4327" t="n">
        <v>0</v>
      </c>
      <c r="V4327" s="2" t="inlineStr"/>
    </row>
    <row r="4328" ht="15" customHeight="1">
      <c r="A4328" t="inlineStr">
        <is>
          <t>A 39101-2023</t>
        </is>
      </c>
      <c r="B4328" t="inlineStr">
        <is>
          <t>avverkningsanmälan</t>
        </is>
      </c>
      <c r="C4328" t="inlineStr">
        <is>
          <t>Föryngringsavverkning</t>
        </is>
      </c>
      <c r="D4328" s="1" t="n">
        <v>45164</v>
      </c>
      <c r="E4328" s="1" t="n">
        <v>46323</v>
      </c>
      <c r="F4328" t="inlineStr">
        <is>
          <t>KALMAR LÄN</t>
        </is>
      </c>
      <c r="G4328" t="inlineStr">
        <is>
          <t>EMMABODA</t>
        </is>
      </c>
      <c r="I4328" t="n">
        <v>1.1</v>
      </c>
      <c r="J4328" t="n">
        <v>0</v>
      </c>
      <c r="K4328" t="n">
        <v>0</v>
      </c>
      <c r="L4328" t="n">
        <v>0</v>
      </c>
      <c r="M4328" t="n">
        <v>0</v>
      </c>
      <c r="N4328" t="n">
        <v>0</v>
      </c>
      <c r="O4328" t="n">
        <v>0</v>
      </c>
      <c r="P4328" t="n">
        <v>0</v>
      </c>
      <c r="Q4328" t="n">
        <v>0</v>
      </c>
      <c r="R4328" t="n">
        <v>0</v>
      </c>
      <c r="S4328" t="n">
        <v>0</v>
      </c>
      <c r="T4328" t="n">
        <v>0</v>
      </c>
      <c r="U4328" t="n">
        <v>0</v>
      </c>
      <c r="V4328" s="2" t="inlineStr"/>
    </row>
    <row r="4329" ht="15" customHeight="1">
      <c r="A4329" t="inlineStr">
        <is>
          <t>A 29021-2022</t>
        </is>
      </c>
      <c r="B4329" t="inlineStr">
        <is>
          <t>avverkningsanmälan</t>
        </is>
      </c>
      <c r="C4329" t="inlineStr">
        <is>
          <t>Föryngringsavverkning</t>
        </is>
      </c>
      <c r="D4329" s="1" t="n">
        <v>44749</v>
      </c>
      <c r="E4329" s="1" t="n">
        <v>46323</v>
      </c>
      <c r="F4329" t="inlineStr">
        <is>
          <t>KALMAR LÄN</t>
        </is>
      </c>
      <c r="G4329" t="inlineStr">
        <is>
          <t>OSKARSHAMN</t>
        </is>
      </c>
      <c r="I4329" t="n">
        <v>8.4</v>
      </c>
      <c r="J4329" t="n">
        <v>0</v>
      </c>
      <c r="K4329" t="n">
        <v>0</v>
      </c>
      <c r="L4329" t="n">
        <v>0</v>
      </c>
      <c r="M4329" t="n">
        <v>0</v>
      </c>
      <c r="N4329" t="n">
        <v>0</v>
      </c>
      <c r="O4329" t="n">
        <v>0</v>
      </c>
      <c r="P4329" t="n">
        <v>0</v>
      </c>
      <c r="Q4329" t="n">
        <v>0</v>
      </c>
      <c r="R4329" t="n">
        <v>0</v>
      </c>
      <c r="S4329" t="n">
        <v>0</v>
      </c>
      <c r="T4329" t="n">
        <v>0</v>
      </c>
      <c r="U4329" t="n">
        <v>0</v>
      </c>
      <c r="V4329" s="2" t="inlineStr"/>
    </row>
    <row r="4330" ht="15" customHeight="1">
      <c r="A4330" t="inlineStr">
        <is>
          <t>A 8443-2026</t>
        </is>
      </c>
      <c r="B4330" t="inlineStr">
        <is>
          <t>avverkningsanmälan</t>
        </is>
      </c>
      <c r="C4330" t="inlineStr">
        <is>
          <t>Avverkning för annat ändamål</t>
        </is>
      </c>
      <c r="D4330" s="1" t="n">
        <v>46065</v>
      </c>
      <c r="E4330" s="1" t="n">
        <v>46323</v>
      </c>
      <c r="F4330" t="inlineStr">
        <is>
          <t>KALMAR LÄN</t>
        </is>
      </c>
      <c r="G4330" t="inlineStr">
        <is>
          <t>HULTSFRED</t>
        </is>
      </c>
      <c r="H4330" t="inlineStr">
        <is>
          <t>Sveaskog</t>
        </is>
      </c>
      <c r="I4330" t="n">
        <v>0.4</v>
      </c>
      <c r="J4330" t="n">
        <v>0</v>
      </c>
      <c r="K4330" t="n">
        <v>0</v>
      </c>
      <c r="L4330" t="n">
        <v>0</v>
      </c>
      <c r="M4330" t="n">
        <v>0</v>
      </c>
      <c r="N4330" t="n">
        <v>0</v>
      </c>
      <c r="O4330" t="n">
        <v>0</v>
      </c>
      <c r="P4330" t="n">
        <v>0</v>
      </c>
      <c r="Q4330" t="n">
        <v>0</v>
      </c>
      <c r="R4330" t="n">
        <v>0</v>
      </c>
      <c r="S4330" t="n">
        <v>0</v>
      </c>
      <c r="T4330" t="n">
        <v>0</v>
      </c>
      <c r="U4330" t="n">
        <v>0</v>
      </c>
      <c r="V4330" s="2" t="inlineStr"/>
    </row>
    <row r="4331" ht="15" customHeight="1">
      <c r="A4331" t="inlineStr">
        <is>
          <t>A 29023-2022</t>
        </is>
      </c>
      <c r="B4331" t="inlineStr">
        <is>
          <t>avverkningsanmälan</t>
        </is>
      </c>
      <c r="C4331" t="inlineStr">
        <is>
          <t>Föryngringsavverkning</t>
        </is>
      </c>
      <c r="D4331" s="1" t="n">
        <v>44749</v>
      </c>
      <c r="E4331" s="1" t="n">
        <v>46323</v>
      </c>
      <c r="F4331" t="inlineStr">
        <is>
          <t>KALMAR LÄN</t>
        </is>
      </c>
      <c r="G4331" t="inlineStr">
        <is>
          <t>EMMABODA</t>
        </is>
      </c>
      <c r="I4331" t="n">
        <v>1.4</v>
      </c>
      <c r="J4331" t="n">
        <v>0</v>
      </c>
      <c r="K4331" t="n">
        <v>0</v>
      </c>
      <c r="L4331" t="n">
        <v>0</v>
      </c>
      <c r="M4331" t="n">
        <v>0</v>
      </c>
      <c r="N4331" t="n">
        <v>0</v>
      </c>
      <c r="O4331" t="n">
        <v>0</v>
      </c>
      <c r="P4331" t="n">
        <v>0</v>
      </c>
      <c r="Q4331" t="n">
        <v>0</v>
      </c>
      <c r="R4331" t="n">
        <v>0</v>
      </c>
      <c r="S4331" t="n">
        <v>0</v>
      </c>
      <c r="T4331" t="n">
        <v>0</v>
      </c>
      <c r="U4331" t="n">
        <v>0</v>
      </c>
      <c r="V4331" s="2" t="inlineStr"/>
    </row>
    <row r="4332" ht="15" customHeight="1">
      <c r="A4332" t="inlineStr">
        <is>
          <t>A 30215-2023</t>
        </is>
      </c>
      <c r="B4332" t="inlineStr">
        <is>
          <t>avverkningsanmälan</t>
        </is>
      </c>
      <c r="C4332" t="inlineStr">
        <is>
          <t>Föryngringsavverkning</t>
        </is>
      </c>
      <c r="D4332" s="1" t="n">
        <v>45110</v>
      </c>
      <c r="E4332" s="1" t="n">
        <v>46323</v>
      </c>
      <c r="F4332" t="inlineStr">
        <is>
          <t>KALMAR LÄN</t>
        </is>
      </c>
      <c r="G4332" t="inlineStr">
        <is>
          <t>OSKARSHAMN</t>
        </is>
      </c>
      <c r="I4332" t="n">
        <v>12.9</v>
      </c>
      <c r="J4332" t="n">
        <v>0</v>
      </c>
      <c r="K4332" t="n">
        <v>0</v>
      </c>
      <c r="L4332" t="n">
        <v>0</v>
      </c>
      <c r="M4332" t="n">
        <v>0</v>
      </c>
      <c r="N4332" t="n">
        <v>0</v>
      </c>
      <c r="O4332" t="n">
        <v>0</v>
      </c>
      <c r="P4332" t="n">
        <v>0</v>
      </c>
      <c r="Q4332" t="n">
        <v>0</v>
      </c>
      <c r="R4332" t="n">
        <v>0</v>
      </c>
      <c r="S4332" t="n">
        <v>0</v>
      </c>
      <c r="T4332" t="n">
        <v>0</v>
      </c>
      <c r="U4332" t="n">
        <v>0</v>
      </c>
      <c r="V4332" s="2" t="inlineStr"/>
    </row>
    <row r="4333" ht="15" customHeight="1">
      <c r="A4333" t="inlineStr">
        <is>
          <t>A 32368-2026</t>
        </is>
      </c>
      <c r="B4333" t="inlineStr">
        <is>
          <t>avverkningsanmälan</t>
        </is>
      </c>
      <c r="C4333" t="inlineStr">
        <is>
          <t>Föryngringsavverkning</t>
        </is>
      </c>
      <c r="D4333" s="1" t="n">
        <v>46238</v>
      </c>
      <c r="E4333" s="1" t="n">
        <v>46323</v>
      </c>
      <c r="F4333" t="inlineStr">
        <is>
          <t>KALMAR LÄN</t>
        </is>
      </c>
      <c r="G4333" t="inlineStr">
        <is>
          <t>VÄSTERVIK</t>
        </is>
      </c>
      <c r="I4333" t="n">
        <v>2.9</v>
      </c>
      <c r="J4333" t="n">
        <v>0</v>
      </c>
      <c r="K4333" t="n">
        <v>0</v>
      </c>
      <c r="L4333" t="n">
        <v>0</v>
      </c>
      <c r="M4333" t="n">
        <v>0</v>
      </c>
      <c r="N4333" t="n">
        <v>0</v>
      </c>
      <c r="O4333" t="n">
        <v>0</v>
      </c>
      <c r="P4333" t="n">
        <v>0</v>
      </c>
      <c r="Q4333" t="n">
        <v>0</v>
      </c>
      <c r="R4333" t="n">
        <v>0</v>
      </c>
      <c r="S4333" t="n">
        <v>0</v>
      </c>
      <c r="T4333" t="n">
        <v>0</v>
      </c>
      <c r="U4333" t="n">
        <v>0</v>
      </c>
      <c r="V4333" s="2" t="inlineStr"/>
    </row>
    <row r="4334" ht="15" customHeight="1">
      <c r="A4334" t="inlineStr">
        <is>
          <t>A 4241-2025</t>
        </is>
      </c>
      <c r="B4334" t="inlineStr">
        <is>
          <t>avverkningsanmälan</t>
        </is>
      </c>
      <c r="C4334" t="inlineStr">
        <is>
          <t>Avverkning för annat ändamål</t>
        </is>
      </c>
      <c r="D4334" s="1" t="n">
        <v>45685</v>
      </c>
      <c r="E4334" s="1" t="n">
        <v>46323</v>
      </c>
      <c r="F4334" t="inlineStr">
        <is>
          <t>KALMAR LÄN</t>
        </is>
      </c>
      <c r="G4334" t="inlineStr">
        <is>
          <t>KALMAR</t>
        </is>
      </c>
      <c r="I4334" t="n">
        <v>1.8</v>
      </c>
      <c r="J4334" t="n">
        <v>0</v>
      </c>
      <c r="K4334" t="n">
        <v>0</v>
      </c>
      <c r="L4334" t="n">
        <v>0</v>
      </c>
      <c r="M4334" t="n">
        <v>0</v>
      </c>
      <c r="N4334" t="n">
        <v>0</v>
      </c>
      <c r="O4334" t="n">
        <v>0</v>
      </c>
      <c r="P4334" t="n">
        <v>0</v>
      </c>
      <c r="Q4334" t="n">
        <v>0</v>
      </c>
      <c r="R4334" t="n">
        <v>0</v>
      </c>
      <c r="S4334" t="n">
        <v>0</v>
      </c>
      <c r="T4334" t="n">
        <v>0</v>
      </c>
      <c r="U4334" t="n">
        <v>0</v>
      </c>
      <c r="V4334" s="2" t="inlineStr"/>
    </row>
    <row r="4335" ht="15" customHeight="1">
      <c r="A4335" t="inlineStr">
        <is>
          <t>A 38288-2026</t>
        </is>
      </c>
      <c r="B4335" t="inlineStr">
        <is>
          <t>avverkningsanmälan</t>
        </is>
      </c>
      <c r="C4335" t="inlineStr">
        <is>
          <t>Avverkning för annat ändamål</t>
        </is>
      </c>
      <c r="D4335" s="1" t="n">
        <v>46282</v>
      </c>
      <c r="E4335" s="1" t="n">
        <v>46323</v>
      </c>
      <c r="F4335" t="inlineStr">
        <is>
          <t>KALMAR LÄN</t>
        </is>
      </c>
      <c r="G4335" t="inlineStr">
        <is>
          <t>NYBRO</t>
        </is>
      </c>
      <c r="I4335" t="n">
        <v>8.800000000000001</v>
      </c>
      <c r="J4335" t="n">
        <v>0</v>
      </c>
      <c r="K4335" t="n">
        <v>0</v>
      </c>
      <c r="L4335" t="n">
        <v>0</v>
      </c>
      <c r="M4335" t="n">
        <v>0</v>
      </c>
      <c r="N4335" t="n">
        <v>0</v>
      </c>
      <c r="O4335" t="n">
        <v>0</v>
      </c>
      <c r="P4335" t="n">
        <v>0</v>
      </c>
      <c r="Q4335" t="n">
        <v>0</v>
      </c>
      <c r="R4335" t="n">
        <v>0</v>
      </c>
      <c r="S4335" t="n">
        <v>0</v>
      </c>
      <c r="T4335" t="n">
        <v>0</v>
      </c>
      <c r="U4335" t="n">
        <v>0</v>
      </c>
      <c r="V4335" s="2" t="inlineStr"/>
    </row>
    <row r="4336" ht="15" customHeight="1">
      <c r="A4336" t="inlineStr">
        <is>
          <t>A 24460-2022</t>
        </is>
      </c>
      <c r="B4336" t="inlineStr">
        <is>
          <t>avverkningsanmälan</t>
        </is>
      </c>
      <c r="C4336" t="inlineStr">
        <is>
          <t>Föryngringsavverkning</t>
        </is>
      </c>
      <c r="D4336" s="1" t="n">
        <v>44726</v>
      </c>
      <c r="E4336" s="1" t="n">
        <v>46323</v>
      </c>
      <c r="F4336" t="inlineStr">
        <is>
          <t>KALMAR LÄN</t>
        </is>
      </c>
      <c r="G4336" t="inlineStr">
        <is>
          <t>EMMABODA</t>
        </is>
      </c>
      <c r="I4336" t="n">
        <v>1.1</v>
      </c>
      <c r="J4336" t="n">
        <v>0</v>
      </c>
      <c r="K4336" t="n">
        <v>0</v>
      </c>
      <c r="L4336" t="n">
        <v>0</v>
      </c>
      <c r="M4336" t="n">
        <v>0</v>
      </c>
      <c r="N4336" t="n">
        <v>0</v>
      </c>
      <c r="O4336" t="n">
        <v>0</v>
      </c>
      <c r="P4336" t="n">
        <v>0</v>
      </c>
      <c r="Q4336" t="n">
        <v>0</v>
      </c>
      <c r="R4336" t="n">
        <v>0</v>
      </c>
      <c r="S4336" t="n">
        <v>0</v>
      </c>
      <c r="T4336" t="n">
        <v>0</v>
      </c>
      <c r="U4336" t="n">
        <v>0</v>
      </c>
      <c r="V4336" s="2" t="inlineStr"/>
    </row>
    <row r="4337" ht="15" customHeight="1">
      <c r="A4337" t="inlineStr">
        <is>
          <t>A 8382-2026</t>
        </is>
      </c>
      <c r="B4337" t="inlineStr">
        <is>
          <t>avverkningsanmälan</t>
        </is>
      </c>
      <c r="C4337" t="inlineStr">
        <is>
          <t>Föryngringsavverkning</t>
        </is>
      </c>
      <c r="D4337" s="1" t="n">
        <v>46064</v>
      </c>
      <c r="E4337" s="1" t="n">
        <v>46323</v>
      </c>
      <c r="F4337" t="inlineStr">
        <is>
          <t>KALMAR LÄN</t>
        </is>
      </c>
      <c r="G4337" t="inlineStr">
        <is>
          <t>NYBRO</t>
        </is>
      </c>
      <c r="I4337" t="n">
        <v>1.5</v>
      </c>
      <c r="J4337" t="n">
        <v>0</v>
      </c>
      <c r="K4337" t="n">
        <v>0</v>
      </c>
      <c r="L4337" t="n">
        <v>0</v>
      </c>
      <c r="M4337" t="n">
        <v>0</v>
      </c>
      <c r="N4337" t="n">
        <v>0</v>
      </c>
      <c r="O4337" t="n">
        <v>0</v>
      </c>
      <c r="P4337" t="n">
        <v>0</v>
      </c>
      <c r="Q4337" t="n">
        <v>0</v>
      </c>
      <c r="R4337" t="n">
        <v>0</v>
      </c>
      <c r="S4337" t="n">
        <v>0</v>
      </c>
      <c r="T4337" t="n">
        <v>0</v>
      </c>
      <c r="U4337" t="n">
        <v>0</v>
      </c>
      <c r="V4337" s="2" t="inlineStr"/>
    </row>
    <row r="4338" ht="15" customHeight="1">
      <c r="A4338" t="inlineStr">
        <is>
          <t>A 45555-2023</t>
        </is>
      </c>
      <c r="B4338" t="inlineStr">
        <is>
          <t>avverkningsanmälan</t>
        </is>
      </c>
      <c r="C4338" t="inlineStr">
        <is>
          <t>Föryngringsavverkning</t>
        </is>
      </c>
      <c r="D4338" s="1" t="n">
        <v>45194</v>
      </c>
      <c r="E4338" s="1" t="n">
        <v>46323</v>
      </c>
      <c r="F4338" t="inlineStr">
        <is>
          <t>KALMAR LÄN</t>
        </is>
      </c>
      <c r="G4338" t="inlineStr">
        <is>
          <t>TORSÅS</t>
        </is>
      </c>
      <c r="H4338" t="inlineStr">
        <is>
          <t>Kommuner</t>
        </is>
      </c>
      <c r="I4338" t="n">
        <v>0.5</v>
      </c>
      <c r="J4338" t="n">
        <v>0</v>
      </c>
      <c r="K4338" t="n">
        <v>0</v>
      </c>
      <c r="L4338" t="n">
        <v>0</v>
      </c>
      <c r="M4338" t="n">
        <v>0</v>
      </c>
      <c r="N4338" t="n">
        <v>0</v>
      </c>
      <c r="O4338" t="n">
        <v>0</v>
      </c>
      <c r="P4338" t="n">
        <v>0</v>
      </c>
      <c r="Q4338" t="n">
        <v>0</v>
      </c>
      <c r="R4338" t="n">
        <v>0</v>
      </c>
      <c r="S4338" t="n">
        <v>0</v>
      </c>
      <c r="T4338" t="n">
        <v>0</v>
      </c>
      <c r="U4338" t="n">
        <v>0</v>
      </c>
      <c r="V4338" s="2" t="inlineStr"/>
    </row>
    <row r="4339" ht="15" customHeight="1">
      <c r="A4339" t="inlineStr">
        <is>
          <t>A 38377-2026</t>
        </is>
      </c>
      <c r="B4339" t="inlineStr">
        <is>
          <t>avverkningsanmälan</t>
        </is>
      </c>
      <c r="C4339" t="inlineStr">
        <is>
          <t>Föryngringsavverkning</t>
        </is>
      </c>
      <c r="D4339" s="1" t="n">
        <v>46282</v>
      </c>
      <c r="E4339" s="1" t="n">
        <v>46323</v>
      </c>
      <c r="F4339" t="inlineStr">
        <is>
          <t>KALMAR LÄN</t>
        </is>
      </c>
      <c r="G4339" t="inlineStr">
        <is>
          <t>EMMABODA</t>
        </is>
      </c>
      <c r="I4339" t="n">
        <v>0.9</v>
      </c>
      <c r="J4339" t="n">
        <v>0</v>
      </c>
      <c r="K4339" t="n">
        <v>0</v>
      </c>
      <c r="L4339" t="n">
        <v>0</v>
      </c>
      <c r="M4339" t="n">
        <v>0</v>
      </c>
      <c r="N4339" t="n">
        <v>0</v>
      </c>
      <c r="O4339" t="n">
        <v>0</v>
      </c>
      <c r="P4339" t="n">
        <v>0</v>
      </c>
      <c r="Q4339" t="n">
        <v>0</v>
      </c>
      <c r="R4339" t="n">
        <v>0</v>
      </c>
      <c r="S4339" t="n">
        <v>0</v>
      </c>
      <c r="T4339" t="n">
        <v>0</v>
      </c>
      <c r="U4339" t="n">
        <v>0</v>
      </c>
      <c r="V4339" s="2" t="inlineStr"/>
    </row>
    <row r="4340" ht="15" customHeight="1">
      <c r="A4340" t="inlineStr">
        <is>
          <t>A 32566-2026</t>
        </is>
      </c>
      <c r="B4340" t="inlineStr">
        <is>
          <t>avverkningsanmälan</t>
        </is>
      </c>
      <c r="C4340" t="inlineStr">
        <is>
          <t>Föryngringsavverkning</t>
        </is>
      </c>
      <c r="D4340" s="1" t="n">
        <v>46239</v>
      </c>
      <c r="E4340" s="1" t="n">
        <v>46323</v>
      </c>
      <c r="F4340" t="inlineStr">
        <is>
          <t>KALMAR LÄN</t>
        </is>
      </c>
      <c r="G4340" t="inlineStr">
        <is>
          <t>VÄSTERVIK</t>
        </is>
      </c>
      <c r="I4340" t="n">
        <v>3.5</v>
      </c>
      <c r="J4340" t="n">
        <v>0</v>
      </c>
      <c r="K4340" t="n">
        <v>0</v>
      </c>
      <c r="L4340" t="n">
        <v>0</v>
      </c>
      <c r="M4340" t="n">
        <v>0</v>
      </c>
      <c r="N4340" t="n">
        <v>0</v>
      </c>
      <c r="O4340" t="n">
        <v>0</v>
      </c>
      <c r="P4340" t="n">
        <v>0</v>
      </c>
      <c r="Q4340" t="n">
        <v>0</v>
      </c>
      <c r="R4340" t="n">
        <v>0</v>
      </c>
      <c r="S4340" t="n">
        <v>0</v>
      </c>
      <c r="T4340" t="n">
        <v>0</v>
      </c>
      <c r="U4340" t="n">
        <v>0</v>
      </c>
      <c r="V4340" s="2" t="inlineStr"/>
    </row>
    <row r="4341" ht="15" customHeight="1">
      <c r="A4341" t="inlineStr">
        <is>
          <t>A 28795-2022</t>
        </is>
      </c>
      <c r="B4341" t="inlineStr">
        <is>
          <t>avverkningsanmälan</t>
        </is>
      </c>
      <c r="C4341" t="inlineStr">
        <is>
          <t>Föryngringsavverkning</t>
        </is>
      </c>
      <c r="D4341" s="1" t="n">
        <v>44749</v>
      </c>
      <c r="E4341" s="1" t="n">
        <v>46323</v>
      </c>
      <c r="F4341" t="inlineStr">
        <is>
          <t>KALMAR LÄN</t>
        </is>
      </c>
      <c r="G4341" t="inlineStr">
        <is>
          <t>NYBRO</t>
        </is>
      </c>
      <c r="I4341" t="n">
        <v>1.6</v>
      </c>
      <c r="J4341" t="n">
        <v>0</v>
      </c>
      <c r="K4341" t="n">
        <v>0</v>
      </c>
      <c r="L4341" t="n">
        <v>0</v>
      </c>
      <c r="M4341" t="n">
        <v>0</v>
      </c>
      <c r="N4341" t="n">
        <v>0</v>
      </c>
      <c r="O4341" t="n">
        <v>0</v>
      </c>
      <c r="P4341" t="n">
        <v>0</v>
      </c>
      <c r="Q4341" t="n">
        <v>0</v>
      </c>
      <c r="R4341" t="n">
        <v>0</v>
      </c>
      <c r="S4341" t="n">
        <v>0</v>
      </c>
      <c r="T4341" t="n">
        <v>0</v>
      </c>
      <c r="U4341" t="n">
        <v>0</v>
      </c>
      <c r="V4341" s="2" t="inlineStr"/>
    </row>
    <row r="4342" ht="15" customHeight="1">
      <c r="A4342" t="inlineStr">
        <is>
          <t>A 32370-2026</t>
        </is>
      </c>
      <c r="B4342" t="inlineStr">
        <is>
          <t>avverkningsanmälan</t>
        </is>
      </c>
      <c r="C4342" t="inlineStr">
        <is>
          <t>Föryngringsavverkning</t>
        </is>
      </c>
      <c r="D4342" s="1" t="n">
        <v>46238</v>
      </c>
      <c r="E4342" s="1" t="n">
        <v>46323</v>
      </c>
      <c r="F4342" t="inlineStr">
        <is>
          <t>KALMAR LÄN</t>
        </is>
      </c>
      <c r="G4342" t="inlineStr">
        <is>
          <t>VÄSTERVIK</t>
        </is>
      </c>
      <c r="I4342" t="n">
        <v>1</v>
      </c>
      <c r="J4342" t="n">
        <v>0</v>
      </c>
      <c r="K4342" t="n">
        <v>0</v>
      </c>
      <c r="L4342" t="n">
        <v>0</v>
      </c>
      <c r="M4342" t="n">
        <v>0</v>
      </c>
      <c r="N4342" t="n">
        <v>0</v>
      </c>
      <c r="O4342" t="n">
        <v>0</v>
      </c>
      <c r="P4342" t="n">
        <v>0</v>
      </c>
      <c r="Q4342" t="n">
        <v>0</v>
      </c>
      <c r="R4342" t="n">
        <v>0</v>
      </c>
      <c r="S4342" t="n">
        <v>0</v>
      </c>
      <c r="T4342" t="n">
        <v>0</v>
      </c>
      <c r="U4342" t="n">
        <v>0</v>
      </c>
      <c r="V4342" s="2" t="inlineStr"/>
    </row>
    <row r="4343" ht="15" customHeight="1">
      <c r="A4343" t="inlineStr">
        <is>
          <t>A 8444-2026</t>
        </is>
      </c>
      <c r="B4343" t="inlineStr">
        <is>
          <t>avverkningsanmälan</t>
        </is>
      </c>
      <c r="C4343" t="inlineStr">
        <is>
          <t>Avverkning för annat ändamål</t>
        </is>
      </c>
      <c r="D4343" s="1" t="n">
        <v>46065</v>
      </c>
      <c r="E4343" s="1" t="n">
        <v>46323</v>
      </c>
      <c r="F4343" t="inlineStr">
        <is>
          <t>KALMAR LÄN</t>
        </is>
      </c>
      <c r="G4343" t="inlineStr">
        <is>
          <t>HULTSFRED</t>
        </is>
      </c>
      <c r="H4343" t="inlineStr">
        <is>
          <t>Sveaskog</t>
        </is>
      </c>
      <c r="I4343" t="n">
        <v>1.1</v>
      </c>
      <c r="J4343" t="n">
        <v>0</v>
      </c>
      <c r="K4343" t="n">
        <v>0</v>
      </c>
      <c r="L4343" t="n">
        <v>0</v>
      </c>
      <c r="M4343" t="n">
        <v>0</v>
      </c>
      <c r="N4343" t="n">
        <v>0</v>
      </c>
      <c r="O4343" t="n">
        <v>0</v>
      </c>
      <c r="P4343" t="n">
        <v>0</v>
      </c>
      <c r="Q4343" t="n">
        <v>0</v>
      </c>
      <c r="R4343" t="n">
        <v>0</v>
      </c>
      <c r="S4343" t="n">
        <v>0</v>
      </c>
      <c r="T4343" t="n">
        <v>0</v>
      </c>
      <c r="U4343" t="n">
        <v>0</v>
      </c>
      <c r="V4343" s="2" t="inlineStr"/>
    </row>
    <row r="4344" ht="15" customHeight="1">
      <c r="A4344" t="inlineStr">
        <is>
          <t>A 38175-2026</t>
        </is>
      </c>
      <c r="B4344" t="inlineStr">
        <is>
          <t>avverkningsanmälan</t>
        </is>
      </c>
      <c r="C4344" t="inlineStr">
        <is>
          <t>Föryngringsavverkning</t>
        </is>
      </c>
      <c r="D4344" s="1" t="n">
        <v>46281</v>
      </c>
      <c r="E4344" s="1" t="n">
        <v>46323</v>
      </c>
      <c r="F4344" t="inlineStr">
        <is>
          <t>KALMAR LÄN</t>
        </is>
      </c>
      <c r="G4344" t="inlineStr">
        <is>
          <t>HULTSFRED</t>
        </is>
      </c>
      <c r="I4344" t="n">
        <v>3.4</v>
      </c>
      <c r="J4344" t="n">
        <v>0</v>
      </c>
      <c r="K4344" t="n">
        <v>0</v>
      </c>
      <c r="L4344" t="n">
        <v>0</v>
      </c>
      <c r="M4344" t="n">
        <v>0</v>
      </c>
      <c r="N4344" t="n">
        <v>0</v>
      </c>
      <c r="O4344" t="n">
        <v>0</v>
      </c>
      <c r="P4344" t="n">
        <v>0</v>
      </c>
      <c r="Q4344" t="n">
        <v>0</v>
      </c>
      <c r="R4344" t="n">
        <v>0</v>
      </c>
      <c r="S4344" t="n">
        <v>0</v>
      </c>
      <c r="T4344" t="n">
        <v>0</v>
      </c>
      <c r="U4344" t="n">
        <v>0</v>
      </c>
      <c r="V4344" s="2" t="inlineStr"/>
    </row>
    <row r="4345" ht="15" customHeight="1">
      <c r="A4345" t="inlineStr">
        <is>
          <t>A 40177-2023</t>
        </is>
      </c>
      <c r="B4345" t="inlineStr">
        <is>
          <t>avverkningsanmälan</t>
        </is>
      </c>
      <c r="C4345" t="inlineStr">
        <is>
          <t>Föryngringsavverkning</t>
        </is>
      </c>
      <c r="D4345" s="1" t="n">
        <v>45169</v>
      </c>
      <c r="E4345" s="1" t="n">
        <v>46323</v>
      </c>
      <c r="F4345" t="inlineStr">
        <is>
          <t>KALMAR LÄN</t>
        </is>
      </c>
      <c r="G4345" t="inlineStr">
        <is>
          <t>OSKARSHAMN</t>
        </is>
      </c>
      <c r="I4345" t="n">
        <v>1.1</v>
      </c>
      <c r="J4345" t="n">
        <v>0</v>
      </c>
      <c r="K4345" t="n">
        <v>0</v>
      </c>
      <c r="L4345" t="n">
        <v>0</v>
      </c>
      <c r="M4345" t="n">
        <v>0</v>
      </c>
      <c r="N4345" t="n">
        <v>0</v>
      </c>
      <c r="O4345" t="n">
        <v>0</v>
      </c>
      <c r="P4345" t="n">
        <v>0</v>
      </c>
      <c r="Q4345" t="n">
        <v>0</v>
      </c>
      <c r="R4345" t="n">
        <v>0</v>
      </c>
      <c r="S4345" t="n">
        <v>0</v>
      </c>
      <c r="T4345" t="n">
        <v>0</v>
      </c>
      <c r="U4345" t="n">
        <v>0</v>
      </c>
      <c r="V4345" s="2" t="inlineStr"/>
    </row>
    <row r="4346" ht="15" customHeight="1">
      <c r="A4346" t="inlineStr">
        <is>
          <t>A 40180-2023</t>
        </is>
      </c>
      <c r="B4346" t="inlineStr">
        <is>
          <t>avverkningsanmälan</t>
        </is>
      </c>
      <c r="C4346" t="inlineStr">
        <is>
          <t>Föryngringsavverkning</t>
        </is>
      </c>
      <c r="D4346" s="1" t="n">
        <v>45169</v>
      </c>
      <c r="E4346" s="1" t="n">
        <v>46323</v>
      </c>
      <c r="F4346" t="inlineStr">
        <is>
          <t>KALMAR LÄN</t>
        </is>
      </c>
      <c r="G4346" t="inlineStr">
        <is>
          <t>KALMAR</t>
        </is>
      </c>
      <c r="I4346" t="n">
        <v>2.5</v>
      </c>
      <c r="J4346" t="n">
        <v>0</v>
      </c>
      <c r="K4346" t="n">
        <v>0</v>
      </c>
      <c r="L4346" t="n">
        <v>0</v>
      </c>
      <c r="M4346" t="n">
        <v>0</v>
      </c>
      <c r="N4346" t="n">
        <v>0</v>
      </c>
      <c r="O4346" t="n">
        <v>0</v>
      </c>
      <c r="P4346" t="n">
        <v>0</v>
      </c>
      <c r="Q4346" t="n">
        <v>0</v>
      </c>
      <c r="R4346" t="n">
        <v>0</v>
      </c>
      <c r="S4346" t="n">
        <v>0</v>
      </c>
      <c r="T4346" t="n">
        <v>0</v>
      </c>
      <c r="U4346" t="n">
        <v>0</v>
      </c>
      <c r="V4346" s="2" t="inlineStr"/>
    </row>
    <row r="4347" ht="15" customHeight="1">
      <c r="A4347" t="inlineStr">
        <is>
          <t>A 46415-2023</t>
        </is>
      </c>
      <c r="B4347" t="inlineStr">
        <is>
          <t>avverkningsanmälan</t>
        </is>
      </c>
      <c r="C4347" t="inlineStr">
        <is>
          <t>Föryngringsavverkning</t>
        </is>
      </c>
      <c r="D4347" s="1" t="n">
        <v>45194</v>
      </c>
      <c r="E4347" s="1" t="n">
        <v>46323</v>
      </c>
      <c r="F4347" t="inlineStr">
        <is>
          <t>KALMAR LÄN</t>
        </is>
      </c>
      <c r="G4347" t="inlineStr">
        <is>
          <t>HULTSFRED</t>
        </is>
      </c>
      <c r="I4347" t="n">
        <v>1.2</v>
      </c>
      <c r="J4347" t="n">
        <v>0</v>
      </c>
      <c r="K4347" t="n">
        <v>0</v>
      </c>
      <c r="L4347" t="n">
        <v>0</v>
      </c>
      <c r="M4347" t="n">
        <v>0</v>
      </c>
      <c r="N4347" t="n">
        <v>0</v>
      </c>
      <c r="O4347" t="n">
        <v>0</v>
      </c>
      <c r="P4347" t="n">
        <v>0</v>
      </c>
      <c r="Q4347" t="n">
        <v>0</v>
      </c>
      <c r="R4347" t="n">
        <v>0</v>
      </c>
      <c r="S4347" t="n">
        <v>0</v>
      </c>
      <c r="T4347" t="n">
        <v>0</v>
      </c>
      <c r="U4347" t="n">
        <v>0</v>
      </c>
      <c r="V4347" s="2" t="inlineStr"/>
    </row>
    <row r="4348" ht="15" customHeight="1">
      <c r="A4348" t="inlineStr">
        <is>
          <t>A 8384-2026</t>
        </is>
      </c>
      <c r="B4348" t="inlineStr">
        <is>
          <t>avverkningsanmälan</t>
        </is>
      </c>
      <c r="C4348" t="inlineStr">
        <is>
          <t>Föryngringsavverkning</t>
        </is>
      </c>
      <c r="D4348" s="1" t="n">
        <v>46064</v>
      </c>
      <c r="E4348" s="1" t="n">
        <v>46323</v>
      </c>
      <c r="F4348" t="inlineStr">
        <is>
          <t>KALMAR LÄN</t>
        </is>
      </c>
      <c r="G4348" t="inlineStr">
        <is>
          <t>NYBRO</t>
        </is>
      </c>
      <c r="I4348" t="n">
        <v>0.8</v>
      </c>
      <c r="J4348" t="n">
        <v>0</v>
      </c>
      <c r="K4348" t="n">
        <v>0</v>
      </c>
      <c r="L4348" t="n">
        <v>0</v>
      </c>
      <c r="M4348" t="n">
        <v>0</v>
      </c>
      <c r="N4348" t="n">
        <v>0</v>
      </c>
      <c r="O4348" t="n">
        <v>0</v>
      </c>
      <c r="P4348" t="n">
        <v>0</v>
      </c>
      <c r="Q4348" t="n">
        <v>0</v>
      </c>
      <c r="R4348" t="n">
        <v>0</v>
      </c>
      <c r="S4348" t="n">
        <v>0</v>
      </c>
      <c r="T4348" t="n">
        <v>0</v>
      </c>
      <c r="U4348" t="n">
        <v>0</v>
      </c>
      <c r="V4348" s="2" t="inlineStr"/>
    </row>
    <row r="4349" ht="15" customHeight="1">
      <c r="A4349" t="inlineStr">
        <is>
          <t>A 36043-2022</t>
        </is>
      </c>
      <c r="B4349" t="inlineStr">
        <is>
          <t>avverkningsanmälan</t>
        </is>
      </c>
      <c r="C4349" t="inlineStr">
        <is>
          <t>Föryngringsavverkning</t>
        </is>
      </c>
      <c r="D4349" s="1" t="n">
        <v>44802</v>
      </c>
      <c r="E4349" s="1" t="n">
        <v>46323</v>
      </c>
      <c r="F4349" t="inlineStr">
        <is>
          <t>KALMAR LÄN</t>
        </is>
      </c>
      <c r="G4349" t="inlineStr">
        <is>
          <t>EMMABODA</t>
        </is>
      </c>
      <c r="I4349" t="n">
        <v>2.2</v>
      </c>
      <c r="J4349" t="n">
        <v>0</v>
      </c>
      <c r="K4349" t="n">
        <v>0</v>
      </c>
      <c r="L4349" t="n">
        <v>0</v>
      </c>
      <c r="M4349" t="n">
        <v>0</v>
      </c>
      <c r="N4349" t="n">
        <v>0</v>
      </c>
      <c r="O4349" t="n">
        <v>0</v>
      </c>
      <c r="P4349" t="n">
        <v>0</v>
      </c>
      <c r="Q4349" t="n">
        <v>0</v>
      </c>
      <c r="R4349" t="n">
        <v>0</v>
      </c>
      <c r="S4349" t="n">
        <v>0</v>
      </c>
      <c r="T4349" t="n">
        <v>0</v>
      </c>
      <c r="U4349" t="n">
        <v>0</v>
      </c>
      <c r="V4349" s="2" t="inlineStr"/>
    </row>
    <row r="4350" ht="15" customHeight="1">
      <c r="A4350" t="inlineStr">
        <is>
          <t>A 8595-2026</t>
        </is>
      </c>
      <c r="B4350" t="inlineStr">
        <is>
          <t>avverkningsanmälan</t>
        </is>
      </c>
      <c r="C4350" t="inlineStr">
        <is>
          <t>Föryngringsavverkning</t>
        </is>
      </c>
      <c r="D4350" s="1" t="n">
        <v>46065</v>
      </c>
      <c r="E4350" s="1" t="n">
        <v>46323</v>
      </c>
      <c r="F4350" t="inlineStr">
        <is>
          <t>KALMAR LÄN</t>
        </is>
      </c>
      <c r="G4350" t="inlineStr">
        <is>
          <t>VIMMERBY</t>
        </is>
      </c>
      <c r="I4350" t="n">
        <v>0.8</v>
      </c>
      <c r="J4350" t="n">
        <v>0</v>
      </c>
      <c r="K4350" t="n">
        <v>0</v>
      </c>
      <c r="L4350" t="n">
        <v>0</v>
      </c>
      <c r="M4350" t="n">
        <v>0</v>
      </c>
      <c r="N4350" t="n">
        <v>0</v>
      </c>
      <c r="O4350" t="n">
        <v>0</v>
      </c>
      <c r="P4350" t="n">
        <v>0</v>
      </c>
      <c r="Q4350" t="n">
        <v>0</v>
      </c>
      <c r="R4350" t="n">
        <v>0</v>
      </c>
      <c r="S4350" t="n">
        <v>0</v>
      </c>
      <c r="T4350" t="n">
        <v>0</v>
      </c>
      <c r="U4350" t="n">
        <v>0</v>
      </c>
      <c r="V4350" s="2" t="inlineStr"/>
    </row>
    <row r="4351" ht="15" customHeight="1">
      <c r="A4351" t="inlineStr">
        <is>
          <t>A 49324-2022</t>
        </is>
      </c>
      <c r="B4351" t="inlineStr">
        <is>
          <t>avverkningsanmälan</t>
        </is>
      </c>
      <c r="C4351" t="inlineStr">
        <is>
          <t>Föryngringsavverkning</t>
        </is>
      </c>
      <c r="D4351" s="1" t="n">
        <v>44861</v>
      </c>
      <c r="E4351" s="1" t="n">
        <v>46323</v>
      </c>
      <c r="F4351" t="inlineStr">
        <is>
          <t>KALMAR LÄN</t>
        </is>
      </c>
      <c r="G4351" t="inlineStr">
        <is>
          <t>KALMAR</t>
        </is>
      </c>
      <c r="I4351" t="n">
        <v>0.6</v>
      </c>
      <c r="J4351" t="n">
        <v>0</v>
      </c>
      <c r="K4351" t="n">
        <v>0</v>
      </c>
      <c r="L4351" t="n">
        <v>0</v>
      </c>
      <c r="M4351" t="n">
        <v>0</v>
      </c>
      <c r="N4351" t="n">
        <v>0</v>
      </c>
      <c r="O4351" t="n">
        <v>0</v>
      </c>
      <c r="P4351" t="n">
        <v>0</v>
      </c>
      <c r="Q4351" t="n">
        <v>0</v>
      </c>
      <c r="R4351" t="n">
        <v>0</v>
      </c>
      <c r="S4351" t="n">
        <v>0</v>
      </c>
      <c r="T4351" t="n">
        <v>0</v>
      </c>
      <c r="U4351" t="n">
        <v>0</v>
      </c>
      <c r="V4351" s="2" t="inlineStr"/>
    </row>
    <row r="4352" ht="15" customHeight="1">
      <c r="A4352" t="inlineStr">
        <is>
          <t>A 32190-2023</t>
        </is>
      </c>
      <c r="B4352" t="inlineStr">
        <is>
          <t>avverkningsanmälan</t>
        </is>
      </c>
      <c r="C4352" t="inlineStr">
        <is>
          <t>Föryngringsavverkning</t>
        </is>
      </c>
      <c r="D4352" s="1" t="n">
        <v>45119</v>
      </c>
      <c r="E4352" s="1" t="n">
        <v>46323</v>
      </c>
      <c r="F4352" t="inlineStr">
        <is>
          <t>KALMAR LÄN</t>
        </is>
      </c>
      <c r="G4352" t="inlineStr">
        <is>
          <t>KALMAR</t>
        </is>
      </c>
      <c r="I4352" t="n">
        <v>1.3</v>
      </c>
      <c r="J4352" t="n">
        <v>0</v>
      </c>
      <c r="K4352" t="n">
        <v>0</v>
      </c>
      <c r="L4352" t="n">
        <v>0</v>
      </c>
      <c r="M4352" t="n">
        <v>0</v>
      </c>
      <c r="N4352" t="n">
        <v>0</v>
      </c>
      <c r="O4352" t="n">
        <v>0</v>
      </c>
      <c r="P4352" t="n">
        <v>0</v>
      </c>
      <c r="Q4352" t="n">
        <v>0</v>
      </c>
      <c r="R4352" t="n">
        <v>0</v>
      </c>
      <c r="S4352" t="n">
        <v>0</v>
      </c>
      <c r="T4352" t="n">
        <v>0</v>
      </c>
      <c r="U4352" t="n">
        <v>0</v>
      </c>
      <c r="V4352" s="2" t="inlineStr"/>
    </row>
    <row r="4353" ht="15" customHeight="1">
      <c r="A4353" t="inlineStr">
        <is>
          <t>A 44582-2024</t>
        </is>
      </c>
      <c r="B4353" t="inlineStr">
        <is>
          <t>avverkningsanmälan</t>
        </is>
      </c>
      <c r="C4353" t="inlineStr">
        <is>
          <t>Föryngringsavverkning</t>
        </is>
      </c>
      <c r="D4353" s="1" t="n">
        <v>45574</v>
      </c>
      <c r="E4353" s="1" t="n">
        <v>46323</v>
      </c>
      <c r="F4353" t="inlineStr">
        <is>
          <t>KALMAR LÄN</t>
        </is>
      </c>
      <c r="G4353" t="inlineStr">
        <is>
          <t>VIMMERBY</t>
        </is>
      </c>
      <c r="I4353" t="n">
        <v>1.1</v>
      </c>
      <c r="J4353" t="n">
        <v>0</v>
      </c>
      <c r="K4353" t="n">
        <v>0</v>
      </c>
      <c r="L4353" t="n">
        <v>0</v>
      </c>
      <c r="M4353" t="n">
        <v>0</v>
      </c>
      <c r="N4353" t="n">
        <v>0</v>
      </c>
      <c r="O4353" t="n">
        <v>0</v>
      </c>
      <c r="P4353" t="n">
        <v>0</v>
      </c>
      <c r="Q4353" t="n">
        <v>0</v>
      </c>
      <c r="R4353" t="n">
        <v>0</v>
      </c>
      <c r="S4353" t="n">
        <v>0</v>
      </c>
      <c r="T4353" t="n">
        <v>0</v>
      </c>
      <c r="U4353" t="n">
        <v>0</v>
      </c>
      <c r="V4353" s="2" t="inlineStr"/>
    </row>
    <row r="4354" ht="15" customHeight="1">
      <c r="A4354" t="inlineStr">
        <is>
          <t>A 5959-2025</t>
        </is>
      </c>
      <c r="B4354" t="inlineStr">
        <is>
          <t>avverkningsanmälan</t>
        </is>
      </c>
      <c r="C4354" t="inlineStr">
        <is>
          <t>Föryngringsavverkning</t>
        </is>
      </c>
      <c r="D4354" s="1" t="n">
        <v>45695</v>
      </c>
      <c r="E4354" s="1" t="n">
        <v>46323</v>
      </c>
      <c r="F4354" t="inlineStr">
        <is>
          <t>KALMAR LÄN</t>
        </is>
      </c>
      <c r="G4354" t="inlineStr">
        <is>
          <t>TORSÅS</t>
        </is>
      </c>
      <c r="I4354" t="n">
        <v>0.5</v>
      </c>
      <c r="J4354" t="n">
        <v>0</v>
      </c>
      <c r="K4354" t="n">
        <v>0</v>
      </c>
      <c r="L4354" t="n">
        <v>0</v>
      </c>
      <c r="M4354" t="n">
        <v>0</v>
      </c>
      <c r="N4354" t="n">
        <v>0</v>
      </c>
      <c r="O4354" t="n">
        <v>0</v>
      </c>
      <c r="P4354" t="n">
        <v>0</v>
      </c>
      <c r="Q4354" t="n">
        <v>0</v>
      </c>
      <c r="R4354" t="n">
        <v>0</v>
      </c>
      <c r="S4354" t="n">
        <v>0</v>
      </c>
      <c r="T4354" t="n">
        <v>0</v>
      </c>
      <c r="U4354" t="n">
        <v>0</v>
      </c>
      <c r="V4354" s="2" t="inlineStr"/>
    </row>
    <row r="4355" ht="15" customHeight="1">
      <c r="A4355" t="inlineStr">
        <is>
          <t>A 9456-2025</t>
        </is>
      </c>
      <c r="B4355" t="inlineStr">
        <is>
          <t>avverkningsanmälan</t>
        </is>
      </c>
      <c r="C4355" t="inlineStr">
        <is>
          <t>Föryngringsavverkning</t>
        </is>
      </c>
      <c r="D4355" s="1" t="n">
        <v>45715</v>
      </c>
      <c r="E4355" s="1" t="n">
        <v>46323</v>
      </c>
      <c r="F4355" t="inlineStr">
        <is>
          <t>KALMAR LÄN</t>
        </is>
      </c>
      <c r="G4355" t="inlineStr">
        <is>
          <t>VIMMERBY</t>
        </is>
      </c>
      <c r="I4355" t="n">
        <v>1.5</v>
      </c>
      <c r="J4355" t="n">
        <v>0</v>
      </c>
      <c r="K4355" t="n">
        <v>0</v>
      </c>
      <c r="L4355" t="n">
        <v>0</v>
      </c>
      <c r="M4355" t="n">
        <v>0</v>
      </c>
      <c r="N4355" t="n">
        <v>0</v>
      </c>
      <c r="O4355" t="n">
        <v>0</v>
      </c>
      <c r="P4355" t="n">
        <v>0</v>
      </c>
      <c r="Q4355" t="n">
        <v>0</v>
      </c>
      <c r="R4355" t="n">
        <v>0</v>
      </c>
      <c r="S4355" t="n">
        <v>0</v>
      </c>
      <c r="T4355" t="n">
        <v>0</v>
      </c>
      <c r="U4355" t="n">
        <v>0</v>
      </c>
      <c r="V4355" s="2" t="inlineStr"/>
    </row>
    <row r="4356" ht="15" customHeight="1">
      <c r="A4356" t="inlineStr">
        <is>
          <t>A 48543-2023</t>
        </is>
      </c>
      <c r="B4356" t="inlineStr">
        <is>
          <t>avverkningsanmälan</t>
        </is>
      </c>
      <c r="C4356" t="inlineStr">
        <is>
          <t>Föryngringsavverkning</t>
        </is>
      </c>
      <c r="D4356" s="1" t="n">
        <v>45208</v>
      </c>
      <c r="E4356" s="1" t="n">
        <v>46323</v>
      </c>
      <c r="F4356" t="inlineStr">
        <is>
          <t>KALMAR LÄN</t>
        </is>
      </c>
      <c r="G4356" t="inlineStr">
        <is>
          <t>TORSÅS</t>
        </is>
      </c>
      <c r="I4356" t="n">
        <v>1.7</v>
      </c>
      <c r="J4356" t="n">
        <v>0</v>
      </c>
      <c r="K4356" t="n">
        <v>0</v>
      </c>
      <c r="L4356" t="n">
        <v>0</v>
      </c>
      <c r="M4356" t="n">
        <v>0</v>
      </c>
      <c r="N4356" t="n">
        <v>0</v>
      </c>
      <c r="O4356" t="n">
        <v>0</v>
      </c>
      <c r="P4356" t="n">
        <v>0</v>
      </c>
      <c r="Q4356" t="n">
        <v>0</v>
      </c>
      <c r="R4356" t="n">
        <v>0</v>
      </c>
      <c r="S4356" t="n">
        <v>0</v>
      </c>
      <c r="T4356" t="n">
        <v>0</v>
      </c>
      <c r="U4356" t="n">
        <v>0</v>
      </c>
      <c r="V4356" s="2" t="inlineStr"/>
    </row>
    <row r="4357" ht="15" customHeight="1">
      <c r="A4357" t="inlineStr">
        <is>
          <t>A 32374-2026</t>
        </is>
      </c>
      <c r="B4357" t="inlineStr">
        <is>
          <t>avverkningsanmälan</t>
        </is>
      </c>
      <c r="C4357" t="inlineStr">
        <is>
          <t>Föryngringsavverkning</t>
        </is>
      </c>
      <c r="D4357" s="1" t="n">
        <v>46238</v>
      </c>
      <c r="E4357" s="1" t="n">
        <v>46323</v>
      </c>
      <c r="F4357" t="inlineStr">
        <is>
          <t>KALMAR LÄN</t>
        </is>
      </c>
      <c r="G4357" t="inlineStr">
        <is>
          <t>VÄSTERVIK</t>
        </is>
      </c>
      <c r="I4357" t="n">
        <v>1.6</v>
      </c>
      <c r="J4357" t="n">
        <v>0</v>
      </c>
      <c r="K4357" t="n">
        <v>0</v>
      </c>
      <c r="L4357" t="n">
        <v>0</v>
      </c>
      <c r="M4357" t="n">
        <v>0</v>
      </c>
      <c r="N4357" t="n">
        <v>0</v>
      </c>
      <c r="O4357" t="n">
        <v>0</v>
      </c>
      <c r="P4357" t="n">
        <v>0</v>
      </c>
      <c r="Q4357" t="n">
        <v>0</v>
      </c>
      <c r="R4357" t="n">
        <v>0</v>
      </c>
      <c r="S4357" t="n">
        <v>0</v>
      </c>
      <c r="T4357" t="n">
        <v>0</v>
      </c>
      <c r="U4357" t="n">
        <v>0</v>
      </c>
      <c r="V4357" s="2" t="inlineStr"/>
    </row>
    <row r="4358" ht="15" customHeight="1">
      <c r="A4358" t="inlineStr">
        <is>
          <t>A 32376-2026</t>
        </is>
      </c>
      <c r="B4358" t="inlineStr">
        <is>
          <t>avverkningsanmälan</t>
        </is>
      </c>
      <c r="C4358" t="inlineStr">
        <is>
          <t>Föryngringsavverkning</t>
        </is>
      </c>
      <c r="D4358" s="1" t="n">
        <v>46238</v>
      </c>
      <c r="E4358" s="1" t="n">
        <v>46323</v>
      </c>
      <c r="F4358" t="inlineStr">
        <is>
          <t>KALMAR LÄN</t>
        </is>
      </c>
      <c r="G4358" t="inlineStr">
        <is>
          <t>MÖNSTERÅS</t>
        </is>
      </c>
      <c r="I4358" t="n">
        <v>1.9</v>
      </c>
      <c r="J4358" t="n">
        <v>0</v>
      </c>
      <c r="K4358" t="n">
        <v>0</v>
      </c>
      <c r="L4358" t="n">
        <v>0</v>
      </c>
      <c r="M4358" t="n">
        <v>0</v>
      </c>
      <c r="N4358" t="n">
        <v>0</v>
      </c>
      <c r="O4358" t="n">
        <v>0</v>
      </c>
      <c r="P4358" t="n">
        <v>0</v>
      </c>
      <c r="Q4358" t="n">
        <v>0</v>
      </c>
      <c r="R4358" t="n">
        <v>0</v>
      </c>
      <c r="S4358" t="n">
        <v>0</v>
      </c>
      <c r="T4358" t="n">
        <v>0</v>
      </c>
      <c r="U4358" t="n">
        <v>0</v>
      </c>
      <c r="V4358" s="2" t="inlineStr"/>
    </row>
    <row r="4359" ht="15" customHeight="1">
      <c r="A4359" t="inlineStr">
        <is>
          <t>A 32384-2026</t>
        </is>
      </c>
      <c r="B4359" t="inlineStr">
        <is>
          <t>avverkningsanmälan</t>
        </is>
      </c>
      <c r="C4359" t="inlineStr">
        <is>
          <t>Föryngringsavverkning</t>
        </is>
      </c>
      <c r="D4359" s="1" t="n">
        <v>46238</v>
      </c>
      <c r="E4359" s="1" t="n">
        <v>46323</v>
      </c>
      <c r="F4359" t="inlineStr">
        <is>
          <t>KALMAR LÄN</t>
        </is>
      </c>
      <c r="G4359" t="inlineStr">
        <is>
          <t>VÄSTERVIK</t>
        </is>
      </c>
      <c r="I4359" t="n">
        <v>2.5</v>
      </c>
      <c r="J4359" t="n">
        <v>0</v>
      </c>
      <c r="K4359" t="n">
        <v>0</v>
      </c>
      <c r="L4359" t="n">
        <v>0</v>
      </c>
      <c r="M4359" t="n">
        <v>0</v>
      </c>
      <c r="N4359" t="n">
        <v>0</v>
      </c>
      <c r="O4359" t="n">
        <v>0</v>
      </c>
      <c r="P4359" t="n">
        <v>0</v>
      </c>
      <c r="Q4359" t="n">
        <v>0</v>
      </c>
      <c r="R4359" t="n">
        <v>0</v>
      </c>
      <c r="S4359" t="n">
        <v>0</v>
      </c>
      <c r="T4359" t="n">
        <v>0</v>
      </c>
      <c r="U4359" t="n">
        <v>0</v>
      </c>
      <c r="V4359" s="2" t="inlineStr"/>
    </row>
    <row r="4360" ht="15" customHeight="1">
      <c r="A4360" t="inlineStr">
        <is>
          <t>A 16080-2025</t>
        </is>
      </c>
      <c r="B4360" t="inlineStr">
        <is>
          <t>avverkningsanmälan</t>
        </is>
      </c>
      <c r="C4360" t="inlineStr">
        <is>
          <t>Föryngringsavverkning</t>
        </is>
      </c>
      <c r="D4360" s="1" t="n">
        <v>45749</v>
      </c>
      <c r="E4360" s="1" t="n">
        <v>46323</v>
      </c>
      <c r="F4360" t="inlineStr">
        <is>
          <t>KALMAR LÄN</t>
        </is>
      </c>
      <c r="G4360" t="inlineStr">
        <is>
          <t>VÄSTERVIK</t>
        </is>
      </c>
      <c r="I4360" t="n">
        <v>1.9</v>
      </c>
      <c r="J4360" t="n">
        <v>0</v>
      </c>
      <c r="K4360" t="n">
        <v>0</v>
      </c>
      <c r="L4360" t="n">
        <v>0</v>
      </c>
      <c r="M4360" t="n">
        <v>0</v>
      </c>
      <c r="N4360" t="n">
        <v>0</v>
      </c>
      <c r="O4360" t="n">
        <v>0</v>
      </c>
      <c r="P4360" t="n">
        <v>0</v>
      </c>
      <c r="Q4360" t="n">
        <v>0</v>
      </c>
      <c r="R4360" t="n">
        <v>0</v>
      </c>
      <c r="S4360" t="n">
        <v>0</v>
      </c>
      <c r="T4360" t="n">
        <v>0</v>
      </c>
      <c r="U4360" t="n">
        <v>0</v>
      </c>
      <c r="V4360" s="2" t="inlineStr"/>
    </row>
    <row r="4361" ht="15" customHeight="1">
      <c r="A4361" t="inlineStr">
        <is>
          <t>A 38177-2026</t>
        </is>
      </c>
      <c r="B4361" t="inlineStr">
        <is>
          <t>avverkningsanmälan</t>
        </is>
      </c>
      <c r="C4361" t="inlineStr">
        <is>
          <t>Föryngringsavverkning</t>
        </is>
      </c>
      <c r="D4361" s="1" t="n">
        <v>46281</v>
      </c>
      <c r="E4361" s="1" t="n">
        <v>46323</v>
      </c>
      <c r="F4361" t="inlineStr">
        <is>
          <t>KALMAR LÄN</t>
        </is>
      </c>
      <c r="G4361" t="inlineStr">
        <is>
          <t>HULTSFRED</t>
        </is>
      </c>
      <c r="I4361" t="n">
        <v>7.5</v>
      </c>
      <c r="J4361" t="n">
        <v>0</v>
      </c>
      <c r="K4361" t="n">
        <v>0</v>
      </c>
      <c r="L4361" t="n">
        <v>0</v>
      </c>
      <c r="M4361" t="n">
        <v>0</v>
      </c>
      <c r="N4361" t="n">
        <v>0</v>
      </c>
      <c r="O4361" t="n">
        <v>0</v>
      </c>
      <c r="P4361" t="n">
        <v>0</v>
      </c>
      <c r="Q4361" t="n">
        <v>0</v>
      </c>
      <c r="R4361" t="n">
        <v>0</v>
      </c>
      <c r="S4361" t="n">
        <v>0</v>
      </c>
      <c r="T4361" t="n">
        <v>0</v>
      </c>
      <c r="U4361" t="n">
        <v>0</v>
      </c>
      <c r="V4361" s="2" t="inlineStr"/>
    </row>
    <row r="4362" ht="15" customHeight="1">
      <c r="A4362" t="inlineStr">
        <is>
          <t>A 36560-2023</t>
        </is>
      </c>
      <c r="B4362" t="inlineStr">
        <is>
          <t>avverkningsanmälan</t>
        </is>
      </c>
      <c r="C4362" t="inlineStr">
        <is>
          <t>Föryngringsavverkning</t>
        </is>
      </c>
      <c r="D4362" s="1" t="n">
        <v>45153</v>
      </c>
      <c r="E4362" s="1" t="n">
        <v>46323</v>
      </c>
      <c r="F4362" t="inlineStr">
        <is>
          <t>KALMAR LÄN</t>
        </is>
      </c>
      <c r="G4362" t="inlineStr">
        <is>
          <t>KALMAR</t>
        </is>
      </c>
      <c r="I4362" t="n">
        <v>1.4</v>
      </c>
      <c r="J4362" t="n">
        <v>0</v>
      </c>
      <c r="K4362" t="n">
        <v>0</v>
      </c>
      <c r="L4362" t="n">
        <v>0</v>
      </c>
      <c r="M4362" t="n">
        <v>0</v>
      </c>
      <c r="N4362" t="n">
        <v>0</v>
      </c>
      <c r="O4362" t="n">
        <v>0</v>
      </c>
      <c r="P4362" t="n">
        <v>0</v>
      </c>
      <c r="Q4362" t="n">
        <v>0</v>
      </c>
      <c r="R4362" t="n">
        <v>0</v>
      </c>
      <c r="S4362" t="n">
        <v>0</v>
      </c>
      <c r="T4362" t="n">
        <v>0</v>
      </c>
      <c r="U4362" t="n">
        <v>0</v>
      </c>
      <c r="V4362" s="2" t="inlineStr"/>
    </row>
    <row r="4363" ht="15" customHeight="1">
      <c r="A4363" t="inlineStr">
        <is>
          <t>A 41926-2024</t>
        </is>
      </c>
      <c r="B4363" t="inlineStr">
        <is>
          <t>avverkningsanmälan</t>
        </is>
      </c>
      <c r="C4363" t="inlineStr">
        <is>
          <t>Föryngringsavverkning</t>
        </is>
      </c>
      <c r="D4363" s="1" t="n">
        <v>45561</v>
      </c>
      <c r="E4363" s="1" t="n">
        <v>46323</v>
      </c>
      <c r="F4363" t="inlineStr">
        <is>
          <t>KALMAR LÄN</t>
        </is>
      </c>
      <c r="G4363" t="inlineStr">
        <is>
          <t>VÄSTERVIK</t>
        </is>
      </c>
      <c r="H4363" t="inlineStr">
        <is>
          <t>Kyrkan</t>
        </is>
      </c>
      <c r="I4363" t="n">
        <v>10</v>
      </c>
      <c r="J4363" t="n">
        <v>0</v>
      </c>
      <c r="K4363" t="n">
        <v>0</v>
      </c>
      <c r="L4363" t="n">
        <v>0</v>
      </c>
      <c r="M4363" t="n">
        <v>0</v>
      </c>
      <c r="N4363" t="n">
        <v>0</v>
      </c>
      <c r="O4363" t="n">
        <v>0</v>
      </c>
      <c r="P4363" t="n">
        <v>0</v>
      </c>
      <c r="Q4363" t="n">
        <v>0</v>
      </c>
      <c r="R4363" t="n">
        <v>0</v>
      </c>
      <c r="S4363" t="n">
        <v>0</v>
      </c>
      <c r="T4363" t="n">
        <v>0</v>
      </c>
      <c r="U4363" t="n">
        <v>0</v>
      </c>
      <c r="V4363" s="2" t="inlineStr"/>
    </row>
    <row r="4364" ht="15" customHeight="1">
      <c r="A4364" t="inlineStr">
        <is>
          <t>A 34841-2024</t>
        </is>
      </c>
      <c r="B4364" t="inlineStr">
        <is>
          <t>avverkningsanmälan</t>
        </is>
      </c>
      <c r="C4364" t="inlineStr">
        <is>
          <t>Föryngringsavverkning</t>
        </is>
      </c>
      <c r="D4364" s="1" t="n">
        <v>45526</v>
      </c>
      <c r="E4364" s="1" t="n">
        <v>46323</v>
      </c>
      <c r="F4364" t="inlineStr">
        <is>
          <t>KALMAR LÄN</t>
        </is>
      </c>
      <c r="G4364" t="inlineStr">
        <is>
          <t>OSKARSHAMN</t>
        </is>
      </c>
      <c r="I4364" t="n">
        <v>5</v>
      </c>
      <c r="J4364" t="n">
        <v>0</v>
      </c>
      <c r="K4364" t="n">
        <v>0</v>
      </c>
      <c r="L4364" t="n">
        <v>0</v>
      </c>
      <c r="M4364" t="n">
        <v>0</v>
      </c>
      <c r="N4364" t="n">
        <v>0</v>
      </c>
      <c r="O4364" t="n">
        <v>0</v>
      </c>
      <c r="P4364" t="n">
        <v>0</v>
      </c>
      <c r="Q4364" t="n">
        <v>0</v>
      </c>
      <c r="R4364" t="n">
        <v>0</v>
      </c>
      <c r="S4364" t="n">
        <v>0</v>
      </c>
      <c r="T4364" t="n">
        <v>0</v>
      </c>
      <c r="U4364" t="n">
        <v>0</v>
      </c>
      <c r="V4364" s="2" t="inlineStr"/>
    </row>
    <row r="4365" ht="15" customHeight="1">
      <c r="A4365" t="inlineStr">
        <is>
          <t>A 32380-2026</t>
        </is>
      </c>
      <c r="B4365" t="inlineStr">
        <is>
          <t>avverkningsanmälan</t>
        </is>
      </c>
      <c r="C4365" t="inlineStr">
        <is>
          <t>Föryngringsavverkning</t>
        </is>
      </c>
      <c r="D4365" s="1" t="n">
        <v>46238</v>
      </c>
      <c r="E4365" s="1" t="n">
        <v>46323</v>
      </c>
      <c r="F4365" t="inlineStr">
        <is>
          <t>KALMAR LÄN</t>
        </is>
      </c>
      <c r="G4365" t="inlineStr">
        <is>
          <t>VÄSTERVIK</t>
        </is>
      </c>
      <c r="I4365" t="n">
        <v>4.8</v>
      </c>
      <c r="J4365" t="n">
        <v>0</v>
      </c>
      <c r="K4365" t="n">
        <v>0</v>
      </c>
      <c r="L4365" t="n">
        <v>0</v>
      </c>
      <c r="M4365" t="n">
        <v>0</v>
      </c>
      <c r="N4365" t="n">
        <v>0</v>
      </c>
      <c r="O4365" t="n">
        <v>0</v>
      </c>
      <c r="P4365" t="n">
        <v>0</v>
      </c>
      <c r="Q4365" t="n">
        <v>0</v>
      </c>
      <c r="R4365" t="n">
        <v>0</v>
      </c>
      <c r="S4365" t="n">
        <v>0</v>
      </c>
      <c r="T4365" t="n">
        <v>0</v>
      </c>
      <c r="U4365" t="n">
        <v>0</v>
      </c>
      <c r="V4365" s="2" t="inlineStr"/>
    </row>
    <row r="4366" ht="15" customHeight="1">
      <c r="A4366" t="inlineStr">
        <is>
          <t>A 14237-2024</t>
        </is>
      </c>
      <c r="B4366" t="inlineStr">
        <is>
          <t>avverkningsanmälan</t>
        </is>
      </c>
      <c r="C4366" t="inlineStr">
        <is>
          <t>Föryngringsavverkning</t>
        </is>
      </c>
      <c r="D4366" s="1" t="n">
        <v>45393</v>
      </c>
      <c r="E4366" s="1" t="n">
        <v>46323</v>
      </c>
      <c r="F4366" t="inlineStr">
        <is>
          <t>KALMAR LÄN</t>
        </is>
      </c>
      <c r="G4366" t="inlineStr">
        <is>
          <t>VÄSTERVIK</t>
        </is>
      </c>
      <c r="I4366" t="n">
        <v>0.9</v>
      </c>
      <c r="J4366" t="n">
        <v>0</v>
      </c>
      <c r="K4366" t="n">
        <v>0</v>
      </c>
      <c r="L4366" t="n">
        <v>0</v>
      </c>
      <c r="M4366" t="n">
        <v>0</v>
      </c>
      <c r="N4366" t="n">
        <v>0</v>
      </c>
      <c r="O4366" t="n">
        <v>0</v>
      </c>
      <c r="P4366" t="n">
        <v>0</v>
      </c>
      <c r="Q4366" t="n">
        <v>0</v>
      </c>
      <c r="R4366" t="n">
        <v>0</v>
      </c>
      <c r="S4366" t="n">
        <v>0</v>
      </c>
      <c r="T4366" t="n">
        <v>0</v>
      </c>
      <c r="U4366" t="n">
        <v>0</v>
      </c>
      <c r="V4366" s="2" t="inlineStr"/>
    </row>
    <row r="4367" ht="15" customHeight="1">
      <c r="A4367" t="inlineStr">
        <is>
          <t>A 32397-2026</t>
        </is>
      </c>
      <c r="B4367" t="inlineStr">
        <is>
          <t>avverkningsanmälan</t>
        </is>
      </c>
      <c r="C4367" t="inlineStr">
        <is>
          <t>Föryngringsavverkning</t>
        </is>
      </c>
      <c r="D4367" s="1" t="n">
        <v>46238</v>
      </c>
      <c r="E4367" s="1" t="n">
        <v>46323</v>
      </c>
      <c r="F4367" t="inlineStr">
        <is>
          <t>KALMAR LÄN</t>
        </is>
      </c>
      <c r="G4367" t="inlineStr">
        <is>
          <t>NYBRO</t>
        </is>
      </c>
      <c r="H4367" t="inlineStr">
        <is>
          <t>Sveaskog</t>
        </is>
      </c>
      <c r="I4367" t="n">
        <v>6.3</v>
      </c>
      <c r="J4367" t="n">
        <v>0</v>
      </c>
      <c r="K4367" t="n">
        <v>0</v>
      </c>
      <c r="L4367" t="n">
        <v>0</v>
      </c>
      <c r="M4367" t="n">
        <v>0</v>
      </c>
      <c r="N4367" t="n">
        <v>0</v>
      </c>
      <c r="O4367" t="n">
        <v>0</v>
      </c>
      <c r="P4367" t="n">
        <v>0</v>
      </c>
      <c r="Q4367" t="n">
        <v>0</v>
      </c>
      <c r="R4367" t="n">
        <v>0</v>
      </c>
      <c r="S4367" t="n">
        <v>0</v>
      </c>
      <c r="T4367" t="n">
        <v>0</v>
      </c>
      <c r="U4367" t="n">
        <v>0</v>
      </c>
      <c r="V4367" s="2" t="inlineStr"/>
    </row>
    <row r="4368" ht="15" customHeight="1">
      <c r="A4368" t="inlineStr">
        <is>
          <t>A 32404-2026</t>
        </is>
      </c>
      <c r="B4368" t="inlineStr">
        <is>
          <t>avverkningsanmälan</t>
        </is>
      </c>
      <c r="C4368" t="inlineStr">
        <is>
          <t>Föryngringsavverkning</t>
        </is>
      </c>
      <c r="D4368" s="1" t="n">
        <v>46238</v>
      </c>
      <c r="E4368" s="1" t="n">
        <v>46323</v>
      </c>
      <c r="F4368" t="inlineStr">
        <is>
          <t>KALMAR LÄN</t>
        </is>
      </c>
      <c r="G4368" t="inlineStr">
        <is>
          <t>VÄSTERVIK</t>
        </is>
      </c>
      <c r="I4368" t="n">
        <v>7</v>
      </c>
      <c r="J4368" t="n">
        <v>0</v>
      </c>
      <c r="K4368" t="n">
        <v>0</v>
      </c>
      <c r="L4368" t="n">
        <v>0</v>
      </c>
      <c r="M4368" t="n">
        <v>0</v>
      </c>
      <c r="N4368" t="n">
        <v>0</v>
      </c>
      <c r="O4368" t="n">
        <v>0</v>
      </c>
      <c r="P4368" t="n">
        <v>0</v>
      </c>
      <c r="Q4368" t="n">
        <v>0</v>
      </c>
      <c r="R4368" t="n">
        <v>0</v>
      </c>
      <c r="S4368" t="n">
        <v>0</v>
      </c>
      <c r="T4368" t="n">
        <v>0</v>
      </c>
      <c r="U4368" t="n">
        <v>0</v>
      </c>
      <c r="V4368" s="2" t="inlineStr"/>
    </row>
    <row r="4369" ht="15" customHeight="1">
      <c r="A4369" t="inlineStr">
        <is>
          <t>A 23607-2022</t>
        </is>
      </c>
      <c r="B4369" t="inlineStr">
        <is>
          <t>avverkningsanmälan</t>
        </is>
      </c>
      <c r="C4369" t="inlineStr">
        <is>
          <t>Föryngringsavverkning</t>
        </is>
      </c>
      <c r="D4369" s="1" t="n">
        <v>44721</v>
      </c>
      <c r="E4369" s="1" t="n">
        <v>46323</v>
      </c>
      <c r="F4369" t="inlineStr">
        <is>
          <t>KALMAR LÄN</t>
        </is>
      </c>
      <c r="G4369" t="inlineStr">
        <is>
          <t>NYBRO</t>
        </is>
      </c>
      <c r="I4369" t="n">
        <v>1</v>
      </c>
      <c r="J4369" t="n">
        <v>0</v>
      </c>
      <c r="K4369" t="n">
        <v>0</v>
      </c>
      <c r="L4369" t="n">
        <v>0</v>
      </c>
      <c r="M4369" t="n">
        <v>0</v>
      </c>
      <c r="N4369" t="n">
        <v>0</v>
      </c>
      <c r="O4369" t="n">
        <v>0</v>
      </c>
      <c r="P4369" t="n">
        <v>0</v>
      </c>
      <c r="Q4369" t="n">
        <v>0</v>
      </c>
      <c r="R4369" t="n">
        <v>0</v>
      </c>
      <c r="S4369" t="n">
        <v>0</v>
      </c>
      <c r="T4369" t="n">
        <v>0</v>
      </c>
      <c r="U4369" t="n">
        <v>0</v>
      </c>
      <c r="V4369" s="2" t="inlineStr"/>
    </row>
    <row r="4370" ht="15" customHeight="1">
      <c r="A4370" t="inlineStr">
        <is>
          <t>A 10774-2025</t>
        </is>
      </c>
      <c r="B4370" t="inlineStr">
        <is>
          <t>avverkningsanmälan</t>
        </is>
      </c>
      <c r="C4370" t="inlineStr">
        <is>
          <t>Föryngringsavverkning</t>
        </is>
      </c>
      <c r="D4370" s="1" t="n">
        <v>45722</v>
      </c>
      <c r="E4370" s="1" t="n">
        <v>46323</v>
      </c>
      <c r="F4370" t="inlineStr">
        <is>
          <t>KALMAR LÄN</t>
        </is>
      </c>
      <c r="G4370" t="inlineStr">
        <is>
          <t>VÄSTERVIK</t>
        </is>
      </c>
      <c r="I4370" t="n">
        <v>0.6</v>
      </c>
      <c r="J4370" t="n">
        <v>0</v>
      </c>
      <c r="K4370" t="n">
        <v>0</v>
      </c>
      <c r="L4370" t="n">
        <v>0</v>
      </c>
      <c r="M4370" t="n">
        <v>0</v>
      </c>
      <c r="N4370" t="n">
        <v>0</v>
      </c>
      <c r="O4370" t="n">
        <v>0</v>
      </c>
      <c r="P4370" t="n">
        <v>0</v>
      </c>
      <c r="Q4370" t="n">
        <v>0</v>
      </c>
      <c r="R4370" t="n">
        <v>0</v>
      </c>
      <c r="S4370" t="n">
        <v>0</v>
      </c>
      <c r="T4370" t="n">
        <v>0</v>
      </c>
      <c r="U4370" t="n">
        <v>0</v>
      </c>
      <c r="V4370" s="2" t="inlineStr"/>
    </row>
    <row r="4371" ht="15" customHeight="1">
      <c r="A4371" t="inlineStr">
        <is>
          <t>A 10785-2025</t>
        </is>
      </c>
      <c r="B4371" t="inlineStr">
        <is>
          <t>avverkningsanmälan</t>
        </is>
      </c>
      <c r="C4371" t="inlineStr">
        <is>
          <t>Föryngringsavverkning</t>
        </is>
      </c>
      <c r="D4371" s="1" t="n">
        <v>45722</v>
      </c>
      <c r="E4371" s="1" t="n">
        <v>46323</v>
      </c>
      <c r="F4371" t="inlineStr">
        <is>
          <t>KALMAR LÄN</t>
        </is>
      </c>
      <c r="G4371" t="inlineStr">
        <is>
          <t>VIMMERBY</t>
        </is>
      </c>
      <c r="I4371" t="n">
        <v>0.5</v>
      </c>
      <c r="J4371" t="n">
        <v>0</v>
      </c>
      <c r="K4371" t="n">
        <v>0</v>
      </c>
      <c r="L4371" t="n">
        <v>0</v>
      </c>
      <c r="M4371" t="n">
        <v>0</v>
      </c>
      <c r="N4371" t="n">
        <v>0</v>
      </c>
      <c r="O4371" t="n">
        <v>0</v>
      </c>
      <c r="P4371" t="n">
        <v>0</v>
      </c>
      <c r="Q4371" t="n">
        <v>0</v>
      </c>
      <c r="R4371" t="n">
        <v>0</v>
      </c>
      <c r="S4371" t="n">
        <v>0</v>
      </c>
      <c r="T4371" t="n">
        <v>0</v>
      </c>
      <c r="U4371" t="n">
        <v>0</v>
      </c>
      <c r="V4371" s="2" t="inlineStr"/>
    </row>
    <row r="4372" ht="15" customHeight="1">
      <c r="A4372" t="inlineStr">
        <is>
          <t>A 60446-2023</t>
        </is>
      </c>
      <c r="B4372" t="inlineStr">
        <is>
          <t>avverkningsanmälan</t>
        </is>
      </c>
      <c r="C4372" t="inlineStr">
        <is>
          <t>Föryngringsavverkning</t>
        </is>
      </c>
      <c r="D4372" s="1" t="n">
        <v>45259</v>
      </c>
      <c r="E4372" s="1" t="n">
        <v>46323</v>
      </c>
      <c r="F4372" t="inlineStr">
        <is>
          <t>KALMAR LÄN</t>
        </is>
      </c>
      <c r="G4372" t="inlineStr">
        <is>
          <t>HÖGSBY</t>
        </is>
      </c>
      <c r="I4372" t="n">
        <v>6.5</v>
      </c>
      <c r="J4372" t="n">
        <v>0</v>
      </c>
      <c r="K4372" t="n">
        <v>0</v>
      </c>
      <c r="L4372" t="n">
        <v>0</v>
      </c>
      <c r="M4372" t="n">
        <v>0</v>
      </c>
      <c r="N4372" t="n">
        <v>0</v>
      </c>
      <c r="O4372" t="n">
        <v>0</v>
      </c>
      <c r="P4372" t="n">
        <v>0</v>
      </c>
      <c r="Q4372" t="n">
        <v>0</v>
      </c>
      <c r="R4372" t="n">
        <v>0</v>
      </c>
      <c r="S4372" t="n">
        <v>0</v>
      </c>
      <c r="T4372" t="n">
        <v>0</v>
      </c>
      <c r="U4372" t="n">
        <v>0</v>
      </c>
      <c r="V4372" s="2" t="inlineStr"/>
    </row>
    <row r="4373" ht="15" customHeight="1">
      <c r="A4373" t="inlineStr">
        <is>
          <t>A 23743-2022</t>
        </is>
      </c>
      <c r="B4373" t="inlineStr">
        <is>
          <t>avverkningsanmälan</t>
        </is>
      </c>
      <c r="C4373" t="inlineStr">
        <is>
          <t>Föryngringsavverkning</t>
        </is>
      </c>
      <c r="D4373" s="1" t="n">
        <v>44722</v>
      </c>
      <c r="E4373" s="1" t="n">
        <v>46323</v>
      </c>
      <c r="F4373" t="inlineStr">
        <is>
          <t>KALMAR LÄN</t>
        </is>
      </c>
      <c r="G4373" t="inlineStr">
        <is>
          <t>VÄSTERVIK</t>
        </is>
      </c>
      <c r="I4373" t="n">
        <v>1.2</v>
      </c>
      <c r="J4373" t="n">
        <v>0</v>
      </c>
      <c r="K4373" t="n">
        <v>0</v>
      </c>
      <c r="L4373" t="n">
        <v>0</v>
      </c>
      <c r="M4373" t="n">
        <v>0</v>
      </c>
      <c r="N4373" t="n">
        <v>0</v>
      </c>
      <c r="O4373" t="n">
        <v>0</v>
      </c>
      <c r="P4373" t="n">
        <v>0</v>
      </c>
      <c r="Q4373" t="n">
        <v>0</v>
      </c>
      <c r="R4373" t="n">
        <v>0</v>
      </c>
      <c r="S4373" t="n">
        <v>0</v>
      </c>
      <c r="T4373" t="n">
        <v>0</v>
      </c>
      <c r="U4373" t="n">
        <v>0</v>
      </c>
      <c r="V4373" s="2" t="inlineStr"/>
    </row>
    <row r="4374" ht="15" customHeight="1">
      <c r="A4374" t="inlineStr">
        <is>
          <t>A 11111-2023</t>
        </is>
      </c>
      <c r="B4374" t="inlineStr">
        <is>
          <t>avverkningsanmälan</t>
        </is>
      </c>
      <c r="C4374" t="inlineStr">
        <is>
          <t>Föryngringsavverkning</t>
        </is>
      </c>
      <c r="D4374" s="1" t="n">
        <v>44992</v>
      </c>
      <c r="E4374" s="1" t="n">
        <v>46323</v>
      </c>
      <c r="F4374" t="inlineStr">
        <is>
          <t>KALMAR LÄN</t>
        </is>
      </c>
      <c r="G4374" t="inlineStr">
        <is>
          <t>VIMMERBY</t>
        </is>
      </c>
      <c r="I4374" t="n">
        <v>0.8</v>
      </c>
      <c r="J4374" t="n">
        <v>0</v>
      </c>
      <c r="K4374" t="n">
        <v>0</v>
      </c>
      <c r="L4374" t="n">
        <v>0</v>
      </c>
      <c r="M4374" t="n">
        <v>0</v>
      </c>
      <c r="N4374" t="n">
        <v>0</v>
      </c>
      <c r="O4374" t="n">
        <v>0</v>
      </c>
      <c r="P4374" t="n">
        <v>0</v>
      </c>
      <c r="Q4374" t="n">
        <v>0</v>
      </c>
      <c r="R4374" t="n">
        <v>0</v>
      </c>
      <c r="S4374" t="n">
        <v>0</v>
      </c>
      <c r="T4374" t="n">
        <v>0</v>
      </c>
      <c r="U4374" t="n">
        <v>0</v>
      </c>
      <c r="V4374" s="2" t="inlineStr"/>
    </row>
    <row r="4375" ht="15" customHeight="1">
      <c r="A4375" t="inlineStr">
        <is>
          <t>A 19943-2022</t>
        </is>
      </c>
      <c r="B4375" t="inlineStr">
        <is>
          <t>avverkningsanmälan</t>
        </is>
      </c>
      <c r="C4375" t="inlineStr">
        <is>
          <t>Föryngringsavverkning</t>
        </is>
      </c>
      <c r="D4375" s="1" t="n">
        <v>44697</v>
      </c>
      <c r="E4375" s="1" t="n">
        <v>46323</v>
      </c>
      <c r="F4375" t="inlineStr">
        <is>
          <t>KALMAR LÄN</t>
        </is>
      </c>
      <c r="G4375" t="inlineStr">
        <is>
          <t>NYBRO</t>
        </is>
      </c>
      <c r="I4375" t="n">
        <v>2</v>
      </c>
      <c r="J4375" t="n">
        <v>0</v>
      </c>
      <c r="K4375" t="n">
        <v>0</v>
      </c>
      <c r="L4375" t="n">
        <v>0</v>
      </c>
      <c r="M4375" t="n">
        <v>0</v>
      </c>
      <c r="N4375" t="n">
        <v>0</v>
      </c>
      <c r="O4375" t="n">
        <v>0</v>
      </c>
      <c r="P4375" t="n">
        <v>0</v>
      </c>
      <c r="Q4375" t="n">
        <v>0</v>
      </c>
      <c r="R4375" t="n">
        <v>0</v>
      </c>
      <c r="S4375" t="n">
        <v>0</v>
      </c>
      <c r="T4375" t="n">
        <v>0</v>
      </c>
      <c r="U4375" t="n">
        <v>0</v>
      </c>
      <c r="V4375" s="2" t="inlineStr"/>
    </row>
    <row r="4376" ht="15" customHeight="1">
      <c r="A4376" t="inlineStr">
        <is>
          <t>A 38095-2026</t>
        </is>
      </c>
      <c r="B4376" t="inlineStr">
        <is>
          <t>avverkningsanmälan</t>
        </is>
      </c>
      <c r="C4376" t="inlineStr">
        <is>
          <t>Föryngringsavverkning</t>
        </is>
      </c>
      <c r="D4376" s="1" t="n">
        <v>46281</v>
      </c>
      <c r="E4376" s="1" t="n">
        <v>46323</v>
      </c>
      <c r="F4376" t="inlineStr">
        <is>
          <t>KALMAR LÄN</t>
        </is>
      </c>
      <c r="G4376" t="inlineStr">
        <is>
          <t>KALMAR</t>
        </is>
      </c>
      <c r="I4376" t="n">
        <v>2.8</v>
      </c>
      <c r="J4376" t="n">
        <v>0</v>
      </c>
      <c r="K4376" t="n">
        <v>0</v>
      </c>
      <c r="L4376" t="n">
        <v>0</v>
      </c>
      <c r="M4376" t="n">
        <v>0</v>
      </c>
      <c r="N4376" t="n">
        <v>0</v>
      </c>
      <c r="O4376" t="n">
        <v>0</v>
      </c>
      <c r="P4376" t="n">
        <v>0</v>
      </c>
      <c r="Q4376" t="n">
        <v>0</v>
      </c>
      <c r="R4376" t="n">
        <v>0</v>
      </c>
      <c r="S4376" t="n">
        <v>0</v>
      </c>
      <c r="T4376" t="n">
        <v>0</v>
      </c>
      <c r="U4376" t="n">
        <v>0</v>
      </c>
      <c r="V4376" s="2" t="inlineStr"/>
    </row>
    <row r="4377" ht="15" customHeight="1">
      <c r="A4377" t="inlineStr">
        <is>
          <t>A 16558-2024</t>
        </is>
      </c>
      <c r="B4377" t="inlineStr">
        <is>
          <t>avverkningsanmälan</t>
        </is>
      </c>
      <c r="C4377" t="inlineStr">
        <is>
          <t>Föryngringsavverkning</t>
        </is>
      </c>
      <c r="D4377" s="1" t="n">
        <v>45408</v>
      </c>
      <c r="E4377" s="1" t="n">
        <v>46323</v>
      </c>
      <c r="F4377" t="inlineStr">
        <is>
          <t>KALMAR LÄN</t>
        </is>
      </c>
      <c r="G4377" t="inlineStr">
        <is>
          <t>OSKARSHAMN</t>
        </is>
      </c>
      <c r="I4377" t="n">
        <v>1</v>
      </c>
      <c r="J4377" t="n">
        <v>0</v>
      </c>
      <c r="K4377" t="n">
        <v>0</v>
      </c>
      <c r="L4377" t="n">
        <v>0</v>
      </c>
      <c r="M4377" t="n">
        <v>0</v>
      </c>
      <c r="N4377" t="n">
        <v>0</v>
      </c>
      <c r="O4377" t="n">
        <v>0</v>
      </c>
      <c r="P4377" t="n">
        <v>0</v>
      </c>
      <c r="Q4377" t="n">
        <v>0</v>
      </c>
      <c r="R4377" t="n">
        <v>0</v>
      </c>
      <c r="S4377" t="n">
        <v>0</v>
      </c>
      <c r="T4377" t="n">
        <v>0</v>
      </c>
      <c r="U4377" t="n">
        <v>0</v>
      </c>
      <c r="V4377" s="2" t="inlineStr"/>
    </row>
    <row r="4378" ht="15" customHeight="1">
      <c r="A4378" t="inlineStr">
        <is>
          <t>A 32392-2026</t>
        </is>
      </c>
      <c r="B4378" t="inlineStr">
        <is>
          <t>avverkningsanmälan</t>
        </is>
      </c>
      <c r="C4378" t="inlineStr">
        <is>
          <t>Föryngringsavverkning</t>
        </is>
      </c>
      <c r="D4378" s="1" t="n">
        <v>46238</v>
      </c>
      <c r="E4378" s="1" t="n">
        <v>46323</v>
      </c>
      <c r="F4378" t="inlineStr">
        <is>
          <t>KALMAR LÄN</t>
        </is>
      </c>
      <c r="G4378" t="inlineStr">
        <is>
          <t>VÄSTERVIK</t>
        </is>
      </c>
      <c r="I4378" t="n">
        <v>3.7</v>
      </c>
      <c r="J4378" t="n">
        <v>0</v>
      </c>
      <c r="K4378" t="n">
        <v>0</v>
      </c>
      <c r="L4378" t="n">
        <v>0</v>
      </c>
      <c r="M4378" t="n">
        <v>0</v>
      </c>
      <c r="N4378" t="n">
        <v>0</v>
      </c>
      <c r="O4378" t="n">
        <v>0</v>
      </c>
      <c r="P4378" t="n">
        <v>0</v>
      </c>
      <c r="Q4378" t="n">
        <v>0</v>
      </c>
      <c r="R4378" t="n">
        <v>0</v>
      </c>
      <c r="S4378" t="n">
        <v>0</v>
      </c>
      <c r="T4378" t="n">
        <v>0</v>
      </c>
      <c r="U4378" t="n">
        <v>0</v>
      </c>
      <c r="V4378" s="2" t="inlineStr"/>
    </row>
    <row r="4379" ht="15" customHeight="1">
      <c r="A4379" t="inlineStr">
        <is>
          <t>A 16677-2024</t>
        </is>
      </c>
      <c r="B4379" t="inlineStr">
        <is>
          <t>avverkningsanmälan</t>
        </is>
      </c>
      <c r="C4379" t="inlineStr">
        <is>
          <t>Föryngringsavverkning</t>
        </is>
      </c>
      <c r="D4379" s="1" t="n">
        <v>45408</v>
      </c>
      <c r="E4379" s="1" t="n">
        <v>46323</v>
      </c>
      <c r="F4379" t="inlineStr">
        <is>
          <t>KALMAR LÄN</t>
        </is>
      </c>
      <c r="G4379" t="inlineStr">
        <is>
          <t>OSKARSHAMN</t>
        </is>
      </c>
      <c r="I4379" t="n">
        <v>4.2</v>
      </c>
      <c r="J4379" t="n">
        <v>0</v>
      </c>
      <c r="K4379" t="n">
        <v>0</v>
      </c>
      <c r="L4379" t="n">
        <v>0</v>
      </c>
      <c r="M4379" t="n">
        <v>0</v>
      </c>
      <c r="N4379" t="n">
        <v>0</v>
      </c>
      <c r="O4379" t="n">
        <v>0</v>
      </c>
      <c r="P4379" t="n">
        <v>0</v>
      </c>
      <c r="Q4379" t="n">
        <v>0</v>
      </c>
      <c r="R4379" t="n">
        <v>0</v>
      </c>
      <c r="S4379" t="n">
        <v>0</v>
      </c>
      <c r="T4379" t="n">
        <v>0</v>
      </c>
      <c r="U4379" t="n">
        <v>0</v>
      </c>
      <c r="V4379" s="2" t="inlineStr"/>
    </row>
    <row r="4380" ht="15" customHeight="1">
      <c r="A4380" t="inlineStr">
        <is>
          <t>A 768-2025</t>
        </is>
      </c>
      <c r="B4380" t="inlineStr">
        <is>
          <t>avverkningsanmälan</t>
        </is>
      </c>
      <c r="C4380" t="inlineStr">
        <is>
          <t>Föryngringsavverkning</t>
        </is>
      </c>
      <c r="D4380" s="1" t="n">
        <v>45665</v>
      </c>
      <c r="E4380" s="1" t="n">
        <v>46323</v>
      </c>
      <c r="F4380" t="inlineStr">
        <is>
          <t>KALMAR LÄN</t>
        </is>
      </c>
      <c r="G4380" t="inlineStr">
        <is>
          <t>EMMABODA</t>
        </is>
      </c>
      <c r="I4380" t="n">
        <v>2.1</v>
      </c>
      <c r="J4380" t="n">
        <v>0</v>
      </c>
      <c r="K4380" t="n">
        <v>0</v>
      </c>
      <c r="L4380" t="n">
        <v>0</v>
      </c>
      <c r="M4380" t="n">
        <v>0</v>
      </c>
      <c r="N4380" t="n">
        <v>0</v>
      </c>
      <c r="O4380" t="n">
        <v>0</v>
      </c>
      <c r="P4380" t="n">
        <v>0</v>
      </c>
      <c r="Q4380" t="n">
        <v>0</v>
      </c>
      <c r="R4380" t="n">
        <v>0</v>
      </c>
      <c r="S4380" t="n">
        <v>0</v>
      </c>
      <c r="T4380" t="n">
        <v>0</v>
      </c>
      <c r="U4380" t="n">
        <v>0</v>
      </c>
      <c r="V4380" s="2" t="inlineStr"/>
    </row>
    <row r="4381" ht="15" customHeight="1">
      <c r="A4381" t="inlineStr">
        <is>
          <t>A 32335-2026</t>
        </is>
      </c>
      <c r="B4381" t="inlineStr">
        <is>
          <t>avverkningsanmälan</t>
        </is>
      </c>
      <c r="C4381" t="inlineStr">
        <is>
          <t>Avverkning för annat ändamål</t>
        </is>
      </c>
      <c r="D4381" s="1" t="n">
        <v>46238</v>
      </c>
      <c r="E4381" s="1" t="n">
        <v>46323</v>
      </c>
      <c r="F4381" t="inlineStr">
        <is>
          <t>KALMAR LÄN</t>
        </is>
      </c>
      <c r="G4381" t="inlineStr">
        <is>
          <t>VIMMERBY</t>
        </is>
      </c>
      <c r="I4381" t="n">
        <v>0.5</v>
      </c>
      <c r="J4381" t="n">
        <v>0</v>
      </c>
      <c r="K4381" t="n">
        <v>0</v>
      </c>
      <c r="L4381" t="n">
        <v>0</v>
      </c>
      <c r="M4381" t="n">
        <v>0</v>
      </c>
      <c r="N4381" t="n">
        <v>0</v>
      </c>
      <c r="O4381" t="n">
        <v>0</v>
      </c>
      <c r="P4381" t="n">
        <v>0</v>
      </c>
      <c r="Q4381" t="n">
        <v>0</v>
      </c>
      <c r="R4381" t="n">
        <v>0</v>
      </c>
      <c r="S4381" t="n">
        <v>0</v>
      </c>
      <c r="T4381" t="n">
        <v>0</v>
      </c>
      <c r="U4381" t="n">
        <v>0</v>
      </c>
      <c r="V4381" s="2" t="inlineStr"/>
    </row>
    <row r="4382" ht="15" customHeight="1">
      <c r="A4382" t="inlineStr">
        <is>
          <t>A 47934-2023</t>
        </is>
      </c>
      <c r="B4382" t="inlineStr">
        <is>
          <t>avverkningsanmälan</t>
        </is>
      </c>
      <c r="C4382" t="inlineStr">
        <is>
          <t>Föryngringsavverkning</t>
        </is>
      </c>
      <c r="D4382" s="1" t="n">
        <v>45204</v>
      </c>
      <c r="E4382" s="1" t="n">
        <v>46323</v>
      </c>
      <c r="F4382" t="inlineStr">
        <is>
          <t>KALMAR LÄN</t>
        </is>
      </c>
      <c r="G4382" t="inlineStr">
        <is>
          <t>OSKARSHAMN</t>
        </is>
      </c>
      <c r="I4382" t="n">
        <v>0.8</v>
      </c>
      <c r="J4382" t="n">
        <v>0</v>
      </c>
      <c r="K4382" t="n">
        <v>0</v>
      </c>
      <c r="L4382" t="n">
        <v>0</v>
      </c>
      <c r="M4382" t="n">
        <v>0</v>
      </c>
      <c r="N4382" t="n">
        <v>0</v>
      </c>
      <c r="O4382" t="n">
        <v>0</v>
      </c>
      <c r="P4382" t="n">
        <v>0</v>
      </c>
      <c r="Q4382" t="n">
        <v>0</v>
      </c>
      <c r="R4382" t="n">
        <v>0</v>
      </c>
      <c r="S4382" t="n">
        <v>0</v>
      </c>
      <c r="T4382" t="n">
        <v>0</v>
      </c>
      <c r="U4382" t="n">
        <v>0</v>
      </c>
      <c r="V4382" s="2" t="inlineStr"/>
    </row>
    <row r="4383" ht="15" customHeight="1">
      <c r="A4383" t="inlineStr">
        <is>
          <t>A 10345-2025</t>
        </is>
      </c>
      <c r="B4383" t="inlineStr">
        <is>
          <t>avverkningsanmälan</t>
        </is>
      </c>
      <c r="C4383" t="inlineStr">
        <is>
          <t>Föryngringsavverkning</t>
        </is>
      </c>
      <c r="D4383" s="1" t="n">
        <v>45720</v>
      </c>
      <c r="E4383" s="1" t="n">
        <v>46323</v>
      </c>
      <c r="F4383" t="inlineStr">
        <is>
          <t>KALMAR LÄN</t>
        </is>
      </c>
      <c r="G4383" t="inlineStr">
        <is>
          <t>KALMAR</t>
        </is>
      </c>
      <c r="I4383" t="n">
        <v>1.1</v>
      </c>
      <c r="J4383" t="n">
        <v>0</v>
      </c>
      <c r="K4383" t="n">
        <v>0</v>
      </c>
      <c r="L4383" t="n">
        <v>0</v>
      </c>
      <c r="M4383" t="n">
        <v>0</v>
      </c>
      <c r="N4383" t="n">
        <v>0</v>
      </c>
      <c r="O4383" t="n">
        <v>0</v>
      </c>
      <c r="P4383" t="n">
        <v>0</v>
      </c>
      <c r="Q4383" t="n">
        <v>0</v>
      </c>
      <c r="R4383" t="n">
        <v>0</v>
      </c>
      <c r="S4383" t="n">
        <v>0</v>
      </c>
      <c r="T4383" t="n">
        <v>0</v>
      </c>
      <c r="U4383" t="n">
        <v>0</v>
      </c>
      <c r="V4383" s="2" t="inlineStr"/>
    </row>
    <row r="4384" ht="15" customHeight="1">
      <c r="A4384" t="inlineStr">
        <is>
          <t>A 39306-2024</t>
        </is>
      </c>
      <c r="B4384" t="inlineStr">
        <is>
          <t>avverkningsanmälan</t>
        </is>
      </c>
      <c r="C4384" t="inlineStr">
        <is>
          <t>Föryngringsavverkning</t>
        </is>
      </c>
      <c r="D4384" s="1" t="n">
        <v>45551</v>
      </c>
      <c r="E4384" s="1" t="n">
        <v>46323</v>
      </c>
      <c r="F4384" t="inlineStr">
        <is>
          <t>KALMAR LÄN</t>
        </is>
      </c>
      <c r="G4384" t="inlineStr">
        <is>
          <t>TORSÅS</t>
        </is>
      </c>
      <c r="I4384" t="n">
        <v>2.3</v>
      </c>
      <c r="J4384" t="n">
        <v>0</v>
      </c>
      <c r="K4384" t="n">
        <v>0</v>
      </c>
      <c r="L4384" t="n">
        <v>0</v>
      </c>
      <c r="M4384" t="n">
        <v>0</v>
      </c>
      <c r="N4384" t="n">
        <v>0</v>
      </c>
      <c r="O4384" t="n">
        <v>0</v>
      </c>
      <c r="P4384" t="n">
        <v>0</v>
      </c>
      <c r="Q4384" t="n">
        <v>0</v>
      </c>
      <c r="R4384" t="n">
        <v>0</v>
      </c>
      <c r="S4384" t="n">
        <v>0</v>
      </c>
      <c r="T4384" t="n">
        <v>0</v>
      </c>
      <c r="U4384" t="n">
        <v>0</v>
      </c>
      <c r="V4384" s="2" t="inlineStr"/>
    </row>
    <row r="4385" ht="15" customHeight="1">
      <c r="A4385" t="inlineStr">
        <is>
          <t>A 38178-2026</t>
        </is>
      </c>
      <c r="B4385" t="inlineStr">
        <is>
          <t>avverkningsanmälan</t>
        </is>
      </c>
      <c r="C4385" t="inlineStr">
        <is>
          <t>Föryngringsavverkning</t>
        </is>
      </c>
      <c r="D4385" s="1" t="n">
        <v>46281</v>
      </c>
      <c r="E4385" s="1" t="n">
        <v>46323</v>
      </c>
      <c r="F4385" t="inlineStr">
        <is>
          <t>KALMAR LÄN</t>
        </is>
      </c>
      <c r="G4385" t="inlineStr">
        <is>
          <t>HULTSFRED</t>
        </is>
      </c>
      <c r="I4385" t="n">
        <v>9.5</v>
      </c>
      <c r="J4385" t="n">
        <v>0</v>
      </c>
      <c r="K4385" t="n">
        <v>0</v>
      </c>
      <c r="L4385" t="n">
        <v>0</v>
      </c>
      <c r="M4385" t="n">
        <v>0</v>
      </c>
      <c r="N4385" t="n">
        <v>0</v>
      </c>
      <c r="O4385" t="n">
        <v>0</v>
      </c>
      <c r="P4385" t="n">
        <v>0</v>
      </c>
      <c r="Q4385" t="n">
        <v>0</v>
      </c>
      <c r="R4385" t="n">
        <v>0</v>
      </c>
      <c r="S4385" t="n">
        <v>0</v>
      </c>
      <c r="T4385" t="n">
        <v>0</v>
      </c>
      <c r="U4385" t="n">
        <v>0</v>
      </c>
      <c r="V4385" s="2" t="inlineStr"/>
    </row>
    <row r="4386" ht="15" customHeight="1">
      <c r="A4386" t="inlineStr">
        <is>
          <t>A 54480-2023</t>
        </is>
      </c>
      <c r="B4386" t="inlineStr">
        <is>
          <t>avverkningsanmälan</t>
        </is>
      </c>
      <c r="C4386" t="inlineStr">
        <is>
          <t>Föryngringsavverkning</t>
        </is>
      </c>
      <c r="D4386" s="1" t="n">
        <v>45233</v>
      </c>
      <c r="E4386" s="1" t="n">
        <v>46323</v>
      </c>
      <c r="F4386" t="inlineStr">
        <is>
          <t>KALMAR LÄN</t>
        </is>
      </c>
      <c r="G4386" t="inlineStr">
        <is>
          <t>KALMAR</t>
        </is>
      </c>
      <c r="I4386" t="n">
        <v>0.4</v>
      </c>
      <c r="J4386" t="n">
        <v>0</v>
      </c>
      <c r="K4386" t="n">
        <v>0</v>
      </c>
      <c r="L4386" t="n">
        <v>0</v>
      </c>
      <c r="M4386" t="n">
        <v>0</v>
      </c>
      <c r="N4386" t="n">
        <v>0</v>
      </c>
      <c r="O4386" t="n">
        <v>0</v>
      </c>
      <c r="P4386" t="n">
        <v>0</v>
      </c>
      <c r="Q4386" t="n">
        <v>0</v>
      </c>
      <c r="R4386" t="n">
        <v>0</v>
      </c>
      <c r="S4386" t="n">
        <v>0</v>
      </c>
      <c r="T4386" t="n">
        <v>0</v>
      </c>
      <c r="U4386" t="n">
        <v>0</v>
      </c>
      <c r="V4386" s="2" t="inlineStr"/>
    </row>
    <row r="4387" ht="15" customHeight="1">
      <c r="A4387" t="inlineStr">
        <is>
          <t>A 38281-2026</t>
        </is>
      </c>
      <c r="B4387" t="inlineStr">
        <is>
          <t>avverkningsanmälan</t>
        </is>
      </c>
      <c r="C4387" t="inlineStr">
        <is>
          <t>Föryngringsavverkning</t>
        </is>
      </c>
      <c r="D4387" s="1" t="n">
        <v>46281</v>
      </c>
      <c r="E4387" s="1" t="n">
        <v>46323</v>
      </c>
      <c r="F4387" t="inlineStr">
        <is>
          <t>KALMAR LÄN</t>
        </is>
      </c>
      <c r="G4387" t="inlineStr">
        <is>
          <t>KALMAR</t>
        </is>
      </c>
      <c r="I4387" t="n">
        <v>2.7</v>
      </c>
      <c r="J4387" t="n">
        <v>0</v>
      </c>
      <c r="K4387" t="n">
        <v>0</v>
      </c>
      <c r="L4387" t="n">
        <v>0</v>
      </c>
      <c r="M4387" t="n">
        <v>0</v>
      </c>
      <c r="N4387" t="n">
        <v>0</v>
      </c>
      <c r="O4387" t="n">
        <v>0</v>
      </c>
      <c r="P4387" t="n">
        <v>0</v>
      </c>
      <c r="Q4387" t="n">
        <v>0</v>
      </c>
      <c r="R4387" t="n">
        <v>0</v>
      </c>
      <c r="S4387" t="n">
        <v>0</v>
      </c>
      <c r="T4387" t="n">
        <v>0</v>
      </c>
      <c r="U4387" t="n">
        <v>0</v>
      </c>
      <c r="V4387" s="2" t="inlineStr"/>
    </row>
    <row r="4388" ht="15" customHeight="1">
      <c r="A4388" t="inlineStr">
        <is>
          <t>A 27610-2022</t>
        </is>
      </c>
      <c r="B4388" t="inlineStr">
        <is>
          <t>avverkningsanmälan</t>
        </is>
      </c>
      <c r="C4388" t="inlineStr">
        <is>
          <t>Föryngringsavverkning</t>
        </is>
      </c>
      <c r="D4388" s="1" t="n">
        <v>44743</v>
      </c>
      <c r="E4388" s="1" t="n">
        <v>46323</v>
      </c>
      <c r="F4388" t="inlineStr">
        <is>
          <t>KALMAR LÄN</t>
        </is>
      </c>
      <c r="G4388" t="inlineStr">
        <is>
          <t>NYBRO</t>
        </is>
      </c>
      <c r="I4388" t="n">
        <v>0.9</v>
      </c>
      <c r="J4388" t="n">
        <v>0</v>
      </c>
      <c r="K4388" t="n">
        <v>0</v>
      </c>
      <c r="L4388" t="n">
        <v>0</v>
      </c>
      <c r="M4388" t="n">
        <v>0</v>
      </c>
      <c r="N4388" t="n">
        <v>0</v>
      </c>
      <c r="O4388" t="n">
        <v>0</v>
      </c>
      <c r="P4388" t="n">
        <v>0</v>
      </c>
      <c r="Q4388" t="n">
        <v>0</v>
      </c>
      <c r="R4388" t="n">
        <v>0</v>
      </c>
      <c r="S4388" t="n">
        <v>0</v>
      </c>
      <c r="T4388" t="n">
        <v>0</v>
      </c>
      <c r="U4388" t="n">
        <v>0</v>
      </c>
      <c r="V4388" s="2" t="inlineStr"/>
    </row>
    <row r="4389" ht="15" customHeight="1">
      <c r="A4389" t="inlineStr">
        <is>
          <t>A 29933-2024</t>
        </is>
      </c>
      <c r="B4389" t="inlineStr">
        <is>
          <t>avverkningsanmälan</t>
        </is>
      </c>
      <c r="C4389" t="inlineStr">
        <is>
          <t>Föryngringsavverkning</t>
        </is>
      </c>
      <c r="D4389" s="1" t="n">
        <v>45488</v>
      </c>
      <c r="E4389" s="1" t="n">
        <v>46323</v>
      </c>
      <c r="F4389" t="inlineStr">
        <is>
          <t>KALMAR LÄN</t>
        </is>
      </c>
      <c r="G4389" t="inlineStr">
        <is>
          <t>TORSÅS</t>
        </is>
      </c>
      <c r="I4389" t="n">
        <v>1.1</v>
      </c>
      <c r="J4389" t="n">
        <v>0</v>
      </c>
      <c r="K4389" t="n">
        <v>0</v>
      </c>
      <c r="L4389" t="n">
        <v>0</v>
      </c>
      <c r="M4389" t="n">
        <v>0</v>
      </c>
      <c r="N4389" t="n">
        <v>0</v>
      </c>
      <c r="O4389" t="n">
        <v>0</v>
      </c>
      <c r="P4389" t="n">
        <v>0</v>
      </c>
      <c r="Q4389" t="n">
        <v>0</v>
      </c>
      <c r="R4389" t="n">
        <v>0</v>
      </c>
      <c r="S4389" t="n">
        <v>0</v>
      </c>
      <c r="T4389" t="n">
        <v>0</v>
      </c>
      <c r="U4389" t="n">
        <v>0</v>
      </c>
      <c r="V4389" s="2" t="inlineStr"/>
    </row>
    <row r="4390" ht="15" customHeight="1">
      <c r="A4390" t="inlineStr">
        <is>
          <t>A 24779-2025</t>
        </is>
      </c>
      <c r="B4390" t="inlineStr">
        <is>
          <t>avverkningsanmälan</t>
        </is>
      </c>
      <c r="C4390" t="inlineStr">
        <is>
          <t>Föryngringsavverkning</t>
        </is>
      </c>
      <c r="D4390" s="1" t="n">
        <v>45799</v>
      </c>
      <c r="E4390" s="1" t="n">
        <v>46323</v>
      </c>
      <c r="F4390" t="inlineStr">
        <is>
          <t>KALMAR LÄN</t>
        </is>
      </c>
      <c r="G4390" t="inlineStr">
        <is>
          <t>HULTSFRED</t>
        </is>
      </c>
      <c r="H4390" t="inlineStr">
        <is>
          <t>Sveaskog</t>
        </is>
      </c>
      <c r="I4390" t="n">
        <v>0.7</v>
      </c>
      <c r="J4390" t="n">
        <v>0</v>
      </c>
      <c r="K4390" t="n">
        <v>0</v>
      </c>
      <c r="L4390" t="n">
        <v>0</v>
      </c>
      <c r="M4390" t="n">
        <v>0</v>
      </c>
      <c r="N4390" t="n">
        <v>0</v>
      </c>
      <c r="O4390" t="n">
        <v>0</v>
      </c>
      <c r="P4390" t="n">
        <v>0</v>
      </c>
      <c r="Q4390" t="n">
        <v>0</v>
      </c>
      <c r="R4390" t="n">
        <v>0</v>
      </c>
      <c r="S4390" t="n">
        <v>0</v>
      </c>
      <c r="T4390" t="n">
        <v>0</v>
      </c>
      <c r="U4390" t="n">
        <v>0</v>
      </c>
      <c r="V4390" s="2" t="inlineStr"/>
    </row>
    <row r="4391" ht="15" customHeight="1">
      <c r="A4391" t="inlineStr">
        <is>
          <t>A 18020-2025</t>
        </is>
      </c>
      <c r="B4391" t="inlineStr">
        <is>
          <t>avverkningsanmälan</t>
        </is>
      </c>
      <c r="C4391" t="inlineStr">
        <is>
          <t>Föryngringsavverkning</t>
        </is>
      </c>
      <c r="D4391" s="1" t="n">
        <v>45761</v>
      </c>
      <c r="E4391" s="1" t="n">
        <v>46323</v>
      </c>
      <c r="F4391" t="inlineStr">
        <is>
          <t>KALMAR LÄN</t>
        </is>
      </c>
      <c r="G4391" t="inlineStr">
        <is>
          <t>VIMMERBY</t>
        </is>
      </c>
      <c r="I4391" t="n">
        <v>0.6</v>
      </c>
      <c r="J4391" t="n">
        <v>0</v>
      </c>
      <c r="K4391" t="n">
        <v>0</v>
      </c>
      <c r="L4391" t="n">
        <v>0</v>
      </c>
      <c r="M4391" t="n">
        <v>0</v>
      </c>
      <c r="N4391" t="n">
        <v>0</v>
      </c>
      <c r="O4391" t="n">
        <v>0</v>
      </c>
      <c r="P4391" t="n">
        <v>0</v>
      </c>
      <c r="Q4391" t="n">
        <v>0</v>
      </c>
      <c r="R4391" t="n">
        <v>0</v>
      </c>
      <c r="S4391" t="n">
        <v>0</v>
      </c>
      <c r="T4391" t="n">
        <v>0</v>
      </c>
      <c r="U4391" t="n">
        <v>0</v>
      </c>
      <c r="V4391" s="2" t="inlineStr"/>
    </row>
    <row r="4392" ht="15" customHeight="1">
      <c r="A4392" t="inlineStr">
        <is>
          <t>A 32336-2026</t>
        </is>
      </c>
      <c r="B4392" t="inlineStr">
        <is>
          <t>avverkningsanmälan</t>
        </is>
      </c>
      <c r="C4392" t="inlineStr">
        <is>
          <t>Avverkning för annat ändamål</t>
        </is>
      </c>
      <c r="D4392" s="1" t="n">
        <v>46238</v>
      </c>
      <c r="E4392" s="1" t="n">
        <v>46323</v>
      </c>
      <c r="F4392" t="inlineStr">
        <is>
          <t>KALMAR LÄN</t>
        </is>
      </c>
      <c r="G4392" t="inlineStr">
        <is>
          <t>VIMMERBY</t>
        </is>
      </c>
      <c r="I4392" t="n">
        <v>0.8</v>
      </c>
      <c r="J4392" t="n">
        <v>0</v>
      </c>
      <c r="K4392" t="n">
        <v>0</v>
      </c>
      <c r="L4392" t="n">
        <v>0</v>
      </c>
      <c r="M4392" t="n">
        <v>0</v>
      </c>
      <c r="N4392" t="n">
        <v>0</v>
      </c>
      <c r="O4392" t="n">
        <v>0</v>
      </c>
      <c r="P4392" t="n">
        <v>0</v>
      </c>
      <c r="Q4392" t="n">
        <v>0</v>
      </c>
      <c r="R4392" t="n">
        <v>0</v>
      </c>
      <c r="S4392" t="n">
        <v>0</v>
      </c>
      <c r="T4392" t="n">
        <v>0</v>
      </c>
      <c r="U4392" t="n">
        <v>0</v>
      </c>
      <c r="V4392" s="2" t="inlineStr"/>
    </row>
    <row r="4393" ht="15" customHeight="1">
      <c r="A4393" t="inlineStr">
        <is>
          <t>A 60141-2023</t>
        </is>
      </c>
      <c r="B4393" t="inlineStr">
        <is>
          <t>avverkningsanmälan</t>
        </is>
      </c>
      <c r="C4393" t="inlineStr">
        <is>
          <t>Föryngringsavverkning</t>
        </is>
      </c>
      <c r="D4393" s="1" t="n">
        <v>45258</v>
      </c>
      <c r="E4393" s="1" t="n">
        <v>46323</v>
      </c>
      <c r="F4393" t="inlineStr">
        <is>
          <t>KALMAR LÄN</t>
        </is>
      </c>
      <c r="G4393" t="inlineStr">
        <is>
          <t>EMMABODA</t>
        </is>
      </c>
      <c r="I4393" t="n">
        <v>1</v>
      </c>
      <c r="J4393" t="n">
        <v>0</v>
      </c>
      <c r="K4393" t="n">
        <v>0</v>
      </c>
      <c r="L4393" t="n">
        <v>0</v>
      </c>
      <c r="M4393" t="n">
        <v>0</v>
      </c>
      <c r="N4393" t="n">
        <v>0</v>
      </c>
      <c r="O4393" t="n">
        <v>0</v>
      </c>
      <c r="P4393" t="n">
        <v>0</v>
      </c>
      <c r="Q4393" t="n">
        <v>0</v>
      </c>
      <c r="R4393" t="n">
        <v>0</v>
      </c>
      <c r="S4393" t="n">
        <v>0</v>
      </c>
      <c r="T4393" t="n">
        <v>0</v>
      </c>
      <c r="U4393" t="n">
        <v>0</v>
      </c>
      <c r="V4393" s="2" t="inlineStr"/>
    </row>
    <row r="4394" ht="15" customHeight="1">
      <c r="A4394" t="inlineStr">
        <is>
          <t>A 60143-2023</t>
        </is>
      </c>
      <c r="B4394" t="inlineStr">
        <is>
          <t>avverkningsanmälan</t>
        </is>
      </c>
      <c r="C4394" t="inlineStr">
        <is>
          <t>Föryngringsavverkning</t>
        </is>
      </c>
      <c r="D4394" s="1" t="n">
        <v>45258</v>
      </c>
      <c r="E4394" s="1" t="n">
        <v>46323</v>
      </c>
      <c r="F4394" t="inlineStr">
        <is>
          <t>KALMAR LÄN</t>
        </is>
      </c>
      <c r="G4394" t="inlineStr">
        <is>
          <t>EMMABODA</t>
        </is>
      </c>
      <c r="I4394" t="n">
        <v>0.6</v>
      </c>
      <c r="J4394" t="n">
        <v>0</v>
      </c>
      <c r="K4394" t="n">
        <v>0</v>
      </c>
      <c r="L4394" t="n">
        <v>0</v>
      </c>
      <c r="M4394" t="n">
        <v>0</v>
      </c>
      <c r="N4394" t="n">
        <v>0</v>
      </c>
      <c r="O4394" t="n">
        <v>0</v>
      </c>
      <c r="P4394" t="n">
        <v>0</v>
      </c>
      <c r="Q4394" t="n">
        <v>0</v>
      </c>
      <c r="R4394" t="n">
        <v>0</v>
      </c>
      <c r="S4394" t="n">
        <v>0</v>
      </c>
      <c r="T4394" t="n">
        <v>0</v>
      </c>
      <c r="U4394" t="n">
        <v>0</v>
      </c>
      <c r="V4394" s="2" t="inlineStr"/>
    </row>
    <row r="4395" ht="15" customHeight="1">
      <c r="A4395" t="inlineStr">
        <is>
          <t>A 35805-2022</t>
        </is>
      </c>
      <c r="B4395" t="inlineStr">
        <is>
          <t>avverkningsanmälan</t>
        </is>
      </c>
      <c r="C4395" t="inlineStr">
        <is>
          <t>Föryngringsavverkning</t>
        </is>
      </c>
      <c r="D4395" s="1" t="n">
        <v>44802</v>
      </c>
      <c r="E4395" s="1" t="n">
        <v>46323</v>
      </c>
      <c r="F4395" t="inlineStr">
        <is>
          <t>KALMAR LÄN</t>
        </is>
      </c>
      <c r="G4395" t="inlineStr">
        <is>
          <t>MÖNSTERÅS</t>
        </is>
      </c>
      <c r="I4395" t="n">
        <v>12.9</v>
      </c>
      <c r="J4395" t="n">
        <v>0</v>
      </c>
      <c r="K4395" t="n">
        <v>0</v>
      </c>
      <c r="L4395" t="n">
        <v>0</v>
      </c>
      <c r="M4395" t="n">
        <v>0</v>
      </c>
      <c r="N4395" t="n">
        <v>0</v>
      </c>
      <c r="O4395" t="n">
        <v>0</v>
      </c>
      <c r="P4395" t="n">
        <v>0</v>
      </c>
      <c r="Q4395" t="n">
        <v>0</v>
      </c>
      <c r="R4395" t="n">
        <v>0</v>
      </c>
      <c r="S4395" t="n">
        <v>0</v>
      </c>
      <c r="T4395" t="n">
        <v>0</v>
      </c>
      <c r="U4395" t="n">
        <v>0</v>
      </c>
      <c r="V4395" s="2" t="inlineStr"/>
    </row>
    <row r="4396" ht="15" customHeight="1">
      <c r="A4396" t="inlineStr">
        <is>
          <t>A 41071-2023</t>
        </is>
      </c>
      <c r="B4396" t="inlineStr">
        <is>
          <t>avverkningsanmälan</t>
        </is>
      </c>
      <c r="C4396" t="inlineStr">
        <is>
          <t>Föryngringsavverkning</t>
        </is>
      </c>
      <c r="D4396" s="1" t="n">
        <v>45173</v>
      </c>
      <c r="E4396" s="1" t="n">
        <v>46323</v>
      </c>
      <c r="F4396" t="inlineStr">
        <is>
          <t>KALMAR LÄN</t>
        </is>
      </c>
      <c r="G4396" t="inlineStr">
        <is>
          <t>KALMAR</t>
        </is>
      </c>
      <c r="I4396" t="n">
        <v>1.9</v>
      </c>
      <c r="J4396" t="n">
        <v>0</v>
      </c>
      <c r="K4396" t="n">
        <v>0</v>
      </c>
      <c r="L4396" t="n">
        <v>0</v>
      </c>
      <c r="M4396" t="n">
        <v>0</v>
      </c>
      <c r="N4396" t="n">
        <v>0</v>
      </c>
      <c r="O4396" t="n">
        <v>0</v>
      </c>
      <c r="P4396" t="n">
        <v>0</v>
      </c>
      <c r="Q4396" t="n">
        <v>0</v>
      </c>
      <c r="R4396" t="n">
        <v>0</v>
      </c>
      <c r="S4396" t="n">
        <v>0</v>
      </c>
      <c r="T4396" t="n">
        <v>0</v>
      </c>
      <c r="U4396" t="n">
        <v>0</v>
      </c>
      <c r="V4396" s="2" t="inlineStr"/>
    </row>
    <row r="4397" ht="15" customHeight="1">
      <c r="A4397" t="inlineStr">
        <is>
          <t>A 41080-2023</t>
        </is>
      </c>
      <c r="B4397" t="inlineStr">
        <is>
          <t>avverkningsanmälan</t>
        </is>
      </c>
      <c r="C4397" t="inlineStr">
        <is>
          <t>Föryngringsavverkning</t>
        </is>
      </c>
      <c r="D4397" s="1" t="n">
        <v>45173</v>
      </c>
      <c r="E4397" s="1" t="n">
        <v>46323</v>
      </c>
      <c r="F4397" t="inlineStr">
        <is>
          <t>KALMAR LÄN</t>
        </is>
      </c>
      <c r="G4397" t="inlineStr">
        <is>
          <t>KALMAR</t>
        </is>
      </c>
      <c r="I4397" t="n">
        <v>6.8</v>
      </c>
      <c r="J4397" t="n">
        <v>0</v>
      </c>
      <c r="K4397" t="n">
        <v>0</v>
      </c>
      <c r="L4397" t="n">
        <v>0</v>
      </c>
      <c r="M4397" t="n">
        <v>0</v>
      </c>
      <c r="N4397" t="n">
        <v>0</v>
      </c>
      <c r="O4397" t="n">
        <v>0</v>
      </c>
      <c r="P4397" t="n">
        <v>0</v>
      </c>
      <c r="Q4397" t="n">
        <v>0</v>
      </c>
      <c r="R4397" t="n">
        <v>0</v>
      </c>
      <c r="S4397" t="n">
        <v>0</v>
      </c>
      <c r="T4397" t="n">
        <v>0</v>
      </c>
      <c r="U4397" t="n">
        <v>0</v>
      </c>
      <c r="V4397" s="2" t="inlineStr"/>
    </row>
    <row r="4398" ht="15" customHeight="1">
      <c r="A4398" t="inlineStr">
        <is>
          <t>A 13244-2025</t>
        </is>
      </c>
      <c r="B4398" t="inlineStr">
        <is>
          <t>avverkningsanmälan</t>
        </is>
      </c>
      <c r="C4398" t="inlineStr">
        <is>
          <t>Föryngringsavverkning</t>
        </is>
      </c>
      <c r="D4398" s="1" t="n">
        <v>45735</v>
      </c>
      <c r="E4398" s="1" t="n">
        <v>46323</v>
      </c>
      <c r="F4398" t="inlineStr">
        <is>
          <t>KALMAR LÄN</t>
        </is>
      </c>
      <c r="G4398" t="inlineStr">
        <is>
          <t>EMMABODA</t>
        </is>
      </c>
      <c r="I4398" t="n">
        <v>0.4</v>
      </c>
      <c r="J4398" t="n">
        <v>0</v>
      </c>
      <c r="K4398" t="n">
        <v>0</v>
      </c>
      <c r="L4398" t="n">
        <v>0</v>
      </c>
      <c r="M4398" t="n">
        <v>0</v>
      </c>
      <c r="N4398" t="n">
        <v>0</v>
      </c>
      <c r="O4398" t="n">
        <v>0</v>
      </c>
      <c r="P4398" t="n">
        <v>0</v>
      </c>
      <c r="Q4398" t="n">
        <v>0</v>
      </c>
      <c r="R4398" t="n">
        <v>0</v>
      </c>
      <c r="S4398" t="n">
        <v>0</v>
      </c>
      <c r="T4398" t="n">
        <v>0</v>
      </c>
      <c r="U4398" t="n">
        <v>0</v>
      </c>
      <c r="V4398" s="2" t="inlineStr"/>
    </row>
    <row r="4399" ht="15" customHeight="1">
      <c r="A4399" t="inlineStr">
        <is>
          <t>A 32398-2026</t>
        </is>
      </c>
      <c r="B4399" t="inlineStr">
        <is>
          <t>avverkningsanmälan</t>
        </is>
      </c>
      <c r="C4399" t="inlineStr">
        <is>
          <t>Föryngringsavverkning</t>
        </is>
      </c>
      <c r="D4399" s="1" t="n">
        <v>46238</v>
      </c>
      <c r="E4399" s="1" t="n">
        <v>46323</v>
      </c>
      <c r="F4399" t="inlineStr">
        <is>
          <t>KALMAR LÄN</t>
        </is>
      </c>
      <c r="G4399" t="inlineStr">
        <is>
          <t>NYBRO</t>
        </is>
      </c>
      <c r="H4399" t="inlineStr">
        <is>
          <t>Sveaskog</t>
        </is>
      </c>
      <c r="I4399" t="n">
        <v>10.3</v>
      </c>
      <c r="J4399" t="n">
        <v>0</v>
      </c>
      <c r="K4399" t="n">
        <v>0</v>
      </c>
      <c r="L4399" t="n">
        <v>0</v>
      </c>
      <c r="M4399" t="n">
        <v>0</v>
      </c>
      <c r="N4399" t="n">
        <v>0</v>
      </c>
      <c r="O4399" t="n">
        <v>0</v>
      </c>
      <c r="P4399" t="n">
        <v>0</v>
      </c>
      <c r="Q4399" t="n">
        <v>0</v>
      </c>
      <c r="R4399" t="n">
        <v>0</v>
      </c>
      <c r="S4399" t="n">
        <v>0</v>
      </c>
      <c r="T4399" t="n">
        <v>0</v>
      </c>
      <c r="U4399" t="n">
        <v>0</v>
      </c>
      <c r="V4399" s="2" t="inlineStr"/>
    </row>
    <row r="4400" ht="15" customHeight="1">
      <c r="A4400" t="inlineStr">
        <is>
          <t>A 32132-2026</t>
        </is>
      </c>
      <c r="B4400" t="inlineStr">
        <is>
          <t>avverkningsanmälan</t>
        </is>
      </c>
      <c r="C4400" t="inlineStr">
        <is>
          <t>Föryngringsavverkning</t>
        </is>
      </c>
      <c r="D4400" s="1" t="n">
        <v>46234</v>
      </c>
      <c r="E4400" s="1" t="n">
        <v>46323</v>
      </c>
      <c r="F4400" t="inlineStr">
        <is>
          <t>KALMAR LÄN</t>
        </is>
      </c>
      <c r="G4400" t="inlineStr">
        <is>
          <t>VIMMERBY</t>
        </is>
      </c>
      <c r="I4400" t="n">
        <v>3</v>
      </c>
      <c r="J4400" t="n">
        <v>0</v>
      </c>
      <c r="K4400" t="n">
        <v>0</v>
      </c>
      <c r="L4400" t="n">
        <v>0</v>
      </c>
      <c r="M4400" t="n">
        <v>0</v>
      </c>
      <c r="N4400" t="n">
        <v>0</v>
      </c>
      <c r="O4400" t="n">
        <v>0</v>
      </c>
      <c r="P4400" t="n">
        <v>0</v>
      </c>
      <c r="Q4400" t="n">
        <v>0</v>
      </c>
      <c r="R4400" t="n">
        <v>0</v>
      </c>
      <c r="S4400" t="n">
        <v>0</v>
      </c>
      <c r="T4400" t="n">
        <v>0</v>
      </c>
      <c r="U4400" t="n">
        <v>0</v>
      </c>
      <c r="V4400" s="2" t="inlineStr"/>
    </row>
    <row r="4401" ht="15" customHeight="1">
      <c r="A4401" t="inlineStr">
        <is>
          <t>A 585-2024</t>
        </is>
      </c>
      <c r="B4401" t="inlineStr">
        <is>
          <t>avverkningsanmälan</t>
        </is>
      </c>
      <c r="C4401" t="inlineStr">
        <is>
          <t>Föryngringsavverkning</t>
        </is>
      </c>
      <c r="D4401" s="1" t="n">
        <v>45299</v>
      </c>
      <c r="E4401" s="1" t="n">
        <v>46323</v>
      </c>
      <c r="F4401" t="inlineStr">
        <is>
          <t>KALMAR LÄN</t>
        </is>
      </c>
      <c r="G4401" t="inlineStr">
        <is>
          <t>VIMMERBY</t>
        </is>
      </c>
      <c r="I4401" t="n">
        <v>0.7</v>
      </c>
      <c r="J4401" t="n">
        <v>0</v>
      </c>
      <c r="K4401" t="n">
        <v>0</v>
      </c>
      <c r="L4401" t="n">
        <v>0</v>
      </c>
      <c r="M4401" t="n">
        <v>0</v>
      </c>
      <c r="N4401" t="n">
        <v>0</v>
      </c>
      <c r="O4401" t="n">
        <v>0</v>
      </c>
      <c r="P4401" t="n">
        <v>0</v>
      </c>
      <c r="Q4401" t="n">
        <v>0</v>
      </c>
      <c r="R4401" t="n">
        <v>0</v>
      </c>
      <c r="S4401" t="n">
        <v>0</v>
      </c>
      <c r="T4401" t="n">
        <v>0</v>
      </c>
      <c r="U4401" t="n">
        <v>0</v>
      </c>
      <c r="V4401" s="2" t="inlineStr"/>
    </row>
    <row r="4402" ht="15" customHeight="1">
      <c r="A4402" t="inlineStr">
        <is>
          <t>A 41632-2023</t>
        </is>
      </c>
      <c r="B4402" t="inlineStr">
        <is>
          <t>avverkningsanmälan</t>
        </is>
      </c>
      <c r="C4402" t="inlineStr">
        <is>
          <t>Föryngringsavverkning</t>
        </is>
      </c>
      <c r="D4402" s="1" t="n">
        <v>45175</v>
      </c>
      <c r="E4402" s="1" t="n">
        <v>46323</v>
      </c>
      <c r="F4402" t="inlineStr">
        <is>
          <t>KALMAR LÄN</t>
        </is>
      </c>
      <c r="G4402" t="inlineStr">
        <is>
          <t>NYBRO</t>
        </is>
      </c>
      <c r="I4402" t="n">
        <v>0.4</v>
      </c>
      <c r="J4402" t="n">
        <v>0</v>
      </c>
      <c r="K4402" t="n">
        <v>0</v>
      </c>
      <c r="L4402" t="n">
        <v>0</v>
      </c>
      <c r="M4402" t="n">
        <v>0</v>
      </c>
      <c r="N4402" t="n">
        <v>0</v>
      </c>
      <c r="O4402" t="n">
        <v>0</v>
      </c>
      <c r="P4402" t="n">
        <v>0</v>
      </c>
      <c r="Q4402" t="n">
        <v>0</v>
      </c>
      <c r="R4402" t="n">
        <v>0</v>
      </c>
      <c r="S4402" t="n">
        <v>0</v>
      </c>
      <c r="T4402" t="n">
        <v>0</v>
      </c>
      <c r="U4402" t="n">
        <v>0</v>
      </c>
      <c r="V4402" s="2" t="inlineStr"/>
    </row>
    <row r="4403" ht="15" customHeight="1">
      <c r="A4403" t="inlineStr">
        <is>
          <t>A 37642-2023</t>
        </is>
      </c>
      <c r="B4403" t="inlineStr">
        <is>
          <t>avverkningsanmälan</t>
        </is>
      </c>
      <c r="C4403" t="inlineStr">
        <is>
          <t>Föryngringsavverkning</t>
        </is>
      </c>
      <c r="D4403" s="1" t="n">
        <v>45159</v>
      </c>
      <c r="E4403" s="1" t="n">
        <v>46323</v>
      </c>
      <c r="F4403" t="inlineStr">
        <is>
          <t>KALMAR LÄN</t>
        </is>
      </c>
      <c r="G4403" t="inlineStr">
        <is>
          <t>VÄSTERVIK</t>
        </is>
      </c>
      <c r="I4403" t="n">
        <v>0.6</v>
      </c>
      <c r="J4403" t="n">
        <v>0</v>
      </c>
      <c r="K4403" t="n">
        <v>0</v>
      </c>
      <c r="L4403" t="n">
        <v>0</v>
      </c>
      <c r="M4403" t="n">
        <v>0</v>
      </c>
      <c r="N4403" t="n">
        <v>0</v>
      </c>
      <c r="O4403" t="n">
        <v>0</v>
      </c>
      <c r="P4403" t="n">
        <v>0</v>
      </c>
      <c r="Q4403" t="n">
        <v>0</v>
      </c>
      <c r="R4403" t="n">
        <v>0</v>
      </c>
      <c r="S4403" t="n">
        <v>0</v>
      </c>
      <c r="T4403" t="n">
        <v>0</v>
      </c>
      <c r="U4403" t="n">
        <v>0</v>
      </c>
      <c r="V4403" s="2" t="inlineStr"/>
    </row>
    <row r="4404" ht="15" customHeight="1">
      <c r="A4404" t="inlineStr">
        <is>
          <t>A 59764-2024</t>
        </is>
      </c>
      <c r="B4404" t="inlineStr">
        <is>
          <t>avverkningsanmälan</t>
        </is>
      </c>
      <c r="C4404" t="inlineStr">
        <is>
          <t>Föryngringsavverkning</t>
        </is>
      </c>
      <c r="D4404" s="1" t="n">
        <v>45638</v>
      </c>
      <c r="E4404" s="1" t="n">
        <v>46323</v>
      </c>
      <c r="F4404" t="inlineStr">
        <is>
          <t>KALMAR LÄN</t>
        </is>
      </c>
      <c r="G4404" t="inlineStr">
        <is>
          <t>HULTSFRED</t>
        </is>
      </c>
      <c r="I4404" t="n">
        <v>2.1</v>
      </c>
      <c r="J4404" t="n">
        <v>0</v>
      </c>
      <c r="K4404" t="n">
        <v>0</v>
      </c>
      <c r="L4404" t="n">
        <v>0</v>
      </c>
      <c r="M4404" t="n">
        <v>0</v>
      </c>
      <c r="N4404" t="n">
        <v>0</v>
      </c>
      <c r="O4404" t="n">
        <v>0</v>
      </c>
      <c r="P4404" t="n">
        <v>0</v>
      </c>
      <c r="Q4404" t="n">
        <v>0</v>
      </c>
      <c r="R4404" t="n">
        <v>0</v>
      </c>
      <c r="S4404" t="n">
        <v>0</v>
      </c>
      <c r="T4404" t="n">
        <v>0</v>
      </c>
      <c r="U4404" t="n">
        <v>0</v>
      </c>
      <c r="V4404" s="2" t="inlineStr"/>
    </row>
    <row r="4405" ht="15" customHeight="1">
      <c r="A4405" t="inlineStr">
        <is>
          <t>A 61802-2024</t>
        </is>
      </c>
      <c r="B4405" t="inlineStr">
        <is>
          <t>avverkningsanmälan</t>
        </is>
      </c>
      <c r="C4405" t="inlineStr">
        <is>
          <t>Föryngringsavverkning</t>
        </is>
      </c>
      <c r="D4405" s="1" t="n">
        <v>45649</v>
      </c>
      <c r="E4405" s="1" t="n">
        <v>46323</v>
      </c>
      <c r="F4405" t="inlineStr">
        <is>
          <t>KALMAR LÄN</t>
        </is>
      </c>
      <c r="G4405" t="inlineStr">
        <is>
          <t>HULTSFRED</t>
        </is>
      </c>
      <c r="I4405" t="n">
        <v>1.2</v>
      </c>
      <c r="J4405" t="n">
        <v>0</v>
      </c>
      <c r="K4405" t="n">
        <v>0</v>
      </c>
      <c r="L4405" t="n">
        <v>0</v>
      </c>
      <c r="M4405" t="n">
        <v>0</v>
      </c>
      <c r="N4405" t="n">
        <v>0</v>
      </c>
      <c r="O4405" t="n">
        <v>0</v>
      </c>
      <c r="P4405" t="n">
        <v>0</v>
      </c>
      <c r="Q4405" t="n">
        <v>0</v>
      </c>
      <c r="R4405" t="n">
        <v>0</v>
      </c>
      <c r="S4405" t="n">
        <v>0</v>
      </c>
      <c r="T4405" t="n">
        <v>0</v>
      </c>
      <c r="U4405" t="n">
        <v>0</v>
      </c>
      <c r="V4405" s="2" t="inlineStr"/>
    </row>
    <row r="4406" ht="15" customHeight="1">
      <c r="A4406" t="inlineStr">
        <is>
          <t>A 58724-2024</t>
        </is>
      </c>
      <c r="B4406" t="inlineStr">
        <is>
          <t>avverkningsanmälan</t>
        </is>
      </c>
      <c r="C4406" t="inlineStr">
        <is>
          <t>Föryngringsavverkning</t>
        </is>
      </c>
      <c r="D4406" s="1" t="n">
        <v>45635</v>
      </c>
      <c r="E4406" s="1" t="n">
        <v>46323</v>
      </c>
      <c r="F4406" t="inlineStr">
        <is>
          <t>KALMAR LÄN</t>
        </is>
      </c>
      <c r="G4406" t="inlineStr">
        <is>
          <t>VIMMERBY</t>
        </is>
      </c>
      <c r="I4406" t="n">
        <v>1</v>
      </c>
      <c r="J4406" t="n">
        <v>0</v>
      </c>
      <c r="K4406" t="n">
        <v>0</v>
      </c>
      <c r="L4406" t="n">
        <v>0</v>
      </c>
      <c r="M4406" t="n">
        <v>0</v>
      </c>
      <c r="N4406" t="n">
        <v>0</v>
      </c>
      <c r="O4406" t="n">
        <v>0</v>
      </c>
      <c r="P4406" t="n">
        <v>0</v>
      </c>
      <c r="Q4406" t="n">
        <v>0</v>
      </c>
      <c r="R4406" t="n">
        <v>0</v>
      </c>
      <c r="S4406" t="n">
        <v>0</v>
      </c>
      <c r="T4406" t="n">
        <v>0</v>
      </c>
      <c r="U4406" t="n">
        <v>0</v>
      </c>
      <c r="V4406" s="2" t="inlineStr"/>
    </row>
    <row r="4407" ht="15" customHeight="1">
      <c r="A4407" t="inlineStr">
        <is>
          <t>A 54951-2023</t>
        </is>
      </c>
      <c r="B4407" t="inlineStr">
        <is>
          <t>avverkningsanmälan</t>
        </is>
      </c>
      <c r="C4407" t="inlineStr">
        <is>
          <t>Föryngringsavverkning</t>
        </is>
      </c>
      <c r="D4407" s="1" t="n">
        <v>45236</v>
      </c>
      <c r="E4407" s="1" t="n">
        <v>46323</v>
      </c>
      <c r="F4407" t="inlineStr">
        <is>
          <t>KALMAR LÄN</t>
        </is>
      </c>
      <c r="G4407" t="inlineStr">
        <is>
          <t>VÄSTERVIK</t>
        </is>
      </c>
      <c r="H4407" t="inlineStr">
        <is>
          <t>Övriga Aktiebolag</t>
        </is>
      </c>
      <c r="I4407" t="n">
        <v>0.9</v>
      </c>
      <c r="J4407" t="n">
        <v>0</v>
      </c>
      <c r="K4407" t="n">
        <v>0</v>
      </c>
      <c r="L4407" t="n">
        <v>0</v>
      </c>
      <c r="M4407" t="n">
        <v>0</v>
      </c>
      <c r="N4407" t="n">
        <v>0</v>
      </c>
      <c r="O4407" t="n">
        <v>0</v>
      </c>
      <c r="P4407" t="n">
        <v>0</v>
      </c>
      <c r="Q4407" t="n">
        <v>0</v>
      </c>
      <c r="R4407" t="n">
        <v>0</v>
      </c>
      <c r="S4407" t="n">
        <v>0</v>
      </c>
      <c r="T4407" t="n">
        <v>0</v>
      </c>
      <c r="U4407" t="n">
        <v>0</v>
      </c>
      <c r="V4407" s="2" t="inlineStr"/>
    </row>
    <row r="4408" ht="15" customHeight="1">
      <c r="A4408" t="inlineStr">
        <is>
          <t>A 30000-2022</t>
        </is>
      </c>
      <c r="B4408" t="inlineStr">
        <is>
          <t>avverkningsanmälan</t>
        </is>
      </c>
      <c r="C4408" t="inlineStr">
        <is>
          <t>Föryngringsavverkning</t>
        </is>
      </c>
      <c r="D4408" s="1" t="n">
        <v>44756</v>
      </c>
      <c r="E4408" s="1" t="n">
        <v>46323</v>
      </c>
      <c r="F4408" t="inlineStr">
        <is>
          <t>KALMAR LÄN</t>
        </is>
      </c>
      <c r="G4408" t="inlineStr">
        <is>
          <t>OSKARSHAMN</t>
        </is>
      </c>
      <c r="I4408" t="n">
        <v>1</v>
      </c>
      <c r="J4408" t="n">
        <v>0</v>
      </c>
      <c r="K4408" t="n">
        <v>0</v>
      </c>
      <c r="L4408" t="n">
        <v>0</v>
      </c>
      <c r="M4408" t="n">
        <v>0</v>
      </c>
      <c r="N4408" t="n">
        <v>0</v>
      </c>
      <c r="O4408" t="n">
        <v>0</v>
      </c>
      <c r="P4408" t="n">
        <v>0</v>
      </c>
      <c r="Q4408" t="n">
        <v>0</v>
      </c>
      <c r="R4408" t="n">
        <v>0</v>
      </c>
      <c r="S4408" t="n">
        <v>0</v>
      </c>
      <c r="T4408" t="n">
        <v>0</v>
      </c>
      <c r="U4408" t="n">
        <v>0</v>
      </c>
      <c r="V4408" s="2" t="inlineStr"/>
    </row>
    <row r="4409" ht="15" customHeight="1">
      <c r="A4409" t="inlineStr">
        <is>
          <t>A 2713-2024</t>
        </is>
      </c>
      <c r="B4409" t="inlineStr">
        <is>
          <t>avverkningsanmälan</t>
        </is>
      </c>
      <c r="C4409" t="inlineStr">
        <is>
          <t>Föryngringsavverkning</t>
        </is>
      </c>
      <c r="D4409" s="1" t="n">
        <v>45314</v>
      </c>
      <c r="E4409" s="1" t="n">
        <v>46323</v>
      </c>
      <c r="F4409" t="inlineStr">
        <is>
          <t>KALMAR LÄN</t>
        </is>
      </c>
      <c r="G4409" t="inlineStr">
        <is>
          <t>MÖNSTERÅS</t>
        </is>
      </c>
      <c r="I4409" t="n">
        <v>7.4</v>
      </c>
      <c r="J4409" t="n">
        <v>0</v>
      </c>
      <c r="K4409" t="n">
        <v>0</v>
      </c>
      <c r="L4409" t="n">
        <v>0</v>
      </c>
      <c r="M4409" t="n">
        <v>0</v>
      </c>
      <c r="N4409" t="n">
        <v>0</v>
      </c>
      <c r="O4409" t="n">
        <v>0</v>
      </c>
      <c r="P4409" t="n">
        <v>0</v>
      </c>
      <c r="Q4409" t="n">
        <v>0</v>
      </c>
      <c r="R4409" t="n">
        <v>0</v>
      </c>
      <c r="S4409" t="n">
        <v>0</v>
      </c>
      <c r="T4409" t="n">
        <v>0</v>
      </c>
      <c r="U4409" t="n">
        <v>0</v>
      </c>
      <c r="V4409" s="2" t="inlineStr"/>
    </row>
    <row r="4410" ht="15" customHeight="1">
      <c r="A4410" t="inlineStr">
        <is>
          <t>A 9101-2026</t>
        </is>
      </c>
      <c r="B4410" t="inlineStr">
        <is>
          <t>avverkningsanmälan</t>
        </is>
      </c>
      <c r="C4410" t="inlineStr">
        <is>
          <t>Föryngringsavverkning</t>
        </is>
      </c>
      <c r="D4410" s="1" t="n">
        <v>46069</v>
      </c>
      <c r="E4410" s="1" t="n">
        <v>46323</v>
      </c>
      <c r="F4410" t="inlineStr">
        <is>
          <t>KALMAR LÄN</t>
        </is>
      </c>
      <c r="G4410" t="inlineStr">
        <is>
          <t>OSKARSHAMN</t>
        </is>
      </c>
      <c r="I4410" t="n">
        <v>5.7</v>
      </c>
      <c r="J4410" t="n">
        <v>0</v>
      </c>
      <c r="K4410" t="n">
        <v>0</v>
      </c>
      <c r="L4410" t="n">
        <v>0</v>
      </c>
      <c r="M4410" t="n">
        <v>0</v>
      </c>
      <c r="N4410" t="n">
        <v>0</v>
      </c>
      <c r="O4410" t="n">
        <v>0</v>
      </c>
      <c r="P4410" t="n">
        <v>0</v>
      </c>
      <c r="Q4410" t="n">
        <v>0</v>
      </c>
      <c r="R4410" t="n">
        <v>0</v>
      </c>
      <c r="S4410" t="n">
        <v>0</v>
      </c>
      <c r="T4410" t="n">
        <v>0</v>
      </c>
      <c r="U4410" t="n">
        <v>0</v>
      </c>
      <c r="V4410" s="2" t="inlineStr"/>
    </row>
    <row r="4411" ht="15" customHeight="1">
      <c r="A4411" t="inlineStr">
        <is>
          <t>A 38390-2026</t>
        </is>
      </c>
      <c r="B4411" t="inlineStr">
        <is>
          <t>avverkningsanmälan</t>
        </is>
      </c>
      <c r="C4411" t="inlineStr">
        <is>
          <t>Föryngringsavverkning</t>
        </is>
      </c>
      <c r="D4411" s="1" t="n">
        <v>46282</v>
      </c>
      <c r="E4411" s="1" t="n">
        <v>46323</v>
      </c>
      <c r="F4411" t="inlineStr">
        <is>
          <t>KALMAR LÄN</t>
        </is>
      </c>
      <c r="G4411" t="inlineStr">
        <is>
          <t>MÖNSTERÅS</t>
        </is>
      </c>
      <c r="I4411" t="n">
        <v>4</v>
      </c>
      <c r="J4411" t="n">
        <v>0</v>
      </c>
      <c r="K4411" t="n">
        <v>0</v>
      </c>
      <c r="L4411" t="n">
        <v>0</v>
      </c>
      <c r="M4411" t="n">
        <v>0</v>
      </c>
      <c r="N4411" t="n">
        <v>0</v>
      </c>
      <c r="O4411" t="n">
        <v>0</v>
      </c>
      <c r="P4411" t="n">
        <v>0</v>
      </c>
      <c r="Q4411" t="n">
        <v>0</v>
      </c>
      <c r="R4411" t="n">
        <v>0</v>
      </c>
      <c r="S4411" t="n">
        <v>0</v>
      </c>
      <c r="T4411" t="n">
        <v>0</v>
      </c>
      <c r="U4411" t="n">
        <v>0</v>
      </c>
      <c r="V4411" s="2" t="inlineStr"/>
    </row>
    <row r="4412" ht="15" customHeight="1">
      <c r="A4412" t="inlineStr">
        <is>
          <t>A 38185-2026</t>
        </is>
      </c>
      <c r="B4412" t="inlineStr">
        <is>
          <t>avverkningsanmälan</t>
        </is>
      </c>
      <c r="C4412" t="inlineStr">
        <is>
          <t>Föryngringsavverkning</t>
        </is>
      </c>
      <c r="D4412" s="1" t="n">
        <v>46281</v>
      </c>
      <c r="E4412" s="1" t="n">
        <v>46323</v>
      </c>
      <c r="F4412" t="inlineStr">
        <is>
          <t>KALMAR LÄN</t>
        </is>
      </c>
      <c r="G4412" t="inlineStr">
        <is>
          <t>HÖGSBY</t>
        </is>
      </c>
      <c r="I4412" t="n">
        <v>2.4</v>
      </c>
      <c r="J4412" t="n">
        <v>0</v>
      </c>
      <c r="K4412" t="n">
        <v>0</v>
      </c>
      <c r="L4412" t="n">
        <v>0</v>
      </c>
      <c r="M4412" t="n">
        <v>0</v>
      </c>
      <c r="N4412" t="n">
        <v>0</v>
      </c>
      <c r="O4412" t="n">
        <v>0</v>
      </c>
      <c r="P4412" t="n">
        <v>0</v>
      </c>
      <c r="Q4412" t="n">
        <v>0</v>
      </c>
      <c r="R4412" t="n">
        <v>0</v>
      </c>
      <c r="S4412" t="n">
        <v>0</v>
      </c>
      <c r="T4412" t="n">
        <v>0</v>
      </c>
      <c r="U4412" t="n">
        <v>0</v>
      </c>
      <c r="V4412" s="2" t="inlineStr"/>
    </row>
    <row r="4413" ht="15" customHeight="1">
      <c r="A4413" t="inlineStr">
        <is>
          <t>A 38192-2026</t>
        </is>
      </c>
      <c r="B4413" t="inlineStr">
        <is>
          <t>avverkningsanmälan</t>
        </is>
      </c>
      <c r="C4413" t="inlineStr">
        <is>
          <t>Föryngringsavverkning</t>
        </is>
      </c>
      <c r="D4413" s="1" t="n">
        <v>46281</v>
      </c>
      <c r="E4413" s="1" t="n">
        <v>46323</v>
      </c>
      <c r="F4413" t="inlineStr">
        <is>
          <t>KALMAR LÄN</t>
        </is>
      </c>
      <c r="G4413" t="inlineStr">
        <is>
          <t>HULTSFRED</t>
        </is>
      </c>
      <c r="I4413" t="n">
        <v>2.2</v>
      </c>
      <c r="J4413" t="n">
        <v>0</v>
      </c>
      <c r="K4413" t="n">
        <v>0</v>
      </c>
      <c r="L4413" t="n">
        <v>0</v>
      </c>
      <c r="M4413" t="n">
        <v>0</v>
      </c>
      <c r="N4413" t="n">
        <v>0</v>
      </c>
      <c r="O4413" t="n">
        <v>0</v>
      </c>
      <c r="P4413" t="n">
        <v>0</v>
      </c>
      <c r="Q4413" t="n">
        <v>0</v>
      </c>
      <c r="R4413" t="n">
        <v>0</v>
      </c>
      <c r="S4413" t="n">
        <v>0</v>
      </c>
      <c r="T4413" t="n">
        <v>0</v>
      </c>
      <c r="U4413" t="n">
        <v>0</v>
      </c>
      <c r="V4413" s="2" t="inlineStr"/>
    </row>
    <row r="4414" ht="15" customHeight="1">
      <c r="A4414" t="inlineStr">
        <is>
          <t>A 9009-2026</t>
        </is>
      </c>
      <c r="B4414" t="inlineStr">
        <is>
          <t>avverkningsanmälan</t>
        </is>
      </c>
      <c r="C4414" t="inlineStr">
        <is>
          <t>Föryngringsavverkning</t>
        </is>
      </c>
      <c r="D4414" s="1" t="n">
        <v>46069</v>
      </c>
      <c r="E4414" s="1" t="n">
        <v>46323</v>
      </c>
      <c r="F4414" t="inlineStr">
        <is>
          <t>KALMAR LÄN</t>
        </is>
      </c>
      <c r="G4414" t="inlineStr">
        <is>
          <t>NYBRO</t>
        </is>
      </c>
      <c r="I4414" t="n">
        <v>0.5</v>
      </c>
      <c r="J4414" t="n">
        <v>0</v>
      </c>
      <c r="K4414" t="n">
        <v>0</v>
      </c>
      <c r="L4414" t="n">
        <v>0</v>
      </c>
      <c r="M4414" t="n">
        <v>0</v>
      </c>
      <c r="N4414" t="n">
        <v>0</v>
      </c>
      <c r="O4414" t="n">
        <v>0</v>
      </c>
      <c r="P4414" t="n">
        <v>0</v>
      </c>
      <c r="Q4414" t="n">
        <v>0</v>
      </c>
      <c r="R4414" t="n">
        <v>0</v>
      </c>
      <c r="S4414" t="n">
        <v>0</v>
      </c>
      <c r="T4414" t="n">
        <v>0</v>
      </c>
      <c r="U4414" t="n">
        <v>0</v>
      </c>
      <c r="V4414" s="2" t="inlineStr"/>
    </row>
    <row r="4415" ht="15" customHeight="1">
      <c r="A4415" t="inlineStr">
        <is>
          <t>A 6802-2025</t>
        </is>
      </c>
      <c r="B4415" t="inlineStr">
        <is>
          <t>avverkningsanmälan</t>
        </is>
      </c>
      <c r="C4415" t="inlineStr">
        <is>
          <t>Föryngringsavverkning</t>
        </is>
      </c>
      <c r="D4415" s="1" t="n">
        <v>45700</v>
      </c>
      <c r="E4415" s="1" t="n">
        <v>46323</v>
      </c>
      <c r="F4415" t="inlineStr">
        <is>
          <t>KALMAR LÄN</t>
        </is>
      </c>
      <c r="G4415" t="inlineStr">
        <is>
          <t>VIMMERBY</t>
        </is>
      </c>
      <c r="I4415" t="n">
        <v>1.3</v>
      </c>
      <c r="J4415" t="n">
        <v>0</v>
      </c>
      <c r="K4415" t="n">
        <v>0</v>
      </c>
      <c r="L4415" t="n">
        <v>0</v>
      </c>
      <c r="M4415" t="n">
        <v>0</v>
      </c>
      <c r="N4415" t="n">
        <v>0</v>
      </c>
      <c r="O4415" t="n">
        <v>0</v>
      </c>
      <c r="P4415" t="n">
        <v>0</v>
      </c>
      <c r="Q4415" t="n">
        <v>0</v>
      </c>
      <c r="R4415" t="n">
        <v>0</v>
      </c>
      <c r="S4415" t="n">
        <v>0</v>
      </c>
      <c r="T4415" t="n">
        <v>0</v>
      </c>
      <c r="U4415" t="n">
        <v>0</v>
      </c>
      <c r="V4415" s="2" t="inlineStr"/>
    </row>
    <row r="4416" ht="15" customHeight="1">
      <c r="A4416" t="inlineStr">
        <is>
          <t>A 8883-2026</t>
        </is>
      </c>
      <c r="B4416" t="inlineStr">
        <is>
          <t>avverkningsanmälan</t>
        </is>
      </c>
      <c r="C4416" t="inlineStr">
        <is>
          <t>Avverkning för annat ändamål</t>
        </is>
      </c>
      <c r="D4416" s="1" t="n">
        <v>46067</v>
      </c>
      <c r="E4416" s="1" t="n">
        <v>46323</v>
      </c>
      <c r="F4416" t="inlineStr">
        <is>
          <t>KALMAR LÄN</t>
        </is>
      </c>
      <c r="G4416" t="inlineStr">
        <is>
          <t>NYBRO</t>
        </is>
      </c>
      <c r="I4416" t="n">
        <v>0.9</v>
      </c>
      <c r="J4416" t="n">
        <v>0</v>
      </c>
      <c r="K4416" t="n">
        <v>0</v>
      </c>
      <c r="L4416" t="n">
        <v>0</v>
      </c>
      <c r="M4416" t="n">
        <v>0</v>
      </c>
      <c r="N4416" t="n">
        <v>0</v>
      </c>
      <c r="O4416" t="n">
        <v>0</v>
      </c>
      <c r="P4416" t="n">
        <v>0</v>
      </c>
      <c r="Q4416" t="n">
        <v>0</v>
      </c>
      <c r="R4416" t="n">
        <v>0</v>
      </c>
      <c r="S4416" t="n">
        <v>0</v>
      </c>
      <c r="T4416" t="n">
        <v>0</v>
      </c>
      <c r="U4416" t="n">
        <v>0</v>
      </c>
      <c r="V4416" s="2" t="inlineStr"/>
    </row>
    <row r="4417" ht="15" customHeight="1">
      <c r="A4417" t="inlineStr">
        <is>
          <t>A 9010-2026</t>
        </is>
      </c>
      <c r="B4417" t="inlineStr">
        <is>
          <t>avverkningsanmälan</t>
        </is>
      </c>
      <c r="C4417" t="inlineStr">
        <is>
          <t>Föryngringsavverkning</t>
        </is>
      </c>
      <c r="D4417" s="1" t="n">
        <v>46069</v>
      </c>
      <c r="E4417" s="1" t="n">
        <v>46323</v>
      </c>
      <c r="F4417" t="inlineStr">
        <is>
          <t>KALMAR LÄN</t>
        </is>
      </c>
      <c r="G4417" t="inlineStr">
        <is>
          <t>NYBRO</t>
        </is>
      </c>
      <c r="I4417" t="n">
        <v>0.5</v>
      </c>
      <c r="J4417" t="n">
        <v>0</v>
      </c>
      <c r="K4417" t="n">
        <v>0</v>
      </c>
      <c r="L4417" t="n">
        <v>0</v>
      </c>
      <c r="M4417" t="n">
        <v>0</v>
      </c>
      <c r="N4417" t="n">
        <v>0</v>
      </c>
      <c r="O4417" t="n">
        <v>0</v>
      </c>
      <c r="P4417" t="n">
        <v>0</v>
      </c>
      <c r="Q4417" t="n">
        <v>0</v>
      </c>
      <c r="R4417" t="n">
        <v>0</v>
      </c>
      <c r="S4417" t="n">
        <v>0</v>
      </c>
      <c r="T4417" t="n">
        <v>0</v>
      </c>
      <c r="U4417" t="n">
        <v>0</v>
      </c>
      <c r="V4417" s="2" t="inlineStr"/>
    </row>
    <row r="4418" ht="15" customHeight="1">
      <c r="A4418" t="inlineStr">
        <is>
          <t>A 38558-2026</t>
        </is>
      </c>
      <c r="B4418" t="inlineStr">
        <is>
          <t>avverkningsanmälan</t>
        </is>
      </c>
      <c r="C4418" t="inlineStr">
        <is>
          <t>Föryngringsavverkning</t>
        </is>
      </c>
      <c r="D4418" s="1" t="n">
        <v>46283</v>
      </c>
      <c r="E4418" s="1" t="n">
        <v>46323</v>
      </c>
      <c r="F4418" t="inlineStr">
        <is>
          <t>KALMAR LÄN</t>
        </is>
      </c>
      <c r="G4418" t="inlineStr">
        <is>
          <t>NYBRO</t>
        </is>
      </c>
      <c r="I4418" t="n">
        <v>3.1</v>
      </c>
      <c r="J4418" t="n">
        <v>0</v>
      </c>
      <c r="K4418" t="n">
        <v>0</v>
      </c>
      <c r="L4418" t="n">
        <v>0</v>
      </c>
      <c r="M4418" t="n">
        <v>0</v>
      </c>
      <c r="N4418" t="n">
        <v>0</v>
      </c>
      <c r="O4418" t="n">
        <v>0</v>
      </c>
      <c r="P4418" t="n">
        <v>0</v>
      </c>
      <c r="Q4418" t="n">
        <v>0</v>
      </c>
      <c r="R4418" t="n">
        <v>0</v>
      </c>
      <c r="S4418" t="n">
        <v>0</v>
      </c>
      <c r="T4418" t="n">
        <v>0</v>
      </c>
      <c r="U4418" t="n">
        <v>0</v>
      </c>
      <c r="V4418" s="2" t="inlineStr"/>
    </row>
    <row r="4419" ht="15" customHeight="1">
      <c r="A4419" t="inlineStr">
        <is>
          <t>A 3874-2026</t>
        </is>
      </c>
      <c r="B4419" t="inlineStr">
        <is>
          <t>avverkningsanmälan</t>
        </is>
      </c>
      <c r="C4419" t="inlineStr">
        <is>
          <t>Föryngringsavverkning</t>
        </is>
      </c>
      <c r="D4419" s="1" t="n">
        <v>46043</v>
      </c>
      <c r="E4419" s="1" t="n">
        <v>46323</v>
      </c>
      <c r="F4419" t="inlineStr">
        <is>
          <t>KALMAR LÄN</t>
        </is>
      </c>
      <c r="G4419" t="inlineStr">
        <is>
          <t>HULTSFRED</t>
        </is>
      </c>
      <c r="I4419" t="n">
        <v>1.3</v>
      </c>
      <c r="J4419" t="n">
        <v>0</v>
      </c>
      <c r="K4419" t="n">
        <v>0</v>
      </c>
      <c r="L4419" t="n">
        <v>0</v>
      </c>
      <c r="M4419" t="n">
        <v>0</v>
      </c>
      <c r="N4419" t="n">
        <v>0</v>
      </c>
      <c r="O4419" t="n">
        <v>0</v>
      </c>
      <c r="P4419" t="n">
        <v>0</v>
      </c>
      <c r="Q4419" t="n">
        <v>0</v>
      </c>
      <c r="R4419" t="n">
        <v>0</v>
      </c>
      <c r="S4419" t="n">
        <v>0</v>
      </c>
      <c r="T4419" t="n">
        <v>0</v>
      </c>
      <c r="U4419" t="n">
        <v>0</v>
      </c>
      <c r="V4419" s="2" t="inlineStr"/>
    </row>
    <row r="4420" ht="15" customHeight="1">
      <c r="A4420" t="inlineStr">
        <is>
          <t>A 52049-2023</t>
        </is>
      </c>
      <c r="B4420" t="inlineStr">
        <is>
          <t>avverkningsanmälan</t>
        </is>
      </c>
      <c r="C4420" t="inlineStr">
        <is>
          <t>Föryngringsavverkning</t>
        </is>
      </c>
      <c r="D4420" s="1" t="n">
        <v>45216</v>
      </c>
      <c r="E4420" s="1" t="n">
        <v>46323</v>
      </c>
      <c r="F4420" t="inlineStr">
        <is>
          <t>KALMAR LÄN</t>
        </is>
      </c>
      <c r="G4420" t="inlineStr">
        <is>
          <t>VÄSTERVIK</t>
        </is>
      </c>
      <c r="I4420" t="n">
        <v>4.4</v>
      </c>
      <c r="J4420" t="n">
        <v>0</v>
      </c>
      <c r="K4420" t="n">
        <v>0</v>
      </c>
      <c r="L4420" t="n">
        <v>0</v>
      </c>
      <c r="M4420" t="n">
        <v>0</v>
      </c>
      <c r="N4420" t="n">
        <v>0</v>
      </c>
      <c r="O4420" t="n">
        <v>0</v>
      </c>
      <c r="P4420" t="n">
        <v>0</v>
      </c>
      <c r="Q4420" t="n">
        <v>0</v>
      </c>
      <c r="R4420" t="n">
        <v>0</v>
      </c>
      <c r="S4420" t="n">
        <v>0</v>
      </c>
      <c r="T4420" t="n">
        <v>0</v>
      </c>
      <c r="U4420" t="n">
        <v>0</v>
      </c>
      <c r="V4420" s="2" t="inlineStr"/>
    </row>
    <row r="4421" ht="15" customHeight="1">
      <c r="A4421" t="inlineStr">
        <is>
          <t>A 56189-2023</t>
        </is>
      </c>
      <c r="B4421" t="inlineStr">
        <is>
          <t>avverkningsanmälan</t>
        </is>
      </c>
      <c r="C4421" t="inlineStr">
        <is>
          <t>Föryngringsavverkning</t>
        </is>
      </c>
      <c r="D4421" s="1" t="n">
        <v>45240</v>
      </c>
      <c r="E4421" s="1" t="n">
        <v>46323</v>
      </c>
      <c r="F4421" t="inlineStr">
        <is>
          <t>KALMAR LÄN</t>
        </is>
      </c>
      <c r="G4421" t="inlineStr">
        <is>
          <t>OSKARSHAMN</t>
        </is>
      </c>
      <c r="I4421" t="n">
        <v>0.8</v>
      </c>
      <c r="J4421" t="n">
        <v>0</v>
      </c>
      <c r="K4421" t="n">
        <v>0</v>
      </c>
      <c r="L4421" t="n">
        <v>0</v>
      </c>
      <c r="M4421" t="n">
        <v>0</v>
      </c>
      <c r="N4421" t="n">
        <v>0</v>
      </c>
      <c r="O4421" t="n">
        <v>0</v>
      </c>
      <c r="P4421" t="n">
        <v>0</v>
      </c>
      <c r="Q4421" t="n">
        <v>0</v>
      </c>
      <c r="R4421" t="n">
        <v>0</v>
      </c>
      <c r="S4421" t="n">
        <v>0</v>
      </c>
      <c r="T4421" t="n">
        <v>0</v>
      </c>
      <c r="U4421" t="n">
        <v>0</v>
      </c>
      <c r="V4421" s="2" t="inlineStr"/>
    </row>
    <row r="4422" ht="15" customHeight="1">
      <c r="A4422" t="inlineStr">
        <is>
          <t>A 9259-2026</t>
        </is>
      </c>
      <c r="B4422" t="inlineStr">
        <is>
          <t>avverkningsanmälan</t>
        </is>
      </c>
      <c r="C4422" t="inlineStr">
        <is>
          <t>Föryngringsavverkning</t>
        </is>
      </c>
      <c r="D4422" s="1" t="n">
        <v>46070</v>
      </c>
      <c r="E4422" s="1" t="n">
        <v>46323</v>
      </c>
      <c r="F4422" t="inlineStr">
        <is>
          <t>KALMAR LÄN</t>
        </is>
      </c>
      <c r="G4422" t="inlineStr">
        <is>
          <t>BORGHOLM</t>
        </is>
      </c>
      <c r="I4422" t="n">
        <v>1.6</v>
      </c>
      <c r="J4422" t="n">
        <v>0</v>
      </c>
      <c r="K4422" t="n">
        <v>0</v>
      </c>
      <c r="L4422" t="n">
        <v>0</v>
      </c>
      <c r="M4422" t="n">
        <v>0</v>
      </c>
      <c r="N4422" t="n">
        <v>0</v>
      </c>
      <c r="O4422" t="n">
        <v>0</v>
      </c>
      <c r="P4422" t="n">
        <v>0</v>
      </c>
      <c r="Q4422" t="n">
        <v>0</v>
      </c>
      <c r="R4422" t="n">
        <v>0</v>
      </c>
      <c r="S4422" t="n">
        <v>0</v>
      </c>
      <c r="T4422" t="n">
        <v>0</v>
      </c>
      <c r="U4422" t="n">
        <v>0</v>
      </c>
      <c r="V4422" s="2" t="inlineStr"/>
    </row>
    <row r="4423" ht="15" customHeight="1">
      <c r="A4423" t="inlineStr">
        <is>
          <t>A 9263-2026</t>
        </is>
      </c>
      <c r="B4423" t="inlineStr">
        <is>
          <t>avverkningsanmälan</t>
        </is>
      </c>
      <c r="C4423" t="inlineStr">
        <is>
          <t>Föryngringsavverkning</t>
        </is>
      </c>
      <c r="D4423" s="1" t="n">
        <v>46069</v>
      </c>
      <c r="E4423" s="1" t="n">
        <v>46323</v>
      </c>
      <c r="F4423" t="inlineStr">
        <is>
          <t>KALMAR LÄN</t>
        </is>
      </c>
      <c r="G4423" t="inlineStr">
        <is>
          <t>EMMABODA</t>
        </is>
      </c>
      <c r="H4423" t="inlineStr">
        <is>
          <t>Kyrkan</t>
        </is>
      </c>
      <c r="I4423" t="n">
        <v>2.4</v>
      </c>
      <c r="J4423" t="n">
        <v>0</v>
      </c>
      <c r="K4423" t="n">
        <v>0</v>
      </c>
      <c r="L4423" t="n">
        <v>0</v>
      </c>
      <c r="M4423" t="n">
        <v>0</v>
      </c>
      <c r="N4423" t="n">
        <v>0</v>
      </c>
      <c r="O4423" t="n">
        <v>0</v>
      </c>
      <c r="P4423" t="n">
        <v>0</v>
      </c>
      <c r="Q4423" t="n">
        <v>0</v>
      </c>
      <c r="R4423" t="n">
        <v>0</v>
      </c>
      <c r="S4423" t="n">
        <v>0</v>
      </c>
      <c r="T4423" t="n">
        <v>0</v>
      </c>
      <c r="U4423" t="n">
        <v>0</v>
      </c>
      <c r="V4423" s="2" t="inlineStr"/>
    </row>
    <row r="4424" ht="15" customHeight="1">
      <c r="A4424" t="inlineStr">
        <is>
          <t>A 33148-2026</t>
        </is>
      </c>
      <c r="B4424" t="inlineStr">
        <is>
          <t>avverkningsanmälan</t>
        </is>
      </c>
      <c r="C4424" t="inlineStr">
        <is>
          <t>Föryngringsavverkning</t>
        </is>
      </c>
      <c r="D4424" s="1" t="n">
        <v>46244</v>
      </c>
      <c r="E4424" s="1" t="n">
        <v>46323</v>
      </c>
      <c r="F4424" t="inlineStr">
        <is>
          <t>KALMAR LÄN</t>
        </is>
      </c>
      <c r="G4424" t="inlineStr">
        <is>
          <t>MÖNSTERÅS</t>
        </is>
      </c>
      <c r="H4424" t="inlineStr">
        <is>
          <t>Övriga Aktiebolag</t>
        </is>
      </c>
      <c r="I4424" t="n">
        <v>2.7</v>
      </c>
      <c r="J4424" t="n">
        <v>0</v>
      </c>
      <c r="K4424" t="n">
        <v>0</v>
      </c>
      <c r="L4424" t="n">
        <v>0</v>
      </c>
      <c r="M4424" t="n">
        <v>0</v>
      </c>
      <c r="N4424" t="n">
        <v>0</v>
      </c>
      <c r="O4424" t="n">
        <v>0</v>
      </c>
      <c r="P4424" t="n">
        <v>0</v>
      </c>
      <c r="Q4424" t="n">
        <v>0</v>
      </c>
      <c r="R4424" t="n">
        <v>0</v>
      </c>
      <c r="S4424" t="n">
        <v>0</v>
      </c>
      <c r="T4424" t="n">
        <v>0</v>
      </c>
      <c r="U4424" t="n">
        <v>0</v>
      </c>
      <c r="V4424" s="2" t="inlineStr"/>
    </row>
    <row r="4425" ht="15" customHeight="1">
      <c r="A4425" t="inlineStr">
        <is>
          <t>A 59309-2022</t>
        </is>
      </c>
      <c r="B4425" t="inlineStr">
        <is>
          <t>avverkningsanmälan</t>
        </is>
      </c>
      <c r="C4425" t="inlineStr">
        <is>
          <t>Föryngringsavverkning</t>
        </is>
      </c>
      <c r="D4425" s="1" t="n">
        <v>44904</v>
      </c>
      <c r="E4425" s="1" t="n">
        <v>46323</v>
      </c>
      <c r="F4425" t="inlineStr">
        <is>
          <t>KALMAR LÄN</t>
        </is>
      </c>
      <c r="G4425" t="inlineStr">
        <is>
          <t>MÖNSTERÅS</t>
        </is>
      </c>
      <c r="I4425" t="n">
        <v>2.3</v>
      </c>
      <c r="J4425" t="n">
        <v>0</v>
      </c>
      <c r="K4425" t="n">
        <v>0</v>
      </c>
      <c r="L4425" t="n">
        <v>0</v>
      </c>
      <c r="M4425" t="n">
        <v>0</v>
      </c>
      <c r="N4425" t="n">
        <v>0</v>
      </c>
      <c r="O4425" t="n">
        <v>0</v>
      </c>
      <c r="P4425" t="n">
        <v>0</v>
      </c>
      <c r="Q4425" t="n">
        <v>0</v>
      </c>
      <c r="R4425" t="n">
        <v>0</v>
      </c>
      <c r="S4425" t="n">
        <v>0</v>
      </c>
      <c r="T4425" t="n">
        <v>0</v>
      </c>
      <c r="U4425" t="n">
        <v>0</v>
      </c>
      <c r="V4425" s="2" t="inlineStr"/>
    </row>
    <row r="4426" ht="15" customHeight="1">
      <c r="A4426" t="inlineStr">
        <is>
          <t>A 9034-2026</t>
        </is>
      </c>
      <c r="B4426" t="inlineStr">
        <is>
          <t>avverkningsanmälan</t>
        </is>
      </c>
      <c r="C4426" t="inlineStr">
        <is>
          <t>Föryngringsavverkning</t>
        </is>
      </c>
      <c r="D4426" s="1" t="n">
        <v>46069</v>
      </c>
      <c r="E4426" s="1" t="n">
        <v>46323</v>
      </c>
      <c r="F4426" t="inlineStr">
        <is>
          <t>KALMAR LÄN</t>
        </is>
      </c>
      <c r="G4426" t="inlineStr">
        <is>
          <t>OSKARSHAMN</t>
        </is>
      </c>
      <c r="I4426" t="n">
        <v>2.8</v>
      </c>
      <c r="J4426" t="n">
        <v>0</v>
      </c>
      <c r="K4426" t="n">
        <v>0</v>
      </c>
      <c r="L4426" t="n">
        <v>0</v>
      </c>
      <c r="M4426" t="n">
        <v>0</v>
      </c>
      <c r="N4426" t="n">
        <v>0</v>
      </c>
      <c r="O4426" t="n">
        <v>0</v>
      </c>
      <c r="P4426" t="n">
        <v>0</v>
      </c>
      <c r="Q4426" t="n">
        <v>0</v>
      </c>
      <c r="R4426" t="n">
        <v>0</v>
      </c>
      <c r="S4426" t="n">
        <v>0</v>
      </c>
      <c r="T4426" t="n">
        <v>0</v>
      </c>
      <c r="U4426" t="n">
        <v>0</v>
      </c>
      <c r="V4426" s="2" t="inlineStr"/>
    </row>
    <row r="4427" ht="15" customHeight="1">
      <c r="A4427" t="inlineStr">
        <is>
          <t>A 57617-2023</t>
        </is>
      </c>
      <c r="B4427" t="inlineStr">
        <is>
          <t>avverkningsanmälan</t>
        </is>
      </c>
      <c r="C4427" t="inlineStr">
        <is>
          <t>Föryngringsavverkning</t>
        </is>
      </c>
      <c r="D4427" s="1" t="n">
        <v>45246</v>
      </c>
      <c r="E4427" s="1" t="n">
        <v>46323</v>
      </c>
      <c r="F4427" t="inlineStr">
        <is>
          <t>KALMAR LÄN</t>
        </is>
      </c>
      <c r="G4427" t="inlineStr">
        <is>
          <t>KALMAR</t>
        </is>
      </c>
      <c r="I4427" t="n">
        <v>2.1</v>
      </c>
      <c r="J4427" t="n">
        <v>0</v>
      </c>
      <c r="K4427" t="n">
        <v>0</v>
      </c>
      <c r="L4427" t="n">
        <v>0</v>
      </c>
      <c r="M4427" t="n">
        <v>0</v>
      </c>
      <c r="N4427" t="n">
        <v>0</v>
      </c>
      <c r="O4427" t="n">
        <v>0</v>
      </c>
      <c r="P4427" t="n">
        <v>0</v>
      </c>
      <c r="Q4427" t="n">
        <v>0</v>
      </c>
      <c r="R4427" t="n">
        <v>0</v>
      </c>
      <c r="S4427" t="n">
        <v>0</v>
      </c>
      <c r="T4427" t="n">
        <v>0</v>
      </c>
      <c r="U4427" t="n">
        <v>0</v>
      </c>
      <c r="V4427" s="2" t="inlineStr"/>
    </row>
    <row r="4428" ht="15" customHeight="1">
      <c r="A4428" t="inlineStr">
        <is>
          <t>A 17409-2024</t>
        </is>
      </c>
      <c r="B4428" t="inlineStr">
        <is>
          <t>avverkningsanmälan</t>
        </is>
      </c>
      <c r="C4428" t="inlineStr">
        <is>
          <t>Föryngringsavverkning</t>
        </is>
      </c>
      <c r="D4428" s="1" t="n">
        <v>45414</v>
      </c>
      <c r="E4428" s="1" t="n">
        <v>46323</v>
      </c>
      <c r="F4428" t="inlineStr">
        <is>
          <t>KALMAR LÄN</t>
        </is>
      </c>
      <c r="G4428" t="inlineStr">
        <is>
          <t>NYBRO</t>
        </is>
      </c>
      <c r="I4428" t="n">
        <v>1</v>
      </c>
      <c r="J4428" t="n">
        <v>0</v>
      </c>
      <c r="K4428" t="n">
        <v>0</v>
      </c>
      <c r="L4428" t="n">
        <v>0</v>
      </c>
      <c r="M4428" t="n">
        <v>0</v>
      </c>
      <c r="N4428" t="n">
        <v>0</v>
      </c>
      <c r="O4428" t="n">
        <v>0</v>
      </c>
      <c r="P4428" t="n">
        <v>0</v>
      </c>
      <c r="Q4428" t="n">
        <v>0</v>
      </c>
      <c r="R4428" t="n">
        <v>0</v>
      </c>
      <c r="S4428" t="n">
        <v>0</v>
      </c>
      <c r="T4428" t="n">
        <v>0</v>
      </c>
      <c r="U4428" t="n">
        <v>0</v>
      </c>
      <c r="V4428" s="2" t="inlineStr"/>
    </row>
    <row r="4429" ht="15" customHeight="1">
      <c r="A4429" t="inlineStr">
        <is>
          <t>A 55674-2023</t>
        </is>
      </c>
      <c r="B4429" t="inlineStr">
        <is>
          <t>avverkningsanmälan</t>
        </is>
      </c>
      <c r="C4429" t="inlineStr">
        <is>
          <t>Föryngringsavverkning</t>
        </is>
      </c>
      <c r="D4429" s="1" t="n">
        <v>45239</v>
      </c>
      <c r="E4429" s="1" t="n">
        <v>46323</v>
      </c>
      <c r="F4429" t="inlineStr">
        <is>
          <t>KALMAR LÄN</t>
        </is>
      </c>
      <c r="G4429" t="inlineStr">
        <is>
          <t>HULTSFRED</t>
        </is>
      </c>
      <c r="I4429" t="n">
        <v>5.6</v>
      </c>
      <c r="J4429" t="n">
        <v>0</v>
      </c>
      <c r="K4429" t="n">
        <v>0</v>
      </c>
      <c r="L4429" t="n">
        <v>0</v>
      </c>
      <c r="M4429" t="n">
        <v>0</v>
      </c>
      <c r="N4429" t="n">
        <v>0</v>
      </c>
      <c r="O4429" t="n">
        <v>0</v>
      </c>
      <c r="P4429" t="n">
        <v>0</v>
      </c>
      <c r="Q4429" t="n">
        <v>0</v>
      </c>
      <c r="R4429" t="n">
        <v>0</v>
      </c>
      <c r="S4429" t="n">
        <v>0</v>
      </c>
      <c r="T4429" t="n">
        <v>0</v>
      </c>
      <c r="U4429" t="n">
        <v>0</v>
      </c>
      <c r="V4429" s="2" t="inlineStr"/>
    </row>
    <row r="4430" ht="15" customHeight="1">
      <c r="A4430" t="inlineStr">
        <is>
          <t>A 38858-2026</t>
        </is>
      </c>
      <c r="B4430" t="inlineStr">
        <is>
          <t>avverkningsanmälan</t>
        </is>
      </c>
      <c r="C4430" t="inlineStr">
        <is>
          <t>Föryngringsavverkning</t>
        </is>
      </c>
      <c r="D4430" s="1" t="n">
        <v>46286</v>
      </c>
      <c r="E4430" s="1" t="n">
        <v>46323</v>
      </c>
      <c r="F4430" t="inlineStr">
        <is>
          <t>KALMAR LÄN</t>
        </is>
      </c>
      <c r="G4430" t="inlineStr">
        <is>
          <t>VIMMERBY</t>
        </is>
      </c>
      <c r="I4430" t="n">
        <v>2</v>
      </c>
      <c r="J4430" t="n">
        <v>0</v>
      </c>
      <c r="K4430" t="n">
        <v>0</v>
      </c>
      <c r="L4430" t="n">
        <v>0</v>
      </c>
      <c r="M4430" t="n">
        <v>0</v>
      </c>
      <c r="N4430" t="n">
        <v>0</v>
      </c>
      <c r="O4430" t="n">
        <v>0</v>
      </c>
      <c r="P4430" t="n">
        <v>0</v>
      </c>
      <c r="Q4430" t="n">
        <v>0</v>
      </c>
      <c r="R4430" t="n">
        <v>0</v>
      </c>
      <c r="S4430" t="n">
        <v>0</v>
      </c>
      <c r="T4430" t="n">
        <v>0</v>
      </c>
      <c r="U4430" t="n">
        <v>0</v>
      </c>
      <c r="V4430" s="2" t="inlineStr"/>
    </row>
    <row r="4431" ht="15" customHeight="1">
      <c r="A4431" t="inlineStr">
        <is>
          <t>A 9724-2026</t>
        </is>
      </c>
      <c r="B4431" t="inlineStr">
        <is>
          <t>avverkningsanmälan</t>
        </is>
      </c>
      <c r="C4431" t="inlineStr">
        <is>
          <t>Föryngringsavverkning</t>
        </is>
      </c>
      <c r="D4431" s="1" t="n">
        <v>46071</v>
      </c>
      <c r="E4431" s="1" t="n">
        <v>46323</v>
      </c>
      <c r="F4431" t="inlineStr">
        <is>
          <t>KALMAR LÄN</t>
        </is>
      </c>
      <c r="G4431" t="inlineStr">
        <is>
          <t>EMMABODA</t>
        </is>
      </c>
      <c r="H4431" t="inlineStr">
        <is>
          <t>Kyrkan</t>
        </is>
      </c>
      <c r="I4431" t="n">
        <v>0.8</v>
      </c>
      <c r="J4431" t="n">
        <v>0</v>
      </c>
      <c r="K4431" t="n">
        <v>0</v>
      </c>
      <c r="L4431" t="n">
        <v>0</v>
      </c>
      <c r="M4431" t="n">
        <v>0</v>
      </c>
      <c r="N4431" t="n">
        <v>0</v>
      </c>
      <c r="O4431" t="n">
        <v>0</v>
      </c>
      <c r="P4431" t="n">
        <v>0</v>
      </c>
      <c r="Q4431" t="n">
        <v>0</v>
      </c>
      <c r="R4431" t="n">
        <v>0</v>
      </c>
      <c r="S4431" t="n">
        <v>0</v>
      </c>
      <c r="T4431" t="n">
        <v>0</v>
      </c>
      <c r="U4431" t="n">
        <v>0</v>
      </c>
      <c r="V4431" s="2" t="inlineStr"/>
    </row>
    <row r="4432" ht="15" customHeight="1">
      <c r="A4432" t="inlineStr">
        <is>
          <t>A 38897-2026</t>
        </is>
      </c>
      <c r="B4432" t="inlineStr">
        <is>
          <t>avverkningsanmälan</t>
        </is>
      </c>
      <c r="C4432" t="inlineStr">
        <is>
          <t>Föryngringsavverkning</t>
        </is>
      </c>
      <c r="D4432" s="1" t="n">
        <v>46286</v>
      </c>
      <c r="E4432" s="1" t="n">
        <v>46323</v>
      </c>
      <c r="F4432" t="inlineStr">
        <is>
          <t>KALMAR LÄN</t>
        </is>
      </c>
      <c r="G4432" t="inlineStr">
        <is>
          <t>VÄSTERVIK</t>
        </is>
      </c>
      <c r="I4432" t="n">
        <v>0.5</v>
      </c>
      <c r="J4432" t="n">
        <v>0</v>
      </c>
      <c r="K4432" t="n">
        <v>0</v>
      </c>
      <c r="L4432" t="n">
        <v>0</v>
      </c>
      <c r="M4432" t="n">
        <v>0</v>
      </c>
      <c r="N4432" t="n">
        <v>0</v>
      </c>
      <c r="O4432" t="n">
        <v>0</v>
      </c>
      <c r="P4432" t="n">
        <v>0</v>
      </c>
      <c r="Q4432" t="n">
        <v>0</v>
      </c>
      <c r="R4432" t="n">
        <v>0</v>
      </c>
      <c r="S4432" t="n">
        <v>0</v>
      </c>
      <c r="T4432" t="n">
        <v>0</v>
      </c>
      <c r="U4432" t="n">
        <v>0</v>
      </c>
      <c r="V4432" s="2" t="inlineStr"/>
    </row>
    <row r="4433" ht="15" customHeight="1">
      <c r="A4433" t="inlineStr">
        <is>
          <t>A 56020-2024</t>
        </is>
      </c>
      <c r="B4433" t="inlineStr">
        <is>
          <t>avverkningsanmälan</t>
        </is>
      </c>
      <c r="C4433" t="inlineStr">
        <is>
          <t>Föryngringsavverkning</t>
        </is>
      </c>
      <c r="D4433" s="1" t="n">
        <v>45623</v>
      </c>
      <c r="E4433" s="1" t="n">
        <v>46323</v>
      </c>
      <c r="F4433" t="inlineStr">
        <is>
          <t>KALMAR LÄN</t>
        </is>
      </c>
      <c r="G4433" t="inlineStr">
        <is>
          <t>VIMMERBY</t>
        </is>
      </c>
      <c r="I4433" t="n">
        <v>1</v>
      </c>
      <c r="J4433" t="n">
        <v>0</v>
      </c>
      <c r="K4433" t="n">
        <v>0</v>
      </c>
      <c r="L4433" t="n">
        <v>0</v>
      </c>
      <c r="M4433" t="n">
        <v>0</v>
      </c>
      <c r="N4433" t="n">
        <v>0</v>
      </c>
      <c r="O4433" t="n">
        <v>0</v>
      </c>
      <c r="P4433" t="n">
        <v>0</v>
      </c>
      <c r="Q4433" t="n">
        <v>0</v>
      </c>
      <c r="R4433" t="n">
        <v>0</v>
      </c>
      <c r="S4433" t="n">
        <v>0</v>
      </c>
      <c r="T4433" t="n">
        <v>0</v>
      </c>
      <c r="U4433" t="n">
        <v>0</v>
      </c>
      <c r="V4433" s="2" t="inlineStr"/>
    </row>
    <row r="4434" ht="15" customHeight="1">
      <c r="A4434" t="inlineStr">
        <is>
          <t>A 59977-2023</t>
        </is>
      </c>
      <c r="B4434" t="inlineStr">
        <is>
          <t>avverkningsanmälan</t>
        </is>
      </c>
      <c r="C4434" t="inlineStr">
        <is>
          <t>Föryngringsavverkning</t>
        </is>
      </c>
      <c r="D4434" s="1" t="n">
        <v>45257</v>
      </c>
      <c r="E4434" s="1" t="n">
        <v>46323</v>
      </c>
      <c r="F4434" t="inlineStr">
        <is>
          <t>KALMAR LÄN</t>
        </is>
      </c>
      <c r="G4434" t="inlineStr">
        <is>
          <t>HULTSFRED</t>
        </is>
      </c>
      <c r="H4434" t="inlineStr">
        <is>
          <t>Sveaskog</t>
        </is>
      </c>
      <c r="I4434" t="n">
        <v>0.4</v>
      </c>
      <c r="J4434" t="n">
        <v>0</v>
      </c>
      <c r="K4434" t="n">
        <v>0</v>
      </c>
      <c r="L4434" t="n">
        <v>0</v>
      </c>
      <c r="M4434" t="n">
        <v>0</v>
      </c>
      <c r="N4434" t="n">
        <v>0</v>
      </c>
      <c r="O4434" t="n">
        <v>0</v>
      </c>
      <c r="P4434" t="n">
        <v>0</v>
      </c>
      <c r="Q4434" t="n">
        <v>0</v>
      </c>
      <c r="R4434" t="n">
        <v>0</v>
      </c>
      <c r="S4434" t="n">
        <v>0</v>
      </c>
      <c r="T4434" t="n">
        <v>0</v>
      </c>
      <c r="U4434" t="n">
        <v>0</v>
      </c>
      <c r="V4434" s="2" t="inlineStr"/>
    </row>
    <row r="4435" ht="15" customHeight="1">
      <c r="A4435" t="inlineStr">
        <is>
          <t>A 62478-2023</t>
        </is>
      </c>
      <c r="B4435" t="inlineStr">
        <is>
          <t>avverkningsanmälan</t>
        </is>
      </c>
      <c r="C4435" t="inlineStr">
        <is>
          <t>Föryngringsavverkning</t>
        </is>
      </c>
      <c r="D4435" s="1" t="n">
        <v>45268</v>
      </c>
      <c r="E4435" s="1" t="n">
        <v>46323</v>
      </c>
      <c r="F4435" t="inlineStr">
        <is>
          <t>KALMAR LÄN</t>
        </is>
      </c>
      <c r="G4435" t="inlineStr">
        <is>
          <t>HULTSFRED</t>
        </is>
      </c>
      <c r="I4435" t="n">
        <v>1.1</v>
      </c>
      <c r="J4435" t="n">
        <v>0</v>
      </c>
      <c r="K4435" t="n">
        <v>0</v>
      </c>
      <c r="L4435" t="n">
        <v>0</v>
      </c>
      <c r="M4435" t="n">
        <v>0</v>
      </c>
      <c r="N4435" t="n">
        <v>0</v>
      </c>
      <c r="O4435" t="n">
        <v>0</v>
      </c>
      <c r="P4435" t="n">
        <v>0</v>
      </c>
      <c r="Q4435" t="n">
        <v>0</v>
      </c>
      <c r="R4435" t="n">
        <v>0</v>
      </c>
      <c r="S4435" t="n">
        <v>0</v>
      </c>
      <c r="T4435" t="n">
        <v>0</v>
      </c>
      <c r="U4435" t="n">
        <v>0</v>
      </c>
      <c r="V4435" s="2" t="inlineStr"/>
    </row>
    <row r="4436" ht="15" customHeight="1">
      <c r="A4436" t="inlineStr">
        <is>
          <t>A 11616-2025</t>
        </is>
      </c>
      <c r="B4436" t="inlineStr">
        <is>
          <t>avverkningsanmälan</t>
        </is>
      </c>
      <c r="C4436" t="inlineStr">
        <is>
          <t>Föryngringsavverkning</t>
        </is>
      </c>
      <c r="D4436" s="1" t="n">
        <v>45727</v>
      </c>
      <c r="E4436" s="1" t="n">
        <v>46323</v>
      </c>
      <c r="F4436" t="inlineStr">
        <is>
          <t>KALMAR LÄN</t>
        </is>
      </c>
      <c r="G4436" t="inlineStr">
        <is>
          <t>EMMABODA</t>
        </is>
      </c>
      <c r="I4436" t="n">
        <v>1.7</v>
      </c>
      <c r="J4436" t="n">
        <v>0</v>
      </c>
      <c r="K4436" t="n">
        <v>0</v>
      </c>
      <c r="L4436" t="n">
        <v>0</v>
      </c>
      <c r="M4436" t="n">
        <v>0</v>
      </c>
      <c r="N4436" t="n">
        <v>0</v>
      </c>
      <c r="O4436" t="n">
        <v>0</v>
      </c>
      <c r="P4436" t="n">
        <v>0</v>
      </c>
      <c r="Q4436" t="n">
        <v>0</v>
      </c>
      <c r="R4436" t="n">
        <v>0</v>
      </c>
      <c r="S4436" t="n">
        <v>0</v>
      </c>
      <c r="T4436" t="n">
        <v>0</v>
      </c>
      <c r="U4436" t="n">
        <v>0</v>
      </c>
      <c r="V4436" s="2" t="inlineStr"/>
    </row>
    <row r="4437" ht="15" customHeight="1">
      <c r="A4437" t="inlineStr">
        <is>
          <t>A 16811-2025</t>
        </is>
      </c>
      <c r="B4437" t="inlineStr">
        <is>
          <t>avverkningsanmälan</t>
        </is>
      </c>
      <c r="C4437" t="inlineStr">
        <is>
          <t>Föryngringsavverkning</t>
        </is>
      </c>
      <c r="D4437" s="1" t="n">
        <v>45754</v>
      </c>
      <c r="E4437" s="1" t="n">
        <v>46323</v>
      </c>
      <c r="F4437" t="inlineStr">
        <is>
          <t>KALMAR LÄN</t>
        </is>
      </c>
      <c r="G4437" t="inlineStr">
        <is>
          <t>OSKARSHAMN</t>
        </is>
      </c>
      <c r="I4437" t="n">
        <v>1</v>
      </c>
      <c r="J4437" t="n">
        <v>0</v>
      </c>
      <c r="K4437" t="n">
        <v>0</v>
      </c>
      <c r="L4437" t="n">
        <v>0</v>
      </c>
      <c r="M4437" t="n">
        <v>0</v>
      </c>
      <c r="N4437" t="n">
        <v>0</v>
      </c>
      <c r="O4437" t="n">
        <v>0</v>
      </c>
      <c r="P4437" t="n">
        <v>0</v>
      </c>
      <c r="Q4437" t="n">
        <v>0</v>
      </c>
      <c r="R4437" t="n">
        <v>0</v>
      </c>
      <c r="S4437" t="n">
        <v>0</v>
      </c>
      <c r="T4437" t="n">
        <v>0</v>
      </c>
      <c r="U4437" t="n">
        <v>0</v>
      </c>
      <c r="V4437" s="2" t="inlineStr"/>
    </row>
    <row r="4438" ht="15" customHeight="1">
      <c r="A4438" t="inlineStr">
        <is>
          <t>A 33842-2022</t>
        </is>
      </c>
      <c r="B4438" t="inlineStr">
        <is>
          <t>avverkningsanmälan</t>
        </is>
      </c>
      <c r="C4438" t="inlineStr">
        <is>
          <t>Föryngringsavverkning</t>
        </is>
      </c>
      <c r="D4438" s="1" t="n">
        <v>44790</v>
      </c>
      <c r="E4438" s="1" t="n">
        <v>46323</v>
      </c>
      <c r="F4438" t="inlineStr">
        <is>
          <t>KALMAR LÄN</t>
        </is>
      </c>
      <c r="G4438" t="inlineStr">
        <is>
          <t>VIMMERBY</t>
        </is>
      </c>
      <c r="I4438" t="n">
        <v>1.6</v>
      </c>
      <c r="J4438" t="n">
        <v>0</v>
      </c>
      <c r="K4438" t="n">
        <v>0</v>
      </c>
      <c r="L4438" t="n">
        <v>0</v>
      </c>
      <c r="M4438" t="n">
        <v>0</v>
      </c>
      <c r="N4438" t="n">
        <v>0</v>
      </c>
      <c r="O4438" t="n">
        <v>0</v>
      </c>
      <c r="P4438" t="n">
        <v>0</v>
      </c>
      <c r="Q4438" t="n">
        <v>0</v>
      </c>
      <c r="R4438" t="n">
        <v>0</v>
      </c>
      <c r="S4438" t="n">
        <v>0</v>
      </c>
      <c r="T4438" t="n">
        <v>0</v>
      </c>
      <c r="U4438" t="n">
        <v>0</v>
      </c>
      <c r="V4438" s="2" t="inlineStr"/>
    </row>
    <row r="4439" ht="15" customHeight="1">
      <c r="A4439" t="inlineStr">
        <is>
          <t>A 30035-2023</t>
        </is>
      </c>
      <c r="B4439" t="inlineStr">
        <is>
          <t>avverkningsanmälan</t>
        </is>
      </c>
      <c r="C4439" t="inlineStr">
        <is>
          <t>Föryngringsavverkning</t>
        </is>
      </c>
      <c r="D4439" s="1" t="n">
        <v>45110</v>
      </c>
      <c r="E4439" s="1" t="n">
        <v>46323</v>
      </c>
      <c r="F4439" t="inlineStr">
        <is>
          <t>KALMAR LÄN</t>
        </is>
      </c>
      <c r="G4439" t="inlineStr">
        <is>
          <t>VÄSTERVIK</t>
        </is>
      </c>
      <c r="H4439" t="inlineStr">
        <is>
          <t>Holmen skog AB</t>
        </is>
      </c>
      <c r="I4439" t="n">
        <v>1.1</v>
      </c>
      <c r="J4439" t="n">
        <v>0</v>
      </c>
      <c r="K4439" t="n">
        <v>0</v>
      </c>
      <c r="L4439" t="n">
        <v>0</v>
      </c>
      <c r="M4439" t="n">
        <v>0</v>
      </c>
      <c r="N4439" t="n">
        <v>0</v>
      </c>
      <c r="O4439" t="n">
        <v>0</v>
      </c>
      <c r="P4439" t="n">
        <v>0</v>
      </c>
      <c r="Q4439" t="n">
        <v>0</v>
      </c>
      <c r="R4439" t="n">
        <v>0</v>
      </c>
      <c r="S4439" t="n">
        <v>0</v>
      </c>
      <c r="T4439" t="n">
        <v>0</v>
      </c>
      <c r="U4439" t="n">
        <v>0</v>
      </c>
      <c r="V4439" s="2" t="inlineStr"/>
    </row>
    <row r="4440" ht="15" customHeight="1">
      <c r="A4440" t="inlineStr">
        <is>
          <t>A 34951-2022</t>
        </is>
      </c>
      <c r="B4440" t="inlineStr">
        <is>
          <t>avverkningsanmälan</t>
        </is>
      </c>
      <c r="C4440" t="inlineStr">
        <is>
          <t>Avverkning för att bevara och utveckla /försöksver</t>
        </is>
      </c>
      <c r="D4440" s="1" t="n">
        <v>44796</v>
      </c>
      <c r="E4440" s="1" t="n">
        <v>46323</v>
      </c>
      <c r="F4440" t="inlineStr">
        <is>
          <t>KALMAR LÄN</t>
        </is>
      </c>
      <c r="G4440" t="inlineStr">
        <is>
          <t>BORGHOLM</t>
        </is>
      </c>
      <c r="H4440" t="inlineStr">
        <is>
          <t>Sveaskog</t>
        </is>
      </c>
      <c r="I4440" t="n">
        <v>4.6</v>
      </c>
      <c r="J4440" t="n">
        <v>0</v>
      </c>
      <c r="K4440" t="n">
        <v>0</v>
      </c>
      <c r="L4440" t="n">
        <v>0</v>
      </c>
      <c r="M4440" t="n">
        <v>0</v>
      </c>
      <c r="N4440" t="n">
        <v>0</v>
      </c>
      <c r="O4440" t="n">
        <v>0</v>
      </c>
      <c r="P4440" t="n">
        <v>0</v>
      </c>
      <c r="Q4440" t="n">
        <v>0</v>
      </c>
      <c r="R4440" t="n">
        <v>0</v>
      </c>
      <c r="S4440" t="n">
        <v>0</v>
      </c>
      <c r="T4440" t="n">
        <v>0</v>
      </c>
      <c r="U4440" t="n">
        <v>0</v>
      </c>
      <c r="V4440" s="2" t="inlineStr"/>
    </row>
    <row r="4441" ht="15" customHeight="1">
      <c r="A4441" t="inlineStr">
        <is>
          <t>A 25549-2025</t>
        </is>
      </c>
      <c r="B4441" t="inlineStr">
        <is>
          <t>avverkningsanmälan</t>
        </is>
      </c>
      <c r="C4441" t="inlineStr">
        <is>
          <t>Föryngringsavverkning</t>
        </is>
      </c>
      <c r="D4441" s="1" t="n">
        <v>45803</v>
      </c>
      <c r="E4441" s="1" t="n">
        <v>46323</v>
      </c>
      <c r="F4441" t="inlineStr">
        <is>
          <t>KALMAR LÄN</t>
        </is>
      </c>
      <c r="G4441" t="inlineStr">
        <is>
          <t>HULTSFRED</t>
        </is>
      </c>
      <c r="I4441" t="n">
        <v>1.3</v>
      </c>
      <c r="J4441" t="n">
        <v>0</v>
      </c>
      <c r="K4441" t="n">
        <v>0</v>
      </c>
      <c r="L4441" t="n">
        <v>0</v>
      </c>
      <c r="M4441" t="n">
        <v>0</v>
      </c>
      <c r="N4441" t="n">
        <v>0</v>
      </c>
      <c r="O4441" t="n">
        <v>0</v>
      </c>
      <c r="P4441" t="n">
        <v>0</v>
      </c>
      <c r="Q4441" t="n">
        <v>0</v>
      </c>
      <c r="R4441" t="n">
        <v>0</v>
      </c>
      <c r="S4441" t="n">
        <v>0</v>
      </c>
      <c r="T4441" t="n">
        <v>0</v>
      </c>
      <c r="U4441" t="n">
        <v>0</v>
      </c>
      <c r="V4441" s="2" t="inlineStr"/>
    </row>
    <row r="4442" ht="15" customHeight="1">
      <c r="A4442" t="inlineStr">
        <is>
          <t>A 25550-2025</t>
        </is>
      </c>
      <c r="B4442" t="inlineStr">
        <is>
          <t>avverkningsanmälan</t>
        </is>
      </c>
      <c r="C4442" t="inlineStr">
        <is>
          <t>Föryngringsavverkning</t>
        </is>
      </c>
      <c r="D4442" s="1" t="n">
        <v>45803</v>
      </c>
      <c r="E4442" s="1" t="n">
        <v>46323</v>
      </c>
      <c r="F4442" t="inlineStr">
        <is>
          <t>KALMAR LÄN</t>
        </is>
      </c>
      <c r="G4442" t="inlineStr">
        <is>
          <t>HULTSFRED</t>
        </is>
      </c>
      <c r="I4442" t="n">
        <v>0.9</v>
      </c>
      <c r="J4442" t="n">
        <v>0</v>
      </c>
      <c r="K4442" t="n">
        <v>0</v>
      </c>
      <c r="L4442" t="n">
        <v>0</v>
      </c>
      <c r="M4442" t="n">
        <v>0</v>
      </c>
      <c r="N4442" t="n">
        <v>0</v>
      </c>
      <c r="O4442" t="n">
        <v>0</v>
      </c>
      <c r="P4442" t="n">
        <v>0</v>
      </c>
      <c r="Q4442" t="n">
        <v>0</v>
      </c>
      <c r="R4442" t="n">
        <v>0</v>
      </c>
      <c r="S4442" t="n">
        <v>0</v>
      </c>
      <c r="T4442" t="n">
        <v>0</v>
      </c>
      <c r="U4442" t="n">
        <v>0</v>
      </c>
      <c r="V4442" s="2" t="inlineStr"/>
    </row>
    <row r="4443" ht="15" customHeight="1">
      <c r="A4443" t="inlineStr">
        <is>
          <t>A 60675-2023</t>
        </is>
      </c>
      <c r="B4443" t="inlineStr">
        <is>
          <t>avverkningsanmälan</t>
        </is>
      </c>
      <c r="C4443" t="inlineStr">
        <is>
          <t>Föryngringsavverkning</t>
        </is>
      </c>
      <c r="D4443" s="1" t="n">
        <v>45260</v>
      </c>
      <c r="E4443" s="1" t="n">
        <v>46323</v>
      </c>
      <c r="F4443" t="inlineStr">
        <is>
          <t>KALMAR LÄN</t>
        </is>
      </c>
      <c r="G4443" t="inlineStr">
        <is>
          <t>VIMMERBY</t>
        </is>
      </c>
      <c r="I4443" t="n">
        <v>1.2</v>
      </c>
      <c r="J4443" t="n">
        <v>0</v>
      </c>
      <c r="K4443" t="n">
        <v>0</v>
      </c>
      <c r="L4443" t="n">
        <v>0</v>
      </c>
      <c r="M4443" t="n">
        <v>0</v>
      </c>
      <c r="N4443" t="n">
        <v>0</v>
      </c>
      <c r="O4443" t="n">
        <v>0</v>
      </c>
      <c r="P4443" t="n">
        <v>0</v>
      </c>
      <c r="Q4443" t="n">
        <v>0</v>
      </c>
      <c r="R4443" t="n">
        <v>0</v>
      </c>
      <c r="S4443" t="n">
        <v>0</v>
      </c>
      <c r="T4443" t="n">
        <v>0</v>
      </c>
      <c r="U4443" t="n">
        <v>0</v>
      </c>
      <c r="V4443" s="2" t="inlineStr"/>
    </row>
    <row r="4444" ht="15" customHeight="1">
      <c r="A4444" t="inlineStr">
        <is>
          <t>A 32500-2022</t>
        </is>
      </c>
      <c r="B4444" t="inlineStr">
        <is>
          <t>avverkningsanmälan</t>
        </is>
      </c>
      <c r="C4444" t="inlineStr">
        <is>
          <t>Föryngringsavverkning</t>
        </is>
      </c>
      <c r="D4444" s="1" t="n">
        <v>44782</v>
      </c>
      <c r="E4444" s="1" t="n">
        <v>46323</v>
      </c>
      <c r="F4444" t="inlineStr">
        <is>
          <t>KALMAR LÄN</t>
        </is>
      </c>
      <c r="G4444" t="inlineStr">
        <is>
          <t>KALMAR</t>
        </is>
      </c>
      <c r="I4444" t="n">
        <v>1.4</v>
      </c>
      <c r="J4444" t="n">
        <v>0</v>
      </c>
      <c r="K4444" t="n">
        <v>0</v>
      </c>
      <c r="L4444" t="n">
        <v>0</v>
      </c>
      <c r="M4444" t="n">
        <v>0</v>
      </c>
      <c r="N4444" t="n">
        <v>0</v>
      </c>
      <c r="O4444" t="n">
        <v>0</v>
      </c>
      <c r="P4444" t="n">
        <v>0</v>
      </c>
      <c r="Q4444" t="n">
        <v>0</v>
      </c>
      <c r="R4444" t="n">
        <v>0</v>
      </c>
      <c r="S4444" t="n">
        <v>0</v>
      </c>
      <c r="T4444" t="n">
        <v>0</v>
      </c>
      <c r="U4444" t="n">
        <v>0</v>
      </c>
      <c r="V4444" s="2" t="inlineStr"/>
    </row>
    <row r="4445" ht="15" customHeight="1">
      <c r="A4445" t="inlineStr">
        <is>
          <t>A 32833-2026</t>
        </is>
      </c>
      <c r="B4445" t="inlineStr">
        <is>
          <t>avverkningsanmälan</t>
        </is>
      </c>
      <c r="C4445" t="inlineStr">
        <is>
          <t>Föryngringsavverkning</t>
        </is>
      </c>
      <c r="D4445" s="1" t="n">
        <v>46243</v>
      </c>
      <c r="E4445" s="1" t="n">
        <v>46323</v>
      </c>
      <c r="F4445" t="inlineStr">
        <is>
          <t>KALMAR LÄN</t>
        </is>
      </c>
      <c r="G4445" t="inlineStr">
        <is>
          <t>OSKARSHAMN</t>
        </is>
      </c>
      <c r="I4445" t="n">
        <v>1</v>
      </c>
      <c r="J4445" t="n">
        <v>0</v>
      </c>
      <c r="K4445" t="n">
        <v>0</v>
      </c>
      <c r="L4445" t="n">
        <v>0</v>
      </c>
      <c r="M4445" t="n">
        <v>0</v>
      </c>
      <c r="N4445" t="n">
        <v>0</v>
      </c>
      <c r="O4445" t="n">
        <v>0</v>
      </c>
      <c r="P4445" t="n">
        <v>0</v>
      </c>
      <c r="Q4445" t="n">
        <v>0</v>
      </c>
      <c r="R4445" t="n">
        <v>0</v>
      </c>
      <c r="S4445" t="n">
        <v>0</v>
      </c>
      <c r="T4445" t="n">
        <v>0</v>
      </c>
      <c r="U4445" t="n">
        <v>0</v>
      </c>
      <c r="V4445" s="2" t="inlineStr"/>
    </row>
    <row r="4446" ht="15" customHeight="1">
      <c r="A4446" t="inlineStr">
        <is>
          <t>A 17229-2025</t>
        </is>
      </c>
      <c r="B4446" t="inlineStr">
        <is>
          <t>avverkningsanmälan</t>
        </is>
      </c>
      <c r="C4446" t="inlineStr">
        <is>
          <t>Föryngringsavverkning</t>
        </is>
      </c>
      <c r="D4446" s="1" t="n">
        <v>45756</v>
      </c>
      <c r="E4446" s="1" t="n">
        <v>46323</v>
      </c>
      <c r="F4446" t="inlineStr">
        <is>
          <t>KALMAR LÄN</t>
        </is>
      </c>
      <c r="G4446" t="inlineStr">
        <is>
          <t>NYBRO</t>
        </is>
      </c>
      <c r="I4446" t="n">
        <v>1.5</v>
      </c>
      <c r="J4446" t="n">
        <v>0</v>
      </c>
      <c r="K4446" t="n">
        <v>0</v>
      </c>
      <c r="L4446" t="n">
        <v>0</v>
      </c>
      <c r="M4446" t="n">
        <v>0</v>
      </c>
      <c r="N4446" t="n">
        <v>0</v>
      </c>
      <c r="O4446" t="n">
        <v>0</v>
      </c>
      <c r="P4446" t="n">
        <v>0</v>
      </c>
      <c r="Q4446" t="n">
        <v>0</v>
      </c>
      <c r="R4446" t="n">
        <v>0</v>
      </c>
      <c r="S4446" t="n">
        <v>0</v>
      </c>
      <c r="T4446" t="n">
        <v>0</v>
      </c>
      <c r="U4446" t="n">
        <v>0</v>
      </c>
      <c r="V4446" s="2" t="inlineStr"/>
    </row>
    <row r="4447" ht="15" customHeight="1">
      <c r="A4447" t="inlineStr">
        <is>
          <t>A 60039-2022</t>
        </is>
      </c>
      <c r="B4447" t="inlineStr">
        <is>
          <t>avverkningsanmälan</t>
        </is>
      </c>
      <c r="C4447" t="inlineStr">
        <is>
          <t>Föryngringsavverkning</t>
        </is>
      </c>
      <c r="D4447" s="1" t="n">
        <v>44909</v>
      </c>
      <c r="E4447" s="1" t="n">
        <v>46323</v>
      </c>
      <c r="F4447" t="inlineStr">
        <is>
          <t>KALMAR LÄN</t>
        </is>
      </c>
      <c r="G4447" t="inlineStr">
        <is>
          <t>NYBRO</t>
        </is>
      </c>
      <c r="I4447" t="n">
        <v>3.8</v>
      </c>
      <c r="J4447" t="n">
        <v>0</v>
      </c>
      <c r="K4447" t="n">
        <v>0</v>
      </c>
      <c r="L4447" t="n">
        <v>0</v>
      </c>
      <c r="M4447" t="n">
        <v>0</v>
      </c>
      <c r="N4447" t="n">
        <v>0</v>
      </c>
      <c r="O4447" t="n">
        <v>0</v>
      </c>
      <c r="P4447" t="n">
        <v>0</v>
      </c>
      <c r="Q4447" t="n">
        <v>0</v>
      </c>
      <c r="R4447" t="n">
        <v>0</v>
      </c>
      <c r="S4447" t="n">
        <v>0</v>
      </c>
      <c r="T4447" t="n">
        <v>0</v>
      </c>
      <c r="U4447" t="n">
        <v>0</v>
      </c>
      <c r="V4447" s="2" t="inlineStr"/>
    </row>
    <row r="4448" ht="15" customHeight="1">
      <c r="A4448" t="inlineStr">
        <is>
          <t>A 4579-2023</t>
        </is>
      </c>
      <c r="B4448" t="inlineStr">
        <is>
          <t>avverkningsanmälan</t>
        </is>
      </c>
      <c r="C4448" t="inlineStr">
        <is>
          <t>Föryngringsavverkning</t>
        </is>
      </c>
      <c r="D4448" s="1" t="n">
        <v>44956</v>
      </c>
      <c r="E4448" s="1" t="n">
        <v>46323</v>
      </c>
      <c r="F4448" t="inlineStr">
        <is>
          <t>KALMAR LÄN</t>
        </is>
      </c>
      <c r="G4448" t="inlineStr">
        <is>
          <t>VÄSTERVIK</t>
        </is>
      </c>
      <c r="I4448" t="n">
        <v>2.2</v>
      </c>
      <c r="J4448" t="n">
        <v>0</v>
      </c>
      <c r="K4448" t="n">
        <v>0</v>
      </c>
      <c r="L4448" t="n">
        <v>0</v>
      </c>
      <c r="M4448" t="n">
        <v>0</v>
      </c>
      <c r="N4448" t="n">
        <v>0</v>
      </c>
      <c r="O4448" t="n">
        <v>0</v>
      </c>
      <c r="P4448" t="n">
        <v>0</v>
      </c>
      <c r="Q4448" t="n">
        <v>0</v>
      </c>
      <c r="R4448" t="n">
        <v>0</v>
      </c>
      <c r="S4448" t="n">
        <v>0</v>
      </c>
      <c r="T4448" t="n">
        <v>0</v>
      </c>
      <c r="U4448" t="n">
        <v>0</v>
      </c>
      <c r="V4448" s="2" t="inlineStr"/>
    </row>
    <row r="4449" ht="15" customHeight="1">
      <c r="A4449" t="inlineStr">
        <is>
          <t>A 14973-2025</t>
        </is>
      </c>
      <c r="B4449" t="inlineStr">
        <is>
          <t>avverkningsanmälan</t>
        </is>
      </c>
      <c r="C4449" t="inlineStr">
        <is>
          <t>Föryngringsavverkning</t>
        </is>
      </c>
      <c r="D4449" s="1" t="n">
        <v>45743</v>
      </c>
      <c r="E4449" s="1" t="n">
        <v>46323</v>
      </c>
      <c r="F4449" t="inlineStr">
        <is>
          <t>KALMAR LÄN</t>
        </is>
      </c>
      <c r="G4449" t="inlineStr">
        <is>
          <t>HULTSFRED</t>
        </is>
      </c>
      <c r="I4449" t="n">
        <v>10.3</v>
      </c>
      <c r="J4449" t="n">
        <v>0</v>
      </c>
      <c r="K4449" t="n">
        <v>0</v>
      </c>
      <c r="L4449" t="n">
        <v>0</v>
      </c>
      <c r="M4449" t="n">
        <v>0</v>
      </c>
      <c r="N4449" t="n">
        <v>0</v>
      </c>
      <c r="O4449" t="n">
        <v>0</v>
      </c>
      <c r="P4449" t="n">
        <v>0</v>
      </c>
      <c r="Q4449" t="n">
        <v>0</v>
      </c>
      <c r="R4449" t="n">
        <v>0</v>
      </c>
      <c r="S4449" t="n">
        <v>0</v>
      </c>
      <c r="T4449" t="n">
        <v>0</v>
      </c>
      <c r="U4449" t="n">
        <v>0</v>
      </c>
      <c r="V4449" s="2" t="inlineStr"/>
    </row>
    <row r="4450" ht="15" customHeight="1">
      <c r="A4450" t="inlineStr">
        <is>
          <t>A 65059-2023</t>
        </is>
      </c>
      <c r="B4450" t="inlineStr">
        <is>
          <t>avverkningsanmälan</t>
        </is>
      </c>
      <c r="C4450" t="inlineStr">
        <is>
          <t>Föryngringsavverkning</t>
        </is>
      </c>
      <c r="D4450" s="1" t="n">
        <v>45287</v>
      </c>
      <c r="E4450" s="1" t="n">
        <v>46323</v>
      </c>
      <c r="F4450" t="inlineStr">
        <is>
          <t>KALMAR LÄN</t>
        </is>
      </c>
      <c r="G4450" t="inlineStr">
        <is>
          <t>VÄSTERVIK</t>
        </is>
      </c>
      <c r="H4450" t="inlineStr">
        <is>
          <t>Holmen skog AB</t>
        </is>
      </c>
      <c r="I4450" t="n">
        <v>4.9</v>
      </c>
      <c r="J4450" t="n">
        <v>0</v>
      </c>
      <c r="K4450" t="n">
        <v>0</v>
      </c>
      <c r="L4450" t="n">
        <v>0</v>
      </c>
      <c r="M4450" t="n">
        <v>0</v>
      </c>
      <c r="N4450" t="n">
        <v>0</v>
      </c>
      <c r="O4450" t="n">
        <v>0</v>
      </c>
      <c r="P4450" t="n">
        <v>0</v>
      </c>
      <c r="Q4450" t="n">
        <v>0</v>
      </c>
      <c r="R4450" t="n">
        <v>0</v>
      </c>
      <c r="S4450" t="n">
        <v>0</v>
      </c>
      <c r="T4450" t="n">
        <v>0</v>
      </c>
      <c r="U4450" t="n">
        <v>0</v>
      </c>
      <c r="V4450" s="2" t="inlineStr"/>
    </row>
    <row r="4451" ht="15" customHeight="1">
      <c r="A4451" t="inlineStr">
        <is>
          <t>A 9690-2026</t>
        </is>
      </c>
      <c r="B4451" t="inlineStr">
        <is>
          <t>avverkningsanmälan</t>
        </is>
      </c>
      <c r="C4451" t="inlineStr">
        <is>
          <t>Föryngringsavverkning</t>
        </is>
      </c>
      <c r="D4451" s="1" t="n">
        <v>46072</v>
      </c>
      <c r="E4451" s="1" t="n">
        <v>46323</v>
      </c>
      <c r="F4451" t="inlineStr">
        <is>
          <t>KALMAR LÄN</t>
        </is>
      </c>
      <c r="G4451" t="inlineStr">
        <is>
          <t>NYBRO</t>
        </is>
      </c>
      <c r="I4451" t="n">
        <v>1.6</v>
      </c>
      <c r="J4451" t="n">
        <v>0</v>
      </c>
      <c r="K4451" t="n">
        <v>0</v>
      </c>
      <c r="L4451" t="n">
        <v>0</v>
      </c>
      <c r="M4451" t="n">
        <v>0</v>
      </c>
      <c r="N4451" t="n">
        <v>0</v>
      </c>
      <c r="O4451" t="n">
        <v>0</v>
      </c>
      <c r="P4451" t="n">
        <v>0</v>
      </c>
      <c r="Q4451" t="n">
        <v>0</v>
      </c>
      <c r="R4451" t="n">
        <v>0</v>
      </c>
      <c r="S4451" t="n">
        <v>0</v>
      </c>
      <c r="T4451" t="n">
        <v>0</v>
      </c>
      <c r="U4451" t="n">
        <v>0</v>
      </c>
      <c r="V4451" s="2" t="inlineStr"/>
    </row>
    <row r="4452" ht="15" customHeight="1">
      <c r="A4452" t="inlineStr">
        <is>
          <t>A 9688-2026</t>
        </is>
      </c>
      <c r="B4452" t="inlineStr">
        <is>
          <t>avverkningsanmälan</t>
        </is>
      </c>
      <c r="C4452" t="inlineStr">
        <is>
          <t>Föryngringsavverkning</t>
        </is>
      </c>
      <c r="D4452" s="1" t="n">
        <v>46071</v>
      </c>
      <c r="E4452" s="1" t="n">
        <v>46323</v>
      </c>
      <c r="F4452" t="inlineStr">
        <is>
          <t>KALMAR LÄN</t>
        </is>
      </c>
      <c r="G4452" t="inlineStr">
        <is>
          <t>EMMABODA</t>
        </is>
      </c>
      <c r="H4452" t="inlineStr">
        <is>
          <t>Kyrkan</t>
        </is>
      </c>
      <c r="I4452" t="n">
        <v>1</v>
      </c>
      <c r="J4452" t="n">
        <v>0</v>
      </c>
      <c r="K4452" t="n">
        <v>0</v>
      </c>
      <c r="L4452" t="n">
        <v>0</v>
      </c>
      <c r="M4452" t="n">
        <v>0</v>
      </c>
      <c r="N4452" t="n">
        <v>0</v>
      </c>
      <c r="O4452" t="n">
        <v>0</v>
      </c>
      <c r="P4452" t="n">
        <v>0</v>
      </c>
      <c r="Q4452" t="n">
        <v>0</v>
      </c>
      <c r="R4452" t="n">
        <v>0</v>
      </c>
      <c r="S4452" t="n">
        <v>0</v>
      </c>
      <c r="T4452" t="n">
        <v>0</v>
      </c>
      <c r="U4452" t="n">
        <v>0</v>
      </c>
      <c r="V4452" s="2" t="inlineStr"/>
    </row>
    <row r="4453" ht="15" customHeight="1">
      <c r="A4453" t="inlineStr">
        <is>
          <t>A 27710-2024</t>
        </is>
      </c>
      <c r="B4453" t="inlineStr">
        <is>
          <t>avverkningsanmälan</t>
        </is>
      </c>
      <c r="C4453" t="inlineStr">
        <is>
          <t>Föryngringsavverkning</t>
        </is>
      </c>
      <c r="D4453" s="1" t="n">
        <v>45475</v>
      </c>
      <c r="E4453" s="1" t="n">
        <v>46323</v>
      </c>
      <c r="F4453" t="inlineStr">
        <is>
          <t>KALMAR LÄN</t>
        </is>
      </c>
      <c r="G4453" t="inlineStr">
        <is>
          <t>EMMABODA</t>
        </is>
      </c>
      <c r="I4453" t="n">
        <v>0.7</v>
      </c>
      <c r="J4453" t="n">
        <v>0</v>
      </c>
      <c r="K4453" t="n">
        <v>0</v>
      </c>
      <c r="L4453" t="n">
        <v>0</v>
      </c>
      <c r="M4453" t="n">
        <v>0</v>
      </c>
      <c r="N4453" t="n">
        <v>0</v>
      </c>
      <c r="O4453" t="n">
        <v>0</v>
      </c>
      <c r="P4453" t="n">
        <v>0</v>
      </c>
      <c r="Q4453" t="n">
        <v>0</v>
      </c>
      <c r="R4453" t="n">
        <v>0</v>
      </c>
      <c r="S4453" t="n">
        <v>0</v>
      </c>
      <c r="T4453" t="n">
        <v>0</v>
      </c>
      <c r="U4453" t="n">
        <v>0</v>
      </c>
      <c r="V4453" s="2" t="inlineStr"/>
    </row>
    <row r="4454" ht="15" customHeight="1">
      <c r="A4454" t="inlineStr">
        <is>
          <t>A 9370-2026</t>
        </is>
      </c>
      <c r="B4454" t="inlineStr">
        <is>
          <t>avverkningsanmälan</t>
        </is>
      </c>
      <c r="C4454" t="inlineStr">
        <is>
          <t>Föryngringsavverkning</t>
        </is>
      </c>
      <c r="D4454" s="1" t="n">
        <v>46070</v>
      </c>
      <c r="E4454" s="1" t="n">
        <v>46323</v>
      </c>
      <c r="F4454" t="inlineStr">
        <is>
          <t>KALMAR LÄN</t>
        </is>
      </c>
      <c r="G4454" t="inlineStr">
        <is>
          <t>KALMAR</t>
        </is>
      </c>
      <c r="I4454" t="n">
        <v>0.5</v>
      </c>
      <c r="J4454" t="n">
        <v>0</v>
      </c>
      <c r="K4454" t="n">
        <v>0</v>
      </c>
      <c r="L4454" t="n">
        <v>0</v>
      </c>
      <c r="M4454" t="n">
        <v>0</v>
      </c>
      <c r="N4454" t="n">
        <v>0</v>
      </c>
      <c r="O4454" t="n">
        <v>0</v>
      </c>
      <c r="P4454" t="n">
        <v>0</v>
      </c>
      <c r="Q4454" t="n">
        <v>0</v>
      </c>
      <c r="R4454" t="n">
        <v>0</v>
      </c>
      <c r="S4454" t="n">
        <v>0</v>
      </c>
      <c r="T4454" t="n">
        <v>0</v>
      </c>
      <c r="U4454" t="n">
        <v>0</v>
      </c>
      <c r="V4454" s="2" t="inlineStr"/>
    </row>
    <row r="4455" ht="15" customHeight="1">
      <c r="A4455" t="inlineStr">
        <is>
          <t>A 40095-2022</t>
        </is>
      </c>
      <c r="B4455" t="inlineStr">
        <is>
          <t>avverkningsanmälan</t>
        </is>
      </c>
      <c r="C4455" t="inlineStr">
        <is>
          <t>Föryngringsavverkning</t>
        </is>
      </c>
      <c r="D4455" s="1" t="n">
        <v>44820</v>
      </c>
      <c r="E4455" s="1" t="n">
        <v>46323</v>
      </c>
      <c r="F4455" t="inlineStr">
        <is>
          <t>KALMAR LÄN</t>
        </is>
      </c>
      <c r="G4455" t="inlineStr">
        <is>
          <t>VIMMERBY</t>
        </is>
      </c>
      <c r="I4455" t="n">
        <v>2.4</v>
      </c>
      <c r="J4455" t="n">
        <v>0</v>
      </c>
      <c r="K4455" t="n">
        <v>0</v>
      </c>
      <c r="L4455" t="n">
        <v>0</v>
      </c>
      <c r="M4455" t="n">
        <v>0</v>
      </c>
      <c r="N4455" t="n">
        <v>0</v>
      </c>
      <c r="O4455" t="n">
        <v>0</v>
      </c>
      <c r="P4455" t="n">
        <v>0</v>
      </c>
      <c r="Q4455" t="n">
        <v>0</v>
      </c>
      <c r="R4455" t="n">
        <v>0</v>
      </c>
      <c r="S4455" t="n">
        <v>0</v>
      </c>
      <c r="T4455" t="n">
        <v>0</v>
      </c>
      <c r="U4455" t="n">
        <v>0</v>
      </c>
      <c r="V4455" s="2" t="inlineStr"/>
    </row>
    <row r="4456" ht="15" customHeight="1">
      <c r="A4456" t="inlineStr">
        <is>
          <t>A 61556-2023</t>
        </is>
      </c>
      <c r="B4456" t="inlineStr">
        <is>
          <t>avverkningsanmälan</t>
        </is>
      </c>
      <c r="C4456" t="inlineStr">
        <is>
          <t>Föryngringsavverkning</t>
        </is>
      </c>
      <c r="D4456" s="1" t="n">
        <v>45261</v>
      </c>
      <c r="E4456" s="1" t="n">
        <v>46323</v>
      </c>
      <c r="F4456" t="inlineStr">
        <is>
          <t>KALMAR LÄN</t>
        </is>
      </c>
      <c r="G4456" t="inlineStr">
        <is>
          <t>VÄSTERVIK</t>
        </is>
      </c>
      <c r="H4456" t="inlineStr">
        <is>
          <t>Övriga Aktiebolag</t>
        </is>
      </c>
      <c r="I4456" t="n">
        <v>13.9</v>
      </c>
      <c r="J4456" t="n">
        <v>0</v>
      </c>
      <c r="K4456" t="n">
        <v>0</v>
      </c>
      <c r="L4456" t="n">
        <v>0</v>
      </c>
      <c r="M4456" t="n">
        <v>0</v>
      </c>
      <c r="N4456" t="n">
        <v>0</v>
      </c>
      <c r="O4456" t="n">
        <v>0</v>
      </c>
      <c r="P4456" t="n">
        <v>0</v>
      </c>
      <c r="Q4456" t="n">
        <v>0</v>
      </c>
      <c r="R4456" t="n">
        <v>0</v>
      </c>
      <c r="S4456" t="n">
        <v>0</v>
      </c>
      <c r="T4456" t="n">
        <v>0</v>
      </c>
      <c r="U4456" t="n">
        <v>0</v>
      </c>
      <c r="V4456" s="2" t="inlineStr"/>
    </row>
    <row r="4457" ht="15" customHeight="1">
      <c r="A4457" t="inlineStr">
        <is>
          <t>A 9791-2025</t>
        </is>
      </c>
      <c r="B4457" t="inlineStr">
        <is>
          <t>avverkningsanmälan</t>
        </is>
      </c>
      <c r="C4457" t="inlineStr">
        <is>
          <t>Föryngringsavverkning</t>
        </is>
      </c>
      <c r="D4457" s="1" t="n">
        <v>45716</v>
      </c>
      <c r="E4457" s="1" t="n">
        <v>46323</v>
      </c>
      <c r="F4457" t="inlineStr">
        <is>
          <t>KALMAR LÄN</t>
        </is>
      </c>
      <c r="G4457" t="inlineStr">
        <is>
          <t>EMMABODA</t>
        </is>
      </c>
      <c r="I4457" t="n">
        <v>0.7</v>
      </c>
      <c r="J4457" t="n">
        <v>0</v>
      </c>
      <c r="K4457" t="n">
        <v>0</v>
      </c>
      <c r="L4457" t="n">
        <v>0</v>
      </c>
      <c r="M4457" t="n">
        <v>0</v>
      </c>
      <c r="N4457" t="n">
        <v>0</v>
      </c>
      <c r="O4457" t="n">
        <v>0</v>
      </c>
      <c r="P4457" t="n">
        <v>0</v>
      </c>
      <c r="Q4457" t="n">
        <v>0</v>
      </c>
      <c r="R4457" t="n">
        <v>0</v>
      </c>
      <c r="S4457" t="n">
        <v>0</v>
      </c>
      <c r="T4457" t="n">
        <v>0</v>
      </c>
      <c r="U4457" t="n">
        <v>0</v>
      </c>
      <c r="V4457" s="2" t="inlineStr"/>
    </row>
    <row r="4458" ht="15" customHeight="1">
      <c r="A4458" t="inlineStr">
        <is>
          <t>A 9793-2025</t>
        </is>
      </c>
      <c r="B4458" t="inlineStr">
        <is>
          <t>avverkningsanmälan</t>
        </is>
      </c>
      <c r="C4458" t="inlineStr">
        <is>
          <t>Föryngringsavverkning</t>
        </is>
      </c>
      <c r="D4458" s="1" t="n">
        <v>45716</v>
      </c>
      <c r="E4458" s="1" t="n">
        <v>46323</v>
      </c>
      <c r="F4458" t="inlineStr">
        <is>
          <t>KALMAR LÄN</t>
        </is>
      </c>
      <c r="G4458" t="inlineStr">
        <is>
          <t>TORSÅS</t>
        </is>
      </c>
      <c r="I4458" t="n">
        <v>0.6</v>
      </c>
      <c r="J4458" t="n">
        <v>0</v>
      </c>
      <c r="K4458" t="n">
        <v>0</v>
      </c>
      <c r="L4458" t="n">
        <v>0</v>
      </c>
      <c r="M4458" t="n">
        <v>0</v>
      </c>
      <c r="N4458" t="n">
        <v>0</v>
      </c>
      <c r="O4458" t="n">
        <v>0</v>
      </c>
      <c r="P4458" t="n">
        <v>0</v>
      </c>
      <c r="Q4458" t="n">
        <v>0</v>
      </c>
      <c r="R4458" t="n">
        <v>0</v>
      </c>
      <c r="S4458" t="n">
        <v>0</v>
      </c>
      <c r="T4458" t="n">
        <v>0</v>
      </c>
      <c r="U4458" t="n">
        <v>0</v>
      </c>
      <c r="V4458" s="2" t="inlineStr"/>
    </row>
    <row r="4459" ht="15" customHeight="1">
      <c r="A4459" t="inlineStr">
        <is>
          <t>A 3729-2024</t>
        </is>
      </c>
      <c r="B4459" t="inlineStr">
        <is>
          <t>avverkningsanmälan</t>
        </is>
      </c>
      <c r="C4459" t="inlineStr">
        <is>
          <t>Föryngringsavverkning</t>
        </is>
      </c>
      <c r="D4459" s="1" t="n">
        <v>45321</v>
      </c>
      <c r="E4459" s="1" t="n">
        <v>46323</v>
      </c>
      <c r="F4459" t="inlineStr">
        <is>
          <t>KALMAR LÄN</t>
        </is>
      </c>
      <c r="G4459" t="inlineStr">
        <is>
          <t>HULTSFRED</t>
        </is>
      </c>
      <c r="I4459" t="n">
        <v>3.2</v>
      </c>
      <c r="J4459" t="n">
        <v>0</v>
      </c>
      <c r="K4459" t="n">
        <v>0</v>
      </c>
      <c r="L4459" t="n">
        <v>0</v>
      </c>
      <c r="M4459" t="n">
        <v>0</v>
      </c>
      <c r="N4459" t="n">
        <v>0</v>
      </c>
      <c r="O4459" t="n">
        <v>0</v>
      </c>
      <c r="P4459" t="n">
        <v>0</v>
      </c>
      <c r="Q4459" t="n">
        <v>0</v>
      </c>
      <c r="R4459" t="n">
        <v>0</v>
      </c>
      <c r="S4459" t="n">
        <v>0</v>
      </c>
      <c r="T4459" t="n">
        <v>0</v>
      </c>
      <c r="U4459" t="n">
        <v>0</v>
      </c>
      <c r="V4459" s="2" t="inlineStr"/>
    </row>
    <row r="4460" ht="15" customHeight="1">
      <c r="A4460" t="inlineStr">
        <is>
          <t>A 15494-2024</t>
        </is>
      </c>
      <c r="B4460" t="inlineStr">
        <is>
          <t>avverkningsanmälan</t>
        </is>
      </c>
      <c r="C4460" t="inlineStr">
        <is>
          <t>Föryngringsavverkning</t>
        </is>
      </c>
      <c r="D4460" s="1" t="n">
        <v>45401</v>
      </c>
      <c r="E4460" s="1" t="n">
        <v>46323</v>
      </c>
      <c r="F4460" t="inlineStr">
        <is>
          <t>KALMAR LÄN</t>
        </is>
      </c>
      <c r="G4460" t="inlineStr">
        <is>
          <t>VIMMERBY</t>
        </is>
      </c>
      <c r="I4460" t="n">
        <v>3.2</v>
      </c>
      <c r="J4460" t="n">
        <v>0</v>
      </c>
      <c r="K4460" t="n">
        <v>0</v>
      </c>
      <c r="L4460" t="n">
        <v>0</v>
      </c>
      <c r="M4460" t="n">
        <v>0</v>
      </c>
      <c r="N4460" t="n">
        <v>0</v>
      </c>
      <c r="O4460" t="n">
        <v>0</v>
      </c>
      <c r="P4460" t="n">
        <v>0</v>
      </c>
      <c r="Q4460" t="n">
        <v>0</v>
      </c>
      <c r="R4460" t="n">
        <v>0</v>
      </c>
      <c r="S4460" t="n">
        <v>0</v>
      </c>
      <c r="T4460" t="n">
        <v>0</v>
      </c>
      <c r="U4460" t="n">
        <v>0</v>
      </c>
      <c r="V4460" s="2" t="inlineStr"/>
    </row>
    <row r="4461" ht="15" customHeight="1">
      <c r="A4461" t="inlineStr">
        <is>
          <t>A 9704-2026</t>
        </is>
      </c>
      <c r="B4461" t="inlineStr">
        <is>
          <t>avverkningsanmälan</t>
        </is>
      </c>
      <c r="C4461" t="inlineStr">
        <is>
          <t>Föryngringsavverkning</t>
        </is>
      </c>
      <c r="D4461" s="1" t="n">
        <v>46072</v>
      </c>
      <c r="E4461" s="1" t="n">
        <v>46323</v>
      </c>
      <c r="F4461" t="inlineStr">
        <is>
          <t>KALMAR LÄN</t>
        </is>
      </c>
      <c r="G4461" t="inlineStr">
        <is>
          <t>EMMABODA</t>
        </is>
      </c>
      <c r="I4461" t="n">
        <v>1.2</v>
      </c>
      <c r="J4461" t="n">
        <v>0</v>
      </c>
      <c r="K4461" t="n">
        <v>0</v>
      </c>
      <c r="L4461" t="n">
        <v>0</v>
      </c>
      <c r="M4461" t="n">
        <v>0</v>
      </c>
      <c r="N4461" t="n">
        <v>0</v>
      </c>
      <c r="O4461" t="n">
        <v>0</v>
      </c>
      <c r="P4461" t="n">
        <v>0</v>
      </c>
      <c r="Q4461" t="n">
        <v>0</v>
      </c>
      <c r="R4461" t="n">
        <v>0</v>
      </c>
      <c r="S4461" t="n">
        <v>0</v>
      </c>
      <c r="T4461" t="n">
        <v>0</v>
      </c>
      <c r="U4461" t="n">
        <v>0</v>
      </c>
      <c r="V4461" s="2" t="inlineStr"/>
    </row>
    <row r="4462" ht="15" customHeight="1">
      <c r="A4462" t="inlineStr">
        <is>
          <t>A 9713-2026</t>
        </is>
      </c>
      <c r="B4462" t="inlineStr">
        <is>
          <t>avverkningsanmälan</t>
        </is>
      </c>
      <c r="C4462" t="inlineStr">
        <is>
          <t>Föryngringsavverkning</t>
        </is>
      </c>
      <c r="D4462" s="1" t="n">
        <v>46072</v>
      </c>
      <c r="E4462" s="1" t="n">
        <v>46323</v>
      </c>
      <c r="F4462" t="inlineStr">
        <is>
          <t>KALMAR LÄN</t>
        </is>
      </c>
      <c r="G4462" t="inlineStr">
        <is>
          <t>EMMABODA</t>
        </is>
      </c>
      <c r="I4462" t="n">
        <v>1</v>
      </c>
      <c r="J4462" t="n">
        <v>0</v>
      </c>
      <c r="K4462" t="n">
        <v>0</v>
      </c>
      <c r="L4462" t="n">
        <v>0</v>
      </c>
      <c r="M4462" t="n">
        <v>0</v>
      </c>
      <c r="N4462" t="n">
        <v>0</v>
      </c>
      <c r="O4462" t="n">
        <v>0</v>
      </c>
      <c r="P4462" t="n">
        <v>0</v>
      </c>
      <c r="Q4462" t="n">
        <v>0</v>
      </c>
      <c r="R4462" t="n">
        <v>0</v>
      </c>
      <c r="S4462" t="n">
        <v>0</v>
      </c>
      <c r="T4462" t="n">
        <v>0</v>
      </c>
      <c r="U4462" t="n">
        <v>0</v>
      </c>
      <c r="V4462" s="2" t="inlineStr"/>
    </row>
    <row r="4463" ht="15" customHeight="1">
      <c r="A4463" t="inlineStr">
        <is>
          <t>A 32832-2026</t>
        </is>
      </c>
      <c r="B4463" t="inlineStr">
        <is>
          <t>avverkningsanmälan</t>
        </is>
      </c>
      <c r="C4463" t="inlineStr">
        <is>
          <t>Föryngringsavverkning</t>
        </is>
      </c>
      <c r="D4463" s="1" t="n">
        <v>46243</v>
      </c>
      <c r="E4463" s="1" t="n">
        <v>46323</v>
      </c>
      <c r="F4463" t="inlineStr">
        <is>
          <t>KALMAR LÄN</t>
        </is>
      </c>
      <c r="G4463" t="inlineStr">
        <is>
          <t>OSKARSHAMN</t>
        </is>
      </c>
      <c r="I4463" t="n">
        <v>0.5</v>
      </c>
      <c r="J4463" t="n">
        <v>0</v>
      </c>
      <c r="K4463" t="n">
        <v>0</v>
      </c>
      <c r="L4463" t="n">
        <v>0</v>
      </c>
      <c r="M4463" t="n">
        <v>0</v>
      </c>
      <c r="N4463" t="n">
        <v>0</v>
      </c>
      <c r="O4463" t="n">
        <v>0</v>
      </c>
      <c r="P4463" t="n">
        <v>0</v>
      </c>
      <c r="Q4463" t="n">
        <v>0</v>
      </c>
      <c r="R4463" t="n">
        <v>0</v>
      </c>
      <c r="S4463" t="n">
        <v>0</v>
      </c>
      <c r="T4463" t="n">
        <v>0</v>
      </c>
      <c r="U4463" t="n">
        <v>0</v>
      </c>
      <c r="V4463" s="2" t="inlineStr"/>
    </row>
    <row r="4464" ht="15" customHeight="1">
      <c r="A4464" t="inlineStr">
        <is>
          <t>A 9679-2026</t>
        </is>
      </c>
      <c r="B4464" t="inlineStr">
        <is>
          <t>avverkningsanmälan</t>
        </is>
      </c>
      <c r="C4464" t="inlineStr">
        <is>
          <t>Föryngringsavverkning</t>
        </is>
      </c>
      <c r="D4464" s="1" t="n">
        <v>46072</v>
      </c>
      <c r="E4464" s="1" t="n">
        <v>46323</v>
      </c>
      <c r="F4464" t="inlineStr">
        <is>
          <t>KALMAR LÄN</t>
        </is>
      </c>
      <c r="G4464" t="inlineStr">
        <is>
          <t>NYBRO</t>
        </is>
      </c>
      <c r="I4464" t="n">
        <v>1.2</v>
      </c>
      <c r="J4464" t="n">
        <v>0</v>
      </c>
      <c r="K4464" t="n">
        <v>0</v>
      </c>
      <c r="L4464" t="n">
        <v>0</v>
      </c>
      <c r="M4464" t="n">
        <v>0</v>
      </c>
      <c r="N4464" t="n">
        <v>0</v>
      </c>
      <c r="O4464" t="n">
        <v>0</v>
      </c>
      <c r="P4464" t="n">
        <v>0</v>
      </c>
      <c r="Q4464" t="n">
        <v>0</v>
      </c>
      <c r="R4464" t="n">
        <v>0</v>
      </c>
      <c r="S4464" t="n">
        <v>0</v>
      </c>
      <c r="T4464" t="n">
        <v>0</v>
      </c>
      <c r="U4464" t="n">
        <v>0</v>
      </c>
      <c r="V4464" s="2" t="inlineStr"/>
    </row>
    <row r="4465" ht="15" customHeight="1">
      <c r="A4465" t="inlineStr">
        <is>
          <t>A 19537-2022</t>
        </is>
      </c>
      <c r="B4465" t="inlineStr">
        <is>
          <t>avverkningsanmälan</t>
        </is>
      </c>
      <c r="C4465" t="inlineStr">
        <is>
          <t>Föryngringsavverkning</t>
        </is>
      </c>
      <c r="D4465" s="1" t="n">
        <v>44693</v>
      </c>
      <c r="E4465" s="1" t="n">
        <v>46323</v>
      </c>
      <c r="F4465" t="inlineStr">
        <is>
          <t>KALMAR LÄN</t>
        </is>
      </c>
      <c r="G4465" t="inlineStr">
        <is>
          <t>VIMMERBY</t>
        </is>
      </c>
      <c r="H4465" t="inlineStr">
        <is>
          <t>Sveaskog</t>
        </is>
      </c>
      <c r="I4465" t="n">
        <v>1.7</v>
      </c>
      <c r="J4465" t="n">
        <v>0</v>
      </c>
      <c r="K4465" t="n">
        <v>0</v>
      </c>
      <c r="L4465" t="n">
        <v>0</v>
      </c>
      <c r="M4465" t="n">
        <v>0</v>
      </c>
      <c r="N4465" t="n">
        <v>0</v>
      </c>
      <c r="O4465" t="n">
        <v>0</v>
      </c>
      <c r="P4465" t="n">
        <v>0</v>
      </c>
      <c r="Q4465" t="n">
        <v>0</v>
      </c>
      <c r="R4465" t="n">
        <v>0</v>
      </c>
      <c r="S4465" t="n">
        <v>0</v>
      </c>
      <c r="T4465" t="n">
        <v>0</v>
      </c>
      <c r="U4465" t="n">
        <v>0</v>
      </c>
      <c r="V4465" s="2" t="inlineStr"/>
    </row>
    <row r="4466" ht="15" customHeight="1">
      <c r="A4466" t="inlineStr">
        <is>
          <t>A 63153-2025</t>
        </is>
      </c>
      <c r="B4466" t="inlineStr">
        <is>
          <t>avverkningsanmälan</t>
        </is>
      </c>
      <c r="C4466" t="inlineStr">
        <is>
          <t>Föryngringsavverkning</t>
        </is>
      </c>
      <c r="D4466" s="1" t="n">
        <v>46010</v>
      </c>
      <c r="E4466" s="1" t="n">
        <v>46323</v>
      </c>
      <c r="F4466" t="inlineStr">
        <is>
          <t>KALMAR LÄN</t>
        </is>
      </c>
      <c r="G4466" t="inlineStr">
        <is>
          <t>HULTSFRED</t>
        </is>
      </c>
      <c r="I4466" t="n">
        <v>2</v>
      </c>
      <c r="J4466" t="n">
        <v>0</v>
      </c>
      <c r="K4466" t="n">
        <v>0</v>
      </c>
      <c r="L4466" t="n">
        <v>0</v>
      </c>
      <c r="M4466" t="n">
        <v>0</v>
      </c>
      <c r="N4466" t="n">
        <v>0</v>
      </c>
      <c r="O4466" t="n">
        <v>0</v>
      </c>
      <c r="P4466" t="n">
        <v>0</v>
      </c>
      <c r="Q4466" t="n">
        <v>0</v>
      </c>
      <c r="R4466" t="n">
        <v>0</v>
      </c>
      <c r="S4466" t="n">
        <v>0</v>
      </c>
      <c r="T4466" t="n">
        <v>0</v>
      </c>
      <c r="U4466" t="n">
        <v>0</v>
      </c>
      <c r="V4466" s="2" t="inlineStr"/>
    </row>
    <row r="4467" ht="15" customHeight="1">
      <c r="A4467" t="inlineStr">
        <is>
          <t>A 57823-2023</t>
        </is>
      </c>
      <c r="B4467" t="inlineStr">
        <is>
          <t>avverkningsanmälan</t>
        </is>
      </c>
      <c r="C4467" t="inlineStr">
        <is>
          <t>Föryngringsavverkning</t>
        </is>
      </c>
      <c r="D4467" s="1" t="n">
        <v>45244</v>
      </c>
      <c r="E4467" s="1" t="n">
        <v>46323</v>
      </c>
      <c r="F4467" t="inlineStr">
        <is>
          <t>KALMAR LÄN</t>
        </is>
      </c>
      <c r="G4467" t="inlineStr">
        <is>
          <t>NYBRO</t>
        </is>
      </c>
      <c r="I4467" t="n">
        <v>1.8</v>
      </c>
      <c r="J4467" t="n">
        <v>0</v>
      </c>
      <c r="K4467" t="n">
        <v>0</v>
      </c>
      <c r="L4467" t="n">
        <v>0</v>
      </c>
      <c r="M4467" t="n">
        <v>0</v>
      </c>
      <c r="N4467" t="n">
        <v>0</v>
      </c>
      <c r="O4467" t="n">
        <v>0</v>
      </c>
      <c r="P4467" t="n">
        <v>0</v>
      </c>
      <c r="Q4467" t="n">
        <v>0</v>
      </c>
      <c r="R4467" t="n">
        <v>0</v>
      </c>
      <c r="S4467" t="n">
        <v>0</v>
      </c>
      <c r="T4467" t="n">
        <v>0</v>
      </c>
      <c r="U4467" t="n">
        <v>0</v>
      </c>
      <c r="V4467" s="2" t="inlineStr"/>
    </row>
    <row r="4468" ht="15" customHeight="1">
      <c r="A4468" t="inlineStr">
        <is>
          <t>A 38970-2026</t>
        </is>
      </c>
      <c r="B4468" t="inlineStr">
        <is>
          <t>avverkningsanmälan</t>
        </is>
      </c>
      <c r="C4468" t="inlineStr">
        <is>
          <t>Föryngringsavverkning</t>
        </is>
      </c>
      <c r="D4468" s="1" t="n">
        <v>46286</v>
      </c>
      <c r="E4468" s="1" t="n">
        <v>46323</v>
      </c>
      <c r="F4468" t="inlineStr">
        <is>
          <t>KALMAR LÄN</t>
        </is>
      </c>
      <c r="G4468" t="inlineStr">
        <is>
          <t>EMMABODA</t>
        </is>
      </c>
      <c r="I4468" t="n">
        <v>0.5</v>
      </c>
      <c r="J4468" t="n">
        <v>0</v>
      </c>
      <c r="K4468" t="n">
        <v>0</v>
      </c>
      <c r="L4468" t="n">
        <v>0</v>
      </c>
      <c r="M4468" t="n">
        <v>0</v>
      </c>
      <c r="N4468" t="n">
        <v>0</v>
      </c>
      <c r="O4468" t="n">
        <v>0</v>
      </c>
      <c r="P4468" t="n">
        <v>0</v>
      </c>
      <c r="Q4468" t="n">
        <v>0</v>
      </c>
      <c r="R4468" t="n">
        <v>0</v>
      </c>
      <c r="S4468" t="n">
        <v>0</v>
      </c>
      <c r="T4468" t="n">
        <v>0</v>
      </c>
      <c r="U4468" t="n">
        <v>0</v>
      </c>
      <c r="V4468" s="2" t="inlineStr"/>
    </row>
    <row r="4469" ht="15" customHeight="1">
      <c r="A4469" t="inlineStr">
        <is>
          <t>A 26548-2026</t>
        </is>
      </c>
      <c r="B4469" t="inlineStr">
        <is>
          <t>avverkningsanmälan</t>
        </is>
      </c>
      <c r="C4469" t="inlineStr">
        <is>
          <t>Föryngringsavverkning</t>
        </is>
      </c>
      <c r="D4469" s="1" t="n">
        <v>46183</v>
      </c>
      <c r="E4469" s="1" t="n">
        <v>46323</v>
      </c>
      <c r="F4469" t="inlineStr">
        <is>
          <t>KALMAR LÄN</t>
        </is>
      </c>
      <c r="G4469" t="inlineStr">
        <is>
          <t>VÄSTERVIK</t>
        </is>
      </c>
      <c r="I4469" t="n">
        <v>4.6</v>
      </c>
      <c r="J4469" t="n">
        <v>0</v>
      </c>
      <c r="K4469" t="n">
        <v>0</v>
      </c>
      <c r="L4469" t="n">
        <v>0</v>
      </c>
      <c r="M4469" t="n">
        <v>0</v>
      </c>
      <c r="N4469" t="n">
        <v>0</v>
      </c>
      <c r="O4469" t="n">
        <v>0</v>
      </c>
      <c r="P4469" t="n">
        <v>0</v>
      </c>
      <c r="Q4469" t="n">
        <v>0</v>
      </c>
      <c r="R4469" t="n">
        <v>0</v>
      </c>
      <c r="S4469" t="n">
        <v>0</v>
      </c>
      <c r="T4469" t="n">
        <v>0</v>
      </c>
      <c r="U4469" t="n">
        <v>0</v>
      </c>
      <c r="V4469" s="2" t="inlineStr"/>
    </row>
    <row r="4470" ht="15" customHeight="1">
      <c r="A4470" t="inlineStr">
        <is>
          <t>A 58971-2023</t>
        </is>
      </c>
      <c r="B4470" t="inlineStr">
        <is>
          <t>avverkningsanmälan</t>
        </is>
      </c>
      <c r="C4470" t="inlineStr">
        <is>
          <t>Föryngringsavverkning</t>
        </is>
      </c>
      <c r="D4470" s="1" t="n">
        <v>45252</v>
      </c>
      <c r="E4470" s="1" t="n">
        <v>46323</v>
      </c>
      <c r="F4470" t="inlineStr">
        <is>
          <t>KALMAR LÄN</t>
        </is>
      </c>
      <c r="G4470" t="inlineStr">
        <is>
          <t>KALMAR</t>
        </is>
      </c>
      <c r="I4470" t="n">
        <v>1.6</v>
      </c>
      <c r="J4470" t="n">
        <v>0</v>
      </c>
      <c r="K4470" t="n">
        <v>0</v>
      </c>
      <c r="L4470" t="n">
        <v>0</v>
      </c>
      <c r="M4470" t="n">
        <v>0</v>
      </c>
      <c r="N4470" t="n">
        <v>0</v>
      </c>
      <c r="O4470" t="n">
        <v>0</v>
      </c>
      <c r="P4470" t="n">
        <v>0</v>
      </c>
      <c r="Q4470" t="n">
        <v>0</v>
      </c>
      <c r="R4470" t="n">
        <v>0</v>
      </c>
      <c r="S4470" t="n">
        <v>0</v>
      </c>
      <c r="T4470" t="n">
        <v>0</v>
      </c>
      <c r="U4470" t="n">
        <v>0</v>
      </c>
      <c r="V4470" s="2" t="inlineStr"/>
    </row>
    <row r="4471" ht="15" customHeight="1">
      <c r="A4471" t="inlineStr">
        <is>
          <t>A 59017-2023</t>
        </is>
      </c>
      <c r="B4471" t="inlineStr">
        <is>
          <t>avverkningsanmälan</t>
        </is>
      </c>
      <c r="C4471" t="inlineStr">
        <is>
          <t>Föryngringsavverkning</t>
        </is>
      </c>
      <c r="D4471" s="1" t="n">
        <v>45252</v>
      </c>
      <c r="E4471" s="1" t="n">
        <v>46323</v>
      </c>
      <c r="F4471" t="inlineStr">
        <is>
          <t>KALMAR LÄN</t>
        </is>
      </c>
      <c r="G4471" t="inlineStr">
        <is>
          <t>TORSÅS</t>
        </is>
      </c>
      <c r="I4471" t="n">
        <v>0.6</v>
      </c>
      <c r="J4471" t="n">
        <v>0</v>
      </c>
      <c r="K4471" t="n">
        <v>0</v>
      </c>
      <c r="L4471" t="n">
        <v>0</v>
      </c>
      <c r="M4471" t="n">
        <v>0</v>
      </c>
      <c r="N4471" t="n">
        <v>0</v>
      </c>
      <c r="O4471" t="n">
        <v>0</v>
      </c>
      <c r="P4471" t="n">
        <v>0</v>
      </c>
      <c r="Q4471" t="n">
        <v>0</v>
      </c>
      <c r="R4471" t="n">
        <v>0</v>
      </c>
      <c r="S4471" t="n">
        <v>0</v>
      </c>
      <c r="T4471" t="n">
        <v>0</v>
      </c>
      <c r="U4471" t="n">
        <v>0</v>
      </c>
      <c r="V4471" s="2" t="inlineStr"/>
    </row>
    <row r="4472" ht="15" customHeight="1">
      <c r="A4472" t="inlineStr">
        <is>
          <t>A 25131-2026</t>
        </is>
      </c>
      <c r="B4472" t="inlineStr">
        <is>
          <t>avverkningsanmälan</t>
        </is>
      </c>
      <c r="C4472" t="inlineStr">
        <is>
          <t>Föryngringsavverkning</t>
        </is>
      </c>
      <c r="D4472" s="1" t="n">
        <v>46175</v>
      </c>
      <c r="E4472" s="1" t="n">
        <v>46323</v>
      </c>
      <c r="F4472" t="inlineStr">
        <is>
          <t>KALMAR LÄN</t>
        </is>
      </c>
      <c r="G4472" t="inlineStr">
        <is>
          <t>NYBRO</t>
        </is>
      </c>
      <c r="I4472" t="n">
        <v>0.9</v>
      </c>
      <c r="J4472" t="n">
        <v>0</v>
      </c>
      <c r="K4472" t="n">
        <v>0</v>
      </c>
      <c r="L4472" t="n">
        <v>0</v>
      </c>
      <c r="M4472" t="n">
        <v>0</v>
      </c>
      <c r="N4472" t="n">
        <v>0</v>
      </c>
      <c r="O4472" t="n">
        <v>0</v>
      </c>
      <c r="P4472" t="n">
        <v>0</v>
      </c>
      <c r="Q4472" t="n">
        <v>0</v>
      </c>
      <c r="R4472" t="n">
        <v>0</v>
      </c>
      <c r="S4472" t="n">
        <v>0</v>
      </c>
      <c r="T4472" t="n">
        <v>0</v>
      </c>
      <c r="U4472" t="n">
        <v>0</v>
      </c>
      <c r="V4472" s="2" t="inlineStr"/>
    </row>
    <row r="4473" ht="15" customHeight="1">
      <c r="A4473" t="inlineStr">
        <is>
          <t>A 38821-2026</t>
        </is>
      </c>
      <c r="B4473" t="inlineStr">
        <is>
          <t>avverkningsanmälan</t>
        </is>
      </c>
      <c r="C4473" t="inlineStr">
        <is>
          <t>Föryngringsavverkning</t>
        </is>
      </c>
      <c r="D4473" s="1" t="n">
        <v>46286</v>
      </c>
      <c r="E4473" s="1" t="n">
        <v>46323</v>
      </c>
      <c r="F4473" t="inlineStr">
        <is>
          <t>KALMAR LÄN</t>
        </is>
      </c>
      <c r="G4473" t="inlineStr">
        <is>
          <t>HÖGSBY</t>
        </is>
      </c>
      <c r="I4473" t="n">
        <v>4.7</v>
      </c>
      <c r="J4473" t="n">
        <v>0</v>
      </c>
      <c r="K4473" t="n">
        <v>0</v>
      </c>
      <c r="L4473" t="n">
        <v>0</v>
      </c>
      <c r="M4473" t="n">
        <v>0</v>
      </c>
      <c r="N4473" t="n">
        <v>0</v>
      </c>
      <c r="O4473" t="n">
        <v>0</v>
      </c>
      <c r="P4473" t="n">
        <v>0</v>
      </c>
      <c r="Q4473" t="n">
        <v>0</v>
      </c>
      <c r="R4473" t="n">
        <v>0</v>
      </c>
      <c r="S4473" t="n">
        <v>0</v>
      </c>
      <c r="T4473" t="n">
        <v>0</v>
      </c>
      <c r="U4473" t="n">
        <v>0</v>
      </c>
      <c r="V4473" s="2" t="inlineStr"/>
    </row>
    <row r="4474" ht="15" customHeight="1">
      <c r="A4474" t="inlineStr">
        <is>
          <t>A 8641-2026</t>
        </is>
      </c>
      <c r="B4474" t="inlineStr">
        <is>
          <t>avverkningsanmälan</t>
        </is>
      </c>
      <c r="C4474" t="inlineStr">
        <is>
          <t>Avverkning för att bevara och utveckla /försöksver</t>
        </is>
      </c>
      <c r="D4474" s="1" t="n">
        <v>46066</v>
      </c>
      <c r="E4474" s="1" t="n">
        <v>46323</v>
      </c>
      <c r="F4474" t="inlineStr">
        <is>
          <t>KALMAR LÄN</t>
        </is>
      </c>
      <c r="G4474" t="inlineStr">
        <is>
          <t>HULTSFRED</t>
        </is>
      </c>
      <c r="I4474" t="n">
        <v>8.4</v>
      </c>
      <c r="J4474" t="n">
        <v>0</v>
      </c>
      <c r="K4474" t="n">
        <v>0</v>
      </c>
      <c r="L4474" t="n">
        <v>0</v>
      </c>
      <c r="M4474" t="n">
        <v>0</v>
      </c>
      <c r="N4474" t="n">
        <v>0</v>
      </c>
      <c r="O4474" t="n">
        <v>0</v>
      </c>
      <c r="P4474" t="n">
        <v>0</v>
      </c>
      <c r="Q4474" t="n">
        <v>0</v>
      </c>
      <c r="R4474" t="n">
        <v>0</v>
      </c>
      <c r="S4474" t="n">
        <v>0</v>
      </c>
      <c r="T4474" t="n">
        <v>0</v>
      </c>
      <c r="U4474" t="n">
        <v>0</v>
      </c>
      <c r="V4474" s="2" t="inlineStr"/>
    </row>
    <row r="4475" ht="15" customHeight="1">
      <c r="A4475" t="inlineStr">
        <is>
          <t>A 9723-2026</t>
        </is>
      </c>
      <c r="B4475" t="inlineStr">
        <is>
          <t>avverkningsanmälan</t>
        </is>
      </c>
      <c r="C4475" t="inlineStr">
        <is>
          <t>Föryngringsavverkning</t>
        </is>
      </c>
      <c r="D4475" s="1" t="n">
        <v>46071</v>
      </c>
      <c r="E4475" s="1" t="n">
        <v>46323</v>
      </c>
      <c r="F4475" t="inlineStr">
        <is>
          <t>KALMAR LÄN</t>
        </is>
      </c>
      <c r="G4475" t="inlineStr">
        <is>
          <t>EMMABODA</t>
        </is>
      </c>
      <c r="H4475" t="inlineStr">
        <is>
          <t>Kyrkan</t>
        </is>
      </c>
      <c r="I4475" t="n">
        <v>0.5</v>
      </c>
      <c r="J4475" t="n">
        <v>0</v>
      </c>
      <c r="K4475" t="n">
        <v>0</v>
      </c>
      <c r="L4475" t="n">
        <v>0</v>
      </c>
      <c r="M4475" t="n">
        <v>0</v>
      </c>
      <c r="N4475" t="n">
        <v>0</v>
      </c>
      <c r="O4475" t="n">
        <v>0</v>
      </c>
      <c r="P4475" t="n">
        <v>0</v>
      </c>
      <c r="Q4475" t="n">
        <v>0</v>
      </c>
      <c r="R4475" t="n">
        <v>0</v>
      </c>
      <c r="S4475" t="n">
        <v>0</v>
      </c>
      <c r="T4475" t="n">
        <v>0</v>
      </c>
      <c r="U4475" t="n">
        <v>0</v>
      </c>
      <c r="V4475" s="2" t="inlineStr"/>
    </row>
    <row r="4476" ht="15" customHeight="1">
      <c r="A4476" t="inlineStr">
        <is>
          <t>A 28530-2026</t>
        </is>
      </c>
      <c r="B4476" t="inlineStr">
        <is>
          <t>avverkningsanmälan</t>
        </is>
      </c>
      <c r="C4476" t="inlineStr">
        <is>
          <t>Föryngringsavverkning</t>
        </is>
      </c>
      <c r="D4476" s="1" t="n">
        <v>46197</v>
      </c>
      <c r="E4476" s="1" t="n">
        <v>46323</v>
      </c>
      <c r="F4476" t="inlineStr">
        <is>
          <t>KALMAR LÄN</t>
        </is>
      </c>
      <c r="G4476" t="inlineStr">
        <is>
          <t>VIMMERBY</t>
        </is>
      </c>
      <c r="I4476" t="n">
        <v>4.6</v>
      </c>
      <c r="J4476" t="n">
        <v>0</v>
      </c>
      <c r="K4476" t="n">
        <v>0</v>
      </c>
      <c r="L4476" t="n">
        <v>0</v>
      </c>
      <c r="M4476" t="n">
        <v>0</v>
      </c>
      <c r="N4476" t="n">
        <v>0</v>
      </c>
      <c r="O4476" t="n">
        <v>0</v>
      </c>
      <c r="P4476" t="n">
        <v>0</v>
      </c>
      <c r="Q4476" t="n">
        <v>0</v>
      </c>
      <c r="R4476" t="n">
        <v>0</v>
      </c>
      <c r="S4476" t="n">
        <v>0</v>
      </c>
      <c r="T4476" t="n">
        <v>0</v>
      </c>
      <c r="U4476" t="n">
        <v>0</v>
      </c>
      <c r="V4476" s="2" t="inlineStr"/>
    </row>
    <row r="4477" ht="15" customHeight="1">
      <c r="A4477" t="inlineStr">
        <is>
          <t>A 13348-2025</t>
        </is>
      </c>
      <c r="B4477" t="inlineStr">
        <is>
          <t>avverkningsanmälan</t>
        </is>
      </c>
      <c r="C4477" t="inlineStr">
        <is>
          <t>Föryngringsavverkning</t>
        </is>
      </c>
      <c r="D4477" s="1" t="n">
        <v>45735</v>
      </c>
      <c r="E4477" s="1" t="n">
        <v>46323</v>
      </c>
      <c r="F4477" t="inlineStr">
        <is>
          <t>KALMAR LÄN</t>
        </is>
      </c>
      <c r="G4477" t="inlineStr">
        <is>
          <t>HULTSFRED</t>
        </is>
      </c>
      <c r="I4477" t="n">
        <v>0.6</v>
      </c>
      <c r="J4477" t="n">
        <v>0</v>
      </c>
      <c r="K4477" t="n">
        <v>0</v>
      </c>
      <c r="L4477" t="n">
        <v>0</v>
      </c>
      <c r="M4477" t="n">
        <v>0</v>
      </c>
      <c r="N4477" t="n">
        <v>0</v>
      </c>
      <c r="O4477" t="n">
        <v>0</v>
      </c>
      <c r="P4477" t="n">
        <v>0</v>
      </c>
      <c r="Q4477" t="n">
        <v>0</v>
      </c>
      <c r="R4477" t="n">
        <v>0</v>
      </c>
      <c r="S4477" t="n">
        <v>0</v>
      </c>
      <c r="T4477" t="n">
        <v>0</v>
      </c>
      <c r="U4477" t="n">
        <v>0</v>
      </c>
      <c r="V4477" s="2" t="inlineStr"/>
    </row>
    <row r="4478" ht="15" customHeight="1">
      <c r="A4478" t="inlineStr">
        <is>
          <t>A 62810-2023</t>
        </is>
      </c>
      <c r="B4478" t="inlineStr">
        <is>
          <t>avverkningsanmälan</t>
        </is>
      </c>
      <c r="C4478" t="inlineStr">
        <is>
          <t>Föryngringsavverkning</t>
        </is>
      </c>
      <c r="D4478" s="1" t="n">
        <v>45271</v>
      </c>
      <c r="E4478" s="1" t="n">
        <v>46323</v>
      </c>
      <c r="F4478" t="inlineStr">
        <is>
          <t>KALMAR LÄN</t>
        </is>
      </c>
      <c r="G4478" t="inlineStr">
        <is>
          <t>HULTSFRED</t>
        </is>
      </c>
      <c r="I4478" t="n">
        <v>1.2</v>
      </c>
      <c r="J4478" t="n">
        <v>0</v>
      </c>
      <c r="K4478" t="n">
        <v>0</v>
      </c>
      <c r="L4478" t="n">
        <v>0</v>
      </c>
      <c r="M4478" t="n">
        <v>0</v>
      </c>
      <c r="N4478" t="n">
        <v>0</v>
      </c>
      <c r="O4478" t="n">
        <v>0</v>
      </c>
      <c r="P4478" t="n">
        <v>0</v>
      </c>
      <c r="Q4478" t="n">
        <v>0</v>
      </c>
      <c r="R4478" t="n">
        <v>0</v>
      </c>
      <c r="S4478" t="n">
        <v>0</v>
      </c>
      <c r="T4478" t="n">
        <v>0</v>
      </c>
      <c r="U4478" t="n">
        <v>0</v>
      </c>
      <c r="V4478" s="2" t="inlineStr"/>
    </row>
    <row r="4479" ht="15" customHeight="1">
      <c r="A4479" t="inlineStr">
        <is>
          <t>A 2671-2024</t>
        </is>
      </c>
      <c r="B4479" t="inlineStr">
        <is>
          <t>avverkningsanmälan</t>
        </is>
      </c>
      <c r="C4479" t="inlineStr">
        <is>
          <t>Föryngringsavverkning</t>
        </is>
      </c>
      <c r="D4479" s="1" t="n">
        <v>45314</v>
      </c>
      <c r="E4479" s="1" t="n">
        <v>46323</v>
      </c>
      <c r="F4479" t="inlineStr">
        <is>
          <t>KALMAR LÄN</t>
        </is>
      </c>
      <c r="G4479" t="inlineStr">
        <is>
          <t>MÖNSTERÅS</t>
        </is>
      </c>
      <c r="I4479" t="n">
        <v>4.9</v>
      </c>
      <c r="J4479" t="n">
        <v>0</v>
      </c>
      <c r="K4479" t="n">
        <v>0</v>
      </c>
      <c r="L4479" t="n">
        <v>0</v>
      </c>
      <c r="M4479" t="n">
        <v>0</v>
      </c>
      <c r="N4479" t="n">
        <v>0</v>
      </c>
      <c r="O4479" t="n">
        <v>0</v>
      </c>
      <c r="P4479" t="n">
        <v>0</v>
      </c>
      <c r="Q4479" t="n">
        <v>0</v>
      </c>
      <c r="R4479" t="n">
        <v>0</v>
      </c>
      <c r="S4479" t="n">
        <v>0</v>
      </c>
      <c r="T4479" t="n">
        <v>0</v>
      </c>
      <c r="U4479" t="n">
        <v>0</v>
      </c>
      <c r="V4479" s="2" t="inlineStr"/>
    </row>
    <row r="4480" ht="15" customHeight="1">
      <c r="A4480" t="inlineStr">
        <is>
          <t>A 44801-2022</t>
        </is>
      </c>
      <c r="B4480" t="inlineStr">
        <is>
          <t>avverkningsanmälan</t>
        </is>
      </c>
      <c r="C4480" t="inlineStr">
        <is>
          <t>Föryngringsavverkning</t>
        </is>
      </c>
      <c r="D4480" s="1" t="n">
        <v>44841</v>
      </c>
      <c r="E4480" s="1" t="n">
        <v>46323</v>
      </c>
      <c r="F4480" t="inlineStr">
        <is>
          <t>KALMAR LÄN</t>
        </is>
      </c>
      <c r="G4480" t="inlineStr">
        <is>
          <t>NYBRO</t>
        </is>
      </c>
      <c r="I4480" t="n">
        <v>7.3</v>
      </c>
      <c r="J4480" t="n">
        <v>0</v>
      </c>
      <c r="K4480" t="n">
        <v>0</v>
      </c>
      <c r="L4480" t="n">
        <v>0</v>
      </c>
      <c r="M4480" t="n">
        <v>0</v>
      </c>
      <c r="N4480" t="n">
        <v>0</v>
      </c>
      <c r="O4480" t="n">
        <v>0</v>
      </c>
      <c r="P4480" t="n">
        <v>0</v>
      </c>
      <c r="Q4480" t="n">
        <v>0</v>
      </c>
      <c r="R4480" t="n">
        <v>0</v>
      </c>
      <c r="S4480" t="n">
        <v>0</v>
      </c>
      <c r="T4480" t="n">
        <v>0</v>
      </c>
      <c r="U4480" t="n">
        <v>0</v>
      </c>
      <c r="V4480" s="2" t="inlineStr"/>
    </row>
    <row r="4481" ht="15" customHeight="1">
      <c r="A4481" t="inlineStr">
        <is>
          <t>A 7719-2025</t>
        </is>
      </c>
      <c r="B4481" t="inlineStr">
        <is>
          <t>avverkningsanmälan</t>
        </is>
      </c>
      <c r="C4481" t="inlineStr">
        <is>
          <t>Föryngringsavverkning</t>
        </is>
      </c>
      <c r="D4481" s="1" t="n">
        <v>45706</v>
      </c>
      <c r="E4481" s="1" t="n">
        <v>46323</v>
      </c>
      <c r="F4481" t="inlineStr">
        <is>
          <t>KALMAR LÄN</t>
        </is>
      </c>
      <c r="G4481" t="inlineStr">
        <is>
          <t>EMMABODA</t>
        </is>
      </c>
      <c r="I4481" t="n">
        <v>0.7</v>
      </c>
      <c r="J4481" t="n">
        <v>0</v>
      </c>
      <c r="K4481" t="n">
        <v>0</v>
      </c>
      <c r="L4481" t="n">
        <v>0</v>
      </c>
      <c r="M4481" t="n">
        <v>0</v>
      </c>
      <c r="N4481" t="n">
        <v>0</v>
      </c>
      <c r="O4481" t="n">
        <v>0</v>
      </c>
      <c r="P4481" t="n">
        <v>0</v>
      </c>
      <c r="Q4481" t="n">
        <v>0</v>
      </c>
      <c r="R4481" t="n">
        <v>0</v>
      </c>
      <c r="S4481" t="n">
        <v>0</v>
      </c>
      <c r="T4481" t="n">
        <v>0</v>
      </c>
      <c r="U4481" t="n">
        <v>0</v>
      </c>
      <c r="V4481" s="2" t="inlineStr"/>
    </row>
    <row r="4482" ht="15" customHeight="1">
      <c r="A4482" t="inlineStr">
        <is>
          <t>A 60742-2023</t>
        </is>
      </c>
      <c r="B4482" t="inlineStr">
        <is>
          <t>avverkningsanmälan</t>
        </is>
      </c>
      <c r="C4482" t="inlineStr">
        <is>
          <t>Föryngringsavverkning</t>
        </is>
      </c>
      <c r="D4482" s="1" t="n">
        <v>45260</v>
      </c>
      <c r="E4482" s="1" t="n">
        <v>46323</v>
      </c>
      <c r="F4482" t="inlineStr">
        <is>
          <t>KALMAR LÄN</t>
        </is>
      </c>
      <c r="G4482" t="inlineStr">
        <is>
          <t>TORSÅS</t>
        </is>
      </c>
      <c r="I4482" t="n">
        <v>1.1</v>
      </c>
      <c r="J4482" t="n">
        <v>0</v>
      </c>
      <c r="K4482" t="n">
        <v>0</v>
      </c>
      <c r="L4482" t="n">
        <v>0</v>
      </c>
      <c r="M4482" t="n">
        <v>0</v>
      </c>
      <c r="N4482" t="n">
        <v>0</v>
      </c>
      <c r="O4482" t="n">
        <v>0</v>
      </c>
      <c r="P4482" t="n">
        <v>0</v>
      </c>
      <c r="Q4482" t="n">
        <v>0</v>
      </c>
      <c r="R4482" t="n">
        <v>0</v>
      </c>
      <c r="S4482" t="n">
        <v>0</v>
      </c>
      <c r="T4482" t="n">
        <v>0</v>
      </c>
      <c r="U4482" t="n">
        <v>0</v>
      </c>
      <c r="V4482" s="2" t="inlineStr"/>
    </row>
    <row r="4483" ht="15" customHeight="1">
      <c r="A4483" t="inlineStr">
        <is>
          <t>A 38807-2026</t>
        </is>
      </c>
      <c r="B4483" t="inlineStr">
        <is>
          <t>avverkningsanmälan</t>
        </is>
      </c>
      <c r="C4483" t="inlineStr">
        <is>
          <t>Föryngringsavverkning</t>
        </is>
      </c>
      <c r="D4483" s="1" t="n">
        <v>46286</v>
      </c>
      <c r="E4483" s="1" t="n">
        <v>46323</v>
      </c>
      <c r="F4483" t="inlineStr">
        <is>
          <t>KALMAR LÄN</t>
        </is>
      </c>
      <c r="G4483" t="inlineStr">
        <is>
          <t>TORSÅS</t>
        </is>
      </c>
      <c r="I4483" t="n">
        <v>6.4</v>
      </c>
      <c r="J4483" t="n">
        <v>0</v>
      </c>
      <c r="K4483" t="n">
        <v>0</v>
      </c>
      <c r="L4483" t="n">
        <v>0</v>
      </c>
      <c r="M4483" t="n">
        <v>0</v>
      </c>
      <c r="N4483" t="n">
        <v>0</v>
      </c>
      <c r="O4483" t="n">
        <v>0</v>
      </c>
      <c r="P4483" t="n">
        <v>0</v>
      </c>
      <c r="Q4483" t="n">
        <v>0</v>
      </c>
      <c r="R4483" t="n">
        <v>0</v>
      </c>
      <c r="S4483" t="n">
        <v>0</v>
      </c>
      <c r="T4483" t="n">
        <v>0</v>
      </c>
      <c r="U4483" t="n">
        <v>0</v>
      </c>
      <c r="V4483" s="2" t="inlineStr"/>
    </row>
    <row r="4484" ht="15" customHeight="1">
      <c r="A4484" t="inlineStr">
        <is>
          <t>A 27217-2022</t>
        </is>
      </c>
      <c r="B4484" t="inlineStr">
        <is>
          <t>avverkningsanmälan</t>
        </is>
      </c>
      <c r="C4484" t="inlineStr">
        <is>
          <t>Föryngringsavverkning</t>
        </is>
      </c>
      <c r="D4484" s="1" t="n">
        <v>44741</v>
      </c>
      <c r="E4484" s="1" t="n">
        <v>46323</v>
      </c>
      <c r="F4484" t="inlineStr">
        <is>
          <t>KALMAR LÄN</t>
        </is>
      </c>
      <c r="G4484" t="inlineStr">
        <is>
          <t>TORSÅS</t>
        </is>
      </c>
      <c r="I4484" t="n">
        <v>1.6</v>
      </c>
      <c r="J4484" t="n">
        <v>0</v>
      </c>
      <c r="K4484" t="n">
        <v>0</v>
      </c>
      <c r="L4484" t="n">
        <v>0</v>
      </c>
      <c r="M4484" t="n">
        <v>0</v>
      </c>
      <c r="N4484" t="n">
        <v>0</v>
      </c>
      <c r="O4484" t="n">
        <v>0</v>
      </c>
      <c r="P4484" t="n">
        <v>0</v>
      </c>
      <c r="Q4484" t="n">
        <v>0</v>
      </c>
      <c r="R4484" t="n">
        <v>0</v>
      </c>
      <c r="S4484" t="n">
        <v>0</v>
      </c>
      <c r="T4484" t="n">
        <v>0</v>
      </c>
      <c r="U4484" t="n">
        <v>0</v>
      </c>
      <c r="V4484" s="2" t="inlineStr"/>
    </row>
    <row r="4485" ht="15" customHeight="1">
      <c r="A4485" t="inlineStr">
        <is>
          <t>A 32788-2026</t>
        </is>
      </c>
      <c r="B4485" t="inlineStr">
        <is>
          <t>avverkningsanmälan</t>
        </is>
      </c>
      <c r="C4485" t="inlineStr">
        <is>
          <t>Avverkning för annat ändamål</t>
        </is>
      </c>
      <c r="D4485" s="1" t="n">
        <v>46241</v>
      </c>
      <c r="E4485" s="1" t="n">
        <v>46323</v>
      </c>
      <c r="F4485" t="inlineStr">
        <is>
          <t>KALMAR LÄN</t>
        </is>
      </c>
      <c r="G4485" t="inlineStr">
        <is>
          <t>NYBRO</t>
        </is>
      </c>
      <c r="I4485" t="n">
        <v>3.7</v>
      </c>
      <c r="J4485" t="n">
        <v>0</v>
      </c>
      <c r="K4485" t="n">
        <v>0</v>
      </c>
      <c r="L4485" t="n">
        <v>0</v>
      </c>
      <c r="M4485" t="n">
        <v>0</v>
      </c>
      <c r="N4485" t="n">
        <v>0</v>
      </c>
      <c r="O4485" t="n">
        <v>0</v>
      </c>
      <c r="P4485" t="n">
        <v>0</v>
      </c>
      <c r="Q4485" t="n">
        <v>0</v>
      </c>
      <c r="R4485" t="n">
        <v>0</v>
      </c>
      <c r="S4485" t="n">
        <v>0</v>
      </c>
      <c r="T4485" t="n">
        <v>0</v>
      </c>
      <c r="U4485" t="n">
        <v>0</v>
      </c>
      <c r="V4485" s="2" t="inlineStr"/>
    </row>
    <row r="4486" ht="15" customHeight="1">
      <c r="A4486" t="inlineStr">
        <is>
          <t>A 57311-2023</t>
        </is>
      </c>
      <c r="B4486" t="inlineStr">
        <is>
          <t>avverkningsanmälan</t>
        </is>
      </c>
      <c r="C4486" t="inlineStr">
        <is>
          <t>Föryngringsavverkning</t>
        </is>
      </c>
      <c r="D4486" s="1" t="n">
        <v>45245</v>
      </c>
      <c r="E4486" s="1" t="n">
        <v>46323</v>
      </c>
      <c r="F4486" t="inlineStr">
        <is>
          <t>KALMAR LÄN</t>
        </is>
      </c>
      <c r="G4486" t="inlineStr">
        <is>
          <t>VIMMERBY</t>
        </is>
      </c>
      <c r="I4486" t="n">
        <v>1.6</v>
      </c>
      <c r="J4486" t="n">
        <v>0</v>
      </c>
      <c r="K4486" t="n">
        <v>0</v>
      </c>
      <c r="L4486" t="n">
        <v>0</v>
      </c>
      <c r="M4486" t="n">
        <v>0</v>
      </c>
      <c r="N4486" t="n">
        <v>0</v>
      </c>
      <c r="O4486" t="n">
        <v>0</v>
      </c>
      <c r="P4486" t="n">
        <v>0</v>
      </c>
      <c r="Q4486" t="n">
        <v>0</v>
      </c>
      <c r="R4486" t="n">
        <v>0</v>
      </c>
      <c r="S4486" t="n">
        <v>0</v>
      </c>
      <c r="T4486" t="n">
        <v>0</v>
      </c>
      <c r="U4486" t="n">
        <v>0</v>
      </c>
      <c r="V4486" s="2" t="inlineStr"/>
    </row>
    <row r="4487" ht="15" customHeight="1">
      <c r="A4487" t="inlineStr">
        <is>
          <t>A 64339-2023</t>
        </is>
      </c>
      <c r="B4487" t="inlineStr">
        <is>
          <t>avverkningsanmälan</t>
        </is>
      </c>
      <c r="C4487" t="inlineStr">
        <is>
          <t>Föryngringsavverkning</t>
        </is>
      </c>
      <c r="D4487" s="1" t="n">
        <v>45280</v>
      </c>
      <c r="E4487" s="1" t="n">
        <v>46323</v>
      </c>
      <c r="F4487" t="inlineStr">
        <is>
          <t>KALMAR LÄN</t>
        </is>
      </c>
      <c r="G4487" t="inlineStr">
        <is>
          <t>MÖNSTERÅS</t>
        </is>
      </c>
      <c r="H4487" t="inlineStr">
        <is>
          <t>Övriga Aktiebolag</t>
        </is>
      </c>
      <c r="I4487" t="n">
        <v>3.6</v>
      </c>
      <c r="J4487" t="n">
        <v>0</v>
      </c>
      <c r="K4487" t="n">
        <v>0</v>
      </c>
      <c r="L4487" t="n">
        <v>0</v>
      </c>
      <c r="M4487" t="n">
        <v>0</v>
      </c>
      <c r="N4487" t="n">
        <v>0</v>
      </c>
      <c r="O4487" t="n">
        <v>0</v>
      </c>
      <c r="P4487" t="n">
        <v>0</v>
      </c>
      <c r="Q4487" t="n">
        <v>0</v>
      </c>
      <c r="R4487" t="n">
        <v>0</v>
      </c>
      <c r="S4487" t="n">
        <v>0</v>
      </c>
      <c r="T4487" t="n">
        <v>0</v>
      </c>
      <c r="U4487" t="n">
        <v>0</v>
      </c>
      <c r="V4487" s="2" t="inlineStr"/>
    </row>
    <row r="4488" ht="15" customHeight="1">
      <c r="A4488" t="inlineStr">
        <is>
          <t>A 64428-2023</t>
        </is>
      </c>
      <c r="B4488" t="inlineStr">
        <is>
          <t>avverkningsanmälan</t>
        </is>
      </c>
      <c r="C4488" t="inlineStr">
        <is>
          <t>Föryngringsavverkning</t>
        </is>
      </c>
      <c r="D4488" s="1" t="n">
        <v>45280</v>
      </c>
      <c r="E4488" s="1" t="n">
        <v>46323</v>
      </c>
      <c r="F4488" t="inlineStr">
        <is>
          <t>KALMAR LÄN</t>
        </is>
      </c>
      <c r="G4488" t="inlineStr">
        <is>
          <t>VIMMERBY</t>
        </is>
      </c>
      <c r="I4488" t="n">
        <v>1.2</v>
      </c>
      <c r="J4488" t="n">
        <v>0</v>
      </c>
      <c r="K4488" t="n">
        <v>0</v>
      </c>
      <c r="L4488" t="n">
        <v>0</v>
      </c>
      <c r="M4488" t="n">
        <v>0</v>
      </c>
      <c r="N4488" t="n">
        <v>0</v>
      </c>
      <c r="O4488" t="n">
        <v>0</v>
      </c>
      <c r="P4488" t="n">
        <v>0</v>
      </c>
      <c r="Q4488" t="n">
        <v>0</v>
      </c>
      <c r="R4488" t="n">
        <v>0</v>
      </c>
      <c r="S4488" t="n">
        <v>0</v>
      </c>
      <c r="T4488" t="n">
        <v>0</v>
      </c>
      <c r="U4488" t="n">
        <v>0</v>
      </c>
      <c r="V4488" s="2" t="inlineStr"/>
    </row>
    <row r="4489" ht="15" customHeight="1">
      <c r="A4489" t="inlineStr">
        <is>
          <t>A 40583-2023</t>
        </is>
      </c>
      <c r="B4489" t="inlineStr">
        <is>
          <t>avverkningsanmälan</t>
        </is>
      </c>
      <c r="C4489" t="inlineStr">
        <is>
          <t>Föryngringsavverkning</t>
        </is>
      </c>
      <c r="D4489" s="1" t="n">
        <v>45170</v>
      </c>
      <c r="E4489" s="1" t="n">
        <v>46323</v>
      </c>
      <c r="F4489" t="inlineStr">
        <is>
          <t>KALMAR LÄN</t>
        </is>
      </c>
      <c r="G4489" t="inlineStr">
        <is>
          <t>KALMAR</t>
        </is>
      </c>
      <c r="I4489" t="n">
        <v>0.9</v>
      </c>
      <c r="J4489" t="n">
        <v>0</v>
      </c>
      <c r="K4489" t="n">
        <v>0</v>
      </c>
      <c r="L4489" t="n">
        <v>0</v>
      </c>
      <c r="M4489" t="n">
        <v>0</v>
      </c>
      <c r="N4489" t="n">
        <v>0</v>
      </c>
      <c r="O4489" t="n">
        <v>0</v>
      </c>
      <c r="P4489" t="n">
        <v>0</v>
      </c>
      <c r="Q4489" t="n">
        <v>0</v>
      </c>
      <c r="R4489" t="n">
        <v>0</v>
      </c>
      <c r="S4489" t="n">
        <v>0</v>
      </c>
      <c r="T4489" t="n">
        <v>0</v>
      </c>
      <c r="U4489" t="n">
        <v>0</v>
      </c>
      <c r="V4489" s="2" t="inlineStr"/>
    </row>
    <row r="4490" ht="15" customHeight="1">
      <c r="A4490" t="inlineStr">
        <is>
          <t>A 11621-2025</t>
        </is>
      </c>
      <c r="B4490" t="inlineStr">
        <is>
          <t>avverkningsanmälan</t>
        </is>
      </c>
      <c r="C4490" t="inlineStr">
        <is>
          <t>Föryngringsavverkning</t>
        </is>
      </c>
      <c r="D4490" s="1" t="n">
        <v>45727</v>
      </c>
      <c r="E4490" s="1" t="n">
        <v>46323</v>
      </c>
      <c r="F4490" t="inlineStr">
        <is>
          <t>KALMAR LÄN</t>
        </is>
      </c>
      <c r="G4490" t="inlineStr">
        <is>
          <t>EMMABODA</t>
        </is>
      </c>
      <c r="I4490" t="n">
        <v>0.5</v>
      </c>
      <c r="J4490" t="n">
        <v>0</v>
      </c>
      <c r="K4490" t="n">
        <v>0</v>
      </c>
      <c r="L4490" t="n">
        <v>0</v>
      </c>
      <c r="M4490" t="n">
        <v>0</v>
      </c>
      <c r="N4490" t="n">
        <v>0</v>
      </c>
      <c r="O4490" t="n">
        <v>0</v>
      </c>
      <c r="P4490" t="n">
        <v>0</v>
      </c>
      <c r="Q4490" t="n">
        <v>0</v>
      </c>
      <c r="R4490" t="n">
        <v>0</v>
      </c>
      <c r="S4490" t="n">
        <v>0</v>
      </c>
      <c r="T4490" t="n">
        <v>0</v>
      </c>
      <c r="U4490" t="n">
        <v>0</v>
      </c>
      <c r="V4490" s="2" t="inlineStr"/>
    </row>
    <row r="4491" ht="15" customHeight="1">
      <c r="A4491" t="inlineStr">
        <is>
          <t>A 4527-2023</t>
        </is>
      </c>
      <c r="B4491" t="inlineStr">
        <is>
          <t>avverkningsanmälan</t>
        </is>
      </c>
      <c r="C4491" t="inlineStr">
        <is>
          <t>Föryngringsavverkning</t>
        </is>
      </c>
      <c r="D4491" s="1" t="n">
        <v>44956</v>
      </c>
      <c r="E4491" s="1" t="n">
        <v>46323</v>
      </c>
      <c r="F4491" t="inlineStr">
        <is>
          <t>KALMAR LÄN</t>
        </is>
      </c>
      <c r="G4491" t="inlineStr">
        <is>
          <t>VIMMERBY</t>
        </is>
      </c>
      <c r="H4491" t="inlineStr">
        <is>
          <t>Kommuner</t>
        </is>
      </c>
      <c r="I4491" t="n">
        <v>8.5</v>
      </c>
      <c r="J4491" t="n">
        <v>0</v>
      </c>
      <c r="K4491" t="n">
        <v>0</v>
      </c>
      <c r="L4491" t="n">
        <v>0</v>
      </c>
      <c r="M4491" t="n">
        <v>0</v>
      </c>
      <c r="N4491" t="n">
        <v>0</v>
      </c>
      <c r="O4491" t="n">
        <v>0</v>
      </c>
      <c r="P4491" t="n">
        <v>0</v>
      </c>
      <c r="Q4491" t="n">
        <v>0</v>
      </c>
      <c r="R4491" t="n">
        <v>0</v>
      </c>
      <c r="S4491" t="n">
        <v>0</v>
      </c>
      <c r="T4491" t="n">
        <v>0</v>
      </c>
      <c r="U4491" t="n">
        <v>0</v>
      </c>
      <c r="V4491" s="2" t="inlineStr"/>
    </row>
    <row r="4492" ht="15" customHeight="1">
      <c r="A4492" t="inlineStr">
        <is>
          <t>A 3268-2024</t>
        </is>
      </c>
      <c r="B4492" t="inlineStr">
        <is>
          <t>avverkningsanmälan</t>
        </is>
      </c>
      <c r="C4492" t="inlineStr">
        <is>
          <t>Föryngringsavverkning</t>
        </is>
      </c>
      <c r="D4492" s="1" t="n">
        <v>45317</v>
      </c>
      <c r="E4492" s="1" t="n">
        <v>46323</v>
      </c>
      <c r="F4492" t="inlineStr">
        <is>
          <t>KALMAR LÄN</t>
        </is>
      </c>
      <c r="G4492" t="inlineStr">
        <is>
          <t>VIMMERBY</t>
        </is>
      </c>
      <c r="H4492" t="inlineStr">
        <is>
          <t>Övriga Aktiebolag</t>
        </is>
      </c>
      <c r="I4492" t="n">
        <v>8.199999999999999</v>
      </c>
      <c r="J4492" t="n">
        <v>0</v>
      </c>
      <c r="K4492" t="n">
        <v>0</v>
      </c>
      <c r="L4492" t="n">
        <v>0</v>
      </c>
      <c r="M4492" t="n">
        <v>0</v>
      </c>
      <c r="N4492" t="n">
        <v>0</v>
      </c>
      <c r="O4492" t="n">
        <v>0</v>
      </c>
      <c r="P4492" t="n">
        <v>0</v>
      </c>
      <c r="Q4492" t="n">
        <v>0</v>
      </c>
      <c r="R4492" t="n">
        <v>0</v>
      </c>
      <c r="S4492" t="n">
        <v>0</v>
      </c>
      <c r="T4492" t="n">
        <v>0</v>
      </c>
      <c r="U4492" t="n">
        <v>0</v>
      </c>
      <c r="V4492" s="2" t="inlineStr"/>
    </row>
    <row r="4493" ht="15" customHeight="1">
      <c r="A4493" t="inlineStr">
        <is>
          <t>A 3356-2024</t>
        </is>
      </c>
      <c r="B4493" t="inlineStr">
        <is>
          <t>avverkningsanmälan</t>
        </is>
      </c>
      <c r="C4493" t="inlineStr">
        <is>
          <t>Föryngringsavverkning</t>
        </is>
      </c>
      <c r="D4493" s="1" t="n">
        <v>45317</v>
      </c>
      <c r="E4493" s="1" t="n">
        <v>46323</v>
      </c>
      <c r="F4493" t="inlineStr">
        <is>
          <t>KALMAR LÄN</t>
        </is>
      </c>
      <c r="G4493" t="inlineStr">
        <is>
          <t>OSKARSHAMN</t>
        </is>
      </c>
      <c r="I4493" t="n">
        <v>0.5</v>
      </c>
      <c r="J4493" t="n">
        <v>0</v>
      </c>
      <c r="K4493" t="n">
        <v>0</v>
      </c>
      <c r="L4493" t="n">
        <v>0</v>
      </c>
      <c r="M4493" t="n">
        <v>0</v>
      </c>
      <c r="N4493" t="n">
        <v>0</v>
      </c>
      <c r="O4493" t="n">
        <v>0</v>
      </c>
      <c r="P4493" t="n">
        <v>0</v>
      </c>
      <c r="Q4493" t="n">
        <v>0</v>
      </c>
      <c r="R4493" t="n">
        <v>0</v>
      </c>
      <c r="S4493" t="n">
        <v>0</v>
      </c>
      <c r="T4493" t="n">
        <v>0</v>
      </c>
      <c r="U4493" t="n">
        <v>0</v>
      </c>
      <c r="V4493" s="2" t="inlineStr"/>
    </row>
    <row r="4494" ht="15" customHeight="1">
      <c r="A4494" t="inlineStr">
        <is>
          <t>A 20536-2025</t>
        </is>
      </c>
      <c r="B4494" t="inlineStr">
        <is>
          <t>avverkningsanmälan</t>
        </is>
      </c>
      <c r="C4494" t="inlineStr">
        <is>
          <t>Föryngringsavverkning</t>
        </is>
      </c>
      <c r="D4494" s="1" t="n">
        <v>45775</v>
      </c>
      <c r="E4494" s="1" t="n">
        <v>46323</v>
      </c>
      <c r="F4494" t="inlineStr">
        <is>
          <t>KALMAR LÄN</t>
        </is>
      </c>
      <c r="G4494" t="inlineStr">
        <is>
          <t>NYBRO</t>
        </is>
      </c>
      <c r="I4494" t="n">
        <v>2.3</v>
      </c>
      <c r="J4494" t="n">
        <v>0</v>
      </c>
      <c r="K4494" t="n">
        <v>0</v>
      </c>
      <c r="L4494" t="n">
        <v>0</v>
      </c>
      <c r="M4494" t="n">
        <v>0</v>
      </c>
      <c r="N4494" t="n">
        <v>0</v>
      </c>
      <c r="O4494" t="n">
        <v>0</v>
      </c>
      <c r="P4494" t="n">
        <v>0</v>
      </c>
      <c r="Q4494" t="n">
        <v>0</v>
      </c>
      <c r="R4494" t="n">
        <v>0</v>
      </c>
      <c r="S4494" t="n">
        <v>0</v>
      </c>
      <c r="T4494" t="n">
        <v>0</v>
      </c>
      <c r="U4494" t="n">
        <v>0</v>
      </c>
      <c r="V4494" s="2" t="inlineStr"/>
    </row>
    <row r="4495" ht="15" customHeight="1">
      <c r="A4495" t="inlineStr">
        <is>
          <t>A 36247-2022</t>
        </is>
      </c>
      <c r="B4495" t="inlineStr">
        <is>
          <t>avverkningsanmälan</t>
        </is>
      </c>
      <c r="C4495" t="inlineStr">
        <is>
          <t>Föryngringsavverkning</t>
        </is>
      </c>
      <c r="D4495" s="1" t="n">
        <v>44803</v>
      </c>
      <c r="E4495" s="1" t="n">
        <v>46323</v>
      </c>
      <c r="F4495" t="inlineStr">
        <is>
          <t>KALMAR LÄN</t>
        </is>
      </c>
      <c r="G4495" t="inlineStr">
        <is>
          <t>NYBRO</t>
        </is>
      </c>
      <c r="I4495" t="n">
        <v>1.7</v>
      </c>
      <c r="J4495" t="n">
        <v>0</v>
      </c>
      <c r="K4495" t="n">
        <v>0</v>
      </c>
      <c r="L4495" t="n">
        <v>0</v>
      </c>
      <c r="M4495" t="n">
        <v>0</v>
      </c>
      <c r="N4495" t="n">
        <v>0</v>
      </c>
      <c r="O4495" t="n">
        <v>0</v>
      </c>
      <c r="P4495" t="n">
        <v>0</v>
      </c>
      <c r="Q4495" t="n">
        <v>0</v>
      </c>
      <c r="R4495" t="n">
        <v>0</v>
      </c>
      <c r="S4495" t="n">
        <v>0</v>
      </c>
      <c r="T4495" t="n">
        <v>0</v>
      </c>
      <c r="U4495" t="n">
        <v>0</v>
      </c>
      <c r="V4495" s="2" t="inlineStr"/>
    </row>
    <row r="4496" ht="15" customHeight="1">
      <c r="A4496" t="inlineStr">
        <is>
          <t>A 34420-2024</t>
        </is>
      </c>
      <c r="B4496" t="inlineStr">
        <is>
          <t>avverkningsanmälan</t>
        </is>
      </c>
      <c r="C4496" t="inlineStr">
        <is>
          <t>Föryngringsavverkning</t>
        </is>
      </c>
      <c r="D4496" s="1" t="n">
        <v>45525</v>
      </c>
      <c r="E4496" s="1" t="n">
        <v>46323</v>
      </c>
      <c r="F4496" t="inlineStr">
        <is>
          <t>KALMAR LÄN</t>
        </is>
      </c>
      <c r="G4496" t="inlineStr">
        <is>
          <t>VÄSTERVIK</t>
        </is>
      </c>
      <c r="H4496" t="inlineStr">
        <is>
          <t>Holmen skog AB</t>
        </is>
      </c>
      <c r="I4496" t="n">
        <v>1.3</v>
      </c>
      <c r="J4496" t="n">
        <v>0</v>
      </c>
      <c r="K4496" t="n">
        <v>0</v>
      </c>
      <c r="L4496" t="n">
        <v>0</v>
      </c>
      <c r="M4496" t="n">
        <v>0</v>
      </c>
      <c r="N4496" t="n">
        <v>0</v>
      </c>
      <c r="O4496" t="n">
        <v>0</v>
      </c>
      <c r="P4496" t="n">
        <v>0</v>
      </c>
      <c r="Q4496" t="n">
        <v>0</v>
      </c>
      <c r="R4496" t="n">
        <v>0</v>
      </c>
      <c r="S4496" t="n">
        <v>0</v>
      </c>
      <c r="T4496" t="n">
        <v>0</v>
      </c>
      <c r="U4496" t="n">
        <v>0</v>
      </c>
      <c r="V4496" s="2" t="inlineStr"/>
    </row>
    <row r="4497" ht="15" customHeight="1">
      <c r="A4497" t="inlineStr">
        <is>
          <t>A 7750-2023</t>
        </is>
      </c>
      <c r="B4497" t="inlineStr">
        <is>
          <t>avverkningsanmälan</t>
        </is>
      </c>
      <c r="C4497" t="inlineStr">
        <is>
          <t>Föryngringsavverkning</t>
        </is>
      </c>
      <c r="D4497" s="1" t="n">
        <v>44973</v>
      </c>
      <c r="E4497" s="1" t="n">
        <v>46323</v>
      </c>
      <c r="F4497" t="inlineStr">
        <is>
          <t>KALMAR LÄN</t>
        </is>
      </c>
      <c r="G4497" t="inlineStr">
        <is>
          <t>KALMAR</t>
        </is>
      </c>
      <c r="I4497" t="n">
        <v>0.4</v>
      </c>
      <c r="J4497" t="n">
        <v>0</v>
      </c>
      <c r="K4497" t="n">
        <v>0</v>
      </c>
      <c r="L4497" t="n">
        <v>0</v>
      </c>
      <c r="M4497" t="n">
        <v>0</v>
      </c>
      <c r="N4497" t="n">
        <v>0</v>
      </c>
      <c r="O4497" t="n">
        <v>0</v>
      </c>
      <c r="P4497" t="n">
        <v>0</v>
      </c>
      <c r="Q4497" t="n">
        <v>0</v>
      </c>
      <c r="R4497" t="n">
        <v>0</v>
      </c>
      <c r="S4497" t="n">
        <v>0</v>
      </c>
      <c r="T4497" t="n">
        <v>0</v>
      </c>
      <c r="U4497" t="n">
        <v>0</v>
      </c>
      <c r="V4497" s="2" t="inlineStr"/>
    </row>
    <row r="4498" ht="15" customHeight="1">
      <c r="A4498" t="inlineStr">
        <is>
          <t>A 12306-2024</t>
        </is>
      </c>
      <c r="B4498" t="inlineStr">
        <is>
          <t>avverkningsanmälan</t>
        </is>
      </c>
      <c r="C4498" t="inlineStr">
        <is>
          <t>Föryngringsavverkning</t>
        </is>
      </c>
      <c r="D4498" s="1" t="n">
        <v>45378</v>
      </c>
      <c r="E4498" s="1" t="n">
        <v>46323</v>
      </c>
      <c r="F4498" t="inlineStr">
        <is>
          <t>KALMAR LÄN</t>
        </is>
      </c>
      <c r="G4498" t="inlineStr">
        <is>
          <t>HULTSFRED</t>
        </is>
      </c>
      <c r="I4498" t="n">
        <v>0.8</v>
      </c>
      <c r="J4498" t="n">
        <v>0</v>
      </c>
      <c r="K4498" t="n">
        <v>0</v>
      </c>
      <c r="L4498" t="n">
        <v>0</v>
      </c>
      <c r="M4498" t="n">
        <v>0</v>
      </c>
      <c r="N4498" t="n">
        <v>0</v>
      </c>
      <c r="O4498" t="n">
        <v>0</v>
      </c>
      <c r="P4498" t="n">
        <v>0</v>
      </c>
      <c r="Q4498" t="n">
        <v>0</v>
      </c>
      <c r="R4498" t="n">
        <v>0</v>
      </c>
      <c r="S4498" t="n">
        <v>0</v>
      </c>
      <c r="T4498" t="n">
        <v>0</v>
      </c>
      <c r="U4498" t="n">
        <v>0</v>
      </c>
      <c r="V4498" s="2" t="inlineStr"/>
    </row>
    <row r="4499" ht="15" customHeight="1">
      <c r="A4499" t="inlineStr">
        <is>
          <t>A 19451-2022</t>
        </is>
      </c>
      <c r="B4499" t="inlineStr">
        <is>
          <t>avverkningsanmälan</t>
        </is>
      </c>
      <c r="C4499" t="inlineStr">
        <is>
          <t>Föryngringsavverkning</t>
        </is>
      </c>
      <c r="D4499" s="1" t="n">
        <v>44693</v>
      </c>
      <c r="E4499" s="1" t="n">
        <v>46323</v>
      </c>
      <c r="F4499" t="inlineStr">
        <is>
          <t>KALMAR LÄN</t>
        </is>
      </c>
      <c r="G4499" t="inlineStr">
        <is>
          <t>NYBRO</t>
        </is>
      </c>
      <c r="H4499" t="inlineStr">
        <is>
          <t>Sveaskog</t>
        </is>
      </c>
      <c r="I4499" t="n">
        <v>1.4</v>
      </c>
      <c r="J4499" t="n">
        <v>0</v>
      </c>
      <c r="K4499" t="n">
        <v>0</v>
      </c>
      <c r="L4499" t="n">
        <v>0</v>
      </c>
      <c r="M4499" t="n">
        <v>0</v>
      </c>
      <c r="N4499" t="n">
        <v>0</v>
      </c>
      <c r="O4499" t="n">
        <v>0</v>
      </c>
      <c r="P4499" t="n">
        <v>0</v>
      </c>
      <c r="Q4499" t="n">
        <v>0</v>
      </c>
      <c r="R4499" t="n">
        <v>0</v>
      </c>
      <c r="S4499" t="n">
        <v>0</v>
      </c>
      <c r="T4499" t="n">
        <v>0</v>
      </c>
      <c r="U4499" t="n">
        <v>0</v>
      </c>
      <c r="V4499" s="2" t="inlineStr"/>
    </row>
    <row r="4500" ht="15" customHeight="1">
      <c r="A4500" t="inlineStr">
        <is>
          <t>A 15109-2025</t>
        </is>
      </c>
      <c r="B4500" t="inlineStr">
        <is>
          <t>avverkningsanmälan</t>
        </is>
      </c>
      <c r="C4500" t="inlineStr">
        <is>
          <t>Föryngringsavverkning</t>
        </is>
      </c>
      <c r="D4500" s="1" t="n">
        <v>45744</v>
      </c>
      <c r="E4500" s="1" t="n">
        <v>46323</v>
      </c>
      <c r="F4500" t="inlineStr">
        <is>
          <t>KALMAR LÄN</t>
        </is>
      </c>
      <c r="G4500" t="inlineStr">
        <is>
          <t>NYBRO</t>
        </is>
      </c>
      <c r="I4500" t="n">
        <v>4</v>
      </c>
      <c r="J4500" t="n">
        <v>0</v>
      </c>
      <c r="K4500" t="n">
        <v>0</v>
      </c>
      <c r="L4500" t="n">
        <v>0</v>
      </c>
      <c r="M4500" t="n">
        <v>0</v>
      </c>
      <c r="N4500" t="n">
        <v>0</v>
      </c>
      <c r="O4500" t="n">
        <v>0</v>
      </c>
      <c r="P4500" t="n">
        <v>0</v>
      </c>
      <c r="Q4500" t="n">
        <v>0</v>
      </c>
      <c r="R4500" t="n">
        <v>0</v>
      </c>
      <c r="S4500" t="n">
        <v>0</v>
      </c>
      <c r="T4500" t="n">
        <v>0</v>
      </c>
      <c r="U4500" t="n">
        <v>0</v>
      </c>
      <c r="V4500" s="2" t="inlineStr"/>
    </row>
    <row r="4501" ht="15" customHeight="1">
      <c r="A4501" t="inlineStr">
        <is>
          <t>A 8117-2026</t>
        </is>
      </c>
      <c r="B4501" t="inlineStr">
        <is>
          <t>avverkningsanmälan</t>
        </is>
      </c>
      <c r="C4501" t="inlineStr">
        <is>
          <t>Föryngringsavverkning</t>
        </is>
      </c>
      <c r="D4501" s="1" t="n">
        <v>46063</v>
      </c>
      <c r="E4501" s="1" t="n">
        <v>46323</v>
      </c>
      <c r="F4501" t="inlineStr">
        <is>
          <t>KALMAR LÄN</t>
        </is>
      </c>
      <c r="G4501" t="inlineStr">
        <is>
          <t>KALMAR</t>
        </is>
      </c>
      <c r="I4501" t="n">
        <v>5.4</v>
      </c>
      <c r="J4501" t="n">
        <v>0</v>
      </c>
      <c r="K4501" t="n">
        <v>0</v>
      </c>
      <c r="L4501" t="n">
        <v>0</v>
      </c>
      <c r="M4501" t="n">
        <v>0</v>
      </c>
      <c r="N4501" t="n">
        <v>0</v>
      </c>
      <c r="O4501" t="n">
        <v>0</v>
      </c>
      <c r="P4501" t="n">
        <v>0</v>
      </c>
      <c r="Q4501" t="n">
        <v>0</v>
      </c>
      <c r="R4501" t="n">
        <v>0</v>
      </c>
      <c r="S4501" t="n">
        <v>0</v>
      </c>
      <c r="T4501" t="n">
        <v>0</v>
      </c>
      <c r="U4501" t="n">
        <v>0</v>
      </c>
      <c r="V4501" s="2" t="inlineStr"/>
    </row>
    <row r="4502" ht="15" customHeight="1">
      <c r="A4502" t="inlineStr">
        <is>
          <t>A 22744-2024</t>
        </is>
      </c>
      <c r="B4502" t="inlineStr">
        <is>
          <t>avverkningsanmälan</t>
        </is>
      </c>
      <c r="C4502" t="inlineStr">
        <is>
          <t>Föryngringsavverkning</t>
        </is>
      </c>
      <c r="D4502" s="1" t="n">
        <v>45448</v>
      </c>
      <c r="E4502" s="1" t="n">
        <v>46323</v>
      </c>
      <c r="F4502" t="inlineStr">
        <is>
          <t>KALMAR LÄN</t>
        </is>
      </c>
      <c r="G4502" t="inlineStr">
        <is>
          <t>NYBRO</t>
        </is>
      </c>
      <c r="I4502" t="n">
        <v>1.8</v>
      </c>
      <c r="J4502" t="n">
        <v>0</v>
      </c>
      <c r="K4502" t="n">
        <v>0</v>
      </c>
      <c r="L4502" t="n">
        <v>0</v>
      </c>
      <c r="M4502" t="n">
        <v>0</v>
      </c>
      <c r="N4502" t="n">
        <v>0</v>
      </c>
      <c r="O4502" t="n">
        <v>0</v>
      </c>
      <c r="P4502" t="n">
        <v>0</v>
      </c>
      <c r="Q4502" t="n">
        <v>0</v>
      </c>
      <c r="R4502" t="n">
        <v>0</v>
      </c>
      <c r="S4502" t="n">
        <v>0</v>
      </c>
      <c r="T4502" t="n">
        <v>0</v>
      </c>
      <c r="U4502" t="n">
        <v>0</v>
      </c>
      <c r="V4502" s="2" t="inlineStr"/>
    </row>
    <row r="4503" ht="15" customHeight="1">
      <c r="A4503" t="inlineStr">
        <is>
          <t>A 51408-2023</t>
        </is>
      </c>
      <c r="B4503" t="inlineStr">
        <is>
          <t>avverkningsanmälan</t>
        </is>
      </c>
      <c r="C4503" t="inlineStr">
        <is>
          <t>Föryngringsavverkning</t>
        </is>
      </c>
      <c r="D4503" s="1" t="n">
        <v>45219</v>
      </c>
      <c r="E4503" s="1" t="n">
        <v>46323</v>
      </c>
      <c r="F4503" t="inlineStr">
        <is>
          <t>KALMAR LÄN</t>
        </is>
      </c>
      <c r="G4503" t="inlineStr">
        <is>
          <t>VIMMERBY</t>
        </is>
      </c>
      <c r="I4503" t="n">
        <v>0.7</v>
      </c>
      <c r="J4503" t="n">
        <v>0</v>
      </c>
      <c r="K4503" t="n">
        <v>0</v>
      </c>
      <c r="L4503" t="n">
        <v>0</v>
      </c>
      <c r="M4503" t="n">
        <v>0</v>
      </c>
      <c r="N4503" t="n">
        <v>0</v>
      </c>
      <c r="O4503" t="n">
        <v>0</v>
      </c>
      <c r="P4503" t="n">
        <v>0</v>
      </c>
      <c r="Q4503" t="n">
        <v>0</v>
      </c>
      <c r="R4503" t="n">
        <v>0</v>
      </c>
      <c r="S4503" t="n">
        <v>0</v>
      </c>
      <c r="T4503" t="n">
        <v>0</v>
      </c>
      <c r="U4503" t="n">
        <v>0</v>
      </c>
      <c r="V4503" s="2" t="inlineStr"/>
    </row>
    <row r="4504" ht="15" customHeight="1">
      <c r="A4504" t="inlineStr">
        <is>
          <t>A 22818-2024</t>
        </is>
      </c>
      <c r="B4504" t="inlineStr">
        <is>
          <t>avverkningsanmälan</t>
        </is>
      </c>
      <c r="C4504" t="inlineStr">
        <is>
          <t>Föryngringsavverkning</t>
        </is>
      </c>
      <c r="D4504" s="1" t="n">
        <v>45448</v>
      </c>
      <c r="E4504" s="1" t="n">
        <v>46323</v>
      </c>
      <c r="F4504" t="inlineStr">
        <is>
          <t>KALMAR LÄN</t>
        </is>
      </c>
      <c r="G4504" t="inlineStr">
        <is>
          <t>OSKARSHAMN</t>
        </is>
      </c>
      <c r="I4504" t="n">
        <v>3.1</v>
      </c>
      <c r="J4504" t="n">
        <v>0</v>
      </c>
      <c r="K4504" t="n">
        <v>0</v>
      </c>
      <c r="L4504" t="n">
        <v>0</v>
      </c>
      <c r="M4504" t="n">
        <v>0</v>
      </c>
      <c r="N4504" t="n">
        <v>0</v>
      </c>
      <c r="O4504" t="n">
        <v>0</v>
      </c>
      <c r="P4504" t="n">
        <v>0</v>
      </c>
      <c r="Q4504" t="n">
        <v>0</v>
      </c>
      <c r="R4504" t="n">
        <v>0</v>
      </c>
      <c r="S4504" t="n">
        <v>0</v>
      </c>
      <c r="T4504" t="n">
        <v>0</v>
      </c>
      <c r="U4504" t="n">
        <v>0</v>
      </c>
      <c r="V4504" s="2" t="inlineStr"/>
    </row>
    <row r="4505" ht="15" customHeight="1">
      <c r="A4505" t="inlineStr">
        <is>
          <t>A 10673-2026</t>
        </is>
      </c>
      <c r="B4505" t="inlineStr">
        <is>
          <t>avverkningsanmälan</t>
        </is>
      </c>
      <c r="C4505" t="inlineStr">
        <is>
          <t>Föryngringsavverkning</t>
        </is>
      </c>
      <c r="D4505" s="1" t="n">
        <v>46078</v>
      </c>
      <c r="E4505" s="1" t="n">
        <v>46323</v>
      </c>
      <c r="F4505" t="inlineStr">
        <is>
          <t>KALMAR LÄN</t>
        </is>
      </c>
      <c r="G4505" t="inlineStr">
        <is>
          <t>EMMABODA</t>
        </is>
      </c>
      <c r="I4505" t="n">
        <v>2.9</v>
      </c>
      <c r="J4505" t="n">
        <v>0</v>
      </c>
      <c r="K4505" t="n">
        <v>0</v>
      </c>
      <c r="L4505" t="n">
        <v>0</v>
      </c>
      <c r="M4505" t="n">
        <v>0</v>
      </c>
      <c r="N4505" t="n">
        <v>0</v>
      </c>
      <c r="O4505" t="n">
        <v>0</v>
      </c>
      <c r="P4505" t="n">
        <v>0</v>
      </c>
      <c r="Q4505" t="n">
        <v>0</v>
      </c>
      <c r="R4505" t="n">
        <v>0</v>
      </c>
      <c r="S4505" t="n">
        <v>0</v>
      </c>
      <c r="T4505" t="n">
        <v>0</v>
      </c>
      <c r="U4505" t="n">
        <v>0</v>
      </c>
      <c r="V4505" s="2" t="inlineStr"/>
    </row>
    <row r="4506" ht="15" customHeight="1">
      <c r="A4506" t="inlineStr">
        <is>
          <t>A 38077-2026</t>
        </is>
      </c>
      <c r="B4506" t="inlineStr">
        <is>
          <t>avverkningsanmälan</t>
        </is>
      </c>
      <c r="C4506" t="inlineStr">
        <is>
          <t>Avverkning för annat ändamål</t>
        </is>
      </c>
      <c r="D4506" s="1" t="n">
        <v>46281</v>
      </c>
      <c r="E4506" s="1" t="n">
        <v>46323</v>
      </c>
      <c r="F4506" t="inlineStr">
        <is>
          <t>KALMAR LÄN</t>
        </is>
      </c>
      <c r="G4506" t="inlineStr">
        <is>
          <t>KALMAR</t>
        </is>
      </c>
      <c r="I4506" t="n">
        <v>2.1</v>
      </c>
      <c r="J4506" t="n">
        <v>0</v>
      </c>
      <c r="K4506" t="n">
        <v>0</v>
      </c>
      <c r="L4506" t="n">
        <v>0</v>
      </c>
      <c r="M4506" t="n">
        <v>0</v>
      </c>
      <c r="N4506" t="n">
        <v>0</v>
      </c>
      <c r="O4506" t="n">
        <v>0</v>
      </c>
      <c r="P4506" t="n">
        <v>0</v>
      </c>
      <c r="Q4506" t="n">
        <v>0</v>
      </c>
      <c r="R4506" t="n">
        <v>0</v>
      </c>
      <c r="S4506" t="n">
        <v>0</v>
      </c>
      <c r="T4506" t="n">
        <v>0</v>
      </c>
      <c r="U4506" t="n">
        <v>0</v>
      </c>
      <c r="V4506" s="2" t="inlineStr"/>
    </row>
    <row r="4507" ht="15" customHeight="1">
      <c r="A4507" t="inlineStr">
        <is>
          <t>A 15018-2024</t>
        </is>
      </c>
      <c r="B4507" t="inlineStr">
        <is>
          <t>avverkningsanmälan</t>
        </is>
      </c>
      <c r="C4507" t="inlineStr">
        <is>
          <t>Föryngringsavverkning</t>
        </is>
      </c>
      <c r="D4507" s="1" t="n">
        <v>45399</v>
      </c>
      <c r="E4507" s="1" t="n">
        <v>46323</v>
      </c>
      <c r="F4507" t="inlineStr">
        <is>
          <t>KALMAR LÄN</t>
        </is>
      </c>
      <c r="G4507" t="inlineStr">
        <is>
          <t>HULTSFRED</t>
        </is>
      </c>
      <c r="I4507" t="n">
        <v>0.5</v>
      </c>
      <c r="J4507" t="n">
        <v>0</v>
      </c>
      <c r="K4507" t="n">
        <v>0</v>
      </c>
      <c r="L4507" t="n">
        <v>0</v>
      </c>
      <c r="M4507" t="n">
        <v>0</v>
      </c>
      <c r="N4507" t="n">
        <v>0</v>
      </c>
      <c r="O4507" t="n">
        <v>0</v>
      </c>
      <c r="P4507" t="n">
        <v>0</v>
      </c>
      <c r="Q4507" t="n">
        <v>0</v>
      </c>
      <c r="R4507" t="n">
        <v>0</v>
      </c>
      <c r="S4507" t="n">
        <v>0</v>
      </c>
      <c r="T4507" t="n">
        <v>0</v>
      </c>
      <c r="U4507" t="n">
        <v>0</v>
      </c>
      <c r="V4507" s="2" t="inlineStr"/>
    </row>
    <row r="4508" ht="15" customHeight="1">
      <c r="A4508" t="inlineStr">
        <is>
          <t>A 38505-2026</t>
        </is>
      </c>
      <c r="B4508" t="inlineStr">
        <is>
          <t>avverkningsanmälan</t>
        </is>
      </c>
      <c r="C4508" t="inlineStr">
        <is>
          <t>Föryngringsavverkning</t>
        </is>
      </c>
      <c r="D4508" s="1" t="n">
        <v>46282</v>
      </c>
      <c r="E4508" s="1" t="n">
        <v>46323</v>
      </c>
      <c r="F4508" t="inlineStr">
        <is>
          <t>KALMAR LÄN</t>
        </is>
      </c>
      <c r="G4508" t="inlineStr">
        <is>
          <t>VÄSTERVIK</t>
        </is>
      </c>
      <c r="I4508" t="n">
        <v>0.6</v>
      </c>
      <c r="J4508" t="n">
        <v>0</v>
      </c>
      <c r="K4508" t="n">
        <v>0</v>
      </c>
      <c r="L4508" t="n">
        <v>0</v>
      </c>
      <c r="M4508" t="n">
        <v>0</v>
      </c>
      <c r="N4508" t="n">
        <v>0</v>
      </c>
      <c r="O4508" t="n">
        <v>0</v>
      </c>
      <c r="P4508" t="n">
        <v>0</v>
      </c>
      <c r="Q4508" t="n">
        <v>0</v>
      </c>
      <c r="R4508" t="n">
        <v>0</v>
      </c>
      <c r="S4508" t="n">
        <v>0</v>
      </c>
      <c r="T4508" t="n">
        <v>0</v>
      </c>
      <c r="U4508" t="n">
        <v>0</v>
      </c>
      <c r="V4508" s="2" t="inlineStr"/>
    </row>
    <row r="4509" ht="15" customHeight="1">
      <c r="A4509" t="inlineStr">
        <is>
          <t>A 51566-2025</t>
        </is>
      </c>
      <c r="B4509" t="inlineStr">
        <is>
          <t>avverkningsanmälan</t>
        </is>
      </c>
      <c r="C4509" t="inlineStr">
        <is>
          <t>Föryngringsavverkning</t>
        </is>
      </c>
      <c r="D4509" s="1" t="n">
        <v>45951</v>
      </c>
      <c r="E4509" s="1" t="n">
        <v>46323</v>
      </c>
      <c r="F4509" t="inlineStr">
        <is>
          <t>KALMAR LÄN</t>
        </is>
      </c>
      <c r="G4509" t="inlineStr">
        <is>
          <t>VÄSTERVIK</t>
        </is>
      </c>
      <c r="I4509" t="n">
        <v>3.4</v>
      </c>
      <c r="J4509" t="n">
        <v>0</v>
      </c>
      <c r="K4509" t="n">
        <v>0</v>
      </c>
      <c r="L4509" t="n">
        <v>0</v>
      </c>
      <c r="M4509" t="n">
        <v>0</v>
      </c>
      <c r="N4509" t="n">
        <v>0</v>
      </c>
      <c r="O4509" t="n">
        <v>0</v>
      </c>
      <c r="P4509" t="n">
        <v>0</v>
      </c>
      <c r="Q4509" t="n">
        <v>0</v>
      </c>
      <c r="R4509" t="n">
        <v>0</v>
      </c>
      <c r="S4509" t="n">
        <v>0</v>
      </c>
      <c r="T4509" t="n">
        <v>0</v>
      </c>
      <c r="U4509" t="n">
        <v>0</v>
      </c>
      <c r="V4509" s="2" t="inlineStr"/>
    </row>
    <row r="4510" ht="15" customHeight="1">
      <c r="A4510" t="inlineStr">
        <is>
          <t>A 11010-2026</t>
        </is>
      </c>
      <c r="B4510" t="inlineStr">
        <is>
          <t>avverkningsanmälan</t>
        </is>
      </c>
      <c r="C4510" t="inlineStr">
        <is>
          <t>Föryngringsavverkning</t>
        </is>
      </c>
      <c r="D4510" s="1" t="n">
        <v>46078</v>
      </c>
      <c r="E4510" s="1" t="n">
        <v>46323</v>
      </c>
      <c r="F4510" t="inlineStr">
        <is>
          <t>KALMAR LÄN</t>
        </is>
      </c>
      <c r="G4510" t="inlineStr">
        <is>
          <t>HULTSFRED</t>
        </is>
      </c>
      <c r="H4510" t="inlineStr">
        <is>
          <t>Kommuner</t>
        </is>
      </c>
      <c r="I4510" t="n">
        <v>0.6</v>
      </c>
      <c r="J4510" t="n">
        <v>0</v>
      </c>
      <c r="K4510" t="n">
        <v>0</v>
      </c>
      <c r="L4510" t="n">
        <v>0</v>
      </c>
      <c r="M4510" t="n">
        <v>0</v>
      </c>
      <c r="N4510" t="n">
        <v>0</v>
      </c>
      <c r="O4510" t="n">
        <v>0</v>
      </c>
      <c r="P4510" t="n">
        <v>0</v>
      </c>
      <c r="Q4510" t="n">
        <v>0</v>
      </c>
      <c r="R4510" t="n">
        <v>0</v>
      </c>
      <c r="S4510" t="n">
        <v>0</v>
      </c>
      <c r="T4510" t="n">
        <v>0</v>
      </c>
      <c r="U4510" t="n">
        <v>0</v>
      </c>
      <c r="V4510" s="2" t="inlineStr"/>
    </row>
    <row r="4511" ht="15" customHeight="1">
      <c r="A4511" t="inlineStr">
        <is>
          <t>A 10710-2026</t>
        </is>
      </c>
      <c r="B4511" t="inlineStr">
        <is>
          <t>avverkningsanmälan</t>
        </is>
      </c>
      <c r="C4511" t="inlineStr">
        <is>
          <t>Föryngringsavverkning</t>
        </is>
      </c>
      <c r="D4511" s="1" t="n">
        <v>46078</v>
      </c>
      <c r="E4511" s="1" t="n">
        <v>46323</v>
      </c>
      <c r="F4511" t="inlineStr">
        <is>
          <t>KALMAR LÄN</t>
        </is>
      </c>
      <c r="G4511" t="inlineStr">
        <is>
          <t>MÖNSTERÅS</t>
        </is>
      </c>
      <c r="I4511" t="n">
        <v>1</v>
      </c>
      <c r="J4511" t="n">
        <v>0</v>
      </c>
      <c r="K4511" t="n">
        <v>0</v>
      </c>
      <c r="L4511" t="n">
        <v>0</v>
      </c>
      <c r="M4511" t="n">
        <v>0</v>
      </c>
      <c r="N4511" t="n">
        <v>0</v>
      </c>
      <c r="O4511" t="n">
        <v>0</v>
      </c>
      <c r="P4511" t="n">
        <v>0</v>
      </c>
      <c r="Q4511" t="n">
        <v>0</v>
      </c>
      <c r="R4511" t="n">
        <v>0</v>
      </c>
      <c r="S4511" t="n">
        <v>0</v>
      </c>
      <c r="T4511" t="n">
        <v>0</v>
      </c>
      <c r="U4511" t="n">
        <v>0</v>
      </c>
      <c r="V4511" s="2" t="inlineStr"/>
    </row>
    <row r="4512" ht="15" customHeight="1">
      <c r="A4512" t="inlineStr">
        <is>
          <t>A 26715-2022</t>
        </is>
      </c>
      <c r="B4512" t="inlineStr">
        <is>
          <t>avverkningsanmälan</t>
        </is>
      </c>
      <c r="C4512" t="inlineStr">
        <is>
          <t>Föryngringsavverkning</t>
        </is>
      </c>
      <c r="D4512" s="1" t="n">
        <v>44739</v>
      </c>
      <c r="E4512" s="1" t="n">
        <v>46323</v>
      </c>
      <c r="F4512" t="inlineStr">
        <is>
          <t>KALMAR LÄN</t>
        </is>
      </c>
      <c r="G4512" t="inlineStr">
        <is>
          <t>NYBRO</t>
        </is>
      </c>
      <c r="I4512" t="n">
        <v>1.3</v>
      </c>
      <c r="J4512" t="n">
        <v>0</v>
      </c>
      <c r="K4512" t="n">
        <v>0</v>
      </c>
      <c r="L4512" t="n">
        <v>0</v>
      </c>
      <c r="M4512" t="n">
        <v>0</v>
      </c>
      <c r="N4512" t="n">
        <v>0</v>
      </c>
      <c r="O4512" t="n">
        <v>0</v>
      </c>
      <c r="P4512" t="n">
        <v>0</v>
      </c>
      <c r="Q4512" t="n">
        <v>0</v>
      </c>
      <c r="R4512" t="n">
        <v>0</v>
      </c>
      <c r="S4512" t="n">
        <v>0</v>
      </c>
      <c r="T4512" t="n">
        <v>0</v>
      </c>
      <c r="U4512" t="n">
        <v>0</v>
      </c>
      <c r="V4512" s="2" t="inlineStr"/>
    </row>
    <row r="4513" ht="15" customHeight="1">
      <c r="A4513" t="inlineStr">
        <is>
          <t>A 63018-2023</t>
        </is>
      </c>
      <c r="B4513" t="inlineStr">
        <is>
          <t>avverkningsanmälan</t>
        </is>
      </c>
      <c r="C4513" t="inlineStr">
        <is>
          <t>Föryngringsavverkning</t>
        </is>
      </c>
      <c r="D4513" s="1" t="n">
        <v>45272</v>
      </c>
      <c r="E4513" s="1" t="n">
        <v>46323</v>
      </c>
      <c r="F4513" t="inlineStr">
        <is>
          <t>KALMAR LÄN</t>
        </is>
      </c>
      <c r="G4513" t="inlineStr">
        <is>
          <t>VÄSTERVIK</t>
        </is>
      </c>
      <c r="I4513" t="n">
        <v>1.7</v>
      </c>
      <c r="J4513" t="n">
        <v>0</v>
      </c>
      <c r="K4513" t="n">
        <v>0</v>
      </c>
      <c r="L4513" t="n">
        <v>0</v>
      </c>
      <c r="M4513" t="n">
        <v>0</v>
      </c>
      <c r="N4513" t="n">
        <v>0</v>
      </c>
      <c r="O4513" t="n">
        <v>0</v>
      </c>
      <c r="P4513" t="n">
        <v>0</v>
      </c>
      <c r="Q4513" t="n">
        <v>0</v>
      </c>
      <c r="R4513" t="n">
        <v>0</v>
      </c>
      <c r="S4513" t="n">
        <v>0</v>
      </c>
      <c r="T4513" t="n">
        <v>0</v>
      </c>
      <c r="U4513" t="n">
        <v>0</v>
      </c>
      <c r="V4513" s="2" t="inlineStr"/>
    </row>
    <row r="4514" ht="15" customHeight="1">
      <c r="A4514" t="inlineStr">
        <is>
          <t>A 23301-2026</t>
        </is>
      </c>
      <c r="B4514" t="inlineStr">
        <is>
          <t>avverkningsanmälan</t>
        </is>
      </c>
      <c r="C4514" t="inlineStr">
        <is>
          <t>Föryngringsavverkning</t>
        </is>
      </c>
      <c r="D4514" s="1" t="n">
        <v>46162</v>
      </c>
      <c r="E4514" s="1" t="n">
        <v>46323</v>
      </c>
      <c r="F4514" t="inlineStr">
        <is>
          <t>KALMAR LÄN</t>
        </is>
      </c>
      <c r="G4514" t="inlineStr">
        <is>
          <t>HULTSFRED</t>
        </is>
      </c>
      <c r="I4514" t="n">
        <v>2.7</v>
      </c>
      <c r="J4514" t="n">
        <v>0</v>
      </c>
      <c r="K4514" t="n">
        <v>0</v>
      </c>
      <c r="L4514" t="n">
        <v>0</v>
      </c>
      <c r="M4514" t="n">
        <v>0</v>
      </c>
      <c r="N4514" t="n">
        <v>0</v>
      </c>
      <c r="O4514" t="n">
        <v>0</v>
      </c>
      <c r="P4514" t="n">
        <v>0</v>
      </c>
      <c r="Q4514" t="n">
        <v>0</v>
      </c>
      <c r="R4514" t="n">
        <v>0</v>
      </c>
      <c r="S4514" t="n">
        <v>0</v>
      </c>
      <c r="T4514" t="n">
        <v>0</v>
      </c>
      <c r="U4514" t="n">
        <v>0</v>
      </c>
      <c r="V4514" s="2" t="inlineStr"/>
    </row>
    <row r="4515" ht="15" customHeight="1">
      <c r="A4515" t="inlineStr">
        <is>
          <t>A 8700-2024</t>
        </is>
      </c>
      <c r="B4515" t="inlineStr">
        <is>
          <t>avverkningsanmälan</t>
        </is>
      </c>
      <c r="C4515" t="inlineStr">
        <is>
          <t>Föryngringsavverkning</t>
        </is>
      </c>
      <c r="D4515" s="1" t="n">
        <v>45356</v>
      </c>
      <c r="E4515" s="1" t="n">
        <v>46323</v>
      </c>
      <c r="F4515" t="inlineStr">
        <is>
          <t>KALMAR LÄN</t>
        </is>
      </c>
      <c r="G4515" t="inlineStr">
        <is>
          <t>KALMAR</t>
        </is>
      </c>
      <c r="I4515" t="n">
        <v>2.5</v>
      </c>
      <c r="J4515" t="n">
        <v>0</v>
      </c>
      <c r="K4515" t="n">
        <v>0</v>
      </c>
      <c r="L4515" t="n">
        <v>0</v>
      </c>
      <c r="M4515" t="n">
        <v>0</v>
      </c>
      <c r="N4515" t="n">
        <v>0</v>
      </c>
      <c r="O4515" t="n">
        <v>0</v>
      </c>
      <c r="P4515" t="n">
        <v>0</v>
      </c>
      <c r="Q4515" t="n">
        <v>0</v>
      </c>
      <c r="R4515" t="n">
        <v>0</v>
      </c>
      <c r="S4515" t="n">
        <v>0</v>
      </c>
      <c r="T4515" t="n">
        <v>0</v>
      </c>
      <c r="U4515" t="n">
        <v>0</v>
      </c>
      <c r="V4515" s="2" t="inlineStr"/>
    </row>
    <row r="4516" ht="15" customHeight="1">
      <c r="A4516" t="inlineStr">
        <is>
          <t>A 46527-2025</t>
        </is>
      </c>
      <c r="B4516" t="inlineStr">
        <is>
          <t>avverkningsanmälan</t>
        </is>
      </c>
      <c r="C4516" t="inlineStr">
        <is>
          <t>Föryngringsavverkning</t>
        </is>
      </c>
      <c r="D4516" s="1" t="n">
        <v>45926</v>
      </c>
      <c r="E4516" s="1" t="n">
        <v>46323</v>
      </c>
      <c r="F4516" t="inlineStr">
        <is>
          <t>KALMAR LÄN</t>
        </is>
      </c>
      <c r="G4516" t="inlineStr">
        <is>
          <t>EMMABODA</t>
        </is>
      </c>
      <c r="I4516" t="n">
        <v>1.2</v>
      </c>
      <c r="J4516" t="n">
        <v>0</v>
      </c>
      <c r="K4516" t="n">
        <v>0</v>
      </c>
      <c r="L4516" t="n">
        <v>0</v>
      </c>
      <c r="M4516" t="n">
        <v>0</v>
      </c>
      <c r="N4516" t="n">
        <v>0</v>
      </c>
      <c r="O4516" t="n">
        <v>0</v>
      </c>
      <c r="P4516" t="n">
        <v>0</v>
      </c>
      <c r="Q4516" t="n">
        <v>0</v>
      </c>
      <c r="R4516" t="n">
        <v>0</v>
      </c>
      <c r="S4516" t="n">
        <v>0</v>
      </c>
      <c r="T4516" t="n">
        <v>0</v>
      </c>
      <c r="U4516" t="n">
        <v>0</v>
      </c>
      <c r="V4516" s="2" t="inlineStr"/>
    </row>
    <row r="4517" ht="15" customHeight="1">
      <c r="A4517" t="inlineStr">
        <is>
          <t>A 28145-2022</t>
        </is>
      </c>
      <c r="B4517" t="inlineStr">
        <is>
          <t>avverkningsanmälan</t>
        </is>
      </c>
      <c r="C4517" t="inlineStr">
        <is>
          <t>Föryngringsavverkning</t>
        </is>
      </c>
      <c r="D4517" s="1" t="n">
        <v>44746</v>
      </c>
      <c r="E4517" s="1" t="n">
        <v>46323</v>
      </c>
      <c r="F4517" t="inlineStr">
        <is>
          <t>KALMAR LÄN</t>
        </is>
      </c>
      <c r="G4517" t="inlineStr">
        <is>
          <t>NYBRO</t>
        </is>
      </c>
      <c r="I4517" t="n">
        <v>8.4</v>
      </c>
      <c r="J4517" t="n">
        <v>0</v>
      </c>
      <c r="K4517" t="n">
        <v>0</v>
      </c>
      <c r="L4517" t="n">
        <v>0</v>
      </c>
      <c r="M4517" t="n">
        <v>0</v>
      </c>
      <c r="N4517" t="n">
        <v>0</v>
      </c>
      <c r="O4517" t="n">
        <v>0</v>
      </c>
      <c r="P4517" t="n">
        <v>0</v>
      </c>
      <c r="Q4517" t="n">
        <v>0</v>
      </c>
      <c r="R4517" t="n">
        <v>0</v>
      </c>
      <c r="S4517" t="n">
        <v>0</v>
      </c>
      <c r="T4517" t="n">
        <v>0</v>
      </c>
      <c r="U4517" t="n">
        <v>0</v>
      </c>
      <c r="V4517" s="2" t="inlineStr"/>
    </row>
    <row r="4518" ht="15" customHeight="1">
      <c r="A4518" t="inlineStr">
        <is>
          <t>A 38827-2026</t>
        </is>
      </c>
      <c r="B4518" t="inlineStr">
        <is>
          <t>avverkningsanmälan</t>
        </is>
      </c>
      <c r="C4518" t="inlineStr">
        <is>
          <t>Föryngringsavverkning</t>
        </is>
      </c>
      <c r="D4518" s="1" t="n">
        <v>46286</v>
      </c>
      <c r="E4518" s="1" t="n">
        <v>46323</v>
      </c>
      <c r="F4518" t="inlineStr">
        <is>
          <t>KALMAR LÄN</t>
        </is>
      </c>
      <c r="G4518" t="inlineStr">
        <is>
          <t>VIMMERBY</t>
        </is>
      </c>
      <c r="I4518" t="n">
        <v>2.1</v>
      </c>
      <c r="J4518" t="n">
        <v>0</v>
      </c>
      <c r="K4518" t="n">
        <v>0</v>
      </c>
      <c r="L4518" t="n">
        <v>0</v>
      </c>
      <c r="M4518" t="n">
        <v>0</v>
      </c>
      <c r="N4518" t="n">
        <v>0</v>
      </c>
      <c r="O4518" t="n">
        <v>0</v>
      </c>
      <c r="P4518" t="n">
        <v>0</v>
      </c>
      <c r="Q4518" t="n">
        <v>0</v>
      </c>
      <c r="R4518" t="n">
        <v>0</v>
      </c>
      <c r="S4518" t="n">
        <v>0</v>
      </c>
      <c r="T4518" t="n">
        <v>0</v>
      </c>
      <c r="U4518" t="n">
        <v>0</v>
      </c>
      <c r="V4518" s="2" t="inlineStr"/>
    </row>
    <row r="4519" ht="15" customHeight="1">
      <c r="A4519" t="inlineStr">
        <is>
          <t>A 35522-2022</t>
        </is>
      </c>
      <c r="B4519" t="inlineStr">
        <is>
          <t>avverkningsanmälan</t>
        </is>
      </c>
      <c r="C4519" t="inlineStr">
        <is>
          <t>Föryngringsavverkning</t>
        </is>
      </c>
      <c r="D4519" s="1" t="n">
        <v>44799</v>
      </c>
      <c r="E4519" s="1" t="n">
        <v>46323</v>
      </c>
      <c r="F4519" t="inlineStr">
        <is>
          <t>KALMAR LÄN</t>
        </is>
      </c>
      <c r="G4519" t="inlineStr">
        <is>
          <t>EMMABODA</t>
        </is>
      </c>
      <c r="I4519" t="n">
        <v>1.1</v>
      </c>
      <c r="J4519" t="n">
        <v>0</v>
      </c>
      <c r="K4519" t="n">
        <v>0</v>
      </c>
      <c r="L4519" t="n">
        <v>0</v>
      </c>
      <c r="M4519" t="n">
        <v>0</v>
      </c>
      <c r="N4519" t="n">
        <v>0</v>
      </c>
      <c r="O4519" t="n">
        <v>0</v>
      </c>
      <c r="P4519" t="n">
        <v>0</v>
      </c>
      <c r="Q4519" t="n">
        <v>0</v>
      </c>
      <c r="R4519" t="n">
        <v>0</v>
      </c>
      <c r="S4519" t="n">
        <v>0</v>
      </c>
      <c r="T4519" t="n">
        <v>0</v>
      </c>
      <c r="U4519" t="n">
        <v>0</v>
      </c>
      <c r="V4519" s="2" t="inlineStr"/>
    </row>
    <row r="4520" ht="15" customHeight="1">
      <c r="A4520" t="inlineStr">
        <is>
          <t>A 38945-2026</t>
        </is>
      </c>
      <c r="B4520" t="inlineStr">
        <is>
          <t>avverkningsanmälan</t>
        </is>
      </c>
      <c r="C4520" t="inlineStr">
        <is>
          <t>Föryngringsavverkning</t>
        </is>
      </c>
      <c r="D4520" s="1" t="n">
        <v>46286</v>
      </c>
      <c r="E4520" s="1" t="n">
        <v>46323</v>
      </c>
      <c r="F4520" t="inlineStr">
        <is>
          <t>KALMAR LÄN</t>
        </is>
      </c>
      <c r="G4520" t="inlineStr">
        <is>
          <t>NYBRO</t>
        </is>
      </c>
      <c r="I4520" t="n">
        <v>2.8</v>
      </c>
      <c r="J4520" t="n">
        <v>0</v>
      </c>
      <c r="K4520" t="n">
        <v>0</v>
      </c>
      <c r="L4520" t="n">
        <v>0</v>
      </c>
      <c r="M4520" t="n">
        <v>0</v>
      </c>
      <c r="N4520" t="n">
        <v>0</v>
      </c>
      <c r="O4520" t="n">
        <v>0</v>
      </c>
      <c r="P4520" t="n">
        <v>0</v>
      </c>
      <c r="Q4520" t="n">
        <v>0</v>
      </c>
      <c r="R4520" t="n">
        <v>0</v>
      </c>
      <c r="S4520" t="n">
        <v>0</v>
      </c>
      <c r="T4520" t="n">
        <v>0</v>
      </c>
      <c r="U4520" t="n">
        <v>0</v>
      </c>
      <c r="V4520" s="2" t="inlineStr"/>
    </row>
    <row r="4521" ht="15" customHeight="1">
      <c r="A4521" t="inlineStr">
        <is>
          <t>A 3467-2025</t>
        </is>
      </c>
      <c r="B4521" t="inlineStr">
        <is>
          <t>avverkningsanmälan</t>
        </is>
      </c>
      <c r="C4521" t="inlineStr">
        <is>
          <t>Föryngringsavverkning</t>
        </is>
      </c>
      <c r="D4521" s="1" t="n">
        <v>45680</v>
      </c>
      <c r="E4521" s="1" t="n">
        <v>46323</v>
      </c>
      <c r="F4521" t="inlineStr">
        <is>
          <t>KALMAR LÄN</t>
        </is>
      </c>
      <c r="G4521" t="inlineStr">
        <is>
          <t>VÄSTERVIK</t>
        </is>
      </c>
      <c r="I4521" t="n">
        <v>2.7</v>
      </c>
      <c r="J4521" t="n">
        <v>0</v>
      </c>
      <c r="K4521" t="n">
        <v>0</v>
      </c>
      <c r="L4521" t="n">
        <v>0</v>
      </c>
      <c r="M4521" t="n">
        <v>0</v>
      </c>
      <c r="N4521" t="n">
        <v>0</v>
      </c>
      <c r="O4521" t="n">
        <v>0</v>
      </c>
      <c r="P4521" t="n">
        <v>0</v>
      </c>
      <c r="Q4521" t="n">
        <v>0</v>
      </c>
      <c r="R4521" t="n">
        <v>0</v>
      </c>
      <c r="S4521" t="n">
        <v>0</v>
      </c>
      <c r="T4521" t="n">
        <v>0</v>
      </c>
      <c r="U4521" t="n">
        <v>0</v>
      </c>
      <c r="V4521" s="2" t="inlineStr"/>
    </row>
    <row r="4522" ht="15" customHeight="1">
      <c r="A4522" t="inlineStr">
        <is>
          <t>A 5175-2024</t>
        </is>
      </c>
      <c r="B4522" t="inlineStr">
        <is>
          <t>avverkningsanmälan</t>
        </is>
      </c>
      <c r="C4522" t="inlineStr">
        <is>
          <t>Föryngringsavverkning</t>
        </is>
      </c>
      <c r="D4522" s="1" t="n">
        <v>45330</v>
      </c>
      <c r="E4522" s="1" t="n">
        <v>46323</v>
      </c>
      <c r="F4522" t="inlineStr">
        <is>
          <t>KALMAR LÄN</t>
        </is>
      </c>
      <c r="G4522" t="inlineStr">
        <is>
          <t>BORGHOLM</t>
        </is>
      </c>
      <c r="I4522" t="n">
        <v>1.5</v>
      </c>
      <c r="J4522" t="n">
        <v>0</v>
      </c>
      <c r="K4522" t="n">
        <v>0</v>
      </c>
      <c r="L4522" t="n">
        <v>0</v>
      </c>
      <c r="M4522" t="n">
        <v>0</v>
      </c>
      <c r="N4522" t="n">
        <v>0</v>
      </c>
      <c r="O4522" t="n">
        <v>0</v>
      </c>
      <c r="P4522" t="n">
        <v>0</v>
      </c>
      <c r="Q4522" t="n">
        <v>0</v>
      </c>
      <c r="R4522" t="n">
        <v>0</v>
      </c>
      <c r="S4522" t="n">
        <v>0</v>
      </c>
      <c r="T4522" t="n">
        <v>0</v>
      </c>
      <c r="U4522" t="n">
        <v>0</v>
      </c>
      <c r="V4522" s="2" t="inlineStr"/>
    </row>
    <row r="4523" ht="15" customHeight="1">
      <c r="A4523" t="inlineStr">
        <is>
          <t>A 10742-2026</t>
        </is>
      </c>
      <c r="B4523" t="inlineStr">
        <is>
          <t>avverkningsanmälan</t>
        </is>
      </c>
      <c r="C4523" t="inlineStr">
        <is>
          <t>Föryngringsavverkning</t>
        </is>
      </c>
      <c r="D4523" s="1" t="n">
        <v>46078</v>
      </c>
      <c r="E4523" s="1" t="n">
        <v>46323</v>
      </c>
      <c r="F4523" t="inlineStr">
        <is>
          <t>KALMAR LÄN</t>
        </is>
      </c>
      <c r="G4523" t="inlineStr">
        <is>
          <t>NYBRO</t>
        </is>
      </c>
      <c r="I4523" t="n">
        <v>1</v>
      </c>
      <c r="J4523" t="n">
        <v>0</v>
      </c>
      <c r="K4523" t="n">
        <v>0</v>
      </c>
      <c r="L4523" t="n">
        <v>0</v>
      </c>
      <c r="M4523" t="n">
        <v>0</v>
      </c>
      <c r="N4523" t="n">
        <v>0</v>
      </c>
      <c r="O4523" t="n">
        <v>0</v>
      </c>
      <c r="P4523" t="n">
        <v>0</v>
      </c>
      <c r="Q4523" t="n">
        <v>0</v>
      </c>
      <c r="R4523" t="n">
        <v>0</v>
      </c>
      <c r="S4523" t="n">
        <v>0</v>
      </c>
      <c r="T4523" t="n">
        <v>0</v>
      </c>
      <c r="U4523" t="n">
        <v>0</v>
      </c>
      <c r="V4523" s="2" t="inlineStr"/>
    </row>
    <row r="4524" ht="15" customHeight="1">
      <c r="A4524" t="inlineStr">
        <is>
          <t>A 52588-2023</t>
        </is>
      </c>
      <c r="B4524" t="inlineStr">
        <is>
          <t>avverkningsanmälan</t>
        </is>
      </c>
      <c r="C4524" t="inlineStr">
        <is>
          <t>Föryngringsavverkning</t>
        </is>
      </c>
      <c r="D4524" s="1" t="n">
        <v>45225</v>
      </c>
      <c r="E4524" s="1" t="n">
        <v>46323</v>
      </c>
      <c r="F4524" t="inlineStr">
        <is>
          <t>KALMAR LÄN</t>
        </is>
      </c>
      <c r="G4524" t="inlineStr">
        <is>
          <t>VIMMERBY</t>
        </is>
      </c>
      <c r="I4524" t="n">
        <v>2.9</v>
      </c>
      <c r="J4524" t="n">
        <v>0</v>
      </c>
      <c r="K4524" t="n">
        <v>0</v>
      </c>
      <c r="L4524" t="n">
        <v>0</v>
      </c>
      <c r="M4524" t="n">
        <v>0</v>
      </c>
      <c r="N4524" t="n">
        <v>0</v>
      </c>
      <c r="O4524" t="n">
        <v>0</v>
      </c>
      <c r="P4524" t="n">
        <v>0</v>
      </c>
      <c r="Q4524" t="n">
        <v>0</v>
      </c>
      <c r="R4524" t="n">
        <v>0</v>
      </c>
      <c r="S4524" t="n">
        <v>0</v>
      </c>
      <c r="T4524" t="n">
        <v>0</v>
      </c>
      <c r="U4524" t="n">
        <v>0</v>
      </c>
      <c r="V4524" s="2" t="inlineStr"/>
    </row>
    <row r="4525" ht="15" customHeight="1">
      <c r="A4525" t="inlineStr">
        <is>
          <t>A 52594-2023</t>
        </is>
      </c>
      <c r="B4525" t="inlineStr">
        <is>
          <t>avverkningsanmälan</t>
        </is>
      </c>
      <c r="C4525" t="inlineStr">
        <is>
          <t>Föryngringsavverkning</t>
        </is>
      </c>
      <c r="D4525" s="1" t="n">
        <v>45225</v>
      </c>
      <c r="E4525" s="1" t="n">
        <v>46323</v>
      </c>
      <c r="F4525" t="inlineStr">
        <is>
          <t>KALMAR LÄN</t>
        </is>
      </c>
      <c r="G4525" t="inlineStr">
        <is>
          <t>TORSÅS</t>
        </is>
      </c>
      <c r="I4525" t="n">
        <v>1.2</v>
      </c>
      <c r="J4525" t="n">
        <v>0</v>
      </c>
      <c r="K4525" t="n">
        <v>0</v>
      </c>
      <c r="L4525" t="n">
        <v>0</v>
      </c>
      <c r="M4525" t="n">
        <v>0</v>
      </c>
      <c r="N4525" t="n">
        <v>0</v>
      </c>
      <c r="O4525" t="n">
        <v>0</v>
      </c>
      <c r="P4525" t="n">
        <v>0</v>
      </c>
      <c r="Q4525" t="n">
        <v>0</v>
      </c>
      <c r="R4525" t="n">
        <v>0</v>
      </c>
      <c r="S4525" t="n">
        <v>0</v>
      </c>
      <c r="T4525" t="n">
        <v>0</v>
      </c>
      <c r="U4525" t="n">
        <v>0</v>
      </c>
      <c r="V4525" s="2" t="inlineStr"/>
    </row>
    <row r="4526" ht="15" customHeight="1">
      <c r="A4526" t="inlineStr">
        <is>
          <t>A 10991-2026</t>
        </is>
      </c>
      <c r="B4526" t="inlineStr">
        <is>
          <t>avverkningsanmälan</t>
        </is>
      </c>
      <c r="C4526" t="inlineStr">
        <is>
          <t>Föryngringsavverkning</t>
        </is>
      </c>
      <c r="D4526" s="1" t="n">
        <v>46079</v>
      </c>
      <c r="E4526" s="1" t="n">
        <v>46323</v>
      </c>
      <c r="F4526" t="inlineStr">
        <is>
          <t>KALMAR LÄN</t>
        </is>
      </c>
      <c r="G4526" t="inlineStr">
        <is>
          <t>EMMABODA</t>
        </is>
      </c>
      <c r="I4526" t="n">
        <v>2</v>
      </c>
      <c r="J4526" t="n">
        <v>0</v>
      </c>
      <c r="K4526" t="n">
        <v>0</v>
      </c>
      <c r="L4526" t="n">
        <v>0</v>
      </c>
      <c r="M4526" t="n">
        <v>0</v>
      </c>
      <c r="N4526" t="n">
        <v>0</v>
      </c>
      <c r="O4526" t="n">
        <v>0</v>
      </c>
      <c r="P4526" t="n">
        <v>0</v>
      </c>
      <c r="Q4526" t="n">
        <v>0</v>
      </c>
      <c r="R4526" t="n">
        <v>0</v>
      </c>
      <c r="S4526" t="n">
        <v>0</v>
      </c>
      <c r="T4526" t="n">
        <v>0</v>
      </c>
      <c r="U4526" t="n">
        <v>0</v>
      </c>
      <c r="V4526" s="2" t="inlineStr"/>
    </row>
    <row r="4527" ht="15" customHeight="1">
      <c r="A4527" t="inlineStr">
        <is>
          <t>A 2212-2024</t>
        </is>
      </c>
      <c r="B4527" t="inlineStr">
        <is>
          <t>avverkningsanmälan</t>
        </is>
      </c>
      <c r="C4527" t="inlineStr">
        <is>
          <t>Föryngringsavverkning</t>
        </is>
      </c>
      <c r="D4527" s="1" t="n">
        <v>45309</v>
      </c>
      <c r="E4527" s="1" t="n">
        <v>46323</v>
      </c>
      <c r="F4527" t="inlineStr">
        <is>
          <t>KALMAR LÄN</t>
        </is>
      </c>
      <c r="G4527" t="inlineStr">
        <is>
          <t>HULTSFRED</t>
        </is>
      </c>
      <c r="I4527" t="n">
        <v>2.9</v>
      </c>
      <c r="J4527" t="n">
        <v>0</v>
      </c>
      <c r="K4527" t="n">
        <v>0</v>
      </c>
      <c r="L4527" t="n">
        <v>0</v>
      </c>
      <c r="M4527" t="n">
        <v>0</v>
      </c>
      <c r="N4527" t="n">
        <v>0</v>
      </c>
      <c r="O4527" t="n">
        <v>0</v>
      </c>
      <c r="P4527" t="n">
        <v>0</v>
      </c>
      <c r="Q4527" t="n">
        <v>0</v>
      </c>
      <c r="R4527" t="n">
        <v>0</v>
      </c>
      <c r="S4527" t="n">
        <v>0</v>
      </c>
      <c r="T4527" t="n">
        <v>0</v>
      </c>
      <c r="U4527" t="n">
        <v>0</v>
      </c>
      <c r="V4527" s="2" t="inlineStr"/>
    </row>
    <row r="4528" ht="15" customHeight="1">
      <c r="A4528" t="inlineStr">
        <is>
          <t>A 10927-2026</t>
        </is>
      </c>
      <c r="B4528" t="inlineStr">
        <is>
          <t>avverkningsanmälan</t>
        </is>
      </c>
      <c r="C4528" t="inlineStr">
        <is>
          <t>Föryngringsavverkning</t>
        </is>
      </c>
      <c r="D4528" s="1" t="n">
        <v>46079</v>
      </c>
      <c r="E4528" s="1" t="n">
        <v>46323</v>
      </c>
      <c r="F4528" t="inlineStr">
        <is>
          <t>KALMAR LÄN</t>
        </is>
      </c>
      <c r="G4528" t="inlineStr">
        <is>
          <t>EMMABODA</t>
        </is>
      </c>
      <c r="I4528" t="n">
        <v>1.2</v>
      </c>
      <c r="J4528" t="n">
        <v>0</v>
      </c>
      <c r="K4528" t="n">
        <v>0</v>
      </c>
      <c r="L4528" t="n">
        <v>0</v>
      </c>
      <c r="M4528" t="n">
        <v>0</v>
      </c>
      <c r="N4528" t="n">
        <v>0</v>
      </c>
      <c r="O4528" t="n">
        <v>0</v>
      </c>
      <c r="P4528" t="n">
        <v>0</v>
      </c>
      <c r="Q4528" t="n">
        <v>0</v>
      </c>
      <c r="R4528" t="n">
        <v>0</v>
      </c>
      <c r="S4528" t="n">
        <v>0</v>
      </c>
      <c r="T4528" t="n">
        <v>0</v>
      </c>
      <c r="U4528" t="n">
        <v>0</v>
      </c>
      <c r="V4528" s="2" t="inlineStr"/>
    </row>
    <row r="4529" ht="15" customHeight="1">
      <c r="A4529" t="inlineStr">
        <is>
          <t>A 11029-2026</t>
        </is>
      </c>
      <c r="B4529" t="inlineStr">
        <is>
          <t>avverkningsanmälan</t>
        </is>
      </c>
      <c r="C4529" t="inlineStr">
        <is>
          <t>Föryngringsavverkning</t>
        </is>
      </c>
      <c r="D4529" s="1" t="n">
        <v>46079</v>
      </c>
      <c r="E4529" s="1" t="n">
        <v>46323</v>
      </c>
      <c r="F4529" t="inlineStr">
        <is>
          <t>KALMAR LÄN</t>
        </is>
      </c>
      <c r="G4529" t="inlineStr">
        <is>
          <t>HÖGSBY</t>
        </is>
      </c>
      <c r="I4529" t="n">
        <v>1.6</v>
      </c>
      <c r="J4529" t="n">
        <v>0</v>
      </c>
      <c r="K4529" t="n">
        <v>0</v>
      </c>
      <c r="L4529" t="n">
        <v>0</v>
      </c>
      <c r="M4529" t="n">
        <v>0</v>
      </c>
      <c r="N4529" t="n">
        <v>0</v>
      </c>
      <c r="O4529" t="n">
        <v>0</v>
      </c>
      <c r="P4529" t="n">
        <v>0</v>
      </c>
      <c r="Q4529" t="n">
        <v>0</v>
      </c>
      <c r="R4529" t="n">
        <v>0</v>
      </c>
      <c r="S4529" t="n">
        <v>0</v>
      </c>
      <c r="T4529" t="n">
        <v>0</v>
      </c>
      <c r="U4529" t="n">
        <v>0</v>
      </c>
      <c r="V4529" s="2" t="inlineStr"/>
    </row>
    <row r="4530" ht="15" customHeight="1">
      <c r="A4530" t="inlineStr">
        <is>
          <t>A 6021-2024</t>
        </is>
      </c>
      <c r="B4530" t="inlineStr">
        <is>
          <t>avverkningsanmälan</t>
        </is>
      </c>
      <c r="C4530" t="inlineStr">
        <is>
          <t>Föryngringsavverkning</t>
        </is>
      </c>
      <c r="D4530" s="1" t="n">
        <v>45336</v>
      </c>
      <c r="E4530" s="1" t="n">
        <v>46323</v>
      </c>
      <c r="F4530" t="inlineStr">
        <is>
          <t>KALMAR LÄN</t>
        </is>
      </c>
      <c r="G4530" t="inlineStr">
        <is>
          <t>VÄSTERVIK</t>
        </is>
      </c>
      <c r="I4530" t="n">
        <v>1.7</v>
      </c>
      <c r="J4530" t="n">
        <v>0</v>
      </c>
      <c r="K4530" t="n">
        <v>0</v>
      </c>
      <c r="L4530" t="n">
        <v>0</v>
      </c>
      <c r="M4530" t="n">
        <v>0</v>
      </c>
      <c r="N4530" t="n">
        <v>0</v>
      </c>
      <c r="O4530" t="n">
        <v>0</v>
      </c>
      <c r="P4530" t="n">
        <v>0</v>
      </c>
      <c r="Q4530" t="n">
        <v>0</v>
      </c>
      <c r="R4530" t="n">
        <v>0</v>
      </c>
      <c r="S4530" t="n">
        <v>0</v>
      </c>
      <c r="T4530" t="n">
        <v>0</v>
      </c>
      <c r="U4530" t="n">
        <v>0</v>
      </c>
      <c r="V4530" s="2" t="inlineStr"/>
    </row>
    <row r="4531" ht="15" customHeight="1">
      <c r="A4531" t="inlineStr">
        <is>
          <t>A 19836-2025</t>
        </is>
      </c>
      <c r="B4531" t="inlineStr">
        <is>
          <t>avverkningsanmälan</t>
        </is>
      </c>
      <c r="C4531" t="inlineStr">
        <is>
          <t>Föryngringsavverkning</t>
        </is>
      </c>
      <c r="D4531" s="1" t="n">
        <v>45771</v>
      </c>
      <c r="E4531" s="1" t="n">
        <v>46323</v>
      </c>
      <c r="F4531" t="inlineStr">
        <is>
          <t>KALMAR LÄN</t>
        </is>
      </c>
      <c r="G4531" t="inlineStr">
        <is>
          <t>HULTSFRED</t>
        </is>
      </c>
      <c r="H4531" t="inlineStr">
        <is>
          <t>Sveaskog</t>
        </is>
      </c>
      <c r="I4531" t="n">
        <v>0.6</v>
      </c>
      <c r="J4531" t="n">
        <v>0</v>
      </c>
      <c r="K4531" t="n">
        <v>0</v>
      </c>
      <c r="L4531" t="n">
        <v>0</v>
      </c>
      <c r="M4531" t="n">
        <v>0</v>
      </c>
      <c r="N4531" t="n">
        <v>0</v>
      </c>
      <c r="O4531" t="n">
        <v>0</v>
      </c>
      <c r="P4531" t="n">
        <v>0</v>
      </c>
      <c r="Q4531" t="n">
        <v>0</v>
      </c>
      <c r="R4531" t="n">
        <v>0</v>
      </c>
      <c r="S4531" t="n">
        <v>0</v>
      </c>
      <c r="T4531" t="n">
        <v>0</v>
      </c>
      <c r="U4531" t="n">
        <v>0</v>
      </c>
      <c r="V4531" s="2" t="inlineStr"/>
    </row>
    <row r="4532" ht="15" customHeight="1">
      <c r="A4532" t="inlineStr">
        <is>
          <t>A 46239-2022</t>
        </is>
      </c>
      <c r="B4532" t="inlineStr">
        <is>
          <t>avverkningsanmälan</t>
        </is>
      </c>
      <c r="C4532" t="inlineStr">
        <is>
          <t>Föryngringsavverkning</t>
        </is>
      </c>
      <c r="D4532" s="1" t="n">
        <v>44847</v>
      </c>
      <c r="E4532" s="1" t="n">
        <v>46323</v>
      </c>
      <c r="F4532" t="inlineStr">
        <is>
          <t>KALMAR LÄN</t>
        </is>
      </c>
      <c r="G4532" t="inlineStr">
        <is>
          <t>KALMAR</t>
        </is>
      </c>
      <c r="I4532" t="n">
        <v>2.7</v>
      </c>
      <c r="J4532" t="n">
        <v>0</v>
      </c>
      <c r="K4532" t="n">
        <v>0</v>
      </c>
      <c r="L4532" t="n">
        <v>0</v>
      </c>
      <c r="M4532" t="n">
        <v>0</v>
      </c>
      <c r="N4532" t="n">
        <v>0</v>
      </c>
      <c r="O4532" t="n">
        <v>0</v>
      </c>
      <c r="P4532" t="n">
        <v>0</v>
      </c>
      <c r="Q4532" t="n">
        <v>0</v>
      </c>
      <c r="R4532" t="n">
        <v>0</v>
      </c>
      <c r="S4532" t="n">
        <v>0</v>
      </c>
      <c r="T4532" t="n">
        <v>0</v>
      </c>
      <c r="U4532" t="n">
        <v>0</v>
      </c>
      <c r="V4532" s="2" t="inlineStr"/>
    </row>
    <row r="4533" ht="15" customHeight="1">
      <c r="A4533" t="inlineStr">
        <is>
          <t>A 23664-2024</t>
        </is>
      </c>
      <c r="B4533" t="inlineStr">
        <is>
          <t>avverkningsanmälan</t>
        </is>
      </c>
      <c r="C4533" t="inlineStr">
        <is>
          <t>Föryngringsavverkning</t>
        </is>
      </c>
      <c r="D4533" s="1" t="n">
        <v>45454</v>
      </c>
      <c r="E4533" s="1" t="n">
        <v>46323</v>
      </c>
      <c r="F4533" t="inlineStr">
        <is>
          <t>KALMAR LÄN</t>
        </is>
      </c>
      <c r="G4533" t="inlineStr">
        <is>
          <t>KALMAR</t>
        </is>
      </c>
      <c r="I4533" t="n">
        <v>0.7</v>
      </c>
      <c r="J4533" t="n">
        <v>0</v>
      </c>
      <c r="K4533" t="n">
        <v>0</v>
      </c>
      <c r="L4533" t="n">
        <v>0</v>
      </c>
      <c r="M4533" t="n">
        <v>0</v>
      </c>
      <c r="N4533" t="n">
        <v>0</v>
      </c>
      <c r="O4533" t="n">
        <v>0</v>
      </c>
      <c r="P4533" t="n">
        <v>0</v>
      </c>
      <c r="Q4533" t="n">
        <v>0</v>
      </c>
      <c r="R4533" t="n">
        <v>0</v>
      </c>
      <c r="S4533" t="n">
        <v>0</v>
      </c>
      <c r="T4533" t="n">
        <v>0</v>
      </c>
      <c r="U4533" t="n">
        <v>0</v>
      </c>
      <c r="V4533" s="2" t="inlineStr"/>
    </row>
    <row r="4534" ht="15" customHeight="1">
      <c r="A4534" t="inlineStr">
        <is>
          <t>A 11407-2026</t>
        </is>
      </c>
      <c r="B4534" t="inlineStr">
        <is>
          <t>avverkningsanmälan</t>
        </is>
      </c>
      <c r="C4534" t="inlineStr">
        <is>
          <t>Föryngringsavverkning</t>
        </is>
      </c>
      <c r="D4534" s="1" t="n">
        <v>46083</v>
      </c>
      <c r="E4534" s="1" t="n">
        <v>46323</v>
      </c>
      <c r="F4534" t="inlineStr">
        <is>
          <t>KALMAR LÄN</t>
        </is>
      </c>
      <c r="G4534" t="inlineStr">
        <is>
          <t>VIMMERBY</t>
        </is>
      </c>
      <c r="I4534" t="n">
        <v>2.3</v>
      </c>
      <c r="J4534" t="n">
        <v>0</v>
      </c>
      <c r="K4534" t="n">
        <v>0</v>
      </c>
      <c r="L4534" t="n">
        <v>0</v>
      </c>
      <c r="M4534" t="n">
        <v>0</v>
      </c>
      <c r="N4534" t="n">
        <v>0</v>
      </c>
      <c r="O4534" t="n">
        <v>0</v>
      </c>
      <c r="P4534" t="n">
        <v>0</v>
      </c>
      <c r="Q4534" t="n">
        <v>0</v>
      </c>
      <c r="R4534" t="n">
        <v>0</v>
      </c>
      <c r="S4534" t="n">
        <v>0</v>
      </c>
      <c r="T4534" t="n">
        <v>0</v>
      </c>
      <c r="U4534" t="n">
        <v>0</v>
      </c>
      <c r="V4534" s="2" t="inlineStr"/>
    </row>
    <row r="4535" ht="15" customHeight="1">
      <c r="A4535" t="inlineStr">
        <is>
          <t>A 11412-2026</t>
        </is>
      </c>
      <c r="B4535" t="inlineStr">
        <is>
          <t>avverkningsanmälan</t>
        </is>
      </c>
      <c r="C4535" t="inlineStr">
        <is>
          <t>Föryngringsavverkning</t>
        </is>
      </c>
      <c r="D4535" s="1" t="n">
        <v>46083</v>
      </c>
      <c r="E4535" s="1" t="n">
        <v>46323</v>
      </c>
      <c r="F4535" t="inlineStr">
        <is>
          <t>KALMAR LÄN</t>
        </is>
      </c>
      <c r="G4535" t="inlineStr">
        <is>
          <t>HULTSFRED</t>
        </is>
      </c>
      <c r="I4535" t="n">
        <v>2.1</v>
      </c>
      <c r="J4535" t="n">
        <v>0</v>
      </c>
      <c r="K4535" t="n">
        <v>0</v>
      </c>
      <c r="L4535" t="n">
        <v>0</v>
      </c>
      <c r="M4535" t="n">
        <v>0</v>
      </c>
      <c r="N4535" t="n">
        <v>0</v>
      </c>
      <c r="O4535" t="n">
        <v>0</v>
      </c>
      <c r="P4535" t="n">
        <v>0</v>
      </c>
      <c r="Q4535" t="n">
        <v>0</v>
      </c>
      <c r="R4535" t="n">
        <v>0</v>
      </c>
      <c r="S4535" t="n">
        <v>0</v>
      </c>
      <c r="T4535" t="n">
        <v>0</v>
      </c>
      <c r="U4535" t="n">
        <v>0</v>
      </c>
      <c r="V4535" s="2" t="inlineStr"/>
    </row>
    <row r="4536" ht="15" customHeight="1">
      <c r="A4536" t="inlineStr">
        <is>
          <t>A 55236-2023</t>
        </is>
      </c>
      <c r="B4536" t="inlineStr">
        <is>
          <t>avverkningsanmälan</t>
        </is>
      </c>
      <c r="C4536" t="inlineStr">
        <is>
          <t>Föryngringsavverkning</t>
        </is>
      </c>
      <c r="D4536" s="1" t="n">
        <v>45237</v>
      </c>
      <c r="E4536" s="1" t="n">
        <v>46323</v>
      </c>
      <c r="F4536" t="inlineStr">
        <is>
          <t>KALMAR LÄN</t>
        </is>
      </c>
      <c r="G4536" t="inlineStr">
        <is>
          <t>VIMMERBY</t>
        </is>
      </c>
      <c r="I4536" t="n">
        <v>1.1</v>
      </c>
      <c r="J4536" t="n">
        <v>0</v>
      </c>
      <c r="K4536" t="n">
        <v>0</v>
      </c>
      <c r="L4536" t="n">
        <v>0</v>
      </c>
      <c r="M4536" t="n">
        <v>0</v>
      </c>
      <c r="N4536" t="n">
        <v>0</v>
      </c>
      <c r="O4536" t="n">
        <v>0</v>
      </c>
      <c r="P4536" t="n">
        <v>0</v>
      </c>
      <c r="Q4536" t="n">
        <v>0</v>
      </c>
      <c r="R4536" t="n">
        <v>0</v>
      </c>
      <c r="S4536" t="n">
        <v>0</v>
      </c>
      <c r="T4536" t="n">
        <v>0</v>
      </c>
      <c r="U4536" t="n">
        <v>0</v>
      </c>
      <c r="V4536" s="2" t="inlineStr"/>
    </row>
    <row r="4537" ht="15" customHeight="1">
      <c r="A4537" t="inlineStr">
        <is>
          <t>A 55245-2023</t>
        </is>
      </c>
      <c r="B4537" t="inlineStr">
        <is>
          <t>avverkningsanmälan</t>
        </is>
      </c>
      <c r="C4537" t="inlineStr">
        <is>
          <t>Föryngringsavverkning</t>
        </is>
      </c>
      <c r="D4537" s="1" t="n">
        <v>45237</v>
      </c>
      <c r="E4537" s="1" t="n">
        <v>46323</v>
      </c>
      <c r="F4537" t="inlineStr">
        <is>
          <t>KALMAR LÄN</t>
        </is>
      </c>
      <c r="G4537" t="inlineStr">
        <is>
          <t>VIMMERBY</t>
        </is>
      </c>
      <c r="I4537" t="n">
        <v>1.3</v>
      </c>
      <c r="J4537" t="n">
        <v>0</v>
      </c>
      <c r="K4537" t="n">
        <v>0</v>
      </c>
      <c r="L4537" t="n">
        <v>0</v>
      </c>
      <c r="M4537" t="n">
        <v>0</v>
      </c>
      <c r="N4537" t="n">
        <v>0</v>
      </c>
      <c r="O4537" t="n">
        <v>0</v>
      </c>
      <c r="P4537" t="n">
        <v>0</v>
      </c>
      <c r="Q4537" t="n">
        <v>0</v>
      </c>
      <c r="R4537" t="n">
        <v>0</v>
      </c>
      <c r="S4537" t="n">
        <v>0</v>
      </c>
      <c r="T4537" t="n">
        <v>0</v>
      </c>
      <c r="U4537" t="n">
        <v>0</v>
      </c>
      <c r="V4537" s="2" t="inlineStr"/>
    </row>
    <row r="4538" ht="15" customHeight="1">
      <c r="A4538" t="inlineStr">
        <is>
          <t>A 1582-2024</t>
        </is>
      </c>
      <c r="B4538" t="inlineStr">
        <is>
          <t>avverkningsanmälan</t>
        </is>
      </c>
      <c r="C4538" t="inlineStr">
        <is>
          <t>Föryngringsavverkning</t>
        </is>
      </c>
      <c r="D4538" s="1" t="n">
        <v>45306</v>
      </c>
      <c r="E4538" s="1" t="n">
        <v>46323</v>
      </c>
      <c r="F4538" t="inlineStr">
        <is>
          <t>KALMAR LÄN</t>
        </is>
      </c>
      <c r="G4538" t="inlineStr">
        <is>
          <t>HÖGSBY</t>
        </is>
      </c>
      <c r="H4538" t="inlineStr">
        <is>
          <t>Övriga Aktiebolag</t>
        </is>
      </c>
      <c r="I4538" t="n">
        <v>6.7</v>
      </c>
      <c r="J4538" t="n">
        <v>0</v>
      </c>
      <c r="K4538" t="n">
        <v>0</v>
      </c>
      <c r="L4538" t="n">
        <v>0</v>
      </c>
      <c r="M4538" t="n">
        <v>0</v>
      </c>
      <c r="N4538" t="n">
        <v>0</v>
      </c>
      <c r="O4538" t="n">
        <v>0</v>
      </c>
      <c r="P4538" t="n">
        <v>0</v>
      </c>
      <c r="Q4538" t="n">
        <v>0</v>
      </c>
      <c r="R4538" t="n">
        <v>0</v>
      </c>
      <c r="S4538" t="n">
        <v>0</v>
      </c>
      <c r="T4538" t="n">
        <v>0</v>
      </c>
      <c r="U4538" t="n">
        <v>0</v>
      </c>
      <c r="V4538" s="2" t="inlineStr"/>
    </row>
    <row r="4539" ht="15" customHeight="1">
      <c r="A4539" t="inlineStr">
        <is>
          <t>A 55287-2023</t>
        </is>
      </c>
      <c r="B4539" t="inlineStr">
        <is>
          <t>avverkningsanmälan</t>
        </is>
      </c>
      <c r="C4539" t="inlineStr">
        <is>
          <t>Föryngringsavverkning</t>
        </is>
      </c>
      <c r="D4539" s="1" t="n">
        <v>45237</v>
      </c>
      <c r="E4539" s="1" t="n">
        <v>46323</v>
      </c>
      <c r="F4539" t="inlineStr">
        <is>
          <t>KALMAR LÄN</t>
        </is>
      </c>
      <c r="G4539" t="inlineStr">
        <is>
          <t>VÄSTERVIK</t>
        </is>
      </c>
      <c r="I4539" t="n">
        <v>2.3</v>
      </c>
      <c r="J4539" t="n">
        <v>0</v>
      </c>
      <c r="K4539" t="n">
        <v>0</v>
      </c>
      <c r="L4539" t="n">
        <v>0</v>
      </c>
      <c r="M4539" t="n">
        <v>0</v>
      </c>
      <c r="N4539" t="n">
        <v>0</v>
      </c>
      <c r="O4539" t="n">
        <v>0</v>
      </c>
      <c r="P4539" t="n">
        <v>0</v>
      </c>
      <c r="Q4539" t="n">
        <v>0</v>
      </c>
      <c r="R4539" t="n">
        <v>0</v>
      </c>
      <c r="S4539" t="n">
        <v>0</v>
      </c>
      <c r="T4539" t="n">
        <v>0</v>
      </c>
      <c r="U4539" t="n">
        <v>0</v>
      </c>
      <c r="V4539" s="2" t="inlineStr"/>
    </row>
    <row r="4540" ht="15" customHeight="1">
      <c r="A4540" t="inlineStr">
        <is>
          <t>A 59474-2023</t>
        </is>
      </c>
      <c r="B4540" t="inlineStr">
        <is>
          <t>avverkningsanmälan</t>
        </is>
      </c>
      <c r="C4540" t="inlineStr">
        <is>
          <t>Föryngringsavverkning</t>
        </is>
      </c>
      <c r="D4540" s="1" t="n">
        <v>45254</v>
      </c>
      <c r="E4540" s="1" t="n">
        <v>46323</v>
      </c>
      <c r="F4540" t="inlineStr">
        <is>
          <t>KALMAR LÄN</t>
        </is>
      </c>
      <c r="G4540" t="inlineStr">
        <is>
          <t>OSKARSHAMN</t>
        </is>
      </c>
      <c r="I4540" t="n">
        <v>2.5</v>
      </c>
      <c r="J4540" t="n">
        <v>0</v>
      </c>
      <c r="K4540" t="n">
        <v>0</v>
      </c>
      <c r="L4540" t="n">
        <v>0</v>
      </c>
      <c r="M4540" t="n">
        <v>0</v>
      </c>
      <c r="N4540" t="n">
        <v>0</v>
      </c>
      <c r="O4540" t="n">
        <v>0</v>
      </c>
      <c r="P4540" t="n">
        <v>0</v>
      </c>
      <c r="Q4540" t="n">
        <v>0</v>
      </c>
      <c r="R4540" t="n">
        <v>0</v>
      </c>
      <c r="S4540" t="n">
        <v>0</v>
      </c>
      <c r="T4540" t="n">
        <v>0</v>
      </c>
      <c r="U4540" t="n">
        <v>0</v>
      </c>
      <c r="V4540" s="2" t="inlineStr"/>
    </row>
    <row r="4541" ht="15" customHeight="1">
      <c r="A4541" t="inlineStr">
        <is>
          <t>A 59545-2023</t>
        </is>
      </c>
      <c r="B4541" t="inlineStr">
        <is>
          <t>avverkningsanmälan</t>
        </is>
      </c>
      <c r="C4541" t="inlineStr">
        <is>
          <t>Föryngringsavverkning</t>
        </is>
      </c>
      <c r="D4541" s="1" t="n">
        <v>45254</v>
      </c>
      <c r="E4541" s="1" t="n">
        <v>46323</v>
      </c>
      <c r="F4541" t="inlineStr">
        <is>
          <t>KALMAR LÄN</t>
        </is>
      </c>
      <c r="G4541" t="inlineStr">
        <is>
          <t>NYBRO</t>
        </is>
      </c>
      <c r="I4541" t="n">
        <v>0.5</v>
      </c>
      <c r="J4541" t="n">
        <v>0</v>
      </c>
      <c r="K4541" t="n">
        <v>0</v>
      </c>
      <c r="L4541" t="n">
        <v>0</v>
      </c>
      <c r="M4541" t="n">
        <v>0</v>
      </c>
      <c r="N4541" t="n">
        <v>0</v>
      </c>
      <c r="O4541" t="n">
        <v>0</v>
      </c>
      <c r="P4541" t="n">
        <v>0</v>
      </c>
      <c r="Q4541" t="n">
        <v>0</v>
      </c>
      <c r="R4541" t="n">
        <v>0</v>
      </c>
      <c r="S4541" t="n">
        <v>0</v>
      </c>
      <c r="T4541" t="n">
        <v>0</v>
      </c>
      <c r="U4541" t="n">
        <v>0</v>
      </c>
      <c r="V4541" s="2" t="inlineStr"/>
    </row>
    <row r="4542" ht="15" customHeight="1">
      <c r="A4542" t="inlineStr">
        <is>
          <t>A 39156-2026</t>
        </is>
      </c>
      <c r="B4542" t="inlineStr">
        <is>
          <t>avverkningsanmälan</t>
        </is>
      </c>
      <c r="C4542" t="inlineStr">
        <is>
          <t>Föryngringsavverkning</t>
        </is>
      </c>
      <c r="D4542" s="1" t="n">
        <v>46287</v>
      </c>
      <c r="E4542" s="1" t="n">
        <v>46323</v>
      </c>
      <c r="F4542" t="inlineStr">
        <is>
          <t>KALMAR LÄN</t>
        </is>
      </c>
      <c r="G4542" t="inlineStr">
        <is>
          <t>OSKARSHAMN</t>
        </is>
      </c>
      <c r="I4542" t="n">
        <v>6.3</v>
      </c>
      <c r="J4542" t="n">
        <v>0</v>
      </c>
      <c r="K4542" t="n">
        <v>0</v>
      </c>
      <c r="L4542" t="n">
        <v>0</v>
      </c>
      <c r="M4542" t="n">
        <v>0</v>
      </c>
      <c r="N4542" t="n">
        <v>0</v>
      </c>
      <c r="O4542" t="n">
        <v>0</v>
      </c>
      <c r="P4542" t="n">
        <v>0</v>
      </c>
      <c r="Q4542" t="n">
        <v>0</v>
      </c>
      <c r="R4542" t="n">
        <v>0</v>
      </c>
      <c r="S4542" t="n">
        <v>0</v>
      </c>
      <c r="T4542" t="n">
        <v>0</v>
      </c>
      <c r="U4542" t="n">
        <v>0</v>
      </c>
      <c r="V4542" s="2" t="inlineStr"/>
    </row>
    <row r="4543" ht="15" customHeight="1">
      <c r="A4543" t="inlineStr">
        <is>
          <t>A 39291-2026</t>
        </is>
      </c>
      <c r="B4543" t="inlineStr">
        <is>
          <t>avverkningsanmälan</t>
        </is>
      </c>
      <c r="C4543" t="inlineStr">
        <is>
          <t>Föryngringsavverkning</t>
        </is>
      </c>
      <c r="D4543" s="1" t="n">
        <v>46287</v>
      </c>
      <c r="E4543" s="1" t="n">
        <v>46323</v>
      </c>
      <c r="F4543" t="inlineStr">
        <is>
          <t>KALMAR LÄN</t>
        </is>
      </c>
      <c r="G4543" t="inlineStr">
        <is>
          <t>VIMMERBY</t>
        </is>
      </c>
      <c r="I4543" t="n">
        <v>3.5</v>
      </c>
      <c r="J4543" t="n">
        <v>0</v>
      </c>
      <c r="K4543" t="n">
        <v>0</v>
      </c>
      <c r="L4543" t="n">
        <v>0</v>
      </c>
      <c r="M4543" t="n">
        <v>0</v>
      </c>
      <c r="N4543" t="n">
        <v>0</v>
      </c>
      <c r="O4543" t="n">
        <v>0</v>
      </c>
      <c r="P4543" t="n">
        <v>0</v>
      </c>
      <c r="Q4543" t="n">
        <v>0</v>
      </c>
      <c r="R4543" t="n">
        <v>0</v>
      </c>
      <c r="S4543" t="n">
        <v>0</v>
      </c>
      <c r="T4543" t="n">
        <v>0</v>
      </c>
      <c r="U4543" t="n">
        <v>0</v>
      </c>
      <c r="V4543" s="2" t="inlineStr"/>
    </row>
    <row r="4544" ht="15" customHeight="1">
      <c r="A4544" t="inlineStr">
        <is>
          <t>A 39294-2026</t>
        </is>
      </c>
      <c r="B4544" t="inlineStr">
        <is>
          <t>avverkningsanmälan</t>
        </is>
      </c>
      <c r="C4544" t="inlineStr">
        <is>
          <t>Föryngringsavverkning</t>
        </is>
      </c>
      <c r="D4544" s="1" t="n">
        <v>46288</v>
      </c>
      <c r="E4544" s="1" t="n">
        <v>46323</v>
      </c>
      <c r="F4544" t="inlineStr">
        <is>
          <t>KALMAR LÄN</t>
        </is>
      </c>
      <c r="G4544" t="inlineStr">
        <is>
          <t>VIMMERBY</t>
        </is>
      </c>
      <c r="H4544" t="inlineStr">
        <is>
          <t>Sveaskog</t>
        </is>
      </c>
      <c r="I4544" t="n">
        <v>4.6</v>
      </c>
      <c r="J4544" t="n">
        <v>0</v>
      </c>
      <c r="K4544" t="n">
        <v>0</v>
      </c>
      <c r="L4544" t="n">
        <v>0</v>
      </c>
      <c r="M4544" t="n">
        <v>0</v>
      </c>
      <c r="N4544" t="n">
        <v>0</v>
      </c>
      <c r="O4544" t="n">
        <v>0</v>
      </c>
      <c r="P4544" t="n">
        <v>0</v>
      </c>
      <c r="Q4544" t="n">
        <v>0</v>
      </c>
      <c r="R4544" t="n">
        <v>0</v>
      </c>
      <c r="S4544" t="n">
        <v>0</v>
      </c>
      <c r="T4544" t="n">
        <v>0</v>
      </c>
      <c r="U4544" t="n">
        <v>0</v>
      </c>
      <c r="V4544" s="2" t="inlineStr"/>
    </row>
    <row r="4545" ht="15" customHeight="1">
      <c r="A4545" t="inlineStr">
        <is>
          <t>A 39598-2022</t>
        </is>
      </c>
      <c r="B4545" t="inlineStr">
        <is>
          <t>avverkningsanmälan</t>
        </is>
      </c>
      <c r="C4545" t="inlineStr">
        <is>
          <t>Föryngringsavverkning</t>
        </is>
      </c>
      <c r="D4545" s="1" t="n">
        <v>44818</v>
      </c>
      <c r="E4545" s="1" t="n">
        <v>46323</v>
      </c>
      <c r="F4545" t="inlineStr">
        <is>
          <t>KALMAR LÄN</t>
        </is>
      </c>
      <c r="G4545" t="inlineStr">
        <is>
          <t>HULTSFRED</t>
        </is>
      </c>
      <c r="H4545" t="inlineStr">
        <is>
          <t>Övriga Aktiebolag</t>
        </is>
      </c>
      <c r="I4545" t="n">
        <v>17.1</v>
      </c>
      <c r="J4545" t="n">
        <v>0</v>
      </c>
      <c r="K4545" t="n">
        <v>0</v>
      </c>
      <c r="L4545" t="n">
        <v>0</v>
      </c>
      <c r="M4545" t="n">
        <v>0</v>
      </c>
      <c r="N4545" t="n">
        <v>0</v>
      </c>
      <c r="O4545" t="n">
        <v>0</v>
      </c>
      <c r="P4545" t="n">
        <v>0</v>
      </c>
      <c r="Q4545" t="n">
        <v>0</v>
      </c>
      <c r="R4545" t="n">
        <v>0</v>
      </c>
      <c r="S4545" t="n">
        <v>0</v>
      </c>
      <c r="T4545" t="n">
        <v>0</v>
      </c>
      <c r="U4545" t="n">
        <v>0</v>
      </c>
      <c r="V4545" s="2" t="inlineStr"/>
    </row>
    <row r="4546" ht="15" customHeight="1">
      <c r="A4546" t="inlineStr">
        <is>
          <t>A 39249-2026</t>
        </is>
      </c>
      <c r="B4546" t="inlineStr">
        <is>
          <t>avverkningsanmälan</t>
        </is>
      </c>
      <c r="C4546" t="inlineStr">
        <is>
          <t>Föryngringsavverkning</t>
        </is>
      </c>
      <c r="D4546" s="1" t="n">
        <v>46288</v>
      </c>
      <c r="E4546" s="1" t="n">
        <v>46323</v>
      </c>
      <c r="F4546" t="inlineStr">
        <is>
          <t>KALMAR LÄN</t>
        </is>
      </c>
      <c r="G4546" t="inlineStr">
        <is>
          <t>EMMABODA</t>
        </is>
      </c>
      <c r="I4546" t="n">
        <v>0.4</v>
      </c>
      <c r="J4546" t="n">
        <v>0</v>
      </c>
      <c r="K4546" t="n">
        <v>0</v>
      </c>
      <c r="L4546" t="n">
        <v>0</v>
      </c>
      <c r="M4546" t="n">
        <v>0</v>
      </c>
      <c r="N4546" t="n">
        <v>0</v>
      </c>
      <c r="O4546" t="n">
        <v>0</v>
      </c>
      <c r="P4546" t="n">
        <v>0</v>
      </c>
      <c r="Q4546" t="n">
        <v>0</v>
      </c>
      <c r="R4546" t="n">
        <v>0</v>
      </c>
      <c r="S4546" t="n">
        <v>0</v>
      </c>
      <c r="T4546" t="n">
        <v>0</v>
      </c>
      <c r="U4546" t="n">
        <v>0</v>
      </c>
      <c r="V4546" s="2" t="inlineStr"/>
    </row>
    <row r="4547" ht="15" customHeight="1">
      <c r="A4547" t="inlineStr">
        <is>
          <t>A 41545-2022</t>
        </is>
      </c>
      <c r="B4547" t="inlineStr">
        <is>
          <t>avverkningsanmälan</t>
        </is>
      </c>
      <c r="C4547" t="inlineStr">
        <is>
          <t>Föryngringsavverkning</t>
        </is>
      </c>
      <c r="D4547" s="1" t="n">
        <v>44827</v>
      </c>
      <c r="E4547" s="1" t="n">
        <v>46323</v>
      </c>
      <c r="F4547" t="inlineStr">
        <is>
          <t>KALMAR LÄN</t>
        </is>
      </c>
      <c r="G4547" t="inlineStr">
        <is>
          <t>EMMABODA</t>
        </is>
      </c>
      <c r="I4547" t="n">
        <v>3.8</v>
      </c>
      <c r="J4547" t="n">
        <v>0</v>
      </c>
      <c r="K4547" t="n">
        <v>0</v>
      </c>
      <c r="L4547" t="n">
        <v>0</v>
      </c>
      <c r="M4547" t="n">
        <v>0</v>
      </c>
      <c r="N4547" t="n">
        <v>0</v>
      </c>
      <c r="O4547" t="n">
        <v>0</v>
      </c>
      <c r="P4547" t="n">
        <v>0</v>
      </c>
      <c r="Q4547" t="n">
        <v>0</v>
      </c>
      <c r="R4547" t="n">
        <v>0</v>
      </c>
      <c r="S4547" t="n">
        <v>0</v>
      </c>
      <c r="T4547" t="n">
        <v>0</v>
      </c>
      <c r="U4547" t="n">
        <v>0</v>
      </c>
      <c r="V4547" s="2" t="inlineStr"/>
    </row>
    <row r="4548" ht="15" customHeight="1">
      <c r="A4548" t="inlineStr">
        <is>
          <t>A 35544-2024</t>
        </is>
      </c>
      <c r="B4548" t="inlineStr">
        <is>
          <t>avverkningsanmälan</t>
        </is>
      </c>
      <c r="C4548" t="inlineStr">
        <is>
          <t>Föryngringsavverkning</t>
        </is>
      </c>
      <c r="D4548" s="1" t="n">
        <v>45531</v>
      </c>
      <c r="E4548" s="1" t="n">
        <v>46323</v>
      </c>
      <c r="F4548" t="inlineStr">
        <is>
          <t>KALMAR LÄN</t>
        </is>
      </c>
      <c r="G4548" t="inlineStr">
        <is>
          <t>OSKARSHAMN</t>
        </is>
      </c>
      <c r="I4548" t="n">
        <v>0.7</v>
      </c>
      <c r="J4548" t="n">
        <v>0</v>
      </c>
      <c r="K4548" t="n">
        <v>0</v>
      </c>
      <c r="L4548" t="n">
        <v>0</v>
      </c>
      <c r="M4548" t="n">
        <v>0</v>
      </c>
      <c r="N4548" t="n">
        <v>0</v>
      </c>
      <c r="O4548" t="n">
        <v>0</v>
      </c>
      <c r="P4548" t="n">
        <v>0</v>
      </c>
      <c r="Q4548" t="n">
        <v>0</v>
      </c>
      <c r="R4548" t="n">
        <v>0</v>
      </c>
      <c r="S4548" t="n">
        <v>0</v>
      </c>
      <c r="T4548" t="n">
        <v>0</v>
      </c>
      <c r="U4548" t="n">
        <v>0</v>
      </c>
      <c r="V4548" s="2" t="inlineStr"/>
    </row>
    <row r="4549" ht="15" customHeight="1">
      <c r="A4549" t="inlineStr">
        <is>
          <t>A 39311-2026</t>
        </is>
      </c>
      <c r="B4549" t="inlineStr">
        <is>
          <t>avverkningsanmälan</t>
        </is>
      </c>
      <c r="C4549" t="inlineStr">
        <is>
          <t>Föryngringsavverkning</t>
        </is>
      </c>
      <c r="D4549" s="1" t="n">
        <v>46288</v>
      </c>
      <c r="E4549" s="1" t="n">
        <v>46323</v>
      </c>
      <c r="F4549" t="inlineStr">
        <is>
          <t>KALMAR LÄN</t>
        </is>
      </c>
      <c r="G4549" t="inlineStr">
        <is>
          <t>OSKARSHAMN</t>
        </is>
      </c>
      <c r="I4549" t="n">
        <v>5</v>
      </c>
      <c r="J4549" t="n">
        <v>0</v>
      </c>
      <c r="K4549" t="n">
        <v>0</v>
      </c>
      <c r="L4549" t="n">
        <v>0</v>
      </c>
      <c r="M4549" t="n">
        <v>0</v>
      </c>
      <c r="N4549" t="n">
        <v>0</v>
      </c>
      <c r="O4549" t="n">
        <v>0</v>
      </c>
      <c r="P4549" t="n">
        <v>0</v>
      </c>
      <c r="Q4549" t="n">
        <v>0</v>
      </c>
      <c r="R4549" t="n">
        <v>0</v>
      </c>
      <c r="S4549" t="n">
        <v>0</v>
      </c>
      <c r="T4549" t="n">
        <v>0</v>
      </c>
      <c r="U4549" t="n">
        <v>0</v>
      </c>
      <c r="V4549" s="2" t="inlineStr"/>
    </row>
    <row r="4550" ht="15" customHeight="1">
      <c r="A4550" t="inlineStr">
        <is>
          <t>A 39372-2026</t>
        </is>
      </c>
      <c r="B4550" t="inlineStr">
        <is>
          <t>avverkningsanmälan</t>
        </is>
      </c>
      <c r="C4550" t="inlineStr">
        <is>
          <t>Föryngringsavverkning</t>
        </is>
      </c>
      <c r="D4550" s="1" t="n">
        <v>46288</v>
      </c>
      <c r="E4550" s="1" t="n">
        <v>46323</v>
      </c>
      <c r="F4550" t="inlineStr">
        <is>
          <t>KALMAR LÄN</t>
        </is>
      </c>
      <c r="G4550" t="inlineStr">
        <is>
          <t>OSKARSHAMN</t>
        </is>
      </c>
      <c r="I4550" t="n">
        <v>0.7</v>
      </c>
      <c r="J4550" t="n">
        <v>0</v>
      </c>
      <c r="K4550" t="n">
        <v>0</v>
      </c>
      <c r="L4550" t="n">
        <v>0</v>
      </c>
      <c r="M4550" t="n">
        <v>0</v>
      </c>
      <c r="N4550" t="n">
        <v>0</v>
      </c>
      <c r="O4550" t="n">
        <v>0</v>
      </c>
      <c r="P4550" t="n">
        <v>0</v>
      </c>
      <c r="Q4550" t="n">
        <v>0</v>
      </c>
      <c r="R4550" t="n">
        <v>0</v>
      </c>
      <c r="S4550" t="n">
        <v>0</v>
      </c>
      <c r="T4550" t="n">
        <v>0</v>
      </c>
      <c r="U4550" t="n">
        <v>0</v>
      </c>
      <c r="V4550" s="2" t="inlineStr"/>
    </row>
    <row r="4551" ht="15" customHeight="1">
      <c r="A4551" t="inlineStr">
        <is>
          <t>A 39391-2026</t>
        </is>
      </c>
      <c r="B4551" t="inlineStr">
        <is>
          <t>avverkningsanmälan</t>
        </is>
      </c>
      <c r="C4551" t="inlineStr">
        <is>
          <t>Föryngringsavverkning</t>
        </is>
      </c>
      <c r="D4551" s="1" t="n">
        <v>46288</v>
      </c>
      <c r="E4551" s="1" t="n">
        <v>46323</v>
      </c>
      <c r="F4551" t="inlineStr">
        <is>
          <t>KALMAR LÄN</t>
        </is>
      </c>
      <c r="G4551" t="inlineStr">
        <is>
          <t>OSKARSHAMN</t>
        </is>
      </c>
      <c r="I4551" t="n">
        <v>0.7</v>
      </c>
      <c r="J4551" t="n">
        <v>0</v>
      </c>
      <c r="K4551" t="n">
        <v>0</v>
      </c>
      <c r="L4551" t="n">
        <v>0</v>
      </c>
      <c r="M4551" t="n">
        <v>0</v>
      </c>
      <c r="N4551" t="n">
        <v>0</v>
      </c>
      <c r="O4551" t="n">
        <v>0</v>
      </c>
      <c r="P4551" t="n">
        <v>0</v>
      </c>
      <c r="Q4551" t="n">
        <v>0</v>
      </c>
      <c r="R4551" t="n">
        <v>0</v>
      </c>
      <c r="S4551" t="n">
        <v>0</v>
      </c>
      <c r="T4551" t="n">
        <v>0</v>
      </c>
      <c r="U4551" t="n">
        <v>0</v>
      </c>
      <c r="V4551" s="2" t="inlineStr"/>
    </row>
    <row r="4552" ht="15" customHeight="1">
      <c r="A4552" t="inlineStr">
        <is>
          <t>A 1019-2024</t>
        </is>
      </c>
      <c r="B4552" t="inlineStr">
        <is>
          <t>avverkningsanmälan</t>
        </is>
      </c>
      <c r="C4552" t="inlineStr">
        <is>
          <t>Föryngringsavverkning</t>
        </is>
      </c>
      <c r="D4552" s="1" t="n">
        <v>45301</v>
      </c>
      <c r="E4552" s="1" t="n">
        <v>46323</v>
      </c>
      <c r="F4552" t="inlineStr">
        <is>
          <t>KALMAR LÄN</t>
        </is>
      </c>
      <c r="G4552" t="inlineStr">
        <is>
          <t>EMMABODA</t>
        </is>
      </c>
      <c r="I4552" t="n">
        <v>1.1</v>
      </c>
      <c r="J4552" t="n">
        <v>0</v>
      </c>
      <c r="K4552" t="n">
        <v>0</v>
      </c>
      <c r="L4552" t="n">
        <v>0</v>
      </c>
      <c r="M4552" t="n">
        <v>0</v>
      </c>
      <c r="N4552" t="n">
        <v>0</v>
      </c>
      <c r="O4552" t="n">
        <v>0</v>
      </c>
      <c r="P4552" t="n">
        <v>0</v>
      </c>
      <c r="Q4552" t="n">
        <v>0</v>
      </c>
      <c r="R4552" t="n">
        <v>0</v>
      </c>
      <c r="S4552" t="n">
        <v>0</v>
      </c>
      <c r="T4552" t="n">
        <v>0</v>
      </c>
      <c r="U4552" t="n">
        <v>0</v>
      </c>
      <c r="V4552" s="2" t="inlineStr"/>
    </row>
    <row r="4553" ht="15" customHeight="1">
      <c r="A4553" t="inlineStr">
        <is>
          <t>A 1065-2024</t>
        </is>
      </c>
      <c r="B4553" t="inlineStr">
        <is>
          <t>avverkningsanmälan</t>
        </is>
      </c>
      <c r="C4553" t="inlineStr">
        <is>
          <t>Föryngringsavverkning</t>
        </is>
      </c>
      <c r="D4553" s="1" t="n">
        <v>45302</v>
      </c>
      <c r="E4553" s="1" t="n">
        <v>46323</v>
      </c>
      <c r="F4553" t="inlineStr">
        <is>
          <t>KALMAR LÄN</t>
        </is>
      </c>
      <c r="G4553" t="inlineStr">
        <is>
          <t>HULTSFRED</t>
        </is>
      </c>
      <c r="I4553" t="n">
        <v>1.5</v>
      </c>
      <c r="J4553" t="n">
        <v>0</v>
      </c>
      <c r="K4553" t="n">
        <v>0</v>
      </c>
      <c r="L4553" t="n">
        <v>0</v>
      </c>
      <c r="M4553" t="n">
        <v>0</v>
      </c>
      <c r="N4553" t="n">
        <v>0</v>
      </c>
      <c r="O4553" t="n">
        <v>0</v>
      </c>
      <c r="P4553" t="n">
        <v>0</v>
      </c>
      <c r="Q4553" t="n">
        <v>0</v>
      </c>
      <c r="R4553" t="n">
        <v>0</v>
      </c>
      <c r="S4553" t="n">
        <v>0</v>
      </c>
      <c r="T4553" t="n">
        <v>0</v>
      </c>
      <c r="U4553" t="n">
        <v>0</v>
      </c>
      <c r="V4553" s="2" t="inlineStr"/>
    </row>
    <row r="4554" ht="15" customHeight="1">
      <c r="A4554" t="inlineStr">
        <is>
          <t>A 18804-2022</t>
        </is>
      </c>
      <c r="B4554" t="inlineStr">
        <is>
          <t>avverkningsanmälan</t>
        </is>
      </c>
      <c r="C4554" t="inlineStr">
        <is>
          <t>Föryngringsavverkning</t>
        </is>
      </c>
      <c r="D4554" s="1" t="n">
        <v>44690</v>
      </c>
      <c r="E4554" s="1" t="n">
        <v>46323</v>
      </c>
      <c r="F4554" t="inlineStr">
        <is>
          <t>KALMAR LÄN</t>
        </is>
      </c>
      <c r="G4554" t="inlineStr">
        <is>
          <t>KALMAR</t>
        </is>
      </c>
      <c r="I4554" t="n">
        <v>1.7</v>
      </c>
      <c r="J4554" t="n">
        <v>0</v>
      </c>
      <c r="K4554" t="n">
        <v>0</v>
      </c>
      <c r="L4554" t="n">
        <v>0</v>
      </c>
      <c r="M4554" t="n">
        <v>0</v>
      </c>
      <c r="N4554" t="n">
        <v>0</v>
      </c>
      <c r="O4554" t="n">
        <v>0</v>
      </c>
      <c r="P4554" t="n">
        <v>0</v>
      </c>
      <c r="Q4554" t="n">
        <v>0</v>
      </c>
      <c r="R4554" t="n">
        <v>0</v>
      </c>
      <c r="S4554" t="n">
        <v>0</v>
      </c>
      <c r="T4554" t="n">
        <v>0</v>
      </c>
      <c r="U4554" t="n">
        <v>0</v>
      </c>
      <c r="V4554" s="2" t="inlineStr"/>
    </row>
    <row r="4555" ht="15" customHeight="1">
      <c r="A4555" t="inlineStr">
        <is>
          <t>A 11450-2026</t>
        </is>
      </c>
      <c r="B4555" t="inlineStr">
        <is>
          <t>avverkningsanmälan</t>
        </is>
      </c>
      <c r="C4555" t="inlineStr">
        <is>
          <t>Föryngringsavverkning</t>
        </is>
      </c>
      <c r="D4555" s="1" t="n">
        <v>46083</v>
      </c>
      <c r="E4555" s="1" t="n">
        <v>46323</v>
      </c>
      <c r="F4555" t="inlineStr">
        <is>
          <t>KALMAR LÄN</t>
        </is>
      </c>
      <c r="G4555" t="inlineStr">
        <is>
          <t>NYBRO</t>
        </is>
      </c>
      <c r="I4555" t="n">
        <v>0.6</v>
      </c>
      <c r="J4555" t="n">
        <v>0</v>
      </c>
      <c r="K4555" t="n">
        <v>0</v>
      </c>
      <c r="L4555" t="n">
        <v>0</v>
      </c>
      <c r="M4555" t="n">
        <v>0</v>
      </c>
      <c r="N4555" t="n">
        <v>0</v>
      </c>
      <c r="O4555" t="n">
        <v>0</v>
      </c>
      <c r="P4555" t="n">
        <v>0</v>
      </c>
      <c r="Q4555" t="n">
        <v>0</v>
      </c>
      <c r="R4555" t="n">
        <v>0</v>
      </c>
      <c r="S4555" t="n">
        <v>0</v>
      </c>
      <c r="T4555" t="n">
        <v>0</v>
      </c>
      <c r="U4555" t="n">
        <v>0</v>
      </c>
      <c r="V4555" s="2" t="inlineStr"/>
    </row>
    <row r="4556" ht="15" customHeight="1">
      <c r="A4556" t="inlineStr">
        <is>
          <t>A 11415-2026</t>
        </is>
      </c>
      <c r="B4556" t="inlineStr">
        <is>
          <t>avverkningsanmälan</t>
        </is>
      </c>
      <c r="C4556" t="inlineStr">
        <is>
          <t>Föryngringsavverkning</t>
        </is>
      </c>
      <c r="D4556" s="1" t="n">
        <v>46083</v>
      </c>
      <c r="E4556" s="1" t="n">
        <v>46323</v>
      </c>
      <c r="F4556" t="inlineStr">
        <is>
          <t>KALMAR LÄN</t>
        </is>
      </c>
      <c r="G4556" t="inlineStr">
        <is>
          <t>VIMMERBY</t>
        </is>
      </c>
      <c r="I4556" t="n">
        <v>1.1</v>
      </c>
      <c r="J4556" t="n">
        <v>0</v>
      </c>
      <c r="K4556" t="n">
        <v>0</v>
      </c>
      <c r="L4556" t="n">
        <v>0</v>
      </c>
      <c r="M4556" t="n">
        <v>0</v>
      </c>
      <c r="N4556" t="n">
        <v>0</v>
      </c>
      <c r="O4556" t="n">
        <v>0</v>
      </c>
      <c r="P4556" t="n">
        <v>0</v>
      </c>
      <c r="Q4556" t="n">
        <v>0</v>
      </c>
      <c r="R4556" t="n">
        <v>0</v>
      </c>
      <c r="S4556" t="n">
        <v>0</v>
      </c>
      <c r="T4556" t="n">
        <v>0</v>
      </c>
      <c r="U4556" t="n">
        <v>0</v>
      </c>
      <c r="V4556" s="2" t="inlineStr"/>
    </row>
    <row r="4557" ht="15" customHeight="1">
      <c r="A4557" t="inlineStr">
        <is>
          <t>A 28100-2026</t>
        </is>
      </c>
      <c r="B4557" t="inlineStr">
        <is>
          <t>avverkningsanmälan</t>
        </is>
      </c>
      <c r="C4557" t="inlineStr">
        <is>
          <t>Avverkning för annat ändamål</t>
        </is>
      </c>
      <c r="D4557" s="1" t="n">
        <v>46195</v>
      </c>
      <c r="E4557" s="1" t="n">
        <v>46323</v>
      </c>
      <c r="F4557" t="inlineStr">
        <is>
          <t>KALMAR LÄN</t>
        </is>
      </c>
      <c r="G4557" t="inlineStr">
        <is>
          <t>OSKARSHAMN</t>
        </is>
      </c>
      <c r="I4557" t="n">
        <v>0.7</v>
      </c>
      <c r="J4557" t="n">
        <v>0</v>
      </c>
      <c r="K4557" t="n">
        <v>0</v>
      </c>
      <c r="L4557" t="n">
        <v>0</v>
      </c>
      <c r="M4557" t="n">
        <v>0</v>
      </c>
      <c r="N4557" t="n">
        <v>0</v>
      </c>
      <c r="O4557" t="n">
        <v>0</v>
      </c>
      <c r="P4557" t="n">
        <v>0</v>
      </c>
      <c r="Q4557" t="n">
        <v>0</v>
      </c>
      <c r="R4557" t="n">
        <v>0</v>
      </c>
      <c r="S4557" t="n">
        <v>0</v>
      </c>
      <c r="T4557" t="n">
        <v>0</v>
      </c>
      <c r="U4557" t="n">
        <v>0</v>
      </c>
      <c r="V4557" s="2" t="inlineStr"/>
    </row>
    <row r="4558" ht="15" customHeight="1">
      <c r="A4558" t="inlineStr">
        <is>
          <t>A 39270-2026</t>
        </is>
      </c>
      <c r="B4558" t="inlineStr">
        <is>
          <t>avverkningsanmälan</t>
        </is>
      </c>
      <c r="C4558" t="inlineStr">
        <is>
          <t>Föryngringsavverkning</t>
        </is>
      </c>
      <c r="D4558" s="1" t="n">
        <v>46288</v>
      </c>
      <c r="E4558" s="1" t="n">
        <v>46323</v>
      </c>
      <c r="F4558" t="inlineStr">
        <is>
          <t>KALMAR LÄN</t>
        </is>
      </c>
      <c r="G4558" t="inlineStr">
        <is>
          <t>HULTSFRED</t>
        </is>
      </c>
      <c r="I4558" t="n">
        <v>7.8</v>
      </c>
      <c r="J4558" t="n">
        <v>0</v>
      </c>
      <c r="K4558" t="n">
        <v>0</v>
      </c>
      <c r="L4558" t="n">
        <v>0</v>
      </c>
      <c r="M4558" t="n">
        <v>0</v>
      </c>
      <c r="N4558" t="n">
        <v>0</v>
      </c>
      <c r="O4558" t="n">
        <v>0</v>
      </c>
      <c r="P4558" t="n">
        <v>0</v>
      </c>
      <c r="Q4558" t="n">
        <v>0</v>
      </c>
      <c r="R4558" t="n">
        <v>0</v>
      </c>
      <c r="S4558" t="n">
        <v>0</v>
      </c>
      <c r="T4558" t="n">
        <v>0</v>
      </c>
      <c r="U4558" t="n">
        <v>0</v>
      </c>
      <c r="V4558" s="2" t="inlineStr"/>
    </row>
    <row r="4559" ht="15" customHeight="1">
      <c r="A4559" t="inlineStr">
        <is>
          <t>A 51263-2023</t>
        </is>
      </c>
      <c r="B4559" t="inlineStr">
        <is>
          <t>avverkningsanmälan</t>
        </is>
      </c>
      <c r="C4559" t="inlineStr">
        <is>
          <t>Föryngringsavverkning</t>
        </is>
      </c>
      <c r="D4559" s="1" t="n">
        <v>45219</v>
      </c>
      <c r="E4559" s="1" t="n">
        <v>46323</v>
      </c>
      <c r="F4559" t="inlineStr">
        <is>
          <t>KALMAR LÄN</t>
        </is>
      </c>
      <c r="G4559" t="inlineStr">
        <is>
          <t>TORSÅS</t>
        </is>
      </c>
      <c r="I4559" t="n">
        <v>1</v>
      </c>
      <c r="J4559" t="n">
        <v>0</v>
      </c>
      <c r="K4559" t="n">
        <v>0</v>
      </c>
      <c r="L4559" t="n">
        <v>0</v>
      </c>
      <c r="M4559" t="n">
        <v>0</v>
      </c>
      <c r="N4559" t="n">
        <v>0</v>
      </c>
      <c r="O4559" t="n">
        <v>0</v>
      </c>
      <c r="P4559" t="n">
        <v>0</v>
      </c>
      <c r="Q4559" t="n">
        <v>0</v>
      </c>
      <c r="R4559" t="n">
        <v>0</v>
      </c>
      <c r="S4559" t="n">
        <v>0</v>
      </c>
      <c r="T4559" t="n">
        <v>0</v>
      </c>
      <c r="U4559" t="n">
        <v>0</v>
      </c>
      <c r="V4559" s="2" t="inlineStr"/>
    </row>
    <row r="4560" ht="15" customHeight="1">
      <c r="A4560" t="inlineStr">
        <is>
          <t>A 51274-2023</t>
        </is>
      </c>
      <c r="B4560" t="inlineStr">
        <is>
          <t>avverkningsanmälan</t>
        </is>
      </c>
      <c r="C4560" t="inlineStr">
        <is>
          <t>Föryngringsavverkning</t>
        </is>
      </c>
      <c r="D4560" s="1" t="n">
        <v>45219</v>
      </c>
      <c r="E4560" s="1" t="n">
        <v>46323</v>
      </c>
      <c r="F4560" t="inlineStr">
        <is>
          <t>KALMAR LÄN</t>
        </is>
      </c>
      <c r="G4560" t="inlineStr">
        <is>
          <t>TORSÅS</t>
        </is>
      </c>
      <c r="I4560" t="n">
        <v>1</v>
      </c>
      <c r="J4560" t="n">
        <v>0</v>
      </c>
      <c r="K4560" t="n">
        <v>0</v>
      </c>
      <c r="L4560" t="n">
        <v>0</v>
      </c>
      <c r="M4560" t="n">
        <v>0</v>
      </c>
      <c r="N4560" t="n">
        <v>0</v>
      </c>
      <c r="O4560" t="n">
        <v>0</v>
      </c>
      <c r="P4560" t="n">
        <v>0</v>
      </c>
      <c r="Q4560" t="n">
        <v>0</v>
      </c>
      <c r="R4560" t="n">
        <v>0</v>
      </c>
      <c r="S4560" t="n">
        <v>0</v>
      </c>
      <c r="T4560" t="n">
        <v>0</v>
      </c>
      <c r="U4560" t="n">
        <v>0</v>
      </c>
      <c r="V4560" s="2" t="inlineStr"/>
    </row>
    <row r="4561" ht="15" customHeight="1">
      <c r="A4561" t="inlineStr">
        <is>
          <t>A 51275-2023</t>
        </is>
      </c>
      <c r="B4561" t="inlineStr">
        <is>
          <t>avverkningsanmälan</t>
        </is>
      </c>
      <c r="C4561" t="inlineStr">
        <is>
          <t>Föryngringsavverkning</t>
        </is>
      </c>
      <c r="D4561" s="1" t="n">
        <v>45219</v>
      </c>
      <c r="E4561" s="1" t="n">
        <v>46323</v>
      </c>
      <c r="F4561" t="inlineStr">
        <is>
          <t>KALMAR LÄN</t>
        </is>
      </c>
      <c r="G4561" t="inlineStr">
        <is>
          <t>TORSÅS</t>
        </is>
      </c>
      <c r="I4561" t="n">
        <v>1.8</v>
      </c>
      <c r="J4561" t="n">
        <v>0</v>
      </c>
      <c r="K4561" t="n">
        <v>0</v>
      </c>
      <c r="L4561" t="n">
        <v>0</v>
      </c>
      <c r="M4561" t="n">
        <v>0</v>
      </c>
      <c r="N4561" t="n">
        <v>0</v>
      </c>
      <c r="O4561" t="n">
        <v>0</v>
      </c>
      <c r="P4561" t="n">
        <v>0</v>
      </c>
      <c r="Q4561" t="n">
        <v>0</v>
      </c>
      <c r="R4561" t="n">
        <v>0</v>
      </c>
      <c r="S4561" t="n">
        <v>0</v>
      </c>
      <c r="T4561" t="n">
        <v>0</v>
      </c>
      <c r="U4561" t="n">
        <v>0</v>
      </c>
      <c r="V4561" s="2" t="inlineStr"/>
    </row>
    <row r="4562" ht="15" customHeight="1">
      <c r="A4562" t="inlineStr">
        <is>
          <t>A 5235-2024</t>
        </is>
      </c>
      <c r="B4562" t="inlineStr">
        <is>
          <t>avverkningsanmälan</t>
        </is>
      </c>
      <c r="C4562" t="inlineStr">
        <is>
          <t>Föryngringsavverkning</t>
        </is>
      </c>
      <c r="D4562" s="1" t="n">
        <v>45330</v>
      </c>
      <c r="E4562" s="1" t="n">
        <v>46323</v>
      </c>
      <c r="F4562" t="inlineStr">
        <is>
          <t>KALMAR LÄN</t>
        </is>
      </c>
      <c r="G4562" t="inlineStr">
        <is>
          <t>MÖNSTERÅS</t>
        </is>
      </c>
      <c r="I4562" t="n">
        <v>2.2</v>
      </c>
      <c r="J4562" t="n">
        <v>0</v>
      </c>
      <c r="K4562" t="n">
        <v>0</v>
      </c>
      <c r="L4562" t="n">
        <v>0</v>
      </c>
      <c r="M4562" t="n">
        <v>0</v>
      </c>
      <c r="N4562" t="n">
        <v>0</v>
      </c>
      <c r="O4562" t="n">
        <v>0</v>
      </c>
      <c r="P4562" t="n">
        <v>0</v>
      </c>
      <c r="Q4562" t="n">
        <v>0</v>
      </c>
      <c r="R4562" t="n">
        <v>0</v>
      </c>
      <c r="S4562" t="n">
        <v>0</v>
      </c>
      <c r="T4562" t="n">
        <v>0</v>
      </c>
      <c r="U4562" t="n">
        <v>0</v>
      </c>
      <c r="V4562" s="2" t="inlineStr"/>
    </row>
    <row r="4563" ht="15" customHeight="1">
      <c r="A4563" t="inlineStr">
        <is>
          <t>A 5242-2024</t>
        </is>
      </c>
      <c r="B4563" t="inlineStr">
        <is>
          <t>avverkningsanmälan</t>
        </is>
      </c>
      <c r="C4563" t="inlineStr">
        <is>
          <t>Föryngringsavverkning</t>
        </is>
      </c>
      <c r="D4563" s="1" t="n">
        <v>45330</v>
      </c>
      <c r="E4563" s="1" t="n">
        <v>46323</v>
      </c>
      <c r="F4563" t="inlineStr">
        <is>
          <t>KALMAR LÄN</t>
        </is>
      </c>
      <c r="G4563" t="inlineStr">
        <is>
          <t>NYBRO</t>
        </is>
      </c>
      <c r="I4563" t="n">
        <v>5.3</v>
      </c>
      <c r="J4563" t="n">
        <v>0</v>
      </c>
      <c r="K4563" t="n">
        <v>0</v>
      </c>
      <c r="L4563" t="n">
        <v>0</v>
      </c>
      <c r="M4563" t="n">
        <v>0</v>
      </c>
      <c r="N4563" t="n">
        <v>0</v>
      </c>
      <c r="O4563" t="n">
        <v>0</v>
      </c>
      <c r="P4563" t="n">
        <v>0</v>
      </c>
      <c r="Q4563" t="n">
        <v>0</v>
      </c>
      <c r="R4563" t="n">
        <v>0</v>
      </c>
      <c r="S4563" t="n">
        <v>0</v>
      </c>
      <c r="T4563" t="n">
        <v>0</v>
      </c>
      <c r="U4563" t="n">
        <v>0</v>
      </c>
      <c r="V4563" s="2" t="inlineStr"/>
    </row>
    <row r="4564" ht="15" customHeight="1">
      <c r="A4564" t="inlineStr">
        <is>
          <t>A 41617-2022</t>
        </is>
      </c>
      <c r="B4564" t="inlineStr">
        <is>
          <t>avverkningsanmälan</t>
        </is>
      </c>
      <c r="C4564" t="inlineStr">
        <is>
          <t>Föryngringsavverkning</t>
        </is>
      </c>
      <c r="D4564" s="1" t="n">
        <v>44827</v>
      </c>
      <c r="E4564" s="1" t="n">
        <v>46323</v>
      </c>
      <c r="F4564" t="inlineStr">
        <is>
          <t>KALMAR LÄN</t>
        </is>
      </c>
      <c r="G4564" t="inlineStr">
        <is>
          <t>HULTSFRED</t>
        </is>
      </c>
      <c r="I4564" t="n">
        <v>3.7</v>
      </c>
      <c r="J4564" t="n">
        <v>0</v>
      </c>
      <c r="K4564" t="n">
        <v>0</v>
      </c>
      <c r="L4564" t="n">
        <v>0</v>
      </c>
      <c r="M4564" t="n">
        <v>0</v>
      </c>
      <c r="N4564" t="n">
        <v>0</v>
      </c>
      <c r="O4564" t="n">
        <v>0</v>
      </c>
      <c r="P4564" t="n">
        <v>0</v>
      </c>
      <c r="Q4564" t="n">
        <v>0</v>
      </c>
      <c r="R4564" t="n">
        <v>0</v>
      </c>
      <c r="S4564" t="n">
        <v>0</v>
      </c>
      <c r="T4564" t="n">
        <v>0</v>
      </c>
      <c r="U4564" t="n">
        <v>0</v>
      </c>
      <c r="V4564" s="2" t="inlineStr"/>
    </row>
    <row r="4565" ht="15" customHeight="1">
      <c r="A4565" t="inlineStr">
        <is>
          <t>A 7812-2024</t>
        </is>
      </c>
      <c r="B4565" t="inlineStr">
        <is>
          <t>avverkningsanmälan</t>
        </is>
      </c>
      <c r="C4565" t="inlineStr">
        <is>
          <t>Föryngringsavverkning</t>
        </is>
      </c>
      <c r="D4565" s="1" t="n">
        <v>45349</v>
      </c>
      <c r="E4565" s="1" t="n">
        <v>46323</v>
      </c>
      <c r="F4565" t="inlineStr">
        <is>
          <t>KALMAR LÄN</t>
        </is>
      </c>
      <c r="G4565" t="inlineStr">
        <is>
          <t>KALMAR</t>
        </is>
      </c>
      <c r="I4565" t="n">
        <v>1.1</v>
      </c>
      <c r="J4565" t="n">
        <v>0</v>
      </c>
      <c r="K4565" t="n">
        <v>0</v>
      </c>
      <c r="L4565" t="n">
        <v>0</v>
      </c>
      <c r="M4565" t="n">
        <v>0</v>
      </c>
      <c r="N4565" t="n">
        <v>0</v>
      </c>
      <c r="O4565" t="n">
        <v>0</v>
      </c>
      <c r="P4565" t="n">
        <v>0</v>
      </c>
      <c r="Q4565" t="n">
        <v>0</v>
      </c>
      <c r="R4565" t="n">
        <v>0</v>
      </c>
      <c r="S4565" t="n">
        <v>0</v>
      </c>
      <c r="T4565" t="n">
        <v>0</v>
      </c>
      <c r="U4565" t="n">
        <v>0</v>
      </c>
      <c r="V4565" s="2" t="inlineStr"/>
    </row>
    <row r="4566" ht="15" customHeight="1">
      <c r="A4566" t="inlineStr">
        <is>
          <t>A 7813-2024</t>
        </is>
      </c>
      <c r="B4566" t="inlineStr">
        <is>
          <t>avverkningsanmälan</t>
        </is>
      </c>
      <c r="C4566" t="inlineStr">
        <is>
          <t>Föryngringsavverkning</t>
        </is>
      </c>
      <c r="D4566" s="1" t="n">
        <v>45349</v>
      </c>
      <c r="E4566" s="1" t="n">
        <v>46323</v>
      </c>
      <c r="F4566" t="inlineStr">
        <is>
          <t>KALMAR LÄN</t>
        </is>
      </c>
      <c r="G4566" t="inlineStr">
        <is>
          <t>OSKARSHAMN</t>
        </is>
      </c>
      <c r="I4566" t="n">
        <v>0.4</v>
      </c>
      <c r="J4566" t="n">
        <v>0</v>
      </c>
      <c r="K4566" t="n">
        <v>0</v>
      </c>
      <c r="L4566" t="n">
        <v>0</v>
      </c>
      <c r="M4566" t="n">
        <v>0</v>
      </c>
      <c r="N4566" t="n">
        <v>0</v>
      </c>
      <c r="O4566" t="n">
        <v>0</v>
      </c>
      <c r="P4566" t="n">
        <v>0</v>
      </c>
      <c r="Q4566" t="n">
        <v>0</v>
      </c>
      <c r="R4566" t="n">
        <v>0</v>
      </c>
      <c r="S4566" t="n">
        <v>0</v>
      </c>
      <c r="T4566" t="n">
        <v>0</v>
      </c>
      <c r="U4566" t="n">
        <v>0</v>
      </c>
      <c r="V4566" s="2" t="inlineStr"/>
    </row>
    <row r="4567" ht="15" customHeight="1">
      <c r="A4567" t="inlineStr">
        <is>
          <t>A 11420-2026</t>
        </is>
      </c>
      <c r="B4567" t="inlineStr">
        <is>
          <t>avverkningsanmälan</t>
        </is>
      </c>
      <c r="C4567" t="inlineStr">
        <is>
          <t>Föryngringsavverkning</t>
        </is>
      </c>
      <c r="D4567" s="1" t="n">
        <v>46083</v>
      </c>
      <c r="E4567" s="1" t="n">
        <v>46323</v>
      </c>
      <c r="F4567" t="inlineStr">
        <is>
          <t>KALMAR LÄN</t>
        </is>
      </c>
      <c r="G4567" t="inlineStr">
        <is>
          <t>TORSÅS</t>
        </is>
      </c>
      <c r="I4567" t="n">
        <v>2.5</v>
      </c>
      <c r="J4567" t="n">
        <v>0</v>
      </c>
      <c r="K4567" t="n">
        <v>0</v>
      </c>
      <c r="L4567" t="n">
        <v>0</v>
      </c>
      <c r="M4567" t="n">
        <v>0</v>
      </c>
      <c r="N4567" t="n">
        <v>0</v>
      </c>
      <c r="O4567" t="n">
        <v>0</v>
      </c>
      <c r="P4567" t="n">
        <v>0</v>
      </c>
      <c r="Q4567" t="n">
        <v>0</v>
      </c>
      <c r="R4567" t="n">
        <v>0</v>
      </c>
      <c r="S4567" t="n">
        <v>0</v>
      </c>
      <c r="T4567" t="n">
        <v>0</v>
      </c>
      <c r="U4567" t="n">
        <v>0</v>
      </c>
      <c r="V4567" s="2" t="inlineStr"/>
    </row>
    <row r="4568" ht="15" customHeight="1">
      <c r="A4568" t="inlineStr">
        <is>
          <t>A 11449-2026</t>
        </is>
      </c>
      <c r="B4568" t="inlineStr">
        <is>
          <t>avverkningsanmälan</t>
        </is>
      </c>
      <c r="C4568" t="inlineStr">
        <is>
          <t>Föryngringsavverkning</t>
        </is>
      </c>
      <c r="D4568" s="1" t="n">
        <v>46083</v>
      </c>
      <c r="E4568" s="1" t="n">
        <v>46323</v>
      </c>
      <c r="F4568" t="inlineStr">
        <is>
          <t>KALMAR LÄN</t>
        </is>
      </c>
      <c r="G4568" t="inlineStr">
        <is>
          <t>NYBRO</t>
        </is>
      </c>
      <c r="I4568" t="n">
        <v>0.8</v>
      </c>
      <c r="J4568" t="n">
        <v>0</v>
      </c>
      <c r="K4568" t="n">
        <v>0</v>
      </c>
      <c r="L4568" t="n">
        <v>0</v>
      </c>
      <c r="M4568" t="n">
        <v>0</v>
      </c>
      <c r="N4568" t="n">
        <v>0</v>
      </c>
      <c r="O4568" t="n">
        <v>0</v>
      </c>
      <c r="P4568" t="n">
        <v>0</v>
      </c>
      <c r="Q4568" t="n">
        <v>0</v>
      </c>
      <c r="R4568" t="n">
        <v>0</v>
      </c>
      <c r="S4568" t="n">
        <v>0</v>
      </c>
      <c r="T4568" t="n">
        <v>0</v>
      </c>
      <c r="U4568" t="n">
        <v>0</v>
      </c>
      <c r="V4568" s="2" t="inlineStr"/>
    </row>
    <row r="4569" ht="15" customHeight="1">
      <c r="A4569" t="inlineStr">
        <is>
          <t>A 2166-2024</t>
        </is>
      </c>
      <c r="B4569" t="inlineStr">
        <is>
          <t>avverkningsanmälan</t>
        </is>
      </c>
      <c r="C4569" t="inlineStr">
        <is>
          <t>Föryngringsavverkning</t>
        </is>
      </c>
      <c r="D4569" s="1" t="n">
        <v>45309</v>
      </c>
      <c r="E4569" s="1" t="n">
        <v>46323</v>
      </c>
      <c r="F4569" t="inlineStr">
        <is>
          <t>KALMAR LÄN</t>
        </is>
      </c>
      <c r="G4569" t="inlineStr">
        <is>
          <t>EMMABODA</t>
        </is>
      </c>
      <c r="I4569" t="n">
        <v>4.1</v>
      </c>
      <c r="J4569" t="n">
        <v>0</v>
      </c>
      <c r="K4569" t="n">
        <v>0</v>
      </c>
      <c r="L4569" t="n">
        <v>0</v>
      </c>
      <c r="M4569" t="n">
        <v>0</v>
      </c>
      <c r="N4569" t="n">
        <v>0</v>
      </c>
      <c r="O4569" t="n">
        <v>0</v>
      </c>
      <c r="P4569" t="n">
        <v>0</v>
      </c>
      <c r="Q4569" t="n">
        <v>0</v>
      </c>
      <c r="R4569" t="n">
        <v>0</v>
      </c>
      <c r="S4569" t="n">
        <v>0</v>
      </c>
      <c r="T4569" t="n">
        <v>0</v>
      </c>
      <c r="U4569" t="n">
        <v>0</v>
      </c>
      <c r="V4569" s="2" t="inlineStr"/>
    </row>
    <row r="4570" ht="15" customHeight="1">
      <c r="A4570" t="inlineStr">
        <is>
          <t>A 39379-2026</t>
        </is>
      </c>
      <c r="B4570" t="inlineStr">
        <is>
          <t>avverkningsanmälan</t>
        </is>
      </c>
      <c r="C4570" t="inlineStr">
        <is>
          <t>Föryngringsavverkning</t>
        </is>
      </c>
      <c r="D4570" s="1" t="n">
        <v>46288</v>
      </c>
      <c r="E4570" s="1" t="n">
        <v>46323</v>
      </c>
      <c r="F4570" t="inlineStr">
        <is>
          <t>KALMAR LÄN</t>
        </is>
      </c>
      <c r="G4570" t="inlineStr">
        <is>
          <t>MÖNSTERÅS</t>
        </is>
      </c>
      <c r="I4570" t="n">
        <v>3</v>
      </c>
      <c r="J4570" t="n">
        <v>0</v>
      </c>
      <c r="K4570" t="n">
        <v>0</v>
      </c>
      <c r="L4570" t="n">
        <v>0</v>
      </c>
      <c r="M4570" t="n">
        <v>0</v>
      </c>
      <c r="N4570" t="n">
        <v>0</v>
      </c>
      <c r="O4570" t="n">
        <v>0</v>
      </c>
      <c r="P4570" t="n">
        <v>0</v>
      </c>
      <c r="Q4570" t="n">
        <v>0</v>
      </c>
      <c r="R4570" t="n">
        <v>0</v>
      </c>
      <c r="S4570" t="n">
        <v>0</v>
      </c>
      <c r="T4570" t="n">
        <v>0</v>
      </c>
      <c r="U4570" t="n">
        <v>0</v>
      </c>
      <c r="V4570" s="2" t="inlineStr"/>
    </row>
    <row r="4571" ht="15" customHeight="1">
      <c r="A4571" t="inlineStr">
        <is>
          <t>A 32853-2026</t>
        </is>
      </c>
      <c r="B4571" t="inlineStr">
        <is>
          <t>avverkningsanmälan</t>
        </is>
      </c>
      <c r="C4571" t="inlineStr">
        <is>
          <t>Föryngringsavverkning</t>
        </is>
      </c>
      <c r="D4571" s="1" t="n">
        <v>46244</v>
      </c>
      <c r="E4571" s="1" t="n">
        <v>46323</v>
      </c>
      <c r="F4571" t="inlineStr">
        <is>
          <t>KALMAR LÄN</t>
        </is>
      </c>
      <c r="G4571" t="inlineStr">
        <is>
          <t>EMMABODA</t>
        </is>
      </c>
      <c r="I4571" t="n">
        <v>1.5</v>
      </c>
      <c r="J4571" t="n">
        <v>0</v>
      </c>
      <c r="K4571" t="n">
        <v>0</v>
      </c>
      <c r="L4571" t="n">
        <v>0</v>
      </c>
      <c r="M4571" t="n">
        <v>0</v>
      </c>
      <c r="N4571" t="n">
        <v>0</v>
      </c>
      <c r="O4571" t="n">
        <v>0</v>
      </c>
      <c r="P4571" t="n">
        <v>0</v>
      </c>
      <c r="Q4571" t="n">
        <v>0</v>
      </c>
      <c r="R4571" t="n">
        <v>0</v>
      </c>
      <c r="S4571" t="n">
        <v>0</v>
      </c>
      <c r="T4571" t="n">
        <v>0</v>
      </c>
      <c r="U4571" t="n">
        <v>0</v>
      </c>
      <c r="V4571" s="2" t="inlineStr"/>
    </row>
    <row r="4572" ht="15" customHeight="1">
      <c r="A4572" t="inlineStr">
        <is>
          <t>A 2168-2024</t>
        </is>
      </c>
      <c r="B4572" t="inlineStr">
        <is>
          <t>avverkningsanmälan</t>
        </is>
      </c>
      <c r="C4572" t="inlineStr">
        <is>
          <t>Föryngringsavverkning</t>
        </is>
      </c>
      <c r="D4572" s="1" t="n">
        <v>45309</v>
      </c>
      <c r="E4572" s="1" t="n">
        <v>46323</v>
      </c>
      <c r="F4572" t="inlineStr">
        <is>
          <t>KALMAR LÄN</t>
        </is>
      </c>
      <c r="G4572" t="inlineStr">
        <is>
          <t>VÄSTERVIK</t>
        </is>
      </c>
      <c r="I4572" t="n">
        <v>2</v>
      </c>
      <c r="J4572" t="n">
        <v>0</v>
      </c>
      <c r="K4572" t="n">
        <v>0</v>
      </c>
      <c r="L4572" t="n">
        <v>0</v>
      </c>
      <c r="M4572" t="n">
        <v>0</v>
      </c>
      <c r="N4572" t="n">
        <v>0</v>
      </c>
      <c r="O4572" t="n">
        <v>0</v>
      </c>
      <c r="P4572" t="n">
        <v>0</v>
      </c>
      <c r="Q4572" t="n">
        <v>0</v>
      </c>
      <c r="R4572" t="n">
        <v>0</v>
      </c>
      <c r="S4572" t="n">
        <v>0</v>
      </c>
      <c r="T4572" t="n">
        <v>0</v>
      </c>
      <c r="U4572" t="n">
        <v>0</v>
      </c>
      <c r="V4572" s="2" t="inlineStr"/>
    </row>
    <row r="4573" ht="15" customHeight="1">
      <c r="A4573" t="inlineStr">
        <is>
          <t>A 25370-2022</t>
        </is>
      </c>
      <c r="B4573" t="inlineStr">
        <is>
          <t>avverkningsanmälan</t>
        </is>
      </c>
      <c r="C4573" t="inlineStr">
        <is>
          <t>Föryngringsavverkning</t>
        </is>
      </c>
      <c r="D4573" s="1" t="n">
        <v>44732</v>
      </c>
      <c r="E4573" s="1" t="n">
        <v>46323</v>
      </c>
      <c r="F4573" t="inlineStr">
        <is>
          <t>KALMAR LÄN</t>
        </is>
      </c>
      <c r="G4573" t="inlineStr">
        <is>
          <t>VIMMERBY</t>
        </is>
      </c>
      <c r="I4573" t="n">
        <v>1.2</v>
      </c>
      <c r="J4573" t="n">
        <v>0</v>
      </c>
      <c r="K4573" t="n">
        <v>0</v>
      </c>
      <c r="L4573" t="n">
        <v>0</v>
      </c>
      <c r="M4573" t="n">
        <v>0</v>
      </c>
      <c r="N4573" t="n">
        <v>0</v>
      </c>
      <c r="O4573" t="n">
        <v>0</v>
      </c>
      <c r="P4573" t="n">
        <v>0</v>
      </c>
      <c r="Q4573" t="n">
        <v>0</v>
      </c>
      <c r="R4573" t="n">
        <v>0</v>
      </c>
      <c r="S4573" t="n">
        <v>0</v>
      </c>
      <c r="T4573" t="n">
        <v>0</v>
      </c>
      <c r="U4573" t="n">
        <v>0</v>
      </c>
      <c r="V4573" s="2" t="inlineStr"/>
    </row>
    <row r="4574" ht="15" customHeight="1">
      <c r="A4574" t="inlineStr">
        <is>
          <t>A 59235-2024</t>
        </is>
      </c>
      <c r="B4574" t="inlineStr">
        <is>
          <t>avverkningsanmälan</t>
        </is>
      </c>
      <c r="C4574" t="inlineStr">
        <is>
          <t>Föryngringsavverkning</t>
        </is>
      </c>
      <c r="D4574" s="1" t="n">
        <v>45637</v>
      </c>
      <c r="E4574" s="1" t="n">
        <v>46323</v>
      </c>
      <c r="F4574" t="inlineStr">
        <is>
          <t>KALMAR LÄN</t>
        </is>
      </c>
      <c r="G4574" t="inlineStr">
        <is>
          <t>HULTSFRED</t>
        </is>
      </c>
      <c r="I4574" t="n">
        <v>1.7</v>
      </c>
      <c r="J4574" t="n">
        <v>0</v>
      </c>
      <c r="K4574" t="n">
        <v>0</v>
      </c>
      <c r="L4574" t="n">
        <v>0</v>
      </c>
      <c r="M4574" t="n">
        <v>0</v>
      </c>
      <c r="N4574" t="n">
        <v>0</v>
      </c>
      <c r="O4574" t="n">
        <v>0</v>
      </c>
      <c r="P4574" t="n">
        <v>0</v>
      </c>
      <c r="Q4574" t="n">
        <v>0</v>
      </c>
      <c r="R4574" t="n">
        <v>0</v>
      </c>
      <c r="S4574" t="n">
        <v>0</v>
      </c>
      <c r="T4574" t="n">
        <v>0</v>
      </c>
      <c r="U4574" t="n">
        <v>0</v>
      </c>
      <c r="V4574" s="2" t="inlineStr"/>
    </row>
    <row r="4575" ht="15" customHeight="1">
      <c r="A4575" t="inlineStr">
        <is>
          <t>A 26046-2025</t>
        </is>
      </c>
      <c r="B4575" t="inlineStr">
        <is>
          <t>avverkningsanmälan</t>
        </is>
      </c>
      <c r="C4575" t="inlineStr">
        <is>
          <t>Föryngringsavverkning</t>
        </is>
      </c>
      <c r="D4575" s="1" t="n">
        <v>45804</v>
      </c>
      <c r="E4575" s="1" t="n">
        <v>46323</v>
      </c>
      <c r="F4575" t="inlineStr">
        <is>
          <t>KALMAR LÄN</t>
        </is>
      </c>
      <c r="G4575" t="inlineStr">
        <is>
          <t>VIMMERBY</t>
        </is>
      </c>
      <c r="H4575" t="inlineStr">
        <is>
          <t>Sveaskog</t>
        </is>
      </c>
      <c r="I4575" t="n">
        <v>5.1</v>
      </c>
      <c r="J4575" t="n">
        <v>0</v>
      </c>
      <c r="K4575" t="n">
        <v>0</v>
      </c>
      <c r="L4575" t="n">
        <v>0</v>
      </c>
      <c r="M4575" t="n">
        <v>0</v>
      </c>
      <c r="N4575" t="n">
        <v>0</v>
      </c>
      <c r="O4575" t="n">
        <v>0</v>
      </c>
      <c r="P4575" t="n">
        <v>0</v>
      </c>
      <c r="Q4575" t="n">
        <v>0</v>
      </c>
      <c r="R4575" t="n">
        <v>0</v>
      </c>
      <c r="S4575" t="n">
        <v>0</v>
      </c>
      <c r="T4575" t="n">
        <v>0</v>
      </c>
      <c r="U4575" t="n">
        <v>0</v>
      </c>
      <c r="V4575" s="2" t="inlineStr"/>
    </row>
    <row r="4576" ht="15" customHeight="1">
      <c r="A4576" t="inlineStr">
        <is>
          <t>A 39255-2026</t>
        </is>
      </c>
      <c r="B4576" t="inlineStr">
        <is>
          <t>avverkningsanmälan</t>
        </is>
      </c>
      <c r="C4576" t="inlineStr">
        <is>
          <t>Föryngringsavverkning</t>
        </is>
      </c>
      <c r="D4576" s="1" t="n">
        <v>46288</v>
      </c>
      <c r="E4576" s="1" t="n">
        <v>46323</v>
      </c>
      <c r="F4576" t="inlineStr">
        <is>
          <t>KALMAR LÄN</t>
        </is>
      </c>
      <c r="G4576" t="inlineStr">
        <is>
          <t>HULTSFRED</t>
        </is>
      </c>
      <c r="I4576" t="n">
        <v>0.8</v>
      </c>
      <c r="J4576" t="n">
        <v>0</v>
      </c>
      <c r="K4576" t="n">
        <v>0</v>
      </c>
      <c r="L4576" t="n">
        <v>0</v>
      </c>
      <c r="M4576" t="n">
        <v>0</v>
      </c>
      <c r="N4576" t="n">
        <v>0</v>
      </c>
      <c r="O4576" t="n">
        <v>0</v>
      </c>
      <c r="P4576" t="n">
        <v>0</v>
      </c>
      <c r="Q4576" t="n">
        <v>0</v>
      </c>
      <c r="R4576" t="n">
        <v>0</v>
      </c>
      <c r="S4576" t="n">
        <v>0</v>
      </c>
      <c r="T4576" t="n">
        <v>0</v>
      </c>
      <c r="U4576" t="n">
        <v>0</v>
      </c>
      <c r="V4576" s="2" t="inlineStr"/>
    </row>
    <row r="4577" ht="15" customHeight="1">
      <c r="A4577" t="inlineStr">
        <is>
          <t>A 39245-2026</t>
        </is>
      </c>
      <c r="B4577" t="inlineStr">
        <is>
          <t>avverkningsanmälan</t>
        </is>
      </c>
      <c r="C4577" t="inlineStr">
        <is>
          <t>Föryngringsavverkning</t>
        </is>
      </c>
      <c r="D4577" s="1" t="n">
        <v>46288</v>
      </c>
      <c r="E4577" s="1" t="n">
        <v>46323</v>
      </c>
      <c r="F4577" t="inlineStr">
        <is>
          <t>KALMAR LÄN</t>
        </is>
      </c>
      <c r="G4577" t="inlineStr">
        <is>
          <t>EMMABODA</t>
        </is>
      </c>
      <c r="I4577" t="n">
        <v>1.2</v>
      </c>
      <c r="J4577" t="n">
        <v>0</v>
      </c>
      <c r="K4577" t="n">
        <v>0</v>
      </c>
      <c r="L4577" t="n">
        <v>0</v>
      </c>
      <c r="M4577" t="n">
        <v>0</v>
      </c>
      <c r="N4577" t="n">
        <v>0</v>
      </c>
      <c r="O4577" t="n">
        <v>0</v>
      </c>
      <c r="P4577" t="n">
        <v>0</v>
      </c>
      <c r="Q4577" t="n">
        <v>0</v>
      </c>
      <c r="R4577" t="n">
        <v>0</v>
      </c>
      <c r="S4577" t="n">
        <v>0</v>
      </c>
      <c r="T4577" t="n">
        <v>0</v>
      </c>
      <c r="U4577" t="n">
        <v>0</v>
      </c>
      <c r="V4577" s="2" t="inlineStr"/>
    </row>
    <row r="4578" ht="15" customHeight="1">
      <c r="A4578" t="inlineStr">
        <is>
          <t>A 11945-2026</t>
        </is>
      </c>
      <c r="B4578" t="inlineStr">
        <is>
          <t>avverkningsanmälan</t>
        </is>
      </c>
      <c r="C4578" t="inlineStr">
        <is>
          <t>Föryngringsavverkning</t>
        </is>
      </c>
      <c r="D4578" s="1" t="n">
        <v>46085</v>
      </c>
      <c r="E4578" s="1" t="n">
        <v>46323</v>
      </c>
      <c r="F4578" t="inlineStr">
        <is>
          <t>KALMAR LÄN</t>
        </is>
      </c>
      <c r="G4578" t="inlineStr">
        <is>
          <t>EMMABODA</t>
        </is>
      </c>
      <c r="I4578" t="n">
        <v>0.9</v>
      </c>
      <c r="J4578" t="n">
        <v>0</v>
      </c>
      <c r="K4578" t="n">
        <v>0</v>
      </c>
      <c r="L4578" t="n">
        <v>0</v>
      </c>
      <c r="M4578" t="n">
        <v>0</v>
      </c>
      <c r="N4578" t="n">
        <v>0</v>
      </c>
      <c r="O4578" t="n">
        <v>0</v>
      </c>
      <c r="P4578" t="n">
        <v>0</v>
      </c>
      <c r="Q4578" t="n">
        <v>0</v>
      </c>
      <c r="R4578" t="n">
        <v>0</v>
      </c>
      <c r="S4578" t="n">
        <v>0</v>
      </c>
      <c r="T4578" t="n">
        <v>0</v>
      </c>
      <c r="U4578" t="n">
        <v>0</v>
      </c>
      <c r="V4578" s="2" t="inlineStr"/>
    </row>
    <row r="4579" ht="15" customHeight="1">
      <c r="A4579" t="inlineStr">
        <is>
          <t>A 39324-2026</t>
        </is>
      </c>
      <c r="B4579" t="inlineStr">
        <is>
          <t>avverkningsanmälan</t>
        </is>
      </c>
      <c r="C4579" t="inlineStr">
        <is>
          <t>Föryngringsavverkning</t>
        </is>
      </c>
      <c r="D4579" s="1" t="n">
        <v>46287</v>
      </c>
      <c r="E4579" s="1" t="n">
        <v>46323</v>
      </c>
      <c r="F4579" t="inlineStr">
        <is>
          <t>KALMAR LÄN</t>
        </is>
      </c>
      <c r="G4579" t="inlineStr">
        <is>
          <t>HULTSFRED</t>
        </is>
      </c>
      <c r="H4579" t="inlineStr">
        <is>
          <t>Kommuner</t>
        </is>
      </c>
      <c r="I4579" t="n">
        <v>1.9</v>
      </c>
      <c r="J4579" t="n">
        <v>0</v>
      </c>
      <c r="K4579" t="n">
        <v>0</v>
      </c>
      <c r="L4579" t="n">
        <v>0</v>
      </c>
      <c r="M4579" t="n">
        <v>0</v>
      </c>
      <c r="N4579" t="n">
        <v>0</v>
      </c>
      <c r="O4579" t="n">
        <v>0</v>
      </c>
      <c r="P4579" t="n">
        <v>0</v>
      </c>
      <c r="Q4579" t="n">
        <v>0</v>
      </c>
      <c r="R4579" t="n">
        <v>0</v>
      </c>
      <c r="S4579" t="n">
        <v>0</v>
      </c>
      <c r="T4579" t="n">
        <v>0</v>
      </c>
      <c r="U4579" t="n">
        <v>0</v>
      </c>
      <c r="V4579" s="2" t="inlineStr"/>
    </row>
    <row r="4580" ht="15" customHeight="1">
      <c r="A4580" t="inlineStr">
        <is>
          <t>A 33082-2023</t>
        </is>
      </c>
      <c r="B4580" t="inlineStr">
        <is>
          <t>avverkningsanmälan</t>
        </is>
      </c>
      <c r="C4580" t="inlineStr">
        <is>
          <t>Föryngringsavverkning</t>
        </is>
      </c>
      <c r="D4580" s="1" t="n">
        <v>45126</v>
      </c>
      <c r="E4580" s="1" t="n">
        <v>46323</v>
      </c>
      <c r="F4580" t="inlineStr">
        <is>
          <t>KALMAR LÄN</t>
        </is>
      </c>
      <c r="G4580" t="inlineStr">
        <is>
          <t>EMMABODA</t>
        </is>
      </c>
      <c r="I4580" t="n">
        <v>1.5</v>
      </c>
      <c r="J4580" t="n">
        <v>0</v>
      </c>
      <c r="K4580" t="n">
        <v>0</v>
      </c>
      <c r="L4580" t="n">
        <v>0</v>
      </c>
      <c r="M4580" t="n">
        <v>0</v>
      </c>
      <c r="N4580" t="n">
        <v>0</v>
      </c>
      <c r="O4580" t="n">
        <v>0</v>
      </c>
      <c r="P4580" t="n">
        <v>0</v>
      </c>
      <c r="Q4580" t="n">
        <v>0</v>
      </c>
      <c r="R4580" t="n">
        <v>0</v>
      </c>
      <c r="S4580" t="n">
        <v>0</v>
      </c>
      <c r="T4580" t="n">
        <v>0</v>
      </c>
      <c r="U4580" t="n">
        <v>0</v>
      </c>
      <c r="V4580" s="2" t="inlineStr"/>
    </row>
    <row r="4581" ht="15" customHeight="1">
      <c r="A4581" t="inlineStr">
        <is>
          <t>A 10688-2024</t>
        </is>
      </c>
      <c r="B4581" t="inlineStr">
        <is>
          <t>avverkningsanmälan</t>
        </is>
      </c>
      <c r="C4581" t="inlineStr">
        <is>
          <t>Föryngringsavverkning</t>
        </is>
      </c>
      <c r="D4581" s="1" t="n">
        <v>45369</v>
      </c>
      <c r="E4581" s="1" t="n">
        <v>46323</v>
      </c>
      <c r="F4581" t="inlineStr">
        <is>
          <t>KALMAR LÄN</t>
        </is>
      </c>
      <c r="G4581" t="inlineStr">
        <is>
          <t>VÄSTERVIK</t>
        </is>
      </c>
      <c r="I4581" t="n">
        <v>1.1</v>
      </c>
      <c r="J4581" t="n">
        <v>0</v>
      </c>
      <c r="K4581" t="n">
        <v>0</v>
      </c>
      <c r="L4581" t="n">
        <v>0</v>
      </c>
      <c r="M4581" t="n">
        <v>0</v>
      </c>
      <c r="N4581" t="n">
        <v>0</v>
      </c>
      <c r="O4581" t="n">
        <v>0</v>
      </c>
      <c r="P4581" t="n">
        <v>0</v>
      </c>
      <c r="Q4581" t="n">
        <v>0</v>
      </c>
      <c r="R4581" t="n">
        <v>0</v>
      </c>
      <c r="S4581" t="n">
        <v>0</v>
      </c>
      <c r="T4581" t="n">
        <v>0</v>
      </c>
      <c r="U4581" t="n">
        <v>0</v>
      </c>
      <c r="V4581" s="2" t="inlineStr"/>
    </row>
    <row r="4582" ht="15" customHeight="1">
      <c r="A4582" t="inlineStr">
        <is>
          <t>A 11903-2026</t>
        </is>
      </c>
      <c r="B4582" t="inlineStr">
        <is>
          <t>avverkningsanmälan</t>
        </is>
      </c>
      <c r="C4582" t="inlineStr">
        <is>
          <t>Föryngringsavverkning</t>
        </is>
      </c>
      <c r="D4582" s="1" t="n">
        <v>46085</v>
      </c>
      <c r="E4582" s="1" t="n">
        <v>46323</v>
      </c>
      <c r="F4582" t="inlineStr">
        <is>
          <t>KALMAR LÄN</t>
        </is>
      </c>
      <c r="G4582" t="inlineStr">
        <is>
          <t>EMMABODA</t>
        </is>
      </c>
      <c r="I4582" t="n">
        <v>1.8</v>
      </c>
      <c r="J4582" t="n">
        <v>0</v>
      </c>
      <c r="K4582" t="n">
        <v>0</v>
      </c>
      <c r="L4582" t="n">
        <v>0</v>
      </c>
      <c r="M4582" t="n">
        <v>0</v>
      </c>
      <c r="N4582" t="n">
        <v>0</v>
      </c>
      <c r="O4582" t="n">
        <v>0</v>
      </c>
      <c r="P4582" t="n">
        <v>0</v>
      </c>
      <c r="Q4582" t="n">
        <v>0</v>
      </c>
      <c r="R4582" t="n">
        <v>0</v>
      </c>
      <c r="S4582" t="n">
        <v>0</v>
      </c>
      <c r="T4582" t="n">
        <v>0</v>
      </c>
      <c r="U4582" t="n">
        <v>0</v>
      </c>
      <c r="V4582" s="2" t="inlineStr"/>
    </row>
    <row r="4583" ht="15" customHeight="1">
      <c r="A4583" t="inlineStr">
        <is>
          <t>A 21577-2022</t>
        </is>
      </c>
      <c r="B4583" t="inlineStr">
        <is>
          <t>avverkningsanmälan</t>
        </is>
      </c>
      <c r="C4583" t="inlineStr">
        <is>
          <t>Avverkning för att bevara och utveckla /försöksver</t>
        </is>
      </c>
      <c r="D4583" s="1" t="n">
        <v>44706</v>
      </c>
      <c r="E4583" s="1" t="n">
        <v>46323</v>
      </c>
      <c r="F4583" t="inlineStr">
        <is>
          <t>KALMAR LÄN</t>
        </is>
      </c>
      <c r="G4583" t="inlineStr">
        <is>
          <t>TORSÅS</t>
        </is>
      </c>
      <c r="I4583" t="n">
        <v>8.300000000000001</v>
      </c>
      <c r="J4583" t="n">
        <v>0</v>
      </c>
      <c r="K4583" t="n">
        <v>0</v>
      </c>
      <c r="L4583" t="n">
        <v>0</v>
      </c>
      <c r="M4583" t="n">
        <v>0</v>
      </c>
      <c r="N4583" t="n">
        <v>0</v>
      </c>
      <c r="O4583" t="n">
        <v>0</v>
      </c>
      <c r="P4583" t="n">
        <v>0</v>
      </c>
      <c r="Q4583" t="n">
        <v>0</v>
      </c>
      <c r="R4583" t="n">
        <v>0</v>
      </c>
      <c r="S4583" t="n">
        <v>0</v>
      </c>
      <c r="T4583" t="n">
        <v>0</v>
      </c>
      <c r="U4583" t="n">
        <v>0</v>
      </c>
      <c r="V4583" s="2" t="inlineStr"/>
    </row>
    <row r="4584" ht="15" customHeight="1">
      <c r="A4584" t="inlineStr">
        <is>
          <t>A 62623-2021</t>
        </is>
      </c>
      <c r="B4584" t="inlineStr">
        <is>
          <t>avverkningsanmälan</t>
        </is>
      </c>
      <c r="C4584" t="inlineStr">
        <is>
          <t>Föryngringsavverkning</t>
        </is>
      </c>
      <c r="D4584" s="1" t="n">
        <v>44503</v>
      </c>
      <c r="E4584" s="1" t="n">
        <v>46323</v>
      </c>
      <c r="F4584" t="inlineStr">
        <is>
          <t>KALMAR LÄN</t>
        </is>
      </c>
      <c r="G4584" t="inlineStr">
        <is>
          <t>OSKARSHAMN</t>
        </is>
      </c>
      <c r="I4584" t="n">
        <v>0</v>
      </c>
      <c r="J4584" t="n">
        <v>0</v>
      </c>
      <c r="K4584" t="n">
        <v>0</v>
      </c>
      <c r="L4584" t="n">
        <v>0</v>
      </c>
      <c r="M4584" t="n">
        <v>0</v>
      </c>
      <c r="N4584" t="n">
        <v>0</v>
      </c>
      <c r="O4584" t="n">
        <v>0</v>
      </c>
      <c r="P4584" t="n">
        <v>0</v>
      </c>
      <c r="Q4584" t="n">
        <v>0</v>
      </c>
      <c r="R4584" t="n">
        <v>0</v>
      </c>
      <c r="S4584" t="n">
        <v>0</v>
      </c>
      <c r="T4584" t="n">
        <v>0</v>
      </c>
      <c r="U4584" t="n">
        <v>0</v>
      </c>
      <c r="V4584" s="2" t="inlineStr"/>
    </row>
    <row r="4585" ht="15" customHeight="1">
      <c r="A4585" t="inlineStr">
        <is>
          <t>A 6223-2022</t>
        </is>
      </c>
      <c r="B4585" t="inlineStr">
        <is>
          <t>avverkningsanmälan</t>
        </is>
      </c>
      <c r="C4585" t="inlineStr">
        <is>
          <t>Föryngringsavverkning</t>
        </is>
      </c>
      <c r="D4585" s="1" t="n">
        <v>44600</v>
      </c>
      <c r="E4585" s="1" t="n">
        <v>46323</v>
      </c>
      <c r="F4585" t="inlineStr">
        <is>
          <t>KALMAR LÄN</t>
        </is>
      </c>
      <c r="G4585" t="inlineStr">
        <is>
          <t>MÖNSTERÅS</t>
        </is>
      </c>
      <c r="I4585" t="n">
        <v>0.5</v>
      </c>
      <c r="J4585" t="n">
        <v>0</v>
      </c>
      <c r="K4585" t="n">
        <v>0</v>
      </c>
      <c r="L4585" t="n">
        <v>0</v>
      </c>
      <c r="M4585" t="n">
        <v>0</v>
      </c>
      <c r="N4585" t="n">
        <v>0</v>
      </c>
      <c r="O4585" t="n">
        <v>0</v>
      </c>
      <c r="P4585" t="n">
        <v>0</v>
      </c>
      <c r="Q4585" t="n">
        <v>0</v>
      </c>
      <c r="R4585" t="n">
        <v>0</v>
      </c>
      <c r="S4585" t="n">
        <v>0</v>
      </c>
      <c r="T4585" t="n">
        <v>0</v>
      </c>
      <c r="U4585" t="n">
        <v>0</v>
      </c>
      <c r="V4585" s="2" t="inlineStr"/>
    </row>
    <row r="4586" ht="15" customHeight="1">
      <c r="A4586" t="inlineStr">
        <is>
          <t>A 37936-2022</t>
        </is>
      </c>
      <c r="B4586" t="inlineStr">
        <is>
          <t>avverkningsanmälan</t>
        </is>
      </c>
      <c r="C4586" t="inlineStr">
        <is>
          <t>Föryngringsavverkning</t>
        </is>
      </c>
      <c r="D4586" s="1" t="n">
        <v>44811</v>
      </c>
      <c r="E4586" s="1" t="n">
        <v>46323</v>
      </c>
      <c r="F4586" t="inlineStr">
        <is>
          <t>KALMAR LÄN</t>
        </is>
      </c>
      <c r="G4586" t="inlineStr">
        <is>
          <t>VÄSTERVIK</t>
        </is>
      </c>
      <c r="I4586" t="n">
        <v>0.9</v>
      </c>
      <c r="J4586" t="n">
        <v>0</v>
      </c>
      <c r="K4586" t="n">
        <v>0</v>
      </c>
      <c r="L4586" t="n">
        <v>0</v>
      </c>
      <c r="M4586" t="n">
        <v>0</v>
      </c>
      <c r="N4586" t="n">
        <v>0</v>
      </c>
      <c r="O4586" t="n">
        <v>0</v>
      </c>
      <c r="P4586" t="n">
        <v>0</v>
      </c>
      <c r="Q4586" t="n">
        <v>0</v>
      </c>
      <c r="R4586" t="n">
        <v>0</v>
      </c>
      <c r="S4586" t="n">
        <v>0</v>
      </c>
      <c r="T4586" t="n">
        <v>0</v>
      </c>
      <c r="U4586" t="n">
        <v>0</v>
      </c>
      <c r="V4586" s="2" t="inlineStr"/>
    </row>
    <row r="4587" ht="15" customHeight="1">
      <c r="A4587" t="inlineStr">
        <is>
          <t>A 61060-2021</t>
        </is>
      </c>
      <c r="B4587" t="inlineStr">
        <is>
          <t>avverkningsanmälan</t>
        </is>
      </c>
      <c r="C4587" t="inlineStr">
        <is>
          <t>Föryngringsavverkning</t>
        </is>
      </c>
      <c r="D4587" s="1" t="n">
        <v>44497</v>
      </c>
      <c r="E4587" s="1" t="n">
        <v>46323</v>
      </c>
      <c r="F4587" t="inlineStr">
        <is>
          <t>KALMAR LÄN</t>
        </is>
      </c>
      <c r="G4587" t="inlineStr">
        <is>
          <t>NYBRO</t>
        </is>
      </c>
      <c r="I4587" t="n">
        <v>6.4</v>
      </c>
      <c r="J4587" t="n">
        <v>0</v>
      </c>
      <c r="K4587" t="n">
        <v>0</v>
      </c>
      <c r="L4587" t="n">
        <v>0</v>
      </c>
      <c r="M4587" t="n">
        <v>0</v>
      </c>
      <c r="N4587" t="n">
        <v>0</v>
      </c>
      <c r="O4587" t="n">
        <v>0</v>
      </c>
      <c r="P4587" t="n">
        <v>0</v>
      </c>
      <c r="Q4587" t="n">
        <v>0</v>
      </c>
      <c r="R4587" t="n">
        <v>0</v>
      </c>
      <c r="S4587" t="n">
        <v>0</v>
      </c>
      <c r="T4587" t="n">
        <v>0</v>
      </c>
      <c r="U4587" t="n">
        <v>0</v>
      </c>
      <c r="V4587" s="2" t="inlineStr"/>
    </row>
    <row r="4588" ht="15" customHeight="1">
      <c r="A4588" t="inlineStr">
        <is>
          <t>A 11575-2026</t>
        </is>
      </c>
      <c r="B4588" t="inlineStr">
        <is>
          <t>avverkningsanmälan</t>
        </is>
      </c>
      <c r="C4588" t="inlineStr">
        <is>
          <t>Föryngringsavverkning</t>
        </is>
      </c>
      <c r="D4588" s="1" t="n">
        <v>46084</v>
      </c>
      <c r="E4588" s="1" t="n">
        <v>46323</v>
      </c>
      <c r="F4588" t="inlineStr">
        <is>
          <t>KALMAR LÄN</t>
        </is>
      </c>
      <c r="G4588" t="inlineStr">
        <is>
          <t>TORSÅS</t>
        </is>
      </c>
      <c r="I4588" t="n">
        <v>1</v>
      </c>
      <c r="J4588" t="n">
        <v>0</v>
      </c>
      <c r="K4588" t="n">
        <v>0</v>
      </c>
      <c r="L4588" t="n">
        <v>0</v>
      </c>
      <c r="M4588" t="n">
        <v>0</v>
      </c>
      <c r="N4588" t="n">
        <v>0</v>
      </c>
      <c r="O4588" t="n">
        <v>0</v>
      </c>
      <c r="P4588" t="n">
        <v>0</v>
      </c>
      <c r="Q4588" t="n">
        <v>0</v>
      </c>
      <c r="R4588" t="n">
        <v>0</v>
      </c>
      <c r="S4588" t="n">
        <v>0</v>
      </c>
      <c r="T4588" t="n">
        <v>0</v>
      </c>
      <c r="U4588" t="n">
        <v>0</v>
      </c>
      <c r="V4588" s="2" t="inlineStr"/>
    </row>
    <row r="4589" ht="15" customHeight="1">
      <c r="A4589" t="inlineStr">
        <is>
          <t>A 11609-2026</t>
        </is>
      </c>
      <c r="B4589" t="inlineStr">
        <is>
          <t>avverkningsanmälan</t>
        </is>
      </c>
      <c r="C4589" t="inlineStr">
        <is>
          <t>Föryngringsavverkning</t>
        </is>
      </c>
      <c r="D4589" s="1" t="n">
        <v>46084</v>
      </c>
      <c r="E4589" s="1" t="n">
        <v>46323</v>
      </c>
      <c r="F4589" t="inlineStr">
        <is>
          <t>KALMAR LÄN</t>
        </is>
      </c>
      <c r="G4589" t="inlineStr">
        <is>
          <t>TORSÅS</t>
        </is>
      </c>
      <c r="I4589" t="n">
        <v>0.9</v>
      </c>
      <c r="J4589" t="n">
        <v>0</v>
      </c>
      <c r="K4589" t="n">
        <v>0</v>
      </c>
      <c r="L4589" t="n">
        <v>0</v>
      </c>
      <c r="M4589" t="n">
        <v>0</v>
      </c>
      <c r="N4589" t="n">
        <v>0</v>
      </c>
      <c r="O4589" t="n">
        <v>0</v>
      </c>
      <c r="P4589" t="n">
        <v>0</v>
      </c>
      <c r="Q4589" t="n">
        <v>0</v>
      </c>
      <c r="R4589" t="n">
        <v>0</v>
      </c>
      <c r="S4589" t="n">
        <v>0</v>
      </c>
      <c r="T4589" t="n">
        <v>0</v>
      </c>
      <c r="U4589" t="n">
        <v>0</v>
      </c>
      <c r="V4589" s="2" t="inlineStr"/>
    </row>
    <row r="4590" ht="15" customHeight="1">
      <c r="A4590" t="inlineStr">
        <is>
          <t>A 25792-2025</t>
        </is>
      </c>
      <c r="B4590" t="inlineStr">
        <is>
          <t>avverkningsanmälan</t>
        </is>
      </c>
      <c r="C4590" t="inlineStr">
        <is>
          <t>Föryngringsavverkning</t>
        </is>
      </c>
      <c r="D4590" s="1" t="n">
        <v>45804</v>
      </c>
      <c r="E4590" s="1" t="n">
        <v>46323</v>
      </c>
      <c r="F4590" t="inlineStr">
        <is>
          <t>KALMAR LÄN</t>
        </is>
      </c>
      <c r="G4590" t="inlineStr">
        <is>
          <t>VIMMERBY</t>
        </is>
      </c>
      <c r="I4590" t="n">
        <v>0.8</v>
      </c>
      <c r="J4590" t="n">
        <v>0</v>
      </c>
      <c r="K4590" t="n">
        <v>0</v>
      </c>
      <c r="L4590" t="n">
        <v>0</v>
      </c>
      <c r="M4590" t="n">
        <v>0</v>
      </c>
      <c r="N4590" t="n">
        <v>0</v>
      </c>
      <c r="O4590" t="n">
        <v>0</v>
      </c>
      <c r="P4590" t="n">
        <v>0</v>
      </c>
      <c r="Q4590" t="n">
        <v>0</v>
      </c>
      <c r="R4590" t="n">
        <v>0</v>
      </c>
      <c r="S4590" t="n">
        <v>0</v>
      </c>
      <c r="T4590" t="n">
        <v>0</v>
      </c>
      <c r="U4590" t="n">
        <v>0</v>
      </c>
      <c r="V4590" s="2" t="inlineStr"/>
    </row>
    <row r="4591" ht="15" customHeight="1">
      <c r="A4591" t="inlineStr">
        <is>
          <t>A 39304-2026</t>
        </is>
      </c>
      <c r="B4591" t="inlineStr">
        <is>
          <t>avverkningsanmälan</t>
        </is>
      </c>
      <c r="C4591" t="inlineStr">
        <is>
          <t>Föryngringsavverkning</t>
        </is>
      </c>
      <c r="D4591" s="1" t="n">
        <v>46287</v>
      </c>
      <c r="E4591" s="1" t="n">
        <v>46323</v>
      </c>
      <c r="F4591" t="inlineStr">
        <is>
          <t>KALMAR LÄN</t>
        </is>
      </c>
      <c r="G4591" t="inlineStr">
        <is>
          <t>VIMMERBY</t>
        </is>
      </c>
      <c r="I4591" t="n">
        <v>0.7</v>
      </c>
      <c r="J4591" t="n">
        <v>0</v>
      </c>
      <c r="K4591" t="n">
        <v>0</v>
      </c>
      <c r="L4591" t="n">
        <v>0</v>
      </c>
      <c r="M4591" t="n">
        <v>0</v>
      </c>
      <c r="N4591" t="n">
        <v>0</v>
      </c>
      <c r="O4591" t="n">
        <v>0</v>
      </c>
      <c r="P4591" t="n">
        <v>0</v>
      </c>
      <c r="Q4591" t="n">
        <v>0</v>
      </c>
      <c r="R4591" t="n">
        <v>0</v>
      </c>
      <c r="S4591" t="n">
        <v>0</v>
      </c>
      <c r="T4591" t="n">
        <v>0</v>
      </c>
      <c r="U4591" t="n">
        <v>0</v>
      </c>
      <c r="V4591" s="2" t="inlineStr"/>
    </row>
    <row r="4592" ht="15" customHeight="1">
      <c r="A4592" t="inlineStr">
        <is>
          <t>A 32902-2026</t>
        </is>
      </c>
      <c r="B4592" t="inlineStr">
        <is>
          <t>avverkningsanmälan</t>
        </is>
      </c>
      <c r="C4592" t="inlineStr">
        <is>
          <t>Föryngringsavverkning</t>
        </is>
      </c>
      <c r="D4592" s="1" t="n">
        <v>46244</v>
      </c>
      <c r="E4592" s="1" t="n">
        <v>46323</v>
      </c>
      <c r="F4592" t="inlineStr">
        <is>
          <t>KALMAR LÄN</t>
        </is>
      </c>
      <c r="G4592" t="inlineStr">
        <is>
          <t>OSKARSHAMN</t>
        </is>
      </c>
      <c r="I4592" t="n">
        <v>2.8</v>
      </c>
      <c r="J4592" t="n">
        <v>0</v>
      </c>
      <c r="K4592" t="n">
        <v>0</v>
      </c>
      <c r="L4592" t="n">
        <v>0</v>
      </c>
      <c r="M4592" t="n">
        <v>0</v>
      </c>
      <c r="N4592" t="n">
        <v>0</v>
      </c>
      <c r="O4592" t="n">
        <v>0</v>
      </c>
      <c r="P4592" t="n">
        <v>0</v>
      </c>
      <c r="Q4592" t="n">
        <v>0</v>
      </c>
      <c r="R4592" t="n">
        <v>0</v>
      </c>
      <c r="S4592" t="n">
        <v>0</v>
      </c>
      <c r="T4592" t="n">
        <v>0</v>
      </c>
      <c r="U4592" t="n">
        <v>0</v>
      </c>
      <c r="V4592" s="2" t="inlineStr"/>
    </row>
    <row r="4593" ht="15" customHeight="1">
      <c r="A4593" t="inlineStr">
        <is>
          <t>A 61854-2022</t>
        </is>
      </c>
      <c r="B4593" t="inlineStr">
        <is>
          <t>avverkningsanmälan</t>
        </is>
      </c>
      <c r="C4593" t="inlineStr">
        <is>
          <t>Föryngringsavverkning</t>
        </is>
      </c>
      <c r="D4593" s="1" t="n">
        <v>44917</v>
      </c>
      <c r="E4593" s="1" t="n">
        <v>46323</v>
      </c>
      <c r="F4593" t="inlineStr">
        <is>
          <t>KALMAR LÄN</t>
        </is>
      </c>
      <c r="G4593" t="inlineStr">
        <is>
          <t>OSKARSHAMN</t>
        </is>
      </c>
      <c r="I4593" t="n">
        <v>2.4</v>
      </c>
      <c r="J4593" t="n">
        <v>0</v>
      </c>
      <c r="K4593" t="n">
        <v>0</v>
      </c>
      <c r="L4593" t="n">
        <v>0</v>
      </c>
      <c r="M4593" t="n">
        <v>0</v>
      </c>
      <c r="N4593" t="n">
        <v>0</v>
      </c>
      <c r="O4593" t="n">
        <v>0</v>
      </c>
      <c r="P4593" t="n">
        <v>0</v>
      </c>
      <c r="Q4593" t="n">
        <v>0</v>
      </c>
      <c r="R4593" t="n">
        <v>0</v>
      </c>
      <c r="S4593" t="n">
        <v>0</v>
      </c>
      <c r="T4593" t="n">
        <v>0</v>
      </c>
      <c r="U4593" t="n">
        <v>0</v>
      </c>
      <c r="V4593" s="2" t="inlineStr"/>
    </row>
    <row r="4594" ht="15" customHeight="1">
      <c r="A4594" t="inlineStr">
        <is>
          <t>A 5145-2024</t>
        </is>
      </c>
      <c r="B4594" t="inlineStr">
        <is>
          <t>avverkningsanmälan</t>
        </is>
      </c>
      <c r="C4594" t="inlineStr">
        <is>
          <t>Föryngringsavverkning</t>
        </is>
      </c>
      <c r="D4594" s="1" t="n">
        <v>45330</v>
      </c>
      <c r="E4594" s="1" t="n">
        <v>46323</v>
      </c>
      <c r="F4594" t="inlineStr">
        <is>
          <t>KALMAR LÄN</t>
        </is>
      </c>
      <c r="G4594" t="inlineStr">
        <is>
          <t>OSKARSHAMN</t>
        </is>
      </c>
      <c r="I4594" t="n">
        <v>3.8</v>
      </c>
      <c r="J4594" t="n">
        <v>0</v>
      </c>
      <c r="K4594" t="n">
        <v>0</v>
      </c>
      <c r="L4594" t="n">
        <v>0</v>
      </c>
      <c r="M4594" t="n">
        <v>0</v>
      </c>
      <c r="N4594" t="n">
        <v>0</v>
      </c>
      <c r="O4594" t="n">
        <v>0</v>
      </c>
      <c r="P4594" t="n">
        <v>0</v>
      </c>
      <c r="Q4594" t="n">
        <v>0</v>
      </c>
      <c r="R4594" t="n">
        <v>0</v>
      </c>
      <c r="S4594" t="n">
        <v>0</v>
      </c>
      <c r="T4594" t="n">
        <v>0</v>
      </c>
      <c r="U4594" t="n">
        <v>0</v>
      </c>
      <c r="V4594" s="2" t="inlineStr"/>
    </row>
    <row r="4595" ht="15" customHeight="1">
      <c r="A4595" t="inlineStr">
        <is>
          <t>A 39296-2026</t>
        </is>
      </c>
      <c r="B4595" t="inlineStr">
        <is>
          <t>avverkningsanmälan</t>
        </is>
      </c>
      <c r="C4595" t="inlineStr">
        <is>
          <t>Föryngringsavverkning</t>
        </is>
      </c>
      <c r="D4595" s="1" t="n">
        <v>46288</v>
      </c>
      <c r="E4595" s="1" t="n">
        <v>46323</v>
      </c>
      <c r="F4595" t="inlineStr">
        <is>
          <t>KALMAR LÄN</t>
        </is>
      </c>
      <c r="G4595" t="inlineStr">
        <is>
          <t>VIMMERBY</t>
        </is>
      </c>
      <c r="H4595" t="inlineStr">
        <is>
          <t>Sveaskog</t>
        </is>
      </c>
      <c r="I4595" t="n">
        <v>4.1</v>
      </c>
      <c r="J4595" t="n">
        <v>0</v>
      </c>
      <c r="K4595" t="n">
        <v>0</v>
      </c>
      <c r="L4595" t="n">
        <v>0</v>
      </c>
      <c r="M4595" t="n">
        <v>0</v>
      </c>
      <c r="N4595" t="n">
        <v>0</v>
      </c>
      <c r="O4595" t="n">
        <v>0</v>
      </c>
      <c r="P4595" t="n">
        <v>0</v>
      </c>
      <c r="Q4595" t="n">
        <v>0</v>
      </c>
      <c r="R4595" t="n">
        <v>0</v>
      </c>
      <c r="S4595" t="n">
        <v>0</v>
      </c>
      <c r="T4595" t="n">
        <v>0</v>
      </c>
      <c r="U4595" t="n">
        <v>0</v>
      </c>
      <c r="V4595" s="2" t="inlineStr"/>
    </row>
    <row r="4596" ht="15" customHeight="1">
      <c r="A4596" t="inlineStr">
        <is>
          <t>A 39292-2026</t>
        </is>
      </c>
      <c r="B4596" t="inlineStr">
        <is>
          <t>avverkningsanmälan</t>
        </is>
      </c>
      <c r="C4596" t="inlineStr">
        <is>
          <t>Föryngringsavverkning</t>
        </is>
      </c>
      <c r="D4596" s="1" t="n">
        <v>46288</v>
      </c>
      <c r="E4596" s="1" t="n">
        <v>46323</v>
      </c>
      <c r="F4596" t="inlineStr">
        <is>
          <t>KALMAR LÄN</t>
        </is>
      </c>
      <c r="G4596" t="inlineStr">
        <is>
          <t>VIMMERBY</t>
        </is>
      </c>
      <c r="H4596" t="inlineStr">
        <is>
          <t>Sveaskog</t>
        </is>
      </c>
      <c r="I4596" t="n">
        <v>0.8</v>
      </c>
      <c r="J4596" t="n">
        <v>0</v>
      </c>
      <c r="K4596" t="n">
        <v>0</v>
      </c>
      <c r="L4596" t="n">
        <v>0</v>
      </c>
      <c r="M4596" t="n">
        <v>0</v>
      </c>
      <c r="N4596" t="n">
        <v>0</v>
      </c>
      <c r="O4596" t="n">
        <v>0</v>
      </c>
      <c r="P4596" t="n">
        <v>0</v>
      </c>
      <c r="Q4596" t="n">
        <v>0</v>
      </c>
      <c r="R4596" t="n">
        <v>0</v>
      </c>
      <c r="S4596" t="n">
        <v>0</v>
      </c>
      <c r="T4596" t="n">
        <v>0</v>
      </c>
      <c r="U4596" t="n">
        <v>0</v>
      </c>
      <c r="V4596" s="2" t="inlineStr"/>
    </row>
    <row r="4597" ht="15" customHeight="1">
      <c r="A4597" t="inlineStr">
        <is>
          <t>A 49757-2023</t>
        </is>
      </c>
      <c r="B4597" t="inlineStr">
        <is>
          <t>avverkningsanmälan</t>
        </is>
      </c>
      <c r="C4597" t="inlineStr">
        <is>
          <t>Föryngringsavverkning</t>
        </is>
      </c>
      <c r="D4597" s="1" t="n">
        <v>45212</v>
      </c>
      <c r="E4597" s="1" t="n">
        <v>46323</v>
      </c>
      <c r="F4597" t="inlineStr">
        <is>
          <t>KALMAR LÄN</t>
        </is>
      </c>
      <c r="G4597" t="inlineStr">
        <is>
          <t>KALMAR</t>
        </is>
      </c>
      <c r="I4597" t="n">
        <v>0.5</v>
      </c>
      <c r="J4597" t="n">
        <v>0</v>
      </c>
      <c r="K4597" t="n">
        <v>0</v>
      </c>
      <c r="L4597" t="n">
        <v>0</v>
      </c>
      <c r="M4597" t="n">
        <v>0</v>
      </c>
      <c r="N4597" t="n">
        <v>0</v>
      </c>
      <c r="O4597" t="n">
        <v>0</v>
      </c>
      <c r="P4597" t="n">
        <v>0</v>
      </c>
      <c r="Q4597" t="n">
        <v>0</v>
      </c>
      <c r="R4597" t="n">
        <v>0</v>
      </c>
      <c r="S4597" t="n">
        <v>0</v>
      </c>
      <c r="T4597" t="n">
        <v>0</v>
      </c>
      <c r="U4597" t="n">
        <v>0</v>
      </c>
      <c r="V4597" s="2" t="inlineStr"/>
    </row>
    <row r="4598" ht="15" customHeight="1">
      <c r="A4598" t="inlineStr">
        <is>
          <t>A 8100-2023</t>
        </is>
      </c>
      <c r="B4598" t="inlineStr">
        <is>
          <t>avverkningsanmälan</t>
        </is>
      </c>
      <c r="C4598" t="inlineStr">
        <is>
          <t>Föryngringsavverkning</t>
        </is>
      </c>
      <c r="D4598" s="1" t="n">
        <v>44974</v>
      </c>
      <c r="E4598" s="1" t="n">
        <v>46323</v>
      </c>
      <c r="F4598" t="inlineStr">
        <is>
          <t>KALMAR LÄN</t>
        </is>
      </c>
      <c r="G4598" t="inlineStr">
        <is>
          <t>NYBRO</t>
        </is>
      </c>
      <c r="I4598" t="n">
        <v>2</v>
      </c>
      <c r="J4598" t="n">
        <v>0</v>
      </c>
      <c r="K4598" t="n">
        <v>0</v>
      </c>
      <c r="L4598" t="n">
        <v>0</v>
      </c>
      <c r="M4598" t="n">
        <v>0</v>
      </c>
      <c r="N4598" t="n">
        <v>0</v>
      </c>
      <c r="O4598" t="n">
        <v>0</v>
      </c>
      <c r="P4598" t="n">
        <v>0</v>
      </c>
      <c r="Q4598" t="n">
        <v>0</v>
      </c>
      <c r="R4598" t="n">
        <v>0</v>
      </c>
      <c r="S4598" t="n">
        <v>0</v>
      </c>
      <c r="T4598" t="n">
        <v>0</v>
      </c>
      <c r="U4598" t="n">
        <v>0</v>
      </c>
      <c r="V4598" s="2" t="inlineStr"/>
    </row>
    <row r="4599" ht="15" customHeight="1">
      <c r="A4599" t="inlineStr">
        <is>
          <t>A 55289-2023</t>
        </is>
      </c>
      <c r="B4599" t="inlineStr">
        <is>
          <t>avverkningsanmälan</t>
        </is>
      </c>
      <c r="C4599" t="inlineStr">
        <is>
          <t>Föryngringsavverkning</t>
        </is>
      </c>
      <c r="D4599" s="1" t="n">
        <v>45237</v>
      </c>
      <c r="E4599" s="1" t="n">
        <v>46323</v>
      </c>
      <c r="F4599" t="inlineStr">
        <is>
          <t>KALMAR LÄN</t>
        </is>
      </c>
      <c r="G4599" t="inlineStr">
        <is>
          <t>VÄSTERVIK</t>
        </is>
      </c>
      <c r="I4599" t="n">
        <v>1.7</v>
      </c>
      <c r="J4599" t="n">
        <v>0</v>
      </c>
      <c r="K4599" t="n">
        <v>0</v>
      </c>
      <c r="L4599" t="n">
        <v>0</v>
      </c>
      <c r="M4599" t="n">
        <v>0</v>
      </c>
      <c r="N4599" t="n">
        <v>0</v>
      </c>
      <c r="O4599" t="n">
        <v>0</v>
      </c>
      <c r="P4599" t="n">
        <v>0</v>
      </c>
      <c r="Q4599" t="n">
        <v>0</v>
      </c>
      <c r="R4599" t="n">
        <v>0</v>
      </c>
      <c r="S4599" t="n">
        <v>0</v>
      </c>
      <c r="T4599" t="n">
        <v>0</v>
      </c>
      <c r="U4599" t="n">
        <v>0</v>
      </c>
      <c r="V4599" s="2" t="inlineStr"/>
    </row>
    <row r="4600" ht="15" customHeight="1">
      <c r="A4600" t="inlineStr">
        <is>
          <t>A 33207-2022</t>
        </is>
      </c>
      <c r="B4600" t="inlineStr">
        <is>
          <t>avverkningsanmälan</t>
        </is>
      </c>
      <c r="C4600" t="inlineStr">
        <is>
          <t>Föryngringsavverkning</t>
        </is>
      </c>
      <c r="D4600" s="1" t="n">
        <v>44785</v>
      </c>
      <c r="E4600" s="1" t="n">
        <v>46323</v>
      </c>
      <c r="F4600" t="inlineStr">
        <is>
          <t>KALMAR LÄN</t>
        </is>
      </c>
      <c r="G4600" t="inlineStr">
        <is>
          <t>VÄSTERVIK</t>
        </is>
      </c>
      <c r="I4600" t="n">
        <v>0.9</v>
      </c>
      <c r="J4600" t="n">
        <v>0</v>
      </c>
      <c r="K4600" t="n">
        <v>0</v>
      </c>
      <c r="L4600" t="n">
        <v>0</v>
      </c>
      <c r="M4600" t="n">
        <v>0</v>
      </c>
      <c r="N4600" t="n">
        <v>0</v>
      </c>
      <c r="O4600" t="n">
        <v>0</v>
      </c>
      <c r="P4600" t="n">
        <v>0</v>
      </c>
      <c r="Q4600" t="n">
        <v>0</v>
      </c>
      <c r="R4600" t="n">
        <v>0</v>
      </c>
      <c r="S4600" t="n">
        <v>0</v>
      </c>
      <c r="T4600" t="n">
        <v>0</v>
      </c>
      <c r="U4600" t="n">
        <v>0</v>
      </c>
      <c r="V4600" s="2" t="inlineStr"/>
    </row>
    <row r="4601" ht="15" customHeight="1">
      <c r="A4601" t="inlineStr">
        <is>
          <t>A 33210-2022</t>
        </is>
      </c>
      <c r="B4601" t="inlineStr">
        <is>
          <t>avverkningsanmälan</t>
        </is>
      </c>
      <c r="C4601" t="inlineStr">
        <is>
          <t>Föryngringsavverkning</t>
        </is>
      </c>
      <c r="D4601" s="1" t="n">
        <v>44785</v>
      </c>
      <c r="E4601" s="1" t="n">
        <v>46323</v>
      </c>
      <c r="F4601" t="inlineStr">
        <is>
          <t>KALMAR LÄN</t>
        </is>
      </c>
      <c r="G4601" t="inlineStr">
        <is>
          <t>VÄSTERVIK</t>
        </is>
      </c>
      <c r="I4601" t="n">
        <v>3.2</v>
      </c>
      <c r="J4601" t="n">
        <v>0</v>
      </c>
      <c r="K4601" t="n">
        <v>0</v>
      </c>
      <c r="L4601" t="n">
        <v>0</v>
      </c>
      <c r="M4601" t="n">
        <v>0</v>
      </c>
      <c r="N4601" t="n">
        <v>0</v>
      </c>
      <c r="O4601" t="n">
        <v>0</v>
      </c>
      <c r="P4601" t="n">
        <v>0</v>
      </c>
      <c r="Q4601" t="n">
        <v>0</v>
      </c>
      <c r="R4601" t="n">
        <v>0</v>
      </c>
      <c r="S4601" t="n">
        <v>0</v>
      </c>
      <c r="T4601" t="n">
        <v>0</v>
      </c>
      <c r="U4601" t="n">
        <v>0</v>
      </c>
      <c r="V4601" s="2" t="inlineStr"/>
    </row>
    <row r="4602" ht="15" customHeight="1">
      <c r="A4602" t="inlineStr">
        <is>
          <t>A 39035-2026</t>
        </is>
      </c>
      <c r="B4602" t="inlineStr">
        <is>
          <t>avverkningsanmälan</t>
        </is>
      </c>
      <c r="C4602" t="inlineStr">
        <is>
          <t>Föryngringsavverkning</t>
        </is>
      </c>
      <c r="D4602" s="1" t="n">
        <v>46287</v>
      </c>
      <c r="E4602" s="1" t="n">
        <v>46323</v>
      </c>
      <c r="F4602" t="inlineStr">
        <is>
          <t>KALMAR LÄN</t>
        </is>
      </c>
      <c r="G4602" t="inlineStr">
        <is>
          <t>HÖGSBY</t>
        </is>
      </c>
      <c r="I4602" t="n">
        <v>3</v>
      </c>
      <c r="J4602" t="n">
        <v>0</v>
      </c>
      <c r="K4602" t="n">
        <v>0</v>
      </c>
      <c r="L4602" t="n">
        <v>0</v>
      </c>
      <c r="M4602" t="n">
        <v>0</v>
      </c>
      <c r="N4602" t="n">
        <v>0</v>
      </c>
      <c r="O4602" t="n">
        <v>0</v>
      </c>
      <c r="P4602" t="n">
        <v>0</v>
      </c>
      <c r="Q4602" t="n">
        <v>0</v>
      </c>
      <c r="R4602" t="n">
        <v>0</v>
      </c>
      <c r="S4602" t="n">
        <v>0</v>
      </c>
      <c r="T4602" t="n">
        <v>0</v>
      </c>
      <c r="U4602" t="n">
        <v>0</v>
      </c>
      <c r="V4602" s="2" t="inlineStr"/>
    </row>
    <row r="4603" ht="15" customHeight="1">
      <c r="A4603" t="inlineStr">
        <is>
          <t>A 11820-2026</t>
        </is>
      </c>
      <c r="B4603" t="inlineStr">
        <is>
          <t>avverkningsanmälan</t>
        </is>
      </c>
      <c r="C4603" t="inlineStr">
        <is>
          <t>Föryngringsavverkning</t>
        </is>
      </c>
      <c r="D4603" s="1" t="n">
        <v>46085</v>
      </c>
      <c r="E4603" s="1" t="n">
        <v>46323</v>
      </c>
      <c r="F4603" t="inlineStr">
        <is>
          <t>KALMAR LÄN</t>
        </is>
      </c>
      <c r="G4603" t="inlineStr">
        <is>
          <t>EMMABODA</t>
        </is>
      </c>
      <c r="I4603" t="n">
        <v>5</v>
      </c>
      <c r="J4603" t="n">
        <v>0</v>
      </c>
      <c r="K4603" t="n">
        <v>0</v>
      </c>
      <c r="L4603" t="n">
        <v>0</v>
      </c>
      <c r="M4603" t="n">
        <v>0</v>
      </c>
      <c r="N4603" t="n">
        <v>0</v>
      </c>
      <c r="O4603" t="n">
        <v>0</v>
      </c>
      <c r="P4603" t="n">
        <v>0</v>
      </c>
      <c r="Q4603" t="n">
        <v>0</v>
      </c>
      <c r="R4603" t="n">
        <v>0</v>
      </c>
      <c r="S4603" t="n">
        <v>0</v>
      </c>
      <c r="T4603" t="n">
        <v>0</v>
      </c>
      <c r="U4603" t="n">
        <v>0</v>
      </c>
      <c r="V4603" s="2" t="inlineStr"/>
    </row>
    <row r="4604" ht="15" customHeight="1">
      <c r="A4604" t="inlineStr">
        <is>
          <t>A 13734-2023</t>
        </is>
      </c>
      <c r="B4604" t="inlineStr">
        <is>
          <t>avverkningsanmälan</t>
        </is>
      </c>
      <c r="C4604" t="inlineStr">
        <is>
          <t>Föryngringsavverkning</t>
        </is>
      </c>
      <c r="D4604" s="1" t="n">
        <v>45007</v>
      </c>
      <c r="E4604" s="1" t="n">
        <v>46323</v>
      </c>
      <c r="F4604" t="inlineStr">
        <is>
          <t>KALMAR LÄN</t>
        </is>
      </c>
      <c r="G4604" t="inlineStr">
        <is>
          <t>KALMAR</t>
        </is>
      </c>
      <c r="I4604" t="n">
        <v>1.1</v>
      </c>
      <c r="J4604" t="n">
        <v>0</v>
      </c>
      <c r="K4604" t="n">
        <v>0</v>
      </c>
      <c r="L4604" t="n">
        <v>0</v>
      </c>
      <c r="M4604" t="n">
        <v>0</v>
      </c>
      <c r="N4604" t="n">
        <v>0</v>
      </c>
      <c r="O4604" t="n">
        <v>0</v>
      </c>
      <c r="P4604" t="n">
        <v>0</v>
      </c>
      <c r="Q4604" t="n">
        <v>0</v>
      </c>
      <c r="R4604" t="n">
        <v>0</v>
      </c>
      <c r="S4604" t="n">
        <v>0</v>
      </c>
      <c r="T4604" t="n">
        <v>0</v>
      </c>
      <c r="U4604" t="n">
        <v>0</v>
      </c>
      <c r="V4604" s="2" t="inlineStr"/>
    </row>
    <row r="4605" ht="15" customHeight="1">
      <c r="A4605" t="inlineStr">
        <is>
          <t>A 13735-2023</t>
        </is>
      </c>
      <c r="B4605" t="inlineStr">
        <is>
          <t>avverkningsanmälan</t>
        </is>
      </c>
      <c r="C4605" t="inlineStr">
        <is>
          <t>Föryngringsavverkning</t>
        </is>
      </c>
      <c r="D4605" s="1" t="n">
        <v>45007</v>
      </c>
      <c r="E4605" s="1" t="n">
        <v>46323</v>
      </c>
      <c r="F4605" t="inlineStr">
        <is>
          <t>KALMAR LÄN</t>
        </is>
      </c>
      <c r="G4605" t="inlineStr">
        <is>
          <t>KALMAR</t>
        </is>
      </c>
      <c r="I4605" t="n">
        <v>1</v>
      </c>
      <c r="J4605" t="n">
        <v>0</v>
      </c>
      <c r="K4605" t="n">
        <v>0</v>
      </c>
      <c r="L4605" t="n">
        <v>0</v>
      </c>
      <c r="M4605" t="n">
        <v>0</v>
      </c>
      <c r="N4605" t="n">
        <v>0</v>
      </c>
      <c r="O4605" t="n">
        <v>0</v>
      </c>
      <c r="P4605" t="n">
        <v>0</v>
      </c>
      <c r="Q4605" t="n">
        <v>0</v>
      </c>
      <c r="R4605" t="n">
        <v>0</v>
      </c>
      <c r="S4605" t="n">
        <v>0</v>
      </c>
      <c r="T4605" t="n">
        <v>0</v>
      </c>
      <c r="U4605" t="n">
        <v>0</v>
      </c>
      <c r="V4605" s="2" t="inlineStr"/>
    </row>
    <row r="4606" ht="15" customHeight="1">
      <c r="A4606" t="inlineStr">
        <is>
          <t>A 1702-2024</t>
        </is>
      </c>
      <c r="B4606" t="inlineStr">
        <is>
          <t>avverkningsanmälan</t>
        </is>
      </c>
      <c r="C4606" t="inlineStr">
        <is>
          <t>Föryngringsavverkning</t>
        </is>
      </c>
      <c r="D4606" s="1" t="n">
        <v>45307</v>
      </c>
      <c r="E4606" s="1" t="n">
        <v>46323</v>
      </c>
      <c r="F4606" t="inlineStr">
        <is>
          <t>KALMAR LÄN</t>
        </is>
      </c>
      <c r="G4606" t="inlineStr">
        <is>
          <t>EMMABODA</t>
        </is>
      </c>
      <c r="I4606" t="n">
        <v>1.1</v>
      </c>
      <c r="J4606" t="n">
        <v>0</v>
      </c>
      <c r="K4606" t="n">
        <v>0</v>
      </c>
      <c r="L4606" t="n">
        <v>0</v>
      </c>
      <c r="M4606" t="n">
        <v>0</v>
      </c>
      <c r="N4606" t="n">
        <v>0</v>
      </c>
      <c r="O4606" t="n">
        <v>0</v>
      </c>
      <c r="P4606" t="n">
        <v>0</v>
      </c>
      <c r="Q4606" t="n">
        <v>0</v>
      </c>
      <c r="R4606" t="n">
        <v>0</v>
      </c>
      <c r="S4606" t="n">
        <v>0</v>
      </c>
      <c r="T4606" t="n">
        <v>0</v>
      </c>
      <c r="U4606" t="n">
        <v>0</v>
      </c>
      <c r="V4606" s="2" t="inlineStr"/>
    </row>
    <row r="4607" ht="15" customHeight="1">
      <c r="A4607" t="inlineStr">
        <is>
          <t>A 32965-2026</t>
        </is>
      </c>
      <c r="B4607" t="inlineStr">
        <is>
          <t>avverkningsanmälan</t>
        </is>
      </c>
      <c r="C4607" t="inlineStr">
        <is>
          <t>Föryngringsavverkning</t>
        </is>
      </c>
      <c r="D4607" s="1" t="n">
        <v>46244</v>
      </c>
      <c r="E4607" s="1" t="n">
        <v>46323</v>
      </c>
      <c r="F4607" t="inlineStr">
        <is>
          <t>KALMAR LÄN</t>
        </is>
      </c>
      <c r="G4607" t="inlineStr">
        <is>
          <t>VIMMERBY</t>
        </is>
      </c>
      <c r="I4607" t="n">
        <v>3.5</v>
      </c>
      <c r="J4607" t="n">
        <v>0</v>
      </c>
      <c r="K4607" t="n">
        <v>0</v>
      </c>
      <c r="L4607" t="n">
        <v>0</v>
      </c>
      <c r="M4607" t="n">
        <v>0</v>
      </c>
      <c r="N4607" t="n">
        <v>0</v>
      </c>
      <c r="O4607" t="n">
        <v>0</v>
      </c>
      <c r="P4607" t="n">
        <v>0</v>
      </c>
      <c r="Q4607" t="n">
        <v>0</v>
      </c>
      <c r="R4607" t="n">
        <v>0</v>
      </c>
      <c r="S4607" t="n">
        <v>0</v>
      </c>
      <c r="T4607" t="n">
        <v>0</v>
      </c>
      <c r="U4607" t="n">
        <v>0</v>
      </c>
      <c r="V4607" s="2" t="inlineStr"/>
    </row>
    <row r="4608" ht="15" customHeight="1">
      <c r="A4608" t="inlineStr">
        <is>
          <t>A 39320-2026</t>
        </is>
      </c>
      <c r="B4608" t="inlineStr">
        <is>
          <t>avverkningsanmälan</t>
        </is>
      </c>
      <c r="C4608" t="inlineStr">
        <is>
          <t>Föryngringsavverkning</t>
        </is>
      </c>
      <c r="D4608" s="1" t="n">
        <v>46287</v>
      </c>
      <c r="E4608" s="1" t="n">
        <v>46323</v>
      </c>
      <c r="F4608" t="inlineStr">
        <is>
          <t>KALMAR LÄN</t>
        </is>
      </c>
      <c r="G4608" t="inlineStr">
        <is>
          <t>VIMMERBY</t>
        </is>
      </c>
      <c r="I4608" t="n">
        <v>4.8</v>
      </c>
      <c r="J4608" t="n">
        <v>0</v>
      </c>
      <c r="K4608" t="n">
        <v>0</v>
      </c>
      <c r="L4608" t="n">
        <v>0</v>
      </c>
      <c r="M4608" t="n">
        <v>0</v>
      </c>
      <c r="N4608" t="n">
        <v>0</v>
      </c>
      <c r="O4608" t="n">
        <v>0</v>
      </c>
      <c r="P4608" t="n">
        <v>0</v>
      </c>
      <c r="Q4608" t="n">
        <v>0</v>
      </c>
      <c r="R4608" t="n">
        <v>0</v>
      </c>
      <c r="S4608" t="n">
        <v>0</v>
      </c>
      <c r="T4608" t="n">
        <v>0</v>
      </c>
      <c r="U4608" t="n">
        <v>0</v>
      </c>
      <c r="V4608" s="2" t="inlineStr"/>
    </row>
    <row r="4609" ht="15" customHeight="1">
      <c r="A4609" t="inlineStr">
        <is>
          <t>A 39326-2026</t>
        </is>
      </c>
      <c r="B4609" t="inlineStr">
        <is>
          <t>avverkningsanmälan</t>
        </is>
      </c>
      <c r="C4609" t="inlineStr">
        <is>
          <t>Föryngringsavverkning</t>
        </is>
      </c>
      <c r="D4609" s="1" t="n">
        <v>46287</v>
      </c>
      <c r="E4609" s="1" t="n">
        <v>46323</v>
      </c>
      <c r="F4609" t="inlineStr">
        <is>
          <t>KALMAR LÄN</t>
        </is>
      </c>
      <c r="G4609" t="inlineStr">
        <is>
          <t>HULTSFRED</t>
        </is>
      </c>
      <c r="I4609" t="n">
        <v>3.3</v>
      </c>
      <c r="J4609" t="n">
        <v>0</v>
      </c>
      <c r="K4609" t="n">
        <v>0</v>
      </c>
      <c r="L4609" t="n">
        <v>0</v>
      </c>
      <c r="M4609" t="n">
        <v>0</v>
      </c>
      <c r="N4609" t="n">
        <v>0</v>
      </c>
      <c r="O4609" t="n">
        <v>0</v>
      </c>
      <c r="P4609" t="n">
        <v>0</v>
      </c>
      <c r="Q4609" t="n">
        <v>0</v>
      </c>
      <c r="R4609" t="n">
        <v>0</v>
      </c>
      <c r="S4609" t="n">
        <v>0</v>
      </c>
      <c r="T4609" t="n">
        <v>0</v>
      </c>
      <c r="U4609" t="n">
        <v>0</v>
      </c>
      <c r="V4609" s="2" t="inlineStr"/>
    </row>
    <row r="4610" ht="15" customHeight="1">
      <c r="A4610" t="inlineStr">
        <is>
          <t>A 10457-2024</t>
        </is>
      </c>
      <c r="B4610" t="inlineStr">
        <is>
          <t>avverkningsanmälan</t>
        </is>
      </c>
      <c r="C4610" t="inlineStr">
        <is>
          <t>Föryngringsavverkning</t>
        </is>
      </c>
      <c r="D4610" s="1" t="n">
        <v>45366</v>
      </c>
      <c r="E4610" s="1" t="n">
        <v>46323</v>
      </c>
      <c r="F4610" t="inlineStr">
        <is>
          <t>KALMAR LÄN</t>
        </is>
      </c>
      <c r="G4610" t="inlineStr">
        <is>
          <t>NYBRO</t>
        </is>
      </c>
      <c r="I4610" t="n">
        <v>0.6</v>
      </c>
      <c r="J4610" t="n">
        <v>0</v>
      </c>
      <c r="K4610" t="n">
        <v>0</v>
      </c>
      <c r="L4610" t="n">
        <v>0</v>
      </c>
      <c r="M4610" t="n">
        <v>0</v>
      </c>
      <c r="N4610" t="n">
        <v>0</v>
      </c>
      <c r="O4610" t="n">
        <v>0</v>
      </c>
      <c r="P4610" t="n">
        <v>0</v>
      </c>
      <c r="Q4610" t="n">
        <v>0</v>
      </c>
      <c r="R4610" t="n">
        <v>0</v>
      </c>
      <c r="S4610" t="n">
        <v>0</v>
      </c>
      <c r="T4610" t="n">
        <v>0</v>
      </c>
      <c r="U4610" t="n">
        <v>0</v>
      </c>
      <c r="V4610" s="2" t="inlineStr"/>
    </row>
    <row r="4611" ht="15" customHeight="1">
      <c r="A4611" t="inlineStr">
        <is>
          <t>A 10515-2024</t>
        </is>
      </c>
      <c r="B4611" t="inlineStr">
        <is>
          <t>avverkningsanmälan</t>
        </is>
      </c>
      <c r="C4611" t="inlineStr">
        <is>
          <t>Föryngringsavverkning</t>
        </is>
      </c>
      <c r="D4611" s="1" t="n">
        <v>45366</v>
      </c>
      <c r="E4611" s="1" t="n">
        <v>46323</v>
      </c>
      <c r="F4611" t="inlineStr">
        <is>
          <t>KALMAR LÄN</t>
        </is>
      </c>
      <c r="G4611" t="inlineStr">
        <is>
          <t>VÄSTERVIK</t>
        </is>
      </c>
      <c r="H4611" t="inlineStr">
        <is>
          <t>Kyrkan</t>
        </is>
      </c>
      <c r="I4611" t="n">
        <v>3.5</v>
      </c>
      <c r="J4611" t="n">
        <v>0</v>
      </c>
      <c r="K4611" t="n">
        <v>0</v>
      </c>
      <c r="L4611" t="n">
        <v>0</v>
      </c>
      <c r="M4611" t="n">
        <v>0</v>
      </c>
      <c r="N4611" t="n">
        <v>0</v>
      </c>
      <c r="O4611" t="n">
        <v>0</v>
      </c>
      <c r="P4611" t="n">
        <v>0</v>
      </c>
      <c r="Q4611" t="n">
        <v>0</v>
      </c>
      <c r="R4611" t="n">
        <v>0</v>
      </c>
      <c r="S4611" t="n">
        <v>0</v>
      </c>
      <c r="T4611" t="n">
        <v>0</v>
      </c>
      <c r="U4611" t="n">
        <v>0</v>
      </c>
      <c r="V4611" s="2" t="inlineStr"/>
    </row>
    <row r="4612" ht="15" customHeight="1">
      <c r="A4612" t="inlineStr">
        <is>
          <t>A 12236-2026</t>
        </is>
      </c>
      <c r="B4612" t="inlineStr">
        <is>
          <t>avverkningsanmälan</t>
        </is>
      </c>
      <c r="C4612" t="inlineStr">
        <is>
          <t>Föryngringsavverkning</t>
        </is>
      </c>
      <c r="D4612" s="1" t="n">
        <v>46087</v>
      </c>
      <c r="E4612" s="1" t="n">
        <v>46323</v>
      </c>
      <c r="F4612" t="inlineStr">
        <is>
          <t>KALMAR LÄN</t>
        </is>
      </c>
      <c r="G4612" t="inlineStr">
        <is>
          <t>NYBRO</t>
        </is>
      </c>
      <c r="I4612" t="n">
        <v>4.3</v>
      </c>
      <c r="J4612" t="n">
        <v>0</v>
      </c>
      <c r="K4612" t="n">
        <v>0</v>
      </c>
      <c r="L4612" t="n">
        <v>0</v>
      </c>
      <c r="M4612" t="n">
        <v>0</v>
      </c>
      <c r="N4612" t="n">
        <v>0</v>
      </c>
      <c r="O4612" t="n">
        <v>0</v>
      </c>
      <c r="P4612" t="n">
        <v>0</v>
      </c>
      <c r="Q4612" t="n">
        <v>0</v>
      </c>
      <c r="R4612" t="n">
        <v>0</v>
      </c>
      <c r="S4612" t="n">
        <v>0</v>
      </c>
      <c r="T4612" t="n">
        <v>0</v>
      </c>
      <c r="U4612" t="n">
        <v>0</v>
      </c>
      <c r="V4612" s="2" t="inlineStr"/>
    </row>
    <row r="4613" ht="15" customHeight="1">
      <c r="A4613" t="inlineStr">
        <is>
          <t>A 39338-2026</t>
        </is>
      </c>
      <c r="B4613" t="inlineStr">
        <is>
          <t>avverkningsanmälan</t>
        </is>
      </c>
      <c r="C4613" t="inlineStr">
        <is>
          <t>Föryngringsavverkning</t>
        </is>
      </c>
      <c r="D4613" s="1" t="n">
        <v>46287</v>
      </c>
      <c r="E4613" s="1" t="n">
        <v>46323</v>
      </c>
      <c r="F4613" t="inlineStr">
        <is>
          <t>KALMAR LÄN</t>
        </is>
      </c>
      <c r="G4613" t="inlineStr">
        <is>
          <t>VIMMERBY</t>
        </is>
      </c>
      <c r="I4613" t="n">
        <v>2.3</v>
      </c>
      <c r="J4613" t="n">
        <v>0</v>
      </c>
      <c r="K4613" t="n">
        <v>0</v>
      </c>
      <c r="L4613" t="n">
        <v>0</v>
      </c>
      <c r="M4613" t="n">
        <v>0</v>
      </c>
      <c r="N4613" t="n">
        <v>0</v>
      </c>
      <c r="O4613" t="n">
        <v>0</v>
      </c>
      <c r="P4613" t="n">
        <v>0</v>
      </c>
      <c r="Q4613" t="n">
        <v>0</v>
      </c>
      <c r="R4613" t="n">
        <v>0</v>
      </c>
      <c r="S4613" t="n">
        <v>0</v>
      </c>
      <c r="T4613" t="n">
        <v>0</v>
      </c>
      <c r="U4613" t="n">
        <v>0</v>
      </c>
      <c r="V4613" s="2" t="inlineStr"/>
    </row>
    <row r="4614" ht="15" customHeight="1">
      <c r="A4614" t="inlineStr">
        <is>
          <t>A 9684-2025</t>
        </is>
      </c>
      <c r="B4614" t="inlineStr">
        <is>
          <t>avverkningsanmälan</t>
        </is>
      </c>
      <c r="C4614" t="inlineStr">
        <is>
          <t>Föryngringsavverkning</t>
        </is>
      </c>
      <c r="D4614" s="1" t="n">
        <v>45716</v>
      </c>
      <c r="E4614" s="1" t="n">
        <v>46323</v>
      </c>
      <c r="F4614" t="inlineStr">
        <is>
          <t>KALMAR LÄN</t>
        </is>
      </c>
      <c r="G4614" t="inlineStr">
        <is>
          <t>EMMABODA</t>
        </is>
      </c>
      <c r="I4614" t="n">
        <v>0.5</v>
      </c>
      <c r="J4614" t="n">
        <v>0</v>
      </c>
      <c r="K4614" t="n">
        <v>0</v>
      </c>
      <c r="L4614" t="n">
        <v>0</v>
      </c>
      <c r="M4614" t="n">
        <v>0</v>
      </c>
      <c r="N4614" t="n">
        <v>0</v>
      </c>
      <c r="O4614" t="n">
        <v>0</v>
      </c>
      <c r="P4614" t="n">
        <v>0</v>
      </c>
      <c r="Q4614" t="n">
        <v>0</v>
      </c>
      <c r="R4614" t="n">
        <v>0</v>
      </c>
      <c r="S4614" t="n">
        <v>0</v>
      </c>
      <c r="T4614" t="n">
        <v>0</v>
      </c>
      <c r="U4614" t="n">
        <v>0</v>
      </c>
      <c r="V4614" s="2" t="inlineStr"/>
    </row>
    <row r="4615" ht="15" customHeight="1">
      <c r="A4615" t="inlineStr">
        <is>
          <t>A 46065-2023</t>
        </is>
      </c>
      <c r="B4615" t="inlineStr">
        <is>
          <t>avverkningsanmälan</t>
        </is>
      </c>
      <c r="C4615" t="inlineStr">
        <is>
          <t>Föryngringsavverkning</t>
        </is>
      </c>
      <c r="D4615" s="1" t="n">
        <v>45190</v>
      </c>
      <c r="E4615" s="1" t="n">
        <v>46323</v>
      </c>
      <c r="F4615" t="inlineStr">
        <is>
          <t>KALMAR LÄN</t>
        </is>
      </c>
      <c r="G4615" t="inlineStr">
        <is>
          <t>EMMABODA</t>
        </is>
      </c>
      <c r="I4615" t="n">
        <v>2.6</v>
      </c>
      <c r="J4615" t="n">
        <v>0</v>
      </c>
      <c r="K4615" t="n">
        <v>0</v>
      </c>
      <c r="L4615" t="n">
        <v>0</v>
      </c>
      <c r="M4615" t="n">
        <v>0</v>
      </c>
      <c r="N4615" t="n">
        <v>0</v>
      </c>
      <c r="O4615" t="n">
        <v>0</v>
      </c>
      <c r="P4615" t="n">
        <v>0</v>
      </c>
      <c r="Q4615" t="n">
        <v>0</v>
      </c>
      <c r="R4615" t="n">
        <v>0</v>
      </c>
      <c r="S4615" t="n">
        <v>0</v>
      </c>
      <c r="T4615" t="n">
        <v>0</v>
      </c>
      <c r="U4615" t="n">
        <v>0</v>
      </c>
      <c r="V4615" s="2" t="inlineStr"/>
    </row>
    <row r="4616" ht="15" customHeight="1">
      <c r="A4616" t="inlineStr">
        <is>
          <t>A 46088-2023</t>
        </is>
      </c>
      <c r="B4616" t="inlineStr">
        <is>
          <t>avverkningsanmälan</t>
        </is>
      </c>
      <c r="C4616" t="inlineStr">
        <is>
          <t>Avverkning för att bevara och utveckla /försöksver</t>
        </is>
      </c>
      <c r="D4616" s="1" t="n">
        <v>45196</v>
      </c>
      <c r="E4616" s="1" t="n">
        <v>46323</v>
      </c>
      <c r="F4616" t="inlineStr">
        <is>
          <t>KALMAR LÄN</t>
        </is>
      </c>
      <c r="G4616" t="inlineStr">
        <is>
          <t>VÄSTERVIK</t>
        </is>
      </c>
      <c r="H4616" t="inlineStr">
        <is>
          <t>Sveaskog</t>
        </is>
      </c>
      <c r="I4616" t="n">
        <v>1.6</v>
      </c>
      <c r="J4616" t="n">
        <v>0</v>
      </c>
      <c r="K4616" t="n">
        <v>0</v>
      </c>
      <c r="L4616" t="n">
        <v>0</v>
      </c>
      <c r="M4616" t="n">
        <v>0</v>
      </c>
      <c r="N4616" t="n">
        <v>0</v>
      </c>
      <c r="O4616" t="n">
        <v>0</v>
      </c>
      <c r="P4616" t="n">
        <v>0</v>
      </c>
      <c r="Q4616" t="n">
        <v>0</v>
      </c>
      <c r="R4616" t="n">
        <v>0</v>
      </c>
      <c r="S4616" t="n">
        <v>0</v>
      </c>
      <c r="T4616" t="n">
        <v>0</v>
      </c>
      <c r="U4616" t="n">
        <v>0</v>
      </c>
      <c r="V4616" s="2" t="inlineStr"/>
    </row>
    <row r="4617" ht="15" customHeight="1">
      <c r="A4617" t="inlineStr">
        <is>
          <t>A 39349-2026</t>
        </is>
      </c>
      <c r="B4617" t="inlineStr">
        <is>
          <t>avverkningsanmälan</t>
        </is>
      </c>
      <c r="C4617" t="inlineStr">
        <is>
          <t>Föryngringsavverkning</t>
        </is>
      </c>
      <c r="D4617" s="1" t="n">
        <v>46287</v>
      </c>
      <c r="E4617" s="1" t="n">
        <v>46323</v>
      </c>
      <c r="F4617" t="inlineStr">
        <is>
          <t>KALMAR LÄN</t>
        </is>
      </c>
      <c r="G4617" t="inlineStr">
        <is>
          <t>VIMMERBY</t>
        </is>
      </c>
      <c r="I4617" t="n">
        <v>1.1</v>
      </c>
      <c r="J4617" t="n">
        <v>0</v>
      </c>
      <c r="K4617" t="n">
        <v>0</v>
      </c>
      <c r="L4617" t="n">
        <v>0</v>
      </c>
      <c r="M4617" t="n">
        <v>0</v>
      </c>
      <c r="N4617" t="n">
        <v>0</v>
      </c>
      <c r="O4617" t="n">
        <v>0</v>
      </c>
      <c r="P4617" t="n">
        <v>0</v>
      </c>
      <c r="Q4617" t="n">
        <v>0</v>
      </c>
      <c r="R4617" t="n">
        <v>0</v>
      </c>
      <c r="S4617" t="n">
        <v>0</v>
      </c>
      <c r="T4617" t="n">
        <v>0</v>
      </c>
      <c r="U4617" t="n">
        <v>0</v>
      </c>
      <c r="V4617" s="2" t="inlineStr"/>
    </row>
    <row r="4618" ht="15" customHeight="1">
      <c r="A4618" t="inlineStr">
        <is>
          <t>A 46121-2023</t>
        </is>
      </c>
      <c r="B4618" t="inlineStr">
        <is>
          <t>avverkningsanmälan</t>
        </is>
      </c>
      <c r="C4618" t="inlineStr">
        <is>
          <t>Föryngringsavverkning</t>
        </is>
      </c>
      <c r="D4618" s="1" t="n">
        <v>45196</v>
      </c>
      <c r="E4618" s="1" t="n">
        <v>46323</v>
      </c>
      <c r="F4618" t="inlineStr">
        <is>
          <t>KALMAR LÄN</t>
        </is>
      </c>
      <c r="G4618" t="inlineStr">
        <is>
          <t>VÄSTERVIK</t>
        </is>
      </c>
      <c r="H4618" t="inlineStr">
        <is>
          <t>Sveaskog</t>
        </is>
      </c>
      <c r="I4618" t="n">
        <v>3.3</v>
      </c>
      <c r="J4618" t="n">
        <v>0</v>
      </c>
      <c r="K4618" t="n">
        <v>0</v>
      </c>
      <c r="L4618" t="n">
        <v>0</v>
      </c>
      <c r="M4618" t="n">
        <v>0</v>
      </c>
      <c r="N4618" t="n">
        <v>0</v>
      </c>
      <c r="O4618" t="n">
        <v>0</v>
      </c>
      <c r="P4618" t="n">
        <v>0</v>
      </c>
      <c r="Q4618" t="n">
        <v>0</v>
      </c>
      <c r="R4618" t="n">
        <v>0</v>
      </c>
      <c r="S4618" t="n">
        <v>0</v>
      </c>
      <c r="T4618" t="n">
        <v>0</v>
      </c>
      <c r="U4618" t="n">
        <v>0</v>
      </c>
      <c r="V4618" s="2" t="inlineStr"/>
    </row>
    <row r="4619" ht="15" customHeight="1">
      <c r="A4619" t="inlineStr">
        <is>
          <t>A 39288-2026</t>
        </is>
      </c>
      <c r="B4619" t="inlineStr">
        <is>
          <t>avverkningsanmälan</t>
        </is>
      </c>
      <c r="C4619" t="inlineStr">
        <is>
          <t>Föryngringsavverkning</t>
        </is>
      </c>
      <c r="D4619" s="1" t="n">
        <v>46288</v>
      </c>
      <c r="E4619" s="1" t="n">
        <v>46323</v>
      </c>
      <c r="F4619" t="inlineStr">
        <is>
          <t>KALMAR LÄN</t>
        </is>
      </c>
      <c r="G4619" t="inlineStr">
        <is>
          <t>VIMMERBY</t>
        </is>
      </c>
      <c r="H4619" t="inlineStr">
        <is>
          <t>Sveaskog</t>
        </is>
      </c>
      <c r="I4619" t="n">
        <v>0.7</v>
      </c>
      <c r="J4619" t="n">
        <v>0</v>
      </c>
      <c r="K4619" t="n">
        <v>0</v>
      </c>
      <c r="L4619" t="n">
        <v>0</v>
      </c>
      <c r="M4619" t="n">
        <v>0</v>
      </c>
      <c r="N4619" t="n">
        <v>0</v>
      </c>
      <c r="O4619" t="n">
        <v>0</v>
      </c>
      <c r="P4619" t="n">
        <v>0</v>
      </c>
      <c r="Q4619" t="n">
        <v>0</v>
      </c>
      <c r="R4619" t="n">
        <v>0</v>
      </c>
      <c r="S4619" t="n">
        <v>0</v>
      </c>
      <c r="T4619" t="n">
        <v>0</v>
      </c>
      <c r="U4619" t="n">
        <v>0</v>
      </c>
      <c r="V4619" s="2" t="inlineStr"/>
    </row>
    <row r="4620" ht="15" customHeight="1">
      <c r="A4620" t="inlineStr">
        <is>
          <t>A 62025-2023</t>
        </is>
      </c>
      <c r="B4620" t="inlineStr">
        <is>
          <t>avverkningsanmälan</t>
        </is>
      </c>
      <c r="C4620" t="inlineStr">
        <is>
          <t>Föryngringsavverkning</t>
        </is>
      </c>
      <c r="D4620" s="1" t="n">
        <v>45266</v>
      </c>
      <c r="E4620" s="1" t="n">
        <v>46323</v>
      </c>
      <c r="F4620" t="inlineStr">
        <is>
          <t>KALMAR LÄN</t>
        </is>
      </c>
      <c r="G4620" t="inlineStr">
        <is>
          <t>KALMAR</t>
        </is>
      </c>
      <c r="I4620" t="n">
        <v>4.2</v>
      </c>
      <c r="J4620" t="n">
        <v>0</v>
      </c>
      <c r="K4620" t="n">
        <v>0</v>
      </c>
      <c r="L4620" t="n">
        <v>0</v>
      </c>
      <c r="M4620" t="n">
        <v>0</v>
      </c>
      <c r="N4620" t="n">
        <v>0</v>
      </c>
      <c r="O4620" t="n">
        <v>0</v>
      </c>
      <c r="P4620" t="n">
        <v>0</v>
      </c>
      <c r="Q4620" t="n">
        <v>0</v>
      </c>
      <c r="R4620" t="n">
        <v>0</v>
      </c>
      <c r="S4620" t="n">
        <v>0</v>
      </c>
      <c r="T4620" t="n">
        <v>0</v>
      </c>
      <c r="U4620" t="n">
        <v>0</v>
      </c>
      <c r="V4620" s="2" t="inlineStr"/>
    </row>
    <row r="4621" ht="15" customHeight="1">
      <c r="A4621" t="inlineStr">
        <is>
          <t>A 33838-2022</t>
        </is>
      </c>
      <c r="B4621" t="inlineStr">
        <is>
          <t>avverkningsanmälan</t>
        </is>
      </c>
      <c r="C4621" t="inlineStr">
        <is>
          <t>Föryngringsavverkning</t>
        </is>
      </c>
      <c r="D4621" s="1" t="n">
        <v>44790</v>
      </c>
      <c r="E4621" s="1" t="n">
        <v>46323</v>
      </c>
      <c r="F4621" t="inlineStr">
        <is>
          <t>KALMAR LÄN</t>
        </is>
      </c>
      <c r="G4621" t="inlineStr">
        <is>
          <t>VIMMERBY</t>
        </is>
      </c>
      <c r="I4621" t="n">
        <v>0.7</v>
      </c>
      <c r="J4621" t="n">
        <v>0</v>
      </c>
      <c r="K4621" t="n">
        <v>0</v>
      </c>
      <c r="L4621" t="n">
        <v>0</v>
      </c>
      <c r="M4621" t="n">
        <v>0</v>
      </c>
      <c r="N4621" t="n">
        <v>0</v>
      </c>
      <c r="O4621" t="n">
        <v>0</v>
      </c>
      <c r="P4621" t="n">
        <v>0</v>
      </c>
      <c r="Q4621" t="n">
        <v>0</v>
      </c>
      <c r="R4621" t="n">
        <v>0</v>
      </c>
      <c r="S4621" t="n">
        <v>0</v>
      </c>
      <c r="T4621" t="n">
        <v>0</v>
      </c>
      <c r="U4621" t="n">
        <v>0</v>
      </c>
      <c r="V4621" s="2" t="inlineStr"/>
    </row>
    <row r="4622" ht="15" customHeight="1">
      <c r="A4622" t="inlineStr">
        <is>
          <t>A 37161-2024</t>
        </is>
      </c>
      <c r="B4622" t="inlineStr">
        <is>
          <t>avverkningsanmälan</t>
        </is>
      </c>
      <c r="C4622" t="inlineStr">
        <is>
          <t>Föryngringsavverkning</t>
        </is>
      </c>
      <c r="D4622" s="1" t="n">
        <v>45539</v>
      </c>
      <c r="E4622" s="1" t="n">
        <v>46323</v>
      </c>
      <c r="F4622" t="inlineStr">
        <is>
          <t>KALMAR LÄN</t>
        </is>
      </c>
      <c r="G4622" t="inlineStr">
        <is>
          <t>HULTSFRED</t>
        </is>
      </c>
      <c r="I4622" t="n">
        <v>1</v>
      </c>
      <c r="J4622" t="n">
        <v>0</v>
      </c>
      <c r="K4622" t="n">
        <v>0</v>
      </c>
      <c r="L4622" t="n">
        <v>0</v>
      </c>
      <c r="M4622" t="n">
        <v>0</v>
      </c>
      <c r="N4622" t="n">
        <v>0</v>
      </c>
      <c r="O4622" t="n">
        <v>0</v>
      </c>
      <c r="P4622" t="n">
        <v>0</v>
      </c>
      <c r="Q4622" t="n">
        <v>0</v>
      </c>
      <c r="R4622" t="n">
        <v>0</v>
      </c>
      <c r="S4622" t="n">
        <v>0</v>
      </c>
      <c r="T4622" t="n">
        <v>0</v>
      </c>
      <c r="U4622" t="n">
        <v>0</v>
      </c>
      <c r="V4622" s="2" t="inlineStr"/>
    </row>
    <row r="4623" ht="15" customHeight="1">
      <c r="A4623" t="inlineStr">
        <is>
          <t>A 2906-2023</t>
        </is>
      </c>
      <c r="B4623" t="inlineStr">
        <is>
          <t>avverkningsanmälan</t>
        </is>
      </c>
      <c r="C4623" t="inlineStr">
        <is>
          <t>Föryngringsavverkning</t>
        </is>
      </c>
      <c r="D4623" s="1" t="n">
        <v>44945</v>
      </c>
      <c r="E4623" s="1" t="n">
        <v>46323</v>
      </c>
      <c r="F4623" t="inlineStr">
        <is>
          <t>KALMAR LÄN</t>
        </is>
      </c>
      <c r="G4623" t="inlineStr">
        <is>
          <t>OSKARSHAMN</t>
        </is>
      </c>
      <c r="I4623" t="n">
        <v>9.1</v>
      </c>
      <c r="J4623" t="n">
        <v>0</v>
      </c>
      <c r="K4623" t="n">
        <v>0</v>
      </c>
      <c r="L4623" t="n">
        <v>0</v>
      </c>
      <c r="M4623" t="n">
        <v>0</v>
      </c>
      <c r="N4623" t="n">
        <v>0</v>
      </c>
      <c r="O4623" t="n">
        <v>0</v>
      </c>
      <c r="P4623" t="n">
        <v>0</v>
      </c>
      <c r="Q4623" t="n">
        <v>0</v>
      </c>
      <c r="R4623" t="n">
        <v>0</v>
      </c>
      <c r="S4623" t="n">
        <v>0</v>
      </c>
      <c r="T4623" t="n">
        <v>0</v>
      </c>
      <c r="U4623" t="n">
        <v>0</v>
      </c>
      <c r="V4623" s="2" t="inlineStr"/>
    </row>
    <row r="4624" ht="15" customHeight="1">
      <c r="A4624" t="inlineStr">
        <is>
          <t>A 38998-2026</t>
        </is>
      </c>
      <c r="B4624" t="inlineStr">
        <is>
          <t>avverkningsanmälan</t>
        </is>
      </c>
      <c r="C4624" t="inlineStr">
        <is>
          <t>Föryngringsavverkning</t>
        </is>
      </c>
      <c r="D4624" s="1" t="n">
        <v>46287</v>
      </c>
      <c r="E4624" s="1" t="n">
        <v>46323</v>
      </c>
      <c r="F4624" t="inlineStr">
        <is>
          <t>KALMAR LÄN</t>
        </is>
      </c>
      <c r="G4624" t="inlineStr">
        <is>
          <t>VIMMERBY</t>
        </is>
      </c>
      <c r="I4624" t="n">
        <v>1.5</v>
      </c>
      <c r="J4624" t="n">
        <v>0</v>
      </c>
      <c r="K4624" t="n">
        <v>0</v>
      </c>
      <c r="L4624" t="n">
        <v>0</v>
      </c>
      <c r="M4624" t="n">
        <v>0</v>
      </c>
      <c r="N4624" t="n">
        <v>0</v>
      </c>
      <c r="O4624" t="n">
        <v>0</v>
      </c>
      <c r="P4624" t="n">
        <v>0</v>
      </c>
      <c r="Q4624" t="n">
        <v>0</v>
      </c>
      <c r="R4624" t="n">
        <v>0</v>
      </c>
      <c r="S4624" t="n">
        <v>0</v>
      </c>
      <c r="T4624" t="n">
        <v>0</v>
      </c>
      <c r="U4624" t="n">
        <v>0</v>
      </c>
      <c r="V4624" s="2" t="inlineStr"/>
    </row>
    <row r="4625" ht="15" customHeight="1">
      <c r="A4625" t="inlineStr">
        <is>
          <t>A 39136-2026</t>
        </is>
      </c>
      <c r="B4625" t="inlineStr">
        <is>
          <t>avverkningsanmälan</t>
        </is>
      </c>
      <c r="C4625" t="inlineStr">
        <is>
          <t>Föryngringsavverkning</t>
        </is>
      </c>
      <c r="D4625" s="1" t="n">
        <v>46287</v>
      </c>
      <c r="E4625" s="1" t="n">
        <v>46323</v>
      </c>
      <c r="F4625" t="inlineStr">
        <is>
          <t>KALMAR LÄN</t>
        </is>
      </c>
      <c r="G4625" t="inlineStr">
        <is>
          <t>OSKARSHAMN</t>
        </is>
      </c>
      <c r="I4625" t="n">
        <v>5.2</v>
      </c>
      <c r="J4625" t="n">
        <v>0</v>
      </c>
      <c r="K4625" t="n">
        <v>0</v>
      </c>
      <c r="L4625" t="n">
        <v>0</v>
      </c>
      <c r="M4625" t="n">
        <v>0</v>
      </c>
      <c r="N4625" t="n">
        <v>0</v>
      </c>
      <c r="O4625" t="n">
        <v>0</v>
      </c>
      <c r="P4625" t="n">
        <v>0</v>
      </c>
      <c r="Q4625" t="n">
        <v>0</v>
      </c>
      <c r="R4625" t="n">
        <v>0</v>
      </c>
      <c r="S4625" t="n">
        <v>0</v>
      </c>
      <c r="T4625" t="n">
        <v>0</v>
      </c>
      <c r="U4625" t="n">
        <v>0</v>
      </c>
      <c r="V4625" s="2" t="inlineStr"/>
    </row>
    <row r="4626" ht="15" customHeight="1">
      <c r="A4626" t="inlineStr">
        <is>
          <t>A 4025-2024</t>
        </is>
      </c>
      <c r="B4626" t="inlineStr">
        <is>
          <t>avverkningsanmälan</t>
        </is>
      </c>
      <c r="C4626" t="inlineStr">
        <is>
          <t>Föryngringsavverkning</t>
        </is>
      </c>
      <c r="D4626" s="1" t="n">
        <v>45323</v>
      </c>
      <c r="E4626" s="1" t="n">
        <v>46323</v>
      </c>
      <c r="F4626" t="inlineStr">
        <is>
          <t>KALMAR LÄN</t>
        </is>
      </c>
      <c r="G4626" t="inlineStr">
        <is>
          <t>KALMAR</t>
        </is>
      </c>
      <c r="I4626" t="n">
        <v>1</v>
      </c>
      <c r="J4626" t="n">
        <v>0</v>
      </c>
      <c r="K4626" t="n">
        <v>0</v>
      </c>
      <c r="L4626" t="n">
        <v>0</v>
      </c>
      <c r="M4626" t="n">
        <v>0</v>
      </c>
      <c r="N4626" t="n">
        <v>0</v>
      </c>
      <c r="O4626" t="n">
        <v>0</v>
      </c>
      <c r="P4626" t="n">
        <v>0</v>
      </c>
      <c r="Q4626" t="n">
        <v>0</v>
      </c>
      <c r="R4626" t="n">
        <v>0</v>
      </c>
      <c r="S4626" t="n">
        <v>0</v>
      </c>
      <c r="T4626" t="n">
        <v>0</v>
      </c>
      <c r="U4626" t="n">
        <v>0</v>
      </c>
      <c r="V4626" s="2" t="inlineStr"/>
    </row>
    <row r="4627" ht="15" customHeight="1">
      <c r="A4627" t="inlineStr">
        <is>
          <t>A 4058-2024</t>
        </is>
      </c>
      <c r="B4627" t="inlineStr">
        <is>
          <t>avverkningsanmälan</t>
        </is>
      </c>
      <c r="C4627" t="inlineStr">
        <is>
          <t>Föryngringsavverkning</t>
        </is>
      </c>
      <c r="D4627" s="1" t="n">
        <v>45323</v>
      </c>
      <c r="E4627" s="1" t="n">
        <v>46323</v>
      </c>
      <c r="F4627" t="inlineStr">
        <is>
          <t>KALMAR LÄN</t>
        </is>
      </c>
      <c r="G4627" t="inlineStr">
        <is>
          <t>VIMMERBY</t>
        </is>
      </c>
      <c r="I4627" t="n">
        <v>6.5</v>
      </c>
      <c r="J4627" t="n">
        <v>0</v>
      </c>
      <c r="K4627" t="n">
        <v>0</v>
      </c>
      <c r="L4627" t="n">
        <v>0</v>
      </c>
      <c r="M4627" t="n">
        <v>0</v>
      </c>
      <c r="N4627" t="n">
        <v>0</v>
      </c>
      <c r="O4627" t="n">
        <v>0</v>
      </c>
      <c r="P4627" t="n">
        <v>0</v>
      </c>
      <c r="Q4627" t="n">
        <v>0</v>
      </c>
      <c r="R4627" t="n">
        <v>0</v>
      </c>
      <c r="S4627" t="n">
        <v>0</v>
      </c>
      <c r="T4627" t="n">
        <v>0</v>
      </c>
      <c r="U4627" t="n">
        <v>0</v>
      </c>
      <c r="V4627" s="2" t="inlineStr"/>
    </row>
    <row r="4628" ht="15" customHeight="1">
      <c r="A4628" t="inlineStr">
        <is>
          <t>A 2350-2024</t>
        </is>
      </c>
      <c r="B4628" t="inlineStr">
        <is>
          <t>avverkningsanmälan</t>
        </is>
      </c>
      <c r="C4628" t="inlineStr">
        <is>
          <t>Föryngringsavverkning</t>
        </is>
      </c>
      <c r="D4628" s="1" t="n">
        <v>45310</v>
      </c>
      <c r="E4628" s="1" t="n">
        <v>46323</v>
      </c>
      <c r="F4628" t="inlineStr">
        <is>
          <t>KALMAR LÄN</t>
        </is>
      </c>
      <c r="G4628" t="inlineStr">
        <is>
          <t>EMMABODA</t>
        </is>
      </c>
      <c r="I4628" t="n">
        <v>3.1</v>
      </c>
      <c r="J4628" t="n">
        <v>0</v>
      </c>
      <c r="K4628" t="n">
        <v>0</v>
      </c>
      <c r="L4628" t="n">
        <v>0</v>
      </c>
      <c r="M4628" t="n">
        <v>0</v>
      </c>
      <c r="N4628" t="n">
        <v>0</v>
      </c>
      <c r="O4628" t="n">
        <v>0</v>
      </c>
      <c r="P4628" t="n">
        <v>0</v>
      </c>
      <c r="Q4628" t="n">
        <v>0</v>
      </c>
      <c r="R4628" t="n">
        <v>0</v>
      </c>
      <c r="S4628" t="n">
        <v>0</v>
      </c>
      <c r="T4628" t="n">
        <v>0</v>
      </c>
      <c r="U4628" t="n">
        <v>0</v>
      </c>
      <c r="V4628" s="2" t="inlineStr"/>
    </row>
    <row r="4629" ht="15" customHeight="1">
      <c r="A4629" t="inlineStr">
        <is>
          <t>A 5104-2024</t>
        </is>
      </c>
      <c r="B4629" t="inlineStr">
        <is>
          <t>avverkningsanmälan</t>
        </is>
      </c>
      <c r="C4629" t="inlineStr">
        <is>
          <t>Föryngringsavverkning</t>
        </is>
      </c>
      <c r="D4629" s="1" t="n">
        <v>45330</v>
      </c>
      <c r="E4629" s="1" t="n">
        <v>46323</v>
      </c>
      <c r="F4629" t="inlineStr">
        <is>
          <t>KALMAR LÄN</t>
        </is>
      </c>
      <c r="G4629" t="inlineStr">
        <is>
          <t>TORSÅS</t>
        </is>
      </c>
      <c r="I4629" t="n">
        <v>1.5</v>
      </c>
      <c r="J4629" t="n">
        <v>0</v>
      </c>
      <c r="K4629" t="n">
        <v>0</v>
      </c>
      <c r="L4629" t="n">
        <v>0</v>
      </c>
      <c r="M4629" t="n">
        <v>0</v>
      </c>
      <c r="N4629" t="n">
        <v>0</v>
      </c>
      <c r="O4629" t="n">
        <v>0</v>
      </c>
      <c r="P4629" t="n">
        <v>0</v>
      </c>
      <c r="Q4629" t="n">
        <v>0</v>
      </c>
      <c r="R4629" t="n">
        <v>0</v>
      </c>
      <c r="S4629" t="n">
        <v>0</v>
      </c>
      <c r="T4629" t="n">
        <v>0</v>
      </c>
      <c r="U4629" t="n">
        <v>0</v>
      </c>
      <c r="V4629" s="2" t="inlineStr"/>
    </row>
    <row r="4630" ht="15" customHeight="1">
      <c r="A4630" t="inlineStr">
        <is>
          <t>A 22855-2024</t>
        </is>
      </c>
      <c r="B4630" t="inlineStr">
        <is>
          <t>avverkningsanmälan</t>
        </is>
      </c>
      <c r="C4630" t="inlineStr">
        <is>
          <t>Föryngringsavverkning</t>
        </is>
      </c>
      <c r="D4630" s="1" t="n">
        <v>45448</v>
      </c>
      <c r="E4630" s="1" t="n">
        <v>46323</v>
      </c>
      <c r="F4630" t="inlineStr">
        <is>
          <t>KALMAR LÄN</t>
        </is>
      </c>
      <c r="G4630" t="inlineStr">
        <is>
          <t>OSKARSHAMN</t>
        </is>
      </c>
      <c r="I4630" t="n">
        <v>0.4</v>
      </c>
      <c r="J4630" t="n">
        <v>0</v>
      </c>
      <c r="K4630" t="n">
        <v>0</v>
      </c>
      <c r="L4630" t="n">
        <v>0</v>
      </c>
      <c r="M4630" t="n">
        <v>0</v>
      </c>
      <c r="N4630" t="n">
        <v>0</v>
      </c>
      <c r="O4630" t="n">
        <v>0</v>
      </c>
      <c r="P4630" t="n">
        <v>0</v>
      </c>
      <c r="Q4630" t="n">
        <v>0</v>
      </c>
      <c r="R4630" t="n">
        <v>0</v>
      </c>
      <c r="S4630" t="n">
        <v>0</v>
      </c>
      <c r="T4630" t="n">
        <v>0</v>
      </c>
      <c r="U4630" t="n">
        <v>0</v>
      </c>
      <c r="V4630" s="2" t="inlineStr"/>
    </row>
    <row r="4631" ht="15" customHeight="1">
      <c r="A4631" t="inlineStr">
        <is>
          <t>A 36008-2024</t>
        </is>
      </c>
      <c r="B4631" t="inlineStr">
        <is>
          <t>avverkningsanmälan</t>
        </is>
      </c>
      <c r="C4631" t="inlineStr">
        <is>
          <t>Föryngringsavverkning</t>
        </is>
      </c>
      <c r="D4631" s="1" t="n">
        <v>45533</v>
      </c>
      <c r="E4631" s="1" t="n">
        <v>46323</v>
      </c>
      <c r="F4631" t="inlineStr">
        <is>
          <t>KALMAR LÄN</t>
        </is>
      </c>
      <c r="G4631" t="inlineStr">
        <is>
          <t>VIMMERBY</t>
        </is>
      </c>
      <c r="I4631" t="n">
        <v>3.7</v>
      </c>
      <c r="J4631" t="n">
        <v>0</v>
      </c>
      <c r="K4631" t="n">
        <v>0</v>
      </c>
      <c r="L4631" t="n">
        <v>0</v>
      </c>
      <c r="M4631" t="n">
        <v>0</v>
      </c>
      <c r="N4631" t="n">
        <v>0</v>
      </c>
      <c r="O4631" t="n">
        <v>0</v>
      </c>
      <c r="P4631" t="n">
        <v>0</v>
      </c>
      <c r="Q4631" t="n">
        <v>0</v>
      </c>
      <c r="R4631" t="n">
        <v>0</v>
      </c>
      <c r="S4631" t="n">
        <v>0</v>
      </c>
      <c r="T4631" t="n">
        <v>0</v>
      </c>
      <c r="U4631" t="n">
        <v>0</v>
      </c>
      <c r="V4631" s="2" t="inlineStr"/>
    </row>
    <row r="4632" ht="15" customHeight="1">
      <c r="A4632" t="inlineStr">
        <is>
          <t>A 55030-2023</t>
        </is>
      </c>
      <c r="B4632" t="inlineStr">
        <is>
          <t>avverkningsanmälan</t>
        </is>
      </c>
      <c r="C4632" t="inlineStr">
        <is>
          <t>Föryngringsavverkning</t>
        </is>
      </c>
      <c r="D4632" s="1" t="n">
        <v>45237</v>
      </c>
      <c r="E4632" s="1" t="n">
        <v>46323</v>
      </c>
      <c r="F4632" t="inlineStr">
        <is>
          <t>KALMAR LÄN</t>
        </is>
      </c>
      <c r="G4632" t="inlineStr">
        <is>
          <t>HULTSFRED</t>
        </is>
      </c>
      <c r="I4632" t="n">
        <v>1.5</v>
      </c>
      <c r="J4632" t="n">
        <v>0</v>
      </c>
      <c r="K4632" t="n">
        <v>0</v>
      </c>
      <c r="L4632" t="n">
        <v>0</v>
      </c>
      <c r="M4632" t="n">
        <v>0</v>
      </c>
      <c r="N4632" t="n">
        <v>0</v>
      </c>
      <c r="O4632" t="n">
        <v>0</v>
      </c>
      <c r="P4632" t="n">
        <v>0</v>
      </c>
      <c r="Q4632" t="n">
        <v>0</v>
      </c>
      <c r="R4632" t="n">
        <v>0</v>
      </c>
      <c r="S4632" t="n">
        <v>0</v>
      </c>
      <c r="T4632" t="n">
        <v>0</v>
      </c>
      <c r="U4632" t="n">
        <v>0</v>
      </c>
      <c r="V4632" s="2" t="inlineStr"/>
    </row>
    <row r="4633" ht="15" customHeight="1">
      <c r="A4633" t="inlineStr">
        <is>
          <t>A 56033-2023</t>
        </is>
      </c>
      <c r="B4633" t="inlineStr">
        <is>
          <t>avverkningsanmälan</t>
        </is>
      </c>
      <c r="C4633" t="inlineStr">
        <is>
          <t>Föryngringsavverkning</t>
        </is>
      </c>
      <c r="D4633" s="1" t="n">
        <v>45240</v>
      </c>
      <c r="E4633" s="1" t="n">
        <v>46323</v>
      </c>
      <c r="F4633" t="inlineStr">
        <is>
          <t>KALMAR LÄN</t>
        </is>
      </c>
      <c r="G4633" t="inlineStr">
        <is>
          <t>VÄSTERVIK</t>
        </is>
      </c>
      <c r="I4633" t="n">
        <v>0.4</v>
      </c>
      <c r="J4633" t="n">
        <v>0</v>
      </c>
      <c r="K4633" t="n">
        <v>0</v>
      </c>
      <c r="L4633" t="n">
        <v>0</v>
      </c>
      <c r="M4633" t="n">
        <v>0</v>
      </c>
      <c r="N4633" t="n">
        <v>0</v>
      </c>
      <c r="O4633" t="n">
        <v>0</v>
      </c>
      <c r="P4633" t="n">
        <v>0</v>
      </c>
      <c r="Q4633" t="n">
        <v>0</v>
      </c>
      <c r="R4633" t="n">
        <v>0</v>
      </c>
      <c r="S4633" t="n">
        <v>0</v>
      </c>
      <c r="T4633" t="n">
        <v>0</v>
      </c>
      <c r="U4633" t="n">
        <v>0</v>
      </c>
      <c r="V4633" s="2" t="inlineStr"/>
    </row>
    <row r="4634" ht="15" customHeight="1">
      <c r="A4634" t="inlineStr">
        <is>
          <t>A 33186-2026</t>
        </is>
      </c>
      <c r="B4634" t="inlineStr">
        <is>
          <t>avverkningsanmälan</t>
        </is>
      </c>
      <c r="C4634" t="inlineStr">
        <is>
          <t>Föryngringsavverkning</t>
        </is>
      </c>
      <c r="D4634" s="1" t="n">
        <v>46246</v>
      </c>
      <c r="E4634" s="1" t="n">
        <v>46323</v>
      </c>
      <c r="F4634" t="inlineStr">
        <is>
          <t>KALMAR LÄN</t>
        </is>
      </c>
      <c r="G4634" t="inlineStr">
        <is>
          <t>VÄSTERVIK</t>
        </is>
      </c>
      <c r="I4634" t="n">
        <v>1</v>
      </c>
      <c r="J4634" t="n">
        <v>0</v>
      </c>
      <c r="K4634" t="n">
        <v>0</v>
      </c>
      <c r="L4634" t="n">
        <v>0</v>
      </c>
      <c r="M4634" t="n">
        <v>0</v>
      </c>
      <c r="N4634" t="n">
        <v>0</v>
      </c>
      <c r="O4634" t="n">
        <v>0</v>
      </c>
      <c r="P4634" t="n">
        <v>0</v>
      </c>
      <c r="Q4634" t="n">
        <v>0</v>
      </c>
      <c r="R4634" t="n">
        <v>0</v>
      </c>
      <c r="S4634" t="n">
        <v>0</v>
      </c>
      <c r="T4634" t="n">
        <v>0</v>
      </c>
      <c r="U4634" t="n">
        <v>0</v>
      </c>
      <c r="V4634" s="2" t="inlineStr"/>
    </row>
    <row r="4635" ht="15" customHeight="1">
      <c r="A4635" t="inlineStr">
        <is>
          <t>A 34362-2024</t>
        </is>
      </c>
      <c r="B4635" t="inlineStr">
        <is>
          <t>avverkningsanmälan</t>
        </is>
      </c>
      <c r="C4635" t="inlineStr">
        <is>
          <t>Avverkning för att bevara och utveckla /försöksver</t>
        </is>
      </c>
      <c r="D4635" s="1" t="n">
        <v>45525</v>
      </c>
      <c r="E4635" s="1" t="n">
        <v>46323</v>
      </c>
      <c r="F4635" t="inlineStr">
        <is>
          <t>KALMAR LÄN</t>
        </is>
      </c>
      <c r="G4635" t="inlineStr">
        <is>
          <t>NYBRO</t>
        </is>
      </c>
      <c r="I4635" t="n">
        <v>3</v>
      </c>
      <c r="J4635" t="n">
        <v>0</v>
      </c>
      <c r="K4635" t="n">
        <v>0</v>
      </c>
      <c r="L4635" t="n">
        <v>0</v>
      </c>
      <c r="M4635" t="n">
        <v>0</v>
      </c>
      <c r="N4635" t="n">
        <v>0</v>
      </c>
      <c r="O4635" t="n">
        <v>0</v>
      </c>
      <c r="P4635" t="n">
        <v>0</v>
      </c>
      <c r="Q4635" t="n">
        <v>0</v>
      </c>
      <c r="R4635" t="n">
        <v>0</v>
      </c>
      <c r="S4635" t="n">
        <v>0</v>
      </c>
      <c r="T4635" t="n">
        <v>0</v>
      </c>
      <c r="U4635" t="n">
        <v>0</v>
      </c>
      <c r="V4635" s="2" t="inlineStr"/>
    </row>
    <row r="4636" ht="15" customHeight="1">
      <c r="A4636" t="inlineStr">
        <is>
          <t>A 28404-2024</t>
        </is>
      </c>
      <c r="B4636" t="inlineStr">
        <is>
          <t>avverkningsanmälan</t>
        </is>
      </c>
      <c r="C4636" t="inlineStr">
        <is>
          <t>Föryngringsavverkning</t>
        </is>
      </c>
      <c r="D4636" s="1" t="n">
        <v>45477</v>
      </c>
      <c r="E4636" s="1" t="n">
        <v>46323</v>
      </c>
      <c r="F4636" t="inlineStr">
        <is>
          <t>KALMAR LÄN</t>
        </is>
      </c>
      <c r="G4636" t="inlineStr">
        <is>
          <t>VÄSTERVIK</t>
        </is>
      </c>
      <c r="H4636" t="inlineStr">
        <is>
          <t>Holmen skog AB</t>
        </is>
      </c>
      <c r="I4636" t="n">
        <v>0.6</v>
      </c>
      <c r="J4636" t="n">
        <v>0</v>
      </c>
      <c r="K4636" t="n">
        <v>0</v>
      </c>
      <c r="L4636" t="n">
        <v>0</v>
      </c>
      <c r="M4636" t="n">
        <v>0</v>
      </c>
      <c r="N4636" t="n">
        <v>0</v>
      </c>
      <c r="O4636" t="n">
        <v>0</v>
      </c>
      <c r="P4636" t="n">
        <v>0</v>
      </c>
      <c r="Q4636" t="n">
        <v>0</v>
      </c>
      <c r="R4636" t="n">
        <v>0</v>
      </c>
      <c r="S4636" t="n">
        <v>0</v>
      </c>
      <c r="T4636" t="n">
        <v>0</v>
      </c>
      <c r="U4636" t="n">
        <v>0</v>
      </c>
      <c r="V4636" s="2" t="inlineStr"/>
    </row>
    <row r="4637" ht="15" customHeight="1">
      <c r="A4637" t="inlineStr">
        <is>
          <t>A 28415-2024</t>
        </is>
      </c>
      <c r="B4637" t="inlineStr">
        <is>
          <t>avverkningsanmälan</t>
        </is>
      </c>
      <c r="C4637" t="inlineStr">
        <is>
          <t>Föryngringsavverkning</t>
        </is>
      </c>
      <c r="D4637" s="1" t="n">
        <v>45477</v>
      </c>
      <c r="E4637" s="1" t="n">
        <v>46323</v>
      </c>
      <c r="F4637" t="inlineStr">
        <is>
          <t>KALMAR LÄN</t>
        </is>
      </c>
      <c r="G4637" t="inlineStr">
        <is>
          <t>VÄSTERVIK</t>
        </is>
      </c>
      <c r="H4637" t="inlineStr">
        <is>
          <t>Holmen skog AB</t>
        </is>
      </c>
      <c r="I4637" t="n">
        <v>2.7</v>
      </c>
      <c r="J4637" t="n">
        <v>0</v>
      </c>
      <c r="K4637" t="n">
        <v>0</v>
      </c>
      <c r="L4637" t="n">
        <v>0</v>
      </c>
      <c r="M4637" t="n">
        <v>0</v>
      </c>
      <c r="N4637" t="n">
        <v>0</v>
      </c>
      <c r="O4637" t="n">
        <v>0</v>
      </c>
      <c r="P4637" t="n">
        <v>0</v>
      </c>
      <c r="Q4637" t="n">
        <v>0</v>
      </c>
      <c r="R4637" t="n">
        <v>0</v>
      </c>
      <c r="S4637" t="n">
        <v>0</v>
      </c>
      <c r="T4637" t="n">
        <v>0</v>
      </c>
      <c r="U4637" t="n">
        <v>0</v>
      </c>
      <c r="V4637" s="2" t="inlineStr"/>
    </row>
    <row r="4638" ht="15" customHeight="1">
      <c r="A4638" t="inlineStr">
        <is>
          <t>A 14949-2023</t>
        </is>
      </c>
      <c r="B4638" t="inlineStr">
        <is>
          <t>avverkningsanmälan</t>
        </is>
      </c>
      <c r="C4638" t="inlineStr">
        <is>
          <t>Föryngringsavverkning</t>
        </is>
      </c>
      <c r="D4638" s="1" t="n">
        <v>45015</v>
      </c>
      <c r="E4638" s="1" t="n">
        <v>46323</v>
      </c>
      <c r="F4638" t="inlineStr">
        <is>
          <t>KALMAR LÄN</t>
        </is>
      </c>
      <c r="G4638" t="inlineStr">
        <is>
          <t>OSKARSHAMN</t>
        </is>
      </c>
      <c r="I4638" t="n">
        <v>0.5</v>
      </c>
      <c r="J4638" t="n">
        <v>0</v>
      </c>
      <c r="K4638" t="n">
        <v>0</v>
      </c>
      <c r="L4638" t="n">
        <v>0</v>
      </c>
      <c r="M4638" t="n">
        <v>0</v>
      </c>
      <c r="N4638" t="n">
        <v>0</v>
      </c>
      <c r="O4638" t="n">
        <v>0</v>
      </c>
      <c r="P4638" t="n">
        <v>0</v>
      </c>
      <c r="Q4638" t="n">
        <v>0</v>
      </c>
      <c r="R4638" t="n">
        <v>0</v>
      </c>
      <c r="S4638" t="n">
        <v>0</v>
      </c>
      <c r="T4638" t="n">
        <v>0</v>
      </c>
      <c r="U4638" t="n">
        <v>0</v>
      </c>
      <c r="V4638" s="2" t="inlineStr"/>
    </row>
    <row r="4639" ht="15" customHeight="1">
      <c r="A4639" t="inlineStr">
        <is>
          <t>A 30528-2026</t>
        </is>
      </c>
      <c r="B4639" t="inlineStr">
        <is>
          <t>avverkningsanmälan</t>
        </is>
      </c>
      <c r="C4639" t="inlineStr">
        <is>
          <t>Avverkning för annat ändamål</t>
        </is>
      </c>
      <c r="D4639" s="1" t="n">
        <v>46210</v>
      </c>
      <c r="E4639" s="1" t="n">
        <v>46323</v>
      </c>
      <c r="F4639" t="inlineStr">
        <is>
          <t>KALMAR LÄN</t>
        </is>
      </c>
      <c r="G4639" t="inlineStr">
        <is>
          <t>VIMMERBY</t>
        </is>
      </c>
      <c r="I4639" t="n">
        <v>0.7</v>
      </c>
      <c r="J4639" t="n">
        <v>0</v>
      </c>
      <c r="K4639" t="n">
        <v>0</v>
      </c>
      <c r="L4639" t="n">
        <v>0</v>
      </c>
      <c r="M4639" t="n">
        <v>0</v>
      </c>
      <c r="N4639" t="n">
        <v>0</v>
      </c>
      <c r="O4639" t="n">
        <v>0</v>
      </c>
      <c r="P4639" t="n">
        <v>0</v>
      </c>
      <c r="Q4639" t="n">
        <v>0</v>
      </c>
      <c r="R4639" t="n">
        <v>0</v>
      </c>
      <c r="S4639" t="n">
        <v>0</v>
      </c>
      <c r="T4639" t="n">
        <v>0</v>
      </c>
      <c r="U4639" t="n">
        <v>0</v>
      </c>
      <c r="V4639" s="2" t="inlineStr"/>
    </row>
    <row r="4640" ht="15" customHeight="1">
      <c r="A4640" t="inlineStr">
        <is>
          <t>A 12044-2026</t>
        </is>
      </c>
      <c r="B4640" t="inlineStr">
        <is>
          <t>avverkningsanmälan</t>
        </is>
      </c>
      <c r="C4640" t="inlineStr">
        <is>
          <t>Föryngringsavverkning</t>
        </is>
      </c>
      <c r="D4640" s="1" t="n">
        <v>46086</v>
      </c>
      <c r="E4640" s="1" t="n">
        <v>46323</v>
      </c>
      <c r="F4640" t="inlineStr">
        <is>
          <t>KALMAR LÄN</t>
        </is>
      </c>
      <c r="G4640" t="inlineStr">
        <is>
          <t>NYBRO</t>
        </is>
      </c>
      <c r="I4640" t="n">
        <v>3.6</v>
      </c>
      <c r="J4640" t="n">
        <v>0</v>
      </c>
      <c r="K4640" t="n">
        <v>0</v>
      </c>
      <c r="L4640" t="n">
        <v>0</v>
      </c>
      <c r="M4640" t="n">
        <v>0</v>
      </c>
      <c r="N4640" t="n">
        <v>0</v>
      </c>
      <c r="O4640" t="n">
        <v>0</v>
      </c>
      <c r="P4640" t="n">
        <v>0</v>
      </c>
      <c r="Q4640" t="n">
        <v>0</v>
      </c>
      <c r="R4640" t="n">
        <v>0</v>
      </c>
      <c r="S4640" t="n">
        <v>0</v>
      </c>
      <c r="T4640" t="n">
        <v>0</v>
      </c>
      <c r="U4640" t="n">
        <v>0</v>
      </c>
      <c r="V4640" s="2" t="inlineStr"/>
    </row>
    <row r="4641" ht="15" customHeight="1">
      <c r="A4641" t="inlineStr">
        <is>
          <t>A 8540-2024</t>
        </is>
      </c>
      <c r="B4641" t="inlineStr">
        <is>
          <t>avverkningsanmälan</t>
        </is>
      </c>
      <c r="C4641" t="inlineStr">
        <is>
          <t>Föryngringsavverkning</t>
        </is>
      </c>
      <c r="D4641" s="1" t="n">
        <v>45355</v>
      </c>
      <c r="E4641" s="1" t="n">
        <v>46323</v>
      </c>
      <c r="F4641" t="inlineStr">
        <is>
          <t>KALMAR LÄN</t>
        </is>
      </c>
      <c r="G4641" t="inlineStr">
        <is>
          <t>VIMMERBY</t>
        </is>
      </c>
      <c r="I4641" t="n">
        <v>1.9</v>
      </c>
      <c r="J4641" t="n">
        <v>0</v>
      </c>
      <c r="K4641" t="n">
        <v>0</v>
      </c>
      <c r="L4641" t="n">
        <v>0</v>
      </c>
      <c r="M4641" t="n">
        <v>0</v>
      </c>
      <c r="N4641" t="n">
        <v>0</v>
      </c>
      <c r="O4641" t="n">
        <v>0</v>
      </c>
      <c r="P4641" t="n">
        <v>0</v>
      </c>
      <c r="Q4641" t="n">
        <v>0</v>
      </c>
      <c r="R4641" t="n">
        <v>0</v>
      </c>
      <c r="S4641" t="n">
        <v>0</v>
      </c>
      <c r="T4641" t="n">
        <v>0</v>
      </c>
      <c r="U4641" t="n">
        <v>0</v>
      </c>
      <c r="V4641" s="2" t="inlineStr"/>
    </row>
    <row r="4642" ht="15" customHeight="1">
      <c r="A4642" t="inlineStr">
        <is>
          <t>A 934-2024</t>
        </is>
      </c>
      <c r="B4642" t="inlineStr">
        <is>
          <t>avverkningsanmälan</t>
        </is>
      </c>
      <c r="C4642" t="inlineStr">
        <is>
          <t>Föryngringsavverkning</t>
        </is>
      </c>
      <c r="D4642" s="1" t="n">
        <v>45301</v>
      </c>
      <c r="E4642" s="1" t="n">
        <v>46323</v>
      </c>
      <c r="F4642" t="inlineStr">
        <is>
          <t>KALMAR LÄN</t>
        </is>
      </c>
      <c r="G4642" t="inlineStr">
        <is>
          <t>VÄSTERVIK</t>
        </is>
      </c>
      <c r="I4642" t="n">
        <v>2.3</v>
      </c>
      <c r="J4642" t="n">
        <v>0</v>
      </c>
      <c r="K4642" t="n">
        <v>0</v>
      </c>
      <c r="L4642" t="n">
        <v>0</v>
      </c>
      <c r="M4642" t="n">
        <v>0</v>
      </c>
      <c r="N4642" t="n">
        <v>0</v>
      </c>
      <c r="O4642" t="n">
        <v>0</v>
      </c>
      <c r="P4642" t="n">
        <v>0</v>
      </c>
      <c r="Q4642" t="n">
        <v>0</v>
      </c>
      <c r="R4642" t="n">
        <v>0</v>
      </c>
      <c r="S4642" t="n">
        <v>0</v>
      </c>
      <c r="T4642" t="n">
        <v>0</v>
      </c>
      <c r="U4642" t="n">
        <v>0</v>
      </c>
      <c r="V4642" s="2" t="inlineStr"/>
    </row>
    <row r="4643" ht="15" customHeight="1">
      <c r="A4643" t="inlineStr">
        <is>
          <t>A 936-2024</t>
        </is>
      </c>
      <c r="B4643" t="inlineStr">
        <is>
          <t>avverkningsanmälan</t>
        </is>
      </c>
      <c r="C4643" t="inlineStr">
        <is>
          <t>Avverkning för att bevara och utveckla /försöksver</t>
        </is>
      </c>
      <c r="D4643" s="1" t="n">
        <v>45301</v>
      </c>
      <c r="E4643" s="1" t="n">
        <v>46323</v>
      </c>
      <c r="F4643" t="inlineStr">
        <is>
          <t>KALMAR LÄN</t>
        </is>
      </c>
      <c r="G4643" t="inlineStr">
        <is>
          <t>VÄSTERVIK</t>
        </is>
      </c>
      <c r="I4643" t="n">
        <v>1.4</v>
      </c>
      <c r="J4643" t="n">
        <v>0</v>
      </c>
      <c r="K4643" t="n">
        <v>0</v>
      </c>
      <c r="L4643" t="n">
        <v>0</v>
      </c>
      <c r="M4643" t="n">
        <v>0</v>
      </c>
      <c r="N4643" t="n">
        <v>0</v>
      </c>
      <c r="O4643" t="n">
        <v>0</v>
      </c>
      <c r="P4643" t="n">
        <v>0</v>
      </c>
      <c r="Q4643" t="n">
        <v>0</v>
      </c>
      <c r="R4643" t="n">
        <v>0</v>
      </c>
      <c r="S4643" t="n">
        <v>0</v>
      </c>
      <c r="T4643" t="n">
        <v>0</v>
      </c>
      <c r="U4643" t="n">
        <v>0</v>
      </c>
      <c r="V4643" s="2" t="inlineStr"/>
    </row>
    <row r="4644" ht="15" customHeight="1">
      <c r="A4644" t="inlineStr">
        <is>
          <t>A 9623-2024</t>
        </is>
      </c>
      <c r="B4644" t="inlineStr">
        <is>
          <t>avverkningsanmälan</t>
        </is>
      </c>
      <c r="C4644" t="inlineStr">
        <is>
          <t>Föryngringsavverkning</t>
        </is>
      </c>
      <c r="D4644" s="1" t="n">
        <v>45361</v>
      </c>
      <c r="E4644" s="1" t="n">
        <v>46323</v>
      </c>
      <c r="F4644" t="inlineStr">
        <is>
          <t>KALMAR LÄN</t>
        </is>
      </c>
      <c r="G4644" t="inlineStr">
        <is>
          <t>VIMMERBY</t>
        </is>
      </c>
      <c r="I4644" t="n">
        <v>1.6</v>
      </c>
      <c r="J4644" t="n">
        <v>0</v>
      </c>
      <c r="K4644" t="n">
        <v>0</v>
      </c>
      <c r="L4644" t="n">
        <v>0</v>
      </c>
      <c r="M4644" t="n">
        <v>0</v>
      </c>
      <c r="N4644" t="n">
        <v>0</v>
      </c>
      <c r="O4644" t="n">
        <v>0</v>
      </c>
      <c r="P4644" t="n">
        <v>0</v>
      </c>
      <c r="Q4644" t="n">
        <v>0</v>
      </c>
      <c r="R4644" t="n">
        <v>0</v>
      </c>
      <c r="S4644" t="n">
        <v>0</v>
      </c>
      <c r="T4644" t="n">
        <v>0</v>
      </c>
      <c r="U4644" t="n">
        <v>0</v>
      </c>
      <c r="V4644" s="2" t="inlineStr"/>
    </row>
    <row r="4645" ht="15" customHeight="1">
      <c r="A4645" t="inlineStr">
        <is>
          <t>A 5148-2024</t>
        </is>
      </c>
      <c r="B4645" t="inlineStr">
        <is>
          <t>avverkningsanmälan</t>
        </is>
      </c>
      <c r="C4645" t="inlineStr">
        <is>
          <t>Föryngringsavverkning</t>
        </is>
      </c>
      <c r="D4645" s="1" t="n">
        <v>45330</v>
      </c>
      <c r="E4645" s="1" t="n">
        <v>46323</v>
      </c>
      <c r="F4645" t="inlineStr">
        <is>
          <t>KALMAR LÄN</t>
        </is>
      </c>
      <c r="G4645" t="inlineStr">
        <is>
          <t>VIMMERBY</t>
        </is>
      </c>
      <c r="I4645" t="n">
        <v>5.6</v>
      </c>
      <c r="J4645" t="n">
        <v>0</v>
      </c>
      <c r="K4645" t="n">
        <v>0</v>
      </c>
      <c r="L4645" t="n">
        <v>0</v>
      </c>
      <c r="M4645" t="n">
        <v>0</v>
      </c>
      <c r="N4645" t="n">
        <v>0</v>
      </c>
      <c r="O4645" t="n">
        <v>0</v>
      </c>
      <c r="P4645" t="n">
        <v>0</v>
      </c>
      <c r="Q4645" t="n">
        <v>0</v>
      </c>
      <c r="R4645" t="n">
        <v>0</v>
      </c>
      <c r="S4645" t="n">
        <v>0</v>
      </c>
      <c r="T4645" t="n">
        <v>0</v>
      </c>
      <c r="U4645" t="n">
        <v>0</v>
      </c>
      <c r="V4645" s="2" t="inlineStr"/>
    </row>
    <row r="4646" ht="15" customHeight="1">
      <c r="A4646" t="inlineStr">
        <is>
          <t>A 25776-2025</t>
        </is>
      </c>
      <c r="B4646" t="inlineStr">
        <is>
          <t>avverkningsanmälan</t>
        </is>
      </c>
      <c r="C4646" t="inlineStr">
        <is>
          <t>Föryngringsavverkning</t>
        </is>
      </c>
      <c r="D4646" s="1" t="n">
        <v>45804</v>
      </c>
      <c r="E4646" s="1" t="n">
        <v>46323</v>
      </c>
      <c r="F4646" t="inlineStr">
        <is>
          <t>KALMAR LÄN</t>
        </is>
      </c>
      <c r="G4646" t="inlineStr">
        <is>
          <t>EMMABODA</t>
        </is>
      </c>
      <c r="I4646" t="n">
        <v>2.2</v>
      </c>
      <c r="J4646" t="n">
        <v>0</v>
      </c>
      <c r="K4646" t="n">
        <v>0</v>
      </c>
      <c r="L4646" t="n">
        <v>0</v>
      </c>
      <c r="M4646" t="n">
        <v>0</v>
      </c>
      <c r="N4646" t="n">
        <v>0</v>
      </c>
      <c r="O4646" t="n">
        <v>0</v>
      </c>
      <c r="P4646" t="n">
        <v>0</v>
      </c>
      <c r="Q4646" t="n">
        <v>0</v>
      </c>
      <c r="R4646" t="n">
        <v>0</v>
      </c>
      <c r="S4646" t="n">
        <v>0</v>
      </c>
      <c r="T4646" t="n">
        <v>0</v>
      </c>
      <c r="U4646" t="n">
        <v>0</v>
      </c>
      <c r="V4646" s="2" t="inlineStr"/>
    </row>
    <row r="4647" ht="15" customHeight="1">
      <c r="A4647" t="inlineStr">
        <is>
          <t>A 4947-2023</t>
        </is>
      </c>
      <c r="B4647" t="inlineStr">
        <is>
          <t>avverkningsanmälan</t>
        </is>
      </c>
      <c r="C4647" t="inlineStr">
        <is>
          <t>Föryngringsavverkning</t>
        </is>
      </c>
      <c r="D4647" s="1" t="n">
        <v>44958</v>
      </c>
      <c r="E4647" s="1" t="n">
        <v>46323</v>
      </c>
      <c r="F4647" t="inlineStr">
        <is>
          <t>KALMAR LÄN</t>
        </is>
      </c>
      <c r="G4647" t="inlineStr">
        <is>
          <t>EMMABODA</t>
        </is>
      </c>
      <c r="I4647" t="n">
        <v>3.3</v>
      </c>
      <c r="J4647" t="n">
        <v>0</v>
      </c>
      <c r="K4647" t="n">
        <v>0</v>
      </c>
      <c r="L4647" t="n">
        <v>0</v>
      </c>
      <c r="M4647" t="n">
        <v>0</v>
      </c>
      <c r="N4647" t="n">
        <v>0</v>
      </c>
      <c r="O4647" t="n">
        <v>0</v>
      </c>
      <c r="P4647" t="n">
        <v>0</v>
      </c>
      <c r="Q4647" t="n">
        <v>0</v>
      </c>
      <c r="R4647" t="n">
        <v>0</v>
      </c>
      <c r="S4647" t="n">
        <v>0</v>
      </c>
      <c r="T4647" t="n">
        <v>0</v>
      </c>
      <c r="U4647" t="n">
        <v>0</v>
      </c>
      <c r="V4647" s="2" t="inlineStr"/>
    </row>
    <row r="4648" ht="15" customHeight="1">
      <c r="A4648" t="inlineStr">
        <is>
          <t>A 11450-2024</t>
        </is>
      </c>
      <c r="B4648" t="inlineStr">
        <is>
          <t>avverkningsanmälan</t>
        </is>
      </c>
      <c r="C4648" t="inlineStr">
        <is>
          <t>Föryngringsavverkning</t>
        </is>
      </c>
      <c r="D4648" s="1" t="n">
        <v>45372</v>
      </c>
      <c r="E4648" s="1" t="n">
        <v>46323</v>
      </c>
      <c r="F4648" t="inlineStr">
        <is>
          <t>KALMAR LÄN</t>
        </is>
      </c>
      <c r="G4648" t="inlineStr">
        <is>
          <t>OSKARSHAMN</t>
        </is>
      </c>
      <c r="I4648" t="n">
        <v>1.4</v>
      </c>
      <c r="J4648" t="n">
        <v>0</v>
      </c>
      <c r="K4648" t="n">
        <v>0</v>
      </c>
      <c r="L4648" t="n">
        <v>0</v>
      </c>
      <c r="M4648" t="n">
        <v>0</v>
      </c>
      <c r="N4648" t="n">
        <v>0</v>
      </c>
      <c r="O4648" t="n">
        <v>0</v>
      </c>
      <c r="P4648" t="n">
        <v>0</v>
      </c>
      <c r="Q4648" t="n">
        <v>0</v>
      </c>
      <c r="R4648" t="n">
        <v>0</v>
      </c>
      <c r="S4648" t="n">
        <v>0</v>
      </c>
      <c r="T4648" t="n">
        <v>0</v>
      </c>
      <c r="U4648" t="n">
        <v>0</v>
      </c>
      <c r="V4648" s="2" t="inlineStr"/>
    </row>
    <row r="4649" ht="15" customHeight="1">
      <c r="A4649" t="inlineStr">
        <is>
          <t>A 50662-2023</t>
        </is>
      </c>
      <c r="B4649" t="inlineStr">
        <is>
          <t>avverkningsanmälan</t>
        </is>
      </c>
      <c r="C4649" t="inlineStr">
        <is>
          <t>Föryngringsavverkning</t>
        </is>
      </c>
      <c r="D4649" s="1" t="n">
        <v>45217</v>
      </c>
      <c r="E4649" s="1" t="n">
        <v>46323</v>
      </c>
      <c r="F4649" t="inlineStr">
        <is>
          <t>KALMAR LÄN</t>
        </is>
      </c>
      <c r="G4649" t="inlineStr">
        <is>
          <t>NYBRO</t>
        </is>
      </c>
      <c r="I4649" t="n">
        <v>7.4</v>
      </c>
      <c r="J4649" t="n">
        <v>0</v>
      </c>
      <c r="K4649" t="n">
        <v>0</v>
      </c>
      <c r="L4649" t="n">
        <v>0</v>
      </c>
      <c r="M4649" t="n">
        <v>0</v>
      </c>
      <c r="N4649" t="n">
        <v>0</v>
      </c>
      <c r="O4649" t="n">
        <v>0</v>
      </c>
      <c r="P4649" t="n">
        <v>0</v>
      </c>
      <c r="Q4649" t="n">
        <v>0</v>
      </c>
      <c r="R4649" t="n">
        <v>0</v>
      </c>
      <c r="S4649" t="n">
        <v>0</v>
      </c>
      <c r="T4649" t="n">
        <v>0</v>
      </c>
      <c r="U4649" t="n">
        <v>0</v>
      </c>
      <c r="V4649" s="2" t="inlineStr"/>
    </row>
    <row r="4650" ht="15" customHeight="1">
      <c r="A4650" t="inlineStr">
        <is>
          <t>A 61780-2022</t>
        </is>
      </c>
      <c r="B4650" t="inlineStr">
        <is>
          <t>avverkningsanmälan</t>
        </is>
      </c>
      <c r="C4650" t="inlineStr">
        <is>
          <t>Föryngringsavverkning</t>
        </is>
      </c>
      <c r="D4650" s="1" t="n">
        <v>44917</v>
      </c>
      <c r="E4650" s="1" t="n">
        <v>46323</v>
      </c>
      <c r="F4650" t="inlineStr">
        <is>
          <t>KALMAR LÄN</t>
        </is>
      </c>
      <c r="G4650" t="inlineStr">
        <is>
          <t>NYBRO</t>
        </is>
      </c>
      <c r="H4650" t="inlineStr">
        <is>
          <t>Kommuner</t>
        </is>
      </c>
      <c r="I4650" t="n">
        <v>6.4</v>
      </c>
      <c r="J4650" t="n">
        <v>0</v>
      </c>
      <c r="K4650" t="n">
        <v>0</v>
      </c>
      <c r="L4650" t="n">
        <v>0</v>
      </c>
      <c r="M4650" t="n">
        <v>0</v>
      </c>
      <c r="N4650" t="n">
        <v>0</v>
      </c>
      <c r="O4650" t="n">
        <v>0</v>
      </c>
      <c r="P4650" t="n">
        <v>0</v>
      </c>
      <c r="Q4650" t="n">
        <v>0</v>
      </c>
      <c r="R4650" t="n">
        <v>0</v>
      </c>
      <c r="S4650" t="n">
        <v>0</v>
      </c>
      <c r="T4650" t="n">
        <v>0</v>
      </c>
      <c r="U4650" t="n">
        <v>0</v>
      </c>
      <c r="V4650" s="2" t="inlineStr"/>
    </row>
    <row r="4651" ht="15" customHeight="1">
      <c r="A4651" t="inlineStr">
        <is>
          <t>A 44179-2022</t>
        </is>
      </c>
      <c r="B4651" t="inlineStr">
        <is>
          <t>avverkningsanmälan</t>
        </is>
      </c>
      <c r="C4651" t="inlineStr">
        <is>
          <t>Föryngringsavverkning</t>
        </is>
      </c>
      <c r="D4651" s="1" t="n">
        <v>44839</v>
      </c>
      <c r="E4651" s="1" t="n">
        <v>46323</v>
      </c>
      <c r="F4651" t="inlineStr">
        <is>
          <t>KALMAR LÄN</t>
        </is>
      </c>
      <c r="G4651" t="inlineStr">
        <is>
          <t>VIMMERBY</t>
        </is>
      </c>
      <c r="I4651" t="n">
        <v>2.8</v>
      </c>
      <c r="J4651" t="n">
        <v>0</v>
      </c>
      <c r="K4651" t="n">
        <v>0</v>
      </c>
      <c r="L4651" t="n">
        <v>0</v>
      </c>
      <c r="M4651" t="n">
        <v>0</v>
      </c>
      <c r="N4651" t="n">
        <v>0</v>
      </c>
      <c r="O4651" t="n">
        <v>0</v>
      </c>
      <c r="P4651" t="n">
        <v>0</v>
      </c>
      <c r="Q4651" t="n">
        <v>0</v>
      </c>
      <c r="R4651" t="n">
        <v>0</v>
      </c>
      <c r="S4651" t="n">
        <v>0</v>
      </c>
      <c r="T4651" t="n">
        <v>0</v>
      </c>
      <c r="U4651" t="n">
        <v>0</v>
      </c>
      <c r="V4651" s="2" t="inlineStr"/>
    </row>
    <row r="4652" ht="15" customHeight="1">
      <c r="A4652" t="inlineStr">
        <is>
          <t>A 46775-2022</t>
        </is>
      </c>
      <c r="B4652" t="inlineStr">
        <is>
          <t>avverkningsanmälan</t>
        </is>
      </c>
      <c r="C4652" t="inlineStr">
        <is>
          <t>Föryngringsavverkning</t>
        </is>
      </c>
      <c r="D4652" s="1" t="n">
        <v>44851</v>
      </c>
      <c r="E4652" s="1" t="n">
        <v>46323</v>
      </c>
      <c r="F4652" t="inlineStr">
        <is>
          <t>KALMAR LÄN</t>
        </is>
      </c>
      <c r="G4652" t="inlineStr">
        <is>
          <t>EMMABODA</t>
        </is>
      </c>
      <c r="I4652" t="n">
        <v>1.1</v>
      </c>
      <c r="J4652" t="n">
        <v>0</v>
      </c>
      <c r="K4652" t="n">
        <v>0</v>
      </c>
      <c r="L4652" t="n">
        <v>0</v>
      </c>
      <c r="M4652" t="n">
        <v>0</v>
      </c>
      <c r="N4652" t="n">
        <v>0</v>
      </c>
      <c r="O4652" t="n">
        <v>0</v>
      </c>
      <c r="P4652" t="n">
        <v>0</v>
      </c>
      <c r="Q4652" t="n">
        <v>0</v>
      </c>
      <c r="R4652" t="n">
        <v>0</v>
      </c>
      <c r="S4652" t="n">
        <v>0</v>
      </c>
      <c r="T4652" t="n">
        <v>0</v>
      </c>
      <c r="U4652" t="n">
        <v>0</v>
      </c>
      <c r="V4652" s="2" t="inlineStr"/>
    </row>
    <row r="4653" ht="15" customHeight="1">
      <c r="A4653" t="inlineStr">
        <is>
          <t>A 50648-2023</t>
        </is>
      </c>
      <c r="B4653" t="inlineStr">
        <is>
          <t>avverkningsanmälan</t>
        </is>
      </c>
      <c r="C4653" t="inlineStr">
        <is>
          <t>Föryngringsavverkning</t>
        </is>
      </c>
      <c r="D4653" s="1" t="n">
        <v>45217</v>
      </c>
      <c r="E4653" s="1" t="n">
        <v>46323</v>
      </c>
      <c r="F4653" t="inlineStr">
        <is>
          <t>KALMAR LÄN</t>
        </is>
      </c>
      <c r="G4653" t="inlineStr">
        <is>
          <t>VIMMERBY</t>
        </is>
      </c>
      <c r="I4653" t="n">
        <v>1.6</v>
      </c>
      <c r="J4653" t="n">
        <v>0</v>
      </c>
      <c r="K4653" t="n">
        <v>0</v>
      </c>
      <c r="L4653" t="n">
        <v>0</v>
      </c>
      <c r="M4653" t="n">
        <v>0</v>
      </c>
      <c r="N4653" t="n">
        <v>0</v>
      </c>
      <c r="O4653" t="n">
        <v>0</v>
      </c>
      <c r="P4653" t="n">
        <v>0</v>
      </c>
      <c r="Q4653" t="n">
        <v>0</v>
      </c>
      <c r="R4653" t="n">
        <v>0</v>
      </c>
      <c r="S4653" t="n">
        <v>0</v>
      </c>
      <c r="T4653" t="n">
        <v>0</v>
      </c>
      <c r="U4653" t="n">
        <v>0</v>
      </c>
      <c r="V4653" s="2" t="inlineStr"/>
    </row>
    <row r="4654" ht="15" customHeight="1">
      <c r="A4654" t="inlineStr">
        <is>
          <t>A 26469-2026</t>
        </is>
      </c>
      <c r="B4654" t="inlineStr">
        <is>
          <t>avverkningsanmälan</t>
        </is>
      </c>
      <c r="C4654" t="inlineStr">
        <is>
          <t>Föryngringsavverkning</t>
        </is>
      </c>
      <c r="D4654" s="1" t="n">
        <v>46183</v>
      </c>
      <c r="E4654" s="1" t="n">
        <v>46323</v>
      </c>
      <c r="F4654" t="inlineStr">
        <is>
          <t>KALMAR LÄN</t>
        </is>
      </c>
      <c r="G4654" t="inlineStr">
        <is>
          <t>HULTSFRED</t>
        </is>
      </c>
      <c r="I4654" t="n">
        <v>1.6</v>
      </c>
      <c r="J4654" t="n">
        <v>0</v>
      </c>
      <c r="K4654" t="n">
        <v>0</v>
      </c>
      <c r="L4654" t="n">
        <v>0</v>
      </c>
      <c r="M4654" t="n">
        <v>0</v>
      </c>
      <c r="N4654" t="n">
        <v>0</v>
      </c>
      <c r="O4654" t="n">
        <v>0</v>
      </c>
      <c r="P4654" t="n">
        <v>0</v>
      </c>
      <c r="Q4654" t="n">
        <v>0</v>
      </c>
      <c r="R4654" t="n">
        <v>0</v>
      </c>
      <c r="S4654" t="n">
        <v>0</v>
      </c>
      <c r="T4654" t="n">
        <v>0</v>
      </c>
      <c r="U4654" t="n">
        <v>0</v>
      </c>
      <c r="V4654" s="2" t="inlineStr"/>
    </row>
    <row r="4655" ht="15" customHeight="1">
      <c r="A4655" t="inlineStr">
        <is>
          <t>A 5257-2023</t>
        </is>
      </c>
      <c r="B4655" t="inlineStr">
        <is>
          <t>avverkningsanmälan</t>
        </is>
      </c>
      <c r="C4655" t="inlineStr">
        <is>
          <t>Föryngringsavverkning</t>
        </is>
      </c>
      <c r="D4655" s="1" t="n">
        <v>44959</v>
      </c>
      <c r="E4655" s="1" t="n">
        <v>46323</v>
      </c>
      <c r="F4655" t="inlineStr">
        <is>
          <t>KALMAR LÄN</t>
        </is>
      </c>
      <c r="G4655" t="inlineStr">
        <is>
          <t>NYBRO</t>
        </is>
      </c>
      <c r="I4655" t="n">
        <v>0.5</v>
      </c>
      <c r="J4655" t="n">
        <v>0</v>
      </c>
      <c r="K4655" t="n">
        <v>0</v>
      </c>
      <c r="L4655" t="n">
        <v>0</v>
      </c>
      <c r="M4655" t="n">
        <v>0</v>
      </c>
      <c r="N4655" t="n">
        <v>0</v>
      </c>
      <c r="O4655" t="n">
        <v>0</v>
      </c>
      <c r="P4655" t="n">
        <v>0</v>
      </c>
      <c r="Q4655" t="n">
        <v>0</v>
      </c>
      <c r="R4655" t="n">
        <v>0</v>
      </c>
      <c r="S4655" t="n">
        <v>0</v>
      </c>
      <c r="T4655" t="n">
        <v>0</v>
      </c>
      <c r="U4655" t="n">
        <v>0</v>
      </c>
      <c r="V4655" s="2" t="inlineStr"/>
    </row>
    <row r="4656" ht="15" customHeight="1">
      <c r="A4656" t="inlineStr">
        <is>
          <t>A 39728-2024</t>
        </is>
      </c>
      <c r="B4656" t="inlineStr">
        <is>
          <t>avverkningsanmälan</t>
        </is>
      </c>
      <c r="C4656" t="inlineStr">
        <is>
          <t>Avverkning för att bevara och utveckla /försöksver</t>
        </is>
      </c>
      <c r="D4656" s="1" t="n">
        <v>45552</v>
      </c>
      <c r="E4656" s="1" t="n">
        <v>46323</v>
      </c>
      <c r="F4656" t="inlineStr">
        <is>
          <t>KALMAR LÄN</t>
        </is>
      </c>
      <c r="G4656" t="inlineStr">
        <is>
          <t>TORSÅS</t>
        </is>
      </c>
      <c r="I4656" t="n">
        <v>1.6</v>
      </c>
      <c r="J4656" t="n">
        <v>0</v>
      </c>
      <c r="K4656" t="n">
        <v>0</v>
      </c>
      <c r="L4656" t="n">
        <v>0</v>
      </c>
      <c r="M4656" t="n">
        <v>0</v>
      </c>
      <c r="N4656" t="n">
        <v>0</v>
      </c>
      <c r="O4656" t="n">
        <v>0</v>
      </c>
      <c r="P4656" t="n">
        <v>0</v>
      </c>
      <c r="Q4656" t="n">
        <v>0</v>
      </c>
      <c r="R4656" t="n">
        <v>0</v>
      </c>
      <c r="S4656" t="n">
        <v>0</v>
      </c>
      <c r="T4656" t="n">
        <v>0</v>
      </c>
      <c r="U4656" t="n">
        <v>0</v>
      </c>
      <c r="V4656" s="2" t="inlineStr"/>
    </row>
    <row r="4657" ht="15" customHeight="1">
      <c r="A4657" t="inlineStr">
        <is>
          <t>A 62632-2023</t>
        </is>
      </c>
      <c r="B4657" t="inlineStr">
        <is>
          <t>avverkningsanmälan</t>
        </is>
      </c>
      <c r="C4657" t="inlineStr">
        <is>
          <t>Föryngringsavverkning</t>
        </is>
      </c>
      <c r="D4657" s="1" t="n">
        <v>45271</v>
      </c>
      <c r="E4657" s="1" t="n">
        <v>46323</v>
      </c>
      <c r="F4657" t="inlineStr">
        <is>
          <t>KALMAR LÄN</t>
        </is>
      </c>
      <c r="G4657" t="inlineStr">
        <is>
          <t>HULTSFRED</t>
        </is>
      </c>
      <c r="I4657" t="n">
        <v>1</v>
      </c>
      <c r="J4657" t="n">
        <v>0</v>
      </c>
      <c r="K4657" t="n">
        <v>0</v>
      </c>
      <c r="L4657" t="n">
        <v>0</v>
      </c>
      <c r="M4657" t="n">
        <v>0</v>
      </c>
      <c r="N4657" t="n">
        <v>0</v>
      </c>
      <c r="O4657" t="n">
        <v>0</v>
      </c>
      <c r="P4657" t="n">
        <v>0</v>
      </c>
      <c r="Q4657" t="n">
        <v>0</v>
      </c>
      <c r="R4657" t="n">
        <v>0</v>
      </c>
      <c r="S4657" t="n">
        <v>0</v>
      </c>
      <c r="T4657" t="n">
        <v>0</v>
      </c>
      <c r="U4657" t="n">
        <v>0</v>
      </c>
      <c r="V4657" s="2" t="inlineStr"/>
    </row>
    <row r="4658" ht="15" customHeight="1">
      <c r="A4658" t="inlineStr">
        <is>
          <t>A 12730-2026</t>
        </is>
      </c>
      <c r="B4658" t="inlineStr">
        <is>
          <t>avverkningsanmälan</t>
        </is>
      </c>
      <c r="C4658" t="inlineStr">
        <is>
          <t>Föryngringsavverkning</t>
        </is>
      </c>
      <c r="D4658" s="1" t="n">
        <v>46091</v>
      </c>
      <c r="E4658" s="1" t="n">
        <v>46323</v>
      </c>
      <c r="F4658" t="inlineStr">
        <is>
          <t>KALMAR LÄN</t>
        </is>
      </c>
      <c r="G4658" t="inlineStr">
        <is>
          <t>VIMMERBY</t>
        </is>
      </c>
      <c r="I4658" t="n">
        <v>1</v>
      </c>
      <c r="J4658" t="n">
        <v>0</v>
      </c>
      <c r="K4658" t="n">
        <v>0</v>
      </c>
      <c r="L4658" t="n">
        <v>0</v>
      </c>
      <c r="M4658" t="n">
        <v>0</v>
      </c>
      <c r="N4658" t="n">
        <v>0</v>
      </c>
      <c r="O4658" t="n">
        <v>0</v>
      </c>
      <c r="P4658" t="n">
        <v>0</v>
      </c>
      <c r="Q4658" t="n">
        <v>0</v>
      </c>
      <c r="R4658" t="n">
        <v>0</v>
      </c>
      <c r="S4658" t="n">
        <v>0</v>
      </c>
      <c r="T4658" t="n">
        <v>0</v>
      </c>
      <c r="U4658" t="n">
        <v>0</v>
      </c>
      <c r="V4658" s="2" t="inlineStr"/>
    </row>
    <row r="4659" ht="15" customHeight="1">
      <c r="A4659" t="inlineStr">
        <is>
          <t>A 12415-2026</t>
        </is>
      </c>
      <c r="B4659" t="inlineStr">
        <is>
          <t>avverkningsanmälan</t>
        </is>
      </c>
      <c r="C4659" t="inlineStr">
        <is>
          <t>Föryngringsavverkning</t>
        </is>
      </c>
      <c r="D4659" s="1" t="n">
        <v>46090</v>
      </c>
      <c r="E4659" s="1" t="n">
        <v>46323</v>
      </c>
      <c r="F4659" t="inlineStr">
        <is>
          <t>KALMAR LÄN</t>
        </is>
      </c>
      <c r="G4659" t="inlineStr">
        <is>
          <t>TORSÅS</t>
        </is>
      </c>
      <c r="I4659" t="n">
        <v>1</v>
      </c>
      <c r="J4659" t="n">
        <v>0</v>
      </c>
      <c r="K4659" t="n">
        <v>0</v>
      </c>
      <c r="L4659" t="n">
        <v>0</v>
      </c>
      <c r="M4659" t="n">
        <v>0</v>
      </c>
      <c r="N4659" t="n">
        <v>0</v>
      </c>
      <c r="O4659" t="n">
        <v>0</v>
      </c>
      <c r="P4659" t="n">
        <v>0</v>
      </c>
      <c r="Q4659" t="n">
        <v>0</v>
      </c>
      <c r="R4659" t="n">
        <v>0</v>
      </c>
      <c r="S4659" t="n">
        <v>0</v>
      </c>
      <c r="T4659" t="n">
        <v>0</v>
      </c>
      <c r="U4659" t="n">
        <v>0</v>
      </c>
      <c r="V4659" s="2" t="inlineStr"/>
    </row>
    <row r="4660" ht="15" customHeight="1">
      <c r="A4660" t="inlineStr">
        <is>
          <t>A 12428-2026</t>
        </is>
      </c>
      <c r="B4660" t="inlineStr">
        <is>
          <t>avverkningsanmälan</t>
        </is>
      </c>
      <c r="C4660" t="inlineStr">
        <is>
          <t>Föryngringsavverkning</t>
        </is>
      </c>
      <c r="D4660" s="1" t="n">
        <v>46090</v>
      </c>
      <c r="E4660" s="1" t="n">
        <v>46323</v>
      </c>
      <c r="F4660" t="inlineStr">
        <is>
          <t>KALMAR LÄN</t>
        </is>
      </c>
      <c r="G4660" t="inlineStr">
        <is>
          <t>EMMABODA</t>
        </is>
      </c>
      <c r="I4660" t="n">
        <v>1.4</v>
      </c>
      <c r="J4660" t="n">
        <v>0</v>
      </c>
      <c r="K4660" t="n">
        <v>0</v>
      </c>
      <c r="L4660" t="n">
        <v>0</v>
      </c>
      <c r="M4660" t="n">
        <v>0</v>
      </c>
      <c r="N4660" t="n">
        <v>0</v>
      </c>
      <c r="O4660" t="n">
        <v>0</v>
      </c>
      <c r="P4660" t="n">
        <v>0</v>
      </c>
      <c r="Q4660" t="n">
        <v>0</v>
      </c>
      <c r="R4660" t="n">
        <v>0</v>
      </c>
      <c r="S4660" t="n">
        <v>0</v>
      </c>
      <c r="T4660" t="n">
        <v>0</v>
      </c>
      <c r="U4660" t="n">
        <v>0</v>
      </c>
      <c r="V4660" s="2" t="inlineStr"/>
    </row>
    <row r="4661" ht="15" customHeight="1">
      <c r="A4661" t="inlineStr">
        <is>
          <t>A 63111-2023</t>
        </is>
      </c>
      <c r="B4661" t="inlineStr">
        <is>
          <t>avverkningsanmälan</t>
        </is>
      </c>
      <c r="C4661" t="inlineStr">
        <is>
          <t>Föryngringsavverkning</t>
        </is>
      </c>
      <c r="D4661" s="1" t="n">
        <v>45273</v>
      </c>
      <c r="E4661" s="1" t="n">
        <v>46323</v>
      </c>
      <c r="F4661" t="inlineStr">
        <is>
          <t>KALMAR LÄN</t>
        </is>
      </c>
      <c r="G4661" t="inlineStr">
        <is>
          <t>NYBRO</t>
        </is>
      </c>
      <c r="I4661" t="n">
        <v>2.7</v>
      </c>
      <c r="J4661" t="n">
        <v>0</v>
      </c>
      <c r="K4661" t="n">
        <v>0</v>
      </c>
      <c r="L4661" t="n">
        <v>0</v>
      </c>
      <c r="M4661" t="n">
        <v>0</v>
      </c>
      <c r="N4661" t="n">
        <v>0</v>
      </c>
      <c r="O4661" t="n">
        <v>0</v>
      </c>
      <c r="P4661" t="n">
        <v>0</v>
      </c>
      <c r="Q4661" t="n">
        <v>0</v>
      </c>
      <c r="R4661" t="n">
        <v>0</v>
      </c>
      <c r="S4661" t="n">
        <v>0</v>
      </c>
      <c r="T4661" t="n">
        <v>0</v>
      </c>
      <c r="U4661" t="n">
        <v>0</v>
      </c>
      <c r="V4661" s="2" t="inlineStr"/>
    </row>
    <row r="4662" ht="15" customHeight="1">
      <c r="A4662" t="inlineStr">
        <is>
          <t>A 39771-2022</t>
        </is>
      </c>
      <c r="B4662" t="inlineStr">
        <is>
          <t>avverkningsanmälan</t>
        </is>
      </c>
      <c r="C4662" t="inlineStr">
        <is>
          <t>Föryngringsavverkning</t>
        </is>
      </c>
      <c r="D4662" s="1" t="n">
        <v>44819</v>
      </c>
      <c r="E4662" s="1" t="n">
        <v>46323</v>
      </c>
      <c r="F4662" t="inlineStr">
        <is>
          <t>KALMAR LÄN</t>
        </is>
      </c>
      <c r="G4662" t="inlineStr">
        <is>
          <t>NYBRO</t>
        </is>
      </c>
      <c r="H4662" t="inlineStr">
        <is>
          <t>Kommuner</t>
        </is>
      </c>
      <c r="I4662" t="n">
        <v>3.6</v>
      </c>
      <c r="J4662" t="n">
        <v>0</v>
      </c>
      <c r="K4662" t="n">
        <v>0</v>
      </c>
      <c r="L4662" t="n">
        <v>0</v>
      </c>
      <c r="M4662" t="n">
        <v>0</v>
      </c>
      <c r="N4662" t="n">
        <v>0</v>
      </c>
      <c r="O4662" t="n">
        <v>0</v>
      </c>
      <c r="P4662" t="n">
        <v>0</v>
      </c>
      <c r="Q4662" t="n">
        <v>0</v>
      </c>
      <c r="R4662" t="n">
        <v>0</v>
      </c>
      <c r="S4662" t="n">
        <v>0</v>
      </c>
      <c r="T4662" t="n">
        <v>0</v>
      </c>
      <c r="U4662" t="n">
        <v>0</v>
      </c>
      <c r="V4662" s="2" t="inlineStr"/>
    </row>
    <row r="4663" ht="15" customHeight="1">
      <c r="A4663" t="inlineStr">
        <is>
          <t>A 36286-2022</t>
        </is>
      </c>
      <c r="B4663" t="inlineStr">
        <is>
          <t>avverkningsanmälan</t>
        </is>
      </c>
      <c r="C4663" t="inlineStr">
        <is>
          <t>Föryngringsavverkning</t>
        </is>
      </c>
      <c r="D4663" s="1" t="n">
        <v>44803</v>
      </c>
      <c r="E4663" s="1" t="n">
        <v>46323</v>
      </c>
      <c r="F4663" t="inlineStr">
        <is>
          <t>KALMAR LÄN</t>
        </is>
      </c>
      <c r="G4663" t="inlineStr">
        <is>
          <t>MÖNSTERÅS</t>
        </is>
      </c>
      <c r="H4663" t="inlineStr">
        <is>
          <t>Övriga Aktiebolag</t>
        </is>
      </c>
      <c r="I4663" t="n">
        <v>4.3</v>
      </c>
      <c r="J4663" t="n">
        <v>0</v>
      </c>
      <c r="K4663" t="n">
        <v>0</v>
      </c>
      <c r="L4663" t="n">
        <v>0</v>
      </c>
      <c r="M4663" t="n">
        <v>0</v>
      </c>
      <c r="N4663" t="n">
        <v>0</v>
      </c>
      <c r="O4663" t="n">
        <v>0</v>
      </c>
      <c r="P4663" t="n">
        <v>0</v>
      </c>
      <c r="Q4663" t="n">
        <v>0</v>
      </c>
      <c r="R4663" t="n">
        <v>0</v>
      </c>
      <c r="S4663" t="n">
        <v>0</v>
      </c>
      <c r="T4663" t="n">
        <v>0</v>
      </c>
      <c r="U4663" t="n">
        <v>0</v>
      </c>
      <c r="V4663" s="2" t="inlineStr"/>
    </row>
    <row r="4664" ht="15" customHeight="1">
      <c r="A4664" t="inlineStr">
        <is>
          <t>A 4116-2026</t>
        </is>
      </c>
      <c r="B4664" t="inlineStr">
        <is>
          <t>avverkningsanmälan</t>
        </is>
      </c>
      <c r="C4664" t="inlineStr">
        <is>
          <t>Föryngringsavverkning</t>
        </is>
      </c>
      <c r="D4664" s="1" t="n">
        <v>46044</v>
      </c>
      <c r="E4664" s="1" t="n">
        <v>46323</v>
      </c>
      <c r="F4664" t="inlineStr">
        <is>
          <t>KALMAR LÄN</t>
        </is>
      </c>
      <c r="G4664" t="inlineStr">
        <is>
          <t>HULTSFRED</t>
        </is>
      </c>
      <c r="I4664" t="n">
        <v>1.2</v>
      </c>
      <c r="J4664" t="n">
        <v>0</v>
      </c>
      <c r="K4664" t="n">
        <v>0</v>
      </c>
      <c r="L4664" t="n">
        <v>0</v>
      </c>
      <c r="M4664" t="n">
        <v>0</v>
      </c>
      <c r="N4664" t="n">
        <v>0</v>
      </c>
      <c r="O4664" t="n">
        <v>0</v>
      </c>
      <c r="P4664" t="n">
        <v>0</v>
      </c>
      <c r="Q4664" t="n">
        <v>0</v>
      </c>
      <c r="R4664" t="n">
        <v>0</v>
      </c>
      <c r="S4664" t="n">
        <v>0</v>
      </c>
      <c r="T4664" t="n">
        <v>0</v>
      </c>
      <c r="U4664" t="n">
        <v>0</v>
      </c>
      <c r="V4664" s="2" t="inlineStr"/>
    </row>
    <row r="4665" ht="15" customHeight="1">
      <c r="A4665" t="inlineStr">
        <is>
          <t>A 212-2024</t>
        </is>
      </c>
      <c r="B4665" t="inlineStr">
        <is>
          <t>avverkningsanmälan</t>
        </is>
      </c>
      <c r="C4665" t="inlineStr">
        <is>
          <t>Föryngringsavverkning</t>
        </is>
      </c>
      <c r="D4665" s="1" t="n">
        <v>45294</v>
      </c>
      <c r="E4665" s="1" t="n">
        <v>46323</v>
      </c>
      <c r="F4665" t="inlineStr">
        <is>
          <t>KALMAR LÄN</t>
        </is>
      </c>
      <c r="G4665" t="inlineStr">
        <is>
          <t>OSKARSHAMN</t>
        </is>
      </c>
      <c r="I4665" t="n">
        <v>7.4</v>
      </c>
      <c r="J4665" t="n">
        <v>0</v>
      </c>
      <c r="K4665" t="n">
        <v>0</v>
      </c>
      <c r="L4665" t="n">
        <v>0</v>
      </c>
      <c r="M4665" t="n">
        <v>0</v>
      </c>
      <c r="N4665" t="n">
        <v>0</v>
      </c>
      <c r="O4665" t="n">
        <v>0</v>
      </c>
      <c r="P4665" t="n">
        <v>0</v>
      </c>
      <c r="Q4665" t="n">
        <v>0</v>
      </c>
      <c r="R4665" t="n">
        <v>0</v>
      </c>
      <c r="S4665" t="n">
        <v>0</v>
      </c>
      <c r="T4665" t="n">
        <v>0</v>
      </c>
      <c r="U4665" t="n">
        <v>0</v>
      </c>
      <c r="V4665" s="2" t="inlineStr"/>
    </row>
    <row r="4666" ht="15" customHeight="1">
      <c r="A4666" t="inlineStr">
        <is>
          <t>A 4972-2023</t>
        </is>
      </c>
      <c r="B4666" t="inlineStr">
        <is>
          <t>avverkningsanmälan</t>
        </is>
      </c>
      <c r="C4666" t="inlineStr">
        <is>
          <t>Föryngringsavverkning</t>
        </is>
      </c>
      <c r="D4666" s="1" t="n">
        <v>44958</v>
      </c>
      <c r="E4666" s="1" t="n">
        <v>46323</v>
      </c>
      <c r="F4666" t="inlineStr">
        <is>
          <t>KALMAR LÄN</t>
        </is>
      </c>
      <c r="G4666" t="inlineStr">
        <is>
          <t>HULTSFRED</t>
        </is>
      </c>
      <c r="I4666" t="n">
        <v>1.1</v>
      </c>
      <c r="J4666" t="n">
        <v>0</v>
      </c>
      <c r="K4666" t="n">
        <v>0</v>
      </c>
      <c r="L4666" t="n">
        <v>0</v>
      </c>
      <c r="M4666" t="n">
        <v>0</v>
      </c>
      <c r="N4666" t="n">
        <v>0</v>
      </c>
      <c r="O4666" t="n">
        <v>0</v>
      </c>
      <c r="P4666" t="n">
        <v>0</v>
      </c>
      <c r="Q4666" t="n">
        <v>0</v>
      </c>
      <c r="R4666" t="n">
        <v>0</v>
      </c>
      <c r="S4666" t="n">
        <v>0</v>
      </c>
      <c r="T4666" t="n">
        <v>0</v>
      </c>
      <c r="U4666" t="n">
        <v>0</v>
      </c>
      <c r="V4666" s="2" t="inlineStr"/>
    </row>
    <row r="4667" ht="15" customHeight="1">
      <c r="A4667" t="inlineStr">
        <is>
          <t>A 866-2024</t>
        </is>
      </c>
      <c r="B4667" t="inlineStr">
        <is>
          <t>avverkningsanmälan</t>
        </is>
      </c>
      <c r="C4667" t="inlineStr">
        <is>
          <t>Föryngringsavverkning</t>
        </is>
      </c>
      <c r="D4667" s="1" t="n">
        <v>45301</v>
      </c>
      <c r="E4667" s="1" t="n">
        <v>46323</v>
      </c>
      <c r="F4667" t="inlineStr">
        <is>
          <t>KALMAR LÄN</t>
        </is>
      </c>
      <c r="G4667" t="inlineStr">
        <is>
          <t>NYBRO</t>
        </is>
      </c>
      <c r="I4667" t="n">
        <v>0.5</v>
      </c>
      <c r="J4667" t="n">
        <v>0</v>
      </c>
      <c r="K4667" t="n">
        <v>0</v>
      </c>
      <c r="L4667" t="n">
        <v>0</v>
      </c>
      <c r="M4667" t="n">
        <v>0</v>
      </c>
      <c r="N4667" t="n">
        <v>0</v>
      </c>
      <c r="O4667" t="n">
        <v>0</v>
      </c>
      <c r="P4667" t="n">
        <v>0</v>
      </c>
      <c r="Q4667" t="n">
        <v>0</v>
      </c>
      <c r="R4667" t="n">
        <v>0</v>
      </c>
      <c r="S4667" t="n">
        <v>0</v>
      </c>
      <c r="T4667" t="n">
        <v>0</v>
      </c>
      <c r="U4667" t="n">
        <v>0</v>
      </c>
      <c r="V4667" s="2" t="inlineStr"/>
    </row>
    <row r="4668" ht="15" customHeight="1">
      <c r="A4668" t="inlineStr">
        <is>
          <t>A 867-2024</t>
        </is>
      </c>
      <c r="B4668" t="inlineStr">
        <is>
          <t>avverkningsanmälan</t>
        </is>
      </c>
      <c r="C4668" t="inlineStr">
        <is>
          <t>Föryngringsavverkning</t>
        </is>
      </c>
      <c r="D4668" s="1" t="n">
        <v>45301</v>
      </c>
      <c r="E4668" s="1" t="n">
        <v>46323</v>
      </c>
      <c r="F4668" t="inlineStr">
        <is>
          <t>KALMAR LÄN</t>
        </is>
      </c>
      <c r="G4668" t="inlineStr">
        <is>
          <t>NYBRO</t>
        </is>
      </c>
      <c r="I4668" t="n">
        <v>0.9</v>
      </c>
      <c r="J4668" t="n">
        <v>0</v>
      </c>
      <c r="K4668" t="n">
        <v>0</v>
      </c>
      <c r="L4668" t="n">
        <v>0</v>
      </c>
      <c r="M4668" t="n">
        <v>0</v>
      </c>
      <c r="N4668" t="n">
        <v>0</v>
      </c>
      <c r="O4668" t="n">
        <v>0</v>
      </c>
      <c r="P4668" t="n">
        <v>0</v>
      </c>
      <c r="Q4668" t="n">
        <v>0</v>
      </c>
      <c r="R4668" t="n">
        <v>0</v>
      </c>
      <c r="S4668" t="n">
        <v>0</v>
      </c>
      <c r="T4668" t="n">
        <v>0</v>
      </c>
      <c r="U4668" t="n">
        <v>0</v>
      </c>
      <c r="V4668" s="2" t="inlineStr"/>
    </row>
    <row r="4669" ht="15" customHeight="1">
      <c r="A4669" t="inlineStr">
        <is>
          <t>A 21857-2026</t>
        </is>
      </c>
      <c r="B4669" t="inlineStr">
        <is>
          <t>avverkningsanmälan</t>
        </is>
      </c>
      <c r="C4669" t="inlineStr">
        <is>
          <t>Föryngringsavverkning</t>
        </is>
      </c>
      <c r="D4669" s="1" t="n">
        <v>46150</v>
      </c>
      <c r="E4669" s="1" t="n">
        <v>46323</v>
      </c>
      <c r="F4669" t="inlineStr">
        <is>
          <t>KALMAR LÄN</t>
        </is>
      </c>
      <c r="G4669" t="inlineStr">
        <is>
          <t>VÄSTERVIK</t>
        </is>
      </c>
      <c r="I4669" t="n">
        <v>1.5</v>
      </c>
      <c r="J4669" t="n">
        <v>0</v>
      </c>
      <c r="K4669" t="n">
        <v>0</v>
      </c>
      <c r="L4669" t="n">
        <v>0</v>
      </c>
      <c r="M4669" t="n">
        <v>0</v>
      </c>
      <c r="N4669" t="n">
        <v>0</v>
      </c>
      <c r="O4669" t="n">
        <v>0</v>
      </c>
      <c r="P4669" t="n">
        <v>0</v>
      </c>
      <c r="Q4669" t="n">
        <v>0</v>
      </c>
      <c r="R4669" t="n">
        <v>0</v>
      </c>
      <c r="S4669" t="n">
        <v>0</v>
      </c>
      <c r="T4669" t="n">
        <v>0</v>
      </c>
      <c r="U4669" t="n">
        <v>0</v>
      </c>
      <c r="V4669" s="2" t="inlineStr"/>
    </row>
    <row r="4670" ht="15" customHeight="1">
      <c r="A4670" t="inlineStr">
        <is>
          <t>A 5930-2023</t>
        </is>
      </c>
      <c r="B4670" t="inlineStr">
        <is>
          <t>avverkningsanmälan</t>
        </is>
      </c>
      <c r="C4670" t="inlineStr">
        <is>
          <t>Föryngringsavverkning</t>
        </is>
      </c>
      <c r="D4670" s="1" t="n">
        <v>44963</v>
      </c>
      <c r="E4670" s="1" t="n">
        <v>46323</v>
      </c>
      <c r="F4670" t="inlineStr">
        <is>
          <t>KALMAR LÄN</t>
        </is>
      </c>
      <c r="G4670" t="inlineStr">
        <is>
          <t>KALMAR</t>
        </is>
      </c>
      <c r="I4670" t="n">
        <v>0.9</v>
      </c>
      <c r="J4670" t="n">
        <v>0</v>
      </c>
      <c r="K4670" t="n">
        <v>0</v>
      </c>
      <c r="L4670" t="n">
        <v>0</v>
      </c>
      <c r="M4670" t="n">
        <v>0</v>
      </c>
      <c r="N4670" t="n">
        <v>0</v>
      </c>
      <c r="O4670" t="n">
        <v>0</v>
      </c>
      <c r="P4670" t="n">
        <v>0</v>
      </c>
      <c r="Q4670" t="n">
        <v>0</v>
      </c>
      <c r="R4670" t="n">
        <v>0</v>
      </c>
      <c r="S4670" t="n">
        <v>0</v>
      </c>
      <c r="T4670" t="n">
        <v>0</v>
      </c>
      <c r="U4670" t="n">
        <v>0</v>
      </c>
      <c r="V4670" s="2" t="inlineStr"/>
    </row>
    <row r="4671" ht="15" customHeight="1">
      <c r="A4671" t="inlineStr">
        <is>
          <t>A 5941-2023</t>
        </is>
      </c>
      <c r="B4671" t="inlineStr">
        <is>
          <t>avverkningsanmälan</t>
        </is>
      </c>
      <c r="C4671" t="inlineStr">
        <is>
          <t>Föryngringsavverkning</t>
        </is>
      </c>
      <c r="D4671" s="1" t="n">
        <v>44963</v>
      </c>
      <c r="E4671" s="1" t="n">
        <v>46323</v>
      </c>
      <c r="F4671" t="inlineStr">
        <is>
          <t>KALMAR LÄN</t>
        </is>
      </c>
      <c r="G4671" t="inlineStr">
        <is>
          <t>KALMAR</t>
        </is>
      </c>
      <c r="I4671" t="n">
        <v>1.2</v>
      </c>
      <c r="J4671" t="n">
        <v>0</v>
      </c>
      <c r="K4671" t="n">
        <v>0</v>
      </c>
      <c r="L4671" t="n">
        <v>0</v>
      </c>
      <c r="M4671" t="n">
        <v>0</v>
      </c>
      <c r="N4671" t="n">
        <v>0</v>
      </c>
      <c r="O4671" t="n">
        <v>0</v>
      </c>
      <c r="P4671" t="n">
        <v>0</v>
      </c>
      <c r="Q4671" t="n">
        <v>0</v>
      </c>
      <c r="R4671" t="n">
        <v>0</v>
      </c>
      <c r="S4671" t="n">
        <v>0</v>
      </c>
      <c r="T4671" t="n">
        <v>0</v>
      </c>
      <c r="U4671" t="n">
        <v>0</v>
      </c>
      <c r="V4671" s="2" t="inlineStr"/>
    </row>
    <row r="4672" ht="15" customHeight="1">
      <c r="A4672" t="inlineStr">
        <is>
          <t>A 4113-2026</t>
        </is>
      </c>
      <c r="B4672" t="inlineStr">
        <is>
          <t>avverkningsanmälan</t>
        </is>
      </c>
      <c r="C4672" t="inlineStr">
        <is>
          <t>Föryngringsavverkning</t>
        </is>
      </c>
      <c r="D4672" s="1" t="n">
        <v>46044</v>
      </c>
      <c r="E4672" s="1" t="n">
        <v>46323</v>
      </c>
      <c r="F4672" t="inlineStr">
        <is>
          <t>KALMAR LÄN</t>
        </is>
      </c>
      <c r="G4672" t="inlineStr">
        <is>
          <t>HULTSFRED</t>
        </is>
      </c>
      <c r="I4672" t="n">
        <v>1.3</v>
      </c>
      <c r="J4672" t="n">
        <v>0</v>
      </c>
      <c r="K4672" t="n">
        <v>0</v>
      </c>
      <c r="L4672" t="n">
        <v>0</v>
      </c>
      <c r="M4672" t="n">
        <v>0</v>
      </c>
      <c r="N4672" t="n">
        <v>0</v>
      </c>
      <c r="O4672" t="n">
        <v>0</v>
      </c>
      <c r="P4672" t="n">
        <v>0</v>
      </c>
      <c r="Q4672" t="n">
        <v>0</v>
      </c>
      <c r="R4672" t="n">
        <v>0</v>
      </c>
      <c r="S4672" t="n">
        <v>0</v>
      </c>
      <c r="T4672" t="n">
        <v>0</v>
      </c>
      <c r="U4672" t="n">
        <v>0</v>
      </c>
      <c r="V4672" s="2" t="inlineStr"/>
    </row>
    <row r="4673" ht="15" customHeight="1">
      <c r="A4673" t="inlineStr">
        <is>
          <t>A 25417-2023</t>
        </is>
      </c>
      <c r="B4673" t="inlineStr">
        <is>
          <t>avverkningsanmälan</t>
        </is>
      </c>
      <c r="C4673" t="inlineStr">
        <is>
          <t>Föryngringsavverkning</t>
        </is>
      </c>
      <c r="D4673" s="1" t="n">
        <v>45089</v>
      </c>
      <c r="E4673" s="1" t="n">
        <v>46323</v>
      </c>
      <c r="F4673" t="inlineStr">
        <is>
          <t>KALMAR LÄN</t>
        </is>
      </c>
      <c r="G4673" t="inlineStr">
        <is>
          <t>EMMABODA</t>
        </is>
      </c>
      <c r="I4673" t="n">
        <v>0.5</v>
      </c>
      <c r="J4673" t="n">
        <v>0</v>
      </c>
      <c r="K4673" t="n">
        <v>0</v>
      </c>
      <c r="L4673" t="n">
        <v>0</v>
      </c>
      <c r="M4673" t="n">
        <v>0</v>
      </c>
      <c r="N4673" t="n">
        <v>0</v>
      </c>
      <c r="O4673" t="n">
        <v>0</v>
      </c>
      <c r="P4673" t="n">
        <v>0</v>
      </c>
      <c r="Q4673" t="n">
        <v>0</v>
      </c>
      <c r="R4673" t="n">
        <v>0</v>
      </c>
      <c r="S4673" t="n">
        <v>0</v>
      </c>
      <c r="T4673" t="n">
        <v>0</v>
      </c>
      <c r="U4673" t="n">
        <v>0</v>
      </c>
      <c r="V4673" s="2" t="inlineStr"/>
    </row>
    <row r="4674" ht="15" customHeight="1">
      <c r="A4674" t="inlineStr">
        <is>
          <t>A 25434-2023</t>
        </is>
      </c>
      <c r="B4674" t="inlineStr">
        <is>
          <t>avverkningsanmälan</t>
        </is>
      </c>
      <c r="C4674" t="inlineStr">
        <is>
          <t>Föryngringsavverkning</t>
        </is>
      </c>
      <c r="D4674" s="1" t="n">
        <v>45089</v>
      </c>
      <c r="E4674" s="1" t="n">
        <v>46323</v>
      </c>
      <c r="F4674" t="inlineStr">
        <is>
          <t>KALMAR LÄN</t>
        </is>
      </c>
      <c r="G4674" t="inlineStr">
        <is>
          <t>VÄSTERVIK</t>
        </is>
      </c>
      <c r="I4674" t="n">
        <v>0.9</v>
      </c>
      <c r="J4674" t="n">
        <v>0</v>
      </c>
      <c r="K4674" t="n">
        <v>0</v>
      </c>
      <c r="L4674" t="n">
        <v>0</v>
      </c>
      <c r="M4674" t="n">
        <v>0</v>
      </c>
      <c r="N4674" t="n">
        <v>0</v>
      </c>
      <c r="O4674" t="n">
        <v>0</v>
      </c>
      <c r="P4674" t="n">
        <v>0</v>
      </c>
      <c r="Q4674" t="n">
        <v>0</v>
      </c>
      <c r="R4674" t="n">
        <v>0</v>
      </c>
      <c r="S4674" t="n">
        <v>0</v>
      </c>
      <c r="T4674" t="n">
        <v>0</v>
      </c>
      <c r="U4674" t="n">
        <v>0</v>
      </c>
      <c r="V4674" s="2" t="inlineStr"/>
    </row>
    <row r="4675" ht="15" customHeight="1">
      <c r="A4675" t="inlineStr">
        <is>
          <t>A 2121-2022</t>
        </is>
      </c>
      <c r="B4675" t="inlineStr">
        <is>
          <t>avverkningsanmälan</t>
        </is>
      </c>
      <c r="C4675" t="inlineStr">
        <is>
          <t>Föryngringsavverkning</t>
        </is>
      </c>
      <c r="D4675" s="1" t="n">
        <v>44578</v>
      </c>
      <c r="E4675" s="1" t="n">
        <v>46323</v>
      </c>
      <c r="F4675" t="inlineStr">
        <is>
          <t>KALMAR LÄN</t>
        </is>
      </c>
      <c r="G4675" t="inlineStr">
        <is>
          <t>VIMMERBY</t>
        </is>
      </c>
      <c r="I4675" t="n">
        <v>2</v>
      </c>
      <c r="J4675" t="n">
        <v>0</v>
      </c>
      <c r="K4675" t="n">
        <v>0</v>
      </c>
      <c r="L4675" t="n">
        <v>0</v>
      </c>
      <c r="M4675" t="n">
        <v>0</v>
      </c>
      <c r="N4675" t="n">
        <v>0</v>
      </c>
      <c r="O4675" t="n">
        <v>0</v>
      </c>
      <c r="P4675" t="n">
        <v>0</v>
      </c>
      <c r="Q4675" t="n">
        <v>0</v>
      </c>
      <c r="R4675" t="n">
        <v>0</v>
      </c>
      <c r="S4675" t="n">
        <v>0</v>
      </c>
      <c r="T4675" t="n">
        <v>0</v>
      </c>
      <c r="U4675" t="n">
        <v>0</v>
      </c>
      <c r="V4675" s="2" t="inlineStr"/>
    </row>
    <row r="4676" ht="15" customHeight="1">
      <c r="A4676" t="inlineStr">
        <is>
          <t>A 14936-2023</t>
        </is>
      </c>
      <c r="B4676" t="inlineStr">
        <is>
          <t>avverkningsanmälan</t>
        </is>
      </c>
      <c r="C4676" t="inlineStr">
        <is>
          <t>Föryngringsavverkning</t>
        </is>
      </c>
      <c r="D4676" s="1" t="n">
        <v>45015</v>
      </c>
      <c r="E4676" s="1" t="n">
        <v>46323</v>
      </c>
      <c r="F4676" t="inlineStr">
        <is>
          <t>KALMAR LÄN</t>
        </is>
      </c>
      <c r="G4676" t="inlineStr">
        <is>
          <t>MÖNSTERÅS</t>
        </is>
      </c>
      <c r="I4676" t="n">
        <v>0.7</v>
      </c>
      <c r="J4676" t="n">
        <v>0</v>
      </c>
      <c r="K4676" t="n">
        <v>0</v>
      </c>
      <c r="L4676" t="n">
        <v>0</v>
      </c>
      <c r="M4676" t="n">
        <v>0</v>
      </c>
      <c r="N4676" t="n">
        <v>0</v>
      </c>
      <c r="O4676" t="n">
        <v>0</v>
      </c>
      <c r="P4676" t="n">
        <v>0</v>
      </c>
      <c r="Q4676" t="n">
        <v>0</v>
      </c>
      <c r="R4676" t="n">
        <v>0</v>
      </c>
      <c r="S4676" t="n">
        <v>0</v>
      </c>
      <c r="T4676" t="n">
        <v>0</v>
      </c>
      <c r="U4676" t="n">
        <v>0</v>
      </c>
      <c r="V4676" s="2" t="inlineStr"/>
    </row>
    <row r="4677" ht="15" customHeight="1">
      <c r="A4677" t="inlineStr">
        <is>
          <t>A 33398-2026</t>
        </is>
      </c>
      <c r="B4677" t="inlineStr">
        <is>
          <t>avverkningsanmälan</t>
        </is>
      </c>
      <c r="C4677" t="inlineStr">
        <is>
          <t>Föryngringsavverkning</t>
        </is>
      </c>
      <c r="D4677" s="1" t="n">
        <v>46247</v>
      </c>
      <c r="E4677" s="1" t="n">
        <v>46323</v>
      </c>
      <c r="F4677" t="inlineStr">
        <is>
          <t>KALMAR LÄN</t>
        </is>
      </c>
      <c r="G4677" t="inlineStr">
        <is>
          <t>KALMAR</t>
        </is>
      </c>
      <c r="I4677" t="n">
        <v>0.9</v>
      </c>
      <c r="J4677" t="n">
        <v>0</v>
      </c>
      <c r="K4677" t="n">
        <v>0</v>
      </c>
      <c r="L4677" t="n">
        <v>0</v>
      </c>
      <c r="M4677" t="n">
        <v>0</v>
      </c>
      <c r="N4677" t="n">
        <v>0</v>
      </c>
      <c r="O4677" t="n">
        <v>0</v>
      </c>
      <c r="P4677" t="n">
        <v>0</v>
      </c>
      <c r="Q4677" t="n">
        <v>0</v>
      </c>
      <c r="R4677" t="n">
        <v>0</v>
      </c>
      <c r="S4677" t="n">
        <v>0</v>
      </c>
      <c r="T4677" t="n">
        <v>0</v>
      </c>
      <c r="U4677" t="n">
        <v>0</v>
      </c>
      <c r="V4677" s="2" t="inlineStr"/>
    </row>
    <row r="4678" ht="15" customHeight="1">
      <c r="A4678" t="inlineStr">
        <is>
          <t>A 18592-2025</t>
        </is>
      </c>
      <c r="B4678" t="inlineStr">
        <is>
          <t>avverkningsanmälan</t>
        </is>
      </c>
      <c r="C4678" t="inlineStr">
        <is>
          <t>Föryngringsavverkning</t>
        </is>
      </c>
      <c r="D4678" s="1" t="n">
        <v>45763</v>
      </c>
      <c r="E4678" s="1" t="n">
        <v>46323</v>
      </c>
      <c r="F4678" t="inlineStr">
        <is>
          <t>KALMAR LÄN</t>
        </is>
      </c>
      <c r="G4678" t="inlineStr">
        <is>
          <t>NYBRO</t>
        </is>
      </c>
      <c r="I4678" t="n">
        <v>7.7</v>
      </c>
      <c r="J4678" t="n">
        <v>0</v>
      </c>
      <c r="K4678" t="n">
        <v>0</v>
      </c>
      <c r="L4678" t="n">
        <v>0</v>
      </c>
      <c r="M4678" t="n">
        <v>0</v>
      </c>
      <c r="N4678" t="n">
        <v>0</v>
      </c>
      <c r="O4678" t="n">
        <v>0</v>
      </c>
      <c r="P4678" t="n">
        <v>0</v>
      </c>
      <c r="Q4678" t="n">
        <v>0</v>
      </c>
      <c r="R4678" t="n">
        <v>0</v>
      </c>
      <c r="S4678" t="n">
        <v>0</v>
      </c>
      <c r="T4678" t="n">
        <v>0</v>
      </c>
      <c r="U4678" t="n">
        <v>0</v>
      </c>
      <c r="V4678" s="2" t="inlineStr"/>
    </row>
    <row r="4679" ht="15" customHeight="1">
      <c r="A4679" t="inlineStr">
        <is>
          <t>A 57799-2022</t>
        </is>
      </c>
      <c r="B4679" t="inlineStr">
        <is>
          <t>avverkningsanmälan</t>
        </is>
      </c>
      <c r="C4679" t="inlineStr">
        <is>
          <t>Föryngringsavverkning</t>
        </is>
      </c>
      <c r="D4679" s="1" t="n">
        <v>44897</v>
      </c>
      <c r="E4679" s="1" t="n">
        <v>46323</v>
      </c>
      <c r="F4679" t="inlineStr">
        <is>
          <t>KALMAR LÄN</t>
        </is>
      </c>
      <c r="G4679" t="inlineStr">
        <is>
          <t>VIMMERBY</t>
        </is>
      </c>
      <c r="I4679" t="n">
        <v>1.4</v>
      </c>
      <c r="J4679" t="n">
        <v>0</v>
      </c>
      <c r="K4679" t="n">
        <v>0</v>
      </c>
      <c r="L4679" t="n">
        <v>0</v>
      </c>
      <c r="M4679" t="n">
        <v>0</v>
      </c>
      <c r="N4679" t="n">
        <v>0</v>
      </c>
      <c r="O4679" t="n">
        <v>0</v>
      </c>
      <c r="P4679" t="n">
        <v>0</v>
      </c>
      <c r="Q4679" t="n">
        <v>0</v>
      </c>
      <c r="R4679" t="n">
        <v>0</v>
      </c>
      <c r="S4679" t="n">
        <v>0</v>
      </c>
      <c r="T4679" t="n">
        <v>0</v>
      </c>
      <c r="U4679" t="n">
        <v>0</v>
      </c>
      <c r="V4679" s="2" t="inlineStr"/>
    </row>
    <row r="4680" ht="15" customHeight="1">
      <c r="A4680" t="inlineStr">
        <is>
          <t>A 61018-2025</t>
        </is>
      </c>
      <c r="B4680" t="inlineStr">
        <is>
          <t>avverkningsanmälan</t>
        </is>
      </c>
      <c r="C4680" t="inlineStr">
        <is>
          <t>Föryngringsavverkning</t>
        </is>
      </c>
      <c r="D4680" s="1" t="n">
        <v>45999</v>
      </c>
      <c r="E4680" s="1" t="n">
        <v>46323</v>
      </c>
      <c r="F4680" t="inlineStr">
        <is>
          <t>KALMAR LÄN</t>
        </is>
      </c>
      <c r="G4680" t="inlineStr">
        <is>
          <t>MÖNSTERÅS</t>
        </is>
      </c>
      <c r="H4680" t="inlineStr">
        <is>
          <t>Sveaskog</t>
        </is>
      </c>
      <c r="I4680" t="n">
        <v>1.1</v>
      </c>
      <c r="J4680" t="n">
        <v>0</v>
      </c>
      <c r="K4680" t="n">
        <v>0</v>
      </c>
      <c r="L4680" t="n">
        <v>0</v>
      </c>
      <c r="M4680" t="n">
        <v>0</v>
      </c>
      <c r="N4680" t="n">
        <v>0</v>
      </c>
      <c r="O4680" t="n">
        <v>0</v>
      </c>
      <c r="P4680" t="n">
        <v>0</v>
      </c>
      <c r="Q4680" t="n">
        <v>0</v>
      </c>
      <c r="R4680" t="n">
        <v>0</v>
      </c>
      <c r="S4680" t="n">
        <v>0</v>
      </c>
      <c r="T4680" t="n">
        <v>0</v>
      </c>
      <c r="U4680" t="n">
        <v>0</v>
      </c>
      <c r="V4680" s="2" t="inlineStr"/>
    </row>
    <row r="4681" ht="15" customHeight="1">
      <c r="A4681" t="inlineStr">
        <is>
          <t>A 4402-2024</t>
        </is>
      </c>
      <c r="B4681" t="inlineStr">
        <is>
          <t>avverkningsanmälan</t>
        </is>
      </c>
      <c r="C4681" t="inlineStr">
        <is>
          <t>Föryngringsavverkning</t>
        </is>
      </c>
      <c r="D4681" s="1" t="n">
        <v>45327</v>
      </c>
      <c r="E4681" s="1" t="n">
        <v>46323</v>
      </c>
      <c r="F4681" t="inlineStr">
        <is>
          <t>KALMAR LÄN</t>
        </is>
      </c>
      <c r="G4681" t="inlineStr">
        <is>
          <t>NYBRO</t>
        </is>
      </c>
      <c r="I4681" t="n">
        <v>6.5</v>
      </c>
      <c r="J4681" t="n">
        <v>0</v>
      </c>
      <c r="K4681" t="n">
        <v>0</v>
      </c>
      <c r="L4681" t="n">
        <v>0</v>
      </c>
      <c r="M4681" t="n">
        <v>0</v>
      </c>
      <c r="N4681" t="n">
        <v>0</v>
      </c>
      <c r="O4681" t="n">
        <v>0</v>
      </c>
      <c r="P4681" t="n">
        <v>0</v>
      </c>
      <c r="Q4681" t="n">
        <v>0</v>
      </c>
      <c r="R4681" t="n">
        <v>0</v>
      </c>
      <c r="S4681" t="n">
        <v>0</v>
      </c>
      <c r="T4681" t="n">
        <v>0</v>
      </c>
      <c r="U4681" t="n">
        <v>0</v>
      </c>
      <c r="V4681" s="2" t="inlineStr"/>
    </row>
    <row r="4682" ht="15" customHeight="1">
      <c r="A4682" t="inlineStr">
        <is>
          <t>A 1889-2023</t>
        </is>
      </c>
      <c r="B4682" t="inlineStr">
        <is>
          <t>avverkningsanmälan</t>
        </is>
      </c>
      <c r="C4682" t="inlineStr">
        <is>
          <t>Föryngringsavverkning</t>
        </is>
      </c>
      <c r="D4682" s="1" t="n">
        <v>44939</v>
      </c>
      <c r="E4682" s="1" t="n">
        <v>46323</v>
      </c>
      <c r="F4682" t="inlineStr">
        <is>
          <t>KALMAR LÄN</t>
        </is>
      </c>
      <c r="G4682" t="inlineStr">
        <is>
          <t>MÖNSTERÅS</t>
        </is>
      </c>
      <c r="I4682" t="n">
        <v>3.8</v>
      </c>
      <c r="J4682" t="n">
        <v>0</v>
      </c>
      <c r="K4682" t="n">
        <v>0</v>
      </c>
      <c r="L4682" t="n">
        <v>0</v>
      </c>
      <c r="M4682" t="n">
        <v>0</v>
      </c>
      <c r="N4682" t="n">
        <v>0</v>
      </c>
      <c r="O4682" t="n">
        <v>0</v>
      </c>
      <c r="P4682" t="n">
        <v>0</v>
      </c>
      <c r="Q4682" t="n">
        <v>0</v>
      </c>
      <c r="R4682" t="n">
        <v>0</v>
      </c>
      <c r="S4682" t="n">
        <v>0</v>
      </c>
      <c r="T4682" t="n">
        <v>0</v>
      </c>
      <c r="U4682" t="n">
        <v>0</v>
      </c>
      <c r="V4682" s="2" t="inlineStr"/>
    </row>
    <row r="4683" ht="15" customHeight="1">
      <c r="A4683" t="inlineStr">
        <is>
          <t>A 74478-2021</t>
        </is>
      </c>
      <c r="B4683" t="inlineStr">
        <is>
          <t>avverkningsanmälan</t>
        </is>
      </c>
      <c r="C4683" t="inlineStr">
        <is>
          <t>Föryngringsavverkning</t>
        </is>
      </c>
      <c r="D4683" s="1" t="n">
        <v>44559</v>
      </c>
      <c r="E4683" s="1" t="n">
        <v>46323</v>
      </c>
      <c r="F4683" t="inlineStr">
        <is>
          <t>KALMAR LÄN</t>
        </is>
      </c>
      <c r="G4683" t="inlineStr">
        <is>
          <t>HÖGSBY</t>
        </is>
      </c>
      <c r="I4683" t="n">
        <v>1.5</v>
      </c>
      <c r="J4683" t="n">
        <v>0</v>
      </c>
      <c r="K4683" t="n">
        <v>0</v>
      </c>
      <c r="L4683" t="n">
        <v>0</v>
      </c>
      <c r="M4683" t="n">
        <v>0</v>
      </c>
      <c r="N4683" t="n">
        <v>0</v>
      </c>
      <c r="O4683" t="n">
        <v>0</v>
      </c>
      <c r="P4683" t="n">
        <v>0</v>
      </c>
      <c r="Q4683" t="n">
        <v>0</v>
      </c>
      <c r="R4683" t="n">
        <v>0</v>
      </c>
      <c r="S4683" t="n">
        <v>0</v>
      </c>
      <c r="T4683" t="n">
        <v>0</v>
      </c>
      <c r="U4683" t="n">
        <v>0</v>
      </c>
      <c r="V4683" s="2" t="inlineStr"/>
    </row>
    <row r="4684" ht="15" customHeight="1">
      <c r="A4684" t="inlineStr">
        <is>
          <t>A 33244-2026</t>
        </is>
      </c>
      <c r="B4684" t="inlineStr">
        <is>
          <t>avverkningsanmälan</t>
        </is>
      </c>
      <c r="C4684" t="inlineStr">
        <is>
          <t>Föryngringsavverkning</t>
        </is>
      </c>
      <c r="D4684" s="1" t="n">
        <v>46246</v>
      </c>
      <c r="E4684" s="1" t="n">
        <v>46323</v>
      </c>
      <c r="F4684" t="inlineStr">
        <is>
          <t>KALMAR LÄN</t>
        </is>
      </c>
      <c r="G4684" t="inlineStr">
        <is>
          <t>TORSÅS</t>
        </is>
      </c>
      <c r="I4684" t="n">
        <v>2</v>
      </c>
      <c r="J4684" t="n">
        <v>0</v>
      </c>
      <c r="K4684" t="n">
        <v>0</v>
      </c>
      <c r="L4684" t="n">
        <v>0</v>
      </c>
      <c r="M4684" t="n">
        <v>0</v>
      </c>
      <c r="N4684" t="n">
        <v>0</v>
      </c>
      <c r="O4684" t="n">
        <v>0</v>
      </c>
      <c r="P4684" t="n">
        <v>0</v>
      </c>
      <c r="Q4684" t="n">
        <v>0</v>
      </c>
      <c r="R4684" t="n">
        <v>0</v>
      </c>
      <c r="S4684" t="n">
        <v>0</v>
      </c>
      <c r="T4684" t="n">
        <v>0</v>
      </c>
      <c r="U4684" t="n">
        <v>0</v>
      </c>
      <c r="V4684" s="2" t="inlineStr"/>
    </row>
    <row r="4685" ht="15" customHeight="1">
      <c r="A4685" t="inlineStr">
        <is>
          <t>A 20035-2023</t>
        </is>
      </c>
      <c r="B4685" t="inlineStr">
        <is>
          <t>avverkningsanmälan</t>
        </is>
      </c>
      <c r="C4685" t="inlineStr">
        <is>
          <t>Föryngringsavverkning</t>
        </is>
      </c>
      <c r="D4685" s="1" t="n">
        <v>45054</v>
      </c>
      <c r="E4685" s="1" t="n">
        <v>46323</v>
      </c>
      <c r="F4685" t="inlineStr">
        <is>
          <t>KALMAR LÄN</t>
        </is>
      </c>
      <c r="G4685" t="inlineStr">
        <is>
          <t>HULTSFRED</t>
        </is>
      </c>
      <c r="I4685" t="n">
        <v>1.7</v>
      </c>
      <c r="J4685" t="n">
        <v>0</v>
      </c>
      <c r="K4685" t="n">
        <v>0</v>
      </c>
      <c r="L4685" t="n">
        <v>0</v>
      </c>
      <c r="M4685" t="n">
        <v>0</v>
      </c>
      <c r="N4685" t="n">
        <v>0</v>
      </c>
      <c r="O4685" t="n">
        <v>0</v>
      </c>
      <c r="P4685" t="n">
        <v>0</v>
      </c>
      <c r="Q4685" t="n">
        <v>0</v>
      </c>
      <c r="R4685" t="n">
        <v>0</v>
      </c>
      <c r="S4685" t="n">
        <v>0</v>
      </c>
      <c r="T4685" t="n">
        <v>0</v>
      </c>
      <c r="U4685" t="n">
        <v>0</v>
      </c>
      <c r="V4685" s="2" t="inlineStr"/>
    </row>
    <row r="4686" ht="15" customHeight="1">
      <c r="A4686" t="inlineStr">
        <is>
          <t>A 26318-2023</t>
        </is>
      </c>
      <c r="B4686" t="inlineStr">
        <is>
          <t>avverkningsanmälan</t>
        </is>
      </c>
      <c r="C4686" t="inlineStr">
        <is>
          <t>Föryngringsavverkning</t>
        </is>
      </c>
      <c r="D4686" s="1" t="n">
        <v>45091</v>
      </c>
      <c r="E4686" s="1" t="n">
        <v>46323</v>
      </c>
      <c r="F4686" t="inlineStr">
        <is>
          <t>KALMAR LÄN</t>
        </is>
      </c>
      <c r="G4686" t="inlineStr">
        <is>
          <t>VIMMERBY</t>
        </is>
      </c>
      <c r="I4686" t="n">
        <v>3.8</v>
      </c>
      <c r="J4686" t="n">
        <v>0</v>
      </c>
      <c r="K4686" t="n">
        <v>0</v>
      </c>
      <c r="L4686" t="n">
        <v>0</v>
      </c>
      <c r="M4686" t="n">
        <v>0</v>
      </c>
      <c r="N4686" t="n">
        <v>0</v>
      </c>
      <c r="O4686" t="n">
        <v>0</v>
      </c>
      <c r="P4686" t="n">
        <v>0</v>
      </c>
      <c r="Q4686" t="n">
        <v>0</v>
      </c>
      <c r="R4686" t="n">
        <v>0</v>
      </c>
      <c r="S4686" t="n">
        <v>0</v>
      </c>
      <c r="T4686" t="n">
        <v>0</v>
      </c>
      <c r="U4686" t="n">
        <v>0</v>
      </c>
      <c r="V4686" s="2" t="inlineStr"/>
    </row>
    <row r="4687" ht="15" customHeight="1">
      <c r="A4687" t="inlineStr">
        <is>
          <t>A 12884-2026</t>
        </is>
      </c>
      <c r="B4687" t="inlineStr">
        <is>
          <t>avverkningsanmälan</t>
        </is>
      </c>
      <c r="C4687" t="inlineStr">
        <is>
          <t>Föryngringsavverkning</t>
        </is>
      </c>
      <c r="D4687" s="1" t="n">
        <v>46092</v>
      </c>
      <c r="E4687" s="1" t="n">
        <v>46323</v>
      </c>
      <c r="F4687" t="inlineStr">
        <is>
          <t>KALMAR LÄN</t>
        </is>
      </c>
      <c r="G4687" t="inlineStr">
        <is>
          <t>NYBRO</t>
        </is>
      </c>
      <c r="I4687" t="n">
        <v>2.5</v>
      </c>
      <c r="J4687" t="n">
        <v>0</v>
      </c>
      <c r="K4687" t="n">
        <v>0</v>
      </c>
      <c r="L4687" t="n">
        <v>0</v>
      </c>
      <c r="M4687" t="n">
        <v>0</v>
      </c>
      <c r="N4687" t="n">
        <v>0</v>
      </c>
      <c r="O4687" t="n">
        <v>0</v>
      </c>
      <c r="P4687" t="n">
        <v>0</v>
      </c>
      <c r="Q4687" t="n">
        <v>0</v>
      </c>
      <c r="R4687" t="n">
        <v>0</v>
      </c>
      <c r="S4687" t="n">
        <v>0</v>
      </c>
      <c r="T4687" t="n">
        <v>0</v>
      </c>
      <c r="U4687" t="n">
        <v>0</v>
      </c>
      <c r="V4687" s="2" t="inlineStr"/>
    </row>
    <row r="4688" ht="15" customHeight="1">
      <c r="A4688" t="inlineStr">
        <is>
          <t>A 12910-2026</t>
        </is>
      </c>
      <c r="B4688" t="inlineStr">
        <is>
          <t>avverkningsanmälan</t>
        </is>
      </c>
      <c r="C4688" t="inlineStr">
        <is>
          <t>Föryngringsavverkning</t>
        </is>
      </c>
      <c r="D4688" s="1" t="n">
        <v>46092</v>
      </c>
      <c r="E4688" s="1" t="n">
        <v>46323</v>
      </c>
      <c r="F4688" t="inlineStr">
        <is>
          <t>KALMAR LÄN</t>
        </is>
      </c>
      <c r="G4688" t="inlineStr">
        <is>
          <t>NYBRO</t>
        </is>
      </c>
      <c r="I4688" t="n">
        <v>5.5</v>
      </c>
      <c r="J4688" t="n">
        <v>0</v>
      </c>
      <c r="K4688" t="n">
        <v>0</v>
      </c>
      <c r="L4688" t="n">
        <v>0</v>
      </c>
      <c r="M4688" t="n">
        <v>0</v>
      </c>
      <c r="N4688" t="n">
        <v>0</v>
      </c>
      <c r="O4688" t="n">
        <v>0</v>
      </c>
      <c r="P4688" t="n">
        <v>0</v>
      </c>
      <c r="Q4688" t="n">
        <v>0</v>
      </c>
      <c r="R4688" t="n">
        <v>0</v>
      </c>
      <c r="S4688" t="n">
        <v>0</v>
      </c>
      <c r="T4688" t="n">
        <v>0</v>
      </c>
      <c r="U4688" t="n">
        <v>0</v>
      </c>
      <c r="V4688" s="2" t="inlineStr"/>
    </row>
    <row r="4689" ht="15" customHeight="1">
      <c r="A4689" t="inlineStr">
        <is>
          <t>A 12912-2026</t>
        </is>
      </c>
      <c r="B4689" t="inlineStr">
        <is>
          <t>avverkningsanmälan</t>
        </is>
      </c>
      <c r="C4689" t="inlineStr">
        <is>
          <t>Föryngringsavverkning</t>
        </is>
      </c>
      <c r="D4689" s="1" t="n">
        <v>46092</v>
      </c>
      <c r="E4689" s="1" t="n">
        <v>46323</v>
      </c>
      <c r="F4689" t="inlineStr">
        <is>
          <t>KALMAR LÄN</t>
        </is>
      </c>
      <c r="G4689" t="inlineStr">
        <is>
          <t>MÖNSTERÅS</t>
        </is>
      </c>
      <c r="I4689" t="n">
        <v>2.6</v>
      </c>
      <c r="J4689" t="n">
        <v>0</v>
      </c>
      <c r="K4689" t="n">
        <v>0</v>
      </c>
      <c r="L4689" t="n">
        <v>0</v>
      </c>
      <c r="M4689" t="n">
        <v>0</v>
      </c>
      <c r="N4689" t="n">
        <v>0</v>
      </c>
      <c r="O4689" t="n">
        <v>0</v>
      </c>
      <c r="P4689" t="n">
        <v>0</v>
      </c>
      <c r="Q4689" t="n">
        <v>0</v>
      </c>
      <c r="R4689" t="n">
        <v>0</v>
      </c>
      <c r="S4689" t="n">
        <v>0</v>
      </c>
      <c r="T4689" t="n">
        <v>0</v>
      </c>
      <c r="U4689" t="n">
        <v>0</v>
      </c>
      <c r="V4689" s="2" t="inlineStr"/>
    </row>
    <row r="4690" ht="15" customHeight="1">
      <c r="A4690" t="inlineStr">
        <is>
          <t>A 60437-2023</t>
        </is>
      </c>
      <c r="B4690" t="inlineStr">
        <is>
          <t>avverkningsanmälan</t>
        </is>
      </c>
      <c r="C4690" t="inlineStr">
        <is>
          <t>Föryngringsavverkning</t>
        </is>
      </c>
      <c r="D4690" s="1" t="n">
        <v>45259</v>
      </c>
      <c r="E4690" s="1" t="n">
        <v>46323</v>
      </c>
      <c r="F4690" t="inlineStr">
        <is>
          <t>KALMAR LÄN</t>
        </is>
      </c>
      <c r="G4690" t="inlineStr">
        <is>
          <t>VIMMERBY</t>
        </is>
      </c>
      <c r="H4690" t="inlineStr">
        <is>
          <t>Sveaskog</t>
        </is>
      </c>
      <c r="I4690" t="n">
        <v>0.8</v>
      </c>
      <c r="J4690" t="n">
        <v>0</v>
      </c>
      <c r="K4690" t="n">
        <v>0</v>
      </c>
      <c r="L4690" t="n">
        <v>0</v>
      </c>
      <c r="M4690" t="n">
        <v>0</v>
      </c>
      <c r="N4690" t="n">
        <v>0</v>
      </c>
      <c r="O4690" t="n">
        <v>0</v>
      </c>
      <c r="P4690" t="n">
        <v>0</v>
      </c>
      <c r="Q4690" t="n">
        <v>0</v>
      </c>
      <c r="R4690" t="n">
        <v>0</v>
      </c>
      <c r="S4690" t="n">
        <v>0</v>
      </c>
      <c r="T4690" t="n">
        <v>0</v>
      </c>
      <c r="U4690" t="n">
        <v>0</v>
      </c>
      <c r="V4690" s="2" t="inlineStr"/>
    </row>
    <row r="4691" ht="15" customHeight="1">
      <c r="A4691" t="inlineStr">
        <is>
          <t>A 60438-2023</t>
        </is>
      </c>
      <c r="B4691" t="inlineStr">
        <is>
          <t>avverkningsanmälan</t>
        </is>
      </c>
      <c r="C4691" t="inlineStr">
        <is>
          <t>Föryngringsavverkning</t>
        </is>
      </c>
      <c r="D4691" s="1" t="n">
        <v>45259</v>
      </c>
      <c r="E4691" s="1" t="n">
        <v>46323</v>
      </c>
      <c r="F4691" t="inlineStr">
        <is>
          <t>KALMAR LÄN</t>
        </is>
      </c>
      <c r="G4691" t="inlineStr">
        <is>
          <t>VIMMERBY</t>
        </is>
      </c>
      <c r="H4691" t="inlineStr">
        <is>
          <t>Sveaskog</t>
        </is>
      </c>
      <c r="I4691" t="n">
        <v>1.2</v>
      </c>
      <c r="J4691" t="n">
        <v>0</v>
      </c>
      <c r="K4691" t="n">
        <v>0</v>
      </c>
      <c r="L4691" t="n">
        <v>0</v>
      </c>
      <c r="M4691" t="n">
        <v>0</v>
      </c>
      <c r="N4691" t="n">
        <v>0</v>
      </c>
      <c r="O4691" t="n">
        <v>0</v>
      </c>
      <c r="P4691" t="n">
        <v>0</v>
      </c>
      <c r="Q4691" t="n">
        <v>0</v>
      </c>
      <c r="R4691" t="n">
        <v>0</v>
      </c>
      <c r="S4691" t="n">
        <v>0</v>
      </c>
      <c r="T4691" t="n">
        <v>0</v>
      </c>
      <c r="U4691" t="n">
        <v>0</v>
      </c>
      <c r="V4691" s="2" t="inlineStr"/>
    </row>
    <row r="4692" ht="15" customHeight="1">
      <c r="A4692" t="inlineStr">
        <is>
          <t>A 12933-2026</t>
        </is>
      </c>
      <c r="B4692" t="inlineStr">
        <is>
          <t>avverkningsanmälan</t>
        </is>
      </c>
      <c r="C4692" t="inlineStr">
        <is>
          <t>Föryngringsavverkning</t>
        </is>
      </c>
      <c r="D4692" s="1" t="n">
        <v>46092</v>
      </c>
      <c r="E4692" s="1" t="n">
        <v>46323</v>
      </c>
      <c r="F4692" t="inlineStr">
        <is>
          <t>KALMAR LÄN</t>
        </is>
      </c>
      <c r="G4692" t="inlineStr">
        <is>
          <t>KALMAR</t>
        </is>
      </c>
      <c r="I4692" t="n">
        <v>0.5</v>
      </c>
      <c r="J4692" t="n">
        <v>0</v>
      </c>
      <c r="K4692" t="n">
        <v>0</v>
      </c>
      <c r="L4692" t="n">
        <v>0</v>
      </c>
      <c r="M4692" t="n">
        <v>0</v>
      </c>
      <c r="N4692" t="n">
        <v>0</v>
      </c>
      <c r="O4692" t="n">
        <v>0</v>
      </c>
      <c r="P4692" t="n">
        <v>0</v>
      </c>
      <c r="Q4692" t="n">
        <v>0</v>
      </c>
      <c r="R4692" t="n">
        <v>0</v>
      </c>
      <c r="S4692" t="n">
        <v>0</v>
      </c>
      <c r="T4692" t="n">
        <v>0</v>
      </c>
      <c r="U4692" t="n">
        <v>0</v>
      </c>
      <c r="V4692" s="2" t="inlineStr"/>
    </row>
    <row r="4693" ht="15" customHeight="1">
      <c r="A4693" t="inlineStr">
        <is>
          <t>A 12944-2026</t>
        </is>
      </c>
      <c r="B4693" t="inlineStr">
        <is>
          <t>avverkningsanmälan</t>
        </is>
      </c>
      <c r="C4693" t="inlineStr">
        <is>
          <t>Föryngringsavverkning</t>
        </is>
      </c>
      <c r="D4693" s="1" t="n">
        <v>46092</v>
      </c>
      <c r="E4693" s="1" t="n">
        <v>46323</v>
      </c>
      <c r="F4693" t="inlineStr">
        <is>
          <t>KALMAR LÄN</t>
        </is>
      </c>
      <c r="G4693" t="inlineStr">
        <is>
          <t>TORSÅS</t>
        </is>
      </c>
      <c r="I4693" t="n">
        <v>1.6</v>
      </c>
      <c r="J4693" t="n">
        <v>0</v>
      </c>
      <c r="K4693" t="n">
        <v>0</v>
      </c>
      <c r="L4693" t="n">
        <v>0</v>
      </c>
      <c r="M4693" t="n">
        <v>0</v>
      </c>
      <c r="N4693" t="n">
        <v>0</v>
      </c>
      <c r="O4693" t="n">
        <v>0</v>
      </c>
      <c r="P4693" t="n">
        <v>0</v>
      </c>
      <c r="Q4693" t="n">
        <v>0</v>
      </c>
      <c r="R4693" t="n">
        <v>0</v>
      </c>
      <c r="S4693" t="n">
        <v>0</v>
      </c>
      <c r="T4693" t="n">
        <v>0</v>
      </c>
      <c r="U4693" t="n">
        <v>0</v>
      </c>
      <c r="V4693" s="2" t="inlineStr"/>
    </row>
    <row r="4694" ht="15" customHeight="1">
      <c r="A4694" t="inlineStr">
        <is>
          <t>A 18068-2023</t>
        </is>
      </c>
      <c r="B4694" t="inlineStr">
        <is>
          <t>avverkningsanmälan</t>
        </is>
      </c>
      <c r="C4694" t="inlineStr">
        <is>
          <t>Föryngringsavverkning</t>
        </is>
      </c>
      <c r="D4694" s="1" t="n">
        <v>45040</v>
      </c>
      <c r="E4694" s="1" t="n">
        <v>46323</v>
      </c>
      <c r="F4694" t="inlineStr">
        <is>
          <t>KALMAR LÄN</t>
        </is>
      </c>
      <c r="G4694" t="inlineStr">
        <is>
          <t>VÄSTERVIK</t>
        </is>
      </c>
      <c r="I4694" t="n">
        <v>1.5</v>
      </c>
      <c r="J4694" t="n">
        <v>0</v>
      </c>
      <c r="K4694" t="n">
        <v>0</v>
      </c>
      <c r="L4694" t="n">
        <v>0</v>
      </c>
      <c r="M4694" t="n">
        <v>0</v>
      </c>
      <c r="N4694" t="n">
        <v>0</v>
      </c>
      <c r="O4694" t="n">
        <v>0</v>
      </c>
      <c r="P4694" t="n">
        <v>0</v>
      </c>
      <c r="Q4694" t="n">
        <v>0</v>
      </c>
      <c r="R4694" t="n">
        <v>0</v>
      </c>
      <c r="S4694" t="n">
        <v>0</v>
      </c>
      <c r="T4694" t="n">
        <v>0</v>
      </c>
      <c r="U4694" t="n">
        <v>0</v>
      </c>
      <c r="V4694" s="2" t="inlineStr"/>
    </row>
    <row r="4695" ht="15" customHeight="1">
      <c r="A4695" t="inlineStr">
        <is>
          <t>A 63454-2023</t>
        </is>
      </c>
      <c r="B4695" t="inlineStr">
        <is>
          <t>avverkningsanmälan</t>
        </is>
      </c>
      <c r="C4695" t="inlineStr">
        <is>
          <t>Föryngringsavverkning</t>
        </is>
      </c>
      <c r="D4695" s="1" t="n">
        <v>45274</v>
      </c>
      <c r="E4695" s="1" t="n">
        <v>46323</v>
      </c>
      <c r="F4695" t="inlineStr">
        <is>
          <t>KALMAR LÄN</t>
        </is>
      </c>
      <c r="G4695" t="inlineStr">
        <is>
          <t>MÖNSTERÅS</t>
        </is>
      </c>
      <c r="I4695" t="n">
        <v>3</v>
      </c>
      <c r="J4695" t="n">
        <v>0</v>
      </c>
      <c r="K4695" t="n">
        <v>0</v>
      </c>
      <c r="L4695" t="n">
        <v>0</v>
      </c>
      <c r="M4695" t="n">
        <v>0</v>
      </c>
      <c r="N4695" t="n">
        <v>0</v>
      </c>
      <c r="O4695" t="n">
        <v>0</v>
      </c>
      <c r="P4695" t="n">
        <v>0</v>
      </c>
      <c r="Q4695" t="n">
        <v>0</v>
      </c>
      <c r="R4695" t="n">
        <v>0</v>
      </c>
      <c r="S4695" t="n">
        <v>0</v>
      </c>
      <c r="T4695" t="n">
        <v>0</v>
      </c>
      <c r="U4695" t="n">
        <v>0</v>
      </c>
      <c r="V4695" s="2" t="inlineStr"/>
    </row>
    <row r="4696" ht="15" customHeight="1">
      <c r="A4696" t="inlineStr">
        <is>
          <t>A 63522-2023</t>
        </is>
      </c>
      <c r="B4696" t="inlineStr">
        <is>
          <t>avverkningsanmälan</t>
        </is>
      </c>
      <c r="C4696" t="inlineStr">
        <is>
          <t>Föryngringsavverkning</t>
        </is>
      </c>
      <c r="D4696" s="1" t="n">
        <v>45274</v>
      </c>
      <c r="E4696" s="1" t="n">
        <v>46323</v>
      </c>
      <c r="F4696" t="inlineStr">
        <is>
          <t>KALMAR LÄN</t>
        </is>
      </c>
      <c r="G4696" t="inlineStr">
        <is>
          <t>OSKARSHAMN</t>
        </is>
      </c>
      <c r="I4696" t="n">
        <v>1.4</v>
      </c>
      <c r="J4696" t="n">
        <v>0</v>
      </c>
      <c r="K4696" t="n">
        <v>0</v>
      </c>
      <c r="L4696" t="n">
        <v>0</v>
      </c>
      <c r="M4696" t="n">
        <v>0</v>
      </c>
      <c r="N4696" t="n">
        <v>0</v>
      </c>
      <c r="O4696" t="n">
        <v>0</v>
      </c>
      <c r="P4696" t="n">
        <v>0</v>
      </c>
      <c r="Q4696" t="n">
        <v>0</v>
      </c>
      <c r="R4696" t="n">
        <v>0</v>
      </c>
      <c r="S4696" t="n">
        <v>0</v>
      </c>
      <c r="T4696" t="n">
        <v>0</v>
      </c>
      <c r="U4696" t="n">
        <v>0</v>
      </c>
      <c r="V4696" s="2" t="inlineStr"/>
    </row>
    <row r="4697" ht="15" customHeight="1">
      <c r="A4697" t="inlineStr">
        <is>
          <t>A 12939-2026</t>
        </is>
      </c>
      <c r="B4697" t="inlineStr">
        <is>
          <t>avverkningsanmälan</t>
        </is>
      </c>
      <c r="C4697" t="inlineStr">
        <is>
          <t>Föryngringsavverkning</t>
        </is>
      </c>
      <c r="D4697" s="1" t="n">
        <v>46092</v>
      </c>
      <c r="E4697" s="1" t="n">
        <v>46323</v>
      </c>
      <c r="F4697" t="inlineStr">
        <is>
          <t>KALMAR LÄN</t>
        </is>
      </c>
      <c r="G4697" t="inlineStr">
        <is>
          <t>TORSÅS</t>
        </is>
      </c>
      <c r="I4697" t="n">
        <v>0.9</v>
      </c>
      <c r="J4697" t="n">
        <v>0</v>
      </c>
      <c r="K4697" t="n">
        <v>0</v>
      </c>
      <c r="L4697" t="n">
        <v>0</v>
      </c>
      <c r="M4697" t="n">
        <v>0</v>
      </c>
      <c r="N4697" t="n">
        <v>0</v>
      </c>
      <c r="O4697" t="n">
        <v>0</v>
      </c>
      <c r="P4697" t="n">
        <v>0</v>
      </c>
      <c r="Q4697" t="n">
        <v>0</v>
      </c>
      <c r="R4697" t="n">
        <v>0</v>
      </c>
      <c r="S4697" t="n">
        <v>0</v>
      </c>
      <c r="T4697" t="n">
        <v>0</v>
      </c>
      <c r="U4697" t="n">
        <v>0</v>
      </c>
      <c r="V4697" s="2" t="inlineStr"/>
    </row>
    <row r="4698" ht="15" customHeight="1">
      <c r="A4698" t="inlineStr">
        <is>
          <t>A 1872-2026</t>
        </is>
      </c>
      <c r="B4698" t="inlineStr">
        <is>
          <t>avverkningsanmälan</t>
        </is>
      </c>
      <c r="C4698" t="inlineStr">
        <is>
          <t>Föryngringsavverkning</t>
        </is>
      </c>
      <c r="D4698" s="1" t="n">
        <v>46035</v>
      </c>
      <c r="E4698" s="1" t="n">
        <v>46323</v>
      </c>
      <c r="F4698" t="inlineStr">
        <is>
          <t>KALMAR LÄN</t>
        </is>
      </c>
      <c r="G4698" t="inlineStr">
        <is>
          <t>VÄSTERVIK</t>
        </is>
      </c>
      <c r="I4698" t="n">
        <v>3</v>
      </c>
      <c r="J4698" t="n">
        <v>0</v>
      </c>
      <c r="K4698" t="n">
        <v>0</v>
      </c>
      <c r="L4698" t="n">
        <v>0</v>
      </c>
      <c r="M4698" t="n">
        <v>0</v>
      </c>
      <c r="N4698" t="n">
        <v>0</v>
      </c>
      <c r="O4698" t="n">
        <v>0</v>
      </c>
      <c r="P4698" t="n">
        <v>0</v>
      </c>
      <c r="Q4698" t="n">
        <v>0</v>
      </c>
      <c r="R4698" t="n">
        <v>0</v>
      </c>
      <c r="S4698" t="n">
        <v>0</v>
      </c>
      <c r="T4698" t="n">
        <v>0</v>
      </c>
      <c r="U4698" t="n">
        <v>0</v>
      </c>
      <c r="V4698" s="2" t="inlineStr"/>
    </row>
    <row r="4699" ht="15" customHeight="1">
      <c r="A4699" t="inlineStr">
        <is>
          <t>A 33517-2026</t>
        </is>
      </c>
      <c r="B4699" t="inlineStr">
        <is>
          <t>avverkningsanmälan</t>
        </is>
      </c>
      <c r="C4699" t="inlineStr">
        <is>
          <t>Avverkning för annat ändamål</t>
        </is>
      </c>
      <c r="D4699" s="1" t="n">
        <v>46248</v>
      </c>
      <c r="E4699" s="1" t="n">
        <v>46323</v>
      </c>
      <c r="F4699" t="inlineStr">
        <is>
          <t>KALMAR LÄN</t>
        </is>
      </c>
      <c r="G4699" t="inlineStr">
        <is>
          <t>MÖNSTERÅS</t>
        </is>
      </c>
      <c r="I4699" t="n">
        <v>1.5</v>
      </c>
      <c r="J4699" t="n">
        <v>0</v>
      </c>
      <c r="K4699" t="n">
        <v>0</v>
      </c>
      <c r="L4699" t="n">
        <v>0</v>
      </c>
      <c r="M4699" t="n">
        <v>0</v>
      </c>
      <c r="N4699" t="n">
        <v>0</v>
      </c>
      <c r="O4699" t="n">
        <v>0</v>
      </c>
      <c r="P4699" t="n">
        <v>0</v>
      </c>
      <c r="Q4699" t="n">
        <v>0</v>
      </c>
      <c r="R4699" t="n">
        <v>0</v>
      </c>
      <c r="S4699" t="n">
        <v>0</v>
      </c>
      <c r="T4699" t="n">
        <v>0</v>
      </c>
      <c r="U4699" t="n">
        <v>0</v>
      </c>
      <c r="V4699" s="2" t="inlineStr"/>
    </row>
    <row r="4700" ht="15" customHeight="1">
      <c r="A4700" t="inlineStr">
        <is>
          <t>A 56549-2022</t>
        </is>
      </c>
      <c r="B4700" t="inlineStr">
        <is>
          <t>avverkningsanmälan</t>
        </is>
      </c>
      <c r="C4700" t="inlineStr">
        <is>
          <t>Föryngringsavverkning</t>
        </is>
      </c>
      <c r="D4700" s="1" t="n">
        <v>44893</v>
      </c>
      <c r="E4700" s="1" t="n">
        <v>46323</v>
      </c>
      <c r="F4700" t="inlineStr">
        <is>
          <t>KALMAR LÄN</t>
        </is>
      </c>
      <c r="G4700" t="inlineStr">
        <is>
          <t>EMMABODA</t>
        </is>
      </c>
      <c r="I4700" t="n">
        <v>4.2</v>
      </c>
      <c r="J4700" t="n">
        <v>0</v>
      </c>
      <c r="K4700" t="n">
        <v>0</v>
      </c>
      <c r="L4700" t="n">
        <v>0</v>
      </c>
      <c r="M4700" t="n">
        <v>0</v>
      </c>
      <c r="N4700" t="n">
        <v>0</v>
      </c>
      <c r="O4700" t="n">
        <v>0</v>
      </c>
      <c r="P4700" t="n">
        <v>0</v>
      </c>
      <c r="Q4700" t="n">
        <v>0</v>
      </c>
      <c r="R4700" t="n">
        <v>0</v>
      </c>
      <c r="S4700" t="n">
        <v>0</v>
      </c>
      <c r="T4700" t="n">
        <v>0</v>
      </c>
      <c r="U4700" t="n">
        <v>0</v>
      </c>
      <c r="V4700" s="2" t="inlineStr"/>
    </row>
    <row r="4701" ht="15" customHeight="1">
      <c r="A4701" t="inlineStr">
        <is>
          <t>A 12876-2026</t>
        </is>
      </c>
      <c r="B4701" t="inlineStr">
        <is>
          <t>avverkningsanmälan</t>
        </is>
      </c>
      <c r="C4701" t="inlineStr">
        <is>
          <t>Föryngringsavverkning</t>
        </is>
      </c>
      <c r="D4701" s="1" t="n">
        <v>46092</v>
      </c>
      <c r="E4701" s="1" t="n">
        <v>46323</v>
      </c>
      <c r="F4701" t="inlineStr">
        <is>
          <t>KALMAR LÄN</t>
        </is>
      </c>
      <c r="G4701" t="inlineStr">
        <is>
          <t>KALMAR</t>
        </is>
      </c>
      <c r="I4701" t="n">
        <v>0.5</v>
      </c>
      <c r="J4701" t="n">
        <v>0</v>
      </c>
      <c r="K4701" t="n">
        <v>0</v>
      </c>
      <c r="L4701" t="n">
        <v>0</v>
      </c>
      <c r="M4701" t="n">
        <v>0</v>
      </c>
      <c r="N4701" t="n">
        <v>0</v>
      </c>
      <c r="O4701" t="n">
        <v>0</v>
      </c>
      <c r="P4701" t="n">
        <v>0</v>
      </c>
      <c r="Q4701" t="n">
        <v>0</v>
      </c>
      <c r="R4701" t="n">
        <v>0</v>
      </c>
      <c r="S4701" t="n">
        <v>0</v>
      </c>
      <c r="T4701" t="n">
        <v>0</v>
      </c>
      <c r="U4701" t="n">
        <v>0</v>
      </c>
      <c r="V4701" s="2" t="inlineStr"/>
    </row>
    <row r="4702" ht="15" customHeight="1">
      <c r="A4702" t="inlineStr">
        <is>
          <t>A 25345-2026</t>
        </is>
      </c>
      <c r="B4702" t="inlineStr">
        <is>
          <t>avverkningsanmälan</t>
        </is>
      </c>
      <c r="C4702" t="inlineStr">
        <is>
          <t>Föryngringsavverkning</t>
        </is>
      </c>
      <c r="D4702" s="1" t="n">
        <v>46176</v>
      </c>
      <c r="E4702" s="1" t="n">
        <v>46323</v>
      </c>
      <c r="F4702" t="inlineStr">
        <is>
          <t>KALMAR LÄN</t>
        </is>
      </c>
      <c r="G4702" t="inlineStr">
        <is>
          <t>VIMMERBY</t>
        </is>
      </c>
      <c r="I4702" t="n">
        <v>1.9</v>
      </c>
      <c r="J4702" t="n">
        <v>0</v>
      </c>
      <c r="K4702" t="n">
        <v>0</v>
      </c>
      <c r="L4702" t="n">
        <v>0</v>
      </c>
      <c r="M4702" t="n">
        <v>0</v>
      </c>
      <c r="N4702" t="n">
        <v>0</v>
      </c>
      <c r="O4702" t="n">
        <v>0</v>
      </c>
      <c r="P4702" t="n">
        <v>0</v>
      </c>
      <c r="Q4702" t="n">
        <v>0</v>
      </c>
      <c r="R4702" t="n">
        <v>0</v>
      </c>
      <c r="S4702" t="n">
        <v>0</v>
      </c>
      <c r="T4702" t="n">
        <v>0</v>
      </c>
      <c r="U4702" t="n">
        <v>0</v>
      </c>
      <c r="V4702" s="2" t="inlineStr"/>
    </row>
    <row r="4703" ht="15" customHeight="1">
      <c r="A4703" t="inlineStr">
        <is>
          <t>A 39703-2026</t>
        </is>
      </c>
      <c r="B4703" t="inlineStr">
        <is>
          <t>avverkningsanmälan</t>
        </is>
      </c>
      <c r="C4703" t="inlineStr">
        <is>
          <t>Föryngringsavverkning</t>
        </is>
      </c>
      <c r="D4703" s="1" t="n">
        <v>46290</v>
      </c>
      <c r="E4703" s="1" t="n">
        <v>46323</v>
      </c>
      <c r="F4703" t="inlineStr">
        <is>
          <t>KALMAR LÄN</t>
        </is>
      </c>
      <c r="G4703" t="inlineStr">
        <is>
          <t>KALMAR</t>
        </is>
      </c>
      <c r="I4703" t="n">
        <v>0.9</v>
      </c>
      <c r="J4703" t="n">
        <v>0</v>
      </c>
      <c r="K4703" t="n">
        <v>0</v>
      </c>
      <c r="L4703" t="n">
        <v>0</v>
      </c>
      <c r="M4703" t="n">
        <v>0</v>
      </c>
      <c r="N4703" t="n">
        <v>0</v>
      </c>
      <c r="O4703" t="n">
        <v>0</v>
      </c>
      <c r="P4703" t="n">
        <v>0</v>
      </c>
      <c r="Q4703" t="n">
        <v>0</v>
      </c>
      <c r="R4703" t="n">
        <v>0</v>
      </c>
      <c r="S4703" t="n">
        <v>0</v>
      </c>
      <c r="T4703" t="n">
        <v>0</v>
      </c>
      <c r="U4703" t="n">
        <v>0</v>
      </c>
      <c r="V4703" s="2" t="inlineStr"/>
    </row>
    <row r="4704" ht="15" customHeight="1">
      <c r="A4704" t="inlineStr">
        <is>
          <t>A 13149-2026</t>
        </is>
      </c>
      <c r="B4704" t="inlineStr">
        <is>
          <t>avverkningsanmälan</t>
        </is>
      </c>
      <c r="C4704" t="inlineStr">
        <is>
          <t>Föryngringsavverkning</t>
        </is>
      </c>
      <c r="D4704" s="1" t="n">
        <v>46093</v>
      </c>
      <c r="E4704" s="1" t="n">
        <v>46323</v>
      </c>
      <c r="F4704" t="inlineStr">
        <is>
          <t>KALMAR LÄN</t>
        </is>
      </c>
      <c r="G4704" t="inlineStr">
        <is>
          <t>KALMAR</t>
        </is>
      </c>
      <c r="I4704" t="n">
        <v>4.3</v>
      </c>
      <c r="J4704" t="n">
        <v>0</v>
      </c>
      <c r="K4704" t="n">
        <v>0</v>
      </c>
      <c r="L4704" t="n">
        <v>0</v>
      </c>
      <c r="M4704" t="n">
        <v>0</v>
      </c>
      <c r="N4704" t="n">
        <v>0</v>
      </c>
      <c r="O4704" t="n">
        <v>0</v>
      </c>
      <c r="P4704" t="n">
        <v>0</v>
      </c>
      <c r="Q4704" t="n">
        <v>0</v>
      </c>
      <c r="R4704" t="n">
        <v>0</v>
      </c>
      <c r="S4704" t="n">
        <v>0</v>
      </c>
      <c r="T4704" t="n">
        <v>0</v>
      </c>
      <c r="U4704" t="n">
        <v>0</v>
      </c>
      <c r="V4704" s="2" t="inlineStr"/>
    </row>
    <row r="4705" ht="15" customHeight="1">
      <c r="A4705" t="inlineStr">
        <is>
          <t>A 13098-2026</t>
        </is>
      </c>
      <c r="B4705" t="inlineStr">
        <is>
          <t>avverkningsanmälan</t>
        </is>
      </c>
      <c r="C4705" t="inlineStr">
        <is>
          <t>Föryngringsavverkning</t>
        </is>
      </c>
      <c r="D4705" s="1" t="n">
        <v>46093</v>
      </c>
      <c r="E4705" s="1" t="n">
        <v>46323</v>
      </c>
      <c r="F4705" t="inlineStr">
        <is>
          <t>KALMAR LÄN</t>
        </is>
      </c>
      <c r="G4705" t="inlineStr">
        <is>
          <t>HÖGSBY</t>
        </is>
      </c>
      <c r="I4705" t="n">
        <v>2</v>
      </c>
      <c r="J4705" t="n">
        <v>0</v>
      </c>
      <c r="K4705" t="n">
        <v>0</v>
      </c>
      <c r="L4705" t="n">
        <v>0</v>
      </c>
      <c r="M4705" t="n">
        <v>0</v>
      </c>
      <c r="N4705" t="n">
        <v>0</v>
      </c>
      <c r="O4705" t="n">
        <v>0</v>
      </c>
      <c r="P4705" t="n">
        <v>0</v>
      </c>
      <c r="Q4705" t="n">
        <v>0</v>
      </c>
      <c r="R4705" t="n">
        <v>0</v>
      </c>
      <c r="S4705" t="n">
        <v>0</v>
      </c>
      <c r="T4705" t="n">
        <v>0</v>
      </c>
      <c r="U4705" t="n">
        <v>0</v>
      </c>
      <c r="V4705" s="2" t="inlineStr"/>
    </row>
    <row r="4706" ht="15" customHeight="1">
      <c r="A4706" t="inlineStr">
        <is>
          <t>A 19577-2026</t>
        </is>
      </c>
      <c r="B4706" t="inlineStr">
        <is>
          <t>avverkningsanmälan</t>
        </is>
      </c>
      <c r="C4706" t="inlineStr">
        <is>
          <t>Föryngringsavverkning</t>
        </is>
      </c>
      <c r="D4706" s="1" t="n">
        <v>46134</v>
      </c>
      <c r="E4706" s="1" t="n">
        <v>46323</v>
      </c>
      <c r="F4706" t="inlineStr">
        <is>
          <t>KALMAR LÄN</t>
        </is>
      </c>
      <c r="G4706" t="inlineStr">
        <is>
          <t>NYBRO</t>
        </is>
      </c>
      <c r="I4706" t="n">
        <v>1.1</v>
      </c>
      <c r="J4706" t="n">
        <v>0</v>
      </c>
      <c r="K4706" t="n">
        <v>0</v>
      </c>
      <c r="L4706" t="n">
        <v>0</v>
      </c>
      <c r="M4706" t="n">
        <v>0</v>
      </c>
      <c r="N4706" t="n">
        <v>0</v>
      </c>
      <c r="O4706" t="n">
        <v>0</v>
      </c>
      <c r="P4706" t="n">
        <v>0</v>
      </c>
      <c r="Q4706" t="n">
        <v>0</v>
      </c>
      <c r="R4706" t="n">
        <v>0</v>
      </c>
      <c r="S4706" t="n">
        <v>0</v>
      </c>
      <c r="T4706" t="n">
        <v>0</v>
      </c>
      <c r="U4706" t="n">
        <v>0</v>
      </c>
      <c r="V4706" s="2" t="inlineStr"/>
    </row>
    <row r="4707" ht="15" customHeight="1">
      <c r="A4707" t="inlineStr">
        <is>
          <t>A 12820-2026</t>
        </is>
      </c>
      <c r="B4707" t="inlineStr">
        <is>
          <t>avverkningsanmälan</t>
        </is>
      </c>
      <c r="C4707" t="inlineStr">
        <is>
          <t>Föryngringsavverkning</t>
        </is>
      </c>
      <c r="D4707" s="1" t="n">
        <v>46092</v>
      </c>
      <c r="E4707" s="1" t="n">
        <v>46323</v>
      </c>
      <c r="F4707" t="inlineStr">
        <is>
          <t>KALMAR LÄN</t>
        </is>
      </c>
      <c r="G4707" t="inlineStr">
        <is>
          <t>VIMMERBY</t>
        </is>
      </c>
      <c r="I4707" t="n">
        <v>4.3</v>
      </c>
      <c r="J4707" t="n">
        <v>0</v>
      </c>
      <c r="K4707" t="n">
        <v>0</v>
      </c>
      <c r="L4707" t="n">
        <v>0</v>
      </c>
      <c r="M4707" t="n">
        <v>0</v>
      </c>
      <c r="N4707" t="n">
        <v>0</v>
      </c>
      <c r="O4707" t="n">
        <v>0</v>
      </c>
      <c r="P4707" t="n">
        <v>0</v>
      </c>
      <c r="Q4707" t="n">
        <v>0</v>
      </c>
      <c r="R4707" t="n">
        <v>0</v>
      </c>
      <c r="S4707" t="n">
        <v>0</v>
      </c>
      <c r="T4707" t="n">
        <v>0</v>
      </c>
      <c r="U4707" t="n">
        <v>0</v>
      </c>
      <c r="V4707" s="2" t="inlineStr"/>
    </row>
    <row r="4708" ht="15" customHeight="1">
      <c r="A4708" t="inlineStr">
        <is>
          <t>A 12825-2026</t>
        </is>
      </c>
      <c r="B4708" t="inlineStr">
        <is>
          <t>avverkningsanmälan</t>
        </is>
      </c>
      <c r="C4708" t="inlineStr">
        <is>
          <t>Föryngringsavverkning</t>
        </is>
      </c>
      <c r="D4708" s="1" t="n">
        <v>46092</v>
      </c>
      <c r="E4708" s="1" t="n">
        <v>46323</v>
      </c>
      <c r="F4708" t="inlineStr">
        <is>
          <t>KALMAR LÄN</t>
        </is>
      </c>
      <c r="G4708" t="inlineStr">
        <is>
          <t>VIMMERBY</t>
        </is>
      </c>
      <c r="I4708" t="n">
        <v>2.6</v>
      </c>
      <c r="J4708" t="n">
        <v>0</v>
      </c>
      <c r="K4708" t="n">
        <v>0</v>
      </c>
      <c r="L4708" t="n">
        <v>0</v>
      </c>
      <c r="M4708" t="n">
        <v>0</v>
      </c>
      <c r="N4708" t="n">
        <v>0</v>
      </c>
      <c r="O4708" t="n">
        <v>0</v>
      </c>
      <c r="P4708" t="n">
        <v>0</v>
      </c>
      <c r="Q4708" t="n">
        <v>0</v>
      </c>
      <c r="R4708" t="n">
        <v>0</v>
      </c>
      <c r="S4708" t="n">
        <v>0</v>
      </c>
      <c r="T4708" t="n">
        <v>0</v>
      </c>
      <c r="U4708" t="n">
        <v>0</v>
      </c>
      <c r="V4708" s="2" t="inlineStr"/>
    </row>
    <row r="4709" ht="15" customHeight="1">
      <c r="A4709" t="inlineStr">
        <is>
          <t>A 28961-2026</t>
        </is>
      </c>
      <c r="B4709" t="inlineStr">
        <is>
          <t>avverkningsanmälan</t>
        </is>
      </c>
      <c r="C4709" t="inlineStr">
        <is>
          <t>Föryngringsavverkning</t>
        </is>
      </c>
      <c r="D4709" s="1" t="n">
        <v>46199</v>
      </c>
      <c r="E4709" s="1" t="n">
        <v>46323</v>
      </c>
      <c r="F4709" t="inlineStr">
        <is>
          <t>KALMAR LÄN</t>
        </is>
      </c>
      <c r="G4709" t="inlineStr">
        <is>
          <t>OSKARSHAMN</t>
        </is>
      </c>
      <c r="I4709" t="n">
        <v>1.7</v>
      </c>
      <c r="J4709" t="n">
        <v>0</v>
      </c>
      <c r="K4709" t="n">
        <v>0</v>
      </c>
      <c r="L4709" t="n">
        <v>0</v>
      </c>
      <c r="M4709" t="n">
        <v>0</v>
      </c>
      <c r="N4709" t="n">
        <v>0</v>
      </c>
      <c r="O4709" t="n">
        <v>0</v>
      </c>
      <c r="P4709" t="n">
        <v>0</v>
      </c>
      <c r="Q4709" t="n">
        <v>0</v>
      </c>
      <c r="R4709" t="n">
        <v>0</v>
      </c>
      <c r="S4709" t="n">
        <v>0</v>
      </c>
      <c r="T4709" t="n">
        <v>0</v>
      </c>
      <c r="U4709" t="n">
        <v>0</v>
      </c>
      <c r="V4709" s="2" t="inlineStr"/>
    </row>
    <row r="4710" ht="15" customHeight="1">
      <c r="A4710" t="inlineStr">
        <is>
          <t>A 26145-2025</t>
        </is>
      </c>
      <c r="B4710" t="inlineStr">
        <is>
          <t>avverkningsanmälan</t>
        </is>
      </c>
      <c r="C4710" t="inlineStr">
        <is>
          <t>Föryngringsavverkning</t>
        </is>
      </c>
      <c r="D4710" s="1" t="n">
        <v>45805</v>
      </c>
      <c r="E4710" s="1" t="n">
        <v>46323</v>
      </c>
      <c r="F4710" t="inlineStr">
        <is>
          <t>KALMAR LÄN</t>
        </is>
      </c>
      <c r="G4710" t="inlineStr">
        <is>
          <t>MÖNSTERÅS</t>
        </is>
      </c>
      <c r="I4710" t="n">
        <v>1.4</v>
      </c>
      <c r="J4710" t="n">
        <v>0</v>
      </c>
      <c r="K4710" t="n">
        <v>0</v>
      </c>
      <c r="L4710" t="n">
        <v>0</v>
      </c>
      <c r="M4710" t="n">
        <v>0</v>
      </c>
      <c r="N4710" t="n">
        <v>0</v>
      </c>
      <c r="O4710" t="n">
        <v>0</v>
      </c>
      <c r="P4710" t="n">
        <v>0</v>
      </c>
      <c r="Q4710" t="n">
        <v>0</v>
      </c>
      <c r="R4710" t="n">
        <v>0</v>
      </c>
      <c r="S4710" t="n">
        <v>0</v>
      </c>
      <c r="T4710" t="n">
        <v>0</v>
      </c>
      <c r="U4710" t="n">
        <v>0</v>
      </c>
      <c r="V4710" s="2" t="inlineStr"/>
    </row>
    <row r="4711" ht="15" customHeight="1">
      <c r="A4711" t="inlineStr">
        <is>
          <t>A 39755-2026</t>
        </is>
      </c>
      <c r="B4711" t="inlineStr">
        <is>
          <t>avverkningsanmälan</t>
        </is>
      </c>
      <c r="C4711" t="inlineStr">
        <is>
          <t>Föryngringsavverkning</t>
        </is>
      </c>
      <c r="D4711" s="1" t="n">
        <v>46290</v>
      </c>
      <c r="E4711" s="1" t="n">
        <v>46323</v>
      </c>
      <c r="F4711" t="inlineStr">
        <is>
          <t>KALMAR LÄN</t>
        </is>
      </c>
      <c r="G4711" t="inlineStr">
        <is>
          <t>VÄSTERVIK</t>
        </is>
      </c>
      <c r="H4711" t="inlineStr">
        <is>
          <t>Sveaskog</t>
        </is>
      </c>
      <c r="I4711" t="n">
        <v>6.3</v>
      </c>
      <c r="J4711" t="n">
        <v>0</v>
      </c>
      <c r="K4711" t="n">
        <v>0</v>
      </c>
      <c r="L4711" t="n">
        <v>0</v>
      </c>
      <c r="M4711" t="n">
        <v>0</v>
      </c>
      <c r="N4711" t="n">
        <v>0</v>
      </c>
      <c r="O4711" t="n">
        <v>0</v>
      </c>
      <c r="P4711" t="n">
        <v>0</v>
      </c>
      <c r="Q4711" t="n">
        <v>0</v>
      </c>
      <c r="R4711" t="n">
        <v>0</v>
      </c>
      <c r="S4711" t="n">
        <v>0</v>
      </c>
      <c r="T4711" t="n">
        <v>0</v>
      </c>
      <c r="U4711" t="n">
        <v>0</v>
      </c>
      <c r="V4711" s="2" t="inlineStr"/>
    </row>
    <row r="4712" ht="15" customHeight="1">
      <c r="A4712" t="inlineStr">
        <is>
          <t>A 26422-2023</t>
        </is>
      </c>
      <c r="B4712" t="inlineStr">
        <is>
          <t>avverkningsanmälan</t>
        </is>
      </c>
      <c r="C4712" t="inlineStr">
        <is>
          <t>Föryngringsavverkning</t>
        </is>
      </c>
      <c r="D4712" s="1" t="n">
        <v>45092</v>
      </c>
      <c r="E4712" s="1" t="n">
        <v>46323</v>
      </c>
      <c r="F4712" t="inlineStr">
        <is>
          <t>KALMAR LÄN</t>
        </is>
      </c>
      <c r="G4712" t="inlineStr">
        <is>
          <t>NYBRO</t>
        </is>
      </c>
      <c r="H4712" t="inlineStr">
        <is>
          <t>Kommuner</t>
        </is>
      </c>
      <c r="I4712" t="n">
        <v>2.7</v>
      </c>
      <c r="J4712" t="n">
        <v>0</v>
      </c>
      <c r="K4712" t="n">
        <v>0</v>
      </c>
      <c r="L4712" t="n">
        <v>0</v>
      </c>
      <c r="M4712" t="n">
        <v>0</v>
      </c>
      <c r="N4712" t="n">
        <v>0</v>
      </c>
      <c r="O4712" t="n">
        <v>0</v>
      </c>
      <c r="P4712" t="n">
        <v>0</v>
      </c>
      <c r="Q4712" t="n">
        <v>0</v>
      </c>
      <c r="R4712" t="n">
        <v>0</v>
      </c>
      <c r="S4712" t="n">
        <v>0</v>
      </c>
      <c r="T4712" t="n">
        <v>0</v>
      </c>
      <c r="U4712" t="n">
        <v>0</v>
      </c>
      <c r="V4712" s="2" t="inlineStr"/>
    </row>
    <row r="4713" ht="15" customHeight="1">
      <c r="A4713" t="inlineStr">
        <is>
          <t>A 7758-2024</t>
        </is>
      </c>
      <c r="B4713" t="inlineStr">
        <is>
          <t>avverkningsanmälan</t>
        </is>
      </c>
      <c r="C4713" t="inlineStr">
        <is>
          <t>Föryngringsavverkning</t>
        </is>
      </c>
      <c r="D4713" s="1" t="n">
        <v>45349</v>
      </c>
      <c r="E4713" s="1" t="n">
        <v>46323</v>
      </c>
      <c r="F4713" t="inlineStr">
        <is>
          <t>KALMAR LÄN</t>
        </is>
      </c>
      <c r="G4713" t="inlineStr">
        <is>
          <t>VIMMERBY</t>
        </is>
      </c>
      <c r="I4713" t="n">
        <v>3.5</v>
      </c>
      <c r="J4713" t="n">
        <v>0</v>
      </c>
      <c r="K4713" t="n">
        <v>0</v>
      </c>
      <c r="L4713" t="n">
        <v>0</v>
      </c>
      <c r="M4713" t="n">
        <v>0</v>
      </c>
      <c r="N4713" t="n">
        <v>0</v>
      </c>
      <c r="O4713" t="n">
        <v>0</v>
      </c>
      <c r="P4713" t="n">
        <v>0</v>
      </c>
      <c r="Q4713" t="n">
        <v>0</v>
      </c>
      <c r="R4713" t="n">
        <v>0</v>
      </c>
      <c r="S4713" t="n">
        <v>0</v>
      </c>
      <c r="T4713" t="n">
        <v>0</v>
      </c>
      <c r="U4713" t="n">
        <v>0</v>
      </c>
      <c r="V4713" s="2" t="inlineStr"/>
    </row>
    <row r="4714" ht="15" customHeight="1">
      <c r="A4714" t="inlineStr">
        <is>
          <t>A 25197-2026</t>
        </is>
      </c>
      <c r="B4714" t="inlineStr">
        <is>
          <t>avverkningsanmälan</t>
        </is>
      </c>
      <c r="C4714" t="inlineStr">
        <is>
          <t>Föryngringsavverkning</t>
        </is>
      </c>
      <c r="D4714" s="1" t="n">
        <v>46175</v>
      </c>
      <c r="E4714" s="1" t="n">
        <v>46323</v>
      </c>
      <c r="F4714" t="inlineStr">
        <is>
          <t>KALMAR LÄN</t>
        </is>
      </c>
      <c r="G4714" t="inlineStr">
        <is>
          <t>VÄSTERVIK</t>
        </is>
      </c>
      <c r="I4714" t="n">
        <v>1.2</v>
      </c>
      <c r="J4714" t="n">
        <v>0</v>
      </c>
      <c r="K4714" t="n">
        <v>0</v>
      </c>
      <c r="L4714" t="n">
        <v>0</v>
      </c>
      <c r="M4714" t="n">
        <v>0</v>
      </c>
      <c r="N4714" t="n">
        <v>0</v>
      </c>
      <c r="O4714" t="n">
        <v>0</v>
      </c>
      <c r="P4714" t="n">
        <v>0</v>
      </c>
      <c r="Q4714" t="n">
        <v>0</v>
      </c>
      <c r="R4714" t="n">
        <v>0</v>
      </c>
      <c r="S4714" t="n">
        <v>0</v>
      </c>
      <c r="T4714" t="n">
        <v>0</v>
      </c>
      <c r="U4714" t="n">
        <v>0</v>
      </c>
      <c r="V4714" s="2" t="inlineStr"/>
    </row>
    <row r="4715" ht="15" customHeight="1">
      <c r="A4715" t="inlineStr">
        <is>
          <t>A 39824-2026</t>
        </is>
      </c>
      <c r="B4715" t="inlineStr">
        <is>
          <t>avverkningsanmälan</t>
        </is>
      </c>
      <c r="C4715" t="inlineStr">
        <is>
          <t>Föryngringsavverkning</t>
        </is>
      </c>
      <c r="D4715" s="1" t="n">
        <v>46290</v>
      </c>
      <c r="E4715" s="1" t="n">
        <v>46323</v>
      </c>
      <c r="F4715" t="inlineStr">
        <is>
          <t>KALMAR LÄN</t>
        </is>
      </c>
      <c r="G4715" t="inlineStr">
        <is>
          <t>EMMABODA</t>
        </is>
      </c>
      <c r="I4715" t="n">
        <v>1.6</v>
      </c>
      <c r="J4715" t="n">
        <v>0</v>
      </c>
      <c r="K4715" t="n">
        <v>0</v>
      </c>
      <c r="L4715" t="n">
        <v>0</v>
      </c>
      <c r="M4715" t="n">
        <v>0</v>
      </c>
      <c r="N4715" t="n">
        <v>0</v>
      </c>
      <c r="O4715" t="n">
        <v>0</v>
      </c>
      <c r="P4715" t="n">
        <v>0</v>
      </c>
      <c r="Q4715" t="n">
        <v>0</v>
      </c>
      <c r="R4715" t="n">
        <v>0</v>
      </c>
      <c r="S4715" t="n">
        <v>0</v>
      </c>
      <c r="T4715" t="n">
        <v>0</v>
      </c>
      <c r="U4715" t="n">
        <v>0</v>
      </c>
      <c r="V4715" s="2" t="inlineStr"/>
    </row>
    <row r="4716" ht="15" customHeight="1">
      <c r="A4716" t="inlineStr">
        <is>
          <t>A 925-2024</t>
        </is>
      </c>
      <c r="B4716" t="inlineStr">
        <is>
          <t>avverkningsanmälan</t>
        </is>
      </c>
      <c r="C4716" t="inlineStr">
        <is>
          <t>Avverkning för annat ändamål</t>
        </is>
      </c>
      <c r="D4716" s="1" t="n">
        <v>45301</v>
      </c>
      <c r="E4716" s="1" t="n">
        <v>46323</v>
      </c>
      <c r="F4716" t="inlineStr">
        <is>
          <t>KALMAR LÄN</t>
        </is>
      </c>
      <c r="G4716" t="inlineStr">
        <is>
          <t>VÄSTERVIK</t>
        </is>
      </c>
      <c r="I4716" t="n">
        <v>1.1</v>
      </c>
      <c r="J4716" t="n">
        <v>0</v>
      </c>
      <c r="K4716" t="n">
        <v>0</v>
      </c>
      <c r="L4716" t="n">
        <v>0</v>
      </c>
      <c r="M4716" t="n">
        <v>0</v>
      </c>
      <c r="N4716" t="n">
        <v>0</v>
      </c>
      <c r="O4716" t="n">
        <v>0</v>
      </c>
      <c r="P4716" t="n">
        <v>0</v>
      </c>
      <c r="Q4716" t="n">
        <v>0</v>
      </c>
      <c r="R4716" t="n">
        <v>0</v>
      </c>
      <c r="S4716" t="n">
        <v>0</v>
      </c>
      <c r="T4716" t="n">
        <v>0</v>
      </c>
      <c r="U4716" t="n">
        <v>0</v>
      </c>
      <c r="V4716" s="2" t="inlineStr"/>
    </row>
    <row r="4717" ht="15" customHeight="1">
      <c r="A4717" t="inlineStr">
        <is>
          <t>A 61898-2023</t>
        </is>
      </c>
      <c r="B4717" t="inlineStr">
        <is>
          <t>avverkningsanmälan</t>
        </is>
      </c>
      <c r="C4717" t="inlineStr">
        <is>
          <t>Föryngringsavverkning</t>
        </is>
      </c>
      <c r="D4717" s="1" t="n">
        <v>45266</v>
      </c>
      <c r="E4717" s="1" t="n">
        <v>46323</v>
      </c>
      <c r="F4717" t="inlineStr">
        <is>
          <t>KALMAR LÄN</t>
        </is>
      </c>
      <c r="G4717" t="inlineStr">
        <is>
          <t>HULTSFRED</t>
        </is>
      </c>
      <c r="I4717" t="n">
        <v>3</v>
      </c>
      <c r="J4717" t="n">
        <v>0</v>
      </c>
      <c r="K4717" t="n">
        <v>0</v>
      </c>
      <c r="L4717" t="n">
        <v>0</v>
      </c>
      <c r="M4717" t="n">
        <v>0</v>
      </c>
      <c r="N4717" t="n">
        <v>0</v>
      </c>
      <c r="O4717" t="n">
        <v>0</v>
      </c>
      <c r="P4717" t="n">
        <v>0</v>
      </c>
      <c r="Q4717" t="n">
        <v>0</v>
      </c>
      <c r="R4717" t="n">
        <v>0</v>
      </c>
      <c r="S4717" t="n">
        <v>0</v>
      </c>
      <c r="T4717" t="n">
        <v>0</v>
      </c>
      <c r="U4717" t="n">
        <v>0</v>
      </c>
      <c r="V4717" s="2" t="inlineStr"/>
    </row>
    <row r="4718" ht="15" customHeight="1">
      <c r="A4718" t="inlineStr">
        <is>
          <t>A 58065-2025</t>
        </is>
      </c>
      <c r="B4718" t="inlineStr">
        <is>
          <t>avverkningsanmälan</t>
        </is>
      </c>
      <c r="C4718" t="inlineStr">
        <is>
          <t>Föryngringsavverkning</t>
        </is>
      </c>
      <c r="D4718" s="1" t="n">
        <v>45982</v>
      </c>
      <c r="E4718" s="1" t="n">
        <v>46323</v>
      </c>
      <c r="F4718" t="inlineStr">
        <is>
          <t>KALMAR LÄN</t>
        </is>
      </c>
      <c r="G4718" t="inlineStr">
        <is>
          <t>TORSÅS</t>
        </is>
      </c>
      <c r="I4718" t="n">
        <v>2.5</v>
      </c>
      <c r="J4718" t="n">
        <v>0</v>
      </c>
      <c r="K4718" t="n">
        <v>0</v>
      </c>
      <c r="L4718" t="n">
        <v>0</v>
      </c>
      <c r="M4718" t="n">
        <v>0</v>
      </c>
      <c r="N4718" t="n">
        <v>0</v>
      </c>
      <c r="O4718" t="n">
        <v>0</v>
      </c>
      <c r="P4718" t="n">
        <v>0</v>
      </c>
      <c r="Q4718" t="n">
        <v>0</v>
      </c>
      <c r="R4718" t="n">
        <v>0</v>
      </c>
      <c r="S4718" t="n">
        <v>0</v>
      </c>
      <c r="T4718" t="n">
        <v>0</v>
      </c>
      <c r="U4718" t="n">
        <v>0</v>
      </c>
      <c r="V4718" s="2" t="inlineStr"/>
    </row>
    <row r="4719" ht="15" customHeight="1">
      <c r="A4719" t="inlineStr">
        <is>
          <t>A 11642-2026</t>
        </is>
      </c>
      <c r="B4719" t="inlineStr">
        <is>
          <t>avverkningsanmälan</t>
        </is>
      </c>
      <c r="C4719" t="inlineStr">
        <is>
          <t>Föryngringsavverkning</t>
        </is>
      </c>
      <c r="D4719" s="1" t="n">
        <v>46084</v>
      </c>
      <c r="E4719" s="1" t="n">
        <v>46323</v>
      </c>
      <c r="F4719" t="inlineStr">
        <is>
          <t>KALMAR LÄN</t>
        </is>
      </c>
      <c r="G4719" t="inlineStr">
        <is>
          <t>TORSÅS</t>
        </is>
      </c>
      <c r="I4719" t="n">
        <v>6.2</v>
      </c>
      <c r="J4719" t="n">
        <v>0</v>
      </c>
      <c r="K4719" t="n">
        <v>0</v>
      </c>
      <c r="L4719" t="n">
        <v>0</v>
      </c>
      <c r="M4719" t="n">
        <v>0</v>
      </c>
      <c r="N4719" t="n">
        <v>0</v>
      </c>
      <c r="O4719" t="n">
        <v>0</v>
      </c>
      <c r="P4719" t="n">
        <v>0</v>
      </c>
      <c r="Q4719" t="n">
        <v>0</v>
      </c>
      <c r="R4719" t="n">
        <v>0</v>
      </c>
      <c r="S4719" t="n">
        <v>0</v>
      </c>
      <c r="T4719" t="n">
        <v>0</v>
      </c>
      <c r="U4719" t="n">
        <v>0</v>
      </c>
      <c r="V4719" s="2" t="inlineStr"/>
    </row>
    <row r="4720" ht="15" customHeight="1">
      <c r="A4720" t="inlineStr">
        <is>
          <t>A 15297-2026</t>
        </is>
      </c>
      <c r="B4720" t="inlineStr">
        <is>
          <t>avverkningsanmälan</t>
        </is>
      </c>
      <c r="C4720" t="inlineStr">
        <is>
          <t>Föryngringsavverkning</t>
        </is>
      </c>
      <c r="D4720" s="1" t="n">
        <v>46105</v>
      </c>
      <c r="E4720" s="1" t="n">
        <v>46323</v>
      </c>
      <c r="F4720" t="inlineStr">
        <is>
          <t>KALMAR LÄN</t>
        </is>
      </c>
      <c r="G4720" t="inlineStr">
        <is>
          <t>VÄSTERVIK</t>
        </is>
      </c>
      <c r="H4720" t="inlineStr">
        <is>
          <t>Holmen skog AB</t>
        </is>
      </c>
      <c r="I4720" t="n">
        <v>4.8</v>
      </c>
      <c r="J4720" t="n">
        <v>0</v>
      </c>
      <c r="K4720" t="n">
        <v>0</v>
      </c>
      <c r="L4720" t="n">
        <v>0</v>
      </c>
      <c r="M4720" t="n">
        <v>0</v>
      </c>
      <c r="N4720" t="n">
        <v>0</v>
      </c>
      <c r="O4720" t="n">
        <v>0</v>
      </c>
      <c r="P4720" t="n">
        <v>0</v>
      </c>
      <c r="Q4720" t="n">
        <v>0</v>
      </c>
      <c r="R4720" t="n">
        <v>0</v>
      </c>
      <c r="S4720" t="n">
        <v>0</v>
      </c>
      <c r="T4720" t="n">
        <v>0</v>
      </c>
      <c r="U4720" t="n">
        <v>0</v>
      </c>
      <c r="V4720" s="2" t="inlineStr"/>
    </row>
    <row r="4721" ht="15" customHeight="1">
      <c r="A4721" t="inlineStr">
        <is>
          <t>A 7481-2024</t>
        </is>
      </c>
      <c r="B4721" t="inlineStr">
        <is>
          <t>avverkningsanmälan</t>
        </is>
      </c>
      <c r="C4721" t="inlineStr">
        <is>
          <t>Föryngringsavverkning</t>
        </is>
      </c>
      <c r="D4721" s="1" t="n">
        <v>45346</v>
      </c>
      <c r="E4721" s="1" t="n">
        <v>46323</v>
      </c>
      <c r="F4721" t="inlineStr">
        <is>
          <t>KALMAR LÄN</t>
        </is>
      </c>
      <c r="G4721" t="inlineStr">
        <is>
          <t>NYBRO</t>
        </is>
      </c>
      <c r="I4721" t="n">
        <v>0.8</v>
      </c>
      <c r="J4721" t="n">
        <v>0</v>
      </c>
      <c r="K4721" t="n">
        <v>0</v>
      </c>
      <c r="L4721" t="n">
        <v>0</v>
      </c>
      <c r="M4721" t="n">
        <v>0</v>
      </c>
      <c r="N4721" t="n">
        <v>0</v>
      </c>
      <c r="O4721" t="n">
        <v>0</v>
      </c>
      <c r="P4721" t="n">
        <v>0</v>
      </c>
      <c r="Q4721" t="n">
        <v>0</v>
      </c>
      <c r="R4721" t="n">
        <v>0</v>
      </c>
      <c r="S4721" t="n">
        <v>0</v>
      </c>
      <c r="T4721" t="n">
        <v>0</v>
      </c>
      <c r="U4721" t="n">
        <v>0</v>
      </c>
      <c r="V4721" s="2" t="inlineStr"/>
    </row>
    <row r="4722" ht="15" customHeight="1">
      <c r="A4722" t="inlineStr">
        <is>
          <t>A 46572-2023</t>
        </is>
      </c>
      <c r="B4722" t="inlineStr">
        <is>
          <t>avverkningsanmälan</t>
        </is>
      </c>
      <c r="C4722" t="inlineStr">
        <is>
          <t>Föryngringsavverkning</t>
        </is>
      </c>
      <c r="D4722" s="1" t="n">
        <v>45198</v>
      </c>
      <c r="E4722" s="1" t="n">
        <v>46323</v>
      </c>
      <c r="F4722" t="inlineStr">
        <is>
          <t>KALMAR LÄN</t>
        </is>
      </c>
      <c r="G4722" t="inlineStr">
        <is>
          <t>TORSÅS</t>
        </is>
      </c>
      <c r="I4722" t="n">
        <v>1.9</v>
      </c>
      <c r="J4722" t="n">
        <v>0</v>
      </c>
      <c r="K4722" t="n">
        <v>0</v>
      </c>
      <c r="L4722" t="n">
        <v>0</v>
      </c>
      <c r="M4722" t="n">
        <v>0</v>
      </c>
      <c r="N4722" t="n">
        <v>0</v>
      </c>
      <c r="O4722" t="n">
        <v>0</v>
      </c>
      <c r="P4722" t="n">
        <v>0</v>
      </c>
      <c r="Q4722" t="n">
        <v>0</v>
      </c>
      <c r="R4722" t="n">
        <v>0</v>
      </c>
      <c r="S4722" t="n">
        <v>0</v>
      </c>
      <c r="T4722" t="n">
        <v>0</v>
      </c>
      <c r="U4722" t="n">
        <v>0</v>
      </c>
      <c r="V4722" s="2" t="inlineStr"/>
    </row>
    <row r="4723" ht="15" customHeight="1">
      <c r="A4723" t="inlineStr">
        <is>
          <t>A 33254-2026</t>
        </is>
      </c>
      <c r="B4723" t="inlineStr">
        <is>
          <t>avverkningsanmälan</t>
        </is>
      </c>
      <c r="C4723" t="inlineStr">
        <is>
          <t>Föryngringsavverkning</t>
        </is>
      </c>
      <c r="D4723" s="1" t="n">
        <v>46246</v>
      </c>
      <c r="E4723" s="1" t="n">
        <v>46323</v>
      </c>
      <c r="F4723" t="inlineStr">
        <is>
          <t>KALMAR LÄN</t>
        </is>
      </c>
      <c r="G4723" t="inlineStr">
        <is>
          <t>NYBRO</t>
        </is>
      </c>
      <c r="I4723" t="n">
        <v>0.8</v>
      </c>
      <c r="J4723" t="n">
        <v>0</v>
      </c>
      <c r="K4723" t="n">
        <v>0</v>
      </c>
      <c r="L4723" t="n">
        <v>0</v>
      </c>
      <c r="M4723" t="n">
        <v>0</v>
      </c>
      <c r="N4723" t="n">
        <v>0</v>
      </c>
      <c r="O4723" t="n">
        <v>0</v>
      </c>
      <c r="P4723" t="n">
        <v>0</v>
      </c>
      <c r="Q4723" t="n">
        <v>0</v>
      </c>
      <c r="R4723" t="n">
        <v>0</v>
      </c>
      <c r="S4723" t="n">
        <v>0</v>
      </c>
      <c r="T4723" t="n">
        <v>0</v>
      </c>
      <c r="U4723" t="n">
        <v>0</v>
      </c>
      <c r="V4723" s="2" t="inlineStr"/>
    </row>
    <row r="4724" ht="15" customHeight="1">
      <c r="A4724" t="inlineStr">
        <is>
          <t>A 33257-2026</t>
        </is>
      </c>
      <c r="B4724" t="inlineStr">
        <is>
          <t>avverkningsanmälan</t>
        </is>
      </c>
      <c r="C4724" t="inlineStr">
        <is>
          <t>Föryngringsavverkning</t>
        </is>
      </c>
      <c r="D4724" s="1" t="n">
        <v>46246</v>
      </c>
      <c r="E4724" s="1" t="n">
        <v>46323</v>
      </c>
      <c r="F4724" t="inlineStr">
        <is>
          <t>KALMAR LÄN</t>
        </is>
      </c>
      <c r="G4724" t="inlineStr">
        <is>
          <t>NYBRO</t>
        </is>
      </c>
      <c r="I4724" t="n">
        <v>0.8</v>
      </c>
      <c r="J4724" t="n">
        <v>0</v>
      </c>
      <c r="K4724" t="n">
        <v>0</v>
      </c>
      <c r="L4724" t="n">
        <v>0</v>
      </c>
      <c r="M4724" t="n">
        <v>0</v>
      </c>
      <c r="N4724" t="n">
        <v>0</v>
      </c>
      <c r="O4724" t="n">
        <v>0</v>
      </c>
      <c r="P4724" t="n">
        <v>0</v>
      </c>
      <c r="Q4724" t="n">
        <v>0</v>
      </c>
      <c r="R4724" t="n">
        <v>0</v>
      </c>
      <c r="S4724" t="n">
        <v>0</v>
      </c>
      <c r="T4724" t="n">
        <v>0</v>
      </c>
      <c r="U4724" t="n">
        <v>0</v>
      </c>
      <c r="V4724" s="2" t="inlineStr"/>
    </row>
    <row r="4725" ht="15" customHeight="1">
      <c r="A4725" t="inlineStr">
        <is>
          <t>A 33277-2023</t>
        </is>
      </c>
      <c r="B4725" t="inlineStr">
        <is>
          <t>avverkningsanmälan</t>
        </is>
      </c>
      <c r="C4725" t="inlineStr">
        <is>
          <t>Föryngringsavverkning</t>
        </is>
      </c>
      <c r="D4725" s="1" t="n">
        <v>45114</v>
      </c>
      <c r="E4725" s="1" t="n">
        <v>46323</v>
      </c>
      <c r="F4725" t="inlineStr">
        <is>
          <t>KALMAR LÄN</t>
        </is>
      </c>
      <c r="G4725" t="inlineStr">
        <is>
          <t>VÄSTERVIK</t>
        </is>
      </c>
      <c r="I4725" t="n">
        <v>0.7</v>
      </c>
      <c r="J4725" t="n">
        <v>0</v>
      </c>
      <c r="K4725" t="n">
        <v>0</v>
      </c>
      <c r="L4725" t="n">
        <v>0</v>
      </c>
      <c r="M4725" t="n">
        <v>0</v>
      </c>
      <c r="N4725" t="n">
        <v>0</v>
      </c>
      <c r="O4725" t="n">
        <v>0</v>
      </c>
      <c r="P4725" t="n">
        <v>0</v>
      </c>
      <c r="Q4725" t="n">
        <v>0</v>
      </c>
      <c r="R4725" t="n">
        <v>0</v>
      </c>
      <c r="S4725" t="n">
        <v>0</v>
      </c>
      <c r="T4725" t="n">
        <v>0</v>
      </c>
      <c r="U4725" t="n">
        <v>0</v>
      </c>
      <c r="V4725" s="2" t="inlineStr"/>
    </row>
    <row r="4726" ht="15" customHeight="1">
      <c r="A4726" t="inlineStr">
        <is>
          <t>A 11966-2025</t>
        </is>
      </c>
      <c r="B4726" t="inlineStr">
        <is>
          <t>avverkningsanmälan</t>
        </is>
      </c>
      <c r="C4726" t="inlineStr">
        <is>
          <t>Föryngringsavverkning</t>
        </is>
      </c>
      <c r="D4726" s="1" t="n">
        <v>45728</v>
      </c>
      <c r="E4726" s="1" t="n">
        <v>46323</v>
      </c>
      <c r="F4726" t="inlineStr">
        <is>
          <t>KALMAR LÄN</t>
        </is>
      </c>
      <c r="G4726" t="inlineStr">
        <is>
          <t>NYBRO</t>
        </is>
      </c>
      <c r="H4726" t="inlineStr">
        <is>
          <t>Sveaskog</t>
        </is>
      </c>
      <c r="I4726" t="n">
        <v>1.3</v>
      </c>
      <c r="J4726" t="n">
        <v>0</v>
      </c>
      <c r="K4726" t="n">
        <v>0</v>
      </c>
      <c r="L4726" t="n">
        <v>0</v>
      </c>
      <c r="M4726" t="n">
        <v>0</v>
      </c>
      <c r="N4726" t="n">
        <v>0</v>
      </c>
      <c r="O4726" t="n">
        <v>0</v>
      </c>
      <c r="P4726" t="n">
        <v>0</v>
      </c>
      <c r="Q4726" t="n">
        <v>0</v>
      </c>
      <c r="R4726" t="n">
        <v>0</v>
      </c>
      <c r="S4726" t="n">
        <v>0</v>
      </c>
      <c r="T4726" t="n">
        <v>0</v>
      </c>
      <c r="U4726" t="n">
        <v>0</v>
      </c>
      <c r="V4726" s="2" t="inlineStr"/>
    </row>
    <row r="4727" ht="15" customHeight="1">
      <c r="A4727" t="inlineStr">
        <is>
          <t>A 37637-2023</t>
        </is>
      </c>
      <c r="B4727" t="inlineStr">
        <is>
          <t>avverkningsanmälan</t>
        </is>
      </c>
      <c r="C4727" t="inlineStr">
        <is>
          <t>Föryngringsavverkning</t>
        </is>
      </c>
      <c r="D4727" s="1" t="n">
        <v>45159</v>
      </c>
      <c r="E4727" s="1" t="n">
        <v>46323</v>
      </c>
      <c r="F4727" t="inlineStr">
        <is>
          <t>KALMAR LÄN</t>
        </is>
      </c>
      <c r="G4727" t="inlineStr">
        <is>
          <t>EMMABODA</t>
        </is>
      </c>
      <c r="I4727" t="n">
        <v>2.4</v>
      </c>
      <c r="J4727" t="n">
        <v>0</v>
      </c>
      <c r="K4727" t="n">
        <v>0</v>
      </c>
      <c r="L4727" t="n">
        <v>0</v>
      </c>
      <c r="M4727" t="n">
        <v>0</v>
      </c>
      <c r="N4727" t="n">
        <v>0</v>
      </c>
      <c r="O4727" t="n">
        <v>0</v>
      </c>
      <c r="P4727" t="n">
        <v>0</v>
      </c>
      <c r="Q4727" t="n">
        <v>0</v>
      </c>
      <c r="R4727" t="n">
        <v>0</v>
      </c>
      <c r="S4727" t="n">
        <v>0</v>
      </c>
      <c r="T4727" t="n">
        <v>0</v>
      </c>
      <c r="U4727" t="n">
        <v>0</v>
      </c>
      <c r="V4727" s="2" t="inlineStr"/>
    </row>
    <row r="4728" ht="15" customHeight="1">
      <c r="A4728" t="inlineStr">
        <is>
          <t>A 33452-2026</t>
        </is>
      </c>
      <c r="B4728" t="inlineStr">
        <is>
          <t>avverkningsanmälan</t>
        </is>
      </c>
      <c r="C4728" t="inlineStr">
        <is>
          <t>Föryngringsavverkning</t>
        </is>
      </c>
      <c r="D4728" s="1" t="n">
        <v>46247</v>
      </c>
      <c r="E4728" s="1" t="n">
        <v>46323</v>
      </c>
      <c r="F4728" t="inlineStr">
        <is>
          <t>KALMAR LÄN</t>
        </is>
      </c>
      <c r="G4728" t="inlineStr">
        <is>
          <t>KALMAR</t>
        </is>
      </c>
      <c r="H4728" t="inlineStr">
        <is>
          <t>Sveaskog</t>
        </is>
      </c>
      <c r="I4728" t="n">
        <v>1.4</v>
      </c>
      <c r="J4728" t="n">
        <v>0</v>
      </c>
      <c r="K4728" t="n">
        <v>0</v>
      </c>
      <c r="L4728" t="n">
        <v>0</v>
      </c>
      <c r="M4728" t="n">
        <v>0</v>
      </c>
      <c r="N4728" t="n">
        <v>0</v>
      </c>
      <c r="O4728" t="n">
        <v>0</v>
      </c>
      <c r="P4728" t="n">
        <v>0</v>
      </c>
      <c r="Q4728" t="n">
        <v>0</v>
      </c>
      <c r="R4728" t="n">
        <v>0</v>
      </c>
      <c r="S4728" t="n">
        <v>0</v>
      </c>
      <c r="T4728" t="n">
        <v>0</v>
      </c>
      <c r="U4728" t="n">
        <v>0</v>
      </c>
      <c r="V4728" s="2" t="inlineStr"/>
    </row>
    <row r="4729" ht="15" customHeight="1">
      <c r="A4729" t="inlineStr">
        <is>
          <t>A 31070-2022</t>
        </is>
      </c>
      <c r="B4729" t="inlineStr">
        <is>
          <t>avverkningsanmälan</t>
        </is>
      </c>
      <c r="C4729" t="inlineStr">
        <is>
          <t>Föryngringsavverkning</t>
        </is>
      </c>
      <c r="D4729" s="1" t="n">
        <v>44769</v>
      </c>
      <c r="E4729" s="1" t="n">
        <v>46323</v>
      </c>
      <c r="F4729" t="inlineStr">
        <is>
          <t>KALMAR LÄN</t>
        </is>
      </c>
      <c r="G4729" t="inlineStr">
        <is>
          <t>EMMABODA</t>
        </is>
      </c>
      <c r="I4729" t="n">
        <v>1.7</v>
      </c>
      <c r="J4729" t="n">
        <v>0</v>
      </c>
      <c r="K4729" t="n">
        <v>0</v>
      </c>
      <c r="L4729" t="n">
        <v>0</v>
      </c>
      <c r="M4729" t="n">
        <v>0</v>
      </c>
      <c r="N4729" t="n">
        <v>0</v>
      </c>
      <c r="O4729" t="n">
        <v>0</v>
      </c>
      <c r="P4729" t="n">
        <v>0</v>
      </c>
      <c r="Q4729" t="n">
        <v>0</v>
      </c>
      <c r="R4729" t="n">
        <v>0</v>
      </c>
      <c r="S4729" t="n">
        <v>0</v>
      </c>
      <c r="T4729" t="n">
        <v>0</v>
      </c>
      <c r="U4729" t="n">
        <v>0</v>
      </c>
      <c r="V4729" s="2" t="inlineStr"/>
    </row>
    <row r="4730" ht="15" customHeight="1">
      <c r="A4730" t="inlineStr">
        <is>
          <t>A 36619-2024</t>
        </is>
      </c>
      <c r="B4730" t="inlineStr">
        <is>
          <t>avverkningsanmälan</t>
        </is>
      </c>
      <c r="C4730" t="inlineStr">
        <is>
          <t>Föryngringsavverkning</t>
        </is>
      </c>
      <c r="D4730" s="1" t="n">
        <v>45537</v>
      </c>
      <c r="E4730" s="1" t="n">
        <v>46323</v>
      </c>
      <c r="F4730" t="inlineStr">
        <is>
          <t>KALMAR LÄN</t>
        </is>
      </c>
      <c r="G4730" t="inlineStr">
        <is>
          <t>MÖNSTERÅS</t>
        </is>
      </c>
      <c r="I4730" t="n">
        <v>7.4</v>
      </c>
      <c r="J4730" t="n">
        <v>0</v>
      </c>
      <c r="K4730" t="n">
        <v>0</v>
      </c>
      <c r="L4730" t="n">
        <v>0</v>
      </c>
      <c r="M4730" t="n">
        <v>0</v>
      </c>
      <c r="N4730" t="n">
        <v>0</v>
      </c>
      <c r="O4730" t="n">
        <v>0</v>
      </c>
      <c r="P4730" t="n">
        <v>0</v>
      </c>
      <c r="Q4730" t="n">
        <v>0</v>
      </c>
      <c r="R4730" t="n">
        <v>0</v>
      </c>
      <c r="S4730" t="n">
        <v>0</v>
      </c>
      <c r="T4730" t="n">
        <v>0</v>
      </c>
      <c r="U4730" t="n">
        <v>0</v>
      </c>
      <c r="V4730" s="2" t="inlineStr"/>
    </row>
    <row r="4731" ht="15" customHeight="1">
      <c r="A4731" t="inlineStr">
        <is>
          <t>A 36638-2024</t>
        </is>
      </c>
      <c r="B4731" t="inlineStr">
        <is>
          <t>avverkningsanmälan</t>
        </is>
      </c>
      <c r="C4731" t="inlineStr">
        <is>
          <t>Föryngringsavverkning</t>
        </is>
      </c>
      <c r="D4731" s="1" t="n">
        <v>45537</v>
      </c>
      <c r="E4731" s="1" t="n">
        <v>46323</v>
      </c>
      <c r="F4731" t="inlineStr">
        <is>
          <t>KALMAR LÄN</t>
        </is>
      </c>
      <c r="G4731" t="inlineStr">
        <is>
          <t>HULTSFRED</t>
        </is>
      </c>
      <c r="I4731" t="n">
        <v>2</v>
      </c>
      <c r="J4731" t="n">
        <v>0</v>
      </c>
      <c r="K4731" t="n">
        <v>0</v>
      </c>
      <c r="L4731" t="n">
        <v>0</v>
      </c>
      <c r="M4731" t="n">
        <v>0</v>
      </c>
      <c r="N4731" t="n">
        <v>0</v>
      </c>
      <c r="O4731" t="n">
        <v>0</v>
      </c>
      <c r="P4731" t="n">
        <v>0</v>
      </c>
      <c r="Q4731" t="n">
        <v>0</v>
      </c>
      <c r="R4731" t="n">
        <v>0</v>
      </c>
      <c r="S4731" t="n">
        <v>0</v>
      </c>
      <c r="T4731" t="n">
        <v>0</v>
      </c>
      <c r="U4731" t="n">
        <v>0</v>
      </c>
      <c r="V4731" s="2" t="inlineStr"/>
    </row>
    <row r="4732" ht="15" customHeight="1">
      <c r="A4732" t="inlineStr">
        <is>
          <t>A 6082-2022</t>
        </is>
      </c>
      <c r="B4732" t="inlineStr">
        <is>
          <t>avverkningsanmälan</t>
        </is>
      </c>
      <c r="C4732" t="inlineStr">
        <is>
          <t>Föryngringsavverkning</t>
        </is>
      </c>
      <c r="D4732" s="1" t="n">
        <v>44599</v>
      </c>
      <c r="E4732" s="1" t="n">
        <v>46323</v>
      </c>
      <c r="F4732" t="inlineStr">
        <is>
          <t>KALMAR LÄN</t>
        </is>
      </c>
      <c r="G4732" t="inlineStr">
        <is>
          <t>VIMMERBY</t>
        </is>
      </c>
      <c r="I4732" t="n">
        <v>0.6</v>
      </c>
      <c r="J4732" t="n">
        <v>0</v>
      </c>
      <c r="K4732" t="n">
        <v>0</v>
      </c>
      <c r="L4732" t="n">
        <v>0</v>
      </c>
      <c r="M4732" t="n">
        <v>0</v>
      </c>
      <c r="N4732" t="n">
        <v>0</v>
      </c>
      <c r="O4732" t="n">
        <v>0</v>
      </c>
      <c r="P4732" t="n">
        <v>0</v>
      </c>
      <c r="Q4732" t="n">
        <v>0</v>
      </c>
      <c r="R4732" t="n">
        <v>0</v>
      </c>
      <c r="S4732" t="n">
        <v>0</v>
      </c>
      <c r="T4732" t="n">
        <v>0</v>
      </c>
      <c r="U4732" t="n">
        <v>0</v>
      </c>
      <c r="V4732" s="2" t="inlineStr"/>
    </row>
    <row r="4733" ht="15" customHeight="1">
      <c r="A4733" t="inlineStr">
        <is>
          <t>A 46979-2023</t>
        </is>
      </c>
      <c r="B4733" t="inlineStr">
        <is>
          <t>avverkningsanmälan</t>
        </is>
      </c>
      <c r="C4733" t="inlineStr">
        <is>
          <t>Föryngringsavverkning</t>
        </is>
      </c>
      <c r="D4733" s="1" t="n">
        <v>45201</v>
      </c>
      <c r="E4733" s="1" t="n">
        <v>46323</v>
      </c>
      <c r="F4733" t="inlineStr">
        <is>
          <t>KALMAR LÄN</t>
        </is>
      </c>
      <c r="G4733" t="inlineStr">
        <is>
          <t>VIMMERBY</t>
        </is>
      </c>
      <c r="I4733" t="n">
        <v>1</v>
      </c>
      <c r="J4733" t="n">
        <v>0</v>
      </c>
      <c r="K4733" t="n">
        <v>0</v>
      </c>
      <c r="L4733" t="n">
        <v>0</v>
      </c>
      <c r="M4733" t="n">
        <v>0</v>
      </c>
      <c r="N4733" t="n">
        <v>0</v>
      </c>
      <c r="O4733" t="n">
        <v>0</v>
      </c>
      <c r="P4733" t="n">
        <v>0</v>
      </c>
      <c r="Q4733" t="n">
        <v>0</v>
      </c>
      <c r="R4733" t="n">
        <v>0</v>
      </c>
      <c r="S4733" t="n">
        <v>0</v>
      </c>
      <c r="T4733" t="n">
        <v>0</v>
      </c>
      <c r="U4733" t="n">
        <v>0</v>
      </c>
      <c r="V4733" s="2" t="inlineStr"/>
    </row>
    <row r="4734" ht="15" customHeight="1">
      <c r="A4734" t="inlineStr">
        <is>
          <t>A 26984-2023</t>
        </is>
      </c>
      <c r="B4734" t="inlineStr">
        <is>
          <t>avverkningsanmälan</t>
        </is>
      </c>
      <c r="C4734" t="inlineStr">
        <is>
          <t>Föryngringsavverkning</t>
        </is>
      </c>
      <c r="D4734" s="1" t="n">
        <v>45093</v>
      </c>
      <c r="E4734" s="1" t="n">
        <v>46323</v>
      </c>
      <c r="F4734" t="inlineStr">
        <is>
          <t>KALMAR LÄN</t>
        </is>
      </c>
      <c r="G4734" t="inlineStr">
        <is>
          <t>KALMAR</t>
        </is>
      </c>
      <c r="I4734" t="n">
        <v>1.7</v>
      </c>
      <c r="J4734" t="n">
        <v>0</v>
      </c>
      <c r="K4734" t="n">
        <v>0</v>
      </c>
      <c r="L4734" t="n">
        <v>0</v>
      </c>
      <c r="M4734" t="n">
        <v>0</v>
      </c>
      <c r="N4734" t="n">
        <v>0</v>
      </c>
      <c r="O4734" t="n">
        <v>0</v>
      </c>
      <c r="P4734" t="n">
        <v>0</v>
      </c>
      <c r="Q4734" t="n">
        <v>0</v>
      </c>
      <c r="R4734" t="n">
        <v>0</v>
      </c>
      <c r="S4734" t="n">
        <v>0</v>
      </c>
      <c r="T4734" t="n">
        <v>0</v>
      </c>
      <c r="U4734" t="n">
        <v>0</v>
      </c>
      <c r="V4734" s="2" t="inlineStr"/>
    </row>
    <row r="4735" ht="15" customHeight="1">
      <c r="A4735" t="inlineStr">
        <is>
          <t>A 23701-2023</t>
        </is>
      </c>
      <c r="B4735" t="inlineStr">
        <is>
          <t>avverkningsanmälan</t>
        </is>
      </c>
      <c r="C4735" t="inlineStr">
        <is>
          <t>Föryngringsavverkning</t>
        </is>
      </c>
      <c r="D4735" s="1" t="n">
        <v>45075</v>
      </c>
      <c r="E4735" s="1" t="n">
        <v>46323</v>
      </c>
      <c r="F4735" t="inlineStr">
        <is>
          <t>KALMAR LÄN</t>
        </is>
      </c>
      <c r="G4735" t="inlineStr">
        <is>
          <t>MÖNSTERÅS</t>
        </is>
      </c>
      <c r="I4735" t="n">
        <v>7</v>
      </c>
      <c r="J4735" t="n">
        <v>0</v>
      </c>
      <c r="K4735" t="n">
        <v>0</v>
      </c>
      <c r="L4735" t="n">
        <v>0</v>
      </c>
      <c r="M4735" t="n">
        <v>0</v>
      </c>
      <c r="N4735" t="n">
        <v>0</v>
      </c>
      <c r="O4735" t="n">
        <v>0</v>
      </c>
      <c r="P4735" t="n">
        <v>0</v>
      </c>
      <c r="Q4735" t="n">
        <v>0</v>
      </c>
      <c r="R4735" t="n">
        <v>0</v>
      </c>
      <c r="S4735" t="n">
        <v>0</v>
      </c>
      <c r="T4735" t="n">
        <v>0</v>
      </c>
      <c r="U4735" t="n">
        <v>0</v>
      </c>
      <c r="V4735" s="2" t="inlineStr"/>
    </row>
    <row r="4736" ht="15" customHeight="1">
      <c r="A4736" t="inlineStr">
        <is>
          <t>A 13723-2026</t>
        </is>
      </c>
      <c r="B4736" t="inlineStr">
        <is>
          <t>avverkningsanmälan</t>
        </is>
      </c>
      <c r="C4736" t="inlineStr">
        <is>
          <t>Föryngringsavverkning</t>
        </is>
      </c>
      <c r="D4736" s="1" t="n">
        <v>46097</v>
      </c>
      <c r="E4736" s="1" t="n">
        <v>46323</v>
      </c>
      <c r="F4736" t="inlineStr">
        <is>
          <t>KALMAR LÄN</t>
        </is>
      </c>
      <c r="G4736" t="inlineStr">
        <is>
          <t>MÖNSTERÅS</t>
        </is>
      </c>
      <c r="I4736" t="n">
        <v>1.3</v>
      </c>
      <c r="J4736" t="n">
        <v>0</v>
      </c>
      <c r="K4736" t="n">
        <v>0</v>
      </c>
      <c r="L4736" t="n">
        <v>0</v>
      </c>
      <c r="M4736" t="n">
        <v>0</v>
      </c>
      <c r="N4736" t="n">
        <v>0</v>
      </c>
      <c r="O4736" t="n">
        <v>0</v>
      </c>
      <c r="P4736" t="n">
        <v>0</v>
      </c>
      <c r="Q4736" t="n">
        <v>0</v>
      </c>
      <c r="R4736" t="n">
        <v>0</v>
      </c>
      <c r="S4736" t="n">
        <v>0</v>
      </c>
      <c r="T4736" t="n">
        <v>0</v>
      </c>
      <c r="U4736" t="n">
        <v>0</v>
      </c>
      <c r="V4736" s="2" t="inlineStr"/>
    </row>
    <row r="4737" ht="15" customHeight="1">
      <c r="A4737" t="inlineStr">
        <is>
          <t>A 2596-2025</t>
        </is>
      </c>
      <c r="B4737" t="inlineStr">
        <is>
          <t>avverkningsanmälan</t>
        </is>
      </c>
      <c r="C4737" t="inlineStr">
        <is>
          <t>Föryngringsavverkning</t>
        </is>
      </c>
      <c r="D4737" s="1" t="n">
        <v>45674</v>
      </c>
      <c r="E4737" s="1" t="n">
        <v>46323</v>
      </c>
      <c r="F4737" t="inlineStr">
        <is>
          <t>KALMAR LÄN</t>
        </is>
      </c>
      <c r="G4737" t="inlineStr">
        <is>
          <t>VIMMERBY</t>
        </is>
      </c>
      <c r="I4737" t="n">
        <v>9</v>
      </c>
      <c r="J4737" t="n">
        <v>0</v>
      </c>
      <c r="K4737" t="n">
        <v>0</v>
      </c>
      <c r="L4737" t="n">
        <v>0</v>
      </c>
      <c r="M4737" t="n">
        <v>0</v>
      </c>
      <c r="N4737" t="n">
        <v>0</v>
      </c>
      <c r="O4737" t="n">
        <v>0</v>
      </c>
      <c r="P4737" t="n">
        <v>0</v>
      </c>
      <c r="Q4737" t="n">
        <v>0</v>
      </c>
      <c r="R4737" t="n">
        <v>0</v>
      </c>
      <c r="S4737" t="n">
        <v>0</v>
      </c>
      <c r="T4737" t="n">
        <v>0</v>
      </c>
      <c r="U4737" t="n">
        <v>0</v>
      </c>
      <c r="V4737" s="2" t="inlineStr"/>
    </row>
    <row r="4738" ht="15" customHeight="1">
      <c r="A4738" t="inlineStr">
        <is>
          <t>A 39806-2026</t>
        </is>
      </c>
      <c r="B4738" t="inlineStr">
        <is>
          <t>avverkningsanmälan</t>
        </is>
      </c>
      <c r="C4738" t="inlineStr">
        <is>
          <t>Föryngringsavverkning</t>
        </is>
      </c>
      <c r="D4738" s="1" t="n">
        <v>46290</v>
      </c>
      <c r="E4738" s="1" t="n">
        <v>46323</v>
      </c>
      <c r="F4738" t="inlineStr">
        <is>
          <t>KALMAR LÄN</t>
        </is>
      </c>
      <c r="G4738" t="inlineStr">
        <is>
          <t>EMMABODA</t>
        </is>
      </c>
      <c r="I4738" t="n">
        <v>1.5</v>
      </c>
      <c r="J4738" t="n">
        <v>0</v>
      </c>
      <c r="K4738" t="n">
        <v>0</v>
      </c>
      <c r="L4738" t="n">
        <v>0</v>
      </c>
      <c r="M4738" t="n">
        <v>0</v>
      </c>
      <c r="N4738" t="n">
        <v>0</v>
      </c>
      <c r="O4738" t="n">
        <v>0</v>
      </c>
      <c r="P4738" t="n">
        <v>0</v>
      </c>
      <c r="Q4738" t="n">
        <v>0</v>
      </c>
      <c r="R4738" t="n">
        <v>0</v>
      </c>
      <c r="S4738" t="n">
        <v>0</v>
      </c>
      <c r="T4738" t="n">
        <v>0</v>
      </c>
      <c r="U4738" t="n">
        <v>0</v>
      </c>
      <c r="V4738" s="2" t="inlineStr"/>
    </row>
    <row r="4739" ht="15" customHeight="1">
      <c r="A4739" t="inlineStr">
        <is>
          <t>A 64373-2023</t>
        </is>
      </c>
      <c r="B4739" t="inlineStr">
        <is>
          <t>avverkningsanmälan</t>
        </is>
      </c>
      <c r="C4739" t="inlineStr">
        <is>
          <t>Föryngringsavverkning</t>
        </is>
      </c>
      <c r="D4739" s="1" t="n">
        <v>45280</v>
      </c>
      <c r="E4739" s="1" t="n">
        <v>46323</v>
      </c>
      <c r="F4739" t="inlineStr">
        <is>
          <t>KALMAR LÄN</t>
        </is>
      </c>
      <c r="G4739" t="inlineStr">
        <is>
          <t>TORSÅS</t>
        </is>
      </c>
      <c r="I4739" t="n">
        <v>19</v>
      </c>
      <c r="J4739" t="n">
        <v>0</v>
      </c>
      <c r="K4739" t="n">
        <v>0</v>
      </c>
      <c r="L4739" t="n">
        <v>0</v>
      </c>
      <c r="M4739" t="n">
        <v>0</v>
      </c>
      <c r="N4739" t="n">
        <v>0</v>
      </c>
      <c r="O4739" t="n">
        <v>0</v>
      </c>
      <c r="P4739" t="n">
        <v>0</v>
      </c>
      <c r="Q4739" t="n">
        <v>0</v>
      </c>
      <c r="R4739" t="n">
        <v>0</v>
      </c>
      <c r="S4739" t="n">
        <v>0</v>
      </c>
      <c r="T4739" t="n">
        <v>0</v>
      </c>
      <c r="U4739" t="n">
        <v>0</v>
      </c>
      <c r="V4739" s="2" t="inlineStr"/>
    </row>
    <row r="4740" ht="15" customHeight="1">
      <c r="A4740" t="inlineStr">
        <is>
          <t>A 47855-2024</t>
        </is>
      </c>
      <c r="B4740" t="inlineStr">
        <is>
          <t>avverkningsanmälan</t>
        </is>
      </c>
      <c r="C4740" t="inlineStr">
        <is>
          <t>Föryngringsavverkning</t>
        </is>
      </c>
      <c r="D4740" s="1" t="n">
        <v>45588</v>
      </c>
      <c r="E4740" s="1" t="n">
        <v>46323</v>
      </c>
      <c r="F4740" t="inlineStr">
        <is>
          <t>KALMAR LÄN</t>
        </is>
      </c>
      <c r="G4740" t="inlineStr">
        <is>
          <t>VIMMERBY</t>
        </is>
      </c>
      <c r="I4740" t="n">
        <v>0.8</v>
      </c>
      <c r="J4740" t="n">
        <v>0</v>
      </c>
      <c r="K4740" t="n">
        <v>0</v>
      </c>
      <c r="L4740" t="n">
        <v>0</v>
      </c>
      <c r="M4740" t="n">
        <v>0</v>
      </c>
      <c r="N4740" t="n">
        <v>0</v>
      </c>
      <c r="O4740" t="n">
        <v>0</v>
      </c>
      <c r="P4740" t="n">
        <v>0</v>
      </c>
      <c r="Q4740" t="n">
        <v>0</v>
      </c>
      <c r="R4740" t="n">
        <v>0</v>
      </c>
      <c r="S4740" t="n">
        <v>0</v>
      </c>
      <c r="T4740" t="n">
        <v>0</v>
      </c>
      <c r="U4740" t="n">
        <v>0</v>
      </c>
      <c r="V4740" s="2" t="inlineStr"/>
    </row>
    <row r="4741" ht="15" customHeight="1">
      <c r="A4741" t="inlineStr">
        <is>
          <t>A 63583-2023</t>
        </is>
      </c>
      <c r="B4741" t="inlineStr">
        <is>
          <t>avverkningsanmälan</t>
        </is>
      </c>
      <c r="C4741" t="inlineStr">
        <is>
          <t>Föryngringsavverkning</t>
        </is>
      </c>
      <c r="D4741" s="1" t="n">
        <v>45275</v>
      </c>
      <c r="E4741" s="1" t="n">
        <v>46323</v>
      </c>
      <c r="F4741" t="inlineStr">
        <is>
          <t>KALMAR LÄN</t>
        </is>
      </c>
      <c r="G4741" t="inlineStr">
        <is>
          <t>VIMMERBY</t>
        </is>
      </c>
      <c r="I4741" t="n">
        <v>1.4</v>
      </c>
      <c r="J4741" t="n">
        <v>0</v>
      </c>
      <c r="K4741" t="n">
        <v>0</v>
      </c>
      <c r="L4741" t="n">
        <v>0</v>
      </c>
      <c r="M4741" t="n">
        <v>0</v>
      </c>
      <c r="N4741" t="n">
        <v>0</v>
      </c>
      <c r="O4741" t="n">
        <v>0</v>
      </c>
      <c r="P4741" t="n">
        <v>0</v>
      </c>
      <c r="Q4741" t="n">
        <v>0</v>
      </c>
      <c r="R4741" t="n">
        <v>0</v>
      </c>
      <c r="S4741" t="n">
        <v>0</v>
      </c>
      <c r="T4741" t="n">
        <v>0</v>
      </c>
      <c r="U4741" t="n">
        <v>0</v>
      </c>
      <c r="V4741" s="2" t="inlineStr"/>
    </row>
    <row r="4742" ht="15" customHeight="1">
      <c r="A4742" t="inlineStr">
        <is>
          <t>A 43746-2023</t>
        </is>
      </c>
      <c r="B4742" t="inlineStr">
        <is>
          <t>avverkningsanmälan</t>
        </is>
      </c>
      <c r="C4742" t="inlineStr">
        <is>
          <t>Föryngringsavverkning</t>
        </is>
      </c>
      <c r="D4742" s="1" t="n">
        <v>45187</v>
      </c>
      <c r="E4742" s="1" t="n">
        <v>46323</v>
      </c>
      <c r="F4742" t="inlineStr">
        <is>
          <t>KALMAR LÄN</t>
        </is>
      </c>
      <c r="G4742" t="inlineStr">
        <is>
          <t>EMMABODA</t>
        </is>
      </c>
      <c r="I4742" t="n">
        <v>1</v>
      </c>
      <c r="J4742" t="n">
        <v>0</v>
      </c>
      <c r="K4742" t="n">
        <v>0</v>
      </c>
      <c r="L4742" t="n">
        <v>0</v>
      </c>
      <c r="M4742" t="n">
        <v>0</v>
      </c>
      <c r="N4742" t="n">
        <v>0</v>
      </c>
      <c r="O4742" t="n">
        <v>0</v>
      </c>
      <c r="P4742" t="n">
        <v>0</v>
      </c>
      <c r="Q4742" t="n">
        <v>0</v>
      </c>
      <c r="R4742" t="n">
        <v>0</v>
      </c>
      <c r="S4742" t="n">
        <v>0</v>
      </c>
      <c r="T4742" t="n">
        <v>0</v>
      </c>
      <c r="U4742" t="n">
        <v>0</v>
      </c>
      <c r="V4742" s="2" t="inlineStr"/>
    </row>
    <row r="4743" ht="15" customHeight="1">
      <c r="A4743" t="inlineStr">
        <is>
          <t>A 63890-2023</t>
        </is>
      </c>
      <c r="B4743" t="inlineStr">
        <is>
          <t>avverkningsanmälan</t>
        </is>
      </c>
      <c r="C4743" t="inlineStr">
        <is>
          <t>Föryngringsavverkning</t>
        </is>
      </c>
      <c r="D4743" s="1" t="n">
        <v>45278</v>
      </c>
      <c r="E4743" s="1" t="n">
        <v>46323</v>
      </c>
      <c r="F4743" t="inlineStr">
        <is>
          <t>KALMAR LÄN</t>
        </is>
      </c>
      <c r="G4743" t="inlineStr">
        <is>
          <t>VÄSTERVIK</t>
        </is>
      </c>
      <c r="I4743" t="n">
        <v>2.3</v>
      </c>
      <c r="J4743" t="n">
        <v>0</v>
      </c>
      <c r="K4743" t="n">
        <v>0</v>
      </c>
      <c r="L4743" t="n">
        <v>0</v>
      </c>
      <c r="M4743" t="n">
        <v>0</v>
      </c>
      <c r="N4743" t="n">
        <v>0</v>
      </c>
      <c r="O4743" t="n">
        <v>0</v>
      </c>
      <c r="P4743" t="n">
        <v>0</v>
      </c>
      <c r="Q4743" t="n">
        <v>0</v>
      </c>
      <c r="R4743" t="n">
        <v>0</v>
      </c>
      <c r="S4743" t="n">
        <v>0</v>
      </c>
      <c r="T4743" t="n">
        <v>0</v>
      </c>
      <c r="U4743" t="n">
        <v>0</v>
      </c>
      <c r="V4743" s="2" t="inlineStr"/>
    </row>
    <row r="4744" ht="15" customHeight="1">
      <c r="A4744" t="inlineStr">
        <is>
          <t>A 13793-2026</t>
        </is>
      </c>
      <c r="B4744" t="inlineStr">
        <is>
          <t>avverkningsanmälan</t>
        </is>
      </c>
      <c r="C4744" t="inlineStr">
        <is>
          <t>Avverkning för att bevara och utveckla /försöksver</t>
        </is>
      </c>
      <c r="D4744" s="1" t="n">
        <v>46097</v>
      </c>
      <c r="E4744" s="1" t="n">
        <v>46323</v>
      </c>
      <c r="F4744" t="inlineStr">
        <is>
          <t>KALMAR LÄN</t>
        </is>
      </c>
      <c r="G4744" t="inlineStr">
        <is>
          <t>VIMMERBY</t>
        </is>
      </c>
      <c r="I4744" t="n">
        <v>2.9</v>
      </c>
      <c r="J4744" t="n">
        <v>0</v>
      </c>
      <c r="K4744" t="n">
        <v>0</v>
      </c>
      <c r="L4744" t="n">
        <v>0</v>
      </c>
      <c r="M4744" t="n">
        <v>0</v>
      </c>
      <c r="N4744" t="n">
        <v>0</v>
      </c>
      <c r="O4744" t="n">
        <v>0</v>
      </c>
      <c r="P4744" t="n">
        <v>0</v>
      </c>
      <c r="Q4744" t="n">
        <v>0</v>
      </c>
      <c r="R4744" t="n">
        <v>0</v>
      </c>
      <c r="S4744" t="n">
        <v>0</v>
      </c>
      <c r="T4744" t="n">
        <v>0</v>
      </c>
      <c r="U4744" t="n">
        <v>0</v>
      </c>
      <c r="V4744" s="2" t="inlineStr"/>
    </row>
    <row r="4745" ht="15" customHeight="1">
      <c r="A4745" t="inlineStr">
        <is>
          <t>A 31015-2023</t>
        </is>
      </c>
      <c r="B4745" t="inlineStr">
        <is>
          <t>avverkningsanmälan</t>
        </is>
      </c>
      <c r="C4745" t="inlineStr">
        <is>
          <t>Avverkning för annat ändamål</t>
        </is>
      </c>
      <c r="D4745" s="1" t="n">
        <v>45113</v>
      </c>
      <c r="E4745" s="1" t="n">
        <v>46323</v>
      </c>
      <c r="F4745" t="inlineStr">
        <is>
          <t>KALMAR LÄN</t>
        </is>
      </c>
      <c r="G4745" t="inlineStr">
        <is>
          <t>MÖNSTERÅS</t>
        </is>
      </c>
      <c r="I4745" t="n">
        <v>11.4</v>
      </c>
      <c r="J4745" t="n">
        <v>0</v>
      </c>
      <c r="K4745" t="n">
        <v>0</v>
      </c>
      <c r="L4745" t="n">
        <v>0</v>
      </c>
      <c r="M4745" t="n">
        <v>0</v>
      </c>
      <c r="N4745" t="n">
        <v>0</v>
      </c>
      <c r="O4745" t="n">
        <v>0</v>
      </c>
      <c r="P4745" t="n">
        <v>0</v>
      </c>
      <c r="Q4745" t="n">
        <v>0</v>
      </c>
      <c r="R4745" t="n">
        <v>0</v>
      </c>
      <c r="S4745" t="n">
        <v>0</v>
      </c>
      <c r="T4745" t="n">
        <v>0</v>
      </c>
      <c r="U4745" t="n">
        <v>0</v>
      </c>
      <c r="V4745" s="2" t="inlineStr"/>
    </row>
    <row r="4746" ht="15" customHeight="1">
      <c r="A4746" t="inlineStr">
        <is>
          <t>A 63945-2023</t>
        </is>
      </c>
      <c r="B4746" t="inlineStr">
        <is>
          <t>avverkningsanmälan</t>
        </is>
      </c>
      <c r="C4746" t="inlineStr">
        <is>
          <t>Föryngringsavverkning</t>
        </is>
      </c>
      <c r="D4746" s="1" t="n">
        <v>45278</v>
      </c>
      <c r="E4746" s="1" t="n">
        <v>46323</v>
      </c>
      <c r="F4746" t="inlineStr">
        <is>
          <t>KALMAR LÄN</t>
        </is>
      </c>
      <c r="G4746" t="inlineStr">
        <is>
          <t>NYBRO</t>
        </is>
      </c>
      <c r="I4746" t="n">
        <v>1.7</v>
      </c>
      <c r="J4746" t="n">
        <v>0</v>
      </c>
      <c r="K4746" t="n">
        <v>0</v>
      </c>
      <c r="L4746" t="n">
        <v>0</v>
      </c>
      <c r="M4746" t="n">
        <v>0</v>
      </c>
      <c r="N4746" t="n">
        <v>0</v>
      </c>
      <c r="O4746" t="n">
        <v>0</v>
      </c>
      <c r="P4746" t="n">
        <v>0</v>
      </c>
      <c r="Q4746" t="n">
        <v>0</v>
      </c>
      <c r="R4746" t="n">
        <v>0</v>
      </c>
      <c r="S4746" t="n">
        <v>0</v>
      </c>
      <c r="T4746" t="n">
        <v>0</v>
      </c>
      <c r="U4746" t="n">
        <v>0</v>
      </c>
      <c r="V4746" s="2" t="inlineStr"/>
    </row>
    <row r="4747" ht="15" customHeight="1">
      <c r="A4747" t="inlineStr">
        <is>
          <t>A 5584-2025</t>
        </is>
      </c>
      <c r="B4747" t="inlineStr">
        <is>
          <t>avverkningsanmälan</t>
        </is>
      </c>
      <c r="C4747" t="inlineStr">
        <is>
          <t>Föryngringsavverkning</t>
        </is>
      </c>
      <c r="D4747" s="1" t="n">
        <v>45693</v>
      </c>
      <c r="E4747" s="1" t="n">
        <v>46323</v>
      </c>
      <c r="F4747" t="inlineStr">
        <is>
          <t>KALMAR LÄN</t>
        </is>
      </c>
      <c r="G4747" t="inlineStr">
        <is>
          <t>HULTSFRED</t>
        </is>
      </c>
      <c r="I4747" t="n">
        <v>0.9</v>
      </c>
      <c r="J4747" t="n">
        <v>0</v>
      </c>
      <c r="K4747" t="n">
        <v>0</v>
      </c>
      <c r="L4747" t="n">
        <v>0</v>
      </c>
      <c r="M4747" t="n">
        <v>0</v>
      </c>
      <c r="N4747" t="n">
        <v>0</v>
      </c>
      <c r="O4747" t="n">
        <v>0</v>
      </c>
      <c r="P4747" t="n">
        <v>0</v>
      </c>
      <c r="Q4747" t="n">
        <v>0</v>
      </c>
      <c r="R4747" t="n">
        <v>0</v>
      </c>
      <c r="S4747" t="n">
        <v>0</v>
      </c>
      <c r="T4747" t="n">
        <v>0</v>
      </c>
      <c r="U4747" t="n">
        <v>0</v>
      </c>
      <c r="V4747" s="2" t="inlineStr"/>
    </row>
    <row r="4748" ht="15" customHeight="1">
      <c r="A4748" t="inlineStr">
        <is>
          <t>A 5587-2025</t>
        </is>
      </c>
      <c r="B4748" t="inlineStr">
        <is>
          <t>avverkningsanmälan</t>
        </is>
      </c>
      <c r="C4748" t="inlineStr">
        <is>
          <t>Föryngringsavverkning</t>
        </is>
      </c>
      <c r="D4748" s="1" t="n">
        <v>45693</v>
      </c>
      <c r="E4748" s="1" t="n">
        <v>46323</v>
      </c>
      <c r="F4748" t="inlineStr">
        <is>
          <t>KALMAR LÄN</t>
        </is>
      </c>
      <c r="G4748" t="inlineStr">
        <is>
          <t>HULTSFRED</t>
        </is>
      </c>
      <c r="I4748" t="n">
        <v>1</v>
      </c>
      <c r="J4748" t="n">
        <v>0</v>
      </c>
      <c r="K4748" t="n">
        <v>0</v>
      </c>
      <c r="L4748" t="n">
        <v>0</v>
      </c>
      <c r="M4748" t="n">
        <v>0</v>
      </c>
      <c r="N4748" t="n">
        <v>0</v>
      </c>
      <c r="O4748" t="n">
        <v>0</v>
      </c>
      <c r="P4748" t="n">
        <v>0</v>
      </c>
      <c r="Q4748" t="n">
        <v>0</v>
      </c>
      <c r="R4748" t="n">
        <v>0</v>
      </c>
      <c r="S4748" t="n">
        <v>0</v>
      </c>
      <c r="T4748" t="n">
        <v>0</v>
      </c>
      <c r="U4748" t="n">
        <v>0</v>
      </c>
      <c r="V4748" s="2" t="inlineStr"/>
    </row>
    <row r="4749" ht="15" customHeight="1">
      <c r="A4749" t="inlineStr">
        <is>
          <t>A 14279-2026</t>
        </is>
      </c>
      <c r="B4749" t="inlineStr">
        <is>
          <t>avverkningsanmälan</t>
        </is>
      </c>
      <c r="C4749" t="inlineStr">
        <is>
          <t>Föryngringsavverkning</t>
        </is>
      </c>
      <c r="D4749" s="1" t="n">
        <v>46099</v>
      </c>
      <c r="E4749" s="1" t="n">
        <v>46323</v>
      </c>
      <c r="F4749" t="inlineStr">
        <is>
          <t>KALMAR LÄN</t>
        </is>
      </c>
      <c r="G4749" t="inlineStr">
        <is>
          <t>VIMMERBY</t>
        </is>
      </c>
      <c r="I4749" t="n">
        <v>2.8</v>
      </c>
      <c r="J4749" t="n">
        <v>0</v>
      </c>
      <c r="K4749" t="n">
        <v>0</v>
      </c>
      <c r="L4749" t="n">
        <v>0</v>
      </c>
      <c r="M4749" t="n">
        <v>0</v>
      </c>
      <c r="N4749" t="n">
        <v>0</v>
      </c>
      <c r="O4749" t="n">
        <v>0</v>
      </c>
      <c r="P4749" t="n">
        <v>0</v>
      </c>
      <c r="Q4749" t="n">
        <v>0</v>
      </c>
      <c r="R4749" t="n">
        <v>0</v>
      </c>
      <c r="S4749" t="n">
        <v>0</v>
      </c>
      <c r="T4749" t="n">
        <v>0</v>
      </c>
      <c r="U4749" t="n">
        <v>0</v>
      </c>
      <c r="V4749" s="2" t="inlineStr"/>
    </row>
    <row r="4750" ht="15" customHeight="1">
      <c r="A4750" t="inlineStr">
        <is>
          <t>A 14269-2026</t>
        </is>
      </c>
      <c r="B4750" t="inlineStr">
        <is>
          <t>avverkningsanmälan</t>
        </is>
      </c>
      <c r="C4750" t="inlineStr">
        <is>
          <t>Föryngringsavverkning</t>
        </is>
      </c>
      <c r="D4750" s="1" t="n">
        <v>46099</v>
      </c>
      <c r="E4750" s="1" t="n">
        <v>46323</v>
      </c>
      <c r="F4750" t="inlineStr">
        <is>
          <t>KALMAR LÄN</t>
        </is>
      </c>
      <c r="G4750" t="inlineStr">
        <is>
          <t>KALMAR</t>
        </is>
      </c>
      <c r="I4750" t="n">
        <v>1.9</v>
      </c>
      <c r="J4750" t="n">
        <v>0</v>
      </c>
      <c r="K4750" t="n">
        <v>0</v>
      </c>
      <c r="L4750" t="n">
        <v>0</v>
      </c>
      <c r="M4750" t="n">
        <v>0</v>
      </c>
      <c r="N4750" t="n">
        <v>0</v>
      </c>
      <c r="O4750" t="n">
        <v>0</v>
      </c>
      <c r="P4750" t="n">
        <v>0</v>
      </c>
      <c r="Q4750" t="n">
        <v>0</v>
      </c>
      <c r="R4750" t="n">
        <v>0</v>
      </c>
      <c r="S4750" t="n">
        <v>0</v>
      </c>
      <c r="T4750" t="n">
        <v>0</v>
      </c>
      <c r="U4750" t="n">
        <v>0</v>
      </c>
      <c r="V4750" s="2" t="inlineStr"/>
    </row>
    <row r="4751" ht="15" customHeight="1">
      <c r="A4751" t="inlineStr">
        <is>
          <t>A 39812-2026</t>
        </is>
      </c>
      <c r="B4751" t="inlineStr">
        <is>
          <t>avverkningsanmälan</t>
        </is>
      </c>
      <c r="C4751" t="inlineStr">
        <is>
          <t>Föryngringsavverkning</t>
        </is>
      </c>
      <c r="D4751" s="1" t="n">
        <v>46290</v>
      </c>
      <c r="E4751" s="1" t="n">
        <v>46323</v>
      </c>
      <c r="F4751" t="inlineStr">
        <is>
          <t>KALMAR LÄN</t>
        </is>
      </c>
      <c r="G4751" t="inlineStr">
        <is>
          <t>EMMABODA</t>
        </is>
      </c>
      <c r="I4751" t="n">
        <v>6.3</v>
      </c>
      <c r="J4751" t="n">
        <v>0</v>
      </c>
      <c r="K4751" t="n">
        <v>0</v>
      </c>
      <c r="L4751" t="n">
        <v>0</v>
      </c>
      <c r="M4751" t="n">
        <v>0</v>
      </c>
      <c r="N4751" t="n">
        <v>0</v>
      </c>
      <c r="O4751" t="n">
        <v>0</v>
      </c>
      <c r="P4751" t="n">
        <v>0</v>
      </c>
      <c r="Q4751" t="n">
        <v>0</v>
      </c>
      <c r="R4751" t="n">
        <v>0</v>
      </c>
      <c r="S4751" t="n">
        <v>0</v>
      </c>
      <c r="T4751" t="n">
        <v>0</v>
      </c>
      <c r="U4751" t="n">
        <v>0</v>
      </c>
      <c r="V4751" s="2" t="inlineStr"/>
    </row>
    <row r="4752" ht="15" customHeight="1">
      <c r="A4752" t="inlineStr">
        <is>
          <t>A 25816-2023</t>
        </is>
      </c>
      <c r="B4752" t="inlineStr">
        <is>
          <t>avverkningsanmälan</t>
        </is>
      </c>
      <c r="C4752" t="inlineStr">
        <is>
          <t>Föryngringsavverkning</t>
        </is>
      </c>
      <c r="D4752" s="1" t="n">
        <v>45090</v>
      </c>
      <c r="E4752" s="1" t="n">
        <v>46323</v>
      </c>
      <c r="F4752" t="inlineStr">
        <is>
          <t>KALMAR LÄN</t>
        </is>
      </c>
      <c r="G4752" t="inlineStr">
        <is>
          <t>NYBRO</t>
        </is>
      </c>
      <c r="I4752" t="n">
        <v>2.1</v>
      </c>
      <c r="J4752" t="n">
        <v>0</v>
      </c>
      <c r="K4752" t="n">
        <v>0</v>
      </c>
      <c r="L4752" t="n">
        <v>0</v>
      </c>
      <c r="M4752" t="n">
        <v>0</v>
      </c>
      <c r="N4752" t="n">
        <v>0</v>
      </c>
      <c r="O4752" t="n">
        <v>0</v>
      </c>
      <c r="P4752" t="n">
        <v>0</v>
      </c>
      <c r="Q4752" t="n">
        <v>0</v>
      </c>
      <c r="R4752" t="n">
        <v>0</v>
      </c>
      <c r="S4752" t="n">
        <v>0</v>
      </c>
      <c r="T4752" t="n">
        <v>0</v>
      </c>
      <c r="U4752" t="n">
        <v>0</v>
      </c>
      <c r="V4752" s="2" t="inlineStr"/>
    </row>
    <row r="4753" ht="15" customHeight="1">
      <c r="A4753" t="inlineStr">
        <is>
          <t>A 52752-2024</t>
        </is>
      </c>
      <c r="B4753" t="inlineStr">
        <is>
          <t>avverkningsanmälan</t>
        </is>
      </c>
      <c r="C4753" t="inlineStr">
        <is>
          <t>Föryngringsavverkning</t>
        </is>
      </c>
      <c r="D4753" s="1" t="n">
        <v>45610</v>
      </c>
      <c r="E4753" s="1" t="n">
        <v>46323</v>
      </c>
      <c r="F4753" t="inlineStr">
        <is>
          <t>KALMAR LÄN</t>
        </is>
      </c>
      <c r="G4753" t="inlineStr">
        <is>
          <t>NYBRO</t>
        </is>
      </c>
      <c r="I4753" t="n">
        <v>1.2</v>
      </c>
      <c r="J4753" t="n">
        <v>0</v>
      </c>
      <c r="K4753" t="n">
        <v>0</v>
      </c>
      <c r="L4753" t="n">
        <v>0</v>
      </c>
      <c r="M4753" t="n">
        <v>0</v>
      </c>
      <c r="N4753" t="n">
        <v>0</v>
      </c>
      <c r="O4753" t="n">
        <v>0</v>
      </c>
      <c r="P4753" t="n">
        <v>0</v>
      </c>
      <c r="Q4753" t="n">
        <v>0</v>
      </c>
      <c r="R4753" t="n">
        <v>0</v>
      </c>
      <c r="S4753" t="n">
        <v>0</v>
      </c>
      <c r="T4753" t="n">
        <v>0</v>
      </c>
      <c r="U4753" t="n">
        <v>0</v>
      </c>
      <c r="V4753" s="2" t="inlineStr"/>
    </row>
    <row r="4754" ht="15" customHeight="1">
      <c r="A4754" t="inlineStr">
        <is>
          <t>A 52886-2024</t>
        </is>
      </c>
      <c r="B4754" t="inlineStr">
        <is>
          <t>avverkningsanmälan</t>
        </is>
      </c>
      <c r="C4754" t="inlineStr">
        <is>
          <t>Föryngringsavverkning</t>
        </is>
      </c>
      <c r="D4754" s="1" t="n">
        <v>45610</v>
      </c>
      <c r="E4754" s="1" t="n">
        <v>46323</v>
      </c>
      <c r="F4754" t="inlineStr">
        <is>
          <t>KALMAR LÄN</t>
        </is>
      </c>
      <c r="G4754" t="inlineStr">
        <is>
          <t>HULTSFRED</t>
        </is>
      </c>
      <c r="I4754" t="n">
        <v>1.1</v>
      </c>
      <c r="J4754" t="n">
        <v>0</v>
      </c>
      <c r="K4754" t="n">
        <v>0</v>
      </c>
      <c r="L4754" t="n">
        <v>0</v>
      </c>
      <c r="M4754" t="n">
        <v>0</v>
      </c>
      <c r="N4754" t="n">
        <v>0</v>
      </c>
      <c r="O4754" t="n">
        <v>0</v>
      </c>
      <c r="P4754" t="n">
        <v>0</v>
      </c>
      <c r="Q4754" t="n">
        <v>0</v>
      </c>
      <c r="R4754" t="n">
        <v>0</v>
      </c>
      <c r="S4754" t="n">
        <v>0</v>
      </c>
      <c r="T4754" t="n">
        <v>0</v>
      </c>
      <c r="U4754" t="n">
        <v>0</v>
      </c>
      <c r="V4754" s="2" t="inlineStr"/>
    </row>
    <row r="4755" ht="15" customHeight="1">
      <c r="A4755" t="inlineStr">
        <is>
          <t>A 13976-2026</t>
        </is>
      </c>
      <c r="B4755" t="inlineStr">
        <is>
          <t>avverkningsanmälan</t>
        </is>
      </c>
      <c r="C4755" t="inlineStr">
        <is>
          <t>Föryngringsavverkning</t>
        </is>
      </c>
      <c r="D4755" s="1" t="n">
        <v>46098</v>
      </c>
      <c r="E4755" s="1" t="n">
        <v>46323</v>
      </c>
      <c r="F4755" t="inlineStr">
        <is>
          <t>KALMAR LÄN</t>
        </is>
      </c>
      <c r="G4755" t="inlineStr">
        <is>
          <t>OSKARSHAMN</t>
        </is>
      </c>
      <c r="I4755" t="n">
        <v>2.9</v>
      </c>
      <c r="J4755" t="n">
        <v>0</v>
      </c>
      <c r="K4755" t="n">
        <v>0</v>
      </c>
      <c r="L4755" t="n">
        <v>0</v>
      </c>
      <c r="M4755" t="n">
        <v>0</v>
      </c>
      <c r="N4755" t="n">
        <v>0</v>
      </c>
      <c r="O4755" t="n">
        <v>0</v>
      </c>
      <c r="P4755" t="n">
        <v>0</v>
      </c>
      <c r="Q4755" t="n">
        <v>0</v>
      </c>
      <c r="R4755" t="n">
        <v>0</v>
      </c>
      <c r="S4755" t="n">
        <v>0</v>
      </c>
      <c r="T4755" t="n">
        <v>0</v>
      </c>
      <c r="U4755" t="n">
        <v>0</v>
      </c>
      <c r="V4755" s="2" t="inlineStr"/>
    </row>
    <row r="4756" ht="15" customHeight="1">
      <c r="A4756" t="inlineStr">
        <is>
          <t>A 29847-2022</t>
        </is>
      </c>
      <c r="B4756" t="inlineStr">
        <is>
          <t>avverkningsanmälan</t>
        </is>
      </c>
      <c r="C4756" t="inlineStr">
        <is>
          <t>Föryngringsavverkning</t>
        </is>
      </c>
      <c r="D4756" s="1" t="n">
        <v>44756</v>
      </c>
      <c r="E4756" s="1" t="n">
        <v>46323</v>
      </c>
      <c r="F4756" t="inlineStr">
        <is>
          <t>KALMAR LÄN</t>
        </is>
      </c>
      <c r="G4756" t="inlineStr">
        <is>
          <t>NYBRO</t>
        </is>
      </c>
      <c r="H4756" t="inlineStr">
        <is>
          <t>Kyrkan</t>
        </is>
      </c>
      <c r="I4756" t="n">
        <v>5.3</v>
      </c>
      <c r="J4756" t="n">
        <v>0</v>
      </c>
      <c r="K4756" t="n">
        <v>0</v>
      </c>
      <c r="L4756" t="n">
        <v>0</v>
      </c>
      <c r="M4756" t="n">
        <v>0</v>
      </c>
      <c r="N4756" t="n">
        <v>0</v>
      </c>
      <c r="O4756" t="n">
        <v>0</v>
      </c>
      <c r="P4756" t="n">
        <v>0</v>
      </c>
      <c r="Q4756" t="n">
        <v>0</v>
      </c>
      <c r="R4756" t="n">
        <v>0</v>
      </c>
      <c r="S4756" t="n">
        <v>0</v>
      </c>
      <c r="T4756" t="n">
        <v>0</v>
      </c>
      <c r="U4756" t="n">
        <v>0</v>
      </c>
      <c r="V4756" s="2" t="inlineStr"/>
    </row>
    <row r="4757" ht="15" customHeight="1">
      <c r="A4757" t="inlineStr">
        <is>
          <t>A 49390-2025</t>
        </is>
      </c>
      <c r="B4757" t="inlineStr">
        <is>
          <t>avverkningsanmälan</t>
        </is>
      </c>
      <c r="C4757" t="inlineStr">
        <is>
          <t>Föryngringsavverkning</t>
        </is>
      </c>
      <c r="D4757" s="1" t="n">
        <v>45938</v>
      </c>
      <c r="E4757" s="1" t="n">
        <v>46323</v>
      </c>
      <c r="F4757" t="inlineStr">
        <is>
          <t>KALMAR LÄN</t>
        </is>
      </c>
      <c r="G4757" t="inlineStr">
        <is>
          <t>NYBRO</t>
        </is>
      </c>
      <c r="I4757" t="n">
        <v>2.3</v>
      </c>
      <c r="J4757" t="n">
        <v>0</v>
      </c>
      <c r="K4757" t="n">
        <v>0</v>
      </c>
      <c r="L4757" t="n">
        <v>0</v>
      </c>
      <c r="M4757" t="n">
        <v>0</v>
      </c>
      <c r="N4757" t="n">
        <v>0</v>
      </c>
      <c r="O4757" t="n">
        <v>0</v>
      </c>
      <c r="P4757" t="n">
        <v>0</v>
      </c>
      <c r="Q4757" t="n">
        <v>0</v>
      </c>
      <c r="R4757" t="n">
        <v>0</v>
      </c>
      <c r="S4757" t="n">
        <v>0</v>
      </c>
      <c r="T4757" t="n">
        <v>0</v>
      </c>
      <c r="U4757" t="n">
        <v>0</v>
      </c>
      <c r="V4757" s="2" t="inlineStr"/>
    </row>
    <row r="4758" ht="15" customHeight="1">
      <c r="A4758" t="inlineStr">
        <is>
          <t>A 48000-2024</t>
        </is>
      </c>
      <c r="B4758" t="inlineStr">
        <is>
          <t>avverkningsanmälan</t>
        </is>
      </c>
      <c r="C4758" t="inlineStr">
        <is>
          <t>Föryngringsavverkning</t>
        </is>
      </c>
      <c r="D4758" s="1" t="n">
        <v>45589</v>
      </c>
      <c r="E4758" s="1" t="n">
        <v>46323</v>
      </c>
      <c r="F4758" t="inlineStr">
        <is>
          <t>KALMAR LÄN</t>
        </is>
      </c>
      <c r="G4758" t="inlineStr">
        <is>
          <t>OSKARSHAMN</t>
        </is>
      </c>
      <c r="I4758" t="n">
        <v>3.1</v>
      </c>
      <c r="J4758" t="n">
        <v>0</v>
      </c>
      <c r="K4758" t="n">
        <v>0</v>
      </c>
      <c r="L4758" t="n">
        <v>0</v>
      </c>
      <c r="M4758" t="n">
        <v>0</v>
      </c>
      <c r="N4758" t="n">
        <v>0</v>
      </c>
      <c r="O4758" t="n">
        <v>0</v>
      </c>
      <c r="P4758" t="n">
        <v>0</v>
      </c>
      <c r="Q4758" t="n">
        <v>0</v>
      </c>
      <c r="R4758" t="n">
        <v>0</v>
      </c>
      <c r="S4758" t="n">
        <v>0</v>
      </c>
      <c r="T4758" t="n">
        <v>0</v>
      </c>
      <c r="U4758" t="n">
        <v>0</v>
      </c>
      <c r="V4758" s="2" t="inlineStr"/>
    </row>
    <row r="4759" ht="15" customHeight="1">
      <c r="A4759" t="inlineStr">
        <is>
          <t>A 4911-2026</t>
        </is>
      </c>
      <c r="B4759" t="inlineStr">
        <is>
          <t>avverkningsanmälan</t>
        </is>
      </c>
      <c r="C4759" t="inlineStr">
        <is>
          <t>Föryngringsavverkning</t>
        </is>
      </c>
      <c r="D4759" s="1" t="n">
        <v>46048</v>
      </c>
      <c r="E4759" s="1" t="n">
        <v>46323</v>
      </c>
      <c r="F4759" t="inlineStr">
        <is>
          <t>KALMAR LÄN</t>
        </is>
      </c>
      <c r="G4759" t="inlineStr">
        <is>
          <t>VÄSTERVIK</t>
        </is>
      </c>
      <c r="I4759" t="n">
        <v>1.1</v>
      </c>
      <c r="J4759" t="n">
        <v>0</v>
      </c>
      <c r="K4759" t="n">
        <v>0</v>
      </c>
      <c r="L4759" t="n">
        <v>0</v>
      </c>
      <c r="M4759" t="n">
        <v>0</v>
      </c>
      <c r="N4759" t="n">
        <v>0</v>
      </c>
      <c r="O4759" t="n">
        <v>0</v>
      </c>
      <c r="P4759" t="n">
        <v>0</v>
      </c>
      <c r="Q4759" t="n">
        <v>0</v>
      </c>
      <c r="R4759" t="n">
        <v>0</v>
      </c>
      <c r="S4759" t="n">
        <v>0</v>
      </c>
      <c r="T4759" t="n">
        <v>0</v>
      </c>
      <c r="U4759" t="n">
        <v>0</v>
      </c>
      <c r="V4759" s="2" t="inlineStr"/>
    </row>
    <row r="4760" ht="15" customHeight="1">
      <c r="A4760" t="inlineStr">
        <is>
          <t>A 50913-2023</t>
        </is>
      </c>
      <c r="B4760" t="inlineStr">
        <is>
          <t>avverkningsanmälan</t>
        </is>
      </c>
      <c r="C4760" t="inlineStr">
        <is>
          <t>Avverkning för annat ändamål</t>
        </is>
      </c>
      <c r="D4760" s="1" t="n">
        <v>45218</v>
      </c>
      <c r="E4760" s="1" t="n">
        <v>46323</v>
      </c>
      <c r="F4760" t="inlineStr">
        <is>
          <t>KALMAR LÄN</t>
        </is>
      </c>
      <c r="G4760" t="inlineStr">
        <is>
          <t>MÖNSTERÅS</t>
        </is>
      </c>
      <c r="I4760" t="n">
        <v>0.6</v>
      </c>
      <c r="J4760" t="n">
        <v>0</v>
      </c>
      <c r="K4760" t="n">
        <v>0</v>
      </c>
      <c r="L4760" t="n">
        <v>0</v>
      </c>
      <c r="M4760" t="n">
        <v>0</v>
      </c>
      <c r="N4760" t="n">
        <v>0</v>
      </c>
      <c r="O4760" t="n">
        <v>0</v>
      </c>
      <c r="P4760" t="n">
        <v>0</v>
      </c>
      <c r="Q4760" t="n">
        <v>0</v>
      </c>
      <c r="R4760" t="n">
        <v>0</v>
      </c>
      <c r="S4760" t="n">
        <v>0</v>
      </c>
      <c r="T4760" t="n">
        <v>0</v>
      </c>
      <c r="U4760" t="n">
        <v>0</v>
      </c>
      <c r="V4760" s="2" t="inlineStr"/>
    </row>
    <row r="4761" ht="15" customHeight="1">
      <c r="A4761" t="inlineStr">
        <is>
          <t>A 26129-2023</t>
        </is>
      </c>
      <c r="B4761" t="inlineStr">
        <is>
          <t>avverkningsanmälan</t>
        </is>
      </c>
      <c r="C4761" t="inlineStr">
        <is>
          <t>Föryngringsavverkning</t>
        </is>
      </c>
      <c r="D4761" s="1" t="n">
        <v>45091</v>
      </c>
      <c r="E4761" s="1" t="n">
        <v>46323</v>
      </c>
      <c r="F4761" t="inlineStr">
        <is>
          <t>KALMAR LÄN</t>
        </is>
      </c>
      <c r="G4761" t="inlineStr">
        <is>
          <t>NYBRO</t>
        </is>
      </c>
      <c r="I4761" t="n">
        <v>0.8</v>
      </c>
      <c r="J4761" t="n">
        <v>0</v>
      </c>
      <c r="K4761" t="n">
        <v>0</v>
      </c>
      <c r="L4761" t="n">
        <v>0</v>
      </c>
      <c r="M4761" t="n">
        <v>0</v>
      </c>
      <c r="N4761" t="n">
        <v>0</v>
      </c>
      <c r="O4761" t="n">
        <v>0</v>
      </c>
      <c r="P4761" t="n">
        <v>0</v>
      </c>
      <c r="Q4761" t="n">
        <v>0</v>
      </c>
      <c r="R4761" t="n">
        <v>0</v>
      </c>
      <c r="S4761" t="n">
        <v>0</v>
      </c>
      <c r="T4761" t="n">
        <v>0</v>
      </c>
      <c r="U4761" t="n">
        <v>0</v>
      </c>
      <c r="V4761" s="2" t="inlineStr"/>
    </row>
    <row r="4762" ht="15" customHeight="1">
      <c r="A4762" t="inlineStr">
        <is>
          <t>A 39738-2026</t>
        </is>
      </c>
      <c r="B4762" t="inlineStr">
        <is>
          <t>avverkningsanmälan</t>
        </is>
      </c>
      <c r="C4762" t="inlineStr">
        <is>
          <t>Föryngringsavverkning</t>
        </is>
      </c>
      <c r="D4762" s="1" t="n">
        <v>46290</v>
      </c>
      <c r="E4762" s="1" t="n">
        <v>46323</v>
      </c>
      <c r="F4762" t="inlineStr">
        <is>
          <t>KALMAR LÄN</t>
        </is>
      </c>
      <c r="G4762" t="inlineStr">
        <is>
          <t>VÄSTERVIK</t>
        </is>
      </c>
      <c r="H4762" t="inlineStr">
        <is>
          <t>Sveaskog</t>
        </is>
      </c>
      <c r="I4762" t="n">
        <v>2.3</v>
      </c>
      <c r="J4762" t="n">
        <v>0</v>
      </c>
      <c r="K4762" t="n">
        <v>0</v>
      </c>
      <c r="L4762" t="n">
        <v>0</v>
      </c>
      <c r="M4762" t="n">
        <v>0</v>
      </c>
      <c r="N4762" t="n">
        <v>0</v>
      </c>
      <c r="O4762" t="n">
        <v>0</v>
      </c>
      <c r="P4762" t="n">
        <v>0</v>
      </c>
      <c r="Q4762" t="n">
        <v>0</v>
      </c>
      <c r="R4762" t="n">
        <v>0</v>
      </c>
      <c r="S4762" t="n">
        <v>0</v>
      </c>
      <c r="T4762" t="n">
        <v>0</v>
      </c>
      <c r="U4762" t="n">
        <v>0</v>
      </c>
      <c r="V4762" s="2" t="inlineStr"/>
    </row>
    <row r="4763" ht="15" customHeight="1">
      <c r="A4763" t="inlineStr">
        <is>
          <t>A 26322-2025</t>
        </is>
      </c>
      <c r="B4763" t="inlineStr">
        <is>
          <t>avverkningsanmälan</t>
        </is>
      </c>
      <c r="C4763" t="inlineStr">
        <is>
          <t>Föryngringsavverkning</t>
        </is>
      </c>
      <c r="D4763" s="1" t="n">
        <v>45805</v>
      </c>
      <c r="E4763" s="1" t="n">
        <v>46323</v>
      </c>
      <c r="F4763" t="inlineStr">
        <is>
          <t>KALMAR LÄN</t>
        </is>
      </c>
      <c r="G4763" t="inlineStr">
        <is>
          <t>KALMAR</t>
        </is>
      </c>
      <c r="I4763" t="n">
        <v>0.6</v>
      </c>
      <c r="J4763" t="n">
        <v>0</v>
      </c>
      <c r="K4763" t="n">
        <v>0</v>
      </c>
      <c r="L4763" t="n">
        <v>0</v>
      </c>
      <c r="M4763" t="n">
        <v>0</v>
      </c>
      <c r="N4763" t="n">
        <v>0</v>
      </c>
      <c r="O4763" t="n">
        <v>0</v>
      </c>
      <c r="P4763" t="n">
        <v>0</v>
      </c>
      <c r="Q4763" t="n">
        <v>0</v>
      </c>
      <c r="R4763" t="n">
        <v>0</v>
      </c>
      <c r="S4763" t="n">
        <v>0</v>
      </c>
      <c r="T4763" t="n">
        <v>0</v>
      </c>
      <c r="U4763" t="n">
        <v>0</v>
      </c>
      <c r="V4763" s="2" t="inlineStr"/>
    </row>
    <row r="4764" ht="15" customHeight="1">
      <c r="A4764" t="inlineStr">
        <is>
          <t>A 39751-2026</t>
        </is>
      </c>
      <c r="B4764" t="inlineStr">
        <is>
          <t>avverkningsanmälan</t>
        </is>
      </c>
      <c r="C4764" t="inlineStr">
        <is>
          <t>Föryngringsavverkning</t>
        </is>
      </c>
      <c r="D4764" s="1" t="n">
        <v>46290</v>
      </c>
      <c r="E4764" s="1" t="n">
        <v>46323</v>
      </c>
      <c r="F4764" t="inlineStr">
        <is>
          <t>KALMAR LÄN</t>
        </is>
      </c>
      <c r="G4764" t="inlineStr">
        <is>
          <t>VÄSTERVIK</t>
        </is>
      </c>
      <c r="H4764" t="inlineStr">
        <is>
          <t>Sveaskog</t>
        </is>
      </c>
      <c r="I4764" t="n">
        <v>7.8</v>
      </c>
      <c r="J4764" t="n">
        <v>0</v>
      </c>
      <c r="K4764" t="n">
        <v>0</v>
      </c>
      <c r="L4764" t="n">
        <v>0</v>
      </c>
      <c r="M4764" t="n">
        <v>0</v>
      </c>
      <c r="N4764" t="n">
        <v>0</v>
      </c>
      <c r="O4764" t="n">
        <v>0</v>
      </c>
      <c r="P4764" t="n">
        <v>0</v>
      </c>
      <c r="Q4764" t="n">
        <v>0</v>
      </c>
      <c r="R4764" t="n">
        <v>0</v>
      </c>
      <c r="S4764" t="n">
        <v>0</v>
      </c>
      <c r="T4764" t="n">
        <v>0</v>
      </c>
      <c r="U4764" t="n">
        <v>0</v>
      </c>
      <c r="V4764" s="2" t="inlineStr"/>
    </row>
    <row r="4765" ht="15" customHeight="1">
      <c r="A4765" t="inlineStr">
        <is>
          <t>A 26127-2025</t>
        </is>
      </c>
      <c r="B4765" t="inlineStr">
        <is>
          <t>avverkningsanmälan</t>
        </is>
      </c>
      <c r="C4765" t="inlineStr">
        <is>
          <t>Avverkning för annat ändamål</t>
        </is>
      </c>
      <c r="D4765" s="1" t="n">
        <v>45805</v>
      </c>
      <c r="E4765" s="1" t="n">
        <v>46323</v>
      </c>
      <c r="F4765" t="inlineStr">
        <is>
          <t>KALMAR LÄN</t>
        </is>
      </c>
      <c r="G4765" t="inlineStr">
        <is>
          <t>OSKARSHAMN</t>
        </is>
      </c>
      <c r="I4765" t="n">
        <v>0.9</v>
      </c>
      <c r="J4765" t="n">
        <v>0</v>
      </c>
      <c r="K4765" t="n">
        <v>0</v>
      </c>
      <c r="L4765" t="n">
        <v>0</v>
      </c>
      <c r="M4765" t="n">
        <v>0</v>
      </c>
      <c r="N4765" t="n">
        <v>0</v>
      </c>
      <c r="O4765" t="n">
        <v>0</v>
      </c>
      <c r="P4765" t="n">
        <v>0</v>
      </c>
      <c r="Q4765" t="n">
        <v>0</v>
      </c>
      <c r="R4765" t="n">
        <v>0</v>
      </c>
      <c r="S4765" t="n">
        <v>0</v>
      </c>
      <c r="T4765" t="n">
        <v>0</v>
      </c>
      <c r="U4765" t="n">
        <v>0</v>
      </c>
      <c r="V4765" s="2" t="inlineStr"/>
    </row>
    <row r="4766" ht="15" customHeight="1">
      <c r="A4766" t="inlineStr">
        <is>
          <t>A 23852-2024</t>
        </is>
      </c>
      <c r="B4766" t="inlineStr">
        <is>
          <t>avverkningsanmälan</t>
        </is>
      </c>
      <c r="C4766" t="inlineStr">
        <is>
          <t>Föryngringsavverkning</t>
        </is>
      </c>
      <c r="D4766" s="1" t="n">
        <v>45455</v>
      </c>
      <c r="E4766" s="1" t="n">
        <v>46323</v>
      </c>
      <c r="F4766" t="inlineStr">
        <is>
          <t>KALMAR LÄN</t>
        </is>
      </c>
      <c r="G4766" t="inlineStr">
        <is>
          <t>HULTSFRED</t>
        </is>
      </c>
      <c r="I4766" t="n">
        <v>2.2</v>
      </c>
      <c r="J4766" t="n">
        <v>0</v>
      </c>
      <c r="K4766" t="n">
        <v>0</v>
      </c>
      <c r="L4766" t="n">
        <v>0</v>
      </c>
      <c r="M4766" t="n">
        <v>0</v>
      </c>
      <c r="N4766" t="n">
        <v>0</v>
      </c>
      <c r="O4766" t="n">
        <v>0</v>
      </c>
      <c r="P4766" t="n">
        <v>0</v>
      </c>
      <c r="Q4766" t="n">
        <v>0</v>
      </c>
      <c r="R4766" t="n">
        <v>0</v>
      </c>
      <c r="S4766" t="n">
        <v>0</v>
      </c>
      <c r="T4766" t="n">
        <v>0</v>
      </c>
      <c r="U4766" t="n">
        <v>0</v>
      </c>
      <c r="V4766" s="2" t="inlineStr"/>
    </row>
    <row r="4767" ht="15" customHeight="1">
      <c r="A4767" t="inlineStr">
        <is>
          <t>A 15446-2024</t>
        </is>
      </c>
      <c r="B4767" t="inlineStr">
        <is>
          <t>avverkningsanmälan</t>
        </is>
      </c>
      <c r="C4767" t="inlineStr">
        <is>
          <t>Föryngringsavverkning</t>
        </is>
      </c>
      <c r="D4767" s="1" t="n">
        <v>45401</v>
      </c>
      <c r="E4767" s="1" t="n">
        <v>46323</v>
      </c>
      <c r="F4767" t="inlineStr">
        <is>
          <t>KALMAR LÄN</t>
        </is>
      </c>
      <c r="G4767" t="inlineStr">
        <is>
          <t>EMMABODA</t>
        </is>
      </c>
      <c r="I4767" t="n">
        <v>1.5</v>
      </c>
      <c r="J4767" t="n">
        <v>0</v>
      </c>
      <c r="K4767" t="n">
        <v>0</v>
      </c>
      <c r="L4767" t="n">
        <v>0</v>
      </c>
      <c r="M4767" t="n">
        <v>0</v>
      </c>
      <c r="N4767" t="n">
        <v>0</v>
      </c>
      <c r="O4767" t="n">
        <v>0</v>
      </c>
      <c r="P4767" t="n">
        <v>0</v>
      </c>
      <c r="Q4767" t="n">
        <v>0</v>
      </c>
      <c r="R4767" t="n">
        <v>0</v>
      </c>
      <c r="S4767" t="n">
        <v>0</v>
      </c>
      <c r="T4767" t="n">
        <v>0</v>
      </c>
      <c r="U4767" t="n">
        <v>0</v>
      </c>
      <c r="V4767" s="2" t="inlineStr"/>
    </row>
    <row r="4768" ht="15" customHeight="1">
      <c r="A4768" t="inlineStr">
        <is>
          <t>A 46728-2022</t>
        </is>
      </c>
      <c r="B4768" t="inlineStr">
        <is>
          <t>avverkningsanmälan</t>
        </is>
      </c>
      <c r="C4768" t="inlineStr">
        <is>
          <t>Föryngringsavverkning</t>
        </is>
      </c>
      <c r="D4768" s="1" t="n">
        <v>44851</v>
      </c>
      <c r="E4768" s="1" t="n">
        <v>46323</v>
      </c>
      <c r="F4768" t="inlineStr">
        <is>
          <t>KALMAR LÄN</t>
        </is>
      </c>
      <c r="G4768" t="inlineStr">
        <is>
          <t>EMMABODA</t>
        </is>
      </c>
      <c r="I4768" t="n">
        <v>3.1</v>
      </c>
      <c r="J4768" t="n">
        <v>0</v>
      </c>
      <c r="K4768" t="n">
        <v>0</v>
      </c>
      <c r="L4768" t="n">
        <v>0</v>
      </c>
      <c r="M4768" t="n">
        <v>0</v>
      </c>
      <c r="N4768" t="n">
        <v>0</v>
      </c>
      <c r="O4768" t="n">
        <v>0</v>
      </c>
      <c r="P4768" t="n">
        <v>0</v>
      </c>
      <c r="Q4768" t="n">
        <v>0</v>
      </c>
      <c r="R4768" t="n">
        <v>0</v>
      </c>
      <c r="S4768" t="n">
        <v>0</v>
      </c>
      <c r="T4768" t="n">
        <v>0</v>
      </c>
      <c r="U4768" t="n">
        <v>0</v>
      </c>
      <c r="V4768" s="2" t="inlineStr"/>
    </row>
    <row r="4769" ht="15" customHeight="1">
      <c r="A4769" t="inlineStr">
        <is>
          <t>A 46751-2022</t>
        </is>
      </c>
      <c r="B4769" t="inlineStr">
        <is>
          <t>avverkningsanmälan</t>
        </is>
      </c>
      <c r="C4769" t="inlineStr">
        <is>
          <t>Föryngringsavverkning</t>
        </is>
      </c>
      <c r="D4769" s="1" t="n">
        <v>44851</v>
      </c>
      <c r="E4769" s="1" t="n">
        <v>46323</v>
      </c>
      <c r="F4769" t="inlineStr">
        <is>
          <t>KALMAR LÄN</t>
        </is>
      </c>
      <c r="G4769" t="inlineStr">
        <is>
          <t>TORSÅS</t>
        </is>
      </c>
      <c r="I4769" t="n">
        <v>8</v>
      </c>
      <c r="J4769" t="n">
        <v>0</v>
      </c>
      <c r="K4769" t="n">
        <v>0</v>
      </c>
      <c r="L4769" t="n">
        <v>0</v>
      </c>
      <c r="M4769" t="n">
        <v>0</v>
      </c>
      <c r="N4769" t="n">
        <v>0</v>
      </c>
      <c r="O4769" t="n">
        <v>0</v>
      </c>
      <c r="P4769" t="n">
        <v>0</v>
      </c>
      <c r="Q4769" t="n">
        <v>0</v>
      </c>
      <c r="R4769" t="n">
        <v>0</v>
      </c>
      <c r="S4769" t="n">
        <v>0</v>
      </c>
      <c r="T4769" t="n">
        <v>0</v>
      </c>
      <c r="U4769" t="n">
        <v>0</v>
      </c>
      <c r="V4769" s="2" t="inlineStr"/>
    </row>
    <row r="4770" ht="15" customHeight="1">
      <c r="A4770" t="inlineStr">
        <is>
          <t>A 14116-2026</t>
        </is>
      </c>
      <c r="B4770" t="inlineStr">
        <is>
          <t>avverkningsanmälan</t>
        </is>
      </c>
      <c r="C4770" t="inlineStr">
        <is>
          <t>Föryngringsavverkning</t>
        </is>
      </c>
      <c r="D4770" s="1" t="n">
        <v>46099</v>
      </c>
      <c r="E4770" s="1" t="n">
        <v>46323</v>
      </c>
      <c r="F4770" t="inlineStr">
        <is>
          <t>KALMAR LÄN</t>
        </is>
      </c>
      <c r="G4770" t="inlineStr">
        <is>
          <t>OSKARSHAMN</t>
        </is>
      </c>
      <c r="I4770" t="n">
        <v>1</v>
      </c>
      <c r="J4770" t="n">
        <v>0</v>
      </c>
      <c r="K4770" t="n">
        <v>0</v>
      </c>
      <c r="L4770" t="n">
        <v>0</v>
      </c>
      <c r="M4770" t="n">
        <v>0</v>
      </c>
      <c r="N4770" t="n">
        <v>0</v>
      </c>
      <c r="O4770" t="n">
        <v>0</v>
      </c>
      <c r="P4770" t="n">
        <v>0</v>
      </c>
      <c r="Q4770" t="n">
        <v>0</v>
      </c>
      <c r="R4770" t="n">
        <v>0</v>
      </c>
      <c r="S4770" t="n">
        <v>0</v>
      </c>
      <c r="T4770" t="n">
        <v>0</v>
      </c>
      <c r="U4770" t="n">
        <v>0</v>
      </c>
      <c r="V4770" s="2" t="inlineStr"/>
    </row>
    <row r="4771" ht="15" customHeight="1">
      <c r="A4771" t="inlineStr">
        <is>
          <t>A 39478-2026</t>
        </is>
      </c>
      <c r="B4771" t="inlineStr">
        <is>
          <t>avverkningsanmälan</t>
        </is>
      </c>
      <c r="C4771" t="inlineStr">
        <is>
          <t>Föryngringsavverkning</t>
        </is>
      </c>
      <c r="D4771" s="1" t="n">
        <v>46289</v>
      </c>
      <c r="E4771" s="1" t="n">
        <v>46323</v>
      </c>
      <c r="F4771" t="inlineStr">
        <is>
          <t>KALMAR LÄN</t>
        </is>
      </c>
      <c r="G4771" t="inlineStr">
        <is>
          <t>NYBRO</t>
        </is>
      </c>
      <c r="I4771" t="n">
        <v>2</v>
      </c>
      <c r="J4771" t="n">
        <v>0</v>
      </c>
      <c r="K4771" t="n">
        <v>0</v>
      </c>
      <c r="L4771" t="n">
        <v>0</v>
      </c>
      <c r="M4771" t="n">
        <v>0</v>
      </c>
      <c r="N4771" t="n">
        <v>0</v>
      </c>
      <c r="O4771" t="n">
        <v>0</v>
      </c>
      <c r="P4771" t="n">
        <v>0</v>
      </c>
      <c r="Q4771" t="n">
        <v>0</v>
      </c>
      <c r="R4771" t="n">
        <v>0</v>
      </c>
      <c r="S4771" t="n">
        <v>0</v>
      </c>
      <c r="T4771" t="n">
        <v>0</v>
      </c>
      <c r="U4771" t="n">
        <v>0</v>
      </c>
      <c r="V4771" s="2" t="inlineStr"/>
    </row>
    <row r="4772" ht="15" customHeight="1">
      <c r="A4772" t="inlineStr">
        <is>
          <t>A 51082-2022</t>
        </is>
      </c>
      <c r="B4772" t="inlineStr">
        <is>
          <t>avverkningsanmälan</t>
        </is>
      </c>
      <c r="C4772" t="inlineStr">
        <is>
          <t>Föryngringsavverkning</t>
        </is>
      </c>
      <c r="D4772" s="1" t="n">
        <v>44868</v>
      </c>
      <c r="E4772" s="1" t="n">
        <v>46323</v>
      </c>
      <c r="F4772" t="inlineStr">
        <is>
          <t>KALMAR LÄN</t>
        </is>
      </c>
      <c r="G4772" t="inlineStr">
        <is>
          <t>NYBRO</t>
        </is>
      </c>
      <c r="I4772" t="n">
        <v>1.7</v>
      </c>
      <c r="J4772" t="n">
        <v>0</v>
      </c>
      <c r="K4772" t="n">
        <v>0</v>
      </c>
      <c r="L4772" t="n">
        <v>0</v>
      </c>
      <c r="M4772" t="n">
        <v>0</v>
      </c>
      <c r="N4772" t="n">
        <v>0</v>
      </c>
      <c r="O4772" t="n">
        <v>0</v>
      </c>
      <c r="P4772" t="n">
        <v>0</v>
      </c>
      <c r="Q4772" t="n">
        <v>0</v>
      </c>
      <c r="R4772" t="n">
        <v>0</v>
      </c>
      <c r="S4772" t="n">
        <v>0</v>
      </c>
      <c r="T4772" t="n">
        <v>0</v>
      </c>
      <c r="U4772" t="n">
        <v>0</v>
      </c>
      <c r="V4772" s="2" t="inlineStr"/>
    </row>
    <row r="4773" ht="15" customHeight="1">
      <c r="A4773" t="inlineStr">
        <is>
          <t>A 5152-2022</t>
        </is>
      </c>
      <c r="B4773" t="inlineStr">
        <is>
          <t>avverkningsanmälan</t>
        </is>
      </c>
      <c r="C4773" t="inlineStr">
        <is>
          <t>Föryngringsavverkning</t>
        </is>
      </c>
      <c r="D4773" s="1" t="n">
        <v>44594</v>
      </c>
      <c r="E4773" s="1" t="n">
        <v>46323</v>
      </c>
      <c r="F4773" t="inlineStr">
        <is>
          <t>KALMAR LÄN</t>
        </is>
      </c>
      <c r="G4773" t="inlineStr">
        <is>
          <t>NYBRO</t>
        </is>
      </c>
      <c r="I4773" t="n">
        <v>1.1</v>
      </c>
      <c r="J4773" t="n">
        <v>0</v>
      </c>
      <c r="K4773" t="n">
        <v>0</v>
      </c>
      <c r="L4773" t="n">
        <v>0</v>
      </c>
      <c r="M4773" t="n">
        <v>0</v>
      </c>
      <c r="N4773" t="n">
        <v>0</v>
      </c>
      <c r="O4773" t="n">
        <v>0</v>
      </c>
      <c r="P4773" t="n">
        <v>0</v>
      </c>
      <c r="Q4773" t="n">
        <v>0</v>
      </c>
      <c r="R4773" t="n">
        <v>0</v>
      </c>
      <c r="S4773" t="n">
        <v>0</v>
      </c>
      <c r="T4773" t="n">
        <v>0</v>
      </c>
      <c r="U4773" t="n">
        <v>0</v>
      </c>
      <c r="V4773" s="2" t="inlineStr"/>
    </row>
    <row r="4774" ht="15" customHeight="1">
      <c r="A4774" t="inlineStr">
        <is>
          <t>A 25105-2026</t>
        </is>
      </c>
      <c r="B4774" t="inlineStr">
        <is>
          <t>avverkningsanmälan</t>
        </is>
      </c>
      <c r="C4774" t="inlineStr">
        <is>
          <t>Föryngringsavverkning</t>
        </is>
      </c>
      <c r="D4774" s="1" t="n">
        <v>46175</v>
      </c>
      <c r="E4774" s="1" t="n">
        <v>46323</v>
      </c>
      <c r="F4774" t="inlineStr">
        <is>
          <t>KALMAR LÄN</t>
        </is>
      </c>
      <c r="G4774" t="inlineStr">
        <is>
          <t>VIMMERBY</t>
        </is>
      </c>
      <c r="I4774" t="n">
        <v>0.9</v>
      </c>
      <c r="J4774" t="n">
        <v>0</v>
      </c>
      <c r="K4774" t="n">
        <v>0</v>
      </c>
      <c r="L4774" t="n">
        <v>0</v>
      </c>
      <c r="M4774" t="n">
        <v>0</v>
      </c>
      <c r="N4774" t="n">
        <v>0</v>
      </c>
      <c r="O4774" t="n">
        <v>0</v>
      </c>
      <c r="P4774" t="n">
        <v>0</v>
      </c>
      <c r="Q4774" t="n">
        <v>0</v>
      </c>
      <c r="R4774" t="n">
        <v>0</v>
      </c>
      <c r="S4774" t="n">
        <v>0</v>
      </c>
      <c r="T4774" t="n">
        <v>0</v>
      </c>
      <c r="U4774" t="n">
        <v>0</v>
      </c>
      <c r="V4774" s="2" t="inlineStr"/>
    </row>
    <row r="4775" ht="15" customHeight="1">
      <c r="A4775" t="inlineStr">
        <is>
          <t>A 33280-2026</t>
        </is>
      </c>
      <c r="B4775" t="inlineStr">
        <is>
          <t>avverkningsanmälan</t>
        </is>
      </c>
      <c r="C4775" t="inlineStr">
        <is>
          <t>Föryngringsavverkning</t>
        </is>
      </c>
      <c r="D4775" s="1" t="n">
        <v>46246</v>
      </c>
      <c r="E4775" s="1" t="n">
        <v>46323</v>
      </c>
      <c r="F4775" t="inlineStr">
        <is>
          <t>KALMAR LÄN</t>
        </is>
      </c>
      <c r="G4775" t="inlineStr">
        <is>
          <t>MÖNSTERÅS</t>
        </is>
      </c>
      <c r="I4775" t="n">
        <v>6.1</v>
      </c>
      <c r="J4775" t="n">
        <v>0</v>
      </c>
      <c r="K4775" t="n">
        <v>0</v>
      </c>
      <c r="L4775" t="n">
        <v>0</v>
      </c>
      <c r="M4775" t="n">
        <v>0</v>
      </c>
      <c r="N4775" t="n">
        <v>0</v>
      </c>
      <c r="O4775" t="n">
        <v>0</v>
      </c>
      <c r="P4775" t="n">
        <v>0</v>
      </c>
      <c r="Q4775" t="n">
        <v>0</v>
      </c>
      <c r="R4775" t="n">
        <v>0</v>
      </c>
      <c r="S4775" t="n">
        <v>0</v>
      </c>
      <c r="T4775" t="n">
        <v>0</v>
      </c>
      <c r="U4775" t="n">
        <v>0</v>
      </c>
      <c r="V4775" s="2" t="inlineStr"/>
    </row>
    <row r="4776" ht="15" customHeight="1">
      <c r="A4776" t="inlineStr">
        <is>
          <t>A 46192-2023</t>
        </is>
      </c>
      <c r="B4776" t="inlineStr">
        <is>
          <t>avverkningsanmälan</t>
        </is>
      </c>
      <c r="C4776" t="inlineStr">
        <is>
          <t>Föryngringsavverkning</t>
        </is>
      </c>
      <c r="D4776" s="1" t="n">
        <v>45196</v>
      </c>
      <c r="E4776" s="1" t="n">
        <v>46323</v>
      </c>
      <c r="F4776" t="inlineStr">
        <is>
          <t>KALMAR LÄN</t>
        </is>
      </c>
      <c r="G4776" t="inlineStr">
        <is>
          <t>EMMABODA</t>
        </is>
      </c>
      <c r="I4776" t="n">
        <v>1.5</v>
      </c>
      <c r="J4776" t="n">
        <v>0</v>
      </c>
      <c r="K4776" t="n">
        <v>0</v>
      </c>
      <c r="L4776" t="n">
        <v>0</v>
      </c>
      <c r="M4776" t="n">
        <v>0</v>
      </c>
      <c r="N4776" t="n">
        <v>0</v>
      </c>
      <c r="O4776" t="n">
        <v>0</v>
      </c>
      <c r="P4776" t="n">
        <v>0</v>
      </c>
      <c r="Q4776" t="n">
        <v>0</v>
      </c>
      <c r="R4776" t="n">
        <v>0</v>
      </c>
      <c r="S4776" t="n">
        <v>0</v>
      </c>
      <c r="T4776" t="n">
        <v>0</v>
      </c>
      <c r="U4776" t="n">
        <v>0</v>
      </c>
      <c r="V4776" s="2" t="inlineStr"/>
    </row>
    <row r="4777" ht="15" customHeight="1">
      <c r="A4777" t="inlineStr">
        <is>
          <t>A 4659-2024</t>
        </is>
      </c>
      <c r="B4777" t="inlineStr">
        <is>
          <t>avverkningsanmälan</t>
        </is>
      </c>
      <c r="C4777" t="inlineStr">
        <is>
          <t>Föryngringsavverkning</t>
        </is>
      </c>
      <c r="D4777" s="1" t="n">
        <v>45328</v>
      </c>
      <c r="E4777" s="1" t="n">
        <v>46323</v>
      </c>
      <c r="F4777" t="inlineStr">
        <is>
          <t>KALMAR LÄN</t>
        </is>
      </c>
      <c r="G4777" t="inlineStr">
        <is>
          <t>HULTSFRED</t>
        </is>
      </c>
      <c r="I4777" t="n">
        <v>0.5</v>
      </c>
      <c r="J4777" t="n">
        <v>0</v>
      </c>
      <c r="K4777" t="n">
        <v>0</v>
      </c>
      <c r="L4777" t="n">
        <v>0</v>
      </c>
      <c r="M4777" t="n">
        <v>0</v>
      </c>
      <c r="N4777" t="n">
        <v>0</v>
      </c>
      <c r="O4777" t="n">
        <v>0</v>
      </c>
      <c r="P4777" t="n">
        <v>0</v>
      </c>
      <c r="Q4777" t="n">
        <v>0</v>
      </c>
      <c r="R4777" t="n">
        <v>0</v>
      </c>
      <c r="S4777" t="n">
        <v>0</v>
      </c>
      <c r="T4777" t="n">
        <v>0</v>
      </c>
      <c r="U4777" t="n">
        <v>0</v>
      </c>
      <c r="V4777" s="2" t="inlineStr"/>
    </row>
    <row r="4778" ht="15" customHeight="1">
      <c r="A4778" t="inlineStr">
        <is>
          <t>A 39965-2026</t>
        </is>
      </c>
      <c r="B4778" t="inlineStr">
        <is>
          <t>avverkningsanmälan</t>
        </is>
      </c>
      <c r="C4778" t="inlineStr">
        <is>
          <t>Föryngringsavverkning</t>
        </is>
      </c>
      <c r="D4778" s="1" t="n">
        <v>46292</v>
      </c>
      <c r="E4778" s="1" t="n">
        <v>46323</v>
      </c>
      <c r="F4778" t="inlineStr">
        <is>
          <t>KALMAR LÄN</t>
        </is>
      </c>
      <c r="G4778" t="inlineStr">
        <is>
          <t>HULTSFRED</t>
        </is>
      </c>
      <c r="I4778" t="n">
        <v>0.9</v>
      </c>
      <c r="J4778" t="n">
        <v>0</v>
      </c>
      <c r="K4778" t="n">
        <v>0</v>
      </c>
      <c r="L4778" t="n">
        <v>0</v>
      </c>
      <c r="M4778" t="n">
        <v>0</v>
      </c>
      <c r="N4778" t="n">
        <v>0</v>
      </c>
      <c r="O4778" t="n">
        <v>0</v>
      </c>
      <c r="P4778" t="n">
        <v>0</v>
      </c>
      <c r="Q4778" t="n">
        <v>0</v>
      </c>
      <c r="R4778" t="n">
        <v>0</v>
      </c>
      <c r="S4778" t="n">
        <v>0</v>
      </c>
      <c r="T4778" t="n">
        <v>0</v>
      </c>
      <c r="U4778" t="n">
        <v>0</v>
      </c>
      <c r="V4778" s="2" t="inlineStr"/>
    </row>
    <row r="4779" ht="15" customHeight="1">
      <c r="A4779" t="inlineStr">
        <is>
          <t>A 928-2024</t>
        </is>
      </c>
      <c r="B4779" t="inlineStr">
        <is>
          <t>avverkningsanmälan</t>
        </is>
      </c>
      <c r="C4779" t="inlineStr">
        <is>
          <t>Föryngringsavverkning</t>
        </is>
      </c>
      <c r="D4779" s="1" t="n">
        <v>45301</v>
      </c>
      <c r="E4779" s="1" t="n">
        <v>46323</v>
      </c>
      <c r="F4779" t="inlineStr">
        <is>
          <t>KALMAR LÄN</t>
        </is>
      </c>
      <c r="G4779" t="inlineStr">
        <is>
          <t>VÄSTERVIK</t>
        </is>
      </c>
      <c r="I4779" t="n">
        <v>4.8</v>
      </c>
      <c r="J4779" t="n">
        <v>0</v>
      </c>
      <c r="K4779" t="n">
        <v>0</v>
      </c>
      <c r="L4779" t="n">
        <v>0</v>
      </c>
      <c r="M4779" t="n">
        <v>0</v>
      </c>
      <c r="N4779" t="n">
        <v>0</v>
      </c>
      <c r="O4779" t="n">
        <v>0</v>
      </c>
      <c r="P4779" t="n">
        <v>0</v>
      </c>
      <c r="Q4779" t="n">
        <v>0</v>
      </c>
      <c r="R4779" t="n">
        <v>0</v>
      </c>
      <c r="S4779" t="n">
        <v>0</v>
      </c>
      <c r="T4779" t="n">
        <v>0</v>
      </c>
      <c r="U4779" t="n">
        <v>0</v>
      </c>
      <c r="V4779" s="2" t="inlineStr"/>
    </row>
    <row r="4780" ht="15" customHeight="1">
      <c r="A4780" t="inlineStr">
        <is>
          <t>A 46522-2022</t>
        </is>
      </c>
      <c r="B4780" t="inlineStr">
        <is>
          <t>avverkningsanmälan</t>
        </is>
      </c>
      <c r="C4780" t="inlineStr">
        <is>
          <t>Föryngringsavverkning</t>
        </is>
      </c>
      <c r="D4780" s="1" t="n">
        <v>44848</v>
      </c>
      <c r="E4780" s="1" t="n">
        <v>46323</v>
      </c>
      <c r="F4780" t="inlineStr">
        <is>
          <t>KALMAR LÄN</t>
        </is>
      </c>
      <c r="G4780" t="inlineStr">
        <is>
          <t>VIMMERBY</t>
        </is>
      </c>
      <c r="I4780" t="n">
        <v>1.4</v>
      </c>
      <c r="J4780" t="n">
        <v>0</v>
      </c>
      <c r="K4780" t="n">
        <v>0</v>
      </c>
      <c r="L4780" t="n">
        <v>0</v>
      </c>
      <c r="M4780" t="n">
        <v>0</v>
      </c>
      <c r="N4780" t="n">
        <v>0</v>
      </c>
      <c r="O4780" t="n">
        <v>0</v>
      </c>
      <c r="P4780" t="n">
        <v>0</v>
      </c>
      <c r="Q4780" t="n">
        <v>0</v>
      </c>
      <c r="R4780" t="n">
        <v>0</v>
      </c>
      <c r="S4780" t="n">
        <v>0</v>
      </c>
      <c r="T4780" t="n">
        <v>0</v>
      </c>
      <c r="U4780" t="n">
        <v>0</v>
      </c>
      <c r="V4780" s="2" t="inlineStr"/>
    </row>
    <row r="4781" ht="15" customHeight="1">
      <c r="A4781" t="inlineStr">
        <is>
          <t>A 40197-2026</t>
        </is>
      </c>
      <c r="B4781" t="inlineStr">
        <is>
          <t>avverkningsanmälan</t>
        </is>
      </c>
      <c r="C4781" t="inlineStr">
        <is>
          <t>Föryngringsavverkning</t>
        </is>
      </c>
      <c r="D4781" s="1" t="n">
        <v>46293</v>
      </c>
      <c r="E4781" s="1" t="n">
        <v>46323</v>
      </c>
      <c r="F4781" t="inlineStr">
        <is>
          <t>KALMAR LÄN</t>
        </is>
      </c>
      <c r="G4781" t="inlineStr">
        <is>
          <t>TORSÅS</t>
        </is>
      </c>
      <c r="I4781" t="n">
        <v>1.3</v>
      </c>
      <c r="J4781" t="n">
        <v>0</v>
      </c>
      <c r="K4781" t="n">
        <v>0</v>
      </c>
      <c r="L4781" t="n">
        <v>0</v>
      </c>
      <c r="M4781" t="n">
        <v>0</v>
      </c>
      <c r="N4781" t="n">
        <v>0</v>
      </c>
      <c r="O4781" t="n">
        <v>0</v>
      </c>
      <c r="P4781" t="n">
        <v>0</v>
      </c>
      <c r="Q4781" t="n">
        <v>0</v>
      </c>
      <c r="R4781" t="n">
        <v>0</v>
      </c>
      <c r="S4781" t="n">
        <v>0</v>
      </c>
      <c r="T4781" t="n">
        <v>0</v>
      </c>
      <c r="U4781" t="n">
        <v>0</v>
      </c>
      <c r="V4781" s="2" t="inlineStr"/>
    </row>
    <row r="4782" ht="15" customHeight="1">
      <c r="A4782" t="inlineStr">
        <is>
          <t>A 14079-2024</t>
        </is>
      </c>
      <c r="B4782" t="inlineStr">
        <is>
          <t>avverkningsanmälan</t>
        </is>
      </c>
      <c r="C4782" t="inlineStr">
        <is>
          <t>Föryngringsavverkning</t>
        </is>
      </c>
      <c r="D4782" s="1" t="n">
        <v>45392</v>
      </c>
      <c r="E4782" s="1" t="n">
        <v>46323</v>
      </c>
      <c r="F4782" t="inlineStr">
        <is>
          <t>KALMAR LÄN</t>
        </is>
      </c>
      <c r="G4782" t="inlineStr">
        <is>
          <t>EMMABODA</t>
        </is>
      </c>
      <c r="I4782" t="n">
        <v>2</v>
      </c>
      <c r="J4782" t="n">
        <v>0</v>
      </c>
      <c r="K4782" t="n">
        <v>0</v>
      </c>
      <c r="L4782" t="n">
        <v>0</v>
      </c>
      <c r="M4782" t="n">
        <v>0</v>
      </c>
      <c r="N4782" t="n">
        <v>0</v>
      </c>
      <c r="O4782" t="n">
        <v>0</v>
      </c>
      <c r="P4782" t="n">
        <v>0</v>
      </c>
      <c r="Q4782" t="n">
        <v>0</v>
      </c>
      <c r="R4782" t="n">
        <v>0</v>
      </c>
      <c r="S4782" t="n">
        <v>0</v>
      </c>
      <c r="T4782" t="n">
        <v>0</v>
      </c>
      <c r="U4782" t="n">
        <v>0</v>
      </c>
      <c r="V4782" s="2" t="inlineStr"/>
    </row>
    <row r="4783" ht="15" customHeight="1">
      <c r="A4783" t="inlineStr">
        <is>
          <t>A 53389-2023</t>
        </is>
      </c>
      <c r="B4783" t="inlineStr">
        <is>
          <t>avverkningsanmälan</t>
        </is>
      </c>
      <c r="C4783" t="inlineStr">
        <is>
          <t>Föryngringsavverkning</t>
        </is>
      </c>
      <c r="D4783" s="1" t="n">
        <v>45229</v>
      </c>
      <c r="E4783" s="1" t="n">
        <v>46323</v>
      </c>
      <c r="F4783" t="inlineStr">
        <is>
          <t>KALMAR LÄN</t>
        </is>
      </c>
      <c r="G4783" t="inlineStr">
        <is>
          <t>KALMAR</t>
        </is>
      </c>
      <c r="I4783" t="n">
        <v>1.1</v>
      </c>
      <c r="J4783" t="n">
        <v>0</v>
      </c>
      <c r="K4783" t="n">
        <v>0</v>
      </c>
      <c r="L4783" t="n">
        <v>0</v>
      </c>
      <c r="M4783" t="n">
        <v>0</v>
      </c>
      <c r="N4783" t="n">
        <v>0</v>
      </c>
      <c r="O4783" t="n">
        <v>0</v>
      </c>
      <c r="P4783" t="n">
        <v>0</v>
      </c>
      <c r="Q4783" t="n">
        <v>0</v>
      </c>
      <c r="R4783" t="n">
        <v>0</v>
      </c>
      <c r="S4783" t="n">
        <v>0</v>
      </c>
      <c r="T4783" t="n">
        <v>0</v>
      </c>
      <c r="U4783" t="n">
        <v>0</v>
      </c>
      <c r="V4783" s="2" t="inlineStr"/>
    </row>
    <row r="4784" ht="15" customHeight="1">
      <c r="A4784" t="inlineStr">
        <is>
          <t>A 26157-2025</t>
        </is>
      </c>
      <c r="B4784" t="inlineStr">
        <is>
          <t>avverkningsanmälan</t>
        </is>
      </c>
      <c r="C4784" t="inlineStr">
        <is>
          <t>Föryngringsavverkning</t>
        </is>
      </c>
      <c r="D4784" s="1" t="n">
        <v>45805</v>
      </c>
      <c r="E4784" s="1" t="n">
        <v>46323</v>
      </c>
      <c r="F4784" t="inlineStr">
        <is>
          <t>KALMAR LÄN</t>
        </is>
      </c>
      <c r="G4784" t="inlineStr">
        <is>
          <t>MÖNSTERÅS</t>
        </is>
      </c>
      <c r="I4784" t="n">
        <v>3.8</v>
      </c>
      <c r="J4784" t="n">
        <v>0</v>
      </c>
      <c r="K4784" t="n">
        <v>0</v>
      </c>
      <c r="L4784" t="n">
        <v>0</v>
      </c>
      <c r="M4784" t="n">
        <v>0</v>
      </c>
      <c r="N4784" t="n">
        <v>0</v>
      </c>
      <c r="O4784" t="n">
        <v>0</v>
      </c>
      <c r="P4784" t="n">
        <v>0</v>
      </c>
      <c r="Q4784" t="n">
        <v>0</v>
      </c>
      <c r="R4784" t="n">
        <v>0</v>
      </c>
      <c r="S4784" t="n">
        <v>0</v>
      </c>
      <c r="T4784" t="n">
        <v>0</v>
      </c>
      <c r="U4784" t="n">
        <v>0</v>
      </c>
      <c r="V4784" s="2" t="inlineStr"/>
    </row>
    <row r="4785" ht="15" customHeight="1">
      <c r="A4785" t="inlineStr">
        <is>
          <t>A 26190-2025</t>
        </is>
      </c>
      <c r="B4785" t="inlineStr">
        <is>
          <t>avverkningsanmälan</t>
        </is>
      </c>
      <c r="C4785" t="inlineStr">
        <is>
          <t>Föryngringsavverkning</t>
        </is>
      </c>
      <c r="D4785" s="1" t="n">
        <v>45805</v>
      </c>
      <c r="E4785" s="1" t="n">
        <v>46323</v>
      </c>
      <c r="F4785" t="inlineStr">
        <is>
          <t>KALMAR LÄN</t>
        </is>
      </c>
      <c r="G4785" t="inlineStr">
        <is>
          <t>BORGHOLM</t>
        </is>
      </c>
      <c r="I4785" t="n">
        <v>3.2</v>
      </c>
      <c r="J4785" t="n">
        <v>0</v>
      </c>
      <c r="K4785" t="n">
        <v>0</v>
      </c>
      <c r="L4785" t="n">
        <v>0</v>
      </c>
      <c r="M4785" t="n">
        <v>0</v>
      </c>
      <c r="N4785" t="n">
        <v>0</v>
      </c>
      <c r="O4785" t="n">
        <v>0</v>
      </c>
      <c r="P4785" t="n">
        <v>0</v>
      </c>
      <c r="Q4785" t="n">
        <v>0</v>
      </c>
      <c r="R4785" t="n">
        <v>0</v>
      </c>
      <c r="S4785" t="n">
        <v>0</v>
      </c>
      <c r="T4785" t="n">
        <v>0</v>
      </c>
      <c r="U4785" t="n">
        <v>0</v>
      </c>
      <c r="V4785" s="2" t="inlineStr"/>
    </row>
    <row r="4786" ht="15" customHeight="1">
      <c r="A4786" t="inlineStr">
        <is>
          <t>A 21109-2024</t>
        </is>
      </c>
      <c r="B4786" t="inlineStr">
        <is>
          <t>avverkningsanmälan</t>
        </is>
      </c>
      <c r="C4786" t="inlineStr">
        <is>
          <t>Föryngringsavverkning</t>
        </is>
      </c>
      <c r="D4786" s="1" t="n">
        <v>45440</v>
      </c>
      <c r="E4786" s="1" t="n">
        <v>46323</v>
      </c>
      <c r="F4786" t="inlineStr">
        <is>
          <t>KALMAR LÄN</t>
        </is>
      </c>
      <c r="G4786" t="inlineStr">
        <is>
          <t>VIMMERBY</t>
        </is>
      </c>
      <c r="I4786" t="n">
        <v>0.8</v>
      </c>
      <c r="J4786" t="n">
        <v>0</v>
      </c>
      <c r="K4786" t="n">
        <v>0</v>
      </c>
      <c r="L4786" t="n">
        <v>0</v>
      </c>
      <c r="M4786" t="n">
        <v>0</v>
      </c>
      <c r="N4786" t="n">
        <v>0</v>
      </c>
      <c r="O4786" t="n">
        <v>0</v>
      </c>
      <c r="P4786" t="n">
        <v>0</v>
      </c>
      <c r="Q4786" t="n">
        <v>0</v>
      </c>
      <c r="R4786" t="n">
        <v>0</v>
      </c>
      <c r="S4786" t="n">
        <v>0</v>
      </c>
      <c r="T4786" t="n">
        <v>0</v>
      </c>
      <c r="U4786" t="n">
        <v>0</v>
      </c>
      <c r="V4786" s="2" t="inlineStr"/>
    </row>
    <row r="4787" ht="15" customHeight="1">
      <c r="A4787" t="inlineStr">
        <is>
          <t>A 63471-2023</t>
        </is>
      </c>
      <c r="B4787" t="inlineStr">
        <is>
          <t>avverkningsanmälan</t>
        </is>
      </c>
      <c r="C4787" t="inlineStr">
        <is>
          <t>Föryngringsavverkning</t>
        </is>
      </c>
      <c r="D4787" s="1" t="n">
        <v>45274</v>
      </c>
      <c r="E4787" s="1" t="n">
        <v>46323</v>
      </c>
      <c r="F4787" t="inlineStr">
        <is>
          <t>KALMAR LÄN</t>
        </is>
      </c>
      <c r="G4787" t="inlineStr">
        <is>
          <t>MÖNSTERÅS</t>
        </is>
      </c>
      <c r="I4787" t="n">
        <v>0.6</v>
      </c>
      <c r="J4787" t="n">
        <v>0</v>
      </c>
      <c r="K4787" t="n">
        <v>0</v>
      </c>
      <c r="L4787" t="n">
        <v>0</v>
      </c>
      <c r="M4787" t="n">
        <v>0</v>
      </c>
      <c r="N4787" t="n">
        <v>0</v>
      </c>
      <c r="O4787" t="n">
        <v>0</v>
      </c>
      <c r="P4787" t="n">
        <v>0</v>
      </c>
      <c r="Q4787" t="n">
        <v>0</v>
      </c>
      <c r="R4787" t="n">
        <v>0</v>
      </c>
      <c r="S4787" t="n">
        <v>0</v>
      </c>
      <c r="T4787" t="n">
        <v>0</v>
      </c>
      <c r="U4787" t="n">
        <v>0</v>
      </c>
      <c r="V4787" s="2" t="inlineStr"/>
    </row>
    <row r="4788" ht="15" customHeight="1">
      <c r="A4788" t="inlineStr">
        <is>
          <t>A 70600-2021</t>
        </is>
      </c>
      <c r="B4788" t="inlineStr">
        <is>
          <t>avverkningsanmälan</t>
        </is>
      </c>
      <c r="C4788" t="inlineStr">
        <is>
          <t>Föryngringsavverkning</t>
        </is>
      </c>
      <c r="D4788" s="1" t="n">
        <v>44537</v>
      </c>
      <c r="E4788" s="1" t="n">
        <v>46323</v>
      </c>
      <c r="F4788" t="inlineStr">
        <is>
          <t>KALMAR LÄN</t>
        </is>
      </c>
      <c r="G4788" t="inlineStr">
        <is>
          <t>HULTSFRED</t>
        </is>
      </c>
      <c r="I4788" t="n">
        <v>2.8</v>
      </c>
      <c r="J4788" t="n">
        <v>0</v>
      </c>
      <c r="K4788" t="n">
        <v>0</v>
      </c>
      <c r="L4788" t="n">
        <v>0</v>
      </c>
      <c r="M4788" t="n">
        <v>0</v>
      </c>
      <c r="N4788" t="n">
        <v>0</v>
      </c>
      <c r="O4788" t="n">
        <v>0</v>
      </c>
      <c r="P4788" t="n">
        <v>0</v>
      </c>
      <c r="Q4788" t="n">
        <v>0</v>
      </c>
      <c r="R4788" t="n">
        <v>0</v>
      </c>
      <c r="S4788" t="n">
        <v>0</v>
      </c>
      <c r="T4788" t="n">
        <v>0</v>
      </c>
      <c r="U4788" t="n">
        <v>0</v>
      </c>
      <c r="V4788" s="2" t="inlineStr"/>
    </row>
    <row r="4789" ht="15" customHeight="1">
      <c r="A4789" t="inlineStr">
        <is>
          <t>A 57717-2022</t>
        </is>
      </c>
      <c r="B4789" t="inlineStr">
        <is>
          <t>avverkningsanmälan</t>
        </is>
      </c>
      <c r="C4789" t="inlineStr">
        <is>
          <t>Föryngringsavverkning</t>
        </is>
      </c>
      <c r="D4789" s="1" t="n">
        <v>44897</v>
      </c>
      <c r="E4789" s="1" t="n">
        <v>46323</v>
      </c>
      <c r="F4789" t="inlineStr">
        <is>
          <t>KALMAR LÄN</t>
        </is>
      </c>
      <c r="G4789" t="inlineStr">
        <is>
          <t>EMMABODA</t>
        </is>
      </c>
      <c r="I4789" t="n">
        <v>0.6</v>
      </c>
      <c r="J4789" t="n">
        <v>0</v>
      </c>
      <c r="K4789" t="n">
        <v>0</v>
      </c>
      <c r="L4789" t="n">
        <v>0</v>
      </c>
      <c r="M4789" t="n">
        <v>0</v>
      </c>
      <c r="N4789" t="n">
        <v>0</v>
      </c>
      <c r="O4789" t="n">
        <v>0</v>
      </c>
      <c r="P4789" t="n">
        <v>0</v>
      </c>
      <c r="Q4789" t="n">
        <v>0</v>
      </c>
      <c r="R4789" t="n">
        <v>0</v>
      </c>
      <c r="S4789" t="n">
        <v>0</v>
      </c>
      <c r="T4789" t="n">
        <v>0</v>
      </c>
      <c r="U4789" t="n">
        <v>0</v>
      </c>
      <c r="V4789" s="2" t="inlineStr"/>
    </row>
    <row r="4790" ht="15" customHeight="1">
      <c r="A4790" t="inlineStr">
        <is>
          <t>A 53530-2022</t>
        </is>
      </c>
      <c r="B4790" t="inlineStr">
        <is>
          <t>avverkningsanmälan</t>
        </is>
      </c>
      <c r="C4790" t="inlineStr">
        <is>
          <t>Föryngringsavverkning</t>
        </is>
      </c>
      <c r="D4790" s="1" t="n">
        <v>44879</v>
      </c>
      <c r="E4790" s="1" t="n">
        <v>46323</v>
      </c>
      <c r="F4790" t="inlineStr">
        <is>
          <t>KALMAR LÄN</t>
        </is>
      </c>
      <c r="G4790" t="inlineStr">
        <is>
          <t>OSKARSHAMN</t>
        </is>
      </c>
      <c r="I4790" t="n">
        <v>0.5</v>
      </c>
      <c r="J4790" t="n">
        <v>0</v>
      </c>
      <c r="K4790" t="n">
        <v>0</v>
      </c>
      <c r="L4790" t="n">
        <v>0</v>
      </c>
      <c r="M4790" t="n">
        <v>0</v>
      </c>
      <c r="N4790" t="n">
        <v>0</v>
      </c>
      <c r="O4790" t="n">
        <v>0</v>
      </c>
      <c r="P4790" t="n">
        <v>0</v>
      </c>
      <c r="Q4790" t="n">
        <v>0</v>
      </c>
      <c r="R4790" t="n">
        <v>0</v>
      </c>
      <c r="S4790" t="n">
        <v>0</v>
      </c>
      <c r="T4790" t="n">
        <v>0</v>
      </c>
      <c r="U4790" t="n">
        <v>0</v>
      </c>
      <c r="V4790" s="2" t="inlineStr"/>
    </row>
    <row r="4791" ht="15" customHeight="1">
      <c r="A4791" t="inlineStr">
        <is>
          <t>A 10102-2022</t>
        </is>
      </c>
      <c r="B4791" t="inlineStr">
        <is>
          <t>avverkningsanmälan</t>
        </is>
      </c>
      <c r="C4791" t="inlineStr">
        <is>
          <t>Föryngringsavverkning</t>
        </is>
      </c>
      <c r="D4791" s="1" t="n">
        <v>44621</v>
      </c>
      <c r="E4791" s="1" t="n">
        <v>46323</v>
      </c>
      <c r="F4791" t="inlineStr">
        <is>
          <t>KALMAR LÄN</t>
        </is>
      </c>
      <c r="G4791" t="inlineStr">
        <is>
          <t>OSKARSHAMN</t>
        </is>
      </c>
      <c r="I4791" t="n">
        <v>5.3</v>
      </c>
      <c r="J4791" t="n">
        <v>0</v>
      </c>
      <c r="K4791" t="n">
        <v>0</v>
      </c>
      <c r="L4791" t="n">
        <v>0</v>
      </c>
      <c r="M4791" t="n">
        <v>0</v>
      </c>
      <c r="N4791" t="n">
        <v>0</v>
      </c>
      <c r="O4791" t="n">
        <v>0</v>
      </c>
      <c r="P4791" t="n">
        <v>0</v>
      </c>
      <c r="Q4791" t="n">
        <v>0</v>
      </c>
      <c r="R4791" t="n">
        <v>0</v>
      </c>
      <c r="S4791" t="n">
        <v>0</v>
      </c>
      <c r="T4791" t="n">
        <v>0</v>
      </c>
      <c r="U4791" t="n">
        <v>0</v>
      </c>
      <c r="V4791" s="2" t="inlineStr"/>
    </row>
    <row r="4792" ht="15" customHeight="1">
      <c r="A4792" t="inlineStr">
        <is>
          <t>A 10114-2022</t>
        </is>
      </c>
      <c r="B4792" t="inlineStr">
        <is>
          <t>avverkningsanmälan</t>
        </is>
      </c>
      <c r="C4792" t="inlineStr">
        <is>
          <t>Föryngringsavverkning</t>
        </is>
      </c>
      <c r="D4792" s="1" t="n">
        <v>44621</v>
      </c>
      <c r="E4792" s="1" t="n">
        <v>46323</v>
      </c>
      <c r="F4792" t="inlineStr">
        <is>
          <t>KALMAR LÄN</t>
        </is>
      </c>
      <c r="G4792" t="inlineStr">
        <is>
          <t>NYBRO</t>
        </is>
      </c>
      <c r="I4792" t="n">
        <v>1</v>
      </c>
      <c r="J4792" t="n">
        <v>0</v>
      </c>
      <c r="K4792" t="n">
        <v>0</v>
      </c>
      <c r="L4792" t="n">
        <v>0</v>
      </c>
      <c r="M4792" t="n">
        <v>0</v>
      </c>
      <c r="N4792" t="n">
        <v>0</v>
      </c>
      <c r="O4792" t="n">
        <v>0</v>
      </c>
      <c r="P4792" t="n">
        <v>0</v>
      </c>
      <c r="Q4792" t="n">
        <v>0</v>
      </c>
      <c r="R4792" t="n">
        <v>0</v>
      </c>
      <c r="S4792" t="n">
        <v>0</v>
      </c>
      <c r="T4792" t="n">
        <v>0</v>
      </c>
      <c r="U4792" t="n">
        <v>0</v>
      </c>
      <c r="V4792" s="2" t="inlineStr"/>
    </row>
    <row r="4793" ht="15" customHeight="1">
      <c r="A4793" t="inlineStr">
        <is>
          <t>A 40009-2023</t>
        </is>
      </c>
      <c r="B4793" t="inlineStr">
        <is>
          <t>avverkningsanmälan</t>
        </is>
      </c>
      <c r="C4793" t="inlineStr">
        <is>
          <t>Föryngringsavverkning</t>
        </is>
      </c>
      <c r="D4793" s="1" t="n">
        <v>45168</v>
      </c>
      <c r="E4793" s="1" t="n">
        <v>46323</v>
      </c>
      <c r="F4793" t="inlineStr">
        <is>
          <t>KALMAR LÄN</t>
        </is>
      </c>
      <c r="G4793" t="inlineStr">
        <is>
          <t>HULTSFRED</t>
        </is>
      </c>
      <c r="I4793" t="n">
        <v>1.2</v>
      </c>
      <c r="J4793" t="n">
        <v>0</v>
      </c>
      <c r="K4793" t="n">
        <v>0</v>
      </c>
      <c r="L4793" t="n">
        <v>0</v>
      </c>
      <c r="M4793" t="n">
        <v>0</v>
      </c>
      <c r="N4793" t="n">
        <v>0</v>
      </c>
      <c r="O4793" t="n">
        <v>0</v>
      </c>
      <c r="P4793" t="n">
        <v>0</v>
      </c>
      <c r="Q4793" t="n">
        <v>0</v>
      </c>
      <c r="R4793" t="n">
        <v>0</v>
      </c>
      <c r="S4793" t="n">
        <v>0</v>
      </c>
      <c r="T4793" t="n">
        <v>0</v>
      </c>
      <c r="U4793" t="n">
        <v>0</v>
      </c>
      <c r="V4793" s="2" t="inlineStr"/>
    </row>
    <row r="4794" ht="15" customHeight="1">
      <c r="A4794" t="inlineStr">
        <is>
          <t>A 50269-2023</t>
        </is>
      </c>
      <c r="B4794" t="inlineStr">
        <is>
          <t>avverkningsanmälan</t>
        </is>
      </c>
      <c r="C4794" t="inlineStr">
        <is>
          <t>Föryngringsavverkning</t>
        </is>
      </c>
      <c r="D4794" s="1" t="n">
        <v>45209</v>
      </c>
      <c r="E4794" s="1" t="n">
        <v>46323</v>
      </c>
      <c r="F4794" t="inlineStr">
        <is>
          <t>KALMAR LÄN</t>
        </is>
      </c>
      <c r="G4794" t="inlineStr">
        <is>
          <t>HULTSFRED</t>
        </is>
      </c>
      <c r="I4794" t="n">
        <v>1</v>
      </c>
      <c r="J4794" t="n">
        <v>0</v>
      </c>
      <c r="K4794" t="n">
        <v>0</v>
      </c>
      <c r="L4794" t="n">
        <v>0</v>
      </c>
      <c r="M4794" t="n">
        <v>0</v>
      </c>
      <c r="N4794" t="n">
        <v>0</v>
      </c>
      <c r="O4794" t="n">
        <v>0</v>
      </c>
      <c r="P4794" t="n">
        <v>0</v>
      </c>
      <c r="Q4794" t="n">
        <v>0</v>
      </c>
      <c r="R4794" t="n">
        <v>0</v>
      </c>
      <c r="S4794" t="n">
        <v>0</v>
      </c>
      <c r="T4794" t="n">
        <v>0</v>
      </c>
      <c r="U4794" t="n">
        <v>0</v>
      </c>
      <c r="V4794" s="2" t="inlineStr"/>
    </row>
    <row r="4795" ht="15" customHeight="1">
      <c r="A4795" t="inlineStr">
        <is>
          <t>A 33815-2022</t>
        </is>
      </c>
      <c r="B4795" t="inlineStr">
        <is>
          <t>avverkningsanmälan</t>
        </is>
      </c>
      <c r="C4795" t="inlineStr">
        <is>
          <t>Föryngringsavverkning</t>
        </is>
      </c>
      <c r="D4795" s="1" t="n">
        <v>44790</v>
      </c>
      <c r="E4795" s="1" t="n">
        <v>46323</v>
      </c>
      <c r="F4795" t="inlineStr">
        <is>
          <t>KALMAR LÄN</t>
        </is>
      </c>
      <c r="G4795" t="inlineStr">
        <is>
          <t>VIMMERBY</t>
        </is>
      </c>
      <c r="I4795" t="n">
        <v>0.9</v>
      </c>
      <c r="J4795" t="n">
        <v>0</v>
      </c>
      <c r="K4795" t="n">
        <v>0</v>
      </c>
      <c r="L4795" t="n">
        <v>0</v>
      </c>
      <c r="M4795" t="n">
        <v>0</v>
      </c>
      <c r="N4795" t="n">
        <v>0</v>
      </c>
      <c r="O4795" t="n">
        <v>0</v>
      </c>
      <c r="P4795" t="n">
        <v>0</v>
      </c>
      <c r="Q4795" t="n">
        <v>0</v>
      </c>
      <c r="R4795" t="n">
        <v>0</v>
      </c>
      <c r="S4795" t="n">
        <v>0</v>
      </c>
      <c r="T4795" t="n">
        <v>0</v>
      </c>
      <c r="U4795" t="n">
        <v>0</v>
      </c>
      <c r="V4795" s="2" t="inlineStr"/>
    </row>
    <row r="4796" ht="15" customHeight="1">
      <c r="A4796" t="inlineStr">
        <is>
          <t>A 33704-2026</t>
        </is>
      </c>
      <c r="B4796" t="inlineStr">
        <is>
          <t>avverkningsanmälan</t>
        </is>
      </c>
      <c r="C4796" t="inlineStr">
        <is>
          <t>Föryngringsavverkning</t>
        </is>
      </c>
      <c r="D4796" s="1" t="n">
        <v>46250</v>
      </c>
      <c r="E4796" s="1" t="n">
        <v>46323</v>
      </c>
      <c r="F4796" t="inlineStr">
        <is>
          <t>KALMAR LÄN</t>
        </is>
      </c>
      <c r="G4796" t="inlineStr">
        <is>
          <t>NYBRO</t>
        </is>
      </c>
      <c r="I4796" t="n">
        <v>1.1</v>
      </c>
      <c r="J4796" t="n">
        <v>0</v>
      </c>
      <c r="K4796" t="n">
        <v>0</v>
      </c>
      <c r="L4796" t="n">
        <v>0</v>
      </c>
      <c r="M4796" t="n">
        <v>0</v>
      </c>
      <c r="N4796" t="n">
        <v>0</v>
      </c>
      <c r="O4796" t="n">
        <v>0</v>
      </c>
      <c r="P4796" t="n">
        <v>0</v>
      </c>
      <c r="Q4796" t="n">
        <v>0</v>
      </c>
      <c r="R4796" t="n">
        <v>0</v>
      </c>
      <c r="S4796" t="n">
        <v>0</v>
      </c>
      <c r="T4796" t="n">
        <v>0</v>
      </c>
      <c r="U4796" t="n">
        <v>0</v>
      </c>
      <c r="V4796" s="2" t="inlineStr"/>
    </row>
    <row r="4797" ht="15" customHeight="1">
      <c r="A4797" t="inlineStr">
        <is>
          <t>A 18978-2026</t>
        </is>
      </c>
      <c r="B4797" t="inlineStr">
        <is>
          <t>avverkningsanmälan</t>
        </is>
      </c>
      <c r="C4797" t="inlineStr">
        <is>
          <t>Avverkning för annat ändamål</t>
        </is>
      </c>
      <c r="D4797" s="1" t="n">
        <v>46128</v>
      </c>
      <c r="E4797" s="1" t="n">
        <v>46323</v>
      </c>
      <c r="F4797" t="inlineStr">
        <is>
          <t>KALMAR LÄN</t>
        </is>
      </c>
      <c r="G4797" t="inlineStr">
        <is>
          <t>OSKARSHAMN</t>
        </is>
      </c>
      <c r="H4797" t="inlineStr">
        <is>
          <t>Kommuner</t>
        </is>
      </c>
      <c r="I4797" t="n">
        <v>2.8</v>
      </c>
      <c r="J4797" t="n">
        <v>0</v>
      </c>
      <c r="K4797" t="n">
        <v>0</v>
      </c>
      <c r="L4797" t="n">
        <v>0</v>
      </c>
      <c r="M4797" t="n">
        <v>0</v>
      </c>
      <c r="N4797" t="n">
        <v>0</v>
      </c>
      <c r="O4797" t="n">
        <v>0</v>
      </c>
      <c r="P4797" t="n">
        <v>0</v>
      </c>
      <c r="Q4797" t="n">
        <v>0</v>
      </c>
      <c r="R4797" t="n">
        <v>0</v>
      </c>
      <c r="S4797" t="n">
        <v>0</v>
      </c>
      <c r="T4797" t="n">
        <v>0</v>
      </c>
      <c r="U4797" t="n">
        <v>0</v>
      </c>
      <c r="V4797" s="2" t="inlineStr"/>
    </row>
    <row r="4798" ht="15" customHeight="1">
      <c r="A4798" t="inlineStr">
        <is>
          <t>A 49963-2023</t>
        </is>
      </c>
      <c r="B4798" t="inlineStr">
        <is>
          <t>avverkningsanmälan</t>
        </is>
      </c>
      <c r="C4798" t="inlineStr">
        <is>
          <t>Föryngringsavverkning</t>
        </is>
      </c>
      <c r="D4798" s="1" t="n">
        <v>45215</v>
      </c>
      <c r="E4798" s="1" t="n">
        <v>46323</v>
      </c>
      <c r="F4798" t="inlineStr">
        <is>
          <t>KALMAR LÄN</t>
        </is>
      </c>
      <c r="G4798" t="inlineStr">
        <is>
          <t>OSKARSHAMN</t>
        </is>
      </c>
      <c r="I4798" t="n">
        <v>7.9</v>
      </c>
      <c r="J4798" t="n">
        <v>0</v>
      </c>
      <c r="K4798" t="n">
        <v>0</v>
      </c>
      <c r="L4798" t="n">
        <v>0</v>
      </c>
      <c r="M4798" t="n">
        <v>0</v>
      </c>
      <c r="N4798" t="n">
        <v>0</v>
      </c>
      <c r="O4798" t="n">
        <v>0</v>
      </c>
      <c r="P4798" t="n">
        <v>0</v>
      </c>
      <c r="Q4798" t="n">
        <v>0</v>
      </c>
      <c r="R4798" t="n">
        <v>0</v>
      </c>
      <c r="S4798" t="n">
        <v>0</v>
      </c>
      <c r="T4798" t="n">
        <v>0</v>
      </c>
      <c r="U4798" t="n">
        <v>0</v>
      </c>
      <c r="V4798" s="2" t="inlineStr"/>
    </row>
    <row r="4799" ht="15" customHeight="1">
      <c r="A4799" t="inlineStr">
        <is>
          <t>A 14894-2025</t>
        </is>
      </c>
      <c r="B4799" t="inlineStr">
        <is>
          <t>avverkningsanmälan</t>
        </is>
      </c>
      <c r="C4799" t="inlineStr">
        <is>
          <t>Avverkning för annat ändamål</t>
        </is>
      </c>
      <c r="D4799" s="1" t="n">
        <v>45743</v>
      </c>
      <c r="E4799" s="1" t="n">
        <v>46323</v>
      </c>
      <c r="F4799" t="inlineStr">
        <is>
          <t>KALMAR LÄN</t>
        </is>
      </c>
      <c r="G4799" t="inlineStr">
        <is>
          <t>HÖGSBY</t>
        </is>
      </c>
      <c r="H4799" t="inlineStr">
        <is>
          <t>Kommuner</t>
        </is>
      </c>
      <c r="I4799" t="n">
        <v>0.8</v>
      </c>
      <c r="J4799" t="n">
        <v>0</v>
      </c>
      <c r="K4799" t="n">
        <v>0</v>
      </c>
      <c r="L4799" t="n">
        <v>0</v>
      </c>
      <c r="M4799" t="n">
        <v>0</v>
      </c>
      <c r="N4799" t="n">
        <v>0</v>
      </c>
      <c r="O4799" t="n">
        <v>0</v>
      </c>
      <c r="P4799" t="n">
        <v>0</v>
      </c>
      <c r="Q4799" t="n">
        <v>0</v>
      </c>
      <c r="R4799" t="n">
        <v>0</v>
      </c>
      <c r="S4799" t="n">
        <v>0</v>
      </c>
      <c r="T4799" t="n">
        <v>0</v>
      </c>
      <c r="U4799" t="n">
        <v>0</v>
      </c>
      <c r="V4799" s="2" t="inlineStr"/>
    </row>
    <row r="4800" ht="15" customHeight="1">
      <c r="A4800" t="inlineStr">
        <is>
          <t>A 49461-2022</t>
        </is>
      </c>
      <c r="B4800" t="inlineStr">
        <is>
          <t>avverkningsanmälan</t>
        </is>
      </c>
      <c r="C4800" t="inlineStr">
        <is>
          <t>Föryngringsavverkning</t>
        </is>
      </c>
      <c r="D4800" s="1" t="n">
        <v>44861</v>
      </c>
      <c r="E4800" s="1" t="n">
        <v>46323</v>
      </c>
      <c r="F4800" t="inlineStr">
        <is>
          <t>KALMAR LÄN</t>
        </is>
      </c>
      <c r="G4800" t="inlineStr">
        <is>
          <t>VIMMERBY</t>
        </is>
      </c>
      <c r="I4800" t="n">
        <v>3.2</v>
      </c>
      <c r="J4800" t="n">
        <v>0</v>
      </c>
      <c r="K4800" t="n">
        <v>0</v>
      </c>
      <c r="L4800" t="n">
        <v>0</v>
      </c>
      <c r="M4800" t="n">
        <v>0</v>
      </c>
      <c r="N4800" t="n">
        <v>0</v>
      </c>
      <c r="O4800" t="n">
        <v>0</v>
      </c>
      <c r="P4800" t="n">
        <v>0</v>
      </c>
      <c r="Q4800" t="n">
        <v>0</v>
      </c>
      <c r="R4800" t="n">
        <v>0</v>
      </c>
      <c r="S4800" t="n">
        <v>0</v>
      </c>
      <c r="T4800" t="n">
        <v>0</v>
      </c>
      <c r="U4800" t="n">
        <v>0</v>
      </c>
      <c r="V4800" s="2" t="inlineStr"/>
    </row>
    <row r="4801" ht="15" customHeight="1">
      <c r="A4801" t="inlineStr">
        <is>
          <t>A 63812-2021</t>
        </is>
      </c>
      <c r="B4801" t="inlineStr">
        <is>
          <t>avverkningsanmälan</t>
        </is>
      </c>
      <c r="C4801" t="inlineStr">
        <is>
          <t>Föryngringsavverkning</t>
        </is>
      </c>
      <c r="D4801" s="1" t="n">
        <v>44509</v>
      </c>
      <c r="E4801" s="1" t="n">
        <v>46323</v>
      </c>
      <c r="F4801" t="inlineStr">
        <is>
          <t>KALMAR LÄN</t>
        </is>
      </c>
      <c r="G4801" t="inlineStr">
        <is>
          <t>VÄSTERVIK</t>
        </is>
      </c>
      <c r="I4801" t="n">
        <v>2.1</v>
      </c>
      <c r="J4801" t="n">
        <v>0</v>
      </c>
      <c r="K4801" t="n">
        <v>0</v>
      </c>
      <c r="L4801" t="n">
        <v>0</v>
      </c>
      <c r="M4801" t="n">
        <v>0</v>
      </c>
      <c r="N4801" t="n">
        <v>0</v>
      </c>
      <c r="O4801" t="n">
        <v>0</v>
      </c>
      <c r="P4801" t="n">
        <v>0</v>
      </c>
      <c r="Q4801" t="n">
        <v>0</v>
      </c>
      <c r="R4801" t="n">
        <v>0</v>
      </c>
      <c r="S4801" t="n">
        <v>0</v>
      </c>
      <c r="T4801" t="n">
        <v>0</v>
      </c>
      <c r="U4801" t="n">
        <v>0</v>
      </c>
      <c r="V4801" s="2" t="inlineStr"/>
    </row>
    <row r="4802" ht="15" customHeight="1">
      <c r="A4802" t="inlineStr">
        <is>
          <t>A 4898-2023</t>
        </is>
      </c>
      <c r="B4802" t="inlineStr">
        <is>
          <t>avverkningsanmälan</t>
        </is>
      </c>
      <c r="C4802" t="inlineStr">
        <is>
          <t>Föryngringsavverkning</t>
        </is>
      </c>
      <c r="D4802" s="1" t="n">
        <v>44958</v>
      </c>
      <c r="E4802" s="1" t="n">
        <v>46323</v>
      </c>
      <c r="F4802" t="inlineStr">
        <is>
          <t>KALMAR LÄN</t>
        </is>
      </c>
      <c r="G4802" t="inlineStr">
        <is>
          <t>TORSÅS</t>
        </is>
      </c>
      <c r="H4802" t="inlineStr">
        <is>
          <t>Övriga Aktiebolag</t>
        </is>
      </c>
      <c r="I4802" t="n">
        <v>2.3</v>
      </c>
      <c r="J4802" t="n">
        <v>0</v>
      </c>
      <c r="K4802" t="n">
        <v>0</v>
      </c>
      <c r="L4802" t="n">
        <v>0</v>
      </c>
      <c r="M4802" t="n">
        <v>0</v>
      </c>
      <c r="N4802" t="n">
        <v>0</v>
      </c>
      <c r="O4802" t="n">
        <v>0</v>
      </c>
      <c r="P4802" t="n">
        <v>0</v>
      </c>
      <c r="Q4802" t="n">
        <v>0</v>
      </c>
      <c r="R4802" t="n">
        <v>0</v>
      </c>
      <c r="S4802" t="n">
        <v>0</v>
      </c>
      <c r="T4802" t="n">
        <v>0</v>
      </c>
      <c r="U4802" t="n">
        <v>0</v>
      </c>
      <c r="V4802" s="2" t="inlineStr"/>
    </row>
    <row r="4803" ht="15" customHeight="1">
      <c r="A4803" t="inlineStr">
        <is>
          <t>A 15205-2026</t>
        </is>
      </c>
      <c r="B4803" t="inlineStr">
        <is>
          <t>avverkningsanmälan</t>
        </is>
      </c>
      <c r="C4803" t="inlineStr">
        <is>
          <t>Föryngringsavverkning</t>
        </is>
      </c>
      <c r="D4803" s="1" t="n">
        <v>46105</v>
      </c>
      <c r="E4803" s="1" t="n">
        <v>46323</v>
      </c>
      <c r="F4803" t="inlineStr">
        <is>
          <t>KALMAR LÄN</t>
        </is>
      </c>
      <c r="G4803" t="inlineStr">
        <is>
          <t>VIMMERBY</t>
        </is>
      </c>
      <c r="I4803" t="n">
        <v>2.1</v>
      </c>
      <c r="J4803" t="n">
        <v>0</v>
      </c>
      <c r="K4803" t="n">
        <v>0</v>
      </c>
      <c r="L4803" t="n">
        <v>0</v>
      </c>
      <c r="M4803" t="n">
        <v>0</v>
      </c>
      <c r="N4803" t="n">
        <v>0</v>
      </c>
      <c r="O4803" t="n">
        <v>0</v>
      </c>
      <c r="P4803" t="n">
        <v>0</v>
      </c>
      <c r="Q4803" t="n">
        <v>0</v>
      </c>
      <c r="R4803" t="n">
        <v>0</v>
      </c>
      <c r="S4803" t="n">
        <v>0</v>
      </c>
      <c r="T4803" t="n">
        <v>0</v>
      </c>
      <c r="U4803" t="n">
        <v>0</v>
      </c>
      <c r="V4803" s="2" t="inlineStr"/>
    </row>
    <row r="4804" ht="15" customHeight="1">
      <c r="A4804" t="inlineStr">
        <is>
          <t>A 59196-2024</t>
        </is>
      </c>
      <c r="B4804" t="inlineStr">
        <is>
          <t>avverkningsanmälan</t>
        </is>
      </c>
      <c r="C4804" t="inlineStr">
        <is>
          <t>Föryngringsavverkning</t>
        </is>
      </c>
      <c r="D4804" s="1" t="n">
        <v>45637</v>
      </c>
      <c r="E4804" s="1" t="n">
        <v>46323</v>
      </c>
      <c r="F4804" t="inlineStr">
        <is>
          <t>KALMAR LÄN</t>
        </is>
      </c>
      <c r="G4804" t="inlineStr">
        <is>
          <t>VÄSTERVIK</t>
        </is>
      </c>
      <c r="I4804" t="n">
        <v>1.7</v>
      </c>
      <c r="J4804" t="n">
        <v>0</v>
      </c>
      <c r="K4804" t="n">
        <v>0</v>
      </c>
      <c r="L4804" t="n">
        <v>0</v>
      </c>
      <c r="M4804" t="n">
        <v>0</v>
      </c>
      <c r="N4804" t="n">
        <v>0</v>
      </c>
      <c r="O4804" t="n">
        <v>0</v>
      </c>
      <c r="P4804" t="n">
        <v>0</v>
      </c>
      <c r="Q4804" t="n">
        <v>0</v>
      </c>
      <c r="R4804" t="n">
        <v>0</v>
      </c>
      <c r="S4804" t="n">
        <v>0</v>
      </c>
      <c r="T4804" t="n">
        <v>0</v>
      </c>
      <c r="U4804" t="n">
        <v>0</v>
      </c>
      <c r="V4804" s="2" t="inlineStr"/>
    </row>
    <row r="4805" ht="15" customHeight="1">
      <c r="A4805" t="inlineStr">
        <is>
          <t>A 53542-2022</t>
        </is>
      </c>
      <c r="B4805" t="inlineStr">
        <is>
          <t>avverkningsanmälan</t>
        </is>
      </c>
      <c r="C4805" t="inlineStr">
        <is>
          <t>Föryngringsavverkning</t>
        </is>
      </c>
      <c r="D4805" s="1" t="n">
        <v>44879</v>
      </c>
      <c r="E4805" s="1" t="n">
        <v>46323</v>
      </c>
      <c r="F4805" t="inlineStr">
        <is>
          <t>KALMAR LÄN</t>
        </is>
      </c>
      <c r="G4805" t="inlineStr">
        <is>
          <t>VIMMERBY</t>
        </is>
      </c>
      <c r="I4805" t="n">
        <v>2.6</v>
      </c>
      <c r="J4805" t="n">
        <v>0</v>
      </c>
      <c r="K4805" t="n">
        <v>0</v>
      </c>
      <c r="L4805" t="n">
        <v>0</v>
      </c>
      <c r="M4805" t="n">
        <v>0</v>
      </c>
      <c r="N4805" t="n">
        <v>0</v>
      </c>
      <c r="O4805" t="n">
        <v>0</v>
      </c>
      <c r="P4805" t="n">
        <v>0</v>
      </c>
      <c r="Q4805" t="n">
        <v>0</v>
      </c>
      <c r="R4805" t="n">
        <v>0</v>
      </c>
      <c r="S4805" t="n">
        <v>0</v>
      </c>
      <c r="T4805" t="n">
        <v>0</v>
      </c>
      <c r="U4805" t="n">
        <v>0</v>
      </c>
      <c r="V4805" s="2" t="inlineStr"/>
    </row>
    <row r="4806" ht="15" customHeight="1">
      <c r="A4806" t="inlineStr">
        <is>
          <t>A 57924-2024</t>
        </is>
      </c>
      <c r="B4806" t="inlineStr">
        <is>
          <t>avverkningsanmälan</t>
        </is>
      </c>
      <c r="C4806" t="inlineStr">
        <is>
          <t>Föryngringsavverkning</t>
        </is>
      </c>
      <c r="D4806" s="1" t="n">
        <v>45631</v>
      </c>
      <c r="E4806" s="1" t="n">
        <v>46323</v>
      </c>
      <c r="F4806" t="inlineStr">
        <is>
          <t>KALMAR LÄN</t>
        </is>
      </c>
      <c r="G4806" t="inlineStr">
        <is>
          <t>VÄSTERVIK</t>
        </is>
      </c>
      <c r="I4806" t="n">
        <v>0.8</v>
      </c>
      <c r="J4806" t="n">
        <v>0</v>
      </c>
      <c r="K4806" t="n">
        <v>0</v>
      </c>
      <c r="L4806" t="n">
        <v>0</v>
      </c>
      <c r="M4806" t="n">
        <v>0</v>
      </c>
      <c r="N4806" t="n">
        <v>0</v>
      </c>
      <c r="O4806" t="n">
        <v>0</v>
      </c>
      <c r="P4806" t="n">
        <v>0</v>
      </c>
      <c r="Q4806" t="n">
        <v>0</v>
      </c>
      <c r="R4806" t="n">
        <v>0</v>
      </c>
      <c r="S4806" t="n">
        <v>0</v>
      </c>
      <c r="T4806" t="n">
        <v>0</v>
      </c>
      <c r="U4806" t="n">
        <v>0</v>
      </c>
      <c r="V4806" s="2" t="inlineStr"/>
    </row>
    <row r="4807" ht="15" customHeight="1">
      <c r="A4807" t="inlineStr">
        <is>
          <t>A 29543-2024</t>
        </is>
      </c>
      <c r="B4807" t="inlineStr">
        <is>
          <t>avverkningsanmälan</t>
        </is>
      </c>
      <c r="C4807" t="inlineStr">
        <is>
          <t>Föryngringsavverkning</t>
        </is>
      </c>
      <c r="D4807" s="1" t="n">
        <v>45484</v>
      </c>
      <c r="E4807" s="1" t="n">
        <v>46323</v>
      </c>
      <c r="F4807" t="inlineStr">
        <is>
          <t>KALMAR LÄN</t>
        </is>
      </c>
      <c r="G4807" t="inlineStr">
        <is>
          <t>NYBRO</t>
        </is>
      </c>
      <c r="I4807" t="n">
        <v>0.5</v>
      </c>
      <c r="J4807" t="n">
        <v>0</v>
      </c>
      <c r="K4807" t="n">
        <v>0</v>
      </c>
      <c r="L4807" t="n">
        <v>0</v>
      </c>
      <c r="M4807" t="n">
        <v>0</v>
      </c>
      <c r="N4807" t="n">
        <v>0</v>
      </c>
      <c r="O4807" t="n">
        <v>0</v>
      </c>
      <c r="P4807" t="n">
        <v>0</v>
      </c>
      <c r="Q4807" t="n">
        <v>0</v>
      </c>
      <c r="R4807" t="n">
        <v>0</v>
      </c>
      <c r="S4807" t="n">
        <v>0</v>
      </c>
      <c r="T4807" t="n">
        <v>0</v>
      </c>
      <c r="U4807" t="n">
        <v>0</v>
      </c>
      <c r="V4807" s="2" t="inlineStr"/>
    </row>
    <row r="4808" ht="15" customHeight="1">
      <c r="A4808" t="inlineStr">
        <is>
          <t>A 24311-2026</t>
        </is>
      </c>
      <c r="B4808" t="inlineStr">
        <is>
          <t>avverkningsanmälan</t>
        </is>
      </c>
      <c r="C4808" t="inlineStr">
        <is>
          <t>Föryngringsavverkning</t>
        </is>
      </c>
      <c r="D4808" s="1" t="n">
        <v>46169</v>
      </c>
      <c r="E4808" s="1" t="n">
        <v>46323</v>
      </c>
      <c r="F4808" t="inlineStr">
        <is>
          <t>KALMAR LÄN</t>
        </is>
      </c>
      <c r="G4808" t="inlineStr">
        <is>
          <t>MÖNSTERÅS</t>
        </is>
      </c>
      <c r="I4808" t="n">
        <v>3.2</v>
      </c>
      <c r="J4808" t="n">
        <v>0</v>
      </c>
      <c r="K4808" t="n">
        <v>0</v>
      </c>
      <c r="L4808" t="n">
        <v>0</v>
      </c>
      <c r="M4808" t="n">
        <v>0</v>
      </c>
      <c r="N4808" t="n">
        <v>0</v>
      </c>
      <c r="O4808" t="n">
        <v>0</v>
      </c>
      <c r="P4808" t="n">
        <v>0</v>
      </c>
      <c r="Q4808" t="n">
        <v>0</v>
      </c>
      <c r="R4808" t="n">
        <v>0</v>
      </c>
      <c r="S4808" t="n">
        <v>0</v>
      </c>
      <c r="T4808" t="n">
        <v>0</v>
      </c>
      <c r="U4808" t="n">
        <v>0</v>
      </c>
      <c r="V4808" s="2" t="inlineStr"/>
    </row>
    <row r="4809" ht="15" customHeight="1">
      <c r="A4809" t="inlineStr">
        <is>
          <t>A 24338-2026</t>
        </is>
      </c>
      <c r="B4809" t="inlineStr">
        <is>
          <t>avverkningsanmälan</t>
        </is>
      </c>
      <c r="C4809" t="inlineStr">
        <is>
          <t>Avverkning för att bevara och utveckla /försöksver</t>
        </is>
      </c>
      <c r="D4809" s="1" t="n">
        <v>46169</v>
      </c>
      <c r="E4809" s="1" t="n">
        <v>46323</v>
      </c>
      <c r="F4809" t="inlineStr">
        <is>
          <t>KALMAR LÄN</t>
        </is>
      </c>
      <c r="G4809" t="inlineStr">
        <is>
          <t>BORGHOLM</t>
        </is>
      </c>
      <c r="H4809" t="inlineStr">
        <is>
          <t>Sveaskog</t>
        </is>
      </c>
      <c r="I4809" t="n">
        <v>1.1</v>
      </c>
      <c r="J4809" t="n">
        <v>0</v>
      </c>
      <c r="K4809" t="n">
        <v>0</v>
      </c>
      <c r="L4809" t="n">
        <v>0</v>
      </c>
      <c r="M4809" t="n">
        <v>0</v>
      </c>
      <c r="N4809" t="n">
        <v>0</v>
      </c>
      <c r="O4809" t="n">
        <v>0</v>
      </c>
      <c r="P4809" t="n">
        <v>0</v>
      </c>
      <c r="Q4809" t="n">
        <v>0</v>
      </c>
      <c r="R4809" t="n">
        <v>0</v>
      </c>
      <c r="S4809" t="n">
        <v>0</v>
      </c>
      <c r="T4809" t="n">
        <v>0</v>
      </c>
      <c r="U4809" t="n">
        <v>0</v>
      </c>
      <c r="V4809" s="2" t="inlineStr"/>
    </row>
    <row r="4810" ht="15" customHeight="1">
      <c r="A4810" t="inlineStr">
        <is>
          <t>A 35713-2023</t>
        </is>
      </c>
      <c r="B4810" t="inlineStr">
        <is>
          <t>avverkningsanmälan</t>
        </is>
      </c>
      <c r="C4810" t="inlineStr">
        <is>
          <t>Föryngringsavverkning</t>
        </is>
      </c>
      <c r="D4810" s="1" t="n">
        <v>45147</v>
      </c>
      <c r="E4810" s="1" t="n">
        <v>46323</v>
      </c>
      <c r="F4810" t="inlineStr">
        <is>
          <t>KALMAR LÄN</t>
        </is>
      </c>
      <c r="G4810" t="inlineStr">
        <is>
          <t>VIMMERBY</t>
        </is>
      </c>
      <c r="I4810" t="n">
        <v>1.6</v>
      </c>
      <c r="J4810" t="n">
        <v>0</v>
      </c>
      <c r="K4810" t="n">
        <v>0</v>
      </c>
      <c r="L4810" t="n">
        <v>0</v>
      </c>
      <c r="M4810" t="n">
        <v>0</v>
      </c>
      <c r="N4810" t="n">
        <v>0</v>
      </c>
      <c r="O4810" t="n">
        <v>0</v>
      </c>
      <c r="P4810" t="n">
        <v>0</v>
      </c>
      <c r="Q4810" t="n">
        <v>0</v>
      </c>
      <c r="R4810" t="n">
        <v>0</v>
      </c>
      <c r="S4810" t="n">
        <v>0</v>
      </c>
      <c r="T4810" t="n">
        <v>0</v>
      </c>
      <c r="U4810" t="n">
        <v>0</v>
      </c>
      <c r="V4810" s="2" t="inlineStr"/>
    </row>
    <row r="4811" ht="15" customHeight="1">
      <c r="A4811" t="inlineStr">
        <is>
          <t>A 13204-2024</t>
        </is>
      </c>
      <c r="B4811" t="inlineStr">
        <is>
          <t>avverkningsanmälan</t>
        </is>
      </c>
      <c r="C4811" t="inlineStr">
        <is>
          <t>Avverkning för annat ändamål</t>
        </is>
      </c>
      <c r="D4811" s="1" t="n">
        <v>45386</v>
      </c>
      <c r="E4811" s="1" t="n">
        <v>46323</v>
      </c>
      <c r="F4811" t="inlineStr">
        <is>
          <t>KALMAR LÄN</t>
        </is>
      </c>
      <c r="G4811" t="inlineStr">
        <is>
          <t>OSKARSHAMN</t>
        </is>
      </c>
      <c r="I4811" t="n">
        <v>5.8</v>
      </c>
      <c r="J4811" t="n">
        <v>0</v>
      </c>
      <c r="K4811" t="n">
        <v>0</v>
      </c>
      <c r="L4811" t="n">
        <v>0</v>
      </c>
      <c r="M4811" t="n">
        <v>0</v>
      </c>
      <c r="N4811" t="n">
        <v>0</v>
      </c>
      <c r="O4811" t="n">
        <v>0</v>
      </c>
      <c r="P4811" t="n">
        <v>0</v>
      </c>
      <c r="Q4811" t="n">
        <v>0</v>
      </c>
      <c r="R4811" t="n">
        <v>0</v>
      </c>
      <c r="S4811" t="n">
        <v>0</v>
      </c>
      <c r="T4811" t="n">
        <v>0</v>
      </c>
      <c r="U4811" t="n">
        <v>0</v>
      </c>
      <c r="V4811" s="2" t="inlineStr"/>
    </row>
    <row r="4812" ht="15" customHeight="1">
      <c r="A4812" t="inlineStr">
        <is>
          <t>A 15310-2026</t>
        </is>
      </c>
      <c r="B4812" t="inlineStr">
        <is>
          <t>avverkningsanmälan</t>
        </is>
      </c>
      <c r="C4812" t="inlineStr">
        <is>
          <t>Föryngringsavverkning</t>
        </is>
      </c>
      <c r="D4812" s="1" t="n">
        <v>46105</v>
      </c>
      <c r="E4812" s="1" t="n">
        <v>46323</v>
      </c>
      <c r="F4812" t="inlineStr">
        <is>
          <t>KALMAR LÄN</t>
        </is>
      </c>
      <c r="G4812" t="inlineStr">
        <is>
          <t>OSKARSHAMN</t>
        </is>
      </c>
      <c r="I4812" t="n">
        <v>1.2</v>
      </c>
      <c r="J4812" t="n">
        <v>0</v>
      </c>
      <c r="K4812" t="n">
        <v>0</v>
      </c>
      <c r="L4812" t="n">
        <v>0</v>
      </c>
      <c r="M4812" t="n">
        <v>0</v>
      </c>
      <c r="N4812" t="n">
        <v>0</v>
      </c>
      <c r="O4812" t="n">
        <v>0</v>
      </c>
      <c r="P4812" t="n">
        <v>0</v>
      </c>
      <c r="Q4812" t="n">
        <v>0</v>
      </c>
      <c r="R4812" t="n">
        <v>0</v>
      </c>
      <c r="S4812" t="n">
        <v>0</v>
      </c>
      <c r="T4812" t="n">
        <v>0</v>
      </c>
      <c r="U4812" t="n">
        <v>0</v>
      </c>
      <c r="V4812" s="2" t="inlineStr"/>
    </row>
    <row r="4813" ht="15" customHeight="1">
      <c r="A4813" t="inlineStr">
        <is>
          <t>A 4024-2024</t>
        </is>
      </c>
      <c r="B4813" t="inlineStr">
        <is>
          <t>avverkningsanmälan</t>
        </is>
      </c>
      <c r="C4813" t="inlineStr">
        <is>
          <t>Föryngringsavverkning</t>
        </is>
      </c>
      <c r="D4813" s="1" t="n">
        <v>45323</v>
      </c>
      <c r="E4813" s="1" t="n">
        <v>46323</v>
      </c>
      <c r="F4813" t="inlineStr">
        <is>
          <t>KALMAR LÄN</t>
        </is>
      </c>
      <c r="G4813" t="inlineStr">
        <is>
          <t>EMMABODA</t>
        </is>
      </c>
      <c r="I4813" t="n">
        <v>3.3</v>
      </c>
      <c r="J4813" t="n">
        <v>0</v>
      </c>
      <c r="K4813" t="n">
        <v>0</v>
      </c>
      <c r="L4813" t="n">
        <v>0</v>
      </c>
      <c r="M4813" t="n">
        <v>0</v>
      </c>
      <c r="N4813" t="n">
        <v>0</v>
      </c>
      <c r="O4813" t="n">
        <v>0</v>
      </c>
      <c r="P4813" t="n">
        <v>0</v>
      </c>
      <c r="Q4813" t="n">
        <v>0</v>
      </c>
      <c r="R4813" t="n">
        <v>0</v>
      </c>
      <c r="S4813" t="n">
        <v>0</v>
      </c>
      <c r="T4813" t="n">
        <v>0</v>
      </c>
      <c r="U4813" t="n">
        <v>0</v>
      </c>
      <c r="V4813" s="2" t="inlineStr"/>
    </row>
    <row r="4814" ht="15" customHeight="1">
      <c r="A4814" t="inlineStr">
        <is>
          <t>A 42816-2024</t>
        </is>
      </c>
      <c r="B4814" t="inlineStr">
        <is>
          <t>avverkningsanmälan</t>
        </is>
      </c>
      <c r="C4814" t="inlineStr">
        <is>
          <t>Avverkning för annat ändamål</t>
        </is>
      </c>
      <c r="D4814" s="1" t="n">
        <v>45566</v>
      </c>
      <c r="E4814" s="1" t="n">
        <v>46323</v>
      </c>
      <c r="F4814" t="inlineStr">
        <is>
          <t>KALMAR LÄN</t>
        </is>
      </c>
      <c r="G4814" t="inlineStr">
        <is>
          <t>VÄSTERVIK</t>
        </is>
      </c>
      <c r="I4814" t="n">
        <v>0.1</v>
      </c>
      <c r="J4814" t="n">
        <v>0</v>
      </c>
      <c r="K4814" t="n">
        <v>0</v>
      </c>
      <c r="L4814" t="n">
        <v>0</v>
      </c>
      <c r="M4814" t="n">
        <v>0</v>
      </c>
      <c r="N4814" t="n">
        <v>0</v>
      </c>
      <c r="O4814" t="n">
        <v>0</v>
      </c>
      <c r="P4814" t="n">
        <v>0</v>
      </c>
      <c r="Q4814" t="n">
        <v>0</v>
      </c>
      <c r="R4814" t="n">
        <v>0</v>
      </c>
      <c r="S4814" t="n">
        <v>0</v>
      </c>
      <c r="T4814" t="n">
        <v>0</v>
      </c>
      <c r="U4814" t="n">
        <v>0</v>
      </c>
      <c r="V4814" s="2" t="inlineStr"/>
    </row>
    <row r="4815" ht="15" customHeight="1">
      <c r="A4815" t="inlineStr">
        <is>
          <t>A 56705-2023</t>
        </is>
      </c>
      <c r="B4815" t="inlineStr">
        <is>
          <t>avverkningsanmälan</t>
        </is>
      </c>
      <c r="C4815" t="inlineStr">
        <is>
          <t>Föryngringsavverkning</t>
        </is>
      </c>
      <c r="D4815" s="1" t="n">
        <v>45244</v>
      </c>
      <c r="E4815" s="1" t="n">
        <v>46323</v>
      </c>
      <c r="F4815" t="inlineStr">
        <is>
          <t>KALMAR LÄN</t>
        </is>
      </c>
      <c r="G4815" t="inlineStr">
        <is>
          <t>HÖGSBY</t>
        </is>
      </c>
      <c r="I4815" t="n">
        <v>0.3</v>
      </c>
      <c r="J4815" t="n">
        <v>0</v>
      </c>
      <c r="K4815" t="n">
        <v>0</v>
      </c>
      <c r="L4815" t="n">
        <v>0</v>
      </c>
      <c r="M4815" t="n">
        <v>0</v>
      </c>
      <c r="N4815" t="n">
        <v>0</v>
      </c>
      <c r="O4815" t="n">
        <v>0</v>
      </c>
      <c r="P4815" t="n">
        <v>0</v>
      </c>
      <c r="Q4815" t="n">
        <v>0</v>
      </c>
      <c r="R4815" t="n">
        <v>0</v>
      </c>
      <c r="S4815" t="n">
        <v>0</v>
      </c>
      <c r="T4815" t="n">
        <v>0</v>
      </c>
      <c r="U4815" t="n">
        <v>0</v>
      </c>
      <c r="V4815" s="2" t="inlineStr"/>
    </row>
    <row r="4816" ht="15" customHeight="1">
      <c r="A4816" t="inlineStr">
        <is>
          <t>A 45568-2023</t>
        </is>
      </c>
      <c r="B4816" t="inlineStr">
        <is>
          <t>avverkningsanmälan</t>
        </is>
      </c>
      <c r="C4816" t="inlineStr">
        <is>
          <t>Föryngringsavverkning</t>
        </is>
      </c>
      <c r="D4816" s="1" t="n">
        <v>45194</v>
      </c>
      <c r="E4816" s="1" t="n">
        <v>46323</v>
      </c>
      <c r="F4816" t="inlineStr">
        <is>
          <t>KALMAR LÄN</t>
        </is>
      </c>
      <c r="G4816" t="inlineStr">
        <is>
          <t>TORSÅS</t>
        </is>
      </c>
      <c r="I4816" t="n">
        <v>4.3</v>
      </c>
      <c r="J4816" t="n">
        <v>0</v>
      </c>
      <c r="K4816" t="n">
        <v>0</v>
      </c>
      <c r="L4816" t="n">
        <v>0</v>
      </c>
      <c r="M4816" t="n">
        <v>0</v>
      </c>
      <c r="N4816" t="n">
        <v>0</v>
      </c>
      <c r="O4816" t="n">
        <v>0</v>
      </c>
      <c r="P4816" t="n">
        <v>0</v>
      </c>
      <c r="Q4816" t="n">
        <v>0</v>
      </c>
      <c r="R4816" t="n">
        <v>0</v>
      </c>
      <c r="S4816" t="n">
        <v>0</v>
      </c>
      <c r="T4816" t="n">
        <v>0</v>
      </c>
      <c r="U4816" t="n">
        <v>0</v>
      </c>
      <c r="V4816" s="2" t="inlineStr"/>
    </row>
    <row r="4817" ht="15" customHeight="1">
      <c r="A4817" t="inlineStr">
        <is>
          <t>A 49878-2022</t>
        </is>
      </c>
      <c r="B4817" t="inlineStr">
        <is>
          <t>avverkningsanmälan</t>
        </is>
      </c>
      <c r="C4817" t="inlineStr">
        <is>
          <t>Föryngringsavverkning</t>
        </is>
      </c>
      <c r="D4817" s="1" t="n">
        <v>44864</v>
      </c>
      <c r="E4817" s="1" t="n">
        <v>46323</v>
      </c>
      <c r="F4817" t="inlineStr">
        <is>
          <t>KALMAR LÄN</t>
        </is>
      </c>
      <c r="G4817" t="inlineStr">
        <is>
          <t>KALMAR</t>
        </is>
      </c>
      <c r="I4817" t="n">
        <v>0.7</v>
      </c>
      <c r="J4817" t="n">
        <v>0</v>
      </c>
      <c r="K4817" t="n">
        <v>0</v>
      </c>
      <c r="L4817" t="n">
        <v>0</v>
      </c>
      <c r="M4817" t="n">
        <v>0</v>
      </c>
      <c r="N4817" t="n">
        <v>0</v>
      </c>
      <c r="O4817" t="n">
        <v>0</v>
      </c>
      <c r="P4817" t="n">
        <v>0</v>
      </c>
      <c r="Q4817" t="n">
        <v>0</v>
      </c>
      <c r="R4817" t="n">
        <v>0</v>
      </c>
      <c r="S4817" t="n">
        <v>0</v>
      </c>
      <c r="T4817" t="n">
        <v>0</v>
      </c>
      <c r="U4817" t="n">
        <v>0</v>
      </c>
      <c r="V4817" s="2" t="inlineStr"/>
    </row>
    <row r="4818" ht="15" customHeight="1">
      <c r="A4818" t="inlineStr">
        <is>
          <t>A 49929-2022</t>
        </is>
      </c>
      <c r="B4818" t="inlineStr">
        <is>
          <t>avverkningsanmälan</t>
        </is>
      </c>
      <c r="C4818" t="inlineStr">
        <is>
          <t>Föryngringsavverkning</t>
        </is>
      </c>
      <c r="D4818" s="1" t="n">
        <v>44865</v>
      </c>
      <c r="E4818" s="1" t="n">
        <v>46323</v>
      </c>
      <c r="F4818" t="inlineStr">
        <is>
          <t>KALMAR LÄN</t>
        </is>
      </c>
      <c r="G4818" t="inlineStr">
        <is>
          <t>NYBRO</t>
        </is>
      </c>
      <c r="I4818" t="n">
        <v>1.1</v>
      </c>
      <c r="J4818" t="n">
        <v>0</v>
      </c>
      <c r="K4818" t="n">
        <v>0</v>
      </c>
      <c r="L4818" t="n">
        <v>0</v>
      </c>
      <c r="M4818" t="n">
        <v>0</v>
      </c>
      <c r="N4818" t="n">
        <v>0</v>
      </c>
      <c r="O4818" t="n">
        <v>0</v>
      </c>
      <c r="P4818" t="n">
        <v>0</v>
      </c>
      <c r="Q4818" t="n">
        <v>0</v>
      </c>
      <c r="R4818" t="n">
        <v>0</v>
      </c>
      <c r="S4818" t="n">
        <v>0</v>
      </c>
      <c r="T4818" t="n">
        <v>0</v>
      </c>
      <c r="U4818" t="n">
        <v>0</v>
      </c>
      <c r="V4818" s="2" t="inlineStr"/>
    </row>
    <row r="4819" ht="15" customHeight="1">
      <c r="A4819" t="inlineStr">
        <is>
          <t>A 15272-2026</t>
        </is>
      </c>
      <c r="B4819" t="inlineStr">
        <is>
          <t>avverkningsanmälan</t>
        </is>
      </c>
      <c r="C4819" t="inlineStr">
        <is>
          <t>Avverkning för att bevara och utveckla /försöksver</t>
        </is>
      </c>
      <c r="D4819" s="1" t="n">
        <v>46105</v>
      </c>
      <c r="E4819" s="1" t="n">
        <v>46323</v>
      </c>
      <c r="F4819" t="inlineStr">
        <is>
          <t>KALMAR LÄN</t>
        </is>
      </c>
      <c r="G4819" t="inlineStr">
        <is>
          <t>BORGHOLM</t>
        </is>
      </c>
      <c r="H4819" t="inlineStr">
        <is>
          <t>Sveaskog</t>
        </is>
      </c>
      <c r="I4819" t="n">
        <v>2.9</v>
      </c>
      <c r="J4819" t="n">
        <v>0</v>
      </c>
      <c r="K4819" t="n">
        <v>0</v>
      </c>
      <c r="L4819" t="n">
        <v>0</v>
      </c>
      <c r="M4819" t="n">
        <v>0</v>
      </c>
      <c r="N4819" t="n">
        <v>0</v>
      </c>
      <c r="O4819" t="n">
        <v>0</v>
      </c>
      <c r="P4819" t="n">
        <v>0</v>
      </c>
      <c r="Q4819" t="n">
        <v>0</v>
      </c>
      <c r="R4819" t="n">
        <v>0</v>
      </c>
      <c r="S4819" t="n">
        <v>0</v>
      </c>
      <c r="T4819" t="n">
        <v>0</v>
      </c>
      <c r="U4819" t="n">
        <v>0</v>
      </c>
      <c r="V4819" s="2" t="inlineStr"/>
    </row>
    <row r="4820" ht="15" customHeight="1">
      <c r="A4820" t="inlineStr">
        <is>
          <t>A 15316-2026</t>
        </is>
      </c>
      <c r="B4820" t="inlineStr">
        <is>
          <t>avverkningsanmälan</t>
        </is>
      </c>
      <c r="C4820" t="inlineStr">
        <is>
          <t>Föryngringsavverkning</t>
        </is>
      </c>
      <c r="D4820" s="1" t="n">
        <v>46105</v>
      </c>
      <c r="E4820" s="1" t="n">
        <v>46323</v>
      </c>
      <c r="F4820" t="inlineStr">
        <is>
          <t>KALMAR LÄN</t>
        </is>
      </c>
      <c r="G4820" t="inlineStr">
        <is>
          <t>OSKARSHAMN</t>
        </is>
      </c>
      <c r="I4820" t="n">
        <v>0.9</v>
      </c>
      <c r="J4820" t="n">
        <v>0</v>
      </c>
      <c r="K4820" t="n">
        <v>0</v>
      </c>
      <c r="L4820" t="n">
        <v>0</v>
      </c>
      <c r="M4820" t="n">
        <v>0</v>
      </c>
      <c r="N4820" t="n">
        <v>0</v>
      </c>
      <c r="O4820" t="n">
        <v>0</v>
      </c>
      <c r="P4820" t="n">
        <v>0</v>
      </c>
      <c r="Q4820" t="n">
        <v>0</v>
      </c>
      <c r="R4820" t="n">
        <v>0</v>
      </c>
      <c r="S4820" t="n">
        <v>0</v>
      </c>
      <c r="T4820" t="n">
        <v>0</v>
      </c>
      <c r="U4820" t="n">
        <v>0</v>
      </c>
      <c r="V4820" s="2" t="inlineStr"/>
    </row>
    <row r="4821" ht="15" customHeight="1">
      <c r="A4821" t="inlineStr">
        <is>
          <t>A 1699-2023</t>
        </is>
      </c>
      <c r="B4821" t="inlineStr">
        <is>
          <t>avverkningsanmälan</t>
        </is>
      </c>
      <c r="C4821" t="inlineStr">
        <is>
          <t>Föryngringsavverkning</t>
        </is>
      </c>
      <c r="D4821" s="1" t="n">
        <v>44935</v>
      </c>
      <c r="E4821" s="1" t="n">
        <v>46323</v>
      </c>
      <c r="F4821" t="inlineStr">
        <is>
          <t>KALMAR LÄN</t>
        </is>
      </c>
      <c r="G4821" t="inlineStr">
        <is>
          <t>VÄSTERVIK</t>
        </is>
      </c>
      <c r="I4821" t="n">
        <v>1.1</v>
      </c>
      <c r="J4821" t="n">
        <v>0</v>
      </c>
      <c r="K4821" t="n">
        <v>0</v>
      </c>
      <c r="L4821" t="n">
        <v>0</v>
      </c>
      <c r="M4821" t="n">
        <v>0</v>
      </c>
      <c r="N4821" t="n">
        <v>0</v>
      </c>
      <c r="O4821" t="n">
        <v>0</v>
      </c>
      <c r="P4821" t="n">
        <v>0</v>
      </c>
      <c r="Q4821" t="n">
        <v>0</v>
      </c>
      <c r="R4821" t="n">
        <v>0</v>
      </c>
      <c r="S4821" t="n">
        <v>0</v>
      </c>
      <c r="T4821" t="n">
        <v>0</v>
      </c>
      <c r="U4821" t="n">
        <v>0</v>
      </c>
      <c r="V4821" s="2" t="inlineStr"/>
    </row>
    <row r="4822" ht="15" customHeight="1">
      <c r="A4822" t="inlineStr">
        <is>
          <t>A 10424-2023</t>
        </is>
      </c>
      <c r="B4822" t="inlineStr">
        <is>
          <t>avverkningsanmälan</t>
        </is>
      </c>
      <c r="C4822" t="inlineStr">
        <is>
          <t>Föryngringsavverkning</t>
        </is>
      </c>
      <c r="D4822" s="1" t="n">
        <v>44987</v>
      </c>
      <c r="E4822" s="1" t="n">
        <v>46323</v>
      </c>
      <c r="F4822" t="inlineStr">
        <is>
          <t>KALMAR LÄN</t>
        </is>
      </c>
      <c r="G4822" t="inlineStr">
        <is>
          <t>VIMMERBY</t>
        </is>
      </c>
      <c r="I4822" t="n">
        <v>0.5</v>
      </c>
      <c r="J4822" t="n">
        <v>0</v>
      </c>
      <c r="K4822" t="n">
        <v>0</v>
      </c>
      <c r="L4822" t="n">
        <v>0</v>
      </c>
      <c r="M4822" t="n">
        <v>0</v>
      </c>
      <c r="N4822" t="n">
        <v>0</v>
      </c>
      <c r="O4822" t="n">
        <v>0</v>
      </c>
      <c r="P4822" t="n">
        <v>0</v>
      </c>
      <c r="Q4822" t="n">
        <v>0</v>
      </c>
      <c r="R4822" t="n">
        <v>0</v>
      </c>
      <c r="S4822" t="n">
        <v>0</v>
      </c>
      <c r="T4822" t="n">
        <v>0</v>
      </c>
      <c r="U4822" t="n">
        <v>0</v>
      </c>
      <c r="V4822" s="2" t="inlineStr"/>
    </row>
    <row r="4823" ht="15" customHeight="1">
      <c r="A4823" t="inlineStr">
        <is>
          <t>A 40243-2026</t>
        </is>
      </c>
      <c r="B4823" t="inlineStr">
        <is>
          <t>avverkningsanmälan</t>
        </is>
      </c>
      <c r="C4823" t="inlineStr">
        <is>
          <t>Föryngringsavverkning</t>
        </is>
      </c>
      <c r="D4823" s="1" t="n">
        <v>46294</v>
      </c>
      <c r="E4823" s="1" t="n">
        <v>46323</v>
      </c>
      <c r="F4823" t="inlineStr">
        <is>
          <t>KALMAR LÄN</t>
        </is>
      </c>
      <c r="G4823" t="inlineStr">
        <is>
          <t>VÄSTERVIK</t>
        </is>
      </c>
      <c r="I4823" t="n">
        <v>0.9</v>
      </c>
      <c r="J4823" t="n">
        <v>0</v>
      </c>
      <c r="K4823" t="n">
        <v>0</v>
      </c>
      <c r="L4823" t="n">
        <v>0</v>
      </c>
      <c r="M4823" t="n">
        <v>0</v>
      </c>
      <c r="N4823" t="n">
        <v>0</v>
      </c>
      <c r="O4823" t="n">
        <v>0</v>
      </c>
      <c r="P4823" t="n">
        <v>0</v>
      </c>
      <c r="Q4823" t="n">
        <v>0</v>
      </c>
      <c r="R4823" t="n">
        <v>0</v>
      </c>
      <c r="S4823" t="n">
        <v>0</v>
      </c>
      <c r="T4823" t="n">
        <v>0</v>
      </c>
      <c r="U4823" t="n">
        <v>0</v>
      </c>
      <c r="V4823" s="2" t="inlineStr"/>
    </row>
    <row r="4824" ht="15" customHeight="1">
      <c r="A4824" t="inlineStr">
        <is>
          <t>A 34059-2026</t>
        </is>
      </c>
      <c r="B4824" t="inlineStr">
        <is>
          <t>avverkningsanmälan</t>
        </is>
      </c>
      <c r="C4824" t="inlineStr">
        <is>
          <t>Föryngringsavverkning</t>
        </is>
      </c>
      <c r="D4824" s="1" t="n">
        <v>46251</v>
      </c>
      <c r="E4824" s="1" t="n">
        <v>46323</v>
      </c>
      <c r="F4824" t="inlineStr">
        <is>
          <t>KALMAR LÄN</t>
        </is>
      </c>
      <c r="G4824" t="inlineStr">
        <is>
          <t>VÄSTERVIK</t>
        </is>
      </c>
      <c r="I4824" t="n">
        <v>4.1</v>
      </c>
      <c r="J4824" t="n">
        <v>0</v>
      </c>
      <c r="K4824" t="n">
        <v>0</v>
      </c>
      <c r="L4824" t="n">
        <v>0</v>
      </c>
      <c r="M4824" t="n">
        <v>0</v>
      </c>
      <c r="N4824" t="n">
        <v>0</v>
      </c>
      <c r="O4824" t="n">
        <v>0</v>
      </c>
      <c r="P4824" t="n">
        <v>0</v>
      </c>
      <c r="Q4824" t="n">
        <v>0</v>
      </c>
      <c r="R4824" t="n">
        <v>0</v>
      </c>
      <c r="S4824" t="n">
        <v>0</v>
      </c>
      <c r="T4824" t="n">
        <v>0</v>
      </c>
      <c r="U4824" t="n">
        <v>0</v>
      </c>
      <c r="V4824" s="2" t="inlineStr"/>
    </row>
    <row r="4825" ht="15" customHeight="1">
      <c r="A4825" t="inlineStr">
        <is>
          <t>A 11074-2023</t>
        </is>
      </c>
      <c r="B4825" t="inlineStr">
        <is>
          <t>avverkningsanmälan</t>
        </is>
      </c>
      <c r="C4825" t="inlineStr">
        <is>
          <t>Föryngringsavverkning</t>
        </is>
      </c>
      <c r="D4825" s="1" t="n">
        <v>44992</v>
      </c>
      <c r="E4825" s="1" t="n">
        <v>46323</v>
      </c>
      <c r="F4825" t="inlineStr">
        <is>
          <t>KALMAR LÄN</t>
        </is>
      </c>
      <c r="G4825" t="inlineStr">
        <is>
          <t>VIMMERBY</t>
        </is>
      </c>
      <c r="H4825" t="inlineStr">
        <is>
          <t>Sveaskog</t>
        </is>
      </c>
      <c r="I4825" t="n">
        <v>3.1</v>
      </c>
      <c r="J4825" t="n">
        <v>0</v>
      </c>
      <c r="K4825" t="n">
        <v>0</v>
      </c>
      <c r="L4825" t="n">
        <v>0</v>
      </c>
      <c r="M4825" t="n">
        <v>0</v>
      </c>
      <c r="N4825" t="n">
        <v>0</v>
      </c>
      <c r="O4825" t="n">
        <v>0</v>
      </c>
      <c r="P4825" t="n">
        <v>0</v>
      </c>
      <c r="Q4825" t="n">
        <v>0</v>
      </c>
      <c r="R4825" t="n">
        <v>0</v>
      </c>
      <c r="S4825" t="n">
        <v>0</v>
      </c>
      <c r="T4825" t="n">
        <v>0</v>
      </c>
      <c r="U4825" t="n">
        <v>0</v>
      </c>
      <c r="V4825" s="2" t="inlineStr"/>
    </row>
    <row r="4826" ht="15" customHeight="1">
      <c r="A4826" t="inlineStr">
        <is>
          <t>A 28238-2024</t>
        </is>
      </c>
      <c r="B4826" t="inlineStr">
        <is>
          <t>avverkningsanmälan</t>
        </is>
      </c>
      <c r="C4826" t="inlineStr">
        <is>
          <t>Föryngringsavverkning</t>
        </is>
      </c>
      <c r="D4826" s="1" t="n">
        <v>45477</v>
      </c>
      <c r="E4826" s="1" t="n">
        <v>46323</v>
      </c>
      <c r="F4826" t="inlineStr">
        <is>
          <t>KALMAR LÄN</t>
        </is>
      </c>
      <c r="G4826" t="inlineStr">
        <is>
          <t>HULTSFRED</t>
        </is>
      </c>
      <c r="I4826" t="n">
        <v>0.8</v>
      </c>
      <c r="J4826" t="n">
        <v>0</v>
      </c>
      <c r="K4826" t="n">
        <v>0</v>
      </c>
      <c r="L4826" t="n">
        <v>0</v>
      </c>
      <c r="M4826" t="n">
        <v>0</v>
      </c>
      <c r="N4826" t="n">
        <v>0</v>
      </c>
      <c r="O4826" t="n">
        <v>0</v>
      </c>
      <c r="P4826" t="n">
        <v>0</v>
      </c>
      <c r="Q4826" t="n">
        <v>0</v>
      </c>
      <c r="R4826" t="n">
        <v>0</v>
      </c>
      <c r="S4826" t="n">
        <v>0</v>
      </c>
      <c r="T4826" t="n">
        <v>0</v>
      </c>
      <c r="U4826" t="n">
        <v>0</v>
      </c>
      <c r="V4826" s="2" t="inlineStr"/>
    </row>
    <row r="4827" ht="15" customHeight="1">
      <c r="A4827" t="inlineStr">
        <is>
          <t>A 14793-2026</t>
        </is>
      </c>
      <c r="B4827" t="inlineStr">
        <is>
          <t>avverkningsanmälan</t>
        </is>
      </c>
      <c r="C4827" t="inlineStr">
        <is>
          <t>Föryngringsavverkning</t>
        </is>
      </c>
      <c r="D4827" s="1" t="n">
        <v>46101</v>
      </c>
      <c r="E4827" s="1" t="n">
        <v>46323</v>
      </c>
      <c r="F4827" t="inlineStr">
        <is>
          <t>KALMAR LÄN</t>
        </is>
      </c>
      <c r="G4827" t="inlineStr">
        <is>
          <t>VIMMERBY</t>
        </is>
      </c>
      <c r="I4827" t="n">
        <v>5.7</v>
      </c>
      <c r="J4827" t="n">
        <v>0</v>
      </c>
      <c r="K4827" t="n">
        <v>0</v>
      </c>
      <c r="L4827" t="n">
        <v>0</v>
      </c>
      <c r="M4827" t="n">
        <v>0</v>
      </c>
      <c r="N4827" t="n">
        <v>0</v>
      </c>
      <c r="O4827" t="n">
        <v>0</v>
      </c>
      <c r="P4827" t="n">
        <v>0</v>
      </c>
      <c r="Q4827" t="n">
        <v>0</v>
      </c>
      <c r="R4827" t="n">
        <v>0</v>
      </c>
      <c r="S4827" t="n">
        <v>0</v>
      </c>
      <c r="T4827" t="n">
        <v>0</v>
      </c>
      <c r="U4827" t="n">
        <v>0</v>
      </c>
      <c r="V4827" s="2" t="inlineStr"/>
    </row>
    <row r="4828" ht="15" customHeight="1">
      <c r="A4828" t="inlineStr">
        <is>
          <t>A 15153-2026</t>
        </is>
      </c>
      <c r="B4828" t="inlineStr">
        <is>
          <t>avverkningsanmälan</t>
        </is>
      </c>
      <c r="C4828" t="inlineStr">
        <is>
          <t>Föryngringsavverkning</t>
        </is>
      </c>
      <c r="D4828" s="1" t="n">
        <v>46105</v>
      </c>
      <c r="E4828" s="1" t="n">
        <v>46323</v>
      </c>
      <c r="F4828" t="inlineStr">
        <is>
          <t>KALMAR LÄN</t>
        </is>
      </c>
      <c r="G4828" t="inlineStr">
        <is>
          <t>HULTSFRED</t>
        </is>
      </c>
      <c r="I4828" t="n">
        <v>1.2</v>
      </c>
      <c r="J4828" t="n">
        <v>0</v>
      </c>
      <c r="K4828" t="n">
        <v>0</v>
      </c>
      <c r="L4828" t="n">
        <v>0</v>
      </c>
      <c r="M4828" t="n">
        <v>0</v>
      </c>
      <c r="N4828" t="n">
        <v>0</v>
      </c>
      <c r="O4828" t="n">
        <v>0</v>
      </c>
      <c r="P4828" t="n">
        <v>0</v>
      </c>
      <c r="Q4828" t="n">
        <v>0</v>
      </c>
      <c r="R4828" t="n">
        <v>0</v>
      </c>
      <c r="S4828" t="n">
        <v>0</v>
      </c>
      <c r="T4828" t="n">
        <v>0</v>
      </c>
      <c r="U4828" t="n">
        <v>0</v>
      </c>
      <c r="V4828" s="2" t="inlineStr"/>
    </row>
    <row r="4829" ht="15" customHeight="1">
      <c r="A4829" t="inlineStr">
        <is>
          <t>A 15264-2026</t>
        </is>
      </c>
      <c r="B4829" t="inlineStr">
        <is>
          <t>avverkningsanmälan</t>
        </is>
      </c>
      <c r="C4829" t="inlineStr">
        <is>
          <t>Avverkning för att bevara och utveckla /försöksver</t>
        </is>
      </c>
      <c r="D4829" s="1" t="n">
        <v>46105</v>
      </c>
      <c r="E4829" s="1" t="n">
        <v>46323</v>
      </c>
      <c r="F4829" t="inlineStr">
        <is>
          <t>KALMAR LÄN</t>
        </is>
      </c>
      <c r="G4829" t="inlineStr">
        <is>
          <t>BORGHOLM</t>
        </is>
      </c>
      <c r="H4829" t="inlineStr">
        <is>
          <t>Sveaskog</t>
        </is>
      </c>
      <c r="I4829" t="n">
        <v>1.7</v>
      </c>
      <c r="J4829" t="n">
        <v>0</v>
      </c>
      <c r="K4829" t="n">
        <v>0</v>
      </c>
      <c r="L4829" t="n">
        <v>0</v>
      </c>
      <c r="M4829" t="n">
        <v>0</v>
      </c>
      <c r="N4829" t="n">
        <v>0</v>
      </c>
      <c r="O4829" t="n">
        <v>0</v>
      </c>
      <c r="P4829" t="n">
        <v>0</v>
      </c>
      <c r="Q4829" t="n">
        <v>0</v>
      </c>
      <c r="R4829" t="n">
        <v>0</v>
      </c>
      <c r="S4829" t="n">
        <v>0</v>
      </c>
      <c r="T4829" t="n">
        <v>0</v>
      </c>
      <c r="U4829" t="n">
        <v>0</v>
      </c>
      <c r="V4829" s="2" t="inlineStr"/>
    </row>
    <row r="4830" ht="15" customHeight="1">
      <c r="A4830" t="inlineStr">
        <is>
          <t>A 33614-2026</t>
        </is>
      </c>
      <c r="B4830" t="inlineStr">
        <is>
          <t>avverkningsanmälan</t>
        </is>
      </c>
      <c r="C4830" t="inlineStr">
        <is>
          <t>Föryngringsavverkning</t>
        </is>
      </c>
      <c r="D4830" s="1" t="n">
        <v>46248</v>
      </c>
      <c r="E4830" s="1" t="n">
        <v>46323</v>
      </c>
      <c r="F4830" t="inlineStr">
        <is>
          <t>KALMAR LÄN</t>
        </is>
      </c>
      <c r="G4830" t="inlineStr">
        <is>
          <t>NYBRO</t>
        </is>
      </c>
      <c r="I4830" t="n">
        <v>2.9</v>
      </c>
      <c r="J4830" t="n">
        <v>0</v>
      </c>
      <c r="K4830" t="n">
        <v>0</v>
      </c>
      <c r="L4830" t="n">
        <v>0</v>
      </c>
      <c r="M4830" t="n">
        <v>0</v>
      </c>
      <c r="N4830" t="n">
        <v>0</v>
      </c>
      <c r="O4830" t="n">
        <v>0</v>
      </c>
      <c r="P4830" t="n">
        <v>0</v>
      </c>
      <c r="Q4830" t="n">
        <v>0</v>
      </c>
      <c r="R4830" t="n">
        <v>0</v>
      </c>
      <c r="S4830" t="n">
        <v>0</v>
      </c>
      <c r="T4830" t="n">
        <v>0</v>
      </c>
      <c r="U4830" t="n">
        <v>0</v>
      </c>
      <c r="V4830" s="2" t="inlineStr"/>
    </row>
    <row r="4831" ht="15" customHeight="1">
      <c r="A4831" t="inlineStr">
        <is>
          <t>A 1903-2024</t>
        </is>
      </c>
      <c r="B4831" t="inlineStr">
        <is>
          <t>avverkningsanmälan</t>
        </is>
      </c>
      <c r="C4831" t="inlineStr">
        <is>
          <t>Föryngringsavverkning</t>
        </is>
      </c>
      <c r="D4831" s="1" t="n">
        <v>45308</v>
      </c>
      <c r="E4831" s="1" t="n">
        <v>46323</v>
      </c>
      <c r="F4831" t="inlineStr">
        <is>
          <t>KALMAR LÄN</t>
        </is>
      </c>
      <c r="G4831" t="inlineStr">
        <is>
          <t>KALMAR</t>
        </is>
      </c>
      <c r="I4831" t="n">
        <v>1.3</v>
      </c>
      <c r="J4831" t="n">
        <v>0</v>
      </c>
      <c r="K4831" t="n">
        <v>0</v>
      </c>
      <c r="L4831" t="n">
        <v>0</v>
      </c>
      <c r="M4831" t="n">
        <v>0</v>
      </c>
      <c r="N4831" t="n">
        <v>0</v>
      </c>
      <c r="O4831" t="n">
        <v>0</v>
      </c>
      <c r="P4831" t="n">
        <v>0</v>
      </c>
      <c r="Q4831" t="n">
        <v>0</v>
      </c>
      <c r="R4831" t="n">
        <v>0</v>
      </c>
      <c r="S4831" t="n">
        <v>0</v>
      </c>
      <c r="T4831" t="n">
        <v>0</v>
      </c>
      <c r="U4831" t="n">
        <v>0</v>
      </c>
      <c r="V4831" s="2" t="inlineStr"/>
    </row>
    <row r="4832" ht="15" customHeight="1">
      <c r="A4832" t="inlineStr">
        <is>
          <t>A 14834-2026</t>
        </is>
      </c>
      <c r="B4832" t="inlineStr">
        <is>
          <t>avverkningsanmälan</t>
        </is>
      </c>
      <c r="C4832" t="inlineStr">
        <is>
          <t>Föryngringsavverkning</t>
        </is>
      </c>
      <c r="D4832" s="1" t="n">
        <v>46104</v>
      </c>
      <c r="E4832" s="1" t="n">
        <v>46323</v>
      </c>
      <c r="F4832" t="inlineStr">
        <is>
          <t>KALMAR LÄN</t>
        </is>
      </c>
      <c r="G4832" t="inlineStr">
        <is>
          <t>NYBRO</t>
        </is>
      </c>
      <c r="I4832" t="n">
        <v>7.1</v>
      </c>
      <c r="J4832" t="n">
        <v>0</v>
      </c>
      <c r="K4832" t="n">
        <v>0</v>
      </c>
      <c r="L4832" t="n">
        <v>0</v>
      </c>
      <c r="M4832" t="n">
        <v>0</v>
      </c>
      <c r="N4832" t="n">
        <v>0</v>
      </c>
      <c r="O4832" t="n">
        <v>0</v>
      </c>
      <c r="P4832" t="n">
        <v>0</v>
      </c>
      <c r="Q4832" t="n">
        <v>0</v>
      </c>
      <c r="R4832" t="n">
        <v>0</v>
      </c>
      <c r="S4832" t="n">
        <v>0</v>
      </c>
      <c r="T4832" t="n">
        <v>0</v>
      </c>
      <c r="U4832" t="n">
        <v>0</v>
      </c>
      <c r="V4832" s="2" t="inlineStr"/>
    </row>
    <row r="4833" ht="15" customHeight="1">
      <c r="A4833" t="inlineStr">
        <is>
          <t>A 4035-2024</t>
        </is>
      </c>
      <c r="B4833" t="inlineStr">
        <is>
          <t>avverkningsanmälan</t>
        </is>
      </c>
      <c r="C4833" t="inlineStr">
        <is>
          <t>Föryngringsavverkning</t>
        </is>
      </c>
      <c r="D4833" s="1" t="n">
        <v>45323</v>
      </c>
      <c r="E4833" s="1" t="n">
        <v>46323</v>
      </c>
      <c r="F4833" t="inlineStr">
        <is>
          <t>KALMAR LÄN</t>
        </is>
      </c>
      <c r="G4833" t="inlineStr">
        <is>
          <t>EMMABODA</t>
        </is>
      </c>
      <c r="I4833" t="n">
        <v>1.1</v>
      </c>
      <c r="J4833" t="n">
        <v>0</v>
      </c>
      <c r="K4833" t="n">
        <v>0</v>
      </c>
      <c r="L4833" t="n">
        <v>0</v>
      </c>
      <c r="M4833" t="n">
        <v>0</v>
      </c>
      <c r="N4833" t="n">
        <v>0</v>
      </c>
      <c r="O4833" t="n">
        <v>0</v>
      </c>
      <c r="P4833" t="n">
        <v>0</v>
      </c>
      <c r="Q4833" t="n">
        <v>0</v>
      </c>
      <c r="R4833" t="n">
        <v>0</v>
      </c>
      <c r="S4833" t="n">
        <v>0</v>
      </c>
      <c r="T4833" t="n">
        <v>0</v>
      </c>
      <c r="U4833" t="n">
        <v>0</v>
      </c>
      <c r="V4833" s="2" t="inlineStr"/>
    </row>
    <row r="4834" ht="15" customHeight="1">
      <c r="A4834" t="inlineStr">
        <is>
          <t>A 35883-2022</t>
        </is>
      </c>
      <c r="B4834" t="inlineStr">
        <is>
          <t>avverkningsanmälan</t>
        </is>
      </c>
      <c r="C4834" t="inlineStr">
        <is>
          <t>Avverkning för annat ändamål</t>
        </is>
      </c>
      <c r="D4834" s="1" t="n">
        <v>44802</v>
      </c>
      <c r="E4834" s="1" t="n">
        <v>46323</v>
      </c>
      <c r="F4834" t="inlineStr">
        <is>
          <t>KALMAR LÄN</t>
        </is>
      </c>
      <c r="G4834" t="inlineStr">
        <is>
          <t>MÖNSTERÅS</t>
        </is>
      </c>
      <c r="I4834" t="n">
        <v>7</v>
      </c>
      <c r="J4834" t="n">
        <v>0</v>
      </c>
      <c r="K4834" t="n">
        <v>0</v>
      </c>
      <c r="L4834" t="n">
        <v>0</v>
      </c>
      <c r="M4834" t="n">
        <v>0</v>
      </c>
      <c r="N4834" t="n">
        <v>0</v>
      </c>
      <c r="O4834" t="n">
        <v>0</v>
      </c>
      <c r="P4834" t="n">
        <v>0</v>
      </c>
      <c r="Q4834" t="n">
        <v>0</v>
      </c>
      <c r="R4834" t="n">
        <v>0</v>
      </c>
      <c r="S4834" t="n">
        <v>0</v>
      </c>
      <c r="T4834" t="n">
        <v>0</v>
      </c>
      <c r="U4834" t="n">
        <v>0</v>
      </c>
      <c r="V4834" s="2" t="inlineStr"/>
    </row>
    <row r="4835" ht="15" customHeight="1">
      <c r="A4835" t="inlineStr">
        <is>
          <t>A 22845-2026</t>
        </is>
      </c>
      <c r="B4835" t="inlineStr">
        <is>
          <t>avverkningsanmälan</t>
        </is>
      </c>
      <c r="C4835" t="inlineStr">
        <is>
          <t>Föryngringsavverkning</t>
        </is>
      </c>
      <c r="D4835" s="1" t="n">
        <v>46160</v>
      </c>
      <c r="E4835" s="1" t="n">
        <v>46323</v>
      </c>
      <c r="F4835" t="inlineStr">
        <is>
          <t>KALMAR LÄN</t>
        </is>
      </c>
      <c r="G4835" t="inlineStr">
        <is>
          <t>EMMABODA</t>
        </is>
      </c>
      <c r="I4835" t="n">
        <v>2.1</v>
      </c>
      <c r="J4835" t="n">
        <v>0</v>
      </c>
      <c r="K4835" t="n">
        <v>0</v>
      </c>
      <c r="L4835" t="n">
        <v>0</v>
      </c>
      <c r="M4835" t="n">
        <v>0</v>
      </c>
      <c r="N4835" t="n">
        <v>0</v>
      </c>
      <c r="O4835" t="n">
        <v>0</v>
      </c>
      <c r="P4835" t="n">
        <v>0</v>
      </c>
      <c r="Q4835" t="n">
        <v>0</v>
      </c>
      <c r="R4835" t="n">
        <v>0</v>
      </c>
      <c r="S4835" t="n">
        <v>0</v>
      </c>
      <c r="T4835" t="n">
        <v>0</v>
      </c>
      <c r="U4835" t="n">
        <v>0</v>
      </c>
      <c r="V4835" s="2" t="inlineStr"/>
    </row>
    <row r="4836" ht="15" customHeight="1">
      <c r="A4836" t="inlineStr">
        <is>
          <t>A 40301-2026</t>
        </is>
      </c>
      <c r="B4836" t="inlineStr">
        <is>
          <t>avverkningsanmälan</t>
        </is>
      </c>
      <c r="C4836" t="inlineStr">
        <is>
          <t>Föryngringsavverkning</t>
        </is>
      </c>
      <c r="D4836" s="1" t="n">
        <v>46294</v>
      </c>
      <c r="E4836" s="1" t="n">
        <v>46323</v>
      </c>
      <c r="F4836" t="inlineStr">
        <is>
          <t>KALMAR LÄN</t>
        </is>
      </c>
      <c r="G4836" t="inlineStr">
        <is>
          <t>VIMMERBY</t>
        </is>
      </c>
      <c r="I4836" t="n">
        <v>1.4</v>
      </c>
      <c r="J4836" t="n">
        <v>0</v>
      </c>
      <c r="K4836" t="n">
        <v>0</v>
      </c>
      <c r="L4836" t="n">
        <v>0</v>
      </c>
      <c r="M4836" t="n">
        <v>0</v>
      </c>
      <c r="N4836" t="n">
        <v>0</v>
      </c>
      <c r="O4836" t="n">
        <v>0</v>
      </c>
      <c r="P4836" t="n">
        <v>0</v>
      </c>
      <c r="Q4836" t="n">
        <v>0</v>
      </c>
      <c r="R4836" t="n">
        <v>0</v>
      </c>
      <c r="S4836" t="n">
        <v>0</v>
      </c>
      <c r="T4836" t="n">
        <v>0</v>
      </c>
      <c r="U4836" t="n">
        <v>0</v>
      </c>
      <c r="V4836" s="2" t="inlineStr"/>
    </row>
    <row r="4837" ht="15" customHeight="1">
      <c r="A4837" t="inlineStr">
        <is>
          <t>A 9942-2023</t>
        </is>
      </c>
      <c r="B4837" t="inlineStr">
        <is>
          <t>avverkningsanmälan</t>
        </is>
      </c>
      <c r="C4837" t="inlineStr">
        <is>
          <t>Föryngringsavverkning</t>
        </is>
      </c>
      <c r="D4837" s="1" t="n">
        <v>44985</v>
      </c>
      <c r="E4837" s="1" t="n">
        <v>46323</v>
      </c>
      <c r="F4837" t="inlineStr">
        <is>
          <t>KALMAR LÄN</t>
        </is>
      </c>
      <c r="G4837" t="inlineStr">
        <is>
          <t>NYBRO</t>
        </is>
      </c>
      <c r="I4837" t="n">
        <v>3.2</v>
      </c>
      <c r="J4837" t="n">
        <v>0</v>
      </c>
      <c r="K4837" t="n">
        <v>0</v>
      </c>
      <c r="L4837" t="n">
        <v>0</v>
      </c>
      <c r="M4837" t="n">
        <v>0</v>
      </c>
      <c r="N4837" t="n">
        <v>0</v>
      </c>
      <c r="O4837" t="n">
        <v>0</v>
      </c>
      <c r="P4837" t="n">
        <v>0</v>
      </c>
      <c r="Q4837" t="n">
        <v>0</v>
      </c>
      <c r="R4837" t="n">
        <v>0</v>
      </c>
      <c r="S4837" t="n">
        <v>0</v>
      </c>
      <c r="T4837" t="n">
        <v>0</v>
      </c>
      <c r="U4837" t="n">
        <v>0</v>
      </c>
      <c r="V4837" s="2" t="inlineStr"/>
    </row>
    <row r="4838" ht="15" customHeight="1">
      <c r="A4838" t="inlineStr">
        <is>
          <t>A 15864-2026</t>
        </is>
      </c>
      <c r="B4838" t="inlineStr">
        <is>
          <t>avverkningsanmälan</t>
        </is>
      </c>
      <c r="C4838" t="inlineStr">
        <is>
          <t>Föryngringsavverkning</t>
        </is>
      </c>
      <c r="D4838" s="1" t="n">
        <v>46107</v>
      </c>
      <c r="E4838" s="1" t="n">
        <v>46323</v>
      </c>
      <c r="F4838" t="inlineStr">
        <is>
          <t>KALMAR LÄN</t>
        </is>
      </c>
      <c r="G4838" t="inlineStr">
        <is>
          <t>HÖGSBY</t>
        </is>
      </c>
      <c r="I4838" t="n">
        <v>3.4</v>
      </c>
      <c r="J4838" t="n">
        <v>0</v>
      </c>
      <c r="K4838" t="n">
        <v>0</v>
      </c>
      <c r="L4838" t="n">
        <v>0</v>
      </c>
      <c r="M4838" t="n">
        <v>0</v>
      </c>
      <c r="N4838" t="n">
        <v>0</v>
      </c>
      <c r="O4838" t="n">
        <v>0</v>
      </c>
      <c r="P4838" t="n">
        <v>0</v>
      </c>
      <c r="Q4838" t="n">
        <v>0</v>
      </c>
      <c r="R4838" t="n">
        <v>0</v>
      </c>
      <c r="S4838" t="n">
        <v>0</v>
      </c>
      <c r="T4838" t="n">
        <v>0</v>
      </c>
      <c r="U4838" t="n">
        <v>0</v>
      </c>
      <c r="V4838" s="2" t="inlineStr"/>
    </row>
    <row r="4839" ht="15" customHeight="1">
      <c r="A4839" t="inlineStr">
        <is>
          <t>A 38824-2024</t>
        </is>
      </c>
      <c r="B4839" t="inlineStr">
        <is>
          <t>avverkningsanmälan</t>
        </is>
      </c>
      <c r="C4839" t="inlineStr">
        <is>
          <t>Avverkning för att bevara och utveckla /försöksver</t>
        </is>
      </c>
      <c r="D4839" s="1" t="n">
        <v>45547</v>
      </c>
      <c r="E4839" s="1" t="n">
        <v>46323</v>
      </c>
      <c r="F4839" t="inlineStr">
        <is>
          <t>KALMAR LÄN</t>
        </is>
      </c>
      <c r="G4839" t="inlineStr">
        <is>
          <t>HÖGSBY</t>
        </is>
      </c>
      <c r="H4839" t="inlineStr">
        <is>
          <t>Sveaskog</t>
        </is>
      </c>
      <c r="I4839" t="n">
        <v>7.7</v>
      </c>
      <c r="J4839" t="n">
        <v>0</v>
      </c>
      <c r="K4839" t="n">
        <v>0</v>
      </c>
      <c r="L4839" t="n">
        <v>0</v>
      </c>
      <c r="M4839" t="n">
        <v>0</v>
      </c>
      <c r="N4839" t="n">
        <v>0</v>
      </c>
      <c r="O4839" t="n">
        <v>0</v>
      </c>
      <c r="P4839" t="n">
        <v>0</v>
      </c>
      <c r="Q4839" t="n">
        <v>0</v>
      </c>
      <c r="R4839" t="n">
        <v>0</v>
      </c>
      <c r="S4839" t="n">
        <v>0</v>
      </c>
      <c r="T4839" t="n">
        <v>0</v>
      </c>
      <c r="U4839" t="n">
        <v>0</v>
      </c>
      <c r="V4839" s="2" t="inlineStr"/>
    </row>
    <row r="4840" ht="15" customHeight="1">
      <c r="A4840" t="inlineStr">
        <is>
          <t>A 34086-2024</t>
        </is>
      </c>
      <c r="B4840" t="inlineStr">
        <is>
          <t>avverkningsanmälan</t>
        </is>
      </c>
      <c r="C4840" t="inlineStr">
        <is>
          <t>Föryngringsavverkning</t>
        </is>
      </c>
      <c r="D4840" s="1" t="n">
        <v>45523</v>
      </c>
      <c r="E4840" s="1" t="n">
        <v>46323</v>
      </c>
      <c r="F4840" t="inlineStr">
        <is>
          <t>KALMAR LÄN</t>
        </is>
      </c>
      <c r="G4840" t="inlineStr">
        <is>
          <t>OSKARSHAMN</t>
        </is>
      </c>
      <c r="I4840" t="n">
        <v>1.4</v>
      </c>
      <c r="J4840" t="n">
        <v>0</v>
      </c>
      <c r="K4840" t="n">
        <v>0</v>
      </c>
      <c r="L4840" t="n">
        <v>0</v>
      </c>
      <c r="M4840" t="n">
        <v>0</v>
      </c>
      <c r="N4840" t="n">
        <v>0</v>
      </c>
      <c r="O4840" t="n">
        <v>0</v>
      </c>
      <c r="P4840" t="n">
        <v>0</v>
      </c>
      <c r="Q4840" t="n">
        <v>0</v>
      </c>
      <c r="R4840" t="n">
        <v>0</v>
      </c>
      <c r="S4840" t="n">
        <v>0</v>
      </c>
      <c r="T4840" t="n">
        <v>0</v>
      </c>
      <c r="U4840" t="n">
        <v>0</v>
      </c>
      <c r="V4840" s="2" t="inlineStr"/>
    </row>
    <row r="4841" ht="15" customHeight="1">
      <c r="A4841" t="inlineStr">
        <is>
          <t>A 40432-2026</t>
        </is>
      </c>
      <c r="B4841" t="inlineStr">
        <is>
          <t>avverkningsanmälan</t>
        </is>
      </c>
      <c r="C4841" t="inlineStr">
        <is>
          <t>Föryngringsavverkning</t>
        </is>
      </c>
      <c r="D4841" s="1" t="n">
        <v>46294</v>
      </c>
      <c r="E4841" s="1" t="n">
        <v>46323</v>
      </c>
      <c r="F4841" t="inlineStr">
        <is>
          <t>KALMAR LÄN</t>
        </is>
      </c>
      <c r="G4841" t="inlineStr">
        <is>
          <t>HULTSFRED</t>
        </is>
      </c>
      <c r="I4841" t="n">
        <v>0.5</v>
      </c>
      <c r="J4841" t="n">
        <v>0</v>
      </c>
      <c r="K4841" t="n">
        <v>0</v>
      </c>
      <c r="L4841" t="n">
        <v>0</v>
      </c>
      <c r="M4841" t="n">
        <v>0</v>
      </c>
      <c r="N4841" t="n">
        <v>0</v>
      </c>
      <c r="O4841" t="n">
        <v>0</v>
      </c>
      <c r="P4841" t="n">
        <v>0</v>
      </c>
      <c r="Q4841" t="n">
        <v>0</v>
      </c>
      <c r="R4841" t="n">
        <v>0</v>
      </c>
      <c r="S4841" t="n">
        <v>0</v>
      </c>
      <c r="T4841" t="n">
        <v>0</v>
      </c>
      <c r="U4841" t="n">
        <v>0</v>
      </c>
      <c r="V4841" s="2" t="inlineStr"/>
    </row>
    <row r="4842" ht="15" customHeight="1">
      <c r="A4842" t="inlineStr">
        <is>
          <t>A 15436-2026</t>
        </is>
      </c>
      <c r="B4842" t="inlineStr">
        <is>
          <t>avverkningsanmälan</t>
        </is>
      </c>
      <c r="C4842" t="inlineStr">
        <is>
          <t>Föryngringsavverkning</t>
        </is>
      </c>
      <c r="D4842" s="1" t="n">
        <v>46106</v>
      </c>
      <c r="E4842" s="1" t="n">
        <v>46323</v>
      </c>
      <c r="F4842" t="inlineStr">
        <is>
          <t>KALMAR LÄN</t>
        </is>
      </c>
      <c r="G4842" t="inlineStr">
        <is>
          <t>NYBRO</t>
        </is>
      </c>
      <c r="H4842" t="inlineStr">
        <is>
          <t>Sveaskog</t>
        </is>
      </c>
      <c r="I4842" t="n">
        <v>3.5</v>
      </c>
      <c r="J4842" t="n">
        <v>0</v>
      </c>
      <c r="K4842" t="n">
        <v>0</v>
      </c>
      <c r="L4842" t="n">
        <v>0</v>
      </c>
      <c r="M4842" t="n">
        <v>0</v>
      </c>
      <c r="N4842" t="n">
        <v>0</v>
      </c>
      <c r="O4842" t="n">
        <v>0</v>
      </c>
      <c r="P4842" t="n">
        <v>0</v>
      </c>
      <c r="Q4842" t="n">
        <v>0</v>
      </c>
      <c r="R4842" t="n">
        <v>0</v>
      </c>
      <c r="S4842" t="n">
        <v>0</v>
      </c>
      <c r="T4842" t="n">
        <v>0</v>
      </c>
      <c r="U4842" t="n">
        <v>0</v>
      </c>
      <c r="V4842" s="2" t="inlineStr"/>
    </row>
    <row r="4843" ht="15" customHeight="1">
      <c r="A4843" t="inlineStr">
        <is>
          <t>A 49415-2024</t>
        </is>
      </c>
      <c r="B4843" t="inlineStr">
        <is>
          <t>avverkningsanmälan</t>
        </is>
      </c>
      <c r="C4843" t="inlineStr">
        <is>
          <t>Föryngringsavverkning</t>
        </is>
      </c>
      <c r="D4843" s="1" t="n">
        <v>45595</v>
      </c>
      <c r="E4843" s="1" t="n">
        <v>46323</v>
      </c>
      <c r="F4843" t="inlineStr">
        <is>
          <t>KALMAR LÄN</t>
        </is>
      </c>
      <c r="G4843" t="inlineStr">
        <is>
          <t>KALMAR</t>
        </is>
      </c>
      <c r="I4843" t="n">
        <v>1.1</v>
      </c>
      <c r="J4843" t="n">
        <v>0</v>
      </c>
      <c r="K4843" t="n">
        <v>0</v>
      </c>
      <c r="L4843" t="n">
        <v>0</v>
      </c>
      <c r="M4843" t="n">
        <v>0</v>
      </c>
      <c r="N4843" t="n">
        <v>0</v>
      </c>
      <c r="O4843" t="n">
        <v>0</v>
      </c>
      <c r="P4843" t="n">
        <v>0</v>
      </c>
      <c r="Q4843" t="n">
        <v>0</v>
      </c>
      <c r="R4843" t="n">
        <v>0</v>
      </c>
      <c r="S4843" t="n">
        <v>0</v>
      </c>
      <c r="T4843" t="n">
        <v>0</v>
      </c>
      <c r="U4843" t="n">
        <v>0</v>
      </c>
      <c r="V4843" s="2" t="inlineStr"/>
    </row>
    <row r="4844" ht="15" customHeight="1">
      <c r="A4844" t="inlineStr">
        <is>
          <t>A 37126-2024</t>
        </is>
      </c>
      <c r="B4844" t="inlineStr">
        <is>
          <t>avverkningsanmälan</t>
        </is>
      </c>
      <c r="C4844" t="inlineStr">
        <is>
          <t>Föryngringsavverkning</t>
        </is>
      </c>
      <c r="D4844" s="1" t="n">
        <v>45539</v>
      </c>
      <c r="E4844" s="1" t="n">
        <v>46323</v>
      </c>
      <c r="F4844" t="inlineStr">
        <is>
          <t>KALMAR LÄN</t>
        </is>
      </c>
      <c r="G4844" t="inlineStr">
        <is>
          <t>OSKARSHAMN</t>
        </is>
      </c>
      <c r="I4844" t="n">
        <v>4.5</v>
      </c>
      <c r="J4844" t="n">
        <v>0</v>
      </c>
      <c r="K4844" t="n">
        <v>0</v>
      </c>
      <c r="L4844" t="n">
        <v>0</v>
      </c>
      <c r="M4844" t="n">
        <v>0</v>
      </c>
      <c r="N4844" t="n">
        <v>0</v>
      </c>
      <c r="O4844" t="n">
        <v>0</v>
      </c>
      <c r="P4844" t="n">
        <v>0</v>
      </c>
      <c r="Q4844" t="n">
        <v>0</v>
      </c>
      <c r="R4844" t="n">
        <v>0</v>
      </c>
      <c r="S4844" t="n">
        <v>0</v>
      </c>
      <c r="T4844" t="n">
        <v>0</v>
      </c>
      <c r="U4844" t="n">
        <v>0</v>
      </c>
      <c r="V4844" s="2" t="inlineStr"/>
    </row>
    <row r="4845" ht="15" customHeight="1">
      <c r="A4845" t="inlineStr">
        <is>
          <t>A 22801-2024</t>
        </is>
      </c>
      <c r="B4845" t="inlineStr">
        <is>
          <t>avverkningsanmälan</t>
        </is>
      </c>
      <c r="C4845" t="inlineStr">
        <is>
          <t>Avverkning för annat ändamål</t>
        </is>
      </c>
      <c r="D4845" s="1" t="n">
        <v>45448</v>
      </c>
      <c r="E4845" s="1" t="n">
        <v>46323</v>
      </c>
      <c r="F4845" t="inlineStr">
        <is>
          <t>KALMAR LÄN</t>
        </is>
      </c>
      <c r="G4845" t="inlineStr">
        <is>
          <t>OSKARSHAMN</t>
        </is>
      </c>
      <c r="I4845" t="n">
        <v>1.2</v>
      </c>
      <c r="J4845" t="n">
        <v>0</v>
      </c>
      <c r="K4845" t="n">
        <v>0</v>
      </c>
      <c r="L4845" t="n">
        <v>0</v>
      </c>
      <c r="M4845" t="n">
        <v>0</v>
      </c>
      <c r="N4845" t="n">
        <v>0</v>
      </c>
      <c r="O4845" t="n">
        <v>0</v>
      </c>
      <c r="P4845" t="n">
        <v>0</v>
      </c>
      <c r="Q4845" t="n">
        <v>0</v>
      </c>
      <c r="R4845" t="n">
        <v>0</v>
      </c>
      <c r="S4845" t="n">
        <v>0</v>
      </c>
      <c r="T4845" t="n">
        <v>0</v>
      </c>
      <c r="U4845" t="n">
        <v>0</v>
      </c>
      <c r="V4845" s="2" t="inlineStr"/>
    </row>
    <row r="4846" ht="15" customHeight="1">
      <c r="A4846" t="inlineStr">
        <is>
          <t>A 3878-2023</t>
        </is>
      </c>
      <c r="B4846" t="inlineStr">
        <is>
          <t>avverkningsanmälan</t>
        </is>
      </c>
      <c r="C4846" t="inlineStr">
        <is>
          <t>Föryngringsavverkning</t>
        </is>
      </c>
      <c r="D4846" s="1" t="n">
        <v>44951</v>
      </c>
      <c r="E4846" s="1" t="n">
        <v>46323</v>
      </c>
      <c r="F4846" t="inlineStr">
        <is>
          <t>KALMAR LÄN</t>
        </is>
      </c>
      <c r="G4846" t="inlineStr">
        <is>
          <t>BORGHOLM</t>
        </is>
      </c>
      <c r="I4846" t="n">
        <v>1.7</v>
      </c>
      <c r="J4846" t="n">
        <v>0</v>
      </c>
      <c r="K4846" t="n">
        <v>0</v>
      </c>
      <c r="L4846" t="n">
        <v>0</v>
      </c>
      <c r="M4846" t="n">
        <v>0</v>
      </c>
      <c r="N4846" t="n">
        <v>0</v>
      </c>
      <c r="O4846" t="n">
        <v>0</v>
      </c>
      <c r="P4846" t="n">
        <v>0</v>
      </c>
      <c r="Q4846" t="n">
        <v>0</v>
      </c>
      <c r="R4846" t="n">
        <v>0</v>
      </c>
      <c r="S4846" t="n">
        <v>0</v>
      </c>
      <c r="T4846" t="n">
        <v>0</v>
      </c>
      <c r="U4846" t="n">
        <v>0</v>
      </c>
      <c r="V4846" s="2" t="inlineStr"/>
    </row>
    <row r="4847" ht="15" customHeight="1">
      <c r="A4847" t="inlineStr">
        <is>
          <t>A 25547-2024</t>
        </is>
      </c>
      <c r="B4847" t="inlineStr">
        <is>
          <t>avverkningsanmälan</t>
        </is>
      </c>
      <c r="C4847" t="inlineStr">
        <is>
          <t>Föryngringsavverkning</t>
        </is>
      </c>
      <c r="D4847" s="1" t="n">
        <v>45463</v>
      </c>
      <c r="E4847" s="1" t="n">
        <v>46323</v>
      </c>
      <c r="F4847" t="inlineStr">
        <is>
          <t>KALMAR LÄN</t>
        </is>
      </c>
      <c r="G4847" t="inlineStr">
        <is>
          <t>NYBRO</t>
        </is>
      </c>
      <c r="I4847" t="n">
        <v>4.7</v>
      </c>
      <c r="J4847" t="n">
        <v>0</v>
      </c>
      <c r="K4847" t="n">
        <v>0</v>
      </c>
      <c r="L4847" t="n">
        <v>0</v>
      </c>
      <c r="M4847" t="n">
        <v>0</v>
      </c>
      <c r="N4847" t="n">
        <v>0</v>
      </c>
      <c r="O4847" t="n">
        <v>0</v>
      </c>
      <c r="P4847" t="n">
        <v>0</v>
      </c>
      <c r="Q4847" t="n">
        <v>0</v>
      </c>
      <c r="R4847" t="n">
        <v>0</v>
      </c>
      <c r="S4847" t="n">
        <v>0</v>
      </c>
      <c r="T4847" t="n">
        <v>0</v>
      </c>
      <c r="U4847" t="n">
        <v>0</v>
      </c>
      <c r="V4847" s="2" t="inlineStr"/>
    </row>
    <row r="4848" ht="15" customHeight="1">
      <c r="A4848" t="inlineStr">
        <is>
          <t>A 24331-2026</t>
        </is>
      </c>
      <c r="B4848" t="inlineStr">
        <is>
          <t>avverkningsanmälan</t>
        </is>
      </c>
      <c r="C4848" t="inlineStr">
        <is>
          <t>Föryngringsavverkning</t>
        </is>
      </c>
      <c r="D4848" s="1" t="n">
        <v>46169</v>
      </c>
      <c r="E4848" s="1" t="n">
        <v>46323</v>
      </c>
      <c r="F4848" t="inlineStr">
        <is>
          <t>KALMAR LÄN</t>
        </is>
      </c>
      <c r="G4848" t="inlineStr">
        <is>
          <t>HULTSFRED</t>
        </is>
      </c>
      <c r="I4848" t="n">
        <v>2.8</v>
      </c>
      <c r="J4848" t="n">
        <v>0</v>
      </c>
      <c r="K4848" t="n">
        <v>0</v>
      </c>
      <c r="L4848" t="n">
        <v>0</v>
      </c>
      <c r="M4848" t="n">
        <v>0</v>
      </c>
      <c r="N4848" t="n">
        <v>0</v>
      </c>
      <c r="O4848" t="n">
        <v>0</v>
      </c>
      <c r="P4848" t="n">
        <v>0</v>
      </c>
      <c r="Q4848" t="n">
        <v>0</v>
      </c>
      <c r="R4848" t="n">
        <v>0</v>
      </c>
      <c r="S4848" t="n">
        <v>0</v>
      </c>
      <c r="T4848" t="n">
        <v>0</v>
      </c>
      <c r="U4848" t="n">
        <v>0</v>
      </c>
      <c r="V4848" s="2" t="inlineStr"/>
    </row>
    <row r="4849" ht="15" customHeight="1">
      <c r="A4849" t="inlineStr">
        <is>
          <t>A 15525-2026</t>
        </is>
      </c>
      <c r="B4849" t="inlineStr">
        <is>
          <t>avverkningsanmälan</t>
        </is>
      </c>
      <c r="C4849" t="inlineStr">
        <is>
          <t>Avverkning för annat ändamål</t>
        </is>
      </c>
      <c r="D4849" s="1" t="n">
        <v>46106</v>
      </c>
      <c r="E4849" s="1" t="n">
        <v>46323</v>
      </c>
      <c r="F4849" t="inlineStr">
        <is>
          <t>KALMAR LÄN</t>
        </is>
      </c>
      <c r="G4849" t="inlineStr">
        <is>
          <t>OSKARSHAMN</t>
        </is>
      </c>
      <c r="I4849" t="n">
        <v>2.5</v>
      </c>
      <c r="J4849" t="n">
        <v>0</v>
      </c>
      <c r="K4849" t="n">
        <v>0</v>
      </c>
      <c r="L4849" t="n">
        <v>0</v>
      </c>
      <c r="M4849" t="n">
        <v>0</v>
      </c>
      <c r="N4849" t="n">
        <v>0</v>
      </c>
      <c r="O4849" t="n">
        <v>0</v>
      </c>
      <c r="P4849" t="n">
        <v>0</v>
      </c>
      <c r="Q4849" t="n">
        <v>0</v>
      </c>
      <c r="R4849" t="n">
        <v>0</v>
      </c>
      <c r="S4849" t="n">
        <v>0</v>
      </c>
      <c r="T4849" t="n">
        <v>0</v>
      </c>
      <c r="U4849" t="n">
        <v>0</v>
      </c>
      <c r="V4849" s="2" t="inlineStr"/>
    </row>
    <row r="4850" ht="15" customHeight="1">
      <c r="A4850" t="inlineStr">
        <is>
          <t>A 15693-2026</t>
        </is>
      </c>
      <c r="B4850" t="inlineStr">
        <is>
          <t>avverkningsanmälan</t>
        </is>
      </c>
      <c r="C4850" t="inlineStr">
        <is>
          <t>Föryngringsavverkning</t>
        </is>
      </c>
      <c r="D4850" s="1" t="n">
        <v>46107</v>
      </c>
      <c r="E4850" s="1" t="n">
        <v>46323</v>
      </c>
      <c r="F4850" t="inlineStr">
        <is>
          <t>KALMAR LÄN</t>
        </is>
      </c>
      <c r="G4850" t="inlineStr">
        <is>
          <t>EMMABODA</t>
        </is>
      </c>
      <c r="I4850" t="n">
        <v>2.9</v>
      </c>
      <c r="J4850" t="n">
        <v>0</v>
      </c>
      <c r="K4850" t="n">
        <v>0</v>
      </c>
      <c r="L4850" t="n">
        <v>0</v>
      </c>
      <c r="M4850" t="n">
        <v>0</v>
      </c>
      <c r="N4850" t="n">
        <v>0</v>
      </c>
      <c r="O4850" t="n">
        <v>0</v>
      </c>
      <c r="P4850" t="n">
        <v>0</v>
      </c>
      <c r="Q4850" t="n">
        <v>0</v>
      </c>
      <c r="R4850" t="n">
        <v>0</v>
      </c>
      <c r="S4850" t="n">
        <v>0</v>
      </c>
      <c r="T4850" t="n">
        <v>0</v>
      </c>
      <c r="U4850" t="n">
        <v>0</v>
      </c>
      <c r="V4850" s="2" t="inlineStr"/>
    </row>
    <row r="4851" ht="15" customHeight="1">
      <c r="A4851" t="inlineStr">
        <is>
          <t>A 41589-2025</t>
        </is>
      </c>
      <c r="B4851" t="inlineStr">
        <is>
          <t>avverkningsanmälan</t>
        </is>
      </c>
      <c r="C4851" t="inlineStr">
        <is>
          <t>Föryngringsavverkning</t>
        </is>
      </c>
      <c r="D4851" s="1" t="n">
        <v>45901</v>
      </c>
      <c r="E4851" s="1" t="n">
        <v>46323</v>
      </c>
      <c r="F4851" t="inlineStr">
        <is>
          <t>KALMAR LÄN</t>
        </is>
      </c>
      <c r="G4851" t="inlineStr">
        <is>
          <t>VIMMERBY</t>
        </is>
      </c>
      <c r="I4851" t="n">
        <v>1.7</v>
      </c>
      <c r="J4851" t="n">
        <v>0</v>
      </c>
      <c r="K4851" t="n">
        <v>0</v>
      </c>
      <c r="L4851" t="n">
        <v>0</v>
      </c>
      <c r="M4851" t="n">
        <v>0</v>
      </c>
      <c r="N4851" t="n">
        <v>0</v>
      </c>
      <c r="O4851" t="n">
        <v>0</v>
      </c>
      <c r="P4851" t="n">
        <v>0</v>
      </c>
      <c r="Q4851" t="n">
        <v>0</v>
      </c>
      <c r="R4851" t="n">
        <v>0</v>
      </c>
      <c r="S4851" t="n">
        <v>0</v>
      </c>
      <c r="T4851" t="n">
        <v>0</v>
      </c>
      <c r="U4851" t="n">
        <v>0</v>
      </c>
      <c r="V4851" s="2" t="inlineStr"/>
    </row>
    <row r="4852" ht="15" customHeight="1">
      <c r="A4852" t="inlineStr">
        <is>
          <t>A 15421-2026</t>
        </is>
      </c>
      <c r="B4852" t="inlineStr">
        <is>
          <t>avverkningsanmälan</t>
        </is>
      </c>
      <c r="C4852" t="inlineStr">
        <is>
          <t>Föryngringsavverkning</t>
        </is>
      </c>
      <c r="D4852" s="1" t="n">
        <v>46106</v>
      </c>
      <c r="E4852" s="1" t="n">
        <v>46323</v>
      </c>
      <c r="F4852" t="inlineStr">
        <is>
          <t>KALMAR LÄN</t>
        </is>
      </c>
      <c r="G4852" t="inlineStr">
        <is>
          <t>TORSÅS</t>
        </is>
      </c>
      <c r="I4852" t="n">
        <v>3.2</v>
      </c>
      <c r="J4852" t="n">
        <v>0</v>
      </c>
      <c r="K4852" t="n">
        <v>0</v>
      </c>
      <c r="L4852" t="n">
        <v>0</v>
      </c>
      <c r="M4852" t="n">
        <v>0</v>
      </c>
      <c r="N4852" t="n">
        <v>0</v>
      </c>
      <c r="O4852" t="n">
        <v>0</v>
      </c>
      <c r="P4852" t="n">
        <v>0</v>
      </c>
      <c r="Q4852" t="n">
        <v>0</v>
      </c>
      <c r="R4852" t="n">
        <v>0</v>
      </c>
      <c r="S4852" t="n">
        <v>0</v>
      </c>
      <c r="T4852" t="n">
        <v>0</v>
      </c>
      <c r="U4852" t="n">
        <v>0</v>
      </c>
      <c r="V4852" s="2" t="inlineStr"/>
    </row>
    <row r="4853" ht="15" customHeight="1">
      <c r="A4853" t="inlineStr">
        <is>
          <t>A 36366-2024</t>
        </is>
      </c>
      <c r="B4853" t="inlineStr">
        <is>
          <t>avverkningsanmälan</t>
        </is>
      </c>
      <c r="C4853" t="inlineStr">
        <is>
          <t>Föryngringsavverkning</t>
        </is>
      </c>
      <c r="D4853" s="1" t="n">
        <v>45534</v>
      </c>
      <c r="E4853" s="1" t="n">
        <v>46323</v>
      </c>
      <c r="F4853" t="inlineStr">
        <is>
          <t>KALMAR LÄN</t>
        </is>
      </c>
      <c r="G4853" t="inlineStr">
        <is>
          <t>NYBRO</t>
        </is>
      </c>
      <c r="I4853" t="n">
        <v>2</v>
      </c>
      <c r="J4853" t="n">
        <v>0</v>
      </c>
      <c r="K4853" t="n">
        <v>0</v>
      </c>
      <c r="L4853" t="n">
        <v>0</v>
      </c>
      <c r="M4853" t="n">
        <v>0</v>
      </c>
      <c r="N4853" t="n">
        <v>0</v>
      </c>
      <c r="O4853" t="n">
        <v>0</v>
      </c>
      <c r="P4853" t="n">
        <v>0</v>
      </c>
      <c r="Q4853" t="n">
        <v>0</v>
      </c>
      <c r="R4853" t="n">
        <v>0</v>
      </c>
      <c r="S4853" t="n">
        <v>0</v>
      </c>
      <c r="T4853" t="n">
        <v>0</v>
      </c>
      <c r="U4853" t="n">
        <v>0</v>
      </c>
      <c r="V4853" s="2" t="inlineStr"/>
    </row>
    <row r="4854" ht="15" customHeight="1">
      <c r="A4854" t="inlineStr">
        <is>
          <t>A 15485-2026</t>
        </is>
      </c>
      <c r="B4854" t="inlineStr">
        <is>
          <t>avverkningsanmälan</t>
        </is>
      </c>
      <c r="C4854" t="inlineStr">
        <is>
          <t>Föryngringsavverkning</t>
        </is>
      </c>
      <c r="D4854" s="1" t="n">
        <v>46106</v>
      </c>
      <c r="E4854" s="1" t="n">
        <v>46323</v>
      </c>
      <c r="F4854" t="inlineStr">
        <is>
          <t>KALMAR LÄN</t>
        </is>
      </c>
      <c r="G4854" t="inlineStr">
        <is>
          <t>TORSÅS</t>
        </is>
      </c>
      <c r="I4854" t="n">
        <v>0.8</v>
      </c>
      <c r="J4854" t="n">
        <v>0</v>
      </c>
      <c r="K4854" t="n">
        <v>0</v>
      </c>
      <c r="L4854" t="n">
        <v>0</v>
      </c>
      <c r="M4854" t="n">
        <v>0</v>
      </c>
      <c r="N4854" t="n">
        <v>0</v>
      </c>
      <c r="O4854" t="n">
        <v>0</v>
      </c>
      <c r="P4854" t="n">
        <v>0</v>
      </c>
      <c r="Q4854" t="n">
        <v>0</v>
      </c>
      <c r="R4854" t="n">
        <v>0</v>
      </c>
      <c r="S4854" t="n">
        <v>0</v>
      </c>
      <c r="T4854" t="n">
        <v>0</v>
      </c>
      <c r="U4854" t="n">
        <v>0</v>
      </c>
      <c r="V4854" s="2" t="inlineStr"/>
    </row>
    <row r="4855" ht="15" customHeight="1">
      <c r="A4855" t="inlineStr">
        <is>
          <t>A 58217-2022</t>
        </is>
      </c>
      <c r="B4855" t="inlineStr">
        <is>
          <t>avverkningsanmälan</t>
        </is>
      </c>
      <c r="C4855" t="inlineStr">
        <is>
          <t>Föryngringsavverkning</t>
        </is>
      </c>
      <c r="D4855" s="1" t="n">
        <v>44901</v>
      </c>
      <c r="E4855" s="1" t="n">
        <v>46323</v>
      </c>
      <c r="F4855" t="inlineStr">
        <is>
          <t>KALMAR LÄN</t>
        </is>
      </c>
      <c r="G4855" t="inlineStr">
        <is>
          <t>VÄSTERVIK</t>
        </is>
      </c>
      <c r="I4855" t="n">
        <v>0.8</v>
      </c>
      <c r="J4855" t="n">
        <v>0</v>
      </c>
      <c r="K4855" t="n">
        <v>0</v>
      </c>
      <c r="L4855" t="n">
        <v>0</v>
      </c>
      <c r="M4855" t="n">
        <v>0</v>
      </c>
      <c r="N4855" t="n">
        <v>0</v>
      </c>
      <c r="O4855" t="n">
        <v>0</v>
      </c>
      <c r="P4855" t="n">
        <v>0</v>
      </c>
      <c r="Q4855" t="n">
        <v>0</v>
      </c>
      <c r="R4855" t="n">
        <v>0</v>
      </c>
      <c r="S4855" t="n">
        <v>0</v>
      </c>
      <c r="T4855" t="n">
        <v>0</v>
      </c>
      <c r="U4855" t="n">
        <v>0</v>
      </c>
      <c r="V4855" s="2" t="inlineStr"/>
    </row>
    <row r="4856" ht="15" customHeight="1">
      <c r="A4856" t="inlineStr">
        <is>
          <t>A 40396-2026</t>
        </is>
      </c>
      <c r="B4856" t="inlineStr">
        <is>
          <t>avverkningsanmälan</t>
        </is>
      </c>
      <c r="C4856" t="inlineStr">
        <is>
          <t>Föryngringsavverkning</t>
        </is>
      </c>
      <c r="D4856" s="1" t="n">
        <v>46294</v>
      </c>
      <c r="E4856" s="1" t="n">
        <v>46323</v>
      </c>
      <c r="F4856" t="inlineStr">
        <is>
          <t>KALMAR LÄN</t>
        </is>
      </c>
      <c r="G4856" t="inlineStr">
        <is>
          <t>HULTSFRED</t>
        </is>
      </c>
      <c r="I4856" t="n">
        <v>3.5</v>
      </c>
      <c r="J4856" t="n">
        <v>0</v>
      </c>
      <c r="K4856" t="n">
        <v>0</v>
      </c>
      <c r="L4856" t="n">
        <v>0</v>
      </c>
      <c r="M4856" t="n">
        <v>0</v>
      </c>
      <c r="N4856" t="n">
        <v>0</v>
      </c>
      <c r="O4856" t="n">
        <v>0</v>
      </c>
      <c r="P4856" t="n">
        <v>0</v>
      </c>
      <c r="Q4856" t="n">
        <v>0</v>
      </c>
      <c r="R4856" t="n">
        <v>0</v>
      </c>
      <c r="S4856" t="n">
        <v>0</v>
      </c>
      <c r="T4856" t="n">
        <v>0</v>
      </c>
      <c r="U4856" t="n">
        <v>0</v>
      </c>
      <c r="V4856" s="2" t="inlineStr"/>
    </row>
    <row r="4857" ht="15" customHeight="1">
      <c r="A4857" t="inlineStr">
        <is>
          <t>A 33692-2026</t>
        </is>
      </c>
      <c r="B4857" t="inlineStr">
        <is>
          <t>avverkningsanmälan</t>
        </is>
      </c>
      <c r="C4857" t="inlineStr">
        <is>
          <t>Föryngringsavverkning</t>
        </is>
      </c>
      <c r="D4857" s="1" t="n">
        <v>46249</v>
      </c>
      <c r="E4857" s="1" t="n">
        <v>46323</v>
      </c>
      <c r="F4857" t="inlineStr">
        <is>
          <t>KALMAR LÄN</t>
        </is>
      </c>
      <c r="G4857" t="inlineStr">
        <is>
          <t>VÄSTERVIK</t>
        </is>
      </c>
      <c r="H4857" t="inlineStr">
        <is>
          <t>Holmen skog AB</t>
        </is>
      </c>
      <c r="I4857" t="n">
        <v>3.4</v>
      </c>
      <c r="J4857" t="n">
        <v>0</v>
      </c>
      <c r="K4857" t="n">
        <v>0</v>
      </c>
      <c r="L4857" t="n">
        <v>0</v>
      </c>
      <c r="M4857" t="n">
        <v>0</v>
      </c>
      <c r="N4857" t="n">
        <v>0</v>
      </c>
      <c r="O4857" t="n">
        <v>0</v>
      </c>
      <c r="P4857" t="n">
        <v>0</v>
      </c>
      <c r="Q4857" t="n">
        <v>0</v>
      </c>
      <c r="R4857" t="n">
        <v>0</v>
      </c>
      <c r="S4857" t="n">
        <v>0</v>
      </c>
      <c r="T4857" t="n">
        <v>0</v>
      </c>
      <c r="U4857" t="n">
        <v>0</v>
      </c>
      <c r="V4857" s="2" t="inlineStr"/>
    </row>
    <row r="4858" ht="15" customHeight="1">
      <c r="A4858" t="inlineStr">
        <is>
          <t>A 33340-2023</t>
        </is>
      </c>
      <c r="B4858" t="inlineStr">
        <is>
          <t>avverkningsanmälan</t>
        </is>
      </c>
      <c r="C4858" t="inlineStr">
        <is>
          <t>Föryngringsavverkning</t>
        </is>
      </c>
      <c r="D4858" s="1" t="n">
        <v>45128</v>
      </c>
      <c r="E4858" s="1" t="n">
        <v>46323</v>
      </c>
      <c r="F4858" t="inlineStr">
        <is>
          <t>KALMAR LÄN</t>
        </is>
      </c>
      <c r="G4858" t="inlineStr">
        <is>
          <t>VIMMERBY</t>
        </is>
      </c>
      <c r="I4858" t="n">
        <v>1.5</v>
      </c>
      <c r="J4858" t="n">
        <v>0</v>
      </c>
      <c r="K4858" t="n">
        <v>0</v>
      </c>
      <c r="L4858" t="n">
        <v>0</v>
      </c>
      <c r="M4858" t="n">
        <v>0</v>
      </c>
      <c r="N4858" t="n">
        <v>0</v>
      </c>
      <c r="O4858" t="n">
        <v>0</v>
      </c>
      <c r="P4858" t="n">
        <v>0</v>
      </c>
      <c r="Q4858" t="n">
        <v>0</v>
      </c>
      <c r="R4858" t="n">
        <v>0</v>
      </c>
      <c r="S4858" t="n">
        <v>0</v>
      </c>
      <c r="T4858" t="n">
        <v>0</v>
      </c>
      <c r="U4858" t="n">
        <v>0</v>
      </c>
      <c r="V4858" s="2" t="inlineStr"/>
    </row>
    <row r="4859" ht="15" customHeight="1">
      <c r="A4859" t="inlineStr">
        <is>
          <t>A 30459-2026</t>
        </is>
      </c>
      <c r="B4859" t="inlineStr">
        <is>
          <t>avverkningsanmälan</t>
        </is>
      </c>
      <c r="C4859" t="inlineStr">
        <is>
          <t>Föryngringsavverkning</t>
        </is>
      </c>
      <c r="D4859" s="1" t="n">
        <v>46209</v>
      </c>
      <c r="E4859" s="1" t="n">
        <v>46323</v>
      </c>
      <c r="F4859" t="inlineStr">
        <is>
          <t>KALMAR LÄN</t>
        </is>
      </c>
      <c r="G4859" t="inlineStr">
        <is>
          <t>VÄSTERVIK</t>
        </is>
      </c>
      <c r="I4859" t="n">
        <v>6.3</v>
      </c>
      <c r="J4859" t="n">
        <v>0</v>
      </c>
      <c r="K4859" t="n">
        <v>0</v>
      </c>
      <c r="L4859" t="n">
        <v>0</v>
      </c>
      <c r="M4859" t="n">
        <v>0</v>
      </c>
      <c r="N4859" t="n">
        <v>0</v>
      </c>
      <c r="O4859" t="n">
        <v>0</v>
      </c>
      <c r="P4859" t="n">
        <v>0</v>
      </c>
      <c r="Q4859" t="n">
        <v>0</v>
      </c>
      <c r="R4859" t="n">
        <v>0</v>
      </c>
      <c r="S4859" t="n">
        <v>0</v>
      </c>
      <c r="T4859" t="n">
        <v>0</v>
      </c>
      <c r="U4859" t="n">
        <v>0</v>
      </c>
      <c r="V4859" s="2" t="inlineStr"/>
    </row>
    <row r="4860" ht="15" customHeight="1">
      <c r="A4860" t="inlineStr">
        <is>
          <t>A 1874-2025</t>
        </is>
      </c>
      <c r="B4860" t="inlineStr">
        <is>
          <t>avverkningsanmälan</t>
        </is>
      </c>
      <c r="C4860" t="inlineStr">
        <is>
          <t>Föryngringsavverkning</t>
        </is>
      </c>
      <c r="D4860" s="1" t="n">
        <v>45671</v>
      </c>
      <c r="E4860" s="1" t="n">
        <v>46323</v>
      </c>
      <c r="F4860" t="inlineStr">
        <is>
          <t>KALMAR LÄN</t>
        </is>
      </c>
      <c r="G4860" t="inlineStr">
        <is>
          <t>VÄSTERVIK</t>
        </is>
      </c>
      <c r="I4860" t="n">
        <v>1</v>
      </c>
      <c r="J4860" t="n">
        <v>0</v>
      </c>
      <c r="K4860" t="n">
        <v>0</v>
      </c>
      <c r="L4860" t="n">
        <v>0</v>
      </c>
      <c r="M4860" t="n">
        <v>0</v>
      </c>
      <c r="N4860" t="n">
        <v>0</v>
      </c>
      <c r="O4860" t="n">
        <v>0</v>
      </c>
      <c r="P4860" t="n">
        <v>0</v>
      </c>
      <c r="Q4860" t="n">
        <v>0</v>
      </c>
      <c r="R4860" t="n">
        <v>0</v>
      </c>
      <c r="S4860" t="n">
        <v>0</v>
      </c>
      <c r="T4860" t="n">
        <v>0</v>
      </c>
      <c r="U4860" t="n">
        <v>0</v>
      </c>
      <c r="V4860" s="2" t="inlineStr"/>
    </row>
    <row r="4861" ht="15" customHeight="1">
      <c r="A4861" t="inlineStr">
        <is>
          <t>A 16985-2024</t>
        </is>
      </c>
      <c r="B4861" t="inlineStr">
        <is>
          <t>avverkningsanmälan</t>
        </is>
      </c>
      <c r="C4861" t="inlineStr">
        <is>
          <t>Föryngringsavverkning</t>
        </is>
      </c>
      <c r="D4861" s="1" t="n">
        <v>45412</v>
      </c>
      <c r="E4861" s="1" t="n">
        <v>46323</v>
      </c>
      <c r="F4861" t="inlineStr">
        <is>
          <t>KALMAR LÄN</t>
        </is>
      </c>
      <c r="G4861" t="inlineStr">
        <is>
          <t>HULTSFRED</t>
        </is>
      </c>
      <c r="I4861" t="n">
        <v>0.9</v>
      </c>
      <c r="J4861" t="n">
        <v>0</v>
      </c>
      <c r="K4861" t="n">
        <v>0</v>
      </c>
      <c r="L4861" t="n">
        <v>0</v>
      </c>
      <c r="M4861" t="n">
        <v>0</v>
      </c>
      <c r="N4861" t="n">
        <v>0</v>
      </c>
      <c r="O4861" t="n">
        <v>0</v>
      </c>
      <c r="P4861" t="n">
        <v>0</v>
      </c>
      <c r="Q4861" t="n">
        <v>0</v>
      </c>
      <c r="R4861" t="n">
        <v>0</v>
      </c>
      <c r="S4861" t="n">
        <v>0</v>
      </c>
      <c r="T4861" t="n">
        <v>0</v>
      </c>
      <c r="U4861" t="n">
        <v>0</v>
      </c>
      <c r="V4861" s="2" t="inlineStr"/>
    </row>
    <row r="4862" ht="15" customHeight="1">
      <c r="A4862" t="inlineStr">
        <is>
          <t>A 59227-2024</t>
        </is>
      </c>
      <c r="B4862" t="inlineStr">
        <is>
          <t>avverkningsanmälan</t>
        </is>
      </c>
      <c r="C4862" t="inlineStr">
        <is>
          <t>Föryngringsavverkning</t>
        </is>
      </c>
      <c r="D4862" s="1" t="n">
        <v>45637</v>
      </c>
      <c r="E4862" s="1" t="n">
        <v>46323</v>
      </c>
      <c r="F4862" t="inlineStr">
        <is>
          <t>KALMAR LÄN</t>
        </is>
      </c>
      <c r="G4862" t="inlineStr">
        <is>
          <t>EMMABODA</t>
        </is>
      </c>
      <c r="I4862" t="n">
        <v>3.7</v>
      </c>
      <c r="J4862" t="n">
        <v>0</v>
      </c>
      <c r="K4862" t="n">
        <v>0</v>
      </c>
      <c r="L4862" t="n">
        <v>0</v>
      </c>
      <c r="M4862" t="n">
        <v>0</v>
      </c>
      <c r="N4862" t="n">
        <v>0</v>
      </c>
      <c r="O4862" t="n">
        <v>0</v>
      </c>
      <c r="P4862" t="n">
        <v>0</v>
      </c>
      <c r="Q4862" t="n">
        <v>0</v>
      </c>
      <c r="R4862" t="n">
        <v>0</v>
      </c>
      <c r="S4862" t="n">
        <v>0</v>
      </c>
      <c r="T4862" t="n">
        <v>0</v>
      </c>
      <c r="U4862" t="n">
        <v>0</v>
      </c>
      <c r="V4862" s="2" t="inlineStr"/>
    </row>
    <row r="4863" ht="15" customHeight="1">
      <c r="A4863" t="inlineStr">
        <is>
          <t>A 15432-2026</t>
        </is>
      </c>
      <c r="B4863" t="inlineStr">
        <is>
          <t>avverkningsanmälan</t>
        </is>
      </c>
      <c r="C4863" t="inlineStr">
        <is>
          <t>Föryngringsavverkning</t>
        </is>
      </c>
      <c r="D4863" s="1" t="n">
        <v>46106</v>
      </c>
      <c r="E4863" s="1" t="n">
        <v>46323</v>
      </c>
      <c r="F4863" t="inlineStr">
        <is>
          <t>KALMAR LÄN</t>
        </is>
      </c>
      <c r="G4863" t="inlineStr">
        <is>
          <t>NYBRO</t>
        </is>
      </c>
      <c r="H4863" t="inlineStr">
        <is>
          <t>Sveaskog</t>
        </is>
      </c>
      <c r="I4863" t="n">
        <v>1.8</v>
      </c>
      <c r="J4863" t="n">
        <v>0</v>
      </c>
      <c r="K4863" t="n">
        <v>0</v>
      </c>
      <c r="L4863" t="n">
        <v>0</v>
      </c>
      <c r="M4863" t="n">
        <v>0</v>
      </c>
      <c r="N4863" t="n">
        <v>0</v>
      </c>
      <c r="O4863" t="n">
        <v>0</v>
      </c>
      <c r="P4863" t="n">
        <v>0</v>
      </c>
      <c r="Q4863" t="n">
        <v>0</v>
      </c>
      <c r="R4863" t="n">
        <v>0</v>
      </c>
      <c r="S4863" t="n">
        <v>0</v>
      </c>
      <c r="T4863" t="n">
        <v>0</v>
      </c>
      <c r="U4863" t="n">
        <v>0</v>
      </c>
      <c r="V4863" s="2" t="inlineStr"/>
    </row>
    <row r="4864" ht="15" customHeight="1">
      <c r="A4864" t="inlineStr">
        <is>
          <t>A 16281-2026</t>
        </is>
      </c>
      <c r="B4864" t="inlineStr">
        <is>
          <t>avverkningsanmälan</t>
        </is>
      </c>
      <c r="C4864" t="inlineStr">
        <is>
          <t>Föryngringsavverkning</t>
        </is>
      </c>
      <c r="D4864" s="1" t="n">
        <v>46111</v>
      </c>
      <c r="E4864" s="1" t="n">
        <v>46323</v>
      </c>
      <c r="F4864" t="inlineStr">
        <is>
          <t>KALMAR LÄN</t>
        </is>
      </c>
      <c r="G4864" t="inlineStr">
        <is>
          <t>HULTSFRED</t>
        </is>
      </c>
      <c r="I4864" t="n">
        <v>0.6</v>
      </c>
      <c r="J4864" t="n">
        <v>0</v>
      </c>
      <c r="K4864" t="n">
        <v>0</v>
      </c>
      <c r="L4864" t="n">
        <v>0</v>
      </c>
      <c r="M4864" t="n">
        <v>0</v>
      </c>
      <c r="N4864" t="n">
        <v>0</v>
      </c>
      <c r="O4864" t="n">
        <v>0</v>
      </c>
      <c r="P4864" t="n">
        <v>0</v>
      </c>
      <c r="Q4864" t="n">
        <v>0</v>
      </c>
      <c r="R4864" t="n">
        <v>0</v>
      </c>
      <c r="S4864" t="n">
        <v>0</v>
      </c>
      <c r="T4864" t="n">
        <v>0</v>
      </c>
      <c r="U4864" t="n">
        <v>0</v>
      </c>
      <c r="V4864" s="2" t="inlineStr"/>
    </row>
    <row r="4865" ht="15" customHeight="1">
      <c r="A4865" t="inlineStr">
        <is>
          <t>A 17131-2024</t>
        </is>
      </c>
      <c r="B4865" t="inlineStr">
        <is>
          <t>avverkningsanmälan</t>
        </is>
      </c>
      <c r="C4865" t="inlineStr">
        <is>
          <t>Föryngringsavverkning</t>
        </is>
      </c>
      <c r="D4865" s="1" t="n">
        <v>45412</v>
      </c>
      <c r="E4865" s="1" t="n">
        <v>46323</v>
      </c>
      <c r="F4865" t="inlineStr">
        <is>
          <t>KALMAR LÄN</t>
        </is>
      </c>
      <c r="G4865" t="inlineStr">
        <is>
          <t>HULTSFRED</t>
        </is>
      </c>
      <c r="I4865" t="n">
        <v>0.7</v>
      </c>
      <c r="J4865" t="n">
        <v>0</v>
      </c>
      <c r="K4865" t="n">
        <v>0</v>
      </c>
      <c r="L4865" t="n">
        <v>0</v>
      </c>
      <c r="M4865" t="n">
        <v>0</v>
      </c>
      <c r="N4865" t="n">
        <v>0</v>
      </c>
      <c r="O4865" t="n">
        <v>0</v>
      </c>
      <c r="P4865" t="n">
        <v>0</v>
      </c>
      <c r="Q4865" t="n">
        <v>0</v>
      </c>
      <c r="R4865" t="n">
        <v>0</v>
      </c>
      <c r="S4865" t="n">
        <v>0</v>
      </c>
      <c r="T4865" t="n">
        <v>0</v>
      </c>
      <c r="U4865" t="n">
        <v>0</v>
      </c>
      <c r="V4865" s="2" t="inlineStr"/>
    </row>
    <row r="4866" ht="15" customHeight="1">
      <c r="A4866" t="inlineStr">
        <is>
          <t>A 29017-2024</t>
        </is>
      </c>
      <c r="B4866" t="inlineStr">
        <is>
          <t>avverkningsanmälan</t>
        </is>
      </c>
      <c r="C4866" t="inlineStr">
        <is>
          <t>Föryngringsavverkning</t>
        </is>
      </c>
      <c r="D4866" s="1" t="n">
        <v>45481</v>
      </c>
      <c r="E4866" s="1" t="n">
        <v>46323</v>
      </c>
      <c r="F4866" t="inlineStr">
        <is>
          <t>KALMAR LÄN</t>
        </is>
      </c>
      <c r="G4866" t="inlineStr">
        <is>
          <t>VIMMERBY</t>
        </is>
      </c>
      <c r="I4866" t="n">
        <v>0.6</v>
      </c>
      <c r="J4866" t="n">
        <v>0</v>
      </c>
      <c r="K4866" t="n">
        <v>0</v>
      </c>
      <c r="L4866" t="n">
        <v>0</v>
      </c>
      <c r="M4866" t="n">
        <v>0</v>
      </c>
      <c r="N4866" t="n">
        <v>0</v>
      </c>
      <c r="O4866" t="n">
        <v>0</v>
      </c>
      <c r="P4866" t="n">
        <v>0</v>
      </c>
      <c r="Q4866" t="n">
        <v>0</v>
      </c>
      <c r="R4866" t="n">
        <v>0</v>
      </c>
      <c r="S4866" t="n">
        <v>0</v>
      </c>
      <c r="T4866" t="n">
        <v>0</v>
      </c>
      <c r="U4866" t="n">
        <v>0</v>
      </c>
      <c r="V4866" s="2" t="inlineStr"/>
    </row>
    <row r="4867" ht="15" customHeight="1">
      <c r="A4867" t="inlineStr">
        <is>
          <t>A 58038-2022</t>
        </is>
      </c>
      <c r="B4867" t="inlineStr">
        <is>
          <t>avverkningsanmälan</t>
        </is>
      </c>
      <c r="C4867" t="inlineStr">
        <is>
          <t>Föryngringsavverkning</t>
        </is>
      </c>
      <c r="D4867" s="1" t="n">
        <v>44900</v>
      </c>
      <c r="E4867" s="1" t="n">
        <v>46323</v>
      </c>
      <c r="F4867" t="inlineStr">
        <is>
          <t>KALMAR LÄN</t>
        </is>
      </c>
      <c r="G4867" t="inlineStr">
        <is>
          <t>TORSÅS</t>
        </is>
      </c>
      <c r="I4867" t="n">
        <v>7.8</v>
      </c>
      <c r="J4867" t="n">
        <v>0</v>
      </c>
      <c r="K4867" t="n">
        <v>0</v>
      </c>
      <c r="L4867" t="n">
        <v>0</v>
      </c>
      <c r="M4867" t="n">
        <v>0</v>
      </c>
      <c r="N4867" t="n">
        <v>0</v>
      </c>
      <c r="O4867" t="n">
        <v>0</v>
      </c>
      <c r="P4867" t="n">
        <v>0</v>
      </c>
      <c r="Q4867" t="n">
        <v>0</v>
      </c>
      <c r="R4867" t="n">
        <v>0</v>
      </c>
      <c r="S4867" t="n">
        <v>0</v>
      </c>
      <c r="T4867" t="n">
        <v>0</v>
      </c>
      <c r="U4867" t="n">
        <v>0</v>
      </c>
      <c r="V4867" s="2" t="inlineStr"/>
    </row>
    <row r="4868" ht="15" customHeight="1">
      <c r="A4868" t="inlineStr">
        <is>
          <t>A 58046-2022</t>
        </is>
      </c>
      <c r="B4868" t="inlineStr">
        <is>
          <t>avverkningsanmälan</t>
        </is>
      </c>
      <c r="C4868" t="inlineStr">
        <is>
          <t>Föryngringsavverkning</t>
        </is>
      </c>
      <c r="D4868" s="1" t="n">
        <v>44900</v>
      </c>
      <c r="E4868" s="1" t="n">
        <v>46323</v>
      </c>
      <c r="F4868" t="inlineStr">
        <is>
          <t>KALMAR LÄN</t>
        </is>
      </c>
      <c r="G4868" t="inlineStr">
        <is>
          <t>VIMMERBY</t>
        </is>
      </c>
      <c r="I4868" t="n">
        <v>2.5</v>
      </c>
      <c r="J4868" t="n">
        <v>0</v>
      </c>
      <c r="K4868" t="n">
        <v>0</v>
      </c>
      <c r="L4868" t="n">
        <v>0</v>
      </c>
      <c r="M4868" t="n">
        <v>0</v>
      </c>
      <c r="N4868" t="n">
        <v>0</v>
      </c>
      <c r="O4868" t="n">
        <v>0</v>
      </c>
      <c r="P4868" t="n">
        <v>0</v>
      </c>
      <c r="Q4868" t="n">
        <v>0</v>
      </c>
      <c r="R4868" t="n">
        <v>0</v>
      </c>
      <c r="S4868" t="n">
        <v>0</v>
      </c>
      <c r="T4868" t="n">
        <v>0</v>
      </c>
      <c r="U4868" t="n">
        <v>0</v>
      </c>
      <c r="V4868" s="2" t="inlineStr"/>
    </row>
    <row r="4869" ht="15" customHeight="1">
      <c r="A4869" t="inlineStr">
        <is>
          <t>A 16834-2023</t>
        </is>
      </c>
      <c r="B4869" t="inlineStr">
        <is>
          <t>avverkningsanmälan</t>
        </is>
      </c>
      <c r="C4869" t="inlineStr">
        <is>
          <t>Föryngringsavverkning</t>
        </is>
      </c>
      <c r="D4869" s="1" t="n">
        <v>45033</v>
      </c>
      <c r="E4869" s="1" t="n">
        <v>46323</v>
      </c>
      <c r="F4869" t="inlineStr">
        <is>
          <t>KALMAR LÄN</t>
        </is>
      </c>
      <c r="G4869" t="inlineStr">
        <is>
          <t>VÄSTERVIK</t>
        </is>
      </c>
      <c r="I4869" t="n">
        <v>1.4</v>
      </c>
      <c r="J4869" t="n">
        <v>0</v>
      </c>
      <c r="K4869" t="n">
        <v>0</v>
      </c>
      <c r="L4869" t="n">
        <v>0</v>
      </c>
      <c r="M4869" t="n">
        <v>0</v>
      </c>
      <c r="N4869" t="n">
        <v>0</v>
      </c>
      <c r="O4869" t="n">
        <v>0</v>
      </c>
      <c r="P4869" t="n">
        <v>0</v>
      </c>
      <c r="Q4869" t="n">
        <v>0</v>
      </c>
      <c r="R4869" t="n">
        <v>0</v>
      </c>
      <c r="S4869" t="n">
        <v>0</v>
      </c>
      <c r="T4869" t="n">
        <v>0</v>
      </c>
      <c r="U4869" t="n">
        <v>0</v>
      </c>
      <c r="V4869" s="2" t="inlineStr"/>
    </row>
    <row r="4870" ht="15" customHeight="1">
      <c r="A4870" t="inlineStr">
        <is>
          <t>A 16428-2023</t>
        </is>
      </c>
      <c r="B4870" t="inlineStr">
        <is>
          <t>avverkningsanmälan</t>
        </is>
      </c>
      <c r="C4870" t="inlineStr">
        <is>
          <t>Föryngringsavverkning</t>
        </is>
      </c>
      <c r="D4870" s="1" t="n">
        <v>45022</v>
      </c>
      <c r="E4870" s="1" t="n">
        <v>46323</v>
      </c>
      <c r="F4870" t="inlineStr">
        <is>
          <t>KALMAR LÄN</t>
        </is>
      </c>
      <c r="G4870" t="inlineStr">
        <is>
          <t>MÖNSTERÅS</t>
        </is>
      </c>
      <c r="I4870" t="n">
        <v>1.1</v>
      </c>
      <c r="J4870" t="n">
        <v>0</v>
      </c>
      <c r="K4870" t="n">
        <v>0</v>
      </c>
      <c r="L4870" t="n">
        <v>0</v>
      </c>
      <c r="M4870" t="n">
        <v>0</v>
      </c>
      <c r="N4870" t="n">
        <v>0</v>
      </c>
      <c r="O4870" t="n">
        <v>0</v>
      </c>
      <c r="P4870" t="n">
        <v>0</v>
      </c>
      <c r="Q4870" t="n">
        <v>0</v>
      </c>
      <c r="R4870" t="n">
        <v>0</v>
      </c>
      <c r="S4870" t="n">
        <v>0</v>
      </c>
      <c r="T4870" t="n">
        <v>0</v>
      </c>
      <c r="U4870" t="n">
        <v>0</v>
      </c>
      <c r="V4870" s="2" t="inlineStr"/>
    </row>
    <row r="4871" ht="15" customHeight="1">
      <c r="A4871" t="inlineStr">
        <is>
          <t>A 25783-2024</t>
        </is>
      </c>
      <c r="B4871" t="inlineStr">
        <is>
          <t>avverkningsanmälan</t>
        </is>
      </c>
      <c r="C4871" t="inlineStr">
        <is>
          <t>Föryngringsavverkning</t>
        </is>
      </c>
      <c r="D4871" s="1" t="n">
        <v>45466</v>
      </c>
      <c r="E4871" s="1" t="n">
        <v>46323</v>
      </c>
      <c r="F4871" t="inlineStr">
        <is>
          <t>KALMAR LÄN</t>
        </is>
      </c>
      <c r="G4871" t="inlineStr">
        <is>
          <t>EMMABODA</t>
        </is>
      </c>
      <c r="I4871" t="n">
        <v>1.7</v>
      </c>
      <c r="J4871" t="n">
        <v>0</v>
      </c>
      <c r="K4871" t="n">
        <v>0</v>
      </c>
      <c r="L4871" t="n">
        <v>0</v>
      </c>
      <c r="M4871" t="n">
        <v>0</v>
      </c>
      <c r="N4871" t="n">
        <v>0</v>
      </c>
      <c r="O4871" t="n">
        <v>0</v>
      </c>
      <c r="P4871" t="n">
        <v>0</v>
      </c>
      <c r="Q4871" t="n">
        <v>0</v>
      </c>
      <c r="R4871" t="n">
        <v>0</v>
      </c>
      <c r="S4871" t="n">
        <v>0</v>
      </c>
      <c r="T4871" t="n">
        <v>0</v>
      </c>
      <c r="U4871" t="n">
        <v>0</v>
      </c>
      <c r="V4871" s="2" t="inlineStr"/>
    </row>
    <row r="4872" ht="15" customHeight="1">
      <c r="A4872" t="inlineStr">
        <is>
          <t>A 60232-2023</t>
        </is>
      </c>
      <c r="B4872" t="inlineStr">
        <is>
          <t>avverkningsanmälan</t>
        </is>
      </c>
      <c r="C4872" t="inlineStr">
        <is>
          <t>Föryngringsavverkning</t>
        </is>
      </c>
      <c r="D4872" s="1" t="n">
        <v>45258</v>
      </c>
      <c r="E4872" s="1" t="n">
        <v>46323</v>
      </c>
      <c r="F4872" t="inlineStr">
        <is>
          <t>KALMAR LÄN</t>
        </is>
      </c>
      <c r="G4872" t="inlineStr">
        <is>
          <t>OSKARSHAMN</t>
        </is>
      </c>
      <c r="I4872" t="n">
        <v>0.5</v>
      </c>
      <c r="J4872" t="n">
        <v>0</v>
      </c>
      <c r="K4872" t="n">
        <v>0</v>
      </c>
      <c r="L4872" t="n">
        <v>0</v>
      </c>
      <c r="M4872" t="n">
        <v>0</v>
      </c>
      <c r="N4872" t="n">
        <v>0</v>
      </c>
      <c r="O4872" t="n">
        <v>0</v>
      </c>
      <c r="P4872" t="n">
        <v>0</v>
      </c>
      <c r="Q4872" t="n">
        <v>0</v>
      </c>
      <c r="R4872" t="n">
        <v>0</v>
      </c>
      <c r="S4872" t="n">
        <v>0</v>
      </c>
      <c r="T4872" t="n">
        <v>0</v>
      </c>
      <c r="U4872" t="n">
        <v>0</v>
      </c>
      <c r="V4872" s="2" t="inlineStr"/>
    </row>
    <row r="4873" ht="15" customHeight="1">
      <c r="A4873" t="inlineStr">
        <is>
          <t>A 16121-2026</t>
        </is>
      </c>
      <c r="B4873" t="inlineStr">
        <is>
          <t>avverkningsanmälan</t>
        </is>
      </c>
      <c r="C4873" t="inlineStr">
        <is>
          <t>Föryngringsavverkning</t>
        </is>
      </c>
      <c r="D4873" s="1" t="n">
        <v>46108</v>
      </c>
      <c r="E4873" s="1" t="n">
        <v>46323</v>
      </c>
      <c r="F4873" t="inlineStr">
        <is>
          <t>KALMAR LÄN</t>
        </is>
      </c>
      <c r="G4873" t="inlineStr">
        <is>
          <t>KALMAR</t>
        </is>
      </c>
      <c r="I4873" t="n">
        <v>3.5</v>
      </c>
      <c r="J4873" t="n">
        <v>0</v>
      </c>
      <c r="K4873" t="n">
        <v>0</v>
      </c>
      <c r="L4873" t="n">
        <v>0</v>
      </c>
      <c r="M4873" t="n">
        <v>0</v>
      </c>
      <c r="N4873" t="n">
        <v>0</v>
      </c>
      <c r="O4873" t="n">
        <v>0</v>
      </c>
      <c r="P4873" t="n">
        <v>0</v>
      </c>
      <c r="Q4873" t="n">
        <v>0</v>
      </c>
      <c r="R4873" t="n">
        <v>0</v>
      </c>
      <c r="S4873" t="n">
        <v>0</v>
      </c>
      <c r="T4873" t="n">
        <v>0</v>
      </c>
      <c r="U4873" t="n">
        <v>0</v>
      </c>
      <c r="V4873" s="2" t="inlineStr"/>
    </row>
    <row r="4874" ht="15" customHeight="1">
      <c r="A4874" t="inlineStr">
        <is>
          <t>A 34146-2026</t>
        </is>
      </c>
      <c r="B4874" t="inlineStr">
        <is>
          <t>avverkningsanmälan</t>
        </is>
      </c>
      <c r="C4874" t="inlineStr">
        <is>
          <t>Föryngringsavverkning</t>
        </is>
      </c>
      <c r="D4874" s="1" t="n">
        <v>46253</v>
      </c>
      <c r="E4874" s="1" t="n">
        <v>46323</v>
      </c>
      <c r="F4874" t="inlineStr">
        <is>
          <t>KALMAR LÄN</t>
        </is>
      </c>
      <c r="G4874" t="inlineStr">
        <is>
          <t>EMMABODA</t>
        </is>
      </c>
      <c r="I4874" t="n">
        <v>1.6</v>
      </c>
      <c r="J4874" t="n">
        <v>0</v>
      </c>
      <c r="K4874" t="n">
        <v>0</v>
      </c>
      <c r="L4874" t="n">
        <v>0</v>
      </c>
      <c r="M4874" t="n">
        <v>0</v>
      </c>
      <c r="N4874" t="n">
        <v>0</v>
      </c>
      <c r="O4874" t="n">
        <v>0</v>
      </c>
      <c r="P4874" t="n">
        <v>0</v>
      </c>
      <c r="Q4874" t="n">
        <v>0</v>
      </c>
      <c r="R4874" t="n">
        <v>0</v>
      </c>
      <c r="S4874" t="n">
        <v>0</v>
      </c>
      <c r="T4874" t="n">
        <v>0</v>
      </c>
      <c r="U4874" t="n">
        <v>0</v>
      </c>
      <c r="V4874" s="2" t="inlineStr"/>
    </row>
    <row r="4875" ht="15" customHeight="1">
      <c r="A4875" t="inlineStr">
        <is>
          <t>A 14544-2024</t>
        </is>
      </c>
      <c r="B4875" t="inlineStr">
        <is>
          <t>avverkningsanmälan</t>
        </is>
      </c>
      <c r="C4875" t="inlineStr">
        <is>
          <t>Föryngringsavverkning</t>
        </is>
      </c>
      <c r="D4875" s="1" t="n">
        <v>45394</v>
      </c>
      <c r="E4875" s="1" t="n">
        <v>46323</v>
      </c>
      <c r="F4875" t="inlineStr">
        <is>
          <t>KALMAR LÄN</t>
        </is>
      </c>
      <c r="G4875" t="inlineStr">
        <is>
          <t>NYBRO</t>
        </is>
      </c>
      <c r="H4875" t="inlineStr">
        <is>
          <t>Kommuner</t>
        </is>
      </c>
      <c r="I4875" t="n">
        <v>2.6</v>
      </c>
      <c r="J4875" t="n">
        <v>0</v>
      </c>
      <c r="K4875" t="n">
        <v>0</v>
      </c>
      <c r="L4875" t="n">
        <v>0</v>
      </c>
      <c r="M4875" t="n">
        <v>0</v>
      </c>
      <c r="N4875" t="n">
        <v>0</v>
      </c>
      <c r="O4875" t="n">
        <v>0</v>
      </c>
      <c r="P4875" t="n">
        <v>0</v>
      </c>
      <c r="Q4875" t="n">
        <v>0</v>
      </c>
      <c r="R4875" t="n">
        <v>0</v>
      </c>
      <c r="S4875" t="n">
        <v>0</v>
      </c>
      <c r="T4875" t="n">
        <v>0</v>
      </c>
      <c r="U4875" t="n">
        <v>0</v>
      </c>
      <c r="V4875" s="2" t="inlineStr"/>
    </row>
    <row r="4876" ht="15" customHeight="1">
      <c r="A4876" t="inlineStr">
        <is>
          <t>A 14548-2024</t>
        </is>
      </c>
      <c r="B4876" t="inlineStr">
        <is>
          <t>avverkningsanmälan</t>
        </is>
      </c>
      <c r="C4876" t="inlineStr">
        <is>
          <t>Föryngringsavverkning</t>
        </is>
      </c>
      <c r="D4876" s="1" t="n">
        <v>45394</v>
      </c>
      <c r="E4876" s="1" t="n">
        <v>46323</v>
      </c>
      <c r="F4876" t="inlineStr">
        <is>
          <t>KALMAR LÄN</t>
        </is>
      </c>
      <c r="G4876" t="inlineStr">
        <is>
          <t>VIMMERBY</t>
        </is>
      </c>
      <c r="I4876" t="n">
        <v>0.9</v>
      </c>
      <c r="J4876" t="n">
        <v>0</v>
      </c>
      <c r="K4876" t="n">
        <v>0</v>
      </c>
      <c r="L4876" t="n">
        <v>0</v>
      </c>
      <c r="M4876" t="n">
        <v>0</v>
      </c>
      <c r="N4876" t="n">
        <v>0</v>
      </c>
      <c r="O4876" t="n">
        <v>0</v>
      </c>
      <c r="P4876" t="n">
        <v>0</v>
      </c>
      <c r="Q4876" t="n">
        <v>0</v>
      </c>
      <c r="R4876" t="n">
        <v>0</v>
      </c>
      <c r="S4876" t="n">
        <v>0</v>
      </c>
      <c r="T4876" t="n">
        <v>0</v>
      </c>
      <c r="U4876" t="n">
        <v>0</v>
      </c>
      <c r="V4876" s="2" t="inlineStr"/>
    </row>
    <row r="4877" ht="15" customHeight="1">
      <c r="A4877" t="inlineStr">
        <is>
          <t>A 16342-2026</t>
        </is>
      </c>
      <c r="B4877" t="inlineStr">
        <is>
          <t>avverkningsanmälan</t>
        </is>
      </c>
      <c r="C4877" t="inlineStr">
        <is>
          <t>Föryngringsavverkning</t>
        </is>
      </c>
      <c r="D4877" s="1" t="n">
        <v>46111</v>
      </c>
      <c r="E4877" s="1" t="n">
        <v>46323</v>
      </c>
      <c r="F4877" t="inlineStr">
        <is>
          <t>KALMAR LÄN</t>
        </is>
      </c>
      <c r="G4877" t="inlineStr">
        <is>
          <t>HÖGSBY</t>
        </is>
      </c>
      <c r="H4877" t="inlineStr">
        <is>
          <t>Sveaskog</t>
        </is>
      </c>
      <c r="I4877" t="n">
        <v>1.3</v>
      </c>
      <c r="J4877" t="n">
        <v>0</v>
      </c>
      <c r="K4877" t="n">
        <v>0</v>
      </c>
      <c r="L4877" t="n">
        <v>0</v>
      </c>
      <c r="M4877" t="n">
        <v>0</v>
      </c>
      <c r="N4877" t="n">
        <v>0</v>
      </c>
      <c r="O4877" t="n">
        <v>0</v>
      </c>
      <c r="P4877" t="n">
        <v>0</v>
      </c>
      <c r="Q4877" t="n">
        <v>0</v>
      </c>
      <c r="R4877" t="n">
        <v>0</v>
      </c>
      <c r="S4877" t="n">
        <v>0</v>
      </c>
      <c r="T4877" t="n">
        <v>0</v>
      </c>
      <c r="U4877" t="n">
        <v>0</v>
      </c>
      <c r="V4877" s="2" t="inlineStr"/>
    </row>
    <row r="4878" ht="15" customHeight="1">
      <c r="A4878" t="inlineStr">
        <is>
          <t>A 40643-2026</t>
        </is>
      </c>
      <c r="B4878" t="inlineStr">
        <is>
          <t>avverkningsanmälan</t>
        </is>
      </c>
      <c r="C4878" t="inlineStr">
        <is>
          <t>Föryngringsavverkning</t>
        </is>
      </c>
      <c r="D4878" s="1" t="n">
        <v>46296</v>
      </c>
      <c r="E4878" s="1" t="n">
        <v>46323</v>
      </c>
      <c r="F4878" t="inlineStr">
        <is>
          <t>KALMAR LÄN</t>
        </is>
      </c>
      <c r="G4878" t="inlineStr">
        <is>
          <t>MÖNSTERÅS</t>
        </is>
      </c>
      <c r="I4878" t="n">
        <v>1.4</v>
      </c>
      <c r="J4878" t="n">
        <v>0</v>
      </c>
      <c r="K4878" t="n">
        <v>0</v>
      </c>
      <c r="L4878" t="n">
        <v>0</v>
      </c>
      <c r="M4878" t="n">
        <v>0</v>
      </c>
      <c r="N4878" t="n">
        <v>0</v>
      </c>
      <c r="O4878" t="n">
        <v>0</v>
      </c>
      <c r="P4878" t="n">
        <v>0</v>
      </c>
      <c r="Q4878" t="n">
        <v>0</v>
      </c>
      <c r="R4878" t="n">
        <v>0</v>
      </c>
      <c r="S4878" t="n">
        <v>0</v>
      </c>
      <c r="T4878" t="n">
        <v>0</v>
      </c>
      <c r="U4878" t="n">
        <v>0</v>
      </c>
      <c r="V4878" s="2" t="inlineStr"/>
    </row>
    <row r="4879" ht="15" customHeight="1">
      <c r="A4879" t="inlineStr">
        <is>
          <t>A 26207-2025</t>
        </is>
      </c>
      <c r="B4879" t="inlineStr">
        <is>
          <t>avverkningsanmälan</t>
        </is>
      </c>
      <c r="C4879" t="inlineStr">
        <is>
          <t>Föryngringsavverkning</t>
        </is>
      </c>
      <c r="D4879" s="1" t="n">
        <v>45805</v>
      </c>
      <c r="E4879" s="1" t="n">
        <v>46323</v>
      </c>
      <c r="F4879" t="inlineStr">
        <is>
          <t>KALMAR LÄN</t>
        </is>
      </c>
      <c r="G4879" t="inlineStr">
        <is>
          <t>VIMMERBY</t>
        </is>
      </c>
      <c r="I4879" t="n">
        <v>0.7</v>
      </c>
      <c r="J4879" t="n">
        <v>0</v>
      </c>
      <c r="K4879" t="n">
        <v>0</v>
      </c>
      <c r="L4879" t="n">
        <v>0</v>
      </c>
      <c r="M4879" t="n">
        <v>0</v>
      </c>
      <c r="N4879" t="n">
        <v>0</v>
      </c>
      <c r="O4879" t="n">
        <v>0</v>
      </c>
      <c r="P4879" t="n">
        <v>0</v>
      </c>
      <c r="Q4879" t="n">
        <v>0</v>
      </c>
      <c r="R4879" t="n">
        <v>0</v>
      </c>
      <c r="S4879" t="n">
        <v>0</v>
      </c>
      <c r="T4879" t="n">
        <v>0</v>
      </c>
      <c r="U4879" t="n">
        <v>0</v>
      </c>
      <c r="V4879" s="2" t="inlineStr"/>
    </row>
    <row r="4880" ht="15" customHeight="1">
      <c r="A4880" t="inlineStr">
        <is>
          <t>A 35048-2023</t>
        </is>
      </c>
      <c r="B4880" t="inlineStr">
        <is>
          <t>avverkningsanmälan</t>
        </is>
      </c>
      <c r="C4880" t="inlineStr">
        <is>
          <t>Föryngringsavverkning</t>
        </is>
      </c>
      <c r="D4880" s="1" t="n">
        <v>45145</v>
      </c>
      <c r="E4880" s="1" t="n">
        <v>46323</v>
      </c>
      <c r="F4880" t="inlineStr">
        <is>
          <t>KALMAR LÄN</t>
        </is>
      </c>
      <c r="G4880" t="inlineStr">
        <is>
          <t>TORSÅS</t>
        </is>
      </c>
      <c r="I4880" t="n">
        <v>0.9</v>
      </c>
      <c r="J4880" t="n">
        <v>0</v>
      </c>
      <c r="K4880" t="n">
        <v>0</v>
      </c>
      <c r="L4880" t="n">
        <v>0</v>
      </c>
      <c r="M4880" t="n">
        <v>0</v>
      </c>
      <c r="N4880" t="n">
        <v>0</v>
      </c>
      <c r="O4880" t="n">
        <v>0</v>
      </c>
      <c r="P4880" t="n">
        <v>0</v>
      </c>
      <c r="Q4880" t="n">
        <v>0</v>
      </c>
      <c r="R4880" t="n">
        <v>0</v>
      </c>
      <c r="S4880" t="n">
        <v>0</v>
      </c>
      <c r="T4880" t="n">
        <v>0</v>
      </c>
      <c r="U4880" t="n">
        <v>0</v>
      </c>
      <c r="V4880" s="2" t="inlineStr"/>
    </row>
    <row r="4881" ht="15" customHeight="1">
      <c r="A4881" t="inlineStr">
        <is>
          <t>A 34289-2024</t>
        </is>
      </c>
      <c r="B4881" t="inlineStr">
        <is>
          <t>avverkningsanmälan</t>
        </is>
      </c>
      <c r="C4881" t="inlineStr">
        <is>
          <t>Föryngringsavverkning</t>
        </is>
      </c>
      <c r="D4881" s="1" t="n">
        <v>45524</v>
      </c>
      <c r="E4881" s="1" t="n">
        <v>46323</v>
      </c>
      <c r="F4881" t="inlineStr">
        <is>
          <t>KALMAR LÄN</t>
        </is>
      </c>
      <c r="G4881" t="inlineStr">
        <is>
          <t>HULTSFRED</t>
        </is>
      </c>
      <c r="I4881" t="n">
        <v>1.7</v>
      </c>
      <c r="J4881" t="n">
        <v>0</v>
      </c>
      <c r="K4881" t="n">
        <v>0</v>
      </c>
      <c r="L4881" t="n">
        <v>0</v>
      </c>
      <c r="M4881" t="n">
        <v>0</v>
      </c>
      <c r="N4881" t="n">
        <v>0</v>
      </c>
      <c r="O4881" t="n">
        <v>0</v>
      </c>
      <c r="P4881" t="n">
        <v>0</v>
      </c>
      <c r="Q4881" t="n">
        <v>0</v>
      </c>
      <c r="R4881" t="n">
        <v>0</v>
      </c>
      <c r="S4881" t="n">
        <v>0</v>
      </c>
      <c r="T4881" t="n">
        <v>0</v>
      </c>
      <c r="U4881" t="n">
        <v>0</v>
      </c>
      <c r="V4881" s="2" t="inlineStr"/>
    </row>
    <row r="4882" ht="15" customHeight="1">
      <c r="A4882" t="inlineStr">
        <is>
          <t>A 25798-2023</t>
        </is>
      </c>
      <c r="B4882" t="inlineStr">
        <is>
          <t>avverkningsanmälan</t>
        </is>
      </c>
      <c r="C4882" t="inlineStr">
        <is>
          <t>Föryngringsavverkning</t>
        </is>
      </c>
      <c r="D4882" s="1" t="n">
        <v>45090</v>
      </c>
      <c r="E4882" s="1" t="n">
        <v>46323</v>
      </c>
      <c r="F4882" t="inlineStr">
        <is>
          <t>KALMAR LÄN</t>
        </is>
      </c>
      <c r="G4882" t="inlineStr">
        <is>
          <t>NYBRO</t>
        </is>
      </c>
      <c r="I4882" t="n">
        <v>0.5</v>
      </c>
      <c r="J4882" t="n">
        <v>0</v>
      </c>
      <c r="K4882" t="n">
        <v>0</v>
      </c>
      <c r="L4882" t="n">
        <v>0</v>
      </c>
      <c r="M4882" t="n">
        <v>0</v>
      </c>
      <c r="N4882" t="n">
        <v>0</v>
      </c>
      <c r="O4882" t="n">
        <v>0</v>
      </c>
      <c r="P4882" t="n">
        <v>0</v>
      </c>
      <c r="Q4882" t="n">
        <v>0</v>
      </c>
      <c r="R4882" t="n">
        <v>0</v>
      </c>
      <c r="S4882" t="n">
        <v>0</v>
      </c>
      <c r="T4882" t="n">
        <v>0</v>
      </c>
      <c r="U4882" t="n">
        <v>0</v>
      </c>
      <c r="V4882" s="2" t="inlineStr"/>
    </row>
    <row r="4883" ht="15" customHeight="1">
      <c r="A4883" t="inlineStr">
        <is>
          <t>A 4401-2024</t>
        </is>
      </c>
      <c r="B4883" t="inlineStr">
        <is>
          <t>avverkningsanmälan</t>
        </is>
      </c>
      <c r="C4883" t="inlineStr">
        <is>
          <t>Föryngringsavverkning</t>
        </is>
      </c>
      <c r="D4883" s="1" t="n">
        <v>45327</v>
      </c>
      <c r="E4883" s="1" t="n">
        <v>46323</v>
      </c>
      <c r="F4883" t="inlineStr">
        <is>
          <t>KALMAR LÄN</t>
        </is>
      </c>
      <c r="G4883" t="inlineStr">
        <is>
          <t>EMMABODA</t>
        </is>
      </c>
      <c r="I4883" t="n">
        <v>0.6</v>
      </c>
      <c r="J4883" t="n">
        <v>0</v>
      </c>
      <c r="K4883" t="n">
        <v>0</v>
      </c>
      <c r="L4883" t="n">
        <v>0</v>
      </c>
      <c r="M4883" t="n">
        <v>0</v>
      </c>
      <c r="N4883" t="n">
        <v>0</v>
      </c>
      <c r="O4883" t="n">
        <v>0</v>
      </c>
      <c r="P4883" t="n">
        <v>0</v>
      </c>
      <c r="Q4883" t="n">
        <v>0</v>
      </c>
      <c r="R4883" t="n">
        <v>0</v>
      </c>
      <c r="S4883" t="n">
        <v>0</v>
      </c>
      <c r="T4883" t="n">
        <v>0</v>
      </c>
      <c r="U4883" t="n">
        <v>0</v>
      </c>
      <c r="V4883" s="2" t="inlineStr"/>
    </row>
    <row r="4884" ht="15" customHeight="1">
      <c r="A4884" t="inlineStr">
        <is>
          <t>A 33966-2026</t>
        </is>
      </c>
      <c r="B4884" t="inlineStr">
        <is>
          <t>avverkningsanmälan</t>
        </is>
      </c>
      <c r="C4884" t="inlineStr">
        <is>
          <t>Föryngringsavverkning</t>
        </is>
      </c>
      <c r="D4884" s="1" t="n">
        <v>46252</v>
      </c>
      <c r="E4884" s="1" t="n">
        <v>46323</v>
      </c>
      <c r="F4884" t="inlineStr">
        <is>
          <t>KALMAR LÄN</t>
        </is>
      </c>
      <c r="G4884" t="inlineStr">
        <is>
          <t>OSKARSHAMN</t>
        </is>
      </c>
      <c r="I4884" t="n">
        <v>0.7</v>
      </c>
      <c r="J4884" t="n">
        <v>0</v>
      </c>
      <c r="K4884" t="n">
        <v>0</v>
      </c>
      <c r="L4884" t="n">
        <v>0</v>
      </c>
      <c r="M4884" t="n">
        <v>0</v>
      </c>
      <c r="N4884" t="n">
        <v>0</v>
      </c>
      <c r="O4884" t="n">
        <v>0</v>
      </c>
      <c r="P4884" t="n">
        <v>0</v>
      </c>
      <c r="Q4884" t="n">
        <v>0</v>
      </c>
      <c r="R4884" t="n">
        <v>0</v>
      </c>
      <c r="S4884" t="n">
        <v>0</v>
      </c>
      <c r="T4884" t="n">
        <v>0</v>
      </c>
      <c r="U4884" t="n">
        <v>0</v>
      </c>
      <c r="V4884" s="2" t="inlineStr"/>
    </row>
    <row r="4885" ht="15" customHeight="1">
      <c r="A4885" t="inlineStr">
        <is>
          <t>A 4931-2024</t>
        </is>
      </c>
      <c r="B4885" t="inlineStr">
        <is>
          <t>avverkningsanmälan</t>
        </is>
      </c>
      <c r="C4885" t="inlineStr">
        <is>
          <t>Föryngringsavverkning</t>
        </is>
      </c>
      <c r="D4885" s="1" t="n">
        <v>45329</v>
      </c>
      <c r="E4885" s="1" t="n">
        <v>46323</v>
      </c>
      <c r="F4885" t="inlineStr">
        <is>
          <t>KALMAR LÄN</t>
        </is>
      </c>
      <c r="G4885" t="inlineStr">
        <is>
          <t>HÖGSBY</t>
        </is>
      </c>
      <c r="I4885" t="n">
        <v>0.7</v>
      </c>
      <c r="J4885" t="n">
        <v>0</v>
      </c>
      <c r="K4885" t="n">
        <v>0</v>
      </c>
      <c r="L4885" t="n">
        <v>0</v>
      </c>
      <c r="M4885" t="n">
        <v>0</v>
      </c>
      <c r="N4885" t="n">
        <v>0</v>
      </c>
      <c r="O4885" t="n">
        <v>0</v>
      </c>
      <c r="P4885" t="n">
        <v>0</v>
      </c>
      <c r="Q4885" t="n">
        <v>0</v>
      </c>
      <c r="R4885" t="n">
        <v>0</v>
      </c>
      <c r="S4885" t="n">
        <v>0</v>
      </c>
      <c r="T4885" t="n">
        <v>0</v>
      </c>
      <c r="U4885" t="n">
        <v>0</v>
      </c>
      <c r="V4885" s="2" t="inlineStr"/>
    </row>
    <row r="4886" ht="15" customHeight="1">
      <c r="A4886" t="inlineStr">
        <is>
          <t>A 6366-2023</t>
        </is>
      </c>
      <c r="B4886" t="inlineStr">
        <is>
          <t>avverkningsanmälan</t>
        </is>
      </c>
      <c r="C4886" t="inlineStr">
        <is>
          <t>Föryngringsavverkning</t>
        </is>
      </c>
      <c r="D4886" s="1" t="n">
        <v>44965</v>
      </c>
      <c r="E4886" s="1" t="n">
        <v>46323</v>
      </c>
      <c r="F4886" t="inlineStr">
        <is>
          <t>KALMAR LÄN</t>
        </is>
      </c>
      <c r="G4886" t="inlineStr">
        <is>
          <t>TORSÅS</t>
        </is>
      </c>
      <c r="I4886" t="n">
        <v>1.1</v>
      </c>
      <c r="J4886" t="n">
        <v>0</v>
      </c>
      <c r="K4886" t="n">
        <v>0</v>
      </c>
      <c r="L4886" t="n">
        <v>0</v>
      </c>
      <c r="M4886" t="n">
        <v>0</v>
      </c>
      <c r="N4886" t="n">
        <v>0</v>
      </c>
      <c r="O4886" t="n">
        <v>0</v>
      </c>
      <c r="P4886" t="n">
        <v>0</v>
      </c>
      <c r="Q4886" t="n">
        <v>0</v>
      </c>
      <c r="R4886" t="n">
        <v>0</v>
      </c>
      <c r="S4886" t="n">
        <v>0</v>
      </c>
      <c r="T4886" t="n">
        <v>0</v>
      </c>
      <c r="U4886" t="n">
        <v>0</v>
      </c>
      <c r="V4886" s="2" t="inlineStr"/>
    </row>
    <row r="4887" ht="15" customHeight="1">
      <c r="A4887" t="inlineStr">
        <is>
          <t>A 6895-2024</t>
        </is>
      </c>
      <c r="B4887" t="inlineStr">
        <is>
          <t>avverkningsanmälan</t>
        </is>
      </c>
      <c r="C4887" t="inlineStr">
        <is>
          <t>Föryngringsavverkning</t>
        </is>
      </c>
      <c r="D4887" s="1" t="n">
        <v>45342</v>
      </c>
      <c r="E4887" s="1" t="n">
        <v>46323</v>
      </c>
      <c r="F4887" t="inlineStr">
        <is>
          <t>KALMAR LÄN</t>
        </is>
      </c>
      <c r="G4887" t="inlineStr">
        <is>
          <t>NYBRO</t>
        </is>
      </c>
      <c r="I4887" t="n">
        <v>1.4</v>
      </c>
      <c r="J4887" t="n">
        <v>0</v>
      </c>
      <c r="K4887" t="n">
        <v>0</v>
      </c>
      <c r="L4887" t="n">
        <v>0</v>
      </c>
      <c r="M4887" t="n">
        <v>0</v>
      </c>
      <c r="N4887" t="n">
        <v>0</v>
      </c>
      <c r="O4887" t="n">
        <v>0</v>
      </c>
      <c r="P4887" t="n">
        <v>0</v>
      </c>
      <c r="Q4887" t="n">
        <v>0</v>
      </c>
      <c r="R4887" t="n">
        <v>0</v>
      </c>
      <c r="S4887" t="n">
        <v>0</v>
      </c>
      <c r="T4887" t="n">
        <v>0</v>
      </c>
      <c r="U4887" t="n">
        <v>0</v>
      </c>
      <c r="V4887" s="2" t="inlineStr"/>
    </row>
    <row r="4888" ht="15" customHeight="1">
      <c r="A4888" t="inlineStr">
        <is>
          <t>A 5002-2025</t>
        </is>
      </c>
      <c r="B4888" t="inlineStr">
        <is>
          <t>avverkningsanmälan</t>
        </is>
      </c>
      <c r="C4888" t="inlineStr">
        <is>
          <t>Föryngringsavverkning</t>
        </is>
      </c>
      <c r="D4888" s="1" t="n">
        <v>45691</v>
      </c>
      <c r="E4888" s="1" t="n">
        <v>46323</v>
      </c>
      <c r="F4888" t="inlineStr">
        <is>
          <t>KALMAR LÄN</t>
        </is>
      </c>
      <c r="G4888" t="inlineStr">
        <is>
          <t>HULTSFRED</t>
        </is>
      </c>
      <c r="I4888" t="n">
        <v>2.1</v>
      </c>
      <c r="J4888" t="n">
        <v>0</v>
      </c>
      <c r="K4888" t="n">
        <v>0</v>
      </c>
      <c r="L4888" t="n">
        <v>0</v>
      </c>
      <c r="M4888" t="n">
        <v>0</v>
      </c>
      <c r="N4888" t="n">
        <v>0</v>
      </c>
      <c r="O4888" t="n">
        <v>0</v>
      </c>
      <c r="P4888" t="n">
        <v>0</v>
      </c>
      <c r="Q4888" t="n">
        <v>0</v>
      </c>
      <c r="R4888" t="n">
        <v>0</v>
      </c>
      <c r="S4888" t="n">
        <v>0</v>
      </c>
      <c r="T4888" t="n">
        <v>0</v>
      </c>
      <c r="U4888" t="n">
        <v>0</v>
      </c>
      <c r="V4888" s="2" t="inlineStr"/>
    </row>
    <row r="4889" ht="15" customHeight="1">
      <c r="A4889" t="inlineStr">
        <is>
          <t>A 391-2024</t>
        </is>
      </c>
      <c r="B4889" t="inlineStr">
        <is>
          <t>avverkningsanmälan</t>
        </is>
      </c>
      <c r="C4889" t="inlineStr">
        <is>
          <t>Föryngringsavverkning</t>
        </is>
      </c>
      <c r="D4889" s="1" t="n">
        <v>45296</v>
      </c>
      <c r="E4889" s="1" t="n">
        <v>46323</v>
      </c>
      <c r="F4889" t="inlineStr">
        <is>
          <t>KALMAR LÄN</t>
        </is>
      </c>
      <c r="G4889" t="inlineStr">
        <is>
          <t>EMMABODA</t>
        </is>
      </c>
      <c r="I4889" t="n">
        <v>2.1</v>
      </c>
      <c r="J4889" t="n">
        <v>0</v>
      </c>
      <c r="K4889" t="n">
        <v>0</v>
      </c>
      <c r="L4889" t="n">
        <v>0</v>
      </c>
      <c r="M4889" t="n">
        <v>0</v>
      </c>
      <c r="N4889" t="n">
        <v>0</v>
      </c>
      <c r="O4889" t="n">
        <v>0</v>
      </c>
      <c r="P4889" t="n">
        <v>0</v>
      </c>
      <c r="Q4889" t="n">
        <v>0</v>
      </c>
      <c r="R4889" t="n">
        <v>0</v>
      </c>
      <c r="S4889" t="n">
        <v>0</v>
      </c>
      <c r="T4889" t="n">
        <v>0</v>
      </c>
      <c r="U4889" t="n">
        <v>0</v>
      </c>
      <c r="V4889" s="2" t="inlineStr"/>
    </row>
    <row r="4890" ht="15" customHeight="1">
      <c r="A4890" t="inlineStr">
        <is>
          <t>A 33759-2026</t>
        </is>
      </c>
      <c r="B4890" t="inlineStr">
        <is>
          <t>avverkningsanmälan</t>
        </is>
      </c>
      <c r="C4890" t="inlineStr">
        <is>
          <t>Föryngringsavverkning</t>
        </is>
      </c>
      <c r="D4890" s="1" t="n">
        <v>46251</v>
      </c>
      <c r="E4890" s="1" t="n">
        <v>46323</v>
      </c>
      <c r="F4890" t="inlineStr">
        <is>
          <t>KALMAR LÄN</t>
        </is>
      </c>
      <c r="G4890" t="inlineStr">
        <is>
          <t>EMMABODA</t>
        </is>
      </c>
      <c r="I4890" t="n">
        <v>2.1</v>
      </c>
      <c r="J4890" t="n">
        <v>0</v>
      </c>
      <c r="K4890" t="n">
        <v>0</v>
      </c>
      <c r="L4890" t="n">
        <v>0</v>
      </c>
      <c r="M4890" t="n">
        <v>0</v>
      </c>
      <c r="N4890" t="n">
        <v>0</v>
      </c>
      <c r="O4890" t="n">
        <v>0</v>
      </c>
      <c r="P4890" t="n">
        <v>0</v>
      </c>
      <c r="Q4890" t="n">
        <v>0</v>
      </c>
      <c r="R4890" t="n">
        <v>0</v>
      </c>
      <c r="S4890" t="n">
        <v>0</v>
      </c>
      <c r="T4890" t="n">
        <v>0</v>
      </c>
      <c r="U4890" t="n">
        <v>0</v>
      </c>
      <c r="V4890" s="2" t="inlineStr"/>
    </row>
    <row r="4891" ht="15" customHeight="1">
      <c r="A4891" t="inlineStr">
        <is>
          <t>A 34250-2026</t>
        </is>
      </c>
      <c r="B4891" t="inlineStr">
        <is>
          <t>avverkningsanmälan</t>
        </is>
      </c>
      <c r="C4891" t="inlineStr">
        <is>
          <t>Föryngringsavverkning</t>
        </is>
      </c>
      <c r="D4891" s="1" t="n">
        <v>46253</v>
      </c>
      <c r="E4891" s="1" t="n">
        <v>46323</v>
      </c>
      <c r="F4891" t="inlineStr">
        <is>
          <t>KALMAR LÄN</t>
        </is>
      </c>
      <c r="G4891" t="inlineStr">
        <is>
          <t>VÄSTERVIK</t>
        </is>
      </c>
      <c r="I4891" t="n">
        <v>1</v>
      </c>
      <c r="J4891" t="n">
        <v>0</v>
      </c>
      <c r="K4891" t="n">
        <v>0</v>
      </c>
      <c r="L4891" t="n">
        <v>0</v>
      </c>
      <c r="M4891" t="n">
        <v>0</v>
      </c>
      <c r="N4891" t="n">
        <v>0</v>
      </c>
      <c r="O4891" t="n">
        <v>0</v>
      </c>
      <c r="P4891" t="n">
        <v>0</v>
      </c>
      <c r="Q4891" t="n">
        <v>0</v>
      </c>
      <c r="R4891" t="n">
        <v>0</v>
      </c>
      <c r="S4891" t="n">
        <v>0</v>
      </c>
      <c r="T4891" t="n">
        <v>0</v>
      </c>
      <c r="U4891" t="n">
        <v>0</v>
      </c>
      <c r="V4891" s="2" t="inlineStr"/>
    </row>
    <row r="4892" ht="15" customHeight="1">
      <c r="A4892" t="inlineStr">
        <is>
          <t>A 16183-2026</t>
        </is>
      </c>
      <c r="B4892" t="inlineStr">
        <is>
          <t>avverkningsanmälan</t>
        </is>
      </c>
      <c r="C4892" t="inlineStr">
        <is>
          <t>Föryngringsavverkning</t>
        </is>
      </c>
      <c r="D4892" s="1" t="n">
        <v>46111</v>
      </c>
      <c r="E4892" s="1" t="n">
        <v>46323</v>
      </c>
      <c r="F4892" t="inlineStr">
        <is>
          <t>KALMAR LÄN</t>
        </is>
      </c>
      <c r="G4892" t="inlineStr">
        <is>
          <t>VIMMERBY</t>
        </is>
      </c>
      <c r="I4892" t="n">
        <v>1.7</v>
      </c>
      <c r="J4892" t="n">
        <v>0</v>
      </c>
      <c r="K4892" t="n">
        <v>0</v>
      </c>
      <c r="L4892" t="n">
        <v>0</v>
      </c>
      <c r="M4892" t="n">
        <v>0</v>
      </c>
      <c r="N4892" t="n">
        <v>0</v>
      </c>
      <c r="O4892" t="n">
        <v>0</v>
      </c>
      <c r="P4892" t="n">
        <v>0</v>
      </c>
      <c r="Q4892" t="n">
        <v>0</v>
      </c>
      <c r="R4892" t="n">
        <v>0</v>
      </c>
      <c r="S4892" t="n">
        <v>0</v>
      </c>
      <c r="T4892" t="n">
        <v>0</v>
      </c>
      <c r="U4892" t="n">
        <v>0</v>
      </c>
      <c r="V4892" s="2" t="inlineStr"/>
    </row>
    <row r="4893" ht="15" customHeight="1">
      <c r="A4893" t="inlineStr">
        <is>
          <t>A 16207-2026</t>
        </is>
      </c>
      <c r="B4893" t="inlineStr">
        <is>
          <t>avverkningsanmälan</t>
        </is>
      </c>
      <c r="C4893" t="inlineStr">
        <is>
          <t>Föryngringsavverkning</t>
        </is>
      </c>
      <c r="D4893" s="1" t="n">
        <v>46111</v>
      </c>
      <c r="E4893" s="1" t="n">
        <v>46323</v>
      </c>
      <c r="F4893" t="inlineStr">
        <is>
          <t>KALMAR LÄN</t>
        </is>
      </c>
      <c r="G4893" t="inlineStr">
        <is>
          <t>HÖGSBY</t>
        </is>
      </c>
      <c r="I4893" t="n">
        <v>1.9</v>
      </c>
      <c r="J4893" t="n">
        <v>0</v>
      </c>
      <c r="K4893" t="n">
        <v>0</v>
      </c>
      <c r="L4893" t="n">
        <v>0</v>
      </c>
      <c r="M4893" t="n">
        <v>0</v>
      </c>
      <c r="N4893" t="n">
        <v>0</v>
      </c>
      <c r="O4893" t="n">
        <v>0</v>
      </c>
      <c r="P4893" t="n">
        <v>0</v>
      </c>
      <c r="Q4893" t="n">
        <v>0</v>
      </c>
      <c r="R4893" t="n">
        <v>0</v>
      </c>
      <c r="S4893" t="n">
        <v>0</v>
      </c>
      <c r="T4893" t="n">
        <v>0</v>
      </c>
      <c r="U4893" t="n">
        <v>0</v>
      </c>
      <c r="V4893" s="2" t="inlineStr"/>
    </row>
    <row r="4894" ht="15" customHeight="1">
      <c r="A4894" t="inlineStr">
        <is>
          <t>A 33602-2023</t>
        </is>
      </c>
      <c r="B4894" t="inlineStr">
        <is>
          <t>avverkningsanmälan</t>
        </is>
      </c>
      <c r="C4894" t="inlineStr">
        <is>
          <t>Föryngringsavverkning</t>
        </is>
      </c>
      <c r="D4894" s="1" t="n">
        <v>45132</v>
      </c>
      <c r="E4894" s="1" t="n">
        <v>46323</v>
      </c>
      <c r="F4894" t="inlineStr">
        <is>
          <t>KALMAR LÄN</t>
        </is>
      </c>
      <c r="G4894" t="inlineStr">
        <is>
          <t>TORSÅS</t>
        </is>
      </c>
      <c r="I4894" t="n">
        <v>4.1</v>
      </c>
      <c r="J4894" t="n">
        <v>0</v>
      </c>
      <c r="K4894" t="n">
        <v>0</v>
      </c>
      <c r="L4894" t="n">
        <v>0</v>
      </c>
      <c r="M4894" t="n">
        <v>0</v>
      </c>
      <c r="N4894" t="n">
        <v>0</v>
      </c>
      <c r="O4894" t="n">
        <v>0</v>
      </c>
      <c r="P4894" t="n">
        <v>0</v>
      </c>
      <c r="Q4894" t="n">
        <v>0</v>
      </c>
      <c r="R4894" t="n">
        <v>0</v>
      </c>
      <c r="S4894" t="n">
        <v>0</v>
      </c>
      <c r="T4894" t="n">
        <v>0</v>
      </c>
      <c r="U4894" t="n">
        <v>0</v>
      </c>
      <c r="V4894" s="2" t="inlineStr"/>
    </row>
    <row r="4895" ht="15" customHeight="1">
      <c r="A4895" t="inlineStr">
        <is>
          <t>A 15332-2024</t>
        </is>
      </c>
      <c r="B4895" t="inlineStr">
        <is>
          <t>avverkningsanmälan</t>
        </is>
      </c>
      <c r="C4895" t="inlineStr">
        <is>
          <t>Föryngringsavverkning</t>
        </is>
      </c>
      <c r="D4895" s="1" t="n">
        <v>45400</v>
      </c>
      <c r="E4895" s="1" t="n">
        <v>46323</v>
      </c>
      <c r="F4895" t="inlineStr">
        <is>
          <t>KALMAR LÄN</t>
        </is>
      </c>
      <c r="G4895" t="inlineStr">
        <is>
          <t>NYBRO</t>
        </is>
      </c>
      <c r="I4895" t="n">
        <v>1.3</v>
      </c>
      <c r="J4895" t="n">
        <v>0</v>
      </c>
      <c r="K4895" t="n">
        <v>0</v>
      </c>
      <c r="L4895" t="n">
        <v>0</v>
      </c>
      <c r="M4895" t="n">
        <v>0</v>
      </c>
      <c r="N4895" t="n">
        <v>0</v>
      </c>
      <c r="O4895" t="n">
        <v>0</v>
      </c>
      <c r="P4895" t="n">
        <v>0</v>
      </c>
      <c r="Q4895" t="n">
        <v>0</v>
      </c>
      <c r="R4895" t="n">
        <v>0</v>
      </c>
      <c r="S4895" t="n">
        <v>0</v>
      </c>
      <c r="T4895" t="n">
        <v>0</v>
      </c>
      <c r="U4895" t="n">
        <v>0</v>
      </c>
      <c r="V4895" s="2" t="inlineStr"/>
    </row>
    <row r="4896" ht="15" customHeight="1">
      <c r="A4896" t="inlineStr">
        <is>
          <t>A 61580-2022</t>
        </is>
      </c>
      <c r="B4896" t="inlineStr">
        <is>
          <t>avverkningsanmälan</t>
        </is>
      </c>
      <c r="C4896" t="inlineStr">
        <is>
          <t>Föryngringsavverkning</t>
        </is>
      </c>
      <c r="D4896" s="1" t="n">
        <v>44916</v>
      </c>
      <c r="E4896" s="1" t="n">
        <v>46323</v>
      </c>
      <c r="F4896" t="inlineStr">
        <is>
          <t>KALMAR LÄN</t>
        </is>
      </c>
      <c r="G4896" t="inlineStr">
        <is>
          <t>VÄSTERVIK</t>
        </is>
      </c>
      <c r="I4896" t="n">
        <v>3.5</v>
      </c>
      <c r="J4896" t="n">
        <v>0</v>
      </c>
      <c r="K4896" t="n">
        <v>0</v>
      </c>
      <c r="L4896" t="n">
        <v>0</v>
      </c>
      <c r="M4896" t="n">
        <v>0</v>
      </c>
      <c r="N4896" t="n">
        <v>0</v>
      </c>
      <c r="O4896" t="n">
        <v>0</v>
      </c>
      <c r="P4896" t="n">
        <v>0</v>
      </c>
      <c r="Q4896" t="n">
        <v>0</v>
      </c>
      <c r="R4896" t="n">
        <v>0</v>
      </c>
      <c r="S4896" t="n">
        <v>0</v>
      </c>
      <c r="T4896" t="n">
        <v>0</v>
      </c>
      <c r="U4896" t="n">
        <v>0</v>
      </c>
      <c r="V4896" s="2" t="inlineStr"/>
    </row>
    <row r="4897" ht="15" customHeight="1">
      <c r="A4897" t="inlineStr">
        <is>
          <t>A 16287-2026</t>
        </is>
      </c>
      <c r="B4897" t="inlineStr">
        <is>
          <t>avverkningsanmälan</t>
        </is>
      </c>
      <c r="C4897" t="inlineStr">
        <is>
          <t>Föryngringsavverkning</t>
        </is>
      </c>
      <c r="D4897" s="1" t="n">
        <v>46111</v>
      </c>
      <c r="E4897" s="1" t="n">
        <v>46323</v>
      </c>
      <c r="F4897" t="inlineStr">
        <is>
          <t>KALMAR LÄN</t>
        </is>
      </c>
      <c r="G4897" t="inlineStr">
        <is>
          <t>HULTSFRED</t>
        </is>
      </c>
      <c r="I4897" t="n">
        <v>1.1</v>
      </c>
      <c r="J4897" t="n">
        <v>0</v>
      </c>
      <c r="K4897" t="n">
        <v>0</v>
      </c>
      <c r="L4897" t="n">
        <v>0</v>
      </c>
      <c r="M4897" t="n">
        <v>0</v>
      </c>
      <c r="N4897" t="n">
        <v>0</v>
      </c>
      <c r="O4897" t="n">
        <v>0</v>
      </c>
      <c r="P4897" t="n">
        <v>0</v>
      </c>
      <c r="Q4897" t="n">
        <v>0</v>
      </c>
      <c r="R4897" t="n">
        <v>0</v>
      </c>
      <c r="S4897" t="n">
        <v>0</v>
      </c>
      <c r="T4897" t="n">
        <v>0</v>
      </c>
      <c r="U4897" t="n">
        <v>0</v>
      </c>
      <c r="V4897" s="2" t="inlineStr"/>
    </row>
    <row r="4898" ht="15" customHeight="1">
      <c r="A4898" t="inlineStr">
        <is>
          <t>A 41187-2024</t>
        </is>
      </c>
      <c r="B4898" t="inlineStr">
        <is>
          <t>avverkningsanmälan</t>
        </is>
      </c>
      <c r="C4898" t="inlineStr">
        <is>
          <t>Avverkning för annat ändamål</t>
        </is>
      </c>
      <c r="D4898" s="1" t="n">
        <v>45559</v>
      </c>
      <c r="E4898" s="1" t="n">
        <v>46323</v>
      </c>
      <c r="F4898" t="inlineStr">
        <is>
          <t>KALMAR LÄN</t>
        </is>
      </c>
      <c r="G4898" t="inlineStr">
        <is>
          <t>HULTSFRED</t>
        </is>
      </c>
      <c r="I4898" t="n">
        <v>0.4</v>
      </c>
      <c r="J4898" t="n">
        <v>0</v>
      </c>
      <c r="K4898" t="n">
        <v>0</v>
      </c>
      <c r="L4898" t="n">
        <v>0</v>
      </c>
      <c r="M4898" t="n">
        <v>0</v>
      </c>
      <c r="N4898" t="n">
        <v>0</v>
      </c>
      <c r="O4898" t="n">
        <v>0</v>
      </c>
      <c r="P4898" t="n">
        <v>0</v>
      </c>
      <c r="Q4898" t="n">
        <v>0</v>
      </c>
      <c r="R4898" t="n">
        <v>0</v>
      </c>
      <c r="S4898" t="n">
        <v>0</v>
      </c>
      <c r="T4898" t="n">
        <v>0</v>
      </c>
      <c r="U4898" t="n">
        <v>0</v>
      </c>
      <c r="V4898" s="2" t="inlineStr"/>
    </row>
    <row r="4899" ht="15" customHeight="1">
      <c r="A4899" t="inlineStr">
        <is>
          <t>A 19824-2024</t>
        </is>
      </c>
      <c r="B4899" t="inlineStr">
        <is>
          <t>avverkningsanmälan</t>
        </is>
      </c>
      <c r="C4899" t="inlineStr">
        <is>
          <t>Föryngringsavverkning</t>
        </is>
      </c>
      <c r="D4899" s="1" t="n">
        <v>45433</v>
      </c>
      <c r="E4899" s="1" t="n">
        <v>46323</v>
      </c>
      <c r="F4899" t="inlineStr">
        <is>
          <t>KALMAR LÄN</t>
        </is>
      </c>
      <c r="G4899" t="inlineStr">
        <is>
          <t>OSKARSHAMN</t>
        </is>
      </c>
      <c r="I4899" t="n">
        <v>0.5</v>
      </c>
      <c r="J4899" t="n">
        <v>0</v>
      </c>
      <c r="K4899" t="n">
        <v>0</v>
      </c>
      <c r="L4899" t="n">
        <v>0</v>
      </c>
      <c r="M4899" t="n">
        <v>0</v>
      </c>
      <c r="N4899" t="n">
        <v>0</v>
      </c>
      <c r="O4899" t="n">
        <v>0</v>
      </c>
      <c r="P4899" t="n">
        <v>0</v>
      </c>
      <c r="Q4899" t="n">
        <v>0</v>
      </c>
      <c r="R4899" t="n">
        <v>0</v>
      </c>
      <c r="S4899" t="n">
        <v>0</v>
      </c>
      <c r="T4899" t="n">
        <v>0</v>
      </c>
      <c r="U4899" t="n">
        <v>0</v>
      </c>
      <c r="V4899" s="2" t="inlineStr"/>
    </row>
    <row r="4900" ht="15" customHeight="1">
      <c r="A4900" t="inlineStr">
        <is>
          <t>A 48120-2022</t>
        </is>
      </c>
      <c r="B4900" t="inlineStr">
        <is>
          <t>avverkningsanmälan</t>
        </is>
      </c>
      <c r="C4900" t="inlineStr">
        <is>
          <t>Föryngringsavverkning</t>
        </is>
      </c>
      <c r="D4900" s="1" t="n">
        <v>44857</v>
      </c>
      <c r="E4900" s="1" t="n">
        <v>46323</v>
      </c>
      <c r="F4900" t="inlineStr">
        <is>
          <t>KALMAR LÄN</t>
        </is>
      </c>
      <c r="G4900" t="inlineStr">
        <is>
          <t>VIMMERBY</t>
        </is>
      </c>
      <c r="I4900" t="n">
        <v>1.7</v>
      </c>
      <c r="J4900" t="n">
        <v>0</v>
      </c>
      <c r="K4900" t="n">
        <v>0</v>
      </c>
      <c r="L4900" t="n">
        <v>0</v>
      </c>
      <c r="M4900" t="n">
        <v>0</v>
      </c>
      <c r="N4900" t="n">
        <v>0</v>
      </c>
      <c r="O4900" t="n">
        <v>0</v>
      </c>
      <c r="P4900" t="n">
        <v>0</v>
      </c>
      <c r="Q4900" t="n">
        <v>0</v>
      </c>
      <c r="R4900" t="n">
        <v>0</v>
      </c>
      <c r="S4900" t="n">
        <v>0</v>
      </c>
      <c r="T4900" t="n">
        <v>0</v>
      </c>
      <c r="U4900" t="n">
        <v>0</v>
      </c>
      <c r="V4900" s="2" t="inlineStr"/>
    </row>
    <row r="4901" ht="15" customHeight="1">
      <c r="A4901" t="inlineStr">
        <is>
          <t>A 34261-2026</t>
        </is>
      </c>
      <c r="B4901" t="inlineStr">
        <is>
          <t>avverkningsanmälan</t>
        </is>
      </c>
      <c r="C4901" t="inlineStr">
        <is>
          <t>Föryngringsavverkning</t>
        </is>
      </c>
      <c r="D4901" s="1" t="n">
        <v>46253</v>
      </c>
      <c r="E4901" s="1" t="n">
        <v>46323</v>
      </c>
      <c r="F4901" t="inlineStr">
        <is>
          <t>KALMAR LÄN</t>
        </is>
      </c>
      <c r="G4901" t="inlineStr">
        <is>
          <t>NYBRO</t>
        </is>
      </c>
      <c r="H4901" t="inlineStr">
        <is>
          <t>Sveaskog</t>
        </is>
      </c>
      <c r="I4901" t="n">
        <v>1.2</v>
      </c>
      <c r="J4901" t="n">
        <v>0</v>
      </c>
      <c r="K4901" t="n">
        <v>0</v>
      </c>
      <c r="L4901" t="n">
        <v>0</v>
      </c>
      <c r="M4901" t="n">
        <v>0</v>
      </c>
      <c r="N4901" t="n">
        <v>0</v>
      </c>
      <c r="O4901" t="n">
        <v>0</v>
      </c>
      <c r="P4901" t="n">
        <v>0</v>
      </c>
      <c r="Q4901" t="n">
        <v>0</v>
      </c>
      <c r="R4901" t="n">
        <v>0</v>
      </c>
      <c r="S4901" t="n">
        <v>0</v>
      </c>
      <c r="T4901" t="n">
        <v>0</v>
      </c>
      <c r="U4901" t="n">
        <v>0</v>
      </c>
      <c r="V4901" s="2" t="inlineStr"/>
    </row>
    <row r="4902" ht="15" customHeight="1">
      <c r="A4902" t="inlineStr">
        <is>
          <t>A 3423-2022</t>
        </is>
      </c>
      <c r="B4902" t="inlineStr">
        <is>
          <t>avverkningsanmälan</t>
        </is>
      </c>
      <c r="C4902" t="inlineStr">
        <is>
          <t>Föryngringsavverkning</t>
        </is>
      </c>
      <c r="D4902" s="1" t="n">
        <v>44585</v>
      </c>
      <c r="E4902" s="1" t="n">
        <v>46323</v>
      </c>
      <c r="F4902" t="inlineStr">
        <is>
          <t>KALMAR LÄN</t>
        </is>
      </c>
      <c r="G4902" t="inlineStr">
        <is>
          <t>VIMMERBY</t>
        </is>
      </c>
      <c r="I4902" t="n">
        <v>1.7</v>
      </c>
      <c r="J4902" t="n">
        <v>0</v>
      </c>
      <c r="K4902" t="n">
        <v>0</v>
      </c>
      <c r="L4902" t="n">
        <v>0</v>
      </c>
      <c r="M4902" t="n">
        <v>0</v>
      </c>
      <c r="N4902" t="n">
        <v>0</v>
      </c>
      <c r="O4902" t="n">
        <v>0</v>
      </c>
      <c r="P4902" t="n">
        <v>0</v>
      </c>
      <c r="Q4902" t="n">
        <v>0</v>
      </c>
      <c r="R4902" t="n">
        <v>0</v>
      </c>
      <c r="S4902" t="n">
        <v>0</v>
      </c>
      <c r="T4902" t="n">
        <v>0</v>
      </c>
      <c r="U4902" t="n">
        <v>0</v>
      </c>
      <c r="V4902" s="2" t="inlineStr"/>
    </row>
    <row r="4903" ht="15" customHeight="1">
      <c r="A4903" t="inlineStr">
        <is>
          <t>A 16844-2026</t>
        </is>
      </c>
      <c r="B4903" t="inlineStr">
        <is>
          <t>avverkningsanmälan</t>
        </is>
      </c>
      <c r="C4903" t="inlineStr">
        <is>
          <t>Föryngringsavverkning</t>
        </is>
      </c>
      <c r="D4903" s="1" t="n">
        <v>46113</v>
      </c>
      <c r="E4903" s="1" t="n">
        <v>46323</v>
      </c>
      <c r="F4903" t="inlineStr">
        <is>
          <t>KALMAR LÄN</t>
        </is>
      </c>
      <c r="G4903" t="inlineStr">
        <is>
          <t>NYBRO</t>
        </is>
      </c>
      <c r="I4903" t="n">
        <v>3.4</v>
      </c>
      <c r="J4903" t="n">
        <v>0</v>
      </c>
      <c r="K4903" t="n">
        <v>0</v>
      </c>
      <c r="L4903" t="n">
        <v>0</v>
      </c>
      <c r="M4903" t="n">
        <v>0</v>
      </c>
      <c r="N4903" t="n">
        <v>0</v>
      </c>
      <c r="O4903" t="n">
        <v>0</v>
      </c>
      <c r="P4903" t="n">
        <v>0</v>
      </c>
      <c r="Q4903" t="n">
        <v>0</v>
      </c>
      <c r="R4903" t="n">
        <v>0</v>
      </c>
      <c r="S4903" t="n">
        <v>0</v>
      </c>
      <c r="T4903" t="n">
        <v>0</v>
      </c>
      <c r="U4903" t="n">
        <v>0</v>
      </c>
      <c r="V4903" s="2" t="inlineStr"/>
    </row>
    <row r="4904" ht="15" customHeight="1">
      <c r="A4904" t="inlineStr">
        <is>
          <t>A 16632-2026</t>
        </is>
      </c>
      <c r="B4904" t="inlineStr">
        <is>
          <t>avverkningsanmälan</t>
        </is>
      </c>
      <c r="C4904" t="inlineStr">
        <is>
          <t>Föryngringsavverkning</t>
        </is>
      </c>
      <c r="D4904" s="1" t="n">
        <v>46112</v>
      </c>
      <c r="E4904" s="1" t="n">
        <v>46323</v>
      </c>
      <c r="F4904" t="inlineStr">
        <is>
          <t>KALMAR LÄN</t>
        </is>
      </c>
      <c r="G4904" t="inlineStr">
        <is>
          <t>VIMMERBY</t>
        </is>
      </c>
      <c r="I4904" t="n">
        <v>2.1</v>
      </c>
      <c r="J4904" t="n">
        <v>0</v>
      </c>
      <c r="K4904" t="n">
        <v>0</v>
      </c>
      <c r="L4904" t="n">
        <v>0</v>
      </c>
      <c r="M4904" t="n">
        <v>0</v>
      </c>
      <c r="N4904" t="n">
        <v>0</v>
      </c>
      <c r="O4904" t="n">
        <v>0</v>
      </c>
      <c r="P4904" t="n">
        <v>0</v>
      </c>
      <c r="Q4904" t="n">
        <v>0</v>
      </c>
      <c r="R4904" t="n">
        <v>0</v>
      </c>
      <c r="S4904" t="n">
        <v>0</v>
      </c>
      <c r="T4904" t="n">
        <v>0</v>
      </c>
      <c r="U4904" t="n">
        <v>0</v>
      </c>
      <c r="V4904" s="2" t="inlineStr"/>
    </row>
    <row r="4905" ht="15" customHeight="1">
      <c r="A4905" t="inlineStr">
        <is>
          <t>A 39624-2024</t>
        </is>
      </c>
      <c r="B4905" t="inlineStr">
        <is>
          <t>avverkningsanmälan</t>
        </is>
      </c>
      <c r="C4905" t="inlineStr">
        <is>
          <t>Föryngringsavverkning</t>
        </is>
      </c>
      <c r="D4905" s="1" t="n">
        <v>45552</v>
      </c>
      <c r="E4905" s="1" t="n">
        <v>46323</v>
      </c>
      <c r="F4905" t="inlineStr">
        <is>
          <t>KALMAR LÄN</t>
        </is>
      </c>
      <c r="G4905" t="inlineStr">
        <is>
          <t>NYBRO</t>
        </is>
      </c>
      <c r="I4905" t="n">
        <v>1.5</v>
      </c>
      <c r="J4905" t="n">
        <v>0</v>
      </c>
      <c r="K4905" t="n">
        <v>0</v>
      </c>
      <c r="L4905" t="n">
        <v>0</v>
      </c>
      <c r="M4905" t="n">
        <v>0</v>
      </c>
      <c r="N4905" t="n">
        <v>0</v>
      </c>
      <c r="O4905" t="n">
        <v>0</v>
      </c>
      <c r="P4905" t="n">
        <v>0</v>
      </c>
      <c r="Q4905" t="n">
        <v>0</v>
      </c>
      <c r="R4905" t="n">
        <v>0</v>
      </c>
      <c r="S4905" t="n">
        <v>0</v>
      </c>
      <c r="T4905" t="n">
        <v>0</v>
      </c>
      <c r="U4905" t="n">
        <v>0</v>
      </c>
      <c r="V4905" s="2" t="inlineStr"/>
    </row>
    <row r="4906" ht="15" customHeight="1">
      <c r="A4906" t="inlineStr">
        <is>
          <t>A 71631-2021</t>
        </is>
      </c>
      <c r="B4906" t="inlineStr">
        <is>
          <t>avverkningsanmälan</t>
        </is>
      </c>
      <c r="C4906" t="inlineStr">
        <is>
          <t>Föryngringsavverkning</t>
        </is>
      </c>
      <c r="D4906" s="1" t="n">
        <v>44542</v>
      </c>
      <c r="E4906" s="1" t="n">
        <v>46323</v>
      </c>
      <c r="F4906" t="inlineStr">
        <is>
          <t>KALMAR LÄN</t>
        </is>
      </c>
      <c r="G4906" t="inlineStr">
        <is>
          <t>VIMMERBY</t>
        </is>
      </c>
      <c r="I4906" t="n">
        <v>0.9</v>
      </c>
      <c r="J4906" t="n">
        <v>0</v>
      </c>
      <c r="K4906" t="n">
        <v>0</v>
      </c>
      <c r="L4906" t="n">
        <v>0</v>
      </c>
      <c r="M4906" t="n">
        <v>0</v>
      </c>
      <c r="N4906" t="n">
        <v>0</v>
      </c>
      <c r="O4906" t="n">
        <v>0</v>
      </c>
      <c r="P4906" t="n">
        <v>0</v>
      </c>
      <c r="Q4906" t="n">
        <v>0</v>
      </c>
      <c r="R4906" t="n">
        <v>0</v>
      </c>
      <c r="S4906" t="n">
        <v>0</v>
      </c>
      <c r="T4906" t="n">
        <v>0</v>
      </c>
      <c r="U4906" t="n">
        <v>0</v>
      </c>
      <c r="V4906" s="2" t="inlineStr"/>
    </row>
    <row r="4907" ht="15" customHeight="1">
      <c r="A4907" t="inlineStr">
        <is>
          <t>A 40795-2026</t>
        </is>
      </c>
      <c r="B4907" t="inlineStr">
        <is>
          <t>avverkningsanmälan</t>
        </is>
      </c>
      <c r="C4907" t="inlineStr">
        <is>
          <t>Föryngringsavverkning</t>
        </is>
      </c>
      <c r="D4907" s="1" t="n">
        <v>46296</v>
      </c>
      <c r="E4907" s="1" t="n">
        <v>46323</v>
      </c>
      <c r="F4907" t="inlineStr">
        <is>
          <t>KALMAR LÄN</t>
        </is>
      </c>
      <c r="G4907" t="inlineStr">
        <is>
          <t>OSKARSHAMN</t>
        </is>
      </c>
      <c r="I4907" t="n">
        <v>2.6</v>
      </c>
      <c r="J4907" t="n">
        <v>0</v>
      </c>
      <c r="K4907" t="n">
        <v>0</v>
      </c>
      <c r="L4907" t="n">
        <v>0</v>
      </c>
      <c r="M4907" t="n">
        <v>0</v>
      </c>
      <c r="N4907" t="n">
        <v>0</v>
      </c>
      <c r="O4907" t="n">
        <v>0</v>
      </c>
      <c r="P4907" t="n">
        <v>0</v>
      </c>
      <c r="Q4907" t="n">
        <v>0</v>
      </c>
      <c r="R4907" t="n">
        <v>0</v>
      </c>
      <c r="S4907" t="n">
        <v>0</v>
      </c>
      <c r="T4907" t="n">
        <v>0</v>
      </c>
      <c r="U4907" t="n">
        <v>0</v>
      </c>
      <c r="V4907" s="2" t="inlineStr"/>
    </row>
    <row r="4908" ht="15" customHeight="1">
      <c r="A4908" t="inlineStr">
        <is>
          <t>A 16653-2026</t>
        </is>
      </c>
      <c r="B4908" t="inlineStr">
        <is>
          <t>avverkningsanmälan</t>
        </is>
      </c>
      <c r="C4908" t="inlineStr">
        <is>
          <t>Föryngringsavverkning</t>
        </is>
      </c>
      <c r="D4908" s="1" t="n">
        <v>46112</v>
      </c>
      <c r="E4908" s="1" t="n">
        <v>46323</v>
      </c>
      <c r="F4908" t="inlineStr">
        <is>
          <t>KALMAR LÄN</t>
        </is>
      </c>
      <c r="G4908" t="inlineStr">
        <is>
          <t>VIMMERBY</t>
        </is>
      </c>
      <c r="H4908" t="inlineStr">
        <is>
          <t>Kommuner</t>
        </is>
      </c>
      <c r="I4908" t="n">
        <v>4.4</v>
      </c>
      <c r="J4908" t="n">
        <v>0</v>
      </c>
      <c r="K4908" t="n">
        <v>0</v>
      </c>
      <c r="L4908" t="n">
        <v>0</v>
      </c>
      <c r="M4908" t="n">
        <v>0</v>
      </c>
      <c r="N4908" t="n">
        <v>0</v>
      </c>
      <c r="O4908" t="n">
        <v>0</v>
      </c>
      <c r="P4908" t="n">
        <v>0</v>
      </c>
      <c r="Q4908" t="n">
        <v>0</v>
      </c>
      <c r="R4908" t="n">
        <v>0</v>
      </c>
      <c r="S4908" t="n">
        <v>0</v>
      </c>
      <c r="T4908" t="n">
        <v>0</v>
      </c>
      <c r="U4908" t="n">
        <v>0</v>
      </c>
      <c r="V4908" s="2" t="inlineStr"/>
    </row>
    <row r="4909" ht="15" customHeight="1">
      <c r="A4909" t="inlineStr">
        <is>
          <t>A 16604-2026</t>
        </is>
      </c>
      <c r="B4909" t="inlineStr">
        <is>
          <t>avverkningsanmälan</t>
        </is>
      </c>
      <c r="C4909" t="inlineStr">
        <is>
          <t>Föryngringsavverkning</t>
        </is>
      </c>
      <c r="D4909" s="1" t="n">
        <v>46112</v>
      </c>
      <c r="E4909" s="1" t="n">
        <v>46323</v>
      </c>
      <c r="F4909" t="inlineStr">
        <is>
          <t>KALMAR LÄN</t>
        </is>
      </c>
      <c r="G4909" t="inlineStr">
        <is>
          <t>NYBRO</t>
        </is>
      </c>
      <c r="I4909" t="n">
        <v>2.5</v>
      </c>
      <c r="J4909" t="n">
        <v>0</v>
      </c>
      <c r="K4909" t="n">
        <v>0</v>
      </c>
      <c r="L4909" t="n">
        <v>0</v>
      </c>
      <c r="M4909" t="n">
        <v>0</v>
      </c>
      <c r="N4909" t="n">
        <v>0</v>
      </c>
      <c r="O4909" t="n">
        <v>0</v>
      </c>
      <c r="P4909" t="n">
        <v>0</v>
      </c>
      <c r="Q4909" t="n">
        <v>0</v>
      </c>
      <c r="R4909" t="n">
        <v>0</v>
      </c>
      <c r="S4909" t="n">
        <v>0</v>
      </c>
      <c r="T4909" t="n">
        <v>0</v>
      </c>
      <c r="U4909" t="n">
        <v>0</v>
      </c>
      <c r="V4909" s="2" t="inlineStr"/>
    </row>
    <row r="4910" ht="15" customHeight="1">
      <c r="A4910" t="inlineStr">
        <is>
          <t>A 16466-2026</t>
        </is>
      </c>
      <c r="B4910" t="inlineStr">
        <is>
          <t>avverkningsanmälan</t>
        </is>
      </c>
      <c r="C4910" t="inlineStr">
        <is>
          <t>Föryngringsavverkning</t>
        </is>
      </c>
      <c r="D4910" s="1" t="n">
        <v>46112</v>
      </c>
      <c r="E4910" s="1" t="n">
        <v>46323</v>
      </c>
      <c r="F4910" t="inlineStr">
        <is>
          <t>KALMAR LÄN</t>
        </is>
      </c>
      <c r="G4910" t="inlineStr">
        <is>
          <t>HULTSFRED</t>
        </is>
      </c>
      <c r="I4910" t="n">
        <v>4.1</v>
      </c>
      <c r="J4910" t="n">
        <v>0</v>
      </c>
      <c r="K4910" t="n">
        <v>0</v>
      </c>
      <c r="L4910" t="n">
        <v>0</v>
      </c>
      <c r="M4910" t="n">
        <v>0</v>
      </c>
      <c r="N4910" t="n">
        <v>0</v>
      </c>
      <c r="O4910" t="n">
        <v>0</v>
      </c>
      <c r="P4910" t="n">
        <v>0</v>
      </c>
      <c r="Q4910" t="n">
        <v>0</v>
      </c>
      <c r="R4910" t="n">
        <v>0</v>
      </c>
      <c r="S4910" t="n">
        <v>0</v>
      </c>
      <c r="T4910" t="n">
        <v>0</v>
      </c>
      <c r="U4910" t="n">
        <v>0</v>
      </c>
      <c r="V4910" s="2" t="inlineStr"/>
    </row>
    <row r="4911" ht="15" customHeight="1">
      <c r="A4911" t="inlineStr">
        <is>
          <t>A 40807-2026</t>
        </is>
      </c>
      <c r="B4911" t="inlineStr">
        <is>
          <t>avverkningsanmälan</t>
        </is>
      </c>
      <c r="C4911" t="inlineStr">
        <is>
          <t>Föryngringsavverkning</t>
        </is>
      </c>
      <c r="D4911" s="1" t="n">
        <v>46296</v>
      </c>
      <c r="E4911" s="1" t="n">
        <v>46323</v>
      </c>
      <c r="F4911" t="inlineStr">
        <is>
          <t>KALMAR LÄN</t>
        </is>
      </c>
      <c r="G4911" t="inlineStr">
        <is>
          <t>VIMMERBY</t>
        </is>
      </c>
      <c r="I4911" t="n">
        <v>0.6</v>
      </c>
      <c r="J4911" t="n">
        <v>0</v>
      </c>
      <c r="K4911" t="n">
        <v>0</v>
      </c>
      <c r="L4911" t="n">
        <v>0</v>
      </c>
      <c r="M4911" t="n">
        <v>0</v>
      </c>
      <c r="N4911" t="n">
        <v>0</v>
      </c>
      <c r="O4911" t="n">
        <v>0</v>
      </c>
      <c r="P4911" t="n">
        <v>0</v>
      </c>
      <c r="Q4911" t="n">
        <v>0</v>
      </c>
      <c r="R4911" t="n">
        <v>0</v>
      </c>
      <c r="S4911" t="n">
        <v>0</v>
      </c>
      <c r="T4911" t="n">
        <v>0</v>
      </c>
      <c r="U4911" t="n">
        <v>0</v>
      </c>
      <c r="V4911" s="2" t="inlineStr"/>
    </row>
    <row r="4912" ht="15" customHeight="1">
      <c r="A4912" t="inlineStr">
        <is>
          <t>A 40782-2026</t>
        </is>
      </c>
      <c r="B4912" t="inlineStr">
        <is>
          <t>avverkningsanmälan</t>
        </is>
      </c>
      <c r="C4912" t="inlineStr">
        <is>
          <t>Föryngringsavverkning</t>
        </is>
      </c>
      <c r="D4912" s="1" t="n">
        <v>46296</v>
      </c>
      <c r="E4912" s="1" t="n">
        <v>46323</v>
      </c>
      <c r="F4912" t="inlineStr">
        <is>
          <t>KALMAR LÄN</t>
        </is>
      </c>
      <c r="G4912" t="inlineStr">
        <is>
          <t>VÄSTERVIK</t>
        </is>
      </c>
      <c r="I4912" t="n">
        <v>2.2</v>
      </c>
      <c r="J4912" t="n">
        <v>0</v>
      </c>
      <c r="K4912" t="n">
        <v>0</v>
      </c>
      <c r="L4912" t="n">
        <v>0</v>
      </c>
      <c r="M4912" t="n">
        <v>0</v>
      </c>
      <c r="N4912" t="n">
        <v>0</v>
      </c>
      <c r="O4912" t="n">
        <v>0</v>
      </c>
      <c r="P4912" t="n">
        <v>0</v>
      </c>
      <c r="Q4912" t="n">
        <v>0</v>
      </c>
      <c r="R4912" t="n">
        <v>0</v>
      </c>
      <c r="S4912" t="n">
        <v>0</v>
      </c>
      <c r="T4912" t="n">
        <v>0</v>
      </c>
      <c r="U4912" t="n">
        <v>0</v>
      </c>
      <c r="V4912" s="2" t="inlineStr"/>
    </row>
    <row r="4913" ht="15" customHeight="1">
      <c r="A4913" t="inlineStr">
        <is>
          <t>A 40822-2026</t>
        </is>
      </c>
      <c r="B4913" t="inlineStr">
        <is>
          <t>avverkningsanmälan</t>
        </is>
      </c>
      <c r="C4913" t="inlineStr">
        <is>
          <t>Föryngringsavverkning</t>
        </is>
      </c>
      <c r="D4913" s="1" t="n">
        <v>46296</v>
      </c>
      <c r="E4913" s="1" t="n">
        <v>46323</v>
      </c>
      <c r="F4913" t="inlineStr">
        <is>
          <t>KALMAR LÄN</t>
        </is>
      </c>
      <c r="G4913" t="inlineStr">
        <is>
          <t>VIMMERBY</t>
        </is>
      </c>
      <c r="I4913" t="n">
        <v>0.8</v>
      </c>
      <c r="J4913" t="n">
        <v>0</v>
      </c>
      <c r="K4913" t="n">
        <v>0</v>
      </c>
      <c r="L4913" t="n">
        <v>0</v>
      </c>
      <c r="M4913" t="n">
        <v>0</v>
      </c>
      <c r="N4913" t="n">
        <v>0</v>
      </c>
      <c r="O4913" t="n">
        <v>0</v>
      </c>
      <c r="P4913" t="n">
        <v>0</v>
      </c>
      <c r="Q4913" t="n">
        <v>0</v>
      </c>
      <c r="R4913" t="n">
        <v>0</v>
      </c>
      <c r="S4913" t="n">
        <v>0</v>
      </c>
      <c r="T4913" t="n">
        <v>0</v>
      </c>
      <c r="U4913" t="n">
        <v>0</v>
      </c>
      <c r="V4913" s="2" t="inlineStr"/>
    </row>
    <row r="4914" ht="15" customHeight="1">
      <c r="A4914" t="inlineStr">
        <is>
          <t>A 33788-2026</t>
        </is>
      </c>
      <c r="B4914" t="inlineStr">
        <is>
          <t>avverkningsanmälan</t>
        </is>
      </c>
      <c r="C4914" t="inlineStr">
        <is>
          <t>Avverkning för att bevara och utveckla /försöksver</t>
        </is>
      </c>
      <c r="D4914" s="1" t="n">
        <v>46251</v>
      </c>
      <c r="E4914" s="1" t="n">
        <v>46323</v>
      </c>
      <c r="F4914" t="inlineStr">
        <is>
          <t>KALMAR LÄN</t>
        </is>
      </c>
      <c r="G4914" t="inlineStr">
        <is>
          <t>HÖGSBY</t>
        </is>
      </c>
      <c r="H4914" t="inlineStr">
        <is>
          <t>Sveaskog</t>
        </is>
      </c>
      <c r="I4914" t="n">
        <v>0.9</v>
      </c>
      <c r="J4914" t="n">
        <v>0</v>
      </c>
      <c r="K4914" t="n">
        <v>0</v>
      </c>
      <c r="L4914" t="n">
        <v>0</v>
      </c>
      <c r="M4914" t="n">
        <v>0</v>
      </c>
      <c r="N4914" t="n">
        <v>0</v>
      </c>
      <c r="O4914" t="n">
        <v>0</v>
      </c>
      <c r="P4914" t="n">
        <v>0</v>
      </c>
      <c r="Q4914" t="n">
        <v>0</v>
      </c>
      <c r="R4914" t="n">
        <v>0</v>
      </c>
      <c r="S4914" t="n">
        <v>0</v>
      </c>
      <c r="T4914" t="n">
        <v>0</v>
      </c>
      <c r="U4914" t="n">
        <v>0</v>
      </c>
      <c r="V4914" s="2" t="inlineStr"/>
    </row>
    <row r="4915" ht="15" customHeight="1">
      <c r="A4915" t="inlineStr">
        <is>
          <t>A 16672-2026</t>
        </is>
      </c>
      <c r="B4915" t="inlineStr">
        <is>
          <t>avverkningsanmälan</t>
        </is>
      </c>
      <c r="C4915" t="inlineStr">
        <is>
          <t>Föryngringsavverkning</t>
        </is>
      </c>
      <c r="D4915" s="1" t="n">
        <v>46112</v>
      </c>
      <c r="E4915" s="1" t="n">
        <v>46323</v>
      </c>
      <c r="F4915" t="inlineStr">
        <is>
          <t>KALMAR LÄN</t>
        </is>
      </c>
      <c r="G4915" t="inlineStr">
        <is>
          <t>VIMMERBY</t>
        </is>
      </c>
      <c r="H4915" t="inlineStr">
        <is>
          <t>Kommuner</t>
        </is>
      </c>
      <c r="I4915" t="n">
        <v>1.4</v>
      </c>
      <c r="J4915" t="n">
        <v>0</v>
      </c>
      <c r="K4915" t="n">
        <v>0</v>
      </c>
      <c r="L4915" t="n">
        <v>0</v>
      </c>
      <c r="M4915" t="n">
        <v>0</v>
      </c>
      <c r="N4915" t="n">
        <v>0</v>
      </c>
      <c r="O4915" t="n">
        <v>0</v>
      </c>
      <c r="P4915" t="n">
        <v>0</v>
      </c>
      <c r="Q4915" t="n">
        <v>0</v>
      </c>
      <c r="R4915" t="n">
        <v>0</v>
      </c>
      <c r="S4915" t="n">
        <v>0</v>
      </c>
      <c r="T4915" t="n">
        <v>0</v>
      </c>
      <c r="U4915" t="n">
        <v>0</v>
      </c>
      <c r="V4915" s="2" t="inlineStr"/>
    </row>
    <row r="4916" ht="15" customHeight="1">
      <c r="A4916" t="inlineStr">
        <is>
          <t>A 40502-2026</t>
        </is>
      </c>
      <c r="B4916" t="inlineStr">
        <is>
          <t>avverkningsanmälan</t>
        </is>
      </c>
      <c r="C4916" t="inlineStr">
        <is>
          <t>Föryngringsavverkning</t>
        </is>
      </c>
      <c r="D4916" s="1" t="n">
        <v>46295</v>
      </c>
      <c r="E4916" s="1" t="n">
        <v>46323</v>
      </c>
      <c r="F4916" t="inlineStr">
        <is>
          <t>KALMAR LÄN</t>
        </is>
      </c>
      <c r="G4916" t="inlineStr">
        <is>
          <t>HULTSFRED</t>
        </is>
      </c>
      <c r="I4916" t="n">
        <v>4.7</v>
      </c>
      <c r="J4916" t="n">
        <v>0</v>
      </c>
      <c r="K4916" t="n">
        <v>0</v>
      </c>
      <c r="L4916" t="n">
        <v>0</v>
      </c>
      <c r="M4916" t="n">
        <v>0</v>
      </c>
      <c r="N4916" t="n">
        <v>0</v>
      </c>
      <c r="O4916" t="n">
        <v>0</v>
      </c>
      <c r="P4916" t="n">
        <v>0</v>
      </c>
      <c r="Q4916" t="n">
        <v>0</v>
      </c>
      <c r="R4916" t="n">
        <v>0</v>
      </c>
      <c r="S4916" t="n">
        <v>0</v>
      </c>
      <c r="T4916" t="n">
        <v>0</v>
      </c>
      <c r="U4916" t="n">
        <v>0</v>
      </c>
      <c r="V4916" s="2" t="inlineStr"/>
    </row>
    <row r="4917" ht="15" customHeight="1">
      <c r="A4917" t="inlineStr">
        <is>
          <t>A 16856-2026</t>
        </is>
      </c>
      <c r="B4917" t="inlineStr">
        <is>
          <t>avverkningsanmälan</t>
        </is>
      </c>
      <c r="C4917" t="inlineStr">
        <is>
          <t>Föryngringsavverkning</t>
        </is>
      </c>
      <c r="D4917" s="1" t="n">
        <v>46113</v>
      </c>
      <c r="E4917" s="1" t="n">
        <v>46323</v>
      </c>
      <c r="F4917" t="inlineStr">
        <is>
          <t>KALMAR LÄN</t>
        </is>
      </c>
      <c r="G4917" t="inlineStr">
        <is>
          <t>VÄSTERVIK</t>
        </is>
      </c>
      <c r="H4917" t="inlineStr">
        <is>
          <t>Kyrkan</t>
        </is>
      </c>
      <c r="I4917" t="n">
        <v>3.9</v>
      </c>
      <c r="J4917" t="n">
        <v>0</v>
      </c>
      <c r="K4917" t="n">
        <v>0</v>
      </c>
      <c r="L4917" t="n">
        <v>0</v>
      </c>
      <c r="M4917" t="n">
        <v>0</v>
      </c>
      <c r="N4917" t="n">
        <v>0</v>
      </c>
      <c r="O4917" t="n">
        <v>0</v>
      </c>
      <c r="P4917" t="n">
        <v>0</v>
      </c>
      <c r="Q4917" t="n">
        <v>0</v>
      </c>
      <c r="R4917" t="n">
        <v>0</v>
      </c>
      <c r="S4917" t="n">
        <v>0</v>
      </c>
      <c r="T4917" t="n">
        <v>0</v>
      </c>
      <c r="U4917" t="n">
        <v>0</v>
      </c>
      <c r="V4917" s="2" t="inlineStr"/>
    </row>
    <row r="4918" ht="15" customHeight="1">
      <c r="A4918" t="inlineStr">
        <is>
          <t>A 16870-2026</t>
        </is>
      </c>
      <c r="B4918" t="inlineStr">
        <is>
          <t>avverkningsanmälan</t>
        </is>
      </c>
      <c r="C4918" t="inlineStr">
        <is>
          <t>Föryngringsavverkning</t>
        </is>
      </c>
      <c r="D4918" s="1" t="n">
        <v>46113</v>
      </c>
      <c r="E4918" s="1" t="n">
        <v>46323</v>
      </c>
      <c r="F4918" t="inlineStr">
        <is>
          <t>KALMAR LÄN</t>
        </is>
      </c>
      <c r="G4918" t="inlineStr">
        <is>
          <t>VIMMERBY</t>
        </is>
      </c>
      <c r="I4918" t="n">
        <v>2</v>
      </c>
      <c r="J4918" t="n">
        <v>0</v>
      </c>
      <c r="K4918" t="n">
        <v>0</v>
      </c>
      <c r="L4918" t="n">
        <v>0</v>
      </c>
      <c r="M4918" t="n">
        <v>0</v>
      </c>
      <c r="N4918" t="n">
        <v>0</v>
      </c>
      <c r="O4918" t="n">
        <v>0</v>
      </c>
      <c r="P4918" t="n">
        <v>0</v>
      </c>
      <c r="Q4918" t="n">
        <v>0</v>
      </c>
      <c r="R4918" t="n">
        <v>0</v>
      </c>
      <c r="S4918" t="n">
        <v>0</v>
      </c>
      <c r="T4918" t="n">
        <v>0</v>
      </c>
      <c r="U4918" t="n">
        <v>0</v>
      </c>
      <c r="V4918" s="2" t="inlineStr"/>
    </row>
    <row r="4919" ht="15" customHeight="1">
      <c r="A4919" t="inlineStr">
        <is>
          <t>A 16912-2026</t>
        </is>
      </c>
      <c r="B4919" t="inlineStr">
        <is>
          <t>avverkningsanmälan</t>
        </is>
      </c>
      <c r="C4919" t="inlineStr">
        <is>
          <t>Föryngringsavverkning</t>
        </is>
      </c>
      <c r="D4919" s="1" t="n">
        <v>46113</v>
      </c>
      <c r="E4919" s="1" t="n">
        <v>46323</v>
      </c>
      <c r="F4919" t="inlineStr">
        <is>
          <t>KALMAR LÄN</t>
        </is>
      </c>
      <c r="G4919" t="inlineStr">
        <is>
          <t>VÄSTERVIK</t>
        </is>
      </c>
      <c r="I4919" t="n">
        <v>3.1</v>
      </c>
      <c r="J4919" t="n">
        <v>0</v>
      </c>
      <c r="K4919" t="n">
        <v>0</v>
      </c>
      <c r="L4919" t="n">
        <v>0</v>
      </c>
      <c r="M4919" t="n">
        <v>0</v>
      </c>
      <c r="N4919" t="n">
        <v>0</v>
      </c>
      <c r="O4919" t="n">
        <v>0</v>
      </c>
      <c r="P4919" t="n">
        <v>0</v>
      </c>
      <c r="Q4919" t="n">
        <v>0</v>
      </c>
      <c r="R4919" t="n">
        <v>0</v>
      </c>
      <c r="S4919" t="n">
        <v>0</v>
      </c>
      <c r="T4919" t="n">
        <v>0</v>
      </c>
      <c r="U4919" t="n">
        <v>0</v>
      </c>
      <c r="V4919" s="2" t="inlineStr"/>
    </row>
    <row r="4920" ht="15" customHeight="1">
      <c r="A4920" t="inlineStr">
        <is>
          <t>A 40800-2026</t>
        </is>
      </c>
      <c r="B4920" t="inlineStr">
        <is>
          <t>avverkningsanmälan</t>
        </is>
      </c>
      <c r="C4920" t="inlineStr">
        <is>
          <t>Föryngringsavverkning</t>
        </is>
      </c>
      <c r="D4920" s="1" t="n">
        <v>46296</v>
      </c>
      <c r="E4920" s="1" t="n">
        <v>46323</v>
      </c>
      <c r="F4920" t="inlineStr">
        <is>
          <t>KALMAR LÄN</t>
        </is>
      </c>
      <c r="G4920" t="inlineStr">
        <is>
          <t>HULTSFRED</t>
        </is>
      </c>
      <c r="H4920" t="inlineStr">
        <is>
          <t>Kyrkan</t>
        </is>
      </c>
      <c r="I4920" t="n">
        <v>8.6</v>
      </c>
      <c r="J4920" t="n">
        <v>0</v>
      </c>
      <c r="K4920" t="n">
        <v>0</v>
      </c>
      <c r="L4920" t="n">
        <v>0</v>
      </c>
      <c r="M4920" t="n">
        <v>0</v>
      </c>
      <c r="N4920" t="n">
        <v>0</v>
      </c>
      <c r="O4920" t="n">
        <v>0</v>
      </c>
      <c r="P4920" t="n">
        <v>0</v>
      </c>
      <c r="Q4920" t="n">
        <v>0</v>
      </c>
      <c r="R4920" t="n">
        <v>0</v>
      </c>
      <c r="S4920" t="n">
        <v>0</v>
      </c>
      <c r="T4920" t="n">
        <v>0</v>
      </c>
      <c r="U4920" t="n">
        <v>0</v>
      </c>
      <c r="V4920" s="2" t="inlineStr"/>
    </row>
    <row r="4921" ht="15" customHeight="1">
      <c r="A4921" t="inlineStr">
        <is>
          <t>A 34287-2026</t>
        </is>
      </c>
      <c r="B4921" t="inlineStr">
        <is>
          <t>avverkningsanmälan</t>
        </is>
      </c>
      <c r="C4921" t="inlineStr">
        <is>
          <t>Föryngringsavverkning</t>
        </is>
      </c>
      <c r="D4921" s="1" t="n">
        <v>46253</v>
      </c>
      <c r="E4921" s="1" t="n">
        <v>46323</v>
      </c>
      <c r="F4921" t="inlineStr">
        <is>
          <t>KALMAR LÄN</t>
        </is>
      </c>
      <c r="G4921" t="inlineStr">
        <is>
          <t>VIMMERBY</t>
        </is>
      </c>
      <c r="I4921" t="n">
        <v>1.4</v>
      </c>
      <c r="J4921" t="n">
        <v>0</v>
      </c>
      <c r="K4921" t="n">
        <v>0</v>
      </c>
      <c r="L4921" t="n">
        <v>0</v>
      </c>
      <c r="M4921" t="n">
        <v>0</v>
      </c>
      <c r="N4921" t="n">
        <v>0</v>
      </c>
      <c r="O4921" t="n">
        <v>0</v>
      </c>
      <c r="P4921" t="n">
        <v>0</v>
      </c>
      <c r="Q4921" t="n">
        <v>0</v>
      </c>
      <c r="R4921" t="n">
        <v>0</v>
      </c>
      <c r="S4921" t="n">
        <v>0</v>
      </c>
      <c r="T4921" t="n">
        <v>0</v>
      </c>
      <c r="U4921" t="n">
        <v>0</v>
      </c>
      <c r="V4921" s="2" t="inlineStr"/>
    </row>
    <row r="4922" ht="15" customHeight="1">
      <c r="A4922" t="inlineStr">
        <is>
          <t>A 60030-2022</t>
        </is>
      </c>
      <c r="B4922" t="inlineStr">
        <is>
          <t>avverkningsanmälan</t>
        </is>
      </c>
      <c r="C4922" t="inlineStr">
        <is>
          <t>Föryngringsavverkning</t>
        </is>
      </c>
      <c r="D4922" s="1" t="n">
        <v>44909</v>
      </c>
      <c r="E4922" s="1" t="n">
        <v>46323</v>
      </c>
      <c r="F4922" t="inlineStr">
        <is>
          <t>KALMAR LÄN</t>
        </is>
      </c>
      <c r="G4922" t="inlineStr">
        <is>
          <t>NYBRO</t>
        </is>
      </c>
      <c r="I4922" t="n">
        <v>2.9</v>
      </c>
      <c r="J4922" t="n">
        <v>0</v>
      </c>
      <c r="K4922" t="n">
        <v>0</v>
      </c>
      <c r="L4922" t="n">
        <v>0</v>
      </c>
      <c r="M4922" t="n">
        <v>0</v>
      </c>
      <c r="N4922" t="n">
        <v>0</v>
      </c>
      <c r="O4922" t="n">
        <v>0</v>
      </c>
      <c r="P4922" t="n">
        <v>0</v>
      </c>
      <c r="Q4922" t="n">
        <v>0</v>
      </c>
      <c r="R4922" t="n">
        <v>0</v>
      </c>
      <c r="S4922" t="n">
        <v>0</v>
      </c>
      <c r="T4922" t="n">
        <v>0</v>
      </c>
      <c r="U4922" t="n">
        <v>0</v>
      </c>
      <c r="V4922" s="2" t="inlineStr"/>
    </row>
    <row r="4923" ht="15" customHeight="1">
      <c r="A4923" t="inlineStr">
        <is>
          <t>A 8000-2023</t>
        </is>
      </c>
      <c r="B4923" t="inlineStr">
        <is>
          <t>avverkningsanmälan</t>
        </is>
      </c>
      <c r="C4923" t="inlineStr">
        <is>
          <t>Föryngringsavverkning</t>
        </is>
      </c>
      <c r="D4923" s="1" t="n">
        <v>44973</v>
      </c>
      <c r="E4923" s="1" t="n">
        <v>46323</v>
      </c>
      <c r="F4923" t="inlineStr">
        <is>
          <t>KALMAR LÄN</t>
        </is>
      </c>
      <c r="G4923" t="inlineStr">
        <is>
          <t>NYBRO</t>
        </is>
      </c>
      <c r="I4923" t="n">
        <v>0.5</v>
      </c>
      <c r="J4923" t="n">
        <v>0</v>
      </c>
      <c r="K4923" t="n">
        <v>0</v>
      </c>
      <c r="L4923" t="n">
        <v>0</v>
      </c>
      <c r="M4923" t="n">
        <v>0</v>
      </c>
      <c r="N4923" t="n">
        <v>0</v>
      </c>
      <c r="O4923" t="n">
        <v>0</v>
      </c>
      <c r="P4923" t="n">
        <v>0</v>
      </c>
      <c r="Q4923" t="n">
        <v>0</v>
      </c>
      <c r="R4923" t="n">
        <v>0</v>
      </c>
      <c r="S4923" t="n">
        <v>0</v>
      </c>
      <c r="T4923" t="n">
        <v>0</v>
      </c>
      <c r="U4923" t="n">
        <v>0</v>
      </c>
      <c r="V4923" s="2" t="inlineStr"/>
    </row>
    <row r="4924" ht="15" customHeight="1">
      <c r="A4924" t="inlineStr">
        <is>
          <t>A 16799-2026</t>
        </is>
      </c>
      <c r="B4924" t="inlineStr">
        <is>
          <t>avverkningsanmälan</t>
        </is>
      </c>
      <c r="C4924" t="inlineStr">
        <is>
          <t>Föryngringsavverkning</t>
        </is>
      </c>
      <c r="D4924" s="1" t="n">
        <v>46113</v>
      </c>
      <c r="E4924" s="1" t="n">
        <v>46323</v>
      </c>
      <c r="F4924" t="inlineStr">
        <is>
          <t>KALMAR LÄN</t>
        </is>
      </c>
      <c r="G4924" t="inlineStr">
        <is>
          <t>VIMMERBY</t>
        </is>
      </c>
      <c r="I4924" t="n">
        <v>1</v>
      </c>
      <c r="J4924" t="n">
        <v>0</v>
      </c>
      <c r="K4924" t="n">
        <v>0</v>
      </c>
      <c r="L4924" t="n">
        <v>0</v>
      </c>
      <c r="M4924" t="n">
        <v>0</v>
      </c>
      <c r="N4924" t="n">
        <v>0</v>
      </c>
      <c r="O4924" t="n">
        <v>0</v>
      </c>
      <c r="P4924" t="n">
        <v>0</v>
      </c>
      <c r="Q4924" t="n">
        <v>0</v>
      </c>
      <c r="R4924" t="n">
        <v>0</v>
      </c>
      <c r="S4924" t="n">
        <v>0</v>
      </c>
      <c r="T4924" t="n">
        <v>0</v>
      </c>
      <c r="U4924" t="n">
        <v>0</v>
      </c>
      <c r="V4924" s="2" t="inlineStr"/>
    </row>
    <row r="4925" ht="15" customHeight="1">
      <c r="A4925" t="inlineStr">
        <is>
          <t>A 40497-2026</t>
        </is>
      </c>
      <c r="B4925" t="inlineStr">
        <is>
          <t>avverkningsanmälan</t>
        </is>
      </c>
      <c r="C4925" t="inlineStr">
        <is>
          <t>Föryngringsavverkning</t>
        </is>
      </c>
      <c r="D4925" s="1" t="n">
        <v>46295</v>
      </c>
      <c r="E4925" s="1" t="n">
        <v>46323</v>
      </c>
      <c r="F4925" t="inlineStr">
        <is>
          <t>KALMAR LÄN</t>
        </is>
      </c>
      <c r="G4925" t="inlineStr">
        <is>
          <t>HULTSFRED</t>
        </is>
      </c>
      <c r="I4925" t="n">
        <v>3.4</v>
      </c>
      <c r="J4925" t="n">
        <v>0</v>
      </c>
      <c r="K4925" t="n">
        <v>0</v>
      </c>
      <c r="L4925" t="n">
        <v>0</v>
      </c>
      <c r="M4925" t="n">
        <v>0</v>
      </c>
      <c r="N4925" t="n">
        <v>0</v>
      </c>
      <c r="O4925" t="n">
        <v>0</v>
      </c>
      <c r="P4925" t="n">
        <v>0</v>
      </c>
      <c r="Q4925" t="n">
        <v>0</v>
      </c>
      <c r="R4925" t="n">
        <v>0</v>
      </c>
      <c r="S4925" t="n">
        <v>0</v>
      </c>
      <c r="T4925" t="n">
        <v>0</v>
      </c>
      <c r="U4925" t="n">
        <v>0</v>
      </c>
      <c r="V4925" s="2" t="inlineStr"/>
    </row>
    <row r="4926" ht="15" customHeight="1">
      <c r="A4926" t="inlineStr">
        <is>
          <t>A 50922-2022</t>
        </is>
      </c>
      <c r="B4926" t="inlineStr">
        <is>
          <t>avverkningsanmälan</t>
        </is>
      </c>
      <c r="C4926" t="inlineStr">
        <is>
          <t>Föryngringsavverkning</t>
        </is>
      </c>
      <c r="D4926" s="1" t="n">
        <v>44865</v>
      </c>
      <c r="E4926" s="1" t="n">
        <v>46323</v>
      </c>
      <c r="F4926" t="inlineStr">
        <is>
          <t>KALMAR LÄN</t>
        </is>
      </c>
      <c r="G4926" t="inlineStr">
        <is>
          <t>OSKARSHAMN</t>
        </is>
      </c>
      <c r="H4926" t="inlineStr">
        <is>
          <t>Övriga Aktiebolag</t>
        </is>
      </c>
      <c r="I4926" t="n">
        <v>2.3</v>
      </c>
      <c r="J4926" t="n">
        <v>0</v>
      </c>
      <c r="K4926" t="n">
        <v>0</v>
      </c>
      <c r="L4926" t="n">
        <v>0</v>
      </c>
      <c r="M4926" t="n">
        <v>0</v>
      </c>
      <c r="N4926" t="n">
        <v>0</v>
      </c>
      <c r="O4926" t="n">
        <v>0</v>
      </c>
      <c r="P4926" t="n">
        <v>0</v>
      </c>
      <c r="Q4926" t="n">
        <v>0</v>
      </c>
      <c r="R4926" t="n">
        <v>0</v>
      </c>
      <c r="S4926" t="n">
        <v>0</v>
      </c>
      <c r="T4926" t="n">
        <v>0</v>
      </c>
      <c r="U4926" t="n">
        <v>0</v>
      </c>
      <c r="V4926" s="2" t="inlineStr"/>
    </row>
    <row r="4927" ht="15" customHeight="1">
      <c r="A4927" t="inlineStr">
        <is>
          <t>A 56610-2022</t>
        </is>
      </c>
      <c r="B4927" t="inlineStr">
        <is>
          <t>avverkningsanmälan</t>
        </is>
      </c>
      <c r="C4927" t="inlineStr">
        <is>
          <t>Föryngringsavverkning</t>
        </is>
      </c>
      <c r="D4927" s="1" t="n">
        <v>44893</v>
      </c>
      <c r="E4927" s="1" t="n">
        <v>46323</v>
      </c>
      <c r="F4927" t="inlineStr">
        <is>
          <t>KALMAR LÄN</t>
        </is>
      </c>
      <c r="G4927" t="inlineStr">
        <is>
          <t>VÄSTERVIK</t>
        </is>
      </c>
      <c r="I4927" t="n">
        <v>0.5</v>
      </c>
      <c r="J4927" t="n">
        <v>0</v>
      </c>
      <c r="K4927" t="n">
        <v>0</v>
      </c>
      <c r="L4927" t="n">
        <v>0</v>
      </c>
      <c r="M4927" t="n">
        <v>0</v>
      </c>
      <c r="N4927" t="n">
        <v>0</v>
      </c>
      <c r="O4927" t="n">
        <v>0</v>
      </c>
      <c r="P4927" t="n">
        <v>0</v>
      </c>
      <c r="Q4927" t="n">
        <v>0</v>
      </c>
      <c r="R4927" t="n">
        <v>0</v>
      </c>
      <c r="S4927" t="n">
        <v>0</v>
      </c>
      <c r="T4927" t="n">
        <v>0</v>
      </c>
      <c r="U4927" t="n">
        <v>0</v>
      </c>
      <c r="V4927" s="2" t="inlineStr"/>
    </row>
    <row r="4928" ht="15" customHeight="1">
      <c r="A4928" t="inlineStr">
        <is>
          <t>A 57763-2022</t>
        </is>
      </c>
      <c r="B4928" t="inlineStr">
        <is>
          <t>avverkningsanmälan</t>
        </is>
      </c>
      <c r="C4928" t="inlineStr">
        <is>
          <t>Föryngringsavverkning</t>
        </is>
      </c>
      <c r="D4928" s="1" t="n">
        <v>44897</v>
      </c>
      <c r="E4928" s="1" t="n">
        <v>46323</v>
      </c>
      <c r="F4928" t="inlineStr">
        <is>
          <t>KALMAR LÄN</t>
        </is>
      </c>
      <c r="G4928" t="inlineStr">
        <is>
          <t>MÖNSTERÅS</t>
        </is>
      </c>
      <c r="H4928" t="inlineStr">
        <is>
          <t>Övriga Aktiebolag</t>
        </is>
      </c>
      <c r="I4928" t="n">
        <v>2.8</v>
      </c>
      <c r="J4928" t="n">
        <v>0</v>
      </c>
      <c r="K4928" t="n">
        <v>0</v>
      </c>
      <c r="L4928" t="n">
        <v>0</v>
      </c>
      <c r="M4928" t="n">
        <v>0</v>
      </c>
      <c r="N4928" t="n">
        <v>0</v>
      </c>
      <c r="O4928" t="n">
        <v>0</v>
      </c>
      <c r="P4928" t="n">
        <v>0</v>
      </c>
      <c r="Q4928" t="n">
        <v>0</v>
      </c>
      <c r="R4928" t="n">
        <v>0</v>
      </c>
      <c r="S4928" t="n">
        <v>0</v>
      </c>
      <c r="T4928" t="n">
        <v>0</v>
      </c>
      <c r="U4928" t="n">
        <v>0</v>
      </c>
      <c r="V4928" s="2" t="inlineStr"/>
    </row>
    <row r="4929" ht="15" customHeight="1">
      <c r="A4929" t="inlineStr">
        <is>
          <t>A 16801-2026</t>
        </is>
      </c>
      <c r="B4929" t="inlineStr">
        <is>
          <t>avverkningsanmälan</t>
        </is>
      </c>
      <c r="C4929" t="inlineStr">
        <is>
          <t>Föryngringsavverkning</t>
        </is>
      </c>
      <c r="D4929" s="1" t="n">
        <v>46113</v>
      </c>
      <c r="E4929" s="1" t="n">
        <v>46323</v>
      </c>
      <c r="F4929" t="inlineStr">
        <is>
          <t>KALMAR LÄN</t>
        </is>
      </c>
      <c r="G4929" t="inlineStr">
        <is>
          <t>VIMMERBY</t>
        </is>
      </c>
      <c r="I4929" t="n">
        <v>0.7</v>
      </c>
      <c r="J4929" t="n">
        <v>0</v>
      </c>
      <c r="K4929" t="n">
        <v>0</v>
      </c>
      <c r="L4929" t="n">
        <v>0</v>
      </c>
      <c r="M4929" t="n">
        <v>0</v>
      </c>
      <c r="N4929" t="n">
        <v>0</v>
      </c>
      <c r="O4929" t="n">
        <v>0</v>
      </c>
      <c r="P4929" t="n">
        <v>0</v>
      </c>
      <c r="Q4929" t="n">
        <v>0</v>
      </c>
      <c r="R4929" t="n">
        <v>0</v>
      </c>
      <c r="S4929" t="n">
        <v>0</v>
      </c>
      <c r="T4929" t="n">
        <v>0</v>
      </c>
      <c r="U4929" t="n">
        <v>0</v>
      </c>
      <c r="V4929" s="2" t="inlineStr"/>
    </row>
    <row r="4930" ht="15" customHeight="1">
      <c r="A4930" t="inlineStr">
        <is>
          <t>A 16851-2026</t>
        </is>
      </c>
      <c r="B4930" t="inlineStr">
        <is>
          <t>avverkningsanmälan</t>
        </is>
      </c>
      <c r="C4930" t="inlineStr">
        <is>
          <t>Föryngringsavverkning</t>
        </is>
      </c>
      <c r="D4930" s="1" t="n">
        <v>46113</v>
      </c>
      <c r="E4930" s="1" t="n">
        <v>46323</v>
      </c>
      <c r="F4930" t="inlineStr">
        <is>
          <t>KALMAR LÄN</t>
        </is>
      </c>
      <c r="G4930" t="inlineStr">
        <is>
          <t>MÖNSTERÅS</t>
        </is>
      </c>
      <c r="H4930" t="inlineStr">
        <is>
          <t>Kommuner</t>
        </is>
      </c>
      <c r="I4930" t="n">
        <v>1.6</v>
      </c>
      <c r="J4930" t="n">
        <v>0</v>
      </c>
      <c r="K4930" t="n">
        <v>0</v>
      </c>
      <c r="L4930" t="n">
        <v>0</v>
      </c>
      <c r="M4930" t="n">
        <v>0</v>
      </c>
      <c r="N4930" t="n">
        <v>0</v>
      </c>
      <c r="O4930" t="n">
        <v>0</v>
      </c>
      <c r="P4930" t="n">
        <v>0</v>
      </c>
      <c r="Q4930" t="n">
        <v>0</v>
      </c>
      <c r="R4930" t="n">
        <v>0</v>
      </c>
      <c r="S4930" t="n">
        <v>0</v>
      </c>
      <c r="T4930" t="n">
        <v>0</v>
      </c>
      <c r="U4930" t="n">
        <v>0</v>
      </c>
      <c r="V4930" s="2" t="inlineStr"/>
    </row>
    <row r="4931" ht="15" customHeight="1">
      <c r="A4931" t="inlineStr">
        <is>
          <t>A 16675-2026</t>
        </is>
      </c>
      <c r="B4931" t="inlineStr">
        <is>
          <t>avverkningsanmälan</t>
        </is>
      </c>
      <c r="C4931" t="inlineStr">
        <is>
          <t>Föryngringsavverkning</t>
        </is>
      </c>
      <c r="D4931" s="1" t="n">
        <v>46112</v>
      </c>
      <c r="E4931" s="1" t="n">
        <v>46323</v>
      </c>
      <c r="F4931" t="inlineStr">
        <is>
          <t>KALMAR LÄN</t>
        </is>
      </c>
      <c r="G4931" t="inlineStr">
        <is>
          <t>VIMMERBY</t>
        </is>
      </c>
      <c r="H4931" t="inlineStr">
        <is>
          <t>Kommuner</t>
        </is>
      </c>
      <c r="I4931" t="n">
        <v>0.8</v>
      </c>
      <c r="J4931" t="n">
        <v>0</v>
      </c>
      <c r="K4931" t="n">
        <v>0</v>
      </c>
      <c r="L4931" t="n">
        <v>0</v>
      </c>
      <c r="M4931" t="n">
        <v>0</v>
      </c>
      <c r="N4931" t="n">
        <v>0</v>
      </c>
      <c r="O4931" t="n">
        <v>0</v>
      </c>
      <c r="P4931" t="n">
        <v>0</v>
      </c>
      <c r="Q4931" t="n">
        <v>0</v>
      </c>
      <c r="R4931" t="n">
        <v>0</v>
      </c>
      <c r="S4931" t="n">
        <v>0</v>
      </c>
      <c r="T4931" t="n">
        <v>0</v>
      </c>
      <c r="U4931" t="n">
        <v>0</v>
      </c>
      <c r="V4931" s="2" t="inlineStr"/>
    </row>
    <row r="4932" ht="15" customHeight="1">
      <c r="A4932" t="inlineStr">
        <is>
          <t>A 40634-2026</t>
        </is>
      </c>
      <c r="B4932" t="inlineStr">
        <is>
          <t>avverkningsanmälan</t>
        </is>
      </c>
      <c r="C4932" t="inlineStr">
        <is>
          <t>Föryngringsavverkning</t>
        </is>
      </c>
      <c r="D4932" s="1" t="n">
        <v>46295</v>
      </c>
      <c r="E4932" s="1" t="n">
        <v>46323</v>
      </c>
      <c r="F4932" t="inlineStr">
        <is>
          <t>KALMAR LÄN</t>
        </is>
      </c>
      <c r="G4932" t="inlineStr">
        <is>
          <t>OSKARSHAMN</t>
        </is>
      </c>
      <c r="I4932" t="n">
        <v>1.2</v>
      </c>
      <c r="J4932" t="n">
        <v>0</v>
      </c>
      <c r="K4932" t="n">
        <v>0</v>
      </c>
      <c r="L4932" t="n">
        <v>0</v>
      </c>
      <c r="M4932" t="n">
        <v>0</v>
      </c>
      <c r="N4932" t="n">
        <v>0</v>
      </c>
      <c r="O4932" t="n">
        <v>0</v>
      </c>
      <c r="P4932" t="n">
        <v>0</v>
      </c>
      <c r="Q4932" t="n">
        <v>0</v>
      </c>
      <c r="R4932" t="n">
        <v>0</v>
      </c>
      <c r="S4932" t="n">
        <v>0</v>
      </c>
      <c r="T4932" t="n">
        <v>0</v>
      </c>
      <c r="U4932" t="n">
        <v>0</v>
      </c>
      <c r="V4932" s="2" t="inlineStr"/>
    </row>
    <row r="4933" ht="15" customHeight="1">
      <c r="A4933" t="inlineStr">
        <is>
          <t>A 16678-2026</t>
        </is>
      </c>
      <c r="B4933" t="inlineStr">
        <is>
          <t>avverkningsanmälan</t>
        </is>
      </c>
      <c r="C4933" t="inlineStr">
        <is>
          <t>Föryngringsavverkning</t>
        </is>
      </c>
      <c r="D4933" s="1" t="n">
        <v>46112</v>
      </c>
      <c r="E4933" s="1" t="n">
        <v>46323</v>
      </c>
      <c r="F4933" t="inlineStr">
        <is>
          <t>KALMAR LÄN</t>
        </is>
      </c>
      <c r="G4933" t="inlineStr">
        <is>
          <t>VIMMERBY</t>
        </is>
      </c>
      <c r="H4933" t="inlineStr">
        <is>
          <t>Kommuner</t>
        </is>
      </c>
      <c r="I4933" t="n">
        <v>1.6</v>
      </c>
      <c r="J4933" t="n">
        <v>0</v>
      </c>
      <c r="K4933" t="n">
        <v>0</v>
      </c>
      <c r="L4933" t="n">
        <v>0</v>
      </c>
      <c r="M4933" t="n">
        <v>0</v>
      </c>
      <c r="N4933" t="n">
        <v>0</v>
      </c>
      <c r="O4933" t="n">
        <v>0</v>
      </c>
      <c r="P4933" t="n">
        <v>0</v>
      </c>
      <c r="Q4933" t="n">
        <v>0</v>
      </c>
      <c r="R4933" t="n">
        <v>0</v>
      </c>
      <c r="S4933" t="n">
        <v>0</v>
      </c>
      <c r="T4933" t="n">
        <v>0</v>
      </c>
      <c r="U4933" t="n">
        <v>0</v>
      </c>
      <c r="V4933" s="2" t="inlineStr"/>
    </row>
    <row r="4934" ht="15" customHeight="1">
      <c r="A4934" t="inlineStr">
        <is>
          <t>A 16631-2026</t>
        </is>
      </c>
      <c r="B4934" t="inlineStr">
        <is>
          <t>avverkningsanmälan</t>
        </is>
      </c>
      <c r="C4934" t="inlineStr">
        <is>
          <t>Föryngringsavverkning</t>
        </is>
      </c>
      <c r="D4934" s="1" t="n">
        <v>46112</v>
      </c>
      <c r="E4934" s="1" t="n">
        <v>46323</v>
      </c>
      <c r="F4934" t="inlineStr">
        <is>
          <t>KALMAR LÄN</t>
        </is>
      </c>
      <c r="G4934" t="inlineStr">
        <is>
          <t>NYBRO</t>
        </is>
      </c>
      <c r="I4934" t="n">
        <v>2.4</v>
      </c>
      <c r="J4934" t="n">
        <v>0</v>
      </c>
      <c r="K4934" t="n">
        <v>0</v>
      </c>
      <c r="L4934" t="n">
        <v>0</v>
      </c>
      <c r="M4934" t="n">
        <v>0</v>
      </c>
      <c r="N4934" t="n">
        <v>0</v>
      </c>
      <c r="O4934" t="n">
        <v>0</v>
      </c>
      <c r="P4934" t="n">
        <v>0</v>
      </c>
      <c r="Q4934" t="n">
        <v>0</v>
      </c>
      <c r="R4934" t="n">
        <v>0</v>
      </c>
      <c r="S4934" t="n">
        <v>0</v>
      </c>
      <c r="T4934" t="n">
        <v>0</v>
      </c>
      <c r="U4934" t="n">
        <v>0</v>
      </c>
      <c r="V4934" s="2" t="inlineStr"/>
    </row>
    <row r="4935" ht="15" customHeight="1">
      <c r="A4935" t="inlineStr">
        <is>
          <t>A 16634-2026</t>
        </is>
      </c>
      <c r="B4935" t="inlineStr">
        <is>
          <t>avverkningsanmälan</t>
        </is>
      </c>
      <c r="C4935" t="inlineStr">
        <is>
          <t>Föryngringsavverkning</t>
        </is>
      </c>
      <c r="D4935" s="1" t="n">
        <v>46112</v>
      </c>
      <c r="E4935" s="1" t="n">
        <v>46323</v>
      </c>
      <c r="F4935" t="inlineStr">
        <is>
          <t>KALMAR LÄN</t>
        </is>
      </c>
      <c r="G4935" t="inlineStr">
        <is>
          <t>NYBRO</t>
        </is>
      </c>
      <c r="I4935" t="n">
        <v>0.6</v>
      </c>
      <c r="J4935" t="n">
        <v>0</v>
      </c>
      <c r="K4935" t="n">
        <v>0</v>
      </c>
      <c r="L4935" t="n">
        <v>0</v>
      </c>
      <c r="M4935" t="n">
        <v>0</v>
      </c>
      <c r="N4935" t="n">
        <v>0</v>
      </c>
      <c r="O4935" t="n">
        <v>0</v>
      </c>
      <c r="P4935" t="n">
        <v>0</v>
      </c>
      <c r="Q4935" t="n">
        <v>0</v>
      </c>
      <c r="R4935" t="n">
        <v>0</v>
      </c>
      <c r="S4935" t="n">
        <v>0</v>
      </c>
      <c r="T4935" t="n">
        <v>0</v>
      </c>
      <c r="U4935" t="n">
        <v>0</v>
      </c>
      <c r="V4935" s="2" t="inlineStr"/>
    </row>
    <row r="4936" ht="15" customHeight="1">
      <c r="A4936" t="inlineStr">
        <is>
          <t>A 16648-2026</t>
        </is>
      </c>
      <c r="B4936" t="inlineStr">
        <is>
          <t>avverkningsanmälan</t>
        </is>
      </c>
      <c r="C4936" t="inlineStr">
        <is>
          <t>Föryngringsavverkning</t>
        </is>
      </c>
      <c r="D4936" s="1" t="n">
        <v>46112</v>
      </c>
      <c r="E4936" s="1" t="n">
        <v>46323</v>
      </c>
      <c r="F4936" t="inlineStr">
        <is>
          <t>KALMAR LÄN</t>
        </is>
      </c>
      <c r="G4936" t="inlineStr">
        <is>
          <t>VIMMERBY</t>
        </is>
      </c>
      <c r="H4936" t="inlineStr">
        <is>
          <t>Kommuner</t>
        </is>
      </c>
      <c r="I4936" t="n">
        <v>0.9</v>
      </c>
      <c r="J4936" t="n">
        <v>0</v>
      </c>
      <c r="K4936" t="n">
        <v>0</v>
      </c>
      <c r="L4936" t="n">
        <v>0</v>
      </c>
      <c r="M4936" t="n">
        <v>0</v>
      </c>
      <c r="N4936" t="n">
        <v>0</v>
      </c>
      <c r="O4936" t="n">
        <v>0</v>
      </c>
      <c r="P4936" t="n">
        <v>0</v>
      </c>
      <c r="Q4936" t="n">
        <v>0</v>
      </c>
      <c r="R4936" t="n">
        <v>0</v>
      </c>
      <c r="S4936" t="n">
        <v>0</v>
      </c>
      <c r="T4936" t="n">
        <v>0</v>
      </c>
      <c r="U4936" t="n">
        <v>0</v>
      </c>
      <c r="V4936" s="2" t="inlineStr"/>
    </row>
    <row r="4937" ht="15" customHeight="1">
      <c r="A4937" t="inlineStr">
        <is>
          <t>A 16656-2026</t>
        </is>
      </c>
      <c r="B4937" t="inlineStr">
        <is>
          <t>avverkningsanmälan</t>
        </is>
      </c>
      <c r="C4937" t="inlineStr">
        <is>
          <t>Föryngringsavverkning</t>
        </is>
      </c>
      <c r="D4937" s="1" t="n">
        <v>46112</v>
      </c>
      <c r="E4937" s="1" t="n">
        <v>46323</v>
      </c>
      <c r="F4937" t="inlineStr">
        <is>
          <t>KALMAR LÄN</t>
        </is>
      </c>
      <c r="G4937" t="inlineStr">
        <is>
          <t>VIMMERBY</t>
        </is>
      </c>
      <c r="H4937" t="inlineStr">
        <is>
          <t>Kommuner</t>
        </is>
      </c>
      <c r="I4937" t="n">
        <v>5.5</v>
      </c>
      <c r="J4937" t="n">
        <v>0</v>
      </c>
      <c r="K4937" t="n">
        <v>0</v>
      </c>
      <c r="L4937" t="n">
        <v>0</v>
      </c>
      <c r="M4937" t="n">
        <v>0</v>
      </c>
      <c r="N4937" t="n">
        <v>0</v>
      </c>
      <c r="O4937" t="n">
        <v>0</v>
      </c>
      <c r="P4937" t="n">
        <v>0</v>
      </c>
      <c r="Q4937" t="n">
        <v>0</v>
      </c>
      <c r="R4937" t="n">
        <v>0</v>
      </c>
      <c r="S4937" t="n">
        <v>0</v>
      </c>
      <c r="T4937" t="n">
        <v>0</v>
      </c>
      <c r="U4937" t="n">
        <v>0</v>
      </c>
      <c r="V4937" s="2" t="inlineStr"/>
    </row>
    <row r="4938" ht="15" customHeight="1">
      <c r="A4938" t="inlineStr">
        <is>
          <t>A 16913-2026</t>
        </is>
      </c>
      <c r="B4938" t="inlineStr">
        <is>
          <t>avverkningsanmälan</t>
        </is>
      </c>
      <c r="C4938" t="inlineStr">
        <is>
          <t>Föryngringsavverkning</t>
        </is>
      </c>
      <c r="D4938" s="1" t="n">
        <v>46113</v>
      </c>
      <c r="E4938" s="1" t="n">
        <v>46323</v>
      </c>
      <c r="F4938" t="inlineStr">
        <is>
          <t>KALMAR LÄN</t>
        </is>
      </c>
      <c r="G4938" t="inlineStr">
        <is>
          <t>VÄSTERVIK</t>
        </is>
      </c>
      <c r="I4938" t="n">
        <v>1</v>
      </c>
      <c r="J4938" t="n">
        <v>0</v>
      </c>
      <c r="K4938" t="n">
        <v>0</v>
      </c>
      <c r="L4938" t="n">
        <v>0</v>
      </c>
      <c r="M4938" t="n">
        <v>0</v>
      </c>
      <c r="N4938" t="n">
        <v>0</v>
      </c>
      <c r="O4938" t="n">
        <v>0</v>
      </c>
      <c r="P4938" t="n">
        <v>0</v>
      </c>
      <c r="Q4938" t="n">
        <v>0</v>
      </c>
      <c r="R4938" t="n">
        <v>0</v>
      </c>
      <c r="S4938" t="n">
        <v>0</v>
      </c>
      <c r="T4938" t="n">
        <v>0</v>
      </c>
      <c r="U4938" t="n">
        <v>0</v>
      </c>
      <c r="V4938" s="2" t="inlineStr"/>
    </row>
    <row r="4939" ht="15" customHeight="1">
      <c r="A4939" t="inlineStr">
        <is>
          <t>A 34191-2026</t>
        </is>
      </c>
      <c r="B4939" t="inlineStr">
        <is>
          <t>avverkningsanmälan</t>
        </is>
      </c>
      <c r="C4939" t="inlineStr">
        <is>
          <t>Föryngringsavverkning</t>
        </is>
      </c>
      <c r="D4939" s="1" t="n">
        <v>46253</v>
      </c>
      <c r="E4939" s="1" t="n">
        <v>46323</v>
      </c>
      <c r="F4939" t="inlineStr">
        <is>
          <t>KALMAR LÄN</t>
        </is>
      </c>
      <c r="G4939" t="inlineStr">
        <is>
          <t>EMMABODA</t>
        </is>
      </c>
      <c r="I4939" t="n">
        <v>2.7</v>
      </c>
      <c r="J4939" t="n">
        <v>0</v>
      </c>
      <c r="K4939" t="n">
        <v>0</v>
      </c>
      <c r="L4939" t="n">
        <v>0</v>
      </c>
      <c r="M4939" t="n">
        <v>0</v>
      </c>
      <c r="N4939" t="n">
        <v>0</v>
      </c>
      <c r="O4939" t="n">
        <v>0</v>
      </c>
      <c r="P4939" t="n">
        <v>0</v>
      </c>
      <c r="Q4939" t="n">
        <v>0</v>
      </c>
      <c r="R4939" t="n">
        <v>0</v>
      </c>
      <c r="S4939" t="n">
        <v>0</v>
      </c>
      <c r="T4939" t="n">
        <v>0</v>
      </c>
      <c r="U4939" t="n">
        <v>0</v>
      </c>
      <c r="V4939" s="2" t="inlineStr"/>
    </row>
    <row r="4940" ht="15" customHeight="1">
      <c r="A4940" t="inlineStr">
        <is>
          <t>A 16504-2026</t>
        </is>
      </c>
      <c r="B4940" t="inlineStr">
        <is>
          <t>avverkningsanmälan</t>
        </is>
      </c>
      <c r="C4940" t="inlineStr">
        <is>
          <t>Föryngringsavverkning</t>
        </is>
      </c>
      <c r="D4940" s="1" t="n">
        <v>46112</v>
      </c>
      <c r="E4940" s="1" t="n">
        <v>46323</v>
      </c>
      <c r="F4940" t="inlineStr">
        <is>
          <t>KALMAR LÄN</t>
        </is>
      </c>
      <c r="G4940" t="inlineStr">
        <is>
          <t>KALMAR</t>
        </is>
      </c>
      <c r="I4940" t="n">
        <v>9.199999999999999</v>
      </c>
      <c r="J4940" t="n">
        <v>0</v>
      </c>
      <c r="K4940" t="n">
        <v>0</v>
      </c>
      <c r="L4940" t="n">
        <v>0</v>
      </c>
      <c r="M4940" t="n">
        <v>0</v>
      </c>
      <c r="N4940" t="n">
        <v>0</v>
      </c>
      <c r="O4940" t="n">
        <v>0</v>
      </c>
      <c r="P4940" t="n">
        <v>0</v>
      </c>
      <c r="Q4940" t="n">
        <v>0</v>
      </c>
      <c r="R4940" t="n">
        <v>0</v>
      </c>
      <c r="S4940" t="n">
        <v>0</v>
      </c>
      <c r="T4940" t="n">
        <v>0</v>
      </c>
      <c r="U4940" t="n">
        <v>0</v>
      </c>
      <c r="V4940" s="2" t="inlineStr"/>
    </row>
    <row r="4941" ht="15" customHeight="1">
      <c r="A4941" t="inlineStr">
        <is>
          <t>A 40608-2026</t>
        </is>
      </c>
      <c r="B4941" t="inlineStr">
        <is>
          <t>avverkningsanmälan</t>
        </is>
      </c>
      <c r="C4941" t="inlineStr">
        <is>
          <t>Föryngringsavverkning</t>
        </is>
      </c>
      <c r="D4941" s="1" t="n">
        <v>46295</v>
      </c>
      <c r="E4941" s="1" t="n">
        <v>46323</v>
      </c>
      <c r="F4941" t="inlineStr">
        <is>
          <t>KALMAR LÄN</t>
        </is>
      </c>
      <c r="G4941" t="inlineStr">
        <is>
          <t>NYBRO</t>
        </is>
      </c>
      <c r="I4941" t="n">
        <v>4.9</v>
      </c>
      <c r="J4941" t="n">
        <v>0</v>
      </c>
      <c r="K4941" t="n">
        <v>0</v>
      </c>
      <c r="L4941" t="n">
        <v>0</v>
      </c>
      <c r="M4941" t="n">
        <v>0</v>
      </c>
      <c r="N4941" t="n">
        <v>0</v>
      </c>
      <c r="O4941" t="n">
        <v>0</v>
      </c>
      <c r="P4941" t="n">
        <v>0</v>
      </c>
      <c r="Q4941" t="n">
        <v>0</v>
      </c>
      <c r="R4941" t="n">
        <v>0</v>
      </c>
      <c r="S4941" t="n">
        <v>0</v>
      </c>
      <c r="T4941" t="n">
        <v>0</v>
      </c>
      <c r="U4941" t="n">
        <v>0</v>
      </c>
      <c r="V4941" s="2" t="inlineStr"/>
    </row>
    <row r="4942" ht="15" customHeight="1">
      <c r="A4942" t="inlineStr">
        <is>
          <t>A 16823-2026</t>
        </is>
      </c>
      <c r="B4942" t="inlineStr">
        <is>
          <t>avverkningsanmälan</t>
        </is>
      </c>
      <c r="C4942" t="inlineStr">
        <is>
          <t>Föryngringsavverkning</t>
        </is>
      </c>
      <c r="D4942" s="1" t="n">
        <v>46113</v>
      </c>
      <c r="E4942" s="1" t="n">
        <v>46323</v>
      </c>
      <c r="F4942" t="inlineStr">
        <is>
          <t>KALMAR LÄN</t>
        </is>
      </c>
      <c r="G4942" t="inlineStr">
        <is>
          <t>VIMMERBY</t>
        </is>
      </c>
      <c r="I4942" t="n">
        <v>0.8</v>
      </c>
      <c r="J4942" t="n">
        <v>0</v>
      </c>
      <c r="K4942" t="n">
        <v>0</v>
      </c>
      <c r="L4942" t="n">
        <v>0</v>
      </c>
      <c r="M4942" t="n">
        <v>0</v>
      </c>
      <c r="N4942" t="n">
        <v>0</v>
      </c>
      <c r="O4942" t="n">
        <v>0</v>
      </c>
      <c r="P4942" t="n">
        <v>0</v>
      </c>
      <c r="Q4942" t="n">
        <v>0</v>
      </c>
      <c r="R4942" t="n">
        <v>0</v>
      </c>
      <c r="S4942" t="n">
        <v>0</v>
      </c>
      <c r="T4942" t="n">
        <v>0</v>
      </c>
      <c r="U4942" t="n">
        <v>0</v>
      </c>
      <c r="V4942" s="2" t="inlineStr"/>
    </row>
    <row r="4943" ht="15" customHeight="1">
      <c r="A4943" t="inlineStr">
        <is>
          <t>A 16617-2026</t>
        </is>
      </c>
      <c r="B4943" t="inlineStr">
        <is>
          <t>avverkningsanmälan</t>
        </is>
      </c>
      <c r="C4943" t="inlineStr">
        <is>
          <t>Föryngringsavverkning</t>
        </is>
      </c>
      <c r="D4943" s="1" t="n">
        <v>46112</v>
      </c>
      <c r="E4943" s="1" t="n">
        <v>46323</v>
      </c>
      <c r="F4943" t="inlineStr">
        <is>
          <t>KALMAR LÄN</t>
        </is>
      </c>
      <c r="G4943" t="inlineStr">
        <is>
          <t>VIMMERBY</t>
        </is>
      </c>
      <c r="H4943" t="inlineStr">
        <is>
          <t>Kommuner</t>
        </is>
      </c>
      <c r="I4943" t="n">
        <v>0.6</v>
      </c>
      <c r="J4943" t="n">
        <v>0</v>
      </c>
      <c r="K4943" t="n">
        <v>0</v>
      </c>
      <c r="L4943" t="n">
        <v>0</v>
      </c>
      <c r="M4943" t="n">
        <v>0</v>
      </c>
      <c r="N4943" t="n">
        <v>0</v>
      </c>
      <c r="O4943" t="n">
        <v>0</v>
      </c>
      <c r="P4943" t="n">
        <v>0</v>
      </c>
      <c r="Q4943" t="n">
        <v>0</v>
      </c>
      <c r="R4943" t="n">
        <v>0</v>
      </c>
      <c r="S4943" t="n">
        <v>0</v>
      </c>
      <c r="T4943" t="n">
        <v>0</v>
      </c>
      <c r="U4943" t="n">
        <v>0</v>
      </c>
      <c r="V4943" s="2" t="inlineStr"/>
    </row>
    <row r="4944" ht="15" customHeight="1">
      <c r="A4944" t="inlineStr">
        <is>
          <t>A 529-2022</t>
        </is>
      </c>
      <c r="B4944" t="inlineStr">
        <is>
          <t>avverkningsanmälan</t>
        </is>
      </c>
      <c r="C4944" t="inlineStr">
        <is>
          <t>Föryngringsavverkning</t>
        </is>
      </c>
      <c r="D4944" s="1" t="n">
        <v>44566</v>
      </c>
      <c r="E4944" s="1" t="n">
        <v>46323</v>
      </c>
      <c r="F4944" t="inlineStr">
        <is>
          <t>KALMAR LÄN</t>
        </is>
      </c>
      <c r="G4944" t="inlineStr">
        <is>
          <t>VIMMERBY</t>
        </is>
      </c>
      <c r="I4944" t="n">
        <v>1.5</v>
      </c>
      <c r="J4944" t="n">
        <v>0</v>
      </c>
      <c r="K4944" t="n">
        <v>0</v>
      </c>
      <c r="L4944" t="n">
        <v>0</v>
      </c>
      <c r="M4944" t="n">
        <v>0</v>
      </c>
      <c r="N4944" t="n">
        <v>0</v>
      </c>
      <c r="O4944" t="n">
        <v>0</v>
      </c>
      <c r="P4944" t="n">
        <v>0</v>
      </c>
      <c r="Q4944" t="n">
        <v>0</v>
      </c>
      <c r="R4944" t="n">
        <v>0</v>
      </c>
      <c r="S4944" t="n">
        <v>0</v>
      </c>
      <c r="T4944" t="n">
        <v>0</v>
      </c>
      <c r="U4944" t="n">
        <v>0</v>
      </c>
      <c r="V4944" s="2" t="inlineStr"/>
    </row>
    <row r="4945" ht="15" customHeight="1">
      <c r="A4945" t="inlineStr">
        <is>
          <t>A 27684-2022</t>
        </is>
      </c>
      <c r="B4945" t="inlineStr">
        <is>
          <t>avverkningsanmälan</t>
        </is>
      </c>
      <c r="C4945" t="inlineStr">
        <is>
          <t>Avverkning för annat ändamål</t>
        </is>
      </c>
      <c r="D4945" s="1" t="n">
        <v>44743</v>
      </c>
      <c r="E4945" s="1" t="n">
        <v>46323</v>
      </c>
      <c r="F4945" t="inlineStr">
        <is>
          <t>KALMAR LÄN</t>
        </is>
      </c>
      <c r="G4945" t="inlineStr">
        <is>
          <t>OSKARSHAMN</t>
        </is>
      </c>
      <c r="I4945" t="n">
        <v>2.4</v>
      </c>
      <c r="J4945" t="n">
        <v>0</v>
      </c>
      <c r="K4945" t="n">
        <v>0</v>
      </c>
      <c r="L4945" t="n">
        <v>0</v>
      </c>
      <c r="M4945" t="n">
        <v>0</v>
      </c>
      <c r="N4945" t="n">
        <v>0</v>
      </c>
      <c r="O4945" t="n">
        <v>0</v>
      </c>
      <c r="P4945" t="n">
        <v>0</v>
      </c>
      <c r="Q4945" t="n">
        <v>0</v>
      </c>
      <c r="R4945" t="n">
        <v>0</v>
      </c>
      <c r="S4945" t="n">
        <v>0</v>
      </c>
      <c r="T4945" t="n">
        <v>0</v>
      </c>
      <c r="U4945" t="n">
        <v>0</v>
      </c>
      <c r="V4945" s="2" t="inlineStr"/>
    </row>
    <row r="4946" ht="15" customHeight="1">
      <c r="A4946" t="inlineStr">
        <is>
          <t>A 17047-2026</t>
        </is>
      </c>
      <c r="B4946" t="inlineStr">
        <is>
          <t>avverkningsanmälan</t>
        </is>
      </c>
      <c r="C4946" t="inlineStr">
        <is>
          <t>Föryngringsavverkning</t>
        </is>
      </c>
      <c r="D4946" s="1" t="n">
        <v>46114</v>
      </c>
      <c r="E4946" s="1" t="n">
        <v>46323</v>
      </c>
      <c r="F4946" t="inlineStr">
        <is>
          <t>KALMAR LÄN</t>
        </is>
      </c>
      <c r="G4946" t="inlineStr">
        <is>
          <t>OSKARSHAMN</t>
        </is>
      </c>
      <c r="H4946" t="inlineStr">
        <is>
          <t>Kommuner</t>
        </is>
      </c>
      <c r="I4946" t="n">
        <v>2.9</v>
      </c>
      <c r="J4946" t="n">
        <v>0</v>
      </c>
      <c r="K4946" t="n">
        <v>0</v>
      </c>
      <c r="L4946" t="n">
        <v>0</v>
      </c>
      <c r="M4946" t="n">
        <v>0</v>
      </c>
      <c r="N4946" t="n">
        <v>0</v>
      </c>
      <c r="O4946" t="n">
        <v>0</v>
      </c>
      <c r="P4946" t="n">
        <v>0</v>
      </c>
      <c r="Q4946" t="n">
        <v>0</v>
      </c>
      <c r="R4946" t="n">
        <v>0</v>
      </c>
      <c r="S4946" t="n">
        <v>0</v>
      </c>
      <c r="T4946" t="n">
        <v>0</v>
      </c>
      <c r="U4946" t="n">
        <v>0</v>
      </c>
      <c r="V4946" s="2" t="inlineStr"/>
    </row>
    <row r="4947" ht="15" customHeight="1">
      <c r="A4947" t="inlineStr">
        <is>
          <t>A 14094-2022</t>
        </is>
      </c>
      <c r="B4947" t="inlineStr">
        <is>
          <t>avverkningsanmälan</t>
        </is>
      </c>
      <c r="C4947" t="inlineStr">
        <is>
          <t>Föryngringsavverkning</t>
        </is>
      </c>
      <c r="D4947" s="1" t="n">
        <v>44651</v>
      </c>
      <c r="E4947" s="1" t="n">
        <v>46323</v>
      </c>
      <c r="F4947" t="inlineStr">
        <is>
          <t>KALMAR LÄN</t>
        </is>
      </c>
      <c r="G4947" t="inlineStr">
        <is>
          <t>HULTSFRED</t>
        </is>
      </c>
      <c r="I4947" t="n">
        <v>1.4</v>
      </c>
      <c r="J4947" t="n">
        <v>0</v>
      </c>
      <c r="K4947" t="n">
        <v>0</v>
      </c>
      <c r="L4947" t="n">
        <v>0</v>
      </c>
      <c r="M4947" t="n">
        <v>0</v>
      </c>
      <c r="N4947" t="n">
        <v>0</v>
      </c>
      <c r="O4947" t="n">
        <v>0</v>
      </c>
      <c r="P4947" t="n">
        <v>0</v>
      </c>
      <c r="Q4947" t="n">
        <v>0</v>
      </c>
      <c r="R4947" t="n">
        <v>0</v>
      </c>
      <c r="S4947" t="n">
        <v>0</v>
      </c>
      <c r="T4947" t="n">
        <v>0</v>
      </c>
      <c r="U4947" t="n">
        <v>0</v>
      </c>
      <c r="V4947" s="2" t="inlineStr"/>
    </row>
    <row r="4948" ht="15" customHeight="1">
      <c r="A4948" t="inlineStr">
        <is>
          <t>A 33991-2026</t>
        </is>
      </c>
      <c r="B4948" t="inlineStr">
        <is>
          <t>avverkningsanmälan</t>
        </is>
      </c>
      <c r="C4948" t="inlineStr">
        <is>
          <t>Föryngringsavverkning</t>
        </is>
      </c>
      <c r="D4948" s="1" t="n">
        <v>46252</v>
      </c>
      <c r="E4948" s="1" t="n">
        <v>46323</v>
      </c>
      <c r="F4948" t="inlineStr">
        <is>
          <t>KALMAR LÄN</t>
        </is>
      </c>
      <c r="G4948" t="inlineStr">
        <is>
          <t>VÄSTERVIK</t>
        </is>
      </c>
      <c r="I4948" t="n">
        <v>1.7</v>
      </c>
      <c r="J4948" t="n">
        <v>0</v>
      </c>
      <c r="K4948" t="n">
        <v>0</v>
      </c>
      <c r="L4948" t="n">
        <v>0</v>
      </c>
      <c r="M4948" t="n">
        <v>0</v>
      </c>
      <c r="N4948" t="n">
        <v>0</v>
      </c>
      <c r="O4948" t="n">
        <v>0</v>
      </c>
      <c r="P4948" t="n">
        <v>0</v>
      </c>
      <c r="Q4948" t="n">
        <v>0</v>
      </c>
      <c r="R4948" t="n">
        <v>0</v>
      </c>
      <c r="S4948" t="n">
        <v>0</v>
      </c>
      <c r="T4948" t="n">
        <v>0</v>
      </c>
      <c r="U4948" t="n">
        <v>0</v>
      </c>
      <c r="V4948" s="2" t="inlineStr"/>
    </row>
    <row r="4949" ht="15" customHeight="1">
      <c r="A4949" t="inlineStr">
        <is>
          <t>A 9676-2024</t>
        </is>
      </c>
      <c r="B4949" t="inlineStr">
        <is>
          <t>avverkningsanmälan</t>
        </is>
      </c>
      <c r="C4949" t="inlineStr">
        <is>
          <t>Föryngringsavverkning</t>
        </is>
      </c>
      <c r="D4949" s="1" t="n">
        <v>45362</v>
      </c>
      <c r="E4949" s="1" t="n">
        <v>46323</v>
      </c>
      <c r="F4949" t="inlineStr">
        <is>
          <t>KALMAR LÄN</t>
        </is>
      </c>
      <c r="G4949" t="inlineStr">
        <is>
          <t>TORSÅS</t>
        </is>
      </c>
      <c r="I4949" t="n">
        <v>1.5</v>
      </c>
      <c r="J4949" t="n">
        <v>0</v>
      </c>
      <c r="K4949" t="n">
        <v>0</v>
      </c>
      <c r="L4949" t="n">
        <v>0</v>
      </c>
      <c r="M4949" t="n">
        <v>0</v>
      </c>
      <c r="N4949" t="n">
        <v>0</v>
      </c>
      <c r="O4949" t="n">
        <v>0</v>
      </c>
      <c r="P4949" t="n">
        <v>0</v>
      </c>
      <c r="Q4949" t="n">
        <v>0</v>
      </c>
      <c r="R4949" t="n">
        <v>0</v>
      </c>
      <c r="S4949" t="n">
        <v>0</v>
      </c>
      <c r="T4949" t="n">
        <v>0</v>
      </c>
      <c r="U4949" t="n">
        <v>0</v>
      </c>
      <c r="V4949" s="2" t="inlineStr"/>
    </row>
    <row r="4950" ht="15" customHeight="1">
      <c r="A4950" t="inlineStr">
        <is>
          <t>A 9683-2024</t>
        </is>
      </c>
      <c r="B4950" t="inlineStr">
        <is>
          <t>avverkningsanmälan</t>
        </is>
      </c>
      <c r="C4950" t="inlineStr">
        <is>
          <t>Föryngringsavverkning</t>
        </is>
      </c>
      <c r="D4950" s="1" t="n">
        <v>45362</v>
      </c>
      <c r="E4950" s="1" t="n">
        <v>46323</v>
      </c>
      <c r="F4950" t="inlineStr">
        <is>
          <t>KALMAR LÄN</t>
        </is>
      </c>
      <c r="G4950" t="inlineStr">
        <is>
          <t>TORSÅS</t>
        </is>
      </c>
      <c r="I4950" t="n">
        <v>3.6</v>
      </c>
      <c r="J4950" t="n">
        <v>0</v>
      </c>
      <c r="K4950" t="n">
        <v>0</v>
      </c>
      <c r="L4950" t="n">
        <v>0</v>
      </c>
      <c r="M4950" t="n">
        <v>0</v>
      </c>
      <c r="N4950" t="n">
        <v>0</v>
      </c>
      <c r="O4950" t="n">
        <v>0</v>
      </c>
      <c r="P4950" t="n">
        <v>0</v>
      </c>
      <c r="Q4950" t="n">
        <v>0</v>
      </c>
      <c r="R4950" t="n">
        <v>0</v>
      </c>
      <c r="S4950" t="n">
        <v>0</v>
      </c>
      <c r="T4950" t="n">
        <v>0</v>
      </c>
      <c r="U4950" t="n">
        <v>0</v>
      </c>
      <c r="V4950" s="2" t="inlineStr"/>
    </row>
    <row r="4951" ht="15" customHeight="1">
      <c r="A4951" t="inlineStr">
        <is>
          <t>A 68947-2021</t>
        </is>
      </c>
      <c r="B4951" t="inlineStr">
        <is>
          <t>avverkningsanmälan</t>
        </is>
      </c>
      <c r="C4951" t="inlineStr">
        <is>
          <t>Föryngringsavverkning</t>
        </is>
      </c>
      <c r="D4951" s="1" t="n">
        <v>44530</v>
      </c>
      <c r="E4951" s="1" t="n">
        <v>46323</v>
      </c>
      <c r="F4951" t="inlineStr">
        <is>
          <t>KALMAR LÄN</t>
        </is>
      </c>
      <c r="G4951" t="inlineStr">
        <is>
          <t>EMMABODA</t>
        </is>
      </c>
      <c r="I4951" t="n">
        <v>1.3</v>
      </c>
      <c r="J4951" t="n">
        <v>0</v>
      </c>
      <c r="K4951" t="n">
        <v>0</v>
      </c>
      <c r="L4951" t="n">
        <v>0</v>
      </c>
      <c r="M4951" t="n">
        <v>0</v>
      </c>
      <c r="N4951" t="n">
        <v>0</v>
      </c>
      <c r="O4951" t="n">
        <v>0</v>
      </c>
      <c r="P4951" t="n">
        <v>0</v>
      </c>
      <c r="Q4951" t="n">
        <v>0</v>
      </c>
      <c r="R4951" t="n">
        <v>0</v>
      </c>
      <c r="S4951" t="n">
        <v>0</v>
      </c>
      <c r="T4951" t="n">
        <v>0</v>
      </c>
      <c r="U4951" t="n">
        <v>0</v>
      </c>
      <c r="V4951" s="2" t="inlineStr"/>
    </row>
    <row r="4952" ht="15" customHeight="1">
      <c r="A4952" t="inlineStr">
        <is>
          <t>A 53502-2022</t>
        </is>
      </c>
      <c r="B4952" t="inlineStr">
        <is>
          <t>avverkningsanmälan</t>
        </is>
      </c>
      <c r="C4952" t="inlineStr">
        <is>
          <t>Föryngringsavverkning</t>
        </is>
      </c>
      <c r="D4952" s="1" t="n">
        <v>44879</v>
      </c>
      <c r="E4952" s="1" t="n">
        <v>46323</v>
      </c>
      <c r="F4952" t="inlineStr">
        <is>
          <t>KALMAR LÄN</t>
        </is>
      </c>
      <c r="G4952" t="inlineStr">
        <is>
          <t>MÖNSTERÅS</t>
        </is>
      </c>
      <c r="I4952" t="n">
        <v>9.6</v>
      </c>
      <c r="J4952" t="n">
        <v>0</v>
      </c>
      <c r="K4952" t="n">
        <v>0</v>
      </c>
      <c r="L4952" t="n">
        <v>0</v>
      </c>
      <c r="M4952" t="n">
        <v>0</v>
      </c>
      <c r="N4952" t="n">
        <v>0</v>
      </c>
      <c r="O4952" t="n">
        <v>0</v>
      </c>
      <c r="P4952" t="n">
        <v>0</v>
      </c>
      <c r="Q4952" t="n">
        <v>0</v>
      </c>
      <c r="R4952" t="n">
        <v>0</v>
      </c>
      <c r="S4952" t="n">
        <v>0</v>
      </c>
      <c r="T4952" t="n">
        <v>0</v>
      </c>
      <c r="U4952" t="n">
        <v>0</v>
      </c>
      <c r="V4952" s="2" t="inlineStr"/>
    </row>
    <row r="4953" ht="15" customHeight="1">
      <c r="A4953" t="inlineStr">
        <is>
          <t>A 3565-2022</t>
        </is>
      </c>
      <c r="B4953" t="inlineStr">
        <is>
          <t>avverkningsanmälan</t>
        </is>
      </c>
      <c r="C4953" t="inlineStr">
        <is>
          <t>Föryngringsavverkning</t>
        </is>
      </c>
      <c r="D4953" s="1" t="n">
        <v>44585</v>
      </c>
      <c r="E4953" s="1" t="n">
        <v>46323</v>
      </c>
      <c r="F4953" t="inlineStr">
        <is>
          <t>KALMAR LÄN</t>
        </is>
      </c>
      <c r="G4953" t="inlineStr">
        <is>
          <t>OSKARSHAMN</t>
        </is>
      </c>
      <c r="I4953" t="n">
        <v>1.9</v>
      </c>
      <c r="J4953" t="n">
        <v>0</v>
      </c>
      <c r="K4953" t="n">
        <v>0</v>
      </c>
      <c r="L4953" t="n">
        <v>0</v>
      </c>
      <c r="M4953" t="n">
        <v>0</v>
      </c>
      <c r="N4953" t="n">
        <v>0</v>
      </c>
      <c r="O4953" t="n">
        <v>0</v>
      </c>
      <c r="P4953" t="n">
        <v>0</v>
      </c>
      <c r="Q4953" t="n">
        <v>0</v>
      </c>
      <c r="R4953" t="n">
        <v>0</v>
      </c>
      <c r="S4953" t="n">
        <v>0</v>
      </c>
      <c r="T4953" t="n">
        <v>0</v>
      </c>
      <c r="U4953" t="n">
        <v>0</v>
      </c>
      <c r="V4953" s="2" t="inlineStr"/>
    </row>
    <row r="4954" ht="15" customHeight="1">
      <c r="A4954" t="inlineStr">
        <is>
          <t>A 3666-2022</t>
        </is>
      </c>
      <c r="B4954" t="inlineStr">
        <is>
          <t>avverkningsanmälan</t>
        </is>
      </c>
      <c r="C4954" t="inlineStr">
        <is>
          <t>Föryngringsavverkning</t>
        </is>
      </c>
      <c r="D4954" s="1" t="n">
        <v>44586</v>
      </c>
      <c r="E4954" s="1" t="n">
        <v>46323</v>
      </c>
      <c r="F4954" t="inlineStr">
        <is>
          <t>KALMAR LÄN</t>
        </is>
      </c>
      <c r="G4954" t="inlineStr">
        <is>
          <t>EMMABODA</t>
        </is>
      </c>
      <c r="I4954" t="n">
        <v>1.7</v>
      </c>
      <c r="J4954" t="n">
        <v>0</v>
      </c>
      <c r="K4954" t="n">
        <v>0</v>
      </c>
      <c r="L4954" t="n">
        <v>0</v>
      </c>
      <c r="M4954" t="n">
        <v>0</v>
      </c>
      <c r="N4954" t="n">
        <v>0</v>
      </c>
      <c r="O4954" t="n">
        <v>0</v>
      </c>
      <c r="P4954" t="n">
        <v>0</v>
      </c>
      <c r="Q4954" t="n">
        <v>0</v>
      </c>
      <c r="R4954" t="n">
        <v>0</v>
      </c>
      <c r="S4954" t="n">
        <v>0</v>
      </c>
      <c r="T4954" t="n">
        <v>0</v>
      </c>
      <c r="U4954" t="n">
        <v>0</v>
      </c>
      <c r="V4954" s="2" t="inlineStr"/>
    </row>
    <row r="4955" ht="15" customHeight="1">
      <c r="A4955" t="inlineStr">
        <is>
          <t>A 15246-2022</t>
        </is>
      </c>
      <c r="B4955" t="inlineStr">
        <is>
          <t>avverkningsanmälan</t>
        </is>
      </c>
      <c r="C4955" t="inlineStr">
        <is>
          <t>Föryngringsavverkning</t>
        </is>
      </c>
      <c r="D4955" s="1" t="n">
        <v>44658</v>
      </c>
      <c r="E4955" s="1" t="n">
        <v>46323</v>
      </c>
      <c r="F4955" t="inlineStr">
        <is>
          <t>KALMAR LÄN</t>
        </is>
      </c>
      <c r="G4955" t="inlineStr">
        <is>
          <t>KALMAR</t>
        </is>
      </c>
      <c r="I4955" t="n">
        <v>2.2</v>
      </c>
      <c r="J4955" t="n">
        <v>0</v>
      </c>
      <c r="K4955" t="n">
        <v>0</v>
      </c>
      <c r="L4955" t="n">
        <v>0</v>
      </c>
      <c r="M4955" t="n">
        <v>0</v>
      </c>
      <c r="N4955" t="n">
        <v>0</v>
      </c>
      <c r="O4955" t="n">
        <v>0</v>
      </c>
      <c r="P4955" t="n">
        <v>0</v>
      </c>
      <c r="Q4955" t="n">
        <v>0</v>
      </c>
      <c r="R4955" t="n">
        <v>0</v>
      </c>
      <c r="S4955" t="n">
        <v>0</v>
      </c>
      <c r="T4955" t="n">
        <v>0</v>
      </c>
      <c r="U4955" t="n">
        <v>0</v>
      </c>
      <c r="V4955" s="2" t="inlineStr"/>
    </row>
    <row r="4956" ht="15" customHeight="1">
      <c r="A4956" t="inlineStr">
        <is>
          <t>A 17090-2026</t>
        </is>
      </c>
      <c r="B4956" t="inlineStr">
        <is>
          <t>avverkningsanmälan</t>
        </is>
      </c>
      <c r="C4956" t="inlineStr">
        <is>
          <t>Föryngringsavverkning</t>
        </is>
      </c>
      <c r="D4956" s="1" t="n">
        <v>46114</v>
      </c>
      <c r="E4956" s="1" t="n">
        <v>46323</v>
      </c>
      <c r="F4956" t="inlineStr">
        <is>
          <t>KALMAR LÄN</t>
        </is>
      </c>
      <c r="G4956" t="inlineStr">
        <is>
          <t>HÖGSBY</t>
        </is>
      </c>
      <c r="I4956" t="n">
        <v>2.7</v>
      </c>
      <c r="J4956" t="n">
        <v>0</v>
      </c>
      <c r="K4956" t="n">
        <v>0</v>
      </c>
      <c r="L4956" t="n">
        <v>0</v>
      </c>
      <c r="M4956" t="n">
        <v>0</v>
      </c>
      <c r="N4956" t="n">
        <v>0</v>
      </c>
      <c r="O4956" t="n">
        <v>0</v>
      </c>
      <c r="P4956" t="n">
        <v>0</v>
      </c>
      <c r="Q4956" t="n">
        <v>0</v>
      </c>
      <c r="R4956" t="n">
        <v>0</v>
      </c>
      <c r="S4956" t="n">
        <v>0</v>
      </c>
      <c r="T4956" t="n">
        <v>0</v>
      </c>
      <c r="U4956" t="n">
        <v>0</v>
      </c>
      <c r="V4956" s="2" t="inlineStr"/>
    </row>
    <row r="4957" ht="15" customHeight="1">
      <c r="A4957" t="inlineStr">
        <is>
          <t>A 14855-2025</t>
        </is>
      </c>
      <c r="B4957" t="inlineStr">
        <is>
          <t>avverkningsanmälan</t>
        </is>
      </c>
      <c r="C4957" t="inlineStr">
        <is>
          <t>Föryngringsavverkning</t>
        </is>
      </c>
      <c r="D4957" s="1" t="n">
        <v>45743</v>
      </c>
      <c r="E4957" s="1" t="n">
        <v>46323</v>
      </c>
      <c r="F4957" t="inlineStr">
        <is>
          <t>KALMAR LÄN</t>
        </is>
      </c>
      <c r="G4957" t="inlineStr">
        <is>
          <t>VIMMERBY</t>
        </is>
      </c>
      <c r="I4957" t="n">
        <v>1.2</v>
      </c>
      <c r="J4957" t="n">
        <v>0</v>
      </c>
      <c r="K4957" t="n">
        <v>0</v>
      </c>
      <c r="L4957" t="n">
        <v>0</v>
      </c>
      <c r="M4957" t="n">
        <v>0</v>
      </c>
      <c r="N4957" t="n">
        <v>0</v>
      </c>
      <c r="O4957" t="n">
        <v>0</v>
      </c>
      <c r="P4957" t="n">
        <v>0</v>
      </c>
      <c r="Q4957" t="n">
        <v>0</v>
      </c>
      <c r="R4957" t="n">
        <v>0</v>
      </c>
      <c r="S4957" t="n">
        <v>0</v>
      </c>
      <c r="T4957" t="n">
        <v>0</v>
      </c>
      <c r="U4957" t="n">
        <v>0</v>
      </c>
      <c r="V4957" s="2" t="inlineStr"/>
    </row>
    <row r="4958" ht="15" customHeight="1">
      <c r="A4958" t="inlineStr">
        <is>
          <t>A 60951-2023</t>
        </is>
      </c>
      <c r="B4958" t="inlineStr">
        <is>
          <t>avverkningsanmälan</t>
        </is>
      </c>
      <c r="C4958" t="inlineStr">
        <is>
          <t>Föryngringsavverkning</t>
        </is>
      </c>
      <c r="D4958" s="1" t="n">
        <v>45261</v>
      </c>
      <c r="E4958" s="1" t="n">
        <v>46323</v>
      </c>
      <c r="F4958" t="inlineStr">
        <is>
          <t>KALMAR LÄN</t>
        </is>
      </c>
      <c r="G4958" t="inlineStr">
        <is>
          <t>VIMMERBY</t>
        </is>
      </c>
      <c r="I4958" t="n">
        <v>4.3</v>
      </c>
      <c r="J4958" t="n">
        <v>0</v>
      </c>
      <c r="K4958" t="n">
        <v>0</v>
      </c>
      <c r="L4958" t="n">
        <v>0</v>
      </c>
      <c r="M4958" t="n">
        <v>0</v>
      </c>
      <c r="N4958" t="n">
        <v>0</v>
      </c>
      <c r="O4958" t="n">
        <v>0</v>
      </c>
      <c r="P4958" t="n">
        <v>0</v>
      </c>
      <c r="Q4958" t="n">
        <v>0</v>
      </c>
      <c r="R4958" t="n">
        <v>0</v>
      </c>
      <c r="S4958" t="n">
        <v>0</v>
      </c>
      <c r="T4958" t="n">
        <v>0</v>
      </c>
      <c r="U4958" t="n">
        <v>0</v>
      </c>
      <c r="V4958" s="2" t="inlineStr"/>
    </row>
    <row r="4959" ht="15" customHeight="1">
      <c r="A4959" t="inlineStr">
        <is>
          <t>A 53367-2022</t>
        </is>
      </c>
      <c r="B4959" t="inlineStr">
        <is>
          <t>avverkningsanmälan</t>
        </is>
      </c>
      <c r="C4959" t="inlineStr">
        <is>
          <t>Föryngringsavverkning</t>
        </is>
      </c>
      <c r="D4959" s="1" t="n">
        <v>44879</v>
      </c>
      <c r="E4959" s="1" t="n">
        <v>46323</v>
      </c>
      <c r="F4959" t="inlineStr">
        <is>
          <t>KALMAR LÄN</t>
        </is>
      </c>
      <c r="G4959" t="inlineStr">
        <is>
          <t>TORSÅS</t>
        </is>
      </c>
      <c r="I4959" t="n">
        <v>1</v>
      </c>
      <c r="J4959" t="n">
        <v>0</v>
      </c>
      <c r="K4959" t="n">
        <v>0</v>
      </c>
      <c r="L4959" t="n">
        <v>0</v>
      </c>
      <c r="M4959" t="n">
        <v>0</v>
      </c>
      <c r="N4959" t="n">
        <v>0</v>
      </c>
      <c r="O4959" t="n">
        <v>0</v>
      </c>
      <c r="P4959" t="n">
        <v>0</v>
      </c>
      <c r="Q4959" t="n">
        <v>0</v>
      </c>
      <c r="R4959" t="n">
        <v>0</v>
      </c>
      <c r="S4959" t="n">
        <v>0</v>
      </c>
      <c r="T4959" t="n">
        <v>0</v>
      </c>
      <c r="U4959" t="n">
        <v>0</v>
      </c>
      <c r="V4959" s="2" t="inlineStr"/>
    </row>
    <row r="4960" ht="15" customHeight="1">
      <c r="A4960" t="inlineStr">
        <is>
          <t>A 49486-2022</t>
        </is>
      </c>
      <c r="B4960" t="inlineStr">
        <is>
          <t>avverkningsanmälan</t>
        </is>
      </c>
      <c r="C4960" t="inlineStr">
        <is>
          <t>Föryngringsavverkning</t>
        </is>
      </c>
      <c r="D4960" s="1" t="n">
        <v>44861</v>
      </c>
      <c r="E4960" s="1" t="n">
        <v>46323</v>
      </c>
      <c r="F4960" t="inlineStr">
        <is>
          <t>KALMAR LÄN</t>
        </is>
      </c>
      <c r="G4960" t="inlineStr">
        <is>
          <t>HÖGSBY</t>
        </is>
      </c>
      <c r="I4960" t="n">
        <v>1.9</v>
      </c>
      <c r="J4960" t="n">
        <v>0</v>
      </c>
      <c r="K4960" t="n">
        <v>0</v>
      </c>
      <c r="L4960" t="n">
        <v>0</v>
      </c>
      <c r="M4960" t="n">
        <v>0</v>
      </c>
      <c r="N4960" t="n">
        <v>0</v>
      </c>
      <c r="O4960" t="n">
        <v>0</v>
      </c>
      <c r="P4960" t="n">
        <v>0</v>
      </c>
      <c r="Q4960" t="n">
        <v>0</v>
      </c>
      <c r="R4960" t="n">
        <v>0</v>
      </c>
      <c r="S4960" t="n">
        <v>0</v>
      </c>
      <c r="T4960" t="n">
        <v>0</v>
      </c>
      <c r="U4960" t="n">
        <v>0</v>
      </c>
      <c r="V4960" s="2" t="inlineStr"/>
    </row>
    <row r="4961" ht="15" customHeight="1">
      <c r="A4961" t="inlineStr">
        <is>
          <t>A 17352-2026</t>
        </is>
      </c>
      <c r="B4961" t="inlineStr">
        <is>
          <t>avverkningsanmälan</t>
        </is>
      </c>
      <c r="C4961" t="inlineStr">
        <is>
          <t>Föryngringsavverkning</t>
        </is>
      </c>
      <c r="D4961" s="1" t="n">
        <v>46119</v>
      </c>
      <c r="E4961" s="1" t="n">
        <v>46323</v>
      </c>
      <c r="F4961" t="inlineStr">
        <is>
          <t>KALMAR LÄN</t>
        </is>
      </c>
      <c r="G4961" t="inlineStr">
        <is>
          <t>KALMAR</t>
        </is>
      </c>
      <c r="I4961" t="n">
        <v>3.8</v>
      </c>
      <c r="J4961" t="n">
        <v>0</v>
      </c>
      <c r="K4961" t="n">
        <v>0</v>
      </c>
      <c r="L4961" t="n">
        <v>0</v>
      </c>
      <c r="M4961" t="n">
        <v>0</v>
      </c>
      <c r="N4961" t="n">
        <v>0</v>
      </c>
      <c r="O4961" t="n">
        <v>0</v>
      </c>
      <c r="P4961" t="n">
        <v>0</v>
      </c>
      <c r="Q4961" t="n">
        <v>0</v>
      </c>
      <c r="R4961" t="n">
        <v>0</v>
      </c>
      <c r="S4961" t="n">
        <v>0</v>
      </c>
      <c r="T4961" t="n">
        <v>0</v>
      </c>
      <c r="U4961" t="n">
        <v>0</v>
      </c>
      <c r="V4961" s="2" t="inlineStr"/>
    </row>
    <row r="4962" ht="15" customHeight="1">
      <c r="A4962" t="inlineStr">
        <is>
          <t>A 34290-2026</t>
        </is>
      </c>
      <c r="B4962" t="inlineStr">
        <is>
          <t>avverkningsanmälan</t>
        </is>
      </c>
      <c r="C4962" t="inlineStr">
        <is>
          <t>Föryngringsavverkning</t>
        </is>
      </c>
      <c r="D4962" s="1" t="n">
        <v>46253</v>
      </c>
      <c r="E4962" s="1" t="n">
        <v>46323</v>
      </c>
      <c r="F4962" t="inlineStr">
        <is>
          <t>KALMAR LÄN</t>
        </is>
      </c>
      <c r="G4962" t="inlineStr">
        <is>
          <t>VIMMERBY</t>
        </is>
      </c>
      <c r="I4962" t="n">
        <v>0.5</v>
      </c>
      <c r="J4962" t="n">
        <v>0</v>
      </c>
      <c r="K4962" t="n">
        <v>0</v>
      </c>
      <c r="L4962" t="n">
        <v>0</v>
      </c>
      <c r="M4962" t="n">
        <v>0</v>
      </c>
      <c r="N4962" t="n">
        <v>0</v>
      </c>
      <c r="O4962" t="n">
        <v>0</v>
      </c>
      <c r="P4962" t="n">
        <v>0</v>
      </c>
      <c r="Q4962" t="n">
        <v>0</v>
      </c>
      <c r="R4962" t="n">
        <v>0</v>
      </c>
      <c r="S4962" t="n">
        <v>0</v>
      </c>
      <c r="T4962" t="n">
        <v>0</v>
      </c>
      <c r="U4962" t="n">
        <v>0</v>
      </c>
      <c r="V4962" s="2" t="inlineStr"/>
    </row>
    <row r="4963" ht="15" customHeight="1">
      <c r="A4963" t="inlineStr">
        <is>
          <t>A 46596-2022</t>
        </is>
      </c>
      <c r="B4963" t="inlineStr">
        <is>
          <t>avverkningsanmälan</t>
        </is>
      </c>
      <c r="C4963" t="inlineStr">
        <is>
          <t>Föryngringsavverkning</t>
        </is>
      </c>
      <c r="D4963" s="1" t="n">
        <v>44848</v>
      </c>
      <c r="E4963" s="1" t="n">
        <v>46323</v>
      </c>
      <c r="F4963" t="inlineStr">
        <is>
          <t>KALMAR LÄN</t>
        </is>
      </c>
      <c r="G4963" t="inlineStr">
        <is>
          <t>VÄSTERVIK</t>
        </is>
      </c>
      <c r="I4963" t="n">
        <v>3.9</v>
      </c>
      <c r="J4963" t="n">
        <v>0</v>
      </c>
      <c r="K4963" t="n">
        <v>0</v>
      </c>
      <c r="L4963" t="n">
        <v>0</v>
      </c>
      <c r="M4963" t="n">
        <v>0</v>
      </c>
      <c r="N4963" t="n">
        <v>0</v>
      </c>
      <c r="O4963" t="n">
        <v>0</v>
      </c>
      <c r="P4963" t="n">
        <v>0</v>
      </c>
      <c r="Q4963" t="n">
        <v>0</v>
      </c>
      <c r="R4963" t="n">
        <v>0</v>
      </c>
      <c r="S4963" t="n">
        <v>0</v>
      </c>
      <c r="T4963" t="n">
        <v>0</v>
      </c>
      <c r="U4963" t="n">
        <v>0</v>
      </c>
      <c r="V4963" s="2" t="inlineStr"/>
    </row>
    <row r="4964" ht="15" customHeight="1">
      <c r="A4964" t="inlineStr">
        <is>
          <t>A 8479-2022</t>
        </is>
      </c>
      <c r="B4964" t="inlineStr">
        <is>
          <t>avverkningsanmälan</t>
        </is>
      </c>
      <c r="C4964" t="inlineStr">
        <is>
          <t>Föryngringsavverkning</t>
        </is>
      </c>
      <c r="D4964" s="1" t="n">
        <v>44613</v>
      </c>
      <c r="E4964" s="1" t="n">
        <v>46323</v>
      </c>
      <c r="F4964" t="inlineStr">
        <is>
          <t>KALMAR LÄN</t>
        </is>
      </c>
      <c r="G4964" t="inlineStr">
        <is>
          <t>TORSÅS</t>
        </is>
      </c>
      <c r="I4964" t="n">
        <v>1.2</v>
      </c>
      <c r="J4964" t="n">
        <v>0</v>
      </c>
      <c r="K4964" t="n">
        <v>0</v>
      </c>
      <c r="L4964" t="n">
        <v>0</v>
      </c>
      <c r="M4964" t="n">
        <v>0</v>
      </c>
      <c r="N4964" t="n">
        <v>0</v>
      </c>
      <c r="O4964" t="n">
        <v>0</v>
      </c>
      <c r="P4964" t="n">
        <v>0</v>
      </c>
      <c r="Q4964" t="n">
        <v>0</v>
      </c>
      <c r="R4964" t="n">
        <v>0</v>
      </c>
      <c r="S4964" t="n">
        <v>0</v>
      </c>
      <c r="T4964" t="n">
        <v>0</v>
      </c>
      <c r="U4964" t="n">
        <v>0</v>
      </c>
      <c r="V4964" s="2" t="inlineStr"/>
    </row>
    <row r="4965" ht="15" customHeight="1">
      <c r="A4965" t="inlineStr">
        <is>
          <t>A 19162-2023</t>
        </is>
      </c>
      <c r="B4965" t="inlineStr">
        <is>
          <t>avverkningsanmälan</t>
        </is>
      </c>
      <c r="C4965" t="inlineStr">
        <is>
          <t>Föryngringsavverkning</t>
        </is>
      </c>
      <c r="D4965" s="1" t="n">
        <v>45048</v>
      </c>
      <c r="E4965" s="1" t="n">
        <v>46323</v>
      </c>
      <c r="F4965" t="inlineStr">
        <is>
          <t>KALMAR LÄN</t>
        </is>
      </c>
      <c r="G4965" t="inlineStr">
        <is>
          <t>VIMMERBY</t>
        </is>
      </c>
      <c r="I4965" t="n">
        <v>0.6</v>
      </c>
      <c r="J4965" t="n">
        <v>0</v>
      </c>
      <c r="K4965" t="n">
        <v>0</v>
      </c>
      <c r="L4965" t="n">
        <v>0</v>
      </c>
      <c r="M4965" t="n">
        <v>0</v>
      </c>
      <c r="N4965" t="n">
        <v>0</v>
      </c>
      <c r="O4965" t="n">
        <v>0</v>
      </c>
      <c r="P4965" t="n">
        <v>0</v>
      </c>
      <c r="Q4965" t="n">
        <v>0</v>
      </c>
      <c r="R4965" t="n">
        <v>0</v>
      </c>
      <c r="S4965" t="n">
        <v>0</v>
      </c>
      <c r="T4965" t="n">
        <v>0</v>
      </c>
      <c r="U4965" t="n">
        <v>0</v>
      </c>
      <c r="V4965" s="2" t="inlineStr"/>
    </row>
    <row r="4966" ht="15" customHeight="1">
      <c r="A4966" t="inlineStr">
        <is>
          <t>A 40808-2026</t>
        </is>
      </c>
      <c r="B4966" t="inlineStr">
        <is>
          <t>avverkningsanmälan</t>
        </is>
      </c>
      <c r="C4966" t="inlineStr">
        <is>
          <t>Föryngringsavverkning</t>
        </is>
      </c>
      <c r="D4966" s="1" t="n">
        <v>46296</v>
      </c>
      <c r="E4966" s="1" t="n">
        <v>46323</v>
      </c>
      <c r="F4966" t="inlineStr">
        <is>
          <t>KALMAR LÄN</t>
        </is>
      </c>
      <c r="G4966" t="inlineStr">
        <is>
          <t>HULTSFRED</t>
        </is>
      </c>
      <c r="H4966" t="inlineStr">
        <is>
          <t>Kyrkan</t>
        </is>
      </c>
      <c r="I4966" t="n">
        <v>4.8</v>
      </c>
      <c r="J4966" t="n">
        <v>0</v>
      </c>
      <c r="K4966" t="n">
        <v>0</v>
      </c>
      <c r="L4966" t="n">
        <v>0</v>
      </c>
      <c r="M4966" t="n">
        <v>0</v>
      </c>
      <c r="N4966" t="n">
        <v>0</v>
      </c>
      <c r="O4966" t="n">
        <v>0</v>
      </c>
      <c r="P4966" t="n">
        <v>0</v>
      </c>
      <c r="Q4966" t="n">
        <v>0</v>
      </c>
      <c r="R4966" t="n">
        <v>0</v>
      </c>
      <c r="S4966" t="n">
        <v>0</v>
      </c>
      <c r="T4966" t="n">
        <v>0</v>
      </c>
      <c r="U4966" t="n">
        <v>0</v>
      </c>
      <c r="V4966" s="2" t="inlineStr"/>
    </row>
    <row r="4967" ht="15" customHeight="1">
      <c r="A4967" t="inlineStr">
        <is>
          <t>A 40812-2026</t>
        </is>
      </c>
      <c r="B4967" t="inlineStr">
        <is>
          <t>avverkningsanmälan</t>
        </is>
      </c>
      <c r="C4967" t="inlineStr">
        <is>
          <t>Föryngringsavverkning</t>
        </is>
      </c>
      <c r="D4967" s="1" t="n">
        <v>46296</v>
      </c>
      <c r="E4967" s="1" t="n">
        <v>46323</v>
      </c>
      <c r="F4967" t="inlineStr">
        <is>
          <t>KALMAR LÄN</t>
        </is>
      </c>
      <c r="G4967" t="inlineStr">
        <is>
          <t>VIMMERBY</t>
        </is>
      </c>
      <c r="I4967" t="n">
        <v>0.7</v>
      </c>
      <c r="J4967" t="n">
        <v>0</v>
      </c>
      <c r="K4967" t="n">
        <v>0</v>
      </c>
      <c r="L4967" t="n">
        <v>0</v>
      </c>
      <c r="M4967" t="n">
        <v>0</v>
      </c>
      <c r="N4967" t="n">
        <v>0</v>
      </c>
      <c r="O4967" t="n">
        <v>0</v>
      </c>
      <c r="P4967" t="n">
        <v>0</v>
      </c>
      <c r="Q4967" t="n">
        <v>0</v>
      </c>
      <c r="R4967" t="n">
        <v>0</v>
      </c>
      <c r="S4967" t="n">
        <v>0</v>
      </c>
      <c r="T4967" t="n">
        <v>0</v>
      </c>
      <c r="U4967" t="n">
        <v>0</v>
      </c>
      <c r="V4967" s="2" t="inlineStr"/>
    </row>
    <row r="4968" ht="15" customHeight="1">
      <c r="A4968" t="inlineStr">
        <is>
          <t>A 34260-2026</t>
        </is>
      </c>
      <c r="B4968" t="inlineStr">
        <is>
          <t>avverkningsanmälan</t>
        </is>
      </c>
      <c r="C4968" t="inlineStr">
        <is>
          <t>Föryngringsavverkning</t>
        </is>
      </c>
      <c r="D4968" s="1" t="n">
        <v>46253</v>
      </c>
      <c r="E4968" s="1" t="n">
        <v>46323</v>
      </c>
      <c r="F4968" t="inlineStr">
        <is>
          <t>KALMAR LÄN</t>
        </is>
      </c>
      <c r="G4968" t="inlineStr">
        <is>
          <t>NYBRO</t>
        </is>
      </c>
      <c r="H4968" t="inlineStr">
        <is>
          <t>Sveaskog</t>
        </is>
      </c>
      <c r="I4968" t="n">
        <v>10.8</v>
      </c>
      <c r="J4968" t="n">
        <v>0</v>
      </c>
      <c r="K4968" t="n">
        <v>0</v>
      </c>
      <c r="L4968" t="n">
        <v>0</v>
      </c>
      <c r="M4968" t="n">
        <v>0</v>
      </c>
      <c r="N4968" t="n">
        <v>0</v>
      </c>
      <c r="O4968" t="n">
        <v>0</v>
      </c>
      <c r="P4968" t="n">
        <v>0</v>
      </c>
      <c r="Q4968" t="n">
        <v>0</v>
      </c>
      <c r="R4968" t="n">
        <v>0</v>
      </c>
      <c r="S4968" t="n">
        <v>0</v>
      </c>
      <c r="T4968" t="n">
        <v>0</v>
      </c>
      <c r="U4968" t="n">
        <v>0</v>
      </c>
      <c r="V4968" s="2" t="inlineStr"/>
    </row>
    <row r="4969" ht="15" customHeight="1">
      <c r="A4969" t="inlineStr">
        <is>
          <t>A 34289-2026</t>
        </is>
      </c>
      <c r="B4969" t="inlineStr">
        <is>
          <t>avverkningsanmälan</t>
        </is>
      </c>
      <c r="C4969" t="inlineStr">
        <is>
          <t>Föryngringsavverkning</t>
        </is>
      </c>
      <c r="D4969" s="1" t="n">
        <v>46253</v>
      </c>
      <c r="E4969" s="1" t="n">
        <v>46323</v>
      </c>
      <c r="F4969" t="inlineStr">
        <is>
          <t>KALMAR LÄN</t>
        </is>
      </c>
      <c r="G4969" t="inlineStr">
        <is>
          <t>VIMMERBY</t>
        </is>
      </c>
      <c r="I4969" t="n">
        <v>2.4</v>
      </c>
      <c r="J4969" t="n">
        <v>0</v>
      </c>
      <c r="K4969" t="n">
        <v>0</v>
      </c>
      <c r="L4969" t="n">
        <v>0</v>
      </c>
      <c r="M4969" t="n">
        <v>0</v>
      </c>
      <c r="N4969" t="n">
        <v>0</v>
      </c>
      <c r="O4969" t="n">
        <v>0</v>
      </c>
      <c r="P4969" t="n">
        <v>0</v>
      </c>
      <c r="Q4969" t="n">
        <v>0</v>
      </c>
      <c r="R4969" t="n">
        <v>0</v>
      </c>
      <c r="S4969" t="n">
        <v>0</v>
      </c>
      <c r="T4969" t="n">
        <v>0</v>
      </c>
      <c r="U4969" t="n">
        <v>0</v>
      </c>
      <c r="V4969" s="2" t="inlineStr"/>
    </row>
    <row r="4970" ht="15" customHeight="1">
      <c r="A4970" t="inlineStr">
        <is>
          <t>A 40618-2026</t>
        </is>
      </c>
      <c r="B4970" t="inlineStr">
        <is>
          <t>avverkningsanmälan</t>
        </is>
      </c>
      <c r="C4970" t="inlineStr">
        <is>
          <t>Föryngringsavverkning</t>
        </is>
      </c>
      <c r="D4970" s="1" t="n">
        <v>46295</v>
      </c>
      <c r="E4970" s="1" t="n">
        <v>46323</v>
      </c>
      <c r="F4970" t="inlineStr">
        <is>
          <t>KALMAR LÄN</t>
        </is>
      </c>
      <c r="G4970" t="inlineStr">
        <is>
          <t>VÄSTERVIK</t>
        </is>
      </c>
      <c r="H4970" t="inlineStr">
        <is>
          <t>Holmen skog AB</t>
        </is>
      </c>
      <c r="I4970" t="n">
        <v>3.2</v>
      </c>
      <c r="J4970" t="n">
        <v>0</v>
      </c>
      <c r="K4970" t="n">
        <v>0</v>
      </c>
      <c r="L4970" t="n">
        <v>0</v>
      </c>
      <c r="M4970" t="n">
        <v>0</v>
      </c>
      <c r="N4970" t="n">
        <v>0</v>
      </c>
      <c r="O4970" t="n">
        <v>0</v>
      </c>
      <c r="P4970" t="n">
        <v>0</v>
      </c>
      <c r="Q4970" t="n">
        <v>0</v>
      </c>
      <c r="R4970" t="n">
        <v>0</v>
      </c>
      <c r="S4970" t="n">
        <v>0</v>
      </c>
      <c r="T4970" t="n">
        <v>0</v>
      </c>
      <c r="U4970" t="n">
        <v>0</v>
      </c>
      <c r="V4970" s="2" t="inlineStr"/>
    </row>
    <row r="4971" ht="15" customHeight="1">
      <c r="A4971" t="inlineStr">
        <is>
          <t>A 17381-2026</t>
        </is>
      </c>
      <c r="B4971" t="inlineStr">
        <is>
          <t>avverkningsanmälan</t>
        </is>
      </c>
      <c r="C4971" t="inlineStr">
        <is>
          <t>Föryngringsavverkning</t>
        </is>
      </c>
      <c r="D4971" s="1" t="n">
        <v>46119</v>
      </c>
      <c r="E4971" s="1" t="n">
        <v>46323</v>
      </c>
      <c r="F4971" t="inlineStr">
        <is>
          <t>KALMAR LÄN</t>
        </is>
      </c>
      <c r="G4971" t="inlineStr">
        <is>
          <t>KALMAR</t>
        </is>
      </c>
      <c r="I4971" t="n">
        <v>2.5</v>
      </c>
      <c r="J4971" t="n">
        <v>0</v>
      </c>
      <c r="K4971" t="n">
        <v>0</v>
      </c>
      <c r="L4971" t="n">
        <v>0</v>
      </c>
      <c r="M4971" t="n">
        <v>0</v>
      </c>
      <c r="N4971" t="n">
        <v>0</v>
      </c>
      <c r="O4971" t="n">
        <v>0</v>
      </c>
      <c r="P4971" t="n">
        <v>0</v>
      </c>
      <c r="Q4971" t="n">
        <v>0</v>
      </c>
      <c r="R4971" t="n">
        <v>0</v>
      </c>
      <c r="S4971" t="n">
        <v>0</v>
      </c>
      <c r="T4971" t="n">
        <v>0</v>
      </c>
      <c r="U4971" t="n">
        <v>0</v>
      </c>
      <c r="V4971" s="2" t="inlineStr"/>
    </row>
    <row r="4972" ht="15" customHeight="1">
      <c r="A4972" t="inlineStr">
        <is>
          <t>A 51024-2022</t>
        </is>
      </c>
      <c r="B4972" t="inlineStr">
        <is>
          <t>avverkningsanmälan</t>
        </is>
      </c>
      <c r="C4972" t="inlineStr">
        <is>
          <t>Föryngringsavverkning</t>
        </is>
      </c>
      <c r="D4972" s="1" t="n">
        <v>44867</v>
      </c>
      <c r="E4972" s="1" t="n">
        <v>46323</v>
      </c>
      <c r="F4972" t="inlineStr">
        <is>
          <t>KALMAR LÄN</t>
        </is>
      </c>
      <c r="G4972" t="inlineStr">
        <is>
          <t>VÄSTERVIK</t>
        </is>
      </c>
      <c r="H4972" t="inlineStr">
        <is>
          <t>Holmen skog AB</t>
        </is>
      </c>
      <c r="I4972" t="n">
        <v>7.6</v>
      </c>
      <c r="J4972" t="n">
        <v>0</v>
      </c>
      <c r="K4972" t="n">
        <v>0</v>
      </c>
      <c r="L4972" t="n">
        <v>0</v>
      </c>
      <c r="M4972" t="n">
        <v>0</v>
      </c>
      <c r="N4972" t="n">
        <v>0</v>
      </c>
      <c r="O4972" t="n">
        <v>0</v>
      </c>
      <c r="P4972" t="n">
        <v>0</v>
      </c>
      <c r="Q4972" t="n">
        <v>0</v>
      </c>
      <c r="R4972" t="n">
        <v>0</v>
      </c>
      <c r="S4972" t="n">
        <v>0</v>
      </c>
      <c r="T4972" t="n">
        <v>0</v>
      </c>
      <c r="U4972" t="n">
        <v>0</v>
      </c>
      <c r="V4972" s="2" t="inlineStr"/>
    </row>
    <row r="4973" ht="15" customHeight="1">
      <c r="A4973" t="inlineStr">
        <is>
          <t>A 30148-2024</t>
        </is>
      </c>
      <c r="B4973" t="inlineStr">
        <is>
          <t>avverkningsanmälan</t>
        </is>
      </c>
      <c r="C4973" t="inlineStr">
        <is>
          <t>Föryngringsavverkning</t>
        </is>
      </c>
      <c r="D4973" s="1" t="n">
        <v>45489</v>
      </c>
      <c r="E4973" s="1" t="n">
        <v>46323</v>
      </c>
      <c r="F4973" t="inlineStr">
        <is>
          <t>KALMAR LÄN</t>
        </is>
      </c>
      <c r="G4973" t="inlineStr">
        <is>
          <t>VÄSTERVIK</t>
        </is>
      </c>
      <c r="I4973" t="n">
        <v>0.6</v>
      </c>
      <c r="J4973" t="n">
        <v>0</v>
      </c>
      <c r="K4973" t="n">
        <v>0</v>
      </c>
      <c r="L4973" t="n">
        <v>0</v>
      </c>
      <c r="M4973" t="n">
        <v>0</v>
      </c>
      <c r="N4973" t="n">
        <v>0</v>
      </c>
      <c r="O4973" t="n">
        <v>0</v>
      </c>
      <c r="P4973" t="n">
        <v>0</v>
      </c>
      <c r="Q4973" t="n">
        <v>0</v>
      </c>
      <c r="R4973" t="n">
        <v>0</v>
      </c>
      <c r="S4973" t="n">
        <v>0</v>
      </c>
      <c r="T4973" t="n">
        <v>0</v>
      </c>
      <c r="U4973" t="n">
        <v>0</v>
      </c>
      <c r="V4973" s="2" t="inlineStr"/>
    </row>
    <row r="4974" ht="15" customHeight="1">
      <c r="A4974" t="inlineStr">
        <is>
          <t>A 4387-2022</t>
        </is>
      </c>
      <c r="B4974" t="inlineStr">
        <is>
          <t>avverkningsanmälan</t>
        </is>
      </c>
      <c r="C4974" t="inlineStr">
        <is>
          <t>Föryngringsavverkning</t>
        </is>
      </c>
      <c r="D4974" s="1" t="n">
        <v>44589</v>
      </c>
      <c r="E4974" s="1" t="n">
        <v>46323</v>
      </c>
      <c r="F4974" t="inlineStr">
        <is>
          <t>KALMAR LÄN</t>
        </is>
      </c>
      <c r="G4974" t="inlineStr">
        <is>
          <t>EMMABODA</t>
        </is>
      </c>
      <c r="I4974" t="n">
        <v>0.7</v>
      </c>
      <c r="J4974" t="n">
        <v>0</v>
      </c>
      <c r="K4974" t="n">
        <v>0</v>
      </c>
      <c r="L4974" t="n">
        <v>0</v>
      </c>
      <c r="M4974" t="n">
        <v>0</v>
      </c>
      <c r="N4974" t="n">
        <v>0</v>
      </c>
      <c r="O4974" t="n">
        <v>0</v>
      </c>
      <c r="P4974" t="n">
        <v>0</v>
      </c>
      <c r="Q4974" t="n">
        <v>0</v>
      </c>
      <c r="R4974" t="n">
        <v>0</v>
      </c>
      <c r="S4974" t="n">
        <v>0</v>
      </c>
      <c r="T4974" t="n">
        <v>0</v>
      </c>
      <c r="U4974" t="n">
        <v>0</v>
      </c>
      <c r="V4974" s="2" t="inlineStr"/>
    </row>
    <row r="4975" ht="15" customHeight="1">
      <c r="A4975" t="inlineStr">
        <is>
          <t>A 26437-2023</t>
        </is>
      </c>
      <c r="B4975" t="inlineStr">
        <is>
          <t>avverkningsanmälan</t>
        </is>
      </c>
      <c r="C4975" t="inlineStr">
        <is>
          <t>Föryngringsavverkning</t>
        </is>
      </c>
      <c r="D4975" s="1" t="n">
        <v>45092</v>
      </c>
      <c r="E4975" s="1" t="n">
        <v>46323</v>
      </c>
      <c r="F4975" t="inlineStr">
        <is>
          <t>KALMAR LÄN</t>
        </is>
      </c>
      <c r="G4975" t="inlineStr">
        <is>
          <t>HULTSFRED</t>
        </is>
      </c>
      <c r="I4975" t="n">
        <v>1.1</v>
      </c>
      <c r="J4975" t="n">
        <v>0</v>
      </c>
      <c r="K4975" t="n">
        <v>0</v>
      </c>
      <c r="L4975" t="n">
        <v>0</v>
      </c>
      <c r="M4975" t="n">
        <v>0</v>
      </c>
      <c r="N4975" t="n">
        <v>0</v>
      </c>
      <c r="O4975" t="n">
        <v>0</v>
      </c>
      <c r="P4975" t="n">
        <v>0</v>
      </c>
      <c r="Q4975" t="n">
        <v>0</v>
      </c>
      <c r="R4975" t="n">
        <v>0</v>
      </c>
      <c r="S4975" t="n">
        <v>0</v>
      </c>
      <c r="T4975" t="n">
        <v>0</v>
      </c>
      <c r="U4975" t="n">
        <v>0</v>
      </c>
      <c r="V4975" s="2" t="inlineStr"/>
    </row>
    <row r="4976" ht="15" customHeight="1">
      <c r="A4976" t="inlineStr">
        <is>
          <t>A 59093-2025</t>
        </is>
      </c>
      <c r="B4976" t="inlineStr">
        <is>
          <t>avverkningsanmälan</t>
        </is>
      </c>
      <c r="C4976" t="inlineStr">
        <is>
          <t>Föryngringsavverkning</t>
        </is>
      </c>
      <c r="D4976" s="1" t="n">
        <v>45988</v>
      </c>
      <c r="E4976" s="1" t="n">
        <v>46323</v>
      </c>
      <c r="F4976" t="inlineStr">
        <is>
          <t>KALMAR LÄN</t>
        </is>
      </c>
      <c r="G4976" t="inlineStr">
        <is>
          <t>VÄSTERVIK</t>
        </is>
      </c>
      <c r="H4976" t="inlineStr">
        <is>
          <t>Kyrkan</t>
        </is>
      </c>
      <c r="I4976" t="n">
        <v>1.4</v>
      </c>
      <c r="J4976" t="n">
        <v>0</v>
      </c>
      <c r="K4976" t="n">
        <v>0</v>
      </c>
      <c r="L4976" t="n">
        <v>0</v>
      </c>
      <c r="M4976" t="n">
        <v>0</v>
      </c>
      <c r="N4976" t="n">
        <v>0</v>
      </c>
      <c r="O4976" t="n">
        <v>0</v>
      </c>
      <c r="P4976" t="n">
        <v>0</v>
      </c>
      <c r="Q4976" t="n">
        <v>0</v>
      </c>
      <c r="R4976" t="n">
        <v>0</v>
      </c>
      <c r="S4976" t="n">
        <v>0</v>
      </c>
      <c r="T4976" t="n">
        <v>0</v>
      </c>
      <c r="U4976" t="n">
        <v>0</v>
      </c>
      <c r="V4976" s="2" t="inlineStr"/>
    </row>
    <row r="4977" ht="15" customHeight="1">
      <c r="A4977" t="inlineStr">
        <is>
          <t>A 31209-2024</t>
        </is>
      </c>
      <c r="B4977" t="inlineStr">
        <is>
          <t>avverkningsanmälan</t>
        </is>
      </c>
      <c r="C4977" t="inlineStr">
        <is>
          <t>Föryngringsavverkning</t>
        </is>
      </c>
      <c r="D4977" s="1" t="n">
        <v>45503</v>
      </c>
      <c r="E4977" s="1" t="n">
        <v>46323</v>
      </c>
      <c r="F4977" t="inlineStr">
        <is>
          <t>KALMAR LÄN</t>
        </is>
      </c>
      <c r="G4977" t="inlineStr">
        <is>
          <t>VIMMERBY</t>
        </is>
      </c>
      <c r="I4977" t="n">
        <v>1.7</v>
      </c>
      <c r="J4977" t="n">
        <v>0</v>
      </c>
      <c r="K4977" t="n">
        <v>0</v>
      </c>
      <c r="L4977" t="n">
        <v>0</v>
      </c>
      <c r="M4977" t="n">
        <v>0</v>
      </c>
      <c r="N4977" t="n">
        <v>0</v>
      </c>
      <c r="O4977" t="n">
        <v>0</v>
      </c>
      <c r="P4977" t="n">
        <v>0</v>
      </c>
      <c r="Q4977" t="n">
        <v>0</v>
      </c>
      <c r="R4977" t="n">
        <v>0</v>
      </c>
      <c r="S4977" t="n">
        <v>0</v>
      </c>
      <c r="T4977" t="n">
        <v>0</v>
      </c>
      <c r="U4977" t="n">
        <v>0</v>
      </c>
      <c r="V4977" s="2" t="inlineStr"/>
    </row>
    <row r="4978" ht="15" customHeight="1">
      <c r="A4978" t="inlineStr">
        <is>
          <t>A 41211-2026</t>
        </is>
      </c>
      <c r="B4978" t="inlineStr">
        <is>
          <t>avverkningsanmälan</t>
        </is>
      </c>
      <c r="C4978" t="inlineStr">
        <is>
          <t>Föryngringsavverkning</t>
        </is>
      </c>
      <c r="D4978" s="1" t="n">
        <v>46300</v>
      </c>
      <c r="E4978" s="1" t="n">
        <v>46323</v>
      </c>
      <c r="F4978" t="inlineStr">
        <is>
          <t>KALMAR LÄN</t>
        </is>
      </c>
      <c r="G4978" t="inlineStr">
        <is>
          <t>KALMAR</t>
        </is>
      </c>
      <c r="I4978" t="n">
        <v>7.5</v>
      </c>
      <c r="J4978" t="n">
        <v>0</v>
      </c>
      <c r="K4978" t="n">
        <v>0</v>
      </c>
      <c r="L4978" t="n">
        <v>0</v>
      </c>
      <c r="M4978" t="n">
        <v>0</v>
      </c>
      <c r="N4978" t="n">
        <v>0</v>
      </c>
      <c r="O4978" t="n">
        <v>0</v>
      </c>
      <c r="P4978" t="n">
        <v>0</v>
      </c>
      <c r="Q4978" t="n">
        <v>0</v>
      </c>
      <c r="R4978" t="n">
        <v>0</v>
      </c>
      <c r="S4978" t="n">
        <v>0</v>
      </c>
      <c r="T4978" t="n">
        <v>0</v>
      </c>
      <c r="U4978" t="n">
        <v>0</v>
      </c>
      <c r="V4978" s="2" t="inlineStr"/>
    </row>
    <row r="4979" ht="15" customHeight="1">
      <c r="A4979" t="inlineStr">
        <is>
          <t>A 70644-2021</t>
        </is>
      </c>
      <c r="B4979" t="inlineStr">
        <is>
          <t>avverkningsanmälan</t>
        </is>
      </c>
      <c r="C4979" t="inlineStr">
        <is>
          <t>Avverkning för annat ändamål</t>
        </is>
      </c>
      <c r="D4979" s="1" t="n">
        <v>44537</v>
      </c>
      <c r="E4979" s="1" t="n">
        <v>46323</v>
      </c>
      <c r="F4979" t="inlineStr">
        <is>
          <t>KALMAR LÄN</t>
        </is>
      </c>
      <c r="G4979" t="inlineStr">
        <is>
          <t>MÖNSTERÅS</t>
        </is>
      </c>
      <c r="I4979" t="n">
        <v>1.9</v>
      </c>
      <c r="J4979" t="n">
        <v>0</v>
      </c>
      <c r="K4979" t="n">
        <v>0</v>
      </c>
      <c r="L4979" t="n">
        <v>0</v>
      </c>
      <c r="M4979" t="n">
        <v>0</v>
      </c>
      <c r="N4979" t="n">
        <v>0</v>
      </c>
      <c r="O4979" t="n">
        <v>0</v>
      </c>
      <c r="P4979" t="n">
        <v>0</v>
      </c>
      <c r="Q4979" t="n">
        <v>0</v>
      </c>
      <c r="R4979" t="n">
        <v>0</v>
      </c>
      <c r="S4979" t="n">
        <v>0</v>
      </c>
      <c r="T4979" t="n">
        <v>0</v>
      </c>
      <c r="U4979" t="n">
        <v>0</v>
      </c>
      <c r="V4979" s="2" t="inlineStr"/>
    </row>
    <row r="4980" ht="15" customHeight="1">
      <c r="A4980" t="inlineStr">
        <is>
          <t>A 43633-2023</t>
        </is>
      </c>
      <c r="B4980" t="inlineStr">
        <is>
          <t>avverkningsanmälan</t>
        </is>
      </c>
      <c r="C4980" t="inlineStr">
        <is>
          <t>Föryngringsavverkning</t>
        </is>
      </c>
      <c r="D4980" s="1" t="n">
        <v>45185</v>
      </c>
      <c r="E4980" s="1" t="n">
        <v>46323</v>
      </c>
      <c r="F4980" t="inlineStr">
        <is>
          <t>KALMAR LÄN</t>
        </is>
      </c>
      <c r="G4980" t="inlineStr">
        <is>
          <t>HULTSFRED</t>
        </is>
      </c>
      <c r="I4980" t="n">
        <v>0.8</v>
      </c>
      <c r="J4980" t="n">
        <v>0</v>
      </c>
      <c r="K4980" t="n">
        <v>0</v>
      </c>
      <c r="L4980" t="n">
        <v>0</v>
      </c>
      <c r="M4980" t="n">
        <v>0</v>
      </c>
      <c r="N4980" t="n">
        <v>0</v>
      </c>
      <c r="O4980" t="n">
        <v>0</v>
      </c>
      <c r="P4980" t="n">
        <v>0</v>
      </c>
      <c r="Q4980" t="n">
        <v>0</v>
      </c>
      <c r="R4980" t="n">
        <v>0</v>
      </c>
      <c r="S4980" t="n">
        <v>0</v>
      </c>
      <c r="T4980" t="n">
        <v>0</v>
      </c>
      <c r="U4980" t="n">
        <v>0</v>
      </c>
      <c r="V4980" s="2" t="inlineStr"/>
    </row>
    <row r="4981" ht="15" customHeight="1">
      <c r="A4981" t="inlineStr">
        <is>
          <t>A 6225-2022</t>
        </is>
      </c>
      <c r="B4981" t="inlineStr">
        <is>
          <t>avverkningsanmälan</t>
        </is>
      </c>
      <c r="C4981" t="inlineStr">
        <is>
          <t>Föryngringsavverkning</t>
        </is>
      </c>
      <c r="D4981" s="1" t="n">
        <v>44600</v>
      </c>
      <c r="E4981" s="1" t="n">
        <v>46323</v>
      </c>
      <c r="F4981" t="inlineStr">
        <is>
          <t>KALMAR LÄN</t>
        </is>
      </c>
      <c r="G4981" t="inlineStr">
        <is>
          <t>TORSÅS</t>
        </is>
      </c>
      <c r="I4981" t="n">
        <v>1.5</v>
      </c>
      <c r="J4981" t="n">
        <v>0</v>
      </c>
      <c r="K4981" t="n">
        <v>0</v>
      </c>
      <c r="L4981" t="n">
        <v>0</v>
      </c>
      <c r="M4981" t="n">
        <v>0</v>
      </c>
      <c r="N4981" t="n">
        <v>0</v>
      </c>
      <c r="O4981" t="n">
        <v>0</v>
      </c>
      <c r="P4981" t="n">
        <v>0</v>
      </c>
      <c r="Q4981" t="n">
        <v>0</v>
      </c>
      <c r="R4981" t="n">
        <v>0</v>
      </c>
      <c r="S4981" t="n">
        <v>0</v>
      </c>
      <c r="T4981" t="n">
        <v>0</v>
      </c>
      <c r="U4981" t="n">
        <v>0</v>
      </c>
      <c r="V4981" s="2" t="inlineStr"/>
    </row>
    <row r="4982" ht="15" customHeight="1">
      <c r="A4982" t="inlineStr">
        <is>
          <t>A 59052-2022</t>
        </is>
      </c>
      <c r="B4982" t="inlineStr">
        <is>
          <t>avverkningsanmälan</t>
        </is>
      </c>
      <c r="C4982" t="inlineStr">
        <is>
          <t>Föryngringsavverkning</t>
        </is>
      </c>
      <c r="D4982" s="1" t="n">
        <v>44904</v>
      </c>
      <c r="E4982" s="1" t="n">
        <v>46323</v>
      </c>
      <c r="F4982" t="inlineStr">
        <is>
          <t>KALMAR LÄN</t>
        </is>
      </c>
      <c r="G4982" t="inlineStr">
        <is>
          <t>NYBRO</t>
        </is>
      </c>
      <c r="I4982" t="n">
        <v>1.2</v>
      </c>
      <c r="J4982" t="n">
        <v>0</v>
      </c>
      <c r="K4982" t="n">
        <v>0</v>
      </c>
      <c r="L4982" t="n">
        <v>0</v>
      </c>
      <c r="M4982" t="n">
        <v>0</v>
      </c>
      <c r="N4982" t="n">
        <v>0</v>
      </c>
      <c r="O4982" t="n">
        <v>0</v>
      </c>
      <c r="P4982" t="n">
        <v>0</v>
      </c>
      <c r="Q4982" t="n">
        <v>0</v>
      </c>
      <c r="R4982" t="n">
        <v>0</v>
      </c>
      <c r="S4982" t="n">
        <v>0</v>
      </c>
      <c r="T4982" t="n">
        <v>0</v>
      </c>
      <c r="U4982" t="n">
        <v>0</v>
      </c>
      <c r="V4982" s="2" t="inlineStr"/>
    </row>
    <row r="4983" ht="15" customHeight="1">
      <c r="A4983" t="inlineStr">
        <is>
          <t>A 34363-2026</t>
        </is>
      </c>
      <c r="B4983" t="inlineStr">
        <is>
          <t>avverkningsanmälan</t>
        </is>
      </c>
      <c r="C4983" t="inlineStr">
        <is>
          <t>Föryngringsavverkning</t>
        </is>
      </c>
      <c r="D4983" s="1" t="n">
        <v>46254</v>
      </c>
      <c r="E4983" s="1" t="n">
        <v>46323</v>
      </c>
      <c r="F4983" t="inlineStr">
        <is>
          <t>KALMAR LÄN</t>
        </is>
      </c>
      <c r="G4983" t="inlineStr">
        <is>
          <t>NYBRO</t>
        </is>
      </c>
      <c r="H4983" t="inlineStr">
        <is>
          <t>Sveaskog</t>
        </is>
      </c>
      <c r="I4983" t="n">
        <v>12.3</v>
      </c>
      <c r="J4983" t="n">
        <v>0</v>
      </c>
      <c r="K4983" t="n">
        <v>0</v>
      </c>
      <c r="L4983" t="n">
        <v>0</v>
      </c>
      <c r="M4983" t="n">
        <v>0</v>
      </c>
      <c r="N4983" t="n">
        <v>0</v>
      </c>
      <c r="O4983" t="n">
        <v>0</v>
      </c>
      <c r="P4983" t="n">
        <v>0</v>
      </c>
      <c r="Q4983" t="n">
        <v>0</v>
      </c>
      <c r="R4983" t="n">
        <v>0</v>
      </c>
      <c r="S4983" t="n">
        <v>0</v>
      </c>
      <c r="T4983" t="n">
        <v>0</v>
      </c>
      <c r="U4983" t="n">
        <v>0</v>
      </c>
      <c r="V4983" s="2" t="inlineStr"/>
    </row>
    <row r="4984" ht="15" customHeight="1">
      <c r="A4984" t="inlineStr">
        <is>
          <t>A 34375-2026</t>
        </is>
      </c>
      <c r="B4984" t="inlineStr">
        <is>
          <t>avverkningsanmälan</t>
        </is>
      </c>
      <c r="C4984" t="inlineStr">
        <is>
          <t>Föryngringsavverkning</t>
        </is>
      </c>
      <c r="D4984" s="1" t="n">
        <v>46254</v>
      </c>
      <c r="E4984" s="1" t="n">
        <v>46323</v>
      </c>
      <c r="F4984" t="inlineStr">
        <is>
          <t>KALMAR LÄN</t>
        </is>
      </c>
      <c r="G4984" t="inlineStr">
        <is>
          <t>KALMAR</t>
        </is>
      </c>
      <c r="H4984" t="inlineStr">
        <is>
          <t>Sveaskog</t>
        </is>
      </c>
      <c r="I4984" t="n">
        <v>12.3</v>
      </c>
      <c r="J4984" t="n">
        <v>0</v>
      </c>
      <c r="K4984" t="n">
        <v>0</v>
      </c>
      <c r="L4984" t="n">
        <v>0</v>
      </c>
      <c r="M4984" t="n">
        <v>0</v>
      </c>
      <c r="N4984" t="n">
        <v>0</v>
      </c>
      <c r="O4984" t="n">
        <v>0</v>
      </c>
      <c r="P4984" t="n">
        <v>0</v>
      </c>
      <c r="Q4984" t="n">
        <v>0</v>
      </c>
      <c r="R4984" t="n">
        <v>0</v>
      </c>
      <c r="S4984" t="n">
        <v>0</v>
      </c>
      <c r="T4984" t="n">
        <v>0</v>
      </c>
      <c r="U4984" t="n">
        <v>0</v>
      </c>
      <c r="V4984" s="2" t="inlineStr"/>
    </row>
    <row r="4985" ht="15" customHeight="1">
      <c r="A4985" t="inlineStr">
        <is>
          <t>A 41161-2023</t>
        </is>
      </c>
      <c r="B4985" t="inlineStr">
        <is>
          <t>avverkningsanmälan</t>
        </is>
      </c>
      <c r="C4985" t="inlineStr">
        <is>
          <t>Föryngringsavverkning</t>
        </is>
      </c>
      <c r="D4985" s="1" t="n">
        <v>45174</v>
      </c>
      <c r="E4985" s="1" t="n">
        <v>46323</v>
      </c>
      <c r="F4985" t="inlineStr">
        <is>
          <t>KALMAR LÄN</t>
        </is>
      </c>
      <c r="G4985" t="inlineStr">
        <is>
          <t>NYBRO</t>
        </is>
      </c>
      <c r="I4985" t="n">
        <v>3.9</v>
      </c>
      <c r="J4985" t="n">
        <v>0</v>
      </c>
      <c r="K4985" t="n">
        <v>0</v>
      </c>
      <c r="L4985" t="n">
        <v>0</v>
      </c>
      <c r="M4985" t="n">
        <v>0</v>
      </c>
      <c r="N4985" t="n">
        <v>0</v>
      </c>
      <c r="O4985" t="n">
        <v>0</v>
      </c>
      <c r="P4985" t="n">
        <v>0</v>
      </c>
      <c r="Q4985" t="n">
        <v>0</v>
      </c>
      <c r="R4985" t="n">
        <v>0</v>
      </c>
      <c r="S4985" t="n">
        <v>0</v>
      </c>
      <c r="T4985" t="n">
        <v>0</v>
      </c>
      <c r="U4985" t="n">
        <v>0</v>
      </c>
      <c r="V4985" s="2" t="inlineStr"/>
    </row>
    <row r="4986" ht="15" customHeight="1">
      <c r="A4986" t="inlineStr">
        <is>
          <t>A 57546-2025</t>
        </is>
      </c>
      <c r="B4986" t="inlineStr">
        <is>
          <t>avverkningsanmälan</t>
        </is>
      </c>
      <c r="C4986" t="inlineStr">
        <is>
          <t>Föryngringsavverkning</t>
        </is>
      </c>
      <c r="D4986" s="1" t="n">
        <v>45980</v>
      </c>
      <c r="E4986" s="1" t="n">
        <v>46323</v>
      </c>
      <c r="F4986" t="inlineStr">
        <is>
          <t>KALMAR LÄN</t>
        </is>
      </c>
      <c r="G4986" t="inlineStr">
        <is>
          <t>HULTSFRED</t>
        </is>
      </c>
      <c r="I4986" t="n">
        <v>11.5</v>
      </c>
      <c r="J4986" t="n">
        <v>0</v>
      </c>
      <c r="K4986" t="n">
        <v>0</v>
      </c>
      <c r="L4986" t="n">
        <v>0</v>
      </c>
      <c r="M4986" t="n">
        <v>0</v>
      </c>
      <c r="N4986" t="n">
        <v>0</v>
      </c>
      <c r="O4986" t="n">
        <v>0</v>
      </c>
      <c r="P4986" t="n">
        <v>0</v>
      </c>
      <c r="Q4986" t="n">
        <v>0</v>
      </c>
      <c r="R4986" t="n">
        <v>0</v>
      </c>
      <c r="S4986" t="n">
        <v>0</v>
      </c>
      <c r="T4986" t="n">
        <v>0</v>
      </c>
      <c r="U4986" t="n">
        <v>0</v>
      </c>
      <c r="V4986" s="2" t="inlineStr"/>
    </row>
    <row r="4987" ht="15" customHeight="1">
      <c r="A4987" t="inlineStr">
        <is>
          <t>A 25352-2026</t>
        </is>
      </c>
      <c r="B4987" t="inlineStr">
        <is>
          <t>avverkningsanmälan</t>
        </is>
      </c>
      <c r="C4987" t="inlineStr">
        <is>
          <t>Föryngringsavverkning</t>
        </is>
      </c>
      <c r="D4987" s="1" t="n">
        <v>46176</v>
      </c>
      <c r="E4987" s="1" t="n">
        <v>46323</v>
      </c>
      <c r="F4987" t="inlineStr">
        <is>
          <t>KALMAR LÄN</t>
        </is>
      </c>
      <c r="G4987" t="inlineStr">
        <is>
          <t>HÖGSBY</t>
        </is>
      </c>
      <c r="I4987" t="n">
        <v>1.9</v>
      </c>
      <c r="J4987" t="n">
        <v>0</v>
      </c>
      <c r="K4987" t="n">
        <v>0</v>
      </c>
      <c r="L4987" t="n">
        <v>0</v>
      </c>
      <c r="M4987" t="n">
        <v>0</v>
      </c>
      <c r="N4987" t="n">
        <v>0</v>
      </c>
      <c r="O4987" t="n">
        <v>0</v>
      </c>
      <c r="P4987" t="n">
        <v>0</v>
      </c>
      <c r="Q4987" t="n">
        <v>0</v>
      </c>
      <c r="R4987" t="n">
        <v>0</v>
      </c>
      <c r="S4987" t="n">
        <v>0</v>
      </c>
      <c r="T4987" t="n">
        <v>0</v>
      </c>
      <c r="U4987" t="n">
        <v>0</v>
      </c>
      <c r="V4987" s="2" t="inlineStr"/>
    </row>
    <row r="4988" ht="15" customHeight="1">
      <c r="A4988" t="inlineStr">
        <is>
          <t>A 25354-2026</t>
        </is>
      </c>
      <c r="B4988" t="inlineStr">
        <is>
          <t>avverkningsanmälan</t>
        </is>
      </c>
      <c r="C4988" t="inlineStr">
        <is>
          <t>Föryngringsavverkning</t>
        </is>
      </c>
      <c r="D4988" s="1" t="n">
        <v>46176</v>
      </c>
      <c r="E4988" s="1" t="n">
        <v>46323</v>
      </c>
      <c r="F4988" t="inlineStr">
        <is>
          <t>KALMAR LÄN</t>
        </is>
      </c>
      <c r="G4988" t="inlineStr">
        <is>
          <t>HULTSFRED</t>
        </is>
      </c>
      <c r="I4988" t="n">
        <v>5.6</v>
      </c>
      <c r="J4988" t="n">
        <v>0</v>
      </c>
      <c r="K4988" t="n">
        <v>0</v>
      </c>
      <c r="L4988" t="n">
        <v>0</v>
      </c>
      <c r="M4988" t="n">
        <v>0</v>
      </c>
      <c r="N4988" t="n">
        <v>0</v>
      </c>
      <c r="O4988" t="n">
        <v>0</v>
      </c>
      <c r="P4988" t="n">
        <v>0</v>
      </c>
      <c r="Q4988" t="n">
        <v>0</v>
      </c>
      <c r="R4988" t="n">
        <v>0</v>
      </c>
      <c r="S4988" t="n">
        <v>0</v>
      </c>
      <c r="T4988" t="n">
        <v>0</v>
      </c>
      <c r="U4988" t="n">
        <v>0</v>
      </c>
      <c r="V4988" s="2" t="inlineStr"/>
    </row>
    <row r="4989" ht="15" customHeight="1">
      <c r="A4989" t="inlineStr">
        <is>
          <t>A 40865-2022</t>
        </is>
      </c>
      <c r="B4989" t="inlineStr">
        <is>
          <t>avverkningsanmälan</t>
        </is>
      </c>
      <c r="C4989" t="inlineStr">
        <is>
          <t>Föryngringsavverkning</t>
        </is>
      </c>
      <c r="D4989" s="1" t="n">
        <v>44825</v>
      </c>
      <c r="E4989" s="1" t="n">
        <v>46323</v>
      </c>
      <c r="F4989" t="inlineStr">
        <is>
          <t>KALMAR LÄN</t>
        </is>
      </c>
      <c r="G4989" t="inlineStr">
        <is>
          <t>HULTSFRED</t>
        </is>
      </c>
      <c r="I4989" t="n">
        <v>2.3</v>
      </c>
      <c r="J4989" t="n">
        <v>0</v>
      </c>
      <c r="K4989" t="n">
        <v>0</v>
      </c>
      <c r="L4989" t="n">
        <v>0</v>
      </c>
      <c r="M4989" t="n">
        <v>0</v>
      </c>
      <c r="N4989" t="n">
        <v>0</v>
      </c>
      <c r="O4989" t="n">
        <v>0</v>
      </c>
      <c r="P4989" t="n">
        <v>0</v>
      </c>
      <c r="Q4989" t="n">
        <v>0</v>
      </c>
      <c r="R4989" t="n">
        <v>0</v>
      </c>
      <c r="S4989" t="n">
        <v>0</v>
      </c>
      <c r="T4989" t="n">
        <v>0</v>
      </c>
      <c r="U4989" t="n">
        <v>0</v>
      </c>
      <c r="V4989" s="2" t="inlineStr"/>
    </row>
    <row r="4990" ht="15" customHeight="1">
      <c r="A4990" t="inlineStr">
        <is>
          <t>A 41019-2026</t>
        </is>
      </c>
      <c r="B4990" t="inlineStr">
        <is>
          <t>avverkningsanmälan</t>
        </is>
      </c>
      <c r="C4990" t="inlineStr">
        <is>
          <t>Föryngringsavverkning</t>
        </is>
      </c>
      <c r="D4990" s="1" t="n">
        <v>46297</v>
      </c>
      <c r="E4990" s="1" t="n">
        <v>46323</v>
      </c>
      <c r="F4990" t="inlineStr">
        <is>
          <t>KALMAR LÄN</t>
        </is>
      </c>
      <c r="G4990" t="inlineStr">
        <is>
          <t>HÖGSBY</t>
        </is>
      </c>
      <c r="H4990" t="inlineStr">
        <is>
          <t>Sveaskog</t>
        </is>
      </c>
      <c r="I4990" t="n">
        <v>5</v>
      </c>
      <c r="J4990" t="n">
        <v>0</v>
      </c>
      <c r="K4990" t="n">
        <v>0</v>
      </c>
      <c r="L4990" t="n">
        <v>0</v>
      </c>
      <c r="M4990" t="n">
        <v>0</v>
      </c>
      <c r="N4990" t="n">
        <v>0</v>
      </c>
      <c r="O4990" t="n">
        <v>0</v>
      </c>
      <c r="P4990" t="n">
        <v>0</v>
      </c>
      <c r="Q4990" t="n">
        <v>0</v>
      </c>
      <c r="R4990" t="n">
        <v>0</v>
      </c>
      <c r="S4990" t="n">
        <v>0</v>
      </c>
      <c r="T4990" t="n">
        <v>0</v>
      </c>
      <c r="U4990" t="n">
        <v>0</v>
      </c>
      <c r="V4990" s="2" t="inlineStr"/>
    </row>
    <row r="4991" ht="15" customHeight="1">
      <c r="A4991" t="inlineStr">
        <is>
          <t>A 34633-2026</t>
        </is>
      </c>
      <c r="B4991" t="inlineStr">
        <is>
          <t>avverkningsanmälan</t>
        </is>
      </c>
      <c r="C4991" t="inlineStr">
        <is>
          <t>Föryngringsavverkning</t>
        </is>
      </c>
      <c r="D4991" s="1" t="n">
        <v>46255</v>
      </c>
      <c r="E4991" s="1" t="n">
        <v>46323</v>
      </c>
      <c r="F4991" t="inlineStr">
        <is>
          <t>KALMAR LÄN</t>
        </is>
      </c>
      <c r="G4991" t="inlineStr">
        <is>
          <t>TORSÅS</t>
        </is>
      </c>
      <c r="I4991" t="n">
        <v>0.6</v>
      </c>
      <c r="J4991" t="n">
        <v>0</v>
      </c>
      <c r="K4991" t="n">
        <v>0</v>
      </c>
      <c r="L4991" t="n">
        <v>0</v>
      </c>
      <c r="M4991" t="n">
        <v>0</v>
      </c>
      <c r="N4991" t="n">
        <v>0</v>
      </c>
      <c r="O4991" t="n">
        <v>0</v>
      </c>
      <c r="P4991" t="n">
        <v>0</v>
      </c>
      <c r="Q4991" t="n">
        <v>0</v>
      </c>
      <c r="R4991" t="n">
        <v>0</v>
      </c>
      <c r="S4991" t="n">
        <v>0</v>
      </c>
      <c r="T4991" t="n">
        <v>0</v>
      </c>
      <c r="U4991" t="n">
        <v>0</v>
      </c>
      <c r="V4991" s="2" t="inlineStr"/>
    </row>
    <row r="4992" ht="15" customHeight="1">
      <c r="A4992" t="inlineStr">
        <is>
          <t>A 34636-2026</t>
        </is>
      </c>
      <c r="B4992" t="inlineStr">
        <is>
          <t>avverkningsanmälan</t>
        </is>
      </c>
      <c r="C4992" t="inlineStr">
        <is>
          <t>Föryngringsavverkning</t>
        </is>
      </c>
      <c r="D4992" s="1" t="n">
        <v>46255</v>
      </c>
      <c r="E4992" s="1" t="n">
        <v>46323</v>
      </c>
      <c r="F4992" t="inlineStr">
        <is>
          <t>KALMAR LÄN</t>
        </is>
      </c>
      <c r="G4992" t="inlineStr">
        <is>
          <t>TORSÅS</t>
        </is>
      </c>
      <c r="I4992" t="n">
        <v>2.2</v>
      </c>
      <c r="J4992" t="n">
        <v>0</v>
      </c>
      <c r="K4992" t="n">
        <v>0</v>
      </c>
      <c r="L4992" t="n">
        <v>0</v>
      </c>
      <c r="M4992" t="n">
        <v>0</v>
      </c>
      <c r="N4992" t="n">
        <v>0</v>
      </c>
      <c r="O4992" t="n">
        <v>0</v>
      </c>
      <c r="P4992" t="n">
        <v>0</v>
      </c>
      <c r="Q4992" t="n">
        <v>0</v>
      </c>
      <c r="R4992" t="n">
        <v>0</v>
      </c>
      <c r="S4992" t="n">
        <v>0</v>
      </c>
      <c r="T4992" t="n">
        <v>0</v>
      </c>
      <c r="U4992" t="n">
        <v>0</v>
      </c>
      <c r="V4992" s="2" t="inlineStr"/>
    </row>
    <row r="4993" ht="15" customHeight="1">
      <c r="A4993" t="inlineStr">
        <is>
          <t>A 5803-2024</t>
        </is>
      </c>
      <c r="B4993" t="inlineStr">
        <is>
          <t>avverkningsanmälan</t>
        </is>
      </c>
      <c r="C4993" t="inlineStr">
        <is>
          <t>Föryngringsavverkning</t>
        </is>
      </c>
      <c r="D4993" s="1" t="n">
        <v>45335</v>
      </c>
      <c r="E4993" s="1" t="n">
        <v>46323</v>
      </c>
      <c r="F4993" t="inlineStr">
        <is>
          <t>KALMAR LÄN</t>
        </is>
      </c>
      <c r="G4993" t="inlineStr">
        <is>
          <t>NYBRO</t>
        </is>
      </c>
      <c r="H4993" t="inlineStr">
        <is>
          <t>Sveaskog</t>
        </is>
      </c>
      <c r="I4993" t="n">
        <v>1.5</v>
      </c>
      <c r="J4993" t="n">
        <v>0</v>
      </c>
      <c r="K4993" t="n">
        <v>0</v>
      </c>
      <c r="L4993" t="n">
        <v>0</v>
      </c>
      <c r="M4993" t="n">
        <v>0</v>
      </c>
      <c r="N4993" t="n">
        <v>0</v>
      </c>
      <c r="O4993" t="n">
        <v>0</v>
      </c>
      <c r="P4993" t="n">
        <v>0</v>
      </c>
      <c r="Q4993" t="n">
        <v>0</v>
      </c>
      <c r="R4993" t="n">
        <v>0</v>
      </c>
      <c r="S4993" t="n">
        <v>0</v>
      </c>
      <c r="T4993" t="n">
        <v>0</v>
      </c>
      <c r="U4993" t="n">
        <v>0</v>
      </c>
      <c r="V4993" s="2" t="inlineStr"/>
    </row>
    <row r="4994" ht="15" customHeight="1">
      <c r="A4994" t="inlineStr">
        <is>
          <t>A 34655-2026</t>
        </is>
      </c>
      <c r="B4994" t="inlineStr">
        <is>
          <t>avverkningsanmälan</t>
        </is>
      </c>
      <c r="C4994" t="inlineStr">
        <is>
          <t>Föryngringsavverkning</t>
        </is>
      </c>
      <c r="D4994" s="1" t="n">
        <v>46256</v>
      </c>
      <c r="E4994" s="1" t="n">
        <v>46323</v>
      </c>
      <c r="F4994" t="inlineStr">
        <is>
          <t>KALMAR LÄN</t>
        </is>
      </c>
      <c r="G4994" t="inlineStr">
        <is>
          <t>VIMMERBY</t>
        </is>
      </c>
      <c r="I4994" t="n">
        <v>0.8</v>
      </c>
      <c r="J4994" t="n">
        <v>0</v>
      </c>
      <c r="K4994" t="n">
        <v>0</v>
      </c>
      <c r="L4994" t="n">
        <v>0</v>
      </c>
      <c r="M4994" t="n">
        <v>0</v>
      </c>
      <c r="N4994" t="n">
        <v>0</v>
      </c>
      <c r="O4994" t="n">
        <v>0</v>
      </c>
      <c r="P4994" t="n">
        <v>0</v>
      </c>
      <c r="Q4994" t="n">
        <v>0</v>
      </c>
      <c r="R4994" t="n">
        <v>0</v>
      </c>
      <c r="S4994" t="n">
        <v>0</v>
      </c>
      <c r="T4994" t="n">
        <v>0</v>
      </c>
      <c r="U4994" t="n">
        <v>0</v>
      </c>
      <c r="V4994" s="2" t="inlineStr"/>
    </row>
    <row r="4995" ht="15" customHeight="1">
      <c r="A4995" t="inlineStr">
        <is>
          <t>A 5864-2022</t>
        </is>
      </c>
      <c r="B4995" t="inlineStr">
        <is>
          <t>avverkningsanmälan</t>
        </is>
      </c>
      <c r="C4995" t="inlineStr">
        <is>
          <t>Föryngringsavverkning</t>
        </is>
      </c>
      <c r="D4995" s="1" t="n">
        <v>44596</v>
      </c>
      <c r="E4995" s="1" t="n">
        <v>46323</v>
      </c>
      <c r="F4995" t="inlineStr">
        <is>
          <t>KALMAR LÄN</t>
        </is>
      </c>
      <c r="G4995" t="inlineStr">
        <is>
          <t>VIMMERBY</t>
        </is>
      </c>
      <c r="I4995" t="n">
        <v>0.7</v>
      </c>
      <c r="J4995" t="n">
        <v>0</v>
      </c>
      <c r="K4995" t="n">
        <v>0</v>
      </c>
      <c r="L4995" t="n">
        <v>0</v>
      </c>
      <c r="M4995" t="n">
        <v>0</v>
      </c>
      <c r="N4995" t="n">
        <v>0</v>
      </c>
      <c r="O4995" t="n">
        <v>0</v>
      </c>
      <c r="P4995" t="n">
        <v>0</v>
      </c>
      <c r="Q4995" t="n">
        <v>0</v>
      </c>
      <c r="R4995" t="n">
        <v>0</v>
      </c>
      <c r="S4995" t="n">
        <v>0</v>
      </c>
      <c r="T4995" t="n">
        <v>0</v>
      </c>
      <c r="U4995" t="n">
        <v>0</v>
      </c>
      <c r="V4995" s="2" t="inlineStr"/>
    </row>
    <row r="4996" ht="15" customHeight="1">
      <c r="A4996" t="inlineStr">
        <is>
          <t>A 48337-2022</t>
        </is>
      </c>
      <c r="B4996" t="inlineStr">
        <is>
          <t>avverkningsanmälan</t>
        </is>
      </c>
      <c r="C4996" t="inlineStr">
        <is>
          <t>Föryngringsavverkning</t>
        </is>
      </c>
      <c r="D4996" s="1" t="n">
        <v>44858</v>
      </c>
      <c r="E4996" s="1" t="n">
        <v>46323</v>
      </c>
      <c r="F4996" t="inlineStr">
        <is>
          <t>KALMAR LÄN</t>
        </is>
      </c>
      <c r="G4996" t="inlineStr">
        <is>
          <t>KALMAR</t>
        </is>
      </c>
      <c r="I4996" t="n">
        <v>5.4</v>
      </c>
      <c r="J4996" t="n">
        <v>0</v>
      </c>
      <c r="K4996" t="n">
        <v>0</v>
      </c>
      <c r="L4996" t="n">
        <v>0</v>
      </c>
      <c r="M4996" t="n">
        <v>0</v>
      </c>
      <c r="N4996" t="n">
        <v>0</v>
      </c>
      <c r="O4996" t="n">
        <v>0</v>
      </c>
      <c r="P4996" t="n">
        <v>0</v>
      </c>
      <c r="Q4996" t="n">
        <v>0</v>
      </c>
      <c r="R4996" t="n">
        <v>0</v>
      </c>
      <c r="S4996" t="n">
        <v>0</v>
      </c>
      <c r="T4996" t="n">
        <v>0</v>
      </c>
      <c r="U4996" t="n">
        <v>0</v>
      </c>
      <c r="V4996" s="2" t="inlineStr"/>
    </row>
    <row r="4997" ht="15" customHeight="1">
      <c r="A4997" t="inlineStr">
        <is>
          <t>A 41185-2026</t>
        </is>
      </c>
      <c r="B4997" t="inlineStr">
        <is>
          <t>avverkningsanmälan</t>
        </is>
      </c>
      <c r="C4997" t="inlineStr">
        <is>
          <t>Avverkning för annat ändamål</t>
        </is>
      </c>
      <c r="D4997" s="1" t="n">
        <v>46300</v>
      </c>
      <c r="E4997" s="1" t="n">
        <v>46323</v>
      </c>
      <c r="F4997" t="inlineStr">
        <is>
          <t>KALMAR LÄN</t>
        </is>
      </c>
      <c r="G4997" t="inlineStr">
        <is>
          <t>VIMMERBY</t>
        </is>
      </c>
      <c r="I4997" t="n">
        <v>1.7</v>
      </c>
      <c r="J4997" t="n">
        <v>0</v>
      </c>
      <c r="K4997" t="n">
        <v>0</v>
      </c>
      <c r="L4997" t="n">
        <v>0</v>
      </c>
      <c r="M4997" t="n">
        <v>0</v>
      </c>
      <c r="N4997" t="n">
        <v>0</v>
      </c>
      <c r="O4997" t="n">
        <v>0</v>
      </c>
      <c r="P4997" t="n">
        <v>0</v>
      </c>
      <c r="Q4997" t="n">
        <v>0</v>
      </c>
      <c r="R4997" t="n">
        <v>0</v>
      </c>
      <c r="S4997" t="n">
        <v>0</v>
      </c>
      <c r="T4997" t="n">
        <v>0</v>
      </c>
      <c r="U4997" t="n">
        <v>0</v>
      </c>
      <c r="V4997" s="2" t="inlineStr"/>
    </row>
    <row r="4998" ht="15" customHeight="1">
      <c r="A4998" t="inlineStr">
        <is>
          <t>A 41187-2026</t>
        </is>
      </c>
      <c r="B4998" t="inlineStr">
        <is>
          <t>avverkningsanmälan</t>
        </is>
      </c>
      <c r="C4998" t="inlineStr">
        <is>
          <t>Avverkning för annat ändamål</t>
        </is>
      </c>
      <c r="D4998" s="1" t="n">
        <v>46300</v>
      </c>
      <c r="E4998" s="1" t="n">
        <v>46323</v>
      </c>
      <c r="F4998" t="inlineStr">
        <is>
          <t>KALMAR LÄN</t>
        </is>
      </c>
      <c r="G4998" t="inlineStr">
        <is>
          <t>VIMMERBY</t>
        </is>
      </c>
      <c r="I4998" t="n">
        <v>1.5</v>
      </c>
      <c r="J4998" t="n">
        <v>0</v>
      </c>
      <c r="K4998" t="n">
        <v>0</v>
      </c>
      <c r="L4998" t="n">
        <v>0</v>
      </c>
      <c r="M4998" t="n">
        <v>0</v>
      </c>
      <c r="N4998" t="n">
        <v>0</v>
      </c>
      <c r="O4998" t="n">
        <v>0</v>
      </c>
      <c r="P4998" t="n">
        <v>0</v>
      </c>
      <c r="Q4998" t="n">
        <v>0</v>
      </c>
      <c r="R4998" t="n">
        <v>0</v>
      </c>
      <c r="S4998" t="n">
        <v>0</v>
      </c>
      <c r="T4998" t="n">
        <v>0</v>
      </c>
      <c r="U4998" t="n">
        <v>0</v>
      </c>
      <c r="V4998" s="2" t="inlineStr"/>
    </row>
    <row r="4999" ht="15" customHeight="1">
      <c r="A4999" t="inlineStr">
        <is>
          <t>A 41197-2026</t>
        </is>
      </c>
      <c r="B4999" t="inlineStr">
        <is>
          <t>avverkningsanmälan</t>
        </is>
      </c>
      <c r="C4999" t="inlineStr">
        <is>
          <t>Avverkning för annat ändamål</t>
        </is>
      </c>
      <c r="D4999" s="1" t="n">
        <v>46300</v>
      </c>
      <c r="E4999" s="1" t="n">
        <v>46323</v>
      </c>
      <c r="F4999" t="inlineStr">
        <is>
          <t>KALMAR LÄN</t>
        </is>
      </c>
      <c r="G4999" t="inlineStr">
        <is>
          <t>VIMMERBY</t>
        </is>
      </c>
      <c r="H4999" t="inlineStr">
        <is>
          <t>Sveaskog</t>
        </is>
      </c>
      <c r="I4999" t="n">
        <v>3.9</v>
      </c>
      <c r="J4999" t="n">
        <v>0</v>
      </c>
      <c r="K4999" t="n">
        <v>0</v>
      </c>
      <c r="L4999" t="n">
        <v>0</v>
      </c>
      <c r="M4999" t="n">
        <v>0</v>
      </c>
      <c r="N4999" t="n">
        <v>0</v>
      </c>
      <c r="O4999" t="n">
        <v>0</v>
      </c>
      <c r="P4999" t="n">
        <v>0</v>
      </c>
      <c r="Q4999" t="n">
        <v>0</v>
      </c>
      <c r="R4999" t="n">
        <v>0</v>
      </c>
      <c r="S4999" t="n">
        <v>0</v>
      </c>
      <c r="T4999" t="n">
        <v>0</v>
      </c>
      <c r="U4999" t="n">
        <v>0</v>
      </c>
      <c r="V4999" s="2" t="inlineStr"/>
    </row>
    <row r="5000" ht="15" customHeight="1">
      <c r="A5000" t="inlineStr">
        <is>
          <t>A 17415-2026</t>
        </is>
      </c>
      <c r="B5000" t="inlineStr">
        <is>
          <t>avverkningsanmälan</t>
        </is>
      </c>
      <c r="C5000" t="inlineStr">
        <is>
          <t>Föryngringsavverkning</t>
        </is>
      </c>
      <c r="D5000" s="1" t="n">
        <v>46120</v>
      </c>
      <c r="E5000" s="1" t="n">
        <v>46323</v>
      </c>
      <c r="F5000" t="inlineStr">
        <is>
          <t>KALMAR LÄN</t>
        </is>
      </c>
      <c r="G5000" t="inlineStr">
        <is>
          <t>EMMABODA</t>
        </is>
      </c>
      <c r="I5000" t="n">
        <v>0.9</v>
      </c>
      <c r="J5000" t="n">
        <v>0</v>
      </c>
      <c r="K5000" t="n">
        <v>0</v>
      </c>
      <c r="L5000" t="n">
        <v>0</v>
      </c>
      <c r="M5000" t="n">
        <v>0</v>
      </c>
      <c r="N5000" t="n">
        <v>0</v>
      </c>
      <c r="O5000" t="n">
        <v>0</v>
      </c>
      <c r="P5000" t="n">
        <v>0</v>
      </c>
      <c r="Q5000" t="n">
        <v>0</v>
      </c>
      <c r="R5000" t="n">
        <v>0</v>
      </c>
      <c r="S5000" t="n">
        <v>0</v>
      </c>
      <c r="T5000" t="n">
        <v>0</v>
      </c>
      <c r="U5000" t="n">
        <v>0</v>
      </c>
      <c r="V5000" s="2" t="inlineStr"/>
    </row>
    <row r="5001" ht="15" customHeight="1">
      <c r="A5001" t="inlineStr">
        <is>
          <t>A 17603-2026</t>
        </is>
      </c>
      <c r="B5001" t="inlineStr">
        <is>
          <t>avverkningsanmälan</t>
        </is>
      </c>
      <c r="C5001" t="inlineStr">
        <is>
          <t>Föryngringsavverkning</t>
        </is>
      </c>
      <c r="D5001" s="1" t="n">
        <v>46121</v>
      </c>
      <c r="E5001" s="1" t="n">
        <v>46323</v>
      </c>
      <c r="F5001" t="inlineStr">
        <is>
          <t>KALMAR LÄN</t>
        </is>
      </c>
      <c r="G5001" t="inlineStr">
        <is>
          <t>OSKARSHAMN</t>
        </is>
      </c>
      <c r="I5001" t="n">
        <v>0.6</v>
      </c>
      <c r="J5001" t="n">
        <v>0</v>
      </c>
      <c r="K5001" t="n">
        <v>0</v>
      </c>
      <c r="L5001" t="n">
        <v>0</v>
      </c>
      <c r="M5001" t="n">
        <v>0</v>
      </c>
      <c r="N5001" t="n">
        <v>0</v>
      </c>
      <c r="O5001" t="n">
        <v>0</v>
      </c>
      <c r="P5001" t="n">
        <v>0</v>
      </c>
      <c r="Q5001" t="n">
        <v>0</v>
      </c>
      <c r="R5001" t="n">
        <v>0</v>
      </c>
      <c r="S5001" t="n">
        <v>0</v>
      </c>
      <c r="T5001" t="n">
        <v>0</v>
      </c>
      <c r="U5001" t="n">
        <v>0</v>
      </c>
      <c r="V5001" s="2" t="inlineStr"/>
    </row>
    <row r="5002" ht="15" customHeight="1">
      <c r="A5002" t="inlineStr">
        <is>
          <t>A 17713-2026</t>
        </is>
      </c>
      <c r="B5002" t="inlineStr">
        <is>
          <t>avverkningsanmälan</t>
        </is>
      </c>
      <c r="C5002" t="inlineStr">
        <is>
          <t>Föryngringsavverkning</t>
        </is>
      </c>
      <c r="D5002" s="1" t="n">
        <v>46121</v>
      </c>
      <c r="E5002" s="1" t="n">
        <v>46323</v>
      </c>
      <c r="F5002" t="inlineStr">
        <is>
          <t>KALMAR LÄN</t>
        </is>
      </c>
      <c r="G5002" t="inlineStr">
        <is>
          <t>VIMMERBY</t>
        </is>
      </c>
      <c r="I5002" t="n">
        <v>1</v>
      </c>
      <c r="J5002" t="n">
        <v>0</v>
      </c>
      <c r="K5002" t="n">
        <v>0</v>
      </c>
      <c r="L5002" t="n">
        <v>0</v>
      </c>
      <c r="M5002" t="n">
        <v>0</v>
      </c>
      <c r="N5002" t="n">
        <v>0</v>
      </c>
      <c r="O5002" t="n">
        <v>0</v>
      </c>
      <c r="P5002" t="n">
        <v>0</v>
      </c>
      <c r="Q5002" t="n">
        <v>0</v>
      </c>
      <c r="R5002" t="n">
        <v>0</v>
      </c>
      <c r="S5002" t="n">
        <v>0</v>
      </c>
      <c r="T5002" t="n">
        <v>0</v>
      </c>
      <c r="U5002" t="n">
        <v>0</v>
      </c>
      <c r="V5002" s="2" t="inlineStr"/>
    </row>
    <row r="5003" ht="15" customHeight="1">
      <c r="A5003" t="inlineStr">
        <is>
          <t>A 34228-2024</t>
        </is>
      </c>
      <c r="B5003" t="inlineStr">
        <is>
          <t>avverkningsanmälan</t>
        </is>
      </c>
      <c r="C5003" t="inlineStr">
        <is>
          <t>Föryngringsavverkning</t>
        </is>
      </c>
      <c r="D5003" s="1" t="n">
        <v>45524</v>
      </c>
      <c r="E5003" s="1" t="n">
        <v>46323</v>
      </c>
      <c r="F5003" t="inlineStr">
        <is>
          <t>KALMAR LÄN</t>
        </is>
      </c>
      <c r="G5003" t="inlineStr">
        <is>
          <t>KALMAR</t>
        </is>
      </c>
      <c r="I5003" t="n">
        <v>4.4</v>
      </c>
      <c r="J5003" t="n">
        <v>0</v>
      </c>
      <c r="K5003" t="n">
        <v>0</v>
      </c>
      <c r="L5003" t="n">
        <v>0</v>
      </c>
      <c r="M5003" t="n">
        <v>0</v>
      </c>
      <c r="N5003" t="n">
        <v>0</v>
      </c>
      <c r="O5003" t="n">
        <v>0</v>
      </c>
      <c r="P5003" t="n">
        <v>0</v>
      </c>
      <c r="Q5003" t="n">
        <v>0</v>
      </c>
      <c r="R5003" t="n">
        <v>0</v>
      </c>
      <c r="S5003" t="n">
        <v>0</v>
      </c>
      <c r="T5003" t="n">
        <v>0</v>
      </c>
      <c r="U5003" t="n">
        <v>0</v>
      </c>
      <c r="V5003" s="2" t="inlineStr"/>
    </row>
    <row r="5004" ht="15" customHeight="1">
      <c r="A5004" t="inlineStr">
        <is>
          <t>A 17956-2026</t>
        </is>
      </c>
      <c r="B5004" t="inlineStr">
        <is>
          <t>avverkningsanmälan</t>
        </is>
      </c>
      <c r="C5004" t="inlineStr">
        <is>
          <t>Föryngringsavverkning</t>
        </is>
      </c>
      <c r="D5004" s="1" t="n">
        <v>46122</v>
      </c>
      <c r="E5004" s="1" t="n">
        <v>46323</v>
      </c>
      <c r="F5004" t="inlineStr">
        <is>
          <t>KALMAR LÄN</t>
        </is>
      </c>
      <c r="G5004" t="inlineStr">
        <is>
          <t>MÖNSTERÅS</t>
        </is>
      </c>
      <c r="I5004" t="n">
        <v>8.699999999999999</v>
      </c>
      <c r="J5004" t="n">
        <v>0</v>
      </c>
      <c r="K5004" t="n">
        <v>0</v>
      </c>
      <c r="L5004" t="n">
        <v>0</v>
      </c>
      <c r="M5004" t="n">
        <v>0</v>
      </c>
      <c r="N5004" t="n">
        <v>0</v>
      </c>
      <c r="O5004" t="n">
        <v>0</v>
      </c>
      <c r="P5004" t="n">
        <v>0</v>
      </c>
      <c r="Q5004" t="n">
        <v>0</v>
      </c>
      <c r="R5004" t="n">
        <v>0</v>
      </c>
      <c r="S5004" t="n">
        <v>0</v>
      </c>
      <c r="T5004" t="n">
        <v>0</v>
      </c>
      <c r="U5004" t="n">
        <v>0</v>
      </c>
      <c r="V5004" s="2" t="inlineStr"/>
    </row>
    <row r="5005" ht="15" customHeight="1">
      <c r="A5005" t="inlineStr">
        <is>
          <t>A 61862-2022</t>
        </is>
      </c>
      <c r="B5005" t="inlineStr">
        <is>
          <t>avverkningsanmälan</t>
        </is>
      </c>
      <c r="C5005" t="inlineStr">
        <is>
          <t>Föryngringsavverkning</t>
        </is>
      </c>
      <c r="D5005" s="1" t="n">
        <v>44917</v>
      </c>
      <c r="E5005" s="1" t="n">
        <v>46323</v>
      </c>
      <c r="F5005" t="inlineStr">
        <is>
          <t>KALMAR LÄN</t>
        </is>
      </c>
      <c r="G5005" t="inlineStr">
        <is>
          <t>OSKARSHAMN</t>
        </is>
      </c>
      <c r="I5005" t="n">
        <v>4.9</v>
      </c>
      <c r="J5005" t="n">
        <v>0</v>
      </c>
      <c r="K5005" t="n">
        <v>0</v>
      </c>
      <c r="L5005" t="n">
        <v>0</v>
      </c>
      <c r="M5005" t="n">
        <v>0</v>
      </c>
      <c r="N5005" t="n">
        <v>0</v>
      </c>
      <c r="O5005" t="n">
        <v>0</v>
      </c>
      <c r="P5005" t="n">
        <v>0</v>
      </c>
      <c r="Q5005" t="n">
        <v>0</v>
      </c>
      <c r="R5005" t="n">
        <v>0</v>
      </c>
      <c r="S5005" t="n">
        <v>0</v>
      </c>
      <c r="T5005" t="n">
        <v>0</v>
      </c>
      <c r="U5005" t="n">
        <v>0</v>
      </c>
      <c r="V5005" s="2" t="inlineStr"/>
    </row>
    <row r="5006" ht="15" customHeight="1">
      <c r="A5006" t="inlineStr">
        <is>
          <t>A 34913-2026</t>
        </is>
      </c>
      <c r="B5006" t="inlineStr">
        <is>
          <t>avverkningsanmälan</t>
        </is>
      </c>
      <c r="C5006" t="inlineStr">
        <is>
          <t>Föryngringsavverkning</t>
        </is>
      </c>
      <c r="D5006" s="1" t="n">
        <v>46255</v>
      </c>
      <c r="E5006" s="1" t="n">
        <v>46323</v>
      </c>
      <c r="F5006" t="inlineStr">
        <is>
          <t>KALMAR LÄN</t>
        </is>
      </c>
      <c r="G5006" t="inlineStr">
        <is>
          <t>EMMABODA</t>
        </is>
      </c>
      <c r="H5006" t="inlineStr">
        <is>
          <t>Kyrkan</t>
        </is>
      </c>
      <c r="I5006" t="n">
        <v>2</v>
      </c>
      <c r="J5006" t="n">
        <v>0</v>
      </c>
      <c r="K5006" t="n">
        <v>0</v>
      </c>
      <c r="L5006" t="n">
        <v>0</v>
      </c>
      <c r="M5006" t="n">
        <v>0</v>
      </c>
      <c r="N5006" t="n">
        <v>0</v>
      </c>
      <c r="O5006" t="n">
        <v>0</v>
      </c>
      <c r="P5006" t="n">
        <v>0</v>
      </c>
      <c r="Q5006" t="n">
        <v>0</v>
      </c>
      <c r="R5006" t="n">
        <v>0</v>
      </c>
      <c r="S5006" t="n">
        <v>0</v>
      </c>
      <c r="T5006" t="n">
        <v>0</v>
      </c>
      <c r="U5006" t="n">
        <v>0</v>
      </c>
      <c r="V5006" s="2" t="inlineStr"/>
    </row>
    <row r="5007" ht="15" customHeight="1">
      <c r="A5007" t="inlineStr">
        <is>
          <t>A 34958-2026</t>
        </is>
      </c>
      <c r="B5007" t="inlineStr">
        <is>
          <t>avverkningsanmälan</t>
        </is>
      </c>
      <c r="C5007" t="inlineStr">
        <is>
          <t>Föryngringsavverkning</t>
        </is>
      </c>
      <c r="D5007" s="1" t="n">
        <v>46255</v>
      </c>
      <c r="E5007" s="1" t="n">
        <v>46323</v>
      </c>
      <c r="F5007" t="inlineStr">
        <is>
          <t>KALMAR LÄN</t>
        </is>
      </c>
      <c r="G5007" t="inlineStr">
        <is>
          <t>MÖNSTERÅS</t>
        </is>
      </c>
      <c r="H5007" t="inlineStr">
        <is>
          <t>Kyrkan</t>
        </is>
      </c>
      <c r="I5007" t="n">
        <v>4.5</v>
      </c>
      <c r="J5007" t="n">
        <v>0</v>
      </c>
      <c r="K5007" t="n">
        <v>0</v>
      </c>
      <c r="L5007" t="n">
        <v>0</v>
      </c>
      <c r="M5007" t="n">
        <v>0</v>
      </c>
      <c r="N5007" t="n">
        <v>0</v>
      </c>
      <c r="O5007" t="n">
        <v>0</v>
      </c>
      <c r="P5007" t="n">
        <v>0</v>
      </c>
      <c r="Q5007" t="n">
        <v>0</v>
      </c>
      <c r="R5007" t="n">
        <v>0</v>
      </c>
      <c r="S5007" t="n">
        <v>0</v>
      </c>
      <c r="T5007" t="n">
        <v>0</v>
      </c>
      <c r="U5007" t="n">
        <v>0</v>
      </c>
      <c r="V5007" s="2" t="inlineStr"/>
      <c r="Z5007">
        <f>HYPERLINK("https://klasma.github.io/Logging_0861/knärot/A 34958-2026 karta knärot.png", "A 34958-2026")</f>
        <v/>
      </c>
      <c r="AA5007">
        <f>HYPERLINK("https://klasma.github.io/Logging_0861/klagomål/A 34958-2026 FSC-klagomål.docx", "A 34958-2026")</f>
        <v/>
      </c>
      <c r="AB5007">
        <f>HYPERLINK("https://klasma.github.io/Logging_0861/klagomålsmail/A 34958-2026 FSC-klagomål mail.docx", "A 34958-2026")</f>
        <v/>
      </c>
      <c r="AC5007">
        <f>HYPERLINK("https://klasma.github.io/Logging_0861/tillsyn/A 34958-2026 tillsynsbegäran.docx", "A 34958-2026")</f>
        <v/>
      </c>
      <c r="AD5007">
        <f>HYPERLINK("https://klasma.github.io/Logging_0861/tillsynsmail/A 34958-2026 tillsynsbegäran mail.docx", "A 34958-2026")</f>
        <v/>
      </c>
    </row>
    <row r="5008" ht="15" customHeight="1">
      <c r="A5008" t="inlineStr">
        <is>
          <t>A 31212-2026</t>
        </is>
      </c>
      <c r="B5008" t="inlineStr">
        <is>
          <t>avverkningsanmälan</t>
        </is>
      </c>
      <c r="C5008" t="inlineStr">
        <is>
          <t>Föryngringsavverkning</t>
        </is>
      </c>
      <c r="D5008" s="1" t="n">
        <v>46217</v>
      </c>
      <c r="E5008" s="1" t="n">
        <v>46323</v>
      </c>
      <c r="F5008" t="inlineStr">
        <is>
          <t>KALMAR LÄN</t>
        </is>
      </c>
      <c r="G5008" t="inlineStr">
        <is>
          <t>VÄSTERVIK</t>
        </is>
      </c>
      <c r="I5008" t="n">
        <v>0.9</v>
      </c>
      <c r="J5008" t="n">
        <v>0</v>
      </c>
      <c r="K5008" t="n">
        <v>0</v>
      </c>
      <c r="L5008" t="n">
        <v>0</v>
      </c>
      <c r="M5008" t="n">
        <v>0</v>
      </c>
      <c r="N5008" t="n">
        <v>0</v>
      </c>
      <c r="O5008" t="n">
        <v>0</v>
      </c>
      <c r="P5008" t="n">
        <v>0</v>
      </c>
      <c r="Q5008" t="n">
        <v>0</v>
      </c>
      <c r="R5008" t="n">
        <v>0</v>
      </c>
      <c r="S5008" t="n">
        <v>0</v>
      </c>
      <c r="T5008" t="n">
        <v>0</v>
      </c>
      <c r="U5008" t="n">
        <v>0</v>
      </c>
      <c r="V5008" s="2" t="inlineStr"/>
    </row>
    <row r="5009" ht="15" customHeight="1">
      <c r="A5009" t="inlineStr">
        <is>
          <t>A 17934-2026</t>
        </is>
      </c>
      <c r="B5009" t="inlineStr">
        <is>
          <t>avverkningsanmälan</t>
        </is>
      </c>
      <c r="C5009" t="inlineStr">
        <is>
          <t>Föryngringsavverkning</t>
        </is>
      </c>
      <c r="D5009" s="1" t="n">
        <v>46122</v>
      </c>
      <c r="E5009" s="1" t="n">
        <v>46323</v>
      </c>
      <c r="F5009" t="inlineStr">
        <is>
          <t>KALMAR LÄN</t>
        </is>
      </c>
      <c r="G5009" t="inlineStr">
        <is>
          <t>HÖGSBY</t>
        </is>
      </c>
      <c r="I5009" t="n">
        <v>3.3</v>
      </c>
      <c r="J5009" t="n">
        <v>0</v>
      </c>
      <c r="K5009" t="n">
        <v>0</v>
      </c>
      <c r="L5009" t="n">
        <v>0</v>
      </c>
      <c r="M5009" t="n">
        <v>0</v>
      </c>
      <c r="N5009" t="n">
        <v>0</v>
      </c>
      <c r="O5009" t="n">
        <v>0</v>
      </c>
      <c r="P5009" t="n">
        <v>0</v>
      </c>
      <c r="Q5009" t="n">
        <v>0</v>
      </c>
      <c r="R5009" t="n">
        <v>0</v>
      </c>
      <c r="S5009" t="n">
        <v>0</v>
      </c>
      <c r="T5009" t="n">
        <v>0</v>
      </c>
      <c r="U5009" t="n">
        <v>0</v>
      </c>
      <c r="V5009" s="2" t="inlineStr"/>
    </row>
    <row r="5010" ht="15" customHeight="1">
      <c r="A5010" t="inlineStr">
        <is>
          <t>A 17953-2026</t>
        </is>
      </c>
      <c r="B5010" t="inlineStr">
        <is>
          <t>avverkningsanmälan</t>
        </is>
      </c>
      <c r="C5010" t="inlineStr">
        <is>
          <t>Föryngringsavverkning</t>
        </is>
      </c>
      <c r="D5010" s="1" t="n">
        <v>46122</v>
      </c>
      <c r="E5010" s="1" t="n">
        <v>46323</v>
      </c>
      <c r="F5010" t="inlineStr">
        <is>
          <t>KALMAR LÄN</t>
        </is>
      </c>
      <c r="G5010" t="inlineStr">
        <is>
          <t>HÖGSBY</t>
        </is>
      </c>
      <c r="I5010" t="n">
        <v>4.5</v>
      </c>
      <c r="J5010" t="n">
        <v>0</v>
      </c>
      <c r="K5010" t="n">
        <v>0</v>
      </c>
      <c r="L5010" t="n">
        <v>0</v>
      </c>
      <c r="M5010" t="n">
        <v>0</v>
      </c>
      <c r="N5010" t="n">
        <v>0</v>
      </c>
      <c r="O5010" t="n">
        <v>0</v>
      </c>
      <c r="P5010" t="n">
        <v>0</v>
      </c>
      <c r="Q5010" t="n">
        <v>0</v>
      </c>
      <c r="R5010" t="n">
        <v>0</v>
      </c>
      <c r="S5010" t="n">
        <v>0</v>
      </c>
      <c r="T5010" t="n">
        <v>0</v>
      </c>
      <c r="U5010" t="n">
        <v>0</v>
      </c>
      <c r="V5010" s="2" t="inlineStr"/>
    </row>
    <row r="5011" ht="15" customHeight="1">
      <c r="A5011" t="inlineStr">
        <is>
          <t>A 17957-2026</t>
        </is>
      </c>
      <c r="B5011" t="inlineStr">
        <is>
          <t>avverkningsanmälan</t>
        </is>
      </c>
      <c r="C5011" t="inlineStr">
        <is>
          <t>Föryngringsavverkning</t>
        </is>
      </c>
      <c r="D5011" s="1" t="n">
        <v>46122</v>
      </c>
      <c r="E5011" s="1" t="n">
        <v>46323</v>
      </c>
      <c r="F5011" t="inlineStr">
        <is>
          <t>KALMAR LÄN</t>
        </is>
      </c>
      <c r="G5011" t="inlineStr">
        <is>
          <t>NYBRO</t>
        </is>
      </c>
      <c r="I5011" t="n">
        <v>2.3</v>
      </c>
      <c r="J5011" t="n">
        <v>0</v>
      </c>
      <c r="K5011" t="n">
        <v>0</v>
      </c>
      <c r="L5011" t="n">
        <v>0</v>
      </c>
      <c r="M5011" t="n">
        <v>0</v>
      </c>
      <c r="N5011" t="n">
        <v>0</v>
      </c>
      <c r="O5011" t="n">
        <v>0</v>
      </c>
      <c r="P5011" t="n">
        <v>0</v>
      </c>
      <c r="Q5011" t="n">
        <v>0</v>
      </c>
      <c r="R5011" t="n">
        <v>0</v>
      </c>
      <c r="S5011" t="n">
        <v>0</v>
      </c>
      <c r="T5011" t="n">
        <v>0</v>
      </c>
      <c r="U5011" t="n">
        <v>0</v>
      </c>
      <c r="V5011" s="2" t="inlineStr"/>
    </row>
    <row r="5012" ht="15" customHeight="1">
      <c r="A5012" t="inlineStr">
        <is>
          <t>A 63180-2021</t>
        </is>
      </c>
      <c r="B5012" t="inlineStr">
        <is>
          <t>avverkningsanmälan</t>
        </is>
      </c>
      <c r="C5012" t="inlineStr">
        <is>
          <t>Föryngringsavverkning</t>
        </is>
      </c>
      <c r="D5012" s="1" t="n">
        <v>44507</v>
      </c>
      <c r="E5012" s="1" t="n">
        <v>46323</v>
      </c>
      <c r="F5012" t="inlineStr">
        <is>
          <t>KALMAR LÄN</t>
        </is>
      </c>
      <c r="G5012" t="inlineStr">
        <is>
          <t>EMMABODA</t>
        </is>
      </c>
      <c r="I5012" t="n">
        <v>3.3</v>
      </c>
      <c r="J5012" t="n">
        <v>0</v>
      </c>
      <c r="K5012" t="n">
        <v>0</v>
      </c>
      <c r="L5012" t="n">
        <v>0</v>
      </c>
      <c r="M5012" t="n">
        <v>0</v>
      </c>
      <c r="N5012" t="n">
        <v>0</v>
      </c>
      <c r="O5012" t="n">
        <v>0</v>
      </c>
      <c r="P5012" t="n">
        <v>0</v>
      </c>
      <c r="Q5012" t="n">
        <v>0</v>
      </c>
      <c r="R5012" t="n">
        <v>0</v>
      </c>
      <c r="S5012" t="n">
        <v>0</v>
      </c>
      <c r="T5012" t="n">
        <v>0</v>
      </c>
      <c r="U5012" t="n">
        <v>0</v>
      </c>
      <c r="V5012" s="2" t="inlineStr"/>
    </row>
    <row r="5013" ht="15" customHeight="1">
      <c r="A5013" t="inlineStr">
        <is>
          <t>A 3830-2023</t>
        </is>
      </c>
      <c r="B5013" t="inlineStr">
        <is>
          <t>avverkningsanmälan</t>
        </is>
      </c>
      <c r="C5013" t="inlineStr">
        <is>
          <t>Föryngringsavverkning</t>
        </is>
      </c>
      <c r="D5013" s="1" t="n">
        <v>44951</v>
      </c>
      <c r="E5013" s="1" t="n">
        <v>46323</v>
      </c>
      <c r="F5013" t="inlineStr">
        <is>
          <t>KALMAR LÄN</t>
        </is>
      </c>
      <c r="G5013" t="inlineStr">
        <is>
          <t>OSKARSHAMN</t>
        </is>
      </c>
      <c r="I5013" t="n">
        <v>1.2</v>
      </c>
      <c r="J5013" t="n">
        <v>0</v>
      </c>
      <c r="K5013" t="n">
        <v>0</v>
      </c>
      <c r="L5013" t="n">
        <v>0</v>
      </c>
      <c r="M5013" t="n">
        <v>0</v>
      </c>
      <c r="N5013" t="n">
        <v>0</v>
      </c>
      <c r="O5013" t="n">
        <v>0</v>
      </c>
      <c r="P5013" t="n">
        <v>0</v>
      </c>
      <c r="Q5013" t="n">
        <v>0</v>
      </c>
      <c r="R5013" t="n">
        <v>0</v>
      </c>
      <c r="S5013" t="n">
        <v>0</v>
      </c>
      <c r="T5013" t="n">
        <v>0</v>
      </c>
      <c r="U5013" t="n">
        <v>0</v>
      </c>
      <c r="V5013" s="2" t="inlineStr"/>
    </row>
    <row r="5014" ht="15" customHeight="1">
      <c r="A5014" t="inlineStr">
        <is>
          <t>A 41318-2026</t>
        </is>
      </c>
      <c r="B5014" t="inlineStr">
        <is>
          <t>avverkningsanmälan</t>
        </is>
      </c>
      <c r="C5014" t="inlineStr">
        <is>
          <t>Föryngringsavverkning</t>
        </is>
      </c>
      <c r="D5014" s="1" t="n">
        <v>46300</v>
      </c>
      <c r="E5014" s="1" t="n">
        <v>46323</v>
      </c>
      <c r="F5014" t="inlineStr">
        <is>
          <t>KALMAR LÄN</t>
        </is>
      </c>
      <c r="G5014" t="inlineStr">
        <is>
          <t>NYBRO</t>
        </is>
      </c>
      <c r="H5014" t="inlineStr">
        <is>
          <t>Sveaskog</t>
        </is>
      </c>
      <c r="I5014" t="n">
        <v>0.6</v>
      </c>
      <c r="J5014" t="n">
        <v>0</v>
      </c>
      <c r="K5014" t="n">
        <v>0</v>
      </c>
      <c r="L5014" t="n">
        <v>0</v>
      </c>
      <c r="M5014" t="n">
        <v>0</v>
      </c>
      <c r="N5014" t="n">
        <v>0</v>
      </c>
      <c r="O5014" t="n">
        <v>0</v>
      </c>
      <c r="P5014" t="n">
        <v>0</v>
      </c>
      <c r="Q5014" t="n">
        <v>0</v>
      </c>
      <c r="R5014" t="n">
        <v>0</v>
      </c>
      <c r="S5014" t="n">
        <v>0</v>
      </c>
      <c r="T5014" t="n">
        <v>0</v>
      </c>
      <c r="U5014" t="n">
        <v>0</v>
      </c>
      <c r="V5014" s="2" t="inlineStr"/>
    </row>
    <row r="5015" ht="15" customHeight="1">
      <c r="A5015" t="inlineStr">
        <is>
          <t>A 3938-2023</t>
        </is>
      </c>
      <c r="B5015" t="inlineStr">
        <is>
          <t>avverkningsanmälan</t>
        </is>
      </c>
      <c r="C5015" t="inlineStr">
        <is>
          <t>Föryngringsavverkning</t>
        </is>
      </c>
      <c r="D5015" s="1" t="n">
        <v>44952</v>
      </c>
      <c r="E5015" s="1" t="n">
        <v>46323</v>
      </c>
      <c r="F5015" t="inlineStr">
        <is>
          <t>KALMAR LÄN</t>
        </is>
      </c>
      <c r="G5015" t="inlineStr">
        <is>
          <t>VIMMERBY</t>
        </is>
      </c>
      <c r="I5015" t="n">
        <v>0.9</v>
      </c>
      <c r="J5015" t="n">
        <v>0</v>
      </c>
      <c r="K5015" t="n">
        <v>0</v>
      </c>
      <c r="L5015" t="n">
        <v>0</v>
      </c>
      <c r="M5015" t="n">
        <v>0</v>
      </c>
      <c r="N5015" t="n">
        <v>0</v>
      </c>
      <c r="O5015" t="n">
        <v>0</v>
      </c>
      <c r="P5015" t="n">
        <v>0</v>
      </c>
      <c r="Q5015" t="n">
        <v>0</v>
      </c>
      <c r="R5015" t="n">
        <v>0</v>
      </c>
      <c r="S5015" t="n">
        <v>0</v>
      </c>
      <c r="T5015" t="n">
        <v>0</v>
      </c>
      <c r="U5015" t="n">
        <v>0</v>
      </c>
      <c r="V5015" s="2" t="inlineStr"/>
    </row>
    <row r="5016" ht="15" customHeight="1">
      <c r="A5016" t="inlineStr">
        <is>
          <t>A 40858-2026</t>
        </is>
      </c>
      <c r="B5016" t="inlineStr">
        <is>
          <t>avverkningsanmälan</t>
        </is>
      </c>
      <c r="C5016" t="inlineStr">
        <is>
          <t>Avverkning för annat ändamål</t>
        </is>
      </c>
      <c r="D5016" s="1" t="n">
        <v>46296</v>
      </c>
      <c r="E5016" s="1" t="n">
        <v>46323</v>
      </c>
      <c r="F5016" t="inlineStr">
        <is>
          <t>KALMAR LÄN</t>
        </is>
      </c>
      <c r="G5016" t="inlineStr">
        <is>
          <t>VIMMERBY</t>
        </is>
      </c>
      <c r="I5016" t="n">
        <v>0.2</v>
      </c>
      <c r="J5016" t="n">
        <v>0</v>
      </c>
      <c r="K5016" t="n">
        <v>0</v>
      </c>
      <c r="L5016" t="n">
        <v>0</v>
      </c>
      <c r="M5016" t="n">
        <v>0</v>
      </c>
      <c r="N5016" t="n">
        <v>0</v>
      </c>
      <c r="O5016" t="n">
        <v>0</v>
      </c>
      <c r="P5016" t="n">
        <v>0</v>
      </c>
      <c r="Q5016" t="n">
        <v>0</v>
      </c>
      <c r="R5016" t="n">
        <v>0</v>
      </c>
      <c r="S5016" t="n">
        <v>0</v>
      </c>
      <c r="T5016" t="n">
        <v>0</v>
      </c>
      <c r="U5016" t="n">
        <v>0</v>
      </c>
      <c r="V5016" s="2" t="inlineStr"/>
    </row>
    <row r="5017" ht="15" customHeight="1">
      <c r="A5017" t="inlineStr">
        <is>
          <t>A 11155-2023</t>
        </is>
      </c>
      <c r="B5017" t="inlineStr">
        <is>
          <t>avverkningsanmälan</t>
        </is>
      </c>
      <c r="C5017" t="inlineStr">
        <is>
          <t>Föryngringsavverkning</t>
        </is>
      </c>
      <c r="D5017" s="1" t="n">
        <v>44992</v>
      </c>
      <c r="E5017" s="1" t="n">
        <v>46323</v>
      </c>
      <c r="F5017" t="inlineStr">
        <is>
          <t>KALMAR LÄN</t>
        </is>
      </c>
      <c r="G5017" t="inlineStr">
        <is>
          <t>NYBRO</t>
        </is>
      </c>
      <c r="I5017" t="n">
        <v>0.6</v>
      </c>
      <c r="J5017" t="n">
        <v>0</v>
      </c>
      <c r="K5017" t="n">
        <v>0</v>
      </c>
      <c r="L5017" t="n">
        <v>0</v>
      </c>
      <c r="M5017" t="n">
        <v>0</v>
      </c>
      <c r="N5017" t="n">
        <v>0</v>
      </c>
      <c r="O5017" t="n">
        <v>0</v>
      </c>
      <c r="P5017" t="n">
        <v>0</v>
      </c>
      <c r="Q5017" t="n">
        <v>0</v>
      </c>
      <c r="R5017" t="n">
        <v>0</v>
      </c>
      <c r="S5017" t="n">
        <v>0</v>
      </c>
      <c r="T5017" t="n">
        <v>0</v>
      </c>
      <c r="U5017" t="n">
        <v>0</v>
      </c>
      <c r="V5017" s="2" t="inlineStr"/>
    </row>
    <row r="5018" ht="15" customHeight="1">
      <c r="A5018" t="inlineStr">
        <is>
          <t>A 22131-2022</t>
        </is>
      </c>
      <c r="B5018" t="inlineStr">
        <is>
          <t>avverkningsanmälan</t>
        </is>
      </c>
      <c r="C5018" t="inlineStr">
        <is>
          <t>Föryngringsavverkning</t>
        </is>
      </c>
      <c r="D5018" s="1" t="n">
        <v>44712</v>
      </c>
      <c r="E5018" s="1" t="n">
        <v>46323</v>
      </c>
      <c r="F5018" t="inlineStr">
        <is>
          <t>KALMAR LÄN</t>
        </is>
      </c>
      <c r="G5018" t="inlineStr">
        <is>
          <t>KALMAR</t>
        </is>
      </c>
      <c r="I5018" t="n">
        <v>1.5</v>
      </c>
      <c r="J5018" t="n">
        <v>0</v>
      </c>
      <c r="K5018" t="n">
        <v>0</v>
      </c>
      <c r="L5018" t="n">
        <v>0</v>
      </c>
      <c r="M5018" t="n">
        <v>0</v>
      </c>
      <c r="N5018" t="n">
        <v>0</v>
      </c>
      <c r="O5018" t="n">
        <v>0</v>
      </c>
      <c r="P5018" t="n">
        <v>0</v>
      </c>
      <c r="Q5018" t="n">
        <v>0</v>
      </c>
      <c r="R5018" t="n">
        <v>0</v>
      </c>
      <c r="S5018" t="n">
        <v>0</v>
      </c>
      <c r="T5018" t="n">
        <v>0</v>
      </c>
      <c r="U5018" t="n">
        <v>0</v>
      </c>
      <c r="V5018" s="2" t="inlineStr"/>
    </row>
    <row r="5019" ht="15" customHeight="1">
      <c r="A5019" t="inlineStr">
        <is>
          <t>A 36260-2022</t>
        </is>
      </c>
      <c r="B5019" t="inlineStr">
        <is>
          <t>avverkningsanmälan</t>
        </is>
      </c>
      <c r="C5019" t="inlineStr">
        <is>
          <t>Föryngringsavverkning</t>
        </is>
      </c>
      <c r="D5019" s="1" t="n">
        <v>44803</v>
      </c>
      <c r="E5019" s="1" t="n">
        <v>46323</v>
      </c>
      <c r="F5019" t="inlineStr">
        <is>
          <t>KALMAR LÄN</t>
        </is>
      </c>
      <c r="G5019" t="inlineStr">
        <is>
          <t>KALMAR</t>
        </is>
      </c>
      <c r="I5019" t="n">
        <v>0.7</v>
      </c>
      <c r="J5019" t="n">
        <v>0</v>
      </c>
      <c r="K5019" t="n">
        <v>0</v>
      </c>
      <c r="L5019" t="n">
        <v>0</v>
      </c>
      <c r="M5019" t="n">
        <v>0</v>
      </c>
      <c r="N5019" t="n">
        <v>0</v>
      </c>
      <c r="O5019" t="n">
        <v>0</v>
      </c>
      <c r="P5019" t="n">
        <v>0</v>
      </c>
      <c r="Q5019" t="n">
        <v>0</v>
      </c>
      <c r="R5019" t="n">
        <v>0</v>
      </c>
      <c r="S5019" t="n">
        <v>0</v>
      </c>
      <c r="T5019" t="n">
        <v>0</v>
      </c>
      <c r="U5019" t="n">
        <v>0</v>
      </c>
      <c r="V5019" s="2" t="inlineStr"/>
    </row>
    <row r="5020" ht="15" customHeight="1">
      <c r="A5020" t="inlineStr">
        <is>
          <t>A 26711-2023</t>
        </is>
      </c>
      <c r="B5020" t="inlineStr">
        <is>
          <t>avverkningsanmälan</t>
        </is>
      </c>
      <c r="C5020" t="inlineStr">
        <is>
          <t>Föryngringsavverkning</t>
        </is>
      </c>
      <c r="D5020" s="1" t="n">
        <v>45093</v>
      </c>
      <c r="E5020" s="1" t="n">
        <v>46323</v>
      </c>
      <c r="F5020" t="inlineStr">
        <is>
          <t>KALMAR LÄN</t>
        </is>
      </c>
      <c r="G5020" t="inlineStr">
        <is>
          <t>TORSÅS</t>
        </is>
      </c>
      <c r="I5020" t="n">
        <v>1</v>
      </c>
      <c r="J5020" t="n">
        <v>0</v>
      </c>
      <c r="K5020" t="n">
        <v>0</v>
      </c>
      <c r="L5020" t="n">
        <v>0</v>
      </c>
      <c r="M5020" t="n">
        <v>0</v>
      </c>
      <c r="N5020" t="n">
        <v>0</v>
      </c>
      <c r="O5020" t="n">
        <v>0</v>
      </c>
      <c r="P5020" t="n">
        <v>0</v>
      </c>
      <c r="Q5020" t="n">
        <v>0</v>
      </c>
      <c r="R5020" t="n">
        <v>0</v>
      </c>
      <c r="S5020" t="n">
        <v>0</v>
      </c>
      <c r="T5020" t="n">
        <v>0</v>
      </c>
      <c r="U5020" t="n">
        <v>0</v>
      </c>
      <c r="V5020" s="2" t="inlineStr"/>
    </row>
    <row r="5021" ht="15" customHeight="1">
      <c r="A5021" t="inlineStr">
        <is>
          <t>A 26714-2023</t>
        </is>
      </c>
      <c r="B5021" t="inlineStr">
        <is>
          <t>avverkningsanmälan</t>
        </is>
      </c>
      <c r="C5021" t="inlineStr">
        <is>
          <t>Föryngringsavverkning</t>
        </is>
      </c>
      <c r="D5021" s="1" t="n">
        <v>45093</v>
      </c>
      <c r="E5021" s="1" t="n">
        <v>46323</v>
      </c>
      <c r="F5021" t="inlineStr">
        <is>
          <t>KALMAR LÄN</t>
        </is>
      </c>
      <c r="G5021" t="inlineStr">
        <is>
          <t>TORSÅS</t>
        </is>
      </c>
      <c r="I5021" t="n">
        <v>1</v>
      </c>
      <c r="J5021" t="n">
        <v>0</v>
      </c>
      <c r="K5021" t="n">
        <v>0</v>
      </c>
      <c r="L5021" t="n">
        <v>0</v>
      </c>
      <c r="M5021" t="n">
        <v>0</v>
      </c>
      <c r="N5021" t="n">
        <v>0</v>
      </c>
      <c r="O5021" t="n">
        <v>0</v>
      </c>
      <c r="P5021" t="n">
        <v>0</v>
      </c>
      <c r="Q5021" t="n">
        <v>0</v>
      </c>
      <c r="R5021" t="n">
        <v>0</v>
      </c>
      <c r="S5021" t="n">
        <v>0</v>
      </c>
      <c r="T5021" t="n">
        <v>0</v>
      </c>
      <c r="U5021" t="n">
        <v>0</v>
      </c>
      <c r="V5021" s="2" t="inlineStr"/>
    </row>
    <row r="5022" ht="15" customHeight="1">
      <c r="A5022" t="inlineStr">
        <is>
          <t>A 20052-2026</t>
        </is>
      </c>
      <c r="B5022" t="inlineStr">
        <is>
          <t>avverkningsanmälan</t>
        </is>
      </c>
      <c r="C5022" t="inlineStr">
        <is>
          <t>Föryngringsavverkning</t>
        </is>
      </c>
      <c r="D5022" s="1" t="n">
        <v>46136</v>
      </c>
      <c r="E5022" s="1" t="n">
        <v>46323</v>
      </c>
      <c r="F5022" t="inlineStr">
        <is>
          <t>KALMAR LÄN</t>
        </is>
      </c>
      <c r="G5022" t="inlineStr">
        <is>
          <t>HULTSFRED</t>
        </is>
      </c>
      <c r="I5022" t="n">
        <v>1.5</v>
      </c>
      <c r="J5022" t="n">
        <v>0</v>
      </c>
      <c r="K5022" t="n">
        <v>0</v>
      </c>
      <c r="L5022" t="n">
        <v>0</v>
      </c>
      <c r="M5022" t="n">
        <v>0</v>
      </c>
      <c r="N5022" t="n">
        <v>0</v>
      </c>
      <c r="O5022" t="n">
        <v>0</v>
      </c>
      <c r="P5022" t="n">
        <v>0</v>
      </c>
      <c r="Q5022" t="n">
        <v>0</v>
      </c>
      <c r="R5022" t="n">
        <v>0</v>
      </c>
      <c r="S5022" t="n">
        <v>0</v>
      </c>
      <c r="T5022" t="n">
        <v>0</v>
      </c>
      <c r="U5022" t="n">
        <v>0</v>
      </c>
      <c r="V5022" s="2" t="inlineStr"/>
    </row>
    <row r="5023" ht="15" customHeight="1">
      <c r="A5023" t="inlineStr">
        <is>
          <t>A 59202-2022</t>
        </is>
      </c>
      <c r="B5023" t="inlineStr">
        <is>
          <t>avverkningsanmälan</t>
        </is>
      </c>
      <c r="C5023" t="inlineStr">
        <is>
          <t>Föryngringsavverkning</t>
        </is>
      </c>
      <c r="D5023" s="1" t="n">
        <v>44904</v>
      </c>
      <c r="E5023" s="1" t="n">
        <v>46323</v>
      </c>
      <c r="F5023" t="inlineStr">
        <is>
          <t>KALMAR LÄN</t>
        </is>
      </c>
      <c r="G5023" t="inlineStr">
        <is>
          <t>VÄSTERVIK</t>
        </is>
      </c>
      <c r="I5023" t="n">
        <v>1.5</v>
      </c>
      <c r="J5023" t="n">
        <v>0</v>
      </c>
      <c r="K5023" t="n">
        <v>0</v>
      </c>
      <c r="L5023" t="n">
        <v>0</v>
      </c>
      <c r="M5023" t="n">
        <v>0</v>
      </c>
      <c r="N5023" t="n">
        <v>0</v>
      </c>
      <c r="O5023" t="n">
        <v>0</v>
      </c>
      <c r="P5023" t="n">
        <v>0</v>
      </c>
      <c r="Q5023" t="n">
        <v>0</v>
      </c>
      <c r="R5023" t="n">
        <v>0</v>
      </c>
      <c r="S5023" t="n">
        <v>0</v>
      </c>
      <c r="T5023" t="n">
        <v>0</v>
      </c>
      <c r="U5023" t="n">
        <v>0</v>
      </c>
      <c r="V5023" s="2" t="inlineStr"/>
    </row>
    <row r="5024" ht="15" customHeight="1">
      <c r="A5024" t="inlineStr">
        <is>
          <t>A 59220-2022</t>
        </is>
      </c>
      <c r="B5024" t="inlineStr">
        <is>
          <t>avverkningsanmälan</t>
        </is>
      </c>
      <c r="C5024" t="inlineStr">
        <is>
          <t>Föryngringsavverkning</t>
        </is>
      </c>
      <c r="D5024" s="1" t="n">
        <v>44904</v>
      </c>
      <c r="E5024" s="1" t="n">
        <v>46323</v>
      </c>
      <c r="F5024" t="inlineStr">
        <is>
          <t>KALMAR LÄN</t>
        </is>
      </c>
      <c r="G5024" t="inlineStr">
        <is>
          <t>VÄSTERVIK</t>
        </is>
      </c>
      <c r="I5024" t="n">
        <v>1.3</v>
      </c>
      <c r="J5024" t="n">
        <v>0</v>
      </c>
      <c r="K5024" t="n">
        <v>0</v>
      </c>
      <c r="L5024" t="n">
        <v>0</v>
      </c>
      <c r="M5024" t="n">
        <v>0</v>
      </c>
      <c r="N5024" t="n">
        <v>0</v>
      </c>
      <c r="O5024" t="n">
        <v>0</v>
      </c>
      <c r="P5024" t="n">
        <v>0</v>
      </c>
      <c r="Q5024" t="n">
        <v>0</v>
      </c>
      <c r="R5024" t="n">
        <v>0</v>
      </c>
      <c r="S5024" t="n">
        <v>0</v>
      </c>
      <c r="T5024" t="n">
        <v>0</v>
      </c>
      <c r="U5024" t="n">
        <v>0</v>
      </c>
      <c r="V5024" s="2" t="inlineStr"/>
    </row>
    <row r="5025" ht="15" customHeight="1">
      <c r="A5025" t="inlineStr">
        <is>
          <t>A 18122-2026</t>
        </is>
      </c>
      <c r="B5025" t="inlineStr">
        <is>
          <t>avverkningsanmälan</t>
        </is>
      </c>
      <c r="C5025" t="inlineStr">
        <is>
          <t>Föryngringsavverkning</t>
        </is>
      </c>
      <c r="D5025" s="1" t="n">
        <v>46125</v>
      </c>
      <c r="E5025" s="1" t="n">
        <v>46323</v>
      </c>
      <c r="F5025" t="inlineStr">
        <is>
          <t>KALMAR LÄN</t>
        </is>
      </c>
      <c r="G5025" t="inlineStr">
        <is>
          <t>VIMMERBY</t>
        </is>
      </c>
      <c r="I5025" t="n">
        <v>1.3</v>
      </c>
      <c r="J5025" t="n">
        <v>0</v>
      </c>
      <c r="K5025" t="n">
        <v>0</v>
      </c>
      <c r="L5025" t="n">
        <v>0</v>
      </c>
      <c r="M5025" t="n">
        <v>0</v>
      </c>
      <c r="N5025" t="n">
        <v>0</v>
      </c>
      <c r="O5025" t="n">
        <v>0</v>
      </c>
      <c r="P5025" t="n">
        <v>0</v>
      </c>
      <c r="Q5025" t="n">
        <v>0</v>
      </c>
      <c r="R5025" t="n">
        <v>0</v>
      </c>
      <c r="S5025" t="n">
        <v>0</v>
      </c>
      <c r="T5025" t="n">
        <v>0</v>
      </c>
      <c r="U5025" t="n">
        <v>0</v>
      </c>
      <c r="V5025" s="2" t="inlineStr"/>
    </row>
    <row r="5026" ht="15" customHeight="1">
      <c r="A5026" t="inlineStr">
        <is>
          <t>A 8735-2023</t>
        </is>
      </c>
      <c r="B5026" t="inlineStr">
        <is>
          <t>avverkningsanmälan</t>
        </is>
      </c>
      <c r="C5026" t="inlineStr">
        <is>
          <t>Föryngringsavverkning</t>
        </is>
      </c>
      <c r="D5026" s="1" t="n">
        <v>44978</v>
      </c>
      <c r="E5026" s="1" t="n">
        <v>46323</v>
      </c>
      <c r="F5026" t="inlineStr">
        <is>
          <t>KALMAR LÄN</t>
        </is>
      </c>
      <c r="G5026" t="inlineStr">
        <is>
          <t>KALMAR</t>
        </is>
      </c>
      <c r="I5026" t="n">
        <v>1.5</v>
      </c>
      <c r="J5026" t="n">
        <v>0</v>
      </c>
      <c r="K5026" t="n">
        <v>0</v>
      </c>
      <c r="L5026" t="n">
        <v>0</v>
      </c>
      <c r="M5026" t="n">
        <v>0</v>
      </c>
      <c r="N5026" t="n">
        <v>0</v>
      </c>
      <c r="O5026" t="n">
        <v>0</v>
      </c>
      <c r="P5026" t="n">
        <v>0</v>
      </c>
      <c r="Q5026" t="n">
        <v>0</v>
      </c>
      <c r="R5026" t="n">
        <v>0</v>
      </c>
      <c r="S5026" t="n">
        <v>0</v>
      </c>
      <c r="T5026" t="n">
        <v>0</v>
      </c>
      <c r="U5026" t="n">
        <v>0</v>
      </c>
      <c r="V5026" s="2" t="inlineStr"/>
    </row>
    <row r="5027" ht="15" customHeight="1">
      <c r="A5027" t="inlineStr">
        <is>
          <t>A 33252-2026</t>
        </is>
      </c>
      <c r="B5027" t="inlineStr">
        <is>
          <t>avverkningsanmälan</t>
        </is>
      </c>
      <c r="C5027" t="inlineStr">
        <is>
          <t>Föryngringsavverkning</t>
        </is>
      </c>
      <c r="D5027" s="1" t="n">
        <v>46246</v>
      </c>
      <c r="E5027" s="1" t="n">
        <v>46323</v>
      </c>
      <c r="F5027" t="inlineStr">
        <is>
          <t>KALMAR LÄN</t>
        </is>
      </c>
      <c r="G5027" t="inlineStr">
        <is>
          <t>NYBRO</t>
        </is>
      </c>
      <c r="I5027" t="n">
        <v>2.8</v>
      </c>
      <c r="J5027" t="n">
        <v>0</v>
      </c>
      <c r="K5027" t="n">
        <v>0</v>
      </c>
      <c r="L5027" t="n">
        <v>0</v>
      </c>
      <c r="M5027" t="n">
        <v>0</v>
      </c>
      <c r="N5027" t="n">
        <v>0</v>
      </c>
      <c r="O5027" t="n">
        <v>0</v>
      </c>
      <c r="P5027" t="n">
        <v>0</v>
      </c>
      <c r="Q5027" t="n">
        <v>0</v>
      </c>
      <c r="R5027" t="n">
        <v>0</v>
      </c>
      <c r="S5027" t="n">
        <v>0</v>
      </c>
      <c r="T5027" t="n">
        <v>0</v>
      </c>
      <c r="U5027" t="n">
        <v>0</v>
      </c>
      <c r="V5027" s="2" t="inlineStr"/>
    </row>
    <row r="5028" ht="15" customHeight="1">
      <c r="A5028" t="inlineStr">
        <is>
          <t>A 41230-2026</t>
        </is>
      </c>
      <c r="B5028" t="inlineStr">
        <is>
          <t>avverkningsanmälan</t>
        </is>
      </c>
      <c r="C5028" t="inlineStr">
        <is>
          <t>Föryngringsavverkning</t>
        </is>
      </c>
      <c r="D5028" s="1" t="n">
        <v>46300</v>
      </c>
      <c r="E5028" s="1" t="n">
        <v>46323</v>
      </c>
      <c r="F5028" t="inlineStr">
        <is>
          <t>KALMAR LÄN</t>
        </is>
      </c>
      <c r="G5028" t="inlineStr">
        <is>
          <t>VÄSTERVIK</t>
        </is>
      </c>
      <c r="H5028" t="inlineStr">
        <is>
          <t>Sveaskog</t>
        </is>
      </c>
      <c r="I5028" t="n">
        <v>6</v>
      </c>
      <c r="J5028" t="n">
        <v>0</v>
      </c>
      <c r="K5028" t="n">
        <v>0</v>
      </c>
      <c r="L5028" t="n">
        <v>0</v>
      </c>
      <c r="M5028" t="n">
        <v>0</v>
      </c>
      <c r="N5028" t="n">
        <v>0</v>
      </c>
      <c r="O5028" t="n">
        <v>0</v>
      </c>
      <c r="P5028" t="n">
        <v>0</v>
      </c>
      <c r="Q5028" t="n">
        <v>0</v>
      </c>
      <c r="R5028" t="n">
        <v>0</v>
      </c>
      <c r="S5028" t="n">
        <v>0</v>
      </c>
      <c r="T5028" t="n">
        <v>0</v>
      </c>
      <c r="U5028" t="n">
        <v>0</v>
      </c>
      <c r="V5028" s="2" t="inlineStr"/>
    </row>
    <row r="5029" ht="15" customHeight="1">
      <c r="A5029" t="inlineStr">
        <is>
          <t>A 26927-2023</t>
        </is>
      </c>
      <c r="B5029" t="inlineStr">
        <is>
          <t>avverkningsanmälan</t>
        </is>
      </c>
      <c r="C5029" t="inlineStr">
        <is>
          <t>Föryngringsavverkning</t>
        </is>
      </c>
      <c r="D5029" s="1" t="n">
        <v>45093</v>
      </c>
      <c r="E5029" s="1" t="n">
        <v>46323</v>
      </c>
      <c r="F5029" t="inlineStr">
        <is>
          <t>KALMAR LÄN</t>
        </is>
      </c>
      <c r="G5029" t="inlineStr">
        <is>
          <t>HÖGSBY</t>
        </is>
      </c>
      <c r="I5029" t="n">
        <v>1.4</v>
      </c>
      <c r="J5029" t="n">
        <v>0</v>
      </c>
      <c r="K5029" t="n">
        <v>0</v>
      </c>
      <c r="L5029" t="n">
        <v>0</v>
      </c>
      <c r="M5029" t="n">
        <v>0</v>
      </c>
      <c r="N5029" t="n">
        <v>0</v>
      </c>
      <c r="O5029" t="n">
        <v>0</v>
      </c>
      <c r="P5029" t="n">
        <v>0</v>
      </c>
      <c r="Q5029" t="n">
        <v>0</v>
      </c>
      <c r="R5029" t="n">
        <v>0</v>
      </c>
      <c r="S5029" t="n">
        <v>0</v>
      </c>
      <c r="T5029" t="n">
        <v>0</v>
      </c>
      <c r="U5029" t="n">
        <v>0</v>
      </c>
      <c r="V5029" s="2" t="inlineStr"/>
    </row>
    <row r="5030" ht="15" customHeight="1">
      <c r="A5030" t="inlineStr">
        <is>
          <t>A 18090-2026</t>
        </is>
      </c>
      <c r="B5030" t="inlineStr">
        <is>
          <t>avverkningsanmälan</t>
        </is>
      </c>
      <c r="C5030" t="inlineStr">
        <is>
          <t>Föryngringsavverkning</t>
        </is>
      </c>
      <c r="D5030" s="1" t="n">
        <v>46125</v>
      </c>
      <c r="E5030" s="1" t="n">
        <v>46323</v>
      </c>
      <c r="F5030" t="inlineStr">
        <is>
          <t>KALMAR LÄN</t>
        </is>
      </c>
      <c r="G5030" t="inlineStr">
        <is>
          <t>NYBRO</t>
        </is>
      </c>
      <c r="I5030" t="n">
        <v>1.2</v>
      </c>
      <c r="J5030" t="n">
        <v>0</v>
      </c>
      <c r="K5030" t="n">
        <v>0</v>
      </c>
      <c r="L5030" t="n">
        <v>0</v>
      </c>
      <c r="M5030" t="n">
        <v>0</v>
      </c>
      <c r="N5030" t="n">
        <v>0</v>
      </c>
      <c r="O5030" t="n">
        <v>0</v>
      </c>
      <c r="P5030" t="n">
        <v>0</v>
      </c>
      <c r="Q5030" t="n">
        <v>0</v>
      </c>
      <c r="R5030" t="n">
        <v>0</v>
      </c>
      <c r="S5030" t="n">
        <v>0</v>
      </c>
      <c r="T5030" t="n">
        <v>0</v>
      </c>
      <c r="U5030" t="n">
        <v>0</v>
      </c>
      <c r="V5030" s="2" t="inlineStr"/>
    </row>
    <row r="5031" ht="15" customHeight="1">
      <c r="A5031" t="inlineStr">
        <is>
          <t>A 50085-2023</t>
        </is>
      </c>
      <c r="B5031" t="inlineStr">
        <is>
          <t>avverkningsanmälan</t>
        </is>
      </c>
      <c r="C5031" t="inlineStr">
        <is>
          <t>Föryngringsavverkning</t>
        </is>
      </c>
      <c r="D5031" s="1" t="n">
        <v>45215</v>
      </c>
      <c r="E5031" s="1" t="n">
        <v>46323</v>
      </c>
      <c r="F5031" t="inlineStr">
        <is>
          <t>KALMAR LÄN</t>
        </is>
      </c>
      <c r="G5031" t="inlineStr">
        <is>
          <t>VIMMERBY</t>
        </is>
      </c>
      <c r="I5031" t="n">
        <v>1.1</v>
      </c>
      <c r="J5031" t="n">
        <v>0</v>
      </c>
      <c r="K5031" t="n">
        <v>0</v>
      </c>
      <c r="L5031" t="n">
        <v>0</v>
      </c>
      <c r="M5031" t="n">
        <v>0</v>
      </c>
      <c r="N5031" t="n">
        <v>0</v>
      </c>
      <c r="O5031" t="n">
        <v>0</v>
      </c>
      <c r="P5031" t="n">
        <v>0</v>
      </c>
      <c r="Q5031" t="n">
        <v>0</v>
      </c>
      <c r="R5031" t="n">
        <v>0</v>
      </c>
      <c r="S5031" t="n">
        <v>0</v>
      </c>
      <c r="T5031" t="n">
        <v>0</v>
      </c>
      <c r="U5031" t="n">
        <v>0</v>
      </c>
      <c r="V5031" s="2" t="inlineStr"/>
    </row>
    <row r="5032" ht="15" customHeight="1">
      <c r="A5032" t="inlineStr">
        <is>
          <t>A 33375-2026</t>
        </is>
      </c>
      <c r="B5032" t="inlineStr">
        <is>
          <t>avverkningsanmälan</t>
        </is>
      </c>
      <c r="C5032" t="inlineStr">
        <is>
          <t>Föryngringsavverkning</t>
        </is>
      </c>
      <c r="D5032" s="1" t="n">
        <v>46247</v>
      </c>
      <c r="E5032" s="1" t="n">
        <v>46323</v>
      </c>
      <c r="F5032" t="inlineStr">
        <is>
          <t>KALMAR LÄN</t>
        </is>
      </c>
      <c r="G5032" t="inlineStr">
        <is>
          <t>HULTSFRED</t>
        </is>
      </c>
      <c r="I5032" t="n">
        <v>2.1</v>
      </c>
      <c r="J5032" t="n">
        <v>0</v>
      </c>
      <c r="K5032" t="n">
        <v>0</v>
      </c>
      <c r="L5032" t="n">
        <v>0</v>
      </c>
      <c r="M5032" t="n">
        <v>0</v>
      </c>
      <c r="N5032" t="n">
        <v>0</v>
      </c>
      <c r="O5032" t="n">
        <v>0</v>
      </c>
      <c r="P5032" t="n">
        <v>0</v>
      </c>
      <c r="Q5032" t="n">
        <v>0</v>
      </c>
      <c r="R5032" t="n">
        <v>0</v>
      </c>
      <c r="S5032" t="n">
        <v>0</v>
      </c>
      <c r="T5032" t="n">
        <v>0</v>
      </c>
      <c r="U5032" t="n">
        <v>0</v>
      </c>
      <c r="V5032" s="2" t="inlineStr"/>
    </row>
    <row r="5033" ht="15" customHeight="1">
      <c r="A5033" t="inlineStr">
        <is>
          <t>A 34891-2026</t>
        </is>
      </c>
      <c r="B5033" t="inlineStr">
        <is>
          <t>avverkningsanmälan</t>
        </is>
      </c>
      <c r="C5033" t="inlineStr">
        <is>
          <t>Föryngringsavverkning</t>
        </is>
      </c>
      <c r="D5033" s="1" t="n">
        <v>46255</v>
      </c>
      <c r="E5033" s="1" t="n">
        <v>46323</v>
      </c>
      <c r="F5033" t="inlineStr">
        <is>
          <t>KALMAR LÄN</t>
        </is>
      </c>
      <c r="G5033" t="inlineStr">
        <is>
          <t>EMMABODA</t>
        </is>
      </c>
      <c r="H5033" t="inlineStr">
        <is>
          <t>Kyrkan</t>
        </is>
      </c>
      <c r="I5033" t="n">
        <v>3</v>
      </c>
      <c r="J5033" t="n">
        <v>0</v>
      </c>
      <c r="K5033" t="n">
        <v>0</v>
      </c>
      <c r="L5033" t="n">
        <v>0</v>
      </c>
      <c r="M5033" t="n">
        <v>0</v>
      </c>
      <c r="N5033" t="n">
        <v>0</v>
      </c>
      <c r="O5033" t="n">
        <v>0</v>
      </c>
      <c r="P5033" t="n">
        <v>0</v>
      </c>
      <c r="Q5033" t="n">
        <v>0</v>
      </c>
      <c r="R5033" t="n">
        <v>0</v>
      </c>
      <c r="S5033" t="n">
        <v>0</v>
      </c>
      <c r="T5033" t="n">
        <v>0</v>
      </c>
      <c r="U5033" t="n">
        <v>0</v>
      </c>
      <c r="V5033" s="2" t="inlineStr"/>
    </row>
    <row r="5034" ht="15" customHeight="1">
      <c r="A5034" t="inlineStr">
        <is>
          <t>A 34923-2026</t>
        </is>
      </c>
      <c r="B5034" t="inlineStr">
        <is>
          <t>avverkningsanmälan</t>
        </is>
      </c>
      <c r="C5034" t="inlineStr">
        <is>
          <t>Föryngringsavverkning</t>
        </is>
      </c>
      <c r="D5034" s="1" t="n">
        <v>46255</v>
      </c>
      <c r="E5034" s="1" t="n">
        <v>46323</v>
      </c>
      <c r="F5034" t="inlineStr">
        <is>
          <t>KALMAR LÄN</t>
        </is>
      </c>
      <c r="G5034" t="inlineStr">
        <is>
          <t>NYBRO</t>
        </is>
      </c>
      <c r="H5034" t="inlineStr">
        <is>
          <t>Kyrkan</t>
        </is>
      </c>
      <c r="I5034" t="n">
        <v>4.1</v>
      </c>
      <c r="J5034" t="n">
        <v>0</v>
      </c>
      <c r="K5034" t="n">
        <v>0</v>
      </c>
      <c r="L5034" t="n">
        <v>0</v>
      </c>
      <c r="M5034" t="n">
        <v>0</v>
      </c>
      <c r="N5034" t="n">
        <v>0</v>
      </c>
      <c r="O5034" t="n">
        <v>0</v>
      </c>
      <c r="P5034" t="n">
        <v>0</v>
      </c>
      <c r="Q5034" t="n">
        <v>0</v>
      </c>
      <c r="R5034" t="n">
        <v>0</v>
      </c>
      <c r="S5034" t="n">
        <v>0</v>
      </c>
      <c r="T5034" t="n">
        <v>0</v>
      </c>
      <c r="U5034" t="n">
        <v>0</v>
      </c>
      <c r="V5034" s="2" t="inlineStr"/>
    </row>
    <row r="5035" ht="15" customHeight="1">
      <c r="A5035" t="inlineStr">
        <is>
          <t>A 41100-2026</t>
        </is>
      </c>
      <c r="B5035" t="inlineStr">
        <is>
          <t>avverkningsanmälan</t>
        </is>
      </c>
      <c r="C5035" t="inlineStr">
        <is>
          <t>Föryngringsavverkning</t>
        </is>
      </c>
      <c r="D5035" s="1" t="n">
        <v>46300</v>
      </c>
      <c r="E5035" s="1" t="n">
        <v>46323</v>
      </c>
      <c r="F5035" t="inlineStr">
        <is>
          <t>KALMAR LÄN</t>
        </is>
      </c>
      <c r="G5035" t="inlineStr">
        <is>
          <t>TORSÅS</t>
        </is>
      </c>
      <c r="I5035" t="n">
        <v>0.7</v>
      </c>
      <c r="J5035" t="n">
        <v>0</v>
      </c>
      <c r="K5035" t="n">
        <v>0</v>
      </c>
      <c r="L5035" t="n">
        <v>0</v>
      </c>
      <c r="M5035" t="n">
        <v>0</v>
      </c>
      <c r="N5035" t="n">
        <v>0</v>
      </c>
      <c r="O5035" t="n">
        <v>0</v>
      </c>
      <c r="P5035" t="n">
        <v>0</v>
      </c>
      <c r="Q5035" t="n">
        <v>0</v>
      </c>
      <c r="R5035" t="n">
        <v>0</v>
      </c>
      <c r="S5035" t="n">
        <v>0</v>
      </c>
      <c r="T5035" t="n">
        <v>0</v>
      </c>
      <c r="U5035" t="n">
        <v>0</v>
      </c>
      <c r="V5035" s="2" t="inlineStr"/>
    </row>
    <row r="5036" ht="15" customHeight="1">
      <c r="A5036" t="inlineStr">
        <is>
          <t>A 41342-2023</t>
        </is>
      </c>
      <c r="B5036" t="inlineStr">
        <is>
          <t>avverkningsanmälan</t>
        </is>
      </c>
      <c r="C5036" t="inlineStr">
        <is>
          <t>Föryngringsavverkning</t>
        </is>
      </c>
      <c r="D5036" s="1" t="n">
        <v>45174</v>
      </c>
      <c r="E5036" s="1" t="n">
        <v>46323</v>
      </c>
      <c r="F5036" t="inlineStr">
        <is>
          <t>KALMAR LÄN</t>
        </is>
      </c>
      <c r="G5036" t="inlineStr">
        <is>
          <t>VÄSTERVIK</t>
        </is>
      </c>
      <c r="I5036" t="n">
        <v>0.6</v>
      </c>
      <c r="J5036" t="n">
        <v>0</v>
      </c>
      <c r="K5036" t="n">
        <v>0</v>
      </c>
      <c r="L5036" t="n">
        <v>0</v>
      </c>
      <c r="M5036" t="n">
        <v>0</v>
      </c>
      <c r="N5036" t="n">
        <v>0</v>
      </c>
      <c r="O5036" t="n">
        <v>0</v>
      </c>
      <c r="P5036" t="n">
        <v>0</v>
      </c>
      <c r="Q5036" t="n">
        <v>0</v>
      </c>
      <c r="R5036" t="n">
        <v>0</v>
      </c>
      <c r="S5036" t="n">
        <v>0</v>
      </c>
      <c r="T5036" t="n">
        <v>0</v>
      </c>
      <c r="U5036" t="n">
        <v>0</v>
      </c>
      <c r="V5036" s="2" t="inlineStr"/>
    </row>
    <row r="5037" ht="15" customHeight="1">
      <c r="A5037" t="inlineStr">
        <is>
          <t>A 27077-2022</t>
        </is>
      </c>
      <c r="B5037" t="inlineStr">
        <is>
          <t>avverkningsanmälan</t>
        </is>
      </c>
      <c r="C5037" t="inlineStr">
        <is>
          <t>Föryngringsavverkning</t>
        </is>
      </c>
      <c r="D5037" s="1" t="n">
        <v>44741</v>
      </c>
      <c r="E5037" s="1" t="n">
        <v>46323</v>
      </c>
      <c r="F5037" t="inlineStr">
        <is>
          <t>KALMAR LÄN</t>
        </is>
      </c>
      <c r="G5037" t="inlineStr">
        <is>
          <t>MÖNSTERÅS</t>
        </is>
      </c>
      <c r="I5037" t="n">
        <v>2.3</v>
      </c>
      <c r="J5037" t="n">
        <v>0</v>
      </c>
      <c r="K5037" t="n">
        <v>0</v>
      </c>
      <c r="L5037" t="n">
        <v>0</v>
      </c>
      <c r="M5037" t="n">
        <v>0</v>
      </c>
      <c r="N5037" t="n">
        <v>0</v>
      </c>
      <c r="O5037" t="n">
        <v>0</v>
      </c>
      <c r="P5037" t="n">
        <v>0</v>
      </c>
      <c r="Q5037" t="n">
        <v>0</v>
      </c>
      <c r="R5037" t="n">
        <v>0</v>
      </c>
      <c r="S5037" t="n">
        <v>0</v>
      </c>
      <c r="T5037" t="n">
        <v>0</v>
      </c>
      <c r="U5037" t="n">
        <v>0</v>
      </c>
      <c r="V5037" s="2" t="inlineStr"/>
    </row>
    <row r="5038" ht="15" customHeight="1">
      <c r="A5038" t="inlineStr">
        <is>
          <t>A 41126-2026</t>
        </is>
      </c>
      <c r="B5038" t="inlineStr">
        <is>
          <t>avverkningsanmälan</t>
        </is>
      </c>
      <c r="C5038" t="inlineStr">
        <is>
          <t>Föryngringsavverkning</t>
        </is>
      </c>
      <c r="D5038" s="1" t="n">
        <v>46300</v>
      </c>
      <c r="E5038" s="1" t="n">
        <v>46323</v>
      </c>
      <c r="F5038" t="inlineStr">
        <is>
          <t>KALMAR LÄN</t>
        </is>
      </c>
      <c r="G5038" t="inlineStr">
        <is>
          <t>VÄSTERVIK</t>
        </is>
      </c>
      <c r="H5038" t="inlineStr">
        <is>
          <t>Sveaskog</t>
        </is>
      </c>
      <c r="I5038" t="n">
        <v>1.2</v>
      </c>
      <c r="J5038" t="n">
        <v>0</v>
      </c>
      <c r="K5038" t="n">
        <v>0</v>
      </c>
      <c r="L5038" t="n">
        <v>0</v>
      </c>
      <c r="M5038" t="n">
        <v>0</v>
      </c>
      <c r="N5038" t="n">
        <v>0</v>
      </c>
      <c r="O5038" t="n">
        <v>0</v>
      </c>
      <c r="P5038" t="n">
        <v>0</v>
      </c>
      <c r="Q5038" t="n">
        <v>0</v>
      </c>
      <c r="R5038" t="n">
        <v>0</v>
      </c>
      <c r="S5038" t="n">
        <v>0</v>
      </c>
      <c r="T5038" t="n">
        <v>0</v>
      </c>
      <c r="U5038" t="n">
        <v>0</v>
      </c>
      <c r="V5038" s="2" t="inlineStr"/>
    </row>
    <row r="5039" ht="15" customHeight="1">
      <c r="A5039" t="inlineStr">
        <is>
          <t>A 19934-2026</t>
        </is>
      </c>
      <c r="B5039" t="inlineStr">
        <is>
          <t>avverkningsanmälan</t>
        </is>
      </c>
      <c r="C5039" t="inlineStr">
        <is>
          <t>Föryngringsavverkning</t>
        </is>
      </c>
      <c r="D5039" s="1" t="n">
        <v>46136</v>
      </c>
      <c r="E5039" s="1" t="n">
        <v>46323</v>
      </c>
      <c r="F5039" t="inlineStr">
        <is>
          <t>KALMAR LÄN</t>
        </is>
      </c>
      <c r="G5039" t="inlineStr">
        <is>
          <t>MÖNSTERÅS</t>
        </is>
      </c>
      <c r="I5039" t="n">
        <v>0.9</v>
      </c>
      <c r="J5039" t="n">
        <v>0</v>
      </c>
      <c r="K5039" t="n">
        <v>0</v>
      </c>
      <c r="L5039" t="n">
        <v>0</v>
      </c>
      <c r="M5039" t="n">
        <v>0</v>
      </c>
      <c r="N5039" t="n">
        <v>0</v>
      </c>
      <c r="O5039" t="n">
        <v>0</v>
      </c>
      <c r="P5039" t="n">
        <v>0</v>
      </c>
      <c r="Q5039" t="n">
        <v>0</v>
      </c>
      <c r="R5039" t="n">
        <v>0</v>
      </c>
      <c r="S5039" t="n">
        <v>0</v>
      </c>
      <c r="T5039" t="n">
        <v>0</v>
      </c>
      <c r="U5039" t="n">
        <v>0</v>
      </c>
      <c r="V5039" s="2" t="inlineStr"/>
    </row>
    <row r="5040" ht="15" customHeight="1">
      <c r="A5040" t="inlineStr">
        <is>
          <t>A 51586-2024</t>
        </is>
      </c>
      <c r="B5040" t="inlineStr">
        <is>
          <t>avverkningsanmälan</t>
        </is>
      </c>
      <c r="C5040" t="inlineStr">
        <is>
          <t>Föryngringsavverkning</t>
        </is>
      </c>
      <c r="D5040" s="1" t="n">
        <v>45604</v>
      </c>
      <c r="E5040" s="1" t="n">
        <v>46323</v>
      </c>
      <c r="F5040" t="inlineStr">
        <is>
          <t>KALMAR LÄN</t>
        </is>
      </c>
      <c r="G5040" t="inlineStr">
        <is>
          <t>HULTSFRED</t>
        </is>
      </c>
      <c r="I5040" t="n">
        <v>4.7</v>
      </c>
      <c r="J5040" t="n">
        <v>0</v>
      </c>
      <c r="K5040" t="n">
        <v>0</v>
      </c>
      <c r="L5040" t="n">
        <v>0</v>
      </c>
      <c r="M5040" t="n">
        <v>0</v>
      </c>
      <c r="N5040" t="n">
        <v>0</v>
      </c>
      <c r="O5040" t="n">
        <v>0</v>
      </c>
      <c r="P5040" t="n">
        <v>0</v>
      </c>
      <c r="Q5040" t="n">
        <v>0</v>
      </c>
      <c r="R5040" t="n">
        <v>0</v>
      </c>
      <c r="S5040" t="n">
        <v>0</v>
      </c>
      <c r="T5040" t="n">
        <v>0</v>
      </c>
      <c r="U5040" t="n">
        <v>0</v>
      </c>
      <c r="V5040" s="2" t="inlineStr"/>
    </row>
    <row r="5041" ht="15" customHeight="1">
      <c r="A5041" t="inlineStr">
        <is>
          <t>A 13490-2022</t>
        </is>
      </c>
      <c r="B5041" t="inlineStr">
        <is>
          <t>avverkningsanmälan</t>
        </is>
      </c>
      <c r="C5041" t="inlineStr">
        <is>
          <t>Föryngringsavverkning</t>
        </is>
      </c>
      <c r="D5041" s="1" t="n">
        <v>44646</v>
      </c>
      <c r="E5041" s="1" t="n">
        <v>46323</v>
      </c>
      <c r="F5041" t="inlineStr">
        <is>
          <t>KALMAR LÄN</t>
        </is>
      </c>
      <c r="G5041" t="inlineStr">
        <is>
          <t>VÄSTERVIK</t>
        </is>
      </c>
      <c r="I5041" t="n">
        <v>2.4</v>
      </c>
      <c r="J5041" t="n">
        <v>0</v>
      </c>
      <c r="K5041" t="n">
        <v>0</v>
      </c>
      <c r="L5041" t="n">
        <v>0</v>
      </c>
      <c r="M5041" t="n">
        <v>0</v>
      </c>
      <c r="N5041" t="n">
        <v>0</v>
      </c>
      <c r="O5041" t="n">
        <v>0</v>
      </c>
      <c r="P5041" t="n">
        <v>0</v>
      </c>
      <c r="Q5041" t="n">
        <v>0</v>
      </c>
      <c r="R5041" t="n">
        <v>0</v>
      </c>
      <c r="S5041" t="n">
        <v>0</v>
      </c>
      <c r="T5041" t="n">
        <v>0</v>
      </c>
      <c r="U5041" t="n">
        <v>0</v>
      </c>
      <c r="V5041" s="2" t="inlineStr"/>
    </row>
    <row r="5042" ht="15" customHeight="1">
      <c r="A5042" t="inlineStr">
        <is>
          <t>A 5684-2023</t>
        </is>
      </c>
      <c r="B5042" t="inlineStr">
        <is>
          <t>avverkningsanmälan</t>
        </is>
      </c>
      <c r="C5042" t="inlineStr">
        <is>
          <t>Föryngringsavverkning</t>
        </is>
      </c>
      <c r="D5042" s="1" t="n">
        <v>44960</v>
      </c>
      <c r="E5042" s="1" t="n">
        <v>46323</v>
      </c>
      <c r="F5042" t="inlineStr">
        <is>
          <t>KALMAR LÄN</t>
        </is>
      </c>
      <c r="G5042" t="inlineStr">
        <is>
          <t>VÄSTERVIK</t>
        </is>
      </c>
      <c r="I5042" t="n">
        <v>1.2</v>
      </c>
      <c r="J5042" t="n">
        <v>0</v>
      </c>
      <c r="K5042" t="n">
        <v>0</v>
      </c>
      <c r="L5042" t="n">
        <v>0</v>
      </c>
      <c r="M5042" t="n">
        <v>0</v>
      </c>
      <c r="N5042" t="n">
        <v>0</v>
      </c>
      <c r="O5042" t="n">
        <v>0</v>
      </c>
      <c r="P5042" t="n">
        <v>0</v>
      </c>
      <c r="Q5042" t="n">
        <v>0</v>
      </c>
      <c r="R5042" t="n">
        <v>0</v>
      </c>
      <c r="S5042" t="n">
        <v>0</v>
      </c>
      <c r="T5042" t="n">
        <v>0</v>
      </c>
      <c r="U5042" t="n">
        <v>0</v>
      </c>
      <c r="V5042" s="2" t="inlineStr"/>
    </row>
    <row r="5043" ht="15" customHeight="1">
      <c r="A5043" t="inlineStr">
        <is>
          <t>A 16584-2026</t>
        </is>
      </c>
      <c r="B5043" t="inlineStr">
        <is>
          <t>avverkningsanmälan</t>
        </is>
      </c>
      <c r="C5043" t="inlineStr">
        <is>
          <t>Föryngringsavverkning</t>
        </is>
      </c>
      <c r="D5043" s="1" t="n">
        <v>46112</v>
      </c>
      <c r="E5043" s="1" t="n">
        <v>46323</v>
      </c>
      <c r="F5043" t="inlineStr">
        <is>
          <t>KALMAR LÄN</t>
        </is>
      </c>
      <c r="G5043" t="inlineStr">
        <is>
          <t>NYBRO</t>
        </is>
      </c>
      <c r="I5043" t="n">
        <v>3.5</v>
      </c>
      <c r="J5043" t="n">
        <v>0</v>
      </c>
      <c r="K5043" t="n">
        <v>0</v>
      </c>
      <c r="L5043" t="n">
        <v>0</v>
      </c>
      <c r="M5043" t="n">
        <v>0</v>
      </c>
      <c r="N5043" t="n">
        <v>0</v>
      </c>
      <c r="O5043" t="n">
        <v>0</v>
      </c>
      <c r="P5043" t="n">
        <v>0</v>
      </c>
      <c r="Q5043" t="n">
        <v>0</v>
      </c>
      <c r="R5043" t="n">
        <v>0</v>
      </c>
      <c r="S5043" t="n">
        <v>0</v>
      </c>
      <c r="T5043" t="n">
        <v>0</v>
      </c>
      <c r="U5043" t="n">
        <v>0</v>
      </c>
      <c r="V5043" s="2" t="inlineStr"/>
    </row>
    <row r="5044" ht="15" customHeight="1">
      <c r="A5044" t="inlineStr">
        <is>
          <t>A 1940-2023</t>
        </is>
      </c>
      <c r="B5044" t="inlineStr">
        <is>
          <t>avverkningsanmälan</t>
        </is>
      </c>
      <c r="C5044" t="inlineStr">
        <is>
          <t>Föryngringsavverkning</t>
        </is>
      </c>
      <c r="D5044" s="1" t="n">
        <v>44939</v>
      </c>
      <c r="E5044" s="1" t="n">
        <v>46323</v>
      </c>
      <c r="F5044" t="inlineStr">
        <is>
          <t>KALMAR LÄN</t>
        </is>
      </c>
      <c r="G5044" t="inlineStr">
        <is>
          <t>KALMAR</t>
        </is>
      </c>
      <c r="I5044" t="n">
        <v>1.1</v>
      </c>
      <c r="J5044" t="n">
        <v>0</v>
      </c>
      <c r="K5044" t="n">
        <v>0</v>
      </c>
      <c r="L5044" t="n">
        <v>0</v>
      </c>
      <c r="M5044" t="n">
        <v>0</v>
      </c>
      <c r="N5044" t="n">
        <v>0</v>
      </c>
      <c r="O5044" t="n">
        <v>0</v>
      </c>
      <c r="P5044" t="n">
        <v>0</v>
      </c>
      <c r="Q5044" t="n">
        <v>0</v>
      </c>
      <c r="R5044" t="n">
        <v>0</v>
      </c>
      <c r="S5044" t="n">
        <v>0</v>
      </c>
      <c r="T5044" t="n">
        <v>0</v>
      </c>
      <c r="U5044" t="n">
        <v>0</v>
      </c>
      <c r="V5044" s="2" t="inlineStr"/>
    </row>
    <row r="5045" ht="15" customHeight="1">
      <c r="A5045" t="inlineStr">
        <is>
          <t>A 41021-2026</t>
        </is>
      </c>
      <c r="B5045" t="inlineStr">
        <is>
          <t>avverkningsanmälan</t>
        </is>
      </c>
      <c r="C5045" t="inlineStr">
        <is>
          <t>Avverkning för att bevara och utveckla /försöksver</t>
        </is>
      </c>
      <c r="D5045" s="1" t="n">
        <v>46297</v>
      </c>
      <c r="E5045" s="1" t="n">
        <v>46323</v>
      </c>
      <c r="F5045" t="inlineStr">
        <is>
          <t>KALMAR LÄN</t>
        </is>
      </c>
      <c r="G5045" t="inlineStr">
        <is>
          <t>HÖGSBY</t>
        </is>
      </c>
      <c r="H5045" t="inlineStr">
        <is>
          <t>Sveaskog</t>
        </is>
      </c>
      <c r="I5045" t="n">
        <v>3.4</v>
      </c>
      <c r="J5045" t="n">
        <v>0</v>
      </c>
      <c r="K5045" t="n">
        <v>0</v>
      </c>
      <c r="L5045" t="n">
        <v>0</v>
      </c>
      <c r="M5045" t="n">
        <v>0</v>
      </c>
      <c r="N5045" t="n">
        <v>0</v>
      </c>
      <c r="O5045" t="n">
        <v>0</v>
      </c>
      <c r="P5045" t="n">
        <v>0</v>
      </c>
      <c r="Q5045" t="n">
        <v>0</v>
      </c>
      <c r="R5045" t="n">
        <v>0</v>
      </c>
      <c r="S5045" t="n">
        <v>0</v>
      </c>
      <c r="T5045" t="n">
        <v>0</v>
      </c>
      <c r="U5045" t="n">
        <v>0</v>
      </c>
      <c r="V5045" s="2" t="inlineStr"/>
    </row>
    <row r="5046" ht="15" customHeight="1">
      <c r="A5046" t="inlineStr">
        <is>
          <t>A 18313-2026</t>
        </is>
      </c>
      <c r="B5046" t="inlineStr">
        <is>
          <t>avverkningsanmälan</t>
        </is>
      </c>
      <c r="C5046" t="inlineStr">
        <is>
          <t>Föryngringsavverkning</t>
        </is>
      </c>
      <c r="D5046" s="1" t="n">
        <v>46126</v>
      </c>
      <c r="E5046" s="1" t="n">
        <v>46323</v>
      </c>
      <c r="F5046" t="inlineStr">
        <is>
          <t>KALMAR LÄN</t>
        </is>
      </c>
      <c r="G5046" t="inlineStr">
        <is>
          <t>OSKARSHAMN</t>
        </is>
      </c>
      <c r="I5046" t="n">
        <v>1.6</v>
      </c>
      <c r="J5046" t="n">
        <v>0</v>
      </c>
      <c r="K5046" t="n">
        <v>0</v>
      </c>
      <c r="L5046" t="n">
        <v>0</v>
      </c>
      <c r="M5046" t="n">
        <v>0</v>
      </c>
      <c r="N5046" t="n">
        <v>0</v>
      </c>
      <c r="O5046" t="n">
        <v>0</v>
      </c>
      <c r="P5046" t="n">
        <v>0</v>
      </c>
      <c r="Q5046" t="n">
        <v>0</v>
      </c>
      <c r="R5046" t="n">
        <v>0</v>
      </c>
      <c r="S5046" t="n">
        <v>0</v>
      </c>
      <c r="T5046" t="n">
        <v>0</v>
      </c>
      <c r="U5046" t="n">
        <v>0</v>
      </c>
      <c r="V5046" s="2" t="inlineStr"/>
    </row>
    <row r="5047" ht="15" customHeight="1">
      <c r="A5047" t="inlineStr">
        <is>
          <t>A 2380-2022</t>
        </is>
      </c>
      <c r="B5047" t="inlineStr">
        <is>
          <t>avverkningsanmälan</t>
        </is>
      </c>
      <c r="C5047" t="inlineStr">
        <is>
          <t>Föryngringsavverkning</t>
        </is>
      </c>
      <c r="D5047" s="1" t="n">
        <v>44579</v>
      </c>
      <c r="E5047" s="1" t="n">
        <v>46323</v>
      </c>
      <c r="F5047" t="inlineStr">
        <is>
          <t>KALMAR LÄN</t>
        </is>
      </c>
      <c r="G5047" t="inlineStr">
        <is>
          <t>NYBRO</t>
        </is>
      </c>
      <c r="I5047" t="n">
        <v>8.4</v>
      </c>
      <c r="J5047" t="n">
        <v>0</v>
      </c>
      <c r="K5047" t="n">
        <v>0</v>
      </c>
      <c r="L5047" t="n">
        <v>0</v>
      </c>
      <c r="M5047" t="n">
        <v>0</v>
      </c>
      <c r="N5047" t="n">
        <v>0</v>
      </c>
      <c r="O5047" t="n">
        <v>0</v>
      </c>
      <c r="P5047" t="n">
        <v>0</v>
      </c>
      <c r="Q5047" t="n">
        <v>0</v>
      </c>
      <c r="R5047" t="n">
        <v>0</v>
      </c>
      <c r="S5047" t="n">
        <v>0</v>
      </c>
      <c r="T5047" t="n">
        <v>0</v>
      </c>
      <c r="U5047" t="n">
        <v>0</v>
      </c>
      <c r="V5047" s="2" t="inlineStr"/>
    </row>
    <row r="5048" ht="15" customHeight="1">
      <c r="A5048" t="inlineStr">
        <is>
          <t>A 675-2026</t>
        </is>
      </c>
      <c r="B5048" t="inlineStr">
        <is>
          <t>avverkningsanmälan</t>
        </is>
      </c>
      <c r="C5048" t="inlineStr">
        <is>
          <t>Föryngringsavverkning</t>
        </is>
      </c>
      <c r="D5048" s="1" t="n">
        <v>46029</v>
      </c>
      <c r="E5048" s="1" t="n">
        <v>46323</v>
      </c>
      <c r="F5048" t="inlineStr">
        <is>
          <t>KALMAR LÄN</t>
        </is>
      </c>
      <c r="G5048" t="inlineStr">
        <is>
          <t>NYBRO</t>
        </is>
      </c>
      <c r="I5048" t="n">
        <v>1.9</v>
      </c>
      <c r="J5048" t="n">
        <v>0</v>
      </c>
      <c r="K5048" t="n">
        <v>0</v>
      </c>
      <c r="L5048" t="n">
        <v>0</v>
      </c>
      <c r="M5048" t="n">
        <v>0</v>
      </c>
      <c r="N5048" t="n">
        <v>0</v>
      </c>
      <c r="O5048" t="n">
        <v>0</v>
      </c>
      <c r="P5048" t="n">
        <v>0</v>
      </c>
      <c r="Q5048" t="n">
        <v>0</v>
      </c>
      <c r="R5048" t="n">
        <v>0</v>
      </c>
      <c r="S5048" t="n">
        <v>0</v>
      </c>
      <c r="T5048" t="n">
        <v>0</v>
      </c>
      <c r="U5048" t="n">
        <v>0</v>
      </c>
      <c r="V5048" s="2" t="inlineStr"/>
    </row>
    <row r="5049" ht="15" customHeight="1">
      <c r="A5049" t="inlineStr">
        <is>
          <t>A 1741-2023</t>
        </is>
      </c>
      <c r="B5049" t="inlineStr">
        <is>
          <t>avverkningsanmälan</t>
        </is>
      </c>
      <c r="C5049" t="inlineStr">
        <is>
          <t>Föryngringsavverkning</t>
        </is>
      </c>
      <c r="D5049" s="1" t="n">
        <v>44938</v>
      </c>
      <c r="E5049" s="1" t="n">
        <v>46323</v>
      </c>
      <c r="F5049" t="inlineStr">
        <is>
          <t>KALMAR LÄN</t>
        </is>
      </c>
      <c r="G5049" t="inlineStr">
        <is>
          <t>EMMABODA</t>
        </is>
      </c>
      <c r="I5049" t="n">
        <v>1.5</v>
      </c>
      <c r="J5049" t="n">
        <v>0</v>
      </c>
      <c r="K5049" t="n">
        <v>0</v>
      </c>
      <c r="L5049" t="n">
        <v>0</v>
      </c>
      <c r="M5049" t="n">
        <v>0</v>
      </c>
      <c r="N5049" t="n">
        <v>0</v>
      </c>
      <c r="O5049" t="n">
        <v>0</v>
      </c>
      <c r="P5049" t="n">
        <v>0</v>
      </c>
      <c r="Q5049" t="n">
        <v>0</v>
      </c>
      <c r="R5049" t="n">
        <v>0</v>
      </c>
      <c r="S5049" t="n">
        <v>0</v>
      </c>
      <c r="T5049" t="n">
        <v>0</v>
      </c>
      <c r="U5049" t="n">
        <v>0</v>
      </c>
      <c r="V5049" s="2" t="inlineStr"/>
    </row>
    <row r="5050" ht="15" customHeight="1">
      <c r="A5050" t="inlineStr">
        <is>
          <t>A 11219-2023</t>
        </is>
      </c>
      <c r="B5050" t="inlineStr">
        <is>
          <t>avverkningsanmälan</t>
        </is>
      </c>
      <c r="C5050" t="inlineStr">
        <is>
          <t>Föryngringsavverkning</t>
        </is>
      </c>
      <c r="D5050" s="1" t="n">
        <v>44992</v>
      </c>
      <c r="E5050" s="1" t="n">
        <v>46323</v>
      </c>
      <c r="F5050" t="inlineStr">
        <is>
          <t>KALMAR LÄN</t>
        </is>
      </c>
      <c r="G5050" t="inlineStr">
        <is>
          <t>VIMMERBY</t>
        </is>
      </c>
      <c r="I5050" t="n">
        <v>2.5</v>
      </c>
      <c r="J5050" t="n">
        <v>0</v>
      </c>
      <c r="K5050" t="n">
        <v>0</v>
      </c>
      <c r="L5050" t="n">
        <v>0</v>
      </c>
      <c r="M5050" t="n">
        <v>0</v>
      </c>
      <c r="N5050" t="n">
        <v>0</v>
      </c>
      <c r="O5050" t="n">
        <v>0</v>
      </c>
      <c r="P5050" t="n">
        <v>0</v>
      </c>
      <c r="Q5050" t="n">
        <v>0</v>
      </c>
      <c r="R5050" t="n">
        <v>0</v>
      </c>
      <c r="S5050" t="n">
        <v>0</v>
      </c>
      <c r="T5050" t="n">
        <v>0</v>
      </c>
      <c r="U5050" t="n">
        <v>0</v>
      </c>
      <c r="V5050" s="2" t="inlineStr"/>
    </row>
    <row r="5051" ht="15" customHeight="1">
      <c r="A5051" t="inlineStr">
        <is>
          <t>A 30504-2026</t>
        </is>
      </c>
      <c r="B5051" t="inlineStr">
        <is>
          <t>avverkningsanmälan</t>
        </is>
      </c>
      <c r="C5051" t="inlineStr">
        <is>
          <t>Föryngringsavverkning</t>
        </is>
      </c>
      <c r="D5051" s="1" t="n">
        <v>46210</v>
      </c>
      <c r="E5051" s="1" t="n">
        <v>46323</v>
      </c>
      <c r="F5051" t="inlineStr">
        <is>
          <t>KALMAR LÄN</t>
        </is>
      </c>
      <c r="G5051" t="inlineStr">
        <is>
          <t>OSKARSHAMN</t>
        </is>
      </c>
      <c r="I5051" t="n">
        <v>7.8</v>
      </c>
      <c r="J5051" t="n">
        <v>0</v>
      </c>
      <c r="K5051" t="n">
        <v>0</v>
      </c>
      <c r="L5051" t="n">
        <v>0</v>
      </c>
      <c r="M5051" t="n">
        <v>0</v>
      </c>
      <c r="N5051" t="n">
        <v>0</v>
      </c>
      <c r="O5051" t="n">
        <v>0</v>
      </c>
      <c r="P5051" t="n">
        <v>0</v>
      </c>
      <c r="Q5051" t="n">
        <v>0</v>
      </c>
      <c r="R5051" t="n">
        <v>0</v>
      </c>
      <c r="S5051" t="n">
        <v>0</v>
      </c>
      <c r="T5051" t="n">
        <v>0</v>
      </c>
      <c r="U5051" t="n">
        <v>0</v>
      </c>
      <c r="V5051" s="2" t="inlineStr"/>
    </row>
    <row r="5052" ht="15" customHeight="1">
      <c r="A5052" t="inlineStr">
        <is>
          <t>A 34617-2026</t>
        </is>
      </c>
      <c r="B5052" t="inlineStr">
        <is>
          <t>avverkningsanmälan</t>
        </is>
      </c>
      <c r="C5052" t="inlineStr">
        <is>
          <t>Föryngringsavverkning</t>
        </is>
      </c>
      <c r="D5052" s="1" t="n">
        <v>46255</v>
      </c>
      <c r="E5052" s="1" t="n">
        <v>46323</v>
      </c>
      <c r="F5052" t="inlineStr">
        <is>
          <t>KALMAR LÄN</t>
        </is>
      </c>
      <c r="G5052" t="inlineStr">
        <is>
          <t>NYBRO</t>
        </is>
      </c>
      <c r="I5052" t="n">
        <v>0.9</v>
      </c>
      <c r="J5052" t="n">
        <v>0</v>
      </c>
      <c r="K5052" t="n">
        <v>0</v>
      </c>
      <c r="L5052" t="n">
        <v>0</v>
      </c>
      <c r="M5052" t="n">
        <v>0</v>
      </c>
      <c r="N5052" t="n">
        <v>0</v>
      </c>
      <c r="O5052" t="n">
        <v>0</v>
      </c>
      <c r="P5052" t="n">
        <v>0</v>
      </c>
      <c r="Q5052" t="n">
        <v>0</v>
      </c>
      <c r="R5052" t="n">
        <v>0</v>
      </c>
      <c r="S5052" t="n">
        <v>0</v>
      </c>
      <c r="T5052" t="n">
        <v>0</v>
      </c>
      <c r="U5052" t="n">
        <v>0</v>
      </c>
      <c r="V5052" s="2" t="inlineStr"/>
    </row>
    <row r="5053" ht="15" customHeight="1">
      <c r="A5053" t="inlineStr">
        <is>
          <t>A 34827-2024</t>
        </is>
      </c>
      <c r="B5053" t="inlineStr">
        <is>
          <t>avverkningsanmälan</t>
        </is>
      </c>
      <c r="C5053" t="inlineStr">
        <is>
          <t>Föryngringsavverkning</t>
        </is>
      </c>
      <c r="D5053" s="1" t="n">
        <v>45526</v>
      </c>
      <c r="E5053" s="1" t="n">
        <v>46323</v>
      </c>
      <c r="F5053" t="inlineStr">
        <is>
          <t>KALMAR LÄN</t>
        </is>
      </c>
      <c r="G5053" t="inlineStr">
        <is>
          <t>OSKARSHAMN</t>
        </is>
      </c>
      <c r="H5053" t="inlineStr">
        <is>
          <t>Sveaskog</t>
        </is>
      </c>
      <c r="I5053" t="n">
        <v>0.4</v>
      </c>
      <c r="J5053" t="n">
        <v>0</v>
      </c>
      <c r="K5053" t="n">
        <v>0</v>
      </c>
      <c r="L5053" t="n">
        <v>0</v>
      </c>
      <c r="M5053" t="n">
        <v>0</v>
      </c>
      <c r="N5053" t="n">
        <v>0</v>
      </c>
      <c r="O5053" t="n">
        <v>0</v>
      </c>
      <c r="P5053" t="n">
        <v>0</v>
      </c>
      <c r="Q5053" t="n">
        <v>0</v>
      </c>
      <c r="R5053" t="n">
        <v>0</v>
      </c>
      <c r="S5053" t="n">
        <v>0</v>
      </c>
      <c r="T5053" t="n">
        <v>0</v>
      </c>
      <c r="U5053" t="n">
        <v>0</v>
      </c>
      <c r="V5053" s="2" t="inlineStr"/>
    </row>
    <row r="5054" ht="15" customHeight="1">
      <c r="A5054" t="inlineStr">
        <is>
          <t>A 10728-2024</t>
        </is>
      </c>
      <c r="B5054" t="inlineStr">
        <is>
          <t>avverkningsanmälan</t>
        </is>
      </c>
      <c r="C5054" t="inlineStr">
        <is>
          <t>Föryngringsavverkning</t>
        </is>
      </c>
      <c r="D5054" s="1" t="n">
        <v>45369</v>
      </c>
      <c r="E5054" s="1" t="n">
        <v>46323</v>
      </c>
      <c r="F5054" t="inlineStr">
        <is>
          <t>KALMAR LÄN</t>
        </is>
      </c>
      <c r="G5054" t="inlineStr">
        <is>
          <t>OSKARSHAMN</t>
        </is>
      </c>
      <c r="I5054" t="n">
        <v>2.2</v>
      </c>
      <c r="J5054" t="n">
        <v>0</v>
      </c>
      <c r="K5054" t="n">
        <v>0</v>
      </c>
      <c r="L5054" t="n">
        <v>0</v>
      </c>
      <c r="M5054" t="n">
        <v>0</v>
      </c>
      <c r="N5054" t="n">
        <v>0</v>
      </c>
      <c r="O5054" t="n">
        <v>0</v>
      </c>
      <c r="P5054" t="n">
        <v>0</v>
      </c>
      <c r="Q5054" t="n">
        <v>0</v>
      </c>
      <c r="R5054" t="n">
        <v>0</v>
      </c>
      <c r="S5054" t="n">
        <v>0</v>
      </c>
      <c r="T5054" t="n">
        <v>0</v>
      </c>
      <c r="U5054" t="n">
        <v>0</v>
      </c>
      <c r="V5054" s="2" t="inlineStr"/>
    </row>
    <row r="5055" ht="15" customHeight="1">
      <c r="A5055" t="inlineStr">
        <is>
          <t>A 41308-2026</t>
        </is>
      </c>
      <c r="B5055" t="inlineStr">
        <is>
          <t>avverkningsanmälan</t>
        </is>
      </c>
      <c r="C5055" t="inlineStr">
        <is>
          <t>Föryngringsavverkning</t>
        </is>
      </c>
      <c r="D5055" s="1" t="n">
        <v>46300</v>
      </c>
      <c r="E5055" s="1" t="n">
        <v>46323</v>
      </c>
      <c r="F5055" t="inlineStr">
        <is>
          <t>KALMAR LÄN</t>
        </is>
      </c>
      <c r="G5055" t="inlineStr">
        <is>
          <t>NYBRO</t>
        </is>
      </c>
      <c r="I5055" t="n">
        <v>1.2</v>
      </c>
      <c r="J5055" t="n">
        <v>0</v>
      </c>
      <c r="K5055" t="n">
        <v>0</v>
      </c>
      <c r="L5055" t="n">
        <v>0</v>
      </c>
      <c r="M5055" t="n">
        <v>0</v>
      </c>
      <c r="N5055" t="n">
        <v>0</v>
      </c>
      <c r="O5055" t="n">
        <v>0</v>
      </c>
      <c r="P5055" t="n">
        <v>0</v>
      </c>
      <c r="Q5055" t="n">
        <v>0</v>
      </c>
      <c r="R5055" t="n">
        <v>0</v>
      </c>
      <c r="S5055" t="n">
        <v>0</v>
      </c>
      <c r="T5055" t="n">
        <v>0</v>
      </c>
      <c r="U5055" t="n">
        <v>0</v>
      </c>
      <c r="V5055" s="2" t="inlineStr"/>
    </row>
    <row r="5056" ht="15" customHeight="1">
      <c r="A5056" t="inlineStr">
        <is>
          <t>A 71635-2021</t>
        </is>
      </c>
      <c r="B5056" t="inlineStr">
        <is>
          <t>avverkningsanmälan</t>
        </is>
      </c>
      <c r="C5056" t="inlineStr">
        <is>
          <t>Föryngringsavverkning</t>
        </is>
      </c>
      <c r="D5056" s="1" t="n">
        <v>44543</v>
      </c>
      <c r="E5056" s="1" t="n">
        <v>46323</v>
      </c>
      <c r="F5056" t="inlineStr">
        <is>
          <t>KALMAR LÄN</t>
        </is>
      </c>
      <c r="G5056" t="inlineStr">
        <is>
          <t>HÖGSBY</t>
        </is>
      </c>
      <c r="I5056" t="n">
        <v>0.5</v>
      </c>
      <c r="J5056" t="n">
        <v>0</v>
      </c>
      <c r="K5056" t="n">
        <v>0</v>
      </c>
      <c r="L5056" t="n">
        <v>0</v>
      </c>
      <c r="M5056" t="n">
        <v>0</v>
      </c>
      <c r="N5056" t="n">
        <v>0</v>
      </c>
      <c r="O5056" t="n">
        <v>0</v>
      </c>
      <c r="P5056" t="n">
        <v>0</v>
      </c>
      <c r="Q5056" t="n">
        <v>0</v>
      </c>
      <c r="R5056" t="n">
        <v>0</v>
      </c>
      <c r="S5056" t="n">
        <v>0</v>
      </c>
      <c r="T5056" t="n">
        <v>0</v>
      </c>
      <c r="U5056" t="n">
        <v>0</v>
      </c>
      <c r="V5056" s="2" t="inlineStr"/>
    </row>
    <row r="5057" ht="15" customHeight="1">
      <c r="A5057" t="inlineStr">
        <is>
          <t>A 18455-2026</t>
        </is>
      </c>
      <c r="B5057" t="inlineStr">
        <is>
          <t>avverkningsanmälan</t>
        </is>
      </c>
      <c r="C5057" t="inlineStr">
        <is>
          <t>Föryngringsavverkning</t>
        </is>
      </c>
      <c r="D5057" s="1" t="n">
        <v>46127</v>
      </c>
      <c r="E5057" s="1" t="n">
        <v>46323</v>
      </c>
      <c r="F5057" t="inlineStr">
        <is>
          <t>KALMAR LÄN</t>
        </is>
      </c>
      <c r="G5057" t="inlineStr">
        <is>
          <t>OSKARSHAMN</t>
        </is>
      </c>
      <c r="I5057" t="n">
        <v>0.9</v>
      </c>
      <c r="J5057" t="n">
        <v>0</v>
      </c>
      <c r="K5057" t="n">
        <v>0</v>
      </c>
      <c r="L5057" t="n">
        <v>0</v>
      </c>
      <c r="M5057" t="n">
        <v>0</v>
      </c>
      <c r="N5057" t="n">
        <v>0</v>
      </c>
      <c r="O5057" t="n">
        <v>0</v>
      </c>
      <c r="P5057" t="n">
        <v>0</v>
      </c>
      <c r="Q5057" t="n">
        <v>0</v>
      </c>
      <c r="R5057" t="n">
        <v>0</v>
      </c>
      <c r="S5057" t="n">
        <v>0</v>
      </c>
      <c r="T5057" t="n">
        <v>0</v>
      </c>
      <c r="U5057" t="n">
        <v>0</v>
      </c>
      <c r="V5057" s="2" t="inlineStr"/>
    </row>
    <row r="5058" ht="15" customHeight="1">
      <c r="A5058" t="inlineStr">
        <is>
          <t>A 18465-2026</t>
        </is>
      </c>
      <c r="B5058" t="inlineStr">
        <is>
          <t>avverkningsanmälan</t>
        </is>
      </c>
      <c r="C5058" t="inlineStr">
        <is>
          <t>Föryngringsavverkning</t>
        </is>
      </c>
      <c r="D5058" s="1" t="n">
        <v>46127</v>
      </c>
      <c r="E5058" s="1" t="n">
        <v>46323</v>
      </c>
      <c r="F5058" t="inlineStr">
        <is>
          <t>KALMAR LÄN</t>
        </is>
      </c>
      <c r="G5058" t="inlineStr">
        <is>
          <t>NYBRO</t>
        </is>
      </c>
      <c r="I5058" t="n">
        <v>2.6</v>
      </c>
      <c r="J5058" t="n">
        <v>0</v>
      </c>
      <c r="K5058" t="n">
        <v>0</v>
      </c>
      <c r="L5058" t="n">
        <v>0</v>
      </c>
      <c r="M5058" t="n">
        <v>0</v>
      </c>
      <c r="N5058" t="n">
        <v>0</v>
      </c>
      <c r="O5058" t="n">
        <v>0</v>
      </c>
      <c r="P5058" t="n">
        <v>0</v>
      </c>
      <c r="Q5058" t="n">
        <v>0</v>
      </c>
      <c r="R5058" t="n">
        <v>0</v>
      </c>
      <c r="S5058" t="n">
        <v>0</v>
      </c>
      <c r="T5058" t="n">
        <v>0</v>
      </c>
      <c r="U5058" t="n">
        <v>0</v>
      </c>
      <c r="V5058" s="2" t="inlineStr"/>
    </row>
    <row r="5059" ht="15" customHeight="1">
      <c r="A5059" t="inlineStr">
        <is>
          <t>A 191-2023</t>
        </is>
      </c>
      <c r="B5059" t="inlineStr">
        <is>
          <t>avverkningsanmälan</t>
        </is>
      </c>
      <c r="C5059" t="inlineStr">
        <is>
          <t>Föryngringsavverkning</t>
        </is>
      </c>
      <c r="D5059" s="1" t="n">
        <v>44928</v>
      </c>
      <c r="E5059" s="1" t="n">
        <v>46323</v>
      </c>
      <c r="F5059" t="inlineStr">
        <is>
          <t>KALMAR LÄN</t>
        </is>
      </c>
      <c r="G5059" t="inlineStr">
        <is>
          <t>NYBRO</t>
        </is>
      </c>
      <c r="I5059" t="n">
        <v>1.1</v>
      </c>
      <c r="J5059" t="n">
        <v>0</v>
      </c>
      <c r="K5059" t="n">
        <v>0</v>
      </c>
      <c r="L5059" t="n">
        <v>0</v>
      </c>
      <c r="M5059" t="n">
        <v>0</v>
      </c>
      <c r="N5059" t="n">
        <v>0</v>
      </c>
      <c r="O5059" t="n">
        <v>0</v>
      </c>
      <c r="P5059" t="n">
        <v>0</v>
      </c>
      <c r="Q5059" t="n">
        <v>0</v>
      </c>
      <c r="R5059" t="n">
        <v>0</v>
      </c>
      <c r="S5059" t="n">
        <v>0</v>
      </c>
      <c r="T5059" t="n">
        <v>0</v>
      </c>
      <c r="U5059" t="n">
        <v>0</v>
      </c>
      <c r="V5059" s="2" t="inlineStr"/>
    </row>
    <row r="5060" ht="15" customHeight="1">
      <c r="A5060" t="inlineStr">
        <is>
          <t>A 41309-2026</t>
        </is>
      </c>
      <c r="B5060" t="inlineStr">
        <is>
          <t>avverkningsanmälan</t>
        </is>
      </c>
      <c r="C5060" t="inlineStr">
        <is>
          <t>Föryngringsavverkning</t>
        </is>
      </c>
      <c r="D5060" s="1" t="n">
        <v>46300</v>
      </c>
      <c r="E5060" s="1" t="n">
        <v>46323</v>
      </c>
      <c r="F5060" t="inlineStr">
        <is>
          <t>KALMAR LÄN</t>
        </is>
      </c>
      <c r="G5060" t="inlineStr">
        <is>
          <t>NYBRO</t>
        </is>
      </c>
      <c r="I5060" t="n">
        <v>1.8</v>
      </c>
      <c r="J5060" t="n">
        <v>0</v>
      </c>
      <c r="K5060" t="n">
        <v>0</v>
      </c>
      <c r="L5060" t="n">
        <v>0</v>
      </c>
      <c r="M5060" t="n">
        <v>0</v>
      </c>
      <c r="N5060" t="n">
        <v>0</v>
      </c>
      <c r="O5060" t="n">
        <v>0</v>
      </c>
      <c r="P5060" t="n">
        <v>0</v>
      </c>
      <c r="Q5060" t="n">
        <v>0</v>
      </c>
      <c r="R5060" t="n">
        <v>0</v>
      </c>
      <c r="S5060" t="n">
        <v>0</v>
      </c>
      <c r="T5060" t="n">
        <v>0</v>
      </c>
      <c r="U5060" t="n">
        <v>0</v>
      </c>
      <c r="V5060" s="2" t="inlineStr"/>
    </row>
    <row r="5061" ht="15" customHeight="1">
      <c r="A5061" t="inlineStr">
        <is>
          <t>A 41310-2026</t>
        </is>
      </c>
      <c r="B5061" t="inlineStr">
        <is>
          <t>avverkningsanmälan</t>
        </is>
      </c>
      <c r="C5061" t="inlineStr">
        <is>
          <t>Föryngringsavverkning</t>
        </is>
      </c>
      <c r="D5061" s="1" t="n">
        <v>46300</v>
      </c>
      <c r="E5061" s="1" t="n">
        <v>46323</v>
      </c>
      <c r="F5061" t="inlineStr">
        <is>
          <t>KALMAR LÄN</t>
        </is>
      </c>
      <c r="G5061" t="inlineStr">
        <is>
          <t>KALMAR</t>
        </is>
      </c>
      <c r="H5061" t="inlineStr">
        <is>
          <t>Sveaskog</t>
        </is>
      </c>
      <c r="I5061" t="n">
        <v>1</v>
      </c>
      <c r="J5061" t="n">
        <v>0</v>
      </c>
      <c r="K5061" t="n">
        <v>0</v>
      </c>
      <c r="L5061" t="n">
        <v>0</v>
      </c>
      <c r="M5061" t="n">
        <v>0</v>
      </c>
      <c r="N5061" t="n">
        <v>0</v>
      </c>
      <c r="O5061" t="n">
        <v>0</v>
      </c>
      <c r="P5061" t="n">
        <v>0</v>
      </c>
      <c r="Q5061" t="n">
        <v>0</v>
      </c>
      <c r="R5061" t="n">
        <v>0</v>
      </c>
      <c r="S5061" t="n">
        <v>0</v>
      </c>
      <c r="T5061" t="n">
        <v>0</v>
      </c>
      <c r="U5061" t="n">
        <v>0</v>
      </c>
      <c r="V5061" s="2" t="inlineStr"/>
    </row>
    <row r="5062" ht="15" customHeight="1">
      <c r="A5062" t="inlineStr">
        <is>
          <t>A 41131-2026</t>
        </is>
      </c>
      <c r="B5062" t="inlineStr">
        <is>
          <t>avverkningsanmälan</t>
        </is>
      </c>
      <c r="C5062" t="inlineStr">
        <is>
          <t>Föryngringsavverkning</t>
        </is>
      </c>
      <c r="D5062" s="1" t="n">
        <v>46300</v>
      </c>
      <c r="E5062" s="1" t="n">
        <v>46323</v>
      </c>
      <c r="F5062" t="inlineStr">
        <is>
          <t>KALMAR LÄN</t>
        </is>
      </c>
      <c r="G5062" t="inlineStr">
        <is>
          <t>VÄSTERVIK</t>
        </is>
      </c>
      <c r="H5062" t="inlineStr">
        <is>
          <t>Sveaskog</t>
        </is>
      </c>
      <c r="I5062" t="n">
        <v>1.6</v>
      </c>
      <c r="J5062" t="n">
        <v>0</v>
      </c>
      <c r="K5062" t="n">
        <v>0</v>
      </c>
      <c r="L5062" t="n">
        <v>0</v>
      </c>
      <c r="M5062" t="n">
        <v>0</v>
      </c>
      <c r="N5062" t="n">
        <v>0</v>
      </c>
      <c r="O5062" t="n">
        <v>0</v>
      </c>
      <c r="P5062" t="n">
        <v>0</v>
      </c>
      <c r="Q5062" t="n">
        <v>0</v>
      </c>
      <c r="R5062" t="n">
        <v>0</v>
      </c>
      <c r="S5062" t="n">
        <v>0</v>
      </c>
      <c r="T5062" t="n">
        <v>0</v>
      </c>
      <c r="U5062" t="n">
        <v>0</v>
      </c>
      <c r="V5062" s="2" t="inlineStr"/>
    </row>
    <row r="5063" ht="15" customHeight="1">
      <c r="A5063" t="inlineStr">
        <is>
          <t>A 23088-2023</t>
        </is>
      </c>
      <c r="B5063" t="inlineStr">
        <is>
          <t>avverkningsanmälan</t>
        </is>
      </c>
      <c r="C5063" t="inlineStr">
        <is>
          <t>Föryngringsavverkning</t>
        </is>
      </c>
      <c r="D5063" s="1" t="n">
        <v>45075</v>
      </c>
      <c r="E5063" s="1" t="n">
        <v>46323</v>
      </c>
      <c r="F5063" t="inlineStr">
        <is>
          <t>KALMAR LÄN</t>
        </is>
      </c>
      <c r="G5063" t="inlineStr">
        <is>
          <t>TORSÅS</t>
        </is>
      </c>
      <c r="I5063" t="n">
        <v>0.7</v>
      </c>
      <c r="J5063" t="n">
        <v>0</v>
      </c>
      <c r="K5063" t="n">
        <v>0</v>
      </c>
      <c r="L5063" t="n">
        <v>0</v>
      </c>
      <c r="M5063" t="n">
        <v>0</v>
      </c>
      <c r="N5063" t="n">
        <v>0</v>
      </c>
      <c r="O5063" t="n">
        <v>0</v>
      </c>
      <c r="P5063" t="n">
        <v>0</v>
      </c>
      <c r="Q5063" t="n">
        <v>0</v>
      </c>
      <c r="R5063" t="n">
        <v>0</v>
      </c>
      <c r="S5063" t="n">
        <v>0</v>
      </c>
      <c r="T5063" t="n">
        <v>0</v>
      </c>
      <c r="U5063" t="n">
        <v>0</v>
      </c>
      <c r="V5063" s="2" t="inlineStr"/>
    </row>
    <row r="5064" ht="15" customHeight="1">
      <c r="A5064" t="inlineStr">
        <is>
          <t>A 34398-2026</t>
        </is>
      </c>
      <c r="B5064" t="inlineStr">
        <is>
          <t>avverkningsanmälan</t>
        </is>
      </c>
      <c r="C5064" t="inlineStr">
        <is>
          <t>Föryngringsavverkning</t>
        </is>
      </c>
      <c r="D5064" s="1" t="n">
        <v>46253</v>
      </c>
      <c r="E5064" s="1" t="n">
        <v>46323</v>
      </c>
      <c r="F5064" t="inlineStr">
        <is>
          <t>KALMAR LÄN</t>
        </is>
      </c>
      <c r="G5064" t="inlineStr">
        <is>
          <t>TORSÅS</t>
        </is>
      </c>
      <c r="I5064" t="n">
        <v>4.5</v>
      </c>
      <c r="J5064" t="n">
        <v>0</v>
      </c>
      <c r="K5064" t="n">
        <v>0</v>
      </c>
      <c r="L5064" t="n">
        <v>0</v>
      </c>
      <c r="M5064" t="n">
        <v>0</v>
      </c>
      <c r="N5064" t="n">
        <v>0</v>
      </c>
      <c r="O5064" t="n">
        <v>0</v>
      </c>
      <c r="P5064" t="n">
        <v>0</v>
      </c>
      <c r="Q5064" t="n">
        <v>0</v>
      </c>
      <c r="R5064" t="n">
        <v>0</v>
      </c>
      <c r="S5064" t="n">
        <v>0</v>
      </c>
      <c r="T5064" t="n">
        <v>0</v>
      </c>
      <c r="U5064" t="n">
        <v>0</v>
      </c>
      <c r="V5064" s="2" t="inlineStr"/>
    </row>
    <row r="5065" ht="15" customHeight="1">
      <c r="A5065" t="inlineStr">
        <is>
          <t>A 8613-2022</t>
        </is>
      </c>
      <c r="B5065" t="inlineStr">
        <is>
          <t>avverkningsanmälan</t>
        </is>
      </c>
      <c r="C5065" t="inlineStr">
        <is>
          <t>Avverkning för annat ändamål</t>
        </is>
      </c>
      <c r="D5065" s="1" t="n">
        <v>44613</v>
      </c>
      <c r="E5065" s="1" t="n">
        <v>46323</v>
      </c>
      <c r="F5065" t="inlineStr">
        <is>
          <t>KALMAR LÄN</t>
        </is>
      </c>
      <c r="G5065" t="inlineStr">
        <is>
          <t>HÖGSBY</t>
        </is>
      </c>
      <c r="I5065" t="n">
        <v>0.3</v>
      </c>
      <c r="J5065" t="n">
        <v>0</v>
      </c>
      <c r="K5065" t="n">
        <v>0</v>
      </c>
      <c r="L5065" t="n">
        <v>0</v>
      </c>
      <c r="M5065" t="n">
        <v>0</v>
      </c>
      <c r="N5065" t="n">
        <v>0</v>
      </c>
      <c r="O5065" t="n">
        <v>0</v>
      </c>
      <c r="P5065" t="n">
        <v>0</v>
      </c>
      <c r="Q5065" t="n">
        <v>0</v>
      </c>
      <c r="R5065" t="n">
        <v>0</v>
      </c>
      <c r="S5065" t="n">
        <v>0</v>
      </c>
      <c r="T5065" t="n">
        <v>0</v>
      </c>
      <c r="U5065" t="n">
        <v>0</v>
      </c>
      <c r="V5065" s="2" t="inlineStr"/>
    </row>
    <row r="5066" ht="15" customHeight="1">
      <c r="A5066" t="inlineStr">
        <is>
          <t>A 34904-2026</t>
        </is>
      </c>
      <c r="B5066" t="inlineStr">
        <is>
          <t>avverkningsanmälan</t>
        </is>
      </c>
      <c r="C5066" t="inlineStr">
        <is>
          <t>Föryngringsavverkning</t>
        </is>
      </c>
      <c r="D5066" s="1" t="n">
        <v>46255</v>
      </c>
      <c r="E5066" s="1" t="n">
        <v>46323</v>
      </c>
      <c r="F5066" t="inlineStr">
        <is>
          <t>KALMAR LÄN</t>
        </is>
      </c>
      <c r="G5066" t="inlineStr">
        <is>
          <t>EMMABODA</t>
        </is>
      </c>
      <c r="H5066" t="inlineStr">
        <is>
          <t>Kyrkan</t>
        </is>
      </c>
      <c r="I5066" t="n">
        <v>1.4</v>
      </c>
      <c r="J5066" t="n">
        <v>0</v>
      </c>
      <c r="K5066" t="n">
        <v>0</v>
      </c>
      <c r="L5066" t="n">
        <v>0</v>
      </c>
      <c r="M5066" t="n">
        <v>0</v>
      </c>
      <c r="N5066" t="n">
        <v>0</v>
      </c>
      <c r="O5066" t="n">
        <v>0</v>
      </c>
      <c r="P5066" t="n">
        <v>0</v>
      </c>
      <c r="Q5066" t="n">
        <v>0</v>
      </c>
      <c r="R5066" t="n">
        <v>0</v>
      </c>
      <c r="S5066" t="n">
        <v>0</v>
      </c>
      <c r="T5066" t="n">
        <v>0</v>
      </c>
      <c r="U5066" t="n">
        <v>0</v>
      </c>
      <c r="V5066" s="2" t="inlineStr"/>
    </row>
    <row r="5067" ht="15" customHeight="1">
      <c r="A5067" t="inlineStr">
        <is>
          <t>A 5150-2022</t>
        </is>
      </c>
      <c r="B5067" t="inlineStr">
        <is>
          <t>avverkningsanmälan</t>
        </is>
      </c>
      <c r="C5067" t="inlineStr">
        <is>
          <t>Föryngringsavverkning</t>
        </is>
      </c>
      <c r="D5067" s="1" t="n">
        <v>44594</v>
      </c>
      <c r="E5067" s="1" t="n">
        <v>46323</v>
      </c>
      <c r="F5067" t="inlineStr">
        <is>
          <t>KALMAR LÄN</t>
        </is>
      </c>
      <c r="G5067" t="inlineStr">
        <is>
          <t>NYBRO</t>
        </is>
      </c>
      <c r="I5067" t="n">
        <v>3.1</v>
      </c>
      <c r="J5067" t="n">
        <v>0</v>
      </c>
      <c r="K5067" t="n">
        <v>0</v>
      </c>
      <c r="L5067" t="n">
        <v>0</v>
      </c>
      <c r="M5067" t="n">
        <v>0</v>
      </c>
      <c r="N5067" t="n">
        <v>0</v>
      </c>
      <c r="O5067" t="n">
        <v>0</v>
      </c>
      <c r="P5067" t="n">
        <v>0</v>
      </c>
      <c r="Q5067" t="n">
        <v>0</v>
      </c>
      <c r="R5067" t="n">
        <v>0</v>
      </c>
      <c r="S5067" t="n">
        <v>0</v>
      </c>
      <c r="T5067" t="n">
        <v>0</v>
      </c>
      <c r="U5067" t="n">
        <v>0</v>
      </c>
      <c r="V5067" s="2" t="inlineStr"/>
    </row>
    <row r="5068" ht="15" customHeight="1">
      <c r="A5068" t="inlineStr">
        <is>
          <t>A 34654-2026</t>
        </is>
      </c>
      <c r="B5068" t="inlineStr">
        <is>
          <t>avverkningsanmälan</t>
        </is>
      </c>
      <c r="C5068" t="inlineStr">
        <is>
          <t>Föryngringsavverkning</t>
        </is>
      </c>
      <c r="D5068" s="1" t="n">
        <v>46256</v>
      </c>
      <c r="E5068" s="1" t="n">
        <v>46323</v>
      </c>
      <c r="F5068" t="inlineStr">
        <is>
          <t>KALMAR LÄN</t>
        </is>
      </c>
      <c r="G5068" t="inlineStr">
        <is>
          <t>VIMMERBY</t>
        </is>
      </c>
      <c r="I5068" t="n">
        <v>0.9</v>
      </c>
      <c r="J5068" t="n">
        <v>0</v>
      </c>
      <c r="K5068" t="n">
        <v>0</v>
      </c>
      <c r="L5068" t="n">
        <v>0</v>
      </c>
      <c r="M5068" t="n">
        <v>0</v>
      </c>
      <c r="N5068" t="n">
        <v>0</v>
      </c>
      <c r="O5068" t="n">
        <v>0</v>
      </c>
      <c r="P5068" t="n">
        <v>0</v>
      </c>
      <c r="Q5068" t="n">
        <v>0</v>
      </c>
      <c r="R5068" t="n">
        <v>0</v>
      </c>
      <c r="S5068" t="n">
        <v>0</v>
      </c>
      <c r="T5068" t="n">
        <v>0</v>
      </c>
      <c r="U5068" t="n">
        <v>0</v>
      </c>
      <c r="V5068" s="2" t="inlineStr"/>
    </row>
    <row r="5069" ht="15" customHeight="1">
      <c r="A5069" t="inlineStr">
        <is>
          <t>A 34656-2026</t>
        </is>
      </c>
      <c r="B5069" t="inlineStr">
        <is>
          <t>avverkningsanmälan</t>
        </is>
      </c>
      <c r="C5069" t="inlineStr">
        <is>
          <t>Föryngringsavverkning</t>
        </is>
      </c>
      <c r="D5069" s="1" t="n">
        <v>46256</v>
      </c>
      <c r="E5069" s="1" t="n">
        <v>46323</v>
      </c>
      <c r="F5069" t="inlineStr">
        <is>
          <t>KALMAR LÄN</t>
        </is>
      </c>
      <c r="G5069" t="inlineStr">
        <is>
          <t>VIMMERBY</t>
        </is>
      </c>
      <c r="I5069" t="n">
        <v>3.1</v>
      </c>
      <c r="J5069" t="n">
        <v>0</v>
      </c>
      <c r="K5069" t="n">
        <v>0</v>
      </c>
      <c r="L5069" t="n">
        <v>0</v>
      </c>
      <c r="M5069" t="n">
        <v>0</v>
      </c>
      <c r="N5069" t="n">
        <v>0</v>
      </c>
      <c r="O5069" t="n">
        <v>0</v>
      </c>
      <c r="P5069" t="n">
        <v>0</v>
      </c>
      <c r="Q5069" t="n">
        <v>0</v>
      </c>
      <c r="R5069" t="n">
        <v>0</v>
      </c>
      <c r="S5069" t="n">
        <v>0</v>
      </c>
      <c r="T5069" t="n">
        <v>0</v>
      </c>
      <c r="U5069" t="n">
        <v>0</v>
      </c>
      <c r="V5069" s="2" t="inlineStr"/>
    </row>
    <row r="5070" ht="15" customHeight="1">
      <c r="A5070" t="inlineStr">
        <is>
          <t>A 935-2023</t>
        </is>
      </c>
      <c r="B5070" t="inlineStr">
        <is>
          <t>avverkningsanmälan</t>
        </is>
      </c>
      <c r="C5070" t="inlineStr">
        <is>
          <t>Föryngringsavverkning</t>
        </is>
      </c>
      <c r="D5070" s="1" t="n">
        <v>44933</v>
      </c>
      <c r="E5070" s="1" t="n">
        <v>46323</v>
      </c>
      <c r="F5070" t="inlineStr">
        <is>
          <t>KALMAR LÄN</t>
        </is>
      </c>
      <c r="G5070" t="inlineStr">
        <is>
          <t>NYBRO</t>
        </is>
      </c>
      <c r="I5070" t="n">
        <v>1.2</v>
      </c>
      <c r="J5070" t="n">
        <v>0</v>
      </c>
      <c r="K5070" t="n">
        <v>0</v>
      </c>
      <c r="L5070" t="n">
        <v>0</v>
      </c>
      <c r="M5070" t="n">
        <v>0</v>
      </c>
      <c r="N5070" t="n">
        <v>0</v>
      </c>
      <c r="O5070" t="n">
        <v>0</v>
      </c>
      <c r="P5070" t="n">
        <v>0</v>
      </c>
      <c r="Q5070" t="n">
        <v>0</v>
      </c>
      <c r="R5070" t="n">
        <v>0</v>
      </c>
      <c r="S5070" t="n">
        <v>0</v>
      </c>
      <c r="T5070" t="n">
        <v>0</v>
      </c>
      <c r="U5070" t="n">
        <v>0</v>
      </c>
      <c r="V5070" s="2" t="inlineStr"/>
    </row>
    <row r="5071" ht="15" customHeight="1">
      <c r="A5071" t="inlineStr">
        <is>
          <t>A 8426-2023</t>
        </is>
      </c>
      <c r="B5071" t="inlineStr">
        <is>
          <t>avverkningsanmälan</t>
        </is>
      </c>
      <c r="C5071" t="inlineStr">
        <is>
          <t>Föryngringsavverkning</t>
        </is>
      </c>
      <c r="D5071" s="1" t="n">
        <v>44977</v>
      </c>
      <c r="E5071" s="1" t="n">
        <v>46323</v>
      </c>
      <c r="F5071" t="inlineStr">
        <is>
          <t>KALMAR LÄN</t>
        </is>
      </c>
      <c r="G5071" t="inlineStr">
        <is>
          <t>TORSÅS</t>
        </is>
      </c>
      <c r="I5071" t="n">
        <v>0.9</v>
      </c>
      <c r="J5071" t="n">
        <v>0</v>
      </c>
      <c r="K5071" t="n">
        <v>0</v>
      </c>
      <c r="L5071" t="n">
        <v>0</v>
      </c>
      <c r="M5071" t="n">
        <v>0</v>
      </c>
      <c r="N5071" t="n">
        <v>0</v>
      </c>
      <c r="O5071" t="n">
        <v>0</v>
      </c>
      <c r="P5071" t="n">
        <v>0</v>
      </c>
      <c r="Q5071" t="n">
        <v>0</v>
      </c>
      <c r="R5071" t="n">
        <v>0</v>
      </c>
      <c r="S5071" t="n">
        <v>0</v>
      </c>
      <c r="T5071" t="n">
        <v>0</v>
      </c>
      <c r="U5071" t="n">
        <v>0</v>
      </c>
      <c r="V5071" s="2" t="inlineStr"/>
    </row>
    <row r="5072" ht="15" customHeight="1">
      <c r="A5072" t="inlineStr">
        <is>
          <t>A 8489-2023</t>
        </is>
      </c>
      <c r="B5072" t="inlineStr">
        <is>
          <t>avverkningsanmälan</t>
        </is>
      </c>
      <c r="C5072" t="inlineStr">
        <is>
          <t>Föryngringsavverkning</t>
        </is>
      </c>
      <c r="D5072" s="1" t="n">
        <v>44977</v>
      </c>
      <c r="E5072" s="1" t="n">
        <v>46323</v>
      </c>
      <c r="F5072" t="inlineStr">
        <is>
          <t>KALMAR LÄN</t>
        </is>
      </c>
      <c r="G5072" t="inlineStr">
        <is>
          <t>NYBRO</t>
        </is>
      </c>
      <c r="I5072" t="n">
        <v>0.9</v>
      </c>
      <c r="J5072" t="n">
        <v>0</v>
      </c>
      <c r="K5072" t="n">
        <v>0</v>
      </c>
      <c r="L5072" t="n">
        <v>0</v>
      </c>
      <c r="M5072" t="n">
        <v>0</v>
      </c>
      <c r="N5072" t="n">
        <v>0</v>
      </c>
      <c r="O5072" t="n">
        <v>0</v>
      </c>
      <c r="P5072" t="n">
        <v>0</v>
      </c>
      <c r="Q5072" t="n">
        <v>0</v>
      </c>
      <c r="R5072" t="n">
        <v>0</v>
      </c>
      <c r="S5072" t="n">
        <v>0</v>
      </c>
      <c r="T5072" t="n">
        <v>0</v>
      </c>
      <c r="U5072" t="n">
        <v>0</v>
      </c>
      <c r="V5072" s="2" t="inlineStr"/>
    </row>
    <row r="5073" ht="15" customHeight="1">
      <c r="A5073" t="inlineStr">
        <is>
          <t>A 8974-2023</t>
        </is>
      </c>
      <c r="B5073" t="inlineStr">
        <is>
          <t>avverkningsanmälan</t>
        </is>
      </c>
      <c r="C5073" t="inlineStr">
        <is>
          <t>Föryngringsavverkning</t>
        </is>
      </c>
      <c r="D5073" s="1" t="n">
        <v>44979</v>
      </c>
      <c r="E5073" s="1" t="n">
        <v>46323</v>
      </c>
      <c r="F5073" t="inlineStr">
        <is>
          <t>KALMAR LÄN</t>
        </is>
      </c>
      <c r="G5073" t="inlineStr">
        <is>
          <t>EMMABODA</t>
        </is>
      </c>
      <c r="I5073" t="n">
        <v>1</v>
      </c>
      <c r="J5073" t="n">
        <v>0</v>
      </c>
      <c r="K5073" t="n">
        <v>0</v>
      </c>
      <c r="L5073" t="n">
        <v>0</v>
      </c>
      <c r="M5073" t="n">
        <v>0</v>
      </c>
      <c r="N5073" t="n">
        <v>0</v>
      </c>
      <c r="O5073" t="n">
        <v>0</v>
      </c>
      <c r="P5073" t="n">
        <v>0</v>
      </c>
      <c r="Q5073" t="n">
        <v>0</v>
      </c>
      <c r="R5073" t="n">
        <v>0</v>
      </c>
      <c r="S5073" t="n">
        <v>0</v>
      </c>
      <c r="T5073" t="n">
        <v>0</v>
      </c>
      <c r="U5073" t="n">
        <v>0</v>
      </c>
      <c r="V5073" s="2" t="inlineStr"/>
    </row>
    <row r="5074" ht="15" customHeight="1">
      <c r="A5074" t="inlineStr">
        <is>
          <t>A 26777-2025</t>
        </is>
      </c>
      <c r="B5074" t="inlineStr">
        <is>
          <t>avverkningsanmälan</t>
        </is>
      </c>
      <c r="C5074" t="inlineStr">
        <is>
          <t>Föryngringsavverkning</t>
        </is>
      </c>
      <c r="D5074" s="1" t="n">
        <v>45810</v>
      </c>
      <c r="E5074" s="1" t="n">
        <v>46323</v>
      </c>
      <c r="F5074" t="inlineStr">
        <is>
          <t>KALMAR LÄN</t>
        </is>
      </c>
      <c r="G5074" t="inlineStr">
        <is>
          <t>HULTSFRED</t>
        </is>
      </c>
      <c r="H5074" t="inlineStr">
        <is>
          <t>Sveaskog</t>
        </is>
      </c>
      <c r="I5074" t="n">
        <v>1.1</v>
      </c>
      <c r="J5074" t="n">
        <v>0</v>
      </c>
      <c r="K5074" t="n">
        <v>0</v>
      </c>
      <c r="L5074" t="n">
        <v>0</v>
      </c>
      <c r="M5074" t="n">
        <v>0</v>
      </c>
      <c r="N5074" t="n">
        <v>0</v>
      </c>
      <c r="O5074" t="n">
        <v>0</v>
      </c>
      <c r="P5074" t="n">
        <v>0</v>
      </c>
      <c r="Q5074" t="n">
        <v>0</v>
      </c>
      <c r="R5074" t="n">
        <v>0</v>
      </c>
      <c r="S5074" t="n">
        <v>0</v>
      </c>
      <c r="T5074" t="n">
        <v>0</v>
      </c>
      <c r="U5074" t="n">
        <v>0</v>
      </c>
      <c r="V5074" s="2" t="inlineStr"/>
    </row>
    <row r="5075" ht="15" customHeight="1">
      <c r="A5075" t="inlineStr">
        <is>
          <t>A 62361-2021</t>
        </is>
      </c>
      <c r="B5075" t="inlineStr">
        <is>
          <t>avverkningsanmälan</t>
        </is>
      </c>
      <c r="C5075" t="inlineStr">
        <is>
          <t>Föryngringsavverkning</t>
        </is>
      </c>
      <c r="D5075" s="1" t="n">
        <v>44502</v>
      </c>
      <c r="E5075" s="1" t="n">
        <v>46323</v>
      </c>
      <c r="F5075" t="inlineStr">
        <is>
          <t>KALMAR LÄN</t>
        </is>
      </c>
      <c r="G5075" t="inlineStr">
        <is>
          <t>HULTSFRED</t>
        </is>
      </c>
      <c r="I5075" t="n">
        <v>1.5</v>
      </c>
      <c r="J5075" t="n">
        <v>0</v>
      </c>
      <c r="K5075" t="n">
        <v>0</v>
      </c>
      <c r="L5075" t="n">
        <v>0</v>
      </c>
      <c r="M5075" t="n">
        <v>0</v>
      </c>
      <c r="N5075" t="n">
        <v>0</v>
      </c>
      <c r="O5075" t="n">
        <v>0</v>
      </c>
      <c r="P5075" t="n">
        <v>0</v>
      </c>
      <c r="Q5075" t="n">
        <v>0</v>
      </c>
      <c r="R5075" t="n">
        <v>0</v>
      </c>
      <c r="S5075" t="n">
        <v>0</v>
      </c>
      <c r="T5075" t="n">
        <v>0</v>
      </c>
      <c r="U5075" t="n">
        <v>0</v>
      </c>
      <c r="V5075" s="2" t="inlineStr"/>
    </row>
    <row r="5076" ht="15" customHeight="1">
      <c r="A5076" t="inlineStr">
        <is>
          <t>A 51533-2022</t>
        </is>
      </c>
      <c r="B5076" t="inlineStr">
        <is>
          <t>avverkningsanmälan</t>
        </is>
      </c>
      <c r="C5076" t="inlineStr">
        <is>
          <t>Föryngringsavverkning</t>
        </is>
      </c>
      <c r="D5076" s="1" t="n">
        <v>44869</v>
      </c>
      <c r="E5076" s="1" t="n">
        <v>46323</v>
      </c>
      <c r="F5076" t="inlineStr">
        <is>
          <t>KALMAR LÄN</t>
        </is>
      </c>
      <c r="G5076" t="inlineStr">
        <is>
          <t>MÖNSTERÅS</t>
        </is>
      </c>
      <c r="I5076" t="n">
        <v>2.3</v>
      </c>
      <c r="J5076" t="n">
        <v>0</v>
      </c>
      <c r="K5076" t="n">
        <v>0</v>
      </c>
      <c r="L5076" t="n">
        <v>0</v>
      </c>
      <c r="M5076" t="n">
        <v>0</v>
      </c>
      <c r="N5076" t="n">
        <v>0</v>
      </c>
      <c r="O5076" t="n">
        <v>0</v>
      </c>
      <c r="P5076" t="n">
        <v>0</v>
      </c>
      <c r="Q5076" t="n">
        <v>0</v>
      </c>
      <c r="R5076" t="n">
        <v>0</v>
      </c>
      <c r="S5076" t="n">
        <v>0</v>
      </c>
      <c r="T5076" t="n">
        <v>0</v>
      </c>
      <c r="U5076" t="n">
        <v>0</v>
      </c>
      <c r="V5076" s="2" t="inlineStr"/>
    </row>
    <row r="5077" ht="15" customHeight="1">
      <c r="A5077" t="inlineStr">
        <is>
          <t>A 29622-2026</t>
        </is>
      </c>
      <c r="B5077" t="inlineStr">
        <is>
          <t>avverkningsanmälan</t>
        </is>
      </c>
      <c r="C5077" t="inlineStr">
        <is>
          <t>Föryngringsavverkning</t>
        </is>
      </c>
      <c r="D5077" s="1" t="n">
        <v>46204</v>
      </c>
      <c r="E5077" s="1" t="n">
        <v>46323</v>
      </c>
      <c r="F5077" t="inlineStr">
        <is>
          <t>KALMAR LÄN</t>
        </is>
      </c>
      <c r="G5077" t="inlineStr">
        <is>
          <t>VIMMERBY</t>
        </is>
      </c>
      <c r="H5077" t="inlineStr">
        <is>
          <t>Övriga Aktiebolag</t>
        </is>
      </c>
      <c r="I5077" t="n">
        <v>0.9</v>
      </c>
      <c r="J5077" t="n">
        <v>0</v>
      </c>
      <c r="K5077" t="n">
        <v>0</v>
      </c>
      <c r="L5077" t="n">
        <v>0</v>
      </c>
      <c r="M5077" t="n">
        <v>0</v>
      </c>
      <c r="N5077" t="n">
        <v>0</v>
      </c>
      <c r="O5077" t="n">
        <v>0</v>
      </c>
      <c r="P5077" t="n">
        <v>0</v>
      </c>
      <c r="Q5077" t="n">
        <v>0</v>
      </c>
      <c r="R5077" t="n">
        <v>0</v>
      </c>
      <c r="S5077" t="n">
        <v>0</v>
      </c>
      <c r="T5077" t="n">
        <v>0</v>
      </c>
      <c r="U5077" t="n">
        <v>0</v>
      </c>
      <c r="V5077" s="2" t="inlineStr"/>
    </row>
    <row r="5078" ht="15" customHeight="1">
      <c r="A5078" t="inlineStr">
        <is>
          <t>A 4252-2023</t>
        </is>
      </c>
      <c r="B5078" t="inlineStr">
        <is>
          <t>avverkningsanmälan</t>
        </is>
      </c>
      <c r="C5078" t="inlineStr">
        <is>
          <t>Föryngringsavverkning</t>
        </is>
      </c>
      <c r="D5078" s="1" t="n">
        <v>44953</v>
      </c>
      <c r="E5078" s="1" t="n">
        <v>46323</v>
      </c>
      <c r="F5078" t="inlineStr">
        <is>
          <t>KALMAR LÄN</t>
        </is>
      </c>
      <c r="G5078" t="inlineStr">
        <is>
          <t>HÖGSBY</t>
        </is>
      </c>
      <c r="H5078" t="inlineStr">
        <is>
          <t>Övriga Aktiebolag</t>
        </is>
      </c>
      <c r="I5078" t="n">
        <v>15.2</v>
      </c>
      <c r="J5078" t="n">
        <v>0</v>
      </c>
      <c r="K5078" t="n">
        <v>0</v>
      </c>
      <c r="L5078" t="n">
        <v>0</v>
      </c>
      <c r="M5078" t="n">
        <v>0</v>
      </c>
      <c r="N5078" t="n">
        <v>0</v>
      </c>
      <c r="O5078" t="n">
        <v>0</v>
      </c>
      <c r="P5078" t="n">
        <v>0</v>
      </c>
      <c r="Q5078" t="n">
        <v>0</v>
      </c>
      <c r="R5078" t="n">
        <v>0</v>
      </c>
      <c r="S5078" t="n">
        <v>0</v>
      </c>
      <c r="T5078" t="n">
        <v>0</v>
      </c>
      <c r="U5078" t="n">
        <v>0</v>
      </c>
      <c r="V5078" s="2" t="inlineStr"/>
    </row>
    <row r="5079" ht="15" customHeight="1">
      <c r="A5079" t="inlineStr">
        <is>
          <t>A 18437-2026</t>
        </is>
      </c>
      <c r="B5079" t="inlineStr">
        <is>
          <t>avverkningsanmälan</t>
        </is>
      </c>
      <c r="C5079" t="inlineStr">
        <is>
          <t>Avverkning för att bevara och utveckla /försöksver</t>
        </is>
      </c>
      <c r="D5079" s="1" t="n">
        <v>46127</v>
      </c>
      <c r="E5079" s="1" t="n">
        <v>46323</v>
      </c>
      <c r="F5079" t="inlineStr">
        <is>
          <t>KALMAR LÄN</t>
        </is>
      </c>
      <c r="G5079" t="inlineStr">
        <is>
          <t>EMMABODA</t>
        </is>
      </c>
      <c r="I5079" t="n">
        <v>1.5</v>
      </c>
      <c r="J5079" t="n">
        <v>0</v>
      </c>
      <c r="K5079" t="n">
        <v>0</v>
      </c>
      <c r="L5079" t="n">
        <v>0</v>
      </c>
      <c r="M5079" t="n">
        <v>0</v>
      </c>
      <c r="N5079" t="n">
        <v>0</v>
      </c>
      <c r="O5079" t="n">
        <v>0</v>
      </c>
      <c r="P5079" t="n">
        <v>0</v>
      </c>
      <c r="Q5079" t="n">
        <v>0</v>
      </c>
      <c r="R5079" t="n">
        <v>0</v>
      </c>
      <c r="S5079" t="n">
        <v>0</v>
      </c>
      <c r="T5079" t="n">
        <v>0</v>
      </c>
      <c r="U5079" t="n">
        <v>0</v>
      </c>
      <c r="V5079" s="2" t="inlineStr"/>
    </row>
    <row r="5080" ht="15" customHeight="1">
      <c r="A5080" t="inlineStr">
        <is>
          <t>A 18444-2026</t>
        </is>
      </c>
      <c r="B5080" t="inlineStr">
        <is>
          <t>avverkningsanmälan</t>
        </is>
      </c>
      <c r="C5080" t="inlineStr">
        <is>
          <t>Avverkning för att bevara och utveckla /försöksver</t>
        </is>
      </c>
      <c r="D5080" s="1" t="n">
        <v>46127</v>
      </c>
      <c r="E5080" s="1" t="n">
        <v>46323</v>
      </c>
      <c r="F5080" t="inlineStr">
        <is>
          <t>KALMAR LÄN</t>
        </is>
      </c>
      <c r="G5080" t="inlineStr">
        <is>
          <t>EMMABODA</t>
        </is>
      </c>
      <c r="I5080" t="n">
        <v>1.3</v>
      </c>
      <c r="J5080" t="n">
        <v>0</v>
      </c>
      <c r="K5080" t="n">
        <v>0</v>
      </c>
      <c r="L5080" t="n">
        <v>0</v>
      </c>
      <c r="M5080" t="n">
        <v>0</v>
      </c>
      <c r="N5080" t="n">
        <v>0</v>
      </c>
      <c r="O5080" t="n">
        <v>0</v>
      </c>
      <c r="P5080" t="n">
        <v>0</v>
      </c>
      <c r="Q5080" t="n">
        <v>0</v>
      </c>
      <c r="R5080" t="n">
        <v>0</v>
      </c>
      <c r="S5080" t="n">
        <v>0</v>
      </c>
      <c r="T5080" t="n">
        <v>0</v>
      </c>
      <c r="U5080" t="n">
        <v>0</v>
      </c>
      <c r="V5080" s="2" t="inlineStr"/>
    </row>
    <row r="5081" ht="15" customHeight="1">
      <c r="A5081" t="inlineStr">
        <is>
          <t>A 18488-2026</t>
        </is>
      </c>
      <c r="B5081" t="inlineStr">
        <is>
          <t>avverkningsanmälan</t>
        </is>
      </c>
      <c r="C5081" t="inlineStr">
        <is>
          <t>Föryngringsavverkning</t>
        </is>
      </c>
      <c r="D5081" s="1" t="n">
        <v>46127</v>
      </c>
      <c r="E5081" s="1" t="n">
        <v>46323</v>
      </c>
      <c r="F5081" t="inlineStr">
        <is>
          <t>KALMAR LÄN</t>
        </is>
      </c>
      <c r="G5081" t="inlineStr">
        <is>
          <t>EMMABODA</t>
        </is>
      </c>
      <c r="I5081" t="n">
        <v>2</v>
      </c>
      <c r="J5081" t="n">
        <v>0</v>
      </c>
      <c r="K5081" t="n">
        <v>0</v>
      </c>
      <c r="L5081" t="n">
        <v>0</v>
      </c>
      <c r="M5081" t="n">
        <v>0</v>
      </c>
      <c r="N5081" t="n">
        <v>0</v>
      </c>
      <c r="O5081" t="n">
        <v>0</v>
      </c>
      <c r="P5081" t="n">
        <v>0</v>
      </c>
      <c r="Q5081" t="n">
        <v>0</v>
      </c>
      <c r="R5081" t="n">
        <v>0</v>
      </c>
      <c r="S5081" t="n">
        <v>0</v>
      </c>
      <c r="T5081" t="n">
        <v>0</v>
      </c>
      <c r="U5081" t="n">
        <v>0</v>
      </c>
      <c r="V5081" s="2" t="inlineStr"/>
    </row>
    <row r="5082" ht="15" customHeight="1">
      <c r="A5082" t="inlineStr">
        <is>
          <t>A 18515-2026</t>
        </is>
      </c>
      <c r="B5082" t="inlineStr">
        <is>
          <t>avverkningsanmälan</t>
        </is>
      </c>
      <c r="C5082" t="inlineStr">
        <is>
          <t>Föryngringsavverkning</t>
        </is>
      </c>
      <c r="D5082" s="1" t="n">
        <v>46127</v>
      </c>
      <c r="E5082" s="1" t="n">
        <v>46323</v>
      </c>
      <c r="F5082" t="inlineStr">
        <is>
          <t>KALMAR LÄN</t>
        </is>
      </c>
      <c r="G5082" t="inlineStr">
        <is>
          <t>NYBRO</t>
        </is>
      </c>
      <c r="I5082" t="n">
        <v>1.5</v>
      </c>
      <c r="J5082" t="n">
        <v>0</v>
      </c>
      <c r="K5082" t="n">
        <v>0</v>
      </c>
      <c r="L5082" t="n">
        <v>0</v>
      </c>
      <c r="M5082" t="n">
        <v>0</v>
      </c>
      <c r="N5082" t="n">
        <v>0</v>
      </c>
      <c r="O5082" t="n">
        <v>0</v>
      </c>
      <c r="P5082" t="n">
        <v>0</v>
      </c>
      <c r="Q5082" t="n">
        <v>0</v>
      </c>
      <c r="R5082" t="n">
        <v>0</v>
      </c>
      <c r="S5082" t="n">
        <v>0</v>
      </c>
      <c r="T5082" t="n">
        <v>0</v>
      </c>
      <c r="U5082" t="n">
        <v>0</v>
      </c>
      <c r="V5082" s="2" t="inlineStr"/>
    </row>
    <row r="5083" ht="15" customHeight="1">
      <c r="A5083" t="inlineStr">
        <is>
          <t>A 41224-2026</t>
        </is>
      </c>
      <c r="B5083" t="inlineStr">
        <is>
          <t>avverkningsanmälan</t>
        </is>
      </c>
      <c r="C5083" t="inlineStr">
        <is>
          <t>Föryngringsavverkning</t>
        </is>
      </c>
      <c r="D5083" s="1" t="n">
        <v>46300</v>
      </c>
      <c r="E5083" s="1" t="n">
        <v>46323</v>
      </c>
      <c r="F5083" t="inlineStr">
        <is>
          <t>KALMAR LÄN</t>
        </is>
      </c>
      <c r="G5083" t="inlineStr">
        <is>
          <t>VÄSTERVIK</t>
        </is>
      </c>
      <c r="H5083" t="inlineStr">
        <is>
          <t>Sveaskog</t>
        </is>
      </c>
      <c r="I5083" t="n">
        <v>1.6</v>
      </c>
      <c r="J5083" t="n">
        <v>0</v>
      </c>
      <c r="K5083" t="n">
        <v>0</v>
      </c>
      <c r="L5083" t="n">
        <v>0</v>
      </c>
      <c r="M5083" t="n">
        <v>0</v>
      </c>
      <c r="N5083" t="n">
        <v>0</v>
      </c>
      <c r="O5083" t="n">
        <v>0</v>
      </c>
      <c r="P5083" t="n">
        <v>0</v>
      </c>
      <c r="Q5083" t="n">
        <v>0</v>
      </c>
      <c r="R5083" t="n">
        <v>0</v>
      </c>
      <c r="S5083" t="n">
        <v>0</v>
      </c>
      <c r="T5083" t="n">
        <v>0</v>
      </c>
      <c r="U5083" t="n">
        <v>0</v>
      </c>
      <c r="V5083" s="2" t="inlineStr"/>
    </row>
    <row r="5084" ht="15" customHeight="1">
      <c r="A5084" t="inlineStr">
        <is>
          <t>A 34437-2026</t>
        </is>
      </c>
      <c r="B5084" t="inlineStr">
        <is>
          <t>avverkningsanmälan</t>
        </is>
      </c>
      <c r="C5084" t="inlineStr">
        <is>
          <t>Föryngringsavverkning</t>
        </is>
      </c>
      <c r="D5084" s="1" t="n">
        <v>46254</v>
      </c>
      <c r="E5084" s="1" t="n">
        <v>46323</v>
      </c>
      <c r="F5084" t="inlineStr">
        <is>
          <t>KALMAR LÄN</t>
        </is>
      </c>
      <c r="G5084" t="inlineStr">
        <is>
          <t>VIMMERBY</t>
        </is>
      </c>
      <c r="I5084" t="n">
        <v>0.7</v>
      </c>
      <c r="J5084" t="n">
        <v>0</v>
      </c>
      <c r="K5084" t="n">
        <v>0</v>
      </c>
      <c r="L5084" t="n">
        <v>0</v>
      </c>
      <c r="M5084" t="n">
        <v>0</v>
      </c>
      <c r="N5084" t="n">
        <v>0</v>
      </c>
      <c r="O5084" t="n">
        <v>0</v>
      </c>
      <c r="P5084" t="n">
        <v>0</v>
      </c>
      <c r="Q5084" t="n">
        <v>0</v>
      </c>
      <c r="R5084" t="n">
        <v>0</v>
      </c>
      <c r="S5084" t="n">
        <v>0</v>
      </c>
      <c r="T5084" t="n">
        <v>0</v>
      </c>
      <c r="U5084" t="n">
        <v>0</v>
      </c>
      <c r="V5084" s="2" t="inlineStr"/>
    </row>
    <row r="5085" ht="15" customHeight="1">
      <c r="A5085" t="inlineStr">
        <is>
          <t>A 35721-2023</t>
        </is>
      </c>
      <c r="B5085" t="inlineStr">
        <is>
          <t>avverkningsanmälan</t>
        </is>
      </c>
      <c r="C5085" t="inlineStr">
        <is>
          <t>Föryngringsavverkning</t>
        </is>
      </c>
      <c r="D5085" s="1" t="n">
        <v>45147</v>
      </c>
      <c r="E5085" s="1" t="n">
        <v>46323</v>
      </c>
      <c r="F5085" t="inlineStr">
        <is>
          <t>KALMAR LÄN</t>
        </is>
      </c>
      <c r="G5085" t="inlineStr">
        <is>
          <t>HULTSFRED</t>
        </is>
      </c>
      <c r="I5085" t="n">
        <v>2.4</v>
      </c>
      <c r="J5085" t="n">
        <v>0</v>
      </c>
      <c r="K5085" t="n">
        <v>0</v>
      </c>
      <c r="L5085" t="n">
        <v>0</v>
      </c>
      <c r="M5085" t="n">
        <v>0</v>
      </c>
      <c r="N5085" t="n">
        <v>0</v>
      </c>
      <c r="O5085" t="n">
        <v>0</v>
      </c>
      <c r="P5085" t="n">
        <v>0</v>
      </c>
      <c r="Q5085" t="n">
        <v>0</v>
      </c>
      <c r="R5085" t="n">
        <v>0</v>
      </c>
      <c r="S5085" t="n">
        <v>0</v>
      </c>
      <c r="T5085" t="n">
        <v>0</v>
      </c>
      <c r="U5085" t="n">
        <v>0</v>
      </c>
      <c r="V5085" s="2" t="inlineStr"/>
    </row>
    <row r="5086" ht="15" customHeight="1">
      <c r="A5086" t="inlineStr">
        <is>
          <t>A 41018-2026</t>
        </is>
      </c>
      <c r="B5086" t="inlineStr">
        <is>
          <t>avverkningsanmälan</t>
        </is>
      </c>
      <c r="C5086" t="inlineStr">
        <is>
          <t>Föryngringsavverkning</t>
        </is>
      </c>
      <c r="D5086" s="1" t="n">
        <v>46297</v>
      </c>
      <c r="E5086" s="1" t="n">
        <v>46323</v>
      </c>
      <c r="F5086" t="inlineStr">
        <is>
          <t>KALMAR LÄN</t>
        </is>
      </c>
      <c r="G5086" t="inlineStr">
        <is>
          <t>HÖGSBY</t>
        </is>
      </c>
      <c r="H5086" t="inlineStr">
        <is>
          <t>Sveaskog</t>
        </is>
      </c>
      <c r="I5086" t="n">
        <v>6.7</v>
      </c>
      <c r="J5086" t="n">
        <v>0</v>
      </c>
      <c r="K5086" t="n">
        <v>0</v>
      </c>
      <c r="L5086" t="n">
        <v>0</v>
      </c>
      <c r="M5086" t="n">
        <v>0</v>
      </c>
      <c r="N5086" t="n">
        <v>0</v>
      </c>
      <c r="O5086" t="n">
        <v>0</v>
      </c>
      <c r="P5086" t="n">
        <v>0</v>
      </c>
      <c r="Q5086" t="n">
        <v>0</v>
      </c>
      <c r="R5086" t="n">
        <v>0</v>
      </c>
      <c r="S5086" t="n">
        <v>0</v>
      </c>
      <c r="T5086" t="n">
        <v>0</v>
      </c>
      <c r="U5086" t="n">
        <v>0</v>
      </c>
      <c r="V5086" s="2" t="inlineStr"/>
    </row>
    <row r="5087" ht="15" customHeight="1">
      <c r="A5087" t="inlineStr">
        <is>
          <t>A 14906-2023</t>
        </is>
      </c>
      <c r="B5087" t="inlineStr">
        <is>
          <t>avverkningsanmälan</t>
        </is>
      </c>
      <c r="C5087" t="inlineStr">
        <is>
          <t>Föryngringsavverkning</t>
        </is>
      </c>
      <c r="D5087" s="1" t="n">
        <v>45015</v>
      </c>
      <c r="E5087" s="1" t="n">
        <v>46323</v>
      </c>
      <c r="F5087" t="inlineStr">
        <is>
          <t>KALMAR LÄN</t>
        </is>
      </c>
      <c r="G5087" t="inlineStr">
        <is>
          <t>MÖNSTERÅS</t>
        </is>
      </c>
      <c r="I5087" t="n">
        <v>3.9</v>
      </c>
      <c r="J5087" t="n">
        <v>0</v>
      </c>
      <c r="K5087" t="n">
        <v>0</v>
      </c>
      <c r="L5087" t="n">
        <v>0</v>
      </c>
      <c r="M5087" t="n">
        <v>0</v>
      </c>
      <c r="N5087" t="n">
        <v>0</v>
      </c>
      <c r="O5087" t="n">
        <v>0</v>
      </c>
      <c r="P5087" t="n">
        <v>0</v>
      </c>
      <c r="Q5087" t="n">
        <v>0</v>
      </c>
      <c r="R5087" t="n">
        <v>0</v>
      </c>
      <c r="S5087" t="n">
        <v>0</v>
      </c>
      <c r="T5087" t="n">
        <v>0</v>
      </c>
      <c r="U5087" t="n">
        <v>0</v>
      </c>
      <c r="V5087" s="2" t="inlineStr"/>
    </row>
    <row r="5088" ht="15" customHeight="1">
      <c r="A5088" t="inlineStr">
        <is>
          <t>A 21964-2022</t>
        </is>
      </c>
      <c r="B5088" t="inlineStr">
        <is>
          <t>avverkningsanmälan</t>
        </is>
      </c>
      <c r="C5088" t="inlineStr">
        <is>
          <t>Föryngringsavverkning</t>
        </is>
      </c>
      <c r="D5088" s="1" t="n">
        <v>44711</v>
      </c>
      <c r="E5088" s="1" t="n">
        <v>46323</v>
      </c>
      <c r="F5088" t="inlineStr">
        <is>
          <t>KALMAR LÄN</t>
        </is>
      </c>
      <c r="G5088" t="inlineStr">
        <is>
          <t>OSKARSHAMN</t>
        </is>
      </c>
      <c r="I5088" t="n">
        <v>2.9</v>
      </c>
      <c r="J5088" t="n">
        <v>0</v>
      </c>
      <c r="K5088" t="n">
        <v>0</v>
      </c>
      <c r="L5088" t="n">
        <v>0</v>
      </c>
      <c r="M5088" t="n">
        <v>0</v>
      </c>
      <c r="N5088" t="n">
        <v>0</v>
      </c>
      <c r="O5088" t="n">
        <v>0</v>
      </c>
      <c r="P5088" t="n">
        <v>0</v>
      </c>
      <c r="Q5088" t="n">
        <v>0</v>
      </c>
      <c r="R5088" t="n">
        <v>0</v>
      </c>
      <c r="S5088" t="n">
        <v>0</v>
      </c>
      <c r="T5088" t="n">
        <v>0</v>
      </c>
      <c r="U5088" t="n">
        <v>0</v>
      </c>
      <c r="V5088" s="2" t="inlineStr"/>
    </row>
    <row r="5089" ht="15" customHeight="1">
      <c r="A5089" t="inlineStr">
        <is>
          <t>A 26451-2024</t>
        </is>
      </c>
      <c r="B5089" t="inlineStr">
        <is>
          <t>avverkningsanmälan</t>
        </is>
      </c>
      <c r="C5089" t="inlineStr">
        <is>
          <t>Föryngringsavverkning</t>
        </is>
      </c>
      <c r="D5089" s="1" t="n">
        <v>45469</v>
      </c>
      <c r="E5089" s="1" t="n">
        <v>46323</v>
      </c>
      <c r="F5089" t="inlineStr">
        <is>
          <t>KALMAR LÄN</t>
        </is>
      </c>
      <c r="G5089" t="inlineStr">
        <is>
          <t>OSKARSHAMN</t>
        </is>
      </c>
      <c r="I5089" t="n">
        <v>1.5</v>
      </c>
      <c r="J5089" t="n">
        <v>0</v>
      </c>
      <c r="K5089" t="n">
        <v>0</v>
      </c>
      <c r="L5089" t="n">
        <v>0</v>
      </c>
      <c r="M5089" t="n">
        <v>0</v>
      </c>
      <c r="N5089" t="n">
        <v>0</v>
      </c>
      <c r="O5089" t="n">
        <v>0</v>
      </c>
      <c r="P5089" t="n">
        <v>0</v>
      </c>
      <c r="Q5089" t="n">
        <v>0</v>
      </c>
      <c r="R5089" t="n">
        <v>0</v>
      </c>
      <c r="S5089" t="n">
        <v>0</v>
      </c>
      <c r="T5089" t="n">
        <v>0</v>
      </c>
      <c r="U5089" t="n">
        <v>0</v>
      </c>
      <c r="V5089" s="2" t="inlineStr"/>
    </row>
    <row r="5090" ht="15" customHeight="1">
      <c r="A5090" t="inlineStr">
        <is>
          <t>A 13383-2023</t>
        </is>
      </c>
      <c r="B5090" t="inlineStr">
        <is>
          <t>avverkningsanmälan</t>
        </is>
      </c>
      <c r="C5090" t="inlineStr">
        <is>
          <t>Föryngringsavverkning</t>
        </is>
      </c>
      <c r="D5090" s="1" t="n">
        <v>45005</v>
      </c>
      <c r="E5090" s="1" t="n">
        <v>46323</v>
      </c>
      <c r="F5090" t="inlineStr">
        <is>
          <t>KALMAR LÄN</t>
        </is>
      </c>
      <c r="G5090" t="inlineStr">
        <is>
          <t>BORGHOLM</t>
        </is>
      </c>
      <c r="I5090" t="n">
        <v>0.8</v>
      </c>
      <c r="J5090" t="n">
        <v>0</v>
      </c>
      <c r="K5090" t="n">
        <v>0</v>
      </c>
      <c r="L5090" t="n">
        <v>0</v>
      </c>
      <c r="M5090" t="n">
        <v>0</v>
      </c>
      <c r="N5090" t="n">
        <v>0</v>
      </c>
      <c r="O5090" t="n">
        <v>0</v>
      </c>
      <c r="P5090" t="n">
        <v>0</v>
      </c>
      <c r="Q5090" t="n">
        <v>0</v>
      </c>
      <c r="R5090" t="n">
        <v>0</v>
      </c>
      <c r="S5090" t="n">
        <v>0</v>
      </c>
      <c r="T5090" t="n">
        <v>0</v>
      </c>
      <c r="U5090" t="n">
        <v>0</v>
      </c>
      <c r="V5090" s="2" t="inlineStr"/>
    </row>
    <row r="5091" ht="15" customHeight="1">
      <c r="A5091" t="inlineStr">
        <is>
          <t>A 30929-2025</t>
        </is>
      </c>
      <c r="B5091" t="inlineStr">
        <is>
          <t>avverkningsanmälan</t>
        </is>
      </c>
      <c r="C5091" t="inlineStr">
        <is>
          <t>Föryngringsavverkning</t>
        </is>
      </c>
      <c r="D5091" s="1" t="n">
        <v>45831</v>
      </c>
      <c r="E5091" s="1" t="n">
        <v>46323</v>
      </c>
      <c r="F5091" t="inlineStr">
        <is>
          <t>KALMAR LÄN</t>
        </is>
      </c>
      <c r="G5091" t="inlineStr">
        <is>
          <t>HULTSFRED</t>
        </is>
      </c>
      <c r="H5091" t="inlineStr">
        <is>
          <t>Kommuner</t>
        </is>
      </c>
      <c r="I5091" t="n">
        <v>3.1</v>
      </c>
      <c r="J5091" t="n">
        <v>0</v>
      </c>
      <c r="K5091" t="n">
        <v>0</v>
      </c>
      <c r="L5091" t="n">
        <v>0</v>
      </c>
      <c r="M5091" t="n">
        <v>0</v>
      </c>
      <c r="N5091" t="n">
        <v>0</v>
      </c>
      <c r="O5091" t="n">
        <v>0</v>
      </c>
      <c r="P5091" t="n">
        <v>0</v>
      </c>
      <c r="Q5091" t="n">
        <v>0</v>
      </c>
      <c r="R5091" t="n">
        <v>0</v>
      </c>
      <c r="S5091" t="n">
        <v>0</v>
      </c>
      <c r="T5091" t="n">
        <v>0</v>
      </c>
      <c r="U5091" t="n">
        <v>0</v>
      </c>
      <c r="V5091" s="2" t="inlineStr"/>
    </row>
    <row r="5092" ht="15" customHeight="1">
      <c r="A5092" t="inlineStr">
        <is>
          <t>A 5566-2026</t>
        </is>
      </c>
      <c r="B5092" t="inlineStr">
        <is>
          <t>avverkningsanmälan</t>
        </is>
      </c>
      <c r="C5092" t="inlineStr">
        <is>
          <t>Föryngringsavverkning</t>
        </is>
      </c>
      <c r="D5092" s="1" t="n">
        <v>46050</v>
      </c>
      <c r="E5092" s="1" t="n">
        <v>46323</v>
      </c>
      <c r="F5092" t="inlineStr">
        <is>
          <t>KALMAR LÄN</t>
        </is>
      </c>
      <c r="G5092" t="inlineStr">
        <is>
          <t>HULTSFRED</t>
        </is>
      </c>
      <c r="I5092" t="n">
        <v>1.9</v>
      </c>
      <c r="J5092" t="n">
        <v>0</v>
      </c>
      <c r="K5092" t="n">
        <v>0</v>
      </c>
      <c r="L5092" t="n">
        <v>0</v>
      </c>
      <c r="M5092" t="n">
        <v>0</v>
      </c>
      <c r="N5092" t="n">
        <v>0</v>
      </c>
      <c r="O5092" t="n">
        <v>0</v>
      </c>
      <c r="P5092" t="n">
        <v>0</v>
      </c>
      <c r="Q5092" t="n">
        <v>0</v>
      </c>
      <c r="R5092" t="n">
        <v>0</v>
      </c>
      <c r="S5092" t="n">
        <v>0</v>
      </c>
      <c r="T5092" t="n">
        <v>0</v>
      </c>
      <c r="U5092" t="n">
        <v>0</v>
      </c>
      <c r="V5092" s="2" t="inlineStr"/>
    </row>
    <row r="5093" ht="15" customHeight="1">
      <c r="A5093" t="inlineStr">
        <is>
          <t>A 34372-2026</t>
        </is>
      </c>
      <c r="B5093" t="inlineStr">
        <is>
          <t>avverkningsanmälan</t>
        </is>
      </c>
      <c r="C5093" t="inlineStr">
        <is>
          <t>Föryngringsavverkning</t>
        </is>
      </c>
      <c r="D5093" s="1" t="n">
        <v>46254</v>
      </c>
      <c r="E5093" s="1" t="n">
        <v>46323</v>
      </c>
      <c r="F5093" t="inlineStr">
        <is>
          <t>KALMAR LÄN</t>
        </is>
      </c>
      <c r="G5093" t="inlineStr">
        <is>
          <t>KALMAR</t>
        </is>
      </c>
      <c r="H5093" t="inlineStr">
        <is>
          <t>Sveaskog</t>
        </is>
      </c>
      <c r="I5093" t="n">
        <v>14.4</v>
      </c>
      <c r="J5093" t="n">
        <v>0</v>
      </c>
      <c r="K5093" t="n">
        <v>0</v>
      </c>
      <c r="L5093" t="n">
        <v>0</v>
      </c>
      <c r="M5093" t="n">
        <v>0</v>
      </c>
      <c r="N5093" t="n">
        <v>0</v>
      </c>
      <c r="O5093" t="n">
        <v>0</v>
      </c>
      <c r="P5093" t="n">
        <v>0</v>
      </c>
      <c r="Q5093" t="n">
        <v>0</v>
      </c>
      <c r="R5093" t="n">
        <v>0</v>
      </c>
      <c r="S5093" t="n">
        <v>0</v>
      </c>
      <c r="T5093" t="n">
        <v>0</v>
      </c>
      <c r="U5093" t="n">
        <v>0</v>
      </c>
      <c r="V5093" s="2" t="inlineStr"/>
    </row>
    <row r="5094" ht="15" customHeight="1">
      <c r="A5094" t="inlineStr">
        <is>
          <t>A 58825-2022</t>
        </is>
      </c>
      <c r="B5094" t="inlineStr">
        <is>
          <t>avverkningsanmälan</t>
        </is>
      </c>
      <c r="C5094" t="inlineStr">
        <is>
          <t>Föryngringsavverkning</t>
        </is>
      </c>
      <c r="D5094" s="1" t="n">
        <v>44903</v>
      </c>
      <c r="E5094" s="1" t="n">
        <v>46323</v>
      </c>
      <c r="F5094" t="inlineStr">
        <is>
          <t>KALMAR LÄN</t>
        </is>
      </c>
      <c r="G5094" t="inlineStr">
        <is>
          <t>HULTSFRED</t>
        </is>
      </c>
      <c r="I5094" t="n">
        <v>1.1</v>
      </c>
      <c r="J5094" t="n">
        <v>0</v>
      </c>
      <c r="K5094" t="n">
        <v>0</v>
      </c>
      <c r="L5094" t="n">
        <v>0</v>
      </c>
      <c r="M5094" t="n">
        <v>0</v>
      </c>
      <c r="N5094" t="n">
        <v>0</v>
      </c>
      <c r="O5094" t="n">
        <v>0</v>
      </c>
      <c r="P5094" t="n">
        <v>0</v>
      </c>
      <c r="Q5094" t="n">
        <v>0</v>
      </c>
      <c r="R5094" t="n">
        <v>0</v>
      </c>
      <c r="S5094" t="n">
        <v>0</v>
      </c>
      <c r="T5094" t="n">
        <v>0</v>
      </c>
      <c r="U5094" t="n">
        <v>0</v>
      </c>
      <c r="V5094" s="2" t="inlineStr"/>
    </row>
    <row r="5095" ht="15" customHeight="1">
      <c r="A5095" t="inlineStr">
        <is>
          <t>A 41228-2026</t>
        </is>
      </c>
      <c r="B5095" t="inlineStr">
        <is>
          <t>avverkningsanmälan</t>
        </is>
      </c>
      <c r="C5095" t="inlineStr">
        <is>
          <t>Föryngringsavverkning</t>
        </is>
      </c>
      <c r="D5095" s="1" t="n">
        <v>46300</v>
      </c>
      <c r="E5095" s="1" t="n">
        <v>46323</v>
      </c>
      <c r="F5095" t="inlineStr">
        <is>
          <t>KALMAR LÄN</t>
        </is>
      </c>
      <c r="G5095" t="inlineStr">
        <is>
          <t>VÄSTERVIK</t>
        </is>
      </c>
      <c r="H5095" t="inlineStr">
        <is>
          <t>Sveaskog</t>
        </is>
      </c>
      <c r="I5095" t="n">
        <v>2.7</v>
      </c>
      <c r="J5095" t="n">
        <v>0</v>
      </c>
      <c r="K5095" t="n">
        <v>0</v>
      </c>
      <c r="L5095" t="n">
        <v>0</v>
      </c>
      <c r="M5095" t="n">
        <v>0</v>
      </c>
      <c r="N5095" t="n">
        <v>0</v>
      </c>
      <c r="O5095" t="n">
        <v>0</v>
      </c>
      <c r="P5095" t="n">
        <v>0</v>
      </c>
      <c r="Q5095" t="n">
        <v>0</v>
      </c>
      <c r="R5095" t="n">
        <v>0</v>
      </c>
      <c r="S5095" t="n">
        <v>0</v>
      </c>
      <c r="T5095" t="n">
        <v>0</v>
      </c>
      <c r="U5095" t="n">
        <v>0</v>
      </c>
      <c r="V5095" s="2" t="inlineStr"/>
    </row>
    <row r="5096" ht="15" customHeight="1">
      <c r="A5096" t="inlineStr">
        <is>
          <t>A 54051-2022</t>
        </is>
      </c>
      <c r="B5096" t="inlineStr">
        <is>
          <t>avverkningsanmälan</t>
        </is>
      </c>
      <c r="C5096" t="inlineStr">
        <is>
          <t>Föryngringsavverkning</t>
        </is>
      </c>
      <c r="D5096" s="1" t="n">
        <v>44881</v>
      </c>
      <c r="E5096" s="1" t="n">
        <v>46323</v>
      </c>
      <c r="F5096" t="inlineStr">
        <is>
          <t>KALMAR LÄN</t>
        </is>
      </c>
      <c r="G5096" t="inlineStr">
        <is>
          <t>NYBRO</t>
        </is>
      </c>
      <c r="I5096" t="n">
        <v>2.2</v>
      </c>
      <c r="J5096" t="n">
        <v>0</v>
      </c>
      <c r="K5096" t="n">
        <v>0</v>
      </c>
      <c r="L5096" t="n">
        <v>0</v>
      </c>
      <c r="M5096" t="n">
        <v>0</v>
      </c>
      <c r="N5096" t="n">
        <v>0</v>
      </c>
      <c r="O5096" t="n">
        <v>0</v>
      </c>
      <c r="P5096" t="n">
        <v>0</v>
      </c>
      <c r="Q5096" t="n">
        <v>0</v>
      </c>
      <c r="R5096" t="n">
        <v>0</v>
      </c>
      <c r="S5096" t="n">
        <v>0</v>
      </c>
      <c r="T5096" t="n">
        <v>0</v>
      </c>
      <c r="U5096" t="n">
        <v>0</v>
      </c>
      <c r="V5096" s="2" t="inlineStr"/>
    </row>
    <row r="5097" ht="15" customHeight="1">
      <c r="A5097" t="inlineStr">
        <is>
          <t>A 34914-2026</t>
        </is>
      </c>
      <c r="B5097" t="inlineStr">
        <is>
          <t>avverkningsanmälan</t>
        </is>
      </c>
      <c r="C5097" t="inlineStr">
        <is>
          <t>Föryngringsavverkning</t>
        </is>
      </c>
      <c r="D5097" s="1" t="n">
        <v>46255</v>
      </c>
      <c r="E5097" s="1" t="n">
        <v>46323</v>
      </c>
      <c r="F5097" t="inlineStr">
        <is>
          <t>KALMAR LÄN</t>
        </is>
      </c>
      <c r="G5097" t="inlineStr">
        <is>
          <t>EMMABODA</t>
        </is>
      </c>
      <c r="I5097" t="n">
        <v>5.3</v>
      </c>
      <c r="J5097" t="n">
        <v>0</v>
      </c>
      <c r="K5097" t="n">
        <v>0</v>
      </c>
      <c r="L5097" t="n">
        <v>0</v>
      </c>
      <c r="M5097" t="n">
        <v>0</v>
      </c>
      <c r="N5097" t="n">
        <v>0</v>
      </c>
      <c r="O5097" t="n">
        <v>0</v>
      </c>
      <c r="P5097" t="n">
        <v>0</v>
      </c>
      <c r="Q5097" t="n">
        <v>0</v>
      </c>
      <c r="R5097" t="n">
        <v>0</v>
      </c>
      <c r="S5097" t="n">
        <v>0</v>
      </c>
      <c r="T5097" t="n">
        <v>0</v>
      </c>
      <c r="U5097" t="n">
        <v>0</v>
      </c>
      <c r="V5097" s="2" t="inlineStr"/>
    </row>
    <row r="5098" ht="15" customHeight="1">
      <c r="A5098" t="inlineStr">
        <is>
          <t>A 51650-2024</t>
        </is>
      </c>
      <c r="B5098" t="inlineStr">
        <is>
          <t>avverkningsanmälan</t>
        </is>
      </c>
      <c r="C5098" t="inlineStr">
        <is>
          <t>Föryngringsavverkning</t>
        </is>
      </c>
      <c r="D5098" s="1" t="n">
        <v>45606</v>
      </c>
      <c r="E5098" s="1" t="n">
        <v>46323</v>
      </c>
      <c r="F5098" t="inlineStr">
        <is>
          <t>KALMAR LÄN</t>
        </is>
      </c>
      <c r="G5098" t="inlineStr">
        <is>
          <t>EMMABODA</t>
        </is>
      </c>
      <c r="I5098" t="n">
        <v>2.3</v>
      </c>
      <c r="J5098" t="n">
        <v>0</v>
      </c>
      <c r="K5098" t="n">
        <v>0</v>
      </c>
      <c r="L5098" t="n">
        <v>0</v>
      </c>
      <c r="M5098" t="n">
        <v>0</v>
      </c>
      <c r="N5098" t="n">
        <v>0</v>
      </c>
      <c r="O5098" t="n">
        <v>0</v>
      </c>
      <c r="P5098" t="n">
        <v>0</v>
      </c>
      <c r="Q5098" t="n">
        <v>0</v>
      </c>
      <c r="R5098" t="n">
        <v>0</v>
      </c>
      <c r="S5098" t="n">
        <v>0</v>
      </c>
      <c r="T5098" t="n">
        <v>0</v>
      </c>
      <c r="U5098" t="n">
        <v>0</v>
      </c>
      <c r="V5098" s="2" t="inlineStr"/>
    </row>
    <row r="5099" ht="15" customHeight="1">
      <c r="A5099" t="inlineStr">
        <is>
          <t>A 44368-2023</t>
        </is>
      </c>
      <c r="B5099" t="inlineStr">
        <is>
          <t>avverkningsanmälan</t>
        </is>
      </c>
      <c r="C5099" t="inlineStr">
        <is>
          <t>Föryngringsavverkning</t>
        </is>
      </c>
      <c r="D5099" s="1" t="n">
        <v>45188</v>
      </c>
      <c r="E5099" s="1" t="n">
        <v>46323</v>
      </c>
      <c r="F5099" t="inlineStr">
        <is>
          <t>KALMAR LÄN</t>
        </is>
      </c>
      <c r="G5099" t="inlineStr">
        <is>
          <t>NYBRO</t>
        </is>
      </c>
      <c r="I5099" t="n">
        <v>0.8</v>
      </c>
      <c r="J5099" t="n">
        <v>0</v>
      </c>
      <c r="K5099" t="n">
        <v>0</v>
      </c>
      <c r="L5099" t="n">
        <v>0</v>
      </c>
      <c r="M5099" t="n">
        <v>0</v>
      </c>
      <c r="N5099" t="n">
        <v>0</v>
      </c>
      <c r="O5099" t="n">
        <v>0</v>
      </c>
      <c r="P5099" t="n">
        <v>0</v>
      </c>
      <c r="Q5099" t="n">
        <v>0</v>
      </c>
      <c r="R5099" t="n">
        <v>0</v>
      </c>
      <c r="S5099" t="n">
        <v>0</v>
      </c>
      <c r="T5099" t="n">
        <v>0</v>
      </c>
      <c r="U5099" t="n">
        <v>0</v>
      </c>
      <c r="V5099" s="2" t="inlineStr"/>
    </row>
    <row r="5100" ht="15" customHeight="1">
      <c r="A5100" t="inlineStr">
        <is>
          <t>A 6478-2022</t>
        </is>
      </c>
      <c r="B5100" t="inlineStr">
        <is>
          <t>avverkningsanmälan</t>
        </is>
      </c>
      <c r="C5100" t="inlineStr">
        <is>
          <t>Föryngringsavverkning</t>
        </is>
      </c>
      <c r="D5100" s="1" t="n">
        <v>44601</v>
      </c>
      <c r="E5100" s="1" t="n">
        <v>46323</v>
      </c>
      <c r="F5100" t="inlineStr">
        <is>
          <t>KALMAR LÄN</t>
        </is>
      </c>
      <c r="G5100" t="inlineStr">
        <is>
          <t>HÖGSBY</t>
        </is>
      </c>
      <c r="I5100" t="n">
        <v>2.7</v>
      </c>
      <c r="J5100" t="n">
        <v>0</v>
      </c>
      <c r="K5100" t="n">
        <v>0</v>
      </c>
      <c r="L5100" t="n">
        <v>0</v>
      </c>
      <c r="M5100" t="n">
        <v>0</v>
      </c>
      <c r="N5100" t="n">
        <v>0</v>
      </c>
      <c r="O5100" t="n">
        <v>0</v>
      </c>
      <c r="P5100" t="n">
        <v>0</v>
      </c>
      <c r="Q5100" t="n">
        <v>0</v>
      </c>
      <c r="R5100" t="n">
        <v>0</v>
      </c>
      <c r="S5100" t="n">
        <v>0</v>
      </c>
      <c r="T5100" t="n">
        <v>0</v>
      </c>
      <c r="U5100" t="n">
        <v>0</v>
      </c>
      <c r="V5100" s="2" t="inlineStr"/>
    </row>
    <row r="5101" ht="15" customHeight="1">
      <c r="A5101" t="inlineStr">
        <is>
          <t>A 41200-2026</t>
        </is>
      </c>
      <c r="B5101" t="inlineStr">
        <is>
          <t>avverkningsanmälan</t>
        </is>
      </c>
      <c r="C5101" t="inlineStr">
        <is>
          <t>Föryngringsavverkning</t>
        </is>
      </c>
      <c r="D5101" s="1" t="n">
        <v>46300</v>
      </c>
      <c r="E5101" s="1" t="n">
        <v>46323</v>
      </c>
      <c r="F5101" t="inlineStr">
        <is>
          <t>KALMAR LÄN</t>
        </is>
      </c>
      <c r="G5101" t="inlineStr">
        <is>
          <t>NYBRO</t>
        </is>
      </c>
      <c r="I5101" t="n">
        <v>2</v>
      </c>
      <c r="J5101" t="n">
        <v>0</v>
      </c>
      <c r="K5101" t="n">
        <v>0</v>
      </c>
      <c r="L5101" t="n">
        <v>0</v>
      </c>
      <c r="M5101" t="n">
        <v>0</v>
      </c>
      <c r="N5101" t="n">
        <v>0</v>
      </c>
      <c r="O5101" t="n">
        <v>0</v>
      </c>
      <c r="P5101" t="n">
        <v>0</v>
      </c>
      <c r="Q5101" t="n">
        <v>0</v>
      </c>
      <c r="R5101" t="n">
        <v>0</v>
      </c>
      <c r="S5101" t="n">
        <v>0</v>
      </c>
      <c r="T5101" t="n">
        <v>0</v>
      </c>
      <c r="U5101" t="n">
        <v>0</v>
      </c>
      <c r="V5101" s="2" t="inlineStr"/>
    </row>
    <row r="5102" ht="15" customHeight="1">
      <c r="A5102" t="inlineStr">
        <is>
          <t>A 40024-2026</t>
        </is>
      </c>
      <c r="B5102" t="inlineStr">
        <is>
          <t>avverkningsanmälan</t>
        </is>
      </c>
      <c r="C5102" t="inlineStr">
        <is>
          <t>Föryngringsavverkning</t>
        </is>
      </c>
      <c r="D5102" s="1" t="n">
        <v>46293</v>
      </c>
      <c r="E5102" s="1" t="n">
        <v>46323</v>
      </c>
      <c r="F5102" t="inlineStr">
        <is>
          <t>KALMAR LÄN</t>
        </is>
      </c>
      <c r="G5102" t="inlineStr">
        <is>
          <t>HÖGSBY</t>
        </is>
      </c>
      <c r="I5102" t="n">
        <v>4.6</v>
      </c>
      <c r="J5102" t="n">
        <v>0</v>
      </c>
      <c r="K5102" t="n">
        <v>0</v>
      </c>
      <c r="L5102" t="n">
        <v>0</v>
      </c>
      <c r="M5102" t="n">
        <v>0</v>
      </c>
      <c r="N5102" t="n">
        <v>0</v>
      </c>
      <c r="O5102" t="n">
        <v>0</v>
      </c>
      <c r="P5102" t="n">
        <v>0</v>
      </c>
      <c r="Q5102" t="n">
        <v>0</v>
      </c>
      <c r="R5102" t="n">
        <v>0</v>
      </c>
      <c r="S5102" t="n">
        <v>0</v>
      </c>
      <c r="T5102" t="n">
        <v>0</v>
      </c>
      <c r="U5102" t="n">
        <v>0</v>
      </c>
      <c r="V5102" s="2" t="inlineStr"/>
    </row>
    <row r="5103" ht="15" customHeight="1">
      <c r="A5103" t="inlineStr">
        <is>
          <t>A 34205-2026</t>
        </is>
      </c>
      <c r="B5103" t="inlineStr">
        <is>
          <t>avverkningsanmälan</t>
        </is>
      </c>
      <c r="C5103" t="inlineStr">
        <is>
          <t>Föryngringsavverkning</t>
        </is>
      </c>
      <c r="D5103" s="1" t="n">
        <v>46253</v>
      </c>
      <c r="E5103" s="1" t="n">
        <v>46323</v>
      </c>
      <c r="F5103" t="inlineStr">
        <is>
          <t>KALMAR LÄN</t>
        </is>
      </c>
      <c r="G5103" t="inlineStr">
        <is>
          <t>KALMAR</t>
        </is>
      </c>
      <c r="I5103" t="n">
        <v>1</v>
      </c>
      <c r="J5103" t="n">
        <v>0</v>
      </c>
      <c r="K5103" t="n">
        <v>0</v>
      </c>
      <c r="L5103" t="n">
        <v>0</v>
      </c>
      <c r="M5103" t="n">
        <v>0</v>
      </c>
      <c r="N5103" t="n">
        <v>0</v>
      </c>
      <c r="O5103" t="n">
        <v>0</v>
      </c>
      <c r="P5103" t="n">
        <v>0</v>
      </c>
      <c r="Q5103" t="n">
        <v>0</v>
      </c>
      <c r="R5103" t="n">
        <v>0</v>
      </c>
      <c r="S5103" t="n">
        <v>0</v>
      </c>
      <c r="T5103" t="n">
        <v>0</v>
      </c>
      <c r="U5103" t="n">
        <v>0</v>
      </c>
      <c r="V5103" s="2" t="inlineStr"/>
    </row>
    <row r="5104" ht="15" customHeight="1">
      <c r="A5104" t="inlineStr">
        <is>
          <t>A 51649-2024</t>
        </is>
      </c>
      <c r="B5104" t="inlineStr">
        <is>
          <t>avverkningsanmälan</t>
        </is>
      </c>
      <c r="C5104" t="inlineStr">
        <is>
          <t>Föryngringsavverkning</t>
        </is>
      </c>
      <c r="D5104" s="1" t="n">
        <v>45606</v>
      </c>
      <c r="E5104" s="1" t="n">
        <v>46323</v>
      </c>
      <c r="F5104" t="inlineStr">
        <is>
          <t>KALMAR LÄN</t>
        </is>
      </c>
      <c r="G5104" t="inlineStr">
        <is>
          <t>EMMABODA</t>
        </is>
      </c>
      <c r="I5104" t="n">
        <v>3</v>
      </c>
      <c r="J5104" t="n">
        <v>0</v>
      </c>
      <c r="K5104" t="n">
        <v>0</v>
      </c>
      <c r="L5104" t="n">
        <v>0</v>
      </c>
      <c r="M5104" t="n">
        <v>0</v>
      </c>
      <c r="N5104" t="n">
        <v>0</v>
      </c>
      <c r="O5104" t="n">
        <v>0</v>
      </c>
      <c r="P5104" t="n">
        <v>0</v>
      </c>
      <c r="Q5104" t="n">
        <v>0</v>
      </c>
      <c r="R5104" t="n">
        <v>0</v>
      </c>
      <c r="S5104" t="n">
        <v>0</v>
      </c>
      <c r="T5104" t="n">
        <v>0</v>
      </c>
      <c r="U5104" t="n">
        <v>0</v>
      </c>
      <c r="V5104" s="2" t="inlineStr"/>
    </row>
    <row r="5105" ht="15" customHeight="1">
      <c r="A5105" t="inlineStr">
        <is>
          <t>A 51990-2025</t>
        </is>
      </c>
      <c r="B5105" t="inlineStr">
        <is>
          <t>avverkningsanmälan</t>
        </is>
      </c>
      <c r="C5105" t="inlineStr">
        <is>
          <t>Föryngringsavverkning</t>
        </is>
      </c>
      <c r="D5105" s="1" t="n">
        <v>45952</v>
      </c>
      <c r="E5105" s="1" t="n">
        <v>46323</v>
      </c>
      <c r="F5105" t="inlineStr">
        <is>
          <t>KALMAR LÄN</t>
        </is>
      </c>
      <c r="G5105" t="inlineStr">
        <is>
          <t>VIMMERBY</t>
        </is>
      </c>
      <c r="I5105" t="n">
        <v>2.4</v>
      </c>
      <c r="J5105" t="n">
        <v>0</v>
      </c>
      <c r="K5105" t="n">
        <v>0</v>
      </c>
      <c r="L5105" t="n">
        <v>0</v>
      </c>
      <c r="M5105" t="n">
        <v>0</v>
      </c>
      <c r="N5105" t="n">
        <v>0</v>
      </c>
      <c r="O5105" t="n">
        <v>0</v>
      </c>
      <c r="P5105" t="n">
        <v>0</v>
      </c>
      <c r="Q5105" t="n">
        <v>0</v>
      </c>
      <c r="R5105" t="n">
        <v>0</v>
      </c>
      <c r="S5105" t="n">
        <v>0</v>
      </c>
      <c r="T5105" t="n">
        <v>0</v>
      </c>
      <c r="U5105" t="n">
        <v>0</v>
      </c>
      <c r="V5105" s="2" t="inlineStr"/>
    </row>
    <row r="5106" ht="15" customHeight="1">
      <c r="A5106" t="inlineStr">
        <is>
          <t>A 49804-2022</t>
        </is>
      </c>
      <c r="B5106" t="inlineStr">
        <is>
          <t>avverkningsanmälan</t>
        </is>
      </c>
      <c r="C5106" t="inlineStr">
        <is>
          <t>Föryngringsavverkning</t>
        </is>
      </c>
      <c r="D5106" s="1" t="n">
        <v>44862</v>
      </c>
      <c r="E5106" s="1" t="n">
        <v>46323</v>
      </c>
      <c r="F5106" t="inlineStr">
        <is>
          <t>KALMAR LÄN</t>
        </is>
      </c>
      <c r="G5106" t="inlineStr">
        <is>
          <t>OSKARSHAMN</t>
        </is>
      </c>
      <c r="I5106" t="n">
        <v>1.4</v>
      </c>
      <c r="J5106" t="n">
        <v>0</v>
      </c>
      <c r="K5106" t="n">
        <v>0</v>
      </c>
      <c r="L5106" t="n">
        <v>0</v>
      </c>
      <c r="M5106" t="n">
        <v>0</v>
      </c>
      <c r="N5106" t="n">
        <v>0</v>
      </c>
      <c r="O5106" t="n">
        <v>0</v>
      </c>
      <c r="P5106" t="n">
        <v>0</v>
      </c>
      <c r="Q5106" t="n">
        <v>0</v>
      </c>
      <c r="R5106" t="n">
        <v>0</v>
      </c>
      <c r="S5106" t="n">
        <v>0</v>
      </c>
      <c r="T5106" t="n">
        <v>0</v>
      </c>
      <c r="U5106" t="n">
        <v>0</v>
      </c>
      <c r="V5106" s="2" t="inlineStr"/>
    </row>
    <row r="5107" ht="15" customHeight="1">
      <c r="A5107" t="inlineStr">
        <is>
          <t>A 26633-2025</t>
        </is>
      </c>
      <c r="B5107" t="inlineStr">
        <is>
          <t>avverkningsanmälan</t>
        </is>
      </c>
      <c r="C5107" t="inlineStr">
        <is>
          <t>Föryngringsavverkning</t>
        </is>
      </c>
      <c r="D5107" s="1" t="n">
        <v>45810</v>
      </c>
      <c r="E5107" s="1" t="n">
        <v>46323</v>
      </c>
      <c r="F5107" t="inlineStr">
        <is>
          <t>KALMAR LÄN</t>
        </is>
      </c>
      <c r="G5107" t="inlineStr">
        <is>
          <t>VÄSTERVIK</t>
        </is>
      </c>
      <c r="I5107" t="n">
        <v>0.7</v>
      </c>
      <c r="J5107" t="n">
        <v>0</v>
      </c>
      <c r="K5107" t="n">
        <v>0</v>
      </c>
      <c r="L5107" t="n">
        <v>0</v>
      </c>
      <c r="M5107" t="n">
        <v>0</v>
      </c>
      <c r="N5107" t="n">
        <v>0</v>
      </c>
      <c r="O5107" t="n">
        <v>0</v>
      </c>
      <c r="P5107" t="n">
        <v>0</v>
      </c>
      <c r="Q5107" t="n">
        <v>0</v>
      </c>
      <c r="R5107" t="n">
        <v>0</v>
      </c>
      <c r="S5107" t="n">
        <v>0</v>
      </c>
      <c r="T5107" t="n">
        <v>0</v>
      </c>
      <c r="U5107" t="n">
        <v>0</v>
      </c>
      <c r="V5107" s="2" t="inlineStr"/>
    </row>
    <row r="5108" ht="15" customHeight="1">
      <c r="A5108" t="inlineStr">
        <is>
          <t>A 57818-2023</t>
        </is>
      </c>
      <c r="B5108" t="inlineStr">
        <is>
          <t>avverkningsanmälan</t>
        </is>
      </c>
      <c r="C5108" t="inlineStr">
        <is>
          <t>Föryngringsavverkning</t>
        </is>
      </c>
      <c r="D5108" s="1" t="n">
        <v>45244</v>
      </c>
      <c r="E5108" s="1" t="n">
        <v>46323</v>
      </c>
      <c r="F5108" t="inlineStr">
        <is>
          <t>KALMAR LÄN</t>
        </is>
      </c>
      <c r="G5108" t="inlineStr">
        <is>
          <t>NYBRO</t>
        </is>
      </c>
      <c r="I5108" t="n">
        <v>0.8</v>
      </c>
      <c r="J5108" t="n">
        <v>0</v>
      </c>
      <c r="K5108" t="n">
        <v>0</v>
      </c>
      <c r="L5108" t="n">
        <v>0</v>
      </c>
      <c r="M5108" t="n">
        <v>0</v>
      </c>
      <c r="N5108" t="n">
        <v>0</v>
      </c>
      <c r="O5108" t="n">
        <v>0</v>
      </c>
      <c r="P5108" t="n">
        <v>0</v>
      </c>
      <c r="Q5108" t="n">
        <v>0</v>
      </c>
      <c r="R5108" t="n">
        <v>0</v>
      </c>
      <c r="S5108" t="n">
        <v>0</v>
      </c>
      <c r="T5108" t="n">
        <v>0</v>
      </c>
      <c r="U5108" t="n">
        <v>0</v>
      </c>
      <c r="V5108" s="2" t="inlineStr"/>
    </row>
    <row r="5109" ht="15" customHeight="1">
      <c r="A5109" t="inlineStr">
        <is>
          <t>A 21714-2024</t>
        </is>
      </c>
      <c r="B5109" t="inlineStr">
        <is>
          <t>avverkningsanmälan</t>
        </is>
      </c>
      <c r="C5109" t="inlineStr">
        <is>
          <t>Föryngringsavverkning</t>
        </is>
      </c>
      <c r="D5109" s="1" t="n">
        <v>45442</v>
      </c>
      <c r="E5109" s="1" t="n">
        <v>46323</v>
      </c>
      <c r="F5109" t="inlineStr">
        <is>
          <t>KALMAR LÄN</t>
        </is>
      </c>
      <c r="G5109" t="inlineStr">
        <is>
          <t>HULTSFRED</t>
        </is>
      </c>
      <c r="I5109" t="n">
        <v>6</v>
      </c>
      <c r="J5109" t="n">
        <v>0</v>
      </c>
      <c r="K5109" t="n">
        <v>0</v>
      </c>
      <c r="L5109" t="n">
        <v>0</v>
      </c>
      <c r="M5109" t="n">
        <v>0</v>
      </c>
      <c r="N5109" t="n">
        <v>0</v>
      </c>
      <c r="O5109" t="n">
        <v>0</v>
      </c>
      <c r="P5109" t="n">
        <v>0</v>
      </c>
      <c r="Q5109" t="n">
        <v>0</v>
      </c>
      <c r="R5109" t="n">
        <v>0</v>
      </c>
      <c r="S5109" t="n">
        <v>0</v>
      </c>
      <c r="T5109" t="n">
        <v>0</v>
      </c>
      <c r="U5109" t="n">
        <v>0</v>
      </c>
      <c r="V5109" s="2" t="inlineStr"/>
    </row>
    <row r="5110" ht="15" customHeight="1">
      <c r="A5110" t="inlineStr">
        <is>
          <t>A 39262-2022</t>
        </is>
      </c>
      <c r="B5110" t="inlineStr">
        <is>
          <t>avverkningsanmälan</t>
        </is>
      </c>
      <c r="C5110" t="inlineStr">
        <is>
          <t>Föryngringsavverkning</t>
        </is>
      </c>
      <c r="D5110" s="1" t="n">
        <v>44817</v>
      </c>
      <c r="E5110" s="1" t="n">
        <v>46323</v>
      </c>
      <c r="F5110" t="inlineStr">
        <is>
          <t>KALMAR LÄN</t>
        </is>
      </c>
      <c r="G5110" t="inlineStr">
        <is>
          <t>MÖNSTERÅS</t>
        </is>
      </c>
      <c r="H5110" t="inlineStr">
        <is>
          <t>Kommuner</t>
        </is>
      </c>
      <c r="I5110" t="n">
        <v>2.4</v>
      </c>
      <c r="J5110" t="n">
        <v>0</v>
      </c>
      <c r="K5110" t="n">
        <v>0</v>
      </c>
      <c r="L5110" t="n">
        <v>0</v>
      </c>
      <c r="M5110" t="n">
        <v>0</v>
      </c>
      <c r="N5110" t="n">
        <v>0</v>
      </c>
      <c r="O5110" t="n">
        <v>0</v>
      </c>
      <c r="P5110" t="n">
        <v>0</v>
      </c>
      <c r="Q5110" t="n">
        <v>0</v>
      </c>
      <c r="R5110" t="n">
        <v>0</v>
      </c>
      <c r="S5110" t="n">
        <v>0</v>
      </c>
      <c r="T5110" t="n">
        <v>0</v>
      </c>
      <c r="U5110" t="n">
        <v>0</v>
      </c>
      <c r="V5110" s="2" t="inlineStr"/>
    </row>
    <row r="5111" ht="15" customHeight="1">
      <c r="A5111" t="inlineStr">
        <is>
          <t>A 58043-2025</t>
        </is>
      </c>
      <c r="B5111" t="inlineStr">
        <is>
          <t>avverkningsanmälan</t>
        </is>
      </c>
      <c r="C5111" t="inlineStr">
        <is>
          <t>Föryngringsavverkning</t>
        </is>
      </c>
      <c r="D5111" s="1" t="n">
        <v>45982</v>
      </c>
      <c r="E5111" s="1" t="n">
        <v>46323</v>
      </c>
      <c r="F5111" t="inlineStr">
        <is>
          <t>KALMAR LÄN</t>
        </is>
      </c>
      <c r="G5111" t="inlineStr">
        <is>
          <t>HULTSFRED</t>
        </is>
      </c>
      <c r="I5111" t="n">
        <v>2.3</v>
      </c>
      <c r="J5111" t="n">
        <v>0</v>
      </c>
      <c r="K5111" t="n">
        <v>0</v>
      </c>
      <c r="L5111" t="n">
        <v>0</v>
      </c>
      <c r="M5111" t="n">
        <v>0</v>
      </c>
      <c r="N5111" t="n">
        <v>0</v>
      </c>
      <c r="O5111" t="n">
        <v>0</v>
      </c>
      <c r="P5111" t="n">
        <v>0</v>
      </c>
      <c r="Q5111" t="n">
        <v>0</v>
      </c>
      <c r="R5111" t="n">
        <v>0</v>
      </c>
      <c r="S5111" t="n">
        <v>0</v>
      </c>
      <c r="T5111" t="n">
        <v>0</v>
      </c>
      <c r="U5111" t="n">
        <v>0</v>
      </c>
      <c r="V5111" s="2" t="inlineStr"/>
    </row>
    <row r="5112" ht="15" customHeight="1">
      <c r="A5112" t="inlineStr">
        <is>
          <t>A 59298-2022</t>
        </is>
      </c>
      <c r="B5112" t="inlineStr">
        <is>
          <t>avverkningsanmälan</t>
        </is>
      </c>
      <c r="C5112" t="inlineStr">
        <is>
          <t>Föryngringsavverkning</t>
        </is>
      </c>
      <c r="D5112" s="1" t="n">
        <v>44904</v>
      </c>
      <c r="E5112" s="1" t="n">
        <v>46323</v>
      </c>
      <c r="F5112" t="inlineStr">
        <is>
          <t>KALMAR LÄN</t>
        </is>
      </c>
      <c r="G5112" t="inlineStr">
        <is>
          <t>MÖNSTERÅS</t>
        </is>
      </c>
      <c r="I5112" t="n">
        <v>2.6</v>
      </c>
      <c r="J5112" t="n">
        <v>0</v>
      </c>
      <c r="K5112" t="n">
        <v>0</v>
      </c>
      <c r="L5112" t="n">
        <v>0</v>
      </c>
      <c r="M5112" t="n">
        <v>0</v>
      </c>
      <c r="N5112" t="n">
        <v>0</v>
      </c>
      <c r="O5112" t="n">
        <v>0</v>
      </c>
      <c r="P5112" t="n">
        <v>0</v>
      </c>
      <c r="Q5112" t="n">
        <v>0</v>
      </c>
      <c r="R5112" t="n">
        <v>0</v>
      </c>
      <c r="S5112" t="n">
        <v>0</v>
      </c>
      <c r="T5112" t="n">
        <v>0</v>
      </c>
      <c r="U5112" t="n">
        <v>0</v>
      </c>
      <c r="V5112" s="2" t="inlineStr"/>
    </row>
    <row r="5113" ht="15" customHeight="1">
      <c r="A5113" t="inlineStr">
        <is>
          <t>A 30005-2026</t>
        </is>
      </c>
      <c r="B5113" t="inlineStr">
        <is>
          <t>avverkningsanmälan</t>
        </is>
      </c>
      <c r="C5113" t="inlineStr">
        <is>
          <t>Föryngringsavverkning</t>
        </is>
      </c>
      <c r="D5113" s="1" t="n">
        <v>46202</v>
      </c>
      <c r="E5113" s="1" t="n">
        <v>46323</v>
      </c>
      <c r="F5113" t="inlineStr">
        <is>
          <t>KALMAR LÄN</t>
        </is>
      </c>
      <c r="G5113" t="inlineStr">
        <is>
          <t>VIMMERBY</t>
        </is>
      </c>
      <c r="I5113" t="n">
        <v>4.5</v>
      </c>
      <c r="J5113" t="n">
        <v>0</v>
      </c>
      <c r="K5113" t="n">
        <v>0</v>
      </c>
      <c r="L5113" t="n">
        <v>0</v>
      </c>
      <c r="M5113" t="n">
        <v>0</v>
      </c>
      <c r="N5113" t="n">
        <v>0</v>
      </c>
      <c r="O5113" t="n">
        <v>0</v>
      </c>
      <c r="P5113" t="n">
        <v>0</v>
      </c>
      <c r="Q5113" t="n">
        <v>0</v>
      </c>
      <c r="R5113" t="n">
        <v>0</v>
      </c>
      <c r="S5113" t="n">
        <v>0</v>
      </c>
      <c r="T5113" t="n">
        <v>0</v>
      </c>
      <c r="U5113" t="n">
        <v>0</v>
      </c>
      <c r="V5113" s="2" t="inlineStr"/>
    </row>
    <row r="5114" ht="15" customHeight="1">
      <c r="A5114" t="inlineStr">
        <is>
          <t>A 41319-2026</t>
        </is>
      </c>
      <c r="B5114" t="inlineStr">
        <is>
          <t>avverkningsanmälan</t>
        </is>
      </c>
      <c r="C5114" t="inlineStr">
        <is>
          <t>Föryngringsavverkning</t>
        </is>
      </c>
      <c r="D5114" s="1" t="n">
        <v>46300</v>
      </c>
      <c r="E5114" s="1" t="n">
        <v>46323</v>
      </c>
      <c r="F5114" t="inlineStr">
        <is>
          <t>KALMAR LÄN</t>
        </is>
      </c>
      <c r="G5114" t="inlineStr">
        <is>
          <t>NYBRO</t>
        </is>
      </c>
      <c r="H5114" t="inlineStr">
        <is>
          <t>Sveaskog</t>
        </is>
      </c>
      <c r="I5114" t="n">
        <v>2.1</v>
      </c>
      <c r="J5114" t="n">
        <v>0</v>
      </c>
      <c r="K5114" t="n">
        <v>0</v>
      </c>
      <c r="L5114" t="n">
        <v>0</v>
      </c>
      <c r="M5114" t="n">
        <v>0</v>
      </c>
      <c r="N5114" t="n">
        <v>0</v>
      </c>
      <c r="O5114" t="n">
        <v>0</v>
      </c>
      <c r="P5114" t="n">
        <v>0</v>
      </c>
      <c r="Q5114" t="n">
        <v>0</v>
      </c>
      <c r="R5114" t="n">
        <v>0</v>
      </c>
      <c r="S5114" t="n">
        <v>0</v>
      </c>
      <c r="T5114" t="n">
        <v>0</v>
      </c>
      <c r="U5114" t="n">
        <v>0</v>
      </c>
      <c r="V5114" s="2" t="inlineStr"/>
    </row>
    <row r="5115" ht="15" customHeight="1">
      <c r="A5115" t="inlineStr">
        <is>
          <t>A 41320-2026</t>
        </is>
      </c>
      <c r="B5115" t="inlineStr">
        <is>
          <t>avverkningsanmälan</t>
        </is>
      </c>
      <c r="C5115" t="inlineStr">
        <is>
          <t>Föryngringsavverkning</t>
        </is>
      </c>
      <c r="D5115" s="1" t="n">
        <v>46300</v>
      </c>
      <c r="E5115" s="1" t="n">
        <v>46323</v>
      </c>
      <c r="F5115" t="inlineStr">
        <is>
          <t>KALMAR LÄN</t>
        </is>
      </c>
      <c r="G5115" t="inlineStr">
        <is>
          <t>NYBRO</t>
        </is>
      </c>
      <c r="H5115" t="inlineStr">
        <is>
          <t>Sveaskog</t>
        </is>
      </c>
      <c r="I5115" t="n">
        <v>1.2</v>
      </c>
      <c r="J5115" t="n">
        <v>0</v>
      </c>
      <c r="K5115" t="n">
        <v>0</v>
      </c>
      <c r="L5115" t="n">
        <v>0</v>
      </c>
      <c r="M5115" t="n">
        <v>0</v>
      </c>
      <c r="N5115" t="n">
        <v>0</v>
      </c>
      <c r="O5115" t="n">
        <v>0</v>
      </c>
      <c r="P5115" t="n">
        <v>0</v>
      </c>
      <c r="Q5115" t="n">
        <v>0</v>
      </c>
      <c r="R5115" t="n">
        <v>0</v>
      </c>
      <c r="S5115" t="n">
        <v>0</v>
      </c>
      <c r="T5115" t="n">
        <v>0</v>
      </c>
      <c r="U5115" t="n">
        <v>0</v>
      </c>
      <c r="V5115" s="2" t="inlineStr"/>
    </row>
    <row r="5116" ht="15" customHeight="1">
      <c r="A5116" t="inlineStr">
        <is>
          <t>A 28008-2026</t>
        </is>
      </c>
      <c r="B5116" t="inlineStr">
        <is>
          <t>avverkningsanmälan</t>
        </is>
      </c>
      <c r="C5116" t="inlineStr">
        <is>
          <t>Föryngringsavverkning</t>
        </is>
      </c>
      <c r="D5116" s="1" t="n">
        <v>46195</v>
      </c>
      <c r="E5116" s="1" t="n">
        <v>46323</v>
      </c>
      <c r="F5116" t="inlineStr">
        <is>
          <t>KALMAR LÄN</t>
        </is>
      </c>
      <c r="G5116" t="inlineStr">
        <is>
          <t>VÄSTERVIK</t>
        </is>
      </c>
      <c r="I5116" t="n">
        <v>4.1</v>
      </c>
      <c r="J5116" t="n">
        <v>0</v>
      </c>
      <c r="K5116" t="n">
        <v>0</v>
      </c>
      <c r="L5116" t="n">
        <v>0</v>
      </c>
      <c r="M5116" t="n">
        <v>0</v>
      </c>
      <c r="N5116" t="n">
        <v>0</v>
      </c>
      <c r="O5116" t="n">
        <v>0</v>
      </c>
      <c r="P5116" t="n">
        <v>0</v>
      </c>
      <c r="Q5116" t="n">
        <v>0</v>
      </c>
      <c r="R5116" t="n">
        <v>0</v>
      </c>
      <c r="S5116" t="n">
        <v>0</v>
      </c>
      <c r="T5116" t="n">
        <v>0</v>
      </c>
      <c r="U5116" t="n">
        <v>0</v>
      </c>
      <c r="V5116" s="2" t="inlineStr"/>
      <c r="Z5116">
        <f>HYPERLINK("https://klasma.github.io/Logging_0883/knärot/A 28008-2026 karta knärot.png", "A 28008-2026")</f>
        <v/>
      </c>
      <c r="AA5116">
        <f>HYPERLINK("https://klasma.github.io/Logging_0883/klagomål/A 28008-2026 FSC-klagomål.docx", "A 28008-2026")</f>
        <v/>
      </c>
      <c r="AB5116">
        <f>HYPERLINK("https://klasma.github.io/Logging_0883/klagomålsmail/A 28008-2026 FSC-klagomål mail.docx", "A 28008-2026")</f>
        <v/>
      </c>
      <c r="AC5116">
        <f>HYPERLINK("https://klasma.github.io/Logging_0883/tillsyn/A 28008-2026 tillsynsbegäran.docx", "A 28008-2026")</f>
        <v/>
      </c>
      <c r="AD5116">
        <f>HYPERLINK("https://klasma.github.io/Logging_0883/tillsynsmail/A 28008-2026 tillsynsbegäran mail.docx", "A 28008-2026")</f>
        <v/>
      </c>
    </row>
    <row r="5117" ht="15" customHeight="1">
      <c r="A5117" t="inlineStr">
        <is>
          <t>A 40921-2026</t>
        </is>
      </c>
      <c r="B5117" t="inlineStr">
        <is>
          <t>avverkningsanmälan</t>
        </is>
      </c>
      <c r="C5117" t="inlineStr">
        <is>
          <t>Föryngringsavverkning</t>
        </is>
      </c>
      <c r="D5117" s="1" t="n">
        <v>46297</v>
      </c>
      <c r="E5117" s="1" t="n">
        <v>46323</v>
      </c>
      <c r="F5117" t="inlineStr">
        <is>
          <t>KALMAR LÄN</t>
        </is>
      </c>
      <c r="G5117" t="inlineStr">
        <is>
          <t>NYBRO</t>
        </is>
      </c>
      <c r="I5117" t="n">
        <v>5.5</v>
      </c>
      <c r="J5117" t="n">
        <v>0</v>
      </c>
      <c r="K5117" t="n">
        <v>0</v>
      </c>
      <c r="L5117" t="n">
        <v>0</v>
      </c>
      <c r="M5117" t="n">
        <v>0</v>
      </c>
      <c r="N5117" t="n">
        <v>0</v>
      </c>
      <c r="O5117" t="n">
        <v>0</v>
      </c>
      <c r="P5117" t="n">
        <v>0</v>
      </c>
      <c r="Q5117" t="n">
        <v>0</v>
      </c>
      <c r="R5117" t="n">
        <v>0</v>
      </c>
      <c r="S5117" t="n">
        <v>0</v>
      </c>
      <c r="T5117" t="n">
        <v>0</v>
      </c>
      <c r="U5117" t="n">
        <v>0</v>
      </c>
      <c r="V5117" s="2" t="inlineStr"/>
    </row>
    <row r="5118" ht="15" customHeight="1">
      <c r="A5118" t="inlineStr">
        <is>
          <t>A 26569-2025</t>
        </is>
      </c>
      <c r="B5118" t="inlineStr">
        <is>
          <t>avverkningsanmälan</t>
        </is>
      </c>
      <c r="C5118" t="inlineStr">
        <is>
          <t>Föryngringsavverkning</t>
        </is>
      </c>
      <c r="D5118" s="1" t="n">
        <v>45807</v>
      </c>
      <c r="E5118" s="1" t="n">
        <v>46323</v>
      </c>
      <c r="F5118" t="inlineStr">
        <is>
          <t>KALMAR LÄN</t>
        </is>
      </c>
      <c r="G5118" t="inlineStr">
        <is>
          <t>VÄSTERVIK</t>
        </is>
      </c>
      <c r="I5118" t="n">
        <v>0.6</v>
      </c>
      <c r="J5118" t="n">
        <v>0</v>
      </c>
      <c r="K5118" t="n">
        <v>0</v>
      </c>
      <c r="L5118" t="n">
        <v>0</v>
      </c>
      <c r="M5118" t="n">
        <v>0</v>
      </c>
      <c r="N5118" t="n">
        <v>0</v>
      </c>
      <c r="O5118" t="n">
        <v>0</v>
      </c>
      <c r="P5118" t="n">
        <v>0</v>
      </c>
      <c r="Q5118" t="n">
        <v>0</v>
      </c>
      <c r="R5118" t="n">
        <v>0</v>
      </c>
      <c r="S5118" t="n">
        <v>0</v>
      </c>
      <c r="T5118" t="n">
        <v>0</v>
      </c>
      <c r="U5118" t="n">
        <v>0</v>
      </c>
      <c r="V5118" s="2" t="inlineStr"/>
    </row>
    <row r="5119" ht="15" customHeight="1">
      <c r="A5119" t="inlineStr">
        <is>
          <t>A 6850-2023</t>
        </is>
      </c>
      <c r="B5119" t="inlineStr">
        <is>
          <t>avverkningsanmälan</t>
        </is>
      </c>
      <c r="C5119" t="inlineStr">
        <is>
          <t>Föryngringsavverkning</t>
        </is>
      </c>
      <c r="D5119" s="1" t="n">
        <v>44967</v>
      </c>
      <c r="E5119" s="1" t="n">
        <v>46323</v>
      </c>
      <c r="F5119" t="inlineStr">
        <is>
          <t>KALMAR LÄN</t>
        </is>
      </c>
      <c r="G5119" t="inlineStr">
        <is>
          <t>VIMMERBY</t>
        </is>
      </c>
      <c r="I5119" t="n">
        <v>0.6</v>
      </c>
      <c r="J5119" t="n">
        <v>0</v>
      </c>
      <c r="K5119" t="n">
        <v>0</v>
      </c>
      <c r="L5119" t="n">
        <v>0</v>
      </c>
      <c r="M5119" t="n">
        <v>0</v>
      </c>
      <c r="N5119" t="n">
        <v>0</v>
      </c>
      <c r="O5119" t="n">
        <v>0</v>
      </c>
      <c r="P5119" t="n">
        <v>0</v>
      </c>
      <c r="Q5119" t="n">
        <v>0</v>
      </c>
      <c r="R5119" t="n">
        <v>0</v>
      </c>
      <c r="S5119" t="n">
        <v>0</v>
      </c>
      <c r="T5119" t="n">
        <v>0</v>
      </c>
      <c r="U5119" t="n">
        <v>0</v>
      </c>
      <c r="V5119" s="2" t="inlineStr"/>
    </row>
    <row r="5120" ht="15" customHeight="1">
      <c r="A5120" t="inlineStr">
        <is>
          <t>A 942-2024</t>
        </is>
      </c>
      <c r="B5120" t="inlineStr">
        <is>
          <t>avverkningsanmälan</t>
        </is>
      </c>
      <c r="C5120" t="inlineStr">
        <is>
          <t>Föryngringsavverkning</t>
        </is>
      </c>
      <c r="D5120" s="1" t="n">
        <v>45301</v>
      </c>
      <c r="E5120" s="1" t="n">
        <v>46323</v>
      </c>
      <c r="F5120" t="inlineStr">
        <is>
          <t>KALMAR LÄN</t>
        </is>
      </c>
      <c r="G5120" t="inlineStr">
        <is>
          <t>VÄSTERVIK</t>
        </is>
      </c>
      <c r="I5120" t="n">
        <v>0.7</v>
      </c>
      <c r="J5120" t="n">
        <v>0</v>
      </c>
      <c r="K5120" t="n">
        <v>0</v>
      </c>
      <c r="L5120" t="n">
        <v>0</v>
      </c>
      <c r="M5120" t="n">
        <v>0</v>
      </c>
      <c r="N5120" t="n">
        <v>0</v>
      </c>
      <c r="O5120" t="n">
        <v>0</v>
      </c>
      <c r="P5120" t="n">
        <v>0</v>
      </c>
      <c r="Q5120" t="n">
        <v>0</v>
      </c>
      <c r="R5120" t="n">
        <v>0</v>
      </c>
      <c r="S5120" t="n">
        <v>0</v>
      </c>
      <c r="T5120" t="n">
        <v>0</v>
      </c>
      <c r="U5120" t="n">
        <v>0</v>
      </c>
      <c r="V5120" s="2" t="inlineStr"/>
    </row>
    <row r="5121" ht="15" customHeight="1">
      <c r="A5121" t="inlineStr">
        <is>
          <t>A 22812-2023</t>
        </is>
      </c>
      <c r="B5121" t="inlineStr">
        <is>
          <t>avverkningsanmälan</t>
        </is>
      </c>
      <c r="C5121" t="inlineStr">
        <is>
          <t>Föryngringsavverkning</t>
        </is>
      </c>
      <c r="D5121" s="1" t="n">
        <v>45072</v>
      </c>
      <c r="E5121" s="1" t="n">
        <v>46323</v>
      </c>
      <c r="F5121" t="inlineStr">
        <is>
          <t>KALMAR LÄN</t>
        </is>
      </c>
      <c r="G5121" t="inlineStr">
        <is>
          <t>NYBRO</t>
        </is>
      </c>
      <c r="I5121" t="n">
        <v>2.3</v>
      </c>
      <c r="J5121" t="n">
        <v>0</v>
      </c>
      <c r="K5121" t="n">
        <v>0</v>
      </c>
      <c r="L5121" t="n">
        <v>0</v>
      </c>
      <c r="M5121" t="n">
        <v>0</v>
      </c>
      <c r="N5121" t="n">
        <v>0</v>
      </c>
      <c r="O5121" t="n">
        <v>0</v>
      </c>
      <c r="P5121" t="n">
        <v>0</v>
      </c>
      <c r="Q5121" t="n">
        <v>0</v>
      </c>
      <c r="R5121" t="n">
        <v>0</v>
      </c>
      <c r="S5121" t="n">
        <v>0</v>
      </c>
      <c r="T5121" t="n">
        <v>0</v>
      </c>
      <c r="U5121" t="n">
        <v>0</v>
      </c>
      <c r="V5121" s="2" t="inlineStr"/>
    </row>
    <row r="5122" ht="15" customHeight="1">
      <c r="A5122" t="inlineStr">
        <is>
          <t>A 41246-2026</t>
        </is>
      </c>
      <c r="B5122" t="inlineStr">
        <is>
          <t>avverkningsanmälan</t>
        </is>
      </c>
      <c r="C5122" t="inlineStr">
        <is>
          <t>Föryngringsavverkning</t>
        </is>
      </c>
      <c r="D5122" s="1" t="n">
        <v>46300</v>
      </c>
      <c r="E5122" s="1" t="n">
        <v>46323</v>
      </c>
      <c r="F5122" t="inlineStr">
        <is>
          <t>KALMAR LÄN</t>
        </is>
      </c>
      <c r="G5122" t="inlineStr">
        <is>
          <t>NYBRO</t>
        </is>
      </c>
      <c r="I5122" t="n">
        <v>0.7</v>
      </c>
      <c r="J5122" t="n">
        <v>0</v>
      </c>
      <c r="K5122" t="n">
        <v>0</v>
      </c>
      <c r="L5122" t="n">
        <v>0</v>
      </c>
      <c r="M5122" t="n">
        <v>0</v>
      </c>
      <c r="N5122" t="n">
        <v>0</v>
      </c>
      <c r="O5122" t="n">
        <v>0</v>
      </c>
      <c r="P5122" t="n">
        <v>0</v>
      </c>
      <c r="Q5122" t="n">
        <v>0</v>
      </c>
      <c r="R5122" t="n">
        <v>0</v>
      </c>
      <c r="S5122" t="n">
        <v>0</v>
      </c>
      <c r="T5122" t="n">
        <v>0</v>
      </c>
      <c r="U5122" t="n">
        <v>0</v>
      </c>
      <c r="V5122" s="2" t="inlineStr"/>
    </row>
    <row r="5123" ht="15" customHeight="1">
      <c r="A5123" t="inlineStr">
        <is>
          <t>A 41248-2026</t>
        </is>
      </c>
      <c r="B5123" t="inlineStr">
        <is>
          <t>avverkningsanmälan</t>
        </is>
      </c>
      <c r="C5123" t="inlineStr">
        <is>
          <t>Föryngringsavverkning</t>
        </is>
      </c>
      <c r="D5123" s="1" t="n">
        <v>46300</v>
      </c>
      <c r="E5123" s="1" t="n">
        <v>46323</v>
      </c>
      <c r="F5123" t="inlineStr">
        <is>
          <t>KALMAR LÄN</t>
        </is>
      </c>
      <c r="G5123" t="inlineStr">
        <is>
          <t>NYBRO</t>
        </is>
      </c>
      <c r="I5123" t="n">
        <v>1.4</v>
      </c>
      <c r="J5123" t="n">
        <v>0</v>
      </c>
      <c r="K5123" t="n">
        <v>0</v>
      </c>
      <c r="L5123" t="n">
        <v>0</v>
      </c>
      <c r="M5123" t="n">
        <v>0</v>
      </c>
      <c r="N5123" t="n">
        <v>0</v>
      </c>
      <c r="O5123" t="n">
        <v>0</v>
      </c>
      <c r="P5123" t="n">
        <v>0</v>
      </c>
      <c r="Q5123" t="n">
        <v>0</v>
      </c>
      <c r="R5123" t="n">
        <v>0</v>
      </c>
      <c r="S5123" t="n">
        <v>0</v>
      </c>
      <c r="T5123" t="n">
        <v>0</v>
      </c>
      <c r="U5123" t="n">
        <v>0</v>
      </c>
      <c r="V5123" s="2" t="inlineStr"/>
    </row>
    <row r="5124" ht="15" customHeight="1">
      <c r="A5124" t="inlineStr">
        <is>
          <t>A 12240-2022</t>
        </is>
      </c>
      <c r="B5124" t="inlineStr">
        <is>
          <t>avverkningsanmälan</t>
        </is>
      </c>
      <c r="C5124" t="inlineStr">
        <is>
          <t>Föryngringsavverkning</t>
        </is>
      </c>
      <c r="D5124" s="1" t="n">
        <v>44637</v>
      </c>
      <c r="E5124" s="1" t="n">
        <v>46323</v>
      </c>
      <c r="F5124" t="inlineStr">
        <is>
          <t>KALMAR LÄN</t>
        </is>
      </c>
      <c r="G5124" t="inlineStr">
        <is>
          <t>TORSÅS</t>
        </is>
      </c>
      <c r="I5124" t="n">
        <v>0.9</v>
      </c>
      <c r="J5124" t="n">
        <v>0</v>
      </c>
      <c r="K5124" t="n">
        <v>0</v>
      </c>
      <c r="L5124" t="n">
        <v>0</v>
      </c>
      <c r="M5124" t="n">
        <v>0</v>
      </c>
      <c r="N5124" t="n">
        <v>0</v>
      </c>
      <c r="O5124" t="n">
        <v>0</v>
      </c>
      <c r="P5124" t="n">
        <v>0</v>
      </c>
      <c r="Q5124" t="n">
        <v>0</v>
      </c>
      <c r="R5124" t="n">
        <v>0</v>
      </c>
      <c r="S5124" t="n">
        <v>0</v>
      </c>
      <c r="T5124" t="n">
        <v>0</v>
      </c>
      <c r="U5124" t="n">
        <v>0</v>
      </c>
      <c r="V5124" s="2" t="inlineStr"/>
    </row>
    <row r="5125" ht="15" customHeight="1">
      <c r="A5125" t="inlineStr">
        <is>
          <t>A 34655-2023</t>
        </is>
      </c>
      <c r="B5125" t="inlineStr">
        <is>
          <t>avverkningsanmälan</t>
        </is>
      </c>
      <c r="C5125" t="inlineStr">
        <is>
          <t>Föryngringsavverkning</t>
        </is>
      </c>
      <c r="D5125" s="1" t="n">
        <v>45140</v>
      </c>
      <c r="E5125" s="1" t="n">
        <v>46323</v>
      </c>
      <c r="F5125" t="inlineStr">
        <is>
          <t>KALMAR LÄN</t>
        </is>
      </c>
      <c r="G5125" t="inlineStr">
        <is>
          <t>VÄSTERVIK</t>
        </is>
      </c>
      <c r="I5125" t="n">
        <v>3.6</v>
      </c>
      <c r="J5125" t="n">
        <v>0</v>
      </c>
      <c r="K5125" t="n">
        <v>0</v>
      </c>
      <c r="L5125" t="n">
        <v>0</v>
      </c>
      <c r="M5125" t="n">
        <v>0</v>
      </c>
      <c r="N5125" t="n">
        <v>0</v>
      </c>
      <c r="O5125" t="n">
        <v>0</v>
      </c>
      <c r="P5125" t="n">
        <v>0</v>
      </c>
      <c r="Q5125" t="n">
        <v>0</v>
      </c>
      <c r="R5125" t="n">
        <v>0</v>
      </c>
      <c r="S5125" t="n">
        <v>0</v>
      </c>
      <c r="T5125" t="n">
        <v>0</v>
      </c>
      <c r="U5125" t="n">
        <v>0</v>
      </c>
      <c r="V5125" s="2" t="inlineStr"/>
    </row>
    <row r="5126" ht="15" customHeight="1">
      <c r="A5126" t="inlineStr">
        <is>
          <t>A 11061-2024</t>
        </is>
      </c>
      <c r="B5126" t="inlineStr">
        <is>
          <t>avverkningsanmälan</t>
        </is>
      </c>
      <c r="C5126" t="inlineStr">
        <is>
          <t>Föryngringsavverkning</t>
        </is>
      </c>
      <c r="D5126" s="1" t="n">
        <v>45370</v>
      </c>
      <c r="E5126" s="1" t="n">
        <v>46323</v>
      </c>
      <c r="F5126" t="inlineStr">
        <is>
          <t>KALMAR LÄN</t>
        </is>
      </c>
      <c r="G5126" t="inlineStr">
        <is>
          <t>EMMABODA</t>
        </is>
      </c>
      <c r="I5126" t="n">
        <v>1.5</v>
      </c>
      <c r="J5126" t="n">
        <v>0</v>
      </c>
      <c r="K5126" t="n">
        <v>0</v>
      </c>
      <c r="L5126" t="n">
        <v>0</v>
      </c>
      <c r="M5126" t="n">
        <v>0</v>
      </c>
      <c r="N5126" t="n">
        <v>0</v>
      </c>
      <c r="O5126" t="n">
        <v>0</v>
      </c>
      <c r="P5126" t="n">
        <v>0</v>
      </c>
      <c r="Q5126" t="n">
        <v>0</v>
      </c>
      <c r="R5126" t="n">
        <v>0</v>
      </c>
      <c r="S5126" t="n">
        <v>0</v>
      </c>
      <c r="T5126" t="n">
        <v>0</v>
      </c>
      <c r="U5126" t="n">
        <v>0</v>
      </c>
      <c r="V5126" s="2" t="inlineStr"/>
    </row>
    <row r="5127" ht="15" customHeight="1">
      <c r="A5127" t="inlineStr">
        <is>
          <t>A 16215-2023</t>
        </is>
      </c>
      <c r="B5127" t="inlineStr">
        <is>
          <t>avverkningsanmälan</t>
        </is>
      </c>
      <c r="C5127" t="inlineStr">
        <is>
          <t>Föryngringsavverkning</t>
        </is>
      </c>
      <c r="D5127" s="1" t="n">
        <v>45028</v>
      </c>
      <c r="E5127" s="1" t="n">
        <v>46323</v>
      </c>
      <c r="F5127" t="inlineStr">
        <is>
          <t>KALMAR LÄN</t>
        </is>
      </c>
      <c r="G5127" t="inlineStr">
        <is>
          <t>OSKARSHAMN</t>
        </is>
      </c>
      <c r="I5127" t="n">
        <v>4.2</v>
      </c>
      <c r="J5127" t="n">
        <v>0</v>
      </c>
      <c r="K5127" t="n">
        <v>0</v>
      </c>
      <c r="L5127" t="n">
        <v>0</v>
      </c>
      <c r="M5127" t="n">
        <v>0</v>
      </c>
      <c r="N5127" t="n">
        <v>0</v>
      </c>
      <c r="O5127" t="n">
        <v>0</v>
      </c>
      <c r="P5127" t="n">
        <v>0</v>
      </c>
      <c r="Q5127" t="n">
        <v>0</v>
      </c>
      <c r="R5127" t="n">
        <v>0</v>
      </c>
      <c r="S5127" t="n">
        <v>0</v>
      </c>
      <c r="T5127" t="n">
        <v>0</v>
      </c>
      <c r="U5127" t="n">
        <v>0</v>
      </c>
      <c r="V5127" s="2" t="inlineStr"/>
    </row>
    <row r="5128" ht="15" customHeight="1">
      <c r="A5128" t="inlineStr">
        <is>
          <t>A 37169-2024</t>
        </is>
      </c>
      <c r="B5128" t="inlineStr">
        <is>
          <t>avverkningsanmälan</t>
        </is>
      </c>
      <c r="C5128" t="inlineStr">
        <is>
          <t>Avverkning för annat ändamål</t>
        </is>
      </c>
      <c r="D5128" s="1" t="n">
        <v>45539</v>
      </c>
      <c r="E5128" s="1" t="n">
        <v>46323</v>
      </c>
      <c r="F5128" t="inlineStr">
        <is>
          <t>KALMAR LÄN</t>
        </is>
      </c>
      <c r="G5128" t="inlineStr">
        <is>
          <t>HULTSFRED</t>
        </is>
      </c>
      <c r="I5128" t="n">
        <v>3.1</v>
      </c>
      <c r="J5128" t="n">
        <v>0</v>
      </c>
      <c r="K5128" t="n">
        <v>0</v>
      </c>
      <c r="L5128" t="n">
        <v>0</v>
      </c>
      <c r="M5128" t="n">
        <v>0</v>
      </c>
      <c r="N5128" t="n">
        <v>0</v>
      </c>
      <c r="O5128" t="n">
        <v>0</v>
      </c>
      <c r="P5128" t="n">
        <v>0</v>
      </c>
      <c r="Q5128" t="n">
        <v>0</v>
      </c>
      <c r="R5128" t="n">
        <v>0</v>
      </c>
      <c r="S5128" t="n">
        <v>0</v>
      </c>
      <c r="T5128" t="n">
        <v>0</v>
      </c>
      <c r="U5128" t="n">
        <v>0</v>
      </c>
      <c r="V5128" s="2" t="inlineStr"/>
    </row>
    <row r="5129" ht="15" customHeight="1">
      <c r="A5129" t="inlineStr">
        <is>
          <t>A 11150-2024</t>
        </is>
      </c>
      <c r="B5129" t="inlineStr">
        <is>
          <t>avverkningsanmälan</t>
        </is>
      </c>
      <c r="C5129" t="inlineStr">
        <is>
          <t>Föryngringsavverkning</t>
        </is>
      </c>
      <c r="D5129" s="1" t="n">
        <v>45371</v>
      </c>
      <c r="E5129" s="1" t="n">
        <v>46323</v>
      </c>
      <c r="F5129" t="inlineStr">
        <is>
          <t>KALMAR LÄN</t>
        </is>
      </c>
      <c r="G5129" t="inlineStr">
        <is>
          <t>NYBRO</t>
        </is>
      </c>
      <c r="I5129" t="n">
        <v>0.4</v>
      </c>
      <c r="J5129" t="n">
        <v>0</v>
      </c>
      <c r="K5129" t="n">
        <v>0</v>
      </c>
      <c r="L5129" t="n">
        <v>0</v>
      </c>
      <c r="M5129" t="n">
        <v>0</v>
      </c>
      <c r="N5129" t="n">
        <v>0</v>
      </c>
      <c r="O5129" t="n">
        <v>0</v>
      </c>
      <c r="P5129" t="n">
        <v>0</v>
      </c>
      <c r="Q5129" t="n">
        <v>0</v>
      </c>
      <c r="R5129" t="n">
        <v>0</v>
      </c>
      <c r="S5129" t="n">
        <v>0</v>
      </c>
      <c r="T5129" t="n">
        <v>0</v>
      </c>
      <c r="U5129" t="n">
        <v>0</v>
      </c>
      <c r="V5129" s="2" t="inlineStr"/>
    </row>
    <row r="5130" ht="15" customHeight="1">
      <c r="A5130" t="inlineStr">
        <is>
          <t>A 26254-2023</t>
        </is>
      </c>
      <c r="B5130" t="inlineStr">
        <is>
          <t>avverkningsanmälan</t>
        </is>
      </c>
      <c r="C5130" t="inlineStr">
        <is>
          <t>Föryngringsavverkning</t>
        </is>
      </c>
      <c r="D5130" s="1" t="n">
        <v>45091</v>
      </c>
      <c r="E5130" s="1" t="n">
        <v>46323</v>
      </c>
      <c r="F5130" t="inlineStr">
        <is>
          <t>KALMAR LÄN</t>
        </is>
      </c>
      <c r="G5130" t="inlineStr">
        <is>
          <t>EMMABODA</t>
        </is>
      </c>
      <c r="I5130" t="n">
        <v>2.7</v>
      </c>
      <c r="J5130" t="n">
        <v>0</v>
      </c>
      <c r="K5130" t="n">
        <v>0</v>
      </c>
      <c r="L5130" t="n">
        <v>0</v>
      </c>
      <c r="M5130" t="n">
        <v>0</v>
      </c>
      <c r="N5130" t="n">
        <v>0</v>
      </c>
      <c r="O5130" t="n">
        <v>0</v>
      </c>
      <c r="P5130" t="n">
        <v>0</v>
      </c>
      <c r="Q5130" t="n">
        <v>0</v>
      </c>
      <c r="R5130" t="n">
        <v>0</v>
      </c>
      <c r="S5130" t="n">
        <v>0</v>
      </c>
      <c r="T5130" t="n">
        <v>0</v>
      </c>
      <c r="U5130" t="n">
        <v>0</v>
      </c>
      <c r="V5130" s="2" t="inlineStr"/>
    </row>
    <row r="5131" ht="15" customHeight="1">
      <c r="A5131" t="inlineStr">
        <is>
          <t>A 36009-2023</t>
        </is>
      </c>
      <c r="B5131" t="inlineStr">
        <is>
          <t>avverkningsanmälan</t>
        </is>
      </c>
      <c r="C5131" t="inlineStr">
        <is>
          <t>Föryngringsavverkning</t>
        </is>
      </c>
      <c r="D5131" s="1" t="n">
        <v>45149</v>
      </c>
      <c r="E5131" s="1" t="n">
        <v>46323</v>
      </c>
      <c r="F5131" t="inlineStr">
        <is>
          <t>KALMAR LÄN</t>
        </is>
      </c>
      <c r="G5131" t="inlineStr">
        <is>
          <t>EMMABODA</t>
        </is>
      </c>
      <c r="I5131" t="n">
        <v>0.6</v>
      </c>
      <c r="J5131" t="n">
        <v>0</v>
      </c>
      <c r="K5131" t="n">
        <v>0</v>
      </c>
      <c r="L5131" t="n">
        <v>0</v>
      </c>
      <c r="M5131" t="n">
        <v>0</v>
      </c>
      <c r="N5131" t="n">
        <v>0</v>
      </c>
      <c r="O5131" t="n">
        <v>0</v>
      </c>
      <c r="P5131" t="n">
        <v>0</v>
      </c>
      <c r="Q5131" t="n">
        <v>0</v>
      </c>
      <c r="R5131" t="n">
        <v>0</v>
      </c>
      <c r="S5131" t="n">
        <v>0</v>
      </c>
      <c r="T5131" t="n">
        <v>0</v>
      </c>
      <c r="U5131" t="n">
        <v>0</v>
      </c>
      <c r="V5131" s="2" t="inlineStr"/>
    </row>
    <row r="5132" ht="15" customHeight="1">
      <c r="A5132" t="inlineStr">
        <is>
          <t>A 18334-2026</t>
        </is>
      </c>
      <c r="B5132" t="inlineStr">
        <is>
          <t>avverkningsanmälan</t>
        </is>
      </c>
      <c r="C5132" t="inlineStr">
        <is>
          <t>Föryngringsavverkning</t>
        </is>
      </c>
      <c r="D5132" s="1" t="n">
        <v>46126</v>
      </c>
      <c r="E5132" s="1" t="n">
        <v>46323</v>
      </c>
      <c r="F5132" t="inlineStr">
        <is>
          <t>KALMAR LÄN</t>
        </is>
      </c>
      <c r="G5132" t="inlineStr">
        <is>
          <t>MÖNSTERÅS</t>
        </is>
      </c>
      <c r="I5132" t="n">
        <v>1.8</v>
      </c>
      <c r="J5132" t="n">
        <v>0</v>
      </c>
      <c r="K5132" t="n">
        <v>0</v>
      </c>
      <c r="L5132" t="n">
        <v>0</v>
      </c>
      <c r="M5132" t="n">
        <v>0</v>
      </c>
      <c r="N5132" t="n">
        <v>0</v>
      </c>
      <c r="O5132" t="n">
        <v>0</v>
      </c>
      <c r="P5132" t="n">
        <v>0</v>
      </c>
      <c r="Q5132" t="n">
        <v>0</v>
      </c>
      <c r="R5132" t="n">
        <v>0</v>
      </c>
      <c r="S5132" t="n">
        <v>0</v>
      </c>
      <c r="T5132" t="n">
        <v>0</v>
      </c>
      <c r="U5132" t="n">
        <v>0</v>
      </c>
      <c r="V5132" s="2" t="inlineStr"/>
    </row>
    <row r="5133" ht="15" customHeight="1">
      <c r="A5133" t="inlineStr">
        <is>
          <t>A 45060-2023</t>
        </is>
      </c>
      <c r="B5133" t="inlineStr">
        <is>
          <t>avverkningsanmälan</t>
        </is>
      </c>
      <c r="C5133" t="inlineStr">
        <is>
          <t>Föryngringsavverkning</t>
        </is>
      </c>
      <c r="D5133" s="1" t="n">
        <v>45191</v>
      </c>
      <c r="E5133" s="1" t="n">
        <v>46323</v>
      </c>
      <c r="F5133" t="inlineStr">
        <is>
          <t>KALMAR LÄN</t>
        </is>
      </c>
      <c r="G5133" t="inlineStr">
        <is>
          <t>EMMABODA</t>
        </is>
      </c>
      <c r="I5133" t="n">
        <v>1</v>
      </c>
      <c r="J5133" t="n">
        <v>0</v>
      </c>
      <c r="K5133" t="n">
        <v>0</v>
      </c>
      <c r="L5133" t="n">
        <v>0</v>
      </c>
      <c r="M5133" t="n">
        <v>0</v>
      </c>
      <c r="N5133" t="n">
        <v>0</v>
      </c>
      <c r="O5133" t="n">
        <v>0</v>
      </c>
      <c r="P5133" t="n">
        <v>0</v>
      </c>
      <c r="Q5133" t="n">
        <v>0</v>
      </c>
      <c r="R5133" t="n">
        <v>0</v>
      </c>
      <c r="S5133" t="n">
        <v>0</v>
      </c>
      <c r="T5133" t="n">
        <v>0</v>
      </c>
      <c r="U5133" t="n">
        <v>0</v>
      </c>
      <c r="V5133" s="2" t="inlineStr"/>
    </row>
    <row r="5134" ht="15" customHeight="1">
      <c r="A5134" t="inlineStr">
        <is>
          <t>A 40940-2026</t>
        </is>
      </c>
      <c r="B5134" t="inlineStr">
        <is>
          <t>avverkningsanmälan</t>
        </is>
      </c>
      <c r="C5134" t="inlineStr">
        <is>
          <t>Föryngringsavverkning</t>
        </is>
      </c>
      <c r="D5134" s="1" t="n">
        <v>46297</v>
      </c>
      <c r="E5134" s="1" t="n">
        <v>46323</v>
      </c>
      <c r="F5134" t="inlineStr">
        <is>
          <t>KALMAR LÄN</t>
        </is>
      </c>
      <c r="G5134" t="inlineStr">
        <is>
          <t>VIMMERBY</t>
        </is>
      </c>
      <c r="I5134" t="n">
        <v>1.9</v>
      </c>
      <c r="J5134" t="n">
        <v>0</v>
      </c>
      <c r="K5134" t="n">
        <v>0</v>
      </c>
      <c r="L5134" t="n">
        <v>0</v>
      </c>
      <c r="M5134" t="n">
        <v>0</v>
      </c>
      <c r="N5134" t="n">
        <v>0</v>
      </c>
      <c r="O5134" t="n">
        <v>0</v>
      </c>
      <c r="P5134" t="n">
        <v>0</v>
      </c>
      <c r="Q5134" t="n">
        <v>0</v>
      </c>
      <c r="R5134" t="n">
        <v>0</v>
      </c>
      <c r="S5134" t="n">
        <v>0</v>
      </c>
      <c r="T5134" t="n">
        <v>0</v>
      </c>
      <c r="U5134" t="n">
        <v>0</v>
      </c>
      <c r="V5134" s="2" t="inlineStr"/>
    </row>
    <row r="5135" ht="15" customHeight="1">
      <c r="A5135" t="inlineStr">
        <is>
          <t>A 46068-2023</t>
        </is>
      </c>
      <c r="B5135" t="inlineStr">
        <is>
          <t>avverkningsanmälan</t>
        </is>
      </c>
      <c r="C5135" t="inlineStr">
        <is>
          <t>Föryngringsavverkning</t>
        </is>
      </c>
      <c r="D5135" s="1" t="n">
        <v>45196</v>
      </c>
      <c r="E5135" s="1" t="n">
        <v>46323</v>
      </c>
      <c r="F5135" t="inlineStr">
        <is>
          <t>KALMAR LÄN</t>
        </is>
      </c>
      <c r="G5135" t="inlineStr">
        <is>
          <t>OSKARSHAMN</t>
        </is>
      </c>
      <c r="I5135" t="n">
        <v>0.9</v>
      </c>
      <c r="J5135" t="n">
        <v>0</v>
      </c>
      <c r="K5135" t="n">
        <v>0</v>
      </c>
      <c r="L5135" t="n">
        <v>0</v>
      </c>
      <c r="M5135" t="n">
        <v>0</v>
      </c>
      <c r="N5135" t="n">
        <v>0</v>
      </c>
      <c r="O5135" t="n">
        <v>0</v>
      </c>
      <c r="P5135" t="n">
        <v>0</v>
      </c>
      <c r="Q5135" t="n">
        <v>0</v>
      </c>
      <c r="R5135" t="n">
        <v>0</v>
      </c>
      <c r="S5135" t="n">
        <v>0</v>
      </c>
      <c r="T5135" t="n">
        <v>0</v>
      </c>
      <c r="U5135" t="n">
        <v>0</v>
      </c>
      <c r="V5135" s="2" t="inlineStr"/>
    </row>
    <row r="5136" ht="15" customHeight="1">
      <c r="A5136" t="inlineStr">
        <is>
          <t>A 46082-2023</t>
        </is>
      </c>
      <c r="B5136" t="inlineStr">
        <is>
          <t>avverkningsanmälan</t>
        </is>
      </c>
      <c r="C5136" t="inlineStr">
        <is>
          <t>Föryngringsavverkning</t>
        </is>
      </c>
      <c r="D5136" s="1" t="n">
        <v>45196</v>
      </c>
      <c r="E5136" s="1" t="n">
        <v>46323</v>
      </c>
      <c r="F5136" t="inlineStr">
        <is>
          <t>KALMAR LÄN</t>
        </is>
      </c>
      <c r="G5136" t="inlineStr">
        <is>
          <t>TORSÅS</t>
        </is>
      </c>
      <c r="I5136" t="n">
        <v>1.6</v>
      </c>
      <c r="J5136" t="n">
        <v>0</v>
      </c>
      <c r="K5136" t="n">
        <v>0</v>
      </c>
      <c r="L5136" t="n">
        <v>0</v>
      </c>
      <c r="M5136" t="n">
        <v>0</v>
      </c>
      <c r="N5136" t="n">
        <v>0</v>
      </c>
      <c r="O5136" t="n">
        <v>0</v>
      </c>
      <c r="P5136" t="n">
        <v>0</v>
      </c>
      <c r="Q5136" t="n">
        <v>0</v>
      </c>
      <c r="R5136" t="n">
        <v>0</v>
      </c>
      <c r="S5136" t="n">
        <v>0</v>
      </c>
      <c r="T5136" t="n">
        <v>0</v>
      </c>
      <c r="U5136" t="n">
        <v>0</v>
      </c>
      <c r="V5136" s="2" t="inlineStr"/>
    </row>
    <row r="5137" ht="15" customHeight="1">
      <c r="A5137" t="inlineStr">
        <is>
          <t>A 10419-2023</t>
        </is>
      </c>
      <c r="B5137" t="inlineStr">
        <is>
          <t>avverkningsanmälan</t>
        </is>
      </c>
      <c r="C5137" t="inlineStr">
        <is>
          <t>Föryngringsavverkning</t>
        </is>
      </c>
      <c r="D5137" s="1" t="n">
        <v>44987</v>
      </c>
      <c r="E5137" s="1" t="n">
        <v>46323</v>
      </c>
      <c r="F5137" t="inlineStr">
        <is>
          <t>KALMAR LÄN</t>
        </is>
      </c>
      <c r="G5137" t="inlineStr">
        <is>
          <t>VÄSTERVIK</t>
        </is>
      </c>
      <c r="I5137" t="n">
        <v>0.4</v>
      </c>
      <c r="J5137" t="n">
        <v>0</v>
      </c>
      <c r="K5137" t="n">
        <v>0</v>
      </c>
      <c r="L5137" t="n">
        <v>0</v>
      </c>
      <c r="M5137" t="n">
        <v>0</v>
      </c>
      <c r="N5137" t="n">
        <v>0</v>
      </c>
      <c r="O5137" t="n">
        <v>0</v>
      </c>
      <c r="P5137" t="n">
        <v>0</v>
      </c>
      <c r="Q5137" t="n">
        <v>0</v>
      </c>
      <c r="R5137" t="n">
        <v>0</v>
      </c>
      <c r="S5137" t="n">
        <v>0</v>
      </c>
      <c r="T5137" t="n">
        <v>0</v>
      </c>
      <c r="U5137" t="n">
        <v>0</v>
      </c>
      <c r="V5137" s="2" t="inlineStr"/>
    </row>
    <row r="5138" ht="15" customHeight="1">
      <c r="A5138" t="inlineStr">
        <is>
          <t>A 10406-2022</t>
        </is>
      </c>
      <c r="B5138" t="inlineStr">
        <is>
          <t>avverkningsanmälan</t>
        </is>
      </c>
      <c r="C5138" t="inlineStr">
        <is>
          <t>Föryngringsavverkning</t>
        </is>
      </c>
      <c r="D5138" s="1" t="n">
        <v>44623</v>
      </c>
      <c r="E5138" s="1" t="n">
        <v>46323</v>
      </c>
      <c r="F5138" t="inlineStr">
        <is>
          <t>KALMAR LÄN</t>
        </is>
      </c>
      <c r="G5138" t="inlineStr">
        <is>
          <t>VÄSTERVIK</t>
        </is>
      </c>
      <c r="H5138" t="inlineStr">
        <is>
          <t>Holmen skog AB</t>
        </is>
      </c>
      <c r="I5138" t="n">
        <v>1.4</v>
      </c>
      <c r="J5138" t="n">
        <v>0</v>
      </c>
      <c r="K5138" t="n">
        <v>0</v>
      </c>
      <c r="L5138" t="n">
        <v>0</v>
      </c>
      <c r="M5138" t="n">
        <v>0</v>
      </c>
      <c r="N5138" t="n">
        <v>0</v>
      </c>
      <c r="O5138" t="n">
        <v>0</v>
      </c>
      <c r="P5138" t="n">
        <v>0</v>
      </c>
      <c r="Q5138" t="n">
        <v>0</v>
      </c>
      <c r="R5138" t="n">
        <v>0</v>
      </c>
      <c r="S5138" t="n">
        <v>0</v>
      </c>
      <c r="T5138" t="n">
        <v>0</v>
      </c>
      <c r="U5138" t="n">
        <v>0</v>
      </c>
      <c r="V5138" s="2" t="inlineStr"/>
    </row>
    <row r="5139" ht="15" customHeight="1">
      <c r="A5139" t="inlineStr">
        <is>
          <t>A 61649-2022</t>
        </is>
      </c>
      <c r="B5139" t="inlineStr">
        <is>
          <t>avverkningsanmälan</t>
        </is>
      </c>
      <c r="C5139" t="inlineStr">
        <is>
          <t>Föryngringsavverkning</t>
        </is>
      </c>
      <c r="D5139" s="1" t="n">
        <v>44916</v>
      </c>
      <c r="E5139" s="1" t="n">
        <v>46323</v>
      </c>
      <c r="F5139" t="inlineStr">
        <is>
          <t>KALMAR LÄN</t>
        </is>
      </c>
      <c r="G5139" t="inlineStr">
        <is>
          <t>VÄSTERVIK</t>
        </is>
      </c>
      <c r="H5139" t="inlineStr">
        <is>
          <t>Holmen skog AB</t>
        </is>
      </c>
      <c r="I5139" t="n">
        <v>0.7</v>
      </c>
      <c r="J5139" t="n">
        <v>0</v>
      </c>
      <c r="K5139" t="n">
        <v>0</v>
      </c>
      <c r="L5139" t="n">
        <v>0</v>
      </c>
      <c r="M5139" t="n">
        <v>0</v>
      </c>
      <c r="N5139" t="n">
        <v>0</v>
      </c>
      <c r="O5139" t="n">
        <v>0</v>
      </c>
      <c r="P5139" t="n">
        <v>0</v>
      </c>
      <c r="Q5139" t="n">
        <v>0</v>
      </c>
      <c r="R5139" t="n">
        <v>0</v>
      </c>
      <c r="S5139" t="n">
        <v>0</v>
      </c>
      <c r="T5139" t="n">
        <v>0</v>
      </c>
      <c r="U5139" t="n">
        <v>0</v>
      </c>
      <c r="V5139" s="2" t="inlineStr"/>
    </row>
    <row r="5140" ht="15" customHeight="1">
      <c r="A5140" t="inlineStr">
        <is>
          <t>A 61676-2022</t>
        </is>
      </c>
      <c r="B5140" t="inlineStr">
        <is>
          <t>avverkningsanmälan</t>
        </is>
      </c>
      <c r="C5140" t="inlineStr">
        <is>
          <t>Föryngringsavverkning</t>
        </is>
      </c>
      <c r="D5140" s="1" t="n">
        <v>44917</v>
      </c>
      <c r="E5140" s="1" t="n">
        <v>46323</v>
      </c>
      <c r="F5140" t="inlineStr">
        <is>
          <t>KALMAR LÄN</t>
        </is>
      </c>
      <c r="G5140" t="inlineStr">
        <is>
          <t>OSKARSHAMN</t>
        </is>
      </c>
      <c r="I5140" t="n">
        <v>0.5</v>
      </c>
      <c r="J5140" t="n">
        <v>0</v>
      </c>
      <c r="K5140" t="n">
        <v>0</v>
      </c>
      <c r="L5140" t="n">
        <v>0</v>
      </c>
      <c r="M5140" t="n">
        <v>0</v>
      </c>
      <c r="N5140" t="n">
        <v>0</v>
      </c>
      <c r="O5140" t="n">
        <v>0</v>
      </c>
      <c r="P5140" t="n">
        <v>0</v>
      </c>
      <c r="Q5140" t="n">
        <v>0</v>
      </c>
      <c r="R5140" t="n">
        <v>0</v>
      </c>
      <c r="S5140" t="n">
        <v>0</v>
      </c>
      <c r="T5140" t="n">
        <v>0</v>
      </c>
      <c r="U5140" t="n">
        <v>0</v>
      </c>
      <c r="V5140" s="2" t="inlineStr"/>
    </row>
    <row r="5141" ht="15" customHeight="1">
      <c r="A5141" t="inlineStr">
        <is>
          <t>A 60819-2022</t>
        </is>
      </c>
      <c r="B5141" t="inlineStr">
        <is>
          <t>avverkningsanmälan</t>
        </is>
      </c>
      <c r="C5141" t="inlineStr">
        <is>
          <t>Föryngringsavverkning</t>
        </is>
      </c>
      <c r="D5141" s="1" t="n">
        <v>44914</v>
      </c>
      <c r="E5141" s="1" t="n">
        <v>46323</v>
      </c>
      <c r="F5141" t="inlineStr">
        <is>
          <t>KALMAR LÄN</t>
        </is>
      </c>
      <c r="G5141" t="inlineStr">
        <is>
          <t>NYBRO</t>
        </is>
      </c>
      <c r="I5141" t="n">
        <v>2.3</v>
      </c>
      <c r="J5141" t="n">
        <v>0</v>
      </c>
      <c r="K5141" t="n">
        <v>0</v>
      </c>
      <c r="L5141" t="n">
        <v>0</v>
      </c>
      <c r="M5141" t="n">
        <v>0</v>
      </c>
      <c r="N5141" t="n">
        <v>0</v>
      </c>
      <c r="O5141" t="n">
        <v>0</v>
      </c>
      <c r="P5141" t="n">
        <v>0</v>
      </c>
      <c r="Q5141" t="n">
        <v>0</v>
      </c>
      <c r="R5141" t="n">
        <v>0</v>
      </c>
      <c r="S5141" t="n">
        <v>0</v>
      </c>
      <c r="T5141" t="n">
        <v>0</v>
      </c>
      <c r="U5141" t="n">
        <v>0</v>
      </c>
      <c r="V5141" s="2" t="inlineStr"/>
    </row>
    <row r="5142" ht="15" customHeight="1">
      <c r="A5142" t="inlineStr">
        <is>
          <t>A 41132-2026</t>
        </is>
      </c>
      <c r="B5142" t="inlineStr">
        <is>
          <t>avverkningsanmälan</t>
        </is>
      </c>
      <c r="C5142" t="inlineStr">
        <is>
          <t>Föryngringsavverkning</t>
        </is>
      </c>
      <c r="D5142" s="1" t="n">
        <v>46300</v>
      </c>
      <c r="E5142" s="1" t="n">
        <v>46323</v>
      </c>
      <c r="F5142" t="inlineStr">
        <is>
          <t>KALMAR LÄN</t>
        </is>
      </c>
      <c r="G5142" t="inlineStr">
        <is>
          <t>VÄSTERVIK</t>
        </is>
      </c>
      <c r="H5142" t="inlineStr">
        <is>
          <t>Sveaskog</t>
        </is>
      </c>
      <c r="I5142" t="n">
        <v>3.3</v>
      </c>
      <c r="J5142" t="n">
        <v>0</v>
      </c>
      <c r="K5142" t="n">
        <v>0</v>
      </c>
      <c r="L5142" t="n">
        <v>0</v>
      </c>
      <c r="M5142" t="n">
        <v>0</v>
      </c>
      <c r="N5142" t="n">
        <v>0</v>
      </c>
      <c r="O5142" t="n">
        <v>0</v>
      </c>
      <c r="P5142" t="n">
        <v>0</v>
      </c>
      <c r="Q5142" t="n">
        <v>0</v>
      </c>
      <c r="R5142" t="n">
        <v>0</v>
      </c>
      <c r="S5142" t="n">
        <v>0</v>
      </c>
      <c r="T5142" t="n">
        <v>0</v>
      </c>
      <c r="U5142" t="n">
        <v>0</v>
      </c>
      <c r="V5142" s="2" t="inlineStr"/>
    </row>
    <row r="5143" ht="15" customHeight="1">
      <c r="A5143" t="inlineStr">
        <is>
          <t>A 41134-2026</t>
        </is>
      </c>
      <c r="B5143" t="inlineStr">
        <is>
          <t>avverkningsanmälan</t>
        </is>
      </c>
      <c r="C5143" t="inlineStr">
        <is>
          <t>Föryngringsavverkning</t>
        </is>
      </c>
      <c r="D5143" s="1" t="n">
        <v>46300</v>
      </c>
      <c r="E5143" s="1" t="n">
        <v>46323</v>
      </c>
      <c r="F5143" t="inlineStr">
        <is>
          <t>KALMAR LÄN</t>
        </is>
      </c>
      <c r="G5143" t="inlineStr">
        <is>
          <t>VÄSTERVIK</t>
        </is>
      </c>
      <c r="H5143" t="inlineStr">
        <is>
          <t>Sveaskog</t>
        </is>
      </c>
      <c r="I5143" t="n">
        <v>0.8</v>
      </c>
      <c r="J5143" t="n">
        <v>0</v>
      </c>
      <c r="K5143" t="n">
        <v>0</v>
      </c>
      <c r="L5143" t="n">
        <v>0</v>
      </c>
      <c r="M5143" t="n">
        <v>0</v>
      </c>
      <c r="N5143" t="n">
        <v>0</v>
      </c>
      <c r="O5143" t="n">
        <v>0</v>
      </c>
      <c r="P5143" t="n">
        <v>0</v>
      </c>
      <c r="Q5143" t="n">
        <v>0</v>
      </c>
      <c r="R5143" t="n">
        <v>0</v>
      </c>
      <c r="S5143" t="n">
        <v>0</v>
      </c>
      <c r="T5143" t="n">
        <v>0</v>
      </c>
      <c r="U5143" t="n">
        <v>0</v>
      </c>
      <c r="V5143" s="2" t="inlineStr"/>
    </row>
    <row r="5144" ht="15" customHeight="1">
      <c r="A5144" t="inlineStr">
        <is>
          <t>A 43853-2023</t>
        </is>
      </c>
      <c r="B5144" t="inlineStr">
        <is>
          <t>avverkningsanmälan</t>
        </is>
      </c>
      <c r="C5144" t="inlineStr">
        <is>
          <t>Föryngringsavverkning</t>
        </is>
      </c>
      <c r="D5144" s="1" t="n">
        <v>45187</v>
      </c>
      <c r="E5144" s="1" t="n">
        <v>46323</v>
      </c>
      <c r="F5144" t="inlineStr">
        <is>
          <t>KALMAR LÄN</t>
        </is>
      </c>
      <c r="G5144" t="inlineStr">
        <is>
          <t>VIMMERBY</t>
        </is>
      </c>
      <c r="I5144" t="n">
        <v>1.4</v>
      </c>
      <c r="J5144" t="n">
        <v>0</v>
      </c>
      <c r="K5144" t="n">
        <v>0</v>
      </c>
      <c r="L5144" t="n">
        <v>0</v>
      </c>
      <c r="M5144" t="n">
        <v>0</v>
      </c>
      <c r="N5144" t="n">
        <v>0</v>
      </c>
      <c r="O5144" t="n">
        <v>0</v>
      </c>
      <c r="P5144" t="n">
        <v>0</v>
      </c>
      <c r="Q5144" t="n">
        <v>0</v>
      </c>
      <c r="R5144" t="n">
        <v>0</v>
      </c>
      <c r="S5144" t="n">
        <v>0</v>
      </c>
      <c r="T5144" t="n">
        <v>0</v>
      </c>
      <c r="U5144" t="n">
        <v>0</v>
      </c>
      <c r="V5144" s="2" t="inlineStr"/>
    </row>
    <row r="5145" ht="15" customHeight="1">
      <c r="A5145" t="inlineStr">
        <is>
          <t>A 14937-2022</t>
        </is>
      </c>
      <c r="B5145" t="inlineStr">
        <is>
          <t>avverkningsanmälan</t>
        </is>
      </c>
      <c r="C5145" t="inlineStr">
        <is>
          <t>Föryngringsavverkning</t>
        </is>
      </c>
      <c r="D5145" s="1" t="n">
        <v>44657</v>
      </c>
      <c r="E5145" s="1" t="n">
        <v>46323</v>
      </c>
      <c r="F5145" t="inlineStr">
        <is>
          <t>KALMAR LÄN</t>
        </is>
      </c>
      <c r="G5145" t="inlineStr">
        <is>
          <t>TORSÅS</t>
        </is>
      </c>
      <c r="I5145" t="n">
        <v>1.5</v>
      </c>
      <c r="J5145" t="n">
        <v>0</v>
      </c>
      <c r="K5145" t="n">
        <v>0</v>
      </c>
      <c r="L5145" t="n">
        <v>0</v>
      </c>
      <c r="M5145" t="n">
        <v>0</v>
      </c>
      <c r="N5145" t="n">
        <v>0</v>
      </c>
      <c r="O5145" t="n">
        <v>0</v>
      </c>
      <c r="P5145" t="n">
        <v>0</v>
      </c>
      <c r="Q5145" t="n">
        <v>0</v>
      </c>
      <c r="R5145" t="n">
        <v>0</v>
      </c>
      <c r="S5145" t="n">
        <v>0</v>
      </c>
      <c r="T5145" t="n">
        <v>0</v>
      </c>
      <c r="U5145" t="n">
        <v>0</v>
      </c>
      <c r="V5145" s="2" t="inlineStr"/>
    </row>
    <row r="5146" ht="15" customHeight="1">
      <c r="A5146" t="inlineStr">
        <is>
          <t>A 49739-2025</t>
        </is>
      </c>
      <c r="B5146" t="inlineStr">
        <is>
          <t>avverkningsanmälan</t>
        </is>
      </c>
      <c r="C5146" t="inlineStr">
        <is>
          <t>Föryngringsavverkning</t>
        </is>
      </c>
      <c r="D5146" s="1" t="n">
        <v>45940</v>
      </c>
      <c r="E5146" s="1" t="n">
        <v>46323</v>
      </c>
      <c r="F5146" t="inlineStr">
        <is>
          <t>KALMAR LÄN</t>
        </is>
      </c>
      <c r="G5146" t="inlineStr">
        <is>
          <t>NYBRO</t>
        </is>
      </c>
      <c r="I5146" t="n">
        <v>4.7</v>
      </c>
      <c r="J5146" t="n">
        <v>0</v>
      </c>
      <c r="K5146" t="n">
        <v>0</v>
      </c>
      <c r="L5146" t="n">
        <v>0</v>
      </c>
      <c r="M5146" t="n">
        <v>0</v>
      </c>
      <c r="N5146" t="n">
        <v>0</v>
      </c>
      <c r="O5146" t="n">
        <v>0</v>
      </c>
      <c r="P5146" t="n">
        <v>0</v>
      </c>
      <c r="Q5146" t="n">
        <v>0</v>
      </c>
      <c r="R5146" t="n">
        <v>0</v>
      </c>
      <c r="S5146" t="n">
        <v>0</v>
      </c>
      <c r="T5146" t="n">
        <v>0</v>
      </c>
      <c r="U5146" t="n">
        <v>0</v>
      </c>
      <c r="V5146" s="2" t="inlineStr"/>
    </row>
    <row r="5147" ht="15" customHeight="1">
      <c r="A5147" t="inlineStr">
        <is>
          <t>A 33924-2026</t>
        </is>
      </c>
      <c r="B5147" t="inlineStr">
        <is>
          <t>avverkningsanmälan</t>
        </is>
      </c>
      <c r="C5147" t="inlineStr">
        <is>
          <t>Föryngringsavverkning</t>
        </is>
      </c>
      <c r="D5147" s="1" t="n">
        <v>46252</v>
      </c>
      <c r="E5147" s="1" t="n">
        <v>46323</v>
      </c>
      <c r="F5147" t="inlineStr">
        <is>
          <t>KALMAR LÄN</t>
        </is>
      </c>
      <c r="G5147" t="inlineStr">
        <is>
          <t>NYBRO</t>
        </is>
      </c>
      <c r="I5147" t="n">
        <v>1.6</v>
      </c>
      <c r="J5147" t="n">
        <v>0</v>
      </c>
      <c r="K5147" t="n">
        <v>0</v>
      </c>
      <c r="L5147" t="n">
        <v>0</v>
      </c>
      <c r="M5147" t="n">
        <v>0</v>
      </c>
      <c r="N5147" t="n">
        <v>0</v>
      </c>
      <c r="O5147" t="n">
        <v>0</v>
      </c>
      <c r="P5147" t="n">
        <v>0</v>
      </c>
      <c r="Q5147" t="n">
        <v>0</v>
      </c>
      <c r="R5147" t="n">
        <v>0</v>
      </c>
      <c r="S5147" t="n">
        <v>0</v>
      </c>
      <c r="T5147" t="n">
        <v>0</v>
      </c>
      <c r="U5147" t="n">
        <v>0</v>
      </c>
      <c r="V5147" s="2" t="inlineStr"/>
    </row>
    <row r="5148" ht="15" customHeight="1">
      <c r="A5148" t="inlineStr">
        <is>
          <t>A 37199-2023</t>
        </is>
      </c>
      <c r="B5148" t="inlineStr">
        <is>
          <t>avverkningsanmälan</t>
        </is>
      </c>
      <c r="C5148" t="inlineStr">
        <is>
          <t>Föryngringsavverkning</t>
        </is>
      </c>
      <c r="D5148" s="1" t="n">
        <v>45155</v>
      </c>
      <c r="E5148" s="1" t="n">
        <v>46323</v>
      </c>
      <c r="F5148" t="inlineStr">
        <is>
          <t>KALMAR LÄN</t>
        </is>
      </c>
      <c r="G5148" t="inlineStr">
        <is>
          <t>EMMABODA</t>
        </is>
      </c>
      <c r="I5148" t="n">
        <v>1.3</v>
      </c>
      <c r="J5148" t="n">
        <v>0</v>
      </c>
      <c r="K5148" t="n">
        <v>0</v>
      </c>
      <c r="L5148" t="n">
        <v>0</v>
      </c>
      <c r="M5148" t="n">
        <v>0</v>
      </c>
      <c r="N5148" t="n">
        <v>0</v>
      </c>
      <c r="O5148" t="n">
        <v>0</v>
      </c>
      <c r="P5148" t="n">
        <v>0</v>
      </c>
      <c r="Q5148" t="n">
        <v>0</v>
      </c>
      <c r="R5148" t="n">
        <v>0</v>
      </c>
      <c r="S5148" t="n">
        <v>0</v>
      </c>
      <c r="T5148" t="n">
        <v>0</v>
      </c>
      <c r="U5148" t="n">
        <v>0</v>
      </c>
      <c r="V5148" s="2" t="inlineStr"/>
    </row>
    <row r="5149" ht="15" customHeight="1">
      <c r="A5149" t="inlineStr">
        <is>
          <t>A 36663-2023</t>
        </is>
      </c>
      <c r="B5149" t="inlineStr">
        <is>
          <t>avverkningsanmälan</t>
        </is>
      </c>
      <c r="C5149" t="inlineStr">
        <is>
          <t>Föryngringsavverkning</t>
        </is>
      </c>
      <c r="D5149" s="1" t="n">
        <v>45153</v>
      </c>
      <c r="E5149" s="1" t="n">
        <v>46323</v>
      </c>
      <c r="F5149" t="inlineStr">
        <is>
          <t>KALMAR LÄN</t>
        </is>
      </c>
      <c r="G5149" t="inlineStr">
        <is>
          <t>HULTSFRED</t>
        </is>
      </c>
      <c r="I5149" t="n">
        <v>1.1</v>
      </c>
      <c r="J5149" t="n">
        <v>0</v>
      </c>
      <c r="K5149" t="n">
        <v>0</v>
      </c>
      <c r="L5149" t="n">
        <v>0</v>
      </c>
      <c r="M5149" t="n">
        <v>0</v>
      </c>
      <c r="N5149" t="n">
        <v>0</v>
      </c>
      <c r="O5149" t="n">
        <v>0</v>
      </c>
      <c r="P5149" t="n">
        <v>0</v>
      </c>
      <c r="Q5149" t="n">
        <v>0</v>
      </c>
      <c r="R5149" t="n">
        <v>0</v>
      </c>
      <c r="S5149" t="n">
        <v>0</v>
      </c>
      <c r="T5149" t="n">
        <v>0</v>
      </c>
      <c r="U5149" t="n">
        <v>0</v>
      </c>
      <c r="V5149" s="2" t="inlineStr"/>
    </row>
    <row r="5150" ht="15" customHeight="1">
      <c r="A5150" t="inlineStr">
        <is>
          <t>A 34893-2026</t>
        </is>
      </c>
      <c r="B5150" t="inlineStr">
        <is>
          <t>avverkningsanmälan</t>
        </is>
      </c>
      <c r="C5150" t="inlineStr">
        <is>
          <t>Föryngringsavverkning</t>
        </is>
      </c>
      <c r="D5150" s="1" t="n">
        <v>46255</v>
      </c>
      <c r="E5150" s="1" t="n">
        <v>46323</v>
      </c>
      <c r="F5150" t="inlineStr">
        <is>
          <t>KALMAR LÄN</t>
        </is>
      </c>
      <c r="G5150" t="inlineStr">
        <is>
          <t>EMMABODA</t>
        </is>
      </c>
      <c r="H5150" t="inlineStr">
        <is>
          <t>Kyrkan</t>
        </is>
      </c>
      <c r="I5150" t="n">
        <v>1.4</v>
      </c>
      <c r="J5150" t="n">
        <v>0</v>
      </c>
      <c r="K5150" t="n">
        <v>0</v>
      </c>
      <c r="L5150" t="n">
        <v>0</v>
      </c>
      <c r="M5150" t="n">
        <v>0</v>
      </c>
      <c r="N5150" t="n">
        <v>0</v>
      </c>
      <c r="O5150" t="n">
        <v>0</v>
      </c>
      <c r="P5150" t="n">
        <v>0</v>
      </c>
      <c r="Q5150" t="n">
        <v>0</v>
      </c>
      <c r="R5150" t="n">
        <v>0</v>
      </c>
      <c r="S5150" t="n">
        <v>0</v>
      </c>
      <c r="T5150" t="n">
        <v>0</v>
      </c>
      <c r="U5150" t="n">
        <v>0</v>
      </c>
      <c r="V5150" s="2" t="inlineStr"/>
    </row>
    <row r="5151" ht="15" customHeight="1">
      <c r="A5151" t="inlineStr">
        <is>
          <t>A 34896-2026</t>
        </is>
      </c>
      <c r="B5151" t="inlineStr">
        <is>
          <t>avverkningsanmälan</t>
        </is>
      </c>
      <c r="C5151" t="inlineStr">
        <is>
          <t>Föryngringsavverkning</t>
        </is>
      </c>
      <c r="D5151" s="1" t="n">
        <v>46255</v>
      </c>
      <c r="E5151" s="1" t="n">
        <v>46323</v>
      </c>
      <c r="F5151" t="inlineStr">
        <is>
          <t>KALMAR LÄN</t>
        </is>
      </c>
      <c r="G5151" t="inlineStr">
        <is>
          <t>EMMABODA</t>
        </is>
      </c>
      <c r="H5151" t="inlineStr">
        <is>
          <t>Kyrkan</t>
        </is>
      </c>
      <c r="I5151" t="n">
        <v>1.9</v>
      </c>
      <c r="J5151" t="n">
        <v>0</v>
      </c>
      <c r="K5151" t="n">
        <v>0</v>
      </c>
      <c r="L5151" t="n">
        <v>0</v>
      </c>
      <c r="M5151" t="n">
        <v>0</v>
      </c>
      <c r="N5151" t="n">
        <v>0</v>
      </c>
      <c r="O5151" t="n">
        <v>0</v>
      </c>
      <c r="P5151" t="n">
        <v>0</v>
      </c>
      <c r="Q5151" t="n">
        <v>0</v>
      </c>
      <c r="R5151" t="n">
        <v>0</v>
      </c>
      <c r="S5151" t="n">
        <v>0</v>
      </c>
      <c r="T5151" t="n">
        <v>0</v>
      </c>
      <c r="U5151" t="n">
        <v>0</v>
      </c>
      <c r="V5151" s="2" t="inlineStr"/>
    </row>
    <row r="5152" ht="15" customHeight="1">
      <c r="A5152" t="inlineStr">
        <is>
          <t>A 34905-2026</t>
        </is>
      </c>
      <c r="B5152" t="inlineStr">
        <is>
          <t>avverkningsanmälan</t>
        </is>
      </c>
      <c r="C5152" t="inlineStr">
        <is>
          <t>Föryngringsavverkning</t>
        </is>
      </c>
      <c r="D5152" s="1" t="n">
        <v>46255</v>
      </c>
      <c r="E5152" s="1" t="n">
        <v>46323</v>
      </c>
      <c r="F5152" t="inlineStr">
        <is>
          <t>KALMAR LÄN</t>
        </is>
      </c>
      <c r="G5152" t="inlineStr">
        <is>
          <t>EMMABODA</t>
        </is>
      </c>
      <c r="H5152" t="inlineStr">
        <is>
          <t>Kyrkan</t>
        </is>
      </c>
      <c r="I5152" t="n">
        <v>0.9</v>
      </c>
      <c r="J5152" t="n">
        <v>0</v>
      </c>
      <c r="K5152" t="n">
        <v>0</v>
      </c>
      <c r="L5152" t="n">
        <v>0</v>
      </c>
      <c r="M5152" t="n">
        <v>0</v>
      </c>
      <c r="N5152" t="n">
        <v>0</v>
      </c>
      <c r="O5152" t="n">
        <v>0</v>
      </c>
      <c r="P5152" t="n">
        <v>0</v>
      </c>
      <c r="Q5152" t="n">
        <v>0</v>
      </c>
      <c r="R5152" t="n">
        <v>0</v>
      </c>
      <c r="S5152" t="n">
        <v>0</v>
      </c>
      <c r="T5152" t="n">
        <v>0</v>
      </c>
      <c r="U5152" t="n">
        <v>0</v>
      </c>
      <c r="V5152" s="2" t="inlineStr"/>
    </row>
    <row r="5153" ht="15" customHeight="1">
      <c r="A5153" t="inlineStr">
        <is>
          <t>A 26385-2026</t>
        </is>
      </c>
      <c r="B5153" t="inlineStr">
        <is>
          <t>avverkningsanmälan</t>
        </is>
      </c>
      <c r="C5153" t="inlineStr">
        <is>
          <t>Föryngringsavverkning</t>
        </is>
      </c>
      <c r="D5153" s="1" t="n">
        <v>46183</v>
      </c>
      <c r="E5153" s="1" t="n">
        <v>46323</v>
      </c>
      <c r="F5153" t="inlineStr">
        <is>
          <t>KALMAR LÄN</t>
        </is>
      </c>
      <c r="G5153" t="inlineStr">
        <is>
          <t>VÄSTERVIK</t>
        </is>
      </c>
      <c r="I5153" t="n">
        <v>2.9</v>
      </c>
      <c r="J5153" t="n">
        <v>0</v>
      </c>
      <c r="K5153" t="n">
        <v>0</v>
      </c>
      <c r="L5153" t="n">
        <v>0</v>
      </c>
      <c r="M5153" t="n">
        <v>0</v>
      </c>
      <c r="N5153" t="n">
        <v>0</v>
      </c>
      <c r="O5153" t="n">
        <v>0</v>
      </c>
      <c r="P5153" t="n">
        <v>0</v>
      </c>
      <c r="Q5153" t="n">
        <v>0</v>
      </c>
      <c r="R5153" t="n">
        <v>0</v>
      </c>
      <c r="S5153" t="n">
        <v>0</v>
      </c>
      <c r="T5153" t="n">
        <v>0</v>
      </c>
      <c r="U5153" t="n">
        <v>0</v>
      </c>
      <c r="V5153" s="2" t="inlineStr"/>
    </row>
    <row r="5154" ht="15" customHeight="1">
      <c r="A5154" t="inlineStr">
        <is>
          <t>A 28791-2026</t>
        </is>
      </c>
      <c r="B5154" t="inlineStr">
        <is>
          <t>avverkningsanmälan</t>
        </is>
      </c>
      <c r="C5154" t="inlineStr">
        <is>
          <t>Föryngringsavverkning</t>
        </is>
      </c>
      <c r="D5154" s="1" t="n">
        <v>46198</v>
      </c>
      <c r="E5154" s="1" t="n">
        <v>46323</v>
      </c>
      <c r="F5154" t="inlineStr">
        <is>
          <t>KALMAR LÄN</t>
        </is>
      </c>
      <c r="G5154" t="inlineStr">
        <is>
          <t>NYBRO</t>
        </is>
      </c>
      <c r="I5154" t="n">
        <v>1.1</v>
      </c>
      <c r="J5154" t="n">
        <v>0</v>
      </c>
      <c r="K5154" t="n">
        <v>0</v>
      </c>
      <c r="L5154" t="n">
        <v>0</v>
      </c>
      <c r="M5154" t="n">
        <v>0</v>
      </c>
      <c r="N5154" t="n">
        <v>0</v>
      </c>
      <c r="O5154" t="n">
        <v>0</v>
      </c>
      <c r="P5154" t="n">
        <v>0</v>
      </c>
      <c r="Q5154" t="n">
        <v>0</v>
      </c>
      <c r="R5154" t="n">
        <v>0</v>
      </c>
      <c r="S5154" t="n">
        <v>0</v>
      </c>
      <c r="T5154" t="n">
        <v>0</v>
      </c>
      <c r="U5154" t="n">
        <v>0</v>
      </c>
      <c r="V5154" s="2" t="inlineStr"/>
    </row>
    <row r="5155" ht="15" customHeight="1">
      <c r="A5155" t="inlineStr">
        <is>
          <t>A 58615-2023</t>
        </is>
      </c>
      <c r="B5155" t="inlineStr">
        <is>
          <t>avverkningsanmälan</t>
        </is>
      </c>
      <c r="C5155" t="inlineStr">
        <is>
          <t>Föryngringsavverkning</t>
        </is>
      </c>
      <c r="D5155" s="1" t="n">
        <v>45251</v>
      </c>
      <c r="E5155" s="1" t="n">
        <v>46323</v>
      </c>
      <c r="F5155" t="inlineStr">
        <is>
          <t>KALMAR LÄN</t>
        </is>
      </c>
      <c r="G5155" t="inlineStr">
        <is>
          <t>TORSÅS</t>
        </is>
      </c>
      <c r="I5155" t="n">
        <v>1.8</v>
      </c>
      <c r="J5155" t="n">
        <v>0</v>
      </c>
      <c r="K5155" t="n">
        <v>0</v>
      </c>
      <c r="L5155" t="n">
        <v>0</v>
      </c>
      <c r="M5155" t="n">
        <v>0</v>
      </c>
      <c r="N5155" t="n">
        <v>0</v>
      </c>
      <c r="O5155" t="n">
        <v>0</v>
      </c>
      <c r="P5155" t="n">
        <v>0</v>
      </c>
      <c r="Q5155" t="n">
        <v>0</v>
      </c>
      <c r="R5155" t="n">
        <v>0</v>
      </c>
      <c r="S5155" t="n">
        <v>0</v>
      </c>
      <c r="T5155" t="n">
        <v>0</v>
      </c>
      <c r="U5155" t="n">
        <v>0</v>
      </c>
      <c r="V5155" s="2" t="inlineStr"/>
    </row>
    <row r="5156" ht="15" customHeight="1">
      <c r="A5156" t="inlineStr">
        <is>
          <t>A 36692-2023</t>
        </is>
      </c>
      <c r="B5156" t="inlineStr">
        <is>
          <t>avverkningsanmälan</t>
        </is>
      </c>
      <c r="C5156" t="inlineStr">
        <is>
          <t>Föryngringsavverkning</t>
        </is>
      </c>
      <c r="D5156" s="1" t="n">
        <v>45153</v>
      </c>
      <c r="E5156" s="1" t="n">
        <v>46323</v>
      </c>
      <c r="F5156" t="inlineStr">
        <is>
          <t>KALMAR LÄN</t>
        </is>
      </c>
      <c r="G5156" t="inlineStr">
        <is>
          <t>HULTSFRED</t>
        </is>
      </c>
      <c r="I5156" t="n">
        <v>1.3</v>
      </c>
      <c r="J5156" t="n">
        <v>0</v>
      </c>
      <c r="K5156" t="n">
        <v>0</v>
      </c>
      <c r="L5156" t="n">
        <v>0</v>
      </c>
      <c r="M5156" t="n">
        <v>0</v>
      </c>
      <c r="N5156" t="n">
        <v>0</v>
      </c>
      <c r="O5156" t="n">
        <v>0</v>
      </c>
      <c r="P5156" t="n">
        <v>0</v>
      </c>
      <c r="Q5156" t="n">
        <v>0</v>
      </c>
      <c r="R5156" t="n">
        <v>0</v>
      </c>
      <c r="S5156" t="n">
        <v>0</v>
      </c>
      <c r="T5156" t="n">
        <v>0</v>
      </c>
      <c r="U5156" t="n">
        <v>0</v>
      </c>
      <c r="V5156" s="2" t="inlineStr"/>
    </row>
    <row r="5157" ht="15" customHeight="1">
      <c r="A5157" t="inlineStr">
        <is>
          <t>A 58689-2023</t>
        </is>
      </c>
      <c r="B5157" t="inlineStr">
        <is>
          <t>avverkningsanmälan</t>
        </is>
      </c>
      <c r="C5157" t="inlineStr">
        <is>
          <t>Föryngringsavverkning</t>
        </is>
      </c>
      <c r="D5157" s="1" t="n">
        <v>45251</v>
      </c>
      <c r="E5157" s="1" t="n">
        <v>46323</v>
      </c>
      <c r="F5157" t="inlineStr">
        <is>
          <t>KALMAR LÄN</t>
        </is>
      </c>
      <c r="G5157" t="inlineStr">
        <is>
          <t>EMMABODA</t>
        </is>
      </c>
      <c r="I5157" t="n">
        <v>1.7</v>
      </c>
      <c r="J5157" t="n">
        <v>0</v>
      </c>
      <c r="K5157" t="n">
        <v>0</v>
      </c>
      <c r="L5157" t="n">
        <v>0</v>
      </c>
      <c r="M5157" t="n">
        <v>0</v>
      </c>
      <c r="N5157" t="n">
        <v>0</v>
      </c>
      <c r="O5157" t="n">
        <v>0</v>
      </c>
      <c r="P5157" t="n">
        <v>0</v>
      </c>
      <c r="Q5157" t="n">
        <v>0</v>
      </c>
      <c r="R5157" t="n">
        <v>0</v>
      </c>
      <c r="S5157" t="n">
        <v>0</v>
      </c>
      <c r="T5157" t="n">
        <v>0</v>
      </c>
      <c r="U5157" t="n">
        <v>0</v>
      </c>
      <c r="V5157" s="2" t="inlineStr"/>
    </row>
    <row r="5158" ht="15" customHeight="1">
      <c r="A5158" t="inlineStr">
        <is>
          <t>A 578-2023</t>
        </is>
      </c>
      <c r="B5158" t="inlineStr">
        <is>
          <t>avverkningsanmälan</t>
        </is>
      </c>
      <c r="C5158" t="inlineStr">
        <is>
          <t>Föryngringsavverkning</t>
        </is>
      </c>
      <c r="D5158" s="1" t="n">
        <v>44930</v>
      </c>
      <c r="E5158" s="1" t="n">
        <v>46323</v>
      </c>
      <c r="F5158" t="inlineStr">
        <is>
          <t>KALMAR LÄN</t>
        </is>
      </c>
      <c r="G5158" t="inlineStr">
        <is>
          <t>EMMABODA</t>
        </is>
      </c>
      <c r="I5158" t="n">
        <v>0.6</v>
      </c>
      <c r="J5158" t="n">
        <v>0</v>
      </c>
      <c r="K5158" t="n">
        <v>0</v>
      </c>
      <c r="L5158" t="n">
        <v>0</v>
      </c>
      <c r="M5158" t="n">
        <v>0</v>
      </c>
      <c r="N5158" t="n">
        <v>0</v>
      </c>
      <c r="O5158" t="n">
        <v>0</v>
      </c>
      <c r="P5158" t="n">
        <v>0</v>
      </c>
      <c r="Q5158" t="n">
        <v>0</v>
      </c>
      <c r="R5158" t="n">
        <v>0</v>
      </c>
      <c r="S5158" t="n">
        <v>0</v>
      </c>
      <c r="T5158" t="n">
        <v>0</v>
      </c>
      <c r="U5158" t="n">
        <v>0</v>
      </c>
      <c r="V5158" s="2" t="inlineStr"/>
    </row>
    <row r="5159" ht="15" customHeight="1">
      <c r="A5159" t="inlineStr">
        <is>
          <t>A 18739-2026</t>
        </is>
      </c>
      <c r="B5159" t="inlineStr">
        <is>
          <t>avverkningsanmälan</t>
        </is>
      </c>
      <c r="C5159" t="inlineStr">
        <is>
          <t>Föryngringsavverkning</t>
        </is>
      </c>
      <c r="D5159" s="1" t="n">
        <v>46128</v>
      </c>
      <c r="E5159" s="1" t="n">
        <v>46323</v>
      </c>
      <c r="F5159" t="inlineStr">
        <is>
          <t>KALMAR LÄN</t>
        </is>
      </c>
      <c r="G5159" t="inlineStr">
        <is>
          <t>OSKARSHAMN</t>
        </is>
      </c>
      <c r="I5159" t="n">
        <v>2.6</v>
      </c>
      <c r="J5159" t="n">
        <v>0</v>
      </c>
      <c r="K5159" t="n">
        <v>0</v>
      </c>
      <c r="L5159" t="n">
        <v>0</v>
      </c>
      <c r="M5159" t="n">
        <v>0</v>
      </c>
      <c r="N5159" t="n">
        <v>0</v>
      </c>
      <c r="O5159" t="n">
        <v>0</v>
      </c>
      <c r="P5159" t="n">
        <v>0</v>
      </c>
      <c r="Q5159" t="n">
        <v>0</v>
      </c>
      <c r="R5159" t="n">
        <v>0</v>
      </c>
      <c r="S5159" t="n">
        <v>0</v>
      </c>
      <c r="T5159" t="n">
        <v>0</v>
      </c>
      <c r="U5159" t="n">
        <v>0</v>
      </c>
      <c r="V5159" s="2" t="inlineStr"/>
    </row>
    <row r="5160" ht="15" customHeight="1">
      <c r="A5160" t="inlineStr">
        <is>
          <t>A 11235-2023</t>
        </is>
      </c>
      <c r="B5160" t="inlineStr">
        <is>
          <t>avverkningsanmälan</t>
        </is>
      </c>
      <c r="C5160" t="inlineStr">
        <is>
          <t>Föryngringsavverkning</t>
        </is>
      </c>
      <c r="D5160" s="1" t="n">
        <v>44992</v>
      </c>
      <c r="E5160" s="1" t="n">
        <v>46323</v>
      </c>
      <c r="F5160" t="inlineStr">
        <is>
          <t>KALMAR LÄN</t>
        </is>
      </c>
      <c r="G5160" t="inlineStr">
        <is>
          <t>HULTSFRED</t>
        </is>
      </c>
      <c r="I5160" t="n">
        <v>0.7</v>
      </c>
      <c r="J5160" t="n">
        <v>0</v>
      </c>
      <c r="K5160" t="n">
        <v>0</v>
      </c>
      <c r="L5160" t="n">
        <v>0</v>
      </c>
      <c r="M5160" t="n">
        <v>0</v>
      </c>
      <c r="N5160" t="n">
        <v>0</v>
      </c>
      <c r="O5160" t="n">
        <v>0</v>
      </c>
      <c r="P5160" t="n">
        <v>0</v>
      </c>
      <c r="Q5160" t="n">
        <v>0</v>
      </c>
      <c r="R5160" t="n">
        <v>0</v>
      </c>
      <c r="S5160" t="n">
        <v>0</v>
      </c>
      <c r="T5160" t="n">
        <v>0</v>
      </c>
      <c r="U5160" t="n">
        <v>0</v>
      </c>
      <c r="V5160" s="2" t="inlineStr"/>
    </row>
    <row r="5161" ht="15" customHeight="1">
      <c r="A5161" t="inlineStr">
        <is>
          <t>A 41507-2026</t>
        </is>
      </c>
      <c r="B5161" t="inlineStr">
        <is>
          <t>avverkningsanmälan</t>
        </is>
      </c>
      <c r="C5161" t="inlineStr">
        <is>
          <t>Föryngringsavverkning</t>
        </is>
      </c>
      <c r="D5161" s="1" t="n">
        <v>46301</v>
      </c>
      <c r="E5161" s="1" t="n">
        <v>46323</v>
      </c>
      <c r="F5161" t="inlineStr">
        <is>
          <t>KALMAR LÄN</t>
        </is>
      </c>
      <c r="G5161" t="inlineStr">
        <is>
          <t>HULTSFRED</t>
        </is>
      </c>
      <c r="I5161" t="n">
        <v>2.4</v>
      </c>
      <c r="J5161" t="n">
        <v>0</v>
      </c>
      <c r="K5161" t="n">
        <v>0</v>
      </c>
      <c r="L5161" t="n">
        <v>0</v>
      </c>
      <c r="M5161" t="n">
        <v>0</v>
      </c>
      <c r="N5161" t="n">
        <v>0</v>
      </c>
      <c r="O5161" t="n">
        <v>0</v>
      </c>
      <c r="P5161" t="n">
        <v>0</v>
      </c>
      <c r="Q5161" t="n">
        <v>0</v>
      </c>
      <c r="R5161" t="n">
        <v>0</v>
      </c>
      <c r="S5161" t="n">
        <v>0</v>
      </c>
      <c r="T5161" t="n">
        <v>0</v>
      </c>
      <c r="U5161" t="n">
        <v>0</v>
      </c>
      <c r="V5161" s="2" t="inlineStr"/>
    </row>
    <row r="5162" ht="15" customHeight="1">
      <c r="A5162" t="inlineStr">
        <is>
          <t>A 31780-2026</t>
        </is>
      </c>
      <c r="B5162" t="inlineStr">
        <is>
          <t>avverkningsanmälan</t>
        </is>
      </c>
      <c r="C5162" t="inlineStr">
        <is>
          <t>Föryngringsavverkning</t>
        </is>
      </c>
      <c r="D5162" s="1" t="n">
        <v>46230</v>
      </c>
      <c r="E5162" s="1" t="n">
        <v>46323</v>
      </c>
      <c r="F5162" t="inlineStr">
        <is>
          <t>KALMAR LÄN</t>
        </is>
      </c>
      <c r="G5162" t="inlineStr">
        <is>
          <t>EMMABODA</t>
        </is>
      </c>
      <c r="I5162" t="n">
        <v>1.1</v>
      </c>
      <c r="J5162" t="n">
        <v>0</v>
      </c>
      <c r="K5162" t="n">
        <v>0</v>
      </c>
      <c r="L5162" t="n">
        <v>0</v>
      </c>
      <c r="M5162" t="n">
        <v>0</v>
      </c>
      <c r="N5162" t="n">
        <v>0</v>
      </c>
      <c r="O5162" t="n">
        <v>0</v>
      </c>
      <c r="P5162" t="n">
        <v>0</v>
      </c>
      <c r="Q5162" t="n">
        <v>0</v>
      </c>
      <c r="R5162" t="n">
        <v>0</v>
      </c>
      <c r="S5162" t="n">
        <v>0</v>
      </c>
      <c r="T5162" t="n">
        <v>0</v>
      </c>
      <c r="U5162" t="n">
        <v>0</v>
      </c>
      <c r="V5162" s="2" t="inlineStr"/>
    </row>
    <row r="5163" ht="15" customHeight="1">
      <c r="A5163" t="inlineStr">
        <is>
          <t>A 60794-2021</t>
        </is>
      </c>
      <c r="B5163" t="inlineStr">
        <is>
          <t>avverkningsanmälan</t>
        </is>
      </c>
      <c r="C5163" t="inlineStr">
        <is>
          <t>Föryngringsavverkning</t>
        </is>
      </c>
      <c r="D5163" s="1" t="n">
        <v>44497</v>
      </c>
      <c r="E5163" s="1" t="n">
        <v>46323</v>
      </c>
      <c r="F5163" t="inlineStr">
        <is>
          <t>KALMAR LÄN</t>
        </is>
      </c>
      <c r="G5163" t="inlineStr">
        <is>
          <t>NYBRO</t>
        </is>
      </c>
      <c r="I5163" t="n">
        <v>1.3</v>
      </c>
      <c r="J5163" t="n">
        <v>0</v>
      </c>
      <c r="K5163" t="n">
        <v>0</v>
      </c>
      <c r="L5163" t="n">
        <v>0</v>
      </c>
      <c r="M5163" t="n">
        <v>0</v>
      </c>
      <c r="N5163" t="n">
        <v>0</v>
      </c>
      <c r="O5163" t="n">
        <v>0</v>
      </c>
      <c r="P5163" t="n">
        <v>0</v>
      </c>
      <c r="Q5163" t="n">
        <v>0</v>
      </c>
      <c r="R5163" t="n">
        <v>0</v>
      </c>
      <c r="S5163" t="n">
        <v>0</v>
      </c>
      <c r="T5163" t="n">
        <v>0</v>
      </c>
      <c r="U5163" t="n">
        <v>0</v>
      </c>
      <c r="V5163" s="2" t="inlineStr"/>
    </row>
    <row r="5164" ht="15" customHeight="1">
      <c r="A5164" t="inlineStr">
        <is>
          <t>A 18701-2026</t>
        </is>
      </c>
      <c r="B5164" t="inlineStr">
        <is>
          <t>avverkningsanmälan</t>
        </is>
      </c>
      <c r="C5164" t="inlineStr">
        <is>
          <t>Avverkning för annat ändamål</t>
        </is>
      </c>
      <c r="D5164" s="1" t="n">
        <v>46128</v>
      </c>
      <c r="E5164" s="1" t="n">
        <v>46323</v>
      </c>
      <c r="F5164" t="inlineStr">
        <is>
          <t>KALMAR LÄN</t>
        </is>
      </c>
      <c r="G5164" t="inlineStr">
        <is>
          <t>VÄSTERVIK</t>
        </is>
      </c>
      <c r="I5164" t="n">
        <v>0.5</v>
      </c>
      <c r="J5164" t="n">
        <v>0</v>
      </c>
      <c r="K5164" t="n">
        <v>0</v>
      </c>
      <c r="L5164" t="n">
        <v>0</v>
      </c>
      <c r="M5164" t="n">
        <v>0</v>
      </c>
      <c r="N5164" t="n">
        <v>0</v>
      </c>
      <c r="O5164" t="n">
        <v>0</v>
      </c>
      <c r="P5164" t="n">
        <v>0</v>
      </c>
      <c r="Q5164" t="n">
        <v>0</v>
      </c>
      <c r="R5164" t="n">
        <v>0</v>
      </c>
      <c r="S5164" t="n">
        <v>0</v>
      </c>
      <c r="T5164" t="n">
        <v>0</v>
      </c>
      <c r="U5164" t="n">
        <v>0</v>
      </c>
      <c r="V5164" s="2" t="inlineStr"/>
    </row>
    <row r="5165" ht="15" customHeight="1">
      <c r="A5165" t="inlineStr">
        <is>
          <t>A 60871-2021</t>
        </is>
      </c>
      <c r="B5165" t="inlineStr">
        <is>
          <t>avverkningsanmälan</t>
        </is>
      </c>
      <c r="C5165" t="inlineStr">
        <is>
          <t>Föryngringsavverkning</t>
        </is>
      </c>
      <c r="D5165" s="1" t="n">
        <v>44497</v>
      </c>
      <c r="E5165" s="1" t="n">
        <v>46323</v>
      </c>
      <c r="F5165" t="inlineStr">
        <is>
          <t>KALMAR LÄN</t>
        </is>
      </c>
      <c r="G5165" t="inlineStr">
        <is>
          <t>KALMAR</t>
        </is>
      </c>
      <c r="I5165" t="n">
        <v>0.5</v>
      </c>
      <c r="J5165" t="n">
        <v>0</v>
      </c>
      <c r="K5165" t="n">
        <v>0</v>
      </c>
      <c r="L5165" t="n">
        <v>0</v>
      </c>
      <c r="M5165" t="n">
        <v>0</v>
      </c>
      <c r="N5165" t="n">
        <v>0</v>
      </c>
      <c r="O5165" t="n">
        <v>0</v>
      </c>
      <c r="P5165" t="n">
        <v>0</v>
      </c>
      <c r="Q5165" t="n">
        <v>0</v>
      </c>
      <c r="R5165" t="n">
        <v>0</v>
      </c>
      <c r="S5165" t="n">
        <v>0</v>
      </c>
      <c r="T5165" t="n">
        <v>0</v>
      </c>
      <c r="U5165" t="n">
        <v>0</v>
      </c>
      <c r="V5165" s="2" t="inlineStr"/>
    </row>
    <row r="5166" ht="15" customHeight="1">
      <c r="A5166" t="inlineStr">
        <is>
          <t>A 18633-2026</t>
        </is>
      </c>
      <c r="B5166" t="inlineStr">
        <is>
          <t>avverkningsanmälan</t>
        </is>
      </c>
      <c r="C5166" t="inlineStr">
        <is>
          <t>Föryngringsavverkning</t>
        </is>
      </c>
      <c r="D5166" s="1" t="n">
        <v>46128</v>
      </c>
      <c r="E5166" s="1" t="n">
        <v>46323</v>
      </c>
      <c r="F5166" t="inlineStr">
        <is>
          <t>KALMAR LÄN</t>
        </is>
      </c>
      <c r="G5166" t="inlineStr">
        <is>
          <t>VIMMERBY</t>
        </is>
      </c>
      <c r="I5166" t="n">
        <v>2</v>
      </c>
      <c r="J5166" t="n">
        <v>0</v>
      </c>
      <c r="K5166" t="n">
        <v>0</v>
      </c>
      <c r="L5166" t="n">
        <v>0</v>
      </c>
      <c r="M5166" t="n">
        <v>0</v>
      </c>
      <c r="N5166" t="n">
        <v>0</v>
      </c>
      <c r="O5166" t="n">
        <v>0</v>
      </c>
      <c r="P5166" t="n">
        <v>0</v>
      </c>
      <c r="Q5166" t="n">
        <v>0</v>
      </c>
      <c r="R5166" t="n">
        <v>0</v>
      </c>
      <c r="S5166" t="n">
        <v>0</v>
      </c>
      <c r="T5166" t="n">
        <v>0</v>
      </c>
      <c r="U5166" t="n">
        <v>0</v>
      </c>
      <c r="V5166" s="2" t="inlineStr"/>
    </row>
    <row r="5167" ht="15" customHeight="1">
      <c r="A5167" t="inlineStr">
        <is>
          <t>A 3300-2023</t>
        </is>
      </c>
      <c r="B5167" t="inlineStr">
        <is>
          <t>avverkningsanmälan</t>
        </is>
      </c>
      <c r="C5167" t="inlineStr">
        <is>
          <t>Föryngringsavverkning</t>
        </is>
      </c>
      <c r="D5167" s="1" t="n">
        <v>44949</v>
      </c>
      <c r="E5167" s="1" t="n">
        <v>46323</v>
      </c>
      <c r="F5167" t="inlineStr">
        <is>
          <t>KALMAR LÄN</t>
        </is>
      </c>
      <c r="G5167" t="inlineStr">
        <is>
          <t>NYBRO</t>
        </is>
      </c>
      <c r="I5167" t="n">
        <v>0.5</v>
      </c>
      <c r="J5167" t="n">
        <v>0</v>
      </c>
      <c r="K5167" t="n">
        <v>0</v>
      </c>
      <c r="L5167" t="n">
        <v>0</v>
      </c>
      <c r="M5167" t="n">
        <v>0</v>
      </c>
      <c r="N5167" t="n">
        <v>0</v>
      </c>
      <c r="O5167" t="n">
        <v>0</v>
      </c>
      <c r="P5167" t="n">
        <v>0</v>
      </c>
      <c r="Q5167" t="n">
        <v>0</v>
      </c>
      <c r="R5167" t="n">
        <v>0</v>
      </c>
      <c r="S5167" t="n">
        <v>0</v>
      </c>
      <c r="T5167" t="n">
        <v>0</v>
      </c>
      <c r="U5167" t="n">
        <v>0</v>
      </c>
      <c r="V5167" s="2" t="inlineStr"/>
    </row>
    <row r="5168" ht="15" customHeight="1">
      <c r="A5168" t="inlineStr">
        <is>
          <t>A 34995-2026</t>
        </is>
      </c>
      <c r="B5168" t="inlineStr">
        <is>
          <t>avverkningsanmälan</t>
        </is>
      </c>
      <c r="C5168" t="inlineStr">
        <is>
          <t>Föryngringsavverkning</t>
        </is>
      </c>
      <c r="D5168" s="1" t="n">
        <v>46259</v>
      </c>
      <c r="E5168" s="1" t="n">
        <v>46323</v>
      </c>
      <c r="F5168" t="inlineStr">
        <is>
          <t>KALMAR LÄN</t>
        </is>
      </c>
      <c r="G5168" t="inlineStr">
        <is>
          <t>VIMMERBY</t>
        </is>
      </c>
      <c r="I5168" t="n">
        <v>1.1</v>
      </c>
      <c r="J5168" t="n">
        <v>0</v>
      </c>
      <c r="K5168" t="n">
        <v>0</v>
      </c>
      <c r="L5168" t="n">
        <v>0</v>
      </c>
      <c r="M5168" t="n">
        <v>0</v>
      </c>
      <c r="N5168" t="n">
        <v>0</v>
      </c>
      <c r="O5168" t="n">
        <v>0</v>
      </c>
      <c r="P5168" t="n">
        <v>0</v>
      </c>
      <c r="Q5168" t="n">
        <v>0</v>
      </c>
      <c r="R5168" t="n">
        <v>0</v>
      </c>
      <c r="S5168" t="n">
        <v>0</v>
      </c>
      <c r="T5168" t="n">
        <v>0</v>
      </c>
      <c r="U5168" t="n">
        <v>0</v>
      </c>
      <c r="V5168" s="2" t="inlineStr"/>
    </row>
    <row r="5169" ht="15" customHeight="1">
      <c r="A5169" t="inlineStr">
        <is>
          <t>A 14137-2023</t>
        </is>
      </c>
      <c r="B5169" t="inlineStr">
        <is>
          <t>avverkningsanmälan</t>
        </is>
      </c>
      <c r="C5169" t="inlineStr">
        <is>
          <t>Föryngringsavverkning</t>
        </is>
      </c>
      <c r="D5169" s="1" t="n">
        <v>45009</v>
      </c>
      <c r="E5169" s="1" t="n">
        <v>46323</v>
      </c>
      <c r="F5169" t="inlineStr">
        <is>
          <t>KALMAR LÄN</t>
        </is>
      </c>
      <c r="G5169" t="inlineStr">
        <is>
          <t>VIMMERBY</t>
        </is>
      </c>
      <c r="I5169" t="n">
        <v>1.3</v>
      </c>
      <c r="J5169" t="n">
        <v>0</v>
      </c>
      <c r="K5169" t="n">
        <v>0</v>
      </c>
      <c r="L5169" t="n">
        <v>0</v>
      </c>
      <c r="M5169" t="n">
        <v>0</v>
      </c>
      <c r="N5169" t="n">
        <v>0</v>
      </c>
      <c r="O5169" t="n">
        <v>0</v>
      </c>
      <c r="P5169" t="n">
        <v>0</v>
      </c>
      <c r="Q5169" t="n">
        <v>0</v>
      </c>
      <c r="R5169" t="n">
        <v>0</v>
      </c>
      <c r="S5169" t="n">
        <v>0</v>
      </c>
      <c r="T5169" t="n">
        <v>0</v>
      </c>
      <c r="U5169" t="n">
        <v>0</v>
      </c>
      <c r="V5169" s="2" t="inlineStr"/>
    </row>
    <row r="5170" ht="15" customHeight="1">
      <c r="A5170" t="inlineStr">
        <is>
          <t>A 15953-2024</t>
        </is>
      </c>
      <c r="B5170" t="inlineStr">
        <is>
          <t>avverkningsanmälan</t>
        </is>
      </c>
      <c r="C5170" t="inlineStr">
        <is>
          <t>Föryngringsavverkning</t>
        </is>
      </c>
      <c r="D5170" s="1" t="n">
        <v>45405</v>
      </c>
      <c r="E5170" s="1" t="n">
        <v>46323</v>
      </c>
      <c r="F5170" t="inlineStr">
        <is>
          <t>KALMAR LÄN</t>
        </is>
      </c>
      <c r="G5170" t="inlineStr">
        <is>
          <t>OSKARSHAMN</t>
        </is>
      </c>
      <c r="I5170" t="n">
        <v>1.3</v>
      </c>
      <c r="J5170" t="n">
        <v>0</v>
      </c>
      <c r="K5170" t="n">
        <v>0</v>
      </c>
      <c r="L5170" t="n">
        <v>0</v>
      </c>
      <c r="M5170" t="n">
        <v>0</v>
      </c>
      <c r="N5170" t="n">
        <v>0</v>
      </c>
      <c r="O5170" t="n">
        <v>0</v>
      </c>
      <c r="P5170" t="n">
        <v>0</v>
      </c>
      <c r="Q5170" t="n">
        <v>0</v>
      </c>
      <c r="R5170" t="n">
        <v>0</v>
      </c>
      <c r="S5170" t="n">
        <v>0</v>
      </c>
      <c r="T5170" t="n">
        <v>0</v>
      </c>
      <c r="U5170" t="n">
        <v>0</v>
      </c>
      <c r="V5170" s="2" t="inlineStr"/>
    </row>
    <row r="5171" ht="15" customHeight="1">
      <c r="A5171" t="inlineStr">
        <is>
          <t>A 15954-2024</t>
        </is>
      </c>
      <c r="B5171" t="inlineStr">
        <is>
          <t>avverkningsanmälan</t>
        </is>
      </c>
      <c r="C5171" t="inlineStr">
        <is>
          <t>Föryngringsavverkning</t>
        </is>
      </c>
      <c r="D5171" s="1" t="n">
        <v>45405</v>
      </c>
      <c r="E5171" s="1" t="n">
        <v>46323</v>
      </c>
      <c r="F5171" t="inlineStr">
        <is>
          <t>KALMAR LÄN</t>
        </is>
      </c>
      <c r="G5171" t="inlineStr">
        <is>
          <t>OSKARSHAMN</t>
        </is>
      </c>
      <c r="I5171" t="n">
        <v>1.1</v>
      </c>
      <c r="J5171" t="n">
        <v>0</v>
      </c>
      <c r="K5171" t="n">
        <v>0</v>
      </c>
      <c r="L5171" t="n">
        <v>0</v>
      </c>
      <c r="M5171" t="n">
        <v>0</v>
      </c>
      <c r="N5171" t="n">
        <v>0</v>
      </c>
      <c r="O5171" t="n">
        <v>0</v>
      </c>
      <c r="P5171" t="n">
        <v>0</v>
      </c>
      <c r="Q5171" t="n">
        <v>0</v>
      </c>
      <c r="R5171" t="n">
        <v>0</v>
      </c>
      <c r="S5171" t="n">
        <v>0</v>
      </c>
      <c r="T5171" t="n">
        <v>0</v>
      </c>
      <c r="U5171" t="n">
        <v>0</v>
      </c>
      <c r="V5171" s="2" t="inlineStr"/>
    </row>
    <row r="5172" ht="15" customHeight="1">
      <c r="A5172" t="inlineStr">
        <is>
          <t>A 41552-2026</t>
        </is>
      </c>
      <c r="B5172" t="inlineStr">
        <is>
          <t>avverkningsanmälan</t>
        </is>
      </c>
      <c r="C5172" t="inlineStr">
        <is>
          <t>Föryngringsavverkning</t>
        </is>
      </c>
      <c r="D5172" s="1" t="n">
        <v>46301</v>
      </c>
      <c r="E5172" s="1" t="n">
        <v>46323</v>
      </c>
      <c r="F5172" t="inlineStr">
        <is>
          <t>KALMAR LÄN</t>
        </is>
      </c>
      <c r="G5172" t="inlineStr">
        <is>
          <t>VIMMERBY</t>
        </is>
      </c>
      <c r="I5172" t="n">
        <v>2.4</v>
      </c>
      <c r="J5172" t="n">
        <v>0</v>
      </c>
      <c r="K5172" t="n">
        <v>0</v>
      </c>
      <c r="L5172" t="n">
        <v>0</v>
      </c>
      <c r="M5172" t="n">
        <v>0</v>
      </c>
      <c r="N5172" t="n">
        <v>0</v>
      </c>
      <c r="O5172" t="n">
        <v>0</v>
      </c>
      <c r="P5172" t="n">
        <v>0</v>
      </c>
      <c r="Q5172" t="n">
        <v>0</v>
      </c>
      <c r="R5172" t="n">
        <v>0</v>
      </c>
      <c r="S5172" t="n">
        <v>0</v>
      </c>
      <c r="T5172" t="n">
        <v>0</v>
      </c>
      <c r="U5172" t="n">
        <v>0</v>
      </c>
      <c r="V5172" s="2" t="inlineStr"/>
    </row>
    <row r="5173" ht="15" customHeight="1">
      <c r="A5173" t="inlineStr">
        <is>
          <t>A 34912-2026</t>
        </is>
      </c>
      <c r="B5173" t="inlineStr">
        <is>
          <t>avverkningsanmälan</t>
        </is>
      </c>
      <c r="C5173" t="inlineStr">
        <is>
          <t>Föryngringsavverkning</t>
        </is>
      </c>
      <c r="D5173" s="1" t="n">
        <v>46259</v>
      </c>
      <c r="E5173" s="1" t="n">
        <v>46323</v>
      </c>
      <c r="F5173" t="inlineStr">
        <is>
          <t>KALMAR LÄN</t>
        </is>
      </c>
      <c r="G5173" t="inlineStr">
        <is>
          <t>HULTSFRED</t>
        </is>
      </c>
      <c r="I5173" t="n">
        <v>1.2</v>
      </c>
      <c r="J5173" t="n">
        <v>0</v>
      </c>
      <c r="K5173" t="n">
        <v>0</v>
      </c>
      <c r="L5173" t="n">
        <v>0</v>
      </c>
      <c r="M5173" t="n">
        <v>0</v>
      </c>
      <c r="N5173" t="n">
        <v>0</v>
      </c>
      <c r="O5173" t="n">
        <v>0</v>
      </c>
      <c r="P5173" t="n">
        <v>0</v>
      </c>
      <c r="Q5173" t="n">
        <v>0</v>
      </c>
      <c r="R5173" t="n">
        <v>0</v>
      </c>
      <c r="S5173" t="n">
        <v>0</v>
      </c>
      <c r="T5173" t="n">
        <v>0</v>
      </c>
      <c r="U5173" t="n">
        <v>0</v>
      </c>
      <c r="V5173" s="2" t="inlineStr"/>
    </row>
    <row r="5174" ht="15" customHeight="1">
      <c r="A5174" t="inlineStr">
        <is>
          <t>A 34962-2026</t>
        </is>
      </c>
      <c r="B5174" t="inlineStr">
        <is>
          <t>avverkningsanmälan</t>
        </is>
      </c>
      <c r="C5174" t="inlineStr">
        <is>
          <t>Föryngringsavverkning</t>
        </is>
      </c>
      <c r="D5174" s="1" t="n">
        <v>46259</v>
      </c>
      <c r="E5174" s="1" t="n">
        <v>46323</v>
      </c>
      <c r="F5174" t="inlineStr">
        <is>
          <t>KALMAR LÄN</t>
        </is>
      </c>
      <c r="G5174" t="inlineStr">
        <is>
          <t>VÄSTERVIK</t>
        </is>
      </c>
      <c r="H5174" t="inlineStr">
        <is>
          <t>Sveaskog</t>
        </is>
      </c>
      <c r="I5174" t="n">
        <v>3.3</v>
      </c>
      <c r="J5174" t="n">
        <v>0</v>
      </c>
      <c r="K5174" t="n">
        <v>0</v>
      </c>
      <c r="L5174" t="n">
        <v>0</v>
      </c>
      <c r="M5174" t="n">
        <v>0</v>
      </c>
      <c r="N5174" t="n">
        <v>0</v>
      </c>
      <c r="O5174" t="n">
        <v>0</v>
      </c>
      <c r="P5174" t="n">
        <v>0</v>
      </c>
      <c r="Q5174" t="n">
        <v>0</v>
      </c>
      <c r="R5174" t="n">
        <v>0</v>
      </c>
      <c r="S5174" t="n">
        <v>0</v>
      </c>
      <c r="T5174" t="n">
        <v>0</v>
      </c>
      <c r="U5174" t="n">
        <v>0</v>
      </c>
      <c r="V5174" s="2" t="inlineStr"/>
    </row>
    <row r="5175" ht="15" customHeight="1">
      <c r="A5175" t="inlineStr">
        <is>
          <t>A 32264-2024</t>
        </is>
      </c>
      <c r="B5175" t="inlineStr">
        <is>
          <t>avverkningsanmälan</t>
        </is>
      </c>
      <c r="C5175" t="inlineStr">
        <is>
          <t>Föryngringsavverkning</t>
        </is>
      </c>
      <c r="D5175" s="1" t="n">
        <v>45512</v>
      </c>
      <c r="E5175" s="1" t="n">
        <v>46323</v>
      </c>
      <c r="F5175" t="inlineStr">
        <is>
          <t>KALMAR LÄN</t>
        </is>
      </c>
      <c r="G5175" t="inlineStr">
        <is>
          <t>NYBRO</t>
        </is>
      </c>
      <c r="I5175" t="n">
        <v>0.5</v>
      </c>
      <c r="J5175" t="n">
        <v>0</v>
      </c>
      <c r="K5175" t="n">
        <v>0</v>
      </c>
      <c r="L5175" t="n">
        <v>0</v>
      </c>
      <c r="M5175" t="n">
        <v>0</v>
      </c>
      <c r="N5175" t="n">
        <v>0</v>
      </c>
      <c r="O5175" t="n">
        <v>0</v>
      </c>
      <c r="P5175" t="n">
        <v>0</v>
      </c>
      <c r="Q5175" t="n">
        <v>0</v>
      </c>
      <c r="R5175" t="n">
        <v>0</v>
      </c>
      <c r="S5175" t="n">
        <v>0</v>
      </c>
      <c r="T5175" t="n">
        <v>0</v>
      </c>
      <c r="U5175" t="n">
        <v>0</v>
      </c>
      <c r="V5175" s="2" t="inlineStr"/>
    </row>
    <row r="5176" ht="15" customHeight="1">
      <c r="A5176" t="inlineStr">
        <is>
          <t>A 19067-2026</t>
        </is>
      </c>
      <c r="B5176" t="inlineStr">
        <is>
          <t>avverkningsanmälan</t>
        </is>
      </c>
      <c r="C5176" t="inlineStr">
        <is>
          <t>Föryngringsavverkning</t>
        </is>
      </c>
      <c r="D5176" s="1" t="n">
        <v>46132</v>
      </c>
      <c r="E5176" s="1" t="n">
        <v>46323</v>
      </c>
      <c r="F5176" t="inlineStr">
        <is>
          <t>KALMAR LÄN</t>
        </is>
      </c>
      <c r="G5176" t="inlineStr">
        <is>
          <t>VÄSTERVIK</t>
        </is>
      </c>
      <c r="H5176" t="inlineStr">
        <is>
          <t>Sveaskog</t>
        </is>
      </c>
      <c r="I5176" t="n">
        <v>2.4</v>
      </c>
      <c r="J5176" t="n">
        <v>0</v>
      </c>
      <c r="K5176" t="n">
        <v>0</v>
      </c>
      <c r="L5176" t="n">
        <v>0</v>
      </c>
      <c r="M5176" t="n">
        <v>0</v>
      </c>
      <c r="N5176" t="n">
        <v>0</v>
      </c>
      <c r="O5176" t="n">
        <v>0</v>
      </c>
      <c r="P5176" t="n">
        <v>0</v>
      </c>
      <c r="Q5176" t="n">
        <v>0</v>
      </c>
      <c r="R5176" t="n">
        <v>0</v>
      </c>
      <c r="S5176" t="n">
        <v>0</v>
      </c>
      <c r="T5176" t="n">
        <v>0</v>
      </c>
      <c r="U5176" t="n">
        <v>0</v>
      </c>
      <c r="V5176" s="2" t="inlineStr"/>
    </row>
    <row r="5177" ht="15" customHeight="1">
      <c r="A5177" t="inlineStr">
        <is>
          <t>A 41485-2026</t>
        </is>
      </c>
      <c r="B5177" t="inlineStr">
        <is>
          <t>avverkningsanmälan</t>
        </is>
      </c>
      <c r="C5177" t="inlineStr">
        <is>
          <t>Föryngringsavverkning</t>
        </is>
      </c>
      <c r="D5177" s="1" t="n">
        <v>46301</v>
      </c>
      <c r="E5177" s="1" t="n">
        <v>46323</v>
      </c>
      <c r="F5177" t="inlineStr">
        <is>
          <t>KALMAR LÄN</t>
        </is>
      </c>
      <c r="G5177" t="inlineStr">
        <is>
          <t>VÄSTERVIK</t>
        </is>
      </c>
      <c r="H5177" t="inlineStr">
        <is>
          <t>Holmen skog AB</t>
        </is>
      </c>
      <c r="I5177" t="n">
        <v>6</v>
      </c>
      <c r="J5177" t="n">
        <v>0</v>
      </c>
      <c r="K5177" t="n">
        <v>0</v>
      </c>
      <c r="L5177" t="n">
        <v>0</v>
      </c>
      <c r="M5177" t="n">
        <v>0</v>
      </c>
      <c r="N5177" t="n">
        <v>0</v>
      </c>
      <c r="O5177" t="n">
        <v>0</v>
      </c>
      <c r="P5177" t="n">
        <v>0</v>
      </c>
      <c r="Q5177" t="n">
        <v>0</v>
      </c>
      <c r="R5177" t="n">
        <v>0</v>
      </c>
      <c r="S5177" t="n">
        <v>0</v>
      </c>
      <c r="T5177" t="n">
        <v>0</v>
      </c>
      <c r="U5177" t="n">
        <v>0</v>
      </c>
      <c r="V5177" s="2" t="inlineStr"/>
    </row>
    <row r="5178" ht="15" customHeight="1">
      <c r="A5178" t="inlineStr">
        <is>
          <t>A 5769-2023</t>
        </is>
      </c>
      <c r="B5178" t="inlineStr">
        <is>
          <t>avverkningsanmälan</t>
        </is>
      </c>
      <c r="C5178" t="inlineStr">
        <is>
          <t>Föryngringsavverkning</t>
        </is>
      </c>
      <c r="D5178" s="1" t="n">
        <v>44963</v>
      </c>
      <c r="E5178" s="1" t="n">
        <v>46323</v>
      </c>
      <c r="F5178" t="inlineStr">
        <is>
          <t>KALMAR LÄN</t>
        </is>
      </c>
      <c r="G5178" t="inlineStr">
        <is>
          <t>VÄSTERVIK</t>
        </is>
      </c>
      <c r="H5178" t="inlineStr">
        <is>
          <t>Holmen skog AB</t>
        </is>
      </c>
      <c r="I5178" t="n">
        <v>1.2</v>
      </c>
      <c r="J5178" t="n">
        <v>0</v>
      </c>
      <c r="K5178" t="n">
        <v>0</v>
      </c>
      <c r="L5178" t="n">
        <v>0</v>
      </c>
      <c r="M5178" t="n">
        <v>0</v>
      </c>
      <c r="N5178" t="n">
        <v>0</v>
      </c>
      <c r="O5178" t="n">
        <v>0</v>
      </c>
      <c r="P5178" t="n">
        <v>0</v>
      </c>
      <c r="Q5178" t="n">
        <v>0</v>
      </c>
      <c r="R5178" t="n">
        <v>0</v>
      </c>
      <c r="S5178" t="n">
        <v>0</v>
      </c>
      <c r="T5178" t="n">
        <v>0</v>
      </c>
      <c r="U5178" t="n">
        <v>0</v>
      </c>
      <c r="V5178" s="2" t="inlineStr"/>
    </row>
    <row r="5179" ht="15" customHeight="1">
      <c r="A5179" t="inlineStr">
        <is>
          <t>A 19065-2026</t>
        </is>
      </c>
      <c r="B5179" t="inlineStr">
        <is>
          <t>avverkningsanmälan</t>
        </is>
      </c>
      <c r="C5179" t="inlineStr">
        <is>
          <t>Föryngringsavverkning</t>
        </is>
      </c>
      <c r="D5179" s="1" t="n">
        <v>46132</v>
      </c>
      <c r="E5179" s="1" t="n">
        <v>46323</v>
      </c>
      <c r="F5179" t="inlineStr">
        <is>
          <t>KALMAR LÄN</t>
        </is>
      </c>
      <c r="G5179" t="inlineStr">
        <is>
          <t>VÄSTERVIK</t>
        </is>
      </c>
      <c r="H5179" t="inlineStr">
        <is>
          <t>Sveaskog</t>
        </is>
      </c>
      <c r="I5179" t="n">
        <v>2.3</v>
      </c>
      <c r="J5179" t="n">
        <v>0</v>
      </c>
      <c r="K5179" t="n">
        <v>0</v>
      </c>
      <c r="L5179" t="n">
        <v>0</v>
      </c>
      <c r="M5179" t="n">
        <v>0</v>
      </c>
      <c r="N5179" t="n">
        <v>0</v>
      </c>
      <c r="O5179" t="n">
        <v>0</v>
      </c>
      <c r="P5179" t="n">
        <v>0</v>
      </c>
      <c r="Q5179" t="n">
        <v>0</v>
      </c>
      <c r="R5179" t="n">
        <v>0</v>
      </c>
      <c r="S5179" t="n">
        <v>0</v>
      </c>
      <c r="T5179" t="n">
        <v>0</v>
      </c>
      <c r="U5179" t="n">
        <v>0</v>
      </c>
      <c r="V5179" s="2" t="inlineStr"/>
    </row>
    <row r="5180" ht="15" customHeight="1">
      <c r="A5180" t="inlineStr">
        <is>
          <t>A 50428-2024</t>
        </is>
      </c>
      <c r="B5180" t="inlineStr">
        <is>
          <t>avverkningsanmälan</t>
        </is>
      </c>
      <c r="C5180" t="inlineStr">
        <is>
          <t>Föryngringsavverkning</t>
        </is>
      </c>
      <c r="D5180" s="1" t="n">
        <v>45600</v>
      </c>
      <c r="E5180" s="1" t="n">
        <v>46323</v>
      </c>
      <c r="F5180" t="inlineStr">
        <is>
          <t>KALMAR LÄN</t>
        </is>
      </c>
      <c r="G5180" t="inlineStr">
        <is>
          <t>HÖGSBY</t>
        </is>
      </c>
      <c r="I5180" t="n">
        <v>1.7</v>
      </c>
      <c r="J5180" t="n">
        <v>0</v>
      </c>
      <c r="K5180" t="n">
        <v>0</v>
      </c>
      <c r="L5180" t="n">
        <v>0</v>
      </c>
      <c r="M5180" t="n">
        <v>0</v>
      </c>
      <c r="N5180" t="n">
        <v>0</v>
      </c>
      <c r="O5180" t="n">
        <v>0</v>
      </c>
      <c r="P5180" t="n">
        <v>0</v>
      </c>
      <c r="Q5180" t="n">
        <v>0</v>
      </c>
      <c r="R5180" t="n">
        <v>0</v>
      </c>
      <c r="S5180" t="n">
        <v>0</v>
      </c>
      <c r="T5180" t="n">
        <v>0</v>
      </c>
      <c r="U5180" t="n">
        <v>0</v>
      </c>
      <c r="V5180" s="2" t="inlineStr"/>
    </row>
    <row r="5181" ht="15" customHeight="1">
      <c r="A5181" t="inlineStr">
        <is>
          <t>A 42684-2023</t>
        </is>
      </c>
      <c r="B5181" t="inlineStr">
        <is>
          <t>avverkningsanmälan</t>
        </is>
      </c>
      <c r="C5181" t="inlineStr">
        <is>
          <t>Föryngringsavverkning</t>
        </is>
      </c>
      <c r="D5181" s="1" t="n">
        <v>45181</v>
      </c>
      <c r="E5181" s="1" t="n">
        <v>46323</v>
      </c>
      <c r="F5181" t="inlineStr">
        <is>
          <t>KALMAR LÄN</t>
        </is>
      </c>
      <c r="G5181" t="inlineStr">
        <is>
          <t>EMMABODA</t>
        </is>
      </c>
      <c r="I5181" t="n">
        <v>5.3</v>
      </c>
      <c r="J5181" t="n">
        <v>0</v>
      </c>
      <c r="K5181" t="n">
        <v>0</v>
      </c>
      <c r="L5181" t="n">
        <v>0</v>
      </c>
      <c r="M5181" t="n">
        <v>0</v>
      </c>
      <c r="N5181" t="n">
        <v>0</v>
      </c>
      <c r="O5181" t="n">
        <v>0</v>
      </c>
      <c r="P5181" t="n">
        <v>0</v>
      </c>
      <c r="Q5181" t="n">
        <v>0</v>
      </c>
      <c r="R5181" t="n">
        <v>0</v>
      </c>
      <c r="S5181" t="n">
        <v>0</v>
      </c>
      <c r="T5181" t="n">
        <v>0</v>
      </c>
      <c r="U5181" t="n">
        <v>0</v>
      </c>
      <c r="V5181" s="2" t="inlineStr"/>
    </row>
    <row r="5182" ht="15" customHeight="1">
      <c r="A5182" t="inlineStr">
        <is>
          <t>A 41725-2026</t>
        </is>
      </c>
      <c r="B5182" t="inlineStr">
        <is>
          <t>avverkningsanmälan</t>
        </is>
      </c>
      <c r="C5182" t="inlineStr">
        <is>
          <t>Föryngringsavverkning</t>
        </is>
      </c>
      <c r="D5182" s="1" t="n">
        <v>46302</v>
      </c>
      <c r="E5182" s="1" t="n">
        <v>46323</v>
      </c>
      <c r="F5182" t="inlineStr">
        <is>
          <t>KALMAR LÄN</t>
        </is>
      </c>
      <c r="G5182" t="inlineStr">
        <is>
          <t>NYBRO</t>
        </is>
      </c>
      <c r="I5182" t="n">
        <v>2.5</v>
      </c>
      <c r="J5182" t="n">
        <v>0</v>
      </c>
      <c r="K5182" t="n">
        <v>0</v>
      </c>
      <c r="L5182" t="n">
        <v>0</v>
      </c>
      <c r="M5182" t="n">
        <v>0</v>
      </c>
      <c r="N5182" t="n">
        <v>0</v>
      </c>
      <c r="O5182" t="n">
        <v>0</v>
      </c>
      <c r="P5182" t="n">
        <v>0</v>
      </c>
      <c r="Q5182" t="n">
        <v>0</v>
      </c>
      <c r="R5182" t="n">
        <v>0</v>
      </c>
      <c r="S5182" t="n">
        <v>0</v>
      </c>
      <c r="T5182" t="n">
        <v>0</v>
      </c>
      <c r="U5182" t="n">
        <v>0</v>
      </c>
      <c r="V5182" s="2" t="inlineStr"/>
    </row>
    <row r="5183" ht="15" customHeight="1">
      <c r="A5183" t="inlineStr">
        <is>
          <t>A 40792-2022</t>
        </is>
      </c>
      <c r="B5183" t="inlineStr">
        <is>
          <t>avverkningsanmälan</t>
        </is>
      </c>
      <c r="C5183" t="inlineStr">
        <is>
          <t>Föryngringsavverkning</t>
        </is>
      </c>
      <c r="D5183" s="1" t="n">
        <v>44824</v>
      </c>
      <c r="E5183" s="1" t="n">
        <v>46323</v>
      </c>
      <c r="F5183" t="inlineStr">
        <is>
          <t>KALMAR LÄN</t>
        </is>
      </c>
      <c r="G5183" t="inlineStr">
        <is>
          <t>HULTSFRED</t>
        </is>
      </c>
      <c r="I5183" t="n">
        <v>5.1</v>
      </c>
      <c r="J5183" t="n">
        <v>0</v>
      </c>
      <c r="K5183" t="n">
        <v>0</v>
      </c>
      <c r="L5183" t="n">
        <v>0</v>
      </c>
      <c r="M5183" t="n">
        <v>0</v>
      </c>
      <c r="N5183" t="n">
        <v>0</v>
      </c>
      <c r="O5183" t="n">
        <v>0</v>
      </c>
      <c r="P5183" t="n">
        <v>0</v>
      </c>
      <c r="Q5183" t="n">
        <v>0</v>
      </c>
      <c r="R5183" t="n">
        <v>0</v>
      </c>
      <c r="S5183" t="n">
        <v>0</v>
      </c>
      <c r="T5183" t="n">
        <v>0</v>
      </c>
      <c r="U5183" t="n">
        <v>0</v>
      </c>
      <c r="V5183" s="2" t="inlineStr"/>
    </row>
    <row r="5184" ht="15" customHeight="1">
      <c r="A5184" t="inlineStr">
        <is>
          <t>A 41438-2026</t>
        </is>
      </c>
      <c r="B5184" t="inlineStr">
        <is>
          <t>avverkningsanmälan</t>
        </is>
      </c>
      <c r="C5184" t="inlineStr">
        <is>
          <t>Föryngringsavverkning</t>
        </is>
      </c>
      <c r="D5184" s="1" t="n">
        <v>46301</v>
      </c>
      <c r="E5184" s="1" t="n">
        <v>46323</v>
      </c>
      <c r="F5184" t="inlineStr">
        <is>
          <t>KALMAR LÄN</t>
        </is>
      </c>
      <c r="G5184" t="inlineStr">
        <is>
          <t>VIMMERBY</t>
        </is>
      </c>
      <c r="I5184" t="n">
        <v>2.8</v>
      </c>
      <c r="J5184" t="n">
        <v>0</v>
      </c>
      <c r="K5184" t="n">
        <v>0</v>
      </c>
      <c r="L5184" t="n">
        <v>0</v>
      </c>
      <c r="M5184" t="n">
        <v>0</v>
      </c>
      <c r="N5184" t="n">
        <v>0</v>
      </c>
      <c r="O5184" t="n">
        <v>0</v>
      </c>
      <c r="P5184" t="n">
        <v>0</v>
      </c>
      <c r="Q5184" t="n">
        <v>0</v>
      </c>
      <c r="R5184" t="n">
        <v>0</v>
      </c>
      <c r="S5184" t="n">
        <v>0</v>
      </c>
      <c r="T5184" t="n">
        <v>0</v>
      </c>
      <c r="U5184" t="n">
        <v>0</v>
      </c>
      <c r="V5184" s="2" t="inlineStr"/>
    </row>
    <row r="5185" ht="15" customHeight="1">
      <c r="A5185" t="inlineStr">
        <is>
          <t>A 59695-2023</t>
        </is>
      </c>
      <c r="B5185" t="inlineStr">
        <is>
          <t>avverkningsanmälan</t>
        </is>
      </c>
      <c r="C5185" t="inlineStr">
        <is>
          <t>Föryngringsavverkning</t>
        </is>
      </c>
      <c r="D5185" s="1" t="n">
        <v>45256</v>
      </c>
      <c r="E5185" s="1" t="n">
        <v>46323</v>
      </c>
      <c r="F5185" t="inlineStr">
        <is>
          <t>KALMAR LÄN</t>
        </is>
      </c>
      <c r="G5185" t="inlineStr">
        <is>
          <t>VÄSTERVIK</t>
        </is>
      </c>
      <c r="H5185" t="inlineStr">
        <is>
          <t>Sveaskog</t>
        </is>
      </c>
      <c r="I5185" t="n">
        <v>2.4</v>
      </c>
      <c r="J5185" t="n">
        <v>0</v>
      </c>
      <c r="K5185" t="n">
        <v>0</v>
      </c>
      <c r="L5185" t="n">
        <v>0</v>
      </c>
      <c r="M5185" t="n">
        <v>0</v>
      </c>
      <c r="N5185" t="n">
        <v>0</v>
      </c>
      <c r="O5185" t="n">
        <v>0</v>
      </c>
      <c r="P5185" t="n">
        <v>0</v>
      </c>
      <c r="Q5185" t="n">
        <v>0</v>
      </c>
      <c r="R5185" t="n">
        <v>0</v>
      </c>
      <c r="S5185" t="n">
        <v>0</v>
      </c>
      <c r="T5185" t="n">
        <v>0</v>
      </c>
      <c r="U5185" t="n">
        <v>0</v>
      </c>
      <c r="V5185" s="2" t="inlineStr"/>
    </row>
    <row r="5186" ht="15" customHeight="1">
      <c r="A5186" t="inlineStr">
        <is>
          <t>A 59699-2023</t>
        </is>
      </c>
      <c r="B5186" t="inlineStr">
        <is>
          <t>avverkningsanmälan</t>
        </is>
      </c>
      <c r="C5186" t="inlineStr">
        <is>
          <t>Föryngringsavverkning</t>
        </is>
      </c>
      <c r="D5186" s="1" t="n">
        <v>45256</v>
      </c>
      <c r="E5186" s="1" t="n">
        <v>46323</v>
      </c>
      <c r="F5186" t="inlineStr">
        <is>
          <t>KALMAR LÄN</t>
        </is>
      </c>
      <c r="G5186" t="inlineStr">
        <is>
          <t>OSKARSHAMN</t>
        </is>
      </c>
      <c r="I5186" t="n">
        <v>1.7</v>
      </c>
      <c r="J5186" t="n">
        <v>0</v>
      </c>
      <c r="K5186" t="n">
        <v>0</v>
      </c>
      <c r="L5186" t="n">
        <v>0</v>
      </c>
      <c r="M5186" t="n">
        <v>0</v>
      </c>
      <c r="N5186" t="n">
        <v>0</v>
      </c>
      <c r="O5186" t="n">
        <v>0</v>
      </c>
      <c r="P5186" t="n">
        <v>0</v>
      </c>
      <c r="Q5186" t="n">
        <v>0</v>
      </c>
      <c r="R5186" t="n">
        <v>0</v>
      </c>
      <c r="S5186" t="n">
        <v>0</v>
      </c>
      <c r="T5186" t="n">
        <v>0</v>
      </c>
      <c r="U5186" t="n">
        <v>0</v>
      </c>
      <c r="V5186" s="2" t="inlineStr"/>
    </row>
    <row r="5187" ht="15" customHeight="1">
      <c r="A5187" t="inlineStr">
        <is>
          <t>A 17058-2024</t>
        </is>
      </c>
      <c r="B5187" t="inlineStr">
        <is>
          <t>avverkningsanmälan</t>
        </is>
      </c>
      <c r="C5187" t="inlineStr">
        <is>
          <t>Föryngringsavverkning</t>
        </is>
      </c>
      <c r="D5187" s="1" t="n">
        <v>45412</v>
      </c>
      <c r="E5187" s="1" t="n">
        <v>46323</v>
      </c>
      <c r="F5187" t="inlineStr">
        <is>
          <t>KALMAR LÄN</t>
        </is>
      </c>
      <c r="G5187" t="inlineStr">
        <is>
          <t>HULTSFRED</t>
        </is>
      </c>
      <c r="I5187" t="n">
        <v>2.7</v>
      </c>
      <c r="J5187" t="n">
        <v>0</v>
      </c>
      <c r="K5187" t="n">
        <v>0</v>
      </c>
      <c r="L5187" t="n">
        <v>0</v>
      </c>
      <c r="M5187" t="n">
        <v>0</v>
      </c>
      <c r="N5187" t="n">
        <v>0</v>
      </c>
      <c r="O5187" t="n">
        <v>0</v>
      </c>
      <c r="P5187" t="n">
        <v>0</v>
      </c>
      <c r="Q5187" t="n">
        <v>0</v>
      </c>
      <c r="R5187" t="n">
        <v>0</v>
      </c>
      <c r="S5187" t="n">
        <v>0</v>
      </c>
      <c r="T5187" t="n">
        <v>0</v>
      </c>
      <c r="U5187" t="n">
        <v>0</v>
      </c>
      <c r="V5187" s="2" t="inlineStr"/>
    </row>
    <row r="5188" ht="15" customHeight="1">
      <c r="A5188" t="inlineStr">
        <is>
          <t>A 60603-2023</t>
        </is>
      </c>
      <c r="B5188" t="inlineStr">
        <is>
          <t>avverkningsanmälan</t>
        </is>
      </c>
      <c r="C5188" t="inlineStr">
        <is>
          <t>Föryngringsavverkning</t>
        </is>
      </c>
      <c r="D5188" s="1" t="n">
        <v>45260</v>
      </c>
      <c r="E5188" s="1" t="n">
        <v>46323</v>
      </c>
      <c r="F5188" t="inlineStr">
        <is>
          <t>KALMAR LÄN</t>
        </is>
      </c>
      <c r="G5188" t="inlineStr">
        <is>
          <t>NYBRO</t>
        </is>
      </c>
      <c r="I5188" t="n">
        <v>2.4</v>
      </c>
      <c r="J5188" t="n">
        <v>0</v>
      </c>
      <c r="K5188" t="n">
        <v>0</v>
      </c>
      <c r="L5188" t="n">
        <v>0</v>
      </c>
      <c r="M5188" t="n">
        <v>0</v>
      </c>
      <c r="N5188" t="n">
        <v>0</v>
      </c>
      <c r="O5188" t="n">
        <v>0</v>
      </c>
      <c r="P5188" t="n">
        <v>0</v>
      </c>
      <c r="Q5188" t="n">
        <v>0</v>
      </c>
      <c r="R5188" t="n">
        <v>0</v>
      </c>
      <c r="S5188" t="n">
        <v>0</v>
      </c>
      <c r="T5188" t="n">
        <v>0</v>
      </c>
      <c r="U5188" t="n">
        <v>0</v>
      </c>
      <c r="V5188" s="2" t="inlineStr"/>
    </row>
    <row r="5189" ht="15" customHeight="1">
      <c r="A5189" t="inlineStr">
        <is>
          <t>A 7090-2024</t>
        </is>
      </c>
      <c r="B5189" t="inlineStr">
        <is>
          <t>avverkningsanmälan</t>
        </is>
      </c>
      <c r="C5189" t="inlineStr">
        <is>
          <t>Föryngringsavverkning</t>
        </is>
      </c>
      <c r="D5189" s="1" t="n">
        <v>45343</v>
      </c>
      <c r="E5189" s="1" t="n">
        <v>46323</v>
      </c>
      <c r="F5189" t="inlineStr">
        <is>
          <t>KALMAR LÄN</t>
        </is>
      </c>
      <c r="G5189" t="inlineStr">
        <is>
          <t>VÄSTERVIK</t>
        </is>
      </c>
      <c r="I5189" t="n">
        <v>1.2</v>
      </c>
      <c r="J5189" t="n">
        <v>0</v>
      </c>
      <c r="K5189" t="n">
        <v>0</v>
      </c>
      <c r="L5189" t="n">
        <v>0</v>
      </c>
      <c r="M5189" t="n">
        <v>0</v>
      </c>
      <c r="N5189" t="n">
        <v>0</v>
      </c>
      <c r="O5189" t="n">
        <v>0</v>
      </c>
      <c r="P5189" t="n">
        <v>0</v>
      </c>
      <c r="Q5189" t="n">
        <v>0</v>
      </c>
      <c r="R5189" t="n">
        <v>0</v>
      </c>
      <c r="S5189" t="n">
        <v>0</v>
      </c>
      <c r="T5189" t="n">
        <v>0</v>
      </c>
      <c r="U5189" t="n">
        <v>0</v>
      </c>
      <c r="V5189" s="2" t="inlineStr"/>
    </row>
    <row r="5190" ht="15" customHeight="1">
      <c r="A5190" t="inlineStr">
        <is>
          <t>A 34907-2026</t>
        </is>
      </c>
      <c r="B5190" t="inlineStr">
        <is>
          <t>avverkningsanmälan</t>
        </is>
      </c>
      <c r="C5190" t="inlineStr">
        <is>
          <t>Föryngringsavverkning</t>
        </is>
      </c>
      <c r="D5190" s="1" t="n">
        <v>46255</v>
      </c>
      <c r="E5190" s="1" t="n">
        <v>46323</v>
      </c>
      <c r="F5190" t="inlineStr">
        <is>
          <t>KALMAR LÄN</t>
        </is>
      </c>
      <c r="G5190" t="inlineStr">
        <is>
          <t>EMMABODA</t>
        </is>
      </c>
      <c r="H5190" t="inlineStr">
        <is>
          <t>Kyrkan</t>
        </is>
      </c>
      <c r="I5190" t="n">
        <v>1.4</v>
      </c>
      <c r="J5190" t="n">
        <v>0</v>
      </c>
      <c r="K5190" t="n">
        <v>0</v>
      </c>
      <c r="L5190" t="n">
        <v>0</v>
      </c>
      <c r="M5190" t="n">
        <v>0</v>
      </c>
      <c r="N5190" t="n">
        <v>0</v>
      </c>
      <c r="O5190" t="n">
        <v>0</v>
      </c>
      <c r="P5190" t="n">
        <v>0</v>
      </c>
      <c r="Q5190" t="n">
        <v>0</v>
      </c>
      <c r="R5190" t="n">
        <v>0</v>
      </c>
      <c r="S5190" t="n">
        <v>0</v>
      </c>
      <c r="T5190" t="n">
        <v>0</v>
      </c>
      <c r="U5190" t="n">
        <v>0</v>
      </c>
      <c r="V5190" s="2" t="inlineStr"/>
    </row>
    <row r="5191" ht="15" customHeight="1">
      <c r="A5191" t="inlineStr">
        <is>
          <t>A 34928-2026</t>
        </is>
      </c>
      <c r="B5191" t="inlineStr">
        <is>
          <t>avverkningsanmälan</t>
        </is>
      </c>
      <c r="C5191" t="inlineStr">
        <is>
          <t>Föryngringsavverkning</t>
        </is>
      </c>
      <c r="D5191" s="1" t="n">
        <v>46259</v>
      </c>
      <c r="E5191" s="1" t="n">
        <v>46323</v>
      </c>
      <c r="F5191" t="inlineStr">
        <is>
          <t>KALMAR LÄN</t>
        </is>
      </c>
      <c r="G5191" t="inlineStr">
        <is>
          <t>HULTSFRED</t>
        </is>
      </c>
      <c r="I5191" t="n">
        <v>3.8</v>
      </c>
      <c r="J5191" t="n">
        <v>0</v>
      </c>
      <c r="K5191" t="n">
        <v>0</v>
      </c>
      <c r="L5191" t="n">
        <v>0</v>
      </c>
      <c r="M5191" t="n">
        <v>0</v>
      </c>
      <c r="N5191" t="n">
        <v>0</v>
      </c>
      <c r="O5191" t="n">
        <v>0</v>
      </c>
      <c r="P5191" t="n">
        <v>0</v>
      </c>
      <c r="Q5191" t="n">
        <v>0</v>
      </c>
      <c r="R5191" t="n">
        <v>0</v>
      </c>
      <c r="S5191" t="n">
        <v>0</v>
      </c>
      <c r="T5191" t="n">
        <v>0</v>
      </c>
      <c r="U5191" t="n">
        <v>0</v>
      </c>
      <c r="V5191" s="2" t="inlineStr"/>
    </row>
    <row r="5192" ht="15" customHeight="1">
      <c r="A5192" t="inlineStr">
        <is>
          <t>A 9210-2026</t>
        </is>
      </c>
      <c r="B5192" t="inlineStr">
        <is>
          <t>avverkningsanmälan</t>
        </is>
      </c>
      <c r="C5192" t="inlineStr">
        <is>
          <t>Föryngringsavverkning</t>
        </is>
      </c>
      <c r="D5192" s="1" t="n">
        <v>46070</v>
      </c>
      <c r="E5192" s="1" t="n">
        <v>46323</v>
      </c>
      <c r="F5192" t="inlineStr">
        <is>
          <t>KALMAR LÄN</t>
        </is>
      </c>
      <c r="G5192" t="inlineStr">
        <is>
          <t>KALMAR</t>
        </is>
      </c>
      <c r="I5192" t="n">
        <v>0.9</v>
      </c>
      <c r="J5192" t="n">
        <v>0</v>
      </c>
      <c r="K5192" t="n">
        <v>0</v>
      </c>
      <c r="L5192" t="n">
        <v>0</v>
      </c>
      <c r="M5192" t="n">
        <v>0</v>
      </c>
      <c r="N5192" t="n">
        <v>0</v>
      </c>
      <c r="O5192" t="n">
        <v>0</v>
      </c>
      <c r="P5192" t="n">
        <v>0</v>
      </c>
      <c r="Q5192" t="n">
        <v>0</v>
      </c>
      <c r="R5192" t="n">
        <v>0</v>
      </c>
      <c r="S5192" t="n">
        <v>0</v>
      </c>
      <c r="T5192" t="n">
        <v>0</v>
      </c>
      <c r="U5192" t="n">
        <v>0</v>
      </c>
      <c r="V5192" s="2" t="inlineStr"/>
    </row>
    <row r="5193" ht="15" customHeight="1">
      <c r="A5193" t="inlineStr">
        <is>
          <t>A 30503-2023</t>
        </is>
      </c>
      <c r="B5193" t="inlineStr">
        <is>
          <t>avverkningsanmälan</t>
        </is>
      </c>
      <c r="C5193" t="inlineStr">
        <is>
          <t>Avverkning för annat ändamål</t>
        </is>
      </c>
      <c r="D5193" s="1" t="n">
        <v>45111</v>
      </c>
      <c r="E5193" s="1" t="n">
        <v>46323</v>
      </c>
      <c r="F5193" t="inlineStr">
        <is>
          <t>KALMAR LÄN</t>
        </is>
      </c>
      <c r="G5193" t="inlineStr">
        <is>
          <t>VIMMERBY</t>
        </is>
      </c>
      <c r="I5193" t="n">
        <v>0.5</v>
      </c>
      <c r="J5193" t="n">
        <v>0</v>
      </c>
      <c r="K5193" t="n">
        <v>0</v>
      </c>
      <c r="L5193" t="n">
        <v>0</v>
      </c>
      <c r="M5193" t="n">
        <v>0</v>
      </c>
      <c r="N5193" t="n">
        <v>0</v>
      </c>
      <c r="O5193" t="n">
        <v>0</v>
      </c>
      <c r="P5193" t="n">
        <v>0</v>
      </c>
      <c r="Q5193" t="n">
        <v>0</v>
      </c>
      <c r="R5193" t="n">
        <v>0</v>
      </c>
      <c r="S5193" t="n">
        <v>0</v>
      </c>
      <c r="T5193" t="n">
        <v>0</v>
      </c>
      <c r="U5193" t="n">
        <v>0</v>
      </c>
      <c r="V5193" s="2" t="inlineStr"/>
    </row>
    <row r="5194" ht="15" customHeight="1">
      <c r="A5194" t="inlineStr">
        <is>
          <t>A 44030-2023</t>
        </is>
      </c>
      <c r="B5194" t="inlineStr">
        <is>
          <t>avverkningsanmälan</t>
        </is>
      </c>
      <c r="C5194" t="inlineStr">
        <is>
          <t>Föryngringsavverkning</t>
        </is>
      </c>
      <c r="D5194" s="1" t="n">
        <v>45188</v>
      </c>
      <c r="E5194" s="1" t="n">
        <v>46323</v>
      </c>
      <c r="F5194" t="inlineStr">
        <is>
          <t>KALMAR LÄN</t>
        </is>
      </c>
      <c r="G5194" t="inlineStr">
        <is>
          <t>NYBRO</t>
        </is>
      </c>
      <c r="I5194" t="n">
        <v>1.9</v>
      </c>
      <c r="J5194" t="n">
        <v>0</v>
      </c>
      <c r="K5194" t="n">
        <v>0</v>
      </c>
      <c r="L5194" t="n">
        <v>0</v>
      </c>
      <c r="M5194" t="n">
        <v>0</v>
      </c>
      <c r="N5194" t="n">
        <v>0</v>
      </c>
      <c r="O5194" t="n">
        <v>0</v>
      </c>
      <c r="P5194" t="n">
        <v>0</v>
      </c>
      <c r="Q5194" t="n">
        <v>0</v>
      </c>
      <c r="R5194" t="n">
        <v>0</v>
      </c>
      <c r="S5194" t="n">
        <v>0</v>
      </c>
      <c r="T5194" t="n">
        <v>0</v>
      </c>
      <c r="U5194" t="n">
        <v>0</v>
      </c>
      <c r="V5194" s="2" t="inlineStr"/>
    </row>
    <row r="5195" ht="15" customHeight="1">
      <c r="A5195" t="inlineStr">
        <is>
          <t>A 17194-2023</t>
        </is>
      </c>
      <c r="B5195" t="inlineStr">
        <is>
          <t>avverkningsanmälan</t>
        </is>
      </c>
      <c r="C5195" t="inlineStr">
        <is>
          <t>Föryngringsavverkning</t>
        </is>
      </c>
      <c r="D5195" s="1" t="n">
        <v>45034</v>
      </c>
      <c r="E5195" s="1" t="n">
        <v>46323</v>
      </c>
      <c r="F5195" t="inlineStr">
        <is>
          <t>KALMAR LÄN</t>
        </is>
      </c>
      <c r="G5195" t="inlineStr">
        <is>
          <t>OSKARSHAMN</t>
        </is>
      </c>
      <c r="I5195" t="n">
        <v>0.6</v>
      </c>
      <c r="J5195" t="n">
        <v>0</v>
      </c>
      <c r="K5195" t="n">
        <v>0</v>
      </c>
      <c r="L5195" t="n">
        <v>0</v>
      </c>
      <c r="M5195" t="n">
        <v>0</v>
      </c>
      <c r="N5195" t="n">
        <v>0</v>
      </c>
      <c r="O5195" t="n">
        <v>0</v>
      </c>
      <c r="P5195" t="n">
        <v>0</v>
      </c>
      <c r="Q5195" t="n">
        <v>0</v>
      </c>
      <c r="R5195" t="n">
        <v>0</v>
      </c>
      <c r="S5195" t="n">
        <v>0</v>
      </c>
      <c r="T5195" t="n">
        <v>0</v>
      </c>
      <c r="U5195" t="n">
        <v>0</v>
      </c>
      <c r="V5195" s="2" t="inlineStr"/>
    </row>
    <row r="5196" ht="15" customHeight="1">
      <c r="A5196" t="inlineStr">
        <is>
          <t>A 10111-2024</t>
        </is>
      </c>
      <c r="B5196" t="inlineStr">
        <is>
          <t>avverkningsanmälan</t>
        </is>
      </c>
      <c r="C5196" t="inlineStr">
        <is>
          <t>Avverkning för annat ändamål</t>
        </is>
      </c>
      <c r="D5196" s="1" t="n">
        <v>45364</v>
      </c>
      <c r="E5196" s="1" t="n">
        <v>46323</v>
      </c>
      <c r="F5196" t="inlineStr">
        <is>
          <t>KALMAR LÄN</t>
        </is>
      </c>
      <c r="G5196" t="inlineStr">
        <is>
          <t>MÖNSTERÅS</t>
        </is>
      </c>
      <c r="I5196" t="n">
        <v>5.2</v>
      </c>
      <c r="J5196" t="n">
        <v>0</v>
      </c>
      <c r="K5196" t="n">
        <v>0</v>
      </c>
      <c r="L5196" t="n">
        <v>0</v>
      </c>
      <c r="M5196" t="n">
        <v>0</v>
      </c>
      <c r="N5196" t="n">
        <v>0</v>
      </c>
      <c r="O5196" t="n">
        <v>0</v>
      </c>
      <c r="P5196" t="n">
        <v>0</v>
      </c>
      <c r="Q5196" t="n">
        <v>0</v>
      </c>
      <c r="R5196" t="n">
        <v>0</v>
      </c>
      <c r="S5196" t="n">
        <v>0</v>
      </c>
      <c r="T5196" t="n">
        <v>0</v>
      </c>
      <c r="U5196" t="n">
        <v>0</v>
      </c>
      <c r="V5196" s="2" t="inlineStr"/>
    </row>
    <row r="5197" ht="15" customHeight="1">
      <c r="A5197" t="inlineStr">
        <is>
          <t>A 19457-2026</t>
        </is>
      </c>
      <c r="B5197" t="inlineStr">
        <is>
          <t>avverkningsanmälan</t>
        </is>
      </c>
      <c r="C5197" t="inlineStr">
        <is>
          <t>Föryngringsavverkning</t>
        </is>
      </c>
      <c r="D5197" s="1" t="n">
        <v>46133</v>
      </c>
      <c r="E5197" s="1" t="n">
        <v>46323</v>
      </c>
      <c r="F5197" t="inlineStr">
        <is>
          <t>KALMAR LÄN</t>
        </is>
      </c>
      <c r="G5197" t="inlineStr">
        <is>
          <t>NYBRO</t>
        </is>
      </c>
      <c r="I5197" t="n">
        <v>1.2</v>
      </c>
      <c r="J5197" t="n">
        <v>0</v>
      </c>
      <c r="K5197" t="n">
        <v>0</v>
      </c>
      <c r="L5197" t="n">
        <v>0</v>
      </c>
      <c r="M5197" t="n">
        <v>0</v>
      </c>
      <c r="N5197" t="n">
        <v>0</v>
      </c>
      <c r="O5197" t="n">
        <v>0</v>
      </c>
      <c r="P5197" t="n">
        <v>0</v>
      </c>
      <c r="Q5197" t="n">
        <v>0</v>
      </c>
      <c r="R5197" t="n">
        <v>0</v>
      </c>
      <c r="S5197" t="n">
        <v>0</v>
      </c>
      <c r="T5197" t="n">
        <v>0</v>
      </c>
      <c r="U5197" t="n">
        <v>0</v>
      </c>
      <c r="V5197" s="2" t="inlineStr"/>
    </row>
    <row r="5198" ht="15" customHeight="1">
      <c r="A5198" t="inlineStr">
        <is>
          <t>A 19525-2026</t>
        </is>
      </c>
      <c r="B5198" t="inlineStr">
        <is>
          <t>avverkningsanmälan</t>
        </is>
      </c>
      <c r="C5198" t="inlineStr">
        <is>
          <t>Föryngringsavverkning</t>
        </is>
      </c>
      <c r="D5198" s="1" t="n">
        <v>46134</v>
      </c>
      <c r="E5198" s="1" t="n">
        <v>46323</v>
      </c>
      <c r="F5198" t="inlineStr">
        <is>
          <t>KALMAR LÄN</t>
        </is>
      </c>
      <c r="G5198" t="inlineStr">
        <is>
          <t>MÖNSTERÅS</t>
        </is>
      </c>
      <c r="I5198" t="n">
        <v>2</v>
      </c>
      <c r="J5198" t="n">
        <v>0</v>
      </c>
      <c r="K5198" t="n">
        <v>0</v>
      </c>
      <c r="L5198" t="n">
        <v>0</v>
      </c>
      <c r="M5198" t="n">
        <v>0</v>
      </c>
      <c r="N5198" t="n">
        <v>0</v>
      </c>
      <c r="O5198" t="n">
        <v>0</v>
      </c>
      <c r="P5198" t="n">
        <v>0</v>
      </c>
      <c r="Q5198" t="n">
        <v>0</v>
      </c>
      <c r="R5198" t="n">
        <v>0</v>
      </c>
      <c r="S5198" t="n">
        <v>0</v>
      </c>
      <c r="T5198" t="n">
        <v>0</v>
      </c>
      <c r="U5198" t="n">
        <v>0</v>
      </c>
      <c r="V5198" s="2" t="inlineStr"/>
    </row>
    <row r="5199" ht="15" customHeight="1">
      <c r="A5199" t="inlineStr">
        <is>
          <t>A 41533-2026</t>
        </is>
      </c>
      <c r="B5199" t="inlineStr">
        <is>
          <t>avverkningsanmälan</t>
        </is>
      </c>
      <c r="C5199" t="inlineStr">
        <is>
          <t>Föryngringsavverkning</t>
        </is>
      </c>
      <c r="D5199" s="1" t="n">
        <v>46301</v>
      </c>
      <c r="E5199" s="1" t="n">
        <v>46323</v>
      </c>
      <c r="F5199" t="inlineStr">
        <is>
          <t>KALMAR LÄN</t>
        </is>
      </c>
      <c r="G5199" t="inlineStr">
        <is>
          <t>HULTSFRED</t>
        </is>
      </c>
      <c r="I5199" t="n">
        <v>1.6</v>
      </c>
      <c r="J5199" t="n">
        <v>0</v>
      </c>
      <c r="K5199" t="n">
        <v>0</v>
      </c>
      <c r="L5199" t="n">
        <v>0</v>
      </c>
      <c r="M5199" t="n">
        <v>0</v>
      </c>
      <c r="N5199" t="n">
        <v>0</v>
      </c>
      <c r="O5199" t="n">
        <v>0</v>
      </c>
      <c r="P5199" t="n">
        <v>0</v>
      </c>
      <c r="Q5199" t="n">
        <v>0</v>
      </c>
      <c r="R5199" t="n">
        <v>0</v>
      </c>
      <c r="S5199" t="n">
        <v>0</v>
      </c>
      <c r="T5199" t="n">
        <v>0</v>
      </c>
      <c r="U5199" t="n">
        <v>0</v>
      </c>
      <c r="V5199" s="2" t="inlineStr"/>
    </row>
    <row r="5200" ht="15" customHeight="1">
      <c r="A5200" t="inlineStr">
        <is>
          <t>A 19600-2026</t>
        </is>
      </c>
      <c r="B5200" t="inlineStr">
        <is>
          <t>avverkningsanmälan</t>
        </is>
      </c>
      <c r="C5200" t="inlineStr">
        <is>
          <t>Föryngringsavverkning</t>
        </is>
      </c>
      <c r="D5200" s="1" t="n">
        <v>46134</v>
      </c>
      <c r="E5200" s="1" t="n">
        <v>46323</v>
      </c>
      <c r="F5200" t="inlineStr">
        <is>
          <t>KALMAR LÄN</t>
        </is>
      </c>
      <c r="G5200" t="inlineStr">
        <is>
          <t>KALMAR</t>
        </is>
      </c>
      <c r="I5200" t="n">
        <v>1.7</v>
      </c>
      <c r="J5200" t="n">
        <v>0</v>
      </c>
      <c r="K5200" t="n">
        <v>0</v>
      </c>
      <c r="L5200" t="n">
        <v>0</v>
      </c>
      <c r="M5200" t="n">
        <v>0</v>
      </c>
      <c r="N5200" t="n">
        <v>0</v>
      </c>
      <c r="O5200" t="n">
        <v>0</v>
      </c>
      <c r="P5200" t="n">
        <v>0</v>
      </c>
      <c r="Q5200" t="n">
        <v>0</v>
      </c>
      <c r="R5200" t="n">
        <v>0</v>
      </c>
      <c r="S5200" t="n">
        <v>0</v>
      </c>
      <c r="T5200" t="n">
        <v>0</v>
      </c>
      <c r="U5200" t="n">
        <v>0</v>
      </c>
      <c r="V5200" s="2" t="inlineStr"/>
    </row>
    <row r="5201" ht="15" customHeight="1">
      <c r="A5201" t="inlineStr">
        <is>
          <t>A 60026-2022</t>
        </is>
      </c>
      <c r="B5201" t="inlineStr">
        <is>
          <t>avverkningsanmälan</t>
        </is>
      </c>
      <c r="C5201" t="inlineStr">
        <is>
          <t>Föryngringsavverkning</t>
        </is>
      </c>
      <c r="D5201" s="1" t="n">
        <v>44909</v>
      </c>
      <c r="E5201" s="1" t="n">
        <v>46323</v>
      </c>
      <c r="F5201" t="inlineStr">
        <is>
          <t>KALMAR LÄN</t>
        </is>
      </c>
      <c r="G5201" t="inlineStr">
        <is>
          <t>NYBRO</t>
        </is>
      </c>
      <c r="I5201" t="n">
        <v>7.6</v>
      </c>
      <c r="J5201" t="n">
        <v>0</v>
      </c>
      <c r="K5201" t="n">
        <v>0</v>
      </c>
      <c r="L5201" t="n">
        <v>0</v>
      </c>
      <c r="M5201" t="n">
        <v>0</v>
      </c>
      <c r="N5201" t="n">
        <v>0</v>
      </c>
      <c r="O5201" t="n">
        <v>0</v>
      </c>
      <c r="P5201" t="n">
        <v>0</v>
      </c>
      <c r="Q5201" t="n">
        <v>0</v>
      </c>
      <c r="R5201" t="n">
        <v>0</v>
      </c>
      <c r="S5201" t="n">
        <v>0</v>
      </c>
      <c r="T5201" t="n">
        <v>0</v>
      </c>
      <c r="U5201" t="n">
        <v>0</v>
      </c>
      <c r="V5201" s="2" t="inlineStr"/>
    </row>
    <row r="5202" ht="15" customHeight="1">
      <c r="A5202" t="inlineStr">
        <is>
          <t>A 60110-2022</t>
        </is>
      </c>
      <c r="B5202" t="inlineStr">
        <is>
          <t>avverkningsanmälan</t>
        </is>
      </c>
      <c r="C5202" t="inlineStr">
        <is>
          <t>Föryngringsavverkning</t>
        </is>
      </c>
      <c r="D5202" s="1" t="n">
        <v>44909</v>
      </c>
      <c r="E5202" s="1" t="n">
        <v>46323</v>
      </c>
      <c r="F5202" t="inlineStr">
        <is>
          <t>KALMAR LÄN</t>
        </is>
      </c>
      <c r="G5202" t="inlineStr">
        <is>
          <t>VIMMERBY</t>
        </is>
      </c>
      <c r="I5202" t="n">
        <v>1.7</v>
      </c>
      <c r="J5202" t="n">
        <v>0</v>
      </c>
      <c r="K5202" t="n">
        <v>0</v>
      </c>
      <c r="L5202" t="n">
        <v>0</v>
      </c>
      <c r="M5202" t="n">
        <v>0</v>
      </c>
      <c r="N5202" t="n">
        <v>0</v>
      </c>
      <c r="O5202" t="n">
        <v>0</v>
      </c>
      <c r="P5202" t="n">
        <v>0</v>
      </c>
      <c r="Q5202" t="n">
        <v>0</v>
      </c>
      <c r="R5202" t="n">
        <v>0</v>
      </c>
      <c r="S5202" t="n">
        <v>0</v>
      </c>
      <c r="T5202" t="n">
        <v>0</v>
      </c>
      <c r="U5202" t="n">
        <v>0</v>
      </c>
      <c r="V5202" s="2" t="inlineStr"/>
    </row>
    <row r="5203" ht="15" customHeight="1">
      <c r="A5203" t="inlineStr">
        <is>
          <t>A 16841-2026</t>
        </is>
      </c>
      <c r="B5203" t="inlineStr">
        <is>
          <t>avverkningsanmälan</t>
        </is>
      </c>
      <c r="C5203" t="inlineStr">
        <is>
          <t>Föryngringsavverkning</t>
        </is>
      </c>
      <c r="D5203" s="1" t="n">
        <v>46113</v>
      </c>
      <c r="E5203" s="1" t="n">
        <v>46323</v>
      </c>
      <c r="F5203" t="inlineStr">
        <is>
          <t>KALMAR LÄN</t>
        </is>
      </c>
      <c r="G5203" t="inlineStr">
        <is>
          <t>TORSÅS</t>
        </is>
      </c>
      <c r="I5203" t="n">
        <v>6.5</v>
      </c>
      <c r="J5203" t="n">
        <v>0</v>
      </c>
      <c r="K5203" t="n">
        <v>0</v>
      </c>
      <c r="L5203" t="n">
        <v>0</v>
      </c>
      <c r="M5203" t="n">
        <v>0</v>
      </c>
      <c r="N5203" t="n">
        <v>0</v>
      </c>
      <c r="O5203" t="n">
        <v>0</v>
      </c>
      <c r="P5203" t="n">
        <v>0</v>
      </c>
      <c r="Q5203" t="n">
        <v>0</v>
      </c>
      <c r="R5203" t="n">
        <v>0</v>
      </c>
      <c r="S5203" t="n">
        <v>0</v>
      </c>
      <c r="T5203" t="n">
        <v>0</v>
      </c>
      <c r="U5203" t="n">
        <v>0</v>
      </c>
      <c r="V5203" s="2" t="inlineStr"/>
    </row>
    <row r="5204" ht="15" customHeight="1">
      <c r="A5204" t="inlineStr">
        <is>
          <t>A 48923-2023</t>
        </is>
      </c>
      <c r="B5204" t="inlineStr">
        <is>
          <t>avverkningsanmälan</t>
        </is>
      </c>
      <c r="C5204" t="inlineStr">
        <is>
          <t>Föryngringsavverkning</t>
        </is>
      </c>
      <c r="D5204" s="1" t="n">
        <v>45209</v>
      </c>
      <c r="E5204" s="1" t="n">
        <v>46323</v>
      </c>
      <c r="F5204" t="inlineStr">
        <is>
          <t>KALMAR LÄN</t>
        </is>
      </c>
      <c r="G5204" t="inlineStr">
        <is>
          <t>OSKARSHAMN</t>
        </is>
      </c>
      <c r="I5204" t="n">
        <v>1.9</v>
      </c>
      <c r="J5204" t="n">
        <v>0</v>
      </c>
      <c r="K5204" t="n">
        <v>0</v>
      </c>
      <c r="L5204" t="n">
        <v>0</v>
      </c>
      <c r="M5204" t="n">
        <v>0</v>
      </c>
      <c r="N5204" t="n">
        <v>0</v>
      </c>
      <c r="O5204" t="n">
        <v>0</v>
      </c>
      <c r="P5204" t="n">
        <v>0</v>
      </c>
      <c r="Q5204" t="n">
        <v>0</v>
      </c>
      <c r="R5204" t="n">
        <v>0</v>
      </c>
      <c r="S5204" t="n">
        <v>0</v>
      </c>
      <c r="T5204" t="n">
        <v>0</v>
      </c>
      <c r="U5204" t="n">
        <v>0</v>
      </c>
      <c r="V5204" s="2" t="inlineStr"/>
    </row>
    <row r="5205" ht="15" customHeight="1">
      <c r="A5205" t="inlineStr">
        <is>
          <t>A 24779-2022</t>
        </is>
      </c>
      <c r="B5205" t="inlineStr">
        <is>
          <t>avverkningsanmälan</t>
        </is>
      </c>
      <c r="C5205" t="inlineStr">
        <is>
          <t>Föryngringsavverkning</t>
        </is>
      </c>
      <c r="D5205" s="1" t="n">
        <v>44728</v>
      </c>
      <c r="E5205" s="1" t="n">
        <v>46323</v>
      </c>
      <c r="F5205" t="inlineStr">
        <is>
          <t>KALMAR LÄN</t>
        </is>
      </c>
      <c r="G5205" t="inlineStr">
        <is>
          <t>EMMABODA</t>
        </is>
      </c>
      <c r="I5205" t="n">
        <v>1.3</v>
      </c>
      <c r="J5205" t="n">
        <v>0</v>
      </c>
      <c r="K5205" t="n">
        <v>0</v>
      </c>
      <c r="L5205" t="n">
        <v>0</v>
      </c>
      <c r="M5205" t="n">
        <v>0</v>
      </c>
      <c r="N5205" t="n">
        <v>0</v>
      </c>
      <c r="O5205" t="n">
        <v>0</v>
      </c>
      <c r="P5205" t="n">
        <v>0</v>
      </c>
      <c r="Q5205" t="n">
        <v>0</v>
      </c>
      <c r="R5205" t="n">
        <v>0</v>
      </c>
      <c r="S5205" t="n">
        <v>0</v>
      </c>
      <c r="T5205" t="n">
        <v>0</v>
      </c>
      <c r="U5205" t="n">
        <v>0</v>
      </c>
      <c r="V5205" s="2" t="inlineStr"/>
    </row>
    <row r="5206" ht="15" customHeight="1">
      <c r="A5206" t="inlineStr">
        <is>
          <t>A 41326-2026</t>
        </is>
      </c>
      <c r="B5206" t="inlineStr">
        <is>
          <t>avverkningsanmälan</t>
        </is>
      </c>
      <c r="C5206" t="inlineStr">
        <is>
          <t>Avverkning för annat ändamål</t>
        </is>
      </c>
      <c r="D5206" s="1" t="n">
        <v>46301</v>
      </c>
      <c r="E5206" s="1" t="n">
        <v>46323</v>
      </c>
      <c r="F5206" t="inlineStr">
        <is>
          <t>KALMAR LÄN</t>
        </is>
      </c>
      <c r="G5206" t="inlineStr">
        <is>
          <t>NYBRO</t>
        </is>
      </c>
      <c r="I5206" t="n">
        <v>0.4</v>
      </c>
      <c r="J5206" t="n">
        <v>0</v>
      </c>
      <c r="K5206" t="n">
        <v>0</v>
      </c>
      <c r="L5206" t="n">
        <v>0</v>
      </c>
      <c r="M5206" t="n">
        <v>0</v>
      </c>
      <c r="N5206" t="n">
        <v>0</v>
      </c>
      <c r="O5206" t="n">
        <v>0</v>
      </c>
      <c r="P5206" t="n">
        <v>0</v>
      </c>
      <c r="Q5206" t="n">
        <v>0</v>
      </c>
      <c r="R5206" t="n">
        <v>0</v>
      </c>
      <c r="S5206" t="n">
        <v>0</v>
      </c>
      <c r="T5206" t="n">
        <v>0</v>
      </c>
      <c r="U5206" t="n">
        <v>0</v>
      </c>
      <c r="V5206" s="2" t="inlineStr"/>
    </row>
    <row r="5207" ht="15" customHeight="1">
      <c r="A5207" t="inlineStr">
        <is>
          <t>A 12943-2024</t>
        </is>
      </c>
      <c r="B5207" t="inlineStr">
        <is>
          <t>avverkningsanmälan</t>
        </is>
      </c>
      <c r="C5207" t="inlineStr">
        <is>
          <t>Föryngringsavverkning</t>
        </is>
      </c>
      <c r="D5207" s="1" t="n">
        <v>45385</v>
      </c>
      <c r="E5207" s="1" t="n">
        <v>46323</v>
      </c>
      <c r="F5207" t="inlineStr">
        <is>
          <t>KALMAR LÄN</t>
        </is>
      </c>
      <c r="G5207" t="inlineStr">
        <is>
          <t>NYBRO</t>
        </is>
      </c>
      <c r="I5207" t="n">
        <v>1.3</v>
      </c>
      <c r="J5207" t="n">
        <v>0</v>
      </c>
      <c r="K5207" t="n">
        <v>0</v>
      </c>
      <c r="L5207" t="n">
        <v>0</v>
      </c>
      <c r="M5207" t="n">
        <v>0</v>
      </c>
      <c r="N5207" t="n">
        <v>0</v>
      </c>
      <c r="O5207" t="n">
        <v>0</v>
      </c>
      <c r="P5207" t="n">
        <v>0</v>
      </c>
      <c r="Q5207" t="n">
        <v>0</v>
      </c>
      <c r="R5207" t="n">
        <v>0</v>
      </c>
      <c r="S5207" t="n">
        <v>0</v>
      </c>
      <c r="T5207" t="n">
        <v>0</v>
      </c>
      <c r="U5207" t="n">
        <v>0</v>
      </c>
      <c r="V5207" s="2" t="inlineStr"/>
    </row>
    <row r="5208" ht="15" customHeight="1">
      <c r="A5208" t="inlineStr">
        <is>
          <t>A 9589-2024</t>
        </is>
      </c>
      <c r="B5208" t="inlineStr">
        <is>
          <t>avverkningsanmälan</t>
        </is>
      </c>
      <c r="C5208" t="inlineStr">
        <is>
          <t>Föryngringsavverkning</t>
        </is>
      </c>
      <c r="D5208" s="1" t="n">
        <v>45360</v>
      </c>
      <c r="E5208" s="1" t="n">
        <v>46323</v>
      </c>
      <c r="F5208" t="inlineStr">
        <is>
          <t>KALMAR LÄN</t>
        </is>
      </c>
      <c r="G5208" t="inlineStr">
        <is>
          <t>HULTSFRED</t>
        </is>
      </c>
      <c r="H5208" t="inlineStr">
        <is>
          <t>Sveaskog</t>
        </is>
      </c>
      <c r="I5208" t="n">
        <v>1.5</v>
      </c>
      <c r="J5208" t="n">
        <v>0</v>
      </c>
      <c r="K5208" t="n">
        <v>0</v>
      </c>
      <c r="L5208" t="n">
        <v>0</v>
      </c>
      <c r="M5208" t="n">
        <v>0</v>
      </c>
      <c r="N5208" t="n">
        <v>0</v>
      </c>
      <c r="O5208" t="n">
        <v>0</v>
      </c>
      <c r="P5208" t="n">
        <v>0</v>
      </c>
      <c r="Q5208" t="n">
        <v>0</v>
      </c>
      <c r="R5208" t="n">
        <v>0</v>
      </c>
      <c r="S5208" t="n">
        <v>0</v>
      </c>
      <c r="T5208" t="n">
        <v>0</v>
      </c>
      <c r="U5208" t="n">
        <v>0</v>
      </c>
      <c r="V5208" s="2" t="inlineStr"/>
    </row>
    <row r="5209" ht="15" customHeight="1">
      <c r="A5209" t="inlineStr">
        <is>
          <t>A 20413-2023</t>
        </is>
      </c>
      <c r="B5209" t="inlineStr">
        <is>
          <t>avverkningsanmälan</t>
        </is>
      </c>
      <c r="C5209" t="inlineStr">
        <is>
          <t>Föryngringsavverkning</t>
        </is>
      </c>
      <c r="D5209" s="1" t="n">
        <v>45056</v>
      </c>
      <c r="E5209" s="1" t="n">
        <v>46323</v>
      </c>
      <c r="F5209" t="inlineStr">
        <is>
          <t>KALMAR LÄN</t>
        </is>
      </c>
      <c r="G5209" t="inlineStr">
        <is>
          <t>OSKARSHAMN</t>
        </is>
      </c>
      <c r="I5209" t="n">
        <v>1.3</v>
      </c>
      <c r="J5209" t="n">
        <v>0</v>
      </c>
      <c r="K5209" t="n">
        <v>0</v>
      </c>
      <c r="L5209" t="n">
        <v>0</v>
      </c>
      <c r="M5209" t="n">
        <v>0</v>
      </c>
      <c r="N5209" t="n">
        <v>0</v>
      </c>
      <c r="O5209" t="n">
        <v>0</v>
      </c>
      <c r="P5209" t="n">
        <v>0</v>
      </c>
      <c r="Q5209" t="n">
        <v>0</v>
      </c>
      <c r="R5209" t="n">
        <v>0</v>
      </c>
      <c r="S5209" t="n">
        <v>0</v>
      </c>
      <c r="T5209" t="n">
        <v>0</v>
      </c>
      <c r="U5209" t="n">
        <v>0</v>
      </c>
      <c r="V5209" s="2" t="inlineStr"/>
    </row>
    <row r="5210" ht="15" customHeight="1">
      <c r="A5210" t="inlineStr">
        <is>
          <t>A 20434-2023</t>
        </is>
      </c>
      <c r="B5210" t="inlineStr">
        <is>
          <t>avverkningsanmälan</t>
        </is>
      </c>
      <c r="C5210" t="inlineStr">
        <is>
          <t>Föryngringsavverkning</t>
        </is>
      </c>
      <c r="D5210" s="1" t="n">
        <v>45056</v>
      </c>
      <c r="E5210" s="1" t="n">
        <v>46323</v>
      </c>
      <c r="F5210" t="inlineStr">
        <is>
          <t>KALMAR LÄN</t>
        </is>
      </c>
      <c r="G5210" t="inlineStr">
        <is>
          <t>NYBRO</t>
        </is>
      </c>
      <c r="I5210" t="n">
        <v>1.7</v>
      </c>
      <c r="J5210" t="n">
        <v>0</v>
      </c>
      <c r="K5210" t="n">
        <v>0</v>
      </c>
      <c r="L5210" t="n">
        <v>0</v>
      </c>
      <c r="M5210" t="n">
        <v>0</v>
      </c>
      <c r="N5210" t="n">
        <v>0</v>
      </c>
      <c r="O5210" t="n">
        <v>0</v>
      </c>
      <c r="P5210" t="n">
        <v>0</v>
      </c>
      <c r="Q5210" t="n">
        <v>0</v>
      </c>
      <c r="R5210" t="n">
        <v>0</v>
      </c>
      <c r="S5210" t="n">
        <v>0</v>
      </c>
      <c r="T5210" t="n">
        <v>0</v>
      </c>
      <c r="U5210" t="n">
        <v>0</v>
      </c>
      <c r="V5210" s="2" t="inlineStr"/>
    </row>
    <row r="5211" ht="15" customHeight="1">
      <c r="A5211" t="inlineStr">
        <is>
          <t>A 47945-2023</t>
        </is>
      </c>
      <c r="B5211" t="inlineStr">
        <is>
          <t>avverkningsanmälan</t>
        </is>
      </c>
      <c r="C5211" t="inlineStr">
        <is>
          <t>Föryngringsavverkning</t>
        </is>
      </c>
      <c r="D5211" s="1" t="n">
        <v>45204</v>
      </c>
      <c r="E5211" s="1" t="n">
        <v>46323</v>
      </c>
      <c r="F5211" t="inlineStr">
        <is>
          <t>KALMAR LÄN</t>
        </is>
      </c>
      <c r="G5211" t="inlineStr">
        <is>
          <t>VÄSTERVIK</t>
        </is>
      </c>
      <c r="I5211" t="n">
        <v>2</v>
      </c>
      <c r="J5211" t="n">
        <v>0</v>
      </c>
      <c r="K5211" t="n">
        <v>0</v>
      </c>
      <c r="L5211" t="n">
        <v>0</v>
      </c>
      <c r="M5211" t="n">
        <v>0</v>
      </c>
      <c r="N5211" t="n">
        <v>0</v>
      </c>
      <c r="O5211" t="n">
        <v>0</v>
      </c>
      <c r="P5211" t="n">
        <v>0</v>
      </c>
      <c r="Q5211" t="n">
        <v>0</v>
      </c>
      <c r="R5211" t="n">
        <v>0</v>
      </c>
      <c r="S5211" t="n">
        <v>0</v>
      </c>
      <c r="T5211" t="n">
        <v>0</v>
      </c>
      <c r="U5211" t="n">
        <v>0</v>
      </c>
      <c r="V5211" s="2" t="inlineStr"/>
    </row>
    <row r="5212" ht="15" customHeight="1">
      <c r="A5212" t="inlineStr">
        <is>
          <t>A 11966-2023</t>
        </is>
      </c>
      <c r="B5212" t="inlineStr">
        <is>
          <t>avverkningsanmälan</t>
        </is>
      </c>
      <c r="C5212" t="inlineStr">
        <is>
          <t>Föryngringsavverkning</t>
        </is>
      </c>
      <c r="D5212" s="1" t="n">
        <v>44995</v>
      </c>
      <c r="E5212" s="1" t="n">
        <v>46323</v>
      </c>
      <c r="F5212" t="inlineStr">
        <is>
          <t>KALMAR LÄN</t>
        </is>
      </c>
      <c r="G5212" t="inlineStr">
        <is>
          <t>OSKARSHAMN</t>
        </is>
      </c>
      <c r="I5212" t="n">
        <v>1.3</v>
      </c>
      <c r="J5212" t="n">
        <v>0</v>
      </c>
      <c r="K5212" t="n">
        <v>0</v>
      </c>
      <c r="L5212" t="n">
        <v>0</v>
      </c>
      <c r="M5212" t="n">
        <v>0</v>
      </c>
      <c r="N5212" t="n">
        <v>0</v>
      </c>
      <c r="O5212" t="n">
        <v>0</v>
      </c>
      <c r="P5212" t="n">
        <v>0</v>
      </c>
      <c r="Q5212" t="n">
        <v>0</v>
      </c>
      <c r="R5212" t="n">
        <v>0</v>
      </c>
      <c r="S5212" t="n">
        <v>0</v>
      </c>
      <c r="T5212" t="n">
        <v>0</v>
      </c>
      <c r="U5212" t="n">
        <v>0</v>
      </c>
      <c r="V5212" s="2" t="inlineStr"/>
    </row>
    <row r="5213" ht="15" customHeight="1">
      <c r="A5213" t="inlineStr">
        <is>
          <t>A 41385-2026</t>
        </is>
      </c>
      <c r="B5213" t="inlineStr">
        <is>
          <t>avverkningsanmälan</t>
        </is>
      </c>
      <c r="C5213" t="inlineStr">
        <is>
          <t>Föryngringsavverkning</t>
        </is>
      </c>
      <c r="D5213" s="1" t="n">
        <v>46301</v>
      </c>
      <c r="E5213" s="1" t="n">
        <v>46323</v>
      </c>
      <c r="F5213" t="inlineStr">
        <is>
          <t>KALMAR LÄN</t>
        </is>
      </c>
      <c r="G5213" t="inlineStr">
        <is>
          <t>VIMMERBY</t>
        </is>
      </c>
      <c r="I5213" t="n">
        <v>4.6</v>
      </c>
      <c r="J5213" t="n">
        <v>0</v>
      </c>
      <c r="K5213" t="n">
        <v>0</v>
      </c>
      <c r="L5213" t="n">
        <v>0</v>
      </c>
      <c r="M5213" t="n">
        <v>0</v>
      </c>
      <c r="N5213" t="n">
        <v>0</v>
      </c>
      <c r="O5213" t="n">
        <v>0</v>
      </c>
      <c r="P5213" t="n">
        <v>0</v>
      </c>
      <c r="Q5213" t="n">
        <v>0</v>
      </c>
      <c r="R5213" t="n">
        <v>0</v>
      </c>
      <c r="S5213" t="n">
        <v>0</v>
      </c>
      <c r="T5213" t="n">
        <v>0</v>
      </c>
      <c r="U5213" t="n">
        <v>0</v>
      </c>
      <c r="V5213" s="2" t="inlineStr"/>
    </row>
    <row r="5214" ht="15" customHeight="1">
      <c r="A5214" t="inlineStr">
        <is>
          <t>A 18478-2024</t>
        </is>
      </c>
      <c r="B5214" t="inlineStr">
        <is>
          <t>avverkningsanmälan</t>
        </is>
      </c>
      <c r="C5214" t="inlineStr">
        <is>
          <t>Föryngringsavverkning</t>
        </is>
      </c>
      <c r="D5214" s="1" t="n">
        <v>45425</v>
      </c>
      <c r="E5214" s="1" t="n">
        <v>46323</v>
      </c>
      <c r="F5214" t="inlineStr">
        <is>
          <t>KALMAR LÄN</t>
        </is>
      </c>
      <c r="G5214" t="inlineStr">
        <is>
          <t>EMMABODA</t>
        </is>
      </c>
      <c r="I5214" t="n">
        <v>6.3</v>
      </c>
      <c r="J5214" t="n">
        <v>0</v>
      </c>
      <c r="K5214" t="n">
        <v>0</v>
      </c>
      <c r="L5214" t="n">
        <v>0</v>
      </c>
      <c r="M5214" t="n">
        <v>0</v>
      </c>
      <c r="N5214" t="n">
        <v>0</v>
      </c>
      <c r="O5214" t="n">
        <v>0</v>
      </c>
      <c r="P5214" t="n">
        <v>0</v>
      </c>
      <c r="Q5214" t="n">
        <v>0</v>
      </c>
      <c r="R5214" t="n">
        <v>0</v>
      </c>
      <c r="S5214" t="n">
        <v>0</v>
      </c>
      <c r="T5214" t="n">
        <v>0</v>
      </c>
      <c r="U5214" t="n">
        <v>0</v>
      </c>
      <c r="V5214" s="2" t="inlineStr"/>
    </row>
    <row r="5215" ht="15" customHeight="1">
      <c r="A5215" t="inlineStr">
        <is>
          <t>A 19515-2026</t>
        </is>
      </c>
      <c r="B5215" t="inlineStr">
        <is>
          <t>avverkningsanmälan</t>
        </is>
      </c>
      <c r="C5215" t="inlineStr">
        <is>
          <t>Föryngringsavverkning</t>
        </is>
      </c>
      <c r="D5215" s="1" t="n">
        <v>46134</v>
      </c>
      <c r="E5215" s="1" t="n">
        <v>46323</v>
      </c>
      <c r="F5215" t="inlineStr">
        <is>
          <t>KALMAR LÄN</t>
        </is>
      </c>
      <c r="G5215" t="inlineStr">
        <is>
          <t>NYBRO</t>
        </is>
      </c>
      <c r="I5215" t="n">
        <v>2.9</v>
      </c>
      <c r="J5215" t="n">
        <v>0</v>
      </c>
      <c r="K5215" t="n">
        <v>0</v>
      </c>
      <c r="L5215" t="n">
        <v>0</v>
      </c>
      <c r="M5215" t="n">
        <v>0</v>
      </c>
      <c r="N5215" t="n">
        <v>0</v>
      </c>
      <c r="O5215" t="n">
        <v>0</v>
      </c>
      <c r="P5215" t="n">
        <v>0</v>
      </c>
      <c r="Q5215" t="n">
        <v>0</v>
      </c>
      <c r="R5215" t="n">
        <v>0</v>
      </c>
      <c r="S5215" t="n">
        <v>0</v>
      </c>
      <c r="T5215" t="n">
        <v>0</v>
      </c>
      <c r="U5215" t="n">
        <v>0</v>
      </c>
      <c r="V5215" s="2" t="inlineStr"/>
    </row>
    <row r="5216" ht="15" customHeight="1">
      <c r="A5216" t="inlineStr">
        <is>
          <t>A 17525-2023</t>
        </is>
      </c>
      <c r="B5216" t="inlineStr">
        <is>
          <t>avverkningsanmälan</t>
        </is>
      </c>
      <c r="C5216" t="inlineStr">
        <is>
          <t>Föryngringsavverkning</t>
        </is>
      </c>
      <c r="D5216" s="1" t="n">
        <v>45036</v>
      </c>
      <c r="E5216" s="1" t="n">
        <v>46323</v>
      </c>
      <c r="F5216" t="inlineStr">
        <is>
          <t>KALMAR LÄN</t>
        </is>
      </c>
      <c r="G5216" t="inlineStr">
        <is>
          <t>EMMABODA</t>
        </is>
      </c>
      <c r="I5216" t="n">
        <v>0.5</v>
      </c>
      <c r="J5216" t="n">
        <v>0</v>
      </c>
      <c r="K5216" t="n">
        <v>0</v>
      </c>
      <c r="L5216" t="n">
        <v>0</v>
      </c>
      <c r="M5216" t="n">
        <v>0</v>
      </c>
      <c r="N5216" t="n">
        <v>0</v>
      </c>
      <c r="O5216" t="n">
        <v>0</v>
      </c>
      <c r="P5216" t="n">
        <v>0</v>
      </c>
      <c r="Q5216" t="n">
        <v>0</v>
      </c>
      <c r="R5216" t="n">
        <v>0</v>
      </c>
      <c r="S5216" t="n">
        <v>0</v>
      </c>
      <c r="T5216" t="n">
        <v>0</v>
      </c>
      <c r="U5216" t="n">
        <v>0</v>
      </c>
      <c r="V5216" s="2" t="inlineStr"/>
    </row>
    <row r="5217" ht="15" customHeight="1">
      <c r="A5217" t="inlineStr">
        <is>
          <t>A 35046-2026</t>
        </is>
      </c>
      <c r="B5217" t="inlineStr">
        <is>
          <t>avverkningsanmälan</t>
        </is>
      </c>
      <c r="C5217" t="inlineStr">
        <is>
          <t>Föryngringsavverkning</t>
        </is>
      </c>
      <c r="D5217" s="1" t="n">
        <v>46259</v>
      </c>
      <c r="E5217" s="1" t="n">
        <v>46323</v>
      </c>
      <c r="F5217" t="inlineStr">
        <is>
          <t>KALMAR LÄN</t>
        </is>
      </c>
      <c r="G5217" t="inlineStr">
        <is>
          <t>KALMAR</t>
        </is>
      </c>
      <c r="I5217" t="n">
        <v>4.1</v>
      </c>
      <c r="J5217" t="n">
        <v>0</v>
      </c>
      <c r="K5217" t="n">
        <v>0</v>
      </c>
      <c r="L5217" t="n">
        <v>0</v>
      </c>
      <c r="M5217" t="n">
        <v>0</v>
      </c>
      <c r="N5217" t="n">
        <v>0</v>
      </c>
      <c r="O5217" t="n">
        <v>0</v>
      </c>
      <c r="P5217" t="n">
        <v>0</v>
      </c>
      <c r="Q5217" t="n">
        <v>0</v>
      </c>
      <c r="R5217" t="n">
        <v>0</v>
      </c>
      <c r="S5217" t="n">
        <v>0</v>
      </c>
      <c r="T5217" t="n">
        <v>0</v>
      </c>
      <c r="U5217" t="n">
        <v>0</v>
      </c>
      <c r="V5217" s="2" t="inlineStr"/>
    </row>
    <row r="5218" ht="15" customHeight="1">
      <c r="A5218" t="inlineStr">
        <is>
          <t>A 61211-2021</t>
        </is>
      </c>
      <c r="B5218" t="inlineStr">
        <is>
          <t>avverkningsanmälan</t>
        </is>
      </c>
      <c r="C5218" t="inlineStr">
        <is>
          <t>Föryngringsavverkning</t>
        </is>
      </c>
      <c r="D5218" s="1" t="n">
        <v>44498</v>
      </c>
      <c r="E5218" s="1" t="n">
        <v>46323</v>
      </c>
      <c r="F5218" t="inlineStr">
        <is>
          <t>KALMAR LÄN</t>
        </is>
      </c>
      <c r="G5218" t="inlineStr">
        <is>
          <t>HULTSFRED</t>
        </is>
      </c>
      <c r="I5218" t="n">
        <v>5.4</v>
      </c>
      <c r="J5218" t="n">
        <v>0</v>
      </c>
      <c r="K5218" t="n">
        <v>0</v>
      </c>
      <c r="L5218" t="n">
        <v>0</v>
      </c>
      <c r="M5218" t="n">
        <v>0</v>
      </c>
      <c r="N5218" t="n">
        <v>0</v>
      </c>
      <c r="O5218" t="n">
        <v>0</v>
      </c>
      <c r="P5218" t="n">
        <v>0</v>
      </c>
      <c r="Q5218" t="n">
        <v>0</v>
      </c>
      <c r="R5218" t="n">
        <v>0</v>
      </c>
      <c r="S5218" t="n">
        <v>0</v>
      </c>
      <c r="T5218" t="n">
        <v>0</v>
      </c>
      <c r="U5218" t="n">
        <v>0</v>
      </c>
      <c r="V5218" s="2" t="inlineStr"/>
    </row>
    <row r="5219" ht="15" customHeight="1">
      <c r="A5219" t="inlineStr">
        <is>
          <t>A 59300-2024</t>
        </is>
      </c>
      <c r="B5219" t="inlineStr">
        <is>
          <t>avverkningsanmälan</t>
        </is>
      </c>
      <c r="C5219" t="inlineStr">
        <is>
          <t>Föryngringsavverkning</t>
        </is>
      </c>
      <c r="D5219" s="1" t="n">
        <v>45637</v>
      </c>
      <c r="E5219" s="1" t="n">
        <v>46323</v>
      </c>
      <c r="F5219" t="inlineStr">
        <is>
          <t>KALMAR LÄN</t>
        </is>
      </c>
      <c r="G5219" t="inlineStr">
        <is>
          <t>VIMMERBY</t>
        </is>
      </c>
      <c r="I5219" t="n">
        <v>0.8</v>
      </c>
      <c r="J5219" t="n">
        <v>0</v>
      </c>
      <c r="K5219" t="n">
        <v>0</v>
      </c>
      <c r="L5219" t="n">
        <v>0</v>
      </c>
      <c r="M5219" t="n">
        <v>0</v>
      </c>
      <c r="N5219" t="n">
        <v>0</v>
      </c>
      <c r="O5219" t="n">
        <v>0</v>
      </c>
      <c r="P5219" t="n">
        <v>0</v>
      </c>
      <c r="Q5219" t="n">
        <v>0</v>
      </c>
      <c r="R5219" t="n">
        <v>0</v>
      </c>
      <c r="S5219" t="n">
        <v>0</v>
      </c>
      <c r="T5219" t="n">
        <v>0</v>
      </c>
      <c r="U5219" t="n">
        <v>0</v>
      </c>
      <c r="V5219" s="2" t="inlineStr"/>
    </row>
    <row r="5220" ht="15" customHeight="1">
      <c r="A5220" t="inlineStr">
        <is>
          <t>A 19570-2026</t>
        </is>
      </c>
      <c r="B5220" t="inlineStr">
        <is>
          <t>avverkningsanmälan</t>
        </is>
      </c>
      <c r="C5220" t="inlineStr">
        <is>
          <t>Föryngringsavverkning</t>
        </is>
      </c>
      <c r="D5220" s="1" t="n">
        <v>46134</v>
      </c>
      <c r="E5220" s="1" t="n">
        <v>46323</v>
      </c>
      <c r="F5220" t="inlineStr">
        <is>
          <t>KALMAR LÄN</t>
        </is>
      </c>
      <c r="G5220" t="inlineStr">
        <is>
          <t>NYBRO</t>
        </is>
      </c>
      <c r="I5220" t="n">
        <v>4</v>
      </c>
      <c r="J5220" t="n">
        <v>0</v>
      </c>
      <c r="K5220" t="n">
        <v>0</v>
      </c>
      <c r="L5220" t="n">
        <v>0</v>
      </c>
      <c r="M5220" t="n">
        <v>0</v>
      </c>
      <c r="N5220" t="n">
        <v>0</v>
      </c>
      <c r="O5220" t="n">
        <v>0</v>
      </c>
      <c r="P5220" t="n">
        <v>0</v>
      </c>
      <c r="Q5220" t="n">
        <v>0</v>
      </c>
      <c r="R5220" t="n">
        <v>0</v>
      </c>
      <c r="S5220" t="n">
        <v>0</v>
      </c>
      <c r="T5220" t="n">
        <v>0</v>
      </c>
      <c r="U5220" t="n">
        <v>0</v>
      </c>
      <c r="V5220" s="2" t="inlineStr"/>
    </row>
    <row r="5221" ht="15" customHeight="1">
      <c r="A5221" t="inlineStr">
        <is>
          <t>A 43256-2022</t>
        </is>
      </c>
      <c r="B5221" t="inlineStr">
        <is>
          <t>avverkningsanmälan</t>
        </is>
      </c>
      <c r="C5221" t="inlineStr">
        <is>
          <t>Föryngringsavverkning</t>
        </is>
      </c>
      <c r="D5221" s="1" t="n">
        <v>44834</v>
      </c>
      <c r="E5221" s="1" t="n">
        <v>46323</v>
      </c>
      <c r="F5221" t="inlineStr">
        <is>
          <t>KALMAR LÄN</t>
        </is>
      </c>
      <c r="G5221" t="inlineStr">
        <is>
          <t>EMMABODA</t>
        </is>
      </c>
      <c r="I5221" t="n">
        <v>4.6</v>
      </c>
      <c r="J5221" t="n">
        <v>0</v>
      </c>
      <c r="K5221" t="n">
        <v>0</v>
      </c>
      <c r="L5221" t="n">
        <v>0</v>
      </c>
      <c r="M5221" t="n">
        <v>0</v>
      </c>
      <c r="N5221" t="n">
        <v>0</v>
      </c>
      <c r="O5221" t="n">
        <v>0</v>
      </c>
      <c r="P5221" t="n">
        <v>0</v>
      </c>
      <c r="Q5221" t="n">
        <v>0</v>
      </c>
      <c r="R5221" t="n">
        <v>0</v>
      </c>
      <c r="S5221" t="n">
        <v>0</v>
      </c>
      <c r="T5221" t="n">
        <v>0</v>
      </c>
      <c r="U5221" t="n">
        <v>0</v>
      </c>
      <c r="V5221" s="2" t="inlineStr"/>
    </row>
    <row r="5222" ht="15" customHeight="1">
      <c r="A5222" t="inlineStr">
        <is>
          <t>A 19592-2026</t>
        </is>
      </c>
      <c r="B5222" t="inlineStr">
        <is>
          <t>avverkningsanmälan</t>
        </is>
      </c>
      <c r="C5222" t="inlineStr">
        <is>
          <t>Föryngringsavverkning</t>
        </is>
      </c>
      <c r="D5222" s="1" t="n">
        <v>46134</v>
      </c>
      <c r="E5222" s="1" t="n">
        <v>46323</v>
      </c>
      <c r="F5222" t="inlineStr">
        <is>
          <t>KALMAR LÄN</t>
        </is>
      </c>
      <c r="G5222" t="inlineStr">
        <is>
          <t>KALMAR</t>
        </is>
      </c>
      <c r="I5222" t="n">
        <v>2</v>
      </c>
      <c r="J5222" t="n">
        <v>0</v>
      </c>
      <c r="K5222" t="n">
        <v>0</v>
      </c>
      <c r="L5222" t="n">
        <v>0</v>
      </c>
      <c r="M5222" t="n">
        <v>0</v>
      </c>
      <c r="N5222" t="n">
        <v>0</v>
      </c>
      <c r="O5222" t="n">
        <v>0</v>
      </c>
      <c r="P5222" t="n">
        <v>0</v>
      </c>
      <c r="Q5222" t="n">
        <v>0</v>
      </c>
      <c r="R5222" t="n">
        <v>0</v>
      </c>
      <c r="S5222" t="n">
        <v>0</v>
      </c>
      <c r="T5222" t="n">
        <v>0</v>
      </c>
      <c r="U5222" t="n">
        <v>0</v>
      </c>
      <c r="V5222" s="2" t="inlineStr"/>
    </row>
    <row r="5223" ht="15" customHeight="1">
      <c r="A5223" t="inlineStr">
        <is>
          <t>A 51962-2024</t>
        </is>
      </c>
      <c r="B5223" t="inlineStr">
        <is>
          <t>avverkningsanmälan</t>
        </is>
      </c>
      <c r="C5223" t="inlineStr">
        <is>
          <t>Avverkning för annat ändamål</t>
        </is>
      </c>
      <c r="D5223" s="1" t="n">
        <v>45607</v>
      </c>
      <c r="E5223" s="1" t="n">
        <v>46323</v>
      </c>
      <c r="F5223" t="inlineStr">
        <is>
          <t>KALMAR LÄN</t>
        </is>
      </c>
      <c r="G5223" t="inlineStr">
        <is>
          <t>KALMAR</t>
        </is>
      </c>
      <c r="I5223" t="n">
        <v>1.2</v>
      </c>
      <c r="J5223" t="n">
        <v>0</v>
      </c>
      <c r="K5223" t="n">
        <v>0</v>
      </c>
      <c r="L5223" t="n">
        <v>0</v>
      </c>
      <c r="M5223" t="n">
        <v>0</v>
      </c>
      <c r="N5223" t="n">
        <v>0</v>
      </c>
      <c r="O5223" t="n">
        <v>0</v>
      </c>
      <c r="P5223" t="n">
        <v>0</v>
      </c>
      <c r="Q5223" t="n">
        <v>0</v>
      </c>
      <c r="R5223" t="n">
        <v>0</v>
      </c>
      <c r="S5223" t="n">
        <v>0</v>
      </c>
      <c r="T5223" t="n">
        <v>0</v>
      </c>
      <c r="U5223" t="n">
        <v>0</v>
      </c>
      <c r="V5223" s="2" t="inlineStr"/>
    </row>
    <row r="5224" ht="15" customHeight="1">
      <c r="A5224" t="inlineStr">
        <is>
          <t>A 52659-2024</t>
        </is>
      </c>
      <c r="B5224" t="inlineStr">
        <is>
          <t>avverkningsanmälan</t>
        </is>
      </c>
      <c r="C5224" t="inlineStr">
        <is>
          <t>Föryngringsavverkning</t>
        </is>
      </c>
      <c r="D5224" s="1" t="n">
        <v>45610</v>
      </c>
      <c r="E5224" s="1" t="n">
        <v>46323</v>
      </c>
      <c r="F5224" t="inlineStr">
        <is>
          <t>KALMAR LÄN</t>
        </is>
      </c>
      <c r="G5224" t="inlineStr">
        <is>
          <t>TORSÅS</t>
        </is>
      </c>
      <c r="I5224" t="n">
        <v>0.6</v>
      </c>
      <c r="J5224" t="n">
        <v>0</v>
      </c>
      <c r="K5224" t="n">
        <v>0</v>
      </c>
      <c r="L5224" t="n">
        <v>0</v>
      </c>
      <c r="M5224" t="n">
        <v>0</v>
      </c>
      <c r="N5224" t="n">
        <v>0</v>
      </c>
      <c r="O5224" t="n">
        <v>0</v>
      </c>
      <c r="P5224" t="n">
        <v>0</v>
      </c>
      <c r="Q5224" t="n">
        <v>0</v>
      </c>
      <c r="R5224" t="n">
        <v>0</v>
      </c>
      <c r="S5224" t="n">
        <v>0</v>
      </c>
      <c r="T5224" t="n">
        <v>0</v>
      </c>
      <c r="U5224" t="n">
        <v>0</v>
      </c>
      <c r="V5224" s="2" t="inlineStr"/>
    </row>
    <row r="5225" ht="15" customHeight="1">
      <c r="A5225" t="inlineStr">
        <is>
          <t>A 51652-2024</t>
        </is>
      </c>
      <c r="B5225" t="inlineStr">
        <is>
          <t>avverkningsanmälan</t>
        </is>
      </c>
      <c r="C5225" t="inlineStr">
        <is>
          <t>Föryngringsavverkning</t>
        </is>
      </c>
      <c r="D5225" s="1" t="n">
        <v>45606</v>
      </c>
      <c r="E5225" s="1" t="n">
        <v>46323</v>
      </c>
      <c r="F5225" t="inlineStr">
        <is>
          <t>KALMAR LÄN</t>
        </is>
      </c>
      <c r="G5225" t="inlineStr">
        <is>
          <t>NYBRO</t>
        </is>
      </c>
      <c r="I5225" t="n">
        <v>2.1</v>
      </c>
      <c r="J5225" t="n">
        <v>0</v>
      </c>
      <c r="K5225" t="n">
        <v>0</v>
      </c>
      <c r="L5225" t="n">
        <v>0</v>
      </c>
      <c r="M5225" t="n">
        <v>0</v>
      </c>
      <c r="N5225" t="n">
        <v>0</v>
      </c>
      <c r="O5225" t="n">
        <v>0</v>
      </c>
      <c r="P5225" t="n">
        <v>0</v>
      </c>
      <c r="Q5225" t="n">
        <v>0</v>
      </c>
      <c r="R5225" t="n">
        <v>0</v>
      </c>
      <c r="S5225" t="n">
        <v>0</v>
      </c>
      <c r="T5225" t="n">
        <v>0</v>
      </c>
      <c r="U5225" t="n">
        <v>0</v>
      </c>
      <c r="V5225" s="2" t="inlineStr"/>
    </row>
    <row r="5226" ht="15" customHeight="1">
      <c r="A5226" t="inlineStr">
        <is>
          <t>A 19545-2026</t>
        </is>
      </c>
      <c r="B5226" t="inlineStr">
        <is>
          <t>avverkningsanmälan</t>
        </is>
      </c>
      <c r="C5226" t="inlineStr">
        <is>
          <t>Föryngringsavverkning</t>
        </is>
      </c>
      <c r="D5226" s="1" t="n">
        <v>46134</v>
      </c>
      <c r="E5226" s="1" t="n">
        <v>46323</v>
      </c>
      <c r="F5226" t="inlineStr">
        <is>
          <t>KALMAR LÄN</t>
        </is>
      </c>
      <c r="G5226" t="inlineStr">
        <is>
          <t>EMMABODA</t>
        </is>
      </c>
      <c r="I5226" t="n">
        <v>0.7</v>
      </c>
      <c r="J5226" t="n">
        <v>0</v>
      </c>
      <c r="K5226" t="n">
        <v>0</v>
      </c>
      <c r="L5226" t="n">
        <v>0</v>
      </c>
      <c r="M5226" t="n">
        <v>0</v>
      </c>
      <c r="N5226" t="n">
        <v>0</v>
      </c>
      <c r="O5226" t="n">
        <v>0</v>
      </c>
      <c r="P5226" t="n">
        <v>0</v>
      </c>
      <c r="Q5226" t="n">
        <v>0</v>
      </c>
      <c r="R5226" t="n">
        <v>0</v>
      </c>
      <c r="S5226" t="n">
        <v>0</v>
      </c>
      <c r="T5226" t="n">
        <v>0</v>
      </c>
      <c r="U5226" t="n">
        <v>0</v>
      </c>
      <c r="V5226" s="2" t="inlineStr"/>
    </row>
    <row r="5227" ht="15" customHeight="1">
      <c r="A5227" t="inlineStr">
        <is>
          <t>A 19567-2026</t>
        </is>
      </c>
      <c r="B5227" t="inlineStr">
        <is>
          <t>avverkningsanmälan</t>
        </is>
      </c>
      <c r="C5227" t="inlineStr">
        <is>
          <t>Föryngringsavverkning</t>
        </is>
      </c>
      <c r="D5227" s="1" t="n">
        <v>46134</v>
      </c>
      <c r="E5227" s="1" t="n">
        <v>46323</v>
      </c>
      <c r="F5227" t="inlineStr">
        <is>
          <t>KALMAR LÄN</t>
        </is>
      </c>
      <c r="G5227" t="inlineStr">
        <is>
          <t>NYBRO</t>
        </is>
      </c>
      <c r="I5227" t="n">
        <v>2.4</v>
      </c>
      <c r="J5227" t="n">
        <v>0</v>
      </c>
      <c r="K5227" t="n">
        <v>0</v>
      </c>
      <c r="L5227" t="n">
        <v>0</v>
      </c>
      <c r="M5227" t="n">
        <v>0</v>
      </c>
      <c r="N5227" t="n">
        <v>0</v>
      </c>
      <c r="O5227" t="n">
        <v>0</v>
      </c>
      <c r="P5227" t="n">
        <v>0</v>
      </c>
      <c r="Q5227" t="n">
        <v>0</v>
      </c>
      <c r="R5227" t="n">
        <v>0</v>
      </c>
      <c r="S5227" t="n">
        <v>0</v>
      </c>
      <c r="T5227" t="n">
        <v>0</v>
      </c>
      <c r="U5227" t="n">
        <v>0</v>
      </c>
      <c r="V5227" s="2" t="inlineStr"/>
    </row>
    <row r="5228" ht="15" customHeight="1">
      <c r="A5228" t="inlineStr">
        <is>
          <t>A 19299-2026</t>
        </is>
      </c>
      <c r="B5228" t="inlineStr">
        <is>
          <t>avverkningsanmälan</t>
        </is>
      </c>
      <c r="C5228" t="inlineStr">
        <is>
          <t>Föryngringsavverkning</t>
        </is>
      </c>
      <c r="D5228" s="1" t="n">
        <v>46133</v>
      </c>
      <c r="E5228" s="1" t="n">
        <v>46323</v>
      </c>
      <c r="F5228" t="inlineStr">
        <is>
          <t>KALMAR LÄN</t>
        </is>
      </c>
      <c r="G5228" t="inlineStr">
        <is>
          <t>EMMABODA</t>
        </is>
      </c>
      <c r="I5228" t="n">
        <v>0.8</v>
      </c>
      <c r="J5228" t="n">
        <v>0</v>
      </c>
      <c r="K5228" t="n">
        <v>0</v>
      </c>
      <c r="L5228" t="n">
        <v>0</v>
      </c>
      <c r="M5228" t="n">
        <v>0</v>
      </c>
      <c r="N5228" t="n">
        <v>0</v>
      </c>
      <c r="O5228" t="n">
        <v>0</v>
      </c>
      <c r="P5228" t="n">
        <v>0</v>
      </c>
      <c r="Q5228" t="n">
        <v>0</v>
      </c>
      <c r="R5228" t="n">
        <v>0</v>
      </c>
      <c r="S5228" t="n">
        <v>0</v>
      </c>
      <c r="T5228" t="n">
        <v>0</v>
      </c>
      <c r="U5228" t="n">
        <v>0</v>
      </c>
      <c r="V5228" s="2" t="inlineStr"/>
    </row>
    <row r="5229" ht="15" customHeight="1">
      <c r="A5229" t="inlineStr">
        <is>
          <t>A 10630-2022</t>
        </is>
      </c>
      <c r="B5229" t="inlineStr">
        <is>
          <t>avverkningsanmälan</t>
        </is>
      </c>
      <c r="C5229" t="inlineStr">
        <is>
          <t>Föryngringsavverkning</t>
        </is>
      </c>
      <c r="D5229" s="1" t="n">
        <v>44624</v>
      </c>
      <c r="E5229" s="1" t="n">
        <v>46323</v>
      </c>
      <c r="F5229" t="inlineStr">
        <is>
          <t>KALMAR LÄN</t>
        </is>
      </c>
      <c r="G5229" t="inlineStr">
        <is>
          <t>OSKARSHAMN</t>
        </is>
      </c>
      <c r="I5229" t="n">
        <v>2.4</v>
      </c>
      <c r="J5229" t="n">
        <v>0</v>
      </c>
      <c r="K5229" t="n">
        <v>0</v>
      </c>
      <c r="L5229" t="n">
        <v>0</v>
      </c>
      <c r="M5229" t="n">
        <v>0</v>
      </c>
      <c r="N5229" t="n">
        <v>0</v>
      </c>
      <c r="O5229" t="n">
        <v>0</v>
      </c>
      <c r="P5229" t="n">
        <v>0</v>
      </c>
      <c r="Q5229" t="n">
        <v>0</v>
      </c>
      <c r="R5229" t="n">
        <v>0</v>
      </c>
      <c r="S5229" t="n">
        <v>0</v>
      </c>
      <c r="T5229" t="n">
        <v>0</v>
      </c>
      <c r="U5229" t="n">
        <v>0</v>
      </c>
      <c r="V5229" s="2" t="inlineStr"/>
    </row>
    <row r="5230" ht="15" customHeight="1">
      <c r="A5230" t="inlineStr">
        <is>
          <t>A 41537-2026</t>
        </is>
      </c>
      <c r="B5230" t="inlineStr">
        <is>
          <t>avverkningsanmälan</t>
        </is>
      </c>
      <c r="C5230" t="inlineStr">
        <is>
          <t>Föryngringsavverkning</t>
        </is>
      </c>
      <c r="D5230" s="1" t="n">
        <v>46301</v>
      </c>
      <c r="E5230" s="1" t="n">
        <v>46323</v>
      </c>
      <c r="F5230" t="inlineStr">
        <is>
          <t>KALMAR LÄN</t>
        </is>
      </c>
      <c r="G5230" t="inlineStr">
        <is>
          <t>HULTSFRED</t>
        </is>
      </c>
      <c r="I5230" t="n">
        <v>1</v>
      </c>
      <c r="J5230" t="n">
        <v>0</v>
      </c>
      <c r="K5230" t="n">
        <v>0</v>
      </c>
      <c r="L5230" t="n">
        <v>0</v>
      </c>
      <c r="M5230" t="n">
        <v>0</v>
      </c>
      <c r="N5230" t="n">
        <v>0</v>
      </c>
      <c r="O5230" t="n">
        <v>0</v>
      </c>
      <c r="P5230" t="n">
        <v>0</v>
      </c>
      <c r="Q5230" t="n">
        <v>0</v>
      </c>
      <c r="R5230" t="n">
        <v>0</v>
      </c>
      <c r="S5230" t="n">
        <v>0</v>
      </c>
      <c r="T5230" t="n">
        <v>0</v>
      </c>
      <c r="U5230" t="n">
        <v>0</v>
      </c>
      <c r="V5230" s="2" t="inlineStr"/>
    </row>
    <row r="5231" ht="15" customHeight="1">
      <c r="A5231" t="inlineStr">
        <is>
          <t>A 41601-2026</t>
        </is>
      </c>
      <c r="B5231" t="inlineStr">
        <is>
          <t>avverkningsanmälan</t>
        </is>
      </c>
      <c r="C5231" t="inlineStr">
        <is>
          <t>Avverkning för annat ändamål</t>
        </is>
      </c>
      <c r="D5231" s="1" t="n">
        <v>46302</v>
      </c>
      <c r="E5231" s="1" t="n">
        <v>46323</v>
      </c>
      <c r="F5231" t="inlineStr">
        <is>
          <t>KALMAR LÄN</t>
        </is>
      </c>
      <c r="G5231" t="inlineStr">
        <is>
          <t>HULTSFRED</t>
        </is>
      </c>
      <c r="I5231" t="n">
        <v>0.8</v>
      </c>
      <c r="J5231" t="n">
        <v>0</v>
      </c>
      <c r="K5231" t="n">
        <v>0</v>
      </c>
      <c r="L5231" t="n">
        <v>0</v>
      </c>
      <c r="M5231" t="n">
        <v>0</v>
      </c>
      <c r="N5231" t="n">
        <v>0</v>
      </c>
      <c r="O5231" t="n">
        <v>0</v>
      </c>
      <c r="P5231" t="n">
        <v>0</v>
      </c>
      <c r="Q5231" t="n">
        <v>0</v>
      </c>
      <c r="R5231" t="n">
        <v>0</v>
      </c>
      <c r="S5231" t="n">
        <v>0</v>
      </c>
      <c r="T5231" t="n">
        <v>0</v>
      </c>
      <c r="U5231" t="n">
        <v>0</v>
      </c>
      <c r="V5231" s="2" t="inlineStr"/>
    </row>
    <row r="5232" ht="15" customHeight="1">
      <c r="A5232" t="inlineStr">
        <is>
          <t>A 23204-2023</t>
        </is>
      </c>
      <c r="B5232" t="inlineStr">
        <is>
          <t>avverkningsanmälan</t>
        </is>
      </c>
      <c r="C5232" t="inlineStr">
        <is>
          <t>Föryngringsavverkning</t>
        </is>
      </c>
      <c r="D5232" s="1" t="n">
        <v>45075</v>
      </c>
      <c r="E5232" s="1" t="n">
        <v>46323</v>
      </c>
      <c r="F5232" t="inlineStr">
        <is>
          <t>KALMAR LÄN</t>
        </is>
      </c>
      <c r="G5232" t="inlineStr">
        <is>
          <t>NYBRO</t>
        </is>
      </c>
      <c r="I5232" t="n">
        <v>1.9</v>
      </c>
      <c r="J5232" t="n">
        <v>0</v>
      </c>
      <c r="K5232" t="n">
        <v>0</v>
      </c>
      <c r="L5232" t="n">
        <v>0</v>
      </c>
      <c r="M5232" t="n">
        <v>0</v>
      </c>
      <c r="N5232" t="n">
        <v>0</v>
      </c>
      <c r="O5232" t="n">
        <v>0</v>
      </c>
      <c r="P5232" t="n">
        <v>0</v>
      </c>
      <c r="Q5232" t="n">
        <v>0</v>
      </c>
      <c r="R5232" t="n">
        <v>0</v>
      </c>
      <c r="S5232" t="n">
        <v>0</v>
      </c>
      <c r="T5232" t="n">
        <v>0</v>
      </c>
      <c r="U5232" t="n">
        <v>0</v>
      </c>
      <c r="V5232" s="2" t="inlineStr"/>
    </row>
    <row r="5233" ht="15" customHeight="1">
      <c r="A5233" t="inlineStr">
        <is>
          <t>A 6123-2024</t>
        </is>
      </c>
      <c r="B5233" t="inlineStr">
        <is>
          <t>avverkningsanmälan</t>
        </is>
      </c>
      <c r="C5233" t="inlineStr">
        <is>
          <t>Föryngringsavverkning</t>
        </is>
      </c>
      <c r="D5233" s="1" t="n">
        <v>45337</v>
      </c>
      <c r="E5233" s="1" t="n">
        <v>46323</v>
      </c>
      <c r="F5233" t="inlineStr">
        <is>
          <t>KALMAR LÄN</t>
        </is>
      </c>
      <c r="G5233" t="inlineStr">
        <is>
          <t>OSKARSHAMN</t>
        </is>
      </c>
      <c r="I5233" t="n">
        <v>3.8</v>
      </c>
      <c r="J5233" t="n">
        <v>0</v>
      </c>
      <c r="K5233" t="n">
        <v>0</v>
      </c>
      <c r="L5233" t="n">
        <v>0</v>
      </c>
      <c r="M5233" t="n">
        <v>0</v>
      </c>
      <c r="N5233" t="n">
        <v>0</v>
      </c>
      <c r="O5233" t="n">
        <v>0</v>
      </c>
      <c r="P5233" t="n">
        <v>0</v>
      </c>
      <c r="Q5233" t="n">
        <v>0</v>
      </c>
      <c r="R5233" t="n">
        <v>0</v>
      </c>
      <c r="S5233" t="n">
        <v>0</v>
      </c>
      <c r="T5233" t="n">
        <v>0</v>
      </c>
      <c r="U5233" t="n">
        <v>0</v>
      </c>
      <c r="V5233" s="2" t="inlineStr"/>
    </row>
    <row r="5234" ht="15" customHeight="1">
      <c r="A5234" t="inlineStr">
        <is>
          <t>A 23231-2023</t>
        </is>
      </c>
      <c r="B5234" t="inlineStr">
        <is>
          <t>avverkningsanmälan</t>
        </is>
      </c>
      <c r="C5234" t="inlineStr">
        <is>
          <t>Föryngringsavverkning</t>
        </is>
      </c>
      <c r="D5234" s="1" t="n">
        <v>45075</v>
      </c>
      <c r="E5234" s="1" t="n">
        <v>46323</v>
      </c>
      <c r="F5234" t="inlineStr">
        <is>
          <t>KALMAR LÄN</t>
        </is>
      </c>
      <c r="G5234" t="inlineStr">
        <is>
          <t>KALMAR</t>
        </is>
      </c>
      <c r="I5234" t="n">
        <v>0.7</v>
      </c>
      <c r="J5234" t="n">
        <v>0</v>
      </c>
      <c r="K5234" t="n">
        <v>0</v>
      </c>
      <c r="L5234" t="n">
        <v>0</v>
      </c>
      <c r="M5234" t="n">
        <v>0</v>
      </c>
      <c r="N5234" t="n">
        <v>0</v>
      </c>
      <c r="O5234" t="n">
        <v>0</v>
      </c>
      <c r="P5234" t="n">
        <v>0</v>
      </c>
      <c r="Q5234" t="n">
        <v>0</v>
      </c>
      <c r="R5234" t="n">
        <v>0</v>
      </c>
      <c r="S5234" t="n">
        <v>0</v>
      </c>
      <c r="T5234" t="n">
        <v>0</v>
      </c>
      <c r="U5234" t="n">
        <v>0</v>
      </c>
      <c r="V5234" s="2" t="inlineStr"/>
    </row>
    <row r="5235" ht="15" customHeight="1">
      <c r="A5235" t="inlineStr">
        <is>
          <t>A 22878-2024</t>
        </is>
      </c>
      <c r="B5235" t="inlineStr">
        <is>
          <t>avverkningsanmälan</t>
        </is>
      </c>
      <c r="C5235" t="inlineStr">
        <is>
          <t>Föryngringsavverkning</t>
        </is>
      </c>
      <c r="D5235" s="1" t="n">
        <v>45448</v>
      </c>
      <c r="E5235" s="1" t="n">
        <v>46323</v>
      </c>
      <c r="F5235" t="inlineStr">
        <is>
          <t>KALMAR LÄN</t>
        </is>
      </c>
      <c r="G5235" t="inlineStr">
        <is>
          <t>OSKARSHAMN</t>
        </is>
      </c>
      <c r="I5235" t="n">
        <v>3.1</v>
      </c>
      <c r="J5235" t="n">
        <v>0</v>
      </c>
      <c r="K5235" t="n">
        <v>0</v>
      </c>
      <c r="L5235" t="n">
        <v>0</v>
      </c>
      <c r="M5235" t="n">
        <v>0</v>
      </c>
      <c r="N5235" t="n">
        <v>0</v>
      </c>
      <c r="O5235" t="n">
        <v>0</v>
      </c>
      <c r="P5235" t="n">
        <v>0</v>
      </c>
      <c r="Q5235" t="n">
        <v>0</v>
      </c>
      <c r="R5235" t="n">
        <v>0</v>
      </c>
      <c r="S5235" t="n">
        <v>0</v>
      </c>
      <c r="T5235" t="n">
        <v>0</v>
      </c>
      <c r="U5235" t="n">
        <v>0</v>
      </c>
      <c r="V5235" s="2" t="inlineStr"/>
    </row>
    <row r="5236" ht="15" customHeight="1">
      <c r="A5236" t="inlineStr">
        <is>
          <t>A 22880-2024</t>
        </is>
      </c>
      <c r="B5236" t="inlineStr">
        <is>
          <t>avverkningsanmälan</t>
        </is>
      </c>
      <c r="C5236" t="inlineStr">
        <is>
          <t>Föryngringsavverkning</t>
        </is>
      </c>
      <c r="D5236" s="1" t="n">
        <v>45448</v>
      </c>
      <c r="E5236" s="1" t="n">
        <v>46323</v>
      </c>
      <c r="F5236" t="inlineStr">
        <is>
          <t>KALMAR LÄN</t>
        </is>
      </c>
      <c r="G5236" t="inlineStr">
        <is>
          <t>OSKARSHAMN</t>
        </is>
      </c>
      <c r="I5236" t="n">
        <v>3.2</v>
      </c>
      <c r="J5236" t="n">
        <v>0</v>
      </c>
      <c r="K5236" t="n">
        <v>0</v>
      </c>
      <c r="L5236" t="n">
        <v>0</v>
      </c>
      <c r="M5236" t="n">
        <v>0</v>
      </c>
      <c r="N5236" t="n">
        <v>0</v>
      </c>
      <c r="O5236" t="n">
        <v>0</v>
      </c>
      <c r="P5236" t="n">
        <v>0</v>
      </c>
      <c r="Q5236" t="n">
        <v>0</v>
      </c>
      <c r="R5236" t="n">
        <v>0</v>
      </c>
      <c r="S5236" t="n">
        <v>0</v>
      </c>
      <c r="T5236" t="n">
        <v>0</v>
      </c>
      <c r="U5236" t="n">
        <v>0</v>
      </c>
      <c r="V5236" s="2" t="inlineStr"/>
    </row>
    <row r="5237" ht="15" customHeight="1">
      <c r="A5237" t="inlineStr">
        <is>
          <t>A 19474-2026</t>
        </is>
      </c>
      <c r="B5237" t="inlineStr">
        <is>
          <t>avverkningsanmälan</t>
        </is>
      </c>
      <c r="C5237" t="inlineStr">
        <is>
          <t>Föryngringsavverkning</t>
        </is>
      </c>
      <c r="D5237" s="1" t="n">
        <v>46133</v>
      </c>
      <c r="E5237" s="1" t="n">
        <v>46323</v>
      </c>
      <c r="F5237" t="inlineStr">
        <is>
          <t>KALMAR LÄN</t>
        </is>
      </c>
      <c r="G5237" t="inlineStr">
        <is>
          <t>NYBRO</t>
        </is>
      </c>
      <c r="I5237" t="n">
        <v>1</v>
      </c>
      <c r="J5237" t="n">
        <v>0</v>
      </c>
      <c r="K5237" t="n">
        <v>0</v>
      </c>
      <c r="L5237" t="n">
        <v>0</v>
      </c>
      <c r="M5237" t="n">
        <v>0</v>
      </c>
      <c r="N5237" t="n">
        <v>0</v>
      </c>
      <c r="O5237" t="n">
        <v>0</v>
      </c>
      <c r="P5237" t="n">
        <v>0</v>
      </c>
      <c r="Q5237" t="n">
        <v>0</v>
      </c>
      <c r="R5237" t="n">
        <v>0</v>
      </c>
      <c r="S5237" t="n">
        <v>0</v>
      </c>
      <c r="T5237" t="n">
        <v>0</v>
      </c>
      <c r="U5237" t="n">
        <v>0</v>
      </c>
      <c r="V5237" s="2" t="inlineStr"/>
    </row>
    <row r="5238" ht="15" customHeight="1">
      <c r="A5238" t="inlineStr">
        <is>
          <t>A 19484-2026</t>
        </is>
      </c>
      <c r="B5238" t="inlineStr">
        <is>
          <t>avverkningsanmälan</t>
        </is>
      </c>
      <c r="C5238" t="inlineStr">
        <is>
          <t>Föryngringsavverkning</t>
        </is>
      </c>
      <c r="D5238" s="1" t="n">
        <v>46134</v>
      </c>
      <c r="E5238" s="1" t="n">
        <v>46323</v>
      </c>
      <c r="F5238" t="inlineStr">
        <is>
          <t>KALMAR LÄN</t>
        </is>
      </c>
      <c r="G5238" t="inlineStr">
        <is>
          <t>HÖGSBY</t>
        </is>
      </c>
      <c r="I5238" t="n">
        <v>3.9</v>
      </c>
      <c r="J5238" t="n">
        <v>0</v>
      </c>
      <c r="K5238" t="n">
        <v>0</v>
      </c>
      <c r="L5238" t="n">
        <v>0</v>
      </c>
      <c r="M5238" t="n">
        <v>0</v>
      </c>
      <c r="N5238" t="n">
        <v>0</v>
      </c>
      <c r="O5238" t="n">
        <v>0</v>
      </c>
      <c r="P5238" t="n">
        <v>0</v>
      </c>
      <c r="Q5238" t="n">
        <v>0</v>
      </c>
      <c r="R5238" t="n">
        <v>0</v>
      </c>
      <c r="S5238" t="n">
        <v>0</v>
      </c>
      <c r="T5238" t="n">
        <v>0</v>
      </c>
      <c r="U5238" t="n">
        <v>0</v>
      </c>
      <c r="V5238" s="2" t="inlineStr"/>
    </row>
    <row r="5239" ht="15" customHeight="1">
      <c r="A5239" t="inlineStr">
        <is>
          <t>A 8807-2024</t>
        </is>
      </c>
      <c r="B5239" t="inlineStr">
        <is>
          <t>avverkningsanmälan</t>
        </is>
      </c>
      <c r="C5239" t="inlineStr">
        <is>
          <t>Föryngringsavverkning</t>
        </is>
      </c>
      <c r="D5239" s="1" t="n">
        <v>45355</v>
      </c>
      <c r="E5239" s="1" t="n">
        <v>46323</v>
      </c>
      <c r="F5239" t="inlineStr">
        <is>
          <t>KALMAR LÄN</t>
        </is>
      </c>
      <c r="G5239" t="inlineStr">
        <is>
          <t>HULTSFRED</t>
        </is>
      </c>
      <c r="I5239" t="n">
        <v>1.7</v>
      </c>
      <c r="J5239" t="n">
        <v>0</v>
      </c>
      <c r="K5239" t="n">
        <v>0</v>
      </c>
      <c r="L5239" t="n">
        <v>0</v>
      </c>
      <c r="M5239" t="n">
        <v>0</v>
      </c>
      <c r="N5239" t="n">
        <v>0</v>
      </c>
      <c r="O5239" t="n">
        <v>0</v>
      </c>
      <c r="P5239" t="n">
        <v>0</v>
      </c>
      <c r="Q5239" t="n">
        <v>0</v>
      </c>
      <c r="R5239" t="n">
        <v>0</v>
      </c>
      <c r="S5239" t="n">
        <v>0</v>
      </c>
      <c r="T5239" t="n">
        <v>0</v>
      </c>
      <c r="U5239" t="n">
        <v>0</v>
      </c>
      <c r="V5239" s="2" t="inlineStr"/>
    </row>
    <row r="5240" ht="15" customHeight="1">
      <c r="A5240" t="inlineStr">
        <is>
          <t>A 37866-2025</t>
        </is>
      </c>
      <c r="B5240" t="inlineStr">
        <is>
          <t>avverkningsanmälan</t>
        </is>
      </c>
      <c r="C5240" t="inlineStr">
        <is>
          <t>Föryngringsavverkning</t>
        </is>
      </c>
      <c r="D5240" s="1" t="n">
        <v>45881</v>
      </c>
      <c r="E5240" s="1" t="n">
        <v>46323</v>
      </c>
      <c r="F5240" t="inlineStr">
        <is>
          <t>KALMAR LÄN</t>
        </is>
      </c>
      <c r="G5240" t="inlineStr">
        <is>
          <t>VIMMERBY</t>
        </is>
      </c>
      <c r="I5240" t="n">
        <v>3.4</v>
      </c>
      <c r="J5240" t="n">
        <v>0</v>
      </c>
      <c r="K5240" t="n">
        <v>0</v>
      </c>
      <c r="L5240" t="n">
        <v>0</v>
      </c>
      <c r="M5240" t="n">
        <v>0</v>
      </c>
      <c r="N5240" t="n">
        <v>0</v>
      </c>
      <c r="O5240" t="n">
        <v>0</v>
      </c>
      <c r="P5240" t="n">
        <v>0</v>
      </c>
      <c r="Q5240" t="n">
        <v>0</v>
      </c>
      <c r="R5240" t="n">
        <v>0</v>
      </c>
      <c r="S5240" t="n">
        <v>0</v>
      </c>
      <c r="T5240" t="n">
        <v>0</v>
      </c>
      <c r="U5240" t="n">
        <v>0</v>
      </c>
      <c r="V5240" s="2" t="inlineStr"/>
    </row>
    <row r="5241" ht="15" customHeight="1">
      <c r="A5241" t="inlineStr">
        <is>
          <t>A 37419-2024</t>
        </is>
      </c>
      <c r="B5241" t="inlineStr">
        <is>
          <t>avverkningsanmälan</t>
        </is>
      </c>
      <c r="C5241" t="inlineStr">
        <is>
          <t>Föryngringsavverkning</t>
        </is>
      </c>
      <c r="D5241" s="1" t="n">
        <v>45540</v>
      </c>
      <c r="E5241" s="1" t="n">
        <v>46323</v>
      </c>
      <c r="F5241" t="inlineStr">
        <is>
          <t>KALMAR LÄN</t>
        </is>
      </c>
      <c r="G5241" t="inlineStr">
        <is>
          <t>MÖNSTERÅS</t>
        </is>
      </c>
      <c r="I5241" t="n">
        <v>7.5</v>
      </c>
      <c r="J5241" t="n">
        <v>0</v>
      </c>
      <c r="K5241" t="n">
        <v>0</v>
      </c>
      <c r="L5241" t="n">
        <v>0</v>
      </c>
      <c r="M5241" t="n">
        <v>0</v>
      </c>
      <c r="N5241" t="n">
        <v>0</v>
      </c>
      <c r="O5241" t="n">
        <v>0</v>
      </c>
      <c r="P5241" t="n">
        <v>0</v>
      </c>
      <c r="Q5241" t="n">
        <v>0</v>
      </c>
      <c r="R5241" t="n">
        <v>0</v>
      </c>
      <c r="S5241" t="n">
        <v>0</v>
      </c>
      <c r="T5241" t="n">
        <v>0</v>
      </c>
      <c r="U5241" t="n">
        <v>0</v>
      </c>
      <c r="V5241" s="2" t="inlineStr"/>
    </row>
    <row r="5242" ht="15" customHeight="1">
      <c r="A5242" t="inlineStr">
        <is>
          <t>A 42859-2025</t>
        </is>
      </c>
      <c r="B5242" t="inlineStr">
        <is>
          <t>avverkningsanmälan</t>
        </is>
      </c>
      <c r="C5242" t="inlineStr">
        <is>
          <t>Föryngringsavverkning</t>
        </is>
      </c>
      <c r="D5242" s="1" t="n">
        <v>45908</v>
      </c>
      <c r="E5242" s="1" t="n">
        <v>46323</v>
      </c>
      <c r="F5242" t="inlineStr">
        <is>
          <t>KALMAR LÄN</t>
        </is>
      </c>
      <c r="G5242" t="inlineStr">
        <is>
          <t>HULTSFRED</t>
        </is>
      </c>
      <c r="I5242" t="n">
        <v>1.8</v>
      </c>
      <c r="J5242" t="n">
        <v>0</v>
      </c>
      <c r="K5242" t="n">
        <v>0</v>
      </c>
      <c r="L5242" t="n">
        <v>0</v>
      </c>
      <c r="M5242" t="n">
        <v>0</v>
      </c>
      <c r="N5242" t="n">
        <v>0</v>
      </c>
      <c r="O5242" t="n">
        <v>0</v>
      </c>
      <c r="P5242" t="n">
        <v>0</v>
      </c>
      <c r="Q5242" t="n">
        <v>0</v>
      </c>
      <c r="R5242" t="n">
        <v>0</v>
      </c>
      <c r="S5242" t="n">
        <v>0</v>
      </c>
      <c r="T5242" t="n">
        <v>0</v>
      </c>
      <c r="U5242" t="n">
        <v>0</v>
      </c>
      <c r="V5242" s="2" t="inlineStr"/>
    </row>
    <row r="5243" ht="15" customHeight="1">
      <c r="A5243" t="inlineStr">
        <is>
          <t>A 20018-2026</t>
        </is>
      </c>
      <c r="B5243" t="inlineStr">
        <is>
          <t>avverkningsanmälan</t>
        </is>
      </c>
      <c r="C5243" t="inlineStr">
        <is>
          <t>Föryngringsavverkning</t>
        </is>
      </c>
      <c r="D5243" s="1" t="n">
        <v>46136</v>
      </c>
      <c r="E5243" s="1" t="n">
        <v>46323</v>
      </c>
      <c r="F5243" t="inlineStr">
        <is>
          <t>KALMAR LÄN</t>
        </is>
      </c>
      <c r="G5243" t="inlineStr">
        <is>
          <t>VIMMERBY</t>
        </is>
      </c>
      <c r="I5243" t="n">
        <v>0.5</v>
      </c>
      <c r="J5243" t="n">
        <v>0</v>
      </c>
      <c r="K5243" t="n">
        <v>0</v>
      </c>
      <c r="L5243" t="n">
        <v>0</v>
      </c>
      <c r="M5243" t="n">
        <v>0</v>
      </c>
      <c r="N5243" t="n">
        <v>0</v>
      </c>
      <c r="O5243" t="n">
        <v>0</v>
      </c>
      <c r="P5243" t="n">
        <v>0</v>
      </c>
      <c r="Q5243" t="n">
        <v>0</v>
      </c>
      <c r="R5243" t="n">
        <v>0</v>
      </c>
      <c r="S5243" t="n">
        <v>0</v>
      </c>
      <c r="T5243" t="n">
        <v>0</v>
      </c>
      <c r="U5243" t="n">
        <v>0</v>
      </c>
      <c r="V5243" s="2" t="inlineStr"/>
    </row>
    <row r="5244" ht="15" customHeight="1">
      <c r="A5244" t="inlineStr">
        <is>
          <t>A 47989-2022</t>
        </is>
      </c>
      <c r="B5244" t="inlineStr">
        <is>
          <t>avverkningsanmälan</t>
        </is>
      </c>
      <c r="C5244" t="inlineStr">
        <is>
          <t>Föryngringsavverkning</t>
        </is>
      </c>
      <c r="D5244" s="1" t="n">
        <v>44855</v>
      </c>
      <c r="E5244" s="1" t="n">
        <v>46323</v>
      </c>
      <c r="F5244" t="inlineStr">
        <is>
          <t>KALMAR LÄN</t>
        </is>
      </c>
      <c r="G5244" t="inlineStr">
        <is>
          <t>KALMAR</t>
        </is>
      </c>
      <c r="I5244" t="n">
        <v>0.8</v>
      </c>
      <c r="J5244" t="n">
        <v>0</v>
      </c>
      <c r="K5244" t="n">
        <v>0</v>
      </c>
      <c r="L5244" t="n">
        <v>0</v>
      </c>
      <c r="M5244" t="n">
        <v>0</v>
      </c>
      <c r="N5244" t="n">
        <v>0</v>
      </c>
      <c r="O5244" t="n">
        <v>0</v>
      </c>
      <c r="P5244" t="n">
        <v>0</v>
      </c>
      <c r="Q5244" t="n">
        <v>0</v>
      </c>
      <c r="R5244" t="n">
        <v>0</v>
      </c>
      <c r="S5244" t="n">
        <v>0</v>
      </c>
      <c r="T5244" t="n">
        <v>0</v>
      </c>
      <c r="U5244" t="n">
        <v>0</v>
      </c>
      <c r="V5244" s="2" t="inlineStr"/>
    </row>
    <row r="5245" ht="15" customHeight="1">
      <c r="A5245" t="inlineStr">
        <is>
          <t>A 13024-2026</t>
        </is>
      </c>
      <c r="B5245" t="inlineStr">
        <is>
          <t>avverkningsanmälan</t>
        </is>
      </c>
      <c r="C5245" t="inlineStr">
        <is>
          <t>Föryngringsavverkning</t>
        </is>
      </c>
      <c r="D5245" s="1" t="n">
        <v>46092</v>
      </c>
      <c r="E5245" s="1" t="n">
        <v>46323</v>
      </c>
      <c r="F5245" t="inlineStr">
        <is>
          <t>KALMAR LÄN</t>
        </is>
      </c>
      <c r="G5245" t="inlineStr">
        <is>
          <t>TORSÅS</t>
        </is>
      </c>
      <c r="I5245" t="n">
        <v>0.6</v>
      </c>
      <c r="J5245" t="n">
        <v>0</v>
      </c>
      <c r="K5245" t="n">
        <v>0</v>
      </c>
      <c r="L5245" t="n">
        <v>0</v>
      </c>
      <c r="M5245" t="n">
        <v>0</v>
      </c>
      <c r="N5245" t="n">
        <v>0</v>
      </c>
      <c r="O5245" t="n">
        <v>0</v>
      </c>
      <c r="P5245" t="n">
        <v>0</v>
      </c>
      <c r="Q5245" t="n">
        <v>0</v>
      </c>
      <c r="R5245" t="n">
        <v>0</v>
      </c>
      <c r="S5245" t="n">
        <v>0</v>
      </c>
      <c r="T5245" t="n">
        <v>0</v>
      </c>
      <c r="U5245" t="n">
        <v>0</v>
      </c>
      <c r="V5245" s="2" t="inlineStr"/>
    </row>
    <row r="5246" ht="15" customHeight="1">
      <c r="A5246" t="inlineStr">
        <is>
          <t>A 13027-2026</t>
        </is>
      </c>
      <c r="B5246" t="inlineStr">
        <is>
          <t>avverkningsanmälan</t>
        </is>
      </c>
      <c r="C5246" t="inlineStr">
        <is>
          <t>Föryngringsavverkning</t>
        </is>
      </c>
      <c r="D5246" s="1" t="n">
        <v>46092</v>
      </c>
      <c r="E5246" s="1" t="n">
        <v>46323</v>
      </c>
      <c r="F5246" t="inlineStr">
        <is>
          <t>KALMAR LÄN</t>
        </is>
      </c>
      <c r="G5246" t="inlineStr">
        <is>
          <t>TORSÅS</t>
        </is>
      </c>
      <c r="I5246" t="n">
        <v>0.4</v>
      </c>
      <c r="J5246" t="n">
        <v>0</v>
      </c>
      <c r="K5246" t="n">
        <v>0</v>
      </c>
      <c r="L5246" t="n">
        <v>0</v>
      </c>
      <c r="M5246" t="n">
        <v>0</v>
      </c>
      <c r="N5246" t="n">
        <v>0</v>
      </c>
      <c r="O5246" t="n">
        <v>0</v>
      </c>
      <c r="P5246" t="n">
        <v>0</v>
      </c>
      <c r="Q5246" t="n">
        <v>0</v>
      </c>
      <c r="R5246" t="n">
        <v>0</v>
      </c>
      <c r="S5246" t="n">
        <v>0</v>
      </c>
      <c r="T5246" t="n">
        <v>0</v>
      </c>
      <c r="U5246" t="n">
        <v>0</v>
      </c>
      <c r="V5246" s="2" t="inlineStr"/>
    </row>
    <row r="5247" ht="15" customHeight="1">
      <c r="A5247" t="inlineStr">
        <is>
          <t>A 41598-2026</t>
        </is>
      </c>
      <c r="B5247" t="inlineStr">
        <is>
          <t>avverkningsanmälan</t>
        </is>
      </c>
      <c r="C5247" t="inlineStr">
        <is>
          <t>Föryngringsavverkning</t>
        </is>
      </c>
      <c r="D5247" s="1" t="n">
        <v>46302</v>
      </c>
      <c r="E5247" s="1" t="n">
        <v>46323</v>
      </c>
      <c r="F5247" t="inlineStr">
        <is>
          <t>KALMAR LÄN</t>
        </is>
      </c>
      <c r="G5247" t="inlineStr">
        <is>
          <t>OSKARSHAMN</t>
        </is>
      </c>
      <c r="I5247" t="n">
        <v>1.4</v>
      </c>
      <c r="J5247" t="n">
        <v>0</v>
      </c>
      <c r="K5247" t="n">
        <v>0</v>
      </c>
      <c r="L5247" t="n">
        <v>0</v>
      </c>
      <c r="M5247" t="n">
        <v>0</v>
      </c>
      <c r="N5247" t="n">
        <v>0</v>
      </c>
      <c r="O5247" t="n">
        <v>0</v>
      </c>
      <c r="P5247" t="n">
        <v>0</v>
      </c>
      <c r="Q5247" t="n">
        <v>0</v>
      </c>
      <c r="R5247" t="n">
        <v>0</v>
      </c>
      <c r="S5247" t="n">
        <v>0</v>
      </c>
      <c r="T5247" t="n">
        <v>0</v>
      </c>
      <c r="U5247" t="n">
        <v>0</v>
      </c>
      <c r="V5247" s="2" t="inlineStr"/>
    </row>
    <row r="5248" ht="15" customHeight="1">
      <c r="A5248" t="inlineStr">
        <is>
          <t>A 41611-2026</t>
        </is>
      </c>
      <c r="B5248" t="inlineStr">
        <is>
          <t>avverkningsanmälan</t>
        </is>
      </c>
      <c r="C5248" t="inlineStr">
        <is>
          <t>Avverkning för annat ändamål</t>
        </is>
      </c>
      <c r="D5248" s="1" t="n">
        <v>46302</v>
      </c>
      <c r="E5248" s="1" t="n">
        <v>46323</v>
      </c>
      <c r="F5248" t="inlineStr">
        <is>
          <t>KALMAR LÄN</t>
        </is>
      </c>
      <c r="G5248" t="inlineStr">
        <is>
          <t>HULTSFRED</t>
        </is>
      </c>
      <c r="I5248" t="n">
        <v>0.4</v>
      </c>
      <c r="J5248" t="n">
        <v>0</v>
      </c>
      <c r="K5248" t="n">
        <v>0</v>
      </c>
      <c r="L5248" t="n">
        <v>0</v>
      </c>
      <c r="M5248" t="n">
        <v>0</v>
      </c>
      <c r="N5248" t="n">
        <v>0</v>
      </c>
      <c r="O5248" t="n">
        <v>0</v>
      </c>
      <c r="P5248" t="n">
        <v>0</v>
      </c>
      <c r="Q5248" t="n">
        <v>0</v>
      </c>
      <c r="R5248" t="n">
        <v>0</v>
      </c>
      <c r="S5248" t="n">
        <v>0</v>
      </c>
      <c r="T5248" t="n">
        <v>0</v>
      </c>
      <c r="U5248" t="n">
        <v>0</v>
      </c>
      <c r="V5248" s="2" t="inlineStr"/>
    </row>
    <row r="5249" ht="15" customHeight="1">
      <c r="A5249" t="inlineStr">
        <is>
          <t>A 2318-2026</t>
        </is>
      </c>
      <c r="B5249" t="inlineStr">
        <is>
          <t>avverkningsanmälan</t>
        </is>
      </c>
      <c r="C5249" t="inlineStr">
        <is>
          <t>Föryngringsavverkning</t>
        </is>
      </c>
      <c r="D5249" s="1" t="n">
        <v>46036</v>
      </c>
      <c r="E5249" s="1" t="n">
        <v>46323</v>
      </c>
      <c r="F5249" t="inlineStr">
        <is>
          <t>KALMAR LÄN</t>
        </is>
      </c>
      <c r="G5249" t="inlineStr">
        <is>
          <t>KALMAR</t>
        </is>
      </c>
      <c r="I5249" t="n">
        <v>2</v>
      </c>
      <c r="J5249" t="n">
        <v>0</v>
      </c>
      <c r="K5249" t="n">
        <v>0</v>
      </c>
      <c r="L5249" t="n">
        <v>0</v>
      </c>
      <c r="M5249" t="n">
        <v>0</v>
      </c>
      <c r="N5249" t="n">
        <v>0</v>
      </c>
      <c r="O5249" t="n">
        <v>0</v>
      </c>
      <c r="P5249" t="n">
        <v>0</v>
      </c>
      <c r="Q5249" t="n">
        <v>0</v>
      </c>
      <c r="R5249" t="n">
        <v>0</v>
      </c>
      <c r="S5249" t="n">
        <v>0</v>
      </c>
      <c r="T5249" t="n">
        <v>0</v>
      </c>
      <c r="U5249" t="n">
        <v>0</v>
      </c>
      <c r="V5249" s="2" t="inlineStr"/>
    </row>
    <row r="5250" ht="15" customHeight="1">
      <c r="A5250" t="inlineStr">
        <is>
          <t>A 33958-2025</t>
        </is>
      </c>
      <c r="B5250" t="inlineStr">
        <is>
          <t>avverkningsanmälan</t>
        </is>
      </c>
      <c r="C5250" t="inlineStr">
        <is>
          <t>Föryngringsavverkning</t>
        </is>
      </c>
      <c r="D5250" s="1" t="n">
        <v>45842</v>
      </c>
      <c r="E5250" s="1" t="n">
        <v>46323</v>
      </c>
      <c r="F5250" t="inlineStr">
        <is>
          <t>KALMAR LÄN</t>
        </is>
      </c>
      <c r="G5250" t="inlineStr">
        <is>
          <t>HULTSFRED</t>
        </is>
      </c>
      <c r="I5250" t="n">
        <v>1.8</v>
      </c>
      <c r="J5250" t="n">
        <v>0</v>
      </c>
      <c r="K5250" t="n">
        <v>0</v>
      </c>
      <c r="L5250" t="n">
        <v>0</v>
      </c>
      <c r="M5250" t="n">
        <v>0</v>
      </c>
      <c r="N5250" t="n">
        <v>0</v>
      </c>
      <c r="O5250" t="n">
        <v>0</v>
      </c>
      <c r="P5250" t="n">
        <v>0</v>
      </c>
      <c r="Q5250" t="n">
        <v>0</v>
      </c>
      <c r="R5250" t="n">
        <v>0</v>
      </c>
      <c r="S5250" t="n">
        <v>0</v>
      </c>
      <c r="T5250" t="n">
        <v>0</v>
      </c>
      <c r="U5250" t="n">
        <v>0</v>
      </c>
      <c r="V5250" s="2" t="inlineStr"/>
    </row>
    <row r="5251" ht="15" customHeight="1">
      <c r="A5251" t="inlineStr">
        <is>
          <t>A 17864-2025</t>
        </is>
      </c>
      <c r="B5251" t="inlineStr">
        <is>
          <t>avverkningsanmälan</t>
        </is>
      </c>
      <c r="C5251" t="inlineStr">
        <is>
          <t>Föryngringsavverkning</t>
        </is>
      </c>
      <c r="D5251" s="1" t="n">
        <v>45758</v>
      </c>
      <c r="E5251" s="1" t="n">
        <v>46323</v>
      </c>
      <c r="F5251" t="inlineStr">
        <is>
          <t>KALMAR LÄN</t>
        </is>
      </c>
      <c r="G5251" t="inlineStr">
        <is>
          <t>HÖGSBY</t>
        </is>
      </c>
      <c r="I5251" t="n">
        <v>2.3</v>
      </c>
      <c r="J5251" t="n">
        <v>0</v>
      </c>
      <c r="K5251" t="n">
        <v>0</v>
      </c>
      <c r="L5251" t="n">
        <v>0</v>
      </c>
      <c r="M5251" t="n">
        <v>0</v>
      </c>
      <c r="N5251" t="n">
        <v>0</v>
      </c>
      <c r="O5251" t="n">
        <v>0</v>
      </c>
      <c r="P5251" t="n">
        <v>0</v>
      </c>
      <c r="Q5251" t="n">
        <v>0</v>
      </c>
      <c r="R5251" t="n">
        <v>0</v>
      </c>
      <c r="S5251" t="n">
        <v>0</v>
      </c>
      <c r="T5251" t="n">
        <v>0</v>
      </c>
      <c r="U5251" t="n">
        <v>0</v>
      </c>
      <c r="V5251" s="2" t="inlineStr"/>
    </row>
    <row r="5252" ht="15" customHeight="1">
      <c r="A5252" t="inlineStr">
        <is>
          <t>A 44188-2024</t>
        </is>
      </c>
      <c r="B5252" t="inlineStr">
        <is>
          <t>avverkningsanmälan</t>
        </is>
      </c>
      <c r="C5252" t="inlineStr">
        <is>
          <t>Föryngringsavverkning</t>
        </is>
      </c>
      <c r="D5252" s="1" t="n">
        <v>45573</v>
      </c>
      <c r="E5252" s="1" t="n">
        <v>46323</v>
      </c>
      <c r="F5252" t="inlineStr">
        <is>
          <t>KALMAR LÄN</t>
        </is>
      </c>
      <c r="G5252" t="inlineStr">
        <is>
          <t>HULTSFRED</t>
        </is>
      </c>
      <c r="I5252" t="n">
        <v>1.5</v>
      </c>
      <c r="J5252" t="n">
        <v>0</v>
      </c>
      <c r="K5252" t="n">
        <v>0</v>
      </c>
      <c r="L5252" t="n">
        <v>0</v>
      </c>
      <c r="M5252" t="n">
        <v>0</v>
      </c>
      <c r="N5252" t="n">
        <v>0</v>
      </c>
      <c r="O5252" t="n">
        <v>0</v>
      </c>
      <c r="P5252" t="n">
        <v>0</v>
      </c>
      <c r="Q5252" t="n">
        <v>0</v>
      </c>
      <c r="R5252" t="n">
        <v>0</v>
      </c>
      <c r="S5252" t="n">
        <v>0</v>
      </c>
      <c r="T5252" t="n">
        <v>0</v>
      </c>
      <c r="U5252" t="n">
        <v>0</v>
      </c>
      <c r="V5252" s="2" t="inlineStr"/>
    </row>
    <row r="5253" ht="15" customHeight="1">
      <c r="A5253" t="inlineStr">
        <is>
          <t>A 58640-2024</t>
        </is>
      </c>
      <c r="B5253" t="inlineStr">
        <is>
          <t>avverkningsanmälan</t>
        </is>
      </c>
      <c r="C5253" t="inlineStr">
        <is>
          <t>Föryngringsavverkning</t>
        </is>
      </c>
      <c r="D5253" s="1" t="n">
        <v>45632</v>
      </c>
      <c r="E5253" s="1" t="n">
        <v>46323</v>
      </c>
      <c r="F5253" t="inlineStr">
        <is>
          <t>KALMAR LÄN</t>
        </is>
      </c>
      <c r="G5253" t="inlineStr">
        <is>
          <t>EMMABODA</t>
        </is>
      </c>
      <c r="I5253" t="n">
        <v>2.5</v>
      </c>
      <c r="J5253" t="n">
        <v>0</v>
      </c>
      <c r="K5253" t="n">
        <v>0</v>
      </c>
      <c r="L5253" t="n">
        <v>0</v>
      </c>
      <c r="M5253" t="n">
        <v>0</v>
      </c>
      <c r="N5253" t="n">
        <v>0</v>
      </c>
      <c r="O5253" t="n">
        <v>0</v>
      </c>
      <c r="P5253" t="n">
        <v>0</v>
      </c>
      <c r="Q5253" t="n">
        <v>0</v>
      </c>
      <c r="R5253" t="n">
        <v>0</v>
      </c>
      <c r="S5253" t="n">
        <v>0</v>
      </c>
      <c r="T5253" t="n">
        <v>0</v>
      </c>
      <c r="U5253" t="n">
        <v>0</v>
      </c>
      <c r="V5253" s="2" t="inlineStr"/>
    </row>
    <row r="5254" ht="15" customHeight="1">
      <c r="A5254" t="inlineStr">
        <is>
          <t>A 34926-2026</t>
        </is>
      </c>
      <c r="B5254" t="inlineStr">
        <is>
          <t>avverkningsanmälan</t>
        </is>
      </c>
      <c r="C5254" t="inlineStr">
        <is>
          <t>Föryngringsavverkning</t>
        </is>
      </c>
      <c r="D5254" s="1" t="n">
        <v>46259</v>
      </c>
      <c r="E5254" s="1" t="n">
        <v>46323</v>
      </c>
      <c r="F5254" t="inlineStr">
        <is>
          <t>KALMAR LÄN</t>
        </is>
      </c>
      <c r="G5254" t="inlineStr">
        <is>
          <t>EMMABODA</t>
        </is>
      </c>
      <c r="I5254" t="n">
        <v>2.2</v>
      </c>
      <c r="J5254" t="n">
        <v>0</v>
      </c>
      <c r="K5254" t="n">
        <v>0</v>
      </c>
      <c r="L5254" t="n">
        <v>0</v>
      </c>
      <c r="M5254" t="n">
        <v>0</v>
      </c>
      <c r="N5254" t="n">
        <v>0</v>
      </c>
      <c r="O5254" t="n">
        <v>0</v>
      </c>
      <c r="P5254" t="n">
        <v>0</v>
      </c>
      <c r="Q5254" t="n">
        <v>0</v>
      </c>
      <c r="R5254" t="n">
        <v>0</v>
      </c>
      <c r="S5254" t="n">
        <v>0</v>
      </c>
      <c r="T5254" t="n">
        <v>0</v>
      </c>
      <c r="U5254" t="n">
        <v>0</v>
      </c>
      <c r="V5254" s="2" t="inlineStr"/>
    </row>
    <row r="5255" ht="15" customHeight="1">
      <c r="A5255" t="inlineStr">
        <is>
          <t>A 34944-2026</t>
        </is>
      </c>
      <c r="B5255" t="inlineStr">
        <is>
          <t>avverkningsanmälan</t>
        </is>
      </c>
      <c r="C5255" t="inlineStr">
        <is>
          <t>Föryngringsavverkning</t>
        </is>
      </c>
      <c r="D5255" s="1" t="n">
        <v>46259</v>
      </c>
      <c r="E5255" s="1" t="n">
        <v>46323</v>
      </c>
      <c r="F5255" t="inlineStr">
        <is>
          <t>KALMAR LÄN</t>
        </is>
      </c>
      <c r="G5255" t="inlineStr">
        <is>
          <t>HULTSFRED</t>
        </is>
      </c>
      <c r="I5255" t="n">
        <v>1.2</v>
      </c>
      <c r="J5255" t="n">
        <v>0</v>
      </c>
      <c r="K5255" t="n">
        <v>0</v>
      </c>
      <c r="L5255" t="n">
        <v>0</v>
      </c>
      <c r="M5255" t="n">
        <v>0</v>
      </c>
      <c r="N5255" t="n">
        <v>0</v>
      </c>
      <c r="O5255" t="n">
        <v>0</v>
      </c>
      <c r="P5255" t="n">
        <v>0</v>
      </c>
      <c r="Q5255" t="n">
        <v>0</v>
      </c>
      <c r="R5255" t="n">
        <v>0</v>
      </c>
      <c r="S5255" t="n">
        <v>0</v>
      </c>
      <c r="T5255" t="n">
        <v>0</v>
      </c>
      <c r="U5255" t="n">
        <v>0</v>
      </c>
      <c r="V5255" s="2" t="inlineStr"/>
    </row>
    <row r="5256" ht="15" customHeight="1">
      <c r="A5256" t="inlineStr">
        <is>
          <t>A 15448-2024</t>
        </is>
      </c>
      <c r="B5256" t="inlineStr">
        <is>
          <t>avverkningsanmälan</t>
        </is>
      </c>
      <c r="C5256" t="inlineStr">
        <is>
          <t>Föryngringsavverkning</t>
        </is>
      </c>
      <c r="D5256" s="1" t="n">
        <v>45401</v>
      </c>
      <c r="E5256" s="1" t="n">
        <v>46323</v>
      </c>
      <c r="F5256" t="inlineStr">
        <is>
          <t>KALMAR LÄN</t>
        </is>
      </c>
      <c r="G5256" t="inlineStr">
        <is>
          <t>EMMABODA</t>
        </is>
      </c>
      <c r="I5256" t="n">
        <v>3.2</v>
      </c>
      <c r="J5256" t="n">
        <v>0</v>
      </c>
      <c r="K5256" t="n">
        <v>0</v>
      </c>
      <c r="L5256" t="n">
        <v>0</v>
      </c>
      <c r="M5256" t="n">
        <v>0</v>
      </c>
      <c r="N5256" t="n">
        <v>0</v>
      </c>
      <c r="O5256" t="n">
        <v>0</v>
      </c>
      <c r="P5256" t="n">
        <v>0</v>
      </c>
      <c r="Q5256" t="n">
        <v>0</v>
      </c>
      <c r="R5256" t="n">
        <v>0</v>
      </c>
      <c r="S5256" t="n">
        <v>0</v>
      </c>
      <c r="T5256" t="n">
        <v>0</v>
      </c>
      <c r="U5256" t="n">
        <v>0</v>
      </c>
      <c r="V5256" s="2" t="inlineStr"/>
    </row>
    <row r="5257" ht="15" customHeight="1">
      <c r="A5257" t="inlineStr">
        <is>
          <t>A 28160-2026</t>
        </is>
      </c>
      <c r="B5257" t="inlineStr">
        <is>
          <t>avverkningsanmälan</t>
        </is>
      </c>
      <c r="C5257" t="inlineStr">
        <is>
          <t>Föryngringsavverkning</t>
        </is>
      </c>
      <c r="D5257" s="1" t="n">
        <v>46195</v>
      </c>
      <c r="E5257" s="1" t="n">
        <v>46323</v>
      </c>
      <c r="F5257" t="inlineStr">
        <is>
          <t>KALMAR LÄN</t>
        </is>
      </c>
      <c r="G5257" t="inlineStr">
        <is>
          <t>HÖGSBY</t>
        </is>
      </c>
      <c r="H5257" t="inlineStr">
        <is>
          <t>Kommuner</t>
        </is>
      </c>
      <c r="I5257" t="n">
        <v>2.1</v>
      </c>
      <c r="J5257" t="n">
        <v>0</v>
      </c>
      <c r="K5257" t="n">
        <v>0</v>
      </c>
      <c r="L5257" t="n">
        <v>0</v>
      </c>
      <c r="M5257" t="n">
        <v>0</v>
      </c>
      <c r="N5257" t="n">
        <v>0</v>
      </c>
      <c r="O5257" t="n">
        <v>0</v>
      </c>
      <c r="P5257" t="n">
        <v>0</v>
      </c>
      <c r="Q5257" t="n">
        <v>0</v>
      </c>
      <c r="R5257" t="n">
        <v>0</v>
      </c>
      <c r="S5257" t="n">
        <v>0</v>
      </c>
      <c r="T5257" t="n">
        <v>0</v>
      </c>
      <c r="U5257" t="n">
        <v>0</v>
      </c>
      <c r="V5257" s="2" t="inlineStr"/>
    </row>
    <row r="5258" ht="15" customHeight="1">
      <c r="A5258" t="inlineStr">
        <is>
          <t>A 28676-2024</t>
        </is>
      </c>
      <c r="B5258" t="inlineStr">
        <is>
          <t>avverkningsanmälan</t>
        </is>
      </c>
      <c r="C5258" t="inlineStr">
        <is>
          <t>Föryngringsavverkning</t>
        </is>
      </c>
      <c r="D5258" s="1" t="n">
        <v>45478</v>
      </c>
      <c r="E5258" s="1" t="n">
        <v>46323</v>
      </c>
      <c r="F5258" t="inlineStr">
        <is>
          <t>KALMAR LÄN</t>
        </is>
      </c>
      <c r="G5258" t="inlineStr">
        <is>
          <t>NYBRO</t>
        </is>
      </c>
      <c r="I5258" t="n">
        <v>1.8</v>
      </c>
      <c r="J5258" t="n">
        <v>0</v>
      </c>
      <c r="K5258" t="n">
        <v>0</v>
      </c>
      <c r="L5258" t="n">
        <v>0</v>
      </c>
      <c r="M5258" t="n">
        <v>0</v>
      </c>
      <c r="N5258" t="n">
        <v>0</v>
      </c>
      <c r="O5258" t="n">
        <v>0</v>
      </c>
      <c r="P5258" t="n">
        <v>0</v>
      </c>
      <c r="Q5258" t="n">
        <v>0</v>
      </c>
      <c r="R5258" t="n">
        <v>0</v>
      </c>
      <c r="S5258" t="n">
        <v>0</v>
      </c>
      <c r="T5258" t="n">
        <v>0</v>
      </c>
      <c r="U5258" t="n">
        <v>0</v>
      </c>
      <c r="V5258" s="2" t="inlineStr"/>
    </row>
    <row r="5259" ht="15" customHeight="1">
      <c r="A5259" t="inlineStr">
        <is>
          <t>A 16689-2025</t>
        </is>
      </c>
      <c r="B5259" t="inlineStr">
        <is>
          <t>avverkningsanmälan</t>
        </is>
      </c>
      <c r="C5259" t="inlineStr">
        <is>
          <t>Föryngringsavverkning</t>
        </is>
      </c>
      <c r="D5259" s="1" t="n">
        <v>45754</v>
      </c>
      <c r="E5259" s="1" t="n">
        <v>46323</v>
      </c>
      <c r="F5259" t="inlineStr">
        <is>
          <t>KALMAR LÄN</t>
        </is>
      </c>
      <c r="G5259" t="inlineStr">
        <is>
          <t>VÄSTERVIK</t>
        </is>
      </c>
      <c r="H5259" t="inlineStr">
        <is>
          <t>Sveaskog</t>
        </is>
      </c>
      <c r="I5259" t="n">
        <v>1.4</v>
      </c>
      <c r="J5259" t="n">
        <v>0</v>
      </c>
      <c r="K5259" t="n">
        <v>0</v>
      </c>
      <c r="L5259" t="n">
        <v>0</v>
      </c>
      <c r="M5259" t="n">
        <v>0</v>
      </c>
      <c r="N5259" t="n">
        <v>0</v>
      </c>
      <c r="O5259" t="n">
        <v>0</v>
      </c>
      <c r="P5259" t="n">
        <v>0</v>
      </c>
      <c r="Q5259" t="n">
        <v>0</v>
      </c>
      <c r="R5259" t="n">
        <v>0</v>
      </c>
      <c r="S5259" t="n">
        <v>0</v>
      </c>
      <c r="T5259" t="n">
        <v>0</v>
      </c>
      <c r="U5259" t="n">
        <v>0</v>
      </c>
      <c r="V5259" s="2" t="inlineStr"/>
    </row>
    <row r="5260" ht="15" customHeight="1">
      <c r="A5260" t="inlineStr">
        <is>
          <t>A 63711-2021</t>
        </is>
      </c>
      <c r="B5260" t="inlineStr">
        <is>
          <t>avverkningsanmälan</t>
        </is>
      </c>
      <c r="C5260" t="inlineStr">
        <is>
          <t>Föryngringsavverkning</t>
        </is>
      </c>
      <c r="D5260" s="1" t="n">
        <v>44505</v>
      </c>
      <c r="E5260" s="1" t="n">
        <v>46323</v>
      </c>
      <c r="F5260" t="inlineStr">
        <is>
          <t>KALMAR LÄN</t>
        </is>
      </c>
      <c r="G5260" t="inlineStr">
        <is>
          <t>OSKARSHAMN</t>
        </is>
      </c>
      <c r="I5260" t="n">
        <v>4.4</v>
      </c>
      <c r="J5260" t="n">
        <v>0</v>
      </c>
      <c r="K5260" t="n">
        <v>0</v>
      </c>
      <c r="L5260" t="n">
        <v>0</v>
      </c>
      <c r="M5260" t="n">
        <v>0</v>
      </c>
      <c r="N5260" t="n">
        <v>0</v>
      </c>
      <c r="O5260" t="n">
        <v>0</v>
      </c>
      <c r="P5260" t="n">
        <v>0</v>
      </c>
      <c r="Q5260" t="n">
        <v>0</v>
      </c>
      <c r="R5260" t="n">
        <v>0</v>
      </c>
      <c r="S5260" t="n">
        <v>0</v>
      </c>
      <c r="T5260" t="n">
        <v>0</v>
      </c>
      <c r="U5260" t="n">
        <v>0</v>
      </c>
      <c r="V5260" s="2" t="inlineStr"/>
    </row>
    <row r="5261" ht="15" customHeight="1">
      <c r="A5261" t="inlineStr">
        <is>
          <t>A 18631-2025</t>
        </is>
      </c>
      <c r="B5261" t="inlineStr">
        <is>
          <t>avverkningsanmälan</t>
        </is>
      </c>
      <c r="C5261" t="inlineStr">
        <is>
          <t>Föryngringsavverkning</t>
        </is>
      </c>
      <c r="D5261" s="1" t="n">
        <v>45763</v>
      </c>
      <c r="E5261" s="1" t="n">
        <v>46323</v>
      </c>
      <c r="F5261" t="inlineStr">
        <is>
          <t>KALMAR LÄN</t>
        </is>
      </c>
      <c r="G5261" t="inlineStr">
        <is>
          <t>OSKARSHAMN</t>
        </is>
      </c>
      <c r="I5261" t="n">
        <v>1.3</v>
      </c>
      <c r="J5261" t="n">
        <v>0</v>
      </c>
      <c r="K5261" t="n">
        <v>0</v>
      </c>
      <c r="L5261" t="n">
        <v>0</v>
      </c>
      <c r="M5261" t="n">
        <v>0</v>
      </c>
      <c r="N5261" t="n">
        <v>0</v>
      </c>
      <c r="O5261" t="n">
        <v>0</v>
      </c>
      <c r="P5261" t="n">
        <v>0</v>
      </c>
      <c r="Q5261" t="n">
        <v>0</v>
      </c>
      <c r="R5261" t="n">
        <v>0</v>
      </c>
      <c r="S5261" t="n">
        <v>0</v>
      </c>
      <c r="T5261" t="n">
        <v>0</v>
      </c>
      <c r="U5261" t="n">
        <v>0</v>
      </c>
      <c r="V5261" s="2" t="inlineStr"/>
    </row>
    <row r="5262" ht="15" customHeight="1">
      <c r="A5262" t="inlineStr">
        <is>
          <t>A 39411-2024</t>
        </is>
      </c>
      <c r="B5262" t="inlineStr">
        <is>
          <t>avverkningsanmälan</t>
        </is>
      </c>
      <c r="C5262" t="inlineStr">
        <is>
          <t>Föryngringsavverkning</t>
        </is>
      </c>
      <c r="D5262" s="1" t="n">
        <v>45551</v>
      </c>
      <c r="E5262" s="1" t="n">
        <v>46323</v>
      </c>
      <c r="F5262" t="inlineStr">
        <is>
          <t>KALMAR LÄN</t>
        </is>
      </c>
      <c r="G5262" t="inlineStr">
        <is>
          <t>EMMABODA</t>
        </is>
      </c>
      <c r="H5262" t="inlineStr">
        <is>
          <t>Sveaskog</t>
        </is>
      </c>
      <c r="I5262" t="n">
        <v>2.2</v>
      </c>
      <c r="J5262" t="n">
        <v>0</v>
      </c>
      <c r="K5262" t="n">
        <v>0</v>
      </c>
      <c r="L5262" t="n">
        <v>0</v>
      </c>
      <c r="M5262" t="n">
        <v>0</v>
      </c>
      <c r="N5262" t="n">
        <v>0</v>
      </c>
      <c r="O5262" t="n">
        <v>0</v>
      </c>
      <c r="P5262" t="n">
        <v>0</v>
      </c>
      <c r="Q5262" t="n">
        <v>0</v>
      </c>
      <c r="R5262" t="n">
        <v>0</v>
      </c>
      <c r="S5262" t="n">
        <v>0</v>
      </c>
      <c r="T5262" t="n">
        <v>0</v>
      </c>
      <c r="U5262" t="n">
        <v>0</v>
      </c>
      <c r="V5262" s="2" t="inlineStr"/>
    </row>
    <row r="5263" ht="15" customHeight="1">
      <c r="A5263" t="inlineStr">
        <is>
          <t>A 22524-2024</t>
        </is>
      </c>
      <c r="B5263" t="inlineStr">
        <is>
          <t>avverkningsanmälan</t>
        </is>
      </c>
      <c r="C5263" t="inlineStr">
        <is>
          <t>Föryngringsavverkning</t>
        </is>
      </c>
      <c r="D5263" s="1" t="n">
        <v>45447</v>
      </c>
      <c r="E5263" s="1" t="n">
        <v>46323</v>
      </c>
      <c r="F5263" t="inlineStr">
        <is>
          <t>KALMAR LÄN</t>
        </is>
      </c>
      <c r="G5263" t="inlineStr">
        <is>
          <t>HÖGSBY</t>
        </is>
      </c>
      <c r="I5263" t="n">
        <v>1.2</v>
      </c>
      <c r="J5263" t="n">
        <v>0</v>
      </c>
      <c r="K5263" t="n">
        <v>0</v>
      </c>
      <c r="L5263" t="n">
        <v>0</v>
      </c>
      <c r="M5263" t="n">
        <v>0</v>
      </c>
      <c r="N5263" t="n">
        <v>0</v>
      </c>
      <c r="O5263" t="n">
        <v>0</v>
      </c>
      <c r="P5263" t="n">
        <v>0</v>
      </c>
      <c r="Q5263" t="n">
        <v>0</v>
      </c>
      <c r="R5263" t="n">
        <v>0</v>
      </c>
      <c r="S5263" t="n">
        <v>0</v>
      </c>
      <c r="T5263" t="n">
        <v>0</v>
      </c>
      <c r="U5263" t="n">
        <v>0</v>
      </c>
      <c r="V5263" s="2" t="inlineStr"/>
    </row>
    <row r="5264" ht="15" customHeight="1">
      <c r="A5264" t="inlineStr">
        <is>
          <t>A 54616-2025</t>
        </is>
      </c>
      <c r="B5264" t="inlineStr">
        <is>
          <t>avverkningsanmälan</t>
        </is>
      </c>
      <c r="C5264" t="inlineStr">
        <is>
          <t>Föryngringsavverkning</t>
        </is>
      </c>
      <c r="D5264" s="1" t="n">
        <v>45966</v>
      </c>
      <c r="E5264" s="1" t="n">
        <v>46323</v>
      </c>
      <c r="F5264" t="inlineStr">
        <is>
          <t>KALMAR LÄN</t>
        </is>
      </c>
      <c r="G5264" t="inlineStr">
        <is>
          <t>NYBRO</t>
        </is>
      </c>
      <c r="I5264" t="n">
        <v>1.4</v>
      </c>
      <c r="J5264" t="n">
        <v>0</v>
      </c>
      <c r="K5264" t="n">
        <v>0</v>
      </c>
      <c r="L5264" t="n">
        <v>0</v>
      </c>
      <c r="M5264" t="n">
        <v>0</v>
      </c>
      <c r="N5264" t="n">
        <v>0</v>
      </c>
      <c r="O5264" t="n">
        <v>0</v>
      </c>
      <c r="P5264" t="n">
        <v>0</v>
      </c>
      <c r="Q5264" t="n">
        <v>0</v>
      </c>
      <c r="R5264" t="n">
        <v>0</v>
      </c>
      <c r="S5264" t="n">
        <v>0</v>
      </c>
      <c r="T5264" t="n">
        <v>0</v>
      </c>
      <c r="U5264" t="n">
        <v>0</v>
      </c>
      <c r="V5264" s="2" t="inlineStr"/>
    </row>
    <row r="5265" ht="15" customHeight="1">
      <c r="A5265" t="inlineStr">
        <is>
          <t>A 41600-2026</t>
        </is>
      </c>
      <c r="B5265" t="inlineStr">
        <is>
          <t>avverkningsanmälan</t>
        </is>
      </c>
      <c r="C5265" t="inlineStr">
        <is>
          <t>Föryngringsavverkning</t>
        </is>
      </c>
      <c r="D5265" s="1" t="n">
        <v>46302</v>
      </c>
      <c r="E5265" s="1" t="n">
        <v>46323</v>
      </c>
      <c r="F5265" t="inlineStr">
        <is>
          <t>KALMAR LÄN</t>
        </is>
      </c>
      <c r="G5265" t="inlineStr">
        <is>
          <t>EMMABODA</t>
        </is>
      </c>
      <c r="I5265" t="n">
        <v>1.2</v>
      </c>
      <c r="J5265" t="n">
        <v>0</v>
      </c>
      <c r="K5265" t="n">
        <v>0</v>
      </c>
      <c r="L5265" t="n">
        <v>0</v>
      </c>
      <c r="M5265" t="n">
        <v>0</v>
      </c>
      <c r="N5265" t="n">
        <v>0</v>
      </c>
      <c r="O5265" t="n">
        <v>0</v>
      </c>
      <c r="P5265" t="n">
        <v>0</v>
      </c>
      <c r="Q5265" t="n">
        <v>0</v>
      </c>
      <c r="R5265" t="n">
        <v>0</v>
      </c>
      <c r="S5265" t="n">
        <v>0</v>
      </c>
      <c r="T5265" t="n">
        <v>0</v>
      </c>
      <c r="U5265" t="n">
        <v>0</v>
      </c>
      <c r="V5265" s="2" t="inlineStr"/>
    </row>
    <row r="5266" ht="15" customHeight="1">
      <c r="A5266" t="inlineStr">
        <is>
          <t>A 41616-2026</t>
        </is>
      </c>
      <c r="B5266" t="inlineStr">
        <is>
          <t>avverkningsanmälan</t>
        </is>
      </c>
      <c r="C5266" t="inlineStr">
        <is>
          <t>Föryngringsavverkning</t>
        </is>
      </c>
      <c r="D5266" s="1" t="n">
        <v>46302</v>
      </c>
      <c r="E5266" s="1" t="n">
        <v>46323</v>
      </c>
      <c r="F5266" t="inlineStr">
        <is>
          <t>KALMAR LÄN</t>
        </is>
      </c>
      <c r="G5266" t="inlineStr">
        <is>
          <t>TORSÅS</t>
        </is>
      </c>
      <c r="I5266" t="n">
        <v>1.7</v>
      </c>
      <c r="J5266" t="n">
        <v>0</v>
      </c>
      <c r="K5266" t="n">
        <v>0</v>
      </c>
      <c r="L5266" t="n">
        <v>0</v>
      </c>
      <c r="M5266" t="n">
        <v>0</v>
      </c>
      <c r="N5266" t="n">
        <v>0</v>
      </c>
      <c r="O5266" t="n">
        <v>0</v>
      </c>
      <c r="P5266" t="n">
        <v>0</v>
      </c>
      <c r="Q5266" t="n">
        <v>0</v>
      </c>
      <c r="R5266" t="n">
        <v>0</v>
      </c>
      <c r="S5266" t="n">
        <v>0</v>
      </c>
      <c r="T5266" t="n">
        <v>0</v>
      </c>
      <c r="U5266" t="n">
        <v>0</v>
      </c>
      <c r="V5266" s="2" t="inlineStr"/>
    </row>
    <row r="5267" ht="15" customHeight="1">
      <c r="A5267" t="inlineStr">
        <is>
          <t>A 24893-2026</t>
        </is>
      </c>
      <c r="B5267" t="inlineStr">
        <is>
          <t>avverkningsanmälan</t>
        </is>
      </c>
      <c r="C5267" t="inlineStr">
        <is>
          <t>Föryngringsavverkning</t>
        </is>
      </c>
      <c r="D5267" s="1" t="n">
        <v>46174</v>
      </c>
      <c r="E5267" s="1" t="n">
        <v>46323</v>
      </c>
      <c r="F5267" t="inlineStr">
        <is>
          <t>KALMAR LÄN</t>
        </is>
      </c>
      <c r="G5267" t="inlineStr">
        <is>
          <t>HÖGSBY</t>
        </is>
      </c>
      <c r="H5267" t="inlineStr">
        <is>
          <t>Kommuner</t>
        </is>
      </c>
      <c r="I5267" t="n">
        <v>1.4</v>
      </c>
      <c r="J5267" t="n">
        <v>0</v>
      </c>
      <c r="K5267" t="n">
        <v>0</v>
      </c>
      <c r="L5267" t="n">
        <v>0</v>
      </c>
      <c r="M5267" t="n">
        <v>0</v>
      </c>
      <c r="N5267" t="n">
        <v>0</v>
      </c>
      <c r="O5267" t="n">
        <v>0</v>
      </c>
      <c r="P5267" t="n">
        <v>0</v>
      </c>
      <c r="Q5267" t="n">
        <v>0</v>
      </c>
      <c r="R5267" t="n">
        <v>0</v>
      </c>
      <c r="S5267" t="n">
        <v>0</v>
      </c>
      <c r="T5267" t="n">
        <v>0</v>
      </c>
      <c r="U5267" t="n">
        <v>0</v>
      </c>
      <c r="V5267" s="2" t="inlineStr"/>
    </row>
    <row r="5268" ht="15" customHeight="1">
      <c r="A5268" t="inlineStr">
        <is>
          <t>A 55396-2022</t>
        </is>
      </c>
      <c r="B5268" t="inlineStr">
        <is>
          <t>avverkningsanmälan</t>
        </is>
      </c>
      <c r="C5268" t="inlineStr">
        <is>
          <t>Föryngringsavverkning</t>
        </is>
      </c>
      <c r="D5268" s="1" t="n">
        <v>44882</v>
      </c>
      <c r="E5268" s="1" t="n">
        <v>46323</v>
      </c>
      <c r="F5268" t="inlineStr">
        <is>
          <t>KALMAR LÄN</t>
        </is>
      </c>
      <c r="G5268" t="inlineStr">
        <is>
          <t>HULTSFRED</t>
        </is>
      </c>
      <c r="I5268" t="n">
        <v>5.4</v>
      </c>
      <c r="J5268" t="n">
        <v>0</v>
      </c>
      <c r="K5268" t="n">
        <v>0</v>
      </c>
      <c r="L5268" t="n">
        <v>0</v>
      </c>
      <c r="M5268" t="n">
        <v>0</v>
      </c>
      <c r="N5268" t="n">
        <v>0</v>
      </c>
      <c r="O5268" t="n">
        <v>0</v>
      </c>
      <c r="P5268" t="n">
        <v>0</v>
      </c>
      <c r="Q5268" t="n">
        <v>0</v>
      </c>
      <c r="R5268" t="n">
        <v>0</v>
      </c>
      <c r="S5268" t="n">
        <v>0</v>
      </c>
      <c r="T5268" t="n">
        <v>0</v>
      </c>
      <c r="U5268" t="n">
        <v>0</v>
      </c>
      <c r="V5268" s="2" t="inlineStr"/>
    </row>
    <row r="5269" ht="15" customHeight="1">
      <c r="A5269" t="inlineStr">
        <is>
          <t>A 19686-2023</t>
        </is>
      </c>
      <c r="B5269" t="inlineStr">
        <is>
          <t>avverkningsanmälan</t>
        </is>
      </c>
      <c r="C5269" t="inlineStr">
        <is>
          <t>Föryngringsavverkning</t>
        </is>
      </c>
      <c r="D5269" s="1" t="n">
        <v>45051</v>
      </c>
      <c r="E5269" s="1" t="n">
        <v>46323</v>
      </c>
      <c r="F5269" t="inlineStr">
        <is>
          <t>KALMAR LÄN</t>
        </is>
      </c>
      <c r="G5269" t="inlineStr">
        <is>
          <t>EMMABODA</t>
        </is>
      </c>
      <c r="I5269" t="n">
        <v>0.7</v>
      </c>
      <c r="J5269" t="n">
        <v>0</v>
      </c>
      <c r="K5269" t="n">
        <v>0</v>
      </c>
      <c r="L5269" t="n">
        <v>0</v>
      </c>
      <c r="M5269" t="n">
        <v>0</v>
      </c>
      <c r="N5269" t="n">
        <v>0</v>
      </c>
      <c r="O5269" t="n">
        <v>0</v>
      </c>
      <c r="P5269" t="n">
        <v>0</v>
      </c>
      <c r="Q5269" t="n">
        <v>0</v>
      </c>
      <c r="R5269" t="n">
        <v>0</v>
      </c>
      <c r="S5269" t="n">
        <v>0</v>
      </c>
      <c r="T5269" t="n">
        <v>0</v>
      </c>
      <c r="U5269" t="n">
        <v>0</v>
      </c>
      <c r="V5269" s="2" t="inlineStr"/>
    </row>
    <row r="5270" ht="15" customHeight="1">
      <c r="A5270" t="inlineStr">
        <is>
          <t>A 19695-2023</t>
        </is>
      </c>
      <c r="B5270" t="inlineStr">
        <is>
          <t>avverkningsanmälan</t>
        </is>
      </c>
      <c r="C5270" t="inlineStr">
        <is>
          <t>Föryngringsavverkning</t>
        </is>
      </c>
      <c r="D5270" s="1" t="n">
        <v>45051</v>
      </c>
      <c r="E5270" s="1" t="n">
        <v>46323</v>
      </c>
      <c r="F5270" t="inlineStr">
        <is>
          <t>KALMAR LÄN</t>
        </is>
      </c>
      <c r="G5270" t="inlineStr">
        <is>
          <t>EMMABODA</t>
        </is>
      </c>
      <c r="I5270" t="n">
        <v>4.5</v>
      </c>
      <c r="J5270" t="n">
        <v>0</v>
      </c>
      <c r="K5270" t="n">
        <v>0</v>
      </c>
      <c r="L5270" t="n">
        <v>0</v>
      </c>
      <c r="M5270" t="n">
        <v>0</v>
      </c>
      <c r="N5270" t="n">
        <v>0</v>
      </c>
      <c r="O5270" t="n">
        <v>0</v>
      </c>
      <c r="P5270" t="n">
        <v>0</v>
      </c>
      <c r="Q5270" t="n">
        <v>0</v>
      </c>
      <c r="R5270" t="n">
        <v>0</v>
      </c>
      <c r="S5270" t="n">
        <v>0</v>
      </c>
      <c r="T5270" t="n">
        <v>0</v>
      </c>
      <c r="U5270" t="n">
        <v>0</v>
      </c>
      <c r="V5270" s="2" t="inlineStr"/>
    </row>
    <row r="5271" ht="15" customHeight="1">
      <c r="A5271" t="inlineStr">
        <is>
          <t>A 10005-2024</t>
        </is>
      </c>
      <c r="B5271" t="inlineStr">
        <is>
          <t>avverkningsanmälan</t>
        </is>
      </c>
      <c r="C5271" t="inlineStr">
        <is>
          <t>Föryngringsavverkning</t>
        </is>
      </c>
      <c r="D5271" s="1" t="n">
        <v>45363</v>
      </c>
      <c r="E5271" s="1" t="n">
        <v>46323</v>
      </c>
      <c r="F5271" t="inlineStr">
        <is>
          <t>KALMAR LÄN</t>
        </is>
      </c>
      <c r="G5271" t="inlineStr">
        <is>
          <t>NYBRO</t>
        </is>
      </c>
      <c r="I5271" t="n">
        <v>1.3</v>
      </c>
      <c r="J5271" t="n">
        <v>0</v>
      </c>
      <c r="K5271" t="n">
        <v>0</v>
      </c>
      <c r="L5271" t="n">
        <v>0</v>
      </c>
      <c r="M5271" t="n">
        <v>0</v>
      </c>
      <c r="N5271" t="n">
        <v>0</v>
      </c>
      <c r="O5271" t="n">
        <v>0</v>
      </c>
      <c r="P5271" t="n">
        <v>0</v>
      </c>
      <c r="Q5271" t="n">
        <v>0</v>
      </c>
      <c r="R5271" t="n">
        <v>0</v>
      </c>
      <c r="S5271" t="n">
        <v>0</v>
      </c>
      <c r="T5271" t="n">
        <v>0</v>
      </c>
      <c r="U5271" t="n">
        <v>0</v>
      </c>
      <c r="V5271" s="2" t="inlineStr"/>
    </row>
    <row r="5272" ht="15" customHeight="1">
      <c r="A5272" t="inlineStr">
        <is>
          <t>A 43909-2025</t>
        </is>
      </c>
      <c r="B5272" t="inlineStr">
        <is>
          <t>avverkningsanmälan</t>
        </is>
      </c>
      <c r="C5272" t="inlineStr">
        <is>
          <t>Föryngringsavverkning</t>
        </is>
      </c>
      <c r="D5272" s="1" t="n">
        <v>45914</v>
      </c>
      <c r="E5272" s="1" t="n">
        <v>46323</v>
      </c>
      <c r="F5272" t="inlineStr">
        <is>
          <t>KALMAR LÄN</t>
        </is>
      </c>
      <c r="G5272" t="inlineStr">
        <is>
          <t>NYBRO</t>
        </is>
      </c>
      <c r="I5272" t="n">
        <v>1.5</v>
      </c>
      <c r="J5272" t="n">
        <v>0</v>
      </c>
      <c r="K5272" t="n">
        <v>0</v>
      </c>
      <c r="L5272" t="n">
        <v>0</v>
      </c>
      <c r="M5272" t="n">
        <v>0</v>
      </c>
      <c r="N5272" t="n">
        <v>0</v>
      </c>
      <c r="O5272" t="n">
        <v>0</v>
      </c>
      <c r="P5272" t="n">
        <v>0</v>
      </c>
      <c r="Q5272" t="n">
        <v>0</v>
      </c>
      <c r="R5272" t="n">
        <v>0</v>
      </c>
      <c r="S5272" t="n">
        <v>0</v>
      </c>
      <c r="T5272" t="n">
        <v>0</v>
      </c>
      <c r="U5272" t="n">
        <v>0</v>
      </c>
      <c r="V5272" s="2" t="inlineStr"/>
    </row>
    <row r="5273" ht="15" customHeight="1">
      <c r="A5273" t="inlineStr">
        <is>
          <t>A 41379-2026</t>
        </is>
      </c>
      <c r="B5273" t="inlineStr">
        <is>
          <t>avverkningsanmälan</t>
        </is>
      </c>
      <c r="C5273" t="inlineStr">
        <is>
          <t>Föryngringsavverkning</t>
        </is>
      </c>
      <c r="D5273" s="1" t="n">
        <v>46301</v>
      </c>
      <c r="E5273" s="1" t="n">
        <v>46323</v>
      </c>
      <c r="F5273" t="inlineStr">
        <is>
          <t>KALMAR LÄN</t>
        </is>
      </c>
      <c r="G5273" t="inlineStr">
        <is>
          <t>VIMMERBY</t>
        </is>
      </c>
      <c r="I5273" t="n">
        <v>1.7</v>
      </c>
      <c r="J5273" t="n">
        <v>0</v>
      </c>
      <c r="K5273" t="n">
        <v>0</v>
      </c>
      <c r="L5273" t="n">
        <v>0</v>
      </c>
      <c r="M5273" t="n">
        <v>0</v>
      </c>
      <c r="N5273" t="n">
        <v>0</v>
      </c>
      <c r="O5273" t="n">
        <v>0</v>
      </c>
      <c r="P5273" t="n">
        <v>0</v>
      </c>
      <c r="Q5273" t="n">
        <v>0</v>
      </c>
      <c r="R5273" t="n">
        <v>0</v>
      </c>
      <c r="S5273" t="n">
        <v>0</v>
      </c>
      <c r="T5273" t="n">
        <v>0</v>
      </c>
      <c r="U5273" t="n">
        <v>0</v>
      </c>
      <c r="V5273" s="2" t="inlineStr"/>
    </row>
    <row r="5274" ht="15" customHeight="1">
      <c r="A5274" t="inlineStr">
        <is>
          <t>A 18321-2023</t>
        </is>
      </c>
      <c r="B5274" t="inlineStr">
        <is>
          <t>avverkningsanmälan</t>
        </is>
      </c>
      <c r="C5274" t="inlineStr">
        <is>
          <t>Föryngringsavverkning</t>
        </is>
      </c>
      <c r="D5274" s="1" t="n">
        <v>45041</v>
      </c>
      <c r="E5274" s="1" t="n">
        <v>46323</v>
      </c>
      <c r="F5274" t="inlineStr">
        <is>
          <t>KALMAR LÄN</t>
        </is>
      </c>
      <c r="G5274" t="inlineStr">
        <is>
          <t>HULTSFRED</t>
        </is>
      </c>
      <c r="I5274" t="n">
        <v>1.4</v>
      </c>
      <c r="J5274" t="n">
        <v>0</v>
      </c>
      <c r="K5274" t="n">
        <v>0</v>
      </c>
      <c r="L5274" t="n">
        <v>0</v>
      </c>
      <c r="M5274" t="n">
        <v>0</v>
      </c>
      <c r="N5274" t="n">
        <v>0</v>
      </c>
      <c r="O5274" t="n">
        <v>0</v>
      </c>
      <c r="P5274" t="n">
        <v>0</v>
      </c>
      <c r="Q5274" t="n">
        <v>0</v>
      </c>
      <c r="R5274" t="n">
        <v>0</v>
      </c>
      <c r="S5274" t="n">
        <v>0</v>
      </c>
      <c r="T5274" t="n">
        <v>0</v>
      </c>
      <c r="U5274" t="n">
        <v>0</v>
      </c>
      <c r="V5274" s="2" t="inlineStr"/>
    </row>
    <row r="5275" ht="15" customHeight="1">
      <c r="A5275" t="inlineStr">
        <is>
          <t>A 18329-2023</t>
        </is>
      </c>
      <c r="B5275" t="inlineStr">
        <is>
          <t>avverkningsanmälan</t>
        </is>
      </c>
      <c r="C5275" t="inlineStr">
        <is>
          <t>Föryngringsavverkning</t>
        </is>
      </c>
      <c r="D5275" s="1" t="n">
        <v>45041</v>
      </c>
      <c r="E5275" s="1" t="n">
        <v>46323</v>
      </c>
      <c r="F5275" t="inlineStr">
        <is>
          <t>KALMAR LÄN</t>
        </is>
      </c>
      <c r="G5275" t="inlineStr">
        <is>
          <t>VIMMERBY</t>
        </is>
      </c>
      <c r="I5275" t="n">
        <v>0.5</v>
      </c>
      <c r="J5275" t="n">
        <v>0</v>
      </c>
      <c r="K5275" t="n">
        <v>0</v>
      </c>
      <c r="L5275" t="n">
        <v>0</v>
      </c>
      <c r="M5275" t="n">
        <v>0</v>
      </c>
      <c r="N5275" t="n">
        <v>0</v>
      </c>
      <c r="O5275" t="n">
        <v>0</v>
      </c>
      <c r="P5275" t="n">
        <v>0</v>
      </c>
      <c r="Q5275" t="n">
        <v>0</v>
      </c>
      <c r="R5275" t="n">
        <v>0</v>
      </c>
      <c r="S5275" t="n">
        <v>0</v>
      </c>
      <c r="T5275" t="n">
        <v>0</v>
      </c>
      <c r="U5275" t="n">
        <v>0</v>
      </c>
      <c r="V5275" s="2" t="inlineStr"/>
    </row>
    <row r="5276" ht="15" customHeight="1">
      <c r="A5276" t="inlineStr">
        <is>
          <t>A 27673-2026</t>
        </is>
      </c>
      <c r="B5276" t="inlineStr">
        <is>
          <t>avverkningsanmälan</t>
        </is>
      </c>
      <c r="C5276" t="inlineStr">
        <is>
          <t>Föryngringsavverkning</t>
        </is>
      </c>
      <c r="D5276" s="1" t="n">
        <v>46190</v>
      </c>
      <c r="E5276" s="1" t="n">
        <v>46323</v>
      </c>
      <c r="F5276" t="inlineStr">
        <is>
          <t>KALMAR LÄN</t>
        </is>
      </c>
      <c r="G5276" t="inlineStr">
        <is>
          <t>NYBRO</t>
        </is>
      </c>
      <c r="I5276" t="n">
        <v>3.2</v>
      </c>
      <c r="J5276" t="n">
        <v>0</v>
      </c>
      <c r="K5276" t="n">
        <v>0</v>
      </c>
      <c r="L5276" t="n">
        <v>0</v>
      </c>
      <c r="M5276" t="n">
        <v>0</v>
      </c>
      <c r="N5276" t="n">
        <v>0</v>
      </c>
      <c r="O5276" t="n">
        <v>0</v>
      </c>
      <c r="P5276" t="n">
        <v>0</v>
      </c>
      <c r="Q5276" t="n">
        <v>0</v>
      </c>
      <c r="R5276" t="n">
        <v>0</v>
      </c>
      <c r="S5276" t="n">
        <v>0</v>
      </c>
      <c r="T5276" t="n">
        <v>0</v>
      </c>
      <c r="U5276" t="n">
        <v>0</v>
      </c>
      <c r="V5276" s="2" t="inlineStr"/>
    </row>
    <row r="5277" ht="15" customHeight="1">
      <c r="A5277" t="inlineStr">
        <is>
          <t>A 45114-2025</t>
        </is>
      </c>
      <c r="B5277" t="inlineStr">
        <is>
          <t>avverkningsanmälan</t>
        </is>
      </c>
      <c r="C5277" t="inlineStr">
        <is>
          <t>Föryngringsavverkning</t>
        </is>
      </c>
      <c r="D5277" s="1" t="n">
        <v>45919</v>
      </c>
      <c r="E5277" s="1" t="n">
        <v>46323</v>
      </c>
      <c r="F5277" t="inlineStr">
        <is>
          <t>KALMAR LÄN</t>
        </is>
      </c>
      <c r="G5277" t="inlineStr">
        <is>
          <t>VIMMERBY</t>
        </is>
      </c>
      <c r="I5277" t="n">
        <v>2.7</v>
      </c>
      <c r="J5277" t="n">
        <v>0</v>
      </c>
      <c r="K5277" t="n">
        <v>0</v>
      </c>
      <c r="L5277" t="n">
        <v>0</v>
      </c>
      <c r="M5277" t="n">
        <v>0</v>
      </c>
      <c r="N5277" t="n">
        <v>0</v>
      </c>
      <c r="O5277" t="n">
        <v>0</v>
      </c>
      <c r="P5277" t="n">
        <v>0</v>
      </c>
      <c r="Q5277" t="n">
        <v>0</v>
      </c>
      <c r="R5277" t="n">
        <v>0</v>
      </c>
      <c r="S5277" t="n">
        <v>0</v>
      </c>
      <c r="T5277" t="n">
        <v>0</v>
      </c>
      <c r="U5277" t="n">
        <v>0</v>
      </c>
      <c r="V5277" s="2" t="inlineStr"/>
    </row>
    <row r="5278" ht="15" customHeight="1">
      <c r="A5278" t="inlineStr">
        <is>
          <t>A 5993-2025</t>
        </is>
      </c>
      <c r="B5278" t="inlineStr">
        <is>
          <t>avverkningsanmälan</t>
        </is>
      </c>
      <c r="C5278" t="inlineStr">
        <is>
          <t>Föryngringsavverkning</t>
        </is>
      </c>
      <c r="D5278" s="1" t="n">
        <v>45695</v>
      </c>
      <c r="E5278" s="1" t="n">
        <v>46323</v>
      </c>
      <c r="F5278" t="inlineStr">
        <is>
          <t>KALMAR LÄN</t>
        </is>
      </c>
      <c r="G5278" t="inlineStr">
        <is>
          <t>HULTSFRED</t>
        </is>
      </c>
      <c r="H5278" t="inlineStr">
        <is>
          <t>Sveaskog</t>
        </is>
      </c>
      <c r="I5278" t="n">
        <v>3.1</v>
      </c>
      <c r="J5278" t="n">
        <v>0</v>
      </c>
      <c r="K5278" t="n">
        <v>0</v>
      </c>
      <c r="L5278" t="n">
        <v>0</v>
      </c>
      <c r="M5278" t="n">
        <v>0</v>
      </c>
      <c r="N5278" t="n">
        <v>0</v>
      </c>
      <c r="O5278" t="n">
        <v>0</v>
      </c>
      <c r="P5278" t="n">
        <v>0</v>
      </c>
      <c r="Q5278" t="n">
        <v>0</v>
      </c>
      <c r="R5278" t="n">
        <v>0</v>
      </c>
      <c r="S5278" t="n">
        <v>0</v>
      </c>
      <c r="T5278" t="n">
        <v>0</v>
      </c>
      <c r="U5278" t="n">
        <v>0</v>
      </c>
      <c r="V5278" s="2" t="inlineStr"/>
    </row>
    <row r="5279" ht="15" customHeight="1">
      <c r="A5279" t="inlineStr">
        <is>
          <t>A 41461-2026</t>
        </is>
      </c>
      <c r="B5279" t="inlineStr">
        <is>
          <t>avverkningsanmälan</t>
        </is>
      </c>
      <c r="C5279" t="inlineStr">
        <is>
          <t>Föryngringsavverkning</t>
        </is>
      </c>
      <c r="D5279" s="1" t="n">
        <v>46301</v>
      </c>
      <c r="E5279" s="1" t="n">
        <v>46323</v>
      </c>
      <c r="F5279" t="inlineStr">
        <is>
          <t>KALMAR LÄN</t>
        </is>
      </c>
      <c r="G5279" t="inlineStr">
        <is>
          <t>NYBRO</t>
        </is>
      </c>
      <c r="I5279" t="n">
        <v>12.5</v>
      </c>
      <c r="J5279" t="n">
        <v>0</v>
      </c>
      <c r="K5279" t="n">
        <v>0</v>
      </c>
      <c r="L5279" t="n">
        <v>0</v>
      </c>
      <c r="M5279" t="n">
        <v>0</v>
      </c>
      <c r="N5279" t="n">
        <v>0</v>
      </c>
      <c r="O5279" t="n">
        <v>0</v>
      </c>
      <c r="P5279" t="n">
        <v>0</v>
      </c>
      <c r="Q5279" t="n">
        <v>0</v>
      </c>
      <c r="R5279" t="n">
        <v>0</v>
      </c>
      <c r="S5279" t="n">
        <v>0</v>
      </c>
      <c r="T5279" t="n">
        <v>0</v>
      </c>
      <c r="U5279" t="n">
        <v>0</v>
      </c>
      <c r="V5279" s="2" t="inlineStr"/>
    </row>
    <row r="5280" ht="15" customHeight="1">
      <c r="A5280" t="inlineStr">
        <is>
          <t>A 41467-2026</t>
        </is>
      </c>
      <c r="B5280" t="inlineStr">
        <is>
          <t>avverkningsanmälan</t>
        </is>
      </c>
      <c r="C5280" t="inlineStr">
        <is>
          <t>Föryngringsavverkning</t>
        </is>
      </c>
      <c r="D5280" s="1" t="n">
        <v>46301</v>
      </c>
      <c r="E5280" s="1" t="n">
        <v>46323</v>
      </c>
      <c r="F5280" t="inlineStr">
        <is>
          <t>KALMAR LÄN</t>
        </is>
      </c>
      <c r="G5280" t="inlineStr">
        <is>
          <t>NYBRO</t>
        </is>
      </c>
      <c r="I5280" t="n">
        <v>0.3</v>
      </c>
      <c r="J5280" t="n">
        <v>0</v>
      </c>
      <c r="K5280" t="n">
        <v>0</v>
      </c>
      <c r="L5280" t="n">
        <v>0</v>
      </c>
      <c r="M5280" t="n">
        <v>0</v>
      </c>
      <c r="N5280" t="n">
        <v>0</v>
      </c>
      <c r="O5280" t="n">
        <v>0</v>
      </c>
      <c r="P5280" t="n">
        <v>0</v>
      </c>
      <c r="Q5280" t="n">
        <v>0</v>
      </c>
      <c r="R5280" t="n">
        <v>0</v>
      </c>
      <c r="S5280" t="n">
        <v>0</v>
      </c>
      <c r="T5280" t="n">
        <v>0</v>
      </c>
      <c r="U5280" t="n">
        <v>0</v>
      </c>
      <c r="V5280" s="2" t="inlineStr"/>
    </row>
    <row r="5281" ht="15" customHeight="1">
      <c r="A5281" t="inlineStr">
        <is>
          <t>A 47616-2025</t>
        </is>
      </c>
      <c r="B5281" t="inlineStr">
        <is>
          <t>avverkningsanmälan</t>
        </is>
      </c>
      <c r="C5281" t="inlineStr">
        <is>
          <t>Föryngringsavverkning</t>
        </is>
      </c>
      <c r="D5281" s="1" t="n">
        <v>45930</v>
      </c>
      <c r="E5281" s="1" t="n">
        <v>46323</v>
      </c>
      <c r="F5281" t="inlineStr">
        <is>
          <t>KALMAR LÄN</t>
        </is>
      </c>
      <c r="G5281" t="inlineStr">
        <is>
          <t>NYBRO</t>
        </is>
      </c>
      <c r="H5281" t="inlineStr">
        <is>
          <t>Kyrkan</t>
        </is>
      </c>
      <c r="I5281" t="n">
        <v>2.2</v>
      </c>
      <c r="J5281" t="n">
        <v>0</v>
      </c>
      <c r="K5281" t="n">
        <v>0</v>
      </c>
      <c r="L5281" t="n">
        <v>0</v>
      </c>
      <c r="M5281" t="n">
        <v>0</v>
      </c>
      <c r="N5281" t="n">
        <v>0</v>
      </c>
      <c r="O5281" t="n">
        <v>0</v>
      </c>
      <c r="P5281" t="n">
        <v>0</v>
      </c>
      <c r="Q5281" t="n">
        <v>0</v>
      </c>
      <c r="R5281" t="n">
        <v>0</v>
      </c>
      <c r="S5281" t="n">
        <v>0</v>
      </c>
      <c r="T5281" t="n">
        <v>0</v>
      </c>
      <c r="U5281" t="n">
        <v>0</v>
      </c>
      <c r="V5281" s="2" t="inlineStr"/>
    </row>
    <row r="5282" ht="15" customHeight="1">
      <c r="A5282" t="inlineStr">
        <is>
          <t>A 52294-2023</t>
        </is>
      </c>
      <c r="B5282" t="inlineStr">
        <is>
          <t>avverkningsanmälan</t>
        </is>
      </c>
      <c r="C5282" t="inlineStr">
        <is>
          <t>Föryngringsavverkning</t>
        </is>
      </c>
      <c r="D5282" s="1" t="n">
        <v>45224</v>
      </c>
      <c r="E5282" s="1" t="n">
        <v>46323</v>
      </c>
      <c r="F5282" t="inlineStr">
        <is>
          <t>KALMAR LÄN</t>
        </is>
      </c>
      <c r="G5282" t="inlineStr">
        <is>
          <t>VIMMERBY</t>
        </is>
      </c>
      <c r="H5282" t="inlineStr">
        <is>
          <t>Sveaskog</t>
        </is>
      </c>
      <c r="I5282" t="n">
        <v>2.5</v>
      </c>
      <c r="J5282" t="n">
        <v>0</v>
      </c>
      <c r="K5282" t="n">
        <v>0</v>
      </c>
      <c r="L5282" t="n">
        <v>0</v>
      </c>
      <c r="M5282" t="n">
        <v>0</v>
      </c>
      <c r="N5282" t="n">
        <v>0</v>
      </c>
      <c r="O5282" t="n">
        <v>0</v>
      </c>
      <c r="P5282" t="n">
        <v>0</v>
      </c>
      <c r="Q5282" t="n">
        <v>0</v>
      </c>
      <c r="R5282" t="n">
        <v>0</v>
      </c>
      <c r="S5282" t="n">
        <v>0</v>
      </c>
      <c r="T5282" t="n">
        <v>0</v>
      </c>
      <c r="U5282" t="n">
        <v>0</v>
      </c>
      <c r="V5282" s="2" t="inlineStr"/>
    </row>
    <row r="5283" ht="15" customHeight="1">
      <c r="A5283" t="inlineStr">
        <is>
          <t>A 5720-2023</t>
        </is>
      </c>
      <c r="B5283" t="inlineStr">
        <is>
          <t>avverkningsanmälan</t>
        </is>
      </c>
      <c r="C5283" t="inlineStr">
        <is>
          <t>Föryngringsavverkning</t>
        </is>
      </c>
      <c r="D5283" s="1" t="n">
        <v>44961</v>
      </c>
      <c r="E5283" s="1" t="n">
        <v>46323</v>
      </c>
      <c r="F5283" t="inlineStr">
        <is>
          <t>KALMAR LÄN</t>
        </is>
      </c>
      <c r="G5283" t="inlineStr">
        <is>
          <t>VIMMERBY</t>
        </is>
      </c>
      <c r="I5283" t="n">
        <v>1.4</v>
      </c>
      <c r="J5283" t="n">
        <v>0</v>
      </c>
      <c r="K5283" t="n">
        <v>0</v>
      </c>
      <c r="L5283" t="n">
        <v>0</v>
      </c>
      <c r="M5283" t="n">
        <v>0</v>
      </c>
      <c r="N5283" t="n">
        <v>0</v>
      </c>
      <c r="O5283" t="n">
        <v>0</v>
      </c>
      <c r="P5283" t="n">
        <v>0</v>
      </c>
      <c r="Q5283" t="n">
        <v>0</v>
      </c>
      <c r="R5283" t="n">
        <v>0</v>
      </c>
      <c r="S5283" t="n">
        <v>0</v>
      </c>
      <c r="T5283" t="n">
        <v>0</v>
      </c>
      <c r="U5283" t="n">
        <v>0</v>
      </c>
      <c r="V5283" s="2" t="inlineStr"/>
    </row>
    <row r="5284" ht="15" customHeight="1">
      <c r="A5284" t="inlineStr">
        <is>
          <t>A 58448-2025</t>
        </is>
      </c>
      <c r="B5284" t="inlineStr">
        <is>
          <t>avverkningsanmälan</t>
        </is>
      </c>
      <c r="C5284" t="inlineStr">
        <is>
          <t>Föryngringsavverkning</t>
        </is>
      </c>
      <c r="D5284" s="1" t="n">
        <v>45985</v>
      </c>
      <c r="E5284" s="1" t="n">
        <v>46323</v>
      </c>
      <c r="F5284" t="inlineStr">
        <is>
          <t>KALMAR LÄN</t>
        </is>
      </c>
      <c r="G5284" t="inlineStr">
        <is>
          <t>OSKARSHAMN</t>
        </is>
      </c>
      <c r="I5284" t="n">
        <v>1.7</v>
      </c>
      <c r="J5284" t="n">
        <v>0</v>
      </c>
      <c r="K5284" t="n">
        <v>0</v>
      </c>
      <c r="L5284" t="n">
        <v>0</v>
      </c>
      <c r="M5284" t="n">
        <v>0</v>
      </c>
      <c r="N5284" t="n">
        <v>0</v>
      </c>
      <c r="O5284" t="n">
        <v>0</v>
      </c>
      <c r="P5284" t="n">
        <v>0</v>
      </c>
      <c r="Q5284" t="n">
        <v>0</v>
      </c>
      <c r="R5284" t="n">
        <v>0</v>
      </c>
      <c r="S5284" t="n">
        <v>0</v>
      </c>
      <c r="T5284" t="n">
        <v>0</v>
      </c>
      <c r="U5284" t="n">
        <v>0</v>
      </c>
      <c r="V5284" s="2" t="inlineStr"/>
    </row>
    <row r="5285" ht="15" customHeight="1">
      <c r="A5285" t="inlineStr">
        <is>
          <t>A 28682-2025</t>
        </is>
      </c>
      <c r="B5285" t="inlineStr">
        <is>
          <t>avverkningsanmälan</t>
        </is>
      </c>
      <c r="C5285" t="inlineStr">
        <is>
          <t>Föryngringsavverkning</t>
        </is>
      </c>
      <c r="D5285" s="1" t="n">
        <v>45819</v>
      </c>
      <c r="E5285" s="1" t="n">
        <v>46323</v>
      </c>
      <c r="F5285" t="inlineStr">
        <is>
          <t>KALMAR LÄN</t>
        </is>
      </c>
      <c r="G5285" t="inlineStr">
        <is>
          <t>EMMABODA</t>
        </is>
      </c>
      <c r="I5285" t="n">
        <v>1.8</v>
      </c>
      <c r="J5285" t="n">
        <v>0</v>
      </c>
      <c r="K5285" t="n">
        <v>0</v>
      </c>
      <c r="L5285" t="n">
        <v>0</v>
      </c>
      <c r="M5285" t="n">
        <v>0</v>
      </c>
      <c r="N5285" t="n">
        <v>0</v>
      </c>
      <c r="O5285" t="n">
        <v>0</v>
      </c>
      <c r="P5285" t="n">
        <v>0</v>
      </c>
      <c r="Q5285" t="n">
        <v>0</v>
      </c>
      <c r="R5285" t="n">
        <v>0</v>
      </c>
      <c r="S5285" t="n">
        <v>0</v>
      </c>
      <c r="T5285" t="n">
        <v>0</v>
      </c>
      <c r="U5285" t="n">
        <v>0</v>
      </c>
      <c r="V5285" s="2" t="inlineStr"/>
    </row>
    <row r="5286" ht="15" customHeight="1">
      <c r="A5286" t="inlineStr">
        <is>
          <t>A 28756-2025</t>
        </is>
      </c>
      <c r="B5286" t="inlineStr">
        <is>
          <t>avverkningsanmälan</t>
        </is>
      </c>
      <c r="C5286" t="inlineStr">
        <is>
          <t>Föryngringsavverkning</t>
        </is>
      </c>
      <c r="D5286" s="1" t="n">
        <v>45820</v>
      </c>
      <c r="E5286" s="1" t="n">
        <v>46323</v>
      </c>
      <c r="F5286" t="inlineStr">
        <is>
          <t>KALMAR LÄN</t>
        </is>
      </c>
      <c r="G5286" t="inlineStr">
        <is>
          <t>NYBRO</t>
        </is>
      </c>
      <c r="H5286" t="inlineStr">
        <is>
          <t>Sveaskog</t>
        </is>
      </c>
      <c r="I5286" t="n">
        <v>1</v>
      </c>
      <c r="J5286" t="n">
        <v>0</v>
      </c>
      <c r="K5286" t="n">
        <v>0</v>
      </c>
      <c r="L5286" t="n">
        <v>0</v>
      </c>
      <c r="M5286" t="n">
        <v>0</v>
      </c>
      <c r="N5286" t="n">
        <v>0</v>
      </c>
      <c r="O5286" t="n">
        <v>0</v>
      </c>
      <c r="P5286" t="n">
        <v>0</v>
      </c>
      <c r="Q5286" t="n">
        <v>0</v>
      </c>
      <c r="R5286" t="n">
        <v>0</v>
      </c>
      <c r="S5286" t="n">
        <v>0</v>
      </c>
      <c r="T5286" t="n">
        <v>0</v>
      </c>
      <c r="U5286" t="n">
        <v>0</v>
      </c>
      <c r="V5286" s="2" t="inlineStr"/>
    </row>
    <row r="5287" ht="15" customHeight="1">
      <c r="A5287" t="inlineStr">
        <is>
          <t>A 740-2026</t>
        </is>
      </c>
      <c r="B5287" t="inlineStr">
        <is>
          <t>avverkningsanmälan</t>
        </is>
      </c>
      <c r="C5287" t="inlineStr">
        <is>
          <t>Föryngringsavverkning</t>
        </is>
      </c>
      <c r="D5287" s="1" t="n">
        <v>46029</v>
      </c>
      <c r="E5287" s="1" t="n">
        <v>46323</v>
      </c>
      <c r="F5287" t="inlineStr">
        <is>
          <t>KALMAR LÄN</t>
        </is>
      </c>
      <c r="G5287" t="inlineStr">
        <is>
          <t>VÄSTERVIK</t>
        </is>
      </c>
      <c r="I5287" t="n">
        <v>1.5</v>
      </c>
      <c r="J5287" t="n">
        <v>0</v>
      </c>
      <c r="K5287" t="n">
        <v>0</v>
      </c>
      <c r="L5287" t="n">
        <v>0</v>
      </c>
      <c r="M5287" t="n">
        <v>0</v>
      </c>
      <c r="N5287" t="n">
        <v>0</v>
      </c>
      <c r="O5287" t="n">
        <v>0</v>
      </c>
      <c r="P5287" t="n">
        <v>0</v>
      </c>
      <c r="Q5287" t="n">
        <v>0</v>
      </c>
      <c r="R5287" t="n">
        <v>0</v>
      </c>
      <c r="S5287" t="n">
        <v>0</v>
      </c>
      <c r="T5287" t="n">
        <v>0</v>
      </c>
      <c r="U5287" t="n">
        <v>0</v>
      </c>
      <c r="V5287" s="2" t="inlineStr"/>
    </row>
    <row r="5288" ht="15" customHeight="1">
      <c r="A5288" t="inlineStr">
        <is>
          <t>A 18857-2025</t>
        </is>
      </c>
      <c r="B5288" t="inlineStr">
        <is>
          <t>avverkningsanmälan</t>
        </is>
      </c>
      <c r="C5288" t="inlineStr">
        <is>
          <t>Föryngringsavverkning</t>
        </is>
      </c>
      <c r="D5288" s="1" t="n">
        <v>45764</v>
      </c>
      <c r="E5288" s="1" t="n">
        <v>46323</v>
      </c>
      <c r="F5288" t="inlineStr">
        <is>
          <t>KALMAR LÄN</t>
        </is>
      </c>
      <c r="G5288" t="inlineStr">
        <is>
          <t>MÖNSTERÅS</t>
        </is>
      </c>
      <c r="I5288" t="n">
        <v>1</v>
      </c>
      <c r="J5288" t="n">
        <v>0</v>
      </c>
      <c r="K5288" t="n">
        <v>0</v>
      </c>
      <c r="L5288" t="n">
        <v>0</v>
      </c>
      <c r="M5288" t="n">
        <v>0</v>
      </c>
      <c r="N5288" t="n">
        <v>0</v>
      </c>
      <c r="O5288" t="n">
        <v>0</v>
      </c>
      <c r="P5288" t="n">
        <v>0</v>
      </c>
      <c r="Q5288" t="n">
        <v>0</v>
      </c>
      <c r="R5288" t="n">
        <v>0</v>
      </c>
      <c r="S5288" t="n">
        <v>0</v>
      </c>
      <c r="T5288" t="n">
        <v>0</v>
      </c>
      <c r="U5288" t="n">
        <v>0</v>
      </c>
      <c r="V5288" s="2" t="inlineStr"/>
    </row>
    <row r="5289" ht="15" customHeight="1">
      <c r="A5289" t="inlineStr">
        <is>
          <t>A 33317-2025</t>
        </is>
      </c>
      <c r="B5289" t="inlineStr">
        <is>
          <t>avverkningsanmälan</t>
        </is>
      </c>
      <c r="C5289" t="inlineStr">
        <is>
          <t>Föryngringsavverkning</t>
        </is>
      </c>
      <c r="D5289" s="1" t="n">
        <v>45841</v>
      </c>
      <c r="E5289" s="1" t="n">
        <v>46323</v>
      </c>
      <c r="F5289" t="inlineStr">
        <is>
          <t>KALMAR LÄN</t>
        </is>
      </c>
      <c r="G5289" t="inlineStr">
        <is>
          <t>NYBRO</t>
        </is>
      </c>
      <c r="I5289" t="n">
        <v>1.8</v>
      </c>
      <c r="J5289" t="n">
        <v>0</v>
      </c>
      <c r="K5289" t="n">
        <v>0</v>
      </c>
      <c r="L5289" t="n">
        <v>0</v>
      </c>
      <c r="M5289" t="n">
        <v>0</v>
      </c>
      <c r="N5289" t="n">
        <v>0</v>
      </c>
      <c r="O5289" t="n">
        <v>0</v>
      </c>
      <c r="P5289" t="n">
        <v>0</v>
      </c>
      <c r="Q5289" t="n">
        <v>0</v>
      </c>
      <c r="R5289" t="n">
        <v>0</v>
      </c>
      <c r="S5289" t="n">
        <v>0</v>
      </c>
      <c r="T5289" t="n">
        <v>0</v>
      </c>
      <c r="U5289" t="n">
        <v>0</v>
      </c>
      <c r="V5289" s="2" t="inlineStr"/>
    </row>
    <row r="5290" ht="15" customHeight="1">
      <c r="A5290" t="inlineStr">
        <is>
          <t>A 41503-2026</t>
        </is>
      </c>
      <c r="B5290" t="inlineStr">
        <is>
          <t>avverkningsanmälan</t>
        </is>
      </c>
      <c r="C5290" t="inlineStr">
        <is>
          <t>Föryngringsavverkning</t>
        </is>
      </c>
      <c r="D5290" s="1" t="n">
        <v>46301</v>
      </c>
      <c r="E5290" s="1" t="n">
        <v>46323</v>
      </c>
      <c r="F5290" t="inlineStr">
        <is>
          <t>KALMAR LÄN</t>
        </is>
      </c>
      <c r="G5290" t="inlineStr">
        <is>
          <t>VÄSTERVIK</t>
        </is>
      </c>
      <c r="I5290" t="n">
        <v>1.6</v>
      </c>
      <c r="J5290" t="n">
        <v>0</v>
      </c>
      <c r="K5290" t="n">
        <v>0</v>
      </c>
      <c r="L5290" t="n">
        <v>0</v>
      </c>
      <c r="M5290" t="n">
        <v>0</v>
      </c>
      <c r="N5290" t="n">
        <v>0</v>
      </c>
      <c r="O5290" t="n">
        <v>0</v>
      </c>
      <c r="P5290" t="n">
        <v>0</v>
      </c>
      <c r="Q5290" t="n">
        <v>0</v>
      </c>
      <c r="R5290" t="n">
        <v>0</v>
      </c>
      <c r="S5290" t="n">
        <v>0</v>
      </c>
      <c r="T5290" t="n">
        <v>0</v>
      </c>
      <c r="U5290" t="n">
        <v>0</v>
      </c>
      <c r="V5290" s="2" t="inlineStr"/>
    </row>
    <row r="5291" ht="15" customHeight="1">
      <c r="A5291" t="inlineStr">
        <is>
          <t>A 39422-2025</t>
        </is>
      </c>
      <c r="B5291" t="inlineStr">
        <is>
          <t>avverkningsanmälan</t>
        </is>
      </c>
      <c r="C5291" t="inlineStr">
        <is>
          <t>Föryngringsavverkning</t>
        </is>
      </c>
      <c r="D5291" s="1" t="n">
        <v>45889</v>
      </c>
      <c r="E5291" s="1" t="n">
        <v>46323</v>
      </c>
      <c r="F5291" t="inlineStr">
        <is>
          <t>KALMAR LÄN</t>
        </is>
      </c>
      <c r="G5291" t="inlineStr">
        <is>
          <t>HULTSFRED</t>
        </is>
      </c>
      <c r="I5291" t="n">
        <v>4.6</v>
      </c>
      <c r="J5291" t="n">
        <v>0</v>
      </c>
      <c r="K5291" t="n">
        <v>0</v>
      </c>
      <c r="L5291" t="n">
        <v>0</v>
      </c>
      <c r="M5291" t="n">
        <v>0</v>
      </c>
      <c r="N5291" t="n">
        <v>0</v>
      </c>
      <c r="O5291" t="n">
        <v>0</v>
      </c>
      <c r="P5291" t="n">
        <v>0</v>
      </c>
      <c r="Q5291" t="n">
        <v>0</v>
      </c>
      <c r="R5291" t="n">
        <v>0</v>
      </c>
      <c r="S5291" t="n">
        <v>0</v>
      </c>
      <c r="T5291" t="n">
        <v>0</v>
      </c>
      <c r="U5291" t="n">
        <v>0</v>
      </c>
      <c r="V5291" s="2" t="inlineStr"/>
    </row>
    <row r="5292" ht="15" customHeight="1">
      <c r="A5292" t="inlineStr">
        <is>
          <t>A 61538-2022</t>
        </is>
      </c>
      <c r="B5292" t="inlineStr">
        <is>
          <t>avverkningsanmälan</t>
        </is>
      </c>
      <c r="C5292" t="inlineStr">
        <is>
          <t>Föryngringsavverkning</t>
        </is>
      </c>
      <c r="D5292" s="1" t="n">
        <v>44916</v>
      </c>
      <c r="E5292" s="1" t="n">
        <v>46323</v>
      </c>
      <c r="F5292" t="inlineStr">
        <is>
          <t>KALMAR LÄN</t>
        </is>
      </c>
      <c r="G5292" t="inlineStr">
        <is>
          <t>VIMMERBY</t>
        </is>
      </c>
      <c r="I5292" t="n">
        <v>1.5</v>
      </c>
      <c r="J5292" t="n">
        <v>0</v>
      </c>
      <c r="K5292" t="n">
        <v>0</v>
      </c>
      <c r="L5292" t="n">
        <v>0</v>
      </c>
      <c r="M5292" t="n">
        <v>0</v>
      </c>
      <c r="N5292" t="n">
        <v>0</v>
      </c>
      <c r="O5292" t="n">
        <v>0</v>
      </c>
      <c r="P5292" t="n">
        <v>0</v>
      </c>
      <c r="Q5292" t="n">
        <v>0</v>
      </c>
      <c r="R5292" t="n">
        <v>0</v>
      </c>
      <c r="S5292" t="n">
        <v>0</v>
      </c>
      <c r="T5292" t="n">
        <v>0</v>
      </c>
      <c r="U5292" t="n">
        <v>0</v>
      </c>
      <c r="V5292" s="2" t="inlineStr"/>
    </row>
    <row r="5293" ht="15" customHeight="1">
      <c r="A5293" t="inlineStr">
        <is>
          <t>A 32573-2025</t>
        </is>
      </c>
      <c r="B5293" t="inlineStr">
        <is>
          <t>avverkningsanmälan</t>
        </is>
      </c>
      <c r="C5293" t="inlineStr">
        <is>
          <t>Föryngringsavverkning</t>
        </is>
      </c>
      <c r="D5293" s="1" t="n">
        <v>45838</v>
      </c>
      <c r="E5293" s="1" t="n">
        <v>46323</v>
      </c>
      <c r="F5293" t="inlineStr">
        <is>
          <t>KALMAR LÄN</t>
        </is>
      </c>
      <c r="G5293" t="inlineStr">
        <is>
          <t>TORSÅS</t>
        </is>
      </c>
      <c r="I5293" t="n">
        <v>1.5</v>
      </c>
      <c r="J5293" t="n">
        <v>0</v>
      </c>
      <c r="K5293" t="n">
        <v>0</v>
      </c>
      <c r="L5293" t="n">
        <v>0</v>
      </c>
      <c r="M5293" t="n">
        <v>0</v>
      </c>
      <c r="N5293" t="n">
        <v>0</v>
      </c>
      <c r="O5293" t="n">
        <v>0</v>
      </c>
      <c r="P5293" t="n">
        <v>0</v>
      </c>
      <c r="Q5293" t="n">
        <v>0</v>
      </c>
      <c r="R5293" t="n">
        <v>0</v>
      </c>
      <c r="S5293" t="n">
        <v>0</v>
      </c>
      <c r="T5293" t="n">
        <v>0</v>
      </c>
      <c r="U5293" t="n">
        <v>0</v>
      </c>
      <c r="V5293" s="2" t="inlineStr"/>
    </row>
    <row r="5294" ht="15" customHeight="1">
      <c r="A5294" t="inlineStr">
        <is>
          <t>A 48352-2024</t>
        </is>
      </c>
      <c r="B5294" t="inlineStr">
        <is>
          <t>avverkningsanmälan</t>
        </is>
      </c>
      <c r="C5294" t="inlineStr">
        <is>
          <t>Föryngringsavverkning</t>
        </is>
      </c>
      <c r="D5294" s="1" t="n">
        <v>45590</v>
      </c>
      <c r="E5294" s="1" t="n">
        <v>46323</v>
      </c>
      <c r="F5294" t="inlineStr">
        <is>
          <t>KALMAR LÄN</t>
        </is>
      </c>
      <c r="G5294" t="inlineStr">
        <is>
          <t>EMMABODA</t>
        </is>
      </c>
      <c r="I5294" t="n">
        <v>0.4</v>
      </c>
      <c r="J5294" t="n">
        <v>0</v>
      </c>
      <c r="K5294" t="n">
        <v>0</v>
      </c>
      <c r="L5294" t="n">
        <v>0</v>
      </c>
      <c r="M5294" t="n">
        <v>0</v>
      </c>
      <c r="N5294" t="n">
        <v>0</v>
      </c>
      <c r="O5294" t="n">
        <v>0</v>
      </c>
      <c r="P5294" t="n">
        <v>0</v>
      </c>
      <c r="Q5294" t="n">
        <v>0</v>
      </c>
      <c r="R5294" t="n">
        <v>0</v>
      </c>
      <c r="S5294" t="n">
        <v>0</v>
      </c>
      <c r="T5294" t="n">
        <v>0</v>
      </c>
      <c r="U5294" t="n">
        <v>0</v>
      </c>
      <c r="V5294" s="2" t="inlineStr"/>
    </row>
    <row r="5295" ht="15" customHeight="1">
      <c r="A5295" t="inlineStr">
        <is>
          <t>A 11694-2025</t>
        </is>
      </c>
      <c r="B5295" t="inlineStr">
        <is>
          <t>avverkningsanmälan</t>
        </is>
      </c>
      <c r="C5295" t="inlineStr">
        <is>
          <t>Föryngringsavverkning</t>
        </is>
      </c>
      <c r="D5295" s="1" t="n">
        <v>45727</v>
      </c>
      <c r="E5295" s="1" t="n">
        <v>46323</v>
      </c>
      <c r="F5295" t="inlineStr">
        <is>
          <t>KALMAR LÄN</t>
        </is>
      </c>
      <c r="G5295" t="inlineStr">
        <is>
          <t>HÖGSBY</t>
        </is>
      </c>
      <c r="I5295" t="n">
        <v>1.7</v>
      </c>
      <c r="J5295" t="n">
        <v>0</v>
      </c>
      <c r="K5295" t="n">
        <v>0</v>
      </c>
      <c r="L5295" t="n">
        <v>0</v>
      </c>
      <c r="M5295" t="n">
        <v>0</v>
      </c>
      <c r="N5295" t="n">
        <v>0</v>
      </c>
      <c r="O5295" t="n">
        <v>0</v>
      </c>
      <c r="P5295" t="n">
        <v>0</v>
      </c>
      <c r="Q5295" t="n">
        <v>0</v>
      </c>
      <c r="R5295" t="n">
        <v>0</v>
      </c>
      <c r="S5295" t="n">
        <v>0</v>
      </c>
      <c r="T5295" t="n">
        <v>0</v>
      </c>
      <c r="U5295" t="n">
        <v>0</v>
      </c>
      <c r="V5295" s="2" t="inlineStr"/>
    </row>
    <row r="5296" ht="15" customHeight="1">
      <c r="A5296" t="inlineStr">
        <is>
          <t>A 26963-2026</t>
        </is>
      </c>
      <c r="B5296" t="inlineStr">
        <is>
          <t>avverkningsanmälan</t>
        </is>
      </c>
      <c r="C5296" t="inlineStr">
        <is>
          <t>Föryngringsavverkning</t>
        </is>
      </c>
      <c r="D5296" s="1" t="n">
        <v>46185</v>
      </c>
      <c r="E5296" s="1" t="n">
        <v>46323</v>
      </c>
      <c r="F5296" t="inlineStr">
        <is>
          <t>KALMAR LÄN</t>
        </is>
      </c>
      <c r="G5296" t="inlineStr">
        <is>
          <t>HÖGSBY</t>
        </is>
      </c>
      <c r="H5296" t="inlineStr">
        <is>
          <t>Sveaskog</t>
        </is>
      </c>
      <c r="I5296" t="n">
        <v>8.699999999999999</v>
      </c>
      <c r="J5296" t="n">
        <v>0</v>
      </c>
      <c r="K5296" t="n">
        <v>0</v>
      </c>
      <c r="L5296" t="n">
        <v>0</v>
      </c>
      <c r="M5296" t="n">
        <v>0</v>
      </c>
      <c r="N5296" t="n">
        <v>0</v>
      </c>
      <c r="O5296" t="n">
        <v>0</v>
      </c>
      <c r="P5296" t="n">
        <v>0</v>
      </c>
      <c r="Q5296" t="n">
        <v>0</v>
      </c>
      <c r="R5296" t="n">
        <v>0</v>
      </c>
      <c r="S5296" t="n">
        <v>0</v>
      </c>
      <c r="T5296" t="n">
        <v>0</v>
      </c>
      <c r="U5296" t="n">
        <v>0</v>
      </c>
      <c r="V5296" s="2" t="inlineStr"/>
    </row>
    <row r="5297" ht="15" customHeight="1">
      <c r="A5297" t="inlineStr">
        <is>
          <t>A 28212-2025</t>
        </is>
      </c>
      <c r="B5297" t="inlineStr">
        <is>
          <t>avverkningsanmälan</t>
        </is>
      </c>
      <c r="C5297" t="inlineStr">
        <is>
          <t>Föryngringsavverkning</t>
        </is>
      </c>
      <c r="D5297" s="1" t="n">
        <v>45818</v>
      </c>
      <c r="E5297" s="1" t="n">
        <v>46323</v>
      </c>
      <c r="F5297" t="inlineStr">
        <is>
          <t>KALMAR LÄN</t>
        </is>
      </c>
      <c r="G5297" t="inlineStr">
        <is>
          <t>EMMABODA</t>
        </is>
      </c>
      <c r="I5297" t="n">
        <v>3.7</v>
      </c>
      <c r="J5297" t="n">
        <v>0</v>
      </c>
      <c r="K5297" t="n">
        <v>0</v>
      </c>
      <c r="L5297" t="n">
        <v>0</v>
      </c>
      <c r="M5297" t="n">
        <v>0</v>
      </c>
      <c r="N5297" t="n">
        <v>0</v>
      </c>
      <c r="O5297" t="n">
        <v>0</v>
      </c>
      <c r="P5297" t="n">
        <v>0</v>
      </c>
      <c r="Q5297" t="n">
        <v>0</v>
      </c>
      <c r="R5297" t="n">
        <v>0</v>
      </c>
      <c r="S5297" t="n">
        <v>0</v>
      </c>
      <c r="T5297" t="n">
        <v>0</v>
      </c>
      <c r="U5297" t="n">
        <v>0</v>
      </c>
      <c r="V5297" s="2" t="inlineStr"/>
    </row>
    <row r="5298" ht="15" customHeight="1">
      <c r="A5298" t="inlineStr">
        <is>
          <t>A 51243-2022</t>
        </is>
      </c>
      <c r="B5298" t="inlineStr">
        <is>
          <t>avverkningsanmälan</t>
        </is>
      </c>
      <c r="C5298" t="inlineStr">
        <is>
          <t>Föryngringsavverkning</t>
        </is>
      </c>
      <c r="D5298" s="1" t="n">
        <v>44868</v>
      </c>
      <c r="E5298" s="1" t="n">
        <v>46323</v>
      </c>
      <c r="F5298" t="inlineStr">
        <is>
          <t>KALMAR LÄN</t>
        </is>
      </c>
      <c r="G5298" t="inlineStr">
        <is>
          <t>HULTSFRED</t>
        </is>
      </c>
      <c r="I5298" t="n">
        <v>2.4</v>
      </c>
      <c r="J5298" t="n">
        <v>0</v>
      </c>
      <c r="K5298" t="n">
        <v>0</v>
      </c>
      <c r="L5298" t="n">
        <v>0</v>
      </c>
      <c r="M5298" t="n">
        <v>0</v>
      </c>
      <c r="N5298" t="n">
        <v>0</v>
      </c>
      <c r="O5298" t="n">
        <v>0</v>
      </c>
      <c r="P5298" t="n">
        <v>0</v>
      </c>
      <c r="Q5298" t="n">
        <v>0</v>
      </c>
      <c r="R5298" t="n">
        <v>0</v>
      </c>
      <c r="S5298" t="n">
        <v>0</v>
      </c>
      <c r="T5298" t="n">
        <v>0</v>
      </c>
      <c r="U5298" t="n">
        <v>0</v>
      </c>
      <c r="V5298" s="2" t="inlineStr"/>
    </row>
    <row r="5299" ht="15" customHeight="1">
      <c r="A5299" t="inlineStr">
        <is>
          <t>A 57980-2022</t>
        </is>
      </c>
      <c r="B5299" t="inlineStr">
        <is>
          <t>avverkningsanmälan</t>
        </is>
      </c>
      <c r="C5299" t="inlineStr">
        <is>
          <t>Föryngringsavverkning</t>
        </is>
      </c>
      <c r="D5299" s="1" t="n">
        <v>44900</v>
      </c>
      <c r="E5299" s="1" t="n">
        <v>46323</v>
      </c>
      <c r="F5299" t="inlineStr">
        <is>
          <t>KALMAR LÄN</t>
        </is>
      </c>
      <c r="G5299" t="inlineStr">
        <is>
          <t>NYBRO</t>
        </is>
      </c>
      <c r="I5299" t="n">
        <v>2.6</v>
      </c>
      <c r="J5299" t="n">
        <v>0</v>
      </c>
      <c r="K5299" t="n">
        <v>0</v>
      </c>
      <c r="L5299" t="n">
        <v>0</v>
      </c>
      <c r="M5299" t="n">
        <v>0</v>
      </c>
      <c r="N5299" t="n">
        <v>0</v>
      </c>
      <c r="O5299" t="n">
        <v>0</v>
      </c>
      <c r="P5299" t="n">
        <v>0</v>
      </c>
      <c r="Q5299" t="n">
        <v>0</v>
      </c>
      <c r="R5299" t="n">
        <v>0</v>
      </c>
      <c r="S5299" t="n">
        <v>0</v>
      </c>
      <c r="T5299" t="n">
        <v>0</v>
      </c>
      <c r="U5299" t="n">
        <v>0</v>
      </c>
      <c r="V5299" s="2" t="inlineStr"/>
    </row>
    <row r="5300" ht="15" customHeight="1">
      <c r="A5300" t="inlineStr">
        <is>
          <t>A 62390-2025</t>
        </is>
      </c>
      <c r="B5300" t="inlineStr">
        <is>
          <t>avverkningsanmälan</t>
        </is>
      </c>
      <c r="C5300" t="inlineStr">
        <is>
          <t>Föryngringsavverkning</t>
        </is>
      </c>
      <c r="D5300" s="1" t="n">
        <v>46007</v>
      </c>
      <c r="E5300" s="1" t="n">
        <v>46323</v>
      </c>
      <c r="F5300" t="inlineStr">
        <is>
          <t>KALMAR LÄN</t>
        </is>
      </c>
      <c r="G5300" t="inlineStr">
        <is>
          <t>OSKARSHAMN</t>
        </is>
      </c>
      <c r="I5300" t="n">
        <v>1.5</v>
      </c>
      <c r="J5300" t="n">
        <v>0</v>
      </c>
      <c r="K5300" t="n">
        <v>0</v>
      </c>
      <c r="L5300" t="n">
        <v>0</v>
      </c>
      <c r="M5300" t="n">
        <v>0</v>
      </c>
      <c r="N5300" t="n">
        <v>0</v>
      </c>
      <c r="O5300" t="n">
        <v>0</v>
      </c>
      <c r="P5300" t="n">
        <v>0</v>
      </c>
      <c r="Q5300" t="n">
        <v>0</v>
      </c>
      <c r="R5300" t="n">
        <v>0</v>
      </c>
      <c r="S5300" t="n">
        <v>0</v>
      </c>
      <c r="T5300" t="n">
        <v>0</v>
      </c>
      <c r="U5300" t="n">
        <v>0</v>
      </c>
      <c r="V5300" s="2" t="inlineStr"/>
    </row>
    <row r="5301" ht="15" customHeight="1">
      <c r="A5301" t="inlineStr">
        <is>
          <t>A 21991-2025</t>
        </is>
      </c>
      <c r="B5301" t="inlineStr">
        <is>
          <t>avverkningsanmälan</t>
        </is>
      </c>
      <c r="C5301" t="inlineStr">
        <is>
          <t>Föryngringsavverkning</t>
        </is>
      </c>
      <c r="D5301" s="1" t="n">
        <v>45784</v>
      </c>
      <c r="E5301" s="1" t="n">
        <v>46323</v>
      </c>
      <c r="F5301" t="inlineStr">
        <is>
          <t>KALMAR LÄN</t>
        </is>
      </c>
      <c r="G5301" t="inlineStr">
        <is>
          <t>VÄSTERVIK</t>
        </is>
      </c>
      <c r="I5301" t="n">
        <v>0.8</v>
      </c>
      <c r="J5301" t="n">
        <v>0</v>
      </c>
      <c r="K5301" t="n">
        <v>0</v>
      </c>
      <c r="L5301" t="n">
        <v>0</v>
      </c>
      <c r="M5301" t="n">
        <v>0</v>
      </c>
      <c r="N5301" t="n">
        <v>0</v>
      </c>
      <c r="O5301" t="n">
        <v>0</v>
      </c>
      <c r="P5301" t="n">
        <v>0</v>
      </c>
      <c r="Q5301" t="n">
        <v>0</v>
      </c>
      <c r="R5301" t="n">
        <v>0</v>
      </c>
      <c r="S5301" t="n">
        <v>0</v>
      </c>
      <c r="T5301" t="n">
        <v>0</v>
      </c>
      <c r="U5301" t="n">
        <v>0</v>
      </c>
      <c r="V5301" s="2" t="inlineStr"/>
    </row>
    <row r="5302" ht="15" customHeight="1">
      <c r="A5302" t="inlineStr">
        <is>
          <t>A 34285-2022</t>
        </is>
      </c>
      <c r="B5302" t="inlineStr">
        <is>
          <t>avverkningsanmälan</t>
        </is>
      </c>
      <c r="C5302" t="inlineStr">
        <is>
          <t>Föryngringsavverkning</t>
        </is>
      </c>
      <c r="D5302" s="1" t="n">
        <v>44792</v>
      </c>
      <c r="E5302" s="1" t="n">
        <v>46323</v>
      </c>
      <c r="F5302" t="inlineStr">
        <is>
          <t>KALMAR LÄN</t>
        </is>
      </c>
      <c r="G5302" t="inlineStr">
        <is>
          <t>TORSÅS</t>
        </is>
      </c>
      <c r="I5302" t="n">
        <v>1.5</v>
      </c>
      <c r="J5302" t="n">
        <v>0</v>
      </c>
      <c r="K5302" t="n">
        <v>0</v>
      </c>
      <c r="L5302" t="n">
        <v>0</v>
      </c>
      <c r="M5302" t="n">
        <v>0</v>
      </c>
      <c r="N5302" t="n">
        <v>0</v>
      </c>
      <c r="O5302" t="n">
        <v>0</v>
      </c>
      <c r="P5302" t="n">
        <v>0</v>
      </c>
      <c r="Q5302" t="n">
        <v>0</v>
      </c>
      <c r="R5302" t="n">
        <v>0</v>
      </c>
      <c r="S5302" t="n">
        <v>0</v>
      </c>
      <c r="T5302" t="n">
        <v>0</v>
      </c>
      <c r="U5302" t="n">
        <v>0</v>
      </c>
      <c r="V5302" s="2" t="inlineStr"/>
    </row>
    <row r="5303" ht="15" customHeight="1">
      <c r="A5303" t="inlineStr">
        <is>
          <t>A 35267-2026</t>
        </is>
      </c>
      <c r="B5303" t="inlineStr">
        <is>
          <t>avverkningsanmälan</t>
        </is>
      </c>
      <c r="C5303" t="inlineStr">
        <is>
          <t>Föryngringsavverkning</t>
        </is>
      </c>
      <c r="D5303" s="1" t="n">
        <v>46261</v>
      </c>
      <c r="E5303" s="1" t="n">
        <v>46323</v>
      </c>
      <c r="F5303" t="inlineStr">
        <is>
          <t>KALMAR LÄN</t>
        </is>
      </c>
      <c r="G5303" t="inlineStr">
        <is>
          <t>VÄSTERVIK</t>
        </is>
      </c>
      <c r="H5303" t="inlineStr">
        <is>
          <t>Övriga Aktiebolag</t>
        </is>
      </c>
      <c r="I5303" t="n">
        <v>0.7</v>
      </c>
      <c r="J5303" t="n">
        <v>0</v>
      </c>
      <c r="K5303" t="n">
        <v>0</v>
      </c>
      <c r="L5303" t="n">
        <v>0</v>
      </c>
      <c r="M5303" t="n">
        <v>0</v>
      </c>
      <c r="N5303" t="n">
        <v>0</v>
      </c>
      <c r="O5303" t="n">
        <v>0</v>
      </c>
      <c r="P5303" t="n">
        <v>0</v>
      </c>
      <c r="Q5303" t="n">
        <v>0</v>
      </c>
      <c r="R5303" t="n">
        <v>0</v>
      </c>
      <c r="S5303" t="n">
        <v>0</v>
      </c>
      <c r="T5303" t="n">
        <v>0</v>
      </c>
      <c r="U5303" t="n">
        <v>0</v>
      </c>
      <c r="V5303" s="2" t="inlineStr"/>
    </row>
    <row r="5304" ht="15" customHeight="1">
      <c r="A5304" t="inlineStr">
        <is>
          <t>A 25830-2025</t>
        </is>
      </c>
      <c r="B5304" t="inlineStr">
        <is>
          <t>avverkningsanmälan</t>
        </is>
      </c>
      <c r="C5304" t="inlineStr">
        <is>
          <t>Föryngringsavverkning</t>
        </is>
      </c>
      <c r="D5304" s="1" t="n">
        <v>45804</v>
      </c>
      <c r="E5304" s="1" t="n">
        <v>46323</v>
      </c>
      <c r="F5304" t="inlineStr">
        <is>
          <t>KALMAR LÄN</t>
        </is>
      </c>
      <c r="G5304" t="inlineStr">
        <is>
          <t>VIMMERBY</t>
        </is>
      </c>
      <c r="I5304" t="n">
        <v>4.9</v>
      </c>
      <c r="J5304" t="n">
        <v>0</v>
      </c>
      <c r="K5304" t="n">
        <v>0</v>
      </c>
      <c r="L5304" t="n">
        <v>0</v>
      </c>
      <c r="M5304" t="n">
        <v>0</v>
      </c>
      <c r="N5304" t="n">
        <v>0</v>
      </c>
      <c r="O5304" t="n">
        <v>0</v>
      </c>
      <c r="P5304" t="n">
        <v>0</v>
      </c>
      <c r="Q5304" t="n">
        <v>0</v>
      </c>
      <c r="R5304" t="n">
        <v>0</v>
      </c>
      <c r="S5304" t="n">
        <v>0</v>
      </c>
      <c r="T5304" t="n">
        <v>0</v>
      </c>
      <c r="U5304" t="n">
        <v>0</v>
      </c>
      <c r="V5304" s="2" t="inlineStr"/>
    </row>
    <row r="5305" ht="15" customHeight="1">
      <c r="A5305" t="inlineStr">
        <is>
          <t>A 49895-2023</t>
        </is>
      </c>
      <c r="B5305" t="inlineStr">
        <is>
          <t>avverkningsanmälan</t>
        </is>
      </c>
      <c r="C5305" t="inlineStr">
        <is>
          <t>Föryngringsavverkning</t>
        </is>
      </c>
      <c r="D5305" s="1" t="n">
        <v>45213</v>
      </c>
      <c r="E5305" s="1" t="n">
        <v>46323</v>
      </c>
      <c r="F5305" t="inlineStr">
        <is>
          <t>KALMAR LÄN</t>
        </is>
      </c>
      <c r="G5305" t="inlineStr">
        <is>
          <t>NYBRO</t>
        </is>
      </c>
      <c r="I5305" t="n">
        <v>0.7</v>
      </c>
      <c r="J5305" t="n">
        <v>0</v>
      </c>
      <c r="K5305" t="n">
        <v>0</v>
      </c>
      <c r="L5305" t="n">
        <v>0</v>
      </c>
      <c r="M5305" t="n">
        <v>0</v>
      </c>
      <c r="N5305" t="n">
        <v>0</v>
      </c>
      <c r="O5305" t="n">
        <v>0</v>
      </c>
      <c r="P5305" t="n">
        <v>0</v>
      </c>
      <c r="Q5305" t="n">
        <v>0</v>
      </c>
      <c r="R5305" t="n">
        <v>0</v>
      </c>
      <c r="S5305" t="n">
        <v>0</v>
      </c>
      <c r="T5305" t="n">
        <v>0</v>
      </c>
      <c r="U5305" t="n">
        <v>0</v>
      </c>
      <c r="V5305" s="2" t="inlineStr"/>
    </row>
    <row r="5306" ht="15" customHeight="1">
      <c r="A5306" t="inlineStr">
        <is>
          <t>A 41956-2026</t>
        </is>
      </c>
      <c r="B5306" t="inlineStr">
        <is>
          <t>avverkningsanmälan</t>
        </is>
      </c>
      <c r="C5306" t="inlineStr">
        <is>
          <t>Avverkning för annat ändamål</t>
        </is>
      </c>
      <c r="D5306" s="1" t="n">
        <v>46303</v>
      </c>
      <c r="E5306" s="1" t="n">
        <v>46323</v>
      </c>
      <c r="F5306" t="inlineStr">
        <is>
          <t>KALMAR LÄN</t>
        </is>
      </c>
      <c r="G5306" t="inlineStr">
        <is>
          <t>VÄSTERVIK</t>
        </is>
      </c>
      <c r="I5306" t="n">
        <v>1.2</v>
      </c>
      <c r="J5306" t="n">
        <v>0</v>
      </c>
      <c r="K5306" t="n">
        <v>0</v>
      </c>
      <c r="L5306" t="n">
        <v>0</v>
      </c>
      <c r="M5306" t="n">
        <v>0</v>
      </c>
      <c r="N5306" t="n">
        <v>0</v>
      </c>
      <c r="O5306" t="n">
        <v>0</v>
      </c>
      <c r="P5306" t="n">
        <v>0</v>
      </c>
      <c r="Q5306" t="n">
        <v>0</v>
      </c>
      <c r="R5306" t="n">
        <v>0</v>
      </c>
      <c r="S5306" t="n">
        <v>0</v>
      </c>
      <c r="T5306" t="n">
        <v>0</v>
      </c>
      <c r="U5306" t="n">
        <v>0</v>
      </c>
      <c r="V5306" s="2" t="inlineStr"/>
    </row>
    <row r="5307" ht="15" customHeight="1">
      <c r="A5307" t="inlineStr">
        <is>
          <t>A 26710-2025</t>
        </is>
      </c>
      <c r="B5307" t="inlineStr">
        <is>
          <t>avverkningsanmälan</t>
        </is>
      </c>
      <c r="C5307" t="inlineStr">
        <is>
          <t>Föryngringsavverkning</t>
        </is>
      </c>
      <c r="D5307" s="1" t="n">
        <v>45810</v>
      </c>
      <c r="E5307" s="1" t="n">
        <v>46323</v>
      </c>
      <c r="F5307" t="inlineStr">
        <is>
          <t>KALMAR LÄN</t>
        </is>
      </c>
      <c r="G5307" t="inlineStr">
        <is>
          <t>HULTSFRED</t>
        </is>
      </c>
      <c r="I5307" t="n">
        <v>0.6</v>
      </c>
      <c r="J5307" t="n">
        <v>0</v>
      </c>
      <c r="K5307" t="n">
        <v>0</v>
      </c>
      <c r="L5307" t="n">
        <v>0</v>
      </c>
      <c r="M5307" t="n">
        <v>0</v>
      </c>
      <c r="N5307" t="n">
        <v>0</v>
      </c>
      <c r="O5307" t="n">
        <v>0</v>
      </c>
      <c r="P5307" t="n">
        <v>0</v>
      </c>
      <c r="Q5307" t="n">
        <v>0</v>
      </c>
      <c r="R5307" t="n">
        <v>0</v>
      </c>
      <c r="S5307" t="n">
        <v>0</v>
      </c>
      <c r="T5307" t="n">
        <v>0</v>
      </c>
      <c r="U5307" t="n">
        <v>0</v>
      </c>
      <c r="V5307" s="2" t="inlineStr"/>
    </row>
    <row r="5308" ht="15" customHeight="1">
      <c r="A5308" t="inlineStr">
        <is>
          <t>A 37296-2022</t>
        </is>
      </c>
      <c r="B5308" t="inlineStr">
        <is>
          <t>avverkningsanmälan</t>
        </is>
      </c>
      <c r="C5308" t="inlineStr">
        <is>
          <t>Föryngringsavverkning</t>
        </is>
      </c>
      <c r="D5308" s="1" t="n">
        <v>44808</v>
      </c>
      <c r="E5308" s="1" t="n">
        <v>46323</v>
      </c>
      <c r="F5308" t="inlineStr">
        <is>
          <t>KALMAR LÄN</t>
        </is>
      </c>
      <c r="G5308" t="inlineStr">
        <is>
          <t>EMMABODA</t>
        </is>
      </c>
      <c r="I5308" t="n">
        <v>3.3</v>
      </c>
      <c r="J5308" t="n">
        <v>0</v>
      </c>
      <c r="K5308" t="n">
        <v>0</v>
      </c>
      <c r="L5308" t="n">
        <v>0</v>
      </c>
      <c r="M5308" t="n">
        <v>0</v>
      </c>
      <c r="N5308" t="n">
        <v>0</v>
      </c>
      <c r="O5308" t="n">
        <v>0</v>
      </c>
      <c r="P5308" t="n">
        <v>0</v>
      </c>
      <c r="Q5308" t="n">
        <v>0</v>
      </c>
      <c r="R5308" t="n">
        <v>0</v>
      </c>
      <c r="S5308" t="n">
        <v>0</v>
      </c>
      <c r="T5308" t="n">
        <v>0</v>
      </c>
      <c r="U5308" t="n">
        <v>0</v>
      </c>
      <c r="V5308" s="2" t="inlineStr"/>
    </row>
    <row r="5309" ht="15" customHeight="1">
      <c r="A5309" t="inlineStr">
        <is>
          <t>A 55815-2025</t>
        </is>
      </c>
      <c r="B5309" t="inlineStr">
        <is>
          <t>avverkningsanmälan</t>
        </is>
      </c>
      <c r="C5309" t="inlineStr">
        <is>
          <t>Föryngringsavverkning</t>
        </is>
      </c>
      <c r="D5309" s="1" t="n">
        <v>45972</v>
      </c>
      <c r="E5309" s="1" t="n">
        <v>46323</v>
      </c>
      <c r="F5309" t="inlineStr">
        <is>
          <t>KALMAR LÄN</t>
        </is>
      </c>
      <c r="G5309" t="inlineStr">
        <is>
          <t>EMMABODA</t>
        </is>
      </c>
      <c r="I5309" t="n">
        <v>5.3</v>
      </c>
      <c r="J5309" t="n">
        <v>0</v>
      </c>
      <c r="K5309" t="n">
        <v>0</v>
      </c>
      <c r="L5309" t="n">
        <v>0</v>
      </c>
      <c r="M5309" t="n">
        <v>0</v>
      </c>
      <c r="N5309" t="n">
        <v>0</v>
      </c>
      <c r="O5309" t="n">
        <v>0</v>
      </c>
      <c r="P5309" t="n">
        <v>0</v>
      </c>
      <c r="Q5309" t="n">
        <v>0</v>
      </c>
      <c r="R5309" t="n">
        <v>0</v>
      </c>
      <c r="S5309" t="n">
        <v>0</v>
      </c>
      <c r="T5309" t="n">
        <v>0</v>
      </c>
      <c r="U5309" t="n">
        <v>0</v>
      </c>
      <c r="V5309" s="2" t="inlineStr"/>
    </row>
    <row r="5310" ht="15" customHeight="1">
      <c r="A5310" t="inlineStr">
        <is>
          <t>A 28575-2025</t>
        </is>
      </c>
      <c r="B5310" t="inlineStr">
        <is>
          <t>avverkningsanmälan</t>
        </is>
      </c>
      <c r="C5310" t="inlineStr">
        <is>
          <t>Föryngringsavverkning</t>
        </is>
      </c>
      <c r="D5310" s="1" t="n">
        <v>45819</v>
      </c>
      <c r="E5310" s="1" t="n">
        <v>46323</v>
      </c>
      <c r="F5310" t="inlineStr">
        <is>
          <t>KALMAR LÄN</t>
        </is>
      </c>
      <c r="G5310" t="inlineStr">
        <is>
          <t>HULTSFRED</t>
        </is>
      </c>
      <c r="I5310" t="n">
        <v>1.6</v>
      </c>
      <c r="J5310" t="n">
        <v>0</v>
      </c>
      <c r="K5310" t="n">
        <v>0</v>
      </c>
      <c r="L5310" t="n">
        <v>0</v>
      </c>
      <c r="M5310" t="n">
        <v>0</v>
      </c>
      <c r="N5310" t="n">
        <v>0</v>
      </c>
      <c r="O5310" t="n">
        <v>0</v>
      </c>
      <c r="P5310" t="n">
        <v>0</v>
      </c>
      <c r="Q5310" t="n">
        <v>0</v>
      </c>
      <c r="R5310" t="n">
        <v>0</v>
      </c>
      <c r="S5310" t="n">
        <v>0</v>
      </c>
      <c r="T5310" t="n">
        <v>0</v>
      </c>
      <c r="U5310" t="n">
        <v>0</v>
      </c>
      <c r="V5310" s="2" t="inlineStr"/>
    </row>
    <row r="5311" ht="15" customHeight="1">
      <c r="A5311" t="inlineStr">
        <is>
          <t>A 54848-2025</t>
        </is>
      </c>
      <c r="B5311" t="inlineStr">
        <is>
          <t>avverkningsanmälan</t>
        </is>
      </c>
      <c r="C5311" t="inlineStr">
        <is>
          <t>Föryngringsavverkning</t>
        </is>
      </c>
      <c r="D5311" s="1" t="n">
        <v>45966</v>
      </c>
      <c r="E5311" s="1" t="n">
        <v>46323</v>
      </c>
      <c r="F5311" t="inlineStr">
        <is>
          <t>KALMAR LÄN</t>
        </is>
      </c>
      <c r="G5311" t="inlineStr">
        <is>
          <t>NYBRO</t>
        </is>
      </c>
      <c r="I5311" t="n">
        <v>2.2</v>
      </c>
      <c r="J5311" t="n">
        <v>0</v>
      </c>
      <c r="K5311" t="n">
        <v>0</v>
      </c>
      <c r="L5311" t="n">
        <v>0</v>
      </c>
      <c r="M5311" t="n">
        <v>0</v>
      </c>
      <c r="N5311" t="n">
        <v>0</v>
      </c>
      <c r="O5311" t="n">
        <v>0</v>
      </c>
      <c r="P5311" t="n">
        <v>0</v>
      </c>
      <c r="Q5311" t="n">
        <v>0</v>
      </c>
      <c r="R5311" t="n">
        <v>0</v>
      </c>
      <c r="S5311" t="n">
        <v>0</v>
      </c>
      <c r="T5311" t="n">
        <v>0</v>
      </c>
      <c r="U5311" t="n">
        <v>0</v>
      </c>
      <c r="V5311" s="2" t="inlineStr"/>
    </row>
    <row r="5312" ht="15" customHeight="1">
      <c r="A5312" t="inlineStr">
        <is>
          <t>A 44806-2025</t>
        </is>
      </c>
      <c r="B5312" t="inlineStr">
        <is>
          <t>avverkningsanmälan</t>
        </is>
      </c>
      <c r="C5312" t="inlineStr">
        <is>
          <t>Föryngringsavverkning</t>
        </is>
      </c>
      <c r="D5312" s="1" t="n">
        <v>45918</v>
      </c>
      <c r="E5312" s="1" t="n">
        <v>46323</v>
      </c>
      <c r="F5312" t="inlineStr">
        <is>
          <t>KALMAR LÄN</t>
        </is>
      </c>
      <c r="G5312" t="inlineStr">
        <is>
          <t>HULTSFRED</t>
        </is>
      </c>
      <c r="I5312" t="n">
        <v>2.2</v>
      </c>
      <c r="J5312" t="n">
        <v>0</v>
      </c>
      <c r="K5312" t="n">
        <v>0</v>
      </c>
      <c r="L5312" t="n">
        <v>0</v>
      </c>
      <c r="M5312" t="n">
        <v>0</v>
      </c>
      <c r="N5312" t="n">
        <v>0</v>
      </c>
      <c r="O5312" t="n">
        <v>0</v>
      </c>
      <c r="P5312" t="n">
        <v>0</v>
      </c>
      <c r="Q5312" t="n">
        <v>0</v>
      </c>
      <c r="R5312" t="n">
        <v>0</v>
      </c>
      <c r="S5312" t="n">
        <v>0</v>
      </c>
      <c r="T5312" t="n">
        <v>0</v>
      </c>
      <c r="U5312" t="n">
        <v>0</v>
      </c>
      <c r="V5312" s="2" t="inlineStr"/>
    </row>
    <row r="5313" ht="15" customHeight="1">
      <c r="A5313" t="inlineStr">
        <is>
          <t>A 49481-2025</t>
        </is>
      </c>
      <c r="B5313" t="inlineStr">
        <is>
          <t>avverkningsanmälan</t>
        </is>
      </c>
      <c r="C5313" t="inlineStr">
        <is>
          <t>Föryngringsavverkning</t>
        </is>
      </c>
      <c r="D5313" s="1" t="n">
        <v>45939</v>
      </c>
      <c r="E5313" s="1" t="n">
        <v>46323</v>
      </c>
      <c r="F5313" t="inlineStr">
        <is>
          <t>KALMAR LÄN</t>
        </is>
      </c>
      <c r="G5313" t="inlineStr">
        <is>
          <t>HULTSFRED</t>
        </is>
      </c>
      <c r="I5313" t="n">
        <v>1.3</v>
      </c>
      <c r="J5313" t="n">
        <v>0</v>
      </c>
      <c r="K5313" t="n">
        <v>0</v>
      </c>
      <c r="L5313" t="n">
        <v>0</v>
      </c>
      <c r="M5313" t="n">
        <v>0</v>
      </c>
      <c r="N5313" t="n">
        <v>0</v>
      </c>
      <c r="O5313" t="n">
        <v>0</v>
      </c>
      <c r="P5313" t="n">
        <v>0</v>
      </c>
      <c r="Q5313" t="n">
        <v>0</v>
      </c>
      <c r="R5313" t="n">
        <v>0</v>
      </c>
      <c r="S5313" t="n">
        <v>0</v>
      </c>
      <c r="T5313" t="n">
        <v>0</v>
      </c>
      <c r="U5313" t="n">
        <v>0</v>
      </c>
      <c r="V5313" s="2" t="inlineStr"/>
    </row>
    <row r="5314" ht="15" customHeight="1">
      <c r="A5314" t="inlineStr">
        <is>
          <t>A 45831-2025</t>
        </is>
      </c>
      <c r="B5314" t="inlineStr">
        <is>
          <t>avverkningsanmälan</t>
        </is>
      </c>
      <c r="C5314" t="inlineStr">
        <is>
          <t>Föryngringsavverkning</t>
        </is>
      </c>
      <c r="D5314" s="1" t="n">
        <v>45923</v>
      </c>
      <c r="E5314" s="1" t="n">
        <v>46323</v>
      </c>
      <c r="F5314" t="inlineStr">
        <is>
          <t>KALMAR LÄN</t>
        </is>
      </c>
      <c r="G5314" t="inlineStr">
        <is>
          <t>HULTSFRED</t>
        </is>
      </c>
      <c r="I5314" t="n">
        <v>2.2</v>
      </c>
      <c r="J5314" t="n">
        <v>0</v>
      </c>
      <c r="K5314" t="n">
        <v>0</v>
      </c>
      <c r="L5314" t="n">
        <v>0</v>
      </c>
      <c r="M5314" t="n">
        <v>0</v>
      </c>
      <c r="N5314" t="n">
        <v>0</v>
      </c>
      <c r="O5314" t="n">
        <v>0</v>
      </c>
      <c r="P5314" t="n">
        <v>0</v>
      </c>
      <c r="Q5314" t="n">
        <v>0</v>
      </c>
      <c r="R5314" t="n">
        <v>0</v>
      </c>
      <c r="S5314" t="n">
        <v>0</v>
      </c>
      <c r="T5314" t="n">
        <v>0</v>
      </c>
      <c r="U5314" t="n">
        <v>0</v>
      </c>
      <c r="V5314" s="2" t="inlineStr"/>
    </row>
    <row r="5315" ht="15" customHeight="1">
      <c r="A5315" t="inlineStr">
        <is>
          <t>A 28380-2024</t>
        </is>
      </c>
      <c r="B5315" t="inlineStr">
        <is>
          <t>avverkningsanmälan</t>
        </is>
      </c>
      <c r="C5315" t="inlineStr">
        <is>
          <t>Föryngringsavverkning</t>
        </is>
      </c>
      <c r="D5315" s="1" t="n">
        <v>45477</v>
      </c>
      <c r="E5315" s="1" t="n">
        <v>46323</v>
      </c>
      <c r="F5315" t="inlineStr">
        <is>
          <t>KALMAR LÄN</t>
        </is>
      </c>
      <c r="G5315" t="inlineStr">
        <is>
          <t>MÖNSTERÅS</t>
        </is>
      </c>
      <c r="I5315" t="n">
        <v>2.6</v>
      </c>
      <c r="J5315" t="n">
        <v>0</v>
      </c>
      <c r="K5315" t="n">
        <v>0</v>
      </c>
      <c r="L5315" t="n">
        <v>0</v>
      </c>
      <c r="M5315" t="n">
        <v>0</v>
      </c>
      <c r="N5315" t="n">
        <v>0</v>
      </c>
      <c r="O5315" t="n">
        <v>0</v>
      </c>
      <c r="P5315" t="n">
        <v>0</v>
      </c>
      <c r="Q5315" t="n">
        <v>0</v>
      </c>
      <c r="R5315" t="n">
        <v>0</v>
      </c>
      <c r="S5315" t="n">
        <v>0</v>
      </c>
      <c r="T5315" t="n">
        <v>0</v>
      </c>
      <c r="U5315" t="n">
        <v>0</v>
      </c>
      <c r="V5315" s="2" t="inlineStr"/>
    </row>
    <row r="5316" ht="15" customHeight="1">
      <c r="A5316" t="inlineStr">
        <is>
          <t>A 36273-2025</t>
        </is>
      </c>
      <c r="B5316" t="inlineStr">
        <is>
          <t>avverkningsanmälan</t>
        </is>
      </c>
      <c r="C5316" t="inlineStr">
        <is>
          <t>Föryngringsavverkning</t>
        </is>
      </c>
      <c r="D5316" s="1" t="n">
        <v>45867</v>
      </c>
      <c r="E5316" s="1" t="n">
        <v>46323</v>
      </c>
      <c r="F5316" t="inlineStr">
        <is>
          <t>KALMAR LÄN</t>
        </is>
      </c>
      <c r="G5316" t="inlineStr">
        <is>
          <t>VIMMERBY</t>
        </is>
      </c>
      <c r="I5316" t="n">
        <v>1.7</v>
      </c>
      <c r="J5316" t="n">
        <v>0</v>
      </c>
      <c r="K5316" t="n">
        <v>0</v>
      </c>
      <c r="L5316" t="n">
        <v>0</v>
      </c>
      <c r="M5316" t="n">
        <v>0</v>
      </c>
      <c r="N5316" t="n">
        <v>0</v>
      </c>
      <c r="O5316" t="n">
        <v>0</v>
      </c>
      <c r="P5316" t="n">
        <v>0</v>
      </c>
      <c r="Q5316" t="n">
        <v>0</v>
      </c>
      <c r="R5316" t="n">
        <v>0</v>
      </c>
      <c r="S5316" t="n">
        <v>0</v>
      </c>
      <c r="T5316" t="n">
        <v>0</v>
      </c>
      <c r="U5316" t="n">
        <v>0</v>
      </c>
      <c r="V5316" s="2" t="inlineStr"/>
    </row>
    <row r="5317" ht="15" customHeight="1">
      <c r="A5317" t="inlineStr">
        <is>
          <t>A 36282-2025</t>
        </is>
      </c>
      <c r="B5317" t="inlineStr">
        <is>
          <t>avverkningsanmälan</t>
        </is>
      </c>
      <c r="C5317" t="inlineStr">
        <is>
          <t>Föryngringsavverkning</t>
        </is>
      </c>
      <c r="D5317" s="1" t="n">
        <v>45867</v>
      </c>
      <c r="E5317" s="1" t="n">
        <v>46323</v>
      </c>
      <c r="F5317" t="inlineStr">
        <is>
          <t>KALMAR LÄN</t>
        </is>
      </c>
      <c r="G5317" t="inlineStr">
        <is>
          <t>VIMMERBY</t>
        </is>
      </c>
      <c r="I5317" t="n">
        <v>1.4</v>
      </c>
      <c r="J5317" t="n">
        <v>0</v>
      </c>
      <c r="K5317" t="n">
        <v>0</v>
      </c>
      <c r="L5317" t="n">
        <v>0</v>
      </c>
      <c r="M5317" t="n">
        <v>0</v>
      </c>
      <c r="N5317" t="n">
        <v>0</v>
      </c>
      <c r="O5317" t="n">
        <v>0</v>
      </c>
      <c r="P5317" t="n">
        <v>0</v>
      </c>
      <c r="Q5317" t="n">
        <v>0</v>
      </c>
      <c r="R5317" t="n">
        <v>0</v>
      </c>
      <c r="S5317" t="n">
        <v>0</v>
      </c>
      <c r="T5317" t="n">
        <v>0</v>
      </c>
      <c r="U5317" t="n">
        <v>0</v>
      </c>
      <c r="V5317" s="2" t="inlineStr"/>
    </row>
    <row r="5318" ht="15" customHeight="1">
      <c r="A5318" t="inlineStr">
        <is>
          <t>A 43544-2025</t>
        </is>
      </c>
      <c r="B5318" t="inlineStr">
        <is>
          <t>avverkningsanmälan</t>
        </is>
      </c>
      <c r="C5318" t="inlineStr">
        <is>
          <t>Föryngringsavverkning</t>
        </is>
      </c>
      <c r="D5318" s="1" t="n">
        <v>45911</v>
      </c>
      <c r="E5318" s="1" t="n">
        <v>46323</v>
      </c>
      <c r="F5318" t="inlineStr">
        <is>
          <t>KALMAR LÄN</t>
        </is>
      </c>
      <c r="G5318" t="inlineStr">
        <is>
          <t>HÖGSBY</t>
        </is>
      </c>
      <c r="H5318" t="inlineStr">
        <is>
          <t>Kommuner</t>
        </is>
      </c>
      <c r="I5318" t="n">
        <v>1.3</v>
      </c>
      <c r="J5318" t="n">
        <v>0</v>
      </c>
      <c r="K5318" t="n">
        <v>0</v>
      </c>
      <c r="L5318" t="n">
        <v>0</v>
      </c>
      <c r="M5318" t="n">
        <v>0</v>
      </c>
      <c r="N5318" t="n">
        <v>0</v>
      </c>
      <c r="O5318" t="n">
        <v>0</v>
      </c>
      <c r="P5318" t="n">
        <v>0</v>
      </c>
      <c r="Q5318" t="n">
        <v>0</v>
      </c>
      <c r="R5318" t="n">
        <v>0</v>
      </c>
      <c r="S5318" t="n">
        <v>0</v>
      </c>
      <c r="T5318" t="n">
        <v>0</v>
      </c>
      <c r="U5318" t="n">
        <v>0</v>
      </c>
      <c r="V5318" s="2" t="inlineStr"/>
    </row>
    <row r="5319" ht="15" customHeight="1">
      <c r="A5319" t="inlineStr">
        <is>
          <t>A 31876-2025</t>
        </is>
      </c>
      <c r="B5319" t="inlineStr">
        <is>
          <t>avverkningsanmälan</t>
        </is>
      </c>
      <c r="C5319" t="inlineStr">
        <is>
          <t>Avverkning för att bevara och utveckla /försöksver</t>
        </is>
      </c>
      <c r="D5319" s="1" t="n">
        <v>45834</v>
      </c>
      <c r="E5319" s="1" t="n">
        <v>46323</v>
      </c>
      <c r="F5319" t="inlineStr">
        <is>
          <t>KALMAR LÄN</t>
        </is>
      </c>
      <c r="G5319" t="inlineStr">
        <is>
          <t>VIMMERBY</t>
        </is>
      </c>
      <c r="H5319" t="inlineStr">
        <is>
          <t>Sveaskog</t>
        </is>
      </c>
      <c r="I5319" t="n">
        <v>3.3</v>
      </c>
      <c r="J5319" t="n">
        <v>0</v>
      </c>
      <c r="K5319" t="n">
        <v>0</v>
      </c>
      <c r="L5319" t="n">
        <v>0</v>
      </c>
      <c r="M5319" t="n">
        <v>0</v>
      </c>
      <c r="N5319" t="n">
        <v>0</v>
      </c>
      <c r="O5319" t="n">
        <v>0</v>
      </c>
      <c r="P5319" t="n">
        <v>0</v>
      </c>
      <c r="Q5319" t="n">
        <v>0</v>
      </c>
      <c r="R5319" t="n">
        <v>0</v>
      </c>
      <c r="S5319" t="n">
        <v>0</v>
      </c>
      <c r="T5319" t="n">
        <v>0</v>
      </c>
      <c r="U5319" t="n">
        <v>0</v>
      </c>
      <c r="V5319" s="2" t="inlineStr"/>
    </row>
    <row r="5320" ht="15" customHeight="1">
      <c r="A5320" t="inlineStr">
        <is>
          <t>A 62984-2025</t>
        </is>
      </c>
      <c r="B5320" t="inlineStr">
        <is>
          <t>avverkningsanmälan</t>
        </is>
      </c>
      <c r="C5320" t="inlineStr">
        <is>
          <t>Föryngringsavverkning</t>
        </is>
      </c>
      <c r="D5320" s="1" t="n">
        <v>46009</v>
      </c>
      <c r="E5320" s="1" t="n">
        <v>46323</v>
      </c>
      <c r="F5320" t="inlineStr">
        <is>
          <t>KALMAR LÄN</t>
        </is>
      </c>
      <c r="G5320" t="inlineStr">
        <is>
          <t>KALMAR</t>
        </is>
      </c>
      <c r="I5320" t="n">
        <v>1.9</v>
      </c>
      <c r="J5320" t="n">
        <v>0</v>
      </c>
      <c r="K5320" t="n">
        <v>0</v>
      </c>
      <c r="L5320" t="n">
        <v>0</v>
      </c>
      <c r="M5320" t="n">
        <v>0</v>
      </c>
      <c r="N5320" t="n">
        <v>0</v>
      </c>
      <c r="O5320" t="n">
        <v>0</v>
      </c>
      <c r="P5320" t="n">
        <v>0</v>
      </c>
      <c r="Q5320" t="n">
        <v>0</v>
      </c>
      <c r="R5320" t="n">
        <v>0</v>
      </c>
      <c r="S5320" t="n">
        <v>0</v>
      </c>
      <c r="T5320" t="n">
        <v>0</v>
      </c>
      <c r="U5320" t="n">
        <v>0</v>
      </c>
      <c r="V5320" s="2" t="inlineStr"/>
    </row>
    <row r="5321" ht="15" customHeight="1">
      <c r="A5321" t="inlineStr">
        <is>
          <t>A 7423-2025</t>
        </is>
      </c>
      <c r="B5321" t="inlineStr">
        <is>
          <t>avverkningsanmälan</t>
        </is>
      </c>
      <c r="C5321" t="inlineStr">
        <is>
          <t>Föryngringsavverkning</t>
        </is>
      </c>
      <c r="D5321" s="1" t="n">
        <v>45705</v>
      </c>
      <c r="E5321" s="1" t="n">
        <v>46323</v>
      </c>
      <c r="F5321" t="inlineStr">
        <is>
          <t>KALMAR LÄN</t>
        </is>
      </c>
      <c r="G5321" t="inlineStr">
        <is>
          <t>NYBRO</t>
        </is>
      </c>
      <c r="I5321" t="n">
        <v>0.9</v>
      </c>
      <c r="J5321" t="n">
        <v>0</v>
      </c>
      <c r="K5321" t="n">
        <v>0</v>
      </c>
      <c r="L5321" t="n">
        <v>0</v>
      </c>
      <c r="M5321" t="n">
        <v>0</v>
      </c>
      <c r="N5321" t="n">
        <v>0</v>
      </c>
      <c r="O5321" t="n">
        <v>0</v>
      </c>
      <c r="P5321" t="n">
        <v>0</v>
      </c>
      <c r="Q5321" t="n">
        <v>0</v>
      </c>
      <c r="R5321" t="n">
        <v>0</v>
      </c>
      <c r="S5321" t="n">
        <v>0</v>
      </c>
      <c r="T5321" t="n">
        <v>0</v>
      </c>
      <c r="U5321" t="n">
        <v>0</v>
      </c>
      <c r="V5321" s="2" t="inlineStr"/>
    </row>
    <row r="5322" ht="15" customHeight="1">
      <c r="A5322" t="inlineStr">
        <is>
          <t>A 62218-2022</t>
        </is>
      </c>
      <c r="B5322" t="inlineStr">
        <is>
          <t>avverkningsanmälan</t>
        </is>
      </c>
      <c r="C5322" t="inlineStr">
        <is>
          <t>Föryngringsavverkning</t>
        </is>
      </c>
      <c r="D5322" s="1" t="n">
        <v>44922</v>
      </c>
      <c r="E5322" s="1" t="n">
        <v>46323</v>
      </c>
      <c r="F5322" t="inlineStr">
        <is>
          <t>KALMAR LÄN</t>
        </is>
      </c>
      <c r="G5322" t="inlineStr">
        <is>
          <t>MÖNSTERÅS</t>
        </is>
      </c>
      <c r="I5322" t="n">
        <v>6.9</v>
      </c>
      <c r="J5322" t="n">
        <v>0</v>
      </c>
      <c r="K5322" t="n">
        <v>0</v>
      </c>
      <c r="L5322" t="n">
        <v>0</v>
      </c>
      <c r="M5322" t="n">
        <v>0</v>
      </c>
      <c r="N5322" t="n">
        <v>0</v>
      </c>
      <c r="O5322" t="n">
        <v>0</v>
      </c>
      <c r="P5322" t="n">
        <v>0</v>
      </c>
      <c r="Q5322" t="n">
        <v>0</v>
      </c>
      <c r="R5322" t="n">
        <v>0</v>
      </c>
      <c r="S5322" t="n">
        <v>0</v>
      </c>
      <c r="T5322" t="n">
        <v>0</v>
      </c>
      <c r="U5322" t="n">
        <v>0</v>
      </c>
      <c r="V5322" s="2" t="inlineStr"/>
    </row>
    <row r="5323" ht="15" customHeight="1">
      <c r="A5323" t="inlineStr">
        <is>
          <t>A 42066-2026</t>
        </is>
      </c>
      <c r="B5323" t="inlineStr">
        <is>
          <t>avverkningsanmälan</t>
        </is>
      </c>
      <c r="C5323" t="inlineStr">
        <is>
          <t>Föryngringsavverkning</t>
        </is>
      </c>
      <c r="D5323" s="1" t="n">
        <v>46304</v>
      </c>
      <c r="E5323" s="1" t="n">
        <v>46323</v>
      </c>
      <c r="F5323" t="inlineStr">
        <is>
          <t>KALMAR LÄN</t>
        </is>
      </c>
      <c r="G5323" t="inlineStr">
        <is>
          <t>KALMAR</t>
        </is>
      </c>
      <c r="I5323" t="n">
        <v>2.5</v>
      </c>
      <c r="J5323" t="n">
        <v>0</v>
      </c>
      <c r="K5323" t="n">
        <v>0</v>
      </c>
      <c r="L5323" t="n">
        <v>0</v>
      </c>
      <c r="M5323" t="n">
        <v>0</v>
      </c>
      <c r="N5323" t="n">
        <v>0</v>
      </c>
      <c r="O5323" t="n">
        <v>0</v>
      </c>
      <c r="P5323" t="n">
        <v>0</v>
      </c>
      <c r="Q5323" t="n">
        <v>0</v>
      </c>
      <c r="R5323" t="n">
        <v>0</v>
      </c>
      <c r="S5323" t="n">
        <v>0</v>
      </c>
      <c r="T5323" t="n">
        <v>0</v>
      </c>
      <c r="U5323" t="n">
        <v>0</v>
      </c>
      <c r="V5323" s="2" t="inlineStr"/>
    </row>
    <row r="5324" ht="15" customHeight="1">
      <c r="A5324" t="inlineStr">
        <is>
          <t>A 16766-2025</t>
        </is>
      </c>
      <c r="B5324" t="inlineStr">
        <is>
          <t>avverkningsanmälan</t>
        </is>
      </c>
      <c r="C5324" t="inlineStr">
        <is>
          <t>Föryngringsavverkning</t>
        </is>
      </c>
      <c r="D5324" s="1" t="n">
        <v>45754</v>
      </c>
      <c r="E5324" s="1" t="n">
        <v>46323</v>
      </c>
      <c r="F5324" t="inlineStr">
        <is>
          <t>KALMAR LÄN</t>
        </is>
      </c>
      <c r="G5324" t="inlineStr">
        <is>
          <t>HÖGSBY</t>
        </is>
      </c>
      <c r="I5324" t="n">
        <v>4.7</v>
      </c>
      <c r="J5324" t="n">
        <v>0</v>
      </c>
      <c r="K5324" t="n">
        <v>0</v>
      </c>
      <c r="L5324" t="n">
        <v>0</v>
      </c>
      <c r="M5324" t="n">
        <v>0</v>
      </c>
      <c r="N5324" t="n">
        <v>0</v>
      </c>
      <c r="O5324" t="n">
        <v>0</v>
      </c>
      <c r="P5324" t="n">
        <v>0</v>
      </c>
      <c r="Q5324" t="n">
        <v>0</v>
      </c>
      <c r="R5324" t="n">
        <v>0</v>
      </c>
      <c r="S5324" t="n">
        <v>0</v>
      </c>
      <c r="T5324" t="n">
        <v>0</v>
      </c>
      <c r="U5324" t="n">
        <v>0</v>
      </c>
      <c r="V5324" s="2" t="inlineStr"/>
    </row>
    <row r="5325" ht="15" customHeight="1">
      <c r="A5325" t="inlineStr">
        <is>
          <t>A 58159-2024</t>
        </is>
      </c>
      <c r="B5325" t="inlineStr">
        <is>
          <t>avverkningsanmälan</t>
        </is>
      </c>
      <c r="C5325" t="inlineStr">
        <is>
          <t>Föryngringsavverkning</t>
        </is>
      </c>
      <c r="D5325" s="1" t="n">
        <v>45632</v>
      </c>
      <c r="E5325" s="1" t="n">
        <v>46323</v>
      </c>
      <c r="F5325" t="inlineStr">
        <is>
          <t>KALMAR LÄN</t>
        </is>
      </c>
      <c r="G5325" t="inlineStr">
        <is>
          <t>VIMMERBY</t>
        </is>
      </c>
      <c r="I5325" t="n">
        <v>7.5</v>
      </c>
      <c r="J5325" t="n">
        <v>0</v>
      </c>
      <c r="K5325" t="n">
        <v>0</v>
      </c>
      <c r="L5325" t="n">
        <v>0</v>
      </c>
      <c r="M5325" t="n">
        <v>0</v>
      </c>
      <c r="N5325" t="n">
        <v>0</v>
      </c>
      <c r="O5325" t="n">
        <v>0</v>
      </c>
      <c r="P5325" t="n">
        <v>0</v>
      </c>
      <c r="Q5325" t="n">
        <v>0</v>
      </c>
      <c r="R5325" t="n">
        <v>0</v>
      </c>
      <c r="S5325" t="n">
        <v>0</v>
      </c>
      <c r="T5325" t="n">
        <v>0</v>
      </c>
      <c r="U5325" t="n">
        <v>0</v>
      </c>
      <c r="V5325" s="2" t="inlineStr"/>
    </row>
    <row r="5326" ht="15" customHeight="1">
      <c r="A5326" t="inlineStr">
        <is>
          <t>A 51588-2025</t>
        </is>
      </c>
      <c r="B5326" t="inlineStr">
        <is>
          <t>avverkningsanmälan</t>
        </is>
      </c>
      <c r="C5326" t="inlineStr">
        <is>
          <t>Föryngringsavverkning</t>
        </is>
      </c>
      <c r="D5326" s="1" t="n">
        <v>45951</v>
      </c>
      <c r="E5326" s="1" t="n">
        <v>46323</v>
      </c>
      <c r="F5326" t="inlineStr">
        <is>
          <t>KALMAR LÄN</t>
        </is>
      </c>
      <c r="G5326" t="inlineStr">
        <is>
          <t>NYBRO</t>
        </is>
      </c>
      <c r="I5326" t="n">
        <v>1.2</v>
      </c>
      <c r="J5326" t="n">
        <v>0</v>
      </c>
      <c r="K5326" t="n">
        <v>0</v>
      </c>
      <c r="L5326" t="n">
        <v>0</v>
      </c>
      <c r="M5326" t="n">
        <v>0</v>
      </c>
      <c r="N5326" t="n">
        <v>0</v>
      </c>
      <c r="O5326" t="n">
        <v>0</v>
      </c>
      <c r="P5326" t="n">
        <v>0</v>
      </c>
      <c r="Q5326" t="n">
        <v>0</v>
      </c>
      <c r="R5326" t="n">
        <v>0</v>
      </c>
      <c r="S5326" t="n">
        <v>0</v>
      </c>
      <c r="T5326" t="n">
        <v>0</v>
      </c>
      <c r="U5326" t="n">
        <v>0</v>
      </c>
      <c r="V5326" s="2" t="inlineStr"/>
    </row>
    <row r="5327" ht="15" customHeight="1">
      <c r="A5327" t="inlineStr">
        <is>
          <t>A 45066-2024</t>
        </is>
      </c>
      <c r="B5327" t="inlineStr">
        <is>
          <t>avverkningsanmälan</t>
        </is>
      </c>
      <c r="C5327" t="inlineStr">
        <is>
          <t>Föryngringsavverkning</t>
        </is>
      </c>
      <c r="D5327" s="1" t="n">
        <v>45575</v>
      </c>
      <c r="E5327" s="1" t="n">
        <v>46323</v>
      </c>
      <c r="F5327" t="inlineStr">
        <is>
          <t>KALMAR LÄN</t>
        </is>
      </c>
      <c r="G5327" t="inlineStr">
        <is>
          <t>MÖNSTERÅS</t>
        </is>
      </c>
      <c r="I5327" t="n">
        <v>5.1</v>
      </c>
      <c r="J5327" t="n">
        <v>0</v>
      </c>
      <c r="K5327" t="n">
        <v>0</v>
      </c>
      <c r="L5327" t="n">
        <v>0</v>
      </c>
      <c r="M5327" t="n">
        <v>0</v>
      </c>
      <c r="N5327" t="n">
        <v>0</v>
      </c>
      <c r="O5327" t="n">
        <v>0</v>
      </c>
      <c r="P5327" t="n">
        <v>0</v>
      </c>
      <c r="Q5327" t="n">
        <v>0</v>
      </c>
      <c r="R5327" t="n">
        <v>0</v>
      </c>
      <c r="S5327" t="n">
        <v>0</v>
      </c>
      <c r="T5327" t="n">
        <v>0</v>
      </c>
      <c r="U5327" t="n">
        <v>0</v>
      </c>
      <c r="V5327" s="2" t="inlineStr"/>
    </row>
    <row r="5328" ht="15" customHeight="1">
      <c r="A5328" t="inlineStr">
        <is>
          <t>A 11703-2023</t>
        </is>
      </c>
      <c r="B5328" t="inlineStr">
        <is>
          <t>avverkningsanmälan</t>
        </is>
      </c>
      <c r="C5328" t="inlineStr">
        <is>
          <t>Föryngringsavverkning</t>
        </is>
      </c>
      <c r="D5328" s="1" t="n">
        <v>44994</v>
      </c>
      <c r="E5328" s="1" t="n">
        <v>46323</v>
      </c>
      <c r="F5328" t="inlineStr">
        <is>
          <t>KALMAR LÄN</t>
        </is>
      </c>
      <c r="G5328" t="inlineStr">
        <is>
          <t>HULTSFRED</t>
        </is>
      </c>
      <c r="I5328" t="n">
        <v>6.2</v>
      </c>
      <c r="J5328" t="n">
        <v>0</v>
      </c>
      <c r="K5328" t="n">
        <v>0</v>
      </c>
      <c r="L5328" t="n">
        <v>0</v>
      </c>
      <c r="M5328" t="n">
        <v>0</v>
      </c>
      <c r="N5328" t="n">
        <v>0</v>
      </c>
      <c r="O5328" t="n">
        <v>0</v>
      </c>
      <c r="P5328" t="n">
        <v>0</v>
      </c>
      <c r="Q5328" t="n">
        <v>0</v>
      </c>
      <c r="R5328" t="n">
        <v>0</v>
      </c>
      <c r="S5328" t="n">
        <v>0</v>
      </c>
      <c r="T5328" t="n">
        <v>0</v>
      </c>
      <c r="U5328" t="n">
        <v>0</v>
      </c>
      <c r="V5328" s="2" t="inlineStr"/>
    </row>
    <row r="5329" ht="15" customHeight="1">
      <c r="A5329" t="inlineStr">
        <is>
          <t>A 37235-2024</t>
        </is>
      </c>
      <c r="B5329" t="inlineStr">
        <is>
          <t>avverkningsanmälan</t>
        </is>
      </c>
      <c r="C5329" t="inlineStr">
        <is>
          <t>Föryngringsavverkning</t>
        </is>
      </c>
      <c r="D5329" s="1" t="n">
        <v>45540</v>
      </c>
      <c r="E5329" s="1" t="n">
        <v>46323</v>
      </c>
      <c r="F5329" t="inlineStr">
        <is>
          <t>KALMAR LÄN</t>
        </is>
      </c>
      <c r="G5329" t="inlineStr">
        <is>
          <t>MÖNSTERÅS</t>
        </is>
      </c>
      <c r="I5329" t="n">
        <v>7</v>
      </c>
      <c r="J5329" t="n">
        <v>0</v>
      </c>
      <c r="K5329" t="n">
        <v>0</v>
      </c>
      <c r="L5329" t="n">
        <v>0</v>
      </c>
      <c r="M5329" t="n">
        <v>0</v>
      </c>
      <c r="N5329" t="n">
        <v>0</v>
      </c>
      <c r="O5329" t="n">
        <v>0</v>
      </c>
      <c r="P5329" t="n">
        <v>0</v>
      </c>
      <c r="Q5329" t="n">
        <v>0</v>
      </c>
      <c r="R5329" t="n">
        <v>0</v>
      </c>
      <c r="S5329" t="n">
        <v>0</v>
      </c>
      <c r="T5329" t="n">
        <v>0</v>
      </c>
      <c r="U5329" t="n">
        <v>0</v>
      </c>
      <c r="V5329" s="2" t="inlineStr"/>
    </row>
    <row r="5330" ht="15" customHeight="1">
      <c r="A5330" t="inlineStr">
        <is>
          <t>A 41794-2026</t>
        </is>
      </c>
      <c r="B5330" t="inlineStr">
        <is>
          <t>avverkningsanmälan</t>
        </is>
      </c>
      <c r="C5330" t="inlineStr">
        <is>
          <t>Föryngringsavverkning</t>
        </is>
      </c>
      <c r="D5330" s="1" t="n">
        <v>46303</v>
      </c>
      <c r="E5330" s="1" t="n">
        <v>46323</v>
      </c>
      <c r="F5330" t="inlineStr">
        <is>
          <t>KALMAR LÄN</t>
        </is>
      </c>
      <c r="G5330" t="inlineStr">
        <is>
          <t>NYBRO</t>
        </is>
      </c>
      <c r="I5330" t="n">
        <v>0.9</v>
      </c>
      <c r="J5330" t="n">
        <v>0</v>
      </c>
      <c r="K5330" t="n">
        <v>0</v>
      </c>
      <c r="L5330" t="n">
        <v>0</v>
      </c>
      <c r="M5330" t="n">
        <v>0</v>
      </c>
      <c r="N5330" t="n">
        <v>0</v>
      </c>
      <c r="O5330" t="n">
        <v>0</v>
      </c>
      <c r="P5330" t="n">
        <v>0</v>
      </c>
      <c r="Q5330" t="n">
        <v>0</v>
      </c>
      <c r="R5330" t="n">
        <v>0</v>
      </c>
      <c r="S5330" t="n">
        <v>0</v>
      </c>
      <c r="T5330" t="n">
        <v>0</v>
      </c>
      <c r="U5330" t="n">
        <v>0</v>
      </c>
      <c r="V5330" s="2" t="inlineStr"/>
    </row>
    <row r="5331" ht="15" customHeight="1">
      <c r="A5331" t="inlineStr">
        <is>
          <t>A 46561-2022</t>
        </is>
      </c>
      <c r="B5331" t="inlineStr">
        <is>
          <t>avverkningsanmälan</t>
        </is>
      </c>
      <c r="C5331" t="inlineStr">
        <is>
          <t>Föryngringsavverkning</t>
        </is>
      </c>
      <c r="D5331" s="1" t="n">
        <v>44848</v>
      </c>
      <c r="E5331" s="1" t="n">
        <v>46323</v>
      </c>
      <c r="F5331" t="inlineStr">
        <is>
          <t>KALMAR LÄN</t>
        </is>
      </c>
      <c r="G5331" t="inlineStr">
        <is>
          <t>VÄSTERVIK</t>
        </is>
      </c>
      <c r="H5331" t="inlineStr">
        <is>
          <t>Sveaskog</t>
        </is>
      </c>
      <c r="I5331" t="n">
        <v>2.9</v>
      </c>
      <c r="J5331" t="n">
        <v>0</v>
      </c>
      <c r="K5331" t="n">
        <v>0</v>
      </c>
      <c r="L5331" t="n">
        <v>0</v>
      </c>
      <c r="M5331" t="n">
        <v>0</v>
      </c>
      <c r="N5331" t="n">
        <v>0</v>
      </c>
      <c r="O5331" t="n">
        <v>0</v>
      </c>
      <c r="P5331" t="n">
        <v>0</v>
      </c>
      <c r="Q5331" t="n">
        <v>0</v>
      </c>
      <c r="R5331" t="n">
        <v>0</v>
      </c>
      <c r="S5331" t="n">
        <v>0</v>
      </c>
      <c r="T5331" t="n">
        <v>0</v>
      </c>
      <c r="U5331" t="n">
        <v>0</v>
      </c>
      <c r="V5331" s="2" t="inlineStr"/>
    </row>
    <row r="5332" ht="15" customHeight="1">
      <c r="A5332" t="inlineStr">
        <is>
          <t>A 694-2024</t>
        </is>
      </c>
      <c r="B5332" t="inlineStr">
        <is>
          <t>avverkningsanmälan</t>
        </is>
      </c>
      <c r="C5332" t="inlineStr">
        <is>
          <t>Föryngringsavverkning</t>
        </is>
      </c>
      <c r="D5332" s="1" t="n">
        <v>45300</v>
      </c>
      <c r="E5332" s="1" t="n">
        <v>46323</v>
      </c>
      <c r="F5332" t="inlineStr">
        <is>
          <t>KALMAR LÄN</t>
        </is>
      </c>
      <c r="G5332" t="inlineStr">
        <is>
          <t>VIMMERBY</t>
        </is>
      </c>
      <c r="I5332" t="n">
        <v>1.4</v>
      </c>
      <c r="J5332" t="n">
        <v>0</v>
      </c>
      <c r="K5332" t="n">
        <v>0</v>
      </c>
      <c r="L5332" t="n">
        <v>0</v>
      </c>
      <c r="M5332" t="n">
        <v>0</v>
      </c>
      <c r="N5332" t="n">
        <v>0</v>
      </c>
      <c r="O5332" t="n">
        <v>0</v>
      </c>
      <c r="P5332" t="n">
        <v>0</v>
      </c>
      <c r="Q5332" t="n">
        <v>0</v>
      </c>
      <c r="R5332" t="n">
        <v>0</v>
      </c>
      <c r="S5332" t="n">
        <v>0</v>
      </c>
      <c r="T5332" t="n">
        <v>0</v>
      </c>
      <c r="U5332" t="n">
        <v>0</v>
      </c>
      <c r="V5332" s="2" t="inlineStr"/>
    </row>
    <row r="5333" ht="15" customHeight="1">
      <c r="A5333" t="inlineStr">
        <is>
          <t>A 43431-2024</t>
        </is>
      </c>
      <c r="B5333" t="inlineStr">
        <is>
          <t>avverkningsanmälan</t>
        </is>
      </c>
      <c r="C5333" t="inlineStr">
        <is>
          <t>Föryngringsavverkning</t>
        </is>
      </c>
      <c r="D5333" s="1" t="n">
        <v>45568</v>
      </c>
      <c r="E5333" s="1" t="n">
        <v>46323</v>
      </c>
      <c r="F5333" t="inlineStr">
        <is>
          <t>KALMAR LÄN</t>
        </is>
      </c>
      <c r="G5333" t="inlineStr">
        <is>
          <t>MÖNSTERÅS</t>
        </is>
      </c>
      <c r="H5333" t="inlineStr">
        <is>
          <t>Övriga Aktiebolag</t>
        </is>
      </c>
      <c r="I5333" t="n">
        <v>2.7</v>
      </c>
      <c r="J5333" t="n">
        <v>0</v>
      </c>
      <c r="K5333" t="n">
        <v>0</v>
      </c>
      <c r="L5333" t="n">
        <v>0</v>
      </c>
      <c r="M5333" t="n">
        <v>0</v>
      </c>
      <c r="N5333" t="n">
        <v>0</v>
      </c>
      <c r="O5333" t="n">
        <v>0</v>
      </c>
      <c r="P5333" t="n">
        <v>0</v>
      </c>
      <c r="Q5333" t="n">
        <v>0</v>
      </c>
      <c r="R5333" t="n">
        <v>0</v>
      </c>
      <c r="S5333" t="n">
        <v>0</v>
      </c>
      <c r="T5333" t="n">
        <v>0</v>
      </c>
      <c r="U5333" t="n">
        <v>0</v>
      </c>
      <c r="V5333" s="2" t="inlineStr"/>
    </row>
    <row r="5334" ht="15" customHeight="1">
      <c r="A5334" t="inlineStr">
        <is>
          <t>A 20017-2026</t>
        </is>
      </c>
      <c r="B5334" t="inlineStr">
        <is>
          <t>avverkningsanmälan</t>
        </is>
      </c>
      <c r="C5334" t="inlineStr">
        <is>
          <t>Föryngringsavverkning</t>
        </is>
      </c>
      <c r="D5334" s="1" t="n">
        <v>46136</v>
      </c>
      <c r="E5334" s="1" t="n">
        <v>46323</v>
      </c>
      <c r="F5334" t="inlineStr">
        <is>
          <t>KALMAR LÄN</t>
        </is>
      </c>
      <c r="G5334" t="inlineStr">
        <is>
          <t>VIMMERBY</t>
        </is>
      </c>
      <c r="I5334" t="n">
        <v>0.5</v>
      </c>
      <c r="J5334" t="n">
        <v>0</v>
      </c>
      <c r="K5334" t="n">
        <v>0</v>
      </c>
      <c r="L5334" t="n">
        <v>0</v>
      </c>
      <c r="M5334" t="n">
        <v>0</v>
      </c>
      <c r="N5334" t="n">
        <v>0</v>
      </c>
      <c r="O5334" t="n">
        <v>0</v>
      </c>
      <c r="P5334" t="n">
        <v>0</v>
      </c>
      <c r="Q5334" t="n">
        <v>0</v>
      </c>
      <c r="R5334" t="n">
        <v>0</v>
      </c>
      <c r="S5334" t="n">
        <v>0</v>
      </c>
      <c r="T5334" t="n">
        <v>0</v>
      </c>
      <c r="U5334" t="n">
        <v>0</v>
      </c>
      <c r="V5334" s="2" t="inlineStr"/>
    </row>
    <row r="5335" ht="15" customHeight="1">
      <c r="A5335" t="inlineStr">
        <is>
          <t>A 28203-2025</t>
        </is>
      </c>
      <c r="B5335" t="inlineStr">
        <is>
          <t>avverkningsanmälan</t>
        </is>
      </c>
      <c r="C5335" t="inlineStr">
        <is>
          <t>Föryngringsavverkning</t>
        </is>
      </c>
      <c r="D5335" s="1" t="n">
        <v>45818</v>
      </c>
      <c r="E5335" s="1" t="n">
        <v>46323</v>
      </c>
      <c r="F5335" t="inlineStr">
        <is>
          <t>KALMAR LÄN</t>
        </is>
      </c>
      <c r="G5335" t="inlineStr">
        <is>
          <t>VÄSTERVIK</t>
        </is>
      </c>
      <c r="I5335" t="n">
        <v>1.7</v>
      </c>
      <c r="J5335" t="n">
        <v>0</v>
      </c>
      <c r="K5335" t="n">
        <v>0</v>
      </c>
      <c r="L5335" t="n">
        <v>0</v>
      </c>
      <c r="M5335" t="n">
        <v>0</v>
      </c>
      <c r="N5335" t="n">
        <v>0</v>
      </c>
      <c r="O5335" t="n">
        <v>0</v>
      </c>
      <c r="P5335" t="n">
        <v>0</v>
      </c>
      <c r="Q5335" t="n">
        <v>0</v>
      </c>
      <c r="R5335" t="n">
        <v>0</v>
      </c>
      <c r="S5335" t="n">
        <v>0</v>
      </c>
      <c r="T5335" t="n">
        <v>0</v>
      </c>
      <c r="U5335" t="n">
        <v>0</v>
      </c>
      <c r="V5335" s="2" t="inlineStr"/>
    </row>
    <row r="5336" ht="15" customHeight="1">
      <c r="A5336" t="inlineStr">
        <is>
          <t>A 57114-2023</t>
        </is>
      </c>
      <c r="B5336" t="inlineStr">
        <is>
          <t>avverkningsanmälan</t>
        </is>
      </c>
      <c r="C5336" t="inlineStr">
        <is>
          <t>Föryngringsavverkning</t>
        </is>
      </c>
      <c r="D5336" s="1" t="n">
        <v>45245</v>
      </c>
      <c r="E5336" s="1" t="n">
        <v>46323</v>
      </c>
      <c r="F5336" t="inlineStr">
        <is>
          <t>KALMAR LÄN</t>
        </is>
      </c>
      <c r="G5336" t="inlineStr">
        <is>
          <t>VIMMERBY</t>
        </is>
      </c>
      <c r="I5336" t="n">
        <v>1.5</v>
      </c>
      <c r="J5336" t="n">
        <v>0</v>
      </c>
      <c r="K5336" t="n">
        <v>0</v>
      </c>
      <c r="L5336" t="n">
        <v>0</v>
      </c>
      <c r="M5336" t="n">
        <v>0</v>
      </c>
      <c r="N5336" t="n">
        <v>0</v>
      </c>
      <c r="O5336" t="n">
        <v>0</v>
      </c>
      <c r="P5336" t="n">
        <v>0</v>
      </c>
      <c r="Q5336" t="n">
        <v>0</v>
      </c>
      <c r="R5336" t="n">
        <v>0</v>
      </c>
      <c r="S5336" t="n">
        <v>0</v>
      </c>
      <c r="T5336" t="n">
        <v>0</v>
      </c>
      <c r="U5336" t="n">
        <v>0</v>
      </c>
      <c r="V5336" s="2" t="inlineStr"/>
    </row>
    <row r="5337" ht="15" customHeight="1">
      <c r="A5337" t="inlineStr">
        <is>
          <t>A 35156-2026</t>
        </is>
      </c>
      <c r="B5337" t="inlineStr">
        <is>
          <t>avverkningsanmälan</t>
        </is>
      </c>
      <c r="C5337" t="inlineStr">
        <is>
          <t>Föryngringsavverkning</t>
        </is>
      </c>
      <c r="D5337" s="1" t="n">
        <v>46260</v>
      </c>
      <c r="E5337" s="1" t="n">
        <v>46323</v>
      </c>
      <c r="F5337" t="inlineStr">
        <is>
          <t>KALMAR LÄN</t>
        </is>
      </c>
      <c r="G5337" t="inlineStr">
        <is>
          <t>TORSÅS</t>
        </is>
      </c>
      <c r="I5337" t="n">
        <v>0.6</v>
      </c>
      <c r="J5337" t="n">
        <v>0</v>
      </c>
      <c r="K5337" t="n">
        <v>0</v>
      </c>
      <c r="L5337" t="n">
        <v>0</v>
      </c>
      <c r="M5337" t="n">
        <v>0</v>
      </c>
      <c r="N5337" t="n">
        <v>0</v>
      </c>
      <c r="O5337" t="n">
        <v>0</v>
      </c>
      <c r="P5337" t="n">
        <v>0</v>
      </c>
      <c r="Q5337" t="n">
        <v>0</v>
      </c>
      <c r="R5337" t="n">
        <v>0</v>
      </c>
      <c r="S5337" t="n">
        <v>0</v>
      </c>
      <c r="T5337" t="n">
        <v>0</v>
      </c>
      <c r="U5337" t="n">
        <v>0</v>
      </c>
      <c r="V5337" s="2" t="inlineStr"/>
    </row>
    <row r="5338" ht="15" customHeight="1">
      <c r="A5338" t="inlineStr">
        <is>
          <t>A 59053-2022</t>
        </is>
      </c>
      <c r="B5338" t="inlineStr">
        <is>
          <t>avverkningsanmälan</t>
        </is>
      </c>
      <c r="C5338" t="inlineStr">
        <is>
          <t>Föryngringsavverkning</t>
        </is>
      </c>
      <c r="D5338" s="1" t="n">
        <v>44904</v>
      </c>
      <c r="E5338" s="1" t="n">
        <v>46323</v>
      </c>
      <c r="F5338" t="inlineStr">
        <is>
          <t>KALMAR LÄN</t>
        </is>
      </c>
      <c r="G5338" t="inlineStr">
        <is>
          <t>NYBRO</t>
        </is>
      </c>
      <c r="I5338" t="n">
        <v>1.1</v>
      </c>
      <c r="J5338" t="n">
        <v>0</v>
      </c>
      <c r="K5338" t="n">
        <v>0</v>
      </c>
      <c r="L5338" t="n">
        <v>0</v>
      </c>
      <c r="M5338" t="n">
        <v>0</v>
      </c>
      <c r="N5338" t="n">
        <v>0</v>
      </c>
      <c r="O5338" t="n">
        <v>0</v>
      </c>
      <c r="P5338" t="n">
        <v>0</v>
      </c>
      <c r="Q5338" t="n">
        <v>0</v>
      </c>
      <c r="R5338" t="n">
        <v>0</v>
      </c>
      <c r="S5338" t="n">
        <v>0</v>
      </c>
      <c r="T5338" t="n">
        <v>0</v>
      </c>
      <c r="U5338" t="n">
        <v>0</v>
      </c>
      <c r="V5338" s="2" t="inlineStr"/>
    </row>
    <row r="5339" ht="15" customHeight="1">
      <c r="A5339" t="inlineStr">
        <is>
          <t>A 49909-2022</t>
        </is>
      </c>
      <c r="B5339" t="inlineStr">
        <is>
          <t>avverkningsanmälan</t>
        </is>
      </c>
      <c r="C5339" t="inlineStr">
        <is>
          <t>Föryngringsavverkning</t>
        </is>
      </c>
      <c r="D5339" s="1" t="n">
        <v>44865</v>
      </c>
      <c r="E5339" s="1" t="n">
        <v>46323</v>
      </c>
      <c r="F5339" t="inlineStr">
        <is>
          <t>KALMAR LÄN</t>
        </is>
      </c>
      <c r="G5339" t="inlineStr">
        <is>
          <t>OSKARSHAMN</t>
        </is>
      </c>
      <c r="I5339" t="n">
        <v>0.6</v>
      </c>
      <c r="J5339" t="n">
        <v>0</v>
      </c>
      <c r="K5339" t="n">
        <v>0</v>
      </c>
      <c r="L5339" t="n">
        <v>0</v>
      </c>
      <c r="M5339" t="n">
        <v>0</v>
      </c>
      <c r="N5339" t="n">
        <v>0</v>
      </c>
      <c r="O5339" t="n">
        <v>0</v>
      </c>
      <c r="P5339" t="n">
        <v>0</v>
      </c>
      <c r="Q5339" t="n">
        <v>0</v>
      </c>
      <c r="R5339" t="n">
        <v>0</v>
      </c>
      <c r="S5339" t="n">
        <v>0</v>
      </c>
      <c r="T5339" t="n">
        <v>0</v>
      </c>
      <c r="U5339" t="n">
        <v>0</v>
      </c>
      <c r="V5339" s="2" t="inlineStr"/>
    </row>
    <row r="5340" ht="15" customHeight="1">
      <c r="A5340" t="inlineStr">
        <is>
          <t>A 27320-2025</t>
        </is>
      </c>
      <c r="B5340" t="inlineStr">
        <is>
          <t>avverkningsanmälan</t>
        </is>
      </c>
      <c r="C5340" t="inlineStr">
        <is>
          <t>Föryngringsavverkning</t>
        </is>
      </c>
      <c r="D5340" s="1" t="n">
        <v>45812</v>
      </c>
      <c r="E5340" s="1" t="n">
        <v>46323</v>
      </c>
      <c r="F5340" t="inlineStr">
        <is>
          <t>KALMAR LÄN</t>
        </is>
      </c>
      <c r="G5340" t="inlineStr">
        <is>
          <t>NYBRO</t>
        </is>
      </c>
      <c r="I5340" t="n">
        <v>0.5</v>
      </c>
      <c r="J5340" t="n">
        <v>0</v>
      </c>
      <c r="K5340" t="n">
        <v>0</v>
      </c>
      <c r="L5340" t="n">
        <v>0</v>
      </c>
      <c r="M5340" t="n">
        <v>0</v>
      </c>
      <c r="N5340" t="n">
        <v>0</v>
      </c>
      <c r="O5340" t="n">
        <v>0</v>
      </c>
      <c r="P5340" t="n">
        <v>0</v>
      </c>
      <c r="Q5340" t="n">
        <v>0</v>
      </c>
      <c r="R5340" t="n">
        <v>0</v>
      </c>
      <c r="S5340" t="n">
        <v>0</v>
      </c>
      <c r="T5340" t="n">
        <v>0</v>
      </c>
      <c r="U5340" t="n">
        <v>0</v>
      </c>
      <c r="V5340" s="2" t="inlineStr"/>
    </row>
    <row r="5341" ht="15" customHeight="1">
      <c r="A5341" t="inlineStr">
        <is>
          <t>A 42175-2026</t>
        </is>
      </c>
      <c r="B5341" t="inlineStr">
        <is>
          <t>avverkningsanmälan</t>
        </is>
      </c>
      <c r="C5341" t="inlineStr">
        <is>
          <t>Föryngringsavverkning</t>
        </is>
      </c>
      <c r="D5341" s="1" t="n">
        <v>46304</v>
      </c>
      <c r="E5341" s="1" t="n">
        <v>46323</v>
      </c>
      <c r="F5341" t="inlineStr">
        <is>
          <t>KALMAR LÄN</t>
        </is>
      </c>
      <c r="G5341" t="inlineStr">
        <is>
          <t>KALMAR</t>
        </is>
      </c>
      <c r="I5341" t="n">
        <v>5</v>
      </c>
      <c r="J5341" t="n">
        <v>0</v>
      </c>
      <c r="K5341" t="n">
        <v>0</v>
      </c>
      <c r="L5341" t="n">
        <v>0</v>
      </c>
      <c r="M5341" t="n">
        <v>0</v>
      </c>
      <c r="N5341" t="n">
        <v>0</v>
      </c>
      <c r="O5341" t="n">
        <v>0</v>
      </c>
      <c r="P5341" t="n">
        <v>0</v>
      </c>
      <c r="Q5341" t="n">
        <v>0</v>
      </c>
      <c r="R5341" t="n">
        <v>0</v>
      </c>
      <c r="S5341" t="n">
        <v>0</v>
      </c>
      <c r="T5341" t="n">
        <v>0</v>
      </c>
      <c r="U5341" t="n">
        <v>0</v>
      </c>
      <c r="V5341" s="2" t="inlineStr"/>
    </row>
    <row r="5342" ht="15" customHeight="1">
      <c r="A5342" t="inlineStr">
        <is>
          <t>A 34588-2024</t>
        </is>
      </c>
      <c r="B5342" t="inlineStr">
        <is>
          <t>avverkningsanmälan</t>
        </is>
      </c>
      <c r="C5342" t="inlineStr">
        <is>
          <t>Föryngringsavverkning</t>
        </is>
      </c>
      <c r="D5342" s="1" t="n">
        <v>45526</v>
      </c>
      <c r="E5342" s="1" t="n">
        <v>46323</v>
      </c>
      <c r="F5342" t="inlineStr">
        <is>
          <t>KALMAR LÄN</t>
        </is>
      </c>
      <c r="G5342" t="inlineStr">
        <is>
          <t>VIMMERBY</t>
        </is>
      </c>
      <c r="H5342" t="inlineStr">
        <is>
          <t>Övriga Aktiebolag</t>
        </is>
      </c>
      <c r="I5342" t="n">
        <v>3.3</v>
      </c>
      <c r="J5342" t="n">
        <v>0</v>
      </c>
      <c r="K5342" t="n">
        <v>0</v>
      </c>
      <c r="L5342" t="n">
        <v>0</v>
      </c>
      <c r="M5342" t="n">
        <v>0</v>
      </c>
      <c r="N5342" t="n">
        <v>0</v>
      </c>
      <c r="O5342" t="n">
        <v>0</v>
      </c>
      <c r="P5342" t="n">
        <v>0</v>
      </c>
      <c r="Q5342" t="n">
        <v>0</v>
      </c>
      <c r="R5342" t="n">
        <v>0</v>
      </c>
      <c r="S5342" t="n">
        <v>0</v>
      </c>
      <c r="T5342" t="n">
        <v>0</v>
      </c>
      <c r="U5342" t="n">
        <v>0</v>
      </c>
      <c r="V5342" s="2" t="inlineStr"/>
    </row>
    <row r="5343" ht="15" customHeight="1">
      <c r="A5343" t="inlineStr">
        <is>
          <t>A 53990-2022</t>
        </is>
      </c>
      <c r="B5343" t="inlineStr">
        <is>
          <t>avverkningsanmälan</t>
        </is>
      </c>
      <c r="C5343" t="inlineStr">
        <is>
          <t>Föryngringsavverkning</t>
        </is>
      </c>
      <c r="D5343" s="1" t="n">
        <v>44881</v>
      </c>
      <c r="E5343" s="1" t="n">
        <v>46323</v>
      </c>
      <c r="F5343" t="inlineStr">
        <is>
          <t>KALMAR LÄN</t>
        </is>
      </c>
      <c r="G5343" t="inlineStr">
        <is>
          <t>HULTSFRED</t>
        </is>
      </c>
      <c r="I5343" t="n">
        <v>0.9</v>
      </c>
      <c r="J5343" t="n">
        <v>0</v>
      </c>
      <c r="K5343" t="n">
        <v>0</v>
      </c>
      <c r="L5343" t="n">
        <v>0</v>
      </c>
      <c r="M5343" t="n">
        <v>0</v>
      </c>
      <c r="N5343" t="n">
        <v>0</v>
      </c>
      <c r="O5343" t="n">
        <v>0</v>
      </c>
      <c r="P5343" t="n">
        <v>0</v>
      </c>
      <c r="Q5343" t="n">
        <v>0</v>
      </c>
      <c r="R5343" t="n">
        <v>0</v>
      </c>
      <c r="S5343" t="n">
        <v>0</v>
      </c>
      <c r="T5343" t="n">
        <v>0</v>
      </c>
      <c r="U5343" t="n">
        <v>0</v>
      </c>
      <c r="V5343" s="2" t="inlineStr"/>
    </row>
    <row r="5344" ht="15" customHeight="1">
      <c r="A5344" t="inlineStr">
        <is>
          <t>A 28683-2024</t>
        </is>
      </c>
      <c r="B5344" t="inlineStr">
        <is>
          <t>avverkningsanmälan</t>
        </is>
      </c>
      <c r="C5344" t="inlineStr">
        <is>
          <t>Föryngringsavverkning</t>
        </is>
      </c>
      <c r="D5344" s="1" t="n">
        <v>45478</v>
      </c>
      <c r="E5344" s="1" t="n">
        <v>46323</v>
      </c>
      <c r="F5344" t="inlineStr">
        <is>
          <t>KALMAR LÄN</t>
        </is>
      </c>
      <c r="G5344" t="inlineStr">
        <is>
          <t>NYBRO</t>
        </is>
      </c>
      <c r="I5344" t="n">
        <v>1.5</v>
      </c>
      <c r="J5344" t="n">
        <v>0</v>
      </c>
      <c r="K5344" t="n">
        <v>0</v>
      </c>
      <c r="L5344" t="n">
        <v>0</v>
      </c>
      <c r="M5344" t="n">
        <v>0</v>
      </c>
      <c r="N5344" t="n">
        <v>0</v>
      </c>
      <c r="O5344" t="n">
        <v>0</v>
      </c>
      <c r="P5344" t="n">
        <v>0</v>
      </c>
      <c r="Q5344" t="n">
        <v>0</v>
      </c>
      <c r="R5344" t="n">
        <v>0</v>
      </c>
      <c r="S5344" t="n">
        <v>0</v>
      </c>
      <c r="T5344" t="n">
        <v>0</v>
      </c>
      <c r="U5344" t="n">
        <v>0</v>
      </c>
      <c r="V5344" s="2" t="inlineStr"/>
    </row>
    <row r="5345" ht="15" customHeight="1">
      <c r="A5345" t="inlineStr">
        <is>
          <t>A 35258-2026</t>
        </is>
      </c>
      <c r="B5345" t="inlineStr">
        <is>
          <t>avverkningsanmälan</t>
        </is>
      </c>
      <c r="C5345" t="inlineStr">
        <is>
          <t>Föryngringsavverkning</t>
        </is>
      </c>
      <c r="D5345" s="1" t="n">
        <v>46261</v>
      </c>
      <c r="E5345" s="1" t="n">
        <v>46323</v>
      </c>
      <c r="F5345" t="inlineStr">
        <is>
          <t>KALMAR LÄN</t>
        </is>
      </c>
      <c r="G5345" t="inlineStr">
        <is>
          <t>VÄSTERVIK</t>
        </is>
      </c>
      <c r="H5345" t="inlineStr">
        <is>
          <t>Övriga Aktiebolag</t>
        </is>
      </c>
      <c r="I5345" t="n">
        <v>1.2</v>
      </c>
      <c r="J5345" t="n">
        <v>0</v>
      </c>
      <c r="K5345" t="n">
        <v>0</v>
      </c>
      <c r="L5345" t="n">
        <v>0</v>
      </c>
      <c r="M5345" t="n">
        <v>0</v>
      </c>
      <c r="N5345" t="n">
        <v>0</v>
      </c>
      <c r="O5345" t="n">
        <v>0</v>
      </c>
      <c r="P5345" t="n">
        <v>0</v>
      </c>
      <c r="Q5345" t="n">
        <v>0</v>
      </c>
      <c r="R5345" t="n">
        <v>0</v>
      </c>
      <c r="S5345" t="n">
        <v>0</v>
      </c>
      <c r="T5345" t="n">
        <v>0</v>
      </c>
      <c r="U5345" t="n">
        <v>0</v>
      </c>
      <c r="V5345" s="2" t="inlineStr"/>
    </row>
    <row r="5346" ht="15" customHeight="1">
      <c r="A5346" t="inlineStr">
        <is>
          <t>A 42867-2025</t>
        </is>
      </c>
      <c r="B5346" t="inlineStr">
        <is>
          <t>avverkningsanmälan</t>
        </is>
      </c>
      <c r="C5346" t="inlineStr">
        <is>
          <t>Föryngringsavverkning</t>
        </is>
      </c>
      <c r="D5346" s="1" t="n">
        <v>45908</v>
      </c>
      <c r="E5346" s="1" t="n">
        <v>46323</v>
      </c>
      <c r="F5346" t="inlineStr">
        <is>
          <t>KALMAR LÄN</t>
        </is>
      </c>
      <c r="G5346" t="inlineStr">
        <is>
          <t>OSKARSHAMN</t>
        </is>
      </c>
      <c r="I5346" t="n">
        <v>1.1</v>
      </c>
      <c r="J5346" t="n">
        <v>0</v>
      </c>
      <c r="K5346" t="n">
        <v>0</v>
      </c>
      <c r="L5346" t="n">
        <v>0</v>
      </c>
      <c r="M5346" t="n">
        <v>0</v>
      </c>
      <c r="N5346" t="n">
        <v>0</v>
      </c>
      <c r="O5346" t="n">
        <v>0</v>
      </c>
      <c r="P5346" t="n">
        <v>0</v>
      </c>
      <c r="Q5346" t="n">
        <v>0</v>
      </c>
      <c r="R5346" t="n">
        <v>0</v>
      </c>
      <c r="S5346" t="n">
        <v>0</v>
      </c>
      <c r="T5346" t="n">
        <v>0</v>
      </c>
      <c r="U5346" t="n">
        <v>0</v>
      </c>
      <c r="V5346" s="2" t="inlineStr"/>
    </row>
    <row r="5347" ht="15" customHeight="1">
      <c r="A5347" t="inlineStr">
        <is>
          <t>A 4762-2025</t>
        </is>
      </c>
      <c r="B5347" t="inlineStr">
        <is>
          <t>avverkningsanmälan</t>
        </is>
      </c>
      <c r="C5347" t="inlineStr">
        <is>
          <t>Föryngringsavverkning</t>
        </is>
      </c>
      <c r="D5347" s="1" t="n">
        <v>45688</v>
      </c>
      <c r="E5347" s="1" t="n">
        <v>46323</v>
      </c>
      <c r="F5347" t="inlineStr">
        <is>
          <t>KALMAR LÄN</t>
        </is>
      </c>
      <c r="G5347" t="inlineStr">
        <is>
          <t>KALMAR</t>
        </is>
      </c>
      <c r="I5347" t="n">
        <v>1.5</v>
      </c>
      <c r="J5347" t="n">
        <v>0</v>
      </c>
      <c r="K5347" t="n">
        <v>0</v>
      </c>
      <c r="L5347" t="n">
        <v>0</v>
      </c>
      <c r="M5347" t="n">
        <v>0</v>
      </c>
      <c r="N5347" t="n">
        <v>0</v>
      </c>
      <c r="O5347" t="n">
        <v>0</v>
      </c>
      <c r="P5347" t="n">
        <v>0</v>
      </c>
      <c r="Q5347" t="n">
        <v>0</v>
      </c>
      <c r="R5347" t="n">
        <v>0</v>
      </c>
      <c r="S5347" t="n">
        <v>0</v>
      </c>
      <c r="T5347" t="n">
        <v>0</v>
      </c>
      <c r="U5347" t="n">
        <v>0</v>
      </c>
      <c r="V5347" s="2" t="inlineStr"/>
    </row>
    <row r="5348" ht="15" customHeight="1">
      <c r="A5348" t="inlineStr">
        <is>
          <t>A 2643-2023</t>
        </is>
      </c>
      <c r="B5348" t="inlineStr">
        <is>
          <t>avverkningsanmälan</t>
        </is>
      </c>
      <c r="C5348" t="inlineStr">
        <is>
          <t>Föryngringsavverkning</t>
        </is>
      </c>
      <c r="D5348" s="1" t="n">
        <v>44944</v>
      </c>
      <c r="E5348" s="1" t="n">
        <v>46323</v>
      </c>
      <c r="F5348" t="inlineStr">
        <is>
          <t>KALMAR LÄN</t>
        </is>
      </c>
      <c r="G5348" t="inlineStr">
        <is>
          <t>EMMABODA</t>
        </is>
      </c>
      <c r="I5348" t="n">
        <v>1.2</v>
      </c>
      <c r="J5348" t="n">
        <v>0</v>
      </c>
      <c r="K5348" t="n">
        <v>0</v>
      </c>
      <c r="L5348" t="n">
        <v>0</v>
      </c>
      <c r="M5348" t="n">
        <v>0</v>
      </c>
      <c r="N5348" t="n">
        <v>0</v>
      </c>
      <c r="O5348" t="n">
        <v>0</v>
      </c>
      <c r="P5348" t="n">
        <v>0</v>
      </c>
      <c r="Q5348" t="n">
        <v>0</v>
      </c>
      <c r="R5348" t="n">
        <v>0</v>
      </c>
      <c r="S5348" t="n">
        <v>0</v>
      </c>
      <c r="T5348" t="n">
        <v>0</v>
      </c>
      <c r="U5348" t="n">
        <v>0</v>
      </c>
      <c r="V5348" s="2" t="inlineStr"/>
    </row>
    <row r="5349" ht="15" customHeight="1">
      <c r="A5349" t="inlineStr">
        <is>
          <t>A 51610-2023</t>
        </is>
      </c>
      <c r="B5349" t="inlineStr">
        <is>
          <t>avverkningsanmälan</t>
        </is>
      </c>
      <c r="C5349" t="inlineStr">
        <is>
          <t>Föryngringsavverkning</t>
        </is>
      </c>
      <c r="D5349" s="1" t="n">
        <v>45222</v>
      </c>
      <c r="E5349" s="1" t="n">
        <v>46323</v>
      </c>
      <c r="F5349" t="inlineStr">
        <is>
          <t>KALMAR LÄN</t>
        </is>
      </c>
      <c r="G5349" t="inlineStr">
        <is>
          <t>TORSÅS</t>
        </is>
      </c>
      <c r="I5349" t="n">
        <v>6.3</v>
      </c>
      <c r="J5349" t="n">
        <v>0</v>
      </c>
      <c r="K5349" t="n">
        <v>0</v>
      </c>
      <c r="L5349" t="n">
        <v>0</v>
      </c>
      <c r="M5349" t="n">
        <v>0</v>
      </c>
      <c r="N5349" t="n">
        <v>0</v>
      </c>
      <c r="O5349" t="n">
        <v>0</v>
      </c>
      <c r="P5349" t="n">
        <v>0</v>
      </c>
      <c r="Q5349" t="n">
        <v>0</v>
      </c>
      <c r="R5349" t="n">
        <v>0</v>
      </c>
      <c r="S5349" t="n">
        <v>0</v>
      </c>
      <c r="T5349" t="n">
        <v>0</v>
      </c>
      <c r="U5349" t="n">
        <v>0</v>
      </c>
      <c r="V5349" s="2" t="inlineStr"/>
    </row>
    <row r="5350" ht="15" customHeight="1">
      <c r="A5350" t="inlineStr">
        <is>
          <t>A 18884-2025</t>
        </is>
      </c>
      <c r="B5350" t="inlineStr">
        <is>
          <t>avverkningsanmälan</t>
        </is>
      </c>
      <c r="C5350" t="inlineStr">
        <is>
          <t>Föryngringsavverkning</t>
        </is>
      </c>
      <c r="D5350" s="1" t="n">
        <v>45764</v>
      </c>
      <c r="E5350" s="1" t="n">
        <v>46323</v>
      </c>
      <c r="F5350" t="inlineStr">
        <is>
          <t>KALMAR LÄN</t>
        </is>
      </c>
      <c r="G5350" t="inlineStr">
        <is>
          <t>VÄSTERVIK</t>
        </is>
      </c>
      <c r="I5350" t="n">
        <v>0.8</v>
      </c>
      <c r="J5350" t="n">
        <v>0</v>
      </c>
      <c r="K5350" t="n">
        <v>0</v>
      </c>
      <c r="L5350" t="n">
        <v>0</v>
      </c>
      <c r="M5350" t="n">
        <v>0</v>
      </c>
      <c r="N5350" t="n">
        <v>0</v>
      </c>
      <c r="O5350" t="n">
        <v>0</v>
      </c>
      <c r="P5350" t="n">
        <v>0</v>
      </c>
      <c r="Q5350" t="n">
        <v>0</v>
      </c>
      <c r="R5350" t="n">
        <v>0</v>
      </c>
      <c r="S5350" t="n">
        <v>0</v>
      </c>
      <c r="T5350" t="n">
        <v>0</v>
      </c>
      <c r="U5350" t="n">
        <v>0</v>
      </c>
      <c r="V5350" s="2" t="inlineStr"/>
    </row>
    <row r="5351" ht="15" customHeight="1">
      <c r="A5351" t="inlineStr">
        <is>
          <t>A 50334-2023</t>
        </is>
      </c>
      <c r="B5351" t="inlineStr">
        <is>
          <t>avverkningsanmälan</t>
        </is>
      </c>
      <c r="C5351" t="inlineStr">
        <is>
          <t>Föryngringsavverkning</t>
        </is>
      </c>
      <c r="D5351" s="1" t="n">
        <v>45216</v>
      </c>
      <c r="E5351" s="1" t="n">
        <v>46323</v>
      </c>
      <c r="F5351" t="inlineStr">
        <is>
          <t>KALMAR LÄN</t>
        </is>
      </c>
      <c r="G5351" t="inlineStr">
        <is>
          <t>HULTSFRED</t>
        </is>
      </c>
      <c r="I5351" t="n">
        <v>2.7</v>
      </c>
      <c r="J5351" t="n">
        <v>0</v>
      </c>
      <c r="K5351" t="n">
        <v>0</v>
      </c>
      <c r="L5351" t="n">
        <v>0</v>
      </c>
      <c r="M5351" t="n">
        <v>0</v>
      </c>
      <c r="N5351" t="n">
        <v>0</v>
      </c>
      <c r="O5351" t="n">
        <v>0</v>
      </c>
      <c r="P5351" t="n">
        <v>0</v>
      </c>
      <c r="Q5351" t="n">
        <v>0</v>
      </c>
      <c r="R5351" t="n">
        <v>0</v>
      </c>
      <c r="S5351" t="n">
        <v>0</v>
      </c>
      <c r="T5351" t="n">
        <v>0</v>
      </c>
      <c r="U5351" t="n">
        <v>0</v>
      </c>
      <c r="V5351" s="2" t="inlineStr"/>
    </row>
    <row r="5352" ht="15" customHeight="1">
      <c r="A5352" t="inlineStr">
        <is>
          <t>A 18875-2025</t>
        </is>
      </c>
      <c r="B5352" t="inlineStr">
        <is>
          <t>avverkningsanmälan</t>
        </is>
      </c>
      <c r="C5352" t="inlineStr">
        <is>
          <t>Föryngringsavverkning</t>
        </is>
      </c>
      <c r="D5352" s="1" t="n">
        <v>45764</v>
      </c>
      <c r="E5352" s="1" t="n">
        <v>46323</v>
      </c>
      <c r="F5352" t="inlineStr">
        <is>
          <t>KALMAR LÄN</t>
        </is>
      </c>
      <c r="G5352" t="inlineStr">
        <is>
          <t>KALMAR</t>
        </is>
      </c>
      <c r="I5352" t="n">
        <v>2.2</v>
      </c>
      <c r="J5352" t="n">
        <v>0</v>
      </c>
      <c r="K5352" t="n">
        <v>0</v>
      </c>
      <c r="L5352" t="n">
        <v>0</v>
      </c>
      <c r="M5352" t="n">
        <v>0</v>
      </c>
      <c r="N5352" t="n">
        <v>0</v>
      </c>
      <c r="O5352" t="n">
        <v>0</v>
      </c>
      <c r="P5352" t="n">
        <v>0</v>
      </c>
      <c r="Q5352" t="n">
        <v>0</v>
      </c>
      <c r="R5352" t="n">
        <v>0</v>
      </c>
      <c r="S5352" t="n">
        <v>0</v>
      </c>
      <c r="T5352" t="n">
        <v>0</v>
      </c>
      <c r="U5352" t="n">
        <v>0</v>
      </c>
      <c r="V5352" s="2" t="inlineStr"/>
    </row>
    <row r="5353" ht="15" customHeight="1">
      <c r="A5353" t="inlineStr">
        <is>
          <t>A 51621-2023</t>
        </is>
      </c>
      <c r="B5353" t="inlineStr">
        <is>
          <t>avverkningsanmälan</t>
        </is>
      </c>
      <c r="C5353" t="inlineStr">
        <is>
          <t>Föryngringsavverkning</t>
        </is>
      </c>
      <c r="D5353" s="1" t="n">
        <v>45222</v>
      </c>
      <c r="E5353" s="1" t="n">
        <v>46323</v>
      </c>
      <c r="F5353" t="inlineStr">
        <is>
          <t>KALMAR LÄN</t>
        </is>
      </c>
      <c r="G5353" t="inlineStr">
        <is>
          <t>HÖGSBY</t>
        </is>
      </c>
      <c r="H5353" t="inlineStr">
        <is>
          <t>Sveaskog</t>
        </is>
      </c>
      <c r="I5353" t="n">
        <v>1.7</v>
      </c>
      <c r="J5353" t="n">
        <v>0</v>
      </c>
      <c r="K5353" t="n">
        <v>0</v>
      </c>
      <c r="L5353" t="n">
        <v>0</v>
      </c>
      <c r="M5353" t="n">
        <v>0</v>
      </c>
      <c r="N5353" t="n">
        <v>0</v>
      </c>
      <c r="O5353" t="n">
        <v>0</v>
      </c>
      <c r="P5353" t="n">
        <v>0</v>
      </c>
      <c r="Q5353" t="n">
        <v>0</v>
      </c>
      <c r="R5353" t="n">
        <v>0</v>
      </c>
      <c r="S5353" t="n">
        <v>0</v>
      </c>
      <c r="T5353" t="n">
        <v>0</v>
      </c>
      <c r="U5353" t="n">
        <v>0</v>
      </c>
      <c r="V5353" s="2" t="inlineStr"/>
    </row>
    <row r="5354" ht="15" customHeight="1">
      <c r="A5354" t="inlineStr">
        <is>
          <t>A 16015-2025</t>
        </is>
      </c>
      <c r="B5354" t="inlineStr">
        <is>
          <t>avverkningsanmälan</t>
        </is>
      </c>
      <c r="C5354" t="inlineStr">
        <is>
          <t>Föryngringsavverkning</t>
        </is>
      </c>
      <c r="D5354" s="1" t="n">
        <v>45749</v>
      </c>
      <c r="E5354" s="1" t="n">
        <v>46323</v>
      </c>
      <c r="F5354" t="inlineStr">
        <is>
          <t>KALMAR LÄN</t>
        </is>
      </c>
      <c r="G5354" t="inlineStr">
        <is>
          <t>VIMMERBY</t>
        </is>
      </c>
      <c r="H5354" t="inlineStr">
        <is>
          <t>Kyrkan</t>
        </is>
      </c>
      <c r="I5354" t="n">
        <v>2.7</v>
      </c>
      <c r="J5354" t="n">
        <v>0</v>
      </c>
      <c r="K5354" t="n">
        <v>0</v>
      </c>
      <c r="L5354" t="n">
        <v>0</v>
      </c>
      <c r="M5354" t="n">
        <v>0</v>
      </c>
      <c r="N5354" t="n">
        <v>0</v>
      </c>
      <c r="O5354" t="n">
        <v>0</v>
      </c>
      <c r="P5354" t="n">
        <v>0</v>
      </c>
      <c r="Q5354" t="n">
        <v>0</v>
      </c>
      <c r="R5354" t="n">
        <v>0</v>
      </c>
      <c r="S5354" t="n">
        <v>0</v>
      </c>
      <c r="T5354" t="n">
        <v>0</v>
      </c>
      <c r="U5354" t="n">
        <v>0</v>
      </c>
      <c r="V5354" s="2" t="inlineStr"/>
    </row>
    <row r="5355" ht="15" customHeight="1">
      <c r="A5355" t="inlineStr">
        <is>
          <t>A 57254-2025</t>
        </is>
      </c>
      <c r="B5355" t="inlineStr">
        <is>
          <t>avverkningsanmälan</t>
        </is>
      </c>
      <c r="C5355" t="inlineStr">
        <is>
          <t>Föryngringsavverkning</t>
        </is>
      </c>
      <c r="D5355" s="1" t="n">
        <v>45979</v>
      </c>
      <c r="E5355" s="1" t="n">
        <v>46323</v>
      </c>
      <c r="F5355" t="inlineStr">
        <is>
          <t>KALMAR LÄN</t>
        </is>
      </c>
      <c r="G5355" t="inlineStr">
        <is>
          <t>OSKARSHAMN</t>
        </is>
      </c>
      <c r="I5355" t="n">
        <v>1.2</v>
      </c>
      <c r="J5355" t="n">
        <v>0</v>
      </c>
      <c r="K5355" t="n">
        <v>0</v>
      </c>
      <c r="L5355" t="n">
        <v>0</v>
      </c>
      <c r="M5355" t="n">
        <v>0</v>
      </c>
      <c r="N5355" t="n">
        <v>0</v>
      </c>
      <c r="O5355" t="n">
        <v>0</v>
      </c>
      <c r="P5355" t="n">
        <v>0</v>
      </c>
      <c r="Q5355" t="n">
        <v>0</v>
      </c>
      <c r="R5355" t="n">
        <v>0</v>
      </c>
      <c r="S5355" t="n">
        <v>0</v>
      </c>
      <c r="T5355" t="n">
        <v>0</v>
      </c>
      <c r="U5355" t="n">
        <v>0</v>
      </c>
      <c r="V5355" s="2" t="inlineStr"/>
    </row>
    <row r="5356" ht="15" customHeight="1">
      <c r="A5356" t="inlineStr">
        <is>
          <t>A 19210-2023</t>
        </is>
      </c>
      <c r="B5356" t="inlineStr">
        <is>
          <t>avverkningsanmälan</t>
        </is>
      </c>
      <c r="C5356" t="inlineStr">
        <is>
          <t>Föryngringsavverkning</t>
        </is>
      </c>
      <c r="D5356" s="1" t="n">
        <v>45048</v>
      </c>
      <c r="E5356" s="1" t="n">
        <v>46323</v>
      </c>
      <c r="F5356" t="inlineStr">
        <is>
          <t>KALMAR LÄN</t>
        </is>
      </c>
      <c r="G5356" t="inlineStr">
        <is>
          <t>EMMABODA</t>
        </is>
      </c>
      <c r="I5356" t="n">
        <v>1.1</v>
      </c>
      <c r="J5356" t="n">
        <v>0</v>
      </c>
      <c r="K5356" t="n">
        <v>0</v>
      </c>
      <c r="L5356" t="n">
        <v>0</v>
      </c>
      <c r="M5356" t="n">
        <v>0</v>
      </c>
      <c r="N5356" t="n">
        <v>0</v>
      </c>
      <c r="O5356" t="n">
        <v>0</v>
      </c>
      <c r="P5356" t="n">
        <v>0</v>
      </c>
      <c r="Q5356" t="n">
        <v>0</v>
      </c>
      <c r="R5356" t="n">
        <v>0</v>
      </c>
      <c r="S5356" t="n">
        <v>0</v>
      </c>
      <c r="T5356" t="n">
        <v>0</v>
      </c>
      <c r="U5356" t="n">
        <v>0</v>
      </c>
      <c r="V5356" s="2" t="inlineStr"/>
    </row>
    <row r="5357" ht="15" customHeight="1">
      <c r="A5357" t="inlineStr">
        <is>
          <t>A 54857-2025</t>
        </is>
      </c>
      <c r="B5357" t="inlineStr">
        <is>
          <t>avverkningsanmälan</t>
        </is>
      </c>
      <c r="C5357" t="inlineStr">
        <is>
          <t>Föryngringsavverkning</t>
        </is>
      </c>
      <c r="D5357" s="1" t="n">
        <v>45966</v>
      </c>
      <c r="E5357" s="1" t="n">
        <v>46323</v>
      </c>
      <c r="F5357" t="inlineStr">
        <is>
          <t>KALMAR LÄN</t>
        </is>
      </c>
      <c r="G5357" t="inlineStr">
        <is>
          <t>EMMABODA</t>
        </is>
      </c>
      <c r="I5357" t="n">
        <v>1</v>
      </c>
      <c r="J5357" t="n">
        <v>0</v>
      </c>
      <c r="K5357" t="n">
        <v>0</v>
      </c>
      <c r="L5357" t="n">
        <v>0</v>
      </c>
      <c r="M5357" t="n">
        <v>0</v>
      </c>
      <c r="N5357" t="n">
        <v>0</v>
      </c>
      <c r="O5357" t="n">
        <v>0</v>
      </c>
      <c r="P5357" t="n">
        <v>0</v>
      </c>
      <c r="Q5357" t="n">
        <v>0</v>
      </c>
      <c r="R5357" t="n">
        <v>0</v>
      </c>
      <c r="S5357" t="n">
        <v>0</v>
      </c>
      <c r="T5357" t="n">
        <v>0</v>
      </c>
      <c r="U5357" t="n">
        <v>0</v>
      </c>
      <c r="V5357" s="2" t="inlineStr"/>
    </row>
    <row r="5358" ht="15" customHeight="1">
      <c r="A5358" t="inlineStr">
        <is>
          <t>A 45497-2024</t>
        </is>
      </c>
      <c r="B5358" t="inlineStr">
        <is>
          <t>avverkningsanmälan</t>
        </is>
      </c>
      <c r="C5358" t="inlineStr">
        <is>
          <t>Föryngringsavverkning</t>
        </is>
      </c>
      <c r="D5358" s="1" t="n">
        <v>45577</v>
      </c>
      <c r="E5358" s="1" t="n">
        <v>46323</v>
      </c>
      <c r="F5358" t="inlineStr">
        <is>
          <t>KALMAR LÄN</t>
        </is>
      </c>
      <c r="G5358" t="inlineStr">
        <is>
          <t>NYBRO</t>
        </is>
      </c>
      <c r="I5358" t="n">
        <v>2.2</v>
      </c>
      <c r="J5358" t="n">
        <v>0</v>
      </c>
      <c r="K5358" t="n">
        <v>0</v>
      </c>
      <c r="L5358" t="n">
        <v>0</v>
      </c>
      <c r="M5358" t="n">
        <v>0</v>
      </c>
      <c r="N5358" t="n">
        <v>0</v>
      </c>
      <c r="O5358" t="n">
        <v>0</v>
      </c>
      <c r="P5358" t="n">
        <v>0</v>
      </c>
      <c r="Q5358" t="n">
        <v>0</v>
      </c>
      <c r="R5358" t="n">
        <v>0</v>
      </c>
      <c r="S5358" t="n">
        <v>0</v>
      </c>
      <c r="T5358" t="n">
        <v>0</v>
      </c>
      <c r="U5358" t="n">
        <v>0</v>
      </c>
      <c r="V5358" s="2" t="inlineStr"/>
    </row>
    <row r="5359" ht="15" customHeight="1">
      <c r="A5359" t="inlineStr">
        <is>
          <t>A 24337-2023</t>
        </is>
      </c>
      <c r="B5359" t="inlineStr">
        <is>
          <t>avverkningsanmälan</t>
        </is>
      </c>
      <c r="C5359" t="inlineStr">
        <is>
          <t>Föryngringsavverkning</t>
        </is>
      </c>
      <c r="D5359" s="1" t="n">
        <v>45081</v>
      </c>
      <c r="E5359" s="1" t="n">
        <v>46323</v>
      </c>
      <c r="F5359" t="inlineStr">
        <is>
          <t>KALMAR LÄN</t>
        </is>
      </c>
      <c r="G5359" t="inlineStr">
        <is>
          <t>HULTSFRED</t>
        </is>
      </c>
      <c r="I5359" t="n">
        <v>0.5</v>
      </c>
      <c r="J5359" t="n">
        <v>0</v>
      </c>
      <c r="K5359" t="n">
        <v>0</v>
      </c>
      <c r="L5359" t="n">
        <v>0</v>
      </c>
      <c r="M5359" t="n">
        <v>0</v>
      </c>
      <c r="N5359" t="n">
        <v>0</v>
      </c>
      <c r="O5359" t="n">
        <v>0</v>
      </c>
      <c r="P5359" t="n">
        <v>0</v>
      </c>
      <c r="Q5359" t="n">
        <v>0</v>
      </c>
      <c r="R5359" t="n">
        <v>0</v>
      </c>
      <c r="S5359" t="n">
        <v>0</v>
      </c>
      <c r="T5359" t="n">
        <v>0</v>
      </c>
      <c r="U5359" t="n">
        <v>0</v>
      </c>
      <c r="V5359" s="2" t="inlineStr"/>
    </row>
    <row r="5360" ht="15" customHeight="1">
      <c r="A5360" t="inlineStr">
        <is>
          <t>A 57489-2025</t>
        </is>
      </c>
      <c r="B5360" t="inlineStr">
        <is>
          <t>avverkningsanmälan</t>
        </is>
      </c>
      <c r="C5360" t="inlineStr">
        <is>
          <t>Föryngringsavverkning</t>
        </is>
      </c>
      <c r="D5360" s="1" t="n">
        <v>45980</v>
      </c>
      <c r="E5360" s="1" t="n">
        <v>46323</v>
      </c>
      <c r="F5360" t="inlineStr">
        <is>
          <t>KALMAR LÄN</t>
        </is>
      </c>
      <c r="G5360" t="inlineStr">
        <is>
          <t>NYBRO</t>
        </is>
      </c>
      <c r="H5360" t="inlineStr">
        <is>
          <t>Sveaskog</t>
        </is>
      </c>
      <c r="I5360" t="n">
        <v>1.9</v>
      </c>
      <c r="J5360" t="n">
        <v>0</v>
      </c>
      <c r="K5360" t="n">
        <v>0</v>
      </c>
      <c r="L5360" t="n">
        <v>0</v>
      </c>
      <c r="M5360" t="n">
        <v>0</v>
      </c>
      <c r="N5360" t="n">
        <v>0</v>
      </c>
      <c r="O5360" t="n">
        <v>0</v>
      </c>
      <c r="P5360" t="n">
        <v>0</v>
      </c>
      <c r="Q5360" t="n">
        <v>0</v>
      </c>
      <c r="R5360" t="n">
        <v>0</v>
      </c>
      <c r="S5360" t="n">
        <v>0</v>
      </c>
      <c r="T5360" t="n">
        <v>0</v>
      </c>
      <c r="U5360" t="n">
        <v>0</v>
      </c>
      <c r="V5360" s="2" t="inlineStr"/>
    </row>
    <row r="5361" ht="15" customHeight="1">
      <c r="A5361" t="inlineStr">
        <is>
          <t>A 45708-2025</t>
        </is>
      </c>
      <c r="B5361" t="inlineStr">
        <is>
          <t>avverkningsanmälan</t>
        </is>
      </c>
      <c r="C5361" t="inlineStr">
        <is>
          <t>Föryngringsavverkning</t>
        </is>
      </c>
      <c r="D5361" s="1" t="n">
        <v>45923</v>
      </c>
      <c r="E5361" s="1" t="n">
        <v>46323</v>
      </c>
      <c r="F5361" t="inlineStr">
        <is>
          <t>KALMAR LÄN</t>
        </is>
      </c>
      <c r="G5361" t="inlineStr">
        <is>
          <t>KALMAR</t>
        </is>
      </c>
      <c r="I5361" t="n">
        <v>3.3</v>
      </c>
      <c r="J5361" t="n">
        <v>0</v>
      </c>
      <c r="K5361" t="n">
        <v>0</v>
      </c>
      <c r="L5361" t="n">
        <v>0</v>
      </c>
      <c r="M5361" t="n">
        <v>0</v>
      </c>
      <c r="N5361" t="n">
        <v>0</v>
      </c>
      <c r="O5361" t="n">
        <v>0</v>
      </c>
      <c r="P5361" t="n">
        <v>0</v>
      </c>
      <c r="Q5361" t="n">
        <v>0</v>
      </c>
      <c r="R5361" t="n">
        <v>0</v>
      </c>
      <c r="S5361" t="n">
        <v>0</v>
      </c>
      <c r="T5361" t="n">
        <v>0</v>
      </c>
      <c r="U5361" t="n">
        <v>0</v>
      </c>
      <c r="V5361" s="2" t="inlineStr"/>
    </row>
    <row r="5362" ht="15" customHeight="1">
      <c r="A5362" t="inlineStr">
        <is>
          <t>A 11665-2023</t>
        </is>
      </c>
      <c r="B5362" t="inlineStr">
        <is>
          <t>avverkningsanmälan</t>
        </is>
      </c>
      <c r="C5362" t="inlineStr">
        <is>
          <t>Föryngringsavverkning</t>
        </is>
      </c>
      <c r="D5362" s="1" t="n">
        <v>44994</v>
      </c>
      <c r="E5362" s="1" t="n">
        <v>46323</v>
      </c>
      <c r="F5362" t="inlineStr">
        <is>
          <t>KALMAR LÄN</t>
        </is>
      </c>
      <c r="G5362" t="inlineStr">
        <is>
          <t>OSKARSHAMN</t>
        </is>
      </c>
      <c r="I5362" t="n">
        <v>1.5</v>
      </c>
      <c r="J5362" t="n">
        <v>0</v>
      </c>
      <c r="K5362" t="n">
        <v>0</v>
      </c>
      <c r="L5362" t="n">
        <v>0</v>
      </c>
      <c r="M5362" t="n">
        <v>0</v>
      </c>
      <c r="N5362" t="n">
        <v>0</v>
      </c>
      <c r="O5362" t="n">
        <v>0</v>
      </c>
      <c r="P5362" t="n">
        <v>0</v>
      </c>
      <c r="Q5362" t="n">
        <v>0</v>
      </c>
      <c r="R5362" t="n">
        <v>0</v>
      </c>
      <c r="S5362" t="n">
        <v>0</v>
      </c>
      <c r="T5362" t="n">
        <v>0</v>
      </c>
      <c r="U5362" t="n">
        <v>0</v>
      </c>
      <c r="V5362" s="2" t="inlineStr"/>
    </row>
    <row r="5363" ht="15" customHeight="1">
      <c r="A5363" t="inlineStr">
        <is>
          <t>A 12327-2023</t>
        </is>
      </c>
      <c r="B5363" t="inlineStr">
        <is>
          <t>avverkningsanmälan</t>
        </is>
      </c>
      <c r="C5363" t="inlineStr">
        <is>
          <t>Föryngringsavverkning</t>
        </is>
      </c>
      <c r="D5363" s="1" t="n">
        <v>44999</v>
      </c>
      <c r="E5363" s="1" t="n">
        <v>46323</v>
      </c>
      <c r="F5363" t="inlineStr">
        <is>
          <t>KALMAR LÄN</t>
        </is>
      </c>
      <c r="G5363" t="inlineStr">
        <is>
          <t>VIMMERBY</t>
        </is>
      </c>
      <c r="I5363" t="n">
        <v>1.2</v>
      </c>
      <c r="J5363" t="n">
        <v>0</v>
      </c>
      <c r="K5363" t="n">
        <v>0</v>
      </c>
      <c r="L5363" t="n">
        <v>0</v>
      </c>
      <c r="M5363" t="n">
        <v>0</v>
      </c>
      <c r="N5363" t="n">
        <v>0</v>
      </c>
      <c r="O5363" t="n">
        <v>0</v>
      </c>
      <c r="P5363" t="n">
        <v>0</v>
      </c>
      <c r="Q5363" t="n">
        <v>0</v>
      </c>
      <c r="R5363" t="n">
        <v>0</v>
      </c>
      <c r="S5363" t="n">
        <v>0</v>
      </c>
      <c r="T5363" t="n">
        <v>0</v>
      </c>
      <c r="U5363" t="n">
        <v>0</v>
      </c>
      <c r="V5363" s="2" t="inlineStr"/>
    </row>
    <row r="5364" ht="15" customHeight="1">
      <c r="A5364" t="inlineStr">
        <is>
          <t>A 60041-2022</t>
        </is>
      </c>
      <c r="B5364" t="inlineStr">
        <is>
          <t>avverkningsanmälan</t>
        </is>
      </c>
      <c r="C5364" t="inlineStr">
        <is>
          <t>Föryngringsavverkning</t>
        </is>
      </c>
      <c r="D5364" s="1" t="n">
        <v>44909</v>
      </c>
      <c r="E5364" s="1" t="n">
        <v>46323</v>
      </c>
      <c r="F5364" t="inlineStr">
        <is>
          <t>KALMAR LÄN</t>
        </is>
      </c>
      <c r="G5364" t="inlineStr">
        <is>
          <t>NYBRO</t>
        </is>
      </c>
      <c r="I5364" t="n">
        <v>1.4</v>
      </c>
      <c r="J5364" t="n">
        <v>0</v>
      </c>
      <c r="K5364" t="n">
        <v>0</v>
      </c>
      <c r="L5364" t="n">
        <v>0</v>
      </c>
      <c r="M5364" t="n">
        <v>0</v>
      </c>
      <c r="N5364" t="n">
        <v>0</v>
      </c>
      <c r="O5364" t="n">
        <v>0</v>
      </c>
      <c r="P5364" t="n">
        <v>0</v>
      </c>
      <c r="Q5364" t="n">
        <v>0</v>
      </c>
      <c r="R5364" t="n">
        <v>0</v>
      </c>
      <c r="S5364" t="n">
        <v>0</v>
      </c>
      <c r="T5364" t="n">
        <v>0</v>
      </c>
      <c r="U5364" t="n">
        <v>0</v>
      </c>
      <c r="V5364" s="2" t="inlineStr"/>
    </row>
    <row r="5365" ht="15" customHeight="1">
      <c r="A5365" t="inlineStr">
        <is>
          <t>A 19930-2026</t>
        </is>
      </c>
      <c r="B5365" t="inlineStr">
        <is>
          <t>avverkningsanmälan</t>
        </is>
      </c>
      <c r="C5365" t="inlineStr">
        <is>
          <t>Föryngringsavverkning</t>
        </is>
      </c>
      <c r="D5365" s="1" t="n">
        <v>46136</v>
      </c>
      <c r="E5365" s="1" t="n">
        <v>46323</v>
      </c>
      <c r="F5365" t="inlineStr">
        <is>
          <t>KALMAR LÄN</t>
        </is>
      </c>
      <c r="G5365" t="inlineStr">
        <is>
          <t>MÖNSTERÅS</t>
        </is>
      </c>
      <c r="I5365" t="n">
        <v>0.7</v>
      </c>
      <c r="J5365" t="n">
        <v>0</v>
      </c>
      <c r="K5365" t="n">
        <v>0</v>
      </c>
      <c r="L5365" t="n">
        <v>0</v>
      </c>
      <c r="M5365" t="n">
        <v>0</v>
      </c>
      <c r="N5365" t="n">
        <v>0</v>
      </c>
      <c r="O5365" t="n">
        <v>0</v>
      </c>
      <c r="P5365" t="n">
        <v>0</v>
      </c>
      <c r="Q5365" t="n">
        <v>0</v>
      </c>
      <c r="R5365" t="n">
        <v>0</v>
      </c>
      <c r="S5365" t="n">
        <v>0</v>
      </c>
      <c r="T5365" t="n">
        <v>0</v>
      </c>
      <c r="U5365" t="n">
        <v>0</v>
      </c>
      <c r="V5365" s="2" t="inlineStr"/>
    </row>
    <row r="5366" ht="15" customHeight="1">
      <c r="A5366" t="inlineStr">
        <is>
          <t>A 35260-2026</t>
        </is>
      </c>
      <c r="B5366" t="inlineStr">
        <is>
          <t>avverkningsanmälan</t>
        </is>
      </c>
      <c r="C5366" t="inlineStr">
        <is>
          <t>Föryngringsavverkning</t>
        </is>
      </c>
      <c r="D5366" s="1" t="n">
        <v>46261</v>
      </c>
      <c r="E5366" s="1" t="n">
        <v>46323</v>
      </c>
      <c r="F5366" t="inlineStr">
        <is>
          <t>KALMAR LÄN</t>
        </is>
      </c>
      <c r="G5366" t="inlineStr">
        <is>
          <t>VÄSTERVIK</t>
        </is>
      </c>
      <c r="H5366" t="inlineStr">
        <is>
          <t>Övriga Aktiebolag</t>
        </is>
      </c>
      <c r="I5366" t="n">
        <v>2.4</v>
      </c>
      <c r="J5366" t="n">
        <v>0</v>
      </c>
      <c r="K5366" t="n">
        <v>0</v>
      </c>
      <c r="L5366" t="n">
        <v>0</v>
      </c>
      <c r="M5366" t="n">
        <v>0</v>
      </c>
      <c r="N5366" t="n">
        <v>0</v>
      </c>
      <c r="O5366" t="n">
        <v>0</v>
      </c>
      <c r="P5366" t="n">
        <v>0</v>
      </c>
      <c r="Q5366" t="n">
        <v>0</v>
      </c>
      <c r="R5366" t="n">
        <v>0</v>
      </c>
      <c r="S5366" t="n">
        <v>0</v>
      </c>
      <c r="T5366" t="n">
        <v>0</v>
      </c>
      <c r="U5366" t="n">
        <v>0</v>
      </c>
      <c r="V5366" s="2" t="inlineStr"/>
    </row>
    <row r="5367" ht="15" customHeight="1">
      <c r="A5367" t="inlineStr">
        <is>
          <t>A 35268-2026</t>
        </is>
      </c>
      <c r="B5367" t="inlineStr">
        <is>
          <t>avverkningsanmälan</t>
        </is>
      </c>
      <c r="C5367" t="inlineStr">
        <is>
          <t>Föryngringsavverkning</t>
        </is>
      </c>
      <c r="D5367" s="1" t="n">
        <v>46261</v>
      </c>
      <c r="E5367" s="1" t="n">
        <v>46323</v>
      </c>
      <c r="F5367" t="inlineStr">
        <is>
          <t>KALMAR LÄN</t>
        </is>
      </c>
      <c r="G5367" t="inlineStr">
        <is>
          <t>VÄSTERVIK</t>
        </is>
      </c>
      <c r="H5367" t="inlineStr">
        <is>
          <t>Övriga Aktiebolag</t>
        </is>
      </c>
      <c r="I5367" t="n">
        <v>2.3</v>
      </c>
      <c r="J5367" t="n">
        <v>0</v>
      </c>
      <c r="K5367" t="n">
        <v>0</v>
      </c>
      <c r="L5367" t="n">
        <v>0</v>
      </c>
      <c r="M5367" t="n">
        <v>0</v>
      </c>
      <c r="N5367" t="n">
        <v>0</v>
      </c>
      <c r="O5367" t="n">
        <v>0</v>
      </c>
      <c r="P5367" t="n">
        <v>0</v>
      </c>
      <c r="Q5367" t="n">
        <v>0</v>
      </c>
      <c r="R5367" t="n">
        <v>0</v>
      </c>
      <c r="S5367" t="n">
        <v>0</v>
      </c>
      <c r="T5367" t="n">
        <v>0</v>
      </c>
      <c r="U5367" t="n">
        <v>0</v>
      </c>
      <c r="V5367" s="2" t="inlineStr"/>
    </row>
    <row r="5368" ht="15" customHeight="1">
      <c r="A5368" t="inlineStr">
        <is>
          <t>A 6128-2023</t>
        </is>
      </c>
      <c r="B5368" t="inlineStr">
        <is>
          <t>avverkningsanmälan</t>
        </is>
      </c>
      <c r="C5368" t="inlineStr">
        <is>
          <t>Föryngringsavverkning</t>
        </is>
      </c>
      <c r="D5368" s="1" t="n">
        <v>44964</v>
      </c>
      <c r="E5368" s="1" t="n">
        <v>46323</v>
      </c>
      <c r="F5368" t="inlineStr">
        <is>
          <t>KALMAR LÄN</t>
        </is>
      </c>
      <c r="G5368" t="inlineStr">
        <is>
          <t>HULTSFRED</t>
        </is>
      </c>
      <c r="I5368" t="n">
        <v>0.4</v>
      </c>
      <c r="J5368" t="n">
        <v>0</v>
      </c>
      <c r="K5368" t="n">
        <v>0</v>
      </c>
      <c r="L5368" t="n">
        <v>0</v>
      </c>
      <c r="M5368" t="n">
        <v>0</v>
      </c>
      <c r="N5368" t="n">
        <v>0</v>
      </c>
      <c r="O5368" t="n">
        <v>0</v>
      </c>
      <c r="P5368" t="n">
        <v>0</v>
      </c>
      <c r="Q5368" t="n">
        <v>0</v>
      </c>
      <c r="R5368" t="n">
        <v>0</v>
      </c>
      <c r="S5368" t="n">
        <v>0</v>
      </c>
      <c r="T5368" t="n">
        <v>0</v>
      </c>
      <c r="U5368" t="n">
        <v>0</v>
      </c>
      <c r="V5368" s="2" t="inlineStr"/>
    </row>
    <row r="5369" ht="15" customHeight="1">
      <c r="A5369" t="inlineStr">
        <is>
          <t>A 41429-2025</t>
        </is>
      </c>
      <c r="B5369" t="inlineStr">
        <is>
          <t>avverkningsanmälan</t>
        </is>
      </c>
      <c r="C5369" t="inlineStr">
        <is>
          <t>Föryngringsavverkning</t>
        </is>
      </c>
      <c r="D5369" s="1" t="n">
        <v>45901</v>
      </c>
      <c r="E5369" s="1" t="n">
        <v>46323</v>
      </c>
      <c r="F5369" t="inlineStr">
        <is>
          <t>KALMAR LÄN</t>
        </is>
      </c>
      <c r="G5369" t="inlineStr">
        <is>
          <t>EMMABODA</t>
        </is>
      </c>
      <c r="I5369" t="n">
        <v>1.8</v>
      </c>
      <c r="J5369" t="n">
        <v>0</v>
      </c>
      <c r="K5369" t="n">
        <v>0</v>
      </c>
      <c r="L5369" t="n">
        <v>0</v>
      </c>
      <c r="M5369" t="n">
        <v>0</v>
      </c>
      <c r="N5369" t="n">
        <v>0</v>
      </c>
      <c r="O5369" t="n">
        <v>0</v>
      </c>
      <c r="P5369" t="n">
        <v>0</v>
      </c>
      <c r="Q5369" t="n">
        <v>0</v>
      </c>
      <c r="R5369" t="n">
        <v>0</v>
      </c>
      <c r="S5369" t="n">
        <v>0</v>
      </c>
      <c r="T5369" t="n">
        <v>0</v>
      </c>
      <c r="U5369" t="n">
        <v>0</v>
      </c>
      <c r="V5369" s="2" t="inlineStr"/>
    </row>
    <row r="5370" ht="15" customHeight="1">
      <c r="A5370" t="inlineStr">
        <is>
          <t>A 43557-2025</t>
        </is>
      </c>
      <c r="B5370" t="inlineStr">
        <is>
          <t>avverkningsanmälan</t>
        </is>
      </c>
      <c r="C5370" t="inlineStr">
        <is>
          <t>Föryngringsavverkning</t>
        </is>
      </c>
      <c r="D5370" s="1" t="n">
        <v>45911</v>
      </c>
      <c r="E5370" s="1" t="n">
        <v>46323</v>
      </c>
      <c r="F5370" t="inlineStr">
        <is>
          <t>KALMAR LÄN</t>
        </is>
      </c>
      <c r="G5370" t="inlineStr">
        <is>
          <t>HÖGSBY</t>
        </is>
      </c>
      <c r="H5370" t="inlineStr">
        <is>
          <t>Kommuner</t>
        </is>
      </c>
      <c r="I5370" t="n">
        <v>1.3</v>
      </c>
      <c r="J5370" t="n">
        <v>0</v>
      </c>
      <c r="K5370" t="n">
        <v>0</v>
      </c>
      <c r="L5370" t="n">
        <v>0</v>
      </c>
      <c r="M5370" t="n">
        <v>0</v>
      </c>
      <c r="N5370" t="n">
        <v>0</v>
      </c>
      <c r="O5370" t="n">
        <v>0</v>
      </c>
      <c r="P5370" t="n">
        <v>0</v>
      </c>
      <c r="Q5370" t="n">
        <v>0</v>
      </c>
      <c r="R5370" t="n">
        <v>0</v>
      </c>
      <c r="S5370" t="n">
        <v>0</v>
      </c>
      <c r="T5370" t="n">
        <v>0</v>
      </c>
      <c r="U5370" t="n">
        <v>0</v>
      </c>
      <c r="V5370" s="2" t="inlineStr"/>
    </row>
    <row r="5371" ht="15" customHeight="1">
      <c r="A5371" t="inlineStr">
        <is>
          <t>A 27250-2025</t>
        </is>
      </c>
      <c r="B5371" t="inlineStr">
        <is>
          <t>avverkningsanmälan</t>
        </is>
      </c>
      <c r="C5371" t="inlineStr">
        <is>
          <t>Föryngringsavverkning</t>
        </is>
      </c>
      <c r="D5371" s="1" t="n">
        <v>45812</v>
      </c>
      <c r="E5371" s="1" t="n">
        <v>46323</v>
      </c>
      <c r="F5371" t="inlineStr">
        <is>
          <t>KALMAR LÄN</t>
        </is>
      </c>
      <c r="G5371" t="inlineStr">
        <is>
          <t>KALMAR</t>
        </is>
      </c>
      <c r="I5371" t="n">
        <v>1</v>
      </c>
      <c r="J5371" t="n">
        <v>0</v>
      </c>
      <c r="K5371" t="n">
        <v>0</v>
      </c>
      <c r="L5371" t="n">
        <v>0</v>
      </c>
      <c r="M5371" t="n">
        <v>0</v>
      </c>
      <c r="N5371" t="n">
        <v>0</v>
      </c>
      <c r="O5371" t="n">
        <v>0</v>
      </c>
      <c r="P5371" t="n">
        <v>0</v>
      </c>
      <c r="Q5371" t="n">
        <v>0</v>
      </c>
      <c r="R5371" t="n">
        <v>0</v>
      </c>
      <c r="S5371" t="n">
        <v>0</v>
      </c>
      <c r="T5371" t="n">
        <v>0</v>
      </c>
      <c r="U5371" t="n">
        <v>0</v>
      </c>
      <c r="V5371" s="2" t="inlineStr"/>
    </row>
    <row r="5372" ht="15" customHeight="1">
      <c r="A5372" t="inlineStr">
        <is>
          <t>A 7310-2023</t>
        </is>
      </c>
      <c r="B5372" t="inlineStr">
        <is>
          <t>avverkningsanmälan</t>
        </is>
      </c>
      <c r="C5372" t="inlineStr">
        <is>
          <t>Föryngringsavverkning</t>
        </is>
      </c>
      <c r="D5372" s="1" t="n">
        <v>44970</v>
      </c>
      <c r="E5372" s="1" t="n">
        <v>46323</v>
      </c>
      <c r="F5372" t="inlineStr">
        <is>
          <t>KALMAR LÄN</t>
        </is>
      </c>
      <c r="G5372" t="inlineStr">
        <is>
          <t>HULTSFRED</t>
        </is>
      </c>
      <c r="I5372" t="n">
        <v>0.8</v>
      </c>
      <c r="J5372" t="n">
        <v>0</v>
      </c>
      <c r="K5372" t="n">
        <v>0</v>
      </c>
      <c r="L5372" t="n">
        <v>0</v>
      </c>
      <c r="M5372" t="n">
        <v>0</v>
      </c>
      <c r="N5372" t="n">
        <v>0</v>
      </c>
      <c r="O5372" t="n">
        <v>0</v>
      </c>
      <c r="P5372" t="n">
        <v>0</v>
      </c>
      <c r="Q5372" t="n">
        <v>0</v>
      </c>
      <c r="R5372" t="n">
        <v>0</v>
      </c>
      <c r="S5372" t="n">
        <v>0</v>
      </c>
      <c r="T5372" t="n">
        <v>0</v>
      </c>
      <c r="U5372" t="n">
        <v>0</v>
      </c>
      <c r="V5372" s="2" t="inlineStr"/>
    </row>
    <row r="5373" ht="15" customHeight="1">
      <c r="A5373" t="inlineStr">
        <is>
          <t>A 33922-2025</t>
        </is>
      </c>
      <c r="B5373" t="inlineStr">
        <is>
          <t>avverkningsanmälan</t>
        </is>
      </c>
      <c r="C5373" t="inlineStr">
        <is>
          <t>Föryngringsavverkning</t>
        </is>
      </c>
      <c r="D5373" s="1" t="n">
        <v>45842</v>
      </c>
      <c r="E5373" s="1" t="n">
        <v>46323</v>
      </c>
      <c r="F5373" t="inlineStr">
        <is>
          <t>KALMAR LÄN</t>
        </is>
      </c>
      <c r="G5373" t="inlineStr">
        <is>
          <t>VÄSTERVIK</t>
        </is>
      </c>
      <c r="I5373" t="n">
        <v>1.5</v>
      </c>
      <c r="J5373" t="n">
        <v>0</v>
      </c>
      <c r="K5373" t="n">
        <v>0</v>
      </c>
      <c r="L5373" t="n">
        <v>0</v>
      </c>
      <c r="M5373" t="n">
        <v>0</v>
      </c>
      <c r="N5373" t="n">
        <v>0</v>
      </c>
      <c r="O5373" t="n">
        <v>0</v>
      </c>
      <c r="P5373" t="n">
        <v>0</v>
      </c>
      <c r="Q5373" t="n">
        <v>0</v>
      </c>
      <c r="R5373" t="n">
        <v>0</v>
      </c>
      <c r="S5373" t="n">
        <v>0</v>
      </c>
      <c r="T5373" t="n">
        <v>0</v>
      </c>
      <c r="U5373" t="n">
        <v>0</v>
      </c>
      <c r="V5373" s="2" t="inlineStr"/>
    </row>
    <row r="5374" ht="15" customHeight="1">
      <c r="A5374" t="inlineStr">
        <is>
          <t>A 7887-2023</t>
        </is>
      </c>
      <c r="B5374" t="inlineStr">
        <is>
          <t>avverkningsanmälan</t>
        </is>
      </c>
      <c r="C5374" t="inlineStr">
        <is>
          <t>Föryngringsavverkning</t>
        </is>
      </c>
      <c r="D5374" s="1" t="n">
        <v>44973</v>
      </c>
      <c r="E5374" s="1" t="n">
        <v>46323</v>
      </c>
      <c r="F5374" t="inlineStr">
        <is>
          <t>KALMAR LÄN</t>
        </is>
      </c>
      <c r="G5374" t="inlineStr">
        <is>
          <t>OSKARSHAMN</t>
        </is>
      </c>
      <c r="H5374" t="inlineStr">
        <is>
          <t>Övriga Aktiebolag</t>
        </is>
      </c>
      <c r="I5374" t="n">
        <v>4.4</v>
      </c>
      <c r="J5374" t="n">
        <v>0</v>
      </c>
      <c r="K5374" t="n">
        <v>0</v>
      </c>
      <c r="L5374" t="n">
        <v>0</v>
      </c>
      <c r="M5374" t="n">
        <v>0</v>
      </c>
      <c r="N5374" t="n">
        <v>0</v>
      </c>
      <c r="O5374" t="n">
        <v>0</v>
      </c>
      <c r="P5374" t="n">
        <v>0</v>
      </c>
      <c r="Q5374" t="n">
        <v>0</v>
      </c>
      <c r="R5374" t="n">
        <v>0</v>
      </c>
      <c r="S5374" t="n">
        <v>0</v>
      </c>
      <c r="T5374" t="n">
        <v>0</v>
      </c>
      <c r="U5374" t="n">
        <v>0</v>
      </c>
      <c r="V5374" s="2" t="inlineStr"/>
    </row>
    <row r="5375" ht="15" customHeight="1">
      <c r="A5375" t="inlineStr">
        <is>
          <t>A 32661-2024</t>
        </is>
      </c>
      <c r="B5375" t="inlineStr">
        <is>
          <t>avverkningsanmälan</t>
        </is>
      </c>
      <c r="C5375" t="inlineStr">
        <is>
          <t>Föryngringsavverkning</t>
        </is>
      </c>
      <c r="D5375" s="1" t="n">
        <v>45514</v>
      </c>
      <c r="E5375" s="1" t="n">
        <v>46323</v>
      </c>
      <c r="F5375" t="inlineStr">
        <is>
          <t>KALMAR LÄN</t>
        </is>
      </c>
      <c r="G5375" t="inlineStr">
        <is>
          <t>EMMABODA</t>
        </is>
      </c>
      <c r="I5375" t="n">
        <v>2.5</v>
      </c>
      <c r="J5375" t="n">
        <v>0</v>
      </c>
      <c r="K5375" t="n">
        <v>0</v>
      </c>
      <c r="L5375" t="n">
        <v>0</v>
      </c>
      <c r="M5375" t="n">
        <v>0</v>
      </c>
      <c r="N5375" t="n">
        <v>0</v>
      </c>
      <c r="O5375" t="n">
        <v>0</v>
      </c>
      <c r="P5375" t="n">
        <v>0</v>
      </c>
      <c r="Q5375" t="n">
        <v>0</v>
      </c>
      <c r="R5375" t="n">
        <v>0</v>
      </c>
      <c r="S5375" t="n">
        <v>0</v>
      </c>
      <c r="T5375" t="n">
        <v>0</v>
      </c>
      <c r="U5375" t="n">
        <v>0</v>
      </c>
      <c r="V5375" s="2" t="inlineStr"/>
    </row>
    <row r="5376" ht="15" customHeight="1">
      <c r="A5376" t="inlineStr">
        <is>
          <t>A 32666-2024</t>
        </is>
      </c>
      <c r="B5376" t="inlineStr">
        <is>
          <t>avverkningsanmälan</t>
        </is>
      </c>
      <c r="C5376" t="inlineStr">
        <is>
          <t>Föryngringsavverkning</t>
        </is>
      </c>
      <c r="D5376" s="1" t="n">
        <v>45514</v>
      </c>
      <c r="E5376" s="1" t="n">
        <v>46323</v>
      </c>
      <c r="F5376" t="inlineStr">
        <is>
          <t>KALMAR LÄN</t>
        </is>
      </c>
      <c r="G5376" t="inlineStr">
        <is>
          <t>EMMABODA</t>
        </is>
      </c>
      <c r="I5376" t="n">
        <v>1.5</v>
      </c>
      <c r="J5376" t="n">
        <v>0</v>
      </c>
      <c r="K5376" t="n">
        <v>0</v>
      </c>
      <c r="L5376" t="n">
        <v>0</v>
      </c>
      <c r="M5376" t="n">
        <v>0</v>
      </c>
      <c r="N5376" t="n">
        <v>0</v>
      </c>
      <c r="O5376" t="n">
        <v>0</v>
      </c>
      <c r="P5376" t="n">
        <v>0</v>
      </c>
      <c r="Q5376" t="n">
        <v>0</v>
      </c>
      <c r="R5376" t="n">
        <v>0</v>
      </c>
      <c r="S5376" t="n">
        <v>0</v>
      </c>
      <c r="T5376" t="n">
        <v>0</v>
      </c>
      <c r="U5376" t="n">
        <v>0</v>
      </c>
      <c r="V5376" s="2" t="inlineStr"/>
    </row>
    <row r="5377" ht="15" customHeight="1">
      <c r="A5377" t="inlineStr">
        <is>
          <t>A 17444-2026</t>
        </is>
      </c>
      <c r="B5377" t="inlineStr">
        <is>
          <t>avverkningsanmälan</t>
        </is>
      </c>
      <c r="C5377" t="inlineStr">
        <is>
          <t>Föryngringsavverkning</t>
        </is>
      </c>
      <c r="D5377" s="1" t="n">
        <v>46120</v>
      </c>
      <c r="E5377" s="1" t="n">
        <v>46323</v>
      </c>
      <c r="F5377" t="inlineStr">
        <is>
          <t>KALMAR LÄN</t>
        </is>
      </c>
      <c r="G5377" t="inlineStr">
        <is>
          <t>EMMABODA</t>
        </is>
      </c>
      <c r="I5377" t="n">
        <v>1.7</v>
      </c>
      <c r="J5377" t="n">
        <v>0</v>
      </c>
      <c r="K5377" t="n">
        <v>0</v>
      </c>
      <c r="L5377" t="n">
        <v>0</v>
      </c>
      <c r="M5377" t="n">
        <v>0</v>
      </c>
      <c r="N5377" t="n">
        <v>0</v>
      </c>
      <c r="O5377" t="n">
        <v>0</v>
      </c>
      <c r="P5377" t="n">
        <v>0</v>
      </c>
      <c r="Q5377" t="n">
        <v>0</v>
      </c>
      <c r="R5377" t="n">
        <v>0</v>
      </c>
      <c r="S5377" t="n">
        <v>0</v>
      </c>
      <c r="T5377" t="n">
        <v>0</v>
      </c>
      <c r="U5377" t="n">
        <v>0</v>
      </c>
      <c r="V5377" s="2" t="inlineStr"/>
    </row>
    <row r="5378" ht="15" customHeight="1">
      <c r="A5378" t="inlineStr">
        <is>
          <t>A 41831-2026</t>
        </is>
      </c>
      <c r="B5378" t="inlineStr">
        <is>
          <t>avverkningsanmälan</t>
        </is>
      </c>
      <c r="C5378" t="inlineStr">
        <is>
          <t>Föryngringsavverkning</t>
        </is>
      </c>
      <c r="D5378" s="1" t="n">
        <v>46303</v>
      </c>
      <c r="E5378" s="1" t="n">
        <v>46323</v>
      </c>
      <c r="F5378" t="inlineStr">
        <is>
          <t>KALMAR LÄN</t>
        </is>
      </c>
      <c r="G5378" t="inlineStr">
        <is>
          <t>VIMMERBY</t>
        </is>
      </c>
      <c r="I5378" t="n">
        <v>3.3</v>
      </c>
      <c r="J5378" t="n">
        <v>0</v>
      </c>
      <c r="K5378" t="n">
        <v>0</v>
      </c>
      <c r="L5378" t="n">
        <v>0</v>
      </c>
      <c r="M5378" t="n">
        <v>0</v>
      </c>
      <c r="N5378" t="n">
        <v>0</v>
      </c>
      <c r="O5378" t="n">
        <v>0</v>
      </c>
      <c r="P5378" t="n">
        <v>0</v>
      </c>
      <c r="Q5378" t="n">
        <v>0</v>
      </c>
      <c r="R5378" t="n">
        <v>0</v>
      </c>
      <c r="S5378" t="n">
        <v>0</v>
      </c>
      <c r="T5378" t="n">
        <v>0</v>
      </c>
      <c r="U5378" t="n">
        <v>0</v>
      </c>
      <c r="V5378" s="2" t="inlineStr"/>
    </row>
    <row r="5379" ht="15" customHeight="1">
      <c r="A5379" t="inlineStr">
        <is>
          <t>A 27098-2023</t>
        </is>
      </c>
      <c r="B5379" t="inlineStr">
        <is>
          <t>avverkningsanmälan</t>
        </is>
      </c>
      <c r="C5379" t="inlineStr">
        <is>
          <t>Föryngringsavverkning</t>
        </is>
      </c>
      <c r="D5379" s="1" t="n">
        <v>45096</v>
      </c>
      <c r="E5379" s="1" t="n">
        <v>46323</v>
      </c>
      <c r="F5379" t="inlineStr">
        <is>
          <t>KALMAR LÄN</t>
        </is>
      </c>
      <c r="G5379" t="inlineStr">
        <is>
          <t>OSKARSHAMN</t>
        </is>
      </c>
      <c r="I5379" t="n">
        <v>1.6</v>
      </c>
      <c r="J5379" t="n">
        <v>0</v>
      </c>
      <c r="K5379" t="n">
        <v>0</v>
      </c>
      <c r="L5379" t="n">
        <v>0</v>
      </c>
      <c r="M5379" t="n">
        <v>0</v>
      </c>
      <c r="N5379" t="n">
        <v>0</v>
      </c>
      <c r="O5379" t="n">
        <v>0</v>
      </c>
      <c r="P5379" t="n">
        <v>0</v>
      </c>
      <c r="Q5379" t="n">
        <v>0</v>
      </c>
      <c r="R5379" t="n">
        <v>0</v>
      </c>
      <c r="S5379" t="n">
        <v>0</v>
      </c>
      <c r="T5379" t="n">
        <v>0</v>
      </c>
      <c r="U5379" t="n">
        <v>0</v>
      </c>
      <c r="V5379" s="2" t="inlineStr"/>
    </row>
    <row r="5380" ht="15" customHeight="1">
      <c r="A5380" t="inlineStr">
        <is>
          <t>A 41843-2026</t>
        </is>
      </c>
      <c r="B5380" t="inlineStr">
        <is>
          <t>avverkningsanmälan</t>
        </is>
      </c>
      <c r="C5380" t="inlineStr">
        <is>
          <t>Föryngringsavverkning</t>
        </is>
      </c>
      <c r="D5380" s="1" t="n">
        <v>46303</v>
      </c>
      <c r="E5380" s="1" t="n">
        <v>46323</v>
      </c>
      <c r="F5380" t="inlineStr">
        <is>
          <t>KALMAR LÄN</t>
        </is>
      </c>
      <c r="G5380" t="inlineStr">
        <is>
          <t>VIMMERBY</t>
        </is>
      </c>
      <c r="I5380" t="n">
        <v>0.7</v>
      </c>
      <c r="J5380" t="n">
        <v>0</v>
      </c>
      <c r="K5380" t="n">
        <v>0</v>
      </c>
      <c r="L5380" t="n">
        <v>0</v>
      </c>
      <c r="M5380" t="n">
        <v>0</v>
      </c>
      <c r="N5380" t="n">
        <v>0</v>
      </c>
      <c r="O5380" t="n">
        <v>0</v>
      </c>
      <c r="P5380" t="n">
        <v>0</v>
      </c>
      <c r="Q5380" t="n">
        <v>0</v>
      </c>
      <c r="R5380" t="n">
        <v>0</v>
      </c>
      <c r="S5380" t="n">
        <v>0</v>
      </c>
      <c r="T5380" t="n">
        <v>0</v>
      </c>
      <c r="U5380" t="n">
        <v>0</v>
      </c>
      <c r="V5380" s="2" t="inlineStr"/>
    </row>
    <row r="5381" ht="15" customHeight="1">
      <c r="A5381" t="inlineStr">
        <is>
          <t>A 47627-2025</t>
        </is>
      </c>
      <c r="B5381" t="inlineStr">
        <is>
          <t>avverkningsanmälan</t>
        </is>
      </c>
      <c r="C5381" t="inlineStr">
        <is>
          <t>Föryngringsavverkning</t>
        </is>
      </c>
      <c r="D5381" s="1" t="n">
        <v>45931</v>
      </c>
      <c r="E5381" s="1" t="n">
        <v>46323</v>
      </c>
      <c r="F5381" t="inlineStr">
        <is>
          <t>KALMAR LÄN</t>
        </is>
      </c>
      <c r="G5381" t="inlineStr">
        <is>
          <t>NYBRO</t>
        </is>
      </c>
      <c r="H5381" t="inlineStr">
        <is>
          <t>Kyrkan</t>
        </is>
      </c>
      <c r="I5381" t="n">
        <v>4.5</v>
      </c>
      <c r="J5381" t="n">
        <v>0</v>
      </c>
      <c r="K5381" t="n">
        <v>0</v>
      </c>
      <c r="L5381" t="n">
        <v>0</v>
      </c>
      <c r="M5381" t="n">
        <v>0</v>
      </c>
      <c r="N5381" t="n">
        <v>0</v>
      </c>
      <c r="O5381" t="n">
        <v>0</v>
      </c>
      <c r="P5381" t="n">
        <v>0</v>
      </c>
      <c r="Q5381" t="n">
        <v>0</v>
      </c>
      <c r="R5381" t="n">
        <v>0</v>
      </c>
      <c r="S5381" t="n">
        <v>0</v>
      </c>
      <c r="T5381" t="n">
        <v>0</v>
      </c>
      <c r="U5381" t="n">
        <v>0</v>
      </c>
      <c r="V5381" s="2" t="inlineStr"/>
    </row>
    <row r="5382" ht="15" customHeight="1">
      <c r="A5382" t="inlineStr">
        <is>
          <t>A 62717-2025</t>
        </is>
      </c>
      <c r="B5382" t="inlineStr">
        <is>
          <t>avverkningsanmälan</t>
        </is>
      </c>
      <c r="C5382" t="inlineStr">
        <is>
          <t>Föryngringsavverkning</t>
        </is>
      </c>
      <c r="D5382" s="1" t="n">
        <v>46008</v>
      </c>
      <c r="E5382" s="1" t="n">
        <v>46323</v>
      </c>
      <c r="F5382" t="inlineStr">
        <is>
          <t>KALMAR LÄN</t>
        </is>
      </c>
      <c r="G5382" t="inlineStr">
        <is>
          <t>HULTSFRED</t>
        </is>
      </c>
      <c r="I5382" t="n">
        <v>6.2</v>
      </c>
      <c r="J5382" t="n">
        <v>0</v>
      </c>
      <c r="K5382" t="n">
        <v>0</v>
      </c>
      <c r="L5382" t="n">
        <v>0</v>
      </c>
      <c r="M5382" t="n">
        <v>0</v>
      </c>
      <c r="N5382" t="n">
        <v>0</v>
      </c>
      <c r="O5382" t="n">
        <v>0</v>
      </c>
      <c r="P5382" t="n">
        <v>0</v>
      </c>
      <c r="Q5382" t="n">
        <v>0</v>
      </c>
      <c r="R5382" t="n">
        <v>0</v>
      </c>
      <c r="S5382" t="n">
        <v>0</v>
      </c>
      <c r="T5382" t="n">
        <v>0</v>
      </c>
      <c r="U5382" t="n">
        <v>0</v>
      </c>
      <c r="V5382" s="2" t="inlineStr"/>
    </row>
    <row r="5383" ht="15" customHeight="1">
      <c r="A5383" t="inlineStr">
        <is>
          <t>A 15034-2023</t>
        </is>
      </c>
      <c r="B5383" t="inlineStr">
        <is>
          <t>avverkningsanmälan</t>
        </is>
      </c>
      <c r="C5383" t="inlineStr">
        <is>
          <t>Föryngringsavverkning</t>
        </is>
      </c>
      <c r="D5383" s="1" t="n">
        <v>45015</v>
      </c>
      <c r="E5383" s="1" t="n">
        <v>46323</v>
      </c>
      <c r="F5383" t="inlineStr">
        <is>
          <t>KALMAR LÄN</t>
        </is>
      </c>
      <c r="G5383" t="inlineStr">
        <is>
          <t>HÖGSBY</t>
        </is>
      </c>
      <c r="H5383" t="inlineStr">
        <is>
          <t>Sveaskog</t>
        </is>
      </c>
      <c r="I5383" t="n">
        <v>5.3</v>
      </c>
      <c r="J5383" t="n">
        <v>0</v>
      </c>
      <c r="K5383" t="n">
        <v>0</v>
      </c>
      <c r="L5383" t="n">
        <v>0</v>
      </c>
      <c r="M5383" t="n">
        <v>0</v>
      </c>
      <c r="N5383" t="n">
        <v>0</v>
      </c>
      <c r="O5383" t="n">
        <v>0</v>
      </c>
      <c r="P5383" t="n">
        <v>0</v>
      </c>
      <c r="Q5383" t="n">
        <v>0</v>
      </c>
      <c r="R5383" t="n">
        <v>0</v>
      </c>
      <c r="S5383" t="n">
        <v>0</v>
      </c>
      <c r="T5383" t="n">
        <v>0</v>
      </c>
      <c r="U5383" t="n">
        <v>0</v>
      </c>
      <c r="V5383" s="2" t="inlineStr"/>
    </row>
    <row r="5384" ht="15" customHeight="1">
      <c r="A5384" t="inlineStr">
        <is>
          <t>A 4926-2023</t>
        </is>
      </c>
      <c r="B5384" t="inlineStr">
        <is>
          <t>avverkningsanmälan</t>
        </is>
      </c>
      <c r="C5384" t="inlineStr">
        <is>
          <t>Föryngringsavverkning</t>
        </is>
      </c>
      <c r="D5384" s="1" t="n">
        <v>44958</v>
      </c>
      <c r="E5384" s="1" t="n">
        <v>46323</v>
      </c>
      <c r="F5384" t="inlineStr">
        <is>
          <t>KALMAR LÄN</t>
        </is>
      </c>
      <c r="G5384" t="inlineStr">
        <is>
          <t>TORSÅS</t>
        </is>
      </c>
      <c r="I5384" t="n">
        <v>0.9</v>
      </c>
      <c r="J5384" t="n">
        <v>0</v>
      </c>
      <c r="K5384" t="n">
        <v>0</v>
      </c>
      <c r="L5384" t="n">
        <v>0</v>
      </c>
      <c r="M5384" t="n">
        <v>0</v>
      </c>
      <c r="N5384" t="n">
        <v>0</v>
      </c>
      <c r="O5384" t="n">
        <v>0</v>
      </c>
      <c r="P5384" t="n">
        <v>0</v>
      </c>
      <c r="Q5384" t="n">
        <v>0</v>
      </c>
      <c r="R5384" t="n">
        <v>0</v>
      </c>
      <c r="S5384" t="n">
        <v>0</v>
      </c>
      <c r="T5384" t="n">
        <v>0</v>
      </c>
      <c r="U5384" t="n">
        <v>0</v>
      </c>
      <c r="V5384" s="2" t="inlineStr"/>
    </row>
    <row r="5385" ht="15" customHeight="1">
      <c r="A5385" t="inlineStr">
        <is>
          <t>A 59559-2025</t>
        </is>
      </c>
      <c r="B5385" t="inlineStr">
        <is>
          <t>avverkningsanmälan</t>
        </is>
      </c>
      <c r="C5385" t="inlineStr">
        <is>
          <t>Föryngringsavverkning</t>
        </is>
      </c>
      <c r="D5385" s="1" t="n">
        <v>45991</v>
      </c>
      <c r="E5385" s="1" t="n">
        <v>46323</v>
      </c>
      <c r="F5385" t="inlineStr">
        <is>
          <t>KALMAR LÄN</t>
        </is>
      </c>
      <c r="G5385" t="inlineStr">
        <is>
          <t>MÖNSTERÅS</t>
        </is>
      </c>
      <c r="H5385" t="inlineStr">
        <is>
          <t>Övriga Aktiebolag</t>
        </is>
      </c>
      <c r="I5385" t="n">
        <v>4.4</v>
      </c>
      <c r="J5385" t="n">
        <v>0</v>
      </c>
      <c r="K5385" t="n">
        <v>0</v>
      </c>
      <c r="L5385" t="n">
        <v>0</v>
      </c>
      <c r="M5385" t="n">
        <v>0</v>
      </c>
      <c r="N5385" t="n">
        <v>0</v>
      </c>
      <c r="O5385" t="n">
        <v>0</v>
      </c>
      <c r="P5385" t="n">
        <v>0</v>
      </c>
      <c r="Q5385" t="n">
        <v>0</v>
      </c>
      <c r="R5385" t="n">
        <v>0</v>
      </c>
      <c r="S5385" t="n">
        <v>0</v>
      </c>
      <c r="T5385" t="n">
        <v>0</v>
      </c>
      <c r="U5385" t="n">
        <v>0</v>
      </c>
      <c r="V5385" s="2" t="inlineStr"/>
    </row>
    <row r="5386" ht="15" customHeight="1">
      <c r="A5386" t="inlineStr">
        <is>
          <t>A 4769-2025</t>
        </is>
      </c>
      <c r="B5386" t="inlineStr">
        <is>
          <t>avverkningsanmälan</t>
        </is>
      </c>
      <c r="C5386" t="inlineStr">
        <is>
          <t>Föryngringsavverkning</t>
        </is>
      </c>
      <c r="D5386" s="1" t="n">
        <v>45688</v>
      </c>
      <c r="E5386" s="1" t="n">
        <v>46323</v>
      </c>
      <c r="F5386" t="inlineStr">
        <is>
          <t>KALMAR LÄN</t>
        </is>
      </c>
      <c r="G5386" t="inlineStr">
        <is>
          <t>KALMAR</t>
        </is>
      </c>
      <c r="I5386" t="n">
        <v>1.1</v>
      </c>
      <c r="J5386" t="n">
        <v>0</v>
      </c>
      <c r="K5386" t="n">
        <v>0</v>
      </c>
      <c r="L5386" t="n">
        <v>0</v>
      </c>
      <c r="M5386" t="n">
        <v>0</v>
      </c>
      <c r="N5386" t="n">
        <v>0</v>
      </c>
      <c r="O5386" t="n">
        <v>0</v>
      </c>
      <c r="P5386" t="n">
        <v>0</v>
      </c>
      <c r="Q5386" t="n">
        <v>0</v>
      </c>
      <c r="R5386" t="n">
        <v>0</v>
      </c>
      <c r="S5386" t="n">
        <v>0</v>
      </c>
      <c r="T5386" t="n">
        <v>0</v>
      </c>
      <c r="U5386" t="n">
        <v>0</v>
      </c>
      <c r="V5386" s="2" t="inlineStr"/>
    </row>
    <row r="5387" ht="15" customHeight="1">
      <c r="A5387" t="inlineStr">
        <is>
          <t>A 26078-2023</t>
        </is>
      </c>
      <c r="B5387" t="inlineStr">
        <is>
          <t>avverkningsanmälan</t>
        </is>
      </c>
      <c r="C5387" t="inlineStr">
        <is>
          <t>Föryngringsavverkning</t>
        </is>
      </c>
      <c r="D5387" s="1" t="n">
        <v>45091</v>
      </c>
      <c r="E5387" s="1" t="n">
        <v>46323</v>
      </c>
      <c r="F5387" t="inlineStr">
        <is>
          <t>KALMAR LÄN</t>
        </is>
      </c>
      <c r="G5387" t="inlineStr">
        <is>
          <t>KALMAR</t>
        </is>
      </c>
      <c r="I5387" t="n">
        <v>1.2</v>
      </c>
      <c r="J5387" t="n">
        <v>0</v>
      </c>
      <c r="K5387" t="n">
        <v>0</v>
      </c>
      <c r="L5387" t="n">
        <v>0</v>
      </c>
      <c r="M5387" t="n">
        <v>0</v>
      </c>
      <c r="N5387" t="n">
        <v>0</v>
      </c>
      <c r="O5387" t="n">
        <v>0</v>
      </c>
      <c r="P5387" t="n">
        <v>0</v>
      </c>
      <c r="Q5387" t="n">
        <v>0</v>
      </c>
      <c r="R5387" t="n">
        <v>0</v>
      </c>
      <c r="S5387" t="n">
        <v>0</v>
      </c>
      <c r="T5387" t="n">
        <v>0</v>
      </c>
      <c r="U5387" t="n">
        <v>0</v>
      </c>
      <c r="V5387" s="2" t="inlineStr"/>
    </row>
    <row r="5388" ht="15" customHeight="1">
      <c r="A5388" t="inlineStr">
        <is>
          <t>A 35347-2026</t>
        </is>
      </c>
      <c r="B5388" t="inlineStr">
        <is>
          <t>avverkningsanmälan</t>
        </is>
      </c>
      <c r="C5388" t="inlineStr">
        <is>
          <t>Föryngringsavverkning</t>
        </is>
      </c>
      <c r="D5388" s="1" t="n">
        <v>46261</v>
      </c>
      <c r="E5388" s="1" t="n">
        <v>46323</v>
      </c>
      <c r="F5388" t="inlineStr">
        <is>
          <t>KALMAR LÄN</t>
        </is>
      </c>
      <c r="G5388" t="inlineStr">
        <is>
          <t>NYBRO</t>
        </is>
      </c>
      <c r="I5388" t="n">
        <v>2</v>
      </c>
      <c r="J5388" t="n">
        <v>0</v>
      </c>
      <c r="K5388" t="n">
        <v>0</v>
      </c>
      <c r="L5388" t="n">
        <v>0</v>
      </c>
      <c r="M5388" t="n">
        <v>0</v>
      </c>
      <c r="N5388" t="n">
        <v>0</v>
      </c>
      <c r="O5388" t="n">
        <v>0</v>
      </c>
      <c r="P5388" t="n">
        <v>0</v>
      </c>
      <c r="Q5388" t="n">
        <v>0</v>
      </c>
      <c r="R5388" t="n">
        <v>0</v>
      </c>
      <c r="S5388" t="n">
        <v>0</v>
      </c>
      <c r="T5388" t="n">
        <v>0</v>
      </c>
      <c r="U5388" t="n">
        <v>0</v>
      </c>
      <c r="V5388" s="2" t="inlineStr"/>
    </row>
    <row r="5389" ht="15" customHeight="1">
      <c r="A5389" t="inlineStr">
        <is>
          <t>A 41947-2026</t>
        </is>
      </c>
      <c r="B5389" t="inlineStr">
        <is>
          <t>avverkningsanmälan</t>
        </is>
      </c>
      <c r="C5389" t="inlineStr">
        <is>
          <t>Föryngringsavverkning</t>
        </is>
      </c>
      <c r="D5389" s="1" t="n">
        <v>46303</v>
      </c>
      <c r="E5389" s="1" t="n">
        <v>46323</v>
      </c>
      <c r="F5389" t="inlineStr">
        <is>
          <t>KALMAR LÄN</t>
        </is>
      </c>
      <c r="G5389" t="inlineStr">
        <is>
          <t>HULTSFRED</t>
        </is>
      </c>
      <c r="I5389" t="n">
        <v>1.1</v>
      </c>
      <c r="J5389" t="n">
        <v>0</v>
      </c>
      <c r="K5389" t="n">
        <v>0</v>
      </c>
      <c r="L5389" t="n">
        <v>0</v>
      </c>
      <c r="M5389" t="n">
        <v>0</v>
      </c>
      <c r="N5389" t="n">
        <v>0</v>
      </c>
      <c r="O5389" t="n">
        <v>0</v>
      </c>
      <c r="P5389" t="n">
        <v>0</v>
      </c>
      <c r="Q5389" t="n">
        <v>0</v>
      </c>
      <c r="R5389" t="n">
        <v>0</v>
      </c>
      <c r="S5389" t="n">
        <v>0</v>
      </c>
      <c r="T5389" t="n">
        <v>0</v>
      </c>
      <c r="U5389" t="n">
        <v>0</v>
      </c>
      <c r="V5389" s="2" t="inlineStr"/>
    </row>
    <row r="5390" ht="15" customHeight="1">
      <c r="A5390" t="inlineStr">
        <is>
          <t>A 14080-2024</t>
        </is>
      </c>
      <c r="B5390" t="inlineStr">
        <is>
          <t>avverkningsanmälan</t>
        </is>
      </c>
      <c r="C5390" t="inlineStr">
        <is>
          <t>Föryngringsavverkning</t>
        </is>
      </c>
      <c r="D5390" s="1" t="n">
        <v>45392</v>
      </c>
      <c r="E5390" s="1" t="n">
        <v>46323</v>
      </c>
      <c r="F5390" t="inlineStr">
        <is>
          <t>KALMAR LÄN</t>
        </is>
      </c>
      <c r="G5390" t="inlineStr">
        <is>
          <t>EMMABODA</t>
        </is>
      </c>
      <c r="I5390" t="n">
        <v>1.2</v>
      </c>
      <c r="J5390" t="n">
        <v>0</v>
      </c>
      <c r="K5390" t="n">
        <v>0</v>
      </c>
      <c r="L5390" t="n">
        <v>0</v>
      </c>
      <c r="M5390" t="n">
        <v>0</v>
      </c>
      <c r="N5390" t="n">
        <v>0</v>
      </c>
      <c r="O5390" t="n">
        <v>0</v>
      </c>
      <c r="P5390" t="n">
        <v>0</v>
      </c>
      <c r="Q5390" t="n">
        <v>0</v>
      </c>
      <c r="R5390" t="n">
        <v>0</v>
      </c>
      <c r="S5390" t="n">
        <v>0</v>
      </c>
      <c r="T5390" t="n">
        <v>0</v>
      </c>
      <c r="U5390" t="n">
        <v>0</v>
      </c>
      <c r="V5390" s="2" t="inlineStr"/>
    </row>
    <row r="5391" ht="15" customHeight="1">
      <c r="A5391" t="inlineStr">
        <is>
          <t>A 14085-2024</t>
        </is>
      </c>
      <c r="B5391" t="inlineStr">
        <is>
          <t>avverkningsanmälan</t>
        </is>
      </c>
      <c r="C5391" t="inlineStr">
        <is>
          <t>Föryngringsavverkning</t>
        </is>
      </c>
      <c r="D5391" s="1" t="n">
        <v>45392</v>
      </c>
      <c r="E5391" s="1" t="n">
        <v>46323</v>
      </c>
      <c r="F5391" t="inlineStr">
        <is>
          <t>KALMAR LÄN</t>
        </is>
      </c>
      <c r="G5391" t="inlineStr">
        <is>
          <t>NYBRO</t>
        </is>
      </c>
      <c r="I5391" t="n">
        <v>1.9</v>
      </c>
      <c r="J5391" t="n">
        <v>0</v>
      </c>
      <c r="K5391" t="n">
        <v>0</v>
      </c>
      <c r="L5391" t="n">
        <v>0</v>
      </c>
      <c r="M5391" t="n">
        <v>0</v>
      </c>
      <c r="N5391" t="n">
        <v>0</v>
      </c>
      <c r="O5391" t="n">
        <v>0</v>
      </c>
      <c r="P5391" t="n">
        <v>0</v>
      </c>
      <c r="Q5391" t="n">
        <v>0</v>
      </c>
      <c r="R5391" t="n">
        <v>0</v>
      </c>
      <c r="S5391" t="n">
        <v>0</v>
      </c>
      <c r="T5391" t="n">
        <v>0</v>
      </c>
      <c r="U5391" t="n">
        <v>0</v>
      </c>
      <c r="V5391" s="2" t="inlineStr"/>
    </row>
    <row r="5392" ht="15" customHeight="1">
      <c r="A5392" t="inlineStr">
        <is>
          <t>A 52893-2024</t>
        </is>
      </c>
      <c r="B5392" t="inlineStr">
        <is>
          <t>avverkningsanmälan</t>
        </is>
      </c>
      <c r="C5392" t="inlineStr">
        <is>
          <t>Föryngringsavverkning</t>
        </is>
      </c>
      <c r="D5392" s="1" t="n">
        <v>45610</v>
      </c>
      <c r="E5392" s="1" t="n">
        <v>46323</v>
      </c>
      <c r="F5392" t="inlineStr">
        <is>
          <t>KALMAR LÄN</t>
        </is>
      </c>
      <c r="G5392" t="inlineStr">
        <is>
          <t>HULTSFRED</t>
        </is>
      </c>
      <c r="I5392" t="n">
        <v>1.2</v>
      </c>
      <c r="J5392" t="n">
        <v>0</v>
      </c>
      <c r="K5392" t="n">
        <v>0</v>
      </c>
      <c r="L5392" t="n">
        <v>0</v>
      </c>
      <c r="M5392" t="n">
        <v>0</v>
      </c>
      <c r="N5392" t="n">
        <v>0</v>
      </c>
      <c r="O5392" t="n">
        <v>0</v>
      </c>
      <c r="P5392" t="n">
        <v>0</v>
      </c>
      <c r="Q5392" t="n">
        <v>0</v>
      </c>
      <c r="R5392" t="n">
        <v>0</v>
      </c>
      <c r="S5392" t="n">
        <v>0</v>
      </c>
      <c r="T5392" t="n">
        <v>0</v>
      </c>
      <c r="U5392" t="n">
        <v>0</v>
      </c>
      <c r="V5392" s="2" t="inlineStr"/>
    </row>
    <row r="5393" ht="15" customHeight="1">
      <c r="A5393" t="inlineStr">
        <is>
          <t>A 62164-2025</t>
        </is>
      </c>
      <c r="B5393" t="inlineStr">
        <is>
          <t>avverkningsanmälan</t>
        </is>
      </c>
      <c r="C5393" t="inlineStr">
        <is>
          <t>Föryngringsavverkning</t>
        </is>
      </c>
      <c r="D5393" s="1" t="n">
        <v>46006</v>
      </c>
      <c r="E5393" s="1" t="n">
        <v>46323</v>
      </c>
      <c r="F5393" t="inlineStr">
        <is>
          <t>KALMAR LÄN</t>
        </is>
      </c>
      <c r="G5393" t="inlineStr">
        <is>
          <t>EMMABODA</t>
        </is>
      </c>
      <c r="I5393" t="n">
        <v>3.6</v>
      </c>
      <c r="J5393" t="n">
        <v>0</v>
      </c>
      <c r="K5393" t="n">
        <v>0</v>
      </c>
      <c r="L5393" t="n">
        <v>0</v>
      </c>
      <c r="M5393" t="n">
        <v>0</v>
      </c>
      <c r="N5393" t="n">
        <v>0</v>
      </c>
      <c r="O5393" t="n">
        <v>0</v>
      </c>
      <c r="P5393" t="n">
        <v>0</v>
      </c>
      <c r="Q5393" t="n">
        <v>0</v>
      </c>
      <c r="R5393" t="n">
        <v>0</v>
      </c>
      <c r="S5393" t="n">
        <v>0</v>
      </c>
      <c r="T5393" t="n">
        <v>0</v>
      </c>
      <c r="U5393" t="n">
        <v>0</v>
      </c>
      <c r="V5393" s="2" t="inlineStr"/>
    </row>
    <row r="5394" ht="15" customHeight="1">
      <c r="A5394" t="inlineStr">
        <is>
          <t>A 23739-2025</t>
        </is>
      </c>
      <c r="B5394" t="inlineStr">
        <is>
          <t>avverkningsanmälan</t>
        </is>
      </c>
      <c r="C5394" t="inlineStr">
        <is>
          <t>Föryngringsavverkning</t>
        </is>
      </c>
      <c r="D5394" s="1" t="n">
        <v>45793</v>
      </c>
      <c r="E5394" s="1" t="n">
        <v>46323</v>
      </c>
      <c r="F5394" t="inlineStr">
        <is>
          <t>KALMAR LÄN</t>
        </is>
      </c>
      <c r="G5394" t="inlineStr">
        <is>
          <t>VÄSTERVIK</t>
        </is>
      </c>
      <c r="I5394" t="n">
        <v>1.4</v>
      </c>
      <c r="J5394" t="n">
        <v>0</v>
      </c>
      <c r="K5394" t="n">
        <v>0</v>
      </c>
      <c r="L5394" t="n">
        <v>0</v>
      </c>
      <c r="M5394" t="n">
        <v>0</v>
      </c>
      <c r="N5394" t="n">
        <v>0</v>
      </c>
      <c r="O5394" t="n">
        <v>0</v>
      </c>
      <c r="P5394" t="n">
        <v>0</v>
      </c>
      <c r="Q5394" t="n">
        <v>0</v>
      </c>
      <c r="R5394" t="n">
        <v>0</v>
      </c>
      <c r="S5394" t="n">
        <v>0</v>
      </c>
      <c r="T5394" t="n">
        <v>0</v>
      </c>
      <c r="U5394" t="n">
        <v>0</v>
      </c>
      <c r="V5394" s="2" t="inlineStr"/>
    </row>
    <row r="5395" ht="15" customHeight="1">
      <c r="A5395" t="inlineStr">
        <is>
          <t>A 26125-2023</t>
        </is>
      </c>
      <c r="B5395" t="inlineStr">
        <is>
          <t>avverkningsanmälan</t>
        </is>
      </c>
      <c r="C5395" t="inlineStr">
        <is>
          <t>Föryngringsavverkning</t>
        </is>
      </c>
      <c r="D5395" s="1" t="n">
        <v>45091</v>
      </c>
      <c r="E5395" s="1" t="n">
        <v>46323</v>
      </c>
      <c r="F5395" t="inlineStr">
        <is>
          <t>KALMAR LÄN</t>
        </is>
      </c>
      <c r="G5395" t="inlineStr">
        <is>
          <t>NYBRO</t>
        </is>
      </c>
      <c r="I5395" t="n">
        <v>0.4</v>
      </c>
      <c r="J5395" t="n">
        <v>0</v>
      </c>
      <c r="K5395" t="n">
        <v>0</v>
      </c>
      <c r="L5395" t="n">
        <v>0</v>
      </c>
      <c r="M5395" t="n">
        <v>0</v>
      </c>
      <c r="N5395" t="n">
        <v>0</v>
      </c>
      <c r="O5395" t="n">
        <v>0</v>
      </c>
      <c r="P5395" t="n">
        <v>0</v>
      </c>
      <c r="Q5395" t="n">
        <v>0</v>
      </c>
      <c r="R5395" t="n">
        <v>0</v>
      </c>
      <c r="S5395" t="n">
        <v>0</v>
      </c>
      <c r="T5395" t="n">
        <v>0</v>
      </c>
      <c r="U5395" t="n">
        <v>0</v>
      </c>
      <c r="V5395" s="2" t="inlineStr"/>
    </row>
    <row r="5396" ht="15" customHeight="1">
      <c r="A5396" t="inlineStr">
        <is>
          <t>A 45865-2025</t>
        </is>
      </c>
      <c r="B5396" t="inlineStr">
        <is>
          <t>avverkningsanmälan</t>
        </is>
      </c>
      <c r="C5396" t="inlineStr">
        <is>
          <t>Föryngringsavverkning</t>
        </is>
      </c>
      <c r="D5396" s="1" t="n">
        <v>45923</v>
      </c>
      <c r="E5396" s="1" t="n">
        <v>46323</v>
      </c>
      <c r="F5396" t="inlineStr">
        <is>
          <t>KALMAR LÄN</t>
        </is>
      </c>
      <c r="G5396" t="inlineStr">
        <is>
          <t>HULTSFRED</t>
        </is>
      </c>
      <c r="I5396" t="n">
        <v>1</v>
      </c>
      <c r="J5396" t="n">
        <v>0</v>
      </c>
      <c r="K5396" t="n">
        <v>0</v>
      </c>
      <c r="L5396" t="n">
        <v>0</v>
      </c>
      <c r="M5396" t="n">
        <v>0</v>
      </c>
      <c r="N5396" t="n">
        <v>0</v>
      </c>
      <c r="O5396" t="n">
        <v>0</v>
      </c>
      <c r="P5396" t="n">
        <v>0</v>
      </c>
      <c r="Q5396" t="n">
        <v>0</v>
      </c>
      <c r="R5396" t="n">
        <v>0</v>
      </c>
      <c r="S5396" t="n">
        <v>0</v>
      </c>
      <c r="T5396" t="n">
        <v>0</v>
      </c>
      <c r="U5396" t="n">
        <v>0</v>
      </c>
      <c r="V5396" s="2" t="inlineStr"/>
    </row>
    <row r="5397" ht="15" customHeight="1">
      <c r="A5397" t="inlineStr">
        <is>
          <t>A 9867-2025</t>
        </is>
      </c>
      <c r="B5397" t="inlineStr">
        <is>
          <t>avverkningsanmälan</t>
        </is>
      </c>
      <c r="C5397" t="inlineStr">
        <is>
          <t>Föryngringsavverkning</t>
        </is>
      </c>
      <c r="D5397" s="1" t="n">
        <v>45716</v>
      </c>
      <c r="E5397" s="1" t="n">
        <v>46323</v>
      </c>
      <c r="F5397" t="inlineStr">
        <is>
          <t>KALMAR LÄN</t>
        </is>
      </c>
      <c r="G5397" t="inlineStr">
        <is>
          <t>EMMABODA</t>
        </is>
      </c>
      <c r="I5397" t="n">
        <v>3.2</v>
      </c>
      <c r="J5397" t="n">
        <v>0</v>
      </c>
      <c r="K5397" t="n">
        <v>0</v>
      </c>
      <c r="L5397" t="n">
        <v>0</v>
      </c>
      <c r="M5397" t="n">
        <v>0</v>
      </c>
      <c r="N5397" t="n">
        <v>0</v>
      </c>
      <c r="O5397" t="n">
        <v>0</v>
      </c>
      <c r="P5397" t="n">
        <v>0</v>
      </c>
      <c r="Q5397" t="n">
        <v>0</v>
      </c>
      <c r="R5397" t="n">
        <v>0</v>
      </c>
      <c r="S5397" t="n">
        <v>0</v>
      </c>
      <c r="T5397" t="n">
        <v>0</v>
      </c>
      <c r="U5397" t="n">
        <v>0</v>
      </c>
      <c r="V5397" s="2" t="inlineStr"/>
    </row>
    <row r="5398" ht="15" customHeight="1">
      <c r="A5398" t="inlineStr">
        <is>
          <t>A 39736-2025</t>
        </is>
      </c>
      <c r="B5398" t="inlineStr">
        <is>
          <t>avverkningsanmälan</t>
        </is>
      </c>
      <c r="C5398" t="inlineStr">
        <is>
          <t>Föryngringsavverkning</t>
        </is>
      </c>
      <c r="D5398" s="1" t="n">
        <v>45891</v>
      </c>
      <c r="E5398" s="1" t="n">
        <v>46323</v>
      </c>
      <c r="F5398" t="inlineStr">
        <is>
          <t>KALMAR LÄN</t>
        </is>
      </c>
      <c r="G5398" t="inlineStr">
        <is>
          <t>VIMMERBY</t>
        </is>
      </c>
      <c r="I5398" t="n">
        <v>12.8</v>
      </c>
      <c r="J5398" t="n">
        <v>0</v>
      </c>
      <c r="K5398" t="n">
        <v>0</v>
      </c>
      <c r="L5398" t="n">
        <v>0</v>
      </c>
      <c r="M5398" t="n">
        <v>0</v>
      </c>
      <c r="N5398" t="n">
        <v>0</v>
      </c>
      <c r="O5398" t="n">
        <v>0</v>
      </c>
      <c r="P5398" t="n">
        <v>0</v>
      </c>
      <c r="Q5398" t="n">
        <v>0</v>
      </c>
      <c r="R5398" t="n">
        <v>0</v>
      </c>
      <c r="S5398" t="n">
        <v>0</v>
      </c>
      <c r="T5398" t="n">
        <v>0</v>
      </c>
      <c r="U5398" t="n">
        <v>0</v>
      </c>
      <c r="V5398" s="2" t="inlineStr"/>
    </row>
    <row r="5399" ht="15" customHeight="1">
      <c r="A5399" t="inlineStr">
        <is>
          <t>A 58753-2022</t>
        </is>
      </c>
      <c r="B5399" t="inlineStr">
        <is>
          <t>avverkningsanmälan</t>
        </is>
      </c>
      <c r="C5399" t="inlineStr">
        <is>
          <t>Föryngringsavverkning</t>
        </is>
      </c>
      <c r="D5399" s="1" t="n">
        <v>44903</v>
      </c>
      <c r="E5399" s="1" t="n">
        <v>46323</v>
      </c>
      <c r="F5399" t="inlineStr">
        <is>
          <t>KALMAR LÄN</t>
        </is>
      </c>
      <c r="G5399" t="inlineStr">
        <is>
          <t>HÖGSBY</t>
        </is>
      </c>
      <c r="I5399" t="n">
        <v>1</v>
      </c>
      <c r="J5399" t="n">
        <v>0</v>
      </c>
      <c r="K5399" t="n">
        <v>0</v>
      </c>
      <c r="L5399" t="n">
        <v>0</v>
      </c>
      <c r="M5399" t="n">
        <v>0</v>
      </c>
      <c r="N5399" t="n">
        <v>0</v>
      </c>
      <c r="O5399" t="n">
        <v>0</v>
      </c>
      <c r="P5399" t="n">
        <v>0</v>
      </c>
      <c r="Q5399" t="n">
        <v>0</v>
      </c>
      <c r="R5399" t="n">
        <v>0</v>
      </c>
      <c r="S5399" t="n">
        <v>0</v>
      </c>
      <c r="T5399" t="n">
        <v>0</v>
      </c>
      <c r="U5399" t="n">
        <v>0</v>
      </c>
      <c r="V5399" s="2" t="inlineStr"/>
    </row>
    <row r="5400" ht="15" customHeight="1">
      <c r="A5400" t="inlineStr">
        <is>
          <t>A 63483-2025</t>
        </is>
      </c>
      <c r="B5400" t="inlineStr">
        <is>
          <t>avverkningsanmälan</t>
        </is>
      </c>
      <c r="C5400" t="inlineStr">
        <is>
          <t>Föryngringsavverkning</t>
        </is>
      </c>
      <c r="D5400" s="1" t="n">
        <v>46013</v>
      </c>
      <c r="E5400" s="1" t="n">
        <v>46323</v>
      </c>
      <c r="F5400" t="inlineStr">
        <is>
          <t>KALMAR LÄN</t>
        </is>
      </c>
      <c r="G5400" t="inlineStr">
        <is>
          <t>HÖGSBY</t>
        </is>
      </c>
      <c r="I5400" t="n">
        <v>1.8</v>
      </c>
      <c r="J5400" t="n">
        <v>0</v>
      </c>
      <c r="K5400" t="n">
        <v>0</v>
      </c>
      <c r="L5400" t="n">
        <v>0</v>
      </c>
      <c r="M5400" t="n">
        <v>0</v>
      </c>
      <c r="N5400" t="n">
        <v>0</v>
      </c>
      <c r="O5400" t="n">
        <v>0</v>
      </c>
      <c r="P5400" t="n">
        <v>0</v>
      </c>
      <c r="Q5400" t="n">
        <v>0</v>
      </c>
      <c r="R5400" t="n">
        <v>0</v>
      </c>
      <c r="S5400" t="n">
        <v>0</v>
      </c>
      <c r="T5400" t="n">
        <v>0</v>
      </c>
      <c r="U5400" t="n">
        <v>0</v>
      </c>
      <c r="V5400" s="2" t="inlineStr"/>
    </row>
    <row r="5401" ht="15" customHeight="1">
      <c r="A5401" t="inlineStr">
        <is>
          <t>A 35266-2026</t>
        </is>
      </c>
      <c r="B5401" t="inlineStr">
        <is>
          <t>avverkningsanmälan</t>
        </is>
      </c>
      <c r="C5401" t="inlineStr">
        <is>
          <t>Föryngringsavverkning</t>
        </is>
      </c>
      <c r="D5401" s="1" t="n">
        <v>46261</v>
      </c>
      <c r="E5401" s="1" t="n">
        <v>46323</v>
      </c>
      <c r="F5401" t="inlineStr">
        <is>
          <t>KALMAR LÄN</t>
        </is>
      </c>
      <c r="G5401" t="inlineStr">
        <is>
          <t>VÄSTERVIK</t>
        </is>
      </c>
      <c r="H5401" t="inlineStr">
        <is>
          <t>Övriga Aktiebolag</t>
        </is>
      </c>
      <c r="I5401" t="n">
        <v>1.9</v>
      </c>
      <c r="J5401" t="n">
        <v>0</v>
      </c>
      <c r="K5401" t="n">
        <v>0</v>
      </c>
      <c r="L5401" t="n">
        <v>0</v>
      </c>
      <c r="M5401" t="n">
        <v>0</v>
      </c>
      <c r="N5401" t="n">
        <v>0</v>
      </c>
      <c r="O5401" t="n">
        <v>0</v>
      </c>
      <c r="P5401" t="n">
        <v>0</v>
      </c>
      <c r="Q5401" t="n">
        <v>0</v>
      </c>
      <c r="R5401" t="n">
        <v>0</v>
      </c>
      <c r="S5401" t="n">
        <v>0</v>
      </c>
      <c r="T5401" t="n">
        <v>0</v>
      </c>
      <c r="U5401" t="n">
        <v>0</v>
      </c>
      <c r="V5401" s="2" t="inlineStr"/>
    </row>
    <row r="5402" ht="15" customHeight="1">
      <c r="A5402" t="inlineStr">
        <is>
          <t>A 35273-2026</t>
        </is>
      </c>
      <c r="B5402" t="inlineStr">
        <is>
          <t>avverkningsanmälan</t>
        </is>
      </c>
      <c r="C5402" t="inlineStr">
        <is>
          <t>Föryngringsavverkning</t>
        </is>
      </c>
      <c r="D5402" s="1" t="n">
        <v>46261</v>
      </c>
      <c r="E5402" s="1" t="n">
        <v>46323</v>
      </c>
      <c r="F5402" t="inlineStr">
        <is>
          <t>KALMAR LÄN</t>
        </is>
      </c>
      <c r="G5402" t="inlineStr">
        <is>
          <t>VÄSTERVIK</t>
        </is>
      </c>
      <c r="H5402" t="inlineStr">
        <is>
          <t>Övriga Aktiebolag</t>
        </is>
      </c>
      <c r="I5402" t="n">
        <v>2.1</v>
      </c>
      <c r="J5402" t="n">
        <v>0</v>
      </c>
      <c r="K5402" t="n">
        <v>0</v>
      </c>
      <c r="L5402" t="n">
        <v>0</v>
      </c>
      <c r="M5402" t="n">
        <v>0</v>
      </c>
      <c r="N5402" t="n">
        <v>0</v>
      </c>
      <c r="O5402" t="n">
        <v>0</v>
      </c>
      <c r="P5402" t="n">
        <v>0</v>
      </c>
      <c r="Q5402" t="n">
        <v>0</v>
      </c>
      <c r="R5402" t="n">
        <v>0</v>
      </c>
      <c r="S5402" t="n">
        <v>0</v>
      </c>
      <c r="T5402" t="n">
        <v>0</v>
      </c>
      <c r="U5402" t="n">
        <v>0</v>
      </c>
      <c r="V5402" s="2" t="inlineStr"/>
    </row>
    <row r="5403" ht="15" customHeight="1">
      <c r="A5403" t="inlineStr">
        <is>
          <t>A 47946-2023</t>
        </is>
      </c>
      <c r="B5403" t="inlineStr">
        <is>
          <t>avverkningsanmälan</t>
        </is>
      </c>
      <c r="C5403" t="inlineStr">
        <is>
          <t>Föryngringsavverkning</t>
        </is>
      </c>
      <c r="D5403" s="1" t="n">
        <v>45204</v>
      </c>
      <c r="E5403" s="1" t="n">
        <v>46323</v>
      </c>
      <c r="F5403" t="inlineStr">
        <is>
          <t>KALMAR LÄN</t>
        </is>
      </c>
      <c r="G5403" t="inlineStr">
        <is>
          <t>OSKARSHAMN</t>
        </is>
      </c>
      <c r="I5403" t="n">
        <v>2.4</v>
      </c>
      <c r="J5403" t="n">
        <v>0</v>
      </c>
      <c r="K5403" t="n">
        <v>0</v>
      </c>
      <c r="L5403" t="n">
        <v>0</v>
      </c>
      <c r="M5403" t="n">
        <v>0</v>
      </c>
      <c r="N5403" t="n">
        <v>0</v>
      </c>
      <c r="O5403" t="n">
        <v>0</v>
      </c>
      <c r="P5403" t="n">
        <v>0</v>
      </c>
      <c r="Q5403" t="n">
        <v>0</v>
      </c>
      <c r="R5403" t="n">
        <v>0</v>
      </c>
      <c r="S5403" t="n">
        <v>0</v>
      </c>
      <c r="T5403" t="n">
        <v>0</v>
      </c>
      <c r="U5403" t="n">
        <v>0</v>
      </c>
      <c r="V5403" s="2" t="inlineStr"/>
    </row>
    <row r="5404" ht="15" customHeight="1">
      <c r="A5404" t="inlineStr">
        <is>
          <t>A 28217-2025</t>
        </is>
      </c>
      <c r="B5404" t="inlineStr">
        <is>
          <t>avverkningsanmälan</t>
        </is>
      </c>
      <c r="C5404" t="inlineStr">
        <is>
          <t>Föryngringsavverkning</t>
        </is>
      </c>
      <c r="D5404" s="1" t="n">
        <v>45818</v>
      </c>
      <c r="E5404" s="1" t="n">
        <v>46323</v>
      </c>
      <c r="F5404" t="inlineStr">
        <is>
          <t>KALMAR LÄN</t>
        </is>
      </c>
      <c r="G5404" t="inlineStr">
        <is>
          <t>EMMABODA</t>
        </is>
      </c>
      <c r="I5404" t="n">
        <v>7.1</v>
      </c>
      <c r="J5404" t="n">
        <v>0</v>
      </c>
      <c r="K5404" t="n">
        <v>0</v>
      </c>
      <c r="L5404" t="n">
        <v>0</v>
      </c>
      <c r="M5404" t="n">
        <v>0</v>
      </c>
      <c r="N5404" t="n">
        <v>0</v>
      </c>
      <c r="O5404" t="n">
        <v>0</v>
      </c>
      <c r="P5404" t="n">
        <v>0</v>
      </c>
      <c r="Q5404" t="n">
        <v>0</v>
      </c>
      <c r="R5404" t="n">
        <v>0</v>
      </c>
      <c r="S5404" t="n">
        <v>0</v>
      </c>
      <c r="T5404" t="n">
        <v>0</v>
      </c>
      <c r="U5404" t="n">
        <v>0</v>
      </c>
      <c r="V5404" s="2" t="inlineStr"/>
    </row>
    <row r="5405" ht="15" customHeight="1">
      <c r="A5405" t="inlineStr">
        <is>
          <t>A 12937-2022</t>
        </is>
      </c>
      <c r="B5405" t="inlineStr">
        <is>
          <t>avverkningsanmälan</t>
        </is>
      </c>
      <c r="C5405" t="inlineStr">
        <is>
          <t>Föryngringsavverkning</t>
        </is>
      </c>
      <c r="D5405" s="1" t="n">
        <v>44642</v>
      </c>
      <c r="E5405" s="1" t="n">
        <v>46323</v>
      </c>
      <c r="F5405" t="inlineStr">
        <is>
          <t>KALMAR LÄN</t>
        </is>
      </c>
      <c r="G5405" t="inlineStr">
        <is>
          <t>BORGHOLM</t>
        </is>
      </c>
      <c r="H5405" t="inlineStr">
        <is>
          <t>Sveaskog</t>
        </is>
      </c>
      <c r="I5405" t="n">
        <v>1.8</v>
      </c>
      <c r="J5405" t="n">
        <v>0</v>
      </c>
      <c r="K5405" t="n">
        <v>0</v>
      </c>
      <c r="L5405" t="n">
        <v>0</v>
      </c>
      <c r="M5405" t="n">
        <v>0</v>
      </c>
      <c r="N5405" t="n">
        <v>0</v>
      </c>
      <c r="O5405" t="n">
        <v>0</v>
      </c>
      <c r="P5405" t="n">
        <v>0</v>
      </c>
      <c r="Q5405" t="n">
        <v>0</v>
      </c>
      <c r="R5405" t="n">
        <v>0</v>
      </c>
      <c r="S5405" t="n">
        <v>0</v>
      </c>
      <c r="T5405" t="n">
        <v>0</v>
      </c>
      <c r="U5405" t="n">
        <v>0</v>
      </c>
      <c r="V5405" s="2" t="inlineStr"/>
    </row>
    <row r="5406" ht="15" customHeight="1">
      <c r="A5406" t="inlineStr">
        <is>
          <t>A 28979-2024</t>
        </is>
      </c>
      <c r="B5406" t="inlineStr">
        <is>
          <t>avverkningsanmälan</t>
        </is>
      </c>
      <c r="C5406" t="inlineStr">
        <is>
          <t>Föryngringsavverkning</t>
        </is>
      </c>
      <c r="D5406" s="1" t="n">
        <v>45481</v>
      </c>
      <c r="E5406" s="1" t="n">
        <v>46323</v>
      </c>
      <c r="F5406" t="inlineStr">
        <is>
          <t>KALMAR LÄN</t>
        </is>
      </c>
      <c r="G5406" t="inlineStr">
        <is>
          <t>HULTSFRED</t>
        </is>
      </c>
      <c r="I5406" t="n">
        <v>1.4</v>
      </c>
      <c r="J5406" t="n">
        <v>0</v>
      </c>
      <c r="K5406" t="n">
        <v>0</v>
      </c>
      <c r="L5406" t="n">
        <v>0</v>
      </c>
      <c r="M5406" t="n">
        <v>0</v>
      </c>
      <c r="N5406" t="n">
        <v>0</v>
      </c>
      <c r="O5406" t="n">
        <v>0</v>
      </c>
      <c r="P5406" t="n">
        <v>0</v>
      </c>
      <c r="Q5406" t="n">
        <v>0</v>
      </c>
      <c r="R5406" t="n">
        <v>0</v>
      </c>
      <c r="S5406" t="n">
        <v>0</v>
      </c>
      <c r="T5406" t="n">
        <v>0</v>
      </c>
      <c r="U5406" t="n">
        <v>0</v>
      </c>
      <c r="V5406" s="2" t="inlineStr"/>
    </row>
    <row r="5407" ht="15" customHeight="1">
      <c r="A5407" t="inlineStr">
        <is>
          <t>A 27188-2026</t>
        </is>
      </c>
      <c r="B5407" t="inlineStr">
        <is>
          <t>avverkningsanmälan</t>
        </is>
      </c>
      <c r="C5407" t="inlineStr">
        <is>
          <t>Föryngringsavverkning</t>
        </is>
      </c>
      <c r="D5407" s="1" t="n">
        <v>46188</v>
      </c>
      <c r="E5407" s="1" t="n">
        <v>46323</v>
      </c>
      <c r="F5407" t="inlineStr">
        <is>
          <t>KALMAR LÄN</t>
        </is>
      </c>
      <c r="G5407" t="inlineStr">
        <is>
          <t>EMMABODA</t>
        </is>
      </c>
      <c r="I5407" t="n">
        <v>1.9</v>
      </c>
      <c r="J5407" t="n">
        <v>0</v>
      </c>
      <c r="K5407" t="n">
        <v>0</v>
      </c>
      <c r="L5407" t="n">
        <v>0</v>
      </c>
      <c r="M5407" t="n">
        <v>0</v>
      </c>
      <c r="N5407" t="n">
        <v>0</v>
      </c>
      <c r="O5407" t="n">
        <v>0</v>
      </c>
      <c r="P5407" t="n">
        <v>0</v>
      </c>
      <c r="Q5407" t="n">
        <v>0</v>
      </c>
      <c r="R5407" t="n">
        <v>0</v>
      </c>
      <c r="S5407" t="n">
        <v>0</v>
      </c>
      <c r="T5407" t="n">
        <v>0</v>
      </c>
      <c r="U5407" t="n">
        <v>0</v>
      </c>
      <c r="V5407" s="2" t="inlineStr"/>
    </row>
    <row r="5408" ht="15" customHeight="1">
      <c r="A5408" t="inlineStr">
        <is>
          <t>A 11437-2023</t>
        </is>
      </c>
      <c r="B5408" t="inlineStr">
        <is>
          <t>avverkningsanmälan</t>
        </is>
      </c>
      <c r="C5408" t="inlineStr">
        <is>
          <t>Föryngringsavverkning</t>
        </is>
      </c>
      <c r="D5408" s="1" t="n">
        <v>44993</v>
      </c>
      <c r="E5408" s="1" t="n">
        <v>46323</v>
      </c>
      <c r="F5408" t="inlineStr">
        <is>
          <t>KALMAR LÄN</t>
        </is>
      </c>
      <c r="G5408" t="inlineStr">
        <is>
          <t>EMMABODA</t>
        </is>
      </c>
      <c r="I5408" t="n">
        <v>3</v>
      </c>
      <c r="J5408" t="n">
        <v>0</v>
      </c>
      <c r="K5408" t="n">
        <v>0</v>
      </c>
      <c r="L5408" t="n">
        <v>0</v>
      </c>
      <c r="M5408" t="n">
        <v>0</v>
      </c>
      <c r="N5408" t="n">
        <v>0</v>
      </c>
      <c r="O5408" t="n">
        <v>0</v>
      </c>
      <c r="P5408" t="n">
        <v>0</v>
      </c>
      <c r="Q5408" t="n">
        <v>0</v>
      </c>
      <c r="R5408" t="n">
        <v>0</v>
      </c>
      <c r="S5408" t="n">
        <v>0</v>
      </c>
      <c r="T5408" t="n">
        <v>0</v>
      </c>
      <c r="U5408" t="n">
        <v>0</v>
      </c>
      <c r="V5408" s="2" t="inlineStr"/>
    </row>
    <row r="5409" ht="15" customHeight="1">
      <c r="A5409" t="inlineStr">
        <is>
          <t>A 47776-2025</t>
        </is>
      </c>
      <c r="B5409" t="inlineStr">
        <is>
          <t>avverkningsanmälan</t>
        </is>
      </c>
      <c r="C5409" t="inlineStr">
        <is>
          <t>Föryngringsavverkning</t>
        </is>
      </c>
      <c r="D5409" s="1" t="n">
        <v>45931</v>
      </c>
      <c r="E5409" s="1" t="n">
        <v>46323</v>
      </c>
      <c r="F5409" t="inlineStr">
        <is>
          <t>KALMAR LÄN</t>
        </is>
      </c>
      <c r="G5409" t="inlineStr">
        <is>
          <t>VÄSTERVIK</t>
        </is>
      </c>
      <c r="I5409" t="n">
        <v>1</v>
      </c>
      <c r="J5409" t="n">
        <v>0</v>
      </c>
      <c r="K5409" t="n">
        <v>0</v>
      </c>
      <c r="L5409" t="n">
        <v>0</v>
      </c>
      <c r="M5409" t="n">
        <v>0</v>
      </c>
      <c r="N5409" t="n">
        <v>0</v>
      </c>
      <c r="O5409" t="n">
        <v>0</v>
      </c>
      <c r="P5409" t="n">
        <v>0</v>
      </c>
      <c r="Q5409" t="n">
        <v>0</v>
      </c>
      <c r="R5409" t="n">
        <v>0</v>
      </c>
      <c r="S5409" t="n">
        <v>0</v>
      </c>
      <c r="T5409" t="n">
        <v>0</v>
      </c>
      <c r="U5409" t="n">
        <v>0</v>
      </c>
      <c r="V5409" s="2" t="inlineStr"/>
    </row>
    <row r="5410" ht="15" customHeight="1">
      <c r="A5410" t="inlineStr">
        <is>
          <t>A 18437-2024</t>
        </is>
      </c>
      <c r="B5410" t="inlineStr">
        <is>
          <t>avverkningsanmälan</t>
        </is>
      </c>
      <c r="C5410" t="inlineStr">
        <is>
          <t>Föryngringsavverkning</t>
        </is>
      </c>
      <c r="D5410" s="1" t="n">
        <v>45425</v>
      </c>
      <c r="E5410" s="1" t="n">
        <v>46323</v>
      </c>
      <c r="F5410" t="inlineStr">
        <is>
          <t>KALMAR LÄN</t>
        </is>
      </c>
      <c r="G5410" t="inlineStr">
        <is>
          <t>TORSÅS</t>
        </is>
      </c>
      <c r="I5410" t="n">
        <v>2.1</v>
      </c>
      <c r="J5410" t="n">
        <v>0</v>
      </c>
      <c r="K5410" t="n">
        <v>0</v>
      </c>
      <c r="L5410" t="n">
        <v>0</v>
      </c>
      <c r="M5410" t="n">
        <v>0</v>
      </c>
      <c r="N5410" t="n">
        <v>0</v>
      </c>
      <c r="O5410" t="n">
        <v>0</v>
      </c>
      <c r="P5410" t="n">
        <v>0</v>
      </c>
      <c r="Q5410" t="n">
        <v>0</v>
      </c>
      <c r="R5410" t="n">
        <v>0</v>
      </c>
      <c r="S5410" t="n">
        <v>0</v>
      </c>
      <c r="T5410" t="n">
        <v>0</v>
      </c>
      <c r="U5410" t="n">
        <v>0</v>
      </c>
      <c r="V5410" s="2" t="inlineStr"/>
    </row>
    <row r="5411" ht="15" customHeight="1">
      <c r="A5411" t="inlineStr">
        <is>
          <t>A 30633-2024</t>
        </is>
      </c>
      <c r="B5411" t="inlineStr">
        <is>
          <t>avverkningsanmälan</t>
        </is>
      </c>
      <c r="C5411" t="inlineStr">
        <is>
          <t>Föryngringsavverkning</t>
        </is>
      </c>
      <c r="D5411" s="1" t="n">
        <v>45495</v>
      </c>
      <c r="E5411" s="1" t="n">
        <v>46323</v>
      </c>
      <c r="F5411" t="inlineStr">
        <is>
          <t>KALMAR LÄN</t>
        </is>
      </c>
      <c r="G5411" t="inlineStr">
        <is>
          <t>VIMMERBY</t>
        </is>
      </c>
      <c r="I5411" t="n">
        <v>0.5</v>
      </c>
      <c r="J5411" t="n">
        <v>0</v>
      </c>
      <c r="K5411" t="n">
        <v>0</v>
      </c>
      <c r="L5411" t="n">
        <v>0</v>
      </c>
      <c r="M5411" t="n">
        <v>0</v>
      </c>
      <c r="N5411" t="n">
        <v>0</v>
      </c>
      <c r="O5411" t="n">
        <v>0</v>
      </c>
      <c r="P5411" t="n">
        <v>0</v>
      </c>
      <c r="Q5411" t="n">
        <v>0</v>
      </c>
      <c r="R5411" t="n">
        <v>0</v>
      </c>
      <c r="S5411" t="n">
        <v>0</v>
      </c>
      <c r="T5411" t="n">
        <v>0</v>
      </c>
      <c r="U5411" t="n">
        <v>0</v>
      </c>
      <c r="V5411" s="2" t="inlineStr"/>
    </row>
    <row r="5412" ht="15" customHeight="1">
      <c r="A5412" t="inlineStr">
        <is>
          <t>A 35635-2025</t>
        </is>
      </c>
      <c r="B5412" t="inlineStr">
        <is>
          <t>avverkningsanmälan</t>
        </is>
      </c>
      <c r="C5412" t="inlineStr">
        <is>
          <t>Föryngringsavverkning</t>
        </is>
      </c>
      <c r="D5412" s="1" t="n">
        <v>45859</v>
      </c>
      <c r="E5412" s="1" t="n">
        <v>46323</v>
      </c>
      <c r="F5412" t="inlineStr">
        <is>
          <t>KALMAR LÄN</t>
        </is>
      </c>
      <c r="G5412" t="inlineStr">
        <is>
          <t>NYBRO</t>
        </is>
      </c>
      <c r="I5412" t="n">
        <v>2.7</v>
      </c>
      <c r="J5412" t="n">
        <v>0</v>
      </c>
      <c r="K5412" t="n">
        <v>0</v>
      </c>
      <c r="L5412" t="n">
        <v>0</v>
      </c>
      <c r="M5412" t="n">
        <v>0</v>
      </c>
      <c r="N5412" t="n">
        <v>0</v>
      </c>
      <c r="O5412" t="n">
        <v>0</v>
      </c>
      <c r="P5412" t="n">
        <v>0</v>
      </c>
      <c r="Q5412" t="n">
        <v>0</v>
      </c>
      <c r="R5412" t="n">
        <v>0</v>
      </c>
      <c r="S5412" t="n">
        <v>0</v>
      </c>
      <c r="T5412" t="n">
        <v>0</v>
      </c>
      <c r="U5412" t="n">
        <v>0</v>
      </c>
      <c r="V5412" s="2" t="inlineStr"/>
    </row>
    <row r="5413" ht="15" customHeight="1">
      <c r="A5413" t="inlineStr">
        <is>
          <t>A 21801-2026</t>
        </is>
      </c>
      <c r="B5413" t="inlineStr">
        <is>
          <t>avverkningsanmälan</t>
        </is>
      </c>
      <c r="C5413" t="inlineStr">
        <is>
          <t>Föryngringsavverkning</t>
        </is>
      </c>
      <c r="D5413" s="1" t="n">
        <v>46150</v>
      </c>
      <c r="E5413" s="1" t="n">
        <v>46323</v>
      </c>
      <c r="F5413" t="inlineStr">
        <is>
          <t>KALMAR LÄN</t>
        </is>
      </c>
      <c r="G5413" t="inlineStr">
        <is>
          <t>HÖGSBY</t>
        </is>
      </c>
      <c r="H5413" t="inlineStr">
        <is>
          <t>Kommuner</t>
        </is>
      </c>
      <c r="I5413" t="n">
        <v>2</v>
      </c>
      <c r="J5413" t="n">
        <v>0</v>
      </c>
      <c r="K5413" t="n">
        <v>0</v>
      </c>
      <c r="L5413" t="n">
        <v>0</v>
      </c>
      <c r="M5413" t="n">
        <v>0</v>
      </c>
      <c r="N5413" t="n">
        <v>0</v>
      </c>
      <c r="O5413" t="n">
        <v>0</v>
      </c>
      <c r="P5413" t="n">
        <v>0</v>
      </c>
      <c r="Q5413" t="n">
        <v>0</v>
      </c>
      <c r="R5413" t="n">
        <v>0</v>
      </c>
      <c r="S5413" t="n">
        <v>0</v>
      </c>
      <c r="T5413" t="n">
        <v>0</v>
      </c>
      <c r="U5413" t="n">
        <v>0</v>
      </c>
      <c r="V5413" s="2" t="inlineStr"/>
    </row>
    <row r="5414" ht="15" customHeight="1">
      <c r="A5414" t="inlineStr">
        <is>
          <t>A 18045-2023</t>
        </is>
      </c>
      <c r="B5414" t="inlineStr">
        <is>
          <t>avverkningsanmälan</t>
        </is>
      </c>
      <c r="C5414" t="inlineStr">
        <is>
          <t>Föryngringsavverkning</t>
        </is>
      </c>
      <c r="D5414" s="1" t="n">
        <v>45040</v>
      </c>
      <c r="E5414" s="1" t="n">
        <v>46323</v>
      </c>
      <c r="F5414" t="inlineStr">
        <is>
          <t>KALMAR LÄN</t>
        </is>
      </c>
      <c r="G5414" t="inlineStr">
        <is>
          <t>TORSÅS</t>
        </is>
      </c>
      <c r="I5414" t="n">
        <v>3</v>
      </c>
      <c r="J5414" t="n">
        <v>0</v>
      </c>
      <c r="K5414" t="n">
        <v>0</v>
      </c>
      <c r="L5414" t="n">
        <v>0</v>
      </c>
      <c r="M5414" t="n">
        <v>0</v>
      </c>
      <c r="N5414" t="n">
        <v>0</v>
      </c>
      <c r="O5414" t="n">
        <v>0</v>
      </c>
      <c r="P5414" t="n">
        <v>0</v>
      </c>
      <c r="Q5414" t="n">
        <v>0</v>
      </c>
      <c r="R5414" t="n">
        <v>0</v>
      </c>
      <c r="S5414" t="n">
        <v>0</v>
      </c>
      <c r="T5414" t="n">
        <v>0</v>
      </c>
      <c r="U5414" t="n">
        <v>0</v>
      </c>
      <c r="V5414" s="2" t="inlineStr"/>
    </row>
    <row r="5415" ht="15" customHeight="1">
      <c r="A5415" t="inlineStr">
        <is>
          <t>A 23887-2025</t>
        </is>
      </c>
      <c r="B5415" t="inlineStr">
        <is>
          <t>avverkningsanmälan</t>
        </is>
      </c>
      <c r="C5415" t="inlineStr">
        <is>
          <t>Föryngringsavverkning</t>
        </is>
      </c>
      <c r="D5415" s="1" t="n">
        <v>45793</v>
      </c>
      <c r="E5415" s="1" t="n">
        <v>46323</v>
      </c>
      <c r="F5415" t="inlineStr">
        <is>
          <t>KALMAR LÄN</t>
        </is>
      </c>
      <c r="G5415" t="inlineStr">
        <is>
          <t>HÖGSBY</t>
        </is>
      </c>
      <c r="I5415" t="n">
        <v>1.4</v>
      </c>
      <c r="J5415" t="n">
        <v>0</v>
      </c>
      <c r="K5415" t="n">
        <v>0</v>
      </c>
      <c r="L5415" t="n">
        <v>0</v>
      </c>
      <c r="M5415" t="n">
        <v>0</v>
      </c>
      <c r="N5415" t="n">
        <v>0</v>
      </c>
      <c r="O5415" t="n">
        <v>0</v>
      </c>
      <c r="P5415" t="n">
        <v>0</v>
      </c>
      <c r="Q5415" t="n">
        <v>0</v>
      </c>
      <c r="R5415" t="n">
        <v>0</v>
      </c>
      <c r="S5415" t="n">
        <v>0</v>
      </c>
      <c r="T5415" t="n">
        <v>0</v>
      </c>
      <c r="U5415" t="n">
        <v>0</v>
      </c>
      <c r="V5415" s="2" t="inlineStr"/>
    </row>
    <row r="5416" ht="15" customHeight="1">
      <c r="A5416" t="inlineStr">
        <is>
          <t>A 29727-2025</t>
        </is>
      </c>
      <c r="B5416" t="inlineStr">
        <is>
          <t>avverkningsanmälan</t>
        </is>
      </c>
      <c r="C5416" t="inlineStr">
        <is>
          <t>Föryngringsavverkning</t>
        </is>
      </c>
      <c r="D5416" s="1" t="n">
        <v>45825</v>
      </c>
      <c r="E5416" s="1" t="n">
        <v>46323</v>
      </c>
      <c r="F5416" t="inlineStr">
        <is>
          <t>KALMAR LÄN</t>
        </is>
      </c>
      <c r="G5416" t="inlineStr">
        <is>
          <t>VIMMERBY</t>
        </is>
      </c>
      <c r="I5416" t="n">
        <v>1.3</v>
      </c>
      <c r="J5416" t="n">
        <v>0</v>
      </c>
      <c r="K5416" t="n">
        <v>0</v>
      </c>
      <c r="L5416" t="n">
        <v>0</v>
      </c>
      <c r="M5416" t="n">
        <v>0</v>
      </c>
      <c r="N5416" t="n">
        <v>0</v>
      </c>
      <c r="O5416" t="n">
        <v>0</v>
      </c>
      <c r="P5416" t="n">
        <v>0</v>
      </c>
      <c r="Q5416" t="n">
        <v>0</v>
      </c>
      <c r="R5416" t="n">
        <v>0</v>
      </c>
      <c r="S5416" t="n">
        <v>0</v>
      </c>
      <c r="T5416" t="n">
        <v>0</v>
      </c>
      <c r="U5416" t="n">
        <v>0</v>
      </c>
      <c r="V5416" s="2" t="inlineStr"/>
    </row>
    <row r="5417" ht="15" customHeight="1">
      <c r="A5417" t="inlineStr">
        <is>
          <t>A 33424-2023</t>
        </is>
      </c>
      <c r="B5417" t="inlineStr">
        <is>
          <t>avverkningsanmälan</t>
        </is>
      </c>
      <c r="C5417" t="inlineStr">
        <is>
          <t>Föryngringsavverkning</t>
        </is>
      </c>
      <c r="D5417" s="1" t="n">
        <v>45128</v>
      </c>
      <c r="E5417" s="1" t="n">
        <v>46323</v>
      </c>
      <c r="F5417" t="inlineStr">
        <is>
          <t>KALMAR LÄN</t>
        </is>
      </c>
      <c r="G5417" t="inlineStr">
        <is>
          <t>VIMMERBY</t>
        </is>
      </c>
      <c r="I5417" t="n">
        <v>2.4</v>
      </c>
      <c r="J5417" t="n">
        <v>0</v>
      </c>
      <c r="K5417" t="n">
        <v>0</v>
      </c>
      <c r="L5417" t="n">
        <v>0</v>
      </c>
      <c r="M5417" t="n">
        <v>0</v>
      </c>
      <c r="N5417" t="n">
        <v>0</v>
      </c>
      <c r="O5417" t="n">
        <v>0</v>
      </c>
      <c r="P5417" t="n">
        <v>0</v>
      </c>
      <c r="Q5417" t="n">
        <v>0</v>
      </c>
      <c r="R5417" t="n">
        <v>0</v>
      </c>
      <c r="S5417" t="n">
        <v>0</v>
      </c>
      <c r="T5417" t="n">
        <v>0</v>
      </c>
      <c r="U5417" t="n">
        <v>0</v>
      </c>
      <c r="V5417" s="2" t="inlineStr"/>
    </row>
    <row r="5418" ht="15" customHeight="1">
      <c r="A5418" t="inlineStr">
        <is>
          <t>A 33425-2023</t>
        </is>
      </c>
      <c r="B5418" t="inlineStr">
        <is>
          <t>avverkningsanmälan</t>
        </is>
      </c>
      <c r="C5418" t="inlineStr">
        <is>
          <t>Föryngringsavverkning</t>
        </is>
      </c>
      <c r="D5418" s="1" t="n">
        <v>45128</v>
      </c>
      <c r="E5418" s="1" t="n">
        <v>46323</v>
      </c>
      <c r="F5418" t="inlineStr">
        <is>
          <t>KALMAR LÄN</t>
        </is>
      </c>
      <c r="G5418" t="inlineStr">
        <is>
          <t>VIMMERBY</t>
        </is>
      </c>
      <c r="I5418" t="n">
        <v>1.4</v>
      </c>
      <c r="J5418" t="n">
        <v>0</v>
      </c>
      <c r="K5418" t="n">
        <v>0</v>
      </c>
      <c r="L5418" t="n">
        <v>0</v>
      </c>
      <c r="M5418" t="n">
        <v>0</v>
      </c>
      <c r="N5418" t="n">
        <v>0</v>
      </c>
      <c r="O5418" t="n">
        <v>0</v>
      </c>
      <c r="P5418" t="n">
        <v>0</v>
      </c>
      <c r="Q5418" t="n">
        <v>0</v>
      </c>
      <c r="R5418" t="n">
        <v>0</v>
      </c>
      <c r="S5418" t="n">
        <v>0</v>
      </c>
      <c r="T5418" t="n">
        <v>0</v>
      </c>
      <c r="U5418" t="n">
        <v>0</v>
      </c>
      <c r="V5418" s="2" t="inlineStr"/>
    </row>
    <row r="5419" ht="15" customHeight="1">
      <c r="A5419" t="inlineStr">
        <is>
          <t>A 51724-2025</t>
        </is>
      </c>
      <c r="B5419" t="inlineStr">
        <is>
          <t>avverkningsanmälan</t>
        </is>
      </c>
      <c r="C5419" t="inlineStr">
        <is>
          <t>Föryngringsavverkning</t>
        </is>
      </c>
      <c r="D5419" s="1" t="n">
        <v>45951</v>
      </c>
      <c r="E5419" s="1" t="n">
        <v>46323</v>
      </c>
      <c r="F5419" t="inlineStr">
        <is>
          <t>KALMAR LÄN</t>
        </is>
      </c>
      <c r="G5419" t="inlineStr">
        <is>
          <t>HÖGSBY</t>
        </is>
      </c>
      <c r="I5419" t="n">
        <v>2</v>
      </c>
      <c r="J5419" t="n">
        <v>0</v>
      </c>
      <c r="K5419" t="n">
        <v>0</v>
      </c>
      <c r="L5419" t="n">
        <v>0</v>
      </c>
      <c r="M5419" t="n">
        <v>0</v>
      </c>
      <c r="N5419" t="n">
        <v>0</v>
      </c>
      <c r="O5419" t="n">
        <v>0</v>
      </c>
      <c r="P5419" t="n">
        <v>0</v>
      </c>
      <c r="Q5419" t="n">
        <v>0</v>
      </c>
      <c r="R5419" t="n">
        <v>0</v>
      </c>
      <c r="S5419" t="n">
        <v>0</v>
      </c>
      <c r="T5419" t="n">
        <v>0</v>
      </c>
      <c r="U5419" t="n">
        <v>0</v>
      </c>
      <c r="V5419" s="2" t="inlineStr"/>
    </row>
    <row r="5420" ht="15" customHeight="1">
      <c r="A5420" t="inlineStr">
        <is>
          <t>A 29783-2024</t>
        </is>
      </c>
      <c r="B5420" t="inlineStr">
        <is>
          <t>avverkningsanmälan</t>
        </is>
      </c>
      <c r="C5420" t="inlineStr">
        <is>
          <t>Föryngringsavverkning</t>
        </is>
      </c>
      <c r="D5420" s="1" t="n">
        <v>45485</v>
      </c>
      <c r="E5420" s="1" t="n">
        <v>46323</v>
      </c>
      <c r="F5420" t="inlineStr">
        <is>
          <t>KALMAR LÄN</t>
        </is>
      </c>
      <c r="G5420" t="inlineStr">
        <is>
          <t>VIMMERBY</t>
        </is>
      </c>
      <c r="I5420" t="n">
        <v>3.1</v>
      </c>
      <c r="J5420" t="n">
        <v>0</v>
      </c>
      <c r="K5420" t="n">
        <v>0</v>
      </c>
      <c r="L5420" t="n">
        <v>0</v>
      </c>
      <c r="M5420" t="n">
        <v>0</v>
      </c>
      <c r="N5420" t="n">
        <v>0</v>
      </c>
      <c r="O5420" t="n">
        <v>0</v>
      </c>
      <c r="P5420" t="n">
        <v>0</v>
      </c>
      <c r="Q5420" t="n">
        <v>0</v>
      </c>
      <c r="R5420" t="n">
        <v>0</v>
      </c>
      <c r="S5420" t="n">
        <v>0</v>
      </c>
      <c r="T5420" t="n">
        <v>0</v>
      </c>
      <c r="U5420" t="n">
        <v>0</v>
      </c>
      <c r="V5420" s="2" t="inlineStr"/>
    </row>
    <row r="5421" ht="15" customHeight="1">
      <c r="A5421" t="inlineStr">
        <is>
          <t>A 46118-2025</t>
        </is>
      </c>
      <c r="B5421" t="inlineStr">
        <is>
          <t>avverkningsanmälan</t>
        </is>
      </c>
      <c r="C5421" t="inlineStr">
        <is>
          <t>Föryngringsavverkning</t>
        </is>
      </c>
      <c r="D5421" s="1" t="n">
        <v>45924</v>
      </c>
      <c r="E5421" s="1" t="n">
        <v>46323</v>
      </c>
      <c r="F5421" t="inlineStr">
        <is>
          <t>KALMAR LÄN</t>
        </is>
      </c>
      <c r="G5421" t="inlineStr">
        <is>
          <t>VIMMERBY</t>
        </is>
      </c>
      <c r="I5421" t="n">
        <v>2.9</v>
      </c>
      <c r="J5421" t="n">
        <v>0</v>
      </c>
      <c r="K5421" t="n">
        <v>0</v>
      </c>
      <c r="L5421" t="n">
        <v>0</v>
      </c>
      <c r="M5421" t="n">
        <v>0</v>
      </c>
      <c r="N5421" t="n">
        <v>0</v>
      </c>
      <c r="O5421" t="n">
        <v>0</v>
      </c>
      <c r="P5421" t="n">
        <v>0</v>
      </c>
      <c r="Q5421" t="n">
        <v>0</v>
      </c>
      <c r="R5421" t="n">
        <v>0</v>
      </c>
      <c r="S5421" t="n">
        <v>0</v>
      </c>
      <c r="T5421" t="n">
        <v>0</v>
      </c>
      <c r="U5421" t="n">
        <v>0</v>
      </c>
      <c r="V5421" s="2" t="inlineStr"/>
    </row>
    <row r="5422" ht="15" customHeight="1">
      <c r="A5422" t="inlineStr">
        <is>
          <t>A 62204-2022</t>
        </is>
      </c>
      <c r="B5422" t="inlineStr">
        <is>
          <t>avverkningsanmälan</t>
        </is>
      </c>
      <c r="C5422" t="inlineStr">
        <is>
          <t>Föryngringsavverkning</t>
        </is>
      </c>
      <c r="D5422" s="1" t="n">
        <v>44922</v>
      </c>
      <c r="E5422" s="1" t="n">
        <v>46323</v>
      </c>
      <c r="F5422" t="inlineStr">
        <is>
          <t>KALMAR LÄN</t>
        </is>
      </c>
      <c r="G5422" t="inlineStr">
        <is>
          <t>MÖNSTERÅS</t>
        </is>
      </c>
      <c r="I5422" t="n">
        <v>5.7</v>
      </c>
      <c r="J5422" t="n">
        <v>0</v>
      </c>
      <c r="K5422" t="n">
        <v>0</v>
      </c>
      <c r="L5422" t="n">
        <v>0</v>
      </c>
      <c r="M5422" t="n">
        <v>0</v>
      </c>
      <c r="N5422" t="n">
        <v>0</v>
      </c>
      <c r="O5422" t="n">
        <v>0</v>
      </c>
      <c r="P5422" t="n">
        <v>0</v>
      </c>
      <c r="Q5422" t="n">
        <v>0</v>
      </c>
      <c r="R5422" t="n">
        <v>0</v>
      </c>
      <c r="S5422" t="n">
        <v>0</v>
      </c>
      <c r="T5422" t="n">
        <v>0</v>
      </c>
      <c r="U5422" t="n">
        <v>0</v>
      </c>
      <c r="V5422" s="2" t="inlineStr"/>
    </row>
    <row r="5423" ht="15" customHeight="1">
      <c r="A5423" t="inlineStr">
        <is>
          <t>A 25948-2025</t>
        </is>
      </c>
      <c r="B5423" t="inlineStr">
        <is>
          <t>avverkningsanmälan</t>
        </is>
      </c>
      <c r="C5423" t="inlineStr">
        <is>
          <t>Föryngringsavverkning</t>
        </is>
      </c>
      <c r="D5423" s="1" t="n">
        <v>45804</v>
      </c>
      <c r="E5423" s="1" t="n">
        <v>46323</v>
      </c>
      <c r="F5423" t="inlineStr">
        <is>
          <t>KALMAR LÄN</t>
        </is>
      </c>
      <c r="G5423" t="inlineStr">
        <is>
          <t>HÖGSBY</t>
        </is>
      </c>
      <c r="I5423" t="n">
        <v>1.3</v>
      </c>
      <c r="J5423" t="n">
        <v>0</v>
      </c>
      <c r="K5423" t="n">
        <v>0</v>
      </c>
      <c r="L5423" t="n">
        <v>0</v>
      </c>
      <c r="M5423" t="n">
        <v>0</v>
      </c>
      <c r="N5423" t="n">
        <v>0</v>
      </c>
      <c r="O5423" t="n">
        <v>0</v>
      </c>
      <c r="P5423" t="n">
        <v>0</v>
      </c>
      <c r="Q5423" t="n">
        <v>0</v>
      </c>
      <c r="R5423" t="n">
        <v>0</v>
      </c>
      <c r="S5423" t="n">
        <v>0</v>
      </c>
      <c r="T5423" t="n">
        <v>0</v>
      </c>
      <c r="U5423" t="n">
        <v>0</v>
      </c>
      <c r="V5423" s="2" t="inlineStr"/>
    </row>
    <row r="5424" ht="15" customHeight="1">
      <c r="A5424" t="inlineStr">
        <is>
          <t>A 27304-2025</t>
        </is>
      </c>
      <c r="B5424" t="inlineStr">
        <is>
          <t>avverkningsanmälan</t>
        </is>
      </c>
      <c r="C5424" t="inlineStr">
        <is>
          <t>Föryngringsavverkning</t>
        </is>
      </c>
      <c r="D5424" s="1" t="n">
        <v>45812</v>
      </c>
      <c r="E5424" s="1" t="n">
        <v>46323</v>
      </c>
      <c r="F5424" t="inlineStr">
        <is>
          <t>KALMAR LÄN</t>
        </is>
      </c>
      <c r="G5424" t="inlineStr">
        <is>
          <t>HULTSFRED</t>
        </is>
      </c>
      <c r="I5424" t="n">
        <v>1</v>
      </c>
      <c r="J5424" t="n">
        <v>0</v>
      </c>
      <c r="K5424" t="n">
        <v>0</v>
      </c>
      <c r="L5424" t="n">
        <v>0</v>
      </c>
      <c r="M5424" t="n">
        <v>0</v>
      </c>
      <c r="N5424" t="n">
        <v>0</v>
      </c>
      <c r="O5424" t="n">
        <v>0</v>
      </c>
      <c r="P5424" t="n">
        <v>0</v>
      </c>
      <c r="Q5424" t="n">
        <v>0</v>
      </c>
      <c r="R5424" t="n">
        <v>0</v>
      </c>
      <c r="S5424" t="n">
        <v>0</v>
      </c>
      <c r="T5424" t="n">
        <v>0</v>
      </c>
      <c r="U5424" t="n">
        <v>0</v>
      </c>
      <c r="V5424" s="2" t="inlineStr"/>
    </row>
    <row r="5425" ht="15" customHeight="1">
      <c r="A5425" t="inlineStr">
        <is>
          <t>A 2357-2025</t>
        </is>
      </c>
      <c r="B5425" t="inlineStr">
        <is>
          <t>avverkningsanmälan</t>
        </is>
      </c>
      <c r="C5425" t="inlineStr">
        <is>
          <t>Föryngringsavverkning</t>
        </is>
      </c>
      <c r="D5425" s="1" t="n">
        <v>45673</v>
      </c>
      <c r="E5425" s="1" t="n">
        <v>46323</v>
      </c>
      <c r="F5425" t="inlineStr">
        <is>
          <t>KALMAR LÄN</t>
        </is>
      </c>
      <c r="G5425" t="inlineStr">
        <is>
          <t>VÄSTERVIK</t>
        </is>
      </c>
      <c r="I5425" t="n">
        <v>2.6</v>
      </c>
      <c r="J5425" t="n">
        <v>0</v>
      </c>
      <c r="K5425" t="n">
        <v>0</v>
      </c>
      <c r="L5425" t="n">
        <v>0</v>
      </c>
      <c r="M5425" t="n">
        <v>0</v>
      </c>
      <c r="N5425" t="n">
        <v>0</v>
      </c>
      <c r="O5425" t="n">
        <v>0</v>
      </c>
      <c r="P5425" t="n">
        <v>0</v>
      </c>
      <c r="Q5425" t="n">
        <v>0</v>
      </c>
      <c r="R5425" t="n">
        <v>0</v>
      </c>
      <c r="S5425" t="n">
        <v>0</v>
      </c>
      <c r="T5425" t="n">
        <v>0</v>
      </c>
      <c r="U5425" t="n">
        <v>0</v>
      </c>
      <c r="V5425" s="2" t="inlineStr"/>
    </row>
    <row r="5426" ht="15" customHeight="1">
      <c r="A5426" t="inlineStr">
        <is>
          <t>A 9269-2025</t>
        </is>
      </c>
      <c r="B5426" t="inlineStr">
        <is>
          <t>avverkningsanmälan</t>
        </is>
      </c>
      <c r="C5426" t="inlineStr">
        <is>
          <t>Föryngringsavverkning</t>
        </is>
      </c>
      <c r="D5426" s="1" t="n">
        <v>45714</v>
      </c>
      <c r="E5426" s="1" t="n">
        <v>46323</v>
      </c>
      <c r="F5426" t="inlineStr">
        <is>
          <t>KALMAR LÄN</t>
        </is>
      </c>
      <c r="G5426" t="inlineStr">
        <is>
          <t>VÄSTERVIK</t>
        </is>
      </c>
      <c r="H5426" t="inlineStr">
        <is>
          <t>Sveaskog</t>
        </is>
      </c>
      <c r="I5426" t="n">
        <v>2.8</v>
      </c>
      <c r="J5426" t="n">
        <v>0</v>
      </c>
      <c r="K5426" t="n">
        <v>0</v>
      </c>
      <c r="L5426" t="n">
        <v>0</v>
      </c>
      <c r="M5426" t="n">
        <v>0</v>
      </c>
      <c r="N5426" t="n">
        <v>0</v>
      </c>
      <c r="O5426" t="n">
        <v>0</v>
      </c>
      <c r="P5426" t="n">
        <v>0</v>
      </c>
      <c r="Q5426" t="n">
        <v>0</v>
      </c>
      <c r="R5426" t="n">
        <v>0</v>
      </c>
      <c r="S5426" t="n">
        <v>0</v>
      </c>
      <c r="T5426" t="n">
        <v>0</v>
      </c>
      <c r="U5426" t="n">
        <v>0</v>
      </c>
      <c r="V5426" s="2" t="inlineStr"/>
    </row>
    <row r="5427" ht="15" customHeight="1">
      <c r="A5427" t="inlineStr">
        <is>
          <t>A 47726-2025</t>
        </is>
      </c>
      <c r="B5427" t="inlineStr">
        <is>
          <t>avverkningsanmälan</t>
        </is>
      </c>
      <c r="C5427" t="inlineStr">
        <is>
          <t>Föryngringsavverkning</t>
        </is>
      </c>
      <c r="D5427" s="1" t="n">
        <v>45931</v>
      </c>
      <c r="E5427" s="1" t="n">
        <v>46323</v>
      </c>
      <c r="F5427" t="inlineStr">
        <is>
          <t>KALMAR LÄN</t>
        </is>
      </c>
      <c r="G5427" t="inlineStr">
        <is>
          <t>HULTSFRED</t>
        </is>
      </c>
      <c r="I5427" t="n">
        <v>1.3</v>
      </c>
      <c r="J5427" t="n">
        <v>0</v>
      </c>
      <c r="K5427" t="n">
        <v>0</v>
      </c>
      <c r="L5427" t="n">
        <v>0</v>
      </c>
      <c r="M5427" t="n">
        <v>0</v>
      </c>
      <c r="N5427" t="n">
        <v>0</v>
      </c>
      <c r="O5427" t="n">
        <v>0</v>
      </c>
      <c r="P5427" t="n">
        <v>0</v>
      </c>
      <c r="Q5427" t="n">
        <v>0</v>
      </c>
      <c r="R5427" t="n">
        <v>0</v>
      </c>
      <c r="S5427" t="n">
        <v>0</v>
      </c>
      <c r="T5427" t="n">
        <v>0</v>
      </c>
      <c r="U5427" t="n">
        <v>0</v>
      </c>
      <c r="V5427" s="2" t="inlineStr"/>
    </row>
    <row r="5428" ht="15" customHeight="1">
      <c r="A5428" t="inlineStr">
        <is>
          <t>A 41835-2026</t>
        </is>
      </c>
      <c r="B5428" t="inlineStr">
        <is>
          <t>avverkningsanmälan</t>
        </is>
      </c>
      <c r="C5428" t="inlineStr">
        <is>
          <t>Föryngringsavverkning</t>
        </is>
      </c>
      <c r="D5428" s="1" t="n">
        <v>46303</v>
      </c>
      <c r="E5428" s="1" t="n">
        <v>46323</v>
      </c>
      <c r="F5428" t="inlineStr">
        <is>
          <t>KALMAR LÄN</t>
        </is>
      </c>
      <c r="G5428" t="inlineStr">
        <is>
          <t>VIMMERBY</t>
        </is>
      </c>
      <c r="I5428" t="n">
        <v>0.8</v>
      </c>
      <c r="J5428" t="n">
        <v>0</v>
      </c>
      <c r="K5428" t="n">
        <v>0</v>
      </c>
      <c r="L5428" t="n">
        <v>0</v>
      </c>
      <c r="M5428" t="n">
        <v>0</v>
      </c>
      <c r="N5428" t="n">
        <v>0</v>
      </c>
      <c r="O5428" t="n">
        <v>0</v>
      </c>
      <c r="P5428" t="n">
        <v>0</v>
      </c>
      <c r="Q5428" t="n">
        <v>0</v>
      </c>
      <c r="R5428" t="n">
        <v>0</v>
      </c>
      <c r="S5428" t="n">
        <v>0</v>
      </c>
      <c r="T5428" t="n">
        <v>0</v>
      </c>
      <c r="U5428" t="n">
        <v>0</v>
      </c>
      <c r="V5428" s="2" t="inlineStr"/>
    </row>
    <row r="5429" ht="15" customHeight="1">
      <c r="A5429" t="inlineStr">
        <is>
          <t>A 45834-2025</t>
        </is>
      </c>
      <c r="B5429" t="inlineStr">
        <is>
          <t>avverkningsanmälan</t>
        </is>
      </c>
      <c r="C5429" t="inlineStr">
        <is>
          <t>Föryngringsavverkning</t>
        </is>
      </c>
      <c r="D5429" s="1" t="n">
        <v>45923</v>
      </c>
      <c r="E5429" s="1" t="n">
        <v>46323</v>
      </c>
      <c r="F5429" t="inlineStr">
        <is>
          <t>KALMAR LÄN</t>
        </is>
      </c>
      <c r="G5429" t="inlineStr">
        <is>
          <t>HULTSFRED</t>
        </is>
      </c>
      <c r="I5429" t="n">
        <v>3.1</v>
      </c>
      <c r="J5429" t="n">
        <v>0</v>
      </c>
      <c r="K5429" t="n">
        <v>0</v>
      </c>
      <c r="L5429" t="n">
        <v>0</v>
      </c>
      <c r="M5429" t="n">
        <v>0</v>
      </c>
      <c r="N5429" t="n">
        <v>0</v>
      </c>
      <c r="O5429" t="n">
        <v>0</v>
      </c>
      <c r="P5429" t="n">
        <v>0</v>
      </c>
      <c r="Q5429" t="n">
        <v>0</v>
      </c>
      <c r="R5429" t="n">
        <v>0</v>
      </c>
      <c r="S5429" t="n">
        <v>0</v>
      </c>
      <c r="T5429" t="n">
        <v>0</v>
      </c>
      <c r="U5429" t="n">
        <v>0</v>
      </c>
      <c r="V5429" s="2" t="inlineStr"/>
    </row>
    <row r="5430" ht="15" customHeight="1">
      <c r="A5430" t="inlineStr">
        <is>
          <t>A 3609-2024</t>
        </is>
      </c>
      <c r="B5430" t="inlineStr">
        <is>
          <t>avverkningsanmälan</t>
        </is>
      </c>
      <c r="C5430" t="inlineStr">
        <is>
          <t>Föryngringsavverkning</t>
        </is>
      </c>
      <c r="D5430" s="1" t="n">
        <v>45320</v>
      </c>
      <c r="E5430" s="1" t="n">
        <v>46323</v>
      </c>
      <c r="F5430" t="inlineStr">
        <is>
          <t>KALMAR LÄN</t>
        </is>
      </c>
      <c r="G5430" t="inlineStr">
        <is>
          <t>VIMMERBY</t>
        </is>
      </c>
      <c r="I5430" t="n">
        <v>1.7</v>
      </c>
      <c r="J5430" t="n">
        <v>0</v>
      </c>
      <c r="K5430" t="n">
        <v>0</v>
      </c>
      <c r="L5430" t="n">
        <v>0</v>
      </c>
      <c r="M5430" t="n">
        <v>0</v>
      </c>
      <c r="N5430" t="n">
        <v>0</v>
      </c>
      <c r="O5430" t="n">
        <v>0</v>
      </c>
      <c r="P5430" t="n">
        <v>0</v>
      </c>
      <c r="Q5430" t="n">
        <v>0</v>
      </c>
      <c r="R5430" t="n">
        <v>0</v>
      </c>
      <c r="S5430" t="n">
        <v>0</v>
      </c>
      <c r="T5430" t="n">
        <v>0</v>
      </c>
      <c r="U5430" t="n">
        <v>0</v>
      </c>
      <c r="V5430" s="2" t="inlineStr"/>
    </row>
    <row r="5431" ht="15" customHeight="1">
      <c r="A5431" t="inlineStr">
        <is>
          <t>A 62413-2025</t>
        </is>
      </c>
      <c r="B5431" t="inlineStr">
        <is>
          <t>avverkningsanmälan</t>
        </is>
      </c>
      <c r="C5431" t="inlineStr">
        <is>
          <t>Föryngringsavverkning</t>
        </is>
      </c>
      <c r="D5431" s="1" t="n">
        <v>46007</v>
      </c>
      <c r="E5431" s="1" t="n">
        <v>46323</v>
      </c>
      <c r="F5431" t="inlineStr">
        <is>
          <t>KALMAR LÄN</t>
        </is>
      </c>
      <c r="G5431" t="inlineStr">
        <is>
          <t>OSKARSHAMN</t>
        </is>
      </c>
      <c r="I5431" t="n">
        <v>1.5</v>
      </c>
      <c r="J5431" t="n">
        <v>0</v>
      </c>
      <c r="K5431" t="n">
        <v>0</v>
      </c>
      <c r="L5431" t="n">
        <v>0</v>
      </c>
      <c r="M5431" t="n">
        <v>0</v>
      </c>
      <c r="N5431" t="n">
        <v>0</v>
      </c>
      <c r="O5431" t="n">
        <v>0</v>
      </c>
      <c r="P5431" t="n">
        <v>0</v>
      </c>
      <c r="Q5431" t="n">
        <v>0</v>
      </c>
      <c r="R5431" t="n">
        <v>0</v>
      </c>
      <c r="S5431" t="n">
        <v>0</v>
      </c>
      <c r="T5431" t="n">
        <v>0</v>
      </c>
      <c r="U5431" t="n">
        <v>0</v>
      </c>
      <c r="V5431" s="2" t="inlineStr"/>
    </row>
    <row r="5432" ht="15" customHeight="1">
      <c r="A5432" t="inlineStr">
        <is>
          <t>A 49129-2023</t>
        </is>
      </c>
      <c r="B5432" t="inlineStr">
        <is>
          <t>avverkningsanmälan</t>
        </is>
      </c>
      <c r="C5432" t="inlineStr">
        <is>
          <t>Föryngringsavverkning</t>
        </is>
      </c>
      <c r="D5432" s="1" t="n">
        <v>45210</v>
      </c>
      <c r="E5432" s="1" t="n">
        <v>46323</v>
      </c>
      <c r="F5432" t="inlineStr">
        <is>
          <t>KALMAR LÄN</t>
        </is>
      </c>
      <c r="G5432" t="inlineStr">
        <is>
          <t>TORSÅS</t>
        </is>
      </c>
      <c r="I5432" t="n">
        <v>0.8</v>
      </c>
      <c r="J5432" t="n">
        <v>0</v>
      </c>
      <c r="K5432" t="n">
        <v>0</v>
      </c>
      <c r="L5432" t="n">
        <v>0</v>
      </c>
      <c r="M5432" t="n">
        <v>0</v>
      </c>
      <c r="N5432" t="n">
        <v>0</v>
      </c>
      <c r="O5432" t="n">
        <v>0</v>
      </c>
      <c r="P5432" t="n">
        <v>0</v>
      </c>
      <c r="Q5432" t="n">
        <v>0</v>
      </c>
      <c r="R5432" t="n">
        <v>0</v>
      </c>
      <c r="S5432" t="n">
        <v>0</v>
      </c>
      <c r="T5432" t="n">
        <v>0</v>
      </c>
      <c r="U5432" t="n">
        <v>0</v>
      </c>
      <c r="V5432" s="2" t="inlineStr"/>
    </row>
    <row r="5433" ht="15" customHeight="1">
      <c r="A5433" t="inlineStr">
        <is>
          <t>A 56574-2025</t>
        </is>
      </c>
      <c r="B5433" t="inlineStr">
        <is>
          <t>avverkningsanmälan</t>
        </is>
      </c>
      <c r="C5433" t="inlineStr">
        <is>
          <t>Föryngringsavverkning</t>
        </is>
      </c>
      <c r="D5433" s="1" t="n">
        <v>45975</v>
      </c>
      <c r="E5433" s="1" t="n">
        <v>46323</v>
      </c>
      <c r="F5433" t="inlineStr">
        <is>
          <t>KALMAR LÄN</t>
        </is>
      </c>
      <c r="G5433" t="inlineStr">
        <is>
          <t>NYBRO</t>
        </is>
      </c>
      <c r="I5433" t="n">
        <v>1.1</v>
      </c>
      <c r="J5433" t="n">
        <v>0</v>
      </c>
      <c r="K5433" t="n">
        <v>0</v>
      </c>
      <c r="L5433" t="n">
        <v>0</v>
      </c>
      <c r="M5433" t="n">
        <v>0</v>
      </c>
      <c r="N5433" t="n">
        <v>0</v>
      </c>
      <c r="O5433" t="n">
        <v>0</v>
      </c>
      <c r="P5433" t="n">
        <v>0</v>
      </c>
      <c r="Q5433" t="n">
        <v>0</v>
      </c>
      <c r="R5433" t="n">
        <v>0</v>
      </c>
      <c r="S5433" t="n">
        <v>0</v>
      </c>
      <c r="T5433" t="n">
        <v>0</v>
      </c>
      <c r="U5433" t="n">
        <v>0</v>
      </c>
      <c r="V5433" s="2" t="inlineStr"/>
    </row>
    <row r="5434" ht="15" customHeight="1">
      <c r="A5434" t="inlineStr">
        <is>
          <t>A 42434-2023</t>
        </is>
      </c>
      <c r="B5434" t="inlineStr">
        <is>
          <t>avverkningsanmälan</t>
        </is>
      </c>
      <c r="C5434" t="inlineStr">
        <is>
          <t>Avverkning för annat ändamål</t>
        </is>
      </c>
      <c r="D5434" s="1" t="n">
        <v>45180</v>
      </c>
      <c r="E5434" s="1" t="n">
        <v>46323</v>
      </c>
      <c r="F5434" t="inlineStr">
        <is>
          <t>KALMAR LÄN</t>
        </is>
      </c>
      <c r="G5434" t="inlineStr">
        <is>
          <t>HULTSFRED</t>
        </is>
      </c>
      <c r="H5434" t="inlineStr">
        <is>
          <t>Sveaskog</t>
        </is>
      </c>
      <c r="I5434" t="n">
        <v>0.3</v>
      </c>
      <c r="J5434" t="n">
        <v>0</v>
      </c>
      <c r="K5434" t="n">
        <v>0</v>
      </c>
      <c r="L5434" t="n">
        <v>0</v>
      </c>
      <c r="M5434" t="n">
        <v>0</v>
      </c>
      <c r="N5434" t="n">
        <v>0</v>
      </c>
      <c r="O5434" t="n">
        <v>0</v>
      </c>
      <c r="P5434" t="n">
        <v>0</v>
      </c>
      <c r="Q5434" t="n">
        <v>0</v>
      </c>
      <c r="R5434" t="n">
        <v>0</v>
      </c>
      <c r="S5434" t="n">
        <v>0</v>
      </c>
      <c r="T5434" t="n">
        <v>0</v>
      </c>
      <c r="U5434" t="n">
        <v>0</v>
      </c>
      <c r="V5434" s="2" t="inlineStr"/>
    </row>
    <row r="5435" ht="15" customHeight="1">
      <c r="A5435" t="inlineStr">
        <is>
          <t>A 10145-2022</t>
        </is>
      </c>
      <c r="B5435" t="inlineStr">
        <is>
          <t>avverkningsanmälan</t>
        </is>
      </c>
      <c r="C5435" t="inlineStr">
        <is>
          <t>Föryngringsavverkning</t>
        </is>
      </c>
      <c r="D5435" s="1" t="n">
        <v>44621</v>
      </c>
      <c r="E5435" s="1" t="n">
        <v>46323</v>
      </c>
      <c r="F5435" t="inlineStr">
        <is>
          <t>KALMAR LÄN</t>
        </is>
      </c>
      <c r="G5435" t="inlineStr">
        <is>
          <t>OSKARSHAMN</t>
        </is>
      </c>
      <c r="I5435" t="n">
        <v>1.5</v>
      </c>
      <c r="J5435" t="n">
        <v>0</v>
      </c>
      <c r="K5435" t="n">
        <v>0</v>
      </c>
      <c r="L5435" t="n">
        <v>0</v>
      </c>
      <c r="M5435" t="n">
        <v>0</v>
      </c>
      <c r="N5435" t="n">
        <v>0</v>
      </c>
      <c r="O5435" t="n">
        <v>0</v>
      </c>
      <c r="P5435" t="n">
        <v>0</v>
      </c>
      <c r="Q5435" t="n">
        <v>0</v>
      </c>
      <c r="R5435" t="n">
        <v>0</v>
      </c>
      <c r="S5435" t="n">
        <v>0</v>
      </c>
      <c r="T5435" t="n">
        <v>0</v>
      </c>
      <c r="U5435" t="n">
        <v>0</v>
      </c>
      <c r="V5435" s="2" t="inlineStr"/>
    </row>
    <row r="5436" ht="15" customHeight="1">
      <c r="A5436" t="inlineStr">
        <is>
          <t>A 45854-2025</t>
        </is>
      </c>
      <c r="B5436" t="inlineStr">
        <is>
          <t>avverkningsanmälan</t>
        </is>
      </c>
      <c r="C5436" t="inlineStr">
        <is>
          <t>Föryngringsavverkning</t>
        </is>
      </c>
      <c r="D5436" s="1" t="n">
        <v>45923</v>
      </c>
      <c r="E5436" s="1" t="n">
        <v>46323</v>
      </c>
      <c r="F5436" t="inlineStr">
        <is>
          <t>KALMAR LÄN</t>
        </is>
      </c>
      <c r="G5436" t="inlineStr">
        <is>
          <t>VIMMERBY</t>
        </is>
      </c>
      <c r="I5436" t="n">
        <v>2.2</v>
      </c>
      <c r="J5436" t="n">
        <v>0</v>
      </c>
      <c r="K5436" t="n">
        <v>0</v>
      </c>
      <c r="L5436" t="n">
        <v>0</v>
      </c>
      <c r="M5436" t="n">
        <v>0</v>
      </c>
      <c r="N5436" t="n">
        <v>0</v>
      </c>
      <c r="O5436" t="n">
        <v>0</v>
      </c>
      <c r="P5436" t="n">
        <v>0</v>
      </c>
      <c r="Q5436" t="n">
        <v>0</v>
      </c>
      <c r="R5436" t="n">
        <v>0</v>
      </c>
      <c r="S5436" t="n">
        <v>0</v>
      </c>
      <c r="T5436" t="n">
        <v>0</v>
      </c>
      <c r="U5436" t="n">
        <v>0</v>
      </c>
      <c r="V5436" s="2" t="inlineStr"/>
    </row>
    <row r="5437" ht="15" customHeight="1">
      <c r="A5437" t="inlineStr">
        <is>
          <t>A 11471-2024</t>
        </is>
      </c>
      <c r="B5437" t="inlineStr">
        <is>
          <t>avverkningsanmälan</t>
        </is>
      </c>
      <c r="C5437" t="inlineStr">
        <is>
          <t>Föryngringsavverkning</t>
        </is>
      </c>
      <c r="D5437" s="1" t="n">
        <v>45372</v>
      </c>
      <c r="E5437" s="1" t="n">
        <v>46323</v>
      </c>
      <c r="F5437" t="inlineStr">
        <is>
          <t>KALMAR LÄN</t>
        </is>
      </c>
      <c r="G5437" t="inlineStr">
        <is>
          <t>OSKARSHAMN</t>
        </is>
      </c>
      <c r="I5437" t="n">
        <v>2.8</v>
      </c>
      <c r="J5437" t="n">
        <v>0</v>
      </c>
      <c r="K5437" t="n">
        <v>0</v>
      </c>
      <c r="L5437" t="n">
        <v>0</v>
      </c>
      <c r="M5437" t="n">
        <v>0</v>
      </c>
      <c r="N5437" t="n">
        <v>0</v>
      </c>
      <c r="O5437" t="n">
        <v>0</v>
      </c>
      <c r="P5437" t="n">
        <v>0</v>
      </c>
      <c r="Q5437" t="n">
        <v>0</v>
      </c>
      <c r="R5437" t="n">
        <v>0</v>
      </c>
      <c r="S5437" t="n">
        <v>0</v>
      </c>
      <c r="T5437" t="n">
        <v>0</v>
      </c>
      <c r="U5437" t="n">
        <v>0</v>
      </c>
      <c r="V5437" s="2" t="inlineStr"/>
    </row>
    <row r="5438" ht="15" customHeight="1">
      <c r="A5438" t="inlineStr">
        <is>
          <t>A 25355-2026</t>
        </is>
      </c>
      <c r="B5438" t="inlineStr">
        <is>
          <t>avverkningsanmälan</t>
        </is>
      </c>
      <c r="C5438" t="inlineStr">
        <is>
          <t>Föryngringsavverkning</t>
        </is>
      </c>
      <c r="D5438" s="1" t="n">
        <v>46176</v>
      </c>
      <c r="E5438" s="1" t="n">
        <v>46323</v>
      </c>
      <c r="F5438" t="inlineStr">
        <is>
          <t>KALMAR LÄN</t>
        </is>
      </c>
      <c r="G5438" t="inlineStr">
        <is>
          <t>HÖGSBY</t>
        </is>
      </c>
      <c r="I5438" t="n">
        <v>3.2</v>
      </c>
      <c r="J5438" t="n">
        <v>0</v>
      </c>
      <c r="K5438" t="n">
        <v>0</v>
      </c>
      <c r="L5438" t="n">
        <v>0</v>
      </c>
      <c r="M5438" t="n">
        <v>0</v>
      </c>
      <c r="N5438" t="n">
        <v>0</v>
      </c>
      <c r="O5438" t="n">
        <v>0</v>
      </c>
      <c r="P5438" t="n">
        <v>0</v>
      </c>
      <c r="Q5438" t="n">
        <v>0</v>
      </c>
      <c r="R5438" t="n">
        <v>0</v>
      </c>
      <c r="S5438" t="n">
        <v>0</v>
      </c>
      <c r="T5438" t="n">
        <v>0</v>
      </c>
      <c r="U5438" t="n">
        <v>0</v>
      </c>
      <c r="V5438" s="2" t="inlineStr"/>
    </row>
    <row r="5439" ht="15" customHeight="1">
      <c r="A5439" t="inlineStr">
        <is>
          <t>A 21642-2025</t>
        </is>
      </c>
      <c r="B5439" t="inlineStr">
        <is>
          <t>avverkningsanmälan</t>
        </is>
      </c>
      <c r="C5439" t="inlineStr">
        <is>
          <t>Föryngringsavverkning</t>
        </is>
      </c>
      <c r="D5439" s="1" t="n">
        <v>45783</v>
      </c>
      <c r="E5439" s="1" t="n">
        <v>46323</v>
      </c>
      <c r="F5439" t="inlineStr">
        <is>
          <t>KALMAR LÄN</t>
        </is>
      </c>
      <c r="G5439" t="inlineStr">
        <is>
          <t>HULTSFRED</t>
        </is>
      </c>
      <c r="I5439" t="n">
        <v>1.1</v>
      </c>
      <c r="J5439" t="n">
        <v>0</v>
      </c>
      <c r="K5439" t="n">
        <v>0</v>
      </c>
      <c r="L5439" t="n">
        <v>0</v>
      </c>
      <c r="M5439" t="n">
        <v>0</v>
      </c>
      <c r="N5439" t="n">
        <v>0</v>
      </c>
      <c r="O5439" t="n">
        <v>0</v>
      </c>
      <c r="P5439" t="n">
        <v>0</v>
      </c>
      <c r="Q5439" t="n">
        <v>0</v>
      </c>
      <c r="R5439" t="n">
        <v>0</v>
      </c>
      <c r="S5439" t="n">
        <v>0</v>
      </c>
      <c r="T5439" t="n">
        <v>0</v>
      </c>
      <c r="U5439" t="n">
        <v>0</v>
      </c>
      <c r="V5439" s="2" t="inlineStr"/>
    </row>
    <row r="5440" ht="15" customHeight="1">
      <c r="A5440" t="inlineStr">
        <is>
          <t>A 60706-2024</t>
        </is>
      </c>
      <c r="B5440" t="inlineStr">
        <is>
          <t>avverkningsanmälan</t>
        </is>
      </c>
      <c r="C5440" t="inlineStr">
        <is>
          <t>Föryngringsavverkning</t>
        </is>
      </c>
      <c r="D5440" s="1" t="n">
        <v>45644</v>
      </c>
      <c r="E5440" s="1" t="n">
        <v>46323</v>
      </c>
      <c r="F5440" t="inlineStr">
        <is>
          <t>KALMAR LÄN</t>
        </is>
      </c>
      <c r="G5440" t="inlineStr">
        <is>
          <t>NYBRO</t>
        </is>
      </c>
      <c r="I5440" t="n">
        <v>6.5</v>
      </c>
      <c r="J5440" t="n">
        <v>0</v>
      </c>
      <c r="K5440" t="n">
        <v>0</v>
      </c>
      <c r="L5440" t="n">
        <v>0</v>
      </c>
      <c r="M5440" t="n">
        <v>0</v>
      </c>
      <c r="N5440" t="n">
        <v>0</v>
      </c>
      <c r="O5440" t="n">
        <v>0</v>
      </c>
      <c r="P5440" t="n">
        <v>0</v>
      </c>
      <c r="Q5440" t="n">
        <v>0</v>
      </c>
      <c r="R5440" t="n">
        <v>0</v>
      </c>
      <c r="S5440" t="n">
        <v>0</v>
      </c>
      <c r="T5440" t="n">
        <v>0</v>
      </c>
      <c r="U5440" t="n">
        <v>0</v>
      </c>
      <c r="V5440" s="2" t="inlineStr"/>
    </row>
    <row r="5441" ht="15" customHeight="1">
      <c r="A5441" t="inlineStr">
        <is>
          <t>A 39354-2024</t>
        </is>
      </c>
      <c r="B5441" t="inlineStr">
        <is>
          <t>avverkningsanmälan</t>
        </is>
      </c>
      <c r="C5441" t="inlineStr">
        <is>
          <t>Föryngringsavverkning</t>
        </is>
      </c>
      <c r="D5441" s="1" t="n">
        <v>45551</v>
      </c>
      <c r="E5441" s="1" t="n">
        <v>46323</v>
      </c>
      <c r="F5441" t="inlineStr">
        <is>
          <t>KALMAR LÄN</t>
        </is>
      </c>
      <c r="G5441" t="inlineStr">
        <is>
          <t>NYBRO</t>
        </is>
      </c>
      <c r="I5441" t="n">
        <v>1.1</v>
      </c>
      <c r="J5441" t="n">
        <v>0</v>
      </c>
      <c r="K5441" t="n">
        <v>0</v>
      </c>
      <c r="L5441" t="n">
        <v>0</v>
      </c>
      <c r="M5441" t="n">
        <v>0</v>
      </c>
      <c r="N5441" t="n">
        <v>0</v>
      </c>
      <c r="O5441" t="n">
        <v>0</v>
      </c>
      <c r="P5441" t="n">
        <v>0</v>
      </c>
      <c r="Q5441" t="n">
        <v>0</v>
      </c>
      <c r="R5441" t="n">
        <v>0</v>
      </c>
      <c r="S5441" t="n">
        <v>0</v>
      </c>
      <c r="T5441" t="n">
        <v>0</v>
      </c>
      <c r="U5441" t="n">
        <v>0</v>
      </c>
      <c r="V5441" s="2" t="inlineStr"/>
    </row>
    <row r="5442" ht="15" customHeight="1">
      <c r="A5442" t="inlineStr">
        <is>
          <t>A 23437-2023</t>
        </is>
      </c>
      <c r="B5442" t="inlineStr">
        <is>
          <t>avverkningsanmälan</t>
        </is>
      </c>
      <c r="C5442" t="inlineStr">
        <is>
          <t>Föryngringsavverkning</t>
        </is>
      </c>
      <c r="D5442" s="1" t="n">
        <v>45076</v>
      </c>
      <c r="E5442" s="1" t="n">
        <v>46323</v>
      </c>
      <c r="F5442" t="inlineStr">
        <is>
          <t>KALMAR LÄN</t>
        </is>
      </c>
      <c r="G5442" t="inlineStr">
        <is>
          <t>EMMABODA</t>
        </is>
      </c>
      <c r="I5442" t="n">
        <v>2.4</v>
      </c>
      <c r="J5442" t="n">
        <v>0</v>
      </c>
      <c r="K5442" t="n">
        <v>0</v>
      </c>
      <c r="L5442" t="n">
        <v>0</v>
      </c>
      <c r="M5442" t="n">
        <v>0</v>
      </c>
      <c r="N5442" t="n">
        <v>0</v>
      </c>
      <c r="O5442" t="n">
        <v>0</v>
      </c>
      <c r="P5442" t="n">
        <v>0</v>
      </c>
      <c r="Q5442" t="n">
        <v>0</v>
      </c>
      <c r="R5442" t="n">
        <v>0</v>
      </c>
      <c r="S5442" t="n">
        <v>0</v>
      </c>
      <c r="T5442" t="n">
        <v>0</v>
      </c>
      <c r="U5442" t="n">
        <v>0</v>
      </c>
      <c r="V5442" s="2" t="inlineStr"/>
    </row>
    <row r="5443" ht="15" customHeight="1">
      <c r="A5443" t="inlineStr">
        <is>
          <t>A 18081-2023</t>
        </is>
      </c>
      <c r="B5443" t="inlineStr">
        <is>
          <t>avverkningsanmälan</t>
        </is>
      </c>
      <c r="C5443" t="inlineStr">
        <is>
          <t>Föryngringsavverkning</t>
        </is>
      </c>
      <c r="D5443" s="1" t="n">
        <v>45040</v>
      </c>
      <c r="E5443" s="1" t="n">
        <v>46323</v>
      </c>
      <c r="F5443" t="inlineStr">
        <is>
          <t>KALMAR LÄN</t>
        </is>
      </c>
      <c r="G5443" t="inlineStr">
        <is>
          <t>VÄSTERVIK</t>
        </is>
      </c>
      <c r="H5443" t="inlineStr">
        <is>
          <t>Sveaskog</t>
        </is>
      </c>
      <c r="I5443" t="n">
        <v>0.8</v>
      </c>
      <c r="J5443" t="n">
        <v>0</v>
      </c>
      <c r="K5443" t="n">
        <v>0</v>
      </c>
      <c r="L5443" t="n">
        <v>0</v>
      </c>
      <c r="M5443" t="n">
        <v>0</v>
      </c>
      <c r="N5443" t="n">
        <v>0</v>
      </c>
      <c r="O5443" t="n">
        <v>0</v>
      </c>
      <c r="P5443" t="n">
        <v>0</v>
      </c>
      <c r="Q5443" t="n">
        <v>0</v>
      </c>
      <c r="R5443" t="n">
        <v>0</v>
      </c>
      <c r="S5443" t="n">
        <v>0</v>
      </c>
      <c r="T5443" t="n">
        <v>0</v>
      </c>
      <c r="U5443" t="n">
        <v>0</v>
      </c>
      <c r="V5443" s="2" t="inlineStr"/>
    </row>
    <row r="5444" ht="15" customHeight="1">
      <c r="A5444" t="inlineStr">
        <is>
          <t>A 29646-2025</t>
        </is>
      </c>
      <c r="B5444" t="inlineStr">
        <is>
          <t>avverkningsanmälan</t>
        </is>
      </c>
      <c r="C5444" t="inlineStr">
        <is>
          <t>Föryngringsavverkning</t>
        </is>
      </c>
      <c r="D5444" s="1" t="n">
        <v>45825</v>
      </c>
      <c r="E5444" s="1" t="n">
        <v>46323</v>
      </c>
      <c r="F5444" t="inlineStr">
        <is>
          <t>KALMAR LÄN</t>
        </is>
      </c>
      <c r="G5444" t="inlineStr">
        <is>
          <t>HÖGSBY</t>
        </is>
      </c>
      <c r="I5444" t="n">
        <v>1.5</v>
      </c>
      <c r="J5444" t="n">
        <v>0</v>
      </c>
      <c r="K5444" t="n">
        <v>0</v>
      </c>
      <c r="L5444" t="n">
        <v>0</v>
      </c>
      <c r="M5444" t="n">
        <v>0</v>
      </c>
      <c r="N5444" t="n">
        <v>0</v>
      </c>
      <c r="O5444" t="n">
        <v>0</v>
      </c>
      <c r="P5444" t="n">
        <v>0</v>
      </c>
      <c r="Q5444" t="n">
        <v>0</v>
      </c>
      <c r="R5444" t="n">
        <v>0</v>
      </c>
      <c r="S5444" t="n">
        <v>0</v>
      </c>
      <c r="T5444" t="n">
        <v>0</v>
      </c>
      <c r="U5444" t="n">
        <v>0</v>
      </c>
      <c r="V5444" s="2" t="inlineStr"/>
    </row>
    <row r="5445" ht="15" customHeight="1">
      <c r="A5445" t="inlineStr">
        <is>
          <t>A 41619-2025</t>
        </is>
      </c>
      <c r="B5445" t="inlineStr">
        <is>
          <t>avverkningsanmälan</t>
        </is>
      </c>
      <c r="C5445" t="inlineStr">
        <is>
          <t>Föryngringsavverkning</t>
        </is>
      </c>
      <c r="D5445" s="1" t="n">
        <v>45901</v>
      </c>
      <c r="E5445" s="1" t="n">
        <v>46323</v>
      </c>
      <c r="F5445" t="inlineStr">
        <is>
          <t>KALMAR LÄN</t>
        </is>
      </c>
      <c r="G5445" t="inlineStr">
        <is>
          <t>HÖGSBY</t>
        </is>
      </c>
      <c r="I5445" t="n">
        <v>1.3</v>
      </c>
      <c r="J5445" t="n">
        <v>0</v>
      </c>
      <c r="K5445" t="n">
        <v>0</v>
      </c>
      <c r="L5445" t="n">
        <v>0</v>
      </c>
      <c r="M5445" t="n">
        <v>0</v>
      </c>
      <c r="N5445" t="n">
        <v>0</v>
      </c>
      <c r="O5445" t="n">
        <v>0</v>
      </c>
      <c r="P5445" t="n">
        <v>0</v>
      </c>
      <c r="Q5445" t="n">
        <v>0</v>
      </c>
      <c r="R5445" t="n">
        <v>0</v>
      </c>
      <c r="S5445" t="n">
        <v>0</v>
      </c>
      <c r="T5445" t="n">
        <v>0</v>
      </c>
      <c r="U5445" t="n">
        <v>0</v>
      </c>
      <c r="V5445" s="2" t="inlineStr"/>
    </row>
    <row r="5446" ht="15" customHeight="1">
      <c r="A5446" t="inlineStr">
        <is>
          <t>A 27425-2026</t>
        </is>
      </c>
      <c r="B5446" t="inlineStr">
        <is>
          <t>avverkningsanmälan</t>
        </is>
      </c>
      <c r="C5446" t="inlineStr">
        <is>
          <t>Föryngringsavverkning</t>
        </is>
      </c>
      <c r="D5446" s="1" t="n">
        <v>46189</v>
      </c>
      <c r="E5446" s="1" t="n">
        <v>46323</v>
      </c>
      <c r="F5446" t="inlineStr">
        <is>
          <t>KALMAR LÄN</t>
        </is>
      </c>
      <c r="G5446" t="inlineStr">
        <is>
          <t>VÄSTERVIK</t>
        </is>
      </c>
      <c r="I5446" t="n">
        <v>7.8</v>
      </c>
      <c r="J5446" t="n">
        <v>0</v>
      </c>
      <c r="K5446" t="n">
        <v>0</v>
      </c>
      <c r="L5446" t="n">
        <v>0</v>
      </c>
      <c r="M5446" t="n">
        <v>0</v>
      </c>
      <c r="N5446" t="n">
        <v>0</v>
      </c>
      <c r="O5446" t="n">
        <v>0</v>
      </c>
      <c r="P5446" t="n">
        <v>0</v>
      </c>
      <c r="Q5446" t="n">
        <v>0</v>
      </c>
      <c r="R5446" t="n">
        <v>0</v>
      </c>
      <c r="S5446" t="n">
        <v>0</v>
      </c>
      <c r="T5446" t="n">
        <v>0</v>
      </c>
      <c r="U5446" t="n">
        <v>0</v>
      </c>
      <c r="V5446" s="2" t="inlineStr"/>
    </row>
    <row r="5447" ht="15" customHeight="1">
      <c r="A5447" t="inlineStr">
        <is>
          <t>A 35436-2026</t>
        </is>
      </c>
      <c r="B5447" t="inlineStr">
        <is>
          <t>avverkningsanmälan</t>
        </is>
      </c>
      <c r="C5447" t="inlineStr">
        <is>
          <t>Föryngringsavverkning</t>
        </is>
      </c>
      <c r="D5447" s="1" t="n">
        <v>46262</v>
      </c>
      <c r="E5447" s="1" t="n">
        <v>46323</v>
      </c>
      <c r="F5447" t="inlineStr">
        <is>
          <t>KALMAR LÄN</t>
        </is>
      </c>
      <c r="G5447" t="inlineStr">
        <is>
          <t>VÄSTERVIK</t>
        </is>
      </c>
      <c r="H5447" t="inlineStr">
        <is>
          <t>Kommuner</t>
        </is>
      </c>
      <c r="I5447" t="n">
        <v>0.8</v>
      </c>
      <c r="J5447" t="n">
        <v>0</v>
      </c>
      <c r="K5447" t="n">
        <v>0</v>
      </c>
      <c r="L5447" t="n">
        <v>0</v>
      </c>
      <c r="M5447" t="n">
        <v>0</v>
      </c>
      <c r="N5447" t="n">
        <v>0</v>
      </c>
      <c r="O5447" t="n">
        <v>0</v>
      </c>
      <c r="P5447" t="n">
        <v>0</v>
      </c>
      <c r="Q5447" t="n">
        <v>0</v>
      </c>
      <c r="R5447" t="n">
        <v>0</v>
      </c>
      <c r="S5447" t="n">
        <v>0</v>
      </c>
      <c r="T5447" t="n">
        <v>0</v>
      </c>
      <c r="U5447" t="n">
        <v>0</v>
      </c>
      <c r="V5447" s="2" t="inlineStr"/>
    </row>
    <row r="5448" ht="15" customHeight="1">
      <c r="A5448" t="inlineStr">
        <is>
          <t>A 14068-2024</t>
        </is>
      </c>
      <c r="B5448" t="inlineStr">
        <is>
          <t>avverkningsanmälan</t>
        </is>
      </c>
      <c r="C5448" t="inlineStr">
        <is>
          <t>Föryngringsavverkning</t>
        </is>
      </c>
      <c r="D5448" s="1" t="n">
        <v>45392</v>
      </c>
      <c r="E5448" s="1" t="n">
        <v>46323</v>
      </c>
      <c r="F5448" t="inlineStr">
        <is>
          <t>KALMAR LÄN</t>
        </is>
      </c>
      <c r="G5448" t="inlineStr">
        <is>
          <t>EMMABODA</t>
        </is>
      </c>
      <c r="I5448" t="n">
        <v>2.2</v>
      </c>
      <c r="J5448" t="n">
        <v>0</v>
      </c>
      <c r="K5448" t="n">
        <v>0</v>
      </c>
      <c r="L5448" t="n">
        <v>0</v>
      </c>
      <c r="M5448" t="n">
        <v>0</v>
      </c>
      <c r="N5448" t="n">
        <v>0</v>
      </c>
      <c r="O5448" t="n">
        <v>0</v>
      </c>
      <c r="P5448" t="n">
        <v>0</v>
      </c>
      <c r="Q5448" t="n">
        <v>0</v>
      </c>
      <c r="R5448" t="n">
        <v>0</v>
      </c>
      <c r="S5448" t="n">
        <v>0</v>
      </c>
      <c r="T5448" t="n">
        <v>0</v>
      </c>
      <c r="U5448" t="n">
        <v>0</v>
      </c>
      <c r="V5448" s="2" t="inlineStr"/>
    </row>
    <row r="5449" ht="15" customHeight="1">
      <c r="A5449" t="inlineStr">
        <is>
          <t>A 28974-2023</t>
        </is>
      </c>
      <c r="B5449" t="inlineStr">
        <is>
          <t>avverkningsanmälan</t>
        </is>
      </c>
      <c r="C5449" t="inlineStr">
        <is>
          <t>Föryngringsavverkning</t>
        </is>
      </c>
      <c r="D5449" s="1" t="n">
        <v>45104</v>
      </c>
      <c r="E5449" s="1" t="n">
        <v>46323</v>
      </c>
      <c r="F5449" t="inlineStr">
        <is>
          <t>KALMAR LÄN</t>
        </is>
      </c>
      <c r="G5449" t="inlineStr">
        <is>
          <t>KALMAR</t>
        </is>
      </c>
      <c r="I5449" t="n">
        <v>0.8</v>
      </c>
      <c r="J5449" t="n">
        <v>0</v>
      </c>
      <c r="K5449" t="n">
        <v>0</v>
      </c>
      <c r="L5449" t="n">
        <v>0</v>
      </c>
      <c r="M5449" t="n">
        <v>0</v>
      </c>
      <c r="N5449" t="n">
        <v>0</v>
      </c>
      <c r="O5449" t="n">
        <v>0</v>
      </c>
      <c r="P5449" t="n">
        <v>0</v>
      </c>
      <c r="Q5449" t="n">
        <v>0</v>
      </c>
      <c r="R5449" t="n">
        <v>0</v>
      </c>
      <c r="S5449" t="n">
        <v>0</v>
      </c>
      <c r="T5449" t="n">
        <v>0</v>
      </c>
      <c r="U5449" t="n">
        <v>0</v>
      </c>
      <c r="V5449" s="2" t="inlineStr"/>
    </row>
    <row r="5450" ht="15" customHeight="1">
      <c r="A5450" t="inlineStr">
        <is>
          <t>A 44206-2025</t>
        </is>
      </c>
      <c r="B5450" t="inlineStr">
        <is>
          <t>avverkningsanmälan</t>
        </is>
      </c>
      <c r="C5450" t="inlineStr">
        <is>
          <t>Föryngringsavverkning</t>
        </is>
      </c>
      <c r="D5450" s="1" t="n">
        <v>45915</v>
      </c>
      <c r="E5450" s="1" t="n">
        <v>46323</v>
      </c>
      <c r="F5450" t="inlineStr">
        <is>
          <t>KALMAR LÄN</t>
        </is>
      </c>
      <c r="G5450" t="inlineStr">
        <is>
          <t>KALMAR</t>
        </is>
      </c>
      <c r="I5450" t="n">
        <v>1.1</v>
      </c>
      <c r="J5450" t="n">
        <v>0</v>
      </c>
      <c r="K5450" t="n">
        <v>0</v>
      </c>
      <c r="L5450" t="n">
        <v>0</v>
      </c>
      <c r="M5450" t="n">
        <v>0</v>
      </c>
      <c r="N5450" t="n">
        <v>0</v>
      </c>
      <c r="O5450" t="n">
        <v>0</v>
      </c>
      <c r="P5450" t="n">
        <v>0</v>
      </c>
      <c r="Q5450" t="n">
        <v>0</v>
      </c>
      <c r="R5450" t="n">
        <v>0</v>
      </c>
      <c r="S5450" t="n">
        <v>0</v>
      </c>
      <c r="T5450" t="n">
        <v>0</v>
      </c>
      <c r="U5450" t="n">
        <v>0</v>
      </c>
      <c r="V5450" s="2" t="inlineStr"/>
    </row>
    <row r="5451" ht="15" customHeight="1">
      <c r="A5451" t="inlineStr">
        <is>
          <t>A 48806-2025</t>
        </is>
      </c>
      <c r="B5451" t="inlineStr">
        <is>
          <t>avverkningsanmälan</t>
        </is>
      </c>
      <c r="C5451" t="inlineStr">
        <is>
          <t>Föryngringsavverkning</t>
        </is>
      </c>
      <c r="D5451" s="1" t="n">
        <v>45937</v>
      </c>
      <c r="E5451" s="1" t="n">
        <v>46323</v>
      </c>
      <c r="F5451" t="inlineStr">
        <is>
          <t>KALMAR LÄN</t>
        </is>
      </c>
      <c r="G5451" t="inlineStr">
        <is>
          <t>HULTSFRED</t>
        </is>
      </c>
      <c r="I5451" t="n">
        <v>3</v>
      </c>
      <c r="J5451" t="n">
        <v>0</v>
      </c>
      <c r="K5451" t="n">
        <v>0</v>
      </c>
      <c r="L5451" t="n">
        <v>0</v>
      </c>
      <c r="M5451" t="n">
        <v>0</v>
      </c>
      <c r="N5451" t="n">
        <v>0</v>
      </c>
      <c r="O5451" t="n">
        <v>0</v>
      </c>
      <c r="P5451" t="n">
        <v>0</v>
      </c>
      <c r="Q5451" t="n">
        <v>0</v>
      </c>
      <c r="R5451" t="n">
        <v>0</v>
      </c>
      <c r="S5451" t="n">
        <v>0</v>
      </c>
      <c r="T5451" t="n">
        <v>0</v>
      </c>
      <c r="U5451" t="n">
        <v>0</v>
      </c>
      <c r="V5451" s="2" t="inlineStr"/>
    </row>
    <row r="5452" ht="15" customHeight="1">
      <c r="A5452" t="inlineStr">
        <is>
          <t>A 21433-2023</t>
        </is>
      </c>
      <c r="B5452" t="inlineStr">
        <is>
          <t>avverkningsanmälan</t>
        </is>
      </c>
      <c r="C5452" t="inlineStr">
        <is>
          <t>Föryngringsavverkning</t>
        </is>
      </c>
      <c r="D5452" s="1" t="n">
        <v>45063</v>
      </c>
      <c r="E5452" s="1" t="n">
        <v>46323</v>
      </c>
      <c r="F5452" t="inlineStr">
        <is>
          <t>KALMAR LÄN</t>
        </is>
      </c>
      <c r="G5452" t="inlineStr">
        <is>
          <t>NYBRO</t>
        </is>
      </c>
      <c r="I5452" t="n">
        <v>2.6</v>
      </c>
      <c r="J5452" t="n">
        <v>0</v>
      </c>
      <c r="K5452" t="n">
        <v>0</v>
      </c>
      <c r="L5452" t="n">
        <v>0</v>
      </c>
      <c r="M5452" t="n">
        <v>0</v>
      </c>
      <c r="N5452" t="n">
        <v>0</v>
      </c>
      <c r="O5452" t="n">
        <v>0</v>
      </c>
      <c r="P5452" t="n">
        <v>0</v>
      </c>
      <c r="Q5452" t="n">
        <v>0</v>
      </c>
      <c r="R5452" t="n">
        <v>0</v>
      </c>
      <c r="S5452" t="n">
        <v>0</v>
      </c>
      <c r="T5452" t="n">
        <v>0</v>
      </c>
      <c r="U5452" t="n">
        <v>0</v>
      </c>
      <c r="V5452" s="2" t="inlineStr"/>
    </row>
    <row r="5453" ht="15" customHeight="1">
      <c r="A5453" t="inlineStr">
        <is>
          <t>A 35262-2026</t>
        </is>
      </c>
      <c r="B5453" t="inlineStr">
        <is>
          <t>avverkningsanmälan</t>
        </is>
      </c>
      <c r="C5453" t="inlineStr">
        <is>
          <t>Föryngringsavverkning</t>
        </is>
      </c>
      <c r="D5453" s="1" t="n">
        <v>46261</v>
      </c>
      <c r="E5453" s="1" t="n">
        <v>46323</v>
      </c>
      <c r="F5453" t="inlineStr">
        <is>
          <t>KALMAR LÄN</t>
        </is>
      </c>
      <c r="G5453" t="inlineStr">
        <is>
          <t>VÄSTERVIK</t>
        </is>
      </c>
      <c r="H5453" t="inlineStr">
        <is>
          <t>Övriga Aktiebolag</t>
        </is>
      </c>
      <c r="I5453" t="n">
        <v>4.6</v>
      </c>
      <c r="J5453" t="n">
        <v>0</v>
      </c>
      <c r="K5453" t="n">
        <v>0</v>
      </c>
      <c r="L5453" t="n">
        <v>0</v>
      </c>
      <c r="M5453" t="n">
        <v>0</v>
      </c>
      <c r="N5453" t="n">
        <v>0</v>
      </c>
      <c r="O5453" t="n">
        <v>0</v>
      </c>
      <c r="P5453" t="n">
        <v>0</v>
      </c>
      <c r="Q5453" t="n">
        <v>0</v>
      </c>
      <c r="R5453" t="n">
        <v>0</v>
      </c>
      <c r="S5453" t="n">
        <v>0</v>
      </c>
      <c r="T5453" t="n">
        <v>0</v>
      </c>
      <c r="U5453" t="n">
        <v>0</v>
      </c>
      <c r="V5453" s="2" t="inlineStr"/>
    </row>
    <row r="5454" ht="15" customHeight="1">
      <c r="A5454" t="inlineStr">
        <is>
          <t>A 47632-2025</t>
        </is>
      </c>
      <c r="B5454" t="inlineStr">
        <is>
          <t>avverkningsanmälan</t>
        </is>
      </c>
      <c r="C5454" t="inlineStr">
        <is>
          <t>Föryngringsavverkning</t>
        </is>
      </c>
      <c r="D5454" s="1" t="n">
        <v>45931</v>
      </c>
      <c r="E5454" s="1" t="n">
        <v>46323</v>
      </c>
      <c r="F5454" t="inlineStr">
        <is>
          <t>KALMAR LÄN</t>
        </is>
      </c>
      <c r="G5454" t="inlineStr">
        <is>
          <t>NYBRO</t>
        </is>
      </c>
      <c r="H5454" t="inlineStr">
        <is>
          <t>Kyrkan</t>
        </is>
      </c>
      <c r="I5454" t="n">
        <v>2.2</v>
      </c>
      <c r="J5454" t="n">
        <v>0</v>
      </c>
      <c r="K5454" t="n">
        <v>0</v>
      </c>
      <c r="L5454" t="n">
        <v>0</v>
      </c>
      <c r="M5454" t="n">
        <v>0</v>
      </c>
      <c r="N5454" t="n">
        <v>0</v>
      </c>
      <c r="O5454" t="n">
        <v>0</v>
      </c>
      <c r="P5454" t="n">
        <v>0</v>
      </c>
      <c r="Q5454" t="n">
        <v>0</v>
      </c>
      <c r="R5454" t="n">
        <v>0</v>
      </c>
      <c r="S5454" t="n">
        <v>0</v>
      </c>
      <c r="T5454" t="n">
        <v>0</v>
      </c>
      <c r="U5454" t="n">
        <v>0</v>
      </c>
      <c r="V5454" s="2" t="inlineStr"/>
    </row>
    <row r="5455" ht="15" customHeight="1">
      <c r="A5455" t="inlineStr">
        <is>
          <t>A 42424-2025</t>
        </is>
      </c>
      <c r="B5455" t="inlineStr">
        <is>
          <t>avverkningsanmälan</t>
        </is>
      </c>
      <c r="C5455" t="inlineStr">
        <is>
          <t>Föryngringsavverkning</t>
        </is>
      </c>
      <c r="D5455" s="1" t="n">
        <v>45905</v>
      </c>
      <c r="E5455" s="1" t="n">
        <v>46323</v>
      </c>
      <c r="F5455" t="inlineStr">
        <is>
          <t>KALMAR LÄN</t>
        </is>
      </c>
      <c r="G5455" t="inlineStr">
        <is>
          <t>EMMABODA</t>
        </is>
      </c>
      <c r="I5455" t="n">
        <v>1.1</v>
      </c>
      <c r="J5455" t="n">
        <v>0</v>
      </c>
      <c r="K5455" t="n">
        <v>0</v>
      </c>
      <c r="L5455" t="n">
        <v>0</v>
      </c>
      <c r="M5455" t="n">
        <v>0</v>
      </c>
      <c r="N5455" t="n">
        <v>0</v>
      </c>
      <c r="O5455" t="n">
        <v>0</v>
      </c>
      <c r="P5455" t="n">
        <v>0</v>
      </c>
      <c r="Q5455" t="n">
        <v>0</v>
      </c>
      <c r="R5455" t="n">
        <v>0</v>
      </c>
      <c r="S5455" t="n">
        <v>0</v>
      </c>
      <c r="T5455" t="n">
        <v>0</v>
      </c>
      <c r="U5455" t="n">
        <v>0</v>
      </c>
      <c r="V5455" s="2" t="inlineStr"/>
    </row>
    <row r="5456" ht="15" customHeight="1">
      <c r="A5456" t="inlineStr">
        <is>
          <t>A 60215-2022</t>
        </is>
      </c>
      <c r="B5456" t="inlineStr">
        <is>
          <t>avverkningsanmälan</t>
        </is>
      </c>
      <c r="C5456" t="inlineStr">
        <is>
          <t>Föryngringsavverkning</t>
        </is>
      </c>
      <c r="D5456" s="1" t="n">
        <v>44910</v>
      </c>
      <c r="E5456" s="1" t="n">
        <v>46323</v>
      </c>
      <c r="F5456" t="inlineStr">
        <is>
          <t>KALMAR LÄN</t>
        </is>
      </c>
      <c r="G5456" t="inlineStr">
        <is>
          <t>VIMMERBY</t>
        </is>
      </c>
      <c r="I5456" t="n">
        <v>1.1</v>
      </c>
      <c r="J5456" t="n">
        <v>0</v>
      </c>
      <c r="K5456" t="n">
        <v>0</v>
      </c>
      <c r="L5456" t="n">
        <v>0</v>
      </c>
      <c r="M5456" t="n">
        <v>0</v>
      </c>
      <c r="N5456" t="n">
        <v>0</v>
      </c>
      <c r="O5456" t="n">
        <v>0</v>
      </c>
      <c r="P5456" t="n">
        <v>0</v>
      </c>
      <c r="Q5456" t="n">
        <v>0</v>
      </c>
      <c r="R5456" t="n">
        <v>0</v>
      </c>
      <c r="S5456" t="n">
        <v>0</v>
      </c>
      <c r="T5456" t="n">
        <v>0</v>
      </c>
      <c r="U5456" t="n">
        <v>0</v>
      </c>
      <c r="V5456" s="2" t="inlineStr"/>
    </row>
    <row r="5457" ht="15" customHeight="1">
      <c r="A5457" t="inlineStr">
        <is>
          <t>A 51721-2024</t>
        </is>
      </c>
      <c r="B5457" t="inlineStr">
        <is>
          <t>avverkningsanmälan</t>
        </is>
      </c>
      <c r="C5457" t="inlineStr">
        <is>
          <t>Föryngringsavverkning</t>
        </is>
      </c>
      <c r="D5457" s="1" t="n">
        <v>45604</v>
      </c>
      <c r="E5457" s="1" t="n">
        <v>46323</v>
      </c>
      <c r="F5457" t="inlineStr">
        <is>
          <t>KALMAR LÄN</t>
        </is>
      </c>
      <c r="G5457" t="inlineStr">
        <is>
          <t>OSKARSHAMN</t>
        </is>
      </c>
      <c r="I5457" t="n">
        <v>2</v>
      </c>
      <c r="J5457" t="n">
        <v>0</v>
      </c>
      <c r="K5457" t="n">
        <v>0</v>
      </c>
      <c r="L5457" t="n">
        <v>0</v>
      </c>
      <c r="M5457" t="n">
        <v>0</v>
      </c>
      <c r="N5457" t="n">
        <v>0</v>
      </c>
      <c r="O5457" t="n">
        <v>0</v>
      </c>
      <c r="P5457" t="n">
        <v>0</v>
      </c>
      <c r="Q5457" t="n">
        <v>0</v>
      </c>
      <c r="R5457" t="n">
        <v>0</v>
      </c>
      <c r="S5457" t="n">
        <v>0</v>
      </c>
      <c r="T5457" t="n">
        <v>0</v>
      </c>
      <c r="U5457" t="n">
        <v>0</v>
      </c>
      <c r="V5457" s="2" t="inlineStr"/>
    </row>
    <row r="5458" ht="15" customHeight="1">
      <c r="A5458" t="inlineStr">
        <is>
          <t>A 35406-2022</t>
        </is>
      </c>
      <c r="B5458" t="inlineStr">
        <is>
          <t>avverkningsanmälan</t>
        </is>
      </c>
      <c r="C5458" t="inlineStr">
        <is>
          <t>Föryngringsavverkning</t>
        </is>
      </c>
      <c r="D5458" s="1" t="n">
        <v>44798</v>
      </c>
      <c r="E5458" s="1" t="n">
        <v>46323</v>
      </c>
      <c r="F5458" t="inlineStr">
        <is>
          <t>KALMAR LÄN</t>
        </is>
      </c>
      <c r="G5458" t="inlineStr">
        <is>
          <t>NYBRO</t>
        </is>
      </c>
      <c r="I5458" t="n">
        <v>1.5</v>
      </c>
      <c r="J5458" t="n">
        <v>0</v>
      </c>
      <c r="K5458" t="n">
        <v>0</v>
      </c>
      <c r="L5458" t="n">
        <v>0</v>
      </c>
      <c r="M5458" t="n">
        <v>0</v>
      </c>
      <c r="N5458" t="n">
        <v>0</v>
      </c>
      <c r="O5458" t="n">
        <v>0</v>
      </c>
      <c r="P5458" t="n">
        <v>0</v>
      </c>
      <c r="Q5458" t="n">
        <v>0</v>
      </c>
      <c r="R5458" t="n">
        <v>0</v>
      </c>
      <c r="S5458" t="n">
        <v>0</v>
      </c>
      <c r="T5458" t="n">
        <v>0</v>
      </c>
      <c r="U5458" t="n">
        <v>0</v>
      </c>
      <c r="V5458" s="2" t="inlineStr"/>
    </row>
    <row r="5459" ht="15" customHeight="1">
      <c r="A5459" t="inlineStr">
        <is>
          <t>A 35931-2025</t>
        </is>
      </c>
      <c r="B5459" t="inlineStr">
        <is>
          <t>avverkningsanmälan</t>
        </is>
      </c>
      <c r="C5459" t="inlineStr">
        <is>
          <t>Föryngringsavverkning</t>
        </is>
      </c>
      <c r="D5459" s="1" t="n">
        <v>45862</v>
      </c>
      <c r="E5459" s="1" t="n">
        <v>46323</v>
      </c>
      <c r="F5459" t="inlineStr">
        <is>
          <t>KALMAR LÄN</t>
        </is>
      </c>
      <c r="G5459" t="inlineStr">
        <is>
          <t>NYBRO</t>
        </is>
      </c>
      <c r="I5459" t="n">
        <v>1.4</v>
      </c>
      <c r="J5459" t="n">
        <v>0</v>
      </c>
      <c r="K5459" t="n">
        <v>0</v>
      </c>
      <c r="L5459" t="n">
        <v>0</v>
      </c>
      <c r="M5459" t="n">
        <v>0</v>
      </c>
      <c r="N5459" t="n">
        <v>0</v>
      </c>
      <c r="O5459" t="n">
        <v>0</v>
      </c>
      <c r="P5459" t="n">
        <v>0</v>
      </c>
      <c r="Q5459" t="n">
        <v>0</v>
      </c>
      <c r="R5459" t="n">
        <v>0</v>
      </c>
      <c r="S5459" t="n">
        <v>0</v>
      </c>
      <c r="T5459" t="n">
        <v>0</v>
      </c>
      <c r="U5459" t="n">
        <v>0</v>
      </c>
      <c r="V5459" s="2" t="inlineStr"/>
    </row>
    <row r="5460" ht="15" customHeight="1">
      <c r="A5460" t="inlineStr">
        <is>
          <t>A 30674-2025</t>
        </is>
      </c>
      <c r="B5460" t="inlineStr">
        <is>
          <t>avverkningsanmälan</t>
        </is>
      </c>
      <c r="C5460" t="inlineStr">
        <is>
          <t>Föryngringsavverkning</t>
        </is>
      </c>
      <c r="D5460" s="1" t="n">
        <v>45831</v>
      </c>
      <c r="E5460" s="1" t="n">
        <v>46323</v>
      </c>
      <c r="F5460" t="inlineStr">
        <is>
          <t>KALMAR LÄN</t>
        </is>
      </c>
      <c r="G5460" t="inlineStr">
        <is>
          <t>HULTSFRED</t>
        </is>
      </c>
      <c r="I5460" t="n">
        <v>1.6</v>
      </c>
      <c r="J5460" t="n">
        <v>0</v>
      </c>
      <c r="K5460" t="n">
        <v>0</v>
      </c>
      <c r="L5460" t="n">
        <v>0</v>
      </c>
      <c r="M5460" t="n">
        <v>0</v>
      </c>
      <c r="N5460" t="n">
        <v>0</v>
      </c>
      <c r="O5460" t="n">
        <v>0</v>
      </c>
      <c r="P5460" t="n">
        <v>0</v>
      </c>
      <c r="Q5460" t="n">
        <v>0</v>
      </c>
      <c r="R5460" t="n">
        <v>0</v>
      </c>
      <c r="S5460" t="n">
        <v>0</v>
      </c>
      <c r="T5460" t="n">
        <v>0</v>
      </c>
      <c r="U5460" t="n">
        <v>0</v>
      </c>
      <c r="V5460" s="2" t="inlineStr"/>
    </row>
    <row r="5461" ht="15" customHeight="1">
      <c r="A5461" t="inlineStr">
        <is>
          <t>A 55565-2024</t>
        </is>
      </c>
      <c r="B5461" t="inlineStr">
        <is>
          <t>avverkningsanmälan</t>
        </is>
      </c>
      <c r="C5461" t="inlineStr">
        <is>
          <t>Föryngringsavverkning</t>
        </is>
      </c>
      <c r="D5461" s="1" t="n">
        <v>45622</v>
      </c>
      <c r="E5461" s="1" t="n">
        <v>46323</v>
      </c>
      <c r="F5461" t="inlineStr">
        <is>
          <t>KALMAR LÄN</t>
        </is>
      </c>
      <c r="G5461" t="inlineStr">
        <is>
          <t>VÄSTERVIK</t>
        </is>
      </c>
      <c r="I5461" t="n">
        <v>2.2</v>
      </c>
      <c r="J5461" t="n">
        <v>0</v>
      </c>
      <c r="K5461" t="n">
        <v>0</v>
      </c>
      <c r="L5461" t="n">
        <v>0</v>
      </c>
      <c r="M5461" t="n">
        <v>0</v>
      </c>
      <c r="N5461" t="n">
        <v>0</v>
      </c>
      <c r="O5461" t="n">
        <v>0</v>
      </c>
      <c r="P5461" t="n">
        <v>0</v>
      </c>
      <c r="Q5461" t="n">
        <v>0</v>
      </c>
      <c r="R5461" t="n">
        <v>0</v>
      </c>
      <c r="S5461" t="n">
        <v>0</v>
      </c>
      <c r="T5461" t="n">
        <v>0</v>
      </c>
      <c r="U5461" t="n">
        <v>0</v>
      </c>
      <c r="V5461" s="2" t="inlineStr"/>
    </row>
    <row r="5462" ht="15" customHeight="1">
      <c r="A5462" t="inlineStr">
        <is>
          <t>A 52206-2023</t>
        </is>
      </c>
      <c r="B5462" t="inlineStr">
        <is>
          <t>avverkningsanmälan</t>
        </is>
      </c>
      <c r="C5462" t="inlineStr">
        <is>
          <t>Föryngringsavverkning</t>
        </is>
      </c>
      <c r="D5462" s="1" t="n">
        <v>45217</v>
      </c>
      <c r="E5462" s="1" t="n">
        <v>46323</v>
      </c>
      <c r="F5462" t="inlineStr">
        <is>
          <t>KALMAR LÄN</t>
        </is>
      </c>
      <c r="G5462" t="inlineStr">
        <is>
          <t>EMMABODA</t>
        </is>
      </c>
      <c r="I5462" t="n">
        <v>4.1</v>
      </c>
      <c r="J5462" t="n">
        <v>0</v>
      </c>
      <c r="K5462" t="n">
        <v>0</v>
      </c>
      <c r="L5462" t="n">
        <v>0</v>
      </c>
      <c r="M5462" t="n">
        <v>0</v>
      </c>
      <c r="N5462" t="n">
        <v>0</v>
      </c>
      <c r="O5462" t="n">
        <v>0</v>
      </c>
      <c r="P5462" t="n">
        <v>0</v>
      </c>
      <c r="Q5462" t="n">
        <v>0</v>
      </c>
      <c r="R5462" t="n">
        <v>0</v>
      </c>
      <c r="S5462" t="n">
        <v>0</v>
      </c>
      <c r="T5462" t="n">
        <v>0</v>
      </c>
      <c r="U5462" t="n">
        <v>0</v>
      </c>
      <c r="V5462" s="2" t="inlineStr"/>
    </row>
    <row r="5463" ht="15" customHeight="1">
      <c r="A5463" t="inlineStr">
        <is>
          <t>A 22377-2022</t>
        </is>
      </c>
      <c r="B5463" t="inlineStr">
        <is>
          <t>avverkningsanmälan</t>
        </is>
      </c>
      <c r="C5463" t="inlineStr">
        <is>
          <t>Föryngringsavverkning</t>
        </is>
      </c>
      <c r="D5463" s="1" t="n">
        <v>44713</v>
      </c>
      <c r="E5463" s="1" t="n">
        <v>46323</v>
      </c>
      <c r="F5463" t="inlineStr">
        <is>
          <t>KALMAR LÄN</t>
        </is>
      </c>
      <c r="G5463" t="inlineStr">
        <is>
          <t>MÖNSTERÅS</t>
        </is>
      </c>
      <c r="I5463" t="n">
        <v>3</v>
      </c>
      <c r="J5463" t="n">
        <v>0</v>
      </c>
      <c r="K5463" t="n">
        <v>0</v>
      </c>
      <c r="L5463" t="n">
        <v>0</v>
      </c>
      <c r="M5463" t="n">
        <v>0</v>
      </c>
      <c r="N5463" t="n">
        <v>0</v>
      </c>
      <c r="O5463" t="n">
        <v>0</v>
      </c>
      <c r="P5463" t="n">
        <v>0</v>
      </c>
      <c r="Q5463" t="n">
        <v>0</v>
      </c>
      <c r="R5463" t="n">
        <v>0</v>
      </c>
      <c r="S5463" t="n">
        <v>0</v>
      </c>
      <c r="T5463" t="n">
        <v>0</v>
      </c>
      <c r="U5463" t="n">
        <v>0</v>
      </c>
      <c r="V5463" s="2" t="inlineStr"/>
    </row>
    <row r="5464" ht="15" customHeight="1">
      <c r="A5464" t="inlineStr">
        <is>
          <t>A 42058-2026</t>
        </is>
      </c>
      <c r="B5464" t="inlineStr">
        <is>
          <t>avverkningsanmälan</t>
        </is>
      </c>
      <c r="C5464" t="inlineStr">
        <is>
          <t>Föryngringsavverkning</t>
        </is>
      </c>
      <c r="D5464" s="1" t="n">
        <v>46304</v>
      </c>
      <c r="E5464" s="1" t="n">
        <v>46323</v>
      </c>
      <c r="F5464" t="inlineStr">
        <is>
          <t>KALMAR LÄN</t>
        </is>
      </c>
      <c r="G5464" t="inlineStr">
        <is>
          <t>TORSÅS</t>
        </is>
      </c>
      <c r="I5464" t="n">
        <v>1.8</v>
      </c>
      <c r="J5464" t="n">
        <v>0</v>
      </c>
      <c r="K5464" t="n">
        <v>0</v>
      </c>
      <c r="L5464" t="n">
        <v>0</v>
      </c>
      <c r="M5464" t="n">
        <v>0</v>
      </c>
      <c r="N5464" t="n">
        <v>0</v>
      </c>
      <c r="O5464" t="n">
        <v>0</v>
      </c>
      <c r="P5464" t="n">
        <v>0</v>
      </c>
      <c r="Q5464" t="n">
        <v>0</v>
      </c>
      <c r="R5464" t="n">
        <v>0</v>
      </c>
      <c r="S5464" t="n">
        <v>0</v>
      </c>
      <c r="T5464" t="n">
        <v>0</v>
      </c>
      <c r="U5464" t="n">
        <v>0</v>
      </c>
      <c r="V5464" s="2" t="inlineStr"/>
    </row>
    <row r="5465" ht="15" customHeight="1">
      <c r="A5465" t="inlineStr">
        <is>
          <t>A 36271-2023</t>
        </is>
      </c>
      <c r="B5465" t="inlineStr">
        <is>
          <t>avverkningsanmälan</t>
        </is>
      </c>
      <c r="C5465" t="inlineStr">
        <is>
          <t>Föryngringsavverkning</t>
        </is>
      </c>
      <c r="D5465" s="1" t="n">
        <v>45152</v>
      </c>
      <c r="E5465" s="1" t="n">
        <v>46323</v>
      </c>
      <c r="F5465" t="inlineStr">
        <is>
          <t>KALMAR LÄN</t>
        </is>
      </c>
      <c r="G5465" t="inlineStr">
        <is>
          <t>HULTSFRED</t>
        </is>
      </c>
      <c r="I5465" t="n">
        <v>0.6</v>
      </c>
      <c r="J5465" t="n">
        <v>0</v>
      </c>
      <c r="K5465" t="n">
        <v>0</v>
      </c>
      <c r="L5465" t="n">
        <v>0</v>
      </c>
      <c r="M5465" t="n">
        <v>0</v>
      </c>
      <c r="N5465" t="n">
        <v>0</v>
      </c>
      <c r="O5465" t="n">
        <v>0</v>
      </c>
      <c r="P5465" t="n">
        <v>0</v>
      </c>
      <c r="Q5465" t="n">
        <v>0</v>
      </c>
      <c r="R5465" t="n">
        <v>0</v>
      </c>
      <c r="S5465" t="n">
        <v>0</v>
      </c>
      <c r="T5465" t="n">
        <v>0</v>
      </c>
      <c r="U5465" t="n">
        <v>0</v>
      </c>
      <c r="V5465" s="2" t="inlineStr"/>
    </row>
    <row r="5466" ht="15" customHeight="1">
      <c r="A5466" t="inlineStr">
        <is>
          <t>A 5845-2023</t>
        </is>
      </c>
      <c r="B5466" t="inlineStr">
        <is>
          <t>avverkningsanmälan</t>
        </is>
      </c>
      <c r="C5466" t="inlineStr">
        <is>
          <t>Föryngringsavverkning</t>
        </is>
      </c>
      <c r="D5466" s="1" t="n">
        <v>44963</v>
      </c>
      <c r="E5466" s="1" t="n">
        <v>46323</v>
      </c>
      <c r="F5466" t="inlineStr">
        <is>
          <t>KALMAR LÄN</t>
        </is>
      </c>
      <c r="G5466" t="inlineStr">
        <is>
          <t>OSKARSHAMN</t>
        </is>
      </c>
      <c r="I5466" t="n">
        <v>2.1</v>
      </c>
      <c r="J5466" t="n">
        <v>0</v>
      </c>
      <c r="K5466" t="n">
        <v>0</v>
      </c>
      <c r="L5466" t="n">
        <v>0</v>
      </c>
      <c r="M5466" t="n">
        <v>0</v>
      </c>
      <c r="N5466" t="n">
        <v>0</v>
      </c>
      <c r="O5466" t="n">
        <v>0</v>
      </c>
      <c r="P5466" t="n">
        <v>0</v>
      </c>
      <c r="Q5466" t="n">
        <v>0</v>
      </c>
      <c r="R5466" t="n">
        <v>0</v>
      </c>
      <c r="S5466" t="n">
        <v>0</v>
      </c>
      <c r="T5466" t="n">
        <v>0</v>
      </c>
      <c r="U5466" t="n">
        <v>0</v>
      </c>
      <c r="V5466" s="2" t="inlineStr"/>
    </row>
    <row r="5467" ht="15" customHeight="1">
      <c r="A5467" t="inlineStr">
        <is>
          <t>A 41823-2026</t>
        </is>
      </c>
      <c r="B5467" t="inlineStr">
        <is>
          <t>avverkningsanmälan</t>
        </is>
      </c>
      <c r="C5467" t="inlineStr">
        <is>
          <t>Föryngringsavverkning</t>
        </is>
      </c>
      <c r="D5467" s="1" t="n">
        <v>46303</v>
      </c>
      <c r="E5467" s="1" t="n">
        <v>46323</v>
      </c>
      <c r="F5467" t="inlineStr">
        <is>
          <t>KALMAR LÄN</t>
        </is>
      </c>
      <c r="G5467" t="inlineStr">
        <is>
          <t>VIMMERBY</t>
        </is>
      </c>
      <c r="I5467" t="n">
        <v>3.9</v>
      </c>
      <c r="J5467" t="n">
        <v>0</v>
      </c>
      <c r="K5467" t="n">
        <v>0</v>
      </c>
      <c r="L5467" t="n">
        <v>0</v>
      </c>
      <c r="M5467" t="n">
        <v>0</v>
      </c>
      <c r="N5467" t="n">
        <v>0</v>
      </c>
      <c r="O5467" t="n">
        <v>0</v>
      </c>
      <c r="P5467" t="n">
        <v>0</v>
      </c>
      <c r="Q5467" t="n">
        <v>0</v>
      </c>
      <c r="R5467" t="n">
        <v>0</v>
      </c>
      <c r="S5467" t="n">
        <v>0</v>
      </c>
      <c r="T5467" t="n">
        <v>0</v>
      </c>
      <c r="U5467" t="n">
        <v>0</v>
      </c>
      <c r="V5467" s="2" t="inlineStr"/>
    </row>
    <row r="5468" ht="15" customHeight="1">
      <c r="A5468" t="inlineStr">
        <is>
          <t>A 18718-2024</t>
        </is>
      </c>
      <c r="B5468" t="inlineStr">
        <is>
          <t>avverkningsanmälan</t>
        </is>
      </c>
      <c r="C5468" t="inlineStr">
        <is>
          <t>Föryngringsavverkning</t>
        </is>
      </c>
      <c r="D5468" s="1" t="n">
        <v>45426</v>
      </c>
      <c r="E5468" s="1" t="n">
        <v>46323</v>
      </c>
      <c r="F5468" t="inlineStr">
        <is>
          <t>KALMAR LÄN</t>
        </is>
      </c>
      <c r="G5468" t="inlineStr">
        <is>
          <t>TORSÅS</t>
        </is>
      </c>
      <c r="I5468" t="n">
        <v>2.1</v>
      </c>
      <c r="J5468" t="n">
        <v>0</v>
      </c>
      <c r="K5468" t="n">
        <v>0</v>
      </c>
      <c r="L5468" t="n">
        <v>0</v>
      </c>
      <c r="M5468" t="n">
        <v>0</v>
      </c>
      <c r="N5468" t="n">
        <v>0</v>
      </c>
      <c r="O5468" t="n">
        <v>0</v>
      </c>
      <c r="P5468" t="n">
        <v>0</v>
      </c>
      <c r="Q5468" t="n">
        <v>0</v>
      </c>
      <c r="R5468" t="n">
        <v>0</v>
      </c>
      <c r="S5468" t="n">
        <v>0</v>
      </c>
      <c r="T5468" t="n">
        <v>0</v>
      </c>
      <c r="U5468" t="n">
        <v>0</v>
      </c>
      <c r="V5468" s="2" t="inlineStr"/>
    </row>
    <row r="5469" ht="15" customHeight="1">
      <c r="A5469" t="inlineStr">
        <is>
          <t>A 41825-2026</t>
        </is>
      </c>
      <c r="B5469" t="inlineStr">
        <is>
          <t>avverkningsanmälan</t>
        </is>
      </c>
      <c r="C5469" t="inlineStr">
        <is>
          <t>Föryngringsavverkning</t>
        </is>
      </c>
      <c r="D5469" s="1" t="n">
        <v>46303</v>
      </c>
      <c r="E5469" s="1" t="n">
        <v>46323</v>
      </c>
      <c r="F5469" t="inlineStr">
        <is>
          <t>KALMAR LÄN</t>
        </is>
      </c>
      <c r="G5469" t="inlineStr">
        <is>
          <t>VIMMERBY</t>
        </is>
      </c>
      <c r="I5469" t="n">
        <v>2.1</v>
      </c>
      <c r="J5469" t="n">
        <v>0</v>
      </c>
      <c r="K5469" t="n">
        <v>0</v>
      </c>
      <c r="L5469" t="n">
        <v>0</v>
      </c>
      <c r="M5469" t="n">
        <v>0</v>
      </c>
      <c r="N5469" t="n">
        <v>0</v>
      </c>
      <c r="O5469" t="n">
        <v>0</v>
      </c>
      <c r="P5469" t="n">
        <v>0</v>
      </c>
      <c r="Q5469" t="n">
        <v>0</v>
      </c>
      <c r="R5469" t="n">
        <v>0</v>
      </c>
      <c r="S5469" t="n">
        <v>0</v>
      </c>
      <c r="T5469" t="n">
        <v>0</v>
      </c>
      <c r="U5469" t="n">
        <v>0</v>
      </c>
      <c r="V5469" s="2" t="inlineStr"/>
    </row>
    <row r="5470" ht="15" customHeight="1">
      <c r="A5470" t="inlineStr">
        <is>
          <t>A 31783-2025</t>
        </is>
      </c>
      <c r="B5470" t="inlineStr">
        <is>
          <t>avverkningsanmälan</t>
        </is>
      </c>
      <c r="C5470" t="inlineStr">
        <is>
          <t>Föryngringsavverkning</t>
        </is>
      </c>
      <c r="D5470" s="1" t="n">
        <v>45834</v>
      </c>
      <c r="E5470" s="1" t="n">
        <v>46323</v>
      </c>
      <c r="F5470" t="inlineStr">
        <is>
          <t>KALMAR LÄN</t>
        </is>
      </c>
      <c r="G5470" t="inlineStr">
        <is>
          <t>HULTSFRED</t>
        </is>
      </c>
      <c r="I5470" t="n">
        <v>2.2</v>
      </c>
      <c r="J5470" t="n">
        <v>0</v>
      </c>
      <c r="K5470" t="n">
        <v>0</v>
      </c>
      <c r="L5470" t="n">
        <v>0</v>
      </c>
      <c r="M5470" t="n">
        <v>0</v>
      </c>
      <c r="N5470" t="n">
        <v>0</v>
      </c>
      <c r="O5470" t="n">
        <v>0</v>
      </c>
      <c r="P5470" t="n">
        <v>0</v>
      </c>
      <c r="Q5470" t="n">
        <v>0</v>
      </c>
      <c r="R5470" t="n">
        <v>0</v>
      </c>
      <c r="S5470" t="n">
        <v>0</v>
      </c>
      <c r="T5470" t="n">
        <v>0</v>
      </c>
      <c r="U5470" t="n">
        <v>0</v>
      </c>
      <c r="V5470" s="2" t="inlineStr"/>
    </row>
    <row r="5471" ht="15" customHeight="1">
      <c r="A5471" t="inlineStr">
        <is>
          <t>A 28830-2026</t>
        </is>
      </c>
      <c r="B5471" t="inlineStr">
        <is>
          <t>avverkningsanmälan</t>
        </is>
      </c>
      <c r="C5471" t="inlineStr">
        <is>
          <t>Föryngringsavverkning</t>
        </is>
      </c>
      <c r="D5471" s="1" t="n">
        <v>46198</v>
      </c>
      <c r="E5471" s="1" t="n">
        <v>46323</v>
      </c>
      <c r="F5471" t="inlineStr">
        <is>
          <t>KALMAR LÄN</t>
        </is>
      </c>
      <c r="G5471" t="inlineStr">
        <is>
          <t>HÖGSBY</t>
        </is>
      </c>
      <c r="I5471" t="n">
        <v>1.4</v>
      </c>
      <c r="J5471" t="n">
        <v>0</v>
      </c>
      <c r="K5471" t="n">
        <v>0</v>
      </c>
      <c r="L5471" t="n">
        <v>0</v>
      </c>
      <c r="M5471" t="n">
        <v>0</v>
      </c>
      <c r="N5471" t="n">
        <v>0</v>
      </c>
      <c r="O5471" t="n">
        <v>0</v>
      </c>
      <c r="P5471" t="n">
        <v>0</v>
      </c>
      <c r="Q5471" t="n">
        <v>0</v>
      </c>
      <c r="R5471" t="n">
        <v>0</v>
      </c>
      <c r="S5471" t="n">
        <v>0</v>
      </c>
      <c r="T5471" t="n">
        <v>0</v>
      </c>
      <c r="U5471" t="n">
        <v>0</v>
      </c>
      <c r="V5471" s="2" t="inlineStr"/>
    </row>
    <row r="5472" ht="15" customHeight="1">
      <c r="A5472" t="inlineStr">
        <is>
          <t>A 27919-2023</t>
        </is>
      </c>
      <c r="B5472" t="inlineStr">
        <is>
          <t>avverkningsanmälan</t>
        </is>
      </c>
      <c r="C5472" t="inlineStr">
        <is>
          <t>Föryngringsavverkning</t>
        </is>
      </c>
      <c r="D5472" s="1" t="n">
        <v>45098</v>
      </c>
      <c r="E5472" s="1" t="n">
        <v>46323</v>
      </c>
      <c r="F5472" t="inlineStr">
        <is>
          <t>KALMAR LÄN</t>
        </is>
      </c>
      <c r="G5472" t="inlineStr">
        <is>
          <t>OSKARSHAMN</t>
        </is>
      </c>
      <c r="I5472" t="n">
        <v>2.1</v>
      </c>
      <c r="J5472" t="n">
        <v>0</v>
      </c>
      <c r="K5472" t="n">
        <v>0</v>
      </c>
      <c r="L5472" t="n">
        <v>0</v>
      </c>
      <c r="M5472" t="n">
        <v>0</v>
      </c>
      <c r="N5472" t="n">
        <v>0</v>
      </c>
      <c r="O5472" t="n">
        <v>0</v>
      </c>
      <c r="P5472" t="n">
        <v>0</v>
      </c>
      <c r="Q5472" t="n">
        <v>0</v>
      </c>
      <c r="R5472" t="n">
        <v>0</v>
      </c>
      <c r="S5472" t="n">
        <v>0</v>
      </c>
      <c r="T5472" t="n">
        <v>0</v>
      </c>
      <c r="U5472" t="n">
        <v>0</v>
      </c>
      <c r="V5472" s="2" t="inlineStr"/>
    </row>
    <row r="5473" ht="15" customHeight="1">
      <c r="A5473" t="inlineStr">
        <is>
          <t>A 38847-2023</t>
        </is>
      </c>
      <c r="B5473" t="inlineStr">
        <is>
          <t>avverkningsanmälan</t>
        </is>
      </c>
      <c r="C5473" t="inlineStr">
        <is>
          <t>Föryngringsavverkning</t>
        </is>
      </c>
      <c r="D5473" s="1" t="n">
        <v>45163</v>
      </c>
      <c r="E5473" s="1" t="n">
        <v>46323</v>
      </c>
      <c r="F5473" t="inlineStr">
        <is>
          <t>KALMAR LÄN</t>
        </is>
      </c>
      <c r="G5473" t="inlineStr">
        <is>
          <t>TORSÅS</t>
        </is>
      </c>
      <c r="I5473" t="n">
        <v>0.5</v>
      </c>
      <c r="J5473" t="n">
        <v>0</v>
      </c>
      <c r="K5473" t="n">
        <v>0</v>
      </c>
      <c r="L5473" t="n">
        <v>0</v>
      </c>
      <c r="M5473" t="n">
        <v>0</v>
      </c>
      <c r="N5473" t="n">
        <v>0</v>
      </c>
      <c r="O5473" t="n">
        <v>0</v>
      </c>
      <c r="P5473" t="n">
        <v>0</v>
      </c>
      <c r="Q5473" t="n">
        <v>0</v>
      </c>
      <c r="R5473" t="n">
        <v>0</v>
      </c>
      <c r="S5473" t="n">
        <v>0</v>
      </c>
      <c r="T5473" t="n">
        <v>0</v>
      </c>
      <c r="U5473" t="n">
        <v>0</v>
      </c>
      <c r="V5473" s="2" t="inlineStr"/>
    </row>
    <row r="5474" ht="15" customHeight="1">
      <c r="A5474" t="inlineStr">
        <is>
          <t>A 38850-2023</t>
        </is>
      </c>
      <c r="B5474" t="inlineStr">
        <is>
          <t>avverkningsanmälan</t>
        </is>
      </c>
      <c r="C5474" t="inlineStr">
        <is>
          <t>Föryngringsavverkning</t>
        </is>
      </c>
      <c r="D5474" s="1" t="n">
        <v>45163</v>
      </c>
      <c r="E5474" s="1" t="n">
        <v>46323</v>
      </c>
      <c r="F5474" t="inlineStr">
        <is>
          <t>KALMAR LÄN</t>
        </is>
      </c>
      <c r="G5474" t="inlineStr">
        <is>
          <t>TORSÅS</t>
        </is>
      </c>
      <c r="I5474" t="n">
        <v>1.2</v>
      </c>
      <c r="J5474" t="n">
        <v>0</v>
      </c>
      <c r="K5474" t="n">
        <v>0</v>
      </c>
      <c r="L5474" t="n">
        <v>0</v>
      </c>
      <c r="M5474" t="n">
        <v>0</v>
      </c>
      <c r="N5474" t="n">
        <v>0</v>
      </c>
      <c r="O5474" t="n">
        <v>0</v>
      </c>
      <c r="P5474" t="n">
        <v>0</v>
      </c>
      <c r="Q5474" t="n">
        <v>0</v>
      </c>
      <c r="R5474" t="n">
        <v>0</v>
      </c>
      <c r="S5474" t="n">
        <v>0</v>
      </c>
      <c r="T5474" t="n">
        <v>0</v>
      </c>
      <c r="U5474" t="n">
        <v>0</v>
      </c>
      <c r="V5474" s="2" t="inlineStr"/>
    </row>
    <row r="5475" ht="15" customHeight="1">
      <c r="A5475" t="inlineStr">
        <is>
          <t>A 38862-2023</t>
        </is>
      </c>
      <c r="B5475" t="inlineStr">
        <is>
          <t>avverkningsanmälan</t>
        </is>
      </c>
      <c r="C5475" t="inlineStr">
        <is>
          <t>Föryngringsavverkning</t>
        </is>
      </c>
      <c r="D5475" s="1" t="n">
        <v>45163</v>
      </c>
      <c r="E5475" s="1" t="n">
        <v>46323</v>
      </c>
      <c r="F5475" t="inlineStr">
        <is>
          <t>KALMAR LÄN</t>
        </is>
      </c>
      <c r="G5475" t="inlineStr">
        <is>
          <t>OSKARSHAMN</t>
        </is>
      </c>
      <c r="I5475" t="n">
        <v>5.1</v>
      </c>
      <c r="J5475" t="n">
        <v>0</v>
      </c>
      <c r="K5475" t="n">
        <v>0</v>
      </c>
      <c r="L5475" t="n">
        <v>0</v>
      </c>
      <c r="M5475" t="n">
        <v>0</v>
      </c>
      <c r="N5475" t="n">
        <v>0</v>
      </c>
      <c r="O5475" t="n">
        <v>0</v>
      </c>
      <c r="P5475" t="n">
        <v>0</v>
      </c>
      <c r="Q5475" t="n">
        <v>0</v>
      </c>
      <c r="R5475" t="n">
        <v>0</v>
      </c>
      <c r="S5475" t="n">
        <v>0</v>
      </c>
      <c r="T5475" t="n">
        <v>0</v>
      </c>
      <c r="U5475" t="n">
        <v>0</v>
      </c>
      <c r="V5475" s="2" t="inlineStr"/>
    </row>
    <row r="5476" ht="15" customHeight="1">
      <c r="A5476" t="inlineStr">
        <is>
          <t>A 26996-2025</t>
        </is>
      </c>
      <c r="B5476" t="inlineStr">
        <is>
          <t>avverkningsanmälan</t>
        </is>
      </c>
      <c r="C5476" t="inlineStr">
        <is>
          <t>Föryngringsavverkning</t>
        </is>
      </c>
      <c r="D5476" s="1" t="n">
        <v>45811</v>
      </c>
      <c r="E5476" s="1" t="n">
        <v>46323</v>
      </c>
      <c r="F5476" t="inlineStr">
        <is>
          <t>KALMAR LÄN</t>
        </is>
      </c>
      <c r="G5476" t="inlineStr">
        <is>
          <t>OSKARSHAMN</t>
        </is>
      </c>
      <c r="I5476" t="n">
        <v>0.6</v>
      </c>
      <c r="J5476" t="n">
        <v>0</v>
      </c>
      <c r="K5476" t="n">
        <v>0</v>
      </c>
      <c r="L5476" t="n">
        <v>0</v>
      </c>
      <c r="M5476" t="n">
        <v>0</v>
      </c>
      <c r="N5476" t="n">
        <v>0</v>
      </c>
      <c r="O5476" t="n">
        <v>0</v>
      </c>
      <c r="P5476" t="n">
        <v>0</v>
      </c>
      <c r="Q5476" t="n">
        <v>0</v>
      </c>
      <c r="R5476" t="n">
        <v>0</v>
      </c>
      <c r="S5476" t="n">
        <v>0</v>
      </c>
      <c r="T5476" t="n">
        <v>0</v>
      </c>
      <c r="U5476" t="n">
        <v>0</v>
      </c>
      <c r="V5476" s="2" t="inlineStr"/>
    </row>
    <row r="5477" ht="15" customHeight="1">
      <c r="A5477" t="inlineStr">
        <is>
          <t>A 47435-2022</t>
        </is>
      </c>
      <c r="B5477" t="inlineStr">
        <is>
          <t>avverkningsanmälan</t>
        </is>
      </c>
      <c r="C5477" t="inlineStr">
        <is>
          <t>Föryngringsavverkning</t>
        </is>
      </c>
      <c r="D5477" s="1" t="n">
        <v>44853</v>
      </c>
      <c r="E5477" s="1" t="n">
        <v>46323</v>
      </c>
      <c r="F5477" t="inlineStr">
        <is>
          <t>KALMAR LÄN</t>
        </is>
      </c>
      <c r="G5477" t="inlineStr">
        <is>
          <t>NYBRO</t>
        </is>
      </c>
      <c r="I5477" t="n">
        <v>1.1</v>
      </c>
      <c r="J5477" t="n">
        <v>0</v>
      </c>
      <c r="K5477" t="n">
        <v>0</v>
      </c>
      <c r="L5477" t="n">
        <v>0</v>
      </c>
      <c r="M5477" t="n">
        <v>0</v>
      </c>
      <c r="N5477" t="n">
        <v>0</v>
      </c>
      <c r="O5477" t="n">
        <v>0</v>
      </c>
      <c r="P5477" t="n">
        <v>0</v>
      </c>
      <c r="Q5477" t="n">
        <v>0</v>
      </c>
      <c r="R5477" t="n">
        <v>0</v>
      </c>
      <c r="S5477" t="n">
        <v>0</v>
      </c>
      <c r="T5477" t="n">
        <v>0</v>
      </c>
      <c r="U5477" t="n">
        <v>0</v>
      </c>
      <c r="V5477" s="2" t="inlineStr"/>
    </row>
    <row r="5478" ht="15" customHeight="1">
      <c r="A5478" t="inlineStr">
        <is>
          <t>A 26893-2024</t>
        </is>
      </c>
      <c r="B5478" t="inlineStr">
        <is>
          <t>avverkningsanmälan</t>
        </is>
      </c>
      <c r="C5478" t="inlineStr">
        <is>
          <t>Föryngringsavverkning</t>
        </is>
      </c>
      <c r="D5478" s="1" t="n">
        <v>45470</v>
      </c>
      <c r="E5478" s="1" t="n">
        <v>46323</v>
      </c>
      <c r="F5478" t="inlineStr">
        <is>
          <t>KALMAR LÄN</t>
        </is>
      </c>
      <c r="G5478" t="inlineStr">
        <is>
          <t>NYBRO</t>
        </is>
      </c>
      <c r="I5478" t="n">
        <v>0.7</v>
      </c>
      <c r="J5478" t="n">
        <v>0</v>
      </c>
      <c r="K5478" t="n">
        <v>0</v>
      </c>
      <c r="L5478" t="n">
        <v>0</v>
      </c>
      <c r="M5478" t="n">
        <v>0</v>
      </c>
      <c r="N5478" t="n">
        <v>0</v>
      </c>
      <c r="O5478" t="n">
        <v>0</v>
      </c>
      <c r="P5478" t="n">
        <v>0</v>
      </c>
      <c r="Q5478" t="n">
        <v>0</v>
      </c>
      <c r="R5478" t="n">
        <v>0</v>
      </c>
      <c r="S5478" t="n">
        <v>0</v>
      </c>
      <c r="T5478" t="n">
        <v>0</v>
      </c>
      <c r="U5478" t="n">
        <v>0</v>
      </c>
      <c r="V5478" s="2" t="inlineStr"/>
    </row>
    <row r="5479" ht="15" customHeight="1">
      <c r="A5479" t="inlineStr">
        <is>
          <t>A 5192-2025</t>
        </is>
      </c>
      <c r="B5479" t="inlineStr">
        <is>
          <t>avverkningsanmälan</t>
        </is>
      </c>
      <c r="C5479" t="inlineStr">
        <is>
          <t>Föryngringsavverkning</t>
        </is>
      </c>
      <c r="D5479" s="1" t="n">
        <v>45688</v>
      </c>
      <c r="E5479" s="1" t="n">
        <v>46323</v>
      </c>
      <c r="F5479" t="inlineStr">
        <is>
          <t>KALMAR LÄN</t>
        </is>
      </c>
      <c r="G5479" t="inlineStr">
        <is>
          <t>EMMABODA</t>
        </is>
      </c>
      <c r="I5479" t="n">
        <v>3.6</v>
      </c>
      <c r="J5479" t="n">
        <v>0</v>
      </c>
      <c r="K5479" t="n">
        <v>0</v>
      </c>
      <c r="L5479" t="n">
        <v>0</v>
      </c>
      <c r="M5479" t="n">
        <v>0</v>
      </c>
      <c r="N5479" t="n">
        <v>0</v>
      </c>
      <c r="O5479" t="n">
        <v>0</v>
      </c>
      <c r="P5479" t="n">
        <v>0</v>
      </c>
      <c r="Q5479" t="n">
        <v>0</v>
      </c>
      <c r="R5479" t="n">
        <v>0</v>
      </c>
      <c r="S5479" t="n">
        <v>0</v>
      </c>
      <c r="T5479" t="n">
        <v>0</v>
      </c>
      <c r="U5479" t="n">
        <v>0</v>
      </c>
      <c r="V5479" s="2" t="inlineStr"/>
    </row>
    <row r="5480" ht="15" customHeight="1">
      <c r="A5480" t="inlineStr">
        <is>
          <t>A 42208-2026</t>
        </is>
      </c>
      <c r="B5480" t="inlineStr">
        <is>
          <t>avverkningsanmälan</t>
        </is>
      </c>
      <c r="C5480" t="inlineStr">
        <is>
          <t>Föryngringsavverkning</t>
        </is>
      </c>
      <c r="D5480" s="1" t="n">
        <v>46306</v>
      </c>
      <c r="E5480" s="1" t="n">
        <v>46323</v>
      </c>
      <c r="F5480" t="inlineStr">
        <is>
          <t>KALMAR LÄN</t>
        </is>
      </c>
      <c r="G5480" t="inlineStr">
        <is>
          <t>EMMABODA</t>
        </is>
      </c>
      <c r="I5480" t="n">
        <v>1</v>
      </c>
      <c r="J5480" t="n">
        <v>0</v>
      </c>
      <c r="K5480" t="n">
        <v>0</v>
      </c>
      <c r="L5480" t="n">
        <v>0</v>
      </c>
      <c r="M5480" t="n">
        <v>0</v>
      </c>
      <c r="N5480" t="n">
        <v>0</v>
      </c>
      <c r="O5480" t="n">
        <v>0</v>
      </c>
      <c r="P5480" t="n">
        <v>0</v>
      </c>
      <c r="Q5480" t="n">
        <v>0</v>
      </c>
      <c r="R5480" t="n">
        <v>0</v>
      </c>
      <c r="S5480" t="n">
        <v>0</v>
      </c>
      <c r="T5480" t="n">
        <v>0</v>
      </c>
      <c r="U5480" t="n">
        <v>0</v>
      </c>
      <c r="V5480" s="2" t="inlineStr"/>
    </row>
    <row r="5481" ht="15" customHeight="1">
      <c r="A5481" t="inlineStr">
        <is>
          <t>A 15735-2023</t>
        </is>
      </c>
      <c r="B5481" t="inlineStr">
        <is>
          <t>avverkningsanmälan</t>
        </is>
      </c>
      <c r="C5481" t="inlineStr">
        <is>
          <t>Föryngringsavverkning</t>
        </is>
      </c>
      <c r="D5481" s="1" t="n">
        <v>45021</v>
      </c>
      <c r="E5481" s="1" t="n">
        <v>46323</v>
      </c>
      <c r="F5481" t="inlineStr">
        <is>
          <t>KALMAR LÄN</t>
        </is>
      </c>
      <c r="G5481" t="inlineStr">
        <is>
          <t>NYBRO</t>
        </is>
      </c>
      <c r="I5481" t="n">
        <v>0.4</v>
      </c>
      <c r="J5481" t="n">
        <v>0</v>
      </c>
      <c r="K5481" t="n">
        <v>0</v>
      </c>
      <c r="L5481" t="n">
        <v>0</v>
      </c>
      <c r="M5481" t="n">
        <v>0</v>
      </c>
      <c r="N5481" t="n">
        <v>0</v>
      </c>
      <c r="O5481" t="n">
        <v>0</v>
      </c>
      <c r="P5481" t="n">
        <v>0</v>
      </c>
      <c r="Q5481" t="n">
        <v>0</v>
      </c>
      <c r="R5481" t="n">
        <v>0</v>
      </c>
      <c r="S5481" t="n">
        <v>0</v>
      </c>
      <c r="T5481" t="n">
        <v>0</v>
      </c>
      <c r="U5481" t="n">
        <v>0</v>
      </c>
      <c r="V5481" s="2" t="inlineStr"/>
    </row>
    <row r="5482" ht="15" customHeight="1">
      <c r="A5482" t="inlineStr">
        <is>
          <t>A 42271-2026</t>
        </is>
      </c>
      <c r="B5482" t="inlineStr">
        <is>
          <t>avverkningsanmälan</t>
        </is>
      </c>
      <c r="C5482" t="inlineStr">
        <is>
          <t>Föryngringsavverkning</t>
        </is>
      </c>
      <c r="D5482" s="1" t="n">
        <v>46307</v>
      </c>
      <c r="E5482" s="1" t="n">
        <v>46323</v>
      </c>
      <c r="F5482" t="inlineStr">
        <is>
          <t>KALMAR LÄN</t>
        </is>
      </c>
      <c r="G5482" t="inlineStr">
        <is>
          <t>NYBRO</t>
        </is>
      </c>
      <c r="I5482" t="n">
        <v>0.7</v>
      </c>
      <c r="J5482" t="n">
        <v>0</v>
      </c>
      <c r="K5482" t="n">
        <v>0</v>
      </c>
      <c r="L5482" t="n">
        <v>0</v>
      </c>
      <c r="M5482" t="n">
        <v>0</v>
      </c>
      <c r="N5482" t="n">
        <v>0</v>
      </c>
      <c r="O5482" t="n">
        <v>0</v>
      </c>
      <c r="P5482" t="n">
        <v>0</v>
      </c>
      <c r="Q5482" t="n">
        <v>0</v>
      </c>
      <c r="R5482" t="n">
        <v>0</v>
      </c>
      <c r="S5482" t="n">
        <v>0</v>
      </c>
      <c r="T5482" t="n">
        <v>0</v>
      </c>
      <c r="U5482" t="n">
        <v>0</v>
      </c>
      <c r="V5482" s="2" t="inlineStr"/>
    </row>
    <row r="5483" ht="15" customHeight="1">
      <c r="A5483" t="inlineStr">
        <is>
          <t>A 24183-2023</t>
        </is>
      </c>
      <c r="B5483" t="inlineStr">
        <is>
          <t>avverkningsanmälan</t>
        </is>
      </c>
      <c r="C5483" t="inlineStr">
        <is>
          <t>Föryngringsavverkning</t>
        </is>
      </c>
      <c r="D5483" s="1" t="n">
        <v>45079</v>
      </c>
      <c r="E5483" s="1" t="n">
        <v>46323</v>
      </c>
      <c r="F5483" t="inlineStr">
        <is>
          <t>KALMAR LÄN</t>
        </is>
      </c>
      <c r="G5483" t="inlineStr">
        <is>
          <t>NYBRO</t>
        </is>
      </c>
      <c r="I5483" t="n">
        <v>3.9</v>
      </c>
      <c r="J5483" t="n">
        <v>0</v>
      </c>
      <c r="K5483" t="n">
        <v>0</v>
      </c>
      <c r="L5483" t="n">
        <v>0</v>
      </c>
      <c r="M5483" t="n">
        <v>0</v>
      </c>
      <c r="N5483" t="n">
        <v>0</v>
      </c>
      <c r="O5483" t="n">
        <v>0</v>
      </c>
      <c r="P5483" t="n">
        <v>0</v>
      </c>
      <c r="Q5483" t="n">
        <v>0</v>
      </c>
      <c r="R5483" t="n">
        <v>0</v>
      </c>
      <c r="S5483" t="n">
        <v>0</v>
      </c>
      <c r="T5483" t="n">
        <v>0</v>
      </c>
      <c r="U5483" t="n">
        <v>0</v>
      </c>
      <c r="V5483" s="2" t="inlineStr"/>
    </row>
    <row r="5484" ht="15" customHeight="1">
      <c r="A5484" t="inlineStr">
        <is>
          <t>A 29046-2023</t>
        </is>
      </c>
      <c r="B5484" t="inlineStr">
        <is>
          <t>avverkningsanmälan</t>
        </is>
      </c>
      <c r="C5484" t="inlineStr">
        <is>
          <t>Föryngringsavverkning</t>
        </is>
      </c>
      <c r="D5484" s="1" t="n">
        <v>45104</v>
      </c>
      <c r="E5484" s="1" t="n">
        <v>46323</v>
      </c>
      <c r="F5484" t="inlineStr">
        <is>
          <t>KALMAR LÄN</t>
        </is>
      </c>
      <c r="G5484" t="inlineStr">
        <is>
          <t>HULTSFRED</t>
        </is>
      </c>
      <c r="I5484" t="n">
        <v>9.199999999999999</v>
      </c>
      <c r="J5484" t="n">
        <v>0</v>
      </c>
      <c r="K5484" t="n">
        <v>0</v>
      </c>
      <c r="L5484" t="n">
        <v>0</v>
      </c>
      <c r="M5484" t="n">
        <v>0</v>
      </c>
      <c r="N5484" t="n">
        <v>0</v>
      </c>
      <c r="O5484" t="n">
        <v>0</v>
      </c>
      <c r="P5484" t="n">
        <v>0</v>
      </c>
      <c r="Q5484" t="n">
        <v>0</v>
      </c>
      <c r="R5484" t="n">
        <v>0</v>
      </c>
      <c r="S5484" t="n">
        <v>0</v>
      </c>
      <c r="T5484" t="n">
        <v>0</v>
      </c>
      <c r="U5484" t="n">
        <v>0</v>
      </c>
      <c r="V5484" s="2" t="inlineStr"/>
    </row>
    <row r="5485" ht="15" customHeight="1">
      <c r="A5485" t="inlineStr">
        <is>
          <t>A 42501-2026</t>
        </is>
      </c>
      <c r="B5485" t="inlineStr">
        <is>
          <t>avverkningsanmälan</t>
        </is>
      </c>
      <c r="C5485" t="inlineStr">
        <is>
          <t>Föryngringsavverkning</t>
        </is>
      </c>
      <c r="D5485" s="1" t="n">
        <v>46308</v>
      </c>
      <c r="E5485" s="1" t="n">
        <v>46323</v>
      </c>
      <c r="F5485" t="inlineStr">
        <is>
          <t>KALMAR LÄN</t>
        </is>
      </c>
      <c r="G5485" t="inlineStr">
        <is>
          <t>HULTSFRED</t>
        </is>
      </c>
      <c r="I5485" t="n">
        <v>8.300000000000001</v>
      </c>
      <c r="J5485" t="n">
        <v>0</v>
      </c>
      <c r="K5485" t="n">
        <v>0</v>
      </c>
      <c r="L5485" t="n">
        <v>0</v>
      </c>
      <c r="M5485" t="n">
        <v>0</v>
      </c>
      <c r="N5485" t="n">
        <v>0</v>
      </c>
      <c r="O5485" t="n">
        <v>0</v>
      </c>
      <c r="P5485" t="n">
        <v>0</v>
      </c>
      <c r="Q5485" t="n">
        <v>0</v>
      </c>
      <c r="R5485" t="n">
        <v>0</v>
      </c>
      <c r="S5485" t="n">
        <v>0</v>
      </c>
      <c r="T5485" t="n">
        <v>0</v>
      </c>
      <c r="U5485" t="n">
        <v>0</v>
      </c>
      <c r="V5485" s="2" t="inlineStr"/>
    </row>
    <row r="5486" ht="15" customHeight="1">
      <c r="A5486" t="inlineStr">
        <is>
          <t>A 22401-2023</t>
        </is>
      </c>
      <c r="B5486" t="inlineStr">
        <is>
          <t>avverkningsanmälan</t>
        </is>
      </c>
      <c r="C5486" t="inlineStr">
        <is>
          <t>Föryngringsavverkning</t>
        </is>
      </c>
      <c r="D5486" s="1" t="n">
        <v>45070</v>
      </c>
      <c r="E5486" s="1" t="n">
        <v>46323</v>
      </c>
      <c r="F5486" t="inlineStr">
        <is>
          <t>KALMAR LÄN</t>
        </is>
      </c>
      <c r="G5486" t="inlineStr">
        <is>
          <t>HULTSFRED</t>
        </is>
      </c>
      <c r="I5486" t="n">
        <v>2.1</v>
      </c>
      <c r="J5486" t="n">
        <v>0</v>
      </c>
      <c r="K5486" t="n">
        <v>0</v>
      </c>
      <c r="L5486" t="n">
        <v>0</v>
      </c>
      <c r="M5486" t="n">
        <v>0</v>
      </c>
      <c r="N5486" t="n">
        <v>0</v>
      </c>
      <c r="O5486" t="n">
        <v>0</v>
      </c>
      <c r="P5486" t="n">
        <v>0</v>
      </c>
      <c r="Q5486" t="n">
        <v>0</v>
      </c>
      <c r="R5486" t="n">
        <v>0</v>
      </c>
      <c r="S5486" t="n">
        <v>0</v>
      </c>
      <c r="T5486" t="n">
        <v>0</v>
      </c>
      <c r="U5486" t="n">
        <v>0</v>
      </c>
      <c r="V5486" s="2" t="inlineStr"/>
    </row>
    <row r="5487" ht="15" customHeight="1">
      <c r="A5487" t="inlineStr">
        <is>
          <t>A 156-2022</t>
        </is>
      </c>
      <c r="B5487" t="inlineStr">
        <is>
          <t>avverkningsanmälan</t>
        </is>
      </c>
      <c r="C5487" t="inlineStr">
        <is>
          <t>Föryngringsavverkning</t>
        </is>
      </c>
      <c r="D5487" s="1" t="n">
        <v>44564</v>
      </c>
      <c r="E5487" s="1" t="n">
        <v>46323</v>
      </c>
      <c r="F5487" t="inlineStr">
        <is>
          <t>KALMAR LÄN</t>
        </is>
      </c>
      <c r="G5487" t="inlineStr">
        <is>
          <t>OSKARSHAMN</t>
        </is>
      </c>
      <c r="I5487" t="n">
        <v>2.1</v>
      </c>
      <c r="J5487" t="n">
        <v>0</v>
      </c>
      <c r="K5487" t="n">
        <v>0</v>
      </c>
      <c r="L5487" t="n">
        <v>0</v>
      </c>
      <c r="M5487" t="n">
        <v>0</v>
      </c>
      <c r="N5487" t="n">
        <v>0</v>
      </c>
      <c r="O5487" t="n">
        <v>0</v>
      </c>
      <c r="P5487" t="n">
        <v>0</v>
      </c>
      <c r="Q5487" t="n">
        <v>0</v>
      </c>
      <c r="R5487" t="n">
        <v>0</v>
      </c>
      <c r="S5487" t="n">
        <v>0</v>
      </c>
      <c r="T5487" t="n">
        <v>0</v>
      </c>
      <c r="U5487" t="n">
        <v>0</v>
      </c>
      <c r="V5487" s="2" t="inlineStr"/>
    </row>
    <row r="5488" ht="15" customHeight="1">
      <c r="A5488" t="inlineStr">
        <is>
          <t>A 20-2025</t>
        </is>
      </c>
      <c r="B5488" t="inlineStr">
        <is>
          <t>avverkningsanmälan</t>
        </is>
      </c>
      <c r="C5488" t="inlineStr">
        <is>
          <t>Föryngringsavverkning</t>
        </is>
      </c>
      <c r="D5488" s="1" t="n">
        <v>45658</v>
      </c>
      <c r="E5488" s="1" t="n">
        <v>46323</v>
      </c>
      <c r="F5488" t="inlineStr">
        <is>
          <t>KALMAR LÄN</t>
        </is>
      </c>
      <c r="G5488" t="inlineStr">
        <is>
          <t>VIMMERBY</t>
        </is>
      </c>
      <c r="I5488" t="n">
        <v>1.3</v>
      </c>
      <c r="J5488" t="n">
        <v>0</v>
      </c>
      <c r="K5488" t="n">
        <v>0</v>
      </c>
      <c r="L5488" t="n">
        <v>0</v>
      </c>
      <c r="M5488" t="n">
        <v>0</v>
      </c>
      <c r="N5488" t="n">
        <v>0</v>
      </c>
      <c r="O5488" t="n">
        <v>0</v>
      </c>
      <c r="P5488" t="n">
        <v>0</v>
      </c>
      <c r="Q5488" t="n">
        <v>0</v>
      </c>
      <c r="R5488" t="n">
        <v>0</v>
      </c>
      <c r="S5488" t="n">
        <v>0</v>
      </c>
      <c r="T5488" t="n">
        <v>0</v>
      </c>
      <c r="U5488" t="n">
        <v>0</v>
      </c>
      <c r="V5488" s="2" t="inlineStr"/>
    </row>
    <row r="5489" ht="15" customHeight="1">
      <c r="A5489" t="inlineStr">
        <is>
          <t>A 4981-2022</t>
        </is>
      </c>
      <c r="B5489" t="inlineStr">
        <is>
          <t>avverkningsanmälan</t>
        </is>
      </c>
      <c r="C5489" t="inlineStr">
        <is>
          <t>Föryngringsavverkning</t>
        </is>
      </c>
      <c r="D5489" s="1" t="n">
        <v>44593</v>
      </c>
      <c r="E5489" s="1" t="n">
        <v>46323</v>
      </c>
      <c r="F5489" t="inlineStr">
        <is>
          <t>KALMAR LÄN</t>
        </is>
      </c>
      <c r="G5489" t="inlineStr">
        <is>
          <t>MÖNSTERÅS</t>
        </is>
      </c>
      <c r="I5489" t="n">
        <v>3.6</v>
      </c>
      <c r="J5489" t="n">
        <v>0</v>
      </c>
      <c r="K5489" t="n">
        <v>0</v>
      </c>
      <c r="L5489" t="n">
        <v>0</v>
      </c>
      <c r="M5489" t="n">
        <v>0</v>
      </c>
      <c r="N5489" t="n">
        <v>0</v>
      </c>
      <c r="O5489" t="n">
        <v>0</v>
      </c>
      <c r="P5489" t="n">
        <v>0</v>
      </c>
      <c r="Q5489" t="n">
        <v>0</v>
      </c>
      <c r="R5489" t="n">
        <v>0</v>
      </c>
      <c r="S5489" t="n">
        <v>0</v>
      </c>
      <c r="T5489" t="n">
        <v>0</v>
      </c>
      <c r="U5489" t="n">
        <v>0</v>
      </c>
      <c r="V5489" s="2" t="inlineStr"/>
    </row>
    <row r="5490" ht="15" customHeight="1">
      <c r="A5490" t="inlineStr">
        <is>
          <t>A 4925-2022</t>
        </is>
      </c>
      <c r="B5490" t="inlineStr">
        <is>
          <t>avverkningsanmälan</t>
        </is>
      </c>
      <c r="C5490" t="inlineStr">
        <is>
          <t>Föryngringsavverkning</t>
        </is>
      </c>
      <c r="D5490" s="1" t="n">
        <v>44593</v>
      </c>
      <c r="E5490" s="1" t="n">
        <v>46323</v>
      </c>
      <c r="F5490" t="inlineStr">
        <is>
          <t>KALMAR LÄN</t>
        </is>
      </c>
      <c r="G5490" t="inlineStr">
        <is>
          <t>TORSÅS</t>
        </is>
      </c>
      <c r="I5490" t="n">
        <v>4.4</v>
      </c>
      <c r="J5490" t="n">
        <v>0</v>
      </c>
      <c r="K5490" t="n">
        <v>0</v>
      </c>
      <c r="L5490" t="n">
        <v>0</v>
      </c>
      <c r="M5490" t="n">
        <v>0</v>
      </c>
      <c r="N5490" t="n">
        <v>0</v>
      </c>
      <c r="O5490" t="n">
        <v>0</v>
      </c>
      <c r="P5490" t="n">
        <v>0</v>
      </c>
      <c r="Q5490" t="n">
        <v>0</v>
      </c>
      <c r="R5490" t="n">
        <v>0</v>
      </c>
      <c r="S5490" t="n">
        <v>0</v>
      </c>
      <c r="T5490" t="n">
        <v>0</v>
      </c>
      <c r="U5490" t="n">
        <v>0</v>
      </c>
      <c r="V5490" s="2" t="inlineStr"/>
    </row>
    <row r="5491" ht="15" customHeight="1">
      <c r="A5491" t="inlineStr">
        <is>
          <t>A 20183-2026</t>
        </is>
      </c>
      <c r="B5491" t="inlineStr">
        <is>
          <t>avverkningsanmälan</t>
        </is>
      </c>
      <c r="C5491" t="inlineStr">
        <is>
          <t>Föryngringsavverkning</t>
        </is>
      </c>
      <c r="D5491" s="1" t="n">
        <v>46139</v>
      </c>
      <c r="E5491" s="1" t="n">
        <v>46323</v>
      </c>
      <c r="F5491" t="inlineStr">
        <is>
          <t>KALMAR LÄN</t>
        </is>
      </c>
      <c r="G5491" t="inlineStr">
        <is>
          <t>KALMAR</t>
        </is>
      </c>
      <c r="I5491" t="n">
        <v>0.5</v>
      </c>
      <c r="J5491" t="n">
        <v>0</v>
      </c>
      <c r="K5491" t="n">
        <v>0</v>
      </c>
      <c r="L5491" t="n">
        <v>0</v>
      </c>
      <c r="M5491" t="n">
        <v>0</v>
      </c>
      <c r="N5491" t="n">
        <v>0</v>
      </c>
      <c r="O5491" t="n">
        <v>0</v>
      </c>
      <c r="P5491" t="n">
        <v>0</v>
      </c>
      <c r="Q5491" t="n">
        <v>0</v>
      </c>
      <c r="R5491" t="n">
        <v>0</v>
      </c>
      <c r="S5491" t="n">
        <v>0</v>
      </c>
      <c r="T5491" t="n">
        <v>0</v>
      </c>
      <c r="U5491" t="n">
        <v>0</v>
      </c>
      <c r="V5491" s="2" t="inlineStr"/>
    </row>
    <row r="5492" ht="15" customHeight="1">
      <c r="A5492" t="inlineStr">
        <is>
          <t>A 27446-2025</t>
        </is>
      </c>
      <c r="B5492" t="inlineStr">
        <is>
          <t>avverkningsanmälan</t>
        </is>
      </c>
      <c r="C5492" t="inlineStr">
        <is>
          <t>Föryngringsavverkning</t>
        </is>
      </c>
      <c r="D5492" s="1" t="n">
        <v>45813</v>
      </c>
      <c r="E5492" s="1" t="n">
        <v>46323</v>
      </c>
      <c r="F5492" t="inlineStr">
        <is>
          <t>KALMAR LÄN</t>
        </is>
      </c>
      <c r="G5492" t="inlineStr">
        <is>
          <t>VÄSTERVIK</t>
        </is>
      </c>
      <c r="I5492" t="n">
        <v>0.8</v>
      </c>
      <c r="J5492" t="n">
        <v>0</v>
      </c>
      <c r="K5492" t="n">
        <v>0</v>
      </c>
      <c r="L5492" t="n">
        <v>0</v>
      </c>
      <c r="M5492" t="n">
        <v>0</v>
      </c>
      <c r="N5492" t="n">
        <v>0</v>
      </c>
      <c r="O5492" t="n">
        <v>0</v>
      </c>
      <c r="P5492" t="n">
        <v>0</v>
      </c>
      <c r="Q5492" t="n">
        <v>0</v>
      </c>
      <c r="R5492" t="n">
        <v>0</v>
      </c>
      <c r="S5492" t="n">
        <v>0</v>
      </c>
      <c r="T5492" t="n">
        <v>0</v>
      </c>
      <c r="U5492" t="n">
        <v>0</v>
      </c>
      <c r="V5492" s="2" t="inlineStr"/>
    </row>
    <row r="5493" ht="15" customHeight="1">
      <c r="A5493" t="inlineStr">
        <is>
          <t>A 51619-2023</t>
        </is>
      </c>
      <c r="B5493" t="inlineStr">
        <is>
          <t>avverkningsanmälan</t>
        </is>
      </c>
      <c r="C5493" t="inlineStr">
        <is>
          <t>Föryngringsavverkning</t>
        </is>
      </c>
      <c r="D5493" s="1" t="n">
        <v>45222</v>
      </c>
      <c r="E5493" s="1" t="n">
        <v>46323</v>
      </c>
      <c r="F5493" t="inlineStr">
        <is>
          <t>KALMAR LÄN</t>
        </is>
      </c>
      <c r="G5493" t="inlineStr">
        <is>
          <t>HÖGSBY</t>
        </is>
      </c>
      <c r="H5493" t="inlineStr">
        <is>
          <t>Sveaskog</t>
        </is>
      </c>
      <c r="I5493" t="n">
        <v>1.3</v>
      </c>
      <c r="J5493" t="n">
        <v>0</v>
      </c>
      <c r="K5493" t="n">
        <v>0</v>
      </c>
      <c r="L5493" t="n">
        <v>0</v>
      </c>
      <c r="M5493" t="n">
        <v>0</v>
      </c>
      <c r="N5493" t="n">
        <v>0</v>
      </c>
      <c r="O5493" t="n">
        <v>0</v>
      </c>
      <c r="P5493" t="n">
        <v>0</v>
      </c>
      <c r="Q5493" t="n">
        <v>0</v>
      </c>
      <c r="R5493" t="n">
        <v>0</v>
      </c>
      <c r="S5493" t="n">
        <v>0</v>
      </c>
      <c r="T5493" t="n">
        <v>0</v>
      </c>
      <c r="U5493" t="n">
        <v>0</v>
      </c>
      <c r="V5493" s="2" t="inlineStr"/>
    </row>
    <row r="5494" ht="15" customHeight="1">
      <c r="A5494" t="inlineStr">
        <is>
          <t>A 25561-2024</t>
        </is>
      </c>
      <c r="B5494" t="inlineStr">
        <is>
          <t>avverkningsanmälan</t>
        </is>
      </c>
      <c r="C5494" t="inlineStr">
        <is>
          <t>Föryngringsavverkning</t>
        </is>
      </c>
      <c r="D5494" s="1" t="n">
        <v>45463</v>
      </c>
      <c r="E5494" s="1" t="n">
        <v>46323</v>
      </c>
      <c r="F5494" t="inlineStr">
        <is>
          <t>KALMAR LÄN</t>
        </is>
      </c>
      <c r="G5494" t="inlineStr">
        <is>
          <t>VÄSTERVIK</t>
        </is>
      </c>
      <c r="H5494" t="inlineStr">
        <is>
          <t>Holmen skog AB</t>
        </is>
      </c>
      <c r="I5494" t="n">
        <v>7.2</v>
      </c>
      <c r="J5494" t="n">
        <v>0</v>
      </c>
      <c r="K5494" t="n">
        <v>0</v>
      </c>
      <c r="L5494" t="n">
        <v>0</v>
      </c>
      <c r="M5494" t="n">
        <v>0</v>
      </c>
      <c r="N5494" t="n">
        <v>0</v>
      </c>
      <c r="O5494" t="n">
        <v>0</v>
      </c>
      <c r="P5494" t="n">
        <v>0</v>
      </c>
      <c r="Q5494" t="n">
        <v>0</v>
      </c>
      <c r="R5494" t="n">
        <v>0</v>
      </c>
      <c r="S5494" t="n">
        <v>0</v>
      </c>
      <c r="T5494" t="n">
        <v>0</v>
      </c>
      <c r="U5494" t="n">
        <v>0</v>
      </c>
      <c r="V5494" s="2" t="inlineStr"/>
    </row>
    <row r="5495" ht="15" customHeight="1">
      <c r="A5495" t="inlineStr">
        <is>
          <t>A 9106-2025</t>
        </is>
      </c>
      <c r="B5495" t="inlineStr">
        <is>
          <t>avverkningsanmälan</t>
        </is>
      </c>
      <c r="C5495" t="inlineStr">
        <is>
          <t>Föryngringsavverkning</t>
        </is>
      </c>
      <c r="D5495" s="1" t="n">
        <v>45713</v>
      </c>
      <c r="E5495" s="1" t="n">
        <v>46323</v>
      </c>
      <c r="F5495" t="inlineStr">
        <is>
          <t>KALMAR LÄN</t>
        </is>
      </c>
      <c r="G5495" t="inlineStr">
        <is>
          <t>NYBRO</t>
        </is>
      </c>
      <c r="I5495" t="n">
        <v>13.2</v>
      </c>
      <c r="J5495" t="n">
        <v>0</v>
      </c>
      <c r="K5495" t="n">
        <v>0</v>
      </c>
      <c r="L5495" t="n">
        <v>0</v>
      </c>
      <c r="M5495" t="n">
        <v>0</v>
      </c>
      <c r="N5495" t="n">
        <v>0</v>
      </c>
      <c r="O5495" t="n">
        <v>0</v>
      </c>
      <c r="P5495" t="n">
        <v>0</v>
      </c>
      <c r="Q5495" t="n">
        <v>0</v>
      </c>
      <c r="R5495" t="n">
        <v>0</v>
      </c>
      <c r="S5495" t="n">
        <v>0</v>
      </c>
      <c r="T5495" t="n">
        <v>0</v>
      </c>
      <c r="U5495" t="n">
        <v>0</v>
      </c>
      <c r="V5495" s="2" t="inlineStr"/>
    </row>
    <row r="5496" ht="15" customHeight="1">
      <c r="A5496" t="inlineStr">
        <is>
          <t>A 27533-2025</t>
        </is>
      </c>
      <c r="B5496" t="inlineStr">
        <is>
          <t>avverkningsanmälan</t>
        </is>
      </c>
      <c r="C5496" t="inlineStr">
        <is>
          <t>Föryngringsavverkning</t>
        </is>
      </c>
      <c r="D5496" s="1" t="n">
        <v>45813</v>
      </c>
      <c r="E5496" s="1" t="n">
        <v>46323</v>
      </c>
      <c r="F5496" t="inlineStr">
        <is>
          <t>KALMAR LÄN</t>
        </is>
      </c>
      <c r="G5496" t="inlineStr">
        <is>
          <t>EMMABODA</t>
        </is>
      </c>
      <c r="I5496" t="n">
        <v>1.1</v>
      </c>
      <c r="J5496" t="n">
        <v>0</v>
      </c>
      <c r="K5496" t="n">
        <v>0</v>
      </c>
      <c r="L5496" t="n">
        <v>0</v>
      </c>
      <c r="M5496" t="n">
        <v>0</v>
      </c>
      <c r="N5496" t="n">
        <v>0</v>
      </c>
      <c r="O5496" t="n">
        <v>0</v>
      </c>
      <c r="P5496" t="n">
        <v>0</v>
      </c>
      <c r="Q5496" t="n">
        <v>0</v>
      </c>
      <c r="R5496" t="n">
        <v>0</v>
      </c>
      <c r="S5496" t="n">
        <v>0</v>
      </c>
      <c r="T5496" t="n">
        <v>0</v>
      </c>
      <c r="U5496" t="n">
        <v>0</v>
      </c>
      <c r="V5496" s="2" t="inlineStr"/>
    </row>
    <row r="5497" ht="15" customHeight="1">
      <c r="A5497" t="inlineStr">
        <is>
          <t>A 15765-2023</t>
        </is>
      </c>
      <c r="B5497" t="inlineStr">
        <is>
          <t>avverkningsanmälan</t>
        </is>
      </c>
      <c r="C5497" t="inlineStr">
        <is>
          <t>Föryngringsavverkning</t>
        </is>
      </c>
      <c r="D5497" s="1" t="n">
        <v>45021</v>
      </c>
      <c r="E5497" s="1" t="n">
        <v>46323</v>
      </c>
      <c r="F5497" t="inlineStr">
        <is>
          <t>KALMAR LÄN</t>
        </is>
      </c>
      <c r="G5497" t="inlineStr">
        <is>
          <t>VÄSTERVIK</t>
        </is>
      </c>
      <c r="I5497" t="n">
        <v>0.5</v>
      </c>
      <c r="J5497" t="n">
        <v>0</v>
      </c>
      <c r="K5497" t="n">
        <v>0</v>
      </c>
      <c r="L5497" t="n">
        <v>0</v>
      </c>
      <c r="M5497" t="n">
        <v>0</v>
      </c>
      <c r="N5497" t="n">
        <v>0</v>
      </c>
      <c r="O5497" t="n">
        <v>0</v>
      </c>
      <c r="P5497" t="n">
        <v>0</v>
      </c>
      <c r="Q5497" t="n">
        <v>0</v>
      </c>
      <c r="R5497" t="n">
        <v>0</v>
      </c>
      <c r="S5497" t="n">
        <v>0</v>
      </c>
      <c r="T5497" t="n">
        <v>0</v>
      </c>
      <c r="U5497" t="n">
        <v>0</v>
      </c>
      <c r="V5497" s="2" t="inlineStr"/>
    </row>
    <row r="5498" ht="15" customHeight="1">
      <c r="A5498" t="inlineStr">
        <is>
          <t>A 35708-2026</t>
        </is>
      </c>
      <c r="B5498" t="inlineStr">
        <is>
          <t>avverkningsanmälan</t>
        </is>
      </c>
      <c r="C5498" t="inlineStr">
        <is>
          <t>Föryngringsavverkning</t>
        </is>
      </c>
      <c r="D5498" s="1" t="n">
        <v>46265</v>
      </c>
      <c r="E5498" s="1" t="n">
        <v>46323</v>
      </c>
      <c r="F5498" t="inlineStr">
        <is>
          <t>KALMAR LÄN</t>
        </is>
      </c>
      <c r="G5498" t="inlineStr">
        <is>
          <t>TORSÅS</t>
        </is>
      </c>
      <c r="I5498" t="n">
        <v>1.8</v>
      </c>
      <c r="J5498" t="n">
        <v>0</v>
      </c>
      <c r="K5498" t="n">
        <v>0</v>
      </c>
      <c r="L5498" t="n">
        <v>0</v>
      </c>
      <c r="M5498" t="n">
        <v>0</v>
      </c>
      <c r="N5498" t="n">
        <v>0</v>
      </c>
      <c r="O5498" t="n">
        <v>0</v>
      </c>
      <c r="P5498" t="n">
        <v>0</v>
      </c>
      <c r="Q5498" t="n">
        <v>0</v>
      </c>
      <c r="R5498" t="n">
        <v>0</v>
      </c>
      <c r="S5498" t="n">
        <v>0</v>
      </c>
      <c r="T5498" t="n">
        <v>0</v>
      </c>
      <c r="U5498" t="n">
        <v>0</v>
      </c>
      <c r="V5498" s="2" t="inlineStr"/>
    </row>
    <row r="5499" ht="15" customHeight="1">
      <c r="A5499" t="inlineStr">
        <is>
          <t>A 35725-2026</t>
        </is>
      </c>
      <c r="B5499" t="inlineStr">
        <is>
          <t>avverkningsanmälan</t>
        </is>
      </c>
      <c r="C5499" t="inlineStr">
        <is>
          <t>Föryngringsavverkning</t>
        </is>
      </c>
      <c r="D5499" s="1" t="n">
        <v>46265</v>
      </c>
      <c r="E5499" s="1" t="n">
        <v>46323</v>
      </c>
      <c r="F5499" t="inlineStr">
        <is>
          <t>KALMAR LÄN</t>
        </is>
      </c>
      <c r="G5499" t="inlineStr">
        <is>
          <t>TORSÅS</t>
        </is>
      </c>
      <c r="I5499" t="n">
        <v>4.7</v>
      </c>
      <c r="J5499" t="n">
        <v>0</v>
      </c>
      <c r="K5499" t="n">
        <v>0</v>
      </c>
      <c r="L5499" t="n">
        <v>0</v>
      </c>
      <c r="M5499" t="n">
        <v>0</v>
      </c>
      <c r="N5499" t="n">
        <v>0</v>
      </c>
      <c r="O5499" t="n">
        <v>0</v>
      </c>
      <c r="P5499" t="n">
        <v>0</v>
      </c>
      <c r="Q5499" t="n">
        <v>0</v>
      </c>
      <c r="R5499" t="n">
        <v>0</v>
      </c>
      <c r="S5499" t="n">
        <v>0</v>
      </c>
      <c r="T5499" t="n">
        <v>0</v>
      </c>
      <c r="U5499" t="n">
        <v>0</v>
      </c>
      <c r="V5499" s="2" t="inlineStr"/>
    </row>
    <row r="5500" ht="15" customHeight="1">
      <c r="A5500" t="inlineStr">
        <is>
          <t>A 15782-2023</t>
        </is>
      </c>
      <c r="B5500" t="inlineStr">
        <is>
          <t>avverkningsanmälan</t>
        </is>
      </c>
      <c r="C5500" t="inlineStr">
        <is>
          <t>Föryngringsavverkning</t>
        </is>
      </c>
      <c r="D5500" s="1" t="n">
        <v>45021</v>
      </c>
      <c r="E5500" s="1" t="n">
        <v>46323</v>
      </c>
      <c r="F5500" t="inlineStr">
        <is>
          <t>KALMAR LÄN</t>
        </is>
      </c>
      <c r="G5500" t="inlineStr">
        <is>
          <t>OSKARSHAMN</t>
        </is>
      </c>
      <c r="I5500" t="n">
        <v>2.5</v>
      </c>
      <c r="J5500" t="n">
        <v>0</v>
      </c>
      <c r="K5500" t="n">
        <v>0</v>
      </c>
      <c r="L5500" t="n">
        <v>0</v>
      </c>
      <c r="M5500" t="n">
        <v>0</v>
      </c>
      <c r="N5500" t="n">
        <v>0</v>
      </c>
      <c r="O5500" t="n">
        <v>0</v>
      </c>
      <c r="P5500" t="n">
        <v>0</v>
      </c>
      <c r="Q5500" t="n">
        <v>0</v>
      </c>
      <c r="R5500" t="n">
        <v>0</v>
      </c>
      <c r="S5500" t="n">
        <v>0</v>
      </c>
      <c r="T5500" t="n">
        <v>0</v>
      </c>
      <c r="U5500" t="n">
        <v>0</v>
      </c>
      <c r="V5500" s="2" t="inlineStr"/>
    </row>
    <row r="5501" ht="15" customHeight="1">
      <c r="A5501" t="inlineStr">
        <is>
          <t>A 14055-2025</t>
        </is>
      </c>
      <c r="B5501" t="inlineStr">
        <is>
          <t>avverkningsanmälan</t>
        </is>
      </c>
      <c r="C5501" t="inlineStr">
        <is>
          <t>Föryngringsavverkning</t>
        </is>
      </c>
      <c r="D5501" s="1" t="n">
        <v>45740</v>
      </c>
      <c r="E5501" s="1" t="n">
        <v>46323</v>
      </c>
      <c r="F5501" t="inlineStr">
        <is>
          <t>KALMAR LÄN</t>
        </is>
      </c>
      <c r="G5501" t="inlineStr">
        <is>
          <t>VÄSTERVIK</t>
        </is>
      </c>
      <c r="H5501" t="inlineStr">
        <is>
          <t>Sveaskog</t>
        </is>
      </c>
      <c r="I5501" t="n">
        <v>1.5</v>
      </c>
      <c r="J5501" t="n">
        <v>0</v>
      </c>
      <c r="K5501" t="n">
        <v>0</v>
      </c>
      <c r="L5501" t="n">
        <v>0</v>
      </c>
      <c r="M5501" t="n">
        <v>0</v>
      </c>
      <c r="N5501" t="n">
        <v>0</v>
      </c>
      <c r="O5501" t="n">
        <v>0</v>
      </c>
      <c r="P5501" t="n">
        <v>0</v>
      </c>
      <c r="Q5501" t="n">
        <v>0</v>
      </c>
      <c r="R5501" t="n">
        <v>0</v>
      </c>
      <c r="S5501" t="n">
        <v>0</v>
      </c>
      <c r="T5501" t="n">
        <v>0</v>
      </c>
      <c r="U5501" t="n">
        <v>0</v>
      </c>
      <c r="V5501" s="2" t="inlineStr"/>
    </row>
    <row r="5502" ht="15" customHeight="1">
      <c r="A5502" t="inlineStr">
        <is>
          <t>A 14160-2025</t>
        </is>
      </c>
      <c r="B5502" t="inlineStr">
        <is>
          <t>avverkningsanmälan</t>
        </is>
      </c>
      <c r="C5502" t="inlineStr">
        <is>
          <t>Föryngringsavverkning</t>
        </is>
      </c>
      <c r="D5502" s="1" t="n">
        <v>45740</v>
      </c>
      <c r="E5502" s="1" t="n">
        <v>46323</v>
      </c>
      <c r="F5502" t="inlineStr">
        <is>
          <t>KALMAR LÄN</t>
        </is>
      </c>
      <c r="G5502" t="inlineStr">
        <is>
          <t>EMMABODA</t>
        </is>
      </c>
      <c r="I5502" t="n">
        <v>0.6</v>
      </c>
      <c r="J5502" t="n">
        <v>0</v>
      </c>
      <c r="K5502" t="n">
        <v>0</v>
      </c>
      <c r="L5502" t="n">
        <v>0</v>
      </c>
      <c r="M5502" t="n">
        <v>0</v>
      </c>
      <c r="N5502" t="n">
        <v>0</v>
      </c>
      <c r="O5502" t="n">
        <v>0</v>
      </c>
      <c r="P5502" t="n">
        <v>0</v>
      </c>
      <c r="Q5502" t="n">
        <v>0</v>
      </c>
      <c r="R5502" t="n">
        <v>0</v>
      </c>
      <c r="S5502" t="n">
        <v>0</v>
      </c>
      <c r="T5502" t="n">
        <v>0</v>
      </c>
      <c r="U5502" t="n">
        <v>0</v>
      </c>
      <c r="V5502" s="2" t="inlineStr"/>
    </row>
    <row r="5503" ht="15" customHeight="1">
      <c r="A5503" t="inlineStr">
        <is>
          <t>A 8650-2022</t>
        </is>
      </c>
      <c r="B5503" t="inlineStr">
        <is>
          <t>avverkningsanmälan</t>
        </is>
      </c>
      <c r="C5503" t="inlineStr">
        <is>
          <t>Föryngringsavverkning</t>
        </is>
      </c>
      <c r="D5503" s="1" t="n">
        <v>44613</v>
      </c>
      <c r="E5503" s="1" t="n">
        <v>46323</v>
      </c>
      <c r="F5503" t="inlineStr">
        <is>
          <t>KALMAR LÄN</t>
        </is>
      </c>
      <c r="G5503" t="inlineStr">
        <is>
          <t>VIMMERBY</t>
        </is>
      </c>
      <c r="I5503" t="n">
        <v>1.4</v>
      </c>
      <c r="J5503" t="n">
        <v>0</v>
      </c>
      <c r="K5503" t="n">
        <v>0</v>
      </c>
      <c r="L5503" t="n">
        <v>0</v>
      </c>
      <c r="M5503" t="n">
        <v>0</v>
      </c>
      <c r="N5503" t="n">
        <v>0</v>
      </c>
      <c r="O5503" t="n">
        <v>0</v>
      </c>
      <c r="P5503" t="n">
        <v>0</v>
      </c>
      <c r="Q5503" t="n">
        <v>0</v>
      </c>
      <c r="R5503" t="n">
        <v>0</v>
      </c>
      <c r="S5503" t="n">
        <v>0</v>
      </c>
      <c r="T5503" t="n">
        <v>0</v>
      </c>
      <c r="U5503" t="n">
        <v>0</v>
      </c>
      <c r="V5503" s="2" t="inlineStr"/>
    </row>
    <row r="5504" ht="15" customHeight="1">
      <c r="A5504" t="inlineStr">
        <is>
          <t>A 13729-2023</t>
        </is>
      </c>
      <c r="B5504" t="inlineStr">
        <is>
          <t>avverkningsanmälan</t>
        </is>
      </c>
      <c r="C5504" t="inlineStr">
        <is>
          <t>Föryngringsavverkning</t>
        </is>
      </c>
      <c r="D5504" s="1" t="n">
        <v>45007</v>
      </c>
      <c r="E5504" s="1" t="n">
        <v>46323</v>
      </c>
      <c r="F5504" t="inlineStr">
        <is>
          <t>KALMAR LÄN</t>
        </is>
      </c>
      <c r="G5504" t="inlineStr">
        <is>
          <t>OSKARSHAMN</t>
        </is>
      </c>
      <c r="H5504" t="inlineStr">
        <is>
          <t>Övriga Aktiebolag</t>
        </is>
      </c>
      <c r="I5504" t="n">
        <v>1.1</v>
      </c>
      <c r="J5504" t="n">
        <v>0</v>
      </c>
      <c r="K5504" t="n">
        <v>0</v>
      </c>
      <c r="L5504" t="n">
        <v>0</v>
      </c>
      <c r="M5504" t="n">
        <v>0</v>
      </c>
      <c r="N5504" t="n">
        <v>0</v>
      </c>
      <c r="O5504" t="n">
        <v>0</v>
      </c>
      <c r="P5504" t="n">
        <v>0</v>
      </c>
      <c r="Q5504" t="n">
        <v>0</v>
      </c>
      <c r="R5504" t="n">
        <v>0</v>
      </c>
      <c r="S5504" t="n">
        <v>0</v>
      </c>
      <c r="T5504" t="n">
        <v>0</v>
      </c>
      <c r="U5504" t="n">
        <v>0</v>
      </c>
      <c r="V5504" s="2" t="inlineStr"/>
    </row>
    <row r="5505" ht="15" customHeight="1">
      <c r="A5505" t="inlineStr">
        <is>
          <t>A 42279-2023</t>
        </is>
      </c>
      <c r="B5505" t="inlineStr">
        <is>
          <t>avverkningsanmälan</t>
        </is>
      </c>
      <c r="C5505" t="inlineStr">
        <is>
          <t>Föryngringsavverkning</t>
        </is>
      </c>
      <c r="D5505" s="1" t="n">
        <v>45180</v>
      </c>
      <c r="E5505" s="1" t="n">
        <v>46323</v>
      </c>
      <c r="F5505" t="inlineStr">
        <is>
          <t>KALMAR LÄN</t>
        </is>
      </c>
      <c r="G5505" t="inlineStr">
        <is>
          <t>EMMABODA</t>
        </is>
      </c>
      <c r="I5505" t="n">
        <v>4.4</v>
      </c>
      <c r="J5505" t="n">
        <v>0</v>
      </c>
      <c r="K5505" t="n">
        <v>0</v>
      </c>
      <c r="L5505" t="n">
        <v>0</v>
      </c>
      <c r="M5505" t="n">
        <v>0</v>
      </c>
      <c r="N5505" t="n">
        <v>0</v>
      </c>
      <c r="O5505" t="n">
        <v>0</v>
      </c>
      <c r="P5505" t="n">
        <v>0</v>
      </c>
      <c r="Q5505" t="n">
        <v>0</v>
      </c>
      <c r="R5505" t="n">
        <v>0</v>
      </c>
      <c r="S5505" t="n">
        <v>0</v>
      </c>
      <c r="T5505" t="n">
        <v>0</v>
      </c>
      <c r="U5505" t="n">
        <v>0</v>
      </c>
      <c r="V5505" s="2" t="inlineStr"/>
    </row>
    <row r="5506" ht="15" customHeight="1">
      <c r="A5506" t="inlineStr">
        <is>
          <t>A 7210-2025</t>
        </is>
      </c>
      <c r="B5506" t="inlineStr">
        <is>
          <t>avverkningsanmälan</t>
        </is>
      </c>
      <c r="C5506" t="inlineStr">
        <is>
          <t>Föryngringsavverkning</t>
        </is>
      </c>
      <c r="D5506" s="1" t="n">
        <v>45702</v>
      </c>
      <c r="E5506" s="1" t="n">
        <v>46323</v>
      </c>
      <c r="F5506" t="inlineStr">
        <is>
          <t>KALMAR LÄN</t>
        </is>
      </c>
      <c r="G5506" t="inlineStr">
        <is>
          <t>HULTSFRED</t>
        </is>
      </c>
      <c r="H5506" t="inlineStr">
        <is>
          <t>Sveaskog</t>
        </is>
      </c>
      <c r="I5506" t="n">
        <v>4.5</v>
      </c>
      <c r="J5506" t="n">
        <v>0</v>
      </c>
      <c r="K5506" t="n">
        <v>0</v>
      </c>
      <c r="L5506" t="n">
        <v>0</v>
      </c>
      <c r="M5506" t="n">
        <v>0</v>
      </c>
      <c r="N5506" t="n">
        <v>0</v>
      </c>
      <c r="O5506" t="n">
        <v>0</v>
      </c>
      <c r="P5506" t="n">
        <v>0</v>
      </c>
      <c r="Q5506" t="n">
        <v>0</v>
      </c>
      <c r="R5506" t="n">
        <v>0</v>
      </c>
      <c r="S5506" t="n">
        <v>0</v>
      </c>
      <c r="T5506" t="n">
        <v>0</v>
      </c>
      <c r="U5506" t="n">
        <v>0</v>
      </c>
      <c r="V5506" s="2" t="inlineStr"/>
    </row>
    <row r="5507" ht="15" customHeight="1">
      <c r="A5507" t="inlineStr">
        <is>
          <t>A 1417-2025</t>
        </is>
      </c>
      <c r="B5507" t="inlineStr">
        <is>
          <t>avverkningsanmälan</t>
        </is>
      </c>
      <c r="C5507" t="inlineStr">
        <is>
          <t>Föryngringsavverkning</t>
        </is>
      </c>
      <c r="D5507" s="1" t="n">
        <v>45668</v>
      </c>
      <c r="E5507" s="1" t="n">
        <v>46323</v>
      </c>
      <c r="F5507" t="inlineStr">
        <is>
          <t>KALMAR LÄN</t>
        </is>
      </c>
      <c r="G5507" t="inlineStr">
        <is>
          <t>EMMABODA</t>
        </is>
      </c>
      <c r="I5507" t="n">
        <v>1</v>
      </c>
      <c r="J5507" t="n">
        <v>0</v>
      </c>
      <c r="K5507" t="n">
        <v>0</v>
      </c>
      <c r="L5507" t="n">
        <v>0</v>
      </c>
      <c r="M5507" t="n">
        <v>0</v>
      </c>
      <c r="N5507" t="n">
        <v>0</v>
      </c>
      <c r="O5507" t="n">
        <v>0</v>
      </c>
      <c r="P5507" t="n">
        <v>0</v>
      </c>
      <c r="Q5507" t="n">
        <v>0</v>
      </c>
      <c r="R5507" t="n">
        <v>0</v>
      </c>
      <c r="S5507" t="n">
        <v>0</v>
      </c>
      <c r="T5507" t="n">
        <v>0</v>
      </c>
      <c r="U5507" t="n">
        <v>0</v>
      </c>
      <c r="V5507" s="2" t="inlineStr"/>
    </row>
    <row r="5508" ht="15" customHeight="1">
      <c r="A5508" t="inlineStr">
        <is>
          <t>A 1419-2025</t>
        </is>
      </c>
      <c r="B5508" t="inlineStr">
        <is>
          <t>avverkningsanmälan</t>
        </is>
      </c>
      <c r="C5508" t="inlineStr">
        <is>
          <t>Föryngringsavverkning</t>
        </is>
      </c>
      <c r="D5508" s="1" t="n">
        <v>45668</v>
      </c>
      <c r="E5508" s="1" t="n">
        <v>46323</v>
      </c>
      <c r="F5508" t="inlineStr">
        <is>
          <t>KALMAR LÄN</t>
        </is>
      </c>
      <c r="G5508" t="inlineStr">
        <is>
          <t>NYBRO</t>
        </is>
      </c>
      <c r="I5508" t="n">
        <v>0.8</v>
      </c>
      <c r="J5508" t="n">
        <v>0</v>
      </c>
      <c r="K5508" t="n">
        <v>0</v>
      </c>
      <c r="L5508" t="n">
        <v>0</v>
      </c>
      <c r="M5508" t="n">
        <v>0</v>
      </c>
      <c r="N5508" t="n">
        <v>0</v>
      </c>
      <c r="O5508" t="n">
        <v>0</v>
      </c>
      <c r="P5508" t="n">
        <v>0</v>
      </c>
      <c r="Q5508" t="n">
        <v>0</v>
      </c>
      <c r="R5508" t="n">
        <v>0</v>
      </c>
      <c r="S5508" t="n">
        <v>0</v>
      </c>
      <c r="T5508" t="n">
        <v>0</v>
      </c>
      <c r="U5508" t="n">
        <v>0</v>
      </c>
      <c r="V5508" s="2" t="inlineStr"/>
    </row>
    <row r="5509" ht="15" customHeight="1">
      <c r="A5509" t="inlineStr">
        <is>
          <t>A 6028-2023</t>
        </is>
      </c>
      <c r="B5509" t="inlineStr">
        <is>
          <t>avverkningsanmälan</t>
        </is>
      </c>
      <c r="C5509" t="inlineStr">
        <is>
          <t>Föryngringsavverkning</t>
        </is>
      </c>
      <c r="D5509" s="1" t="n">
        <v>44964</v>
      </c>
      <c r="E5509" s="1" t="n">
        <v>46323</v>
      </c>
      <c r="F5509" t="inlineStr">
        <is>
          <t>KALMAR LÄN</t>
        </is>
      </c>
      <c r="G5509" t="inlineStr">
        <is>
          <t>VIMMERBY</t>
        </is>
      </c>
      <c r="I5509" t="n">
        <v>2.5</v>
      </c>
      <c r="J5509" t="n">
        <v>0</v>
      </c>
      <c r="K5509" t="n">
        <v>0</v>
      </c>
      <c r="L5509" t="n">
        <v>0</v>
      </c>
      <c r="M5509" t="n">
        <v>0</v>
      </c>
      <c r="N5509" t="n">
        <v>0</v>
      </c>
      <c r="O5509" t="n">
        <v>0</v>
      </c>
      <c r="P5509" t="n">
        <v>0</v>
      </c>
      <c r="Q5509" t="n">
        <v>0</v>
      </c>
      <c r="R5509" t="n">
        <v>0</v>
      </c>
      <c r="S5509" t="n">
        <v>0</v>
      </c>
      <c r="T5509" t="n">
        <v>0</v>
      </c>
      <c r="U5509" t="n">
        <v>0</v>
      </c>
      <c r="V5509" s="2" t="inlineStr"/>
    </row>
    <row r="5510" ht="15" customHeight="1">
      <c r="A5510" t="inlineStr">
        <is>
          <t>A 3666-2026</t>
        </is>
      </c>
      <c r="B5510" t="inlineStr">
        <is>
          <t>avverkningsanmälan</t>
        </is>
      </c>
      <c r="C5510" t="inlineStr">
        <is>
          <t>Föryngringsavverkning</t>
        </is>
      </c>
      <c r="D5510" s="1" t="n">
        <v>46043</v>
      </c>
      <c r="E5510" s="1" t="n">
        <v>46323</v>
      </c>
      <c r="F5510" t="inlineStr">
        <is>
          <t>KALMAR LÄN</t>
        </is>
      </c>
      <c r="G5510" t="inlineStr">
        <is>
          <t>EMMABODA</t>
        </is>
      </c>
      <c r="I5510" t="n">
        <v>1.3</v>
      </c>
      <c r="J5510" t="n">
        <v>0</v>
      </c>
      <c r="K5510" t="n">
        <v>0</v>
      </c>
      <c r="L5510" t="n">
        <v>0</v>
      </c>
      <c r="M5510" t="n">
        <v>0</v>
      </c>
      <c r="N5510" t="n">
        <v>0</v>
      </c>
      <c r="O5510" t="n">
        <v>0</v>
      </c>
      <c r="P5510" t="n">
        <v>0</v>
      </c>
      <c r="Q5510" t="n">
        <v>0</v>
      </c>
      <c r="R5510" t="n">
        <v>0</v>
      </c>
      <c r="S5510" t="n">
        <v>0</v>
      </c>
      <c r="T5510" t="n">
        <v>0</v>
      </c>
      <c r="U5510" t="n">
        <v>0</v>
      </c>
      <c r="V5510" s="2" t="inlineStr"/>
    </row>
    <row r="5511" ht="15" customHeight="1">
      <c r="A5511" t="inlineStr">
        <is>
          <t>A 4928-2023</t>
        </is>
      </c>
      <c r="B5511" t="inlineStr">
        <is>
          <t>avverkningsanmälan</t>
        </is>
      </c>
      <c r="C5511" t="inlineStr">
        <is>
          <t>Föryngringsavverkning</t>
        </is>
      </c>
      <c r="D5511" s="1" t="n">
        <v>44958</v>
      </c>
      <c r="E5511" s="1" t="n">
        <v>46323</v>
      </c>
      <c r="F5511" t="inlineStr">
        <is>
          <t>KALMAR LÄN</t>
        </is>
      </c>
      <c r="G5511" t="inlineStr">
        <is>
          <t>TORSÅS</t>
        </is>
      </c>
      <c r="I5511" t="n">
        <v>0.8</v>
      </c>
      <c r="J5511" t="n">
        <v>0</v>
      </c>
      <c r="K5511" t="n">
        <v>0</v>
      </c>
      <c r="L5511" t="n">
        <v>0</v>
      </c>
      <c r="M5511" t="n">
        <v>0</v>
      </c>
      <c r="N5511" t="n">
        <v>0</v>
      </c>
      <c r="O5511" t="n">
        <v>0</v>
      </c>
      <c r="P5511" t="n">
        <v>0</v>
      </c>
      <c r="Q5511" t="n">
        <v>0</v>
      </c>
      <c r="R5511" t="n">
        <v>0</v>
      </c>
      <c r="S5511" t="n">
        <v>0</v>
      </c>
      <c r="T5511" t="n">
        <v>0</v>
      </c>
      <c r="U5511" t="n">
        <v>0</v>
      </c>
      <c r="V5511" s="2" t="inlineStr"/>
    </row>
    <row r="5512" ht="15" customHeight="1">
      <c r="A5512" t="inlineStr">
        <is>
          <t>A 28588-2022</t>
        </is>
      </c>
      <c r="B5512" t="inlineStr">
        <is>
          <t>avverkningsanmälan</t>
        </is>
      </c>
      <c r="C5512" t="inlineStr">
        <is>
          <t>Föryngringsavverkning</t>
        </is>
      </c>
      <c r="D5512" s="1" t="n">
        <v>44748</v>
      </c>
      <c r="E5512" s="1" t="n">
        <v>46323</v>
      </c>
      <c r="F5512" t="inlineStr">
        <is>
          <t>KALMAR LÄN</t>
        </is>
      </c>
      <c r="G5512" t="inlineStr">
        <is>
          <t>VÄSTERVIK</t>
        </is>
      </c>
      <c r="H5512" t="inlineStr">
        <is>
          <t>Övriga Aktiebolag</t>
        </is>
      </c>
      <c r="I5512" t="n">
        <v>1.7</v>
      </c>
      <c r="J5512" t="n">
        <v>0</v>
      </c>
      <c r="K5512" t="n">
        <v>0</v>
      </c>
      <c r="L5512" t="n">
        <v>0</v>
      </c>
      <c r="M5512" t="n">
        <v>0</v>
      </c>
      <c r="N5512" t="n">
        <v>0</v>
      </c>
      <c r="O5512" t="n">
        <v>0</v>
      </c>
      <c r="P5512" t="n">
        <v>0</v>
      </c>
      <c r="Q5512" t="n">
        <v>0</v>
      </c>
      <c r="R5512" t="n">
        <v>0</v>
      </c>
      <c r="S5512" t="n">
        <v>0</v>
      </c>
      <c r="T5512" t="n">
        <v>0</v>
      </c>
      <c r="U5512" t="n">
        <v>0</v>
      </c>
      <c r="V5512" s="2" t="inlineStr"/>
    </row>
    <row r="5513" ht="15" customHeight="1">
      <c r="A5513" t="inlineStr">
        <is>
          <t>A 42326-2026</t>
        </is>
      </c>
      <c r="B5513" t="inlineStr">
        <is>
          <t>avverkningsanmälan</t>
        </is>
      </c>
      <c r="C5513" t="inlineStr">
        <is>
          <t>Föryngringsavverkning</t>
        </is>
      </c>
      <c r="D5513" s="1" t="n">
        <v>46307</v>
      </c>
      <c r="E5513" s="1" t="n">
        <v>46323</v>
      </c>
      <c r="F5513" t="inlineStr">
        <is>
          <t>KALMAR LÄN</t>
        </is>
      </c>
      <c r="G5513" t="inlineStr">
        <is>
          <t>VIMMERBY</t>
        </is>
      </c>
      <c r="I5513" t="n">
        <v>3.5</v>
      </c>
      <c r="J5513" t="n">
        <v>0</v>
      </c>
      <c r="K5513" t="n">
        <v>0</v>
      </c>
      <c r="L5513" t="n">
        <v>0</v>
      </c>
      <c r="M5513" t="n">
        <v>0</v>
      </c>
      <c r="N5513" t="n">
        <v>0</v>
      </c>
      <c r="O5513" t="n">
        <v>0</v>
      </c>
      <c r="P5513" t="n">
        <v>0</v>
      </c>
      <c r="Q5513" t="n">
        <v>0</v>
      </c>
      <c r="R5513" t="n">
        <v>0</v>
      </c>
      <c r="S5513" t="n">
        <v>0</v>
      </c>
      <c r="T5513" t="n">
        <v>0</v>
      </c>
      <c r="U5513" t="n">
        <v>0</v>
      </c>
      <c r="V5513" s="2" t="inlineStr"/>
    </row>
    <row r="5514" ht="15" customHeight="1">
      <c r="A5514" t="inlineStr">
        <is>
          <t>A 35498-2026</t>
        </is>
      </c>
      <c r="B5514" t="inlineStr">
        <is>
          <t>avverkningsanmälan</t>
        </is>
      </c>
      <c r="C5514" t="inlineStr">
        <is>
          <t>Föryngringsavverkning</t>
        </is>
      </c>
      <c r="D5514" s="1" t="n">
        <v>46262</v>
      </c>
      <c r="E5514" s="1" t="n">
        <v>46323</v>
      </c>
      <c r="F5514" t="inlineStr">
        <is>
          <t>KALMAR LÄN</t>
        </is>
      </c>
      <c r="G5514" t="inlineStr">
        <is>
          <t>VÄSTERVIK</t>
        </is>
      </c>
      <c r="H5514" t="inlineStr">
        <is>
          <t>Sveaskog</t>
        </is>
      </c>
      <c r="I5514" t="n">
        <v>2</v>
      </c>
      <c r="J5514" t="n">
        <v>0</v>
      </c>
      <c r="K5514" t="n">
        <v>0</v>
      </c>
      <c r="L5514" t="n">
        <v>0</v>
      </c>
      <c r="M5514" t="n">
        <v>0</v>
      </c>
      <c r="N5514" t="n">
        <v>0</v>
      </c>
      <c r="O5514" t="n">
        <v>0</v>
      </c>
      <c r="P5514" t="n">
        <v>0</v>
      </c>
      <c r="Q5514" t="n">
        <v>0</v>
      </c>
      <c r="R5514" t="n">
        <v>0</v>
      </c>
      <c r="S5514" t="n">
        <v>0</v>
      </c>
      <c r="T5514" t="n">
        <v>0</v>
      </c>
      <c r="U5514" t="n">
        <v>0</v>
      </c>
      <c r="V5514" s="2" t="inlineStr"/>
    </row>
    <row r="5515" ht="15" customHeight="1">
      <c r="A5515" t="inlineStr">
        <is>
          <t>A 35501-2026</t>
        </is>
      </c>
      <c r="B5515" t="inlineStr">
        <is>
          <t>avverkningsanmälan</t>
        </is>
      </c>
      <c r="C5515" t="inlineStr">
        <is>
          <t>Föryngringsavverkning</t>
        </is>
      </c>
      <c r="D5515" s="1" t="n">
        <v>46262</v>
      </c>
      <c r="E5515" s="1" t="n">
        <v>46323</v>
      </c>
      <c r="F5515" t="inlineStr">
        <is>
          <t>KALMAR LÄN</t>
        </is>
      </c>
      <c r="G5515" t="inlineStr">
        <is>
          <t>VÄSTERVIK</t>
        </is>
      </c>
      <c r="H5515" t="inlineStr">
        <is>
          <t>Sveaskog</t>
        </is>
      </c>
      <c r="I5515" t="n">
        <v>2.5</v>
      </c>
      <c r="J5515" t="n">
        <v>0</v>
      </c>
      <c r="K5515" t="n">
        <v>0</v>
      </c>
      <c r="L5515" t="n">
        <v>0</v>
      </c>
      <c r="M5515" t="n">
        <v>0</v>
      </c>
      <c r="N5515" t="n">
        <v>0</v>
      </c>
      <c r="O5515" t="n">
        <v>0</v>
      </c>
      <c r="P5515" t="n">
        <v>0</v>
      </c>
      <c r="Q5515" t="n">
        <v>0</v>
      </c>
      <c r="R5515" t="n">
        <v>0</v>
      </c>
      <c r="S5515" t="n">
        <v>0</v>
      </c>
      <c r="T5515" t="n">
        <v>0</v>
      </c>
      <c r="U5515" t="n">
        <v>0</v>
      </c>
      <c r="V5515" s="2" t="inlineStr"/>
    </row>
    <row r="5516" ht="15" customHeight="1">
      <c r="A5516" t="inlineStr">
        <is>
          <t>A 50727-2023</t>
        </is>
      </c>
      <c r="B5516" t="inlineStr">
        <is>
          <t>avverkningsanmälan</t>
        </is>
      </c>
      <c r="C5516" t="inlineStr">
        <is>
          <t>Föryngringsavverkning</t>
        </is>
      </c>
      <c r="D5516" s="1" t="n">
        <v>45217</v>
      </c>
      <c r="E5516" s="1" t="n">
        <v>46323</v>
      </c>
      <c r="F5516" t="inlineStr">
        <is>
          <t>KALMAR LÄN</t>
        </is>
      </c>
      <c r="G5516" t="inlineStr">
        <is>
          <t>HÖGSBY</t>
        </is>
      </c>
      <c r="I5516" t="n">
        <v>1</v>
      </c>
      <c r="J5516" t="n">
        <v>0</v>
      </c>
      <c r="K5516" t="n">
        <v>0</v>
      </c>
      <c r="L5516" t="n">
        <v>0</v>
      </c>
      <c r="M5516" t="n">
        <v>0</v>
      </c>
      <c r="N5516" t="n">
        <v>0</v>
      </c>
      <c r="O5516" t="n">
        <v>0</v>
      </c>
      <c r="P5516" t="n">
        <v>0</v>
      </c>
      <c r="Q5516" t="n">
        <v>0</v>
      </c>
      <c r="R5516" t="n">
        <v>0</v>
      </c>
      <c r="S5516" t="n">
        <v>0</v>
      </c>
      <c r="T5516" t="n">
        <v>0</v>
      </c>
      <c r="U5516" t="n">
        <v>0</v>
      </c>
      <c r="V5516" s="2" t="inlineStr"/>
    </row>
    <row r="5517" ht="15" customHeight="1">
      <c r="A5517" t="inlineStr">
        <is>
          <t>A 37497-2022</t>
        </is>
      </c>
      <c r="B5517" t="inlineStr">
        <is>
          <t>avverkningsanmälan</t>
        </is>
      </c>
      <c r="C5517" t="inlineStr">
        <is>
          <t>Föryngringsavverkning</t>
        </is>
      </c>
      <c r="D5517" s="1" t="n">
        <v>44809</v>
      </c>
      <c r="E5517" s="1" t="n">
        <v>46323</v>
      </c>
      <c r="F5517" t="inlineStr">
        <is>
          <t>KALMAR LÄN</t>
        </is>
      </c>
      <c r="G5517" t="inlineStr">
        <is>
          <t>HÖGSBY</t>
        </is>
      </c>
      <c r="I5517" t="n">
        <v>1.4</v>
      </c>
      <c r="J5517" t="n">
        <v>0</v>
      </c>
      <c r="K5517" t="n">
        <v>0</v>
      </c>
      <c r="L5517" t="n">
        <v>0</v>
      </c>
      <c r="M5517" t="n">
        <v>0</v>
      </c>
      <c r="N5517" t="n">
        <v>0</v>
      </c>
      <c r="O5517" t="n">
        <v>0</v>
      </c>
      <c r="P5517" t="n">
        <v>0</v>
      </c>
      <c r="Q5517" t="n">
        <v>0</v>
      </c>
      <c r="R5517" t="n">
        <v>0</v>
      </c>
      <c r="S5517" t="n">
        <v>0</v>
      </c>
      <c r="T5517" t="n">
        <v>0</v>
      </c>
      <c r="U5517" t="n">
        <v>0</v>
      </c>
      <c r="V5517" s="2" t="inlineStr"/>
    </row>
    <row r="5518" ht="15" customHeight="1">
      <c r="A5518" t="inlineStr">
        <is>
          <t>A 42332-2026</t>
        </is>
      </c>
      <c r="B5518" t="inlineStr">
        <is>
          <t>avverkningsanmälan</t>
        </is>
      </c>
      <c r="C5518" t="inlineStr">
        <is>
          <t>Föryngringsavverkning</t>
        </is>
      </c>
      <c r="D5518" s="1" t="n">
        <v>46307</v>
      </c>
      <c r="E5518" s="1" t="n">
        <v>46323</v>
      </c>
      <c r="F5518" t="inlineStr">
        <is>
          <t>KALMAR LÄN</t>
        </is>
      </c>
      <c r="G5518" t="inlineStr">
        <is>
          <t>VIMMERBY</t>
        </is>
      </c>
      <c r="I5518" t="n">
        <v>1</v>
      </c>
      <c r="J5518" t="n">
        <v>0</v>
      </c>
      <c r="K5518" t="n">
        <v>0</v>
      </c>
      <c r="L5518" t="n">
        <v>0</v>
      </c>
      <c r="M5518" t="n">
        <v>0</v>
      </c>
      <c r="N5518" t="n">
        <v>0</v>
      </c>
      <c r="O5518" t="n">
        <v>0</v>
      </c>
      <c r="P5518" t="n">
        <v>0</v>
      </c>
      <c r="Q5518" t="n">
        <v>0</v>
      </c>
      <c r="R5518" t="n">
        <v>0</v>
      </c>
      <c r="S5518" t="n">
        <v>0</v>
      </c>
      <c r="T5518" t="n">
        <v>0</v>
      </c>
      <c r="U5518" t="n">
        <v>0</v>
      </c>
      <c r="V5518" s="2" t="inlineStr"/>
    </row>
    <row r="5519" ht="15" customHeight="1">
      <c r="A5519" t="inlineStr">
        <is>
          <t>A 38780-2025</t>
        </is>
      </c>
      <c r="B5519" t="inlineStr">
        <is>
          <t>avverkningsanmälan</t>
        </is>
      </c>
      <c r="C5519" t="inlineStr">
        <is>
          <t>Föryngringsavverkning</t>
        </is>
      </c>
      <c r="D5519" s="1" t="n">
        <v>45887</v>
      </c>
      <c r="E5519" s="1" t="n">
        <v>46323</v>
      </c>
      <c r="F5519" t="inlineStr">
        <is>
          <t>KALMAR LÄN</t>
        </is>
      </c>
      <c r="G5519" t="inlineStr">
        <is>
          <t>NYBRO</t>
        </is>
      </c>
      <c r="I5519" t="n">
        <v>2</v>
      </c>
      <c r="J5519" t="n">
        <v>0</v>
      </c>
      <c r="K5519" t="n">
        <v>0</v>
      </c>
      <c r="L5519" t="n">
        <v>0</v>
      </c>
      <c r="M5519" t="n">
        <v>0</v>
      </c>
      <c r="N5519" t="n">
        <v>0</v>
      </c>
      <c r="O5519" t="n">
        <v>0</v>
      </c>
      <c r="P5519" t="n">
        <v>0</v>
      </c>
      <c r="Q5519" t="n">
        <v>0</v>
      </c>
      <c r="R5519" t="n">
        <v>0</v>
      </c>
      <c r="S5519" t="n">
        <v>0</v>
      </c>
      <c r="T5519" t="n">
        <v>0</v>
      </c>
      <c r="U5519" t="n">
        <v>0</v>
      </c>
      <c r="V5519" s="2" t="inlineStr"/>
    </row>
    <row r="5520" ht="15" customHeight="1">
      <c r="A5520" t="inlineStr">
        <is>
          <t>A 28290-2025</t>
        </is>
      </c>
      <c r="B5520" t="inlineStr">
        <is>
          <t>avverkningsanmälan</t>
        </is>
      </c>
      <c r="C5520" t="inlineStr">
        <is>
          <t>Föryngringsavverkning</t>
        </is>
      </c>
      <c r="D5520" s="1" t="n">
        <v>45818</v>
      </c>
      <c r="E5520" s="1" t="n">
        <v>46323</v>
      </c>
      <c r="F5520" t="inlineStr">
        <is>
          <t>KALMAR LÄN</t>
        </is>
      </c>
      <c r="G5520" t="inlineStr">
        <is>
          <t>VIMMERBY</t>
        </is>
      </c>
      <c r="H5520" t="inlineStr">
        <is>
          <t>Sveaskog</t>
        </is>
      </c>
      <c r="I5520" t="n">
        <v>1.6</v>
      </c>
      <c r="J5520" t="n">
        <v>0</v>
      </c>
      <c r="K5520" t="n">
        <v>0</v>
      </c>
      <c r="L5520" t="n">
        <v>0</v>
      </c>
      <c r="M5520" t="n">
        <v>0</v>
      </c>
      <c r="N5520" t="n">
        <v>0</v>
      </c>
      <c r="O5520" t="n">
        <v>0</v>
      </c>
      <c r="P5520" t="n">
        <v>0</v>
      </c>
      <c r="Q5520" t="n">
        <v>0</v>
      </c>
      <c r="R5520" t="n">
        <v>0</v>
      </c>
      <c r="S5520" t="n">
        <v>0</v>
      </c>
      <c r="T5520" t="n">
        <v>0</v>
      </c>
      <c r="U5520" t="n">
        <v>0</v>
      </c>
      <c r="V5520" s="2" t="inlineStr"/>
    </row>
    <row r="5521" ht="15" customHeight="1">
      <c r="A5521" t="inlineStr">
        <is>
          <t>A 42594-2026</t>
        </is>
      </c>
      <c r="B5521" t="inlineStr">
        <is>
          <t>avverkningsanmälan</t>
        </is>
      </c>
      <c r="C5521" t="inlineStr">
        <is>
          <t>Föryngringsavverkning</t>
        </is>
      </c>
      <c r="D5521" s="1" t="n">
        <v>46308</v>
      </c>
      <c r="E5521" s="1" t="n">
        <v>46323</v>
      </c>
      <c r="F5521" t="inlineStr">
        <is>
          <t>KALMAR LÄN</t>
        </is>
      </c>
      <c r="G5521" t="inlineStr">
        <is>
          <t>VIMMERBY</t>
        </is>
      </c>
      <c r="I5521" t="n">
        <v>0.8</v>
      </c>
      <c r="J5521" t="n">
        <v>0</v>
      </c>
      <c r="K5521" t="n">
        <v>0</v>
      </c>
      <c r="L5521" t="n">
        <v>0</v>
      </c>
      <c r="M5521" t="n">
        <v>0</v>
      </c>
      <c r="N5521" t="n">
        <v>0</v>
      </c>
      <c r="O5521" t="n">
        <v>0</v>
      </c>
      <c r="P5521" t="n">
        <v>0</v>
      </c>
      <c r="Q5521" t="n">
        <v>0</v>
      </c>
      <c r="R5521" t="n">
        <v>0</v>
      </c>
      <c r="S5521" t="n">
        <v>0</v>
      </c>
      <c r="T5521" t="n">
        <v>0</v>
      </c>
      <c r="U5521" t="n">
        <v>0</v>
      </c>
      <c r="V5521" s="2" t="inlineStr"/>
    </row>
    <row r="5522" ht="15" customHeight="1">
      <c r="A5522" t="inlineStr">
        <is>
          <t>A 26303-2026</t>
        </is>
      </c>
      <c r="B5522" t="inlineStr">
        <is>
          <t>avverkningsanmälan</t>
        </is>
      </c>
      <c r="C5522" t="inlineStr">
        <is>
          <t>Föryngringsavverkning</t>
        </is>
      </c>
      <c r="D5522" s="1" t="n">
        <v>46181</v>
      </c>
      <c r="E5522" s="1" t="n">
        <v>46323</v>
      </c>
      <c r="F5522" t="inlineStr">
        <is>
          <t>KALMAR LÄN</t>
        </is>
      </c>
      <c r="G5522" t="inlineStr">
        <is>
          <t>NYBRO</t>
        </is>
      </c>
      <c r="H5522" t="inlineStr">
        <is>
          <t>Kyrkan</t>
        </is>
      </c>
      <c r="I5522" t="n">
        <v>4.8</v>
      </c>
      <c r="J5522" t="n">
        <v>0</v>
      </c>
      <c r="K5522" t="n">
        <v>0</v>
      </c>
      <c r="L5522" t="n">
        <v>0</v>
      </c>
      <c r="M5522" t="n">
        <v>0</v>
      </c>
      <c r="N5522" t="n">
        <v>0</v>
      </c>
      <c r="O5522" t="n">
        <v>0</v>
      </c>
      <c r="P5522" t="n">
        <v>0</v>
      </c>
      <c r="Q5522" t="n">
        <v>0</v>
      </c>
      <c r="R5522" t="n">
        <v>0</v>
      </c>
      <c r="S5522" t="n">
        <v>0</v>
      </c>
      <c r="T5522" t="n">
        <v>0</v>
      </c>
      <c r="U5522" t="n">
        <v>0</v>
      </c>
      <c r="V5522" s="2" t="inlineStr"/>
    </row>
    <row r="5523" ht="15" customHeight="1">
      <c r="A5523" t="inlineStr">
        <is>
          <t>A 35826-2026</t>
        </is>
      </c>
      <c r="B5523" t="inlineStr">
        <is>
          <t>avverkningsanmälan</t>
        </is>
      </c>
      <c r="C5523" t="inlineStr">
        <is>
          <t>Föryngringsavverkning</t>
        </is>
      </c>
      <c r="D5523" s="1" t="n">
        <v>46265</v>
      </c>
      <c r="E5523" s="1" t="n">
        <v>46323</v>
      </c>
      <c r="F5523" t="inlineStr">
        <is>
          <t>KALMAR LÄN</t>
        </is>
      </c>
      <c r="G5523" t="inlineStr">
        <is>
          <t>OSKARSHAMN</t>
        </is>
      </c>
      <c r="I5523" t="n">
        <v>3</v>
      </c>
      <c r="J5523" t="n">
        <v>0</v>
      </c>
      <c r="K5523" t="n">
        <v>0</v>
      </c>
      <c r="L5523" t="n">
        <v>0</v>
      </c>
      <c r="M5523" t="n">
        <v>0</v>
      </c>
      <c r="N5523" t="n">
        <v>0</v>
      </c>
      <c r="O5523" t="n">
        <v>0</v>
      </c>
      <c r="P5523" t="n">
        <v>0</v>
      </c>
      <c r="Q5523" t="n">
        <v>0</v>
      </c>
      <c r="R5523" t="n">
        <v>0</v>
      </c>
      <c r="S5523" t="n">
        <v>0</v>
      </c>
      <c r="T5523" t="n">
        <v>0</v>
      </c>
      <c r="U5523" t="n">
        <v>0</v>
      </c>
      <c r="V5523" s="2" t="inlineStr"/>
    </row>
    <row r="5524" ht="15" customHeight="1">
      <c r="A5524" t="inlineStr">
        <is>
          <t>A 49881-2025</t>
        </is>
      </c>
      <c r="B5524" t="inlineStr">
        <is>
          <t>avverkningsanmälan</t>
        </is>
      </c>
      <c r="C5524" t="inlineStr">
        <is>
          <t>Föryngringsavverkning</t>
        </is>
      </c>
      <c r="D5524" s="1" t="n">
        <v>45940</v>
      </c>
      <c r="E5524" s="1" t="n">
        <v>46323</v>
      </c>
      <c r="F5524" t="inlineStr">
        <is>
          <t>KALMAR LÄN</t>
        </is>
      </c>
      <c r="G5524" t="inlineStr">
        <is>
          <t>HULTSFRED</t>
        </is>
      </c>
      <c r="I5524" t="n">
        <v>0.9</v>
      </c>
      <c r="J5524" t="n">
        <v>0</v>
      </c>
      <c r="K5524" t="n">
        <v>0</v>
      </c>
      <c r="L5524" t="n">
        <v>0</v>
      </c>
      <c r="M5524" t="n">
        <v>0</v>
      </c>
      <c r="N5524" t="n">
        <v>0</v>
      </c>
      <c r="O5524" t="n">
        <v>0</v>
      </c>
      <c r="P5524" t="n">
        <v>0</v>
      </c>
      <c r="Q5524" t="n">
        <v>0</v>
      </c>
      <c r="R5524" t="n">
        <v>0</v>
      </c>
      <c r="S5524" t="n">
        <v>0</v>
      </c>
      <c r="T5524" t="n">
        <v>0</v>
      </c>
      <c r="U5524" t="n">
        <v>0</v>
      </c>
      <c r="V5524" s="2" t="inlineStr"/>
    </row>
    <row r="5525" ht="15" customHeight="1">
      <c r="A5525" t="inlineStr">
        <is>
          <t>A 4474-2025</t>
        </is>
      </c>
      <c r="B5525" t="inlineStr">
        <is>
          <t>avverkningsanmälan</t>
        </is>
      </c>
      <c r="C5525" t="inlineStr">
        <is>
          <t>Föryngringsavverkning</t>
        </is>
      </c>
      <c r="D5525" s="1" t="n">
        <v>45686</v>
      </c>
      <c r="E5525" s="1" t="n">
        <v>46323</v>
      </c>
      <c r="F5525" t="inlineStr">
        <is>
          <t>KALMAR LÄN</t>
        </is>
      </c>
      <c r="G5525" t="inlineStr">
        <is>
          <t>MÖNSTERÅS</t>
        </is>
      </c>
      <c r="I5525" t="n">
        <v>0.9</v>
      </c>
      <c r="J5525" t="n">
        <v>0</v>
      </c>
      <c r="K5525" t="n">
        <v>0</v>
      </c>
      <c r="L5525" t="n">
        <v>0</v>
      </c>
      <c r="M5525" t="n">
        <v>0</v>
      </c>
      <c r="N5525" t="n">
        <v>0</v>
      </c>
      <c r="O5525" t="n">
        <v>0</v>
      </c>
      <c r="P5525" t="n">
        <v>0</v>
      </c>
      <c r="Q5525" t="n">
        <v>0</v>
      </c>
      <c r="R5525" t="n">
        <v>0</v>
      </c>
      <c r="S5525" t="n">
        <v>0</v>
      </c>
      <c r="T5525" t="n">
        <v>0</v>
      </c>
      <c r="U5525" t="n">
        <v>0</v>
      </c>
      <c r="V5525" s="2" t="inlineStr"/>
    </row>
    <row r="5526" ht="15" customHeight="1">
      <c r="A5526" t="inlineStr">
        <is>
          <t>A 42409-2026</t>
        </is>
      </c>
      <c r="B5526" t="inlineStr">
        <is>
          <t>avverkningsanmälan</t>
        </is>
      </c>
      <c r="C5526" t="inlineStr">
        <is>
          <t>Föryngringsavverkning</t>
        </is>
      </c>
      <c r="D5526" s="1" t="n">
        <v>46307</v>
      </c>
      <c r="E5526" s="1" t="n">
        <v>46323</v>
      </c>
      <c r="F5526" t="inlineStr">
        <is>
          <t>KALMAR LÄN</t>
        </is>
      </c>
      <c r="G5526" t="inlineStr">
        <is>
          <t>OSKARSHAMN</t>
        </is>
      </c>
      <c r="I5526" t="n">
        <v>4</v>
      </c>
      <c r="J5526" t="n">
        <v>0</v>
      </c>
      <c r="K5526" t="n">
        <v>0</v>
      </c>
      <c r="L5526" t="n">
        <v>0</v>
      </c>
      <c r="M5526" t="n">
        <v>0</v>
      </c>
      <c r="N5526" t="n">
        <v>0</v>
      </c>
      <c r="O5526" t="n">
        <v>0</v>
      </c>
      <c r="P5526" t="n">
        <v>0</v>
      </c>
      <c r="Q5526" t="n">
        <v>0</v>
      </c>
      <c r="R5526" t="n">
        <v>0</v>
      </c>
      <c r="S5526" t="n">
        <v>0</v>
      </c>
      <c r="T5526" t="n">
        <v>0</v>
      </c>
      <c r="U5526" t="n">
        <v>0</v>
      </c>
      <c r="V5526" s="2" t="inlineStr"/>
    </row>
    <row r="5527" ht="15" customHeight="1">
      <c r="A5527" t="inlineStr">
        <is>
          <t>A 4405-2024</t>
        </is>
      </c>
      <c r="B5527" t="inlineStr">
        <is>
          <t>avverkningsanmälan</t>
        </is>
      </c>
      <c r="C5527" t="inlineStr">
        <is>
          <t>Föryngringsavverkning</t>
        </is>
      </c>
      <c r="D5527" s="1" t="n">
        <v>45327</v>
      </c>
      <c r="E5527" s="1" t="n">
        <v>46323</v>
      </c>
      <c r="F5527" t="inlineStr">
        <is>
          <t>KALMAR LÄN</t>
        </is>
      </c>
      <c r="G5527" t="inlineStr">
        <is>
          <t>NYBRO</t>
        </is>
      </c>
      <c r="I5527" t="n">
        <v>2.8</v>
      </c>
      <c r="J5527" t="n">
        <v>0</v>
      </c>
      <c r="K5527" t="n">
        <v>0</v>
      </c>
      <c r="L5527" t="n">
        <v>0</v>
      </c>
      <c r="M5527" t="n">
        <v>0</v>
      </c>
      <c r="N5527" t="n">
        <v>0</v>
      </c>
      <c r="O5527" t="n">
        <v>0</v>
      </c>
      <c r="P5527" t="n">
        <v>0</v>
      </c>
      <c r="Q5527" t="n">
        <v>0</v>
      </c>
      <c r="R5527" t="n">
        <v>0</v>
      </c>
      <c r="S5527" t="n">
        <v>0</v>
      </c>
      <c r="T5527" t="n">
        <v>0</v>
      </c>
      <c r="U5527" t="n">
        <v>0</v>
      </c>
      <c r="V5527" s="2" t="inlineStr"/>
    </row>
    <row r="5528" ht="15" customHeight="1">
      <c r="A5528" t="inlineStr">
        <is>
          <t>A 42443-2026</t>
        </is>
      </c>
      <c r="B5528" t="inlineStr">
        <is>
          <t>avverkningsanmälan</t>
        </is>
      </c>
      <c r="C5528" t="inlineStr">
        <is>
          <t>Föryngringsavverkning</t>
        </is>
      </c>
      <c r="D5528" s="1" t="n">
        <v>46308</v>
      </c>
      <c r="E5528" s="1" t="n">
        <v>46323</v>
      </c>
      <c r="F5528" t="inlineStr">
        <is>
          <t>KALMAR LÄN</t>
        </is>
      </c>
      <c r="G5528" t="inlineStr">
        <is>
          <t>HULTSFRED</t>
        </is>
      </c>
      <c r="I5528" t="n">
        <v>0.9</v>
      </c>
      <c r="J5528" t="n">
        <v>0</v>
      </c>
      <c r="K5528" t="n">
        <v>0</v>
      </c>
      <c r="L5528" t="n">
        <v>0</v>
      </c>
      <c r="M5528" t="n">
        <v>0</v>
      </c>
      <c r="N5528" t="n">
        <v>0</v>
      </c>
      <c r="O5528" t="n">
        <v>0</v>
      </c>
      <c r="P5528" t="n">
        <v>0</v>
      </c>
      <c r="Q5528" t="n">
        <v>0</v>
      </c>
      <c r="R5528" t="n">
        <v>0</v>
      </c>
      <c r="S5528" t="n">
        <v>0</v>
      </c>
      <c r="T5528" t="n">
        <v>0</v>
      </c>
      <c r="U5528" t="n">
        <v>0</v>
      </c>
      <c r="V5528" s="2" t="inlineStr"/>
    </row>
    <row r="5529" ht="15" customHeight="1">
      <c r="A5529" t="inlineStr">
        <is>
          <t>A 66543-2021</t>
        </is>
      </c>
      <c r="B5529" t="inlineStr">
        <is>
          <t>avverkningsanmälan</t>
        </is>
      </c>
      <c r="C5529" t="inlineStr">
        <is>
          <t>Föryngringsavverkning</t>
        </is>
      </c>
      <c r="D5529" s="1" t="n">
        <v>44519</v>
      </c>
      <c r="E5529" s="1" t="n">
        <v>46323</v>
      </c>
      <c r="F5529" t="inlineStr">
        <is>
          <t>KALMAR LÄN</t>
        </is>
      </c>
      <c r="G5529" t="inlineStr">
        <is>
          <t>TORSÅS</t>
        </is>
      </c>
      <c r="I5529" t="n">
        <v>0.6</v>
      </c>
      <c r="J5529" t="n">
        <v>0</v>
      </c>
      <c r="K5529" t="n">
        <v>0</v>
      </c>
      <c r="L5529" t="n">
        <v>0</v>
      </c>
      <c r="M5529" t="n">
        <v>0</v>
      </c>
      <c r="N5529" t="n">
        <v>0</v>
      </c>
      <c r="O5529" t="n">
        <v>0</v>
      </c>
      <c r="P5529" t="n">
        <v>0</v>
      </c>
      <c r="Q5529" t="n">
        <v>0</v>
      </c>
      <c r="R5529" t="n">
        <v>0</v>
      </c>
      <c r="S5529" t="n">
        <v>0</v>
      </c>
      <c r="T5529" t="n">
        <v>0</v>
      </c>
      <c r="U5529" t="n">
        <v>0</v>
      </c>
      <c r="V5529" s="2" t="inlineStr"/>
    </row>
    <row r="5530" ht="15" customHeight="1">
      <c r="A5530" t="inlineStr">
        <is>
          <t>A 51624-2023</t>
        </is>
      </c>
      <c r="B5530" t="inlineStr">
        <is>
          <t>avverkningsanmälan</t>
        </is>
      </c>
      <c r="C5530" t="inlineStr">
        <is>
          <t>Föryngringsavverkning</t>
        </is>
      </c>
      <c r="D5530" s="1" t="n">
        <v>45222</v>
      </c>
      <c r="E5530" s="1" t="n">
        <v>46323</v>
      </c>
      <c r="F5530" t="inlineStr">
        <is>
          <t>KALMAR LÄN</t>
        </is>
      </c>
      <c r="G5530" t="inlineStr">
        <is>
          <t>HÖGSBY</t>
        </is>
      </c>
      <c r="H5530" t="inlineStr">
        <is>
          <t>Sveaskog</t>
        </is>
      </c>
      <c r="I5530" t="n">
        <v>1.4</v>
      </c>
      <c r="J5530" t="n">
        <v>0</v>
      </c>
      <c r="K5530" t="n">
        <v>0</v>
      </c>
      <c r="L5530" t="n">
        <v>0</v>
      </c>
      <c r="M5530" t="n">
        <v>0</v>
      </c>
      <c r="N5530" t="n">
        <v>0</v>
      </c>
      <c r="O5530" t="n">
        <v>0</v>
      </c>
      <c r="P5530" t="n">
        <v>0</v>
      </c>
      <c r="Q5530" t="n">
        <v>0</v>
      </c>
      <c r="R5530" t="n">
        <v>0</v>
      </c>
      <c r="S5530" t="n">
        <v>0</v>
      </c>
      <c r="T5530" t="n">
        <v>0</v>
      </c>
      <c r="U5530" t="n">
        <v>0</v>
      </c>
      <c r="V5530" s="2" t="inlineStr"/>
    </row>
    <row r="5531" ht="15" customHeight="1">
      <c r="A5531" t="inlineStr">
        <is>
          <t>A 51645-2023</t>
        </is>
      </c>
      <c r="B5531" t="inlineStr">
        <is>
          <t>avverkningsanmälan</t>
        </is>
      </c>
      <c r="C5531" t="inlineStr">
        <is>
          <t>Föryngringsavverkning</t>
        </is>
      </c>
      <c r="D5531" s="1" t="n">
        <v>45222</v>
      </c>
      <c r="E5531" s="1" t="n">
        <v>46323</v>
      </c>
      <c r="F5531" t="inlineStr">
        <is>
          <t>KALMAR LÄN</t>
        </is>
      </c>
      <c r="G5531" t="inlineStr">
        <is>
          <t>VÄSTERVIK</t>
        </is>
      </c>
      <c r="I5531" t="n">
        <v>3.7</v>
      </c>
      <c r="J5531" t="n">
        <v>0</v>
      </c>
      <c r="K5531" t="n">
        <v>0</v>
      </c>
      <c r="L5531" t="n">
        <v>0</v>
      </c>
      <c r="M5531" t="n">
        <v>0</v>
      </c>
      <c r="N5531" t="n">
        <v>0</v>
      </c>
      <c r="O5531" t="n">
        <v>0</v>
      </c>
      <c r="P5531" t="n">
        <v>0</v>
      </c>
      <c r="Q5531" t="n">
        <v>0</v>
      </c>
      <c r="R5531" t="n">
        <v>0</v>
      </c>
      <c r="S5531" t="n">
        <v>0</v>
      </c>
      <c r="T5531" t="n">
        <v>0</v>
      </c>
      <c r="U5531" t="n">
        <v>0</v>
      </c>
      <c r="V5531" s="2" t="inlineStr"/>
    </row>
    <row r="5532" ht="15" customHeight="1">
      <c r="A5532" t="inlineStr">
        <is>
          <t>A 42596-2026</t>
        </is>
      </c>
      <c r="B5532" t="inlineStr">
        <is>
          <t>avverkningsanmälan</t>
        </is>
      </c>
      <c r="C5532" t="inlineStr">
        <is>
          <t>Föryngringsavverkning</t>
        </is>
      </c>
      <c r="D5532" s="1" t="n">
        <v>46308</v>
      </c>
      <c r="E5532" s="1" t="n">
        <v>46323</v>
      </c>
      <c r="F5532" t="inlineStr">
        <is>
          <t>KALMAR LÄN</t>
        </is>
      </c>
      <c r="G5532" t="inlineStr">
        <is>
          <t>VIMMERBY</t>
        </is>
      </c>
      <c r="I5532" t="n">
        <v>0.7</v>
      </c>
      <c r="J5532" t="n">
        <v>0</v>
      </c>
      <c r="K5532" t="n">
        <v>0</v>
      </c>
      <c r="L5532" t="n">
        <v>0</v>
      </c>
      <c r="M5532" t="n">
        <v>0</v>
      </c>
      <c r="N5532" t="n">
        <v>0</v>
      </c>
      <c r="O5532" t="n">
        <v>0</v>
      </c>
      <c r="P5532" t="n">
        <v>0</v>
      </c>
      <c r="Q5532" t="n">
        <v>0</v>
      </c>
      <c r="R5532" t="n">
        <v>0</v>
      </c>
      <c r="S5532" t="n">
        <v>0</v>
      </c>
      <c r="T5532" t="n">
        <v>0</v>
      </c>
      <c r="U5532" t="n">
        <v>0</v>
      </c>
      <c r="V5532" s="2" t="inlineStr"/>
    </row>
    <row r="5533" ht="15" customHeight="1">
      <c r="A5533" t="inlineStr">
        <is>
          <t>A 69702-2021</t>
        </is>
      </c>
      <c r="B5533" t="inlineStr">
        <is>
          <t>avverkningsanmälan</t>
        </is>
      </c>
      <c r="C5533" t="inlineStr">
        <is>
          <t>Föryngringsavverkning</t>
        </is>
      </c>
      <c r="D5533" s="1" t="n">
        <v>44532</v>
      </c>
      <c r="E5533" s="1" t="n">
        <v>46323</v>
      </c>
      <c r="F5533" t="inlineStr">
        <is>
          <t>KALMAR LÄN</t>
        </is>
      </c>
      <c r="G5533" t="inlineStr">
        <is>
          <t>VÄSTERVIK</t>
        </is>
      </c>
      <c r="I5533" t="n">
        <v>4.4</v>
      </c>
      <c r="J5533" t="n">
        <v>0</v>
      </c>
      <c r="K5533" t="n">
        <v>0</v>
      </c>
      <c r="L5533" t="n">
        <v>0</v>
      </c>
      <c r="M5533" t="n">
        <v>0</v>
      </c>
      <c r="N5533" t="n">
        <v>0</v>
      </c>
      <c r="O5533" t="n">
        <v>0</v>
      </c>
      <c r="P5533" t="n">
        <v>0</v>
      </c>
      <c r="Q5533" t="n">
        <v>0</v>
      </c>
      <c r="R5533" t="n">
        <v>0</v>
      </c>
      <c r="S5533" t="n">
        <v>0</v>
      </c>
      <c r="T5533" t="n">
        <v>0</v>
      </c>
      <c r="U5533" t="n">
        <v>0</v>
      </c>
      <c r="V5533" s="2" t="inlineStr"/>
    </row>
    <row r="5534" ht="15" customHeight="1">
      <c r="A5534" t="inlineStr">
        <is>
          <t>A 60678-2023</t>
        </is>
      </c>
      <c r="B5534" t="inlineStr">
        <is>
          <t>avverkningsanmälan</t>
        </is>
      </c>
      <c r="C5534" t="inlineStr">
        <is>
          <t>Avverkning för att bevara och utveckla /försöksver</t>
        </is>
      </c>
      <c r="D5534" s="1" t="n">
        <v>45260</v>
      </c>
      <c r="E5534" s="1" t="n">
        <v>46323</v>
      </c>
      <c r="F5534" t="inlineStr">
        <is>
          <t>KALMAR LÄN</t>
        </is>
      </c>
      <c r="G5534" t="inlineStr">
        <is>
          <t>HULTSFRED</t>
        </is>
      </c>
      <c r="H5534" t="inlineStr">
        <is>
          <t>Sveaskog</t>
        </is>
      </c>
      <c r="I5534" t="n">
        <v>1</v>
      </c>
      <c r="J5534" t="n">
        <v>0</v>
      </c>
      <c r="K5534" t="n">
        <v>0</v>
      </c>
      <c r="L5534" t="n">
        <v>0</v>
      </c>
      <c r="M5534" t="n">
        <v>0</v>
      </c>
      <c r="N5534" t="n">
        <v>0</v>
      </c>
      <c r="O5534" t="n">
        <v>0</v>
      </c>
      <c r="P5534" t="n">
        <v>0</v>
      </c>
      <c r="Q5534" t="n">
        <v>0</v>
      </c>
      <c r="R5534" t="n">
        <v>0</v>
      </c>
      <c r="S5534" t="n">
        <v>0</v>
      </c>
      <c r="T5534" t="n">
        <v>0</v>
      </c>
      <c r="U5534" t="n">
        <v>0</v>
      </c>
      <c r="V5534" s="2" t="inlineStr"/>
    </row>
    <row r="5535" ht="15" customHeight="1">
      <c r="A5535" t="inlineStr">
        <is>
          <t>A 60681-2023</t>
        </is>
      </c>
      <c r="B5535" t="inlineStr">
        <is>
          <t>avverkningsanmälan</t>
        </is>
      </c>
      <c r="C5535" t="inlineStr">
        <is>
          <t>Föryngringsavverkning</t>
        </is>
      </c>
      <c r="D5535" s="1" t="n">
        <v>45260</v>
      </c>
      <c r="E5535" s="1" t="n">
        <v>46323</v>
      </c>
      <c r="F5535" t="inlineStr">
        <is>
          <t>KALMAR LÄN</t>
        </is>
      </c>
      <c r="G5535" t="inlineStr">
        <is>
          <t>HULTSFRED</t>
        </is>
      </c>
      <c r="H5535" t="inlineStr">
        <is>
          <t>Sveaskog</t>
        </is>
      </c>
      <c r="I5535" t="n">
        <v>0.6</v>
      </c>
      <c r="J5535" t="n">
        <v>0</v>
      </c>
      <c r="K5535" t="n">
        <v>0</v>
      </c>
      <c r="L5535" t="n">
        <v>0</v>
      </c>
      <c r="M5535" t="n">
        <v>0</v>
      </c>
      <c r="N5535" t="n">
        <v>0</v>
      </c>
      <c r="O5535" t="n">
        <v>0</v>
      </c>
      <c r="P5535" t="n">
        <v>0</v>
      </c>
      <c r="Q5535" t="n">
        <v>0</v>
      </c>
      <c r="R5535" t="n">
        <v>0</v>
      </c>
      <c r="S5535" t="n">
        <v>0</v>
      </c>
      <c r="T5535" t="n">
        <v>0</v>
      </c>
      <c r="U5535" t="n">
        <v>0</v>
      </c>
      <c r="V5535" s="2" t="inlineStr"/>
    </row>
    <row r="5536" ht="15" customHeight="1">
      <c r="A5536" t="inlineStr">
        <is>
          <t>A 12951-2023</t>
        </is>
      </c>
      <c r="B5536" t="inlineStr">
        <is>
          <t>avverkningsanmälan</t>
        </is>
      </c>
      <c r="C5536" t="inlineStr">
        <is>
          <t>Föryngringsavverkning</t>
        </is>
      </c>
      <c r="D5536" s="1" t="n">
        <v>45001</v>
      </c>
      <c r="E5536" s="1" t="n">
        <v>46323</v>
      </c>
      <c r="F5536" t="inlineStr">
        <is>
          <t>KALMAR LÄN</t>
        </is>
      </c>
      <c r="G5536" t="inlineStr">
        <is>
          <t>TORSÅS</t>
        </is>
      </c>
      <c r="I5536" t="n">
        <v>0.5</v>
      </c>
      <c r="J5536" t="n">
        <v>0</v>
      </c>
      <c r="K5536" t="n">
        <v>0</v>
      </c>
      <c r="L5536" t="n">
        <v>0</v>
      </c>
      <c r="M5536" t="n">
        <v>0</v>
      </c>
      <c r="N5536" t="n">
        <v>0</v>
      </c>
      <c r="O5536" t="n">
        <v>0</v>
      </c>
      <c r="P5536" t="n">
        <v>0</v>
      </c>
      <c r="Q5536" t="n">
        <v>0</v>
      </c>
      <c r="R5536" t="n">
        <v>0</v>
      </c>
      <c r="S5536" t="n">
        <v>0</v>
      </c>
      <c r="T5536" t="n">
        <v>0</v>
      </c>
      <c r="U5536" t="n">
        <v>0</v>
      </c>
      <c r="V5536" s="2" t="inlineStr"/>
    </row>
    <row r="5537" ht="15" customHeight="1">
      <c r="A5537" t="inlineStr">
        <is>
          <t>A 12954-2023</t>
        </is>
      </c>
      <c r="B5537" t="inlineStr">
        <is>
          <t>avverkningsanmälan</t>
        </is>
      </c>
      <c r="C5537" t="inlineStr">
        <is>
          <t>Föryngringsavverkning</t>
        </is>
      </c>
      <c r="D5537" s="1" t="n">
        <v>45001</v>
      </c>
      <c r="E5537" s="1" t="n">
        <v>46323</v>
      </c>
      <c r="F5537" t="inlineStr">
        <is>
          <t>KALMAR LÄN</t>
        </is>
      </c>
      <c r="G5537" t="inlineStr">
        <is>
          <t>TORSÅS</t>
        </is>
      </c>
      <c r="I5537" t="n">
        <v>0.6</v>
      </c>
      <c r="J5537" t="n">
        <v>0</v>
      </c>
      <c r="K5537" t="n">
        <v>0</v>
      </c>
      <c r="L5537" t="n">
        <v>0</v>
      </c>
      <c r="M5537" t="n">
        <v>0</v>
      </c>
      <c r="N5537" t="n">
        <v>0</v>
      </c>
      <c r="O5537" t="n">
        <v>0</v>
      </c>
      <c r="P5537" t="n">
        <v>0</v>
      </c>
      <c r="Q5537" t="n">
        <v>0</v>
      </c>
      <c r="R5537" t="n">
        <v>0</v>
      </c>
      <c r="S5537" t="n">
        <v>0</v>
      </c>
      <c r="T5537" t="n">
        <v>0</v>
      </c>
      <c r="U5537" t="n">
        <v>0</v>
      </c>
      <c r="V5537" s="2" t="inlineStr"/>
    </row>
    <row r="5538" ht="15" customHeight="1">
      <c r="A5538" t="inlineStr">
        <is>
          <t>A 42498-2026</t>
        </is>
      </c>
      <c r="B5538" t="inlineStr">
        <is>
          <t>avverkningsanmälan</t>
        </is>
      </c>
      <c r="C5538" t="inlineStr">
        <is>
          <t>Föryngringsavverkning</t>
        </is>
      </c>
      <c r="D5538" s="1" t="n">
        <v>46308</v>
      </c>
      <c r="E5538" s="1" t="n">
        <v>46323</v>
      </c>
      <c r="F5538" t="inlineStr">
        <is>
          <t>KALMAR LÄN</t>
        </is>
      </c>
      <c r="G5538" t="inlineStr">
        <is>
          <t>EMMABODA</t>
        </is>
      </c>
      <c r="I5538" t="n">
        <v>0.6</v>
      </c>
      <c r="J5538" t="n">
        <v>0</v>
      </c>
      <c r="K5538" t="n">
        <v>0</v>
      </c>
      <c r="L5538" t="n">
        <v>0</v>
      </c>
      <c r="M5538" t="n">
        <v>0</v>
      </c>
      <c r="N5538" t="n">
        <v>0</v>
      </c>
      <c r="O5538" t="n">
        <v>0</v>
      </c>
      <c r="P5538" t="n">
        <v>0</v>
      </c>
      <c r="Q5538" t="n">
        <v>0</v>
      </c>
      <c r="R5538" t="n">
        <v>0</v>
      </c>
      <c r="S5538" t="n">
        <v>0</v>
      </c>
      <c r="T5538" t="n">
        <v>0</v>
      </c>
      <c r="U5538" t="n">
        <v>0</v>
      </c>
      <c r="V5538" s="2" t="inlineStr"/>
    </row>
    <row r="5539" ht="15" customHeight="1">
      <c r="A5539" t="inlineStr">
        <is>
          <t>A 58800-2023</t>
        </is>
      </c>
      <c r="B5539" t="inlineStr">
        <is>
          <t>avverkningsanmälan</t>
        </is>
      </c>
      <c r="C5539" t="inlineStr">
        <is>
          <t>Föryngringsavverkning</t>
        </is>
      </c>
      <c r="D5539" s="1" t="n">
        <v>45252</v>
      </c>
      <c r="E5539" s="1" t="n">
        <v>46323</v>
      </c>
      <c r="F5539" t="inlineStr">
        <is>
          <t>KALMAR LÄN</t>
        </is>
      </c>
      <c r="G5539" t="inlineStr">
        <is>
          <t>KALMAR</t>
        </is>
      </c>
      <c r="I5539" t="n">
        <v>0.7</v>
      </c>
      <c r="J5539" t="n">
        <v>0</v>
      </c>
      <c r="K5539" t="n">
        <v>0</v>
      </c>
      <c r="L5539" t="n">
        <v>0</v>
      </c>
      <c r="M5539" t="n">
        <v>0</v>
      </c>
      <c r="N5539" t="n">
        <v>0</v>
      </c>
      <c r="O5539" t="n">
        <v>0</v>
      </c>
      <c r="P5539" t="n">
        <v>0</v>
      </c>
      <c r="Q5539" t="n">
        <v>0</v>
      </c>
      <c r="R5539" t="n">
        <v>0</v>
      </c>
      <c r="S5539" t="n">
        <v>0</v>
      </c>
      <c r="T5539" t="n">
        <v>0</v>
      </c>
      <c r="U5539" t="n">
        <v>0</v>
      </c>
      <c r="V5539" s="2" t="inlineStr"/>
    </row>
    <row r="5540" ht="15" customHeight="1">
      <c r="A5540" t="inlineStr">
        <is>
          <t>A 24292-2022</t>
        </is>
      </c>
      <c r="B5540" t="inlineStr">
        <is>
          <t>avverkningsanmälan</t>
        </is>
      </c>
      <c r="C5540" t="inlineStr">
        <is>
          <t>Föryngringsavverkning</t>
        </is>
      </c>
      <c r="D5540" s="1" t="n">
        <v>44725</v>
      </c>
      <c r="E5540" s="1" t="n">
        <v>46323</v>
      </c>
      <c r="F5540" t="inlineStr">
        <is>
          <t>KALMAR LÄN</t>
        </is>
      </c>
      <c r="G5540" t="inlineStr">
        <is>
          <t>HÖGSBY</t>
        </is>
      </c>
      <c r="I5540" t="n">
        <v>1.1</v>
      </c>
      <c r="J5540" t="n">
        <v>0</v>
      </c>
      <c r="K5540" t="n">
        <v>0</v>
      </c>
      <c r="L5540" t="n">
        <v>0</v>
      </c>
      <c r="M5540" t="n">
        <v>0</v>
      </c>
      <c r="N5540" t="n">
        <v>0</v>
      </c>
      <c r="O5540" t="n">
        <v>0</v>
      </c>
      <c r="P5540" t="n">
        <v>0</v>
      </c>
      <c r="Q5540" t="n">
        <v>0</v>
      </c>
      <c r="R5540" t="n">
        <v>0</v>
      </c>
      <c r="S5540" t="n">
        <v>0</v>
      </c>
      <c r="T5540" t="n">
        <v>0</v>
      </c>
      <c r="U5540" t="n">
        <v>0</v>
      </c>
      <c r="V5540" s="2" t="inlineStr"/>
    </row>
    <row r="5541" ht="15" customHeight="1">
      <c r="A5541" t="inlineStr">
        <is>
          <t>A 6126-2023</t>
        </is>
      </c>
      <c r="B5541" t="inlineStr">
        <is>
          <t>avverkningsanmälan</t>
        </is>
      </c>
      <c r="C5541" t="inlineStr">
        <is>
          <t>Föryngringsavverkning</t>
        </is>
      </c>
      <c r="D5541" s="1" t="n">
        <v>44964</v>
      </c>
      <c r="E5541" s="1" t="n">
        <v>46323</v>
      </c>
      <c r="F5541" t="inlineStr">
        <is>
          <t>KALMAR LÄN</t>
        </is>
      </c>
      <c r="G5541" t="inlineStr">
        <is>
          <t>VÄSTERVIK</t>
        </is>
      </c>
      <c r="H5541" t="inlineStr">
        <is>
          <t>Övriga Aktiebolag</t>
        </is>
      </c>
      <c r="I5541" t="n">
        <v>0.9</v>
      </c>
      <c r="J5541" t="n">
        <v>0</v>
      </c>
      <c r="K5541" t="n">
        <v>0</v>
      </c>
      <c r="L5541" t="n">
        <v>0</v>
      </c>
      <c r="M5541" t="n">
        <v>0</v>
      </c>
      <c r="N5541" t="n">
        <v>0</v>
      </c>
      <c r="O5541" t="n">
        <v>0</v>
      </c>
      <c r="P5541" t="n">
        <v>0</v>
      </c>
      <c r="Q5541" t="n">
        <v>0</v>
      </c>
      <c r="R5541" t="n">
        <v>0</v>
      </c>
      <c r="S5541" t="n">
        <v>0</v>
      </c>
      <c r="T5541" t="n">
        <v>0</v>
      </c>
      <c r="U5541" t="n">
        <v>0</v>
      </c>
      <c r="V5541" s="2" t="inlineStr"/>
    </row>
    <row r="5542" ht="15" customHeight="1">
      <c r="A5542" t="inlineStr">
        <is>
          <t>A 51532-2022</t>
        </is>
      </c>
      <c r="B5542" t="inlineStr">
        <is>
          <t>avverkningsanmälan</t>
        </is>
      </c>
      <c r="C5542" t="inlineStr">
        <is>
          <t>Föryngringsavverkning</t>
        </is>
      </c>
      <c r="D5542" s="1" t="n">
        <v>44869</v>
      </c>
      <c r="E5542" s="1" t="n">
        <v>46323</v>
      </c>
      <c r="F5542" t="inlineStr">
        <is>
          <t>KALMAR LÄN</t>
        </is>
      </c>
      <c r="G5542" t="inlineStr">
        <is>
          <t>MÖNSTERÅS</t>
        </is>
      </c>
      <c r="I5542" t="n">
        <v>4.9</v>
      </c>
      <c r="J5542" t="n">
        <v>0</v>
      </c>
      <c r="K5542" t="n">
        <v>0</v>
      </c>
      <c r="L5542" t="n">
        <v>0</v>
      </c>
      <c r="M5542" t="n">
        <v>0</v>
      </c>
      <c r="N5542" t="n">
        <v>0</v>
      </c>
      <c r="O5542" t="n">
        <v>0</v>
      </c>
      <c r="P5542" t="n">
        <v>0</v>
      </c>
      <c r="Q5542" t="n">
        <v>0</v>
      </c>
      <c r="R5542" t="n">
        <v>0</v>
      </c>
      <c r="S5542" t="n">
        <v>0</v>
      </c>
      <c r="T5542" t="n">
        <v>0</v>
      </c>
      <c r="U5542" t="n">
        <v>0</v>
      </c>
      <c r="V5542" s="2" t="inlineStr"/>
    </row>
    <row r="5543" ht="15" customHeight="1">
      <c r="A5543" t="inlineStr">
        <is>
          <t>A 1574-2026</t>
        </is>
      </c>
      <c r="B5543" t="inlineStr">
        <is>
          <t>avverkningsanmälan</t>
        </is>
      </c>
      <c r="C5543" t="inlineStr">
        <is>
          <t>Föryngringsavverkning</t>
        </is>
      </c>
      <c r="D5543" s="1" t="n">
        <v>46034</v>
      </c>
      <c r="E5543" s="1" t="n">
        <v>46323</v>
      </c>
      <c r="F5543" t="inlineStr">
        <is>
          <t>KALMAR LÄN</t>
        </is>
      </c>
      <c r="G5543" t="inlineStr">
        <is>
          <t>NYBRO</t>
        </is>
      </c>
      <c r="I5543" t="n">
        <v>4.5</v>
      </c>
      <c r="J5543" t="n">
        <v>0</v>
      </c>
      <c r="K5543" t="n">
        <v>0</v>
      </c>
      <c r="L5543" t="n">
        <v>0</v>
      </c>
      <c r="M5543" t="n">
        <v>0</v>
      </c>
      <c r="N5543" t="n">
        <v>0</v>
      </c>
      <c r="O5543" t="n">
        <v>0</v>
      </c>
      <c r="P5543" t="n">
        <v>0</v>
      </c>
      <c r="Q5543" t="n">
        <v>0</v>
      </c>
      <c r="R5543" t="n">
        <v>0</v>
      </c>
      <c r="S5543" t="n">
        <v>0</v>
      </c>
      <c r="T5543" t="n">
        <v>0</v>
      </c>
      <c r="U5543" t="n">
        <v>0</v>
      </c>
      <c r="V5543" s="2" t="inlineStr"/>
    </row>
    <row r="5544" ht="15" customHeight="1">
      <c r="A5544" t="inlineStr">
        <is>
          <t>A 42850-2022</t>
        </is>
      </c>
      <c r="B5544" t="inlineStr">
        <is>
          <t>avverkningsanmälan</t>
        </is>
      </c>
      <c r="C5544" t="inlineStr">
        <is>
          <t>Föryngringsavverkning</t>
        </is>
      </c>
      <c r="D5544" s="1" t="n">
        <v>44832</v>
      </c>
      <c r="E5544" s="1" t="n">
        <v>46323</v>
      </c>
      <c r="F5544" t="inlineStr">
        <is>
          <t>KALMAR LÄN</t>
        </is>
      </c>
      <c r="G5544" t="inlineStr">
        <is>
          <t>VIMMERBY</t>
        </is>
      </c>
      <c r="I5544" t="n">
        <v>5.9</v>
      </c>
      <c r="J5544" t="n">
        <v>0</v>
      </c>
      <c r="K5544" t="n">
        <v>0</v>
      </c>
      <c r="L5544" t="n">
        <v>0</v>
      </c>
      <c r="M5544" t="n">
        <v>0</v>
      </c>
      <c r="N5544" t="n">
        <v>0</v>
      </c>
      <c r="O5544" t="n">
        <v>0</v>
      </c>
      <c r="P5544" t="n">
        <v>0</v>
      </c>
      <c r="Q5544" t="n">
        <v>0</v>
      </c>
      <c r="R5544" t="n">
        <v>0</v>
      </c>
      <c r="S5544" t="n">
        <v>0</v>
      </c>
      <c r="T5544" t="n">
        <v>0</v>
      </c>
      <c r="U5544" t="n">
        <v>0</v>
      </c>
      <c r="V5544" s="2" t="inlineStr"/>
    </row>
    <row r="5545" ht="15" customHeight="1">
      <c r="A5545" t="inlineStr">
        <is>
          <t>A 59802-2024</t>
        </is>
      </c>
      <c r="B5545" t="inlineStr">
        <is>
          <t>avverkningsanmälan</t>
        </is>
      </c>
      <c r="C5545" t="inlineStr">
        <is>
          <t>Föryngringsavverkning</t>
        </is>
      </c>
      <c r="D5545" s="1" t="n">
        <v>45639</v>
      </c>
      <c r="E5545" s="1" t="n">
        <v>46323</v>
      </c>
      <c r="F5545" t="inlineStr">
        <is>
          <t>KALMAR LÄN</t>
        </is>
      </c>
      <c r="G5545" t="inlineStr">
        <is>
          <t>MÖNSTERÅS</t>
        </is>
      </c>
      <c r="I5545" t="n">
        <v>0.4</v>
      </c>
      <c r="J5545" t="n">
        <v>0</v>
      </c>
      <c r="K5545" t="n">
        <v>0</v>
      </c>
      <c r="L5545" t="n">
        <v>0</v>
      </c>
      <c r="M5545" t="n">
        <v>0</v>
      </c>
      <c r="N5545" t="n">
        <v>0</v>
      </c>
      <c r="O5545" t="n">
        <v>0</v>
      </c>
      <c r="P5545" t="n">
        <v>0</v>
      </c>
      <c r="Q5545" t="n">
        <v>0</v>
      </c>
      <c r="R5545" t="n">
        <v>0</v>
      </c>
      <c r="S5545" t="n">
        <v>0</v>
      </c>
      <c r="T5545" t="n">
        <v>0</v>
      </c>
      <c r="U5545" t="n">
        <v>0</v>
      </c>
      <c r="V5545" s="2" t="inlineStr"/>
    </row>
    <row r="5546" ht="15" customHeight="1">
      <c r="A5546" t="inlineStr">
        <is>
          <t>A 11147-2023</t>
        </is>
      </c>
      <c r="B5546" t="inlineStr">
        <is>
          <t>avverkningsanmälan</t>
        </is>
      </c>
      <c r="C5546" t="inlineStr">
        <is>
          <t>Avverkning för annat ändamål</t>
        </is>
      </c>
      <c r="D5546" s="1" t="n">
        <v>44992</v>
      </c>
      <c r="E5546" s="1" t="n">
        <v>46323</v>
      </c>
      <c r="F5546" t="inlineStr">
        <is>
          <t>KALMAR LÄN</t>
        </is>
      </c>
      <c r="G5546" t="inlineStr">
        <is>
          <t>VIMMERBY</t>
        </is>
      </c>
      <c r="I5546" t="n">
        <v>0.8</v>
      </c>
      <c r="J5546" t="n">
        <v>0</v>
      </c>
      <c r="K5546" t="n">
        <v>0</v>
      </c>
      <c r="L5546" t="n">
        <v>0</v>
      </c>
      <c r="M5546" t="n">
        <v>0</v>
      </c>
      <c r="N5546" t="n">
        <v>0</v>
      </c>
      <c r="O5546" t="n">
        <v>0</v>
      </c>
      <c r="P5546" t="n">
        <v>0</v>
      </c>
      <c r="Q5546" t="n">
        <v>0</v>
      </c>
      <c r="R5546" t="n">
        <v>0</v>
      </c>
      <c r="S5546" t="n">
        <v>0</v>
      </c>
      <c r="T5546" t="n">
        <v>0</v>
      </c>
      <c r="U5546" t="n">
        <v>0</v>
      </c>
      <c r="V5546" s="2" t="inlineStr"/>
    </row>
    <row r="5547" ht="15" customHeight="1">
      <c r="A5547" t="inlineStr">
        <is>
          <t>A 28254-2025</t>
        </is>
      </c>
      <c r="B5547" t="inlineStr">
        <is>
          <t>avverkningsanmälan</t>
        </is>
      </c>
      <c r="C5547" t="inlineStr">
        <is>
          <t>Föryngringsavverkning</t>
        </is>
      </c>
      <c r="D5547" s="1" t="n">
        <v>45818</v>
      </c>
      <c r="E5547" s="1" t="n">
        <v>46323</v>
      </c>
      <c r="F5547" t="inlineStr">
        <is>
          <t>KALMAR LÄN</t>
        </is>
      </c>
      <c r="G5547" t="inlineStr">
        <is>
          <t>OSKARSHAMN</t>
        </is>
      </c>
      <c r="I5547" t="n">
        <v>3.6</v>
      </c>
      <c r="J5547" t="n">
        <v>0</v>
      </c>
      <c r="K5547" t="n">
        <v>0</v>
      </c>
      <c r="L5547" t="n">
        <v>0</v>
      </c>
      <c r="M5547" t="n">
        <v>0</v>
      </c>
      <c r="N5547" t="n">
        <v>0</v>
      </c>
      <c r="O5547" t="n">
        <v>0</v>
      </c>
      <c r="P5547" t="n">
        <v>0</v>
      </c>
      <c r="Q5547" t="n">
        <v>0</v>
      </c>
      <c r="R5547" t="n">
        <v>0</v>
      </c>
      <c r="S5547" t="n">
        <v>0</v>
      </c>
      <c r="T5547" t="n">
        <v>0</v>
      </c>
      <c r="U5547" t="n">
        <v>0</v>
      </c>
      <c r="V5547" s="2" t="inlineStr"/>
    </row>
    <row r="5548" ht="15" customHeight="1">
      <c r="A5548" t="inlineStr">
        <is>
          <t>A 35729-2026</t>
        </is>
      </c>
      <c r="B5548" t="inlineStr">
        <is>
          <t>avverkningsanmälan</t>
        </is>
      </c>
      <c r="C5548" t="inlineStr">
        <is>
          <t>Föryngringsavverkning</t>
        </is>
      </c>
      <c r="D5548" s="1" t="n">
        <v>46265</v>
      </c>
      <c r="E5548" s="1" t="n">
        <v>46323</v>
      </c>
      <c r="F5548" t="inlineStr">
        <is>
          <t>KALMAR LÄN</t>
        </is>
      </c>
      <c r="G5548" t="inlineStr">
        <is>
          <t>TORSÅS</t>
        </is>
      </c>
      <c r="I5548" t="n">
        <v>0.5</v>
      </c>
      <c r="J5548" t="n">
        <v>0</v>
      </c>
      <c r="K5548" t="n">
        <v>0</v>
      </c>
      <c r="L5548" t="n">
        <v>0</v>
      </c>
      <c r="M5548" t="n">
        <v>0</v>
      </c>
      <c r="N5548" t="n">
        <v>0</v>
      </c>
      <c r="O5548" t="n">
        <v>0</v>
      </c>
      <c r="P5548" t="n">
        <v>0</v>
      </c>
      <c r="Q5548" t="n">
        <v>0</v>
      </c>
      <c r="R5548" t="n">
        <v>0</v>
      </c>
      <c r="S5548" t="n">
        <v>0</v>
      </c>
      <c r="T5548" t="n">
        <v>0</v>
      </c>
      <c r="U5548" t="n">
        <v>0</v>
      </c>
      <c r="V5548" s="2" t="inlineStr"/>
    </row>
    <row r="5549" ht="15" customHeight="1">
      <c r="A5549" t="inlineStr">
        <is>
          <t>A 15099-2023</t>
        </is>
      </c>
      <c r="B5549" t="inlineStr">
        <is>
          <t>avverkningsanmälan</t>
        </is>
      </c>
      <c r="C5549" t="inlineStr">
        <is>
          <t>Föryngringsavverkning</t>
        </is>
      </c>
      <c r="D5549" s="1" t="n">
        <v>45016</v>
      </c>
      <c r="E5549" s="1" t="n">
        <v>46323</v>
      </c>
      <c r="F5549" t="inlineStr">
        <is>
          <t>KALMAR LÄN</t>
        </is>
      </c>
      <c r="G5549" t="inlineStr">
        <is>
          <t>VÄSTERVIK</t>
        </is>
      </c>
      <c r="I5549" t="n">
        <v>3</v>
      </c>
      <c r="J5549" t="n">
        <v>0</v>
      </c>
      <c r="K5549" t="n">
        <v>0</v>
      </c>
      <c r="L5549" t="n">
        <v>0</v>
      </c>
      <c r="M5549" t="n">
        <v>0</v>
      </c>
      <c r="N5549" t="n">
        <v>0</v>
      </c>
      <c r="O5549" t="n">
        <v>0</v>
      </c>
      <c r="P5549" t="n">
        <v>0</v>
      </c>
      <c r="Q5549" t="n">
        <v>0</v>
      </c>
      <c r="R5549" t="n">
        <v>0</v>
      </c>
      <c r="S5549" t="n">
        <v>0</v>
      </c>
      <c r="T5549" t="n">
        <v>0</v>
      </c>
      <c r="U5549" t="n">
        <v>0</v>
      </c>
      <c r="V5549" s="2" t="inlineStr"/>
    </row>
    <row r="5550" ht="15" customHeight="1">
      <c r="A5550" t="inlineStr">
        <is>
          <t>A 217-2026</t>
        </is>
      </c>
      <c r="B5550" t="inlineStr">
        <is>
          <t>avverkningsanmälan</t>
        </is>
      </c>
      <c r="C5550" t="inlineStr">
        <is>
          <t>Föryngringsavverkning</t>
        </is>
      </c>
      <c r="D5550" s="1" t="n">
        <v>46026</v>
      </c>
      <c r="E5550" s="1" t="n">
        <v>46323</v>
      </c>
      <c r="F5550" t="inlineStr">
        <is>
          <t>KALMAR LÄN</t>
        </is>
      </c>
      <c r="G5550" t="inlineStr">
        <is>
          <t>KALMAR</t>
        </is>
      </c>
      <c r="I5550" t="n">
        <v>2.7</v>
      </c>
      <c r="J5550" t="n">
        <v>0</v>
      </c>
      <c r="K5550" t="n">
        <v>0</v>
      </c>
      <c r="L5550" t="n">
        <v>0</v>
      </c>
      <c r="M5550" t="n">
        <v>0</v>
      </c>
      <c r="N5550" t="n">
        <v>0</v>
      </c>
      <c r="O5550" t="n">
        <v>0</v>
      </c>
      <c r="P5550" t="n">
        <v>0</v>
      </c>
      <c r="Q5550" t="n">
        <v>0</v>
      </c>
      <c r="R5550" t="n">
        <v>0</v>
      </c>
      <c r="S5550" t="n">
        <v>0</v>
      </c>
      <c r="T5550" t="n">
        <v>0</v>
      </c>
      <c r="U5550" t="n">
        <v>0</v>
      </c>
      <c r="V5550" s="2" t="inlineStr"/>
    </row>
    <row r="5551" ht="15" customHeight="1">
      <c r="A5551" t="inlineStr">
        <is>
          <t>A 7834-2024</t>
        </is>
      </c>
      <c r="B5551" t="inlineStr">
        <is>
          <t>avverkningsanmälan</t>
        </is>
      </c>
      <c r="C5551" t="inlineStr">
        <is>
          <t>Föryngringsavverkning</t>
        </is>
      </c>
      <c r="D5551" s="1" t="n">
        <v>45349</v>
      </c>
      <c r="E5551" s="1" t="n">
        <v>46323</v>
      </c>
      <c r="F5551" t="inlineStr">
        <is>
          <t>KALMAR LÄN</t>
        </is>
      </c>
      <c r="G5551" t="inlineStr">
        <is>
          <t>EMMABODA</t>
        </is>
      </c>
      <c r="I5551" t="n">
        <v>1.6</v>
      </c>
      <c r="J5551" t="n">
        <v>0</v>
      </c>
      <c r="K5551" t="n">
        <v>0</v>
      </c>
      <c r="L5551" t="n">
        <v>0</v>
      </c>
      <c r="M5551" t="n">
        <v>0</v>
      </c>
      <c r="N5551" t="n">
        <v>0</v>
      </c>
      <c r="O5551" t="n">
        <v>0</v>
      </c>
      <c r="P5551" t="n">
        <v>0</v>
      </c>
      <c r="Q5551" t="n">
        <v>0</v>
      </c>
      <c r="R5551" t="n">
        <v>0</v>
      </c>
      <c r="S5551" t="n">
        <v>0</v>
      </c>
      <c r="T5551" t="n">
        <v>0</v>
      </c>
      <c r="U5551" t="n">
        <v>0</v>
      </c>
      <c r="V5551" s="2" t="inlineStr"/>
    </row>
    <row r="5552" ht="15" customHeight="1">
      <c r="A5552" t="inlineStr">
        <is>
          <t>A 7840-2024</t>
        </is>
      </c>
      <c r="B5552" t="inlineStr">
        <is>
          <t>avverkningsanmälan</t>
        </is>
      </c>
      <c r="C5552" t="inlineStr">
        <is>
          <t>Föryngringsavverkning</t>
        </is>
      </c>
      <c r="D5552" s="1" t="n">
        <v>45349</v>
      </c>
      <c r="E5552" s="1" t="n">
        <v>46323</v>
      </c>
      <c r="F5552" t="inlineStr">
        <is>
          <t>KALMAR LÄN</t>
        </is>
      </c>
      <c r="G5552" t="inlineStr">
        <is>
          <t>EMMABODA</t>
        </is>
      </c>
      <c r="I5552" t="n">
        <v>1.8</v>
      </c>
      <c r="J5552" t="n">
        <v>0</v>
      </c>
      <c r="K5552" t="n">
        <v>0</v>
      </c>
      <c r="L5552" t="n">
        <v>0</v>
      </c>
      <c r="M5552" t="n">
        <v>0</v>
      </c>
      <c r="N5552" t="n">
        <v>0</v>
      </c>
      <c r="O5552" t="n">
        <v>0</v>
      </c>
      <c r="P5552" t="n">
        <v>0</v>
      </c>
      <c r="Q5552" t="n">
        <v>0</v>
      </c>
      <c r="R5552" t="n">
        <v>0</v>
      </c>
      <c r="S5552" t="n">
        <v>0</v>
      </c>
      <c r="T5552" t="n">
        <v>0</v>
      </c>
      <c r="U5552" t="n">
        <v>0</v>
      </c>
      <c r="V5552" s="2" t="inlineStr"/>
    </row>
    <row r="5553" ht="15" customHeight="1">
      <c r="A5553" t="inlineStr">
        <is>
          <t>A 71114-2021</t>
        </is>
      </c>
      <c r="B5553" t="inlineStr">
        <is>
          <t>avverkningsanmälan</t>
        </is>
      </c>
      <c r="C5553" t="inlineStr">
        <is>
          <t>Föryngringsavverkning</t>
        </is>
      </c>
      <c r="D5553" s="1" t="n">
        <v>44539</v>
      </c>
      <c r="E5553" s="1" t="n">
        <v>46323</v>
      </c>
      <c r="F5553" t="inlineStr">
        <is>
          <t>KALMAR LÄN</t>
        </is>
      </c>
      <c r="G5553" t="inlineStr">
        <is>
          <t>VÄSTERVIK</t>
        </is>
      </c>
      <c r="I5553" t="n">
        <v>1.9</v>
      </c>
      <c r="J5553" t="n">
        <v>0</v>
      </c>
      <c r="K5553" t="n">
        <v>0</v>
      </c>
      <c r="L5553" t="n">
        <v>0</v>
      </c>
      <c r="M5553" t="n">
        <v>0</v>
      </c>
      <c r="N5553" t="n">
        <v>0</v>
      </c>
      <c r="O5553" t="n">
        <v>0</v>
      </c>
      <c r="P5553" t="n">
        <v>0</v>
      </c>
      <c r="Q5553" t="n">
        <v>0</v>
      </c>
      <c r="R5553" t="n">
        <v>0</v>
      </c>
      <c r="S5553" t="n">
        <v>0</v>
      </c>
      <c r="T5553" t="n">
        <v>0</v>
      </c>
      <c r="U5553" t="n">
        <v>0</v>
      </c>
      <c r="V5553" s="2" t="inlineStr"/>
    </row>
    <row r="5554" ht="15" customHeight="1">
      <c r="A5554" t="inlineStr">
        <is>
          <t>A 59914-2024</t>
        </is>
      </c>
      <c r="B5554" t="inlineStr">
        <is>
          <t>avverkningsanmälan</t>
        </is>
      </c>
      <c r="C5554" t="inlineStr">
        <is>
          <t>Föryngringsavverkning</t>
        </is>
      </c>
      <c r="D5554" s="1" t="n">
        <v>45641</v>
      </c>
      <c r="E5554" s="1" t="n">
        <v>46323</v>
      </c>
      <c r="F5554" t="inlineStr">
        <is>
          <t>KALMAR LÄN</t>
        </is>
      </c>
      <c r="G5554" t="inlineStr">
        <is>
          <t>EMMABODA</t>
        </is>
      </c>
      <c r="I5554" t="n">
        <v>0.3</v>
      </c>
      <c r="J5554" t="n">
        <v>0</v>
      </c>
      <c r="K5554" t="n">
        <v>0</v>
      </c>
      <c r="L5554" t="n">
        <v>0</v>
      </c>
      <c r="M5554" t="n">
        <v>0</v>
      </c>
      <c r="N5554" t="n">
        <v>0</v>
      </c>
      <c r="O5554" t="n">
        <v>0</v>
      </c>
      <c r="P5554" t="n">
        <v>0</v>
      </c>
      <c r="Q5554" t="n">
        <v>0</v>
      </c>
      <c r="R5554" t="n">
        <v>0</v>
      </c>
      <c r="S5554" t="n">
        <v>0</v>
      </c>
      <c r="T5554" t="n">
        <v>0</v>
      </c>
      <c r="U5554" t="n">
        <v>0</v>
      </c>
      <c r="V5554" s="2" t="inlineStr"/>
    </row>
    <row r="5555" ht="15" customHeight="1">
      <c r="A5555" t="inlineStr">
        <is>
          <t>A 35488-2026</t>
        </is>
      </c>
      <c r="B5555" t="inlineStr">
        <is>
          <t>avverkningsanmälan</t>
        </is>
      </c>
      <c r="C5555" t="inlineStr">
        <is>
          <t>Föryngringsavverkning</t>
        </is>
      </c>
      <c r="D5555" s="1" t="n">
        <v>46262</v>
      </c>
      <c r="E5555" s="1" t="n">
        <v>46323</v>
      </c>
      <c r="F5555" t="inlineStr">
        <is>
          <t>KALMAR LÄN</t>
        </is>
      </c>
      <c r="G5555" t="inlineStr">
        <is>
          <t>VÄSTERVIK</t>
        </is>
      </c>
      <c r="H5555" t="inlineStr">
        <is>
          <t>Sveaskog</t>
        </is>
      </c>
      <c r="I5555" t="n">
        <v>2.1</v>
      </c>
      <c r="J5555" t="n">
        <v>0</v>
      </c>
      <c r="K5555" t="n">
        <v>0</v>
      </c>
      <c r="L5555" t="n">
        <v>0</v>
      </c>
      <c r="M5555" t="n">
        <v>0</v>
      </c>
      <c r="N5555" t="n">
        <v>0</v>
      </c>
      <c r="O5555" t="n">
        <v>0</v>
      </c>
      <c r="P5555" t="n">
        <v>0</v>
      </c>
      <c r="Q5555" t="n">
        <v>0</v>
      </c>
      <c r="R5555" t="n">
        <v>0</v>
      </c>
      <c r="S5555" t="n">
        <v>0</v>
      </c>
      <c r="T5555" t="n">
        <v>0</v>
      </c>
      <c r="U5555" t="n">
        <v>0</v>
      </c>
      <c r="V5555" s="2" t="inlineStr"/>
    </row>
    <row r="5556" ht="15" customHeight="1">
      <c r="A5556" t="inlineStr">
        <is>
          <t>A 47635-2025</t>
        </is>
      </c>
      <c r="B5556" t="inlineStr">
        <is>
          <t>avverkningsanmälan</t>
        </is>
      </c>
      <c r="C5556" t="inlineStr">
        <is>
          <t>Föryngringsavverkning</t>
        </is>
      </c>
      <c r="D5556" s="1" t="n">
        <v>45931</v>
      </c>
      <c r="E5556" s="1" t="n">
        <v>46323</v>
      </c>
      <c r="F5556" t="inlineStr">
        <is>
          <t>KALMAR LÄN</t>
        </is>
      </c>
      <c r="G5556" t="inlineStr">
        <is>
          <t>OSKARSHAMN</t>
        </is>
      </c>
      <c r="I5556" t="n">
        <v>2.2</v>
      </c>
      <c r="J5556" t="n">
        <v>0</v>
      </c>
      <c r="K5556" t="n">
        <v>0</v>
      </c>
      <c r="L5556" t="n">
        <v>0</v>
      </c>
      <c r="M5556" t="n">
        <v>0</v>
      </c>
      <c r="N5556" t="n">
        <v>0</v>
      </c>
      <c r="O5556" t="n">
        <v>0</v>
      </c>
      <c r="P5556" t="n">
        <v>0</v>
      </c>
      <c r="Q5556" t="n">
        <v>0</v>
      </c>
      <c r="R5556" t="n">
        <v>0</v>
      </c>
      <c r="S5556" t="n">
        <v>0</v>
      </c>
      <c r="T5556" t="n">
        <v>0</v>
      </c>
      <c r="U5556" t="n">
        <v>0</v>
      </c>
      <c r="V5556" s="2" t="inlineStr"/>
    </row>
    <row r="5557" ht="15" customHeight="1">
      <c r="A5557" t="inlineStr">
        <is>
          <t>A 782-2024</t>
        </is>
      </c>
      <c r="B5557" t="inlineStr">
        <is>
          <t>avverkningsanmälan</t>
        </is>
      </c>
      <c r="C5557" t="inlineStr">
        <is>
          <t>Föryngringsavverkning</t>
        </is>
      </c>
      <c r="D5557" s="1" t="n">
        <v>45300</v>
      </c>
      <c r="E5557" s="1" t="n">
        <v>46323</v>
      </c>
      <c r="F5557" t="inlineStr">
        <is>
          <t>KALMAR LÄN</t>
        </is>
      </c>
      <c r="G5557" t="inlineStr">
        <is>
          <t>VÄSTERVIK</t>
        </is>
      </c>
      <c r="I5557" t="n">
        <v>2.7</v>
      </c>
      <c r="J5557" t="n">
        <v>0</v>
      </c>
      <c r="K5557" t="n">
        <v>0</v>
      </c>
      <c r="L5557" t="n">
        <v>0</v>
      </c>
      <c r="M5557" t="n">
        <v>0</v>
      </c>
      <c r="N5557" t="n">
        <v>0</v>
      </c>
      <c r="O5557" t="n">
        <v>0</v>
      </c>
      <c r="P5557" t="n">
        <v>0</v>
      </c>
      <c r="Q5557" t="n">
        <v>0</v>
      </c>
      <c r="R5557" t="n">
        <v>0</v>
      </c>
      <c r="S5557" t="n">
        <v>0</v>
      </c>
      <c r="T5557" t="n">
        <v>0</v>
      </c>
      <c r="U5557" t="n">
        <v>0</v>
      </c>
      <c r="V5557" s="2" t="inlineStr"/>
    </row>
    <row r="5558" ht="15" customHeight="1">
      <c r="A5558" t="inlineStr">
        <is>
          <t>A 26903-2024</t>
        </is>
      </c>
      <c r="B5558" t="inlineStr">
        <is>
          <t>avverkningsanmälan</t>
        </is>
      </c>
      <c r="C5558" t="inlineStr">
        <is>
          <t>Föryngringsavverkning</t>
        </is>
      </c>
      <c r="D5558" s="1" t="n">
        <v>45470</v>
      </c>
      <c r="E5558" s="1" t="n">
        <v>46323</v>
      </c>
      <c r="F5558" t="inlineStr">
        <is>
          <t>KALMAR LÄN</t>
        </is>
      </c>
      <c r="G5558" t="inlineStr">
        <is>
          <t>KALMAR</t>
        </is>
      </c>
      <c r="I5558" t="n">
        <v>0.6</v>
      </c>
      <c r="J5558" t="n">
        <v>0</v>
      </c>
      <c r="K5558" t="n">
        <v>0</v>
      </c>
      <c r="L5558" t="n">
        <v>0</v>
      </c>
      <c r="M5558" t="n">
        <v>0</v>
      </c>
      <c r="N5558" t="n">
        <v>0</v>
      </c>
      <c r="O5558" t="n">
        <v>0</v>
      </c>
      <c r="P5558" t="n">
        <v>0</v>
      </c>
      <c r="Q5558" t="n">
        <v>0</v>
      </c>
      <c r="R5558" t="n">
        <v>0</v>
      </c>
      <c r="S5558" t="n">
        <v>0</v>
      </c>
      <c r="T5558" t="n">
        <v>0</v>
      </c>
      <c r="U5558" t="n">
        <v>0</v>
      </c>
      <c r="V5558" s="2" t="inlineStr"/>
    </row>
    <row r="5559" ht="15" customHeight="1">
      <c r="A5559" t="inlineStr">
        <is>
          <t>A 41118-2026</t>
        </is>
      </c>
      <c r="B5559" t="inlineStr">
        <is>
          <t>avverkningsanmälan</t>
        </is>
      </c>
      <c r="C5559" t="inlineStr">
        <is>
          <t>Föryngringsavverkning</t>
        </is>
      </c>
      <c r="D5559" s="1" t="n">
        <v>46300</v>
      </c>
      <c r="E5559" s="1" t="n">
        <v>46323</v>
      </c>
      <c r="F5559" t="inlineStr">
        <is>
          <t>KALMAR LÄN</t>
        </is>
      </c>
      <c r="G5559" t="inlineStr">
        <is>
          <t>HÖGSBY</t>
        </is>
      </c>
      <c r="I5559" t="n">
        <v>0.7</v>
      </c>
      <c r="J5559" t="n">
        <v>0</v>
      </c>
      <c r="K5559" t="n">
        <v>0</v>
      </c>
      <c r="L5559" t="n">
        <v>0</v>
      </c>
      <c r="M5559" t="n">
        <v>0</v>
      </c>
      <c r="N5559" t="n">
        <v>0</v>
      </c>
      <c r="O5559" t="n">
        <v>0</v>
      </c>
      <c r="P5559" t="n">
        <v>0</v>
      </c>
      <c r="Q5559" t="n">
        <v>0</v>
      </c>
      <c r="R5559" t="n">
        <v>0</v>
      </c>
      <c r="S5559" t="n">
        <v>0</v>
      </c>
      <c r="T5559" t="n">
        <v>0</v>
      </c>
      <c r="U5559" t="n">
        <v>0</v>
      </c>
      <c r="V5559" s="2" t="inlineStr"/>
    </row>
    <row r="5560" ht="15" customHeight="1">
      <c r="A5560" t="inlineStr">
        <is>
          <t>A 17085-2023</t>
        </is>
      </c>
      <c r="B5560" t="inlineStr">
        <is>
          <t>avverkningsanmälan</t>
        </is>
      </c>
      <c r="C5560" t="inlineStr">
        <is>
          <t>Föryngringsavverkning</t>
        </is>
      </c>
      <c r="D5560" s="1" t="n">
        <v>45034</v>
      </c>
      <c r="E5560" s="1" t="n">
        <v>46323</v>
      </c>
      <c r="F5560" t="inlineStr">
        <is>
          <t>KALMAR LÄN</t>
        </is>
      </c>
      <c r="G5560" t="inlineStr">
        <is>
          <t>KALMAR</t>
        </is>
      </c>
      <c r="I5560" t="n">
        <v>6.9</v>
      </c>
      <c r="J5560" t="n">
        <v>0</v>
      </c>
      <c r="K5560" t="n">
        <v>0</v>
      </c>
      <c r="L5560" t="n">
        <v>0</v>
      </c>
      <c r="M5560" t="n">
        <v>0</v>
      </c>
      <c r="N5560" t="n">
        <v>0</v>
      </c>
      <c r="O5560" t="n">
        <v>0</v>
      </c>
      <c r="P5560" t="n">
        <v>0</v>
      </c>
      <c r="Q5560" t="n">
        <v>0</v>
      </c>
      <c r="R5560" t="n">
        <v>0</v>
      </c>
      <c r="S5560" t="n">
        <v>0</v>
      </c>
      <c r="T5560" t="n">
        <v>0</v>
      </c>
      <c r="U5560" t="n">
        <v>0</v>
      </c>
      <c r="V5560" s="2" t="inlineStr"/>
    </row>
    <row r="5561" ht="15" customHeight="1">
      <c r="A5561" t="inlineStr">
        <is>
          <t>A 42875-2025</t>
        </is>
      </c>
      <c r="B5561" t="inlineStr">
        <is>
          <t>avverkningsanmälan</t>
        </is>
      </c>
      <c r="C5561" t="inlineStr">
        <is>
          <t>Föryngringsavverkning</t>
        </is>
      </c>
      <c r="D5561" s="1" t="n">
        <v>45908</v>
      </c>
      <c r="E5561" s="1" t="n">
        <v>46323</v>
      </c>
      <c r="F5561" t="inlineStr">
        <is>
          <t>KALMAR LÄN</t>
        </is>
      </c>
      <c r="G5561" t="inlineStr">
        <is>
          <t>OSKARSHAMN</t>
        </is>
      </c>
      <c r="I5561" t="n">
        <v>4.6</v>
      </c>
      <c r="J5561" t="n">
        <v>0</v>
      </c>
      <c r="K5561" t="n">
        <v>0</v>
      </c>
      <c r="L5561" t="n">
        <v>0</v>
      </c>
      <c r="M5561" t="n">
        <v>0</v>
      </c>
      <c r="N5561" t="n">
        <v>0</v>
      </c>
      <c r="O5561" t="n">
        <v>0</v>
      </c>
      <c r="P5561" t="n">
        <v>0</v>
      </c>
      <c r="Q5561" t="n">
        <v>0</v>
      </c>
      <c r="R5561" t="n">
        <v>0</v>
      </c>
      <c r="S5561" t="n">
        <v>0</v>
      </c>
      <c r="T5561" t="n">
        <v>0</v>
      </c>
      <c r="U5561" t="n">
        <v>0</v>
      </c>
      <c r="V5561" s="2" t="inlineStr"/>
    </row>
    <row r="5562" ht="15" customHeight="1">
      <c r="A5562" t="inlineStr">
        <is>
          <t>A 11707-2025</t>
        </is>
      </c>
      <c r="B5562" t="inlineStr">
        <is>
          <t>avverkningsanmälan</t>
        </is>
      </c>
      <c r="C5562" t="inlineStr">
        <is>
          <t>Föryngringsavverkning</t>
        </is>
      </c>
      <c r="D5562" s="1" t="n">
        <v>45727</v>
      </c>
      <c r="E5562" s="1" t="n">
        <v>46323</v>
      </c>
      <c r="F5562" t="inlineStr">
        <is>
          <t>KALMAR LÄN</t>
        </is>
      </c>
      <c r="G5562" t="inlineStr">
        <is>
          <t>HÖGSBY</t>
        </is>
      </c>
      <c r="I5562" t="n">
        <v>1.8</v>
      </c>
      <c r="J5562" t="n">
        <v>0</v>
      </c>
      <c r="K5562" t="n">
        <v>0</v>
      </c>
      <c r="L5562" t="n">
        <v>0</v>
      </c>
      <c r="M5562" t="n">
        <v>0</v>
      </c>
      <c r="N5562" t="n">
        <v>0</v>
      </c>
      <c r="O5562" t="n">
        <v>0</v>
      </c>
      <c r="P5562" t="n">
        <v>0</v>
      </c>
      <c r="Q5562" t="n">
        <v>0</v>
      </c>
      <c r="R5562" t="n">
        <v>0</v>
      </c>
      <c r="S5562" t="n">
        <v>0</v>
      </c>
      <c r="T5562" t="n">
        <v>0</v>
      </c>
      <c r="U5562" t="n">
        <v>0</v>
      </c>
      <c r="V5562" s="2" t="inlineStr"/>
    </row>
    <row r="5563" ht="15" customHeight="1">
      <c r="A5563" t="inlineStr">
        <is>
          <t>A 62422-2022</t>
        </is>
      </c>
      <c r="B5563" t="inlineStr">
        <is>
          <t>avverkningsanmälan</t>
        </is>
      </c>
      <c r="C5563" t="inlineStr">
        <is>
          <t>Föryngringsavverkning</t>
        </is>
      </c>
      <c r="D5563" s="1" t="n">
        <v>44924</v>
      </c>
      <c r="E5563" s="1" t="n">
        <v>46323</v>
      </c>
      <c r="F5563" t="inlineStr">
        <is>
          <t>KALMAR LÄN</t>
        </is>
      </c>
      <c r="G5563" t="inlineStr">
        <is>
          <t>VÄSTERVIK</t>
        </is>
      </c>
      <c r="I5563" t="n">
        <v>4.9</v>
      </c>
      <c r="J5563" t="n">
        <v>0</v>
      </c>
      <c r="K5563" t="n">
        <v>0</v>
      </c>
      <c r="L5563" t="n">
        <v>0</v>
      </c>
      <c r="M5563" t="n">
        <v>0</v>
      </c>
      <c r="N5563" t="n">
        <v>0</v>
      </c>
      <c r="O5563" t="n">
        <v>0</v>
      </c>
      <c r="P5563" t="n">
        <v>0</v>
      </c>
      <c r="Q5563" t="n">
        <v>0</v>
      </c>
      <c r="R5563" t="n">
        <v>0</v>
      </c>
      <c r="S5563" t="n">
        <v>0</v>
      </c>
      <c r="T5563" t="n">
        <v>0</v>
      </c>
      <c r="U5563" t="n">
        <v>0</v>
      </c>
      <c r="V5563" s="2" t="inlineStr"/>
    </row>
    <row r="5564" ht="15" customHeight="1">
      <c r="A5564" t="inlineStr">
        <is>
          <t>A 42331-2026</t>
        </is>
      </c>
      <c r="B5564" t="inlineStr">
        <is>
          <t>avverkningsanmälan</t>
        </is>
      </c>
      <c r="C5564" t="inlineStr">
        <is>
          <t>Föryngringsavverkning</t>
        </is>
      </c>
      <c r="D5564" s="1" t="n">
        <v>46307</v>
      </c>
      <c r="E5564" s="1" t="n">
        <v>46323</v>
      </c>
      <c r="F5564" t="inlineStr">
        <is>
          <t>KALMAR LÄN</t>
        </is>
      </c>
      <c r="G5564" t="inlineStr">
        <is>
          <t>VIMMERBY</t>
        </is>
      </c>
      <c r="I5564" t="n">
        <v>2.1</v>
      </c>
      <c r="J5564" t="n">
        <v>0</v>
      </c>
      <c r="K5564" t="n">
        <v>0</v>
      </c>
      <c r="L5564" t="n">
        <v>0</v>
      </c>
      <c r="M5564" t="n">
        <v>0</v>
      </c>
      <c r="N5564" t="n">
        <v>0</v>
      </c>
      <c r="O5564" t="n">
        <v>0</v>
      </c>
      <c r="P5564" t="n">
        <v>0</v>
      </c>
      <c r="Q5564" t="n">
        <v>0</v>
      </c>
      <c r="R5564" t="n">
        <v>0</v>
      </c>
      <c r="S5564" t="n">
        <v>0</v>
      </c>
      <c r="T5564" t="n">
        <v>0</v>
      </c>
      <c r="U5564" t="n">
        <v>0</v>
      </c>
      <c r="V5564" s="2" t="inlineStr"/>
    </row>
    <row r="5565" ht="15" customHeight="1">
      <c r="A5565" t="inlineStr">
        <is>
          <t>A 5906-2026</t>
        </is>
      </c>
      <c r="B5565" t="inlineStr">
        <is>
          <t>avverkningsanmälan</t>
        </is>
      </c>
      <c r="C5565" t="inlineStr">
        <is>
          <t>Föryngringsavverkning</t>
        </is>
      </c>
      <c r="D5565" s="1" t="n">
        <v>46052</v>
      </c>
      <c r="E5565" s="1" t="n">
        <v>46323</v>
      </c>
      <c r="F5565" t="inlineStr">
        <is>
          <t>KALMAR LÄN</t>
        </is>
      </c>
      <c r="G5565" t="inlineStr">
        <is>
          <t>NYBRO</t>
        </is>
      </c>
      <c r="I5565" t="n">
        <v>2.1</v>
      </c>
      <c r="J5565" t="n">
        <v>0</v>
      </c>
      <c r="K5565" t="n">
        <v>0</v>
      </c>
      <c r="L5565" t="n">
        <v>0</v>
      </c>
      <c r="M5565" t="n">
        <v>0</v>
      </c>
      <c r="N5565" t="n">
        <v>0</v>
      </c>
      <c r="O5565" t="n">
        <v>0</v>
      </c>
      <c r="P5565" t="n">
        <v>0</v>
      </c>
      <c r="Q5565" t="n">
        <v>0</v>
      </c>
      <c r="R5565" t="n">
        <v>0</v>
      </c>
      <c r="S5565" t="n">
        <v>0</v>
      </c>
      <c r="T5565" t="n">
        <v>0</v>
      </c>
      <c r="U5565" t="n">
        <v>0</v>
      </c>
      <c r="V5565" s="2" t="inlineStr"/>
    </row>
    <row r="5566" ht="15" customHeight="1">
      <c r="A5566" t="inlineStr">
        <is>
          <t>A 1653-2022</t>
        </is>
      </c>
      <c r="B5566" t="inlineStr">
        <is>
          <t>avverkningsanmälan</t>
        </is>
      </c>
      <c r="C5566" t="inlineStr">
        <is>
          <t>Föryngringsavverkning</t>
        </is>
      </c>
      <c r="D5566" s="1" t="n">
        <v>44574</v>
      </c>
      <c r="E5566" s="1" t="n">
        <v>46323</v>
      </c>
      <c r="F5566" t="inlineStr">
        <is>
          <t>KALMAR LÄN</t>
        </is>
      </c>
      <c r="G5566" t="inlineStr">
        <is>
          <t>KALMAR</t>
        </is>
      </c>
      <c r="I5566" t="n">
        <v>3.4</v>
      </c>
      <c r="J5566" t="n">
        <v>0</v>
      </c>
      <c r="K5566" t="n">
        <v>0</v>
      </c>
      <c r="L5566" t="n">
        <v>0</v>
      </c>
      <c r="M5566" t="n">
        <v>0</v>
      </c>
      <c r="N5566" t="n">
        <v>0</v>
      </c>
      <c r="O5566" t="n">
        <v>0</v>
      </c>
      <c r="P5566" t="n">
        <v>0</v>
      </c>
      <c r="Q5566" t="n">
        <v>0</v>
      </c>
      <c r="R5566" t="n">
        <v>0</v>
      </c>
      <c r="S5566" t="n">
        <v>0</v>
      </c>
      <c r="T5566" t="n">
        <v>0</v>
      </c>
      <c r="U5566" t="n">
        <v>0</v>
      </c>
      <c r="V5566" s="2" t="inlineStr"/>
    </row>
    <row r="5567" ht="15" customHeight="1">
      <c r="A5567" t="inlineStr">
        <is>
          <t>A 22487-2022</t>
        </is>
      </c>
      <c r="B5567" t="inlineStr">
        <is>
          <t>avverkningsanmälan</t>
        </is>
      </c>
      <c r="C5567" t="inlineStr">
        <is>
          <t>Föryngringsavverkning</t>
        </is>
      </c>
      <c r="D5567" s="1" t="n">
        <v>44713</v>
      </c>
      <c r="E5567" s="1" t="n">
        <v>46323</v>
      </c>
      <c r="F5567" t="inlineStr">
        <is>
          <t>KALMAR LÄN</t>
        </is>
      </c>
      <c r="G5567" t="inlineStr">
        <is>
          <t>NYBRO</t>
        </is>
      </c>
      <c r="I5567" t="n">
        <v>1.4</v>
      </c>
      <c r="J5567" t="n">
        <v>0</v>
      </c>
      <c r="K5567" t="n">
        <v>0</v>
      </c>
      <c r="L5567" t="n">
        <v>0</v>
      </c>
      <c r="M5567" t="n">
        <v>0</v>
      </c>
      <c r="N5567" t="n">
        <v>0</v>
      </c>
      <c r="O5567" t="n">
        <v>0</v>
      </c>
      <c r="P5567" t="n">
        <v>0</v>
      </c>
      <c r="Q5567" t="n">
        <v>0</v>
      </c>
      <c r="R5567" t="n">
        <v>0</v>
      </c>
      <c r="S5567" t="n">
        <v>0</v>
      </c>
      <c r="T5567" t="n">
        <v>0</v>
      </c>
      <c r="U5567" t="n">
        <v>0</v>
      </c>
      <c r="V5567" s="2" t="inlineStr"/>
    </row>
    <row r="5568" ht="15" customHeight="1">
      <c r="A5568" t="inlineStr">
        <is>
          <t>A 9337-2023</t>
        </is>
      </c>
      <c r="B5568" t="inlineStr">
        <is>
          <t>avverkningsanmälan</t>
        </is>
      </c>
      <c r="C5568" t="inlineStr">
        <is>
          <t>Föryngringsavverkning</t>
        </is>
      </c>
      <c r="D5568" s="1" t="n">
        <v>44980</v>
      </c>
      <c r="E5568" s="1" t="n">
        <v>46323</v>
      </c>
      <c r="F5568" t="inlineStr">
        <is>
          <t>KALMAR LÄN</t>
        </is>
      </c>
      <c r="G5568" t="inlineStr">
        <is>
          <t>OSKARSHAMN</t>
        </is>
      </c>
      <c r="I5568" t="n">
        <v>3.3</v>
      </c>
      <c r="J5568" t="n">
        <v>0</v>
      </c>
      <c r="K5568" t="n">
        <v>0</v>
      </c>
      <c r="L5568" t="n">
        <v>0</v>
      </c>
      <c r="M5568" t="n">
        <v>0</v>
      </c>
      <c r="N5568" t="n">
        <v>0</v>
      </c>
      <c r="O5568" t="n">
        <v>0</v>
      </c>
      <c r="P5568" t="n">
        <v>0</v>
      </c>
      <c r="Q5568" t="n">
        <v>0</v>
      </c>
      <c r="R5568" t="n">
        <v>0</v>
      </c>
      <c r="S5568" t="n">
        <v>0</v>
      </c>
      <c r="T5568" t="n">
        <v>0</v>
      </c>
      <c r="U5568" t="n">
        <v>0</v>
      </c>
      <c r="V5568" s="2" t="inlineStr"/>
    </row>
    <row r="5569" ht="15" customHeight="1">
      <c r="A5569" t="inlineStr">
        <is>
          <t>A 26254-2025</t>
        </is>
      </c>
      <c r="B5569" t="inlineStr">
        <is>
          <t>avverkningsanmälan</t>
        </is>
      </c>
      <c r="C5569" t="inlineStr">
        <is>
          <t>Föryngringsavverkning</t>
        </is>
      </c>
      <c r="D5569" s="1" t="n">
        <v>45805</v>
      </c>
      <c r="E5569" s="1" t="n">
        <v>46323</v>
      </c>
      <c r="F5569" t="inlineStr">
        <is>
          <t>KALMAR LÄN</t>
        </is>
      </c>
      <c r="G5569" t="inlineStr">
        <is>
          <t>VIMMERBY</t>
        </is>
      </c>
      <c r="I5569" t="n">
        <v>2</v>
      </c>
      <c r="J5569" t="n">
        <v>0</v>
      </c>
      <c r="K5569" t="n">
        <v>0</v>
      </c>
      <c r="L5569" t="n">
        <v>0</v>
      </c>
      <c r="M5569" t="n">
        <v>0</v>
      </c>
      <c r="N5569" t="n">
        <v>0</v>
      </c>
      <c r="O5569" t="n">
        <v>0</v>
      </c>
      <c r="P5569" t="n">
        <v>0</v>
      </c>
      <c r="Q5569" t="n">
        <v>0</v>
      </c>
      <c r="R5569" t="n">
        <v>0</v>
      </c>
      <c r="S5569" t="n">
        <v>0</v>
      </c>
      <c r="T5569" t="n">
        <v>0</v>
      </c>
      <c r="U5569" t="n">
        <v>0</v>
      </c>
      <c r="V5569" s="2" t="inlineStr"/>
    </row>
    <row r="5570" ht="15" customHeight="1">
      <c r="A5570" t="inlineStr">
        <is>
          <t>A 7531-2024</t>
        </is>
      </c>
      <c r="B5570" t="inlineStr">
        <is>
          <t>avverkningsanmälan</t>
        </is>
      </c>
      <c r="C5570" t="inlineStr">
        <is>
          <t>Föryngringsavverkning</t>
        </is>
      </c>
      <c r="D5570" s="1" t="n">
        <v>45348</v>
      </c>
      <c r="E5570" s="1" t="n">
        <v>46323</v>
      </c>
      <c r="F5570" t="inlineStr">
        <is>
          <t>KALMAR LÄN</t>
        </is>
      </c>
      <c r="G5570" t="inlineStr">
        <is>
          <t>HULTSFRED</t>
        </is>
      </c>
      <c r="I5570" t="n">
        <v>0.8</v>
      </c>
      <c r="J5570" t="n">
        <v>0</v>
      </c>
      <c r="K5570" t="n">
        <v>0</v>
      </c>
      <c r="L5570" t="n">
        <v>0</v>
      </c>
      <c r="M5570" t="n">
        <v>0</v>
      </c>
      <c r="N5570" t="n">
        <v>0</v>
      </c>
      <c r="O5570" t="n">
        <v>0</v>
      </c>
      <c r="P5570" t="n">
        <v>0</v>
      </c>
      <c r="Q5570" t="n">
        <v>0</v>
      </c>
      <c r="R5570" t="n">
        <v>0</v>
      </c>
      <c r="S5570" t="n">
        <v>0</v>
      </c>
      <c r="T5570" t="n">
        <v>0</v>
      </c>
      <c r="U5570" t="n">
        <v>0</v>
      </c>
      <c r="V5570" s="2" t="inlineStr"/>
    </row>
    <row r="5571" ht="15" customHeight="1">
      <c r="A5571" t="inlineStr">
        <is>
          <t>A 9919-2022</t>
        </is>
      </c>
      <c r="B5571" t="inlineStr">
        <is>
          <t>avverkningsanmälan</t>
        </is>
      </c>
      <c r="C5571" t="inlineStr">
        <is>
          <t>Föryngringsavverkning</t>
        </is>
      </c>
      <c r="D5571" s="1" t="n">
        <v>44620</v>
      </c>
      <c r="E5571" s="1" t="n">
        <v>46323</v>
      </c>
      <c r="F5571" t="inlineStr">
        <is>
          <t>KALMAR LÄN</t>
        </is>
      </c>
      <c r="G5571" t="inlineStr">
        <is>
          <t>OSKARSHAMN</t>
        </is>
      </c>
      <c r="I5571" t="n">
        <v>0.7</v>
      </c>
      <c r="J5571" t="n">
        <v>0</v>
      </c>
      <c r="K5571" t="n">
        <v>0</v>
      </c>
      <c r="L5571" t="n">
        <v>0</v>
      </c>
      <c r="M5571" t="n">
        <v>0</v>
      </c>
      <c r="N5571" t="n">
        <v>0</v>
      </c>
      <c r="O5571" t="n">
        <v>0</v>
      </c>
      <c r="P5571" t="n">
        <v>0</v>
      </c>
      <c r="Q5571" t="n">
        <v>0</v>
      </c>
      <c r="R5571" t="n">
        <v>0</v>
      </c>
      <c r="S5571" t="n">
        <v>0</v>
      </c>
      <c r="T5571" t="n">
        <v>0</v>
      </c>
      <c r="U5571" t="n">
        <v>0</v>
      </c>
      <c r="V5571" s="2" t="inlineStr"/>
    </row>
    <row r="5572" ht="15" customHeight="1">
      <c r="A5572" t="inlineStr">
        <is>
          <t>A 8846-2023</t>
        </is>
      </c>
      <c r="B5572" t="inlineStr">
        <is>
          <t>avverkningsanmälan</t>
        </is>
      </c>
      <c r="C5572" t="inlineStr">
        <is>
          <t>Föryngringsavverkning</t>
        </is>
      </c>
      <c r="D5572" s="1" t="n">
        <v>44978</v>
      </c>
      <c r="E5572" s="1" t="n">
        <v>46323</v>
      </c>
      <c r="F5572" t="inlineStr">
        <is>
          <t>KALMAR LÄN</t>
        </is>
      </c>
      <c r="G5572" t="inlineStr">
        <is>
          <t>OSKARSHAMN</t>
        </is>
      </c>
      <c r="I5572" t="n">
        <v>1.8</v>
      </c>
      <c r="J5572" t="n">
        <v>0</v>
      </c>
      <c r="K5572" t="n">
        <v>0</v>
      </c>
      <c r="L5572" t="n">
        <v>0</v>
      </c>
      <c r="M5572" t="n">
        <v>0</v>
      </c>
      <c r="N5572" t="n">
        <v>0</v>
      </c>
      <c r="O5572" t="n">
        <v>0</v>
      </c>
      <c r="P5572" t="n">
        <v>0</v>
      </c>
      <c r="Q5572" t="n">
        <v>0</v>
      </c>
      <c r="R5572" t="n">
        <v>0</v>
      </c>
      <c r="S5572" t="n">
        <v>0</v>
      </c>
      <c r="T5572" t="n">
        <v>0</v>
      </c>
      <c r="U5572" t="n">
        <v>0</v>
      </c>
      <c r="V5572" s="2" t="inlineStr"/>
    </row>
    <row r="5573" ht="15" customHeight="1">
      <c r="A5573" t="inlineStr">
        <is>
          <t>A 49539-2025</t>
        </is>
      </c>
      <c r="B5573" t="inlineStr">
        <is>
          <t>avverkningsanmälan</t>
        </is>
      </c>
      <c r="C5573" t="inlineStr">
        <is>
          <t>Föryngringsavverkning</t>
        </is>
      </c>
      <c r="D5573" s="1" t="n">
        <v>45939</v>
      </c>
      <c r="E5573" s="1" t="n">
        <v>46323</v>
      </c>
      <c r="F5573" t="inlineStr">
        <is>
          <t>KALMAR LÄN</t>
        </is>
      </c>
      <c r="G5573" t="inlineStr">
        <is>
          <t>VÄSTERVIK</t>
        </is>
      </c>
      <c r="I5573" t="n">
        <v>0.8</v>
      </c>
      <c r="J5573" t="n">
        <v>0</v>
      </c>
      <c r="K5573" t="n">
        <v>0</v>
      </c>
      <c r="L5573" t="n">
        <v>0</v>
      </c>
      <c r="M5573" t="n">
        <v>0</v>
      </c>
      <c r="N5573" t="n">
        <v>0</v>
      </c>
      <c r="O5573" t="n">
        <v>0</v>
      </c>
      <c r="P5573" t="n">
        <v>0</v>
      </c>
      <c r="Q5573" t="n">
        <v>0</v>
      </c>
      <c r="R5573" t="n">
        <v>0</v>
      </c>
      <c r="S5573" t="n">
        <v>0</v>
      </c>
      <c r="T5573" t="n">
        <v>0</v>
      </c>
      <c r="U5573" t="n">
        <v>0</v>
      </c>
      <c r="V5573" s="2" t="inlineStr"/>
    </row>
    <row r="5574" ht="15" customHeight="1">
      <c r="A5574" t="inlineStr">
        <is>
          <t>A 19280-2025</t>
        </is>
      </c>
      <c r="B5574" t="inlineStr">
        <is>
          <t>avverkningsanmälan</t>
        </is>
      </c>
      <c r="C5574" t="inlineStr">
        <is>
          <t>Föryngringsavverkning</t>
        </is>
      </c>
      <c r="D5574" s="1" t="n">
        <v>45769</v>
      </c>
      <c r="E5574" s="1" t="n">
        <v>46323</v>
      </c>
      <c r="F5574" t="inlineStr">
        <is>
          <t>KALMAR LÄN</t>
        </is>
      </c>
      <c r="G5574" t="inlineStr">
        <is>
          <t>MÖNSTERÅS</t>
        </is>
      </c>
      <c r="I5574" t="n">
        <v>7.4</v>
      </c>
      <c r="J5574" t="n">
        <v>0</v>
      </c>
      <c r="K5574" t="n">
        <v>0</v>
      </c>
      <c r="L5574" t="n">
        <v>0</v>
      </c>
      <c r="M5574" t="n">
        <v>0</v>
      </c>
      <c r="N5574" t="n">
        <v>0</v>
      </c>
      <c r="O5574" t="n">
        <v>0</v>
      </c>
      <c r="P5574" t="n">
        <v>0</v>
      </c>
      <c r="Q5574" t="n">
        <v>0</v>
      </c>
      <c r="R5574" t="n">
        <v>0</v>
      </c>
      <c r="S5574" t="n">
        <v>0</v>
      </c>
      <c r="T5574" t="n">
        <v>0</v>
      </c>
      <c r="U5574" t="n">
        <v>0</v>
      </c>
      <c r="V5574" s="2" t="inlineStr"/>
    </row>
    <row r="5575" ht="15" customHeight="1">
      <c r="A5575" t="inlineStr">
        <is>
          <t>A 35527-2026</t>
        </is>
      </c>
      <c r="B5575" t="inlineStr">
        <is>
          <t>avverkningsanmälan</t>
        </is>
      </c>
      <c r="C5575" t="inlineStr">
        <is>
          <t>Avverkning för annat ändamål</t>
        </is>
      </c>
      <c r="D5575" s="1" t="n">
        <v>46262</v>
      </c>
      <c r="E5575" s="1" t="n">
        <v>46323</v>
      </c>
      <c r="F5575" t="inlineStr">
        <is>
          <t>KALMAR LÄN</t>
        </is>
      </c>
      <c r="G5575" t="inlineStr">
        <is>
          <t>MÖNSTERÅS</t>
        </is>
      </c>
      <c r="I5575" t="n">
        <v>1.7</v>
      </c>
      <c r="J5575" t="n">
        <v>0</v>
      </c>
      <c r="K5575" t="n">
        <v>0</v>
      </c>
      <c r="L5575" t="n">
        <v>0</v>
      </c>
      <c r="M5575" t="n">
        <v>0</v>
      </c>
      <c r="N5575" t="n">
        <v>0</v>
      </c>
      <c r="O5575" t="n">
        <v>0</v>
      </c>
      <c r="P5575" t="n">
        <v>0</v>
      </c>
      <c r="Q5575" t="n">
        <v>0</v>
      </c>
      <c r="R5575" t="n">
        <v>0</v>
      </c>
      <c r="S5575" t="n">
        <v>0</v>
      </c>
      <c r="T5575" t="n">
        <v>0</v>
      </c>
      <c r="U5575" t="n">
        <v>0</v>
      </c>
      <c r="V5575" s="2" t="inlineStr"/>
    </row>
    <row r="5576" ht="15" customHeight="1">
      <c r="A5576" t="inlineStr">
        <is>
          <t>A 9427-2023</t>
        </is>
      </c>
      <c r="B5576" t="inlineStr">
        <is>
          <t>avverkningsanmälan</t>
        </is>
      </c>
      <c r="C5576" t="inlineStr">
        <is>
          <t>Föryngringsavverkning</t>
        </is>
      </c>
      <c r="D5576" s="1" t="n">
        <v>44981</v>
      </c>
      <c r="E5576" s="1" t="n">
        <v>46323</v>
      </c>
      <c r="F5576" t="inlineStr">
        <is>
          <t>KALMAR LÄN</t>
        </is>
      </c>
      <c r="G5576" t="inlineStr">
        <is>
          <t>HÖGSBY</t>
        </is>
      </c>
      <c r="H5576" t="inlineStr">
        <is>
          <t>Övriga Aktiebolag</t>
        </is>
      </c>
      <c r="I5576" t="n">
        <v>8.300000000000001</v>
      </c>
      <c r="J5576" t="n">
        <v>0</v>
      </c>
      <c r="K5576" t="n">
        <v>0</v>
      </c>
      <c r="L5576" t="n">
        <v>0</v>
      </c>
      <c r="M5576" t="n">
        <v>0</v>
      </c>
      <c r="N5576" t="n">
        <v>0</v>
      </c>
      <c r="O5576" t="n">
        <v>0</v>
      </c>
      <c r="P5576" t="n">
        <v>0</v>
      </c>
      <c r="Q5576" t="n">
        <v>0</v>
      </c>
      <c r="R5576" t="n">
        <v>0</v>
      </c>
      <c r="S5576" t="n">
        <v>0</v>
      </c>
      <c r="T5576" t="n">
        <v>0</v>
      </c>
      <c r="U5576" t="n">
        <v>0</v>
      </c>
      <c r="V5576" s="2" t="inlineStr"/>
    </row>
    <row r="5577" ht="15" customHeight="1">
      <c r="A5577" t="inlineStr">
        <is>
          <t>A 5989-2025</t>
        </is>
      </c>
      <c r="B5577" t="inlineStr">
        <is>
          <t>avverkningsanmälan</t>
        </is>
      </c>
      <c r="C5577" t="inlineStr">
        <is>
          <t>Föryngringsavverkning</t>
        </is>
      </c>
      <c r="D5577" s="1" t="n">
        <v>45695</v>
      </c>
      <c r="E5577" s="1" t="n">
        <v>46323</v>
      </c>
      <c r="F5577" t="inlineStr">
        <is>
          <t>KALMAR LÄN</t>
        </is>
      </c>
      <c r="G5577" t="inlineStr">
        <is>
          <t>HULTSFRED</t>
        </is>
      </c>
      <c r="H5577" t="inlineStr">
        <is>
          <t>Sveaskog</t>
        </is>
      </c>
      <c r="I5577" t="n">
        <v>5.9</v>
      </c>
      <c r="J5577" t="n">
        <v>0</v>
      </c>
      <c r="K5577" t="n">
        <v>0</v>
      </c>
      <c r="L5577" t="n">
        <v>0</v>
      </c>
      <c r="M5577" t="n">
        <v>0</v>
      </c>
      <c r="N5577" t="n">
        <v>0</v>
      </c>
      <c r="O5577" t="n">
        <v>0</v>
      </c>
      <c r="P5577" t="n">
        <v>0</v>
      </c>
      <c r="Q5577" t="n">
        <v>0</v>
      </c>
      <c r="R5577" t="n">
        <v>0</v>
      </c>
      <c r="S5577" t="n">
        <v>0</v>
      </c>
      <c r="T5577" t="n">
        <v>0</v>
      </c>
      <c r="U5577" t="n">
        <v>0</v>
      </c>
      <c r="V5577" s="2" t="inlineStr"/>
    </row>
    <row r="5578" ht="15" customHeight="1">
      <c r="A5578" t="inlineStr">
        <is>
          <t>A 5996-2025</t>
        </is>
      </c>
      <c r="B5578" t="inlineStr">
        <is>
          <t>avverkningsanmälan</t>
        </is>
      </c>
      <c r="C5578" t="inlineStr">
        <is>
          <t>Föryngringsavverkning</t>
        </is>
      </c>
      <c r="D5578" s="1" t="n">
        <v>45695</v>
      </c>
      <c r="E5578" s="1" t="n">
        <v>46323</v>
      </c>
      <c r="F5578" t="inlineStr">
        <is>
          <t>KALMAR LÄN</t>
        </is>
      </c>
      <c r="G5578" t="inlineStr">
        <is>
          <t>HULTSFRED</t>
        </is>
      </c>
      <c r="H5578" t="inlineStr">
        <is>
          <t>Sveaskog</t>
        </is>
      </c>
      <c r="I5578" t="n">
        <v>4</v>
      </c>
      <c r="J5578" t="n">
        <v>0</v>
      </c>
      <c r="K5578" t="n">
        <v>0</v>
      </c>
      <c r="L5578" t="n">
        <v>0</v>
      </c>
      <c r="M5578" t="n">
        <v>0</v>
      </c>
      <c r="N5578" t="n">
        <v>0</v>
      </c>
      <c r="O5578" t="n">
        <v>0</v>
      </c>
      <c r="P5578" t="n">
        <v>0</v>
      </c>
      <c r="Q5578" t="n">
        <v>0</v>
      </c>
      <c r="R5578" t="n">
        <v>0</v>
      </c>
      <c r="S5578" t="n">
        <v>0</v>
      </c>
      <c r="T5578" t="n">
        <v>0</v>
      </c>
      <c r="U5578" t="n">
        <v>0</v>
      </c>
      <c r="V5578" s="2" t="inlineStr"/>
    </row>
    <row r="5579" ht="15" customHeight="1">
      <c r="A5579" t="inlineStr">
        <is>
          <t>A 16676-2023</t>
        </is>
      </c>
      <c r="B5579" t="inlineStr">
        <is>
          <t>avverkningsanmälan</t>
        </is>
      </c>
      <c r="C5579" t="inlineStr">
        <is>
          <t>Föryngringsavverkning</t>
        </is>
      </c>
      <c r="D5579" s="1" t="n">
        <v>45028</v>
      </c>
      <c r="E5579" s="1" t="n">
        <v>46323</v>
      </c>
      <c r="F5579" t="inlineStr">
        <is>
          <t>KALMAR LÄN</t>
        </is>
      </c>
      <c r="G5579" t="inlineStr">
        <is>
          <t>VIMMERBY</t>
        </is>
      </c>
      <c r="I5579" t="n">
        <v>9.699999999999999</v>
      </c>
      <c r="J5579" t="n">
        <v>0</v>
      </c>
      <c r="K5579" t="n">
        <v>0</v>
      </c>
      <c r="L5579" t="n">
        <v>0</v>
      </c>
      <c r="M5579" t="n">
        <v>0</v>
      </c>
      <c r="N5579" t="n">
        <v>0</v>
      </c>
      <c r="O5579" t="n">
        <v>0</v>
      </c>
      <c r="P5579" t="n">
        <v>0</v>
      </c>
      <c r="Q5579" t="n">
        <v>0</v>
      </c>
      <c r="R5579" t="n">
        <v>0</v>
      </c>
      <c r="S5579" t="n">
        <v>0</v>
      </c>
      <c r="T5579" t="n">
        <v>0</v>
      </c>
      <c r="U5579" t="n">
        <v>0</v>
      </c>
      <c r="V5579" s="2" t="inlineStr"/>
    </row>
    <row r="5580" ht="15" customHeight="1">
      <c r="A5580" t="inlineStr">
        <is>
          <t>A 42841-2025</t>
        </is>
      </c>
      <c r="B5580" t="inlineStr">
        <is>
          <t>avverkningsanmälan</t>
        </is>
      </c>
      <c r="C5580" t="inlineStr">
        <is>
          <t>Föryngringsavverkning</t>
        </is>
      </c>
      <c r="D5580" s="1" t="n">
        <v>45908</v>
      </c>
      <c r="E5580" s="1" t="n">
        <v>46323</v>
      </c>
      <c r="F5580" t="inlineStr">
        <is>
          <t>KALMAR LÄN</t>
        </is>
      </c>
      <c r="G5580" t="inlineStr">
        <is>
          <t>OSKARSHAMN</t>
        </is>
      </c>
      <c r="I5580" t="n">
        <v>5</v>
      </c>
      <c r="J5580" t="n">
        <v>0</v>
      </c>
      <c r="K5580" t="n">
        <v>0</v>
      </c>
      <c r="L5580" t="n">
        <v>0</v>
      </c>
      <c r="M5580" t="n">
        <v>0</v>
      </c>
      <c r="N5580" t="n">
        <v>0</v>
      </c>
      <c r="O5580" t="n">
        <v>0</v>
      </c>
      <c r="P5580" t="n">
        <v>0</v>
      </c>
      <c r="Q5580" t="n">
        <v>0</v>
      </c>
      <c r="R5580" t="n">
        <v>0</v>
      </c>
      <c r="S5580" t="n">
        <v>0</v>
      </c>
      <c r="T5580" t="n">
        <v>0</v>
      </c>
      <c r="U5580" t="n">
        <v>0</v>
      </c>
      <c r="V5580" s="2" t="inlineStr"/>
    </row>
    <row r="5581" ht="15" customHeight="1">
      <c r="A5581" t="inlineStr">
        <is>
          <t>A 43213-2023</t>
        </is>
      </c>
      <c r="B5581" t="inlineStr">
        <is>
          <t>avverkningsanmälan</t>
        </is>
      </c>
      <c r="C5581" t="inlineStr">
        <is>
          <t>Föryngringsavverkning</t>
        </is>
      </c>
      <c r="D5581" s="1" t="n">
        <v>45183</v>
      </c>
      <c r="E5581" s="1" t="n">
        <v>46323</v>
      </c>
      <c r="F5581" t="inlineStr">
        <is>
          <t>KALMAR LÄN</t>
        </is>
      </c>
      <c r="G5581" t="inlineStr">
        <is>
          <t>HÖGSBY</t>
        </is>
      </c>
      <c r="I5581" t="n">
        <v>1.8</v>
      </c>
      <c r="J5581" t="n">
        <v>0</v>
      </c>
      <c r="K5581" t="n">
        <v>0</v>
      </c>
      <c r="L5581" t="n">
        <v>0</v>
      </c>
      <c r="M5581" t="n">
        <v>0</v>
      </c>
      <c r="N5581" t="n">
        <v>0</v>
      </c>
      <c r="O5581" t="n">
        <v>0</v>
      </c>
      <c r="P5581" t="n">
        <v>0</v>
      </c>
      <c r="Q5581" t="n">
        <v>0</v>
      </c>
      <c r="R5581" t="n">
        <v>0</v>
      </c>
      <c r="S5581" t="n">
        <v>0</v>
      </c>
      <c r="T5581" t="n">
        <v>0</v>
      </c>
      <c r="U5581" t="n">
        <v>0</v>
      </c>
      <c r="V5581" s="2" t="inlineStr"/>
    </row>
    <row r="5582" ht="15" customHeight="1">
      <c r="A5582" t="inlineStr">
        <is>
          <t>A 10926-2024</t>
        </is>
      </c>
      <c r="B5582" t="inlineStr">
        <is>
          <t>avverkningsanmälan</t>
        </is>
      </c>
      <c r="C5582" t="inlineStr">
        <is>
          <t>Föryngringsavverkning</t>
        </is>
      </c>
      <c r="D5582" s="1" t="n">
        <v>45370</v>
      </c>
      <c r="E5582" s="1" t="n">
        <v>46323</v>
      </c>
      <c r="F5582" t="inlineStr">
        <is>
          <t>KALMAR LÄN</t>
        </is>
      </c>
      <c r="G5582" t="inlineStr">
        <is>
          <t>TORSÅS</t>
        </is>
      </c>
      <c r="I5582" t="n">
        <v>4.6</v>
      </c>
      <c r="J5582" t="n">
        <v>0</v>
      </c>
      <c r="K5582" t="n">
        <v>0</v>
      </c>
      <c r="L5582" t="n">
        <v>0</v>
      </c>
      <c r="M5582" t="n">
        <v>0</v>
      </c>
      <c r="N5582" t="n">
        <v>0</v>
      </c>
      <c r="O5582" t="n">
        <v>0</v>
      </c>
      <c r="P5582" t="n">
        <v>0</v>
      </c>
      <c r="Q5582" t="n">
        <v>0</v>
      </c>
      <c r="R5582" t="n">
        <v>0</v>
      </c>
      <c r="S5582" t="n">
        <v>0</v>
      </c>
      <c r="T5582" t="n">
        <v>0</v>
      </c>
      <c r="U5582" t="n">
        <v>0</v>
      </c>
      <c r="V5582" s="2" t="inlineStr"/>
    </row>
    <row r="5583" ht="15" customHeight="1">
      <c r="A5583" t="inlineStr">
        <is>
          <t>A 36364-2023</t>
        </is>
      </c>
      <c r="B5583" t="inlineStr">
        <is>
          <t>avverkningsanmälan</t>
        </is>
      </c>
      <c r="C5583" t="inlineStr">
        <is>
          <t>Föryngringsavverkning</t>
        </is>
      </c>
      <c r="D5583" s="1" t="n">
        <v>45152</v>
      </c>
      <c r="E5583" s="1" t="n">
        <v>46323</v>
      </c>
      <c r="F5583" t="inlineStr">
        <is>
          <t>KALMAR LÄN</t>
        </is>
      </c>
      <c r="G5583" t="inlineStr">
        <is>
          <t>MÖNSTERÅS</t>
        </is>
      </c>
      <c r="H5583" t="inlineStr">
        <is>
          <t>Kommuner</t>
        </is>
      </c>
      <c r="I5583" t="n">
        <v>2.5</v>
      </c>
      <c r="J5583" t="n">
        <v>0</v>
      </c>
      <c r="K5583" t="n">
        <v>0</v>
      </c>
      <c r="L5583" t="n">
        <v>0</v>
      </c>
      <c r="M5583" t="n">
        <v>0</v>
      </c>
      <c r="N5583" t="n">
        <v>0</v>
      </c>
      <c r="O5583" t="n">
        <v>0</v>
      </c>
      <c r="P5583" t="n">
        <v>0</v>
      </c>
      <c r="Q5583" t="n">
        <v>0</v>
      </c>
      <c r="R5583" t="n">
        <v>0</v>
      </c>
      <c r="S5583" t="n">
        <v>0</v>
      </c>
      <c r="T5583" t="n">
        <v>0</v>
      </c>
      <c r="U5583" t="n">
        <v>0</v>
      </c>
      <c r="V5583" s="2" t="inlineStr"/>
    </row>
    <row r="5584" ht="15" customHeight="1">
      <c r="A5584" t="inlineStr">
        <is>
          <t>A 8116-2025</t>
        </is>
      </c>
      <c r="B5584" t="inlineStr">
        <is>
          <t>avverkningsanmälan</t>
        </is>
      </c>
      <c r="C5584" t="inlineStr">
        <is>
          <t>Föryngringsavverkning</t>
        </is>
      </c>
      <c r="D5584" s="1" t="n">
        <v>45707</v>
      </c>
      <c r="E5584" s="1" t="n">
        <v>46323</v>
      </c>
      <c r="F5584" t="inlineStr">
        <is>
          <t>KALMAR LÄN</t>
        </is>
      </c>
      <c r="G5584" t="inlineStr">
        <is>
          <t>HÖGSBY</t>
        </is>
      </c>
      <c r="I5584" t="n">
        <v>2</v>
      </c>
      <c r="J5584" t="n">
        <v>0</v>
      </c>
      <c r="K5584" t="n">
        <v>0</v>
      </c>
      <c r="L5584" t="n">
        <v>0</v>
      </c>
      <c r="M5584" t="n">
        <v>0</v>
      </c>
      <c r="N5584" t="n">
        <v>0</v>
      </c>
      <c r="O5584" t="n">
        <v>0</v>
      </c>
      <c r="P5584" t="n">
        <v>0</v>
      </c>
      <c r="Q5584" t="n">
        <v>0</v>
      </c>
      <c r="R5584" t="n">
        <v>0</v>
      </c>
      <c r="S5584" t="n">
        <v>0</v>
      </c>
      <c r="T5584" t="n">
        <v>0</v>
      </c>
      <c r="U5584" t="n">
        <v>0</v>
      </c>
      <c r="V5584" s="2" t="inlineStr"/>
    </row>
    <row r="5585" ht="15" customHeight="1">
      <c r="A5585" t="inlineStr">
        <is>
          <t>A 35486-2026</t>
        </is>
      </c>
      <c r="B5585" t="inlineStr">
        <is>
          <t>avverkningsanmälan</t>
        </is>
      </c>
      <c r="C5585" t="inlineStr">
        <is>
          <t>Föryngringsavverkning</t>
        </is>
      </c>
      <c r="D5585" s="1" t="n">
        <v>46262</v>
      </c>
      <c r="E5585" s="1" t="n">
        <v>46323</v>
      </c>
      <c r="F5585" t="inlineStr">
        <is>
          <t>KALMAR LÄN</t>
        </is>
      </c>
      <c r="G5585" t="inlineStr">
        <is>
          <t>VÄSTERVIK</t>
        </is>
      </c>
      <c r="H5585" t="inlineStr">
        <is>
          <t>Sveaskog</t>
        </is>
      </c>
      <c r="I5585" t="n">
        <v>2.9</v>
      </c>
      <c r="J5585" t="n">
        <v>0</v>
      </c>
      <c r="K5585" t="n">
        <v>0</v>
      </c>
      <c r="L5585" t="n">
        <v>0</v>
      </c>
      <c r="M5585" t="n">
        <v>0</v>
      </c>
      <c r="N5585" t="n">
        <v>0</v>
      </c>
      <c r="O5585" t="n">
        <v>0</v>
      </c>
      <c r="P5585" t="n">
        <v>0</v>
      </c>
      <c r="Q5585" t="n">
        <v>0</v>
      </c>
      <c r="R5585" t="n">
        <v>0</v>
      </c>
      <c r="S5585" t="n">
        <v>0</v>
      </c>
      <c r="T5585" t="n">
        <v>0</v>
      </c>
      <c r="U5585" t="n">
        <v>0</v>
      </c>
      <c r="V5585" s="2" t="inlineStr"/>
    </row>
    <row r="5586" ht="15" customHeight="1">
      <c r="A5586" t="inlineStr">
        <is>
          <t>A 38442-2025</t>
        </is>
      </c>
      <c r="B5586" t="inlineStr">
        <is>
          <t>avverkningsanmälan</t>
        </is>
      </c>
      <c r="C5586" t="inlineStr">
        <is>
          <t>Föryngringsavverkning</t>
        </is>
      </c>
      <c r="D5586" s="1" t="n">
        <v>45883</v>
      </c>
      <c r="E5586" s="1" t="n">
        <v>46323</v>
      </c>
      <c r="F5586" t="inlineStr">
        <is>
          <t>KALMAR LÄN</t>
        </is>
      </c>
      <c r="G5586" t="inlineStr">
        <is>
          <t>VÄSTERVIK</t>
        </is>
      </c>
      <c r="I5586" t="n">
        <v>3.5</v>
      </c>
      <c r="J5586" t="n">
        <v>0</v>
      </c>
      <c r="K5586" t="n">
        <v>0</v>
      </c>
      <c r="L5586" t="n">
        <v>0</v>
      </c>
      <c r="M5586" t="n">
        <v>0</v>
      </c>
      <c r="N5586" t="n">
        <v>0</v>
      </c>
      <c r="O5586" t="n">
        <v>0</v>
      </c>
      <c r="P5586" t="n">
        <v>0</v>
      </c>
      <c r="Q5586" t="n">
        <v>0</v>
      </c>
      <c r="R5586" t="n">
        <v>0</v>
      </c>
      <c r="S5586" t="n">
        <v>0</v>
      </c>
      <c r="T5586" t="n">
        <v>0</v>
      </c>
      <c r="U5586" t="n">
        <v>0</v>
      </c>
      <c r="V5586" s="2" t="inlineStr"/>
    </row>
    <row r="5587" ht="15" customHeight="1">
      <c r="A5587" t="inlineStr">
        <is>
          <t>A 61136-2022</t>
        </is>
      </c>
      <c r="B5587" t="inlineStr">
        <is>
          <t>avverkningsanmälan</t>
        </is>
      </c>
      <c r="C5587" t="inlineStr">
        <is>
          <t>Föryngringsavverkning</t>
        </is>
      </c>
      <c r="D5587" s="1" t="n">
        <v>44908</v>
      </c>
      <c r="E5587" s="1" t="n">
        <v>46323</v>
      </c>
      <c r="F5587" t="inlineStr">
        <is>
          <t>KALMAR LÄN</t>
        </is>
      </c>
      <c r="G5587" t="inlineStr">
        <is>
          <t>NYBRO</t>
        </is>
      </c>
      <c r="I5587" t="n">
        <v>2</v>
      </c>
      <c r="J5587" t="n">
        <v>0</v>
      </c>
      <c r="K5587" t="n">
        <v>0</v>
      </c>
      <c r="L5587" t="n">
        <v>0</v>
      </c>
      <c r="M5587" t="n">
        <v>0</v>
      </c>
      <c r="N5587" t="n">
        <v>0</v>
      </c>
      <c r="O5587" t="n">
        <v>0</v>
      </c>
      <c r="P5587" t="n">
        <v>0</v>
      </c>
      <c r="Q5587" t="n">
        <v>0</v>
      </c>
      <c r="R5587" t="n">
        <v>0</v>
      </c>
      <c r="S5587" t="n">
        <v>0</v>
      </c>
      <c r="T5587" t="n">
        <v>0</v>
      </c>
      <c r="U5587" t="n">
        <v>0</v>
      </c>
      <c r="V5587" s="2" t="inlineStr"/>
    </row>
    <row r="5588" ht="15" customHeight="1">
      <c r="A5588" t="inlineStr">
        <is>
          <t>A 34245-2024</t>
        </is>
      </c>
      <c r="B5588" t="inlineStr">
        <is>
          <t>avverkningsanmälan</t>
        </is>
      </c>
      <c r="C5588" t="inlineStr">
        <is>
          <t>Föryngringsavverkning</t>
        </is>
      </c>
      <c r="D5588" s="1" t="n">
        <v>45524</v>
      </c>
      <c r="E5588" s="1" t="n">
        <v>46323</v>
      </c>
      <c r="F5588" t="inlineStr">
        <is>
          <t>KALMAR LÄN</t>
        </is>
      </c>
      <c r="G5588" t="inlineStr">
        <is>
          <t>EMMABODA</t>
        </is>
      </c>
      <c r="I5588" t="n">
        <v>6.9</v>
      </c>
      <c r="J5588" t="n">
        <v>0</v>
      </c>
      <c r="K5588" t="n">
        <v>0</v>
      </c>
      <c r="L5588" t="n">
        <v>0</v>
      </c>
      <c r="M5588" t="n">
        <v>0</v>
      </c>
      <c r="N5588" t="n">
        <v>0</v>
      </c>
      <c r="O5588" t="n">
        <v>0</v>
      </c>
      <c r="P5588" t="n">
        <v>0</v>
      </c>
      <c r="Q5588" t="n">
        <v>0</v>
      </c>
      <c r="R5588" t="n">
        <v>0</v>
      </c>
      <c r="S5588" t="n">
        <v>0</v>
      </c>
      <c r="T5588" t="n">
        <v>0</v>
      </c>
      <c r="U5588" t="n">
        <v>0</v>
      </c>
      <c r="V5588" s="2" t="inlineStr"/>
    </row>
    <row r="5589" ht="15" customHeight="1">
      <c r="A5589" t="inlineStr">
        <is>
          <t>A 42327-2026</t>
        </is>
      </c>
      <c r="B5589" t="inlineStr">
        <is>
          <t>avverkningsanmälan</t>
        </is>
      </c>
      <c r="C5589" t="inlineStr">
        <is>
          <t>Föryngringsavverkning</t>
        </is>
      </c>
      <c r="D5589" s="1" t="n">
        <v>46307</v>
      </c>
      <c r="E5589" s="1" t="n">
        <v>46323</v>
      </c>
      <c r="F5589" t="inlineStr">
        <is>
          <t>KALMAR LÄN</t>
        </is>
      </c>
      <c r="G5589" t="inlineStr">
        <is>
          <t>VIMMERBY</t>
        </is>
      </c>
      <c r="I5589" t="n">
        <v>0.5</v>
      </c>
      <c r="J5589" t="n">
        <v>0</v>
      </c>
      <c r="K5589" t="n">
        <v>0</v>
      </c>
      <c r="L5589" t="n">
        <v>0</v>
      </c>
      <c r="M5589" t="n">
        <v>0</v>
      </c>
      <c r="N5589" t="n">
        <v>0</v>
      </c>
      <c r="O5589" t="n">
        <v>0</v>
      </c>
      <c r="P5589" t="n">
        <v>0</v>
      </c>
      <c r="Q5589" t="n">
        <v>0</v>
      </c>
      <c r="R5589" t="n">
        <v>0</v>
      </c>
      <c r="S5589" t="n">
        <v>0</v>
      </c>
      <c r="T5589" t="n">
        <v>0</v>
      </c>
      <c r="U5589" t="n">
        <v>0</v>
      </c>
      <c r="V5589" s="2" t="inlineStr"/>
    </row>
    <row r="5590" ht="15" customHeight="1">
      <c r="A5590" t="inlineStr">
        <is>
          <t>A 28294-2025</t>
        </is>
      </c>
      <c r="B5590" t="inlineStr">
        <is>
          <t>avverkningsanmälan</t>
        </is>
      </c>
      <c r="C5590" t="inlineStr">
        <is>
          <t>Föryngringsavverkning</t>
        </is>
      </c>
      <c r="D5590" s="1" t="n">
        <v>45818</v>
      </c>
      <c r="E5590" s="1" t="n">
        <v>46323</v>
      </c>
      <c r="F5590" t="inlineStr">
        <is>
          <t>KALMAR LÄN</t>
        </is>
      </c>
      <c r="G5590" t="inlineStr">
        <is>
          <t>VIMMERBY</t>
        </is>
      </c>
      <c r="H5590" t="inlineStr">
        <is>
          <t>Sveaskog</t>
        </is>
      </c>
      <c r="I5590" t="n">
        <v>1.1</v>
      </c>
      <c r="J5590" t="n">
        <v>0</v>
      </c>
      <c r="K5590" t="n">
        <v>0</v>
      </c>
      <c r="L5590" t="n">
        <v>0</v>
      </c>
      <c r="M5590" t="n">
        <v>0</v>
      </c>
      <c r="N5590" t="n">
        <v>0</v>
      </c>
      <c r="O5590" t="n">
        <v>0</v>
      </c>
      <c r="P5590" t="n">
        <v>0</v>
      </c>
      <c r="Q5590" t="n">
        <v>0</v>
      </c>
      <c r="R5590" t="n">
        <v>0</v>
      </c>
      <c r="S5590" t="n">
        <v>0</v>
      </c>
      <c r="T5590" t="n">
        <v>0</v>
      </c>
      <c r="U5590" t="n">
        <v>0</v>
      </c>
      <c r="V5590" s="2" t="inlineStr"/>
    </row>
    <row r="5591" ht="15" customHeight="1">
      <c r="A5591" t="inlineStr">
        <is>
          <t>A 8069-2023</t>
        </is>
      </c>
      <c r="B5591" t="inlineStr">
        <is>
          <t>avverkningsanmälan</t>
        </is>
      </c>
      <c r="C5591" t="inlineStr">
        <is>
          <t>Föryngringsavverkning</t>
        </is>
      </c>
      <c r="D5591" s="1" t="n">
        <v>44974</v>
      </c>
      <c r="E5591" s="1" t="n">
        <v>46323</v>
      </c>
      <c r="F5591" t="inlineStr">
        <is>
          <t>KALMAR LÄN</t>
        </is>
      </c>
      <c r="G5591" t="inlineStr">
        <is>
          <t>NYBRO</t>
        </is>
      </c>
      <c r="I5591" t="n">
        <v>2.3</v>
      </c>
      <c r="J5591" t="n">
        <v>0</v>
      </c>
      <c r="K5591" t="n">
        <v>0</v>
      </c>
      <c r="L5591" t="n">
        <v>0</v>
      </c>
      <c r="M5591" t="n">
        <v>0</v>
      </c>
      <c r="N5591" t="n">
        <v>0</v>
      </c>
      <c r="O5591" t="n">
        <v>0</v>
      </c>
      <c r="P5591" t="n">
        <v>0</v>
      </c>
      <c r="Q5591" t="n">
        <v>0</v>
      </c>
      <c r="R5591" t="n">
        <v>0</v>
      </c>
      <c r="S5591" t="n">
        <v>0</v>
      </c>
      <c r="T5591" t="n">
        <v>0</v>
      </c>
      <c r="U5591" t="n">
        <v>0</v>
      </c>
      <c r="V5591" s="2" t="inlineStr"/>
    </row>
    <row r="5592" ht="15" customHeight="1">
      <c r="A5592" t="inlineStr">
        <is>
          <t>A 59548-2024</t>
        </is>
      </c>
      <c r="B5592" t="inlineStr">
        <is>
          <t>avverkningsanmälan</t>
        </is>
      </c>
      <c r="C5592" t="inlineStr">
        <is>
          <t>Föryngringsavverkning</t>
        </is>
      </c>
      <c r="D5592" s="1" t="n">
        <v>45637</v>
      </c>
      <c r="E5592" s="1" t="n">
        <v>46323</v>
      </c>
      <c r="F5592" t="inlineStr">
        <is>
          <t>KALMAR LÄN</t>
        </is>
      </c>
      <c r="G5592" t="inlineStr">
        <is>
          <t>HULTSFRED</t>
        </is>
      </c>
      <c r="I5592" t="n">
        <v>3.3</v>
      </c>
      <c r="J5592" t="n">
        <v>0</v>
      </c>
      <c r="K5592" t="n">
        <v>0</v>
      </c>
      <c r="L5592" t="n">
        <v>0</v>
      </c>
      <c r="M5592" t="n">
        <v>0</v>
      </c>
      <c r="N5592" t="n">
        <v>0</v>
      </c>
      <c r="O5592" t="n">
        <v>0</v>
      </c>
      <c r="P5592" t="n">
        <v>0</v>
      </c>
      <c r="Q5592" t="n">
        <v>0</v>
      </c>
      <c r="R5592" t="n">
        <v>0</v>
      </c>
      <c r="S5592" t="n">
        <v>0</v>
      </c>
      <c r="T5592" t="n">
        <v>0</v>
      </c>
      <c r="U5592" t="n">
        <v>0</v>
      </c>
      <c r="V5592" s="2" t="inlineStr"/>
    </row>
    <row r="5593" ht="15" customHeight="1">
      <c r="A5593" t="inlineStr">
        <is>
          <t>A 10041-2025</t>
        </is>
      </c>
      <c r="B5593" t="inlineStr">
        <is>
          <t>avverkningsanmälan</t>
        </is>
      </c>
      <c r="C5593" t="inlineStr">
        <is>
          <t>Föryngringsavverkning</t>
        </is>
      </c>
      <c r="D5593" s="1" t="n">
        <v>45719</v>
      </c>
      <c r="E5593" s="1" t="n">
        <v>46323</v>
      </c>
      <c r="F5593" t="inlineStr">
        <is>
          <t>KALMAR LÄN</t>
        </is>
      </c>
      <c r="G5593" t="inlineStr">
        <is>
          <t>KALMAR</t>
        </is>
      </c>
      <c r="H5593" t="inlineStr">
        <is>
          <t>Sveaskog</t>
        </is>
      </c>
      <c r="I5593" t="n">
        <v>1.2</v>
      </c>
      <c r="J5593" t="n">
        <v>0</v>
      </c>
      <c r="K5593" t="n">
        <v>0</v>
      </c>
      <c r="L5593" t="n">
        <v>0</v>
      </c>
      <c r="M5593" t="n">
        <v>0</v>
      </c>
      <c r="N5593" t="n">
        <v>0</v>
      </c>
      <c r="O5593" t="n">
        <v>0</v>
      </c>
      <c r="P5593" t="n">
        <v>0</v>
      </c>
      <c r="Q5593" t="n">
        <v>0</v>
      </c>
      <c r="R5593" t="n">
        <v>0</v>
      </c>
      <c r="S5593" t="n">
        <v>0</v>
      </c>
      <c r="T5593" t="n">
        <v>0</v>
      </c>
      <c r="U5593" t="n">
        <v>0</v>
      </c>
      <c r="V5593" s="2" t="inlineStr"/>
    </row>
    <row r="5594" ht="15" customHeight="1">
      <c r="A5594" t="inlineStr">
        <is>
          <t>A 23263-2024</t>
        </is>
      </c>
      <c r="B5594" t="inlineStr">
        <is>
          <t>avverkningsanmälan</t>
        </is>
      </c>
      <c r="C5594" t="inlineStr">
        <is>
          <t>Föryngringsavverkning</t>
        </is>
      </c>
      <c r="D5594" s="1" t="n">
        <v>45453</v>
      </c>
      <c r="E5594" s="1" t="n">
        <v>46323</v>
      </c>
      <c r="F5594" t="inlineStr">
        <is>
          <t>KALMAR LÄN</t>
        </is>
      </c>
      <c r="G5594" t="inlineStr">
        <is>
          <t>VIMMERBY</t>
        </is>
      </c>
      <c r="I5594" t="n">
        <v>0.7</v>
      </c>
      <c r="J5594" t="n">
        <v>0</v>
      </c>
      <c r="K5594" t="n">
        <v>0</v>
      </c>
      <c r="L5594" t="n">
        <v>0</v>
      </c>
      <c r="M5594" t="n">
        <v>0</v>
      </c>
      <c r="N5594" t="n">
        <v>0</v>
      </c>
      <c r="O5594" t="n">
        <v>0</v>
      </c>
      <c r="P5594" t="n">
        <v>0</v>
      </c>
      <c r="Q5594" t="n">
        <v>0</v>
      </c>
      <c r="R5594" t="n">
        <v>0</v>
      </c>
      <c r="S5594" t="n">
        <v>0</v>
      </c>
      <c r="T5594" t="n">
        <v>0</v>
      </c>
      <c r="U5594" t="n">
        <v>0</v>
      </c>
      <c r="V5594" s="2" t="inlineStr"/>
    </row>
    <row r="5595" ht="15" customHeight="1">
      <c r="A5595" t="inlineStr">
        <is>
          <t>A 33886-2023</t>
        </is>
      </c>
      <c r="B5595" t="inlineStr">
        <is>
          <t>avverkningsanmälan</t>
        </is>
      </c>
      <c r="C5595" t="inlineStr">
        <is>
          <t>Föryngringsavverkning</t>
        </is>
      </c>
      <c r="D5595" s="1" t="n">
        <v>45134</v>
      </c>
      <c r="E5595" s="1" t="n">
        <v>46323</v>
      </c>
      <c r="F5595" t="inlineStr">
        <is>
          <t>KALMAR LÄN</t>
        </is>
      </c>
      <c r="G5595" t="inlineStr">
        <is>
          <t>HULTSFRED</t>
        </is>
      </c>
      <c r="I5595" t="n">
        <v>0.5</v>
      </c>
      <c r="J5595" t="n">
        <v>0</v>
      </c>
      <c r="K5595" t="n">
        <v>0</v>
      </c>
      <c r="L5595" t="n">
        <v>0</v>
      </c>
      <c r="M5595" t="n">
        <v>0</v>
      </c>
      <c r="N5595" t="n">
        <v>0</v>
      </c>
      <c r="O5595" t="n">
        <v>0</v>
      </c>
      <c r="P5595" t="n">
        <v>0</v>
      </c>
      <c r="Q5595" t="n">
        <v>0</v>
      </c>
      <c r="R5595" t="n">
        <v>0</v>
      </c>
      <c r="S5595" t="n">
        <v>0</v>
      </c>
      <c r="T5595" t="n">
        <v>0</v>
      </c>
      <c r="U5595" t="n">
        <v>0</v>
      </c>
      <c r="V5595" s="2" t="inlineStr"/>
    </row>
    <row r="5596" ht="15" customHeight="1">
      <c r="A5596" t="inlineStr">
        <is>
          <t>A 24127-2023</t>
        </is>
      </c>
      <c r="B5596" t="inlineStr">
        <is>
          <t>avverkningsanmälan</t>
        </is>
      </c>
      <c r="C5596" t="inlineStr">
        <is>
          <t>Föryngringsavverkning</t>
        </is>
      </c>
      <c r="D5596" s="1" t="n">
        <v>45079</v>
      </c>
      <c r="E5596" s="1" t="n">
        <v>46323</v>
      </c>
      <c r="F5596" t="inlineStr">
        <is>
          <t>KALMAR LÄN</t>
        </is>
      </c>
      <c r="G5596" t="inlineStr">
        <is>
          <t>NYBRO</t>
        </is>
      </c>
      <c r="I5596" t="n">
        <v>0.8</v>
      </c>
      <c r="J5596" t="n">
        <v>0</v>
      </c>
      <c r="K5596" t="n">
        <v>0</v>
      </c>
      <c r="L5596" t="n">
        <v>0</v>
      </c>
      <c r="M5596" t="n">
        <v>0</v>
      </c>
      <c r="N5596" t="n">
        <v>0</v>
      </c>
      <c r="O5596" t="n">
        <v>0</v>
      </c>
      <c r="P5596" t="n">
        <v>0</v>
      </c>
      <c r="Q5596" t="n">
        <v>0</v>
      </c>
      <c r="R5596" t="n">
        <v>0</v>
      </c>
      <c r="S5596" t="n">
        <v>0</v>
      </c>
      <c r="T5596" t="n">
        <v>0</v>
      </c>
      <c r="U5596" t="n">
        <v>0</v>
      </c>
      <c r="V5596" s="2" t="inlineStr"/>
    </row>
    <row r="5597" ht="15" customHeight="1">
      <c r="A5597" t="inlineStr">
        <is>
          <t>A 35503-2026</t>
        </is>
      </c>
      <c r="B5597" t="inlineStr">
        <is>
          <t>avverkningsanmälan</t>
        </is>
      </c>
      <c r="C5597" t="inlineStr">
        <is>
          <t>Föryngringsavverkning</t>
        </is>
      </c>
      <c r="D5597" s="1" t="n">
        <v>46262</v>
      </c>
      <c r="E5597" s="1" t="n">
        <v>46323</v>
      </c>
      <c r="F5597" t="inlineStr">
        <is>
          <t>KALMAR LÄN</t>
        </is>
      </c>
      <c r="G5597" t="inlineStr">
        <is>
          <t>VÄSTERVIK</t>
        </is>
      </c>
      <c r="H5597" t="inlineStr">
        <is>
          <t>Sveaskog</t>
        </is>
      </c>
      <c r="I5597" t="n">
        <v>4.6</v>
      </c>
      <c r="J5597" t="n">
        <v>0</v>
      </c>
      <c r="K5597" t="n">
        <v>0</v>
      </c>
      <c r="L5597" t="n">
        <v>0</v>
      </c>
      <c r="M5597" t="n">
        <v>0</v>
      </c>
      <c r="N5597" t="n">
        <v>0</v>
      </c>
      <c r="O5597" t="n">
        <v>0</v>
      </c>
      <c r="P5597" t="n">
        <v>0</v>
      </c>
      <c r="Q5597" t="n">
        <v>0</v>
      </c>
      <c r="R5597" t="n">
        <v>0</v>
      </c>
      <c r="S5597" t="n">
        <v>0</v>
      </c>
      <c r="T5597" t="n">
        <v>0</v>
      </c>
      <c r="U5597" t="n">
        <v>0</v>
      </c>
      <c r="V5597" s="2" t="inlineStr"/>
    </row>
    <row r="5598" ht="15" customHeight="1">
      <c r="A5598" t="inlineStr">
        <is>
          <t>A 50690-2025</t>
        </is>
      </c>
      <c r="B5598" t="inlineStr">
        <is>
          <t>avverkningsanmälan</t>
        </is>
      </c>
      <c r="C5598" t="inlineStr">
        <is>
          <t>Föryngringsavverkning</t>
        </is>
      </c>
      <c r="D5598" s="1" t="n">
        <v>45945</v>
      </c>
      <c r="E5598" s="1" t="n">
        <v>46323</v>
      </c>
      <c r="F5598" t="inlineStr">
        <is>
          <t>KALMAR LÄN</t>
        </is>
      </c>
      <c r="G5598" t="inlineStr">
        <is>
          <t>VÄSTERVIK</t>
        </is>
      </c>
      <c r="H5598" t="inlineStr">
        <is>
          <t>Övriga Aktiebolag</t>
        </is>
      </c>
      <c r="I5598" t="n">
        <v>2.4</v>
      </c>
      <c r="J5598" t="n">
        <v>0</v>
      </c>
      <c r="K5598" t="n">
        <v>0</v>
      </c>
      <c r="L5598" t="n">
        <v>0</v>
      </c>
      <c r="M5598" t="n">
        <v>0</v>
      </c>
      <c r="N5598" t="n">
        <v>0</v>
      </c>
      <c r="O5598" t="n">
        <v>0</v>
      </c>
      <c r="P5598" t="n">
        <v>0</v>
      </c>
      <c r="Q5598" t="n">
        <v>0</v>
      </c>
      <c r="R5598" t="n">
        <v>0</v>
      </c>
      <c r="S5598" t="n">
        <v>0</v>
      </c>
      <c r="T5598" t="n">
        <v>0</v>
      </c>
      <c r="U5598" t="n">
        <v>0</v>
      </c>
      <c r="V5598" s="2" t="inlineStr"/>
    </row>
    <row r="5599" ht="15" customHeight="1">
      <c r="A5599" t="inlineStr">
        <is>
          <t>A 48732-2023</t>
        </is>
      </c>
      <c r="B5599" t="inlineStr">
        <is>
          <t>avverkningsanmälan</t>
        </is>
      </c>
      <c r="C5599" t="inlineStr">
        <is>
          <t>Föryngringsavverkning</t>
        </is>
      </c>
      <c r="D5599" s="1" t="n">
        <v>45208</v>
      </c>
      <c r="E5599" s="1" t="n">
        <v>46323</v>
      </c>
      <c r="F5599" t="inlineStr">
        <is>
          <t>KALMAR LÄN</t>
        </is>
      </c>
      <c r="G5599" t="inlineStr">
        <is>
          <t>NYBRO</t>
        </is>
      </c>
      <c r="I5599" t="n">
        <v>2.8</v>
      </c>
      <c r="J5599" t="n">
        <v>0</v>
      </c>
      <c r="K5599" t="n">
        <v>0</v>
      </c>
      <c r="L5599" t="n">
        <v>0</v>
      </c>
      <c r="M5599" t="n">
        <v>0</v>
      </c>
      <c r="N5599" t="n">
        <v>0</v>
      </c>
      <c r="O5599" t="n">
        <v>0</v>
      </c>
      <c r="P5599" t="n">
        <v>0</v>
      </c>
      <c r="Q5599" t="n">
        <v>0</v>
      </c>
      <c r="R5599" t="n">
        <v>0</v>
      </c>
      <c r="S5599" t="n">
        <v>0</v>
      </c>
      <c r="T5599" t="n">
        <v>0</v>
      </c>
      <c r="U5599" t="n">
        <v>0</v>
      </c>
      <c r="V5599" s="2" t="inlineStr"/>
    </row>
    <row r="5600" ht="15" customHeight="1">
      <c r="A5600" t="inlineStr">
        <is>
          <t>A 42597-2026</t>
        </is>
      </c>
      <c r="B5600" t="inlineStr">
        <is>
          <t>avverkningsanmälan</t>
        </is>
      </c>
      <c r="C5600" t="inlineStr">
        <is>
          <t>Föryngringsavverkning</t>
        </is>
      </c>
      <c r="D5600" s="1" t="n">
        <v>46308</v>
      </c>
      <c r="E5600" s="1" t="n">
        <v>46323</v>
      </c>
      <c r="F5600" t="inlineStr">
        <is>
          <t>KALMAR LÄN</t>
        </is>
      </c>
      <c r="G5600" t="inlineStr">
        <is>
          <t>VIMMERBY</t>
        </is>
      </c>
      <c r="I5600" t="n">
        <v>0.6</v>
      </c>
      <c r="J5600" t="n">
        <v>0</v>
      </c>
      <c r="K5600" t="n">
        <v>0</v>
      </c>
      <c r="L5600" t="n">
        <v>0</v>
      </c>
      <c r="M5600" t="n">
        <v>0</v>
      </c>
      <c r="N5600" t="n">
        <v>0</v>
      </c>
      <c r="O5600" t="n">
        <v>0</v>
      </c>
      <c r="P5600" t="n">
        <v>0</v>
      </c>
      <c r="Q5600" t="n">
        <v>0</v>
      </c>
      <c r="R5600" t="n">
        <v>0</v>
      </c>
      <c r="S5600" t="n">
        <v>0</v>
      </c>
      <c r="T5600" t="n">
        <v>0</v>
      </c>
      <c r="U5600" t="n">
        <v>0</v>
      </c>
      <c r="V5600" s="2" t="inlineStr"/>
    </row>
    <row r="5601" ht="15" customHeight="1">
      <c r="A5601" t="inlineStr">
        <is>
          <t>A 35484-2026</t>
        </is>
      </c>
      <c r="B5601" t="inlineStr">
        <is>
          <t>avverkningsanmälan</t>
        </is>
      </c>
      <c r="C5601" t="inlineStr">
        <is>
          <t>Föryngringsavverkning</t>
        </is>
      </c>
      <c r="D5601" s="1" t="n">
        <v>46262</v>
      </c>
      <c r="E5601" s="1" t="n">
        <v>46323</v>
      </c>
      <c r="F5601" t="inlineStr">
        <is>
          <t>KALMAR LÄN</t>
        </is>
      </c>
      <c r="G5601" t="inlineStr">
        <is>
          <t>VÄSTERVIK</t>
        </is>
      </c>
      <c r="H5601" t="inlineStr">
        <is>
          <t>Sveaskog</t>
        </is>
      </c>
      <c r="I5601" t="n">
        <v>0.5</v>
      </c>
      <c r="J5601" t="n">
        <v>0</v>
      </c>
      <c r="K5601" t="n">
        <v>0</v>
      </c>
      <c r="L5601" t="n">
        <v>0</v>
      </c>
      <c r="M5601" t="n">
        <v>0</v>
      </c>
      <c r="N5601" t="n">
        <v>0</v>
      </c>
      <c r="O5601" t="n">
        <v>0</v>
      </c>
      <c r="P5601" t="n">
        <v>0</v>
      </c>
      <c r="Q5601" t="n">
        <v>0</v>
      </c>
      <c r="R5601" t="n">
        <v>0</v>
      </c>
      <c r="S5601" t="n">
        <v>0</v>
      </c>
      <c r="T5601" t="n">
        <v>0</v>
      </c>
      <c r="U5601" t="n">
        <v>0</v>
      </c>
      <c r="V5601" s="2" t="inlineStr"/>
    </row>
    <row r="5602" ht="15" customHeight="1">
      <c r="A5602" t="inlineStr">
        <is>
          <t>A 35491-2026</t>
        </is>
      </c>
      <c r="B5602" t="inlineStr">
        <is>
          <t>avverkningsanmälan</t>
        </is>
      </c>
      <c r="C5602" t="inlineStr">
        <is>
          <t>Föryngringsavverkning</t>
        </is>
      </c>
      <c r="D5602" s="1" t="n">
        <v>46262</v>
      </c>
      <c r="E5602" s="1" t="n">
        <v>46323</v>
      </c>
      <c r="F5602" t="inlineStr">
        <is>
          <t>KALMAR LÄN</t>
        </is>
      </c>
      <c r="G5602" t="inlineStr">
        <is>
          <t>VÄSTERVIK</t>
        </is>
      </c>
      <c r="H5602" t="inlineStr">
        <is>
          <t>Sveaskog</t>
        </is>
      </c>
      <c r="I5602" t="n">
        <v>3</v>
      </c>
      <c r="J5602" t="n">
        <v>0</v>
      </c>
      <c r="K5602" t="n">
        <v>0</v>
      </c>
      <c r="L5602" t="n">
        <v>0</v>
      </c>
      <c r="M5602" t="n">
        <v>0</v>
      </c>
      <c r="N5602" t="n">
        <v>0</v>
      </c>
      <c r="O5602" t="n">
        <v>0</v>
      </c>
      <c r="P5602" t="n">
        <v>0</v>
      </c>
      <c r="Q5602" t="n">
        <v>0</v>
      </c>
      <c r="R5602" t="n">
        <v>0</v>
      </c>
      <c r="S5602" t="n">
        <v>0</v>
      </c>
      <c r="T5602" t="n">
        <v>0</v>
      </c>
      <c r="U5602" t="n">
        <v>0</v>
      </c>
      <c r="V5602" s="2" t="inlineStr"/>
    </row>
    <row r="5603" ht="15" customHeight="1">
      <c r="A5603" t="inlineStr">
        <is>
          <t>A 35496-2026</t>
        </is>
      </c>
      <c r="B5603" t="inlineStr">
        <is>
          <t>avverkningsanmälan</t>
        </is>
      </c>
      <c r="C5603" t="inlineStr">
        <is>
          <t>Föryngringsavverkning</t>
        </is>
      </c>
      <c r="D5603" s="1" t="n">
        <v>46262</v>
      </c>
      <c r="E5603" s="1" t="n">
        <v>46323</v>
      </c>
      <c r="F5603" t="inlineStr">
        <is>
          <t>KALMAR LÄN</t>
        </is>
      </c>
      <c r="G5603" t="inlineStr">
        <is>
          <t>VÄSTERVIK</t>
        </is>
      </c>
      <c r="H5603" t="inlineStr">
        <is>
          <t>Sveaskog</t>
        </is>
      </c>
      <c r="I5603" t="n">
        <v>1.4</v>
      </c>
      <c r="J5603" t="n">
        <v>0</v>
      </c>
      <c r="K5603" t="n">
        <v>0</v>
      </c>
      <c r="L5603" t="n">
        <v>0</v>
      </c>
      <c r="M5603" t="n">
        <v>0</v>
      </c>
      <c r="N5603" t="n">
        <v>0</v>
      </c>
      <c r="O5603" t="n">
        <v>0</v>
      </c>
      <c r="P5603" t="n">
        <v>0</v>
      </c>
      <c r="Q5603" t="n">
        <v>0</v>
      </c>
      <c r="R5603" t="n">
        <v>0</v>
      </c>
      <c r="S5603" t="n">
        <v>0</v>
      </c>
      <c r="T5603" t="n">
        <v>0</v>
      </c>
      <c r="U5603" t="n">
        <v>0</v>
      </c>
      <c r="V5603" s="2" t="inlineStr"/>
    </row>
    <row r="5604" ht="15" customHeight="1">
      <c r="A5604" t="inlineStr">
        <is>
          <t>A 52252-2023</t>
        </is>
      </c>
      <c r="B5604" t="inlineStr">
        <is>
          <t>avverkningsanmälan</t>
        </is>
      </c>
      <c r="C5604" t="inlineStr">
        <is>
          <t>Föryngringsavverkning</t>
        </is>
      </c>
      <c r="D5604" s="1" t="n">
        <v>45224</v>
      </c>
      <c r="E5604" s="1" t="n">
        <v>46323</v>
      </c>
      <c r="F5604" t="inlineStr">
        <is>
          <t>KALMAR LÄN</t>
        </is>
      </c>
      <c r="G5604" t="inlineStr">
        <is>
          <t>TORSÅS</t>
        </is>
      </c>
      <c r="I5604" t="n">
        <v>1.2</v>
      </c>
      <c r="J5604" t="n">
        <v>0</v>
      </c>
      <c r="K5604" t="n">
        <v>0</v>
      </c>
      <c r="L5604" t="n">
        <v>0</v>
      </c>
      <c r="M5604" t="n">
        <v>0</v>
      </c>
      <c r="N5604" t="n">
        <v>0</v>
      </c>
      <c r="O5604" t="n">
        <v>0</v>
      </c>
      <c r="P5604" t="n">
        <v>0</v>
      </c>
      <c r="Q5604" t="n">
        <v>0</v>
      </c>
      <c r="R5604" t="n">
        <v>0</v>
      </c>
      <c r="S5604" t="n">
        <v>0</v>
      </c>
      <c r="T5604" t="n">
        <v>0</v>
      </c>
      <c r="U5604" t="n">
        <v>0</v>
      </c>
      <c r="V5604" s="2" t="inlineStr"/>
    </row>
    <row r="5605" ht="15" customHeight="1">
      <c r="A5605" t="inlineStr">
        <is>
          <t>A 9132-2026</t>
        </is>
      </c>
      <c r="B5605" t="inlineStr">
        <is>
          <t>avverkningsanmälan</t>
        </is>
      </c>
      <c r="C5605" t="inlineStr">
        <is>
          <t>Föryngringsavverkning</t>
        </is>
      </c>
      <c r="D5605" s="1" t="n">
        <v>46069</v>
      </c>
      <c r="E5605" s="1" t="n">
        <v>46323</v>
      </c>
      <c r="F5605" t="inlineStr">
        <is>
          <t>KALMAR LÄN</t>
        </is>
      </c>
      <c r="G5605" t="inlineStr">
        <is>
          <t>MÖNSTERÅS</t>
        </is>
      </c>
      <c r="I5605" t="n">
        <v>3.7</v>
      </c>
      <c r="J5605" t="n">
        <v>0</v>
      </c>
      <c r="K5605" t="n">
        <v>0</v>
      </c>
      <c r="L5605" t="n">
        <v>0</v>
      </c>
      <c r="M5605" t="n">
        <v>0</v>
      </c>
      <c r="N5605" t="n">
        <v>0</v>
      </c>
      <c r="O5605" t="n">
        <v>0</v>
      </c>
      <c r="P5605" t="n">
        <v>0</v>
      </c>
      <c r="Q5605" t="n">
        <v>0</v>
      </c>
      <c r="R5605" t="n">
        <v>0</v>
      </c>
      <c r="S5605" t="n">
        <v>0</v>
      </c>
      <c r="T5605" t="n">
        <v>0</v>
      </c>
      <c r="U5605" t="n">
        <v>0</v>
      </c>
      <c r="V5605" s="2" t="inlineStr"/>
    </row>
    <row r="5606" ht="15" customHeight="1">
      <c r="A5606" t="inlineStr">
        <is>
          <t>A 64762-2023</t>
        </is>
      </c>
      <c r="B5606" t="inlineStr">
        <is>
          <t>avverkningsanmälan</t>
        </is>
      </c>
      <c r="C5606" t="inlineStr">
        <is>
          <t>Föryngringsavverkning</t>
        </is>
      </c>
      <c r="D5606" s="1" t="n">
        <v>45282</v>
      </c>
      <c r="E5606" s="1" t="n">
        <v>46323</v>
      </c>
      <c r="F5606" t="inlineStr">
        <is>
          <t>KALMAR LÄN</t>
        </is>
      </c>
      <c r="G5606" t="inlineStr">
        <is>
          <t>VÄSTERVIK</t>
        </is>
      </c>
      <c r="H5606" t="inlineStr">
        <is>
          <t>Övriga Aktiebolag</t>
        </is>
      </c>
      <c r="I5606" t="n">
        <v>1.1</v>
      </c>
      <c r="J5606" t="n">
        <v>0</v>
      </c>
      <c r="K5606" t="n">
        <v>0</v>
      </c>
      <c r="L5606" t="n">
        <v>0</v>
      </c>
      <c r="M5606" t="n">
        <v>0</v>
      </c>
      <c r="N5606" t="n">
        <v>0</v>
      </c>
      <c r="O5606" t="n">
        <v>0</v>
      </c>
      <c r="P5606" t="n">
        <v>0</v>
      </c>
      <c r="Q5606" t="n">
        <v>0</v>
      </c>
      <c r="R5606" t="n">
        <v>0</v>
      </c>
      <c r="S5606" t="n">
        <v>0</v>
      </c>
      <c r="T5606" t="n">
        <v>0</v>
      </c>
      <c r="U5606" t="n">
        <v>0</v>
      </c>
      <c r="V5606" s="2" t="inlineStr"/>
    </row>
    <row r="5607" ht="15" customHeight="1">
      <c r="A5607" t="inlineStr">
        <is>
          <t>A 64763-2023</t>
        </is>
      </c>
      <c r="B5607" t="inlineStr">
        <is>
          <t>avverkningsanmälan</t>
        </is>
      </c>
      <c r="C5607" t="inlineStr">
        <is>
          <t>Föryngringsavverkning</t>
        </is>
      </c>
      <c r="D5607" s="1" t="n">
        <v>45282</v>
      </c>
      <c r="E5607" s="1" t="n">
        <v>46323</v>
      </c>
      <c r="F5607" t="inlineStr">
        <is>
          <t>KALMAR LÄN</t>
        </is>
      </c>
      <c r="G5607" t="inlineStr">
        <is>
          <t>VÄSTERVIK</t>
        </is>
      </c>
      <c r="H5607" t="inlineStr">
        <is>
          <t>Övriga Aktiebolag</t>
        </is>
      </c>
      <c r="I5607" t="n">
        <v>0.9</v>
      </c>
      <c r="J5607" t="n">
        <v>0</v>
      </c>
      <c r="K5607" t="n">
        <v>0</v>
      </c>
      <c r="L5607" t="n">
        <v>0</v>
      </c>
      <c r="M5607" t="n">
        <v>0</v>
      </c>
      <c r="N5607" t="n">
        <v>0</v>
      </c>
      <c r="O5607" t="n">
        <v>0</v>
      </c>
      <c r="P5607" t="n">
        <v>0</v>
      </c>
      <c r="Q5607" t="n">
        <v>0</v>
      </c>
      <c r="R5607" t="n">
        <v>0</v>
      </c>
      <c r="S5607" t="n">
        <v>0</v>
      </c>
      <c r="T5607" t="n">
        <v>0</v>
      </c>
      <c r="U5607" t="n">
        <v>0</v>
      </c>
      <c r="V5607" s="2" t="inlineStr"/>
    </row>
    <row r="5608" ht="15" customHeight="1">
      <c r="A5608" t="inlineStr">
        <is>
          <t>A 55576-2023</t>
        </is>
      </c>
      <c r="B5608" t="inlineStr">
        <is>
          <t>avverkningsanmälan</t>
        </is>
      </c>
      <c r="C5608" t="inlineStr">
        <is>
          <t>Föryngringsavverkning</t>
        </is>
      </c>
      <c r="D5608" s="1" t="n">
        <v>45238</v>
      </c>
      <c r="E5608" s="1" t="n">
        <v>46323</v>
      </c>
      <c r="F5608" t="inlineStr">
        <is>
          <t>KALMAR LÄN</t>
        </is>
      </c>
      <c r="G5608" t="inlineStr">
        <is>
          <t>MÖNSTERÅS</t>
        </is>
      </c>
      <c r="I5608" t="n">
        <v>0.5</v>
      </c>
      <c r="J5608" t="n">
        <v>0</v>
      </c>
      <c r="K5608" t="n">
        <v>0</v>
      </c>
      <c r="L5608" t="n">
        <v>0</v>
      </c>
      <c r="M5608" t="n">
        <v>0</v>
      </c>
      <c r="N5608" t="n">
        <v>0</v>
      </c>
      <c r="O5608" t="n">
        <v>0</v>
      </c>
      <c r="P5608" t="n">
        <v>0</v>
      </c>
      <c r="Q5608" t="n">
        <v>0</v>
      </c>
      <c r="R5608" t="n">
        <v>0</v>
      </c>
      <c r="S5608" t="n">
        <v>0</v>
      </c>
      <c r="T5608" t="n">
        <v>0</v>
      </c>
      <c r="U5608" t="n">
        <v>0</v>
      </c>
      <c r="V5608" s="2" t="inlineStr"/>
    </row>
    <row r="5609" ht="15" customHeight="1">
      <c r="A5609" t="inlineStr">
        <is>
          <t>A 57138-2022</t>
        </is>
      </c>
      <c r="B5609" t="inlineStr">
        <is>
          <t>avverkningsanmälan</t>
        </is>
      </c>
      <c r="C5609" t="inlineStr">
        <is>
          <t>Föryngringsavverkning</t>
        </is>
      </c>
      <c r="D5609" s="1" t="n">
        <v>44895</v>
      </c>
      <c r="E5609" s="1" t="n">
        <v>46323</v>
      </c>
      <c r="F5609" t="inlineStr">
        <is>
          <t>KALMAR LÄN</t>
        </is>
      </c>
      <c r="G5609" t="inlineStr">
        <is>
          <t>KALMAR</t>
        </is>
      </c>
      <c r="I5609" t="n">
        <v>15.6</v>
      </c>
      <c r="J5609" t="n">
        <v>0</v>
      </c>
      <c r="K5609" t="n">
        <v>0</v>
      </c>
      <c r="L5609" t="n">
        <v>0</v>
      </c>
      <c r="M5609" t="n">
        <v>0</v>
      </c>
      <c r="N5609" t="n">
        <v>0</v>
      </c>
      <c r="O5609" t="n">
        <v>0</v>
      </c>
      <c r="P5609" t="n">
        <v>0</v>
      </c>
      <c r="Q5609" t="n">
        <v>0</v>
      </c>
      <c r="R5609" t="n">
        <v>0</v>
      </c>
      <c r="S5609" t="n">
        <v>0</v>
      </c>
      <c r="T5609" t="n">
        <v>0</v>
      </c>
      <c r="U5609" t="n">
        <v>0</v>
      </c>
      <c r="V5609" s="2" t="inlineStr"/>
    </row>
    <row r="5610" ht="15" customHeight="1">
      <c r="A5610" t="inlineStr">
        <is>
          <t>A 41695-2022</t>
        </is>
      </c>
      <c r="B5610" t="inlineStr">
        <is>
          <t>avverkningsanmälan</t>
        </is>
      </c>
      <c r="C5610" t="inlineStr">
        <is>
          <t>Föryngringsavverkning</t>
        </is>
      </c>
      <c r="D5610" s="1" t="n">
        <v>44827</v>
      </c>
      <c r="E5610" s="1" t="n">
        <v>46323</v>
      </c>
      <c r="F5610" t="inlineStr">
        <is>
          <t>KALMAR LÄN</t>
        </is>
      </c>
      <c r="G5610" t="inlineStr">
        <is>
          <t>HULTSFRED</t>
        </is>
      </c>
      <c r="I5610" t="n">
        <v>1.4</v>
      </c>
      <c r="J5610" t="n">
        <v>0</v>
      </c>
      <c r="K5610" t="n">
        <v>0</v>
      </c>
      <c r="L5610" t="n">
        <v>0</v>
      </c>
      <c r="M5610" t="n">
        <v>0</v>
      </c>
      <c r="N5610" t="n">
        <v>0</v>
      </c>
      <c r="O5610" t="n">
        <v>0</v>
      </c>
      <c r="P5610" t="n">
        <v>0</v>
      </c>
      <c r="Q5610" t="n">
        <v>0</v>
      </c>
      <c r="R5610" t="n">
        <v>0</v>
      </c>
      <c r="S5610" t="n">
        <v>0</v>
      </c>
      <c r="T5610" t="n">
        <v>0</v>
      </c>
      <c r="U5610" t="n">
        <v>0</v>
      </c>
      <c r="V5610" s="2" t="inlineStr"/>
    </row>
    <row r="5611" ht="15" customHeight="1">
      <c r="A5611" t="inlineStr">
        <is>
          <t>A 34032-2022</t>
        </is>
      </c>
      <c r="B5611" t="inlineStr">
        <is>
          <t>avverkningsanmälan</t>
        </is>
      </c>
      <c r="C5611" t="inlineStr">
        <is>
          <t>Föryngringsavverkning</t>
        </is>
      </c>
      <c r="D5611" s="1" t="n">
        <v>44791</v>
      </c>
      <c r="E5611" s="1" t="n">
        <v>46323</v>
      </c>
      <c r="F5611" t="inlineStr">
        <is>
          <t>KALMAR LÄN</t>
        </is>
      </c>
      <c r="G5611" t="inlineStr">
        <is>
          <t>EMMABODA</t>
        </is>
      </c>
      <c r="I5611" t="n">
        <v>1.4</v>
      </c>
      <c r="J5611" t="n">
        <v>0</v>
      </c>
      <c r="K5611" t="n">
        <v>0</v>
      </c>
      <c r="L5611" t="n">
        <v>0</v>
      </c>
      <c r="M5611" t="n">
        <v>0</v>
      </c>
      <c r="N5611" t="n">
        <v>0</v>
      </c>
      <c r="O5611" t="n">
        <v>0</v>
      </c>
      <c r="P5611" t="n">
        <v>0</v>
      </c>
      <c r="Q5611" t="n">
        <v>0</v>
      </c>
      <c r="R5611" t="n">
        <v>0</v>
      </c>
      <c r="S5611" t="n">
        <v>0</v>
      </c>
      <c r="T5611" t="n">
        <v>0</v>
      </c>
      <c r="U5611" t="n">
        <v>0</v>
      </c>
      <c r="V5611" s="2" t="inlineStr"/>
    </row>
    <row r="5612" ht="15" customHeight="1">
      <c r="A5612" t="inlineStr">
        <is>
          <t>A 49488-2023</t>
        </is>
      </c>
      <c r="B5612" t="inlineStr">
        <is>
          <t>avverkningsanmälan</t>
        </is>
      </c>
      <c r="C5612" t="inlineStr">
        <is>
          <t>Föryngringsavverkning</t>
        </is>
      </c>
      <c r="D5612" s="1" t="n">
        <v>45211</v>
      </c>
      <c r="E5612" s="1" t="n">
        <v>46323</v>
      </c>
      <c r="F5612" t="inlineStr">
        <is>
          <t>KALMAR LÄN</t>
        </is>
      </c>
      <c r="G5612" t="inlineStr">
        <is>
          <t>VIMMERBY</t>
        </is>
      </c>
      <c r="H5612" t="inlineStr">
        <is>
          <t>Sveaskog</t>
        </is>
      </c>
      <c r="I5612" t="n">
        <v>6.2</v>
      </c>
      <c r="J5612" t="n">
        <v>0</v>
      </c>
      <c r="K5612" t="n">
        <v>0</v>
      </c>
      <c r="L5612" t="n">
        <v>0</v>
      </c>
      <c r="M5612" t="n">
        <v>0</v>
      </c>
      <c r="N5612" t="n">
        <v>0</v>
      </c>
      <c r="O5612" t="n">
        <v>0</v>
      </c>
      <c r="P5612" t="n">
        <v>0</v>
      </c>
      <c r="Q5612" t="n">
        <v>0</v>
      </c>
      <c r="R5612" t="n">
        <v>0</v>
      </c>
      <c r="S5612" t="n">
        <v>0</v>
      </c>
      <c r="T5612" t="n">
        <v>0</v>
      </c>
      <c r="U5612" t="n">
        <v>0</v>
      </c>
      <c r="V5612" s="2" t="inlineStr"/>
    </row>
    <row r="5613" ht="15" customHeight="1">
      <c r="A5613" t="inlineStr">
        <is>
          <t>A 37305-2024</t>
        </is>
      </c>
      <c r="B5613" t="inlineStr">
        <is>
          <t>avverkningsanmälan</t>
        </is>
      </c>
      <c r="C5613" t="inlineStr">
        <is>
          <t>Föryngringsavverkning</t>
        </is>
      </c>
      <c r="D5613" s="1" t="n">
        <v>45540</v>
      </c>
      <c r="E5613" s="1" t="n">
        <v>46323</v>
      </c>
      <c r="F5613" t="inlineStr">
        <is>
          <t>KALMAR LÄN</t>
        </is>
      </c>
      <c r="G5613" t="inlineStr">
        <is>
          <t>KALMAR</t>
        </is>
      </c>
      <c r="I5613" t="n">
        <v>1.5</v>
      </c>
      <c r="J5613" t="n">
        <v>0</v>
      </c>
      <c r="K5613" t="n">
        <v>0</v>
      </c>
      <c r="L5613" t="n">
        <v>0</v>
      </c>
      <c r="M5613" t="n">
        <v>0</v>
      </c>
      <c r="N5613" t="n">
        <v>0</v>
      </c>
      <c r="O5613" t="n">
        <v>0</v>
      </c>
      <c r="P5613" t="n">
        <v>0</v>
      </c>
      <c r="Q5613" t="n">
        <v>0</v>
      </c>
      <c r="R5613" t="n">
        <v>0</v>
      </c>
      <c r="S5613" t="n">
        <v>0</v>
      </c>
      <c r="T5613" t="n">
        <v>0</v>
      </c>
      <c r="U5613" t="n">
        <v>0</v>
      </c>
      <c r="V5613" s="2" t="inlineStr"/>
    </row>
    <row r="5614" ht="15" customHeight="1">
      <c r="A5614" t="inlineStr">
        <is>
          <t>A 37326-2024</t>
        </is>
      </c>
      <c r="B5614" t="inlineStr">
        <is>
          <t>avverkningsanmälan</t>
        </is>
      </c>
      <c r="C5614" t="inlineStr">
        <is>
          <t>Föryngringsavverkning</t>
        </is>
      </c>
      <c r="D5614" s="1" t="n">
        <v>45540</v>
      </c>
      <c r="E5614" s="1" t="n">
        <v>46323</v>
      </c>
      <c r="F5614" t="inlineStr">
        <is>
          <t>KALMAR LÄN</t>
        </is>
      </c>
      <c r="G5614" t="inlineStr">
        <is>
          <t>VÄSTERVIK</t>
        </is>
      </c>
      <c r="H5614" t="inlineStr">
        <is>
          <t>Holmen skog AB</t>
        </is>
      </c>
      <c r="I5614" t="n">
        <v>6</v>
      </c>
      <c r="J5614" t="n">
        <v>0</v>
      </c>
      <c r="K5614" t="n">
        <v>0</v>
      </c>
      <c r="L5614" t="n">
        <v>0</v>
      </c>
      <c r="M5614" t="n">
        <v>0</v>
      </c>
      <c r="N5614" t="n">
        <v>0</v>
      </c>
      <c r="O5614" t="n">
        <v>0</v>
      </c>
      <c r="P5614" t="n">
        <v>0</v>
      </c>
      <c r="Q5614" t="n">
        <v>0</v>
      </c>
      <c r="R5614" t="n">
        <v>0</v>
      </c>
      <c r="S5614" t="n">
        <v>0</v>
      </c>
      <c r="T5614" t="n">
        <v>0</v>
      </c>
      <c r="U5614" t="n">
        <v>0</v>
      </c>
      <c r="V5614" s="2" t="inlineStr"/>
    </row>
    <row r="5615" ht="15" customHeight="1">
      <c r="A5615" t="inlineStr">
        <is>
          <t>A 42705-2026</t>
        </is>
      </c>
      <c r="B5615" t="inlineStr">
        <is>
          <t>avverkningsanmälan</t>
        </is>
      </c>
      <c r="C5615" t="inlineStr">
        <is>
          <t>Föryngringsavverkning</t>
        </is>
      </c>
      <c r="D5615" s="1" t="n">
        <v>46309</v>
      </c>
      <c r="E5615" s="1" t="n">
        <v>46323</v>
      </c>
      <c r="F5615" t="inlineStr">
        <is>
          <t>KALMAR LÄN</t>
        </is>
      </c>
      <c r="G5615" t="inlineStr">
        <is>
          <t>HÖGSBY</t>
        </is>
      </c>
      <c r="H5615" t="inlineStr">
        <is>
          <t>Sveaskog</t>
        </is>
      </c>
      <c r="I5615" t="n">
        <v>0.9</v>
      </c>
      <c r="J5615" t="n">
        <v>0</v>
      </c>
      <c r="K5615" t="n">
        <v>0</v>
      </c>
      <c r="L5615" t="n">
        <v>0</v>
      </c>
      <c r="M5615" t="n">
        <v>0</v>
      </c>
      <c r="N5615" t="n">
        <v>0</v>
      </c>
      <c r="O5615" t="n">
        <v>0</v>
      </c>
      <c r="P5615" t="n">
        <v>0</v>
      </c>
      <c r="Q5615" t="n">
        <v>0</v>
      </c>
      <c r="R5615" t="n">
        <v>0</v>
      </c>
      <c r="S5615" t="n">
        <v>0</v>
      </c>
      <c r="T5615" t="n">
        <v>0</v>
      </c>
      <c r="U5615" t="n">
        <v>0</v>
      </c>
      <c r="V5615" s="2" t="inlineStr"/>
    </row>
    <row r="5616" ht="15" customHeight="1">
      <c r="A5616" t="inlineStr">
        <is>
          <t>A 2354-2024</t>
        </is>
      </c>
      <c r="B5616" t="inlineStr">
        <is>
          <t>avverkningsanmälan</t>
        </is>
      </c>
      <c r="C5616" t="inlineStr">
        <is>
          <t>Föryngringsavverkning</t>
        </is>
      </c>
      <c r="D5616" s="1" t="n">
        <v>45310</v>
      </c>
      <c r="E5616" s="1" t="n">
        <v>46323</v>
      </c>
      <c r="F5616" t="inlineStr">
        <is>
          <t>KALMAR LÄN</t>
        </is>
      </c>
      <c r="G5616" t="inlineStr">
        <is>
          <t>EMMABODA</t>
        </is>
      </c>
      <c r="I5616" t="n">
        <v>5.7</v>
      </c>
      <c r="J5616" t="n">
        <v>0</v>
      </c>
      <c r="K5616" t="n">
        <v>0</v>
      </c>
      <c r="L5616" t="n">
        <v>0</v>
      </c>
      <c r="M5616" t="n">
        <v>0</v>
      </c>
      <c r="N5616" t="n">
        <v>0</v>
      </c>
      <c r="O5616" t="n">
        <v>0</v>
      </c>
      <c r="P5616" t="n">
        <v>0</v>
      </c>
      <c r="Q5616" t="n">
        <v>0</v>
      </c>
      <c r="R5616" t="n">
        <v>0</v>
      </c>
      <c r="S5616" t="n">
        <v>0</v>
      </c>
      <c r="T5616" t="n">
        <v>0</v>
      </c>
      <c r="U5616" t="n">
        <v>0</v>
      </c>
      <c r="V5616" s="2" t="inlineStr"/>
    </row>
    <row r="5617" ht="15" customHeight="1">
      <c r="A5617" t="inlineStr">
        <is>
          <t>A 34345-2024</t>
        </is>
      </c>
      <c r="B5617" t="inlineStr">
        <is>
          <t>avverkningsanmälan</t>
        </is>
      </c>
      <c r="C5617" t="inlineStr">
        <is>
          <t>Föryngringsavverkning</t>
        </is>
      </c>
      <c r="D5617" s="1" t="n">
        <v>45525</v>
      </c>
      <c r="E5617" s="1" t="n">
        <v>46323</v>
      </c>
      <c r="F5617" t="inlineStr">
        <is>
          <t>KALMAR LÄN</t>
        </is>
      </c>
      <c r="G5617" t="inlineStr">
        <is>
          <t>NYBRO</t>
        </is>
      </c>
      <c r="I5617" t="n">
        <v>1</v>
      </c>
      <c r="J5617" t="n">
        <v>0</v>
      </c>
      <c r="K5617" t="n">
        <v>0</v>
      </c>
      <c r="L5617" t="n">
        <v>0</v>
      </c>
      <c r="M5617" t="n">
        <v>0</v>
      </c>
      <c r="N5617" t="n">
        <v>0</v>
      </c>
      <c r="O5617" t="n">
        <v>0</v>
      </c>
      <c r="P5617" t="n">
        <v>0</v>
      </c>
      <c r="Q5617" t="n">
        <v>0</v>
      </c>
      <c r="R5617" t="n">
        <v>0</v>
      </c>
      <c r="S5617" t="n">
        <v>0</v>
      </c>
      <c r="T5617" t="n">
        <v>0</v>
      </c>
      <c r="U5617" t="n">
        <v>0</v>
      </c>
      <c r="V5617" s="2" t="inlineStr"/>
    </row>
    <row r="5618" ht="15" customHeight="1">
      <c r="A5618" t="inlineStr">
        <is>
          <t>A 3396-2023</t>
        </is>
      </c>
      <c r="B5618" t="inlineStr">
        <is>
          <t>avverkningsanmälan</t>
        </is>
      </c>
      <c r="C5618" t="inlineStr">
        <is>
          <t>Föryngringsavverkning</t>
        </is>
      </c>
      <c r="D5618" s="1" t="n">
        <v>44949</v>
      </c>
      <c r="E5618" s="1" t="n">
        <v>46323</v>
      </c>
      <c r="F5618" t="inlineStr">
        <is>
          <t>KALMAR LÄN</t>
        </is>
      </c>
      <c r="G5618" t="inlineStr">
        <is>
          <t>TORSÅS</t>
        </is>
      </c>
      <c r="I5618" t="n">
        <v>0.8</v>
      </c>
      <c r="J5618" t="n">
        <v>0</v>
      </c>
      <c r="K5618" t="n">
        <v>0</v>
      </c>
      <c r="L5618" t="n">
        <v>0</v>
      </c>
      <c r="M5618" t="n">
        <v>0</v>
      </c>
      <c r="N5618" t="n">
        <v>0</v>
      </c>
      <c r="O5618" t="n">
        <v>0</v>
      </c>
      <c r="P5618" t="n">
        <v>0</v>
      </c>
      <c r="Q5618" t="n">
        <v>0</v>
      </c>
      <c r="R5618" t="n">
        <v>0</v>
      </c>
      <c r="S5618" t="n">
        <v>0</v>
      </c>
      <c r="T5618" t="n">
        <v>0</v>
      </c>
      <c r="U5618" t="n">
        <v>0</v>
      </c>
      <c r="V5618" s="2" t="inlineStr"/>
    </row>
    <row r="5619" ht="15" customHeight="1">
      <c r="A5619" t="inlineStr">
        <is>
          <t>A 61791-2022</t>
        </is>
      </c>
      <c r="B5619" t="inlineStr">
        <is>
          <t>avverkningsanmälan</t>
        </is>
      </c>
      <c r="C5619" t="inlineStr">
        <is>
          <t>Avverkning för annat ändamål</t>
        </is>
      </c>
      <c r="D5619" s="1" t="n">
        <v>44911</v>
      </c>
      <c r="E5619" s="1" t="n">
        <v>46323</v>
      </c>
      <c r="F5619" t="inlineStr">
        <is>
          <t>KALMAR LÄN</t>
        </is>
      </c>
      <c r="G5619" t="inlineStr">
        <is>
          <t>EMMABODA</t>
        </is>
      </c>
      <c r="I5619" t="n">
        <v>0.7</v>
      </c>
      <c r="J5619" t="n">
        <v>0</v>
      </c>
      <c r="K5619" t="n">
        <v>0</v>
      </c>
      <c r="L5619" t="n">
        <v>0</v>
      </c>
      <c r="M5619" t="n">
        <v>0</v>
      </c>
      <c r="N5619" t="n">
        <v>0</v>
      </c>
      <c r="O5619" t="n">
        <v>0</v>
      </c>
      <c r="P5619" t="n">
        <v>0</v>
      </c>
      <c r="Q5619" t="n">
        <v>0</v>
      </c>
      <c r="R5619" t="n">
        <v>0</v>
      </c>
      <c r="S5619" t="n">
        <v>0</v>
      </c>
      <c r="T5619" t="n">
        <v>0</v>
      </c>
      <c r="U5619" t="n">
        <v>0</v>
      </c>
      <c r="V5619" s="2" t="inlineStr"/>
    </row>
    <row r="5620" ht="15" customHeight="1">
      <c r="A5620" t="inlineStr">
        <is>
          <t>A 35541-2024</t>
        </is>
      </c>
      <c r="B5620" t="inlineStr">
        <is>
          <t>avverkningsanmälan</t>
        </is>
      </c>
      <c r="C5620" t="inlineStr">
        <is>
          <t>Föryngringsavverkning</t>
        </is>
      </c>
      <c r="D5620" s="1" t="n">
        <v>45531</v>
      </c>
      <c r="E5620" s="1" t="n">
        <v>46323</v>
      </c>
      <c r="F5620" t="inlineStr">
        <is>
          <t>KALMAR LÄN</t>
        </is>
      </c>
      <c r="G5620" t="inlineStr">
        <is>
          <t>OSKARSHAMN</t>
        </is>
      </c>
      <c r="I5620" t="n">
        <v>0.6</v>
      </c>
      <c r="J5620" t="n">
        <v>0</v>
      </c>
      <c r="K5620" t="n">
        <v>0</v>
      </c>
      <c r="L5620" t="n">
        <v>0</v>
      </c>
      <c r="M5620" t="n">
        <v>0</v>
      </c>
      <c r="N5620" t="n">
        <v>0</v>
      </c>
      <c r="O5620" t="n">
        <v>0</v>
      </c>
      <c r="P5620" t="n">
        <v>0</v>
      </c>
      <c r="Q5620" t="n">
        <v>0</v>
      </c>
      <c r="R5620" t="n">
        <v>0</v>
      </c>
      <c r="S5620" t="n">
        <v>0</v>
      </c>
      <c r="T5620" t="n">
        <v>0</v>
      </c>
      <c r="U5620" t="n">
        <v>0</v>
      </c>
      <c r="V5620" s="2" t="inlineStr"/>
    </row>
    <row r="5621" ht="15" customHeight="1">
      <c r="A5621" t="inlineStr">
        <is>
          <t>A 61874-2022</t>
        </is>
      </c>
      <c r="B5621" t="inlineStr">
        <is>
          <t>avverkningsanmälan</t>
        </is>
      </c>
      <c r="C5621" t="inlineStr">
        <is>
          <t>Föryngringsavverkning</t>
        </is>
      </c>
      <c r="D5621" s="1" t="n">
        <v>44917</v>
      </c>
      <c r="E5621" s="1" t="n">
        <v>46323</v>
      </c>
      <c r="F5621" t="inlineStr">
        <is>
          <t>KALMAR LÄN</t>
        </is>
      </c>
      <c r="G5621" t="inlineStr">
        <is>
          <t>MÖNSTERÅS</t>
        </is>
      </c>
      <c r="I5621" t="n">
        <v>0.8</v>
      </c>
      <c r="J5621" t="n">
        <v>0</v>
      </c>
      <c r="K5621" t="n">
        <v>0</v>
      </c>
      <c r="L5621" t="n">
        <v>0</v>
      </c>
      <c r="M5621" t="n">
        <v>0</v>
      </c>
      <c r="N5621" t="n">
        <v>0</v>
      </c>
      <c r="O5621" t="n">
        <v>0</v>
      </c>
      <c r="P5621" t="n">
        <v>0</v>
      </c>
      <c r="Q5621" t="n">
        <v>0</v>
      </c>
      <c r="R5621" t="n">
        <v>0</v>
      </c>
      <c r="S5621" t="n">
        <v>0</v>
      </c>
      <c r="T5621" t="n">
        <v>0</v>
      </c>
      <c r="U5621" t="n">
        <v>0</v>
      </c>
      <c r="V5621" s="2" t="inlineStr"/>
    </row>
    <row r="5622" ht="15" customHeight="1">
      <c r="A5622" t="inlineStr">
        <is>
          <t>A 49841-2023</t>
        </is>
      </c>
      <c r="B5622" t="inlineStr">
        <is>
          <t>avverkningsanmälan</t>
        </is>
      </c>
      <c r="C5622" t="inlineStr">
        <is>
          <t>Föryngringsavverkning</t>
        </is>
      </c>
      <c r="D5622" s="1" t="n">
        <v>45212</v>
      </c>
      <c r="E5622" s="1" t="n">
        <v>46323</v>
      </c>
      <c r="F5622" t="inlineStr">
        <is>
          <t>KALMAR LÄN</t>
        </is>
      </c>
      <c r="G5622" t="inlineStr">
        <is>
          <t>OSKARSHAMN</t>
        </is>
      </c>
      <c r="I5622" t="n">
        <v>2.1</v>
      </c>
      <c r="J5622" t="n">
        <v>0</v>
      </c>
      <c r="K5622" t="n">
        <v>0</v>
      </c>
      <c r="L5622" t="n">
        <v>0</v>
      </c>
      <c r="M5622" t="n">
        <v>0</v>
      </c>
      <c r="N5622" t="n">
        <v>0</v>
      </c>
      <c r="O5622" t="n">
        <v>0</v>
      </c>
      <c r="P5622" t="n">
        <v>0</v>
      </c>
      <c r="Q5622" t="n">
        <v>0</v>
      </c>
      <c r="R5622" t="n">
        <v>0</v>
      </c>
      <c r="S5622" t="n">
        <v>0</v>
      </c>
      <c r="T5622" t="n">
        <v>0</v>
      </c>
      <c r="U5622" t="n">
        <v>0</v>
      </c>
      <c r="V5622" s="2" t="inlineStr"/>
    </row>
    <row r="5623" ht="15" customHeight="1">
      <c r="A5623" t="inlineStr">
        <is>
          <t>A 8440-2023</t>
        </is>
      </c>
      <c r="B5623" t="inlineStr">
        <is>
          <t>avverkningsanmälan</t>
        </is>
      </c>
      <c r="C5623" t="inlineStr">
        <is>
          <t>Föryngringsavverkning</t>
        </is>
      </c>
      <c r="D5623" s="1" t="n">
        <v>44977</v>
      </c>
      <c r="E5623" s="1" t="n">
        <v>46323</v>
      </c>
      <c r="F5623" t="inlineStr">
        <is>
          <t>KALMAR LÄN</t>
        </is>
      </c>
      <c r="G5623" t="inlineStr">
        <is>
          <t>VÄSTERVIK</t>
        </is>
      </c>
      <c r="I5623" t="n">
        <v>5.5</v>
      </c>
      <c r="J5623" t="n">
        <v>0</v>
      </c>
      <c r="K5623" t="n">
        <v>0</v>
      </c>
      <c r="L5623" t="n">
        <v>0</v>
      </c>
      <c r="M5623" t="n">
        <v>0</v>
      </c>
      <c r="N5623" t="n">
        <v>0</v>
      </c>
      <c r="O5623" t="n">
        <v>0</v>
      </c>
      <c r="P5623" t="n">
        <v>0</v>
      </c>
      <c r="Q5623" t="n">
        <v>0</v>
      </c>
      <c r="R5623" t="n">
        <v>0</v>
      </c>
      <c r="S5623" t="n">
        <v>0</v>
      </c>
      <c r="T5623" t="n">
        <v>0</v>
      </c>
      <c r="U5623" t="n">
        <v>0</v>
      </c>
      <c r="V5623" s="2" t="inlineStr"/>
    </row>
    <row r="5624" ht="15" customHeight="1">
      <c r="A5624" t="inlineStr">
        <is>
          <t>A 35955-2026</t>
        </is>
      </c>
      <c r="B5624" t="inlineStr">
        <is>
          <t>avverkningsanmälan</t>
        </is>
      </c>
      <c r="C5624" t="inlineStr">
        <is>
          <t>Föryngringsavverkning</t>
        </is>
      </c>
      <c r="D5624" s="1" t="n">
        <v>46266</v>
      </c>
      <c r="E5624" s="1" t="n">
        <v>46323</v>
      </c>
      <c r="F5624" t="inlineStr">
        <is>
          <t>KALMAR LÄN</t>
        </is>
      </c>
      <c r="G5624" t="inlineStr">
        <is>
          <t>OSKARSHAMN</t>
        </is>
      </c>
      <c r="I5624" t="n">
        <v>0.9</v>
      </c>
      <c r="J5624" t="n">
        <v>0</v>
      </c>
      <c r="K5624" t="n">
        <v>0</v>
      </c>
      <c r="L5624" t="n">
        <v>0</v>
      </c>
      <c r="M5624" t="n">
        <v>0</v>
      </c>
      <c r="N5624" t="n">
        <v>0</v>
      </c>
      <c r="O5624" t="n">
        <v>0</v>
      </c>
      <c r="P5624" t="n">
        <v>0</v>
      </c>
      <c r="Q5624" t="n">
        <v>0</v>
      </c>
      <c r="R5624" t="n">
        <v>0</v>
      </c>
      <c r="S5624" t="n">
        <v>0</v>
      </c>
      <c r="T5624" t="n">
        <v>0</v>
      </c>
      <c r="U5624" t="n">
        <v>0</v>
      </c>
      <c r="V5624" s="2" t="inlineStr"/>
    </row>
    <row r="5625" ht="15" customHeight="1">
      <c r="A5625" t="inlineStr">
        <is>
          <t>A 8513-2023</t>
        </is>
      </c>
      <c r="B5625" t="inlineStr">
        <is>
          <t>avverkningsanmälan</t>
        </is>
      </c>
      <c r="C5625" t="inlineStr">
        <is>
          <t>Föryngringsavverkning</t>
        </is>
      </c>
      <c r="D5625" s="1" t="n">
        <v>44977</v>
      </c>
      <c r="E5625" s="1" t="n">
        <v>46323</v>
      </c>
      <c r="F5625" t="inlineStr">
        <is>
          <t>KALMAR LÄN</t>
        </is>
      </c>
      <c r="G5625" t="inlineStr">
        <is>
          <t>VÄSTERVIK</t>
        </is>
      </c>
      <c r="I5625" t="n">
        <v>2</v>
      </c>
      <c r="J5625" t="n">
        <v>0</v>
      </c>
      <c r="K5625" t="n">
        <v>0</v>
      </c>
      <c r="L5625" t="n">
        <v>0</v>
      </c>
      <c r="M5625" t="n">
        <v>0</v>
      </c>
      <c r="N5625" t="n">
        <v>0</v>
      </c>
      <c r="O5625" t="n">
        <v>0</v>
      </c>
      <c r="P5625" t="n">
        <v>0</v>
      </c>
      <c r="Q5625" t="n">
        <v>0</v>
      </c>
      <c r="R5625" t="n">
        <v>0</v>
      </c>
      <c r="S5625" t="n">
        <v>0</v>
      </c>
      <c r="T5625" t="n">
        <v>0</v>
      </c>
      <c r="U5625" t="n">
        <v>0</v>
      </c>
      <c r="V5625" s="2" t="inlineStr"/>
    </row>
    <row r="5626" ht="15" customHeight="1">
      <c r="A5626" t="inlineStr">
        <is>
          <t>A 762-2023</t>
        </is>
      </c>
      <c r="B5626" t="inlineStr">
        <is>
          <t>avverkningsanmälan</t>
        </is>
      </c>
      <c r="C5626" t="inlineStr">
        <is>
          <t>Föryngringsavverkning</t>
        </is>
      </c>
      <c r="D5626" s="1" t="n">
        <v>44931</v>
      </c>
      <c r="E5626" s="1" t="n">
        <v>46323</v>
      </c>
      <c r="F5626" t="inlineStr">
        <is>
          <t>KALMAR LÄN</t>
        </is>
      </c>
      <c r="G5626" t="inlineStr">
        <is>
          <t>MÖNSTERÅS</t>
        </is>
      </c>
      <c r="I5626" t="n">
        <v>8.199999999999999</v>
      </c>
      <c r="J5626" t="n">
        <v>0</v>
      </c>
      <c r="K5626" t="n">
        <v>0</v>
      </c>
      <c r="L5626" t="n">
        <v>0</v>
      </c>
      <c r="M5626" t="n">
        <v>0</v>
      </c>
      <c r="N5626" t="n">
        <v>0</v>
      </c>
      <c r="O5626" t="n">
        <v>0</v>
      </c>
      <c r="P5626" t="n">
        <v>0</v>
      </c>
      <c r="Q5626" t="n">
        <v>0</v>
      </c>
      <c r="R5626" t="n">
        <v>0</v>
      </c>
      <c r="S5626" t="n">
        <v>0</v>
      </c>
      <c r="T5626" t="n">
        <v>0</v>
      </c>
      <c r="U5626" t="n">
        <v>0</v>
      </c>
      <c r="V5626" s="2" t="inlineStr"/>
    </row>
    <row r="5627" ht="15" customHeight="1">
      <c r="A5627" t="inlineStr">
        <is>
          <t>A 14415-2024</t>
        </is>
      </c>
      <c r="B5627" t="inlineStr">
        <is>
          <t>avverkningsanmälan</t>
        </is>
      </c>
      <c r="C5627" t="inlineStr">
        <is>
          <t>Föryngringsavverkning</t>
        </is>
      </c>
      <c r="D5627" s="1" t="n">
        <v>45394</v>
      </c>
      <c r="E5627" s="1" t="n">
        <v>46323</v>
      </c>
      <c r="F5627" t="inlineStr">
        <is>
          <t>KALMAR LÄN</t>
        </is>
      </c>
      <c r="G5627" t="inlineStr">
        <is>
          <t>EMMABODA</t>
        </is>
      </c>
      <c r="I5627" t="n">
        <v>3.2</v>
      </c>
      <c r="J5627" t="n">
        <v>0</v>
      </c>
      <c r="K5627" t="n">
        <v>0</v>
      </c>
      <c r="L5627" t="n">
        <v>0</v>
      </c>
      <c r="M5627" t="n">
        <v>0</v>
      </c>
      <c r="N5627" t="n">
        <v>0</v>
      </c>
      <c r="O5627" t="n">
        <v>0</v>
      </c>
      <c r="P5627" t="n">
        <v>0</v>
      </c>
      <c r="Q5627" t="n">
        <v>0</v>
      </c>
      <c r="R5627" t="n">
        <v>0</v>
      </c>
      <c r="S5627" t="n">
        <v>0</v>
      </c>
      <c r="T5627" t="n">
        <v>0</v>
      </c>
      <c r="U5627" t="n">
        <v>0</v>
      </c>
      <c r="V5627" s="2" t="inlineStr"/>
    </row>
    <row r="5628" ht="15" customHeight="1">
      <c r="A5628" t="inlineStr">
        <is>
          <t>A 11791-2024</t>
        </is>
      </c>
      <c r="B5628" t="inlineStr">
        <is>
          <t>avverkningsanmälan</t>
        </is>
      </c>
      <c r="C5628" t="inlineStr">
        <is>
          <t>Föryngringsavverkning</t>
        </is>
      </c>
      <c r="D5628" s="1" t="n">
        <v>45374</v>
      </c>
      <c r="E5628" s="1" t="n">
        <v>46323</v>
      </c>
      <c r="F5628" t="inlineStr">
        <is>
          <t>KALMAR LÄN</t>
        </is>
      </c>
      <c r="G5628" t="inlineStr">
        <is>
          <t>VÄSTERVIK</t>
        </is>
      </c>
      <c r="I5628" t="n">
        <v>3.4</v>
      </c>
      <c r="J5628" t="n">
        <v>0</v>
      </c>
      <c r="K5628" t="n">
        <v>0</v>
      </c>
      <c r="L5628" t="n">
        <v>0</v>
      </c>
      <c r="M5628" t="n">
        <v>0</v>
      </c>
      <c r="N5628" t="n">
        <v>0</v>
      </c>
      <c r="O5628" t="n">
        <v>0</v>
      </c>
      <c r="P5628" t="n">
        <v>0</v>
      </c>
      <c r="Q5628" t="n">
        <v>0</v>
      </c>
      <c r="R5628" t="n">
        <v>0</v>
      </c>
      <c r="S5628" t="n">
        <v>0</v>
      </c>
      <c r="T5628" t="n">
        <v>0</v>
      </c>
      <c r="U5628" t="n">
        <v>0</v>
      </c>
      <c r="V5628" s="2" t="inlineStr"/>
    </row>
    <row r="5629" ht="15" customHeight="1">
      <c r="A5629" t="inlineStr">
        <is>
          <t>A 40241-2022</t>
        </is>
      </c>
      <c r="B5629" t="inlineStr">
        <is>
          <t>avverkningsanmälan</t>
        </is>
      </c>
      <c r="C5629" t="inlineStr">
        <is>
          <t>Föryngringsavverkning</t>
        </is>
      </c>
      <c r="D5629" s="1" t="n">
        <v>44820</v>
      </c>
      <c r="E5629" s="1" t="n">
        <v>46323</v>
      </c>
      <c r="F5629" t="inlineStr">
        <is>
          <t>KALMAR LÄN</t>
        </is>
      </c>
      <c r="G5629" t="inlineStr">
        <is>
          <t>MÖNSTERÅS</t>
        </is>
      </c>
      <c r="I5629" t="n">
        <v>1</v>
      </c>
      <c r="J5629" t="n">
        <v>0</v>
      </c>
      <c r="K5629" t="n">
        <v>0</v>
      </c>
      <c r="L5629" t="n">
        <v>0</v>
      </c>
      <c r="M5629" t="n">
        <v>0</v>
      </c>
      <c r="N5629" t="n">
        <v>0</v>
      </c>
      <c r="O5629" t="n">
        <v>0</v>
      </c>
      <c r="P5629" t="n">
        <v>0</v>
      </c>
      <c r="Q5629" t="n">
        <v>0</v>
      </c>
      <c r="R5629" t="n">
        <v>0</v>
      </c>
      <c r="S5629" t="n">
        <v>0</v>
      </c>
      <c r="T5629" t="n">
        <v>0</v>
      </c>
      <c r="U5629" t="n">
        <v>0</v>
      </c>
      <c r="V5629" s="2" t="inlineStr"/>
    </row>
    <row r="5630" ht="15" customHeight="1">
      <c r="A5630" t="inlineStr">
        <is>
          <t>A 56317-2024</t>
        </is>
      </c>
      <c r="B5630" t="inlineStr">
        <is>
          <t>avverkningsanmälan</t>
        </is>
      </c>
      <c r="C5630" t="inlineStr">
        <is>
          <t>Föryngringsavverkning</t>
        </is>
      </c>
      <c r="D5630" s="1" t="n">
        <v>45624</v>
      </c>
      <c r="E5630" s="1" t="n">
        <v>46323</v>
      </c>
      <c r="F5630" t="inlineStr">
        <is>
          <t>KALMAR LÄN</t>
        </is>
      </c>
      <c r="G5630" t="inlineStr">
        <is>
          <t>TORSÅS</t>
        </is>
      </c>
      <c r="I5630" t="n">
        <v>0.6</v>
      </c>
      <c r="J5630" t="n">
        <v>0</v>
      </c>
      <c r="K5630" t="n">
        <v>0</v>
      </c>
      <c r="L5630" t="n">
        <v>0</v>
      </c>
      <c r="M5630" t="n">
        <v>0</v>
      </c>
      <c r="N5630" t="n">
        <v>0</v>
      </c>
      <c r="O5630" t="n">
        <v>0</v>
      </c>
      <c r="P5630" t="n">
        <v>0</v>
      </c>
      <c r="Q5630" t="n">
        <v>0</v>
      </c>
      <c r="R5630" t="n">
        <v>0</v>
      </c>
      <c r="S5630" t="n">
        <v>0</v>
      </c>
      <c r="T5630" t="n">
        <v>0</v>
      </c>
      <c r="U5630" t="n">
        <v>0</v>
      </c>
      <c r="V5630" s="2" t="inlineStr"/>
    </row>
    <row r="5631" ht="15" customHeight="1">
      <c r="A5631" t="inlineStr">
        <is>
          <t>A 42636-2026</t>
        </is>
      </c>
      <c r="B5631" t="inlineStr">
        <is>
          <t>avverkningsanmälan</t>
        </is>
      </c>
      <c r="C5631" t="inlineStr">
        <is>
          <t>Föryngringsavverkning</t>
        </is>
      </c>
      <c r="D5631" s="1" t="n">
        <v>46309</v>
      </c>
      <c r="E5631" s="1" t="n">
        <v>46323</v>
      </c>
      <c r="F5631" t="inlineStr">
        <is>
          <t>KALMAR LÄN</t>
        </is>
      </c>
      <c r="G5631" t="inlineStr">
        <is>
          <t>OSKARSHAMN</t>
        </is>
      </c>
      <c r="I5631" t="n">
        <v>1.7</v>
      </c>
      <c r="J5631" t="n">
        <v>0</v>
      </c>
      <c r="K5631" t="n">
        <v>0</v>
      </c>
      <c r="L5631" t="n">
        <v>0</v>
      </c>
      <c r="M5631" t="n">
        <v>0</v>
      </c>
      <c r="N5631" t="n">
        <v>0</v>
      </c>
      <c r="O5631" t="n">
        <v>0</v>
      </c>
      <c r="P5631" t="n">
        <v>0</v>
      </c>
      <c r="Q5631" t="n">
        <v>0</v>
      </c>
      <c r="R5631" t="n">
        <v>0</v>
      </c>
      <c r="S5631" t="n">
        <v>0</v>
      </c>
      <c r="T5631" t="n">
        <v>0</v>
      </c>
      <c r="U5631" t="n">
        <v>0</v>
      </c>
      <c r="V5631" s="2" t="inlineStr"/>
    </row>
    <row r="5632" ht="15" customHeight="1">
      <c r="A5632" t="inlineStr">
        <is>
          <t>A 17701-2024</t>
        </is>
      </c>
      <c r="B5632" t="inlineStr">
        <is>
          <t>avverkningsanmälan</t>
        </is>
      </c>
      <c r="C5632" t="inlineStr">
        <is>
          <t>Föryngringsavverkning</t>
        </is>
      </c>
      <c r="D5632" s="1" t="n">
        <v>45418</v>
      </c>
      <c r="E5632" s="1" t="n">
        <v>46323</v>
      </c>
      <c r="F5632" t="inlineStr">
        <is>
          <t>KALMAR LÄN</t>
        </is>
      </c>
      <c r="G5632" t="inlineStr">
        <is>
          <t>KALMAR</t>
        </is>
      </c>
      <c r="I5632" t="n">
        <v>3.1</v>
      </c>
      <c r="J5632" t="n">
        <v>0</v>
      </c>
      <c r="K5632" t="n">
        <v>0</v>
      </c>
      <c r="L5632" t="n">
        <v>0</v>
      </c>
      <c r="M5632" t="n">
        <v>0</v>
      </c>
      <c r="N5632" t="n">
        <v>0</v>
      </c>
      <c r="O5632" t="n">
        <v>0</v>
      </c>
      <c r="P5632" t="n">
        <v>0</v>
      </c>
      <c r="Q5632" t="n">
        <v>0</v>
      </c>
      <c r="R5632" t="n">
        <v>0</v>
      </c>
      <c r="S5632" t="n">
        <v>0</v>
      </c>
      <c r="T5632" t="n">
        <v>0</v>
      </c>
      <c r="U5632" t="n">
        <v>0</v>
      </c>
      <c r="V5632" s="2" t="inlineStr"/>
    </row>
    <row r="5633" ht="15" customHeight="1">
      <c r="A5633" t="inlineStr">
        <is>
          <t>A 48312-2024</t>
        </is>
      </c>
      <c r="B5633" t="inlineStr">
        <is>
          <t>avverkningsanmälan</t>
        </is>
      </c>
      <c r="C5633" t="inlineStr">
        <is>
          <t>Föryngringsavverkning</t>
        </is>
      </c>
      <c r="D5633" s="1" t="n">
        <v>45590</v>
      </c>
      <c r="E5633" s="1" t="n">
        <v>46323</v>
      </c>
      <c r="F5633" t="inlineStr">
        <is>
          <t>KALMAR LÄN</t>
        </is>
      </c>
      <c r="G5633" t="inlineStr">
        <is>
          <t>NYBRO</t>
        </is>
      </c>
      <c r="I5633" t="n">
        <v>1.7</v>
      </c>
      <c r="J5633" t="n">
        <v>0</v>
      </c>
      <c r="K5633" t="n">
        <v>0</v>
      </c>
      <c r="L5633" t="n">
        <v>0</v>
      </c>
      <c r="M5633" t="n">
        <v>0</v>
      </c>
      <c r="N5633" t="n">
        <v>0</v>
      </c>
      <c r="O5633" t="n">
        <v>0</v>
      </c>
      <c r="P5633" t="n">
        <v>0</v>
      </c>
      <c r="Q5633" t="n">
        <v>0</v>
      </c>
      <c r="R5633" t="n">
        <v>0</v>
      </c>
      <c r="S5633" t="n">
        <v>0</v>
      </c>
      <c r="T5633" t="n">
        <v>0</v>
      </c>
      <c r="U5633" t="n">
        <v>0</v>
      </c>
      <c r="V5633" s="2" t="inlineStr"/>
    </row>
    <row r="5634" ht="15" customHeight="1">
      <c r="A5634" t="inlineStr">
        <is>
          <t>A 23577-2023</t>
        </is>
      </c>
      <c r="B5634" t="inlineStr">
        <is>
          <t>avverkningsanmälan</t>
        </is>
      </c>
      <c r="C5634" t="inlineStr">
        <is>
          <t>Föryngringsavverkning</t>
        </is>
      </c>
      <c r="D5634" s="1" t="n">
        <v>45077</v>
      </c>
      <c r="E5634" s="1" t="n">
        <v>46323</v>
      </c>
      <c r="F5634" t="inlineStr">
        <is>
          <t>KALMAR LÄN</t>
        </is>
      </c>
      <c r="G5634" t="inlineStr">
        <is>
          <t>NYBRO</t>
        </is>
      </c>
      <c r="I5634" t="n">
        <v>10.3</v>
      </c>
      <c r="J5634" t="n">
        <v>0</v>
      </c>
      <c r="K5634" t="n">
        <v>0</v>
      </c>
      <c r="L5634" t="n">
        <v>0</v>
      </c>
      <c r="M5634" t="n">
        <v>0</v>
      </c>
      <c r="N5634" t="n">
        <v>0</v>
      </c>
      <c r="O5634" t="n">
        <v>0</v>
      </c>
      <c r="P5634" t="n">
        <v>0</v>
      </c>
      <c r="Q5634" t="n">
        <v>0</v>
      </c>
      <c r="R5634" t="n">
        <v>0</v>
      </c>
      <c r="S5634" t="n">
        <v>0</v>
      </c>
      <c r="T5634" t="n">
        <v>0</v>
      </c>
      <c r="U5634" t="n">
        <v>0</v>
      </c>
      <c r="V5634" s="2" t="inlineStr"/>
    </row>
    <row r="5635" ht="15" customHeight="1">
      <c r="A5635" t="inlineStr">
        <is>
          <t>A 10992-2024</t>
        </is>
      </c>
      <c r="B5635" t="inlineStr">
        <is>
          <t>avverkningsanmälan</t>
        </is>
      </c>
      <c r="C5635" t="inlineStr">
        <is>
          <t>Föryngringsavverkning</t>
        </is>
      </c>
      <c r="D5635" s="1" t="n">
        <v>45370</v>
      </c>
      <c r="E5635" s="1" t="n">
        <v>46323</v>
      </c>
      <c r="F5635" t="inlineStr">
        <is>
          <t>KALMAR LÄN</t>
        </is>
      </c>
      <c r="G5635" t="inlineStr">
        <is>
          <t>HULTSFRED</t>
        </is>
      </c>
      <c r="I5635" t="n">
        <v>1</v>
      </c>
      <c r="J5635" t="n">
        <v>0</v>
      </c>
      <c r="K5635" t="n">
        <v>0</v>
      </c>
      <c r="L5635" t="n">
        <v>0</v>
      </c>
      <c r="M5635" t="n">
        <v>0</v>
      </c>
      <c r="N5635" t="n">
        <v>0</v>
      </c>
      <c r="O5635" t="n">
        <v>0</v>
      </c>
      <c r="P5635" t="n">
        <v>0</v>
      </c>
      <c r="Q5635" t="n">
        <v>0</v>
      </c>
      <c r="R5635" t="n">
        <v>0</v>
      </c>
      <c r="S5635" t="n">
        <v>0</v>
      </c>
      <c r="T5635" t="n">
        <v>0</v>
      </c>
      <c r="U5635" t="n">
        <v>0</v>
      </c>
      <c r="V5635" s="2" t="inlineStr"/>
    </row>
    <row r="5636" ht="15" customHeight="1">
      <c r="A5636" t="inlineStr">
        <is>
          <t>A 42474-2026</t>
        </is>
      </c>
      <c r="B5636" t="inlineStr">
        <is>
          <t>avverkningsanmälan</t>
        </is>
      </c>
      <c r="C5636" t="inlineStr">
        <is>
          <t>Föryngringsavverkning</t>
        </is>
      </c>
      <c r="D5636" s="1" t="n">
        <v>46308</v>
      </c>
      <c r="E5636" s="1" t="n">
        <v>46323</v>
      </c>
      <c r="F5636" t="inlineStr">
        <is>
          <t>KALMAR LÄN</t>
        </is>
      </c>
      <c r="G5636" t="inlineStr">
        <is>
          <t>VÄSTERVIK</t>
        </is>
      </c>
      <c r="I5636" t="n">
        <v>2.1</v>
      </c>
      <c r="J5636" t="n">
        <v>0</v>
      </c>
      <c r="K5636" t="n">
        <v>0</v>
      </c>
      <c r="L5636" t="n">
        <v>0</v>
      </c>
      <c r="M5636" t="n">
        <v>0</v>
      </c>
      <c r="N5636" t="n">
        <v>0</v>
      </c>
      <c r="O5636" t="n">
        <v>0</v>
      </c>
      <c r="P5636" t="n">
        <v>0</v>
      </c>
      <c r="Q5636" t="n">
        <v>0</v>
      </c>
      <c r="R5636" t="n">
        <v>0</v>
      </c>
      <c r="S5636" t="n">
        <v>0</v>
      </c>
      <c r="T5636" t="n">
        <v>0</v>
      </c>
      <c r="U5636" t="n">
        <v>0</v>
      </c>
      <c r="V5636" s="2" t="inlineStr"/>
    </row>
    <row r="5637" ht="15" customHeight="1">
      <c r="A5637" t="inlineStr">
        <is>
          <t>A 20498-2023</t>
        </is>
      </c>
      <c r="B5637" t="inlineStr">
        <is>
          <t>avverkningsanmälan</t>
        </is>
      </c>
      <c r="C5637" t="inlineStr">
        <is>
          <t>Föryngringsavverkning</t>
        </is>
      </c>
      <c r="D5637" s="1" t="n">
        <v>45057</v>
      </c>
      <c r="E5637" s="1" t="n">
        <v>46323</v>
      </c>
      <c r="F5637" t="inlineStr">
        <is>
          <t>KALMAR LÄN</t>
        </is>
      </c>
      <c r="G5637" t="inlineStr">
        <is>
          <t>MÖNSTERÅS</t>
        </is>
      </c>
      <c r="I5637" t="n">
        <v>6.5</v>
      </c>
      <c r="J5637" t="n">
        <v>0</v>
      </c>
      <c r="K5637" t="n">
        <v>0</v>
      </c>
      <c r="L5637" t="n">
        <v>0</v>
      </c>
      <c r="M5637" t="n">
        <v>0</v>
      </c>
      <c r="N5637" t="n">
        <v>0</v>
      </c>
      <c r="O5637" t="n">
        <v>0</v>
      </c>
      <c r="P5637" t="n">
        <v>0</v>
      </c>
      <c r="Q5637" t="n">
        <v>0</v>
      </c>
      <c r="R5637" t="n">
        <v>0</v>
      </c>
      <c r="S5637" t="n">
        <v>0</v>
      </c>
      <c r="T5637" t="n">
        <v>0</v>
      </c>
      <c r="U5637" t="n">
        <v>0</v>
      </c>
      <c r="V5637" s="2" t="inlineStr"/>
    </row>
    <row r="5638" ht="15" customHeight="1">
      <c r="A5638" t="inlineStr">
        <is>
          <t>A 47638-2025</t>
        </is>
      </c>
      <c r="B5638" t="inlineStr">
        <is>
          <t>avverkningsanmälan</t>
        </is>
      </c>
      <c r="C5638" t="inlineStr">
        <is>
          <t>Föryngringsavverkning</t>
        </is>
      </c>
      <c r="D5638" s="1" t="n">
        <v>45931</v>
      </c>
      <c r="E5638" s="1" t="n">
        <v>46323</v>
      </c>
      <c r="F5638" t="inlineStr">
        <is>
          <t>KALMAR LÄN</t>
        </is>
      </c>
      <c r="G5638" t="inlineStr">
        <is>
          <t>OSKARSHAMN</t>
        </is>
      </c>
      <c r="I5638" t="n">
        <v>2.3</v>
      </c>
      <c r="J5638" t="n">
        <v>0</v>
      </c>
      <c r="K5638" t="n">
        <v>0</v>
      </c>
      <c r="L5638" t="n">
        <v>0</v>
      </c>
      <c r="M5638" t="n">
        <v>0</v>
      </c>
      <c r="N5638" t="n">
        <v>0</v>
      </c>
      <c r="O5638" t="n">
        <v>0</v>
      </c>
      <c r="P5638" t="n">
        <v>0</v>
      </c>
      <c r="Q5638" t="n">
        <v>0</v>
      </c>
      <c r="R5638" t="n">
        <v>0</v>
      </c>
      <c r="S5638" t="n">
        <v>0</v>
      </c>
      <c r="T5638" t="n">
        <v>0</v>
      </c>
      <c r="U5638" t="n">
        <v>0</v>
      </c>
      <c r="V5638" s="2" t="inlineStr"/>
    </row>
    <row r="5639" ht="15" customHeight="1">
      <c r="A5639" t="inlineStr">
        <is>
          <t>A 72067-2021</t>
        </is>
      </c>
      <c r="B5639" t="inlineStr">
        <is>
          <t>avverkningsanmälan</t>
        </is>
      </c>
      <c r="C5639" t="inlineStr">
        <is>
          <t>Föryngringsavverkning</t>
        </is>
      </c>
      <c r="D5639" s="1" t="n">
        <v>44540</v>
      </c>
      <c r="E5639" s="1" t="n">
        <v>46323</v>
      </c>
      <c r="F5639" t="inlineStr">
        <is>
          <t>KALMAR LÄN</t>
        </is>
      </c>
      <c r="G5639" t="inlineStr">
        <is>
          <t>VIMMERBY</t>
        </is>
      </c>
      <c r="I5639" t="n">
        <v>1.6</v>
      </c>
      <c r="J5639" t="n">
        <v>0</v>
      </c>
      <c r="K5639" t="n">
        <v>0</v>
      </c>
      <c r="L5639" t="n">
        <v>0</v>
      </c>
      <c r="M5639" t="n">
        <v>0</v>
      </c>
      <c r="N5639" t="n">
        <v>0</v>
      </c>
      <c r="O5639" t="n">
        <v>0</v>
      </c>
      <c r="P5639" t="n">
        <v>0</v>
      </c>
      <c r="Q5639" t="n">
        <v>0</v>
      </c>
      <c r="R5639" t="n">
        <v>0</v>
      </c>
      <c r="S5639" t="n">
        <v>0</v>
      </c>
      <c r="T5639" t="n">
        <v>0</v>
      </c>
      <c r="U5639" t="n">
        <v>0</v>
      </c>
      <c r="V5639" s="2" t="inlineStr"/>
    </row>
    <row r="5640" ht="15" customHeight="1">
      <c r="A5640" t="inlineStr">
        <is>
          <t>A 42847-2026</t>
        </is>
      </c>
      <c r="B5640" t="inlineStr">
        <is>
          <t>avverkningsanmälan</t>
        </is>
      </c>
      <c r="C5640" t="inlineStr">
        <is>
          <t>Föryngringsavverkning</t>
        </is>
      </c>
      <c r="D5640" s="1" t="n">
        <v>46310</v>
      </c>
      <c r="E5640" s="1" t="n">
        <v>46323</v>
      </c>
      <c r="F5640" t="inlineStr">
        <is>
          <t>KALMAR LÄN</t>
        </is>
      </c>
      <c r="G5640" t="inlineStr">
        <is>
          <t>HULTSFRED</t>
        </is>
      </c>
      <c r="I5640" t="n">
        <v>0.6</v>
      </c>
      <c r="J5640" t="n">
        <v>0</v>
      </c>
      <c r="K5640" t="n">
        <v>0</v>
      </c>
      <c r="L5640" t="n">
        <v>0</v>
      </c>
      <c r="M5640" t="n">
        <v>0</v>
      </c>
      <c r="N5640" t="n">
        <v>0</v>
      </c>
      <c r="O5640" t="n">
        <v>0</v>
      </c>
      <c r="P5640" t="n">
        <v>0</v>
      </c>
      <c r="Q5640" t="n">
        <v>0</v>
      </c>
      <c r="R5640" t="n">
        <v>0</v>
      </c>
      <c r="S5640" t="n">
        <v>0</v>
      </c>
      <c r="T5640" t="n">
        <v>0</v>
      </c>
      <c r="U5640" t="n">
        <v>0</v>
      </c>
      <c r="V5640" s="2" t="inlineStr"/>
    </row>
    <row r="5641" ht="15" customHeight="1">
      <c r="A5641" t="inlineStr">
        <is>
          <t>A 36404-2026</t>
        </is>
      </c>
      <c r="B5641" t="inlineStr">
        <is>
          <t>avverkningsanmälan</t>
        </is>
      </c>
      <c r="C5641" t="inlineStr">
        <is>
          <t>Föryngringsavverkning</t>
        </is>
      </c>
      <c r="D5641" s="1" t="n">
        <v>46268</v>
      </c>
      <c r="E5641" s="1" t="n">
        <v>46323</v>
      </c>
      <c r="F5641" t="inlineStr">
        <is>
          <t>KALMAR LÄN</t>
        </is>
      </c>
      <c r="G5641" t="inlineStr">
        <is>
          <t>HÖGSBY</t>
        </is>
      </c>
      <c r="I5641" t="n">
        <v>3.8</v>
      </c>
      <c r="J5641" t="n">
        <v>0</v>
      </c>
      <c r="K5641" t="n">
        <v>0</v>
      </c>
      <c r="L5641" t="n">
        <v>0</v>
      </c>
      <c r="M5641" t="n">
        <v>0</v>
      </c>
      <c r="N5641" t="n">
        <v>0</v>
      </c>
      <c r="O5641" t="n">
        <v>0</v>
      </c>
      <c r="P5641" t="n">
        <v>0</v>
      </c>
      <c r="Q5641" t="n">
        <v>0</v>
      </c>
      <c r="R5641" t="n">
        <v>0</v>
      </c>
      <c r="S5641" t="n">
        <v>0</v>
      </c>
      <c r="T5641" t="n">
        <v>0</v>
      </c>
      <c r="U5641" t="n">
        <v>0</v>
      </c>
      <c r="V5641" s="2" t="inlineStr"/>
    </row>
    <row r="5642" ht="15" customHeight="1">
      <c r="A5642" t="inlineStr">
        <is>
          <t>A 23148-2025</t>
        </is>
      </c>
      <c r="B5642" t="inlineStr">
        <is>
          <t>avverkningsanmälan</t>
        </is>
      </c>
      <c r="C5642" t="inlineStr">
        <is>
          <t>Föryngringsavverkning</t>
        </is>
      </c>
      <c r="D5642" s="1" t="n">
        <v>45791</v>
      </c>
      <c r="E5642" s="1" t="n">
        <v>46323</v>
      </c>
      <c r="F5642" t="inlineStr">
        <is>
          <t>KALMAR LÄN</t>
        </is>
      </c>
      <c r="G5642" t="inlineStr">
        <is>
          <t>VÄSTERVIK</t>
        </is>
      </c>
      <c r="I5642" t="n">
        <v>1.5</v>
      </c>
      <c r="J5642" t="n">
        <v>0</v>
      </c>
      <c r="K5642" t="n">
        <v>0</v>
      </c>
      <c r="L5642" t="n">
        <v>0</v>
      </c>
      <c r="M5642" t="n">
        <v>0</v>
      </c>
      <c r="N5642" t="n">
        <v>0</v>
      </c>
      <c r="O5642" t="n">
        <v>0</v>
      </c>
      <c r="P5642" t="n">
        <v>0</v>
      </c>
      <c r="Q5642" t="n">
        <v>0</v>
      </c>
      <c r="R5642" t="n">
        <v>0</v>
      </c>
      <c r="S5642" t="n">
        <v>0</v>
      </c>
      <c r="T5642" t="n">
        <v>0</v>
      </c>
      <c r="U5642" t="n">
        <v>0</v>
      </c>
      <c r="V5642" s="2" t="inlineStr"/>
    </row>
    <row r="5643" ht="15" customHeight="1">
      <c r="A5643" t="inlineStr">
        <is>
          <t>A 19117-2024</t>
        </is>
      </c>
      <c r="B5643" t="inlineStr">
        <is>
          <t>avverkningsanmälan</t>
        </is>
      </c>
      <c r="C5643" t="inlineStr">
        <is>
          <t>Föryngringsavverkning</t>
        </is>
      </c>
      <c r="D5643" s="1" t="n">
        <v>45427</v>
      </c>
      <c r="E5643" s="1" t="n">
        <v>46323</v>
      </c>
      <c r="F5643" t="inlineStr">
        <is>
          <t>KALMAR LÄN</t>
        </is>
      </c>
      <c r="G5643" t="inlineStr">
        <is>
          <t>HULTSFRED</t>
        </is>
      </c>
      <c r="I5643" t="n">
        <v>3</v>
      </c>
      <c r="J5643" t="n">
        <v>0</v>
      </c>
      <c r="K5643" t="n">
        <v>0</v>
      </c>
      <c r="L5643" t="n">
        <v>0</v>
      </c>
      <c r="M5643" t="n">
        <v>0</v>
      </c>
      <c r="N5643" t="n">
        <v>0</v>
      </c>
      <c r="O5643" t="n">
        <v>0</v>
      </c>
      <c r="P5643" t="n">
        <v>0</v>
      </c>
      <c r="Q5643" t="n">
        <v>0</v>
      </c>
      <c r="R5643" t="n">
        <v>0</v>
      </c>
      <c r="S5643" t="n">
        <v>0</v>
      </c>
      <c r="T5643" t="n">
        <v>0</v>
      </c>
      <c r="U5643" t="n">
        <v>0</v>
      </c>
      <c r="V5643" s="2" t="inlineStr"/>
    </row>
    <row r="5644" ht="15" customHeight="1">
      <c r="A5644" t="inlineStr">
        <is>
          <t>A 42965-2026</t>
        </is>
      </c>
      <c r="B5644" t="inlineStr">
        <is>
          <t>avverkningsanmälan</t>
        </is>
      </c>
      <c r="C5644" t="inlineStr">
        <is>
          <t>Föryngringsavverkning</t>
        </is>
      </c>
      <c r="D5644" s="1" t="n">
        <v>46310</v>
      </c>
      <c r="E5644" s="1" t="n">
        <v>46323</v>
      </c>
      <c r="F5644" t="inlineStr">
        <is>
          <t>KALMAR LÄN</t>
        </is>
      </c>
      <c r="G5644" t="inlineStr">
        <is>
          <t>VÄSTERVIK</t>
        </is>
      </c>
      <c r="I5644" t="n">
        <v>1</v>
      </c>
      <c r="J5644" t="n">
        <v>0</v>
      </c>
      <c r="K5644" t="n">
        <v>0</v>
      </c>
      <c r="L5644" t="n">
        <v>0</v>
      </c>
      <c r="M5644" t="n">
        <v>0</v>
      </c>
      <c r="N5644" t="n">
        <v>0</v>
      </c>
      <c r="O5644" t="n">
        <v>0</v>
      </c>
      <c r="P5644" t="n">
        <v>0</v>
      </c>
      <c r="Q5644" t="n">
        <v>0</v>
      </c>
      <c r="R5644" t="n">
        <v>0</v>
      </c>
      <c r="S5644" t="n">
        <v>0</v>
      </c>
      <c r="T5644" t="n">
        <v>0</v>
      </c>
      <c r="U5644" t="n">
        <v>0</v>
      </c>
      <c r="V5644" s="2" t="inlineStr"/>
    </row>
    <row r="5645" ht="15" customHeight="1">
      <c r="A5645" t="inlineStr">
        <is>
          <t>A 3837-2023</t>
        </is>
      </c>
      <c r="B5645" t="inlineStr">
        <is>
          <t>avverkningsanmälan</t>
        </is>
      </c>
      <c r="C5645" t="inlineStr">
        <is>
          <t>Föryngringsavverkning</t>
        </is>
      </c>
      <c r="D5645" s="1" t="n">
        <v>44951</v>
      </c>
      <c r="E5645" s="1" t="n">
        <v>46323</v>
      </c>
      <c r="F5645" t="inlineStr">
        <is>
          <t>KALMAR LÄN</t>
        </is>
      </c>
      <c r="G5645" t="inlineStr">
        <is>
          <t>OSKARSHAMN</t>
        </is>
      </c>
      <c r="I5645" t="n">
        <v>1.3</v>
      </c>
      <c r="J5645" t="n">
        <v>0</v>
      </c>
      <c r="K5645" t="n">
        <v>0</v>
      </c>
      <c r="L5645" t="n">
        <v>0</v>
      </c>
      <c r="M5645" t="n">
        <v>0</v>
      </c>
      <c r="N5645" t="n">
        <v>0</v>
      </c>
      <c r="O5645" t="n">
        <v>0</v>
      </c>
      <c r="P5645" t="n">
        <v>0</v>
      </c>
      <c r="Q5645" t="n">
        <v>0</v>
      </c>
      <c r="R5645" t="n">
        <v>0</v>
      </c>
      <c r="S5645" t="n">
        <v>0</v>
      </c>
      <c r="T5645" t="n">
        <v>0</v>
      </c>
      <c r="U5645" t="n">
        <v>0</v>
      </c>
      <c r="V5645" s="2" t="inlineStr"/>
    </row>
    <row r="5646" ht="15" customHeight="1">
      <c r="A5646" t="inlineStr">
        <is>
          <t>A 42816-2026</t>
        </is>
      </c>
      <c r="B5646" t="inlineStr">
        <is>
          <t>avverkningsanmälan</t>
        </is>
      </c>
      <c r="C5646" t="inlineStr">
        <is>
          <t>Föryngringsavverkning</t>
        </is>
      </c>
      <c r="D5646" s="1" t="n">
        <v>46309</v>
      </c>
      <c r="E5646" s="1" t="n">
        <v>46323</v>
      </c>
      <c r="F5646" t="inlineStr">
        <is>
          <t>KALMAR LÄN</t>
        </is>
      </c>
      <c r="G5646" t="inlineStr">
        <is>
          <t>TORSÅS</t>
        </is>
      </c>
      <c r="I5646" t="n">
        <v>0.6</v>
      </c>
      <c r="J5646" t="n">
        <v>0</v>
      </c>
      <c r="K5646" t="n">
        <v>0</v>
      </c>
      <c r="L5646" t="n">
        <v>0</v>
      </c>
      <c r="M5646" t="n">
        <v>0</v>
      </c>
      <c r="N5646" t="n">
        <v>0</v>
      </c>
      <c r="O5646" t="n">
        <v>0</v>
      </c>
      <c r="P5646" t="n">
        <v>0</v>
      </c>
      <c r="Q5646" t="n">
        <v>0</v>
      </c>
      <c r="R5646" t="n">
        <v>0</v>
      </c>
      <c r="S5646" t="n">
        <v>0</v>
      </c>
      <c r="T5646" t="n">
        <v>0</v>
      </c>
      <c r="U5646" t="n">
        <v>0</v>
      </c>
      <c r="V5646" s="2" t="inlineStr"/>
    </row>
    <row r="5647" ht="15" customHeight="1">
      <c r="A5647" t="inlineStr">
        <is>
          <t>A 42823-2026</t>
        </is>
      </c>
      <c r="B5647" t="inlineStr">
        <is>
          <t>avverkningsanmälan</t>
        </is>
      </c>
      <c r="C5647" t="inlineStr">
        <is>
          <t>Föryngringsavverkning</t>
        </is>
      </c>
      <c r="D5647" s="1" t="n">
        <v>46309</v>
      </c>
      <c r="E5647" s="1" t="n">
        <v>46323</v>
      </c>
      <c r="F5647" t="inlineStr">
        <is>
          <t>KALMAR LÄN</t>
        </is>
      </c>
      <c r="G5647" t="inlineStr">
        <is>
          <t>HÖGSBY</t>
        </is>
      </c>
      <c r="I5647" t="n">
        <v>1.6</v>
      </c>
      <c r="J5647" t="n">
        <v>0</v>
      </c>
      <c r="K5647" t="n">
        <v>0</v>
      </c>
      <c r="L5647" t="n">
        <v>0</v>
      </c>
      <c r="M5647" t="n">
        <v>0</v>
      </c>
      <c r="N5647" t="n">
        <v>0</v>
      </c>
      <c r="O5647" t="n">
        <v>0</v>
      </c>
      <c r="P5647" t="n">
        <v>0</v>
      </c>
      <c r="Q5647" t="n">
        <v>0</v>
      </c>
      <c r="R5647" t="n">
        <v>0</v>
      </c>
      <c r="S5647" t="n">
        <v>0</v>
      </c>
      <c r="T5647" t="n">
        <v>0</v>
      </c>
      <c r="U5647" t="n">
        <v>0</v>
      </c>
      <c r="V5647" s="2" t="inlineStr"/>
    </row>
    <row r="5648" ht="15" customHeight="1">
      <c r="A5648" t="inlineStr">
        <is>
          <t>A 28362-2025</t>
        </is>
      </c>
      <c r="B5648" t="inlineStr">
        <is>
          <t>avverkningsanmälan</t>
        </is>
      </c>
      <c r="C5648" t="inlineStr">
        <is>
          <t>Föryngringsavverkning</t>
        </is>
      </c>
      <c r="D5648" s="1" t="n">
        <v>45818</v>
      </c>
      <c r="E5648" s="1" t="n">
        <v>46323</v>
      </c>
      <c r="F5648" t="inlineStr">
        <is>
          <t>KALMAR LÄN</t>
        </is>
      </c>
      <c r="G5648" t="inlineStr">
        <is>
          <t>NYBRO</t>
        </is>
      </c>
      <c r="I5648" t="n">
        <v>1.8</v>
      </c>
      <c r="J5648" t="n">
        <v>0</v>
      </c>
      <c r="K5648" t="n">
        <v>0</v>
      </c>
      <c r="L5648" t="n">
        <v>0</v>
      </c>
      <c r="M5648" t="n">
        <v>0</v>
      </c>
      <c r="N5648" t="n">
        <v>0</v>
      </c>
      <c r="O5648" t="n">
        <v>0</v>
      </c>
      <c r="P5648" t="n">
        <v>0</v>
      </c>
      <c r="Q5648" t="n">
        <v>0</v>
      </c>
      <c r="R5648" t="n">
        <v>0</v>
      </c>
      <c r="S5648" t="n">
        <v>0</v>
      </c>
      <c r="T5648" t="n">
        <v>0</v>
      </c>
      <c r="U5648" t="n">
        <v>0</v>
      </c>
      <c r="V5648" s="2" t="inlineStr"/>
    </row>
    <row r="5649" ht="15" customHeight="1">
      <c r="A5649" t="inlineStr">
        <is>
          <t>A 55569-2024</t>
        </is>
      </c>
      <c r="B5649" t="inlineStr">
        <is>
          <t>avverkningsanmälan</t>
        </is>
      </c>
      <c r="C5649" t="inlineStr">
        <is>
          <t>Avverkning för annat ändamål</t>
        </is>
      </c>
      <c r="D5649" s="1" t="n">
        <v>45621</v>
      </c>
      <c r="E5649" s="1" t="n">
        <v>46323</v>
      </c>
      <c r="F5649" t="inlineStr">
        <is>
          <t>KALMAR LÄN</t>
        </is>
      </c>
      <c r="G5649" t="inlineStr">
        <is>
          <t>OSKARSHAMN</t>
        </is>
      </c>
      <c r="I5649" t="n">
        <v>0.7</v>
      </c>
      <c r="J5649" t="n">
        <v>0</v>
      </c>
      <c r="K5649" t="n">
        <v>0</v>
      </c>
      <c r="L5649" t="n">
        <v>0</v>
      </c>
      <c r="M5649" t="n">
        <v>0</v>
      </c>
      <c r="N5649" t="n">
        <v>0</v>
      </c>
      <c r="O5649" t="n">
        <v>0</v>
      </c>
      <c r="P5649" t="n">
        <v>0</v>
      </c>
      <c r="Q5649" t="n">
        <v>0</v>
      </c>
      <c r="R5649" t="n">
        <v>0</v>
      </c>
      <c r="S5649" t="n">
        <v>0</v>
      </c>
      <c r="T5649" t="n">
        <v>0</v>
      </c>
      <c r="U5649" t="n">
        <v>0</v>
      </c>
      <c r="V5649" s="2" t="inlineStr"/>
    </row>
    <row r="5650" ht="15" customHeight="1">
      <c r="A5650" t="inlineStr">
        <is>
          <t>A 35873-2026</t>
        </is>
      </c>
      <c r="B5650" t="inlineStr">
        <is>
          <t>avverkningsanmälan</t>
        </is>
      </c>
      <c r="C5650" t="inlineStr">
        <is>
          <t>Föryngringsavverkning</t>
        </is>
      </c>
      <c r="D5650" s="1" t="n">
        <v>46266</v>
      </c>
      <c r="E5650" s="1" t="n">
        <v>46323</v>
      </c>
      <c r="F5650" t="inlineStr">
        <is>
          <t>KALMAR LÄN</t>
        </is>
      </c>
      <c r="G5650" t="inlineStr">
        <is>
          <t>HÖGSBY</t>
        </is>
      </c>
      <c r="I5650" t="n">
        <v>9.6</v>
      </c>
      <c r="J5650" t="n">
        <v>0</v>
      </c>
      <c r="K5650" t="n">
        <v>0</v>
      </c>
      <c r="L5650" t="n">
        <v>0</v>
      </c>
      <c r="M5650" t="n">
        <v>0</v>
      </c>
      <c r="N5650" t="n">
        <v>0</v>
      </c>
      <c r="O5650" t="n">
        <v>0</v>
      </c>
      <c r="P5650" t="n">
        <v>0</v>
      </c>
      <c r="Q5650" t="n">
        <v>0</v>
      </c>
      <c r="R5650" t="n">
        <v>0</v>
      </c>
      <c r="S5650" t="n">
        <v>0</v>
      </c>
      <c r="T5650" t="n">
        <v>0</v>
      </c>
      <c r="U5650" t="n">
        <v>0</v>
      </c>
      <c r="V5650" s="2" t="inlineStr"/>
    </row>
    <row r="5651" ht="15" customHeight="1">
      <c r="A5651" t="inlineStr">
        <is>
          <t>A 59764-2022</t>
        </is>
      </c>
      <c r="B5651" t="inlineStr">
        <is>
          <t>avverkningsanmälan</t>
        </is>
      </c>
      <c r="C5651" t="inlineStr">
        <is>
          <t>Föryngringsavverkning</t>
        </is>
      </c>
      <c r="D5651" s="1" t="n">
        <v>44900</v>
      </c>
      <c r="E5651" s="1" t="n">
        <v>46323</v>
      </c>
      <c r="F5651" t="inlineStr">
        <is>
          <t>KALMAR LÄN</t>
        </is>
      </c>
      <c r="G5651" t="inlineStr">
        <is>
          <t>EMMABODA</t>
        </is>
      </c>
      <c r="I5651" t="n">
        <v>2.8</v>
      </c>
      <c r="J5651" t="n">
        <v>0</v>
      </c>
      <c r="K5651" t="n">
        <v>0</v>
      </c>
      <c r="L5651" t="n">
        <v>0</v>
      </c>
      <c r="M5651" t="n">
        <v>0</v>
      </c>
      <c r="N5651" t="n">
        <v>0</v>
      </c>
      <c r="O5651" t="n">
        <v>0</v>
      </c>
      <c r="P5651" t="n">
        <v>0</v>
      </c>
      <c r="Q5651" t="n">
        <v>0</v>
      </c>
      <c r="R5651" t="n">
        <v>0</v>
      </c>
      <c r="S5651" t="n">
        <v>0</v>
      </c>
      <c r="T5651" t="n">
        <v>0</v>
      </c>
      <c r="U5651" t="n">
        <v>0</v>
      </c>
      <c r="V5651" s="2" t="inlineStr"/>
    </row>
    <row r="5652" ht="15" customHeight="1">
      <c r="A5652" t="inlineStr">
        <is>
          <t>A 28696-2025</t>
        </is>
      </c>
      <c r="B5652" t="inlineStr">
        <is>
          <t>avverkningsanmälan</t>
        </is>
      </c>
      <c r="C5652" t="inlineStr">
        <is>
          <t>Föryngringsavverkning</t>
        </is>
      </c>
      <c r="D5652" s="1" t="n">
        <v>45819</v>
      </c>
      <c r="E5652" s="1" t="n">
        <v>46323</v>
      </c>
      <c r="F5652" t="inlineStr">
        <is>
          <t>KALMAR LÄN</t>
        </is>
      </c>
      <c r="G5652" t="inlineStr">
        <is>
          <t>VÄSTERVIK</t>
        </is>
      </c>
      <c r="I5652" t="n">
        <v>2.8</v>
      </c>
      <c r="J5652" t="n">
        <v>0</v>
      </c>
      <c r="K5652" t="n">
        <v>0</v>
      </c>
      <c r="L5652" t="n">
        <v>0</v>
      </c>
      <c r="M5652" t="n">
        <v>0</v>
      </c>
      <c r="N5652" t="n">
        <v>0</v>
      </c>
      <c r="O5652" t="n">
        <v>0</v>
      </c>
      <c r="P5652" t="n">
        <v>0</v>
      </c>
      <c r="Q5652" t="n">
        <v>0</v>
      </c>
      <c r="R5652" t="n">
        <v>0</v>
      </c>
      <c r="S5652" t="n">
        <v>0</v>
      </c>
      <c r="T5652" t="n">
        <v>0</v>
      </c>
      <c r="U5652" t="n">
        <v>0</v>
      </c>
      <c r="V5652" s="2" t="inlineStr"/>
    </row>
    <row r="5653" ht="15" customHeight="1">
      <c r="A5653" t="inlineStr">
        <is>
          <t>A 42710-2026</t>
        </is>
      </c>
      <c r="B5653" t="inlineStr">
        <is>
          <t>avverkningsanmälan</t>
        </is>
      </c>
      <c r="C5653" t="inlineStr">
        <is>
          <t>Föryngringsavverkning</t>
        </is>
      </c>
      <c r="D5653" s="1" t="n">
        <v>46309</v>
      </c>
      <c r="E5653" s="1" t="n">
        <v>46323</v>
      </c>
      <c r="F5653" t="inlineStr">
        <is>
          <t>KALMAR LÄN</t>
        </is>
      </c>
      <c r="G5653" t="inlineStr">
        <is>
          <t>HÖGSBY</t>
        </is>
      </c>
      <c r="H5653" t="inlineStr">
        <is>
          <t>Sveaskog</t>
        </is>
      </c>
      <c r="I5653" t="n">
        <v>1.6</v>
      </c>
      <c r="J5653" t="n">
        <v>0</v>
      </c>
      <c r="K5653" t="n">
        <v>0</v>
      </c>
      <c r="L5653" t="n">
        <v>0</v>
      </c>
      <c r="M5653" t="n">
        <v>0</v>
      </c>
      <c r="N5653" t="n">
        <v>0</v>
      </c>
      <c r="O5653" t="n">
        <v>0</v>
      </c>
      <c r="P5653" t="n">
        <v>0</v>
      </c>
      <c r="Q5653" t="n">
        <v>0</v>
      </c>
      <c r="R5653" t="n">
        <v>0</v>
      </c>
      <c r="S5653" t="n">
        <v>0</v>
      </c>
      <c r="T5653" t="n">
        <v>0</v>
      </c>
      <c r="U5653" t="n">
        <v>0</v>
      </c>
      <c r="V5653" s="2" t="inlineStr"/>
    </row>
    <row r="5654" ht="15" customHeight="1">
      <c r="A5654" t="inlineStr">
        <is>
          <t>A 42718-2026</t>
        </is>
      </c>
      <c r="B5654" t="inlineStr">
        <is>
          <t>avverkningsanmälan</t>
        </is>
      </c>
      <c r="C5654" t="inlineStr">
        <is>
          <t>Föryngringsavverkning</t>
        </is>
      </c>
      <c r="D5654" s="1" t="n">
        <v>46309</v>
      </c>
      <c r="E5654" s="1" t="n">
        <v>46323</v>
      </c>
      <c r="F5654" t="inlineStr">
        <is>
          <t>KALMAR LÄN</t>
        </is>
      </c>
      <c r="G5654" t="inlineStr">
        <is>
          <t>HÖGSBY</t>
        </is>
      </c>
      <c r="H5654" t="inlineStr">
        <is>
          <t>Sveaskog</t>
        </is>
      </c>
      <c r="I5654" t="n">
        <v>3.2</v>
      </c>
      <c r="J5654" t="n">
        <v>0</v>
      </c>
      <c r="K5654" t="n">
        <v>0</v>
      </c>
      <c r="L5654" t="n">
        <v>0</v>
      </c>
      <c r="M5654" t="n">
        <v>0</v>
      </c>
      <c r="N5654" t="n">
        <v>0</v>
      </c>
      <c r="O5654" t="n">
        <v>0</v>
      </c>
      <c r="P5654" t="n">
        <v>0</v>
      </c>
      <c r="Q5654" t="n">
        <v>0</v>
      </c>
      <c r="R5654" t="n">
        <v>0</v>
      </c>
      <c r="S5654" t="n">
        <v>0</v>
      </c>
      <c r="T5654" t="n">
        <v>0</v>
      </c>
      <c r="U5654" t="n">
        <v>0</v>
      </c>
      <c r="V5654" s="2" t="inlineStr"/>
    </row>
    <row r="5655" ht="15" customHeight="1">
      <c r="A5655" t="inlineStr">
        <is>
          <t>A 12567-2024</t>
        </is>
      </c>
      <c r="B5655" t="inlineStr">
        <is>
          <t>avverkningsanmälan</t>
        </is>
      </c>
      <c r="C5655" t="inlineStr">
        <is>
          <t>Föryngringsavverkning</t>
        </is>
      </c>
      <c r="D5655" s="1" t="n">
        <v>45379</v>
      </c>
      <c r="E5655" s="1" t="n">
        <v>46323</v>
      </c>
      <c r="F5655" t="inlineStr">
        <is>
          <t>KALMAR LÄN</t>
        </is>
      </c>
      <c r="G5655" t="inlineStr">
        <is>
          <t>OSKARSHAMN</t>
        </is>
      </c>
      <c r="I5655" t="n">
        <v>0.9</v>
      </c>
      <c r="J5655" t="n">
        <v>0</v>
      </c>
      <c r="K5655" t="n">
        <v>0</v>
      </c>
      <c r="L5655" t="n">
        <v>0</v>
      </c>
      <c r="M5655" t="n">
        <v>0</v>
      </c>
      <c r="N5655" t="n">
        <v>0</v>
      </c>
      <c r="O5655" t="n">
        <v>0</v>
      </c>
      <c r="P5655" t="n">
        <v>0</v>
      </c>
      <c r="Q5655" t="n">
        <v>0</v>
      </c>
      <c r="R5655" t="n">
        <v>0</v>
      </c>
      <c r="S5655" t="n">
        <v>0</v>
      </c>
      <c r="T5655" t="n">
        <v>0</v>
      </c>
      <c r="U5655" t="n">
        <v>0</v>
      </c>
      <c r="V5655" s="2" t="inlineStr"/>
    </row>
    <row r="5656" ht="15" customHeight="1">
      <c r="A5656" t="inlineStr">
        <is>
          <t>A 41635-2023</t>
        </is>
      </c>
      <c r="B5656" t="inlineStr">
        <is>
          <t>avverkningsanmälan</t>
        </is>
      </c>
      <c r="C5656" t="inlineStr">
        <is>
          <t>Föryngringsavverkning</t>
        </is>
      </c>
      <c r="D5656" s="1" t="n">
        <v>45175</v>
      </c>
      <c r="E5656" s="1" t="n">
        <v>46323</v>
      </c>
      <c r="F5656" t="inlineStr">
        <is>
          <t>KALMAR LÄN</t>
        </is>
      </c>
      <c r="G5656" t="inlineStr">
        <is>
          <t>NYBRO</t>
        </is>
      </c>
      <c r="I5656" t="n">
        <v>0.8</v>
      </c>
      <c r="J5656" t="n">
        <v>0</v>
      </c>
      <c r="K5656" t="n">
        <v>0</v>
      </c>
      <c r="L5656" t="n">
        <v>0</v>
      </c>
      <c r="M5656" t="n">
        <v>0</v>
      </c>
      <c r="N5656" t="n">
        <v>0</v>
      </c>
      <c r="O5656" t="n">
        <v>0</v>
      </c>
      <c r="P5656" t="n">
        <v>0</v>
      </c>
      <c r="Q5656" t="n">
        <v>0</v>
      </c>
      <c r="R5656" t="n">
        <v>0</v>
      </c>
      <c r="S5656" t="n">
        <v>0</v>
      </c>
      <c r="T5656" t="n">
        <v>0</v>
      </c>
      <c r="U5656" t="n">
        <v>0</v>
      </c>
      <c r="V5656" s="2" t="inlineStr"/>
    </row>
    <row r="5657" ht="15" customHeight="1">
      <c r="A5657" t="inlineStr">
        <is>
          <t>A 42789-2026</t>
        </is>
      </c>
      <c r="B5657" t="inlineStr">
        <is>
          <t>avverkningsanmälan</t>
        </is>
      </c>
      <c r="C5657" t="inlineStr">
        <is>
          <t>Föryngringsavverkning</t>
        </is>
      </c>
      <c r="D5657" s="1" t="n">
        <v>46309</v>
      </c>
      <c r="E5657" s="1" t="n">
        <v>46323</v>
      </c>
      <c r="F5657" t="inlineStr">
        <is>
          <t>KALMAR LÄN</t>
        </is>
      </c>
      <c r="G5657" t="inlineStr">
        <is>
          <t>OSKARSHAMN</t>
        </is>
      </c>
      <c r="I5657" t="n">
        <v>0.9</v>
      </c>
      <c r="J5657" t="n">
        <v>0</v>
      </c>
      <c r="K5657" t="n">
        <v>0</v>
      </c>
      <c r="L5657" t="n">
        <v>0</v>
      </c>
      <c r="M5657" t="n">
        <v>0</v>
      </c>
      <c r="N5657" t="n">
        <v>0</v>
      </c>
      <c r="O5657" t="n">
        <v>0</v>
      </c>
      <c r="P5657" t="n">
        <v>0</v>
      </c>
      <c r="Q5657" t="n">
        <v>0</v>
      </c>
      <c r="R5657" t="n">
        <v>0</v>
      </c>
      <c r="S5657" t="n">
        <v>0</v>
      </c>
      <c r="T5657" t="n">
        <v>0</v>
      </c>
      <c r="U5657" t="n">
        <v>0</v>
      </c>
      <c r="V5657" s="2" t="inlineStr"/>
    </row>
    <row r="5658" ht="15" customHeight="1">
      <c r="A5658" t="inlineStr">
        <is>
          <t>A 56206-2023</t>
        </is>
      </c>
      <c r="B5658" t="inlineStr">
        <is>
          <t>avverkningsanmälan</t>
        </is>
      </c>
      <c r="C5658" t="inlineStr">
        <is>
          <t>Föryngringsavverkning</t>
        </is>
      </c>
      <c r="D5658" s="1" t="n">
        <v>45240</v>
      </c>
      <c r="E5658" s="1" t="n">
        <v>46323</v>
      </c>
      <c r="F5658" t="inlineStr">
        <is>
          <t>KALMAR LÄN</t>
        </is>
      </c>
      <c r="G5658" t="inlineStr">
        <is>
          <t>OSKARSHAMN</t>
        </is>
      </c>
      <c r="I5658" t="n">
        <v>0.7</v>
      </c>
      <c r="J5658" t="n">
        <v>0</v>
      </c>
      <c r="K5658" t="n">
        <v>0</v>
      </c>
      <c r="L5658" t="n">
        <v>0</v>
      </c>
      <c r="M5658" t="n">
        <v>0</v>
      </c>
      <c r="N5658" t="n">
        <v>0</v>
      </c>
      <c r="O5658" t="n">
        <v>0</v>
      </c>
      <c r="P5658" t="n">
        <v>0</v>
      </c>
      <c r="Q5658" t="n">
        <v>0</v>
      </c>
      <c r="R5658" t="n">
        <v>0</v>
      </c>
      <c r="S5658" t="n">
        <v>0</v>
      </c>
      <c r="T5658" t="n">
        <v>0</v>
      </c>
      <c r="U5658" t="n">
        <v>0</v>
      </c>
      <c r="V5658" s="2" t="inlineStr"/>
    </row>
    <row r="5659" ht="15" customHeight="1">
      <c r="A5659" t="inlineStr">
        <is>
          <t>A 41158-2023</t>
        </is>
      </c>
      <c r="B5659" t="inlineStr">
        <is>
          <t>avverkningsanmälan</t>
        </is>
      </c>
      <c r="C5659" t="inlineStr">
        <is>
          <t>Föryngringsavverkning</t>
        </is>
      </c>
      <c r="D5659" s="1" t="n">
        <v>45174</v>
      </c>
      <c r="E5659" s="1" t="n">
        <v>46323</v>
      </c>
      <c r="F5659" t="inlineStr">
        <is>
          <t>KALMAR LÄN</t>
        </is>
      </c>
      <c r="G5659" t="inlineStr">
        <is>
          <t>VIMMERBY</t>
        </is>
      </c>
      <c r="I5659" t="n">
        <v>1.4</v>
      </c>
      <c r="J5659" t="n">
        <v>0</v>
      </c>
      <c r="K5659" t="n">
        <v>0</v>
      </c>
      <c r="L5659" t="n">
        <v>0</v>
      </c>
      <c r="M5659" t="n">
        <v>0</v>
      </c>
      <c r="N5659" t="n">
        <v>0</v>
      </c>
      <c r="O5659" t="n">
        <v>0</v>
      </c>
      <c r="P5659" t="n">
        <v>0</v>
      </c>
      <c r="Q5659" t="n">
        <v>0</v>
      </c>
      <c r="R5659" t="n">
        <v>0</v>
      </c>
      <c r="S5659" t="n">
        <v>0</v>
      </c>
      <c r="T5659" t="n">
        <v>0</v>
      </c>
      <c r="U5659" t="n">
        <v>0</v>
      </c>
      <c r="V5659" s="2" t="inlineStr"/>
    </row>
    <row r="5660" ht="15" customHeight="1">
      <c r="A5660" t="inlineStr">
        <is>
          <t>A 42815-2026</t>
        </is>
      </c>
      <c r="B5660" t="inlineStr">
        <is>
          <t>avverkningsanmälan</t>
        </is>
      </c>
      <c r="C5660" t="inlineStr">
        <is>
          <t>Föryngringsavverkning</t>
        </is>
      </c>
      <c r="D5660" s="1" t="n">
        <v>46309</v>
      </c>
      <c r="E5660" s="1" t="n">
        <v>46323</v>
      </c>
      <c r="F5660" t="inlineStr">
        <is>
          <t>KALMAR LÄN</t>
        </is>
      </c>
      <c r="G5660" t="inlineStr">
        <is>
          <t>TORSÅS</t>
        </is>
      </c>
      <c r="I5660" t="n">
        <v>2.9</v>
      </c>
      <c r="J5660" t="n">
        <v>0</v>
      </c>
      <c r="K5660" t="n">
        <v>0</v>
      </c>
      <c r="L5660" t="n">
        <v>0</v>
      </c>
      <c r="M5660" t="n">
        <v>0</v>
      </c>
      <c r="N5660" t="n">
        <v>0</v>
      </c>
      <c r="O5660" t="n">
        <v>0</v>
      </c>
      <c r="P5660" t="n">
        <v>0</v>
      </c>
      <c r="Q5660" t="n">
        <v>0</v>
      </c>
      <c r="R5660" t="n">
        <v>0</v>
      </c>
      <c r="S5660" t="n">
        <v>0</v>
      </c>
      <c r="T5660" t="n">
        <v>0</v>
      </c>
      <c r="U5660" t="n">
        <v>0</v>
      </c>
      <c r="V5660" s="2" t="inlineStr"/>
    </row>
    <row r="5661" ht="15" customHeight="1">
      <c r="A5661" t="inlineStr">
        <is>
          <t>A 28713-2025</t>
        </is>
      </c>
      <c r="B5661" t="inlineStr">
        <is>
          <t>avverkningsanmälan</t>
        </is>
      </c>
      <c r="C5661" t="inlineStr">
        <is>
          <t>Föryngringsavverkning</t>
        </is>
      </c>
      <c r="D5661" s="1" t="n">
        <v>45820</v>
      </c>
      <c r="E5661" s="1" t="n">
        <v>46323</v>
      </c>
      <c r="F5661" t="inlineStr">
        <is>
          <t>KALMAR LÄN</t>
        </is>
      </c>
      <c r="G5661" t="inlineStr">
        <is>
          <t>VIMMERBY</t>
        </is>
      </c>
      <c r="I5661" t="n">
        <v>2.3</v>
      </c>
      <c r="J5661" t="n">
        <v>0</v>
      </c>
      <c r="K5661" t="n">
        <v>0</v>
      </c>
      <c r="L5661" t="n">
        <v>0</v>
      </c>
      <c r="M5661" t="n">
        <v>0</v>
      </c>
      <c r="N5661" t="n">
        <v>0</v>
      </c>
      <c r="O5661" t="n">
        <v>0</v>
      </c>
      <c r="P5661" t="n">
        <v>0</v>
      </c>
      <c r="Q5661" t="n">
        <v>0</v>
      </c>
      <c r="R5661" t="n">
        <v>0</v>
      </c>
      <c r="S5661" t="n">
        <v>0</v>
      </c>
      <c r="T5661" t="n">
        <v>0</v>
      </c>
      <c r="U5661" t="n">
        <v>0</v>
      </c>
      <c r="V5661" s="2" t="inlineStr"/>
    </row>
    <row r="5662" ht="15" customHeight="1">
      <c r="A5662" t="inlineStr">
        <is>
          <t>A 42853-2026</t>
        </is>
      </c>
      <c r="B5662" t="inlineStr">
        <is>
          <t>avverkningsanmälan</t>
        </is>
      </c>
      <c r="C5662" t="inlineStr">
        <is>
          <t>Föryngringsavverkning</t>
        </is>
      </c>
      <c r="D5662" s="1" t="n">
        <v>46310</v>
      </c>
      <c r="E5662" s="1" t="n">
        <v>46323</v>
      </c>
      <c r="F5662" t="inlineStr">
        <is>
          <t>KALMAR LÄN</t>
        </is>
      </c>
      <c r="G5662" t="inlineStr">
        <is>
          <t>HULTSFRED</t>
        </is>
      </c>
      <c r="I5662" t="n">
        <v>1.6</v>
      </c>
      <c r="J5662" t="n">
        <v>0</v>
      </c>
      <c r="K5662" t="n">
        <v>0</v>
      </c>
      <c r="L5662" t="n">
        <v>0</v>
      </c>
      <c r="M5662" t="n">
        <v>0</v>
      </c>
      <c r="N5662" t="n">
        <v>0</v>
      </c>
      <c r="O5662" t="n">
        <v>0</v>
      </c>
      <c r="P5662" t="n">
        <v>0</v>
      </c>
      <c r="Q5662" t="n">
        <v>0</v>
      </c>
      <c r="R5662" t="n">
        <v>0</v>
      </c>
      <c r="S5662" t="n">
        <v>0</v>
      </c>
      <c r="T5662" t="n">
        <v>0</v>
      </c>
      <c r="U5662" t="n">
        <v>0</v>
      </c>
      <c r="V5662" s="2" t="inlineStr"/>
    </row>
    <row r="5663" ht="15" customHeight="1">
      <c r="A5663" t="inlineStr">
        <is>
          <t>A 42854-2026</t>
        </is>
      </c>
      <c r="B5663" t="inlineStr">
        <is>
          <t>avverkningsanmälan</t>
        </is>
      </c>
      <c r="C5663" t="inlineStr">
        <is>
          <t>Föryngringsavverkning</t>
        </is>
      </c>
      <c r="D5663" s="1" t="n">
        <v>46310</v>
      </c>
      <c r="E5663" s="1" t="n">
        <v>46323</v>
      </c>
      <c r="F5663" t="inlineStr">
        <is>
          <t>KALMAR LÄN</t>
        </is>
      </c>
      <c r="G5663" t="inlineStr">
        <is>
          <t>HULTSFRED</t>
        </is>
      </c>
      <c r="I5663" t="n">
        <v>2</v>
      </c>
      <c r="J5663" t="n">
        <v>0</v>
      </c>
      <c r="K5663" t="n">
        <v>0</v>
      </c>
      <c r="L5663" t="n">
        <v>0</v>
      </c>
      <c r="M5663" t="n">
        <v>0</v>
      </c>
      <c r="N5663" t="n">
        <v>0</v>
      </c>
      <c r="O5663" t="n">
        <v>0</v>
      </c>
      <c r="P5663" t="n">
        <v>0</v>
      </c>
      <c r="Q5663" t="n">
        <v>0</v>
      </c>
      <c r="R5663" t="n">
        <v>0</v>
      </c>
      <c r="S5663" t="n">
        <v>0</v>
      </c>
      <c r="T5663" t="n">
        <v>0</v>
      </c>
      <c r="U5663" t="n">
        <v>0</v>
      </c>
      <c r="V5663" s="2" t="inlineStr"/>
    </row>
    <row r="5664" ht="15" customHeight="1">
      <c r="A5664" t="inlineStr">
        <is>
          <t>A 38048-2023</t>
        </is>
      </c>
      <c r="B5664" t="inlineStr">
        <is>
          <t>avverkningsanmälan</t>
        </is>
      </c>
      <c r="C5664" t="inlineStr">
        <is>
          <t>Föryngringsavverkning</t>
        </is>
      </c>
      <c r="D5664" s="1" t="n">
        <v>45160</v>
      </c>
      <c r="E5664" s="1" t="n">
        <v>46323</v>
      </c>
      <c r="F5664" t="inlineStr">
        <is>
          <t>KALMAR LÄN</t>
        </is>
      </c>
      <c r="G5664" t="inlineStr">
        <is>
          <t>VÄSTERVIK</t>
        </is>
      </c>
      <c r="H5664" t="inlineStr">
        <is>
          <t>Sveaskog</t>
        </is>
      </c>
      <c r="I5664" t="n">
        <v>3.3</v>
      </c>
      <c r="J5664" t="n">
        <v>0</v>
      </c>
      <c r="K5664" t="n">
        <v>0</v>
      </c>
      <c r="L5664" t="n">
        <v>0</v>
      </c>
      <c r="M5664" t="n">
        <v>0</v>
      </c>
      <c r="N5664" t="n">
        <v>0</v>
      </c>
      <c r="O5664" t="n">
        <v>0</v>
      </c>
      <c r="P5664" t="n">
        <v>0</v>
      </c>
      <c r="Q5664" t="n">
        <v>0</v>
      </c>
      <c r="R5664" t="n">
        <v>0</v>
      </c>
      <c r="S5664" t="n">
        <v>0</v>
      </c>
      <c r="T5664" t="n">
        <v>0</v>
      </c>
      <c r="U5664" t="n">
        <v>0</v>
      </c>
      <c r="V5664" s="2" t="inlineStr"/>
    </row>
    <row r="5665" ht="15" customHeight="1">
      <c r="A5665" t="inlineStr">
        <is>
          <t>A 36644-2024</t>
        </is>
      </c>
      <c r="B5665" t="inlineStr">
        <is>
          <t>avverkningsanmälan</t>
        </is>
      </c>
      <c r="C5665" t="inlineStr">
        <is>
          <t>Föryngringsavverkning</t>
        </is>
      </c>
      <c r="D5665" s="1" t="n">
        <v>45537</v>
      </c>
      <c r="E5665" s="1" t="n">
        <v>46323</v>
      </c>
      <c r="F5665" t="inlineStr">
        <is>
          <t>KALMAR LÄN</t>
        </is>
      </c>
      <c r="G5665" t="inlineStr">
        <is>
          <t>MÖNSTERÅS</t>
        </is>
      </c>
      <c r="I5665" t="n">
        <v>7.3</v>
      </c>
      <c r="J5665" t="n">
        <v>0</v>
      </c>
      <c r="K5665" t="n">
        <v>0</v>
      </c>
      <c r="L5665" t="n">
        <v>0</v>
      </c>
      <c r="M5665" t="n">
        <v>0</v>
      </c>
      <c r="N5665" t="n">
        <v>0</v>
      </c>
      <c r="O5665" t="n">
        <v>0</v>
      </c>
      <c r="P5665" t="n">
        <v>0</v>
      </c>
      <c r="Q5665" t="n">
        <v>0</v>
      </c>
      <c r="R5665" t="n">
        <v>0</v>
      </c>
      <c r="S5665" t="n">
        <v>0</v>
      </c>
      <c r="T5665" t="n">
        <v>0</v>
      </c>
      <c r="U5665" t="n">
        <v>0</v>
      </c>
      <c r="V5665" s="2" t="inlineStr"/>
    </row>
    <row r="5666" ht="15" customHeight="1">
      <c r="A5666" t="inlineStr">
        <is>
          <t>A 17648-2023</t>
        </is>
      </c>
      <c r="B5666" t="inlineStr">
        <is>
          <t>avverkningsanmälan</t>
        </is>
      </c>
      <c r="C5666" t="inlineStr">
        <is>
          <t>Avverkning för annat ändamål</t>
        </is>
      </c>
      <c r="D5666" s="1" t="n">
        <v>45036</v>
      </c>
      <c r="E5666" s="1" t="n">
        <v>46323</v>
      </c>
      <c r="F5666" t="inlineStr">
        <is>
          <t>KALMAR LÄN</t>
        </is>
      </c>
      <c r="G5666" t="inlineStr">
        <is>
          <t>VÄSTERVIK</t>
        </is>
      </c>
      <c r="I5666" t="n">
        <v>0.4</v>
      </c>
      <c r="J5666" t="n">
        <v>0</v>
      </c>
      <c r="K5666" t="n">
        <v>0</v>
      </c>
      <c r="L5666" t="n">
        <v>0</v>
      </c>
      <c r="M5666" t="n">
        <v>0</v>
      </c>
      <c r="N5666" t="n">
        <v>0</v>
      </c>
      <c r="O5666" t="n">
        <v>0</v>
      </c>
      <c r="P5666" t="n">
        <v>0</v>
      </c>
      <c r="Q5666" t="n">
        <v>0</v>
      </c>
      <c r="R5666" t="n">
        <v>0</v>
      </c>
      <c r="S5666" t="n">
        <v>0</v>
      </c>
      <c r="T5666" t="n">
        <v>0</v>
      </c>
      <c r="U5666" t="n">
        <v>0</v>
      </c>
      <c r="V5666" s="2" t="inlineStr"/>
    </row>
    <row r="5667" ht="15" customHeight="1">
      <c r="A5667" t="inlineStr">
        <is>
          <t>A 7415-2023</t>
        </is>
      </c>
      <c r="B5667" t="inlineStr">
        <is>
          <t>avverkningsanmälan</t>
        </is>
      </c>
      <c r="C5667" t="inlineStr">
        <is>
          <t>Föryngringsavverkning</t>
        </is>
      </c>
      <c r="D5667" s="1" t="n">
        <v>44971</v>
      </c>
      <c r="E5667" s="1" t="n">
        <v>46323</v>
      </c>
      <c r="F5667" t="inlineStr">
        <is>
          <t>KALMAR LÄN</t>
        </is>
      </c>
      <c r="G5667" t="inlineStr">
        <is>
          <t>KALMAR</t>
        </is>
      </c>
      <c r="I5667" t="n">
        <v>1.7</v>
      </c>
      <c r="J5667" t="n">
        <v>0</v>
      </c>
      <c r="K5667" t="n">
        <v>0</v>
      </c>
      <c r="L5667" t="n">
        <v>0</v>
      </c>
      <c r="M5667" t="n">
        <v>0</v>
      </c>
      <c r="N5667" t="n">
        <v>0</v>
      </c>
      <c r="O5667" t="n">
        <v>0</v>
      </c>
      <c r="P5667" t="n">
        <v>0</v>
      </c>
      <c r="Q5667" t="n">
        <v>0</v>
      </c>
      <c r="R5667" t="n">
        <v>0</v>
      </c>
      <c r="S5667" t="n">
        <v>0</v>
      </c>
      <c r="T5667" t="n">
        <v>0</v>
      </c>
      <c r="U5667" t="n">
        <v>0</v>
      </c>
      <c r="V5667" s="2" t="inlineStr"/>
    </row>
    <row r="5668" ht="15" customHeight="1">
      <c r="A5668" t="inlineStr">
        <is>
          <t>A 50753-2025</t>
        </is>
      </c>
      <c r="B5668" t="inlineStr">
        <is>
          <t>avverkningsanmälan</t>
        </is>
      </c>
      <c r="C5668" t="inlineStr">
        <is>
          <t>Föryngringsavverkning</t>
        </is>
      </c>
      <c r="D5668" s="1" t="n">
        <v>45946</v>
      </c>
      <c r="E5668" s="1" t="n">
        <v>46323</v>
      </c>
      <c r="F5668" t="inlineStr">
        <is>
          <t>KALMAR LÄN</t>
        </is>
      </c>
      <c r="G5668" t="inlineStr">
        <is>
          <t>NYBRO</t>
        </is>
      </c>
      <c r="I5668" t="n">
        <v>1.8</v>
      </c>
      <c r="J5668" t="n">
        <v>0</v>
      </c>
      <c r="K5668" t="n">
        <v>0</v>
      </c>
      <c r="L5668" t="n">
        <v>0</v>
      </c>
      <c r="M5668" t="n">
        <v>0</v>
      </c>
      <c r="N5668" t="n">
        <v>0</v>
      </c>
      <c r="O5668" t="n">
        <v>0</v>
      </c>
      <c r="P5668" t="n">
        <v>0</v>
      </c>
      <c r="Q5668" t="n">
        <v>0</v>
      </c>
      <c r="R5668" t="n">
        <v>0</v>
      </c>
      <c r="S5668" t="n">
        <v>0</v>
      </c>
      <c r="T5668" t="n">
        <v>0</v>
      </c>
      <c r="U5668" t="n">
        <v>0</v>
      </c>
      <c r="V5668" s="2" t="inlineStr"/>
    </row>
    <row r="5669" ht="15" customHeight="1">
      <c r="A5669" t="inlineStr">
        <is>
          <t>A 11469-2024</t>
        </is>
      </c>
      <c r="B5669" t="inlineStr">
        <is>
          <t>avverkningsanmälan</t>
        </is>
      </c>
      <c r="C5669" t="inlineStr">
        <is>
          <t>Föryngringsavverkning</t>
        </is>
      </c>
      <c r="D5669" s="1" t="n">
        <v>45372</v>
      </c>
      <c r="E5669" s="1" t="n">
        <v>46323</v>
      </c>
      <c r="F5669" t="inlineStr">
        <is>
          <t>KALMAR LÄN</t>
        </is>
      </c>
      <c r="G5669" t="inlineStr">
        <is>
          <t>OSKARSHAMN</t>
        </is>
      </c>
      <c r="I5669" t="n">
        <v>3</v>
      </c>
      <c r="J5669" t="n">
        <v>0</v>
      </c>
      <c r="K5669" t="n">
        <v>0</v>
      </c>
      <c r="L5669" t="n">
        <v>0</v>
      </c>
      <c r="M5669" t="n">
        <v>0</v>
      </c>
      <c r="N5669" t="n">
        <v>0</v>
      </c>
      <c r="O5669" t="n">
        <v>0</v>
      </c>
      <c r="P5669" t="n">
        <v>0</v>
      </c>
      <c r="Q5669" t="n">
        <v>0</v>
      </c>
      <c r="R5669" t="n">
        <v>0</v>
      </c>
      <c r="S5669" t="n">
        <v>0</v>
      </c>
      <c r="T5669" t="n">
        <v>0</v>
      </c>
      <c r="U5669" t="n">
        <v>0</v>
      </c>
      <c r="V5669" s="2" t="inlineStr"/>
    </row>
    <row r="5670" ht="15" customHeight="1">
      <c r="A5670" t="inlineStr">
        <is>
          <t>A 9511-2023</t>
        </is>
      </c>
      <c r="B5670" t="inlineStr">
        <is>
          <t>avverkningsanmälan</t>
        </is>
      </c>
      <c r="C5670" t="inlineStr">
        <is>
          <t>Föryngringsavverkning</t>
        </is>
      </c>
      <c r="D5670" s="1" t="n">
        <v>44981</v>
      </c>
      <c r="E5670" s="1" t="n">
        <v>46323</v>
      </c>
      <c r="F5670" t="inlineStr">
        <is>
          <t>KALMAR LÄN</t>
        </is>
      </c>
      <c r="G5670" t="inlineStr">
        <is>
          <t>VIMMERBY</t>
        </is>
      </c>
      <c r="I5670" t="n">
        <v>3.5</v>
      </c>
      <c r="J5670" t="n">
        <v>0</v>
      </c>
      <c r="K5670" t="n">
        <v>0</v>
      </c>
      <c r="L5670" t="n">
        <v>0</v>
      </c>
      <c r="M5670" t="n">
        <v>0</v>
      </c>
      <c r="N5670" t="n">
        <v>0</v>
      </c>
      <c r="O5670" t="n">
        <v>0</v>
      </c>
      <c r="P5670" t="n">
        <v>0</v>
      </c>
      <c r="Q5670" t="n">
        <v>0</v>
      </c>
      <c r="R5670" t="n">
        <v>0</v>
      </c>
      <c r="S5670" t="n">
        <v>0</v>
      </c>
      <c r="T5670" t="n">
        <v>0</v>
      </c>
      <c r="U5670" t="n">
        <v>0</v>
      </c>
      <c r="V5670" s="2" t="inlineStr"/>
    </row>
    <row r="5671" ht="15" customHeight="1">
      <c r="A5671" t="inlineStr">
        <is>
          <t>A 7958-2023</t>
        </is>
      </c>
      <c r="B5671" t="inlineStr">
        <is>
          <t>avverkningsanmälan</t>
        </is>
      </c>
      <c r="C5671" t="inlineStr">
        <is>
          <t>Föryngringsavverkning</t>
        </is>
      </c>
      <c r="D5671" s="1" t="n">
        <v>44973</v>
      </c>
      <c r="E5671" s="1" t="n">
        <v>46323</v>
      </c>
      <c r="F5671" t="inlineStr">
        <is>
          <t>KALMAR LÄN</t>
        </is>
      </c>
      <c r="G5671" t="inlineStr">
        <is>
          <t>NYBRO</t>
        </is>
      </c>
      <c r="I5671" t="n">
        <v>2.2</v>
      </c>
      <c r="J5671" t="n">
        <v>0</v>
      </c>
      <c r="K5671" t="n">
        <v>0</v>
      </c>
      <c r="L5671" t="n">
        <v>0</v>
      </c>
      <c r="M5671" t="n">
        <v>0</v>
      </c>
      <c r="N5671" t="n">
        <v>0</v>
      </c>
      <c r="O5671" t="n">
        <v>0</v>
      </c>
      <c r="P5671" t="n">
        <v>0</v>
      </c>
      <c r="Q5671" t="n">
        <v>0</v>
      </c>
      <c r="R5671" t="n">
        <v>0</v>
      </c>
      <c r="S5671" t="n">
        <v>0</v>
      </c>
      <c r="T5671" t="n">
        <v>0</v>
      </c>
      <c r="U5671" t="n">
        <v>0</v>
      </c>
      <c r="V5671" s="2" t="inlineStr"/>
    </row>
    <row r="5672" ht="15" customHeight="1">
      <c r="A5672" t="inlineStr">
        <is>
          <t>A 54855-2025</t>
        </is>
      </c>
      <c r="B5672" t="inlineStr">
        <is>
          <t>avverkningsanmälan</t>
        </is>
      </c>
      <c r="C5672" t="inlineStr">
        <is>
          <t>Föryngringsavverkning</t>
        </is>
      </c>
      <c r="D5672" s="1" t="n">
        <v>45966</v>
      </c>
      <c r="E5672" s="1" t="n">
        <v>46323</v>
      </c>
      <c r="F5672" t="inlineStr">
        <is>
          <t>KALMAR LÄN</t>
        </is>
      </c>
      <c r="G5672" t="inlineStr">
        <is>
          <t>EMMABODA</t>
        </is>
      </c>
      <c r="I5672" t="n">
        <v>1.7</v>
      </c>
      <c r="J5672" t="n">
        <v>0</v>
      </c>
      <c r="K5672" t="n">
        <v>0</v>
      </c>
      <c r="L5672" t="n">
        <v>0</v>
      </c>
      <c r="M5672" t="n">
        <v>0</v>
      </c>
      <c r="N5672" t="n">
        <v>0</v>
      </c>
      <c r="O5672" t="n">
        <v>0</v>
      </c>
      <c r="P5672" t="n">
        <v>0</v>
      </c>
      <c r="Q5672" t="n">
        <v>0</v>
      </c>
      <c r="R5672" t="n">
        <v>0</v>
      </c>
      <c r="S5672" t="n">
        <v>0</v>
      </c>
      <c r="T5672" t="n">
        <v>0</v>
      </c>
      <c r="U5672" t="n">
        <v>0</v>
      </c>
      <c r="V5672" s="2" t="inlineStr"/>
    </row>
    <row r="5673" ht="15" customHeight="1">
      <c r="A5673" t="inlineStr">
        <is>
          <t>A 4097-2024</t>
        </is>
      </c>
      <c r="B5673" t="inlineStr">
        <is>
          <t>avverkningsanmälan</t>
        </is>
      </c>
      <c r="C5673" t="inlineStr">
        <is>
          <t>Avverkning för annat ändamål</t>
        </is>
      </c>
      <c r="D5673" s="1" t="n">
        <v>45323</v>
      </c>
      <c r="E5673" s="1" t="n">
        <v>46323</v>
      </c>
      <c r="F5673" t="inlineStr">
        <is>
          <t>KALMAR LÄN</t>
        </is>
      </c>
      <c r="G5673" t="inlineStr">
        <is>
          <t>OSKARSHAMN</t>
        </is>
      </c>
      <c r="I5673" t="n">
        <v>2</v>
      </c>
      <c r="J5673" t="n">
        <v>0</v>
      </c>
      <c r="K5673" t="n">
        <v>0</v>
      </c>
      <c r="L5673" t="n">
        <v>0</v>
      </c>
      <c r="M5673" t="n">
        <v>0</v>
      </c>
      <c r="N5673" t="n">
        <v>0</v>
      </c>
      <c r="O5673" t="n">
        <v>0</v>
      </c>
      <c r="P5673" t="n">
        <v>0</v>
      </c>
      <c r="Q5673" t="n">
        <v>0</v>
      </c>
      <c r="R5673" t="n">
        <v>0</v>
      </c>
      <c r="S5673" t="n">
        <v>0</v>
      </c>
      <c r="T5673" t="n">
        <v>0</v>
      </c>
      <c r="U5673" t="n">
        <v>0</v>
      </c>
      <c r="V5673" s="2" t="inlineStr"/>
    </row>
    <row r="5674" ht="15" customHeight="1">
      <c r="A5674" t="inlineStr">
        <is>
          <t>A 42708-2026</t>
        </is>
      </c>
      <c r="B5674" t="inlineStr">
        <is>
          <t>avverkningsanmälan</t>
        </is>
      </c>
      <c r="C5674" t="inlineStr">
        <is>
          <t>Föryngringsavverkning</t>
        </is>
      </c>
      <c r="D5674" s="1" t="n">
        <v>46309</v>
      </c>
      <c r="E5674" s="1" t="n">
        <v>46323</v>
      </c>
      <c r="F5674" t="inlineStr">
        <is>
          <t>KALMAR LÄN</t>
        </is>
      </c>
      <c r="G5674" t="inlineStr">
        <is>
          <t>HÖGSBY</t>
        </is>
      </c>
      <c r="H5674" t="inlineStr">
        <is>
          <t>Sveaskog</t>
        </is>
      </c>
      <c r="I5674" t="n">
        <v>2</v>
      </c>
      <c r="J5674" t="n">
        <v>0</v>
      </c>
      <c r="K5674" t="n">
        <v>0</v>
      </c>
      <c r="L5674" t="n">
        <v>0</v>
      </c>
      <c r="M5674" t="n">
        <v>0</v>
      </c>
      <c r="N5674" t="n">
        <v>0</v>
      </c>
      <c r="O5674" t="n">
        <v>0</v>
      </c>
      <c r="P5674" t="n">
        <v>0</v>
      </c>
      <c r="Q5674" t="n">
        <v>0</v>
      </c>
      <c r="R5674" t="n">
        <v>0</v>
      </c>
      <c r="S5674" t="n">
        <v>0</v>
      </c>
      <c r="T5674" t="n">
        <v>0</v>
      </c>
      <c r="U5674" t="n">
        <v>0</v>
      </c>
      <c r="V5674" s="2" t="inlineStr"/>
    </row>
    <row r="5675" ht="15" customHeight="1">
      <c r="A5675" t="inlineStr">
        <is>
          <t>A 30281-2025</t>
        </is>
      </c>
      <c r="B5675" t="inlineStr">
        <is>
          <t>avverkningsanmälan</t>
        </is>
      </c>
      <c r="C5675" t="inlineStr">
        <is>
          <t>Föryngringsavverkning</t>
        </is>
      </c>
      <c r="D5675" s="1" t="n">
        <v>45827</v>
      </c>
      <c r="E5675" s="1" t="n">
        <v>46323</v>
      </c>
      <c r="F5675" t="inlineStr">
        <is>
          <t>KALMAR LÄN</t>
        </is>
      </c>
      <c r="G5675" t="inlineStr">
        <is>
          <t>HULTSFRED</t>
        </is>
      </c>
      <c r="I5675" t="n">
        <v>1.4</v>
      </c>
      <c r="J5675" t="n">
        <v>0</v>
      </c>
      <c r="K5675" t="n">
        <v>0</v>
      </c>
      <c r="L5675" t="n">
        <v>0</v>
      </c>
      <c r="M5675" t="n">
        <v>0</v>
      </c>
      <c r="N5675" t="n">
        <v>0</v>
      </c>
      <c r="O5675" t="n">
        <v>0</v>
      </c>
      <c r="P5675" t="n">
        <v>0</v>
      </c>
      <c r="Q5675" t="n">
        <v>0</v>
      </c>
      <c r="R5675" t="n">
        <v>0</v>
      </c>
      <c r="S5675" t="n">
        <v>0</v>
      </c>
      <c r="T5675" t="n">
        <v>0</v>
      </c>
      <c r="U5675" t="n">
        <v>0</v>
      </c>
      <c r="V5675" s="2" t="inlineStr"/>
    </row>
    <row r="5676" ht="15" customHeight="1">
      <c r="A5676" t="inlineStr">
        <is>
          <t>A 25827-2025</t>
        </is>
      </c>
      <c r="B5676" t="inlineStr">
        <is>
          <t>avverkningsanmälan</t>
        </is>
      </c>
      <c r="C5676" t="inlineStr">
        <is>
          <t>Föryngringsavverkning</t>
        </is>
      </c>
      <c r="D5676" s="1" t="n">
        <v>45804</v>
      </c>
      <c r="E5676" s="1" t="n">
        <v>46323</v>
      </c>
      <c r="F5676" t="inlineStr">
        <is>
          <t>KALMAR LÄN</t>
        </is>
      </c>
      <c r="G5676" t="inlineStr">
        <is>
          <t>VÄSTERVIK</t>
        </is>
      </c>
      <c r="I5676" t="n">
        <v>1.8</v>
      </c>
      <c r="J5676" t="n">
        <v>0</v>
      </c>
      <c r="K5676" t="n">
        <v>0</v>
      </c>
      <c r="L5676" t="n">
        <v>0</v>
      </c>
      <c r="M5676" t="n">
        <v>0</v>
      </c>
      <c r="N5676" t="n">
        <v>0</v>
      </c>
      <c r="O5676" t="n">
        <v>0</v>
      </c>
      <c r="P5676" t="n">
        <v>0</v>
      </c>
      <c r="Q5676" t="n">
        <v>0</v>
      </c>
      <c r="R5676" t="n">
        <v>0</v>
      </c>
      <c r="S5676" t="n">
        <v>0</v>
      </c>
      <c r="T5676" t="n">
        <v>0</v>
      </c>
      <c r="U5676" t="n">
        <v>0</v>
      </c>
      <c r="V5676" s="2" t="inlineStr"/>
    </row>
    <row r="5677" ht="15" customHeight="1">
      <c r="A5677" t="inlineStr">
        <is>
          <t>A 57359-2024</t>
        </is>
      </c>
      <c r="B5677" t="inlineStr">
        <is>
          <t>avverkningsanmälan</t>
        </is>
      </c>
      <c r="C5677" t="inlineStr">
        <is>
          <t>Föryngringsavverkning</t>
        </is>
      </c>
      <c r="D5677" s="1" t="n">
        <v>45629</v>
      </c>
      <c r="E5677" s="1" t="n">
        <v>46323</v>
      </c>
      <c r="F5677" t="inlineStr">
        <is>
          <t>KALMAR LÄN</t>
        </is>
      </c>
      <c r="G5677" t="inlineStr">
        <is>
          <t>OSKARSHAMN</t>
        </is>
      </c>
      <c r="I5677" t="n">
        <v>2.7</v>
      </c>
      <c r="J5677" t="n">
        <v>0</v>
      </c>
      <c r="K5677" t="n">
        <v>0</v>
      </c>
      <c r="L5677" t="n">
        <v>0</v>
      </c>
      <c r="M5677" t="n">
        <v>0</v>
      </c>
      <c r="N5677" t="n">
        <v>0</v>
      </c>
      <c r="O5677" t="n">
        <v>0</v>
      </c>
      <c r="P5677" t="n">
        <v>0</v>
      </c>
      <c r="Q5677" t="n">
        <v>0</v>
      </c>
      <c r="R5677" t="n">
        <v>0</v>
      </c>
      <c r="S5677" t="n">
        <v>0</v>
      </c>
      <c r="T5677" t="n">
        <v>0</v>
      </c>
      <c r="U5677" t="n">
        <v>0</v>
      </c>
      <c r="V5677" s="2" t="inlineStr"/>
    </row>
    <row r="5678" ht="15" customHeight="1">
      <c r="A5678" t="inlineStr">
        <is>
          <t>A 28952-2023</t>
        </is>
      </c>
      <c r="B5678" t="inlineStr">
        <is>
          <t>avverkningsanmälan</t>
        </is>
      </c>
      <c r="C5678" t="inlineStr">
        <is>
          <t>Föryngringsavverkning</t>
        </is>
      </c>
      <c r="D5678" s="1" t="n">
        <v>45104</v>
      </c>
      <c r="E5678" s="1" t="n">
        <v>46323</v>
      </c>
      <c r="F5678" t="inlineStr">
        <is>
          <t>KALMAR LÄN</t>
        </is>
      </c>
      <c r="G5678" t="inlineStr">
        <is>
          <t>VÄSTERVIK</t>
        </is>
      </c>
      <c r="H5678" t="inlineStr">
        <is>
          <t>Holmen skog AB</t>
        </is>
      </c>
      <c r="I5678" t="n">
        <v>1</v>
      </c>
      <c r="J5678" t="n">
        <v>0</v>
      </c>
      <c r="K5678" t="n">
        <v>0</v>
      </c>
      <c r="L5678" t="n">
        <v>0</v>
      </c>
      <c r="M5678" t="n">
        <v>0</v>
      </c>
      <c r="N5678" t="n">
        <v>0</v>
      </c>
      <c r="O5678" t="n">
        <v>0</v>
      </c>
      <c r="P5678" t="n">
        <v>0</v>
      </c>
      <c r="Q5678" t="n">
        <v>0</v>
      </c>
      <c r="R5678" t="n">
        <v>0</v>
      </c>
      <c r="S5678" t="n">
        <v>0</v>
      </c>
      <c r="T5678" t="n">
        <v>0</v>
      </c>
      <c r="U5678" t="n">
        <v>0</v>
      </c>
      <c r="V5678" s="2" t="inlineStr"/>
    </row>
    <row r="5679" ht="15" customHeight="1">
      <c r="A5679" t="inlineStr">
        <is>
          <t>A 52465-2025</t>
        </is>
      </c>
      <c r="B5679" t="inlineStr">
        <is>
          <t>avverkningsanmälan</t>
        </is>
      </c>
      <c r="C5679" t="inlineStr">
        <is>
          <t>Föryngringsavverkning</t>
        </is>
      </c>
      <c r="D5679" s="1" t="n">
        <v>45954</v>
      </c>
      <c r="E5679" s="1" t="n">
        <v>46323</v>
      </c>
      <c r="F5679" t="inlineStr">
        <is>
          <t>KALMAR LÄN</t>
        </is>
      </c>
      <c r="G5679" t="inlineStr">
        <is>
          <t>VIMMERBY</t>
        </is>
      </c>
      <c r="I5679" t="n">
        <v>0.9</v>
      </c>
      <c r="J5679" t="n">
        <v>0</v>
      </c>
      <c r="K5679" t="n">
        <v>0</v>
      </c>
      <c r="L5679" t="n">
        <v>0</v>
      </c>
      <c r="M5679" t="n">
        <v>0</v>
      </c>
      <c r="N5679" t="n">
        <v>0</v>
      </c>
      <c r="O5679" t="n">
        <v>0</v>
      </c>
      <c r="P5679" t="n">
        <v>0</v>
      </c>
      <c r="Q5679" t="n">
        <v>0</v>
      </c>
      <c r="R5679" t="n">
        <v>0</v>
      </c>
      <c r="S5679" t="n">
        <v>0</v>
      </c>
      <c r="T5679" t="n">
        <v>0</v>
      </c>
      <c r="U5679" t="n">
        <v>0</v>
      </c>
      <c r="V5679" s="2" t="inlineStr"/>
    </row>
    <row r="5680" ht="15" customHeight="1">
      <c r="A5680" t="inlineStr">
        <is>
          <t>A 42826-2026</t>
        </is>
      </c>
      <c r="B5680" t="inlineStr">
        <is>
          <t>avverkningsanmälan</t>
        </is>
      </c>
      <c r="C5680" t="inlineStr">
        <is>
          <t>Föryngringsavverkning</t>
        </is>
      </c>
      <c r="D5680" s="1" t="n">
        <v>46310</v>
      </c>
      <c r="E5680" s="1" t="n">
        <v>46323</v>
      </c>
      <c r="F5680" t="inlineStr">
        <is>
          <t>KALMAR LÄN</t>
        </is>
      </c>
      <c r="G5680" t="inlineStr">
        <is>
          <t>VÄSTERVIK</t>
        </is>
      </c>
      <c r="H5680" t="inlineStr">
        <is>
          <t>Holmen skog AB</t>
        </is>
      </c>
      <c r="I5680" t="n">
        <v>11.2</v>
      </c>
      <c r="J5680" t="n">
        <v>0</v>
      </c>
      <c r="K5680" t="n">
        <v>0</v>
      </c>
      <c r="L5680" t="n">
        <v>0</v>
      </c>
      <c r="M5680" t="n">
        <v>0</v>
      </c>
      <c r="N5680" t="n">
        <v>0</v>
      </c>
      <c r="O5680" t="n">
        <v>0</v>
      </c>
      <c r="P5680" t="n">
        <v>0</v>
      </c>
      <c r="Q5680" t="n">
        <v>0</v>
      </c>
      <c r="R5680" t="n">
        <v>0</v>
      </c>
      <c r="S5680" t="n">
        <v>0</v>
      </c>
      <c r="T5680" t="n">
        <v>0</v>
      </c>
      <c r="U5680" t="n">
        <v>0</v>
      </c>
      <c r="V5680" s="2" t="inlineStr"/>
    </row>
    <row r="5681" ht="15" customHeight="1">
      <c r="A5681" t="inlineStr">
        <is>
          <t>A 35914-2026</t>
        </is>
      </c>
      <c r="B5681" t="inlineStr">
        <is>
          <t>avverkningsanmälan</t>
        </is>
      </c>
      <c r="C5681" t="inlineStr">
        <is>
          <t>Föryngringsavverkning</t>
        </is>
      </c>
      <c r="D5681" s="1" t="n">
        <v>46266</v>
      </c>
      <c r="E5681" s="1" t="n">
        <v>46323</v>
      </c>
      <c r="F5681" t="inlineStr">
        <is>
          <t>KALMAR LÄN</t>
        </is>
      </c>
      <c r="G5681" t="inlineStr">
        <is>
          <t>HÖGSBY</t>
        </is>
      </c>
      <c r="I5681" t="n">
        <v>7.7</v>
      </c>
      <c r="J5681" t="n">
        <v>0</v>
      </c>
      <c r="K5681" t="n">
        <v>0</v>
      </c>
      <c r="L5681" t="n">
        <v>0</v>
      </c>
      <c r="M5681" t="n">
        <v>0</v>
      </c>
      <c r="N5681" t="n">
        <v>0</v>
      </c>
      <c r="O5681" t="n">
        <v>0</v>
      </c>
      <c r="P5681" t="n">
        <v>0</v>
      </c>
      <c r="Q5681" t="n">
        <v>0</v>
      </c>
      <c r="R5681" t="n">
        <v>0</v>
      </c>
      <c r="S5681" t="n">
        <v>0</v>
      </c>
      <c r="T5681" t="n">
        <v>0</v>
      </c>
      <c r="U5681" t="n">
        <v>0</v>
      </c>
      <c r="V5681" s="2" t="inlineStr"/>
    </row>
    <row r="5682" ht="15" customHeight="1">
      <c r="A5682" t="inlineStr">
        <is>
          <t>A 33160-2026</t>
        </is>
      </c>
      <c r="B5682" t="inlineStr">
        <is>
          <t>avverkningsanmälan</t>
        </is>
      </c>
      <c r="C5682" t="inlineStr">
        <is>
          <t>Avverkning för att bevara och utveckla /försöksver</t>
        </is>
      </c>
      <c r="D5682" s="1" t="n">
        <v>46245</v>
      </c>
      <c r="E5682" s="1" t="n">
        <v>46323</v>
      </c>
      <c r="F5682" t="inlineStr">
        <is>
          <t>KALMAR LÄN</t>
        </is>
      </c>
      <c r="G5682" t="inlineStr">
        <is>
          <t>EMMABODA</t>
        </is>
      </c>
      <c r="I5682" t="n">
        <v>0.8</v>
      </c>
      <c r="J5682" t="n">
        <v>0</v>
      </c>
      <c r="K5682" t="n">
        <v>0</v>
      </c>
      <c r="L5682" t="n">
        <v>0</v>
      </c>
      <c r="M5682" t="n">
        <v>0</v>
      </c>
      <c r="N5682" t="n">
        <v>0</v>
      </c>
      <c r="O5682" t="n">
        <v>0</v>
      </c>
      <c r="P5682" t="n">
        <v>0</v>
      </c>
      <c r="Q5682" t="n">
        <v>0</v>
      </c>
      <c r="R5682" t="n">
        <v>0</v>
      </c>
      <c r="S5682" t="n">
        <v>0</v>
      </c>
      <c r="T5682" t="n">
        <v>0</v>
      </c>
      <c r="U5682" t="n">
        <v>0</v>
      </c>
      <c r="V5682" s="2" t="inlineStr"/>
    </row>
    <row r="5683" ht="15" customHeight="1">
      <c r="A5683" t="inlineStr">
        <is>
          <t>A 25740-2023</t>
        </is>
      </c>
      <c r="B5683" t="inlineStr">
        <is>
          <t>avverkningsanmälan</t>
        </is>
      </c>
      <c r="C5683" t="inlineStr">
        <is>
          <t>Föryngringsavverkning</t>
        </is>
      </c>
      <c r="D5683" s="1" t="n">
        <v>45090</v>
      </c>
      <c r="E5683" s="1" t="n">
        <v>46323</v>
      </c>
      <c r="F5683" t="inlineStr">
        <is>
          <t>KALMAR LÄN</t>
        </is>
      </c>
      <c r="G5683" t="inlineStr">
        <is>
          <t>KALMAR</t>
        </is>
      </c>
      <c r="I5683" t="n">
        <v>1.3</v>
      </c>
      <c r="J5683" t="n">
        <v>0</v>
      </c>
      <c r="K5683" t="n">
        <v>0</v>
      </c>
      <c r="L5683" t="n">
        <v>0</v>
      </c>
      <c r="M5683" t="n">
        <v>0</v>
      </c>
      <c r="N5683" t="n">
        <v>0</v>
      </c>
      <c r="O5683" t="n">
        <v>0</v>
      </c>
      <c r="P5683" t="n">
        <v>0</v>
      </c>
      <c r="Q5683" t="n">
        <v>0</v>
      </c>
      <c r="R5683" t="n">
        <v>0</v>
      </c>
      <c r="S5683" t="n">
        <v>0</v>
      </c>
      <c r="T5683" t="n">
        <v>0</v>
      </c>
      <c r="U5683" t="n">
        <v>0</v>
      </c>
      <c r="V5683" s="2" t="inlineStr"/>
    </row>
    <row r="5684" ht="15" customHeight="1">
      <c r="A5684" t="inlineStr">
        <is>
          <t>A 36189-2026</t>
        </is>
      </c>
      <c r="B5684" t="inlineStr">
        <is>
          <t>avverkningsanmälan</t>
        </is>
      </c>
      <c r="C5684" t="inlineStr">
        <is>
          <t>Föryngringsavverkning</t>
        </is>
      </c>
      <c r="D5684" s="1" t="n">
        <v>46267</v>
      </c>
      <c r="E5684" s="1" t="n">
        <v>46323</v>
      </c>
      <c r="F5684" t="inlineStr">
        <is>
          <t>KALMAR LÄN</t>
        </is>
      </c>
      <c r="G5684" t="inlineStr">
        <is>
          <t>HÖGSBY</t>
        </is>
      </c>
      <c r="I5684" t="n">
        <v>2.3</v>
      </c>
      <c r="J5684" t="n">
        <v>0</v>
      </c>
      <c r="K5684" t="n">
        <v>0</v>
      </c>
      <c r="L5684" t="n">
        <v>0</v>
      </c>
      <c r="M5684" t="n">
        <v>0</v>
      </c>
      <c r="N5684" t="n">
        <v>0</v>
      </c>
      <c r="O5684" t="n">
        <v>0</v>
      </c>
      <c r="P5684" t="n">
        <v>0</v>
      </c>
      <c r="Q5684" t="n">
        <v>0</v>
      </c>
      <c r="R5684" t="n">
        <v>0</v>
      </c>
      <c r="S5684" t="n">
        <v>0</v>
      </c>
      <c r="T5684" t="n">
        <v>0</v>
      </c>
      <c r="U5684" t="n">
        <v>0</v>
      </c>
      <c r="V5684" s="2" t="inlineStr"/>
    </row>
    <row r="5685" ht="15" customHeight="1">
      <c r="A5685" t="inlineStr">
        <is>
          <t>A 35910-2026</t>
        </is>
      </c>
      <c r="B5685" t="inlineStr">
        <is>
          <t>avverkningsanmälan</t>
        </is>
      </c>
      <c r="C5685" t="inlineStr">
        <is>
          <t>Föryngringsavverkning</t>
        </is>
      </c>
      <c r="D5685" s="1" t="n">
        <v>46266</v>
      </c>
      <c r="E5685" s="1" t="n">
        <v>46323</v>
      </c>
      <c r="F5685" t="inlineStr">
        <is>
          <t>KALMAR LÄN</t>
        </is>
      </c>
      <c r="G5685" t="inlineStr">
        <is>
          <t>HÖGSBY</t>
        </is>
      </c>
      <c r="I5685" t="n">
        <v>4.5</v>
      </c>
      <c r="J5685" t="n">
        <v>0</v>
      </c>
      <c r="K5685" t="n">
        <v>0</v>
      </c>
      <c r="L5685" t="n">
        <v>0</v>
      </c>
      <c r="M5685" t="n">
        <v>0</v>
      </c>
      <c r="N5685" t="n">
        <v>0</v>
      </c>
      <c r="O5685" t="n">
        <v>0</v>
      </c>
      <c r="P5685" t="n">
        <v>0</v>
      </c>
      <c r="Q5685" t="n">
        <v>0</v>
      </c>
      <c r="R5685" t="n">
        <v>0</v>
      </c>
      <c r="S5685" t="n">
        <v>0</v>
      </c>
      <c r="T5685" t="n">
        <v>0</v>
      </c>
      <c r="U5685" t="n">
        <v>0</v>
      </c>
      <c r="V5685" s="2" t="inlineStr"/>
    </row>
    <row r="5686" ht="15" customHeight="1">
      <c r="A5686" t="inlineStr">
        <is>
          <t>A 28945-2025</t>
        </is>
      </c>
      <c r="B5686" t="inlineStr">
        <is>
          <t>avverkningsanmälan</t>
        </is>
      </c>
      <c r="C5686" t="inlineStr">
        <is>
          <t>Avverkning för att bevara och utveckla /försöksver</t>
        </is>
      </c>
      <c r="D5686" s="1" t="n">
        <v>45820</v>
      </c>
      <c r="E5686" s="1" t="n">
        <v>46323</v>
      </c>
      <c r="F5686" t="inlineStr">
        <is>
          <t>KALMAR LÄN</t>
        </is>
      </c>
      <c r="G5686" t="inlineStr">
        <is>
          <t>TORSÅS</t>
        </is>
      </c>
      <c r="I5686" t="n">
        <v>3</v>
      </c>
      <c r="J5686" t="n">
        <v>0</v>
      </c>
      <c r="K5686" t="n">
        <v>0</v>
      </c>
      <c r="L5686" t="n">
        <v>0</v>
      </c>
      <c r="M5686" t="n">
        <v>0</v>
      </c>
      <c r="N5686" t="n">
        <v>0</v>
      </c>
      <c r="O5686" t="n">
        <v>0</v>
      </c>
      <c r="P5686" t="n">
        <v>0</v>
      </c>
      <c r="Q5686" t="n">
        <v>0</v>
      </c>
      <c r="R5686" t="n">
        <v>0</v>
      </c>
      <c r="S5686" t="n">
        <v>0</v>
      </c>
      <c r="T5686" t="n">
        <v>0</v>
      </c>
      <c r="U5686" t="n">
        <v>0</v>
      </c>
      <c r="V5686" s="2" t="inlineStr"/>
    </row>
    <row r="5687" ht="15" customHeight="1">
      <c r="A5687" t="inlineStr">
        <is>
          <t>A 35940-2026</t>
        </is>
      </c>
      <c r="B5687" t="inlineStr">
        <is>
          <t>avverkningsanmälan</t>
        </is>
      </c>
      <c r="C5687" t="inlineStr">
        <is>
          <t>Föryngringsavverkning</t>
        </is>
      </c>
      <c r="D5687" s="1" t="n">
        <v>46266</v>
      </c>
      <c r="E5687" s="1" t="n">
        <v>46323</v>
      </c>
      <c r="F5687" t="inlineStr">
        <is>
          <t>KALMAR LÄN</t>
        </is>
      </c>
      <c r="G5687" t="inlineStr">
        <is>
          <t>OSKARSHAMN</t>
        </is>
      </c>
      <c r="I5687" t="n">
        <v>1.3</v>
      </c>
      <c r="J5687" t="n">
        <v>0</v>
      </c>
      <c r="K5687" t="n">
        <v>0</v>
      </c>
      <c r="L5687" t="n">
        <v>0</v>
      </c>
      <c r="M5687" t="n">
        <v>0</v>
      </c>
      <c r="N5687" t="n">
        <v>0</v>
      </c>
      <c r="O5687" t="n">
        <v>0</v>
      </c>
      <c r="P5687" t="n">
        <v>0</v>
      </c>
      <c r="Q5687" t="n">
        <v>0</v>
      </c>
      <c r="R5687" t="n">
        <v>0</v>
      </c>
      <c r="S5687" t="n">
        <v>0</v>
      </c>
      <c r="T5687" t="n">
        <v>0</v>
      </c>
      <c r="U5687" t="n">
        <v>0</v>
      </c>
      <c r="V5687" s="2" t="inlineStr"/>
    </row>
    <row r="5688" ht="15" customHeight="1">
      <c r="A5688" t="inlineStr">
        <is>
          <t>A 36200-2026</t>
        </is>
      </c>
      <c r="B5688" t="inlineStr">
        <is>
          <t>avverkningsanmälan</t>
        </is>
      </c>
      <c r="C5688" t="inlineStr">
        <is>
          <t>Föryngringsavverkning</t>
        </is>
      </c>
      <c r="D5688" s="1" t="n">
        <v>46267</v>
      </c>
      <c r="E5688" s="1" t="n">
        <v>46323</v>
      </c>
      <c r="F5688" t="inlineStr">
        <is>
          <t>KALMAR LÄN</t>
        </is>
      </c>
      <c r="G5688" t="inlineStr">
        <is>
          <t>HÖGSBY</t>
        </is>
      </c>
      <c r="I5688" t="n">
        <v>4.9</v>
      </c>
      <c r="J5688" t="n">
        <v>0</v>
      </c>
      <c r="K5688" t="n">
        <v>0</v>
      </c>
      <c r="L5688" t="n">
        <v>0</v>
      </c>
      <c r="M5688" t="n">
        <v>0</v>
      </c>
      <c r="N5688" t="n">
        <v>0</v>
      </c>
      <c r="O5688" t="n">
        <v>0</v>
      </c>
      <c r="P5688" t="n">
        <v>0</v>
      </c>
      <c r="Q5688" t="n">
        <v>0</v>
      </c>
      <c r="R5688" t="n">
        <v>0</v>
      </c>
      <c r="S5688" t="n">
        <v>0</v>
      </c>
      <c r="T5688" t="n">
        <v>0</v>
      </c>
      <c r="U5688" t="n">
        <v>0</v>
      </c>
      <c r="V5688" s="2" t="inlineStr"/>
    </row>
    <row r="5689" ht="15" customHeight="1">
      <c r="A5689" t="inlineStr">
        <is>
          <t>A 42831-2026</t>
        </is>
      </c>
      <c r="B5689" t="inlineStr">
        <is>
          <t>avverkningsanmälan</t>
        </is>
      </c>
      <c r="C5689" t="inlineStr">
        <is>
          <t>Föryngringsavverkning</t>
        </is>
      </c>
      <c r="D5689" s="1" t="n">
        <v>46310</v>
      </c>
      <c r="E5689" s="1" t="n">
        <v>46323</v>
      </c>
      <c r="F5689" t="inlineStr">
        <is>
          <t>KALMAR LÄN</t>
        </is>
      </c>
      <c r="G5689" t="inlineStr">
        <is>
          <t>HÖGSBY</t>
        </is>
      </c>
      <c r="I5689" t="n">
        <v>2.5</v>
      </c>
      <c r="J5689" t="n">
        <v>0</v>
      </c>
      <c r="K5689" t="n">
        <v>0</v>
      </c>
      <c r="L5689" t="n">
        <v>0</v>
      </c>
      <c r="M5689" t="n">
        <v>0</v>
      </c>
      <c r="N5689" t="n">
        <v>0</v>
      </c>
      <c r="O5689" t="n">
        <v>0</v>
      </c>
      <c r="P5689" t="n">
        <v>0</v>
      </c>
      <c r="Q5689" t="n">
        <v>0</v>
      </c>
      <c r="R5689" t="n">
        <v>0</v>
      </c>
      <c r="S5689" t="n">
        <v>0</v>
      </c>
      <c r="T5689" t="n">
        <v>0</v>
      </c>
      <c r="U5689" t="n">
        <v>0</v>
      </c>
      <c r="V5689" s="2" t="inlineStr"/>
    </row>
    <row r="5690" ht="15" customHeight="1">
      <c r="A5690" t="inlineStr">
        <is>
          <t>A 36698-2023</t>
        </is>
      </c>
      <c r="B5690" t="inlineStr">
        <is>
          <t>avverkningsanmälan</t>
        </is>
      </c>
      <c r="C5690" t="inlineStr">
        <is>
          <t>Föryngringsavverkning</t>
        </is>
      </c>
      <c r="D5690" s="1" t="n">
        <v>45153</v>
      </c>
      <c r="E5690" s="1" t="n">
        <v>46323</v>
      </c>
      <c r="F5690" t="inlineStr">
        <is>
          <t>KALMAR LÄN</t>
        </is>
      </c>
      <c r="G5690" t="inlineStr">
        <is>
          <t>HULTSFRED</t>
        </is>
      </c>
      <c r="I5690" t="n">
        <v>7.4</v>
      </c>
      <c r="J5690" t="n">
        <v>0</v>
      </c>
      <c r="K5690" t="n">
        <v>0</v>
      </c>
      <c r="L5690" t="n">
        <v>0</v>
      </c>
      <c r="M5690" t="n">
        <v>0</v>
      </c>
      <c r="N5690" t="n">
        <v>0</v>
      </c>
      <c r="O5690" t="n">
        <v>0</v>
      </c>
      <c r="P5690" t="n">
        <v>0</v>
      </c>
      <c r="Q5690" t="n">
        <v>0</v>
      </c>
      <c r="R5690" t="n">
        <v>0</v>
      </c>
      <c r="S5690" t="n">
        <v>0</v>
      </c>
      <c r="T5690" t="n">
        <v>0</v>
      </c>
      <c r="U5690" t="n">
        <v>0</v>
      </c>
      <c r="V5690" s="2" t="inlineStr"/>
    </row>
    <row r="5691" ht="15" customHeight="1">
      <c r="A5691" t="inlineStr">
        <is>
          <t>A 23824-2023</t>
        </is>
      </c>
      <c r="B5691" t="inlineStr">
        <is>
          <t>avverkningsanmälan</t>
        </is>
      </c>
      <c r="C5691" t="inlineStr">
        <is>
          <t>Föryngringsavverkning</t>
        </is>
      </c>
      <c r="D5691" s="1" t="n">
        <v>45078</v>
      </c>
      <c r="E5691" s="1" t="n">
        <v>46323</v>
      </c>
      <c r="F5691" t="inlineStr">
        <is>
          <t>KALMAR LÄN</t>
        </is>
      </c>
      <c r="G5691" t="inlineStr">
        <is>
          <t>NYBRO</t>
        </is>
      </c>
      <c r="I5691" t="n">
        <v>4.8</v>
      </c>
      <c r="J5691" t="n">
        <v>0</v>
      </c>
      <c r="K5691" t="n">
        <v>0</v>
      </c>
      <c r="L5691" t="n">
        <v>0</v>
      </c>
      <c r="M5691" t="n">
        <v>0</v>
      </c>
      <c r="N5691" t="n">
        <v>0</v>
      </c>
      <c r="O5691" t="n">
        <v>0</v>
      </c>
      <c r="P5691" t="n">
        <v>0</v>
      </c>
      <c r="Q5691" t="n">
        <v>0</v>
      </c>
      <c r="R5691" t="n">
        <v>0</v>
      </c>
      <c r="S5691" t="n">
        <v>0</v>
      </c>
      <c r="T5691" t="n">
        <v>0</v>
      </c>
      <c r="U5691" t="n">
        <v>0</v>
      </c>
      <c r="V5691" s="2" t="inlineStr"/>
    </row>
    <row r="5692" ht="15" customHeight="1">
      <c r="A5692" t="inlineStr">
        <is>
          <t>A 29368-2025</t>
        </is>
      </c>
      <c r="B5692" t="inlineStr">
        <is>
          <t>avverkningsanmälan</t>
        </is>
      </c>
      <c r="C5692" t="inlineStr">
        <is>
          <t>Föryngringsavverkning</t>
        </is>
      </c>
      <c r="D5692" s="1" t="n">
        <v>45824</v>
      </c>
      <c r="E5692" s="1" t="n">
        <v>46323</v>
      </c>
      <c r="F5692" t="inlineStr">
        <is>
          <t>KALMAR LÄN</t>
        </is>
      </c>
      <c r="G5692" t="inlineStr">
        <is>
          <t>NYBRO</t>
        </is>
      </c>
      <c r="H5692" t="inlineStr">
        <is>
          <t>Sveaskog</t>
        </is>
      </c>
      <c r="I5692" t="n">
        <v>1.6</v>
      </c>
      <c r="J5692" t="n">
        <v>0</v>
      </c>
      <c r="K5692" t="n">
        <v>0</v>
      </c>
      <c r="L5692" t="n">
        <v>0</v>
      </c>
      <c r="M5692" t="n">
        <v>0</v>
      </c>
      <c r="N5692" t="n">
        <v>0</v>
      </c>
      <c r="O5692" t="n">
        <v>0</v>
      </c>
      <c r="P5692" t="n">
        <v>0</v>
      </c>
      <c r="Q5692" t="n">
        <v>0</v>
      </c>
      <c r="R5692" t="n">
        <v>0</v>
      </c>
      <c r="S5692" t="n">
        <v>0</v>
      </c>
      <c r="T5692" t="n">
        <v>0</v>
      </c>
      <c r="U5692" t="n">
        <v>0</v>
      </c>
      <c r="V5692" s="2" t="inlineStr"/>
    </row>
    <row r="5693" ht="15" customHeight="1">
      <c r="A5693" t="inlineStr">
        <is>
          <t>A 3982-2023</t>
        </is>
      </c>
      <c r="B5693" t="inlineStr">
        <is>
          <t>avverkningsanmälan</t>
        </is>
      </c>
      <c r="C5693" t="inlineStr">
        <is>
          <t>Föryngringsavverkning</t>
        </is>
      </c>
      <c r="D5693" s="1" t="n">
        <v>44950</v>
      </c>
      <c r="E5693" s="1" t="n">
        <v>46323</v>
      </c>
      <c r="F5693" t="inlineStr">
        <is>
          <t>KALMAR LÄN</t>
        </is>
      </c>
      <c r="G5693" t="inlineStr">
        <is>
          <t>HÖGSBY</t>
        </is>
      </c>
      <c r="I5693" t="n">
        <v>1.1</v>
      </c>
      <c r="J5693" t="n">
        <v>0</v>
      </c>
      <c r="K5693" t="n">
        <v>0</v>
      </c>
      <c r="L5693" t="n">
        <v>0</v>
      </c>
      <c r="M5693" t="n">
        <v>0</v>
      </c>
      <c r="N5693" t="n">
        <v>0</v>
      </c>
      <c r="O5693" t="n">
        <v>0</v>
      </c>
      <c r="P5693" t="n">
        <v>0</v>
      </c>
      <c r="Q5693" t="n">
        <v>0</v>
      </c>
      <c r="R5693" t="n">
        <v>0</v>
      </c>
      <c r="S5693" t="n">
        <v>0</v>
      </c>
      <c r="T5693" t="n">
        <v>0</v>
      </c>
      <c r="U5693" t="n">
        <v>0</v>
      </c>
      <c r="V5693" s="2" t="inlineStr"/>
    </row>
    <row r="5694" ht="15" customHeight="1">
      <c r="A5694" t="inlineStr">
        <is>
          <t>A 39980-2024</t>
        </is>
      </c>
      <c r="B5694" t="inlineStr">
        <is>
          <t>avverkningsanmälan</t>
        </is>
      </c>
      <c r="C5694" t="inlineStr">
        <is>
          <t>Föryngringsavverkning</t>
        </is>
      </c>
      <c r="D5694" s="1" t="n">
        <v>45553</v>
      </c>
      <c r="E5694" s="1" t="n">
        <v>46323</v>
      </c>
      <c r="F5694" t="inlineStr">
        <is>
          <t>KALMAR LÄN</t>
        </is>
      </c>
      <c r="G5694" t="inlineStr">
        <is>
          <t>VÄSTERVIK</t>
        </is>
      </c>
      <c r="I5694" t="n">
        <v>2.3</v>
      </c>
      <c r="J5694" t="n">
        <v>0</v>
      </c>
      <c r="K5694" t="n">
        <v>0</v>
      </c>
      <c r="L5694" t="n">
        <v>0</v>
      </c>
      <c r="M5694" t="n">
        <v>0</v>
      </c>
      <c r="N5694" t="n">
        <v>0</v>
      </c>
      <c r="O5694" t="n">
        <v>0</v>
      </c>
      <c r="P5694" t="n">
        <v>0</v>
      </c>
      <c r="Q5694" t="n">
        <v>0</v>
      </c>
      <c r="R5694" t="n">
        <v>0</v>
      </c>
      <c r="S5694" t="n">
        <v>0</v>
      </c>
      <c r="T5694" t="n">
        <v>0</v>
      </c>
      <c r="U5694" t="n">
        <v>0</v>
      </c>
      <c r="V5694" s="2" t="inlineStr"/>
    </row>
    <row r="5695" ht="15" customHeight="1">
      <c r="A5695" t="inlineStr">
        <is>
          <t>A 44432-2023</t>
        </is>
      </c>
      <c r="B5695" t="inlineStr">
        <is>
          <t>avverkningsanmälan</t>
        </is>
      </c>
      <c r="C5695" t="inlineStr">
        <is>
          <t>Föryngringsavverkning</t>
        </is>
      </c>
      <c r="D5695" s="1" t="n">
        <v>45189</v>
      </c>
      <c r="E5695" s="1" t="n">
        <v>46323</v>
      </c>
      <c r="F5695" t="inlineStr">
        <is>
          <t>KALMAR LÄN</t>
        </is>
      </c>
      <c r="G5695" t="inlineStr">
        <is>
          <t>EMMABODA</t>
        </is>
      </c>
      <c r="I5695" t="n">
        <v>1.1</v>
      </c>
      <c r="J5695" t="n">
        <v>0</v>
      </c>
      <c r="K5695" t="n">
        <v>0</v>
      </c>
      <c r="L5695" t="n">
        <v>0</v>
      </c>
      <c r="M5695" t="n">
        <v>0</v>
      </c>
      <c r="N5695" t="n">
        <v>0</v>
      </c>
      <c r="O5695" t="n">
        <v>0</v>
      </c>
      <c r="P5695" t="n">
        <v>0</v>
      </c>
      <c r="Q5695" t="n">
        <v>0</v>
      </c>
      <c r="R5695" t="n">
        <v>0</v>
      </c>
      <c r="S5695" t="n">
        <v>0</v>
      </c>
      <c r="T5695" t="n">
        <v>0</v>
      </c>
      <c r="U5695" t="n">
        <v>0</v>
      </c>
      <c r="V5695" s="2" t="inlineStr"/>
    </row>
    <row r="5696" ht="15" customHeight="1">
      <c r="A5696" t="inlineStr">
        <is>
          <t>A 44436-2023</t>
        </is>
      </c>
      <c r="B5696" t="inlineStr">
        <is>
          <t>avverkningsanmälan</t>
        </is>
      </c>
      <c r="C5696" t="inlineStr">
        <is>
          <t>Föryngringsavverkning</t>
        </is>
      </c>
      <c r="D5696" s="1" t="n">
        <v>45189</v>
      </c>
      <c r="E5696" s="1" t="n">
        <v>46323</v>
      </c>
      <c r="F5696" t="inlineStr">
        <is>
          <t>KALMAR LÄN</t>
        </is>
      </c>
      <c r="G5696" t="inlineStr">
        <is>
          <t>HÖGSBY</t>
        </is>
      </c>
      <c r="I5696" t="n">
        <v>5</v>
      </c>
      <c r="J5696" t="n">
        <v>0</v>
      </c>
      <c r="K5696" t="n">
        <v>0</v>
      </c>
      <c r="L5696" t="n">
        <v>0</v>
      </c>
      <c r="M5696" t="n">
        <v>0</v>
      </c>
      <c r="N5696" t="n">
        <v>0</v>
      </c>
      <c r="O5696" t="n">
        <v>0</v>
      </c>
      <c r="P5696" t="n">
        <v>0</v>
      </c>
      <c r="Q5696" t="n">
        <v>0</v>
      </c>
      <c r="R5696" t="n">
        <v>0</v>
      </c>
      <c r="S5696" t="n">
        <v>0</v>
      </c>
      <c r="T5696" t="n">
        <v>0</v>
      </c>
      <c r="U5696" t="n">
        <v>0</v>
      </c>
      <c r="V5696" s="2" t="inlineStr"/>
    </row>
    <row r="5697" ht="15" customHeight="1">
      <c r="A5697" t="inlineStr">
        <is>
          <t>A 37986-2023</t>
        </is>
      </c>
      <c r="B5697" t="inlineStr">
        <is>
          <t>avverkningsanmälan</t>
        </is>
      </c>
      <c r="C5697" t="inlineStr">
        <is>
          <t>Föryngringsavverkning</t>
        </is>
      </c>
      <c r="D5697" s="1" t="n">
        <v>45160</v>
      </c>
      <c r="E5697" s="1" t="n">
        <v>46323</v>
      </c>
      <c r="F5697" t="inlineStr">
        <is>
          <t>KALMAR LÄN</t>
        </is>
      </c>
      <c r="G5697" t="inlineStr">
        <is>
          <t>VÄSTERVIK</t>
        </is>
      </c>
      <c r="H5697" t="inlineStr">
        <is>
          <t>Sveaskog</t>
        </is>
      </c>
      <c r="I5697" t="n">
        <v>4</v>
      </c>
      <c r="J5697" t="n">
        <v>0</v>
      </c>
      <c r="K5697" t="n">
        <v>0</v>
      </c>
      <c r="L5697" t="n">
        <v>0</v>
      </c>
      <c r="M5697" t="n">
        <v>0</v>
      </c>
      <c r="N5697" t="n">
        <v>0</v>
      </c>
      <c r="O5697" t="n">
        <v>0</v>
      </c>
      <c r="P5697" t="n">
        <v>0</v>
      </c>
      <c r="Q5697" t="n">
        <v>0</v>
      </c>
      <c r="R5697" t="n">
        <v>0</v>
      </c>
      <c r="S5697" t="n">
        <v>0</v>
      </c>
      <c r="T5697" t="n">
        <v>0</v>
      </c>
      <c r="U5697" t="n">
        <v>0</v>
      </c>
      <c r="V5697" s="2" t="inlineStr"/>
    </row>
    <row r="5698" ht="15" customHeight="1">
      <c r="A5698" t="inlineStr">
        <is>
          <t>A 36140-2026</t>
        </is>
      </c>
      <c r="B5698" t="inlineStr">
        <is>
          <t>avverkningsanmälan</t>
        </is>
      </c>
      <c r="C5698" t="inlineStr">
        <is>
          <t>Föryngringsavverkning</t>
        </is>
      </c>
      <c r="D5698" s="1" t="n">
        <v>46267</v>
      </c>
      <c r="E5698" s="1" t="n">
        <v>46323</v>
      </c>
      <c r="F5698" t="inlineStr">
        <is>
          <t>KALMAR LÄN</t>
        </is>
      </c>
      <c r="G5698" t="inlineStr">
        <is>
          <t>VIMMERBY</t>
        </is>
      </c>
      <c r="I5698" t="n">
        <v>1.1</v>
      </c>
      <c r="J5698" t="n">
        <v>0</v>
      </c>
      <c r="K5698" t="n">
        <v>0</v>
      </c>
      <c r="L5698" t="n">
        <v>0</v>
      </c>
      <c r="M5698" t="n">
        <v>0</v>
      </c>
      <c r="N5698" t="n">
        <v>0</v>
      </c>
      <c r="O5698" t="n">
        <v>0</v>
      </c>
      <c r="P5698" t="n">
        <v>0</v>
      </c>
      <c r="Q5698" t="n">
        <v>0</v>
      </c>
      <c r="R5698" t="n">
        <v>0</v>
      </c>
      <c r="S5698" t="n">
        <v>0</v>
      </c>
      <c r="T5698" t="n">
        <v>0</v>
      </c>
      <c r="U5698" t="n">
        <v>0</v>
      </c>
      <c r="V5698" s="2" t="inlineStr"/>
    </row>
    <row r="5699" ht="15" customHeight="1">
      <c r="A5699" t="inlineStr">
        <is>
          <t>A 36178-2026</t>
        </is>
      </c>
      <c r="B5699" t="inlineStr">
        <is>
          <t>avverkningsanmälan</t>
        </is>
      </c>
      <c r="C5699" t="inlineStr">
        <is>
          <t>Föryngringsavverkning</t>
        </is>
      </c>
      <c r="D5699" s="1" t="n">
        <v>46267</v>
      </c>
      <c r="E5699" s="1" t="n">
        <v>46323</v>
      </c>
      <c r="F5699" t="inlineStr">
        <is>
          <t>KALMAR LÄN</t>
        </is>
      </c>
      <c r="G5699" t="inlineStr">
        <is>
          <t>OSKARSHAMN</t>
        </is>
      </c>
      <c r="I5699" t="n">
        <v>1.3</v>
      </c>
      <c r="J5699" t="n">
        <v>0</v>
      </c>
      <c r="K5699" t="n">
        <v>0</v>
      </c>
      <c r="L5699" t="n">
        <v>0</v>
      </c>
      <c r="M5699" t="n">
        <v>0</v>
      </c>
      <c r="N5699" t="n">
        <v>0</v>
      </c>
      <c r="O5699" t="n">
        <v>0</v>
      </c>
      <c r="P5699" t="n">
        <v>0</v>
      </c>
      <c r="Q5699" t="n">
        <v>0</v>
      </c>
      <c r="R5699" t="n">
        <v>0</v>
      </c>
      <c r="S5699" t="n">
        <v>0</v>
      </c>
      <c r="T5699" t="n">
        <v>0</v>
      </c>
      <c r="U5699" t="n">
        <v>0</v>
      </c>
      <c r="V5699" s="2" t="inlineStr"/>
    </row>
    <row r="5700" ht="15" customHeight="1">
      <c r="A5700" t="inlineStr">
        <is>
          <t>A 29999-2025</t>
        </is>
      </c>
      <c r="B5700" t="inlineStr">
        <is>
          <t>avverkningsanmälan</t>
        </is>
      </c>
      <c r="C5700" t="inlineStr">
        <is>
          <t>Föryngringsavverkning</t>
        </is>
      </c>
      <c r="D5700" s="1" t="n">
        <v>45826</v>
      </c>
      <c r="E5700" s="1" t="n">
        <v>46323</v>
      </c>
      <c r="F5700" t="inlineStr">
        <is>
          <t>KALMAR LÄN</t>
        </is>
      </c>
      <c r="G5700" t="inlineStr">
        <is>
          <t>TORSÅS</t>
        </is>
      </c>
      <c r="I5700" t="n">
        <v>15</v>
      </c>
      <c r="J5700" t="n">
        <v>0</v>
      </c>
      <c r="K5700" t="n">
        <v>0</v>
      </c>
      <c r="L5700" t="n">
        <v>0</v>
      </c>
      <c r="M5700" t="n">
        <v>0</v>
      </c>
      <c r="N5700" t="n">
        <v>0</v>
      </c>
      <c r="O5700" t="n">
        <v>0</v>
      </c>
      <c r="P5700" t="n">
        <v>0</v>
      </c>
      <c r="Q5700" t="n">
        <v>0</v>
      </c>
      <c r="R5700" t="n">
        <v>0</v>
      </c>
      <c r="S5700" t="n">
        <v>0</v>
      </c>
      <c r="T5700" t="n">
        <v>0</v>
      </c>
      <c r="U5700" t="n">
        <v>0</v>
      </c>
      <c r="V5700" s="2" t="inlineStr"/>
    </row>
    <row r="5701" ht="15" customHeight="1">
      <c r="A5701" t="inlineStr">
        <is>
          <t>A 42832-2026</t>
        </is>
      </c>
      <c r="B5701" t="inlineStr">
        <is>
          <t>avverkningsanmälan</t>
        </is>
      </c>
      <c r="C5701" t="inlineStr">
        <is>
          <t>Föryngringsavverkning</t>
        </is>
      </c>
      <c r="D5701" s="1" t="n">
        <v>46310</v>
      </c>
      <c r="E5701" s="1" t="n">
        <v>46323</v>
      </c>
      <c r="F5701" t="inlineStr">
        <is>
          <t>KALMAR LÄN</t>
        </is>
      </c>
      <c r="G5701" t="inlineStr">
        <is>
          <t>HÖGSBY</t>
        </is>
      </c>
      <c r="I5701" t="n">
        <v>0.7</v>
      </c>
      <c r="J5701" t="n">
        <v>0</v>
      </c>
      <c r="K5701" t="n">
        <v>0</v>
      </c>
      <c r="L5701" t="n">
        <v>0</v>
      </c>
      <c r="M5701" t="n">
        <v>0</v>
      </c>
      <c r="N5701" t="n">
        <v>0</v>
      </c>
      <c r="O5701" t="n">
        <v>0</v>
      </c>
      <c r="P5701" t="n">
        <v>0</v>
      </c>
      <c r="Q5701" t="n">
        <v>0</v>
      </c>
      <c r="R5701" t="n">
        <v>0</v>
      </c>
      <c r="S5701" t="n">
        <v>0</v>
      </c>
      <c r="T5701" t="n">
        <v>0</v>
      </c>
      <c r="U5701" t="n">
        <v>0</v>
      </c>
      <c r="V5701" s="2" t="inlineStr"/>
    </row>
    <row r="5702" ht="15" customHeight="1">
      <c r="A5702" t="inlineStr">
        <is>
          <t>A 8618-2026</t>
        </is>
      </c>
      <c r="B5702" t="inlineStr">
        <is>
          <t>avverkningsanmälan</t>
        </is>
      </c>
      <c r="C5702" t="inlineStr">
        <is>
          <t>Föryngringsavverkning</t>
        </is>
      </c>
      <c r="D5702" s="1" t="n">
        <v>46066</v>
      </c>
      <c r="E5702" s="1" t="n">
        <v>46323</v>
      </c>
      <c r="F5702" t="inlineStr">
        <is>
          <t>KALMAR LÄN</t>
        </is>
      </c>
      <c r="G5702" t="inlineStr">
        <is>
          <t>TORSÅS</t>
        </is>
      </c>
      <c r="I5702" t="n">
        <v>2.5</v>
      </c>
      <c r="J5702" t="n">
        <v>0</v>
      </c>
      <c r="K5702" t="n">
        <v>0</v>
      </c>
      <c r="L5702" t="n">
        <v>0</v>
      </c>
      <c r="M5702" t="n">
        <v>0</v>
      </c>
      <c r="N5702" t="n">
        <v>0</v>
      </c>
      <c r="O5702" t="n">
        <v>0</v>
      </c>
      <c r="P5702" t="n">
        <v>0</v>
      </c>
      <c r="Q5702" t="n">
        <v>0</v>
      </c>
      <c r="R5702" t="n">
        <v>0</v>
      </c>
      <c r="S5702" t="n">
        <v>0</v>
      </c>
      <c r="T5702" t="n">
        <v>0</v>
      </c>
      <c r="U5702" t="n">
        <v>0</v>
      </c>
      <c r="V5702" s="2" t="inlineStr"/>
    </row>
    <row r="5703" ht="15" customHeight="1">
      <c r="A5703" t="inlineStr">
        <is>
          <t>A 55185-2025</t>
        </is>
      </c>
      <c r="B5703" t="inlineStr">
        <is>
          <t>avverkningsanmälan</t>
        </is>
      </c>
      <c r="C5703" t="inlineStr">
        <is>
          <t>Föryngringsavverkning</t>
        </is>
      </c>
      <c r="D5703" s="1" t="n">
        <v>45968</v>
      </c>
      <c r="E5703" s="1" t="n">
        <v>46323</v>
      </c>
      <c r="F5703" t="inlineStr">
        <is>
          <t>KALMAR LÄN</t>
        </is>
      </c>
      <c r="G5703" t="inlineStr">
        <is>
          <t>OSKARSHAMN</t>
        </is>
      </c>
      <c r="I5703" t="n">
        <v>4.1</v>
      </c>
      <c r="J5703" t="n">
        <v>0</v>
      </c>
      <c r="K5703" t="n">
        <v>0</v>
      </c>
      <c r="L5703" t="n">
        <v>0</v>
      </c>
      <c r="M5703" t="n">
        <v>0</v>
      </c>
      <c r="N5703" t="n">
        <v>0</v>
      </c>
      <c r="O5703" t="n">
        <v>0</v>
      </c>
      <c r="P5703" t="n">
        <v>0</v>
      </c>
      <c r="Q5703" t="n">
        <v>0</v>
      </c>
      <c r="R5703" t="n">
        <v>0</v>
      </c>
      <c r="S5703" t="n">
        <v>0</v>
      </c>
      <c r="T5703" t="n">
        <v>0</v>
      </c>
      <c r="U5703" t="n">
        <v>0</v>
      </c>
      <c r="V5703" s="2" t="inlineStr"/>
    </row>
    <row r="5704" ht="15" customHeight="1">
      <c r="A5704" t="inlineStr">
        <is>
          <t>A 61438-2023</t>
        </is>
      </c>
      <c r="B5704" t="inlineStr">
        <is>
          <t>avverkningsanmälan</t>
        </is>
      </c>
      <c r="C5704" t="inlineStr">
        <is>
          <t>Avverkning för annat ändamål</t>
        </is>
      </c>
      <c r="D5704" s="1" t="n">
        <v>45264</v>
      </c>
      <c r="E5704" s="1" t="n">
        <v>46323</v>
      </c>
      <c r="F5704" t="inlineStr">
        <is>
          <t>KALMAR LÄN</t>
        </is>
      </c>
      <c r="G5704" t="inlineStr">
        <is>
          <t>BORGHOLM</t>
        </is>
      </c>
      <c r="I5704" t="n">
        <v>1.1</v>
      </c>
      <c r="J5704" t="n">
        <v>0</v>
      </c>
      <c r="K5704" t="n">
        <v>0</v>
      </c>
      <c r="L5704" t="n">
        <v>0</v>
      </c>
      <c r="M5704" t="n">
        <v>0</v>
      </c>
      <c r="N5704" t="n">
        <v>0</v>
      </c>
      <c r="O5704" t="n">
        <v>0</v>
      </c>
      <c r="P5704" t="n">
        <v>0</v>
      </c>
      <c r="Q5704" t="n">
        <v>0</v>
      </c>
      <c r="R5704" t="n">
        <v>0</v>
      </c>
      <c r="S5704" t="n">
        <v>0</v>
      </c>
      <c r="T5704" t="n">
        <v>0</v>
      </c>
      <c r="U5704" t="n">
        <v>0</v>
      </c>
      <c r="V5704" s="2" t="inlineStr"/>
    </row>
    <row r="5705" ht="15" customHeight="1">
      <c r="A5705" t="inlineStr">
        <is>
          <t>A 29059-2025</t>
        </is>
      </c>
      <c r="B5705" t="inlineStr">
        <is>
          <t>avverkningsanmälan</t>
        </is>
      </c>
      <c r="C5705" t="inlineStr">
        <is>
          <t>Föryngringsavverkning</t>
        </is>
      </c>
      <c r="D5705" s="1" t="n">
        <v>45821</v>
      </c>
      <c r="E5705" s="1" t="n">
        <v>46323</v>
      </c>
      <c r="F5705" t="inlineStr">
        <is>
          <t>KALMAR LÄN</t>
        </is>
      </c>
      <c r="G5705" t="inlineStr">
        <is>
          <t>NYBRO</t>
        </is>
      </c>
      <c r="I5705" t="n">
        <v>6.3</v>
      </c>
      <c r="J5705" t="n">
        <v>0</v>
      </c>
      <c r="K5705" t="n">
        <v>0</v>
      </c>
      <c r="L5705" t="n">
        <v>0</v>
      </c>
      <c r="M5705" t="n">
        <v>0</v>
      </c>
      <c r="N5705" t="n">
        <v>0</v>
      </c>
      <c r="O5705" t="n">
        <v>0</v>
      </c>
      <c r="P5705" t="n">
        <v>0</v>
      </c>
      <c r="Q5705" t="n">
        <v>0</v>
      </c>
      <c r="R5705" t="n">
        <v>0</v>
      </c>
      <c r="S5705" t="n">
        <v>0</v>
      </c>
      <c r="T5705" t="n">
        <v>0</v>
      </c>
      <c r="U5705" t="n">
        <v>0</v>
      </c>
      <c r="V5705" s="2" t="inlineStr"/>
    </row>
    <row r="5706" ht="15" customHeight="1">
      <c r="A5706" t="inlineStr">
        <is>
          <t>A 29320-2025</t>
        </is>
      </c>
      <c r="B5706" t="inlineStr">
        <is>
          <t>avverkningsanmälan</t>
        </is>
      </c>
      <c r="C5706" t="inlineStr">
        <is>
          <t>Föryngringsavverkning</t>
        </is>
      </c>
      <c r="D5706" s="1" t="n">
        <v>45824</v>
      </c>
      <c r="E5706" s="1" t="n">
        <v>46323</v>
      </c>
      <c r="F5706" t="inlineStr">
        <is>
          <t>KALMAR LÄN</t>
        </is>
      </c>
      <c r="G5706" t="inlineStr">
        <is>
          <t>NYBRO</t>
        </is>
      </c>
      <c r="I5706" t="n">
        <v>2.2</v>
      </c>
      <c r="J5706" t="n">
        <v>0</v>
      </c>
      <c r="K5706" t="n">
        <v>0</v>
      </c>
      <c r="L5706" t="n">
        <v>0</v>
      </c>
      <c r="M5706" t="n">
        <v>0</v>
      </c>
      <c r="N5706" t="n">
        <v>0</v>
      </c>
      <c r="O5706" t="n">
        <v>0</v>
      </c>
      <c r="P5706" t="n">
        <v>0</v>
      </c>
      <c r="Q5706" t="n">
        <v>0</v>
      </c>
      <c r="R5706" t="n">
        <v>0</v>
      </c>
      <c r="S5706" t="n">
        <v>0</v>
      </c>
      <c r="T5706" t="n">
        <v>0</v>
      </c>
      <c r="U5706" t="n">
        <v>0</v>
      </c>
      <c r="V5706" s="2" t="inlineStr"/>
    </row>
    <row r="5707" ht="15" customHeight="1">
      <c r="A5707" t="inlineStr">
        <is>
          <t>A 42844-2026</t>
        </is>
      </c>
      <c r="B5707" t="inlineStr">
        <is>
          <t>avverkningsanmälan</t>
        </is>
      </c>
      <c r="C5707" t="inlineStr">
        <is>
          <t>Föryngringsavverkning</t>
        </is>
      </c>
      <c r="D5707" s="1" t="n">
        <v>46310</v>
      </c>
      <c r="E5707" s="1" t="n">
        <v>46323</v>
      </c>
      <c r="F5707" t="inlineStr">
        <is>
          <t>KALMAR LÄN</t>
        </is>
      </c>
      <c r="G5707" t="inlineStr">
        <is>
          <t>HULTSFRED</t>
        </is>
      </c>
      <c r="I5707" t="n">
        <v>0.7</v>
      </c>
      <c r="J5707" t="n">
        <v>0</v>
      </c>
      <c r="K5707" t="n">
        <v>0</v>
      </c>
      <c r="L5707" t="n">
        <v>0</v>
      </c>
      <c r="M5707" t="n">
        <v>0</v>
      </c>
      <c r="N5707" t="n">
        <v>0</v>
      </c>
      <c r="O5707" t="n">
        <v>0</v>
      </c>
      <c r="P5707" t="n">
        <v>0</v>
      </c>
      <c r="Q5707" t="n">
        <v>0</v>
      </c>
      <c r="R5707" t="n">
        <v>0</v>
      </c>
      <c r="S5707" t="n">
        <v>0</v>
      </c>
      <c r="T5707" t="n">
        <v>0</v>
      </c>
      <c r="U5707" t="n">
        <v>0</v>
      </c>
      <c r="V5707" s="2" t="inlineStr"/>
    </row>
    <row r="5708" ht="15" customHeight="1">
      <c r="A5708" t="inlineStr">
        <is>
          <t>A 10104-2022</t>
        </is>
      </c>
      <c r="B5708" t="inlineStr">
        <is>
          <t>avverkningsanmälan</t>
        </is>
      </c>
      <c r="C5708" t="inlineStr">
        <is>
          <t>Föryngringsavverkning</t>
        </is>
      </c>
      <c r="D5708" s="1" t="n">
        <v>44621</v>
      </c>
      <c r="E5708" s="1" t="n">
        <v>46323</v>
      </c>
      <c r="F5708" t="inlineStr">
        <is>
          <t>KALMAR LÄN</t>
        </is>
      </c>
      <c r="G5708" t="inlineStr">
        <is>
          <t>MÖNSTERÅS</t>
        </is>
      </c>
      <c r="I5708" t="n">
        <v>2.3</v>
      </c>
      <c r="J5708" t="n">
        <v>0</v>
      </c>
      <c r="K5708" t="n">
        <v>0</v>
      </c>
      <c r="L5708" t="n">
        <v>0</v>
      </c>
      <c r="M5708" t="n">
        <v>0</v>
      </c>
      <c r="N5708" t="n">
        <v>0</v>
      </c>
      <c r="O5708" t="n">
        <v>0</v>
      </c>
      <c r="P5708" t="n">
        <v>0</v>
      </c>
      <c r="Q5708" t="n">
        <v>0</v>
      </c>
      <c r="R5708" t="n">
        <v>0</v>
      </c>
      <c r="S5708" t="n">
        <v>0</v>
      </c>
      <c r="T5708" t="n">
        <v>0</v>
      </c>
      <c r="U5708" t="n">
        <v>0</v>
      </c>
      <c r="V5708" s="2" t="inlineStr"/>
    </row>
    <row r="5709" ht="15" customHeight="1">
      <c r="A5709" t="inlineStr">
        <is>
          <t>A 29950-2024</t>
        </is>
      </c>
      <c r="B5709" t="inlineStr">
        <is>
          <t>avverkningsanmälan</t>
        </is>
      </c>
      <c r="C5709" t="inlineStr">
        <is>
          <t>Föryngringsavverkning</t>
        </is>
      </c>
      <c r="D5709" s="1" t="n">
        <v>45488</v>
      </c>
      <c r="E5709" s="1" t="n">
        <v>46323</v>
      </c>
      <c r="F5709" t="inlineStr">
        <is>
          <t>KALMAR LÄN</t>
        </is>
      </c>
      <c r="G5709" t="inlineStr">
        <is>
          <t>NYBRO</t>
        </is>
      </c>
      <c r="I5709" t="n">
        <v>1.3</v>
      </c>
      <c r="J5709" t="n">
        <v>0</v>
      </c>
      <c r="K5709" t="n">
        <v>0</v>
      </c>
      <c r="L5709" t="n">
        <v>0</v>
      </c>
      <c r="M5709" t="n">
        <v>0</v>
      </c>
      <c r="N5709" t="n">
        <v>0</v>
      </c>
      <c r="O5709" t="n">
        <v>0</v>
      </c>
      <c r="P5709" t="n">
        <v>0</v>
      </c>
      <c r="Q5709" t="n">
        <v>0</v>
      </c>
      <c r="R5709" t="n">
        <v>0</v>
      </c>
      <c r="S5709" t="n">
        <v>0</v>
      </c>
      <c r="T5709" t="n">
        <v>0</v>
      </c>
      <c r="U5709" t="n">
        <v>0</v>
      </c>
      <c r="V5709" s="2" t="inlineStr"/>
    </row>
    <row r="5710" ht="15" customHeight="1">
      <c r="A5710" t="inlineStr">
        <is>
          <t>A 36052-2026</t>
        </is>
      </c>
      <c r="B5710" t="inlineStr">
        <is>
          <t>avverkningsanmälan</t>
        </is>
      </c>
      <c r="C5710" t="inlineStr">
        <is>
          <t>Föryngringsavverkning</t>
        </is>
      </c>
      <c r="D5710" s="1" t="n">
        <v>46267</v>
      </c>
      <c r="E5710" s="1" t="n">
        <v>46323</v>
      </c>
      <c r="F5710" t="inlineStr">
        <is>
          <t>KALMAR LÄN</t>
        </is>
      </c>
      <c r="G5710" t="inlineStr">
        <is>
          <t>HULTSFRED</t>
        </is>
      </c>
      <c r="I5710" t="n">
        <v>1.3</v>
      </c>
      <c r="J5710" t="n">
        <v>0</v>
      </c>
      <c r="K5710" t="n">
        <v>0</v>
      </c>
      <c r="L5710" t="n">
        <v>0</v>
      </c>
      <c r="M5710" t="n">
        <v>0</v>
      </c>
      <c r="N5710" t="n">
        <v>0</v>
      </c>
      <c r="O5710" t="n">
        <v>0</v>
      </c>
      <c r="P5710" t="n">
        <v>0</v>
      </c>
      <c r="Q5710" t="n">
        <v>0</v>
      </c>
      <c r="R5710" t="n">
        <v>0</v>
      </c>
      <c r="S5710" t="n">
        <v>0</v>
      </c>
      <c r="T5710" t="n">
        <v>0</v>
      </c>
      <c r="U5710" t="n">
        <v>0</v>
      </c>
      <c r="V5710" s="2" t="inlineStr"/>
    </row>
    <row r="5711" ht="15" customHeight="1">
      <c r="A5711" t="inlineStr">
        <is>
          <t>A 35944-2026</t>
        </is>
      </c>
      <c r="B5711" t="inlineStr">
        <is>
          <t>avverkningsanmälan</t>
        </is>
      </c>
      <c r="C5711" t="inlineStr">
        <is>
          <t>Föryngringsavverkning</t>
        </is>
      </c>
      <c r="D5711" s="1" t="n">
        <v>46266</v>
      </c>
      <c r="E5711" s="1" t="n">
        <v>46323</v>
      </c>
      <c r="F5711" t="inlineStr">
        <is>
          <t>KALMAR LÄN</t>
        </is>
      </c>
      <c r="G5711" t="inlineStr">
        <is>
          <t>OSKARSHAMN</t>
        </is>
      </c>
      <c r="I5711" t="n">
        <v>1.1</v>
      </c>
      <c r="J5711" t="n">
        <v>0</v>
      </c>
      <c r="K5711" t="n">
        <v>0</v>
      </c>
      <c r="L5711" t="n">
        <v>0</v>
      </c>
      <c r="M5711" t="n">
        <v>0</v>
      </c>
      <c r="N5711" t="n">
        <v>0</v>
      </c>
      <c r="O5711" t="n">
        <v>0</v>
      </c>
      <c r="P5711" t="n">
        <v>0</v>
      </c>
      <c r="Q5711" t="n">
        <v>0</v>
      </c>
      <c r="R5711" t="n">
        <v>0</v>
      </c>
      <c r="S5711" t="n">
        <v>0</v>
      </c>
      <c r="T5711" t="n">
        <v>0</v>
      </c>
      <c r="U5711" t="n">
        <v>0</v>
      </c>
      <c r="V5711" s="2" t="inlineStr"/>
    </row>
    <row r="5712" ht="15" customHeight="1">
      <c r="A5712" t="inlineStr">
        <is>
          <t>A 36258-2026</t>
        </is>
      </c>
      <c r="B5712" t="inlineStr">
        <is>
          <t>avverkningsanmälan</t>
        </is>
      </c>
      <c r="C5712" t="inlineStr">
        <is>
          <t>Föryngringsavverkning</t>
        </is>
      </c>
      <c r="D5712" s="1" t="n">
        <v>46268</v>
      </c>
      <c r="E5712" s="1" t="n">
        <v>46323</v>
      </c>
      <c r="F5712" t="inlineStr">
        <is>
          <t>KALMAR LÄN</t>
        </is>
      </c>
      <c r="G5712" t="inlineStr">
        <is>
          <t>HÖGSBY</t>
        </is>
      </c>
      <c r="I5712" t="n">
        <v>2.2</v>
      </c>
      <c r="J5712" t="n">
        <v>0</v>
      </c>
      <c r="K5712" t="n">
        <v>0</v>
      </c>
      <c r="L5712" t="n">
        <v>0</v>
      </c>
      <c r="M5712" t="n">
        <v>0</v>
      </c>
      <c r="N5712" t="n">
        <v>0</v>
      </c>
      <c r="O5712" t="n">
        <v>0</v>
      </c>
      <c r="P5712" t="n">
        <v>0</v>
      </c>
      <c r="Q5712" t="n">
        <v>0</v>
      </c>
      <c r="R5712" t="n">
        <v>0</v>
      </c>
      <c r="S5712" t="n">
        <v>0</v>
      </c>
      <c r="T5712" t="n">
        <v>0</v>
      </c>
      <c r="U5712" t="n">
        <v>0</v>
      </c>
      <c r="V5712" s="2" t="inlineStr"/>
    </row>
    <row r="5713" ht="15" customHeight="1">
      <c r="A5713" t="inlineStr">
        <is>
          <t>A 56693-2025</t>
        </is>
      </c>
      <c r="B5713" t="inlineStr">
        <is>
          <t>avverkningsanmälan</t>
        </is>
      </c>
      <c r="C5713" t="inlineStr">
        <is>
          <t>Föryngringsavverkning</t>
        </is>
      </c>
      <c r="D5713" s="1" t="n">
        <v>45976</v>
      </c>
      <c r="E5713" s="1" t="n">
        <v>46323</v>
      </c>
      <c r="F5713" t="inlineStr">
        <is>
          <t>KALMAR LÄN</t>
        </is>
      </c>
      <c r="G5713" t="inlineStr">
        <is>
          <t>EMMABODA</t>
        </is>
      </c>
      <c r="I5713" t="n">
        <v>7.2</v>
      </c>
      <c r="J5713" t="n">
        <v>0</v>
      </c>
      <c r="K5713" t="n">
        <v>0</v>
      </c>
      <c r="L5713" t="n">
        <v>0</v>
      </c>
      <c r="M5713" t="n">
        <v>0</v>
      </c>
      <c r="N5713" t="n">
        <v>0</v>
      </c>
      <c r="O5713" t="n">
        <v>0</v>
      </c>
      <c r="P5713" t="n">
        <v>0</v>
      </c>
      <c r="Q5713" t="n">
        <v>0</v>
      </c>
      <c r="R5713" t="n">
        <v>0</v>
      </c>
      <c r="S5713" t="n">
        <v>0</v>
      </c>
      <c r="T5713" t="n">
        <v>0</v>
      </c>
      <c r="U5713" t="n">
        <v>0</v>
      </c>
      <c r="V5713" s="2" t="inlineStr"/>
    </row>
    <row r="5714" ht="15" customHeight="1">
      <c r="A5714" t="inlineStr">
        <is>
          <t>A 19539-2023</t>
        </is>
      </c>
      <c r="B5714" t="inlineStr">
        <is>
          <t>avverkningsanmälan</t>
        </is>
      </c>
      <c r="C5714" t="inlineStr">
        <is>
          <t>Föryngringsavverkning</t>
        </is>
      </c>
      <c r="D5714" s="1" t="n">
        <v>45050</v>
      </c>
      <c r="E5714" s="1" t="n">
        <v>46323</v>
      </c>
      <c r="F5714" t="inlineStr">
        <is>
          <t>KALMAR LÄN</t>
        </is>
      </c>
      <c r="G5714" t="inlineStr">
        <is>
          <t>NYBRO</t>
        </is>
      </c>
      <c r="I5714" t="n">
        <v>3.7</v>
      </c>
      <c r="J5714" t="n">
        <v>0</v>
      </c>
      <c r="K5714" t="n">
        <v>0</v>
      </c>
      <c r="L5714" t="n">
        <v>0</v>
      </c>
      <c r="M5714" t="n">
        <v>0</v>
      </c>
      <c r="N5714" t="n">
        <v>0</v>
      </c>
      <c r="O5714" t="n">
        <v>0</v>
      </c>
      <c r="P5714" t="n">
        <v>0</v>
      </c>
      <c r="Q5714" t="n">
        <v>0</v>
      </c>
      <c r="R5714" t="n">
        <v>0</v>
      </c>
      <c r="S5714" t="n">
        <v>0</v>
      </c>
      <c r="T5714" t="n">
        <v>0</v>
      </c>
      <c r="U5714" t="n">
        <v>0</v>
      </c>
      <c r="V5714" s="2" t="inlineStr"/>
    </row>
    <row r="5715" ht="15" customHeight="1">
      <c r="A5715" t="inlineStr">
        <is>
          <t>A 49525-2025</t>
        </is>
      </c>
      <c r="B5715" t="inlineStr">
        <is>
          <t>avverkningsanmälan</t>
        </is>
      </c>
      <c r="C5715" t="inlineStr">
        <is>
          <t>Föryngringsavverkning</t>
        </is>
      </c>
      <c r="D5715" s="1" t="n">
        <v>45939</v>
      </c>
      <c r="E5715" s="1" t="n">
        <v>46323</v>
      </c>
      <c r="F5715" t="inlineStr">
        <is>
          <t>KALMAR LÄN</t>
        </is>
      </c>
      <c r="G5715" t="inlineStr">
        <is>
          <t>VÄSTERVIK</t>
        </is>
      </c>
      <c r="I5715" t="n">
        <v>2.3</v>
      </c>
      <c r="J5715" t="n">
        <v>0</v>
      </c>
      <c r="K5715" t="n">
        <v>0</v>
      </c>
      <c r="L5715" t="n">
        <v>0</v>
      </c>
      <c r="M5715" t="n">
        <v>0</v>
      </c>
      <c r="N5715" t="n">
        <v>0</v>
      </c>
      <c r="O5715" t="n">
        <v>0</v>
      </c>
      <c r="P5715" t="n">
        <v>0</v>
      </c>
      <c r="Q5715" t="n">
        <v>0</v>
      </c>
      <c r="R5715" t="n">
        <v>0</v>
      </c>
      <c r="S5715" t="n">
        <v>0</v>
      </c>
      <c r="T5715" t="n">
        <v>0</v>
      </c>
      <c r="U5715" t="n">
        <v>0</v>
      </c>
      <c r="V5715" s="2" t="inlineStr"/>
    </row>
    <row r="5716" ht="15" customHeight="1">
      <c r="A5716" t="inlineStr">
        <is>
          <t>A 50071-2022</t>
        </is>
      </c>
      <c r="B5716" t="inlineStr">
        <is>
          <t>avverkningsanmälan</t>
        </is>
      </c>
      <c r="C5716" t="inlineStr">
        <is>
          <t>Föryngringsavverkning</t>
        </is>
      </c>
      <c r="D5716" s="1" t="n">
        <v>44865</v>
      </c>
      <c r="E5716" s="1" t="n">
        <v>46323</v>
      </c>
      <c r="F5716" t="inlineStr">
        <is>
          <t>KALMAR LÄN</t>
        </is>
      </c>
      <c r="G5716" t="inlineStr">
        <is>
          <t>MÖNSTERÅS</t>
        </is>
      </c>
      <c r="I5716" t="n">
        <v>2.2</v>
      </c>
      <c r="J5716" t="n">
        <v>0</v>
      </c>
      <c r="K5716" t="n">
        <v>0</v>
      </c>
      <c r="L5716" t="n">
        <v>0</v>
      </c>
      <c r="M5716" t="n">
        <v>0</v>
      </c>
      <c r="N5716" t="n">
        <v>0</v>
      </c>
      <c r="O5716" t="n">
        <v>0</v>
      </c>
      <c r="P5716" t="n">
        <v>0</v>
      </c>
      <c r="Q5716" t="n">
        <v>0</v>
      </c>
      <c r="R5716" t="n">
        <v>0</v>
      </c>
      <c r="S5716" t="n">
        <v>0</v>
      </c>
      <c r="T5716" t="n">
        <v>0</v>
      </c>
      <c r="U5716" t="n">
        <v>0</v>
      </c>
      <c r="V5716" s="2" t="inlineStr"/>
    </row>
    <row r="5717" ht="15" customHeight="1">
      <c r="A5717" t="inlineStr">
        <is>
          <t>A 36748-2026</t>
        </is>
      </c>
      <c r="B5717" t="inlineStr">
        <is>
          <t>avverkningsanmälan</t>
        </is>
      </c>
      <c r="C5717" t="inlineStr">
        <is>
          <t>Föryngringsavverkning</t>
        </is>
      </c>
      <c r="D5717" s="1" t="n">
        <v>46272</v>
      </c>
      <c r="E5717" s="1" t="n">
        <v>46323</v>
      </c>
      <c r="F5717" t="inlineStr">
        <is>
          <t>KALMAR LÄN</t>
        </is>
      </c>
      <c r="G5717" t="inlineStr">
        <is>
          <t>VIMMERBY</t>
        </is>
      </c>
      <c r="I5717" t="n">
        <v>2.8</v>
      </c>
      <c r="J5717" t="n">
        <v>0</v>
      </c>
      <c r="K5717" t="n">
        <v>0</v>
      </c>
      <c r="L5717" t="n">
        <v>0</v>
      </c>
      <c r="M5717" t="n">
        <v>0</v>
      </c>
      <c r="N5717" t="n">
        <v>0</v>
      </c>
      <c r="O5717" t="n">
        <v>0</v>
      </c>
      <c r="P5717" t="n">
        <v>0</v>
      </c>
      <c r="Q5717" t="n">
        <v>0</v>
      </c>
      <c r="R5717" t="n">
        <v>0</v>
      </c>
      <c r="S5717" t="n">
        <v>0</v>
      </c>
      <c r="T5717" t="n">
        <v>0</v>
      </c>
      <c r="U5717" t="n">
        <v>0</v>
      </c>
      <c r="V5717" s="2" t="inlineStr"/>
    </row>
    <row r="5718" ht="15" customHeight="1">
      <c r="A5718" t="inlineStr">
        <is>
          <t>A 36775-2026</t>
        </is>
      </c>
      <c r="B5718" t="inlineStr">
        <is>
          <t>avverkningsanmälan</t>
        </is>
      </c>
      <c r="C5718" t="inlineStr">
        <is>
          <t>Föryngringsavverkning</t>
        </is>
      </c>
      <c r="D5718" s="1" t="n">
        <v>46272</v>
      </c>
      <c r="E5718" s="1" t="n">
        <v>46323</v>
      </c>
      <c r="F5718" t="inlineStr">
        <is>
          <t>KALMAR LÄN</t>
        </is>
      </c>
      <c r="G5718" t="inlineStr">
        <is>
          <t>VIMMERBY</t>
        </is>
      </c>
      <c r="I5718" t="n">
        <v>0.8</v>
      </c>
      <c r="J5718" t="n">
        <v>0</v>
      </c>
      <c r="K5718" t="n">
        <v>0</v>
      </c>
      <c r="L5718" t="n">
        <v>0</v>
      </c>
      <c r="M5718" t="n">
        <v>0</v>
      </c>
      <c r="N5718" t="n">
        <v>0</v>
      </c>
      <c r="O5718" t="n">
        <v>0</v>
      </c>
      <c r="P5718" t="n">
        <v>0</v>
      </c>
      <c r="Q5718" t="n">
        <v>0</v>
      </c>
      <c r="R5718" t="n">
        <v>0</v>
      </c>
      <c r="S5718" t="n">
        <v>0</v>
      </c>
      <c r="T5718" t="n">
        <v>0</v>
      </c>
      <c r="U5718" t="n">
        <v>0</v>
      </c>
      <c r="V5718" s="2" t="inlineStr"/>
    </row>
    <row r="5719" ht="15" customHeight="1">
      <c r="A5719" t="inlineStr">
        <is>
          <t>A 36465-2026</t>
        </is>
      </c>
      <c r="B5719" t="inlineStr">
        <is>
          <t>avverkningsanmälan</t>
        </is>
      </c>
      <c r="C5719" t="inlineStr">
        <is>
          <t>Föryngringsavverkning</t>
        </is>
      </c>
      <c r="D5719" s="1" t="n">
        <v>46269</v>
      </c>
      <c r="E5719" s="1" t="n">
        <v>46323</v>
      </c>
      <c r="F5719" t="inlineStr">
        <is>
          <t>KALMAR LÄN</t>
        </is>
      </c>
      <c r="G5719" t="inlineStr">
        <is>
          <t>NYBRO</t>
        </is>
      </c>
      <c r="I5719" t="n">
        <v>0.7</v>
      </c>
      <c r="J5719" t="n">
        <v>0</v>
      </c>
      <c r="K5719" t="n">
        <v>0</v>
      </c>
      <c r="L5719" t="n">
        <v>0</v>
      </c>
      <c r="M5719" t="n">
        <v>0</v>
      </c>
      <c r="N5719" t="n">
        <v>0</v>
      </c>
      <c r="O5719" t="n">
        <v>0</v>
      </c>
      <c r="P5719" t="n">
        <v>0</v>
      </c>
      <c r="Q5719" t="n">
        <v>0</v>
      </c>
      <c r="R5719" t="n">
        <v>0</v>
      </c>
      <c r="S5719" t="n">
        <v>0</v>
      </c>
      <c r="T5719" t="n">
        <v>0</v>
      </c>
      <c r="U5719" t="n">
        <v>0</v>
      </c>
      <c r="V5719" s="2" t="inlineStr"/>
    </row>
    <row r="5720" ht="15" customHeight="1">
      <c r="A5720" t="inlineStr">
        <is>
          <t>A 52728-2024</t>
        </is>
      </c>
      <c r="B5720" t="inlineStr">
        <is>
          <t>avverkningsanmälan</t>
        </is>
      </c>
      <c r="C5720" t="inlineStr">
        <is>
          <t>Föryngringsavverkning</t>
        </is>
      </c>
      <c r="D5720" s="1" t="n">
        <v>45610</v>
      </c>
      <c r="E5720" s="1" t="n">
        <v>46323</v>
      </c>
      <c r="F5720" t="inlineStr">
        <is>
          <t>KALMAR LÄN</t>
        </is>
      </c>
      <c r="G5720" t="inlineStr">
        <is>
          <t>OSKARSHAMN</t>
        </is>
      </c>
      <c r="I5720" t="n">
        <v>0.6</v>
      </c>
      <c r="J5720" t="n">
        <v>0</v>
      </c>
      <c r="K5720" t="n">
        <v>0</v>
      </c>
      <c r="L5720" t="n">
        <v>0</v>
      </c>
      <c r="M5720" t="n">
        <v>0</v>
      </c>
      <c r="N5720" t="n">
        <v>0</v>
      </c>
      <c r="O5720" t="n">
        <v>0</v>
      </c>
      <c r="P5720" t="n">
        <v>0</v>
      </c>
      <c r="Q5720" t="n">
        <v>0</v>
      </c>
      <c r="R5720" t="n">
        <v>0</v>
      </c>
      <c r="S5720" t="n">
        <v>0</v>
      </c>
      <c r="T5720" t="n">
        <v>0</v>
      </c>
      <c r="U5720" t="n">
        <v>0</v>
      </c>
      <c r="V5720" s="2" t="inlineStr"/>
    </row>
    <row r="5721" ht="15" customHeight="1">
      <c r="A5721" t="inlineStr">
        <is>
          <t>A 43057-2026</t>
        </is>
      </c>
      <c r="B5721" t="inlineStr">
        <is>
          <t>avverkningsanmälan</t>
        </is>
      </c>
      <c r="C5721" t="inlineStr">
        <is>
          <t>Föryngringsavverkning</t>
        </is>
      </c>
      <c r="D5721" s="1" t="n">
        <v>46311</v>
      </c>
      <c r="E5721" s="1" t="n">
        <v>46323</v>
      </c>
      <c r="F5721" t="inlineStr">
        <is>
          <t>KALMAR LÄN</t>
        </is>
      </c>
      <c r="G5721" t="inlineStr">
        <is>
          <t>HÖGSBY</t>
        </is>
      </c>
      <c r="I5721" t="n">
        <v>0.9</v>
      </c>
      <c r="J5721" t="n">
        <v>0</v>
      </c>
      <c r="K5721" t="n">
        <v>0</v>
      </c>
      <c r="L5721" t="n">
        <v>0</v>
      </c>
      <c r="M5721" t="n">
        <v>0</v>
      </c>
      <c r="N5721" t="n">
        <v>0</v>
      </c>
      <c r="O5721" t="n">
        <v>0</v>
      </c>
      <c r="P5721" t="n">
        <v>0</v>
      </c>
      <c r="Q5721" t="n">
        <v>0</v>
      </c>
      <c r="R5721" t="n">
        <v>0</v>
      </c>
      <c r="S5721" t="n">
        <v>0</v>
      </c>
      <c r="T5721" t="n">
        <v>0</v>
      </c>
      <c r="U5721" t="n">
        <v>0</v>
      </c>
      <c r="V5721" s="2" t="inlineStr"/>
    </row>
    <row r="5722" ht="15" customHeight="1">
      <c r="A5722" t="inlineStr">
        <is>
          <t>A 38491-2025</t>
        </is>
      </c>
      <c r="B5722" t="inlineStr">
        <is>
          <t>avverkningsanmälan</t>
        </is>
      </c>
      <c r="C5722" t="inlineStr">
        <is>
          <t>Föryngringsavverkning</t>
        </is>
      </c>
      <c r="D5722" s="1" t="n">
        <v>45884</v>
      </c>
      <c r="E5722" s="1" t="n">
        <v>46323</v>
      </c>
      <c r="F5722" t="inlineStr">
        <is>
          <t>KALMAR LÄN</t>
        </is>
      </c>
      <c r="G5722" t="inlineStr">
        <is>
          <t>OSKARSHAMN</t>
        </is>
      </c>
      <c r="I5722" t="n">
        <v>4.6</v>
      </c>
      <c r="J5722" t="n">
        <v>0</v>
      </c>
      <c r="K5722" t="n">
        <v>0</v>
      </c>
      <c r="L5722" t="n">
        <v>0</v>
      </c>
      <c r="M5722" t="n">
        <v>0</v>
      </c>
      <c r="N5722" t="n">
        <v>0</v>
      </c>
      <c r="O5722" t="n">
        <v>0</v>
      </c>
      <c r="P5722" t="n">
        <v>0</v>
      </c>
      <c r="Q5722" t="n">
        <v>0</v>
      </c>
      <c r="R5722" t="n">
        <v>0</v>
      </c>
      <c r="S5722" t="n">
        <v>0</v>
      </c>
      <c r="T5722" t="n">
        <v>0</v>
      </c>
      <c r="U5722" t="n">
        <v>0</v>
      </c>
      <c r="V5722" s="2" t="inlineStr"/>
    </row>
    <row r="5723" ht="15" customHeight="1">
      <c r="A5723" t="inlineStr">
        <is>
          <t>A 13840-2024</t>
        </is>
      </c>
      <c r="B5723" t="inlineStr">
        <is>
          <t>avverkningsanmälan</t>
        </is>
      </c>
      <c r="C5723" t="inlineStr">
        <is>
          <t>Föryngringsavverkning</t>
        </is>
      </c>
      <c r="D5723" s="1" t="n">
        <v>45391</v>
      </c>
      <c r="E5723" s="1" t="n">
        <v>46323</v>
      </c>
      <c r="F5723" t="inlineStr">
        <is>
          <t>KALMAR LÄN</t>
        </is>
      </c>
      <c r="G5723" t="inlineStr">
        <is>
          <t>VÄSTERVIK</t>
        </is>
      </c>
      <c r="H5723" t="inlineStr">
        <is>
          <t>Sveaskog</t>
        </is>
      </c>
      <c r="I5723" t="n">
        <v>1.3</v>
      </c>
      <c r="J5723" t="n">
        <v>0</v>
      </c>
      <c r="K5723" t="n">
        <v>0</v>
      </c>
      <c r="L5723" t="n">
        <v>0</v>
      </c>
      <c r="M5723" t="n">
        <v>0</v>
      </c>
      <c r="N5723" t="n">
        <v>0</v>
      </c>
      <c r="O5723" t="n">
        <v>0</v>
      </c>
      <c r="P5723" t="n">
        <v>0</v>
      </c>
      <c r="Q5723" t="n">
        <v>0</v>
      </c>
      <c r="R5723" t="n">
        <v>0</v>
      </c>
      <c r="S5723" t="n">
        <v>0</v>
      </c>
      <c r="T5723" t="n">
        <v>0</v>
      </c>
      <c r="U5723" t="n">
        <v>0</v>
      </c>
      <c r="V5723" s="2" t="inlineStr"/>
    </row>
    <row r="5724" ht="15" customHeight="1">
      <c r="A5724" t="inlineStr">
        <is>
          <t>A 15584-2024</t>
        </is>
      </c>
      <c r="B5724" t="inlineStr">
        <is>
          <t>avverkningsanmälan</t>
        </is>
      </c>
      <c r="C5724" t="inlineStr">
        <is>
          <t>Föryngringsavverkning</t>
        </is>
      </c>
      <c r="D5724" s="1" t="n">
        <v>45401</v>
      </c>
      <c r="E5724" s="1" t="n">
        <v>46323</v>
      </c>
      <c r="F5724" t="inlineStr">
        <is>
          <t>KALMAR LÄN</t>
        </is>
      </c>
      <c r="G5724" t="inlineStr">
        <is>
          <t>NYBRO</t>
        </is>
      </c>
      <c r="I5724" t="n">
        <v>0.8</v>
      </c>
      <c r="J5724" t="n">
        <v>0</v>
      </c>
      <c r="K5724" t="n">
        <v>0</v>
      </c>
      <c r="L5724" t="n">
        <v>0</v>
      </c>
      <c r="M5724" t="n">
        <v>0</v>
      </c>
      <c r="N5724" t="n">
        <v>0</v>
      </c>
      <c r="O5724" t="n">
        <v>0</v>
      </c>
      <c r="P5724" t="n">
        <v>0</v>
      </c>
      <c r="Q5724" t="n">
        <v>0</v>
      </c>
      <c r="R5724" t="n">
        <v>0</v>
      </c>
      <c r="S5724" t="n">
        <v>0</v>
      </c>
      <c r="T5724" t="n">
        <v>0</v>
      </c>
      <c r="U5724" t="n">
        <v>0</v>
      </c>
      <c r="V5724" s="2" t="inlineStr"/>
    </row>
    <row r="5725" ht="15" customHeight="1">
      <c r="A5725" t="inlineStr">
        <is>
          <t>A 36100-2023</t>
        </is>
      </c>
      <c r="B5725" t="inlineStr">
        <is>
          <t>avverkningsanmälan</t>
        </is>
      </c>
      <c r="C5725" t="inlineStr">
        <is>
          <t>Föryngringsavverkning</t>
        </is>
      </c>
      <c r="D5725" s="1" t="n">
        <v>45149</v>
      </c>
      <c r="E5725" s="1" t="n">
        <v>46323</v>
      </c>
      <c r="F5725" t="inlineStr">
        <is>
          <t>KALMAR LÄN</t>
        </is>
      </c>
      <c r="G5725" t="inlineStr">
        <is>
          <t>NYBRO</t>
        </is>
      </c>
      <c r="I5725" t="n">
        <v>2.2</v>
      </c>
      <c r="J5725" t="n">
        <v>0</v>
      </c>
      <c r="K5725" t="n">
        <v>0</v>
      </c>
      <c r="L5725" t="n">
        <v>0</v>
      </c>
      <c r="M5725" t="n">
        <v>0</v>
      </c>
      <c r="N5725" t="n">
        <v>0</v>
      </c>
      <c r="O5725" t="n">
        <v>0</v>
      </c>
      <c r="P5725" t="n">
        <v>0</v>
      </c>
      <c r="Q5725" t="n">
        <v>0</v>
      </c>
      <c r="R5725" t="n">
        <v>0</v>
      </c>
      <c r="S5725" t="n">
        <v>0</v>
      </c>
      <c r="T5725" t="n">
        <v>0</v>
      </c>
      <c r="U5725" t="n">
        <v>0</v>
      </c>
      <c r="V5725" s="2" t="inlineStr"/>
    </row>
    <row r="5726" ht="15" customHeight="1">
      <c r="A5726" t="inlineStr">
        <is>
          <t>A 34205-2023</t>
        </is>
      </c>
      <c r="B5726" t="inlineStr">
        <is>
          <t>avverkningsanmälan</t>
        </is>
      </c>
      <c r="C5726" t="inlineStr">
        <is>
          <t>Föryngringsavverkning</t>
        </is>
      </c>
      <c r="D5726" s="1" t="n">
        <v>45138</v>
      </c>
      <c r="E5726" s="1" t="n">
        <v>46323</v>
      </c>
      <c r="F5726" t="inlineStr">
        <is>
          <t>KALMAR LÄN</t>
        </is>
      </c>
      <c r="G5726" t="inlineStr">
        <is>
          <t>VIMMERBY</t>
        </is>
      </c>
      <c r="I5726" t="n">
        <v>0.6</v>
      </c>
      <c r="J5726" t="n">
        <v>0</v>
      </c>
      <c r="K5726" t="n">
        <v>0</v>
      </c>
      <c r="L5726" t="n">
        <v>0</v>
      </c>
      <c r="M5726" t="n">
        <v>0</v>
      </c>
      <c r="N5726" t="n">
        <v>0</v>
      </c>
      <c r="O5726" t="n">
        <v>0</v>
      </c>
      <c r="P5726" t="n">
        <v>0</v>
      </c>
      <c r="Q5726" t="n">
        <v>0</v>
      </c>
      <c r="R5726" t="n">
        <v>0</v>
      </c>
      <c r="S5726" t="n">
        <v>0</v>
      </c>
      <c r="T5726" t="n">
        <v>0</v>
      </c>
      <c r="U5726" t="n">
        <v>0</v>
      </c>
      <c r="V5726" s="2" t="inlineStr"/>
    </row>
    <row r="5727" ht="15" customHeight="1">
      <c r="A5727" t="inlineStr">
        <is>
          <t>A 23926-2023</t>
        </is>
      </c>
      <c r="B5727" t="inlineStr">
        <is>
          <t>avverkningsanmälan</t>
        </is>
      </c>
      <c r="C5727" t="inlineStr">
        <is>
          <t>Föryngringsavverkning</t>
        </is>
      </c>
      <c r="D5727" s="1" t="n">
        <v>45075</v>
      </c>
      <c r="E5727" s="1" t="n">
        <v>46323</v>
      </c>
      <c r="F5727" t="inlineStr">
        <is>
          <t>KALMAR LÄN</t>
        </is>
      </c>
      <c r="G5727" t="inlineStr">
        <is>
          <t>NYBRO</t>
        </is>
      </c>
      <c r="I5727" t="n">
        <v>0.5</v>
      </c>
      <c r="J5727" t="n">
        <v>0</v>
      </c>
      <c r="K5727" t="n">
        <v>0</v>
      </c>
      <c r="L5727" t="n">
        <v>0</v>
      </c>
      <c r="M5727" t="n">
        <v>0</v>
      </c>
      <c r="N5727" t="n">
        <v>0</v>
      </c>
      <c r="O5727" t="n">
        <v>0</v>
      </c>
      <c r="P5727" t="n">
        <v>0</v>
      </c>
      <c r="Q5727" t="n">
        <v>0</v>
      </c>
      <c r="R5727" t="n">
        <v>0</v>
      </c>
      <c r="S5727" t="n">
        <v>0</v>
      </c>
      <c r="T5727" t="n">
        <v>0</v>
      </c>
      <c r="U5727" t="n">
        <v>0</v>
      </c>
      <c r="V5727" s="2" t="inlineStr"/>
    </row>
    <row r="5728" ht="15" customHeight="1">
      <c r="A5728" t="inlineStr">
        <is>
          <t>A 29807-2025</t>
        </is>
      </c>
      <c r="B5728" t="inlineStr">
        <is>
          <t>avverkningsanmälan</t>
        </is>
      </c>
      <c r="C5728" t="inlineStr">
        <is>
          <t>Föryngringsavverkning</t>
        </is>
      </c>
      <c r="D5728" s="1" t="n">
        <v>45825</v>
      </c>
      <c r="E5728" s="1" t="n">
        <v>46323</v>
      </c>
      <c r="F5728" t="inlineStr">
        <is>
          <t>KALMAR LÄN</t>
        </is>
      </c>
      <c r="G5728" t="inlineStr">
        <is>
          <t>EMMABODA</t>
        </is>
      </c>
      <c r="I5728" t="n">
        <v>4.5</v>
      </c>
      <c r="J5728" t="n">
        <v>0</v>
      </c>
      <c r="K5728" t="n">
        <v>0</v>
      </c>
      <c r="L5728" t="n">
        <v>0</v>
      </c>
      <c r="M5728" t="n">
        <v>0</v>
      </c>
      <c r="N5728" t="n">
        <v>0</v>
      </c>
      <c r="O5728" t="n">
        <v>0</v>
      </c>
      <c r="P5728" t="n">
        <v>0</v>
      </c>
      <c r="Q5728" t="n">
        <v>0</v>
      </c>
      <c r="R5728" t="n">
        <v>0</v>
      </c>
      <c r="S5728" t="n">
        <v>0</v>
      </c>
      <c r="T5728" t="n">
        <v>0</v>
      </c>
      <c r="U5728" t="n">
        <v>0</v>
      </c>
      <c r="V5728" s="2" t="inlineStr"/>
    </row>
    <row r="5729" ht="15" customHeight="1">
      <c r="A5729" t="inlineStr">
        <is>
          <t>A 29875-2025</t>
        </is>
      </c>
      <c r="B5729" t="inlineStr">
        <is>
          <t>avverkningsanmälan</t>
        </is>
      </c>
      <c r="C5729" t="inlineStr">
        <is>
          <t>Föryngringsavverkning</t>
        </is>
      </c>
      <c r="D5729" s="1" t="n">
        <v>45826</v>
      </c>
      <c r="E5729" s="1" t="n">
        <v>46323</v>
      </c>
      <c r="F5729" t="inlineStr">
        <is>
          <t>KALMAR LÄN</t>
        </is>
      </c>
      <c r="G5729" t="inlineStr">
        <is>
          <t>EMMABODA</t>
        </is>
      </c>
      <c r="I5729" t="n">
        <v>3.9</v>
      </c>
      <c r="J5729" t="n">
        <v>0</v>
      </c>
      <c r="K5729" t="n">
        <v>0</v>
      </c>
      <c r="L5729" t="n">
        <v>0</v>
      </c>
      <c r="M5729" t="n">
        <v>0</v>
      </c>
      <c r="N5729" t="n">
        <v>0</v>
      </c>
      <c r="O5729" t="n">
        <v>0</v>
      </c>
      <c r="P5729" t="n">
        <v>0</v>
      </c>
      <c r="Q5729" t="n">
        <v>0</v>
      </c>
      <c r="R5729" t="n">
        <v>0</v>
      </c>
      <c r="S5729" t="n">
        <v>0</v>
      </c>
      <c r="T5729" t="n">
        <v>0</v>
      </c>
      <c r="U5729" t="n">
        <v>0</v>
      </c>
      <c r="V5729" s="2" t="inlineStr"/>
    </row>
    <row r="5730" ht="15" customHeight="1">
      <c r="A5730" t="inlineStr">
        <is>
          <t>A 36908-2024</t>
        </is>
      </c>
      <c r="B5730" t="inlineStr">
        <is>
          <t>avverkningsanmälan</t>
        </is>
      </c>
      <c r="C5730" t="inlineStr">
        <is>
          <t>Föryngringsavverkning</t>
        </is>
      </c>
      <c r="D5730" s="1" t="n">
        <v>45538</v>
      </c>
      <c r="E5730" s="1" t="n">
        <v>46323</v>
      </c>
      <c r="F5730" t="inlineStr">
        <is>
          <t>KALMAR LÄN</t>
        </is>
      </c>
      <c r="G5730" t="inlineStr">
        <is>
          <t>MÖNSTERÅS</t>
        </is>
      </c>
      <c r="I5730" t="n">
        <v>19.2</v>
      </c>
      <c r="J5730" t="n">
        <v>0</v>
      </c>
      <c r="K5730" t="n">
        <v>0</v>
      </c>
      <c r="L5730" t="n">
        <v>0</v>
      </c>
      <c r="M5730" t="n">
        <v>0</v>
      </c>
      <c r="N5730" t="n">
        <v>0</v>
      </c>
      <c r="O5730" t="n">
        <v>0</v>
      </c>
      <c r="P5730" t="n">
        <v>0</v>
      </c>
      <c r="Q5730" t="n">
        <v>0</v>
      </c>
      <c r="R5730" t="n">
        <v>0</v>
      </c>
      <c r="S5730" t="n">
        <v>0</v>
      </c>
      <c r="T5730" t="n">
        <v>0</v>
      </c>
      <c r="U5730" t="n">
        <v>0</v>
      </c>
      <c r="V5730" s="2" t="inlineStr"/>
    </row>
    <row r="5731" ht="15" customHeight="1">
      <c r="A5731" t="inlineStr">
        <is>
          <t>A 30118-2025</t>
        </is>
      </c>
      <c r="B5731" t="inlineStr">
        <is>
          <t>avverkningsanmälan</t>
        </is>
      </c>
      <c r="C5731" t="inlineStr">
        <is>
          <t>Föryngringsavverkning</t>
        </is>
      </c>
      <c r="D5731" s="1" t="n">
        <v>45826</v>
      </c>
      <c r="E5731" s="1" t="n">
        <v>46323</v>
      </c>
      <c r="F5731" t="inlineStr">
        <is>
          <t>KALMAR LÄN</t>
        </is>
      </c>
      <c r="G5731" t="inlineStr">
        <is>
          <t>EMMABODA</t>
        </is>
      </c>
      <c r="I5731" t="n">
        <v>1.9</v>
      </c>
      <c r="J5731" t="n">
        <v>0</v>
      </c>
      <c r="K5731" t="n">
        <v>0</v>
      </c>
      <c r="L5731" t="n">
        <v>0</v>
      </c>
      <c r="M5731" t="n">
        <v>0</v>
      </c>
      <c r="N5731" t="n">
        <v>0</v>
      </c>
      <c r="O5731" t="n">
        <v>0</v>
      </c>
      <c r="P5731" t="n">
        <v>0</v>
      </c>
      <c r="Q5731" t="n">
        <v>0</v>
      </c>
      <c r="R5731" t="n">
        <v>0</v>
      </c>
      <c r="S5731" t="n">
        <v>0</v>
      </c>
      <c r="T5731" t="n">
        <v>0</v>
      </c>
      <c r="U5731" t="n">
        <v>0</v>
      </c>
      <c r="V5731" s="2" t="inlineStr"/>
    </row>
    <row r="5732" ht="15" customHeight="1">
      <c r="A5732" t="inlineStr">
        <is>
          <t>A 15636-2025</t>
        </is>
      </c>
      <c r="B5732" t="inlineStr">
        <is>
          <t>avverkningsanmälan</t>
        </is>
      </c>
      <c r="C5732" t="inlineStr">
        <is>
          <t>Föryngringsavverkning</t>
        </is>
      </c>
      <c r="D5732" s="1" t="n">
        <v>45748</v>
      </c>
      <c r="E5732" s="1" t="n">
        <v>46323</v>
      </c>
      <c r="F5732" t="inlineStr">
        <is>
          <t>KALMAR LÄN</t>
        </is>
      </c>
      <c r="G5732" t="inlineStr">
        <is>
          <t>HULTSFRED</t>
        </is>
      </c>
      <c r="I5732" t="n">
        <v>2.9</v>
      </c>
      <c r="J5732" t="n">
        <v>0</v>
      </c>
      <c r="K5732" t="n">
        <v>0</v>
      </c>
      <c r="L5732" t="n">
        <v>0</v>
      </c>
      <c r="M5732" t="n">
        <v>0</v>
      </c>
      <c r="N5732" t="n">
        <v>0</v>
      </c>
      <c r="O5732" t="n">
        <v>0</v>
      </c>
      <c r="P5732" t="n">
        <v>0</v>
      </c>
      <c r="Q5732" t="n">
        <v>0</v>
      </c>
      <c r="R5732" t="n">
        <v>0</v>
      </c>
      <c r="S5732" t="n">
        <v>0</v>
      </c>
      <c r="T5732" t="n">
        <v>0</v>
      </c>
      <c r="U5732" t="n">
        <v>0</v>
      </c>
      <c r="V5732" s="2" t="inlineStr"/>
    </row>
    <row r="5733" ht="15" customHeight="1">
      <c r="A5733" t="inlineStr">
        <is>
          <t>A 20362-2026</t>
        </is>
      </c>
      <c r="B5733" t="inlineStr">
        <is>
          <t>avverkningsanmälan</t>
        </is>
      </c>
      <c r="C5733" t="inlineStr">
        <is>
          <t>Föryngringsavverkning</t>
        </is>
      </c>
      <c r="D5733" s="1" t="n">
        <v>46139</v>
      </c>
      <c r="E5733" s="1" t="n">
        <v>46323</v>
      </c>
      <c r="F5733" t="inlineStr">
        <is>
          <t>KALMAR LÄN</t>
        </is>
      </c>
      <c r="G5733" t="inlineStr">
        <is>
          <t>EMMABODA</t>
        </is>
      </c>
      <c r="I5733" t="n">
        <v>1.1</v>
      </c>
      <c r="J5733" t="n">
        <v>0</v>
      </c>
      <c r="K5733" t="n">
        <v>0</v>
      </c>
      <c r="L5733" t="n">
        <v>0</v>
      </c>
      <c r="M5733" t="n">
        <v>0</v>
      </c>
      <c r="N5733" t="n">
        <v>0</v>
      </c>
      <c r="O5733" t="n">
        <v>0</v>
      </c>
      <c r="P5733" t="n">
        <v>0</v>
      </c>
      <c r="Q5733" t="n">
        <v>0</v>
      </c>
      <c r="R5733" t="n">
        <v>0</v>
      </c>
      <c r="S5733" t="n">
        <v>0</v>
      </c>
      <c r="T5733" t="n">
        <v>0</v>
      </c>
      <c r="U5733" t="n">
        <v>0</v>
      </c>
      <c r="V5733" s="2" t="inlineStr"/>
    </row>
    <row r="5734" ht="15" customHeight="1">
      <c r="A5734" t="inlineStr">
        <is>
          <t>A 4821-2026</t>
        </is>
      </c>
      <c r="B5734" t="inlineStr">
        <is>
          <t>avverkningsanmälan</t>
        </is>
      </c>
      <c r="C5734" t="inlineStr">
        <is>
          <t>Föryngringsavverkning</t>
        </is>
      </c>
      <c r="D5734" s="1" t="n">
        <v>46048</v>
      </c>
      <c r="E5734" s="1" t="n">
        <v>46323</v>
      </c>
      <c r="F5734" t="inlineStr">
        <is>
          <t>KALMAR LÄN</t>
        </is>
      </c>
      <c r="G5734" t="inlineStr">
        <is>
          <t>HÖGSBY</t>
        </is>
      </c>
      <c r="I5734" t="n">
        <v>7.7</v>
      </c>
      <c r="J5734" t="n">
        <v>0</v>
      </c>
      <c r="K5734" t="n">
        <v>0</v>
      </c>
      <c r="L5734" t="n">
        <v>0</v>
      </c>
      <c r="M5734" t="n">
        <v>0</v>
      </c>
      <c r="N5734" t="n">
        <v>0</v>
      </c>
      <c r="O5734" t="n">
        <v>0</v>
      </c>
      <c r="P5734" t="n">
        <v>0</v>
      </c>
      <c r="Q5734" t="n">
        <v>0</v>
      </c>
      <c r="R5734" t="n">
        <v>0</v>
      </c>
      <c r="S5734" t="n">
        <v>0</v>
      </c>
      <c r="T5734" t="n">
        <v>0</v>
      </c>
      <c r="U5734" t="n">
        <v>0</v>
      </c>
      <c r="V5734" s="2" t="inlineStr"/>
    </row>
    <row r="5735" ht="15" customHeight="1">
      <c r="A5735" t="inlineStr">
        <is>
          <t>A 3344-2025</t>
        </is>
      </c>
      <c r="B5735" t="inlineStr">
        <is>
          <t>avverkningsanmälan</t>
        </is>
      </c>
      <c r="C5735" t="inlineStr">
        <is>
          <t>Föryngringsavverkning</t>
        </is>
      </c>
      <c r="D5735" s="1" t="n">
        <v>45679</v>
      </c>
      <c r="E5735" s="1" t="n">
        <v>46323</v>
      </c>
      <c r="F5735" t="inlineStr">
        <is>
          <t>KALMAR LÄN</t>
        </is>
      </c>
      <c r="G5735" t="inlineStr">
        <is>
          <t>NYBRO</t>
        </is>
      </c>
      <c r="I5735" t="n">
        <v>1.7</v>
      </c>
      <c r="J5735" t="n">
        <v>0</v>
      </c>
      <c r="K5735" t="n">
        <v>0</v>
      </c>
      <c r="L5735" t="n">
        <v>0</v>
      </c>
      <c r="M5735" t="n">
        <v>0</v>
      </c>
      <c r="N5735" t="n">
        <v>0</v>
      </c>
      <c r="O5735" t="n">
        <v>0</v>
      </c>
      <c r="P5735" t="n">
        <v>0</v>
      </c>
      <c r="Q5735" t="n">
        <v>0</v>
      </c>
      <c r="R5735" t="n">
        <v>0</v>
      </c>
      <c r="S5735" t="n">
        <v>0</v>
      </c>
      <c r="T5735" t="n">
        <v>0</v>
      </c>
      <c r="U5735" t="n">
        <v>0</v>
      </c>
      <c r="V5735" s="2" t="inlineStr"/>
    </row>
    <row r="5736" ht="15" customHeight="1">
      <c r="A5736" t="inlineStr">
        <is>
          <t>A 29569-2024</t>
        </is>
      </c>
      <c r="B5736" t="inlineStr">
        <is>
          <t>avverkningsanmälan</t>
        </is>
      </c>
      <c r="C5736" t="inlineStr">
        <is>
          <t>Föryngringsavverkning</t>
        </is>
      </c>
      <c r="D5736" s="1" t="n">
        <v>45484</v>
      </c>
      <c r="E5736" s="1" t="n">
        <v>46323</v>
      </c>
      <c r="F5736" t="inlineStr">
        <is>
          <t>KALMAR LÄN</t>
        </is>
      </c>
      <c r="G5736" t="inlineStr">
        <is>
          <t>HULTSFRED</t>
        </is>
      </c>
      <c r="I5736" t="n">
        <v>1.6</v>
      </c>
      <c r="J5736" t="n">
        <v>0</v>
      </c>
      <c r="K5736" t="n">
        <v>0</v>
      </c>
      <c r="L5736" t="n">
        <v>0</v>
      </c>
      <c r="M5736" t="n">
        <v>0</v>
      </c>
      <c r="N5736" t="n">
        <v>0</v>
      </c>
      <c r="O5736" t="n">
        <v>0</v>
      </c>
      <c r="P5736" t="n">
        <v>0</v>
      </c>
      <c r="Q5736" t="n">
        <v>0</v>
      </c>
      <c r="R5736" t="n">
        <v>0</v>
      </c>
      <c r="S5736" t="n">
        <v>0</v>
      </c>
      <c r="T5736" t="n">
        <v>0</v>
      </c>
      <c r="U5736" t="n">
        <v>0</v>
      </c>
      <c r="V5736" s="2" t="inlineStr"/>
    </row>
    <row r="5737" ht="15" customHeight="1">
      <c r="A5737" t="inlineStr">
        <is>
          <t>A 29874-2025</t>
        </is>
      </c>
      <c r="B5737" t="inlineStr">
        <is>
          <t>avverkningsanmälan</t>
        </is>
      </c>
      <c r="C5737" t="inlineStr">
        <is>
          <t>Föryngringsavverkning</t>
        </is>
      </c>
      <c r="D5737" s="1" t="n">
        <v>45826</v>
      </c>
      <c r="E5737" s="1" t="n">
        <v>46323</v>
      </c>
      <c r="F5737" t="inlineStr">
        <is>
          <t>KALMAR LÄN</t>
        </is>
      </c>
      <c r="G5737" t="inlineStr">
        <is>
          <t>EMMABODA</t>
        </is>
      </c>
      <c r="I5737" t="n">
        <v>2.6</v>
      </c>
      <c r="J5737" t="n">
        <v>0</v>
      </c>
      <c r="K5737" t="n">
        <v>0</v>
      </c>
      <c r="L5737" t="n">
        <v>0</v>
      </c>
      <c r="M5737" t="n">
        <v>0</v>
      </c>
      <c r="N5737" t="n">
        <v>0</v>
      </c>
      <c r="O5737" t="n">
        <v>0</v>
      </c>
      <c r="P5737" t="n">
        <v>0</v>
      </c>
      <c r="Q5737" t="n">
        <v>0</v>
      </c>
      <c r="R5737" t="n">
        <v>0</v>
      </c>
      <c r="S5737" t="n">
        <v>0</v>
      </c>
      <c r="T5737" t="n">
        <v>0</v>
      </c>
      <c r="U5737" t="n">
        <v>0</v>
      </c>
      <c r="V5737" s="2" t="inlineStr"/>
    </row>
    <row r="5738" ht="15" customHeight="1">
      <c r="A5738" t="inlineStr">
        <is>
          <t>A 29879-2025</t>
        </is>
      </c>
      <c r="B5738" t="inlineStr">
        <is>
          <t>avverkningsanmälan</t>
        </is>
      </c>
      <c r="C5738" t="inlineStr">
        <is>
          <t>Föryngringsavverkning</t>
        </is>
      </c>
      <c r="D5738" s="1" t="n">
        <v>45826</v>
      </c>
      <c r="E5738" s="1" t="n">
        <v>46323</v>
      </c>
      <c r="F5738" t="inlineStr">
        <is>
          <t>KALMAR LÄN</t>
        </is>
      </c>
      <c r="G5738" t="inlineStr">
        <is>
          <t>EMMABODA</t>
        </is>
      </c>
      <c r="I5738" t="n">
        <v>0.9</v>
      </c>
      <c r="J5738" t="n">
        <v>0</v>
      </c>
      <c r="K5738" t="n">
        <v>0</v>
      </c>
      <c r="L5738" t="n">
        <v>0</v>
      </c>
      <c r="M5738" t="n">
        <v>0</v>
      </c>
      <c r="N5738" t="n">
        <v>0</v>
      </c>
      <c r="O5738" t="n">
        <v>0</v>
      </c>
      <c r="P5738" t="n">
        <v>0</v>
      </c>
      <c r="Q5738" t="n">
        <v>0</v>
      </c>
      <c r="R5738" t="n">
        <v>0</v>
      </c>
      <c r="S5738" t="n">
        <v>0</v>
      </c>
      <c r="T5738" t="n">
        <v>0</v>
      </c>
      <c r="U5738" t="n">
        <v>0</v>
      </c>
      <c r="V5738" s="2" t="inlineStr"/>
    </row>
    <row r="5739" ht="15" customHeight="1">
      <c r="A5739" t="inlineStr">
        <is>
          <t>A 29737-2025</t>
        </is>
      </c>
      <c r="B5739" t="inlineStr">
        <is>
          <t>avverkningsanmälan</t>
        </is>
      </c>
      <c r="C5739" t="inlineStr">
        <is>
          <t>Föryngringsavverkning</t>
        </is>
      </c>
      <c r="D5739" s="1" t="n">
        <v>45825</v>
      </c>
      <c r="E5739" s="1" t="n">
        <v>46323</v>
      </c>
      <c r="F5739" t="inlineStr">
        <is>
          <t>KALMAR LÄN</t>
        </is>
      </c>
      <c r="G5739" t="inlineStr">
        <is>
          <t>VIMMERBY</t>
        </is>
      </c>
      <c r="I5739" t="n">
        <v>1.2</v>
      </c>
      <c r="J5739" t="n">
        <v>0</v>
      </c>
      <c r="K5739" t="n">
        <v>0</v>
      </c>
      <c r="L5739" t="n">
        <v>0</v>
      </c>
      <c r="M5739" t="n">
        <v>0</v>
      </c>
      <c r="N5739" t="n">
        <v>0</v>
      </c>
      <c r="O5739" t="n">
        <v>0</v>
      </c>
      <c r="P5739" t="n">
        <v>0</v>
      </c>
      <c r="Q5739" t="n">
        <v>0</v>
      </c>
      <c r="R5739" t="n">
        <v>0</v>
      </c>
      <c r="S5739" t="n">
        <v>0</v>
      </c>
      <c r="T5739" t="n">
        <v>0</v>
      </c>
      <c r="U5739" t="n">
        <v>0</v>
      </c>
      <c r="V5739" s="2" t="inlineStr"/>
    </row>
    <row r="5740" ht="15" customHeight="1">
      <c r="A5740" t="inlineStr">
        <is>
          <t>A 29886-2025</t>
        </is>
      </c>
      <c r="B5740" t="inlineStr">
        <is>
          <t>avverkningsanmälan</t>
        </is>
      </c>
      <c r="C5740" t="inlineStr">
        <is>
          <t>Föryngringsavverkning</t>
        </is>
      </c>
      <c r="D5740" s="1" t="n">
        <v>45826</v>
      </c>
      <c r="E5740" s="1" t="n">
        <v>46323</v>
      </c>
      <c r="F5740" t="inlineStr">
        <is>
          <t>KALMAR LÄN</t>
        </is>
      </c>
      <c r="G5740" t="inlineStr">
        <is>
          <t>EMMABODA</t>
        </is>
      </c>
      <c r="I5740" t="n">
        <v>7</v>
      </c>
      <c r="J5740" t="n">
        <v>0</v>
      </c>
      <c r="K5740" t="n">
        <v>0</v>
      </c>
      <c r="L5740" t="n">
        <v>0</v>
      </c>
      <c r="M5740" t="n">
        <v>0</v>
      </c>
      <c r="N5740" t="n">
        <v>0</v>
      </c>
      <c r="O5740" t="n">
        <v>0</v>
      </c>
      <c r="P5740" t="n">
        <v>0</v>
      </c>
      <c r="Q5740" t="n">
        <v>0</v>
      </c>
      <c r="R5740" t="n">
        <v>0</v>
      </c>
      <c r="S5740" t="n">
        <v>0</v>
      </c>
      <c r="T5740" t="n">
        <v>0</v>
      </c>
      <c r="U5740" t="n">
        <v>0</v>
      </c>
      <c r="V5740" s="2" t="inlineStr"/>
    </row>
    <row r="5741" ht="15" customHeight="1">
      <c r="A5741" t="inlineStr">
        <is>
          <t>A 52774-2024</t>
        </is>
      </c>
      <c r="B5741" t="inlineStr">
        <is>
          <t>avverkningsanmälan</t>
        </is>
      </c>
      <c r="C5741" t="inlineStr">
        <is>
          <t>Föryngringsavverkning</t>
        </is>
      </c>
      <c r="D5741" s="1" t="n">
        <v>45610</v>
      </c>
      <c r="E5741" s="1" t="n">
        <v>46323</v>
      </c>
      <c r="F5741" t="inlineStr">
        <is>
          <t>KALMAR LÄN</t>
        </is>
      </c>
      <c r="G5741" t="inlineStr">
        <is>
          <t>VÄSTERVIK</t>
        </is>
      </c>
      <c r="H5741" t="inlineStr">
        <is>
          <t>Holmen skog AB</t>
        </is>
      </c>
      <c r="I5741" t="n">
        <v>2.9</v>
      </c>
      <c r="J5741" t="n">
        <v>0</v>
      </c>
      <c r="K5741" t="n">
        <v>0</v>
      </c>
      <c r="L5741" t="n">
        <v>0</v>
      </c>
      <c r="M5741" t="n">
        <v>0</v>
      </c>
      <c r="N5741" t="n">
        <v>0</v>
      </c>
      <c r="O5741" t="n">
        <v>0</v>
      </c>
      <c r="P5741" t="n">
        <v>0</v>
      </c>
      <c r="Q5741" t="n">
        <v>0</v>
      </c>
      <c r="R5741" t="n">
        <v>0</v>
      </c>
      <c r="S5741" t="n">
        <v>0</v>
      </c>
      <c r="T5741" t="n">
        <v>0</v>
      </c>
      <c r="U5741" t="n">
        <v>0</v>
      </c>
      <c r="V5741" s="2" t="inlineStr"/>
    </row>
    <row r="5742" ht="15" customHeight="1">
      <c r="A5742" t="inlineStr">
        <is>
          <t>A 15222-2023</t>
        </is>
      </c>
      <c r="B5742" t="inlineStr">
        <is>
          <t>avverkningsanmälan</t>
        </is>
      </c>
      <c r="C5742" t="inlineStr">
        <is>
          <t>Föryngringsavverkning</t>
        </is>
      </c>
      <c r="D5742" s="1" t="n">
        <v>45019</v>
      </c>
      <c r="E5742" s="1" t="n">
        <v>46323</v>
      </c>
      <c r="F5742" t="inlineStr">
        <is>
          <t>KALMAR LÄN</t>
        </is>
      </c>
      <c r="G5742" t="inlineStr">
        <is>
          <t>OSKARSHAMN</t>
        </is>
      </c>
      <c r="I5742" t="n">
        <v>0.9</v>
      </c>
      <c r="J5742" t="n">
        <v>0</v>
      </c>
      <c r="K5742" t="n">
        <v>0</v>
      </c>
      <c r="L5742" t="n">
        <v>0</v>
      </c>
      <c r="M5742" t="n">
        <v>0</v>
      </c>
      <c r="N5742" t="n">
        <v>0</v>
      </c>
      <c r="O5742" t="n">
        <v>0</v>
      </c>
      <c r="P5742" t="n">
        <v>0</v>
      </c>
      <c r="Q5742" t="n">
        <v>0</v>
      </c>
      <c r="R5742" t="n">
        <v>0</v>
      </c>
      <c r="S5742" t="n">
        <v>0</v>
      </c>
      <c r="T5742" t="n">
        <v>0</v>
      </c>
      <c r="U5742" t="n">
        <v>0</v>
      </c>
      <c r="V5742" s="2" t="inlineStr"/>
    </row>
    <row r="5743" ht="15" customHeight="1">
      <c r="A5743" t="inlineStr">
        <is>
          <t>A 68423-2021</t>
        </is>
      </c>
      <c r="B5743" t="inlineStr">
        <is>
          <t>avverkningsanmälan</t>
        </is>
      </c>
      <c r="C5743" t="inlineStr">
        <is>
          <t>Föryngringsavverkning</t>
        </is>
      </c>
      <c r="D5743" s="1" t="n">
        <v>44529</v>
      </c>
      <c r="E5743" s="1" t="n">
        <v>46323</v>
      </c>
      <c r="F5743" t="inlineStr">
        <is>
          <t>KALMAR LÄN</t>
        </is>
      </c>
      <c r="G5743" t="inlineStr">
        <is>
          <t>KALMAR</t>
        </is>
      </c>
      <c r="I5743" t="n">
        <v>1.7</v>
      </c>
      <c r="J5743" t="n">
        <v>0</v>
      </c>
      <c r="K5743" t="n">
        <v>0</v>
      </c>
      <c r="L5743" t="n">
        <v>0</v>
      </c>
      <c r="M5743" t="n">
        <v>0</v>
      </c>
      <c r="N5743" t="n">
        <v>0</v>
      </c>
      <c r="O5743" t="n">
        <v>0</v>
      </c>
      <c r="P5743" t="n">
        <v>0</v>
      </c>
      <c r="Q5743" t="n">
        <v>0</v>
      </c>
      <c r="R5743" t="n">
        <v>0</v>
      </c>
      <c r="S5743" t="n">
        <v>0</v>
      </c>
      <c r="T5743" t="n">
        <v>0</v>
      </c>
      <c r="U5743" t="n">
        <v>0</v>
      </c>
      <c r="V5743" s="2" t="inlineStr"/>
    </row>
    <row r="5744" ht="15" customHeight="1">
      <c r="A5744" t="inlineStr">
        <is>
          <t>A 57091-2022</t>
        </is>
      </c>
      <c r="B5744" t="inlineStr">
        <is>
          <t>avverkningsanmälan</t>
        </is>
      </c>
      <c r="C5744" t="inlineStr">
        <is>
          <t>Föryngringsavverkning</t>
        </is>
      </c>
      <c r="D5744" s="1" t="n">
        <v>44895</v>
      </c>
      <c r="E5744" s="1" t="n">
        <v>46323</v>
      </c>
      <c r="F5744" t="inlineStr">
        <is>
          <t>KALMAR LÄN</t>
        </is>
      </c>
      <c r="G5744" t="inlineStr">
        <is>
          <t>VIMMERBY</t>
        </is>
      </c>
      <c r="I5744" t="n">
        <v>2.6</v>
      </c>
      <c r="J5744" t="n">
        <v>0</v>
      </c>
      <c r="K5744" t="n">
        <v>0</v>
      </c>
      <c r="L5744" t="n">
        <v>0</v>
      </c>
      <c r="M5744" t="n">
        <v>0</v>
      </c>
      <c r="N5744" t="n">
        <v>0</v>
      </c>
      <c r="O5744" t="n">
        <v>0</v>
      </c>
      <c r="P5744" t="n">
        <v>0</v>
      </c>
      <c r="Q5744" t="n">
        <v>0</v>
      </c>
      <c r="R5744" t="n">
        <v>0</v>
      </c>
      <c r="S5744" t="n">
        <v>0</v>
      </c>
      <c r="T5744" t="n">
        <v>0</v>
      </c>
      <c r="U5744" t="n">
        <v>0</v>
      </c>
      <c r="V5744" s="2" t="inlineStr"/>
    </row>
    <row r="5745" ht="15" customHeight="1">
      <c r="A5745" t="inlineStr">
        <is>
          <t>A 45065-2024</t>
        </is>
      </c>
      <c r="B5745" t="inlineStr">
        <is>
          <t>avverkningsanmälan</t>
        </is>
      </c>
      <c r="C5745" t="inlineStr">
        <is>
          <t>Föryngringsavverkning</t>
        </is>
      </c>
      <c r="D5745" s="1" t="n">
        <v>45575</v>
      </c>
      <c r="E5745" s="1" t="n">
        <v>46323</v>
      </c>
      <c r="F5745" t="inlineStr">
        <is>
          <t>KALMAR LÄN</t>
        </is>
      </c>
      <c r="G5745" t="inlineStr">
        <is>
          <t>MÖNSTERÅS</t>
        </is>
      </c>
      <c r="I5745" t="n">
        <v>2.5</v>
      </c>
      <c r="J5745" t="n">
        <v>0</v>
      </c>
      <c r="K5745" t="n">
        <v>0</v>
      </c>
      <c r="L5745" t="n">
        <v>0</v>
      </c>
      <c r="M5745" t="n">
        <v>0</v>
      </c>
      <c r="N5745" t="n">
        <v>0</v>
      </c>
      <c r="O5745" t="n">
        <v>0</v>
      </c>
      <c r="P5745" t="n">
        <v>0</v>
      </c>
      <c r="Q5745" t="n">
        <v>0</v>
      </c>
      <c r="R5745" t="n">
        <v>0</v>
      </c>
      <c r="S5745" t="n">
        <v>0</v>
      </c>
      <c r="T5745" t="n">
        <v>0</v>
      </c>
      <c r="U5745" t="n">
        <v>0</v>
      </c>
      <c r="V5745" s="2" t="inlineStr"/>
    </row>
    <row r="5746" ht="15" customHeight="1">
      <c r="A5746" t="inlineStr">
        <is>
          <t>A 36162-2024</t>
        </is>
      </c>
      <c r="B5746" t="inlineStr">
        <is>
          <t>avverkningsanmälan</t>
        </is>
      </c>
      <c r="C5746" t="inlineStr">
        <is>
          <t>Föryngringsavverkning</t>
        </is>
      </c>
      <c r="D5746" s="1" t="n">
        <v>45534</v>
      </c>
      <c r="E5746" s="1" t="n">
        <v>46323</v>
      </c>
      <c r="F5746" t="inlineStr">
        <is>
          <t>KALMAR LÄN</t>
        </is>
      </c>
      <c r="G5746" t="inlineStr">
        <is>
          <t>NYBRO</t>
        </is>
      </c>
      <c r="I5746" t="n">
        <v>13.2</v>
      </c>
      <c r="J5746" t="n">
        <v>0</v>
      </c>
      <c r="K5746" t="n">
        <v>0</v>
      </c>
      <c r="L5746" t="n">
        <v>0</v>
      </c>
      <c r="M5746" t="n">
        <v>0</v>
      </c>
      <c r="N5746" t="n">
        <v>0</v>
      </c>
      <c r="O5746" t="n">
        <v>0</v>
      </c>
      <c r="P5746" t="n">
        <v>0</v>
      </c>
      <c r="Q5746" t="n">
        <v>0</v>
      </c>
      <c r="R5746" t="n">
        <v>0</v>
      </c>
      <c r="S5746" t="n">
        <v>0</v>
      </c>
      <c r="T5746" t="n">
        <v>0</v>
      </c>
      <c r="U5746" t="n">
        <v>0</v>
      </c>
      <c r="V5746" s="2" t="inlineStr"/>
    </row>
    <row r="5747" ht="15" customHeight="1">
      <c r="A5747" t="inlineStr">
        <is>
          <t>A 53681-2022</t>
        </is>
      </c>
      <c r="B5747" t="inlineStr">
        <is>
          <t>avverkningsanmälan</t>
        </is>
      </c>
      <c r="C5747" t="inlineStr">
        <is>
          <t>Föryngringsavverkning</t>
        </is>
      </c>
      <c r="D5747" s="1" t="n">
        <v>44880</v>
      </c>
      <c r="E5747" s="1" t="n">
        <v>46323</v>
      </c>
      <c r="F5747" t="inlineStr">
        <is>
          <t>KALMAR LÄN</t>
        </is>
      </c>
      <c r="G5747" t="inlineStr">
        <is>
          <t>NYBRO</t>
        </is>
      </c>
      <c r="I5747" t="n">
        <v>1.1</v>
      </c>
      <c r="J5747" t="n">
        <v>0</v>
      </c>
      <c r="K5747" t="n">
        <v>0</v>
      </c>
      <c r="L5747" t="n">
        <v>0</v>
      </c>
      <c r="M5747" t="n">
        <v>0</v>
      </c>
      <c r="N5747" t="n">
        <v>0</v>
      </c>
      <c r="O5747" t="n">
        <v>0</v>
      </c>
      <c r="P5747" t="n">
        <v>0</v>
      </c>
      <c r="Q5747" t="n">
        <v>0</v>
      </c>
      <c r="R5747" t="n">
        <v>0</v>
      </c>
      <c r="S5747" t="n">
        <v>0</v>
      </c>
      <c r="T5747" t="n">
        <v>0</v>
      </c>
      <c r="U5747" t="n">
        <v>0</v>
      </c>
      <c r="V5747" s="2" t="inlineStr"/>
    </row>
    <row r="5748" ht="15" customHeight="1">
      <c r="A5748" t="inlineStr">
        <is>
          <t>A 43982-2024</t>
        </is>
      </c>
      <c r="B5748" t="inlineStr">
        <is>
          <t>avverkningsanmälan</t>
        </is>
      </c>
      <c r="C5748" t="inlineStr">
        <is>
          <t>Föryngringsavverkning</t>
        </is>
      </c>
      <c r="D5748" s="1" t="n">
        <v>45572</v>
      </c>
      <c r="E5748" s="1" t="n">
        <v>46323</v>
      </c>
      <c r="F5748" t="inlineStr">
        <is>
          <t>KALMAR LÄN</t>
        </is>
      </c>
      <c r="G5748" t="inlineStr">
        <is>
          <t>NYBRO</t>
        </is>
      </c>
      <c r="I5748" t="n">
        <v>4.7</v>
      </c>
      <c r="J5748" t="n">
        <v>0</v>
      </c>
      <c r="K5748" t="n">
        <v>0</v>
      </c>
      <c r="L5748" t="n">
        <v>0</v>
      </c>
      <c r="M5748" t="n">
        <v>0</v>
      </c>
      <c r="N5748" t="n">
        <v>0</v>
      </c>
      <c r="O5748" t="n">
        <v>0</v>
      </c>
      <c r="P5748" t="n">
        <v>0</v>
      </c>
      <c r="Q5748" t="n">
        <v>0</v>
      </c>
      <c r="R5748" t="n">
        <v>0</v>
      </c>
      <c r="S5748" t="n">
        <v>0</v>
      </c>
      <c r="T5748" t="n">
        <v>0</v>
      </c>
      <c r="U5748" t="n">
        <v>0</v>
      </c>
      <c r="V5748" s="2" t="inlineStr"/>
    </row>
    <row r="5749" ht="15" customHeight="1">
      <c r="A5749" t="inlineStr">
        <is>
          <t>A 31757-2023</t>
        </is>
      </c>
      <c r="B5749" t="inlineStr">
        <is>
          <t>avverkningsanmälan</t>
        </is>
      </c>
      <c r="C5749" t="inlineStr">
        <is>
          <t>Föryngringsavverkning</t>
        </is>
      </c>
      <c r="D5749" s="1" t="n">
        <v>45106</v>
      </c>
      <c r="E5749" s="1" t="n">
        <v>46323</v>
      </c>
      <c r="F5749" t="inlineStr">
        <is>
          <t>KALMAR LÄN</t>
        </is>
      </c>
      <c r="G5749" t="inlineStr">
        <is>
          <t>MÖNSTERÅS</t>
        </is>
      </c>
      <c r="H5749" t="inlineStr">
        <is>
          <t>Kyrkan</t>
        </is>
      </c>
      <c r="I5749" t="n">
        <v>2.6</v>
      </c>
      <c r="J5749" t="n">
        <v>0</v>
      </c>
      <c r="K5749" t="n">
        <v>0</v>
      </c>
      <c r="L5749" t="n">
        <v>0</v>
      </c>
      <c r="M5749" t="n">
        <v>0</v>
      </c>
      <c r="N5749" t="n">
        <v>0</v>
      </c>
      <c r="O5749" t="n">
        <v>0</v>
      </c>
      <c r="P5749" t="n">
        <v>0</v>
      </c>
      <c r="Q5749" t="n">
        <v>0</v>
      </c>
      <c r="R5749" t="n">
        <v>0</v>
      </c>
      <c r="S5749" t="n">
        <v>0</v>
      </c>
      <c r="T5749" t="n">
        <v>0</v>
      </c>
      <c r="U5749" t="n">
        <v>0</v>
      </c>
      <c r="V5749" s="2" t="inlineStr"/>
    </row>
    <row r="5750" ht="15" customHeight="1">
      <c r="A5750" t="inlineStr">
        <is>
          <t>A 352-2023</t>
        </is>
      </c>
      <c r="B5750" t="inlineStr">
        <is>
          <t>avverkningsanmälan</t>
        </is>
      </c>
      <c r="C5750" t="inlineStr">
        <is>
          <t>Föryngringsavverkning</t>
        </is>
      </c>
      <c r="D5750" s="1" t="n">
        <v>44929</v>
      </c>
      <c r="E5750" s="1" t="n">
        <v>46323</v>
      </c>
      <c r="F5750" t="inlineStr">
        <is>
          <t>KALMAR LÄN</t>
        </is>
      </c>
      <c r="G5750" t="inlineStr">
        <is>
          <t>VÄSTERVIK</t>
        </is>
      </c>
      <c r="I5750" t="n">
        <v>1</v>
      </c>
      <c r="J5750" t="n">
        <v>0</v>
      </c>
      <c r="K5750" t="n">
        <v>0</v>
      </c>
      <c r="L5750" t="n">
        <v>0</v>
      </c>
      <c r="M5750" t="n">
        <v>0</v>
      </c>
      <c r="N5750" t="n">
        <v>0</v>
      </c>
      <c r="O5750" t="n">
        <v>0</v>
      </c>
      <c r="P5750" t="n">
        <v>0</v>
      </c>
      <c r="Q5750" t="n">
        <v>0</v>
      </c>
      <c r="R5750" t="n">
        <v>0</v>
      </c>
      <c r="S5750" t="n">
        <v>0</v>
      </c>
      <c r="T5750" t="n">
        <v>0</v>
      </c>
      <c r="U5750" t="n">
        <v>0</v>
      </c>
      <c r="V5750" s="2" t="inlineStr"/>
    </row>
    <row r="5751" ht="15" customHeight="1">
      <c r="A5751" t="inlineStr">
        <is>
          <t>A 4974-2023</t>
        </is>
      </c>
      <c r="B5751" t="inlineStr">
        <is>
          <t>avverkningsanmälan</t>
        </is>
      </c>
      <c r="C5751" t="inlineStr">
        <is>
          <t>Föryngringsavverkning</t>
        </is>
      </c>
      <c r="D5751" s="1" t="n">
        <v>44958</v>
      </c>
      <c r="E5751" s="1" t="n">
        <v>46323</v>
      </c>
      <c r="F5751" t="inlineStr">
        <is>
          <t>KALMAR LÄN</t>
        </is>
      </c>
      <c r="G5751" t="inlineStr">
        <is>
          <t>HULTSFRED</t>
        </is>
      </c>
      <c r="I5751" t="n">
        <v>2.8</v>
      </c>
      <c r="J5751" t="n">
        <v>0</v>
      </c>
      <c r="K5751" t="n">
        <v>0</v>
      </c>
      <c r="L5751" t="n">
        <v>0</v>
      </c>
      <c r="M5751" t="n">
        <v>0</v>
      </c>
      <c r="N5751" t="n">
        <v>0</v>
      </c>
      <c r="O5751" t="n">
        <v>0</v>
      </c>
      <c r="P5751" t="n">
        <v>0</v>
      </c>
      <c r="Q5751" t="n">
        <v>0</v>
      </c>
      <c r="R5751" t="n">
        <v>0</v>
      </c>
      <c r="S5751" t="n">
        <v>0</v>
      </c>
      <c r="T5751" t="n">
        <v>0</v>
      </c>
      <c r="U5751" t="n">
        <v>0</v>
      </c>
      <c r="V5751" s="2" t="inlineStr"/>
    </row>
    <row r="5752" ht="15" customHeight="1">
      <c r="A5752" t="inlineStr">
        <is>
          <t>A 29728-2025</t>
        </is>
      </c>
      <c r="B5752" t="inlineStr">
        <is>
          <t>avverkningsanmälan</t>
        </is>
      </c>
      <c r="C5752" t="inlineStr">
        <is>
          <t>Föryngringsavverkning</t>
        </is>
      </c>
      <c r="D5752" s="1" t="n">
        <v>45825</v>
      </c>
      <c r="E5752" s="1" t="n">
        <v>46323</v>
      </c>
      <c r="F5752" t="inlineStr">
        <is>
          <t>KALMAR LÄN</t>
        </is>
      </c>
      <c r="G5752" t="inlineStr">
        <is>
          <t>HULTSFRED</t>
        </is>
      </c>
      <c r="I5752" t="n">
        <v>1</v>
      </c>
      <c r="J5752" t="n">
        <v>0</v>
      </c>
      <c r="K5752" t="n">
        <v>0</v>
      </c>
      <c r="L5752" t="n">
        <v>0</v>
      </c>
      <c r="M5752" t="n">
        <v>0</v>
      </c>
      <c r="N5752" t="n">
        <v>0</v>
      </c>
      <c r="O5752" t="n">
        <v>0</v>
      </c>
      <c r="P5752" t="n">
        <v>0</v>
      </c>
      <c r="Q5752" t="n">
        <v>0</v>
      </c>
      <c r="R5752" t="n">
        <v>0</v>
      </c>
      <c r="S5752" t="n">
        <v>0</v>
      </c>
      <c r="T5752" t="n">
        <v>0</v>
      </c>
      <c r="U5752" t="n">
        <v>0</v>
      </c>
      <c r="V5752" s="2" t="inlineStr"/>
    </row>
    <row r="5753" ht="15" customHeight="1">
      <c r="A5753" t="inlineStr">
        <is>
          <t>A 28096-2025</t>
        </is>
      </c>
      <c r="B5753" t="inlineStr">
        <is>
          <t>avverkningsanmälan</t>
        </is>
      </c>
      <c r="C5753" t="inlineStr">
        <is>
          <t>Föryngringsavverkning</t>
        </is>
      </c>
      <c r="D5753" s="1" t="n">
        <v>45817</v>
      </c>
      <c r="E5753" s="1" t="n">
        <v>46323</v>
      </c>
      <c r="F5753" t="inlineStr">
        <is>
          <t>KALMAR LÄN</t>
        </is>
      </c>
      <c r="G5753" t="inlineStr">
        <is>
          <t>VÄSTERVIK</t>
        </is>
      </c>
      <c r="I5753" t="n">
        <v>1</v>
      </c>
      <c r="J5753" t="n">
        <v>0</v>
      </c>
      <c r="K5753" t="n">
        <v>0</v>
      </c>
      <c r="L5753" t="n">
        <v>0</v>
      </c>
      <c r="M5753" t="n">
        <v>0</v>
      </c>
      <c r="N5753" t="n">
        <v>0</v>
      </c>
      <c r="O5753" t="n">
        <v>0</v>
      </c>
      <c r="P5753" t="n">
        <v>0</v>
      </c>
      <c r="Q5753" t="n">
        <v>0</v>
      </c>
      <c r="R5753" t="n">
        <v>0</v>
      </c>
      <c r="S5753" t="n">
        <v>0</v>
      </c>
      <c r="T5753" t="n">
        <v>0</v>
      </c>
      <c r="U5753" t="n">
        <v>0</v>
      </c>
      <c r="V5753" s="2" t="inlineStr"/>
    </row>
    <row r="5754" ht="15" customHeight="1">
      <c r="A5754" t="inlineStr">
        <is>
          <t>A 36409-2026</t>
        </is>
      </c>
      <c r="B5754" t="inlineStr">
        <is>
          <t>avverkningsanmälan</t>
        </is>
      </c>
      <c r="C5754" t="inlineStr">
        <is>
          <t>Föryngringsavverkning</t>
        </is>
      </c>
      <c r="D5754" s="1" t="n">
        <v>46268</v>
      </c>
      <c r="E5754" s="1" t="n">
        <v>46323</v>
      </c>
      <c r="F5754" t="inlineStr">
        <is>
          <t>KALMAR LÄN</t>
        </is>
      </c>
      <c r="G5754" t="inlineStr">
        <is>
          <t>TORSÅS</t>
        </is>
      </c>
      <c r="I5754" t="n">
        <v>1.2</v>
      </c>
      <c r="J5754" t="n">
        <v>0</v>
      </c>
      <c r="K5754" t="n">
        <v>0</v>
      </c>
      <c r="L5754" t="n">
        <v>0</v>
      </c>
      <c r="M5754" t="n">
        <v>0</v>
      </c>
      <c r="N5754" t="n">
        <v>0</v>
      </c>
      <c r="O5754" t="n">
        <v>0</v>
      </c>
      <c r="P5754" t="n">
        <v>0</v>
      </c>
      <c r="Q5754" t="n">
        <v>0</v>
      </c>
      <c r="R5754" t="n">
        <v>0</v>
      </c>
      <c r="S5754" t="n">
        <v>0</v>
      </c>
      <c r="T5754" t="n">
        <v>0</v>
      </c>
      <c r="U5754" t="n">
        <v>0</v>
      </c>
      <c r="V5754" s="2" t="inlineStr"/>
    </row>
    <row r="5755" ht="15" customHeight="1">
      <c r="A5755" t="inlineStr">
        <is>
          <t>A 59675-2022</t>
        </is>
      </c>
      <c r="B5755" t="inlineStr">
        <is>
          <t>avverkningsanmälan</t>
        </is>
      </c>
      <c r="C5755" t="inlineStr">
        <is>
          <t>Föryngringsavverkning</t>
        </is>
      </c>
      <c r="D5755" s="1" t="n">
        <v>44908</v>
      </c>
      <c r="E5755" s="1" t="n">
        <v>46323</v>
      </c>
      <c r="F5755" t="inlineStr">
        <is>
          <t>KALMAR LÄN</t>
        </is>
      </c>
      <c r="G5755" t="inlineStr">
        <is>
          <t>VÄSTERVIK</t>
        </is>
      </c>
      <c r="I5755" t="n">
        <v>0.7</v>
      </c>
      <c r="J5755" t="n">
        <v>0</v>
      </c>
      <c r="K5755" t="n">
        <v>0</v>
      </c>
      <c r="L5755" t="n">
        <v>0</v>
      </c>
      <c r="M5755" t="n">
        <v>0</v>
      </c>
      <c r="N5755" t="n">
        <v>0</v>
      </c>
      <c r="O5755" t="n">
        <v>0</v>
      </c>
      <c r="P5755" t="n">
        <v>0</v>
      </c>
      <c r="Q5755" t="n">
        <v>0</v>
      </c>
      <c r="R5755" t="n">
        <v>0</v>
      </c>
      <c r="S5755" t="n">
        <v>0</v>
      </c>
      <c r="T5755" t="n">
        <v>0</v>
      </c>
      <c r="U5755" t="n">
        <v>0</v>
      </c>
      <c r="V5755" s="2" t="inlineStr"/>
    </row>
    <row r="5756" ht="15" customHeight="1">
      <c r="A5756" t="inlineStr">
        <is>
          <t>A 30950-2025</t>
        </is>
      </c>
      <c r="B5756" t="inlineStr">
        <is>
          <t>avverkningsanmälan</t>
        </is>
      </c>
      <c r="C5756" t="inlineStr">
        <is>
          <t>Föryngringsavverkning</t>
        </is>
      </c>
      <c r="D5756" s="1" t="n">
        <v>45832</v>
      </c>
      <c r="E5756" s="1" t="n">
        <v>46323</v>
      </c>
      <c r="F5756" t="inlineStr">
        <is>
          <t>KALMAR LÄN</t>
        </is>
      </c>
      <c r="G5756" t="inlineStr">
        <is>
          <t>OSKARSHAMN</t>
        </is>
      </c>
      <c r="I5756" t="n">
        <v>2.9</v>
      </c>
      <c r="J5756" t="n">
        <v>0</v>
      </c>
      <c r="K5756" t="n">
        <v>0</v>
      </c>
      <c r="L5756" t="n">
        <v>0</v>
      </c>
      <c r="M5756" t="n">
        <v>0</v>
      </c>
      <c r="N5756" t="n">
        <v>0</v>
      </c>
      <c r="O5756" t="n">
        <v>0</v>
      </c>
      <c r="P5756" t="n">
        <v>0</v>
      </c>
      <c r="Q5756" t="n">
        <v>0</v>
      </c>
      <c r="R5756" t="n">
        <v>0</v>
      </c>
      <c r="S5756" t="n">
        <v>0</v>
      </c>
      <c r="T5756" t="n">
        <v>0</v>
      </c>
      <c r="U5756" t="n">
        <v>0</v>
      </c>
      <c r="V5756" s="2" t="inlineStr"/>
    </row>
    <row r="5757" ht="15" customHeight="1">
      <c r="A5757" t="inlineStr">
        <is>
          <t>A 6807-2025</t>
        </is>
      </c>
      <c r="B5757" t="inlineStr">
        <is>
          <t>avverkningsanmälan</t>
        </is>
      </c>
      <c r="C5757" t="inlineStr">
        <is>
          <t>Föryngringsavverkning</t>
        </is>
      </c>
      <c r="D5757" s="1" t="n">
        <v>45700</v>
      </c>
      <c r="E5757" s="1" t="n">
        <v>46323</v>
      </c>
      <c r="F5757" t="inlineStr">
        <is>
          <t>KALMAR LÄN</t>
        </is>
      </c>
      <c r="G5757" t="inlineStr">
        <is>
          <t>VIMMERBY</t>
        </is>
      </c>
      <c r="I5757" t="n">
        <v>1.4</v>
      </c>
      <c r="J5757" t="n">
        <v>0</v>
      </c>
      <c r="K5757" t="n">
        <v>0</v>
      </c>
      <c r="L5757" t="n">
        <v>0</v>
      </c>
      <c r="M5757" t="n">
        <v>0</v>
      </c>
      <c r="N5757" t="n">
        <v>0</v>
      </c>
      <c r="O5757" t="n">
        <v>0</v>
      </c>
      <c r="P5757" t="n">
        <v>0</v>
      </c>
      <c r="Q5757" t="n">
        <v>0</v>
      </c>
      <c r="R5757" t="n">
        <v>0</v>
      </c>
      <c r="S5757" t="n">
        <v>0</v>
      </c>
      <c r="T5757" t="n">
        <v>0</v>
      </c>
      <c r="U5757" t="n">
        <v>0</v>
      </c>
      <c r="V5757" s="2" t="inlineStr"/>
    </row>
    <row r="5758" ht="15" customHeight="1">
      <c r="A5758" t="inlineStr">
        <is>
          <t>A 37447-2023</t>
        </is>
      </c>
      <c r="B5758" t="inlineStr">
        <is>
          <t>avverkningsanmälan</t>
        </is>
      </c>
      <c r="C5758" t="inlineStr">
        <is>
          <t>Föryngringsavverkning</t>
        </is>
      </c>
      <c r="D5758" s="1" t="n">
        <v>45156</v>
      </c>
      <c r="E5758" s="1" t="n">
        <v>46323</v>
      </c>
      <c r="F5758" t="inlineStr">
        <is>
          <t>KALMAR LÄN</t>
        </is>
      </c>
      <c r="G5758" t="inlineStr">
        <is>
          <t>KALMAR</t>
        </is>
      </c>
      <c r="I5758" t="n">
        <v>1.4</v>
      </c>
      <c r="J5758" t="n">
        <v>0</v>
      </c>
      <c r="K5758" t="n">
        <v>0</v>
      </c>
      <c r="L5758" t="n">
        <v>0</v>
      </c>
      <c r="M5758" t="n">
        <v>0</v>
      </c>
      <c r="N5758" t="n">
        <v>0</v>
      </c>
      <c r="O5758" t="n">
        <v>0</v>
      </c>
      <c r="P5758" t="n">
        <v>0</v>
      </c>
      <c r="Q5758" t="n">
        <v>0</v>
      </c>
      <c r="R5758" t="n">
        <v>0</v>
      </c>
      <c r="S5758" t="n">
        <v>0</v>
      </c>
      <c r="T5758" t="n">
        <v>0</v>
      </c>
      <c r="U5758" t="n">
        <v>0</v>
      </c>
      <c r="V5758" s="2" t="inlineStr"/>
    </row>
    <row r="5759" ht="15" customHeight="1">
      <c r="A5759" t="inlineStr">
        <is>
          <t>A 43054-2026</t>
        </is>
      </c>
      <c r="B5759" t="inlineStr">
        <is>
          <t>avverkningsanmälan</t>
        </is>
      </c>
      <c r="C5759" t="inlineStr">
        <is>
          <t>Föryngringsavverkning</t>
        </is>
      </c>
      <c r="D5759" s="1" t="n">
        <v>46311</v>
      </c>
      <c r="E5759" s="1" t="n">
        <v>46323</v>
      </c>
      <c r="F5759" t="inlineStr">
        <is>
          <t>KALMAR LÄN</t>
        </is>
      </c>
      <c r="G5759" t="inlineStr">
        <is>
          <t>HÖGSBY</t>
        </is>
      </c>
      <c r="I5759" t="n">
        <v>1</v>
      </c>
      <c r="J5759" t="n">
        <v>0</v>
      </c>
      <c r="K5759" t="n">
        <v>0</v>
      </c>
      <c r="L5759" t="n">
        <v>0</v>
      </c>
      <c r="M5759" t="n">
        <v>0</v>
      </c>
      <c r="N5759" t="n">
        <v>0</v>
      </c>
      <c r="O5759" t="n">
        <v>0</v>
      </c>
      <c r="P5759" t="n">
        <v>0</v>
      </c>
      <c r="Q5759" t="n">
        <v>0</v>
      </c>
      <c r="R5759" t="n">
        <v>0</v>
      </c>
      <c r="S5759" t="n">
        <v>0</v>
      </c>
      <c r="T5759" t="n">
        <v>0</v>
      </c>
      <c r="U5759" t="n">
        <v>0</v>
      </c>
      <c r="V5759" s="2" t="inlineStr"/>
    </row>
    <row r="5760" ht="15" customHeight="1">
      <c r="A5760" t="inlineStr">
        <is>
          <t>A 5386-2026</t>
        </is>
      </c>
      <c r="B5760" t="inlineStr">
        <is>
          <t>avverkningsanmälan</t>
        </is>
      </c>
      <c r="C5760" t="inlineStr">
        <is>
          <t>Föryngringsavverkning</t>
        </is>
      </c>
      <c r="D5760" s="1" t="n">
        <v>46050</v>
      </c>
      <c r="E5760" s="1" t="n">
        <v>46323</v>
      </c>
      <c r="F5760" t="inlineStr">
        <is>
          <t>KALMAR LÄN</t>
        </is>
      </c>
      <c r="G5760" t="inlineStr">
        <is>
          <t>MÖNSTERÅS</t>
        </is>
      </c>
      <c r="I5760" t="n">
        <v>6.5</v>
      </c>
      <c r="J5760" t="n">
        <v>0</v>
      </c>
      <c r="K5760" t="n">
        <v>0</v>
      </c>
      <c r="L5760" t="n">
        <v>0</v>
      </c>
      <c r="M5760" t="n">
        <v>0</v>
      </c>
      <c r="N5760" t="n">
        <v>0</v>
      </c>
      <c r="O5760" t="n">
        <v>0</v>
      </c>
      <c r="P5760" t="n">
        <v>0</v>
      </c>
      <c r="Q5760" t="n">
        <v>0</v>
      </c>
      <c r="R5760" t="n">
        <v>0</v>
      </c>
      <c r="S5760" t="n">
        <v>0</v>
      </c>
      <c r="T5760" t="n">
        <v>0</v>
      </c>
      <c r="U5760" t="n">
        <v>0</v>
      </c>
      <c r="V5760" s="2" t="inlineStr"/>
    </row>
    <row r="5761" ht="15" customHeight="1">
      <c r="A5761" t="inlineStr">
        <is>
          <t>A 36578-2026</t>
        </is>
      </c>
      <c r="B5761" t="inlineStr">
        <is>
          <t>avverkningsanmälan</t>
        </is>
      </c>
      <c r="C5761" t="inlineStr">
        <is>
          <t>Föryngringsavverkning</t>
        </is>
      </c>
      <c r="D5761" s="1" t="n">
        <v>46269</v>
      </c>
      <c r="E5761" s="1" t="n">
        <v>46323</v>
      </c>
      <c r="F5761" t="inlineStr">
        <is>
          <t>KALMAR LÄN</t>
        </is>
      </c>
      <c r="G5761" t="inlineStr">
        <is>
          <t>NYBRO</t>
        </is>
      </c>
      <c r="I5761" t="n">
        <v>2.3</v>
      </c>
      <c r="J5761" t="n">
        <v>0</v>
      </c>
      <c r="K5761" t="n">
        <v>0</v>
      </c>
      <c r="L5761" t="n">
        <v>0</v>
      </c>
      <c r="M5761" t="n">
        <v>0</v>
      </c>
      <c r="N5761" t="n">
        <v>0</v>
      </c>
      <c r="O5761" t="n">
        <v>0</v>
      </c>
      <c r="P5761" t="n">
        <v>0</v>
      </c>
      <c r="Q5761" t="n">
        <v>0</v>
      </c>
      <c r="R5761" t="n">
        <v>0</v>
      </c>
      <c r="S5761" t="n">
        <v>0</v>
      </c>
      <c r="T5761" t="n">
        <v>0</v>
      </c>
      <c r="U5761" t="n">
        <v>0</v>
      </c>
      <c r="V5761" s="2" t="inlineStr"/>
    </row>
    <row r="5762" ht="15" customHeight="1">
      <c r="A5762" t="inlineStr">
        <is>
          <t>A 59579-2025</t>
        </is>
      </c>
      <c r="B5762" t="inlineStr">
        <is>
          <t>avverkningsanmälan</t>
        </is>
      </c>
      <c r="C5762" t="inlineStr">
        <is>
          <t>Föryngringsavverkning</t>
        </is>
      </c>
      <c r="D5762" s="1" t="n">
        <v>45992</v>
      </c>
      <c r="E5762" s="1" t="n">
        <v>46323</v>
      </c>
      <c r="F5762" t="inlineStr">
        <is>
          <t>KALMAR LÄN</t>
        </is>
      </c>
      <c r="G5762" t="inlineStr">
        <is>
          <t>VIMMERBY</t>
        </is>
      </c>
      <c r="I5762" t="n">
        <v>1.3</v>
      </c>
      <c r="J5762" t="n">
        <v>0</v>
      </c>
      <c r="K5762" t="n">
        <v>0</v>
      </c>
      <c r="L5762" t="n">
        <v>0</v>
      </c>
      <c r="M5762" t="n">
        <v>0</v>
      </c>
      <c r="N5762" t="n">
        <v>0</v>
      </c>
      <c r="O5762" t="n">
        <v>0</v>
      </c>
      <c r="P5762" t="n">
        <v>0</v>
      </c>
      <c r="Q5762" t="n">
        <v>0</v>
      </c>
      <c r="R5762" t="n">
        <v>0</v>
      </c>
      <c r="S5762" t="n">
        <v>0</v>
      </c>
      <c r="T5762" t="n">
        <v>0</v>
      </c>
      <c r="U5762" t="n">
        <v>0</v>
      </c>
      <c r="V5762" s="2" t="inlineStr"/>
    </row>
    <row r="5763" ht="15" customHeight="1">
      <c r="A5763" t="inlineStr">
        <is>
          <t>A 7675-2024</t>
        </is>
      </c>
      <c r="B5763" t="inlineStr">
        <is>
          <t>avverkningsanmälan</t>
        </is>
      </c>
      <c r="C5763" t="inlineStr">
        <is>
          <t>Föryngringsavverkning</t>
        </is>
      </c>
      <c r="D5763" s="1" t="n">
        <v>45348</v>
      </c>
      <c r="E5763" s="1" t="n">
        <v>46323</v>
      </c>
      <c r="F5763" t="inlineStr">
        <is>
          <t>KALMAR LÄN</t>
        </is>
      </c>
      <c r="G5763" t="inlineStr">
        <is>
          <t>OSKARSHAMN</t>
        </is>
      </c>
      <c r="H5763" t="inlineStr">
        <is>
          <t>Sveaskog</t>
        </is>
      </c>
      <c r="I5763" t="n">
        <v>1.4</v>
      </c>
      <c r="J5763" t="n">
        <v>0</v>
      </c>
      <c r="K5763" t="n">
        <v>0</v>
      </c>
      <c r="L5763" t="n">
        <v>0</v>
      </c>
      <c r="M5763" t="n">
        <v>0</v>
      </c>
      <c r="N5763" t="n">
        <v>0</v>
      </c>
      <c r="O5763" t="n">
        <v>0</v>
      </c>
      <c r="P5763" t="n">
        <v>0</v>
      </c>
      <c r="Q5763" t="n">
        <v>0</v>
      </c>
      <c r="R5763" t="n">
        <v>0</v>
      </c>
      <c r="S5763" t="n">
        <v>0</v>
      </c>
      <c r="T5763" t="n">
        <v>0</v>
      </c>
      <c r="U5763" t="n">
        <v>0</v>
      </c>
      <c r="V5763" s="2" t="inlineStr"/>
    </row>
    <row r="5764" ht="15" customHeight="1">
      <c r="A5764" t="inlineStr">
        <is>
          <t>A 6670-2024</t>
        </is>
      </c>
      <c r="B5764" t="inlineStr">
        <is>
          <t>avverkningsanmälan</t>
        </is>
      </c>
      <c r="C5764" t="inlineStr">
        <is>
          <t>Föryngringsavverkning</t>
        </is>
      </c>
      <c r="D5764" s="1" t="n">
        <v>45341</v>
      </c>
      <c r="E5764" s="1" t="n">
        <v>46323</v>
      </c>
      <c r="F5764" t="inlineStr">
        <is>
          <t>KALMAR LÄN</t>
        </is>
      </c>
      <c r="G5764" t="inlineStr">
        <is>
          <t>OSKARSHAMN</t>
        </is>
      </c>
      <c r="I5764" t="n">
        <v>1.3</v>
      </c>
      <c r="J5764" t="n">
        <v>0</v>
      </c>
      <c r="K5764" t="n">
        <v>0</v>
      </c>
      <c r="L5764" t="n">
        <v>0</v>
      </c>
      <c r="M5764" t="n">
        <v>0</v>
      </c>
      <c r="N5764" t="n">
        <v>0</v>
      </c>
      <c r="O5764" t="n">
        <v>0</v>
      </c>
      <c r="P5764" t="n">
        <v>0</v>
      </c>
      <c r="Q5764" t="n">
        <v>0</v>
      </c>
      <c r="R5764" t="n">
        <v>0</v>
      </c>
      <c r="S5764" t="n">
        <v>0</v>
      </c>
      <c r="T5764" t="n">
        <v>0</v>
      </c>
      <c r="U5764" t="n">
        <v>0</v>
      </c>
      <c r="V5764" s="2" t="inlineStr"/>
    </row>
    <row r="5765" ht="15" customHeight="1">
      <c r="A5765" t="inlineStr">
        <is>
          <t>A 34432-2023</t>
        </is>
      </c>
      <c r="B5765" t="inlineStr">
        <is>
          <t>avverkningsanmälan</t>
        </is>
      </c>
      <c r="C5765" t="inlineStr">
        <is>
          <t>Föryngringsavverkning</t>
        </is>
      </c>
      <c r="D5765" s="1" t="n">
        <v>45139</v>
      </c>
      <c r="E5765" s="1" t="n">
        <v>46323</v>
      </c>
      <c r="F5765" t="inlineStr">
        <is>
          <t>KALMAR LÄN</t>
        </is>
      </c>
      <c r="G5765" t="inlineStr">
        <is>
          <t>TORSÅS</t>
        </is>
      </c>
      <c r="I5765" t="n">
        <v>0.7</v>
      </c>
      <c r="J5765" t="n">
        <v>0</v>
      </c>
      <c r="K5765" t="n">
        <v>0</v>
      </c>
      <c r="L5765" t="n">
        <v>0</v>
      </c>
      <c r="M5765" t="n">
        <v>0</v>
      </c>
      <c r="N5765" t="n">
        <v>0</v>
      </c>
      <c r="O5765" t="n">
        <v>0</v>
      </c>
      <c r="P5765" t="n">
        <v>0</v>
      </c>
      <c r="Q5765" t="n">
        <v>0</v>
      </c>
      <c r="R5765" t="n">
        <v>0</v>
      </c>
      <c r="S5765" t="n">
        <v>0</v>
      </c>
      <c r="T5765" t="n">
        <v>0</v>
      </c>
      <c r="U5765" t="n">
        <v>0</v>
      </c>
      <c r="V5765" s="2" t="inlineStr"/>
    </row>
    <row r="5766" ht="15" customHeight="1">
      <c r="A5766" t="inlineStr">
        <is>
          <t>A 28116-2023</t>
        </is>
      </c>
      <c r="B5766" t="inlineStr">
        <is>
          <t>avverkningsanmälan</t>
        </is>
      </c>
      <c r="C5766" t="inlineStr">
        <is>
          <t>Föryngringsavverkning</t>
        </is>
      </c>
      <c r="D5766" s="1" t="n">
        <v>45099</v>
      </c>
      <c r="E5766" s="1" t="n">
        <v>46323</v>
      </c>
      <c r="F5766" t="inlineStr">
        <is>
          <t>KALMAR LÄN</t>
        </is>
      </c>
      <c r="G5766" t="inlineStr">
        <is>
          <t>OSKARSHAMN</t>
        </is>
      </c>
      <c r="I5766" t="n">
        <v>5.8</v>
      </c>
      <c r="J5766" t="n">
        <v>0</v>
      </c>
      <c r="K5766" t="n">
        <v>0</v>
      </c>
      <c r="L5766" t="n">
        <v>0</v>
      </c>
      <c r="M5766" t="n">
        <v>0</v>
      </c>
      <c r="N5766" t="n">
        <v>0</v>
      </c>
      <c r="O5766" t="n">
        <v>0</v>
      </c>
      <c r="P5766" t="n">
        <v>0</v>
      </c>
      <c r="Q5766" t="n">
        <v>0</v>
      </c>
      <c r="R5766" t="n">
        <v>0</v>
      </c>
      <c r="S5766" t="n">
        <v>0</v>
      </c>
      <c r="T5766" t="n">
        <v>0</v>
      </c>
      <c r="U5766" t="n">
        <v>0</v>
      </c>
      <c r="V5766" s="2" t="inlineStr"/>
    </row>
    <row r="5767" ht="15" customHeight="1">
      <c r="A5767" t="inlineStr">
        <is>
          <t>A 29586-2025</t>
        </is>
      </c>
      <c r="B5767" t="inlineStr">
        <is>
          <t>avverkningsanmälan</t>
        </is>
      </c>
      <c r="C5767" t="inlineStr">
        <is>
          <t>Föryngringsavverkning</t>
        </is>
      </c>
      <c r="D5767" s="1" t="n">
        <v>45825</v>
      </c>
      <c r="E5767" s="1" t="n">
        <v>46323</v>
      </c>
      <c r="F5767" t="inlineStr">
        <is>
          <t>KALMAR LÄN</t>
        </is>
      </c>
      <c r="G5767" t="inlineStr">
        <is>
          <t>NYBRO</t>
        </is>
      </c>
      <c r="I5767" t="n">
        <v>0.8</v>
      </c>
      <c r="J5767" t="n">
        <v>0</v>
      </c>
      <c r="K5767" t="n">
        <v>0</v>
      </c>
      <c r="L5767" t="n">
        <v>0</v>
      </c>
      <c r="M5767" t="n">
        <v>0</v>
      </c>
      <c r="N5767" t="n">
        <v>0</v>
      </c>
      <c r="O5767" t="n">
        <v>0</v>
      </c>
      <c r="P5767" t="n">
        <v>0</v>
      </c>
      <c r="Q5767" t="n">
        <v>0</v>
      </c>
      <c r="R5767" t="n">
        <v>0</v>
      </c>
      <c r="S5767" t="n">
        <v>0</v>
      </c>
      <c r="T5767" t="n">
        <v>0</v>
      </c>
      <c r="U5767" t="n">
        <v>0</v>
      </c>
      <c r="V5767" s="2" t="inlineStr"/>
    </row>
    <row r="5768" ht="15" customHeight="1">
      <c r="A5768" t="inlineStr">
        <is>
          <t>A 31079-2023</t>
        </is>
      </c>
      <c r="B5768" t="inlineStr">
        <is>
          <t>avverkningsanmälan</t>
        </is>
      </c>
      <c r="C5768" t="inlineStr">
        <is>
          <t>Föryngringsavverkning</t>
        </is>
      </c>
      <c r="D5768" s="1" t="n">
        <v>45113</v>
      </c>
      <c r="E5768" s="1" t="n">
        <v>46323</v>
      </c>
      <c r="F5768" t="inlineStr">
        <is>
          <t>KALMAR LÄN</t>
        </is>
      </c>
      <c r="G5768" t="inlineStr">
        <is>
          <t>OSKARSHAMN</t>
        </is>
      </c>
      <c r="I5768" t="n">
        <v>5.4</v>
      </c>
      <c r="J5768" t="n">
        <v>0</v>
      </c>
      <c r="K5768" t="n">
        <v>0</v>
      </c>
      <c r="L5768" t="n">
        <v>0</v>
      </c>
      <c r="M5768" t="n">
        <v>0</v>
      </c>
      <c r="N5768" t="n">
        <v>0</v>
      </c>
      <c r="O5768" t="n">
        <v>0</v>
      </c>
      <c r="P5768" t="n">
        <v>0</v>
      </c>
      <c r="Q5768" t="n">
        <v>0</v>
      </c>
      <c r="R5768" t="n">
        <v>0</v>
      </c>
      <c r="S5768" t="n">
        <v>0</v>
      </c>
      <c r="T5768" t="n">
        <v>0</v>
      </c>
      <c r="U5768" t="n">
        <v>0</v>
      </c>
      <c r="V5768" s="2" t="inlineStr"/>
    </row>
    <row r="5769" ht="15" customHeight="1">
      <c r="A5769" t="inlineStr">
        <is>
          <t>A 63508-2025</t>
        </is>
      </c>
      <c r="B5769" t="inlineStr">
        <is>
          <t>avverkningsanmälan</t>
        </is>
      </c>
      <c r="C5769" t="inlineStr">
        <is>
          <t>Föryngringsavverkning</t>
        </is>
      </c>
      <c r="D5769" s="1" t="n">
        <v>46013</v>
      </c>
      <c r="E5769" s="1" t="n">
        <v>46323</v>
      </c>
      <c r="F5769" t="inlineStr">
        <is>
          <t>KALMAR LÄN</t>
        </is>
      </c>
      <c r="G5769" t="inlineStr">
        <is>
          <t>HÖGSBY</t>
        </is>
      </c>
      <c r="I5769" t="n">
        <v>4.9</v>
      </c>
      <c r="J5769" t="n">
        <v>0</v>
      </c>
      <c r="K5769" t="n">
        <v>0</v>
      </c>
      <c r="L5769" t="n">
        <v>0</v>
      </c>
      <c r="M5769" t="n">
        <v>0</v>
      </c>
      <c r="N5769" t="n">
        <v>0</v>
      </c>
      <c r="O5769" t="n">
        <v>0</v>
      </c>
      <c r="P5769" t="n">
        <v>0</v>
      </c>
      <c r="Q5769" t="n">
        <v>0</v>
      </c>
      <c r="R5769" t="n">
        <v>0</v>
      </c>
      <c r="S5769" t="n">
        <v>0</v>
      </c>
      <c r="T5769" t="n">
        <v>0</v>
      </c>
      <c r="U5769" t="n">
        <v>0</v>
      </c>
      <c r="V5769" s="2" t="inlineStr"/>
    </row>
    <row r="5770" ht="15" customHeight="1">
      <c r="A5770" t="inlineStr">
        <is>
          <t>A 4981-2022</t>
        </is>
      </c>
      <c r="B5770" t="inlineStr">
        <is>
          <t>avverkningsanmälan</t>
        </is>
      </c>
      <c r="C5770" t="inlineStr">
        <is>
          <t>Föryngringsavverkning</t>
        </is>
      </c>
      <c r="D5770" s="1" t="n">
        <v>44593</v>
      </c>
      <c r="E5770" s="1" t="n">
        <v>46323</v>
      </c>
      <c r="F5770" t="inlineStr">
        <is>
          <t>KALMAR LÄN</t>
        </is>
      </c>
      <c r="G5770" t="inlineStr">
        <is>
          <t>MÖNSTERÅS</t>
        </is>
      </c>
      <c r="I5770" t="n">
        <v>3.6</v>
      </c>
      <c r="J5770" t="n">
        <v>0</v>
      </c>
      <c r="K5770" t="n">
        <v>0</v>
      </c>
      <c r="L5770" t="n">
        <v>0</v>
      </c>
      <c r="M5770" t="n">
        <v>0</v>
      </c>
      <c r="N5770" t="n">
        <v>0</v>
      </c>
      <c r="O5770" t="n">
        <v>0</v>
      </c>
      <c r="P5770" t="n">
        <v>0</v>
      </c>
      <c r="Q5770" t="n">
        <v>0</v>
      </c>
      <c r="R5770" t="n">
        <v>0</v>
      </c>
      <c r="S5770" t="n">
        <v>0</v>
      </c>
      <c r="T5770" t="n">
        <v>0</v>
      </c>
      <c r="U5770" t="n">
        <v>0</v>
      </c>
      <c r="V5770" s="2" t="inlineStr"/>
    </row>
    <row r="5771" ht="15" customHeight="1">
      <c r="A5771" t="inlineStr">
        <is>
          <t>A 29973-2024</t>
        </is>
      </c>
      <c r="B5771" t="inlineStr">
        <is>
          <t>avverkningsanmälan</t>
        </is>
      </c>
      <c r="C5771" t="inlineStr">
        <is>
          <t>Föryngringsavverkning</t>
        </is>
      </c>
      <c r="D5771" s="1" t="n">
        <v>45488</v>
      </c>
      <c r="E5771" s="1" t="n">
        <v>46323</v>
      </c>
      <c r="F5771" t="inlineStr">
        <is>
          <t>KALMAR LÄN</t>
        </is>
      </c>
      <c r="G5771" t="inlineStr">
        <is>
          <t>HULTSFRED</t>
        </is>
      </c>
      <c r="I5771" t="n">
        <v>1</v>
      </c>
      <c r="J5771" t="n">
        <v>0</v>
      </c>
      <c r="K5771" t="n">
        <v>0</v>
      </c>
      <c r="L5771" t="n">
        <v>0</v>
      </c>
      <c r="M5771" t="n">
        <v>0</v>
      </c>
      <c r="N5771" t="n">
        <v>0</v>
      </c>
      <c r="O5771" t="n">
        <v>0</v>
      </c>
      <c r="P5771" t="n">
        <v>0</v>
      </c>
      <c r="Q5771" t="n">
        <v>0</v>
      </c>
      <c r="R5771" t="n">
        <v>0</v>
      </c>
      <c r="S5771" t="n">
        <v>0</v>
      </c>
      <c r="T5771" t="n">
        <v>0</v>
      </c>
      <c r="U5771" t="n">
        <v>0</v>
      </c>
      <c r="V5771" s="2" t="inlineStr"/>
    </row>
    <row r="5772" ht="15" customHeight="1">
      <c r="A5772" t="inlineStr">
        <is>
          <t>A 31093-2023</t>
        </is>
      </c>
      <c r="B5772" t="inlineStr">
        <is>
          <t>avverkningsanmälan</t>
        </is>
      </c>
      <c r="C5772" t="inlineStr">
        <is>
          <t>Föryngringsavverkning</t>
        </is>
      </c>
      <c r="D5772" s="1" t="n">
        <v>45113</v>
      </c>
      <c r="E5772" s="1" t="n">
        <v>46323</v>
      </c>
      <c r="F5772" t="inlineStr">
        <is>
          <t>KALMAR LÄN</t>
        </is>
      </c>
      <c r="G5772" t="inlineStr">
        <is>
          <t>EMMABODA</t>
        </is>
      </c>
      <c r="I5772" t="n">
        <v>0.4</v>
      </c>
      <c r="J5772" t="n">
        <v>0</v>
      </c>
      <c r="K5772" t="n">
        <v>0</v>
      </c>
      <c r="L5772" t="n">
        <v>0</v>
      </c>
      <c r="M5772" t="n">
        <v>0</v>
      </c>
      <c r="N5772" t="n">
        <v>0</v>
      </c>
      <c r="O5772" t="n">
        <v>0</v>
      </c>
      <c r="P5772" t="n">
        <v>0</v>
      </c>
      <c r="Q5772" t="n">
        <v>0</v>
      </c>
      <c r="R5772" t="n">
        <v>0</v>
      </c>
      <c r="S5772" t="n">
        <v>0</v>
      </c>
      <c r="T5772" t="n">
        <v>0</v>
      </c>
      <c r="U5772" t="n">
        <v>0</v>
      </c>
      <c r="V5772" s="2" t="inlineStr"/>
    </row>
    <row r="5773" ht="15" customHeight="1">
      <c r="A5773" t="inlineStr">
        <is>
          <t>A 36603-2026</t>
        </is>
      </c>
      <c r="B5773" t="inlineStr">
        <is>
          <t>avverkningsanmälan</t>
        </is>
      </c>
      <c r="C5773" t="inlineStr">
        <is>
          <t>Föryngringsavverkning</t>
        </is>
      </c>
      <c r="D5773" s="1" t="n">
        <v>46269</v>
      </c>
      <c r="E5773" s="1" t="n">
        <v>46323</v>
      </c>
      <c r="F5773" t="inlineStr">
        <is>
          <t>KALMAR LÄN</t>
        </is>
      </c>
      <c r="G5773" t="inlineStr">
        <is>
          <t>KALMAR</t>
        </is>
      </c>
      <c r="I5773" t="n">
        <v>0.9</v>
      </c>
      <c r="J5773" t="n">
        <v>0</v>
      </c>
      <c r="K5773" t="n">
        <v>0</v>
      </c>
      <c r="L5773" t="n">
        <v>0</v>
      </c>
      <c r="M5773" t="n">
        <v>0</v>
      </c>
      <c r="N5773" t="n">
        <v>0</v>
      </c>
      <c r="O5773" t="n">
        <v>0</v>
      </c>
      <c r="P5773" t="n">
        <v>0</v>
      </c>
      <c r="Q5773" t="n">
        <v>0</v>
      </c>
      <c r="R5773" t="n">
        <v>0</v>
      </c>
      <c r="S5773" t="n">
        <v>0</v>
      </c>
      <c r="T5773" t="n">
        <v>0</v>
      </c>
      <c r="U5773" t="n">
        <v>0</v>
      </c>
      <c r="V5773" s="2" t="inlineStr"/>
    </row>
    <row r="5774" ht="15" customHeight="1">
      <c r="A5774" t="inlineStr">
        <is>
          <t>A 38851-2023</t>
        </is>
      </c>
      <c r="B5774" t="inlineStr">
        <is>
          <t>avverkningsanmälan</t>
        </is>
      </c>
      <c r="C5774" t="inlineStr">
        <is>
          <t>Föryngringsavverkning</t>
        </is>
      </c>
      <c r="D5774" s="1" t="n">
        <v>45163</v>
      </c>
      <c r="E5774" s="1" t="n">
        <v>46323</v>
      </c>
      <c r="F5774" t="inlineStr">
        <is>
          <t>KALMAR LÄN</t>
        </is>
      </c>
      <c r="G5774" t="inlineStr">
        <is>
          <t>VIMMERBY</t>
        </is>
      </c>
      <c r="I5774" t="n">
        <v>4.3</v>
      </c>
      <c r="J5774" t="n">
        <v>0</v>
      </c>
      <c r="K5774" t="n">
        <v>0</v>
      </c>
      <c r="L5774" t="n">
        <v>0</v>
      </c>
      <c r="M5774" t="n">
        <v>0</v>
      </c>
      <c r="N5774" t="n">
        <v>0</v>
      </c>
      <c r="O5774" t="n">
        <v>0</v>
      </c>
      <c r="P5774" t="n">
        <v>0</v>
      </c>
      <c r="Q5774" t="n">
        <v>0</v>
      </c>
      <c r="R5774" t="n">
        <v>0</v>
      </c>
      <c r="S5774" t="n">
        <v>0</v>
      </c>
      <c r="T5774" t="n">
        <v>0</v>
      </c>
      <c r="U5774" t="n">
        <v>0</v>
      </c>
      <c r="V5774" s="2" t="inlineStr"/>
    </row>
    <row r="5775" ht="15" customHeight="1">
      <c r="A5775" t="inlineStr">
        <is>
          <t>A 36630-2026</t>
        </is>
      </c>
      <c r="B5775" t="inlineStr">
        <is>
          <t>avverkningsanmälan</t>
        </is>
      </c>
      <c r="C5775" t="inlineStr">
        <is>
          <t>Föryngringsavverkning</t>
        </is>
      </c>
      <c r="D5775" s="1" t="n">
        <v>46271</v>
      </c>
      <c r="E5775" s="1" t="n">
        <v>46323</v>
      </c>
      <c r="F5775" t="inlineStr">
        <is>
          <t>KALMAR LÄN</t>
        </is>
      </c>
      <c r="G5775" t="inlineStr">
        <is>
          <t>EMMABODA</t>
        </is>
      </c>
      <c r="I5775" t="n">
        <v>2.1</v>
      </c>
      <c r="J5775" t="n">
        <v>0</v>
      </c>
      <c r="K5775" t="n">
        <v>0</v>
      </c>
      <c r="L5775" t="n">
        <v>0</v>
      </c>
      <c r="M5775" t="n">
        <v>0</v>
      </c>
      <c r="N5775" t="n">
        <v>0</v>
      </c>
      <c r="O5775" t="n">
        <v>0</v>
      </c>
      <c r="P5775" t="n">
        <v>0</v>
      </c>
      <c r="Q5775" t="n">
        <v>0</v>
      </c>
      <c r="R5775" t="n">
        <v>0</v>
      </c>
      <c r="S5775" t="n">
        <v>0</v>
      </c>
      <c r="T5775" t="n">
        <v>0</v>
      </c>
      <c r="U5775" t="n">
        <v>0</v>
      </c>
      <c r="V5775" s="2" t="inlineStr"/>
    </row>
    <row r="5776" ht="15" customHeight="1">
      <c r="A5776" t="inlineStr">
        <is>
          <t>A 36634-2026</t>
        </is>
      </c>
      <c r="B5776" t="inlineStr">
        <is>
          <t>avverkningsanmälan</t>
        </is>
      </c>
      <c r="C5776" t="inlineStr">
        <is>
          <t>Föryngringsavverkning</t>
        </is>
      </c>
      <c r="D5776" s="1" t="n">
        <v>46271</v>
      </c>
      <c r="E5776" s="1" t="n">
        <v>46323</v>
      </c>
      <c r="F5776" t="inlineStr">
        <is>
          <t>KALMAR LÄN</t>
        </is>
      </c>
      <c r="G5776" t="inlineStr">
        <is>
          <t>VIMMERBY</t>
        </is>
      </c>
      <c r="I5776" t="n">
        <v>1</v>
      </c>
      <c r="J5776" t="n">
        <v>0</v>
      </c>
      <c r="K5776" t="n">
        <v>0</v>
      </c>
      <c r="L5776" t="n">
        <v>0</v>
      </c>
      <c r="M5776" t="n">
        <v>0</v>
      </c>
      <c r="N5776" t="n">
        <v>0</v>
      </c>
      <c r="O5776" t="n">
        <v>0</v>
      </c>
      <c r="P5776" t="n">
        <v>0</v>
      </c>
      <c r="Q5776" t="n">
        <v>0</v>
      </c>
      <c r="R5776" t="n">
        <v>0</v>
      </c>
      <c r="S5776" t="n">
        <v>0</v>
      </c>
      <c r="T5776" t="n">
        <v>0</v>
      </c>
      <c r="U5776" t="n">
        <v>0</v>
      </c>
      <c r="V5776" s="2" t="inlineStr"/>
    </row>
    <row r="5777" ht="15" customHeight="1">
      <c r="A5777" t="inlineStr">
        <is>
          <t>A 36750-2026</t>
        </is>
      </c>
      <c r="B5777" t="inlineStr">
        <is>
          <t>avverkningsanmälan</t>
        </is>
      </c>
      <c r="C5777" t="inlineStr">
        <is>
          <t>Föryngringsavverkning</t>
        </is>
      </c>
      <c r="D5777" s="1" t="n">
        <v>46272</v>
      </c>
      <c r="E5777" s="1" t="n">
        <v>46323</v>
      </c>
      <c r="F5777" t="inlineStr">
        <is>
          <t>KALMAR LÄN</t>
        </is>
      </c>
      <c r="G5777" t="inlineStr">
        <is>
          <t>HULTSFRED</t>
        </is>
      </c>
      <c r="I5777" t="n">
        <v>0.9</v>
      </c>
      <c r="J5777" t="n">
        <v>0</v>
      </c>
      <c r="K5777" t="n">
        <v>0</v>
      </c>
      <c r="L5777" t="n">
        <v>0</v>
      </c>
      <c r="M5777" t="n">
        <v>0</v>
      </c>
      <c r="N5777" t="n">
        <v>0</v>
      </c>
      <c r="O5777" t="n">
        <v>0</v>
      </c>
      <c r="P5777" t="n">
        <v>0</v>
      </c>
      <c r="Q5777" t="n">
        <v>0</v>
      </c>
      <c r="R5777" t="n">
        <v>0</v>
      </c>
      <c r="S5777" t="n">
        <v>0</v>
      </c>
      <c r="T5777" t="n">
        <v>0</v>
      </c>
      <c r="U5777" t="n">
        <v>0</v>
      </c>
      <c r="V5777" s="2" t="inlineStr"/>
    </row>
    <row r="5778" ht="15" customHeight="1">
      <c r="A5778" t="inlineStr">
        <is>
          <t>A 20391-2026</t>
        </is>
      </c>
      <c r="B5778" t="inlineStr">
        <is>
          <t>avverkningsanmälan</t>
        </is>
      </c>
      <c r="C5778" t="inlineStr">
        <is>
          <t>Föryngringsavverkning</t>
        </is>
      </c>
      <c r="D5778" s="1" t="n">
        <v>46139</v>
      </c>
      <c r="E5778" s="1" t="n">
        <v>46323</v>
      </c>
      <c r="F5778" t="inlineStr">
        <is>
          <t>KALMAR LÄN</t>
        </is>
      </c>
      <c r="G5778" t="inlineStr">
        <is>
          <t>NYBRO</t>
        </is>
      </c>
      <c r="I5778" t="n">
        <v>3.8</v>
      </c>
      <c r="J5778" t="n">
        <v>0</v>
      </c>
      <c r="K5778" t="n">
        <v>0</v>
      </c>
      <c r="L5778" t="n">
        <v>0</v>
      </c>
      <c r="M5778" t="n">
        <v>0</v>
      </c>
      <c r="N5778" t="n">
        <v>0</v>
      </c>
      <c r="O5778" t="n">
        <v>0</v>
      </c>
      <c r="P5778" t="n">
        <v>0</v>
      </c>
      <c r="Q5778" t="n">
        <v>0</v>
      </c>
      <c r="R5778" t="n">
        <v>0</v>
      </c>
      <c r="S5778" t="n">
        <v>0</v>
      </c>
      <c r="T5778" t="n">
        <v>0</v>
      </c>
      <c r="U5778" t="n">
        <v>0</v>
      </c>
      <c r="V5778" s="2" t="inlineStr"/>
    </row>
    <row r="5779" ht="15" customHeight="1">
      <c r="A5779" t="inlineStr">
        <is>
          <t>A 17123-2023</t>
        </is>
      </c>
      <c r="B5779" t="inlineStr">
        <is>
          <t>avverkningsanmälan</t>
        </is>
      </c>
      <c r="C5779" t="inlineStr">
        <is>
          <t>Föryngringsavverkning</t>
        </is>
      </c>
      <c r="D5779" s="1" t="n">
        <v>45034</v>
      </c>
      <c r="E5779" s="1" t="n">
        <v>46323</v>
      </c>
      <c r="F5779" t="inlineStr">
        <is>
          <t>KALMAR LÄN</t>
        </is>
      </c>
      <c r="G5779" t="inlineStr">
        <is>
          <t>MÖNSTERÅS</t>
        </is>
      </c>
      <c r="I5779" t="n">
        <v>0.8</v>
      </c>
      <c r="J5779" t="n">
        <v>0</v>
      </c>
      <c r="K5779" t="n">
        <v>0</v>
      </c>
      <c r="L5779" t="n">
        <v>0</v>
      </c>
      <c r="M5779" t="n">
        <v>0</v>
      </c>
      <c r="N5779" t="n">
        <v>0</v>
      </c>
      <c r="O5779" t="n">
        <v>0</v>
      </c>
      <c r="P5779" t="n">
        <v>0</v>
      </c>
      <c r="Q5779" t="n">
        <v>0</v>
      </c>
      <c r="R5779" t="n">
        <v>0</v>
      </c>
      <c r="S5779" t="n">
        <v>0</v>
      </c>
      <c r="T5779" t="n">
        <v>0</v>
      </c>
      <c r="U5779" t="n">
        <v>0</v>
      </c>
      <c r="V5779" s="2" t="inlineStr"/>
    </row>
    <row r="5780" ht="15" customHeight="1">
      <c r="A5780" t="inlineStr">
        <is>
          <t>A 36768-2026</t>
        </is>
      </c>
      <c r="B5780" t="inlineStr">
        <is>
          <t>avverkningsanmälan</t>
        </is>
      </c>
      <c r="C5780" t="inlineStr">
        <is>
          <t>Föryngringsavverkning</t>
        </is>
      </c>
      <c r="D5780" s="1" t="n">
        <v>46272</v>
      </c>
      <c r="E5780" s="1" t="n">
        <v>46323</v>
      </c>
      <c r="F5780" t="inlineStr">
        <is>
          <t>KALMAR LÄN</t>
        </is>
      </c>
      <c r="G5780" t="inlineStr">
        <is>
          <t>VÄSTERVIK</t>
        </is>
      </c>
      <c r="I5780" t="n">
        <v>1.5</v>
      </c>
      <c r="J5780" t="n">
        <v>0</v>
      </c>
      <c r="K5780" t="n">
        <v>0</v>
      </c>
      <c r="L5780" t="n">
        <v>0</v>
      </c>
      <c r="M5780" t="n">
        <v>0</v>
      </c>
      <c r="N5780" t="n">
        <v>0</v>
      </c>
      <c r="O5780" t="n">
        <v>0</v>
      </c>
      <c r="P5780" t="n">
        <v>0</v>
      </c>
      <c r="Q5780" t="n">
        <v>0</v>
      </c>
      <c r="R5780" t="n">
        <v>0</v>
      </c>
      <c r="S5780" t="n">
        <v>0</v>
      </c>
      <c r="T5780" t="n">
        <v>0</v>
      </c>
      <c r="U5780" t="n">
        <v>0</v>
      </c>
      <c r="V5780" s="2" t="inlineStr"/>
    </row>
    <row r="5781" ht="15" customHeight="1">
      <c r="A5781" t="inlineStr">
        <is>
          <t>A 36770-2026</t>
        </is>
      </c>
      <c r="B5781" t="inlineStr">
        <is>
          <t>avverkningsanmälan</t>
        </is>
      </c>
      <c r="C5781" t="inlineStr">
        <is>
          <t>Föryngringsavverkning</t>
        </is>
      </c>
      <c r="D5781" s="1" t="n">
        <v>46272</v>
      </c>
      <c r="E5781" s="1" t="n">
        <v>46323</v>
      </c>
      <c r="F5781" t="inlineStr">
        <is>
          <t>KALMAR LÄN</t>
        </is>
      </c>
      <c r="G5781" t="inlineStr">
        <is>
          <t>VÄSTERVIK</t>
        </is>
      </c>
      <c r="I5781" t="n">
        <v>0.5</v>
      </c>
      <c r="J5781" t="n">
        <v>0</v>
      </c>
      <c r="K5781" t="n">
        <v>0</v>
      </c>
      <c r="L5781" t="n">
        <v>0</v>
      </c>
      <c r="M5781" t="n">
        <v>0</v>
      </c>
      <c r="N5781" t="n">
        <v>0</v>
      </c>
      <c r="O5781" t="n">
        <v>0</v>
      </c>
      <c r="P5781" t="n">
        <v>0</v>
      </c>
      <c r="Q5781" t="n">
        <v>0</v>
      </c>
      <c r="R5781" t="n">
        <v>0</v>
      </c>
      <c r="S5781" t="n">
        <v>0</v>
      </c>
      <c r="T5781" t="n">
        <v>0</v>
      </c>
      <c r="U5781" t="n">
        <v>0</v>
      </c>
      <c r="V5781" s="2" t="inlineStr"/>
    </row>
    <row r="5782" ht="15" customHeight="1">
      <c r="A5782" t="inlineStr">
        <is>
          <t>A 43272-2026</t>
        </is>
      </c>
      <c r="B5782" t="inlineStr">
        <is>
          <t>avverkningsanmälan</t>
        </is>
      </c>
      <c r="C5782" t="inlineStr">
        <is>
          <t>Föryngringsavverkning</t>
        </is>
      </c>
      <c r="D5782" s="1" t="n">
        <v>46314</v>
      </c>
      <c r="E5782" s="1" t="n">
        <v>46323</v>
      </c>
      <c r="F5782" t="inlineStr">
        <is>
          <t>KALMAR LÄN</t>
        </is>
      </c>
      <c r="G5782" t="inlineStr">
        <is>
          <t>VIMMERBY</t>
        </is>
      </c>
      <c r="I5782" t="n">
        <v>3.1</v>
      </c>
      <c r="J5782" t="n">
        <v>0</v>
      </c>
      <c r="K5782" t="n">
        <v>0</v>
      </c>
      <c r="L5782" t="n">
        <v>0</v>
      </c>
      <c r="M5782" t="n">
        <v>0</v>
      </c>
      <c r="N5782" t="n">
        <v>0</v>
      </c>
      <c r="O5782" t="n">
        <v>0</v>
      </c>
      <c r="P5782" t="n">
        <v>0</v>
      </c>
      <c r="Q5782" t="n">
        <v>0</v>
      </c>
      <c r="R5782" t="n">
        <v>0</v>
      </c>
      <c r="S5782" t="n">
        <v>0</v>
      </c>
      <c r="T5782" t="n">
        <v>0</v>
      </c>
      <c r="U5782" t="n">
        <v>0</v>
      </c>
      <c r="V5782" s="2" t="inlineStr"/>
    </row>
    <row r="5783" ht="15" customHeight="1">
      <c r="A5783" t="inlineStr">
        <is>
          <t>A 43275-2026</t>
        </is>
      </c>
      <c r="B5783" t="inlineStr">
        <is>
          <t>avverkningsanmälan</t>
        </is>
      </c>
      <c r="C5783" t="inlineStr">
        <is>
          <t>Föryngringsavverkning</t>
        </is>
      </c>
      <c r="D5783" s="1" t="n">
        <v>46314</v>
      </c>
      <c r="E5783" s="1" t="n">
        <v>46323</v>
      </c>
      <c r="F5783" t="inlineStr">
        <is>
          <t>KALMAR LÄN</t>
        </is>
      </c>
      <c r="G5783" t="inlineStr">
        <is>
          <t>VIMMERBY</t>
        </is>
      </c>
      <c r="I5783" t="n">
        <v>2.6</v>
      </c>
      <c r="J5783" t="n">
        <v>0</v>
      </c>
      <c r="K5783" t="n">
        <v>0</v>
      </c>
      <c r="L5783" t="n">
        <v>0</v>
      </c>
      <c r="M5783" t="n">
        <v>0</v>
      </c>
      <c r="N5783" t="n">
        <v>0</v>
      </c>
      <c r="O5783" t="n">
        <v>0</v>
      </c>
      <c r="P5783" t="n">
        <v>0</v>
      </c>
      <c r="Q5783" t="n">
        <v>0</v>
      </c>
      <c r="R5783" t="n">
        <v>0</v>
      </c>
      <c r="S5783" t="n">
        <v>0</v>
      </c>
      <c r="T5783" t="n">
        <v>0</v>
      </c>
      <c r="U5783" t="n">
        <v>0</v>
      </c>
      <c r="V5783" s="2" t="inlineStr"/>
    </row>
    <row r="5784" ht="15" customHeight="1">
      <c r="A5784" t="inlineStr">
        <is>
          <t>A 13180-2022</t>
        </is>
      </c>
      <c r="B5784" t="inlineStr">
        <is>
          <t>avverkningsanmälan</t>
        </is>
      </c>
      <c r="C5784" t="inlineStr">
        <is>
          <t>Föryngringsavverkning</t>
        </is>
      </c>
      <c r="D5784" s="1" t="n">
        <v>44644</v>
      </c>
      <c r="E5784" s="1" t="n">
        <v>46323</v>
      </c>
      <c r="F5784" t="inlineStr">
        <is>
          <t>KALMAR LÄN</t>
        </is>
      </c>
      <c r="G5784" t="inlineStr">
        <is>
          <t>VIMMERBY</t>
        </is>
      </c>
      <c r="I5784" t="n">
        <v>0.5</v>
      </c>
      <c r="J5784" t="n">
        <v>0</v>
      </c>
      <c r="K5784" t="n">
        <v>0</v>
      </c>
      <c r="L5784" t="n">
        <v>0</v>
      </c>
      <c r="M5784" t="n">
        <v>0</v>
      </c>
      <c r="N5784" t="n">
        <v>0</v>
      </c>
      <c r="O5784" t="n">
        <v>0</v>
      </c>
      <c r="P5784" t="n">
        <v>0</v>
      </c>
      <c r="Q5784" t="n">
        <v>0</v>
      </c>
      <c r="R5784" t="n">
        <v>0</v>
      </c>
      <c r="S5784" t="n">
        <v>0</v>
      </c>
      <c r="T5784" t="n">
        <v>0</v>
      </c>
      <c r="U5784" t="n">
        <v>0</v>
      </c>
      <c r="V5784" s="2" t="inlineStr"/>
    </row>
    <row r="5785" ht="15" customHeight="1">
      <c r="A5785" t="inlineStr">
        <is>
          <t>A 13041-2024</t>
        </is>
      </c>
      <c r="B5785" t="inlineStr">
        <is>
          <t>avverkningsanmälan</t>
        </is>
      </c>
      <c r="C5785" t="inlineStr">
        <is>
          <t>Föryngringsavverkning</t>
        </is>
      </c>
      <c r="D5785" s="1" t="n">
        <v>45385</v>
      </c>
      <c r="E5785" s="1" t="n">
        <v>46323</v>
      </c>
      <c r="F5785" t="inlineStr">
        <is>
          <t>KALMAR LÄN</t>
        </is>
      </c>
      <c r="G5785" t="inlineStr">
        <is>
          <t>BORGHOLM</t>
        </is>
      </c>
      <c r="I5785" t="n">
        <v>0.5</v>
      </c>
      <c r="J5785" t="n">
        <v>0</v>
      </c>
      <c r="K5785" t="n">
        <v>0</v>
      </c>
      <c r="L5785" t="n">
        <v>0</v>
      </c>
      <c r="M5785" t="n">
        <v>0</v>
      </c>
      <c r="N5785" t="n">
        <v>0</v>
      </c>
      <c r="O5785" t="n">
        <v>0</v>
      </c>
      <c r="P5785" t="n">
        <v>0</v>
      </c>
      <c r="Q5785" t="n">
        <v>0</v>
      </c>
      <c r="R5785" t="n">
        <v>0</v>
      </c>
      <c r="S5785" t="n">
        <v>0</v>
      </c>
      <c r="T5785" t="n">
        <v>0</v>
      </c>
      <c r="U5785" t="n">
        <v>0</v>
      </c>
      <c r="V5785" s="2" t="inlineStr"/>
    </row>
    <row r="5786" ht="15" customHeight="1">
      <c r="A5786" t="inlineStr">
        <is>
          <t>A 11232-2023</t>
        </is>
      </c>
      <c r="B5786" t="inlineStr">
        <is>
          <t>avverkningsanmälan</t>
        </is>
      </c>
      <c r="C5786" t="inlineStr">
        <is>
          <t>Föryngringsavverkning</t>
        </is>
      </c>
      <c r="D5786" s="1" t="n">
        <v>44992</v>
      </c>
      <c r="E5786" s="1" t="n">
        <v>46323</v>
      </c>
      <c r="F5786" t="inlineStr">
        <is>
          <t>KALMAR LÄN</t>
        </is>
      </c>
      <c r="G5786" t="inlineStr">
        <is>
          <t>HULTSFRED</t>
        </is>
      </c>
      <c r="I5786" t="n">
        <v>1</v>
      </c>
      <c r="J5786" t="n">
        <v>0</v>
      </c>
      <c r="K5786" t="n">
        <v>0</v>
      </c>
      <c r="L5786" t="n">
        <v>0</v>
      </c>
      <c r="M5786" t="n">
        <v>0</v>
      </c>
      <c r="N5786" t="n">
        <v>0</v>
      </c>
      <c r="O5786" t="n">
        <v>0</v>
      </c>
      <c r="P5786" t="n">
        <v>0</v>
      </c>
      <c r="Q5786" t="n">
        <v>0</v>
      </c>
      <c r="R5786" t="n">
        <v>0</v>
      </c>
      <c r="S5786" t="n">
        <v>0</v>
      </c>
      <c r="T5786" t="n">
        <v>0</v>
      </c>
      <c r="U5786" t="n">
        <v>0</v>
      </c>
      <c r="V5786" s="2" t="inlineStr"/>
    </row>
    <row r="5787" ht="15" customHeight="1">
      <c r="A5787" t="inlineStr">
        <is>
          <t>A 10099-2024</t>
        </is>
      </c>
      <c r="B5787" t="inlineStr">
        <is>
          <t>avverkningsanmälan</t>
        </is>
      </c>
      <c r="C5787" t="inlineStr">
        <is>
          <t>Föryngringsavverkning</t>
        </is>
      </c>
      <c r="D5787" s="1" t="n">
        <v>45364</v>
      </c>
      <c r="E5787" s="1" t="n">
        <v>46323</v>
      </c>
      <c r="F5787" t="inlineStr">
        <is>
          <t>KALMAR LÄN</t>
        </is>
      </c>
      <c r="G5787" t="inlineStr">
        <is>
          <t>OSKARSHAMN</t>
        </is>
      </c>
      <c r="I5787" t="n">
        <v>1.6</v>
      </c>
      <c r="J5787" t="n">
        <v>0</v>
      </c>
      <c r="K5787" t="n">
        <v>0</v>
      </c>
      <c r="L5787" t="n">
        <v>0</v>
      </c>
      <c r="M5787" t="n">
        <v>0</v>
      </c>
      <c r="N5787" t="n">
        <v>0</v>
      </c>
      <c r="O5787" t="n">
        <v>0</v>
      </c>
      <c r="P5787" t="n">
        <v>0</v>
      </c>
      <c r="Q5787" t="n">
        <v>0</v>
      </c>
      <c r="R5787" t="n">
        <v>0</v>
      </c>
      <c r="S5787" t="n">
        <v>0</v>
      </c>
      <c r="T5787" t="n">
        <v>0</v>
      </c>
      <c r="U5787" t="n">
        <v>0</v>
      </c>
      <c r="V5787" s="2" t="inlineStr"/>
    </row>
    <row r="5788" ht="15" customHeight="1">
      <c r="A5788" t="inlineStr">
        <is>
          <t>A 39983-2024</t>
        </is>
      </c>
      <c r="B5788" t="inlineStr">
        <is>
          <t>avverkningsanmälan</t>
        </is>
      </c>
      <c r="C5788" t="inlineStr">
        <is>
          <t>Föryngringsavverkning</t>
        </is>
      </c>
      <c r="D5788" s="1" t="n">
        <v>45553</v>
      </c>
      <c r="E5788" s="1" t="n">
        <v>46323</v>
      </c>
      <c r="F5788" t="inlineStr">
        <is>
          <t>KALMAR LÄN</t>
        </is>
      </c>
      <c r="G5788" t="inlineStr">
        <is>
          <t>VÄSTERVIK</t>
        </is>
      </c>
      <c r="I5788" t="n">
        <v>0.9</v>
      </c>
      <c r="J5788" t="n">
        <v>0</v>
      </c>
      <c r="K5788" t="n">
        <v>0</v>
      </c>
      <c r="L5788" t="n">
        <v>0</v>
      </c>
      <c r="M5788" t="n">
        <v>0</v>
      </c>
      <c r="N5788" t="n">
        <v>0</v>
      </c>
      <c r="O5788" t="n">
        <v>0</v>
      </c>
      <c r="P5788" t="n">
        <v>0</v>
      </c>
      <c r="Q5788" t="n">
        <v>0</v>
      </c>
      <c r="R5788" t="n">
        <v>0</v>
      </c>
      <c r="S5788" t="n">
        <v>0</v>
      </c>
      <c r="T5788" t="n">
        <v>0</v>
      </c>
      <c r="U5788" t="n">
        <v>0</v>
      </c>
      <c r="V5788" s="2" t="inlineStr"/>
    </row>
    <row r="5789" ht="15" customHeight="1">
      <c r="A5789" t="inlineStr">
        <is>
          <t>A 36314-2026</t>
        </is>
      </c>
      <c r="B5789" t="inlineStr">
        <is>
          <t>avverkningsanmälan</t>
        </is>
      </c>
      <c r="C5789" t="inlineStr">
        <is>
          <t>Föryngringsavverkning</t>
        </is>
      </c>
      <c r="D5789" s="1" t="n">
        <v>46268</v>
      </c>
      <c r="E5789" s="1" t="n">
        <v>46323</v>
      </c>
      <c r="F5789" t="inlineStr">
        <is>
          <t>KALMAR LÄN</t>
        </is>
      </c>
      <c r="G5789" t="inlineStr">
        <is>
          <t>EMMABODA</t>
        </is>
      </c>
      <c r="I5789" t="n">
        <v>0.7</v>
      </c>
      <c r="J5789" t="n">
        <v>0</v>
      </c>
      <c r="K5789" t="n">
        <v>0</v>
      </c>
      <c r="L5789" t="n">
        <v>0</v>
      </c>
      <c r="M5789" t="n">
        <v>0</v>
      </c>
      <c r="N5789" t="n">
        <v>0</v>
      </c>
      <c r="O5789" t="n">
        <v>0</v>
      </c>
      <c r="P5789" t="n">
        <v>0</v>
      </c>
      <c r="Q5789" t="n">
        <v>0</v>
      </c>
      <c r="R5789" t="n">
        <v>0</v>
      </c>
      <c r="S5789" t="n">
        <v>0</v>
      </c>
      <c r="T5789" t="n">
        <v>0</v>
      </c>
      <c r="U5789" t="n">
        <v>0</v>
      </c>
      <c r="V5789" s="2" t="inlineStr"/>
    </row>
    <row r="5790" ht="15" customHeight="1">
      <c r="A5790" t="inlineStr">
        <is>
          <t>A 57004-2024</t>
        </is>
      </c>
      <c r="B5790" t="inlineStr">
        <is>
          <t>avverkningsanmälan</t>
        </is>
      </c>
      <c r="C5790" t="inlineStr">
        <is>
          <t>Föryngringsavverkning</t>
        </is>
      </c>
      <c r="D5790" s="1" t="n">
        <v>45628</v>
      </c>
      <c r="E5790" s="1" t="n">
        <v>46323</v>
      </c>
      <c r="F5790" t="inlineStr">
        <is>
          <t>KALMAR LÄN</t>
        </is>
      </c>
      <c r="G5790" t="inlineStr">
        <is>
          <t>HULTSFRED</t>
        </is>
      </c>
      <c r="I5790" t="n">
        <v>1.5</v>
      </c>
      <c r="J5790" t="n">
        <v>0</v>
      </c>
      <c r="K5790" t="n">
        <v>0</v>
      </c>
      <c r="L5790" t="n">
        <v>0</v>
      </c>
      <c r="M5790" t="n">
        <v>0</v>
      </c>
      <c r="N5790" t="n">
        <v>0</v>
      </c>
      <c r="O5790" t="n">
        <v>0</v>
      </c>
      <c r="P5790" t="n">
        <v>0</v>
      </c>
      <c r="Q5790" t="n">
        <v>0</v>
      </c>
      <c r="R5790" t="n">
        <v>0</v>
      </c>
      <c r="S5790" t="n">
        <v>0</v>
      </c>
      <c r="T5790" t="n">
        <v>0</v>
      </c>
      <c r="U5790" t="n">
        <v>0</v>
      </c>
      <c r="V5790" s="2" t="inlineStr"/>
    </row>
    <row r="5791" ht="15" customHeight="1">
      <c r="A5791" t="inlineStr">
        <is>
          <t>A 51651-2024</t>
        </is>
      </c>
      <c r="B5791" t="inlineStr">
        <is>
          <t>avverkningsanmälan</t>
        </is>
      </c>
      <c r="C5791" t="inlineStr">
        <is>
          <t>Föryngringsavverkning</t>
        </is>
      </c>
      <c r="D5791" s="1" t="n">
        <v>45606</v>
      </c>
      <c r="E5791" s="1" t="n">
        <v>46323</v>
      </c>
      <c r="F5791" t="inlineStr">
        <is>
          <t>KALMAR LÄN</t>
        </is>
      </c>
      <c r="G5791" t="inlineStr">
        <is>
          <t>NYBRO</t>
        </is>
      </c>
      <c r="I5791" t="n">
        <v>1.1</v>
      </c>
      <c r="J5791" t="n">
        <v>0</v>
      </c>
      <c r="K5791" t="n">
        <v>0</v>
      </c>
      <c r="L5791" t="n">
        <v>0</v>
      </c>
      <c r="M5791" t="n">
        <v>0</v>
      </c>
      <c r="N5791" t="n">
        <v>0</v>
      </c>
      <c r="O5791" t="n">
        <v>0</v>
      </c>
      <c r="P5791" t="n">
        <v>0</v>
      </c>
      <c r="Q5791" t="n">
        <v>0</v>
      </c>
      <c r="R5791" t="n">
        <v>0</v>
      </c>
      <c r="S5791" t="n">
        <v>0</v>
      </c>
      <c r="T5791" t="n">
        <v>0</v>
      </c>
      <c r="U5791" t="n">
        <v>0</v>
      </c>
      <c r="V5791" s="2" t="inlineStr"/>
    </row>
    <row r="5792" ht="15" customHeight="1">
      <c r="A5792" t="inlineStr">
        <is>
          <t>A 37088-2025</t>
        </is>
      </c>
      <c r="B5792" t="inlineStr">
        <is>
          <t>avverkningsanmälan</t>
        </is>
      </c>
      <c r="C5792" t="inlineStr">
        <is>
          <t>Föryngringsavverkning</t>
        </is>
      </c>
      <c r="D5792" s="1" t="n">
        <v>45875</v>
      </c>
      <c r="E5792" s="1" t="n">
        <v>46323</v>
      </c>
      <c r="F5792" t="inlineStr">
        <is>
          <t>KALMAR LÄN</t>
        </is>
      </c>
      <c r="G5792" t="inlineStr">
        <is>
          <t>VIMMERBY</t>
        </is>
      </c>
      <c r="I5792" t="n">
        <v>1.3</v>
      </c>
      <c r="J5792" t="n">
        <v>0</v>
      </c>
      <c r="K5792" t="n">
        <v>0</v>
      </c>
      <c r="L5792" t="n">
        <v>0</v>
      </c>
      <c r="M5792" t="n">
        <v>0</v>
      </c>
      <c r="N5792" t="n">
        <v>0</v>
      </c>
      <c r="O5792" t="n">
        <v>0</v>
      </c>
      <c r="P5792" t="n">
        <v>0</v>
      </c>
      <c r="Q5792" t="n">
        <v>0</v>
      </c>
      <c r="R5792" t="n">
        <v>0</v>
      </c>
      <c r="S5792" t="n">
        <v>0</v>
      </c>
      <c r="T5792" t="n">
        <v>0</v>
      </c>
      <c r="U5792" t="n">
        <v>0</v>
      </c>
      <c r="V5792" s="2" t="inlineStr"/>
    </row>
    <row r="5793" ht="15" customHeight="1">
      <c r="A5793" t="inlineStr">
        <is>
          <t>A 37102-2025</t>
        </is>
      </c>
      <c r="B5793" t="inlineStr">
        <is>
          <t>avverkningsanmälan</t>
        </is>
      </c>
      <c r="C5793" t="inlineStr">
        <is>
          <t>Föryngringsavverkning</t>
        </is>
      </c>
      <c r="D5793" s="1" t="n">
        <v>45875</v>
      </c>
      <c r="E5793" s="1" t="n">
        <v>46323</v>
      </c>
      <c r="F5793" t="inlineStr">
        <is>
          <t>KALMAR LÄN</t>
        </is>
      </c>
      <c r="G5793" t="inlineStr">
        <is>
          <t>VIMMERBY</t>
        </is>
      </c>
      <c r="I5793" t="n">
        <v>1.3</v>
      </c>
      <c r="J5793" t="n">
        <v>0</v>
      </c>
      <c r="K5793" t="n">
        <v>0</v>
      </c>
      <c r="L5793" t="n">
        <v>0</v>
      </c>
      <c r="M5793" t="n">
        <v>0</v>
      </c>
      <c r="N5793" t="n">
        <v>0</v>
      </c>
      <c r="O5793" t="n">
        <v>0</v>
      </c>
      <c r="P5793" t="n">
        <v>0</v>
      </c>
      <c r="Q5793" t="n">
        <v>0</v>
      </c>
      <c r="R5793" t="n">
        <v>0</v>
      </c>
      <c r="S5793" t="n">
        <v>0</v>
      </c>
      <c r="T5793" t="n">
        <v>0</v>
      </c>
      <c r="U5793" t="n">
        <v>0</v>
      </c>
      <c r="V5793" s="2" t="inlineStr"/>
    </row>
    <row r="5794" ht="15" customHeight="1">
      <c r="A5794" t="inlineStr">
        <is>
          <t>A 20203-2026</t>
        </is>
      </c>
      <c r="B5794" t="inlineStr">
        <is>
          <t>avverkningsanmälan</t>
        </is>
      </c>
      <c r="C5794" t="inlineStr">
        <is>
          <t>Föryngringsavverkning</t>
        </is>
      </c>
      <c r="D5794" s="1" t="n">
        <v>46139</v>
      </c>
      <c r="E5794" s="1" t="n">
        <v>46323</v>
      </c>
      <c r="F5794" t="inlineStr">
        <is>
          <t>KALMAR LÄN</t>
        </is>
      </c>
      <c r="G5794" t="inlineStr">
        <is>
          <t>KALMAR</t>
        </is>
      </c>
      <c r="I5794" t="n">
        <v>0.6</v>
      </c>
      <c r="J5794" t="n">
        <v>0</v>
      </c>
      <c r="K5794" t="n">
        <v>0</v>
      </c>
      <c r="L5794" t="n">
        <v>0</v>
      </c>
      <c r="M5794" t="n">
        <v>0</v>
      </c>
      <c r="N5794" t="n">
        <v>0</v>
      </c>
      <c r="O5794" t="n">
        <v>0</v>
      </c>
      <c r="P5794" t="n">
        <v>0</v>
      </c>
      <c r="Q5794" t="n">
        <v>0</v>
      </c>
      <c r="R5794" t="n">
        <v>0</v>
      </c>
      <c r="S5794" t="n">
        <v>0</v>
      </c>
      <c r="T5794" t="n">
        <v>0</v>
      </c>
      <c r="U5794" t="n">
        <v>0</v>
      </c>
      <c r="V5794" s="2" t="inlineStr"/>
    </row>
    <row r="5795" ht="15" customHeight="1">
      <c r="A5795" t="inlineStr">
        <is>
          <t>A 49658-2024</t>
        </is>
      </c>
      <c r="B5795" t="inlineStr">
        <is>
          <t>avverkningsanmälan</t>
        </is>
      </c>
      <c r="C5795" t="inlineStr">
        <is>
          <t>Föryngringsavverkning</t>
        </is>
      </c>
      <c r="D5795" s="1" t="n">
        <v>45596</v>
      </c>
      <c r="E5795" s="1" t="n">
        <v>46323</v>
      </c>
      <c r="F5795" t="inlineStr">
        <is>
          <t>KALMAR LÄN</t>
        </is>
      </c>
      <c r="G5795" t="inlineStr">
        <is>
          <t>MÖNSTERÅS</t>
        </is>
      </c>
      <c r="I5795" t="n">
        <v>0.6</v>
      </c>
      <c r="J5795" t="n">
        <v>0</v>
      </c>
      <c r="K5795" t="n">
        <v>0</v>
      </c>
      <c r="L5795" t="n">
        <v>0</v>
      </c>
      <c r="M5795" t="n">
        <v>0</v>
      </c>
      <c r="N5795" t="n">
        <v>0</v>
      </c>
      <c r="O5795" t="n">
        <v>0</v>
      </c>
      <c r="P5795" t="n">
        <v>0</v>
      </c>
      <c r="Q5795" t="n">
        <v>0</v>
      </c>
      <c r="R5795" t="n">
        <v>0</v>
      </c>
      <c r="S5795" t="n">
        <v>0</v>
      </c>
      <c r="T5795" t="n">
        <v>0</v>
      </c>
      <c r="U5795" t="n">
        <v>0</v>
      </c>
      <c r="V5795" s="2" t="inlineStr"/>
    </row>
    <row r="5796" ht="15" customHeight="1">
      <c r="A5796" t="inlineStr">
        <is>
          <t>A 31222-2025</t>
        </is>
      </c>
      <c r="B5796" t="inlineStr">
        <is>
          <t>avverkningsanmälan</t>
        </is>
      </c>
      <c r="C5796" t="inlineStr">
        <is>
          <t>Föryngringsavverkning</t>
        </is>
      </c>
      <c r="D5796" s="1" t="n">
        <v>45832</v>
      </c>
      <c r="E5796" s="1" t="n">
        <v>46323</v>
      </c>
      <c r="F5796" t="inlineStr">
        <is>
          <t>KALMAR LÄN</t>
        </is>
      </c>
      <c r="G5796" t="inlineStr">
        <is>
          <t>NYBRO</t>
        </is>
      </c>
      <c r="I5796" t="n">
        <v>2.4</v>
      </c>
      <c r="J5796" t="n">
        <v>0</v>
      </c>
      <c r="K5796" t="n">
        <v>0</v>
      </c>
      <c r="L5796" t="n">
        <v>0</v>
      </c>
      <c r="M5796" t="n">
        <v>0</v>
      </c>
      <c r="N5796" t="n">
        <v>0</v>
      </c>
      <c r="O5796" t="n">
        <v>0</v>
      </c>
      <c r="P5796" t="n">
        <v>0</v>
      </c>
      <c r="Q5796" t="n">
        <v>0</v>
      </c>
      <c r="R5796" t="n">
        <v>0</v>
      </c>
      <c r="S5796" t="n">
        <v>0</v>
      </c>
      <c r="T5796" t="n">
        <v>0</v>
      </c>
      <c r="U5796" t="n">
        <v>0</v>
      </c>
      <c r="V5796" s="2" t="inlineStr"/>
    </row>
    <row r="5797" ht="15" customHeight="1">
      <c r="A5797" t="inlineStr">
        <is>
          <t>A 23252-2024</t>
        </is>
      </c>
      <c r="B5797" t="inlineStr">
        <is>
          <t>avverkningsanmälan</t>
        </is>
      </c>
      <c r="C5797" t="inlineStr">
        <is>
          <t>Föryngringsavverkning</t>
        </is>
      </c>
      <c r="D5797" s="1" t="n">
        <v>45453</v>
      </c>
      <c r="E5797" s="1" t="n">
        <v>46323</v>
      </c>
      <c r="F5797" t="inlineStr">
        <is>
          <t>KALMAR LÄN</t>
        </is>
      </c>
      <c r="G5797" t="inlineStr">
        <is>
          <t>VIMMERBY</t>
        </is>
      </c>
      <c r="I5797" t="n">
        <v>0.7</v>
      </c>
      <c r="J5797" t="n">
        <v>0</v>
      </c>
      <c r="K5797" t="n">
        <v>0</v>
      </c>
      <c r="L5797" t="n">
        <v>0</v>
      </c>
      <c r="M5797" t="n">
        <v>0</v>
      </c>
      <c r="N5797" t="n">
        <v>0</v>
      </c>
      <c r="O5797" t="n">
        <v>0</v>
      </c>
      <c r="P5797" t="n">
        <v>0</v>
      </c>
      <c r="Q5797" t="n">
        <v>0</v>
      </c>
      <c r="R5797" t="n">
        <v>0</v>
      </c>
      <c r="S5797" t="n">
        <v>0</v>
      </c>
      <c r="T5797" t="n">
        <v>0</v>
      </c>
      <c r="U5797" t="n">
        <v>0</v>
      </c>
      <c r="V5797" s="2" t="inlineStr"/>
    </row>
    <row r="5798" ht="15" customHeight="1">
      <c r="A5798" t="inlineStr">
        <is>
          <t>A 13801-2023</t>
        </is>
      </c>
      <c r="B5798" t="inlineStr">
        <is>
          <t>avverkningsanmälan</t>
        </is>
      </c>
      <c r="C5798" t="inlineStr">
        <is>
          <t>Föryngringsavverkning</t>
        </is>
      </c>
      <c r="D5798" s="1" t="n">
        <v>45007</v>
      </c>
      <c r="E5798" s="1" t="n">
        <v>46323</v>
      </c>
      <c r="F5798" t="inlineStr">
        <is>
          <t>KALMAR LÄN</t>
        </is>
      </c>
      <c r="G5798" t="inlineStr">
        <is>
          <t>EMMABODA</t>
        </is>
      </c>
      <c r="I5798" t="n">
        <v>0.9</v>
      </c>
      <c r="J5798" t="n">
        <v>0</v>
      </c>
      <c r="K5798" t="n">
        <v>0</v>
      </c>
      <c r="L5798" t="n">
        <v>0</v>
      </c>
      <c r="M5798" t="n">
        <v>0</v>
      </c>
      <c r="N5798" t="n">
        <v>0</v>
      </c>
      <c r="O5798" t="n">
        <v>0</v>
      </c>
      <c r="P5798" t="n">
        <v>0</v>
      </c>
      <c r="Q5798" t="n">
        <v>0</v>
      </c>
      <c r="R5798" t="n">
        <v>0</v>
      </c>
      <c r="S5798" t="n">
        <v>0</v>
      </c>
      <c r="T5798" t="n">
        <v>0</v>
      </c>
      <c r="U5798" t="n">
        <v>0</v>
      </c>
      <c r="V5798" s="2" t="inlineStr"/>
    </row>
    <row r="5799" ht="15" customHeight="1">
      <c r="A5799" t="inlineStr">
        <is>
          <t>A 39892-2024</t>
        </is>
      </c>
      <c r="B5799" t="inlineStr">
        <is>
          <t>avverkningsanmälan</t>
        </is>
      </c>
      <c r="C5799" t="inlineStr">
        <is>
          <t>Föryngringsavverkning</t>
        </is>
      </c>
      <c r="D5799" s="1" t="n">
        <v>45553</v>
      </c>
      <c r="E5799" s="1" t="n">
        <v>46323</v>
      </c>
      <c r="F5799" t="inlineStr">
        <is>
          <t>KALMAR LÄN</t>
        </is>
      </c>
      <c r="G5799" t="inlineStr">
        <is>
          <t>HÖGSBY</t>
        </is>
      </c>
      <c r="I5799" t="n">
        <v>6</v>
      </c>
      <c r="J5799" t="n">
        <v>0</v>
      </c>
      <c r="K5799" t="n">
        <v>0</v>
      </c>
      <c r="L5799" t="n">
        <v>0</v>
      </c>
      <c r="M5799" t="n">
        <v>0</v>
      </c>
      <c r="N5799" t="n">
        <v>0</v>
      </c>
      <c r="O5799" t="n">
        <v>0</v>
      </c>
      <c r="P5799" t="n">
        <v>0</v>
      </c>
      <c r="Q5799" t="n">
        <v>0</v>
      </c>
      <c r="R5799" t="n">
        <v>0</v>
      </c>
      <c r="S5799" t="n">
        <v>0</v>
      </c>
      <c r="T5799" t="n">
        <v>0</v>
      </c>
      <c r="U5799" t="n">
        <v>0</v>
      </c>
      <c r="V5799" s="2" t="inlineStr"/>
    </row>
    <row r="5800" ht="15" customHeight="1">
      <c r="A5800" t="inlineStr">
        <is>
          <t>A 36442-2026</t>
        </is>
      </c>
      <c r="B5800" t="inlineStr">
        <is>
          <t>avverkningsanmälan</t>
        </is>
      </c>
      <c r="C5800" t="inlineStr">
        <is>
          <t>Föryngringsavverkning</t>
        </is>
      </c>
      <c r="D5800" s="1" t="n">
        <v>46269</v>
      </c>
      <c r="E5800" s="1" t="n">
        <v>46323</v>
      </c>
      <c r="F5800" t="inlineStr">
        <is>
          <t>KALMAR LÄN</t>
        </is>
      </c>
      <c r="G5800" t="inlineStr">
        <is>
          <t>HÖGSBY</t>
        </is>
      </c>
      <c r="H5800" t="inlineStr">
        <is>
          <t>Sveaskog</t>
        </is>
      </c>
      <c r="I5800" t="n">
        <v>3.3</v>
      </c>
      <c r="J5800" t="n">
        <v>0</v>
      </c>
      <c r="K5800" t="n">
        <v>0</v>
      </c>
      <c r="L5800" t="n">
        <v>0</v>
      </c>
      <c r="M5800" t="n">
        <v>0</v>
      </c>
      <c r="N5800" t="n">
        <v>0</v>
      </c>
      <c r="O5800" t="n">
        <v>0</v>
      </c>
      <c r="P5800" t="n">
        <v>0</v>
      </c>
      <c r="Q5800" t="n">
        <v>0</v>
      </c>
      <c r="R5800" t="n">
        <v>0</v>
      </c>
      <c r="S5800" t="n">
        <v>0</v>
      </c>
      <c r="T5800" t="n">
        <v>0</v>
      </c>
      <c r="U5800" t="n">
        <v>0</v>
      </c>
      <c r="V5800" s="2" t="inlineStr"/>
    </row>
    <row r="5801" ht="15" customHeight="1">
      <c r="A5801" t="inlineStr">
        <is>
          <t>A 29571-2025</t>
        </is>
      </c>
      <c r="B5801" t="inlineStr">
        <is>
          <t>avverkningsanmälan</t>
        </is>
      </c>
      <c r="C5801" t="inlineStr">
        <is>
          <t>Föryngringsavverkning</t>
        </is>
      </c>
      <c r="D5801" s="1" t="n">
        <v>45825</v>
      </c>
      <c r="E5801" s="1" t="n">
        <v>46323</v>
      </c>
      <c r="F5801" t="inlineStr">
        <is>
          <t>KALMAR LÄN</t>
        </is>
      </c>
      <c r="G5801" t="inlineStr">
        <is>
          <t>OSKARSHAMN</t>
        </is>
      </c>
      <c r="I5801" t="n">
        <v>0.4</v>
      </c>
      <c r="J5801" t="n">
        <v>0</v>
      </c>
      <c r="K5801" t="n">
        <v>0</v>
      </c>
      <c r="L5801" t="n">
        <v>0</v>
      </c>
      <c r="M5801" t="n">
        <v>0</v>
      </c>
      <c r="N5801" t="n">
        <v>0</v>
      </c>
      <c r="O5801" t="n">
        <v>0</v>
      </c>
      <c r="P5801" t="n">
        <v>0</v>
      </c>
      <c r="Q5801" t="n">
        <v>0</v>
      </c>
      <c r="R5801" t="n">
        <v>0</v>
      </c>
      <c r="S5801" t="n">
        <v>0</v>
      </c>
      <c r="T5801" t="n">
        <v>0</v>
      </c>
      <c r="U5801" t="n">
        <v>0</v>
      </c>
      <c r="V5801" s="2" t="inlineStr"/>
    </row>
    <row r="5802" ht="15" customHeight="1">
      <c r="A5802" t="inlineStr">
        <is>
          <t>A 47312-2025</t>
        </is>
      </c>
      <c r="B5802" t="inlineStr">
        <is>
          <t>avverkningsanmälan</t>
        </is>
      </c>
      <c r="C5802" t="inlineStr">
        <is>
          <t>Föryngringsavverkning</t>
        </is>
      </c>
      <c r="D5802" s="1" t="n">
        <v>45930</v>
      </c>
      <c r="E5802" s="1" t="n">
        <v>46323</v>
      </c>
      <c r="F5802" t="inlineStr">
        <is>
          <t>KALMAR LÄN</t>
        </is>
      </c>
      <c r="G5802" t="inlineStr">
        <is>
          <t>TORSÅS</t>
        </is>
      </c>
      <c r="I5802" t="n">
        <v>0.9</v>
      </c>
      <c r="J5802" t="n">
        <v>0</v>
      </c>
      <c r="K5802" t="n">
        <v>0</v>
      </c>
      <c r="L5802" t="n">
        <v>0</v>
      </c>
      <c r="M5802" t="n">
        <v>0</v>
      </c>
      <c r="N5802" t="n">
        <v>0</v>
      </c>
      <c r="O5802" t="n">
        <v>0</v>
      </c>
      <c r="P5802" t="n">
        <v>0</v>
      </c>
      <c r="Q5802" t="n">
        <v>0</v>
      </c>
      <c r="R5802" t="n">
        <v>0</v>
      </c>
      <c r="S5802" t="n">
        <v>0</v>
      </c>
      <c r="T5802" t="n">
        <v>0</v>
      </c>
      <c r="U5802" t="n">
        <v>0</v>
      </c>
      <c r="V5802" s="2" t="inlineStr"/>
    </row>
    <row r="5803" ht="15" customHeight="1">
      <c r="A5803" t="inlineStr">
        <is>
          <t>A 29678-2025</t>
        </is>
      </c>
      <c r="B5803" t="inlineStr">
        <is>
          <t>avverkningsanmälan</t>
        </is>
      </c>
      <c r="C5803" t="inlineStr">
        <is>
          <t>Föryngringsavverkning</t>
        </is>
      </c>
      <c r="D5803" s="1" t="n">
        <v>45825</v>
      </c>
      <c r="E5803" s="1" t="n">
        <v>46323</v>
      </c>
      <c r="F5803" t="inlineStr">
        <is>
          <t>KALMAR LÄN</t>
        </is>
      </c>
      <c r="G5803" t="inlineStr">
        <is>
          <t>VÄSTERVIK</t>
        </is>
      </c>
      <c r="I5803" t="n">
        <v>1.6</v>
      </c>
      <c r="J5803" t="n">
        <v>0</v>
      </c>
      <c r="K5803" t="n">
        <v>0</v>
      </c>
      <c r="L5803" t="n">
        <v>0</v>
      </c>
      <c r="M5803" t="n">
        <v>0</v>
      </c>
      <c r="N5803" t="n">
        <v>0</v>
      </c>
      <c r="O5803" t="n">
        <v>0</v>
      </c>
      <c r="P5803" t="n">
        <v>0</v>
      </c>
      <c r="Q5803" t="n">
        <v>0</v>
      </c>
      <c r="R5803" t="n">
        <v>0</v>
      </c>
      <c r="S5803" t="n">
        <v>0</v>
      </c>
      <c r="T5803" t="n">
        <v>0</v>
      </c>
      <c r="U5803" t="n">
        <v>0</v>
      </c>
      <c r="V5803" s="2" t="inlineStr"/>
    </row>
    <row r="5804" ht="15" customHeight="1">
      <c r="A5804" t="inlineStr">
        <is>
          <t>A 29869-2025</t>
        </is>
      </c>
      <c r="B5804" t="inlineStr">
        <is>
          <t>avverkningsanmälan</t>
        </is>
      </c>
      <c r="C5804" t="inlineStr">
        <is>
          <t>Föryngringsavverkning</t>
        </is>
      </c>
      <c r="D5804" s="1" t="n">
        <v>45826</v>
      </c>
      <c r="E5804" s="1" t="n">
        <v>46323</v>
      </c>
      <c r="F5804" t="inlineStr">
        <is>
          <t>KALMAR LÄN</t>
        </is>
      </c>
      <c r="G5804" t="inlineStr">
        <is>
          <t>EMMABODA</t>
        </is>
      </c>
      <c r="I5804" t="n">
        <v>1</v>
      </c>
      <c r="J5804" t="n">
        <v>0</v>
      </c>
      <c r="K5804" t="n">
        <v>0</v>
      </c>
      <c r="L5804" t="n">
        <v>0</v>
      </c>
      <c r="M5804" t="n">
        <v>0</v>
      </c>
      <c r="N5804" t="n">
        <v>0</v>
      </c>
      <c r="O5804" t="n">
        <v>0</v>
      </c>
      <c r="P5804" t="n">
        <v>0</v>
      </c>
      <c r="Q5804" t="n">
        <v>0</v>
      </c>
      <c r="R5804" t="n">
        <v>0</v>
      </c>
      <c r="S5804" t="n">
        <v>0</v>
      </c>
      <c r="T5804" t="n">
        <v>0</v>
      </c>
      <c r="U5804" t="n">
        <v>0</v>
      </c>
      <c r="V5804" s="2" t="inlineStr"/>
    </row>
    <row r="5805" ht="15" customHeight="1">
      <c r="A5805" t="inlineStr">
        <is>
          <t>A 19111-2025</t>
        </is>
      </c>
      <c r="B5805" t="inlineStr">
        <is>
          <t>avverkningsanmälan</t>
        </is>
      </c>
      <c r="C5805" t="inlineStr">
        <is>
          <t>Föryngringsavverkning</t>
        </is>
      </c>
      <c r="D5805" s="1" t="n">
        <v>45768</v>
      </c>
      <c r="E5805" s="1" t="n">
        <v>46323</v>
      </c>
      <c r="F5805" t="inlineStr">
        <is>
          <t>KALMAR LÄN</t>
        </is>
      </c>
      <c r="G5805" t="inlineStr">
        <is>
          <t>VIMMERBY</t>
        </is>
      </c>
      <c r="I5805" t="n">
        <v>6.2</v>
      </c>
      <c r="J5805" t="n">
        <v>0</v>
      </c>
      <c r="K5805" t="n">
        <v>0</v>
      </c>
      <c r="L5805" t="n">
        <v>0</v>
      </c>
      <c r="M5805" t="n">
        <v>0</v>
      </c>
      <c r="N5805" t="n">
        <v>0</v>
      </c>
      <c r="O5805" t="n">
        <v>0</v>
      </c>
      <c r="P5805" t="n">
        <v>0</v>
      </c>
      <c r="Q5805" t="n">
        <v>0</v>
      </c>
      <c r="R5805" t="n">
        <v>0</v>
      </c>
      <c r="S5805" t="n">
        <v>0</v>
      </c>
      <c r="T5805" t="n">
        <v>0</v>
      </c>
      <c r="U5805" t="n">
        <v>0</v>
      </c>
      <c r="V5805" s="2" t="inlineStr"/>
    </row>
    <row r="5806" ht="15" customHeight="1">
      <c r="A5806" t="inlineStr">
        <is>
          <t>A 2314-2023</t>
        </is>
      </c>
      <c r="B5806" t="inlineStr">
        <is>
          <t>avverkningsanmälan</t>
        </is>
      </c>
      <c r="C5806" t="inlineStr">
        <is>
          <t>Föryngringsavverkning</t>
        </is>
      </c>
      <c r="D5806" s="1" t="n">
        <v>44942</v>
      </c>
      <c r="E5806" s="1" t="n">
        <v>46323</v>
      </c>
      <c r="F5806" t="inlineStr">
        <is>
          <t>KALMAR LÄN</t>
        </is>
      </c>
      <c r="G5806" t="inlineStr">
        <is>
          <t>VÄSTERVIK</t>
        </is>
      </c>
      <c r="I5806" t="n">
        <v>2.3</v>
      </c>
      <c r="J5806" t="n">
        <v>0</v>
      </c>
      <c r="K5806" t="n">
        <v>0</v>
      </c>
      <c r="L5806" t="n">
        <v>0</v>
      </c>
      <c r="M5806" t="n">
        <v>0</v>
      </c>
      <c r="N5806" t="n">
        <v>0</v>
      </c>
      <c r="O5806" t="n">
        <v>0</v>
      </c>
      <c r="P5806" t="n">
        <v>0</v>
      </c>
      <c r="Q5806" t="n">
        <v>0</v>
      </c>
      <c r="R5806" t="n">
        <v>0</v>
      </c>
      <c r="S5806" t="n">
        <v>0</v>
      </c>
      <c r="T5806" t="n">
        <v>0</v>
      </c>
      <c r="U5806" t="n">
        <v>0</v>
      </c>
      <c r="V5806" s="2" t="inlineStr"/>
    </row>
    <row r="5807" ht="15" customHeight="1">
      <c r="A5807" t="inlineStr">
        <is>
          <t>A 9891-2024</t>
        </is>
      </c>
      <c r="B5807" t="inlineStr">
        <is>
          <t>avverkningsanmälan</t>
        </is>
      </c>
      <c r="C5807" t="inlineStr">
        <is>
          <t>Föryngringsavverkning</t>
        </is>
      </c>
      <c r="D5807" s="1" t="n">
        <v>45363</v>
      </c>
      <c r="E5807" s="1" t="n">
        <v>46323</v>
      </c>
      <c r="F5807" t="inlineStr">
        <is>
          <t>KALMAR LÄN</t>
        </is>
      </c>
      <c r="G5807" t="inlineStr">
        <is>
          <t>HULTSFRED</t>
        </is>
      </c>
      <c r="I5807" t="n">
        <v>0.4</v>
      </c>
      <c r="J5807" t="n">
        <v>0</v>
      </c>
      <c r="K5807" t="n">
        <v>0</v>
      </c>
      <c r="L5807" t="n">
        <v>0</v>
      </c>
      <c r="M5807" t="n">
        <v>0</v>
      </c>
      <c r="N5807" t="n">
        <v>0</v>
      </c>
      <c r="O5807" t="n">
        <v>0</v>
      </c>
      <c r="P5807" t="n">
        <v>0</v>
      </c>
      <c r="Q5807" t="n">
        <v>0</v>
      </c>
      <c r="R5807" t="n">
        <v>0</v>
      </c>
      <c r="S5807" t="n">
        <v>0</v>
      </c>
      <c r="T5807" t="n">
        <v>0</v>
      </c>
      <c r="U5807" t="n">
        <v>0</v>
      </c>
      <c r="V5807" s="2" t="inlineStr"/>
    </row>
    <row r="5808" ht="15" customHeight="1">
      <c r="A5808" t="inlineStr">
        <is>
          <t>A 5792-2023</t>
        </is>
      </c>
      <c r="B5808" t="inlineStr">
        <is>
          <t>avverkningsanmälan</t>
        </is>
      </c>
      <c r="C5808" t="inlineStr">
        <is>
          <t>Föryngringsavverkning</t>
        </is>
      </c>
      <c r="D5808" s="1" t="n">
        <v>44963</v>
      </c>
      <c r="E5808" s="1" t="n">
        <v>46323</v>
      </c>
      <c r="F5808" t="inlineStr">
        <is>
          <t>KALMAR LÄN</t>
        </is>
      </c>
      <c r="G5808" t="inlineStr">
        <is>
          <t>VIMMERBY</t>
        </is>
      </c>
      <c r="I5808" t="n">
        <v>0.5</v>
      </c>
      <c r="J5808" t="n">
        <v>0</v>
      </c>
      <c r="K5808" t="n">
        <v>0</v>
      </c>
      <c r="L5808" t="n">
        <v>0</v>
      </c>
      <c r="M5808" t="n">
        <v>0</v>
      </c>
      <c r="N5808" t="n">
        <v>0</v>
      </c>
      <c r="O5808" t="n">
        <v>0</v>
      </c>
      <c r="P5808" t="n">
        <v>0</v>
      </c>
      <c r="Q5808" t="n">
        <v>0</v>
      </c>
      <c r="R5808" t="n">
        <v>0</v>
      </c>
      <c r="S5808" t="n">
        <v>0</v>
      </c>
      <c r="T5808" t="n">
        <v>0</v>
      </c>
      <c r="U5808" t="n">
        <v>0</v>
      </c>
      <c r="V5808" s="2" t="inlineStr"/>
    </row>
    <row r="5809" ht="15" customHeight="1">
      <c r="A5809" t="inlineStr">
        <is>
          <t>A 2797-2023</t>
        </is>
      </c>
      <c r="B5809" t="inlineStr">
        <is>
          <t>avverkningsanmälan</t>
        </is>
      </c>
      <c r="C5809" t="inlineStr">
        <is>
          <t>Föryngringsavverkning</t>
        </is>
      </c>
      <c r="D5809" s="1" t="n">
        <v>44944</v>
      </c>
      <c r="E5809" s="1" t="n">
        <v>46323</v>
      </c>
      <c r="F5809" t="inlineStr">
        <is>
          <t>KALMAR LÄN</t>
        </is>
      </c>
      <c r="G5809" t="inlineStr">
        <is>
          <t>VIMMERBY</t>
        </is>
      </c>
      <c r="I5809" t="n">
        <v>3.4</v>
      </c>
      <c r="J5809" t="n">
        <v>0</v>
      </c>
      <c r="K5809" t="n">
        <v>0</v>
      </c>
      <c r="L5809" t="n">
        <v>0</v>
      </c>
      <c r="M5809" t="n">
        <v>0</v>
      </c>
      <c r="N5809" t="n">
        <v>0</v>
      </c>
      <c r="O5809" t="n">
        <v>0</v>
      </c>
      <c r="P5809" t="n">
        <v>0</v>
      </c>
      <c r="Q5809" t="n">
        <v>0</v>
      </c>
      <c r="R5809" t="n">
        <v>0</v>
      </c>
      <c r="S5809" t="n">
        <v>0</v>
      </c>
      <c r="T5809" t="n">
        <v>0</v>
      </c>
      <c r="U5809" t="n">
        <v>0</v>
      </c>
      <c r="V5809" s="2" t="inlineStr"/>
    </row>
    <row r="5810" ht="15" customHeight="1">
      <c r="A5810" t="inlineStr">
        <is>
          <t>A 11487-2023</t>
        </is>
      </c>
      <c r="B5810" t="inlineStr">
        <is>
          <t>avverkningsanmälan</t>
        </is>
      </c>
      <c r="C5810" t="inlineStr">
        <is>
          <t>Föryngringsavverkning</t>
        </is>
      </c>
      <c r="D5810" s="1" t="n">
        <v>44993</v>
      </c>
      <c r="E5810" s="1" t="n">
        <v>46323</v>
      </c>
      <c r="F5810" t="inlineStr">
        <is>
          <t>KALMAR LÄN</t>
        </is>
      </c>
      <c r="G5810" t="inlineStr">
        <is>
          <t>KALMAR</t>
        </is>
      </c>
      <c r="I5810" t="n">
        <v>5.8</v>
      </c>
      <c r="J5810" t="n">
        <v>0</v>
      </c>
      <c r="K5810" t="n">
        <v>0</v>
      </c>
      <c r="L5810" t="n">
        <v>0</v>
      </c>
      <c r="M5810" t="n">
        <v>0</v>
      </c>
      <c r="N5810" t="n">
        <v>0</v>
      </c>
      <c r="O5810" t="n">
        <v>0</v>
      </c>
      <c r="P5810" t="n">
        <v>0</v>
      </c>
      <c r="Q5810" t="n">
        <v>0</v>
      </c>
      <c r="R5810" t="n">
        <v>0</v>
      </c>
      <c r="S5810" t="n">
        <v>0</v>
      </c>
      <c r="T5810" t="n">
        <v>0</v>
      </c>
      <c r="U5810" t="n">
        <v>0</v>
      </c>
      <c r="V5810" s="2" t="inlineStr"/>
    </row>
    <row r="5811" ht="15" customHeight="1">
      <c r="A5811" t="inlineStr">
        <is>
          <t>A 36764-2026</t>
        </is>
      </c>
      <c r="B5811" t="inlineStr">
        <is>
          <t>avverkningsanmälan</t>
        </is>
      </c>
      <c r="C5811" t="inlineStr">
        <is>
          <t>Föryngringsavverkning</t>
        </is>
      </c>
      <c r="D5811" s="1" t="n">
        <v>46272</v>
      </c>
      <c r="E5811" s="1" t="n">
        <v>46323</v>
      </c>
      <c r="F5811" t="inlineStr">
        <is>
          <t>KALMAR LÄN</t>
        </is>
      </c>
      <c r="G5811" t="inlineStr">
        <is>
          <t>VÄSTERVIK</t>
        </is>
      </c>
      <c r="I5811" t="n">
        <v>1.5</v>
      </c>
      <c r="J5811" t="n">
        <v>0</v>
      </c>
      <c r="K5811" t="n">
        <v>0</v>
      </c>
      <c r="L5811" t="n">
        <v>0</v>
      </c>
      <c r="M5811" t="n">
        <v>0</v>
      </c>
      <c r="N5811" t="n">
        <v>0</v>
      </c>
      <c r="O5811" t="n">
        <v>0</v>
      </c>
      <c r="P5811" t="n">
        <v>0</v>
      </c>
      <c r="Q5811" t="n">
        <v>0</v>
      </c>
      <c r="R5811" t="n">
        <v>0</v>
      </c>
      <c r="S5811" t="n">
        <v>0</v>
      </c>
      <c r="T5811" t="n">
        <v>0</v>
      </c>
      <c r="U5811" t="n">
        <v>0</v>
      </c>
      <c r="V5811" s="2" t="inlineStr"/>
    </row>
    <row r="5812" ht="15" customHeight="1">
      <c r="A5812" t="inlineStr">
        <is>
          <t>A 43092-2026</t>
        </is>
      </c>
      <c r="B5812" t="inlineStr">
        <is>
          <t>avverkningsanmälan</t>
        </is>
      </c>
      <c r="C5812" t="inlineStr">
        <is>
          <t>Föryngringsavverkning</t>
        </is>
      </c>
      <c r="D5812" s="1" t="n">
        <v>46311</v>
      </c>
      <c r="E5812" s="1" t="n">
        <v>46323</v>
      </c>
      <c r="F5812" t="inlineStr">
        <is>
          <t>KALMAR LÄN</t>
        </is>
      </c>
      <c r="G5812" t="inlineStr">
        <is>
          <t>HÖGSBY</t>
        </is>
      </c>
      <c r="I5812" t="n">
        <v>1.8</v>
      </c>
      <c r="J5812" t="n">
        <v>0</v>
      </c>
      <c r="K5812" t="n">
        <v>0</v>
      </c>
      <c r="L5812" t="n">
        <v>0</v>
      </c>
      <c r="M5812" t="n">
        <v>0</v>
      </c>
      <c r="N5812" t="n">
        <v>0</v>
      </c>
      <c r="O5812" t="n">
        <v>0</v>
      </c>
      <c r="P5812" t="n">
        <v>0</v>
      </c>
      <c r="Q5812" t="n">
        <v>0</v>
      </c>
      <c r="R5812" t="n">
        <v>0</v>
      </c>
      <c r="S5812" t="n">
        <v>0</v>
      </c>
      <c r="T5812" t="n">
        <v>0</v>
      </c>
      <c r="U5812" t="n">
        <v>0</v>
      </c>
      <c r="V5812" s="2" t="inlineStr"/>
    </row>
    <row r="5813" ht="15" customHeight="1">
      <c r="A5813" t="inlineStr">
        <is>
          <t>A 44145-2025</t>
        </is>
      </c>
      <c r="B5813" t="inlineStr">
        <is>
          <t>avverkningsanmälan</t>
        </is>
      </c>
      <c r="C5813" t="inlineStr">
        <is>
          <t>Föryngringsavverkning</t>
        </is>
      </c>
      <c r="D5813" s="1" t="n">
        <v>45915</v>
      </c>
      <c r="E5813" s="1" t="n">
        <v>46323</v>
      </c>
      <c r="F5813" t="inlineStr">
        <is>
          <t>KALMAR LÄN</t>
        </is>
      </c>
      <c r="G5813" t="inlineStr">
        <is>
          <t>EMMABODA</t>
        </is>
      </c>
      <c r="H5813" t="inlineStr">
        <is>
          <t>Övriga Aktiebolag</t>
        </is>
      </c>
      <c r="I5813" t="n">
        <v>4.2</v>
      </c>
      <c r="J5813" t="n">
        <v>0</v>
      </c>
      <c r="K5813" t="n">
        <v>0</v>
      </c>
      <c r="L5813" t="n">
        <v>0</v>
      </c>
      <c r="M5813" t="n">
        <v>0</v>
      </c>
      <c r="N5813" t="n">
        <v>0</v>
      </c>
      <c r="O5813" t="n">
        <v>0</v>
      </c>
      <c r="P5813" t="n">
        <v>0</v>
      </c>
      <c r="Q5813" t="n">
        <v>0</v>
      </c>
      <c r="R5813" t="n">
        <v>0</v>
      </c>
      <c r="S5813" t="n">
        <v>0</v>
      </c>
      <c r="T5813" t="n">
        <v>0</v>
      </c>
      <c r="U5813" t="n">
        <v>0</v>
      </c>
      <c r="V5813" s="2" t="inlineStr"/>
    </row>
    <row r="5814" ht="15" customHeight="1">
      <c r="A5814" t="inlineStr">
        <is>
          <t>A 36445-2026</t>
        </is>
      </c>
      <c r="B5814" t="inlineStr">
        <is>
          <t>avverkningsanmälan</t>
        </is>
      </c>
      <c r="C5814" t="inlineStr">
        <is>
          <t>Föryngringsavverkning</t>
        </is>
      </c>
      <c r="D5814" s="1" t="n">
        <v>46269</v>
      </c>
      <c r="E5814" s="1" t="n">
        <v>46323</v>
      </c>
      <c r="F5814" t="inlineStr">
        <is>
          <t>KALMAR LÄN</t>
        </is>
      </c>
      <c r="G5814" t="inlineStr">
        <is>
          <t>HÖGSBY</t>
        </is>
      </c>
      <c r="H5814" t="inlineStr">
        <is>
          <t>Sveaskog</t>
        </is>
      </c>
      <c r="I5814" t="n">
        <v>24.4</v>
      </c>
      <c r="J5814" t="n">
        <v>0</v>
      </c>
      <c r="K5814" t="n">
        <v>0</v>
      </c>
      <c r="L5814" t="n">
        <v>0</v>
      </c>
      <c r="M5814" t="n">
        <v>0</v>
      </c>
      <c r="N5814" t="n">
        <v>0</v>
      </c>
      <c r="O5814" t="n">
        <v>0</v>
      </c>
      <c r="P5814" t="n">
        <v>0</v>
      </c>
      <c r="Q5814" t="n">
        <v>0</v>
      </c>
      <c r="R5814" t="n">
        <v>0</v>
      </c>
      <c r="S5814" t="n">
        <v>0</v>
      </c>
      <c r="T5814" t="n">
        <v>0</v>
      </c>
      <c r="U5814" t="n">
        <v>0</v>
      </c>
      <c r="V5814" s="2" t="inlineStr"/>
    </row>
    <row r="5815" ht="15" customHeight="1">
      <c r="A5815" t="inlineStr">
        <is>
          <t>A 3612-2022</t>
        </is>
      </c>
      <c r="B5815" t="inlineStr">
        <is>
          <t>avverkningsanmälan</t>
        </is>
      </c>
      <c r="C5815" t="inlineStr">
        <is>
          <t>Föryngringsavverkning</t>
        </is>
      </c>
      <c r="D5815" s="1" t="n">
        <v>44586</v>
      </c>
      <c r="E5815" s="1" t="n">
        <v>46323</v>
      </c>
      <c r="F5815" t="inlineStr">
        <is>
          <t>KALMAR LÄN</t>
        </is>
      </c>
      <c r="G5815" t="inlineStr">
        <is>
          <t>NYBRO</t>
        </is>
      </c>
      <c r="I5815" t="n">
        <v>1.5</v>
      </c>
      <c r="J5815" t="n">
        <v>0</v>
      </c>
      <c r="K5815" t="n">
        <v>0</v>
      </c>
      <c r="L5815" t="n">
        <v>0</v>
      </c>
      <c r="M5815" t="n">
        <v>0</v>
      </c>
      <c r="N5815" t="n">
        <v>0</v>
      </c>
      <c r="O5815" t="n">
        <v>0</v>
      </c>
      <c r="P5815" t="n">
        <v>0</v>
      </c>
      <c r="Q5815" t="n">
        <v>0</v>
      </c>
      <c r="R5815" t="n">
        <v>0</v>
      </c>
      <c r="S5815" t="n">
        <v>0</v>
      </c>
      <c r="T5815" t="n">
        <v>0</v>
      </c>
      <c r="U5815" t="n">
        <v>0</v>
      </c>
      <c r="V5815" s="2" t="inlineStr"/>
    </row>
    <row r="5816" ht="15" customHeight="1">
      <c r="A5816" t="inlineStr">
        <is>
          <t>A 26729-2023</t>
        </is>
      </c>
      <c r="B5816" t="inlineStr">
        <is>
          <t>avverkningsanmälan</t>
        </is>
      </c>
      <c r="C5816" t="inlineStr">
        <is>
          <t>Föryngringsavverkning</t>
        </is>
      </c>
      <c r="D5816" s="1" t="n">
        <v>45093</v>
      </c>
      <c r="E5816" s="1" t="n">
        <v>46323</v>
      </c>
      <c r="F5816" t="inlineStr">
        <is>
          <t>KALMAR LÄN</t>
        </is>
      </c>
      <c r="G5816" t="inlineStr">
        <is>
          <t>NYBRO</t>
        </is>
      </c>
      <c r="I5816" t="n">
        <v>2.9</v>
      </c>
      <c r="J5816" t="n">
        <v>0</v>
      </c>
      <c r="K5816" t="n">
        <v>0</v>
      </c>
      <c r="L5816" t="n">
        <v>0</v>
      </c>
      <c r="M5816" t="n">
        <v>0</v>
      </c>
      <c r="N5816" t="n">
        <v>0</v>
      </c>
      <c r="O5816" t="n">
        <v>0</v>
      </c>
      <c r="P5816" t="n">
        <v>0</v>
      </c>
      <c r="Q5816" t="n">
        <v>0</v>
      </c>
      <c r="R5816" t="n">
        <v>0</v>
      </c>
      <c r="S5816" t="n">
        <v>0</v>
      </c>
      <c r="T5816" t="n">
        <v>0</v>
      </c>
      <c r="U5816" t="n">
        <v>0</v>
      </c>
      <c r="V5816" s="2" t="inlineStr"/>
    </row>
    <row r="5817" ht="15" customHeight="1">
      <c r="A5817" t="inlineStr">
        <is>
          <t>A 62721-2025</t>
        </is>
      </c>
      <c r="B5817" t="inlineStr">
        <is>
          <t>avverkningsanmälan</t>
        </is>
      </c>
      <c r="C5817" t="inlineStr">
        <is>
          <t>Föryngringsavverkning</t>
        </is>
      </c>
      <c r="D5817" s="1" t="n">
        <v>46008</v>
      </c>
      <c r="E5817" s="1" t="n">
        <v>46323</v>
      </c>
      <c r="F5817" t="inlineStr">
        <is>
          <t>KALMAR LÄN</t>
        </is>
      </c>
      <c r="G5817" t="inlineStr">
        <is>
          <t>HULTSFRED</t>
        </is>
      </c>
      <c r="I5817" t="n">
        <v>4.7</v>
      </c>
      <c r="J5817" t="n">
        <v>0</v>
      </c>
      <c r="K5817" t="n">
        <v>0</v>
      </c>
      <c r="L5817" t="n">
        <v>0</v>
      </c>
      <c r="M5817" t="n">
        <v>0</v>
      </c>
      <c r="N5817" t="n">
        <v>0</v>
      </c>
      <c r="O5817" t="n">
        <v>0</v>
      </c>
      <c r="P5817" t="n">
        <v>0</v>
      </c>
      <c r="Q5817" t="n">
        <v>0</v>
      </c>
      <c r="R5817" t="n">
        <v>0</v>
      </c>
      <c r="S5817" t="n">
        <v>0</v>
      </c>
      <c r="T5817" t="n">
        <v>0</v>
      </c>
      <c r="U5817" t="n">
        <v>0</v>
      </c>
      <c r="V5817" s="2" t="inlineStr"/>
    </row>
    <row r="5818" ht="15" customHeight="1">
      <c r="A5818" t="inlineStr">
        <is>
          <t>A 8499-2023</t>
        </is>
      </c>
      <c r="B5818" t="inlineStr">
        <is>
          <t>avverkningsanmälan</t>
        </is>
      </c>
      <c r="C5818" t="inlineStr">
        <is>
          <t>Avverkning för annat ändamål</t>
        </is>
      </c>
      <c r="D5818" s="1" t="n">
        <v>44977</v>
      </c>
      <c r="E5818" s="1" t="n">
        <v>46323</v>
      </c>
      <c r="F5818" t="inlineStr">
        <is>
          <t>KALMAR LÄN</t>
        </is>
      </c>
      <c r="G5818" t="inlineStr">
        <is>
          <t>OSKARSHAMN</t>
        </is>
      </c>
      <c r="I5818" t="n">
        <v>1</v>
      </c>
      <c r="J5818" t="n">
        <v>0</v>
      </c>
      <c r="K5818" t="n">
        <v>0</v>
      </c>
      <c r="L5818" t="n">
        <v>0</v>
      </c>
      <c r="M5818" t="n">
        <v>0</v>
      </c>
      <c r="N5818" t="n">
        <v>0</v>
      </c>
      <c r="O5818" t="n">
        <v>0</v>
      </c>
      <c r="P5818" t="n">
        <v>0</v>
      </c>
      <c r="Q5818" t="n">
        <v>0</v>
      </c>
      <c r="R5818" t="n">
        <v>0</v>
      </c>
      <c r="S5818" t="n">
        <v>0</v>
      </c>
      <c r="T5818" t="n">
        <v>0</v>
      </c>
      <c r="U5818" t="n">
        <v>0</v>
      </c>
      <c r="V5818" s="2" t="inlineStr"/>
    </row>
    <row r="5819" ht="15" customHeight="1">
      <c r="A5819" t="inlineStr">
        <is>
          <t>A 63508-2025</t>
        </is>
      </c>
      <c r="B5819" t="inlineStr">
        <is>
          <t>avverkningsanmälan</t>
        </is>
      </c>
      <c r="C5819" t="inlineStr">
        <is>
          <t>Föryngringsavverkning</t>
        </is>
      </c>
      <c r="D5819" s="1" t="n">
        <v>46013</v>
      </c>
      <c r="E5819" s="1" t="n">
        <v>46323</v>
      </c>
      <c r="F5819" t="inlineStr">
        <is>
          <t>KALMAR LÄN</t>
        </is>
      </c>
      <c r="G5819" t="inlineStr">
        <is>
          <t>HÖGSBY</t>
        </is>
      </c>
      <c r="I5819" t="n">
        <v>1.6</v>
      </c>
      <c r="J5819" t="n">
        <v>0</v>
      </c>
      <c r="K5819" t="n">
        <v>0</v>
      </c>
      <c r="L5819" t="n">
        <v>0</v>
      </c>
      <c r="M5819" t="n">
        <v>0</v>
      </c>
      <c r="N5819" t="n">
        <v>0</v>
      </c>
      <c r="O5819" t="n">
        <v>0</v>
      </c>
      <c r="P5819" t="n">
        <v>0</v>
      </c>
      <c r="Q5819" t="n">
        <v>0</v>
      </c>
      <c r="R5819" t="n">
        <v>0</v>
      </c>
      <c r="S5819" t="n">
        <v>0</v>
      </c>
      <c r="T5819" t="n">
        <v>0</v>
      </c>
      <c r="U5819" t="n">
        <v>0</v>
      </c>
      <c r="V5819" s="2" t="inlineStr"/>
    </row>
    <row r="5820" ht="15" customHeight="1">
      <c r="A5820" t="inlineStr">
        <is>
          <t>A 10388-2023</t>
        </is>
      </c>
      <c r="B5820" t="inlineStr">
        <is>
          <t>avverkningsanmälan</t>
        </is>
      </c>
      <c r="C5820" t="inlineStr">
        <is>
          <t>Föryngringsavverkning</t>
        </is>
      </c>
      <c r="D5820" s="1" t="n">
        <v>44981</v>
      </c>
      <c r="E5820" s="1" t="n">
        <v>46323</v>
      </c>
      <c r="F5820" t="inlineStr">
        <is>
          <t>KALMAR LÄN</t>
        </is>
      </c>
      <c r="G5820" t="inlineStr">
        <is>
          <t>MÖNSTERÅS</t>
        </is>
      </c>
      <c r="I5820" t="n">
        <v>1.5</v>
      </c>
      <c r="J5820" t="n">
        <v>0</v>
      </c>
      <c r="K5820" t="n">
        <v>0</v>
      </c>
      <c r="L5820" t="n">
        <v>0</v>
      </c>
      <c r="M5820" t="n">
        <v>0</v>
      </c>
      <c r="N5820" t="n">
        <v>0</v>
      </c>
      <c r="O5820" t="n">
        <v>0</v>
      </c>
      <c r="P5820" t="n">
        <v>0</v>
      </c>
      <c r="Q5820" t="n">
        <v>0</v>
      </c>
      <c r="R5820" t="n">
        <v>0</v>
      </c>
      <c r="S5820" t="n">
        <v>0</v>
      </c>
      <c r="T5820" t="n">
        <v>0</v>
      </c>
      <c r="U5820" t="n">
        <v>0</v>
      </c>
      <c r="V5820" s="2" t="inlineStr"/>
    </row>
    <row r="5821" ht="15" customHeight="1">
      <c r="A5821" t="inlineStr">
        <is>
          <t>A 10404-2023</t>
        </is>
      </c>
      <c r="B5821" t="inlineStr">
        <is>
          <t>avverkningsanmälan</t>
        </is>
      </c>
      <c r="C5821" t="inlineStr">
        <is>
          <t>Föryngringsavverkning</t>
        </is>
      </c>
      <c r="D5821" s="1" t="n">
        <v>44987</v>
      </c>
      <c r="E5821" s="1" t="n">
        <v>46323</v>
      </c>
      <c r="F5821" t="inlineStr">
        <is>
          <t>KALMAR LÄN</t>
        </is>
      </c>
      <c r="G5821" t="inlineStr">
        <is>
          <t>OSKARSHAMN</t>
        </is>
      </c>
      <c r="I5821" t="n">
        <v>1.8</v>
      </c>
      <c r="J5821" t="n">
        <v>0</v>
      </c>
      <c r="K5821" t="n">
        <v>0</v>
      </c>
      <c r="L5821" t="n">
        <v>0</v>
      </c>
      <c r="M5821" t="n">
        <v>0</v>
      </c>
      <c r="N5821" t="n">
        <v>0</v>
      </c>
      <c r="O5821" t="n">
        <v>0</v>
      </c>
      <c r="P5821" t="n">
        <v>0</v>
      </c>
      <c r="Q5821" t="n">
        <v>0</v>
      </c>
      <c r="R5821" t="n">
        <v>0</v>
      </c>
      <c r="S5821" t="n">
        <v>0</v>
      </c>
      <c r="T5821" t="n">
        <v>0</v>
      </c>
      <c r="U5821" t="n">
        <v>0</v>
      </c>
      <c r="V5821" s="2" t="inlineStr"/>
    </row>
    <row r="5822" ht="15" customHeight="1">
      <c r="A5822" t="inlineStr">
        <is>
          <t>A 36410-2026</t>
        </is>
      </c>
      <c r="B5822" t="inlineStr">
        <is>
          <t>avverkningsanmälan</t>
        </is>
      </c>
      <c r="C5822" t="inlineStr">
        <is>
          <t>Föryngringsavverkning</t>
        </is>
      </c>
      <c r="D5822" s="1" t="n">
        <v>46268</v>
      </c>
      <c r="E5822" s="1" t="n">
        <v>46323</v>
      </c>
      <c r="F5822" t="inlineStr">
        <is>
          <t>KALMAR LÄN</t>
        </is>
      </c>
      <c r="G5822" t="inlineStr">
        <is>
          <t>TORSÅS</t>
        </is>
      </c>
      <c r="I5822" t="n">
        <v>1.9</v>
      </c>
      <c r="J5822" t="n">
        <v>0</v>
      </c>
      <c r="K5822" t="n">
        <v>0</v>
      </c>
      <c r="L5822" t="n">
        <v>0</v>
      </c>
      <c r="M5822" t="n">
        <v>0</v>
      </c>
      <c r="N5822" t="n">
        <v>0</v>
      </c>
      <c r="O5822" t="n">
        <v>0</v>
      </c>
      <c r="P5822" t="n">
        <v>0</v>
      </c>
      <c r="Q5822" t="n">
        <v>0</v>
      </c>
      <c r="R5822" t="n">
        <v>0</v>
      </c>
      <c r="S5822" t="n">
        <v>0</v>
      </c>
      <c r="T5822" t="n">
        <v>0</v>
      </c>
      <c r="U5822" t="n">
        <v>0</v>
      </c>
      <c r="V5822" s="2" t="inlineStr"/>
    </row>
    <row r="5823" ht="15" customHeight="1">
      <c r="A5823" t="inlineStr">
        <is>
          <t>A 36605-2026</t>
        </is>
      </c>
      <c r="B5823" t="inlineStr">
        <is>
          <t>avverkningsanmälan</t>
        </is>
      </c>
      <c r="C5823" t="inlineStr">
        <is>
          <t>Föryngringsavverkning</t>
        </is>
      </c>
      <c r="D5823" s="1" t="n">
        <v>46269</v>
      </c>
      <c r="E5823" s="1" t="n">
        <v>46323</v>
      </c>
      <c r="F5823" t="inlineStr">
        <is>
          <t>KALMAR LÄN</t>
        </is>
      </c>
      <c r="G5823" t="inlineStr">
        <is>
          <t>VÄSTERVIK</t>
        </is>
      </c>
      <c r="I5823" t="n">
        <v>4.2</v>
      </c>
      <c r="J5823" t="n">
        <v>0</v>
      </c>
      <c r="K5823" t="n">
        <v>0</v>
      </c>
      <c r="L5823" t="n">
        <v>0</v>
      </c>
      <c r="M5823" t="n">
        <v>0</v>
      </c>
      <c r="N5823" t="n">
        <v>0</v>
      </c>
      <c r="O5823" t="n">
        <v>0</v>
      </c>
      <c r="P5823" t="n">
        <v>0</v>
      </c>
      <c r="Q5823" t="n">
        <v>0</v>
      </c>
      <c r="R5823" t="n">
        <v>0</v>
      </c>
      <c r="S5823" t="n">
        <v>0</v>
      </c>
      <c r="T5823" t="n">
        <v>0</v>
      </c>
      <c r="U5823" t="n">
        <v>0</v>
      </c>
      <c r="V5823" s="2" t="inlineStr"/>
    </row>
    <row r="5824" ht="15" customHeight="1">
      <c r="A5824" t="inlineStr">
        <is>
          <t>A 17067-2023</t>
        </is>
      </c>
      <c r="B5824" t="inlineStr">
        <is>
          <t>avverkningsanmälan</t>
        </is>
      </c>
      <c r="C5824" t="inlineStr">
        <is>
          <t>Föryngringsavverkning</t>
        </is>
      </c>
      <c r="D5824" s="1" t="n">
        <v>45034</v>
      </c>
      <c r="E5824" s="1" t="n">
        <v>46323</v>
      </c>
      <c r="F5824" t="inlineStr">
        <is>
          <t>KALMAR LÄN</t>
        </is>
      </c>
      <c r="G5824" t="inlineStr">
        <is>
          <t>KALMAR</t>
        </is>
      </c>
      <c r="I5824" t="n">
        <v>1.4</v>
      </c>
      <c r="J5824" t="n">
        <v>0</v>
      </c>
      <c r="K5824" t="n">
        <v>0</v>
      </c>
      <c r="L5824" t="n">
        <v>0</v>
      </c>
      <c r="M5824" t="n">
        <v>0</v>
      </c>
      <c r="N5824" t="n">
        <v>0</v>
      </c>
      <c r="O5824" t="n">
        <v>0</v>
      </c>
      <c r="P5824" t="n">
        <v>0</v>
      </c>
      <c r="Q5824" t="n">
        <v>0</v>
      </c>
      <c r="R5824" t="n">
        <v>0</v>
      </c>
      <c r="S5824" t="n">
        <v>0</v>
      </c>
      <c r="T5824" t="n">
        <v>0</v>
      </c>
      <c r="U5824" t="n">
        <v>0</v>
      </c>
      <c r="V5824" s="2" t="inlineStr"/>
    </row>
    <row r="5825" ht="15" customHeight="1">
      <c r="A5825" t="inlineStr">
        <is>
          <t>A 5643-2026</t>
        </is>
      </c>
      <c r="B5825" t="inlineStr">
        <is>
          <t>avverkningsanmälan</t>
        </is>
      </c>
      <c r="C5825" t="inlineStr">
        <is>
          <t>Föryngringsavverkning</t>
        </is>
      </c>
      <c r="D5825" s="1" t="n">
        <v>46051</v>
      </c>
      <c r="E5825" s="1" t="n">
        <v>46323</v>
      </c>
      <c r="F5825" t="inlineStr">
        <is>
          <t>KALMAR LÄN</t>
        </is>
      </c>
      <c r="G5825" t="inlineStr">
        <is>
          <t>HULTSFRED</t>
        </is>
      </c>
      <c r="I5825" t="n">
        <v>1.6</v>
      </c>
      <c r="J5825" t="n">
        <v>0</v>
      </c>
      <c r="K5825" t="n">
        <v>0</v>
      </c>
      <c r="L5825" t="n">
        <v>0</v>
      </c>
      <c r="M5825" t="n">
        <v>0</v>
      </c>
      <c r="N5825" t="n">
        <v>0</v>
      </c>
      <c r="O5825" t="n">
        <v>0</v>
      </c>
      <c r="P5825" t="n">
        <v>0</v>
      </c>
      <c r="Q5825" t="n">
        <v>0</v>
      </c>
      <c r="R5825" t="n">
        <v>0</v>
      </c>
      <c r="S5825" t="n">
        <v>0</v>
      </c>
      <c r="T5825" t="n">
        <v>0</v>
      </c>
      <c r="U5825" t="n">
        <v>0</v>
      </c>
      <c r="V5825" s="2" t="inlineStr"/>
    </row>
    <row r="5826" ht="15" customHeight="1">
      <c r="A5826" t="inlineStr">
        <is>
          <t>A 38040-2023</t>
        </is>
      </c>
      <c r="B5826" t="inlineStr">
        <is>
          <t>avverkningsanmälan</t>
        </is>
      </c>
      <c r="C5826" t="inlineStr">
        <is>
          <t>Föryngringsavverkning</t>
        </is>
      </c>
      <c r="D5826" s="1" t="n">
        <v>45160</v>
      </c>
      <c r="E5826" s="1" t="n">
        <v>46323</v>
      </c>
      <c r="F5826" t="inlineStr">
        <is>
          <t>KALMAR LÄN</t>
        </is>
      </c>
      <c r="G5826" t="inlineStr">
        <is>
          <t>VÄSTERVIK</t>
        </is>
      </c>
      <c r="H5826" t="inlineStr">
        <is>
          <t>Sveaskog</t>
        </is>
      </c>
      <c r="I5826" t="n">
        <v>1</v>
      </c>
      <c r="J5826" t="n">
        <v>0</v>
      </c>
      <c r="K5826" t="n">
        <v>0</v>
      </c>
      <c r="L5826" t="n">
        <v>0</v>
      </c>
      <c r="M5826" t="n">
        <v>0</v>
      </c>
      <c r="N5826" t="n">
        <v>0</v>
      </c>
      <c r="O5826" t="n">
        <v>0</v>
      </c>
      <c r="P5826" t="n">
        <v>0</v>
      </c>
      <c r="Q5826" t="n">
        <v>0</v>
      </c>
      <c r="R5826" t="n">
        <v>0</v>
      </c>
      <c r="S5826" t="n">
        <v>0</v>
      </c>
      <c r="T5826" t="n">
        <v>0</v>
      </c>
      <c r="U5826" t="n">
        <v>0</v>
      </c>
      <c r="V5826" s="2" t="inlineStr"/>
    </row>
    <row r="5827" ht="15" customHeight="1">
      <c r="A5827" t="inlineStr">
        <is>
          <t>A 23394-2025</t>
        </is>
      </c>
      <c r="B5827" t="inlineStr">
        <is>
          <t>avverkningsanmälan</t>
        </is>
      </c>
      <c r="C5827" t="inlineStr">
        <is>
          <t>Föryngringsavverkning</t>
        </is>
      </c>
      <c r="D5827" s="1" t="n">
        <v>45791</v>
      </c>
      <c r="E5827" s="1" t="n">
        <v>46323</v>
      </c>
      <c r="F5827" t="inlineStr">
        <is>
          <t>KALMAR LÄN</t>
        </is>
      </c>
      <c r="G5827" t="inlineStr">
        <is>
          <t>VIMMERBY</t>
        </is>
      </c>
      <c r="I5827" t="n">
        <v>3.1</v>
      </c>
      <c r="J5827" t="n">
        <v>0</v>
      </c>
      <c r="K5827" t="n">
        <v>0</v>
      </c>
      <c r="L5827" t="n">
        <v>0</v>
      </c>
      <c r="M5827" t="n">
        <v>0</v>
      </c>
      <c r="N5827" t="n">
        <v>0</v>
      </c>
      <c r="O5827" t="n">
        <v>0</v>
      </c>
      <c r="P5827" t="n">
        <v>0</v>
      </c>
      <c r="Q5827" t="n">
        <v>0</v>
      </c>
      <c r="R5827" t="n">
        <v>0</v>
      </c>
      <c r="S5827" t="n">
        <v>0</v>
      </c>
      <c r="T5827" t="n">
        <v>0</v>
      </c>
      <c r="U5827" t="n">
        <v>0</v>
      </c>
      <c r="V5827" s="2" t="inlineStr"/>
    </row>
    <row r="5828" ht="15" customHeight="1">
      <c r="A5828" t="inlineStr">
        <is>
          <t>A 55609-2024</t>
        </is>
      </c>
      <c r="B5828" t="inlineStr">
        <is>
          <t>avverkningsanmälan</t>
        </is>
      </c>
      <c r="C5828" t="inlineStr">
        <is>
          <t>Föryngringsavverkning</t>
        </is>
      </c>
      <c r="D5828" s="1" t="n">
        <v>45622</v>
      </c>
      <c r="E5828" s="1" t="n">
        <v>46323</v>
      </c>
      <c r="F5828" t="inlineStr">
        <is>
          <t>KALMAR LÄN</t>
        </is>
      </c>
      <c r="G5828" t="inlineStr">
        <is>
          <t>VÄSTERVIK</t>
        </is>
      </c>
      <c r="I5828" t="n">
        <v>1.1</v>
      </c>
      <c r="J5828" t="n">
        <v>0</v>
      </c>
      <c r="K5828" t="n">
        <v>0</v>
      </c>
      <c r="L5828" t="n">
        <v>0</v>
      </c>
      <c r="M5828" t="n">
        <v>0</v>
      </c>
      <c r="N5828" t="n">
        <v>0</v>
      </c>
      <c r="O5828" t="n">
        <v>0</v>
      </c>
      <c r="P5828" t="n">
        <v>0</v>
      </c>
      <c r="Q5828" t="n">
        <v>0</v>
      </c>
      <c r="R5828" t="n">
        <v>0</v>
      </c>
      <c r="S5828" t="n">
        <v>0</v>
      </c>
      <c r="T5828" t="n">
        <v>0</v>
      </c>
      <c r="U5828" t="n">
        <v>0</v>
      </c>
      <c r="V5828" s="2" t="inlineStr"/>
    </row>
    <row r="5829" ht="15" customHeight="1">
      <c r="A5829" t="inlineStr">
        <is>
          <t>A 33208-2022</t>
        </is>
      </c>
      <c r="B5829" t="inlineStr">
        <is>
          <t>avverkningsanmälan</t>
        </is>
      </c>
      <c r="C5829" t="inlineStr">
        <is>
          <t>Föryngringsavverkning</t>
        </is>
      </c>
      <c r="D5829" s="1" t="n">
        <v>44785</v>
      </c>
      <c r="E5829" s="1" t="n">
        <v>46323</v>
      </c>
      <c r="F5829" t="inlineStr">
        <is>
          <t>KALMAR LÄN</t>
        </is>
      </c>
      <c r="G5829" t="inlineStr">
        <is>
          <t>VÄSTERVIK</t>
        </is>
      </c>
      <c r="I5829" t="n">
        <v>2.6</v>
      </c>
      <c r="J5829" t="n">
        <v>0</v>
      </c>
      <c r="K5829" t="n">
        <v>0</v>
      </c>
      <c r="L5829" t="n">
        <v>0</v>
      </c>
      <c r="M5829" t="n">
        <v>0</v>
      </c>
      <c r="N5829" t="n">
        <v>0</v>
      </c>
      <c r="O5829" t="n">
        <v>0</v>
      </c>
      <c r="P5829" t="n">
        <v>0</v>
      </c>
      <c r="Q5829" t="n">
        <v>0</v>
      </c>
      <c r="R5829" t="n">
        <v>0</v>
      </c>
      <c r="S5829" t="n">
        <v>0</v>
      </c>
      <c r="T5829" t="n">
        <v>0</v>
      </c>
      <c r="U5829" t="n">
        <v>0</v>
      </c>
      <c r="V5829" s="2" t="inlineStr"/>
    </row>
    <row r="5830" ht="15" customHeight="1">
      <c r="A5830" t="inlineStr">
        <is>
          <t>A 30269-2025</t>
        </is>
      </c>
      <c r="B5830" t="inlineStr">
        <is>
          <t>avverkningsanmälan</t>
        </is>
      </c>
      <c r="C5830" t="inlineStr">
        <is>
          <t>Föryngringsavverkning</t>
        </is>
      </c>
      <c r="D5830" s="1" t="n">
        <v>45827</v>
      </c>
      <c r="E5830" s="1" t="n">
        <v>46323</v>
      </c>
      <c r="F5830" t="inlineStr">
        <is>
          <t>KALMAR LÄN</t>
        </is>
      </c>
      <c r="G5830" t="inlineStr">
        <is>
          <t>HULTSFRED</t>
        </is>
      </c>
      <c r="I5830" t="n">
        <v>0.8</v>
      </c>
      <c r="J5830" t="n">
        <v>0</v>
      </c>
      <c r="K5830" t="n">
        <v>0</v>
      </c>
      <c r="L5830" t="n">
        <v>0</v>
      </c>
      <c r="M5830" t="n">
        <v>0</v>
      </c>
      <c r="N5830" t="n">
        <v>0</v>
      </c>
      <c r="O5830" t="n">
        <v>0</v>
      </c>
      <c r="P5830" t="n">
        <v>0</v>
      </c>
      <c r="Q5830" t="n">
        <v>0</v>
      </c>
      <c r="R5830" t="n">
        <v>0</v>
      </c>
      <c r="S5830" t="n">
        <v>0</v>
      </c>
      <c r="T5830" t="n">
        <v>0</v>
      </c>
      <c r="U5830" t="n">
        <v>0</v>
      </c>
      <c r="V5830" s="2" t="inlineStr"/>
    </row>
    <row r="5831" ht="15" customHeight="1">
      <c r="A5831" t="inlineStr">
        <is>
          <t>A 30273-2025</t>
        </is>
      </c>
      <c r="B5831" t="inlineStr">
        <is>
          <t>avverkningsanmälan</t>
        </is>
      </c>
      <c r="C5831" t="inlineStr">
        <is>
          <t>Föryngringsavverkning</t>
        </is>
      </c>
      <c r="D5831" s="1" t="n">
        <v>45827</v>
      </c>
      <c r="E5831" s="1" t="n">
        <v>46323</v>
      </c>
      <c r="F5831" t="inlineStr">
        <is>
          <t>KALMAR LÄN</t>
        </is>
      </c>
      <c r="G5831" t="inlineStr">
        <is>
          <t>HULTSFRED</t>
        </is>
      </c>
      <c r="I5831" t="n">
        <v>0.5</v>
      </c>
      <c r="J5831" t="n">
        <v>0</v>
      </c>
      <c r="K5831" t="n">
        <v>0</v>
      </c>
      <c r="L5831" t="n">
        <v>0</v>
      </c>
      <c r="M5831" t="n">
        <v>0</v>
      </c>
      <c r="N5831" t="n">
        <v>0</v>
      </c>
      <c r="O5831" t="n">
        <v>0</v>
      </c>
      <c r="P5831" t="n">
        <v>0</v>
      </c>
      <c r="Q5831" t="n">
        <v>0</v>
      </c>
      <c r="R5831" t="n">
        <v>0</v>
      </c>
      <c r="S5831" t="n">
        <v>0</v>
      </c>
      <c r="T5831" t="n">
        <v>0</v>
      </c>
      <c r="U5831" t="n">
        <v>0</v>
      </c>
      <c r="V5831" s="2" t="inlineStr"/>
    </row>
    <row r="5832" ht="15" customHeight="1">
      <c r="A5832" t="inlineStr">
        <is>
          <t>A 30284-2025</t>
        </is>
      </c>
      <c r="B5832" t="inlineStr">
        <is>
          <t>avverkningsanmälan</t>
        </is>
      </c>
      <c r="C5832" t="inlineStr">
        <is>
          <t>Föryngringsavverkning</t>
        </is>
      </c>
      <c r="D5832" s="1" t="n">
        <v>45827</v>
      </c>
      <c r="E5832" s="1" t="n">
        <v>46323</v>
      </c>
      <c r="F5832" t="inlineStr">
        <is>
          <t>KALMAR LÄN</t>
        </is>
      </c>
      <c r="G5832" t="inlineStr">
        <is>
          <t>HULTSFRED</t>
        </is>
      </c>
      <c r="I5832" t="n">
        <v>0.5</v>
      </c>
      <c r="J5832" t="n">
        <v>0</v>
      </c>
      <c r="K5832" t="n">
        <v>0</v>
      </c>
      <c r="L5832" t="n">
        <v>0</v>
      </c>
      <c r="M5832" t="n">
        <v>0</v>
      </c>
      <c r="N5832" t="n">
        <v>0</v>
      </c>
      <c r="O5832" t="n">
        <v>0</v>
      </c>
      <c r="P5832" t="n">
        <v>0</v>
      </c>
      <c r="Q5832" t="n">
        <v>0</v>
      </c>
      <c r="R5832" t="n">
        <v>0</v>
      </c>
      <c r="S5832" t="n">
        <v>0</v>
      </c>
      <c r="T5832" t="n">
        <v>0</v>
      </c>
      <c r="U5832" t="n">
        <v>0</v>
      </c>
      <c r="V5832" s="2" t="inlineStr"/>
    </row>
    <row r="5833" ht="15" customHeight="1">
      <c r="A5833" t="inlineStr">
        <is>
          <t>A 30293-2025</t>
        </is>
      </c>
      <c r="B5833" t="inlineStr">
        <is>
          <t>avverkningsanmälan</t>
        </is>
      </c>
      <c r="C5833" t="inlineStr">
        <is>
          <t>Föryngringsavverkning</t>
        </is>
      </c>
      <c r="D5833" s="1" t="n">
        <v>45827</v>
      </c>
      <c r="E5833" s="1" t="n">
        <v>46323</v>
      </c>
      <c r="F5833" t="inlineStr">
        <is>
          <t>KALMAR LÄN</t>
        </is>
      </c>
      <c r="G5833" t="inlineStr">
        <is>
          <t>VIMMERBY</t>
        </is>
      </c>
      <c r="I5833" t="n">
        <v>0.5</v>
      </c>
      <c r="J5833" t="n">
        <v>0</v>
      </c>
      <c r="K5833" t="n">
        <v>0</v>
      </c>
      <c r="L5833" t="n">
        <v>0</v>
      </c>
      <c r="M5833" t="n">
        <v>0</v>
      </c>
      <c r="N5833" t="n">
        <v>0</v>
      </c>
      <c r="O5833" t="n">
        <v>0</v>
      </c>
      <c r="P5833" t="n">
        <v>0</v>
      </c>
      <c r="Q5833" t="n">
        <v>0</v>
      </c>
      <c r="R5833" t="n">
        <v>0</v>
      </c>
      <c r="S5833" t="n">
        <v>0</v>
      </c>
      <c r="T5833" t="n">
        <v>0</v>
      </c>
      <c r="U5833" t="n">
        <v>0</v>
      </c>
      <c r="V5833" s="2" t="inlineStr"/>
    </row>
    <row r="5834" ht="15" customHeight="1">
      <c r="A5834" t="inlineStr">
        <is>
          <t>A 30294-2025</t>
        </is>
      </c>
      <c r="B5834" t="inlineStr">
        <is>
          <t>avverkningsanmälan</t>
        </is>
      </c>
      <c r="C5834" t="inlineStr">
        <is>
          <t>Föryngringsavverkning</t>
        </is>
      </c>
      <c r="D5834" s="1" t="n">
        <v>45827</v>
      </c>
      <c r="E5834" s="1" t="n">
        <v>46323</v>
      </c>
      <c r="F5834" t="inlineStr">
        <is>
          <t>KALMAR LÄN</t>
        </is>
      </c>
      <c r="G5834" t="inlineStr">
        <is>
          <t>HULTSFRED</t>
        </is>
      </c>
      <c r="I5834" t="n">
        <v>0.6</v>
      </c>
      <c r="J5834" t="n">
        <v>0</v>
      </c>
      <c r="K5834" t="n">
        <v>0</v>
      </c>
      <c r="L5834" t="n">
        <v>0</v>
      </c>
      <c r="M5834" t="n">
        <v>0</v>
      </c>
      <c r="N5834" t="n">
        <v>0</v>
      </c>
      <c r="O5834" t="n">
        <v>0</v>
      </c>
      <c r="P5834" t="n">
        <v>0</v>
      </c>
      <c r="Q5834" t="n">
        <v>0</v>
      </c>
      <c r="R5834" t="n">
        <v>0</v>
      </c>
      <c r="S5834" t="n">
        <v>0</v>
      </c>
      <c r="T5834" t="n">
        <v>0</v>
      </c>
      <c r="U5834" t="n">
        <v>0</v>
      </c>
      <c r="V5834" s="2" t="inlineStr"/>
    </row>
    <row r="5835" ht="15" customHeight="1">
      <c r="A5835" t="inlineStr">
        <is>
          <t>A 58278-2023</t>
        </is>
      </c>
      <c r="B5835" t="inlineStr">
        <is>
          <t>avverkningsanmälan</t>
        </is>
      </c>
      <c r="C5835" t="inlineStr">
        <is>
          <t>Föryngringsavverkning</t>
        </is>
      </c>
      <c r="D5835" s="1" t="n">
        <v>45250</v>
      </c>
      <c r="E5835" s="1" t="n">
        <v>46323</v>
      </c>
      <c r="F5835" t="inlineStr">
        <is>
          <t>KALMAR LÄN</t>
        </is>
      </c>
      <c r="G5835" t="inlineStr">
        <is>
          <t>VIMMERBY</t>
        </is>
      </c>
      <c r="I5835" t="n">
        <v>1.8</v>
      </c>
      <c r="J5835" t="n">
        <v>0</v>
      </c>
      <c r="K5835" t="n">
        <v>0</v>
      </c>
      <c r="L5835" t="n">
        <v>0</v>
      </c>
      <c r="M5835" t="n">
        <v>0</v>
      </c>
      <c r="N5835" t="n">
        <v>0</v>
      </c>
      <c r="O5835" t="n">
        <v>0</v>
      </c>
      <c r="P5835" t="n">
        <v>0</v>
      </c>
      <c r="Q5835" t="n">
        <v>0</v>
      </c>
      <c r="R5835" t="n">
        <v>0</v>
      </c>
      <c r="S5835" t="n">
        <v>0</v>
      </c>
      <c r="T5835" t="n">
        <v>0</v>
      </c>
      <c r="U5835" t="n">
        <v>0</v>
      </c>
      <c r="V5835" s="2" t="inlineStr"/>
    </row>
    <row r="5836" ht="15" customHeight="1">
      <c r="A5836" t="inlineStr">
        <is>
          <t>A 36435-2026</t>
        </is>
      </c>
      <c r="B5836" t="inlineStr">
        <is>
          <t>avverkningsanmälan</t>
        </is>
      </c>
      <c r="C5836" t="inlineStr">
        <is>
          <t>Föryngringsavverkning</t>
        </is>
      </c>
      <c r="D5836" s="1" t="n">
        <v>46269</v>
      </c>
      <c r="E5836" s="1" t="n">
        <v>46323</v>
      </c>
      <c r="F5836" t="inlineStr">
        <is>
          <t>KALMAR LÄN</t>
        </is>
      </c>
      <c r="G5836" t="inlineStr">
        <is>
          <t>HULTSFRED</t>
        </is>
      </c>
      <c r="I5836" t="n">
        <v>1.1</v>
      </c>
      <c r="J5836" t="n">
        <v>0</v>
      </c>
      <c r="K5836" t="n">
        <v>0</v>
      </c>
      <c r="L5836" t="n">
        <v>0</v>
      </c>
      <c r="M5836" t="n">
        <v>0</v>
      </c>
      <c r="N5836" t="n">
        <v>0</v>
      </c>
      <c r="O5836" t="n">
        <v>0</v>
      </c>
      <c r="P5836" t="n">
        <v>0</v>
      </c>
      <c r="Q5836" t="n">
        <v>0</v>
      </c>
      <c r="R5836" t="n">
        <v>0</v>
      </c>
      <c r="S5836" t="n">
        <v>0</v>
      </c>
      <c r="T5836" t="n">
        <v>0</v>
      </c>
      <c r="U5836" t="n">
        <v>0</v>
      </c>
      <c r="V5836" s="2" t="inlineStr"/>
      <c r="Z5836">
        <f>HYPERLINK("https://klasma.github.io/Logging_0860/knärot/A 36435-2026 karta knärot.png", "A 36435-2026")</f>
        <v/>
      </c>
      <c r="AA5836">
        <f>HYPERLINK("https://klasma.github.io/Logging_0860/klagomål/A 36435-2026 FSC-klagomål.docx", "A 36435-2026")</f>
        <v/>
      </c>
      <c r="AB5836">
        <f>HYPERLINK("https://klasma.github.io/Logging_0860/klagomålsmail/A 36435-2026 FSC-klagomål mail.docx", "A 36435-2026")</f>
        <v/>
      </c>
      <c r="AC5836">
        <f>HYPERLINK("https://klasma.github.io/Logging_0860/tillsyn/A 36435-2026 tillsynsbegäran.docx", "A 36435-2026")</f>
        <v/>
      </c>
      <c r="AD5836">
        <f>HYPERLINK("https://klasma.github.io/Logging_0860/tillsynsmail/A 36435-2026 tillsynsbegäran mail.docx", "A 36435-2026")</f>
        <v/>
      </c>
    </row>
    <row r="5837" ht="15" customHeight="1">
      <c r="A5837" t="inlineStr">
        <is>
          <t>A 20714-2023</t>
        </is>
      </c>
      <c r="B5837" t="inlineStr">
        <is>
          <t>avverkningsanmälan</t>
        </is>
      </c>
      <c r="C5837" t="inlineStr">
        <is>
          <t>Föryngringsavverkning</t>
        </is>
      </c>
      <c r="D5837" s="1" t="n">
        <v>45058</v>
      </c>
      <c r="E5837" s="1" t="n">
        <v>46323</v>
      </c>
      <c r="F5837" t="inlineStr">
        <is>
          <t>KALMAR LÄN</t>
        </is>
      </c>
      <c r="G5837" t="inlineStr">
        <is>
          <t>TORSÅS</t>
        </is>
      </c>
      <c r="I5837" t="n">
        <v>0.6</v>
      </c>
      <c r="J5837" t="n">
        <v>0</v>
      </c>
      <c r="K5837" t="n">
        <v>0</v>
      </c>
      <c r="L5837" t="n">
        <v>0</v>
      </c>
      <c r="M5837" t="n">
        <v>0</v>
      </c>
      <c r="N5837" t="n">
        <v>0</v>
      </c>
      <c r="O5837" t="n">
        <v>0</v>
      </c>
      <c r="P5837" t="n">
        <v>0</v>
      </c>
      <c r="Q5837" t="n">
        <v>0</v>
      </c>
      <c r="R5837" t="n">
        <v>0</v>
      </c>
      <c r="S5837" t="n">
        <v>0</v>
      </c>
      <c r="T5837" t="n">
        <v>0</v>
      </c>
      <c r="U5837" t="n">
        <v>0</v>
      </c>
      <c r="V5837" s="2" t="inlineStr"/>
    </row>
    <row r="5838" ht="15" customHeight="1">
      <c r="A5838" t="inlineStr">
        <is>
          <t>A 2150-2024</t>
        </is>
      </c>
      <c r="B5838" t="inlineStr">
        <is>
          <t>avverkningsanmälan</t>
        </is>
      </c>
      <c r="C5838" t="inlineStr">
        <is>
          <t>Föryngringsavverkning</t>
        </is>
      </c>
      <c r="D5838" s="1" t="n">
        <v>45309</v>
      </c>
      <c r="E5838" s="1" t="n">
        <v>46323</v>
      </c>
      <c r="F5838" t="inlineStr">
        <is>
          <t>KALMAR LÄN</t>
        </is>
      </c>
      <c r="G5838" t="inlineStr">
        <is>
          <t>TORSÅS</t>
        </is>
      </c>
      <c r="I5838" t="n">
        <v>3.8</v>
      </c>
      <c r="J5838" t="n">
        <v>0</v>
      </c>
      <c r="K5838" t="n">
        <v>0</v>
      </c>
      <c r="L5838" t="n">
        <v>0</v>
      </c>
      <c r="M5838" t="n">
        <v>0</v>
      </c>
      <c r="N5838" t="n">
        <v>0</v>
      </c>
      <c r="O5838" t="n">
        <v>0</v>
      </c>
      <c r="P5838" t="n">
        <v>0</v>
      </c>
      <c r="Q5838" t="n">
        <v>0</v>
      </c>
      <c r="R5838" t="n">
        <v>0</v>
      </c>
      <c r="S5838" t="n">
        <v>0</v>
      </c>
      <c r="T5838" t="n">
        <v>0</v>
      </c>
      <c r="U5838" t="n">
        <v>0</v>
      </c>
      <c r="V5838" s="2" t="inlineStr"/>
    </row>
    <row r="5839" ht="15" customHeight="1">
      <c r="A5839" t="inlineStr">
        <is>
          <t>A 36259-2022</t>
        </is>
      </c>
      <c r="B5839" t="inlineStr">
        <is>
          <t>avverkningsanmälan</t>
        </is>
      </c>
      <c r="C5839" t="inlineStr">
        <is>
          <t>Föryngringsavverkning</t>
        </is>
      </c>
      <c r="D5839" s="1" t="n">
        <v>44803</v>
      </c>
      <c r="E5839" s="1" t="n">
        <v>46323</v>
      </c>
      <c r="F5839" t="inlineStr">
        <is>
          <t>KALMAR LÄN</t>
        </is>
      </c>
      <c r="G5839" t="inlineStr">
        <is>
          <t>VIMMERBY</t>
        </is>
      </c>
      <c r="I5839" t="n">
        <v>3.9</v>
      </c>
      <c r="J5839" t="n">
        <v>0</v>
      </c>
      <c r="K5839" t="n">
        <v>0</v>
      </c>
      <c r="L5839" t="n">
        <v>0</v>
      </c>
      <c r="M5839" t="n">
        <v>0</v>
      </c>
      <c r="N5839" t="n">
        <v>0</v>
      </c>
      <c r="O5839" t="n">
        <v>0</v>
      </c>
      <c r="P5839" t="n">
        <v>0</v>
      </c>
      <c r="Q5839" t="n">
        <v>0</v>
      </c>
      <c r="R5839" t="n">
        <v>0</v>
      </c>
      <c r="S5839" t="n">
        <v>0</v>
      </c>
      <c r="T5839" t="n">
        <v>0</v>
      </c>
      <c r="U5839" t="n">
        <v>0</v>
      </c>
      <c r="V5839" s="2" t="inlineStr"/>
    </row>
    <row r="5840" ht="15" customHeight="1">
      <c r="A5840" t="inlineStr">
        <is>
          <t>A 43036-2026</t>
        </is>
      </c>
      <c r="B5840" t="inlineStr">
        <is>
          <t>avverkningsanmälan</t>
        </is>
      </c>
      <c r="C5840" t="inlineStr">
        <is>
          <t>Föryngringsavverkning</t>
        </is>
      </c>
      <c r="D5840" s="1" t="n">
        <v>46311</v>
      </c>
      <c r="E5840" s="1" t="n">
        <v>46323</v>
      </c>
      <c r="F5840" t="inlineStr">
        <is>
          <t>KALMAR LÄN</t>
        </is>
      </c>
      <c r="G5840" t="inlineStr">
        <is>
          <t>HÖGSBY</t>
        </is>
      </c>
      <c r="I5840" t="n">
        <v>5.1</v>
      </c>
      <c r="J5840" t="n">
        <v>0</v>
      </c>
      <c r="K5840" t="n">
        <v>0</v>
      </c>
      <c r="L5840" t="n">
        <v>0</v>
      </c>
      <c r="M5840" t="n">
        <v>0</v>
      </c>
      <c r="N5840" t="n">
        <v>0</v>
      </c>
      <c r="O5840" t="n">
        <v>0</v>
      </c>
      <c r="P5840" t="n">
        <v>0</v>
      </c>
      <c r="Q5840" t="n">
        <v>0</v>
      </c>
      <c r="R5840" t="n">
        <v>0</v>
      </c>
      <c r="S5840" t="n">
        <v>0</v>
      </c>
      <c r="T5840" t="n">
        <v>0</v>
      </c>
      <c r="U5840" t="n">
        <v>0</v>
      </c>
      <c r="V5840" s="2" t="inlineStr"/>
    </row>
    <row r="5841" ht="15" customHeight="1">
      <c r="A5841" t="inlineStr">
        <is>
          <t>A 11614-2025</t>
        </is>
      </c>
      <c r="B5841" t="inlineStr">
        <is>
          <t>avverkningsanmälan</t>
        </is>
      </c>
      <c r="C5841" t="inlineStr">
        <is>
          <t>Föryngringsavverkning</t>
        </is>
      </c>
      <c r="D5841" s="1" t="n">
        <v>45727</v>
      </c>
      <c r="E5841" s="1" t="n">
        <v>46323</v>
      </c>
      <c r="F5841" t="inlineStr">
        <is>
          <t>KALMAR LÄN</t>
        </is>
      </c>
      <c r="G5841" t="inlineStr">
        <is>
          <t>KALMAR</t>
        </is>
      </c>
      <c r="I5841" t="n">
        <v>9.300000000000001</v>
      </c>
      <c r="J5841" t="n">
        <v>0</v>
      </c>
      <c r="K5841" t="n">
        <v>0</v>
      </c>
      <c r="L5841" t="n">
        <v>0</v>
      </c>
      <c r="M5841" t="n">
        <v>0</v>
      </c>
      <c r="N5841" t="n">
        <v>0</v>
      </c>
      <c r="O5841" t="n">
        <v>0</v>
      </c>
      <c r="P5841" t="n">
        <v>0</v>
      </c>
      <c r="Q5841" t="n">
        <v>0</v>
      </c>
      <c r="R5841" t="n">
        <v>0</v>
      </c>
      <c r="S5841" t="n">
        <v>0</v>
      </c>
      <c r="T5841" t="n">
        <v>0</v>
      </c>
      <c r="U5841" t="n">
        <v>0</v>
      </c>
      <c r="V5841" s="2" t="inlineStr"/>
    </row>
    <row r="5842" ht="15" customHeight="1">
      <c r="A5842" t="inlineStr">
        <is>
          <t>A 12652-2022</t>
        </is>
      </c>
      <c r="B5842" t="inlineStr">
        <is>
          <t>avverkningsanmälan</t>
        </is>
      </c>
      <c r="C5842" t="inlineStr">
        <is>
          <t>Föryngringsavverkning</t>
        </is>
      </c>
      <c r="D5842" s="1" t="n">
        <v>44641</v>
      </c>
      <c r="E5842" s="1" t="n">
        <v>46323</v>
      </c>
      <c r="F5842" t="inlineStr">
        <is>
          <t>KALMAR LÄN</t>
        </is>
      </c>
      <c r="G5842" t="inlineStr">
        <is>
          <t>VÄSTERVIK</t>
        </is>
      </c>
      <c r="H5842" t="inlineStr">
        <is>
          <t>Holmen skog AB</t>
        </is>
      </c>
      <c r="I5842" t="n">
        <v>1.1</v>
      </c>
      <c r="J5842" t="n">
        <v>0</v>
      </c>
      <c r="K5842" t="n">
        <v>0</v>
      </c>
      <c r="L5842" t="n">
        <v>0</v>
      </c>
      <c r="M5842" t="n">
        <v>0</v>
      </c>
      <c r="N5842" t="n">
        <v>0</v>
      </c>
      <c r="O5842" t="n">
        <v>0</v>
      </c>
      <c r="P5842" t="n">
        <v>0</v>
      </c>
      <c r="Q5842" t="n">
        <v>0</v>
      </c>
      <c r="R5842" t="n">
        <v>0</v>
      </c>
      <c r="S5842" t="n">
        <v>0</v>
      </c>
      <c r="T5842" t="n">
        <v>0</v>
      </c>
      <c r="U5842" t="n">
        <v>0</v>
      </c>
      <c r="V5842" s="2" t="inlineStr"/>
    </row>
    <row r="5843" ht="15" customHeight="1">
      <c r="A5843" t="inlineStr">
        <is>
          <t>A 4946-2024</t>
        </is>
      </c>
      <c r="B5843" t="inlineStr">
        <is>
          <t>avverkningsanmälan</t>
        </is>
      </c>
      <c r="C5843" t="inlineStr">
        <is>
          <t>Föryngringsavverkning</t>
        </is>
      </c>
      <c r="D5843" s="1" t="n">
        <v>45329</v>
      </c>
      <c r="E5843" s="1" t="n">
        <v>46323</v>
      </c>
      <c r="F5843" t="inlineStr">
        <is>
          <t>KALMAR LÄN</t>
        </is>
      </c>
      <c r="G5843" t="inlineStr">
        <is>
          <t>MÖNSTERÅS</t>
        </is>
      </c>
      <c r="I5843" t="n">
        <v>3.4</v>
      </c>
      <c r="J5843" t="n">
        <v>0</v>
      </c>
      <c r="K5843" t="n">
        <v>0</v>
      </c>
      <c r="L5843" t="n">
        <v>0</v>
      </c>
      <c r="M5843" t="n">
        <v>0</v>
      </c>
      <c r="N5843" t="n">
        <v>0</v>
      </c>
      <c r="O5843" t="n">
        <v>0</v>
      </c>
      <c r="P5843" t="n">
        <v>0</v>
      </c>
      <c r="Q5843" t="n">
        <v>0</v>
      </c>
      <c r="R5843" t="n">
        <v>0</v>
      </c>
      <c r="S5843" t="n">
        <v>0</v>
      </c>
      <c r="T5843" t="n">
        <v>0</v>
      </c>
      <c r="U5843" t="n">
        <v>0</v>
      </c>
      <c r="V5843" s="2" t="inlineStr"/>
    </row>
    <row r="5844" ht="15" customHeight="1">
      <c r="A5844" t="inlineStr">
        <is>
          <t>A 29420-2024</t>
        </is>
      </c>
      <c r="B5844" t="inlineStr">
        <is>
          <t>avverkningsanmälan</t>
        </is>
      </c>
      <c r="C5844" t="inlineStr">
        <is>
          <t>Föryngringsavverkning</t>
        </is>
      </c>
      <c r="D5844" s="1" t="n">
        <v>45483</v>
      </c>
      <c r="E5844" s="1" t="n">
        <v>46323</v>
      </c>
      <c r="F5844" t="inlineStr">
        <is>
          <t>KALMAR LÄN</t>
        </is>
      </c>
      <c r="G5844" t="inlineStr">
        <is>
          <t>VÄSTERVIK</t>
        </is>
      </c>
      <c r="I5844" t="n">
        <v>1.3</v>
      </c>
      <c r="J5844" t="n">
        <v>0</v>
      </c>
      <c r="K5844" t="n">
        <v>0</v>
      </c>
      <c r="L5844" t="n">
        <v>0</v>
      </c>
      <c r="M5844" t="n">
        <v>0</v>
      </c>
      <c r="N5844" t="n">
        <v>0</v>
      </c>
      <c r="O5844" t="n">
        <v>0</v>
      </c>
      <c r="P5844" t="n">
        <v>0</v>
      </c>
      <c r="Q5844" t="n">
        <v>0</v>
      </c>
      <c r="R5844" t="n">
        <v>0</v>
      </c>
      <c r="S5844" t="n">
        <v>0</v>
      </c>
      <c r="T5844" t="n">
        <v>0</v>
      </c>
      <c r="U5844" t="n">
        <v>0</v>
      </c>
      <c r="V5844" s="2" t="inlineStr"/>
    </row>
    <row r="5845" ht="15" customHeight="1">
      <c r="A5845" t="inlineStr">
        <is>
          <t>A 36526-2023</t>
        </is>
      </c>
      <c r="B5845" t="inlineStr">
        <is>
          <t>avverkningsanmälan</t>
        </is>
      </c>
      <c r="C5845" t="inlineStr">
        <is>
          <t>Föryngringsavverkning</t>
        </is>
      </c>
      <c r="D5845" s="1" t="n">
        <v>45153</v>
      </c>
      <c r="E5845" s="1" t="n">
        <v>46323</v>
      </c>
      <c r="F5845" t="inlineStr">
        <is>
          <t>KALMAR LÄN</t>
        </is>
      </c>
      <c r="G5845" t="inlineStr">
        <is>
          <t>VIMMERBY</t>
        </is>
      </c>
      <c r="I5845" t="n">
        <v>2.7</v>
      </c>
      <c r="J5845" t="n">
        <v>0</v>
      </c>
      <c r="K5845" t="n">
        <v>0</v>
      </c>
      <c r="L5845" t="n">
        <v>0</v>
      </c>
      <c r="M5845" t="n">
        <v>0</v>
      </c>
      <c r="N5845" t="n">
        <v>0</v>
      </c>
      <c r="O5845" t="n">
        <v>0</v>
      </c>
      <c r="P5845" t="n">
        <v>0</v>
      </c>
      <c r="Q5845" t="n">
        <v>0</v>
      </c>
      <c r="R5845" t="n">
        <v>0</v>
      </c>
      <c r="S5845" t="n">
        <v>0</v>
      </c>
      <c r="T5845" t="n">
        <v>0</v>
      </c>
      <c r="U5845" t="n">
        <v>0</v>
      </c>
      <c r="V5845" s="2" t="inlineStr"/>
    </row>
    <row r="5846" ht="15" customHeight="1">
      <c r="A5846" t="inlineStr">
        <is>
          <t>A 30225-2025</t>
        </is>
      </c>
      <c r="B5846" t="inlineStr">
        <is>
          <t>avverkningsanmälan</t>
        </is>
      </c>
      <c r="C5846" t="inlineStr">
        <is>
          <t>Föryngringsavverkning</t>
        </is>
      </c>
      <c r="D5846" s="1" t="n">
        <v>45827</v>
      </c>
      <c r="E5846" s="1" t="n">
        <v>46323</v>
      </c>
      <c r="F5846" t="inlineStr">
        <is>
          <t>KALMAR LÄN</t>
        </is>
      </c>
      <c r="G5846" t="inlineStr">
        <is>
          <t>TORSÅS</t>
        </is>
      </c>
      <c r="I5846" t="n">
        <v>2.9</v>
      </c>
      <c r="J5846" t="n">
        <v>0</v>
      </c>
      <c r="K5846" t="n">
        <v>0</v>
      </c>
      <c r="L5846" t="n">
        <v>0</v>
      </c>
      <c r="M5846" t="n">
        <v>0</v>
      </c>
      <c r="N5846" t="n">
        <v>0</v>
      </c>
      <c r="O5846" t="n">
        <v>0</v>
      </c>
      <c r="P5846" t="n">
        <v>0</v>
      </c>
      <c r="Q5846" t="n">
        <v>0</v>
      </c>
      <c r="R5846" t="n">
        <v>0</v>
      </c>
      <c r="S5846" t="n">
        <v>0</v>
      </c>
      <c r="T5846" t="n">
        <v>0</v>
      </c>
      <c r="U5846" t="n">
        <v>0</v>
      </c>
      <c r="V5846" s="2" t="inlineStr"/>
    </row>
    <row r="5847" ht="15" customHeight="1">
      <c r="A5847" t="inlineStr">
        <is>
          <t>A 21285-2026</t>
        </is>
      </c>
      <c r="B5847" t="inlineStr">
        <is>
          <t>avverkningsanmälan</t>
        </is>
      </c>
      <c r="C5847" t="inlineStr">
        <is>
          <t>Föryngringsavverkning</t>
        </is>
      </c>
      <c r="D5847" s="1" t="n">
        <v>46147</v>
      </c>
      <c r="E5847" s="1" t="n">
        <v>46323</v>
      </c>
      <c r="F5847" t="inlineStr">
        <is>
          <t>KALMAR LÄN</t>
        </is>
      </c>
      <c r="G5847" t="inlineStr">
        <is>
          <t>OSKARSHAMN</t>
        </is>
      </c>
      <c r="I5847" t="n">
        <v>3.9</v>
      </c>
      <c r="J5847" t="n">
        <v>0</v>
      </c>
      <c r="K5847" t="n">
        <v>0</v>
      </c>
      <c r="L5847" t="n">
        <v>0</v>
      </c>
      <c r="M5847" t="n">
        <v>0</v>
      </c>
      <c r="N5847" t="n">
        <v>0</v>
      </c>
      <c r="O5847" t="n">
        <v>0</v>
      </c>
      <c r="P5847" t="n">
        <v>0</v>
      </c>
      <c r="Q5847" t="n">
        <v>0</v>
      </c>
      <c r="R5847" t="n">
        <v>0</v>
      </c>
      <c r="S5847" t="n">
        <v>0</v>
      </c>
      <c r="T5847" t="n">
        <v>0</v>
      </c>
      <c r="U5847" t="n">
        <v>0</v>
      </c>
      <c r="V5847" s="2" t="inlineStr"/>
    </row>
    <row r="5848" ht="15" customHeight="1">
      <c r="A5848" t="inlineStr">
        <is>
          <t>A 19551-2026</t>
        </is>
      </c>
      <c r="B5848" t="inlineStr">
        <is>
          <t>avverkningsanmälan</t>
        </is>
      </c>
      <c r="C5848" t="inlineStr">
        <is>
          <t>Avverkning för att bevara och utveckla /försöksver</t>
        </is>
      </c>
      <c r="D5848" s="1" t="n">
        <v>46134</v>
      </c>
      <c r="E5848" s="1" t="n">
        <v>46323</v>
      </c>
      <c r="F5848" t="inlineStr">
        <is>
          <t>KALMAR LÄN</t>
        </is>
      </c>
      <c r="G5848" t="inlineStr">
        <is>
          <t>EMMABODA</t>
        </is>
      </c>
      <c r="I5848" t="n">
        <v>2</v>
      </c>
      <c r="J5848" t="n">
        <v>0</v>
      </c>
      <c r="K5848" t="n">
        <v>0</v>
      </c>
      <c r="L5848" t="n">
        <v>0</v>
      </c>
      <c r="M5848" t="n">
        <v>0</v>
      </c>
      <c r="N5848" t="n">
        <v>0</v>
      </c>
      <c r="O5848" t="n">
        <v>0</v>
      </c>
      <c r="P5848" t="n">
        <v>0</v>
      </c>
      <c r="Q5848" t="n">
        <v>0</v>
      </c>
      <c r="R5848" t="n">
        <v>0</v>
      </c>
      <c r="S5848" t="n">
        <v>0</v>
      </c>
      <c r="T5848" t="n">
        <v>0</v>
      </c>
      <c r="U5848" t="n">
        <v>0</v>
      </c>
      <c r="V5848" s="2" t="inlineStr"/>
    </row>
    <row r="5849" ht="15" customHeight="1">
      <c r="A5849" t="inlineStr">
        <is>
          <t>A 3853-2026</t>
        </is>
      </c>
      <c r="B5849" t="inlineStr">
        <is>
          <t>avverkningsanmälan</t>
        </is>
      </c>
      <c r="C5849" t="inlineStr">
        <is>
          <t>Föryngringsavverkning</t>
        </is>
      </c>
      <c r="D5849" s="1" t="n">
        <v>46043</v>
      </c>
      <c r="E5849" s="1" t="n">
        <v>46323</v>
      </c>
      <c r="F5849" t="inlineStr">
        <is>
          <t>KALMAR LÄN</t>
        </is>
      </c>
      <c r="G5849" t="inlineStr">
        <is>
          <t>MÖNSTERÅS</t>
        </is>
      </c>
      <c r="I5849" t="n">
        <v>1.8</v>
      </c>
      <c r="J5849" t="n">
        <v>0</v>
      </c>
      <c r="K5849" t="n">
        <v>0</v>
      </c>
      <c r="L5849" t="n">
        <v>0</v>
      </c>
      <c r="M5849" t="n">
        <v>0</v>
      </c>
      <c r="N5849" t="n">
        <v>0</v>
      </c>
      <c r="O5849" t="n">
        <v>0</v>
      </c>
      <c r="P5849" t="n">
        <v>0</v>
      </c>
      <c r="Q5849" t="n">
        <v>0</v>
      </c>
      <c r="R5849" t="n">
        <v>0</v>
      </c>
      <c r="S5849" t="n">
        <v>0</v>
      </c>
      <c r="T5849" t="n">
        <v>0</v>
      </c>
      <c r="U5849" t="n">
        <v>0</v>
      </c>
      <c r="V5849" s="2" t="inlineStr"/>
    </row>
    <row r="5850" ht="15" customHeight="1">
      <c r="A5850" t="inlineStr">
        <is>
          <t>A 38623-2023</t>
        </is>
      </c>
      <c r="B5850" t="inlineStr">
        <is>
          <t>avverkningsanmälan</t>
        </is>
      </c>
      <c r="C5850" t="inlineStr">
        <is>
          <t>Föryngringsavverkning</t>
        </is>
      </c>
      <c r="D5850" s="1" t="n">
        <v>45162</v>
      </c>
      <c r="E5850" s="1" t="n">
        <v>46323</v>
      </c>
      <c r="F5850" t="inlineStr">
        <is>
          <t>KALMAR LÄN</t>
        </is>
      </c>
      <c r="G5850" t="inlineStr">
        <is>
          <t>NYBRO</t>
        </is>
      </c>
      <c r="I5850" t="n">
        <v>0.9</v>
      </c>
      <c r="J5850" t="n">
        <v>0</v>
      </c>
      <c r="K5850" t="n">
        <v>0</v>
      </c>
      <c r="L5850" t="n">
        <v>0</v>
      </c>
      <c r="M5850" t="n">
        <v>0</v>
      </c>
      <c r="N5850" t="n">
        <v>0</v>
      </c>
      <c r="O5850" t="n">
        <v>0</v>
      </c>
      <c r="P5850" t="n">
        <v>0</v>
      </c>
      <c r="Q5850" t="n">
        <v>0</v>
      </c>
      <c r="R5850" t="n">
        <v>0</v>
      </c>
      <c r="S5850" t="n">
        <v>0</v>
      </c>
      <c r="T5850" t="n">
        <v>0</v>
      </c>
      <c r="U5850" t="n">
        <v>0</v>
      </c>
      <c r="V5850" s="2" t="inlineStr"/>
    </row>
    <row r="5851" ht="15" customHeight="1">
      <c r="A5851" t="inlineStr">
        <is>
          <t>A 30242-2025</t>
        </is>
      </c>
      <c r="B5851" t="inlineStr">
        <is>
          <t>avverkningsanmälan</t>
        </is>
      </c>
      <c r="C5851" t="inlineStr">
        <is>
          <t>Föryngringsavverkning</t>
        </is>
      </c>
      <c r="D5851" s="1" t="n">
        <v>45827</v>
      </c>
      <c r="E5851" s="1" t="n">
        <v>46323</v>
      </c>
      <c r="F5851" t="inlineStr">
        <is>
          <t>KALMAR LÄN</t>
        </is>
      </c>
      <c r="G5851" t="inlineStr">
        <is>
          <t>HULTSFRED</t>
        </is>
      </c>
      <c r="I5851" t="n">
        <v>0.7</v>
      </c>
      <c r="J5851" t="n">
        <v>0</v>
      </c>
      <c r="K5851" t="n">
        <v>0</v>
      </c>
      <c r="L5851" t="n">
        <v>0</v>
      </c>
      <c r="M5851" t="n">
        <v>0</v>
      </c>
      <c r="N5851" t="n">
        <v>0</v>
      </c>
      <c r="O5851" t="n">
        <v>0</v>
      </c>
      <c r="P5851" t="n">
        <v>0</v>
      </c>
      <c r="Q5851" t="n">
        <v>0</v>
      </c>
      <c r="R5851" t="n">
        <v>0</v>
      </c>
      <c r="S5851" t="n">
        <v>0</v>
      </c>
      <c r="T5851" t="n">
        <v>0</v>
      </c>
      <c r="U5851" t="n">
        <v>0</v>
      </c>
      <c r="V5851" s="2" t="inlineStr"/>
    </row>
    <row r="5852" ht="15" customHeight="1">
      <c r="A5852" t="inlineStr">
        <is>
          <t>A 24258-2022</t>
        </is>
      </c>
      <c r="B5852" t="inlineStr">
        <is>
          <t>avverkningsanmälan</t>
        </is>
      </c>
      <c r="C5852" t="inlineStr">
        <is>
          <t>Föryngringsavverkning</t>
        </is>
      </c>
      <c r="D5852" s="1" t="n">
        <v>44725</v>
      </c>
      <c r="E5852" s="1" t="n">
        <v>46323</v>
      </c>
      <c r="F5852" t="inlineStr">
        <is>
          <t>KALMAR LÄN</t>
        </is>
      </c>
      <c r="G5852" t="inlineStr">
        <is>
          <t>HULTSFRED</t>
        </is>
      </c>
      <c r="I5852" t="n">
        <v>1</v>
      </c>
      <c r="J5852" t="n">
        <v>0</v>
      </c>
      <c r="K5852" t="n">
        <v>0</v>
      </c>
      <c r="L5852" t="n">
        <v>0</v>
      </c>
      <c r="M5852" t="n">
        <v>0</v>
      </c>
      <c r="N5852" t="n">
        <v>0</v>
      </c>
      <c r="O5852" t="n">
        <v>0</v>
      </c>
      <c r="P5852" t="n">
        <v>0</v>
      </c>
      <c r="Q5852" t="n">
        <v>0</v>
      </c>
      <c r="R5852" t="n">
        <v>0</v>
      </c>
      <c r="S5852" t="n">
        <v>0</v>
      </c>
      <c r="T5852" t="n">
        <v>0</v>
      </c>
      <c r="U5852" t="n">
        <v>0</v>
      </c>
      <c r="V5852" s="2" t="inlineStr"/>
    </row>
    <row r="5853" ht="15" customHeight="1">
      <c r="A5853" t="inlineStr">
        <is>
          <t>A 50414-2024</t>
        </is>
      </c>
      <c r="B5853" t="inlineStr">
        <is>
          <t>avverkningsanmälan</t>
        </is>
      </c>
      <c r="C5853" t="inlineStr">
        <is>
          <t>Föryngringsavverkning</t>
        </is>
      </c>
      <c r="D5853" s="1" t="n">
        <v>45600</v>
      </c>
      <c r="E5853" s="1" t="n">
        <v>46323</v>
      </c>
      <c r="F5853" t="inlineStr">
        <is>
          <t>KALMAR LÄN</t>
        </is>
      </c>
      <c r="G5853" t="inlineStr">
        <is>
          <t>HÖGSBY</t>
        </is>
      </c>
      <c r="I5853" t="n">
        <v>4.5</v>
      </c>
      <c r="J5853" t="n">
        <v>0</v>
      </c>
      <c r="K5853" t="n">
        <v>0</v>
      </c>
      <c r="L5853" t="n">
        <v>0</v>
      </c>
      <c r="M5853" t="n">
        <v>0</v>
      </c>
      <c r="N5853" t="n">
        <v>0</v>
      </c>
      <c r="O5853" t="n">
        <v>0</v>
      </c>
      <c r="P5853" t="n">
        <v>0</v>
      </c>
      <c r="Q5853" t="n">
        <v>0</v>
      </c>
      <c r="R5853" t="n">
        <v>0</v>
      </c>
      <c r="S5853" t="n">
        <v>0</v>
      </c>
      <c r="T5853" t="n">
        <v>0</v>
      </c>
      <c r="U5853" t="n">
        <v>0</v>
      </c>
      <c r="V5853" s="2" t="inlineStr"/>
    </row>
    <row r="5854" ht="15" customHeight="1">
      <c r="A5854" t="inlineStr">
        <is>
          <t>A 36794-2026</t>
        </is>
      </c>
      <c r="B5854" t="inlineStr">
        <is>
          <t>avverkningsanmälan</t>
        </is>
      </c>
      <c r="C5854" t="inlineStr">
        <is>
          <t>Föryngringsavverkning</t>
        </is>
      </c>
      <c r="D5854" s="1" t="n">
        <v>46272</v>
      </c>
      <c r="E5854" s="1" t="n">
        <v>46323</v>
      </c>
      <c r="F5854" t="inlineStr">
        <is>
          <t>KALMAR LÄN</t>
        </is>
      </c>
      <c r="G5854" t="inlineStr">
        <is>
          <t>KALMAR</t>
        </is>
      </c>
      <c r="I5854" t="n">
        <v>0.6</v>
      </c>
      <c r="J5854" t="n">
        <v>0</v>
      </c>
      <c r="K5854" t="n">
        <v>0</v>
      </c>
      <c r="L5854" t="n">
        <v>0</v>
      </c>
      <c r="M5854" t="n">
        <v>0</v>
      </c>
      <c r="N5854" t="n">
        <v>0</v>
      </c>
      <c r="O5854" t="n">
        <v>0</v>
      </c>
      <c r="P5854" t="n">
        <v>0</v>
      </c>
      <c r="Q5854" t="n">
        <v>0</v>
      </c>
      <c r="R5854" t="n">
        <v>0</v>
      </c>
      <c r="S5854" t="n">
        <v>0</v>
      </c>
      <c r="T5854" t="n">
        <v>0</v>
      </c>
      <c r="U5854" t="n">
        <v>0</v>
      </c>
      <c r="V5854" s="2" t="inlineStr"/>
    </row>
    <row r="5855" ht="15" customHeight="1">
      <c r="A5855" t="inlineStr">
        <is>
          <t>A 24716-2022</t>
        </is>
      </c>
      <c r="B5855" t="inlineStr">
        <is>
          <t>avverkningsanmälan</t>
        </is>
      </c>
      <c r="C5855" t="inlineStr">
        <is>
          <t>Föryngringsavverkning</t>
        </is>
      </c>
      <c r="D5855" s="1" t="n">
        <v>44727</v>
      </c>
      <c r="E5855" s="1" t="n">
        <v>46323</v>
      </c>
      <c r="F5855" t="inlineStr">
        <is>
          <t>KALMAR LÄN</t>
        </is>
      </c>
      <c r="G5855" t="inlineStr">
        <is>
          <t>MÖNSTERÅS</t>
        </is>
      </c>
      <c r="I5855" t="n">
        <v>1.1</v>
      </c>
      <c r="J5855" t="n">
        <v>0</v>
      </c>
      <c r="K5855" t="n">
        <v>0</v>
      </c>
      <c r="L5855" t="n">
        <v>0</v>
      </c>
      <c r="M5855" t="n">
        <v>0</v>
      </c>
      <c r="N5855" t="n">
        <v>0</v>
      </c>
      <c r="O5855" t="n">
        <v>0</v>
      </c>
      <c r="P5855" t="n">
        <v>0</v>
      </c>
      <c r="Q5855" t="n">
        <v>0</v>
      </c>
      <c r="R5855" t="n">
        <v>0</v>
      </c>
      <c r="S5855" t="n">
        <v>0</v>
      </c>
      <c r="T5855" t="n">
        <v>0</v>
      </c>
      <c r="U5855" t="n">
        <v>0</v>
      </c>
      <c r="V5855" s="2" t="inlineStr"/>
    </row>
    <row r="5856" ht="15" customHeight="1">
      <c r="A5856" t="inlineStr">
        <is>
          <t>A 39100-2023</t>
        </is>
      </c>
      <c r="B5856" t="inlineStr">
        <is>
          <t>avverkningsanmälan</t>
        </is>
      </c>
      <c r="C5856" t="inlineStr">
        <is>
          <t>Föryngringsavverkning</t>
        </is>
      </c>
      <c r="D5856" s="1" t="n">
        <v>45164</v>
      </c>
      <c r="E5856" s="1" t="n">
        <v>46323</v>
      </c>
      <c r="F5856" t="inlineStr">
        <is>
          <t>KALMAR LÄN</t>
        </is>
      </c>
      <c r="G5856" t="inlineStr">
        <is>
          <t>EMMABODA</t>
        </is>
      </c>
      <c r="I5856" t="n">
        <v>5.2</v>
      </c>
      <c r="J5856" t="n">
        <v>0</v>
      </c>
      <c r="K5856" t="n">
        <v>0</v>
      </c>
      <c r="L5856" t="n">
        <v>0</v>
      </c>
      <c r="M5856" t="n">
        <v>0</v>
      </c>
      <c r="N5856" t="n">
        <v>0</v>
      </c>
      <c r="O5856" t="n">
        <v>0</v>
      </c>
      <c r="P5856" t="n">
        <v>0</v>
      </c>
      <c r="Q5856" t="n">
        <v>0</v>
      </c>
      <c r="R5856" t="n">
        <v>0</v>
      </c>
      <c r="S5856" t="n">
        <v>0</v>
      </c>
      <c r="T5856" t="n">
        <v>0</v>
      </c>
      <c r="U5856" t="n">
        <v>0</v>
      </c>
      <c r="V5856" s="2" t="inlineStr"/>
    </row>
    <row r="5857" ht="15" customHeight="1">
      <c r="A5857" t="inlineStr">
        <is>
          <t>A 37277-2026</t>
        </is>
      </c>
      <c r="B5857" t="inlineStr">
        <is>
          <t>avverkningsanmälan</t>
        </is>
      </c>
      <c r="C5857" t="inlineStr">
        <is>
          <t>Föryngringsavverkning</t>
        </is>
      </c>
      <c r="D5857" s="1" t="n">
        <v>46274</v>
      </c>
      <c r="E5857" s="1" t="n">
        <v>46323</v>
      </c>
      <c r="F5857" t="inlineStr">
        <is>
          <t>KALMAR LÄN</t>
        </is>
      </c>
      <c r="G5857" t="inlineStr">
        <is>
          <t>NYBRO</t>
        </is>
      </c>
      <c r="I5857" t="n">
        <v>3.8</v>
      </c>
      <c r="J5857" t="n">
        <v>0</v>
      </c>
      <c r="K5857" t="n">
        <v>0</v>
      </c>
      <c r="L5857" t="n">
        <v>0</v>
      </c>
      <c r="M5857" t="n">
        <v>0</v>
      </c>
      <c r="N5857" t="n">
        <v>0</v>
      </c>
      <c r="O5857" t="n">
        <v>0</v>
      </c>
      <c r="P5857" t="n">
        <v>0</v>
      </c>
      <c r="Q5857" t="n">
        <v>0</v>
      </c>
      <c r="R5857" t="n">
        <v>0</v>
      </c>
      <c r="S5857" t="n">
        <v>0</v>
      </c>
      <c r="T5857" t="n">
        <v>0</v>
      </c>
      <c r="U5857" t="n">
        <v>0</v>
      </c>
      <c r="V5857" s="2" t="inlineStr"/>
    </row>
    <row r="5858" ht="15" customHeight="1">
      <c r="A5858" t="inlineStr">
        <is>
          <t>A 7326-2026</t>
        </is>
      </c>
      <c r="B5858" t="inlineStr">
        <is>
          <t>avverkningsanmälan</t>
        </is>
      </c>
      <c r="C5858" t="inlineStr">
        <is>
          <t>Föryngringsavverkning</t>
        </is>
      </c>
      <c r="D5858" s="1" t="n">
        <v>46058</v>
      </c>
      <c r="E5858" s="1" t="n">
        <v>46323</v>
      </c>
      <c r="F5858" t="inlineStr">
        <is>
          <t>KALMAR LÄN</t>
        </is>
      </c>
      <c r="G5858" t="inlineStr">
        <is>
          <t>NYBRO</t>
        </is>
      </c>
      <c r="I5858" t="n">
        <v>4.6</v>
      </c>
      <c r="J5858" t="n">
        <v>0</v>
      </c>
      <c r="K5858" t="n">
        <v>0</v>
      </c>
      <c r="L5858" t="n">
        <v>0</v>
      </c>
      <c r="M5858" t="n">
        <v>0</v>
      </c>
      <c r="N5858" t="n">
        <v>0</v>
      </c>
      <c r="O5858" t="n">
        <v>0</v>
      </c>
      <c r="P5858" t="n">
        <v>0</v>
      </c>
      <c r="Q5858" t="n">
        <v>0</v>
      </c>
      <c r="R5858" t="n">
        <v>0</v>
      </c>
      <c r="S5858" t="n">
        <v>0</v>
      </c>
      <c r="T5858" t="n">
        <v>0</v>
      </c>
      <c r="U5858" t="n">
        <v>0</v>
      </c>
      <c r="V5858" s="2" t="inlineStr"/>
    </row>
    <row r="5859" ht="15" customHeight="1">
      <c r="A5859" t="inlineStr">
        <is>
          <t>A 49912-2022</t>
        </is>
      </c>
      <c r="B5859" t="inlineStr">
        <is>
          <t>avverkningsanmälan</t>
        </is>
      </c>
      <c r="C5859" t="inlineStr">
        <is>
          <t>Föryngringsavverkning</t>
        </is>
      </c>
      <c r="D5859" s="1" t="n">
        <v>44865</v>
      </c>
      <c r="E5859" s="1" t="n">
        <v>46323</v>
      </c>
      <c r="F5859" t="inlineStr">
        <is>
          <t>KALMAR LÄN</t>
        </is>
      </c>
      <c r="G5859" t="inlineStr">
        <is>
          <t>NYBRO</t>
        </is>
      </c>
      <c r="I5859" t="n">
        <v>1.2</v>
      </c>
      <c r="J5859" t="n">
        <v>0</v>
      </c>
      <c r="K5859" t="n">
        <v>0</v>
      </c>
      <c r="L5859" t="n">
        <v>0</v>
      </c>
      <c r="M5859" t="n">
        <v>0</v>
      </c>
      <c r="N5859" t="n">
        <v>0</v>
      </c>
      <c r="O5859" t="n">
        <v>0</v>
      </c>
      <c r="P5859" t="n">
        <v>0</v>
      </c>
      <c r="Q5859" t="n">
        <v>0</v>
      </c>
      <c r="R5859" t="n">
        <v>0</v>
      </c>
      <c r="S5859" t="n">
        <v>0</v>
      </c>
      <c r="T5859" t="n">
        <v>0</v>
      </c>
      <c r="U5859" t="n">
        <v>0</v>
      </c>
      <c r="V5859" s="2" t="inlineStr"/>
    </row>
    <row r="5860" ht="15" customHeight="1">
      <c r="A5860" t="inlineStr">
        <is>
          <t>A 60033-2022</t>
        </is>
      </c>
      <c r="B5860" t="inlineStr">
        <is>
          <t>avverkningsanmälan</t>
        </is>
      </c>
      <c r="C5860" t="inlineStr">
        <is>
          <t>Föryngringsavverkning</t>
        </is>
      </c>
      <c r="D5860" s="1" t="n">
        <v>44909</v>
      </c>
      <c r="E5860" s="1" t="n">
        <v>46323</v>
      </c>
      <c r="F5860" t="inlineStr">
        <is>
          <t>KALMAR LÄN</t>
        </is>
      </c>
      <c r="G5860" t="inlineStr">
        <is>
          <t>NYBRO</t>
        </is>
      </c>
      <c r="I5860" t="n">
        <v>2.4</v>
      </c>
      <c r="J5860" t="n">
        <v>0</v>
      </c>
      <c r="K5860" t="n">
        <v>0</v>
      </c>
      <c r="L5860" t="n">
        <v>0</v>
      </c>
      <c r="M5860" t="n">
        <v>0</v>
      </c>
      <c r="N5860" t="n">
        <v>0</v>
      </c>
      <c r="O5860" t="n">
        <v>0</v>
      </c>
      <c r="P5860" t="n">
        <v>0</v>
      </c>
      <c r="Q5860" t="n">
        <v>0</v>
      </c>
      <c r="R5860" t="n">
        <v>0</v>
      </c>
      <c r="S5860" t="n">
        <v>0</v>
      </c>
      <c r="T5860" t="n">
        <v>0</v>
      </c>
      <c r="U5860" t="n">
        <v>0</v>
      </c>
      <c r="V5860" s="2" t="inlineStr"/>
    </row>
    <row r="5861" ht="15" customHeight="1">
      <c r="A5861" t="inlineStr">
        <is>
          <t>A 27537-2025</t>
        </is>
      </c>
      <c r="B5861" t="inlineStr">
        <is>
          <t>avverkningsanmälan</t>
        </is>
      </c>
      <c r="C5861" t="inlineStr">
        <is>
          <t>Föryngringsavverkning</t>
        </is>
      </c>
      <c r="D5861" s="1" t="n">
        <v>45813</v>
      </c>
      <c r="E5861" s="1" t="n">
        <v>46323</v>
      </c>
      <c r="F5861" t="inlineStr">
        <is>
          <t>KALMAR LÄN</t>
        </is>
      </c>
      <c r="G5861" t="inlineStr">
        <is>
          <t>HULTSFRED</t>
        </is>
      </c>
      <c r="I5861" t="n">
        <v>1.8</v>
      </c>
      <c r="J5861" t="n">
        <v>0</v>
      </c>
      <c r="K5861" t="n">
        <v>0</v>
      </c>
      <c r="L5861" t="n">
        <v>0</v>
      </c>
      <c r="M5861" t="n">
        <v>0</v>
      </c>
      <c r="N5861" t="n">
        <v>0</v>
      </c>
      <c r="O5861" t="n">
        <v>0</v>
      </c>
      <c r="P5861" t="n">
        <v>0</v>
      </c>
      <c r="Q5861" t="n">
        <v>0</v>
      </c>
      <c r="R5861" t="n">
        <v>0</v>
      </c>
      <c r="S5861" t="n">
        <v>0</v>
      </c>
      <c r="T5861" t="n">
        <v>0</v>
      </c>
      <c r="U5861" t="n">
        <v>0</v>
      </c>
      <c r="V5861" s="2" t="inlineStr"/>
    </row>
    <row r="5862" ht="15" customHeight="1">
      <c r="A5862" t="inlineStr">
        <is>
          <t>A 36638-2026</t>
        </is>
      </c>
      <c r="B5862" t="inlineStr">
        <is>
          <t>avverkningsanmälan</t>
        </is>
      </c>
      <c r="C5862" t="inlineStr">
        <is>
          <t>Föryngringsavverkning</t>
        </is>
      </c>
      <c r="D5862" s="1" t="n">
        <v>46272</v>
      </c>
      <c r="E5862" s="1" t="n">
        <v>46323</v>
      </c>
      <c r="F5862" t="inlineStr">
        <is>
          <t>KALMAR LÄN</t>
        </is>
      </c>
      <c r="G5862" t="inlineStr">
        <is>
          <t>NYBRO</t>
        </is>
      </c>
      <c r="I5862" t="n">
        <v>2.4</v>
      </c>
      <c r="J5862" t="n">
        <v>0</v>
      </c>
      <c r="K5862" t="n">
        <v>0</v>
      </c>
      <c r="L5862" t="n">
        <v>0</v>
      </c>
      <c r="M5862" t="n">
        <v>0</v>
      </c>
      <c r="N5862" t="n">
        <v>0</v>
      </c>
      <c r="O5862" t="n">
        <v>0</v>
      </c>
      <c r="P5862" t="n">
        <v>0</v>
      </c>
      <c r="Q5862" t="n">
        <v>0</v>
      </c>
      <c r="R5862" t="n">
        <v>0</v>
      </c>
      <c r="S5862" t="n">
        <v>0</v>
      </c>
      <c r="T5862" t="n">
        <v>0</v>
      </c>
      <c r="U5862" t="n">
        <v>0</v>
      </c>
      <c r="V5862" s="2" t="inlineStr"/>
    </row>
    <row r="5863" ht="15" customHeight="1">
      <c r="A5863" t="inlineStr">
        <is>
          <t>A 17307-2023</t>
        </is>
      </c>
      <c r="B5863" t="inlineStr">
        <is>
          <t>avverkningsanmälan</t>
        </is>
      </c>
      <c r="C5863" t="inlineStr">
        <is>
          <t>Föryngringsavverkning</t>
        </is>
      </c>
      <c r="D5863" s="1" t="n">
        <v>45035</v>
      </c>
      <c r="E5863" s="1" t="n">
        <v>46323</v>
      </c>
      <c r="F5863" t="inlineStr">
        <is>
          <t>KALMAR LÄN</t>
        </is>
      </c>
      <c r="G5863" t="inlineStr">
        <is>
          <t>VÄSTERVIK</t>
        </is>
      </c>
      <c r="I5863" t="n">
        <v>0</v>
      </c>
      <c r="J5863" t="n">
        <v>0</v>
      </c>
      <c r="K5863" t="n">
        <v>0</v>
      </c>
      <c r="L5863" t="n">
        <v>0</v>
      </c>
      <c r="M5863" t="n">
        <v>0</v>
      </c>
      <c r="N5863" t="n">
        <v>0</v>
      </c>
      <c r="O5863" t="n">
        <v>0</v>
      </c>
      <c r="P5863" t="n">
        <v>0</v>
      </c>
      <c r="Q5863" t="n">
        <v>0</v>
      </c>
      <c r="R5863" t="n">
        <v>0</v>
      </c>
      <c r="S5863" t="n">
        <v>0</v>
      </c>
      <c r="T5863" t="n">
        <v>0</v>
      </c>
      <c r="U5863" t="n">
        <v>0</v>
      </c>
      <c r="V5863" s="2" t="inlineStr"/>
    </row>
    <row r="5864" ht="15" customHeight="1">
      <c r="A5864" t="inlineStr">
        <is>
          <t>A 6283-2026</t>
        </is>
      </c>
      <c r="B5864" t="inlineStr">
        <is>
          <t>avverkningsanmälan</t>
        </is>
      </c>
      <c r="C5864" t="inlineStr">
        <is>
          <t>Föryngringsavverkning</t>
        </is>
      </c>
      <c r="D5864" s="1" t="n">
        <v>46055</v>
      </c>
      <c r="E5864" s="1" t="n">
        <v>46323</v>
      </c>
      <c r="F5864" t="inlineStr">
        <is>
          <t>KALMAR LÄN</t>
        </is>
      </c>
      <c r="G5864" t="inlineStr">
        <is>
          <t>EMMABODA</t>
        </is>
      </c>
      <c r="I5864" t="n">
        <v>1.4</v>
      </c>
      <c r="J5864" t="n">
        <v>0</v>
      </c>
      <c r="K5864" t="n">
        <v>0</v>
      </c>
      <c r="L5864" t="n">
        <v>0</v>
      </c>
      <c r="M5864" t="n">
        <v>0</v>
      </c>
      <c r="N5864" t="n">
        <v>0</v>
      </c>
      <c r="O5864" t="n">
        <v>0</v>
      </c>
      <c r="P5864" t="n">
        <v>0</v>
      </c>
      <c r="Q5864" t="n">
        <v>0</v>
      </c>
      <c r="R5864" t="n">
        <v>0</v>
      </c>
      <c r="S5864" t="n">
        <v>0</v>
      </c>
      <c r="T5864" t="n">
        <v>0</v>
      </c>
      <c r="U5864" t="n">
        <v>0</v>
      </c>
      <c r="V5864" s="2" t="inlineStr"/>
    </row>
    <row r="5865" ht="15" customHeight="1">
      <c r="A5865" t="inlineStr">
        <is>
          <t>A 36687-2026</t>
        </is>
      </c>
      <c r="B5865" t="inlineStr">
        <is>
          <t>avverkningsanmälan</t>
        </is>
      </c>
      <c r="C5865" t="inlineStr">
        <is>
          <t>Föryngringsavverkning</t>
        </is>
      </c>
      <c r="D5865" s="1" t="n">
        <v>46272</v>
      </c>
      <c r="E5865" s="1" t="n">
        <v>46323</v>
      </c>
      <c r="F5865" t="inlineStr">
        <is>
          <t>KALMAR LÄN</t>
        </is>
      </c>
      <c r="G5865" t="inlineStr">
        <is>
          <t>HULTSFRED</t>
        </is>
      </c>
      <c r="I5865" t="n">
        <v>1.8</v>
      </c>
      <c r="J5865" t="n">
        <v>0</v>
      </c>
      <c r="K5865" t="n">
        <v>0</v>
      </c>
      <c r="L5865" t="n">
        <v>0</v>
      </c>
      <c r="M5865" t="n">
        <v>0</v>
      </c>
      <c r="N5865" t="n">
        <v>0</v>
      </c>
      <c r="O5865" t="n">
        <v>0</v>
      </c>
      <c r="P5865" t="n">
        <v>0</v>
      </c>
      <c r="Q5865" t="n">
        <v>0</v>
      </c>
      <c r="R5865" t="n">
        <v>0</v>
      </c>
      <c r="S5865" t="n">
        <v>0</v>
      </c>
      <c r="T5865" t="n">
        <v>0</v>
      </c>
      <c r="U5865" t="n">
        <v>0</v>
      </c>
      <c r="V5865" s="2" t="inlineStr"/>
    </row>
    <row r="5866" ht="15" customHeight="1">
      <c r="A5866" t="inlineStr">
        <is>
          <t>A 54741-2022</t>
        </is>
      </c>
      <c r="B5866" t="inlineStr">
        <is>
          <t>avverkningsanmälan</t>
        </is>
      </c>
      <c r="C5866" t="inlineStr">
        <is>
          <t>Föryngringsavverkning</t>
        </is>
      </c>
      <c r="D5866" s="1" t="n">
        <v>44883</v>
      </c>
      <c r="E5866" s="1" t="n">
        <v>46323</v>
      </c>
      <c r="F5866" t="inlineStr">
        <is>
          <t>KALMAR LÄN</t>
        </is>
      </c>
      <c r="G5866" t="inlineStr">
        <is>
          <t>TORSÅS</t>
        </is>
      </c>
      <c r="I5866" t="n">
        <v>1.4</v>
      </c>
      <c r="J5866" t="n">
        <v>0</v>
      </c>
      <c r="K5866" t="n">
        <v>0</v>
      </c>
      <c r="L5866" t="n">
        <v>0</v>
      </c>
      <c r="M5866" t="n">
        <v>0</v>
      </c>
      <c r="N5866" t="n">
        <v>0</v>
      </c>
      <c r="O5866" t="n">
        <v>0</v>
      </c>
      <c r="P5866" t="n">
        <v>0</v>
      </c>
      <c r="Q5866" t="n">
        <v>0</v>
      </c>
      <c r="R5866" t="n">
        <v>0</v>
      </c>
      <c r="S5866" t="n">
        <v>0</v>
      </c>
      <c r="T5866" t="n">
        <v>0</v>
      </c>
      <c r="U5866" t="n">
        <v>0</v>
      </c>
      <c r="V5866" s="2" t="inlineStr"/>
    </row>
    <row r="5867" ht="15" customHeight="1">
      <c r="A5867" t="inlineStr">
        <is>
          <t>A 43839-2026</t>
        </is>
      </c>
      <c r="B5867" t="inlineStr">
        <is>
          <t>avverkningsanmälan</t>
        </is>
      </c>
      <c r="C5867" t="inlineStr">
        <is>
          <t>Föryngringsavverkning</t>
        </is>
      </c>
      <c r="D5867" s="1" t="n">
        <v>46314</v>
      </c>
      <c r="E5867" s="1" t="n">
        <v>46323</v>
      </c>
      <c r="F5867" t="inlineStr">
        <is>
          <t>KALMAR LÄN</t>
        </is>
      </c>
      <c r="G5867" t="inlineStr">
        <is>
          <t>MÖNSTERÅS</t>
        </is>
      </c>
      <c r="H5867" t="inlineStr">
        <is>
          <t>Övriga Aktiebolag</t>
        </is>
      </c>
      <c r="I5867" t="n">
        <v>4.1</v>
      </c>
      <c r="J5867" t="n">
        <v>0</v>
      </c>
      <c r="K5867" t="n">
        <v>0</v>
      </c>
      <c r="L5867" t="n">
        <v>0</v>
      </c>
      <c r="M5867" t="n">
        <v>0</v>
      </c>
      <c r="N5867" t="n">
        <v>0</v>
      </c>
      <c r="O5867" t="n">
        <v>0</v>
      </c>
      <c r="P5867" t="n">
        <v>0</v>
      </c>
      <c r="Q5867" t="n">
        <v>0</v>
      </c>
      <c r="R5867" t="n">
        <v>0</v>
      </c>
      <c r="S5867" t="n">
        <v>0</v>
      </c>
      <c r="T5867" t="n">
        <v>0</v>
      </c>
      <c r="U5867" t="n">
        <v>0</v>
      </c>
      <c r="V5867" s="2" t="inlineStr"/>
    </row>
    <row r="5868" ht="15" customHeight="1">
      <c r="A5868" t="inlineStr">
        <is>
          <t>A 43841-2026</t>
        </is>
      </c>
      <c r="B5868" t="inlineStr">
        <is>
          <t>avverkningsanmälan</t>
        </is>
      </c>
      <c r="C5868" t="inlineStr">
        <is>
          <t>Föryngringsavverkning</t>
        </is>
      </c>
      <c r="D5868" s="1" t="n">
        <v>46314</v>
      </c>
      <c r="E5868" s="1" t="n">
        <v>46323</v>
      </c>
      <c r="F5868" t="inlineStr">
        <is>
          <t>KALMAR LÄN</t>
        </is>
      </c>
      <c r="G5868" t="inlineStr">
        <is>
          <t>OSKARSHAMN</t>
        </is>
      </c>
      <c r="H5868" t="inlineStr">
        <is>
          <t>Övriga Aktiebolag</t>
        </is>
      </c>
      <c r="I5868" t="n">
        <v>7.5</v>
      </c>
      <c r="J5868" t="n">
        <v>0</v>
      </c>
      <c r="K5868" t="n">
        <v>0</v>
      </c>
      <c r="L5868" t="n">
        <v>0</v>
      </c>
      <c r="M5868" t="n">
        <v>0</v>
      </c>
      <c r="N5868" t="n">
        <v>0</v>
      </c>
      <c r="O5868" t="n">
        <v>0</v>
      </c>
      <c r="P5868" t="n">
        <v>0</v>
      </c>
      <c r="Q5868" t="n">
        <v>0</v>
      </c>
      <c r="R5868" t="n">
        <v>0</v>
      </c>
      <c r="S5868" t="n">
        <v>0</v>
      </c>
      <c r="T5868" t="n">
        <v>0</v>
      </c>
      <c r="U5868" t="n">
        <v>0</v>
      </c>
      <c r="V5868" s="2" t="inlineStr"/>
    </row>
    <row r="5869" ht="15" customHeight="1">
      <c r="A5869" t="inlineStr">
        <is>
          <t>A 9545-2024</t>
        </is>
      </c>
      <c r="B5869" t="inlineStr">
        <is>
          <t>avverkningsanmälan</t>
        </is>
      </c>
      <c r="C5869" t="inlineStr">
        <is>
          <t>Föryngringsavverkning</t>
        </is>
      </c>
      <c r="D5869" s="1" t="n">
        <v>45359</v>
      </c>
      <c r="E5869" s="1" t="n">
        <v>46323</v>
      </c>
      <c r="F5869" t="inlineStr">
        <is>
          <t>KALMAR LÄN</t>
        </is>
      </c>
      <c r="G5869" t="inlineStr">
        <is>
          <t>MÖNSTERÅS</t>
        </is>
      </c>
      <c r="I5869" t="n">
        <v>1</v>
      </c>
      <c r="J5869" t="n">
        <v>0</v>
      </c>
      <c r="K5869" t="n">
        <v>0</v>
      </c>
      <c r="L5869" t="n">
        <v>0</v>
      </c>
      <c r="M5869" t="n">
        <v>0</v>
      </c>
      <c r="N5869" t="n">
        <v>0</v>
      </c>
      <c r="O5869" t="n">
        <v>0</v>
      </c>
      <c r="P5869" t="n">
        <v>0</v>
      </c>
      <c r="Q5869" t="n">
        <v>0</v>
      </c>
      <c r="R5869" t="n">
        <v>0</v>
      </c>
      <c r="S5869" t="n">
        <v>0</v>
      </c>
      <c r="T5869" t="n">
        <v>0</v>
      </c>
      <c r="U5869" t="n">
        <v>0</v>
      </c>
      <c r="V5869" s="2" t="inlineStr"/>
    </row>
    <row r="5870" ht="15" customHeight="1">
      <c r="A5870" t="inlineStr">
        <is>
          <t>A 43135-2025</t>
        </is>
      </c>
      <c r="B5870" t="inlineStr">
        <is>
          <t>avverkningsanmälan</t>
        </is>
      </c>
      <c r="C5870" t="inlineStr">
        <is>
          <t>Föryngringsavverkning</t>
        </is>
      </c>
      <c r="D5870" s="1" t="n">
        <v>45909</v>
      </c>
      <c r="E5870" s="1" t="n">
        <v>46323</v>
      </c>
      <c r="F5870" t="inlineStr">
        <is>
          <t>KALMAR LÄN</t>
        </is>
      </c>
      <c r="G5870" t="inlineStr">
        <is>
          <t>EMMABODA</t>
        </is>
      </c>
      <c r="I5870" t="n">
        <v>0.7</v>
      </c>
      <c r="J5870" t="n">
        <v>0</v>
      </c>
      <c r="K5870" t="n">
        <v>0</v>
      </c>
      <c r="L5870" t="n">
        <v>0</v>
      </c>
      <c r="M5870" t="n">
        <v>0</v>
      </c>
      <c r="N5870" t="n">
        <v>0</v>
      </c>
      <c r="O5870" t="n">
        <v>0</v>
      </c>
      <c r="P5870" t="n">
        <v>0</v>
      </c>
      <c r="Q5870" t="n">
        <v>0</v>
      </c>
      <c r="R5870" t="n">
        <v>0</v>
      </c>
      <c r="S5870" t="n">
        <v>0</v>
      </c>
      <c r="T5870" t="n">
        <v>0</v>
      </c>
      <c r="U5870" t="n">
        <v>0</v>
      </c>
      <c r="V5870" s="2" t="inlineStr"/>
    </row>
    <row r="5871" ht="15" customHeight="1">
      <c r="A5871" t="inlineStr">
        <is>
          <t>A 29350-2023</t>
        </is>
      </c>
      <c r="B5871" t="inlineStr">
        <is>
          <t>avverkningsanmälan</t>
        </is>
      </c>
      <c r="C5871" t="inlineStr">
        <is>
          <t>Föryngringsavverkning</t>
        </is>
      </c>
      <c r="D5871" s="1" t="n">
        <v>45106</v>
      </c>
      <c r="E5871" s="1" t="n">
        <v>46323</v>
      </c>
      <c r="F5871" t="inlineStr">
        <is>
          <t>KALMAR LÄN</t>
        </is>
      </c>
      <c r="G5871" t="inlineStr">
        <is>
          <t>VIMMERBY</t>
        </is>
      </c>
      <c r="I5871" t="n">
        <v>0.8</v>
      </c>
      <c r="J5871" t="n">
        <v>0</v>
      </c>
      <c r="K5871" t="n">
        <v>0</v>
      </c>
      <c r="L5871" t="n">
        <v>0</v>
      </c>
      <c r="M5871" t="n">
        <v>0</v>
      </c>
      <c r="N5871" t="n">
        <v>0</v>
      </c>
      <c r="O5871" t="n">
        <v>0</v>
      </c>
      <c r="P5871" t="n">
        <v>0</v>
      </c>
      <c r="Q5871" t="n">
        <v>0</v>
      </c>
      <c r="R5871" t="n">
        <v>0</v>
      </c>
      <c r="S5871" t="n">
        <v>0</v>
      </c>
      <c r="T5871" t="n">
        <v>0</v>
      </c>
      <c r="U5871" t="n">
        <v>0</v>
      </c>
      <c r="V5871" s="2" t="inlineStr"/>
    </row>
    <row r="5872" ht="15" customHeight="1">
      <c r="A5872" t="inlineStr">
        <is>
          <t>A 29351-2023</t>
        </is>
      </c>
      <c r="B5872" t="inlineStr">
        <is>
          <t>avverkningsanmälan</t>
        </is>
      </c>
      <c r="C5872" t="inlineStr">
        <is>
          <t>Föryngringsavverkning</t>
        </is>
      </c>
      <c r="D5872" s="1" t="n">
        <v>45106</v>
      </c>
      <c r="E5872" s="1" t="n">
        <v>46323</v>
      </c>
      <c r="F5872" t="inlineStr">
        <is>
          <t>KALMAR LÄN</t>
        </is>
      </c>
      <c r="G5872" t="inlineStr">
        <is>
          <t>VIMMERBY</t>
        </is>
      </c>
      <c r="I5872" t="n">
        <v>0.4</v>
      </c>
      <c r="J5872" t="n">
        <v>0</v>
      </c>
      <c r="K5872" t="n">
        <v>0</v>
      </c>
      <c r="L5872" t="n">
        <v>0</v>
      </c>
      <c r="M5872" t="n">
        <v>0</v>
      </c>
      <c r="N5872" t="n">
        <v>0</v>
      </c>
      <c r="O5872" t="n">
        <v>0</v>
      </c>
      <c r="P5872" t="n">
        <v>0</v>
      </c>
      <c r="Q5872" t="n">
        <v>0</v>
      </c>
      <c r="R5872" t="n">
        <v>0</v>
      </c>
      <c r="S5872" t="n">
        <v>0</v>
      </c>
      <c r="T5872" t="n">
        <v>0</v>
      </c>
      <c r="U5872" t="n">
        <v>0</v>
      </c>
      <c r="V5872" s="2" t="inlineStr"/>
    </row>
    <row r="5873" ht="15" customHeight="1">
      <c r="A5873" t="inlineStr">
        <is>
          <t>A 9810-2025</t>
        </is>
      </c>
      <c r="B5873" t="inlineStr">
        <is>
          <t>avverkningsanmälan</t>
        </is>
      </c>
      <c r="C5873" t="inlineStr">
        <is>
          <t>Föryngringsavverkning</t>
        </is>
      </c>
      <c r="D5873" s="1" t="n">
        <v>45716</v>
      </c>
      <c r="E5873" s="1" t="n">
        <v>46323</v>
      </c>
      <c r="F5873" t="inlineStr">
        <is>
          <t>KALMAR LÄN</t>
        </is>
      </c>
      <c r="G5873" t="inlineStr">
        <is>
          <t>TORSÅS</t>
        </is>
      </c>
      <c r="I5873" t="n">
        <v>0.5</v>
      </c>
      <c r="J5873" t="n">
        <v>0</v>
      </c>
      <c r="K5873" t="n">
        <v>0</v>
      </c>
      <c r="L5873" t="n">
        <v>0</v>
      </c>
      <c r="M5873" t="n">
        <v>0</v>
      </c>
      <c r="N5873" t="n">
        <v>0</v>
      </c>
      <c r="O5873" t="n">
        <v>0</v>
      </c>
      <c r="P5873" t="n">
        <v>0</v>
      </c>
      <c r="Q5873" t="n">
        <v>0</v>
      </c>
      <c r="R5873" t="n">
        <v>0</v>
      </c>
      <c r="S5873" t="n">
        <v>0</v>
      </c>
      <c r="T5873" t="n">
        <v>0</v>
      </c>
      <c r="U5873" t="n">
        <v>0</v>
      </c>
      <c r="V5873" s="2" t="inlineStr"/>
    </row>
    <row r="5874" ht="15" customHeight="1">
      <c r="A5874" t="inlineStr">
        <is>
          <t>A 30233-2025</t>
        </is>
      </c>
      <c r="B5874" t="inlineStr">
        <is>
          <t>avverkningsanmälan</t>
        </is>
      </c>
      <c r="C5874" t="inlineStr">
        <is>
          <t>Föryngringsavverkning</t>
        </is>
      </c>
      <c r="D5874" s="1" t="n">
        <v>45827</v>
      </c>
      <c r="E5874" s="1" t="n">
        <v>46323</v>
      </c>
      <c r="F5874" t="inlineStr">
        <is>
          <t>KALMAR LÄN</t>
        </is>
      </c>
      <c r="G5874" t="inlineStr">
        <is>
          <t>HULTSFRED</t>
        </is>
      </c>
      <c r="I5874" t="n">
        <v>1.1</v>
      </c>
      <c r="J5874" t="n">
        <v>0</v>
      </c>
      <c r="K5874" t="n">
        <v>0</v>
      </c>
      <c r="L5874" t="n">
        <v>0</v>
      </c>
      <c r="M5874" t="n">
        <v>0</v>
      </c>
      <c r="N5874" t="n">
        <v>0</v>
      </c>
      <c r="O5874" t="n">
        <v>0</v>
      </c>
      <c r="P5874" t="n">
        <v>0</v>
      </c>
      <c r="Q5874" t="n">
        <v>0</v>
      </c>
      <c r="R5874" t="n">
        <v>0</v>
      </c>
      <c r="S5874" t="n">
        <v>0</v>
      </c>
      <c r="T5874" t="n">
        <v>0</v>
      </c>
      <c r="U5874" t="n">
        <v>0</v>
      </c>
      <c r="V5874" s="2" t="inlineStr"/>
    </row>
    <row r="5875" ht="15" customHeight="1">
      <c r="A5875" t="inlineStr">
        <is>
          <t>A 43454-2026</t>
        </is>
      </c>
      <c r="B5875" t="inlineStr">
        <is>
          <t>avverkningsanmälan</t>
        </is>
      </c>
      <c r="C5875" t="inlineStr">
        <is>
          <t>Föryngringsavverkning</t>
        </is>
      </c>
      <c r="D5875" s="1" t="n">
        <v>46314</v>
      </c>
      <c r="E5875" s="1" t="n">
        <v>46323</v>
      </c>
      <c r="F5875" t="inlineStr">
        <is>
          <t>KALMAR LÄN</t>
        </is>
      </c>
      <c r="G5875" t="inlineStr">
        <is>
          <t>EMMABODA</t>
        </is>
      </c>
      <c r="I5875" t="n">
        <v>0.7</v>
      </c>
      <c r="J5875" t="n">
        <v>0</v>
      </c>
      <c r="K5875" t="n">
        <v>0</v>
      </c>
      <c r="L5875" t="n">
        <v>0</v>
      </c>
      <c r="M5875" t="n">
        <v>0</v>
      </c>
      <c r="N5875" t="n">
        <v>0</v>
      </c>
      <c r="O5875" t="n">
        <v>0</v>
      </c>
      <c r="P5875" t="n">
        <v>0</v>
      </c>
      <c r="Q5875" t="n">
        <v>0</v>
      </c>
      <c r="R5875" t="n">
        <v>0</v>
      </c>
      <c r="S5875" t="n">
        <v>0</v>
      </c>
      <c r="T5875" t="n">
        <v>0</v>
      </c>
      <c r="U5875" t="n">
        <v>0</v>
      </c>
      <c r="V5875" s="2" t="inlineStr"/>
    </row>
    <row r="5876" ht="15" customHeight="1">
      <c r="A5876" t="inlineStr">
        <is>
          <t>A 43455-2026</t>
        </is>
      </c>
      <c r="B5876" t="inlineStr">
        <is>
          <t>avverkningsanmälan</t>
        </is>
      </c>
      <c r="C5876" t="inlineStr">
        <is>
          <t>Föryngringsavverkning</t>
        </is>
      </c>
      <c r="D5876" s="1" t="n">
        <v>46314</v>
      </c>
      <c r="E5876" s="1" t="n">
        <v>46323</v>
      </c>
      <c r="F5876" t="inlineStr">
        <is>
          <t>KALMAR LÄN</t>
        </is>
      </c>
      <c r="G5876" t="inlineStr">
        <is>
          <t>EMMABODA</t>
        </is>
      </c>
      <c r="I5876" t="n">
        <v>0.7</v>
      </c>
      <c r="J5876" t="n">
        <v>0</v>
      </c>
      <c r="K5876" t="n">
        <v>0</v>
      </c>
      <c r="L5876" t="n">
        <v>0</v>
      </c>
      <c r="M5876" t="n">
        <v>0</v>
      </c>
      <c r="N5876" t="n">
        <v>0</v>
      </c>
      <c r="O5876" t="n">
        <v>0</v>
      </c>
      <c r="P5876" t="n">
        <v>0</v>
      </c>
      <c r="Q5876" t="n">
        <v>0</v>
      </c>
      <c r="R5876" t="n">
        <v>0</v>
      </c>
      <c r="S5876" t="n">
        <v>0</v>
      </c>
      <c r="T5876" t="n">
        <v>0</v>
      </c>
      <c r="U5876" t="n">
        <v>0</v>
      </c>
      <c r="V5876" s="2" t="inlineStr"/>
    </row>
    <row r="5877" ht="15" customHeight="1">
      <c r="A5877" t="inlineStr">
        <is>
          <t>A 44533-2024</t>
        </is>
      </c>
      <c r="B5877" t="inlineStr">
        <is>
          <t>avverkningsanmälan</t>
        </is>
      </c>
      <c r="C5877" t="inlineStr">
        <is>
          <t>Föryngringsavverkning</t>
        </is>
      </c>
      <c r="D5877" s="1" t="n">
        <v>45574</v>
      </c>
      <c r="E5877" s="1" t="n">
        <v>46323</v>
      </c>
      <c r="F5877" t="inlineStr">
        <is>
          <t>KALMAR LÄN</t>
        </is>
      </c>
      <c r="G5877" t="inlineStr">
        <is>
          <t>EMMABODA</t>
        </is>
      </c>
      <c r="I5877" t="n">
        <v>0.7</v>
      </c>
      <c r="J5877" t="n">
        <v>0</v>
      </c>
      <c r="K5877" t="n">
        <v>0</v>
      </c>
      <c r="L5877" t="n">
        <v>0</v>
      </c>
      <c r="M5877" t="n">
        <v>0</v>
      </c>
      <c r="N5877" t="n">
        <v>0</v>
      </c>
      <c r="O5877" t="n">
        <v>0</v>
      </c>
      <c r="P5877" t="n">
        <v>0</v>
      </c>
      <c r="Q5877" t="n">
        <v>0</v>
      </c>
      <c r="R5877" t="n">
        <v>0</v>
      </c>
      <c r="S5877" t="n">
        <v>0</v>
      </c>
      <c r="T5877" t="n">
        <v>0</v>
      </c>
      <c r="U5877" t="n">
        <v>0</v>
      </c>
      <c r="V5877" s="2" t="inlineStr"/>
    </row>
    <row r="5878" ht="15" customHeight="1">
      <c r="A5878" t="inlineStr">
        <is>
          <t>A 24941-2023</t>
        </is>
      </c>
      <c r="B5878" t="inlineStr">
        <is>
          <t>avverkningsanmälan</t>
        </is>
      </c>
      <c r="C5878" t="inlineStr">
        <is>
          <t>Föryngringsavverkning</t>
        </is>
      </c>
      <c r="D5878" s="1" t="n">
        <v>45085</v>
      </c>
      <c r="E5878" s="1" t="n">
        <v>46323</v>
      </c>
      <c r="F5878" t="inlineStr">
        <is>
          <t>KALMAR LÄN</t>
        </is>
      </c>
      <c r="G5878" t="inlineStr">
        <is>
          <t>NYBRO</t>
        </is>
      </c>
      <c r="I5878" t="n">
        <v>6</v>
      </c>
      <c r="J5878" t="n">
        <v>0</v>
      </c>
      <c r="K5878" t="n">
        <v>0</v>
      </c>
      <c r="L5878" t="n">
        <v>0</v>
      </c>
      <c r="M5878" t="n">
        <v>0</v>
      </c>
      <c r="N5878" t="n">
        <v>0</v>
      </c>
      <c r="O5878" t="n">
        <v>0</v>
      </c>
      <c r="P5878" t="n">
        <v>0</v>
      </c>
      <c r="Q5878" t="n">
        <v>0</v>
      </c>
      <c r="R5878" t="n">
        <v>0</v>
      </c>
      <c r="S5878" t="n">
        <v>0</v>
      </c>
      <c r="T5878" t="n">
        <v>0</v>
      </c>
      <c r="U5878" t="n">
        <v>0</v>
      </c>
      <c r="V5878" s="2" t="inlineStr"/>
    </row>
    <row r="5879" ht="15" customHeight="1">
      <c r="A5879" t="inlineStr">
        <is>
          <t>A 57964-2024</t>
        </is>
      </c>
      <c r="B5879" t="inlineStr">
        <is>
          <t>avverkningsanmälan</t>
        </is>
      </c>
      <c r="C5879" t="inlineStr">
        <is>
          <t>Föryngringsavverkning</t>
        </is>
      </c>
      <c r="D5879" s="1" t="n">
        <v>45631</v>
      </c>
      <c r="E5879" s="1" t="n">
        <v>46323</v>
      </c>
      <c r="F5879" t="inlineStr">
        <is>
          <t>KALMAR LÄN</t>
        </is>
      </c>
      <c r="G5879" t="inlineStr">
        <is>
          <t>MÖNSTERÅS</t>
        </is>
      </c>
      <c r="H5879" t="inlineStr">
        <is>
          <t>Övriga Aktiebolag</t>
        </is>
      </c>
      <c r="I5879" t="n">
        <v>4.3</v>
      </c>
      <c r="J5879" t="n">
        <v>0</v>
      </c>
      <c r="K5879" t="n">
        <v>0</v>
      </c>
      <c r="L5879" t="n">
        <v>0</v>
      </c>
      <c r="M5879" t="n">
        <v>0</v>
      </c>
      <c r="N5879" t="n">
        <v>0</v>
      </c>
      <c r="O5879" t="n">
        <v>0</v>
      </c>
      <c r="P5879" t="n">
        <v>0</v>
      </c>
      <c r="Q5879" t="n">
        <v>0</v>
      </c>
      <c r="R5879" t="n">
        <v>0</v>
      </c>
      <c r="S5879" t="n">
        <v>0</v>
      </c>
      <c r="T5879" t="n">
        <v>0</v>
      </c>
      <c r="U5879" t="n">
        <v>0</v>
      </c>
      <c r="V5879" s="2" t="inlineStr"/>
    </row>
    <row r="5880" ht="15" customHeight="1">
      <c r="A5880" t="inlineStr">
        <is>
          <t>A 37075-2026</t>
        </is>
      </c>
      <c r="B5880" t="inlineStr">
        <is>
          <t>avverkningsanmälan</t>
        </is>
      </c>
      <c r="C5880" t="inlineStr">
        <is>
          <t>Föryngringsavverkning</t>
        </is>
      </c>
      <c r="D5880" s="1" t="n">
        <v>46273</v>
      </c>
      <c r="E5880" s="1" t="n">
        <v>46323</v>
      </c>
      <c r="F5880" t="inlineStr">
        <is>
          <t>KALMAR LÄN</t>
        </is>
      </c>
      <c r="G5880" t="inlineStr">
        <is>
          <t>KALMAR</t>
        </is>
      </c>
      <c r="I5880" t="n">
        <v>2.1</v>
      </c>
      <c r="J5880" t="n">
        <v>0</v>
      </c>
      <c r="K5880" t="n">
        <v>0</v>
      </c>
      <c r="L5880" t="n">
        <v>0</v>
      </c>
      <c r="M5880" t="n">
        <v>0</v>
      </c>
      <c r="N5880" t="n">
        <v>0</v>
      </c>
      <c r="O5880" t="n">
        <v>0</v>
      </c>
      <c r="P5880" t="n">
        <v>0</v>
      </c>
      <c r="Q5880" t="n">
        <v>0</v>
      </c>
      <c r="R5880" t="n">
        <v>0</v>
      </c>
      <c r="S5880" t="n">
        <v>0</v>
      </c>
      <c r="T5880" t="n">
        <v>0</v>
      </c>
      <c r="U5880" t="n">
        <v>0</v>
      </c>
      <c r="V5880" s="2" t="inlineStr"/>
    </row>
    <row r="5881" ht="15" customHeight="1">
      <c r="A5881" t="inlineStr">
        <is>
          <t>A 59331-2023</t>
        </is>
      </c>
      <c r="B5881" t="inlineStr">
        <is>
          <t>avverkningsanmälan</t>
        </is>
      </c>
      <c r="C5881" t="inlineStr">
        <is>
          <t>Föryngringsavverkning</t>
        </is>
      </c>
      <c r="D5881" s="1" t="n">
        <v>45253</v>
      </c>
      <c r="E5881" s="1" t="n">
        <v>46323</v>
      </c>
      <c r="F5881" t="inlineStr">
        <is>
          <t>KALMAR LÄN</t>
        </is>
      </c>
      <c r="G5881" t="inlineStr">
        <is>
          <t>VÄSTERVIK</t>
        </is>
      </c>
      <c r="I5881" t="n">
        <v>3.9</v>
      </c>
      <c r="J5881" t="n">
        <v>0</v>
      </c>
      <c r="K5881" t="n">
        <v>0</v>
      </c>
      <c r="L5881" t="n">
        <v>0</v>
      </c>
      <c r="M5881" t="n">
        <v>0</v>
      </c>
      <c r="N5881" t="n">
        <v>0</v>
      </c>
      <c r="O5881" t="n">
        <v>0</v>
      </c>
      <c r="P5881" t="n">
        <v>0</v>
      </c>
      <c r="Q5881" t="n">
        <v>0</v>
      </c>
      <c r="R5881" t="n">
        <v>0</v>
      </c>
      <c r="S5881" t="n">
        <v>0</v>
      </c>
      <c r="T5881" t="n">
        <v>0</v>
      </c>
      <c r="U5881" t="n">
        <v>0</v>
      </c>
      <c r="V5881" s="2" t="inlineStr"/>
    </row>
    <row r="5882" ht="15" customHeight="1">
      <c r="A5882" t="inlineStr">
        <is>
          <t>A 37280-2023</t>
        </is>
      </c>
      <c r="B5882" t="inlineStr">
        <is>
          <t>avverkningsanmälan</t>
        </is>
      </c>
      <c r="C5882" t="inlineStr">
        <is>
          <t>Föryngringsavverkning</t>
        </is>
      </c>
      <c r="D5882" s="1" t="n">
        <v>45156</v>
      </c>
      <c r="E5882" s="1" t="n">
        <v>46323</v>
      </c>
      <c r="F5882" t="inlineStr">
        <is>
          <t>KALMAR LÄN</t>
        </is>
      </c>
      <c r="G5882" t="inlineStr">
        <is>
          <t>HULTSFRED</t>
        </is>
      </c>
      <c r="I5882" t="n">
        <v>10.8</v>
      </c>
      <c r="J5882" t="n">
        <v>0</v>
      </c>
      <c r="K5882" t="n">
        <v>0</v>
      </c>
      <c r="L5882" t="n">
        <v>0</v>
      </c>
      <c r="M5882" t="n">
        <v>0</v>
      </c>
      <c r="N5882" t="n">
        <v>0</v>
      </c>
      <c r="O5882" t="n">
        <v>0</v>
      </c>
      <c r="P5882" t="n">
        <v>0</v>
      </c>
      <c r="Q5882" t="n">
        <v>0</v>
      </c>
      <c r="R5882" t="n">
        <v>0</v>
      </c>
      <c r="S5882" t="n">
        <v>0</v>
      </c>
      <c r="T5882" t="n">
        <v>0</v>
      </c>
      <c r="U5882" t="n">
        <v>0</v>
      </c>
      <c r="V5882" s="2" t="inlineStr"/>
    </row>
    <row r="5883" ht="15" customHeight="1">
      <c r="A5883" t="inlineStr">
        <is>
          <t>A 31146-2023</t>
        </is>
      </c>
      <c r="B5883" t="inlineStr">
        <is>
          <t>avverkningsanmälan</t>
        </is>
      </c>
      <c r="C5883" t="inlineStr">
        <is>
          <t>Föryngringsavverkning</t>
        </is>
      </c>
      <c r="D5883" s="1" t="n">
        <v>45113</v>
      </c>
      <c r="E5883" s="1" t="n">
        <v>46323</v>
      </c>
      <c r="F5883" t="inlineStr">
        <is>
          <t>KALMAR LÄN</t>
        </is>
      </c>
      <c r="G5883" t="inlineStr">
        <is>
          <t>OSKARSHAMN</t>
        </is>
      </c>
      <c r="I5883" t="n">
        <v>0.4</v>
      </c>
      <c r="J5883" t="n">
        <v>0</v>
      </c>
      <c r="K5883" t="n">
        <v>0</v>
      </c>
      <c r="L5883" t="n">
        <v>0</v>
      </c>
      <c r="M5883" t="n">
        <v>0</v>
      </c>
      <c r="N5883" t="n">
        <v>0</v>
      </c>
      <c r="O5883" t="n">
        <v>0</v>
      </c>
      <c r="P5883" t="n">
        <v>0</v>
      </c>
      <c r="Q5883" t="n">
        <v>0</v>
      </c>
      <c r="R5883" t="n">
        <v>0</v>
      </c>
      <c r="S5883" t="n">
        <v>0</v>
      </c>
      <c r="T5883" t="n">
        <v>0</v>
      </c>
      <c r="U5883" t="n">
        <v>0</v>
      </c>
      <c r="V5883" s="2" t="inlineStr"/>
    </row>
    <row r="5884" ht="15" customHeight="1">
      <c r="A5884" t="inlineStr">
        <is>
          <t>A 1928-2024</t>
        </is>
      </c>
      <c r="B5884" t="inlineStr">
        <is>
          <t>avverkningsanmälan</t>
        </is>
      </c>
      <c r="C5884" t="inlineStr">
        <is>
          <t>Föryngringsavverkning</t>
        </is>
      </c>
      <c r="D5884" s="1" t="n">
        <v>45308</v>
      </c>
      <c r="E5884" s="1" t="n">
        <v>46323</v>
      </c>
      <c r="F5884" t="inlineStr">
        <is>
          <t>KALMAR LÄN</t>
        </is>
      </c>
      <c r="G5884" t="inlineStr">
        <is>
          <t>NYBRO</t>
        </is>
      </c>
      <c r="I5884" t="n">
        <v>1.4</v>
      </c>
      <c r="J5884" t="n">
        <v>0</v>
      </c>
      <c r="K5884" t="n">
        <v>0</v>
      </c>
      <c r="L5884" t="n">
        <v>0</v>
      </c>
      <c r="M5884" t="n">
        <v>0</v>
      </c>
      <c r="N5884" t="n">
        <v>0</v>
      </c>
      <c r="O5884" t="n">
        <v>0</v>
      </c>
      <c r="P5884" t="n">
        <v>0</v>
      </c>
      <c r="Q5884" t="n">
        <v>0</v>
      </c>
      <c r="R5884" t="n">
        <v>0</v>
      </c>
      <c r="S5884" t="n">
        <v>0</v>
      </c>
      <c r="T5884" t="n">
        <v>0</v>
      </c>
      <c r="U5884" t="n">
        <v>0</v>
      </c>
      <c r="V5884" s="2" t="inlineStr"/>
    </row>
    <row r="5885" ht="15" customHeight="1">
      <c r="A5885" t="inlineStr">
        <is>
          <t>A 6474-2025</t>
        </is>
      </c>
      <c r="B5885" t="inlineStr">
        <is>
          <t>avverkningsanmälan</t>
        </is>
      </c>
      <c r="C5885" t="inlineStr">
        <is>
          <t>Föryngringsavverkning</t>
        </is>
      </c>
      <c r="D5885" s="1" t="n">
        <v>45699</v>
      </c>
      <c r="E5885" s="1" t="n">
        <v>46323</v>
      </c>
      <c r="F5885" t="inlineStr">
        <is>
          <t>KALMAR LÄN</t>
        </is>
      </c>
      <c r="G5885" t="inlineStr">
        <is>
          <t>VIMMERBY</t>
        </is>
      </c>
      <c r="I5885" t="n">
        <v>1.6</v>
      </c>
      <c r="J5885" t="n">
        <v>0</v>
      </c>
      <c r="K5885" t="n">
        <v>0</v>
      </c>
      <c r="L5885" t="n">
        <v>0</v>
      </c>
      <c r="M5885" t="n">
        <v>0</v>
      </c>
      <c r="N5885" t="n">
        <v>0</v>
      </c>
      <c r="O5885" t="n">
        <v>0</v>
      </c>
      <c r="P5885" t="n">
        <v>0</v>
      </c>
      <c r="Q5885" t="n">
        <v>0</v>
      </c>
      <c r="R5885" t="n">
        <v>0</v>
      </c>
      <c r="S5885" t="n">
        <v>0</v>
      </c>
      <c r="T5885" t="n">
        <v>0</v>
      </c>
      <c r="U5885" t="n">
        <v>0</v>
      </c>
      <c r="V5885" s="2" t="inlineStr"/>
    </row>
    <row r="5886" ht="15" customHeight="1">
      <c r="A5886" t="inlineStr">
        <is>
          <t>A 56592-2024</t>
        </is>
      </c>
      <c r="B5886" t="inlineStr">
        <is>
          <t>avverkningsanmälan</t>
        </is>
      </c>
      <c r="C5886" t="inlineStr">
        <is>
          <t>Föryngringsavverkning</t>
        </is>
      </c>
      <c r="D5886" s="1" t="n">
        <v>45625</v>
      </c>
      <c r="E5886" s="1" t="n">
        <v>46323</v>
      </c>
      <c r="F5886" t="inlineStr">
        <is>
          <t>KALMAR LÄN</t>
        </is>
      </c>
      <c r="G5886" t="inlineStr">
        <is>
          <t>KALMAR</t>
        </is>
      </c>
      <c r="I5886" t="n">
        <v>1.2</v>
      </c>
      <c r="J5886" t="n">
        <v>0</v>
      </c>
      <c r="K5886" t="n">
        <v>0</v>
      </c>
      <c r="L5886" t="n">
        <v>0</v>
      </c>
      <c r="M5886" t="n">
        <v>0</v>
      </c>
      <c r="N5886" t="n">
        <v>0</v>
      </c>
      <c r="O5886" t="n">
        <v>0</v>
      </c>
      <c r="P5886" t="n">
        <v>0</v>
      </c>
      <c r="Q5886" t="n">
        <v>0</v>
      </c>
      <c r="R5886" t="n">
        <v>0</v>
      </c>
      <c r="S5886" t="n">
        <v>0</v>
      </c>
      <c r="T5886" t="n">
        <v>0</v>
      </c>
      <c r="U5886" t="n">
        <v>0</v>
      </c>
      <c r="V5886" s="2" t="inlineStr"/>
    </row>
    <row r="5887" ht="15" customHeight="1">
      <c r="A5887" t="inlineStr">
        <is>
          <t>A 36875-2026</t>
        </is>
      </c>
      <c r="B5887" t="inlineStr">
        <is>
          <t>avverkningsanmälan</t>
        </is>
      </c>
      <c r="C5887" t="inlineStr">
        <is>
          <t>Föryngringsavverkning</t>
        </is>
      </c>
      <c r="D5887" s="1" t="n">
        <v>46273</v>
      </c>
      <c r="E5887" s="1" t="n">
        <v>46323</v>
      </c>
      <c r="F5887" t="inlineStr">
        <is>
          <t>KALMAR LÄN</t>
        </is>
      </c>
      <c r="G5887" t="inlineStr">
        <is>
          <t>EMMABODA</t>
        </is>
      </c>
      <c r="I5887" t="n">
        <v>4.6</v>
      </c>
      <c r="J5887" t="n">
        <v>0</v>
      </c>
      <c r="K5887" t="n">
        <v>0</v>
      </c>
      <c r="L5887" t="n">
        <v>0</v>
      </c>
      <c r="M5887" t="n">
        <v>0</v>
      </c>
      <c r="N5887" t="n">
        <v>0</v>
      </c>
      <c r="O5887" t="n">
        <v>0</v>
      </c>
      <c r="P5887" t="n">
        <v>0</v>
      </c>
      <c r="Q5887" t="n">
        <v>0</v>
      </c>
      <c r="R5887" t="n">
        <v>0</v>
      </c>
      <c r="S5887" t="n">
        <v>0</v>
      </c>
      <c r="T5887" t="n">
        <v>0</v>
      </c>
      <c r="U5887" t="n">
        <v>0</v>
      </c>
      <c r="V5887" s="2" t="inlineStr"/>
    </row>
    <row r="5888" ht="15" customHeight="1">
      <c r="A5888" t="inlineStr">
        <is>
          <t>A 61807-2024</t>
        </is>
      </c>
      <c r="B5888" t="inlineStr">
        <is>
          <t>avverkningsanmälan</t>
        </is>
      </c>
      <c r="C5888" t="inlineStr">
        <is>
          <t>Föryngringsavverkning</t>
        </is>
      </c>
      <c r="D5888" s="1" t="n">
        <v>45649</v>
      </c>
      <c r="E5888" s="1" t="n">
        <v>46323</v>
      </c>
      <c r="F5888" t="inlineStr">
        <is>
          <t>KALMAR LÄN</t>
        </is>
      </c>
      <c r="G5888" t="inlineStr">
        <is>
          <t>NYBRO</t>
        </is>
      </c>
      <c r="I5888" t="n">
        <v>14.2</v>
      </c>
      <c r="J5888" t="n">
        <v>0</v>
      </c>
      <c r="K5888" t="n">
        <v>0</v>
      </c>
      <c r="L5888" t="n">
        <v>0</v>
      </c>
      <c r="M5888" t="n">
        <v>0</v>
      </c>
      <c r="N5888" t="n">
        <v>0</v>
      </c>
      <c r="O5888" t="n">
        <v>0</v>
      </c>
      <c r="P5888" t="n">
        <v>0</v>
      </c>
      <c r="Q5888" t="n">
        <v>0</v>
      </c>
      <c r="R5888" t="n">
        <v>0</v>
      </c>
      <c r="S5888" t="n">
        <v>0</v>
      </c>
      <c r="T5888" t="n">
        <v>0</v>
      </c>
      <c r="U5888" t="n">
        <v>0</v>
      </c>
      <c r="V5888" s="2" t="inlineStr"/>
    </row>
    <row r="5889" ht="15" customHeight="1">
      <c r="A5889" t="inlineStr">
        <is>
          <t>A 61835-2024</t>
        </is>
      </c>
      <c r="B5889" t="inlineStr">
        <is>
          <t>avverkningsanmälan</t>
        </is>
      </c>
      <c r="C5889" t="inlineStr">
        <is>
          <t>Föryngringsavverkning</t>
        </is>
      </c>
      <c r="D5889" s="1" t="n">
        <v>45649</v>
      </c>
      <c r="E5889" s="1" t="n">
        <v>46323</v>
      </c>
      <c r="F5889" t="inlineStr">
        <is>
          <t>KALMAR LÄN</t>
        </is>
      </c>
      <c r="G5889" t="inlineStr">
        <is>
          <t>NYBRO</t>
        </is>
      </c>
      <c r="I5889" t="n">
        <v>5.7</v>
      </c>
      <c r="J5889" t="n">
        <v>0</v>
      </c>
      <c r="K5889" t="n">
        <v>0</v>
      </c>
      <c r="L5889" t="n">
        <v>0</v>
      </c>
      <c r="M5889" t="n">
        <v>0</v>
      </c>
      <c r="N5889" t="n">
        <v>0</v>
      </c>
      <c r="O5889" t="n">
        <v>0</v>
      </c>
      <c r="P5889" t="n">
        <v>0</v>
      </c>
      <c r="Q5889" t="n">
        <v>0</v>
      </c>
      <c r="R5889" t="n">
        <v>0</v>
      </c>
      <c r="S5889" t="n">
        <v>0</v>
      </c>
      <c r="T5889" t="n">
        <v>0</v>
      </c>
      <c r="U5889" t="n">
        <v>0</v>
      </c>
      <c r="V5889" s="2" t="inlineStr"/>
    </row>
    <row r="5890" ht="15" customHeight="1">
      <c r="A5890" t="inlineStr">
        <is>
          <t>A 56069-2023</t>
        </is>
      </c>
      <c r="B5890" t="inlineStr">
        <is>
          <t>avverkningsanmälan</t>
        </is>
      </c>
      <c r="C5890" t="inlineStr">
        <is>
          <t>Föryngringsavverkning</t>
        </is>
      </c>
      <c r="D5890" s="1" t="n">
        <v>45240</v>
      </c>
      <c r="E5890" s="1" t="n">
        <v>46323</v>
      </c>
      <c r="F5890" t="inlineStr">
        <is>
          <t>KALMAR LÄN</t>
        </is>
      </c>
      <c r="G5890" t="inlineStr">
        <is>
          <t>NYBRO</t>
        </is>
      </c>
      <c r="I5890" t="n">
        <v>0.8</v>
      </c>
      <c r="J5890" t="n">
        <v>0</v>
      </c>
      <c r="K5890" t="n">
        <v>0</v>
      </c>
      <c r="L5890" t="n">
        <v>0</v>
      </c>
      <c r="M5890" t="n">
        <v>0</v>
      </c>
      <c r="N5890" t="n">
        <v>0</v>
      </c>
      <c r="O5890" t="n">
        <v>0</v>
      </c>
      <c r="P5890" t="n">
        <v>0</v>
      </c>
      <c r="Q5890" t="n">
        <v>0</v>
      </c>
      <c r="R5890" t="n">
        <v>0</v>
      </c>
      <c r="S5890" t="n">
        <v>0</v>
      </c>
      <c r="T5890" t="n">
        <v>0</v>
      </c>
      <c r="U5890" t="n">
        <v>0</v>
      </c>
      <c r="V5890" s="2" t="inlineStr"/>
    </row>
    <row r="5891" ht="15" customHeight="1">
      <c r="A5891" t="inlineStr">
        <is>
          <t>A 49711-2023</t>
        </is>
      </c>
      <c r="B5891" t="inlineStr">
        <is>
          <t>avverkningsanmälan</t>
        </is>
      </c>
      <c r="C5891" t="inlineStr">
        <is>
          <t>Föryngringsavverkning</t>
        </is>
      </c>
      <c r="D5891" s="1" t="n">
        <v>45212</v>
      </c>
      <c r="E5891" s="1" t="n">
        <v>46323</v>
      </c>
      <c r="F5891" t="inlineStr">
        <is>
          <t>KALMAR LÄN</t>
        </is>
      </c>
      <c r="G5891" t="inlineStr">
        <is>
          <t>KALMAR</t>
        </is>
      </c>
      <c r="I5891" t="n">
        <v>0.5</v>
      </c>
      <c r="J5891" t="n">
        <v>0</v>
      </c>
      <c r="K5891" t="n">
        <v>0</v>
      </c>
      <c r="L5891" t="n">
        <v>0</v>
      </c>
      <c r="M5891" t="n">
        <v>0</v>
      </c>
      <c r="N5891" t="n">
        <v>0</v>
      </c>
      <c r="O5891" t="n">
        <v>0</v>
      </c>
      <c r="P5891" t="n">
        <v>0</v>
      </c>
      <c r="Q5891" t="n">
        <v>0</v>
      </c>
      <c r="R5891" t="n">
        <v>0</v>
      </c>
      <c r="S5891" t="n">
        <v>0</v>
      </c>
      <c r="T5891" t="n">
        <v>0</v>
      </c>
      <c r="U5891" t="n">
        <v>0</v>
      </c>
      <c r="V5891" s="2" t="inlineStr"/>
    </row>
    <row r="5892" ht="15" customHeight="1">
      <c r="A5892" t="inlineStr">
        <is>
          <t>A 36686-2026</t>
        </is>
      </c>
      <c r="B5892" t="inlineStr">
        <is>
          <t>avverkningsanmälan</t>
        </is>
      </c>
      <c r="C5892" t="inlineStr">
        <is>
          <t>Föryngringsavverkning</t>
        </is>
      </c>
      <c r="D5892" s="1" t="n">
        <v>46272</v>
      </c>
      <c r="E5892" s="1" t="n">
        <v>46323</v>
      </c>
      <c r="F5892" t="inlineStr">
        <is>
          <t>KALMAR LÄN</t>
        </is>
      </c>
      <c r="G5892" t="inlineStr">
        <is>
          <t>OSKARSHAMN</t>
        </is>
      </c>
      <c r="I5892" t="n">
        <v>0.7</v>
      </c>
      <c r="J5892" t="n">
        <v>0</v>
      </c>
      <c r="K5892" t="n">
        <v>0</v>
      </c>
      <c r="L5892" t="n">
        <v>0</v>
      </c>
      <c r="M5892" t="n">
        <v>0</v>
      </c>
      <c r="N5892" t="n">
        <v>0</v>
      </c>
      <c r="O5892" t="n">
        <v>0</v>
      </c>
      <c r="P5892" t="n">
        <v>0</v>
      </c>
      <c r="Q5892" t="n">
        <v>0</v>
      </c>
      <c r="R5892" t="n">
        <v>0</v>
      </c>
      <c r="S5892" t="n">
        <v>0</v>
      </c>
      <c r="T5892" t="n">
        <v>0</v>
      </c>
      <c r="U5892" t="n">
        <v>0</v>
      </c>
      <c r="V5892" s="2" t="inlineStr"/>
    </row>
    <row r="5893" ht="15" customHeight="1">
      <c r="A5893" t="inlineStr">
        <is>
          <t>A 51009-2023</t>
        </is>
      </c>
      <c r="B5893" t="inlineStr">
        <is>
          <t>avverkningsanmälan</t>
        </is>
      </c>
      <c r="C5893" t="inlineStr">
        <is>
          <t>Föryngringsavverkning</t>
        </is>
      </c>
      <c r="D5893" s="1" t="n">
        <v>45218</v>
      </c>
      <c r="E5893" s="1" t="n">
        <v>46323</v>
      </c>
      <c r="F5893" t="inlineStr">
        <is>
          <t>KALMAR LÄN</t>
        </is>
      </c>
      <c r="G5893" t="inlineStr">
        <is>
          <t>OSKARSHAMN</t>
        </is>
      </c>
      <c r="I5893" t="n">
        <v>4.7</v>
      </c>
      <c r="J5893" t="n">
        <v>0</v>
      </c>
      <c r="K5893" t="n">
        <v>0</v>
      </c>
      <c r="L5893" t="n">
        <v>0</v>
      </c>
      <c r="M5893" t="n">
        <v>0</v>
      </c>
      <c r="N5893" t="n">
        <v>0</v>
      </c>
      <c r="O5893" t="n">
        <v>0</v>
      </c>
      <c r="P5893" t="n">
        <v>0</v>
      </c>
      <c r="Q5893" t="n">
        <v>0</v>
      </c>
      <c r="R5893" t="n">
        <v>0</v>
      </c>
      <c r="S5893" t="n">
        <v>0</v>
      </c>
      <c r="T5893" t="n">
        <v>0</v>
      </c>
      <c r="U5893" t="n">
        <v>0</v>
      </c>
      <c r="V5893" s="2" t="inlineStr"/>
    </row>
    <row r="5894" ht="15" customHeight="1">
      <c r="A5894" t="inlineStr">
        <is>
          <t>A 33035-2022</t>
        </is>
      </c>
      <c r="B5894" t="inlineStr">
        <is>
          <t>avverkningsanmälan</t>
        </is>
      </c>
      <c r="C5894" t="inlineStr">
        <is>
          <t>Föryngringsavverkning</t>
        </is>
      </c>
      <c r="D5894" s="1" t="n">
        <v>44785</v>
      </c>
      <c r="E5894" s="1" t="n">
        <v>46323</v>
      </c>
      <c r="F5894" t="inlineStr">
        <is>
          <t>KALMAR LÄN</t>
        </is>
      </c>
      <c r="G5894" t="inlineStr">
        <is>
          <t>NYBRO</t>
        </is>
      </c>
      <c r="I5894" t="n">
        <v>1.2</v>
      </c>
      <c r="J5894" t="n">
        <v>0</v>
      </c>
      <c r="K5894" t="n">
        <v>0</v>
      </c>
      <c r="L5894" t="n">
        <v>0</v>
      </c>
      <c r="M5894" t="n">
        <v>0</v>
      </c>
      <c r="N5894" t="n">
        <v>0</v>
      </c>
      <c r="O5894" t="n">
        <v>0</v>
      </c>
      <c r="P5894" t="n">
        <v>0</v>
      </c>
      <c r="Q5894" t="n">
        <v>0</v>
      </c>
      <c r="R5894" t="n">
        <v>0</v>
      </c>
      <c r="S5894" t="n">
        <v>0</v>
      </c>
      <c r="T5894" t="n">
        <v>0</v>
      </c>
      <c r="U5894" t="n">
        <v>0</v>
      </c>
      <c r="V5894" s="2" t="inlineStr"/>
    </row>
    <row r="5895" ht="15" customHeight="1">
      <c r="A5895" t="inlineStr">
        <is>
          <t>A 43693-2026</t>
        </is>
      </c>
      <c r="B5895" t="inlineStr">
        <is>
          <t>avverkningsanmälan</t>
        </is>
      </c>
      <c r="C5895" t="inlineStr">
        <is>
          <t>Föryngringsavverkning</t>
        </is>
      </c>
      <c r="D5895" s="1" t="n">
        <v>46316</v>
      </c>
      <c r="E5895" s="1" t="n">
        <v>46323</v>
      </c>
      <c r="F5895" t="inlineStr">
        <is>
          <t>KALMAR LÄN</t>
        </is>
      </c>
      <c r="G5895" t="inlineStr">
        <is>
          <t>MÖRBYLÅNGA</t>
        </is>
      </c>
      <c r="I5895" t="n">
        <v>1.2</v>
      </c>
      <c r="J5895" t="n">
        <v>0</v>
      </c>
      <c r="K5895" t="n">
        <v>0</v>
      </c>
      <c r="L5895" t="n">
        <v>0</v>
      </c>
      <c r="M5895" t="n">
        <v>0</v>
      </c>
      <c r="N5895" t="n">
        <v>0</v>
      </c>
      <c r="O5895" t="n">
        <v>0</v>
      </c>
      <c r="P5895" t="n">
        <v>0</v>
      </c>
      <c r="Q5895" t="n">
        <v>0</v>
      </c>
      <c r="R5895" t="n">
        <v>0</v>
      </c>
      <c r="S5895" t="n">
        <v>0</v>
      </c>
      <c r="T5895" t="n">
        <v>0</v>
      </c>
      <c r="U5895" t="n">
        <v>0</v>
      </c>
      <c r="V5895" s="2" t="inlineStr"/>
    </row>
    <row r="5896" ht="15" customHeight="1">
      <c r="A5896" t="inlineStr">
        <is>
          <t>A 20758-2026</t>
        </is>
      </c>
      <c r="B5896" t="inlineStr">
        <is>
          <t>avverkningsanmälan</t>
        </is>
      </c>
      <c r="C5896" t="inlineStr">
        <is>
          <t>Avverkning för annat ändamål</t>
        </is>
      </c>
      <c r="D5896" s="1" t="n">
        <v>46141</v>
      </c>
      <c r="E5896" s="1" t="n">
        <v>46323</v>
      </c>
      <c r="F5896" t="inlineStr">
        <is>
          <t>KALMAR LÄN</t>
        </is>
      </c>
      <c r="G5896" t="inlineStr">
        <is>
          <t>OSKARSHAMN</t>
        </is>
      </c>
      <c r="I5896" t="n">
        <v>2.3</v>
      </c>
      <c r="J5896" t="n">
        <v>0</v>
      </c>
      <c r="K5896" t="n">
        <v>0</v>
      </c>
      <c r="L5896" t="n">
        <v>0</v>
      </c>
      <c r="M5896" t="n">
        <v>0</v>
      </c>
      <c r="N5896" t="n">
        <v>0</v>
      </c>
      <c r="O5896" t="n">
        <v>0</v>
      </c>
      <c r="P5896" t="n">
        <v>0</v>
      </c>
      <c r="Q5896" t="n">
        <v>0</v>
      </c>
      <c r="R5896" t="n">
        <v>0</v>
      </c>
      <c r="S5896" t="n">
        <v>0</v>
      </c>
      <c r="T5896" t="n">
        <v>0</v>
      </c>
      <c r="U5896" t="n">
        <v>0</v>
      </c>
      <c r="V5896" s="2" t="inlineStr"/>
    </row>
    <row r="5897" ht="15" customHeight="1">
      <c r="A5897" t="inlineStr">
        <is>
          <t>A 20761-2026</t>
        </is>
      </c>
      <c r="B5897" t="inlineStr">
        <is>
          <t>avverkningsanmälan</t>
        </is>
      </c>
      <c r="C5897" t="inlineStr">
        <is>
          <t>Föryngringsavverkning</t>
        </is>
      </c>
      <c r="D5897" s="1" t="n">
        <v>46141</v>
      </c>
      <c r="E5897" s="1" t="n">
        <v>46323</v>
      </c>
      <c r="F5897" t="inlineStr">
        <is>
          <t>KALMAR LÄN</t>
        </is>
      </c>
      <c r="G5897" t="inlineStr">
        <is>
          <t>OSKARSHAMN</t>
        </is>
      </c>
      <c r="I5897" t="n">
        <v>1.5</v>
      </c>
      <c r="J5897" t="n">
        <v>0</v>
      </c>
      <c r="K5897" t="n">
        <v>0</v>
      </c>
      <c r="L5897" t="n">
        <v>0</v>
      </c>
      <c r="M5897" t="n">
        <v>0</v>
      </c>
      <c r="N5897" t="n">
        <v>0</v>
      </c>
      <c r="O5897" t="n">
        <v>0</v>
      </c>
      <c r="P5897" t="n">
        <v>0</v>
      </c>
      <c r="Q5897" t="n">
        <v>0</v>
      </c>
      <c r="R5897" t="n">
        <v>0</v>
      </c>
      <c r="S5897" t="n">
        <v>0</v>
      </c>
      <c r="T5897" t="n">
        <v>0</v>
      </c>
      <c r="U5897" t="n">
        <v>0</v>
      </c>
      <c r="V5897" s="2" t="inlineStr"/>
    </row>
    <row r="5898" ht="15" customHeight="1">
      <c r="A5898" t="inlineStr">
        <is>
          <t>A 20769-2026</t>
        </is>
      </c>
      <c r="B5898" t="inlineStr">
        <is>
          <t>avverkningsanmälan</t>
        </is>
      </c>
      <c r="C5898" t="inlineStr">
        <is>
          <t>Föryngringsavverkning</t>
        </is>
      </c>
      <c r="D5898" s="1" t="n">
        <v>46141</v>
      </c>
      <c r="E5898" s="1" t="n">
        <v>46323</v>
      </c>
      <c r="F5898" t="inlineStr">
        <is>
          <t>KALMAR LÄN</t>
        </is>
      </c>
      <c r="G5898" t="inlineStr">
        <is>
          <t>OSKARSHAMN</t>
        </is>
      </c>
      <c r="I5898" t="n">
        <v>4.2</v>
      </c>
      <c r="J5898" t="n">
        <v>0</v>
      </c>
      <c r="K5898" t="n">
        <v>0</v>
      </c>
      <c r="L5898" t="n">
        <v>0</v>
      </c>
      <c r="M5898" t="n">
        <v>0</v>
      </c>
      <c r="N5898" t="n">
        <v>0</v>
      </c>
      <c r="O5898" t="n">
        <v>0</v>
      </c>
      <c r="P5898" t="n">
        <v>0</v>
      </c>
      <c r="Q5898" t="n">
        <v>0</v>
      </c>
      <c r="R5898" t="n">
        <v>0</v>
      </c>
      <c r="S5898" t="n">
        <v>0</v>
      </c>
      <c r="T5898" t="n">
        <v>0</v>
      </c>
      <c r="U5898" t="n">
        <v>0</v>
      </c>
      <c r="V5898" s="2" t="inlineStr"/>
    </row>
    <row r="5899" ht="15" customHeight="1">
      <c r="A5899" t="inlineStr">
        <is>
          <t>A 30644-2025</t>
        </is>
      </c>
      <c r="B5899" t="inlineStr">
        <is>
          <t>avverkningsanmälan</t>
        </is>
      </c>
      <c r="C5899" t="inlineStr">
        <is>
          <t>Föryngringsavverkning</t>
        </is>
      </c>
      <c r="D5899" s="1" t="n">
        <v>45831</v>
      </c>
      <c r="E5899" s="1" t="n">
        <v>46323</v>
      </c>
      <c r="F5899" t="inlineStr">
        <is>
          <t>KALMAR LÄN</t>
        </is>
      </c>
      <c r="G5899" t="inlineStr">
        <is>
          <t>VÄSTERVIK</t>
        </is>
      </c>
      <c r="I5899" t="n">
        <v>0.8</v>
      </c>
      <c r="J5899" t="n">
        <v>0</v>
      </c>
      <c r="K5899" t="n">
        <v>0</v>
      </c>
      <c r="L5899" t="n">
        <v>0</v>
      </c>
      <c r="M5899" t="n">
        <v>0</v>
      </c>
      <c r="N5899" t="n">
        <v>0</v>
      </c>
      <c r="O5899" t="n">
        <v>0</v>
      </c>
      <c r="P5899" t="n">
        <v>0</v>
      </c>
      <c r="Q5899" t="n">
        <v>0</v>
      </c>
      <c r="R5899" t="n">
        <v>0</v>
      </c>
      <c r="S5899" t="n">
        <v>0</v>
      </c>
      <c r="T5899" t="n">
        <v>0</v>
      </c>
      <c r="U5899" t="n">
        <v>0</v>
      </c>
      <c r="V5899" s="2" t="inlineStr"/>
    </row>
    <row r="5900" ht="15" customHeight="1">
      <c r="A5900" t="inlineStr">
        <is>
          <t>A 30956-2025</t>
        </is>
      </c>
      <c r="B5900" t="inlineStr">
        <is>
          <t>avverkningsanmälan</t>
        </is>
      </c>
      <c r="C5900" t="inlineStr">
        <is>
          <t>Föryngringsavverkning</t>
        </is>
      </c>
      <c r="D5900" s="1" t="n">
        <v>45832</v>
      </c>
      <c r="E5900" s="1" t="n">
        <v>46323</v>
      </c>
      <c r="F5900" t="inlineStr">
        <is>
          <t>KALMAR LÄN</t>
        </is>
      </c>
      <c r="G5900" t="inlineStr">
        <is>
          <t>OSKARSHAMN</t>
        </is>
      </c>
      <c r="I5900" t="n">
        <v>11.7</v>
      </c>
      <c r="J5900" t="n">
        <v>0</v>
      </c>
      <c r="K5900" t="n">
        <v>0</v>
      </c>
      <c r="L5900" t="n">
        <v>0</v>
      </c>
      <c r="M5900" t="n">
        <v>0</v>
      </c>
      <c r="N5900" t="n">
        <v>0</v>
      </c>
      <c r="O5900" t="n">
        <v>0</v>
      </c>
      <c r="P5900" t="n">
        <v>0</v>
      </c>
      <c r="Q5900" t="n">
        <v>0</v>
      </c>
      <c r="R5900" t="n">
        <v>0</v>
      </c>
      <c r="S5900" t="n">
        <v>0</v>
      </c>
      <c r="T5900" t="n">
        <v>0</v>
      </c>
      <c r="U5900" t="n">
        <v>0</v>
      </c>
      <c r="V5900" s="2" t="inlineStr"/>
    </row>
    <row r="5901" ht="15" customHeight="1">
      <c r="A5901" t="inlineStr">
        <is>
          <t>A 35667-2023</t>
        </is>
      </c>
      <c r="B5901" t="inlineStr">
        <is>
          <t>avverkningsanmälan</t>
        </is>
      </c>
      <c r="C5901" t="inlineStr">
        <is>
          <t>Föryngringsavverkning</t>
        </is>
      </c>
      <c r="D5901" s="1" t="n">
        <v>45147</v>
      </c>
      <c r="E5901" s="1" t="n">
        <v>46323</v>
      </c>
      <c r="F5901" t="inlineStr">
        <is>
          <t>KALMAR LÄN</t>
        </is>
      </c>
      <c r="G5901" t="inlineStr">
        <is>
          <t>VÄSTERVIK</t>
        </is>
      </c>
      <c r="I5901" t="n">
        <v>1.8</v>
      </c>
      <c r="J5901" t="n">
        <v>0</v>
      </c>
      <c r="K5901" t="n">
        <v>0</v>
      </c>
      <c r="L5901" t="n">
        <v>0</v>
      </c>
      <c r="M5901" t="n">
        <v>0</v>
      </c>
      <c r="N5901" t="n">
        <v>0</v>
      </c>
      <c r="O5901" t="n">
        <v>0</v>
      </c>
      <c r="P5901" t="n">
        <v>0</v>
      </c>
      <c r="Q5901" t="n">
        <v>0</v>
      </c>
      <c r="R5901" t="n">
        <v>0</v>
      </c>
      <c r="S5901" t="n">
        <v>0</v>
      </c>
      <c r="T5901" t="n">
        <v>0</v>
      </c>
      <c r="U5901" t="n">
        <v>0</v>
      </c>
      <c r="V5901" s="2" t="inlineStr"/>
    </row>
    <row r="5902" ht="15" customHeight="1">
      <c r="A5902" t="inlineStr">
        <is>
          <t>A 58862-2023</t>
        </is>
      </c>
      <c r="B5902" t="inlineStr">
        <is>
          <t>avverkningsanmälan</t>
        </is>
      </c>
      <c r="C5902" t="inlineStr">
        <is>
          <t>Föryngringsavverkning</t>
        </is>
      </c>
      <c r="D5902" s="1" t="n">
        <v>45247</v>
      </c>
      <c r="E5902" s="1" t="n">
        <v>46323</v>
      </c>
      <c r="F5902" t="inlineStr">
        <is>
          <t>KALMAR LÄN</t>
        </is>
      </c>
      <c r="G5902" t="inlineStr">
        <is>
          <t>HULTSFRED</t>
        </is>
      </c>
      <c r="I5902" t="n">
        <v>1.2</v>
      </c>
      <c r="J5902" t="n">
        <v>0</v>
      </c>
      <c r="K5902" t="n">
        <v>0</v>
      </c>
      <c r="L5902" t="n">
        <v>0</v>
      </c>
      <c r="M5902" t="n">
        <v>0</v>
      </c>
      <c r="N5902" t="n">
        <v>0</v>
      </c>
      <c r="O5902" t="n">
        <v>0</v>
      </c>
      <c r="P5902" t="n">
        <v>0</v>
      </c>
      <c r="Q5902" t="n">
        <v>0</v>
      </c>
      <c r="R5902" t="n">
        <v>0</v>
      </c>
      <c r="S5902" t="n">
        <v>0</v>
      </c>
      <c r="T5902" t="n">
        <v>0</v>
      </c>
      <c r="U5902" t="n">
        <v>0</v>
      </c>
      <c r="V5902" s="2" t="inlineStr"/>
    </row>
    <row r="5903" ht="15" customHeight="1">
      <c r="A5903" t="inlineStr">
        <is>
          <t>A 42369-2024</t>
        </is>
      </c>
      <c r="B5903" t="inlineStr">
        <is>
          <t>avverkningsanmälan</t>
        </is>
      </c>
      <c r="C5903" t="inlineStr">
        <is>
          <t>Föryngringsavverkning</t>
        </is>
      </c>
      <c r="D5903" s="1" t="n">
        <v>45564</v>
      </c>
      <c r="E5903" s="1" t="n">
        <v>46323</v>
      </c>
      <c r="F5903" t="inlineStr">
        <is>
          <t>KALMAR LÄN</t>
        </is>
      </c>
      <c r="G5903" t="inlineStr">
        <is>
          <t>KALMAR</t>
        </is>
      </c>
      <c r="I5903" t="n">
        <v>7.1</v>
      </c>
      <c r="J5903" t="n">
        <v>0</v>
      </c>
      <c r="K5903" t="n">
        <v>0</v>
      </c>
      <c r="L5903" t="n">
        <v>0</v>
      </c>
      <c r="M5903" t="n">
        <v>0</v>
      </c>
      <c r="N5903" t="n">
        <v>0</v>
      </c>
      <c r="O5903" t="n">
        <v>0</v>
      </c>
      <c r="P5903" t="n">
        <v>0</v>
      </c>
      <c r="Q5903" t="n">
        <v>0</v>
      </c>
      <c r="R5903" t="n">
        <v>0</v>
      </c>
      <c r="S5903" t="n">
        <v>0</v>
      </c>
      <c r="T5903" t="n">
        <v>0</v>
      </c>
      <c r="U5903" t="n">
        <v>0</v>
      </c>
      <c r="V5903" s="2" t="inlineStr"/>
    </row>
    <row r="5904" ht="15" customHeight="1">
      <c r="A5904" t="inlineStr">
        <is>
          <t>A 15932-2023</t>
        </is>
      </c>
      <c r="B5904" t="inlineStr">
        <is>
          <t>avverkningsanmälan</t>
        </is>
      </c>
      <c r="C5904" t="inlineStr">
        <is>
          <t>Föryngringsavverkning</t>
        </is>
      </c>
      <c r="D5904" s="1" t="n">
        <v>45022</v>
      </c>
      <c r="E5904" s="1" t="n">
        <v>46323</v>
      </c>
      <c r="F5904" t="inlineStr">
        <is>
          <t>KALMAR LÄN</t>
        </is>
      </c>
      <c r="G5904" t="inlineStr">
        <is>
          <t>OSKARSHAMN</t>
        </is>
      </c>
      <c r="I5904" t="n">
        <v>2.1</v>
      </c>
      <c r="J5904" t="n">
        <v>0</v>
      </c>
      <c r="K5904" t="n">
        <v>0</v>
      </c>
      <c r="L5904" t="n">
        <v>0</v>
      </c>
      <c r="M5904" t="n">
        <v>0</v>
      </c>
      <c r="N5904" t="n">
        <v>0</v>
      </c>
      <c r="O5904" t="n">
        <v>0</v>
      </c>
      <c r="P5904" t="n">
        <v>0</v>
      </c>
      <c r="Q5904" t="n">
        <v>0</v>
      </c>
      <c r="R5904" t="n">
        <v>0</v>
      </c>
      <c r="S5904" t="n">
        <v>0</v>
      </c>
      <c r="T5904" t="n">
        <v>0</v>
      </c>
      <c r="U5904" t="n">
        <v>0</v>
      </c>
      <c r="V5904" s="2" t="inlineStr"/>
    </row>
    <row r="5905" ht="15" customHeight="1">
      <c r="A5905" t="inlineStr">
        <is>
          <t>A 5958-2025</t>
        </is>
      </c>
      <c r="B5905" t="inlineStr">
        <is>
          <t>avverkningsanmälan</t>
        </is>
      </c>
      <c r="C5905" t="inlineStr">
        <is>
          <t>Föryngringsavverkning</t>
        </is>
      </c>
      <c r="D5905" s="1" t="n">
        <v>45695</v>
      </c>
      <c r="E5905" s="1" t="n">
        <v>46323</v>
      </c>
      <c r="F5905" t="inlineStr">
        <is>
          <t>KALMAR LÄN</t>
        </is>
      </c>
      <c r="G5905" t="inlineStr">
        <is>
          <t>TORSÅS</t>
        </is>
      </c>
      <c r="I5905" t="n">
        <v>0.6</v>
      </c>
      <c r="J5905" t="n">
        <v>0</v>
      </c>
      <c r="K5905" t="n">
        <v>0</v>
      </c>
      <c r="L5905" t="n">
        <v>0</v>
      </c>
      <c r="M5905" t="n">
        <v>0</v>
      </c>
      <c r="N5905" t="n">
        <v>0</v>
      </c>
      <c r="O5905" t="n">
        <v>0</v>
      </c>
      <c r="P5905" t="n">
        <v>0</v>
      </c>
      <c r="Q5905" t="n">
        <v>0</v>
      </c>
      <c r="R5905" t="n">
        <v>0</v>
      </c>
      <c r="S5905" t="n">
        <v>0</v>
      </c>
      <c r="T5905" t="n">
        <v>0</v>
      </c>
      <c r="U5905" t="n">
        <v>0</v>
      </c>
      <c r="V5905" s="2" t="inlineStr"/>
    </row>
    <row r="5906" ht="15" customHeight="1">
      <c r="A5906" t="inlineStr">
        <is>
          <t>A 15875-2023</t>
        </is>
      </c>
      <c r="B5906" t="inlineStr">
        <is>
          <t>avverkningsanmälan</t>
        </is>
      </c>
      <c r="C5906" t="inlineStr">
        <is>
          <t>Föryngringsavverkning</t>
        </is>
      </c>
      <c r="D5906" s="1" t="n">
        <v>45022</v>
      </c>
      <c r="E5906" s="1" t="n">
        <v>46323</v>
      </c>
      <c r="F5906" t="inlineStr">
        <is>
          <t>KALMAR LÄN</t>
        </is>
      </c>
      <c r="G5906" t="inlineStr">
        <is>
          <t>VÄSTERVIK</t>
        </is>
      </c>
      <c r="H5906" t="inlineStr">
        <is>
          <t>Kyrkan</t>
        </is>
      </c>
      <c r="I5906" t="n">
        <v>3.2</v>
      </c>
      <c r="J5906" t="n">
        <v>0</v>
      </c>
      <c r="K5906" t="n">
        <v>0</v>
      </c>
      <c r="L5906" t="n">
        <v>0</v>
      </c>
      <c r="M5906" t="n">
        <v>0</v>
      </c>
      <c r="N5906" t="n">
        <v>0</v>
      </c>
      <c r="O5906" t="n">
        <v>0</v>
      </c>
      <c r="P5906" t="n">
        <v>0</v>
      </c>
      <c r="Q5906" t="n">
        <v>0</v>
      </c>
      <c r="R5906" t="n">
        <v>0</v>
      </c>
      <c r="S5906" t="n">
        <v>0</v>
      </c>
      <c r="T5906" t="n">
        <v>0</v>
      </c>
      <c r="U5906" t="n">
        <v>0</v>
      </c>
      <c r="V5906" s="2" t="inlineStr"/>
    </row>
    <row r="5907" ht="15" customHeight="1">
      <c r="A5907" t="inlineStr">
        <is>
          <t>A 49274-2025</t>
        </is>
      </c>
      <c r="B5907" t="inlineStr">
        <is>
          <t>avverkningsanmälan</t>
        </is>
      </c>
      <c r="C5907" t="inlineStr">
        <is>
          <t>Föryngringsavverkning</t>
        </is>
      </c>
      <c r="D5907" s="1" t="n">
        <v>45938</v>
      </c>
      <c r="E5907" s="1" t="n">
        <v>46323</v>
      </c>
      <c r="F5907" t="inlineStr">
        <is>
          <t>KALMAR LÄN</t>
        </is>
      </c>
      <c r="G5907" t="inlineStr">
        <is>
          <t>EMMABODA</t>
        </is>
      </c>
      <c r="I5907" t="n">
        <v>4</v>
      </c>
      <c r="J5907" t="n">
        <v>0</v>
      </c>
      <c r="K5907" t="n">
        <v>0</v>
      </c>
      <c r="L5907" t="n">
        <v>0</v>
      </c>
      <c r="M5907" t="n">
        <v>0</v>
      </c>
      <c r="N5907" t="n">
        <v>0</v>
      </c>
      <c r="O5907" t="n">
        <v>0</v>
      </c>
      <c r="P5907" t="n">
        <v>0</v>
      </c>
      <c r="Q5907" t="n">
        <v>0</v>
      </c>
      <c r="R5907" t="n">
        <v>0</v>
      </c>
      <c r="S5907" t="n">
        <v>0</v>
      </c>
      <c r="T5907" t="n">
        <v>0</v>
      </c>
      <c r="U5907" t="n">
        <v>0</v>
      </c>
      <c r="V5907" s="2" t="inlineStr"/>
    </row>
    <row r="5908" ht="15" customHeight="1">
      <c r="A5908" t="inlineStr">
        <is>
          <t>A 60478-2024</t>
        </is>
      </c>
      <c r="B5908" t="inlineStr">
        <is>
          <t>avverkningsanmälan</t>
        </is>
      </c>
      <c r="C5908" t="inlineStr">
        <is>
          <t>Avverkning för annat ändamål</t>
        </is>
      </c>
      <c r="D5908" s="1" t="n">
        <v>45643</v>
      </c>
      <c r="E5908" s="1" t="n">
        <v>46323</v>
      </c>
      <c r="F5908" t="inlineStr">
        <is>
          <t>KALMAR LÄN</t>
        </is>
      </c>
      <c r="G5908" t="inlineStr">
        <is>
          <t>VÄSTERVIK</t>
        </is>
      </c>
      <c r="I5908" t="n">
        <v>1.7</v>
      </c>
      <c r="J5908" t="n">
        <v>0</v>
      </c>
      <c r="K5908" t="n">
        <v>0</v>
      </c>
      <c r="L5908" t="n">
        <v>0</v>
      </c>
      <c r="M5908" t="n">
        <v>0</v>
      </c>
      <c r="N5908" t="n">
        <v>0</v>
      </c>
      <c r="O5908" t="n">
        <v>0</v>
      </c>
      <c r="P5908" t="n">
        <v>0</v>
      </c>
      <c r="Q5908" t="n">
        <v>0</v>
      </c>
      <c r="R5908" t="n">
        <v>0</v>
      </c>
      <c r="S5908" t="n">
        <v>0</v>
      </c>
      <c r="T5908" t="n">
        <v>0</v>
      </c>
      <c r="U5908" t="n">
        <v>0</v>
      </c>
      <c r="V5908" s="2" t="inlineStr"/>
    </row>
    <row r="5909" ht="15" customHeight="1">
      <c r="A5909" t="inlineStr">
        <is>
          <t>A 43837-2026</t>
        </is>
      </c>
      <c r="B5909" t="inlineStr">
        <is>
          <t>avverkningsanmälan</t>
        </is>
      </c>
      <c r="C5909" t="inlineStr">
        <is>
          <t>Föryngringsavverkning</t>
        </is>
      </c>
      <c r="D5909" s="1" t="n">
        <v>46316</v>
      </c>
      <c r="E5909" s="1" t="n">
        <v>46323</v>
      </c>
      <c r="F5909" t="inlineStr">
        <is>
          <t>KALMAR LÄN</t>
        </is>
      </c>
      <c r="G5909" t="inlineStr">
        <is>
          <t>VIMMERBY</t>
        </is>
      </c>
      <c r="I5909" t="n">
        <v>0.8</v>
      </c>
      <c r="J5909" t="n">
        <v>0</v>
      </c>
      <c r="K5909" t="n">
        <v>0</v>
      </c>
      <c r="L5909" t="n">
        <v>0</v>
      </c>
      <c r="M5909" t="n">
        <v>0</v>
      </c>
      <c r="N5909" t="n">
        <v>0</v>
      </c>
      <c r="O5909" t="n">
        <v>0</v>
      </c>
      <c r="P5909" t="n">
        <v>0</v>
      </c>
      <c r="Q5909" t="n">
        <v>0</v>
      </c>
      <c r="R5909" t="n">
        <v>0</v>
      </c>
      <c r="S5909" t="n">
        <v>0</v>
      </c>
      <c r="T5909" t="n">
        <v>0</v>
      </c>
      <c r="U5909" t="n">
        <v>0</v>
      </c>
      <c r="V5909" s="2" t="inlineStr"/>
    </row>
    <row r="5910" ht="15" customHeight="1">
      <c r="A5910" t="inlineStr">
        <is>
          <t>A 36689-2026</t>
        </is>
      </c>
      <c r="B5910" t="inlineStr">
        <is>
          <t>avverkningsanmälan</t>
        </is>
      </c>
      <c r="C5910" t="inlineStr">
        <is>
          <t>Föryngringsavverkning</t>
        </is>
      </c>
      <c r="D5910" s="1" t="n">
        <v>46272</v>
      </c>
      <c r="E5910" s="1" t="n">
        <v>46323</v>
      </c>
      <c r="F5910" t="inlineStr">
        <is>
          <t>KALMAR LÄN</t>
        </is>
      </c>
      <c r="G5910" t="inlineStr">
        <is>
          <t>HULTSFRED</t>
        </is>
      </c>
      <c r="I5910" t="n">
        <v>1</v>
      </c>
      <c r="J5910" t="n">
        <v>0</v>
      </c>
      <c r="K5910" t="n">
        <v>0</v>
      </c>
      <c r="L5910" t="n">
        <v>0</v>
      </c>
      <c r="M5910" t="n">
        <v>0</v>
      </c>
      <c r="N5910" t="n">
        <v>0</v>
      </c>
      <c r="O5910" t="n">
        <v>0</v>
      </c>
      <c r="P5910" t="n">
        <v>0</v>
      </c>
      <c r="Q5910" t="n">
        <v>0</v>
      </c>
      <c r="R5910" t="n">
        <v>0</v>
      </c>
      <c r="S5910" t="n">
        <v>0</v>
      </c>
      <c r="T5910" t="n">
        <v>0</v>
      </c>
      <c r="U5910" t="n">
        <v>0</v>
      </c>
      <c r="V5910" s="2" t="inlineStr"/>
    </row>
    <row r="5911" ht="15" customHeight="1">
      <c r="A5911" t="inlineStr">
        <is>
          <t>A 16804-2024</t>
        </is>
      </c>
      <c r="B5911" t="inlineStr">
        <is>
          <t>avverkningsanmälan</t>
        </is>
      </c>
      <c r="C5911" t="inlineStr">
        <is>
          <t>Föryngringsavverkning</t>
        </is>
      </c>
      <c r="D5911" s="1" t="n">
        <v>45411</v>
      </c>
      <c r="E5911" s="1" t="n">
        <v>46323</v>
      </c>
      <c r="F5911" t="inlineStr">
        <is>
          <t>KALMAR LÄN</t>
        </is>
      </c>
      <c r="G5911" t="inlineStr">
        <is>
          <t>KALMAR</t>
        </is>
      </c>
      <c r="I5911" t="n">
        <v>2.4</v>
      </c>
      <c r="J5911" t="n">
        <v>0</v>
      </c>
      <c r="K5911" t="n">
        <v>0</v>
      </c>
      <c r="L5911" t="n">
        <v>0</v>
      </c>
      <c r="M5911" t="n">
        <v>0</v>
      </c>
      <c r="N5911" t="n">
        <v>0</v>
      </c>
      <c r="O5911" t="n">
        <v>0</v>
      </c>
      <c r="P5911" t="n">
        <v>0</v>
      </c>
      <c r="Q5911" t="n">
        <v>0</v>
      </c>
      <c r="R5911" t="n">
        <v>0</v>
      </c>
      <c r="S5911" t="n">
        <v>0</v>
      </c>
      <c r="T5911" t="n">
        <v>0</v>
      </c>
      <c r="U5911" t="n">
        <v>0</v>
      </c>
      <c r="V5911" s="2" t="inlineStr"/>
    </row>
    <row r="5912" ht="15" customHeight="1">
      <c r="A5912" t="inlineStr">
        <is>
          <t>A 20642-2026</t>
        </is>
      </c>
      <c r="B5912" t="inlineStr">
        <is>
          <t>avverkningsanmälan</t>
        </is>
      </c>
      <c r="C5912" t="inlineStr">
        <is>
          <t>Föryngringsavverkning</t>
        </is>
      </c>
      <c r="D5912" s="1" t="n">
        <v>46141</v>
      </c>
      <c r="E5912" s="1" t="n">
        <v>46323</v>
      </c>
      <c r="F5912" t="inlineStr">
        <is>
          <t>KALMAR LÄN</t>
        </is>
      </c>
      <c r="G5912" t="inlineStr">
        <is>
          <t>NYBRO</t>
        </is>
      </c>
      <c r="H5912" t="inlineStr">
        <is>
          <t>Sveaskog</t>
        </is>
      </c>
      <c r="I5912" t="n">
        <v>4.1</v>
      </c>
      <c r="J5912" t="n">
        <v>0</v>
      </c>
      <c r="K5912" t="n">
        <v>0</v>
      </c>
      <c r="L5912" t="n">
        <v>0</v>
      </c>
      <c r="M5912" t="n">
        <v>0</v>
      </c>
      <c r="N5912" t="n">
        <v>0</v>
      </c>
      <c r="O5912" t="n">
        <v>0</v>
      </c>
      <c r="P5912" t="n">
        <v>0</v>
      </c>
      <c r="Q5912" t="n">
        <v>0</v>
      </c>
      <c r="R5912" t="n">
        <v>0</v>
      </c>
      <c r="S5912" t="n">
        <v>0</v>
      </c>
      <c r="T5912" t="n">
        <v>0</v>
      </c>
      <c r="U5912" t="n">
        <v>0</v>
      </c>
      <c r="V5912" s="2" t="inlineStr"/>
    </row>
    <row r="5913" ht="15" customHeight="1">
      <c r="A5913" t="inlineStr">
        <is>
          <t>A 49626-2023</t>
        </is>
      </c>
      <c r="B5913" t="inlineStr">
        <is>
          <t>avverkningsanmälan</t>
        </is>
      </c>
      <c r="C5913" t="inlineStr">
        <is>
          <t>Föryngringsavverkning</t>
        </is>
      </c>
      <c r="D5913" s="1" t="n">
        <v>45211</v>
      </c>
      <c r="E5913" s="1" t="n">
        <v>46323</v>
      </c>
      <c r="F5913" t="inlineStr">
        <is>
          <t>KALMAR LÄN</t>
        </is>
      </c>
      <c r="G5913" t="inlineStr">
        <is>
          <t>EMMABODA</t>
        </is>
      </c>
      <c r="I5913" t="n">
        <v>0</v>
      </c>
      <c r="J5913" t="n">
        <v>0</v>
      </c>
      <c r="K5913" t="n">
        <v>0</v>
      </c>
      <c r="L5913" t="n">
        <v>0</v>
      </c>
      <c r="M5913" t="n">
        <v>0</v>
      </c>
      <c r="N5913" t="n">
        <v>0</v>
      </c>
      <c r="O5913" t="n">
        <v>0</v>
      </c>
      <c r="P5913" t="n">
        <v>0</v>
      </c>
      <c r="Q5913" t="n">
        <v>0</v>
      </c>
      <c r="R5913" t="n">
        <v>0</v>
      </c>
      <c r="S5913" t="n">
        <v>0</v>
      </c>
      <c r="T5913" t="n">
        <v>0</v>
      </c>
      <c r="U5913" t="n">
        <v>0</v>
      </c>
      <c r="V5913" s="2" t="inlineStr"/>
    </row>
    <row r="5914" ht="15" customHeight="1">
      <c r="A5914" t="inlineStr">
        <is>
          <t>A 43535-2026</t>
        </is>
      </c>
      <c r="B5914" t="inlineStr">
        <is>
          <t>avverkningsanmälan</t>
        </is>
      </c>
      <c r="C5914" t="inlineStr">
        <is>
          <t>Föryngringsavverkning</t>
        </is>
      </c>
      <c r="D5914" s="1" t="n">
        <v>46315</v>
      </c>
      <c r="E5914" s="1" t="n">
        <v>46323</v>
      </c>
      <c r="F5914" t="inlineStr">
        <is>
          <t>KALMAR LÄN</t>
        </is>
      </c>
      <c r="G5914" t="inlineStr">
        <is>
          <t>VÄSTERVIK</t>
        </is>
      </c>
      <c r="H5914" t="inlineStr">
        <is>
          <t>Sveaskog</t>
        </is>
      </c>
      <c r="I5914" t="n">
        <v>2.4</v>
      </c>
      <c r="J5914" t="n">
        <v>0</v>
      </c>
      <c r="K5914" t="n">
        <v>0</v>
      </c>
      <c r="L5914" t="n">
        <v>0</v>
      </c>
      <c r="M5914" t="n">
        <v>0</v>
      </c>
      <c r="N5914" t="n">
        <v>0</v>
      </c>
      <c r="O5914" t="n">
        <v>0</v>
      </c>
      <c r="P5914" t="n">
        <v>0</v>
      </c>
      <c r="Q5914" t="n">
        <v>0</v>
      </c>
      <c r="R5914" t="n">
        <v>0</v>
      </c>
      <c r="S5914" t="n">
        <v>0</v>
      </c>
      <c r="T5914" t="n">
        <v>0</v>
      </c>
      <c r="U5914" t="n">
        <v>0</v>
      </c>
      <c r="V5914" s="2" t="inlineStr"/>
    </row>
    <row r="5915" ht="15" customHeight="1">
      <c r="A5915" t="inlineStr">
        <is>
          <t>A 36715-2026</t>
        </is>
      </c>
      <c r="B5915" t="inlineStr">
        <is>
          <t>avverkningsanmälan</t>
        </is>
      </c>
      <c r="C5915" t="inlineStr">
        <is>
          <t>Föryngringsavverkning</t>
        </is>
      </c>
      <c r="D5915" s="1" t="n">
        <v>46272</v>
      </c>
      <c r="E5915" s="1" t="n">
        <v>46323</v>
      </c>
      <c r="F5915" t="inlineStr">
        <is>
          <t>KALMAR LÄN</t>
        </is>
      </c>
      <c r="G5915" t="inlineStr">
        <is>
          <t>TORSÅS</t>
        </is>
      </c>
      <c r="I5915" t="n">
        <v>1.2</v>
      </c>
      <c r="J5915" t="n">
        <v>0</v>
      </c>
      <c r="K5915" t="n">
        <v>0</v>
      </c>
      <c r="L5915" t="n">
        <v>0</v>
      </c>
      <c r="M5915" t="n">
        <v>0</v>
      </c>
      <c r="N5915" t="n">
        <v>0</v>
      </c>
      <c r="O5915" t="n">
        <v>0</v>
      </c>
      <c r="P5915" t="n">
        <v>0</v>
      </c>
      <c r="Q5915" t="n">
        <v>0</v>
      </c>
      <c r="R5915" t="n">
        <v>0</v>
      </c>
      <c r="S5915" t="n">
        <v>0</v>
      </c>
      <c r="T5915" t="n">
        <v>0</v>
      </c>
      <c r="U5915" t="n">
        <v>0</v>
      </c>
      <c r="V5915" s="2" t="inlineStr"/>
    </row>
    <row r="5916" ht="15" customHeight="1">
      <c r="A5916" t="inlineStr">
        <is>
          <t>A 19403-2023</t>
        </is>
      </c>
      <c r="B5916" t="inlineStr">
        <is>
          <t>avverkningsanmälan</t>
        </is>
      </c>
      <c r="C5916" t="inlineStr">
        <is>
          <t>Föryngringsavverkning</t>
        </is>
      </c>
      <c r="D5916" s="1" t="n">
        <v>45049</v>
      </c>
      <c r="E5916" s="1" t="n">
        <v>46323</v>
      </c>
      <c r="F5916" t="inlineStr">
        <is>
          <t>KALMAR LÄN</t>
        </is>
      </c>
      <c r="G5916" t="inlineStr">
        <is>
          <t>HULTSFRED</t>
        </is>
      </c>
      <c r="I5916" t="n">
        <v>1.5</v>
      </c>
      <c r="J5916" t="n">
        <v>0</v>
      </c>
      <c r="K5916" t="n">
        <v>0</v>
      </c>
      <c r="L5916" t="n">
        <v>0</v>
      </c>
      <c r="M5916" t="n">
        <v>0</v>
      </c>
      <c r="N5916" t="n">
        <v>0</v>
      </c>
      <c r="O5916" t="n">
        <v>0</v>
      </c>
      <c r="P5916" t="n">
        <v>0</v>
      </c>
      <c r="Q5916" t="n">
        <v>0</v>
      </c>
      <c r="R5916" t="n">
        <v>0</v>
      </c>
      <c r="S5916" t="n">
        <v>0</v>
      </c>
      <c r="T5916" t="n">
        <v>0</v>
      </c>
      <c r="U5916" t="n">
        <v>0</v>
      </c>
      <c r="V5916" s="2" t="inlineStr"/>
    </row>
    <row r="5917" ht="15" customHeight="1">
      <c r="A5917" t="inlineStr">
        <is>
          <t>A 57555-2024</t>
        </is>
      </c>
      <c r="B5917" t="inlineStr">
        <is>
          <t>avverkningsanmälan</t>
        </is>
      </c>
      <c r="C5917" t="inlineStr">
        <is>
          <t>Föryngringsavverkning</t>
        </is>
      </c>
      <c r="D5917" s="1" t="n">
        <v>45630</v>
      </c>
      <c r="E5917" s="1" t="n">
        <v>46323</v>
      </c>
      <c r="F5917" t="inlineStr">
        <is>
          <t>KALMAR LÄN</t>
        </is>
      </c>
      <c r="G5917" t="inlineStr">
        <is>
          <t>VIMMERBY</t>
        </is>
      </c>
      <c r="I5917" t="n">
        <v>1.1</v>
      </c>
      <c r="J5917" t="n">
        <v>0</v>
      </c>
      <c r="K5917" t="n">
        <v>0</v>
      </c>
      <c r="L5917" t="n">
        <v>0</v>
      </c>
      <c r="M5917" t="n">
        <v>0</v>
      </c>
      <c r="N5917" t="n">
        <v>0</v>
      </c>
      <c r="O5917" t="n">
        <v>0</v>
      </c>
      <c r="P5917" t="n">
        <v>0</v>
      </c>
      <c r="Q5917" t="n">
        <v>0</v>
      </c>
      <c r="R5917" t="n">
        <v>0</v>
      </c>
      <c r="S5917" t="n">
        <v>0</v>
      </c>
      <c r="T5917" t="n">
        <v>0</v>
      </c>
      <c r="U5917" t="n">
        <v>0</v>
      </c>
      <c r="V5917" s="2" t="inlineStr"/>
    </row>
    <row r="5918" ht="15" customHeight="1">
      <c r="A5918" t="inlineStr">
        <is>
          <t>A 19795-2023</t>
        </is>
      </c>
      <c r="B5918" t="inlineStr">
        <is>
          <t>avverkningsanmälan</t>
        </is>
      </c>
      <c r="C5918" t="inlineStr">
        <is>
          <t>Föryngringsavverkning</t>
        </is>
      </c>
      <c r="D5918" s="1" t="n">
        <v>45051</v>
      </c>
      <c r="E5918" s="1" t="n">
        <v>46323</v>
      </c>
      <c r="F5918" t="inlineStr">
        <is>
          <t>KALMAR LÄN</t>
        </is>
      </c>
      <c r="G5918" t="inlineStr">
        <is>
          <t>OSKARSHAMN</t>
        </is>
      </c>
      <c r="H5918" t="inlineStr">
        <is>
          <t>Kommuner</t>
        </is>
      </c>
      <c r="I5918" t="n">
        <v>0.5</v>
      </c>
      <c r="J5918" t="n">
        <v>0</v>
      </c>
      <c r="K5918" t="n">
        <v>0</v>
      </c>
      <c r="L5918" t="n">
        <v>0</v>
      </c>
      <c r="M5918" t="n">
        <v>0</v>
      </c>
      <c r="N5918" t="n">
        <v>0</v>
      </c>
      <c r="O5918" t="n">
        <v>0</v>
      </c>
      <c r="P5918" t="n">
        <v>0</v>
      </c>
      <c r="Q5918" t="n">
        <v>0</v>
      </c>
      <c r="R5918" t="n">
        <v>0</v>
      </c>
      <c r="S5918" t="n">
        <v>0</v>
      </c>
      <c r="T5918" t="n">
        <v>0</v>
      </c>
      <c r="U5918" t="n">
        <v>0</v>
      </c>
      <c r="V5918" s="2" t="inlineStr"/>
    </row>
    <row r="5919" ht="15" customHeight="1">
      <c r="A5919" t="inlineStr">
        <is>
          <t>A 37019-2026</t>
        </is>
      </c>
      <c r="B5919" t="inlineStr">
        <is>
          <t>avverkningsanmälan</t>
        </is>
      </c>
      <c r="C5919" t="inlineStr">
        <is>
          <t>Föryngringsavverkning</t>
        </is>
      </c>
      <c r="D5919" s="1" t="n">
        <v>46273</v>
      </c>
      <c r="E5919" s="1" t="n">
        <v>46323</v>
      </c>
      <c r="F5919" t="inlineStr">
        <is>
          <t>KALMAR LÄN</t>
        </is>
      </c>
      <c r="G5919" t="inlineStr">
        <is>
          <t>KALMAR</t>
        </is>
      </c>
      <c r="I5919" t="n">
        <v>1</v>
      </c>
      <c r="J5919" t="n">
        <v>0</v>
      </c>
      <c r="K5919" t="n">
        <v>0</v>
      </c>
      <c r="L5919" t="n">
        <v>0</v>
      </c>
      <c r="M5919" t="n">
        <v>0</v>
      </c>
      <c r="N5919" t="n">
        <v>0</v>
      </c>
      <c r="O5919" t="n">
        <v>0</v>
      </c>
      <c r="P5919" t="n">
        <v>0</v>
      </c>
      <c r="Q5919" t="n">
        <v>0</v>
      </c>
      <c r="R5919" t="n">
        <v>0</v>
      </c>
      <c r="S5919" t="n">
        <v>0</v>
      </c>
      <c r="T5919" t="n">
        <v>0</v>
      </c>
      <c r="U5919" t="n">
        <v>0</v>
      </c>
      <c r="V5919" s="2" t="inlineStr"/>
    </row>
    <row r="5920" ht="15" customHeight="1">
      <c r="A5920" t="inlineStr">
        <is>
          <t>A 14299-2023</t>
        </is>
      </c>
      <c r="B5920" t="inlineStr">
        <is>
          <t>avverkningsanmälan</t>
        </is>
      </c>
      <c r="C5920" t="inlineStr">
        <is>
          <t>Föryngringsavverkning</t>
        </is>
      </c>
      <c r="D5920" s="1" t="n">
        <v>45011</v>
      </c>
      <c r="E5920" s="1" t="n">
        <v>46323</v>
      </c>
      <c r="F5920" t="inlineStr">
        <is>
          <t>KALMAR LÄN</t>
        </is>
      </c>
      <c r="G5920" t="inlineStr">
        <is>
          <t>NYBRO</t>
        </is>
      </c>
      <c r="I5920" t="n">
        <v>2.2</v>
      </c>
      <c r="J5920" t="n">
        <v>0</v>
      </c>
      <c r="K5920" t="n">
        <v>0</v>
      </c>
      <c r="L5920" t="n">
        <v>0</v>
      </c>
      <c r="M5920" t="n">
        <v>0</v>
      </c>
      <c r="N5920" t="n">
        <v>0</v>
      </c>
      <c r="O5920" t="n">
        <v>0</v>
      </c>
      <c r="P5920" t="n">
        <v>0</v>
      </c>
      <c r="Q5920" t="n">
        <v>0</v>
      </c>
      <c r="R5920" t="n">
        <v>0</v>
      </c>
      <c r="S5920" t="n">
        <v>0</v>
      </c>
      <c r="T5920" t="n">
        <v>0</v>
      </c>
      <c r="U5920" t="n">
        <v>0</v>
      </c>
      <c r="V5920" s="2" t="inlineStr"/>
    </row>
    <row r="5921" ht="15" customHeight="1">
      <c r="A5921" t="inlineStr">
        <is>
          <t>A 49096-2023</t>
        </is>
      </c>
      <c r="B5921" t="inlineStr">
        <is>
          <t>avverkningsanmälan</t>
        </is>
      </c>
      <c r="C5921" t="inlineStr">
        <is>
          <t>Föryngringsavverkning</t>
        </is>
      </c>
      <c r="D5921" s="1" t="n">
        <v>45210</v>
      </c>
      <c r="E5921" s="1" t="n">
        <v>46323</v>
      </c>
      <c r="F5921" t="inlineStr">
        <is>
          <t>KALMAR LÄN</t>
        </is>
      </c>
      <c r="G5921" t="inlineStr">
        <is>
          <t>NYBRO</t>
        </is>
      </c>
      <c r="I5921" t="n">
        <v>1.1</v>
      </c>
      <c r="J5921" t="n">
        <v>0</v>
      </c>
      <c r="K5921" t="n">
        <v>0</v>
      </c>
      <c r="L5921" t="n">
        <v>0</v>
      </c>
      <c r="M5921" t="n">
        <v>0</v>
      </c>
      <c r="N5921" t="n">
        <v>0</v>
      </c>
      <c r="O5921" t="n">
        <v>0</v>
      </c>
      <c r="P5921" t="n">
        <v>0</v>
      </c>
      <c r="Q5921" t="n">
        <v>0</v>
      </c>
      <c r="R5921" t="n">
        <v>0</v>
      </c>
      <c r="S5921" t="n">
        <v>0</v>
      </c>
      <c r="T5921" t="n">
        <v>0</v>
      </c>
      <c r="U5921" t="n">
        <v>0</v>
      </c>
      <c r="V5921" s="2" t="inlineStr"/>
    </row>
    <row r="5922" ht="15" customHeight="1">
      <c r="A5922" t="inlineStr">
        <is>
          <t>A 34565-2022</t>
        </is>
      </c>
      <c r="B5922" t="inlineStr">
        <is>
          <t>avverkningsanmälan</t>
        </is>
      </c>
      <c r="C5922" t="inlineStr">
        <is>
          <t>Föryngringsavverkning</t>
        </is>
      </c>
      <c r="D5922" s="1" t="n">
        <v>44794</v>
      </c>
      <c r="E5922" s="1" t="n">
        <v>46323</v>
      </c>
      <c r="F5922" t="inlineStr">
        <is>
          <t>KALMAR LÄN</t>
        </is>
      </c>
      <c r="G5922" t="inlineStr">
        <is>
          <t>HULTSFRED</t>
        </is>
      </c>
      <c r="I5922" t="n">
        <v>0.9</v>
      </c>
      <c r="J5922" t="n">
        <v>0</v>
      </c>
      <c r="K5922" t="n">
        <v>0</v>
      </c>
      <c r="L5922" t="n">
        <v>0</v>
      </c>
      <c r="M5922" t="n">
        <v>0</v>
      </c>
      <c r="N5922" t="n">
        <v>0</v>
      </c>
      <c r="O5922" t="n">
        <v>0</v>
      </c>
      <c r="P5922" t="n">
        <v>0</v>
      </c>
      <c r="Q5922" t="n">
        <v>0</v>
      </c>
      <c r="R5922" t="n">
        <v>0</v>
      </c>
      <c r="S5922" t="n">
        <v>0</v>
      </c>
      <c r="T5922" t="n">
        <v>0</v>
      </c>
      <c r="U5922" t="n">
        <v>0</v>
      </c>
      <c r="V5922" s="2" t="inlineStr"/>
    </row>
    <row r="5923" ht="15" customHeight="1">
      <c r="A5923" t="inlineStr">
        <is>
          <t>A 14385-2023</t>
        </is>
      </c>
      <c r="B5923" t="inlineStr">
        <is>
          <t>avverkningsanmälan</t>
        </is>
      </c>
      <c r="C5923" t="inlineStr">
        <is>
          <t>Föryngringsavverkning</t>
        </is>
      </c>
      <c r="D5923" s="1" t="n">
        <v>45012</v>
      </c>
      <c r="E5923" s="1" t="n">
        <v>46323</v>
      </c>
      <c r="F5923" t="inlineStr">
        <is>
          <t>KALMAR LÄN</t>
        </is>
      </c>
      <c r="G5923" t="inlineStr">
        <is>
          <t>VÄSTERVIK</t>
        </is>
      </c>
      <c r="I5923" t="n">
        <v>0.9</v>
      </c>
      <c r="J5923" t="n">
        <v>0</v>
      </c>
      <c r="K5923" t="n">
        <v>0</v>
      </c>
      <c r="L5923" t="n">
        <v>0</v>
      </c>
      <c r="M5923" t="n">
        <v>0</v>
      </c>
      <c r="N5923" t="n">
        <v>0</v>
      </c>
      <c r="O5923" t="n">
        <v>0</v>
      </c>
      <c r="P5923" t="n">
        <v>0</v>
      </c>
      <c r="Q5923" t="n">
        <v>0</v>
      </c>
      <c r="R5923" t="n">
        <v>0</v>
      </c>
      <c r="S5923" t="n">
        <v>0</v>
      </c>
      <c r="T5923" t="n">
        <v>0</v>
      </c>
      <c r="U5923" t="n">
        <v>0</v>
      </c>
      <c r="V5923" s="2" t="inlineStr"/>
    </row>
    <row r="5924" ht="15" customHeight="1">
      <c r="A5924" t="inlineStr">
        <is>
          <t>A 14394-2023</t>
        </is>
      </c>
      <c r="B5924" t="inlineStr">
        <is>
          <t>avverkningsanmälan</t>
        </is>
      </c>
      <c r="C5924" t="inlineStr">
        <is>
          <t>Föryngringsavverkning</t>
        </is>
      </c>
      <c r="D5924" s="1" t="n">
        <v>45012</v>
      </c>
      <c r="E5924" s="1" t="n">
        <v>46323</v>
      </c>
      <c r="F5924" t="inlineStr">
        <is>
          <t>KALMAR LÄN</t>
        </is>
      </c>
      <c r="G5924" t="inlineStr">
        <is>
          <t>HÖGSBY</t>
        </is>
      </c>
      <c r="I5924" t="n">
        <v>1.4</v>
      </c>
      <c r="J5924" t="n">
        <v>0</v>
      </c>
      <c r="K5924" t="n">
        <v>0</v>
      </c>
      <c r="L5924" t="n">
        <v>0</v>
      </c>
      <c r="M5924" t="n">
        <v>0</v>
      </c>
      <c r="N5924" t="n">
        <v>0</v>
      </c>
      <c r="O5924" t="n">
        <v>0</v>
      </c>
      <c r="P5924" t="n">
        <v>0</v>
      </c>
      <c r="Q5924" t="n">
        <v>0</v>
      </c>
      <c r="R5924" t="n">
        <v>0</v>
      </c>
      <c r="S5924" t="n">
        <v>0</v>
      </c>
      <c r="T5924" t="n">
        <v>0</v>
      </c>
      <c r="U5924" t="n">
        <v>0</v>
      </c>
      <c r="V5924" s="2" t="inlineStr"/>
    </row>
    <row r="5925" ht="15" customHeight="1">
      <c r="A5925" t="inlineStr">
        <is>
          <t>A 36692-2026</t>
        </is>
      </c>
      <c r="B5925" t="inlineStr">
        <is>
          <t>avverkningsanmälan</t>
        </is>
      </c>
      <c r="C5925" t="inlineStr">
        <is>
          <t>Föryngringsavverkning</t>
        </is>
      </c>
      <c r="D5925" s="1" t="n">
        <v>46272</v>
      </c>
      <c r="E5925" s="1" t="n">
        <v>46323</v>
      </c>
      <c r="F5925" t="inlineStr">
        <is>
          <t>KALMAR LÄN</t>
        </is>
      </c>
      <c r="G5925" t="inlineStr">
        <is>
          <t>HULTSFRED</t>
        </is>
      </c>
      <c r="I5925" t="n">
        <v>0.7</v>
      </c>
      <c r="J5925" t="n">
        <v>0</v>
      </c>
      <c r="K5925" t="n">
        <v>0</v>
      </c>
      <c r="L5925" t="n">
        <v>0</v>
      </c>
      <c r="M5925" t="n">
        <v>0</v>
      </c>
      <c r="N5925" t="n">
        <v>0</v>
      </c>
      <c r="O5925" t="n">
        <v>0</v>
      </c>
      <c r="P5925" t="n">
        <v>0</v>
      </c>
      <c r="Q5925" t="n">
        <v>0</v>
      </c>
      <c r="R5925" t="n">
        <v>0</v>
      </c>
      <c r="S5925" t="n">
        <v>0</v>
      </c>
      <c r="T5925" t="n">
        <v>0</v>
      </c>
      <c r="U5925" t="n">
        <v>0</v>
      </c>
      <c r="V5925" s="2" t="inlineStr"/>
    </row>
    <row r="5926" ht="15" customHeight="1">
      <c r="A5926" t="inlineStr">
        <is>
          <t>A 32542-2023</t>
        </is>
      </c>
      <c r="B5926" t="inlineStr">
        <is>
          <t>avverkningsanmälan</t>
        </is>
      </c>
      <c r="C5926" t="inlineStr">
        <is>
          <t>Föryngringsavverkning</t>
        </is>
      </c>
      <c r="D5926" s="1" t="n">
        <v>45110</v>
      </c>
      <c r="E5926" s="1" t="n">
        <v>46323</v>
      </c>
      <c r="F5926" t="inlineStr">
        <is>
          <t>KALMAR LÄN</t>
        </is>
      </c>
      <c r="G5926" t="inlineStr">
        <is>
          <t>NYBRO</t>
        </is>
      </c>
      <c r="H5926" t="inlineStr">
        <is>
          <t>Kyrkan</t>
        </is>
      </c>
      <c r="I5926" t="n">
        <v>1.6</v>
      </c>
      <c r="J5926" t="n">
        <v>0</v>
      </c>
      <c r="K5926" t="n">
        <v>0</v>
      </c>
      <c r="L5926" t="n">
        <v>0</v>
      </c>
      <c r="M5926" t="n">
        <v>0</v>
      </c>
      <c r="N5926" t="n">
        <v>0</v>
      </c>
      <c r="O5926" t="n">
        <v>0</v>
      </c>
      <c r="P5926" t="n">
        <v>0</v>
      </c>
      <c r="Q5926" t="n">
        <v>0</v>
      </c>
      <c r="R5926" t="n">
        <v>0</v>
      </c>
      <c r="S5926" t="n">
        <v>0</v>
      </c>
      <c r="T5926" t="n">
        <v>0</v>
      </c>
      <c r="U5926" t="n">
        <v>0</v>
      </c>
      <c r="V5926" s="2" t="inlineStr"/>
    </row>
    <row r="5927" ht="15" customHeight="1">
      <c r="A5927" t="inlineStr">
        <is>
          <t>A 20965-2026</t>
        </is>
      </c>
      <c r="B5927" t="inlineStr">
        <is>
          <t>avverkningsanmälan</t>
        </is>
      </c>
      <c r="C5927" t="inlineStr">
        <is>
          <t>Föryngringsavverkning</t>
        </is>
      </c>
      <c r="D5927" s="1" t="n">
        <v>46142</v>
      </c>
      <c r="E5927" s="1" t="n">
        <v>46323</v>
      </c>
      <c r="F5927" t="inlineStr">
        <is>
          <t>KALMAR LÄN</t>
        </is>
      </c>
      <c r="G5927" t="inlineStr">
        <is>
          <t>VÄSTERVIK</t>
        </is>
      </c>
      <c r="H5927" t="inlineStr">
        <is>
          <t>Sveaskog</t>
        </is>
      </c>
      <c r="I5927" t="n">
        <v>13.5</v>
      </c>
      <c r="J5927" t="n">
        <v>0</v>
      </c>
      <c r="K5927" t="n">
        <v>0</v>
      </c>
      <c r="L5927" t="n">
        <v>0</v>
      </c>
      <c r="M5927" t="n">
        <v>0</v>
      </c>
      <c r="N5927" t="n">
        <v>0</v>
      </c>
      <c r="O5927" t="n">
        <v>0</v>
      </c>
      <c r="P5927" t="n">
        <v>0</v>
      </c>
      <c r="Q5927" t="n">
        <v>0</v>
      </c>
      <c r="R5927" t="n">
        <v>0</v>
      </c>
      <c r="S5927" t="n">
        <v>0</v>
      </c>
      <c r="T5927" t="n">
        <v>0</v>
      </c>
      <c r="U5927" t="n">
        <v>0</v>
      </c>
      <c r="V5927" s="2" t="inlineStr"/>
    </row>
    <row r="5928" ht="15" customHeight="1">
      <c r="A5928" t="inlineStr">
        <is>
          <t>A 36688-2026</t>
        </is>
      </c>
      <c r="B5928" t="inlineStr">
        <is>
          <t>avverkningsanmälan</t>
        </is>
      </c>
      <c r="C5928" t="inlineStr">
        <is>
          <t>Föryngringsavverkning</t>
        </is>
      </c>
      <c r="D5928" s="1" t="n">
        <v>46272</v>
      </c>
      <c r="E5928" s="1" t="n">
        <v>46323</v>
      </c>
      <c r="F5928" t="inlineStr">
        <is>
          <t>KALMAR LÄN</t>
        </is>
      </c>
      <c r="G5928" t="inlineStr">
        <is>
          <t>HULTSFRED</t>
        </is>
      </c>
      <c r="I5928" t="n">
        <v>1.5</v>
      </c>
      <c r="J5928" t="n">
        <v>0</v>
      </c>
      <c r="K5928" t="n">
        <v>0</v>
      </c>
      <c r="L5928" t="n">
        <v>0</v>
      </c>
      <c r="M5928" t="n">
        <v>0</v>
      </c>
      <c r="N5928" t="n">
        <v>0</v>
      </c>
      <c r="O5928" t="n">
        <v>0</v>
      </c>
      <c r="P5928" t="n">
        <v>0</v>
      </c>
      <c r="Q5928" t="n">
        <v>0</v>
      </c>
      <c r="R5928" t="n">
        <v>0</v>
      </c>
      <c r="S5928" t="n">
        <v>0</v>
      </c>
      <c r="T5928" t="n">
        <v>0</v>
      </c>
      <c r="U5928" t="n">
        <v>0</v>
      </c>
      <c r="V5928" s="2" t="inlineStr"/>
    </row>
    <row r="5929" ht="15" customHeight="1">
      <c r="A5929" t="inlineStr">
        <is>
          <t>A 58627-2025</t>
        </is>
      </c>
      <c r="B5929" t="inlineStr">
        <is>
          <t>avverkningsanmälan</t>
        </is>
      </c>
      <c r="C5929" t="inlineStr">
        <is>
          <t>Föryngringsavverkning</t>
        </is>
      </c>
      <c r="D5929" s="1" t="n">
        <v>45986</v>
      </c>
      <c r="E5929" s="1" t="n">
        <v>46323</v>
      </c>
      <c r="F5929" t="inlineStr">
        <is>
          <t>KALMAR LÄN</t>
        </is>
      </c>
      <c r="G5929" t="inlineStr">
        <is>
          <t>OSKARSHAMN</t>
        </is>
      </c>
      <c r="I5929" t="n">
        <v>1.9</v>
      </c>
      <c r="J5929" t="n">
        <v>0</v>
      </c>
      <c r="K5929" t="n">
        <v>0</v>
      </c>
      <c r="L5929" t="n">
        <v>0</v>
      </c>
      <c r="M5929" t="n">
        <v>0</v>
      </c>
      <c r="N5929" t="n">
        <v>0</v>
      </c>
      <c r="O5929" t="n">
        <v>0</v>
      </c>
      <c r="P5929" t="n">
        <v>0</v>
      </c>
      <c r="Q5929" t="n">
        <v>0</v>
      </c>
      <c r="R5929" t="n">
        <v>0</v>
      </c>
      <c r="S5929" t="n">
        <v>0</v>
      </c>
      <c r="T5929" t="n">
        <v>0</v>
      </c>
      <c r="U5929" t="n">
        <v>0</v>
      </c>
      <c r="V5929" s="2" t="inlineStr"/>
    </row>
    <row r="5930" ht="15" customHeight="1">
      <c r="A5930" t="inlineStr">
        <is>
          <t>A 43543-2026</t>
        </is>
      </c>
      <c r="B5930" t="inlineStr">
        <is>
          <t>avverkningsanmälan</t>
        </is>
      </c>
      <c r="C5930" t="inlineStr">
        <is>
          <t>Föryngringsavverkning</t>
        </is>
      </c>
      <c r="D5930" s="1" t="n">
        <v>46315</v>
      </c>
      <c r="E5930" s="1" t="n">
        <v>46323</v>
      </c>
      <c r="F5930" t="inlineStr">
        <is>
          <t>KALMAR LÄN</t>
        </is>
      </c>
      <c r="G5930" t="inlineStr">
        <is>
          <t>VÄSTERVIK</t>
        </is>
      </c>
      <c r="H5930" t="inlineStr">
        <is>
          <t>Sveaskog</t>
        </is>
      </c>
      <c r="I5930" t="n">
        <v>7.4</v>
      </c>
      <c r="J5930" t="n">
        <v>0</v>
      </c>
      <c r="K5930" t="n">
        <v>0</v>
      </c>
      <c r="L5930" t="n">
        <v>0</v>
      </c>
      <c r="M5930" t="n">
        <v>0</v>
      </c>
      <c r="N5930" t="n">
        <v>0</v>
      </c>
      <c r="O5930" t="n">
        <v>0</v>
      </c>
      <c r="P5930" t="n">
        <v>0</v>
      </c>
      <c r="Q5930" t="n">
        <v>0</v>
      </c>
      <c r="R5930" t="n">
        <v>0</v>
      </c>
      <c r="S5930" t="n">
        <v>0</v>
      </c>
      <c r="T5930" t="n">
        <v>0</v>
      </c>
      <c r="U5930" t="n">
        <v>0</v>
      </c>
      <c r="V5930" s="2" t="inlineStr"/>
    </row>
    <row r="5931" ht="15" customHeight="1">
      <c r="A5931" t="inlineStr">
        <is>
          <t>A 33060-2023</t>
        </is>
      </c>
      <c r="B5931" t="inlineStr">
        <is>
          <t>avverkningsanmälan</t>
        </is>
      </c>
      <c r="C5931" t="inlineStr">
        <is>
          <t>Föryngringsavverkning</t>
        </is>
      </c>
      <c r="D5931" s="1" t="n">
        <v>45126</v>
      </c>
      <c r="E5931" s="1" t="n">
        <v>46323</v>
      </c>
      <c r="F5931" t="inlineStr">
        <is>
          <t>KALMAR LÄN</t>
        </is>
      </c>
      <c r="G5931" t="inlineStr">
        <is>
          <t>EMMABODA</t>
        </is>
      </c>
      <c r="I5931" t="n">
        <v>0.9</v>
      </c>
      <c r="J5931" t="n">
        <v>0</v>
      </c>
      <c r="K5931" t="n">
        <v>0</v>
      </c>
      <c r="L5931" t="n">
        <v>0</v>
      </c>
      <c r="M5931" t="n">
        <v>0</v>
      </c>
      <c r="N5931" t="n">
        <v>0</v>
      </c>
      <c r="O5931" t="n">
        <v>0</v>
      </c>
      <c r="P5931" t="n">
        <v>0</v>
      </c>
      <c r="Q5931" t="n">
        <v>0</v>
      </c>
      <c r="R5931" t="n">
        <v>0</v>
      </c>
      <c r="S5931" t="n">
        <v>0</v>
      </c>
      <c r="T5931" t="n">
        <v>0</v>
      </c>
      <c r="U5931" t="n">
        <v>0</v>
      </c>
      <c r="V5931" s="2" t="inlineStr"/>
    </row>
    <row r="5932" ht="15" customHeight="1">
      <c r="A5932" t="inlineStr">
        <is>
          <t>A 33112-2023</t>
        </is>
      </c>
      <c r="B5932" t="inlineStr">
        <is>
          <t>avverkningsanmälan</t>
        </is>
      </c>
      <c r="C5932" t="inlineStr">
        <is>
          <t>Föryngringsavverkning</t>
        </is>
      </c>
      <c r="D5932" s="1" t="n">
        <v>45126</v>
      </c>
      <c r="E5932" s="1" t="n">
        <v>46323</v>
      </c>
      <c r="F5932" t="inlineStr">
        <is>
          <t>KALMAR LÄN</t>
        </is>
      </c>
      <c r="G5932" t="inlineStr">
        <is>
          <t>HÖGSBY</t>
        </is>
      </c>
      <c r="I5932" t="n">
        <v>4.5</v>
      </c>
      <c r="J5932" t="n">
        <v>0</v>
      </c>
      <c r="K5932" t="n">
        <v>0</v>
      </c>
      <c r="L5932" t="n">
        <v>0</v>
      </c>
      <c r="M5932" t="n">
        <v>0</v>
      </c>
      <c r="N5932" t="n">
        <v>0</v>
      </c>
      <c r="O5932" t="n">
        <v>0</v>
      </c>
      <c r="P5932" t="n">
        <v>0</v>
      </c>
      <c r="Q5932" t="n">
        <v>0</v>
      </c>
      <c r="R5932" t="n">
        <v>0</v>
      </c>
      <c r="S5932" t="n">
        <v>0</v>
      </c>
      <c r="T5932" t="n">
        <v>0</v>
      </c>
      <c r="U5932" t="n">
        <v>0</v>
      </c>
      <c r="V5932" s="2" t="inlineStr"/>
    </row>
    <row r="5933" ht="15" customHeight="1">
      <c r="A5933" t="inlineStr">
        <is>
          <t>A 52279-2023</t>
        </is>
      </c>
      <c r="B5933" t="inlineStr">
        <is>
          <t>avverkningsanmälan</t>
        </is>
      </c>
      <c r="C5933" t="inlineStr">
        <is>
          <t>Föryngringsavverkning</t>
        </is>
      </c>
      <c r="D5933" s="1" t="n">
        <v>45224</v>
      </c>
      <c r="E5933" s="1" t="n">
        <v>46323</v>
      </c>
      <c r="F5933" t="inlineStr">
        <is>
          <t>KALMAR LÄN</t>
        </is>
      </c>
      <c r="G5933" t="inlineStr">
        <is>
          <t>VIMMERBY</t>
        </is>
      </c>
      <c r="I5933" t="n">
        <v>1.8</v>
      </c>
      <c r="J5933" t="n">
        <v>0</v>
      </c>
      <c r="K5933" t="n">
        <v>0</v>
      </c>
      <c r="L5933" t="n">
        <v>0</v>
      </c>
      <c r="M5933" t="n">
        <v>0</v>
      </c>
      <c r="N5933" t="n">
        <v>0</v>
      </c>
      <c r="O5933" t="n">
        <v>0</v>
      </c>
      <c r="P5933" t="n">
        <v>0</v>
      </c>
      <c r="Q5933" t="n">
        <v>0</v>
      </c>
      <c r="R5933" t="n">
        <v>0</v>
      </c>
      <c r="S5933" t="n">
        <v>0</v>
      </c>
      <c r="T5933" t="n">
        <v>0</v>
      </c>
      <c r="U5933" t="n">
        <v>0</v>
      </c>
      <c r="V5933" s="2" t="inlineStr"/>
    </row>
    <row r="5934" ht="15" customHeight="1">
      <c r="A5934" t="inlineStr">
        <is>
          <t>A 52324-2023</t>
        </is>
      </c>
      <c r="B5934" t="inlineStr">
        <is>
          <t>avverkningsanmälan</t>
        </is>
      </c>
      <c r="C5934" t="inlineStr">
        <is>
          <t>Föryngringsavverkning</t>
        </is>
      </c>
      <c r="D5934" s="1" t="n">
        <v>45224</v>
      </c>
      <c r="E5934" s="1" t="n">
        <v>46323</v>
      </c>
      <c r="F5934" t="inlineStr">
        <is>
          <t>KALMAR LÄN</t>
        </is>
      </c>
      <c r="G5934" t="inlineStr">
        <is>
          <t>VIMMERBY</t>
        </is>
      </c>
      <c r="H5934" t="inlineStr">
        <is>
          <t>Sveaskog</t>
        </is>
      </c>
      <c r="I5934" t="n">
        <v>2.9</v>
      </c>
      <c r="J5934" t="n">
        <v>0</v>
      </c>
      <c r="K5934" t="n">
        <v>0</v>
      </c>
      <c r="L5934" t="n">
        <v>0</v>
      </c>
      <c r="M5934" t="n">
        <v>0</v>
      </c>
      <c r="N5934" t="n">
        <v>0</v>
      </c>
      <c r="O5934" t="n">
        <v>0</v>
      </c>
      <c r="P5934" t="n">
        <v>0</v>
      </c>
      <c r="Q5934" t="n">
        <v>0</v>
      </c>
      <c r="R5934" t="n">
        <v>0</v>
      </c>
      <c r="S5934" t="n">
        <v>0</v>
      </c>
      <c r="T5934" t="n">
        <v>0</v>
      </c>
      <c r="U5934" t="n">
        <v>0</v>
      </c>
      <c r="V5934" s="2" t="inlineStr"/>
    </row>
    <row r="5935" ht="15" customHeight="1">
      <c r="A5935" t="inlineStr">
        <is>
          <t>A 43610-2026</t>
        </is>
      </c>
      <c r="B5935" t="inlineStr">
        <is>
          <t>avverkningsanmälan</t>
        </is>
      </c>
      <c r="C5935" t="inlineStr">
        <is>
          <t>Föryngringsavverkning</t>
        </is>
      </c>
      <c r="D5935" s="1" t="n">
        <v>46315</v>
      </c>
      <c r="E5935" s="1" t="n">
        <v>46323</v>
      </c>
      <c r="F5935" t="inlineStr">
        <is>
          <t>KALMAR LÄN</t>
        </is>
      </c>
      <c r="G5935" t="inlineStr">
        <is>
          <t>EMMABODA</t>
        </is>
      </c>
      <c r="H5935" t="inlineStr">
        <is>
          <t>Kommuner</t>
        </is>
      </c>
      <c r="I5935" t="n">
        <v>9.5</v>
      </c>
      <c r="J5935" t="n">
        <v>0</v>
      </c>
      <c r="K5935" t="n">
        <v>0</v>
      </c>
      <c r="L5935" t="n">
        <v>0</v>
      </c>
      <c r="M5935" t="n">
        <v>0</v>
      </c>
      <c r="N5935" t="n">
        <v>0</v>
      </c>
      <c r="O5935" t="n">
        <v>0</v>
      </c>
      <c r="P5935" t="n">
        <v>0</v>
      </c>
      <c r="Q5935" t="n">
        <v>0</v>
      </c>
      <c r="R5935" t="n">
        <v>0</v>
      </c>
      <c r="S5935" t="n">
        <v>0</v>
      </c>
      <c r="T5935" t="n">
        <v>0</v>
      </c>
      <c r="U5935" t="n">
        <v>0</v>
      </c>
      <c r="V5935" s="2" t="inlineStr"/>
    </row>
    <row r="5936" ht="15" customHeight="1">
      <c r="A5936" t="inlineStr">
        <is>
          <t>A 20102-2022</t>
        </is>
      </c>
      <c r="B5936" t="inlineStr">
        <is>
          <t>avverkningsanmälan</t>
        </is>
      </c>
      <c r="C5936" t="inlineStr">
        <is>
          <t>Föryngringsavverkning</t>
        </is>
      </c>
      <c r="D5936" s="1" t="n">
        <v>44698</v>
      </c>
      <c r="E5936" s="1" t="n">
        <v>46323</v>
      </c>
      <c r="F5936" t="inlineStr">
        <is>
          <t>KALMAR LÄN</t>
        </is>
      </c>
      <c r="G5936" t="inlineStr">
        <is>
          <t>EMMABODA</t>
        </is>
      </c>
      <c r="I5936" t="n">
        <v>1.7</v>
      </c>
      <c r="J5936" t="n">
        <v>0</v>
      </c>
      <c r="K5936" t="n">
        <v>0</v>
      </c>
      <c r="L5936" t="n">
        <v>0</v>
      </c>
      <c r="M5936" t="n">
        <v>0</v>
      </c>
      <c r="N5936" t="n">
        <v>0</v>
      </c>
      <c r="O5936" t="n">
        <v>0</v>
      </c>
      <c r="P5936" t="n">
        <v>0</v>
      </c>
      <c r="Q5936" t="n">
        <v>0</v>
      </c>
      <c r="R5936" t="n">
        <v>0</v>
      </c>
      <c r="S5936" t="n">
        <v>0</v>
      </c>
      <c r="T5936" t="n">
        <v>0</v>
      </c>
      <c r="U5936" t="n">
        <v>0</v>
      </c>
      <c r="V5936" s="2" t="inlineStr"/>
    </row>
    <row r="5937" ht="15" customHeight="1">
      <c r="A5937" t="inlineStr">
        <is>
          <t>A 36850-2026</t>
        </is>
      </c>
      <c r="B5937" t="inlineStr">
        <is>
          <t>avverkningsanmälan</t>
        </is>
      </c>
      <c r="C5937" t="inlineStr">
        <is>
          <t>Föryngringsavverkning</t>
        </is>
      </c>
      <c r="D5937" s="1" t="n">
        <v>46272</v>
      </c>
      <c r="E5937" s="1" t="n">
        <v>46323</v>
      </c>
      <c r="F5937" t="inlineStr">
        <is>
          <t>KALMAR LÄN</t>
        </is>
      </c>
      <c r="G5937" t="inlineStr">
        <is>
          <t>EMMABODA</t>
        </is>
      </c>
      <c r="I5937" t="n">
        <v>2.8</v>
      </c>
      <c r="J5937" t="n">
        <v>0</v>
      </c>
      <c r="K5937" t="n">
        <v>0</v>
      </c>
      <c r="L5937" t="n">
        <v>0</v>
      </c>
      <c r="M5937" t="n">
        <v>0</v>
      </c>
      <c r="N5937" t="n">
        <v>0</v>
      </c>
      <c r="O5937" t="n">
        <v>0</v>
      </c>
      <c r="P5937" t="n">
        <v>0</v>
      </c>
      <c r="Q5937" t="n">
        <v>0</v>
      </c>
      <c r="R5937" t="n">
        <v>0</v>
      </c>
      <c r="S5937" t="n">
        <v>0</v>
      </c>
      <c r="T5937" t="n">
        <v>0</v>
      </c>
      <c r="U5937" t="n">
        <v>0</v>
      </c>
      <c r="V5937" s="2" t="inlineStr"/>
    </row>
    <row r="5938" ht="15" customHeight="1">
      <c r="A5938" t="inlineStr">
        <is>
          <t>A 26336-2025</t>
        </is>
      </c>
      <c r="B5938" t="inlineStr">
        <is>
          <t>avverkningsanmälan</t>
        </is>
      </c>
      <c r="C5938" t="inlineStr">
        <is>
          <t>Föryngringsavverkning</t>
        </is>
      </c>
      <c r="D5938" s="1" t="n">
        <v>45805</v>
      </c>
      <c r="E5938" s="1" t="n">
        <v>46323</v>
      </c>
      <c r="F5938" t="inlineStr">
        <is>
          <t>KALMAR LÄN</t>
        </is>
      </c>
      <c r="G5938" t="inlineStr">
        <is>
          <t>OSKARSHAMN</t>
        </is>
      </c>
      <c r="I5938" t="n">
        <v>0.8</v>
      </c>
      <c r="J5938" t="n">
        <v>0</v>
      </c>
      <c r="K5938" t="n">
        <v>0</v>
      </c>
      <c r="L5938" t="n">
        <v>0</v>
      </c>
      <c r="M5938" t="n">
        <v>0</v>
      </c>
      <c r="N5938" t="n">
        <v>0</v>
      </c>
      <c r="O5938" t="n">
        <v>0</v>
      </c>
      <c r="P5938" t="n">
        <v>0</v>
      </c>
      <c r="Q5938" t="n">
        <v>0</v>
      </c>
      <c r="R5938" t="n">
        <v>0</v>
      </c>
      <c r="S5938" t="n">
        <v>0</v>
      </c>
      <c r="T5938" t="n">
        <v>0</v>
      </c>
      <c r="U5938" t="n">
        <v>0</v>
      </c>
      <c r="V5938" s="2" t="inlineStr"/>
    </row>
    <row r="5939" ht="15" customHeight="1">
      <c r="A5939" t="inlineStr">
        <is>
          <t>A 22645-2023</t>
        </is>
      </c>
      <c r="B5939" t="inlineStr">
        <is>
          <t>avverkningsanmälan</t>
        </is>
      </c>
      <c r="C5939" t="inlineStr">
        <is>
          <t>Föryngringsavverkning</t>
        </is>
      </c>
      <c r="D5939" s="1" t="n">
        <v>45071</v>
      </c>
      <c r="E5939" s="1" t="n">
        <v>46323</v>
      </c>
      <c r="F5939" t="inlineStr">
        <is>
          <t>KALMAR LÄN</t>
        </is>
      </c>
      <c r="G5939" t="inlineStr">
        <is>
          <t>HULTSFRED</t>
        </is>
      </c>
      <c r="I5939" t="n">
        <v>7.8</v>
      </c>
      <c r="J5939" t="n">
        <v>0</v>
      </c>
      <c r="K5939" t="n">
        <v>0</v>
      </c>
      <c r="L5939" t="n">
        <v>0</v>
      </c>
      <c r="M5939" t="n">
        <v>0</v>
      </c>
      <c r="N5939" t="n">
        <v>0</v>
      </c>
      <c r="O5939" t="n">
        <v>0</v>
      </c>
      <c r="P5939" t="n">
        <v>0</v>
      </c>
      <c r="Q5939" t="n">
        <v>0</v>
      </c>
      <c r="R5939" t="n">
        <v>0</v>
      </c>
      <c r="S5939" t="n">
        <v>0</v>
      </c>
      <c r="T5939" t="n">
        <v>0</v>
      </c>
      <c r="U5939" t="n">
        <v>0</v>
      </c>
      <c r="V5939" s="2" t="inlineStr"/>
    </row>
    <row r="5940" ht="15" customHeight="1">
      <c r="A5940" t="inlineStr">
        <is>
          <t>A 48446-2024</t>
        </is>
      </c>
      <c r="B5940" t="inlineStr">
        <is>
          <t>avverkningsanmälan</t>
        </is>
      </c>
      <c r="C5940" t="inlineStr">
        <is>
          <t>Föryngringsavverkning</t>
        </is>
      </c>
      <c r="D5940" s="1" t="n">
        <v>45590</v>
      </c>
      <c r="E5940" s="1" t="n">
        <v>46323</v>
      </c>
      <c r="F5940" t="inlineStr">
        <is>
          <t>KALMAR LÄN</t>
        </is>
      </c>
      <c r="G5940" t="inlineStr">
        <is>
          <t>VÄSTERVIK</t>
        </is>
      </c>
      <c r="I5940" t="n">
        <v>0.5</v>
      </c>
      <c r="J5940" t="n">
        <v>0</v>
      </c>
      <c r="K5940" t="n">
        <v>0</v>
      </c>
      <c r="L5940" t="n">
        <v>0</v>
      </c>
      <c r="M5940" t="n">
        <v>0</v>
      </c>
      <c r="N5940" t="n">
        <v>0</v>
      </c>
      <c r="O5940" t="n">
        <v>0</v>
      </c>
      <c r="P5940" t="n">
        <v>0</v>
      </c>
      <c r="Q5940" t="n">
        <v>0</v>
      </c>
      <c r="R5940" t="n">
        <v>0</v>
      </c>
      <c r="S5940" t="n">
        <v>0</v>
      </c>
      <c r="T5940" t="n">
        <v>0</v>
      </c>
      <c r="U5940" t="n">
        <v>0</v>
      </c>
      <c r="V5940" s="2" t="inlineStr"/>
    </row>
    <row r="5941" ht="15" customHeight="1">
      <c r="A5941" t="inlineStr">
        <is>
          <t>A 48467-2024</t>
        </is>
      </c>
      <c r="B5941" t="inlineStr">
        <is>
          <t>avverkningsanmälan</t>
        </is>
      </c>
      <c r="C5941" t="inlineStr">
        <is>
          <t>Föryngringsavverkning</t>
        </is>
      </c>
      <c r="D5941" s="1" t="n">
        <v>45591</v>
      </c>
      <c r="E5941" s="1" t="n">
        <v>46323</v>
      </c>
      <c r="F5941" t="inlineStr">
        <is>
          <t>KALMAR LÄN</t>
        </is>
      </c>
      <c r="G5941" t="inlineStr">
        <is>
          <t>NYBRO</t>
        </is>
      </c>
      <c r="I5941" t="n">
        <v>1</v>
      </c>
      <c r="J5941" t="n">
        <v>0</v>
      </c>
      <c r="K5941" t="n">
        <v>0</v>
      </c>
      <c r="L5941" t="n">
        <v>0</v>
      </c>
      <c r="M5941" t="n">
        <v>0</v>
      </c>
      <c r="N5941" t="n">
        <v>0</v>
      </c>
      <c r="O5941" t="n">
        <v>0</v>
      </c>
      <c r="P5941" t="n">
        <v>0</v>
      </c>
      <c r="Q5941" t="n">
        <v>0</v>
      </c>
      <c r="R5941" t="n">
        <v>0</v>
      </c>
      <c r="S5941" t="n">
        <v>0</v>
      </c>
      <c r="T5941" t="n">
        <v>0</v>
      </c>
      <c r="U5941" t="n">
        <v>0</v>
      </c>
      <c r="V5941" s="2" t="inlineStr"/>
    </row>
    <row r="5942" ht="15" customHeight="1">
      <c r="A5942" t="inlineStr">
        <is>
          <t>A 42897-2023</t>
        </is>
      </c>
      <c r="B5942" t="inlineStr">
        <is>
          <t>avverkningsanmälan</t>
        </is>
      </c>
      <c r="C5942" t="inlineStr">
        <is>
          <t>Föryngringsavverkning</t>
        </is>
      </c>
      <c r="D5942" s="1" t="n">
        <v>45182</v>
      </c>
      <c r="E5942" s="1" t="n">
        <v>46323</v>
      </c>
      <c r="F5942" t="inlineStr">
        <is>
          <t>KALMAR LÄN</t>
        </is>
      </c>
      <c r="G5942" t="inlineStr">
        <is>
          <t>TORSÅS</t>
        </is>
      </c>
      <c r="I5942" t="n">
        <v>0.3</v>
      </c>
      <c r="J5942" t="n">
        <v>0</v>
      </c>
      <c r="K5942" t="n">
        <v>0</v>
      </c>
      <c r="L5942" t="n">
        <v>0</v>
      </c>
      <c r="M5942" t="n">
        <v>0</v>
      </c>
      <c r="N5942" t="n">
        <v>0</v>
      </c>
      <c r="O5942" t="n">
        <v>0</v>
      </c>
      <c r="P5942" t="n">
        <v>0</v>
      </c>
      <c r="Q5942" t="n">
        <v>0</v>
      </c>
      <c r="R5942" t="n">
        <v>0</v>
      </c>
      <c r="S5942" t="n">
        <v>0</v>
      </c>
      <c r="T5942" t="n">
        <v>0</v>
      </c>
      <c r="U5942" t="n">
        <v>0</v>
      </c>
      <c r="V5942" s="2" t="inlineStr"/>
    </row>
    <row r="5943" ht="15" customHeight="1">
      <c r="A5943" t="inlineStr">
        <is>
          <t>A 31208-2025</t>
        </is>
      </c>
      <c r="B5943" t="inlineStr">
        <is>
          <t>avverkningsanmälan</t>
        </is>
      </c>
      <c r="C5943" t="inlineStr">
        <is>
          <t>Föryngringsavverkning</t>
        </is>
      </c>
      <c r="D5943" s="1" t="n">
        <v>45832</v>
      </c>
      <c r="E5943" s="1" t="n">
        <v>46323</v>
      </c>
      <c r="F5943" t="inlineStr">
        <is>
          <t>KALMAR LÄN</t>
        </is>
      </c>
      <c r="G5943" t="inlineStr">
        <is>
          <t>EMMABODA</t>
        </is>
      </c>
      <c r="I5943" t="n">
        <v>0.2</v>
      </c>
      <c r="J5943" t="n">
        <v>0</v>
      </c>
      <c r="K5943" t="n">
        <v>0</v>
      </c>
      <c r="L5943" t="n">
        <v>0</v>
      </c>
      <c r="M5943" t="n">
        <v>0</v>
      </c>
      <c r="N5943" t="n">
        <v>0</v>
      </c>
      <c r="O5943" t="n">
        <v>0</v>
      </c>
      <c r="P5943" t="n">
        <v>0</v>
      </c>
      <c r="Q5943" t="n">
        <v>0</v>
      </c>
      <c r="R5943" t="n">
        <v>0</v>
      </c>
      <c r="S5943" t="n">
        <v>0</v>
      </c>
      <c r="T5943" t="n">
        <v>0</v>
      </c>
      <c r="U5943" t="n">
        <v>0</v>
      </c>
      <c r="V5943" s="2" t="inlineStr"/>
    </row>
    <row r="5944" ht="15" customHeight="1">
      <c r="A5944" t="inlineStr">
        <is>
          <t>A 55405-2023</t>
        </is>
      </c>
      <c r="B5944" t="inlineStr">
        <is>
          <t>avverkningsanmälan</t>
        </is>
      </c>
      <c r="C5944" t="inlineStr">
        <is>
          <t>Föryngringsavverkning</t>
        </is>
      </c>
      <c r="D5944" s="1" t="n">
        <v>45238</v>
      </c>
      <c r="E5944" s="1" t="n">
        <v>46323</v>
      </c>
      <c r="F5944" t="inlineStr">
        <is>
          <t>KALMAR LÄN</t>
        </is>
      </c>
      <c r="G5944" t="inlineStr">
        <is>
          <t>MÖNSTERÅS</t>
        </is>
      </c>
      <c r="I5944" t="n">
        <v>0.5</v>
      </c>
      <c r="J5944" t="n">
        <v>0</v>
      </c>
      <c r="K5944" t="n">
        <v>0</v>
      </c>
      <c r="L5944" t="n">
        <v>0</v>
      </c>
      <c r="M5944" t="n">
        <v>0</v>
      </c>
      <c r="N5944" t="n">
        <v>0</v>
      </c>
      <c r="O5944" t="n">
        <v>0</v>
      </c>
      <c r="P5944" t="n">
        <v>0</v>
      </c>
      <c r="Q5944" t="n">
        <v>0</v>
      </c>
      <c r="R5944" t="n">
        <v>0</v>
      </c>
      <c r="S5944" t="n">
        <v>0</v>
      </c>
      <c r="T5944" t="n">
        <v>0</v>
      </c>
      <c r="U5944" t="n">
        <v>0</v>
      </c>
      <c r="V5944" s="2" t="inlineStr"/>
    </row>
    <row r="5945" ht="15" customHeight="1">
      <c r="A5945" t="inlineStr">
        <is>
          <t>A 58551-2024</t>
        </is>
      </c>
      <c r="B5945" t="inlineStr">
        <is>
          <t>avverkningsanmälan</t>
        </is>
      </c>
      <c r="C5945" t="inlineStr">
        <is>
          <t>Avverkning för att bevara och utveckla /försöksver</t>
        </is>
      </c>
      <c r="D5945" s="1" t="n">
        <v>45635</v>
      </c>
      <c r="E5945" s="1" t="n">
        <v>46323</v>
      </c>
      <c r="F5945" t="inlineStr">
        <is>
          <t>KALMAR LÄN</t>
        </is>
      </c>
      <c r="G5945" t="inlineStr">
        <is>
          <t>NYBRO</t>
        </is>
      </c>
      <c r="I5945" t="n">
        <v>2.7</v>
      </c>
      <c r="J5945" t="n">
        <v>0</v>
      </c>
      <c r="K5945" t="n">
        <v>0</v>
      </c>
      <c r="L5945" t="n">
        <v>0</v>
      </c>
      <c r="M5945" t="n">
        <v>0</v>
      </c>
      <c r="N5945" t="n">
        <v>0</v>
      </c>
      <c r="O5945" t="n">
        <v>0</v>
      </c>
      <c r="P5945" t="n">
        <v>0</v>
      </c>
      <c r="Q5945" t="n">
        <v>0</v>
      </c>
      <c r="R5945" t="n">
        <v>0</v>
      </c>
      <c r="S5945" t="n">
        <v>0</v>
      </c>
      <c r="T5945" t="n">
        <v>0</v>
      </c>
      <c r="U5945" t="n">
        <v>0</v>
      </c>
      <c r="V5945" s="2" t="inlineStr"/>
    </row>
    <row r="5946" ht="15" customHeight="1">
      <c r="A5946" t="inlineStr">
        <is>
          <t>A 3288-2024</t>
        </is>
      </c>
      <c r="B5946" t="inlineStr">
        <is>
          <t>avverkningsanmälan</t>
        </is>
      </c>
      <c r="C5946" t="inlineStr">
        <is>
          <t>Föryngringsavverkning</t>
        </is>
      </c>
      <c r="D5946" s="1" t="n">
        <v>45317</v>
      </c>
      <c r="E5946" s="1" t="n">
        <v>46323</v>
      </c>
      <c r="F5946" t="inlineStr">
        <is>
          <t>KALMAR LÄN</t>
        </is>
      </c>
      <c r="G5946" t="inlineStr">
        <is>
          <t>EMMABODA</t>
        </is>
      </c>
      <c r="I5946" t="n">
        <v>0.6</v>
      </c>
      <c r="J5946" t="n">
        <v>0</v>
      </c>
      <c r="K5946" t="n">
        <v>0</v>
      </c>
      <c r="L5946" t="n">
        <v>0</v>
      </c>
      <c r="M5946" t="n">
        <v>0</v>
      </c>
      <c r="N5946" t="n">
        <v>0</v>
      </c>
      <c r="O5946" t="n">
        <v>0</v>
      </c>
      <c r="P5946" t="n">
        <v>0</v>
      </c>
      <c r="Q5946" t="n">
        <v>0</v>
      </c>
      <c r="R5946" t="n">
        <v>0</v>
      </c>
      <c r="S5946" t="n">
        <v>0</v>
      </c>
      <c r="T5946" t="n">
        <v>0</v>
      </c>
      <c r="U5946" t="n">
        <v>0</v>
      </c>
      <c r="V5946" s="2" t="inlineStr"/>
    </row>
    <row r="5947" ht="15" customHeight="1">
      <c r="A5947" t="inlineStr">
        <is>
          <t>A 23873-2024</t>
        </is>
      </c>
      <c r="B5947" t="inlineStr">
        <is>
          <t>avverkningsanmälan</t>
        </is>
      </c>
      <c r="C5947" t="inlineStr">
        <is>
          <t>Föryngringsavverkning</t>
        </is>
      </c>
      <c r="D5947" s="1" t="n">
        <v>45455</v>
      </c>
      <c r="E5947" s="1" t="n">
        <v>46323</v>
      </c>
      <c r="F5947" t="inlineStr">
        <is>
          <t>KALMAR LÄN</t>
        </is>
      </c>
      <c r="G5947" t="inlineStr">
        <is>
          <t>VÄSTERVIK</t>
        </is>
      </c>
      <c r="H5947" t="inlineStr">
        <is>
          <t>Övriga Aktiebolag</t>
        </is>
      </c>
      <c r="I5947" t="n">
        <v>0.7</v>
      </c>
      <c r="J5947" t="n">
        <v>0</v>
      </c>
      <c r="K5947" t="n">
        <v>0</v>
      </c>
      <c r="L5947" t="n">
        <v>0</v>
      </c>
      <c r="M5947" t="n">
        <v>0</v>
      </c>
      <c r="N5947" t="n">
        <v>0</v>
      </c>
      <c r="O5947" t="n">
        <v>0</v>
      </c>
      <c r="P5947" t="n">
        <v>0</v>
      </c>
      <c r="Q5947" t="n">
        <v>0</v>
      </c>
      <c r="R5947" t="n">
        <v>0</v>
      </c>
      <c r="S5947" t="n">
        <v>0</v>
      </c>
      <c r="T5947" t="n">
        <v>0</v>
      </c>
      <c r="U5947" t="n">
        <v>0</v>
      </c>
      <c r="V5947" s="2" t="inlineStr"/>
    </row>
    <row r="5948" ht="15" customHeight="1">
      <c r="A5948" t="inlineStr">
        <is>
          <t>A 16324-2023</t>
        </is>
      </c>
      <c r="B5948" t="inlineStr">
        <is>
          <t>avverkningsanmälan</t>
        </is>
      </c>
      <c r="C5948" t="inlineStr">
        <is>
          <t>Föryngringsavverkning</t>
        </is>
      </c>
      <c r="D5948" s="1" t="n">
        <v>45028</v>
      </c>
      <c r="E5948" s="1" t="n">
        <v>46323</v>
      </c>
      <c r="F5948" t="inlineStr">
        <is>
          <t>KALMAR LÄN</t>
        </is>
      </c>
      <c r="G5948" t="inlineStr">
        <is>
          <t>MÖNSTERÅS</t>
        </is>
      </c>
      <c r="I5948" t="n">
        <v>0.9</v>
      </c>
      <c r="J5948" t="n">
        <v>0</v>
      </c>
      <c r="K5948" t="n">
        <v>0</v>
      </c>
      <c r="L5948" t="n">
        <v>0</v>
      </c>
      <c r="M5948" t="n">
        <v>0</v>
      </c>
      <c r="N5948" t="n">
        <v>0</v>
      </c>
      <c r="O5948" t="n">
        <v>0</v>
      </c>
      <c r="P5948" t="n">
        <v>0</v>
      </c>
      <c r="Q5948" t="n">
        <v>0</v>
      </c>
      <c r="R5948" t="n">
        <v>0</v>
      </c>
      <c r="S5948" t="n">
        <v>0</v>
      </c>
      <c r="T5948" t="n">
        <v>0</v>
      </c>
      <c r="U5948" t="n">
        <v>0</v>
      </c>
      <c r="V5948" s="2" t="inlineStr"/>
    </row>
    <row r="5949" ht="15" customHeight="1">
      <c r="A5949" t="inlineStr">
        <is>
          <t>A 16338-2023</t>
        </is>
      </c>
      <c r="B5949" t="inlineStr">
        <is>
          <t>avverkningsanmälan</t>
        </is>
      </c>
      <c r="C5949" t="inlineStr">
        <is>
          <t>Föryngringsavverkning</t>
        </is>
      </c>
      <c r="D5949" s="1" t="n">
        <v>45028</v>
      </c>
      <c r="E5949" s="1" t="n">
        <v>46323</v>
      </c>
      <c r="F5949" t="inlineStr">
        <is>
          <t>KALMAR LÄN</t>
        </is>
      </c>
      <c r="G5949" t="inlineStr">
        <is>
          <t>NYBRO</t>
        </is>
      </c>
      <c r="I5949" t="n">
        <v>1.3</v>
      </c>
      <c r="J5949" t="n">
        <v>0</v>
      </c>
      <c r="K5949" t="n">
        <v>0</v>
      </c>
      <c r="L5949" t="n">
        <v>0</v>
      </c>
      <c r="M5949" t="n">
        <v>0</v>
      </c>
      <c r="N5949" t="n">
        <v>0</v>
      </c>
      <c r="O5949" t="n">
        <v>0</v>
      </c>
      <c r="P5949" t="n">
        <v>0</v>
      </c>
      <c r="Q5949" t="n">
        <v>0</v>
      </c>
      <c r="R5949" t="n">
        <v>0</v>
      </c>
      <c r="S5949" t="n">
        <v>0</v>
      </c>
      <c r="T5949" t="n">
        <v>0</v>
      </c>
      <c r="U5949" t="n">
        <v>0</v>
      </c>
      <c r="V5949" s="2" t="inlineStr"/>
    </row>
    <row r="5950" ht="15" customHeight="1">
      <c r="A5950" t="inlineStr">
        <is>
          <t>A 1614-2025</t>
        </is>
      </c>
      <c r="B5950" t="inlineStr">
        <is>
          <t>avverkningsanmälan</t>
        </is>
      </c>
      <c r="C5950" t="inlineStr">
        <is>
          <t>Föryngringsavverkning</t>
        </is>
      </c>
      <c r="D5950" s="1" t="n">
        <v>45670</v>
      </c>
      <c r="E5950" s="1" t="n">
        <v>46323</v>
      </c>
      <c r="F5950" t="inlineStr">
        <is>
          <t>KALMAR LÄN</t>
        </is>
      </c>
      <c r="G5950" t="inlineStr">
        <is>
          <t>BORGHOLM</t>
        </is>
      </c>
      <c r="I5950" t="n">
        <v>1.4</v>
      </c>
      <c r="J5950" t="n">
        <v>0</v>
      </c>
      <c r="K5950" t="n">
        <v>0</v>
      </c>
      <c r="L5950" t="n">
        <v>0</v>
      </c>
      <c r="M5950" t="n">
        <v>0</v>
      </c>
      <c r="N5950" t="n">
        <v>0</v>
      </c>
      <c r="O5950" t="n">
        <v>0</v>
      </c>
      <c r="P5950" t="n">
        <v>0</v>
      </c>
      <c r="Q5950" t="n">
        <v>0</v>
      </c>
      <c r="R5950" t="n">
        <v>0</v>
      </c>
      <c r="S5950" t="n">
        <v>0</v>
      </c>
      <c r="T5950" t="n">
        <v>0</v>
      </c>
      <c r="U5950" t="n">
        <v>0</v>
      </c>
      <c r="V5950" s="2" t="inlineStr"/>
    </row>
    <row r="5951" ht="15" customHeight="1">
      <c r="A5951" t="inlineStr">
        <is>
          <t>A 43722-2026</t>
        </is>
      </c>
      <c r="B5951" t="inlineStr">
        <is>
          <t>avverkningsanmälan</t>
        </is>
      </c>
      <c r="C5951" t="inlineStr">
        <is>
          <t>Föryngringsavverkning</t>
        </is>
      </c>
      <c r="D5951" s="1" t="n">
        <v>46316</v>
      </c>
      <c r="E5951" s="1" t="n">
        <v>46323</v>
      </c>
      <c r="F5951" t="inlineStr">
        <is>
          <t>KALMAR LÄN</t>
        </is>
      </c>
      <c r="G5951" t="inlineStr">
        <is>
          <t>VIMMERBY</t>
        </is>
      </c>
      <c r="I5951" t="n">
        <v>2</v>
      </c>
      <c r="J5951" t="n">
        <v>0</v>
      </c>
      <c r="K5951" t="n">
        <v>0</v>
      </c>
      <c r="L5951" t="n">
        <v>0</v>
      </c>
      <c r="M5951" t="n">
        <v>0</v>
      </c>
      <c r="N5951" t="n">
        <v>0</v>
      </c>
      <c r="O5951" t="n">
        <v>0</v>
      </c>
      <c r="P5951" t="n">
        <v>0</v>
      </c>
      <c r="Q5951" t="n">
        <v>0</v>
      </c>
      <c r="R5951" t="n">
        <v>0</v>
      </c>
      <c r="S5951" t="n">
        <v>0</v>
      </c>
      <c r="T5951" t="n">
        <v>0</v>
      </c>
      <c r="U5951" t="n">
        <v>0</v>
      </c>
      <c r="V5951" s="2" t="inlineStr"/>
    </row>
    <row r="5952" ht="15" customHeight="1">
      <c r="A5952" t="inlineStr">
        <is>
          <t>A 36890-2024</t>
        </is>
      </c>
      <c r="B5952" t="inlineStr">
        <is>
          <t>avverkningsanmälan</t>
        </is>
      </c>
      <c r="C5952" t="inlineStr">
        <is>
          <t>Föryngringsavverkning</t>
        </is>
      </c>
      <c r="D5952" s="1" t="n">
        <v>45538</v>
      </c>
      <c r="E5952" s="1" t="n">
        <v>46323</v>
      </c>
      <c r="F5952" t="inlineStr">
        <is>
          <t>KALMAR LÄN</t>
        </is>
      </c>
      <c r="G5952" t="inlineStr">
        <is>
          <t>MÖNSTERÅS</t>
        </is>
      </c>
      <c r="I5952" t="n">
        <v>3.5</v>
      </c>
      <c r="J5952" t="n">
        <v>0</v>
      </c>
      <c r="K5952" t="n">
        <v>0</v>
      </c>
      <c r="L5952" t="n">
        <v>0</v>
      </c>
      <c r="M5952" t="n">
        <v>0</v>
      </c>
      <c r="N5952" t="n">
        <v>0</v>
      </c>
      <c r="O5952" t="n">
        <v>0</v>
      </c>
      <c r="P5952" t="n">
        <v>0</v>
      </c>
      <c r="Q5952" t="n">
        <v>0</v>
      </c>
      <c r="R5952" t="n">
        <v>0</v>
      </c>
      <c r="S5952" t="n">
        <v>0</v>
      </c>
      <c r="T5952" t="n">
        <v>0</v>
      </c>
      <c r="U5952" t="n">
        <v>0</v>
      </c>
      <c r="V5952" s="2" t="inlineStr"/>
    </row>
    <row r="5953" ht="15" customHeight="1">
      <c r="A5953" t="inlineStr">
        <is>
          <t>A 29755-2022</t>
        </is>
      </c>
      <c r="B5953" t="inlineStr">
        <is>
          <t>avverkningsanmälan</t>
        </is>
      </c>
      <c r="C5953" t="inlineStr">
        <is>
          <t>Föryngringsavverkning</t>
        </is>
      </c>
      <c r="D5953" s="1" t="n">
        <v>44755</v>
      </c>
      <c r="E5953" s="1" t="n">
        <v>46323</v>
      </c>
      <c r="F5953" t="inlineStr">
        <is>
          <t>KALMAR LÄN</t>
        </is>
      </c>
      <c r="G5953" t="inlineStr">
        <is>
          <t>OSKARSHAMN</t>
        </is>
      </c>
      <c r="I5953" t="n">
        <v>2</v>
      </c>
      <c r="J5953" t="n">
        <v>0</v>
      </c>
      <c r="K5953" t="n">
        <v>0</v>
      </c>
      <c r="L5953" t="n">
        <v>0</v>
      </c>
      <c r="M5953" t="n">
        <v>0</v>
      </c>
      <c r="N5953" t="n">
        <v>0</v>
      </c>
      <c r="O5953" t="n">
        <v>0</v>
      </c>
      <c r="P5953" t="n">
        <v>0</v>
      </c>
      <c r="Q5953" t="n">
        <v>0</v>
      </c>
      <c r="R5953" t="n">
        <v>0</v>
      </c>
      <c r="S5953" t="n">
        <v>0</v>
      </c>
      <c r="T5953" t="n">
        <v>0</v>
      </c>
      <c r="U5953" t="n">
        <v>0</v>
      </c>
      <c r="V5953" s="2" t="inlineStr"/>
    </row>
    <row r="5954" ht="15" customHeight="1">
      <c r="A5954" t="inlineStr">
        <is>
          <t>A 20643-2026</t>
        </is>
      </c>
      <c r="B5954" t="inlineStr">
        <is>
          <t>avverkningsanmälan</t>
        </is>
      </c>
      <c r="C5954" t="inlineStr">
        <is>
          <t>Föryngringsavverkning</t>
        </is>
      </c>
      <c r="D5954" s="1" t="n">
        <v>46141</v>
      </c>
      <c r="E5954" s="1" t="n">
        <v>46323</v>
      </c>
      <c r="F5954" t="inlineStr">
        <is>
          <t>KALMAR LÄN</t>
        </is>
      </c>
      <c r="G5954" t="inlineStr">
        <is>
          <t>NYBRO</t>
        </is>
      </c>
      <c r="H5954" t="inlineStr">
        <is>
          <t>Sveaskog</t>
        </is>
      </c>
      <c r="I5954" t="n">
        <v>2</v>
      </c>
      <c r="J5954" t="n">
        <v>0</v>
      </c>
      <c r="K5954" t="n">
        <v>0</v>
      </c>
      <c r="L5954" t="n">
        <v>0</v>
      </c>
      <c r="M5954" t="n">
        <v>0</v>
      </c>
      <c r="N5954" t="n">
        <v>0</v>
      </c>
      <c r="O5954" t="n">
        <v>0</v>
      </c>
      <c r="P5954" t="n">
        <v>0</v>
      </c>
      <c r="Q5954" t="n">
        <v>0</v>
      </c>
      <c r="R5954" t="n">
        <v>0</v>
      </c>
      <c r="S5954" t="n">
        <v>0</v>
      </c>
      <c r="T5954" t="n">
        <v>0</v>
      </c>
      <c r="U5954" t="n">
        <v>0</v>
      </c>
      <c r="V5954" s="2" t="inlineStr"/>
    </row>
    <row r="5955" ht="15" customHeight="1">
      <c r="A5955" t="inlineStr">
        <is>
          <t>A 24562-2024</t>
        </is>
      </c>
      <c r="B5955" t="inlineStr">
        <is>
          <t>avverkningsanmälan</t>
        </is>
      </c>
      <c r="C5955" t="inlineStr">
        <is>
          <t>Föryngringsavverkning</t>
        </is>
      </c>
      <c r="D5955" s="1" t="n">
        <v>45460</v>
      </c>
      <c r="E5955" s="1" t="n">
        <v>46323</v>
      </c>
      <c r="F5955" t="inlineStr">
        <is>
          <t>KALMAR LÄN</t>
        </is>
      </c>
      <c r="G5955" t="inlineStr">
        <is>
          <t>VÄSTERVIK</t>
        </is>
      </c>
      <c r="I5955" t="n">
        <v>1.5</v>
      </c>
      <c r="J5955" t="n">
        <v>0</v>
      </c>
      <c r="K5955" t="n">
        <v>0</v>
      </c>
      <c r="L5955" t="n">
        <v>0</v>
      </c>
      <c r="M5955" t="n">
        <v>0</v>
      </c>
      <c r="N5955" t="n">
        <v>0</v>
      </c>
      <c r="O5955" t="n">
        <v>0</v>
      </c>
      <c r="P5955" t="n">
        <v>0</v>
      </c>
      <c r="Q5955" t="n">
        <v>0</v>
      </c>
      <c r="R5955" t="n">
        <v>0</v>
      </c>
      <c r="S5955" t="n">
        <v>0</v>
      </c>
      <c r="T5955" t="n">
        <v>0</v>
      </c>
      <c r="U5955" t="n">
        <v>0</v>
      </c>
      <c r="V5955" s="2" t="inlineStr"/>
    </row>
    <row r="5956" ht="15" customHeight="1">
      <c r="A5956" t="inlineStr">
        <is>
          <t>A 43698-2026</t>
        </is>
      </c>
      <c r="B5956" t="inlineStr">
        <is>
          <t>avverkningsanmälan</t>
        </is>
      </c>
      <c r="C5956" t="inlineStr">
        <is>
          <t>Föryngringsavverkning</t>
        </is>
      </c>
      <c r="D5956" s="1" t="n">
        <v>46316</v>
      </c>
      <c r="E5956" s="1" t="n">
        <v>46323</v>
      </c>
      <c r="F5956" t="inlineStr">
        <is>
          <t>KALMAR LÄN</t>
        </is>
      </c>
      <c r="G5956" t="inlineStr">
        <is>
          <t>MÖRBYLÅNGA</t>
        </is>
      </c>
      <c r="I5956" t="n">
        <v>0.7</v>
      </c>
      <c r="J5956" t="n">
        <v>0</v>
      </c>
      <c r="K5956" t="n">
        <v>0</v>
      </c>
      <c r="L5956" t="n">
        <v>0</v>
      </c>
      <c r="M5956" t="n">
        <v>0</v>
      </c>
      <c r="N5956" t="n">
        <v>0</v>
      </c>
      <c r="O5956" t="n">
        <v>0</v>
      </c>
      <c r="P5956" t="n">
        <v>0</v>
      </c>
      <c r="Q5956" t="n">
        <v>0</v>
      </c>
      <c r="R5956" t="n">
        <v>0</v>
      </c>
      <c r="S5956" t="n">
        <v>0</v>
      </c>
      <c r="T5956" t="n">
        <v>0</v>
      </c>
      <c r="U5956" t="n">
        <v>0</v>
      </c>
      <c r="V5956" s="2" t="inlineStr"/>
    </row>
    <row r="5957" ht="15" customHeight="1">
      <c r="A5957" t="inlineStr">
        <is>
          <t>A 31081-2025</t>
        </is>
      </c>
      <c r="B5957" t="inlineStr">
        <is>
          <t>avverkningsanmälan</t>
        </is>
      </c>
      <c r="C5957" t="inlineStr">
        <is>
          <t>Föryngringsavverkning</t>
        </is>
      </c>
      <c r="D5957" s="1" t="n">
        <v>45832</v>
      </c>
      <c r="E5957" s="1" t="n">
        <v>46323</v>
      </c>
      <c r="F5957" t="inlineStr">
        <is>
          <t>KALMAR LÄN</t>
        </is>
      </c>
      <c r="G5957" t="inlineStr">
        <is>
          <t>OSKARSHAMN</t>
        </is>
      </c>
      <c r="I5957" t="n">
        <v>1.8</v>
      </c>
      <c r="J5957" t="n">
        <v>0</v>
      </c>
      <c r="K5957" t="n">
        <v>0</v>
      </c>
      <c r="L5957" t="n">
        <v>0</v>
      </c>
      <c r="M5957" t="n">
        <v>0</v>
      </c>
      <c r="N5957" t="n">
        <v>0</v>
      </c>
      <c r="O5957" t="n">
        <v>0</v>
      </c>
      <c r="P5957" t="n">
        <v>0</v>
      </c>
      <c r="Q5957" t="n">
        <v>0</v>
      </c>
      <c r="R5957" t="n">
        <v>0</v>
      </c>
      <c r="S5957" t="n">
        <v>0</v>
      </c>
      <c r="T5957" t="n">
        <v>0</v>
      </c>
      <c r="U5957" t="n">
        <v>0</v>
      </c>
      <c r="V5957" s="2" t="inlineStr"/>
    </row>
    <row r="5958" ht="15" customHeight="1">
      <c r="A5958" t="inlineStr">
        <is>
          <t>A 43365-2026</t>
        </is>
      </c>
      <c r="B5958" t="inlineStr">
        <is>
          <t>avverkningsanmälan</t>
        </is>
      </c>
      <c r="C5958" t="inlineStr">
        <is>
          <t>Föryngringsavverkning</t>
        </is>
      </c>
      <c r="D5958" s="1" t="n">
        <v>46314</v>
      </c>
      <c r="E5958" s="1" t="n">
        <v>46323</v>
      </c>
      <c r="F5958" t="inlineStr">
        <is>
          <t>KALMAR LÄN</t>
        </is>
      </c>
      <c r="G5958" t="inlineStr">
        <is>
          <t>EMMABODA</t>
        </is>
      </c>
      <c r="I5958" t="n">
        <v>2.2</v>
      </c>
      <c r="J5958" t="n">
        <v>0</v>
      </c>
      <c r="K5958" t="n">
        <v>0</v>
      </c>
      <c r="L5958" t="n">
        <v>0</v>
      </c>
      <c r="M5958" t="n">
        <v>0</v>
      </c>
      <c r="N5958" t="n">
        <v>0</v>
      </c>
      <c r="O5958" t="n">
        <v>0</v>
      </c>
      <c r="P5958" t="n">
        <v>0</v>
      </c>
      <c r="Q5958" t="n">
        <v>0</v>
      </c>
      <c r="R5958" t="n">
        <v>0</v>
      </c>
      <c r="S5958" t="n">
        <v>0</v>
      </c>
      <c r="T5958" t="n">
        <v>0</v>
      </c>
      <c r="U5958" t="n">
        <v>0</v>
      </c>
      <c r="V5958" s="2" t="inlineStr"/>
    </row>
    <row r="5959" ht="15" customHeight="1">
      <c r="A5959" t="inlineStr">
        <is>
          <t>A 10807-2023</t>
        </is>
      </c>
      <c r="B5959" t="inlineStr">
        <is>
          <t>avverkningsanmälan</t>
        </is>
      </c>
      <c r="C5959" t="inlineStr">
        <is>
          <t>Föryngringsavverkning</t>
        </is>
      </c>
      <c r="D5959" s="1" t="n">
        <v>44989</v>
      </c>
      <c r="E5959" s="1" t="n">
        <v>46323</v>
      </c>
      <c r="F5959" t="inlineStr">
        <is>
          <t>KALMAR LÄN</t>
        </is>
      </c>
      <c r="G5959" t="inlineStr">
        <is>
          <t>VÄSTERVIK</t>
        </is>
      </c>
      <c r="I5959" t="n">
        <v>0.4</v>
      </c>
      <c r="J5959" t="n">
        <v>0</v>
      </c>
      <c r="K5959" t="n">
        <v>0</v>
      </c>
      <c r="L5959" t="n">
        <v>0</v>
      </c>
      <c r="M5959" t="n">
        <v>0</v>
      </c>
      <c r="N5959" t="n">
        <v>0</v>
      </c>
      <c r="O5959" t="n">
        <v>0</v>
      </c>
      <c r="P5959" t="n">
        <v>0</v>
      </c>
      <c r="Q5959" t="n">
        <v>0</v>
      </c>
      <c r="R5959" t="n">
        <v>0</v>
      </c>
      <c r="S5959" t="n">
        <v>0</v>
      </c>
      <c r="T5959" t="n">
        <v>0</v>
      </c>
      <c r="U5959" t="n">
        <v>0</v>
      </c>
      <c r="V5959" s="2" t="inlineStr"/>
    </row>
    <row r="5960" ht="15" customHeight="1">
      <c r="A5960" t="inlineStr">
        <is>
          <t>A 43532-2026</t>
        </is>
      </c>
      <c r="B5960" t="inlineStr">
        <is>
          <t>avverkningsanmälan</t>
        </is>
      </c>
      <c r="C5960" t="inlineStr">
        <is>
          <t>Föryngringsavverkning</t>
        </is>
      </c>
      <c r="D5960" s="1" t="n">
        <v>46315</v>
      </c>
      <c r="E5960" s="1" t="n">
        <v>46323</v>
      </c>
      <c r="F5960" t="inlineStr">
        <is>
          <t>KALMAR LÄN</t>
        </is>
      </c>
      <c r="G5960" t="inlineStr">
        <is>
          <t>VÄSTERVIK</t>
        </is>
      </c>
      <c r="H5960" t="inlineStr">
        <is>
          <t>Sveaskog</t>
        </is>
      </c>
      <c r="I5960" t="n">
        <v>9.5</v>
      </c>
      <c r="J5960" t="n">
        <v>0</v>
      </c>
      <c r="K5960" t="n">
        <v>0</v>
      </c>
      <c r="L5960" t="n">
        <v>0</v>
      </c>
      <c r="M5960" t="n">
        <v>0</v>
      </c>
      <c r="N5960" t="n">
        <v>0</v>
      </c>
      <c r="O5960" t="n">
        <v>0</v>
      </c>
      <c r="P5960" t="n">
        <v>0</v>
      </c>
      <c r="Q5960" t="n">
        <v>0</v>
      </c>
      <c r="R5960" t="n">
        <v>0</v>
      </c>
      <c r="S5960" t="n">
        <v>0</v>
      </c>
      <c r="T5960" t="n">
        <v>0</v>
      </c>
      <c r="U5960" t="n">
        <v>0</v>
      </c>
      <c r="V5960" s="2" t="inlineStr"/>
    </row>
    <row r="5961" ht="15" customHeight="1">
      <c r="A5961" t="inlineStr">
        <is>
          <t>A 43538-2026</t>
        </is>
      </c>
      <c r="B5961" t="inlineStr">
        <is>
          <t>avverkningsanmälan</t>
        </is>
      </c>
      <c r="C5961" t="inlineStr">
        <is>
          <t>Föryngringsavverkning</t>
        </is>
      </c>
      <c r="D5961" s="1" t="n">
        <v>46315</v>
      </c>
      <c r="E5961" s="1" t="n">
        <v>46323</v>
      </c>
      <c r="F5961" t="inlineStr">
        <is>
          <t>KALMAR LÄN</t>
        </is>
      </c>
      <c r="G5961" t="inlineStr">
        <is>
          <t>VÄSTERVIK</t>
        </is>
      </c>
      <c r="H5961" t="inlineStr">
        <is>
          <t>Sveaskog</t>
        </is>
      </c>
      <c r="I5961" t="n">
        <v>2.8</v>
      </c>
      <c r="J5961" t="n">
        <v>0</v>
      </c>
      <c r="K5961" t="n">
        <v>0</v>
      </c>
      <c r="L5961" t="n">
        <v>0</v>
      </c>
      <c r="M5961" t="n">
        <v>0</v>
      </c>
      <c r="N5961" t="n">
        <v>0</v>
      </c>
      <c r="O5961" t="n">
        <v>0</v>
      </c>
      <c r="P5961" t="n">
        <v>0</v>
      </c>
      <c r="Q5961" t="n">
        <v>0</v>
      </c>
      <c r="R5961" t="n">
        <v>0</v>
      </c>
      <c r="S5961" t="n">
        <v>0</v>
      </c>
      <c r="T5961" t="n">
        <v>0</v>
      </c>
      <c r="U5961" t="n">
        <v>0</v>
      </c>
      <c r="V5961" s="2" t="inlineStr"/>
    </row>
    <row r="5962" ht="15" customHeight="1">
      <c r="A5962" t="inlineStr">
        <is>
          <t>A 43583-2026</t>
        </is>
      </c>
      <c r="B5962" t="inlineStr">
        <is>
          <t>avverkningsanmälan</t>
        </is>
      </c>
      <c r="C5962" t="inlineStr">
        <is>
          <t>Föryngringsavverkning</t>
        </is>
      </c>
      <c r="D5962" s="1" t="n">
        <v>46315</v>
      </c>
      <c r="E5962" s="1" t="n">
        <v>46323</v>
      </c>
      <c r="F5962" t="inlineStr">
        <is>
          <t>KALMAR LÄN</t>
        </is>
      </c>
      <c r="G5962" t="inlineStr">
        <is>
          <t>VIMMERBY</t>
        </is>
      </c>
      <c r="I5962" t="n">
        <v>1.3</v>
      </c>
      <c r="J5962" t="n">
        <v>0</v>
      </c>
      <c r="K5962" t="n">
        <v>0</v>
      </c>
      <c r="L5962" t="n">
        <v>0</v>
      </c>
      <c r="M5962" t="n">
        <v>0</v>
      </c>
      <c r="N5962" t="n">
        <v>0</v>
      </c>
      <c r="O5962" t="n">
        <v>0</v>
      </c>
      <c r="P5962" t="n">
        <v>0</v>
      </c>
      <c r="Q5962" t="n">
        <v>0</v>
      </c>
      <c r="R5962" t="n">
        <v>0</v>
      </c>
      <c r="S5962" t="n">
        <v>0</v>
      </c>
      <c r="T5962" t="n">
        <v>0</v>
      </c>
      <c r="U5962" t="n">
        <v>0</v>
      </c>
      <c r="V5962" s="2" t="inlineStr"/>
    </row>
    <row r="5963" ht="15" customHeight="1">
      <c r="A5963" t="inlineStr">
        <is>
          <t>A 36900-2024</t>
        </is>
      </c>
      <c r="B5963" t="inlineStr">
        <is>
          <t>avverkningsanmälan</t>
        </is>
      </c>
      <c r="C5963" t="inlineStr">
        <is>
          <t>Föryngringsavverkning</t>
        </is>
      </c>
      <c r="D5963" s="1" t="n">
        <v>45538</v>
      </c>
      <c r="E5963" s="1" t="n">
        <v>46323</v>
      </c>
      <c r="F5963" t="inlineStr">
        <is>
          <t>KALMAR LÄN</t>
        </is>
      </c>
      <c r="G5963" t="inlineStr">
        <is>
          <t>MÖNSTERÅS</t>
        </is>
      </c>
      <c r="I5963" t="n">
        <v>3.2</v>
      </c>
      <c r="J5963" t="n">
        <v>0</v>
      </c>
      <c r="K5963" t="n">
        <v>0</v>
      </c>
      <c r="L5963" t="n">
        <v>0</v>
      </c>
      <c r="M5963" t="n">
        <v>0</v>
      </c>
      <c r="N5963" t="n">
        <v>0</v>
      </c>
      <c r="O5963" t="n">
        <v>0</v>
      </c>
      <c r="P5963" t="n">
        <v>0</v>
      </c>
      <c r="Q5963" t="n">
        <v>0</v>
      </c>
      <c r="R5963" t="n">
        <v>0</v>
      </c>
      <c r="S5963" t="n">
        <v>0</v>
      </c>
      <c r="T5963" t="n">
        <v>0</v>
      </c>
      <c r="U5963" t="n">
        <v>0</v>
      </c>
      <c r="V5963" s="2" t="inlineStr"/>
    </row>
    <row r="5964" ht="15" customHeight="1">
      <c r="A5964" t="inlineStr">
        <is>
          <t>A 21799-2023</t>
        </is>
      </c>
      <c r="B5964" t="inlineStr">
        <is>
          <t>avverkningsanmälan</t>
        </is>
      </c>
      <c r="C5964" t="inlineStr">
        <is>
          <t>Föryngringsavverkning</t>
        </is>
      </c>
      <c r="D5964" s="1" t="n">
        <v>45067</v>
      </c>
      <c r="E5964" s="1" t="n">
        <v>46323</v>
      </c>
      <c r="F5964" t="inlineStr">
        <is>
          <t>KALMAR LÄN</t>
        </is>
      </c>
      <c r="G5964" t="inlineStr">
        <is>
          <t>KALMAR</t>
        </is>
      </c>
      <c r="I5964" t="n">
        <v>1</v>
      </c>
      <c r="J5964" t="n">
        <v>0</v>
      </c>
      <c r="K5964" t="n">
        <v>0</v>
      </c>
      <c r="L5964" t="n">
        <v>0</v>
      </c>
      <c r="M5964" t="n">
        <v>0</v>
      </c>
      <c r="N5964" t="n">
        <v>0</v>
      </c>
      <c r="O5964" t="n">
        <v>0</v>
      </c>
      <c r="P5964" t="n">
        <v>0</v>
      </c>
      <c r="Q5964" t="n">
        <v>0</v>
      </c>
      <c r="R5964" t="n">
        <v>0</v>
      </c>
      <c r="S5964" t="n">
        <v>0</v>
      </c>
      <c r="T5964" t="n">
        <v>0</v>
      </c>
      <c r="U5964" t="n">
        <v>0</v>
      </c>
      <c r="V5964" s="2" t="inlineStr"/>
    </row>
    <row r="5965" ht="15" customHeight="1">
      <c r="A5965" t="inlineStr">
        <is>
          <t>A 31075-2025</t>
        </is>
      </c>
      <c r="B5965" t="inlineStr">
        <is>
          <t>avverkningsanmälan</t>
        </is>
      </c>
      <c r="C5965" t="inlineStr">
        <is>
          <t>Föryngringsavverkning</t>
        </is>
      </c>
      <c r="D5965" s="1" t="n">
        <v>45832</v>
      </c>
      <c r="E5965" s="1" t="n">
        <v>46323</v>
      </c>
      <c r="F5965" t="inlineStr">
        <is>
          <t>KALMAR LÄN</t>
        </is>
      </c>
      <c r="G5965" t="inlineStr">
        <is>
          <t>OSKARSHAMN</t>
        </is>
      </c>
      <c r="I5965" t="n">
        <v>1.4</v>
      </c>
      <c r="J5965" t="n">
        <v>0</v>
      </c>
      <c r="K5965" t="n">
        <v>0</v>
      </c>
      <c r="L5965" t="n">
        <v>0</v>
      </c>
      <c r="M5965" t="n">
        <v>0</v>
      </c>
      <c r="N5965" t="n">
        <v>0</v>
      </c>
      <c r="O5965" t="n">
        <v>0</v>
      </c>
      <c r="P5965" t="n">
        <v>0</v>
      </c>
      <c r="Q5965" t="n">
        <v>0</v>
      </c>
      <c r="R5965" t="n">
        <v>0</v>
      </c>
      <c r="S5965" t="n">
        <v>0</v>
      </c>
      <c r="T5965" t="n">
        <v>0</v>
      </c>
      <c r="U5965" t="n">
        <v>0</v>
      </c>
      <c r="V5965" s="2" t="inlineStr"/>
    </row>
    <row r="5966" ht="15" customHeight="1">
      <c r="A5966" t="inlineStr">
        <is>
          <t>A 36876-2026</t>
        </is>
      </c>
      <c r="B5966" t="inlineStr">
        <is>
          <t>avverkningsanmälan</t>
        </is>
      </c>
      <c r="C5966" t="inlineStr">
        <is>
          <t>Föryngringsavverkning</t>
        </is>
      </c>
      <c r="D5966" s="1" t="n">
        <v>46273</v>
      </c>
      <c r="E5966" s="1" t="n">
        <v>46323</v>
      </c>
      <c r="F5966" t="inlineStr">
        <is>
          <t>KALMAR LÄN</t>
        </is>
      </c>
      <c r="G5966" t="inlineStr">
        <is>
          <t>NYBRO</t>
        </is>
      </c>
      <c r="I5966" t="n">
        <v>1.6</v>
      </c>
      <c r="J5966" t="n">
        <v>0</v>
      </c>
      <c r="K5966" t="n">
        <v>0</v>
      </c>
      <c r="L5966" t="n">
        <v>0</v>
      </c>
      <c r="M5966" t="n">
        <v>0</v>
      </c>
      <c r="N5966" t="n">
        <v>0</v>
      </c>
      <c r="O5966" t="n">
        <v>0</v>
      </c>
      <c r="P5966" t="n">
        <v>0</v>
      </c>
      <c r="Q5966" t="n">
        <v>0</v>
      </c>
      <c r="R5966" t="n">
        <v>0</v>
      </c>
      <c r="S5966" t="n">
        <v>0</v>
      </c>
      <c r="T5966" t="n">
        <v>0</v>
      </c>
      <c r="U5966" t="n">
        <v>0</v>
      </c>
      <c r="V5966" s="2" t="inlineStr"/>
    </row>
    <row r="5967" ht="15" customHeight="1">
      <c r="A5967" t="inlineStr">
        <is>
          <t>A 14061-2024</t>
        </is>
      </c>
      <c r="B5967" t="inlineStr">
        <is>
          <t>avverkningsanmälan</t>
        </is>
      </c>
      <c r="C5967" t="inlineStr">
        <is>
          <t>Föryngringsavverkning</t>
        </is>
      </c>
      <c r="D5967" s="1" t="n">
        <v>45392</v>
      </c>
      <c r="E5967" s="1" t="n">
        <v>46323</v>
      </c>
      <c r="F5967" t="inlineStr">
        <is>
          <t>KALMAR LÄN</t>
        </is>
      </c>
      <c r="G5967" t="inlineStr">
        <is>
          <t>NYBRO</t>
        </is>
      </c>
      <c r="I5967" t="n">
        <v>1.1</v>
      </c>
      <c r="J5967" t="n">
        <v>0</v>
      </c>
      <c r="K5967" t="n">
        <v>0</v>
      </c>
      <c r="L5967" t="n">
        <v>0</v>
      </c>
      <c r="M5967" t="n">
        <v>0</v>
      </c>
      <c r="N5967" t="n">
        <v>0</v>
      </c>
      <c r="O5967" t="n">
        <v>0</v>
      </c>
      <c r="P5967" t="n">
        <v>0</v>
      </c>
      <c r="Q5967" t="n">
        <v>0</v>
      </c>
      <c r="R5967" t="n">
        <v>0</v>
      </c>
      <c r="S5967" t="n">
        <v>0</v>
      </c>
      <c r="T5967" t="n">
        <v>0</v>
      </c>
      <c r="U5967" t="n">
        <v>0</v>
      </c>
      <c r="V5967" s="2" t="inlineStr"/>
    </row>
    <row r="5968" ht="15" customHeight="1">
      <c r="A5968" t="inlineStr">
        <is>
          <t>A 30882-2025</t>
        </is>
      </c>
      <c r="B5968" t="inlineStr">
        <is>
          <t>avverkningsanmälan</t>
        </is>
      </c>
      <c r="C5968" t="inlineStr">
        <is>
          <t>Föryngringsavverkning</t>
        </is>
      </c>
      <c r="D5968" s="1" t="n">
        <v>45832</v>
      </c>
      <c r="E5968" s="1" t="n">
        <v>46323</v>
      </c>
      <c r="F5968" t="inlineStr">
        <is>
          <t>KALMAR LÄN</t>
        </is>
      </c>
      <c r="G5968" t="inlineStr">
        <is>
          <t>VIMMERBY</t>
        </is>
      </c>
      <c r="I5968" t="n">
        <v>0.7</v>
      </c>
      <c r="J5968" t="n">
        <v>0</v>
      </c>
      <c r="K5968" t="n">
        <v>0</v>
      </c>
      <c r="L5968" t="n">
        <v>0</v>
      </c>
      <c r="M5968" t="n">
        <v>0</v>
      </c>
      <c r="N5968" t="n">
        <v>0</v>
      </c>
      <c r="O5968" t="n">
        <v>0</v>
      </c>
      <c r="P5968" t="n">
        <v>0</v>
      </c>
      <c r="Q5968" t="n">
        <v>0</v>
      </c>
      <c r="R5968" t="n">
        <v>0</v>
      </c>
      <c r="S5968" t="n">
        <v>0</v>
      </c>
      <c r="T5968" t="n">
        <v>0</v>
      </c>
      <c r="U5968" t="n">
        <v>0</v>
      </c>
      <c r="V5968" s="2" t="inlineStr"/>
    </row>
    <row r="5969" ht="15" customHeight="1">
      <c r="A5969" t="inlineStr">
        <is>
          <t>A 40730-2024</t>
        </is>
      </c>
      <c r="B5969" t="inlineStr">
        <is>
          <t>avverkningsanmälan</t>
        </is>
      </c>
      <c r="C5969" t="inlineStr">
        <is>
          <t>Föryngringsavverkning</t>
        </is>
      </c>
      <c r="D5969" s="1" t="n">
        <v>45558</v>
      </c>
      <c r="E5969" s="1" t="n">
        <v>46323</v>
      </c>
      <c r="F5969" t="inlineStr">
        <is>
          <t>KALMAR LÄN</t>
        </is>
      </c>
      <c r="G5969" t="inlineStr">
        <is>
          <t>VIMMERBY</t>
        </is>
      </c>
      <c r="I5969" t="n">
        <v>0.5</v>
      </c>
      <c r="J5969" t="n">
        <v>0</v>
      </c>
      <c r="K5969" t="n">
        <v>0</v>
      </c>
      <c r="L5969" t="n">
        <v>0</v>
      </c>
      <c r="M5969" t="n">
        <v>0</v>
      </c>
      <c r="N5969" t="n">
        <v>0</v>
      </c>
      <c r="O5969" t="n">
        <v>0</v>
      </c>
      <c r="P5969" t="n">
        <v>0</v>
      </c>
      <c r="Q5969" t="n">
        <v>0</v>
      </c>
      <c r="R5969" t="n">
        <v>0</v>
      </c>
      <c r="S5969" t="n">
        <v>0</v>
      </c>
      <c r="T5969" t="n">
        <v>0</v>
      </c>
      <c r="U5969" t="n">
        <v>0</v>
      </c>
      <c r="V5969" s="2" t="inlineStr"/>
    </row>
    <row r="5970" ht="15" customHeight="1">
      <c r="A5970" t="inlineStr">
        <is>
          <t>A 43453-2026</t>
        </is>
      </c>
      <c r="B5970" t="inlineStr">
        <is>
          <t>avverkningsanmälan</t>
        </is>
      </c>
      <c r="C5970" t="inlineStr">
        <is>
          <t>Föryngringsavverkning</t>
        </is>
      </c>
      <c r="D5970" s="1" t="n">
        <v>46314</v>
      </c>
      <c r="E5970" s="1" t="n">
        <v>46323</v>
      </c>
      <c r="F5970" t="inlineStr">
        <is>
          <t>KALMAR LÄN</t>
        </is>
      </c>
      <c r="G5970" t="inlineStr">
        <is>
          <t>VÄSTERVIK</t>
        </is>
      </c>
      <c r="H5970" t="inlineStr">
        <is>
          <t>Holmen skog AB</t>
        </is>
      </c>
      <c r="I5970" t="n">
        <v>11.2</v>
      </c>
      <c r="J5970" t="n">
        <v>0</v>
      </c>
      <c r="K5970" t="n">
        <v>0</v>
      </c>
      <c r="L5970" t="n">
        <v>0</v>
      </c>
      <c r="M5970" t="n">
        <v>0</v>
      </c>
      <c r="N5970" t="n">
        <v>0</v>
      </c>
      <c r="O5970" t="n">
        <v>0</v>
      </c>
      <c r="P5970" t="n">
        <v>0</v>
      </c>
      <c r="Q5970" t="n">
        <v>0</v>
      </c>
      <c r="R5970" t="n">
        <v>0</v>
      </c>
      <c r="S5970" t="n">
        <v>0</v>
      </c>
      <c r="T5970" t="n">
        <v>0</v>
      </c>
      <c r="U5970" t="n">
        <v>0</v>
      </c>
      <c r="V5970" s="2" t="inlineStr"/>
    </row>
    <row r="5971" ht="15" customHeight="1">
      <c r="A5971" t="inlineStr">
        <is>
          <t>A 9112-2023</t>
        </is>
      </c>
      <c r="B5971" t="inlineStr">
        <is>
          <t>avverkningsanmälan</t>
        </is>
      </c>
      <c r="C5971" t="inlineStr">
        <is>
          <t>Avverkning för annat ändamål</t>
        </is>
      </c>
      <c r="D5971" s="1" t="n">
        <v>44979</v>
      </c>
      <c r="E5971" s="1" t="n">
        <v>46323</v>
      </c>
      <c r="F5971" t="inlineStr">
        <is>
          <t>KALMAR LÄN</t>
        </is>
      </c>
      <c r="G5971" t="inlineStr">
        <is>
          <t>VÄSTERVIK</t>
        </is>
      </c>
      <c r="I5971" t="n">
        <v>1.8</v>
      </c>
      <c r="J5971" t="n">
        <v>0</v>
      </c>
      <c r="K5971" t="n">
        <v>0</v>
      </c>
      <c r="L5971" t="n">
        <v>0</v>
      </c>
      <c r="M5971" t="n">
        <v>0</v>
      </c>
      <c r="N5971" t="n">
        <v>0</v>
      </c>
      <c r="O5971" t="n">
        <v>0</v>
      </c>
      <c r="P5971" t="n">
        <v>0</v>
      </c>
      <c r="Q5971" t="n">
        <v>0</v>
      </c>
      <c r="R5971" t="n">
        <v>0</v>
      </c>
      <c r="S5971" t="n">
        <v>0</v>
      </c>
      <c r="T5971" t="n">
        <v>0</v>
      </c>
      <c r="U5971" t="n">
        <v>0</v>
      </c>
      <c r="V5971" s="2" t="inlineStr"/>
    </row>
    <row r="5972" ht="15" customHeight="1">
      <c r="A5972" t="inlineStr">
        <is>
          <t>A 18349-2023</t>
        </is>
      </c>
      <c r="B5972" t="inlineStr">
        <is>
          <t>avverkningsanmälan</t>
        </is>
      </c>
      <c r="C5972" t="inlineStr">
        <is>
          <t>Föryngringsavverkning</t>
        </is>
      </c>
      <c r="D5972" s="1" t="n">
        <v>45041</v>
      </c>
      <c r="E5972" s="1" t="n">
        <v>46323</v>
      </c>
      <c r="F5972" t="inlineStr">
        <is>
          <t>KALMAR LÄN</t>
        </is>
      </c>
      <c r="G5972" t="inlineStr">
        <is>
          <t>OSKARSHAMN</t>
        </is>
      </c>
      <c r="I5972" t="n">
        <v>2.3</v>
      </c>
      <c r="J5972" t="n">
        <v>0</v>
      </c>
      <c r="K5972" t="n">
        <v>0</v>
      </c>
      <c r="L5972" t="n">
        <v>0</v>
      </c>
      <c r="M5972" t="n">
        <v>0</v>
      </c>
      <c r="N5972" t="n">
        <v>0</v>
      </c>
      <c r="O5972" t="n">
        <v>0</v>
      </c>
      <c r="P5972" t="n">
        <v>0</v>
      </c>
      <c r="Q5972" t="n">
        <v>0</v>
      </c>
      <c r="R5972" t="n">
        <v>0</v>
      </c>
      <c r="S5972" t="n">
        <v>0</v>
      </c>
      <c r="T5972" t="n">
        <v>0</v>
      </c>
      <c r="U5972" t="n">
        <v>0</v>
      </c>
      <c r="V5972" s="2" t="inlineStr"/>
    </row>
    <row r="5973" ht="15" customHeight="1">
      <c r="A5973" t="inlineStr">
        <is>
          <t>A 37967-2022</t>
        </is>
      </c>
      <c r="B5973" t="inlineStr">
        <is>
          <t>avverkningsanmälan</t>
        </is>
      </c>
      <c r="C5973" t="inlineStr">
        <is>
          <t>Föryngringsavverkning</t>
        </is>
      </c>
      <c r="D5973" s="1" t="n">
        <v>44811</v>
      </c>
      <c r="E5973" s="1" t="n">
        <v>46323</v>
      </c>
      <c r="F5973" t="inlineStr">
        <is>
          <t>KALMAR LÄN</t>
        </is>
      </c>
      <c r="G5973" t="inlineStr">
        <is>
          <t>NYBRO</t>
        </is>
      </c>
      <c r="I5973" t="n">
        <v>1.1</v>
      </c>
      <c r="J5973" t="n">
        <v>0</v>
      </c>
      <c r="K5973" t="n">
        <v>0</v>
      </c>
      <c r="L5973" t="n">
        <v>0</v>
      </c>
      <c r="M5973" t="n">
        <v>0</v>
      </c>
      <c r="N5973" t="n">
        <v>0</v>
      </c>
      <c r="O5973" t="n">
        <v>0</v>
      </c>
      <c r="P5973" t="n">
        <v>0</v>
      </c>
      <c r="Q5973" t="n">
        <v>0</v>
      </c>
      <c r="R5973" t="n">
        <v>0</v>
      </c>
      <c r="S5973" t="n">
        <v>0</v>
      </c>
      <c r="T5973" t="n">
        <v>0</v>
      </c>
      <c r="U5973" t="n">
        <v>0</v>
      </c>
      <c r="V5973" s="2" t="inlineStr"/>
    </row>
    <row r="5974" ht="15" customHeight="1">
      <c r="A5974" t="inlineStr">
        <is>
          <t>A 43853-2026</t>
        </is>
      </c>
      <c r="B5974" t="inlineStr">
        <is>
          <t>avverkningsanmälan</t>
        </is>
      </c>
      <c r="C5974" t="inlineStr">
        <is>
          <t>Föryngringsavverkning</t>
        </is>
      </c>
      <c r="D5974" s="1" t="n">
        <v>46316</v>
      </c>
      <c r="E5974" s="1" t="n">
        <v>46323</v>
      </c>
      <c r="F5974" t="inlineStr">
        <is>
          <t>KALMAR LÄN</t>
        </is>
      </c>
      <c r="G5974" t="inlineStr">
        <is>
          <t>VÄSTERVIK</t>
        </is>
      </c>
      <c r="I5974" t="n">
        <v>0.7</v>
      </c>
      <c r="J5974" t="n">
        <v>0</v>
      </c>
      <c r="K5974" t="n">
        <v>0</v>
      </c>
      <c r="L5974" t="n">
        <v>0</v>
      </c>
      <c r="M5974" t="n">
        <v>0</v>
      </c>
      <c r="N5974" t="n">
        <v>0</v>
      </c>
      <c r="O5974" t="n">
        <v>0</v>
      </c>
      <c r="P5974" t="n">
        <v>0</v>
      </c>
      <c r="Q5974" t="n">
        <v>0</v>
      </c>
      <c r="R5974" t="n">
        <v>0</v>
      </c>
      <c r="S5974" t="n">
        <v>0</v>
      </c>
      <c r="T5974" t="n">
        <v>0</v>
      </c>
      <c r="U5974" t="n">
        <v>0</v>
      </c>
      <c r="V5974" s="2" t="inlineStr"/>
    </row>
    <row r="5975" ht="15" customHeight="1">
      <c r="A5975" t="inlineStr">
        <is>
          <t>A 50978-2022</t>
        </is>
      </c>
      <c r="B5975" t="inlineStr">
        <is>
          <t>avverkningsanmälan</t>
        </is>
      </c>
      <c r="C5975" t="inlineStr">
        <is>
          <t>Föryngringsavverkning</t>
        </is>
      </c>
      <c r="D5975" s="1" t="n">
        <v>44867</v>
      </c>
      <c r="E5975" s="1" t="n">
        <v>46323</v>
      </c>
      <c r="F5975" t="inlineStr">
        <is>
          <t>KALMAR LÄN</t>
        </is>
      </c>
      <c r="G5975" t="inlineStr">
        <is>
          <t>NYBRO</t>
        </is>
      </c>
      <c r="I5975" t="n">
        <v>1.6</v>
      </c>
      <c r="J5975" t="n">
        <v>0</v>
      </c>
      <c r="K5975" t="n">
        <v>0</v>
      </c>
      <c r="L5975" t="n">
        <v>0</v>
      </c>
      <c r="M5975" t="n">
        <v>0</v>
      </c>
      <c r="N5975" t="n">
        <v>0</v>
      </c>
      <c r="O5975" t="n">
        <v>0</v>
      </c>
      <c r="P5975" t="n">
        <v>0</v>
      </c>
      <c r="Q5975" t="n">
        <v>0</v>
      </c>
      <c r="R5975" t="n">
        <v>0</v>
      </c>
      <c r="S5975" t="n">
        <v>0</v>
      </c>
      <c r="T5975" t="n">
        <v>0</v>
      </c>
      <c r="U5975" t="n">
        <v>0</v>
      </c>
      <c r="V5975" s="2" t="inlineStr"/>
    </row>
    <row r="5976" ht="15" customHeight="1">
      <c r="A5976" t="inlineStr">
        <is>
          <t>A 40305-2026</t>
        </is>
      </c>
      <c r="B5976" t="inlineStr">
        <is>
          <t>avverkningsanmälan</t>
        </is>
      </c>
      <c r="C5976" t="inlineStr">
        <is>
          <t>Föryngringsavverkning</t>
        </is>
      </c>
      <c r="D5976" s="1" t="n">
        <v>46293</v>
      </c>
      <c r="E5976" s="1" t="n">
        <v>46323</v>
      </c>
      <c r="F5976" t="inlineStr">
        <is>
          <t>KALMAR LÄN</t>
        </is>
      </c>
      <c r="G5976" t="inlineStr">
        <is>
          <t>TORSÅS</t>
        </is>
      </c>
      <c r="I5976" t="n">
        <v>1.4</v>
      </c>
      <c r="J5976" t="n">
        <v>0</v>
      </c>
      <c r="K5976" t="n">
        <v>0</v>
      </c>
      <c r="L5976" t="n">
        <v>0</v>
      </c>
      <c r="M5976" t="n">
        <v>0</v>
      </c>
      <c r="N5976" t="n">
        <v>0</v>
      </c>
      <c r="O5976" t="n">
        <v>0</v>
      </c>
      <c r="P5976" t="n">
        <v>0</v>
      </c>
      <c r="Q5976" t="n">
        <v>0</v>
      </c>
      <c r="R5976" t="n">
        <v>0</v>
      </c>
      <c r="S5976" t="n">
        <v>0</v>
      </c>
      <c r="T5976" t="n">
        <v>0</v>
      </c>
      <c r="U5976" t="n">
        <v>0</v>
      </c>
      <c r="V5976" s="2" t="inlineStr"/>
    </row>
    <row r="5977" ht="15" customHeight="1">
      <c r="A5977" t="inlineStr">
        <is>
          <t>A 42719-2026</t>
        </is>
      </c>
      <c r="B5977" t="inlineStr">
        <is>
          <t>avverkningsanmälan</t>
        </is>
      </c>
      <c r="C5977" t="inlineStr">
        <is>
          <t>Föryngringsavverkning</t>
        </is>
      </c>
      <c r="D5977" s="1" t="n">
        <v>46307</v>
      </c>
      <c r="E5977" s="1" t="n">
        <v>46323</v>
      </c>
      <c r="F5977" t="inlineStr">
        <is>
          <t>KALMAR LÄN</t>
        </is>
      </c>
      <c r="G5977" t="inlineStr">
        <is>
          <t>KALMAR</t>
        </is>
      </c>
      <c r="I5977" t="n">
        <v>2.2</v>
      </c>
      <c r="J5977" t="n">
        <v>0</v>
      </c>
      <c r="K5977" t="n">
        <v>0</v>
      </c>
      <c r="L5977" t="n">
        <v>0</v>
      </c>
      <c r="M5977" t="n">
        <v>0</v>
      </c>
      <c r="N5977" t="n">
        <v>0</v>
      </c>
      <c r="O5977" t="n">
        <v>0</v>
      </c>
      <c r="P5977" t="n">
        <v>0</v>
      </c>
      <c r="Q5977" t="n">
        <v>0</v>
      </c>
      <c r="R5977" t="n">
        <v>0</v>
      </c>
      <c r="S5977" t="n">
        <v>0</v>
      </c>
      <c r="T5977" t="n">
        <v>0</v>
      </c>
      <c r="U5977" t="n">
        <v>0</v>
      </c>
      <c r="V5977" s="2" t="inlineStr"/>
    </row>
    <row r="5978" ht="15" customHeight="1">
      <c r="A5978" t="inlineStr">
        <is>
          <t>A 55985-2023</t>
        </is>
      </c>
      <c r="B5978" t="inlineStr">
        <is>
          <t>avverkningsanmälan</t>
        </is>
      </c>
      <c r="C5978" t="inlineStr">
        <is>
          <t>Föryngringsavverkning</t>
        </is>
      </c>
      <c r="D5978" s="1" t="n">
        <v>45240</v>
      </c>
      <c r="E5978" s="1" t="n">
        <v>46323</v>
      </c>
      <c r="F5978" t="inlineStr">
        <is>
          <t>KALMAR LÄN</t>
        </is>
      </c>
      <c r="G5978" t="inlineStr">
        <is>
          <t>OSKARSHAMN</t>
        </is>
      </c>
      <c r="I5978" t="n">
        <v>2.1</v>
      </c>
      <c r="J5978" t="n">
        <v>0</v>
      </c>
      <c r="K5978" t="n">
        <v>0</v>
      </c>
      <c r="L5978" t="n">
        <v>0</v>
      </c>
      <c r="M5978" t="n">
        <v>0</v>
      </c>
      <c r="N5978" t="n">
        <v>0</v>
      </c>
      <c r="O5978" t="n">
        <v>0</v>
      </c>
      <c r="P5978" t="n">
        <v>0</v>
      </c>
      <c r="Q5978" t="n">
        <v>0</v>
      </c>
      <c r="R5978" t="n">
        <v>0</v>
      </c>
      <c r="S5978" t="n">
        <v>0</v>
      </c>
      <c r="T5978" t="n">
        <v>0</v>
      </c>
      <c r="U5978" t="n">
        <v>0</v>
      </c>
      <c r="V5978" s="2" t="inlineStr"/>
    </row>
    <row r="5979" ht="15" customHeight="1">
      <c r="A5979" t="inlineStr">
        <is>
          <t>A 11636-2024</t>
        </is>
      </c>
      <c r="B5979" t="inlineStr">
        <is>
          <t>avverkningsanmälan</t>
        </is>
      </c>
      <c r="C5979" t="inlineStr">
        <is>
          <t>Föryngringsavverkning</t>
        </is>
      </c>
      <c r="D5979" s="1" t="n">
        <v>45373</v>
      </c>
      <c r="E5979" s="1" t="n">
        <v>46323</v>
      </c>
      <c r="F5979" t="inlineStr">
        <is>
          <t>KALMAR LÄN</t>
        </is>
      </c>
      <c r="G5979" t="inlineStr">
        <is>
          <t>EMMABODA</t>
        </is>
      </c>
      <c r="I5979" t="n">
        <v>0.7</v>
      </c>
      <c r="J5979" t="n">
        <v>0</v>
      </c>
      <c r="K5979" t="n">
        <v>0</v>
      </c>
      <c r="L5979" t="n">
        <v>0</v>
      </c>
      <c r="M5979" t="n">
        <v>0</v>
      </c>
      <c r="N5979" t="n">
        <v>0</v>
      </c>
      <c r="O5979" t="n">
        <v>0</v>
      </c>
      <c r="P5979" t="n">
        <v>0</v>
      </c>
      <c r="Q5979" t="n">
        <v>0</v>
      </c>
      <c r="R5979" t="n">
        <v>0</v>
      </c>
      <c r="S5979" t="n">
        <v>0</v>
      </c>
      <c r="T5979" t="n">
        <v>0</v>
      </c>
      <c r="U5979" t="n">
        <v>0</v>
      </c>
      <c r="V5979" s="2" t="inlineStr"/>
    </row>
    <row r="5980" ht="15" customHeight="1">
      <c r="A5980" t="inlineStr">
        <is>
          <t>A 43533-2026</t>
        </is>
      </c>
      <c r="B5980" t="inlineStr">
        <is>
          <t>avverkningsanmälan</t>
        </is>
      </c>
      <c r="C5980" t="inlineStr">
        <is>
          <t>Föryngringsavverkning</t>
        </is>
      </c>
      <c r="D5980" s="1" t="n">
        <v>46315</v>
      </c>
      <c r="E5980" s="1" t="n">
        <v>46323</v>
      </c>
      <c r="F5980" t="inlineStr">
        <is>
          <t>KALMAR LÄN</t>
        </is>
      </c>
      <c r="G5980" t="inlineStr">
        <is>
          <t>VÄSTERVIK</t>
        </is>
      </c>
      <c r="H5980" t="inlineStr">
        <is>
          <t>Sveaskog</t>
        </is>
      </c>
      <c r="I5980" t="n">
        <v>1.6</v>
      </c>
      <c r="J5980" t="n">
        <v>0</v>
      </c>
      <c r="K5980" t="n">
        <v>0</v>
      </c>
      <c r="L5980" t="n">
        <v>0</v>
      </c>
      <c r="M5980" t="n">
        <v>0</v>
      </c>
      <c r="N5980" t="n">
        <v>0</v>
      </c>
      <c r="O5980" t="n">
        <v>0</v>
      </c>
      <c r="P5980" t="n">
        <v>0</v>
      </c>
      <c r="Q5980" t="n">
        <v>0</v>
      </c>
      <c r="R5980" t="n">
        <v>0</v>
      </c>
      <c r="S5980" t="n">
        <v>0</v>
      </c>
      <c r="T5980" t="n">
        <v>0</v>
      </c>
      <c r="U5980" t="n">
        <v>0</v>
      </c>
      <c r="V5980" s="2" t="inlineStr"/>
    </row>
    <row r="5981" ht="15" customHeight="1">
      <c r="A5981" t="inlineStr">
        <is>
          <t>A 9643-2023</t>
        </is>
      </c>
      <c r="B5981" t="inlineStr">
        <is>
          <t>avverkningsanmälan</t>
        </is>
      </c>
      <c r="C5981" t="inlineStr">
        <is>
          <t>Föryngringsavverkning</t>
        </is>
      </c>
      <c r="D5981" s="1" t="n">
        <v>44984</v>
      </c>
      <c r="E5981" s="1" t="n">
        <v>46323</v>
      </c>
      <c r="F5981" t="inlineStr">
        <is>
          <t>KALMAR LÄN</t>
        </is>
      </c>
      <c r="G5981" t="inlineStr">
        <is>
          <t>VIMMERBY</t>
        </is>
      </c>
      <c r="I5981" t="n">
        <v>2</v>
      </c>
      <c r="J5981" t="n">
        <v>0</v>
      </c>
      <c r="K5981" t="n">
        <v>0</v>
      </c>
      <c r="L5981" t="n">
        <v>0</v>
      </c>
      <c r="M5981" t="n">
        <v>0</v>
      </c>
      <c r="N5981" t="n">
        <v>0</v>
      </c>
      <c r="O5981" t="n">
        <v>0</v>
      </c>
      <c r="P5981" t="n">
        <v>0</v>
      </c>
      <c r="Q5981" t="n">
        <v>0</v>
      </c>
      <c r="R5981" t="n">
        <v>0</v>
      </c>
      <c r="S5981" t="n">
        <v>0</v>
      </c>
      <c r="T5981" t="n">
        <v>0</v>
      </c>
      <c r="U5981" t="n">
        <v>0</v>
      </c>
      <c r="V5981" s="2" t="inlineStr"/>
    </row>
    <row r="5982" ht="15" customHeight="1">
      <c r="A5982" t="inlineStr">
        <is>
          <t>A 37335-2026</t>
        </is>
      </c>
      <c r="B5982" t="inlineStr">
        <is>
          <t>avverkningsanmälan</t>
        </is>
      </c>
      <c r="C5982" t="inlineStr">
        <is>
          <t>Föryngringsavverkning</t>
        </is>
      </c>
      <c r="D5982" s="1" t="n">
        <v>46275</v>
      </c>
      <c r="E5982" s="1" t="n">
        <v>46323</v>
      </c>
      <c r="F5982" t="inlineStr">
        <is>
          <t>KALMAR LÄN</t>
        </is>
      </c>
      <c r="G5982" t="inlineStr">
        <is>
          <t>HÖGSBY</t>
        </is>
      </c>
      <c r="H5982" t="inlineStr">
        <is>
          <t>Sveaskog</t>
        </is>
      </c>
      <c r="I5982" t="n">
        <v>11.2</v>
      </c>
      <c r="J5982" t="n">
        <v>0</v>
      </c>
      <c r="K5982" t="n">
        <v>0</v>
      </c>
      <c r="L5982" t="n">
        <v>0</v>
      </c>
      <c r="M5982" t="n">
        <v>0</v>
      </c>
      <c r="N5982" t="n">
        <v>0</v>
      </c>
      <c r="O5982" t="n">
        <v>0</v>
      </c>
      <c r="P5982" t="n">
        <v>0</v>
      </c>
      <c r="Q5982" t="n">
        <v>0</v>
      </c>
      <c r="R5982" t="n">
        <v>0</v>
      </c>
      <c r="S5982" t="n">
        <v>0</v>
      </c>
      <c r="T5982" t="n">
        <v>0</v>
      </c>
      <c r="U5982" t="n">
        <v>0</v>
      </c>
      <c r="V5982" s="2" t="inlineStr"/>
    </row>
    <row r="5983" ht="15" customHeight="1">
      <c r="A5983" t="inlineStr">
        <is>
          <t>A 14224-2026</t>
        </is>
      </c>
      <c r="B5983" t="inlineStr">
        <is>
          <t>avverkningsanmälan</t>
        </is>
      </c>
      <c r="C5983" t="inlineStr">
        <is>
          <t>Föryngringsavverkning</t>
        </is>
      </c>
      <c r="D5983" s="1" t="n">
        <v>46099</v>
      </c>
      <c r="E5983" s="1" t="n">
        <v>46323</v>
      </c>
      <c r="F5983" t="inlineStr">
        <is>
          <t>KALMAR LÄN</t>
        </is>
      </c>
      <c r="G5983" t="inlineStr">
        <is>
          <t>VÄSTERVIK</t>
        </is>
      </c>
      <c r="I5983" t="n">
        <v>1.9</v>
      </c>
      <c r="J5983" t="n">
        <v>0</v>
      </c>
      <c r="K5983" t="n">
        <v>0</v>
      </c>
      <c r="L5983" t="n">
        <v>0</v>
      </c>
      <c r="M5983" t="n">
        <v>0</v>
      </c>
      <c r="N5983" t="n">
        <v>0</v>
      </c>
      <c r="O5983" t="n">
        <v>0</v>
      </c>
      <c r="P5983" t="n">
        <v>0</v>
      </c>
      <c r="Q5983" t="n">
        <v>0</v>
      </c>
      <c r="R5983" t="n">
        <v>0</v>
      </c>
      <c r="S5983" t="n">
        <v>0</v>
      </c>
      <c r="T5983" t="n">
        <v>0</v>
      </c>
      <c r="U5983" t="n">
        <v>0</v>
      </c>
      <c r="V5983" s="2" t="inlineStr"/>
    </row>
    <row r="5984" ht="15" customHeight="1">
      <c r="A5984" t="inlineStr">
        <is>
          <t>A 14247-2026</t>
        </is>
      </c>
      <c r="B5984" t="inlineStr">
        <is>
          <t>avverkningsanmälan</t>
        </is>
      </c>
      <c r="C5984" t="inlineStr">
        <is>
          <t>Föryngringsavverkning</t>
        </is>
      </c>
      <c r="D5984" s="1" t="n">
        <v>46099</v>
      </c>
      <c r="E5984" s="1" t="n">
        <v>46323</v>
      </c>
      <c r="F5984" t="inlineStr">
        <is>
          <t>KALMAR LÄN</t>
        </is>
      </c>
      <c r="G5984" t="inlineStr">
        <is>
          <t>KALMAR</t>
        </is>
      </c>
      <c r="I5984" t="n">
        <v>0.7</v>
      </c>
      <c r="J5984" t="n">
        <v>0</v>
      </c>
      <c r="K5984" t="n">
        <v>0</v>
      </c>
      <c r="L5984" t="n">
        <v>0</v>
      </c>
      <c r="M5984" t="n">
        <v>0</v>
      </c>
      <c r="N5984" t="n">
        <v>0</v>
      </c>
      <c r="O5984" t="n">
        <v>0</v>
      </c>
      <c r="P5984" t="n">
        <v>0</v>
      </c>
      <c r="Q5984" t="n">
        <v>0</v>
      </c>
      <c r="R5984" t="n">
        <v>0</v>
      </c>
      <c r="S5984" t="n">
        <v>0</v>
      </c>
      <c r="T5984" t="n">
        <v>0</v>
      </c>
      <c r="U5984" t="n">
        <v>0</v>
      </c>
      <c r="V5984" s="2" t="inlineStr"/>
    </row>
    <row r="5985" ht="15" customHeight="1">
      <c r="A5985" t="inlineStr">
        <is>
          <t>A 37337-2026</t>
        </is>
      </c>
      <c r="B5985" t="inlineStr">
        <is>
          <t>avverkningsanmälan</t>
        </is>
      </c>
      <c r="C5985" t="inlineStr">
        <is>
          <t>Föryngringsavverkning</t>
        </is>
      </c>
      <c r="D5985" s="1" t="n">
        <v>46275</v>
      </c>
      <c r="E5985" s="1" t="n">
        <v>46323</v>
      </c>
      <c r="F5985" t="inlineStr">
        <is>
          <t>KALMAR LÄN</t>
        </is>
      </c>
      <c r="G5985" t="inlineStr">
        <is>
          <t>VIMMERBY</t>
        </is>
      </c>
      <c r="I5985" t="n">
        <v>1.9</v>
      </c>
      <c r="J5985" t="n">
        <v>0</v>
      </c>
      <c r="K5985" t="n">
        <v>0</v>
      </c>
      <c r="L5985" t="n">
        <v>0</v>
      </c>
      <c r="M5985" t="n">
        <v>0</v>
      </c>
      <c r="N5985" t="n">
        <v>0</v>
      </c>
      <c r="O5985" t="n">
        <v>0</v>
      </c>
      <c r="P5985" t="n">
        <v>0</v>
      </c>
      <c r="Q5985" t="n">
        <v>0</v>
      </c>
      <c r="R5985" t="n">
        <v>0</v>
      </c>
      <c r="S5985" t="n">
        <v>0</v>
      </c>
      <c r="T5985" t="n">
        <v>0</v>
      </c>
      <c r="U5985" t="n">
        <v>0</v>
      </c>
      <c r="V5985" s="2" t="inlineStr"/>
    </row>
    <row r="5986" ht="15" customHeight="1">
      <c r="A5986" t="inlineStr">
        <is>
          <t>A 22740-2024</t>
        </is>
      </c>
      <c r="B5986" t="inlineStr">
        <is>
          <t>avverkningsanmälan</t>
        </is>
      </c>
      <c r="C5986" t="inlineStr">
        <is>
          <t>Avverkning för att bevara och utveckla /försöksver</t>
        </is>
      </c>
      <c r="D5986" s="1" t="n">
        <v>45448</v>
      </c>
      <c r="E5986" s="1" t="n">
        <v>46323</v>
      </c>
      <c r="F5986" t="inlineStr">
        <is>
          <t>KALMAR LÄN</t>
        </is>
      </c>
      <c r="G5986" t="inlineStr">
        <is>
          <t>VÄSTERVIK</t>
        </is>
      </c>
      <c r="H5986" t="inlineStr">
        <is>
          <t>Holmen skog AB</t>
        </is>
      </c>
      <c r="I5986" t="n">
        <v>2.5</v>
      </c>
      <c r="J5986" t="n">
        <v>0</v>
      </c>
      <c r="K5986" t="n">
        <v>0</v>
      </c>
      <c r="L5986" t="n">
        <v>0</v>
      </c>
      <c r="M5986" t="n">
        <v>0</v>
      </c>
      <c r="N5986" t="n">
        <v>0</v>
      </c>
      <c r="O5986" t="n">
        <v>0</v>
      </c>
      <c r="P5986" t="n">
        <v>0</v>
      </c>
      <c r="Q5986" t="n">
        <v>0</v>
      </c>
      <c r="R5986" t="n">
        <v>0</v>
      </c>
      <c r="S5986" t="n">
        <v>0</v>
      </c>
      <c r="T5986" t="n">
        <v>0</v>
      </c>
      <c r="U5986" t="n">
        <v>0</v>
      </c>
      <c r="V5986" s="2" t="inlineStr"/>
    </row>
    <row r="5987" ht="15" customHeight="1">
      <c r="A5987" t="inlineStr">
        <is>
          <t>A 56213-2024</t>
        </is>
      </c>
      <c r="B5987" t="inlineStr">
        <is>
          <t>avverkningsanmälan</t>
        </is>
      </c>
      <c r="C5987" t="inlineStr">
        <is>
          <t>Föryngringsavverkning</t>
        </is>
      </c>
      <c r="D5987" s="1" t="n">
        <v>45624</v>
      </c>
      <c r="E5987" s="1" t="n">
        <v>46323</v>
      </c>
      <c r="F5987" t="inlineStr">
        <is>
          <t>KALMAR LÄN</t>
        </is>
      </c>
      <c r="G5987" t="inlineStr">
        <is>
          <t>VIMMERBY</t>
        </is>
      </c>
      <c r="I5987" t="n">
        <v>1</v>
      </c>
      <c r="J5987" t="n">
        <v>0</v>
      </c>
      <c r="K5987" t="n">
        <v>0</v>
      </c>
      <c r="L5987" t="n">
        <v>0</v>
      </c>
      <c r="M5987" t="n">
        <v>0</v>
      </c>
      <c r="N5987" t="n">
        <v>0</v>
      </c>
      <c r="O5987" t="n">
        <v>0</v>
      </c>
      <c r="P5987" t="n">
        <v>0</v>
      </c>
      <c r="Q5987" t="n">
        <v>0</v>
      </c>
      <c r="R5987" t="n">
        <v>0</v>
      </c>
      <c r="S5987" t="n">
        <v>0</v>
      </c>
      <c r="T5987" t="n">
        <v>0</v>
      </c>
      <c r="U5987" t="n">
        <v>0</v>
      </c>
      <c r="V5987" s="2" t="inlineStr"/>
    </row>
    <row r="5988" ht="15" customHeight="1">
      <c r="A5988" t="inlineStr">
        <is>
          <t>A 20877-2026</t>
        </is>
      </c>
      <c r="B5988" t="inlineStr">
        <is>
          <t>avverkningsanmälan</t>
        </is>
      </c>
      <c r="C5988" t="inlineStr">
        <is>
          <t>Föryngringsavverkning</t>
        </is>
      </c>
      <c r="D5988" s="1" t="n">
        <v>46142</v>
      </c>
      <c r="E5988" s="1" t="n">
        <v>46323</v>
      </c>
      <c r="F5988" t="inlineStr">
        <is>
          <t>KALMAR LÄN</t>
        </is>
      </c>
      <c r="G5988" t="inlineStr">
        <is>
          <t>EMMABODA</t>
        </is>
      </c>
      <c r="I5988" t="n">
        <v>0.4</v>
      </c>
      <c r="J5988" t="n">
        <v>0</v>
      </c>
      <c r="K5988" t="n">
        <v>0</v>
      </c>
      <c r="L5988" t="n">
        <v>0</v>
      </c>
      <c r="M5988" t="n">
        <v>0</v>
      </c>
      <c r="N5988" t="n">
        <v>0</v>
      </c>
      <c r="O5988" t="n">
        <v>0</v>
      </c>
      <c r="P5988" t="n">
        <v>0</v>
      </c>
      <c r="Q5988" t="n">
        <v>0</v>
      </c>
      <c r="R5988" t="n">
        <v>0</v>
      </c>
      <c r="S5988" t="n">
        <v>0</v>
      </c>
      <c r="T5988" t="n">
        <v>0</v>
      </c>
      <c r="U5988" t="n">
        <v>0</v>
      </c>
      <c r="V5988" s="2" t="inlineStr"/>
    </row>
    <row r="5989" ht="15" customHeight="1">
      <c r="A5989" t="inlineStr">
        <is>
          <t>A 30648-2025</t>
        </is>
      </c>
      <c r="B5989" t="inlineStr">
        <is>
          <t>avverkningsanmälan</t>
        </is>
      </c>
      <c r="C5989" t="inlineStr">
        <is>
          <t>Föryngringsavverkning</t>
        </is>
      </c>
      <c r="D5989" s="1" t="n">
        <v>45831</v>
      </c>
      <c r="E5989" s="1" t="n">
        <v>46323</v>
      </c>
      <c r="F5989" t="inlineStr">
        <is>
          <t>KALMAR LÄN</t>
        </is>
      </c>
      <c r="G5989" t="inlineStr">
        <is>
          <t>VÄSTERVIK</t>
        </is>
      </c>
      <c r="I5989" t="n">
        <v>3</v>
      </c>
      <c r="J5989" t="n">
        <v>0</v>
      </c>
      <c r="K5989" t="n">
        <v>0</v>
      </c>
      <c r="L5989" t="n">
        <v>0</v>
      </c>
      <c r="M5989" t="n">
        <v>0</v>
      </c>
      <c r="N5989" t="n">
        <v>0</v>
      </c>
      <c r="O5989" t="n">
        <v>0</v>
      </c>
      <c r="P5989" t="n">
        <v>0</v>
      </c>
      <c r="Q5989" t="n">
        <v>0</v>
      </c>
      <c r="R5989" t="n">
        <v>0</v>
      </c>
      <c r="S5989" t="n">
        <v>0</v>
      </c>
      <c r="T5989" t="n">
        <v>0</v>
      </c>
      <c r="U5989" t="n">
        <v>0</v>
      </c>
      <c r="V5989" s="2" t="inlineStr"/>
    </row>
    <row r="5990" ht="15" customHeight="1">
      <c r="A5990" t="inlineStr">
        <is>
          <t>A 39939-2023</t>
        </is>
      </c>
      <c r="B5990" t="inlineStr">
        <is>
          <t>avverkningsanmälan</t>
        </is>
      </c>
      <c r="C5990" t="inlineStr">
        <is>
          <t>Föryngringsavverkning</t>
        </is>
      </c>
      <c r="D5990" s="1" t="n">
        <v>45168</v>
      </c>
      <c r="E5990" s="1" t="n">
        <v>46323</v>
      </c>
      <c r="F5990" t="inlineStr">
        <is>
          <t>KALMAR LÄN</t>
        </is>
      </c>
      <c r="G5990" t="inlineStr">
        <is>
          <t>OSKARSHAMN</t>
        </is>
      </c>
      <c r="I5990" t="n">
        <v>1.9</v>
      </c>
      <c r="J5990" t="n">
        <v>0</v>
      </c>
      <c r="K5990" t="n">
        <v>0</v>
      </c>
      <c r="L5990" t="n">
        <v>0</v>
      </c>
      <c r="M5990" t="n">
        <v>0</v>
      </c>
      <c r="N5990" t="n">
        <v>0</v>
      </c>
      <c r="O5990" t="n">
        <v>0</v>
      </c>
      <c r="P5990" t="n">
        <v>0</v>
      </c>
      <c r="Q5990" t="n">
        <v>0</v>
      </c>
      <c r="R5990" t="n">
        <v>0</v>
      </c>
      <c r="S5990" t="n">
        <v>0</v>
      </c>
      <c r="T5990" t="n">
        <v>0</v>
      </c>
      <c r="U5990" t="n">
        <v>0</v>
      </c>
      <c r="V5990" s="2" t="inlineStr"/>
    </row>
    <row r="5991" ht="15" customHeight="1">
      <c r="A5991" t="inlineStr">
        <is>
          <t>A 39948-2023</t>
        </is>
      </c>
      <c r="B5991" t="inlineStr">
        <is>
          <t>avverkningsanmälan</t>
        </is>
      </c>
      <c r="C5991" t="inlineStr">
        <is>
          <t>Föryngringsavverkning</t>
        </is>
      </c>
      <c r="D5991" s="1" t="n">
        <v>45168</v>
      </c>
      <c r="E5991" s="1" t="n">
        <v>46323</v>
      </c>
      <c r="F5991" t="inlineStr">
        <is>
          <t>KALMAR LÄN</t>
        </is>
      </c>
      <c r="G5991" t="inlineStr">
        <is>
          <t>HULTSFRED</t>
        </is>
      </c>
      <c r="I5991" t="n">
        <v>0.9</v>
      </c>
      <c r="J5991" t="n">
        <v>0</v>
      </c>
      <c r="K5991" t="n">
        <v>0</v>
      </c>
      <c r="L5991" t="n">
        <v>0</v>
      </c>
      <c r="M5991" t="n">
        <v>0</v>
      </c>
      <c r="N5991" t="n">
        <v>0</v>
      </c>
      <c r="O5991" t="n">
        <v>0</v>
      </c>
      <c r="P5991" t="n">
        <v>0</v>
      </c>
      <c r="Q5991" t="n">
        <v>0</v>
      </c>
      <c r="R5991" t="n">
        <v>0</v>
      </c>
      <c r="S5991" t="n">
        <v>0</v>
      </c>
      <c r="T5991" t="n">
        <v>0</v>
      </c>
      <c r="U5991" t="n">
        <v>0</v>
      </c>
      <c r="V5991" s="2" t="inlineStr"/>
    </row>
    <row r="5992" ht="15" customHeight="1">
      <c r="A5992" t="inlineStr">
        <is>
          <t>A 32763-2022</t>
        </is>
      </c>
      <c r="B5992" t="inlineStr">
        <is>
          <t>avverkningsanmälan</t>
        </is>
      </c>
      <c r="C5992" t="inlineStr">
        <is>
          <t>Föryngringsavverkning</t>
        </is>
      </c>
      <c r="D5992" s="1" t="n">
        <v>44783</v>
      </c>
      <c r="E5992" s="1" t="n">
        <v>46323</v>
      </c>
      <c r="F5992" t="inlineStr">
        <is>
          <t>KALMAR LÄN</t>
        </is>
      </c>
      <c r="G5992" t="inlineStr">
        <is>
          <t>VÄSTERVIK</t>
        </is>
      </c>
      <c r="I5992" t="n">
        <v>1</v>
      </c>
      <c r="J5992" t="n">
        <v>0</v>
      </c>
      <c r="K5992" t="n">
        <v>0</v>
      </c>
      <c r="L5992" t="n">
        <v>0</v>
      </c>
      <c r="M5992" t="n">
        <v>0</v>
      </c>
      <c r="N5992" t="n">
        <v>0</v>
      </c>
      <c r="O5992" t="n">
        <v>0</v>
      </c>
      <c r="P5992" t="n">
        <v>0</v>
      </c>
      <c r="Q5992" t="n">
        <v>0</v>
      </c>
      <c r="R5992" t="n">
        <v>0</v>
      </c>
      <c r="S5992" t="n">
        <v>0</v>
      </c>
      <c r="T5992" t="n">
        <v>0</v>
      </c>
      <c r="U5992" t="n">
        <v>0</v>
      </c>
      <c r="V5992" s="2" t="inlineStr"/>
    </row>
    <row r="5993" ht="15" customHeight="1">
      <c r="A5993" t="inlineStr">
        <is>
          <t>A 24829-2022</t>
        </is>
      </c>
      <c r="B5993" t="inlineStr">
        <is>
          <t>avverkningsanmälan</t>
        </is>
      </c>
      <c r="C5993" t="inlineStr">
        <is>
          <t>Föryngringsavverkning</t>
        </is>
      </c>
      <c r="D5993" s="1" t="n">
        <v>44728</v>
      </c>
      <c r="E5993" s="1" t="n">
        <v>46323</v>
      </c>
      <c r="F5993" t="inlineStr">
        <is>
          <t>KALMAR LÄN</t>
        </is>
      </c>
      <c r="G5993" t="inlineStr">
        <is>
          <t>VÄSTERVIK</t>
        </is>
      </c>
      <c r="I5993" t="n">
        <v>2.2</v>
      </c>
      <c r="J5993" t="n">
        <v>0</v>
      </c>
      <c r="K5993" t="n">
        <v>0</v>
      </c>
      <c r="L5993" t="n">
        <v>0</v>
      </c>
      <c r="M5993" t="n">
        <v>0</v>
      </c>
      <c r="N5993" t="n">
        <v>0</v>
      </c>
      <c r="O5993" t="n">
        <v>0</v>
      </c>
      <c r="P5993" t="n">
        <v>0</v>
      </c>
      <c r="Q5993" t="n">
        <v>0</v>
      </c>
      <c r="R5993" t="n">
        <v>0</v>
      </c>
      <c r="S5993" t="n">
        <v>0</v>
      </c>
      <c r="T5993" t="n">
        <v>0</v>
      </c>
      <c r="U5993" t="n">
        <v>0</v>
      </c>
      <c r="V5993" s="2" t="inlineStr"/>
    </row>
    <row r="5994" ht="15" customHeight="1">
      <c r="A5994" t="inlineStr">
        <is>
          <t>A 40631-2026</t>
        </is>
      </c>
      <c r="B5994" t="inlineStr">
        <is>
          <t>avverkningsanmälan</t>
        </is>
      </c>
      <c r="C5994" t="inlineStr">
        <is>
          <t>Föryngringsavverkning</t>
        </is>
      </c>
      <c r="D5994" s="1" t="n">
        <v>46295</v>
      </c>
      <c r="E5994" s="1" t="n">
        <v>46323</v>
      </c>
      <c r="F5994" t="inlineStr">
        <is>
          <t>KALMAR LÄN</t>
        </is>
      </c>
      <c r="G5994" t="inlineStr">
        <is>
          <t>NYBRO</t>
        </is>
      </c>
      <c r="I5994" t="n">
        <v>1.6</v>
      </c>
      <c r="J5994" t="n">
        <v>0</v>
      </c>
      <c r="K5994" t="n">
        <v>0</v>
      </c>
      <c r="L5994" t="n">
        <v>0</v>
      </c>
      <c r="M5994" t="n">
        <v>0</v>
      </c>
      <c r="N5994" t="n">
        <v>0</v>
      </c>
      <c r="O5994" t="n">
        <v>0</v>
      </c>
      <c r="P5994" t="n">
        <v>0</v>
      </c>
      <c r="Q5994" t="n">
        <v>0</v>
      </c>
      <c r="R5994" t="n">
        <v>0</v>
      </c>
      <c r="S5994" t="n">
        <v>0</v>
      </c>
      <c r="T5994" t="n">
        <v>0</v>
      </c>
      <c r="U5994" t="n">
        <v>0</v>
      </c>
      <c r="V5994" s="2" t="inlineStr"/>
    </row>
    <row r="5995" ht="15" customHeight="1">
      <c r="A5995" t="inlineStr">
        <is>
          <t>A 19461-2024</t>
        </is>
      </c>
      <c r="B5995" t="inlineStr">
        <is>
          <t>avverkningsanmälan</t>
        </is>
      </c>
      <c r="C5995" t="inlineStr">
        <is>
          <t>Föryngringsavverkning</t>
        </is>
      </c>
      <c r="D5995" s="1" t="n">
        <v>45429</v>
      </c>
      <c r="E5995" s="1" t="n">
        <v>46323</v>
      </c>
      <c r="F5995" t="inlineStr">
        <is>
          <t>KALMAR LÄN</t>
        </is>
      </c>
      <c r="G5995" t="inlineStr">
        <is>
          <t>NYBRO</t>
        </is>
      </c>
      <c r="I5995" t="n">
        <v>1.1</v>
      </c>
      <c r="J5995" t="n">
        <v>0</v>
      </c>
      <c r="K5995" t="n">
        <v>0</v>
      </c>
      <c r="L5995" t="n">
        <v>0</v>
      </c>
      <c r="M5995" t="n">
        <v>0</v>
      </c>
      <c r="N5995" t="n">
        <v>0</v>
      </c>
      <c r="O5995" t="n">
        <v>0</v>
      </c>
      <c r="P5995" t="n">
        <v>0</v>
      </c>
      <c r="Q5995" t="n">
        <v>0</v>
      </c>
      <c r="R5995" t="n">
        <v>0</v>
      </c>
      <c r="S5995" t="n">
        <v>0</v>
      </c>
      <c r="T5995" t="n">
        <v>0</v>
      </c>
      <c r="U5995" t="n">
        <v>0</v>
      </c>
      <c r="V5995" s="2" t="inlineStr"/>
    </row>
    <row r="5996" ht="15" customHeight="1">
      <c r="A5996" t="inlineStr">
        <is>
          <t>A 56691-2025</t>
        </is>
      </c>
      <c r="B5996" t="inlineStr">
        <is>
          <t>avverkningsanmälan</t>
        </is>
      </c>
      <c r="C5996" t="inlineStr">
        <is>
          <t>Föryngringsavverkning</t>
        </is>
      </c>
      <c r="D5996" s="1" t="n">
        <v>45976</v>
      </c>
      <c r="E5996" s="1" t="n">
        <v>46323</v>
      </c>
      <c r="F5996" t="inlineStr">
        <is>
          <t>KALMAR LÄN</t>
        </is>
      </c>
      <c r="G5996" t="inlineStr">
        <is>
          <t>EMMABODA</t>
        </is>
      </c>
      <c r="I5996" t="n">
        <v>1</v>
      </c>
      <c r="J5996" t="n">
        <v>0</v>
      </c>
      <c r="K5996" t="n">
        <v>0</v>
      </c>
      <c r="L5996" t="n">
        <v>0</v>
      </c>
      <c r="M5996" t="n">
        <v>0</v>
      </c>
      <c r="N5996" t="n">
        <v>0</v>
      </c>
      <c r="O5996" t="n">
        <v>0</v>
      </c>
      <c r="P5996" t="n">
        <v>0</v>
      </c>
      <c r="Q5996" t="n">
        <v>0</v>
      </c>
      <c r="R5996" t="n">
        <v>0</v>
      </c>
      <c r="S5996" t="n">
        <v>0</v>
      </c>
      <c r="T5996" t="n">
        <v>0</v>
      </c>
      <c r="U5996" t="n">
        <v>0</v>
      </c>
      <c r="V5996" s="2" t="inlineStr"/>
    </row>
    <row r="5997" ht="15" customHeight="1">
      <c r="A5997" t="inlineStr">
        <is>
          <t>A 9694-2023</t>
        </is>
      </c>
      <c r="B5997" t="inlineStr">
        <is>
          <t>avverkningsanmälan</t>
        </is>
      </c>
      <c r="C5997" t="inlineStr">
        <is>
          <t>Föryngringsavverkning</t>
        </is>
      </c>
      <c r="D5997" s="1" t="n">
        <v>44984</v>
      </c>
      <c r="E5997" s="1" t="n">
        <v>46323</v>
      </c>
      <c r="F5997" t="inlineStr">
        <is>
          <t>KALMAR LÄN</t>
        </is>
      </c>
      <c r="G5997" t="inlineStr">
        <is>
          <t>VIMMERBY</t>
        </is>
      </c>
      <c r="I5997" t="n">
        <v>2.1</v>
      </c>
      <c r="J5997" t="n">
        <v>0</v>
      </c>
      <c r="K5997" t="n">
        <v>0</v>
      </c>
      <c r="L5997" t="n">
        <v>0</v>
      </c>
      <c r="M5997" t="n">
        <v>0</v>
      </c>
      <c r="N5997" t="n">
        <v>0</v>
      </c>
      <c r="O5997" t="n">
        <v>0</v>
      </c>
      <c r="P5997" t="n">
        <v>0</v>
      </c>
      <c r="Q5997" t="n">
        <v>0</v>
      </c>
      <c r="R5997" t="n">
        <v>0</v>
      </c>
      <c r="S5997" t="n">
        <v>0</v>
      </c>
      <c r="T5997" t="n">
        <v>0</v>
      </c>
      <c r="U5997" t="n">
        <v>0</v>
      </c>
      <c r="V5997" s="2" t="inlineStr"/>
    </row>
    <row r="5998" ht="15" customHeight="1">
      <c r="A5998" t="inlineStr">
        <is>
          <t>A 9710-2023</t>
        </is>
      </c>
      <c r="B5998" t="inlineStr">
        <is>
          <t>avverkningsanmälan</t>
        </is>
      </c>
      <c r="C5998" t="inlineStr">
        <is>
          <t>Föryngringsavverkning</t>
        </is>
      </c>
      <c r="D5998" s="1" t="n">
        <v>44984</v>
      </c>
      <c r="E5998" s="1" t="n">
        <v>46323</v>
      </c>
      <c r="F5998" t="inlineStr">
        <is>
          <t>KALMAR LÄN</t>
        </is>
      </c>
      <c r="G5998" t="inlineStr">
        <is>
          <t>VIMMERBY</t>
        </is>
      </c>
      <c r="I5998" t="n">
        <v>3.7</v>
      </c>
      <c r="J5998" t="n">
        <v>0</v>
      </c>
      <c r="K5998" t="n">
        <v>0</v>
      </c>
      <c r="L5998" t="n">
        <v>0</v>
      </c>
      <c r="M5998" t="n">
        <v>0</v>
      </c>
      <c r="N5998" t="n">
        <v>0</v>
      </c>
      <c r="O5998" t="n">
        <v>0</v>
      </c>
      <c r="P5998" t="n">
        <v>0</v>
      </c>
      <c r="Q5998" t="n">
        <v>0</v>
      </c>
      <c r="R5998" t="n">
        <v>0</v>
      </c>
      <c r="S5998" t="n">
        <v>0</v>
      </c>
      <c r="T5998" t="n">
        <v>0</v>
      </c>
      <c r="U5998" t="n">
        <v>0</v>
      </c>
      <c r="V5998" s="2" t="inlineStr"/>
    </row>
    <row r="5999" ht="15" customHeight="1">
      <c r="A5999" t="inlineStr">
        <is>
          <t>A 7078-2023</t>
        </is>
      </c>
      <c r="B5999" t="inlineStr">
        <is>
          <t>avverkningsanmälan</t>
        </is>
      </c>
      <c r="C5999" t="inlineStr">
        <is>
          <t>Föryngringsavverkning</t>
        </is>
      </c>
      <c r="D5999" s="1" t="n">
        <v>44970</v>
      </c>
      <c r="E5999" s="1" t="n">
        <v>46323</v>
      </c>
      <c r="F5999" t="inlineStr">
        <is>
          <t>KALMAR LÄN</t>
        </is>
      </c>
      <c r="G5999" t="inlineStr">
        <is>
          <t>HULTSFRED</t>
        </is>
      </c>
      <c r="I5999" t="n">
        <v>1.7</v>
      </c>
      <c r="J5999" t="n">
        <v>0</v>
      </c>
      <c r="K5999" t="n">
        <v>0</v>
      </c>
      <c r="L5999" t="n">
        <v>0</v>
      </c>
      <c r="M5999" t="n">
        <v>0</v>
      </c>
      <c r="N5999" t="n">
        <v>0</v>
      </c>
      <c r="O5999" t="n">
        <v>0</v>
      </c>
      <c r="P5999" t="n">
        <v>0</v>
      </c>
      <c r="Q5999" t="n">
        <v>0</v>
      </c>
      <c r="R5999" t="n">
        <v>0</v>
      </c>
      <c r="S5999" t="n">
        <v>0</v>
      </c>
      <c r="T5999" t="n">
        <v>0</v>
      </c>
      <c r="U5999" t="n">
        <v>0</v>
      </c>
      <c r="V5999" s="2" t="inlineStr"/>
    </row>
    <row r="6000" ht="15" customHeight="1">
      <c r="A6000" t="inlineStr">
        <is>
          <t>A 20646-2026</t>
        </is>
      </c>
      <c r="B6000" t="inlineStr">
        <is>
          <t>avverkningsanmälan</t>
        </is>
      </c>
      <c r="C6000" t="inlineStr">
        <is>
          <t>Föryngringsavverkning</t>
        </is>
      </c>
      <c r="D6000" s="1" t="n">
        <v>46141</v>
      </c>
      <c r="E6000" s="1" t="n">
        <v>46323</v>
      </c>
      <c r="F6000" t="inlineStr">
        <is>
          <t>KALMAR LÄN</t>
        </is>
      </c>
      <c r="G6000" t="inlineStr">
        <is>
          <t>NYBRO</t>
        </is>
      </c>
      <c r="H6000" t="inlineStr">
        <is>
          <t>Sveaskog</t>
        </is>
      </c>
      <c r="I6000" t="n">
        <v>1</v>
      </c>
      <c r="J6000" t="n">
        <v>0</v>
      </c>
      <c r="K6000" t="n">
        <v>0</v>
      </c>
      <c r="L6000" t="n">
        <v>0</v>
      </c>
      <c r="M6000" t="n">
        <v>0</v>
      </c>
      <c r="N6000" t="n">
        <v>0</v>
      </c>
      <c r="O6000" t="n">
        <v>0</v>
      </c>
      <c r="P6000" t="n">
        <v>0</v>
      </c>
      <c r="Q6000" t="n">
        <v>0</v>
      </c>
      <c r="R6000" t="n">
        <v>0</v>
      </c>
      <c r="S6000" t="n">
        <v>0</v>
      </c>
      <c r="T6000" t="n">
        <v>0</v>
      </c>
      <c r="U6000" t="n">
        <v>0</v>
      </c>
      <c r="V6000" s="2" t="inlineStr"/>
    </row>
    <row r="6001" ht="15" customHeight="1">
      <c r="A6001" t="inlineStr">
        <is>
          <t>A 9454-2023</t>
        </is>
      </c>
      <c r="B6001" t="inlineStr">
        <is>
          <t>avverkningsanmälan</t>
        </is>
      </c>
      <c r="C6001" t="inlineStr">
        <is>
          <t>Föryngringsavverkning</t>
        </is>
      </c>
      <c r="D6001" s="1" t="n">
        <v>44981</v>
      </c>
      <c r="E6001" s="1" t="n">
        <v>46323</v>
      </c>
      <c r="F6001" t="inlineStr">
        <is>
          <t>KALMAR LÄN</t>
        </is>
      </c>
      <c r="G6001" t="inlineStr">
        <is>
          <t>HÖGSBY</t>
        </is>
      </c>
      <c r="H6001" t="inlineStr">
        <is>
          <t>Övriga Aktiebolag</t>
        </is>
      </c>
      <c r="I6001" t="n">
        <v>4</v>
      </c>
      <c r="J6001" t="n">
        <v>0</v>
      </c>
      <c r="K6001" t="n">
        <v>0</v>
      </c>
      <c r="L6001" t="n">
        <v>0</v>
      </c>
      <c r="M6001" t="n">
        <v>0</v>
      </c>
      <c r="N6001" t="n">
        <v>0</v>
      </c>
      <c r="O6001" t="n">
        <v>0</v>
      </c>
      <c r="P6001" t="n">
        <v>0</v>
      </c>
      <c r="Q6001" t="n">
        <v>0</v>
      </c>
      <c r="R6001" t="n">
        <v>0</v>
      </c>
      <c r="S6001" t="n">
        <v>0</v>
      </c>
      <c r="T6001" t="n">
        <v>0</v>
      </c>
      <c r="U6001" t="n">
        <v>0</v>
      </c>
      <c r="V6001" s="2" t="inlineStr"/>
    </row>
    <row r="6002" ht="15" customHeight="1">
      <c r="A6002" t="inlineStr">
        <is>
          <t>A 52072-2023</t>
        </is>
      </c>
      <c r="B6002" t="inlineStr">
        <is>
          <t>avverkningsanmälan</t>
        </is>
      </c>
      <c r="C6002" t="inlineStr">
        <is>
          <t>Avverkning för annat ändamål</t>
        </is>
      </c>
      <c r="D6002" s="1" t="n">
        <v>45223</v>
      </c>
      <c r="E6002" s="1" t="n">
        <v>46323</v>
      </c>
      <c r="F6002" t="inlineStr">
        <is>
          <t>KALMAR LÄN</t>
        </is>
      </c>
      <c r="G6002" t="inlineStr">
        <is>
          <t>TORSÅS</t>
        </is>
      </c>
      <c r="I6002" t="n">
        <v>2.2</v>
      </c>
      <c r="J6002" t="n">
        <v>0</v>
      </c>
      <c r="K6002" t="n">
        <v>0</v>
      </c>
      <c r="L6002" t="n">
        <v>0</v>
      </c>
      <c r="M6002" t="n">
        <v>0</v>
      </c>
      <c r="N6002" t="n">
        <v>0</v>
      </c>
      <c r="O6002" t="n">
        <v>0</v>
      </c>
      <c r="P6002" t="n">
        <v>0</v>
      </c>
      <c r="Q6002" t="n">
        <v>0</v>
      </c>
      <c r="R6002" t="n">
        <v>0</v>
      </c>
      <c r="S6002" t="n">
        <v>0</v>
      </c>
      <c r="T6002" t="n">
        <v>0</v>
      </c>
      <c r="U6002" t="n">
        <v>0</v>
      </c>
      <c r="V6002" s="2" t="inlineStr"/>
    </row>
    <row r="6003" ht="15" customHeight="1">
      <c r="A6003" t="inlineStr">
        <is>
          <t>A 20810-2026</t>
        </is>
      </c>
      <c r="B6003" t="inlineStr">
        <is>
          <t>avverkningsanmälan</t>
        </is>
      </c>
      <c r="C6003" t="inlineStr">
        <is>
          <t>Föryngringsavverkning</t>
        </is>
      </c>
      <c r="D6003" s="1" t="n">
        <v>46141</v>
      </c>
      <c r="E6003" s="1" t="n">
        <v>46323</v>
      </c>
      <c r="F6003" t="inlineStr">
        <is>
          <t>KALMAR LÄN</t>
        </is>
      </c>
      <c r="G6003" t="inlineStr">
        <is>
          <t>VÄSTERVIK</t>
        </is>
      </c>
      <c r="H6003" t="inlineStr">
        <is>
          <t>Sveaskog</t>
        </is>
      </c>
      <c r="I6003" t="n">
        <v>4.4</v>
      </c>
      <c r="J6003" t="n">
        <v>0</v>
      </c>
      <c r="K6003" t="n">
        <v>0</v>
      </c>
      <c r="L6003" t="n">
        <v>0</v>
      </c>
      <c r="M6003" t="n">
        <v>0</v>
      </c>
      <c r="N6003" t="n">
        <v>0</v>
      </c>
      <c r="O6003" t="n">
        <v>0</v>
      </c>
      <c r="P6003" t="n">
        <v>0</v>
      </c>
      <c r="Q6003" t="n">
        <v>0</v>
      </c>
      <c r="R6003" t="n">
        <v>0</v>
      </c>
      <c r="S6003" t="n">
        <v>0</v>
      </c>
      <c r="T6003" t="n">
        <v>0</v>
      </c>
      <c r="U6003" t="n">
        <v>0</v>
      </c>
      <c r="V6003" s="2" t="inlineStr"/>
    </row>
    <row r="6004" ht="15" customHeight="1">
      <c r="A6004" t="inlineStr">
        <is>
          <t>A 43908-2026</t>
        </is>
      </c>
      <c r="B6004" t="inlineStr">
        <is>
          <t>avverkningsanmälan</t>
        </is>
      </c>
      <c r="C6004" t="inlineStr">
        <is>
          <t>Föryngringsavverkning</t>
        </is>
      </c>
      <c r="D6004" s="1" t="n">
        <v>46317</v>
      </c>
      <c r="E6004" s="1" t="n">
        <v>46323</v>
      </c>
      <c r="F6004" t="inlineStr">
        <is>
          <t>KALMAR LÄN</t>
        </is>
      </c>
      <c r="G6004" t="inlineStr">
        <is>
          <t>HÖGSBY</t>
        </is>
      </c>
      <c r="I6004" t="n">
        <v>1.4</v>
      </c>
      <c r="J6004" t="n">
        <v>0</v>
      </c>
      <c r="K6004" t="n">
        <v>0</v>
      </c>
      <c r="L6004" t="n">
        <v>0</v>
      </c>
      <c r="M6004" t="n">
        <v>0</v>
      </c>
      <c r="N6004" t="n">
        <v>0</v>
      </c>
      <c r="O6004" t="n">
        <v>0</v>
      </c>
      <c r="P6004" t="n">
        <v>0</v>
      </c>
      <c r="Q6004" t="n">
        <v>0</v>
      </c>
      <c r="R6004" t="n">
        <v>0</v>
      </c>
      <c r="S6004" t="n">
        <v>0</v>
      </c>
      <c r="T6004" t="n">
        <v>0</v>
      </c>
      <c r="U6004" t="n">
        <v>0</v>
      </c>
      <c r="V6004" s="2" t="inlineStr"/>
    </row>
    <row r="6005" ht="15" customHeight="1">
      <c r="A6005" t="inlineStr">
        <is>
          <t>A 37338-2026</t>
        </is>
      </c>
      <c r="B6005" t="inlineStr">
        <is>
          <t>avverkningsanmälan</t>
        </is>
      </c>
      <c r="C6005" t="inlineStr">
        <is>
          <t>Föryngringsavverkning</t>
        </is>
      </c>
      <c r="D6005" s="1" t="n">
        <v>46275</v>
      </c>
      <c r="E6005" s="1" t="n">
        <v>46323</v>
      </c>
      <c r="F6005" t="inlineStr">
        <is>
          <t>KALMAR LÄN</t>
        </is>
      </c>
      <c r="G6005" t="inlineStr">
        <is>
          <t>HÖGSBY</t>
        </is>
      </c>
      <c r="H6005" t="inlineStr">
        <is>
          <t>Sveaskog</t>
        </is>
      </c>
      <c r="I6005" t="n">
        <v>2.8</v>
      </c>
      <c r="J6005" t="n">
        <v>0</v>
      </c>
      <c r="K6005" t="n">
        <v>0</v>
      </c>
      <c r="L6005" t="n">
        <v>0</v>
      </c>
      <c r="M6005" t="n">
        <v>0</v>
      </c>
      <c r="N6005" t="n">
        <v>0</v>
      </c>
      <c r="O6005" t="n">
        <v>0</v>
      </c>
      <c r="P6005" t="n">
        <v>0</v>
      </c>
      <c r="Q6005" t="n">
        <v>0</v>
      </c>
      <c r="R6005" t="n">
        <v>0</v>
      </c>
      <c r="S6005" t="n">
        <v>0</v>
      </c>
      <c r="T6005" t="n">
        <v>0</v>
      </c>
      <c r="U6005" t="n">
        <v>0</v>
      </c>
      <c r="V6005" s="2" t="inlineStr"/>
    </row>
    <row r="6006" ht="15" customHeight="1">
      <c r="A6006" t="inlineStr">
        <is>
          <t>A 29022-2022</t>
        </is>
      </c>
      <c r="B6006" t="inlineStr">
        <is>
          <t>avverkningsanmälan</t>
        </is>
      </c>
      <c r="C6006" t="inlineStr">
        <is>
          <t>Föryngringsavverkning</t>
        </is>
      </c>
      <c r="D6006" s="1" t="n">
        <v>44749</v>
      </c>
      <c r="E6006" s="1" t="n">
        <v>46323</v>
      </c>
      <c r="F6006" t="inlineStr">
        <is>
          <t>KALMAR LÄN</t>
        </is>
      </c>
      <c r="G6006" t="inlineStr">
        <is>
          <t>OSKARSHAMN</t>
        </is>
      </c>
      <c r="I6006" t="n">
        <v>5.6</v>
      </c>
      <c r="J6006" t="n">
        <v>0</v>
      </c>
      <c r="K6006" t="n">
        <v>0</v>
      </c>
      <c r="L6006" t="n">
        <v>0</v>
      </c>
      <c r="M6006" t="n">
        <v>0</v>
      </c>
      <c r="N6006" t="n">
        <v>0</v>
      </c>
      <c r="O6006" t="n">
        <v>0</v>
      </c>
      <c r="P6006" t="n">
        <v>0</v>
      </c>
      <c r="Q6006" t="n">
        <v>0</v>
      </c>
      <c r="R6006" t="n">
        <v>0</v>
      </c>
      <c r="S6006" t="n">
        <v>0</v>
      </c>
      <c r="T6006" t="n">
        <v>0</v>
      </c>
      <c r="U6006" t="n">
        <v>0</v>
      </c>
      <c r="V6006" s="2" t="inlineStr"/>
    </row>
    <row r="6007" ht="15" customHeight="1">
      <c r="A6007" t="inlineStr">
        <is>
          <t>A 5100-2025</t>
        </is>
      </c>
      <c r="B6007" t="inlineStr">
        <is>
          <t>avverkningsanmälan</t>
        </is>
      </c>
      <c r="C6007" t="inlineStr">
        <is>
          <t>Föryngringsavverkning</t>
        </is>
      </c>
      <c r="D6007" s="1" t="n">
        <v>45691</v>
      </c>
      <c r="E6007" s="1" t="n">
        <v>46323</v>
      </c>
      <c r="F6007" t="inlineStr">
        <is>
          <t>KALMAR LÄN</t>
        </is>
      </c>
      <c r="G6007" t="inlineStr">
        <is>
          <t>OSKARSHAMN</t>
        </is>
      </c>
      <c r="I6007" t="n">
        <v>0.9</v>
      </c>
      <c r="J6007" t="n">
        <v>0</v>
      </c>
      <c r="K6007" t="n">
        <v>0</v>
      </c>
      <c r="L6007" t="n">
        <v>0</v>
      </c>
      <c r="M6007" t="n">
        <v>0</v>
      </c>
      <c r="N6007" t="n">
        <v>0</v>
      </c>
      <c r="O6007" t="n">
        <v>0</v>
      </c>
      <c r="P6007" t="n">
        <v>0</v>
      </c>
      <c r="Q6007" t="n">
        <v>0</v>
      </c>
      <c r="R6007" t="n">
        <v>0</v>
      </c>
      <c r="S6007" t="n">
        <v>0</v>
      </c>
      <c r="T6007" t="n">
        <v>0</v>
      </c>
      <c r="U6007" t="n">
        <v>0</v>
      </c>
      <c r="V6007" s="2" t="inlineStr"/>
    </row>
    <row r="6008" ht="15" customHeight="1">
      <c r="A6008" t="inlineStr">
        <is>
          <t>A 5354-2022</t>
        </is>
      </c>
      <c r="B6008" t="inlineStr">
        <is>
          <t>avverkningsanmälan</t>
        </is>
      </c>
      <c r="C6008" t="inlineStr">
        <is>
          <t>Föryngringsavverkning</t>
        </is>
      </c>
      <c r="D6008" s="1" t="n">
        <v>44594</v>
      </c>
      <c r="E6008" s="1" t="n">
        <v>46323</v>
      </c>
      <c r="F6008" t="inlineStr">
        <is>
          <t>KALMAR LÄN</t>
        </is>
      </c>
      <c r="G6008" t="inlineStr">
        <is>
          <t>NYBRO</t>
        </is>
      </c>
      <c r="I6008" t="n">
        <v>0.5</v>
      </c>
      <c r="J6008" t="n">
        <v>0</v>
      </c>
      <c r="K6008" t="n">
        <v>0</v>
      </c>
      <c r="L6008" t="n">
        <v>0</v>
      </c>
      <c r="M6008" t="n">
        <v>0</v>
      </c>
      <c r="N6008" t="n">
        <v>0</v>
      </c>
      <c r="O6008" t="n">
        <v>0</v>
      </c>
      <c r="P6008" t="n">
        <v>0</v>
      </c>
      <c r="Q6008" t="n">
        <v>0</v>
      </c>
      <c r="R6008" t="n">
        <v>0</v>
      </c>
      <c r="S6008" t="n">
        <v>0</v>
      </c>
      <c r="T6008" t="n">
        <v>0</v>
      </c>
      <c r="U6008" t="n">
        <v>0</v>
      </c>
      <c r="V6008" s="2" t="inlineStr"/>
    </row>
    <row r="6009" ht="15" customHeight="1">
      <c r="A6009" t="inlineStr">
        <is>
          <t>A 37233-2026</t>
        </is>
      </c>
      <c r="B6009" t="inlineStr">
        <is>
          <t>avverkningsanmälan</t>
        </is>
      </c>
      <c r="C6009" t="inlineStr">
        <is>
          <t>Föryngringsavverkning</t>
        </is>
      </c>
      <c r="D6009" s="1" t="n">
        <v>46274</v>
      </c>
      <c r="E6009" s="1" t="n">
        <v>46323</v>
      </c>
      <c r="F6009" t="inlineStr">
        <is>
          <t>KALMAR LÄN</t>
        </is>
      </c>
      <c r="G6009" t="inlineStr">
        <is>
          <t>HÖGSBY</t>
        </is>
      </c>
      <c r="I6009" t="n">
        <v>4.1</v>
      </c>
      <c r="J6009" t="n">
        <v>0</v>
      </c>
      <c r="K6009" t="n">
        <v>0</v>
      </c>
      <c r="L6009" t="n">
        <v>0</v>
      </c>
      <c r="M6009" t="n">
        <v>0</v>
      </c>
      <c r="N6009" t="n">
        <v>0</v>
      </c>
      <c r="O6009" t="n">
        <v>0</v>
      </c>
      <c r="P6009" t="n">
        <v>0</v>
      </c>
      <c r="Q6009" t="n">
        <v>0</v>
      </c>
      <c r="R6009" t="n">
        <v>0</v>
      </c>
      <c r="S6009" t="n">
        <v>0</v>
      </c>
      <c r="T6009" t="n">
        <v>0</v>
      </c>
      <c r="U6009" t="n">
        <v>0</v>
      </c>
      <c r="V6009" s="2" t="inlineStr"/>
    </row>
    <row r="6010" ht="15" customHeight="1">
      <c r="A6010" t="inlineStr">
        <is>
          <t>A 57630-2023</t>
        </is>
      </c>
      <c r="B6010" t="inlineStr">
        <is>
          <t>avverkningsanmälan</t>
        </is>
      </c>
      <c r="C6010" t="inlineStr">
        <is>
          <t>Föryngringsavverkning</t>
        </is>
      </c>
      <c r="D6010" s="1" t="n">
        <v>45246</v>
      </c>
      <c r="E6010" s="1" t="n">
        <v>46323</v>
      </c>
      <c r="F6010" t="inlineStr">
        <is>
          <t>KALMAR LÄN</t>
        </is>
      </c>
      <c r="G6010" t="inlineStr">
        <is>
          <t>KALMAR</t>
        </is>
      </c>
      <c r="I6010" t="n">
        <v>0.5</v>
      </c>
      <c r="J6010" t="n">
        <v>0</v>
      </c>
      <c r="K6010" t="n">
        <v>0</v>
      </c>
      <c r="L6010" t="n">
        <v>0</v>
      </c>
      <c r="M6010" t="n">
        <v>0</v>
      </c>
      <c r="N6010" t="n">
        <v>0</v>
      </c>
      <c r="O6010" t="n">
        <v>0</v>
      </c>
      <c r="P6010" t="n">
        <v>0</v>
      </c>
      <c r="Q6010" t="n">
        <v>0</v>
      </c>
      <c r="R6010" t="n">
        <v>0</v>
      </c>
      <c r="S6010" t="n">
        <v>0</v>
      </c>
      <c r="T6010" t="n">
        <v>0</v>
      </c>
      <c r="U6010" t="n">
        <v>0</v>
      </c>
      <c r="V6010" s="2" t="inlineStr"/>
    </row>
    <row r="6011" ht="15" customHeight="1">
      <c r="A6011" t="inlineStr">
        <is>
          <t>A 47797-2024</t>
        </is>
      </c>
      <c r="B6011" t="inlineStr">
        <is>
          <t>avverkningsanmälan</t>
        </is>
      </c>
      <c r="C6011" t="inlineStr">
        <is>
          <t>Föryngringsavverkning</t>
        </is>
      </c>
      <c r="D6011" s="1" t="n">
        <v>45588</v>
      </c>
      <c r="E6011" s="1" t="n">
        <v>46323</v>
      </c>
      <c r="F6011" t="inlineStr">
        <is>
          <t>KALMAR LÄN</t>
        </is>
      </c>
      <c r="G6011" t="inlineStr">
        <is>
          <t>HÖGSBY</t>
        </is>
      </c>
      <c r="I6011" t="n">
        <v>0.6</v>
      </c>
      <c r="J6011" t="n">
        <v>0</v>
      </c>
      <c r="K6011" t="n">
        <v>0</v>
      </c>
      <c r="L6011" t="n">
        <v>0</v>
      </c>
      <c r="M6011" t="n">
        <v>0</v>
      </c>
      <c r="N6011" t="n">
        <v>0</v>
      </c>
      <c r="O6011" t="n">
        <v>0</v>
      </c>
      <c r="P6011" t="n">
        <v>0</v>
      </c>
      <c r="Q6011" t="n">
        <v>0</v>
      </c>
      <c r="R6011" t="n">
        <v>0</v>
      </c>
      <c r="S6011" t="n">
        <v>0</v>
      </c>
      <c r="T6011" t="n">
        <v>0</v>
      </c>
      <c r="U6011" t="n">
        <v>0</v>
      </c>
      <c r="V6011" s="2" t="inlineStr"/>
    </row>
    <row r="6012" ht="15" customHeight="1">
      <c r="A6012" t="inlineStr">
        <is>
          <t>A 43119-2026</t>
        </is>
      </c>
      <c r="B6012" t="inlineStr">
        <is>
          <t>avverkningsanmälan</t>
        </is>
      </c>
      <c r="C6012" t="inlineStr">
        <is>
          <t>Föryngringsavverkning</t>
        </is>
      </c>
      <c r="D6012" s="1" t="n">
        <v>46311</v>
      </c>
      <c r="E6012" s="1" t="n">
        <v>46323</v>
      </c>
      <c r="F6012" t="inlineStr">
        <is>
          <t>KALMAR LÄN</t>
        </is>
      </c>
      <c r="G6012" t="inlineStr">
        <is>
          <t>HÖGSBY</t>
        </is>
      </c>
      <c r="I6012" t="n">
        <v>1.3</v>
      </c>
      <c r="J6012" t="n">
        <v>0</v>
      </c>
      <c r="K6012" t="n">
        <v>0</v>
      </c>
      <c r="L6012" t="n">
        <v>0</v>
      </c>
      <c r="M6012" t="n">
        <v>0</v>
      </c>
      <c r="N6012" t="n">
        <v>0</v>
      </c>
      <c r="O6012" t="n">
        <v>0</v>
      </c>
      <c r="P6012" t="n">
        <v>0</v>
      </c>
      <c r="Q6012" t="n">
        <v>0</v>
      </c>
      <c r="R6012" t="n">
        <v>0</v>
      </c>
      <c r="S6012" t="n">
        <v>0</v>
      </c>
      <c r="T6012" t="n">
        <v>0</v>
      </c>
      <c r="U6012" t="n">
        <v>0</v>
      </c>
      <c r="V6012" s="2" t="inlineStr"/>
    </row>
    <row r="6013" ht="15" customHeight="1">
      <c r="A6013" t="inlineStr">
        <is>
          <t>A 5405-2024</t>
        </is>
      </c>
      <c r="B6013" t="inlineStr">
        <is>
          <t>avverkningsanmälan</t>
        </is>
      </c>
      <c r="C6013" t="inlineStr">
        <is>
          <t>Föryngringsavverkning</t>
        </is>
      </c>
      <c r="D6013" s="1" t="n">
        <v>45331</v>
      </c>
      <c r="E6013" s="1" t="n">
        <v>46323</v>
      </c>
      <c r="F6013" t="inlineStr">
        <is>
          <t>KALMAR LÄN</t>
        </is>
      </c>
      <c r="G6013" t="inlineStr">
        <is>
          <t>NYBRO</t>
        </is>
      </c>
      <c r="I6013" t="n">
        <v>5.9</v>
      </c>
      <c r="J6013" t="n">
        <v>0</v>
      </c>
      <c r="K6013" t="n">
        <v>0</v>
      </c>
      <c r="L6013" t="n">
        <v>0</v>
      </c>
      <c r="M6013" t="n">
        <v>0</v>
      </c>
      <c r="N6013" t="n">
        <v>0</v>
      </c>
      <c r="O6013" t="n">
        <v>0</v>
      </c>
      <c r="P6013" t="n">
        <v>0</v>
      </c>
      <c r="Q6013" t="n">
        <v>0</v>
      </c>
      <c r="R6013" t="n">
        <v>0</v>
      </c>
      <c r="S6013" t="n">
        <v>0</v>
      </c>
      <c r="T6013" t="n">
        <v>0</v>
      </c>
      <c r="U6013" t="n">
        <v>0</v>
      </c>
      <c r="V6013" s="2" t="inlineStr"/>
    </row>
    <row r="6014" ht="15" customHeight="1">
      <c r="A6014" t="inlineStr">
        <is>
          <t>A 31747-2025</t>
        </is>
      </c>
      <c r="B6014" t="inlineStr">
        <is>
          <t>avverkningsanmälan</t>
        </is>
      </c>
      <c r="C6014" t="inlineStr">
        <is>
          <t>Föryngringsavverkning</t>
        </is>
      </c>
      <c r="D6014" s="1" t="n">
        <v>45834</v>
      </c>
      <c r="E6014" s="1" t="n">
        <v>46323</v>
      </c>
      <c r="F6014" t="inlineStr">
        <is>
          <t>KALMAR LÄN</t>
        </is>
      </c>
      <c r="G6014" t="inlineStr">
        <is>
          <t>NYBRO</t>
        </is>
      </c>
      <c r="I6014" t="n">
        <v>0.9</v>
      </c>
      <c r="J6014" t="n">
        <v>0</v>
      </c>
      <c r="K6014" t="n">
        <v>0</v>
      </c>
      <c r="L6014" t="n">
        <v>0</v>
      </c>
      <c r="M6014" t="n">
        <v>0</v>
      </c>
      <c r="N6014" t="n">
        <v>0</v>
      </c>
      <c r="O6014" t="n">
        <v>0</v>
      </c>
      <c r="P6014" t="n">
        <v>0</v>
      </c>
      <c r="Q6014" t="n">
        <v>0</v>
      </c>
      <c r="R6014" t="n">
        <v>0</v>
      </c>
      <c r="S6014" t="n">
        <v>0</v>
      </c>
      <c r="T6014" t="n">
        <v>0</v>
      </c>
      <c r="U6014" t="n">
        <v>0</v>
      </c>
      <c r="V6014" s="2" t="inlineStr"/>
    </row>
    <row r="6015" ht="15" customHeight="1">
      <c r="A6015" t="inlineStr">
        <is>
          <t>A 5801-2024</t>
        </is>
      </c>
      <c r="B6015" t="inlineStr">
        <is>
          <t>avverkningsanmälan</t>
        </is>
      </c>
      <c r="C6015" t="inlineStr">
        <is>
          <t>Föryngringsavverkning</t>
        </is>
      </c>
      <c r="D6015" s="1" t="n">
        <v>45335</v>
      </c>
      <c r="E6015" s="1" t="n">
        <v>46323</v>
      </c>
      <c r="F6015" t="inlineStr">
        <is>
          <t>KALMAR LÄN</t>
        </is>
      </c>
      <c r="G6015" t="inlineStr">
        <is>
          <t>HULTSFRED</t>
        </is>
      </c>
      <c r="I6015" t="n">
        <v>0</v>
      </c>
      <c r="J6015" t="n">
        <v>0</v>
      </c>
      <c r="K6015" t="n">
        <v>0</v>
      </c>
      <c r="L6015" t="n">
        <v>0</v>
      </c>
      <c r="M6015" t="n">
        <v>0</v>
      </c>
      <c r="N6015" t="n">
        <v>0</v>
      </c>
      <c r="O6015" t="n">
        <v>0</v>
      </c>
      <c r="P6015" t="n">
        <v>0</v>
      </c>
      <c r="Q6015" t="n">
        <v>0</v>
      </c>
      <c r="R6015" t="n">
        <v>0</v>
      </c>
      <c r="S6015" t="n">
        <v>0</v>
      </c>
      <c r="T6015" t="n">
        <v>0</v>
      </c>
      <c r="U6015" t="n">
        <v>0</v>
      </c>
      <c r="V6015" s="2" t="inlineStr"/>
    </row>
    <row r="6016" ht="15" customHeight="1">
      <c r="A6016" t="inlineStr">
        <is>
          <t>A 31707-2025</t>
        </is>
      </c>
      <c r="B6016" t="inlineStr">
        <is>
          <t>avverkningsanmälan</t>
        </is>
      </c>
      <c r="C6016" t="inlineStr">
        <is>
          <t>Föryngringsavverkning</t>
        </is>
      </c>
      <c r="D6016" s="1" t="n">
        <v>45834</v>
      </c>
      <c r="E6016" s="1" t="n">
        <v>46323</v>
      </c>
      <c r="F6016" t="inlineStr">
        <is>
          <t>KALMAR LÄN</t>
        </is>
      </c>
      <c r="G6016" t="inlineStr">
        <is>
          <t>NYBRO</t>
        </is>
      </c>
      <c r="I6016" t="n">
        <v>0.7</v>
      </c>
      <c r="J6016" t="n">
        <v>0</v>
      </c>
      <c r="K6016" t="n">
        <v>0</v>
      </c>
      <c r="L6016" t="n">
        <v>0</v>
      </c>
      <c r="M6016" t="n">
        <v>0</v>
      </c>
      <c r="N6016" t="n">
        <v>0</v>
      </c>
      <c r="O6016" t="n">
        <v>0</v>
      </c>
      <c r="P6016" t="n">
        <v>0</v>
      </c>
      <c r="Q6016" t="n">
        <v>0</v>
      </c>
      <c r="R6016" t="n">
        <v>0</v>
      </c>
      <c r="S6016" t="n">
        <v>0</v>
      </c>
      <c r="T6016" t="n">
        <v>0</v>
      </c>
      <c r="U6016" t="n">
        <v>0</v>
      </c>
      <c r="V6016" s="2" t="inlineStr"/>
    </row>
    <row r="6017" ht="15" customHeight="1">
      <c r="A6017" t="inlineStr">
        <is>
          <t>A 36763-2026</t>
        </is>
      </c>
      <c r="B6017" t="inlineStr">
        <is>
          <t>avverkningsanmälan</t>
        </is>
      </c>
      <c r="C6017" t="inlineStr">
        <is>
          <t>Föryngringsavverkning</t>
        </is>
      </c>
      <c r="D6017" s="1" t="n">
        <v>46272</v>
      </c>
      <c r="E6017" s="1" t="n">
        <v>46323</v>
      </c>
      <c r="F6017" t="inlineStr">
        <is>
          <t>KALMAR LÄN</t>
        </is>
      </c>
      <c r="G6017" t="inlineStr">
        <is>
          <t>VIMMERBY</t>
        </is>
      </c>
      <c r="I6017" t="n">
        <v>0.6</v>
      </c>
      <c r="J6017" t="n">
        <v>0</v>
      </c>
      <c r="K6017" t="n">
        <v>0</v>
      </c>
      <c r="L6017" t="n">
        <v>0</v>
      </c>
      <c r="M6017" t="n">
        <v>0</v>
      </c>
      <c r="N6017" t="n">
        <v>0</v>
      </c>
      <c r="O6017" t="n">
        <v>0</v>
      </c>
      <c r="P6017" t="n">
        <v>0</v>
      </c>
      <c r="Q6017" t="n">
        <v>0</v>
      </c>
      <c r="R6017" t="n">
        <v>0</v>
      </c>
      <c r="S6017" t="n">
        <v>0</v>
      </c>
      <c r="T6017" t="n">
        <v>0</v>
      </c>
      <c r="U6017" t="n">
        <v>0</v>
      </c>
      <c r="V6017" s="2" t="inlineStr"/>
    </row>
    <row r="6018" ht="15" customHeight="1">
      <c r="A6018" t="inlineStr">
        <is>
          <t>A 4729-2024</t>
        </is>
      </c>
      <c r="B6018" t="inlineStr">
        <is>
          <t>avverkningsanmälan</t>
        </is>
      </c>
      <c r="C6018" t="inlineStr">
        <is>
          <t>Föryngringsavverkning</t>
        </is>
      </c>
      <c r="D6018" s="1" t="n">
        <v>45328</v>
      </c>
      <c r="E6018" s="1" t="n">
        <v>46323</v>
      </c>
      <c r="F6018" t="inlineStr">
        <is>
          <t>KALMAR LÄN</t>
        </is>
      </c>
      <c r="G6018" t="inlineStr">
        <is>
          <t>TORSÅS</t>
        </is>
      </c>
      <c r="I6018" t="n">
        <v>4.7</v>
      </c>
      <c r="J6018" t="n">
        <v>0</v>
      </c>
      <c r="K6018" t="n">
        <v>0</v>
      </c>
      <c r="L6018" t="n">
        <v>0</v>
      </c>
      <c r="M6018" t="n">
        <v>0</v>
      </c>
      <c r="N6018" t="n">
        <v>0</v>
      </c>
      <c r="O6018" t="n">
        <v>0</v>
      </c>
      <c r="P6018" t="n">
        <v>0</v>
      </c>
      <c r="Q6018" t="n">
        <v>0</v>
      </c>
      <c r="R6018" t="n">
        <v>0</v>
      </c>
      <c r="S6018" t="n">
        <v>0</v>
      </c>
      <c r="T6018" t="n">
        <v>0</v>
      </c>
      <c r="U6018" t="n">
        <v>0</v>
      </c>
      <c r="V6018" s="2" t="inlineStr"/>
    </row>
    <row r="6019" ht="15" customHeight="1">
      <c r="A6019" t="inlineStr">
        <is>
          <t>A 57802-2024</t>
        </is>
      </c>
      <c r="B6019" t="inlineStr">
        <is>
          <t>avverkningsanmälan</t>
        </is>
      </c>
      <c r="C6019" t="inlineStr">
        <is>
          <t>Föryngringsavverkning</t>
        </is>
      </c>
      <c r="D6019" s="1" t="n">
        <v>45631</v>
      </c>
      <c r="E6019" s="1" t="n">
        <v>46323</v>
      </c>
      <c r="F6019" t="inlineStr">
        <is>
          <t>KALMAR LÄN</t>
        </is>
      </c>
      <c r="G6019" t="inlineStr">
        <is>
          <t>VÄSTERVIK</t>
        </is>
      </c>
      <c r="I6019" t="n">
        <v>0.5</v>
      </c>
      <c r="J6019" t="n">
        <v>0</v>
      </c>
      <c r="K6019" t="n">
        <v>0</v>
      </c>
      <c r="L6019" t="n">
        <v>0</v>
      </c>
      <c r="M6019" t="n">
        <v>0</v>
      </c>
      <c r="N6019" t="n">
        <v>0</v>
      </c>
      <c r="O6019" t="n">
        <v>0</v>
      </c>
      <c r="P6019" t="n">
        <v>0</v>
      </c>
      <c r="Q6019" t="n">
        <v>0</v>
      </c>
      <c r="R6019" t="n">
        <v>0</v>
      </c>
      <c r="S6019" t="n">
        <v>0</v>
      </c>
      <c r="T6019" t="n">
        <v>0</v>
      </c>
      <c r="U6019" t="n">
        <v>0</v>
      </c>
      <c r="V6019" s="2" t="inlineStr"/>
    </row>
    <row r="6020" ht="15" customHeight="1">
      <c r="A6020" t="inlineStr">
        <is>
          <t>A 21128-2026</t>
        </is>
      </c>
      <c r="B6020" t="inlineStr">
        <is>
          <t>avverkningsanmälan</t>
        </is>
      </c>
      <c r="C6020" t="inlineStr">
        <is>
          <t>Föryngringsavverkning</t>
        </is>
      </c>
      <c r="D6020" s="1" t="n">
        <v>46146</v>
      </c>
      <c r="E6020" s="1" t="n">
        <v>46323</v>
      </c>
      <c r="F6020" t="inlineStr">
        <is>
          <t>KALMAR LÄN</t>
        </is>
      </c>
      <c r="G6020" t="inlineStr">
        <is>
          <t>OSKARSHAMN</t>
        </is>
      </c>
      <c r="I6020" t="n">
        <v>1.8</v>
      </c>
      <c r="J6020" t="n">
        <v>0</v>
      </c>
      <c r="K6020" t="n">
        <v>0</v>
      </c>
      <c r="L6020" t="n">
        <v>0</v>
      </c>
      <c r="M6020" t="n">
        <v>0</v>
      </c>
      <c r="N6020" t="n">
        <v>0</v>
      </c>
      <c r="O6020" t="n">
        <v>0</v>
      </c>
      <c r="P6020" t="n">
        <v>0</v>
      </c>
      <c r="Q6020" t="n">
        <v>0</v>
      </c>
      <c r="R6020" t="n">
        <v>0</v>
      </c>
      <c r="S6020" t="n">
        <v>0</v>
      </c>
      <c r="T6020" t="n">
        <v>0</v>
      </c>
      <c r="U6020" t="n">
        <v>0</v>
      </c>
      <c r="V6020" s="2" t="inlineStr"/>
    </row>
    <row r="6021" ht="15" customHeight="1">
      <c r="A6021" t="inlineStr">
        <is>
          <t>A 21192-2026</t>
        </is>
      </c>
      <c r="B6021" t="inlineStr">
        <is>
          <t>avverkningsanmälan</t>
        </is>
      </c>
      <c r="C6021" t="inlineStr">
        <is>
          <t>Föryngringsavverkning</t>
        </is>
      </c>
      <c r="D6021" s="1" t="n">
        <v>46146</v>
      </c>
      <c r="E6021" s="1" t="n">
        <v>46323</v>
      </c>
      <c r="F6021" t="inlineStr">
        <is>
          <t>KALMAR LÄN</t>
        </is>
      </c>
      <c r="G6021" t="inlineStr">
        <is>
          <t>TORSÅS</t>
        </is>
      </c>
      <c r="I6021" t="n">
        <v>2.5</v>
      </c>
      <c r="J6021" t="n">
        <v>0</v>
      </c>
      <c r="K6021" t="n">
        <v>0</v>
      </c>
      <c r="L6021" t="n">
        <v>0</v>
      </c>
      <c r="M6021" t="n">
        <v>0</v>
      </c>
      <c r="N6021" t="n">
        <v>0</v>
      </c>
      <c r="O6021" t="n">
        <v>0</v>
      </c>
      <c r="P6021" t="n">
        <v>0</v>
      </c>
      <c r="Q6021" t="n">
        <v>0</v>
      </c>
      <c r="R6021" t="n">
        <v>0</v>
      </c>
      <c r="S6021" t="n">
        <v>0</v>
      </c>
      <c r="T6021" t="n">
        <v>0</v>
      </c>
      <c r="U6021" t="n">
        <v>0</v>
      </c>
      <c r="V6021" s="2" t="inlineStr"/>
    </row>
    <row r="6022" ht="15" customHeight="1">
      <c r="A6022" t="inlineStr">
        <is>
          <t>A 37503-2026</t>
        </is>
      </c>
      <c r="B6022" t="inlineStr">
        <is>
          <t>avverkningsanmälan</t>
        </is>
      </c>
      <c r="C6022" t="inlineStr">
        <is>
          <t>Föryngringsavverkning</t>
        </is>
      </c>
      <c r="D6022" s="1" t="n">
        <v>46275</v>
      </c>
      <c r="E6022" s="1" t="n">
        <v>46323</v>
      </c>
      <c r="F6022" t="inlineStr">
        <is>
          <t>KALMAR LÄN</t>
        </is>
      </c>
      <c r="G6022" t="inlineStr">
        <is>
          <t>VIMMERBY</t>
        </is>
      </c>
      <c r="I6022" t="n">
        <v>10</v>
      </c>
      <c r="J6022" t="n">
        <v>0</v>
      </c>
      <c r="K6022" t="n">
        <v>0</v>
      </c>
      <c r="L6022" t="n">
        <v>0</v>
      </c>
      <c r="M6022" t="n">
        <v>0</v>
      </c>
      <c r="N6022" t="n">
        <v>0</v>
      </c>
      <c r="O6022" t="n">
        <v>0</v>
      </c>
      <c r="P6022" t="n">
        <v>0</v>
      </c>
      <c r="Q6022" t="n">
        <v>0</v>
      </c>
      <c r="R6022" t="n">
        <v>0</v>
      </c>
      <c r="S6022" t="n">
        <v>0</v>
      </c>
      <c r="T6022" t="n">
        <v>0</v>
      </c>
      <c r="U6022" t="n">
        <v>0</v>
      </c>
      <c r="V6022" s="2" t="inlineStr"/>
    </row>
    <row r="6023" ht="15" customHeight="1">
      <c r="A6023" t="inlineStr">
        <is>
          <t>A 9760-2024</t>
        </is>
      </c>
      <c r="B6023" t="inlineStr">
        <is>
          <t>avverkningsanmälan</t>
        </is>
      </c>
      <c r="C6023" t="inlineStr">
        <is>
          <t>Föryngringsavverkning</t>
        </is>
      </c>
      <c r="D6023" s="1" t="n">
        <v>45362</v>
      </c>
      <c r="E6023" s="1" t="n">
        <v>46323</v>
      </c>
      <c r="F6023" t="inlineStr">
        <is>
          <t>KALMAR LÄN</t>
        </is>
      </c>
      <c r="G6023" t="inlineStr">
        <is>
          <t>VÄSTERVIK</t>
        </is>
      </c>
      <c r="I6023" t="n">
        <v>2.1</v>
      </c>
      <c r="J6023" t="n">
        <v>0</v>
      </c>
      <c r="K6023" t="n">
        <v>0</v>
      </c>
      <c r="L6023" t="n">
        <v>0</v>
      </c>
      <c r="M6023" t="n">
        <v>0</v>
      </c>
      <c r="N6023" t="n">
        <v>0</v>
      </c>
      <c r="O6023" t="n">
        <v>0</v>
      </c>
      <c r="P6023" t="n">
        <v>0</v>
      </c>
      <c r="Q6023" t="n">
        <v>0</v>
      </c>
      <c r="R6023" t="n">
        <v>0</v>
      </c>
      <c r="S6023" t="n">
        <v>0</v>
      </c>
      <c r="T6023" t="n">
        <v>0</v>
      </c>
      <c r="U6023" t="n">
        <v>0</v>
      </c>
      <c r="V6023" s="2" t="inlineStr"/>
    </row>
    <row r="6024" ht="15" customHeight="1">
      <c r="A6024" t="inlineStr">
        <is>
          <t>A 31753-2025</t>
        </is>
      </c>
      <c r="B6024" t="inlineStr">
        <is>
          <t>avverkningsanmälan</t>
        </is>
      </c>
      <c r="C6024" t="inlineStr">
        <is>
          <t>Föryngringsavverkning</t>
        </is>
      </c>
      <c r="D6024" s="1" t="n">
        <v>45834</v>
      </c>
      <c r="E6024" s="1" t="n">
        <v>46323</v>
      </c>
      <c r="F6024" t="inlineStr">
        <is>
          <t>KALMAR LÄN</t>
        </is>
      </c>
      <c r="G6024" t="inlineStr">
        <is>
          <t>NYBRO</t>
        </is>
      </c>
      <c r="I6024" t="n">
        <v>1.5</v>
      </c>
      <c r="J6024" t="n">
        <v>0</v>
      </c>
      <c r="K6024" t="n">
        <v>0</v>
      </c>
      <c r="L6024" t="n">
        <v>0</v>
      </c>
      <c r="M6024" t="n">
        <v>0</v>
      </c>
      <c r="N6024" t="n">
        <v>0</v>
      </c>
      <c r="O6024" t="n">
        <v>0</v>
      </c>
      <c r="P6024" t="n">
        <v>0</v>
      </c>
      <c r="Q6024" t="n">
        <v>0</v>
      </c>
      <c r="R6024" t="n">
        <v>0</v>
      </c>
      <c r="S6024" t="n">
        <v>0</v>
      </c>
      <c r="T6024" t="n">
        <v>0</v>
      </c>
      <c r="U6024" t="n">
        <v>0</v>
      </c>
      <c r="V6024" s="2" t="inlineStr"/>
    </row>
    <row r="6025" ht="15" customHeight="1">
      <c r="A6025" t="inlineStr">
        <is>
          <t>A 36752-2026</t>
        </is>
      </c>
      <c r="B6025" t="inlineStr">
        <is>
          <t>avverkningsanmälan</t>
        </is>
      </c>
      <c r="C6025" t="inlineStr">
        <is>
          <t>Föryngringsavverkning</t>
        </is>
      </c>
      <c r="D6025" s="1" t="n">
        <v>46272</v>
      </c>
      <c r="E6025" s="1" t="n">
        <v>46323</v>
      </c>
      <c r="F6025" t="inlineStr">
        <is>
          <t>KALMAR LÄN</t>
        </is>
      </c>
      <c r="G6025" t="inlineStr">
        <is>
          <t>VIMMERBY</t>
        </is>
      </c>
      <c r="I6025" t="n">
        <v>4.2</v>
      </c>
      <c r="J6025" t="n">
        <v>0</v>
      </c>
      <c r="K6025" t="n">
        <v>0</v>
      </c>
      <c r="L6025" t="n">
        <v>0</v>
      </c>
      <c r="M6025" t="n">
        <v>0</v>
      </c>
      <c r="N6025" t="n">
        <v>0</v>
      </c>
      <c r="O6025" t="n">
        <v>0</v>
      </c>
      <c r="P6025" t="n">
        <v>0</v>
      </c>
      <c r="Q6025" t="n">
        <v>0</v>
      </c>
      <c r="R6025" t="n">
        <v>0</v>
      </c>
      <c r="S6025" t="n">
        <v>0</v>
      </c>
      <c r="T6025" t="n">
        <v>0</v>
      </c>
      <c r="U6025" t="n">
        <v>0</v>
      </c>
      <c r="V6025" s="2" t="inlineStr"/>
    </row>
    <row r="6026" ht="15" customHeight="1">
      <c r="A6026" t="inlineStr">
        <is>
          <t>A 31265-2025</t>
        </is>
      </c>
      <c r="B6026" t="inlineStr">
        <is>
          <t>avverkningsanmälan</t>
        </is>
      </c>
      <c r="C6026" t="inlineStr">
        <is>
          <t>Föryngringsavverkning</t>
        </is>
      </c>
      <c r="D6026" s="1" t="n">
        <v>45833</v>
      </c>
      <c r="E6026" s="1" t="n">
        <v>46323</v>
      </c>
      <c r="F6026" t="inlineStr">
        <is>
          <t>KALMAR LÄN</t>
        </is>
      </c>
      <c r="G6026" t="inlineStr">
        <is>
          <t>HULTSFRED</t>
        </is>
      </c>
      <c r="I6026" t="n">
        <v>1.2</v>
      </c>
      <c r="J6026" t="n">
        <v>0</v>
      </c>
      <c r="K6026" t="n">
        <v>0</v>
      </c>
      <c r="L6026" t="n">
        <v>0</v>
      </c>
      <c r="M6026" t="n">
        <v>0</v>
      </c>
      <c r="N6026" t="n">
        <v>0</v>
      </c>
      <c r="O6026" t="n">
        <v>0</v>
      </c>
      <c r="P6026" t="n">
        <v>0</v>
      </c>
      <c r="Q6026" t="n">
        <v>0</v>
      </c>
      <c r="R6026" t="n">
        <v>0</v>
      </c>
      <c r="S6026" t="n">
        <v>0</v>
      </c>
      <c r="T6026" t="n">
        <v>0</v>
      </c>
      <c r="U6026" t="n">
        <v>0</v>
      </c>
      <c r="V6026" s="2" t="inlineStr"/>
    </row>
    <row r="6027" ht="15" customHeight="1">
      <c r="A6027" t="inlineStr">
        <is>
          <t>A 37164-2026</t>
        </is>
      </c>
      <c r="B6027" t="inlineStr">
        <is>
          <t>avverkningsanmälan</t>
        </is>
      </c>
      <c r="C6027" t="inlineStr">
        <is>
          <t>Föryngringsavverkning</t>
        </is>
      </c>
      <c r="D6027" s="1" t="n">
        <v>46274</v>
      </c>
      <c r="E6027" s="1" t="n">
        <v>46323</v>
      </c>
      <c r="F6027" t="inlineStr">
        <is>
          <t>KALMAR LÄN</t>
        </is>
      </c>
      <c r="G6027" t="inlineStr">
        <is>
          <t>VIMMERBY</t>
        </is>
      </c>
      <c r="I6027" t="n">
        <v>3.3</v>
      </c>
      <c r="J6027" t="n">
        <v>0</v>
      </c>
      <c r="K6027" t="n">
        <v>0</v>
      </c>
      <c r="L6027" t="n">
        <v>0</v>
      </c>
      <c r="M6027" t="n">
        <v>0</v>
      </c>
      <c r="N6027" t="n">
        <v>0</v>
      </c>
      <c r="O6027" t="n">
        <v>0</v>
      </c>
      <c r="P6027" t="n">
        <v>0</v>
      </c>
      <c r="Q6027" t="n">
        <v>0</v>
      </c>
      <c r="R6027" t="n">
        <v>0</v>
      </c>
      <c r="S6027" t="n">
        <v>0</v>
      </c>
      <c r="T6027" t="n">
        <v>0</v>
      </c>
      <c r="U6027" t="n">
        <v>0</v>
      </c>
      <c r="V6027" s="2" t="inlineStr"/>
    </row>
    <row r="6028" ht="15" customHeight="1">
      <c r="A6028" t="inlineStr">
        <is>
          <t>A 31540-2025</t>
        </is>
      </c>
      <c r="B6028" t="inlineStr">
        <is>
          <t>avverkningsanmälan</t>
        </is>
      </c>
      <c r="C6028" t="inlineStr">
        <is>
          <t>Föryngringsavverkning</t>
        </is>
      </c>
      <c r="D6028" s="1" t="n">
        <v>45833</v>
      </c>
      <c r="E6028" s="1" t="n">
        <v>46323</v>
      </c>
      <c r="F6028" t="inlineStr">
        <is>
          <t>KALMAR LÄN</t>
        </is>
      </c>
      <c r="G6028" t="inlineStr">
        <is>
          <t>NYBRO</t>
        </is>
      </c>
      <c r="I6028" t="n">
        <v>1.5</v>
      </c>
      <c r="J6028" t="n">
        <v>0</v>
      </c>
      <c r="K6028" t="n">
        <v>0</v>
      </c>
      <c r="L6028" t="n">
        <v>0</v>
      </c>
      <c r="M6028" t="n">
        <v>0</v>
      </c>
      <c r="N6028" t="n">
        <v>0</v>
      </c>
      <c r="O6028" t="n">
        <v>0</v>
      </c>
      <c r="P6028" t="n">
        <v>0</v>
      </c>
      <c r="Q6028" t="n">
        <v>0</v>
      </c>
      <c r="R6028" t="n">
        <v>0</v>
      </c>
      <c r="S6028" t="n">
        <v>0</v>
      </c>
      <c r="T6028" t="n">
        <v>0</v>
      </c>
      <c r="U6028" t="n">
        <v>0</v>
      </c>
      <c r="V6028" s="2" t="inlineStr"/>
    </row>
    <row r="6029" ht="15" customHeight="1">
      <c r="A6029" t="inlineStr">
        <is>
          <t>A 8559-2025</t>
        </is>
      </c>
      <c r="B6029" t="inlineStr">
        <is>
          <t>avverkningsanmälan</t>
        </is>
      </c>
      <c r="C6029" t="inlineStr">
        <is>
          <t>Föryngringsavverkning</t>
        </is>
      </c>
      <c r="D6029" s="1" t="n">
        <v>45709</v>
      </c>
      <c r="E6029" s="1" t="n">
        <v>46323</v>
      </c>
      <c r="F6029" t="inlineStr">
        <is>
          <t>KALMAR LÄN</t>
        </is>
      </c>
      <c r="G6029" t="inlineStr">
        <is>
          <t>VIMMERBY</t>
        </is>
      </c>
      <c r="I6029" t="n">
        <v>8.9</v>
      </c>
      <c r="J6029" t="n">
        <v>0</v>
      </c>
      <c r="K6029" t="n">
        <v>0</v>
      </c>
      <c r="L6029" t="n">
        <v>0</v>
      </c>
      <c r="M6029" t="n">
        <v>0</v>
      </c>
      <c r="N6029" t="n">
        <v>0</v>
      </c>
      <c r="O6029" t="n">
        <v>0</v>
      </c>
      <c r="P6029" t="n">
        <v>0</v>
      </c>
      <c r="Q6029" t="n">
        <v>0</v>
      </c>
      <c r="R6029" t="n">
        <v>0</v>
      </c>
      <c r="S6029" t="n">
        <v>0</v>
      </c>
      <c r="T6029" t="n">
        <v>0</v>
      </c>
      <c r="U6029" t="n">
        <v>0</v>
      </c>
      <c r="V6029" s="2" t="inlineStr"/>
    </row>
    <row r="6030" ht="15" customHeight="1">
      <c r="A6030" t="inlineStr">
        <is>
          <t>A 31763-2025</t>
        </is>
      </c>
      <c r="B6030" t="inlineStr">
        <is>
          <t>avverkningsanmälan</t>
        </is>
      </c>
      <c r="C6030" t="inlineStr">
        <is>
          <t>Föryngringsavverkning</t>
        </is>
      </c>
      <c r="D6030" s="1" t="n">
        <v>45834</v>
      </c>
      <c r="E6030" s="1" t="n">
        <v>46323</v>
      </c>
      <c r="F6030" t="inlineStr">
        <is>
          <t>KALMAR LÄN</t>
        </is>
      </c>
      <c r="G6030" t="inlineStr">
        <is>
          <t>NYBRO</t>
        </is>
      </c>
      <c r="I6030" t="n">
        <v>1.3</v>
      </c>
      <c r="J6030" t="n">
        <v>0</v>
      </c>
      <c r="K6030" t="n">
        <v>0</v>
      </c>
      <c r="L6030" t="n">
        <v>0</v>
      </c>
      <c r="M6030" t="n">
        <v>0</v>
      </c>
      <c r="N6030" t="n">
        <v>0</v>
      </c>
      <c r="O6030" t="n">
        <v>0</v>
      </c>
      <c r="P6030" t="n">
        <v>0</v>
      </c>
      <c r="Q6030" t="n">
        <v>0</v>
      </c>
      <c r="R6030" t="n">
        <v>0</v>
      </c>
      <c r="S6030" t="n">
        <v>0</v>
      </c>
      <c r="T6030" t="n">
        <v>0</v>
      </c>
      <c r="U6030" t="n">
        <v>0</v>
      </c>
      <c r="V6030" s="2" t="inlineStr"/>
    </row>
    <row r="6031" ht="15" customHeight="1">
      <c r="A6031" t="inlineStr">
        <is>
          <t>A 23622-2025</t>
        </is>
      </c>
      <c r="B6031" t="inlineStr">
        <is>
          <t>avverkningsanmälan</t>
        </is>
      </c>
      <c r="C6031" t="inlineStr">
        <is>
          <t>Föryngringsavverkning</t>
        </is>
      </c>
      <c r="D6031" s="1" t="n">
        <v>45792</v>
      </c>
      <c r="E6031" s="1" t="n">
        <v>46323</v>
      </c>
      <c r="F6031" t="inlineStr">
        <is>
          <t>KALMAR LÄN</t>
        </is>
      </c>
      <c r="G6031" t="inlineStr">
        <is>
          <t>OSKARSHAMN</t>
        </is>
      </c>
      <c r="I6031" t="n">
        <v>3</v>
      </c>
      <c r="J6031" t="n">
        <v>0</v>
      </c>
      <c r="K6031" t="n">
        <v>0</v>
      </c>
      <c r="L6031" t="n">
        <v>0</v>
      </c>
      <c r="M6031" t="n">
        <v>0</v>
      </c>
      <c r="N6031" t="n">
        <v>0</v>
      </c>
      <c r="O6031" t="n">
        <v>0</v>
      </c>
      <c r="P6031" t="n">
        <v>0</v>
      </c>
      <c r="Q6031" t="n">
        <v>0</v>
      </c>
      <c r="R6031" t="n">
        <v>0</v>
      </c>
      <c r="S6031" t="n">
        <v>0</v>
      </c>
      <c r="T6031" t="n">
        <v>0</v>
      </c>
      <c r="U6031" t="n">
        <v>0</v>
      </c>
      <c r="V6031" s="2" t="inlineStr"/>
    </row>
    <row r="6032" ht="15" customHeight="1">
      <c r="A6032" t="inlineStr">
        <is>
          <t>A 44078-2026</t>
        </is>
      </c>
      <c r="B6032" t="inlineStr">
        <is>
          <t>avverkningsanmälan</t>
        </is>
      </c>
      <c r="C6032" t="inlineStr">
        <is>
          <t>Föryngringsavverkning</t>
        </is>
      </c>
      <c r="D6032" s="1" t="n">
        <v>46317</v>
      </c>
      <c r="E6032" s="1" t="n">
        <v>46323</v>
      </c>
      <c r="F6032" t="inlineStr">
        <is>
          <t>KALMAR LÄN</t>
        </is>
      </c>
      <c r="G6032" t="inlineStr">
        <is>
          <t>EMMABODA</t>
        </is>
      </c>
      <c r="H6032" t="inlineStr">
        <is>
          <t>Kommuner</t>
        </is>
      </c>
      <c r="I6032" t="n">
        <v>8.9</v>
      </c>
      <c r="J6032" t="n">
        <v>0</v>
      </c>
      <c r="K6032" t="n">
        <v>0</v>
      </c>
      <c r="L6032" t="n">
        <v>0</v>
      </c>
      <c r="M6032" t="n">
        <v>0</v>
      </c>
      <c r="N6032" t="n">
        <v>0</v>
      </c>
      <c r="O6032" t="n">
        <v>0</v>
      </c>
      <c r="P6032" t="n">
        <v>0</v>
      </c>
      <c r="Q6032" t="n">
        <v>0</v>
      </c>
      <c r="R6032" t="n">
        <v>0</v>
      </c>
      <c r="S6032" t="n">
        <v>0</v>
      </c>
      <c r="T6032" t="n">
        <v>0</v>
      </c>
      <c r="U6032" t="n">
        <v>0</v>
      </c>
      <c r="V6032" s="2" t="inlineStr"/>
    </row>
    <row r="6033" ht="15" customHeight="1">
      <c r="A6033" t="inlineStr">
        <is>
          <t>A 44083-2026</t>
        </is>
      </c>
      <c r="B6033" t="inlineStr">
        <is>
          <t>avverkningsanmälan</t>
        </is>
      </c>
      <c r="C6033" t="inlineStr">
        <is>
          <t>Föryngringsavverkning</t>
        </is>
      </c>
      <c r="D6033" s="1" t="n">
        <v>46318</v>
      </c>
      <c r="E6033" s="1" t="n">
        <v>46323</v>
      </c>
      <c r="F6033" t="inlineStr">
        <is>
          <t>KALMAR LÄN</t>
        </is>
      </c>
      <c r="G6033" t="inlineStr">
        <is>
          <t>VIMMERBY</t>
        </is>
      </c>
      <c r="I6033" t="n">
        <v>0.8</v>
      </c>
      <c r="J6033" t="n">
        <v>0</v>
      </c>
      <c r="K6033" t="n">
        <v>0</v>
      </c>
      <c r="L6033" t="n">
        <v>0</v>
      </c>
      <c r="M6033" t="n">
        <v>0</v>
      </c>
      <c r="N6033" t="n">
        <v>0</v>
      </c>
      <c r="O6033" t="n">
        <v>0</v>
      </c>
      <c r="P6033" t="n">
        <v>0</v>
      </c>
      <c r="Q6033" t="n">
        <v>0</v>
      </c>
      <c r="R6033" t="n">
        <v>0</v>
      </c>
      <c r="S6033" t="n">
        <v>0</v>
      </c>
      <c r="T6033" t="n">
        <v>0</v>
      </c>
      <c r="U6033" t="n">
        <v>0</v>
      </c>
      <c r="V6033" s="2" t="inlineStr"/>
    </row>
    <row r="6034" ht="15" customHeight="1">
      <c r="A6034" t="inlineStr">
        <is>
          <t>A 23641-2025</t>
        </is>
      </c>
      <c r="B6034" t="inlineStr">
        <is>
          <t>avverkningsanmälan</t>
        </is>
      </c>
      <c r="C6034" t="inlineStr">
        <is>
          <t>Föryngringsavverkning</t>
        </is>
      </c>
      <c r="D6034" s="1" t="n">
        <v>45792</v>
      </c>
      <c r="E6034" s="1" t="n">
        <v>46323</v>
      </c>
      <c r="F6034" t="inlineStr">
        <is>
          <t>KALMAR LÄN</t>
        </is>
      </c>
      <c r="G6034" t="inlineStr">
        <is>
          <t>OSKARSHAMN</t>
        </is>
      </c>
      <c r="I6034" t="n">
        <v>1.4</v>
      </c>
      <c r="J6034" t="n">
        <v>0</v>
      </c>
      <c r="K6034" t="n">
        <v>0</v>
      </c>
      <c r="L6034" t="n">
        <v>0</v>
      </c>
      <c r="M6034" t="n">
        <v>0</v>
      </c>
      <c r="N6034" t="n">
        <v>0</v>
      </c>
      <c r="O6034" t="n">
        <v>0</v>
      </c>
      <c r="P6034" t="n">
        <v>0</v>
      </c>
      <c r="Q6034" t="n">
        <v>0</v>
      </c>
      <c r="R6034" t="n">
        <v>0</v>
      </c>
      <c r="S6034" t="n">
        <v>0</v>
      </c>
      <c r="T6034" t="n">
        <v>0</v>
      </c>
      <c r="U6034" t="n">
        <v>0</v>
      </c>
      <c r="V6034" s="2" t="inlineStr"/>
    </row>
    <row r="6035" ht="15" customHeight="1">
      <c r="A6035" t="inlineStr">
        <is>
          <t>A 23706-2025</t>
        </is>
      </c>
      <c r="B6035" t="inlineStr">
        <is>
          <t>avverkningsanmälan</t>
        </is>
      </c>
      <c r="C6035" t="inlineStr">
        <is>
          <t>Föryngringsavverkning</t>
        </is>
      </c>
      <c r="D6035" s="1" t="n">
        <v>45793</v>
      </c>
      <c r="E6035" s="1" t="n">
        <v>46323</v>
      </c>
      <c r="F6035" t="inlineStr">
        <is>
          <t>KALMAR LÄN</t>
        </is>
      </c>
      <c r="G6035" t="inlineStr">
        <is>
          <t>VÄSTERVIK</t>
        </is>
      </c>
      <c r="I6035" t="n">
        <v>2.2</v>
      </c>
      <c r="J6035" t="n">
        <v>0</v>
      </c>
      <c r="K6035" t="n">
        <v>0</v>
      </c>
      <c r="L6035" t="n">
        <v>0</v>
      </c>
      <c r="M6035" t="n">
        <v>0</v>
      </c>
      <c r="N6035" t="n">
        <v>0</v>
      </c>
      <c r="O6035" t="n">
        <v>0</v>
      </c>
      <c r="P6035" t="n">
        <v>0</v>
      </c>
      <c r="Q6035" t="n">
        <v>0</v>
      </c>
      <c r="R6035" t="n">
        <v>0</v>
      </c>
      <c r="S6035" t="n">
        <v>0</v>
      </c>
      <c r="T6035" t="n">
        <v>0</v>
      </c>
      <c r="U6035" t="n">
        <v>0</v>
      </c>
      <c r="V6035" s="2" t="inlineStr"/>
    </row>
    <row r="6036" ht="15" customHeight="1">
      <c r="A6036" t="inlineStr">
        <is>
          <t>A 37196-2026</t>
        </is>
      </c>
      <c r="B6036" t="inlineStr">
        <is>
          <t>avverkningsanmälan</t>
        </is>
      </c>
      <c r="C6036" t="inlineStr">
        <is>
          <t>Föryngringsavverkning</t>
        </is>
      </c>
      <c r="D6036" s="1" t="n">
        <v>46274</v>
      </c>
      <c r="E6036" s="1" t="n">
        <v>46323</v>
      </c>
      <c r="F6036" t="inlineStr">
        <is>
          <t>KALMAR LÄN</t>
        </is>
      </c>
      <c r="G6036" t="inlineStr">
        <is>
          <t>VIMMERBY</t>
        </is>
      </c>
      <c r="I6036" t="n">
        <v>1.6</v>
      </c>
      <c r="J6036" t="n">
        <v>0</v>
      </c>
      <c r="K6036" t="n">
        <v>0</v>
      </c>
      <c r="L6036" t="n">
        <v>0</v>
      </c>
      <c r="M6036" t="n">
        <v>0</v>
      </c>
      <c r="N6036" t="n">
        <v>0</v>
      </c>
      <c r="O6036" t="n">
        <v>0</v>
      </c>
      <c r="P6036" t="n">
        <v>0</v>
      </c>
      <c r="Q6036" t="n">
        <v>0</v>
      </c>
      <c r="R6036" t="n">
        <v>0</v>
      </c>
      <c r="S6036" t="n">
        <v>0</v>
      </c>
      <c r="T6036" t="n">
        <v>0</v>
      </c>
      <c r="U6036" t="n">
        <v>0</v>
      </c>
      <c r="V6036" s="2" t="inlineStr"/>
    </row>
    <row r="6037" ht="15" customHeight="1">
      <c r="A6037" t="inlineStr">
        <is>
          <t>A 31551-2025</t>
        </is>
      </c>
      <c r="B6037" t="inlineStr">
        <is>
          <t>avverkningsanmälan</t>
        </is>
      </c>
      <c r="C6037" t="inlineStr">
        <is>
          <t>Föryngringsavverkning</t>
        </is>
      </c>
      <c r="D6037" s="1" t="n">
        <v>45833</v>
      </c>
      <c r="E6037" s="1" t="n">
        <v>46323</v>
      </c>
      <c r="F6037" t="inlineStr">
        <is>
          <t>KALMAR LÄN</t>
        </is>
      </c>
      <c r="G6037" t="inlineStr">
        <is>
          <t>VIMMERBY</t>
        </is>
      </c>
      <c r="I6037" t="n">
        <v>1.9</v>
      </c>
      <c r="J6037" t="n">
        <v>0</v>
      </c>
      <c r="K6037" t="n">
        <v>0</v>
      </c>
      <c r="L6037" t="n">
        <v>0</v>
      </c>
      <c r="M6037" t="n">
        <v>0</v>
      </c>
      <c r="N6037" t="n">
        <v>0</v>
      </c>
      <c r="O6037" t="n">
        <v>0</v>
      </c>
      <c r="P6037" t="n">
        <v>0</v>
      </c>
      <c r="Q6037" t="n">
        <v>0</v>
      </c>
      <c r="R6037" t="n">
        <v>0</v>
      </c>
      <c r="S6037" t="n">
        <v>0</v>
      </c>
      <c r="T6037" t="n">
        <v>0</v>
      </c>
      <c r="U6037" t="n">
        <v>0</v>
      </c>
      <c r="V6037" s="2" t="inlineStr"/>
    </row>
    <row r="6038" ht="15" customHeight="1">
      <c r="A6038" t="inlineStr">
        <is>
          <t>A 21354-2026</t>
        </is>
      </c>
      <c r="B6038" t="inlineStr">
        <is>
          <t>avverkningsanmälan</t>
        </is>
      </c>
      <c r="C6038" t="inlineStr">
        <is>
          <t>Föryngringsavverkning</t>
        </is>
      </c>
      <c r="D6038" s="1" t="n">
        <v>46147</v>
      </c>
      <c r="E6038" s="1" t="n">
        <v>46323</v>
      </c>
      <c r="F6038" t="inlineStr">
        <is>
          <t>KALMAR LÄN</t>
        </is>
      </c>
      <c r="G6038" t="inlineStr">
        <is>
          <t>VÄSTERVIK</t>
        </is>
      </c>
      <c r="H6038" t="inlineStr">
        <is>
          <t>Sveaskog</t>
        </is>
      </c>
      <c r="I6038" t="n">
        <v>17.5</v>
      </c>
      <c r="J6038" t="n">
        <v>0</v>
      </c>
      <c r="K6038" t="n">
        <v>0</v>
      </c>
      <c r="L6038" t="n">
        <v>0</v>
      </c>
      <c r="M6038" t="n">
        <v>0</v>
      </c>
      <c r="N6038" t="n">
        <v>0</v>
      </c>
      <c r="O6038" t="n">
        <v>0</v>
      </c>
      <c r="P6038" t="n">
        <v>0</v>
      </c>
      <c r="Q6038" t="n">
        <v>0</v>
      </c>
      <c r="R6038" t="n">
        <v>0</v>
      </c>
      <c r="S6038" t="n">
        <v>0</v>
      </c>
      <c r="T6038" t="n">
        <v>0</v>
      </c>
      <c r="U6038" t="n">
        <v>0</v>
      </c>
      <c r="V6038" s="2" t="inlineStr"/>
    </row>
    <row r="6039" ht="15" customHeight="1">
      <c r="A6039" t="inlineStr">
        <is>
          <t>A 11189-2024</t>
        </is>
      </c>
      <c r="B6039" t="inlineStr">
        <is>
          <t>avverkningsanmälan</t>
        </is>
      </c>
      <c r="C6039" t="inlineStr">
        <is>
          <t>Föryngringsavverkning</t>
        </is>
      </c>
      <c r="D6039" s="1" t="n">
        <v>45371</v>
      </c>
      <c r="E6039" s="1" t="n">
        <v>46323</v>
      </c>
      <c r="F6039" t="inlineStr">
        <is>
          <t>KALMAR LÄN</t>
        </is>
      </c>
      <c r="G6039" t="inlineStr">
        <is>
          <t>VÄSTERVIK</t>
        </is>
      </c>
      <c r="I6039" t="n">
        <v>5.2</v>
      </c>
      <c r="J6039" t="n">
        <v>0</v>
      </c>
      <c r="K6039" t="n">
        <v>0</v>
      </c>
      <c r="L6039" t="n">
        <v>0</v>
      </c>
      <c r="M6039" t="n">
        <v>0</v>
      </c>
      <c r="N6039" t="n">
        <v>0</v>
      </c>
      <c r="O6039" t="n">
        <v>0</v>
      </c>
      <c r="P6039" t="n">
        <v>0</v>
      </c>
      <c r="Q6039" t="n">
        <v>0</v>
      </c>
      <c r="R6039" t="n">
        <v>0</v>
      </c>
      <c r="S6039" t="n">
        <v>0</v>
      </c>
      <c r="T6039" t="n">
        <v>0</v>
      </c>
      <c r="U6039" t="n">
        <v>0</v>
      </c>
      <c r="V6039" s="2" t="inlineStr"/>
    </row>
    <row r="6040" ht="15" customHeight="1">
      <c r="A6040" t="inlineStr">
        <is>
          <t>A 21319-2026</t>
        </is>
      </c>
      <c r="B6040" t="inlineStr">
        <is>
          <t>avverkningsanmälan</t>
        </is>
      </c>
      <c r="C6040" t="inlineStr">
        <is>
          <t>Föryngringsavverkning</t>
        </is>
      </c>
      <c r="D6040" s="1" t="n">
        <v>46147</v>
      </c>
      <c r="E6040" s="1" t="n">
        <v>46323</v>
      </c>
      <c r="F6040" t="inlineStr">
        <is>
          <t>KALMAR LÄN</t>
        </is>
      </c>
      <c r="G6040" t="inlineStr">
        <is>
          <t>VÄSTERVIK</t>
        </is>
      </c>
      <c r="H6040" t="inlineStr">
        <is>
          <t>Sveaskog</t>
        </is>
      </c>
      <c r="I6040" t="n">
        <v>3.6</v>
      </c>
      <c r="J6040" t="n">
        <v>0</v>
      </c>
      <c r="K6040" t="n">
        <v>0</v>
      </c>
      <c r="L6040" t="n">
        <v>0</v>
      </c>
      <c r="M6040" t="n">
        <v>0</v>
      </c>
      <c r="N6040" t="n">
        <v>0</v>
      </c>
      <c r="O6040" t="n">
        <v>0</v>
      </c>
      <c r="P6040" t="n">
        <v>0</v>
      </c>
      <c r="Q6040" t="n">
        <v>0</v>
      </c>
      <c r="R6040" t="n">
        <v>0</v>
      </c>
      <c r="S6040" t="n">
        <v>0</v>
      </c>
      <c r="T6040" t="n">
        <v>0</v>
      </c>
      <c r="U6040" t="n">
        <v>0</v>
      </c>
      <c r="V6040" s="2" t="inlineStr"/>
    </row>
    <row r="6041" ht="15" customHeight="1">
      <c r="A6041" t="inlineStr">
        <is>
          <t>A 21322-2026</t>
        </is>
      </c>
      <c r="B6041" t="inlineStr">
        <is>
          <t>avverkningsanmälan</t>
        </is>
      </c>
      <c r="C6041" t="inlineStr">
        <is>
          <t>Föryngringsavverkning</t>
        </is>
      </c>
      <c r="D6041" s="1" t="n">
        <v>46147</v>
      </c>
      <c r="E6041" s="1" t="n">
        <v>46323</v>
      </c>
      <c r="F6041" t="inlineStr">
        <is>
          <t>KALMAR LÄN</t>
        </is>
      </c>
      <c r="G6041" t="inlineStr">
        <is>
          <t>VÄSTERVIK</t>
        </is>
      </c>
      <c r="H6041" t="inlineStr">
        <is>
          <t>Sveaskog</t>
        </is>
      </c>
      <c r="I6041" t="n">
        <v>1.3</v>
      </c>
      <c r="J6041" t="n">
        <v>0</v>
      </c>
      <c r="K6041" t="n">
        <v>0</v>
      </c>
      <c r="L6041" t="n">
        <v>0</v>
      </c>
      <c r="M6041" t="n">
        <v>0</v>
      </c>
      <c r="N6041" t="n">
        <v>0</v>
      </c>
      <c r="O6041" t="n">
        <v>0</v>
      </c>
      <c r="P6041" t="n">
        <v>0</v>
      </c>
      <c r="Q6041" t="n">
        <v>0</v>
      </c>
      <c r="R6041" t="n">
        <v>0</v>
      </c>
      <c r="S6041" t="n">
        <v>0</v>
      </c>
      <c r="T6041" t="n">
        <v>0</v>
      </c>
      <c r="U6041" t="n">
        <v>0</v>
      </c>
      <c r="V6041" s="2" t="inlineStr"/>
    </row>
    <row r="6042" ht="15" customHeight="1">
      <c r="A6042" t="inlineStr">
        <is>
          <t>A 44139-2026</t>
        </is>
      </c>
      <c r="B6042" t="inlineStr">
        <is>
          <t>avverkningsanmälan</t>
        </is>
      </c>
      <c r="C6042" t="inlineStr">
        <is>
          <t>Föryngringsavverkning</t>
        </is>
      </c>
      <c r="D6042" s="1" t="n">
        <v>46318</v>
      </c>
      <c r="E6042" s="1" t="n">
        <v>46323</v>
      </c>
      <c r="F6042" t="inlineStr">
        <is>
          <t>KALMAR LÄN</t>
        </is>
      </c>
      <c r="G6042" t="inlineStr">
        <is>
          <t>VÄSTERVIK</t>
        </is>
      </c>
      <c r="H6042" t="inlineStr">
        <is>
          <t>Övriga Aktiebolag</t>
        </is>
      </c>
      <c r="I6042" t="n">
        <v>5.5</v>
      </c>
      <c r="J6042" t="n">
        <v>0</v>
      </c>
      <c r="K6042" t="n">
        <v>0</v>
      </c>
      <c r="L6042" t="n">
        <v>0</v>
      </c>
      <c r="M6042" t="n">
        <v>0</v>
      </c>
      <c r="N6042" t="n">
        <v>0</v>
      </c>
      <c r="O6042" t="n">
        <v>0</v>
      </c>
      <c r="P6042" t="n">
        <v>0</v>
      </c>
      <c r="Q6042" t="n">
        <v>0</v>
      </c>
      <c r="R6042" t="n">
        <v>0</v>
      </c>
      <c r="S6042" t="n">
        <v>0</v>
      </c>
      <c r="T6042" t="n">
        <v>0</v>
      </c>
      <c r="U6042" t="n">
        <v>0</v>
      </c>
      <c r="V6042" s="2" t="inlineStr"/>
    </row>
    <row r="6043" ht="15" customHeight="1">
      <c r="A6043" t="inlineStr">
        <is>
          <t>A 21307-2026</t>
        </is>
      </c>
      <c r="B6043" t="inlineStr">
        <is>
          <t>avverkningsanmälan</t>
        </is>
      </c>
      <c r="C6043" t="inlineStr">
        <is>
          <t>Föryngringsavverkning</t>
        </is>
      </c>
      <c r="D6043" s="1" t="n">
        <v>46147</v>
      </c>
      <c r="E6043" s="1" t="n">
        <v>46323</v>
      </c>
      <c r="F6043" t="inlineStr">
        <is>
          <t>KALMAR LÄN</t>
        </is>
      </c>
      <c r="G6043" t="inlineStr">
        <is>
          <t>OSKARSHAMN</t>
        </is>
      </c>
      <c r="I6043" t="n">
        <v>2</v>
      </c>
      <c r="J6043" t="n">
        <v>0</v>
      </c>
      <c r="K6043" t="n">
        <v>0</v>
      </c>
      <c r="L6043" t="n">
        <v>0</v>
      </c>
      <c r="M6043" t="n">
        <v>0</v>
      </c>
      <c r="N6043" t="n">
        <v>0</v>
      </c>
      <c r="O6043" t="n">
        <v>0</v>
      </c>
      <c r="P6043" t="n">
        <v>0</v>
      </c>
      <c r="Q6043" t="n">
        <v>0</v>
      </c>
      <c r="R6043" t="n">
        <v>0</v>
      </c>
      <c r="S6043" t="n">
        <v>0</v>
      </c>
      <c r="T6043" t="n">
        <v>0</v>
      </c>
      <c r="U6043" t="n">
        <v>0</v>
      </c>
      <c r="V6043" s="2" t="inlineStr"/>
    </row>
    <row r="6044" ht="15" customHeight="1">
      <c r="A6044" t="inlineStr">
        <is>
          <t>A 43911-2026</t>
        </is>
      </c>
      <c r="B6044" t="inlineStr">
        <is>
          <t>avverkningsanmälan</t>
        </is>
      </c>
      <c r="C6044" t="inlineStr">
        <is>
          <t>Föryngringsavverkning</t>
        </is>
      </c>
      <c r="D6044" s="1" t="n">
        <v>46317</v>
      </c>
      <c r="E6044" s="1" t="n">
        <v>46323</v>
      </c>
      <c r="F6044" t="inlineStr">
        <is>
          <t>KALMAR LÄN</t>
        </is>
      </c>
      <c r="G6044" t="inlineStr">
        <is>
          <t>HÖGSBY</t>
        </is>
      </c>
      <c r="I6044" t="n">
        <v>2.1</v>
      </c>
      <c r="J6044" t="n">
        <v>0</v>
      </c>
      <c r="K6044" t="n">
        <v>0</v>
      </c>
      <c r="L6044" t="n">
        <v>0</v>
      </c>
      <c r="M6044" t="n">
        <v>0</v>
      </c>
      <c r="N6044" t="n">
        <v>0</v>
      </c>
      <c r="O6044" t="n">
        <v>0</v>
      </c>
      <c r="P6044" t="n">
        <v>0</v>
      </c>
      <c r="Q6044" t="n">
        <v>0</v>
      </c>
      <c r="R6044" t="n">
        <v>0</v>
      </c>
      <c r="S6044" t="n">
        <v>0</v>
      </c>
      <c r="T6044" t="n">
        <v>0</v>
      </c>
      <c r="U6044" t="n">
        <v>0</v>
      </c>
      <c r="V6044" s="2" t="inlineStr"/>
    </row>
    <row r="6045" ht="15" customHeight="1">
      <c r="A6045" t="inlineStr">
        <is>
          <t>A 21330-2026</t>
        </is>
      </c>
      <c r="B6045" t="inlineStr">
        <is>
          <t>avverkningsanmälan</t>
        </is>
      </c>
      <c r="C6045" t="inlineStr">
        <is>
          <t>Föryngringsavverkning</t>
        </is>
      </c>
      <c r="D6045" s="1" t="n">
        <v>46147</v>
      </c>
      <c r="E6045" s="1" t="n">
        <v>46323</v>
      </c>
      <c r="F6045" t="inlineStr">
        <is>
          <t>KALMAR LÄN</t>
        </is>
      </c>
      <c r="G6045" t="inlineStr">
        <is>
          <t>VÄSTERVIK</t>
        </is>
      </c>
      <c r="H6045" t="inlineStr">
        <is>
          <t>Sveaskog</t>
        </is>
      </c>
      <c r="I6045" t="n">
        <v>0.8</v>
      </c>
      <c r="J6045" t="n">
        <v>0</v>
      </c>
      <c r="K6045" t="n">
        <v>0</v>
      </c>
      <c r="L6045" t="n">
        <v>0</v>
      </c>
      <c r="M6045" t="n">
        <v>0</v>
      </c>
      <c r="N6045" t="n">
        <v>0</v>
      </c>
      <c r="O6045" t="n">
        <v>0</v>
      </c>
      <c r="P6045" t="n">
        <v>0</v>
      </c>
      <c r="Q6045" t="n">
        <v>0</v>
      </c>
      <c r="R6045" t="n">
        <v>0</v>
      </c>
      <c r="S6045" t="n">
        <v>0</v>
      </c>
      <c r="T6045" t="n">
        <v>0</v>
      </c>
      <c r="U6045" t="n">
        <v>0</v>
      </c>
      <c r="V6045" s="2" t="inlineStr"/>
    </row>
    <row r="6046" ht="15" customHeight="1">
      <c r="A6046" t="inlineStr">
        <is>
          <t>A 37194-2026</t>
        </is>
      </c>
      <c r="B6046" t="inlineStr">
        <is>
          <t>avverkningsanmälan</t>
        </is>
      </c>
      <c r="C6046" t="inlineStr">
        <is>
          <t>Föryngringsavverkning</t>
        </is>
      </c>
      <c r="D6046" s="1" t="n">
        <v>46274</v>
      </c>
      <c r="E6046" s="1" t="n">
        <v>46323</v>
      </c>
      <c r="F6046" t="inlineStr">
        <is>
          <t>KALMAR LÄN</t>
        </is>
      </c>
      <c r="G6046" t="inlineStr">
        <is>
          <t>HÖGSBY</t>
        </is>
      </c>
      <c r="I6046" t="n">
        <v>5</v>
      </c>
      <c r="J6046" t="n">
        <v>0</v>
      </c>
      <c r="K6046" t="n">
        <v>0</v>
      </c>
      <c r="L6046" t="n">
        <v>0</v>
      </c>
      <c r="M6046" t="n">
        <v>0</v>
      </c>
      <c r="N6046" t="n">
        <v>0</v>
      </c>
      <c r="O6046" t="n">
        <v>0</v>
      </c>
      <c r="P6046" t="n">
        <v>0</v>
      </c>
      <c r="Q6046" t="n">
        <v>0</v>
      </c>
      <c r="R6046" t="n">
        <v>0</v>
      </c>
      <c r="S6046" t="n">
        <v>0</v>
      </c>
      <c r="T6046" t="n">
        <v>0</v>
      </c>
      <c r="U6046" t="n">
        <v>0</v>
      </c>
      <c r="V6046" s="2" t="inlineStr"/>
    </row>
    <row r="6047" ht="15" customHeight="1">
      <c r="A6047" t="inlineStr">
        <is>
          <t>A 21357-2026</t>
        </is>
      </c>
      <c r="B6047" t="inlineStr">
        <is>
          <t>avverkningsanmälan</t>
        </is>
      </c>
      <c r="C6047" t="inlineStr">
        <is>
          <t>Föryngringsavverkning</t>
        </is>
      </c>
      <c r="D6047" s="1" t="n">
        <v>46147</v>
      </c>
      <c r="E6047" s="1" t="n">
        <v>46323</v>
      </c>
      <c r="F6047" t="inlineStr">
        <is>
          <t>KALMAR LÄN</t>
        </is>
      </c>
      <c r="G6047" t="inlineStr">
        <is>
          <t>OSKARSHAMN</t>
        </is>
      </c>
      <c r="I6047" t="n">
        <v>0.7</v>
      </c>
      <c r="J6047" t="n">
        <v>0</v>
      </c>
      <c r="K6047" t="n">
        <v>0</v>
      </c>
      <c r="L6047" t="n">
        <v>0</v>
      </c>
      <c r="M6047" t="n">
        <v>0</v>
      </c>
      <c r="N6047" t="n">
        <v>0</v>
      </c>
      <c r="O6047" t="n">
        <v>0</v>
      </c>
      <c r="P6047" t="n">
        <v>0</v>
      </c>
      <c r="Q6047" t="n">
        <v>0</v>
      </c>
      <c r="R6047" t="n">
        <v>0</v>
      </c>
      <c r="S6047" t="n">
        <v>0</v>
      </c>
      <c r="T6047" t="n">
        <v>0</v>
      </c>
      <c r="U6047" t="n">
        <v>0</v>
      </c>
      <c r="V6047" s="2" t="inlineStr"/>
    </row>
    <row r="6048" ht="15" customHeight="1">
      <c r="A6048" t="inlineStr">
        <is>
          <t>A 32116-2025</t>
        </is>
      </c>
      <c r="B6048" t="inlineStr">
        <is>
          <t>avverkningsanmälan</t>
        </is>
      </c>
      <c r="C6048" t="inlineStr">
        <is>
          <t>Föryngringsavverkning</t>
        </is>
      </c>
      <c r="D6048" s="1" t="n">
        <v>45835</v>
      </c>
      <c r="E6048" s="1" t="n">
        <v>46323</v>
      </c>
      <c r="F6048" t="inlineStr">
        <is>
          <t>KALMAR LÄN</t>
        </is>
      </c>
      <c r="G6048" t="inlineStr">
        <is>
          <t>VIMMERBY</t>
        </is>
      </c>
      <c r="I6048" t="n">
        <v>0.9</v>
      </c>
      <c r="J6048" t="n">
        <v>0</v>
      </c>
      <c r="K6048" t="n">
        <v>0</v>
      </c>
      <c r="L6048" t="n">
        <v>0</v>
      </c>
      <c r="M6048" t="n">
        <v>0</v>
      </c>
      <c r="N6048" t="n">
        <v>0</v>
      </c>
      <c r="O6048" t="n">
        <v>0</v>
      </c>
      <c r="P6048" t="n">
        <v>0</v>
      </c>
      <c r="Q6048" t="n">
        <v>0</v>
      </c>
      <c r="R6048" t="n">
        <v>0</v>
      </c>
      <c r="S6048" t="n">
        <v>0</v>
      </c>
      <c r="T6048" t="n">
        <v>0</v>
      </c>
      <c r="U6048" t="n">
        <v>0</v>
      </c>
      <c r="V6048" s="2" t="inlineStr"/>
    </row>
    <row r="6049" ht="15" customHeight="1">
      <c r="A6049" t="inlineStr">
        <is>
          <t>A 21325-2026</t>
        </is>
      </c>
      <c r="B6049" t="inlineStr">
        <is>
          <t>avverkningsanmälan</t>
        </is>
      </c>
      <c r="C6049" t="inlineStr">
        <is>
          <t>Föryngringsavverkning</t>
        </is>
      </c>
      <c r="D6049" s="1" t="n">
        <v>46147</v>
      </c>
      <c r="E6049" s="1" t="n">
        <v>46323</v>
      </c>
      <c r="F6049" t="inlineStr">
        <is>
          <t>KALMAR LÄN</t>
        </is>
      </c>
      <c r="G6049" t="inlineStr">
        <is>
          <t>VÄSTERVIK</t>
        </is>
      </c>
      <c r="H6049" t="inlineStr">
        <is>
          <t>Sveaskog</t>
        </is>
      </c>
      <c r="I6049" t="n">
        <v>5.2</v>
      </c>
      <c r="J6049" t="n">
        <v>0</v>
      </c>
      <c r="K6049" t="n">
        <v>0</v>
      </c>
      <c r="L6049" t="n">
        <v>0</v>
      </c>
      <c r="M6049" t="n">
        <v>0</v>
      </c>
      <c r="N6049" t="n">
        <v>0</v>
      </c>
      <c r="O6049" t="n">
        <v>0</v>
      </c>
      <c r="P6049" t="n">
        <v>0</v>
      </c>
      <c r="Q6049" t="n">
        <v>0</v>
      </c>
      <c r="R6049" t="n">
        <v>0</v>
      </c>
      <c r="S6049" t="n">
        <v>0</v>
      </c>
      <c r="T6049" t="n">
        <v>0</v>
      </c>
      <c r="U6049" t="n">
        <v>0</v>
      </c>
      <c r="V6049" s="2" t="inlineStr"/>
    </row>
    <row r="6050" ht="15" customHeight="1">
      <c r="A6050" t="inlineStr">
        <is>
          <t>A 36737-2026</t>
        </is>
      </c>
      <c r="B6050" t="inlineStr">
        <is>
          <t>avverkningsanmälan</t>
        </is>
      </c>
      <c r="C6050" t="inlineStr">
        <is>
          <t>Föryngringsavverkning</t>
        </is>
      </c>
      <c r="D6050" s="1" t="n">
        <v>46272</v>
      </c>
      <c r="E6050" s="1" t="n">
        <v>46323</v>
      </c>
      <c r="F6050" t="inlineStr">
        <is>
          <t>KALMAR LÄN</t>
        </is>
      </c>
      <c r="G6050" t="inlineStr">
        <is>
          <t>VIMMERBY</t>
        </is>
      </c>
      <c r="I6050" t="n">
        <v>1.4</v>
      </c>
      <c r="J6050" t="n">
        <v>0</v>
      </c>
      <c r="K6050" t="n">
        <v>0</v>
      </c>
      <c r="L6050" t="n">
        <v>0</v>
      </c>
      <c r="M6050" t="n">
        <v>0</v>
      </c>
      <c r="N6050" t="n">
        <v>0</v>
      </c>
      <c r="O6050" t="n">
        <v>0</v>
      </c>
      <c r="P6050" t="n">
        <v>0</v>
      </c>
      <c r="Q6050" t="n">
        <v>0</v>
      </c>
      <c r="R6050" t="n">
        <v>0</v>
      </c>
      <c r="S6050" t="n">
        <v>0</v>
      </c>
      <c r="T6050" t="n">
        <v>0</v>
      </c>
      <c r="U6050" t="n">
        <v>0</v>
      </c>
      <c r="V6050" s="2" t="inlineStr"/>
    </row>
    <row r="6051" ht="15" customHeight="1">
      <c r="A6051" t="inlineStr">
        <is>
          <t>A 36745-2026</t>
        </is>
      </c>
      <c r="B6051" t="inlineStr">
        <is>
          <t>avverkningsanmälan</t>
        </is>
      </c>
      <c r="C6051" t="inlineStr">
        <is>
          <t>Föryngringsavverkning</t>
        </is>
      </c>
      <c r="D6051" s="1" t="n">
        <v>46272</v>
      </c>
      <c r="E6051" s="1" t="n">
        <v>46323</v>
      </c>
      <c r="F6051" t="inlineStr">
        <is>
          <t>KALMAR LÄN</t>
        </is>
      </c>
      <c r="G6051" t="inlineStr">
        <is>
          <t>VIMMERBY</t>
        </is>
      </c>
      <c r="I6051" t="n">
        <v>0.9</v>
      </c>
      <c r="J6051" t="n">
        <v>0</v>
      </c>
      <c r="K6051" t="n">
        <v>0</v>
      </c>
      <c r="L6051" t="n">
        <v>0</v>
      </c>
      <c r="M6051" t="n">
        <v>0</v>
      </c>
      <c r="N6051" t="n">
        <v>0</v>
      </c>
      <c r="O6051" t="n">
        <v>0</v>
      </c>
      <c r="P6051" t="n">
        <v>0</v>
      </c>
      <c r="Q6051" t="n">
        <v>0</v>
      </c>
      <c r="R6051" t="n">
        <v>0</v>
      </c>
      <c r="S6051" t="n">
        <v>0</v>
      </c>
      <c r="T6051" t="n">
        <v>0</v>
      </c>
      <c r="U6051" t="n">
        <v>0</v>
      </c>
      <c r="V6051" s="2" t="inlineStr"/>
    </row>
    <row r="6052" ht="15" customHeight="1">
      <c r="A6052" t="inlineStr">
        <is>
          <t>A 37138-2026</t>
        </is>
      </c>
      <c r="B6052" t="inlineStr">
        <is>
          <t>avverkningsanmälan</t>
        </is>
      </c>
      <c r="C6052" t="inlineStr">
        <is>
          <t>Föryngringsavverkning</t>
        </is>
      </c>
      <c r="D6052" s="1" t="n">
        <v>46274</v>
      </c>
      <c r="E6052" s="1" t="n">
        <v>46323</v>
      </c>
      <c r="F6052" t="inlineStr">
        <is>
          <t>KALMAR LÄN</t>
        </is>
      </c>
      <c r="G6052" t="inlineStr">
        <is>
          <t>KALMAR</t>
        </is>
      </c>
      <c r="I6052" t="n">
        <v>0.8</v>
      </c>
      <c r="J6052" t="n">
        <v>0</v>
      </c>
      <c r="K6052" t="n">
        <v>0</v>
      </c>
      <c r="L6052" t="n">
        <v>0</v>
      </c>
      <c r="M6052" t="n">
        <v>0</v>
      </c>
      <c r="N6052" t="n">
        <v>0</v>
      </c>
      <c r="O6052" t="n">
        <v>0</v>
      </c>
      <c r="P6052" t="n">
        <v>0</v>
      </c>
      <c r="Q6052" t="n">
        <v>0</v>
      </c>
      <c r="R6052" t="n">
        <v>0</v>
      </c>
      <c r="S6052" t="n">
        <v>0</v>
      </c>
      <c r="T6052" t="n">
        <v>0</v>
      </c>
      <c r="U6052" t="n">
        <v>0</v>
      </c>
      <c r="V6052" s="2" t="inlineStr"/>
    </row>
    <row r="6053" ht="15" customHeight="1">
      <c r="A6053" t="inlineStr">
        <is>
          <t>A 37393-2026</t>
        </is>
      </c>
      <c r="B6053" t="inlineStr">
        <is>
          <t>avverkningsanmälan</t>
        </is>
      </c>
      <c r="C6053" t="inlineStr">
        <is>
          <t>Föryngringsavverkning</t>
        </is>
      </c>
      <c r="D6053" s="1" t="n">
        <v>46275</v>
      </c>
      <c r="E6053" s="1" t="n">
        <v>46323</v>
      </c>
      <c r="F6053" t="inlineStr">
        <is>
          <t>KALMAR LÄN</t>
        </is>
      </c>
      <c r="G6053" t="inlineStr">
        <is>
          <t>NYBRO</t>
        </is>
      </c>
      <c r="H6053" t="inlineStr">
        <is>
          <t>Sveaskog</t>
        </is>
      </c>
      <c r="I6053" t="n">
        <v>2.2</v>
      </c>
      <c r="J6053" t="n">
        <v>0</v>
      </c>
      <c r="K6053" t="n">
        <v>0</v>
      </c>
      <c r="L6053" t="n">
        <v>0</v>
      </c>
      <c r="M6053" t="n">
        <v>0</v>
      </c>
      <c r="N6053" t="n">
        <v>0</v>
      </c>
      <c r="O6053" t="n">
        <v>0</v>
      </c>
      <c r="P6053" t="n">
        <v>0</v>
      </c>
      <c r="Q6053" t="n">
        <v>0</v>
      </c>
      <c r="R6053" t="n">
        <v>0</v>
      </c>
      <c r="S6053" t="n">
        <v>0</v>
      </c>
      <c r="T6053" t="n">
        <v>0</v>
      </c>
      <c r="U6053" t="n">
        <v>0</v>
      </c>
      <c r="V6053" s="2" t="inlineStr"/>
    </row>
    <row r="6054" ht="15" customHeight="1">
      <c r="A6054" t="inlineStr">
        <is>
          <t>A 44287-2026</t>
        </is>
      </c>
      <c r="B6054" t="inlineStr">
        <is>
          <t>avverkningsanmälan</t>
        </is>
      </c>
      <c r="C6054" t="inlineStr">
        <is>
          <t>Föryngringsavverkning</t>
        </is>
      </c>
      <c r="D6054" s="1" t="n">
        <v>46318</v>
      </c>
      <c r="E6054" s="1" t="n">
        <v>46323</v>
      </c>
      <c r="F6054" t="inlineStr">
        <is>
          <t>KALMAR LÄN</t>
        </is>
      </c>
      <c r="G6054" t="inlineStr">
        <is>
          <t>EMMABODA</t>
        </is>
      </c>
      <c r="H6054" t="inlineStr">
        <is>
          <t>Kommuner</t>
        </is>
      </c>
      <c r="I6054" t="n">
        <v>2.5</v>
      </c>
      <c r="J6054" t="n">
        <v>0</v>
      </c>
      <c r="K6054" t="n">
        <v>0</v>
      </c>
      <c r="L6054" t="n">
        <v>0</v>
      </c>
      <c r="M6054" t="n">
        <v>0</v>
      </c>
      <c r="N6054" t="n">
        <v>0</v>
      </c>
      <c r="O6054" t="n">
        <v>0</v>
      </c>
      <c r="P6054" t="n">
        <v>0</v>
      </c>
      <c r="Q6054" t="n">
        <v>0</v>
      </c>
      <c r="R6054" t="n">
        <v>0</v>
      </c>
      <c r="S6054" t="n">
        <v>0</v>
      </c>
      <c r="T6054" t="n">
        <v>0</v>
      </c>
      <c r="U6054" t="n">
        <v>0</v>
      </c>
      <c r="V6054" s="2" t="inlineStr"/>
    </row>
    <row r="6055" ht="15" customHeight="1">
      <c r="A6055" t="inlineStr">
        <is>
          <t>A 32380-2025</t>
        </is>
      </c>
      <c r="B6055" t="inlineStr">
        <is>
          <t>avverkningsanmälan</t>
        </is>
      </c>
      <c r="C6055" t="inlineStr">
        <is>
          <t>Föryngringsavverkning</t>
        </is>
      </c>
      <c r="D6055" s="1" t="n">
        <v>45837</v>
      </c>
      <c r="E6055" s="1" t="n">
        <v>46323</v>
      </c>
      <c r="F6055" t="inlineStr">
        <is>
          <t>KALMAR LÄN</t>
        </is>
      </c>
      <c r="G6055" t="inlineStr">
        <is>
          <t>VIMMERBY</t>
        </is>
      </c>
      <c r="I6055" t="n">
        <v>3.1</v>
      </c>
      <c r="J6055" t="n">
        <v>0</v>
      </c>
      <c r="K6055" t="n">
        <v>0</v>
      </c>
      <c r="L6055" t="n">
        <v>0</v>
      </c>
      <c r="M6055" t="n">
        <v>0</v>
      </c>
      <c r="N6055" t="n">
        <v>0</v>
      </c>
      <c r="O6055" t="n">
        <v>0</v>
      </c>
      <c r="P6055" t="n">
        <v>0</v>
      </c>
      <c r="Q6055" t="n">
        <v>0</v>
      </c>
      <c r="R6055" t="n">
        <v>0</v>
      </c>
      <c r="S6055" t="n">
        <v>0</v>
      </c>
      <c r="T6055" t="n">
        <v>0</v>
      </c>
      <c r="U6055" t="n">
        <v>0</v>
      </c>
      <c r="V6055" s="2" t="inlineStr"/>
    </row>
    <row r="6056" ht="15" customHeight="1">
      <c r="A6056" t="inlineStr">
        <is>
          <t>A 37406-2026</t>
        </is>
      </c>
      <c r="B6056" t="inlineStr">
        <is>
          <t>avverkningsanmälan</t>
        </is>
      </c>
      <c r="C6056" t="inlineStr">
        <is>
          <t>Föryngringsavverkning</t>
        </is>
      </c>
      <c r="D6056" s="1" t="n">
        <v>46275</v>
      </c>
      <c r="E6056" s="1" t="n">
        <v>46323</v>
      </c>
      <c r="F6056" t="inlineStr">
        <is>
          <t>KALMAR LÄN</t>
        </is>
      </c>
      <c r="G6056" t="inlineStr">
        <is>
          <t>VIMMERBY</t>
        </is>
      </c>
      <c r="I6056" t="n">
        <v>0.5</v>
      </c>
      <c r="J6056" t="n">
        <v>0</v>
      </c>
      <c r="K6056" t="n">
        <v>0</v>
      </c>
      <c r="L6056" t="n">
        <v>0</v>
      </c>
      <c r="M6056" t="n">
        <v>0</v>
      </c>
      <c r="N6056" t="n">
        <v>0</v>
      </c>
      <c r="O6056" t="n">
        <v>0</v>
      </c>
      <c r="P6056" t="n">
        <v>0</v>
      </c>
      <c r="Q6056" t="n">
        <v>0</v>
      </c>
      <c r="R6056" t="n">
        <v>0</v>
      </c>
      <c r="S6056" t="n">
        <v>0</v>
      </c>
      <c r="T6056" t="n">
        <v>0</v>
      </c>
      <c r="U6056" t="n">
        <v>0</v>
      </c>
      <c r="V6056" s="2" t="inlineStr"/>
    </row>
    <row r="6057" ht="15" customHeight="1">
      <c r="A6057" t="inlineStr">
        <is>
          <t>A 21882-2026</t>
        </is>
      </c>
      <c r="B6057" t="inlineStr">
        <is>
          <t>avverkningsanmälan</t>
        </is>
      </c>
      <c r="C6057" t="inlineStr">
        <is>
          <t>Föryngringsavverkning</t>
        </is>
      </c>
      <c r="D6057" s="1" t="n">
        <v>46150</v>
      </c>
      <c r="E6057" s="1" t="n">
        <v>46323</v>
      </c>
      <c r="F6057" t="inlineStr">
        <is>
          <t>KALMAR LÄN</t>
        </is>
      </c>
      <c r="G6057" t="inlineStr">
        <is>
          <t>VIMMERBY</t>
        </is>
      </c>
      <c r="I6057" t="n">
        <v>0.6</v>
      </c>
      <c r="J6057" t="n">
        <v>0</v>
      </c>
      <c r="K6057" t="n">
        <v>0</v>
      </c>
      <c r="L6057" t="n">
        <v>0</v>
      </c>
      <c r="M6057" t="n">
        <v>0</v>
      </c>
      <c r="N6057" t="n">
        <v>0</v>
      </c>
      <c r="O6057" t="n">
        <v>0</v>
      </c>
      <c r="P6057" t="n">
        <v>0</v>
      </c>
      <c r="Q6057" t="n">
        <v>0</v>
      </c>
      <c r="R6057" t="n">
        <v>0</v>
      </c>
      <c r="S6057" t="n">
        <v>0</v>
      </c>
      <c r="T6057" t="n">
        <v>0</v>
      </c>
      <c r="U6057" t="n">
        <v>0</v>
      </c>
      <c r="V6057" s="2" t="inlineStr"/>
    </row>
    <row r="6058" ht="15" customHeight="1">
      <c r="A6058" t="inlineStr">
        <is>
          <t>A 37405-2026</t>
        </is>
      </c>
      <c r="B6058" t="inlineStr">
        <is>
          <t>avverkningsanmälan</t>
        </is>
      </c>
      <c r="C6058" t="inlineStr">
        <is>
          <t>Föryngringsavverkning</t>
        </is>
      </c>
      <c r="D6058" s="1" t="n">
        <v>46275</v>
      </c>
      <c r="E6058" s="1" t="n">
        <v>46323</v>
      </c>
      <c r="F6058" t="inlineStr">
        <is>
          <t>KALMAR LÄN</t>
        </is>
      </c>
      <c r="G6058" t="inlineStr">
        <is>
          <t>VIMMERBY</t>
        </is>
      </c>
      <c r="I6058" t="n">
        <v>2.9</v>
      </c>
      <c r="J6058" t="n">
        <v>0</v>
      </c>
      <c r="K6058" t="n">
        <v>0</v>
      </c>
      <c r="L6058" t="n">
        <v>0</v>
      </c>
      <c r="M6058" t="n">
        <v>0</v>
      </c>
      <c r="N6058" t="n">
        <v>0</v>
      </c>
      <c r="O6058" t="n">
        <v>0</v>
      </c>
      <c r="P6058" t="n">
        <v>0</v>
      </c>
      <c r="Q6058" t="n">
        <v>0</v>
      </c>
      <c r="R6058" t="n">
        <v>0</v>
      </c>
      <c r="S6058" t="n">
        <v>0</v>
      </c>
      <c r="T6058" t="n">
        <v>0</v>
      </c>
      <c r="U6058" t="n">
        <v>0</v>
      </c>
      <c r="V6058" s="2" t="inlineStr"/>
    </row>
    <row r="6059" ht="15" customHeight="1">
      <c r="A6059" t="inlineStr">
        <is>
          <t>A 32344-2025</t>
        </is>
      </c>
      <c r="B6059" t="inlineStr">
        <is>
          <t>avverkningsanmälan</t>
        </is>
      </c>
      <c r="C6059" t="inlineStr">
        <is>
          <t>Föryngringsavverkning</t>
        </is>
      </c>
      <c r="D6059" s="1" t="n">
        <v>45837</v>
      </c>
      <c r="E6059" s="1" t="n">
        <v>46323</v>
      </c>
      <c r="F6059" t="inlineStr">
        <is>
          <t>KALMAR LÄN</t>
        </is>
      </c>
      <c r="G6059" t="inlineStr">
        <is>
          <t>NYBRO</t>
        </is>
      </c>
      <c r="I6059" t="n">
        <v>0.9</v>
      </c>
      <c r="J6059" t="n">
        <v>0</v>
      </c>
      <c r="K6059" t="n">
        <v>0</v>
      </c>
      <c r="L6059" t="n">
        <v>0</v>
      </c>
      <c r="M6059" t="n">
        <v>0</v>
      </c>
      <c r="N6059" t="n">
        <v>0</v>
      </c>
      <c r="O6059" t="n">
        <v>0</v>
      </c>
      <c r="P6059" t="n">
        <v>0</v>
      </c>
      <c r="Q6059" t="n">
        <v>0</v>
      </c>
      <c r="R6059" t="n">
        <v>0</v>
      </c>
      <c r="S6059" t="n">
        <v>0</v>
      </c>
      <c r="T6059" t="n">
        <v>0</v>
      </c>
      <c r="U6059" t="n">
        <v>0</v>
      </c>
      <c r="V6059" s="2" t="inlineStr"/>
    </row>
    <row r="6060" ht="15" customHeight="1">
      <c r="A6060" t="inlineStr">
        <is>
          <t>A 32347-2025</t>
        </is>
      </c>
      <c r="B6060" t="inlineStr">
        <is>
          <t>avverkningsanmälan</t>
        </is>
      </c>
      <c r="C6060" t="inlineStr">
        <is>
          <t>Föryngringsavverkning</t>
        </is>
      </c>
      <c r="D6060" s="1" t="n">
        <v>45837</v>
      </c>
      <c r="E6060" s="1" t="n">
        <v>46323</v>
      </c>
      <c r="F6060" t="inlineStr">
        <is>
          <t>KALMAR LÄN</t>
        </is>
      </c>
      <c r="G6060" t="inlineStr">
        <is>
          <t>NYBRO</t>
        </is>
      </c>
      <c r="I6060" t="n">
        <v>1.3</v>
      </c>
      <c r="J6060" t="n">
        <v>0</v>
      </c>
      <c r="K6060" t="n">
        <v>0</v>
      </c>
      <c r="L6060" t="n">
        <v>0</v>
      </c>
      <c r="M6060" t="n">
        <v>0</v>
      </c>
      <c r="N6060" t="n">
        <v>0</v>
      </c>
      <c r="O6060" t="n">
        <v>0</v>
      </c>
      <c r="P6060" t="n">
        <v>0</v>
      </c>
      <c r="Q6060" t="n">
        <v>0</v>
      </c>
      <c r="R6060" t="n">
        <v>0</v>
      </c>
      <c r="S6060" t="n">
        <v>0</v>
      </c>
      <c r="T6060" t="n">
        <v>0</v>
      </c>
      <c r="U6060" t="n">
        <v>0</v>
      </c>
      <c r="V6060" s="2" t="inlineStr"/>
    </row>
    <row r="6061" ht="15" customHeight="1">
      <c r="A6061" t="inlineStr">
        <is>
          <t>A 37490-2026</t>
        </is>
      </c>
      <c r="B6061" t="inlineStr">
        <is>
          <t>avverkningsanmälan</t>
        </is>
      </c>
      <c r="C6061" t="inlineStr">
        <is>
          <t>Föryngringsavverkning</t>
        </is>
      </c>
      <c r="D6061" s="1" t="n">
        <v>46275</v>
      </c>
      <c r="E6061" s="1" t="n">
        <v>46323</v>
      </c>
      <c r="F6061" t="inlineStr">
        <is>
          <t>KALMAR LÄN</t>
        </is>
      </c>
      <c r="G6061" t="inlineStr">
        <is>
          <t>KALMAR</t>
        </is>
      </c>
      <c r="I6061" t="n">
        <v>1.7</v>
      </c>
      <c r="J6061" t="n">
        <v>0</v>
      </c>
      <c r="K6061" t="n">
        <v>0</v>
      </c>
      <c r="L6061" t="n">
        <v>0</v>
      </c>
      <c r="M6061" t="n">
        <v>0</v>
      </c>
      <c r="N6061" t="n">
        <v>0</v>
      </c>
      <c r="O6061" t="n">
        <v>0</v>
      </c>
      <c r="P6061" t="n">
        <v>0</v>
      </c>
      <c r="Q6061" t="n">
        <v>0</v>
      </c>
      <c r="R6061" t="n">
        <v>0</v>
      </c>
      <c r="S6061" t="n">
        <v>0</v>
      </c>
      <c r="T6061" t="n">
        <v>0</v>
      </c>
      <c r="U6061" t="n">
        <v>0</v>
      </c>
      <c r="V6061" s="2" t="inlineStr"/>
    </row>
    <row r="6062" ht="15" customHeight="1">
      <c r="A6062" t="inlineStr">
        <is>
          <t>A 32495-2025</t>
        </is>
      </c>
      <c r="B6062" t="inlineStr">
        <is>
          <t>avverkningsanmälan</t>
        </is>
      </c>
      <c r="C6062" t="inlineStr">
        <is>
          <t>Avverkning för annat ändamål</t>
        </is>
      </c>
      <c r="D6062" s="1" t="n">
        <v>45838</v>
      </c>
      <c r="E6062" s="1" t="n">
        <v>46323</v>
      </c>
      <c r="F6062" t="inlineStr">
        <is>
          <t>KALMAR LÄN</t>
        </is>
      </c>
      <c r="G6062" t="inlineStr">
        <is>
          <t>VÄSTERVIK</t>
        </is>
      </c>
      <c r="I6062" t="n">
        <v>0.5</v>
      </c>
      <c r="J6062" t="n">
        <v>0</v>
      </c>
      <c r="K6062" t="n">
        <v>0</v>
      </c>
      <c r="L6062" t="n">
        <v>0</v>
      </c>
      <c r="M6062" t="n">
        <v>0</v>
      </c>
      <c r="N6062" t="n">
        <v>0</v>
      </c>
      <c r="O6062" t="n">
        <v>0</v>
      </c>
      <c r="P6062" t="n">
        <v>0</v>
      </c>
      <c r="Q6062" t="n">
        <v>0</v>
      </c>
      <c r="R6062" t="n">
        <v>0</v>
      </c>
      <c r="S6062" t="n">
        <v>0</v>
      </c>
      <c r="T6062" t="n">
        <v>0</v>
      </c>
      <c r="U6062" t="n">
        <v>0</v>
      </c>
      <c r="V6062" s="2" t="inlineStr"/>
    </row>
    <row r="6063" ht="15" customHeight="1">
      <c r="A6063" t="inlineStr">
        <is>
          <t>A 37398-2026</t>
        </is>
      </c>
      <c r="B6063" t="inlineStr">
        <is>
          <t>avverkningsanmälan</t>
        </is>
      </c>
      <c r="C6063" t="inlineStr">
        <is>
          <t>Föryngringsavverkning</t>
        </is>
      </c>
      <c r="D6063" s="1" t="n">
        <v>46275</v>
      </c>
      <c r="E6063" s="1" t="n">
        <v>46323</v>
      </c>
      <c r="F6063" t="inlineStr">
        <is>
          <t>KALMAR LÄN</t>
        </is>
      </c>
      <c r="G6063" t="inlineStr">
        <is>
          <t>EMMABODA</t>
        </is>
      </c>
      <c r="I6063" t="n">
        <v>1.2</v>
      </c>
      <c r="J6063" t="n">
        <v>0</v>
      </c>
      <c r="K6063" t="n">
        <v>0</v>
      </c>
      <c r="L6063" t="n">
        <v>0</v>
      </c>
      <c r="M6063" t="n">
        <v>0</v>
      </c>
      <c r="N6063" t="n">
        <v>0</v>
      </c>
      <c r="O6063" t="n">
        <v>0</v>
      </c>
      <c r="P6063" t="n">
        <v>0</v>
      </c>
      <c r="Q6063" t="n">
        <v>0</v>
      </c>
      <c r="R6063" t="n">
        <v>0</v>
      </c>
      <c r="S6063" t="n">
        <v>0</v>
      </c>
      <c r="T6063" t="n">
        <v>0</v>
      </c>
      <c r="U6063" t="n">
        <v>0</v>
      </c>
      <c r="V6063" s="2" t="inlineStr"/>
    </row>
    <row r="6064" ht="15" customHeight="1">
      <c r="A6064" t="inlineStr">
        <is>
          <t>A 40632-2026</t>
        </is>
      </c>
      <c r="B6064" t="inlineStr">
        <is>
          <t>avverkningsanmälan</t>
        </is>
      </c>
      <c r="C6064" t="inlineStr">
        <is>
          <t>Föryngringsavverkning</t>
        </is>
      </c>
      <c r="D6064" s="1" t="n">
        <v>46295</v>
      </c>
      <c r="E6064" s="1" t="n">
        <v>46323</v>
      </c>
      <c r="F6064" t="inlineStr">
        <is>
          <t>KALMAR LÄN</t>
        </is>
      </c>
      <c r="G6064" t="inlineStr">
        <is>
          <t>NYBRO</t>
        </is>
      </c>
      <c r="I6064" t="n">
        <v>2.3</v>
      </c>
      <c r="J6064" t="n">
        <v>0</v>
      </c>
      <c r="K6064" t="n">
        <v>0</v>
      </c>
      <c r="L6064" t="n">
        <v>0</v>
      </c>
      <c r="M6064" t="n">
        <v>0</v>
      </c>
      <c r="N6064" t="n">
        <v>0</v>
      </c>
      <c r="O6064" t="n">
        <v>0</v>
      </c>
      <c r="P6064" t="n">
        <v>0</v>
      </c>
      <c r="Q6064" t="n">
        <v>0</v>
      </c>
      <c r="R6064" t="n">
        <v>0</v>
      </c>
      <c r="S6064" t="n">
        <v>0</v>
      </c>
      <c r="T6064" t="n">
        <v>0</v>
      </c>
      <c r="U6064" t="n">
        <v>0</v>
      </c>
      <c r="V6064" s="2" t="inlineStr"/>
    </row>
    <row r="6065" ht="15" customHeight="1">
      <c r="A6065" t="inlineStr">
        <is>
          <t>A 44090-2026</t>
        </is>
      </c>
      <c r="B6065" t="inlineStr">
        <is>
          <t>avverkningsanmälan</t>
        </is>
      </c>
      <c r="C6065" t="inlineStr">
        <is>
          <t>Föryngringsavverkning</t>
        </is>
      </c>
      <c r="D6065" s="1" t="n">
        <v>46318</v>
      </c>
      <c r="E6065" s="1" t="n">
        <v>46323</v>
      </c>
      <c r="F6065" t="inlineStr">
        <is>
          <t>KALMAR LÄN</t>
        </is>
      </c>
      <c r="G6065" t="inlineStr">
        <is>
          <t>EMMABODA</t>
        </is>
      </c>
      <c r="I6065" t="n">
        <v>1</v>
      </c>
      <c r="J6065" t="n">
        <v>0</v>
      </c>
      <c r="K6065" t="n">
        <v>0</v>
      </c>
      <c r="L6065" t="n">
        <v>0</v>
      </c>
      <c r="M6065" t="n">
        <v>0</v>
      </c>
      <c r="N6065" t="n">
        <v>0</v>
      </c>
      <c r="O6065" t="n">
        <v>0</v>
      </c>
      <c r="P6065" t="n">
        <v>0</v>
      </c>
      <c r="Q6065" t="n">
        <v>0</v>
      </c>
      <c r="R6065" t="n">
        <v>0</v>
      </c>
      <c r="S6065" t="n">
        <v>0</v>
      </c>
      <c r="T6065" t="n">
        <v>0</v>
      </c>
      <c r="U6065" t="n">
        <v>0</v>
      </c>
      <c r="V6065" s="2" t="inlineStr"/>
    </row>
    <row r="6066" ht="15" customHeight="1">
      <c r="A6066" t="inlineStr">
        <is>
          <t>A 22093-2026</t>
        </is>
      </c>
      <c r="B6066" t="inlineStr">
        <is>
          <t>avverkningsanmälan</t>
        </is>
      </c>
      <c r="C6066" t="inlineStr">
        <is>
          <t>Föryngringsavverkning</t>
        </is>
      </c>
      <c r="D6066" s="1" t="n">
        <v>46153</v>
      </c>
      <c r="E6066" s="1" t="n">
        <v>46323</v>
      </c>
      <c r="F6066" t="inlineStr">
        <is>
          <t>KALMAR LÄN</t>
        </is>
      </c>
      <c r="G6066" t="inlineStr">
        <is>
          <t>NYBRO</t>
        </is>
      </c>
      <c r="H6066" t="inlineStr">
        <is>
          <t>Sveaskog</t>
        </is>
      </c>
      <c r="I6066" t="n">
        <v>1.9</v>
      </c>
      <c r="J6066" t="n">
        <v>0</v>
      </c>
      <c r="K6066" t="n">
        <v>0</v>
      </c>
      <c r="L6066" t="n">
        <v>0</v>
      </c>
      <c r="M6066" t="n">
        <v>0</v>
      </c>
      <c r="N6066" t="n">
        <v>0</v>
      </c>
      <c r="O6066" t="n">
        <v>0</v>
      </c>
      <c r="P6066" t="n">
        <v>0</v>
      </c>
      <c r="Q6066" t="n">
        <v>0</v>
      </c>
      <c r="R6066" t="n">
        <v>0</v>
      </c>
      <c r="S6066" t="n">
        <v>0</v>
      </c>
      <c r="T6066" t="n">
        <v>0</v>
      </c>
      <c r="U6066" t="n">
        <v>0</v>
      </c>
      <c r="V6066" s="2" t="inlineStr"/>
    </row>
    <row r="6067" ht="15" customHeight="1">
      <c r="A6067" t="inlineStr">
        <is>
          <t>A 33111-2025</t>
        </is>
      </c>
      <c r="B6067" t="inlineStr">
        <is>
          <t>avverkningsanmälan</t>
        </is>
      </c>
      <c r="C6067" t="inlineStr">
        <is>
          <t>Föryngringsavverkning</t>
        </is>
      </c>
      <c r="D6067" s="1" t="n">
        <v>45840</v>
      </c>
      <c r="E6067" s="1" t="n">
        <v>46323</v>
      </c>
      <c r="F6067" t="inlineStr">
        <is>
          <t>KALMAR LÄN</t>
        </is>
      </c>
      <c r="G6067" t="inlineStr">
        <is>
          <t>MÖNSTERÅS</t>
        </is>
      </c>
      <c r="I6067" t="n">
        <v>2.4</v>
      </c>
      <c r="J6067" t="n">
        <v>0</v>
      </c>
      <c r="K6067" t="n">
        <v>0</v>
      </c>
      <c r="L6067" t="n">
        <v>0</v>
      </c>
      <c r="M6067" t="n">
        <v>0</v>
      </c>
      <c r="N6067" t="n">
        <v>0</v>
      </c>
      <c r="O6067" t="n">
        <v>0</v>
      </c>
      <c r="P6067" t="n">
        <v>0</v>
      </c>
      <c r="Q6067" t="n">
        <v>0</v>
      </c>
      <c r="R6067" t="n">
        <v>0</v>
      </c>
      <c r="S6067" t="n">
        <v>0</v>
      </c>
      <c r="T6067" t="n">
        <v>0</v>
      </c>
      <c r="U6067" t="n">
        <v>0</v>
      </c>
      <c r="V6067" s="2" t="inlineStr"/>
    </row>
    <row r="6068" ht="15" customHeight="1">
      <c r="A6068" t="inlineStr">
        <is>
          <t>A 37953-2026</t>
        </is>
      </c>
      <c r="B6068" t="inlineStr">
        <is>
          <t>avverkningsanmälan</t>
        </is>
      </c>
      <c r="C6068" t="inlineStr">
        <is>
          <t>Föryngringsavverkning</t>
        </is>
      </c>
      <c r="D6068" s="1" t="n">
        <v>46280</v>
      </c>
      <c r="E6068" s="1" t="n">
        <v>46323</v>
      </c>
      <c r="F6068" t="inlineStr">
        <is>
          <t>KALMAR LÄN</t>
        </is>
      </c>
      <c r="G6068" t="inlineStr">
        <is>
          <t>TORSÅS</t>
        </is>
      </c>
      <c r="I6068" t="n">
        <v>0.9</v>
      </c>
      <c r="J6068" t="n">
        <v>0</v>
      </c>
      <c r="K6068" t="n">
        <v>0</v>
      </c>
      <c r="L6068" t="n">
        <v>0</v>
      </c>
      <c r="M6068" t="n">
        <v>0</v>
      </c>
      <c r="N6068" t="n">
        <v>0</v>
      </c>
      <c r="O6068" t="n">
        <v>0</v>
      </c>
      <c r="P6068" t="n">
        <v>0</v>
      </c>
      <c r="Q6068" t="n">
        <v>0</v>
      </c>
      <c r="R6068" t="n">
        <v>0</v>
      </c>
      <c r="S6068" t="n">
        <v>0</v>
      </c>
      <c r="T6068" t="n">
        <v>0</v>
      </c>
      <c r="U6068" t="n">
        <v>0</v>
      </c>
      <c r="V6068" s="2" t="inlineStr"/>
    </row>
    <row r="6069" ht="15" customHeight="1">
      <c r="A6069" t="inlineStr">
        <is>
          <t>A 37823-2026</t>
        </is>
      </c>
      <c r="B6069" t="inlineStr">
        <is>
          <t>avverkningsanmälan</t>
        </is>
      </c>
      <c r="C6069" t="inlineStr">
        <is>
          <t>Föryngringsavverkning</t>
        </is>
      </c>
      <c r="D6069" s="1" t="n">
        <v>46279</v>
      </c>
      <c r="E6069" s="1" t="n">
        <v>46323</v>
      </c>
      <c r="F6069" t="inlineStr">
        <is>
          <t>KALMAR LÄN</t>
        </is>
      </c>
      <c r="G6069" t="inlineStr">
        <is>
          <t>EMMABODA</t>
        </is>
      </c>
      <c r="I6069" t="n">
        <v>2</v>
      </c>
      <c r="J6069" t="n">
        <v>0</v>
      </c>
      <c r="K6069" t="n">
        <v>0</v>
      </c>
      <c r="L6069" t="n">
        <v>0</v>
      </c>
      <c r="M6069" t="n">
        <v>0</v>
      </c>
      <c r="N6069" t="n">
        <v>0</v>
      </c>
      <c r="O6069" t="n">
        <v>0</v>
      </c>
      <c r="P6069" t="n">
        <v>0</v>
      </c>
      <c r="Q6069" t="n">
        <v>0</v>
      </c>
      <c r="R6069" t="n">
        <v>0</v>
      </c>
      <c r="S6069" t="n">
        <v>0</v>
      </c>
      <c r="T6069" t="n">
        <v>0</v>
      </c>
      <c r="U6069" t="n">
        <v>0</v>
      </c>
      <c r="V6069" s="2" t="inlineStr"/>
    </row>
    <row r="6070" ht="15" customHeight="1">
      <c r="A6070" t="inlineStr">
        <is>
          <t>A 32922-2025</t>
        </is>
      </c>
      <c r="B6070" t="inlineStr">
        <is>
          <t>avverkningsanmälan</t>
        </is>
      </c>
      <c r="C6070" t="inlineStr">
        <is>
          <t>Föryngringsavverkning</t>
        </is>
      </c>
      <c r="D6070" s="1" t="n">
        <v>45839</v>
      </c>
      <c r="E6070" s="1" t="n">
        <v>46323</v>
      </c>
      <c r="F6070" t="inlineStr">
        <is>
          <t>KALMAR LÄN</t>
        </is>
      </c>
      <c r="G6070" t="inlineStr">
        <is>
          <t>TORSÅS</t>
        </is>
      </c>
      <c r="I6070" t="n">
        <v>0.6</v>
      </c>
      <c r="J6070" t="n">
        <v>0</v>
      </c>
      <c r="K6070" t="n">
        <v>0</v>
      </c>
      <c r="L6070" t="n">
        <v>0</v>
      </c>
      <c r="M6070" t="n">
        <v>0</v>
      </c>
      <c r="N6070" t="n">
        <v>0</v>
      </c>
      <c r="O6070" t="n">
        <v>0</v>
      </c>
      <c r="P6070" t="n">
        <v>0</v>
      </c>
      <c r="Q6070" t="n">
        <v>0</v>
      </c>
      <c r="R6070" t="n">
        <v>0</v>
      </c>
      <c r="S6070" t="n">
        <v>0</v>
      </c>
      <c r="T6070" t="n">
        <v>0</v>
      </c>
      <c r="U6070" t="n">
        <v>0</v>
      </c>
      <c r="V6070" s="2" t="inlineStr"/>
    </row>
    <row r="6071" ht="15" customHeight="1">
      <c r="A6071" t="inlineStr">
        <is>
          <t>A 37597-2026</t>
        </is>
      </c>
      <c r="B6071" t="inlineStr">
        <is>
          <t>avverkningsanmälan</t>
        </is>
      </c>
      <c r="C6071" t="inlineStr">
        <is>
          <t>Avverkning för annat ändamål</t>
        </is>
      </c>
      <c r="D6071" s="1" t="n">
        <v>46276</v>
      </c>
      <c r="E6071" s="1" t="n">
        <v>46323</v>
      </c>
      <c r="F6071" t="inlineStr">
        <is>
          <t>KALMAR LÄN</t>
        </is>
      </c>
      <c r="G6071" t="inlineStr">
        <is>
          <t>KALMAR</t>
        </is>
      </c>
      <c r="I6071" t="n">
        <v>0.7</v>
      </c>
      <c r="J6071" t="n">
        <v>0</v>
      </c>
      <c r="K6071" t="n">
        <v>0</v>
      </c>
      <c r="L6071" t="n">
        <v>0</v>
      </c>
      <c r="M6071" t="n">
        <v>0</v>
      </c>
      <c r="N6071" t="n">
        <v>0</v>
      </c>
      <c r="O6071" t="n">
        <v>0</v>
      </c>
      <c r="P6071" t="n">
        <v>0</v>
      </c>
      <c r="Q6071" t="n">
        <v>0</v>
      </c>
      <c r="R6071" t="n">
        <v>0</v>
      </c>
      <c r="S6071" t="n">
        <v>0</v>
      </c>
      <c r="T6071" t="n">
        <v>0</v>
      </c>
      <c r="U6071" t="n">
        <v>0</v>
      </c>
      <c r="V6071" s="2" t="inlineStr"/>
    </row>
    <row r="6072" ht="15" customHeight="1">
      <c r="A6072" t="inlineStr">
        <is>
          <t>A 33186-2025</t>
        </is>
      </c>
      <c r="B6072" t="inlineStr">
        <is>
          <t>avverkningsanmälan</t>
        </is>
      </c>
      <c r="C6072" t="inlineStr">
        <is>
          <t>Föryngringsavverkning</t>
        </is>
      </c>
      <c r="D6072" s="1" t="n">
        <v>45840</v>
      </c>
      <c r="E6072" s="1" t="n">
        <v>46323</v>
      </c>
      <c r="F6072" t="inlineStr">
        <is>
          <t>KALMAR LÄN</t>
        </is>
      </c>
      <c r="G6072" t="inlineStr">
        <is>
          <t>VIMMERBY</t>
        </is>
      </c>
      <c r="I6072" t="n">
        <v>2.6</v>
      </c>
      <c r="J6072" t="n">
        <v>0</v>
      </c>
      <c r="K6072" t="n">
        <v>0</v>
      </c>
      <c r="L6072" t="n">
        <v>0</v>
      </c>
      <c r="M6072" t="n">
        <v>0</v>
      </c>
      <c r="N6072" t="n">
        <v>0</v>
      </c>
      <c r="O6072" t="n">
        <v>0</v>
      </c>
      <c r="P6072" t="n">
        <v>0</v>
      </c>
      <c r="Q6072" t="n">
        <v>0</v>
      </c>
      <c r="R6072" t="n">
        <v>0</v>
      </c>
      <c r="S6072" t="n">
        <v>0</v>
      </c>
      <c r="T6072" t="n">
        <v>0</v>
      </c>
      <c r="U6072" t="n">
        <v>0</v>
      </c>
      <c r="V6072" s="2" t="inlineStr"/>
    </row>
    <row r="6073" ht="15" customHeight="1">
      <c r="A6073" t="inlineStr">
        <is>
          <t>A 44329-2026</t>
        </is>
      </c>
      <c r="B6073" t="inlineStr">
        <is>
          <t>avverkningsanmälan</t>
        </is>
      </c>
      <c r="C6073" t="inlineStr">
        <is>
          <t>Föryngringsavverkning</t>
        </is>
      </c>
      <c r="D6073" s="1" t="n">
        <v>46321</v>
      </c>
      <c r="E6073" s="1" t="n">
        <v>46323</v>
      </c>
      <c r="F6073" t="inlineStr">
        <is>
          <t>KALMAR LÄN</t>
        </is>
      </c>
      <c r="G6073" t="inlineStr">
        <is>
          <t>HULTSFRED</t>
        </is>
      </c>
      <c r="I6073" t="n">
        <v>1.6</v>
      </c>
      <c r="J6073" t="n">
        <v>0</v>
      </c>
      <c r="K6073" t="n">
        <v>0</v>
      </c>
      <c r="L6073" t="n">
        <v>0</v>
      </c>
      <c r="M6073" t="n">
        <v>0</v>
      </c>
      <c r="N6073" t="n">
        <v>0</v>
      </c>
      <c r="O6073" t="n">
        <v>0</v>
      </c>
      <c r="P6073" t="n">
        <v>0</v>
      </c>
      <c r="Q6073" t="n">
        <v>0</v>
      </c>
      <c r="R6073" t="n">
        <v>0</v>
      </c>
      <c r="S6073" t="n">
        <v>0</v>
      </c>
      <c r="T6073" t="n">
        <v>0</v>
      </c>
      <c r="U6073" t="n">
        <v>0</v>
      </c>
      <c r="V6073" s="2" t="inlineStr"/>
    </row>
    <row r="6074" ht="15" customHeight="1">
      <c r="A6074" t="inlineStr">
        <is>
          <t>A 37738-2026</t>
        </is>
      </c>
      <c r="B6074" t="inlineStr">
        <is>
          <t>avverkningsanmälan</t>
        </is>
      </c>
      <c r="C6074" t="inlineStr">
        <is>
          <t>Föryngringsavverkning</t>
        </is>
      </c>
      <c r="D6074" s="1" t="n">
        <v>46279</v>
      </c>
      <c r="E6074" s="1" t="n">
        <v>46323</v>
      </c>
      <c r="F6074" t="inlineStr">
        <is>
          <t>KALMAR LÄN</t>
        </is>
      </c>
      <c r="G6074" t="inlineStr">
        <is>
          <t>EMMABODA</t>
        </is>
      </c>
      <c r="H6074" t="inlineStr">
        <is>
          <t>Sveaskog</t>
        </is>
      </c>
      <c r="I6074" t="n">
        <v>1.9</v>
      </c>
      <c r="J6074" t="n">
        <v>0</v>
      </c>
      <c r="K6074" t="n">
        <v>0</v>
      </c>
      <c r="L6074" t="n">
        <v>0</v>
      </c>
      <c r="M6074" t="n">
        <v>0</v>
      </c>
      <c r="N6074" t="n">
        <v>0</v>
      </c>
      <c r="O6074" t="n">
        <v>0</v>
      </c>
      <c r="P6074" t="n">
        <v>0</v>
      </c>
      <c r="Q6074" t="n">
        <v>0</v>
      </c>
      <c r="R6074" t="n">
        <v>0</v>
      </c>
      <c r="S6074" t="n">
        <v>0</v>
      </c>
      <c r="T6074" t="n">
        <v>0</v>
      </c>
      <c r="U6074" t="n">
        <v>0</v>
      </c>
      <c r="V6074" s="2" t="inlineStr"/>
    </row>
    <row r="6075" ht="15" customHeight="1">
      <c r="A6075" t="inlineStr">
        <is>
          <t>A 37787-2026</t>
        </is>
      </c>
      <c r="B6075" t="inlineStr">
        <is>
          <t>avverkningsanmälan</t>
        </is>
      </c>
      <c r="C6075" t="inlineStr">
        <is>
          <t>Föryngringsavverkning</t>
        </is>
      </c>
      <c r="D6075" s="1" t="n">
        <v>46279</v>
      </c>
      <c r="E6075" s="1" t="n">
        <v>46323</v>
      </c>
      <c r="F6075" t="inlineStr">
        <is>
          <t>KALMAR LÄN</t>
        </is>
      </c>
      <c r="G6075" t="inlineStr">
        <is>
          <t>EMMABODA</t>
        </is>
      </c>
      <c r="H6075" t="inlineStr">
        <is>
          <t>Sveaskog</t>
        </is>
      </c>
      <c r="I6075" t="n">
        <v>0.9</v>
      </c>
      <c r="J6075" t="n">
        <v>0</v>
      </c>
      <c r="K6075" t="n">
        <v>0</v>
      </c>
      <c r="L6075" t="n">
        <v>0</v>
      </c>
      <c r="M6075" t="n">
        <v>0</v>
      </c>
      <c r="N6075" t="n">
        <v>0</v>
      </c>
      <c r="O6075" t="n">
        <v>0</v>
      </c>
      <c r="P6075" t="n">
        <v>0</v>
      </c>
      <c r="Q6075" t="n">
        <v>0</v>
      </c>
      <c r="R6075" t="n">
        <v>0</v>
      </c>
      <c r="S6075" t="n">
        <v>0</v>
      </c>
      <c r="T6075" t="n">
        <v>0</v>
      </c>
      <c r="U6075" t="n">
        <v>0</v>
      </c>
      <c r="V6075" s="2" t="inlineStr"/>
    </row>
    <row r="6076" ht="15" customHeight="1">
      <c r="A6076" t="inlineStr">
        <is>
          <t>A 37799-2026</t>
        </is>
      </c>
      <c r="B6076" t="inlineStr">
        <is>
          <t>avverkningsanmälan</t>
        </is>
      </c>
      <c r="C6076" t="inlineStr">
        <is>
          <t>Föryngringsavverkning</t>
        </is>
      </c>
      <c r="D6076" s="1" t="n">
        <v>46279</v>
      </c>
      <c r="E6076" s="1" t="n">
        <v>46323</v>
      </c>
      <c r="F6076" t="inlineStr">
        <is>
          <t>KALMAR LÄN</t>
        </is>
      </c>
      <c r="G6076" t="inlineStr">
        <is>
          <t>VIMMERBY</t>
        </is>
      </c>
      <c r="I6076" t="n">
        <v>0.8</v>
      </c>
      <c r="J6076" t="n">
        <v>0</v>
      </c>
      <c r="K6076" t="n">
        <v>0</v>
      </c>
      <c r="L6076" t="n">
        <v>0</v>
      </c>
      <c r="M6076" t="n">
        <v>0</v>
      </c>
      <c r="N6076" t="n">
        <v>0</v>
      </c>
      <c r="O6076" t="n">
        <v>0</v>
      </c>
      <c r="P6076" t="n">
        <v>0</v>
      </c>
      <c r="Q6076" t="n">
        <v>0</v>
      </c>
      <c r="R6076" t="n">
        <v>0</v>
      </c>
      <c r="S6076" t="n">
        <v>0</v>
      </c>
      <c r="T6076" t="n">
        <v>0</v>
      </c>
      <c r="U6076" t="n">
        <v>0</v>
      </c>
      <c r="V6076" s="2" t="inlineStr"/>
    </row>
    <row r="6077" ht="15" customHeight="1">
      <c r="A6077" t="inlineStr">
        <is>
          <t>A 37800-2026</t>
        </is>
      </c>
      <c r="B6077" t="inlineStr">
        <is>
          <t>avverkningsanmälan</t>
        </is>
      </c>
      <c r="C6077" t="inlineStr">
        <is>
          <t>Föryngringsavverkning</t>
        </is>
      </c>
      <c r="D6077" s="1" t="n">
        <v>46279</v>
      </c>
      <c r="E6077" s="1" t="n">
        <v>46323</v>
      </c>
      <c r="F6077" t="inlineStr">
        <is>
          <t>KALMAR LÄN</t>
        </is>
      </c>
      <c r="G6077" t="inlineStr">
        <is>
          <t>VIMMERBY</t>
        </is>
      </c>
      <c r="I6077" t="n">
        <v>1.3</v>
      </c>
      <c r="J6077" t="n">
        <v>0</v>
      </c>
      <c r="K6077" t="n">
        <v>0</v>
      </c>
      <c r="L6077" t="n">
        <v>0</v>
      </c>
      <c r="M6077" t="n">
        <v>0</v>
      </c>
      <c r="N6077" t="n">
        <v>0</v>
      </c>
      <c r="O6077" t="n">
        <v>0</v>
      </c>
      <c r="P6077" t="n">
        <v>0</v>
      </c>
      <c r="Q6077" t="n">
        <v>0</v>
      </c>
      <c r="R6077" t="n">
        <v>0</v>
      </c>
      <c r="S6077" t="n">
        <v>0</v>
      </c>
      <c r="T6077" t="n">
        <v>0</v>
      </c>
      <c r="U6077" t="n">
        <v>0</v>
      </c>
      <c r="V6077" s="2" t="inlineStr"/>
    </row>
    <row r="6078" ht="15" customHeight="1">
      <c r="A6078" t="inlineStr">
        <is>
          <t>A 17414-2026</t>
        </is>
      </c>
      <c r="B6078" t="inlineStr">
        <is>
          <t>avverkningsanmälan</t>
        </is>
      </c>
      <c r="C6078" t="inlineStr">
        <is>
          <t>Föryngringsavverkning</t>
        </is>
      </c>
      <c r="D6078" s="1" t="n">
        <v>46120</v>
      </c>
      <c r="E6078" s="1" t="n">
        <v>46323</v>
      </c>
      <c r="F6078" t="inlineStr">
        <is>
          <t>KALMAR LÄN</t>
        </is>
      </c>
      <c r="G6078" t="inlineStr">
        <is>
          <t>VÄSTERVIK</t>
        </is>
      </c>
      <c r="I6078" t="n">
        <v>2.2</v>
      </c>
      <c r="J6078" t="n">
        <v>0</v>
      </c>
      <c r="K6078" t="n">
        <v>0</v>
      </c>
      <c r="L6078" t="n">
        <v>0</v>
      </c>
      <c r="M6078" t="n">
        <v>0</v>
      </c>
      <c r="N6078" t="n">
        <v>0</v>
      </c>
      <c r="O6078" t="n">
        <v>0</v>
      </c>
      <c r="P6078" t="n">
        <v>0</v>
      </c>
      <c r="Q6078" t="n">
        <v>0</v>
      </c>
      <c r="R6078" t="n">
        <v>0</v>
      </c>
      <c r="S6078" t="n">
        <v>0</v>
      </c>
      <c r="T6078" t="n">
        <v>0</v>
      </c>
      <c r="U6078" t="n">
        <v>0</v>
      </c>
      <c r="V6078" s="2" t="inlineStr"/>
    </row>
    <row r="6079" ht="15" customHeight="1">
      <c r="A6079" t="inlineStr">
        <is>
          <t>A 26579-2026</t>
        </is>
      </c>
      <c r="B6079" t="inlineStr">
        <is>
          <t>avverkningsanmälan</t>
        </is>
      </c>
      <c r="C6079" t="inlineStr">
        <is>
          <t>Avverkning för annat ändamål</t>
        </is>
      </c>
      <c r="D6079" s="1" t="n">
        <v>46183</v>
      </c>
      <c r="E6079" s="1" t="n">
        <v>46323</v>
      </c>
      <c r="F6079" t="inlineStr">
        <is>
          <t>KALMAR LÄN</t>
        </is>
      </c>
      <c r="G6079" t="inlineStr">
        <is>
          <t>HULTSFRED</t>
        </is>
      </c>
      <c r="I6079" t="n">
        <v>23.6</v>
      </c>
      <c r="J6079" t="n">
        <v>0</v>
      </c>
      <c r="K6079" t="n">
        <v>0</v>
      </c>
      <c r="L6079" t="n">
        <v>0</v>
      </c>
      <c r="M6079" t="n">
        <v>0</v>
      </c>
      <c r="N6079" t="n">
        <v>0</v>
      </c>
      <c r="O6079" t="n">
        <v>0</v>
      </c>
      <c r="P6079" t="n">
        <v>0</v>
      </c>
      <c r="Q6079" t="n">
        <v>0</v>
      </c>
      <c r="R6079" t="n">
        <v>0</v>
      </c>
      <c r="S6079" t="n">
        <v>0</v>
      </c>
      <c r="T6079" t="n">
        <v>0</v>
      </c>
      <c r="U6079" t="n">
        <v>0</v>
      </c>
      <c r="V6079" s="2" t="inlineStr"/>
    </row>
    <row r="6080" ht="15" customHeight="1">
      <c r="A6080" t="inlineStr">
        <is>
          <t>A 32400-2025</t>
        </is>
      </c>
      <c r="B6080" t="inlineStr">
        <is>
          <t>avverkningsanmälan</t>
        </is>
      </c>
      <c r="C6080" t="inlineStr">
        <is>
          <t>Föryngringsavverkning</t>
        </is>
      </c>
      <c r="D6080" s="1" t="n">
        <v>45838</v>
      </c>
      <c r="E6080" s="1" t="n">
        <v>46323</v>
      </c>
      <c r="F6080" t="inlineStr">
        <is>
          <t>KALMAR LÄN</t>
        </is>
      </c>
      <c r="G6080" t="inlineStr">
        <is>
          <t>VÄSTERVIK</t>
        </is>
      </c>
      <c r="I6080" t="n">
        <v>0.6</v>
      </c>
      <c r="J6080" t="n">
        <v>0</v>
      </c>
      <c r="K6080" t="n">
        <v>0</v>
      </c>
      <c r="L6080" t="n">
        <v>0</v>
      </c>
      <c r="M6080" t="n">
        <v>0</v>
      </c>
      <c r="N6080" t="n">
        <v>0</v>
      </c>
      <c r="O6080" t="n">
        <v>0</v>
      </c>
      <c r="P6080" t="n">
        <v>0</v>
      </c>
      <c r="Q6080" t="n">
        <v>0</v>
      </c>
      <c r="R6080" t="n">
        <v>0</v>
      </c>
      <c r="S6080" t="n">
        <v>0</v>
      </c>
      <c r="T6080" t="n">
        <v>0</v>
      </c>
      <c r="U6080" t="n">
        <v>0</v>
      </c>
      <c r="V6080" s="2" t="inlineStr"/>
    </row>
    <row r="6081" ht="15" customHeight="1">
      <c r="A6081" t="inlineStr">
        <is>
          <t>A 30977-2025</t>
        </is>
      </c>
      <c r="B6081" t="inlineStr">
        <is>
          <t>avverkningsanmälan</t>
        </is>
      </c>
      <c r="C6081" t="inlineStr">
        <is>
          <t>Föryngringsavverkning</t>
        </is>
      </c>
      <c r="D6081" s="1" t="n">
        <v>45832</v>
      </c>
      <c r="E6081" s="1" t="n">
        <v>46323</v>
      </c>
      <c r="F6081" t="inlineStr">
        <is>
          <t>KALMAR LÄN</t>
        </is>
      </c>
      <c r="G6081" t="inlineStr">
        <is>
          <t>VIMMERBY</t>
        </is>
      </c>
      <c r="I6081" t="n">
        <v>0.6</v>
      </c>
      <c r="J6081" t="n">
        <v>0</v>
      </c>
      <c r="K6081" t="n">
        <v>0</v>
      </c>
      <c r="L6081" t="n">
        <v>0</v>
      </c>
      <c r="M6081" t="n">
        <v>0</v>
      </c>
      <c r="N6081" t="n">
        <v>0</v>
      </c>
      <c r="O6081" t="n">
        <v>0</v>
      </c>
      <c r="P6081" t="n">
        <v>0</v>
      </c>
      <c r="Q6081" t="n">
        <v>0</v>
      </c>
      <c r="R6081" t="n">
        <v>0</v>
      </c>
      <c r="S6081" t="n">
        <v>0</v>
      </c>
      <c r="T6081" t="n">
        <v>0</v>
      </c>
      <c r="U6081" t="n">
        <v>0</v>
      </c>
      <c r="V6081" s="2" t="inlineStr"/>
    </row>
    <row r="6082" ht="15" customHeight="1">
      <c r="A6082" t="inlineStr">
        <is>
          <t>A 32564-2025</t>
        </is>
      </c>
      <c r="B6082" t="inlineStr">
        <is>
          <t>avverkningsanmälan</t>
        </is>
      </c>
      <c r="C6082" t="inlineStr">
        <is>
          <t>Föryngringsavverkning</t>
        </is>
      </c>
      <c r="D6082" s="1" t="n">
        <v>45838</v>
      </c>
      <c r="E6082" s="1" t="n">
        <v>46323</v>
      </c>
      <c r="F6082" t="inlineStr">
        <is>
          <t>KALMAR LÄN</t>
        </is>
      </c>
      <c r="G6082" t="inlineStr">
        <is>
          <t>OSKARSHAMN</t>
        </is>
      </c>
      <c r="I6082" t="n">
        <v>0.6</v>
      </c>
      <c r="J6082" t="n">
        <v>0</v>
      </c>
      <c r="K6082" t="n">
        <v>0</v>
      </c>
      <c r="L6082" t="n">
        <v>0</v>
      </c>
      <c r="M6082" t="n">
        <v>0</v>
      </c>
      <c r="N6082" t="n">
        <v>0</v>
      </c>
      <c r="O6082" t="n">
        <v>0</v>
      </c>
      <c r="P6082" t="n">
        <v>0</v>
      </c>
      <c r="Q6082" t="n">
        <v>0</v>
      </c>
      <c r="R6082" t="n">
        <v>0</v>
      </c>
      <c r="S6082" t="n">
        <v>0</v>
      </c>
      <c r="T6082" t="n">
        <v>0</v>
      </c>
      <c r="U6082" t="n">
        <v>0</v>
      </c>
      <c r="V6082" s="2" t="inlineStr"/>
    </row>
    <row r="6083" ht="15" customHeight="1">
      <c r="A6083" t="inlineStr">
        <is>
          <t>A 44616-2026</t>
        </is>
      </c>
      <c r="B6083" t="inlineStr">
        <is>
          <t>avverkningsanmälan</t>
        </is>
      </c>
      <c r="C6083" t="inlineStr">
        <is>
          <t>Föryngringsavverkning</t>
        </is>
      </c>
      <c r="D6083" s="1" t="n">
        <v>46322</v>
      </c>
      <c r="E6083" s="1" t="n">
        <v>46323</v>
      </c>
      <c r="F6083" t="inlineStr">
        <is>
          <t>KALMAR LÄN</t>
        </is>
      </c>
      <c r="G6083" t="inlineStr">
        <is>
          <t>EMMABODA</t>
        </is>
      </c>
      <c r="I6083" t="n">
        <v>0.5</v>
      </c>
      <c r="J6083" t="n">
        <v>0</v>
      </c>
      <c r="K6083" t="n">
        <v>0</v>
      </c>
      <c r="L6083" t="n">
        <v>0</v>
      </c>
      <c r="M6083" t="n">
        <v>0</v>
      </c>
      <c r="N6083" t="n">
        <v>0</v>
      </c>
      <c r="O6083" t="n">
        <v>0</v>
      </c>
      <c r="P6083" t="n">
        <v>0</v>
      </c>
      <c r="Q6083" t="n">
        <v>0</v>
      </c>
      <c r="R6083" t="n">
        <v>0</v>
      </c>
      <c r="S6083" t="n">
        <v>0</v>
      </c>
      <c r="T6083" t="n">
        <v>0</v>
      </c>
      <c r="U6083" t="n">
        <v>0</v>
      </c>
      <c r="V6083" s="2" t="inlineStr"/>
    </row>
    <row r="6084" ht="15" customHeight="1">
      <c r="A6084" t="inlineStr">
        <is>
          <t>A 22234-2026</t>
        </is>
      </c>
      <c r="B6084" t="inlineStr">
        <is>
          <t>avverkningsanmälan</t>
        </is>
      </c>
      <c r="C6084" t="inlineStr">
        <is>
          <t>Föryngringsavverkning</t>
        </is>
      </c>
      <c r="D6084" s="1" t="n">
        <v>46153</v>
      </c>
      <c r="E6084" s="1" t="n">
        <v>46323</v>
      </c>
      <c r="F6084" t="inlineStr">
        <is>
          <t>KALMAR LÄN</t>
        </is>
      </c>
      <c r="G6084" t="inlineStr">
        <is>
          <t>HULTSFRED</t>
        </is>
      </c>
      <c r="I6084" t="n">
        <v>1.7</v>
      </c>
      <c r="J6084" t="n">
        <v>0</v>
      </c>
      <c r="K6084" t="n">
        <v>0</v>
      </c>
      <c r="L6084" t="n">
        <v>0</v>
      </c>
      <c r="M6084" t="n">
        <v>0</v>
      </c>
      <c r="N6084" t="n">
        <v>0</v>
      </c>
      <c r="O6084" t="n">
        <v>0</v>
      </c>
      <c r="P6084" t="n">
        <v>0</v>
      </c>
      <c r="Q6084" t="n">
        <v>0</v>
      </c>
      <c r="R6084" t="n">
        <v>0</v>
      </c>
      <c r="S6084" t="n">
        <v>0</v>
      </c>
      <c r="T6084" t="n">
        <v>0</v>
      </c>
      <c r="U6084" t="n">
        <v>0</v>
      </c>
      <c r="V6084" s="2" t="inlineStr"/>
    </row>
    <row r="6085" ht="15" customHeight="1">
      <c r="A6085" t="inlineStr">
        <is>
          <t>A 44572-2026</t>
        </is>
      </c>
      <c r="B6085" t="inlineStr">
        <is>
          <t>avverkningsanmälan</t>
        </is>
      </c>
      <c r="C6085" t="inlineStr">
        <is>
          <t>Föryngringsavverkning</t>
        </is>
      </c>
      <c r="D6085" s="1" t="n">
        <v>46317</v>
      </c>
      <c r="E6085" s="1" t="n">
        <v>46323</v>
      </c>
      <c r="F6085" t="inlineStr">
        <is>
          <t>KALMAR LÄN</t>
        </is>
      </c>
      <c r="G6085" t="inlineStr">
        <is>
          <t>VÄSTERVIK</t>
        </is>
      </c>
      <c r="I6085" t="n">
        <v>4.6</v>
      </c>
      <c r="J6085" t="n">
        <v>0</v>
      </c>
      <c r="K6085" t="n">
        <v>0</v>
      </c>
      <c r="L6085" t="n">
        <v>0</v>
      </c>
      <c r="M6085" t="n">
        <v>0</v>
      </c>
      <c r="N6085" t="n">
        <v>0</v>
      </c>
      <c r="O6085" t="n">
        <v>0</v>
      </c>
      <c r="P6085" t="n">
        <v>0</v>
      </c>
      <c r="Q6085" t="n">
        <v>0</v>
      </c>
      <c r="R6085" t="n">
        <v>0</v>
      </c>
      <c r="S6085" t="n">
        <v>0</v>
      </c>
      <c r="T6085" t="n">
        <v>0</v>
      </c>
      <c r="U6085" t="n">
        <v>0</v>
      </c>
      <c r="V6085" s="2" t="inlineStr"/>
    </row>
    <row r="6086" ht="15" customHeight="1">
      <c r="A6086" t="inlineStr">
        <is>
          <t>A 22087-2026</t>
        </is>
      </c>
      <c r="B6086" t="inlineStr">
        <is>
          <t>avverkningsanmälan</t>
        </is>
      </c>
      <c r="C6086" t="inlineStr">
        <is>
          <t>Föryngringsavverkning</t>
        </is>
      </c>
      <c r="D6086" s="1" t="n">
        <v>46153</v>
      </c>
      <c r="E6086" s="1" t="n">
        <v>46323</v>
      </c>
      <c r="F6086" t="inlineStr">
        <is>
          <t>KALMAR LÄN</t>
        </is>
      </c>
      <c r="G6086" t="inlineStr">
        <is>
          <t>NYBRO</t>
        </is>
      </c>
      <c r="H6086" t="inlineStr">
        <is>
          <t>Sveaskog</t>
        </is>
      </c>
      <c r="I6086" t="n">
        <v>1.2</v>
      </c>
      <c r="J6086" t="n">
        <v>0</v>
      </c>
      <c r="K6086" t="n">
        <v>0</v>
      </c>
      <c r="L6086" t="n">
        <v>0</v>
      </c>
      <c r="M6086" t="n">
        <v>0</v>
      </c>
      <c r="N6086" t="n">
        <v>0</v>
      </c>
      <c r="O6086" t="n">
        <v>0</v>
      </c>
      <c r="P6086" t="n">
        <v>0</v>
      </c>
      <c r="Q6086" t="n">
        <v>0</v>
      </c>
      <c r="R6086" t="n">
        <v>0</v>
      </c>
      <c r="S6086" t="n">
        <v>0</v>
      </c>
      <c r="T6086" t="n">
        <v>0</v>
      </c>
      <c r="U6086" t="n">
        <v>0</v>
      </c>
      <c r="V6086" s="2" t="inlineStr"/>
    </row>
    <row r="6087" ht="15" customHeight="1">
      <c r="A6087" t="inlineStr">
        <is>
          <t>A 37782-2026</t>
        </is>
      </c>
      <c r="B6087" t="inlineStr">
        <is>
          <t>avverkningsanmälan</t>
        </is>
      </c>
      <c r="C6087" t="inlineStr">
        <is>
          <t>Föryngringsavverkning</t>
        </is>
      </c>
      <c r="D6087" s="1" t="n">
        <v>46279</v>
      </c>
      <c r="E6087" s="1" t="n">
        <v>46323</v>
      </c>
      <c r="F6087" t="inlineStr">
        <is>
          <t>KALMAR LÄN</t>
        </is>
      </c>
      <c r="G6087" t="inlineStr">
        <is>
          <t>EMMABODA</t>
        </is>
      </c>
      <c r="H6087" t="inlineStr">
        <is>
          <t>Sveaskog</t>
        </is>
      </c>
      <c r="I6087" t="n">
        <v>2.1</v>
      </c>
      <c r="J6087" t="n">
        <v>0</v>
      </c>
      <c r="K6087" t="n">
        <v>0</v>
      </c>
      <c r="L6087" t="n">
        <v>0</v>
      </c>
      <c r="M6087" t="n">
        <v>0</v>
      </c>
      <c r="N6087" t="n">
        <v>0</v>
      </c>
      <c r="O6087" t="n">
        <v>0</v>
      </c>
      <c r="P6087" t="n">
        <v>0</v>
      </c>
      <c r="Q6087" t="n">
        <v>0</v>
      </c>
      <c r="R6087" t="n">
        <v>0</v>
      </c>
      <c r="S6087" t="n">
        <v>0</v>
      </c>
      <c r="T6087" t="n">
        <v>0</v>
      </c>
      <c r="U6087" t="n">
        <v>0</v>
      </c>
      <c r="V6087" s="2" t="inlineStr"/>
    </row>
    <row r="6088" ht="15" customHeight="1">
      <c r="A6088" t="inlineStr">
        <is>
          <t>A 37566-2026</t>
        </is>
      </c>
      <c r="B6088" t="inlineStr">
        <is>
          <t>avverkningsanmälan</t>
        </is>
      </c>
      <c r="C6088" t="inlineStr">
        <is>
          <t>Föryngringsavverkning</t>
        </is>
      </c>
      <c r="D6088" s="1" t="n">
        <v>46276</v>
      </c>
      <c r="E6088" s="1" t="n">
        <v>46323</v>
      </c>
      <c r="F6088" t="inlineStr">
        <is>
          <t>KALMAR LÄN</t>
        </is>
      </c>
      <c r="G6088" t="inlineStr">
        <is>
          <t>VIMMERBY</t>
        </is>
      </c>
      <c r="I6088" t="n">
        <v>0.7</v>
      </c>
      <c r="J6088" t="n">
        <v>0</v>
      </c>
      <c r="K6088" t="n">
        <v>0</v>
      </c>
      <c r="L6088" t="n">
        <v>0</v>
      </c>
      <c r="M6088" t="n">
        <v>0</v>
      </c>
      <c r="N6088" t="n">
        <v>0</v>
      </c>
      <c r="O6088" t="n">
        <v>0</v>
      </c>
      <c r="P6088" t="n">
        <v>0</v>
      </c>
      <c r="Q6088" t="n">
        <v>0</v>
      </c>
      <c r="R6088" t="n">
        <v>0</v>
      </c>
      <c r="S6088" t="n">
        <v>0</v>
      </c>
      <c r="T6088" t="n">
        <v>0</v>
      </c>
      <c r="U6088" t="n">
        <v>0</v>
      </c>
      <c r="V6088" s="2" t="inlineStr"/>
    </row>
    <row r="6089" ht="15" customHeight="1">
      <c r="A6089" t="inlineStr">
        <is>
          <t>A 37590-2026</t>
        </is>
      </c>
      <c r="B6089" t="inlineStr">
        <is>
          <t>avverkningsanmälan</t>
        </is>
      </c>
      <c r="C6089" t="inlineStr">
        <is>
          <t>Föryngringsavverkning</t>
        </is>
      </c>
      <c r="D6089" s="1" t="n">
        <v>46276</v>
      </c>
      <c r="E6089" s="1" t="n">
        <v>46323</v>
      </c>
      <c r="F6089" t="inlineStr">
        <is>
          <t>KALMAR LÄN</t>
        </is>
      </c>
      <c r="G6089" t="inlineStr">
        <is>
          <t>VIMMERBY</t>
        </is>
      </c>
      <c r="I6089" t="n">
        <v>0.8</v>
      </c>
      <c r="J6089" t="n">
        <v>0</v>
      </c>
      <c r="K6089" t="n">
        <v>0</v>
      </c>
      <c r="L6089" t="n">
        <v>0</v>
      </c>
      <c r="M6089" t="n">
        <v>0</v>
      </c>
      <c r="N6089" t="n">
        <v>0</v>
      </c>
      <c r="O6089" t="n">
        <v>0</v>
      </c>
      <c r="P6089" t="n">
        <v>0</v>
      </c>
      <c r="Q6089" t="n">
        <v>0</v>
      </c>
      <c r="R6089" t="n">
        <v>0</v>
      </c>
      <c r="S6089" t="n">
        <v>0</v>
      </c>
      <c r="T6089" t="n">
        <v>0</v>
      </c>
      <c r="U6089" t="n">
        <v>0</v>
      </c>
      <c r="V6089" s="2" t="inlineStr"/>
    </row>
    <row r="6090" ht="15" customHeight="1">
      <c r="A6090" t="inlineStr">
        <is>
          <t>A 37599-2026</t>
        </is>
      </c>
      <c r="B6090" t="inlineStr">
        <is>
          <t>avverkningsanmälan</t>
        </is>
      </c>
      <c r="C6090" t="inlineStr">
        <is>
          <t>Avverkning för annat ändamål</t>
        </is>
      </c>
      <c r="D6090" s="1" t="n">
        <v>46276</v>
      </c>
      <c r="E6090" s="1" t="n">
        <v>46323</v>
      </c>
      <c r="F6090" t="inlineStr">
        <is>
          <t>KALMAR LÄN</t>
        </is>
      </c>
      <c r="G6090" t="inlineStr">
        <is>
          <t>KALMAR</t>
        </is>
      </c>
      <c r="I6090" t="n">
        <v>0.4</v>
      </c>
      <c r="J6090" t="n">
        <v>0</v>
      </c>
      <c r="K6090" t="n">
        <v>0</v>
      </c>
      <c r="L6090" t="n">
        <v>0</v>
      </c>
      <c r="M6090" t="n">
        <v>0</v>
      </c>
      <c r="N6090" t="n">
        <v>0</v>
      </c>
      <c r="O6090" t="n">
        <v>0</v>
      </c>
      <c r="P6090" t="n">
        <v>0</v>
      </c>
      <c r="Q6090" t="n">
        <v>0</v>
      </c>
      <c r="R6090" t="n">
        <v>0</v>
      </c>
      <c r="S6090" t="n">
        <v>0</v>
      </c>
      <c r="T6090" t="n">
        <v>0</v>
      </c>
      <c r="U6090" t="n">
        <v>0</v>
      </c>
      <c r="V6090" s="2" t="inlineStr"/>
    </row>
    <row r="6091" ht="15" customHeight="1">
      <c r="A6091" t="inlineStr">
        <is>
          <t>A 22700-2025</t>
        </is>
      </c>
      <c r="B6091" t="inlineStr">
        <is>
          <t>avverkningsanmälan</t>
        </is>
      </c>
      <c r="C6091" t="inlineStr">
        <is>
          <t>Föryngringsavverkning</t>
        </is>
      </c>
      <c r="D6091" s="1" t="n">
        <v>45789</v>
      </c>
      <c r="E6091" s="1" t="n">
        <v>46323</v>
      </c>
      <c r="F6091" t="inlineStr">
        <is>
          <t>KALMAR LÄN</t>
        </is>
      </c>
      <c r="G6091" t="inlineStr">
        <is>
          <t>EMMABODA</t>
        </is>
      </c>
      <c r="I6091" t="n">
        <v>1</v>
      </c>
      <c r="J6091" t="n">
        <v>0</v>
      </c>
      <c r="K6091" t="n">
        <v>0</v>
      </c>
      <c r="L6091" t="n">
        <v>0</v>
      </c>
      <c r="M6091" t="n">
        <v>0</v>
      </c>
      <c r="N6091" t="n">
        <v>0</v>
      </c>
      <c r="O6091" t="n">
        <v>0</v>
      </c>
      <c r="P6091" t="n">
        <v>0</v>
      </c>
      <c r="Q6091" t="n">
        <v>0</v>
      </c>
      <c r="R6091" t="n">
        <v>0</v>
      </c>
      <c r="S6091" t="n">
        <v>0</v>
      </c>
      <c r="T6091" t="n">
        <v>0</v>
      </c>
      <c r="U6091" t="n">
        <v>0</v>
      </c>
      <c r="V6091" s="2" t="inlineStr"/>
    </row>
    <row r="6092" ht="15" customHeight="1">
      <c r="A6092" t="inlineStr">
        <is>
          <t>A 26111-2025</t>
        </is>
      </c>
      <c r="B6092" t="inlineStr">
        <is>
          <t>avverkningsanmälan</t>
        </is>
      </c>
      <c r="C6092" t="inlineStr">
        <is>
          <t>Föryngringsavverkning</t>
        </is>
      </c>
      <c r="D6092" s="1" t="n">
        <v>45805</v>
      </c>
      <c r="E6092" s="1" t="n">
        <v>46323</v>
      </c>
      <c r="F6092" t="inlineStr">
        <is>
          <t>KALMAR LÄN</t>
        </is>
      </c>
      <c r="G6092" t="inlineStr">
        <is>
          <t>EMMABODA</t>
        </is>
      </c>
      <c r="I6092" t="n">
        <v>12.5</v>
      </c>
      <c r="J6092" t="n">
        <v>0</v>
      </c>
      <c r="K6092" t="n">
        <v>0</v>
      </c>
      <c r="L6092" t="n">
        <v>0</v>
      </c>
      <c r="M6092" t="n">
        <v>0</v>
      </c>
      <c r="N6092" t="n">
        <v>0</v>
      </c>
      <c r="O6092" t="n">
        <v>0</v>
      </c>
      <c r="P6092" t="n">
        <v>0</v>
      </c>
      <c r="Q6092" t="n">
        <v>0</v>
      </c>
      <c r="R6092" t="n">
        <v>0</v>
      </c>
      <c r="S6092" t="n">
        <v>0</v>
      </c>
      <c r="T6092" t="n">
        <v>0</v>
      </c>
      <c r="U6092" t="n">
        <v>0</v>
      </c>
      <c r="V6092" s="2" t="inlineStr"/>
    </row>
    <row r="6093" ht="15" customHeight="1">
      <c r="A6093" t="inlineStr">
        <is>
          <t>A 33816-2025</t>
        </is>
      </c>
      <c r="B6093" t="inlineStr">
        <is>
          <t>avverkningsanmälan</t>
        </is>
      </c>
      <c r="C6093" t="inlineStr">
        <is>
          <t>Föryngringsavverkning</t>
        </is>
      </c>
      <c r="D6093" s="1" t="n">
        <v>45842</v>
      </c>
      <c r="E6093" s="1" t="n">
        <v>46323</v>
      </c>
      <c r="F6093" t="inlineStr">
        <is>
          <t>KALMAR LÄN</t>
        </is>
      </c>
      <c r="G6093" t="inlineStr">
        <is>
          <t>KALMAR</t>
        </is>
      </c>
      <c r="I6093" t="n">
        <v>0.5</v>
      </c>
      <c r="J6093" t="n">
        <v>0</v>
      </c>
      <c r="K6093" t="n">
        <v>0</v>
      </c>
      <c r="L6093" t="n">
        <v>0</v>
      </c>
      <c r="M6093" t="n">
        <v>0</v>
      </c>
      <c r="N6093" t="n">
        <v>0</v>
      </c>
      <c r="O6093" t="n">
        <v>0</v>
      </c>
      <c r="P6093" t="n">
        <v>0</v>
      </c>
      <c r="Q6093" t="n">
        <v>0</v>
      </c>
      <c r="R6093" t="n">
        <v>0</v>
      </c>
      <c r="S6093" t="n">
        <v>0</v>
      </c>
      <c r="T6093" t="n">
        <v>0</v>
      </c>
      <c r="U6093" t="n">
        <v>0</v>
      </c>
      <c r="V6093" s="2" t="inlineStr"/>
    </row>
    <row r="6094" ht="15" customHeight="1">
      <c r="A6094" t="inlineStr">
        <is>
          <t>A 37708-2026</t>
        </is>
      </c>
      <c r="B6094" t="inlineStr">
        <is>
          <t>avverkningsanmälan</t>
        </is>
      </c>
      <c r="C6094" t="inlineStr">
        <is>
          <t>Föryngringsavverkning</t>
        </is>
      </c>
      <c r="D6094" s="1" t="n">
        <v>46279</v>
      </c>
      <c r="E6094" s="1" t="n">
        <v>46323</v>
      </c>
      <c r="F6094" t="inlineStr">
        <is>
          <t>KALMAR LÄN</t>
        </is>
      </c>
      <c r="G6094" t="inlineStr">
        <is>
          <t>NYBRO</t>
        </is>
      </c>
      <c r="I6094" t="n">
        <v>5.7</v>
      </c>
      <c r="J6094" t="n">
        <v>0</v>
      </c>
      <c r="K6094" t="n">
        <v>0</v>
      </c>
      <c r="L6094" t="n">
        <v>0</v>
      </c>
      <c r="M6094" t="n">
        <v>0</v>
      </c>
      <c r="N6094" t="n">
        <v>0</v>
      </c>
      <c r="O6094" t="n">
        <v>0</v>
      </c>
      <c r="P6094" t="n">
        <v>0</v>
      </c>
      <c r="Q6094" t="n">
        <v>0</v>
      </c>
      <c r="R6094" t="n">
        <v>0</v>
      </c>
      <c r="S6094" t="n">
        <v>0</v>
      </c>
      <c r="T6094" t="n">
        <v>0</v>
      </c>
      <c r="U6094" t="n">
        <v>0</v>
      </c>
      <c r="V6094" s="2" t="inlineStr"/>
    </row>
    <row r="6095" ht="15" customHeight="1">
      <c r="A6095" t="inlineStr">
        <is>
          <t>A 37717-2026</t>
        </is>
      </c>
      <c r="B6095" t="inlineStr">
        <is>
          <t>avverkningsanmälan</t>
        </is>
      </c>
      <c r="C6095" t="inlineStr">
        <is>
          <t>Föryngringsavverkning</t>
        </is>
      </c>
      <c r="D6095" s="1" t="n">
        <v>46279</v>
      </c>
      <c r="E6095" s="1" t="n">
        <v>46323</v>
      </c>
      <c r="F6095" t="inlineStr">
        <is>
          <t>KALMAR LÄN</t>
        </is>
      </c>
      <c r="G6095" t="inlineStr">
        <is>
          <t>EMMABODA</t>
        </is>
      </c>
      <c r="H6095" t="inlineStr">
        <is>
          <t>Sveaskog</t>
        </is>
      </c>
      <c r="I6095" t="n">
        <v>2.1</v>
      </c>
      <c r="J6095" t="n">
        <v>0</v>
      </c>
      <c r="K6095" t="n">
        <v>0</v>
      </c>
      <c r="L6095" t="n">
        <v>0</v>
      </c>
      <c r="M6095" t="n">
        <v>0</v>
      </c>
      <c r="N6095" t="n">
        <v>0</v>
      </c>
      <c r="O6095" t="n">
        <v>0</v>
      </c>
      <c r="P6095" t="n">
        <v>0</v>
      </c>
      <c r="Q6095" t="n">
        <v>0</v>
      </c>
      <c r="R6095" t="n">
        <v>0</v>
      </c>
      <c r="S6095" t="n">
        <v>0</v>
      </c>
      <c r="T6095" t="n">
        <v>0</v>
      </c>
      <c r="U6095" t="n">
        <v>0</v>
      </c>
      <c r="V6095" s="2" t="inlineStr"/>
    </row>
    <row r="6096" ht="15" customHeight="1">
      <c r="A6096" t="inlineStr">
        <is>
          <t>A 37680-2026</t>
        </is>
      </c>
      <c r="B6096" t="inlineStr">
        <is>
          <t>avverkningsanmälan</t>
        </is>
      </c>
      <c r="C6096" t="inlineStr">
        <is>
          <t>Föryngringsavverkning</t>
        </is>
      </c>
      <c r="D6096" s="1" t="n">
        <v>46278</v>
      </c>
      <c r="E6096" s="1" t="n">
        <v>46323</v>
      </c>
      <c r="F6096" t="inlineStr">
        <is>
          <t>KALMAR LÄN</t>
        </is>
      </c>
      <c r="G6096" t="inlineStr">
        <is>
          <t>TORSÅS</t>
        </is>
      </c>
      <c r="I6096" t="n">
        <v>1.2</v>
      </c>
      <c r="J6096" t="n">
        <v>0</v>
      </c>
      <c r="K6096" t="n">
        <v>0</v>
      </c>
      <c r="L6096" t="n">
        <v>0</v>
      </c>
      <c r="M6096" t="n">
        <v>0</v>
      </c>
      <c r="N6096" t="n">
        <v>0</v>
      </c>
      <c r="O6096" t="n">
        <v>0</v>
      </c>
      <c r="P6096" t="n">
        <v>0</v>
      </c>
      <c r="Q6096" t="n">
        <v>0</v>
      </c>
      <c r="R6096" t="n">
        <v>0</v>
      </c>
      <c r="S6096" t="n">
        <v>0</v>
      </c>
      <c r="T6096" t="n">
        <v>0</v>
      </c>
      <c r="U6096" t="n">
        <v>0</v>
      </c>
      <c r="V6096" s="2" t="inlineStr"/>
    </row>
    <row r="6097" ht="15" customHeight="1">
      <c r="A6097" t="inlineStr">
        <is>
          <t>A 22232-2026</t>
        </is>
      </c>
      <c r="B6097" t="inlineStr">
        <is>
          <t>avverkningsanmälan</t>
        </is>
      </c>
      <c r="C6097" t="inlineStr">
        <is>
          <t>Föryngringsavverkning</t>
        </is>
      </c>
      <c r="D6097" s="1" t="n">
        <v>46153</v>
      </c>
      <c r="E6097" s="1" t="n">
        <v>46323</v>
      </c>
      <c r="F6097" t="inlineStr">
        <is>
          <t>KALMAR LÄN</t>
        </is>
      </c>
      <c r="G6097" t="inlineStr">
        <is>
          <t>HULTSFRED</t>
        </is>
      </c>
      <c r="I6097" t="n">
        <v>1.5</v>
      </c>
      <c r="J6097" t="n">
        <v>0</v>
      </c>
      <c r="K6097" t="n">
        <v>0</v>
      </c>
      <c r="L6097" t="n">
        <v>0</v>
      </c>
      <c r="M6097" t="n">
        <v>0</v>
      </c>
      <c r="N6097" t="n">
        <v>0</v>
      </c>
      <c r="O6097" t="n">
        <v>0</v>
      </c>
      <c r="P6097" t="n">
        <v>0</v>
      </c>
      <c r="Q6097" t="n">
        <v>0</v>
      </c>
      <c r="R6097" t="n">
        <v>0</v>
      </c>
      <c r="S6097" t="n">
        <v>0</v>
      </c>
      <c r="T6097" t="n">
        <v>0</v>
      </c>
      <c r="U6097" t="n">
        <v>0</v>
      </c>
      <c r="V6097" s="2" t="inlineStr"/>
    </row>
    <row r="6098" ht="15" customHeight="1">
      <c r="A6098" t="inlineStr">
        <is>
          <t>A 42030-2024</t>
        </is>
      </c>
      <c r="B6098" t="inlineStr">
        <is>
          <t>avverkningsanmälan</t>
        </is>
      </c>
      <c r="C6098" t="inlineStr">
        <is>
          <t>Föryngringsavverkning</t>
        </is>
      </c>
      <c r="D6098" s="1" t="n">
        <v>45561</v>
      </c>
      <c r="E6098" s="1" t="n">
        <v>46323</v>
      </c>
      <c r="F6098" t="inlineStr">
        <is>
          <t>KALMAR LÄN</t>
        </is>
      </c>
      <c r="G6098" t="inlineStr">
        <is>
          <t>NYBRO</t>
        </is>
      </c>
      <c r="H6098" t="inlineStr">
        <is>
          <t>Kyrkan</t>
        </is>
      </c>
      <c r="I6098" t="n">
        <v>6.8</v>
      </c>
      <c r="J6098" t="n">
        <v>0</v>
      </c>
      <c r="K6098" t="n">
        <v>0</v>
      </c>
      <c r="L6098" t="n">
        <v>0</v>
      </c>
      <c r="M6098" t="n">
        <v>0</v>
      </c>
      <c r="N6098" t="n">
        <v>0</v>
      </c>
      <c r="O6098" t="n">
        <v>0</v>
      </c>
      <c r="P6098" t="n">
        <v>0</v>
      </c>
      <c r="Q6098" t="n">
        <v>0</v>
      </c>
      <c r="R6098" t="n">
        <v>0</v>
      </c>
      <c r="S6098" t="n">
        <v>0</v>
      </c>
      <c r="T6098" t="n">
        <v>0</v>
      </c>
      <c r="U6098" t="n">
        <v>0</v>
      </c>
      <c r="V6098" s="2" t="inlineStr"/>
    </row>
    <row r="6099" ht="15" customHeight="1">
      <c r="A6099" t="inlineStr">
        <is>
          <t>A 44484-2025</t>
        </is>
      </c>
      <c r="B6099" t="inlineStr">
        <is>
          <t>avverkningsanmälan</t>
        </is>
      </c>
      <c r="C6099" t="inlineStr">
        <is>
          <t>Föryngringsavverkning</t>
        </is>
      </c>
      <c r="D6099" s="1" t="n">
        <v>45916</v>
      </c>
      <c r="E6099" s="1" t="n">
        <v>46323</v>
      </c>
      <c r="F6099" t="inlineStr">
        <is>
          <t>KALMAR LÄN</t>
        </is>
      </c>
      <c r="G6099" t="inlineStr">
        <is>
          <t>TORSÅS</t>
        </is>
      </c>
      <c r="I6099" t="n">
        <v>1.6</v>
      </c>
      <c r="J6099" t="n">
        <v>0</v>
      </c>
      <c r="K6099" t="n">
        <v>0</v>
      </c>
      <c r="L6099" t="n">
        <v>0</v>
      </c>
      <c r="M6099" t="n">
        <v>0</v>
      </c>
      <c r="N6099" t="n">
        <v>0</v>
      </c>
      <c r="O6099" t="n">
        <v>0</v>
      </c>
      <c r="P6099" t="n">
        <v>0</v>
      </c>
      <c r="Q6099" t="n">
        <v>0</v>
      </c>
      <c r="R6099" t="n">
        <v>0</v>
      </c>
      <c r="S6099" t="n">
        <v>0</v>
      </c>
      <c r="T6099" t="n">
        <v>0</v>
      </c>
      <c r="U6099" t="n">
        <v>0</v>
      </c>
      <c r="V6099" s="2" t="inlineStr"/>
    </row>
    <row r="6100" ht="15" customHeight="1">
      <c r="A6100" t="inlineStr">
        <is>
          <t>A 33780-2025</t>
        </is>
      </c>
      <c r="B6100" t="inlineStr">
        <is>
          <t>avverkningsanmälan</t>
        </is>
      </c>
      <c r="C6100" t="inlineStr">
        <is>
          <t>Avverkning för att bevara och utveckla /försöksver</t>
        </is>
      </c>
      <c r="D6100" s="1" t="n">
        <v>45842</v>
      </c>
      <c r="E6100" s="1" t="n">
        <v>46323</v>
      </c>
      <c r="F6100" t="inlineStr">
        <is>
          <t>KALMAR LÄN</t>
        </is>
      </c>
      <c r="G6100" t="inlineStr">
        <is>
          <t>KALMAR</t>
        </is>
      </c>
      <c r="I6100" t="n">
        <v>0.6</v>
      </c>
      <c r="J6100" t="n">
        <v>0</v>
      </c>
      <c r="K6100" t="n">
        <v>0</v>
      </c>
      <c r="L6100" t="n">
        <v>0</v>
      </c>
      <c r="M6100" t="n">
        <v>0</v>
      </c>
      <c r="N6100" t="n">
        <v>0</v>
      </c>
      <c r="O6100" t="n">
        <v>0</v>
      </c>
      <c r="P6100" t="n">
        <v>0</v>
      </c>
      <c r="Q6100" t="n">
        <v>0</v>
      </c>
      <c r="R6100" t="n">
        <v>0</v>
      </c>
      <c r="S6100" t="n">
        <v>0</v>
      </c>
      <c r="T6100" t="n">
        <v>0</v>
      </c>
      <c r="U6100" t="n">
        <v>0</v>
      </c>
      <c r="V6100" s="2" t="inlineStr"/>
    </row>
    <row r="6101" ht="15" customHeight="1">
      <c r="A6101" t="inlineStr">
        <is>
          <t>A 54249-2024</t>
        </is>
      </c>
      <c r="B6101" t="inlineStr">
        <is>
          <t>avverkningsanmälan</t>
        </is>
      </c>
      <c r="C6101" t="inlineStr">
        <is>
          <t>Föryngringsavverkning</t>
        </is>
      </c>
      <c r="D6101" s="1" t="n">
        <v>45616</v>
      </c>
      <c r="E6101" s="1" t="n">
        <v>46323</v>
      </c>
      <c r="F6101" t="inlineStr">
        <is>
          <t>KALMAR LÄN</t>
        </is>
      </c>
      <c r="G6101" t="inlineStr">
        <is>
          <t>NYBRO</t>
        </is>
      </c>
      <c r="I6101" t="n">
        <v>2.9</v>
      </c>
      <c r="J6101" t="n">
        <v>0</v>
      </c>
      <c r="K6101" t="n">
        <v>0</v>
      </c>
      <c r="L6101" t="n">
        <v>0</v>
      </c>
      <c r="M6101" t="n">
        <v>0</v>
      </c>
      <c r="N6101" t="n">
        <v>0</v>
      </c>
      <c r="O6101" t="n">
        <v>0</v>
      </c>
      <c r="P6101" t="n">
        <v>0</v>
      </c>
      <c r="Q6101" t="n">
        <v>0</v>
      </c>
      <c r="R6101" t="n">
        <v>0</v>
      </c>
      <c r="S6101" t="n">
        <v>0</v>
      </c>
      <c r="T6101" t="n">
        <v>0</v>
      </c>
      <c r="U6101" t="n">
        <v>0</v>
      </c>
      <c r="V6101" s="2" t="inlineStr"/>
    </row>
    <row r="6102" ht="15" customHeight="1">
      <c r="A6102" t="inlineStr">
        <is>
          <t>A 23024-2025</t>
        </is>
      </c>
      <c r="B6102" t="inlineStr">
        <is>
          <t>avverkningsanmälan</t>
        </is>
      </c>
      <c r="C6102" t="inlineStr">
        <is>
          <t>Föryngringsavverkning</t>
        </is>
      </c>
      <c r="D6102" s="1" t="n">
        <v>45790</v>
      </c>
      <c r="E6102" s="1" t="n">
        <v>46323</v>
      </c>
      <c r="F6102" t="inlineStr">
        <is>
          <t>KALMAR LÄN</t>
        </is>
      </c>
      <c r="G6102" t="inlineStr">
        <is>
          <t>VÄSTERVIK</t>
        </is>
      </c>
      <c r="I6102" t="n">
        <v>1.7</v>
      </c>
      <c r="J6102" t="n">
        <v>0</v>
      </c>
      <c r="K6102" t="n">
        <v>0</v>
      </c>
      <c r="L6102" t="n">
        <v>0</v>
      </c>
      <c r="M6102" t="n">
        <v>0</v>
      </c>
      <c r="N6102" t="n">
        <v>0</v>
      </c>
      <c r="O6102" t="n">
        <v>0</v>
      </c>
      <c r="P6102" t="n">
        <v>0</v>
      </c>
      <c r="Q6102" t="n">
        <v>0</v>
      </c>
      <c r="R6102" t="n">
        <v>0</v>
      </c>
      <c r="S6102" t="n">
        <v>0</v>
      </c>
      <c r="T6102" t="n">
        <v>0</v>
      </c>
      <c r="U6102" t="n">
        <v>0</v>
      </c>
      <c r="V6102" s="2" t="inlineStr"/>
    </row>
    <row r="6103" ht="15" customHeight="1">
      <c r="A6103" t="inlineStr">
        <is>
          <t>A 55604-2024</t>
        </is>
      </c>
      <c r="B6103" t="inlineStr">
        <is>
          <t>avverkningsanmälan</t>
        </is>
      </c>
      <c r="C6103" t="inlineStr">
        <is>
          <t>Föryngringsavverkning</t>
        </is>
      </c>
      <c r="D6103" s="1" t="n">
        <v>45621</v>
      </c>
      <c r="E6103" s="1" t="n">
        <v>46323</v>
      </c>
      <c r="F6103" t="inlineStr">
        <is>
          <t>KALMAR LÄN</t>
        </is>
      </c>
      <c r="G6103" t="inlineStr">
        <is>
          <t>EMMABODA</t>
        </is>
      </c>
      <c r="I6103" t="n">
        <v>2.4</v>
      </c>
      <c r="J6103" t="n">
        <v>0</v>
      </c>
      <c r="K6103" t="n">
        <v>0</v>
      </c>
      <c r="L6103" t="n">
        <v>0</v>
      </c>
      <c r="M6103" t="n">
        <v>0</v>
      </c>
      <c r="N6103" t="n">
        <v>0</v>
      </c>
      <c r="O6103" t="n">
        <v>0</v>
      </c>
      <c r="P6103" t="n">
        <v>0</v>
      </c>
      <c r="Q6103" t="n">
        <v>0</v>
      </c>
      <c r="R6103" t="n">
        <v>0</v>
      </c>
      <c r="S6103" t="n">
        <v>0</v>
      </c>
      <c r="T6103" t="n">
        <v>0</v>
      </c>
      <c r="U6103" t="n">
        <v>0</v>
      </c>
      <c r="V6103" s="2" t="inlineStr"/>
    </row>
    <row r="6104" ht="15" customHeight="1">
      <c r="A6104" t="inlineStr">
        <is>
          <t>A 28702-2025</t>
        </is>
      </c>
      <c r="B6104" t="inlineStr">
        <is>
          <t>avverkningsanmälan</t>
        </is>
      </c>
      <c r="C6104" t="inlineStr">
        <is>
          <t>Föryngringsavverkning</t>
        </is>
      </c>
      <c r="D6104" s="1" t="n">
        <v>45820</v>
      </c>
      <c r="E6104" s="1" t="n">
        <v>46323</v>
      </c>
      <c r="F6104" t="inlineStr">
        <is>
          <t>KALMAR LÄN</t>
        </is>
      </c>
      <c r="G6104" t="inlineStr">
        <is>
          <t>VIMMERBY</t>
        </is>
      </c>
      <c r="I6104" t="n">
        <v>2.1</v>
      </c>
      <c r="J6104" t="n">
        <v>0</v>
      </c>
      <c r="K6104" t="n">
        <v>0</v>
      </c>
      <c r="L6104" t="n">
        <v>0</v>
      </c>
      <c r="M6104" t="n">
        <v>0</v>
      </c>
      <c r="N6104" t="n">
        <v>0</v>
      </c>
      <c r="O6104" t="n">
        <v>0</v>
      </c>
      <c r="P6104" t="n">
        <v>0</v>
      </c>
      <c r="Q6104" t="n">
        <v>0</v>
      </c>
      <c r="R6104" t="n">
        <v>0</v>
      </c>
      <c r="S6104" t="n">
        <v>0</v>
      </c>
      <c r="T6104" t="n">
        <v>0</v>
      </c>
      <c r="U6104" t="n">
        <v>0</v>
      </c>
      <c r="V6104" s="2" t="inlineStr"/>
    </row>
    <row r="6105" ht="15" customHeight="1">
      <c r="A6105" t="inlineStr">
        <is>
          <t>A 34350-2025</t>
        </is>
      </c>
      <c r="B6105" t="inlineStr">
        <is>
          <t>avverkningsanmälan</t>
        </is>
      </c>
      <c r="C6105" t="inlineStr">
        <is>
          <t>Föryngringsavverkning</t>
        </is>
      </c>
      <c r="D6105" s="1" t="n">
        <v>45846</v>
      </c>
      <c r="E6105" s="1" t="n">
        <v>46323</v>
      </c>
      <c r="F6105" t="inlineStr">
        <is>
          <t>KALMAR LÄN</t>
        </is>
      </c>
      <c r="G6105" t="inlineStr">
        <is>
          <t>NYBRO</t>
        </is>
      </c>
      <c r="I6105" t="n">
        <v>2.5</v>
      </c>
      <c r="J6105" t="n">
        <v>0</v>
      </c>
      <c r="K6105" t="n">
        <v>0</v>
      </c>
      <c r="L6105" t="n">
        <v>0</v>
      </c>
      <c r="M6105" t="n">
        <v>0</v>
      </c>
      <c r="N6105" t="n">
        <v>0</v>
      </c>
      <c r="O6105" t="n">
        <v>0</v>
      </c>
      <c r="P6105" t="n">
        <v>0</v>
      </c>
      <c r="Q6105" t="n">
        <v>0</v>
      </c>
      <c r="R6105" t="n">
        <v>0</v>
      </c>
      <c r="S6105" t="n">
        <v>0</v>
      </c>
      <c r="T6105" t="n">
        <v>0</v>
      </c>
      <c r="U6105" t="n">
        <v>0</v>
      </c>
      <c r="V6105" s="2" t="inlineStr"/>
    </row>
    <row r="6106" ht="15" customHeight="1">
      <c r="A6106" t="inlineStr">
        <is>
          <t>A 33990-2025</t>
        </is>
      </c>
      <c r="B6106" t="inlineStr">
        <is>
          <t>avverkningsanmälan</t>
        </is>
      </c>
      <c r="C6106" t="inlineStr">
        <is>
          <t>Föryngringsavverkning</t>
        </is>
      </c>
      <c r="D6106" s="1" t="n">
        <v>45843</v>
      </c>
      <c r="E6106" s="1" t="n">
        <v>46323</v>
      </c>
      <c r="F6106" t="inlineStr">
        <is>
          <t>KALMAR LÄN</t>
        </is>
      </c>
      <c r="G6106" t="inlineStr">
        <is>
          <t>HULTSFRED</t>
        </is>
      </c>
      <c r="I6106" t="n">
        <v>0.9</v>
      </c>
      <c r="J6106" t="n">
        <v>0</v>
      </c>
      <c r="K6106" t="n">
        <v>0</v>
      </c>
      <c r="L6106" t="n">
        <v>0</v>
      </c>
      <c r="M6106" t="n">
        <v>0</v>
      </c>
      <c r="N6106" t="n">
        <v>0</v>
      </c>
      <c r="O6106" t="n">
        <v>0</v>
      </c>
      <c r="P6106" t="n">
        <v>0</v>
      </c>
      <c r="Q6106" t="n">
        <v>0</v>
      </c>
      <c r="R6106" t="n">
        <v>0</v>
      </c>
      <c r="S6106" t="n">
        <v>0</v>
      </c>
      <c r="T6106" t="n">
        <v>0</v>
      </c>
      <c r="U6106" t="n">
        <v>0</v>
      </c>
      <c r="V6106" s="2" t="inlineStr"/>
    </row>
    <row r="6107" ht="15" customHeight="1">
      <c r="A6107" t="inlineStr">
        <is>
          <t>A 27930-2025</t>
        </is>
      </c>
      <c r="B6107" t="inlineStr">
        <is>
          <t>avverkningsanmälan</t>
        </is>
      </c>
      <c r="C6107" t="inlineStr">
        <is>
          <t>Föryngringsavverkning</t>
        </is>
      </c>
      <c r="D6107" s="1" t="n">
        <v>45817</v>
      </c>
      <c r="E6107" s="1" t="n">
        <v>46323</v>
      </c>
      <c r="F6107" t="inlineStr">
        <is>
          <t>KALMAR LÄN</t>
        </is>
      </c>
      <c r="G6107" t="inlineStr">
        <is>
          <t>NYBRO</t>
        </is>
      </c>
      <c r="I6107" t="n">
        <v>1.5</v>
      </c>
      <c r="J6107" t="n">
        <v>0</v>
      </c>
      <c r="K6107" t="n">
        <v>0</v>
      </c>
      <c r="L6107" t="n">
        <v>0</v>
      </c>
      <c r="M6107" t="n">
        <v>0</v>
      </c>
      <c r="N6107" t="n">
        <v>0</v>
      </c>
      <c r="O6107" t="n">
        <v>0</v>
      </c>
      <c r="P6107" t="n">
        <v>0</v>
      </c>
      <c r="Q6107" t="n">
        <v>0</v>
      </c>
      <c r="R6107" t="n">
        <v>0</v>
      </c>
      <c r="S6107" t="n">
        <v>0</v>
      </c>
      <c r="T6107" t="n">
        <v>0</v>
      </c>
      <c r="U6107" t="n">
        <v>0</v>
      </c>
      <c r="V6107" s="2" t="inlineStr"/>
    </row>
    <row r="6108" ht="15" customHeight="1">
      <c r="A6108" t="inlineStr">
        <is>
          <t>A 37721-2026</t>
        </is>
      </c>
      <c r="B6108" t="inlineStr">
        <is>
          <t>avverkningsanmälan</t>
        </is>
      </c>
      <c r="C6108" t="inlineStr">
        <is>
          <t>Föryngringsavverkning</t>
        </is>
      </c>
      <c r="D6108" s="1" t="n">
        <v>46279</v>
      </c>
      <c r="E6108" s="1" t="n">
        <v>46323</v>
      </c>
      <c r="F6108" t="inlineStr">
        <is>
          <t>KALMAR LÄN</t>
        </is>
      </c>
      <c r="G6108" t="inlineStr">
        <is>
          <t>EMMABODA</t>
        </is>
      </c>
      <c r="H6108" t="inlineStr">
        <is>
          <t>Sveaskog</t>
        </is>
      </c>
      <c r="I6108" t="n">
        <v>4.2</v>
      </c>
      <c r="J6108" t="n">
        <v>0</v>
      </c>
      <c r="K6108" t="n">
        <v>0</v>
      </c>
      <c r="L6108" t="n">
        <v>0</v>
      </c>
      <c r="M6108" t="n">
        <v>0</v>
      </c>
      <c r="N6108" t="n">
        <v>0</v>
      </c>
      <c r="O6108" t="n">
        <v>0</v>
      </c>
      <c r="P6108" t="n">
        <v>0</v>
      </c>
      <c r="Q6108" t="n">
        <v>0</v>
      </c>
      <c r="R6108" t="n">
        <v>0</v>
      </c>
      <c r="S6108" t="n">
        <v>0</v>
      </c>
      <c r="T6108" t="n">
        <v>0</v>
      </c>
      <c r="U6108" t="n">
        <v>0</v>
      </c>
      <c r="V6108" s="2" t="inlineStr"/>
    </row>
    <row r="6109" ht="15" customHeight="1">
      <c r="A6109" t="inlineStr">
        <is>
          <t>A 44719-2026</t>
        </is>
      </c>
      <c r="B6109" t="inlineStr">
        <is>
          <t>avverkningsanmälan</t>
        </is>
      </c>
      <c r="C6109" t="inlineStr">
        <is>
          <t>Föryngringsavverkning</t>
        </is>
      </c>
      <c r="D6109" s="1" t="n">
        <v>46322</v>
      </c>
      <c r="E6109" s="1" t="n">
        <v>46323</v>
      </c>
      <c r="F6109" t="inlineStr">
        <is>
          <t>KALMAR LÄN</t>
        </is>
      </c>
      <c r="G6109" t="inlineStr">
        <is>
          <t>OSKARSHAMN</t>
        </is>
      </c>
      <c r="I6109" t="n">
        <v>2.7</v>
      </c>
      <c r="J6109" t="n">
        <v>0</v>
      </c>
      <c r="K6109" t="n">
        <v>0</v>
      </c>
      <c r="L6109" t="n">
        <v>0</v>
      </c>
      <c r="M6109" t="n">
        <v>0</v>
      </c>
      <c r="N6109" t="n">
        <v>0</v>
      </c>
      <c r="O6109" t="n">
        <v>0</v>
      </c>
      <c r="P6109" t="n">
        <v>0</v>
      </c>
      <c r="Q6109" t="n">
        <v>0</v>
      </c>
      <c r="R6109" t="n">
        <v>0</v>
      </c>
      <c r="S6109" t="n">
        <v>0</v>
      </c>
      <c r="T6109" t="n">
        <v>0</v>
      </c>
      <c r="U6109" t="n">
        <v>0</v>
      </c>
      <c r="V6109" s="2" t="inlineStr"/>
    </row>
    <row r="6110" ht="15" customHeight="1">
      <c r="A6110" t="inlineStr">
        <is>
          <t>A 13836-2024</t>
        </is>
      </c>
      <c r="B6110" t="inlineStr">
        <is>
          <t>avverkningsanmälan</t>
        </is>
      </c>
      <c r="C6110" t="inlineStr">
        <is>
          <t>Föryngringsavverkning</t>
        </is>
      </c>
      <c r="D6110" s="1" t="n">
        <v>45391</v>
      </c>
      <c r="E6110" s="1" t="n">
        <v>46323</v>
      </c>
      <c r="F6110" t="inlineStr">
        <is>
          <t>KALMAR LÄN</t>
        </is>
      </c>
      <c r="G6110" t="inlineStr">
        <is>
          <t>VÄSTERVIK</t>
        </is>
      </c>
      <c r="H6110" t="inlineStr">
        <is>
          <t>Sveaskog</t>
        </is>
      </c>
      <c r="I6110" t="n">
        <v>2.6</v>
      </c>
      <c r="J6110" t="n">
        <v>0</v>
      </c>
      <c r="K6110" t="n">
        <v>0</v>
      </c>
      <c r="L6110" t="n">
        <v>0</v>
      </c>
      <c r="M6110" t="n">
        <v>0</v>
      </c>
      <c r="N6110" t="n">
        <v>0</v>
      </c>
      <c r="O6110" t="n">
        <v>0</v>
      </c>
      <c r="P6110" t="n">
        <v>0</v>
      </c>
      <c r="Q6110" t="n">
        <v>0</v>
      </c>
      <c r="R6110" t="n">
        <v>0</v>
      </c>
      <c r="S6110" t="n">
        <v>0</v>
      </c>
      <c r="T6110" t="n">
        <v>0</v>
      </c>
      <c r="U6110" t="n">
        <v>0</v>
      </c>
      <c r="V6110" s="2" t="inlineStr"/>
    </row>
    <row r="6111" ht="15" customHeight="1">
      <c r="A6111" t="inlineStr">
        <is>
          <t>A 9262-2026</t>
        </is>
      </c>
      <c r="B6111" t="inlineStr">
        <is>
          <t>avverkningsanmälan</t>
        </is>
      </c>
      <c r="C6111" t="inlineStr">
        <is>
          <t>Föryngringsavverkning</t>
        </is>
      </c>
      <c r="D6111" s="1" t="n">
        <v>46069</v>
      </c>
      <c r="E6111" s="1" t="n">
        <v>46323</v>
      </c>
      <c r="F6111" t="inlineStr">
        <is>
          <t>KALMAR LÄN</t>
        </is>
      </c>
      <c r="G6111" t="inlineStr">
        <is>
          <t>EMMABODA</t>
        </is>
      </c>
      <c r="H6111" t="inlineStr">
        <is>
          <t>Kyrkan</t>
        </is>
      </c>
      <c r="I6111" t="n">
        <v>1.9</v>
      </c>
      <c r="J6111" t="n">
        <v>0</v>
      </c>
      <c r="K6111" t="n">
        <v>0</v>
      </c>
      <c r="L6111" t="n">
        <v>0</v>
      </c>
      <c r="M6111" t="n">
        <v>0</v>
      </c>
      <c r="N6111" t="n">
        <v>0</v>
      </c>
      <c r="O6111" t="n">
        <v>0</v>
      </c>
      <c r="P6111" t="n">
        <v>0</v>
      </c>
      <c r="Q6111" t="n">
        <v>0</v>
      </c>
      <c r="R6111" t="n">
        <v>0</v>
      </c>
      <c r="S6111" t="n">
        <v>0</v>
      </c>
      <c r="T6111" t="n">
        <v>0</v>
      </c>
      <c r="U6111" t="n">
        <v>0</v>
      </c>
      <c r="V6111" s="2" t="inlineStr"/>
    </row>
    <row r="6112" ht="15" customHeight="1">
      <c r="A6112" t="inlineStr">
        <is>
          <t>A 34346-2025</t>
        </is>
      </c>
      <c r="B6112" t="inlineStr">
        <is>
          <t>avverkningsanmälan</t>
        </is>
      </c>
      <c r="C6112" t="inlineStr">
        <is>
          <t>Föryngringsavverkning</t>
        </is>
      </c>
      <c r="D6112" s="1" t="n">
        <v>45846</v>
      </c>
      <c r="E6112" s="1" t="n">
        <v>46323</v>
      </c>
      <c r="F6112" t="inlineStr">
        <is>
          <t>KALMAR LÄN</t>
        </is>
      </c>
      <c r="G6112" t="inlineStr">
        <is>
          <t>NYBRO</t>
        </is>
      </c>
      <c r="I6112" t="n">
        <v>1.1</v>
      </c>
      <c r="J6112" t="n">
        <v>0</v>
      </c>
      <c r="K6112" t="n">
        <v>0</v>
      </c>
      <c r="L6112" t="n">
        <v>0</v>
      </c>
      <c r="M6112" t="n">
        <v>0</v>
      </c>
      <c r="N6112" t="n">
        <v>0</v>
      </c>
      <c r="O6112" t="n">
        <v>0</v>
      </c>
      <c r="P6112" t="n">
        <v>0</v>
      </c>
      <c r="Q6112" t="n">
        <v>0</v>
      </c>
      <c r="R6112" t="n">
        <v>0</v>
      </c>
      <c r="S6112" t="n">
        <v>0</v>
      </c>
      <c r="T6112" t="n">
        <v>0</v>
      </c>
      <c r="U6112" t="n">
        <v>0</v>
      </c>
      <c r="V6112" s="2" t="inlineStr"/>
    </row>
    <row r="6113" ht="15" customHeight="1">
      <c r="A6113" t="inlineStr">
        <is>
          <t>A 22544-2026</t>
        </is>
      </c>
      <c r="B6113" t="inlineStr">
        <is>
          <t>avverkningsanmälan</t>
        </is>
      </c>
      <c r="C6113" t="inlineStr">
        <is>
          <t>Föryngringsavverkning</t>
        </is>
      </c>
      <c r="D6113" s="1" t="n">
        <v>46155</v>
      </c>
      <c r="E6113" s="1" t="n">
        <v>46323</v>
      </c>
      <c r="F6113" t="inlineStr">
        <is>
          <t>KALMAR LÄN</t>
        </is>
      </c>
      <c r="G6113" t="inlineStr">
        <is>
          <t>KALMAR</t>
        </is>
      </c>
      <c r="I6113" t="n">
        <v>0.9</v>
      </c>
      <c r="J6113" t="n">
        <v>0</v>
      </c>
      <c r="K6113" t="n">
        <v>0</v>
      </c>
      <c r="L6113" t="n">
        <v>0</v>
      </c>
      <c r="M6113" t="n">
        <v>0</v>
      </c>
      <c r="N6113" t="n">
        <v>0</v>
      </c>
      <c r="O6113" t="n">
        <v>0</v>
      </c>
      <c r="P6113" t="n">
        <v>0</v>
      </c>
      <c r="Q6113" t="n">
        <v>0</v>
      </c>
      <c r="R6113" t="n">
        <v>0</v>
      </c>
      <c r="S6113" t="n">
        <v>0</v>
      </c>
      <c r="T6113" t="n">
        <v>0</v>
      </c>
      <c r="U6113" t="n">
        <v>0</v>
      </c>
      <c r="V6113" s="2" t="inlineStr"/>
    </row>
    <row r="6114" ht="15" customHeight="1">
      <c r="A6114" t="inlineStr">
        <is>
          <t>A 34055-2025</t>
        </is>
      </c>
      <c r="B6114" t="inlineStr">
        <is>
          <t>avverkningsanmälan</t>
        </is>
      </c>
      <c r="C6114" t="inlineStr">
        <is>
          <t>Avverkning för att bevara och utveckla /försöksver</t>
        </is>
      </c>
      <c r="D6114" s="1" t="n">
        <v>45845</v>
      </c>
      <c r="E6114" s="1" t="n">
        <v>46323</v>
      </c>
      <c r="F6114" t="inlineStr">
        <is>
          <t>KALMAR LÄN</t>
        </is>
      </c>
      <c r="G6114" t="inlineStr">
        <is>
          <t>EMMABODA</t>
        </is>
      </c>
      <c r="I6114" t="n">
        <v>3.9</v>
      </c>
      <c r="J6114" t="n">
        <v>0</v>
      </c>
      <c r="K6114" t="n">
        <v>0</v>
      </c>
      <c r="L6114" t="n">
        <v>0</v>
      </c>
      <c r="M6114" t="n">
        <v>0</v>
      </c>
      <c r="N6114" t="n">
        <v>0</v>
      </c>
      <c r="O6114" t="n">
        <v>0</v>
      </c>
      <c r="P6114" t="n">
        <v>0</v>
      </c>
      <c r="Q6114" t="n">
        <v>0</v>
      </c>
      <c r="R6114" t="n">
        <v>0</v>
      </c>
      <c r="S6114" t="n">
        <v>0</v>
      </c>
      <c r="T6114" t="n">
        <v>0</v>
      </c>
      <c r="U6114" t="n">
        <v>0</v>
      </c>
      <c r="V6114" s="2" t="inlineStr"/>
    </row>
    <row r="6115" ht="15" customHeight="1">
      <c r="A6115" t="inlineStr">
        <is>
          <t>A 37567-2026</t>
        </is>
      </c>
      <c r="B6115" t="inlineStr">
        <is>
          <t>avverkningsanmälan</t>
        </is>
      </c>
      <c r="C6115" t="inlineStr">
        <is>
          <t>Föryngringsavverkning</t>
        </is>
      </c>
      <c r="D6115" s="1" t="n">
        <v>46276</v>
      </c>
      <c r="E6115" s="1" t="n">
        <v>46323</v>
      </c>
      <c r="F6115" t="inlineStr">
        <is>
          <t>KALMAR LÄN</t>
        </is>
      </c>
      <c r="G6115" t="inlineStr">
        <is>
          <t>VIMMERBY</t>
        </is>
      </c>
      <c r="I6115" t="n">
        <v>1.4</v>
      </c>
      <c r="J6115" t="n">
        <v>0</v>
      </c>
      <c r="K6115" t="n">
        <v>0</v>
      </c>
      <c r="L6115" t="n">
        <v>0</v>
      </c>
      <c r="M6115" t="n">
        <v>0</v>
      </c>
      <c r="N6115" t="n">
        <v>0</v>
      </c>
      <c r="O6115" t="n">
        <v>0</v>
      </c>
      <c r="P6115" t="n">
        <v>0</v>
      </c>
      <c r="Q6115" t="n">
        <v>0</v>
      </c>
      <c r="R6115" t="n">
        <v>0</v>
      </c>
      <c r="S6115" t="n">
        <v>0</v>
      </c>
      <c r="T6115" t="n">
        <v>0</v>
      </c>
      <c r="U6115" t="n">
        <v>0</v>
      </c>
      <c r="V6115" s="2" t="inlineStr"/>
    </row>
    <row r="6116" ht="15" customHeight="1">
      <c r="A6116" t="inlineStr">
        <is>
          <t>A 22393-2025</t>
        </is>
      </c>
      <c r="B6116" t="inlineStr">
        <is>
          <t>avverkningsanmälan</t>
        </is>
      </c>
      <c r="C6116" t="inlineStr">
        <is>
          <t>Föryngringsavverkning</t>
        </is>
      </c>
      <c r="D6116" s="1" t="n">
        <v>45786</v>
      </c>
      <c r="E6116" s="1" t="n">
        <v>46323</v>
      </c>
      <c r="F6116" t="inlineStr">
        <is>
          <t>KALMAR LÄN</t>
        </is>
      </c>
      <c r="G6116" t="inlineStr">
        <is>
          <t>MÖNSTERÅS</t>
        </is>
      </c>
      <c r="I6116" t="n">
        <v>2.4</v>
      </c>
      <c r="J6116" t="n">
        <v>0</v>
      </c>
      <c r="K6116" t="n">
        <v>0</v>
      </c>
      <c r="L6116" t="n">
        <v>0</v>
      </c>
      <c r="M6116" t="n">
        <v>0</v>
      </c>
      <c r="N6116" t="n">
        <v>0</v>
      </c>
      <c r="O6116" t="n">
        <v>0</v>
      </c>
      <c r="P6116" t="n">
        <v>0</v>
      </c>
      <c r="Q6116" t="n">
        <v>0</v>
      </c>
      <c r="R6116" t="n">
        <v>0</v>
      </c>
      <c r="S6116" t="n">
        <v>0</v>
      </c>
      <c r="T6116" t="n">
        <v>0</v>
      </c>
      <c r="U6116" t="n">
        <v>0</v>
      </c>
      <c r="V6116" s="2" t="inlineStr"/>
    </row>
    <row r="6117" ht="15" customHeight="1">
      <c r="A6117" t="inlineStr">
        <is>
          <t>A 47443-2025</t>
        </is>
      </c>
      <c r="B6117" t="inlineStr">
        <is>
          <t>avverkningsanmälan</t>
        </is>
      </c>
      <c r="C6117" t="inlineStr">
        <is>
          <t>Föryngringsavverkning</t>
        </is>
      </c>
      <c r="D6117" s="1" t="n">
        <v>45930</v>
      </c>
      <c r="E6117" s="1" t="n">
        <v>46323</v>
      </c>
      <c r="F6117" t="inlineStr">
        <is>
          <t>KALMAR LÄN</t>
        </is>
      </c>
      <c r="G6117" t="inlineStr">
        <is>
          <t>HÖGSBY</t>
        </is>
      </c>
      <c r="H6117" t="inlineStr">
        <is>
          <t>Kyrkan</t>
        </is>
      </c>
      <c r="I6117" t="n">
        <v>5.1</v>
      </c>
      <c r="J6117" t="n">
        <v>0</v>
      </c>
      <c r="K6117" t="n">
        <v>0</v>
      </c>
      <c r="L6117" t="n">
        <v>0</v>
      </c>
      <c r="M6117" t="n">
        <v>0</v>
      </c>
      <c r="N6117" t="n">
        <v>0</v>
      </c>
      <c r="O6117" t="n">
        <v>0</v>
      </c>
      <c r="P6117" t="n">
        <v>0</v>
      </c>
      <c r="Q6117" t="n">
        <v>0</v>
      </c>
      <c r="R6117" t="n">
        <v>0</v>
      </c>
      <c r="S6117" t="n">
        <v>0</v>
      </c>
      <c r="T6117" t="n">
        <v>0</v>
      </c>
      <c r="U6117" t="n">
        <v>0</v>
      </c>
      <c r="V6117" s="2" t="inlineStr"/>
    </row>
    <row r="6118" ht="15" customHeight="1">
      <c r="A6118" t="inlineStr">
        <is>
          <t>A 11758-2025</t>
        </is>
      </c>
      <c r="B6118" t="inlineStr">
        <is>
          <t>avverkningsanmälan</t>
        </is>
      </c>
      <c r="C6118" t="inlineStr">
        <is>
          <t>Föryngringsavverkning</t>
        </is>
      </c>
      <c r="D6118" s="1" t="n">
        <v>45727</v>
      </c>
      <c r="E6118" s="1" t="n">
        <v>46323</v>
      </c>
      <c r="F6118" t="inlineStr">
        <is>
          <t>KALMAR LÄN</t>
        </is>
      </c>
      <c r="G6118" t="inlineStr">
        <is>
          <t>EMMABODA</t>
        </is>
      </c>
      <c r="I6118" t="n">
        <v>9.300000000000001</v>
      </c>
      <c r="J6118" t="n">
        <v>0</v>
      </c>
      <c r="K6118" t="n">
        <v>0</v>
      </c>
      <c r="L6118" t="n">
        <v>0</v>
      </c>
      <c r="M6118" t="n">
        <v>0</v>
      </c>
      <c r="N6118" t="n">
        <v>0</v>
      </c>
      <c r="O6118" t="n">
        <v>0</v>
      </c>
      <c r="P6118" t="n">
        <v>0</v>
      </c>
      <c r="Q6118" t="n">
        <v>0</v>
      </c>
      <c r="R6118" t="n">
        <v>0</v>
      </c>
      <c r="S6118" t="n">
        <v>0</v>
      </c>
      <c r="T6118" t="n">
        <v>0</v>
      </c>
      <c r="U6118" t="n">
        <v>0</v>
      </c>
      <c r="V6118" s="2" t="inlineStr"/>
    </row>
    <row r="6119" ht="15" customHeight="1">
      <c r="A6119" t="inlineStr">
        <is>
          <t>A 18732-2025</t>
        </is>
      </c>
      <c r="B6119" t="inlineStr">
        <is>
          <t>avverkningsanmälan</t>
        </is>
      </c>
      <c r="C6119" t="inlineStr">
        <is>
          <t>Föryngringsavverkning</t>
        </is>
      </c>
      <c r="D6119" s="1" t="n">
        <v>45763</v>
      </c>
      <c r="E6119" s="1" t="n">
        <v>46323</v>
      </c>
      <c r="F6119" t="inlineStr">
        <is>
          <t>KALMAR LÄN</t>
        </is>
      </c>
      <c r="G6119" t="inlineStr">
        <is>
          <t>MÖNSTERÅS</t>
        </is>
      </c>
      <c r="I6119" t="n">
        <v>4.9</v>
      </c>
      <c r="J6119" t="n">
        <v>0</v>
      </c>
      <c r="K6119" t="n">
        <v>0</v>
      </c>
      <c r="L6119" t="n">
        <v>0</v>
      </c>
      <c r="M6119" t="n">
        <v>0</v>
      </c>
      <c r="N6119" t="n">
        <v>0</v>
      </c>
      <c r="O6119" t="n">
        <v>0</v>
      </c>
      <c r="P6119" t="n">
        <v>0</v>
      </c>
      <c r="Q6119" t="n">
        <v>0</v>
      </c>
      <c r="R6119" t="n">
        <v>0</v>
      </c>
      <c r="S6119" t="n">
        <v>0</v>
      </c>
      <c r="T6119" t="n">
        <v>0</v>
      </c>
      <c r="U6119" t="n">
        <v>0</v>
      </c>
      <c r="V6119" s="2" t="inlineStr"/>
    </row>
    <row r="6120" ht="15" customHeight="1">
      <c r="A6120" t="inlineStr">
        <is>
          <t>A 8058-2025</t>
        </is>
      </c>
      <c r="B6120" t="inlineStr">
        <is>
          <t>avverkningsanmälan</t>
        </is>
      </c>
      <c r="C6120" t="inlineStr">
        <is>
          <t>Föryngringsavverkning</t>
        </is>
      </c>
      <c r="D6120" s="1" t="n">
        <v>45707</v>
      </c>
      <c r="E6120" s="1" t="n">
        <v>46323</v>
      </c>
      <c r="F6120" t="inlineStr">
        <is>
          <t>KALMAR LÄN</t>
        </is>
      </c>
      <c r="G6120" t="inlineStr">
        <is>
          <t>EMMABODA</t>
        </is>
      </c>
      <c r="I6120" t="n">
        <v>1.1</v>
      </c>
      <c r="J6120" t="n">
        <v>0</v>
      </c>
      <c r="K6120" t="n">
        <v>0</v>
      </c>
      <c r="L6120" t="n">
        <v>0</v>
      </c>
      <c r="M6120" t="n">
        <v>0</v>
      </c>
      <c r="N6120" t="n">
        <v>0</v>
      </c>
      <c r="O6120" t="n">
        <v>0</v>
      </c>
      <c r="P6120" t="n">
        <v>0</v>
      </c>
      <c r="Q6120" t="n">
        <v>0</v>
      </c>
      <c r="R6120" t="n">
        <v>0</v>
      </c>
      <c r="S6120" t="n">
        <v>0</v>
      </c>
      <c r="T6120" t="n">
        <v>0</v>
      </c>
      <c r="U6120" t="n">
        <v>0</v>
      </c>
      <c r="V6120" s="2" t="inlineStr"/>
    </row>
    <row r="6121" ht="15" customHeight="1">
      <c r="A6121" t="inlineStr">
        <is>
          <t>A 44426-2026</t>
        </is>
      </c>
      <c r="B6121" t="inlineStr">
        <is>
          <t>avverkningsanmälan</t>
        </is>
      </c>
      <c r="C6121" t="inlineStr">
        <is>
          <t>Föryngringsavverkning</t>
        </is>
      </c>
      <c r="D6121" s="1" t="n">
        <v>46321</v>
      </c>
      <c r="E6121" s="1" t="n">
        <v>46323</v>
      </c>
      <c r="F6121" t="inlineStr">
        <is>
          <t>KALMAR LÄN</t>
        </is>
      </c>
      <c r="G6121" t="inlineStr">
        <is>
          <t>NYBRO</t>
        </is>
      </c>
      <c r="H6121" t="inlineStr">
        <is>
          <t>Sveaskog</t>
        </is>
      </c>
      <c r="I6121" t="n">
        <v>1.5</v>
      </c>
      <c r="J6121" t="n">
        <v>0</v>
      </c>
      <c r="K6121" t="n">
        <v>0</v>
      </c>
      <c r="L6121" t="n">
        <v>0</v>
      </c>
      <c r="M6121" t="n">
        <v>0</v>
      </c>
      <c r="N6121" t="n">
        <v>0</v>
      </c>
      <c r="O6121" t="n">
        <v>0</v>
      </c>
      <c r="P6121" t="n">
        <v>0</v>
      </c>
      <c r="Q6121" t="n">
        <v>0</v>
      </c>
      <c r="R6121" t="n">
        <v>0</v>
      </c>
      <c r="S6121" t="n">
        <v>0</v>
      </c>
      <c r="T6121" t="n">
        <v>0</v>
      </c>
      <c r="U6121" t="n">
        <v>0</v>
      </c>
      <c r="V6121" s="2" t="inlineStr"/>
    </row>
    <row r="6122" ht="15" customHeight="1">
      <c r="A6122" t="inlineStr">
        <is>
          <t>A 22575-2026</t>
        </is>
      </c>
      <c r="B6122" t="inlineStr">
        <is>
          <t>avverkningsanmälan</t>
        </is>
      </c>
      <c r="C6122" t="inlineStr">
        <is>
          <t>Föryngringsavverkning</t>
        </is>
      </c>
      <c r="D6122" s="1" t="n">
        <v>46155</v>
      </c>
      <c r="E6122" s="1" t="n">
        <v>46323</v>
      </c>
      <c r="F6122" t="inlineStr">
        <is>
          <t>KALMAR LÄN</t>
        </is>
      </c>
      <c r="G6122" t="inlineStr">
        <is>
          <t>NYBRO</t>
        </is>
      </c>
      <c r="I6122" t="n">
        <v>2.3</v>
      </c>
      <c r="J6122" t="n">
        <v>0</v>
      </c>
      <c r="K6122" t="n">
        <v>0</v>
      </c>
      <c r="L6122" t="n">
        <v>0</v>
      </c>
      <c r="M6122" t="n">
        <v>0</v>
      </c>
      <c r="N6122" t="n">
        <v>0</v>
      </c>
      <c r="O6122" t="n">
        <v>0</v>
      </c>
      <c r="P6122" t="n">
        <v>0</v>
      </c>
      <c r="Q6122" t="n">
        <v>0</v>
      </c>
      <c r="R6122" t="n">
        <v>0</v>
      </c>
      <c r="S6122" t="n">
        <v>0</v>
      </c>
      <c r="T6122" t="n">
        <v>0</v>
      </c>
      <c r="U6122" t="n">
        <v>0</v>
      </c>
      <c r="V6122" s="2" t="inlineStr"/>
    </row>
    <row r="6123" ht="15" customHeight="1">
      <c r="A6123" t="inlineStr">
        <is>
          <t>A 42910-2025</t>
        </is>
      </c>
      <c r="B6123" t="inlineStr">
        <is>
          <t>avverkningsanmälan</t>
        </is>
      </c>
      <c r="C6123" t="inlineStr">
        <is>
          <t>Föryngringsavverkning</t>
        </is>
      </c>
      <c r="D6123" s="1" t="n">
        <v>45908</v>
      </c>
      <c r="E6123" s="1" t="n">
        <v>46323</v>
      </c>
      <c r="F6123" t="inlineStr">
        <is>
          <t>KALMAR LÄN</t>
        </is>
      </c>
      <c r="G6123" t="inlineStr">
        <is>
          <t>TORSÅS</t>
        </is>
      </c>
      <c r="I6123" t="n">
        <v>1</v>
      </c>
      <c r="J6123" t="n">
        <v>0</v>
      </c>
      <c r="K6123" t="n">
        <v>0</v>
      </c>
      <c r="L6123" t="n">
        <v>0</v>
      </c>
      <c r="M6123" t="n">
        <v>0</v>
      </c>
      <c r="N6123" t="n">
        <v>0</v>
      </c>
      <c r="O6123" t="n">
        <v>0</v>
      </c>
      <c r="P6123" t="n">
        <v>0</v>
      </c>
      <c r="Q6123" t="n">
        <v>0</v>
      </c>
      <c r="R6123" t="n">
        <v>0</v>
      </c>
      <c r="S6123" t="n">
        <v>0</v>
      </c>
      <c r="T6123" t="n">
        <v>0</v>
      </c>
      <c r="U6123" t="n">
        <v>0</v>
      </c>
      <c r="V6123" s="2" t="inlineStr"/>
    </row>
    <row r="6124" ht="15" customHeight="1">
      <c r="A6124" t="inlineStr">
        <is>
          <t>A 22602-2026</t>
        </is>
      </c>
      <c r="B6124" t="inlineStr">
        <is>
          <t>avverkningsanmälan</t>
        </is>
      </c>
      <c r="C6124" t="inlineStr">
        <is>
          <t>Föryngringsavverkning</t>
        </is>
      </c>
      <c r="D6124" s="1" t="n">
        <v>46155</v>
      </c>
      <c r="E6124" s="1" t="n">
        <v>46323</v>
      </c>
      <c r="F6124" t="inlineStr">
        <is>
          <t>KALMAR LÄN</t>
        </is>
      </c>
      <c r="G6124" t="inlineStr">
        <is>
          <t>EMMABODA</t>
        </is>
      </c>
      <c r="I6124" t="n">
        <v>7.7</v>
      </c>
      <c r="J6124" t="n">
        <v>0</v>
      </c>
      <c r="K6124" t="n">
        <v>0</v>
      </c>
      <c r="L6124" t="n">
        <v>0</v>
      </c>
      <c r="M6124" t="n">
        <v>0</v>
      </c>
      <c r="N6124" t="n">
        <v>0</v>
      </c>
      <c r="O6124" t="n">
        <v>0</v>
      </c>
      <c r="P6124" t="n">
        <v>0</v>
      </c>
      <c r="Q6124" t="n">
        <v>0</v>
      </c>
      <c r="R6124" t="n">
        <v>0</v>
      </c>
      <c r="S6124" t="n">
        <v>0</v>
      </c>
      <c r="T6124" t="n">
        <v>0</v>
      </c>
      <c r="U6124" t="n">
        <v>0</v>
      </c>
      <c r="V6124" s="2" t="inlineStr"/>
    </row>
    <row r="6125" ht="15" customHeight="1">
      <c r="A6125" t="inlineStr">
        <is>
          <t>A 54245-2024</t>
        </is>
      </c>
      <c r="B6125" t="inlineStr">
        <is>
          <t>avverkningsanmälan</t>
        </is>
      </c>
      <c r="C6125" t="inlineStr">
        <is>
          <t>Föryngringsavverkning</t>
        </is>
      </c>
      <c r="D6125" s="1" t="n">
        <v>45616</v>
      </c>
      <c r="E6125" s="1" t="n">
        <v>46323</v>
      </c>
      <c r="F6125" t="inlineStr">
        <is>
          <t>KALMAR LÄN</t>
        </is>
      </c>
      <c r="G6125" t="inlineStr">
        <is>
          <t>NYBRO</t>
        </is>
      </c>
      <c r="I6125" t="n">
        <v>10.1</v>
      </c>
      <c r="J6125" t="n">
        <v>0</v>
      </c>
      <c r="K6125" t="n">
        <v>0</v>
      </c>
      <c r="L6125" t="n">
        <v>0</v>
      </c>
      <c r="M6125" t="n">
        <v>0</v>
      </c>
      <c r="N6125" t="n">
        <v>0</v>
      </c>
      <c r="O6125" t="n">
        <v>0</v>
      </c>
      <c r="P6125" t="n">
        <v>0</v>
      </c>
      <c r="Q6125" t="n">
        <v>0</v>
      </c>
      <c r="R6125" t="n">
        <v>0</v>
      </c>
      <c r="S6125" t="n">
        <v>0</v>
      </c>
      <c r="T6125" t="n">
        <v>0</v>
      </c>
      <c r="U6125" t="n">
        <v>0</v>
      </c>
      <c r="V6125" s="2" t="inlineStr"/>
    </row>
    <row r="6126" ht="15" customHeight="1">
      <c r="A6126" t="inlineStr">
        <is>
          <t>A 26956-2025</t>
        </is>
      </c>
      <c r="B6126" t="inlineStr">
        <is>
          <t>avverkningsanmälan</t>
        </is>
      </c>
      <c r="C6126" t="inlineStr">
        <is>
          <t>Föryngringsavverkning</t>
        </is>
      </c>
      <c r="D6126" s="1" t="n">
        <v>45811</v>
      </c>
      <c r="E6126" s="1" t="n">
        <v>46323</v>
      </c>
      <c r="F6126" t="inlineStr">
        <is>
          <t>KALMAR LÄN</t>
        </is>
      </c>
      <c r="G6126" t="inlineStr">
        <is>
          <t>VIMMERBY</t>
        </is>
      </c>
      <c r="I6126" t="n">
        <v>1.1</v>
      </c>
      <c r="J6126" t="n">
        <v>0</v>
      </c>
      <c r="K6126" t="n">
        <v>0</v>
      </c>
      <c r="L6126" t="n">
        <v>0</v>
      </c>
      <c r="M6126" t="n">
        <v>0</v>
      </c>
      <c r="N6126" t="n">
        <v>0</v>
      </c>
      <c r="O6126" t="n">
        <v>0</v>
      </c>
      <c r="P6126" t="n">
        <v>0</v>
      </c>
      <c r="Q6126" t="n">
        <v>0</v>
      </c>
      <c r="R6126" t="n">
        <v>0</v>
      </c>
      <c r="S6126" t="n">
        <v>0</v>
      </c>
      <c r="T6126" t="n">
        <v>0</v>
      </c>
      <c r="U6126" t="n">
        <v>0</v>
      </c>
      <c r="V6126" s="2" t="inlineStr"/>
    </row>
    <row r="6127" ht="15" customHeight="1">
      <c r="A6127" t="inlineStr">
        <is>
          <t>A 61028-2024</t>
        </is>
      </c>
      <c r="B6127" t="inlineStr">
        <is>
          <t>avverkningsanmälan</t>
        </is>
      </c>
      <c r="C6127" t="inlineStr">
        <is>
          <t>Föryngringsavverkning</t>
        </is>
      </c>
      <c r="D6127" s="1" t="n">
        <v>45645</v>
      </c>
      <c r="E6127" s="1" t="n">
        <v>46323</v>
      </c>
      <c r="F6127" t="inlineStr">
        <is>
          <t>KALMAR LÄN</t>
        </is>
      </c>
      <c r="G6127" t="inlineStr">
        <is>
          <t>OSKARSHAMN</t>
        </is>
      </c>
      <c r="I6127" t="n">
        <v>2.4</v>
      </c>
      <c r="J6127" t="n">
        <v>0</v>
      </c>
      <c r="K6127" t="n">
        <v>0</v>
      </c>
      <c r="L6127" t="n">
        <v>0</v>
      </c>
      <c r="M6127" t="n">
        <v>0</v>
      </c>
      <c r="N6127" t="n">
        <v>0</v>
      </c>
      <c r="O6127" t="n">
        <v>0</v>
      </c>
      <c r="P6127" t="n">
        <v>0</v>
      </c>
      <c r="Q6127" t="n">
        <v>0</v>
      </c>
      <c r="R6127" t="n">
        <v>0</v>
      </c>
      <c r="S6127" t="n">
        <v>0</v>
      </c>
      <c r="T6127" t="n">
        <v>0</v>
      </c>
      <c r="U6127" t="n">
        <v>0</v>
      </c>
      <c r="V6127" s="2" t="inlineStr"/>
    </row>
    <row r="6128" ht="15" customHeight="1">
      <c r="A6128" t="inlineStr">
        <is>
          <t>A 37705-2026</t>
        </is>
      </c>
      <c r="B6128" t="inlineStr">
        <is>
          <t>avverkningsanmälan</t>
        </is>
      </c>
      <c r="C6128" t="inlineStr">
        <is>
          <t>Föryngringsavverkning</t>
        </is>
      </c>
      <c r="D6128" s="1" t="n">
        <v>46279</v>
      </c>
      <c r="E6128" s="1" t="n">
        <v>46323</v>
      </c>
      <c r="F6128" t="inlineStr">
        <is>
          <t>KALMAR LÄN</t>
        </is>
      </c>
      <c r="G6128" t="inlineStr">
        <is>
          <t>NYBRO</t>
        </is>
      </c>
      <c r="I6128" t="n">
        <v>4.4</v>
      </c>
      <c r="J6128" t="n">
        <v>0</v>
      </c>
      <c r="K6128" t="n">
        <v>0</v>
      </c>
      <c r="L6128" t="n">
        <v>0</v>
      </c>
      <c r="M6128" t="n">
        <v>0</v>
      </c>
      <c r="N6128" t="n">
        <v>0</v>
      </c>
      <c r="O6128" t="n">
        <v>0</v>
      </c>
      <c r="P6128" t="n">
        <v>0</v>
      </c>
      <c r="Q6128" t="n">
        <v>0</v>
      </c>
      <c r="R6128" t="n">
        <v>0</v>
      </c>
      <c r="S6128" t="n">
        <v>0</v>
      </c>
      <c r="T6128" t="n">
        <v>0</v>
      </c>
      <c r="U6128" t="n">
        <v>0</v>
      </c>
      <c r="V6128" s="2" t="inlineStr"/>
    </row>
    <row r="6129" ht="15" customHeight="1">
      <c r="A6129" t="inlineStr">
        <is>
          <t>A 37783-2026</t>
        </is>
      </c>
      <c r="B6129" t="inlineStr">
        <is>
          <t>avverkningsanmälan</t>
        </is>
      </c>
      <c r="C6129" t="inlineStr">
        <is>
          <t>Föryngringsavverkning</t>
        </is>
      </c>
      <c r="D6129" s="1" t="n">
        <v>46279</v>
      </c>
      <c r="E6129" s="1" t="n">
        <v>46323</v>
      </c>
      <c r="F6129" t="inlineStr">
        <is>
          <t>KALMAR LÄN</t>
        </is>
      </c>
      <c r="G6129" t="inlineStr">
        <is>
          <t>EMMABODA</t>
        </is>
      </c>
      <c r="H6129" t="inlineStr">
        <is>
          <t>Sveaskog</t>
        </is>
      </c>
      <c r="I6129" t="n">
        <v>1.4</v>
      </c>
      <c r="J6129" t="n">
        <v>0</v>
      </c>
      <c r="K6129" t="n">
        <v>0</v>
      </c>
      <c r="L6129" t="n">
        <v>0</v>
      </c>
      <c r="M6129" t="n">
        <v>0</v>
      </c>
      <c r="N6129" t="n">
        <v>0</v>
      </c>
      <c r="O6129" t="n">
        <v>0</v>
      </c>
      <c r="P6129" t="n">
        <v>0</v>
      </c>
      <c r="Q6129" t="n">
        <v>0</v>
      </c>
      <c r="R6129" t="n">
        <v>0</v>
      </c>
      <c r="S6129" t="n">
        <v>0</v>
      </c>
      <c r="T6129" t="n">
        <v>0</v>
      </c>
      <c r="U6129" t="n">
        <v>0</v>
      </c>
      <c r="V6129" s="2" t="inlineStr"/>
    </row>
    <row r="6130" ht="15" customHeight="1">
      <c r="A6130" t="inlineStr">
        <is>
          <t>A 38052-2026</t>
        </is>
      </c>
      <c r="B6130" t="inlineStr">
        <is>
          <t>avverkningsanmälan</t>
        </is>
      </c>
      <c r="C6130" t="inlineStr">
        <is>
          <t>Föryngringsavverkning</t>
        </is>
      </c>
      <c r="D6130" s="1" t="n">
        <v>46280</v>
      </c>
      <c r="E6130" s="1" t="n">
        <v>46323</v>
      </c>
      <c r="F6130" t="inlineStr">
        <is>
          <t>KALMAR LÄN</t>
        </is>
      </c>
      <c r="G6130" t="inlineStr">
        <is>
          <t>VIMMERBY</t>
        </is>
      </c>
      <c r="I6130" t="n">
        <v>0.8</v>
      </c>
      <c r="J6130" t="n">
        <v>0</v>
      </c>
      <c r="K6130" t="n">
        <v>0</v>
      </c>
      <c r="L6130" t="n">
        <v>0</v>
      </c>
      <c r="M6130" t="n">
        <v>0</v>
      </c>
      <c r="N6130" t="n">
        <v>0</v>
      </c>
      <c r="O6130" t="n">
        <v>0</v>
      </c>
      <c r="P6130" t="n">
        <v>0</v>
      </c>
      <c r="Q6130" t="n">
        <v>0</v>
      </c>
      <c r="R6130" t="n">
        <v>0</v>
      </c>
      <c r="S6130" t="n">
        <v>0</v>
      </c>
      <c r="T6130" t="n">
        <v>0</v>
      </c>
      <c r="U6130" t="n">
        <v>0</v>
      </c>
      <c r="V6130" s="2" t="inlineStr"/>
    </row>
    <row r="6131" ht="15" customHeight="1">
      <c r="A6131" t="inlineStr">
        <is>
          <t>A 38058-2026</t>
        </is>
      </c>
      <c r="B6131" t="inlineStr">
        <is>
          <t>avverkningsanmälan</t>
        </is>
      </c>
      <c r="C6131" t="inlineStr">
        <is>
          <t>Föryngringsavverkning</t>
        </is>
      </c>
      <c r="D6131" s="1" t="n">
        <v>46280</v>
      </c>
      <c r="E6131" s="1" t="n">
        <v>46323</v>
      </c>
      <c r="F6131" t="inlineStr">
        <is>
          <t>KALMAR LÄN</t>
        </is>
      </c>
      <c r="G6131" t="inlineStr">
        <is>
          <t>VIMMERBY</t>
        </is>
      </c>
      <c r="I6131" t="n">
        <v>0.9</v>
      </c>
      <c r="J6131" t="n">
        <v>0</v>
      </c>
      <c r="K6131" t="n">
        <v>0</v>
      </c>
      <c r="L6131" t="n">
        <v>0</v>
      </c>
      <c r="M6131" t="n">
        <v>0</v>
      </c>
      <c r="N6131" t="n">
        <v>0</v>
      </c>
      <c r="O6131" t="n">
        <v>0</v>
      </c>
      <c r="P6131" t="n">
        <v>0</v>
      </c>
      <c r="Q6131" t="n">
        <v>0</v>
      </c>
      <c r="R6131" t="n">
        <v>0</v>
      </c>
      <c r="S6131" t="n">
        <v>0</v>
      </c>
      <c r="T6131" t="n">
        <v>0</v>
      </c>
      <c r="U6131" t="n">
        <v>0</v>
      </c>
      <c r="V6131" s="2" t="inlineStr"/>
    </row>
    <row r="6132" ht="15" customHeight="1">
      <c r="A6132" t="inlineStr">
        <is>
          <t>A 44589-2026</t>
        </is>
      </c>
      <c r="B6132" t="inlineStr">
        <is>
          <t>avverkningsanmälan</t>
        </is>
      </c>
      <c r="C6132" t="inlineStr">
        <is>
          <t>Föryngringsavverkning</t>
        </is>
      </c>
      <c r="D6132" s="1" t="n">
        <v>46321</v>
      </c>
      <c r="E6132" s="1" t="n">
        <v>46323</v>
      </c>
      <c r="F6132" t="inlineStr">
        <is>
          <t>KALMAR LÄN</t>
        </is>
      </c>
      <c r="G6132" t="inlineStr">
        <is>
          <t>VÄSTERVIK</t>
        </is>
      </c>
      <c r="H6132" t="inlineStr">
        <is>
          <t>Holmen skog AB</t>
        </is>
      </c>
      <c r="I6132" t="n">
        <v>6.2</v>
      </c>
      <c r="J6132" t="n">
        <v>0</v>
      </c>
      <c r="K6132" t="n">
        <v>0</v>
      </c>
      <c r="L6132" t="n">
        <v>0</v>
      </c>
      <c r="M6132" t="n">
        <v>0</v>
      </c>
      <c r="N6132" t="n">
        <v>0</v>
      </c>
      <c r="O6132" t="n">
        <v>0</v>
      </c>
      <c r="P6132" t="n">
        <v>0</v>
      </c>
      <c r="Q6132" t="n">
        <v>0</v>
      </c>
      <c r="R6132" t="n">
        <v>0</v>
      </c>
      <c r="S6132" t="n">
        <v>0</v>
      </c>
      <c r="T6132" t="n">
        <v>0</v>
      </c>
      <c r="U6132" t="n">
        <v>0</v>
      </c>
      <c r="V6132" s="2" t="inlineStr"/>
    </row>
    <row r="6133" ht="15" customHeight="1">
      <c r="A6133" t="inlineStr">
        <is>
          <t>A 62044-2025</t>
        </is>
      </c>
      <c r="B6133" t="inlineStr">
        <is>
          <t>avverkningsanmälan</t>
        </is>
      </c>
      <c r="C6133" t="inlineStr">
        <is>
          <t>Föryngringsavverkning</t>
        </is>
      </c>
      <c r="D6133" s="1" t="n">
        <v>46005</v>
      </c>
      <c r="E6133" s="1" t="n">
        <v>46323</v>
      </c>
      <c r="F6133" t="inlineStr">
        <is>
          <t>KALMAR LÄN</t>
        </is>
      </c>
      <c r="G6133" t="inlineStr">
        <is>
          <t>HULTSFRED</t>
        </is>
      </c>
      <c r="I6133" t="n">
        <v>0.9</v>
      </c>
      <c r="J6133" t="n">
        <v>0</v>
      </c>
      <c r="K6133" t="n">
        <v>0</v>
      </c>
      <c r="L6133" t="n">
        <v>0</v>
      </c>
      <c r="M6133" t="n">
        <v>0</v>
      </c>
      <c r="N6133" t="n">
        <v>0</v>
      </c>
      <c r="O6133" t="n">
        <v>0</v>
      </c>
      <c r="P6133" t="n">
        <v>0</v>
      </c>
      <c r="Q6133" t="n">
        <v>0</v>
      </c>
      <c r="R6133" t="n">
        <v>0</v>
      </c>
      <c r="S6133" t="n">
        <v>0</v>
      </c>
      <c r="T6133" t="n">
        <v>0</v>
      </c>
      <c r="U6133" t="n">
        <v>0</v>
      </c>
      <c r="V6133" s="2" t="inlineStr"/>
    </row>
    <row r="6134" ht="15" customHeight="1">
      <c r="A6134" t="inlineStr">
        <is>
          <t>A 22562-2026</t>
        </is>
      </c>
      <c r="B6134" t="inlineStr">
        <is>
          <t>avverkningsanmälan</t>
        </is>
      </c>
      <c r="C6134" t="inlineStr">
        <is>
          <t>Avverkning för att bevara och utveckla /försöksver</t>
        </is>
      </c>
      <c r="D6134" s="1" t="n">
        <v>46155</v>
      </c>
      <c r="E6134" s="1" t="n">
        <v>46323</v>
      </c>
      <c r="F6134" t="inlineStr">
        <is>
          <t>KALMAR LÄN</t>
        </is>
      </c>
      <c r="G6134" t="inlineStr">
        <is>
          <t>HÖGSBY</t>
        </is>
      </c>
      <c r="H6134" t="inlineStr">
        <is>
          <t>Sveaskog</t>
        </is>
      </c>
      <c r="I6134" t="n">
        <v>2.5</v>
      </c>
      <c r="J6134" t="n">
        <v>0</v>
      </c>
      <c r="K6134" t="n">
        <v>0</v>
      </c>
      <c r="L6134" t="n">
        <v>0</v>
      </c>
      <c r="M6134" t="n">
        <v>0</v>
      </c>
      <c r="N6134" t="n">
        <v>0</v>
      </c>
      <c r="O6134" t="n">
        <v>0</v>
      </c>
      <c r="P6134" t="n">
        <v>0</v>
      </c>
      <c r="Q6134" t="n">
        <v>0</v>
      </c>
      <c r="R6134" t="n">
        <v>0</v>
      </c>
      <c r="S6134" t="n">
        <v>0</v>
      </c>
      <c r="T6134" t="n">
        <v>0</v>
      </c>
      <c r="U6134" t="n">
        <v>0</v>
      </c>
      <c r="V6134" s="2" t="inlineStr"/>
    </row>
    <row r="6135" ht="15" customHeight="1">
      <c r="A6135" t="inlineStr">
        <is>
          <t>A 22564-2026</t>
        </is>
      </c>
      <c r="B6135" t="inlineStr">
        <is>
          <t>avverkningsanmälan</t>
        </is>
      </c>
      <c r="C6135" t="inlineStr">
        <is>
          <t>Avverkning för att bevara och utveckla /försöksver</t>
        </is>
      </c>
      <c r="D6135" s="1" t="n">
        <v>46155</v>
      </c>
      <c r="E6135" s="1" t="n">
        <v>46323</v>
      </c>
      <c r="F6135" t="inlineStr">
        <is>
          <t>KALMAR LÄN</t>
        </is>
      </c>
      <c r="G6135" t="inlineStr">
        <is>
          <t>HÖGSBY</t>
        </is>
      </c>
      <c r="H6135" t="inlineStr">
        <is>
          <t>Sveaskog</t>
        </is>
      </c>
      <c r="I6135" t="n">
        <v>0.7</v>
      </c>
      <c r="J6135" t="n">
        <v>0</v>
      </c>
      <c r="K6135" t="n">
        <v>0</v>
      </c>
      <c r="L6135" t="n">
        <v>0</v>
      </c>
      <c r="M6135" t="n">
        <v>0</v>
      </c>
      <c r="N6135" t="n">
        <v>0</v>
      </c>
      <c r="O6135" t="n">
        <v>0</v>
      </c>
      <c r="P6135" t="n">
        <v>0</v>
      </c>
      <c r="Q6135" t="n">
        <v>0</v>
      </c>
      <c r="R6135" t="n">
        <v>0</v>
      </c>
      <c r="S6135" t="n">
        <v>0</v>
      </c>
      <c r="T6135" t="n">
        <v>0</v>
      </c>
      <c r="U6135" t="n">
        <v>0</v>
      </c>
      <c r="V6135" s="2" t="inlineStr"/>
    </row>
    <row r="6136" ht="15" customHeight="1">
      <c r="A6136" t="inlineStr">
        <is>
          <t>A 22593-2026</t>
        </is>
      </c>
      <c r="B6136" t="inlineStr">
        <is>
          <t>avverkningsanmälan</t>
        </is>
      </c>
      <c r="C6136" t="inlineStr">
        <is>
          <t>Föryngringsavverkning</t>
        </is>
      </c>
      <c r="D6136" s="1" t="n">
        <v>46155</v>
      </c>
      <c r="E6136" s="1" t="n">
        <v>46323</v>
      </c>
      <c r="F6136" t="inlineStr">
        <is>
          <t>KALMAR LÄN</t>
        </is>
      </c>
      <c r="G6136" t="inlineStr">
        <is>
          <t>KALMAR</t>
        </is>
      </c>
      <c r="I6136" t="n">
        <v>1.5</v>
      </c>
      <c r="J6136" t="n">
        <v>0</v>
      </c>
      <c r="K6136" t="n">
        <v>0</v>
      </c>
      <c r="L6136" t="n">
        <v>0</v>
      </c>
      <c r="M6136" t="n">
        <v>0</v>
      </c>
      <c r="N6136" t="n">
        <v>0</v>
      </c>
      <c r="O6136" t="n">
        <v>0</v>
      </c>
      <c r="P6136" t="n">
        <v>0</v>
      </c>
      <c r="Q6136" t="n">
        <v>0</v>
      </c>
      <c r="R6136" t="n">
        <v>0</v>
      </c>
      <c r="S6136" t="n">
        <v>0</v>
      </c>
      <c r="T6136" t="n">
        <v>0</v>
      </c>
      <c r="U6136" t="n">
        <v>0</v>
      </c>
      <c r="V6136" s="2" t="inlineStr"/>
    </row>
    <row r="6137" ht="15" customHeight="1">
      <c r="A6137" t="inlineStr">
        <is>
          <t>A 34639-2025</t>
        </is>
      </c>
      <c r="B6137" t="inlineStr">
        <is>
          <t>avverkningsanmälan</t>
        </is>
      </c>
      <c r="C6137" t="inlineStr">
        <is>
          <t>Föryngringsavverkning</t>
        </is>
      </c>
      <c r="D6137" s="1" t="n">
        <v>45848</v>
      </c>
      <c r="E6137" s="1" t="n">
        <v>46323</v>
      </c>
      <c r="F6137" t="inlineStr">
        <is>
          <t>KALMAR LÄN</t>
        </is>
      </c>
      <c r="G6137" t="inlineStr">
        <is>
          <t>VÄSTERVIK</t>
        </is>
      </c>
      <c r="I6137" t="n">
        <v>0.5</v>
      </c>
      <c r="J6137" t="n">
        <v>0</v>
      </c>
      <c r="K6137" t="n">
        <v>0</v>
      </c>
      <c r="L6137" t="n">
        <v>0</v>
      </c>
      <c r="M6137" t="n">
        <v>0</v>
      </c>
      <c r="N6137" t="n">
        <v>0</v>
      </c>
      <c r="O6137" t="n">
        <v>0</v>
      </c>
      <c r="P6137" t="n">
        <v>0</v>
      </c>
      <c r="Q6137" t="n">
        <v>0</v>
      </c>
      <c r="R6137" t="n">
        <v>0</v>
      </c>
      <c r="S6137" t="n">
        <v>0</v>
      </c>
      <c r="T6137" t="n">
        <v>0</v>
      </c>
      <c r="U6137" t="n">
        <v>0</v>
      </c>
      <c r="V6137" s="2" t="inlineStr"/>
    </row>
    <row r="6138" ht="15" customHeight="1">
      <c r="A6138" t="inlineStr">
        <is>
          <t>A 34577-2025</t>
        </is>
      </c>
      <c r="B6138" t="inlineStr">
        <is>
          <t>avverkningsanmälan</t>
        </is>
      </c>
      <c r="C6138" t="inlineStr">
        <is>
          <t>Föryngringsavverkning</t>
        </is>
      </c>
      <c r="D6138" s="1" t="n">
        <v>45847</v>
      </c>
      <c r="E6138" s="1" t="n">
        <v>46323</v>
      </c>
      <c r="F6138" t="inlineStr">
        <is>
          <t>KALMAR LÄN</t>
        </is>
      </c>
      <c r="G6138" t="inlineStr">
        <is>
          <t>HÖGSBY</t>
        </is>
      </c>
      <c r="I6138" t="n">
        <v>1.7</v>
      </c>
      <c r="J6138" t="n">
        <v>0</v>
      </c>
      <c r="K6138" t="n">
        <v>0</v>
      </c>
      <c r="L6138" t="n">
        <v>0</v>
      </c>
      <c r="M6138" t="n">
        <v>0</v>
      </c>
      <c r="N6138" t="n">
        <v>0</v>
      </c>
      <c r="O6138" t="n">
        <v>0</v>
      </c>
      <c r="P6138" t="n">
        <v>0</v>
      </c>
      <c r="Q6138" t="n">
        <v>0</v>
      </c>
      <c r="R6138" t="n">
        <v>0</v>
      </c>
      <c r="S6138" t="n">
        <v>0</v>
      </c>
      <c r="T6138" t="n">
        <v>0</v>
      </c>
      <c r="U6138" t="n">
        <v>0</v>
      </c>
      <c r="V6138" s="2" t="inlineStr"/>
    </row>
    <row r="6139" ht="15" customHeight="1">
      <c r="A6139" t="inlineStr">
        <is>
          <t>A 22935-2026</t>
        </is>
      </c>
      <c r="B6139" t="inlineStr">
        <is>
          <t>avverkningsanmälan</t>
        </is>
      </c>
      <c r="C6139" t="inlineStr">
        <is>
          <t>Föryngringsavverkning</t>
        </is>
      </c>
      <c r="D6139" s="1" t="n">
        <v>46160</v>
      </c>
      <c r="E6139" s="1" t="n">
        <v>46323</v>
      </c>
      <c r="F6139" t="inlineStr">
        <is>
          <t>KALMAR LÄN</t>
        </is>
      </c>
      <c r="G6139" t="inlineStr">
        <is>
          <t>KALMAR</t>
        </is>
      </c>
      <c r="I6139" t="n">
        <v>1.6</v>
      </c>
      <c r="J6139" t="n">
        <v>0</v>
      </c>
      <c r="K6139" t="n">
        <v>0</v>
      </c>
      <c r="L6139" t="n">
        <v>0</v>
      </c>
      <c r="M6139" t="n">
        <v>0</v>
      </c>
      <c r="N6139" t="n">
        <v>0</v>
      </c>
      <c r="O6139" t="n">
        <v>0</v>
      </c>
      <c r="P6139" t="n">
        <v>0</v>
      </c>
      <c r="Q6139" t="n">
        <v>0</v>
      </c>
      <c r="R6139" t="n">
        <v>0</v>
      </c>
      <c r="S6139" t="n">
        <v>0</v>
      </c>
      <c r="T6139" t="n">
        <v>0</v>
      </c>
      <c r="U6139" t="n">
        <v>0</v>
      </c>
      <c r="V6139" s="2" t="inlineStr"/>
    </row>
    <row r="6140" ht="15" customHeight="1">
      <c r="A6140" t="inlineStr">
        <is>
          <t>A 5201-2025</t>
        </is>
      </c>
      <c r="B6140" t="inlineStr">
        <is>
          <t>avverkningsanmälan</t>
        </is>
      </c>
      <c r="C6140" t="inlineStr">
        <is>
          <t>Föryngringsavverkning</t>
        </is>
      </c>
      <c r="D6140" s="1" t="n">
        <v>45691</v>
      </c>
      <c r="E6140" s="1" t="n">
        <v>46323</v>
      </c>
      <c r="F6140" t="inlineStr">
        <is>
          <t>KALMAR LÄN</t>
        </is>
      </c>
      <c r="G6140" t="inlineStr">
        <is>
          <t>OSKARSHAMN</t>
        </is>
      </c>
      <c r="I6140" t="n">
        <v>1.4</v>
      </c>
      <c r="J6140" t="n">
        <v>0</v>
      </c>
      <c r="K6140" t="n">
        <v>0</v>
      </c>
      <c r="L6140" t="n">
        <v>0</v>
      </c>
      <c r="M6140" t="n">
        <v>0</v>
      </c>
      <c r="N6140" t="n">
        <v>0</v>
      </c>
      <c r="O6140" t="n">
        <v>0</v>
      </c>
      <c r="P6140" t="n">
        <v>0</v>
      </c>
      <c r="Q6140" t="n">
        <v>0</v>
      </c>
      <c r="R6140" t="n">
        <v>0</v>
      </c>
      <c r="S6140" t="n">
        <v>0</v>
      </c>
      <c r="T6140" t="n">
        <v>0</v>
      </c>
      <c r="U6140" t="n">
        <v>0</v>
      </c>
      <c r="V6140" s="2" t="inlineStr"/>
    </row>
    <row r="6141" ht="15" customHeight="1">
      <c r="A6141" t="inlineStr">
        <is>
          <t>A 40193-2025</t>
        </is>
      </c>
      <c r="B6141" t="inlineStr">
        <is>
          <t>avverkningsanmälan</t>
        </is>
      </c>
      <c r="C6141" t="inlineStr">
        <is>
          <t>Avverkning för annat ändamål</t>
        </is>
      </c>
      <c r="D6141" s="1" t="n">
        <v>45894</v>
      </c>
      <c r="E6141" s="1" t="n">
        <v>46323</v>
      </c>
      <c r="F6141" t="inlineStr">
        <is>
          <t>KALMAR LÄN</t>
        </is>
      </c>
      <c r="G6141" t="inlineStr">
        <is>
          <t>NYBRO</t>
        </is>
      </c>
      <c r="I6141" t="n">
        <v>2.6</v>
      </c>
      <c r="J6141" t="n">
        <v>0</v>
      </c>
      <c r="K6141" t="n">
        <v>0</v>
      </c>
      <c r="L6141" t="n">
        <v>0</v>
      </c>
      <c r="M6141" t="n">
        <v>0</v>
      </c>
      <c r="N6141" t="n">
        <v>0</v>
      </c>
      <c r="O6141" t="n">
        <v>0</v>
      </c>
      <c r="P6141" t="n">
        <v>0</v>
      </c>
      <c r="Q6141" t="n">
        <v>0</v>
      </c>
      <c r="R6141" t="n">
        <v>0</v>
      </c>
      <c r="S6141" t="n">
        <v>0</v>
      </c>
      <c r="T6141" t="n">
        <v>0</v>
      </c>
      <c r="U6141" t="n">
        <v>0</v>
      </c>
      <c r="V6141" s="2" t="inlineStr"/>
    </row>
    <row r="6142" ht="15" customHeight="1">
      <c r="A6142" t="inlineStr">
        <is>
          <t>A 22837-2026</t>
        </is>
      </c>
      <c r="B6142" t="inlineStr">
        <is>
          <t>avverkningsanmälan</t>
        </is>
      </c>
      <c r="C6142" t="inlineStr">
        <is>
          <t>Föryngringsavverkning</t>
        </is>
      </c>
      <c r="D6142" s="1" t="n">
        <v>46160</v>
      </c>
      <c r="E6142" s="1" t="n">
        <v>46323</v>
      </c>
      <c r="F6142" t="inlineStr">
        <is>
          <t>KALMAR LÄN</t>
        </is>
      </c>
      <c r="G6142" t="inlineStr">
        <is>
          <t>EMMABODA</t>
        </is>
      </c>
      <c r="I6142" t="n">
        <v>0.7</v>
      </c>
      <c r="J6142" t="n">
        <v>0</v>
      </c>
      <c r="K6142" t="n">
        <v>0</v>
      </c>
      <c r="L6142" t="n">
        <v>0</v>
      </c>
      <c r="M6142" t="n">
        <v>0</v>
      </c>
      <c r="N6142" t="n">
        <v>0</v>
      </c>
      <c r="O6142" t="n">
        <v>0</v>
      </c>
      <c r="P6142" t="n">
        <v>0</v>
      </c>
      <c r="Q6142" t="n">
        <v>0</v>
      </c>
      <c r="R6142" t="n">
        <v>0</v>
      </c>
      <c r="S6142" t="n">
        <v>0</v>
      </c>
      <c r="T6142" t="n">
        <v>0</v>
      </c>
      <c r="U6142" t="n">
        <v>0</v>
      </c>
      <c r="V6142" s="2" t="inlineStr"/>
    </row>
    <row r="6143" ht="15" customHeight="1">
      <c r="A6143" t="inlineStr">
        <is>
          <t>A 22872-2026</t>
        </is>
      </c>
      <c r="B6143" t="inlineStr">
        <is>
          <t>avverkningsanmälan</t>
        </is>
      </c>
      <c r="C6143" t="inlineStr">
        <is>
          <t>Avverkning för annat ändamål</t>
        </is>
      </c>
      <c r="D6143" s="1" t="n">
        <v>46160</v>
      </c>
      <c r="E6143" s="1" t="n">
        <v>46323</v>
      </c>
      <c r="F6143" t="inlineStr">
        <is>
          <t>KALMAR LÄN</t>
        </is>
      </c>
      <c r="G6143" t="inlineStr">
        <is>
          <t>NYBRO</t>
        </is>
      </c>
      <c r="I6143" t="n">
        <v>3.5</v>
      </c>
      <c r="J6143" t="n">
        <v>0</v>
      </c>
      <c r="K6143" t="n">
        <v>0</v>
      </c>
      <c r="L6143" t="n">
        <v>0</v>
      </c>
      <c r="M6143" t="n">
        <v>0</v>
      </c>
      <c r="N6143" t="n">
        <v>0</v>
      </c>
      <c r="O6143" t="n">
        <v>0</v>
      </c>
      <c r="P6143" t="n">
        <v>0</v>
      </c>
      <c r="Q6143" t="n">
        <v>0</v>
      </c>
      <c r="R6143" t="n">
        <v>0</v>
      </c>
      <c r="S6143" t="n">
        <v>0</v>
      </c>
      <c r="T6143" t="n">
        <v>0</v>
      </c>
      <c r="U6143" t="n">
        <v>0</v>
      </c>
      <c r="V6143" s="2" t="inlineStr"/>
    </row>
    <row r="6144" ht="15" customHeight="1">
      <c r="A6144" t="inlineStr">
        <is>
          <t>A 34619-2025</t>
        </is>
      </c>
      <c r="B6144" t="inlineStr">
        <is>
          <t>avverkningsanmälan</t>
        </is>
      </c>
      <c r="C6144" t="inlineStr">
        <is>
          <t>Föryngringsavverkning</t>
        </is>
      </c>
      <c r="D6144" s="1" t="n">
        <v>45847</v>
      </c>
      <c r="E6144" s="1" t="n">
        <v>46323</v>
      </c>
      <c r="F6144" t="inlineStr">
        <is>
          <t>KALMAR LÄN</t>
        </is>
      </c>
      <c r="G6144" t="inlineStr">
        <is>
          <t>VÄSTERVIK</t>
        </is>
      </c>
      <c r="I6144" t="n">
        <v>3</v>
      </c>
      <c r="J6144" t="n">
        <v>0</v>
      </c>
      <c r="K6144" t="n">
        <v>0</v>
      </c>
      <c r="L6144" t="n">
        <v>0</v>
      </c>
      <c r="M6144" t="n">
        <v>0</v>
      </c>
      <c r="N6144" t="n">
        <v>0</v>
      </c>
      <c r="O6144" t="n">
        <v>0</v>
      </c>
      <c r="P6144" t="n">
        <v>0</v>
      </c>
      <c r="Q6144" t="n">
        <v>0</v>
      </c>
      <c r="R6144" t="n">
        <v>0</v>
      </c>
      <c r="S6144" t="n">
        <v>0</v>
      </c>
      <c r="T6144" t="n">
        <v>0</v>
      </c>
      <c r="U6144" t="n">
        <v>0</v>
      </c>
      <c r="V6144" s="2" t="inlineStr"/>
    </row>
    <row r="6145" ht="15" customHeight="1">
      <c r="A6145" t="inlineStr">
        <is>
          <t>A 34628-2025</t>
        </is>
      </c>
      <c r="B6145" t="inlineStr">
        <is>
          <t>avverkningsanmälan</t>
        </is>
      </c>
      <c r="C6145" t="inlineStr">
        <is>
          <t>Föryngringsavverkning</t>
        </is>
      </c>
      <c r="D6145" s="1" t="n">
        <v>45847</v>
      </c>
      <c r="E6145" s="1" t="n">
        <v>46323</v>
      </c>
      <c r="F6145" t="inlineStr">
        <is>
          <t>KALMAR LÄN</t>
        </is>
      </c>
      <c r="G6145" t="inlineStr">
        <is>
          <t>VIMMERBY</t>
        </is>
      </c>
      <c r="I6145" t="n">
        <v>4.2</v>
      </c>
      <c r="J6145" t="n">
        <v>0</v>
      </c>
      <c r="K6145" t="n">
        <v>0</v>
      </c>
      <c r="L6145" t="n">
        <v>0</v>
      </c>
      <c r="M6145" t="n">
        <v>0</v>
      </c>
      <c r="N6145" t="n">
        <v>0</v>
      </c>
      <c r="O6145" t="n">
        <v>0</v>
      </c>
      <c r="P6145" t="n">
        <v>0</v>
      </c>
      <c r="Q6145" t="n">
        <v>0</v>
      </c>
      <c r="R6145" t="n">
        <v>0</v>
      </c>
      <c r="S6145" t="n">
        <v>0</v>
      </c>
      <c r="T6145" t="n">
        <v>0</v>
      </c>
      <c r="U6145" t="n">
        <v>0</v>
      </c>
      <c r="V6145" s="2" t="inlineStr"/>
    </row>
    <row r="6146" ht="15" customHeight="1">
      <c r="A6146" t="inlineStr">
        <is>
          <t>A 34579-2025</t>
        </is>
      </c>
      <c r="B6146" t="inlineStr">
        <is>
          <t>avverkningsanmälan</t>
        </is>
      </c>
      <c r="C6146" t="inlineStr">
        <is>
          <t>Föryngringsavverkning</t>
        </is>
      </c>
      <c r="D6146" s="1" t="n">
        <v>45847</v>
      </c>
      <c r="E6146" s="1" t="n">
        <v>46323</v>
      </c>
      <c r="F6146" t="inlineStr">
        <is>
          <t>KALMAR LÄN</t>
        </is>
      </c>
      <c r="G6146" t="inlineStr">
        <is>
          <t>HÖGSBY</t>
        </is>
      </c>
      <c r="I6146" t="n">
        <v>1.7</v>
      </c>
      <c r="J6146" t="n">
        <v>0</v>
      </c>
      <c r="K6146" t="n">
        <v>0</v>
      </c>
      <c r="L6146" t="n">
        <v>0</v>
      </c>
      <c r="M6146" t="n">
        <v>0</v>
      </c>
      <c r="N6146" t="n">
        <v>0</v>
      </c>
      <c r="O6146" t="n">
        <v>0</v>
      </c>
      <c r="P6146" t="n">
        <v>0</v>
      </c>
      <c r="Q6146" t="n">
        <v>0</v>
      </c>
      <c r="R6146" t="n">
        <v>0</v>
      </c>
      <c r="S6146" t="n">
        <v>0</v>
      </c>
      <c r="T6146" t="n">
        <v>0</v>
      </c>
      <c r="U6146" t="n">
        <v>0</v>
      </c>
      <c r="V6146" s="2" t="inlineStr"/>
    </row>
    <row r="6147" ht="15" customHeight="1">
      <c r="A6147" t="inlineStr">
        <is>
          <t>A 37737-2026</t>
        </is>
      </c>
      <c r="B6147" t="inlineStr">
        <is>
          <t>avverkningsanmälan</t>
        </is>
      </c>
      <c r="C6147" t="inlineStr">
        <is>
          <t>Föryngringsavverkning</t>
        </is>
      </c>
      <c r="D6147" s="1" t="n">
        <v>46279</v>
      </c>
      <c r="E6147" s="1" t="n">
        <v>46323</v>
      </c>
      <c r="F6147" t="inlineStr">
        <is>
          <t>KALMAR LÄN</t>
        </is>
      </c>
      <c r="G6147" t="inlineStr">
        <is>
          <t>EMMABODA</t>
        </is>
      </c>
      <c r="H6147" t="inlineStr">
        <is>
          <t>Sveaskog</t>
        </is>
      </c>
      <c r="I6147" t="n">
        <v>1.9</v>
      </c>
      <c r="J6147" t="n">
        <v>0</v>
      </c>
      <c r="K6147" t="n">
        <v>0</v>
      </c>
      <c r="L6147" t="n">
        <v>0</v>
      </c>
      <c r="M6147" t="n">
        <v>0</v>
      </c>
      <c r="N6147" t="n">
        <v>0</v>
      </c>
      <c r="O6147" t="n">
        <v>0</v>
      </c>
      <c r="P6147" t="n">
        <v>0</v>
      </c>
      <c r="Q6147" t="n">
        <v>0</v>
      </c>
      <c r="R6147" t="n">
        <v>0</v>
      </c>
      <c r="S6147" t="n">
        <v>0</v>
      </c>
      <c r="T6147" t="n">
        <v>0</v>
      </c>
      <c r="U6147" t="n">
        <v>0</v>
      </c>
      <c r="V6147" s="2" t="inlineStr"/>
    </row>
    <row r="6148" ht="15" customHeight="1">
      <c r="A6148" t="inlineStr">
        <is>
          <t>A 37739-2026</t>
        </is>
      </c>
      <c r="B6148" t="inlineStr">
        <is>
          <t>avverkningsanmälan</t>
        </is>
      </c>
      <c r="C6148" t="inlineStr">
        <is>
          <t>Föryngringsavverkning</t>
        </is>
      </c>
      <c r="D6148" s="1" t="n">
        <v>46279</v>
      </c>
      <c r="E6148" s="1" t="n">
        <v>46323</v>
      </c>
      <c r="F6148" t="inlineStr">
        <is>
          <t>KALMAR LÄN</t>
        </is>
      </c>
      <c r="G6148" t="inlineStr">
        <is>
          <t>EMMABODA</t>
        </is>
      </c>
      <c r="H6148" t="inlineStr">
        <is>
          <t>Sveaskog</t>
        </is>
      </c>
      <c r="I6148" t="n">
        <v>2</v>
      </c>
      <c r="J6148" t="n">
        <v>0</v>
      </c>
      <c r="K6148" t="n">
        <v>0</v>
      </c>
      <c r="L6148" t="n">
        <v>0</v>
      </c>
      <c r="M6148" t="n">
        <v>0</v>
      </c>
      <c r="N6148" t="n">
        <v>0</v>
      </c>
      <c r="O6148" t="n">
        <v>0</v>
      </c>
      <c r="P6148" t="n">
        <v>0</v>
      </c>
      <c r="Q6148" t="n">
        <v>0</v>
      </c>
      <c r="R6148" t="n">
        <v>0</v>
      </c>
      <c r="S6148" t="n">
        <v>0</v>
      </c>
      <c r="T6148" t="n">
        <v>0</v>
      </c>
      <c r="U6148" t="n">
        <v>0</v>
      </c>
      <c r="V6148" s="2" t="inlineStr"/>
    </row>
    <row r="6149" ht="15" customHeight="1">
      <c r="A6149" t="inlineStr">
        <is>
          <t>A 51697-2025</t>
        </is>
      </c>
      <c r="B6149" t="inlineStr">
        <is>
          <t>avverkningsanmälan</t>
        </is>
      </c>
      <c r="C6149" t="inlineStr">
        <is>
          <t>Föryngringsavverkning</t>
        </is>
      </c>
      <c r="D6149" s="1" t="n">
        <v>45950</v>
      </c>
      <c r="E6149" s="1" t="n">
        <v>46323</v>
      </c>
      <c r="F6149" t="inlineStr">
        <is>
          <t>KALMAR LÄN</t>
        </is>
      </c>
      <c r="G6149" t="inlineStr">
        <is>
          <t>MÖNSTERÅS</t>
        </is>
      </c>
      <c r="I6149" t="n">
        <v>1.1</v>
      </c>
      <c r="J6149" t="n">
        <v>0</v>
      </c>
      <c r="K6149" t="n">
        <v>0</v>
      </c>
      <c r="L6149" t="n">
        <v>0</v>
      </c>
      <c r="M6149" t="n">
        <v>0</v>
      </c>
      <c r="N6149" t="n">
        <v>0</v>
      </c>
      <c r="O6149" t="n">
        <v>0</v>
      </c>
      <c r="P6149" t="n">
        <v>0</v>
      </c>
      <c r="Q6149" t="n">
        <v>0</v>
      </c>
      <c r="R6149" t="n">
        <v>0</v>
      </c>
      <c r="S6149" t="n">
        <v>0</v>
      </c>
      <c r="T6149" t="n">
        <v>0</v>
      </c>
      <c r="U6149" t="n">
        <v>0</v>
      </c>
      <c r="V6149" s="2" t="inlineStr"/>
    </row>
    <row r="6150" ht="15" customHeight="1">
      <c r="A6150" t="inlineStr">
        <is>
          <t>A 27357-2025</t>
        </is>
      </c>
      <c r="B6150" t="inlineStr">
        <is>
          <t>avverkningsanmälan</t>
        </is>
      </c>
      <c r="C6150" t="inlineStr">
        <is>
          <t>Avverkning för att bevara och utveckla /försöksver</t>
        </is>
      </c>
      <c r="D6150" s="1" t="n">
        <v>45812</v>
      </c>
      <c r="E6150" s="1" t="n">
        <v>46323</v>
      </c>
      <c r="F6150" t="inlineStr">
        <is>
          <t>KALMAR LÄN</t>
        </is>
      </c>
      <c r="G6150" t="inlineStr">
        <is>
          <t>BORGHOLM</t>
        </is>
      </c>
      <c r="H6150" t="inlineStr">
        <is>
          <t>Sveaskog</t>
        </is>
      </c>
      <c r="I6150" t="n">
        <v>4.5</v>
      </c>
      <c r="J6150" t="n">
        <v>0</v>
      </c>
      <c r="K6150" t="n">
        <v>0</v>
      </c>
      <c r="L6150" t="n">
        <v>0</v>
      </c>
      <c r="M6150" t="n">
        <v>0</v>
      </c>
      <c r="N6150" t="n">
        <v>0</v>
      </c>
      <c r="O6150" t="n">
        <v>0</v>
      </c>
      <c r="P6150" t="n">
        <v>0</v>
      </c>
      <c r="Q6150" t="n">
        <v>0</v>
      </c>
      <c r="R6150" t="n">
        <v>0</v>
      </c>
      <c r="S6150" t="n">
        <v>0</v>
      </c>
      <c r="T6150" t="n">
        <v>0</v>
      </c>
      <c r="U6150" t="n">
        <v>0</v>
      </c>
      <c r="V6150" s="2" t="inlineStr"/>
    </row>
    <row r="6151" ht="15" customHeight="1">
      <c r="A6151" t="inlineStr">
        <is>
          <t>A 15054-2026</t>
        </is>
      </c>
      <c r="B6151" t="inlineStr">
        <is>
          <t>avverkningsanmälan</t>
        </is>
      </c>
      <c r="C6151" t="inlineStr">
        <is>
          <t>Föryngringsavverkning</t>
        </is>
      </c>
      <c r="D6151" s="1" t="n">
        <v>46104</v>
      </c>
      <c r="E6151" s="1" t="n">
        <v>46323</v>
      </c>
      <c r="F6151" t="inlineStr">
        <is>
          <t>KALMAR LÄN</t>
        </is>
      </c>
      <c r="G6151" t="inlineStr">
        <is>
          <t>VIMMERBY</t>
        </is>
      </c>
      <c r="I6151" t="n">
        <v>1.4</v>
      </c>
      <c r="J6151" t="n">
        <v>0</v>
      </c>
      <c r="K6151" t="n">
        <v>0</v>
      </c>
      <c r="L6151" t="n">
        <v>0</v>
      </c>
      <c r="M6151" t="n">
        <v>0</v>
      </c>
      <c r="N6151" t="n">
        <v>0</v>
      </c>
      <c r="O6151" t="n">
        <v>0</v>
      </c>
      <c r="P6151" t="n">
        <v>0</v>
      </c>
      <c r="Q6151" t="n">
        <v>0</v>
      </c>
      <c r="R6151" t="n">
        <v>0</v>
      </c>
      <c r="S6151" t="n">
        <v>0</v>
      </c>
      <c r="T6151" t="n">
        <v>0</v>
      </c>
      <c r="U6151" t="n">
        <v>0</v>
      </c>
      <c r="V6151" s="2" t="inlineStr"/>
    </row>
    <row r="6152" ht="15" customHeight="1">
      <c r="A6152" t="inlineStr">
        <is>
          <t>A 44613-2026</t>
        </is>
      </c>
      <c r="B6152" t="inlineStr">
        <is>
          <t>avverkningsanmälan</t>
        </is>
      </c>
      <c r="C6152" t="inlineStr">
        <is>
          <t>Föryngringsavverkning</t>
        </is>
      </c>
      <c r="D6152" s="1" t="n">
        <v>46322</v>
      </c>
      <c r="E6152" s="1" t="n">
        <v>46323</v>
      </c>
      <c r="F6152" t="inlineStr">
        <is>
          <t>KALMAR LÄN</t>
        </is>
      </c>
      <c r="G6152" t="inlineStr">
        <is>
          <t>EMMABODA</t>
        </is>
      </c>
      <c r="I6152" t="n">
        <v>1.5</v>
      </c>
      <c r="J6152" t="n">
        <v>0</v>
      </c>
      <c r="K6152" t="n">
        <v>0</v>
      </c>
      <c r="L6152" t="n">
        <v>0</v>
      </c>
      <c r="M6152" t="n">
        <v>0</v>
      </c>
      <c r="N6152" t="n">
        <v>0</v>
      </c>
      <c r="O6152" t="n">
        <v>0</v>
      </c>
      <c r="P6152" t="n">
        <v>0</v>
      </c>
      <c r="Q6152" t="n">
        <v>0</v>
      </c>
      <c r="R6152" t="n">
        <v>0</v>
      </c>
      <c r="S6152" t="n">
        <v>0</v>
      </c>
      <c r="T6152" t="n">
        <v>0</v>
      </c>
      <c r="U6152" t="n">
        <v>0</v>
      </c>
      <c r="V6152" s="2" t="inlineStr"/>
    </row>
    <row r="6153" ht="15" customHeight="1">
      <c r="A6153" t="inlineStr">
        <is>
          <t>A 34916-2025</t>
        </is>
      </c>
      <c r="B6153" t="inlineStr">
        <is>
          <t>avverkningsanmälan</t>
        </is>
      </c>
      <c r="C6153" t="inlineStr">
        <is>
          <t>Föryngringsavverkning</t>
        </is>
      </c>
      <c r="D6153" s="1" t="n">
        <v>45849</v>
      </c>
      <c r="E6153" s="1" t="n">
        <v>46323</v>
      </c>
      <c r="F6153" t="inlineStr">
        <is>
          <t>KALMAR LÄN</t>
        </is>
      </c>
      <c r="G6153" t="inlineStr">
        <is>
          <t>VÄSTERVIK</t>
        </is>
      </c>
      <c r="I6153" t="n">
        <v>0.7</v>
      </c>
      <c r="J6153" t="n">
        <v>0</v>
      </c>
      <c r="K6153" t="n">
        <v>0</v>
      </c>
      <c r="L6153" t="n">
        <v>0</v>
      </c>
      <c r="M6153" t="n">
        <v>0</v>
      </c>
      <c r="N6153" t="n">
        <v>0</v>
      </c>
      <c r="O6153" t="n">
        <v>0</v>
      </c>
      <c r="P6153" t="n">
        <v>0</v>
      </c>
      <c r="Q6153" t="n">
        <v>0</v>
      </c>
      <c r="R6153" t="n">
        <v>0</v>
      </c>
      <c r="S6153" t="n">
        <v>0</v>
      </c>
      <c r="T6153" t="n">
        <v>0</v>
      </c>
      <c r="U6153" t="n">
        <v>0</v>
      </c>
      <c r="V6153" s="2" t="inlineStr"/>
    </row>
    <row r="6154" ht="15" customHeight="1">
      <c r="A6154" t="inlineStr">
        <is>
          <t>A 37731-2026</t>
        </is>
      </c>
      <c r="B6154" t="inlineStr">
        <is>
          <t>avverkningsanmälan</t>
        </is>
      </c>
      <c r="C6154" t="inlineStr">
        <is>
          <t>Föryngringsavverkning</t>
        </is>
      </c>
      <c r="D6154" s="1" t="n">
        <v>46279</v>
      </c>
      <c r="E6154" s="1" t="n">
        <v>46323</v>
      </c>
      <c r="F6154" t="inlineStr">
        <is>
          <t>KALMAR LÄN</t>
        </is>
      </c>
      <c r="G6154" t="inlineStr">
        <is>
          <t>EMMABODA</t>
        </is>
      </c>
      <c r="H6154" t="inlineStr">
        <is>
          <t>Sveaskog</t>
        </is>
      </c>
      <c r="I6154" t="n">
        <v>1.9</v>
      </c>
      <c r="J6154" t="n">
        <v>0</v>
      </c>
      <c r="K6154" t="n">
        <v>0</v>
      </c>
      <c r="L6154" t="n">
        <v>0</v>
      </c>
      <c r="M6154" t="n">
        <v>0</v>
      </c>
      <c r="N6154" t="n">
        <v>0</v>
      </c>
      <c r="O6154" t="n">
        <v>0</v>
      </c>
      <c r="P6154" t="n">
        <v>0</v>
      </c>
      <c r="Q6154" t="n">
        <v>0</v>
      </c>
      <c r="R6154" t="n">
        <v>0</v>
      </c>
      <c r="S6154" t="n">
        <v>0</v>
      </c>
      <c r="T6154" t="n">
        <v>0</v>
      </c>
      <c r="U6154" t="n">
        <v>0</v>
      </c>
      <c r="V6154" s="2" t="inlineStr"/>
    </row>
    <row r="6155" ht="15" customHeight="1">
      <c r="A6155" t="inlineStr">
        <is>
          <t>A 37781-2026</t>
        </is>
      </c>
      <c r="B6155" t="inlineStr">
        <is>
          <t>avverkningsanmälan</t>
        </is>
      </c>
      <c r="C6155" t="inlineStr">
        <is>
          <t>Föryngringsavverkning</t>
        </is>
      </c>
      <c r="D6155" s="1" t="n">
        <v>46279</v>
      </c>
      <c r="E6155" s="1" t="n">
        <v>46323</v>
      </c>
      <c r="F6155" t="inlineStr">
        <is>
          <t>KALMAR LÄN</t>
        </is>
      </c>
      <c r="G6155" t="inlineStr">
        <is>
          <t>EMMABODA</t>
        </is>
      </c>
      <c r="H6155" t="inlineStr">
        <is>
          <t>Sveaskog</t>
        </is>
      </c>
      <c r="I6155" t="n">
        <v>1.2</v>
      </c>
      <c r="J6155" t="n">
        <v>0</v>
      </c>
      <c r="K6155" t="n">
        <v>0</v>
      </c>
      <c r="L6155" t="n">
        <v>0</v>
      </c>
      <c r="M6155" t="n">
        <v>0</v>
      </c>
      <c r="N6155" t="n">
        <v>0</v>
      </c>
      <c r="O6155" t="n">
        <v>0</v>
      </c>
      <c r="P6155" t="n">
        <v>0</v>
      </c>
      <c r="Q6155" t="n">
        <v>0</v>
      </c>
      <c r="R6155" t="n">
        <v>0</v>
      </c>
      <c r="S6155" t="n">
        <v>0</v>
      </c>
      <c r="T6155" t="n">
        <v>0</v>
      </c>
      <c r="U6155" t="n">
        <v>0</v>
      </c>
      <c r="V6155" s="2" t="inlineStr"/>
    </row>
    <row r="6156" ht="15" customHeight="1">
      <c r="A6156" t="inlineStr">
        <is>
          <t>A 40135-2024</t>
        </is>
      </c>
      <c r="B6156" t="inlineStr">
        <is>
          <t>avverkningsanmälan</t>
        </is>
      </c>
      <c r="C6156" t="inlineStr">
        <is>
          <t>Föryngringsavverkning</t>
        </is>
      </c>
      <c r="D6156" s="1" t="n">
        <v>45554</v>
      </c>
      <c r="E6156" s="1" t="n">
        <v>46323</v>
      </c>
      <c r="F6156" t="inlineStr">
        <is>
          <t>KALMAR LÄN</t>
        </is>
      </c>
      <c r="G6156" t="inlineStr">
        <is>
          <t>HÖGSBY</t>
        </is>
      </c>
      <c r="I6156" t="n">
        <v>1.9</v>
      </c>
      <c r="J6156" t="n">
        <v>0</v>
      </c>
      <c r="K6156" t="n">
        <v>0</v>
      </c>
      <c r="L6156" t="n">
        <v>0</v>
      </c>
      <c r="M6156" t="n">
        <v>0</v>
      </c>
      <c r="N6156" t="n">
        <v>0</v>
      </c>
      <c r="O6156" t="n">
        <v>0</v>
      </c>
      <c r="P6156" t="n">
        <v>0</v>
      </c>
      <c r="Q6156" t="n">
        <v>0</v>
      </c>
      <c r="R6156" t="n">
        <v>0</v>
      </c>
      <c r="S6156" t="n">
        <v>0</v>
      </c>
      <c r="T6156" t="n">
        <v>0</v>
      </c>
      <c r="U6156" t="n">
        <v>0</v>
      </c>
      <c r="V6156" s="2" t="inlineStr"/>
    </row>
    <row r="6157" ht="15" customHeight="1">
      <c r="A6157" t="inlineStr">
        <is>
          <t>A 20053-2025</t>
        </is>
      </c>
      <c r="B6157" t="inlineStr">
        <is>
          <t>avverkningsanmälan</t>
        </is>
      </c>
      <c r="C6157" t="inlineStr">
        <is>
          <t>Föryngringsavverkning</t>
        </is>
      </c>
      <c r="D6157" s="1" t="n">
        <v>45772</v>
      </c>
      <c r="E6157" s="1" t="n">
        <v>46323</v>
      </c>
      <c r="F6157" t="inlineStr">
        <is>
          <t>KALMAR LÄN</t>
        </is>
      </c>
      <c r="G6157" t="inlineStr">
        <is>
          <t>EMMABODA</t>
        </is>
      </c>
      <c r="I6157" t="n">
        <v>3.1</v>
      </c>
      <c r="J6157" t="n">
        <v>0</v>
      </c>
      <c r="K6157" t="n">
        <v>0</v>
      </c>
      <c r="L6157" t="n">
        <v>0</v>
      </c>
      <c r="M6157" t="n">
        <v>0</v>
      </c>
      <c r="N6157" t="n">
        <v>0</v>
      </c>
      <c r="O6157" t="n">
        <v>0</v>
      </c>
      <c r="P6157" t="n">
        <v>0</v>
      </c>
      <c r="Q6157" t="n">
        <v>0</v>
      </c>
      <c r="R6157" t="n">
        <v>0</v>
      </c>
      <c r="S6157" t="n">
        <v>0</v>
      </c>
      <c r="T6157" t="n">
        <v>0</v>
      </c>
      <c r="U6157" t="n">
        <v>0</v>
      </c>
      <c r="V6157" s="2" t="inlineStr"/>
    </row>
    <row r="6158" ht="15" customHeight="1">
      <c r="A6158" t="inlineStr">
        <is>
          <t>A 20511-2025</t>
        </is>
      </c>
      <c r="B6158" t="inlineStr">
        <is>
          <t>avverkningsanmälan</t>
        </is>
      </c>
      <c r="C6158" t="inlineStr">
        <is>
          <t>Föryngringsavverkning</t>
        </is>
      </c>
      <c r="D6158" s="1" t="n">
        <v>45775</v>
      </c>
      <c r="E6158" s="1" t="n">
        <v>46323</v>
      </c>
      <c r="F6158" t="inlineStr">
        <is>
          <t>KALMAR LÄN</t>
        </is>
      </c>
      <c r="G6158" t="inlineStr">
        <is>
          <t>EMMABODA</t>
        </is>
      </c>
      <c r="I6158" t="n">
        <v>1.9</v>
      </c>
      <c r="J6158" t="n">
        <v>0</v>
      </c>
      <c r="K6158" t="n">
        <v>0</v>
      </c>
      <c r="L6158" t="n">
        <v>0</v>
      </c>
      <c r="M6158" t="n">
        <v>0</v>
      </c>
      <c r="N6158" t="n">
        <v>0</v>
      </c>
      <c r="O6158" t="n">
        <v>0</v>
      </c>
      <c r="P6158" t="n">
        <v>0</v>
      </c>
      <c r="Q6158" t="n">
        <v>0</v>
      </c>
      <c r="R6158" t="n">
        <v>0</v>
      </c>
      <c r="S6158" t="n">
        <v>0</v>
      </c>
      <c r="T6158" t="n">
        <v>0</v>
      </c>
      <c r="U6158" t="n">
        <v>0</v>
      </c>
      <c r="V6158" s="2" t="inlineStr"/>
    </row>
    <row r="6159" ht="15" customHeight="1">
      <c r="A6159" t="inlineStr">
        <is>
          <t>A 57728-2025</t>
        </is>
      </c>
      <c r="B6159" t="inlineStr">
        <is>
          <t>avverkningsanmälan</t>
        </is>
      </c>
      <c r="C6159" t="inlineStr">
        <is>
          <t>Föryngringsavverkning</t>
        </is>
      </c>
      <c r="D6159" s="1" t="n">
        <v>45981</v>
      </c>
      <c r="E6159" s="1" t="n">
        <v>46323</v>
      </c>
      <c r="F6159" t="inlineStr">
        <is>
          <t>KALMAR LÄN</t>
        </is>
      </c>
      <c r="G6159" t="inlineStr">
        <is>
          <t>VIMMERBY</t>
        </is>
      </c>
      <c r="I6159" t="n">
        <v>0.8</v>
      </c>
      <c r="J6159" t="n">
        <v>0</v>
      </c>
      <c r="K6159" t="n">
        <v>0</v>
      </c>
      <c r="L6159" t="n">
        <v>0</v>
      </c>
      <c r="M6159" t="n">
        <v>0</v>
      </c>
      <c r="N6159" t="n">
        <v>0</v>
      </c>
      <c r="O6159" t="n">
        <v>0</v>
      </c>
      <c r="P6159" t="n">
        <v>0</v>
      </c>
      <c r="Q6159" t="n">
        <v>0</v>
      </c>
      <c r="R6159" t="n">
        <v>0</v>
      </c>
      <c r="S6159" t="n">
        <v>0</v>
      </c>
      <c r="T6159" t="n">
        <v>0</v>
      </c>
      <c r="U6159" t="n">
        <v>0</v>
      </c>
      <c r="V6159" s="2" t="inlineStr"/>
    </row>
    <row r="6160" ht="15" customHeight="1">
      <c r="A6160" t="inlineStr">
        <is>
          <t>A 34878-2025</t>
        </is>
      </c>
      <c r="B6160" t="inlineStr">
        <is>
          <t>avverkningsanmälan</t>
        </is>
      </c>
      <c r="C6160" t="inlineStr">
        <is>
          <t>Föryngringsavverkning</t>
        </is>
      </c>
      <c r="D6160" s="1" t="n">
        <v>45849</v>
      </c>
      <c r="E6160" s="1" t="n">
        <v>46323</v>
      </c>
      <c r="F6160" t="inlineStr">
        <is>
          <t>KALMAR LÄN</t>
        </is>
      </c>
      <c r="G6160" t="inlineStr">
        <is>
          <t>EMMABODA</t>
        </is>
      </c>
      <c r="I6160" t="n">
        <v>0.5</v>
      </c>
      <c r="J6160" t="n">
        <v>0</v>
      </c>
      <c r="K6160" t="n">
        <v>0</v>
      </c>
      <c r="L6160" t="n">
        <v>0</v>
      </c>
      <c r="M6160" t="n">
        <v>0</v>
      </c>
      <c r="N6160" t="n">
        <v>0</v>
      </c>
      <c r="O6160" t="n">
        <v>0</v>
      </c>
      <c r="P6160" t="n">
        <v>0</v>
      </c>
      <c r="Q6160" t="n">
        <v>0</v>
      </c>
      <c r="R6160" t="n">
        <v>0</v>
      </c>
      <c r="S6160" t="n">
        <v>0</v>
      </c>
      <c r="T6160" t="n">
        <v>0</v>
      </c>
      <c r="U6160" t="n">
        <v>0</v>
      </c>
      <c r="V6160" s="2" t="inlineStr"/>
    </row>
    <row r="6161" ht="15" customHeight="1">
      <c r="A6161" t="inlineStr">
        <is>
          <t>A 9715-2025</t>
        </is>
      </c>
      <c r="B6161" t="inlineStr">
        <is>
          <t>avverkningsanmälan</t>
        </is>
      </c>
      <c r="C6161" t="inlineStr">
        <is>
          <t>Föryngringsavverkning</t>
        </is>
      </c>
      <c r="D6161" s="1" t="n">
        <v>45716</v>
      </c>
      <c r="E6161" s="1" t="n">
        <v>46323</v>
      </c>
      <c r="F6161" t="inlineStr">
        <is>
          <t>KALMAR LÄN</t>
        </is>
      </c>
      <c r="G6161" t="inlineStr">
        <is>
          <t>EMMABODA</t>
        </is>
      </c>
      <c r="I6161" t="n">
        <v>1.1</v>
      </c>
      <c r="J6161" t="n">
        <v>0</v>
      </c>
      <c r="K6161" t="n">
        <v>0</v>
      </c>
      <c r="L6161" t="n">
        <v>0</v>
      </c>
      <c r="M6161" t="n">
        <v>0</v>
      </c>
      <c r="N6161" t="n">
        <v>0</v>
      </c>
      <c r="O6161" t="n">
        <v>0</v>
      </c>
      <c r="P6161" t="n">
        <v>0</v>
      </c>
      <c r="Q6161" t="n">
        <v>0</v>
      </c>
      <c r="R6161" t="n">
        <v>0</v>
      </c>
      <c r="S6161" t="n">
        <v>0</v>
      </c>
      <c r="T6161" t="n">
        <v>0</v>
      </c>
      <c r="U6161" t="n">
        <v>0</v>
      </c>
      <c r="V6161" s="2" t="inlineStr"/>
    </row>
    <row r="6162" ht="15" customHeight="1">
      <c r="A6162" t="inlineStr">
        <is>
          <t>A 10012-2025</t>
        </is>
      </c>
      <c r="B6162" t="inlineStr">
        <is>
          <t>avverkningsanmälan</t>
        </is>
      </c>
      <c r="C6162" t="inlineStr">
        <is>
          <t>Föryngringsavverkning</t>
        </is>
      </c>
      <c r="D6162" s="1" t="n">
        <v>45719</v>
      </c>
      <c r="E6162" s="1" t="n">
        <v>46323</v>
      </c>
      <c r="F6162" t="inlineStr">
        <is>
          <t>KALMAR LÄN</t>
        </is>
      </c>
      <c r="G6162" t="inlineStr">
        <is>
          <t>VÄSTERVIK</t>
        </is>
      </c>
      <c r="I6162" t="n">
        <v>0.8</v>
      </c>
      <c r="J6162" t="n">
        <v>0</v>
      </c>
      <c r="K6162" t="n">
        <v>0</v>
      </c>
      <c r="L6162" t="n">
        <v>0</v>
      </c>
      <c r="M6162" t="n">
        <v>0</v>
      </c>
      <c r="N6162" t="n">
        <v>0</v>
      </c>
      <c r="O6162" t="n">
        <v>0</v>
      </c>
      <c r="P6162" t="n">
        <v>0</v>
      </c>
      <c r="Q6162" t="n">
        <v>0</v>
      </c>
      <c r="R6162" t="n">
        <v>0</v>
      </c>
      <c r="S6162" t="n">
        <v>0</v>
      </c>
      <c r="T6162" t="n">
        <v>0</v>
      </c>
      <c r="U6162" t="n">
        <v>0</v>
      </c>
      <c r="V6162" s="2" t="inlineStr"/>
    </row>
    <row r="6163" ht="15" customHeight="1">
      <c r="A6163" t="inlineStr">
        <is>
          <t>A 44317-2026</t>
        </is>
      </c>
      <c r="B6163" t="inlineStr">
        <is>
          <t>avverkningsanmälan</t>
        </is>
      </c>
      <c r="C6163" t="inlineStr">
        <is>
          <t>Föryngringsavverkning</t>
        </is>
      </c>
      <c r="D6163" s="1" t="n">
        <v>46320</v>
      </c>
      <c r="E6163" s="1" t="n">
        <v>46323</v>
      </c>
      <c r="F6163" t="inlineStr">
        <is>
          <t>KALMAR LÄN</t>
        </is>
      </c>
      <c r="G6163" t="inlineStr">
        <is>
          <t>KALMAR</t>
        </is>
      </c>
      <c r="I6163" t="n">
        <v>0.9</v>
      </c>
      <c r="J6163" t="n">
        <v>0</v>
      </c>
      <c r="K6163" t="n">
        <v>0</v>
      </c>
      <c r="L6163" t="n">
        <v>0</v>
      </c>
      <c r="M6163" t="n">
        <v>0</v>
      </c>
      <c r="N6163" t="n">
        <v>0</v>
      </c>
      <c r="O6163" t="n">
        <v>0</v>
      </c>
      <c r="P6163" t="n">
        <v>0</v>
      </c>
      <c r="Q6163" t="n">
        <v>0</v>
      </c>
      <c r="R6163" t="n">
        <v>0</v>
      </c>
      <c r="S6163" t="n">
        <v>0</v>
      </c>
      <c r="T6163" t="n">
        <v>0</v>
      </c>
      <c r="U6163" t="n">
        <v>0</v>
      </c>
      <c r="V6163" s="2" t="inlineStr"/>
    </row>
    <row r="6164" ht="15" customHeight="1">
      <c r="A6164" t="inlineStr">
        <is>
          <t>A 36246-2025</t>
        </is>
      </c>
      <c r="B6164" t="inlineStr">
        <is>
          <t>avverkningsanmälan</t>
        </is>
      </c>
      <c r="C6164" t="inlineStr">
        <is>
          <t>Föryngringsavverkning</t>
        </is>
      </c>
      <c r="D6164" s="1" t="n">
        <v>45867</v>
      </c>
      <c r="E6164" s="1" t="n">
        <v>46323</v>
      </c>
      <c r="F6164" t="inlineStr">
        <is>
          <t>KALMAR LÄN</t>
        </is>
      </c>
      <c r="G6164" t="inlineStr">
        <is>
          <t>VIMMERBY</t>
        </is>
      </c>
      <c r="I6164" t="n">
        <v>1</v>
      </c>
      <c r="J6164" t="n">
        <v>0</v>
      </c>
      <c r="K6164" t="n">
        <v>0</v>
      </c>
      <c r="L6164" t="n">
        <v>0</v>
      </c>
      <c r="M6164" t="n">
        <v>0</v>
      </c>
      <c r="N6164" t="n">
        <v>0</v>
      </c>
      <c r="O6164" t="n">
        <v>0</v>
      </c>
      <c r="P6164" t="n">
        <v>0</v>
      </c>
      <c r="Q6164" t="n">
        <v>0</v>
      </c>
      <c r="R6164" t="n">
        <v>0</v>
      </c>
      <c r="S6164" t="n">
        <v>0</v>
      </c>
      <c r="T6164" t="n">
        <v>0</v>
      </c>
      <c r="U6164" t="n">
        <v>0</v>
      </c>
      <c r="V6164" s="2" t="inlineStr"/>
    </row>
    <row r="6165" ht="15" customHeight="1">
      <c r="A6165" t="inlineStr">
        <is>
          <t>A 17084-2025</t>
        </is>
      </c>
      <c r="B6165" t="inlineStr">
        <is>
          <t>avverkningsanmälan</t>
        </is>
      </c>
      <c r="C6165" t="inlineStr">
        <is>
          <t>Föryngringsavverkning</t>
        </is>
      </c>
      <c r="D6165" s="1" t="n">
        <v>45755</v>
      </c>
      <c r="E6165" s="1" t="n">
        <v>46323</v>
      </c>
      <c r="F6165" t="inlineStr">
        <is>
          <t>KALMAR LÄN</t>
        </is>
      </c>
      <c r="G6165" t="inlineStr">
        <is>
          <t>VIMMERBY</t>
        </is>
      </c>
      <c r="I6165" t="n">
        <v>1.4</v>
      </c>
      <c r="J6165" t="n">
        <v>0</v>
      </c>
      <c r="K6165" t="n">
        <v>0</v>
      </c>
      <c r="L6165" t="n">
        <v>0</v>
      </c>
      <c r="M6165" t="n">
        <v>0</v>
      </c>
      <c r="N6165" t="n">
        <v>0</v>
      </c>
      <c r="O6165" t="n">
        <v>0</v>
      </c>
      <c r="P6165" t="n">
        <v>0</v>
      </c>
      <c r="Q6165" t="n">
        <v>0</v>
      </c>
      <c r="R6165" t="n">
        <v>0</v>
      </c>
      <c r="S6165" t="n">
        <v>0</v>
      </c>
      <c r="T6165" t="n">
        <v>0</v>
      </c>
      <c r="U6165" t="n">
        <v>0</v>
      </c>
      <c r="V6165" s="2" t="inlineStr"/>
    </row>
    <row r="6166" ht="15" customHeight="1">
      <c r="A6166" t="inlineStr">
        <is>
          <t>A 22754-2026</t>
        </is>
      </c>
      <c r="B6166" t="inlineStr">
        <is>
          <t>avverkningsanmälan</t>
        </is>
      </c>
      <c r="C6166" t="inlineStr">
        <is>
          <t>Avverkning för att bevara och utveckla /försöksver</t>
        </is>
      </c>
      <c r="D6166" s="1" t="n">
        <v>46157</v>
      </c>
      <c r="E6166" s="1" t="n">
        <v>46323</v>
      </c>
      <c r="F6166" t="inlineStr">
        <is>
          <t>KALMAR LÄN</t>
        </is>
      </c>
      <c r="G6166" t="inlineStr">
        <is>
          <t>MÖNSTERÅS</t>
        </is>
      </c>
      <c r="I6166" t="n">
        <v>1.6</v>
      </c>
      <c r="J6166" t="n">
        <v>0</v>
      </c>
      <c r="K6166" t="n">
        <v>0</v>
      </c>
      <c r="L6166" t="n">
        <v>0</v>
      </c>
      <c r="M6166" t="n">
        <v>0</v>
      </c>
      <c r="N6166" t="n">
        <v>0</v>
      </c>
      <c r="O6166" t="n">
        <v>0</v>
      </c>
      <c r="P6166" t="n">
        <v>0</v>
      </c>
      <c r="Q6166" t="n">
        <v>0</v>
      </c>
      <c r="R6166" t="n">
        <v>0</v>
      </c>
      <c r="S6166" t="n">
        <v>0</v>
      </c>
      <c r="T6166" t="n">
        <v>0</v>
      </c>
      <c r="U6166" t="n">
        <v>0</v>
      </c>
      <c r="V6166" s="2" t="inlineStr"/>
    </row>
    <row r="6167" ht="15" customHeight="1">
      <c r="A6167" t="inlineStr">
        <is>
          <t>A 15270-2025</t>
        </is>
      </c>
      <c r="B6167" t="inlineStr">
        <is>
          <t>avverkningsanmälan</t>
        </is>
      </c>
      <c r="C6167" t="inlineStr">
        <is>
          <t>Föryngringsavverkning</t>
        </is>
      </c>
      <c r="D6167" s="1" t="n">
        <v>45744</v>
      </c>
      <c r="E6167" s="1" t="n">
        <v>46323</v>
      </c>
      <c r="F6167" t="inlineStr">
        <is>
          <t>KALMAR LÄN</t>
        </is>
      </c>
      <c r="G6167" t="inlineStr">
        <is>
          <t>HULTSFRED</t>
        </is>
      </c>
      <c r="I6167" t="n">
        <v>1.9</v>
      </c>
      <c r="J6167" t="n">
        <v>0</v>
      </c>
      <c r="K6167" t="n">
        <v>0</v>
      </c>
      <c r="L6167" t="n">
        <v>0</v>
      </c>
      <c r="M6167" t="n">
        <v>0</v>
      </c>
      <c r="N6167" t="n">
        <v>0</v>
      </c>
      <c r="O6167" t="n">
        <v>0</v>
      </c>
      <c r="P6167" t="n">
        <v>0</v>
      </c>
      <c r="Q6167" t="n">
        <v>0</v>
      </c>
      <c r="R6167" t="n">
        <v>0</v>
      </c>
      <c r="S6167" t="n">
        <v>0</v>
      </c>
      <c r="T6167" t="n">
        <v>0</v>
      </c>
      <c r="U6167" t="n">
        <v>0</v>
      </c>
      <c r="V6167" s="2" t="inlineStr"/>
    </row>
    <row r="6168" ht="15" customHeight="1">
      <c r="A6168" t="inlineStr">
        <is>
          <t>A 7669-2024</t>
        </is>
      </c>
      <c r="B6168" t="inlineStr">
        <is>
          <t>avverkningsanmälan</t>
        </is>
      </c>
      <c r="C6168" t="inlineStr">
        <is>
          <t>Föryngringsavverkning</t>
        </is>
      </c>
      <c r="D6168" s="1" t="n">
        <v>45348</v>
      </c>
      <c r="E6168" s="1" t="n">
        <v>46323</v>
      </c>
      <c r="F6168" t="inlineStr">
        <is>
          <t>KALMAR LÄN</t>
        </is>
      </c>
      <c r="G6168" t="inlineStr">
        <is>
          <t>BORGHOLM</t>
        </is>
      </c>
      <c r="I6168" t="n">
        <v>2.3</v>
      </c>
      <c r="J6168" t="n">
        <v>0</v>
      </c>
      <c r="K6168" t="n">
        <v>0</v>
      </c>
      <c r="L6168" t="n">
        <v>0</v>
      </c>
      <c r="M6168" t="n">
        <v>0</v>
      </c>
      <c r="N6168" t="n">
        <v>0</v>
      </c>
      <c r="O6168" t="n">
        <v>0</v>
      </c>
      <c r="P6168" t="n">
        <v>0</v>
      </c>
      <c r="Q6168" t="n">
        <v>0</v>
      </c>
      <c r="R6168" t="n">
        <v>0</v>
      </c>
      <c r="S6168" t="n">
        <v>0</v>
      </c>
      <c r="T6168" t="n">
        <v>0</v>
      </c>
      <c r="U6168" t="n">
        <v>0</v>
      </c>
      <c r="V6168" s="2" t="inlineStr"/>
    </row>
    <row r="6169" ht="15" customHeight="1">
      <c r="A6169" t="inlineStr">
        <is>
          <t>A 35147-2025</t>
        </is>
      </c>
      <c r="B6169" t="inlineStr">
        <is>
          <t>avverkningsanmälan</t>
        </is>
      </c>
      <c r="C6169" t="inlineStr">
        <is>
          <t>Föryngringsavverkning</t>
        </is>
      </c>
      <c r="D6169" s="1" t="n">
        <v>45852</v>
      </c>
      <c r="E6169" s="1" t="n">
        <v>46323</v>
      </c>
      <c r="F6169" t="inlineStr">
        <is>
          <t>KALMAR LÄN</t>
        </is>
      </c>
      <c r="G6169" t="inlineStr">
        <is>
          <t>NYBRO</t>
        </is>
      </c>
      <c r="I6169" t="n">
        <v>0.5</v>
      </c>
      <c r="J6169" t="n">
        <v>0</v>
      </c>
      <c r="K6169" t="n">
        <v>0</v>
      </c>
      <c r="L6169" t="n">
        <v>0</v>
      </c>
      <c r="M6169" t="n">
        <v>0</v>
      </c>
      <c r="N6169" t="n">
        <v>0</v>
      </c>
      <c r="O6169" t="n">
        <v>0</v>
      </c>
      <c r="P6169" t="n">
        <v>0</v>
      </c>
      <c r="Q6169" t="n">
        <v>0</v>
      </c>
      <c r="R6169" t="n">
        <v>0</v>
      </c>
      <c r="S6169" t="n">
        <v>0</v>
      </c>
      <c r="T6169" t="n">
        <v>0</v>
      </c>
      <c r="U6169" t="n">
        <v>0</v>
      </c>
      <c r="V6169" s="2" t="inlineStr"/>
    </row>
    <row r="6170" ht="15" customHeight="1">
      <c r="A6170" t="inlineStr">
        <is>
          <t>A 54806-2023</t>
        </is>
      </c>
      <c r="B6170" t="inlineStr">
        <is>
          <t>avverkningsanmälan</t>
        </is>
      </c>
      <c r="C6170" t="inlineStr">
        <is>
          <t>Föryngringsavverkning</t>
        </is>
      </c>
      <c r="D6170" s="1" t="n">
        <v>45236</v>
      </c>
      <c r="E6170" s="1" t="n">
        <v>46323</v>
      </c>
      <c r="F6170" t="inlineStr">
        <is>
          <t>KALMAR LÄN</t>
        </is>
      </c>
      <c r="G6170" t="inlineStr">
        <is>
          <t>KALMAR</t>
        </is>
      </c>
      <c r="I6170" t="n">
        <v>1.4</v>
      </c>
      <c r="J6170" t="n">
        <v>0</v>
      </c>
      <c r="K6170" t="n">
        <v>0</v>
      </c>
      <c r="L6170" t="n">
        <v>0</v>
      </c>
      <c r="M6170" t="n">
        <v>0</v>
      </c>
      <c r="N6170" t="n">
        <v>0</v>
      </c>
      <c r="O6170" t="n">
        <v>0</v>
      </c>
      <c r="P6170" t="n">
        <v>0</v>
      </c>
      <c r="Q6170" t="n">
        <v>0</v>
      </c>
      <c r="R6170" t="n">
        <v>0</v>
      </c>
      <c r="S6170" t="n">
        <v>0</v>
      </c>
      <c r="T6170" t="n">
        <v>0</v>
      </c>
      <c r="U6170" t="n">
        <v>0</v>
      </c>
      <c r="V6170" s="2" t="inlineStr"/>
    </row>
    <row r="6171" ht="15" customHeight="1">
      <c r="A6171" t="inlineStr">
        <is>
          <t>A 22755-2026</t>
        </is>
      </c>
      <c r="B6171" t="inlineStr">
        <is>
          <t>avverkningsanmälan</t>
        </is>
      </c>
      <c r="C6171" t="inlineStr">
        <is>
          <t>Föryngringsavverkning</t>
        </is>
      </c>
      <c r="D6171" s="1" t="n">
        <v>46157</v>
      </c>
      <c r="E6171" s="1" t="n">
        <v>46323</v>
      </c>
      <c r="F6171" t="inlineStr">
        <is>
          <t>KALMAR LÄN</t>
        </is>
      </c>
      <c r="G6171" t="inlineStr">
        <is>
          <t>HÖGSBY</t>
        </is>
      </c>
      <c r="I6171" t="n">
        <v>1.2</v>
      </c>
      <c r="J6171" t="n">
        <v>0</v>
      </c>
      <c r="K6171" t="n">
        <v>0</v>
      </c>
      <c r="L6171" t="n">
        <v>0</v>
      </c>
      <c r="M6171" t="n">
        <v>0</v>
      </c>
      <c r="N6171" t="n">
        <v>0</v>
      </c>
      <c r="O6171" t="n">
        <v>0</v>
      </c>
      <c r="P6171" t="n">
        <v>0</v>
      </c>
      <c r="Q6171" t="n">
        <v>0</v>
      </c>
      <c r="R6171" t="n">
        <v>0</v>
      </c>
      <c r="S6171" t="n">
        <v>0</v>
      </c>
      <c r="T6171" t="n">
        <v>0</v>
      </c>
      <c r="U6171" t="n">
        <v>0</v>
      </c>
      <c r="V6171" s="2" t="inlineStr"/>
    </row>
    <row r="6172" ht="15" customHeight="1">
      <c r="A6172" t="inlineStr">
        <is>
          <t>A 35020-2025</t>
        </is>
      </c>
      <c r="B6172" t="inlineStr">
        <is>
          <t>avverkningsanmälan</t>
        </is>
      </c>
      <c r="C6172" t="inlineStr">
        <is>
          <t>Föryngringsavverkning</t>
        </is>
      </c>
      <c r="D6172" s="1" t="n">
        <v>45851</v>
      </c>
      <c r="E6172" s="1" t="n">
        <v>46323</v>
      </c>
      <c r="F6172" t="inlineStr">
        <is>
          <t>KALMAR LÄN</t>
        </is>
      </c>
      <c r="G6172" t="inlineStr">
        <is>
          <t>EMMABODA</t>
        </is>
      </c>
      <c r="I6172" t="n">
        <v>0.7</v>
      </c>
      <c r="J6172" t="n">
        <v>0</v>
      </c>
      <c r="K6172" t="n">
        <v>0</v>
      </c>
      <c r="L6172" t="n">
        <v>0</v>
      </c>
      <c r="M6172" t="n">
        <v>0</v>
      </c>
      <c r="N6172" t="n">
        <v>0</v>
      </c>
      <c r="O6172" t="n">
        <v>0</v>
      </c>
      <c r="P6172" t="n">
        <v>0</v>
      </c>
      <c r="Q6172" t="n">
        <v>0</v>
      </c>
      <c r="R6172" t="n">
        <v>0</v>
      </c>
      <c r="S6172" t="n">
        <v>0</v>
      </c>
      <c r="T6172" t="n">
        <v>0</v>
      </c>
      <c r="U6172" t="n">
        <v>0</v>
      </c>
      <c r="V6172" s="2" t="inlineStr"/>
    </row>
    <row r="6173" ht="15" customHeight="1">
      <c r="A6173" t="inlineStr">
        <is>
          <t>A 35021-2025</t>
        </is>
      </c>
      <c r="B6173" t="inlineStr">
        <is>
          <t>avverkningsanmälan</t>
        </is>
      </c>
      <c r="C6173" t="inlineStr">
        <is>
          <t>Föryngringsavverkning</t>
        </is>
      </c>
      <c r="D6173" s="1" t="n">
        <v>45851</v>
      </c>
      <c r="E6173" s="1" t="n">
        <v>46323</v>
      </c>
      <c r="F6173" t="inlineStr">
        <is>
          <t>KALMAR LÄN</t>
        </is>
      </c>
      <c r="G6173" t="inlineStr">
        <is>
          <t>EMMABODA</t>
        </is>
      </c>
      <c r="I6173" t="n">
        <v>4.1</v>
      </c>
      <c r="J6173" t="n">
        <v>0</v>
      </c>
      <c r="K6173" t="n">
        <v>0</v>
      </c>
      <c r="L6173" t="n">
        <v>0</v>
      </c>
      <c r="M6173" t="n">
        <v>0</v>
      </c>
      <c r="N6173" t="n">
        <v>0</v>
      </c>
      <c r="O6173" t="n">
        <v>0</v>
      </c>
      <c r="P6173" t="n">
        <v>0</v>
      </c>
      <c r="Q6173" t="n">
        <v>0</v>
      </c>
      <c r="R6173" t="n">
        <v>0</v>
      </c>
      <c r="S6173" t="n">
        <v>0</v>
      </c>
      <c r="T6173" t="n">
        <v>0</v>
      </c>
      <c r="U6173" t="n">
        <v>0</v>
      </c>
      <c r="V6173" s="2" t="inlineStr"/>
    </row>
    <row r="6174" ht="15" customHeight="1">
      <c r="A6174" t="inlineStr">
        <is>
          <t>A 27982-2025</t>
        </is>
      </c>
      <c r="B6174" t="inlineStr">
        <is>
          <t>avverkningsanmälan</t>
        </is>
      </c>
      <c r="C6174" t="inlineStr">
        <is>
          <t>Föryngringsavverkning</t>
        </is>
      </c>
      <c r="D6174" s="1" t="n">
        <v>45817</v>
      </c>
      <c r="E6174" s="1" t="n">
        <v>46323</v>
      </c>
      <c r="F6174" t="inlineStr">
        <is>
          <t>KALMAR LÄN</t>
        </is>
      </c>
      <c r="G6174" t="inlineStr">
        <is>
          <t>VÄSTERVIK</t>
        </is>
      </c>
      <c r="I6174" t="n">
        <v>2.5</v>
      </c>
      <c r="J6174" t="n">
        <v>0</v>
      </c>
      <c r="K6174" t="n">
        <v>0</v>
      </c>
      <c r="L6174" t="n">
        <v>0</v>
      </c>
      <c r="M6174" t="n">
        <v>0</v>
      </c>
      <c r="N6174" t="n">
        <v>0</v>
      </c>
      <c r="O6174" t="n">
        <v>0</v>
      </c>
      <c r="P6174" t="n">
        <v>0</v>
      </c>
      <c r="Q6174" t="n">
        <v>0</v>
      </c>
      <c r="R6174" t="n">
        <v>0</v>
      </c>
      <c r="S6174" t="n">
        <v>0</v>
      </c>
      <c r="T6174" t="n">
        <v>0</v>
      </c>
      <c r="U6174" t="n">
        <v>0</v>
      </c>
      <c r="V6174" s="2" t="inlineStr"/>
    </row>
    <row r="6175" ht="15" customHeight="1">
      <c r="A6175" t="inlineStr">
        <is>
          <t>A 35271-2025</t>
        </is>
      </c>
      <c r="B6175" t="inlineStr">
        <is>
          <t>avverkningsanmälan</t>
        </is>
      </c>
      <c r="C6175" t="inlineStr">
        <is>
          <t>Föryngringsavverkning</t>
        </is>
      </c>
      <c r="D6175" s="1" t="n">
        <v>45853</v>
      </c>
      <c r="E6175" s="1" t="n">
        <v>46323</v>
      </c>
      <c r="F6175" t="inlineStr">
        <is>
          <t>KALMAR LÄN</t>
        </is>
      </c>
      <c r="G6175" t="inlineStr">
        <is>
          <t>VIMMERBY</t>
        </is>
      </c>
      <c r="I6175" t="n">
        <v>0.4</v>
      </c>
      <c r="J6175" t="n">
        <v>0</v>
      </c>
      <c r="K6175" t="n">
        <v>0</v>
      </c>
      <c r="L6175" t="n">
        <v>0</v>
      </c>
      <c r="M6175" t="n">
        <v>0</v>
      </c>
      <c r="N6175" t="n">
        <v>0</v>
      </c>
      <c r="O6175" t="n">
        <v>0</v>
      </c>
      <c r="P6175" t="n">
        <v>0</v>
      </c>
      <c r="Q6175" t="n">
        <v>0</v>
      </c>
      <c r="R6175" t="n">
        <v>0</v>
      </c>
      <c r="S6175" t="n">
        <v>0</v>
      </c>
      <c r="T6175" t="n">
        <v>0</v>
      </c>
      <c r="U6175" t="n">
        <v>0</v>
      </c>
      <c r="V6175" s="2" t="inlineStr"/>
    </row>
    <row r="6176" ht="15" customHeight="1">
      <c r="A6176" t="inlineStr">
        <is>
          <t>A 35207-2025</t>
        </is>
      </c>
      <c r="B6176" t="inlineStr">
        <is>
          <t>avverkningsanmälan</t>
        </is>
      </c>
      <c r="C6176" t="inlineStr">
        <is>
          <t>Föryngringsavverkning</t>
        </is>
      </c>
      <c r="D6176" s="1" t="n">
        <v>45853</v>
      </c>
      <c r="E6176" s="1" t="n">
        <v>46323</v>
      </c>
      <c r="F6176" t="inlineStr">
        <is>
          <t>KALMAR LÄN</t>
        </is>
      </c>
      <c r="G6176" t="inlineStr">
        <is>
          <t>VÄSTERVIK</t>
        </is>
      </c>
      <c r="I6176" t="n">
        <v>7</v>
      </c>
      <c r="J6176" t="n">
        <v>0</v>
      </c>
      <c r="K6176" t="n">
        <v>0</v>
      </c>
      <c r="L6176" t="n">
        <v>0</v>
      </c>
      <c r="M6176" t="n">
        <v>0</v>
      </c>
      <c r="N6176" t="n">
        <v>0</v>
      </c>
      <c r="O6176" t="n">
        <v>0</v>
      </c>
      <c r="P6176" t="n">
        <v>0</v>
      </c>
      <c r="Q6176" t="n">
        <v>0</v>
      </c>
      <c r="R6176" t="n">
        <v>0</v>
      </c>
      <c r="S6176" t="n">
        <v>0</v>
      </c>
      <c r="T6176" t="n">
        <v>0</v>
      </c>
      <c r="U6176" t="n">
        <v>0</v>
      </c>
      <c r="V6176" s="2" t="inlineStr"/>
    </row>
    <row r="6177" ht="15" customHeight="1">
      <c r="A6177" t="inlineStr">
        <is>
          <t>A 16953-2025</t>
        </is>
      </c>
      <c r="B6177" t="inlineStr">
        <is>
          <t>avverkningsanmälan</t>
        </is>
      </c>
      <c r="C6177" t="inlineStr">
        <is>
          <t>Föryngringsavverkning</t>
        </is>
      </c>
      <c r="D6177" s="1" t="n">
        <v>45755</v>
      </c>
      <c r="E6177" s="1" t="n">
        <v>46323</v>
      </c>
      <c r="F6177" t="inlineStr">
        <is>
          <t>KALMAR LÄN</t>
        </is>
      </c>
      <c r="G6177" t="inlineStr">
        <is>
          <t>VIMMERBY</t>
        </is>
      </c>
      <c r="I6177" t="n">
        <v>2</v>
      </c>
      <c r="J6177" t="n">
        <v>0</v>
      </c>
      <c r="K6177" t="n">
        <v>0</v>
      </c>
      <c r="L6177" t="n">
        <v>0</v>
      </c>
      <c r="M6177" t="n">
        <v>0</v>
      </c>
      <c r="N6177" t="n">
        <v>0</v>
      </c>
      <c r="O6177" t="n">
        <v>0</v>
      </c>
      <c r="P6177" t="n">
        <v>0</v>
      </c>
      <c r="Q6177" t="n">
        <v>0</v>
      </c>
      <c r="R6177" t="n">
        <v>0</v>
      </c>
      <c r="S6177" t="n">
        <v>0</v>
      </c>
      <c r="T6177" t="n">
        <v>0</v>
      </c>
      <c r="U6177" t="n">
        <v>0</v>
      </c>
      <c r="V6177" s="2" t="inlineStr"/>
    </row>
    <row r="6178" ht="15" customHeight="1">
      <c r="A6178" t="inlineStr">
        <is>
          <t>A 35522-2025</t>
        </is>
      </c>
      <c r="B6178" t="inlineStr">
        <is>
          <t>avverkningsanmälan</t>
        </is>
      </c>
      <c r="C6178" t="inlineStr">
        <is>
          <t>Föryngringsavverkning</t>
        </is>
      </c>
      <c r="D6178" s="1" t="n">
        <v>45856</v>
      </c>
      <c r="E6178" s="1" t="n">
        <v>46323</v>
      </c>
      <c r="F6178" t="inlineStr">
        <is>
          <t>KALMAR LÄN</t>
        </is>
      </c>
      <c r="G6178" t="inlineStr">
        <is>
          <t>NYBRO</t>
        </is>
      </c>
      <c r="H6178" t="inlineStr">
        <is>
          <t>Sveaskog</t>
        </is>
      </c>
      <c r="I6178" t="n">
        <v>1.4</v>
      </c>
      <c r="J6178" t="n">
        <v>0</v>
      </c>
      <c r="K6178" t="n">
        <v>0</v>
      </c>
      <c r="L6178" t="n">
        <v>0</v>
      </c>
      <c r="M6178" t="n">
        <v>0</v>
      </c>
      <c r="N6178" t="n">
        <v>0</v>
      </c>
      <c r="O6178" t="n">
        <v>0</v>
      </c>
      <c r="P6178" t="n">
        <v>0</v>
      </c>
      <c r="Q6178" t="n">
        <v>0</v>
      </c>
      <c r="R6178" t="n">
        <v>0</v>
      </c>
      <c r="S6178" t="n">
        <v>0</v>
      </c>
      <c r="T6178" t="n">
        <v>0</v>
      </c>
      <c r="U6178" t="n">
        <v>0</v>
      </c>
      <c r="V6178" s="2" t="inlineStr"/>
    </row>
    <row r="6179" ht="15" customHeight="1">
      <c r="A6179" t="inlineStr">
        <is>
          <t>A 7037-2026</t>
        </is>
      </c>
      <c r="B6179" t="inlineStr">
        <is>
          <t>avverkningsanmälan</t>
        </is>
      </c>
      <c r="C6179" t="inlineStr">
        <is>
          <t>Föryngringsavverkning</t>
        </is>
      </c>
      <c r="D6179" s="1" t="n">
        <v>46057</v>
      </c>
      <c r="E6179" s="1" t="n">
        <v>46323</v>
      </c>
      <c r="F6179" t="inlineStr">
        <is>
          <t>KALMAR LÄN</t>
        </is>
      </c>
      <c r="G6179" t="inlineStr">
        <is>
          <t>NYBRO</t>
        </is>
      </c>
      <c r="I6179" t="n">
        <v>1.6</v>
      </c>
      <c r="J6179" t="n">
        <v>0</v>
      </c>
      <c r="K6179" t="n">
        <v>0</v>
      </c>
      <c r="L6179" t="n">
        <v>0</v>
      </c>
      <c r="M6179" t="n">
        <v>0</v>
      </c>
      <c r="N6179" t="n">
        <v>0</v>
      </c>
      <c r="O6179" t="n">
        <v>0</v>
      </c>
      <c r="P6179" t="n">
        <v>0</v>
      </c>
      <c r="Q6179" t="n">
        <v>0</v>
      </c>
      <c r="R6179" t="n">
        <v>0</v>
      </c>
      <c r="S6179" t="n">
        <v>0</v>
      </c>
      <c r="T6179" t="n">
        <v>0</v>
      </c>
      <c r="U6179" t="n">
        <v>0</v>
      </c>
      <c r="V6179" s="2" t="inlineStr"/>
    </row>
    <row r="6180" ht="15" customHeight="1">
      <c r="A6180" t="inlineStr">
        <is>
          <t>A 22933-2026</t>
        </is>
      </c>
      <c r="B6180" t="inlineStr">
        <is>
          <t>avverkningsanmälan</t>
        </is>
      </c>
      <c r="C6180" t="inlineStr">
        <is>
          <t>Föryngringsavverkning</t>
        </is>
      </c>
      <c r="D6180" s="1" t="n">
        <v>46160</v>
      </c>
      <c r="E6180" s="1" t="n">
        <v>46323</v>
      </c>
      <c r="F6180" t="inlineStr">
        <is>
          <t>KALMAR LÄN</t>
        </is>
      </c>
      <c r="G6180" t="inlineStr">
        <is>
          <t>KALMAR</t>
        </is>
      </c>
      <c r="I6180" t="n">
        <v>6.7</v>
      </c>
      <c r="J6180" t="n">
        <v>0</v>
      </c>
      <c r="K6180" t="n">
        <v>0</v>
      </c>
      <c r="L6180" t="n">
        <v>0</v>
      </c>
      <c r="M6180" t="n">
        <v>0</v>
      </c>
      <c r="N6180" t="n">
        <v>0</v>
      </c>
      <c r="O6180" t="n">
        <v>0</v>
      </c>
      <c r="P6180" t="n">
        <v>0</v>
      </c>
      <c r="Q6180" t="n">
        <v>0</v>
      </c>
      <c r="R6180" t="n">
        <v>0</v>
      </c>
      <c r="S6180" t="n">
        <v>0</v>
      </c>
      <c r="T6180" t="n">
        <v>0</v>
      </c>
      <c r="U6180" t="n">
        <v>0</v>
      </c>
      <c r="V6180" s="2" t="inlineStr"/>
    </row>
    <row r="6181" ht="15" customHeight="1">
      <c r="A6181" t="inlineStr">
        <is>
          <t>A 35521-2025</t>
        </is>
      </c>
      <c r="B6181" t="inlineStr">
        <is>
          <t>avverkningsanmälan</t>
        </is>
      </c>
      <c r="C6181" t="inlineStr">
        <is>
          <t>Föryngringsavverkning</t>
        </is>
      </c>
      <c r="D6181" s="1" t="n">
        <v>45856</v>
      </c>
      <c r="E6181" s="1" t="n">
        <v>46323</v>
      </c>
      <c r="F6181" t="inlineStr">
        <is>
          <t>KALMAR LÄN</t>
        </is>
      </c>
      <c r="G6181" t="inlineStr">
        <is>
          <t>NYBRO</t>
        </is>
      </c>
      <c r="H6181" t="inlineStr">
        <is>
          <t>Sveaskog</t>
        </is>
      </c>
      <c r="I6181" t="n">
        <v>0.8</v>
      </c>
      <c r="J6181" t="n">
        <v>0</v>
      </c>
      <c r="K6181" t="n">
        <v>0</v>
      </c>
      <c r="L6181" t="n">
        <v>0</v>
      </c>
      <c r="M6181" t="n">
        <v>0</v>
      </c>
      <c r="N6181" t="n">
        <v>0</v>
      </c>
      <c r="O6181" t="n">
        <v>0</v>
      </c>
      <c r="P6181" t="n">
        <v>0</v>
      </c>
      <c r="Q6181" t="n">
        <v>0</v>
      </c>
      <c r="R6181" t="n">
        <v>0</v>
      </c>
      <c r="S6181" t="n">
        <v>0</v>
      </c>
      <c r="T6181" t="n">
        <v>0</v>
      </c>
      <c r="U6181" t="n">
        <v>0</v>
      </c>
      <c r="V6181" s="2" t="inlineStr"/>
    </row>
    <row r="6182" ht="15" customHeight="1">
      <c r="A6182" t="inlineStr">
        <is>
          <t>A 22979-2026</t>
        </is>
      </c>
      <c r="B6182" t="inlineStr">
        <is>
          <t>avverkningsanmälan</t>
        </is>
      </c>
      <c r="C6182" t="inlineStr">
        <is>
          <t>Föryngringsavverkning</t>
        </is>
      </c>
      <c r="D6182" s="1" t="n">
        <v>46160</v>
      </c>
      <c r="E6182" s="1" t="n">
        <v>46323</v>
      </c>
      <c r="F6182" t="inlineStr">
        <is>
          <t>KALMAR LÄN</t>
        </is>
      </c>
      <c r="G6182" t="inlineStr">
        <is>
          <t>VÄSTERVIK</t>
        </is>
      </c>
      <c r="H6182" t="inlineStr">
        <is>
          <t>Sveaskog</t>
        </is>
      </c>
      <c r="I6182" t="n">
        <v>2.3</v>
      </c>
      <c r="J6182" t="n">
        <v>0</v>
      </c>
      <c r="K6182" t="n">
        <v>0</v>
      </c>
      <c r="L6182" t="n">
        <v>0</v>
      </c>
      <c r="M6182" t="n">
        <v>0</v>
      </c>
      <c r="N6182" t="n">
        <v>0</v>
      </c>
      <c r="O6182" t="n">
        <v>0</v>
      </c>
      <c r="P6182" t="n">
        <v>0</v>
      </c>
      <c r="Q6182" t="n">
        <v>0</v>
      </c>
      <c r="R6182" t="n">
        <v>0</v>
      </c>
      <c r="S6182" t="n">
        <v>0</v>
      </c>
      <c r="T6182" t="n">
        <v>0</v>
      </c>
      <c r="U6182" t="n">
        <v>0</v>
      </c>
      <c r="V6182" s="2" t="inlineStr"/>
    </row>
    <row r="6183" ht="15" customHeight="1">
      <c r="A6183" t="inlineStr">
        <is>
          <t>A 41941-2025</t>
        </is>
      </c>
      <c r="B6183" t="inlineStr">
        <is>
          <t>avverkningsanmälan</t>
        </is>
      </c>
      <c r="C6183" t="inlineStr">
        <is>
          <t>Avverkning för annat ändamål</t>
        </is>
      </c>
      <c r="D6183" s="1" t="n">
        <v>45903</v>
      </c>
      <c r="E6183" s="1" t="n">
        <v>46323</v>
      </c>
      <c r="F6183" t="inlineStr">
        <is>
          <t>KALMAR LÄN</t>
        </is>
      </c>
      <c r="G6183" t="inlineStr">
        <is>
          <t>KALMAR</t>
        </is>
      </c>
      <c r="I6183" t="n">
        <v>3.1</v>
      </c>
      <c r="J6183" t="n">
        <v>0</v>
      </c>
      <c r="K6183" t="n">
        <v>0</v>
      </c>
      <c r="L6183" t="n">
        <v>0</v>
      </c>
      <c r="M6183" t="n">
        <v>0</v>
      </c>
      <c r="N6183" t="n">
        <v>0</v>
      </c>
      <c r="O6183" t="n">
        <v>0</v>
      </c>
      <c r="P6183" t="n">
        <v>0</v>
      </c>
      <c r="Q6183" t="n">
        <v>0</v>
      </c>
      <c r="R6183" t="n">
        <v>0</v>
      </c>
      <c r="S6183" t="n">
        <v>0</v>
      </c>
      <c r="T6183" t="n">
        <v>0</v>
      </c>
      <c r="U6183" t="n">
        <v>0</v>
      </c>
      <c r="V6183" s="2" t="inlineStr"/>
    </row>
    <row r="6184" ht="15" customHeight="1">
      <c r="A6184" t="inlineStr">
        <is>
          <t>A 22841-2026</t>
        </is>
      </c>
      <c r="B6184" t="inlineStr">
        <is>
          <t>avverkningsanmälan</t>
        </is>
      </c>
      <c r="C6184" t="inlineStr">
        <is>
          <t>Föryngringsavverkning</t>
        </is>
      </c>
      <c r="D6184" s="1" t="n">
        <v>46160</v>
      </c>
      <c r="E6184" s="1" t="n">
        <v>46323</v>
      </c>
      <c r="F6184" t="inlineStr">
        <is>
          <t>KALMAR LÄN</t>
        </is>
      </c>
      <c r="G6184" t="inlineStr">
        <is>
          <t>EMMABODA</t>
        </is>
      </c>
      <c r="I6184" t="n">
        <v>0.5</v>
      </c>
      <c r="J6184" t="n">
        <v>0</v>
      </c>
      <c r="K6184" t="n">
        <v>0</v>
      </c>
      <c r="L6184" t="n">
        <v>0</v>
      </c>
      <c r="M6184" t="n">
        <v>0</v>
      </c>
      <c r="N6184" t="n">
        <v>0</v>
      </c>
      <c r="O6184" t="n">
        <v>0</v>
      </c>
      <c r="P6184" t="n">
        <v>0</v>
      </c>
      <c r="Q6184" t="n">
        <v>0</v>
      </c>
      <c r="R6184" t="n">
        <v>0</v>
      </c>
      <c r="S6184" t="n">
        <v>0</v>
      </c>
      <c r="T6184" t="n">
        <v>0</v>
      </c>
      <c r="U6184" t="n">
        <v>0</v>
      </c>
      <c r="V6184" s="2" t="inlineStr"/>
    </row>
    <row r="6185" ht="15" customHeight="1">
      <c r="A6185" t="inlineStr">
        <is>
          <t>A 22974-2026</t>
        </is>
      </c>
      <c r="B6185" t="inlineStr">
        <is>
          <t>avverkningsanmälan</t>
        </is>
      </c>
      <c r="C6185" t="inlineStr">
        <is>
          <t>Föryngringsavverkning</t>
        </is>
      </c>
      <c r="D6185" s="1" t="n">
        <v>46160</v>
      </c>
      <c r="E6185" s="1" t="n">
        <v>46323</v>
      </c>
      <c r="F6185" t="inlineStr">
        <is>
          <t>KALMAR LÄN</t>
        </is>
      </c>
      <c r="G6185" t="inlineStr">
        <is>
          <t>VÄSTERVIK</t>
        </is>
      </c>
      <c r="H6185" t="inlineStr">
        <is>
          <t>Sveaskog</t>
        </is>
      </c>
      <c r="I6185" t="n">
        <v>1.5</v>
      </c>
      <c r="J6185" t="n">
        <v>0</v>
      </c>
      <c r="K6185" t="n">
        <v>0</v>
      </c>
      <c r="L6185" t="n">
        <v>0</v>
      </c>
      <c r="M6185" t="n">
        <v>0</v>
      </c>
      <c r="N6185" t="n">
        <v>0</v>
      </c>
      <c r="O6185" t="n">
        <v>0</v>
      </c>
      <c r="P6185" t="n">
        <v>0</v>
      </c>
      <c r="Q6185" t="n">
        <v>0</v>
      </c>
      <c r="R6185" t="n">
        <v>0</v>
      </c>
      <c r="S6185" t="n">
        <v>0</v>
      </c>
      <c r="T6185" t="n">
        <v>0</v>
      </c>
      <c r="U6185" t="n">
        <v>0</v>
      </c>
      <c r="V6185" s="2" t="inlineStr"/>
    </row>
    <row r="6186" ht="15" customHeight="1">
      <c r="A6186" t="inlineStr">
        <is>
          <t>A 22975-2026</t>
        </is>
      </c>
      <c r="B6186" t="inlineStr">
        <is>
          <t>avverkningsanmälan</t>
        </is>
      </c>
      <c r="C6186" t="inlineStr">
        <is>
          <t>Föryngringsavverkning</t>
        </is>
      </c>
      <c r="D6186" s="1" t="n">
        <v>46160</v>
      </c>
      <c r="E6186" s="1" t="n">
        <v>46323</v>
      </c>
      <c r="F6186" t="inlineStr">
        <is>
          <t>KALMAR LÄN</t>
        </is>
      </c>
      <c r="G6186" t="inlineStr">
        <is>
          <t>VÄSTERVIK</t>
        </is>
      </c>
      <c r="H6186" t="inlineStr">
        <is>
          <t>Sveaskog</t>
        </is>
      </c>
      <c r="I6186" t="n">
        <v>0.7</v>
      </c>
      <c r="J6186" t="n">
        <v>0</v>
      </c>
      <c r="K6186" t="n">
        <v>0</v>
      </c>
      <c r="L6186" t="n">
        <v>0</v>
      </c>
      <c r="M6186" t="n">
        <v>0</v>
      </c>
      <c r="N6186" t="n">
        <v>0</v>
      </c>
      <c r="O6186" t="n">
        <v>0</v>
      </c>
      <c r="P6186" t="n">
        <v>0</v>
      </c>
      <c r="Q6186" t="n">
        <v>0</v>
      </c>
      <c r="R6186" t="n">
        <v>0</v>
      </c>
      <c r="S6186" t="n">
        <v>0</v>
      </c>
      <c r="T6186" t="n">
        <v>0</v>
      </c>
      <c r="U6186" t="n">
        <v>0</v>
      </c>
      <c r="V6186" s="2" t="inlineStr"/>
    </row>
    <row r="6187" ht="15" customHeight="1">
      <c r="A6187" t="inlineStr">
        <is>
          <t>A 22978-2026</t>
        </is>
      </c>
      <c r="B6187" t="inlineStr">
        <is>
          <t>avverkningsanmälan</t>
        </is>
      </c>
      <c r="C6187" t="inlineStr">
        <is>
          <t>Föryngringsavverkning</t>
        </is>
      </c>
      <c r="D6187" s="1" t="n">
        <v>46160</v>
      </c>
      <c r="E6187" s="1" t="n">
        <v>46323</v>
      </c>
      <c r="F6187" t="inlineStr">
        <is>
          <t>KALMAR LÄN</t>
        </is>
      </c>
      <c r="G6187" t="inlineStr">
        <is>
          <t>VÄSTERVIK</t>
        </is>
      </c>
      <c r="H6187" t="inlineStr">
        <is>
          <t>Sveaskog</t>
        </is>
      </c>
      <c r="I6187" t="n">
        <v>2.8</v>
      </c>
      <c r="J6187" t="n">
        <v>0</v>
      </c>
      <c r="K6187" t="n">
        <v>0</v>
      </c>
      <c r="L6187" t="n">
        <v>0</v>
      </c>
      <c r="M6187" t="n">
        <v>0</v>
      </c>
      <c r="N6187" t="n">
        <v>0</v>
      </c>
      <c r="O6187" t="n">
        <v>0</v>
      </c>
      <c r="P6187" t="n">
        <v>0</v>
      </c>
      <c r="Q6187" t="n">
        <v>0</v>
      </c>
      <c r="R6187" t="n">
        <v>0</v>
      </c>
      <c r="S6187" t="n">
        <v>0</v>
      </c>
      <c r="T6187" t="n">
        <v>0</v>
      </c>
      <c r="U6187" t="n">
        <v>0</v>
      </c>
      <c r="V6187" s="2" t="inlineStr"/>
    </row>
    <row r="6188" ht="15" customHeight="1">
      <c r="A6188" t="inlineStr">
        <is>
          <t>A 22980-2026</t>
        </is>
      </c>
      <c r="B6188" t="inlineStr">
        <is>
          <t>avverkningsanmälan</t>
        </is>
      </c>
      <c r="C6188" t="inlineStr">
        <is>
          <t>Föryngringsavverkning</t>
        </is>
      </c>
      <c r="D6188" s="1" t="n">
        <v>46160</v>
      </c>
      <c r="E6188" s="1" t="n">
        <v>46323</v>
      </c>
      <c r="F6188" t="inlineStr">
        <is>
          <t>KALMAR LÄN</t>
        </is>
      </c>
      <c r="G6188" t="inlineStr">
        <is>
          <t>VÄSTERVIK</t>
        </is>
      </c>
      <c r="H6188" t="inlineStr">
        <is>
          <t>Sveaskog</t>
        </is>
      </c>
      <c r="I6188" t="n">
        <v>0.6</v>
      </c>
      <c r="J6188" t="n">
        <v>0</v>
      </c>
      <c r="K6188" t="n">
        <v>0</v>
      </c>
      <c r="L6188" t="n">
        <v>0</v>
      </c>
      <c r="M6188" t="n">
        <v>0</v>
      </c>
      <c r="N6188" t="n">
        <v>0</v>
      </c>
      <c r="O6188" t="n">
        <v>0</v>
      </c>
      <c r="P6188" t="n">
        <v>0</v>
      </c>
      <c r="Q6188" t="n">
        <v>0</v>
      </c>
      <c r="R6188" t="n">
        <v>0</v>
      </c>
      <c r="S6188" t="n">
        <v>0</v>
      </c>
      <c r="T6188" t="n">
        <v>0</v>
      </c>
      <c r="U6188" t="n">
        <v>0</v>
      </c>
      <c r="V6188" s="2" t="inlineStr"/>
    </row>
    <row r="6189" ht="15" customHeight="1">
      <c r="A6189" t="inlineStr">
        <is>
          <t>A 22983-2026</t>
        </is>
      </c>
      <c r="B6189" t="inlineStr">
        <is>
          <t>avverkningsanmälan</t>
        </is>
      </c>
      <c r="C6189" t="inlineStr">
        <is>
          <t>Föryngringsavverkning</t>
        </is>
      </c>
      <c r="D6189" s="1" t="n">
        <v>46160</v>
      </c>
      <c r="E6189" s="1" t="n">
        <v>46323</v>
      </c>
      <c r="F6189" t="inlineStr">
        <is>
          <t>KALMAR LÄN</t>
        </is>
      </c>
      <c r="G6189" t="inlineStr">
        <is>
          <t>VÄSTERVIK</t>
        </is>
      </c>
      <c r="H6189" t="inlineStr">
        <is>
          <t>Sveaskog</t>
        </is>
      </c>
      <c r="I6189" t="n">
        <v>2.2</v>
      </c>
      <c r="J6189" t="n">
        <v>0</v>
      </c>
      <c r="K6189" t="n">
        <v>0</v>
      </c>
      <c r="L6189" t="n">
        <v>0</v>
      </c>
      <c r="M6189" t="n">
        <v>0</v>
      </c>
      <c r="N6189" t="n">
        <v>0</v>
      </c>
      <c r="O6189" t="n">
        <v>0</v>
      </c>
      <c r="P6189" t="n">
        <v>0</v>
      </c>
      <c r="Q6189" t="n">
        <v>0</v>
      </c>
      <c r="R6189" t="n">
        <v>0</v>
      </c>
      <c r="S6189" t="n">
        <v>0</v>
      </c>
      <c r="T6189" t="n">
        <v>0</v>
      </c>
      <c r="U6189" t="n">
        <v>0</v>
      </c>
      <c r="V6189" s="2" t="inlineStr"/>
    </row>
    <row r="6190" ht="15" customHeight="1">
      <c r="A6190" t="inlineStr">
        <is>
          <t>A 37582-2025</t>
        </is>
      </c>
      <c r="B6190" t="inlineStr">
        <is>
          <t>avverkningsanmälan</t>
        </is>
      </c>
      <c r="C6190" t="inlineStr">
        <is>
          <t>Föryngringsavverkning</t>
        </is>
      </c>
      <c r="D6190" s="1" t="n">
        <v>45880</v>
      </c>
      <c r="E6190" s="1" t="n">
        <v>46323</v>
      </c>
      <c r="F6190" t="inlineStr">
        <is>
          <t>KALMAR LÄN</t>
        </is>
      </c>
      <c r="G6190" t="inlineStr">
        <is>
          <t>MÖNSTERÅS</t>
        </is>
      </c>
      <c r="I6190" t="n">
        <v>3</v>
      </c>
      <c r="J6190" t="n">
        <v>0</v>
      </c>
      <c r="K6190" t="n">
        <v>0</v>
      </c>
      <c r="L6190" t="n">
        <v>0</v>
      </c>
      <c r="M6190" t="n">
        <v>0</v>
      </c>
      <c r="N6190" t="n">
        <v>0</v>
      </c>
      <c r="O6190" t="n">
        <v>0</v>
      </c>
      <c r="P6190" t="n">
        <v>0</v>
      </c>
      <c r="Q6190" t="n">
        <v>0</v>
      </c>
      <c r="R6190" t="n">
        <v>0</v>
      </c>
      <c r="S6190" t="n">
        <v>0</v>
      </c>
      <c r="T6190" t="n">
        <v>0</v>
      </c>
      <c r="U6190" t="n">
        <v>0</v>
      </c>
      <c r="V6190" s="2" t="inlineStr"/>
    </row>
    <row r="6191" ht="15" customHeight="1">
      <c r="A6191" t="inlineStr">
        <is>
          <t>A 31812-2025</t>
        </is>
      </c>
      <c r="B6191" t="inlineStr">
        <is>
          <t>avverkningsanmälan</t>
        </is>
      </c>
      <c r="C6191" t="inlineStr">
        <is>
          <t>Föryngringsavverkning</t>
        </is>
      </c>
      <c r="D6191" s="1" t="n">
        <v>45834</v>
      </c>
      <c r="E6191" s="1" t="n">
        <v>46323</v>
      </c>
      <c r="F6191" t="inlineStr">
        <is>
          <t>KALMAR LÄN</t>
        </is>
      </c>
      <c r="G6191" t="inlineStr">
        <is>
          <t>HULTSFRED</t>
        </is>
      </c>
      <c r="I6191" t="n">
        <v>0.9</v>
      </c>
      <c r="J6191" t="n">
        <v>0</v>
      </c>
      <c r="K6191" t="n">
        <v>0</v>
      </c>
      <c r="L6191" t="n">
        <v>0</v>
      </c>
      <c r="M6191" t="n">
        <v>0</v>
      </c>
      <c r="N6191" t="n">
        <v>0</v>
      </c>
      <c r="O6191" t="n">
        <v>0</v>
      </c>
      <c r="P6191" t="n">
        <v>0</v>
      </c>
      <c r="Q6191" t="n">
        <v>0</v>
      </c>
      <c r="R6191" t="n">
        <v>0</v>
      </c>
      <c r="S6191" t="n">
        <v>0</v>
      </c>
      <c r="T6191" t="n">
        <v>0</v>
      </c>
      <c r="U6191" t="n">
        <v>0</v>
      </c>
      <c r="V6191" s="2" t="inlineStr"/>
    </row>
    <row r="6192" ht="15" customHeight="1">
      <c r="A6192" t="inlineStr">
        <is>
          <t>A 35771-2025</t>
        </is>
      </c>
      <c r="B6192" t="inlineStr">
        <is>
          <t>avverkningsanmälan</t>
        </is>
      </c>
      <c r="C6192" t="inlineStr">
        <is>
          <t>Föryngringsavverkning</t>
        </is>
      </c>
      <c r="D6192" s="1" t="n">
        <v>45860</v>
      </c>
      <c r="E6192" s="1" t="n">
        <v>46323</v>
      </c>
      <c r="F6192" t="inlineStr">
        <is>
          <t>KALMAR LÄN</t>
        </is>
      </c>
      <c r="G6192" t="inlineStr">
        <is>
          <t>TORSÅS</t>
        </is>
      </c>
      <c r="I6192" t="n">
        <v>0.5</v>
      </c>
      <c r="J6192" t="n">
        <v>0</v>
      </c>
      <c r="K6192" t="n">
        <v>0</v>
      </c>
      <c r="L6192" t="n">
        <v>0</v>
      </c>
      <c r="M6192" t="n">
        <v>0</v>
      </c>
      <c r="N6192" t="n">
        <v>0</v>
      </c>
      <c r="O6192" t="n">
        <v>0</v>
      </c>
      <c r="P6192" t="n">
        <v>0</v>
      </c>
      <c r="Q6192" t="n">
        <v>0</v>
      </c>
      <c r="R6192" t="n">
        <v>0</v>
      </c>
      <c r="S6192" t="n">
        <v>0</v>
      </c>
      <c r="T6192" t="n">
        <v>0</v>
      </c>
      <c r="U6192" t="n">
        <v>0</v>
      </c>
      <c r="V6192" s="2" t="inlineStr"/>
    </row>
    <row r="6193" ht="15" customHeight="1">
      <c r="A6193" t="inlineStr">
        <is>
          <t>A 35592-2025</t>
        </is>
      </c>
      <c r="B6193" t="inlineStr">
        <is>
          <t>avverkningsanmälan</t>
        </is>
      </c>
      <c r="C6193" t="inlineStr">
        <is>
          <t>Avverkning för annat ändamål</t>
        </is>
      </c>
      <c r="D6193" s="1" t="n">
        <v>45857</v>
      </c>
      <c r="E6193" s="1" t="n">
        <v>46323</v>
      </c>
      <c r="F6193" t="inlineStr">
        <is>
          <t>KALMAR LÄN</t>
        </is>
      </c>
      <c r="G6193" t="inlineStr">
        <is>
          <t>EMMABODA</t>
        </is>
      </c>
      <c r="I6193" t="n">
        <v>5.3</v>
      </c>
      <c r="J6193" t="n">
        <v>0</v>
      </c>
      <c r="K6193" t="n">
        <v>0</v>
      </c>
      <c r="L6193" t="n">
        <v>0</v>
      </c>
      <c r="M6193" t="n">
        <v>0</v>
      </c>
      <c r="N6193" t="n">
        <v>0</v>
      </c>
      <c r="O6193" t="n">
        <v>0</v>
      </c>
      <c r="P6193" t="n">
        <v>0</v>
      </c>
      <c r="Q6193" t="n">
        <v>0</v>
      </c>
      <c r="R6193" t="n">
        <v>0</v>
      </c>
      <c r="S6193" t="n">
        <v>0</v>
      </c>
      <c r="T6193" t="n">
        <v>0</v>
      </c>
      <c r="U6193" t="n">
        <v>0</v>
      </c>
      <c r="V6193" s="2" t="inlineStr"/>
    </row>
    <row r="6194" ht="15" customHeight="1">
      <c r="A6194" t="inlineStr">
        <is>
          <t>A 23209-2026</t>
        </is>
      </c>
      <c r="B6194" t="inlineStr">
        <is>
          <t>avverkningsanmälan</t>
        </is>
      </c>
      <c r="C6194" t="inlineStr">
        <is>
          <t>Föryngringsavverkning</t>
        </is>
      </c>
      <c r="D6194" s="1" t="n">
        <v>46162</v>
      </c>
      <c r="E6194" s="1" t="n">
        <v>46323</v>
      </c>
      <c r="F6194" t="inlineStr">
        <is>
          <t>KALMAR LÄN</t>
        </is>
      </c>
      <c r="G6194" t="inlineStr">
        <is>
          <t>HÖGSBY</t>
        </is>
      </c>
      <c r="I6194" t="n">
        <v>0.7</v>
      </c>
      <c r="J6194" t="n">
        <v>0</v>
      </c>
      <c r="K6194" t="n">
        <v>0</v>
      </c>
      <c r="L6194" t="n">
        <v>0</v>
      </c>
      <c r="M6194" t="n">
        <v>0</v>
      </c>
      <c r="N6194" t="n">
        <v>0</v>
      </c>
      <c r="O6194" t="n">
        <v>0</v>
      </c>
      <c r="P6194" t="n">
        <v>0</v>
      </c>
      <c r="Q6194" t="n">
        <v>0</v>
      </c>
      <c r="R6194" t="n">
        <v>0</v>
      </c>
      <c r="S6194" t="n">
        <v>0</v>
      </c>
      <c r="T6194" t="n">
        <v>0</v>
      </c>
      <c r="U6194" t="n">
        <v>0</v>
      </c>
      <c r="V6194" s="2" t="inlineStr"/>
    </row>
    <row r="6195" ht="15" customHeight="1">
      <c r="A6195" t="inlineStr">
        <is>
          <t>A 53920-2025</t>
        </is>
      </c>
      <c r="B6195" t="inlineStr">
        <is>
          <t>avverkningsanmälan</t>
        </is>
      </c>
      <c r="C6195" t="inlineStr">
        <is>
          <t>Föryngringsavverkning</t>
        </is>
      </c>
      <c r="D6195" s="1" t="n">
        <v>45961</v>
      </c>
      <c r="E6195" s="1" t="n">
        <v>46323</v>
      </c>
      <c r="F6195" t="inlineStr">
        <is>
          <t>KALMAR LÄN</t>
        </is>
      </c>
      <c r="G6195" t="inlineStr">
        <is>
          <t>VIMMERBY</t>
        </is>
      </c>
      <c r="I6195" t="n">
        <v>1.4</v>
      </c>
      <c r="J6195" t="n">
        <v>0</v>
      </c>
      <c r="K6195" t="n">
        <v>0</v>
      </c>
      <c r="L6195" t="n">
        <v>0</v>
      </c>
      <c r="M6195" t="n">
        <v>0</v>
      </c>
      <c r="N6195" t="n">
        <v>0</v>
      </c>
      <c r="O6195" t="n">
        <v>0</v>
      </c>
      <c r="P6195" t="n">
        <v>0</v>
      </c>
      <c r="Q6195" t="n">
        <v>0</v>
      </c>
      <c r="R6195" t="n">
        <v>0</v>
      </c>
      <c r="S6195" t="n">
        <v>0</v>
      </c>
      <c r="T6195" t="n">
        <v>0</v>
      </c>
      <c r="U6195" t="n">
        <v>0</v>
      </c>
      <c r="V6195" s="2" t="inlineStr"/>
    </row>
    <row r="6196" ht="15" customHeight="1">
      <c r="A6196" t="inlineStr">
        <is>
          <t>A 35799-2025</t>
        </is>
      </c>
      <c r="B6196" t="inlineStr">
        <is>
          <t>avverkningsanmälan</t>
        </is>
      </c>
      <c r="C6196" t="inlineStr">
        <is>
          <t>Föryngringsavverkning</t>
        </is>
      </c>
      <c r="D6196" s="1" t="n">
        <v>45861</v>
      </c>
      <c r="E6196" s="1" t="n">
        <v>46323</v>
      </c>
      <c r="F6196" t="inlineStr">
        <is>
          <t>KALMAR LÄN</t>
        </is>
      </c>
      <c r="G6196" t="inlineStr">
        <is>
          <t>KALMAR</t>
        </is>
      </c>
      <c r="I6196" t="n">
        <v>2</v>
      </c>
      <c r="J6196" t="n">
        <v>0</v>
      </c>
      <c r="K6196" t="n">
        <v>0</v>
      </c>
      <c r="L6196" t="n">
        <v>0</v>
      </c>
      <c r="M6196" t="n">
        <v>0</v>
      </c>
      <c r="N6196" t="n">
        <v>0</v>
      </c>
      <c r="O6196" t="n">
        <v>0</v>
      </c>
      <c r="P6196" t="n">
        <v>0</v>
      </c>
      <c r="Q6196" t="n">
        <v>0</v>
      </c>
      <c r="R6196" t="n">
        <v>0</v>
      </c>
      <c r="S6196" t="n">
        <v>0</v>
      </c>
      <c r="T6196" t="n">
        <v>0</v>
      </c>
      <c r="U6196" t="n">
        <v>0</v>
      </c>
      <c r="V6196" s="2" t="inlineStr"/>
    </row>
    <row r="6197" ht="15" customHeight="1">
      <c r="A6197" t="inlineStr">
        <is>
          <t>A 23295-2026</t>
        </is>
      </c>
      <c r="B6197" t="inlineStr">
        <is>
          <t>avverkningsanmälan</t>
        </is>
      </c>
      <c r="C6197" t="inlineStr">
        <is>
          <t>Föryngringsavverkning</t>
        </is>
      </c>
      <c r="D6197" s="1" t="n">
        <v>46162</v>
      </c>
      <c r="E6197" s="1" t="n">
        <v>46323</v>
      </c>
      <c r="F6197" t="inlineStr">
        <is>
          <t>KALMAR LÄN</t>
        </is>
      </c>
      <c r="G6197" t="inlineStr">
        <is>
          <t>EMMABODA</t>
        </is>
      </c>
      <c r="I6197" t="n">
        <v>0.7</v>
      </c>
      <c r="J6197" t="n">
        <v>0</v>
      </c>
      <c r="K6197" t="n">
        <v>0</v>
      </c>
      <c r="L6197" t="n">
        <v>0</v>
      </c>
      <c r="M6197" t="n">
        <v>0</v>
      </c>
      <c r="N6197" t="n">
        <v>0</v>
      </c>
      <c r="O6197" t="n">
        <v>0</v>
      </c>
      <c r="P6197" t="n">
        <v>0</v>
      </c>
      <c r="Q6197" t="n">
        <v>0</v>
      </c>
      <c r="R6197" t="n">
        <v>0</v>
      </c>
      <c r="S6197" t="n">
        <v>0</v>
      </c>
      <c r="T6197" t="n">
        <v>0</v>
      </c>
      <c r="U6197" t="n">
        <v>0</v>
      </c>
      <c r="V6197" s="2" t="inlineStr"/>
    </row>
    <row r="6198" ht="15" customHeight="1">
      <c r="A6198" t="inlineStr">
        <is>
          <t>A 14599-2022</t>
        </is>
      </c>
      <c r="B6198" t="inlineStr">
        <is>
          <t>avverkningsanmälan</t>
        </is>
      </c>
      <c r="C6198" t="inlineStr">
        <is>
          <t>Föryngringsavverkning</t>
        </is>
      </c>
      <c r="D6198" s="1" t="n">
        <v>44655</v>
      </c>
      <c r="E6198" s="1" t="n">
        <v>46323</v>
      </c>
      <c r="F6198" t="inlineStr">
        <is>
          <t>KALMAR LÄN</t>
        </is>
      </c>
      <c r="G6198" t="inlineStr">
        <is>
          <t>HULTSFRED</t>
        </is>
      </c>
      <c r="I6198" t="n">
        <v>1.9</v>
      </c>
      <c r="J6198" t="n">
        <v>0</v>
      </c>
      <c r="K6198" t="n">
        <v>0</v>
      </c>
      <c r="L6198" t="n">
        <v>0</v>
      </c>
      <c r="M6198" t="n">
        <v>0</v>
      </c>
      <c r="N6198" t="n">
        <v>0</v>
      </c>
      <c r="O6198" t="n">
        <v>0</v>
      </c>
      <c r="P6198" t="n">
        <v>0</v>
      </c>
      <c r="Q6198" t="n">
        <v>0</v>
      </c>
      <c r="R6198" t="n">
        <v>0</v>
      </c>
      <c r="S6198" t="n">
        <v>0</v>
      </c>
      <c r="T6198" t="n">
        <v>0</v>
      </c>
      <c r="U6198" t="n">
        <v>0</v>
      </c>
      <c r="V6198" s="2" t="inlineStr"/>
    </row>
    <row r="6199" ht="15" customHeight="1">
      <c r="A6199" t="inlineStr">
        <is>
          <t>A 30860-2025</t>
        </is>
      </c>
      <c r="B6199" t="inlineStr">
        <is>
          <t>avverkningsanmälan</t>
        </is>
      </c>
      <c r="C6199" t="inlineStr">
        <is>
          <t>Föryngringsavverkning</t>
        </is>
      </c>
      <c r="D6199" s="1" t="n">
        <v>45831</v>
      </c>
      <c r="E6199" s="1" t="n">
        <v>46323</v>
      </c>
      <c r="F6199" t="inlineStr">
        <is>
          <t>KALMAR LÄN</t>
        </is>
      </c>
      <c r="G6199" t="inlineStr">
        <is>
          <t>KALMAR</t>
        </is>
      </c>
      <c r="I6199" t="n">
        <v>3.9</v>
      </c>
      <c r="J6199" t="n">
        <v>0</v>
      </c>
      <c r="K6199" t="n">
        <v>0</v>
      </c>
      <c r="L6199" t="n">
        <v>0</v>
      </c>
      <c r="M6199" t="n">
        <v>0</v>
      </c>
      <c r="N6199" t="n">
        <v>0</v>
      </c>
      <c r="O6199" t="n">
        <v>0</v>
      </c>
      <c r="P6199" t="n">
        <v>0</v>
      </c>
      <c r="Q6199" t="n">
        <v>0</v>
      </c>
      <c r="R6199" t="n">
        <v>0</v>
      </c>
      <c r="S6199" t="n">
        <v>0</v>
      </c>
      <c r="T6199" t="n">
        <v>0</v>
      </c>
      <c r="U6199" t="n">
        <v>0</v>
      </c>
      <c r="V6199" s="2" t="inlineStr"/>
    </row>
    <row r="6200" ht="15" customHeight="1">
      <c r="A6200" t="inlineStr">
        <is>
          <t>A 55108-2024</t>
        </is>
      </c>
      <c r="B6200" t="inlineStr">
        <is>
          <t>avverkningsanmälan</t>
        </is>
      </c>
      <c r="C6200" t="inlineStr">
        <is>
          <t>Föryngringsavverkning</t>
        </is>
      </c>
      <c r="D6200" s="1" t="n">
        <v>45621</v>
      </c>
      <c r="E6200" s="1" t="n">
        <v>46323</v>
      </c>
      <c r="F6200" t="inlineStr">
        <is>
          <t>KALMAR LÄN</t>
        </is>
      </c>
      <c r="G6200" t="inlineStr">
        <is>
          <t>HULTSFRED</t>
        </is>
      </c>
      <c r="I6200" t="n">
        <v>4.9</v>
      </c>
      <c r="J6200" t="n">
        <v>0</v>
      </c>
      <c r="K6200" t="n">
        <v>0</v>
      </c>
      <c r="L6200" t="n">
        <v>0</v>
      </c>
      <c r="M6200" t="n">
        <v>0</v>
      </c>
      <c r="N6200" t="n">
        <v>0</v>
      </c>
      <c r="O6200" t="n">
        <v>0</v>
      </c>
      <c r="P6200" t="n">
        <v>0</v>
      </c>
      <c r="Q6200" t="n">
        <v>0</v>
      </c>
      <c r="R6200" t="n">
        <v>0</v>
      </c>
      <c r="S6200" t="n">
        <v>0</v>
      </c>
      <c r="T6200" t="n">
        <v>0</v>
      </c>
      <c r="U6200" t="n">
        <v>0</v>
      </c>
      <c r="V6200" s="2" t="inlineStr"/>
    </row>
    <row r="6201" ht="15" customHeight="1">
      <c r="A6201" t="inlineStr">
        <is>
          <t>A 21660-2025</t>
        </is>
      </c>
      <c r="B6201" t="inlineStr">
        <is>
          <t>avverkningsanmälan</t>
        </is>
      </c>
      <c r="C6201" t="inlineStr">
        <is>
          <t>Föryngringsavverkning</t>
        </is>
      </c>
      <c r="D6201" s="1" t="n">
        <v>45783</v>
      </c>
      <c r="E6201" s="1" t="n">
        <v>46323</v>
      </c>
      <c r="F6201" t="inlineStr">
        <is>
          <t>KALMAR LÄN</t>
        </is>
      </c>
      <c r="G6201" t="inlineStr">
        <is>
          <t>VÄSTERVIK</t>
        </is>
      </c>
      <c r="I6201" t="n">
        <v>1.7</v>
      </c>
      <c r="J6201" t="n">
        <v>0</v>
      </c>
      <c r="K6201" t="n">
        <v>0</v>
      </c>
      <c r="L6201" t="n">
        <v>0</v>
      </c>
      <c r="M6201" t="n">
        <v>0</v>
      </c>
      <c r="N6201" t="n">
        <v>0</v>
      </c>
      <c r="O6201" t="n">
        <v>0</v>
      </c>
      <c r="P6201" t="n">
        <v>0</v>
      </c>
      <c r="Q6201" t="n">
        <v>0</v>
      </c>
      <c r="R6201" t="n">
        <v>0</v>
      </c>
      <c r="S6201" t="n">
        <v>0</v>
      </c>
      <c r="T6201" t="n">
        <v>0</v>
      </c>
      <c r="U6201" t="n">
        <v>0</v>
      </c>
      <c r="V6201" s="2" t="inlineStr"/>
    </row>
    <row r="6202" ht="15" customHeight="1">
      <c r="A6202" t="inlineStr">
        <is>
          <t>A 16273-2025</t>
        </is>
      </c>
      <c r="B6202" t="inlineStr">
        <is>
          <t>avverkningsanmälan</t>
        </is>
      </c>
      <c r="C6202" t="inlineStr">
        <is>
          <t>Föryngringsavverkning</t>
        </is>
      </c>
      <c r="D6202" s="1" t="n">
        <v>45750</v>
      </c>
      <c r="E6202" s="1" t="n">
        <v>46323</v>
      </c>
      <c r="F6202" t="inlineStr">
        <is>
          <t>KALMAR LÄN</t>
        </is>
      </c>
      <c r="G6202" t="inlineStr">
        <is>
          <t>EMMABODA</t>
        </is>
      </c>
      <c r="I6202" t="n">
        <v>4.1</v>
      </c>
      <c r="J6202" t="n">
        <v>0</v>
      </c>
      <c r="K6202" t="n">
        <v>0</v>
      </c>
      <c r="L6202" t="n">
        <v>0</v>
      </c>
      <c r="M6202" t="n">
        <v>0</v>
      </c>
      <c r="N6202" t="n">
        <v>0</v>
      </c>
      <c r="O6202" t="n">
        <v>0</v>
      </c>
      <c r="P6202" t="n">
        <v>0</v>
      </c>
      <c r="Q6202" t="n">
        <v>0</v>
      </c>
      <c r="R6202" t="n">
        <v>0</v>
      </c>
      <c r="S6202" t="n">
        <v>0</v>
      </c>
      <c r="T6202" t="n">
        <v>0</v>
      </c>
      <c r="U6202" t="n">
        <v>0</v>
      </c>
      <c r="V6202" s="2" t="inlineStr"/>
    </row>
    <row r="6203" ht="15" customHeight="1">
      <c r="A6203" t="inlineStr">
        <is>
          <t>A 23297-2026</t>
        </is>
      </c>
      <c r="B6203" t="inlineStr">
        <is>
          <t>avverkningsanmälan</t>
        </is>
      </c>
      <c r="C6203" t="inlineStr">
        <is>
          <t>Föryngringsavverkning</t>
        </is>
      </c>
      <c r="D6203" s="1" t="n">
        <v>46162</v>
      </c>
      <c r="E6203" s="1" t="n">
        <v>46323</v>
      </c>
      <c r="F6203" t="inlineStr">
        <is>
          <t>KALMAR LÄN</t>
        </is>
      </c>
      <c r="G6203" t="inlineStr">
        <is>
          <t>KALMAR</t>
        </is>
      </c>
      <c r="I6203" t="n">
        <v>1.2</v>
      </c>
      <c r="J6203" t="n">
        <v>0</v>
      </c>
      <c r="K6203" t="n">
        <v>0</v>
      </c>
      <c r="L6203" t="n">
        <v>0</v>
      </c>
      <c r="M6203" t="n">
        <v>0</v>
      </c>
      <c r="N6203" t="n">
        <v>0</v>
      </c>
      <c r="O6203" t="n">
        <v>0</v>
      </c>
      <c r="P6203" t="n">
        <v>0</v>
      </c>
      <c r="Q6203" t="n">
        <v>0</v>
      </c>
      <c r="R6203" t="n">
        <v>0</v>
      </c>
      <c r="S6203" t="n">
        <v>0</v>
      </c>
      <c r="T6203" t="n">
        <v>0</v>
      </c>
      <c r="U6203" t="n">
        <v>0</v>
      </c>
      <c r="V6203" s="2" t="inlineStr"/>
    </row>
    <row r="6204" ht="15" customHeight="1">
      <c r="A6204" t="inlineStr">
        <is>
          <t>A 23300-2026</t>
        </is>
      </c>
      <c r="B6204" t="inlineStr">
        <is>
          <t>avverkningsanmälan</t>
        </is>
      </c>
      <c r="C6204" t="inlineStr">
        <is>
          <t>Föryngringsavverkning</t>
        </is>
      </c>
      <c r="D6204" s="1" t="n">
        <v>46162</v>
      </c>
      <c r="E6204" s="1" t="n">
        <v>46323</v>
      </c>
      <c r="F6204" t="inlineStr">
        <is>
          <t>KALMAR LÄN</t>
        </is>
      </c>
      <c r="G6204" t="inlineStr">
        <is>
          <t>KALMAR</t>
        </is>
      </c>
      <c r="I6204" t="n">
        <v>0.5</v>
      </c>
      <c r="J6204" t="n">
        <v>0</v>
      </c>
      <c r="K6204" t="n">
        <v>0</v>
      </c>
      <c r="L6204" t="n">
        <v>0</v>
      </c>
      <c r="M6204" t="n">
        <v>0</v>
      </c>
      <c r="N6204" t="n">
        <v>0</v>
      </c>
      <c r="O6204" t="n">
        <v>0</v>
      </c>
      <c r="P6204" t="n">
        <v>0</v>
      </c>
      <c r="Q6204" t="n">
        <v>0</v>
      </c>
      <c r="R6204" t="n">
        <v>0</v>
      </c>
      <c r="S6204" t="n">
        <v>0</v>
      </c>
      <c r="T6204" t="n">
        <v>0</v>
      </c>
      <c r="U6204" t="n">
        <v>0</v>
      </c>
      <c r="V6204" s="2" t="inlineStr"/>
    </row>
    <row r="6205" ht="15" customHeight="1">
      <c r="A6205" t="inlineStr">
        <is>
          <t>A 21278-2025</t>
        </is>
      </c>
      <c r="B6205" t="inlineStr">
        <is>
          <t>avverkningsanmälan</t>
        </is>
      </c>
      <c r="C6205" t="inlineStr">
        <is>
          <t>Föryngringsavverkning</t>
        </is>
      </c>
      <c r="D6205" s="1" t="n">
        <v>45779</v>
      </c>
      <c r="E6205" s="1" t="n">
        <v>46323</v>
      </c>
      <c r="F6205" t="inlineStr">
        <is>
          <t>KALMAR LÄN</t>
        </is>
      </c>
      <c r="G6205" t="inlineStr">
        <is>
          <t>KALMAR</t>
        </is>
      </c>
      <c r="I6205" t="n">
        <v>2.2</v>
      </c>
      <c r="J6205" t="n">
        <v>0</v>
      </c>
      <c r="K6205" t="n">
        <v>0</v>
      </c>
      <c r="L6205" t="n">
        <v>0</v>
      </c>
      <c r="M6205" t="n">
        <v>0</v>
      </c>
      <c r="N6205" t="n">
        <v>0</v>
      </c>
      <c r="O6205" t="n">
        <v>0</v>
      </c>
      <c r="P6205" t="n">
        <v>0</v>
      </c>
      <c r="Q6205" t="n">
        <v>0</v>
      </c>
      <c r="R6205" t="n">
        <v>0</v>
      </c>
      <c r="S6205" t="n">
        <v>0</v>
      </c>
      <c r="T6205" t="n">
        <v>0</v>
      </c>
      <c r="U6205" t="n">
        <v>0</v>
      </c>
      <c r="V6205" s="2" t="inlineStr"/>
    </row>
    <row r="6206" ht="15" customHeight="1">
      <c r="A6206" t="inlineStr">
        <is>
          <t>A 19502-2025</t>
        </is>
      </c>
      <c r="B6206" t="inlineStr">
        <is>
          <t>avverkningsanmälan</t>
        </is>
      </c>
      <c r="C6206" t="inlineStr">
        <is>
          <t>Föryngringsavverkning</t>
        </is>
      </c>
      <c r="D6206" s="1" t="n">
        <v>45769</v>
      </c>
      <c r="E6206" s="1" t="n">
        <v>46323</v>
      </c>
      <c r="F6206" t="inlineStr">
        <is>
          <t>KALMAR LÄN</t>
        </is>
      </c>
      <c r="G6206" t="inlineStr">
        <is>
          <t>VIMMERBY</t>
        </is>
      </c>
      <c r="I6206" t="n">
        <v>1.9</v>
      </c>
      <c r="J6206" t="n">
        <v>0</v>
      </c>
      <c r="K6206" t="n">
        <v>0</v>
      </c>
      <c r="L6206" t="n">
        <v>0</v>
      </c>
      <c r="M6206" t="n">
        <v>0</v>
      </c>
      <c r="N6206" t="n">
        <v>0</v>
      </c>
      <c r="O6206" t="n">
        <v>0</v>
      </c>
      <c r="P6206" t="n">
        <v>0</v>
      </c>
      <c r="Q6206" t="n">
        <v>0</v>
      </c>
      <c r="R6206" t="n">
        <v>0</v>
      </c>
      <c r="S6206" t="n">
        <v>0</v>
      </c>
      <c r="T6206" t="n">
        <v>0</v>
      </c>
      <c r="U6206" t="n">
        <v>0</v>
      </c>
      <c r="V6206" s="2" t="inlineStr"/>
    </row>
    <row r="6207" ht="15" customHeight="1">
      <c r="A6207" t="inlineStr">
        <is>
          <t>A 28363-2025</t>
        </is>
      </c>
      <c r="B6207" t="inlineStr">
        <is>
          <t>avverkningsanmälan</t>
        </is>
      </c>
      <c r="C6207" t="inlineStr">
        <is>
          <t>Föryngringsavverkning</t>
        </is>
      </c>
      <c r="D6207" s="1" t="n">
        <v>45818</v>
      </c>
      <c r="E6207" s="1" t="n">
        <v>46323</v>
      </c>
      <c r="F6207" t="inlineStr">
        <is>
          <t>KALMAR LÄN</t>
        </is>
      </c>
      <c r="G6207" t="inlineStr">
        <is>
          <t>NYBRO</t>
        </is>
      </c>
      <c r="I6207" t="n">
        <v>5.9</v>
      </c>
      <c r="J6207" t="n">
        <v>0</v>
      </c>
      <c r="K6207" t="n">
        <v>0</v>
      </c>
      <c r="L6207" t="n">
        <v>0</v>
      </c>
      <c r="M6207" t="n">
        <v>0</v>
      </c>
      <c r="N6207" t="n">
        <v>0</v>
      </c>
      <c r="O6207" t="n">
        <v>0</v>
      </c>
      <c r="P6207" t="n">
        <v>0</v>
      </c>
      <c r="Q6207" t="n">
        <v>0</v>
      </c>
      <c r="R6207" t="n">
        <v>0</v>
      </c>
      <c r="S6207" t="n">
        <v>0</v>
      </c>
      <c r="T6207" t="n">
        <v>0</v>
      </c>
      <c r="U6207" t="n">
        <v>0</v>
      </c>
      <c r="V6207" s="2" t="inlineStr"/>
    </row>
    <row r="6208" ht="15" customHeight="1">
      <c r="A6208" t="inlineStr">
        <is>
          <t>A 41734-2025</t>
        </is>
      </c>
      <c r="B6208" t="inlineStr">
        <is>
          <t>avverkningsanmälan</t>
        </is>
      </c>
      <c r="C6208" t="inlineStr">
        <is>
          <t>Föryngringsavverkning</t>
        </is>
      </c>
      <c r="D6208" s="1" t="n">
        <v>45902</v>
      </c>
      <c r="E6208" s="1" t="n">
        <v>46323</v>
      </c>
      <c r="F6208" t="inlineStr">
        <is>
          <t>KALMAR LÄN</t>
        </is>
      </c>
      <c r="G6208" t="inlineStr">
        <is>
          <t>EMMABODA</t>
        </is>
      </c>
      <c r="I6208" t="n">
        <v>1.7</v>
      </c>
      <c r="J6208" t="n">
        <v>0</v>
      </c>
      <c r="K6208" t="n">
        <v>0</v>
      </c>
      <c r="L6208" t="n">
        <v>0</v>
      </c>
      <c r="M6208" t="n">
        <v>0</v>
      </c>
      <c r="N6208" t="n">
        <v>0</v>
      </c>
      <c r="O6208" t="n">
        <v>0</v>
      </c>
      <c r="P6208" t="n">
        <v>0</v>
      </c>
      <c r="Q6208" t="n">
        <v>0</v>
      </c>
      <c r="R6208" t="n">
        <v>0</v>
      </c>
      <c r="S6208" t="n">
        <v>0</v>
      </c>
      <c r="T6208" t="n">
        <v>0</v>
      </c>
      <c r="U6208" t="n">
        <v>0</v>
      </c>
      <c r="V6208" s="2" t="inlineStr"/>
    </row>
    <row r="6209" ht="15" customHeight="1">
      <c r="A6209" t="inlineStr">
        <is>
          <t>A 23304-2026</t>
        </is>
      </c>
      <c r="B6209" t="inlineStr">
        <is>
          <t>avverkningsanmälan</t>
        </is>
      </c>
      <c r="C6209" t="inlineStr">
        <is>
          <t>Föryngringsavverkning</t>
        </is>
      </c>
      <c r="D6209" s="1" t="n">
        <v>46162</v>
      </c>
      <c r="E6209" s="1" t="n">
        <v>46323</v>
      </c>
      <c r="F6209" t="inlineStr">
        <is>
          <t>KALMAR LÄN</t>
        </is>
      </c>
      <c r="G6209" t="inlineStr">
        <is>
          <t>KALMAR</t>
        </is>
      </c>
      <c r="I6209" t="n">
        <v>0.6</v>
      </c>
      <c r="J6209" t="n">
        <v>0</v>
      </c>
      <c r="K6209" t="n">
        <v>0</v>
      </c>
      <c r="L6209" t="n">
        <v>0</v>
      </c>
      <c r="M6209" t="n">
        <v>0</v>
      </c>
      <c r="N6209" t="n">
        <v>0</v>
      </c>
      <c r="O6209" t="n">
        <v>0</v>
      </c>
      <c r="P6209" t="n">
        <v>0</v>
      </c>
      <c r="Q6209" t="n">
        <v>0</v>
      </c>
      <c r="R6209" t="n">
        <v>0</v>
      </c>
      <c r="S6209" t="n">
        <v>0</v>
      </c>
      <c r="T6209" t="n">
        <v>0</v>
      </c>
      <c r="U6209" t="n">
        <v>0</v>
      </c>
      <c r="V6209" s="2" t="inlineStr"/>
    </row>
    <row r="6210" ht="15" customHeight="1">
      <c r="A6210" t="inlineStr">
        <is>
          <t>A 54255-2024</t>
        </is>
      </c>
      <c r="B6210" t="inlineStr">
        <is>
          <t>avverkningsanmälan</t>
        </is>
      </c>
      <c r="C6210" t="inlineStr">
        <is>
          <t>Föryngringsavverkning</t>
        </is>
      </c>
      <c r="D6210" s="1" t="n">
        <v>45616</v>
      </c>
      <c r="E6210" s="1" t="n">
        <v>46323</v>
      </c>
      <c r="F6210" t="inlineStr">
        <is>
          <t>KALMAR LÄN</t>
        </is>
      </c>
      <c r="G6210" t="inlineStr">
        <is>
          <t>NYBRO</t>
        </is>
      </c>
      <c r="I6210" t="n">
        <v>5</v>
      </c>
      <c r="J6210" t="n">
        <v>0</v>
      </c>
      <c r="K6210" t="n">
        <v>0</v>
      </c>
      <c r="L6210" t="n">
        <v>0</v>
      </c>
      <c r="M6210" t="n">
        <v>0</v>
      </c>
      <c r="N6210" t="n">
        <v>0</v>
      </c>
      <c r="O6210" t="n">
        <v>0</v>
      </c>
      <c r="P6210" t="n">
        <v>0</v>
      </c>
      <c r="Q6210" t="n">
        <v>0</v>
      </c>
      <c r="R6210" t="n">
        <v>0</v>
      </c>
      <c r="S6210" t="n">
        <v>0</v>
      </c>
      <c r="T6210" t="n">
        <v>0</v>
      </c>
      <c r="U6210" t="n">
        <v>0</v>
      </c>
      <c r="V6210" s="2" t="inlineStr"/>
    </row>
    <row r="6211" ht="15" customHeight="1">
      <c r="A6211" t="inlineStr">
        <is>
          <t>A 36012-2025</t>
        </is>
      </c>
      <c r="B6211" t="inlineStr">
        <is>
          <t>avverkningsanmälan</t>
        </is>
      </c>
      <c r="C6211" t="inlineStr">
        <is>
          <t>Föryngringsavverkning</t>
        </is>
      </c>
      <c r="D6211" s="1" t="n">
        <v>45863</v>
      </c>
      <c r="E6211" s="1" t="n">
        <v>46323</v>
      </c>
      <c r="F6211" t="inlineStr">
        <is>
          <t>KALMAR LÄN</t>
        </is>
      </c>
      <c r="G6211" t="inlineStr">
        <is>
          <t>EMMABODA</t>
        </is>
      </c>
      <c r="I6211" t="n">
        <v>0.9</v>
      </c>
      <c r="J6211" t="n">
        <v>0</v>
      </c>
      <c r="K6211" t="n">
        <v>0</v>
      </c>
      <c r="L6211" t="n">
        <v>0</v>
      </c>
      <c r="M6211" t="n">
        <v>0</v>
      </c>
      <c r="N6211" t="n">
        <v>0</v>
      </c>
      <c r="O6211" t="n">
        <v>0</v>
      </c>
      <c r="P6211" t="n">
        <v>0</v>
      </c>
      <c r="Q6211" t="n">
        <v>0</v>
      </c>
      <c r="R6211" t="n">
        <v>0</v>
      </c>
      <c r="S6211" t="n">
        <v>0</v>
      </c>
      <c r="T6211" t="n">
        <v>0</v>
      </c>
      <c r="U6211" t="n">
        <v>0</v>
      </c>
      <c r="V6211" s="2" t="inlineStr"/>
    </row>
    <row r="6212" ht="15" customHeight="1">
      <c r="A6212" t="inlineStr">
        <is>
          <t>A 23292-2026</t>
        </is>
      </c>
      <c r="B6212" t="inlineStr">
        <is>
          <t>avverkningsanmälan</t>
        </is>
      </c>
      <c r="C6212" t="inlineStr">
        <is>
          <t>Föryngringsavverkning</t>
        </is>
      </c>
      <c r="D6212" s="1" t="n">
        <v>46162</v>
      </c>
      <c r="E6212" s="1" t="n">
        <v>46323</v>
      </c>
      <c r="F6212" t="inlineStr">
        <is>
          <t>KALMAR LÄN</t>
        </is>
      </c>
      <c r="G6212" t="inlineStr">
        <is>
          <t>EMMABODA</t>
        </is>
      </c>
      <c r="I6212" t="n">
        <v>0.7</v>
      </c>
      <c r="J6212" t="n">
        <v>0</v>
      </c>
      <c r="K6212" t="n">
        <v>0</v>
      </c>
      <c r="L6212" t="n">
        <v>0</v>
      </c>
      <c r="M6212" t="n">
        <v>0</v>
      </c>
      <c r="N6212" t="n">
        <v>0</v>
      </c>
      <c r="O6212" t="n">
        <v>0</v>
      </c>
      <c r="P6212" t="n">
        <v>0</v>
      </c>
      <c r="Q6212" t="n">
        <v>0</v>
      </c>
      <c r="R6212" t="n">
        <v>0</v>
      </c>
      <c r="S6212" t="n">
        <v>0</v>
      </c>
      <c r="T6212" t="n">
        <v>0</v>
      </c>
      <c r="U6212" t="n">
        <v>0</v>
      </c>
      <c r="V6212" s="2" t="inlineStr"/>
    </row>
    <row r="6213" ht="15" customHeight="1">
      <c r="A6213" t="inlineStr">
        <is>
          <t>A 19042-2025</t>
        </is>
      </c>
      <c r="B6213" t="inlineStr">
        <is>
          <t>avverkningsanmälan</t>
        </is>
      </c>
      <c r="C6213" t="inlineStr">
        <is>
          <t>Föryngringsavverkning</t>
        </is>
      </c>
      <c r="D6213" s="1" t="n">
        <v>45764</v>
      </c>
      <c r="E6213" s="1" t="n">
        <v>46323</v>
      </c>
      <c r="F6213" t="inlineStr">
        <is>
          <t>KALMAR LÄN</t>
        </is>
      </c>
      <c r="G6213" t="inlineStr">
        <is>
          <t>KALMAR</t>
        </is>
      </c>
      <c r="I6213" t="n">
        <v>2.1</v>
      </c>
      <c r="J6213" t="n">
        <v>0</v>
      </c>
      <c r="K6213" t="n">
        <v>0</v>
      </c>
      <c r="L6213" t="n">
        <v>0</v>
      </c>
      <c r="M6213" t="n">
        <v>0</v>
      </c>
      <c r="N6213" t="n">
        <v>0</v>
      </c>
      <c r="O6213" t="n">
        <v>0</v>
      </c>
      <c r="P6213" t="n">
        <v>0</v>
      </c>
      <c r="Q6213" t="n">
        <v>0</v>
      </c>
      <c r="R6213" t="n">
        <v>0</v>
      </c>
      <c r="S6213" t="n">
        <v>0</v>
      </c>
      <c r="T6213" t="n">
        <v>0</v>
      </c>
      <c r="U6213" t="n">
        <v>0</v>
      </c>
      <c r="V6213" s="2" t="inlineStr"/>
    </row>
    <row r="6214" ht="15" customHeight="1">
      <c r="A6214" t="inlineStr">
        <is>
          <t>A 22899-2025</t>
        </is>
      </c>
      <c r="B6214" t="inlineStr">
        <is>
          <t>avverkningsanmälan</t>
        </is>
      </c>
      <c r="C6214" t="inlineStr">
        <is>
          <t>Föryngringsavverkning</t>
        </is>
      </c>
      <c r="D6214" s="1" t="n">
        <v>45790</v>
      </c>
      <c r="E6214" s="1" t="n">
        <v>46323</v>
      </c>
      <c r="F6214" t="inlineStr">
        <is>
          <t>KALMAR LÄN</t>
        </is>
      </c>
      <c r="G6214" t="inlineStr">
        <is>
          <t>EMMABODA</t>
        </is>
      </c>
      <c r="I6214" t="n">
        <v>1.3</v>
      </c>
      <c r="J6214" t="n">
        <v>0</v>
      </c>
      <c r="K6214" t="n">
        <v>0</v>
      </c>
      <c r="L6214" t="n">
        <v>0</v>
      </c>
      <c r="M6214" t="n">
        <v>0</v>
      </c>
      <c r="N6214" t="n">
        <v>0</v>
      </c>
      <c r="O6214" t="n">
        <v>0</v>
      </c>
      <c r="P6214" t="n">
        <v>0</v>
      </c>
      <c r="Q6214" t="n">
        <v>0</v>
      </c>
      <c r="R6214" t="n">
        <v>0</v>
      </c>
      <c r="S6214" t="n">
        <v>0</v>
      </c>
      <c r="T6214" t="n">
        <v>0</v>
      </c>
      <c r="U6214" t="n">
        <v>0</v>
      </c>
      <c r="V6214" s="2" t="inlineStr"/>
    </row>
    <row r="6215" ht="15" customHeight="1">
      <c r="A6215" t="inlineStr">
        <is>
          <t>A 8593-2023</t>
        </is>
      </c>
      <c r="B6215" t="inlineStr">
        <is>
          <t>avverkningsanmälan</t>
        </is>
      </c>
      <c r="C6215" t="inlineStr">
        <is>
          <t>Föryngringsavverkning</t>
        </is>
      </c>
      <c r="D6215" s="1" t="n">
        <v>44977</v>
      </c>
      <c r="E6215" s="1" t="n">
        <v>46323</v>
      </c>
      <c r="F6215" t="inlineStr">
        <is>
          <t>KALMAR LÄN</t>
        </is>
      </c>
      <c r="G6215" t="inlineStr">
        <is>
          <t>VÄSTERVIK</t>
        </is>
      </c>
      <c r="I6215" t="n">
        <v>1.2</v>
      </c>
      <c r="J6215" t="n">
        <v>0</v>
      </c>
      <c r="K6215" t="n">
        <v>0</v>
      </c>
      <c r="L6215" t="n">
        <v>0</v>
      </c>
      <c r="M6215" t="n">
        <v>0</v>
      </c>
      <c r="N6215" t="n">
        <v>0</v>
      </c>
      <c r="O6215" t="n">
        <v>0</v>
      </c>
      <c r="P6215" t="n">
        <v>0</v>
      </c>
      <c r="Q6215" t="n">
        <v>0</v>
      </c>
      <c r="R6215" t="n">
        <v>0</v>
      </c>
      <c r="S6215" t="n">
        <v>0</v>
      </c>
      <c r="T6215" t="n">
        <v>0</v>
      </c>
      <c r="U6215" t="n">
        <v>0</v>
      </c>
      <c r="V6215" s="2" t="inlineStr"/>
    </row>
    <row r="6216" ht="15" customHeight="1">
      <c r="A6216" t="inlineStr">
        <is>
          <t>A 27594-2025</t>
        </is>
      </c>
      <c r="B6216" t="inlineStr">
        <is>
          <t>avverkningsanmälan</t>
        </is>
      </c>
      <c r="C6216" t="inlineStr">
        <is>
          <t>Föryngringsavverkning</t>
        </is>
      </c>
      <c r="D6216" s="1" t="n">
        <v>45813</v>
      </c>
      <c r="E6216" s="1" t="n">
        <v>46323</v>
      </c>
      <c r="F6216" t="inlineStr">
        <is>
          <t>KALMAR LÄN</t>
        </is>
      </c>
      <c r="G6216" t="inlineStr">
        <is>
          <t>HULTSFRED</t>
        </is>
      </c>
      <c r="I6216" t="n">
        <v>2.2</v>
      </c>
      <c r="J6216" t="n">
        <v>0</v>
      </c>
      <c r="K6216" t="n">
        <v>0</v>
      </c>
      <c r="L6216" t="n">
        <v>0</v>
      </c>
      <c r="M6216" t="n">
        <v>0</v>
      </c>
      <c r="N6216" t="n">
        <v>0</v>
      </c>
      <c r="O6216" t="n">
        <v>0</v>
      </c>
      <c r="P6216" t="n">
        <v>0</v>
      </c>
      <c r="Q6216" t="n">
        <v>0</v>
      </c>
      <c r="R6216" t="n">
        <v>0</v>
      </c>
      <c r="S6216" t="n">
        <v>0</v>
      </c>
      <c r="T6216" t="n">
        <v>0</v>
      </c>
      <c r="U6216" t="n">
        <v>0</v>
      </c>
      <c r="V6216" s="2" t="inlineStr"/>
    </row>
    <row r="6217" ht="15" customHeight="1">
      <c r="A6217" t="inlineStr">
        <is>
          <t>A 36299-2025</t>
        </is>
      </c>
      <c r="B6217" t="inlineStr">
        <is>
          <t>avverkningsanmälan</t>
        </is>
      </c>
      <c r="C6217" t="inlineStr">
        <is>
          <t>Föryngringsavverkning</t>
        </is>
      </c>
      <c r="D6217" s="1" t="n">
        <v>45867</v>
      </c>
      <c r="E6217" s="1" t="n">
        <v>46323</v>
      </c>
      <c r="F6217" t="inlineStr">
        <is>
          <t>KALMAR LÄN</t>
        </is>
      </c>
      <c r="G6217" t="inlineStr">
        <is>
          <t>VIMMERBY</t>
        </is>
      </c>
      <c r="I6217" t="n">
        <v>7.6</v>
      </c>
      <c r="J6217" t="n">
        <v>0</v>
      </c>
      <c r="K6217" t="n">
        <v>0</v>
      </c>
      <c r="L6217" t="n">
        <v>0</v>
      </c>
      <c r="M6217" t="n">
        <v>0</v>
      </c>
      <c r="N6217" t="n">
        <v>0</v>
      </c>
      <c r="O6217" t="n">
        <v>0</v>
      </c>
      <c r="P6217" t="n">
        <v>0</v>
      </c>
      <c r="Q6217" t="n">
        <v>0</v>
      </c>
      <c r="R6217" t="n">
        <v>0</v>
      </c>
      <c r="S6217" t="n">
        <v>0</v>
      </c>
      <c r="T6217" t="n">
        <v>0</v>
      </c>
      <c r="U6217" t="n">
        <v>0</v>
      </c>
      <c r="V6217" s="2" t="inlineStr"/>
    </row>
    <row r="6218" ht="15" customHeight="1">
      <c r="A6218" t="inlineStr">
        <is>
          <t>A 36297-2025</t>
        </is>
      </c>
      <c r="B6218" t="inlineStr">
        <is>
          <t>avverkningsanmälan</t>
        </is>
      </c>
      <c r="C6218" t="inlineStr">
        <is>
          <t>Föryngringsavverkning</t>
        </is>
      </c>
      <c r="D6218" s="1" t="n">
        <v>45867</v>
      </c>
      <c r="E6218" s="1" t="n">
        <v>46323</v>
      </c>
      <c r="F6218" t="inlineStr">
        <is>
          <t>KALMAR LÄN</t>
        </is>
      </c>
      <c r="G6218" t="inlineStr">
        <is>
          <t>VIMMERBY</t>
        </is>
      </c>
      <c r="I6218" t="n">
        <v>4.9</v>
      </c>
      <c r="J6218" t="n">
        <v>0</v>
      </c>
      <c r="K6218" t="n">
        <v>0</v>
      </c>
      <c r="L6218" t="n">
        <v>0</v>
      </c>
      <c r="M6218" t="n">
        <v>0</v>
      </c>
      <c r="N6218" t="n">
        <v>0</v>
      </c>
      <c r="O6218" t="n">
        <v>0</v>
      </c>
      <c r="P6218" t="n">
        <v>0</v>
      </c>
      <c r="Q6218" t="n">
        <v>0</v>
      </c>
      <c r="R6218" t="n">
        <v>0</v>
      </c>
      <c r="S6218" t="n">
        <v>0</v>
      </c>
      <c r="T6218" t="n">
        <v>0</v>
      </c>
      <c r="U6218" t="n">
        <v>0</v>
      </c>
      <c r="V6218" s="2" t="inlineStr"/>
    </row>
    <row r="6219" ht="15" customHeight="1">
      <c r="A6219" t="inlineStr">
        <is>
          <t>A 36269-2025</t>
        </is>
      </c>
      <c r="B6219" t="inlineStr">
        <is>
          <t>avverkningsanmälan</t>
        </is>
      </c>
      <c r="C6219" t="inlineStr">
        <is>
          <t>Föryngringsavverkning</t>
        </is>
      </c>
      <c r="D6219" s="1" t="n">
        <v>45867</v>
      </c>
      <c r="E6219" s="1" t="n">
        <v>46323</v>
      </c>
      <c r="F6219" t="inlineStr">
        <is>
          <t>KALMAR LÄN</t>
        </is>
      </c>
      <c r="G6219" t="inlineStr">
        <is>
          <t>BORGHOLM</t>
        </is>
      </c>
      <c r="H6219" t="inlineStr">
        <is>
          <t>Sveaskog</t>
        </is>
      </c>
      <c r="I6219" t="n">
        <v>3.3</v>
      </c>
      <c r="J6219" t="n">
        <v>0</v>
      </c>
      <c r="K6219" t="n">
        <v>0</v>
      </c>
      <c r="L6219" t="n">
        <v>0</v>
      </c>
      <c r="M6219" t="n">
        <v>0</v>
      </c>
      <c r="N6219" t="n">
        <v>0</v>
      </c>
      <c r="O6219" t="n">
        <v>0</v>
      </c>
      <c r="P6219" t="n">
        <v>0</v>
      </c>
      <c r="Q6219" t="n">
        <v>0</v>
      </c>
      <c r="R6219" t="n">
        <v>0</v>
      </c>
      <c r="S6219" t="n">
        <v>0</v>
      </c>
      <c r="T6219" t="n">
        <v>0</v>
      </c>
      <c r="U6219" t="n">
        <v>0</v>
      </c>
      <c r="V6219" s="2" t="inlineStr"/>
    </row>
    <row r="6220" ht="15" customHeight="1">
      <c r="A6220" t="inlineStr">
        <is>
          <t>A 36538-2025</t>
        </is>
      </c>
      <c r="B6220" t="inlineStr">
        <is>
          <t>avverkningsanmälan</t>
        </is>
      </c>
      <c r="C6220" t="inlineStr">
        <is>
          <t>Föryngringsavverkning</t>
        </is>
      </c>
      <c r="D6220" s="1" t="n">
        <v>45869</v>
      </c>
      <c r="E6220" s="1" t="n">
        <v>46323</v>
      </c>
      <c r="F6220" t="inlineStr">
        <is>
          <t>KALMAR LÄN</t>
        </is>
      </c>
      <c r="G6220" t="inlineStr">
        <is>
          <t>VIMMERBY</t>
        </is>
      </c>
      <c r="I6220" t="n">
        <v>2.6</v>
      </c>
      <c r="J6220" t="n">
        <v>0</v>
      </c>
      <c r="K6220" t="n">
        <v>0</v>
      </c>
      <c r="L6220" t="n">
        <v>0</v>
      </c>
      <c r="M6220" t="n">
        <v>0</v>
      </c>
      <c r="N6220" t="n">
        <v>0</v>
      </c>
      <c r="O6220" t="n">
        <v>0</v>
      </c>
      <c r="P6220" t="n">
        <v>0</v>
      </c>
      <c r="Q6220" t="n">
        <v>0</v>
      </c>
      <c r="R6220" t="n">
        <v>0</v>
      </c>
      <c r="S6220" t="n">
        <v>0</v>
      </c>
      <c r="T6220" t="n">
        <v>0</v>
      </c>
      <c r="U6220" t="n">
        <v>0</v>
      </c>
      <c r="V6220" s="2" t="inlineStr"/>
    </row>
    <row r="6221" ht="15" customHeight="1">
      <c r="A6221" t="inlineStr">
        <is>
          <t>A 36527-2025</t>
        </is>
      </c>
      <c r="B6221" t="inlineStr">
        <is>
          <t>avverkningsanmälan</t>
        </is>
      </c>
      <c r="C6221" t="inlineStr">
        <is>
          <t>Föryngringsavverkning</t>
        </is>
      </c>
      <c r="D6221" s="1" t="n">
        <v>45869</v>
      </c>
      <c r="E6221" s="1" t="n">
        <v>46323</v>
      </c>
      <c r="F6221" t="inlineStr">
        <is>
          <t>KALMAR LÄN</t>
        </is>
      </c>
      <c r="G6221" t="inlineStr">
        <is>
          <t>TORSÅS</t>
        </is>
      </c>
      <c r="I6221" t="n">
        <v>0.5</v>
      </c>
      <c r="J6221" t="n">
        <v>0</v>
      </c>
      <c r="K6221" t="n">
        <v>0</v>
      </c>
      <c r="L6221" t="n">
        <v>0</v>
      </c>
      <c r="M6221" t="n">
        <v>0</v>
      </c>
      <c r="N6221" t="n">
        <v>0</v>
      </c>
      <c r="O6221" t="n">
        <v>0</v>
      </c>
      <c r="P6221" t="n">
        <v>0</v>
      </c>
      <c r="Q6221" t="n">
        <v>0</v>
      </c>
      <c r="R6221" t="n">
        <v>0</v>
      </c>
      <c r="S6221" t="n">
        <v>0</v>
      </c>
      <c r="T6221" t="n">
        <v>0</v>
      </c>
      <c r="U6221" t="n">
        <v>0</v>
      </c>
      <c r="V6221" s="2" t="inlineStr"/>
    </row>
    <row r="6222" ht="15" customHeight="1">
      <c r="A6222" t="inlineStr">
        <is>
          <t>A 36525-2025</t>
        </is>
      </c>
      <c r="B6222" t="inlineStr">
        <is>
          <t>avverkningsanmälan</t>
        </is>
      </c>
      <c r="C6222" t="inlineStr">
        <is>
          <t>Föryngringsavverkning</t>
        </is>
      </c>
      <c r="D6222" s="1" t="n">
        <v>45869</v>
      </c>
      <c r="E6222" s="1" t="n">
        <v>46323</v>
      </c>
      <c r="F6222" t="inlineStr">
        <is>
          <t>KALMAR LÄN</t>
        </is>
      </c>
      <c r="G6222" t="inlineStr">
        <is>
          <t>TORSÅS</t>
        </is>
      </c>
      <c r="I6222" t="n">
        <v>0</v>
      </c>
      <c r="J6222" t="n">
        <v>0</v>
      </c>
      <c r="K6222" t="n">
        <v>0</v>
      </c>
      <c r="L6222" t="n">
        <v>0</v>
      </c>
      <c r="M6222" t="n">
        <v>0</v>
      </c>
      <c r="N6222" t="n">
        <v>0</v>
      </c>
      <c r="O6222" t="n">
        <v>0</v>
      </c>
      <c r="P6222" t="n">
        <v>0</v>
      </c>
      <c r="Q6222" t="n">
        <v>0</v>
      </c>
      <c r="R6222" t="n">
        <v>0</v>
      </c>
      <c r="S6222" t="n">
        <v>0</v>
      </c>
      <c r="T6222" t="n">
        <v>0</v>
      </c>
      <c r="U6222" t="n">
        <v>0</v>
      </c>
      <c r="V6222" s="2" t="inlineStr"/>
    </row>
    <row r="6223" ht="15" customHeight="1">
      <c r="A6223" t="inlineStr">
        <is>
          <t>A 36601-2025</t>
        </is>
      </c>
      <c r="B6223" t="inlineStr">
        <is>
          <t>avverkningsanmälan</t>
        </is>
      </c>
      <c r="C6223" t="inlineStr">
        <is>
          <t>Föryngringsavverkning</t>
        </is>
      </c>
      <c r="D6223" s="1" t="n">
        <v>45870</v>
      </c>
      <c r="E6223" s="1" t="n">
        <v>46323</v>
      </c>
      <c r="F6223" t="inlineStr">
        <is>
          <t>KALMAR LÄN</t>
        </is>
      </c>
      <c r="G6223" t="inlineStr">
        <is>
          <t>VIMMERBY</t>
        </is>
      </c>
      <c r="I6223" t="n">
        <v>0.5</v>
      </c>
      <c r="J6223" t="n">
        <v>0</v>
      </c>
      <c r="K6223" t="n">
        <v>0</v>
      </c>
      <c r="L6223" t="n">
        <v>0</v>
      </c>
      <c r="M6223" t="n">
        <v>0</v>
      </c>
      <c r="N6223" t="n">
        <v>0</v>
      </c>
      <c r="O6223" t="n">
        <v>0</v>
      </c>
      <c r="P6223" t="n">
        <v>0</v>
      </c>
      <c r="Q6223" t="n">
        <v>0</v>
      </c>
      <c r="R6223" t="n">
        <v>0</v>
      </c>
      <c r="S6223" t="n">
        <v>0</v>
      </c>
      <c r="T6223" t="n">
        <v>0</v>
      </c>
      <c r="U6223" t="n">
        <v>0</v>
      </c>
      <c r="V6223" s="2" t="inlineStr"/>
    </row>
    <row r="6224" ht="15" customHeight="1">
      <c r="A6224" t="inlineStr">
        <is>
          <t>A 36603-2025</t>
        </is>
      </c>
      <c r="B6224" t="inlineStr">
        <is>
          <t>avverkningsanmälan</t>
        </is>
      </c>
      <c r="C6224" t="inlineStr">
        <is>
          <t>Föryngringsavverkning</t>
        </is>
      </c>
      <c r="D6224" s="1" t="n">
        <v>45870</v>
      </c>
      <c r="E6224" s="1" t="n">
        <v>46323</v>
      </c>
      <c r="F6224" t="inlineStr">
        <is>
          <t>KALMAR LÄN</t>
        </is>
      </c>
      <c r="G6224" t="inlineStr">
        <is>
          <t>VIMMERBY</t>
        </is>
      </c>
      <c r="I6224" t="n">
        <v>1.6</v>
      </c>
      <c r="J6224" t="n">
        <v>0</v>
      </c>
      <c r="K6224" t="n">
        <v>0</v>
      </c>
      <c r="L6224" t="n">
        <v>0</v>
      </c>
      <c r="M6224" t="n">
        <v>0</v>
      </c>
      <c r="N6224" t="n">
        <v>0</v>
      </c>
      <c r="O6224" t="n">
        <v>0</v>
      </c>
      <c r="P6224" t="n">
        <v>0</v>
      </c>
      <c r="Q6224" t="n">
        <v>0</v>
      </c>
      <c r="R6224" t="n">
        <v>0</v>
      </c>
      <c r="S6224" t="n">
        <v>0</v>
      </c>
      <c r="T6224" t="n">
        <v>0</v>
      </c>
      <c r="U6224" t="n">
        <v>0</v>
      </c>
      <c r="V6224" s="2" t="inlineStr"/>
    </row>
    <row r="6225" ht="15" customHeight="1">
      <c r="A6225" t="inlineStr">
        <is>
          <t>A 36526-2025</t>
        </is>
      </c>
      <c r="B6225" t="inlineStr">
        <is>
          <t>avverkningsanmälan</t>
        </is>
      </c>
      <c r="C6225" t="inlineStr">
        <is>
          <t>Föryngringsavverkning</t>
        </is>
      </c>
      <c r="D6225" s="1" t="n">
        <v>45869</v>
      </c>
      <c r="E6225" s="1" t="n">
        <v>46323</v>
      </c>
      <c r="F6225" t="inlineStr">
        <is>
          <t>KALMAR LÄN</t>
        </is>
      </c>
      <c r="G6225" t="inlineStr">
        <is>
          <t>TORSÅS</t>
        </is>
      </c>
      <c r="I6225" t="n">
        <v>0.6</v>
      </c>
      <c r="J6225" t="n">
        <v>0</v>
      </c>
      <c r="K6225" t="n">
        <v>0</v>
      </c>
      <c r="L6225" t="n">
        <v>0</v>
      </c>
      <c r="M6225" t="n">
        <v>0</v>
      </c>
      <c r="N6225" t="n">
        <v>0</v>
      </c>
      <c r="O6225" t="n">
        <v>0</v>
      </c>
      <c r="P6225" t="n">
        <v>0</v>
      </c>
      <c r="Q6225" t="n">
        <v>0</v>
      </c>
      <c r="R6225" t="n">
        <v>0</v>
      </c>
      <c r="S6225" t="n">
        <v>0</v>
      </c>
      <c r="T6225" t="n">
        <v>0</v>
      </c>
      <c r="U6225" t="n">
        <v>0</v>
      </c>
      <c r="V6225" s="2" t="inlineStr"/>
    </row>
    <row r="6226" ht="15" customHeight="1">
      <c r="A6226" t="inlineStr">
        <is>
          <t>A 16409-2026</t>
        </is>
      </c>
      <c r="B6226" t="inlineStr">
        <is>
          <t>avverkningsanmälan</t>
        </is>
      </c>
      <c r="C6226" t="inlineStr">
        <is>
          <t>Föryngringsavverkning</t>
        </is>
      </c>
      <c r="D6226" s="1" t="n">
        <v>46111</v>
      </c>
      <c r="E6226" s="1" t="n">
        <v>46323</v>
      </c>
      <c r="F6226" t="inlineStr">
        <is>
          <t>KALMAR LÄN</t>
        </is>
      </c>
      <c r="G6226" t="inlineStr">
        <is>
          <t>TORSÅS</t>
        </is>
      </c>
      <c r="I6226" t="n">
        <v>5.8</v>
      </c>
      <c r="J6226" t="n">
        <v>0</v>
      </c>
      <c r="K6226" t="n">
        <v>0</v>
      </c>
      <c r="L6226" t="n">
        <v>0</v>
      </c>
      <c r="M6226" t="n">
        <v>0</v>
      </c>
      <c r="N6226" t="n">
        <v>0</v>
      </c>
      <c r="O6226" t="n">
        <v>0</v>
      </c>
      <c r="P6226" t="n">
        <v>0</v>
      </c>
      <c r="Q6226" t="n">
        <v>0</v>
      </c>
      <c r="R6226" t="n">
        <v>0</v>
      </c>
      <c r="S6226" t="n">
        <v>0</v>
      </c>
      <c r="T6226" t="n">
        <v>0</v>
      </c>
      <c r="U6226" t="n">
        <v>0</v>
      </c>
      <c r="V6226" s="2" t="inlineStr"/>
    </row>
    <row r="6227" ht="15" customHeight="1">
      <c r="A6227" t="inlineStr">
        <is>
          <t>A 36883-2025</t>
        </is>
      </c>
      <c r="B6227" t="inlineStr">
        <is>
          <t>avverkningsanmälan</t>
        </is>
      </c>
      <c r="C6227" t="inlineStr">
        <is>
          <t>Föryngringsavverkning</t>
        </is>
      </c>
      <c r="D6227" s="1" t="n">
        <v>45874</v>
      </c>
      <c r="E6227" s="1" t="n">
        <v>46323</v>
      </c>
      <c r="F6227" t="inlineStr">
        <is>
          <t>KALMAR LÄN</t>
        </is>
      </c>
      <c r="G6227" t="inlineStr">
        <is>
          <t>KALMAR</t>
        </is>
      </c>
      <c r="I6227" t="n">
        <v>0.5</v>
      </c>
      <c r="J6227" t="n">
        <v>0</v>
      </c>
      <c r="K6227" t="n">
        <v>0</v>
      </c>
      <c r="L6227" t="n">
        <v>0</v>
      </c>
      <c r="M6227" t="n">
        <v>0</v>
      </c>
      <c r="N6227" t="n">
        <v>0</v>
      </c>
      <c r="O6227" t="n">
        <v>0</v>
      </c>
      <c r="P6227" t="n">
        <v>0</v>
      </c>
      <c r="Q6227" t="n">
        <v>0</v>
      </c>
      <c r="R6227" t="n">
        <v>0</v>
      </c>
      <c r="S6227" t="n">
        <v>0</v>
      </c>
      <c r="T6227" t="n">
        <v>0</v>
      </c>
      <c r="U6227" t="n">
        <v>0</v>
      </c>
      <c r="V6227" s="2" t="inlineStr"/>
    </row>
    <row r="6228" ht="15" customHeight="1">
      <c r="A6228" t="inlineStr">
        <is>
          <t>A 20483-2025</t>
        </is>
      </c>
      <c r="B6228" t="inlineStr">
        <is>
          <t>avverkningsanmälan</t>
        </is>
      </c>
      <c r="C6228" t="inlineStr">
        <is>
          <t>Föryngringsavverkning</t>
        </is>
      </c>
      <c r="D6228" s="1" t="n">
        <v>45775</v>
      </c>
      <c r="E6228" s="1" t="n">
        <v>46323</v>
      </c>
      <c r="F6228" t="inlineStr">
        <is>
          <t>KALMAR LÄN</t>
        </is>
      </c>
      <c r="G6228" t="inlineStr">
        <is>
          <t>VÄSTERVIK</t>
        </is>
      </c>
      <c r="I6228" t="n">
        <v>1</v>
      </c>
      <c r="J6228" t="n">
        <v>0</v>
      </c>
      <c r="K6228" t="n">
        <v>0</v>
      </c>
      <c r="L6228" t="n">
        <v>0</v>
      </c>
      <c r="M6228" t="n">
        <v>0</v>
      </c>
      <c r="N6228" t="n">
        <v>0</v>
      </c>
      <c r="O6228" t="n">
        <v>0</v>
      </c>
      <c r="P6228" t="n">
        <v>0</v>
      </c>
      <c r="Q6228" t="n">
        <v>0</v>
      </c>
      <c r="R6228" t="n">
        <v>0</v>
      </c>
      <c r="S6228" t="n">
        <v>0</v>
      </c>
      <c r="T6228" t="n">
        <v>0</v>
      </c>
      <c r="U6228" t="n">
        <v>0</v>
      </c>
      <c r="V6228" s="2" t="inlineStr"/>
    </row>
    <row r="6229" ht="15" customHeight="1">
      <c r="A6229" t="inlineStr">
        <is>
          <t>A 16411-2026</t>
        </is>
      </c>
      <c r="B6229" t="inlineStr">
        <is>
          <t>avverkningsanmälan</t>
        </is>
      </c>
      <c r="C6229" t="inlineStr">
        <is>
          <t>Föryngringsavverkning</t>
        </is>
      </c>
      <c r="D6229" s="1" t="n">
        <v>46111</v>
      </c>
      <c r="E6229" s="1" t="n">
        <v>46323</v>
      </c>
      <c r="F6229" t="inlineStr">
        <is>
          <t>KALMAR LÄN</t>
        </is>
      </c>
      <c r="G6229" t="inlineStr">
        <is>
          <t>TORSÅS</t>
        </is>
      </c>
      <c r="I6229" t="n">
        <v>3.4</v>
      </c>
      <c r="J6229" t="n">
        <v>0</v>
      </c>
      <c r="K6229" t="n">
        <v>0</v>
      </c>
      <c r="L6229" t="n">
        <v>0</v>
      </c>
      <c r="M6229" t="n">
        <v>0</v>
      </c>
      <c r="N6229" t="n">
        <v>0</v>
      </c>
      <c r="O6229" t="n">
        <v>0</v>
      </c>
      <c r="P6229" t="n">
        <v>0</v>
      </c>
      <c r="Q6229" t="n">
        <v>0</v>
      </c>
      <c r="R6229" t="n">
        <v>0</v>
      </c>
      <c r="S6229" t="n">
        <v>0</v>
      </c>
      <c r="T6229" t="n">
        <v>0</v>
      </c>
      <c r="U6229" t="n">
        <v>0</v>
      </c>
      <c r="V6229" s="2" t="inlineStr"/>
    </row>
    <row r="6230" ht="15" customHeight="1">
      <c r="A6230" t="inlineStr">
        <is>
          <t>A 24661-2025</t>
        </is>
      </c>
      <c r="B6230" t="inlineStr">
        <is>
          <t>avverkningsanmälan</t>
        </is>
      </c>
      <c r="C6230" t="inlineStr">
        <is>
          <t>Föryngringsavverkning</t>
        </is>
      </c>
      <c r="D6230" s="1" t="n">
        <v>45798</v>
      </c>
      <c r="E6230" s="1" t="n">
        <v>46323</v>
      </c>
      <c r="F6230" t="inlineStr">
        <is>
          <t>KALMAR LÄN</t>
        </is>
      </c>
      <c r="G6230" t="inlineStr">
        <is>
          <t>TORSÅS</t>
        </is>
      </c>
      <c r="I6230" t="n">
        <v>1.6</v>
      </c>
      <c r="J6230" t="n">
        <v>0</v>
      </c>
      <c r="K6230" t="n">
        <v>0</v>
      </c>
      <c r="L6230" t="n">
        <v>0</v>
      </c>
      <c r="M6230" t="n">
        <v>0</v>
      </c>
      <c r="N6230" t="n">
        <v>0</v>
      </c>
      <c r="O6230" t="n">
        <v>0</v>
      </c>
      <c r="P6230" t="n">
        <v>0</v>
      </c>
      <c r="Q6230" t="n">
        <v>0</v>
      </c>
      <c r="R6230" t="n">
        <v>0</v>
      </c>
      <c r="S6230" t="n">
        <v>0</v>
      </c>
      <c r="T6230" t="n">
        <v>0</v>
      </c>
      <c r="U6230" t="n">
        <v>0</v>
      </c>
      <c r="V6230" s="2" t="inlineStr"/>
    </row>
    <row r="6231" ht="15" customHeight="1">
      <c r="A6231" t="inlineStr">
        <is>
          <t>A 23937-2026</t>
        </is>
      </c>
      <c r="B6231" t="inlineStr">
        <is>
          <t>avverkningsanmälan</t>
        </is>
      </c>
      <c r="C6231" t="inlineStr">
        <is>
          <t>Avverkning för att bevara och utveckla /försöksver</t>
        </is>
      </c>
      <c r="D6231" s="1" t="n">
        <v>46167</v>
      </c>
      <c r="E6231" s="1" t="n">
        <v>46323</v>
      </c>
      <c r="F6231" t="inlineStr">
        <is>
          <t>KALMAR LÄN</t>
        </is>
      </c>
      <c r="G6231" t="inlineStr">
        <is>
          <t>HÖGSBY</t>
        </is>
      </c>
      <c r="H6231" t="inlineStr">
        <is>
          <t>Sveaskog</t>
        </is>
      </c>
      <c r="I6231" t="n">
        <v>5.7</v>
      </c>
      <c r="J6231" t="n">
        <v>0</v>
      </c>
      <c r="K6231" t="n">
        <v>0</v>
      </c>
      <c r="L6231" t="n">
        <v>0</v>
      </c>
      <c r="M6231" t="n">
        <v>0</v>
      </c>
      <c r="N6231" t="n">
        <v>0</v>
      </c>
      <c r="O6231" t="n">
        <v>0</v>
      </c>
      <c r="P6231" t="n">
        <v>0</v>
      </c>
      <c r="Q6231" t="n">
        <v>0</v>
      </c>
      <c r="R6231" t="n">
        <v>0</v>
      </c>
      <c r="S6231" t="n">
        <v>0</v>
      </c>
      <c r="T6231" t="n">
        <v>0</v>
      </c>
      <c r="U6231" t="n">
        <v>0</v>
      </c>
      <c r="V6231" s="2" t="inlineStr"/>
    </row>
    <row r="6232" ht="15" customHeight="1">
      <c r="A6232" t="inlineStr">
        <is>
          <t>A 36754-2025</t>
        </is>
      </c>
      <c r="B6232" t="inlineStr">
        <is>
          <t>avverkningsanmälan</t>
        </is>
      </c>
      <c r="C6232" t="inlineStr">
        <is>
          <t>Föryngringsavverkning</t>
        </is>
      </c>
      <c r="D6232" s="1" t="n">
        <v>45873</v>
      </c>
      <c r="E6232" s="1" t="n">
        <v>46323</v>
      </c>
      <c r="F6232" t="inlineStr">
        <is>
          <t>KALMAR LÄN</t>
        </is>
      </c>
      <c r="G6232" t="inlineStr">
        <is>
          <t>VÄSTERVIK</t>
        </is>
      </c>
      <c r="I6232" t="n">
        <v>1.1</v>
      </c>
      <c r="J6232" t="n">
        <v>0</v>
      </c>
      <c r="K6232" t="n">
        <v>0</v>
      </c>
      <c r="L6232" t="n">
        <v>0</v>
      </c>
      <c r="M6232" t="n">
        <v>0</v>
      </c>
      <c r="N6232" t="n">
        <v>0</v>
      </c>
      <c r="O6232" t="n">
        <v>0</v>
      </c>
      <c r="P6232" t="n">
        <v>0</v>
      </c>
      <c r="Q6232" t="n">
        <v>0</v>
      </c>
      <c r="R6232" t="n">
        <v>0</v>
      </c>
      <c r="S6232" t="n">
        <v>0</v>
      </c>
      <c r="T6232" t="n">
        <v>0</v>
      </c>
      <c r="U6232" t="n">
        <v>0</v>
      </c>
      <c r="V6232" s="2" t="inlineStr"/>
    </row>
    <row r="6233" ht="15" customHeight="1">
      <c r="A6233" t="inlineStr">
        <is>
          <t>A 24040-2026</t>
        </is>
      </c>
      <c r="B6233" t="inlineStr">
        <is>
          <t>avverkningsanmälan</t>
        </is>
      </c>
      <c r="C6233" t="inlineStr">
        <is>
          <t>Föryngringsavverkning</t>
        </is>
      </c>
      <c r="D6233" s="1" t="n">
        <v>46168</v>
      </c>
      <c r="E6233" s="1" t="n">
        <v>46323</v>
      </c>
      <c r="F6233" t="inlineStr">
        <is>
          <t>KALMAR LÄN</t>
        </is>
      </c>
      <c r="G6233" t="inlineStr">
        <is>
          <t>NYBRO</t>
        </is>
      </c>
      <c r="I6233" t="n">
        <v>0.7</v>
      </c>
      <c r="J6233" t="n">
        <v>0</v>
      </c>
      <c r="K6233" t="n">
        <v>0</v>
      </c>
      <c r="L6233" t="n">
        <v>0</v>
      </c>
      <c r="M6233" t="n">
        <v>0</v>
      </c>
      <c r="N6233" t="n">
        <v>0</v>
      </c>
      <c r="O6233" t="n">
        <v>0</v>
      </c>
      <c r="P6233" t="n">
        <v>0</v>
      </c>
      <c r="Q6233" t="n">
        <v>0</v>
      </c>
      <c r="R6233" t="n">
        <v>0</v>
      </c>
      <c r="S6233" t="n">
        <v>0</v>
      </c>
      <c r="T6233" t="n">
        <v>0</v>
      </c>
      <c r="U6233" t="n">
        <v>0</v>
      </c>
      <c r="V6233" s="2" t="inlineStr"/>
    </row>
    <row r="6234" ht="15" customHeight="1">
      <c r="A6234" t="inlineStr">
        <is>
          <t>A 37298-2025</t>
        </is>
      </c>
      <c r="B6234" t="inlineStr">
        <is>
          <t>avverkningsanmälan</t>
        </is>
      </c>
      <c r="C6234" t="inlineStr">
        <is>
          <t>Föryngringsavverkning</t>
        </is>
      </c>
      <c r="D6234" s="1" t="n">
        <v>45876</v>
      </c>
      <c r="E6234" s="1" t="n">
        <v>46323</v>
      </c>
      <c r="F6234" t="inlineStr">
        <is>
          <t>KALMAR LÄN</t>
        </is>
      </c>
      <c r="G6234" t="inlineStr">
        <is>
          <t>MÖNSTERÅS</t>
        </is>
      </c>
      <c r="I6234" t="n">
        <v>0.5</v>
      </c>
      <c r="J6234" t="n">
        <v>0</v>
      </c>
      <c r="K6234" t="n">
        <v>0</v>
      </c>
      <c r="L6234" t="n">
        <v>0</v>
      </c>
      <c r="M6234" t="n">
        <v>0</v>
      </c>
      <c r="N6234" t="n">
        <v>0</v>
      </c>
      <c r="O6234" t="n">
        <v>0</v>
      </c>
      <c r="P6234" t="n">
        <v>0</v>
      </c>
      <c r="Q6234" t="n">
        <v>0</v>
      </c>
      <c r="R6234" t="n">
        <v>0</v>
      </c>
      <c r="S6234" t="n">
        <v>0</v>
      </c>
      <c r="T6234" t="n">
        <v>0</v>
      </c>
      <c r="U6234" t="n">
        <v>0</v>
      </c>
      <c r="V6234" s="2" t="inlineStr"/>
    </row>
    <row r="6235" ht="15" customHeight="1">
      <c r="A6235" t="inlineStr">
        <is>
          <t>A 37668-2025</t>
        </is>
      </c>
      <c r="B6235" t="inlineStr">
        <is>
          <t>avverkningsanmälan</t>
        </is>
      </c>
      <c r="C6235" t="inlineStr">
        <is>
          <t>Föryngringsavverkning</t>
        </is>
      </c>
      <c r="D6235" s="1" t="n">
        <v>45880</v>
      </c>
      <c r="E6235" s="1" t="n">
        <v>46323</v>
      </c>
      <c r="F6235" t="inlineStr">
        <is>
          <t>KALMAR LÄN</t>
        </is>
      </c>
      <c r="G6235" t="inlineStr">
        <is>
          <t>VIMMERBY</t>
        </is>
      </c>
      <c r="H6235" t="inlineStr">
        <is>
          <t>Sveaskog</t>
        </is>
      </c>
      <c r="I6235" t="n">
        <v>0.6</v>
      </c>
      <c r="J6235" t="n">
        <v>0</v>
      </c>
      <c r="K6235" t="n">
        <v>0</v>
      </c>
      <c r="L6235" t="n">
        <v>0</v>
      </c>
      <c r="M6235" t="n">
        <v>0</v>
      </c>
      <c r="N6235" t="n">
        <v>0</v>
      </c>
      <c r="O6235" t="n">
        <v>0</v>
      </c>
      <c r="P6235" t="n">
        <v>0</v>
      </c>
      <c r="Q6235" t="n">
        <v>0</v>
      </c>
      <c r="R6235" t="n">
        <v>0</v>
      </c>
      <c r="S6235" t="n">
        <v>0</v>
      </c>
      <c r="T6235" t="n">
        <v>0</v>
      </c>
      <c r="U6235" t="n">
        <v>0</v>
      </c>
      <c r="V6235" s="2" t="inlineStr"/>
    </row>
    <row r="6236" ht="15" customHeight="1">
      <c r="A6236" t="inlineStr">
        <is>
          <t>A 37559-2025</t>
        </is>
      </c>
      <c r="B6236" t="inlineStr">
        <is>
          <t>avverkningsanmälan</t>
        </is>
      </c>
      <c r="C6236" t="inlineStr">
        <is>
          <t>Föryngringsavverkning</t>
        </is>
      </c>
      <c r="D6236" s="1" t="n">
        <v>45880</v>
      </c>
      <c r="E6236" s="1" t="n">
        <v>46323</v>
      </c>
      <c r="F6236" t="inlineStr">
        <is>
          <t>KALMAR LÄN</t>
        </is>
      </c>
      <c r="G6236" t="inlineStr">
        <is>
          <t>NYBRO</t>
        </is>
      </c>
      <c r="I6236" t="n">
        <v>0.6</v>
      </c>
      <c r="J6236" t="n">
        <v>0</v>
      </c>
      <c r="K6236" t="n">
        <v>0</v>
      </c>
      <c r="L6236" t="n">
        <v>0</v>
      </c>
      <c r="M6236" t="n">
        <v>0</v>
      </c>
      <c r="N6236" t="n">
        <v>0</v>
      </c>
      <c r="O6236" t="n">
        <v>0</v>
      </c>
      <c r="P6236" t="n">
        <v>0</v>
      </c>
      <c r="Q6236" t="n">
        <v>0</v>
      </c>
      <c r="R6236" t="n">
        <v>0</v>
      </c>
      <c r="S6236" t="n">
        <v>0</v>
      </c>
      <c r="T6236" t="n">
        <v>0</v>
      </c>
      <c r="U6236" t="n">
        <v>0</v>
      </c>
      <c r="V6236" s="2" t="inlineStr"/>
    </row>
    <row r="6237" ht="15" customHeight="1">
      <c r="A6237" t="inlineStr">
        <is>
          <t>A 30005-2025</t>
        </is>
      </c>
      <c r="B6237" t="inlineStr">
        <is>
          <t>avverkningsanmälan</t>
        </is>
      </c>
      <c r="C6237" t="inlineStr">
        <is>
          <t>Föryngringsavverkning</t>
        </is>
      </c>
      <c r="D6237" s="1" t="n">
        <v>45826</v>
      </c>
      <c r="E6237" s="1" t="n">
        <v>46323</v>
      </c>
      <c r="F6237" t="inlineStr">
        <is>
          <t>KALMAR LÄN</t>
        </is>
      </c>
      <c r="G6237" t="inlineStr">
        <is>
          <t>HULTSFRED</t>
        </is>
      </c>
      <c r="I6237" t="n">
        <v>1.3</v>
      </c>
      <c r="J6237" t="n">
        <v>0</v>
      </c>
      <c r="K6237" t="n">
        <v>0</v>
      </c>
      <c r="L6237" t="n">
        <v>0</v>
      </c>
      <c r="M6237" t="n">
        <v>0</v>
      </c>
      <c r="N6237" t="n">
        <v>0</v>
      </c>
      <c r="O6237" t="n">
        <v>0</v>
      </c>
      <c r="P6237" t="n">
        <v>0</v>
      </c>
      <c r="Q6237" t="n">
        <v>0</v>
      </c>
      <c r="R6237" t="n">
        <v>0</v>
      </c>
      <c r="S6237" t="n">
        <v>0</v>
      </c>
      <c r="T6237" t="n">
        <v>0</v>
      </c>
      <c r="U6237" t="n">
        <v>0</v>
      </c>
      <c r="V6237" s="2" t="inlineStr"/>
    </row>
    <row r="6238" ht="15" customHeight="1">
      <c r="A6238" t="inlineStr">
        <is>
          <t>A 37578-2025</t>
        </is>
      </c>
      <c r="B6238" t="inlineStr">
        <is>
          <t>avverkningsanmälan</t>
        </is>
      </c>
      <c r="C6238" t="inlineStr">
        <is>
          <t>Föryngringsavverkning</t>
        </is>
      </c>
      <c r="D6238" s="1" t="n">
        <v>45880</v>
      </c>
      <c r="E6238" s="1" t="n">
        <v>46323</v>
      </c>
      <c r="F6238" t="inlineStr">
        <is>
          <t>KALMAR LÄN</t>
        </is>
      </c>
      <c r="G6238" t="inlineStr">
        <is>
          <t>VIMMERBY</t>
        </is>
      </c>
      <c r="I6238" t="n">
        <v>0.7</v>
      </c>
      <c r="J6238" t="n">
        <v>0</v>
      </c>
      <c r="K6238" t="n">
        <v>0</v>
      </c>
      <c r="L6238" t="n">
        <v>0</v>
      </c>
      <c r="M6238" t="n">
        <v>0</v>
      </c>
      <c r="N6238" t="n">
        <v>0</v>
      </c>
      <c r="O6238" t="n">
        <v>0</v>
      </c>
      <c r="P6238" t="n">
        <v>0</v>
      </c>
      <c r="Q6238" t="n">
        <v>0</v>
      </c>
      <c r="R6238" t="n">
        <v>0</v>
      </c>
      <c r="S6238" t="n">
        <v>0</v>
      </c>
      <c r="T6238" t="n">
        <v>0</v>
      </c>
      <c r="U6238" t="n">
        <v>0</v>
      </c>
      <c r="V6238" s="2" t="inlineStr"/>
    </row>
    <row r="6239" ht="15" customHeight="1">
      <c r="A6239" t="inlineStr">
        <is>
          <t>A 37622-2025</t>
        </is>
      </c>
      <c r="B6239" t="inlineStr">
        <is>
          <t>avverkningsanmälan</t>
        </is>
      </c>
      <c r="C6239" t="inlineStr">
        <is>
          <t>Föryngringsavverkning</t>
        </is>
      </c>
      <c r="D6239" s="1" t="n">
        <v>45880</v>
      </c>
      <c r="E6239" s="1" t="n">
        <v>46323</v>
      </c>
      <c r="F6239" t="inlineStr">
        <is>
          <t>KALMAR LÄN</t>
        </is>
      </c>
      <c r="G6239" t="inlineStr">
        <is>
          <t>TORSÅS</t>
        </is>
      </c>
      <c r="I6239" t="n">
        <v>6.5</v>
      </c>
      <c r="J6239" t="n">
        <v>0</v>
      </c>
      <c r="K6239" t="n">
        <v>0</v>
      </c>
      <c r="L6239" t="n">
        <v>0</v>
      </c>
      <c r="M6239" t="n">
        <v>0</v>
      </c>
      <c r="N6239" t="n">
        <v>0</v>
      </c>
      <c r="O6239" t="n">
        <v>0</v>
      </c>
      <c r="P6239" t="n">
        <v>0</v>
      </c>
      <c r="Q6239" t="n">
        <v>0</v>
      </c>
      <c r="R6239" t="n">
        <v>0</v>
      </c>
      <c r="S6239" t="n">
        <v>0</v>
      </c>
      <c r="T6239" t="n">
        <v>0</v>
      </c>
      <c r="U6239" t="n">
        <v>0</v>
      </c>
      <c r="V6239" s="2" t="inlineStr"/>
    </row>
    <row r="6240" ht="15" customHeight="1">
      <c r="A6240" t="inlineStr">
        <is>
          <t>A 37523-2025</t>
        </is>
      </c>
      <c r="B6240" t="inlineStr">
        <is>
          <t>avverkningsanmälan</t>
        </is>
      </c>
      <c r="C6240" t="inlineStr">
        <is>
          <t>Föryngringsavverkning</t>
        </is>
      </c>
      <c r="D6240" s="1" t="n">
        <v>45877</v>
      </c>
      <c r="E6240" s="1" t="n">
        <v>46323</v>
      </c>
      <c r="F6240" t="inlineStr">
        <is>
          <t>KALMAR LÄN</t>
        </is>
      </c>
      <c r="G6240" t="inlineStr">
        <is>
          <t>VÄSTERVIK</t>
        </is>
      </c>
      <c r="I6240" t="n">
        <v>0.7</v>
      </c>
      <c r="J6240" t="n">
        <v>0</v>
      </c>
      <c r="K6240" t="n">
        <v>0</v>
      </c>
      <c r="L6240" t="n">
        <v>0</v>
      </c>
      <c r="M6240" t="n">
        <v>0</v>
      </c>
      <c r="N6240" t="n">
        <v>0</v>
      </c>
      <c r="O6240" t="n">
        <v>0</v>
      </c>
      <c r="P6240" t="n">
        <v>0</v>
      </c>
      <c r="Q6240" t="n">
        <v>0</v>
      </c>
      <c r="R6240" t="n">
        <v>0</v>
      </c>
      <c r="S6240" t="n">
        <v>0</v>
      </c>
      <c r="T6240" t="n">
        <v>0</v>
      </c>
      <c r="U6240" t="n">
        <v>0</v>
      </c>
      <c r="V6240" s="2" t="inlineStr"/>
    </row>
    <row r="6241" ht="15" customHeight="1">
      <c r="A6241" t="inlineStr">
        <is>
          <t>A 24330-2026</t>
        </is>
      </c>
      <c r="B6241" t="inlineStr">
        <is>
          <t>avverkningsanmälan</t>
        </is>
      </c>
      <c r="C6241" t="inlineStr">
        <is>
          <t>Föryngringsavverkning</t>
        </is>
      </c>
      <c r="D6241" s="1" t="n">
        <v>46169</v>
      </c>
      <c r="E6241" s="1" t="n">
        <v>46323</v>
      </c>
      <c r="F6241" t="inlineStr">
        <is>
          <t>KALMAR LÄN</t>
        </is>
      </c>
      <c r="G6241" t="inlineStr">
        <is>
          <t>HULTSFRED</t>
        </is>
      </c>
      <c r="I6241" t="n">
        <v>3.2</v>
      </c>
      <c r="J6241" t="n">
        <v>0</v>
      </c>
      <c r="K6241" t="n">
        <v>0</v>
      </c>
      <c r="L6241" t="n">
        <v>0</v>
      </c>
      <c r="M6241" t="n">
        <v>0</v>
      </c>
      <c r="N6241" t="n">
        <v>0</v>
      </c>
      <c r="O6241" t="n">
        <v>0</v>
      </c>
      <c r="P6241" t="n">
        <v>0</v>
      </c>
      <c r="Q6241" t="n">
        <v>0</v>
      </c>
      <c r="R6241" t="n">
        <v>0</v>
      </c>
      <c r="S6241" t="n">
        <v>0</v>
      </c>
      <c r="T6241" t="n">
        <v>0</v>
      </c>
      <c r="U6241" t="n">
        <v>0</v>
      </c>
      <c r="V6241" s="2" t="inlineStr"/>
    </row>
    <row r="6242" ht="15" customHeight="1">
      <c r="A6242" t="inlineStr">
        <is>
          <t>A 24332-2026</t>
        </is>
      </c>
      <c r="B6242" t="inlineStr">
        <is>
          <t>avverkningsanmälan</t>
        </is>
      </c>
      <c r="C6242" t="inlineStr">
        <is>
          <t>Föryngringsavverkning</t>
        </is>
      </c>
      <c r="D6242" s="1" t="n">
        <v>46169</v>
      </c>
      <c r="E6242" s="1" t="n">
        <v>46323</v>
      </c>
      <c r="F6242" t="inlineStr">
        <is>
          <t>KALMAR LÄN</t>
        </is>
      </c>
      <c r="G6242" t="inlineStr">
        <is>
          <t>HULTSFRED</t>
        </is>
      </c>
      <c r="I6242" t="n">
        <v>1.1</v>
      </c>
      <c r="J6242" t="n">
        <v>0</v>
      </c>
      <c r="K6242" t="n">
        <v>0</v>
      </c>
      <c r="L6242" t="n">
        <v>0</v>
      </c>
      <c r="M6242" t="n">
        <v>0</v>
      </c>
      <c r="N6242" t="n">
        <v>0</v>
      </c>
      <c r="O6242" t="n">
        <v>0</v>
      </c>
      <c r="P6242" t="n">
        <v>0</v>
      </c>
      <c r="Q6242" t="n">
        <v>0</v>
      </c>
      <c r="R6242" t="n">
        <v>0</v>
      </c>
      <c r="S6242" t="n">
        <v>0</v>
      </c>
      <c r="T6242" t="n">
        <v>0</v>
      </c>
      <c r="U6242" t="n">
        <v>0</v>
      </c>
      <c r="V6242" s="2" t="inlineStr"/>
    </row>
    <row r="6243" ht="15" customHeight="1">
      <c r="A6243" t="inlineStr">
        <is>
          <t>A 37556-2025</t>
        </is>
      </c>
      <c r="B6243" t="inlineStr">
        <is>
          <t>avverkningsanmälan</t>
        </is>
      </c>
      <c r="C6243" t="inlineStr">
        <is>
          <t>Föryngringsavverkning</t>
        </is>
      </c>
      <c r="D6243" s="1" t="n">
        <v>45880</v>
      </c>
      <c r="E6243" s="1" t="n">
        <v>46323</v>
      </c>
      <c r="F6243" t="inlineStr">
        <is>
          <t>KALMAR LÄN</t>
        </is>
      </c>
      <c r="G6243" t="inlineStr">
        <is>
          <t>NYBRO</t>
        </is>
      </c>
      <c r="I6243" t="n">
        <v>1.2</v>
      </c>
      <c r="J6243" t="n">
        <v>0</v>
      </c>
      <c r="K6243" t="n">
        <v>0</v>
      </c>
      <c r="L6243" t="n">
        <v>0</v>
      </c>
      <c r="M6243" t="n">
        <v>0</v>
      </c>
      <c r="N6243" t="n">
        <v>0</v>
      </c>
      <c r="O6243" t="n">
        <v>0</v>
      </c>
      <c r="P6243" t="n">
        <v>0</v>
      </c>
      <c r="Q6243" t="n">
        <v>0</v>
      </c>
      <c r="R6243" t="n">
        <v>0</v>
      </c>
      <c r="S6243" t="n">
        <v>0</v>
      </c>
      <c r="T6243" t="n">
        <v>0</v>
      </c>
      <c r="U6243" t="n">
        <v>0</v>
      </c>
      <c r="V6243" s="2" t="inlineStr"/>
    </row>
    <row r="6244" ht="15" customHeight="1">
      <c r="A6244" t="inlineStr">
        <is>
          <t>A 37626-2025</t>
        </is>
      </c>
      <c r="B6244" t="inlineStr">
        <is>
          <t>avverkningsanmälan</t>
        </is>
      </c>
      <c r="C6244" t="inlineStr">
        <is>
          <t>Avverkning för att bevara och utveckla /försöksver</t>
        </is>
      </c>
      <c r="D6244" s="1" t="n">
        <v>45880</v>
      </c>
      <c r="E6244" s="1" t="n">
        <v>46323</v>
      </c>
      <c r="F6244" t="inlineStr">
        <is>
          <t>KALMAR LÄN</t>
        </is>
      </c>
      <c r="G6244" t="inlineStr">
        <is>
          <t>TORSÅS</t>
        </is>
      </c>
      <c r="I6244" t="n">
        <v>4.9</v>
      </c>
      <c r="J6244" t="n">
        <v>0</v>
      </c>
      <c r="K6244" t="n">
        <v>0</v>
      </c>
      <c r="L6244" t="n">
        <v>0</v>
      </c>
      <c r="M6244" t="n">
        <v>0</v>
      </c>
      <c r="N6244" t="n">
        <v>0</v>
      </c>
      <c r="O6244" t="n">
        <v>0</v>
      </c>
      <c r="P6244" t="n">
        <v>0</v>
      </c>
      <c r="Q6244" t="n">
        <v>0</v>
      </c>
      <c r="R6244" t="n">
        <v>0</v>
      </c>
      <c r="S6244" t="n">
        <v>0</v>
      </c>
      <c r="T6244" t="n">
        <v>0</v>
      </c>
      <c r="U6244" t="n">
        <v>0</v>
      </c>
      <c r="V6244" s="2" t="inlineStr"/>
    </row>
    <row r="6245" ht="15" customHeight="1">
      <c r="A6245" t="inlineStr">
        <is>
          <t>A 35177-2025</t>
        </is>
      </c>
      <c r="B6245" t="inlineStr">
        <is>
          <t>avverkningsanmälan</t>
        </is>
      </c>
      <c r="C6245" t="inlineStr">
        <is>
          <t>Föryngringsavverkning</t>
        </is>
      </c>
      <c r="D6245" s="1" t="n">
        <v>45852</v>
      </c>
      <c r="E6245" s="1" t="n">
        <v>46323</v>
      </c>
      <c r="F6245" t="inlineStr">
        <is>
          <t>KALMAR LÄN</t>
        </is>
      </c>
      <c r="G6245" t="inlineStr">
        <is>
          <t>HULTSFRED</t>
        </is>
      </c>
      <c r="I6245" t="n">
        <v>2.4</v>
      </c>
      <c r="J6245" t="n">
        <v>0</v>
      </c>
      <c r="K6245" t="n">
        <v>0</v>
      </c>
      <c r="L6245" t="n">
        <v>0</v>
      </c>
      <c r="M6245" t="n">
        <v>0</v>
      </c>
      <c r="N6245" t="n">
        <v>0</v>
      </c>
      <c r="O6245" t="n">
        <v>0</v>
      </c>
      <c r="P6245" t="n">
        <v>0</v>
      </c>
      <c r="Q6245" t="n">
        <v>0</v>
      </c>
      <c r="R6245" t="n">
        <v>0</v>
      </c>
      <c r="S6245" t="n">
        <v>0</v>
      </c>
      <c r="T6245" t="n">
        <v>0</v>
      </c>
      <c r="U6245" t="n">
        <v>0</v>
      </c>
      <c r="V6245" s="2" t="inlineStr"/>
    </row>
    <row r="6246" ht="15" customHeight="1">
      <c r="A6246" t="inlineStr">
        <is>
          <t>A 24270-2026</t>
        </is>
      </c>
      <c r="B6246" t="inlineStr">
        <is>
          <t>avverkningsanmälan</t>
        </is>
      </c>
      <c r="C6246" t="inlineStr">
        <is>
          <t>Föryngringsavverkning</t>
        </is>
      </c>
      <c r="D6246" s="1" t="n">
        <v>46169</v>
      </c>
      <c r="E6246" s="1" t="n">
        <v>46323</v>
      </c>
      <c r="F6246" t="inlineStr">
        <is>
          <t>KALMAR LÄN</t>
        </is>
      </c>
      <c r="G6246" t="inlineStr">
        <is>
          <t>HULTSFRED</t>
        </is>
      </c>
      <c r="I6246" t="n">
        <v>1.6</v>
      </c>
      <c r="J6246" t="n">
        <v>0</v>
      </c>
      <c r="K6246" t="n">
        <v>0</v>
      </c>
      <c r="L6246" t="n">
        <v>0</v>
      </c>
      <c r="M6246" t="n">
        <v>0</v>
      </c>
      <c r="N6246" t="n">
        <v>0</v>
      </c>
      <c r="O6246" t="n">
        <v>0</v>
      </c>
      <c r="P6246" t="n">
        <v>0</v>
      </c>
      <c r="Q6246" t="n">
        <v>0</v>
      </c>
      <c r="R6246" t="n">
        <v>0</v>
      </c>
      <c r="S6246" t="n">
        <v>0</v>
      </c>
      <c r="T6246" t="n">
        <v>0</v>
      </c>
      <c r="U6246" t="n">
        <v>0</v>
      </c>
      <c r="V6246" s="2" t="inlineStr"/>
    </row>
    <row r="6247" ht="15" customHeight="1">
      <c r="A6247" t="inlineStr">
        <is>
          <t>A 24312-2026</t>
        </is>
      </c>
      <c r="B6247" t="inlineStr">
        <is>
          <t>avverkningsanmälan</t>
        </is>
      </c>
      <c r="C6247" t="inlineStr">
        <is>
          <t>Föryngringsavverkning</t>
        </is>
      </c>
      <c r="D6247" s="1" t="n">
        <v>46169</v>
      </c>
      <c r="E6247" s="1" t="n">
        <v>46323</v>
      </c>
      <c r="F6247" t="inlineStr">
        <is>
          <t>KALMAR LÄN</t>
        </is>
      </c>
      <c r="G6247" t="inlineStr">
        <is>
          <t>MÖNSTERÅS</t>
        </is>
      </c>
      <c r="I6247" t="n">
        <v>0.6</v>
      </c>
      <c r="J6247" t="n">
        <v>0</v>
      </c>
      <c r="K6247" t="n">
        <v>0</v>
      </c>
      <c r="L6247" t="n">
        <v>0</v>
      </c>
      <c r="M6247" t="n">
        <v>0</v>
      </c>
      <c r="N6247" t="n">
        <v>0</v>
      </c>
      <c r="O6247" t="n">
        <v>0</v>
      </c>
      <c r="P6247" t="n">
        <v>0</v>
      </c>
      <c r="Q6247" t="n">
        <v>0</v>
      </c>
      <c r="R6247" t="n">
        <v>0</v>
      </c>
      <c r="S6247" t="n">
        <v>0</v>
      </c>
      <c r="T6247" t="n">
        <v>0</v>
      </c>
      <c r="U6247" t="n">
        <v>0</v>
      </c>
      <c r="V6247" s="2" t="inlineStr"/>
    </row>
    <row r="6248" ht="15" customHeight="1">
      <c r="A6248" t="inlineStr">
        <is>
          <t>A 24323-2026</t>
        </is>
      </c>
      <c r="B6248" t="inlineStr">
        <is>
          <t>avverkningsanmälan</t>
        </is>
      </c>
      <c r="C6248" t="inlineStr">
        <is>
          <t>Föryngringsavverkning</t>
        </is>
      </c>
      <c r="D6248" s="1" t="n">
        <v>46169</v>
      </c>
      <c r="E6248" s="1" t="n">
        <v>46323</v>
      </c>
      <c r="F6248" t="inlineStr">
        <is>
          <t>KALMAR LÄN</t>
        </is>
      </c>
      <c r="G6248" t="inlineStr">
        <is>
          <t>BORGHOLM</t>
        </is>
      </c>
      <c r="H6248" t="inlineStr">
        <is>
          <t>Sveaskog</t>
        </is>
      </c>
      <c r="I6248" t="n">
        <v>0.6</v>
      </c>
      <c r="J6248" t="n">
        <v>0</v>
      </c>
      <c r="K6248" t="n">
        <v>0</v>
      </c>
      <c r="L6248" t="n">
        <v>0</v>
      </c>
      <c r="M6248" t="n">
        <v>0</v>
      </c>
      <c r="N6248" t="n">
        <v>0</v>
      </c>
      <c r="O6248" t="n">
        <v>0</v>
      </c>
      <c r="P6248" t="n">
        <v>0</v>
      </c>
      <c r="Q6248" t="n">
        <v>0</v>
      </c>
      <c r="R6248" t="n">
        <v>0</v>
      </c>
      <c r="S6248" t="n">
        <v>0</v>
      </c>
      <c r="T6248" t="n">
        <v>0</v>
      </c>
      <c r="U6248" t="n">
        <v>0</v>
      </c>
      <c r="V6248" s="2" t="inlineStr"/>
    </row>
    <row r="6249" ht="15" customHeight="1">
      <c r="A6249" t="inlineStr">
        <is>
          <t>A 24417-2026</t>
        </is>
      </c>
      <c r="B6249" t="inlineStr">
        <is>
          <t>avverkningsanmälan</t>
        </is>
      </c>
      <c r="C6249" t="inlineStr">
        <is>
          <t>Föryngringsavverkning</t>
        </is>
      </c>
      <c r="D6249" s="1" t="n">
        <v>46169</v>
      </c>
      <c r="E6249" s="1" t="n">
        <v>46323</v>
      </c>
      <c r="F6249" t="inlineStr">
        <is>
          <t>KALMAR LÄN</t>
        </is>
      </c>
      <c r="G6249" t="inlineStr">
        <is>
          <t>HÖGSBY</t>
        </is>
      </c>
      <c r="I6249" t="n">
        <v>4.2</v>
      </c>
      <c r="J6249" t="n">
        <v>0</v>
      </c>
      <c r="K6249" t="n">
        <v>0</v>
      </c>
      <c r="L6249" t="n">
        <v>0</v>
      </c>
      <c r="M6249" t="n">
        <v>0</v>
      </c>
      <c r="N6249" t="n">
        <v>0</v>
      </c>
      <c r="O6249" t="n">
        <v>0</v>
      </c>
      <c r="P6249" t="n">
        <v>0</v>
      </c>
      <c r="Q6249" t="n">
        <v>0</v>
      </c>
      <c r="R6249" t="n">
        <v>0</v>
      </c>
      <c r="S6249" t="n">
        <v>0</v>
      </c>
      <c r="T6249" t="n">
        <v>0</v>
      </c>
      <c r="U6249" t="n">
        <v>0</v>
      </c>
      <c r="V6249" s="2" t="inlineStr"/>
    </row>
    <row r="6250" ht="15" customHeight="1">
      <c r="A6250" t="inlineStr">
        <is>
          <t>A 17264-2025</t>
        </is>
      </c>
      <c r="B6250" t="inlineStr">
        <is>
          <t>avverkningsanmälan</t>
        </is>
      </c>
      <c r="C6250" t="inlineStr">
        <is>
          <t>Föryngringsavverkning</t>
        </is>
      </c>
      <c r="D6250" s="1" t="n">
        <v>45756</v>
      </c>
      <c r="E6250" s="1" t="n">
        <v>46323</v>
      </c>
      <c r="F6250" t="inlineStr">
        <is>
          <t>KALMAR LÄN</t>
        </is>
      </c>
      <c r="G6250" t="inlineStr">
        <is>
          <t>OSKARSHAMN</t>
        </is>
      </c>
      <c r="I6250" t="n">
        <v>1.7</v>
      </c>
      <c r="J6250" t="n">
        <v>0</v>
      </c>
      <c r="K6250" t="n">
        <v>0</v>
      </c>
      <c r="L6250" t="n">
        <v>0</v>
      </c>
      <c r="M6250" t="n">
        <v>0</v>
      </c>
      <c r="N6250" t="n">
        <v>0</v>
      </c>
      <c r="O6250" t="n">
        <v>0</v>
      </c>
      <c r="P6250" t="n">
        <v>0</v>
      </c>
      <c r="Q6250" t="n">
        <v>0</v>
      </c>
      <c r="R6250" t="n">
        <v>0</v>
      </c>
      <c r="S6250" t="n">
        <v>0</v>
      </c>
      <c r="T6250" t="n">
        <v>0</v>
      </c>
      <c r="U6250" t="n">
        <v>0</v>
      </c>
      <c r="V6250" s="2" t="inlineStr"/>
    </row>
    <row r="6251" ht="15" customHeight="1">
      <c r="A6251" t="inlineStr">
        <is>
          <t>A 24391-2026</t>
        </is>
      </c>
      <c r="B6251" t="inlineStr">
        <is>
          <t>avverkningsanmälan</t>
        </is>
      </c>
      <c r="C6251" t="inlineStr">
        <is>
          <t>Föryngringsavverkning</t>
        </is>
      </c>
      <c r="D6251" s="1" t="n">
        <v>46169</v>
      </c>
      <c r="E6251" s="1" t="n">
        <v>46323</v>
      </c>
      <c r="F6251" t="inlineStr">
        <is>
          <t>KALMAR LÄN</t>
        </is>
      </c>
      <c r="G6251" t="inlineStr">
        <is>
          <t>OSKARSHAMN</t>
        </is>
      </c>
      <c r="I6251" t="n">
        <v>0.6</v>
      </c>
      <c r="J6251" t="n">
        <v>0</v>
      </c>
      <c r="K6251" t="n">
        <v>0</v>
      </c>
      <c r="L6251" t="n">
        <v>0</v>
      </c>
      <c r="M6251" t="n">
        <v>0</v>
      </c>
      <c r="N6251" t="n">
        <v>0</v>
      </c>
      <c r="O6251" t="n">
        <v>0</v>
      </c>
      <c r="P6251" t="n">
        <v>0</v>
      </c>
      <c r="Q6251" t="n">
        <v>0</v>
      </c>
      <c r="R6251" t="n">
        <v>0</v>
      </c>
      <c r="S6251" t="n">
        <v>0</v>
      </c>
      <c r="T6251" t="n">
        <v>0</v>
      </c>
      <c r="U6251" t="n">
        <v>0</v>
      </c>
      <c r="V6251" s="2" t="inlineStr"/>
    </row>
    <row r="6252" ht="15" customHeight="1">
      <c r="A6252" t="inlineStr">
        <is>
          <t>A 37812-2025</t>
        </is>
      </c>
      <c r="B6252" t="inlineStr">
        <is>
          <t>avverkningsanmälan</t>
        </is>
      </c>
      <c r="C6252" t="inlineStr">
        <is>
          <t>Föryngringsavverkning</t>
        </is>
      </c>
      <c r="D6252" s="1" t="n">
        <v>45881</v>
      </c>
      <c r="E6252" s="1" t="n">
        <v>46323</v>
      </c>
      <c r="F6252" t="inlineStr">
        <is>
          <t>KALMAR LÄN</t>
        </is>
      </c>
      <c r="G6252" t="inlineStr">
        <is>
          <t>EMMABODA</t>
        </is>
      </c>
      <c r="I6252" t="n">
        <v>1</v>
      </c>
      <c r="J6252" t="n">
        <v>0</v>
      </c>
      <c r="K6252" t="n">
        <v>0</v>
      </c>
      <c r="L6252" t="n">
        <v>0</v>
      </c>
      <c r="M6252" t="n">
        <v>0</v>
      </c>
      <c r="N6252" t="n">
        <v>0</v>
      </c>
      <c r="O6252" t="n">
        <v>0</v>
      </c>
      <c r="P6252" t="n">
        <v>0</v>
      </c>
      <c r="Q6252" t="n">
        <v>0</v>
      </c>
      <c r="R6252" t="n">
        <v>0</v>
      </c>
      <c r="S6252" t="n">
        <v>0</v>
      </c>
      <c r="T6252" t="n">
        <v>0</v>
      </c>
      <c r="U6252" t="n">
        <v>0</v>
      </c>
      <c r="V6252" s="2" t="inlineStr"/>
    </row>
    <row r="6253" ht="15" customHeight="1">
      <c r="A6253" t="inlineStr">
        <is>
          <t>A 37845-2025</t>
        </is>
      </c>
      <c r="B6253" t="inlineStr">
        <is>
          <t>avverkningsanmälan</t>
        </is>
      </c>
      <c r="C6253" t="inlineStr">
        <is>
          <t>Föryngringsavverkning</t>
        </is>
      </c>
      <c r="D6253" s="1" t="n">
        <v>45881</v>
      </c>
      <c r="E6253" s="1" t="n">
        <v>46323</v>
      </c>
      <c r="F6253" t="inlineStr">
        <is>
          <t>KALMAR LÄN</t>
        </is>
      </c>
      <c r="G6253" t="inlineStr">
        <is>
          <t>NYBRO</t>
        </is>
      </c>
      <c r="H6253" t="inlineStr">
        <is>
          <t>Kommuner</t>
        </is>
      </c>
      <c r="I6253" t="n">
        <v>1.3</v>
      </c>
      <c r="J6253" t="n">
        <v>0</v>
      </c>
      <c r="K6253" t="n">
        <v>0</v>
      </c>
      <c r="L6253" t="n">
        <v>0</v>
      </c>
      <c r="M6253" t="n">
        <v>0</v>
      </c>
      <c r="N6253" t="n">
        <v>0</v>
      </c>
      <c r="O6253" t="n">
        <v>0</v>
      </c>
      <c r="P6253" t="n">
        <v>0</v>
      </c>
      <c r="Q6253" t="n">
        <v>0</v>
      </c>
      <c r="R6253" t="n">
        <v>0</v>
      </c>
      <c r="S6253" t="n">
        <v>0</v>
      </c>
      <c r="T6253" t="n">
        <v>0</v>
      </c>
      <c r="U6253" t="n">
        <v>0</v>
      </c>
      <c r="V6253" s="2" t="inlineStr"/>
    </row>
    <row r="6254" ht="15" customHeight="1">
      <c r="A6254" t="inlineStr">
        <is>
          <t>A 24328-2026</t>
        </is>
      </c>
      <c r="B6254" t="inlineStr">
        <is>
          <t>avverkningsanmälan</t>
        </is>
      </c>
      <c r="C6254" t="inlineStr">
        <is>
          <t>Föryngringsavverkning</t>
        </is>
      </c>
      <c r="D6254" s="1" t="n">
        <v>46169</v>
      </c>
      <c r="E6254" s="1" t="n">
        <v>46323</v>
      </c>
      <c r="F6254" t="inlineStr">
        <is>
          <t>KALMAR LÄN</t>
        </is>
      </c>
      <c r="G6254" t="inlineStr">
        <is>
          <t>HULTSFRED</t>
        </is>
      </c>
      <c r="I6254" t="n">
        <v>1.5</v>
      </c>
      <c r="J6254" t="n">
        <v>0</v>
      </c>
      <c r="K6254" t="n">
        <v>0</v>
      </c>
      <c r="L6254" t="n">
        <v>0</v>
      </c>
      <c r="M6254" t="n">
        <v>0</v>
      </c>
      <c r="N6254" t="n">
        <v>0</v>
      </c>
      <c r="O6254" t="n">
        <v>0</v>
      </c>
      <c r="P6254" t="n">
        <v>0</v>
      </c>
      <c r="Q6254" t="n">
        <v>0</v>
      </c>
      <c r="R6254" t="n">
        <v>0</v>
      </c>
      <c r="S6254" t="n">
        <v>0</v>
      </c>
      <c r="T6254" t="n">
        <v>0</v>
      </c>
      <c r="U6254" t="n">
        <v>0</v>
      </c>
      <c r="V6254" s="2" t="inlineStr"/>
    </row>
    <row r="6255" ht="15" customHeight="1">
      <c r="A6255" t="inlineStr">
        <is>
          <t>A 31422-2024</t>
        </is>
      </c>
      <c r="B6255" t="inlineStr">
        <is>
          <t>avverkningsanmälan</t>
        </is>
      </c>
      <c r="C6255" t="inlineStr">
        <is>
          <t>Föryngringsavverkning</t>
        </is>
      </c>
      <c r="D6255" s="1" t="n">
        <v>45505</v>
      </c>
      <c r="E6255" s="1" t="n">
        <v>46323</v>
      </c>
      <c r="F6255" t="inlineStr">
        <is>
          <t>KALMAR LÄN</t>
        </is>
      </c>
      <c r="G6255" t="inlineStr">
        <is>
          <t>HULTSFRED</t>
        </is>
      </c>
      <c r="I6255" t="n">
        <v>5.5</v>
      </c>
      <c r="J6255" t="n">
        <v>0</v>
      </c>
      <c r="K6255" t="n">
        <v>0</v>
      </c>
      <c r="L6255" t="n">
        <v>0</v>
      </c>
      <c r="M6255" t="n">
        <v>0</v>
      </c>
      <c r="N6255" t="n">
        <v>0</v>
      </c>
      <c r="O6255" t="n">
        <v>0</v>
      </c>
      <c r="P6255" t="n">
        <v>0</v>
      </c>
      <c r="Q6255" t="n">
        <v>0</v>
      </c>
      <c r="R6255" t="n">
        <v>0</v>
      </c>
      <c r="S6255" t="n">
        <v>0</v>
      </c>
      <c r="T6255" t="n">
        <v>0</v>
      </c>
      <c r="U6255" t="n">
        <v>0</v>
      </c>
      <c r="V6255" s="2" t="inlineStr"/>
    </row>
    <row r="6256" ht="15" customHeight="1">
      <c r="A6256" t="inlineStr">
        <is>
          <t>A 38068-2025</t>
        </is>
      </c>
      <c r="B6256" t="inlineStr">
        <is>
          <t>avverkningsanmälan</t>
        </is>
      </c>
      <c r="C6256" t="inlineStr">
        <is>
          <t>Avverkning för att bevara och utveckla /försöksver</t>
        </is>
      </c>
      <c r="D6256" s="1" t="n">
        <v>45882</v>
      </c>
      <c r="E6256" s="1" t="n">
        <v>46323</v>
      </c>
      <c r="F6256" t="inlineStr">
        <is>
          <t>KALMAR LÄN</t>
        </is>
      </c>
      <c r="G6256" t="inlineStr">
        <is>
          <t>HÖGSBY</t>
        </is>
      </c>
      <c r="H6256" t="inlineStr">
        <is>
          <t>Sveaskog</t>
        </is>
      </c>
      <c r="I6256" t="n">
        <v>1.5</v>
      </c>
      <c r="J6256" t="n">
        <v>0</v>
      </c>
      <c r="K6256" t="n">
        <v>0</v>
      </c>
      <c r="L6256" t="n">
        <v>0</v>
      </c>
      <c r="M6256" t="n">
        <v>0</v>
      </c>
      <c r="N6256" t="n">
        <v>0</v>
      </c>
      <c r="O6256" t="n">
        <v>0</v>
      </c>
      <c r="P6256" t="n">
        <v>0</v>
      </c>
      <c r="Q6256" t="n">
        <v>0</v>
      </c>
      <c r="R6256" t="n">
        <v>0</v>
      </c>
      <c r="S6256" t="n">
        <v>0</v>
      </c>
      <c r="T6256" t="n">
        <v>0</v>
      </c>
      <c r="U6256" t="n">
        <v>0</v>
      </c>
      <c r="V6256" s="2" t="inlineStr"/>
    </row>
    <row r="6257" ht="15" customHeight="1">
      <c r="A6257" t="inlineStr">
        <is>
          <t>A 56921-2024</t>
        </is>
      </c>
      <c r="B6257" t="inlineStr">
        <is>
          <t>avverkningsanmälan</t>
        </is>
      </c>
      <c r="C6257" t="inlineStr">
        <is>
          <t>Föryngringsavverkning</t>
        </is>
      </c>
      <c r="D6257" s="1" t="n">
        <v>45628</v>
      </c>
      <c r="E6257" s="1" t="n">
        <v>46323</v>
      </c>
      <c r="F6257" t="inlineStr">
        <is>
          <t>KALMAR LÄN</t>
        </is>
      </c>
      <c r="G6257" t="inlineStr">
        <is>
          <t>KALMAR</t>
        </is>
      </c>
      <c r="I6257" t="n">
        <v>1.8</v>
      </c>
      <c r="J6257" t="n">
        <v>0</v>
      </c>
      <c r="K6257" t="n">
        <v>0</v>
      </c>
      <c r="L6257" t="n">
        <v>0</v>
      </c>
      <c r="M6257" t="n">
        <v>0</v>
      </c>
      <c r="N6257" t="n">
        <v>0</v>
      </c>
      <c r="O6257" t="n">
        <v>0</v>
      </c>
      <c r="P6257" t="n">
        <v>0</v>
      </c>
      <c r="Q6257" t="n">
        <v>0</v>
      </c>
      <c r="R6257" t="n">
        <v>0</v>
      </c>
      <c r="S6257" t="n">
        <v>0</v>
      </c>
      <c r="T6257" t="n">
        <v>0</v>
      </c>
      <c r="U6257" t="n">
        <v>0</v>
      </c>
      <c r="V6257" s="2" t="inlineStr"/>
    </row>
    <row r="6258" ht="15" customHeight="1">
      <c r="A6258" t="inlineStr">
        <is>
          <t>A 8975-2025</t>
        </is>
      </c>
      <c r="B6258" t="inlineStr">
        <is>
          <t>avverkningsanmälan</t>
        </is>
      </c>
      <c r="C6258" t="inlineStr">
        <is>
          <t>Föryngringsavverkning</t>
        </is>
      </c>
      <c r="D6258" s="1" t="n">
        <v>45713</v>
      </c>
      <c r="E6258" s="1" t="n">
        <v>46323</v>
      </c>
      <c r="F6258" t="inlineStr">
        <is>
          <t>KALMAR LÄN</t>
        </is>
      </c>
      <c r="G6258" t="inlineStr">
        <is>
          <t>TORSÅS</t>
        </is>
      </c>
      <c r="I6258" t="n">
        <v>0.8</v>
      </c>
      <c r="J6258" t="n">
        <v>0</v>
      </c>
      <c r="K6258" t="n">
        <v>0</v>
      </c>
      <c r="L6258" t="n">
        <v>0</v>
      </c>
      <c r="M6258" t="n">
        <v>0</v>
      </c>
      <c r="N6258" t="n">
        <v>0</v>
      </c>
      <c r="O6258" t="n">
        <v>0</v>
      </c>
      <c r="P6258" t="n">
        <v>0</v>
      </c>
      <c r="Q6258" t="n">
        <v>0</v>
      </c>
      <c r="R6258" t="n">
        <v>0</v>
      </c>
      <c r="S6258" t="n">
        <v>0</v>
      </c>
      <c r="T6258" t="n">
        <v>0</v>
      </c>
      <c r="U6258" t="n">
        <v>0</v>
      </c>
      <c r="V6258" s="2" t="inlineStr"/>
    </row>
    <row r="6259" ht="15" customHeight="1">
      <c r="A6259" t="inlineStr">
        <is>
          <t>A 38203-2025</t>
        </is>
      </c>
      <c r="B6259" t="inlineStr">
        <is>
          <t>avverkningsanmälan</t>
        </is>
      </c>
      <c r="C6259" t="inlineStr">
        <is>
          <t>Föryngringsavverkning</t>
        </is>
      </c>
      <c r="D6259" s="1" t="n">
        <v>45882</v>
      </c>
      <c r="E6259" s="1" t="n">
        <v>46323</v>
      </c>
      <c r="F6259" t="inlineStr">
        <is>
          <t>KALMAR LÄN</t>
        </is>
      </c>
      <c r="G6259" t="inlineStr">
        <is>
          <t>NYBRO</t>
        </is>
      </c>
      <c r="I6259" t="n">
        <v>3.3</v>
      </c>
      <c r="J6259" t="n">
        <v>0</v>
      </c>
      <c r="K6259" t="n">
        <v>0</v>
      </c>
      <c r="L6259" t="n">
        <v>0</v>
      </c>
      <c r="M6259" t="n">
        <v>0</v>
      </c>
      <c r="N6259" t="n">
        <v>0</v>
      </c>
      <c r="O6259" t="n">
        <v>0</v>
      </c>
      <c r="P6259" t="n">
        <v>0</v>
      </c>
      <c r="Q6259" t="n">
        <v>0</v>
      </c>
      <c r="R6259" t="n">
        <v>0</v>
      </c>
      <c r="S6259" t="n">
        <v>0</v>
      </c>
      <c r="T6259" t="n">
        <v>0</v>
      </c>
      <c r="U6259" t="n">
        <v>0</v>
      </c>
      <c r="V6259" s="2" t="inlineStr"/>
    </row>
    <row r="6260" ht="15" customHeight="1">
      <c r="A6260" t="inlineStr">
        <is>
          <t>A 22055-2025</t>
        </is>
      </c>
      <c r="B6260" t="inlineStr">
        <is>
          <t>avverkningsanmälan</t>
        </is>
      </c>
      <c r="C6260" t="inlineStr">
        <is>
          <t>Föryngringsavverkning</t>
        </is>
      </c>
      <c r="D6260" s="1" t="n">
        <v>45785</v>
      </c>
      <c r="E6260" s="1" t="n">
        <v>46323</v>
      </c>
      <c r="F6260" t="inlineStr">
        <is>
          <t>KALMAR LÄN</t>
        </is>
      </c>
      <c r="G6260" t="inlineStr">
        <is>
          <t>KALMAR</t>
        </is>
      </c>
      <c r="I6260" t="n">
        <v>4</v>
      </c>
      <c r="J6260" t="n">
        <v>0</v>
      </c>
      <c r="K6260" t="n">
        <v>0</v>
      </c>
      <c r="L6260" t="n">
        <v>0</v>
      </c>
      <c r="M6260" t="n">
        <v>0</v>
      </c>
      <c r="N6260" t="n">
        <v>0</v>
      </c>
      <c r="O6260" t="n">
        <v>0</v>
      </c>
      <c r="P6260" t="n">
        <v>0</v>
      </c>
      <c r="Q6260" t="n">
        <v>0</v>
      </c>
      <c r="R6260" t="n">
        <v>0</v>
      </c>
      <c r="S6260" t="n">
        <v>0</v>
      </c>
      <c r="T6260" t="n">
        <v>0</v>
      </c>
      <c r="U6260" t="n">
        <v>0</v>
      </c>
      <c r="V6260" s="2" t="inlineStr"/>
    </row>
    <row r="6261" ht="15" customHeight="1">
      <c r="A6261" t="inlineStr">
        <is>
          <t>A 1535-2025</t>
        </is>
      </c>
      <c r="B6261" t="inlineStr">
        <is>
          <t>avverkningsanmälan</t>
        </is>
      </c>
      <c r="C6261" t="inlineStr">
        <is>
          <t>Avverkning för att bevara och utveckla /försöksver</t>
        </is>
      </c>
      <c r="D6261" s="1" t="n">
        <v>45670</v>
      </c>
      <c r="E6261" s="1" t="n">
        <v>46323</v>
      </c>
      <c r="F6261" t="inlineStr">
        <is>
          <t>KALMAR LÄN</t>
        </is>
      </c>
      <c r="G6261" t="inlineStr">
        <is>
          <t>NYBRO</t>
        </is>
      </c>
      <c r="H6261" t="inlineStr">
        <is>
          <t>Sveaskog</t>
        </is>
      </c>
      <c r="I6261" t="n">
        <v>6.6</v>
      </c>
      <c r="J6261" t="n">
        <v>0</v>
      </c>
      <c r="K6261" t="n">
        <v>0</v>
      </c>
      <c r="L6261" t="n">
        <v>0</v>
      </c>
      <c r="M6261" t="n">
        <v>0</v>
      </c>
      <c r="N6261" t="n">
        <v>0</v>
      </c>
      <c r="O6261" t="n">
        <v>0</v>
      </c>
      <c r="P6261" t="n">
        <v>0</v>
      </c>
      <c r="Q6261" t="n">
        <v>0</v>
      </c>
      <c r="R6261" t="n">
        <v>0</v>
      </c>
      <c r="S6261" t="n">
        <v>0</v>
      </c>
      <c r="T6261" t="n">
        <v>0</v>
      </c>
      <c r="U6261" t="n">
        <v>0</v>
      </c>
      <c r="V6261" s="2" t="inlineStr"/>
    </row>
    <row r="6262" ht="15" customHeight="1">
      <c r="A6262" t="inlineStr">
        <is>
          <t>A 4739-2025</t>
        </is>
      </c>
      <c r="B6262" t="inlineStr">
        <is>
          <t>avverkningsanmälan</t>
        </is>
      </c>
      <c r="C6262" t="inlineStr">
        <is>
          <t>Föryngringsavverkning</t>
        </is>
      </c>
      <c r="D6262" s="1" t="n">
        <v>45688</v>
      </c>
      <c r="E6262" s="1" t="n">
        <v>46323</v>
      </c>
      <c r="F6262" t="inlineStr">
        <is>
          <t>KALMAR LÄN</t>
        </is>
      </c>
      <c r="G6262" t="inlineStr">
        <is>
          <t>HÖGSBY</t>
        </is>
      </c>
      <c r="I6262" t="n">
        <v>4.6</v>
      </c>
      <c r="J6262" t="n">
        <v>0</v>
      </c>
      <c r="K6262" t="n">
        <v>0</v>
      </c>
      <c r="L6262" t="n">
        <v>0</v>
      </c>
      <c r="M6262" t="n">
        <v>0</v>
      </c>
      <c r="N6262" t="n">
        <v>0</v>
      </c>
      <c r="O6262" t="n">
        <v>0</v>
      </c>
      <c r="P6262" t="n">
        <v>0</v>
      </c>
      <c r="Q6262" t="n">
        <v>0</v>
      </c>
      <c r="R6262" t="n">
        <v>0</v>
      </c>
      <c r="S6262" t="n">
        <v>0</v>
      </c>
      <c r="T6262" t="n">
        <v>0</v>
      </c>
      <c r="U6262" t="n">
        <v>0</v>
      </c>
      <c r="V6262" s="2" t="inlineStr"/>
    </row>
    <row r="6263" ht="15" customHeight="1">
      <c r="A6263" t="inlineStr">
        <is>
          <t>A 54085-2024</t>
        </is>
      </c>
      <c r="B6263" t="inlineStr">
        <is>
          <t>avverkningsanmälan</t>
        </is>
      </c>
      <c r="C6263" t="inlineStr">
        <is>
          <t>Föryngringsavverkning</t>
        </is>
      </c>
      <c r="D6263" s="1" t="n">
        <v>45615</v>
      </c>
      <c r="E6263" s="1" t="n">
        <v>46323</v>
      </c>
      <c r="F6263" t="inlineStr">
        <is>
          <t>KALMAR LÄN</t>
        </is>
      </c>
      <c r="G6263" t="inlineStr">
        <is>
          <t>EMMABODA</t>
        </is>
      </c>
      <c r="I6263" t="n">
        <v>0.5</v>
      </c>
      <c r="J6263" t="n">
        <v>0</v>
      </c>
      <c r="K6263" t="n">
        <v>0</v>
      </c>
      <c r="L6263" t="n">
        <v>0</v>
      </c>
      <c r="M6263" t="n">
        <v>0</v>
      </c>
      <c r="N6263" t="n">
        <v>0</v>
      </c>
      <c r="O6263" t="n">
        <v>0</v>
      </c>
      <c r="P6263" t="n">
        <v>0</v>
      </c>
      <c r="Q6263" t="n">
        <v>0</v>
      </c>
      <c r="R6263" t="n">
        <v>0</v>
      </c>
      <c r="S6263" t="n">
        <v>0</v>
      </c>
      <c r="T6263" t="n">
        <v>0</v>
      </c>
      <c r="U6263" t="n">
        <v>0</v>
      </c>
      <c r="V6263" s="2" t="inlineStr"/>
    </row>
    <row r="6264" ht="15" customHeight="1">
      <c r="A6264" t="inlineStr">
        <is>
          <t>A 22688-2025</t>
        </is>
      </c>
      <c r="B6264" t="inlineStr">
        <is>
          <t>avverkningsanmälan</t>
        </is>
      </c>
      <c r="C6264" t="inlineStr">
        <is>
          <t>Föryngringsavverkning</t>
        </is>
      </c>
      <c r="D6264" s="1" t="n">
        <v>45789</v>
      </c>
      <c r="E6264" s="1" t="n">
        <v>46323</v>
      </c>
      <c r="F6264" t="inlineStr">
        <is>
          <t>KALMAR LÄN</t>
        </is>
      </c>
      <c r="G6264" t="inlineStr">
        <is>
          <t>HÖGSBY</t>
        </is>
      </c>
      <c r="I6264" t="n">
        <v>0.5</v>
      </c>
      <c r="J6264" t="n">
        <v>0</v>
      </c>
      <c r="K6264" t="n">
        <v>0</v>
      </c>
      <c r="L6264" t="n">
        <v>0</v>
      </c>
      <c r="M6264" t="n">
        <v>0</v>
      </c>
      <c r="N6264" t="n">
        <v>0</v>
      </c>
      <c r="O6264" t="n">
        <v>0</v>
      </c>
      <c r="P6264" t="n">
        <v>0</v>
      </c>
      <c r="Q6264" t="n">
        <v>0</v>
      </c>
      <c r="R6264" t="n">
        <v>0</v>
      </c>
      <c r="S6264" t="n">
        <v>0</v>
      </c>
      <c r="T6264" t="n">
        <v>0</v>
      </c>
      <c r="U6264" t="n">
        <v>0</v>
      </c>
      <c r="V6264" s="2" t="inlineStr"/>
    </row>
    <row r="6265" ht="15" customHeight="1">
      <c r="A6265" t="inlineStr">
        <is>
          <t>A 24679-2026</t>
        </is>
      </c>
      <c r="B6265" t="inlineStr">
        <is>
          <t>avverkningsanmälan</t>
        </is>
      </c>
      <c r="C6265" t="inlineStr">
        <is>
          <t>Föryngringsavverkning</t>
        </is>
      </c>
      <c r="D6265" s="1" t="n">
        <v>46171</v>
      </c>
      <c r="E6265" s="1" t="n">
        <v>46323</v>
      </c>
      <c r="F6265" t="inlineStr">
        <is>
          <t>KALMAR LÄN</t>
        </is>
      </c>
      <c r="G6265" t="inlineStr">
        <is>
          <t>OSKARSHAMN</t>
        </is>
      </c>
      <c r="I6265" t="n">
        <v>4.9</v>
      </c>
      <c r="J6265" t="n">
        <v>0</v>
      </c>
      <c r="K6265" t="n">
        <v>0</v>
      </c>
      <c r="L6265" t="n">
        <v>0</v>
      </c>
      <c r="M6265" t="n">
        <v>0</v>
      </c>
      <c r="N6265" t="n">
        <v>0</v>
      </c>
      <c r="O6265" t="n">
        <v>0</v>
      </c>
      <c r="P6265" t="n">
        <v>0</v>
      </c>
      <c r="Q6265" t="n">
        <v>0</v>
      </c>
      <c r="R6265" t="n">
        <v>0</v>
      </c>
      <c r="S6265" t="n">
        <v>0</v>
      </c>
      <c r="T6265" t="n">
        <v>0</v>
      </c>
      <c r="U6265" t="n">
        <v>0</v>
      </c>
      <c r="V6265" s="2" t="inlineStr"/>
    </row>
    <row r="6266" ht="15" customHeight="1">
      <c r="A6266" t="inlineStr">
        <is>
          <t>A 23202-2025</t>
        </is>
      </c>
      <c r="B6266" t="inlineStr">
        <is>
          <t>avverkningsanmälan</t>
        </is>
      </c>
      <c r="C6266" t="inlineStr">
        <is>
          <t>Föryngringsavverkning</t>
        </is>
      </c>
      <c r="D6266" s="1" t="n">
        <v>45791</v>
      </c>
      <c r="E6266" s="1" t="n">
        <v>46323</v>
      </c>
      <c r="F6266" t="inlineStr">
        <is>
          <t>KALMAR LÄN</t>
        </is>
      </c>
      <c r="G6266" t="inlineStr">
        <is>
          <t>NYBRO</t>
        </is>
      </c>
      <c r="I6266" t="n">
        <v>1.9</v>
      </c>
      <c r="J6266" t="n">
        <v>0</v>
      </c>
      <c r="K6266" t="n">
        <v>0</v>
      </c>
      <c r="L6266" t="n">
        <v>0</v>
      </c>
      <c r="M6266" t="n">
        <v>0</v>
      </c>
      <c r="N6266" t="n">
        <v>0</v>
      </c>
      <c r="O6266" t="n">
        <v>0</v>
      </c>
      <c r="P6266" t="n">
        <v>0</v>
      </c>
      <c r="Q6266" t="n">
        <v>0</v>
      </c>
      <c r="R6266" t="n">
        <v>0</v>
      </c>
      <c r="S6266" t="n">
        <v>0</v>
      </c>
      <c r="T6266" t="n">
        <v>0</v>
      </c>
      <c r="U6266" t="n">
        <v>0</v>
      </c>
      <c r="V6266" s="2" t="inlineStr"/>
    </row>
    <row r="6267" ht="15" customHeight="1">
      <c r="A6267" t="inlineStr">
        <is>
          <t>A 13930-2025</t>
        </is>
      </c>
      <c r="B6267" t="inlineStr">
        <is>
          <t>avverkningsanmälan</t>
        </is>
      </c>
      <c r="C6267" t="inlineStr">
        <is>
          <t>Föryngringsavverkning</t>
        </is>
      </c>
      <c r="D6267" s="1" t="n">
        <v>45737</v>
      </c>
      <c r="E6267" s="1" t="n">
        <v>46323</v>
      </c>
      <c r="F6267" t="inlineStr">
        <is>
          <t>KALMAR LÄN</t>
        </is>
      </c>
      <c r="G6267" t="inlineStr">
        <is>
          <t>NYBRO</t>
        </is>
      </c>
      <c r="I6267" t="n">
        <v>1.2</v>
      </c>
      <c r="J6267" t="n">
        <v>0</v>
      </c>
      <c r="K6267" t="n">
        <v>0</v>
      </c>
      <c r="L6267" t="n">
        <v>0</v>
      </c>
      <c r="M6267" t="n">
        <v>0</v>
      </c>
      <c r="N6267" t="n">
        <v>0</v>
      </c>
      <c r="O6267" t="n">
        <v>0</v>
      </c>
      <c r="P6267" t="n">
        <v>0</v>
      </c>
      <c r="Q6267" t="n">
        <v>0</v>
      </c>
      <c r="R6267" t="n">
        <v>0</v>
      </c>
      <c r="S6267" t="n">
        <v>0</v>
      </c>
      <c r="T6267" t="n">
        <v>0</v>
      </c>
      <c r="U6267" t="n">
        <v>0</v>
      </c>
      <c r="V6267" s="2" t="inlineStr"/>
    </row>
    <row r="6268" ht="15" customHeight="1">
      <c r="A6268" t="inlineStr">
        <is>
          <t>A 8122-2025</t>
        </is>
      </c>
      <c r="B6268" t="inlineStr">
        <is>
          <t>avverkningsanmälan</t>
        </is>
      </c>
      <c r="C6268" t="inlineStr">
        <is>
          <t>Föryngringsavverkning</t>
        </is>
      </c>
      <c r="D6268" s="1" t="n">
        <v>45707</v>
      </c>
      <c r="E6268" s="1" t="n">
        <v>46323</v>
      </c>
      <c r="F6268" t="inlineStr">
        <is>
          <t>KALMAR LÄN</t>
        </is>
      </c>
      <c r="G6268" t="inlineStr">
        <is>
          <t>KALMAR</t>
        </is>
      </c>
      <c r="I6268" t="n">
        <v>5.1</v>
      </c>
      <c r="J6268" t="n">
        <v>0</v>
      </c>
      <c r="K6268" t="n">
        <v>0</v>
      </c>
      <c r="L6268" t="n">
        <v>0</v>
      </c>
      <c r="M6268" t="n">
        <v>0</v>
      </c>
      <c r="N6268" t="n">
        <v>0</v>
      </c>
      <c r="O6268" t="n">
        <v>0</v>
      </c>
      <c r="P6268" t="n">
        <v>0</v>
      </c>
      <c r="Q6268" t="n">
        <v>0</v>
      </c>
      <c r="R6268" t="n">
        <v>0</v>
      </c>
      <c r="S6268" t="n">
        <v>0</v>
      </c>
      <c r="T6268" t="n">
        <v>0</v>
      </c>
      <c r="U6268" t="n">
        <v>0</v>
      </c>
      <c r="V6268" s="2" t="inlineStr"/>
    </row>
    <row r="6269" ht="15" customHeight="1">
      <c r="A6269" t="inlineStr">
        <is>
          <t>A 24774-2026</t>
        </is>
      </c>
      <c r="B6269" t="inlineStr">
        <is>
          <t>avverkningsanmälan</t>
        </is>
      </c>
      <c r="C6269" t="inlineStr">
        <is>
          <t>Föryngringsavverkning</t>
        </is>
      </c>
      <c r="D6269" s="1" t="n">
        <v>46171</v>
      </c>
      <c r="E6269" s="1" t="n">
        <v>46323</v>
      </c>
      <c r="F6269" t="inlineStr">
        <is>
          <t>KALMAR LÄN</t>
        </is>
      </c>
      <c r="G6269" t="inlineStr">
        <is>
          <t>HULTSFRED</t>
        </is>
      </c>
      <c r="I6269" t="n">
        <v>1.8</v>
      </c>
      <c r="J6269" t="n">
        <v>0</v>
      </c>
      <c r="K6269" t="n">
        <v>0</v>
      </c>
      <c r="L6269" t="n">
        <v>0</v>
      </c>
      <c r="M6269" t="n">
        <v>0</v>
      </c>
      <c r="N6269" t="n">
        <v>0</v>
      </c>
      <c r="O6269" t="n">
        <v>0</v>
      </c>
      <c r="P6269" t="n">
        <v>0</v>
      </c>
      <c r="Q6269" t="n">
        <v>0</v>
      </c>
      <c r="R6269" t="n">
        <v>0</v>
      </c>
      <c r="S6269" t="n">
        <v>0</v>
      </c>
      <c r="T6269" t="n">
        <v>0</v>
      </c>
      <c r="U6269" t="n">
        <v>0</v>
      </c>
      <c r="V6269" s="2" t="inlineStr"/>
    </row>
    <row r="6270" ht="15" customHeight="1">
      <c r="A6270" t="inlineStr">
        <is>
          <t>A 65157-2023</t>
        </is>
      </c>
      <c r="B6270" t="inlineStr">
        <is>
          <t>avverkningsanmälan</t>
        </is>
      </c>
      <c r="C6270" t="inlineStr">
        <is>
          <t>Föryngringsavverkning</t>
        </is>
      </c>
      <c r="D6270" s="1" t="n">
        <v>45288</v>
      </c>
      <c r="E6270" s="1" t="n">
        <v>46323</v>
      </c>
      <c r="F6270" t="inlineStr">
        <is>
          <t>KALMAR LÄN</t>
        </is>
      </c>
      <c r="G6270" t="inlineStr">
        <is>
          <t>TORSÅS</t>
        </is>
      </c>
      <c r="I6270" t="n">
        <v>1.4</v>
      </c>
      <c r="J6270" t="n">
        <v>0</v>
      </c>
      <c r="K6270" t="n">
        <v>0</v>
      </c>
      <c r="L6270" t="n">
        <v>0</v>
      </c>
      <c r="M6270" t="n">
        <v>0</v>
      </c>
      <c r="N6270" t="n">
        <v>0</v>
      </c>
      <c r="O6270" t="n">
        <v>0</v>
      </c>
      <c r="P6270" t="n">
        <v>0</v>
      </c>
      <c r="Q6270" t="n">
        <v>0</v>
      </c>
      <c r="R6270" t="n">
        <v>0</v>
      </c>
      <c r="S6270" t="n">
        <v>0</v>
      </c>
      <c r="T6270" t="n">
        <v>0</v>
      </c>
      <c r="U6270" t="n">
        <v>0</v>
      </c>
      <c r="V6270" s="2" t="inlineStr"/>
    </row>
    <row r="6271" ht="15" customHeight="1">
      <c r="A6271" t="inlineStr">
        <is>
          <t>A 9757-2023</t>
        </is>
      </c>
      <c r="B6271" t="inlineStr">
        <is>
          <t>avverkningsanmälan</t>
        </is>
      </c>
      <c r="C6271" t="inlineStr">
        <is>
          <t>Föryngringsavverkning</t>
        </is>
      </c>
      <c r="D6271" s="1" t="n">
        <v>44984</v>
      </c>
      <c r="E6271" s="1" t="n">
        <v>46323</v>
      </c>
      <c r="F6271" t="inlineStr">
        <is>
          <t>KALMAR LÄN</t>
        </is>
      </c>
      <c r="G6271" t="inlineStr">
        <is>
          <t>TORSÅS</t>
        </is>
      </c>
      <c r="I6271" t="n">
        <v>2.3</v>
      </c>
      <c r="J6271" t="n">
        <v>0</v>
      </c>
      <c r="K6271" t="n">
        <v>0</v>
      </c>
      <c r="L6271" t="n">
        <v>0</v>
      </c>
      <c r="M6271" t="n">
        <v>0</v>
      </c>
      <c r="N6271" t="n">
        <v>0</v>
      </c>
      <c r="O6271" t="n">
        <v>0</v>
      </c>
      <c r="P6271" t="n">
        <v>0</v>
      </c>
      <c r="Q6271" t="n">
        <v>0</v>
      </c>
      <c r="R6271" t="n">
        <v>0</v>
      </c>
      <c r="S6271" t="n">
        <v>0</v>
      </c>
      <c r="T6271" t="n">
        <v>0</v>
      </c>
      <c r="U6271" t="n">
        <v>0</v>
      </c>
      <c r="V6271" s="2" t="inlineStr"/>
    </row>
    <row r="6272" ht="15" customHeight="1">
      <c r="A6272" t="inlineStr">
        <is>
          <t>A 59129-2025</t>
        </is>
      </c>
      <c r="B6272" t="inlineStr">
        <is>
          <t>avverkningsanmälan</t>
        </is>
      </c>
      <c r="C6272" t="inlineStr">
        <is>
          <t>Föryngringsavverkning</t>
        </is>
      </c>
      <c r="D6272" s="1" t="n">
        <v>45988</v>
      </c>
      <c r="E6272" s="1" t="n">
        <v>46323</v>
      </c>
      <c r="F6272" t="inlineStr">
        <is>
          <t>KALMAR LÄN</t>
        </is>
      </c>
      <c r="G6272" t="inlineStr">
        <is>
          <t>TORSÅS</t>
        </is>
      </c>
      <c r="I6272" t="n">
        <v>2.6</v>
      </c>
      <c r="J6272" t="n">
        <v>0</v>
      </c>
      <c r="K6272" t="n">
        <v>0</v>
      </c>
      <c r="L6272" t="n">
        <v>0</v>
      </c>
      <c r="M6272" t="n">
        <v>0</v>
      </c>
      <c r="N6272" t="n">
        <v>0</v>
      </c>
      <c r="O6272" t="n">
        <v>0</v>
      </c>
      <c r="P6272" t="n">
        <v>0</v>
      </c>
      <c r="Q6272" t="n">
        <v>0</v>
      </c>
      <c r="R6272" t="n">
        <v>0</v>
      </c>
      <c r="S6272" t="n">
        <v>0</v>
      </c>
      <c r="T6272" t="n">
        <v>0</v>
      </c>
      <c r="U6272" t="n">
        <v>0</v>
      </c>
      <c r="V6272" s="2" t="inlineStr"/>
    </row>
    <row r="6273" ht="15" customHeight="1">
      <c r="A6273" t="inlineStr">
        <is>
          <t>A 31894-2025</t>
        </is>
      </c>
      <c r="B6273" t="inlineStr">
        <is>
          <t>avverkningsanmälan</t>
        </is>
      </c>
      <c r="C6273" t="inlineStr">
        <is>
          <t>Föryngringsavverkning</t>
        </is>
      </c>
      <c r="D6273" s="1" t="n">
        <v>45834</v>
      </c>
      <c r="E6273" s="1" t="n">
        <v>46323</v>
      </c>
      <c r="F6273" t="inlineStr">
        <is>
          <t>KALMAR LÄN</t>
        </is>
      </c>
      <c r="G6273" t="inlineStr">
        <is>
          <t>OSKARSHAMN</t>
        </is>
      </c>
      <c r="I6273" t="n">
        <v>1.1</v>
      </c>
      <c r="J6273" t="n">
        <v>0</v>
      </c>
      <c r="K6273" t="n">
        <v>0</v>
      </c>
      <c r="L6273" t="n">
        <v>0</v>
      </c>
      <c r="M6273" t="n">
        <v>0</v>
      </c>
      <c r="N6273" t="n">
        <v>0</v>
      </c>
      <c r="O6273" t="n">
        <v>0</v>
      </c>
      <c r="P6273" t="n">
        <v>0</v>
      </c>
      <c r="Q6273" t="n">
        <v>0</v>
      </c>
      <c r="R6273" t="n">
        <v>0</v>
      </c>
      <c r="S6273" t="n">
        <v>0</v>
      </c>
      <c r="T6273" t="n">
        <v>0</v>
      </c>
      <c r="U6273" t="n">
        <v>0</v>
      </c>
      <c r="V6273" s="2" t="inlineStr"/>
    </row>
    <row r="6274" ht="15" customHeight="1">
      <c r="A6274" t="inlineStr">
        <is>
          <t>A 45706-2025</t>
        </is>
      </c>
      <c r="B6274" t="inlineStr">
        <is>
          <t>avverkningsanmälan</t>
        </is>
      </c>
      <c r="C6274" t="inlineStr">
        <is>
          <t>Föryngringsavverkning</t>
        </is>
      </c>
      <c r="D6274" s="1" t="n">
        <v>45923</v>
      </c>
      <c r="E6274" s="1" t="n">
        <v>46323</v>
      </c>
      <c r="F6274" t="inlineStr">
        <is>
          <t>KALMAR LÄN</t>
        </is>
      </c>
      <c r="G6274" t="inlineStr">
        <is>
          <t>EMMABODA</t>
        </is>
      </c>
      <c r="I6274" t="n">
        <v>2.3</v>
      </c>
      <c r="J6274" t="n">
        <v>0</v>
      </c>
      <c r="K6274" t="n">
        <v>0</v>
      </c>
      <c r="L6274" t="n">
        <v>0</v>
      </c>
      <c r="M6274" t="n">
        <v>0</v>
      </c>
      <c r="N6274" t="n">
        <v>0</v>
      </c>
      <c r="O6274" t="n">
        <v>0</v>
      </c>
      <c r="P6274" t="n">
        <v>0</v>
      </c>
      <c r="Q6274" t="n">
        <v>0</v>
      </c>
      <c r="R6274" t="n">
        <v>0</v>
      </c>
      <c r="S6274" t="n">
        <v>0</v>
      </c>
      <c r="T6274" t="n">
        <v>0</v>
      </c>
      <c r="U6274" t="n">
        <v>0</v>
      </c>
      <c r="V6274" s="2" t="inlineStr"/>
    </row>
    <row r="6275" ht="15" customHeight="1">
      <c r="A6275" t="inlineStr">
        <is>
          <t>A 59837-2023</t>
        </is>
      </c>
      <c r="B6275" t="inlineStr">
        <is>
          <t>avverkningsanmälan</t>
        </is>
      </c>
      <c r="C6275" t="inlineStr">
        <is>
          <t>Föryngringsavverkning</t>
        </is>
      </c>
      <c r="D6275" s="1" t="n">
        <v>45253</v>
      </c>
      <c r="E6275" s="1" t="n">
        <v>46323</v>
      </c>
      <c r="F6275" t="inlineStr">
        <is>
          <t>KALMAR LÄN</t>
        </is>
      </c>
      <c r="G6275" t="inlineStr">
        <is>
          <t>NYBRO</t>
        </is>
      </c>
      <c r="I6275" t="n">
        <v>2.1</v>
      </c>
      <c r="J6275" t="n">
        <v>0</v>
      </c>
      <c r="K6275" t="n">
        <v>0</v>
      </c>
      <c r="L6275" t="n">
        <v>0</v>
      </c>
      <c r="M6275" t="n">
        <v>0</v>
      </c>
      <c r="N6275" t="n">
        <v>0</v>
      </c>
      <c r="O6275" t="n">
        <v>0</v>
      </c>
      <c r="P6275" t="n">
        <v>0</v>
      </c>
      <c r="Q6275" t="n">
        <v>0</v>
      </c>
      <c r="R6275" t="n">
        <v>0</v>
      </c>
      <c r="S6275" t="n">
        <v>0</v>
      </c>
      <c r="T6275" t="n">
        <v>0</v>
      </c>
      <c r="U6275" t="n">
        <v>0</v>
      </c>
      <c r="V6275" s="2" t="inlineStr"/>
    </row>
    <row r="6276" ht="15" customHeight="1">
      <c r="A6276" t="inlineStr">
        <is>
          <t>A 14264-2026</t>
        </is>
      </c>
      <c r="B6276" t="inlineStr">
        <is>
          <t>avverkningsanmälan</t>
        </is>
      </c>
      <c r="C6276" t="inlineStr">
        <is>
          <t>Föryngringsavverkning</t>
        </is>
      </c>
      <c r="D6276" s="1" t="n">
        <v>46099</v>
      </c>
      <c r="E6276" s="1" t="n">
        <v>46323</v>
      </c>
      <c r="F6276" t="inlineStr">
        <is>
          <t>KALMAR LÄN</t>
        </is>
      </c>
      <c r="G6276" t="inlineStr">
        <is>
          <t>KALMAR</t>
        </is>
      </c>
      <c r="I6276" t="n">
        <v>1.8</v>
      </c>
      <c r="J6276" t="n">
        <v>0</v>
      </c>
      <c r="K6276" t="n">
        <v>0</v>
      </c>
      <c r="L6276" t="n">
        <v>0</v>
      </c>
      <c r="M6276" t="n">
        <v>0</v>
      </c>
      <c r="N6276" t="n">
        <v>0</v>
      </c>
      <c r="O6276" t="n">
        <v>0</v>
      </c>
      <c r="P6276" t="n">
        <v>0</v>
      </c>
      <c r="Q6276" t="n">
        <v>0</v>
      </c>
      <c r="R6276" t="n">
        <v>0</v>
      </c>
      <c r="S6276" t="n">
        <v>0</v>
      </c>
      <c r="T6276" t="n">
        <v>0</v>
      </c>
      <c r="U6276" t="n">
        <v>0</v>
      </c>
      <c r="V6276" s="2" t="inlineStr"/>
    </row>
    <row r="6277" ht="15" customHeight="1">
      <c r="A6277" t="inlineStr">
        <is>
          <t>A 24651-2026</t>
        </is>
      </c>
      <c r="B6277" t="inlineStr">
        <is>
          <t>avverkningsanmälan</t>
        </is>
      </c>
      <c r="C6277" t="inlineStr">
        <is>
          <t>Föryngringsavverkning</t>
        </is>
      </c>
      <c r="D6277" s="1" t="n">
        <v>46171</v>
      </c>
      <c r="E6277" s="1" t="n">
        <v>46323</v>
      </c>
      <c r="F6277" t="inlineStr">
        <is>
          <t>KALMAR LÄN</t>
        </is>
      </c>
      <c r="G6277" t="inlineStr">
        <is>
          <t>OSKARSHAMN</t>
        </is>
      </c>
      <c r="I6277" t="n">
        <v>1.7</v>
      </c>
      <c r="J6277" t="n">
        <v>0</v>
      </c>
      <c r="K6277" t="n">
        <v>0</v>
      </c>
      <c r="L6277" t="n">
        <v>0</v>
      </c>
      <c r="M6277" t="n">
        <v>0</v>
      </c>
      <c r="N6277" t="n">
        <v>0</v>
      </c>
      <c r="O6277" t="n">
        <v>0</v>
      </c>
      <c r="P6277" t="n">
        <v>0</v>
      </c>
      <c r="Q6277" t="n">
        <v>0</v>
      </c>
      <c r="R6277" t="n">
        <v>0</v>
      </c>
      <c r="S6277" t="n">
        <v>0</v>
      </c>
      <c r="T6277" t="n">
        <v>0</v>
      </c>
      <c r="U6277" t="n">
        <v>0</v>
      </c>
      <c r="V6277" s="2" t="inlineStr"/>
    </row>
    <row r="6278" ht="15" customHeight="1">
      <c r="A6278" t="inlineStr">
        <is>
          <t>A 24637-2026</t>
        </is>
      </c>
      <c r="B6278" t="inlineStr">
        <is>
          <t>avverkningsanmälan</t>
        </is>
      </c>
      <c r="C6278" t="inlineStr">
        <is>
          <t>Avverkning för att bevara och utveckla /försöksver</t>
        </is>
      </c>
      <c r="D6278" s="1" t="n">
        <v>46171</v>
      </c>
      <c r="E6278" s="1" t="n">
        <v>46323</v>
      </c>
      <c r="F6278" t="inlineStr">
        <is>
          <t>KALMAR LÄN</t>
        </is>
      </c>
      <c r="G6278" t="inlineStr">
        <is>
          <t>HULTSFRED</t>
        </is>
      </c>
      <c r="I6278" t="n">
        <v>1.6</v>
      </c>
      <c r="J6278" t="n">
        <v>0</v>
      </c>
      <c r="K6278" t="n">
        <v>0</v>
      </c>
      <c r="L6278" t="n">
        <v>0</v>
      </c>
      <c r="M6278" t="n">
        <v>0</v>
      </c>
      <c r="N6278" t="n">
        <v>0</v>
      </c>
      <c r="O6278" t="n">
        <v>0</v>
      </c>
      <c r="P6278" t="n">
        <v>0</v>
      </c>
      <c r="Q6278" t="n">
        <v>0</v>
      </c>
      <c r="R6278" t="n">
        <v>0</v>
      </c>
      <c r="S6278" t="n">
        <v>0</v>
      </c>
      <c r="T6278" t="n">
        <v>0</v>
      </c>
      <c r="U6278" t="n">
        <v>0</v>
      </c>
      <c r="V6278" s="2" t="inlineStr"/>
    </row>
    <row r="6279" ht="15" customHeight="1">
      <c r="A6279" t="inlineStr">
        <is>
          <t>A 24601-2024</t>
        </is>
      </c>
      <c r="B6279" t="inlineStr">
        <is>
          <t>avverkningsanmälan</t>
        </is>
      </c>
      <c r="C6279" t="inlineStr">
        <is>
          <t>Avverkning för att bevara och utveckla /försöksver</t>
        </is>
      </c>
      <c r="D6279" s="1" t="n">
        <v>45460</v>
      </c>
      <c r="E6279" s="1" t="n">
        <v>46323</v>
      </c>
      <c r="F6279" t="inlineStr">
        <is>
          <t>KALMAR LÄN</t>
        </is>
      </c>
      <c r="G6279" t="inlineStr">
        <is>
          <t>HÖGSBY</t>
        </is>
      </c>
      <c r="H6279" t="inlineStr">
        <is>
          <t>Sveaskog</t>
        </is>
      </c>
      <c r="I6279" t="n">
        <v>14.7</v>
      </c>
      <c r="J6279" t="n">
        <v>0</v>
      </c>
      <c r="K6279" t="n">
        <v>0</v>
      </c>
      <c r="L6279" t="n">
        <v>0</v>
      </c>
      <c r="M6279" t="n">
        <v>0</v>
      </c>
      <c r="N6279" t="n">
        <v>0</v>
      </c>
      <c r="O6279" t="n">
        <v>0</v>
      </c>
      <c r="P6279" t="n">
        <v>0</v>
      </c>
      <c r="Q6279" t="n">
        <v>0</v>
      </c>
      <c r="R6279" t="n">
        <v>0</v>
      </c>
      <c r="S6279" t="n">
        <v>0</v>
      </c>
      <c r="T6279" t="n">
        <v>0</v>
      </c>
      <c r="U6279" t="n">
        <v>0</v>
      </c>
      <c r="V6279" s="2" t="inlineStr"/>
    </row>
    <row r="6280" ht="15" customHeight="1">
      <c r="A6280" t="inlineStr">
        <is>
          <t>A 25183-2026</t>
        </is>
      </c>
      <c r="B6280" t="inlineStr">
        <is>
          <t>avverkningsanmälan</t>
        </is>
      </c>
      <c r="C6280" t="inlineStr">
        <is>
          <t>Föryngringsavverkning</t>
        </is>
      </c>
      <c r="D6280" s="1" t="n">
        <v>46175</v>
      </c>
      <c r="E6280" s="1" t="n">
        <v>46323</v>
      </c>
      <c r="F6280" t="inlineStr">
        <is>
          <t>KALMAR LÄN</t>
        </is>
      </c>
      <c r="G6280" t="inlineStr">
        <is>
          <t>HULTSFRED</t>
        </is>
      </c>
      <c r="I6280" t="n">
        <v>1.1</v>
      </c>
      <c r="J6280" t="n">
        <v>0</v>
      </c>
      <c r="K6280" t="n">
        <v>0</v>
      </c>
      <c r="L6280" t="n">
        <v>0</v>
      </c>
      <c r="M6280" t="n">
        <v>0</v>
      </c>
      <c r="N6280" t="n">
        <v>0</v>
      </c>
      <c r="O6280" t="n">
        <v>0</v>
      </c>
      <c r="P6280" t="n">
        <v>0</v>
      </c>
      <c r="Q6280" t="n">
        <v>0</v>
      </c>
      <c r="R6280" t="n">
        <v>0</v>
      </c>
      <c r="S6280" t="n">
        <v>0</v>
      </c>
      <c r="T6280" t="n">
        <v>0</v>
      </c>
      <c r="U6280" t="n">
        <v>0</v>
      </c>
      <c r="V6280" s="2" t="inlineStr"/>
    </row>
    <row r="6281" ht="15" customHeight="1">
      <c r="A6281" t="inlineStr">
        <is>
          <t>A 25075-2026</t>
        </is>
      </c>
      <c r="B6281" t="inlineStr">
        <is>
          <t>avverkningsanmälan</t>
        </is>
      </c>
      <c r="C6281" t="inlineStr">
        <is>
          <t>Föryngringsavverkning</t>
        </is>
      </c>
      <c r="D6281" s="1" t="n">
        <v>46174</v>
      </c>
      <c r="E6281" s="1" t="n">
        <v>46323</v>
      </c>
      <c r="F6281" t="inlineStr">
        <is>
          <t>KALMAR LÄN</t>
        </is>
      </c>
      <c r="G6281" t="inlineStr">
        <is>
          <t>TORSÅS</t>
        </is>
      </c>
      <c r="I6281" t="n">
        <v>8.4</v>
      </c>
      <c r="J6281" t="n">
        <v>0</v>
      </c>
      <c r="K6281" t="n">
        <v>0</v>
      </c>
      <c r="L6281" t="n">
        <v>0</v>
      </c>
      <c r="M6281" t="n">
        <v>0</v>
      </c>
      <c r="N6281" t="n">
        <v>0</v>
      </c>
      <c r="O6281" t="n">
        <v>0</v>
      </c>
      <c r="P6281" t="n">
        <v>0</v>
      </c>
      <c r="Q6281" t="n">
        <v>0</v>
      </c>
      <c r="R6281" t="n">
        <v>0</v>
      </c>
      <c r="S6281" t="n">
        <v>0</v>
      </c>
      <c r="T6281" t="n">
        <v>0</v>
      </c>
      <c r="U6281" t="n">
        <v>0</v>
      </c>
      <c r="V6281" s="2" t="inlineStr"/>
    </row>
    <row r="6282" ht="15" customHeight="1">
      <c r="A6282" t="inlineStr">
        <is>
          <t>A 25143-2026</t>
        </is>
      </c>
      <c r="B6282" t="inlineStr">
        <is>
          <t>avverkningsanmälan</t>
        </is>
      </c>
      <c r="C6282" t="inlineStr">
        <is>
          <t>Föryngringsavverkning</t>
        </is>
      </c>
      <c r="D6282" s="1" t="n">
        <v>46175</v>
      </c>
      <c r="E6282" s="1" t="n">
        <v>46323</v>
      </c>
      <c r="F6282" t="inlineStr">
        <is>
          <t>KALMAR LÄN</t>
        </is>
      </c>
      <c r="G6282" t="inlineStr">
        <is>
          <t>NYBRO</t>
        </is>
      </c>
      <c r="I6282" t="n">
        <v>1.9</v>
      </c>
      <c r="J6282" t="n">
        <v>0</v>
      </c>
      <c r="K6282" t="n">
        <v>0</v>
      </c>
      <c r="L6282" t="n">
        <v>0</v>
      </c>
      <c r="M6282" t="n">
        <v>0</v>
      </c>
      <c r="N6282" t="n">
        <v>0</v>
      </c>
      <c r="O6282" t="n">
        <v>0</v>
      </c>
      <c r="P6282" t="n">
        <v>0</v>
      </c>
      <c r="Q6282" t="n">
        <v>0</v>
      </c>
      <c r="R6282" t="n">
        <v>0</v>
      </c>
      <c r="S6282" t="n">
        <v>0</v>
      </c>
      <c r="T6282" t="n">
        <v>0</v>
      </c>
      <c r="U6282" t="n">
        <v>0</v>
      </c>
      <c r="V6282" s="2" t="inlineStr"/>
    </row>
    <row r="6283" ht="15" customHeight="1">
      <c r="A6283" t="inlineStr">
        <is>
          <t>A 25072-2026</t>
        </is>
      </c>
      <c r="B6283" t="inlineStr">
        <is>
          <t>avverkningsanmälan</t>
        </is>
      </c>
      <c r="C6283" t="inlineStr">
        <is>
          <t>Avverkning för att bevara och utveckla /försöksver</t>
        </is>
      </c>
      <c r="D6283" s="1" t="n">
        <v>46174</v>
      </c>
      <c r="E6283" s="1" t="n">
        <v>46323</v>
      </c>
      <c r="F6283" t="inlineStr">
        <is>
          <t>KALMAR LÄN</t>
        </is>
      </c>
      <c r="G6283" t="inlineStr">
        <is>
          <t>TORSÅS</t>
        </is>
      </c>
      <c r="I6283" t="n">
        <v>2.5</v>
      </c>
      <c r="J6283" t="n">
        <v>0</v>
      </c>
      <c r="K6283" t="n">
        <v>0</v>
      </c>
      <c r="L6283" t="n">
        <v>0</v>
      </c>
      <c r="M6283" t="n">
        <v>0</v>
      </c>
      <c r="N6283" t="n">
        <v>0</v>
      </c>
      <c r="O6283" t="n">
        <v>0</v>
      </c>
      <c r="P6283" t="n">
        <v>0</v>
      </c>
      <c r="Q6283" t="n">
        <v>0</v>
      </c>
      <c r="R6283" t="n">
        <v>0</v>
      </c>
      <c r="S6283" t="n">
        <v>0</v>
      </c>
      <c r="T6283" t="n">
        <v>0</v>
      </c>
      <c r="U6283" t="n">
        <v>0</v>
      </c>
      <c r="V6283" s="2" t="inlineStr"/>
    </row>
    <row r="6284" ht="15" customHeight="1">
      <c r="A6284" t="inlineStr">
        <is>
          <t>A 25134-2026</t>
        </is>
      </c>
      <c r="B6284" t="inlineStr">
        <is>
          <t>avverkningsanmälan</t>
        </is>
      </c>
      <c r="C6284" t="inlineStr">
        <is>
          <t>Föryngringsavverkning</t>
        </is>
      </c>
      <c r="D6284" s="1" t="n">
        <v>46175</v>
      </c>
      <c r="E6284" s="1" t="n">
        <v>46323</v>
      </c>
      <c r="F6284" t="inlineStr">
        <is>
          <t>KALMAR LÄN</t>
        </is>
      </c>
      <c r="G6284" t="inlineStr">
        <is>
          <t>OSKARSHAMN</t>
        </is>
      </c>
      <c r="I6284" t="n">
        <v>1.1</v>
      </c>
      <c r="J6284" t="n">
        <v>0</v>
      </c>
      <c r="K6284" t="n">
        <v>0</v>
      </c>
      <c r="L6284" t="n">
        <v>0</v>
      </c>
      <c r="M6284" t="n">
        <v>0</v>
      </c>
      <c r="N6284" t="n">
        <v>0</v>
      </c>
      <c r="O6284" t="n">
        <v>0</v>
      </c>
      <c r="P6284" t="n">
        <v>0</v>
      </c>
      <c r="Q6284" t="n">
        <v>0</v>
      </c>
      <c r="R6284" t="n">
        <v>0</v>
      </c>
      <c r="S6284" t="n">
        <v>0</v>
      </c>
      <c r="T6284" t="n">
        <v>0</v>
      </c>
      <c r="U6284" t="n">
        <v>0</v>
      </c>
      <c r="V6284" s="2" t="inlineStr"/>
    </row>
    <row r="6285" ht="15" customHeight="1">
      <c r="A6285" t="inlineStr">
        <is>
          <t>A 25190-2026</t>
        </is>
      </c>
      <c r="B6285" t="inlineStr">
        <is>
          <t>avverkningsanmälan</t>
        </is>
      </c>
      <c r="C6285" t="inlineStr">
        <is>
          <t>Föryngringsavverkning</t>
        </is>
      </c>
      <c r="D6285" s="1" t="n">
        <v>46175</v>
      </c>
      <c r="E6285" s="1" t="n">
        <v>46323</v>
      </c>
      <c r="F6285" t="inlineStr">
        <is>
          <t>KALMAR LÄN</t>
        </is>
      </c>
      <c r="G6285" t="inlineStr">
        <is>
          <t>VÄSTERVIK</t>
        </is>
      </c>
      <c r="I6285" t="n">
        <v>1.3</v>
      </c>
      <c r="J6285" t="n">
        <v>0</v>
      </c>
      <c r="K6285" t="n">
        <v>0</v>
      </c>
      <c r="L6285" t="n">
        <v>0</v>
      </c>
      <c r="M6285" t="n">
        <v>0</v>
      </c>
      <c r="N6285" t="n">
        <v>0</v>
      </c>
      <c r="O6285" t="n">
        <v>0</v>
      </c>
      <c r="P6285" t="n">
        <v>0</v>
      </c>
      <c r="Q6285" t="n">
        <v>0</v>
      </c>
      <c r="R6285" t="n">
        <v>0</v>
      </c>
      <c r="S6285" t="n">
        <v>0</v>
      </c>
      <c r="T6285" t="n">
        <v>0</v>
      </c>
      <c r="U6285" t="n">
        <v>0</v>
      </c>
      <c r="V6285" s="2" t="inlineStr"/>
    </row>
    <row r="6286" ht="15" customHeight="1">
      <c r="A6286" t="inlineStr">
        <is>
          <t>A 25153-2026</t>
        </is>
      </c>
      <c r="B6286" t="inlineStr">
        <is>
          <t>avverkningsanmälan</t>
        </is>
      </c>
      <c r="C6286" t="inlineStr">
        <is>
          <t>Föryngringsavverkning</t>
        </is>
      </c>
      <c r="D6286" s="1" t="n">
        <v>46175</v>
      </c>
      <c r="E6286" s="1" t="n">
        <v>46323</v>
      </c>
      <c r="F6286" t="inlineStr">
        <is>
          <t>KALMAR LÄN</t>
        </is>
      </c>
      <c r="G6286" t="inlineStr">
        <is>
          <t>HULTSFRED</t>
        </is>
      </c>
      <c r="I6286" t="n">
        <v>0.7</v>
      </c>
      <c r="J6286" t="n">
        <v>0</v>
      </c>
      <c r="K6286" t="n">
        <v>0</v>
      </c>
      <c r="L6286" t="n">
        <v>0</v>
      </c>
      <c r="M6286" t="n">
        <v>0</v>
      </c>
      <c r="N6286" t="n">
        <v>0</v>
      </c>
      <c r="O6286" t="n">
        <v>0</v>
      </c>
      <c r="P6286" t="n">
        <v>0</v>
      </c>
      <c r="Q6286" t="n">
        <v>0</v>
      </c>
      <c r="R6286" t="n">
        <v>0</v>
      </c>
      <c r="S6286" t="n">
        <v>0</v>
      </c>
      <c r="T6286" t="n">
        <v>0</v>
      </c>
      <c r="U6286" t="n">
        <v>0</v>
      </c>
      <c r="V6286" s="2" t="inlineStr"/>
    </row>
    <row r="6287" ht="15" customHeight="1">
      <c r="A6287" t="inlineStr">
        <is>
          <t>A 25157-2026</t>
        </is>
      </c>
      <c r="B6287" t="inlineStr">
        <is>
          <t>avverkningsanmälan</t>
        </is>
      </c>
      <c r="C6287" t="inlineStr">
        <is>
          <t>Föryngringsavverkning</t>
        </is>
      </c>
      <c r="D6287" s="1" t="n">
        <v>46175</v>
      </c>
      <c r="E6287" s="1" t="n">
        <v>46323</v>
      </c>
      <c r="F6287" t="inlineStr">
        <is>
          <t>KALMAR LÄN</t>
        </is>
      </c>
      <c r="G6287" t="inlineStr">
        <is>
          <t>HULTSFRED</t>
        </is>
      </c>
      <c r="I6287" t="n">
        <v>0.7</v>
      </c>
      <c r="J6287" t="n">
        <v>0</v>
      </c>
      <c r="K6287" t="n">
        <v>0</v>
      </c>
      <c r="L6287" t="n">
        <v>0</v>
      </c>
      <c r="M6287" t="n">
        <v>0</v>
      </c>
      <c r="N6287" t="n">
        <v>0</v>
      </c>
      <c r="O6287" t="n">
        <v>0</v>
      </c>
      <c r="P6287" t="n">
        <v>0</v>
      </c>
      <c r="Q6287" t="n">
        <v>0</v>
      </c>
      <c r="R6287" t="n">
        <v>0</v>
      </c>
      <c r="S6287" t="n">
        <v>0</v>
      </c>
      <c r="T6287" t="n">
        <v>0</v>
      </c>
      <c r="U6287" t="n">
        <v>0</v>
      </c>
      <c r="V6287" s="2" t="inlineStr"/>
    </row>
    <row r="6288" ht="15" customHeight="1">
      <c r="A6288" t="inlineStr">
        <is>
          <t>A 25158-2026</t>
        </is>
      </c>
      <c r="B6288" t="inlineStr">
        <is>
          <t>avverkningsanmälan</t>
        </is>
      </c>
      <c r="C6288" t="inlineStr">
        <is>
          <t>Föryngringsavverkning</t>
        </is>
      </c>
      <c r="D6288" s="1" t="n">
        <v>46175</v>
      </c>
      <c r="E6288" s="1" t="n">
        <v>46323</v>
      </c>
      <c r="F6288" t="inlineStr">
        <is>
          <t>KALMAR LÄN</t>
        </is>
      </c>
      <c r="G6288" t="inlineStr">
        <is>
          <t>VIMMERBY</t>
        </is>
      </c>
      <c r="I6288" t="n">
        <v>0.5</v>
      </c>
      <c r="J6288" t="n">
        <v>0</v>
      </c>
      <c r="K6288" t="n">
        <v>0</v>
      </c>
      <c r="L6288" t="n">
        <v>0</v>
      </c>
      <c r="M6288" t="n">
        <v>0</v>
      </c>
      <c r="N6288" t="n">
        <v>0</v>
      </c>
      <c r="O6288" t="n">
        <v>0</v>
      </c>
      <c r="P6288" t="n">
        <v>0</v>
      </c>
      <c r="Q6288" t="n">
        <v>0</v>
      </c>
      <c r="R6288" t="n">
        <v>0</v>
      </c>
      <c r="S6288" t="n">
        <v>0</v>
      </c>
      <c r="T6288" t="n">
        <v>0</v>
      </c>
      <c r="U6288" t="n">
        <v>0</v>
      </c>
      <c r="V6288" s="2" t="inlineStr"/>
    </row>
    <row r="6289" ht="15" customHeight="1">
      <c r="A6289" t="inlineStr">
        <is>
          <t>A 10778-2025</t>
        </is>
      </c>
      <c r="B6289" t="inlineStr">
        <is>
          <t>avverkningsanmälan</t>
        </is>
      </c>
      <c r="C6289" t="inlineStr">
        <is>
          <t>Föryngringsavverkning</t>
        </is>
      </c>
      <c r="D6289" s="1" t="n">
        <v>45722</v>
      </c>
      <c r="E6289" s="1" t="n">
        <v>46323</v>
      </c>
      <c r="F6289" t="inlineStr">
        <is>
          <t>KALMAR LÄN</t>
        </is>
      </c>
      <c r="G6289" t="inlineStr">
        <is>
          <t>VÄSTERVIK</t>
        </is>
      </c>
      <c r="I6289" t="n">
        <v>0.6</v>
      </c>
      <c r="J6289" t="n">
        <v>0</v>
      </c>
      <c r="K6289" t="n">
        <v>0</v>
      </c>
      <c r="L6289" t="n">
        <v>0</v>
      </c>
      <c r="M6289" t="n">
        <v>0</v>
      </c>
      <c r="N6289" t="n">
        <v>0</v>
      </c>
      <c r="O6289" t="n">
        <v>0</v>
      </c>
      <c r="P6289" t="n">
        <v>0</v>
      </c>
      <c r="Q6289" t="n">
        <v>0</v>
      </c>
      <c r="R6289" t="n">
        <v>0</v>
      </c>
      <c r="S6289" t="n">
        <v>0</v>
      </c>
      <c r="T6289" t="n">
        <v>0</v>
      </c>
      <c r="U6289" t="n">
        <v>0</v>
      </c>
      <c r="V6289" s="2" t="inlineStr"/>
    </row>
    <row r="6290" ht="15" customHeight="1">
      <c r="A6290" t="inlineStr">
        <is>
          <t>A 25070-2026</t>
        </is>
      </c>
      <c r="B6290" t="inlineStr">
        <is>
          <t>avverkningsanmälan</t>
        </is>
      </c>
      <c r="C6290" t="inlineStr">
        <is>
          <t>Föryngringsavverkning</t>
        </is>
      </c>
      <c r="D6290" s="1" t="n">
        <v>46174</v>
      </c>
      <c r="E6290" s="1" t="n">
        <v>46323</v>
      </c>
      <c r="F6290" t="inlineStr">
        <is>
          <t>KALMAR LÄN</t>
        </is>
      </c>
      <c r="G6290" t="inlineStr">
        <is>
          <t>TORSÅS</t>
        </is>
      </c>
      <c r="I6290" t="n">
        <v>6.6</v>
      </c>
      <c r="J6290" t="n">
        <v>0</v>
      </c>
      <c r="K6290" t="n">
        <v>0</v>
      </c>
      <c r="L6290" t="n">
        <v>0</v>
      </c>
      <c r="M6290" t="n">
        <v>0</v>
      </c>
      <c r="N6290" t="n">
        <v>0</v>
      </c>
      <c r="O6290" t="n">
        <v>0</v>
      </c>
      <c r="P6290" t="n">
        <v>0</v>
      </c>
      <c r="Q6290" t="n">
        <v>0</v>
      </c>
      <c r="R6290" t="n">
        <v>0</v>
      </c>
      <c r="S6290" t="n">
        <v>0</v>
      </c>
      <c r="T6290" t="n">
        <v>0</v>
      </c>
      <c r="U6290" t="n">
        <v>0</v>
      </c>
      <c r="V6290" s="2" t="inlineStr"/>
    </row>
    <row r="6291" ht="15" customHeight="1">
      <c r="A6291" t="inlineStr">
        <is>
          <t>A 24836-2026</t>
        </is>
      </c>
      <c r="B6291" t="inlineStr">
        <is>
          <t>avverkningsanmälan</t>
        </is>
      </c>
      <c r="C6291" t="inlineStr">
        <is>
          <t>Föryngringsavverkning</t>
        </is>
      </c>
      <c r="D6291" s="1" t="n">
        <v>46174</v>
      </c>
      <c r="E6291" s="1" t="n">
        <v>46323</v>
      </c>
      <c r="F6291" t="inlineStr">
        <is>
          <t>KALMAR LÄN</t>
        </is>
      </c>
      <c r="G6291" t="inlineStr">
        <is>
          <t>HULTSFRED</t>
        </is>
      </c>
      <c r="I6291" t="n">
        <v>1</v>
      </c>
      <c r="J6291" t="n">
        <v>0</v>
      </c>
      <c r="K6291" t="n">
        <v>0</v>
      </c>
      <c r="L6291" t="n">
        <v>0</v>
      </c>
      <c r="M6291" t="n">
        <v>0</v>
      </c>
      <c r="N6291" t="n">
        <v>0</v>
      </c>
      <c r="O6291" t="n">
        <v>0</v>
      </c>
      <c r="P6291" t="n">
        <v>0</v>
      </c>
      <c r="Q6291" t="n">
        <v>0</v>
      </c>
      <c r="R6291" t="n">
        <v>0</v>
      </c>
      <c r="S6291" t="n">
        <v>0</v>
      </c>
      <c r="T6291" t="n">
        <v>0</v>
      </c>
      <c r="U6291" t="n">
        <v>0</v>
      </c>
      <c r="V6291" s="2" t="inlineStr"/>
    </row>
    <row r="6292" ht="15" customHeight="1">
      <c r="A6292" t="inlineStr">
        <is>
          <t>A 24930-2026</t>
        </is>
      </c>
      <c r="B6292" t="inlineStr">
        <is>
          <t>avverkningsanmälan</t>
        </is>
      </c>
      <c r="C6292" t="inlineStr">
        <is>
          <t>Föryngringsavverkning</t>
        </is>
      </c>
      <c r="D6292" s="1" t="n">
        <v>46174</v>
      </c>
      <c r="E6292" s="1" t="n">
        <v>46323</v>
      </c>
      <c r="F6292" t="inlineStr">
        <is>
          <t>KALMAR LÄN</t>
        </is>
      </c>
      <c r="G6292" t="inlineStr">
        <is>
          <t>VIMMERBY</t>
        </is>
      </c>
      <c r="I6292" t="n">
        <v>0.8</v>
      </c>
      <c r="J6292" t="n">
        <v>0</v>
      </c>
      <c r="K6292" t="n">
        <v>0</v>
      </c>
      <c r="L6292" t="n">
        <v>0</v>
      </c>
      <c r="M6292" t="n">
        <v>0</v>
      </c>
      <c r="N6292" t="n">
        <v>0</v>
      </c>
      <c r="O6292" t="n">
        <v>0</v>
      </c>
      <c r="P6292" t="n">
        <v>0</v>
      </c>
      <c r="Q6292" t="n">
        <v>0</v>
      </c>
      <c r="R6292" t="n">
        <v>0</v>
      </c>
      <c r="S6292" t="n">
        <v>0</v>
      </c>
      <c r="T6292" t="n">
        <v>0</v>
      </c>
      <c r="U6292" t="n">
        <v>0</v>
      </c>
      <c r="V6292" s="2" t="inlineStr"/>
    </row>
    <row r="6293" ht="15" customHeight="1">
      <c r="A6293" t="inlineStr">
        <is>
          <t>A 24614-2026</t>
        </is>
      </c>
      <c r="B6293" t="inlineStr">
        <is>
          <t>avverkningsanmälan</t>
        </is>
      </c>
      <c r="C6293" t="inlineStr">
        <is>
          <t>Avverkning för annat ändamål</t>
        </is>
      </c>
      <c r="D6293" s="1" t="n">
        <v>46169</v>
      </c>
      <c r="E6293" s="1" t="n">
        <v>46323</v>
      </c>
      <c r="F6293" t="inlineStr">
        <is>
          <t>KALMAR LÄN</t>
        </is>
      </c>
      <c r="G6293" t="inlineStr">
        <is>
          <t>NYBRO</t>
        </is>
      </c>
      <c r="I6293" t="n">
        <v>2.1</v>
      </c>
      <c r="J6293" t="n">
        <v>0</v>
      </c>
      <c r="K6293" t="n">
        <v>0</v>
      </c>
      <c r="L6293" t="n">
        <v>0</v>
      </c>
      <c r="M6293" t="n">
        <v>0</v>
      </c>
      <c r="N6293" t="n">
        <v>0</v>
      </c>
      <c r="O6293" t="n">
        <v>0</v>
      </c>
      <c r="P6293" t="n">
        <v>0</v>
      </c>
      <c r="Q6293" t="n">
        <v>0</v>
      </c>
      <c r="R6293" t="n">
        <v>0</v>
      </c>
      <c r="S6293" t="n">
        <v>0</v>
      </c>
      <c r="T6293" t="n">
        <v>0</v>
      </c>
      <c r="U6293" t="n">
        <v>0</v>
      </c>
      <c r="V6293" s="2" t="inlineStr"/>
    </row>
    <row r="6294" ht="15" customHeight="1">
      <c r="A6294" t="inlineStr">
        <is>
          <t>A 25562-2026</t>
        </is>
      </c>
      <c r="B6294" t="inlineStr">
        <is>
          <t>avverkningsanmälan</t>
        </is>
      </c>
      <c r="C6294" t="inlineStr">
        <is>
          <t>Föryngringsavverkning</t>
        </is>
      </c>
      <c r="D6294" s="1" t="n">
        <v>46177</v>
      </c>
      <c r="E6294" s="1" t="n">
        <v>46323</v>
      </c>
      <c r="F6294" t="inlineStr">
        <is>
          <t>KALMAR LÄN</t>
        </is>
      </c>
      <c r="G6294" t="inlineStr">
        <is>
          <t>KALMAR</t>
        </is>
      </c>
      <c r="I6294" t="n">
        <v>1</v>
      </c>
      <c r="J6294" t="n">
        <v>0</v>
      </c>
      <c r="K6294" t="n">
        <v>0</v>
      </c>
      <c r="L6294" t="n">
        <v>0</v>
      </c>
      <c r="M6294" t="n">
        <v>0</v>
      </c>
      <c r="N6294" t="n">
        <v>0</v>
      </c>
      <c r="O6294" t="n">
        <v>0</v>
      </c>
      <c r="P6294" t="n">
        <v>0</v>
      </c>
      <c r="Q6294" t="n">
        <v>0</v>
      </c>
      <c r="R6294" t="n">
        <v>0</v>
      </c>
      <c r="S6294" t="n">
        <v>0</v>
      </c>
      <c r="T6294" t="n">
        <v>0</v>
      </c>
      <c r="U6294" t="n">
        <v>0</v>
      </c>
      <c r="V6294" s="2" t="inlineStr"/>
    </row>
    <row r="6295" ht="15" customHeight="1">
      <c r="A6295" t="inlineStr">
        <is>
          <t>A 44172-2025</t>
        </is>
      </c>
      <c r="B6295" t="inlineStr">
        <is>
          <t>avverkningsanmälan</t>
        </is>
      </c>
      <c r="C6295" t="inlineStr">
        <is>
          <t>Föryngringsavverkning</t>
        </is>
      </c>
      <c r="D6295" s="1" t="n">
        <v>45915</v>
      </c>
      <c r="E6295" s="1" t="n">
        <v>46323</v>
      </c>
      <c r="F6295" t="inlineStr">
        <is>
          <t>KALMAR LÄN</t>
        </is>
      </c>
      <c r="G6295" t="inlineStr">
        <is>
          <t>KALMAR</t>
        </is>
      </c>
      <c r="I6295" t="n">
        <v>0.9</v>
      </c>
      <c r="J6295" t="n">
        <v>0</v>
      </c>
      <c r="K6295" t="n">
        <v>0</v>
      </c>
      <c r="L6295" t="n">
        <v>0</v>
      </c>
      <c r="M6295" t="n">
        <v>0</v>
      </c>
      <c r="N6295" t="n">
        <v>0</v>
      </c>
      <c r="O6295" t="n">
        <v>0</v>
      </c>
      <c r="P6295" t="n">
        <v>0</v>
      </c>
      <c r="Q6295" t="n">
        <v>0</v>
      </c>
      <c r="R6295" t="n">
        <v>0</v>
      </c>
      <c r="S6295" t="n">
        <v>0</v>
      </c>
      <c r="T6295" t="n">
        <v>0</v>
      </c>
      <c r="U6295" t="n">
        <v>0</v>
      </c>
      <c r="V6295" s="2" t="inlineStr"/>
    </row>
    <row r="6296" ht="15" customHeight="1">
      <c r="A6296" t="inlineStr">
        <is>
          <t>A 25395-2026</t>
        </is>
      </c>
      <c r="B6296" t="inlineStr">
        <is>
          <t>avverkningsanmälan</t>
        </is>
      </c>
      <c r="C6296" t="inlineStr">
        <is>
          <t>Föryngringsavverkning</t>
        </is>
      </c>
      <c r="D6296" s="1" t="n">
        <v>46176</v>
      </c>
      <c r="E6296" s="1" t="n">
        <v>46323</v>
      </c>
      <c r="F6296" t="inlineStr">
        <is>
          <t>KALMAR LÄN</t>
        </is>
      </c>
      <c r="G6296" t="inlineStr">
        <is>
          <t>VIMMERBY</t>
        </is>
      </c>
      <c r="I6296" t="n">
        <v>0.8</v>
      </c>
      <c r="J6296" t="n">
        <v>0</v>
      </c>
      <c r="K6296" t="n">
        <v>0</v>
      </c>
      <c r="L6296" t="n">
        <v>0</v>
      </c>
      <c r="M6296" t="n">
        <v>0</v>
      </c>
      <c r="N6296" t="n">
        <v>0</v>
      </c>
      <c r="O6296" t="n">
        <v>0</v>
      </c>
      <c r="P6296" t="n">
        <v>0</v>
      </c>
      <c r="Q6296" t="n">
        <v>0</v>
      </c>
      <c r="R6296" t="n">
        <v>0</v>
      </c>
      <c r="S6296" t="n">
        <v>0</v>
      </c>
      <c r="T6296" t="n">
        <v>0</v>
      </c>
      <c r="U6296" t="n">
        <v>0</v>
      </c>
      <c r="V6296" s="2" t="inlineStr"/>
    </row>
    <row r="6297" ht="15" customHeight="1">
      <c r="A6297" t="inlineStr">
        <is>
          <t>A 25510-2026</t>
        </is>
      </c>
      <c r="B6297" t="inlineStr">
        <is>
          <t>avverkningsanmälan</t>
        </is>
      </c>
      <c r="C6297" t="inlineStr">
        <is>
          <t>Föryngringsavverkning</t>
        </is>
      </c>
      <c r="D6297" s="1" t="n">
        <v>46177</v>
      </c>
      <c r="E6297" s="1" t="n">
        <v>46323</v>
      </c>
      <c r="F6297" t="inlineStr">
        <is>
          <t>KALMAR LÄN</t>
        </is>
      </c>
      <c r="G6297" t="inlineStr">
        <is>
          <t>NYBRO</t>
        </is>
      </c>
      <c r="H6297" t="inlineStr">
        <is>
          <t>Sveaskog</t>
        </is>
      </c>
      <c r="I6297" t="n">
        <v>4.1</v>
      </c>
      <c r="J6297" t="n">
        <v>0</v>
      </c>
      <c r="K6297" t="n">
        <v>0</v>
      </c>
      <c r="L6297" t="n">
        <v>0</v>
      </c>
      <c r="M6297" t="n">
        <v>0</v>
      </c>
      <c r="N6297" t="n">
        <v>0</v>
      </c>
      <c r="O6297" t="n">
        <v>0</v>
      </c>
      <c r="P6297" t="n">
        <v>0</v>
      </c>
      <c r="Q6297" t="n">
        <v>0</v>
      </c>
      <c r="R6297" t="n">
        <v>0</v>
      </c>
      <c r="S6297" t="n">
        <v>0</v>
      </c>
      <c r="T6297" t="n">
        <v>0</v>
      </c>
      <c r="U6297" t="n">
        <v>0</v>
      </c>
      <c r="V6297" s="2" t="inlineStr"/>
    </row>
    <row r="6298" ht="15" customHeight="1">
      <c r="A6298" t="inlineStr">
        <is>
          <t>A 25612-2026</t>
        </is>
      </c>
      <c r="B6298" t="inlineStr">
        <is>
          <t>avverkningsanmälan</t>
        </is>
      </c>
      <c r="C6298" t="inlineStr">
        <is>
          <t>Föryngringsavverkning</t>
        </is>
      </c>
      <c r="D6298" s="1" t="n">
        <v>46177</v>
      </c>
      <c r="E6298" s="1" t="n">
        <v>46323</v>
      </c>
      <c r="F6298" t="inlineStr">
        <is>
          <t>KALMAR LÄN</t>
        </is>
      </c>
      <c r="G6298" t="inlineStr">
        <is>
          <t>OSKARSHAMN</t>
        </is>
      </c>
      <c r="I6298" t="n">
        <v>4.3</v>
      </c>
      <c r="J6298" t="n">
        <v>0</v>
      </c>
      <c r="K6298" t="n">
        <v>0</v>
      </c>
      <c r="L6298" t="n">
        <v>0</v>
      </c>
      <c r="M6298" t="n">
        <v>0</v>
      </c>
      <c r="N6298" t="n">
        <v>0</v>
      </c>
      <c r="O6298" t="n">
        <v>0</v>
      </c>
      <c r="P6298" t="n">
        <v>0</v>
      </c>
      <c r="Q6298" t="n">
        <v>0</v>
      </c>
      <c r="R6298" t="n">
        <v>0</v>
      </c>
      <c r="S6298" t="n">
        <v>0</v>
      </c>
      <c r="T6298" t="n">
        <v>0</v>
      </c>
      <c r="U6298" t="n">
        <v>0</v>
      </c>
      <c r="V6298" s="2" t="inlineStr"/>
    </row>
    <row r="6299" ht="15" customHeight="1">
      <c r="A6299" t="inlineStr">
        <is>
          <t>A 25284-2026</t>
        </is>
      </c>
      <c r="B6299" t="inlineStr">
        <is>
          <t>avverkningsanmälan</t>
        </is>
      </c>
      <c r="C6299" t="inlineStr">
        <is>
          <t>Föryngringsavverkning</t>
        </is>
      </c>
      <c r="D6299" s="1" t="n">
        <v>46176</v>
      </c>
      <c r="E6299" s="1" t="n">
        <v>46323</v>
      </c>
      <c r="F6299" t="inlineStr">
        <is>
          <t>KALMAR LÄN</t>
        </is>
      </c>
      <c r="G6299" t="inlineStr">
        <is>
          <t>VIMMERBY</t>
        </is>
      </c>
      <c r="I6299" t="n">
        <v>1.6</v>
      </c>
      <c r="J6299" t="n">
        <v>0</v>
      </c>
      <c r="K6299" t="n">
        <v>0</v>
      </c>
      <c r="L6299" t="n">
        <v>0</v>
      </c>
      <c r="M6299" t="n">
        <v>0</v>
      </c>
      <c r="N6299" t="n">
        <v>0</v>
      </c>
      <c r="O6299" t="n">
        <v>0</v>
      </c>
      <c r="P6299" t="n">
        <v>0</v>
      </c>
      <c r="Q6299" t="n">
        <v>0</v>
      </c>
      <c r="R6299" t="n">
        <v>0</v>
      </c>
      <c r="S6299" t="n">
        <v>0</v>
      </c>
      <c r="T6299" t="n">
        <v>0</v>
      </c>
      <c r="U6299" t="n">
        <v>0</v>
      </c>
      <c r="V6299" s="2" t="inlineStr"/>
    </row>
    <row r="6300" ht="15" customHeight="1">
      <c r="A6300" t="inlineStr">
        <is>
          <t>A 26109-2026</t>
        </is>
      </c>
      <c r="B6300" t="inlineStr">
        <is>
          <t>avverkningsanmälan</t>
        </is>
      </c>
      <c r="C6300" t="inlineStr">
        <is>
          <t>Föryngringsavverkning</t>
        </is>
      </c>
      <c r="D6300" s="1" t="n">
        <v>46181</v>
      </c>
      <c r="E6300" s="1" t="n">
        <v>46323</v>
      </c>
      <c r="F6300" t="inlineStr">
        <is>
          <t>KALMAR LÄN</t>
        </is>
      </c>
      <c r="G6300" t="inlineStr">
        <is>
          <t>HÖGSBY</t>
        </is>
      </c>
      <c r="I6300" t="n">
        <v>2.7</v>
      </c>
      <c r="J6300" t="n">
        <v>0</v>
      </c>
      <c r="K6300" t="n">
        <v>0</v>
      </c>
      <c r="L6300" t="n">
        <v>0</v>
      </c>
      <c r="M6300" t="n">
        <v>0</v>
      </c>
      <c r="N6300" t="n">
        <v>0</v>
      </c>
      <c r="O6300" t="n">
        <v>0</v>
      </c>
      <c r="P6300" t="n">
        <v>0</v>
      </c>
      <c r="Q6300" t="n">
        <v>0</v>
      </c>
      <c r="R6300" t="n">
        <v>0</v>
      </c>
      <c r="S6300" t="n">
        <v>0</v>
      </c>
      <c r="T6300" t="n">
        <v>0</v>
      </c>
      <c r="U6300" t="n">
        <v>0</v>
      </c>
      <c r="V6300" s="2" t="inlineStr"/>
    </row>
    <row r="6301" ht="15" customHeight="1">
      <c r="A6301" t="inlineStr">
        <is>
          <t>A 26029-2026</t>
        </is>
      </c>
      <c r="B6301" t="inlineStr">
        <is>
          <t>avverkningsanmälan</t>
        </is>
      </c>
      <c r="C6301" t="inlineStr">
        <is>
          <t>Föryngringsavverkning</t>
        </is>
      </c>
      <c r="D6301" s="1" t="n">
        <v>46181</v>
      </c>
      <c r="E6301" s="1" t="n">
        <v>46323</v>
      </c>
      <c r="F6301" t="inlineStr">
        <is>
          <t>KALMAR LÄN</t>
        </is>
      </c>
      <c r="G6301" t="inlineStr">
        <is>
          <t>VIMMERBY</t>
        </is>
      </c>
      <c r="I6301" t="n">
        <v>0.8</v>
      </c>
      <c r="J6301" t="n">
        <v>0</v>
      </c>
      <c r="K6301" t="n">
        <v>0</v>
      </c>
      <c r="L6301" t="n">
        <v>0</v>
      </c>
      <c r="M6301" t="n">
        <v>0</v>
      </c>
      <c r="N6301" t="n">
        <v>0</v>
      </c>
      <c r="O6301" t="n">
        <v>0</v>
      </c>
      <c r="P6301" t="n">
        <v>0</v>
      </c>
      <c r="Q6301" t="n">
        <v>0</v>
      </c>
      <c r="R6301" t="n">
        <v>0</v>
      </c>
      <c r="S6301" t="n">
        <v>0</v>
      </c>
      <c r="T6301" t="n">
        <v>0</v>
      </c>
      <c r="U6301" t="n">
        <v>0</v>
      </c>
      <c r="V6301" s="2" t="inlineStr"/>
    </row>
    <row r="6302" ht="15" customHeight="1">
      <c r="A6302" t="inlineStr">
        <is>
          <t>A 26074-2026</t>
        </is>
      </c>
      <c r="B6302" t="inlineStr">
        <is>
          <t>avverkningsanmälan</t>
        </is>
      </c>
      <c r="C6302" t="inlineStr">
        <is>
          <t>Föryngringsavverkning</t>
        </is>
      </c>
      <c r="D6302" s="1" t="n">
        <v>46181</v>
      </c>
      <c r="E6302" s="1" t="n">
        <v>46323</v>
      </c>
      <c r="F6302" t="inlineStr">
        <is>
          <t>KALMAR LÄN</t>
        </is>
      </c>
      <c r="G6302" t="inlineStr">
        <is>
          <t>HULTSFRED</t>
        </is>
      </c>
      <c r="I6302" t="n">
        <v>2.2</v>
      </c>
      <c r="J6302" t="n">
        <v>0</v>
      </c>
      <c r="K6302" t="n">
        <v>0</v>
      </c>
      <c r="L6302" t="n">
        <v>0</v>
      </c>
      <c r="M6302" t="n">
        <v>0</v>
      </c>
      <c r="N6302" t="n">
        <v>0</v>
      </c>
      <c r="O6302" t="n">
        <v>0</v>
      </c>
      <c r="P6302" t="n">
        <v>0</v>
      </c>
      <c r="Q6302" t="n">
        <v>0</v>
      </c>
      <c r="R6302" t="n">
        <v>0</v>
      </c>
      <c r="S6302" t="n">
        <v>0</v>
      </c>
      <c r="T6302" t="n">
        <v>0</v>
      </c>
      <c r="U6302" t="n">
        <v>0</v>
      </c>
      <c r="V6302" s="2" t="inlineStr"/>
    </row>
    <row r="6303" ht="15" customHeight="1">
      <c r="A6303" t="inlineStr">
        <is>
          <t>A 23974-2026</t>
        </is>
      </c>
      <c r="B6303" t="inlineStr">
        <is>
          <t>avverkningsanmälan</t>
        </is>
      </c>
      <c r="C6303" t="inlineStr">
        <is>
          <t>Föryngringsavverkning</t>
        </is>
      </c>
      <c r="D6303" s="1" t="n">
        <v>46167</v>
      </c>
      <c r="E6303" s="1" t="n">
        <v>46323</v>
      </c>
      <c r="F6303" t="inlineStr">
        <is>
          <t>KALMAR LÄN</t>
        </is>
      </c>
      <c r="G6303" t="inlineStr">
        <is>
          <t>TORSÅS</t>
        </is>
      </c>
      <c r="I6303" t="n">
        <v>1.8</v>
      </c>
      <c r="J6303" t="n">
        <v>0</v>
      </c>
      <c r="K6303" t="n">
        <v>0</v>
      </c>
      <c r="L6303" t="n">
        <v>0</v>
      </c>
      <c r="M6303" t="n">
        <v>0</v>
      </c>
      <c r="N6303" t="n">
        <v>0</v>
      </c>
      <c r="O6303" t="n">
        <v>0</v>
      </c>
      <c r="P6303" t="n">
        <v>0</v>
      </c>
      <c r="Q6303" t="n">
        <v>0</v>
      </c>
      <c r="R6303" t="n">
        <v>0</v>
      </c>
      <c r="S6303" t="n">
        <v>0</v>
      </c>
      <c r="T6303" t="n">
        <v>0</v>
      </c>
      <c r="U6303" t="n">
        <v>0</v>
      </c>
      <c r="V6303" s="2" t="inlineStr"/>
    </row>
    <row r="6304" ht="15" customHeight="1">
      <c r="A6304" t="inlineStr">
        <is>
          <t>A 25717-2026</t>
        </is>
      </c>
      <c r="B6304" t="inlineStr">
        <is>
          <t>avverkningsanmälan</t>
        </is>
      </c>
      <c r="C6304" t="inlineStr">
        <is>
          <t>Avverkning för att bevara och utveckla /försöksver</t>
        </is>
      </c>
      <c r="D6304" s="1" t="n">
        <v>46178</v>
      </c>
      <c r="E6304" s="1" t="n">
        <v>46323</v>
      </c>
      <c r="F6304" t="inlineStr">
        <is>
          <t>KALMAR LÄN</t>
        </is>
      </c>
      <c r="G6304" t="inlineStr">
        <is>
          <t>NYBRO</t>
        </is>
      </c>
      <c r="I6304" t="n">
        <v>0.5</v>
      </c>
      <c r="J6304" t="n">
        <v>0</v>
      </c>
      <c r="K6304" t="n">
        <v>0</v>
      </c>
      <c r="L6304" t="n">
        <v>0</v>
      </c>
      <c r="M6304" t="n">
        <v>0</v>
      </c>
      <c r="N6304" t="n">
        <v>0</v>
      </c>
      <c r="O6304" t="n">
        <v>0</v>
      </c>
      <c r="P6304" t="n">
        <v>0</v>
      </c>
      <c r="Q6304" t="n">
        <v>0</v>
      </c>
      <c r="R6304" t="n">
        <v>0</v>
      </c>
      <c r="S6304" t="n">
        <v>0</v>
      </c>
      <c r="T6304" t="n">
        <v>0</v>
      </c>
      <c r="U6304" t="n">
        <v>0</v>
      </c>
      <c r="V6304" s="2" t="inlineStr"/>
    </row>
    <row r="6305" ht="15" customHeight="1">
      <c r="A6305" t="inlineStr">
        <is>
          <t>A 26151-2026</t>
        </is>
      </c>
      <c r="B6305" t="inlineStr">
        <is>
          <t>avverkningsanmälan</t>
        </is>
      </c>
      <c r="C6305" t="inlineStr">
        <is>
          <t>Föryngringsavverkning</t>
        </is>
      </c>
      <c r="D6305" s="1" t="n">
        <v>46181</v>
      </c>
      <c r="E6305" s="1" t="n">
        <v>46323</v>
      </c>
      <c r="F6305" t="inlineStr">
        <is>
          <t>KALMAR LÄN</t>
        </is>
      </c>
      <c r="G6305" t="inlineStr">
        <is>
          <t>HÖGSBY</t>
        </is>
      </c>
      <c r="I6305" t="n">
        <v>7.3</v>
      </c>
      <c r="J6305" t="n">
        <v>0</v>
      </c>
      <c r="K6305" t="n">
        <v>0</v>
      </c>
      <c r="L6305" t="n">
        <v>0</v>
      </c>
      <c r="M6305" t="n">
        <v>0</v>
      </c>
      <c r="N6305" t="n">
        <v>0</v>
      </c>
      <c r="O6305" t="n">
        <v>0</v>
      </c>
      <c r="P6305" t="n">
        <v>0</v>
      </c>
      <c r="Q6305" t="n">
        <v>0</v>
      </c>
      <c r="R6305" t="n">
        <v>0</v>
      </c>
      <c r="S6305" t="n">
        <v>0</v>
      </c>
      <c r="T6305" t="n">
        <v>0</v>
      </c>
      <c r="U6305" t="n">
        <v>0</v>
      </c>
      <c r="V6305" s="2" t="inlineStr"/>
    </row>
    <row r="6306" ht="15" customHeight="1">
      <c r="A6306" t="inlineStr">
        <is>
          <t>A 25714-2026</t>
        </is>
      </c>
      <c r="B6306" t="inlineStr">
        <is>
          <t>avverkningsanmälan</t>
        </is>
      </c>
      <c r="C6306" t="inlineStr">
        <is>
          <t>Avverkning för att bevara och utveckla /försöksver</t>
        </is>
      </c>
      <c r="D6306" s="1" t="n">
        <v>46178</v>
      </c>
      <c r="E6306" s="1" t="n">
        <v>46323</v>
      </c>
      <c r="F6306" t="inlineStr">
        <is>
          <t>KALMAR LÄN</t>
        </is>
      </c>
      <c r="G6306" t="inlineStr">
        <is>
          <t>NYBRO</t>
        </is>
      </c>
      <c r="I6306" t="n">
        <v>1.4</v>
      </c>
      <c r="J6306" t="n">
        <v>0</v>
      </c>
      <c r="K6306" t="n">
        <v>0</v>
      </c>
      <c r="L6306" t="n">
        <v>0</v>
      </c>
      <c r="M6306" t="n">
        <v>0</v>
      </c>
      <c r="N6306" t="n">
        <v>0</v>
      </c>
      <c r="O6306" t="n">
        <v>0</v>
      </c>
      <c r="P6306" t="n">
        <v>0</v>
      </c>
      <c r="Q6306" t="n">
        <v>0</v>
      </c>
      <c r="R6306" t="n">
        <v>0</v>
      </c>
      <c r="S6306" t="n">
        <v>0</v>
      </c>
      <c r="T6306" t="n">
        <v>0</v>
      </c>
      <c r="U6306" t="n">
        <v>0</v>
      </c>
      <c r="V6306" s="2" t="inlineStr"/>
    </row>
    <row r="6307" ht="15" customHeight="1">
      <c r="A6307" t="inlineStr">
        <is>
          <t>A 26026-2026</t>
        </is>
      </c>
      <c r="B6307" t="inlineStr">
        <is>
          <t>avverkningsanmälan</t>
        </is>
      </c>
      <c r="C6307" t="inlineStr">
        <is>
          <t>Föryngringsavverkning</t>
        </is>
      </c>
      <c r="D6307" s="1" t="n">
        <v>46181</v>
      </c>
      <c r="E6307" s="1" t="n">
        <v>46323</v>
      </c>
      <c r="F6307" t="inlineStr">
        <is>
          <t>KALMAR LÄN</t>
        </is>
      </c>
      <c r="G6307" t="inlineStr">
        <is>
          <t>OSKARSHAMN</t>
        </is>
      </c>
      <c r="I6307" t="n">
        <v>2.5</v>
      </c>
      <c r="J6307" t="n">
        <v>0</v>
      </c>
      <c r="K6307" t="n">
        <v>0</v>
      </c>
      <c r="L6307" t="n">
        <v>0</v>
      </c>
      <c r="M6307" t="n">
        <v>0</v>
      </c>
      <c r="N6307" t="n">
        <v>0</v>
      </c>
      <c r="O6307" t="n">
        <v>0</v>
      </c>
      <c r="P6307" t="n">
        <v>0</v>
      </c>
      <c r="Q6307" t="n">
        <v>0</v>
      </c>
      <c r="R6307" t="n">
        <v>0</v>
      </c>
      <c r="S6307" t="n">
        <v>0</v>
      </c>
      <c r="T6307" t="n">
        <v>0</v>
      </c>
      <c r="U6307" t="n">
        <v>0</v>
      </c>
      <c r="V6307" s="2" t="inlineStr"/>
    </row>
    <row r="6308" ht="15" customHeight="1">
      <c r="A6308" t="inlineStr">
        <is>
          <t>A 27138-2026</t>
        </is>
      </c>
      <c r="B6308" t="inlineStr">
        <is>
          <t>avverkningsanmälan</t>
        </is>
      </c>
      <c r="C6308" t="inlineStr">
        <is>
          <t>Föryngringsavverkning</t>
        </is>
      </c>
      <c r="D6308" s="1" t="n">
        <v>46184</v>
      </c>
      <c r="E6308" s="1" t="n">
        <v>46323</v>
      </c>
      <c r="F6308" t="inlineStr">
        <is>
          <t>KALMAR LÄN</t>
        </is>
      </c>
      <c r="G6308" t="inlineStr">
        <is>
          <t>NYBRO</t>
        </is>
      </c>
      <c r="I6308" t="n">
        <v>15.9</v>
      </c>
      <c r="J6308" t="n">
        <v>0</v>
      </c>
      <c r="K6308" t="n">
        <v>0</v>
      </c>
      <c r="L6308" t="n">
        <v>0</v>
      </c>
      <c r="M6308" t="n">
        <v>0</v>
      </c>
      <c r="N6308" t="n">
        <v>0</v>
      </c>
      <c r="O6308" t="n">
        <v>0</v>
      </c>
      <c r="P6308" t="n">
        <v>0</v>
      </c>
      <c r="Q6308" t="n">
        <v>0</v>
      </c>
      <c r="R6308" t="n">
        <v>0</v>
      </c>
      <c r="S6308" t="n">
        <v>0</v>
      </c>
      <c r="T6308" t="n">
        <v>0</v>
      </c>
      <c r="U6308" t="n">
        <v>0</v>
      </c>
      <c r="V6308" s="2" t="inlineStr"/>
    </row>
    <row r="6309" ht="15" customHeight="1">
      <c r="A6309" t="inlineStr">
        <is>
          <t>A 27115-2026</t>
        </is>
      </c>
      <c r="B6309" t="inlineStr">
        <is>
          <t>avverkningsanmälan</t>
        </is>
      </c>
      <c r="C6309" t="inlineStr">
        <is>
          <t>Föryngringsavverkning</t>
        </is>
      </c>
      <c r="D6309" s="1" t="n">
        <v>46184</v>
      </c>
      <c r="E6309" s="1" t="n">
        <v>46323</v>
      </c>
      <c r="F6309" t="inlineStr">
        <is>
          <t>KALMAR LÄN</t>
        </is>
      </c>
      <c r="G6309" t="inlineStr">
        <is>
          <t>NYBRO</t>
        </is>
      </c>
      <c r="I6309" t="n">
        <v>4.8</v>
      </c>
      <c r="J6309" t="n">
        <v>0</v>
      </c>
      <c r="K6309" t="n">
        <v>0</v>
      </c>
      <c r="L6309" t="n">
        <v>0</v>
      </c>
      <c r="M6309" t="n">
        <v>0</v>
      </c>
      <c r="N6309" t="n">
        <v>0</v>
      </c>
      <c r="O6309" t="n">
        <v>0</v>
      </c>
      <c r="P6309" t="n">
        <v>0</v>
      </c>
      <c r="Q6309" t="n">
        <v>0</v>
      </c>
      <c r="R6309" t="n">
        <v>0</v>
      </c>
      <c r="S6309" t="n">
        <v>0</v>
      </c>
      <c r="T6309" t="n">
        <v>0</v>
      </c>
      <c r="U6309" t="n">
        <v>0</v>
      </c>
      <c r="V6309" s="2" t="inlineStr"/>
    </row>
    <row r="6310" ht="15" customHeight="1">
      <c r="A6310" t="inlineStr">
        <is>
          <t>A 27293-2026</t>
        </is>
      </c>
      <c r="B6310" t="inlineStr">
        <is>
          <t>avverkningsanmälan</t>
        </is>
      </c>
      <c r="C6310" t="inlineStr">
        <is>
          <t>Föryngringsavverkning</t>
        </is>
      </c>
      <c r="D6310" s="1" t="n">
        <v>46184</v>
      </c>
      <c r="E6310" s="1" t="n">
        <v>46323</v>
      </c>
      <c r="F6310" t="inlineStr">
        <is>
          <t>KALMAR LÄN</t>
        </is>
      </c>
      <c r="G6310" t="inlineStr">
        <is>
          <t>HULTSFRED</t>
        </is>
      </c>
      <c r="I6310" t="n">
        <v>6.3</v>
      </c>
      <c r="J6310" t="n">
        <v>0</v>
      </c>
      <c r="K6310" t="n">
        <v>0</v>
      </c>
      <c r="L6310" t="n">
        <v>0</v>
      </c>
      <c r="M6310" t="n">
        <v>0</v>
      </c>
      <c r="N6310" t="n">
        <v>0</v>
      </c>
      <c r="O6310" t="n">
        <v>0</v>
      </c>
      <c r="P6310" t="n">
        <v>0</v>
      </c>
      <c r="Q6310" t="n">
        <v>0</v>
      </c>
      <c r="R6310" t="n">
        <v>0</v>
      </c>
      <c r="S6310" t="n">
        <v>0</v>
      </c>
      <c r="T6310" t="n">
        <v>0</v>
      </c>
      <c r="U6310" t="n">
        <v>0</v>
      </c>
      <c r="V6310" s="2" t="inlineStr"/>
    </row>
    <row r="6311" ht="15" customHeight="1">
      <c r="A6311" t="inlineStr">
        <is>
          <t>A 26329-2026</t>
        </is>
      </c>
      <c r="B6311" t="inlineStr">
        <is>
          <t>avverkningsanmälan</t>
        </is>
      </c>
      <c r="C6311" t="inlineStr">
        <is>
          <t>Föryngringsavverkning</t>
        </is>
      </c>
      <c r="D6311" s="1" t="n">
        <v>46182</v>
      </c>
      <c r="E6311" s="1" t="n">
        <v>46323</v>
      </c>
      <c r="F6311" t="inlineStr">
        <is>
          <t>KALMAR LÄN</t>
        </is>
      </c>
      <c r="G6311" t="inlineStr">
        <is>
          <t>HULTSFRED</t>
        </is>
      </c>
      <c r="I6311" t="n">
        <v>1.1</v>
      </c>
      <c r="J6311" t="n">
        <v>0</v>
      </c>
      <c r="K6311" t="n">
        <v>0</v>
      </c>
      <c r="L6311" t="n">
        <v>0</v>
      </c>
      <c r="M6311" t="n">
        <v>0</v>
      </c>
      <c r="N6311" t="n">
        <v>0</v>
      </c>
      <c r="O6311" t="n">
        <v>0</v>
      </c>
      <c r="P6311" t="n">
        <v>0</v>
      </c>
      <c r="Q6311" t="n">
        <v>0</v>
      </c>
      <c r="R6311" t="n">
        <v>0</v>
      </c>
      <c r="S6311" t="n">
        <v>0</v>
      </c>
      <c r="T6311" t="n">
        <v>0</v>
      </c>
      <c r="U6311" t="n">
        <v>0</v>
      </c>
      <c r="V6311" s="2" t="inlineStr"/>
    </row>
    <row r="6312" ht="15" customHeight="1">
      <c r="A6312" t="inlineStr">
        <is>
          <t>A 27309-2026</t>
        </is>
      </c>
      <c r="B6312" t="inlineStr">
        <is>
          <t>avverkningsanmälan</t>
        </is>
      </c>
      <c r="C6312" t="inlineStr">
        <is>
          <t>Föryngringsavverkning</t>
        </is>
      </c>
      <c r="D6312" s="1" t="n">
        <v>46184</v>
      </c>
      <c r="E6312" s="1" t="n">
        <v>46323</v>
      </c>
      <c r="F6312" t="inlineStr">
        <is>
          <t>KALMAR LÄN</t>
        </is>
      </c>
      <c r="G6312" t="inlineStr">
        <is>
          <t>HULTSFRED</t>
        </is>
      </c>
      <c r="I6312" t="n">
        <v>0.8</v>
      </c>
      <c r="J6312" t="n">
        <v>0</v>
      </c>
      <c r="K6312" t="n">
        <v>0</v>
      </c>
      <c r="L6312" t="n">
        <v>0</v>
      </c>
      <c r="M6312" t="n">
        <v>0</v>
      </c>
      <c r="N6312" t="n">
        <v>0</v>
      </c>
      <c r="O6312" t="n">
        <v>0</v>
      </c>
      <c r="P6312" t="n">
        <v>0</v>
      </c>
      <c r="Q6312" t="n">
        <v>0</v>
      </c>
      <c r="R6312" t="n">
        <v>0</v>
      </c>
      <c r="S6312" t="n">
        <v>0</v>
      </c>
      <c r="T6312" t="n">
        <v>0</v>
      </c>
      <c r="U6312" t="n">
        <v>0</v>
      </c>
      <c r="V6312" s="2" t="inlineStr"/>
    </row>
    <row r="6313" ht="15" customHeight="1">
      <c r="A6313" t="inlineStr">
        <is>
          <t>A 26461-2026</t>
        </is>
      </c>
      <c r="B6313" t="inlineStr">
        <is>
          <t>avverkningsanmälan</t>
        </is>
      </c>
      <c r="C6313" t="inlineStr">
        <is>
          <t>Föryngringsavverkning</t>
        </is>
      </c>
      <c r="D6313" s="1" t="n">
        <v>46183</v>
      </c>
      <c r="E6313" s="1" t="n">
        <v>46323</v>
      </c>
      <c r="F6313" t="inlineStr">
        <is>
          <t>KALMAR LÄN</t>
        </is>
      </c>
      <c r="G6313" t="inlineStr">
        <is>
          <t>HULTSFRED</t>
        </is>
      </c>
      <c r="I6313" t="n">
        <v>1.3</v>
      </c>
      <c r="J6313" t="n">
        <v>0</v>
      </c>
      <c r="K6313" t="n">
        <v>0</v>
      </c>
      <c r="L6313" t="n">
        <v>0</v>
      </c>
      <c r="M6313" t="n">
        <v>0</v>
      </c>
      <c r="N6313" t="n">
        <v>0</v>
      </c>
      <c r="O6313" t="n">
        <v>0</v>
      </c>
      <c r="P6313" t="n">
        <v>0</v>
      </c>
      <c r="Q6313" t="n">
        <v>0</v>
      </c>
      <c r="R6313" t="n">
        <v>0</v>
      </c>
      <c r="S6313" t="n">
        <v>0</v>
      </c>
      <c r="T6313" t="n">
        <v>0</v>
      </c>
      <c r="U6313" t="n">
        <v>0</v>
      </c>
      <c r="V6313" s="2" t="inlineStr"/>
    </row>
    <row r="6314" ht="15" customHeight="1">
      <c r="A6314" t="inlineStr">
        <is>
          <t>A 26462-2026</t>
        </is>
      </c>
      <c r="B6314" t="inlineStr">
        <is>
          <t>avverkningsanmälan</t>
        </is>
      </c>
      <c r="C6314" t="inlineStr">
        <is>
          <t>Föryngringsavverkning</t>
        </is>
      </c>
      <c r="D6314" s="1" t="n">
        <v>46183</v>
      </c>
      <c r="E6314" s="1" t="n">
        <v>46323</v>
      </c>
      <c r="F6314" t="inlineStr">
        <is>
          <t>KALMAR LÄN</t>
        </is>
      </c>
      <c r="G6314" t="inlineStr">
        <is>
          <t>VIMMERBY</t>
        </is>
      </c>
      <c r="I6314" t="n">
        <v>1.4</v>
      </c>
      <c r="J6314" t="n">
        <v>0</v>
      </c>
      <c r="K6314" t="n">
        <v>0</v>
      </c>
      <c r="L6314" t="n">
        <v>0</v>
      </c>
      <c r="M6314" t="n">
        <v>0</v>
      </c>
      <c r="N6314" t="n">
        <v>0</v>
      </c>
      <c r="O6314" t="n">
        <v>0</v>
      </c>
      <c r="P6314" t="n">
        <v>0</v>
      </c>
      <c r="Q6314" t="n">
        <v>0</v>
      </c>
      <c r="R6314" t="n">
        <v>0</v>
      </c>
      <c r="S6314" t="n">
        <v>0</v>
      </c>
      <c r="T6314" t="n">
        <v>0</v>
      </c>
      <c r="U6314" t="n">
        <v>0</v>
      </c>
      <c r="V6314" s="2" t="inlineStr"/>
    </row>
    <row r="6315" ht="15" customHeight="1">
      <c r="A6315" t="inlineStr">
        <is>
          <t>A 26488-2026</t>
        </is>
      </c>
      <c r="B6315" t="inlineStr">
        <is>
          <t>avverkningsanmälan</t>
        </is>
      </c>
      <c r="C6315" t="inlineStr">
        <is>
          <t>Avverkning för annat ändamål</t>
        </is>
      </c>
      <c r="D6315" s="1" t="n">
        <v>46183</v>
      </c>
      <c r="E6315" s="1" t="n">
        <v>46323</v>
      </c>
      <c r="F6315" t="inlineStr">
        <is>
          <t>KALMAR LÄN</t>
        </is>
      </c>
      <c r="G6315" t="inlineStr">
        <is>
          <t>HULTSFRED</t>
        </is>
      </c>
      <c r="I6315" t="n">
        <v>1.5</v>
      </c>
      <c r="J6315" t="n">
        <v>0</v>
      </c>
      <c r="K6315" t="n">
        <v>0</v>
      </c>
      <c r="L6315" t="n">
        <v>0</v>
      </c>
      <c r="M6315" t="n">
        <v>0</v>
      </c>
      <c r="N6315" t="n">
        <v>0</v>
      </c>
      <c r="O6315" t="n">
        <v>0</v>
      </c>
      <c r="P6315" t="n">
        <v>0</v>
      </c>
      <c r="Q6315" t="n">
        <v>0</v>
      </c>
      <c r="R6315" t="n">
        <v>0</v>
      </c>
      <c r="S6315" t="n">
        <v>0</v>
      </c>
      <c r="T6315" t="n">
        <v>0</v>
      </c>
      <c r="U6315" t="n">
        <v>0</v>
      </c>
      <c r="V6315" s="2" t="inlineStr"/>
    </row>
    <row r="6316" ht="15" customHeight="1">
      <c r="A6316" t="inlineStr">
        <is>
          <t>A 26502-2026</t>
        </is>
      </c>
      <c r="B6316" t="inlineStr">
        <is>
          <t>avverkningsanmälan</t>
        </is>
      </c>
      <c r="C6316" t="inlineStr">
        <is>
          <t>Föryngringsavverkning</t>
        </is>
      </c>
      <c r="D6316" s="1" t="n">
        <v>46183</v>
      </c>
      <c r="E6316" s="1" t="n">
        <v>46323</v>
      </c>
      <c r="F6316" t="inlineStr">
        <is>
          <t>KALMAR LÄN</t>
        </is>
      </c>
      <c r="G6316" t="inlineStr">
        <is>
          <t>EMMABODA</t>
        </is>
      </c>
      <c r="I6316" t="n">
        <v>6.1</v>
      </c>
      <c r="J6316" t="n">
        <v>0</v>
      </c>
      <c r="K6316" t="n">
        <v>0</v>
      </c>
      <c r="L6316" t="n">
        <v>0</v>
      </c>
      <c r="M6316" t="n">
        <v>0</v>
      </c>
      <c r="N6316" t="n">
        <v>0</v>
      </c>
      <c r="O6316" t="n">
        <v>0</v>
      </c>
      <c r="P6316" t="n">
        <v>0</v>
      </c>
      <c r="Q6316" t="n">
        <v>0</v>
      </c>
      <c r="R6316" t="n">
        <v>0</v>
      </c>
      <c r="S6316" t="n">
        <v>0</v>
      </c>
      <c r="T6316" t="n">
        <v>0</v>
      </c>
      <c r="U6316" t="n">
        <v>0</v>
      </c>
      <c r="V6316" s="2" t="inlineStr"/>
    </row>
    <row r="6317" ht="15" customHeight="1">
      <c r="A6317" t="inlineStr">
        <is>
          <t>A 26517-2026</t>
        </is>
      </c>
      <c r="B6317" t="inlineStr">
        <is>
          <t>avverkningsanmälan</t>
        </is>
      </c>
      <c r="C6317" t="inlineStr">
        <is>
          <t>Föryngringsavverkning</t>
        </is>
      </c>
      <c r="D6317" s="1" t="n">
        <v>46183</v>
      </c>
      <c r="E6317" s="1" t="n">
        <v>46323</v>
      </c>
      <c r="F6317" t="inlineStr">
        <is>
          <t>KALMAR LÄN</t>
        </is>
      </c>
      <c r="G6317" t="inlineStr">
        <is>
          <t>HULTSFRED</t>
        </is>
      </c>
      <c r="I6317" t="n">
        <v>0.5</v>
      </c>
      <c r="J6317" t="n">
        <v>0</v>
      </c>
      <c r="K6317" t="n">
        <v>0</v>
      </c>
      <c r="L6317" t="n">
        <v>0</v>
      </c>
      <c r="M6317" t="n">
        <v>0</v>
      </c>
      <c r="N6317" t="n">
        <v>0</v>
      </c>
      <c r="O6317" t="n">
        <v>0</v>
      </c>
      <c r="P6317" t="n">
        <v>0</v>
      </c>
      <c r="Q6317" t="n">
        <v>0</v>
      </c>
      <c r="R6317" t="n">
        <v>0</v>
      </c>
      <c r="S6317" t="n">
        <v>0</v>
      </c>
      <c r="T6317" t="n">
        <v>0</v>
      </c>
      <c r="U6317" t="n">
        <v>0</v>
      </c>
      <c r="V6317" s="2" t="inlineStr"/>
    </row>
    <row r="6318" ht="15" customHeight="1">
      <c r="A6318" t="inlineStr">
        <is>
          <t>A 27365-2026</t>
        </is>
      </c>
      <c r="B6318" t="inlineStr">
        <is>
          <t>avverkningsanmälan</t>
        </is>
      </c>
      <c r="C6318" t="inlineStr">
        <is>
          <t>Föryngringsavverkning</t>
        </is>
      </c>
      <c r="D6318" s="1" t="n">
        <v>46184</v>
      </c>
      <c r="E6318" s="1" t="n">
        <v>46323</v>
      </c>
      <c r="F6318" t="inlineStr">
        <is>
          <t>KALMAR LÄN</t>
        </is>
      </c>
      <c r="G6318" t="inlineStr">
        <is>
          <t>HÖGSBY</t>
        </is>
      </c>
      <c r="I6318" t="n">
        <v>2</v>
      </c>
      <c r="J6318" t="n">
        <v>0</v>
      </c>
      <c r="K6318" t="n">
        <v>0</v>
      </c>
      <c r="L6318" t="n">
        <v>0</v>
      </c>
      <c r="M6318" t="n">
        <v>0</v>
      </c>
      <c r="N6318" t="n">
        <v>0</v>
      </c>
      <c r="O6318" t="n">
        <v>0</v>
      </c>
      <c r="P6318" t="n">
        <v>0</v>
      </c>
      <c r="Q6318" t="n">
        <v>0</v>
      </c>
      <c r="R6318" t="n">
        <v>0</v>
      </c>
      <c r="S6318" t="n">
        <v>0</v>
      </c>
      <c r="T6318" t="n">
        <v>0</v>
      </c>
      <c r="U6318" t="n">
        <v>0</v>
      </c>
      <c r="V6318" s="2" t="inlineStr"/>
    </row>
    <row r="6319" ht="15" customHeight="1">
      <c r="A6319" t="inlineStr">
        <is>
          <t>A 27367-2026</t>
        </is>
      </c>
      <c r="B6319" t="inlineStr">
        <is>
          <t>avverkningsanmälan</t>
        </is>
      </c>
      <c r="C6319" t="inlineStr">
        <is>
          <t>Föryngringsavverkning</t>
        </is>
      </c>
      <c r="D6319" s="1" t="n">
        <v>46184</v>
      </c>
      <c r="E6319" s="1" t="n">
        <v>46323</v>
      </c>
      <c r="F6319" t="inlineStr">
        <is>
          <t>KALMAR LÄN</t>
        </is>
      </c>
      <c r="G6319" t="inlineStr">
        <is>
          <t>HÖGSBY</t>
        </is>
      </c>
      <c r="I6319" t="n">
        <v>4.1</v>
      </c>
      <c r="J6319" t="n">
        <v>0</v>
      </c>
      <c r="K6319" t="n">
        <v>0</v>
      </c>
      <c r="L6319" t="n">
        <v>0</v>
      </c>
      <c r="M6319" t="n">
        <v>0</v>
      </c>
      <c r="N6319" t="n">
        <v>0</v>
      </c>
      <c r="O6319" t="n">
        <v>0</v>
      </c>
      <c r="P6319" t="n">
        <v>0</v>
      </c>
      <c r="Q6319" t="n">
        <v>0</v>
      </c>
      <c r="R6319" t="n">
        <v>0</v>
      </c>
      <c r="S6319" t="n">
        <v>0</v>
      </c>
      <c r="T6319" t="n">
        <v>0</v>
      </c>
      <c r="U6319" t="n">
        <v>0</v>
      </c>
      <c r="V6319" s="2" t="inlineStr"/>
    </row>
    <row r="6320" ht="15" customHeight="1">
      <c r="A6320" t="inlineStr">
        <is>
          <t>A 26193-2026</t>
        </is>
      </c>
      <c r="B6320" t="inlineStr">
        <is>
          <t>avverkningsanmälan</t>
        </is>
      </c>
      <c r="C6320" t="inlineStr">
        <is>
          <t>Föryngringsavverkning</t>
        </is>
      </c>
      <c r="D6320" s="1" t="n">
        <v>46182</v>
      </c>
      <c r="E6320" s="1" t="n">
        <v>46323</v>
      </c>
      <c r="F6320" t="inlineStr">
        <is>
          <t>KALMAR LÄN</t>
        </is>
      </c>
      <c r="G6320" t="inlineStr">
        <is>
          <t>EMMABODA</t>
        </is>
      </c>
      <c r="I6320" t="n">
        <v>2.7</v>
      </c>
      <c r="J6320" t="n">
        <v>0</v>
      </c>
      <c r="K6320" t="n">
        <v>0</v>
      </c>
      <c r="L6320" t="n">
        <v>0</v>
      </c>
      <c r="M6320" t="n">
        <v>0</v>
      </c>
      <c r="N6320" t="n">
        <v>0</v>
      </c>
      <c r="O6320" t="n">
        <v>0</v>
      </c>
      <c r="P6320" t="n">
        <v>0</v>
      </c>
      <c r="Q6320" t="n">
        <v>0</v>
      </c>
      <c r="R6320" t="n">
        <v>0</v>
      </c>
      <c r="S6320" t="n">
        <v>0</v>
      </c>
      <c r="T6320" t="n">
        <v>0</v>
      </c>
      <c r="U6320" t="n">
        <v>0</v>
      </c>
      <c r="V6320" s="2" t="inlineStr"/>
    </row>
    <row r="6321" ht="15" customHeight="1">
      <c r="A6321" t="inlineStr">
        <is>
          <t>A 26199-2026</t>
        </is>
      </c>
      <c r="B6321" t="inlineStr">
        <is>
          <t>avverkningsanmälan</t>
        </is>
      </c>
      <c r="C6321" t="inlineStr">
        <is>
          <t>Föryngringsavverkning</t>
        </is>
      </c>
      <c r="D6321" s="1" t="n">
        <v>46182</v>
      </c>
      <c r="E6321" s="1" t="n">
        <v>46323</v>
      </c>
      <c r="F6321" t="inlineStr">
        <is>
          <t>KALMAR LÄN</t>
        </is>
      </c>
      <c r="G6321" t="inlineStr">
        <is>
          <t>EMMABODA</t>
        </is>
      </c>
      <c r="I6321" t="n">
        <v>6.3</v>
      </c>
      <c r="J6321" t="n">
        <v>0</v>
      </c>
      <c r="K6321" t="n">
        <v>0</v>
      </c>
      <c r="L6321" t="n">
        <v>0</v>
      </c>
      <c r="M6321" t="n">
        <v>0</v>
      </c>
      <c r="N6321" t="n">
        <v>0</v>
      </c>
      <c r="O6321" t="n">
        <v>0</v>
      </c>
      <c r="P6321" t="n">
        <v>0</v>
      </c>
      <c r="Q6321" t="n">
        <v>0</v>
      </c>
      <c r="R6321" t="n">
        <v>0</v>
      </c>
      <c r="S6321" t="n">
        <v>0</v>
      </c>
      <c r="T6321" t="n">
        <v>0</v>
      </c>
      <c r="U6321" t="n">
        <v>0</v>
      </c>
      <c r="V6321" s="2" t="inlineStr"/>
    </row>
    <row r="6322" ht="15" customHeight="1">
      <c r="A6322" t="inlineStr">
        <is>
          <t>A 26309-2026</t>
        </is>
      </c>
      <c r="B6322" t="inlineStr">
        <is>
          <t>avverkningsanmälan</t>
        </is>
      </c>
      <c r="C6322" t="inlineStr">
        <is>
          <t>Avverkning för att bevara och utveckla /försöksver</t>
        </is>
      </c>
      <c r="D6322" s="1" t="n">
        <v>46182</v>
      </c>
      <c r="E6322" s="1" t="n">
        <v>46323</v>
      </c>
      <c r="F6322" t="inlineStr">
        <is>
          <t>KALMAR LÄN</t>
        </is>
      </c>
      <c r="G6322" t="inlineStr">
        <is>
          <t>HULTSFRED</t>
        </is>
      </c>
      <c r="I6322" t="n">
        <v>1.7</v>
      </c>
      <c r="J6322" t="n">
        <v>0</v>
      </c>
      <c r="K6322" t="n">
        <v>0</v>
      </c>
      <c r="L6322" t="n">
        <v>0</v>
      </c>
      <c r="M6322" t="n">
        <v>0</v>
      </c>
      <c r="N6322" t="n">
        <v>0</v>
      </c>
      <c r="O6322" t="n">
        <v>0</v>
      </c>
      <c r="P6322" t="n">
        <v>0</v>
      </c>
      <c r="Q6322" t="n">
        <v>0</v>
      </c>
      <c r="R6322" t="n">
        <v>0</v>
      </c>
      <c r="S6322" t="n">
        <v>0</v>
      </c>
      <c r="T6322" t="n">
        <v>0</v>
      </c>
      <c r="U6322" t="n">
        <v>0</v>
      </c>
      <c r="V6322" s="2" t="inlineStr"/>
    </row>
    <row r="6323" ht="15" customHeight="1">
      <c r="A6323" t="inlineStr">
        <is>
          <t>A 27279-2026</t>
        </is>
      </c>
      <c r="B6323" t="inlineStr">
        <is>
          <t>avverkningsanmälan</t>
        </is>
      </c>
      <c r="C6323" t="inlineStr">
        <is>
          <t>Föryngringsavverkning</t>
        </is>
      </c>
      <c r="D6323" s="1" t="n">
        <v>46184</v>
      </c>
      <c r="E6323" s="1" t="n">
        <v>46323</v>
      </c>
      <c r="F6323" t="inlineStr">
        <is>
          <t>KALMAR LÄN</t>
        </is>
      </c>
      <c r="G6323" t="inlineStr">
        <is>
          <t>HULTSFRED</t>
        </is>
      </c>
      <c r="I6323" t="n">
        <v>4.2</v>
      </c>
      <c r="J6323" t="n">
        <v>0</v>
      </c>
      <c r="K6323" t="n">
        <v>0</v>
      </c>
      <c r="L6323" t="n">
        <v>0</v>
      </c>
      <c r="M6323" t="n">
        <v>0</v>
      </c>
      <c r="N6323" t="n">
        <v>0</v>
      </c>
      <c r="O6323" t="n">
        <v>0</v>
      </c>
      <c r="P6323" t="n">
        <v>0</v>
      </c>
      <c r="Q6323" t="n">
        <v>0</v>
      </c>
      <c r="R6323" t="n">
        <v>0</v>
      </c>
      <c r="S6323" t="n">
        <v>0</v>
      </c>
      <c r="T6323" t="n">
        <v>0</v>
      </c>
      <c r="U6323" t="n">
        <v>0</v>
      </c>
      <c r="V6323" s="2" t="inlineStr"/>
    </row>
    <row r="6324" ht="15" customHeight="1">
      <c r="A6324" t="inlineStr">
        <is>
          <t>A 26197-2026</t>
        </is>
      </c>
      <c r="B6324" t="inlineStr">
        <is>
          <t>avverkningsanmälan</t>
        </is>
      </c>
      <c r="C6324" t="inlineStr">
        <is>
          <t>Föryngringsavverkning</t>
        </is>
      </c>
      <c r="D6324" s="1" t="n">
        <v>46182</v>
      </c>
      <c r="E6324" s="1" t="n">
        <v>46323</v>
      </c>
      <c r="F6324" t="inlineStr">
        <is>
          <t>KALMAR LÄN</t>
        </is>
      </c>
      <c r="G6324" t="inlineStr">
        <is>
          <t>OSKARSHAMN</t>
        </is>
      </c>
      <c r="I6324" t="n">
        <v>0.8</v>
      </c>
      <c r="J6324" t="n">
        <v>0</v>
      </c>
      <c r="K6324" t="n">
        <v>0</v>
      </c>
      <c r="L6324" t="n">
        <v>0</v>
      </c>
      <c r="M6324" t="n">
        <v>0</v>
      </c>
      <c r="N6324" t="n">
        <v>0</v>
      </c>
      <c r="O6324" t="n">
        <v>0</v>
      </c>
      <c r="P6324" t="n">
        <v>0</v>
      </c>
      <c r="Q6324" t="n">
        <v>0</v>
      </c>
      <c r="R6324" t="n">
        <v>0</v>
      </c>
      <c r="S6324" t="n">
        <v>0</v>
      </c>
      <c r="T6324" t="n">
        <v>0</v>
      </c>
      <c r="U6324" t="n">
        <v>0</v>
      </c>
      <c r="V6324" s="2" t="inlineStr"/>
    </row>
    <row r="6325" ht="15" customHeight="1">
      <c r="A6325" t="inlineStr">
        <is>
          <t>A 26208-2026</t>
        </is>
      </c>
      <c r="B6325" t="inlineStr">
        <is>
          <t>avverkningsanmälan</t>
        </is>
      </c>
      <c r="C6325" t="inlineStr">
        <is>
          <t>Föryngringsavverkning</t>
        </is>
      </c>
      <c r="D6325" s="1" t="n">
        <v>46182</v>
      </c>
      <c r="E6325" s="1" t="n">
        <v>46323</v>
      </c>
      <c r="F6325" t="inlineStr">
        <is>
          <t>KALMAR LÄN</t>
        </is>
      </c>
      <c r="G6325" t="inlineStr">
        <is>
          <t>NYBRO</t>
        </is>
      </c>
      <c r="H6325" t="inlineStr">
        <is>
          <t>Kommuner</t>
        </is>
      </c>
      <c r="I6325" t="n">
        <v>2.4</v>
      </c>
      <c r="J6325" t="n">
        <v>0</v>
      </c>
      <c r="K6325" t="n">
        <v>0</v>
      </c>
      <c r="L6325" t="n">
        <v>0</v>
      </c>
      <c r="M6325" t="n">
        <v>0</v>
      </c>
      <c r="N6325" t="n">
        <v>0</v>
      </c>
      <c r="O6325" t="n">
        <v>0</v>
      </c>
      <c r="P6325" t="n">
        <v>0</v>
      </c>
      <c r="Q6325" t="n">
        <v>0</v>
      </c>
      <c r="R6325" t="n">
        <v>0</v>
      </c>
      <c r="S6325" t="n">
        <v>0</v>
      </c>
      <c r="T6325" t="n">
        <v>0</v>
      </c>
      <c r="U6325" t="n">
        <v>0</v>
      </c>
      <c r="V6325" s="2" t="inlineStr"/>
    </row>
    <row r="6326" ht="15" customHeight="1">
      <c r="A6326" t="inlineStr">
        <is>
          <t>A 26476-2026</t>
        </is>
      </c>
      <c r="B6326" t="inlineStr">
        <is>
          <t>avverkningsanmälan</t>
        </is>
      </c>
      <c r="C6326" t="inlineStr">
        <is>
          <t>Föryngringsavverkning</t>
        </is>
      </c>
      <c r="D6326" s="1" t="n">
        <v>46183</v>
      </c>
      <c r="E6326" s="1" t="n">
        <v>46323</v>
      </c>
      <c r="F6326" t="inlineStr">
        <is>
          <t>KALMAR LÄN</t>
        </is>
      </c>
      <c r="G6326" t="inlineStr">
        <is>
          <t>HULTSFRED</t>
        </is>
      </c>
      <c r="I6326" t="n">
        <v>1.1</v>
      </c>
      <c r="J6326" t="n">
        <v>0</v>
      </c>
      <c r="K6326" t="n">
        <v>0</v>
      </c>
      <c r="L6326" t="n">
        <v>0</v>
      </c>
      <c r="M6326" t="n">
        <v>0</v>
      </c>
      <c r="N6326" t="n">
        <v>0</v>
      </c>
      <c r="O6326" t="n">
        <v>0</v>
      </c>
      <c r="P6326" t="n">
        <v>0</v>
      </c>
      <c r="Q6326" t="n">
        <v>0</v>
      </c>
      <c r="R6326" t="n">
        <v>0</v>
      </c>
      <c r="S6326" t="n">
        <v>0</v>
      </c>
      <c r="T6326" t="n">
        <v>0</v>
      </c>
      <c r="U6326" t="n">
        <v>0</v>
      </c>
      <c r="V6326" s="2" t="inlineStr"/>
    </row>
    <row r="6327" ht="15" customHeight="1">
      <c r="A6327" t="inlineStr">
        <is>
          <t>A 26339-2026</t>
        </is>
      </c>
      <c r="B6327" t="inlineStr">
        <is>
          <t>avverkningsanmälan</t>
        </is>
      </c>
      <c r="C6327" t="inlineStr">
        <is>
          <t>Föryngringsavverkning</t>
        </is>
      </c>
      <c r="D6327" s="1" t="n">
        <v>46182</v>
      </c>
      <c r="E6327" s="1" t="n">
        <v>46323</v>
      </c>
      <c r="F6327" t="inlineStr">
        <is>
          <t>KALMAR LÄN</t>
        </is>
      </c>
      <c r="G6327" t="inlineStr">
        <is>
          <t>HULTSFRED</t>
        </is>
      </c>
      <c r="I6327" t="n">
        <v>0.5</v>
      </c>
      <c r="J6327" t="n">
        <v>0</v>
      </c>
      <c r="K6327" t="n">
        <v>0</v>
      </c>
      <c r="L6327" t="n">
        <v>0</v>
      </c>
      <c r="M6327" t="n">
        <v>0</v>
      </c>
      <c r="N6327" t="n">
        <v>0</v>
      </c>
      <c r="O6327" t="n">
        <v>0</v>
      </c>
      <c r="P6327" t="n">
        <v>0</v>
      </c>
      <c r="Q6327" t="n">
        <v>0</v>
      </c>
      <c r="R6327" t="n">
        <v>0</v>
      </c>
      <c r="S6327" t="n">
        <v>0</v>
      </c>
      <c r="T6327" t="n">
        <v>0</v>
      </c>
      <c r="U6327" t="n">
        <v>0</v>
      </c>
      <c r="V6327" s="2" t="inlineStr"/>
    </row>
    <row r="6328" ht="15" customHeight="1">
      <c r="A6328" t="inlineStr">
        <is>
          <t>A 26757-2026</t>
        </is>
      </c>
      <c r="B6328" t="inlineStr">
        <is>
          <t>avverkningsanmälan</t>
        </is>
      </c>
      <c r="C6328" t="inlineStr">
        <is>
          <t>Föryngringsavverkning</t>
        </is>
      </c>
      <c r="D6328" s="1" t="n">
        <v>46184</v>
      </c>
      <c r="E6328" s="1" t="n">
        <v>46323</v>
      </c>
      <c r="F6328" t="inlineStr">
        <is>
          <t>KALMAR LÄN</t>
        </is>
      </c>
      <c r="G6328" t="inlineStr">
        <is>
          <t>HÖGSBY</t>
        </is>
      </c>
      <c r="H6328" t="inlineStr">
        <is>
          <t>Sveaskog</t>
        </is>
      </c>
      <c r="I6328" t="n">
        <v>1.4</v>
      </c>
      <c r="J6328" t="n">
        <v>0</v>
      </c>
      <c r="K6328" t="n">
        <v>0</v>
      </c>
      <c r="L6328" t="n">
        <v>0</v>
      </c>
      <c r="M6328" t="n">
        <v>0</v>
      </c>
      <c r="N6328" t="n">
        <v>0</v>
      </c>
      <c r="O6328" t="n">
        <v>0</v>
      </c>
      <c r="P6328" t="n">
        <v>0</v>
      </c>
      <c r="Q6328" t="n">
        <v>0</v>
      </c>
      <c r="R6328" t="n">
        <v>0</v>
      </c>
      <c r="S6328" t="n">
        <v>0</v>
      </c>
      <c r="T6328" t="n">
        <v>0</v>
      </c>
      <c r="U6328" t="n">
        <v>0</v>
      </c>
      <c r="V6328" s="2" t="inlineStr"/>
    </row>
    <row r="6329" ht="15" customHeight="1">
      <c r="A6329" t="inlineStr">
        <is>
          <t>A 26764-2026</t>
        </is>
      </c>
      <c r="B6329" t="inlineStr">
        <is>
          <t>avverkningsanmälan</t>
        </is>
      </c>
      <c r="C6329" t="inlineStr">
        <is>
          <t>Föryngringsavverkning</t>
        </is>
      </c>
      <c r="D6329" s="1" t="n">
        <v>46184</v>
      </c>
      <c r="E6329" s="1" t="n">
        <v>46323</v>
      </c>
      <c r="F6329" t="inlineStr">
        <is>
          <t>KALMAR LÄN</t>
        </is>
      </c>
      <c r="G6329" t="inlineStr">
        <is>
          <t>HÖGSBY</t>
        </is>
      </c>
      <c r="H6329" t="inlineStr">
        <is>
          <t>Sveaskog</t>
        </is>
      </c>
      <c r="I6329" t="n">
        <v>6.7</v>
      </c>
      <c r="J6329" t="n">
        <v>0</v>
      </c>
      <c r="K6329" t="n">
        <v>0</v>
      </c>
      <c r="L6329" t="n">
        <v>0</v>
      </c>
      <c r="M6329" t="n">
        <v>0</v>
      </c>
      <c r="N6329" t="n">
        <v>0</v>
      </c>
      <c r="O6329" t="n">
        <v>0</v>
      </c>
      <c r="P6329" t="n">
        <v>0</v>
      </c>
      <c r="Q6329" t="n">
        <v>0</v>
      </c>
      <c r="R6329" t="n">
        <v>0</v>
      </c>
      <c r="S6329" t="n">
        <v>0</v>
      </c>
      <c r="T6329" t="n">
        <v>0</v>
      </c>
      <c r="U6329" t="n">
        <v>0</v>
      </c>
      <c r="V6329" s="2" t="inlineStr"/>
    </row>
    <row r="6330" ht="15" customHeight="1">
      <c r="A6330" t="inlineStr">
        <is>
          <t>A 27016-2026</t>
        </is>
      </c>
      <c r="B6330" t="inlineStr">
        <is>
          <t>avverkningsanmälan</t>
        </is>
      </c>
      <c r="C6330" t="inlineStr">
        <is>
          <t>Föryngringsavverkning</t>
        </is>
      </c>
      <c r="D6330" s="1" t="n">
        <v>46185</v>
      </c>
      <c r="E6330" s="1" t="n">
        <v>46323</v>
      </c>
      <c r="F6330" t="inlineStr">
        <is>
          <t>KALMAR LÄN</t>
        </is>
      </c>
      <c r="G6330" t="inlineStr">
        <is>
          <t>EMMABODA</t>
        </is>
      </c>
      <c r="I6330" t="n">
        <v>0.7</v>
      </c>
      <c r="J6330" t="n">
        <v>0</v>
      </c>
      <c r="K6330" t="n">
        <v>0</v>
      </c>
      <c r="L6330" t="n">
        <v>0</v>
      </c>
      <c r="M6330" t="n">
        <v>0</v>
      </c>
      <c r="N6330" t="n">
        <v>0</v>
      </c>
      <c r="O6330" t="n">
        <v>0</v>
      </c>
      <c r="P6330" t="n">
        <v>0</v>
      </c>
      <c r="Q6330" t="n">
        <v>0</v>
      </c>
      <c r="R6330" t="n">
        <v>0</v>
      </c>
      <c r="S6330" t="n">
        <v>0</v>
      </c>
      <c r="T6330" t="n">
        <v>0</v>
      </c>
      <c r="U6330" t="n">
        <v>0</v>
      </c>
      <c r="V6330" s="2" t="inlineStr"/>
    </row>
    <row r="6331" ht="15" customHeight="1">
      <c r="A6331" t="inlineStr">
        <is>
          <t>A 27028-2026</t>
        </is>
      </c>
      <c r="B6331" t="inlineStr">
        <is>
          <t>avverkningsanmälan</t>
        </is>
      </c>
      <c r="C6331" t="inlineStr">
        <is>
          <t>Föryngringsavverkning</t>
        </is>
      </c>
      <c r="D6331" s="1" t="n">
        <v>46185</v>
      </c>
      <c r="E6331" s="1" t="n">
        <v>46323</v>
      </c>
      <c r="F6331" t="inlineStr">
        <is>
          <t>KALMAR LÄN</t>
        </is>
      </c>
      <c r="G6331" t="inlineStr">
        <is>
          <t>EMMABODA</t>
        </is>
      </c>
      <c r="I6331" t="n">
        <v>0.2</v>
      </c>
      <c r="J6331" t="n">
        <v>0</v>
      </c>
      <c r="K6331" t="n">
        <v>0</v>
      </c>
      <c r="L6331" t="n">
        <v>0</v>
      </c>
      <c r="M6331" t="n">
        <v>0</v>
      </c>
      <c r="N6331" t="n">
        <v>0</v>
      </c>
      <c r="O6331" t="n">
        <v>0</v>
      </c>
      <c r="P6331" t="n">
        <v>0</v>
      </c>
      <c r="Q6331" t="n">
        <v>0</v>
      </c>
      <c r="R6331" t="n">
        <v>0</v>
      </c>
      <c r="S6331" t="n">
        <v>0</v>
      </c>
      <c r="T6331" t="n">
        <v>0</v>
      </c>
      <c r="U6331" t="n">
        <v>0</v>
      </c>
      <c r="V6331" s="2" t="inlineStr"/>
    </row>
    <row r="6332" ht="15" customHeight="1">
      <c r="A6332" t="inlineStr">
        <is>
          <t>A 26704-2026</t>
        </is>
      </c>
      <c r="B6332" t="inlineStr">
        <is>
          <t>avverkningsanmälan</t>
        </is>
      </c>
      <c r="C6332" t="inlineStr">
        <is>
          <t>Avverkning för att bevara och utveckla /försöksver</t>
        </is>
      </c>
      <c r="D6332" s="1" t="n">
        <v>46184</v>
      </c>
      <c r="E6332" s="1" t="n">
        <v>46323</v>
      </c>
      <c r="F6332" t="inlineStr">
        <is>
          <t>KALMAR LÄN</t>
        </is>
      </c>
      <c r="G6332" t="inlineStr">
        <is>
          <t>VIMMERBY</t>
        </is>
      </c>
      <c r="I6332" t="n">
        <v>1.4</v>
      </c>
      <c r="J6332" t="n">
        <v>0</v>
      </c>
      <c r="K6332" t="n">
        <v>0</v>
      </c>
      <c r="L6332" t="n">
        <v>0</v>
      </c>
      <c r="M6332" t="n">
        <v>0</v>
      </c>
      <c r="N6332" t="n">
        <v>0</v>
      </c>
      <c r="O6332" t="n">
        <v>0</v>
      </c>
      <c r="P6332" t="n">
        <v>0</v>
      </c>
      <c r="Q6332" t="n">
        <v>0</v>
      </c>
      <c r="R6332" t="n">
        <v>0</v>
      </c>
      <c r="S6332" t="n">
        <v>0</v>
      </c>
      <c r="T6332" t="n">
        <v>0</v>
      </c>
      <c r="U6332" t="n">
        <v>0</v>
      </c>
      <c r="V6332" s="2" t="inlineStr"/>
    </row>
    <row r="6333" ht="15" customHeight="1">
      <c r="A6333" t="inlineStr">
        <is>
          <t>A 26760-2026</t>
        </is>
      </c>
      <c r="B6333" t="inlineStr">
        <is>
          <t>avverkningsanmälan</t>
        </is>
      </c>
      <c r="C6333" t="inlineStr">
        <is>
          <t>Föryngringsavverkning</t>
        </is>
      </c>
      <c r="D6333" s="1" t="n">
        <v>46184</v>
      </c>
      <c r="E6333" s="1" t="n">
        <v>46323</v>
      </c>
      <c r="F6333" t="inlineStr">
        <is>
          <t>KALMAR LÄN</t>
        </is>
      </c>
      <c r="G6333" t="inlineStr">
        <is>
          <t>HÖGSBY</t>
        </is>
      </c>
      <c r="H6333" t="inlineStr">
        <is>
          <t>Sveaskog</t>
        </is>
      </c>
      <c r="I6333" t="n">
        <v>7.7</v>
      </c>
      <c r="J6333" t="n">
        <v>0</v>
      </c>
      <c r="K6333" t="n">
        <v>0</v>
      </c>
      <c r="L6333" t="n">
        <v>0</v>
      </c>
      <c r="M6333" t="n">
        <v>0</v>
      </c>
      <c r="N6333" t="n">
        <v>0</v>
      </c>
      <c r="O6333" t="n">
        <v>0</v>
      </c>
      <c r="P6333" t="n">
        <v>0</v>
      </c>
      <c r="Q6333" t="n">
        <v>0</v>
      </c>
      <c r="R6333" t="n">
        <v>0</v>
      </c>
      <c r="S6333" t="n">
        <v>0</v>
      </c>
      <c r="T6333" t="n">
        <v>0</v>
      </c>
      <c r="U6333" t="n">
        <v>0</v>
      </c>
      <c r="V6333" s="2" t="inlineStr"/>
    </row>
    <row r="6334" ht="15" customHeight="1">
      <c r="A6334" t="inlineStr">
        <is>
          <t>A 27013-2026</t>
        </is>
      </c>
      <c r="B6334" t="inlineStr">
        <is>
          <t>avverkningsanmälan</t>
        </is>
      </c>
      <c r="C6334" t="inlineStr">
        <is>
          <t>Föryngringsavverkning</t>
        </is>
      </c>
      <c r="D6334" s="1" t="n">
        <v>46185</v>
      </c>
      <c r="E6334" s="1" t="n">
        <v>46323</v>
      </c>
      <c r="F6334" t="inlineStr">
        <is>
          <t>KALMAR LÄN</t>
        </is>
      </c>
      <c r="G6334" t="inlineStr">
        <is>
          <t>HULTSFRED</t>
        </is>
      </c>
      <c r="I6334" t="n">
        <v>2.2</v>
      </c>
      <c r="J6334" t="n">
        <v>0</v>
      </c>
      <c r="K6334" t="n">
        <v>0</v>
      </c>
      <c r="L6334" t="n">
        <v>0</v>
      </c>
      <c r="M6334" t="n">
        <v>0</v>
      </c>
      <c r="N6334" t="n">
        <v>0</v>
      </c>
      <c r="O6334" t="n">
        <v>0</v>
      </c>
      <c r="P6334" t="n">
        <v>0</v>
      </c>
      <c r="Q6334" t="n">
        <v>0</v>
      </c>
      <c r="R6334" t="n">
        <v>0</v>
      </c>
      <c r="S6334" t="n">
        <v>0</v>
      </c>
      <c r="T6334" t="n">
        <v>0</v>
      </c>
      <c r="U6334" t="n">
        <v>0</v>
      </c>
      <c r="V6334" s="2" t="inlineStr"/>
    </row>
    <row r="6335" ht="15" customHeight="1">
      <c r="A6335" t="inlineStr">
        <is>
          <t>A 26626-2026</t>
        </is>
      </c>
      <c r="B6335" t="inlineStr">
        <is>
          <t>avverkningsanmälan</t>
        </is>
      </c>
      <c r="C6335" t="inlineStr">
        <is>
          <t>Föryngringsavverkning</t>
        </is>
      </c>
      <c r="D6335" s="1" t="n">
        <v>46184</v>
      </c>
      <c r="E6335" s="1" t="n">
        <v>46323</v>
      </c>
      <c r="F6335" t="inlineStr">
        <is>
          <t>KALMAR LÄN</t>
        </is>
      </c>
      <c r="G6335" t="inlineStr">
        <is>
          <t>VÄSTERVIK</t>
        </is>
      </c>
      <c r="H6335" t="inlineStr">
        <is>
          <t>Sveaskog</t>
        </is>
      </c>
      <c r="I6335" t="n">
        <v>4.5</v>
      </c>
      <c r="J6335" t="n">
        <v>0</v>
      </c>
      <c r="K6335" t="n">
        <v>0</v>
      </c>
      <c r="L6335" t="n">
        <v>0</v>
      </c>
      <c r="M6335" t="n">
        <v>0</v>
      </c>
      <c r="N6335" t="n">
        <v>0</v>
      </c>
      <c r="O6335" t="n">
        <v>0</v>
      </c>
      <c r="P6335" t="n">
        <v>0</v>
      </c>
      <c r="Q6335" t="n">
        <v>0</v>
      </c>
      <c r="R6335" t="n">
        <v>0</v>
      </c>
      <c r="S6335" t="n">
        <v>0</v>
      </c>
      <c r="T6335" t="n">
        <v>0</v>
      </c>
      <c r="U6335" t="n">
        <v>0</v>
      </c>
      <c r="V6335" s="2" t="inlineStr"/>
    </row>
    <row r="6336" ht="15" customHeight="1">
      <c r="A6336" t="inlineStr">
        <is>
          <t>A 26628-2026</t>
        </is>
      </c>
      <c r="B6336" t="inlineStr">
        <is>
          <t>avverkningsanmälan</t>
        </is>
      </c>
      <c r="C6336" t="inlineStr">
        <is>
          <t>Föryngringsavverkning</t>
        </is>
      </c>
      <c r="D6336" s="1" t="n">
        <v>46184</v>
      </c>
      <c r="E6336" s="1" t="n">
        <v>46323</v>
      </c>
      <c r="F6336" t="inlineStr">
        <is>
          <t>KALMAR LÄN</t>
        </is>
      </c>
      <c r="G6336" t="inlineStr">
        <is>
          <t>VÄSTERVIK</t>
        </is>
      </c>
      <c r="H6336" t="inlineStr">
        <is>
          <t>Sveaskog</t>
        </is>
      </c>
      <c r="I6336" t="n">
        <v>1.8</v>
      </c>
      <c r="J6336" t="n">
        <v>0</v>
      </c>
      <c r="K6336" t="n">
        <v>0</v>
      </c>
      <c r="L6336" t="n">
        <v>0</v>
      </c>
      <c r="M6336" t="n">
        <v>0</v>
      </c>
      <c r="N6336" t="n">
        <v>0</v>
      </c>
      <c r="O6336" t="n">
        <v>0</v>
      </c>
      <c r="P6336" t="n">
        <v>0</v>
      </c>
      <c r="Q6336" t="n">
        <v>0</v>
      </c>
      <c r="R6336" t="n">
        <v>0</v>
      </c>
      <c r="S6336" t="n">
        <v>0</v>
      </c>
      <c r="T6336" t="n">
        <v>0</v>
      </c>
      <c r="U6336" t="n">
        <v>0</v>
      </c>
      <c r="V6336" s="2" t="inlineStr"/>
    </row>
    <row r="6337" ht="15" customHeight="1">
      <c r="A6337" t="inlineStr">
        <is>
          <t>A 26815-2026</t>
        </is>
      </c>
      <c r="B6337" t="inlineStr">
        <is>
          <t>avverkningsanmälan</t>
        </is>
      </c>
      <c r="C6337" t="inlineStr">
        <is>
          <t>Föryngringsavverkning</t>
        </is>
      </c>
      <c r="D6337" s="1" t="n">
        <v>46185</v>
      </c>
      <c r="E6337" s="1" t="n">
        <v>46323</v>
      </c>
      <c r="F6337" t="inlineStr">
        <is>
          <t>KALMAR LÄN</t>
        </is>
      </c>
      <c r="G6337" t="inlineStr">
        <is>
          <t>KALMAR</t>
        </is>
      </c>
      <c r="I6337" t="n">
        <v>1.1</v>
      </c>
      <c r="J6337" t="n">
        <v>0</v>
      </c>
      <c r="K6337" t="n">
        <v>0</v>
      </c>
      <c r="L6337" t="n">
        <v>0</v>
      </c>
      <c r="M6337" t="n">
        <v>0</v>
      </c>
      <c r="N6337" t="n">
        <v>0</v>
      </c>
      <c r="O6337" t="n">
        <v>0</v>
      </c>
      <c r="P6337" t="n">
        <v>0</v>
      </c>
      <c r="Q6337" t="n">
        <v>0</v>
      </c>
      <c r="R6337" t="n">
        <v>0</v>
      </c>
      <c r="S6337" t="n">
        <v>0</v>
      </c>
      <c r="T6337" t="n">
        <v>0</v>
      </c>
      <c r="U6337" t="n">
        <v>0</v>
      </c>
      <c r="V6337" s="2" t="inlineStr"/>
    </row>
    <row r="6338" ht="15" customHeight="1">
      <c r="A6338" t="inlineStr">
        <is>
          <t>A 27524-2026</t>
        </is>
      </c>
      <c r="B6338" t="inlineStr">
        <is>
          <t>avverkningsanmälan</t>
        </is>
      </c>
      <c r="C6338" t="inlineStr">
        <is>
          <t>Föryngringsavverkning</t>
        </is>
      </c>
      <c r="D6338" s="1" t="n">
        <v>46185</v>
      </c>
      <c r="E6338" s="1" t="n">
        <v>46323</v>
      </c>
      <c r="F6338" t="inlineStr">
        <is>
          <t>KALMAR LÄN</t>
        </is>
      </c>
      <c r="G6338" t="inlineStr">
        <is>
          <t>HULTSFRED</t>
        </is>
      </c>
      <c r="I6338" t="n">
        <v>0.8</v>
      </c>
      <c r="J6338" t="n">
        <v>0</v>
      </c>
      <c r="K6338" t="n">
        <v>0</v>
      </c>
      <c r="L6338" t="n">
        <v>0</v>
      </c>
      <c r="M6338" t="n">
        <v>0</v>
      </c>
      <c r="N6338" t="n">
        <v>0</v>
      </c>
      <c r="O6338" t="n">
        <v>0</v>
      </c>
      <c r="P6338" t="n">
        <v>0</v>
      </c>
      <c r="Q6338" t="n">
        <v>0</v>
      </c>
      <c r="R6338" t="n">
        <v>0</v>
      </c>
      <c r="S6338" t="n">
        <v>0</v>
      </c>
      <c r="T6338" t="n">
        <v>0</v>
      </c>
      <c r="U6338" t="n">
        <v>0</v>
      </c>
      <c r="V6338" s="2" t="inlineStr"/>
    </row>
    <row r="6339" ht="15" customHeight="1">
      <c r="A6339" t="inlineStr">
        <is>
          <t>A 27030-2026</t>
        </is>
      </c>
      <c r="B6339" t="inlineStr">
        <is>
          <t>avverkningsanmälan</t>
        </is>
      </c>
      <c r="C6339" t="inlineStr">
        <is>
          <t>Föryngringsavverkning</t>
        </is>
      </c>
      <c r="D6339" s="1" t="n">
        <v>46185</v>
      </c>
      <c r="E6339" s="1" t="n">
        <v>46323</v>
      </c>
      <c r="F6339" t="inlineStr">
        <is>
          <t>KALMAR LÄN</t>
        </is>
      </c>
      <c r="G6339" t="inlineStr">
        <is>
          <t>EMMABODA</t>
        </is>
      </c>
      <c r="I6339" t="n">
        <v>0.4</v>
      </c>
      <c r="J6339" t="n">
        <v>0</v>
      </c>
      <c r="K6339" t="n">
        <v>0</v>
      </c>
      <c r="L6339" t="n">
        <v>0</v>
      </c>
      <c r="M6339" t="n">
        <v>0</v>
      </c>
      <c r="N6339" t="n">
        <v>0</v>
      </c>
      <c r="O6339" t="n">
        <v>0</v>
      </c>
      <c r="P6339" t="n">
        <v>0</v>
      </c>
      <c r="Q6339" t="n">
        <v>0</v>
      </c>
      <c r="R6339" t="n">
        <v>0</v>
      </c>
      <c r="S6339" t="n">
        <v>0</v>
      </c>
      <c r="T6339" t="n">
        <v>0</v>
      </c>
      <c r="U6339" t="n">
        <v>0</v>
      </c>
      <c r="V6339" s="2" t="inlineStr"/>
    </row>
    <row r="6340" ht="15" customHeight="1">
      <c r="A6340" t="inlineStr">
        <is>
          <t>A 26752-2026</t>
        </is>
      </c>
      <c r="B6340" t="inlineStr">
        <is>
          <t>avverkningsanmälan</t>
        </is>
      </c>
      <c r="C6340" t="inlineStr">
        <is>
          <t>Föryngringsavverkning</t>
        </is>
      </c>
      <c r="D6340" s="1" t="n">
        <v>46184</v>
      </c>
      <c r="E6340" s="1" t="n">
        <v>46323</v>
      </c>
      <c r="F6340" t="inlineStr">
        <is>
          <t>KALMAR LÄN</t>
        </is>
      </c>
      <c r="G6340" t="inlineStr">
        <is>
          <t>HÖGSBY</t>
        </is>
      </c>
      <c r="H6340" t="inlineStr">
        <is>
          <t>Sveaskog</t>
        </is>
      </c>
      <c r="I6340" t="n">
        <v>1.1</v>
      </c>
      <c r="J6340" t="n">
        <v>0</v>
      </c>
      <c r="K6340" t="n">
        <v>0</v>
      </c>
      <c r="L6340" t="n">
        <v>0</v>
      </c>
      <c r="M6340" t="n">
        <v>0</v>
      </c>
      <c r="N6340" t="n">
        <v>0</v>
      </c>
      <c r="O6340" t="n">
        <v>0</v>
      </c>
      <c r="P6340" t="n">
        <v>0</v>
      </c>
      <c r="Q6340" t="n">
        <v>0</v>
      </c>
      <c r="R6340" t="n">
        <v>0</v>
      </c>
      <c r="S6340" t="n">
        <v>0</v>
      </c>
      <c r="T6340" t="n">
        <v>0</v>
      </c>
      <c r="U6340" t="n">
        <v>0</v>
      </c>
      <c r="V6340" s="2" t="inlineStr"/>
    </row>
    <row r="6341" ht="15" customHeight="1">
      <c r="A6341" t="inlineStr">
        <is>
          <t>A 27689-2026</t>
        </is>
      </c>
      <c r="B6341" t="inlineStr">
        <is>
          <t>avverkningsanmälan</t>
        </is>
      </c>
      <c r="C6341" t="inlineStr">
        <is>
          <t>Föryngringsavverkning</t>
        </is>
      </c>
      <c r="D6341" s="1" t="n">
        <v>46188</v>
      </c>
      <c r="E6341" s="1" t="n">
        <v>46323</v>
      </c>
      <c r="F6341" t="inlineStr">
        <is>
          <t>KALMAR LÄN</t>
        </is>
      </c>
      <c r="G6341" t="inlineStr">
        <is>
          <t>HÖGSBY</t>
        </is>
      </c>
      <c r="I6341" t="n">
        <v>0.9</v>
      </c>
      <c r="J6341" t="n">
        <v>0</v>
      </c>
      <c r="K6341" t="n">
        <v>0</v>
      </c>
      <c r="L6341" t="n">
        <v>0</v>
      </c>
      <c r="M6341" t="n">
        <v>0</v>
      </c>
      <c r="N6341" t="n">
        <v>0</v>
      </c>
      <c r="O6341" t="n">
        <v>0</v>
      </c>
      <c r="P6341" t="n">
        <v>0</v>
      </c>
      <c r="Q6341" t="n">
        <v>0</v>
      </c>
      <c r="R6341" t="n">
        <v>0</v>
      </c>
      <c r="S6341" t="n">
        <v>0</v>
      </c>
      <c r="T6341" t="n">
        <v>0</v>
      </c>
      <c r="U6341" t="n">
        <v>0</v>
      </c>
      <c r="V6341" s="2" t="inlineStr"/>
    </row>
    <row r="6342" ht="15" customHeight="1">
      <c r="A6342" t="inlineStr">
        <is>
          <t>A 27074-2026</t>
        </is>
      </c>
      <c r="B6342" t="inlineStr">
        <is>
          <t>avverkningsanmälan</t>
        </is>
      </c>
      <c r="C6342" t="inlineStr">
        <is>
          <t>Föryngringsavverkning</t>
        </is>
      </c>
      <c r="D6342" s="1" t="n">
        <v>46186</v>
      </c>
      <c r="E6342" s="1" t="n">
        <v>46323</v>
      </c>
      <c r="F6342" t="inlineStr">
        <is>
          <t>KALMAR LÄN</t>
        </is>
      </c>
      <c r="G6342" t="inlineStr">
        <is>
          <t>VIMMERBY</t>
        </is>
      </c>
      <c r="I6342" t="n">
        <v>1</v>
      </c>
      <c r="J6342" t="n">
        <v>0</v>
      </c>
      <c r="K6342" t="n">
        <v>0</v>
      </c>
      <c r="L6342" t="n">
        <v>0</v>
      </c>
      <c r="M6342" t="n">
        <v>0</v>
      </c>
      <c r="N6342" t="n">
        <v>0</v>
      </c>
      <c r="O6342" t="n">
        <v>0</v>
      </c>
      <c r="P6342" t="n">
        <v>0</v>
      </c>
      <c r="Q6342" t="n">
        <v>0</v>
      </c>
      <c r="R6342" t="n">
        <v>0</v>
      </c>
      <c r="S6342" t="n">
        <v>0</v>
      </c>
      <c r="T6342" t="n">
        <v>0</v>
      </c>
      <c r="U6342" t="n">
        <v>0</v>
      </c>
      <c r="V6342" s="2" t="inlineStr"/>
    </row>
    <row r="6343" ht="15" customHeight="1">
      <c r="A6343" t="inlineStr">
        <is>
          <t>A 26635-2026</t>
        </is>
      </c>
      <c r="B6343" t="inlineStr">
        <is>
          <t>avverkningsanmälan</t>
        </is>
      </c>
      <c r="C6343" t="inlineStr">
        <is>
          <t>Föryngringsavverkning</t>
        </is>
      </c>
      <c r="D6343" s="1" t="n">
        <v>46184</v>
      </c>
      <c r="E6343" s="1" t="n">
        <v>46323</v>
      </c>
      <c r="F6343" t="inlineStr">
        <is>
          <t>KALMAR LÄN</t>
        </is>
      </c>
      <c r="G6343" t="inlineStr">
        <is>
          <t>VÄSTERVIK</t>
        </is>
      </c>
      <c r="H6343" t="inlineStr">
        <is>
          <t>Sveaskog</t>
        </is>
      </c>
      <c r="I6343" t="n">
        <v>0.6</v>
      </c>
      <c r="J6343" t="n">
        <v>0</v>
      </c>
      <c r="K6343" t="n">
        <v>0</v>
      </c>
      <c r="L6343" t="n">
        <v>0</v>
      </c>
      <c r="M6343" t="n">
        <v>0</v>
      </c>
      <c r="N6343" t="n">
        <v>0</v>
      </c>
      <c r="O6343" t="n">
        <v>0</v>
      </c>
      <c r="P6343" t="n">
        <v>0</v>
      </c>
      <c r="Q6343" t="n">
        <v>0</v>
      </c>
      <c r="R6343" t="n">
        <v>0</v>
      </c>
      <c r="S6343" t="n">
        <v>0</v>
      </c>
      <c r="T6343" t="n">
        <v>0</v>
      </c>
      <c r="U6343" t="n">
        <v>0</v>
      </c>
      <c r="V6343" s="2" t="inlineStr"/>
    </row>
    <row r="6344" ht="15" customHeight="1">
      <c r="A6344" t="inlineStr">
        <is>
          <t>A 26624-2026</t>
        </is>
      </c>
      <c r="B6344" t="inlineStr">
        <is>
          <t>avverkningsanmälan</t>
        </is>
      </c>
      <c r="C6344" t="inlineStr">
        <is>
          <t>Föryngringsavverkning</t>
        </is>
      </c>
      <c r="D6344" s="1" t="n">
        <v>46184</v>
      </c>
      <c r="E6344" s="1" t="n">
        <v>46323</v>
      </c>
      <c r="F6344" t="inlineStr">
        <is>
          <t>KALMAR LÄN</t>
        </is>
      </c>
      <c r="G6344" t="inlineStr">
        <is>
          <t>VÄSTERVIK</t>
        </is>
      </c>
      <c r="H6344" t="inlineStr">
        <is>
          <t>Sveaskog</t>
        </is>
      </c>
      <c r="I6344" t="n">
        <v>5.9</v>
      </c>
      <c r="J6344" t="n">
        <v>0</v>
      </c>
      <c r="K6344" t="n">
        <v>0</v>
      </c>
      <c r="L6344" t="n">
        <v>0</v>
      </c>
      <c r="M6344" t="n">
        <v>0</v>
      </c>
      <c r="N6344" t="n">
        <v>0</v>
      </c>
      <c r="O6344" t="n">
        <v>0</v>
      </c>
      <c r="P6344" t="n">
        <v>0</v>
      </c>
      <c r="Q6344" t="n">
        <v>0</v>
      </c>
      <c r="R6344" t="n">
        <v>0</v>
      </c>
      <c r="S6344" t="n">
        <v>0</v>
      </c>
      <c r="T6344" t="n">
        <v>0</v>
      </c>
      <c r="U6344" t="n">
        <v>0</v>
      </c>
      <c r="V6344" s="2" t="inlineStr"/>
    </row>
    <row r="6345" ht="15" customHeight="1">
      <c r="A6345" t="inlineStr">
        <is>
          <t>A 26638-2026</t>
        </is>
      </c>
      <c r="B6345" t="inlineStr">
        <is>
          <t>avverkningsanmälan</t>
        </is>
      </c>
      <c r="C6345" t="inlineStr">
        <is>
          <t>Föryngringsavverkning</t>
        </is>
      </c>
      <c r="D6345" s="1" t="n">
        <v>46184</v>
      </c>
      <c r="E6345" s="1" t="n">
        <v>46323</v>
      </c>
      <c r="F6345" t="inlineStr">
        <is>
          <t>KALMAR LÄN</t>
        </is>
      </c>
      <c r="G6345" t="inlineStr">
        <is>
          <t>VÄSTERVIK</t>
        </is>
      </c>
      <c r="H6345" t="inlineStr">
        <is>
          <t>Sveaskog</t>
        </is>
      </c>
      <c r="I6345" t="n">
        <v>0.6</v>
      </c>
      <c r="J6345" t="n">
        <v>0</v>
      </c>
      <c r="K6345" t="n">
        <v>0</v>
      </c>
      <c r="L6345" t="n">
        <v>0</v>
      </c>
      <c r="M6345" t="n">
        <v>0</v>
      </c>
      <c r="N6345" t="n">
        <v>0</v>
      </c>
      <c r="O6345" t="n">
        <v>0</v>
      </c>
      <c r="P6345" t="n">
        <v>0</v>
      </c>
      <c r="Q6345" t="n">
        <v>0</v>
      </c>
      <c r="R6345" t="n">
        <v>0</v>
      </c>
      <c r="S6345" t="n">
        <v>0</v>
      </c>
      <c r="T6345" t="n">
        <v>0</v>
      </c>
      <c r="U6345" t="n">
        <v>0</v>
      </c>
      <c r="V6345" s="2" t="inlineStr"/>
    </row>
    <row r="6346" ht="15" customHeight="1">
      <c r="A6346" t="inlineStr">
        <is>
          <t>A 27166-2026</t>
        </is>
      </c>
      <c r="B6346" t="inlineStr">
        <is>
          <t>avverkningsanmälan</t>
        </is>
      </c>
      <c r="C6346" t="inlineStr">
        <is>
          <t>Föryngringsavverkning</t>
        </is>
      </c>
      <c r="D6346" s="1" t="n">
        <v>46188</v>
      </c>
      <c r="E6346" s="1" t="n">
        <v>46323</v>
      </c>
      <c r="F6346" t="inlineStr">
        <is>
          <t>KALMAR LÄN</t>
        </is>
      </c>
      <c r="G6346" t="inlineStr">
        <is>
          <t>KALMAR</t>
        </is>
      </c>
      <c r="I6346" t="n">
        <v>3.6</v>
      </c>
      <c r="J6346" t="n">
        <v>0</v>
      </c>
      <c r="K6346" t="n">
        <v>0</v>
      </c>
      <c r="L6346" t="n">
        <v>0</v>
      </c>
      <c r="M6346" t="n">
        <v>0</v>
      </c>
      <c r="N6346" t="n">
        <v>0</v>
      </c>
      <c r="O6346" t="n">
        <v>0</v>
      </c>
      <c r="P6346" t="n">
        <v>0</v>
      </c>
      <c r="Q6346" t="n">
        <v>0</v>
      </c>
      <c r="R6346" t="n">
        <v>0</v>
      </c>
      <c r="S6346" t="n">
        <v>0</v>
      </c>
      <c r="T6346" t="n">
        <v>0</v>
      </c>
      <c r="U6346" t="n">
        <v>0</v>
      </c>
      <c r="V6346" s="2" t="inlineStr"/>
    </row>
    <row r="6347" ht="15" customHeight="1">
      <c r="A6347" t="inlineStr">
        <is>
          <t>A 27173-2026</t>
        </is>
      </c>
      <c r="B6347" t="inlineStr">
        <is>
          <t>avverkningsanmälan</t>
        </is>
      </c>
      <c r="C6347" t="inlineStr">
        <is>
          <t>Föryngringsavverkning</t>
        </is>
      </c>
      <c r="D6347" s="1" t="n">
        <v>46188</v>
      </c>
      <c r="E6347" s="1" t="n">
        <v>46323</v>
      </c>
      <c r="F6347" t="inlineStr">
        <is>
          <t>KALMAR LÄN</t>
        </is>
      </c>
      <c r="G6347" t="inlineStr">
        <is>
          <t>EMMABODA</t>
        </is>
      </c>
      <c r="I6347" t="n">
        <v>0.5</v>
      </c>
      <c r="J6347" t="n">
        <v>0</v>
      </c>
      <c r="K6347" t="n">
        <v>0</v>
      </c>
      <c r="L6347" t="n">
        <v>0</v>
      </c>
      <c r="M6347" t="n">
        <v>0</v>
      </c>
      <c r="N6347" t="n">
        <v>0</v>
      </c>
      <c r="O6347" t="n">
        <v>0</v>
      </c>
      <c r="P6347" t="n">
        <v>0</v>
      </c>
      <c r="Q6347" t="n">
        <v>0</v>
      </c>
      <c r="R6347" t="n">
        <v>0</v>
      </c>
      <c r="S6347" t="n">
        <v>0</v>
      </c>
      <c r="T6347" t="n">
        <v>0</v>
      </c>
      <c r="U6347" t="n">
        <v>0</v>
      </c>
      <c r="V6347" s="2" t="inlineStr"/>
    </row>
    <row r="6348" ht="15" customHeight="1">
      <c r="A6348" t="inlineStr">
        <is>
          <t>A 27429-2026</t>
        </is>
      </c>
      <c r="B6348" t="inlineStr">
        <is>
          <t>avverkningsanmälan</t>
        </is>
      </c>
      <c r="C6348" t="inlineStr">
        <is>
          <t>Föryngringsavverkning</t>
        </is>
      </c>
      <c r="D6348" s="1" t="n">
        <v>46189</v>
      </c>
      <c r="E6348" s="1" t="n">
        <v>46323</v>
      </c>
      <c r="F6348" t="inlineStr">
        <is>
          <t>KALMAR LÄN</t>
        </is>
      </c>
      <c r="G6348" t="inlineStr">
        <is>
          <t>VÄSTERVIK</t>
        </is>
      </c>
      <c r="I6348" t="n">
        <v>1.4</v>
      </c>
      <c r="J6348" t="n">
        <v>0</v>
      </c>
      <c r="K6348" t="n">
        <v>0</v>
      </c>
      <c r="L6348" t="n">
        <v>0</v>
      </c>
      <c r="M6348" t="n">
        <v>0</v>
      </c>
      <c r="N6348" t="n">
        <v>0</v>
      </c>
      <c r="O6348" t="n">
        <v>0</v>
      </c>
      <c r="P6348" t="n">
        <v>0</v>
      </c>
      <c r="Q6348" t="n">
        <v>0</v>
      </c>
      <c r="R6348" t="n">
        <v>0</v>
      </c>
      <c r="S6348" t="n">
        <v>0</v>
      </c>
      <c r="T6348" t="n">
        <v>0</v>
      </c>
      <c r="U6348" t="n">
        <v>0</v>
      </c>
      <c r="V6348" s="2" t="inlineStr"/>
    </row>
    <row r="6349" ht="15" customHeight="1">
      <c r="A6349" t="inlineStr">
        <is>
          <t>A 23963-2026</t>
        </is>
      </c>
      <c r="B6349" t="inlineStr">
        <is>
          <t>avverkningsanmälan</t>
        </is>
      </c>
      <c r="C6349" t="inlineStr">
        <is>
          <t>Föryngringsavverkning</t>
        </is>
      </c>
      <c r="D6349" s="1" t="n">
        <v>46167</v>
      </c>
      <c r="E6349" s="1" t="n">
        <v>46323</v>
      </c>
      <c r="F6349" t="inlineStr">
        <is>
          <t>KALMAR LÄN</t>
        </is>
      </c>
      <c r="G6349" t="inlineStr">
        <is>
          <t>TORSÅS</t>
        </is>
      </c>
      <c r="I6349" t="n">
        <v>1.6</v>
      </c>
      <c r="J6349" t="n">
        <v>0</v>
      </c>
      <c r="K6349" t="n">
        <v>0</v>
      </c>
      <c r="L6349" t="n">
        <v>0</v>
      </c>
      <c r="M6349" t="n">
        <v>0</v>
      </c>
      <c r="N6349" t="n">
        <v>0</v>
      </c>
      <c r="O6349" t="n">
        <v>0</v>
      </c>
      <c r="P6349" t="n">
        <v>0</v>
      </c>
      <c r="Q6349" t="n">
        <v>0</v>
      </c>
      <c r="R6349" t="n">
        <v>0</v>
      </c>
      <c r="S6349" t="n">
        <v>0</v>
      </c>
      <c r="T6349" t="n">
        <v>0</v>
      </c>
      <c r="U6349" t="n">
        <v>0</v>
      </c>
      <c r="V6349" s="2" t="inlineStr"/>
    </row>
    <row r="6350" ht="15" customHeight="1">
      <c r="A6350" t="inlineStr">
        <is>
          <t>A 27455-2026</t>
        </is>
      </c>
      <c r="B6350" t="inlineStr">
        <is>
          <t>avverkningsanmälan</t>
        </is>
      </c>
      <c r="C6350" t="inlineStr">
        <is>
          <t>Föryngringsavverkning</t>
        </is>
      </c>
      <c r="D6350" s="1" t="n">
        <v>46189</v>
      </c>
      <c r="E6350" s="1" t="n">
        <v>46323</v>
      </c>
      <c r="F6350" t="inlineStr">
        <is>
          <t>KALMAR LÄN</t>
        </is>
      </c>
      <c r="G6350" t="inlineStr">
        <is>
          <t>EMMABODA</t>
        </is>
      </c>
      <c r="I6350" t="n">
        <v>9.1</v>
      </c>
      <c r="J6350" t="n">
        <v>0</v>
      </c>
      <c r="K6350" t="n">
        <v>0</v>
      </c>
      <c r="L6350" t="n">
        <v>0</v>
      </c>
      <c r="M6350" t="n">
        <v>0</v>
      </c>
      <c r="N6350" t="n">
        <v>0</v>
      </c>
      <c r="O6350" t="n">
        <v>0</v>
      </c>
      <c r="P6350" t="n">
        <v>0</v>
      </c>
      <c r="Q6350" t="n">
        <v>0</v>
      </c>
      <c r="R6350" t="n">
        <v>0</v>
      </c>
      <c r="S6350" t="n">
        <v>0</v>
      </c>
      <c r="T6350" t="n">
        <v>0</v>
      </c>
      <c r="U6350" t="n">
        <v>0</v>
      </c>
      <c r="V6350" s="2" t="inlineStr"/>
    </row>
    <row r="6351" ht="15" customHeight="1">
      <c r="A6351" t="inlineStr">
        <is>
          <t>A 27133-2026</t>
        </is>
      </c>
      <c r="B6351" t="inlineStr">
        <is>
          <t>avverkningsanmälan</t>
        </is>
      </c>
      <c r="C6351" t="inlineStr">
        <is>
          <t>Föryngringsavverkning</t>
        </is>
      </c>
      <c r="D6351" s="1" t="n">
        <v>46188</v>
      </c>
      <c r="E6351" s="1" t="n">
        <v>46323</v>
      </c>
      <c r="F6351" t="inlineStr">
        <is>
          <t>KALMAR LÄN</t>
        </is>
      </c>
      <c r="G6351" t="inlineStr">
        <is>
          <t>EMMABODA</t>
        </is>
      </c>
      <c r="I6351" t="n">
        <v>0.8</v>
      </c>
      <c r="J6351" t="n">
        <v>0</v>
      </c>
      <c r="K6351" t="n">
        <v>0</v>
      </c>
      <c r="L6351" t="n">
        <v>0</v>
      </c>
      <c r="M6351" t="n">
        <v>0</v>
      </c>
      <c r="N6351" t="n">
        <v>0</v>
      </c>
      <c r="O6351" t="n">
        <v>0</v>
      </c>
      <c r="P6351" t="n">
        <v>0</v>
      </c>
      <c r="Q6351" t="n">
        <v>0</v>
      </c>
      <c r="R6351" t="n">
        <v>0</v>
      </c>
      <c r="S6351" t="n">
        <v>0</v>
      </c>
      <c r="T6351" t="n">
        <v>0</v>
      </c>
      <c r="U6351" t="n">
        <v>0</v>
      </c>
      <c r="V6351" s="2" t="inlineStr"/>
    </row>
    <row r="6352" ht="15" customHeight="1">
      <c r="A6352" t="inlineStr">
        <is>
          <t>A 27683-2026</t>
        </is>
      </c>
      <c r="B6352" t="inlineStr">
        <is>
          <t>avverkningsanmälan</t>
        </is>
      </c>
      <c r="C6352" t="inlineStr">
        <is>
          <t>Föryngringsavverkning</t>
        </is>
      </c>
      <c r="D6352" s="1" t="n">
        <v>46190</v>
      </c>
      <c r="E6352" s="1" t="n">
        <v>46323</v>
      </c>
      <c r="F6352" t="inlineStr">
        <is>
          <t>KALMAR LÄN</t>
        </is>
      </c>
      <c r="G6352" t="inlineStr">
        <is>
          <t>NYBRO</t>
        </is>
      </c>
      <c r="I6352" t="n">
        <v>3.1</v>
      </c>
      <c r="J6352" t="n">
        <v>0</v>
      </c>
      <c r="K6352" t="n">
        <v>0</v>
      </c>
      <c r="L6352" t="n">
        <v>0</v>
      </c>
      <c r="M6352" t="n">
        <v>0</v>
      </c>
      <c r="N6352" t="n">
        <v>0</v>
      </c>
      <c r="O6352" t="n">
        <v>0</v>
      </c>
      <c r="P6352" t="n">
        <v>0</v>
      </c>
      <c r="Q6352" t="n">
        <v>0</v>
      </c>
      <c r="R6352" t="n">
        <v>0</v>
      </c>
      <c r="S6352" t="n">
        <v>0</v>
      </c>
      <c r="T6352" t="n">
        <v>0</v>
      </c>
      <c r="U6352" t="n">
        <v>0</v>
      </c>
      <c r="V6352" s="2" t="inlineStr"/>
    </row>
    <row r="6353" ht="15" customHeight="1">
      <c r="A6353" t="inlineStr">
        <is>
          <t>A 27646-2026</t>
        </is>
      </c>
      <c r="B6353" t="inlineStr">
        <is>
          <t>avverkningsanmälan</t>
        </is>
      </c>
      <c r="C6353" t="inlineStr">
        <is>
          <t>Föryngringsavverkning</t>
        </is>
      </c>
      <c r="D6353" s="1" t="n">
        <v>46190</v>
      </c>
      <c r="E6353" s="1" t="n">
        <v>46323</v>
      </c>
      <c r="F6353" t="inlineStr">
        <is>
          <t>KALMAR LÄN</t>
        </is>
      </c>
      <c r="G6353" t="inlineStr">
        <is>
          <t>EMMABODA</t>
        </is>
      </c>
      <c r="H6353" t="inlineStr">
        <is>
          <t>Sveaskog</t>
        </is>
      </c>
      <c r="I6353" t="n">
        <v>2.1</v>
      </c>
      <c r="J6353" t="n">
        <v>0</v>
      </c>
      <c r="K6353" t="n">
        <v>0</v>
      </c>
      <c r="L6353" t="n">
        <v>0</v>
      </c>
      <c r="M6353" t="n">
        <v>0</v>
      </c>
      <c r="N6353" t="n">
        <v>0</v>
      </c>
      <c r="O6353" t="n">
        <v>0</v>
      </c>
      <c r="P6353" t="n">
        <v>0</v>
      </c>
      <c r="Q6353" t="n">
        <v>0</v>
      </c>
      <c r="R6353" t="n">
        <v>0</v>
      </c>
      <c r="S6353" t="n">
        <v>0</v>
      </c>
      <c r="T6353" t="n">
        <v>0</v>
      </c>
      <c r="U6353" t="n">
        <v>0</v>
      </c>
      <c r="V6353" s="2" t="inlineStr"/>
    </row>
    <row r="6354" ht="15" customHeight="1">
      <c r="A6354" t="inlineStr">
        <is>
          <t>A 27812-2026</t>
        </is>
      </c>
      <c r="B6354" t="inlineStr">
        <is>
          <t>avverkningsanmälan</t>
        </is>
      </c>
      <c r="C6354" t="inlineStr">
        <is>
          <t>Föryngringsavverkning</t>
        </is>
      </c>
      <c r="D6354" s="1" t="n">
        <v>46191</v>
      </c>
      <c r="E6354" s="1" t="n">
        <v>46323</v>
      </c>
      <c r="F6354" t="inlineStr">
        <is>
          <t>KALMAR LÄN</t>
        </is>
      </c>
      <c r="G6354" t="inlineStr">
        <is>
          <t>HÖGSBY</t>
        </is>
      </c>
      <c r="H6354" t="inlineStr">
        <is>
          <t>Sveaskog</t>
        </is>
      </c>
      <c r="I6354" t="n">
        <v>8.5</v>
      </c>
      <c r="J6354" t="n">
        <v>0</v>
      </c>
      <c r="K6354" t="n">
        <v>0</v>
      </c>
      <c r="L6354" t="n">
        <v>0</v>
      </c>
      <c r="M6354" t="n">
        <v>0</v>
      </c>
      <c r="N6354" t="n">
        <v>0</v>
      </c>
      <c r="O6354" t="n">
        <v>0</v>
      </c>
      <c r="P6354" t="n">
        <v>0</v>
      </c>
      <c r="Q6354" t="n">
        <v>0</v>
      </c>
      <c r="R6354" t="n">
        <v>0</v>
      </c>
      <c r="S6354" t="n">
        <v>0</v>
      </c>
      <c r="T6354" t="n">
        <v>0</v>
      </c>
      <c r="U6354" t="n">
        <v>0</v>
      </c>
      <c r="V6354" s="2" t="inlineStr"/>
    </row>
    <row r="6355" ht="15" customHeight="1">
      <c r="A6355" t="inlineStr">
        <is>
          <t>A 27597-2026</t>
        </is>
      </c>
      <c r="B6355" t="inlineStr">
        <is>
          <t>avverkningsanmälan</t>
        </is>
      </c>
      <c r="C6355" t="inlineStr">
        <is>
          <t>Föryngringsavverkning</t>
        </is>
      </c>
      <c r="D6355" s="1" t="n">
        <v>46190</v>
      </c>
      <c r="E6355" s="1" t="n">
        <v>46323</v>
      </c>
      <c r="F6355" t="inlineStr">
        <is>
          <t>KALMAR LÄN</t>
        </is>
      </c>
      <c r="G6355" t="inlineStr">
        <is>
          <t>VÄSTERVIK</t>
        </is>
      </c>
      <c r="I6355" t="n">
        <v>4.8</v>
      </c>
      <c r="J6355" t="n">
        <v>0</v>
      </c>
      <c r="K6355" t="n">
        <v>0</v>
      </c>
      <c r="L6355" t="n">
        <v>0</v>
      </c>
      <c r="M6355" t="n">
        <v>0</v>
      </c>
      <c r="N6355" t="n">
        <v>0</v>
      </c>
      <c r="O6355" t="n">
        <v>0</v>
      </c>
      <c r="P6355" t="n">
        <v>0</v>
      </c>
      <c r="Q6355" t="n">
        <v>0</v>
      </c>
      <c r="R6355" t="n">
        <v>0</v>
      </c>
      <c r="S6355" t="n">
        <v>0</v>
      </c>
      <c r="T6355" t="n">
        <v>0</v>
      </c>
      <c r="U6355" t="n">
        <v>0</v>
      </c>
      <c r="V6355" s="2" t="inlineStr"/>
    </row>
    <row r="6356" ht="15" customHeight="1">
      <c r="A6356" t="inlineStr">
        <is>
          <t>A 27564-2026</t>
        </is>
      </c>
      <c r="B6356" t="inlineStr">
        <is>
          <t>avverkningsanmälan</t>
        </is>
      </c>
      <c r="C6356" t="inlineStr">
        <is>
          <t>Föryngringsavverkning</t>
        </is>
      </c>
      <c r="D6356" s="1" t="n">
        <v>46190</v>
      </c>
      <c r="E6356" s="1" t="n">
        <v>46323</v>
      </c>
      <c r="F6356" t="inlineStr">
        <is>
          <t>KALMAR LÄN</t>
        </is>
      </c>
      <c r="G6356" t="inlineStr">
        <is>
          <t>MÖNSTERÅS</t>
        </is>
      </c>
      <c r="I6356" t="n">
        <v>1.7</v>
      </c>
      <c r="J6356" t="n">
        <v>0</v>
      </c>
      <c r="K6356" t="n">
        <v>0</v>
      </c>
      <c r="L6356" t="n">
        <v>0</v>
      </c>
      <c r="M6356" t="n">
        <v>0</v>
      </c>
      <c r="N6356" t="n">
        <v>0</v>
      </c>
      <c r="O6356" t="n">
        <v>0</v>
      </c>
      <c r="P6356" t="n">
        <v>0</v>
      </c>
      <c r="Q6356" t="n">
        <v>0</v>
      </c>
      <c r="R6356" t="n">
        <v>0</v>
      </c>
      <c r="S6356" t="n">
        <v>0</v>
      </c>
      <c r="T6356" t="n">
        <v>0</v>
      </c>
      <c r="U6356" t="n">
        <v>0</v>
      </c>
      <c r="V6356" s="2" t="inlineStr"/>
    </row>
    <row r="6357" ht="15" customHeight="1">
      <c r="A6357" t="inlineStr">
        <is>
          <t>A 27961-2026</t>
        </is>
      </c>
      <c r="B6357" t="inlineStr">
        <is>
          <t>avverkningsanmälan</t>
        </is>
      </c>
      <c r="C6357" t="inlineStr">
        <is>
          <t>Föryngringsavverkning</t>
        </is>
      </c>
      <c r="D6357" s="1" t="n">
        <v>46195</v>
      </c>
      <c r="E6357" s="1" t="n">
        <v>46323</v>
      </c>
      <c r="F6357" t="inlineStr">
        <is>
          <t>KALMAR LÄN</t>
        </is>
      </c>
      <c r="G6357" t="inlineStr">
        <is>
          <t>VÄSTERVIK</t>
        </is>
      </c>
      <c r="I6357" t="n">
        <v>2.5</v>
      </c>
      <c r="J6357" t="n">
        <v>0</v>
      </c>
      <c r="K6357" t="n">
        <v>0</v>
      </c>
      <c r="L6357" t="n">
        <v>0</v>
      </c>
      <c r="M6357" t="n">
        <v>0</v>
      </c>
      <c r="N6357" t="n">
        <v>0</v>
      </c>
      <c r="O6357" t="n">
        <v>0</v>
      </c>
      <c r="P6357" t="n">
        <v>0</v>
      </c>
      <c r="Q6357" t="n">
        <v>0</v>
      </c>
      <c r="R6357" t="n">
        <v>0</v>
      </c>
      <c r="S6357" t="n">
        <v>0</v>
      </c>
      <c r="T6357" t="n">
        <v>0</v>
      </c>
      <c r="U6357" t="n">
        <v>0</v>
      </c>
      <c r="V6357" s="2" t="inlineStr"/>
    </row>
    <row r="6358" ht="15" customHeight="1">
      <c r="A6358" t="inlineStr">
        <is>
          <t>A 27962-2026</t>
        </is>
      </c>
      <c r="B6358" t="inlineStr">
        <is>
          <t>avverkningsanmälan</t>
        </is>
      </c>
      <c r="C6358" t="inlineStr">
        <is>
          <t>Föryngringsavverkning</t>
        </is>
      </c>
      <c r="D6358" s="1" t="n">
        <v>46195</v>
      </c>
      <c r="E6358" s="1" t="n">
        <v>46323</v>
      </c>
      <c r="F6358" t="inlineStr">
        <is>
          <t>KALMAR LÄN</t>
        </is>
      </c>
      <c r="G6358" t="inlineStr">
        <is>
          <t>VÄSTERVIK</t>
        </is>
      </c>
      <c r="I6358" t="n">
        <v>0.5</v>
      </c>
      <c r="J6358" t="n">
        <v>0</v>
      </c>
      <c r="K6358" t="n">
        <v>0</v>
      </c>
      <c r="L6358" t="n">
        <v>0</v>
      </c>
      <c r="M6358" t="n">
        <v>0</v>
      </c>
      <c r="N6358" t="n">
        <v>0</v>
      </c>
      <c r="O6358" t="n">
        <v>0</v>
      </c>
      <c r="P6358" t="n">
        <v>0</v>
      </c>
      <c r="Q6358" t="n">
        <v>0</v>
      </c>
      <c r="R6358" t="n">
        <v>0</v>
      </c>
      <c r="S6358" t="n">
        <v>0</v>
      </c>
      <c r="T6358" t="n">
        <v>0</v>
      </c>
      <c r="U6358" t="n">
        <v>0</v>
      </c>
      <c r="V6358" s="2" t="inlineStr"/>
    </row>
    <row r="6359" ht="15" customHeight="1">
      <c r="A6359" t="inlineStr">
        <is>
          <t>A 25749-2026</t>
        </is>
      </c>
      <c r="B6359" t="inlineStr">
        <is>
          <t>avverkningsanmälan</t>
        </is>
      </c>
      <c r="C6359" t="inlineStr">
        <is>
          <t>Föryngringsavverkning</t>
        </is>
      </c>
      <c r="D6359" s="1" t="n">
        <v>46178</v>
      </c>
      <c r="E6359" s="1" t="n">
        <v>46323</v>
      </c>
      <c r="F6359" t="inlineStr">
        <is>
          <t>KALMAR LÄN</t>
        </is>
      </c>
      <c r="G6359" t="inlineStr">
        <is>
          <t>KALMAR</t>
        </is>
      </c>
      <c r="I6359" t="n">
        <v>1.9</v>
      </c>
      <c r="J6359" t="n">
        <v>0</v>
      </c>
      <c r="K6359" t="n">
        <v>0</v>
      </c>
      <c r="L6359" t="n">
        <v>0</v>
      </c>
      <c r="M6359" t="n">
        <v>0</v>
      </c>
      <c r="N6359" t="n">
        <v>0</v>
      </c>
      <c r="O6359" t="n">
        <v>0</v>
      </c>
      <c r="P6359" t="n">
        <v>0</v>
      </c>
      <c r="Q6359" t="n">
        <v>0</v>
      </c>
      <c r="R6359" t="n">
        <v>0</v>
      </c>
      <c r="S6359" t="n">
        <v>0</v>
      </c>
      <c r="T6359" t="n">
        <v>0</v>
      </c>
      <c r="U6359" t="n">
        <v>0</v>
      </c>
      <c r="V6359" s="2" t="inlineStr"/>
    </row>
    <row r="6360" ht="15" customHeight="1">
      <c r="A6360" t="inlineStr">
        <is>
          <t>A 54735-2025</t>
        </is>
      </c>
      <c r="B6360" t="inlineStr">
        <is>
          <t>avverkningsanmälan</t>
        </is>
      </c>
      <c r="C6360" t="inlineStr">
        <is>
          <t>Föryngringsavverkning</t>
        </is>
      </c>
      <c r="D6360" s="1" t="n">
        <v>45966</v>
      </c>
      <c r="E6360" s="1" t="n">
        <v>46323</v>
      </c>
      <c r="F6360" t="inlineStr">
        <is>
          <t>KALMAR LÄN</t>
        </is>
      </c>
      <c r="G6360" t="inlineStr">
        <is>
          <t>HÖGSBY</t>
        </is>
      </c>
      <c r="I6360" t="n">
        <v>4.3</v>
      </c>
      <c r="J6360" t="n">
        <v>0</v>
      </c>
      <c r="K6360" t="n">
        <v>0</v>
      </c>
      <c r="L6360" t="n">
        <v>0</v>
      </c>
      <c r="M6360" t="n">
        <v>0</v>
      </c>
      <c r="N6360" t="n">
        <v>0</v>
      </c>
      <c r="O6360" t="n">
        <v>0</v>
      </c>
      <c r="P6360" t="n">
        <v>0</v>
      </c>
      <c r="Q6360" t="n">
        <v>0</v>
      </c>
      <c r="R6360" t="n">
        <v>0</v>
      </c>
      <c r="S6360" t="n">
        <v>0</v>
      </c>
      <c r="T6360" t="n">
        <v>0</v>
      </c>
      <c r="U6360" t="n">
        <v>0</v>
      </c>
      <c r="V6360" s="2" t="inlineStr"/>
    </row>
    <row r="6361" ht="15" customHeight="1">
      <c r="A6361" t="inlineStr">
        <is>
          <t>A 28288-2026</t>
        </is>
      </c>
      <c r="B6361" t="inlineStr">
        <is>
          <t>avverkningsanmälan</t>
        </is>
      </c>
      <c r="C6361" t="inlineStr">
        <is>
          <t>Föryngringsavverkning</t>
        </is>
      </c>
      <c r="D6361" s="1" t="n">
        <v>46196</v>
      </c>
      <c r="E6361" s="1" t="n">
        <v>46323</v>
      </c>
      <c r="F6361" t="inlineStr">
        <is>
          <t>KALMAR LÄN</t>
        </is>
      </c>
      <c r="G6361" t="inlineStr">
        <is>
          <t>HULTSFRED</t>
        </is>
      </c>
      <c r="I6361" t="n">
        <v>6.2</v>
      </c>
      <c r="J6361" t="n">
        <v>0</v>
      </c>
      <c r="K6361" t="n">
        <v>0</v>
      </c>
      <c r="L6361" t="n">
        <v>0</v>
      </c>
      <c r="M6361" t="n">
        <v>0</v>
      </c>
      <c r="N6361" t="n">
        <v>0</v>
      </c>
      <c r="O6361" t="n">
        <v>0</v>
      </c>
      <c r="P6361" t="n">
        <v>0</v>
      </c>
      <c r="Q6361" t="n">
        <v>0</v>
      </c>
      <c r="R6361" t="n">
        <v>0</v>
      </c>
      <c r="S6361" t="n">
        <v>0</v>
      </c>
      <c r="T6361" t="n">
        <v>0</v>
      </c>
      <c r="U6361" t="n">
        <v>0</v>
      </c>
      <c r="V6361" s="2" t="inlineStr"/>
    </row>
    <row r="6362" ht="15" customHeight="1">
      <c r="A6362" t="inlineStr">
        <is>
          <t>A 28290-2026</t>
        </is>
      </c>
      <c r="B6362" t="inlineStr">
        <is>
          <t>avverkningsanmälan</t>
        </is>
      </c>
      <c r="C6362" t="inlineStr">
        <is>
          <t>Föryngringsavverkning</t>
        </is>
      </c>
      <c r="D6362" s="1" t="n">
        <v>46196</v>
      </c>
      <c r="E6362" s="1" t="n">
        <v>46323</v>
      </c>
      <c r="F6362" t="inlineStr">
        <is>
          <t>KALMAR LÄN</t>
        </is>
      </c>
      <c r="G6362" t="inlineStr">
        <is>
          <t>HULTSFRED</t>
        </is>
      </c>
      <c r="I6362" t="n">
        <v>1.6</v>
      </c>
      <c r="J6362" t="n">
        <v>0</v>
      </c>
      <c r="K6362" t="n">
        <v>0</v>
      </c>
      <c r="L6362" t="n">
        <v>0</v>
      </c>
      <c r="M6362" t="n">
        <v>0</v>
      </c>
      <c r="N6362" t="n">
        <v>0</v>
      </c>
      <c r="O6362" t="n">
        <v>0</v>
      </c>
      <c r="P6362" t="n">
        <v>0</v>
      </c>
      <c r="Q6362" t="n">
        <v>0</v>
      </c>
      <c r="R6362" t="n">
        <v>0</v>
      </c>
      <c r="S6362" t="n">
        <v>0</v>
      </c>
      <c r="T6362" t="n">
        <v>0</v>
      </c>
      <c r="U6362" t="n">
        <v>0</v>
      </c>
      <c r="V6362" s="2" t="inlineStr"/>
    </row>
    <row r="6363" ht="15" customHeight="1">
      <c r="A6363" t="inlineStr">
        <is>
          <t>A 1852-2026</t>
        </is>
      </c>
      <c r="B6363" t="inlineStr">
        <is>
          <t>avverkningsanmälan</t>
        </is>
      </c>
      <c r="C6363" t="inlineStr">
        <is>
          <t>Föryngringsavverkning</t>
        </is>
      </c>
      <c r="D6363" s="1" t="n">
        <v>46035</v>
      </c>
      <c r="E6363" s="1" t="n">
        <v>46323</v>
      </c>
      <c r="F6363" t="inlineStr">
        <is>
          <t>KALMAR LÄN</t>
        </is>
      </c>
      <c r="G6363" t="inlineStr">
        <is>
          <t>HULTSFRED</t>
        </is>
      </c>
      <c r="I6363" t="n">
        <v>3.2</v>
      </c>
      <c r="J6363" t="n">
        <v>0</v>
      </c>
      <c r="K6363" t="n">
        <v>0</v>
      </c>
      <c r="L6363" t="n">
        <v>0</v>
      </c>
      <c r="M6363" t="n">
        <v>0</v>
      </c>
      <c r="N6363" t="n">
        <v>0</v>
      </c>
      <c r="O6363" t="n">
        <v>0</v>
      </c>
      <c r="P6363" t="n">
        <v>0</v>
      </c>
      <c r="Q6363" t="n">
        <v>0</v>
      </c>
      <c r="R6363" t="n">
        <v>0</v>
      </c>
      <c r="S6363" t="n">
        <v>0</v>
      </c>
      <c r="T6363" t="n">
        <v>0</v>
      </c>
      <c r="U6363" t="n">
        <v>0</v>
      </c>
      <c r="V6363" s="2" t="inlineStr"/>
    </row>
    <row r="6364" ht="15" customHeight="1">
      <c r="A6364" t="inlineStr">
        <is>
          <t>A 2185-2026</t>
        </is>
      </c>
      <c r="B6364" t="inlineStr">
        <is>
          <t>avverkningsanmälan</t>
        </is>
      </c>
      <c r="C6364" t="inlineStr">
        <is>
          <t>Föryngringsavverkning</t>
        </is>
      </c>
      <c r="D6364" s="1" t="n">
        <v>46036</v>
      </c>
      <c r="E6364" s="1" t="n">
        <v>46323</v>
      </c>
      <c r="F6364" t="inlineStr">
        <is>
          <t>KALMAR LÄN</t>
        </is>
      </c>
      <c r="G6364" t="inlineStr">
        <is>
          <t>KALMAR</t>
        </is>
      </c>
      <c r="I6364" t="n">
        <v>1.9</v>
      </c>
      <c r="J6364" t="n">
        <v>0</v>
      </c>
      <c r="K6364" t="n">
        <v>0</v>
      </c>
      <c r="L6364" t="n">
        <v>0</v>
      </c>
      <c r="M6364" t="n">
        <v>0</v>
      </c>
      <c r="N6364" t="n">
        <v>0</v>
      </c>
      <c r="O6364" t="n">
        <v>0</v>
      </c>
      <c r="P6364" t="n">
        <v>0</v>
      </c>
      <c r="Q6364" t="n">
        <v>0</v>
      </c>
      <c r="R6364" t="n">
        <v>0</v>
      </c>
      <c r="S6364" t="n">
        <v>0</v>
      </c>
      <c r="T6364" t="n">
        <v>0</v>
      </c>
      <c r="U6364" t="n">
        <v>0</v>
      </c>
      <c r="V6364" s="2" t="inlineStr"/>
    </row>
    <row r="6365" ht="15" customHeight="1">
      <c r="A6365" t="inlineStr">
        <is>
          <t>A 28118-2026</t>
        </is>
      </c>
      <c r="B6365" t="inlineStr">
        <is>
          <t>avverkningsanmälan</t>
        </is>
      </c>
      <c r="C6365" t="inlineStr">
        <is>
          <t>Föryngringsavverkning</t>
        </is>
      </c>
      <c r="D6365" s="1" t="n">
        <v>46195</v>
      </c>
      <c r="E6365" s="1" t="n">
        <v>46323</v>
      </c>
      <c r="F6365" t="inlineStr">
        <is>
          <t>KALMAR LÄN</t>
        </is>
      </c>
      <c r="G6365" t="inlineStr">
        <is>
          <t>MÖNSTERÅS</t>
        </is>
      </c>
      <c r="I6365" t="n">
        <v>1</v>
      </c>
      <c r="J6365" t="n">
        <v>0</v>
      </c>
      <c r="K6365" t="n">
        <v>0</v>
      </c>
      <c r="L6365" t="n">
        <v>0</v>
      </c>
      <c r="M6365" t="n">
        <v>0</v>
      </c>
      <c r="N6365" t="n">
        <v>0</v>
      </c>
      <c r="O6365" t="n">
        <v>0</v>
      </c>
      <c r="P6365" t="n">
        <v>0</v>
      </c>
      <c r="Q6365" t="n">
        <v>0</v>
      </c>
      <c r="R6365" t="n">
        <v>0</v>
      </c>
      <c r="S6365" t="n">
        <v>0</v>
      </c>
      <c r="T6365" t="n">
        <v>0</v>
      </c>
      <c r="U6365" t="n">
        <v>0</v>
      </c>
      <c r="V6365" s="2" t="inlineStr"/>
    </row>
    <row r="6366" ht="15" customHeight="1">
      <c r="A6366" t="inlineStr">
        <is>
          <t>A 28031-2026</t>
        </is>
      </c>
      <c r="B6366" t="inlineStr">
        <is>
          <t>avverkningsanmälan</t>
        </is>
      </c>
      <c r="C6366" t="inlineStr">
        <is>
          <t>Föryngringsavverkning</t>
        </is>
      </c>
      <c r="D6366" s="1" t="n">
        <v>46195</v>
      </c>
      <c r="E6366" s="1" t="n">
        <v>46323</v>
      </c>
      <c r="F6366" t="inlineStr">
        <is>
          <t>KALMAR LÄN</t>
        </is>
      </c>
      <c r="G6366" t="inlineStr">
        <is>
          <t>OSKARSHAMN</t>
        </is>
      </c>
      <c r="I6366" t="n">
        <v>6.7</v>
      </c>
      <c r="J6366" t="n">
        <v>0</v>
      </c>
      <c r="K6366" t="n">
        <v>0</v>
      </c>
      <c r="L6366" t="n">
        <v>0</v>
      </c>
      <c r="M6366" t="n">
        <v>0</v>
      </c>
      <c r="N6366" t="n">
        <v>0</v>
      </c>
      <c r="O6366" t="n">
        <v>0</v>
      </c>
      <c r="P6366" t="n">
        <v>0</v>
      </c>
      <c r="Q6366" t="n">
        <v>0</v>
      </c>
      <c r="R6366" t="n">
        <v>0</v>
      </c>
      <c r="S6366" t="n">
        <v>0</v>
      </c>
      <c r="T6366" t="n">
        <v>0</v>
      </c>
      <c r="U6366" t="n">
        <v>0</v>
      </c>
      <c r="V6366" s="2" t="inlineStr"/>
    </row>
    <row r="6367" ht="15" customHeight="1">
      <c r="A6367" t="inlineStr">
        <is>
          <t>A 27977-2026</t>
        </is>
      </c>
      <c r="B6367" t="inlineStr">
        <is>
          <t>avverkningsanmälan</t>
        </is>
      </c>
      <c r="C6367" t="inlineStr">
        <is>
          <t>Föryngringsavverkning</t>
        </is>
      </c>
      <c r="D6367" s="1" t="n">
        <v>46195</v>
      </c>
      <c r="E6367" s="1" t="n">
        <v>46323</v>
      </c>
      <c r="F6367" t="inlineStr">
        <is>
          <t>KALMAR LÄN</t>
        </is>
      </c>
      <c r="G6367" t="inlineStr">
        <is>
          <t>HULTSFRED</t>
        </is>
      </c>
      <c r="H6367" t="inlineStr">
        <is>
          <t>Kyrkan</t>
        </is>
      </c>
      <c r="I6367" t="n">
        <v>7.1</v>
      </c>
      <c r="J6367" t="n">
        <v>0</v>
      </c>
      <c r="K6367" t="n">
        <v>0</v>
      </c>
      <c r="L6367" t="n">
        <v>0</v>
      </c>
      <c r="M6367" t="n">
        <v>0</v>
      </c>
      <c r="N6367" t="n">
        <v>0</v>
      </c>
      <c r="O6367" t="n">
        <v>0</v>
      </c>
      <c r="P6367" t="n">
        <v>0</v>
      </c>
      <c r="Q6367" t="n">
        <v>0</v>
      </c>
      <c r="R6367" t="n">
        <v>0</v>
      </c>
      <c r="S6367" t="n">
        <v>0</v>
      </c>
      <c r="T6367" t="n">
        <v>0</v>
      </c>
      <c r="U6367" t="n">
        <v>0</v>
      </c>
      <c r="V6367" s="2" t="inlineStr"/>
    </row>
    <row r="6368" ht="15" customHeight="1">
      <c r="A6368" t="inlineStr">
        <is>
          <t>A 28103-2026</t>
        </is>
      </c>
      <c r="B6368" t="inlineStr">
        <is>
          <t>avverkningsanmälan</t>
        </is>
      </c>
      <c r="C6368" t="inlineStr">
        <is>
          <t>Föryngringsavverkning</t>
        </is>
      </c>
      <c r="D6368" s="1" t="n">
        <v>46195</v>
      </c>
      <c r="E6368" s="1" t="n">
        <v>46323</v>
      </c>
      <c r="F6368" t="inlineStr">
        <is>
          <t>KALMAR LÄN</t>
        </is>
      </c>
      <c r="G6368" t="inlineStr">
        <is>
          <t>MÖNSTERÅS</t>
        </is>
      </c>
      <c r="I6368" t="n">
        <v>0.6</v>
      </c>
      <c r="J6368" t="n">
        <v>0</v>
      </c>
      <c r="K6368" t="n">
        <v>0</v>
      </c>
      <c r="L6368" t="n">
        <v>0</v>
      </c>
      <c r="M6368" t="n">
        <v>0</v>
      </c>
      <c r="N6368" t="n">
        <v>0</v>
      </c>
      <c r="O6368" t="n">
        <v>0</v>
      </c>
      <c r="P6368" t="n">
        <v>0</v>
      </c>
      <c r="Q6368" t="n">
        <v>0</v>
      </c>
      <c r="R6368" t="n">
        <v>0</v>
      </c>
      <c r="S6368" t="n">
        <v>0</v>
      </c>
      <c r="T6368" t="n">
        <v>0</v>
      </c>
      <c r="U6368" t="n">
        <v>0</v>
      </c>
      <c r="V6368" s="2" t="inlineStr"/>
    </row>
    <row r="6369" ht="15" customHeight="1">
      <c r="A6369" t="inlineStr">
        <is>
          <t>A 22839-2026</t>
        </is>
      </c>
      <c r="B6369" t="inlineStr">
        <is>
          <t>avverkningsanmälan</t>
        </is>
      </c>
      <c r="C6369" t="inlineStr">
        <is>
          <t>Föryngringsavverkning</t>
        </is>
      </c>
      <c r="D6369" s="1" t="n">
        <v>46160</v>
      </c>
      <c r="E6369" s="1" t="n">
        <v>46323</v>
      </c>
      <c r="F6369" t="inlineStr">
        <is>
          <t>KALMAR LÄN</t>
        </is>
      </c>
      <c r="G6369" t="inlineStr">
        <is>
          <t>MÖNSTERÅS</t>
        </is>
      </c>
      <c r="H6369" t="inlineStr">
        <is>
          <t>Kommuner</t>
        </is>
      </c>
      <c r="I6369" t="n">
        <v>0.7</v>
      </c>
      <c r="J6369" t="n">
        <v>0</v>
      </c>
      <c r="K6369" t="n">
        <v>0</v>
      </c>
      <c r="L6369" t="n">
        <v>0</v>
      </c>
      <c r="M6369" t="n">
        <v>0</v>
      </c>
      <c r="N6369" t="n">
        <v>0</v>
      </c>
      <c r="O6369" t="n">
        <v>0</v>
      </c>
      <c r="P6369" t="n">
        <v>0</v>
      </c>
      <c r="Q6369" t="n">
        <v>0</v>
      </c>
      <c r="R6369" t="n">
        <v>0</v>
      </c>
      <c r="S6369" t="n">
        <v>0</v>
      </c>
      <c r="T6369" t="n">
        <v>0</v>
      </c>
      <c r="U6369" t="n">
        <v>0</v>
      </c>
      <c r="V6369" s="2" t="inlineStr"/>
    </row>
    <row r="6370" ht="15" customHeight="1">
      <c r="A6370" t="inlineStr">
        <is>
          <t>A 44461-2025</t>
        </is>
      </c>
      <c r="B6370" t="inlineStr">
        <is>
          <t>avverkningsanmälan</t>
        </is>
      </c>
      <c r="C6370" t="inlineStr">
        <is>
          <t>Föryngringsavverkning</t>
        </is>
      </c>
      <c r="D6370" s="1" t="n">
        <v>45916</v>
      </c>
      <c r="E6370" s="1" t="n">
        <v>46323</v>
      </c>
      <c r="F6370" t="inlineStr">
        <is>
          <t>KALMAR LÄN</t>
        </is>
      </c>
      <c r="G6370" t="inlineStr">
        <is>
          <t>VÄSTERVIK</t>
        </is>
      </c>
      <c r="I6370" t="n">
        <v>3.4</v>
      </c>
      <c r="J6370" t="n">
        <v>0</v>
      </c>
      <c r="K6370" t="n">
        <v>0</v>
      </c>
      <c r="L6370" t="n">
        <v>0</v>
      </c>
      <c r="M6370" t="n">
        <v>0</v>
      </c>
      <c r="N6370" t="n">
        <v>0</v>
      </c>
      <c r="O6370" t="n">
        <v>0</v>
      </c>
      <c r="P6370" t="n">
        <v>0</v>
      </c>
      <c r="Q6370" t="n">
        <v>0</v>
      </c>
      <c r="R6370" t="n">
        <v>0</v>
      </c>
      <c r="S6370" t="n">
        <v>0</v>
      </c>
      <c r="T6370" t="n">
        <v>0</v>
      </c>
      <c r="U6370" t="n">
        <v>0</v>
      </c>
      <c r="V6370" s="2" t="inlineStr"/>
    </row>
    <row r="6371" ht="15" customHeight="1">
      <c r="A6371" t="inlineStr">
        <is>
          <t>A 28047-2026</t>
        </is>
      </c>
      <c r="B6371" t="inlineStr">
        <is>
          <t>avverkningsanmälan</t>
        </is>
      </c>
      <c r="C6371" t="inlineStr">
        <is>
          <t>Föryngringsavverkning</t>
        </is>
      </c>
      <c r="D6371" s="1" t="n">
        <v>46195</v>
      </c>
      <c r="E6371" s="1" t="n">
        <v>46323</v>
      </c>
      <c r="F6371" t="inlineStr">
        <is>
          <t>KALMAR LÄN</t>
        </is>
      </c>
      <c r="G6371" t="inlineStr">
        <is>
          <t>OSKARSHAMN</t>
        </is>
      </c>
      <c r="I6371" t="n">
        <v>6.3</v>
      </c>
      <c r="J6371" t="n">
        <v>0</v>
      </c>
      <c r="K6371" t="n">
        <v>0</v>
      </c>
      <c r="L6371" t="n">
        <v>0</v>
      </c>
      <c r="M6371" t="n">
        <v>0</v>
      </c>
      <c r="N6371" t="n">
        <v>0</v>
      </c>
      <c r="O6371" t="n">
        <v>0</v>
      </c>
      <c r="P6371" t="n">
        <v>0</v>
      </c>
      <c r="Q6371" t="n">
        <v>0</v>
      </c>
      <c r="R6371" t="n">
        <v>0</v>
      </c>
      <c r="S6371" t="n">
        <v>0</v>
      </c>
      <c r="T6371" t="n">
        <v>0</v>
      </c>
      <c r="U6371" t="n">
        <v>0</v>
      </c>
      <c r="V6371" s="2" t="inlineStr"/>
    </row>
    <row r="6372" ht="15" customHeight="1">
      <c r="A6372" t="inlineStr">
        <is>
          <t>A 17223-2026</t>
        </is>
      </c>
      <c r="B6372" t="inlineStr">
        <is>
          <t>avverkningsanmälan</t>
        </is>
      </c>
      <c r="C6372" t="inlineStr">
        <is>
          <t>Föryngringsavverkning</t>
        </is>
      </c>
      <c r="D6372" s="1" t="n">
        <v>46119</v>
      </c>
      <c r="E6372" s="1" t="n">
        <v>46323</v>
      </c>
      <c r="F6372" t="inlineStr">
        <is>
          <t>KALMAR LÄN</t>
        </is>
      </c>
      <c r="G6372" t="inlineStr">
        <is>
          <t>TORSÅS</t>
        </is>
      </c>
      <c r="I6372" t="n">
        <v>0.9</v>
      </c>
      <c r="J6372" t="n">
        <v>0</v>
      </c>
      <c r="K6372" t="n">
        <v>0</v>
      </c>
      <c r="L6372" t="n">
        <v>0</v>
      </c>
      <c r="M6372" t="n">
        <v>0</v>
      </c>
      <c r="N6372" t="n">
        <v>0</v>
      </c>
      <c r="O6372" t="n">
        <v>0</v>
      </c>
      <c r="P6372" t="n">
        <v>0</v>
      </c>
      <c r="Q6372" t="n">
        <v>0</v>
      </c>
      <c r="R6372" t="n">
        <v>0</v>
      </c>
      <c r="S6372" t="n">
        <v>0</v>
      </c>
      <c r="T6372" t="n">
        <v>0</v>
      </c>
      <c r="U6372" t="n">
        <v>0</v>
      </c>
      <c r="V6372" s="2" t="inlineStr"/>
    </row>
    <row r="6373" ht="15" customHeight="1">
      <c r="A6373" t="inlineStr">
        <is>
          <t>A 28368-2026</t>
        </is>
      </c>
      <c r="B6373" t="inlineStr">
        <is>
          <t>avverkningsanmälan</t>
        </is>
      </c>
      <c r="C6373" t="inlineStr">
        <is>
          <t>Föryngringsavverkning</t>
        </is>
      </c>
      <c r="D6373" s="1" t="n">
        <v>46196</v>
      </c>
      <c r="E6373" s="1" t="n">
        <v>46323</v>
      </c>
      <c r="F6373" t="inlineStr">
        <is>
          <t>KALMAR LÄN</t>
        </is>
      </c>
      <c r="G6373" t="inlineStr">
        <is>
          <t>MÖNSTERÅS</t>
        </is>
      </c>
      <c r="I6373" t="n">
        <v>1.3</v>
      </c>
      <c r="J6373" t="n">
        <v>0</v>
      </c>
      <c r="K6373" t="n">
        <v>0</v>
      </c>
      <c r="L6373" t="n">
        <v>0</v>
      </c>
      <c r="M6373" t="n">
        <v>0</v>
      </c>
      <c r="N6373" t="n">
        <v>0</v>
      </c>
      <c r="O6373" t="n">
        <v>0</v>
      </c>
      <c r="P6373" t="n">
        <v>0</v>
      </c>
      <c r="Q6373" t="n">
        <v>0</v>
      </c>
      <c r="R6373" t="n">
        <v>0</v>
      </c>
      <c r="S6373" t="n">
        <v>0</v>
      </c>
      <c r="T6373" t="n">
        <v>0</v>
      </c>
      <c r="U6373" t="n">
        <v>0</v>
      </c>
      <c r="V6373" s="2" t="inlineStr"/>
    </row>
    <row r="6374" ht="15" customHeight="1">
      <c r="A6374" t="inlineStr">
        <is>
          <t>A 17417-2026</t>
        </is>
      </c>
      <c r="B6374" t="inlineStr">
        <is>
          <t>avverkningsanmälan</t>
        </is>
      </c>
      <c r="C6374" t="inlineStr">
        <is>
          <t>Föryngringsavverkning</t>
        </is>
      </c>
      <c r="D6374" s="1" t="n">
        <v>46120</v>
      </c>
      <c r="E6374" s="1" t="n">
        <v>46323</v>
      </c>
      <c r="F6374" t="inlineStr">
        <is>
          <t>KALMAR LÄN</t>
        </is>
      </c>
      <c r="G6374" t="inlineStr">
        <is>
          <t>EMMABODA</t>
        </is>
      </c>
      <c r="I6374" t="n">
        <v>1</v>
      </c>
      <c r="J6374" t="n">
        <v>0</v>
      </c>
      <c r="K6374" t="n">
        <v>0</v>
      </c>
      <c r="L6374" t="n">
        <v>0</v>
      </c>
      <c r="M6374" t="n">
        <v>0</v>
      </c>
      <c r="N6374" t="n">
        <v>0</v>
      </c>
      <c r="O6374" t="n">
        <v>0</v>
      </c>
      <c r="P6374" t="n">
        <v>0</v>
      </c>
      <c r="Q6374" t="n">
        <v>0</v>
      </c>
      <c r="R6374" t="n">
        <v>0</v>
      </c>
      <c r="S6374" t="n">
        <v>0</v>
      </c>
      <c r="T6374" t="n">
        <v>0</v>
      </c>
      <c r="U6374" t="n">
        <v>0</v>
      </c>
      <c r="V6374" s="2" t="inlineStr"/>
    </row>
    <row r="6375" ht="15" customHeight="1">
      <c r="A6375" t="inlineStr">
        <is>
          <t>A 27972-2026</t>
        </is>
      </c>
      <c r="B6375" t="inlineStr">
        <is>
          <t>avverkningsanmälan</t>
        </is>
      </c>
      <c r="C6375" t="inlineStr">
        <is>
          <t>Föryngringsavverkning</t>
        </is>
      </c>
      <c r="D6375" s="1" t="n">
        <v>46195</v>
      </c>
      <c r="E6375" s="1" t="n">
        <v>46323</v>
      </c>
      <c r="F6375" t="inlineStr">
        <is>
          <t>KALMAR LÄN</t>
        </is>
      </c>
      <c r="G6375" t="inlineStr">
        <is>
          <t>HULTSFRED</t>
        </is>
      </c>
      <c r="H6375" t="inlineStr">
        <is>
          <t>Kyrkan</t>
        </is>
      </c>
      <c r="I6375" t="n">
        <v>3.6</v>
      </c>
      <c r="J6375" t="n">
        <v>0</v>
      </c>
      <c r="K6375" t="n">
        <v>0</v>
      </c>
      <c r="L6375" t="n">
        <v>0</v>
      </c>
      <c r="M6375" t="n">
        <v>0</v>
      </c>
      <c r="N6375" t="n">
        <v>0</v>
      </c>
      <c r="O6375" t="n">
        <v>0</v>
      </c>
      <c r="P6375" t="n">
        <v>0</v>
      </c>
      <c r="Q6375" t="n">
        <v>0</v>
      </c>
      <c r="R6375" t="n">
        <v>0</v>
      </c>
      <c r="S6375" t="n">
        <v>0</v>
      </c>
      <c r="T6375" t="n">
        <v>0</v>
      </c>
      <c r="U6375" t="n">
        <v>0</v>
      </c>
      <c r="V6375" s="2" t="inlineStr"/>
    </row>
    <row r="6376" ht="15" customHeight="1">
      <c r="A6376" t="inlineStr">
        <is>
          <t>A 58503-2025</t>
        </is>
      </c>
      <c r="B6376" t="inlineStr">
        <is>
          <t>avverkningsanmälan</t>
        </is>
      </c>
      <c r="C6376" t="inlineStr">
        <is>
          <t>Föryngringsavverkning</t>
        </is>
      </c>
      <c r="D6376" s="1" t="n">
        <v>45985</v>
      </c>
      <c r="E6376" s="1" t="n">
        <v>46323</v>
      </c>
      <c r="F6376" t="inlineStr">
        <is>
          <t>KALMAR LÄN</t>
        </is>
      </c>
      <c r="G6376" t="inlineStr">
        <is>
          <t>VIMMERBY</t>
        </is>
      </c>
      <c r="I6376" t="n">
        <v>1.6</v>
      </c>
      <c r="J6376" t="n">
        <v>0</v>
      </c>
      <c r="K6376" t="n">
        <v>0</v>
      </c>
      <c r="L6376" t="n">
        <v>0</v>
      </c>
      <c r="M6376" t="n">
        <v>0</v>
      </c>
      <c r="N6376" t="n">
        <v>0</v>
      </c>
      <c r="O6376" t="n">
        <v>0</v>
      </c>
      <c r="P6376" t="n">
        <v>0</v>
      </c>
      <c r="Q6376" t="n">
        <v>0</v>
      </c>
      <c r="R6376" t="n">
        <v>0</v>
      </c>
      <c r="S6376" t="n">
        <v>0</v>
      </c>
      <c r="T6376" t="n">
        <v>0</v>
      </c>
      <c r="U6376" t="n">
        <v>0</v>
      </c>
      <c r="V6376" s="2" t="inlineStr"/>
    </row>
    <row r="6377" ht="15" customHeight="1">
      <c r="A6377" t="inlineStr">
        <is>
          <t>A 24636-2026</t>
        </is>
      </c>
      <c r="B6377" t="inlineStr">
        <is>
          <t>avverkningsanmälan</t>
        </is>
      </c>
      <c r="C6377" t="inlineStr">
        <is>
          <t>Föryngringsavverkning</t>
        </is>
      </c>
      <c r="D6377" s="1" t="n">
        <v>46171</v>
      </c>
      <c r="E6377" s="1" t="n">
        <v>46323</v>
      </c>
      <c r="F6377" t="inlineStr">
        <is>
          <t>KALMAR LÄN</t>
        </is>
      </c>
      <c r="G6377" t="inlineStr">
        <is>
          <t>MÖNSTERÅS</t>
        </is>
      </c>
      <c r="I6377" t="n">
        <v>1.2</v>
      </c>
      <c r="J6377" t="n">
        <v>0</v>
      </c>
      <c r="K6377" t="n">
        <v>0</v>
      </c>
      <c r="L6377" t="n">
        <v>0</v>
      </c>
      <c r="M6377" t="n">
        <v>0</v>
      </c>
      <c r="N6377" t="n">
        <v>0</v>
      </c>
      <c r="O6377" t="n">
        <v>0</v>
      </c>
      <c r="P6377" t="n">
        <v>0</v>
      </c>
      <c r="Q6377" t="n">
        <v>0</v>
      </c>
      <c r="R6377" t="n">
        <v>0</v>
      </c>
      <c r="S6377" t="n">
        <v>0</v>
      </c>
      <c r="T6377" t="n">
        <v>0</v>
      </c>
      <c r="U6377" t="n">
        <v>0</v>
      </c>
      <c r="V6377" s="2" t="inlineStr"/>
    </row>
    <row r="6378" ht="15" customHeight="1">
      <c r="A6378" t="inlineStr">
        <is>
          <t>A 28982-2026</t>
        </is>
      </c>
      <c r="B6378" t="inlineStr">
        <is>
          <t>avverkningsanmälan</t>
        </is>
      </c>
      <c r="C6378" t="inlineStr">
        <is>
          <t>Föryngringsavverkning</t>
        </is>
      </c>
      <c r="D6378" s="1" t="n">
        <v>46196</v>
      </c>
      <c r="E6378" s="1" t="n">
        <v>46323</v>
      </c>
      <c r="F6378" t="inlineStr">
        <is>
          <t>KALMAR LÄN</t>
        </is>
      </c>
      <c r="G6378" t="inlineStr">
        <is>
          <t>EMMABODA</t>
        </is>
      </c>
      <c r="H6378" t="inlineStr">
        <is>
          <t>Kyrkan</t>
        </is>
      </c>
      <c r="I6378" t="n">
        <v>0.3</v>
      </c>
      <c r="J6378" t="n">
        <v>0</v>
      </c>
      <c r="K6378" t="n">
        <v>0</v>
      </c>
      <c r="L6378" t="n">
        <v>0</v>
      </c>
      <c r="M6378" t="n">
        <v>0</v>
      </c>
      <c r="N6378" t="n">
        <v>0</v>
      </c>
      <c r="O6378" t="n">
        <v>0</v>
      </c>
      <c r="P6378" t="n">
        <v>0</v>
      </c>
      <c r="Q6378" t="n">
        <v>0</v>
      </c>
      <c r="R6378" t="n">
        <v>0</v>
      </c>
      <c r="S6378" t="n">
        <v>0</v>
      </c>
      <c r="T6378" t="n">
        <v>0</v>
      </c>
      <c r="U6378" t="n">
        <v>0</v>
      </c>
      <c r="V6378" s="2" t="inlineStr"/>
    </row>
    <row r="6379" ht="15" customHeight="1">
      <c r="A6379" t="inlineStr">
        <is>
          <t>A 28996-2026</t>
        </is>
      </c>
      <c r="B6379" t="inlineStr">
        <is>
          <t>avverkningsanmälan</t>
        </is>
      </c>
      <c r="C6379" t="inlineStr">
        <is>
          <t>Föryngringsavverkning</t>
        </is>
      </c>
      <c r="D6379" s="1" t="n">
        <v>46196</v>
      </c>
      <c r="E6379" s="1" t="n">
        <v>46323</v>
      </c>
      <c r="F6379" t="inlineStr">
        <is>
          <t>KALMAR LÄN</t>
        </is>
      </c>
      <c r="G6379" t="inlineStr">
        <is>
          <t>EMMABODA</t>
        </is>
      </c>
      <c r="H6379" t="inlineStr">
        <is>
          <t>Kyrkan</t>
        </is>
      </c>
      <c r="I6379" t="n">
        <v>7.5</v>
      </c>
      <c r="J6379" t="n">
        <v>0</v>
      </c>
      <c r="K6379" t="n">
        <v>0</v>
      </c>
      <c r="L6379" t="n">
        <v>0</v>
      </c>
      <c r="M6379" t="n">
        <v>0</v>
      </c>
      <c r="N6379" t="n">
        <v>0</v>
      </c>
      <c r="O6379" t="n">
        <v>0</v>
      </c>
      <c r="P6379" t="n">
        <v>0</v>
      </c>
      <c r="Q6379" t="n">
        <v>0</v>
      </c>
      <c r="R6379" t="n">
        <v>0</v>
      </c>
      <c r="S6379" t="n">
        <v>0</v>
      </c>
      <c r="T6379" t="n">
        <v>0</v>
      </c>
      <c r="U6379" t="n">
        <v>0</v>
      </c>
      <c r="V6379" s="2" t="inlineStr"/>
    </row>
    <row r="6380" ht="15" customHeight="1">
      <c r="A6380" t="inlineStr">
        <is>
          <t>A 28990-2026</t>
        </is>
      </c>
      <c r="B6380" t="inlineStr">
        <is>
          <t>avverkningsanmälan</t>
        </is>
      </c>
      <c r="C6380" t="inlineStr">
        <is>
          <t>Föryngringsavverkning</t>
        </is>
      </c>
      <c r="D6380" s="1" t="n">
        <v>46196</v>
      </c>
      <c r="E6380" s="1" t="n">
        <v>46323</v>
      </c>
      <c r="F6380" t="inlineStr">
        <is>
          <t>KALMAR LÄN</t>
        </is>
      </c>
      <c r="G6380" t="inlineStr">
        <is>
          <t>EMMABODA</t>
        </is>
      </c>
      <c r="H6380" t="inlineStr">
        <is>
          <t>Kyrkan</t>
        </is>
      </c>
      <c r="I6380" t="n">
        <v>0.5</v>
      </c>
      <c r="J6380" t="n">
        <v>0</v>
      </c>
      <c r="K6380" t="n">
        <v>0</v>
      </c>
      <c r="L6380" t="n">
        <v>0</v>
      </c>
      <c r="M6380" t="n">
        <v>0</v>
      </c>
      <c r="N6380" t="n">
        <v>0</v>
      </c>
      <c r="O6380" t="n">
        <v>0</v>
      </c>
      <c r="P6380" t="n">
        <v>0</v>
      </c>
      <c r="Q6380" t="n">
        <v>0</v>
      </c>
      <c r="R6380" t="n">
        <v>0</v>
      </c>
      <c r="S6380" t="n">
        <v>0</v>
      </c>
      <c r="T6380" t="n">
        <v>0</v>
      </c>
      <c r="U6380" t="n">
        <v>0</v>
      </c>
      <c r="V6380" s="2" t="inlineStr"/>
    </row>
    <row r="6381" ht="15" customHeight="1">
      <c r="A6381" t="inlineStr">
        <is>
          <t>A 28437-2026</t>
        </is>
      </c>
      <c r="B6381" t="inlineStr">
        <is>
          <t>avverkningsanmälan</t>
        </is>
      </c>
      <c r="C6381" t="inlineStr">
        <is>
          <t>Föryngringsavverkning</t>
        </is>
      </c>
      <c r="D6381" s="1" t="n">
        <v>46197</v>
      </c>
      <c r="E6381" s="1" t="n">
        <v>46323</v>
      </c>
      <c r="F6381" t="inlineStr">
        <is>
          <t>KALMAR LÄN</t>
        </is>
      </c>
      <c r="G6381" t="inlineStr">
        <is>
          <t>NYBRO</t>
        </is>
      </c>
      <c r="H6381" t="inlineStr">
        <is>
          <t>Sveaskog</t>
        </is>
      </c>
      <c r="I6381" t="n">
        <v>4.7</v>
      </c>
      <c r="J6381" t="n">
        <v>0</v>
      </c>
      <c r="K6381" t="n">
        <v>0</v>
      </c>
      <c r="L6381" t="n">
        <v>0</v>
      </c>
      <c r="M6381" t="n">
        <v>0</v>
      </c>
      <c r="N6381" t="n">
        <v>0</v>
      </c>
      <c r="O6381" t="n">
        <v>0</v>
      </c>
      <c r="P6381" t="n">
        <v>0</v>
      </c>
      <c r="Q6381" t="n">
        <v>0</v>
      </c>
      <c r="R6381" t="n">
        <v>0</v>
      </c>
      <c r="S6381" t="n">
        <v>0</v>
      </c>
      <c r="T6381" t="n">
        <v>0</v>
      </c>
      <c r="U6381" t="n">
        <v>0</v>
      </c>
      <c r="V6381" s="2" t="inlineStr"/>
    </row>
    <row r="6382" ht="15" customHeight="1">
      <c r="A6382" t="inlineStr">
        <is>
          <t>A 28447-2026</t>
        </is>
      </c>
      <c r="B6382" t="inlineStr">
        <is>
          <t>avverkningsanmälan</t>
        </is>
      </c>
      <c r="C6382" t="inlineStr">
        <is>
          <t>Avverkning för annat ändamål</t>
        </is>
      </c>
      <c r="D6382" s="1" t="n">
        <v>46197</v>
      </c>
      <c r="E6382" s="1" t="n">
        <v>46323</v>
      </c>
      <c r="F6382" t="inlineStr">
        <is>
          <t>KALMAR LÄN</t>
        </is>
      </c>
      <c r="G6382" t="inlineStr">
        <is>
          <t>VÄSTERVIK</t>
        </is>
      </c>
      <c r="I6382" t="n">
        <v>0.6</v>
      </c>
      <c r="J6382" t="n">
        <v>0</v>
      </c>
      <c r="K6382" t="n">
        <v>0</v>
      </c>
      <c r="L6382" t="n">
        <v>0</v>
      </c>
      <c r="M6382" t="n">
        <v>0</v>
      </c>
      <c r="N6382" t="n">
        <v>0</v>
      </c>
      <c r="O6382" t="n">
        <v>0</v>
      </c>
      <c r="P6382" t="n">
        <v>0</v>
      </c>
      <c r="Q6382" t="n">
        <v>0</v>
      </c>
      <c r="R6382" t="n">
        <v>0</v>
      </c>
      <c r="S6382" t="n">
        <v>0</v>
      </c>
      <c r="T6382" t="n">
        <v>0</v>
      </c>
      <c r="U6382" t="n">
        <v>0</v>
      </c>
      <c r="V6382" s="2" t="inlineStr"/>
    </row>
    <row r="6383" ht="15" customHeight="1">
      <c r="A6383" t="inlineStr">
        <is>
          <t>A 28296-2026</t>
        </is>
      </c>
      <c r="B6383" t="inlineStr">
        <is>
          <t>avverkningsanmälan</t>
        </is>
      </c>
      <c r="C6383" t="inlineStr">
        <is>
          <t>Föryngringsavverkning</t>
        </is>
      </c>
      <c r="D6383" s="1" t="n">
        <v>46196</v>
      </c>
      <c r="E6383" s="1" t="n">
        <v>46323</v>
      </c>
      <c r="F6383" t="inlineStr">
        <is>
          <t>KALMAR LÄN</t>
        </is>
      </c>
      <c r="G6383" t="inlineStr">
        <is>
          <t>VIMMERBY</t>
        </is>
      </c>
      <c r="I6383" t="n">
        <v>1.1</v>
      </c>
      <c r="J6383" t="n">
        <v>0</v>
      </c>
      <c r="K6383" t="n">
        <v>0</v>
      </c>
      <c r="L6383" t="n">
        <v>0</v>
      </c>
      <c r="M6383" t="n">
        <v>0</v>
      </c>
      <c r="N6383" t="n">
        <v>0</v>
      </c>
      <c r="O6383" t="n">
        <v>0</v>
      </c>
      <c r="P6383" t="n">
        <v>0</v>
      </c>
      <c r="Q6383" t="n">
        <v>0</v>
      </c>
      <c r="R6383" t="n">
        <v>0</v>
      </c>
      <c r="S6383" t="n">
        <v>0</v>
      </c>
      <c r="T6383" t="n">
        <v>0</v>
      </c>
      <c r="U6383" t="n">
        <v>0</v>
      </c>
      <c r="V6383" s="2" t="inlineStr"/>
    </row>
    <row r="6384" ht="15" customHeight="1">
      <c r="A6384" t="inlineStr">
        <is>
          <t>A 28453-2026</t>
        </is>
      </c>
      <c r="B6384" t="inlineStr">
        <is>
          <t>avverkningsanmälan</t>
        </is>
      </c>
      <c r="C6384" t="inlineStr">
        <is>
          <t>Avverkning för annat ändamål</t>
        </is>
      </c>
      <c r="D6384" s="1" t="n">
        <v>46197</v>
      </c>
      <c r="E6384" s="1" t="n">
        <v>46323</v>
      </c>
      <c r="F6384" t="inlineStr">
        <is>
          <t>KALMAR LÄN</t>
        </is>
      </c>
      <c r="G6384" t="inlineStr">
        <is>
          <t>VÄSTERVIK</t>
        </is>
      </c>
      <c r="I6384" t="n">
        <v>4.8</v>
      </c>
      <c r="J6384" t="n">
        <v>0</v>
      </c>
      <c r="K6384" t="n">
        <v>0</v>
      </c>
      <c r="L6384" t="n">
        <v>0</v>
      </c>
      <c r="M6384" t="n">
        <v>0</v>
      </c>
      <c r="N6384" t="n">
        <v>0</v>
      </c>
      <c r="O6384" t="n">
        <v>0</v>
      </c>
      <c r="P6384" t="n">
        <v>0</v>
      </c>
      <c r="Q6384" t="n">
        <v>0</v>
      </c>
      <c r="R6384" t="n">
        <v>0</v>
      </c>
      <c r="S6384" t="n">
        <v>0</v>
      </c>
      <c r="T6384" t="n">
        <v>0</v>
      </c>
      <c r="U6384" t="n">
        <v>0</v>
      </c>
      <c r="V6384" s="2" t="inlineStr"/>
    </row>
    <row r="6385" ht="15" customHeight="1">
      <c r="A6385" t="inlineStr">
        <is>
          <t>A 28438-2026</t>
        </is>
      </c>
      <c r="B6385" t="inlineStr">
        <is>
          <t>avverkningsanmälan</t>
        </is>
      </c>
      <c r="C6385" t="inlineStr">
        <is>
          <t>Föryngringsavverkning</t>
        </is>
      </c>
      <c r="D6385" s="1" t="n">
        <v>46197</v>
      </c>
      <c r="E6385" s="1" t="n">
        <v>46323</v>
      </c>
      <c r="F6385" t="inlineStr">
        <is>
          <t>KALMAR LÄN</t>
        </is>
      </c>
      <c r="G6385" t="inlineStr">
        <is>
          <t>NYBRO</t>
        </is>
      </c>
      <c r="H6385" t="inlineStr">
        <is>
          <t>Sveaskog</t>
        </is>
      </c>
      <c r="I6385" t="n">
        <v>0.8</v>
      </c>
      <c r="J6385" t="n">
        <v>0</v>
      </c>
      <c r="K6385" t="n">
        <v>0</v>
      </c>
      <c r="L6385" t="n">
        <v>0</v>
      </c>
      <c r="M6385" t="n">
        <v>0</v>
      </c>
      <c r="N6385" t="n">
        <v>0</v>
      </c>
      <c r="O6385" t="n">
        <v>0</v>
      </c>
      <c r="P6385" t="n">
        <v>0</v>
      </c>
      <c r="Q6385" t="n">
        <v>0</v>
      </c>
      <c r="R6385" t="n">
        <v>0</v>
      </c>
      <c r="S6385" t="n">
        <v>0</v>
      </c>
      <c r="T6385" t="n">
        <v>0</v>
      </c>
      <c r="U6385" t="n">
        <v>0</v>
      </c>
      <c r="V6385" s="2" t="inlineStr"/>
    </row>
    <row r="6386" ht="15" customHeight="1">
      <c r="A6386" t="inlineStr">
        <is>
          <t>A 28441-2026</t>
        </is>
      </c>
      <c r="B6386" t="inlineStr">
        <is>
          <t>avverkningsanmälan</t>
        </is>
      </c>
      <c r="C6386" t="inlineStr">
        <is>
          <t>Föryngringsavverkning</t>
        </is>
      </c>
      <c r="D6386" s="1" t="n">
        <v>46197</v>
      </c>
      <c r="E6386" s="1" t="n">
        <v>46323</v>
      </c>
      <c r="F6386" t="inlineStr">
        <is>
          <t>KALMAR LÄN</t>
        </is>
      </c>
      <c r="G6386" t="inlineStr">
        <is>
          <t>EMMABODA</t>
        </is>
      </c>
      <c r="H6386" t="inlineStr">
        <is>
          <t>Sveaskog</t>
        </is>
      </c>
      <c r="I6386" t="n">
        <v>3.4</v>
      </c>
      <c r="J6386" t="n">
        <v>0</v>
      </c>
      <c r="K6386" t="n">
        <v>0</v>
      </c>
      <c r="L6386" t="n">
        <v>0</v>
      </c>
      <c r="M6386" t="n">
        <v>0</v>
      </c>
      <c r="N6386" t="n">
        <v>0</v>
      </c>
      <c r="O6386" t="n">
        <v>0</v>
      </c>
      <c r="P6386" t="n">
        <v>0</v>
      </c>
      <c r="Q6386" t="n">
        <v>0</v>
      </c>
      <c r="R6386" t="n">
        <v>0</v>
      </c>
      <c r="S6386" t="n">
        <v>0</v>
      </c>
      <c r="T6386" t="n">
        <v>0</v>
      </c>
      <c r="U6386" t="n">
        <v>0</v>
      </c>
      <c r="V6386" s="2" t="inlineStr"/>
    </row>
    <row r="6387" ht="15" customHeight="1">
      <c r="A6387" t="inlineStr">
        <is>
          <t>A 28442-2026</t>
        </is>
      </c>
      <c r="B6387" t="inlineStr">
        <is>
          <t>avverkningsanmälan</t>
        </is>
      </c>
      <c r="C6387" t="inlineStr">
        <is>
          <t>Föryngringsavverkning</t>
        </is>
      </c>
      <c r="D6387" s="1" t="n">
        <v>46197</v>
      </c>
      <c r="E6387" s="1" t="n">
        <v>46323</v>
      </c>
      <c r="F6387" t="inlineStr">
        <is>
          <t>KALMAR LÄN</t>
        </is>
      </c>
      <c r="G6387" t="inlineStr">
        <is>
          <t>EMMABODA</t>
        </is>
      </c>
      <c r="H6387" t="inlineStr">
        <is>
          <t>Sveaskog</t>
        </is>
      </c>
      <c r="I6387" t="n">
        <v>2.2</v>
      </c>
      <c r="J6387" t="n">
        <v>0</v>
      </c>
      <c r="K6387" t="n">
        <v>0</v>
      </c>
      <c r="L6387" t="n">
        <v>0</v>
      </c>
      <c r="M6387" t="n">
        <v>0</v>
      </c>
      <c r="N6387" t="n">
        <v>0</v>
      </c>
      <c r="O6387" t="n">
        <v>0</v>
      </c>
      <c r="P6387" t="n">
        <v>0</v>
      </c>
      <c r="Q6387" t="n">
        <v>0</v>
      </c>
      <c r="R6387" t="n">
        <v>0</v>
      </c>
      <c r="S6387" t="n">
        <v>0</v>
      </c>
      <c r="T6387" t="n">
        <v>0</v>
      </c>
      <c r="U6387" t="n">
        <v>0</v>
      </c>
      <c r="V6387" s="2" t="inlineStr"/>
    </row>
    <row r="6388" ht="15" customHeight="1">
      <c r="A6388" t="inlineStr">
        <is>
          <t>A 28380-2026</t>
        </is>
      </c>
      <c r="B6388" t="inlineStr">
        <is>
          <t>avverkningsanmälan</t>
        </is>
      </c>
      <c r="C6388" t="inlineStr">
        <is>
          <t>Avverkning för att bevara och utveckla /försöksver</t>
        </is>
      </c>
      <c r="D6388" s="1" t="n">
        <v>46196</v>
      </c>
      <c r="E6388" s="1" t="n">
        <v>46323</v>
      </c>
      <c r="F6388" t="inlineStr">
        <is>
          <t>KALMAR LÄN</t>
        </is>
      </c>
      <c r="G6388" t="inlineStr">
        <is>
          <t>BORGHOLM</t>
        </is>
      </c>
      <c r="H6388" t="inlineStr">
        <is>
          <t>Sveaskog</t>
        </is>
      </c>
      <c r="I6388" t="n">
        <v>1.4</v>
      </c>
      <c r="J6388" t="n">
        <v>0</v>
      </c>
      <c r="K6388" t="n">
        <v>0</v>
      </c>
      <c r="L6388" t="n">
        <v>0</v>
      </c>
      <c r="M6388" t="n">
        <v>0</v>
      </c>
      <c r="N6388" t="n">
        <v>0</v>
      </c>
      <c r="O6388" t="n">
        <v>0</v>
      </c>
      <c r="P6388" t="n">
        <v>0</v>
      </c>
      <c r="Q6388" t="n">
        <v>0</v>
      </c>
      <c r="R6388" t="n">
        <v>0</v>
      </c>
      <c r="S6388" t="n">
        <v>0</v>
      </c>
      <c r="T6388" t="n">
        <v>0</v>
      </c>
      <c r="U6388" t="n">
        <v>0</v>
      </c>
      <c r="V6388" s="2" t="inlineStr"/>
    </row>
    <row r="6389" ht="15" customHeight="1">
      <c r="A6389" t="inlineStr">
        <is>
          <t>A 28375-2026</t>
        </is>
      </c>
      <c r="B6389" t="inlineStr">
        <is>
          <t>avverkningsanmälan</t>
        </is>
      </c>
      <c r="C6389" t="inlineStr">
        <is>
          <t>Föryngringsavverkning</t>
        </is>
      </c>
      <c r="D6389" s="1" t="n">
        <v>46196</v>
      </c>
      <c r="E6389" s="1" t="n">
        <v>46323</v>
      </c>
      <c r="F6389" t="inlineStr">
        <is>
          <t>KALMAR LÄN</t>
        </is>
      </c>
      <c r="G6389" t="inlineStr">
        <is>
          <t>OSKARSHAMN</t>
        </is>
      </c>
      <c r="I6389" t="n">
        <v>2.9</v>
      </c>
      <c r="J6389" t="n">
        <v>0</v>
      </c>
      <c r="K6389" t="n">
        <v>0</v>
      </c>
      <c r="L6389" t="n">
        <v>0</v>
      </c>
      <c r="M6389" t="n">
        <v>0</v>
      </c>
      <c r="N6389" t="n">
        <v>0</v>
      </c>
      <c r="O6389" t="n">
        <v>0</v>
      </c>
      <c r="P6389" t="n">
        <v>0</v>
      </c>
      <c r="Q6389" t="n">
        <v>0</v>
      </c>
      <c r="R6389" t="n">
        <v>0</v>
      </c>
      <c r="S6389" t="n">
        <v>0</v>
      </c>
      <c r="T6389" t="n">
        <v>0</v>
      </c>
      <c r="U6389" t="n">
        <v>0</v>
      </c>
      <c r="V6389" s="2" t="inlineStr"/>
    </row>
    <row r="6390" ht="15" customHeight="1">
      <c r="A6390" t="inlineStr">
        <is>
          <t>A 28436-2026</t>
        </is>
      </c>
      <c r="B6390" t="inlineStr">
        <is>
          <t>avverkningsanmälan</t>
        </is>
      </c>
      <c r="C6390" t="inlineStr">
        <is>
          <t>Föryngringsavverkning</t>
        </is>
      </c>
      <c r="D6390" s="1" t="n">
        <v>46197</v>
      </c>
      <c r="E6390" s="1" t="n">
        <v>46323</v>
      </c>
      <c r="F6390" t="inlineStr">
        <is>
          <t>KALMAR LÄN</t>
        </is>
      </c>
      <c r="G6390" t="inlineStr">
        <is>
          <t>NYBRO</t>
        </is>
      </c>
      <c r="H6390" t="inlineStr">
        <is>
          <t>Sveaskog</t>
        </is>
      </c>
      <c r="I6390" t="n">
        <v>1.8</v>
      </c>
      <c r="J6390" t="n">
        <v>0</v>
      </c>
      <c r="K6390" t="n">
        <v>0</v>
      </c>
      <c r="L6390" t="n">
        <v>0</v>
      </c>
      <c r="M6390" t="n">
        <v>0</v>
      </c>
      <c r="N6390" t="n">
        <v>0</v>
      </c>
      <c r="O6390" t="n">
        <v>0</v>
      </c>
      <c r="P6390" t="n">
        <v>0</v>
      </c>
      <c r="Q6390" t="n">
        <v>0</v>
      </c>
      <c r="R6390" t="n">
        <v>0</v>
      </c>
      <c r="S6390" t="n">
        <v>0</v>
      </c>
      <c r="T6390" t="n">
        <v>0</v>
      </c>
      <c r="U6390" t="n">
        <v>0</v>
      </c>
      <c r="V6390" s="2" t="inlineStr"/>
    </row>
    <row r="6391" ht="15" customHeight="1">
      <c r="A6391" t="inlineStr">
        <is>
          <t>A 28543-2026</t>
        </is>
      </c>
      <c r="B6391" t="inlineStr">
        <is>
          <t>avverkningsanmälan</t>
        </is>
      </c>
      <c r="C6391" t="inlineStr">
        <is>
          <t>Föryngringsavverkning</t>
        </is>
      </c>
      <c r="D6391" s="1" t="n">
        <v>46197</v>
      </c>
      <c r="E6391" s="1" t="n">
        <v>46323</v>
      </c>
      <c r="F6391" t="inlineStr">
        <is>
          <t>KALMAR LÄN</t>
        </is>
      </c>
      <c r="G6391" t="inlineStr">
        <is>
          <t>MÖNSTERÅS</t>
        </is>
      </c>
      <c r="I6391" t="n">
        <v>1.5</v>
      </c>
      <c r="J6391" t="n">
        <v>0</v>
      </c>
      <c r="K6391" t="n">
        <v>0</v>
      </c>
      <c r="L6391" t="n">
        <v>0</v>
      </c>
      <c r="M6391" t="n">
        <v>0</v>
      </c>
      <c r="N6391" t="n">
        <v>0</v>
      </c>
      <c r="O6391" t="n">
        <v>0</v>
      </c>
      <c r="P6391" t="n">
        <v>0</v>
      </c>
      <c r="Q6391" t="n">
        <v>0</v>
      </c>
      <c r="R6391" t="n">
        <v>0</v>
      </c>
      <c r="S6391" t="n">
        <v>0</v>
      </c>
      <c r="T6391" t="n">
        <v>0</v>
      </c>
      <c r="U6391" t="n">
        <v>0</v>
      </c>
      <c r="V6391" s="2" t="inlineStr"/>
    </row>
    <row r="6392" ht="15" customHeight="1">
      <c r="A6392" t="inlineStr">
        <is>
          <t>A 28573-2026</t>
        </is>
      </c>
      <c r="B6392" t="inlineStr">
        <is>
          <t>avverkningsanmälan</t>
        </is>
      </c>
      <c r="C6392" t="inlineStr">
        <is>
          <t>Föryngringsavverkning</t>
        </is>
      </c>
      <c r="D6392" s="1" t="n">
        <v>46197</v>
      </c>
      <c r="E6392" s="1" t="n">
        <v>46323</v>
      </c>
      <c r="F6392" t="inlineStr">
        <is>
          <t>KALMAR LÄN</t>
        </is>
      </c>
      <c r="G6392" t="inlineStr">
        <is>
          <t>HÖGSBY</t>
        </is>
      </c>
      <c r="I6392" t="n">
        <v>1.5</v>
      </c>
      <c r="J6392" t="n">
        <v>0</v>
      </c>
      <c r="K6392" t="n">
        <v>0</v>
      </c>
      <c r="L6392" t="n">
        <v>0</v>
      </c>
      <c r="M6392" t="n">
        <v>0</v>
      </c>
      <c r="N6392" t="n">
        <v>0</v>
      </c>
      <c r="O6392" t="n">
        <v>0</v>
      </c>
      <c r="P6392" t="n">
        <v>0</v>
      </c>
      <c r="Q6392" t="n">
        <v>0</v>
      </c>
      <c r="R6392" t="n">
        <v>0</v>
      </c>
      <c r="S6392" t="n">
        <v>0</v>
      </c>
      <c r="T6392" t="n">
        <v>0</v>
      </c>
      <c r="U6392" t="n">
        <v>0</v>
      </c>
      <c r="V6392" s="2" t="inlineStr"/>
    </row>
    <row r="6393" ht="15" customHeight="1">
      <c r="A6393" t="inlineStr">
        <is>
          <t>A 28574-2026</t>
        </is>
      </c>
      <c r="B6393" t="inlineStr">
        <is>
          <t>avverkningsanmälan</t>
        </is>
      </c>
      <c r="C6393" t="inlineStr">
        <is>
          <t>Föryngringsavverkning</t>
        </is>
      </c>
      <c r="D6393" s="1" t="n">
        <v>46197</v>
      </c>
      <c r="E6393" s="1" t="n">
        <v>46323</v>
      </c>
      <c r="F6393" t="inlineStr">
        <is>
          <t>KALMAR LÄN</t>
        </is>
      </c>
      <c r="G6393" t="inlineStr">
        <is>
          <t>HÖGSBY</t>
        </is>
      </c>
      <c r="I6393" t="n">
        <v>3.5</v>
      </c>
      <c r="J6393" t="n">
        <v>0</v>
      </c>
      <c r="K6393" t="n">
        <v>0</v>
      </c>
      <c r="L6393" t="n">
        <v>0</v>
      </c>
      <c r="M6393" t="n">
        <v>0</v>
      </c>
      <c r="N6393" t="n">
        <v>0</v>
      </c>
      <c r="O6393" t="n">
        <v>0</v>
      </c>
      <c r="P6393" t="n">
        <v>0</v>
      </c>
      <c r="Q6393" t="n">
        <v>0</v>
      </c>
      <c r="R6393" t="n">
        <v>0</v>
      </c>
      <c r="S6393" t="n">
        <v>0</v>
      </c>
      <c r="T6393" t="n">
        <v>0</v>
      </c>
      <c r="U6393" t="n">
        <v>0</v>
      </c>
      <c r="V6393" s="2" t="inlineStr"/>
    </row>
    <row r="6394" ht="15" customHeight="1">
      <c r="A6394" t="inlineStr">
        <is>
          <t>A 63254-2025</t>
        </is>
      </c>
      <c r="B6394" t="inlineStr">
        <is>
          <t>avverkningsanmälan</t>
        </is>
      </c>
      <c r="C6394" t="inlineStr">
        <is>
          <t>Föryngringsavverkning</t>
        </is>
      </c>
      <c r="D6394" s="1" t="n">
        <v>46010</v>
      </c>
      <c r="E6394" s="1" t="n">
        <v>46323</v>
      </c>
      <c r="F6394" t="inlineStr">
        <is>
          <t>KALMAR LÄN</t>
        </is>
      </c>
      <c r="G6394" t="inlineStr">
        <is>
          <t>EMMABODA</t>
        </is>
      </c>
      <c r="I6394" t="n">
        <v>2.3</v>
      </c>
      <c r="J6394" t="n">
        <v>0</v>
      </c>
      <c r="K6394" t="n">
        <v>0</v>
      </c>
      <c r="L6394" t="n">
        <v>0</v>
      </c>
      <c r="M6394" t="n">
        <v>0</v>
      </c>
      <c r="N6394" t="n">
        <v>0</v>
      </c>
      <c r="O6394" t="n">
        <v>0</v>
      </c>
      <c r="P6394" t="n">
        <v>0</v>
      </c>
      <c r="Q6394" t="n">
        <v>0</v>
      </c>
      <c r="R6394" t="n">
        <v>0</v>
      </c>
      <c r="S6394" t="n">
        <v>0</v>
      </c>
      <c r="T6394" t="n">
        <v>0</v>
      </c>
      <c r="U6394" t="n">
        <v>0</v>
      </c>
      <c r="V6394" s="2" t="inlineStr"/>
    </row>
    <row r="6395" ht="15" customHeight="1">
      <c r="A6395" t="inlineStr">
        <is>
          <t>A 28381-2026</t>
        </is>
      </c>
      <c r="B6395" t="inlineStr">
        <is>
          <t>avverkningsanmälan</t>
        </is>
      </c>
      <c r="C6395" t="inlineStr">
        <is>
          <t>Avverkning för att bevara och utveckla /försöksver</t>
        </is>
      </c>
      <c r="D6395" s="1" t="n">
        <v>46196</v>
      </c>
      <c r="E6395" s="1" t="n">
        <v>46323</v>
      </c>
      <c r="F6395" t="inlineStr">
        <is>
          <t>KALMAR LÄN</t>
        </is>
      </c>
      <c r="G6395" t="inlineStr">
        <is>
          <t>BORGHOLM</t>
        </is>
      </c>
      <c r="H6395" t="inlineStr">
        <is>
          <t>Sveaskog</t>
        </is>
      </c>
      <c r="I6395" t="n">
        <v>0.5</v>
      </c>
      <c r="J6395" t="n">
        <v>0</v>
      </c>
      <c r="K6395" t="n">
        <v>0</v>
      </c>
      <c r="L6395" t="n">
        <v>0</v>
      </c>
      <c r="M6395" t="n">
        <v>0</v>
      </c>
      <c r="N6395" t="n">
        <v>0</v>
      </c>
      <c r="O6395" t="n">
        <v>0</v>
      </c>
      <c r="P6395" t="n">
        <v>0</v>
      </c>
      <c r="Q6395" t="n">
        <v>0</v>
      </c>
      <c r="R6395" t="n">
        <v>0</v>
      </c>
      <c r="S6395" t="n">
        <v>0</v>
      </c>
      <c r="T6395" t="n">
        <v>0</v>
      </c>
      <c r="U6395" t="n">
        <v>0</v>
      </c>
      <c r="V6395" s="2" t="inlineStr"/>
    </row>
    <row r="6396" ht="15" customHeight="1">
      <c r="A6396" t="inlineStr">
        <is>
          <t>A 28265-2026</t>
        </is>
      </c>
      <c r="B6396" t="inlineStr">
        <is>
          <t>avverkningsanmälan</t>
        </is>
      </c>
      <c r="C6396" t="inlineStr">
        <is>
          <t>Föryngringsavverkning</t>
        </is>
      </c>
      <c r="D6396" s="1" t="n">
        <v>46196</v>
      </c>
      <c r="E6396" s="1" t="n">
        <v>46323</v>
      </c>
      <c r="F6396" t="inlineStr">
        <is>
          <t>KALMAR LÄN</t>
        </is>
      </c>
      <c r="G6396" t="inlineStr">
        <is>
          <t>HÖGSBY</t>
        </is>
      </c>
      <c r="H6396" t="inlineStr">
        <is>
          <t>Kommuner</t>
        </is>
      </c>
      <c r="I6396" t="n">
        <v>0.9</v>
      </c>
      <c r="J6396" t="n">
        <v>0</v>
      </c>
      <c r="K6396" t="n">
        <v>0</v>
      </c>
      <c r="L6396" t="n">
        <v>0</v>
      </c>
      <c r="M6396" t="n">
        <v>0</v>
      </c>
      <c r="N6396" t="n">
        <v>0</v>
      </c>
      <c r="O6396" t="n">
        <v>0</v>
      </c>
      <c r="P6396" t="n">
        <v>0</v>
      </c>
      <c r="Q6396" t="n">
        <v>0</v>
      </c>
      <c r="R6396" t="n">
        <v>0</v>
      </c>
      <c r="S6396" t="n">
        <v>0</v>
      </c>
      <c r="T6396" t="n">
        <v>0</v>
      </c>
      <c r="U6396" t="n">
        <v>0</v>
      </c>
      <c r="V6396" s="2" t="inlineStr"/>
    </row>
    <row r="6397" ht="15" customHeight="1">
      <c r="A6397" t="inlineStr">
        <is>
          <t>A 28229-2026</t>
        </is>
      </c>
      <c r="B6397" t="inlineStr">
        <is>
          <t>avverkningsanmälan</t>
        </is>
      </c>
      <c r="C6397" t="inlineStr">
        <is>
          <t>Föryngringsavverkning</t>
        </is>
      </c>
      <c r="D6397" s="1" t="n">
        <v>46196</v>
      </c>
      <c r="E6397" s="1" t="n">
        <v>46323</v>
      </c>
      <c r="F6397" t="inlineStr">
        <is>
          <t>KALMAR LÄN</t>
        </is>
      </c>
      <c r="G6397" t="inlineStr">
        <is>
          <t>VIMMERBY</t>
        </is>
      </c>
      <c r="I6397" t="n">
        <v>1.8</v>
      </c>
      <c r="J6397" t="n">
        <v>0</v>
      </c>
      <c r="K6397" t="n">
        <v>0</v>
      </c>
      <c r="L6397" t="n">
        <v>0</v>
      </c>
      <c r="M6397" t="n">
        <v>0</v>
      </c>
      <c r="N6397" t="n">
        <v>0</v>
      </c>
      <c r="O6397" t="n">
        <v>0</v>
      </c>
      <c r="P6397" t="n">
        <v>0</v>
      </c>
      <c r="Q6397" t="n">
        <v>0</v>
      </c>
      <c r="R6397" t="n">
        <v>0</v>
      </c>
      <c r="S6397" t="n">
        <v>0</v>
      </c>
      <c r="T6397" t="n">
        <v>0</v>
      </c>
      <c r="U6397" t="n">
        <v>0</v>
      </c>
      <c r="V6397" s="2" t="inlineStr"/>
    </row>
    <row r="6398" ht="15" customHeight="1">
      <c r="A6398" t="inlineStr">
        <is>
          <t>A 28487-2026</t>
        </is>
      </c>
      <c r="B6398" t="inlineStr">
        <is>
          <t>avverkningsanmälan</t>
        </is>
      </c>
      <c r="C6398" t="inlineStr">
        <is>
          <t>Föryngringsavverkning</t>
        </is>
      </c>
      <c r="D6398" s="1" t="n">
        <v>46197</v>
      </c>
      <c r="E6398" s="1" t="n">
        <v>46323</v>
      </c>
      <c r="F6398" t="inlineStr">
        <is>
          <t>KALMAR LÄN</t>
        </is>
      </c>
      <c r="G6398" t="inlineStr">
        <is>
          <t>OSKARSHAMN</t>
        </is>
      </c>
      <c r="I6398" t="n">
        <v>1</v>
      </c>
      <c r="J6398" t="n">
        <v>0</v>
      </c>
      <c r="K6398" t="n">
        <v>0</v>
      </c>
      <c r="L6398" t="n">
        <v>0</v>
      </c>
      <c r="M6398" t="n">
        <v>0</v>
      </c>
      <c r="N6398" t="n">
        <v>0</v>
      </c>
      <c r="O6398" t="n">
        <v>0</v>
      </c>
      <c r="P6398" t="n">
        <v>0</v>
      </c>
      <c r="Q6398" t="n">
        <v>0</v>
      </c>
      <c r="R6398" t="n">
        <v>0</v>
      </c>
      <c r="S6398" t="n">
        <v>0</v>
      </c>
      <c r="T6398" t="n">
        <v>0</v>
      </c>
      <c r="U6398" t="n">
        <v>0</v>
      </c>
      <c r="V6398" s="2" t="inlineStr"/>
    </row>
    <row r="6399" ht="15" customHeight="1">
      <c r="A6399" t="inlineStr">
        <is>
          <t>S 1437-2023</t>
        </is>
      </c>
      <c r="B6399" t="inlineStr">
        <is>
          <t>samrådsanmälan</t>
        </is>
      </c>
      <c r="C6399" t="inlineStr">
        <is>
          <t>Askåterföring</t>
        </is>
      </c>
      <c r="D6399" s="1" t="n">
        <v>45013</v>
      </c>
      <c r="E6399" s="1" t="n">
        <v>46323</v>
      </c>
      <c r="F6399" t="inlineStr">
        <is>
          <t>KALMAR LÄN</t>
        </is>
      </c>
      <c r="G6399" t="inlineStr">
        <is>
          <t>HULTSFRED</t>
        </is>
      </c>
      <c r="I6399" t="n">
        <v>26.8</v>
      </c>
      <c r="J6399" t="n">
        <v>0</v>
      </c>
      <c r="K6399" t="n">
        <v>0</v>
      </c>
      <c r="L6399" t="n">
        <v>0</v>
      </c>
      <c r="M6399" t="n">
        <v>0</v>
      </c>
      <c r="N6399" t="n">
        <v>0</v>
      </c>
      <c r="O6399" t="n">
        <v>0</v>
      </c>
      <c r="P6399" t="n">
        <v>0</v>
      </c>
      <c r="Q6399" t="n">
        <v>0</v>
      </c>
      <c r="R6399" t="n">
        <v>0</v>
      </c>
      <c r="S6399" t="n">
        <v>0</v>
      </c>
      <c r="T6399" t="n">
        <v>0</v>
      </c>
      <c r="U6399" t="n">
        <v>0</v>
      </c>
      <c r="V6399" s="2" t="inlineStr"/>
    </row>
    <row r="6400" ht="15" customHeight="1">
      <c r="A6400" t="inlineStr">
        <is>
          <t>S 212-2021</t>
        </is>
      </c>
      <c r="B6400" t="inlineStr">
        <is>
          <t>samrådsanmälan</t>
        </is>
      </c>
      <c r="C6400" t="inlineStr">
        <is>
          <t>Skogsgödsling</t>
        </is>
      </c>
      <c r="D6400" s="1" t="n">
        <v>44237</v>
      </c>
      <c r="E6400" s="1" t="n">
        <v>46323</v>
      </c>
      <c r="F6400" t="inlineStr">
        <is>
          <t>KALMAR LÄN</t>
        </is>
      </c>
      <c r="G6400" t="inlineStr">
        <is>
          <t>VIMMERBY</t>
        </is>
      </c>
      <c r="I6400" t="n">
        <v>12.4</v>
      </c>
      <c r="J6400" t="n">
        <v>0</v>
      </c>
      <c r="K6400" t="n">
        <v>0</v>
      </c>
      <c r="L6400" t="n">
        <v>0</v>
      </c>
      <c r="M6400" t="n">
        <v>0</v>
      </c>
      <c r="N6400" t="n">
        <v>0</v>
      </c>
      <c r="O6400" t="n">
        <v>0</v>
      </c>
      <c r="P6400" t="n">
        <v>0</v>
      </c>
      <c r="Q6400" t="n">
        <v>0</v>
      </c>
      <c r="R6400" t="n">
        <v>0</v>
      </c>
      <c r="S6400" t="n">
        <v>0</v>
      </c>
      <c r="T6400" t="n">
        <v>0</v>
      </c>
      <c r="U6400" t="n">
        <v>0</v>
      </c>
      <c r="V6400" s="2" t="inlineStr"/>
    </row>
    <row r="6401" ht="15" customHeight="1">
      <c r="A6401" t="inlineStr">
        <is>
          <t>S 7596-2021</t>
        </is>
      </c>
      <c r="B6401" t="inlineStr">
        <is>
          <t>samrådsanmälan</t>
        </is>
      </c>
      <c r="C6401" t="inlineStr">
        <is>
          <t>Askåterföring</t>
        </is>
      </c>
      <c r="D6401" s="1" t="n">
        <v>44476</v>
      </c>
      <c r="E6401" s="1" t="n">
        <v>46323</v>
      </c>
      <c r="F6401" t="inlineStr">
        <is>
          <t>KALMAR LÄN</t>
        </is>
      </c>
      <c r="G6401" t="inlineStr">
        <is>
          <t>EMMABODA</t>
        </is>
      </c>
      <c r="I6401" t="n">
        <v>35.3</v>
      </c>
      <c r="J6401" t="n">
        <v>0</v>
      </c>
      <c r="K6401" t="n">
        <v>0</v>
      </c>
      <c r="L6401" t="n">
        <v>0</v>
      </c>
      <c r="M6401" t="n">
        <v>0</v>
      </c>
      <c r="N6401" t="n">
        <v>0</v>
      </c>
      <c r="O6401" t="n">
        <v>0</v>
      </c>
      <c r="P6401" t="n">
        <v>0</v>
      </c>
      <c r="Q6401" t="n">
        <v>0</v>
      </c>
      <c r="R6401" t="n">
        <v>0</v>
      </c>
      <c r="S6401" t="n">
        <v>0</v>
      </c>
      <c r="T6401" t="n">
        <v>0</v>
      </c>
      <c r="U6401" t="n">
        <v>0</v>
      </c>
      <c r="V6401" s="2" t="inlineStr"/>
    </row>
    <row r="6402" ht="15" customHeight="1">
      <c r="A6402" t="inlineStr">
        <is>
          <t>S 1096-2022</t>
        </is>
      </c>
      <c r="B6402" t="inlineStr">
        <is>
          <t>samrådsanmälan</t>
        </is>
      </c>
      <c r="C6402" t="inlineStr">
        <is>
          <t>Askåterföring</t>
        </is>
      </c>
      <c r="D6402" s="1" t="n">
        <v>44614</v>
      </c>
      <c r="E6402" s="1" t="n">
        <v>46323</v>
      </c>
      <c r="F6402" t="inlineStr">
        <is>
          <t>KALMAR LÄN</t>
        </is>
      </c>
      <c r="G6402" t="inlineStr">
        <is>
          <t>MÖNSTERÅS</t>
        </is>
      </c>
      <c r="I6402" t="n">
        <v>13.2</v>
      </c>
      <c r="J6402" t="n">
        <v>0</v>
      </c>
      <c r="K6402" t="n">
        <v>0</v>
      </c>
      <c r="L6402" t="n">
        <v>0</v>
      </c>
      <c r="M6402" t="n">
        <v>0</v>
      </c>
      <c r="N6402" t="n">
        <v>0</v>
      </c>
      <c r="O6402" t="n">
        <v>0</v>
      </c>
      <c r="P6402" t="n">
        <v>0</v>
      </c>
      <c r="Q6402" t="n">
        <v>0</v>
      </c>
      <c r="R6402" t="n">
        <v>0</v>
      </c>
      <c r="S6402" t="n">
        <v>0</v>
      </c>
      <c r="T6402" t="n">
        <v>0</v>
      </c>
      <c r="U6402" t="n">
        <v>0</v>
      </c>
      <c r="V6402" s="2" t="inlineStr"/>
    </row>
    <row r="6403" ht="15" customHeight="1">
      <c r="A6403" t="inlineStr">
        <is>
          <t>S 10305-2021</t>
        </is>
      </c>
      <c r="B6403" t="inlineStr">
        <is>
          <t>samrådsanmälan</t>
        </is>
      </c>
      <c r="C6403" t="inlineStr">
        <is>
          <t>Annan skogsbruksåtgärd</t>
        </is>
      </c>
      <c r="D6403" s="1" t="n">
        <v>44546</v>
      </c>
      <c r="E6403" s="1" t="n">
        <v>46323</v>
      </c>
      <c r="F6403" t="inlineStr">
        <is>
          <t>KALMAR LÄN</t>
        </is>
      </c>
      <c r="G6403" t="inlineStr">
        <is>
          <t>HULTSFRED</t>
        </is>
      </c>
      <c r="I6403" t="n">
        <v>0.5</v>
      </c>
      <c r="J6403" t="n">
        <v>0</v>
      </c>
      <c r="K6403" t="n">
        <v>0</v>
      </c>
      <c r="L6403" t="n">
        <v>0</v>
      </c>
      <c r="M6403" t="n">
        <v>0</v>
      </c>
      <c r="N6403" t="n">
        <v>0</v>
      </c>
      <c r="O6403" t="n">
        <v>0</v>
      </c>
      <c r="P6403" t="n">
        <v>0</v>
      </c>
      <c r="Q6403" t="n">
        <v>0</v>
      </c>
      <c r="R6403" t="n">
        <v>0</v>
      </c>
      <c r="S6403" t="n">
        <v>0</v>
      </c>
      <c r="T6403" t="n">
        <v>0</v>
      </c>
      <c r="U6403" t="n">
        <v>0</v>
      </c>
      <c r="V6403" s="2" t="inlineStr"/>
    </row>
    <row r="6404" ht="15" customHeight="1">
      <c r="A6404" t="inlineStr">
        <is>
          <t>S 2018-2022</t>
        </is>
      </c>
      <c r="B6404" t="inlineStr">
        <is>
          <t>samrådsanmälan</t>
        </is>
      </c>
      <c r="C6404" t="inlineStr">
        <is>
          <t>Annan skogsbruksåtgärd</t>
        </is>
      </c>
      <c r="D6404" s="1" t="n">
        <v>44665</v>
      </c>
      <c r="E6404" s="1" t="n">
        <v>46323</v>
      </c>
      <c r="F6404" t="inlineStr">
        <is>
          <t>KALMAR LÄN</t>
        </is>
      </c>
      <c r="G6404" t="inlineStr">
        <is>
          <t>NYBRO</t>
        </is>
      </c>
      <c r="I6404" t="n">
        <v>1.7</v>
      </c>
      <c r="J6404" t="n">
        <v>0</v>
      </c>
      <c r="K6404" t="n">
        <v>0</v>
      </c>
      <c r="L6404" t="n">
        <v>0</v>
      </c>
      <c r="M6404" t="n">
        <v>0</v>
      </c>
      <c r="N6404" t="n">
        <v>0</v>
      </c>
      <c r="O6404" t="n">
        <v>0</v>
      </c>
      <c r="P6404" t="n">
        <v>0</v>
      </c>
      <c r="Q6404" t="n">
        <v>0</v>
      </c>
      <c r="R6404" t="n">
        <v>0</v>
      </c>
      <c r="S6404" t="n">
        <v>0</v>
      </c>
      <c r="T6404" t="n">
        <v>0</v>
      </c>
      <c r="U6404" t="n">
        <v>0</v>
      </c>
      <c r="V6404" s="2" t="inlineStr"/>
    </row>
    <row r="6405" ht="15" customHeight="1">
      <c r="A6405" t="inlineStr">
        <is>
          <t>S 1824-2022</t>
        </is>
      </c>
      <c r="B6405" t="inlineStr">
        <is>
          <t>samrådsanmälan</t>
        </is>
      </c>
      <c r="C6405" t="inlineStr">
        <is>
          <t>Skogsbilväg</t>
        </is>
      </c>
      <c r="D6405" s="1" t="n">
        <v>44658</v>
      </c>
      <c r="E6405" s="1" t="n">
        <v>46323</v>
      </c>
      <c r="F6405" t="inlineStr">
        <is>
          <t>KALMAR LÄN</t>
        </is>
      </c>
      <c r="G6405" t="inlineStr">
        <is>
          <t>TORSÅS</t>
        </is>
      </c>
      <c r="I6405" t="n">
        <v>0.7</v>
      </c>
      <c r="J6405" t="n">
        <v>0</v>
      </c>
      <c r="K6405" t="n">
        <v>0</v>
      </c>
      <c r="L6405" t="n">
        <v>0</v>
      </c>
      <c r="M6405" t="n">
        <v>0</v>
      </c>
      <c r="N6405" t="n">
        <v>0</v>
      </c>
      <c r="O6405" t="n">
        <v>0</v>
      </c>
      <c r="P6405" t="n">
        <v>0</v>
      </c>
      <c r="Q6405" t="n">
        <v>0</v>
      </c>
      <c r="R6405" t="n">
        <v>0</v>
      </c>
      <c r="S6405" t="n">
        <v>0</v>
      </c>
      <c r="T6405" t="n">
        <v>0</v>
      </c>
      <c r="U6405" t="n">
        <v>0</v>
      </c>
      <c r="V6405" s="2" t="inlineStr"/>
    </row>
    <row r="6406" ht="15" customHeight="1">
      <c r="A6406" t="inlineStr">
        <is>
          <t>S 480-2022</t>
        </is>
      </c>
      <c r="B6406" t="inlineStr">
        <is>
          <t>samrådsanmälan</t>
        </is>
      </c>
      <c r="C6406" t="inlineStr">
        <is>
          <t>Annan skogsbruksåtgärd</t>
        </is>
      </c>
      <c r="D6406" s="1" t="n">
        <v>44587</v>
      </c>
      <c r="E6406" s="1" t="n">
        <v>46323</v>
      </c>
      <c r="F6406" t="inlineStr">
        <is>
          <t>KALMAR LÄN</t>
        </is>
      </c>
      <c r="G6406" t="inlineStr">
        <is>
          <t>VIMMERBY</t>
        </is>
      </c>
      <c r="I6406" t="n">
        <v>0.3</v>
      </c>
      <c r="J6406" t="n">
        <v>0</v>
      </c>
      <c r="K6406" t="n">
        <v>0</v>
      </c>
      <c r="L6406" t="n">
        <v>0</v>
      </c>
      <c r="M6406" t="n">
        <v>0</v>
      </c>
      <c r="N6406" t="n">
        <v>0</v>
      </c>
      <c r="O6406" t="n">
        <v>0</v>
      </c>
      <c r="P6406" t="n">
        <v>0</v>
      </c>
      <c r="Q6406" t="n">
        <v>0</v>
      </c>
      <c r="R6406" t="n">
        <v>0</v>
      </c>
      <c r="S6406" t="n">
        <v>0</v>
      </c>
      <c r="T6406" t="n">
        <v>0</v>
      </c>
      <c r="U6406" t="n">
        <v>0</v>
      </c>
      <c r="V6406" s="2" t="inlineStr"/>
    </row>
    <row r="6407" ht="15" customHeight="1">
      <c r="A6407" t="inlineStr">
        <is>
          <t>S 2596-2022</t>
        </is>
      </c>
      <c r="B6407" t="inlineStr">
        <is>
          <t>samrådsanmälan</t>
        </is>
      </c>
      <c r="C6407" t="inlineStr">
        <is>
          <t>Åtgärd i nyckelbiotop</t>
        </is>
      </c>
      <c r="D6407" s="1" t="n">
        <v>44698</v>
      </c>
      <c r="E6407" s="1" t="n">
        <v>46323</v>
      </c>
      <c r="F6407" t="inlineStr">
        <is>
          <t>KALMAR LÄN</t>
        </is>
      </c>
      <c r="G6407" t="inlineStr">
        <is>
          <t>VÄSTERVIK</t>
        </is>
      </c>
      <c r="I6407" t="n">
        <v>0.5</v>
      </c>
      <c r="J6407" t="n">
        <v>0</v>
      </c>
      <c r="K6407" t="n">
        <v>0</v>
      </c>
      <c r="L6407" t="n">
        <v>0</v>
      </c>
      <c r="M6407" t="n">
        <v>0</v>
      </c>
      <c r="N6407" t="n">
        <v>0</v>
      </c>
      <c r="O6407" t="n">
        <v>0</v>
      </c>
      <c r="P6407" t="n">
        <v>0</v>
      </c>
      <c r="Q6407" t="n">
        <v>0</v>
      </c>
      <c r="R6407" t="n">
        <v>0</v>
      </c>
      <c r="S6407" t="n">
        <v>0</v>
      </c>
      <c r="T6407" t="n">
        <v>0</v>
      </c>
      <c r="U6407" t="n">
        <v>0</v>
      </c>
      <c r="V6407" s="2" t="inlineStr"/>
    </row>
    <row r="6408" ht="15" customHeight="1">
      <c r="A6408" t="inlineStr">
        <is>
          <t>S 2334-2022</t>
        </is>
      </c>
      <c r="B6408" t="inlineStr">
        <is>
          <t>samrådsanmälan</t>
        </is>
      </c>
      <c r="C6408" t="inlineStr">
        <is>
          <t>Annan skogsbruksåtgärd</t>
        </is>
      </c>
      <c r="D6408" s="1" t="n">
        <v>44685</v>
      </c>
      <c r="E6408" s="1" t="n">
        <v>46323</v>
      </c>
      <c r="F6408" t="inlineStr">
        <is>
          <t>KALMAR LÄN</t>
        </is>
      </c>
      <c r="G6408" t="inlineStr">
        <is>
          <t>OSKARSHAMN</t>
        </is>
      </c>
      <c r="I6408" t="n">
        <v>7.2</v>
      </c>
      <c r="J6408" t="n">
        <v>0</v>
      </c>
      <c r="K6408" t="n">
        <v>0</v>
      </c>
      <c r="L6408" t="n">
        <v>0</v>
      </c>
      <c r="M6408" t="n">
        <v>0</v>
      </c>
      <c r="N6408" t="n">
        <v>0</v>
      </c>
      <c r="O6408" t="n">
        <v>0</v>
      </c>
      <c r="P6408" t="n">
        <v>0</v>
      </c>
      <c r="Q6408" t="n">
        <v>0</v>
      </c>
      <c r="R6408" t="n">
        <v>0</v>
      </c>
      <c r="S6408" t="n">
        <v>0</v>
      </c>
      <c r="T6408" t="n">
        <v>0</v>
      </c>
      <c r="U6408" t="n">
        <v>0</v>
      </c>
      <c r="V6408" s="2" t="inlineStr"/>
    </row>
    <row r="6409" ht="15" customHeight="1">
      <c r="A6409" t="inlineStr">
        <is>
          <t>S 718-2022</t>
        </is>
      </c>
      <c r="B6409" t="inlineStr">
        <is>
          <t>samrådsanmälan</t>
        </is>
      </c>
      <c r="C6409" t="inlineStr">
        <is>
          <t>Åtgärd i nyckelbiotop</t>
        </is>
      </c>
      <c r="D6409" s="1" t="n">
        <v>44600</v>
      </c>
      <c r="E6409" s="1" t="n">
        <v>46323</v>
      </c>
      <c r="F6409" t="inlineStr">
        <is>
          <t>KALMAR LÄN</t>
        </is>
      </c>
      <c r="G6409" t="inlineStr">
        <is>
          <t>HULTSFRED</t>
        </is>
      </c>
      <c r="H6409" t="inlineStr">
        <is>
          <t>Kyrkan</t>
        </is>
      </c>
      <c r="I6409" t="n">
        <v>0.1</v>
      </c>
      <c r="J6409" t="n">
        <v>0</v>
      </c>
      <c r="K6409" t="n">
        <v>0</v>
      </c>
      <c r="L6409" t="n">
        <v>0</v>
      </c>
      <c r="M6409" t="n">
        <v>0</v>
      </c>
      <c r="N6409" t="n">
        <v>0</v>
      </c>
      <c r="O6409" t="n">
        <v>0</v>
      </c>
      <c r="P6409" t="n">
        <v>0</v>
      </c>
      <c r="Q6409" t="n">
        <v>0</v>
      </c>
      <c r="R6409" t="n">
        <v>0</v>
      </c>
      <c r="S6409" t="n">
        <v>0</v>
      </c>
      <c r="T6409" t="n">
        <v>0</v>
      </c>
      <c r="U6409" t="n">
        <v>0</v>
      </c>
      <c r="V6409" s="2" t="inlineStr"/>
    </row>
    <row r="6410" ht="15" customHeight="1">
      <c r="A6410" t="inlineStr">
        <is>
          <t>S 2908-2022</t>
        </is>
      </c>
      <c r="B6410" t="inlineStr">
        <is>
          <t>samrådsanmälan</t>
        </is>
      </c>
      <c r="C6410" t="inlineStr">
        <is>
          <t>Annan skogsbruksåtgärd</t>
        </is>
      </c>
      <c r="D6410" s="1" t="n">
        <v>44711</v>
      </c>
      <c r="E6410" s="1" t="n">
        <v>46323</v>
      </c>
      <c r="F6410" t="inlineStr">
        <is>
          <t>KALMAR LÄN</t>
        </is>
      </c>
      <c r="G6410" t="inlineStr">
        <is>
          <t>VÄSTERVIK</t>
        </is>
      </c>
      <c r="I6410" t="n">
        <v>1.5</v>
      </c>
      <c r="J6410" t="n">
        <v>0</v>
      </c>
      <c r="K6410" t="n">
        <v>0</v>
      </c>
      <c r="L6410" t="n">
        <v>0</v>
      </c>
      <c r="M6410" t="n">
        <v>0</v>
      </c>
      <c r="N6410" t="n">
        <v>0</v>
      </c>
      <c r="O6410" t="n">
        <v>0</v>
      </c>
      <c r="P6410" t="n">
        <v>0</v>
      </c>
      <c r="Q6410" t="n">
        <v>0</v>
      </c>
      <c r="R6410" t="n">
        <v>0</v>
      </c>
      <c r="S6410" t="n">
        <v>0</v>
      </c>
      <c r="T6410" t="n">
        <v>0</v>
      </c>
      <c r="U6410" t="n">
        <v>0</v>
      </c>
      <c r="V6410" s="2" t="inlineStr"/>
    </row>
    <row r="6411" ht="15" customHeight="1">
      <c r="A6411" t="inlineStr">
        <is>
          <t>S 806-2022</t>
        </is>
      </c>
      <c r="B6411" t="inlineStr">
        <is>
          <t>samrådsanmälan</t>
        </is>
      </c>
      <c r="C6411" t="inlineStr">
        <is>
          <t>Annan skogsbruksåtgärd</t>
        </is>
      </c>
      <c r="D6411" s="1" t="n">
        <v>44603</v>
      </c>
      <c r="E6411" s="1" t="n">
        <v>46323</v>
      </c>
      <c r="F6411" t="inlineStr">
        <is>
          <t>KALMAR LÄN</t>
        </is>
      </c>
      <c r="G6411" t="inlineStr">
        <is>
          <t>VIMMERBY</t>
        </is>
      </c>
      <c r="I6411" t="n">
        <v>0.6</v>
      </c>
      <c r="J6411" t="n">
        <v>0</v>
      </c>
      <c r="K6411" t="n">
        <v>0</v>
      </c>
      <c r="L6411" t="n">
        <v>0</v>
      </c>
      <c r="M6411" t="n">
        <v>0</v>
      </c>
      <c r="N6411" t="n">
        <v>0</v>
      </c>
      <c r="O6411" t="n">
        <v>0</v>
      </c>
      <c r="P6411" t="n">
        <v>0</v>
      </c>
      <c r="Q6411" t="n">
        <v>0</v>
      </c>
      <c r="R6411" t="n">
        <v>0</v>
      </c>
      <c r="S6411" t="n">
        <v>0</v>
      </c>
      <c r="T6411" t="n">
        <v>0</v>
      </c>
      <c r="U6411" t="n">
        <v>0</v>
      </c>
      <c r="V6411" s="2" t="inlineStr"/>
    </row>
    <row r="6412" ht="15" customHeight="1">
      <c r="A6412" t="inlineStr">
        <is>
          <t>S 570-2022</t>
        </is>
      </c>
      <c r="B6412" t="inlineStr">
        <is>
          <t>samrådsanmälan</t>
        </is>
      </c>
      <c r="C6412" t="inlineStr">
        <is>
          <t>Askåterföring</t>
        </is>
      </c>
      <c r="D6412" s="1" t="n">
        <v>44592</v>
      </c>
      <c r="E6412" s="1" t="n">
        <v>46323</v>
      </c>
      <c r="F6412" t="inlineStr">
        <is>
          <t>KALMAR LÄN</t>
        </is>
      </c>
      <c r="G6412" t="inlineStr">
        <is>
          <t>NYBRO</t>
        </is>
      </c>
      <c r="I6412" t="n">
        <v>23.4</v>
      </c>
      <c r="J6412" t="n">
        <v>0</v>
      </c>
      <c r="K6412" t="n">
        <v>0</v>
      </c>
      <c r="L6412" t="n">
        <v>0</v>
      </c>
      <c r="M6412" t="n">
        <v>0</v>
      </c>
      <c r="N6412" t="n">
        <v>0</v>
      </c>
      <c r="O6412" t="n">
        <v>0</v>
      </c>
      <c r="P6412" t="n">
        <v>0</v>
      </c>
      <c r="Q6412" t="n">
        <v>0</v>
      </c>
      <c r="R6412" t="n">
        <v>0</v>
      </c>
      <c r="S6412" t="n">
        <v>0</v>
      </c>
      <c r="T6412" t="n">
        <v>0</v>
      </c>
      <c r="U6412" t="n">
        <v>0</v>
      </c>
      <c r="V6412" s="2" t="inlineStr"/>
    </row>
    <row r="6413" ht="15" customHeight="1">
      <c r="A6413" t="inlineStr">
        <is>
          <t>S 925-2022</t>
        </is>
      </c>
      <c r="B6413" t="inlineStr">
        <is>
          <t>samrådsanmälan</t>
        </is>
      </c>
      <c r="C6413" t="inlineStr">
        <is>
          <t>Askåterföring</t>
        </is>
      </c>
      <c r="D6413" s="1" t="n">
        <v>44607</v>
      </c>
      <c r="E6413" s="1" t="n">
        <v>46323</v>
      </c>
      <c r="F6413" t="inlineStr">
        <is>
          <t>KALMAR LÄN</t>
        </is>
      </c>
      <c r="G6413" t="inlineStr">
        <is>
          <t>KALMAR</t>
        </is>
      </c>
      <c r="I6413" t="n">
        <v>11.4</v>
      </c>
      <c r="J6413" t="n">
        <v>0</v>
      </c>
      <c r="K6413" t="n">
        <v>0</v>
      </c>
      <c r="L6413" t="n">
        <v>0</v>
      </c>
      <c r="M6413" t="n">
        <v>0</v>
      </c>
      <c r="N6413" t="n">
        <v>0</v>
      </c>
      <c r="O6413" t="n">
        <v>0</v>
      </c>
      <c r="P6413" t="n">
        <v>0</v>
      </c>
      <c r="Q6413" t="n">
        <v>0</v>
      </c>
      <c r="R6413" t="n">
        <v>0</v>
      </c>
      <c r="S6413" t="n">
        <v>0</v>
      </c>
      <c r="T6413" t="n">
        <v>0</v>
      </c>
      <c r="U6413" t="n">
        <v>0</v>
      </c>
      <c r="V6413" s="2" t="inlineStr"/>
    </row>
    <row r="6414" ht="15" customHeight="1">
      <c r="A6414" t="inlineStr">
        <is>
          <t>S 651-2022</t>
        </is>
      </c>
      <c r="B6414" t="inlineStr">
        <is>
          <t>samrådsanmälan</t>
        </is>
      </c>
      <c r="C6414" t="inlineStr">
        <is>
          <t>Åtgärd i nyckelbiotop</t>
        </is>
      </c>
      <c r="D6414" s="1" t="n">
        <v>44594</v>
      </c>
      <c r="E6414" s="1" t="n">
        <v>46323</v>
      </c>
      <c r="F6414" t="inlineStr">
        <is>
          <t>KALMAR LÄN</t>
        </is>
      </c>
      <c r="G6414" t="inlineStr">
        <is>
          <t>OSKARSHAMN</t>
        </is>
      </c>
      <c r="I6414" t="n">
        <v>2</v>
      </c>
      <c r="J6414" t="n">
        <v>0</v>
      </c>
      <c r="K6414" t="n">
        <v>0</v>
      </c>
      <c r="L6414" t="n">
        <v>0</v>
      </c>
      <c r="M6414" t="n">
        <v>0</v>
      </c>
      <c r="N6414" t="n">
        <v>0</v>
      </c>
      <c r="O6414" t="n">
        <v>0</v>
      </c>
      <c r="P6414" t="n">
        <v>0</v>
      </c>
      <c r="Q6414" t="n">
        <v>0</v>
      </c>
      <c r="R6414" t="n">
        <v>0</v>
      </c>
      <c r="S6414" t="n">
        <v>0</v>
      </c>
      <c r="T6414" t="n">
        <v>0</v>
      </c>
      <c r="U6414" t="n">
        <v>0</v>
      </c>
      <c r="V6414" s="2" t="inlineStr"/>
    </row>
    <row r="6415" ht="15" customHeight="1">
      <c r="A6415" t="inlineStr">
        <is>
          <t>S 234-2022</t>
        </is>
      </c>
      <c r="B6415" t="inlineStr">
        <is>
          <t>samrådsanmälan</t>
        </is>
      </c>
      <c r="C6415" t="inlineStr">
        <is>
          <t>Annan skogsbruksåtgärd</t>
        </is>
      </c>
      <c r="D6415" s="1" t="n">
        <v>44575</v>
      </c>
      <c r="E6415" s="1" t="n">
        <v>46323</v>
      </c>
      <c r="F6415" t="inlineStr">
        <is>
          <t>KALMAR LÄN</t>
        </is>
      </c>
      <c r="G6415" t="inlineStr">
        <is>
          <t>HULTSFRED</t>
        </is>
      </c>
      <c r="I6415" t="n">
        <v>1.2</v>
      </c>
      <c r="J6415" t="n">
        <v>0</v>
      </c>
      <c r="K6415" t="n">
        <v>0</v>
      </c>
      <c r="L6415" t="n">
        <v>0</v>
      </c>
      <c r="M6415" t="n">
        <v>0</v>
      </c>
      <c r="N6415" t="n">
        <v>0</v>
      </c>
      <c r="O6415" t="n">
        <v>0</v>
      </c>
      <c r="P6415" t="n">
        <v>0</v>
      </c>
      <c r="Q6415" t="n">
        <v>0</v>
      </c>
      <c r="R6415" t="n">
        <v>0</v>
      </c>
      <c r="S6415" t="n">
        <v>0</v>
      </c>
      <c r="T6415" t="n">
        <v>0</v>
      </c>
      <c r="U6415" t="n">
        <v>0</v>
      </c>
      <c r="V6415" s="2" t="inlineStr"/>
    </row>
    <row r="6416" ht="15" customHeight="1">
      <c r="A6416" t="inlineStr">
        <is>
          <t>S 477-2022</t>
        </is>
      </c>
      <c r="B6416" t="inlineStr">
        <is>
          <t>samrådsanmälan</t>
        </is>
      </c>
      <c r="C6416" t="inlineStr">
        <is>
          <t>Askåterföring</t>
        </is>
      </c>
      <c r="D6416" s="1" t="n">
        <v>44587</v>
      </c>
      <c r="E6416" s="1" t="n">
        <v>46323</v>
      </c>
      <c r="F6416" t="inlineStr">
        <is>
          <t>KALMAR LÄN</t>
        </is>
      </c>
      <c r="G6416" t="inlineStr">
        <is>
          <t>NYBRO</t>
        </is>
      </c>
      <c r="I6416" t="n">
        <v>10.1</v>
      </c>
      <c r="J6416" t="n">
        <v>0</v>
      </c>
      <c r="K6416" t="n">
        <v>0</v>
      </c>
      <c r="L6416" t="n">
        <v>0</v>
      </c>
      <c r="M6416" t="n">
        <v>0</v>
      </c>
      <c r="N6416" t="n">
        <v>0</v>
      </c>
      <c r="O6416" t="n">
        <v>0</v>
      </c>
      <c r="P6416" t="n">
        <v>0</v>
      </c>
      <c r="Q6416" t="n">
        <v>0</v>
      </c>
      <c r="R6416" t="n">
        <v>0</v>
      </c>
      <c r="S6416" t="n">
        <v>0</v>
      </c>
      <c r="T6416" t="n">
        <v>0</v>
      </c>
      <c r="U6416" t="n">
        <v>0</v>
      </c>
      <c r="V6416" s="2" t="inlineStr"/>
    </row>
    <row r="6417" ht="15" customHeight="1">
      <c r="A6417" t="inlineStr">
        <is>
          <t>S 456-2022</t>
        </is>
      </c>
      <c r="B6417" t="inlineStr">
        <is>
          <t>samrådsanmälan</t>
        </is>
      </c>
      <c r="C6417" t="inlineStr">
        <is>
          <t>Askåterföring</t>
        </is>
      </c>
      <c r="D6417" s="1" t="n">
        <v>44587</v>
      </c>
      <c r="E6417" s="1" t="n">
        <v>46323</v>
      </c>
      <c r="F6417" t="inlineStr">
        <is>
          <t>KALMAR LÄN</t>
        </is>
      </c>
      <c r="G6417" t="inlineStr">
        <is>
          <t>KALMAR</t>
        </is>
      </c>
      <c r="I6417" t="n">
        <v>12</v>
      </c>
      <c r="J6417" t="n">
        <v>0</v>
      </c>
      <c r="K6417" t="n">
        <v>0</v>
      </c>
      <c r="L6417" t="n">
        <v>0</v>
      </c>
      <c r="M6417" t="n">
        <v>0</v>
      </c>
      <c r="N6417" t="n">
        <v>0</v>
      </c>
      <c r="O6417" t="n">
        <v>0</v>
      </c>
      <c r="P6417" t="n">
        <v>0</v>
      </c>
      <c r="Q6417" t="n">
        <v>0</v>
      </c>
      <c r="R6417" t="n">
        <v>0</v>
      </c>
      <c r="S6417" t="n">
        <v>0</v>
      </c>
      <c r="T6417" t="n">
        <v>0</v>
      </c>
      <c r="U6417" t="n">
        <v>0</v>
      </c>
      <c r="V6417" s="2" t="inlineStr"/>
    </row>
    <row r="6418" ht="15" customHeight="1">
      <c r="A6418" t="inlineStr">
        <is>
          <t>S 2047-2022</t>
        </is>
      </c>
      <c r="B6418" t="inlineStr">
        <is>
          <t>samrådsanmälan</t>
        </is>
      </c>
      <c r="C6418" t="inlineStr">
        <is>
          <t>Åtgärd i nyckelbiotop</t>
        </is>
      </c>
      <c r="D6418" s="1" t="n">
        <v>44671</v>
      </c>
      <c r="E6418" s="1" t="n">
        <v>46323</v>
      </c>
      <c r="F6418" t="inlineStr">
        <is>
          <t>KALMAR LÄN</t>
        </is>
      </c>
      <c r="G6418" t="inlineStr">
        <is>
          <t>VÄSTERVIK</t>
        </is>
      </c>
      <c r="I6418" t="n">
        <v>1.4</v>
      </c>
      <c r="J6418" t="n">
        <v>0</v>
      </c>
      <c r="K6418" t="n">
        <v>0</v>
      </c>
      <c r="L6418" t="n">
        <v>0</v>
      </c>
      <c r="M6418" t="n">
        <v>0</v>
      </c>
      <c r="N6418" t="n">
        <v>0</v>
      </c>
      <c r="O6418" t="n">
        <v>0</v>
      </c>
      <c r="P6418" t="n">
        <v>0</v>
      </c>
      <c r="Q6418" t="n">
        <v>0</v>
      </c>
      <c r="R6418" t="n">
        <v>0</v>
      </c>
      <c r="S6418" t="n">
        <v>0</v>
      </c>
      <c r="T6418" t="n">
        <v>0</v>
      </c>
      <c r="U6418" t="n">
        <v>0</v>
      </c>
      <c r="V6418" s="2" t="inlineStr"/>
    </row>
    <row r="6419" ht="15" customHeight="1">
      <c r="A6419" t="inlineStr">
        <is>
          <t>S 2148-2022</t>
        </is>
      </c>
      <c r="B6419" t="inlineStr">
        <is>
          <t>samrådsanmälan</t>
        </is>
      </c>
      <c r="C6419" t="inlineStr">
        <is>
          <t>Åtgärd i nyckelbiotop</t>
        </is>
      </c>
      <c r="D6419" s="1" t="n">
        <v>44677</v>
      </c>
      <c r="E6419" s="1" t="n">
        <v>46323</v>
      </c>
      <c r="F6419" t="inlineStr">
        <is>
          <t>KALMAR LÄN</t>
        </is>
      </c>
      <c r="G6419" t="inlineStr">
        <is>
          <t>MÖNSTERÅS</t>
        </is>
      </c>
      <c r="I6419" t="n">
        <v>2.2</v>
      </c>
      <c r="J6419" t="n">
        <v>0</v>
      </c>
      <c r="K6419" t="n">
        <v>0</v>
      </c>
      <c r="L6419" t="n">
        <v>0</v>
      </c>
      <c r="M6419" t="n">
        <v>0</v>
      </c>
      <c r="N6419" t="n">
        <v>0</v>
      </c>
      <c r="O6419" t="n">
        <v>0</v>
      </c>
      <c r="P6419" t="n">
        <v>0</v>
      </c>
      <c r="Q6419" t="n">
        <v>0</v>
      </c>
      <c r="R6419" t="n">
        <v>0</v>
      </c>
      <c r="S6419" t="n">
        <v>0</v>
      </c>
      <c r="T6419" t="n">
        <v>0</v>
      </c>
      <c r="U6419" t="n">
        <v>0</v>
      </c>
      <c r="V6419" s="2" t="inlineStr"/>
    </row>
    <row r="6420" ht="15" customHeight="1">
      <c r="A6420" t="inlineStr">
        <is>
          <t>S 1790-2022</t>
        </is>
      </c>
      <c r="B6420" t="inlineStr">
        <is>
          <t>samrådsanmälan</t>
        </is>
      </c>
      <c r="C6420" t="inlineStr">
        <is>
          <t>Annan skogsbruksåtgärd</t>
        </is>
      </c>
      <c r="D6420" s="1" t="n">
        <v>44656</v>
      </c>
      <c r="E6420" s="1" t="n">
        <v>46323</v>
      </c>
      <c r="F6420" t="inlineStr">
        <is>
          <t>KALMAR LÄN</t>
        </is>
      </c>
      <c r="G6420" t="inlineStr">
        <is>
          <t>HULTSFRED</t>
        </is>
      </c>
      <c r="I6420" t="n">
        <v>1.5</v>
      </c>
      <c r="J6420" t="n">
        <v>0</v>
      </c>
      <c r="K6420" t="n">
        <v>0</v>
      </c>
      <c r="L6420" t="n">
        <v>0</v>
      </c>
      <c r="M6420" t="n">
        <v>0</v>
      </c>
      <c r="N6420" t="n">
        <v>0</v>
      </c>
      <c r="O6420" t="n">
        <v>0</v>
      </c>
      <c r="P6420" t="n">
        <v>0</v>
      </c>
      <c r="Q6420" t="n">
        <v>0</v>
      </c>
      <c r="R6420" t="n">
        <v>0</v>
      </c>
      <c r="S6420" t="n">
        <v>0</v>
      </c>
      <c r="T6420" t="n">
        <v>0</v>
      </c>
      <c r="U6420" t="n">
        <v>0</v>
      </c>
      <c r="V6420" s="2" t="inlineStr"/>
    </row>
    <row r="6421" ht="15" customHeight="1">
      <c r="A6421" t="inlineStr">
        <is>
          <t>S 1097-2022</t>
        </is>
      </c>
      <c r="B6421" t="inlineStr">
        <is>
          <t>samrådsanmälan</t>
        </is>
      </c>
      <c r="C6421" t="inlineStr">
        <is>
          <t>Askåterföring</t>
        </is>
      </c>
      <c r="D6421" s="1" t="n">
        <v>44614</v>
      </c>
      <c r="E6421" s="1" t="n">
        <v>46323</v>
      </c>
      <c r="F6421" t="inlineStr">
        <is>
          <t>KALMAR LÄN</t>
        </is>
      </c>
      <c r="G6421" t="inlineStr">
        <is>
          <t>MÖNSTERÅS</t>
        </is>
      </c>
      <c r="I6421" t="n">
        <v>7.6</v>
      </c>
      <c r="J6421" t="n">
        <v>0</v>
      </c>
      <c r="K6421" t="n">
        <v>0</v>
      </c>
      <c r="L6421" t="n">
        <v>0</v>
      </c>
      <c r="M6421" t="n">
        <v>0</v>
      </c>
      <c r="N6421" t="n">
        <v>0</v>
      </c>
      <c r="O6421" t="n">
        <v>0</v>
      </c>
      <c r="P6421" t="n">
        <v>0</v>
      </c>
      <c r="Q6421" t="n">
        <v>0</v>
      </c>
      <c r="R6421" t="n">
        <v>0</v>
      </c>
      <c r="S6421" t="n">
        <v>0</v>
      </c>
      <c r="T6421" t="n">
        <v>0</v>
      </c>
      <c r="U6421" t="n">
        <v>0</v>
      </c>
      <c r="V6421" s="2" t="inlineStr"/>
    </row>
    <row r="6422" ht="15" customHeight="1">
      <c r="A6422" t="inlineStr">
        <is>
          <t>S 1522-2022</t>
        </is>
      </c>
      <c r="B6422" t="inlineStr">
        <is>
          <t>samrådsanmälan</t>
        </is>
      </c>
      <c r="C6422" t="inlineStr">
        <is>
          <t>Traktorväg</t>
        </is>
      </c>
      <c r="D6422" s="1" t="n">
        <v>44638</v>
      </c>
      <c r="E6422" s="1" t="n">
        <v>46323</v>
      </c>
      <c r="F6422" t="inlineStr">
        <is>
          <t>KALMAR LÄN</t>
        </is>
      </c>
      <c r="G6422" t="inlineStr">
        <is>
          <t>HULTSFRED</t>
        </is>
      </c>
      <c r="I6422" t="n">
        <v>0.3</v>
      </c>
      <c r="J6422" t="n">
        <v>0</v>
      </c>
      <c r="K6422" t="n">
        <v>0</v>
      </c>
      <c r="L6422" t="n">
        <v>0</v>
      </c>
      <c r="M6422" t="n">
        <v>0</v>
      </c>
      <c r="N6422" t="n">
        <v>0</v>
      </c>
      <c r="O6422" t="n">
        <v>0</v>
      </c>
      <c r="P6422" t="n">
        <v>0</v>
      </c>
      <c r="Q6422" t="n">
        <v>0</v>
      </c>
      <c r="R6422" t="n">
        <v>0</v>
      </c>
      <c r="S6422" t="n">
        <v>0</v>
      </c>
      <c r="T6422" t="n">
        <v>0</v>
      </c>
      <c r="U6422" t="n">
        <v>0</v>
      </c>
      <c r="V6422" s="2" t="inlineStr"/>
    </row>
    <row r="6423" ht="15" customHeight="1">
      <c r="A6423" t="inlineStr">
        <is>
          <t>S 2407-2022</t>
        </is>
      </c>
      <c r="B6423" t="inlineStr">
        <is>
          <t>samrådsanmälan</t>
        </is>
      </c>
      <c r="C6423" t="inlineStr">
        <is>
          <t>Annan skogsbruksåtgärd</t>
        </is>
      </c>
      <c r="D6423" s="1" t="n">
        <v>44690</v>
      </c>
      <c r="E6423" s="1" t="n">
        <v>46323</v>
      </c>
      <c r="F6423" t="inlineStr">
        <is>
          <t>KALMAR LÄN</t>
        </is>
      </c>
      <c r="G6423" t="inlineStr">
        <is>
          <t>MÖNSTERÅS</t>
        </is>
      </c>
      <c r="I6423" t="n">
        <v>1.6</v>
      </c>
      <c r="J6423" t="n">
        <v>0</v>
      </c>
      <c r="K6423" t="n">
        <v>0</v>
      </c>
      <c r="L6423" t="n">
        <v>0</v>
      </c>
      <c r="M6423" t="n">
        <v>0</v>
      </c>
      <c r="N6423" t="n">
        <v>0</v>
      </c>
      <c r="O6423" t="n">
        <v>0</v>
      </c>
      <c r="P6423" t="n">
        <v>0</v>
      </c>
      <c r="Q6423" t="n">
        <v>0</v>
      </c>
      <c r="R6423" t="n">
        <v>0</v>
      </c>
      <c r="S6423" t="n">
        <v>0</v>
      </c>
      <c r="T6423" t="n">
        <v>0</v>
      </c>
      <c r="U6423" t="n">
        <v>0</v>
      </c>
      <c r="V6423" s="2" t="inlineStr"/>
    </row>
    <row r="6424" ht="15" customHeight="1">
      <c r="A6424" t="inlineStr">
        <is>
          <t>S 654-2022</t>
        </is>
      </c>
      <c r="B6424" t="inlineStr">
        <is>
          <t>samrådsanmälan</t>
        </is>
      </c>
      <c r="C6424" t="inlineStr">
        <is>
          <t>Askåterföring</t>
        </is>
      </c>
      <c r="D6424" s="1" t="n">
        <v>44594</v>
      </c>
      <c r="E6424" s="1" t="n">
        <v>46323</v>
      </c>
      <c r="F6424" t="inlineStr">
        <is>
          <t>KALMAR LÄN</t>
        </is>
      </c>
      <c r="G6424" t="inlineStr">
        <is>
          <t>NYBRO</t>
        </is>
      </c>
      <c r="I6424" t="n">
        <v>50.7</v>
      </c>
      <c r="J6424" t="n">
        <v>0</v>
      </c>
      <c r="K6424" t="n">
        <v>0</v>
      </c>
      <c r="L6424" t="n">
        <v>0</v>
      </c>
      <c r="M6424" t="n">
        <v>0</v>
      </c>
      <c r="N6424" t="n">
        <v>0</v>
      </c>
      <c r="O6424" t="n">
        <v>0</v>
      </c>
      <c r="P6424" t="n">
        <v>0</v>
      </c>
      <c r="Q6424" t="n">
        <v>0</v>
      </c>
      <c r="R6424" t="n">
        <v>0</v>
      </c>
      <c r="S6424" t="n">
        <v>0</v>
      </c>
      <c r="T6424" t="n">
        <v>0</v>
      </c>
      <c r="U6424" t="n">
        <v>0</v>
      </c>
      <c r="V6424" s="2" t="inlineStr"/>
    </row>
    <row r="6425" ht="15" customHeight="1">
      <c r="A6425" t="inlineStr">
        <is>
          <t>S 2489-2022</t>
        </is>
      </c>
      <c r="B6425" t="inlineStr">
        <is>
          <t>samrådsanmälan</t>
        </is>
      </c>
      <c r="C6425" t="inlineStr">
        <is>
          <t>Åtgärd i nyckelbiotop</t>
        </is>
      </c>
      <c r="D6425" s="1" t="n">
        <v>44693</v>
      </c>
      <c r="E6425" s="1" t="n">
        <v>46323</v>
      </c>
      <c r="F6425" t="inlineStr">
        <is>
          <t>KALMAR LÄN</t>
        </is>
      </c>
      <c r="G6425" t="inlineStr">
        <is>
          <t>NYBRO</t>
        </is>
      </c>
      <c r="I6425" t="n">
        <v>1.5</v>
      </c>
      <c r="J6425" t="n">
        <v>0</v>
      </c>
      <c r="K6425" t="n">
        <v>0</v>
      </c>
      <c r="L6425" t="n">
        <v>0</v>
      </c>
      <c r="M6425" t="n">
        <v>0</v>
      </c>
      <c r="N6425" t="n">
        <v>0</v>
      </c>
      <c r="O6425" t="n">
        <v>0</v>
      </c>
      <c r="P6425" t="n">
        <v>0</v>
      </c>
      <c r="Q6425" t="n">
        <v>0</v>
      </c>
      <c r="R6425" t="n">
        <v>0</v>
      </c>
      <c r="S6425" t="n">
        <v>0</v>
      </c>
      <c r="T6425" t="n">
        <v>0</v>
      </c>
      <c r="U6425" t="n">
        <v>0</v>
      </c>
      <c r="V6425" s="2" t="inlineStr"/>
    </row>
    <row r="6426" ht="15" customHeight="1">
      <c r="A6426" t="inlineStr">
        <is>
          <t>S 566-2022</t>
        </is>
      </c>
      <c r="B6426" t="inlineStr">
        <is>
          <t>samrådsanmälan</t>
        </is>
      </c>
      <c r="C6426" t="inlineStr">
        <is>
          <t>Askåterföring</t>
        </is>
      </c>
      <c r="D6426" s="1" t="n">
        <v>44592</v>
      </c>
      <c r="E6426" s="1" t="n">
        <v>46323</v>
      </c>
      <c r="F6426" t="inlineStr">
        <is>
          <t>KALMAR LÄN</t>
        </is>
      </c>
      <c r="G6426" t="inlineStr">
        <is>
          <t>HÖGSBY</t>
        </is>
      </c>
      <c r="I6426" t="n">
        <v>15.1</v>
      </c>
      <c r="J6426" t="n">
        <v>0</v>
      </c>
      <c r="K6426" t="n">
        <v>0</v>
      </c>
      <c r="L6426" t="n">
        <v>0</v>
      </c>
      <c r="M6426" t="n">
        <v>0</v>
      </c>
      <c r="N6426" t="n">
        <v>0</v>
      </c>
      <c r="O6426" t="n">
        <v>0</v>
      </c>
      <c r="P6426" t="n">
        <v>0</v>
      </c>
      <c r="Q6426" t="n">
        <v>0</v>
      </c>
      <c r="R6426" t="n">
        <v>0</v>
      </c>
      <c r="S6426" t="n">
        <v>0</v>
      </c>
      <c r="T6426" t="n">
        <v>0</v>
      </c>
      <c r="U6426" t="n">
        <v>0</v>
      </c>
      <c r="V6426" s="2" t="inlineStr"/>
    </row>
    <row r="6427" ht="15" customHeight="1">
      <c r="A6427" t="inlineStr">
        <is>
          <t>S 1008-2022</t>
        </is>
      </c>
      <c r="B6427" t="inlineStr">
        <is>
          <t>samrådsanmälan</t>
        </is>
      </c>
      <c r="C6427" t="inlineStr">
        <is>
          <t>Basväg</t>
        </is>
      </c>
      <c r="D6427" s="1" t="n">
        <v>44610</v>
      </c>
      <c r="E6427" s="1" t="n">
        <v>46323</v>
      </c>
      <c r="F6427" t="inlineStr">
        <is>
          <t>KALMAR LÄN</t>
        </is>
      </c>
      <c r="G6427" t="inlineStr">
        <is>
          <t>VIMMERBY</t>
        </is>
      </c>
      <c r="I6427" t="n">
        <v>1.7</v>
      </c>
      <c r="J6427" t="n">
        <v>0</v>
      </c>
      <c r="K6427" t="n">
        <v>0</v>
      </c>
      <c r="L6427" t="n">
        <v>0</v>
      </c>
      <c r="M6427" t="n">
        <v>0</v>
      </c>
      <c r="N6427" t="n">
        <v>0</v>
      </c>
      <c r="O6427" t="n">
        <v>0</v>
      </c>
      <c r="P6427" t="n">
        <v>0</v>
      </c>
      <c r="Q6427" t="n">
        <v>0</v>
      </c>
      <c r="R6427" t="n">
        <v>0</v>
      </c>
      <c r="S6427" t="n">
        <v>0</v>
      </c>
      <c r="T6427" t="n">
        <v>0</v>
      </c>
      <c r="U6427" t="n">
        <v>0</v>
      </c>
      <c r="V6427" s="2" t="inlineStr"/>
    </row>
    <row r="6428" ht="15" customHeight="1">
      <c r="A6428" t="inlineStr">
        <is>
          <t>S 770-2022</t>
        </is>
      </c>
      <c r="B6428" t="inlineStr">
        <is>
          <t>samrådsanmälan</t>
        </is>
      </c>
      <c r="C6428" t="inlineStr">
        <is>
          <t>Skogsbilväg</t>
        </is>
      </c>
      <c r="D6428" s="1" t="n">
        <v>44602</v>
      </c>
      <c r="E6428" s="1" t="n">
        <v>46323</v>
      </c>
      <c r="F6428" t="inlineStr">
        <is>
          <t>KALMAR LÄN</t>
        </is>
      </c>
      <c r="G6428" t="inlineStr">
        <is>
          <t>VIMMERBY</t>
        </is>
      </c>
      <c r="I6428" t="n">
        <v>1.8</v>
      </c>
      <c r="J6428" t="n">
        <v>0</v>
      </c>
      <c r="K6428" t="n">
        <v>0</v>
      </c>
      <c r="L6428" t="n">
        <v>0</v>
      </c>
      <c r="M6428" t="n">
        <v>0</v>
      </c>
      <c r="N6428" t="n">
        <v>0</v>
      </c>
      <c r="O6428" t="n">
        <v>0</v>
      </c>
      <c r="P6428" t="n">
        <v>0</v>
      </c>
      <c r="Q6428" t="n">
        <v>0</v>
      </c>
      <c r="R6428" t="n">
        <v>0</v>
      </c>
      <c r="S6428" t="n">
        <v>0</v>
      </c>
      <c r="T6428" t="n">
        <v>0</v>
      </c>
      <c r="U6428" t="n">
        <v>0</v>
      </c>
      <c r="V6428" s="2" t="inlineStr"/>
    </row>
    <row r="6429" ht="15" customHeight="1">
      <c r="A6429" t="inlineStr">
        <is>
          <t>S 453-2022</t>
        </is>
      </c>
      <c r="B6429" t="inlineStr">
        <is>
          <t>samrådsanmälan</t>
        </is>
      </c>
      <c r="C6429" t="inlineStr">
        <is>
          <t>Askåterföring</t>
        </is>
      </c>
      <c r="D6429" s="1" t="n">
        <v>44587</v>
      </c>
      <c r="E6429" s="1" t="n">
        <v>46323</v>
      </c>
      <c r="F6429" t="inlineStr">
        <is>
          <t>KALMAR LÄN</t>
        </is>
      </c>
      <c r="G6429" t="inlineStr">
        <is>
          <t>NYBRO</t>
        </is>
      </c>
      <c r="I6429" t="n">
        <v>20</v>
      </c>
      <c r="J6429" t="n">
        <v>0</v>
      </c>
      <c r="K6429" t="n">
        <v>0</v>
      </c>
      <c r="L6429" t="n">
        <v>0</v>
      </c>
      <c r="M6429" t="n">
        <v>0</v>
      </c>
      <c r="N6429" t="n">
        <v>0</v>
      </c>
      <c r="O6429" t="n">
        <v>0</v>
      </c>
      <c r="P6429" t="n">
        <v>0</v>
      </c>
      <c r="Q6429" t="n">
        <v>0</v>
      </c>
      <c r="R6429" t="n">
        <v>0</v>
      </c>
      <c r="S6429" t="n">
        <v>0</v>
      </c>
      <c r="T6429" t="n">
        <v>0</v>
      </c>
      <c r="U6429" t="n">
        <v>0</v>
      </c>
      <c r="V6429" s="2" t="inlineStr"/>
    </row>
    <row r="6430" ht="15" customHeight="1">
      <c r="A6430" t="inlineStr">
        <is>
          <t>S 561-2022</t>
        </is>
      </c>
      <c r="B6430" t="inlineStr">
        <is>
          <t>samrådsanmälan</t>
        </is>
      </c>
      <c r="C6430" t="inlineStr">
        <is>
          <t>Askåterföring</t>
        </is>
      </c>
      <c r="D6430" s="1" t="n">
        <v>44592</v>
      </c>
      <c r="E6430" s="1" t="n">
        <v>46323</v>
      </c>
      <c r="F6430" t="inlineStr">
        <is>
          <t>KALMAR LÄN</t>
        </is>
      </c>
      <c r="G6430" t="inlineStr">
        <is>
          <t>HÖGSBY</t>
        </is>
      </c>
      <c r="I6430" t="n">
        <v>30.3</v>
      </c>
      <c r="J6430" t="n">
        <v>0</v>
      </c>
      <c r="K6430" t="n">
        <v>0</v>
      </c>
      <c r="L6430" t="n">
        <v>0</v>
      </c>
      <c r="M6430" t="n">
        <v>0</v>
      </c>
      <c r="N6430" t="n">
        <v>0</v>
      </c>
      <c r="O6430" t="n">
        <v>0</v>
      </c>
      <c r="P6430" t="n">
        <v>0</v>
      </c>
      <c r="Q6430" t="n">
        <v>0</v>
      </c>
      <c r="R6430" t="n">
        <v>0</v>
      </c>
      <c r="S6430" t="n">
        <v>0</v>
      </c>
      <c r="T6430" t="n">
        <v>0</v>
      </c>
      <c r="U6430" t="n">
        <v>0</v>
      </c>
      <c r="V6430" s="2" t="inlineStr"/>
    </row>
    <row r="6431" ht="15" customHeight="1">
      <c r="A6431" t="inlineStr">
        <is>
          <t>S 2026-2022</t>
        </is>
      </c>
      <c r="B6431" t="inlineStr">
        <is>
          <t>samrådsanmälan</t>
        </is>
      </c>
      <c r="C6431" t="inlineStr">
        <is>
          <t>Åtgärd i nyckelbiotop</t>
        </is>
      </c>
      <c r="D6431" s="1" t="n">
        <v>44665</v>
      </c>
      <c r="E6431" s="1" t="n">
        <v>46323</v>
      </c>
      <c r="F6431" t="inlineStr">
        <is>
          <t>KALMAR LÄN</t>
        </is>
      </c>
      <c r="G6431" t="inlineStr">
        <is>
          <t>OSKARSHAMN</t>
        </is>
      </c>
      <c r="I6431" t="n">
        <v>0.6</v>
      </c>
      <c r="J6431" t="n">
        <v>0</v>
      </c>
      <c r="K6431" t="n">
        <v>0</v>
      </c>
      <c r="L6431" t="n">
        <v>0</v>
      </c>
      <c r="M6431" t="n">
        <v>0</v>
      </c>
      <c r="N6431" t="n">
        <v>0</v>
      </c>
      <c r="O6431" t="n">
        <v>0</v>
      </c>
      <c r="P6431" t="n">
        <v>0</v>
      </c>
      <c r="Q6431" t="n">
        <v>0</v>
      </c>
      <c r="R6431" t="n">
        <v>0</v>
      </c>
      <c r="S6431" t="n">
        <v>0</v>
      </c>
      <c r="T6431" t="n">
        <v>0</v>
      </c>
      <c r="U6431" t="n">
        <v>0</v>
      </c>
      <c r="V6431" s="2" t="inlineStr"/>
    </row>
    <row r="6432" ht="15" customHeight="1">
      <c r="A6432" t="inlineStr">
        <is>
          <t>S 1437-2022</t>
        </is>
      </c>
      <c r="B6432" t="inlineStr">
        <is>
          <t>samrådsanmälan</t>
        </is>
      </c>
      <c r="C6432" t="inlineStr">
        <is>
          <t>Askåterföring</t>
        </is>
      </c>
      <c r="D6432" s="1" t="n">
        <v>44634</v>
      </c>
      <c r="E6432" s="1" t="n">
        <v>46323</v>
      </c>
      <c r="F6432" t="inlineStr">
        <is>
          <t>KALMAR LÄN</t>
        </is>
      </c>
      <c r="G6432" t="inlineStr">
        <is>
          <t>OSKARSHAMN</t>
        </is>
      </c>
      <c r="I6432" t="n">
        <v>24</v>
      </c>
      <c r="J6432" t="n">
        <v>0</v>
      </c>
      <c r="K6432" t="n">
        <v>0</v>
      </c>
      <c r="L6432" t="n">
        <v>0</v>
      </c>
      <c r="M6432" t="n">
        <v>0</v>
      </c>
      <c r="N6432" t="n">
        <v>0</v>
      </c>
      <c r="O6432" t="n">
        <v>0</v>
      </c>
      <c r="P6432" t="n">
        <v>0</v>
      </c>
      <c r="Q6432" t="n">
        <v>0</v>
      </c>
      <c r="R6432" t="n">
        <v>0</v>
      </c>
      <c r="S6432" t="n">
        <v>0</v>
      </c>
      <c r="T6432" t="n">
        <v>0</v>
      </c>
      <c r="U6432" t="n">
        <v>0</v>
      </c>
      <c r="V6432" s="2" t="inlineStr"/>
    </row>
    <row r="6433" ht="15" customHeight="1">
      <c r="A6433" t="inlineStr">
        <is>
          <t>S 679-2024</t>
        </is>
      </c>
      <c r="B6433" t="inlineStr">
        <is>
          <t>samrådsanmälan</t>
        </is>
      </c>
      <c r="C6433" t="inlineStr">
        <is>
          <t>Askåterföring</t>
        </is>
      </c>
      <c r="D6433" s="1" t="n">
        <v>45357</v>
      </c>
      <c r="E6433" s="1" t="n">
        <v>46323</v>
      </c>
      <c r="F6433" t="inlineStr">
        <is>
          <t>KALMAR LÄN</t>
        </is>
      </c>
      <c r="G6433" t="inlineStr">
        <is>
          <t>OSKARSHAMN</t>
        </is>
      </c>
      <c r="I6433" t="n">
        <v>8.199999999999999</v>
      </c>
      <c r="J6433" t="n">
        <v>0</v>
      </c>
      <c r="K6433" t="n">
        <v>0</v>
      </c>
      <c r="L6433" t="n">
        <v>0</v>
      </c>
      <c r="M6433" t="n">
        <v>0</v>
      </c>
      <c r="N6433" t="n">
        <v>0</v>
      </c>
      <c r="O6433" t="n">
        <v>0</v>
      </c>
      <c r="P6433" t="n">
        <v>0</v>
      </c>
      <c r="Q6433" t="n">
        <v>0</v>
      </c>
      <c r="R6433" t="n">
        <v>0</v>
      </c>
      <c r="S6433" t="n">
        <v>0</v>
      </c>
      <c r="T6433" t="n">
        <v>0</v>
      </c>
      <c r="U6433" t="n">
        <v>0</v>
      </c>
      <c r="V6433" s="2" t="inlineStr"/>
    </row>
    <row r="6434" ht="15" customHeight="1">
      <c r="A6434" t="inlineStr">
        <is>
          <t>S 2572-2024</t>
        </is>
      </c>
      <c r="B6434" t="inlineStr">
        <is>
          <t>samrådsanmälan</t>
        </is>
      </c>
      <c r="C6434" t="inlineStr">
        <is>
          <t>Askåterföring</t>
        </is>
      </c>
      <c r="D6434" s="1" t="n">
        <v>45476</v>
      </c>
      <c r="E6434" s="1" t="n">
        <v>46323</v>
      </c>
      <c r="F6434" t="inlineStr">
        <is>
          <t>KALMAR LÄN</t>
        </is>
      </c>
      <c r="G6434" t="inlineStr">
        <is>
          <t>HULTSFRED</t>
        </is>
      </c>
      <c r="I6434" t="n">
        <v>9.699999999999999</v>
      </c>
      <c r="J6434" t="n">
        <v>0</v>
      </c>
      <c r="K6434" t="n">
        <v>0</v>
      </c>
      <c r="L6434" t="n">
        <v>0</v>
      </c>
      <c r="M6434" t="n">
        <v>0</v>
      </c>
      <c r="N6434" t="n">
        <v>0</v>
      </c>
      <c r="O6434" t="n">
        <v>0</v>
      </c>
      <c r="P6434" t="n">
        <v>0</v>
      </c>
      <c r="Q6434" t="n">
        <v>0</v>
      </c>
      <c r="R6434" t="n">
        <v>0</v>
      </c>
      <c r="S6434" t="n">
        <v>0</v>
      </c>
      <c r="T6434" t="n">
        <v>0</v>
      </c>
      <c r="U6434" t="n">
        <v>0</v>
      </c>
      <c r="V6434" s="2" t="inlineStr"/>
    </row>
    <row r="6435" ht="15" customHeight="1">
      <c r="A6435" t="inlineStr">
        <is>
          <t>S 761-2023</t>
        </is>
      </c>
      <c r="B6435" t="inlineStr">
        <is>
          <t>samrådsanmälan</t>
        </is>
      </c>
      <c r="C6435" t="inlineStr">
        <is>
          <t>Askåterföring</t>
        </is>
      </c>
      <c r="D6435" s="1" t="n">
        <v>44981</v>
      </c>
      <c r="E6435" s="1" t="n">
        <v>46323</v>
      </c>
      <c r="F6435" t="inlineStr">
        <is>
          <t>KALMAR LÄN</t>
        </is>
      </c>
      <c r="G6435" t="inlineStr">
        <is>
          <t>VIMMERBY</t>
        </is>
      </c>
      <c r="H6435" t="inlineStr">
        <is>
          <t>Kyrkan</t>
        </is>
      </c>
      <c r="I6435" t="n">
        <v>16.1</v>
      </c>
      <c r="J6435" t="n">
        <v>0</v>
      </c>
      <c r="K6435" t="n">
        <v>0</v>
      </c>
      <c r="L6435" t="n">
        <v>0</v>
      </c>
      <c r="M6435" t="n">
        <v>0</v>
      </c>
      <c r="N6435" t="n">
        <v>0</v>
      </c>
      <c r="O6435" t="n">
        <v>0</v>
      </c>
      <c r="P6435" t="n">
        <v>0</v>
      </c>
      <c r="Q6435" t="n">
        <v>0</v>
      </c>
      <c r="R6435" t="n">
        <v>0</v>
      </c>
      <c r="S6435" t="n">
        <v>0</v>
      </c>
      <c r="T6435" t="n">
        <v>0</v>
      </c>
      <c r="U6435" t="n">
        <v>0</v>
      </c>
      <c r="V6435" s="2" t="inlineStr"/>
    </row>
    <row r="6436" ht="15" customHeight="1">
      <c r="A6436" t="inlineStr">
        <is>
          <t>S 3937-2023</t>
        </is>
      </c>
      <c r="B6436" t="inlineStr">
        <is>
          <t>samrådsanmälan</t>
        </is>
      </c>
      <c r="C6436" t="inlineStr">
        <is>
          <t>Annan skogsbruksåtgärd</t>
        </is>
      </c>
      <c r="D6436" s="1" t="n">
        <v>45235</v>
      </c>
      <c r="E6436" s="1" t="n">
        <v>46323</v>
      </c>
      <c r="F6436" t="inlineStr">
        <is>
          <t>KALMAR LÄN</t>
        </is>
      </c>
      <c r="G6436" t="inlineStr">
        <is>
          <t>TORSÅS</t>
        </is>
      </c>
      <c r="I6436" t="n">
        <v>0.4</v>
      </c>
      <c r="J6436" t="n">
        <v>0</v>
      </c>
      <c r="K6436" t="n">
        <v>0</v>
      </c>
      <c r="L6436" t="n">
        <v>0</v>
      </c>
      <c r="M6436" t="n">
        <v>0</v>
      </c>
      <c r="N6436" t="n">
        <v>0</v>
      </c>
      <c r="O6436" t="n">
        <v>0</v>
      </c>
      <c r="P6436" t="n">
        <v>0</v>
      </c>
      <c r="Q6436" t="n">
        <v>0</v>
      </c>
      <c r="R6436" t="n">
        <v>0</v>
      </c>
      <c r="S6436" t="n">
        <v>0</v>
      </c>
      <c r="T6436" t="n">
        <v>0</v>
      </c>
      <c r="U6436" t="n">
        <v>0</v>
      </c>
      <c r="V6436" s="2" t="inlineStr"/>
    </row>
    <row r="6437" ht="15" customHeight="1">
      <c r="A6437" t="inlineStr">
        <is>
          <t>S 5001-2024</t>
        </is>
      </c>
      <c r="B6437" t="inlineStr">
        <is>
          <t>samrådsanmälan</t>
        </is>
      </c>
      <c r="C6437" t="inlineStr">
        <is>
          <t>Annan skogsbruksåtgärd</t>
        </is>
      </c>
      <c r="D6437" s="1" t="n">
        <v>45631</v>
      </c>
      <c r="E6437" s="1" t="n">
        <v>46323</v>
      </c>
      <c r="F6437" t="inlineStr">
        <is>
          <t>KALMAR LÄN</t>
        </is>
      </c>
      <c r="G6437" t="inlineStr">
        <is>
          <t>VÄSTERVIK</t>
        </is>
      </c>
      <c r="I6437" t="n">
        <v>0.5</v>
      </c>
      <c r="J6437" t="n">
        <v>0</v>
      </c>
      <c r="K6437" t="n">
        <v>0</v>
      </c>
      <c r="L6437" t="n">
        <v>0</v>
      </c>
      <c r="M6437" t="n">
        <v>0</v>
      </c>
      <c r="N6437" t="n">
        <v>0</v>
      </c>
      <c r="O6437" t="n">
        <v>0</v>
      </c>
      <c r="P6437" t="n">
        <v>0</v>
      </c>
      <c r="Q6437" t="n">
        <v>0</v>
      </c>
      <c r="R6437" t="n">
        <v>0</v>
      </c>
      <c r="S6437" t="n">
        <v>0</v>
      </c>
      <c r="T6437" t="n">
        <v>0</v>
      </c>
      <c r="U6437" t="n">
        <v>0</v>
      </c>
      <c r="V6437" s="2" t="inlineStr"/>
    </row>
    <row r="6438" ht="15" customHeight="1">
      <c r="A6438" t="inlineStr">
        <is>
          <t>S 645-2023</t>
        </is>
      </c>
      <c r="B6438" t="inlineStr">
        <is>
          <t>samrådsanmälan</t>
        </is>
      </c>
      <c r="C6438" t="inlineStr">
        <is>
          <t>Askåterföring</t>
        </is>
      </c>
      <c r="D6438" s="1" t="n">
        <v>44973</v>
      </c>
      <c r="E6438" s="1" t="n">
        <v>46323</v>
      </c>
      <c r="F6438" t="inlineStr">
        <is>
          <t>KALMAR LÄN</t>
        </is>
      </c>
      <c r="G6438" t="inlineStr">
        <is>
          <t>NYBRO</t>
        </is>
      </c>
      <c r="I6438" t="n">
        <v>14.5</v>
      </c>
      <c r="J6438" t="n">
        <v>0</v>
      </c>
      <c r="K6438" t="n">
        <v>0</v>
      </c>
      <c r="L6438" t="n">
        <v>0</v>
      </c>
      <c r="M6438" t="n">
        <v>0</v>
      </c>
      <c r="N6438" t="n">
        <v>0</v>
      </c>
      <c r="O6438" t="n">
        <v>0</v>
      </c>
      <c r="P6438" t="n">
        <v>0</v>
      </c>
      <c r="Q6438" t="n">
        <v>0</v>
      </c>
      <c r="R6438" t="n">
        <v>0</v>
      </c>
      <c r="S6438" t="n">
        <v>0</v>
      </c>
      <c r="T6438" t="n">
        <v>0</v>
      </c>
      <c r="U6438" t="n">
        <v>0</v>
      </c>
      <c r="V6438" s="2" t="inlineStr"/>
    </row>
    <row r="6439" ht="15" customHeight="1">
      <c r="A6439" t="inlineStr">
        <is>
          <t>S 3248-2023</t>
        </is>
      </c>
      <c r="B6439" t="inlineStr">
        <is>
          <t>samrådsanmälan</t>
        </is>
      </c>
      <c r="C6439" t="inlineStr">
        <is>
          <t>Askåterföring</t>
        </is>
      </c>
      <c r="D6439" s="1" t="n">
        <v>45191</v>
      </c>
      <c r="E6439" s="1" t="n">
        <v>46323</v>
      </c>
      <c r="F6439" t="inlineStr">
        <is>
          <t>KALMAR LÄN</t>
        </is>
      </c>
      <c r="G6439" t="inlineStr">
        <is>
          <t>EMMABODA</t>
        </is>
      </c>
      <c r="I6439" t="n">
        <v>30.4</v>
      </c>
      <c r="J6439" t="n">
        <v>0</v>
      </c>
      <c r="K6439" t="n">
        <v>0</v>
      </c>
      <c r="L6439" t="n">
        <v>0</v>
      </c>
      <c r="M6439" t="n">
        <v>0</v>
      </c>
      <c r="N6439" t="n">
        <v>0</v>
      </c>
      <c r="O6439" t="n">
        <v>0</v>
      </c>
      <c r="P6439" t="n">
        <v>0</v>
      </c>
      <c r="Q6439" t="n">
        <v>0</v>
      </c>
      <c r="R6439" t="n">
        <v>0</v>
      </c>
      <c r="S6439" t="n">
        <v>0</v>
      </c>
      <c r="T6439" t="n">
        <v>0</v>
      </c>
      <c r="U6439" t="n">
        <v>0</v>
      </c>
      <c r="V6439" s="2" t="inlineStr"/>
    </row>
    <row r="6440" ht="15" customHeight="1">
      <c r="A6440" t="inlineStr">
        <is>
          <t>S 3215-2024</t>
        </is>
      </c>
      <c r="B6440" t="inlineStr">
        <is>
          <t>samrådsanmälan</t>
        </is>
      </c>
      <c r="C6440" t="inlineStr">
        <is>
          <t>Annan skogsbruksåtgärd</t>
        </is>
      </c>
      <c r="D6440" s="1" t="n">
        <v>45525</v>
      </c>
      <c r="E6440" s="1" t="n">
        <v>46323</v>
      </c>
      <c r="F6440" t="inlineStr">
        <is>
          <t>KALMAR LÄN</t>
        </is>
      </c>
      <c r="G6440" t="inlineStr">
        <is>
          <t>VÄSTERVIK</t>
        </is>
      </c>
      <c r="I6440" t="n">
        <v>0</v>
      </c>
      <c r="J6440" t="n">
        <v>0</v>
      </c>
      <c r="K6440" t="n">
        <v>0</v>
      </c>
      <c r="L6440" t="n">
        <v>0</v>
      </c>
      <c r="M6440" t="n">
        <v>0</v>
      </c>
      <c r="N6440" t="n">
        <v>0</v>
      </c>
      <c r="O6440" t="n">
        <v>0</v>
      </c>
      <c r="P6440" t="n">
        <v>0</v>
      </c>
      <c r="Q6440" t="n">
        <v>0</v>
      </c>
      <c r="R6440" t="n">
        <v>0</v>
      </c>
      <c r="S6440" t="n">
        <v>0</v>
      </c>
      <c r="T6440" t="n">
        <v>0</v>
      </c>
      <c r="U6440" t="n">
        <v>0</v>
      </c>
      <c r="V6440" s="2" t="inlineStr"/>
    </row>
    <row r="6441" ht="15" customHeight="1">
      <c r="A6441" t="inlineStr">
        <is>
          <t>S 4832-2024</t>
        </is>
      </c>
      <c r="B6441" t="inlineStr">
        <is>
          <t>samrådsanmälan</t>
        </is>
      </c>
      <c r="C6441" t="inlineStr">
        <is>
          <t>Annan skogsbruksåtgärd</t>
        </is>
      </c>
      <c r="D6441" s="1" t="n">
        <v>45615</v>
      </c>
      <c r="E6441" s="1" t="n">
        <v>46323</v>
      </c>
      <c r="F6441" t="inlineStr">
        <is>
          <t>KALMAR LÄN</t>
        </is>
      </c>
      <c r="G6441" t="inlineStr">
        <is>
          <t>OSKARSHAMN</t>
        </is>
      </c>
      <c r="H6441" t="inlineStr">
        <is>
          <t>Kommuner</t>
        </is>
      </c>
      <c r="I6441" t="n">
        <v>0.5</v>
      </c>
      <c r="J6441" t="n">
        <v>0</v>
      </c>
      <c r="K6441" t="n">
        <v>0</v>
      </c>
      <c r="L6441" t="n">
        <v>0</v>
      </c>
      <c r="M6441" t="n">
        <v>0</v>
      </c>
      <c r="N6441" t="n">
        <v>0</v>
      </c>
      <c r="O6441" t="n">
        <v>0</v>
      </c>
      <c r="P6441" t="n">
        <v>0</v>
      </c>
      <c r="Q6441" t="n">
        <v>0</v>
      </c>
      <c r="R6441" t="n">
        <v>0</v>
      </c>
      <c r="S6441" t="n">
        <v>0</v>
      </c>
      <c r="T6441" t="n">
        <v>0</v>
      </c>
      <c r="U6441" t="n">
        <v>0</v>
      </c>
      <c r="V6441" s="2" t="inlineStr"/>
    </row>
    <row r="6442" ht="15" customHeight="1">
      <c r="A6442" t="inlineStr">
        <is>
          <t>S 221-2024</t>
        </is>
      </c>
      <c r="B6442" t="inlineStr">
        <is>
          <t>samrådsanmälan</t>
        </is>
      </c>
      <c r="C6442" t="inlineStr">
        <is>
          <t>Askåterföring</t>
        </is>
      </c>
      <c r="D6442" s="1" t="n">
        <v>45316</v>
      </c>
      <c r="E6442" s="1" t="n">
        <v>46323</v>
      </c>
      <c r="F6442" t="inlineStr">
        <is>
          <t>KALMAR LÄN</t>
        </is>
      </c>
      <c r="G6442" t="inlineStr">
        <is>
          <t>TORSÅS</t>
        </is>
      </c>
      <c r="I6442" t="n">
        <v>17.6</v>
      </c>
      <c r="J6442" t="n">
        <v>0</v>
      </c>
      <c r="K6442" t="n">
        <v>0</v>
      </c>
      <c r="L6442" t="n">
        <v>0</v>
      </c>
      <c r="M6442" t="n">
        <v>0</v>
      </c>
      <c r="N6442" t="n">
        <v>0</v>
      </c>
      <c r="O6442" t="n">
        <v>0</v>
      </c>
      <c r="P6442" t="n">
        <v>0</v>
      </c>
      <c r="Q6442" t="n">
        <v>0</v>
      </c>
      <c r="R6442" t="n">
        <v>0</v>
      </c>
      <c r="S6442" t="n">
        <v>0</v>
      </c>
      <c r="T6442" t="n">
        <v>0</v>
      </c>
      <c r="U6442" t="n">
        <v>0</v>
      </c>
      <c r="V6442" s="2" t="inlineStr"/>
    </row>
    <row r="6443" ht="15" customHeight="1">
      <c r="A6443" t="inlineStr">
        <is>
          <t>S 3287-2024</t>
        </is>
      </c>
      <c r="B6443" t="inlineStr">
        <is>
          <t>samrådsanmälan</t>
        </is>
      </c>
      <c r="C6443" t="inlineStr">
        <is>
          <t>Annan skogsbruksåtgärd</t>
        </is>
      </c>
      <c r="D6443" s="1" t="n">
        <v>45527</v>
      </c>
      <c r="E6443" s="1" t="n">
        <v>46323</v>
      </c>
      <c r="F6443" t="inlineStr">
        <is>
          <t>KALMAR LÄN</t>
        </is>
      </c>
      <c r="G6443" t="inlineStr">
        <is>
          <t>TORSÅS</t>
        </is>
      </c>
      <c r="I6443" t="n">
        <v>1</v>
      </c>
      <c r="J6443" t="n">
        <v>0</v>
      </c>
      <c r="K6443" t="n">
        <v>0</v>
      </c>
      <c r="L6443" t="n">
        <v>0</v>
      </c>
      <c r="M6443" t="n">
        <v>0</v>
      </c>
      <c r="N6443" t="n">
        <v>0</v>
      </c>
      <c r="O6443" t="n">
        <v>0</v>
      </c>
      <c r="P6443" t="n">
        <v>0</v>
      </c>
      <c r="Q6443" t="n">
        <v>0</v>
      </c>
      <c r="R6443" t="n">
        <v>0</v>
      </c>
      <c r="S6443" t="n">
        <v>0</v>
      </c>
      <c r="T6443" t="n">
        <v>0</v>
      </c>
      <c r="U6443" t="n">
        <v>0</v>
      </c>
      <c r="V6443" s="2" t="inlineStr"/>
    </row>
    <row r="6444" ht="15" customHeight="1">
      <c r="A6444" t="inlineStr">
        <is>
          <t>S 1844-2024</t>
        </is>
      </c>
      <c r="B6444" t="inlineStr">
        <is>
          <t>samrådsanmälan</t>
        </is>
      </c>
      <c r="C6444" t="inlineStr">
        <is>
          <t>Askåterföring</t>
        </is>
      </c>
      <c r="D6444" s="1" t="n">
        <v>45440</v>
      </c>
      <c r="E6444" s="1" t="n">
        <v>46323</v>
      </c>
      <c r="F6444" t="inlineStr">
        <is>
          <t>KALMAR LÄN</t>
        </is>
      </c>
      <c r="G6444" t="inlineStr">
        <is>
          <t>TORSÅS</t>
        </is>
      </c>
      <c r="I6444" t="n">
        <v>15.7</v>
      </c>
      <c r="J6444" t="n">
        <v>0</v>
      </c>
      <c r="K6444" t="n">
        <v>0</v>
      </c>
      <c r="L6444" t="n">
        <v>0</v>
      </c>
      <c r="M6444" t="n">
        <v>0</v>
      </c>
      <c r="N6444" t="n">
        <v>0</v>
      </c>
      <c r="O6444" t="n">
        <v>0</v>
      </c>
      <c r="P6444" t="n">
        <v>0</v>
      </c>
      <c r="Q6444" t="n">
        <v>0</v>
      </c>
      <c r="R6444" t="n">
        <v>0</v>
      </c>
      <c r="S6444" t="n">
        <v>0</v>
      </c>
      <c r="T6444" t="n">
        <v>0</v>
      </c>
      <c r="U6444" t="n">
        <v>0</v>
      </c>
      <c r="V6444" s="2" t="inlineStr"/>
    </row>
    <row r="6445" ht="15" customHeight="1">
      <c r="A6445" t="inlineStr">
        <is>
          <t>S 593-2024</t>
        </is>
      </c>
      <c r="B6445" t="inlineStr">
        <is>
          <t>samrådsanmälan</t>
        </is>
      </c>
      <c r="C6445" t="inlineStr">
        <is>
          <t>Askåterföring</t>
        </is>
      </c>
      <c r="D6445" s="1" t="n">
        <v>45351</v>
      </c>
      <c r="E6445" s="1" t="n">
        <v>46323</v>
      </c>
      <c r="F6445" t="inlineStr">
        <is>
          <t>KALMAR LÄN</t>
        </is>
      </c>
      <c r="G6445" t="inlineStr">
        <is>
          <t>VIMMERBY</t>
        </is>
      </c>
      <c r="I6445" t="n">
        <v>31</v>
      </c>
      <c r="J6445" t="n">
        <v>0</v>
      </c>
      <c r="K6445" t="n">
        <v>0</v>
      </c>
      <c r="L6445" t="n">
        <v>0</v>
      </c>
      <c r="M6445" t="n">
        <v>0</v>
      </c>
      <c r="N6445" t="n">
        <v>0</v>
      </c>
      <c r="O6445" t="n">
        <v>0</v>
      </c>
      <c r="P6445" t="n">
        <v>0</v>
      </c>
      <c r="Q6445" t="n">
        <v>0</v>
      </c>
      <c r="R6445" t="n">
        <v>0</v>
      </c>
      <c r="S6445" t="n">
        <v>0</v>
      </c>
      <c r="T6445" t="n">
        <v>0</v>
      </c>
      <c r="U6445" t="n">
        <v>0</v>
      </c>
      <c r="V6445" s="2" t="inlineStr"/>
    </row>
    <row r="6446" ht="15" customHeight="1">
      <c r="A6446" t="inlineStr">
        <is>
          <t>S 1061-2024</t>
        </is>
      </c>
      <c r="B6446" t="inlineStr">
        <is>
          <t>samrådsanmälan</t>
        </is>
      </c>
      <c r="C6446" t="inlineStr">
        <is>
          <t>Askåterföring</t>
        </is>
      </c>
      <c r="D6446" s="1" t="n">
        <v>45387</v>
      </c>
      <c r="E6446" s="1" t="n">
        <v>46323</v>
      </c>
      <c r="F6446" t="inlineStr">
        <is>
          <t>KALMAR LÄN</t>
        </is>
      </c>
      <c r="G6446" t="inlineStr">
        <is>
          <t>KALMAR</t>
        </is>
      </c>
      <c r="I6446" t="n">
        <v>11.8</v>
      </c>
      <c r="J6446" t="n">
        <v>0</v>
      </c>
      <c r="K6446" t="n">
        <v>0</v>
      </c>
      <c r="L6446" t="n">
        <v>0</v>
      </c>
      <c r="M6446" t="n">
        <v>0</v>
      </c>
      <c r="N6446" t="n">
        <v>0</v>
      </c>
      <c r="O6446" t="n">
        <v>0</v>
      </c>
      <c r="P6446" t="n">
        <v>0</v>
      </c>
      <c r="Q6446" t="n">
        <v>0</v>
      </c>
      <c r="R6446" t="n">
        <v>0</v>
      </c>
      <c r="S6446" t="n">
        <v>0</v>
      </c>
      <c r="T6446" t="n">
        <v>0</v>
      </c>
      <c r="U6446" t="n">
        <v>0</v>
      </c>
      <c r="V6446" s="2" t="inlineStr"/>
    </row>
    <row r="6447" ht="15" customHeight="1">
      <c r="A6447" t="inlineStr">
        <is>
          <t>S 1512-2024</t>
        </is>
      </c>
      <c r="B6447" t="inlineStr">
        <is>
          <t>samrådsanmälan</t>
        </is>
      </c>
      <c r="C6447" t="inlineStr">
        <is>
          <t>Askåterföring</t>
        </is>
      </c>
      <c r="D6447" s="1" t="n">
        <v>45422</v>
      </c>
      <c r="E6447" s="1" t="n">
        <v>46323</v>
      </c>
      <c r="F6447" t="inlineStr">
        <is>
          <t>KALMAR LÄN</t>
        </is>
      </c>
      <c r="G6447" t="inlineStr">
        <is>
          <t>NYBRO</t>
        </is>
      </c>
      <c r="I6447" t="n">
        <v>10.6</v>
      </c>
      <c r="J6447" t="n">
        <v>0</v>
      </c>
      <c r="K6447" t="n">
        <v>0</v>
      </c>
      <c r="L6447" t="n">
        <v>0</v>
      </c>
      <c r="M6447" t="n">
        <v>0</v>
      </c>
      <c r="N6447" t="n">
        <v>0</v>
      </c>
      <c r="O6447" t="n">
        <v>0</v>
      </c>
      <c r="P6447" t="n">
        <v>0</v>
      </c>
      <c r="Q6447" t="n">
        <v>0</v>
      </c>
      <c r="R6447" t="n">
        <v>0</v>
      </c>
      <c r="S6447" t="n">
        <v>0</v>
      </c>
      <c r="T6447" t="n">
        <v>0</v>
      </c>
      <c r="U6447" t="n">
        <v>0</v>
      </c>
      <c r="V6447" s="2" t="inlineStr"/>
    </row>
    <row r="6448" ht="15" customHeight="1">
      <c r="A6448" t="inlineStr">
        <is>
          <t>S 1517-2023</t>
        </is>
      </c>
      <c r="B6448" t="inlineStr">
        <is>
          <t>samrådsanmälan</t>
        </is>
      </c>
      <c r="C6448" t="inlineStr">
        <is>
          <t>Annan skogsbruksåtgärd</t>
        </is>
      </c>
      <c r="D6448" s="1" t="n">
        <v>45055</v>
      </c>
      <c r="E6448" s="1" t="n">
        <v>46323</v>
      </c>
      <c r="F6448" t="inlineStr">
        <is>
          <t>KALMAR LÄN</t>
        </is>
      </c>
      <c r="G6448" t="inlineStr">
        <is>
          <t>VÄSTERVIK</t>
        </is>
      </c>
      <c r="H6448" t="inlineStr">
        <is>
          <t>Kommuner</t>
        </is>
      </c>
      <c r="I6448" t="n">
        <v>6.3</v>
      </c>
      <c r="J6448" t="n">
        <v>0</v>
      </c>
      <c r="K6448" t="n">
        <v>0</v>
      </c>
      <c r="L6448" t="n">
        <v>0</v>
      </c>
      <c r="M6448" t="n">
        <v>0</v>
      </c>
      <c r="N6448" t="n">
        <v>0</v>
      </c>
      <c r="O6448" t="n">
        <v>0</v>
      </c>
      <c r="P6448" t="n">
        <v>0</v>
      </c>
      <c r="Q6448" t="n">
        <v>0</v>
      </c>
      <c r="R6448" t="n">
        <v>0</v>
      </c>
      <c r="S6448" t="n">
        <v>0</v>
      </c>
      <c r="T6448" t="n">
        <v>0</v>
      </c>
      <c r="U6448" t="n">
        <v>0</v>
      </c>
      <c r="V6448" s="2" t="inlineStr"/>
    </row>
    <row r="6449" ht="15" customHeight="1">
      <c r="A6449" t="inlineStr">
        <is>
          <t>S 843-2023</t>
        </is>
      </c>
      <c r="B6449" t="inlineStr">
        <is>
          <t>samrådsanmälan</t>
        </is>
      </c>
      <c r="C6449" t="inlineStr">
        <is>
          <t>Annan skogsbruksåtgärd</t>
        </is>
      </c>
      <c r="D6449" s="1" t="n">
        <v>44992</v>
      </c>
      <c r="E6449" s="1" t="n">
        <v>46323</v>
      </c>
      <c r="F6449" t="inlineStr">
        <is>
          <t>KALMAR LÄN</t>
        </is>
      </c>
      <c r="G6449" t="inlineStr">
        <is>
          <t>VIMMERBY</t>
        </is>
      </c>
      <c r="I6449" t="n">
        <v>2.2</v>
      </c>
      <c r="J6449" t="n">
        <v>0</v>
      </c>
      <c r="K6449" t="n">
        <v>0</v>
      </c>
      <c r="L6449" t="n">
        <v>0</v>
      </c>
      <c r="M6449" t="n">
        <v>0</v>
      </c>
      <c r="N6449" t="n">
        <v>0</v>
      </c>
      <c r="O6449" t="n">
        <v>0</v>
      </c>
      <c r="P6449" t="n">
        <v>0</v>
      </c>
      <c r="Q6449" t="n">
        <v>0</v>
      </c>
      <c r="R6449" t="n">
        <v>0</v>
      </c>
      <c r="S6449" t="n">
        <v>0</v>
      </c>
      <c r="T6449" t="n">
        <v>0</v>
      </c>
      <c r="U6449" t="n">
        <v>0</v>
      </c>
      <c r="V6449" s="2" t="inlineStr"/>
    </row>
    <row r="6450" ht="15" customHeight="1">
      <c r="A6450" t="inlineStr">
        <is>
          <t>S 2324-2023</t>
        </is>
      </c>
      <c r="B6450" t="inlineStr">
        <is>
          <t>samrådsanmälan</t>
        </is>
      </c>
      <c r="C6450" t="inlineStr">
        <is>
          <t>Askåterföring</t>
        </is>
      </c>
      <c r="D6450" s="1" t="n">
        <v>45106</v>
      </c>
      <c r="E6450" s="1" t="n">
        <v>46323</v>
      </c>
      <c r="F6450" t="inlineStr">
        <is>
          <t>KALMAR LÄN</t>
        </is>
      </c>
      <c r="G6450" t="inlineStr">
        <is>
          <t>HULTSFRED</t>
        </is>
      </c>
      <c r="I6450" t="n">
        <v>28.3</v>
      </c>
      <c r="J6450" t="n">
        <v>0</v>
      </c>
      <c r="K6450" t="n">
        <v>0</v>
      </c>
      <c r="L6450" t="n">
        <v>0</v>
      </c>
      <c r="M6450" t="n">
        <v>0</v>
      </c>
      <c r="N6450" t="n">
        <v>0</v>
      </c>
      <c r="O6450" t="n">
        <v>0</v>
      </c>
      <c r="P6450" t="n">
        <v>0</v>
      </c>
      <c r="Q6450" t="n">
        <v>0</v>
      </c>
      <c r="R6450" t="n">
        <v>0</v>
      </c>
      <c r="S6450" t="n">
        <v>0</v>
      </c>
      <c r="T6450" t="n">
        <v>0</v>
      </c>
      <c r="U6450" t="n">
        <v>0</v>
      </c>
      <c r="V6450" s="2" t="inlineStr"/>
    </row>
    <row r="6451" ht="15" customHeight="1">
      <c r="A6451" t="inlineStr">
        <is>
          <t>S 513-2023</t>
        </is>
      </c>
      <c r="B6451" t="inlineStr">
        <is>
          <t>samrådsanmälan</t>
        </is>
      </c>
      <c r="C6451" t="inlineStr">
        <is>
          <t>Askåterföring</t>
        </is>
      </c>
      <c r="D6451" s="1" t="n">
        <v>44966</v>
      </c>
      <c r="E6451" s="1" t="n">
        <v>46323</v>
      </c>
      <c r="F6451" t="inlineStr">
        <is>
          <t>KALMAR LÄN</t>
        </is>
      </c>
      <c r="G6451" t="inlineStr">
        <is>
          <t>HÖGSBY</t>
        </is>
      </c>
      <c r="I6451" t="n">
        <v>12.4</v>
      </c>
      <c r="J6451" t="n">
        <v>0</v>
      </c>
      <c r="K6451" t="n">
        <v>0</v>
      </c>
      <c r="L6451" t="n">
        <v>0</v>
      </c>
      <c r="M6451" t="n">
        <v>0</v>
      </c>
      <c r="N6451" t="n">
        <v>0</v>
      </c>
      <c r="O6451" t="n">
        <v>0</v>
      </c>
      <c r="P6451" t="n">
        <v>0</v>
      </c>
      <c r="Q6451" t="n">
        <v>0</v>
      </c>
      <c r="R6451" t="n">
        <v>0</v>
      </c>
      <c r="S6451" t="n">
        <v>0</v>
      </c>
      <c r="T6451" t="n">
        <v>0</v>
      </c>
      <c r="U6451" t="n">
        <v>0</v>
      </c>
      <c r="V6451" s="2" t="inlineStr"/>
    </row>
    <row r="6452" ht="15" customHeight="1">
      <c r="A6452" t="inlineStr">
        <is>
          <t>S 1910-2023</t>
        </is>
      </c>
      <c r="B6452" t="inlineStr">
        <is>
          <t>samrådsanmälan</t>
        </is>
      </c>
      <c r="C6452" t="inlineStr">
        <is>
          <t>Annan skogsbruksåtgärd</t>
        </is>
      </c>
      <c r="D6452" s="1" t="n">
        <v>45078</v>
      </c>
      <c r="E6452" s="1" t="n">
        <v>46323</v>
      </c>
      <c r="F6452" t="inlineStr">
        <is>
          <t>KALMAR LÄN</t>
        </is>
      </c>
      <c r="G6452" t="inlineStr">
        <is>
          <t>OSKARSHAMN</t>
        </is>
      </c>
      <c r="I6452" t="n">
        <v>0.4</v>
      </c>
      <c r="J6452" t="n">
        <v>0</v>
      </c>
      <c r="K6452" t="n">
        <v>0</v>
      </c>
      <c r="L6452" t="n">
        <v>0</v>
      </c>
      <c r="M6452" t="n">
        <v>0</v>
      </c>
      <c r="N6452" t="n">
        <v>0</v>
      </c>
      <c r="O6452" t="n">
        <v>0</v>
      </c>
      <c r="P6452" t="n">
        <v>0</v>
      </c>
      <c r="Q6452" t="n">
        <v>0</v>
      </c>
      <c r="R6452" t="n">
        <v>0</v>
      </c>
      <c r="S6452" t="n">
        <v>0</v>
      </c>
      <c r="T6452" t="n">
        <v>0</v>
      </c>
      <c r="U6452" t="n">
        <v>0</v>
      </c>
      <c r="V6452" s="2" t="inlineStr"/>
    </row>
    <row r="6453" ht="15" customHeight="1">
      <c r="A6453" t="inlineStr">
        <is>
          <t>S 3793-2023</t>
        </is>
      </c>
      <c r="B6453" t="inlineStr">
        <is>
          <t>samrådsanmälan</t>
        </is>
      </c>
      <c r="C6453" t="inlineStr">
        <is>
          <t>Annan skogsbruksåtgärd</t>
        </is>
      </c>
      <c r="D6453" s="1" t="n">
        <v>45224</v>
      </c>
      <c r="E6453" s="1" t="n">
        <v>46323</v>
      </c>
      <c r="F6453" t="inlineStr">
        <is>
          <t>KALMAR LÄN</t>
        </is>
      </c>
      <c r="G6453" t="inlineStr">
        <is>
          <t>VIMMERBY</t>
        </is>
      </c>
      <c r="I6453" t="n">
        <v>2.4</v>
      </c>
      <c r="J6453" t="n">
        <v>0</v>
      </c>
      <c r="K6453" t="n">
        <v>0</v>
      </c>
      <c r="L6453" t="n">
        <v>0</v>
      </c>
      <c r="M6453" t="n">
        <v>0</v>
      </c>
      <c r="N6453" t="n">
        <v>0</v>
      </c>
      <c r="O6453" t="n">
        <v>0</v>
      </c>
      <c r="P6453" t="n">
        <v>0</v>
      </c>
      <c r="Q6453" t="n">
        <v>0</v>
      </c>
      <c r="R6453" t="n">
        <v>0</v>
      </c>
      <c r="S6453" t="n">
        <v>0</v>
      </c>
      <c r="T6453" t="n">
        <v>0</v>
      </c>
      <c r="U6453" t="n">
        <v>0</v>
      </c>
      <c r="V6453" s="2" t="inlineStr"/>
    </row>
    <row r="6454" ht="15" customHeight="1">
      <c r="A6454" t="inlineStr">
        <is>
          <t>S 869-2024</t>
        </is>
      </c>
      <c r="B6454" t="inlineStr">
        <is>
          <t>samrådsanmälan</t>
        </is>
      </c>
      <c r="C6454" t="inlineStr">
        <is>
          <t>Askåterföring</t>
        </is>
      </c>
      <c r="D6454" s="1" t="n">
        <v>45373</v>
      </c>
      <c r="E6454" s="1" t="n">
        <v>46323</v>
      </c>
      <c r="F6454" t="inlineStr">
        <is>
          <t>KALMAR LÄN</t>
        </is>
      </c>
      <c r="G6454" t="inlineStr">
        <is>
          <t>KALMAR</t>
        </is>
      </c>
      <c r="I6454" t="n">
        <v>6.6</v>
      </c>
      <c r="J6454" t="n">
        <v>0</v>
      </c>
      <c r="K6454" t="n">
        <v>0</v>
      </c>
      <c r="L6454" t="n">
        <v>0</v>
      </c>
      <c r="M6454" t="n">
        <v>0</v>
      </c>
      <c r="N6454" t="n">
        <v>0</v>
      </c>
      <c r="O6454" t="n">
        <v>0</v>
      </c>
      <c r="P6454" t="n">
        <v>0</v>
      </c>
      <c r="Q6454" t="n">
        <v>0</v>
      </c>
      <c r="R6454" t="n">
        <v>0</v>
      </c>
      <c r="S6454" t="n">
        <v>0</v>
      </c>
      <c r="T6454" t="n">
        <v>0</v>
      </c>
      <c r="U6454" t="n">
        <v>0</v>
      </c>
      <c r="V6454" s="2" t="inlineStr"/>
    </row>
    <row r="6455" ht="15" customHeight="1">
      <c r="A6455" t="inlineStr">
        <is>
          <t>S 2489-2024</t>
        </is>
      </c>
      <c r="B6455" t="inlineStr">
        <is>
          <t>samrådsanmälan</t>
        </is>
      </c>
      <c r="C6455" t="inlineStr">
        <is>
          <t>Askåterföring</t>
        </is>
      </c>
      <c r="D6455" s="1" t="n">
        <v>45471</v>
      </c>
      <c r="E6455" s="1" t="n">
        <v>46323</v>
      </c>
      <c r="F6455" t="inlineStr">
        <is>
          <t>KALMAR LÄN</t>
        </is>
      </c>
      <c r="G6455" t="inlineStr">
        <is>
          <t>TORSÅS</t>
        </is>
      </c>
      <c r="I6455" t="n">
        <v>18.2</v>
      </c>
      <c r="J6455" t="n">
        <v>0</v>
      </c>
      <c r="K6455" t="n">
        <v>0</v>
      </c>
      <c r="L6455" t="n">
        <v>0</v>
      </c>
      <c r="M6455" t="n">
        <v>0</v>
      </c>
      <c r="N6455" t="n">
        <v>0</v>
      </c>
      <c r="O6455" t="n">
        <v>0</v>
      </c>
      <c r="P6455" t="n">
        <v>0</v>
      </c>
      <c r="Q6455" t="n">
        <v>0</v>
      </c>
      <c r="R6455" t="n">
        <v>0</v>
      </c>
      <c r="S6455" t="n">
        <v>0</v>
      </c>
      <c r="T6455" t="n">
        <v>0</v>
      </c>
      <c r="U6455" t="n">
        <v>0</v>
      </c>
      <c r="V6455" s="2" t="inlineStr"/>
    </row>
    <row r="6456" ht="15" customHeight="1">
      <c r="A6456" t="inlineStr">
        <is>
          <t>S 678-2024</t>
        </is>
      </c>
      <c r="B6456" t="inlineStr">
        <is>
          <t>samrådsanmälan</t>
        </is>
      </c>
      <c r="C6456" t="inlineStr">
        <is>
          <t>Askåterföring</t>
        </is>
      </c>
      <c r="D6456" s="1" t="n">
        <v>45357</v>
      </c>
      <c r="E6456" s="1" t="n">
        <v>46323</v>
      </c>
      <c r="F6456" t="inlineStr">
        <is>
          <t>KALMAR LÄN</t>
        </is>
      </c>
      <c r="G6456" t="inlineStr">
        <is>
          <t>OSKARSHAMN</t>
        </is>
      </c>
      <c r="I6456" t="n">
        <v>52</v>
      </c>
      <c r="J6456" t="n">
        <v>0</v>
      </c>
      <c r="K6456" t="n">
        <v>0</v>
      </c>
      <c r="L6456" t="n">
        <v>0</v>
      </c>
      <c r="M6456" t="n">
        <v>0</v>
      </c>
      <c r="N6456" t="n">
        <v>0</v>
      </c>
      <c r="O6456" t="n">
        <v>0</v>
      </c>
      <c r="P6456" t="n">
        <v>0</v>
      </c>
      <c r="Q6456" t="n">
        <v>0</v>
      </c>
      <c r="R6456" t="n">
        <v>0</v>
      </c>
      <c r="S6456" t="n">
        <v>0</v>
      </c>
      <c r="T6456" t="n">
        <v>0</v>
      </c>
      <c r="U6456" t="n">
        <v>0</v>
      </c>
      <c r="V6456" s="2" t="inlineStr"/>
    </row>
    <row r="6457" ht="15" customHeight="1">
      <c r="A6457" t="inlineStr">
        <is>
          <t>S 3230-2024</t>
        </is>
      </c>
      <c r="B6457" t="inlineStr">
        <is>
          <t>samrådsanmälan</t>
        </is>
      </c>
      <c r="C6457" t="inlineStr">
        <is>
          <t>Askåterföring</t>
        </is>
      </c>
      <c r="D6457" s="1" t="n">
        <v>45525</v>
      </c>
      <c r="E6457" s="1" t="n">
        <v>46323</v>
      </c>
      <c r="F6457" t="inlineStr">
        <is>
          <t>KALMAR LÄN</t>
        </is>
      </c>
      <c r="G6457" t="inlineStr">
        <is>
          <t>MÖNSTERÅS</t>
        </is>
      </c>
      <c r="I6457" t="n">
        <v>15.5</v>
      </c>
      <c r="J6457" t="n">
        <v>0</v>
      </c>
      <c r="K6457" t="n">
        <v>0</v>
      </c>
      <c r="L6457" t="n">
        <v>0</v>
      </c>
      <c r="M6457" t="n">
        <v>0</v>
      </c>
      <c r="N6457" t="n">
        <v>0</v>
      </c>
      <c r="O6457" t="n">
        <v>0</v>
      </c>
      <c r="P6457" t="n">
        <v>0</v>
      </c>
      <c r="Q6457" t="n">
        <v>0</v>
      </c>
      <c r="R6457" t="n">
        <v>0</v>
      </c>
      <c r="S6457" t="n">
        <v>0</v>
      </c>
      <c r="T6457" t="n">
        <v>0</v>
      </c>
      <c r="U6457" t="n">
        <v>0</v>
      </c>
      <c r="V6457" s="2" t="inlineStr"/>
    </row>
    <row r="6458" ht="15" customHeight="1">
      <c r="A6458" t="inlineStr">
        <is>
          <t>S 1651-2023</t>
        </is>
      </c>
      <c r="B6458" t="inlineStr">
        <is>
          <t>samrådsanmälan</t>
        </is>
      </c>
      <c r="C6458" t="inlineStr">
        <is>
          <t>Annan skogsbruksåtgärd</t>
        </is>
      </c>
      <c r="D6458" s="1" t="n">
        <v>45061</v>
      </c>
      <c r="E6458" s="1" t="n">
        <v>46323</v>
      </c>
      <c r="F6458" t="inlineStr">
        <is>
          <t>KALMAR LÄN</t>
        </is>
      </c>
      <c r="G6458" t="inlineStr">
        <is>
          <t>VÄSTERVIK</t>
        </is>
      </c>
      <c r="I6458" t="n">
        <v>2.3</v>
      </c>
      <c r="J6458" t="n">
        <v>0</v>
      </c>
      <c r="K6458" t="n">
        <v>0</v>
      </c>
      <c r="L6458" t="n">
        <v>0</v>
      </c>
      <c r="M6458" t="n">
        <v>0</v>
      </c>
      <c r="N6458" t="n">
        <v>0</v>
      </c>
      <c r="O6458" t="n">
        <v>0</v>
      </c>
      <c r="P6458" t="n">
        <v>0</v>
      </c>
      <c r="Q6458" t="n">
        <v>0</v>
      </c>
      <c r="R6458" t="n">
        <v>0</v>
      </c>
      <c r="S6458" t="n">
        <v>0</v>
      </c>
      <c r="T6458" t="n">
        <v>0</v>
      </c>
      <c r="U6458" t="n">
        <v>0</v>
      </c>
      <c r="V6458" s="2" t="inlineStr"/>
    </row>
    <row r="6459" ht="15" customHeight="1">
      <c r="A6459" t="inlineStr">
        <is>
          <t>S 393-2023</t>
        </is>
      </c>
      <c r="B6459" t="inlineStr">
        <is>
          <t>samrådsanmälan</t>
        </is>
      </c>
      <c r="C6459" t="inlineStr">
        <is>
          <t>Askåterföring</t>
        </is>
      </c>
      <c r="D6459" s="1" t="n">
        <v>44959</v>
      </c>
      <c r="E6459" s="1" t="n">
        <v>46323</v>
      </c>
      <c r="F6459" t="inlineStr">
        <is>
          <t>KALMAR LÄN</t>
        </is>
      </c>
      <c r="G6459" t="inlineStr">
        <is>
          <t>EMMABODA</t>
        </is>
      </c>
      <c r="I6459" t="n">
        <v>14.2</v>
      </c>
      <c r="J6459" t="n">
        <v>0</v>
      </c>
      <c r="K6459" t="n">
        <v>0</v>
      </c>
      <c r="L6459" t="n">
        <v>0</v>
      </c>
      <c r="M6459" t="n">
        <v>0</v>
      </c>
      <c r="N6459" t="n">
        <v>0</v>
      </c>
      <c r="O6459" t="n">
        <v>0</v>
      </c>
      <c r="P6459" t="n">
        <v>0</v>
      </c>
      <c r="Q6459" t="n">
        <v>0</v>
      </c>
      <c r="R6459" t="n">
        <v>0</v>
      </c>
      <c r="S6459" t="n">
        <v>0</v>
      </c>
      <c r="T6459" t="n">
        <v>0</v>
      </c>
      <c r="U6459" t="n">
        <v>0</v>
      </c>
      <c r="V6459" s="2" t="inlineStr"/>
    </row>
    <row r="6460" ht="15" customHeight="1">
      <c r="A6460" t="inlineStr">
        <is>
          <t>S 3344-2024</t>
        </is>
      </c>
      <c r="B6460" t="inlineStr">
        <is>
          <t>samrådsanmälan</t>
        </is>
      </c>
      <c r="C6460" t="inlineStr">
        <is>
          <t>Annan skogsbruksåtgärd</t>
        </is>
      </c>
      <c r="D6460" s="1" t="n">
        <v>45531</v>
      </c>
      <c r="E6460" s="1" t="n">
        <v>46323</v>
      </c>
      <c r="F6460" t="inlineStr">
        <is>
          <t>KALMAR LÄN</t>
        </is>
      </c>
      <c r="G6460" t="inlineStr">
        <is>
          <t>VÄSTERVIK</t>
        </is>
      </c>
      <c r="H6460" t="inlineStr">
        <is>
          <t>Kommuner</t>
        </is>
      </c>
      <c r="I6460" t="n">
        <v>0.6</v>
      </c>
      <c r="J6460" t="n">
        <v>0</v>
      </c>
      <c r="K6460" t="n">
        <v>0</v>
      </c>
      <c r="L6460" t="n">
        <v>0</v>
      </c>
      <c r="M6460" t="n">
        <v>0</v>
      </c>
      <c r="N6460" t="n">
        <v>0</v>
      </c>
      <c r="O6460" t="n">
        <v>0</v>
      </c>
      <c r="P6460" t="n">
        <v>0</v>
      </c>
      <c r="Q6460" t="n">
        <v>0</v>
      </c>
      <c r="R6460" t="n">
        <v>0</v>
      </c>
      <c r="S6460" t="n">
        <v>0</v>
      </c>
      <c r="T6460" t="n">
        <v>0</v>
      </c>
      <c r="U6460" t="n">
        <v>0</v>
      </c>
      <c r="V6460" s="2" t="inlineStr"/>
    </row>
    <row r="6461" ht="15" customHeight="1">
      <c r="A6461" t="inlineStr">
        <is>
          <t>S 516-2024</t>
        </is>
      </c>
      <c r="B6461" t="inlineStr">
        <is>
          <t>samrådsanmälan</t>
        </is>
      </c>
      <c r="C6461" t="inlineStr">
        <is>
          <t>Askåterföring</t>
        </is>
      </c>
      <c r="D6461" s="1" t="n">
        <v>45345</v>
      </c>
      <c r="E6461" s="1" t="n">
        <v>46323</v>
      </c>
      <c r="F6461" t="inlineStr">
        <is>
          <t>KALMAR LÄN</t>
        </is>
      </c>
      <c r="G6461" t="inlineStr">
        <is>
          <t>KALMAR</t>
        </is>
      </c>
      <c r="I6461" t="n">
        <v>8.1</v>
      </c>
      <c r="J6461" t="n">
        <v>0</v>
      </c>
      <c r="K6461" t="n">
        <v>0</v>
      </c>
      <c r="L6461" t="n">
        <v>0</v>
      </c>
      <c r="M6461" t="n">
        <v>0</v>
      </c>
      <c r="N6461" t="n">
        <v>0</v>
      </c>
      <c r="O6461" t="n">
        <v>0</v>
      </c>
      <c r="P6461" t="n">
        <v>0</v>
      </c>
      <c r="Q6461" t="n">
        <v>0</v>
      </c>
      <c r="R6461" t="n">
        <v>0</v>
      </c>
      <c r="S6461" t="n">
        <v>0</v>
      </c>
      <c r="T6461" t="n">
        <v>0</v>
      </c>
      <c r="U6461" t="n">
        <v>0</v>
      </c>
      <c r="V6461" s="2" t="inlineStr"/>
    </row>
    <row r="6462" ht="15" customHeight="1">
      <c r="A6462" t="inlineStr">
        <is>
          <t>S 1842-2024</t>
        </is>
      </c>
      <c r="B6462" t="inlineStr">
        <is>
          <t>samrådsanmälan</t>
        </is>
      </c>
      <c r="C6462" t="inlineStr">
        <is>
          <t>Askåterföring</t>
        </is>
      </c>
      <c r="D6462" s="1" t="n">
        <v>45440</v>
      </c>
      <c r="E6462" s="1" t="n">
        <v>46323</v>
      </c>
      <c r="F6462" t="inlineStr">
        <is>
          <t>KALMAR LÄN</t>
        </is>
      </c>
      <c r="G6462" t="inlineStr">
        <is>
          <t>TORSÅS</t>
        </is>
      </c>
      <c r="I6462" t="n">
        <v>12.8</v>
      </c>
      <c r="J6462" t="n">
        <v>0</v>
      </c>
      <c r="K6462" t="n">
        <v>0</v>
      </c>
      <c r="L6462" t="n">
        <v>0</v>
      </c>
      <c r="M6462" t="n">
        <v>0</v>
      </c>
      <c r="N6462" t="n">
        <v>0</v>
      </c>
      <c r="O6462" t="n">
        <v>0</v>
      </c>
      <c r="P6462" t="n">
        <v>0</v>
      </c>
      <c r="Q6462" t="n">
        <v>0</v>
      </c>
      <c r="R6462" t="n">
        <v>0</v>
      </c>
      <c r="S6462" t="n">
        <v>0</v>
      </c>
      <c r="T6462" t="n">
        <v>0</v>
      </c>
      <c r="U6462" t="n">
        <v>0</v>
      </c>
      <c r="V6462" s="2" t="inlineStr"/>
    </row>
    <row r="6463" ht="15" customHeight="1">
      <c r="A6463" t="inlineStr">
        <is>
          <t>S 4371-2022</t>
        </is>
      </c>
      <c r="B6463" t="inlineStr">
        <is>
          <t>samrådsanmälan</t>
        </is>
      </c>
      <c r="C6463" t="inlineStr">
        <is>
          <t>Annan skogsbruksåtgärd</t>
        </is>
      </c>
      <c r="D6463" s="1" t="n">
        <v>44783</v>
      </c>
      <c r="E6463" s="1" t="n">
        <v>46323</v>
      </c>
      <c r="F6463" t="inlineStr">
        <is>
          <t>KALMAR LÄN</t>
        </is>
      </c>
      <c r="G6463" t="inlineStr">
        <is>
          <t>VÄSTERVIK</t>
        </is>
      </c>
      <c r="H6463" t="inlineStr">
        <is>
          <t>Kommuner</t>
        </is>
      </c>
      <c r="I6463" t="n">
        <v>1.8</v>
      </c>
      <c r="J6463" t="n">
        <v>0</v>
      </c>
      <c r="K6463" t="n">
        <v>0</v>
      </c>
      <c r="L6463" t="n">
        <v>0</v>
      </c>
      <c r="M6463" t="n">
        <v>0</v>
      </c>
      <c r="N6463" t="n">
        <v>0</v>
      </c>
      <c r="O6463" t="n">
        <v>0</v>
      </c>
      <c r="P6463" t="n">
        <v>0</v>
      </c>
      <c r="Q6463" t="n">
        <v>0</v>
      </c>
      <c r="R6463" t="n">
        <v>0</v>
      </c>
      <c r="S6463" t="n">
        <v>0</v>
      </c>
      <c r="T6463" t="n">
        <v>0</v>
      </c>
      <c r="U6463" t="n">
        <v>0</v>
      </c>
      <c r="V6463" s="2" t="inlineStr"/>
    </row>
    <row r="6464" ht="15" customHeight="1">
      <c r="A6464" t="inlineStr">
        <is>
          <t>S 764-2023</t>
        </is>
      </c>
      <c r="B6464" t="inlineStr">
        <is>
          <t>samrådsanmälan</t>
        </is>
      </c>
      <c r="C6464" t="inlineStr">
        <is>
          <t>Askåterföring</t>
        </is>
      </c>
      <c r="D6464" s="1" t="n">
        <v>44981</v>
      </c>
      <c r="E6464" s="1" t="n">
        <v>46323</v>
      </c>
      <c r="F6464" t="inlineStr">
        <is>
          <t>KALMAR LÄN</t>
        </is>
      </c>
      <c r="G6464" t="inlineStr">
        <is>
          <t>MÖNSTERÅS</t>
        </is>
      </c>
      <c r="I6464" t="n">
        <v>32.7</v>
      </c>
      <c r="J6464" t="n">
        <v>0</v>
      </c>
      <c r="K6464" t="n">
        <v>0</v>
      </c>
      <c r="L6464" t="n">
        <v>0</v>
      </c>
      <c r="M6464" t="n">
        <v>0</v>
      </c>
      <c r="N6464" t="n">
        <v>0</v>
      </c>
      <c r="O6464" t="n">
        <v>0</v>
      </c>
      <c r="P6464" t="n">
        <v>0</v>
      </c>
      <c r="Q6464" t="n">
        <v>0</v>
      </c>
      <c r="R6464" t="n">
        <v>0</v>
      </c>
      <c r="S6464" t="n">
        <v>0</v>
      </c>
      <c r="T6464" t="n">
        <v>0</v>
      </c>
      <c r="U6464" t="n">
        <v>0</v>
      </c>
      <c r="V6464" s="2" t="inlineStr"/>
    </row>
    <row r="6465" ht="15" customHeight="1">
      <c r="A6465" t="inlineStr">
        <is>
          <t>S 2377-2024</t>
        </is>
      </c>
      <c r="B6465" t="inlineStr">
        <is>
          <t>samrådsanmälan</t>
        </is>
      </c>
      <c r="C6465" t="inlineStr">
        <is>
          <t>Askåterföring</t>
        </is>
      </c>
      <c r="D6465" s="1" t="n">
        <v>45468</v>
      </c>
      <c r="E6465" s="1" t="n">
        <v>46323</v>
      </c>
      <c r="F6465" t="inlineStr">
        <is>
          <t>KALMAR LÄN</t>
        </is>
      </c>
      <c r="G6465" t="inlineStr">
        <is>
          <t>MÖNSTERÅS</t>
        </is>
      </c>
      <c r="I6465" t="n">
        <v>23.1</v>
      </c>
      <c r="J6465" t="n">
        <v>0</v>
      </c>
      <c r="K6465" t="n">
        <v>0</v>
      </c>
      <c r="L6465" t="n">
        <v>0</v>
      </c>
      <c r="M6465" t="n">
        <v>0</v>
      </c>
      <c r="N6465" t="n">
        <v>0</v>
      </c>
      <c r="O6465" t="n">
        <v>0</v>
      </c>
      <c r="P6465" t="n">
        <v>0</v>
      </c>
      <c r="Q6465" t="n">
        <v>0</v>
      </c>
      <c r="R6465" t="n">
        <v>0</v>
      </c>
      <c r="S6465" t="n">
        <v>0</v>
      </c>
      <c r="T6465" t="n">
        <v>0</v>
      </c>
      <c r="U6465" t="n">
        <v>0</v>
      </c>
      <c r="V6465" s="2" t="inlineStr"/>
    </row>
    <row r="6466" ht="15" customHeight="1">
      <c r="A6466" t="inlineStr">
        <is>
          <t>S 7173-2022</t>
        </is>
      </c>
      <c r="B6466" t="inlineStr">
        <is>
          <t>samrådsanmälan</t>
        </is>
      </c>
      <c r="C6466" t="inlineStr">
        <is>
          <t>Annan skogsbruksåtgärd</t>
        </is>
      </c>
      <c r="D6466" s="1" t="n">
        <v>44916</v>
      </c>
      <c r="E6466" s="1" t="n">
        <v>46323</v>
      </c>
      <c r="F6466" t="inlineStr">
        <is>
          <t>KALMAR LÄN</t>
        </is>
      </c>
      <c r="G6466" t="inlineStr">
        <is>
          <t>HULTSFRED</t>
        </is>
      </c>
      <c r="I6466" t="n">
        <v>9.4</v>
      </c>
      <c r="J6466" t="n">
        <v>0</v>
      </c>
      <c r="K6466" t="n">
        <v>0</v>
      </c>
      <c r="L6466" t="n">
        <v>0</v>
      </c>
      <c r="M6466" t="n">
        <v>0</v>
      </c>
      <c r="N6466" t="n">
        <v>0</v>
      </c>
      <c r="O6466" t="n">
        <v>0</v>
      </c>
      <c r="P6466" t="n">
        <v>0</v>
      </c>
      <c r="Q6466" t="n">
        <v>0</v>
      </c>
      <c r="R6466" t="n">
        <v>0</v>
      </c>
      <c r="S6466" t="n">
        <v>0</v>
      </c>
      <c r="T6466" t="n">
        <v>0</v>
      </c>
      <c r="U6466" t="n">
        <v>0</v>
      </c>
      <c r="V6466" s="2" t="inlineStr"/>
    </row>
    <row r="6467" ht="15" customHeight="1">
      <c r="A6467" t="inlineStr">
        <is>
          <t>S 5165-2024</t>
        </is>
      </c>
      <c r="B6467" t="inlineStr">
        <is>
          <t>samrådsanmälan</t>
        </is>
      </c>
      <c r="C6467" t="inlineStr">
        <is>
          <t>Askåterföring</t>
        </is>
      </c>
      <c r="D6467" s="1" t="n">
        <v>45649</v>
      </c>
      <c r="E6467" s="1" t="n">
        <v>46323</v>
      </c>
      <c r="F6467" t="inlineStr">
        <is>
          <t>KALMAR LÄN</t>
        </is>
      </c>
      <c r="G6467" t="inlineStr">
        <is>
          <t>NYBRO</t>
        </is>
      </c>
      <c r="I6467" t="n">
        <v>2.4</v>
      </c>
      <c r="J6467" t="n">
        <v>0</v>
      </c>
      <c r="K6467" t="n">
        <v>0</v>
      </c>
      <c r="L6467" t="n">
        <v>0</v>
      </c>
      <c r="M6467" t="n">
        <v>0</v>
      </c>
      <c r="N6467" t="n">
        <v>0</v>
      </c>
      <c r="O6467" t="n">
        <v>0</v>
      </c>
      <c r="P6467" t="n">
        <v>0</v>
      </c>
      <c r="Q6467" t="n">
        <v>0</v>
      </c>
      <c r="R6467" t="n">
        <v>0</v>
      </c>
      <c r="S6467" t="n">
        <v>0</v>
      </c>
      <c r="T6467" t="n">
        <v>0</v>
      </c>
      <c r="U6467" t="n">
        <v>0</v>
      </c>
      <c r="V6467" s="2" t="inlineStr"/>
    </row>
    <row r="6468" ht="15" customHeight="1">
      <c r="A6468" t="inlineStr">
        <is>
          <t>S 2203-2024</t>
        </is>
      </c>
      <c r="B6468" t="inlineStr">
        <is>
          <t>samrådsanmälan</t>
        </is>
      </c>
      <c r="C6468" t="inlineStr">
        <is>
          <t>Annan skogsbruksåtgärd</t>
        </is>
      </c>
      <c r="D6468" s="1" t="n">
        <v>45457</v>
      </c>
      <c r="E6468" s="1" t="n">
        <v>46323</v>
      </c>
      <c r="F6468" t="inlineStr">
        <is>
          <t>KALMAR LÄN</t>
        </is>
      </c>
      <c r="G6468" t="inlineStr">
        <is>
          <t>NYBRO</t>
        </is>
      </c>
      <c r="I6468" t="n">
        <v>1.5</v>
      </c>
      <c r="J6468" t="n">
        <v>0</v>
      </c>
      <c r="K6468" t="n">
        <v>0</v>
      </c>
      <c r="L6468" t="n">
        <v>0</v>
      </c>
      <c r="M6468" t="n">
        <v>0</v>
      </c>
      <c r="N6468" t="n">
        <v>0</v>
      </c>
      <c r="O6468" t="n">
        <v>0</v>
      </c>
      <c r="P6468" t="n">
        <v>0</v>
      </c>
      <c r="Q6468" t="n">
        <v>0</v>
      </c>
      <c r="R6468" t="n">
        <v>0</v>
      </c>
      <c r="S6468" t="n">
        <v>0</v>
      </c>
      <c r="T6468" t="n">
        <v>0</v>
      </c>
      <c r="U6468" t="n">
        <v>0</v>
      </c>
      <c r="V6468" s="2" t="inlineStr"/>
    </row>
    <row r="6469" ht="15" customHeight="1">
      <c r="A6469" t="inlineStr">
        <is>
          <t>S 3275-2023</t>
        </is>
      </c>
      <c r="B6469" t="inlineStr">
        <is>
          <t>samrådsanmälan</t>
        </is>
      </c>
      <c r="C6469" t="inlineStr">
        <is>
          <t>Askåterföring</t>
        </is>
      </c>
      <c r="D6469" s="1" t="n">
        <v>45194</v>
      </c>
      <c r="E6469" s="1" t="n">
        <v>46323</v>
      </c>
      <c r="F6469" t="inlineStr">
        <is>
          <t>KALMAR LÄN</t>
        </is>
      </c>
      <c r="G6469" t="inlineStr">
        <is>
          <t>EMMABODA</t>
        </is>
      </c>
      <c r="I6469" t="n">
        <v>18.8</v>
      </c>
      <c r="J6469" t="n">
        <v>0</v>
      </c>
      <c r="K6469" t="n">
        <v>0</v>
      </c>
      <c r="L6469" t="n">
        <v>0</v>
      </c>
      <c r="M6469" t="n">
        <v>0</v>
      </c>
      <c r="N6469" t="n">
        <v>0</v>
      </c>
      <c r="O6469" t="n">
        <v>0</v>
      </c>
      <c r="P6469" t="n">
        <v>0</v>
      </c>
      <c r="Q6469" t="n">
        <v>0</v>
      </c>
      <c r="R6469" t="n">
        <v>0</v>
      </c>
      <c r="S6469" t="n">
        <v>0</v>
      </c>
      <c r="T6469" t="n">
        <v>0</v>
      </c>
      <c r="U6469" t="n">
        <v>0</v>
      </c>
      <c r="V6469" s="2" t="inlineStr"/>
    </row>
    <row r="6470" ht="15" customHeight="1">
      <c r="A6470" t="inlineStr">
        <is>
          <t>S 2617-2024</t>
        </is>
      </c>
      <c r="B6470" t="inlineStr">
        <is>
          <t>samrådsanmälan</t>
        </is>
      </c>
      <c r="C6470" t="inlineStr">
        <is>
          <t>Askåterföring</t>
        </is>
      </c>
      <c r="D6470" s="1" t="n">
        <v>45477</v>
      </c>
      <c r="E6470" s="1" t="n">
        <v>46323</v>
      </c>
      <c r="F6470" t="inlineStr">
        <is>
          <t>KALMAR LÄN</t>
        </is>
      </c>
      <c r="G6470" t="inlineStr">
        <is>
          <t>HULTSFRED</t>
        </is>
      </c>
      <c r="I6470" t="n">
        <v>21.7</v>
      </c>
      <c r="J6470" t="n">
        <v>0</v>
      </c>
      <c r="K6470" t="n">
        <v>0</v>
      </c>
      <c r="L6470" t="n">
        <v>0</v>
      </c>
      <c r="M6470" t="n">
        <v>0</v>
      </c>
      <c r="N6470" t="n">
        <v>0</v>
      </c>
      <c r="O6470" t="n">
        <v>0</v>
      </c>
      <c r="P6470" t="n">
        <v>0</v>
      </c>
      <c r="Q6470" t="n">
        <v>0</v>
      </c>
      <c r="R6470" t="n">
        <v>0</v>
      </c>
      <c r="S6470" t="n">
        <v>0</v>
      </c>
      <c r="T6470" t="n">
        <v>0</v>
      </c>
      <c r="U6470" t="n">
        <v>0</v>
      </c>
      <c r="V6470" s="2" t="inlineStr"/>
    </row>
    <row r="6471" ht="15" customHeight="1">
      <c r="A6471" t="inlineStr">
        <is>
          <t>S 1948-2023</t>
        </is>
      </c>
      <c r="B6471" t="inlineStr">
        <is>
          <t>samrådsanmälan</t>
        </is>
      </c>
      <c r="C6471" t="inlineStr">
        <is>
          <t>Annan skogsbruksåtgärd</t>
        </is>
      </c>
      <c r="D6471" s="1" t="n">
        <v>45088</v>
      </c>
      <c r="E6471" s="1" t="n">
        <v>46323</v>
      </c>
      <c r="F6471" t="inlineStr">
        <is>
          <t>KALMAR LÄN</t>
        </is>
      </c>
      <c r="G6471" t="inlineStr">
        <is>
          <t>NYBRO</t>
        </is>
      </c>
      <c r="I6471" t="n">
        <v>1.5</v>
      </c>
      <c r="J6471" t="n">
        <v>0</v>
      </c>
      <c r="K6471" t="n">
        <v>0</v>
      </c>
      <c r="L6471" t="n">
        <v>0</v>
      </c>
      <c r="M6471" t="n">
        <v>0</v>
      </c>
      <c r="N6471" t="n">
        <v>0</v>
      </c>
      <c r="O6471" t="n">
        <v>0</v>
      </c>
      <c r="P6471" t="n">
        <v>0</v>
      </c>
      <c r="Q6471" t="n">
        <v>0</v>
      </c>
      <c r="R6471" t="n">
        <v>0</v>
      </c>
      <c r="S6471" t="n">
        <v>0</v>
      </c>
      <c r="T6471" t="n">
        <v>0</v>
      </c>
      <c r="U6471" t="n">
        <v>0</v>
      </c>
      <c r="V6471" s="2" t="inlineStr"/>
    </row>
    <row r="6472" ht="15" customHeight="1">
      <c r="A6472" t="inlineStr">
        <is>
          <t>S 4463-2022</t>
        </is>
      </c>
      <c r="B6472" t="inlineStr">
        <is>
          <t>samrådsanmälan</t>
        </is>
      </c>
      <c r="C6472" t="inlineStr">
        <is>
          <t>Åtgärd i nyckelbiotop</t>
        </is>
      </c>
      <c r="D6472" s="1" t="n">
        <v>44788</v>
      </c>
      <c r="E6472" s="1" t="n">
        <v>46323</v>
      </c>
      <c r="F6472" t="inlineStr">
        <is>
          <t>KALMAR LÄN</t>
        </is>
      </c>
      <c r="G6472" t="inlineStr">
        <is>
          <t>HÖGSBY</t>
        </is>
      </c>
      <c r="H6472" t="inlineStr">
        <is>
          <t>Sveaskog</t>
        </is>
      </c>
      <c r="I6472" t="n">
        <v>2.9</v>
      </c>
      <c r="J6472" t="n">
        <v>0</v>
      </c>
      <c r="K6472" t="n">
        <v>0</v>
      </c>
      <c r="L6472" t="n">
        <v>0</v>
      </c>
      <c r="M6472" t="n">
        <v>0</v>
      </c>
      <c r="N6472" t="n">
        <v>0</v>
      </c>
      <c r="O6472" t="n">
        <v>0</v>
      </c>
      <c r="P6472" t="n">
        <v>0</v>
      </c>
      <c r="Q6472" t="n">
        <v>0</v>
      </c>
      <c r="R6472" t="n">
        <v>0</v>
      </c>
      <c r="S6472" t="n">
        <v>0</v>
      </c>
      <c r="T6472" t="n">
        <v>0</v>
      </c>
      <c r="U6472" t="n">
        <v>0</v>
      </c>
      <c r="V6472" s="2" t="inlineStr"/>
    </row>
    <row r="6473" ht="15" customHeight="1">
      <c r="A6473" t="inlineStr">
        <is>
          <t>S 2431-2024</t>
        </is>
      </c>
      <c r="B6473" t="inlineStr">
        <is>
          <t>samrådsanmälan</t>
        </is>
      </c>
      <c r="C6473" t="inlineStr">
        <is>
          <t>Annan skogsbruksåtgärd</t>
        </is>
      </c>
      <c r="D6473" s="1" t="n">
        <v>45469</v>
      </c>
      <c r="E6473" s="1" t="n">
        <v>46323</v>
      </c>
      <c r="F6473" t="inlineStr">
        <is>
          <t>KALMAR LÄN</t>
        </is>
      </c>
      <c r="G6473" t="inlineStr">
        <is>
          <t>NYBRO</t>
        </is>
      </c>
      <c r="I6473" t="n">
        <v>1.8</v>
      </c>
      <c r="J6473" t="n">
        <v>0</v>
      </c>
      <c r="K6473" t="n">
        <v>0</v>
      </c>
      <c r="L6473" t="n">
        <v>0</v>
      </c>
      <c r="M6473" t="n">
        <v>0</v>
      </c>
      <c r="N6473" t="n">
        <v>0</v>
      </c>
      <c r="O6473" t="n">
        <v>0</v>
      </c>
      <c r="P6473" t="n">
        <v>0</v>
      </c>
      <c r="Q6473" t="n">
        <v>0</v>
      </c>
      <c r="R6473" t="n">
        <v>0</v>
      </c>
      <c r="S6473" t="n">
        <v>0</v>
      </c>
      <c r="T6473" t="n">
        <v>0</v>
      </c>
      <c r="U6473" t="n">
        <v>0</v>
      </c>
      <c r="V6473" s="2" t="inlineStr"/>
    </row>
    <row r="6474" ht="15" customHeight="1">
      <c r="A6474" t="inlineStr">
        <is>
          <t>S 1843-2024</t>
        </is>
      </c>
      <c r="B6474" t="inlineStr">
        <is>
          <t>samrådsanmälan</t>
        </is>
      </c>
      <c r="C6474" t="inlineStr">
        <is>
          <t>Askåterföring</t>
        </is>
      </c>
      <c r="D6474" s="1" t="n">
        <v>45440</v>
      </c>
      <c r="E6474" s="1" t="n">
        <v>46323</v>
      </c>
      <c r="F6474" t="inlineStr">
        <is>
          <t>KALMAR LÄN</t>
        </is>
      </c>
      <c r="G6474" t="inlineStr">
        <is>
          <t>TORSÅS</t>
        </is>
      </c>
      <c r="I6474" t="n">
        <v>11.6</v>
      </c>
      <c r="J6474" t="n">
        <v>0</v>
      </c>
      <c r="K6474" t="n">
        <v>0</v>
      </c>
      <c r="L6474" t="n">
        <v>0</v>
      </c>
      <c r="M6474" t="n">
        <v>0</v>
      </c>
      <c r="N6474" t="n">
        <v>0</v>
      </c>
      <c r="O6474" t="n">
        <v>0</v>
      </c>
      <c r="P6474" t="n">
        <v>0</v>
      </c>
      <c r="Q6474" t="n">
        <v>0</v>
      </c>
      <c r="R6474" t="n">
        <v>0</v>
      </c>
      <c r="S6474" t="n">
        <v>0</v>
      </c>
      <c r="T6474" t="n">
        <v>0</v>
      </c>
      <c r="U6474" t="n">
        <v>0</v>
      </c>
      <c r="V6474" s="2" t="inlineStr"/>
    </row>
    <row r="6475" ht="15" customHeight="1">
      <c r="A6475" t="inlineStr">
        <is>
          <t>S 3566-2024</t>
        </is>
      </c>
      <c r="B6475" t="inlineStr">
        <is>
          <t>samrådsanmälan</t>
        </is>
      </c>
      <c r="C6475" t="inlineStr">
        <is>
          <t>Annan skogsbruksåtgärd</t>
        </is>
      </c>
      <c r="D6475" s="1" t="n">
        <v>45545</v>
      </c>
      <c r="E6475" s="1" t="n">
        <v>46323</v>
      </c>
      <c r="F6475" t="inlineStr">
        <is>
          <t>KALMAR LÄN</t>
        </is>
      </c>
      <c r="G6475" t="inlineStr">
        <is>
          <t>VÄSTERVIK</t>
        </is>
      </c>
      <c r="H6475" t="inlineStr">
        <is>
          <t>Kommuner</t>
        </is>
      </c>
      <c r="I6475" t="n">
        <v>2.8</v>
      </c>
      <c r="J6475" t="n">
        <v>0</v>
      </c>
      <c r="K6475" t="n">
        <v>0</v>
      </c>
      <c r="L6475" t="n">
        <v>0</v>
      </c>
      <c r="M6475" t="n">
        <v>0</v>
      </c>
      <c r="N6475" t="n">
        <v>0</v>
      </c>
      <c r="O6475" t="n">
        <v>0</v>
      </c>
      <c r="P6475" t="n">
        <v>0</v>
      </c>
      <c r="Q6475" t="n">
        <v>0</v>
      </c>
      <c r="R6475" t="n">
        <v>0</v>
      </c>
      <c r="S6475" t="n">
        <v>0</v>
      </c>
      <c r="T6475" t="n">
        <v>0</v>
      </c>
      <c r="U6475" t="n">
        <v>0</v>
      </c>
      <c r="V6475" s="2" t="inlineStr"/>
    </row>
    <row r="6476" ht="15" customHeight="1">
      <c r="A6476" t="inlineStr">
        <is>
          <t>S 916-2024</t>
        </is>
      </c>
      <c r="B6476" t="inlineStr">
        <is>
          <t>samrådsanmälan</t>
        </is>
      </c>
      <c r="C6476" t="inlineStr">
        <is>
          <t>Askåterföring</t>
        </is>
      </c>
      <c r="D6476" s="1" t="n">
        <v>45377</v>
      </c>
      <c r="E6476" s="1" t="n">
        <v>46323</v>
      </c>
      <c r="F6476" t="inlineStr">
        <is>
          <t>KALMAR LÄN</t>
        </is>
      </c>
      <c r="G6476" t="inlineStr">
        <is>
          <t>EMMABODA</t>
        </is>
      </c>
      <c r="I6476" t="n">
        <v>34.2</v>
      </c>
      <c r="J6476" t="n">
        <v>0</v>
      </c>
      <c r="K6476" t="n">
        <v>0</v>
      </c>
      <c r="L6476" t="n">
        <v>0</v>
      </c>
      <c r="M6476" t="n">
        <v>0</v>
      </c>
      <c r="N6476" t="n">
        <v>0</v>
      </c>
      <c r="O6476" t="n">
        <v>0</v>
      </c>
      <c r="P6476" t="n">
        <v>0</v>
      </c>
      <c r="Q6476" t="n">
        <v>0</v>
      </c>
      <c r="R6476" t="n">
        <v>0</v>
      </c>
      <c r="S6476" t="n">
        <v>0</v>
      </c>
      <c r="T6476" t="n">
        <v>0</v>
      </c>
      <c r="U6476" t="n">
        <v>0</v>
      </c>
      <c r="V6476" s="2" t="inlineStr"/>
    </row>
    <row r="6477" ht="15" customHeight="1">
      <c r="A6477" t="inlineStr">
        <is>
          <t>S 1435-2024</t>
        </is>
      </c>
      <c r="B6477" t="inlineStr">
        <is>
          <t>samrådsanmälan</t>
        </is>
      </c>
      <c r="C6477" t="inlineStr">
        <is>
          <t>Annan skogsbruksåtgärd</t>
        </is>
      </c>
      <c r="D6477" s="1" t="n">
        <v>45415</v>
      </c>
      <c r="E6477" s="1" t="n">
        <v>46323</v>
      </c>
      <c r="F6477" t="inlineStr">
        <is>
          <t>KALMAR LÄN</t>
        </is>
      </c>
      <c r="G6477" t="inlineStr">
        <is>
          <t>VIMMERBY</t>
        </is>
      </c>
      <c r="I6477" t="n">
        <v>0</v>
      </c>
      <c r="J6477" t="n">
        <v>0</v>
      </c>
      <c r="K6477" t="n">
        <v>0</v>
      </c>
      <c r="L6477" t="n">
        <v>0</v>
      </c>
      <c r="M6477" t="n">
        <v>0</v>
      </c>
      <c r="N6477" t="n">
        <v>0</v>
      </c>
      <c r="O6477" t="n">
        <v>0</v>
      </c>
      <c r="P6477" t="n">
        <v>0</v>
      </c>
      <c r="Q6477" t="n">
        <v>0</v>
      </c>
      <c r="R6477" t="n">
        <v>0</v>
      </c>
      <c r="S6477" t="n">
        <v>0</v>
      </c>
      <c r="T6477" t="n">
        <v>0</v>
      </c>
      <c r="U6477" t="n">
        <v>0</v>
      </c>
      <c r="V6477" s="2" t="inlineStr"/>
    </row>
    <row r="6478" ht="15" customHeight="1">
      <c r="A6478" t="inlineStr">
        <is>
          <t>S 926-2023</t>
        </is>
      </c>
      <c r="B6478" t="inlineStr">
        <is>
          <t>samrådsanmälan</t>
        </is>
      </c>
      <c r="C6478" t="inlineStr">
        <is>
          <t>Annan skogsbruksåtgärd</t>
        </is>
      </c>
      <c r="D6478" s="1" t="n">
        <v>45000</v>
      </c>
      <c r="E6478" s="1" t="n">
        <v>46323</v>
      </c>
      <c r="F6478" t="inlineStr">
        <is>
          <t>KALMAR LÄN</t>
        </is>
      </c>
      <c r="G6478" t="inlineStr">
        <is>
          <t>NYBRO</t>
        </is>
      </c>
      <c r="I6478" t="n">
        <v>3.6</v>
      </c>
      <c r="J6478" t="n">
        <v>0</v>
      </c>
      <c r="K6478" t="n">
        <v>0</v>
      </c>
      <c r="L6478" t="n">
        <v>0</v>
      </c>
      <c r="M6478" t="n">
        <v>0</v>
      </c>
      <c r="N6478" t="n">
        <v>0</v>
      </c>
      <c r="O6478" t="n">
        <v>0</v>
      </c>
      <c r="P6478" t="n">
        <v>0</v>
      </c>
      <c r="Q6478" t="n">
        <v>0</v>
      </c>
      <c r="R6478" t="n">
        <v>0</v>
      </c>
      <c r="S6478" t="n">
        <v>0</v>
      </c>
      <c r="T6478" t="n">
        <v>0</v>
      </c>
      <c r="U6478" t="n">
        <v>0</v>
      </c>
      <c r="V6478" s="2" t="inlineStr"/>
    </row>
    <row r="6479" ht="15" customHeight="1">
      <c r="A6479" t="inlineStr">
        <is>
          <t>S 4035-2022</t>
        </is>
      </c>
      <c r="B6479" t="inlineStr">
        <is>
          <t>samrådsanmälan</t>
        </is>
      </c>
      <c r="C6479" t="inlineStr">
        <is>
          <t>Annan skogsbruksåtgärd</t>
        </is>
      </c>
      <c r="D6479" s="1" t="n">
        <v>44756</v>
      </c>
      <c r="E6479" s="1" t="n">
        <v>46323</v>
      </c>
      <c r="F6479" t="inlineStr">
        <is>
          <t>KALMAR LÄN</t>
        </is>
      </c>
      <c r="G6479" t="inlineStr">
        <is>
          <t>BORGHOLM</t>
        </is>
      </c>
      <c r="I6479" t="n">
        <v>0.5</v>
      </c>
      <c r="J6479" t="n">
        <v>0</v>
      </c>
      <c r="K6479" t="n">
        <v>0</v>
      </c>
      <c r="L6479" t="n">
        <v>0</v>
      </c>
      <c r="M6479" t="n">
        <v>0</v>
      </c>
      <c r="N6479" t="n">
        <v>0</v>
      </c>
      <c r="O6479" t="n">
        <v>0</v>
      </c>
      <c r="P6479" t="n">
        <v>0</v>
      </c>
      <c r="Q6479" t="n">
        <v>0</v>
      </c>
      <c r="R6479" t="n">
        <v>0</v>
      </c>
      <c r="S6479" t="n">
        <v>0</v>
      </c>
      <c r="T6479" t="n">
        <v>0</v>
      </c>
      <c r="U6479" t="n">
        <v>0</v>
      </c>
      <c r="V6479" s="2" t="inlineStr"/>
    </row>
    <row r="6480" ht="15" customHeight="1">
      <c r="A6480" t="inlineStr">
        <is>
          <t>S 2615-2024</t>
        </is>
      </c>
      <c r="B6480" t="inlineStr">
        <is>
          <t>samrådsanmälan</t>
        </is>
      </c>
      <c r="C6480" t="inlineStr">
        <is>
          <t>Askåterföring</t>
        </is>
      </c>
      <c r="D6480" s="1" t="n">
        <v>45477</v>
      </c>
      <c r="E6480" s="1" t="n">
        <v>46323</v>
      </c>
      <c r="F6480" t="inlineStr">
        <is>
          <t>KALMAR LÄN</t>
        </is>
      </c>
      <c r="G6480" t="inlineStr">
        <is>
          <t>HULTSFRED</t>
        </is>
      </c>
      <c r="I6480" t="n">
        <v>11.6</v>
      </c>
      <c r="J6480" t="n">
        <v>0</v>
      </c>
      <c r="K6480" t="n">
        <v>0</v>
      </c>
      <c r="L6480" t="n">
        <v>0</v>
      </c>
      <c r="M6480" t="n">
        <v>0</v>
      </c>
      <c r="N6480" t="n">
        <v>0</v>
      </c>
      <c r="O6480" t="n">
        <v>0</v>
      </c>
      <c r="P6480" t="n">
        <v>0</v>
      </c>
      <c r="Q6480" t="n">
        <v>0</v>
      </c>
      <c r="R6480" t="n">
        <v>0</v>
      </c>
      <c r="S6480" t="n">
        <v>0</v>
      </c>
      <c r="T6480" t="n">
        <v>0</v>
      </c>
      <c r="U6480" t="n">
        <v>0</v>
      </c>
      <c r="V6480" s="2" t="inlineStr"/>
    </row>
    <row r="6481" ht="15" customHeight="1">
      <c r="A6481" t="inlineStr">
        <is>
          <t>S 1064-2024</t>
        </is>
      </c>
      <c r="B6481" t="inlineStr">
        <is>
          <t>samrådsanmälan</t>
        </is>
      </c>
      <c r="C6481" t="inlineStr">
        <is>
          <t>Askåterföring</t>
        </is>
      </c>
      <c r="D6481" s="1" t="n">
        <v>45387</v>
      </c>
      <c r="E6481" s="1" t="n">
        <v>46323</v>
      </c>
      <c r="F6481" t="inlineStr">
        <is>
          <t>KALMAR LÄN</t>
        </is>
      </c>
      <c r="G6481" t="inlineStr">
        <is>
          <t>EMMABODA</t>
        </is>
      </c>
      <c r="I6481" t="n">
        <v>14.4</v>
      </c>
      <c r="J6481" t="n">
        <v>0</v>
      </c>
      <c r="K6481" t="n">
        <v>0</v>
      </c>
      <c r="L6481" t="n">
        <v>0</v>
      </c>
      <c r="M6481" t="n">
        <v>0</v>
      </c>
      <c r="N6481" t="n">
        <v>0</v>
      </c>
      <c r="O6481" t="n">
        <v>0</v>
      </c>
      <c r="P6481" t="n">
        <v>0</v>
      </c>
      <c r="Q6481" t="n">
        <v>0</v>
      </c>
      <c r="R6481" t="n">
        <v>0</v>
      </c>
      <c r="S6481" t="n">
        <v>0</v>
      </c>
      <c r="T6481" t="n">
        <v>0</v>
      </c>
      <c r="U6481" t="n">
        <v>0</v>
      </c>
      <c r="V6481" s="2" t="inlineStr"/>
    </row>
    <row r="6482" ht="15" customHeight="1">
      <c r="A6482" t="inlineStr">
        <is>
          <t>S 142-2023</t>
        </is>
      </c>
      <c r="B6482" t="inlineStr">
        <is>
          <t>samrådsanmälan</t>
        </is>
      </c>
      <c r="C6482" t="inlineStr">
        <is>
          <t>Askåterföring</t>
        </is>
      </c>
      <c r="D6482" s="1" t="n">
        <v>44942</v>
      </c>
      <c r="E6482" s="1" t="n">
        <v>46323</v>
      </c>
      <c r="F6482" t="inlineStr">
        <is>
          <t>KALMAR LÄN</t>
        </is>
      </c>
      <c r="G6482" t="inlineStr">
        <is>
          <t>MÖNSTERÅS</t>
        </is>
      </c>
      <c r="I6482" t="n">
        <v>15.8</v>
      </c>
      <c r="J6482" t="n">
        <v>0</v>
      </c>
      <c r="K6482" t="n">
        <v>0</v>
      </c>
      <c r="L6482" t="n">
        <v>0</v>
      </c>
      <c r="M6482" t="n">
        <v>0</v>
      </c>
      <c r="N6482" t="n">
        <v>0</v>
      </c>
      <c r="O6482" t="n">
        <v>0</v>
      </c>
      <c r="P6482" t="n">
        <v>0</v>
      </c>
      <c r="Q6482" t="n">
        <v>0</v>
      </c>
      <c r="R6482" t="n">
        <v>0</v>
      </c>
      <c r="S6482" t="n">
        <v>0</v>
      </c>
      <c r="T6482" t="n">
        <v>0</v>
      </c>
      <c r="U6482" t="n">
        <v>0</v>
      </c>
      <c r="V6482" s="2" t="inlineStr"/>
    </row>
    <row r="6483" ht="15" customHeight="1">
      <c r="A6483" t="inlineStr">
        <is>
          <t>S 1849-2024</t>
        </is>
      </c>
      <c r="B6483" t="inlineStr">
        <is>
          <t>samrådsanmälan</t>
        </is>
      </c>
      <c r="C6483" t="inlineStr">
        <is>
          <t>Askåterföring</t>
        </is>
      </c>
      <c r="D6483" s="1" t="n">
        <v>45440</v>
      </c>
      <c r="E6483" s="1" t="n">
        <v>46323</v>
      </c>
      <c r="F6483" t="inlineStr">
        <is>
          <t>KALMAR LÄN</t>
        </is>
      </c>
      <c r="G6483" t="inlineStr">
        <is>
          <t>KALMAR</t>
        </is>
      </c>
      <c r="I6483" t="n">
        <v>24</v>
      </c>
      <c r="J6483" t="n">
        <v>0</v>
      </c>
      <c r="K6483" t="n">
        <v>0</v>
      </c>
      <c r="L6483" t="n">
        <v>0</v>
      </c>
      <c r="M6483" t="n">
        <v>0</v>
      </c>
      <c r="N6483" t="n">
        <v>0</v>
      </c>
      <c r="O6483" t="n">
        <v>0</v>
      </c>
      <c r="P6483" t="n">
        <v>0</v>
      </c>
      <c r="Q6483" t="n">
        <v>0</v>
      </c>
      <c r="R6483" t="n">
        <v>0</v>
      </c>
      <c r="S6483" t="n">
        <v>0</v>
      </c>
      <c r="T6483" t="n">
        <v>0</v>
      </c>
      <c r="U6483" t="n">
        <v>0</v>
      </c>
      <c r="V6483" s="2" t="inlineStr"/>
    </row>
    <row r="6484" ht="15" customHeight="1">
      <c r="A6484" t="inlineStr">
        <is>
          <t>S 3791-2023</t>
        </is>
      </c>
      <c r="B6484" t="inlineStr">
        <is>
          <t>samrådsanmälan</t>
        </is>
      </c>
      <c r="C6484" t="inlineStr">
        <is>
          <t>Annan skogsbruksåtgärd</t>
        </is>
      </c>
      <c r="D6484" s="1" t="n">
        <v>45224</v>
      </c>
      <c r="E6484" s="1" t="n">
        <v>46323</v>
      </c>
      <c r="F6484" t="inlineStr">
        <is>
          <t>KALMAR LÄN</t>
        </is>
      </c>
      <c r="G6484" t="inlineStr">
        <is>
          <t>NYBRO</t>
        </is>
      </c>
      <c r="I6484" t="n">
        <v>3.4</v>
      </c>
      <c r="J6484" t="n">
        <v>0</v>
      </c>
      <c r="K6484" t="n">
        <v>0</v>
      </c>
      <c r="L6484" t="n">
        <v>0</v>
      </c>
      <c r="M6484" t="n">
        <v>0</v>
      </c>
      <c r="N6484" t="n">
        <v>0</v>
      </c>
      <c r="O6484" t="n">
        <v>0</v>
      </c>
      <c r="P6484" t="n">
        <v>0</v>
      </c>
      <c r="Q6484" t="n">
        <v>0</v>
      </c>
      <c r="R6484" t="n">
        <v>0</v>
      </c>
      <c r="S6484" t="n">
        <v>0</v>
      </c>
      <c r="T6484" t="n">
        <v>0</v>
      </c>
      <c r="U6484" t="n">
        <v>0</v>
      </c>
      <c r="V6484" s="2" t="inlineStr"/>
    </row>
    <row r="6485" ht="15" customHeight="1">
      <c r="A6485" t="inlineStr">
        <is>
          <t>S 7020-2022</t>
        </is>
      </c>
      <c r="B6485" t="inlineStr">
        <is>
          <t>samrådsanmälan</t>
        </is>
      </c>
      <c r="C6485" t="inlineStr">
        <is>
          <t>Askåterföring</t>
        </is>
      </c>
      <c r="D6485" s="1" t="n">
        <v>44903</v>
      </c>
      <c r="E6485" s="1" t="n">
        <v>46323</v>
      </c>
      <c r="F6485" t="inlineStr">
        <is>
          <t>KALMAR LÄN</t>
        </is>
      </c>
      <c r="G6485" t="inlineStr">
        <is>
          <t>EMMABODA</t>
        </is>
      </c>
      <c r="I6485" t="n">
        <v>10.5</v>
      </c>
      <c r="J6485" t="n">
        <v>0</v>
      </c>
      <c r="K6485" t="n">
        <v>0</v>
      </c>
      <c r="L6485" t="n">
        <v>0</v>
      </c>
      <c r="M6485" t="n">
        <v>0</v>
      </c>
      <c r="N6485" t="n">
        <v>0</v>
      </c>
      <c r="O6485" t="n">
        <v>0</v>
      </c>
      <c r="P6485" t="n">
        <v>0</v>
      </c>
      <c r="Q6485" t="n">
        <v>0</v>
      </c>
      <c r="R6485" t="n">
        <v>0</v>
      </c>
      <c r="S6485" t="n">
        <v>0</v>
      </c>
      <c r="T6485" t="n">
        <v>0</v>
      </c>
      <c r="U6485" t="n">
        <v>0</v>
      </c>
      <c r="V6485" s="2" t="inlineStr"/>
    </row>
    <row r="6486" ht="15" customHeight="1">
      <c r="A6486" t="inlineStr">
        <is>
          <t>S 4042-2024</t>
        </is>
      </c>
      <c r="B6486" t="inlineStr">
        <is>
          <t>samrådsanmälan</t>
        </is>
      </c>
      <c r="C6486" t="inlineStr">
        <is>
          <t>Askåterföring</t>
        </is>
      </c>
      <c r="D6486" s="1" t="n">
        <v>45572</v>
      </c>
      <c r="E6486" s="1" t="n">
        <v>46323</v>
      </c>
      <c r="F6486" t="inlineStr">
        <is>
          <t>KALMAR LÄN</t>
        </is>
      </c>
      <c r="G6486" t="inlineStr">
        <is>
          <t>NYBRO</t>
        </is>
      </c>
      <c r="I6486" t="n">
        <v>1.7</v>
      </c>
      <c r="J6486" t="n">
        <v>0</v>
      </c>
      <c r="K6486" t="n">
        <v>0</v>
      </c>
      <c r="L6486" t="n">
        <v>0</v>
      </c>
      <c r="M6486" t="n">
        <v>0</v>
      </c>
      <c r="N6486" t="n">
        <v>0</v>
      </c>
      <c r="O6486" t="n">
        <v>0</v>
      </c>
      <c r="P6486" t="n">
        <v>0</v>
      </c>
      <c r="Q6486" t="n">
        <v>0</v>
      </c>
      <c r="R6486" t="n">
        <v>0</v>
      </c>
      <c r="S6486" t="n">
        <v>0</v>
      </c>
      <c r="T6486" t="n">
        <v>0</v>
      </c>
      <c r="U6486" t="n">
        <v>0</v>
      </c>
      <c r="V6486" s="2" t="inlineStr"/>
    </row>
    <row r="6487" ht="15" customHeight="1">
      <c r="A6487" t="inlineStr">
        <is>
          <t>S 3208-2024</t>
        </is>
      </c>
      <c r="B6487" t="inlineStr">
        <is>
          <t>samrådsanmälan</t>
        </is>
      </c>
      <c r="C6487" t="inlineStr">
        <is>
          <t>Askåterföring</t>
        </is>
      </c>
      <c r="D6487" s="1" t="n">
        <v>45524</v>
      </c>
      <c r="E6487" s="1" t="n">
        <v>46323</v>
      </c>
      <c r="F6487" t="inlineStr">
        <is>
          <t>KALMAR LÄN</t>
        </is>
      </c>
      <c r="G6487" t="inlineStr">
        <is>
          <t>HÖGSBY</t>
        </is>
      </c>
      <c r="I6487" t="n">
        <v>23.3</v>
      </c>
      <c r="J6487" t="n">
        <v>0</v>
      </c>
      <c r="K6487" t="n">
        <v>0</v>
      </c>
      <c r="L6487" t="n">
        <v>0</v>
      </c>
      <c r="M6487" t="n">
        <v>0</v>
      </c>
      <c r="N6487" t="n">
        <v>0</v>
      </c>
      <c r="O6487" t="n">
        <v>0</v>
      </c>
      <c r="P6487" t="n">
        <v>0</v>
      </c>
      <c r="Q6487" t="n">
        <v>0</v>
      </c>
      <c r="R6487" t="n">
        <v>0</v>
      </c>
      <c r="S6487" t="n">
        <v>0</v>
      </c>
      <c r="T6487" t="n">
        <v>0</v>
      </c>
      <c r="U6487" t="n">
        <v>0</v>
      </c>
      <c r="V6487" s="2" t="inlineStr"/>
    </row>
    <row r="6488" ht="15" customHeight="1">
      <c r="A6488" t="inlineStr">
        <is>
          <t>S 6951-2022</t>
        </is>
      </c>
      <c r="B6488" t="inlineStr">
        <is>
          <t>samrådsanmälan</t>
        </is>
      </c>
      <c r="C6488" t="inlineStr">
        <is>
          <t>Askåterföring</t>
        </is>
      </c>
      <c r="D6488" s="1" t="n">
        <v>44900</v>
      </c>
      <c r="E6488" s="1" t="n">
        <v>46323</v>
      </c>
      <c r="F6488" t="inlineStr">
        <is>
          <t>KALMAR LÄN</t>
        </is>
      </c>
      <c r="G6488" t="inlineStr">
        <is>
          <t>EMMABODA</t>
        </is>
      </c>
      <c r="I6488" t="n">
        <v>16.2</v>
      </c>
      <c r="J6488" t="n">
        <v>0</v>
      </c>
      <c r="K6488" t="n">
        <v>0</v>
      </c>
      <c r="L6488" t="n">
        <v>0</v>
      </c>
      <c r="M6488" t="n">
        <v>0</v>
      </c>
      <c r="N6488" t="n">
        <v>0</v>
      </c>
      <c r="O6488" t="n">
        <v>0</v>
      </c>
      <c r="P6488" t="n">
        <v>0</v>
      </c>
      <c r="Q6488" t="n">
        <v>0</v>
      </c>
      <c r="R6488" t="n">
        <v>0</v>
      </c>
      <c r="S6488" t="n">
        <v>0</v>
      </c>
      <c r="T6488" t="n">
        <v>0</v>
      </c>
      <c r="U6488" t="n">
        <v>0</v>
      </c>
      <c r="V6488" s="2" t="inlineStr"/>
    </row>
    <row r="6489" ht="15" customHeight="1">
      <c r="A6489" t="inlineStr">
        <is>
          <t>S 2619-2024</t>
        </is>
      </c>
      <c r="B6489" t="inlineStr">
        <is>
          <t>samrådsanmälan</t>
        </is>
      </c>
      <c r="C6489" t="inlineStr">
        <is>
          <t>Askåterföring</t>
        </is>
      </c>
      <c r="D6489" s="1" t="n">
        <v>45477</v>
      </c>
      <c r="E6489" s="1" t="n">
        <v>46323</v>
      </c>
      <c r="F6489" t="inlineStr">
        <is>
          <t>KALMAR LÄN</t>
        </is>
      </c>
      <c r="G6489" t="inlineStr">
        <is>
          <t>HULTSFRED</t>
        </is>
      </c>
      <c r="I6489" t="n">
        <v>18.6</v>
      </c>
      <c r="J6489" t="n">
        <v>0</v>
      </c>
      <c r="K6489" t="n">
        <v>0</v>
      </c>
      <c r="L6489" t="n">
        <v>0</v>
      </c>
      <c r="M6489" t="n">
        <v>0</v>
      </c>
      <c r="N6489" t="n">
        <v>0</v>
      </c>
      <c r="O6489" t="n">
        <v>0</v>
      </c>
      <c r="P6489" t="n">
        <v>0</v>
      </c>
      <c r="Q6489" t="n">
        <v>0</v>
      </c>
      <c r="R6489" t="n">
        <v>0</v>
      </c>
      <c r="S6489" t="n">
        <v>0</v>
      </c>
      <c r="T6489" t="n">
        <v>0</v>
      </c>
      <c r="U6489" t="n">
        <v>0</v>
      </c>
      <c r="V6489" s="2" t="inlineStr"/>
    </row>
    <row r="6490" ht="15" customHeight="1">
      <c r="A6490" t="inlineStr">
        <is>
          <t>S 1593-2023</t>
        </is>
      </c>
      <c r="B6490" t="inlineStr">
        <is>
          <t>samrådsanmälan</t>
        </is>
      </c>
      <c r="C6490" t="inlineStr">
        <is>
          <t>Askåterföring</t>
        </is>
      </c>
      <c r="D6490" s="1" t="n">
        <v>45056</v>
      </c>
      <c r="E6490" s="1" t="n">
        <v>46323</v>
      </c>
      <c r="F6490" t="inlineStr">
        <is>
          <t>KALMAR LÄN</t>
        </is>
      </c>
      <c r="G6490" t="inlineStr">
        <is>
          <t>NYBRO</t>
        </is>
      </c>
      <c r="I6490" t="n">
        <v>46.2</v>
      </c>
      <c r="J6490" t="n">
        <v>0</v>
      </c>
      <c r="K6490" t="n">
        <v>0</v>
      </c>
      <c r="L6490" t="n">
        <v>0</v>
      </c>
      <c r="M6490" t="n">
        <v>0</v>
      </c>
      <c r="N6490" t="n">
        <v>0</v>
      </c>
      <c r="O6490" t="n">
        <v>0</v>
      </c>
      <c r="P6490" t="n">
        <v>0</v>
      </c>
      <c r="Q6490" t="n">
        <v>0</v>
      </c>
      <c r="R6490" t="n">
        <v>0</v>
      </c>
      <c r="S6490" t="n">
        <v>0</v>
      </c>
      <c r="T6490" t="n">
        <v>0</v>
      </c>
      <c r="U6490" t="n">
        <v>0</v>
      </c>
      <c r="V6490" s="2" t="inlineStr"/>
    </row>
    <row r="6491" ht="15" customHeight="1">
      <c r="A6491" t="inlineStr">
        <is>
          <t>S 5811-2022</t>
        </is>
      </c>
      <c r="B6491" t="inlineStr">
        <is>
          <t>samrådsanmälan</t>
        </is>
      </c>
      <c r="C6491" t="inlineStr">
        <is>
          <t>Askåterföring</t>
        </is>
      </c>
      <c r="D6491" s="1" t="n">
        <v>44852</v>
      </c>
      <c r="E6491" s="1" t="n">
        <v>46323</v>
      </c>
      <c r="F6491" t="inlineStr">
        <is>
          <t>KALMAR LÄN</t>
        </is>
      </c>
      <c r="G6491" t="inlineStr">
        <is>
          <t>EMMABODA</t>
        </is>
      </c>
      <c r="I6491" t="n">
        <v>20.2</v>
      </c>
      <c r="J6491" t="n">
        <v>0</v>
      </c>
      <c r="K6491" t="n">
        <v>0</v>
      </c>
      <c r="L6491" t="n">
        <v>0</v>
      </c>
      <c r="M6491" t="n">
        <v>0</v>
      </c>
      <c r="N6491" t="n">
        <v>0</v>
      </c>
      <c r="O6491" t="n">
        <v>0</v>
      </c>
      <c r="P6491" t="n">
        <v>0</v>
      </c>
      <c r="Q6491" t="n">
        <v>0</v>
      </c>
      <c r="R6491" t="n">
        <v>0</v>
      </c>
      <c r="S6491" t="n">
        <v>0</v>
      </c>
      <c r="T6491" t="n">
        <v>0</v>
      </c>
      <c r="U6491" t="n">
        <v>0</v>
      </c>
      <c r="V6491" s="2" t="inlineStr"/>
    </row>
    <row r="6492" ht="15" customHeight="1">
      <c r="A6492" t="inlineStr">
        <is>
          <t>S 4600-2023</t>
        </is>
      </c>
      <c r="B6492" t="inlineStr">
        <is>
          <t>samrådsanmälan</t>
        </is>
      </c>
      <c r="C6492" t="inlineStr">
        <is>
          <t>Annan skogsbruksåtgärd</t>
        </is>
      </c>
      <c r="D6492" s="1" t="n">
        <v>45287</v>
      </c>
      <c r="E6492" s="1" t="n">
        <v>46323</v>
      </c>
      <c r="F6492" t="inlineStr">
        <is>
          <t>KALMAR LÄN</t>
        </is>
      </c>
      <c r="G6492" t="inlineStr">
        <is>
          <t>OSKARSHAMN</t>
        </is>
      </c>
      <c r="I6492" t="n">
        <v>1.7</v>
      </c>
      <c r="J6492" t="n">
        <v>0</v>
      </c>
      <c r="K6492" t="n">
        <v>0</v>
      </c>
      <c r="L6492" t="n">
        <v>0</v>
      </c>
      <c r="M6492" t="n">
        <v>0</v>
      </c>
      <c r="N6492" t="n">
        <v>0</v>
      </c>
      <c r="O6492" t="n">
        <v>0</v>
      </c>
      <c r="P6492" t="n">
        <v>0</v>
      </c>
      <c r="Q6492" t="n">
        <v>0</v>
      </c>
      <c r="R6492" t="n">
        <v>0</v>
      </c>
      <c r="S6492" t="n">
        <v>0</v>
      </c>
      <c r="T6492" t="n">
        <v>0</v>
      </c>
      <c r="U6492" t="n">
        <v>0</v>
      </c>
      <c r="V6492" s="2" t="inlineStr"/>
    </row>
    <row r="6493" ht="15" customHeight="1">
      <c r="A6493" t="inlineStr">
        <is>
          <t>S 2623-2024</t>
        </is>
      </c>
      <c r="B6493" t="inlineStr">
        <is>
          <t>samrådsanmälan</t>
        </is>
      </c>
      <c r="C6493" t="inlineStr">
        <is>
          <t>Askåterföring</t>
        </is>
      </c>
      <c r="D6493" s="1" t="n">
        <v>45477</v>
      </c>
      <c r="E6493" s="1" t="n">
        <v>46323</v>
      </c>
      <c r="F6493" t="inlineStr">
        <is>
          <t>KALMAR LÄN</t>
        </is>
      </c>
      <c r="G6493" t="inlineStr">
        <is>
          <t>OSKARSHAMN</t>
        </is>
      </c>
      <c r="I6493" t="n">
        <v>11.9</v>
      </c>
      <c r="J6493" t="n">
        <v>0</v>
      </c>
      <c r="K6493" t="n">
        <v>0</v>
      </c>
      <c r="L6493" t="n">
        <v>0</v>
      </c>
      <c r="M6493" t="n">
        <v>0</v>
      </c>
      <c r="N6493" t="n">
        <v>0</v>
      </c>
      <c r="O6493" t="n">
        <v>0</v>
      </c>
      <c r="P6493" t="n">
        <v>0</v>
      </c>
      <c r="Q6493" t="n">
        <v>0</v>
      </c>
      <c r="R6493" t="n">
        <v>0</v>
      </c>
      <c r="S6493" t="n">
        <v>0</v>
      </c>
      <c r="T6493" t="n">
        <v>0</v>
      </c>
      <c r="U6493" t="n">
        <v>0</v>
      </c>
      <c r="V6493" s="2" t="inlineStr"/>
    </row>
    <row r="6494" ht="15" customHeight="1">
      <c r="A6494" t="inlineStr">
        <is>
          <t>S 2347-2024</t>
        </is>
      </c>
      <c r="B6494" t="inlineStr">
        <is>
          <t>samrådsanmälan</t>
        </is>
      </c>
      <c r="C6494" t="inlineStr">
        <is>
          <t>Annan skogsbruksåtgärd</t>
        </is>
      </c>
      <c r="D6494" s="1" t="n">
        <v>45467</v>
      </c>
      <c r="E6494" s="1" t="n">
        <v>46323</v>
      </c>
      <c r="F6494" t="inlineStr">
        <is>
          <t>KALMAR LÄN</t>
        </is>
      </c>
      <c r="G6494" t="inlineStr">
        <is>
          <t>VÄSTERVIK</t>
        </is>
      </c>
      <c r="H6494" t="inlineStr">
        <is>
          <t>Kommuner</t>
        </is>
      </c>
      <c r="I6494" t="n">
        <v>1.8</v>
      </c>
      <c r="J6494" t="n">
        <v>0</v>
      </c>
      <c r="K6494" t="n">
        <v>0</v>
      </c>
      <c r="L6494" t="n">
        <v>0</v>
      </c>
      <c r="M6494" t="n">
        <v>0</v>
      </c>
      <c r="N6494" t="n">
        <v>0</v>
      </c>
      <c r="O6494" t="n">
        <v>0</v>
      </c>
      <c r="P6494" t="n">
        <v>0</v>
      </c>
      <c r="Q6494" t="n">
        <v>0</v>
      </c>
      <c r="R6494" t="n">
        <v>0</v>
      </c>
      <c r="S6494" t="n">
        <v>0</v>
      </c>
      <c r="T6494" t="n">
        <v>0</v>
      </c>
      <c r="U6494" t="n">
        <v>0</v>
      </c>
      <c r="V6494" s="2" t="inlineStr"/>
    </row>
    <row r="6495" ht="15" customHeight="1">
      <c r="A6495" t="inlineStr">
        <is>
          <t>S 3767-2024</t>
        </is>
      </c>
      <c r="B6495" t="inlineStr">
        <is>
          <t>samrådsanmälan</t>
        </is>
      </c>
      <c r="C6495" t="inlineStr">
        <is>
          <t>Askåterföring</t>
        </is>
      </c>
      <c r="D6495" s="1" t="n">
        <v>45558</v>
      </c>
      <c r="E6495" s="1" t="n">
        <v>46323</v>
      </c>
      <c r="F6495" t="inlineStr">
        <is>
          <t>KALMAR LÄN</t>
        </is>
      </c>
      <c r="G6495" t="inlineStr">
        <is>
          <t>TORSÅS</t>
        </is>
      </c>
      <c r="I6495" t="n">
        <v>19.8</v>
      </c>
      <c r="J6495" t="n">
        <v>0</v>
      </c>
      <c r="K6495" t="n">
        <v>0</v>
      </c>
      <c r="L6495" t="n">
        <v>0</v>
      </c>
      <c r="M6495" t="n">
        <v>0</v>
      </c>
      <c r="N6495" t="n">
        <v>0</v>
      </c>
      <c r="O6495" t="n">
        <v>0</v>
      </c>
      <c r="P6495" t="n">
        <v>0</v>
      </c>
      <c r="Q6495" t="n">
        <v>0</v>
      </c>
      <c r="R6495" t="n">
        <v>0</v>
      </c>
      <c r="S6495" t="n">
        <v>0</v>
      </c>
      <c r="T6495" t="n">
        <v>0</v>
      </c>
      <c r="U6495" t="n">
        <v>0</v>
      </c>
      <c r="V6495" s="2" t="inlineStr"/>
    </row>
    <row r="6496" ht="15" customHeight="1">
      <c r="A6496" t="inlineStr">
        <is>
          <t>S 3326-2023</t>
        </is>
      </c>
      <c r="B6496" t="inlineStr">
        <is>
          <t>samrådsanmälan</t>
        </is>
      </c>
      <c r="C6496" t="inlineStr">
        <is>
          <t>Annan skogsbruksåtgärd</t>
        </is>
      </c>
      <c r="D6496" s="1" t="n">
        <v>45200</v>
      </c>
      <c r="E6496" s="1" t="n">
        <v>46323</v>
      </c>
      <c r="F6496" t="inlineStr">
        <is>
          <t>KALMAR LÄN</t>
        </is>
      </c>
      <c r="G6496" t="inlineStr">
        <is>
          <t>EMMABODA</t>
        </is>
      </c>
      <c r="I6496" t="n">
        <v>0.8</v>
      </c>
      <c r="J6496" t="n">
        <v>0</v>
      </c>
      <c r="K6496" t="n">
        <v>0</v>
      </c>
      <c r="L6496" t="n">
        <v>0</v>
      </c>
      <c r="M6496" t="n">
        <v>0</v>
      </c>
      <c r="N6496" t="n">
        <v>0</v>
      </c>
      <c r="O6496" t="n">
        <v>0</v>
      </c>
      <c r="P6496" t="n">
        <v>0</v>
      </c>
      <c r="Q6496" t="n">
        <v>0</v>
      </c>
      <c r="R6496" t="n">
        <v>0</v>
      </c>
      <c r="S6496" t="n">
        <v>0</v>
      </c>
      <c r="T6496" t="n">
        <v>0</v>
      </c>
      <c r="U6496" t="n">
        <v>0</v>
      </c>
      <c r="V6496" s="2" t="inlineStr"/>
    </row>
    <row r="6497" ht="15" customHeight="1">
      <c r="A6497" t="inlineStr">
        <is>
          <t>S 866-2024</t>
        </is>
      </c>
      <c r="B6497" t="inlineStr">
        <is>
          <t>samrådsanmälan</t>
        </is>
      </c>
      <c r="C6497" t="inlineStr">
        <is>
          <t>Askåterföring</t>
        </is>
      </c>
      <c r="D6497" s="1" t="n">
        <v>45373</v>
      </c>
      <c r="E6497" s="1" t="n">
        <v>46323</v>
      </c>
      <c r="F6497" t="inlineStr">
        <is>
          <t>KALMAR LÄN</t>
        </is>
      </c>
      <c r="G6497" t="inlineStr">
        <is>
          <t>TORSÅS</t>
        </is>
      </c>
      <c r="I6497" t="n">
        <v>16.6</v>
      </c>
      <c r="J6497" t="n">
        <v>0</v>
      </c>
      <c r="K6497" t="n">
        <v>0</v>
      </c>
      <c r="L6497" t="n">
        <v>0</v>
      </c>
      <c r="M6497" t="n">
        <v>0</v>
      </c>
      <c r="N6497" t="n">
        <v>0</v>
      </c>
      <c r="O6497" t="n">
        <v>0</v>
      </c>
      <c r="P6497" t="n">
        <v>0</v>
      </c>
      <c r="Q6497" t="n">
        <v>0</v>
      </c>
      <c r="R6497" t="n">
        <v>0</v>
      </c>
      <c r="S6497" t="n">
        <v>0</v>
      </c>
      <c r="T6497" t="n">
        <v>0</v>
      </c>
      <c r="U6497" t="n">
        <v>0</v>
      </c>
      <c r="V6497" s="2" t="inlineStr"/>
    </row>
    <row r="6498" ht="15" customHeight="1">
      <c r="A6498" t="inlineStr">
        <is>
          <t>S 579-2023</t>
        </is>
      </c>
      <c r="B6498" t="inlineStr">
        <is>
          <t>samrådsanmälan</t>
        </is>
      </c>
      <c r="C6498" t="inlineStr">
        <is>
          <t>Askåterföring</t>
        </is>
      </c>
      <c r="D6498" s="1" t="n">
        <v>44971</v>
      </c>
      <c r="E6498" s="1" t="n">
        <v>46323</v>
      </c>
      <c r="F6498" t="inlineStr">
        <is>
          <t>KALMAR LÄN</t>
        </is>
      </c>
      <c r="G6498" t="inlineStr">
        <is>
          <t>MÖNSTERÅS</t>
        </is>
      </c>
      <c r="I6498" t="n">
        <v>29.4</v>
      </c>
      <c r="J6498" t="n">
        <v>0</v>
      </c>
      <c r="K6498" t="n">
        <v>0</v>
      </c>
      <c r="L6498" t="n">
        <v>0</v>
      </c>
      <c r="M6498" t="n">
        <v>0</v>
      </c>
      <c r="N6498" t="n">
        <v>0</v>
      </c>
      <c r="O6498" t="n">
        <v>0</v>
      </c>
      <c r="P6498" t="n">
        <v>0</v>
      </c>
      <c r="Q6498" t="n">
        <v>0</v>
      </c>
      <c r="R6498" t="n">
        <v>0</v>
      </c>
      <c r="S6498" t="n">
        <v>0</v>
      </c>
      <c r="T6498" t="n">
        <v>0</v>
      </c>
      <c r="U6498" t="n">
        <v>0</v>
      </c>
      <c r="V6498" s="2" t="inlineStr"/>
    </row>
    <row r="6499" ht="15" customHeight="1">
      <c r="A6499" t="inlineStr">
        <is>
          <t>S 972-2024</t>
        </is>
      </c>
      <c r="B6499" t="inlineStr">
        <is>
          <t>samrådsanmälan</t>
        </is>
      </c>
      <c r="C6499" t="inlineStr">
        <is>
          <t>Annan skogsbruksåtgärd</t>
        </is>
      </c>
      <c r="D6499" s="1" t="n">
        <v>45384</v>
      </c>
      <c r="E6499" s="1" t="n">
        <v>46323</v>
      </c>
      <c r="F6499" t="inlineStr">
        <is>
          <t>KALMAR LÄN</t>
        </is>
      </c>
      <c r="G6499" t="inlineStr">
        <is>
          <t>HULTSFRED</t>
        </is>
      </c>
      <c r="I6499" t="n">
        <v>0.9</v>
      </c>
      <c r="J6499" t="n">
        <v>0</v>
      </c>
      <c r="K6499" t="n">
        <v>0</v>
      </c>
      <c r="L6499" t="n">
        <v>0</v>
      </c>
      <c r="M6499" t="n">
        <v>0</v>
      </c>
      <c r="N6499" t="n">
        <v>0</v>
      </c>
      <c r="O6499" t="n">
        <v>0</v>
      </c>
      <c r="P6499" t="n">
        <v>0</v>
      </c>
      <c r="Q6499" t="n">
        <v>0</v>
      </c>
      <c r="R6499" t="n">
        <v>0</v>
      </c>
      <c r="S6499" t="n">
        <v>0</v>
      </c>
      <c r="T6499" t="n">
        <v>0</v>
      </c>
      <c r="U6499" t="n">
        <v>0</v>
      </c>
      <c r="V6499" s="2" t="inlineStr"/>
    </row>
    <row r="6500" ht="15" customHeight="1">
      <c r="A6500" t="inlineStr">
        <is>
          <t>S 2620-2024</t>
        </is>
      </c>
      <c r="B6500" t="inlineStr">
        <is>
          <t>samrådsanmälan</t>
        </is>
      </c>
      <c r="C6500" t="inlineStr">
        <is>
          <t>Askåterföring</t>
        </is>
      </c>
      <c r="D6500" s="1" t="n">
        <v>45477</v>
      </c>
      <c r="E6500" s="1" t="n">
        <v>46323</v>
      </c>
      <c r="F6500" t="inlineStr">
        <is>
          <t>KALMAR LÄN</t>
        </is>
      </c>
      <c r="G6500" t="inlineStr">
        <is>
          <t>OSKARSHAMN</t>
        </is>
      </c>
      <c r="I6500" t="n">
        <v>12.5</v>
      </c>
      <c r="J6500" t="n">
        <v>0</v>
      </c>
      <c r="K6500" t="n">
        <v>0</v>
      </c>
      <c r="L6500" t="n">
        <v>0</v>
      </c>
      <c r="M6500" t="n">
        <v>0</v>
      </c>
      <c r="N6500" t="n">
        <v>0</v>
      </c>
      <c r="O6500" t="n">
        <v>0</v>
      </c>
      <c r="P6500" t="n">
        <v>0</v>
      </c>
      <c r="Q6500" t="n">
        <v>0</v>
      </c>
      <c r="R6500" t="n">
        <v>0</v>
      </c>
      <c r="S6500" t="n">
        <v>0</v>
      </c>
      <c r="T6500" t="n">
        <v>0</v>
      </c>
      <c r="U6500" t="n">
        <v>0</v>
      </c>
      <c r="V6500" s="2" t="inlineStr"/>
    </row>
    <row r="6501" ht="15" customHeight="1">
      <c r="A6501" t="inlineStr">
        <is>
          <t>S 10272-2021</t>
        </is>
      </c>
      <c r="B6501" t="inlineStr">
        <is>
          <t>samrådsanmälan</t>
        </is>
      </c>
      <c r="C6501" t="inlineStr">
        <is>
          <t>Åtgärd i nyckelbiotop</t>
        </is>
      </c>
      <c r="D6501" s="1" t="n">
        <v>44545</v>
      </c>
      <c r="E6501" s="1" t="n">
        <v>46323</v>
      </c>
      <c r="F6501" t="inlineStr">
        <is>
          <t>KALMAR LÄN</t>
        </is>
      </c>
      <c r="G6501" t="inlineStr">
        <is>
          <t>MÖNSTERÅS</t>
        </is>
      </c>
      <c r="I6501" t="n">
        <v>1.6</v>
      </c>
      <c r="J6501" t="n">
        <v>0</v>
      </c>
      <c r="K6501" t="n">
        <v>0</v>
      </c>
      <c r="L6501" t="n">
        <v>0</v>
      </c>
      <c r="M6501" t="n">
        <v>0</v>
      </c>
      <c r="N6501" t="n">
        <v>0</v>
      </c>
      <c r="O6501" t="n">
        <v>0</v>
      </c>
      <c r="P6501" t="n">
        <v>0</v>
      </c>
      <c r="Q6501" t="n">
        <v>0</v>
      </c>
      <c r="R6501" t="n">
        <v>0</v>
      </c>
      <c r="S6501" t="n">
        <v>0</v>
      </c>
      <c r="T6501" t="n">
        <v>0</v>
      </c>
      <c r="U6501" t="n">
        <v>0</v>
      </c>
      <c r="V6501" s="2" t="inlineStr"/>
    </row>
    <row r="6502" ht="15" customHeight="1">
      <c r="A6502" t="inlineStr">
        <is>
          <t>S 3397-2024</t>
        </is>
      </c>
      <c r="B6502" t="inlineStr">
        <is>
          <t>samrådsanmälan</t>
        </is>
      </c>
      <c r="C6502" t="inlineStr">
        <is>
          <t>Askåterföring</t>
        </is>
      </c>
      <c r="D6502" s="1" t="n">
        <v>45534</v>
      </c>
      <c r="E6502" s="1" t="n">
        <v>46323</v>
      </c>
      <c r="F6502" t="inlineStr">
        <is>
          <t>KALMAR LÄN</t>
        </is>
      </c>
      <c r="G6502" t="inlineStr">
        <is>
          <t>EMMABODA</t>
        </is>
      </c>
      <c r="I6502" t="n">
        <v>49.9</v>
      </c>
      <c r="J6502" t="n">
        <v>0</v>
      </c>
      <c r="K6502" t="n">
        <v>0</v>
      </c>
      <c r="L6502" t="n">
        <v>0</v>
      </c>
      <c r="M6502" t="n">
        <v>0</v>
      </c>
      <c r="N6502" t="n">
        <v>0</v>
      </c>
      <c r="O6502" t="n">
        <v>0</v>
      </c>
      <c r="P6502" t="n">
        <v>0</v>
      </c>
      <c r="Q6502" t="n">
        <v>0</v>
      </c>
      <c r="R6502" t="n">
        <v>0</v>
      </c>
      <c r="S6502" t="n">
        <v>0</v>
      </c>
      <c r="T6502" t="n">
        <v>0</v>
      </c>
      <c r="U6502" t="n">
        <v>0</v>
      </c>
      <c r="V6502" s="2" t="inlineStr"/>
    </row>
    <row r="6503" ht="15" customHeight="1">
      <c r="A6503" t="inlineStr">
        <is>
          <t>S 3795-2024</t>
        </is>
      </c>
      <c r="B6503" t="inlineStr">
        <is>
          <t>samrådsanmälan</t>
        </is>
      </c>
      <c r="C6503" t="inlineStr">
        <is>
          <t>Askåterföring</t>
        </is>
      </c>
      <c r="D6503" s="1" t="n">
        <v>45558</v>
      </c>
      <c r="E6503" s="1" t="n">
        <v>46323</v>
      </c>
      <c r="F6503" t="inlineStr">
        <is>
          <t>KALMAR LÄN</t>
        </is>
      </c>
      <c r="G6503" t="inlineStr">
        <is>
          <t>NYBRO</t>
        </is>
      </c>
      <c r="I6503" t="n">
        <v>23.6</v>
      </c>
      <c r="J6503" t="n">
        <v>0</v>
      </c>
      <c r="K6503" t="n">
        <v>0</v>
      </c>
      <c r="L6503" t="n">
        <v>0</v>
      </c>
      <c r="M6503" t="n">
        <v>0</v>
      </c>
      <c r="N6503" t="n">
        <v>0</v>
      </c>
      <c r="O6503" t="n">
        <v>0</v>
      </c>
      <c r="P6503" t="n">
        <v>0</v>
      </c>
      <c r="Q6503" t="n">
        <v>0</v>
      </c>
      <c r="R6503" t="n">
        <v>0</v>
      </c>
      <c r="S6503" t="n">
        <v>0</v>
      </c>
      <c r="T6503" t="n">
        <v>0</v>
      </c>
      <c r="U6503" t="n">
        <v>0</v>
      </c>
      <c r="V6503" s="2" t="inlineStr"/>
    </row>
    <row r="6504" ht="15" customHeight="1">
      <c r="A6504" t="inlineStr">
        <is>
          <t>S 944-2024</t>
        </is>
      </c>
      <c r="B6504" t="inlineStr">
        <is>
          <t>samrådsanmälan</t>
        </is>
      </c>
      <c r="C6504" t="inlineStr">
        <is>
          <t>Annan skogsbruksåtgärd</t>
        </is>
      </c>
      <c r="D6504" s="1" t="n">
        <v>45378</v>
      </c>
      <c r="E6504" s="1" t="n">
        <v>46323</v>
      </c>
      <c r="F6504" t="inlineStr">
        <is>
          <t>KALMAR LÄN</t>
        </is>
      </c>
      <c r="G6504" t="inlineStr">
        <is>
          <t>VIMMERBY</t>
        </is>
      </c>
      <c r="H6504" t="inlineStr">
        <is>
          <t>Sveaskog</t>
        </is>
      </c>
      <c r="I6504" t="n">
        <v>4.8</v>
      </c>
      <c r="J6504" t="n">
        <v>0</v>
      </c>
      <c r="K6504" t="n">
        <v>0</v>
      </c>
      <c r="L6504" t="n">
        <v>0</v>
      </c>
      <c r="M6504" t="n">
        <v>0</v>
      </c>
      <c r="N6504" t="n">
        <v>0</v>
      </c>
      <c r="O6504" t="n">
        <v>0</v>
      </c>
      <c r="P6504" t="n">
        <v>0</v>
      </c>
      <c r="Q6504" t="n">
        <v>0</v>
      </c>
      <c r="R6504" t="n">
        <v>0</v>
      </c>
      <c r="S6504" t="n">
        <v>0</v>
      </c>
      <c r="T6504" t="n">
        <v>0</v>
      </c>
      <c r="U6504" t="n">
        <v>0</v>
      </c>
      <c r="V6504" s="2" t="inlineStr"/>
    </row>
    <row r="6505" ht="15" customHeight="1">
      <c r="A6505" t="inlineStr">
        <is>
          <t>S 4492-2024</t>
        </is>
      </c>
      <c r="B6505" t="inlineStr">
        <is>
          <t>samrådsanmälan</t>
        </is>
      </c>
      <c r="C6505" t="inlineStr">
        <is>
          <t>Annan skogsbruksåtgärd</t>
        </is>
      </c>
      <c r="D6505" s="1" t="n">
        <v>45595</v>
      </c>
      <c r="E6505" s="1" t="n">
        <v>46323</v>
      </c>
      <c r="F6505" t="inlineStr">
        <is>
          <t>KALMAR LÄN</t>
        </is>
      </c>
      <c r="G6505" t="inlineStr">
        <is>
          <t>KALMAR</t>
        </is>
      </c>
      <c r="I6505" t="n">
        <v>0.1</v>
      </c>
      <c r="J6505" t="n">
        <v>0</v>
      </c>
      <c r="K6505" t="n">
        <v>0</v>
      </c>
      <c r="L6505" t="n">
        <v>0</v>
      </c>
      <c r="M6505" t="n">
        <v>0</v>
      </c>
      <c r="N6505" t="n">
        <v>0</v>
      </c>
      <c r="O6505" t="n">
        <v>0</v>
      </c>
      <c r="P6505" t="n">
        <v>0</v>
      </c>
      <c r="Q6505" t="n">
        <v>0</v>
      </c>
      <c r="R6505" t="n">
        <v>0</v>
      </c>
      <c r="S6505" t="n">
        <v>0</v>
      </c>
      <c r="T6505" t="n">
        <v>0</v>
      </c>
      <c r="U6505" t="n">
        <v>0</v>
      </c>
      <c r="V6505" s="2" t="inlineStr"/>
    </row>
    <row r="6506" ht="15" customHeight="1">
      <c r="A6506" t="inlineStr">
        <is>
          <t>S 3244-2023</t>
        </is>
      </c>
      <c r="B6506" t="inlineStr">
        <is>
          <t>samrådsanmälan</t>
        </is>
      </c>
      <c r="C6506" t="inlineStr">
        <is>
          <t>Askåterföring</t>
        </is>
      </c>
      <c r="D6506" s="1" t="n">
        <v>45191</v>
      </c>
      <c r="E6506" s="1" t="n">
        <v>46323</v>
      </c>
      <c r="F6506" t="inlineStr">
        <is>
          <t>KALMAR LÄN</t>
        </is>
      </c>
      <c r="G6506" t="inlineStr">
        <is>
          <t>EMMABODA</t>
        </is>
      </c>
      <c r="I6506" t="n">
        <v>86.2</v>
      </c>
      <c r="J6506" t="n">
        <v>0</v>
      </c>
      <c r="K6506" t="n">
        <v>0</v>
      </c>
      <c r="L6506" t="n">
        <v>0</v>
      </c>
      <c r="M6506" t="n">
        <v>0</v>
      </c>
      <c r="N6506" t="n">
        <v>0</v>
      </c>
      <c r="O6506" t="n">
        <v>0</v>
      </c>
      <c r="P6506" t="n">
        <v>0</v>
      </c>
      <c r="Q6506" t="n">
        <v>0</v>
      </c>
      <c r="R6506" t="n">
        <v>0</v>
      </c>
      <c r="S6506" t="n">
        <v>0</v>
      </c>
      <c r="T6506" t="n">
        <v>0</v>
      </c>
      <c r="U6506" t="n">
        <v>0</v>
      </c>
      <c r="V6506" s="2" t="inlineStr"/>
    </row>
    <row r="6507" ht="15" customHeight="1">
      <c r="A6507" t="inlineStr">
        <is>
          <t>S 4687-2022</t>
        </is>
      </c>
      <c r="B6507" t="inlineStr">
        <is>
          <t>samrådsanmälan</t>
        </is>
      </c>
      <c r="C6507" t="inlineStr">
        <is>
          <t>Askåterföring</t>
        </is>
      </c>
      <c r="D6507" s="1" t="n">
        <v>44796</v>
      </c>
      <c r="E6507" s="1" t="n">
        <v>46323</v>
      </c>
      <c r="F6507" t="inlineStr">
        <is>
          <t>KALMAR LÄN</t>
        </is>
      </c>
      <c r="G6507" t="inlineStr">
        <is>
          <t>HULTSFRED</t>
        </is>
      </c>
      <c r="I6507" t="n">
        <v>9.4</v>
      </c>
      <c r="J6507" t="n">
        <v>0</v>
      </c>
      <c r="K6507" t="n">
        <v>0</v>
      </c>
      <c r="L6507" t="n">
        <v>0</v>
      </c>
      <c r="M6507" t="n">
        <v>0</v>
      </c>
      <c r="N6507" t="n">
        <v>0</v>
      </c>
      <c r="O6507" t="n">
        <v>0</v>
      </c>
      <c r="P6507" t="n">
        <v>0</v>
      </c>
      <c r="Q6507" t="n">
        <v>0</v>
      </c>
      <c r="R6507" t="n">
        <v>0</v>
      </c>
      <c r="S6507" t="n">
        <v>0</v>
      </c>
      <c r="T6507" t="n">
        <v>0</v>
      </c>
      <c r="U6507" t="n">
        <v>0</v>
      </c>
      <c r="V6507" s="2" t="inlineStr"/>
    </row>
    <row r="6508" ht="15" customHeight="1">
      <c r="A6508" t="inlineStr">
        <is>
          <t>S 88-2025</t>
        </is>
      </c>
      <c r="B6508" t="inlineStr">
        <is>
          <t>samrådsanmälan</t>
        </is>
      </c>
      <c r="C6508" t="inlineStr">
        <is>
          <t>Annan skogsbruksåtgärd</t>
        </is>
      </c>
      <c r="D6508" s="1" t="n">
        <v>45670</v>
      </c>
      <c r="E6508" s="1" t="n">
        <v>46323</v>
      </c>
      <c r="F6508" t="inlineStr">
        <is>
          <t>KALMAR LÄN</t>
        </is>
      </c>
      <c r="G6508" t="inlineStr">
        <is>
          <t>VÄSTERVIK</t>
        </is>
      </c>
      <c r="I6508" t="n">
        <v>2.7</v>
      </c>
      <c r="J6508" t="n">
        <v>0</v>
      </c>
      <c r="K6508" t="n">
        <v>0</v>
      </c>
      <c r="L6508" t="n">
        <v>0</v>
      </c>
      <c r="M6508" t="n">
        <v>0</v>
      </c>
      <c r="N6508" t="n">
        <v>0</v>
      </c>
      <c r="O6508" t="n">
        <v>0</v>
      </c>
      <c r="P6508" t="n">
        <v>0</v>
      </c>
      <c r="Q6508" t="n">
        <v>0</v>
      </c>
      <c r="R6508" t="n">
        <v>0</v>
      </c>
      <c r="S6508" t="n">
        <v>0</v>
      </c>
      <c r="T6508" t="n">
        <v>0</v>
      </c>
      <c r="U6508" t="n">
        <v>0</v>
      </c>
      <c r="V6508" s="2" t="inlineStr"/>
    </row>
    <row r="6509" ht="15" customHeight="1">
      <c r="A6509" t="inlineStr">
        <is>
          <t>S 565-2024</t>
        </is>
      </c>
      <c r="B6509" t="inlineStr">
        <is>
          <t>samrådsanmälan</t>
        </is>
      </c>
      <c r="C6509" t="inlineStr">
        <is>
          <t>Annan skogsbruksåtgärd</t>
        </is>
      </c>
      <c r="D6509" s="1" t="n">
        <v>45351</v>
      </c>
      <c r="E6509" s="1" t="n">
        <v>46323</v>
      </c>
      <c r="F6509" t="inlineStr">
        <is>
          <t>KALMAR LÄN</t>
        </is>
      </c>
      <c r="G6509" t="inlineStr">
        <is>
          <t>VÄSTERVIK</t>
        </is>
      </c>
      <c r="H6509" t="inlineStr">
        <is>
          <t>Kommuner</t>
        </is>
      </c>
      <c r="I6509" t="n">
        <v>0</v>
      </c>
      <c r="J6509" t="n">
        <v>0</v>
      </c>
      <c r="K6509" t="n">
        <v>0</v>
      </c>
      <c r="L6509" t="n">
        <v>0</v>
      </c>
      <c r="M6509" t="n">
        <v>0</v>
      </c>
      <c r="N6509" t="n">
        <v>0</v>
      </c>
      <c r="O6509" t="n">
        <v>0</v>
      </c>
      <c r="P6509" t="n">
        <v>0</v>
      </c>
      <c r="Q6509" t="n">
        <v>0</v>
      </c>
      <c r="R6509" t="n">
        <v>0</v>
      </c>
      <c r="S6509" t="n">
        <v>0</v>
      </c>
      <c r="T6509" t="n">
        <v>0</v>
      </c>
      <c r="U6509" t="n">
        <v>0</v>
      </c>
      <c r="V6509" s="2" t="inlineStr"/>
    </row>
    <row r="6510" ht="15" customHeight="1">
      <c r="A6510" t="inlineStr">
        <is>
          <t>S 2800-2024</t>
        </is>
      </c>
      <c r="B6510" t="inlineStr">
        <is>
          <t>samrådsanmälan</t>
        </is>
      </c>
      <c r="C6510" t="inlineStr">
        <is>
          <t>Askåterföring</t>
        </is>
      </c>
      <c r="D6510" s="1" t="n">
        <v>45488</v>
      </c>
      <c r="E6510" s="1" t="n">
        <v>46323</v>
      </c>
      <c r="F6510" t="inlineStr">
        <is>
          <t>KALMAR LÄN</t>
        </is>
      </c>
      <c r="G6510" t="inlineStr">
        <is>
          <t>VIMMERBY</t>
        </is>
      </c>
      <c r="I6510" t="n">
        <v>31</v>
      </c>
      <c r="J6510" t="n">
        <v>0</v>
      </c>
      <c r="K6510" t="n">
        <v>0</v>
      </c>
      <c r="L6510" t="n">
        <v>0</v>
      </c>
      <c r="M6510" t="n">
        <v>0</v>
      </c>
      <c r="N6510" t="n">
        <v>0</v>
      </c>
      <c r="O6510" t="n">
        <v>0</v>
      </c>
      <c r="P6510" t="n">
        <v>0</v>
      </c>
      <c r="Q6510" t="n">
        <v>0</v>
      </c>
      <c r="R6510" t="n">
        <v>0</v>
      </c>
      <c r="S6510" t="n">
        <v>0</v>
      </c>
      <c r="T6510" t="n">
        <v>0</v>
      </c>
      <c r="U6510" t="n">
        <v>0</v>
      </c>
      <c r="V6510" s="2" t="inlineStr"/>
    </row>
    <row r="6511" ht="15" customHeight="1">
      <c r="A6511" t="inlineStr">
        <is>
          <t>S 1011-2024</t>
        </is>
      </c>
      <c r="B6511" t="inlineStr">
        <is>
          <t>samrådsanmälan</t>
        </is>
      </c>
      <c r="C6511" t="inlineStr">
        <is>
          <t>Askåterföring</t>
        </is>
      </c>
      <c r="D6511" s="1" t="n">
        <v>45386</v>
      </c>
      <c r="E6511" s="1" t="n">
        <v>46323</v>
      </c>
      <c r="F6511" t="inlineStr">
        <is>
          <t>KALMAR LÄN</t>
        </is>
      </c>
      <c r="G6511" t="inlineStr">
        <is>
          <t>EMMABODA</t>
        </is>
      </c>
      <c r="I6511" t="n">
        <v>25.2</v>
      </c>
      <c r="J6511" t="n">
        <v>0</v>
      </c>
      <c r="K6511" t="n">
        <v>0</v>
      </c>
      <c r="L6511" t="n">
        <v>0</v>
      </c>
      <c r="M6511" t="n">
        <v>0</v>
      </c>
      <c r="N6511" t="n">
        <v>0</v>
      </c>
      <c r="O6511" t="n">
        <v>0</v>
      </c>
      <c r="P6511" t="n">
        <v>0</v>
      </c>
      <c r="Q6511" t="n">
        <v>0</v>
      </c>
      <c r="R6511" t="n">
        <v>0</v>
      </c>
      <c r="S6511" t="n">
        <v>0</v>
      </c>
      <c r="T6511" t="n">
        <v>0</v>
      </c>
      <c r="U6511" t="n">
        <v>0</v>
      </c>
      <c r="V6511" s="2" t="inlineStr"/>
    </row>
    <row r="6512" ht="15" customHeight="1">
      <c r="A6512" t="inlineStr">
        <is>
          <t>S 4877-2022</t>
        </is>
      </c>
      <c r="B6512" t="inlineStr">
        <is>
          <t>samrådsanmälan</t>
        </is>
      </c>
      <c r="C6512" t="inlineStr">
        <is>
          <t>Annan skogsbruksåtgärd</t>
        </is>
      </c>
      <c r="D6512" s="1" t="n">
        <v>44806</v>
      </c>
      <c r="E6512" s="1" t="n">
        <v>46323</v>
      </c>
      <c r="F6512" t="inlineStr">
        <is>
          <t>KALMAR LÄN</t>
        </is>
      </c>
      <c r="G6512" t="inlineStr">
        <is>
          <t>NYBRO</t>
        </is>
      </c>
      <c r="I6512" t="n">
        <v>0.5</v>
      </c>
      <c r="J6512" t="n">
        <v>0</v>
      </c>
      <c r="K6512" t="n">
        <v>0</v>
      </c>
      <c r="L6512" t="n">
        <v>0</v>
      </c>
      <c r="M6512" t="n">
        <v>0</v>
      </c>
      <c r="N6512" t="n">
        <v>0</v>
      </c>
      <c r="O6512" t="n">
        <v>0</v>
      </c>
      <c r="P6512" t="n">
        <v>0</v>
      </c>
      <c r="Q6512" t="n">
        <v>0</v>
      </c>
      <c r="R6512" t="n">
        <v>0</v>
      </c>
      <c r="S6512" t="n">
        <v>0</v>
      </c>
      <c r="T6512" t="n">
        <v>0</v>
      </c>
      <c r="U6512" t="n">
        <v>0</v>
      </c>
      <c r="V6512" s="2" t="inlineStr"/>
    </row>
    <row r="6513" ht="15" customHeight="1">
      <c r="A6513" t="inlineStr">
        <is>
          <t>S 2618-2024</t>
        </is>
      </c>
      <c r="B6513" t="inlineStr">
        <is>
          <t>samrådsanmälan</t>
        </is>
      </c>
      <c r="C6513" t="inlineStr">
        <is>
          <t>Askåterföring</t>
        </is>
      </c>
      <c r="D6513" s="1" t="n">
        <v>45477</v>
      </c>
      <c r="E6513" s="1" t="n">
        <v>46323</v>
      </c>
      <c r="F6513" t="inlineStr">
        <is>
          <t>KALMAR LÄN</t>
        </is>
      </c>
      <c r="G6513" t="inlineStr">
        <is>
          <t>HULTSFRED</t>
        </is>
      </c>
      <c r="I6513" t="n">
        <v>13</v>
      </c>
      <c r="J6513" t="n">
        <v>0</v>
      </c>
      <c r="K6513" t="n">
        <v>0</v>
      </c>
      <c r="L6513" t="n">
        <v>0</v>
      </c>
      <c r="M6513" t="n">
        <v>0</v>
      </c>
      <c r="N6513" t="n">
        <v>0</v>
      </c>
      <c r="O6513" t="n">
        <v>0</v>
      </c>
      <c r="P6513" t="n">
        <v>0</v>
      </c>
      <c r="Q6513" t="n">
        <v>0</v>
      </c>
      <c r="R6513" t="n">
        <v>0</v>
      </c>
      <c r="S6513" t="n">
        <v>0</v>
      </c>
      <c r="T6513" t="n">
        <v>0</v>
      </c>
      <c r="U6513" t="n">
        <v>0</v>
      </c>
      <c r="V6513" s="2" t="inlineStr"/>
    </row>
    <row r="6514" ht="15" customHeight="1">
      <c r="A6514" t="inlineStr">
        <is>
          <t>S 2789-2024</t>
        </is>
      </c>
      <c r="B6514" t="inlineStr">
        <is>
          <t>samrådsanmälan</t>
        </is>
      </c>
      <c r="C6514" t="inlineStr">
        <is>
          <t>Askåterföring</t>
        </is>
      </c>
      <c r="D6514" s="1" t="n">
        <v>45488</v>
      </c>
      <c r="E6514" s="1" t="n">
        <v>46323</v>
      </c>
      <c r="F6514" t="inlineStr">
        <is>
          <t>KALMAR LÄN</t>
        </is>
      </c>
      <c r="G6514" t="inlineStr">
        <is>
          <t>VIMMERBY</t>
        </is>
      </c>
      <c r="I6514" t="n">
        <v>9.9</v>
      </c>
      <c r="J6514" t="n">
        <v>0</v>
      </c>
      <c r="K6514" t="n">
        <v>0</v>
      </c>
      <c r="L6514" t="n">
        <v>0</v>
      </c>
      <c r="M6514" t="n">
        <v>0</v>
      </c>
      <c r="N6514" t="n">
        <v>0</v>
      </c>
      <c r="O6514" t="n">
        <v>0</v>
      </c>
      <c r="P6514" t="n">
        <v>0</v>
      </c>
      <c r="Q6514" t="n">
        <v>0</v>
      </c>
      <c r="R6514" t="n">
        <v>0</v>
      </c>
      <c r="S6514" t="n">
        <v>0</v>
      </c>
      <c r="T6514" t="n">
        <v>0</v>
      </c>
      <c r="U6514" t="n">
        <v>0</v>
      </c>
      <c r="V6514" s="2" t="inlineStr"/>
    </row>
    <row r="6515" ht="15" customHeight="1">
      <c r="A6515" t="inlineStr">
        <is>
          <t>S 7006-2022</t>
        </is>
      </c>
      <c r="B6515" t="inlineStr">
        <is>
          <t>samrådsanmälan</t>
        </is>
      </c>
      <c r="C6515" t="inlineStr">
        <is>
          <t>Annan skogsbruksåtgärd</t>
        </is>
      </c>
      <c r="D6515" s="1" t="n">
        <v>44903</v>
      </c>
      <c r="E6515" s="1" t="n">
        <v>46323</v>
      </c>
      <c r="F6515" t="inlineStr">
        <is>
          <t>KALMAR LÄN</t>
        </is>
      </c>
      <c r="G6515" t="inlineStr">
        <is>
          <t>HÖGSBY</t>
        </is>
      </c>
      <c r="I6515" t="n">
        <v>1.8</v>
      </c>
      <c r="J6515" t="n">
        <v>0</v>
      </c>
      <c r="K6515" t="n">
        <v>0</v>
      </c>
      <c r="L6515" t="n">
        <v>0</v>
      </c>
      <c r="M6515" t="n">
        <v>0</v>
      </c>
      <c r="N6515" t="n">
        <v>0</v>
      </c>
      <c r="O6515" t="n">
        <v>0</v>
      </c>
      <c r="P6515" t="n">
        <v>0</v>
      </c>
      <c r="Q6515" t="n">
        <v>0</v>
      </c>
      <c r="R6515" t="n">
        <v>0</v>
      </c>
      <c r="S6515" t="n">
        <v>0</v>
      </c>
      <c r="T6515" t="n">
        <v>0</v>
      </c>
      <c r="U6515" t="n">
        <v>0</v>
      </c>
      <c r="V6515" s="2" t="inlineStr"/>
    </row>
    <row r="6516" ht="15" customHeight="1">
      <c r="A6516" t="inlineStr">
        <is>
          <t>S 4594-2023</t>
        </is>
      </c>
      <c r="B6516" t="inlineStr">
        <is>
          <t>samrådsanmälan</t>
        </is>
      </c>
      <c r="C6516" t="inlineStr">
        <is>
          <t>Annan skogsbruksåtgärd</t>
        </is>
      </c>
      <c r="D6516" s="1" t="n">
        <v>45287</v>
      </c>
      <c r="E6516" s="1" t="n">
        <v>46323</v>
      </c>
      <c r="F6516" t="inlineStr">
        <is>
          <t>KALMAR LÄN</t>
        </is>
      </c>
      <c r="G6516" t="inlineStr">
        <is>
          <t>EMMABODA</t>
        </is>
      </c>
      <c r="I6516" t="n">
        <v>4.1</v>
      </c>
      <c r="J6516" t="n">
        <v>0</v>
      </c>
      <c r="K6516" t="n">
        <v>0</v>
      </c>
      <c r="L6516" t="n">
        <v>0</v>
      </c>
      <c r="M6516" t="n">
        <v>0</v>
      </c>
      <c r="N6516" t="n">
        <v>0</v>
      </c>
      <c r="O6516" t="n">
        <v>0</v>
      </c>
      <c r="P6516" t="n">
        <v>0</v>
      </c>
      <c r="Q6516" t="n">
        <v>0</v>
      </c>
      <c r="R6516" t="n">
        <v>0</v>
      </c>
      <c r="S6516" t="n">
        <v>0</v>
      </c>
      <c r="T6516" t="n">
        <v>0</v>
      </c>
      <c r="U6516" t="n">
        <v>0</v>
      </c>
      <c r="V6516" s="2" t="inlineStr"/>
    </row>
    <row r="6517" ht="15" customHeight="1">
      <c r="A6517" t="inlineStr">
        <is>
          <t>S 5164-2024</t>
        </is>
      </c>
      <c r="B6517" t="inlineStr">
        <is>
          <t>samrådsanmälan</t>
        </is>
      </c>
      <c r="C6517" t="inlineStr">
        <is>
          <t>Askåterföring</t>
        </is>
      </c>
      <c r="D6517" s="1" t="n">
        <v>45649</v>
      </c>
      <c r="E6517" s="1" t="n">
        <v>46323</v>
      </c>
      <c r="F6517" t="inlineStr">
        <is>
          <t>KALMAR LÄN</t>
        </is>
      </c>
      <c r="G6517" t="inlineStr">
        <is>
          <t>NYBRO</t>
        </is>
      </c>
      <c r="I6517" t="n">
        <v>7.8</v>
      </c>
      <c r="J6517" t="n">
        <v>0</v>
      </c>
      <c r="K6517" t="n">
        <v>0</v>
      </c>
      <c r="L6517" t="n">
        <v>0</v>
      </c>
      <c r="M6517" t="n">
        <v>0</v>
      </c>
      <c r="N6517" t="n">
        <v>0</v>
      </c>
      <c r="O6517" t="n">
        <v>0</v>
      </c>
      <c r="P6517" t="n">
        <v>0</v>
      </c>
      <c r="Q6517" t="n">
        <v>0</v>
      </c>
      <c r="R6517" t="n">
        <v>0</v>
      </c>
      <c r="S6517" t="n">
        <v>0</v>
      </c>
      <c r="T6517" t="n">
        <v>0</v>
      </c>
      <c r="U6517" t="n">
        <v>0</v>
      </c>
      <c r="V6517" s="2" t="inlineStr"/>
    </row>
    <row r="6518" ht="15" customHeight="1">
      <c r="A6518" t="inlineStr">
        <is>
          <t>S 1017-2024</t>
        </is>
      </c>
      <c r="B6518" t="inlineStr">
        <is>
          <t>samrådsanmälan</t>
        </is>
      </c>
      <c r="C6518" t="inlineStr">
        <is>
          <t>Askåterföring</t>
        </is>
      </c>
      <c r="D6518" s="1" t="n">
        <v>45386</v>
      </c>
      <c r="E6518" s="1" t="n">
        <v>46323</v>
      </c>
      <c r="F6518" t="inlineStr">
        <is>
          <t>KALMAR LÄN</t>
        </is>
      </c>
      <c r="G6518" t="inlineStr">
        <is>
          <t>EMMABODA</t>
        </is>
      </c>
      <c r="I6518" t="n">
        <v>70.90000000000001</v>
      </c>
      <c r="J6518" t="n">
        <v>0</v>
      </c>
      <c r="K6518" t="n">
        <v>0</v>
      </c>
      <c r="L6518" t="n">
        <v>0</v>
      </c>
      <c r="M6518" t="n">
        <v>0</v>
      </c>
      <c r="N6518" t="n">
        <v>0</v>
      </c>
      <c r="O6518" t="n">
        <v>0</v>
      </c>
      <c r="P6518" t="n">
        <v>0</v>
      </c>
      <c r="Q6518" t="n">
        <v>0</v>
      </c>
      <c r="R6518" t="n">
        <v>0</v>
      </c>
      <c r="S6518" t="n">
        <v>0</v>
      </c>
      <c r="T6518" t="n">
        <v>0</v>
      </c>
      <c r="U6518" t="n">
        <v>0</v>
      </c>
      <c r="V6518" s="2" t="inlineStr"/>
    </row>
    <row r="6519" ht="15" customHeight="1">
      <c r="A6519" t="inlineStr">
        <is>
          <t>S 1014-2024</t>
        </is>
      </c>
      <c r="B6519" t="inlineStr">
        <is>
          <t>samrådsanmälan</t>
        </is>
      </c>
      <c r="C6519" t="inlineStr">
        <is>
          <t>Askåterföring</t>
        </is>
      </c>
      <c r="D6519" s="1" t="n">
        <v>45386</v>
      </c>
      <c r="E6519" s="1" t="n">
        <v>46323</v>
      </c>
      <c r="F6519" t="inlineStr">
        <is>
          <t>KALMAR LÄN</t>
        </is>
      </c>
      <c r="G6519" t="inlineStr">
        <is>
          <t>EMMABODA</t>
        </is>
      </c>
      <c r="I6519" t="n">
        <v>21.8</v>
      </c>
      <c r="J6519" t="n">
        <v>0</v>
      </c>
      <c r="K6519" t="n">
        <v>0</v>
      </c>
      <c r="L6519" t="n">
        <v>0</v>
      </c>
      <c r="M6519" t="n">
        <v>0</v>
      </c>
      <c r="N6519" t="n">
        <v>0</v>
      </c>
      <c r="O6519" t="n">
        <v>0</v>
      </c>
      <c r="P6519" t="n">
        <v>0</v>
      </c>
      <c r="Q6519" t="n">
        <v>0</v>
      </c>
      <c r="R6519" t="n">
        <v>0</v>
      </c>
      <c r="S6519" t="n">
        <v>0</v>
      </c>
      <c r="T6519" t="n">
        <v>0</v>
      </c>
      <c r="U6519" t="n">
        <v>0</v>
      </c>
      <c r="V6519" s="2" t="inlineStr"/>
    </row>
    <row r="6520" ht="15" customHeight="1">
      <c r="A6520" t="inlineStr">
        <is>
          <t>S 367-2024</t>
        </is>
      </c>
      <c r="B6520" t="inlineStr">
        <is>
          <t>samrådsanmälan</t>
        </is>
      </c>
      <c r="C6520" t="inlineStr">
        <is>
          <t>Askåterföring</t>
        </is>
      </c>
      <c r="D6520" s="1" t="n">
        <v>45330</v>
      </c>
      <c r="E6520" s="1" t="n">
        <v>46323</v>
      </c>
      <c r="F6520" t="inlineStr">
        <is>
          <t>KALMAR LÄN</t>
        </is>
      </c>
      <c r="G6520" t="inlineStr">
        <is>
          <t>TORSÅS</t>
        </is>
      </c>
      <c r="I6520" t="n">
        <v>33.3</v>
      </c>
      <c r="J6520" t="n">
        <v>0</v>
      </c>
      <c r="K6520" t="n">
        <v>0</v>
      </c>
      <c r="L6520" t="n">
        <v>0</v>
      </c>
      <c r="M6520" t="n">
        <v>0</v>
      </c>
      <c r="N6520" t="n">
        <v>0</v>
      </c>
      <c r="O6520" t="n">
        <v>0</v>
      </c>
      <c r="P6520" t="n">
        <v>0</v>
      </c>
      <c r="Q6520" t="n">
        <v>0</v>
      </c>
      <c r="R6520" t="n">
        <v>0</v>
      </c>
      <c r="S6520" t="n">
        <v>0</v>
      </c>
      <c r="T6520" t="n">
        <v>0</v>
      </c>
      <c r="U6520" t="n">
        <v>0</v>
      </c>
      <c r="V6520" s="2" t="inlineStr"/>
    </row>
    <row r="6521" ht="15" customHeight="1">
      <c r="A6521" t="inlineStr">
        <is>
          <t>S 871-2024</t>
        </is>
      </c>
      <c r="B6521" t="inlineStr">
        <is>
          <t>samrådsanmälan</t>
        </is>
      </c>
      <c r="C6521" t="inlineStr">
        <is>
          <t>Askåterföring</t>
        </is>
      </c>
      <c r="D6521" s="1" t="n">
        <v>45373</v>
      </c>
      <c r="E6521" s="1" t="n">
        <v>46323</v>
      </c>
      <c r="F6521" t="inlineStr">
        <is>
          <t>KALMAR LÄN</t>
        </is>
      </c>
      <c r="G6521" t="inlineStr">
        <is>
          <t>TORSÅS</t>
        </is>
      </c>
      <c r="I6521" t="n">
        <v>2.9</v>
      </c>
      <c r="J6521" t="n">
        <v>0</v>
      </c>
      <c r="K6521" t="n">
        <v>0</v>
      </c>
      <c r="L6521" t="n">
        <v>0</v>
      </c>
      <c r="M6521" t="n">
        <v>0</v>
      </c>
      <c r="N6521" t="n">
        <v>0</v>
      </c>
      <c r="O6521" t="n">
        <v>0</v>
      </c>
      <c r="P6521" t="n">
        <v>0</v>
      </c>
      <c r="Q6521" t="n">
        <v>0</v>
      </c>
      <c r="R6521" t="n">
        <v>0</v>
      </c>
      <c r="S6521" t="n">
        <v>0</v>
      </c>
      <c r="T6521" t="n">
        <v>0</v>
      </c>
      <c r="U6521" t="n">
        <v>0</v>
      </c>
      <c r="V6521" s="2" t="inlineStr"/>
    </row>
    <row r="6522" ht="15" customHeight="1">
      <c r="A6522" t="inlineStr">
        <is>
          <t>S 1608-2023</t>
        </is>
      </c>
      <c r="B6522" t="inlineStr">
        <is>
          <t>samrådsanmälan</t>
        </is>
      </c>
      <c r="C6522" t="inlineStr">
        <is>
          <t>Askåterföring</t>
        </is>
      </c>
      <c r="D6522" s="1" t="n">
        <v>45056</v>
      </c>
      <c r="E6522" s="1" t="n">
        <v>46323</v>
      </c>
      <c r="F6522" t="inlineStr">
        <is>
          <t>KALMAR LÄN</t>
        </is>
      </c>
      <c r="G6522" t="inlineStr">
        <is>
          <t>NYBRO</t>
        </is>
      </c>
      <c r="I6522" t="n">
        <v>16.4</v>
      </c>
      <c r="J6522" t="n">
        <v>0</v>
      </c>
      <c r="K6522" t="n">
        <v>0</v>
      </c>
      <c r="L6522" t="n">
        <v>0</v>
      </c>
      <c r="M6522" t="n">
        <v>0</v>
      </c>
      <c r="N6522" t="n">
        <v>0</v>
      </c>
      <c r="O6522" t="n">
        <v>0</v>
      </c>
      <c r="P6522" t="n">
        <v>0</v>
      </c>
      <c r="Q6522" t="n">
        <v>0</v>
      </c>
      <c r="R6522" t="n">
        <v>0</v>
      </c>
      <c r="S6522" t="n">
        <v>0</v>
      </c>
      <c r="T6522" t="n">
        <v>0</v>
      </c>
      <c r="U6522" t="n">
        <v>0</v>
      </c>
      <c r="V6522" s="2" t="inlineStr"/>
    </row>
    <row r="6523" ht="15" customHeight="1">
      <c r="A6523" t="inlineStr">
        <is>
          <t>S 803-2024</t>
        </is>
      </c>
      <c r="B6523" t="inlineStr">
        <is>
          <t>samrådsanmälan</t>
        </is>
      </c>
      <c r="C6523" t="inlineStr">
        <is>
          <t>Annan skogsbruksåtgärd</t>
        </is>
      </c>
      <c r="D6523" s="1" t="n">
        <v>45371</v>
      </c>
      <c r="E6523" s="1" t="n">
        <v>46323</v>
      </c>
      <c r="F6523" t="inlineStr">
        <is>
          <t>KALMAR LÄN</t>
        </is>
      </c>
      <c r="G6523" t="inlineStr">
        <is>
          <t>VÄSTERVIK</t>
        </is>
      </c>
      <c r="H6523" t="inlineStr">
        <is>
          <t>Kommuner</t>
        </is>
      </c>
      <c r="I6523" t="n">
        <v>0</v>
      </c>
      <c r="J6523" t="n">
        <v>0</v>
      </c>
      <c r="K6523" t="n">
        <v>0</v>
      </c>
      <c r="L6523" t="n">
        <v>0</v>
      </c>
      <c r="M6523" t="n">
        <v>0</v>
      </c>
      <c r="N6523" t="n">
        <v>0</v>
      </c>
      <c r="O6523" t="n">
        <v>0</v>
      </c>
      <c r="P6523" t="n">
        <v>0</v>
      </c>
      <c r="Q6523" t="n">
        <v>0</v>
      </c>
      <c r="R6523" t="n">
        <v>0</v>
      </c>
      <c r="S6523" t="n">
        <v>0</v>
      </c>
      <c r="T6523" t="n">
        <v>0</v>
      </c>
      <c r="U6523" t="n">
        <v>0</v>
      </c>
      <c r="V6523" s="2" t="inlineStr"/>
    </row>
    <row r="6524" ht="15" customHeight="1">
      <c r="A6524" t="inlineStr">
        <is>
          <t>S 2584-2024</t>
        </is>
      </c>
      <c r="B6524" t="inlineStr">
        <is>
          <t>samrådsanmälan</t>
        </is>
      </c>
      <c r="C6524" t="inlineStr">
        <is>
          <t>Askåterföring</t>
        </is>
      </c>
      <c r="D6524" s="1" t="n">
        <v>45476</v>
      </c>
      <c r="E6524" s="1" t="n">
        <v>46323</v>
      </c>
      <c r="F6524" t="inlineStr">
        <is>
          <t>KALMAR LÄN</t>
        </is>
      </c>
      <c r="G6524" t="inlineStr">
        <is>
          <t>HULTSFRED</t>
        </is>
      </c>
      <c r="I6524" t="n">
        <v>30.8</v>
      </c>
      <c r="J6524" t="n">
        <v>0</v>
      </c>
      <c r="K6524" t="n">
        <v>0</v>
      </c>
      <c r="L6524" t="n">
        <v>0</v>
      </c>
      <c r="M6524" t="n">
        <v>0</v>
      </c>
      <c r="N6524" t="n">
        <v>0</v>
      </c>
      <c r="O6524" t="n">
        <v>0</v>
      </c>
      <c r="P6524" t="n">
        <v>0</v>
      </c>
      <c r="Q6524" t="n">
        <v>0</v>
      </c>
      <c r="R6524" t="n">
        <v>0</v>
      </c>
      <c r="S6524" t="n">
        <v>0</v>
      </c>
      <c r="T6524" t="n">
        <v>0</v>
      </c>
      <c r="U6524" t="n">
        <v>0</v>
      </c>
      <c r="V6524" s="2" t="inlineStr"/>
    </row>
    <row r="6525" ht="15" customHeight="1">
      <c r="A6525" t="inlineStr">
        <is>
          <t>S 1059-2024</t>
        </is>
      </c>
      <c r="B6525" t="inlineStr">
        <is>
          <t>samrådsanmälan</t>
        </is>
      </c>
      <c r="C6525" t="inlineStr">
        <is>
          <t>Askåterföring</t>
        </is>
      </c>
      <c r="D6525" s="1" t="n">
        <v>45387</v>
      </c>
      <c r="E6525" s="1" t="n">
        <v>46323</v>
      </c>
      <c r="F6525" t="inlineStr">
        <is>
          <t>KALMAR LÄN</t>
        </is>
      </c>
      <c r="G6525" t="inlineStr">
        <is>
          <t>TORSÅS</t>
        </is>
      </c>
      <c r="I6525" t="n">
        <v>11.9</v>
      </c>
      <c r="J6525" t="n">
        <v>0</v>
      </c>
      <c r="K6525" t="n">
        <v>0</v>
      </c>
      <c r="L6525" t="n">
        <v>0</v>
      </c>
      <c r="M6525" t="n">
        <v>0</v>
      </c>
      <c r="N6525" t="n">
        <v>0</v>
      </c>
      <c r="O6525" t="n">
        <v>0</v>
      </c>
      <c r="P6525" t="n">
        <v>0</v>
      </c>
      <c r="Q6525" t="n">
        <v>0</v>
      </c>
      <c r="R6525" t="n">
        <v>0</v>
      </c>
      <c r="S6525" t="n">
        <v>0</v>
      </c>
      <c r="T6525" t="n">
        <v>0</v>
      </c>
      <c r="U6525" t="n">
        <v>0</v>
      </c>
      <c r="V6525" s="2" t="inlineStr"/>
    </row>
    <row r="6526" ht="15" customHeight="1">
      <c r="A6526" t="inlineStr">
        <is>
          <t>S 514-2023</t>
        </is>
      </c>
      <c r="B6526" t="inlineStr">
        <is>
          <t>samrådsanmälan</t>
        </is>
      </c>
      <c r="C6526" t="inlineStr">
        <is>
          <t>Askåterföring</t>
        </is>
      </c>
      <c r="D6526" s="1" t="n">
        <v>44966</v>
      </c>
      <c r="E6526" s="1" t="n">
        <v>46323</v>
      </c>
      <c r="F6526" t="inlineStr">
        <is>
          <t>KALMAR LÄN</t>
        </is>
      </c>
      <c r="G6526" t="inlineStr">
        <is>
          <t>HÖGSBY</t>
        </is>
      </c>
      <c r="I6526" t="n">
        <v>3.6</v>
      </c>
      <c r="J6526" t="n">
        <v>0</v>
      </c>
      <c r="K6526" t="n">
        <v>0</v>
      </c>
      <c r="L6526" t="n">
        <v>0</v>
      </c>
      <c r="M6526" t="n">
        <v>0</v>
      </c>
      <c r="N6526" t="n">
        <v>0</v>
      </c>
      <c r="O6526" t="n">
        <v>0</v>
      </c>
      <c r="P6526" t="n">
        <v>0</v>
      </c>
      <c r="Q6526" t="n">
        <v>0</v>
      </c>
      <c r="R6526" t="n">
        <v>0</v>
      </c>
      <c r="S6526" t="n">
        <v>0</v>
      </c>
      <c r="T6526" t="n">
        <v>0</v>
      </c>
      <c r="U6526" t="n">
        <v>0</v>
      </c>
      <c r="V6526" s="2" t="inlineStr"/>
    </row>
    <row r="6527" ht="15" customHeight="1">
      <c r="A6527" t="inlineStr">
        <is>
          <t>S 4867-2022</t>
        </is>
      </c>
      <c r="B6527" t="inlineStr">
        <is>
          <t>samrådsanmälan</t>
        </is>
      </c>
      <c r="C6527" t="inlineStr">
        <is>
          <t>Skogsbilväg</t>
        </is>
      </c>
      <c r="D6527" s="1" t="n">
        <v>44806</v>
      </c>
      <c r="E6527" s="1" t="n">
        <v>46323</v>
      </c>
      <c r="F6527" t="inlineStr">
        <is>
          <t>KALMAR LÄN</t>
        </is>
      </c>
      <c r="G6527" t="inlineStr">
        <is>
          <t>KALMAR</t>
        </is>
      </c>
      <c r="I6527" t="n">
        <v>1.4</v>
      </c>
      <c r="J6527" t="n">
        <v>0</v>
      </c>
      <c r="K6527" t="n">
        <v>0</v>
      </c>
      <c r="L6527" t="n">
        <v>0</v>
      </c>
      <c r="M6527" t="n">
        <v>0</v>
      </c>
      <c r="N6527" t="n">
        <v>0</v>
      </c>
      <c r="O6527" t="n">
        <v>0</v>
      </c>
      <c r="P6527" t="n">
        <v>0</v>
      </c>
      <c r="Q6527" t="n">
        <v>0</v>
      </c>
      <c r="R6527" t="n">
        <v>0</v>
      </c>
      <c r="S6527" t="n">
        <v>0</v>
      </c>
      <c r="T6527" t="n">
        <v>0</v>
      </c>
      <c r="U6527" t="n">
        <v>0</v>
      </c>
      <c r="V6527" s="2" t="inlineStr"/>
    </row>
    <row r="6528" ht="15" customHeight="1">
      <c r="A6528" t="inlineStr">
        <is>
          <t>S 1018-2024</t>
        </is>
      </c>
      <c r="B6528" t="inlineStr">
        <is>
          <t>samrådsanmälan</t>
        </is>
      </c>
      <c r="C6528" t="inlineStr">
        <is>
          <t>Askåterföring</t>
        </is>
      </c>
      <c r="D6528" s="1" t="n">
        <v>45386</v>
      </c>
      <c r="E6528" s="1" t="n">
        <v>46323</v>
      </c>
      <c r="F6528" t="inlineStr">
        <is>
          <t>KALMAR LÄN</t>
        </is>
      </c>
      <c r="G6528" t="inlineStr">
        <is>
          <t>EMMABODA</t>
        </is>
      </c>
      <c r="I6528" t="n">
        <v>17.9</v>
      </c>
      <c r="J6528" t="n">
        <v>0</v>
      </c>
      <c r="K6528" t="n">
        <v>0</v>
      </c>
      <c r="L6528" t="n">
        <v>0</v>
      </c>
      <c r="M6528" t="n">
        <v>0</v>
      </c>
      <c r="N6528" t="n">
        <v>0</v>
      </c>
      <c r="O6528" t="n">
        <v>0</v>
      </c>
      <c r="P6528" t="n">
        <v>0</v>
      </c>
      <c r="Q6528" t="n">
        <v>0</v>
      </c>
      <c r="R6528" t="n">
        <v>0</v>
      </c>
      <c r="S6528" t="n">
        <v>0</v>
      </c>
      <c r="T6528" t="n">
        <v>0</v>
      </c>
      <c r="U6528" t="n">
        <v>0</v>
      </c>
      <c r="V6528" s="2" t="inlineStr"/>
    </row>
    <row r="6529" ht="15" customHeight="1">
      <c r="A6529" t="inlineStr">
        <is>
          <t>S 2586-2024</t>
        </is>
      </c>
      <c r="B6529" t="inlineStr">
        <is>
          <t>samrådsanmälan</t>
        </is>
      </c>
      <c r="C6529" t="inlineStr">
        <is>
          <t>Askåterföring</t>
        </is>
      </c>
      <c r="D6529" s="1" t="n">
        <v>45476</v>
      </c>
      <c r="E6529" s="1" t="n">
        <v>46323</v>
      </c>
      <c r="F6529" t="inlineStr">
        <is>
          <t>KALMAR LÄN</t>
        </is>
      </c>
      <c r="G6529" t="inlineStr">
        <is>
          <t>HULTSFRED</t>
        </is>
      </c>
      <c r="I6529" t="n">
        <v>18.3</v>
      </c>
      <c r="J6529" t="n">
        <v>0</v>
      </c>
      <c r="K6529" t="n">
        <v>0</v>
      </c>
      <c r="L6529" t="n">
        <v>0</v>
      </c>
      <c r="M6529" t="n">
        <v>0</v>
      </c>
      <c r="N6529" t="n">
        <v>0</v>
      </c>
      <c r="O6529" t="n">
        <v>0</v>
      </c>
      <c r="P6529" t="n">
        <v>0</v>
      </c>
      <c r="Q6529" t="n">
        <v>0</v>
      </c>
      <c r="R6529" t="n">
        <v>0</v>
      </c>
      <c r="S6529" t="n">
        <v>0</v>
      </c>
      <c r="T6529" t="n">
        <v>0</v>
      </c>
      <c r="U6529" t="n">
        <v>0</v>
      </c>
      <c r="V6529" s="2" t="inlineStr"/>
    </row>
    <row r="6530" ht="15" customHeight="1">
      <c r="A6530" t="inlineStr">
        <is>
          <t>S 2442-2023</t>
        </is>
      </c>
      <c r="B6530" t="inlineStr">
        <is>
          <t>samrådsanmälan</t>
        </is>
      </c>
      <c r="C6530" t="inlineStr">
        <is>
          <t>Annan skogsbruksåtgärd</t>
        </is>
      </c>
      <c r="D6530" s="1" t="n">
        <v>45114</v>
      </c>
      <c r="E6530" s="1" t="n">
        <v>46323</v>
      </c>
      <c r="F6530" t="inlineStr">
        <is>
          <t>KALMAR LÄN</t>
        </is>
      </c>
      <c r="G6530" t="inlineStr">
        <is>
          <t>VIMMERBY</t>
        </is>
      </c>
      <c r="I6530" t="n">
        <v>1.6</v>
      </c>
      <c r="J6530" t="n">
        <v>0</v>
      </c>
      <c r="K6530" t="n">
        <v>0</v>
      </c>
      <c r="L6530" t="n">
        <v>0</v>
      </c>
      <c r="M6530" t="n">
        <v>0</v>
      </c>
      <c r="N6530" t="n">
        <v>0</v>
      </c>
      <c r="O6530" t="n">
        <v>0</v>
      </c>
      <c r="P6530" t="n">
        <v>0</v>
      </c>
      <c r="Q6530" t="n">
        <v>0</v>
      </c>
      <c r="R6530" t="n">
        <v>0</v>
      </c>
      <c r="S6530" t="n">
        <v>0</v>
      </c>
      <c r="T6530" t="n">
        <v>0</v>
      </c>
      <c r="U6530" t="n">
        <v>0</v>
      </c>
      <c r="V6530" s="2" t="inlineStr"/>
    </row>
    <row r="6531" ht="15" customHeight="1">
      <c r="A6531" t="inlineStr">
        <is>
          <t>S 512-2023</t>
        </is>
      </c>
      <c r="B6531" t="inlineStr">
        <is>
          <t>samrådsanmälan</t>
        </is>
      </c>
      <c r="C6531" t="inlineStr">
        <is>
          <t>Askåterföring</t>
        </is>
      </c>
      <c r="D6531" s="1" t="n">
        <v>44966</v>
      </c>
      <c r="E6531" s="1" t="n">
        <v>46323</v>
      </c>
      <c r="F6531" t="inlineStr">
        <is>
          <t>KALMAR LÄN</t>
        </is>
      </c>
      <c r="G6531" t="inlineStr">
        <is>
          <t>HÖGSBY</t>
        </is>
      </c>
      <c r="I6531" t="n">
        <v>8.5</v>
      </c>
      <c r="J6531" t="n">
        <v>0</v>
      </c>
      <c r="K6531" t="n">
        <v>0</v>
      </c>
      <c r="L6531" t="n">
        <v>0</v>
      </c>
      <c r="M6531" t="n">
        <v>0</v>
      </c>
      <c r="N6531" t="n">
        <v>0</v>
      </c>
      <c r="O6531" t="n">
        <v>0</v>
      </c>
      <c r="P6531" t="n">
        <v>0</v>
      </c>
      <c r="Q6531" t="n">
        <v>0</v>
      </c>
      <c r="R6531" t="n">
        <v>0</v>
      </c>
      <c r="S6531" t="n">
        <v>0</v>
      </c>
      <c r="T6531" t="n">
        <v>0</v>
      </c>
      <c r="U6531" t="n">
        <v>0</v>
      </c>
      <c r="V6531" s="2" t="inlineStr"/>
    </row>
    <row r="6532" ht="15" customHeight="1">
      <c r="A6532" t="inlineStr">
        <is>
          <t>S 867-2024</t>
        </is>
      </c>
      <c r="B6532" t="inlineStr">
        <is>
          <t>samrådsanmälan</t>
        </is>
      </c>
      <c r="C6532" t="inlineStr">
        <is>
          <t>Askåterföring</t>
        </is>
      </c>
      <c r="D6532" s="1" t="n">
        <v>45373</v>
      </c>
      <c r="E6532" s="1" t="n">
        <v>46323</v>
      </c>
      <c r="F6532" t="inlineStr">
        <is>
          <t>KALMAR LÄN</t>
        </is>
      </c>
      <c r="G6532" t="inlineStr">
        <is>
          <t>TORSÅS</t>
        </is>
      </c>
      <c r="I6532" t="n">
        <v>19.2</v>
      </c>
      <c r="J6532" t="n">
        <v>0</v>
      </c>
      <c r="K6532" t="n">
        <v>0</v>
      </c>
      <c r="L6532" t="n">
        <v>0</v>
      </c>
      <c r="M6532" t="n">
        <v>0</v>
      </c>
      <c r="N6532" t="n">
        <v>0</v>
      </c>
      <c r="O6532" t="n">
        <v>0</v>
      </c>
      <c r="P6532" t="n">
        <v>0</v>
      </c>
      <c r="Q6532" t="n">
        <v>0</v>
      </c>
      <c r="R6532" t="n">
        <v>0</v>
      </c>
      <c r="S6532" t="n">
        <v>0</v>
      </c>
      <c r="T6532" t="n">
        <v>0</v>
      </c>
      <c r="U6532" t="n">
        <v>0</v>
      </c>
      <c r="V6532" s="2" t="inlineStr"/>
    </row>
    <row r="6533" ht="15" customHeight="1">
      <c r="A6533" t="inlineStr">
        <is>
          <t>S 491-2023</t>
        </is>
      </c>
      <c r="B6533" t="inlineStr">
        <is>
          <t>samrådsanmälan</t>
        </is>
      </c>
      <c r="C6533" t="inlineStr">
        <is>
          <t>Askåterföring</t>
        </is>
      </c>
      <c r="D6533" s="1" t="n">
        <v>44965</v>
      </c>
      <c r="E6533" s="1" t="n">
        <v>46323</v>
      </c>
      <c r="F6533" t="inlineStr">
        <is>
          <t>KALMAR LÄN</t>
        </is>
      </c>
      <c r="G6533" t="inlineStr">
        <is>
          <t>KALMAR</t>
        </is>
      </c>
      <c r="I6533" t="n">
        <v>7</v>
      </c>
      <c r="J6533" t="n">
        <v>0</v>
      </c>
      <c r="K6533" t="n">
        <v>0</v>
      </c>
      <c r="L6533" t="n">
        <v>0</v>
      </c>
      <c r="M6533" t="n">
        <v>0</v>
      </c>
      <c r="N6533" t="n">
        <v>0</v>
      </c>
      <c r="O6533" t="n">
        <v>0</v>
      </c>
      <c r="P6533" t="n">
        <v>0</v>
      </c>
      <c r="Q6533" t="n">
        <v>0</v>
      </c>
      <c r="R6533" t="n">
        <v>0</v>
      </c>
      <c r="S6533" t="n">
        <v>0</v>
      </c>
      <c r="T6533" t="n">
        <v>0</v>
      </c>
      <c r="U6533" t="n">
        <v>0</v>
      </c>
      <c r="V6533" s="2" t="inlineStr"/>
    </row>
    <row r="6534" ht="15" customHeight="1">
      <c r="A6534" t="inlineStr">
        <is>
          <t>S 2788-2024</t>
        </is>
      </c>
      <c r="B6534" t="inlineStr">
        <is>
          <t>samrådsanmälan</t>
        </is>
      </c>
      <c r="C6534" t="inlineStr">
        <is>
          <t>Askåterföring</t>
        </is>
      </c>
      <c r="D6534" s="1" t="n">
        <v>45488</v>
      </c>
      <c r="E6534" s="1" t="n">
        <v>46323</v>
      </c>
      <c r="F6534" t="inlineStr">
        <is>
          <t>KALMAR LÄN</t>
        </is>
      </c>
      <c r="G6534" t="inlineStr">
        <is>
          <t>VIMMERBY</t>
        </is>
      </c>
      <c r="I6534" t="n">
        <v>18</v>
      </c>
      <c r="J6534" t="n">
        <v>0</v>
      </c>
      <c r="K6534" t="n">
        <v>0</v>
      </c>
      <c r="L6534" t="n">
        <v>0</v>
      </c>
      <c r="M6534" t="n">
        <v>0</v>
      </c>
      <c r="N6534" t="n">
        <v>0</v>
      </c>
      <c r="O6534" t="n">
        <v>0</v>
      </c>
      <c r="P6534" t="n">
        <v>0</v>
      </c>
      <c r="Q6534" t="n">
        <v>0</v>
      </c>
      <c r="R6534" t="n">
        <v>0</v>
      </c>
      <c r="S6534" t="n">
        <v>0</v>
      </c>
      <c r="T6534" t="n">
        <v>0</v>
      </c>
      <c r="U6534" t="n">
        <v>0</v>
      </c>
      <c r="V6534" s="2" t="inlineStr"/>
    </row>
    <row r="6535" ht="15" customHeight="1">
      <c r="A6535" t="inlineStr">
        <is>
          <t>S 9880-2021</t>
        </is>
      </c>
      <c r="B6535" t="inlineStr">
        <is>
          <t>samrådsanmälan</t>
        </is>
      </c>
      <c r="C6535" t="inlineStr">
        <is>
          <t>Annan skogsbruksåtgärd</t>
        </is>
      </c>
      <c r="D6535" s="1" t="n">
        <v>44531</v>
      </c>
      <c r="E6535" s="1" t="n">
        <v>46323</v>
      </c>
      <c r="F6535" t="inlineStr">
        <is>
          <t>KALMAR LÄN</t>
        </is>
      </c>
      <c r="G6535" t="inlineStr">
        <is>
          <t>KALMAR</t>
        </is>
      </c>
      <c r="I6535" t="n">
        <v>1.6</v>
      </c>
      <c r="J6535" t="n">
        <v>0</v>
      </c>
      <c r="K6535" t="n">
        <v>0</v>
      </c>
      <c r="L6535" t="n">
        <v>0</v>
      </c>
      <c r="M6535" t="n">
        <v>0</v>
      </c>
      <c r="N6535" t="n">
        <v>0</v>
      </c>
      <c r="O6535" t="n">
        <v>0</v>
      </c>
      <c r="P6535" t="n">
        <v>0</v>
      </c>
      <c r="Q6535" t="n">
        <v>0</v>
      </c>
      <c r="R6535" t="n">
        <v>0</v>
      </c>
      <c r="S6535" t="n">
        <v>0</v>
      </c>
      <c r="T6535" t="n">
        <v>0</v>
      </c>
      <c r="U6535" t="n">
        <v>0</v>
      </c>
      <c r="V6535" s="2" t="inlineStr"/>
    </row>
    <row r="6536" ht="15" customHeight="1">
      <c r="A6536" t="inlineStr">
        <is>
          <t>S 3313-2023</t>
        </is>
      </c>
      <c r="B6536" t="inlineStr">
        <is>
          <t>samrådsanmälan</t>
        </is>
      </c>
      <c r="C6536" t="inlineStr">
        <is>
          <t>Annan skogsbruksåtgärd</t>
        </is>
      </c>
      <c r="D6536" s="1" t="n">
        <v>45195</v>
      </c>
      <c r="E6536" s="1" t="n">
        <v>46323</v>
      </c>
      <c r="F6536" t="inlineStr">
        <is>
          <t>KALMAR LÄN</t>
        </is>
      </c>
      <c r="G6536" t="inlineStr">
        <is>
          <t>OSKARSHAMN</t>
        </is>
      </c>
      <c r="I6536" t="n">
        <v>2.5</v>
      </c>
      <c r="J6536" t="n">
        <v>0</v>
      </c>
      <c r="K6536" t="n">
        <v>0</v>
      </c>
      <c r="L6536" t="n">
        <v>0</v>
      </c>
      <c r="M6536" t="n">
        <v>0</v>
      </c>
      <c r="N6536" t="n">
        <v>0</v>
      </c>
      <c r="O6536" t="n">
        <v>0</v>
      </c>
      <c r="P6536" t="n">
        <v>0</v>
      </c>
      <c r="Q6536" t="n">
        <v>0</v>
      </c>
      <c r="R6536" t="n">
        <v>0</v>
      </c>
      <c r="S6536" t="n">
        <v>0</v>
      </c>
      <c r="T6536" t="n">
        <v>0</v>
      </c>
      <c r="U6536" t="n">
        <v>0</v>
      </c>
      <c r="V6536" s="2" t="inlineStr"/>
    </row>
    <row r="6537" ht="15" customHeight="1">
      <c r="A6537" t="inlineStr">
        <is>
          <t>S 1846-2024</t>
        </is>
      </c>
      <c r="B6537" t="inlineStr">
        <is>
          <t>samrådsanmälan</t>
        </is>
      </c>
      <c r="C6537" t="inlineStr">
        <is>
          <t>Askåterföring</t>
        </is>
      </c>
      <c r="D6537" s="1" t="n">
        <v>45440</v>
      </c>
      <c r="E6537" s="1" t="n">
        <v>46323</v>
      </c>
      <c r="F6537" t="inlineStr">
        <is>
          <t>KALMAR LÄN</t>
        </is>
      </c>
      <c r="G6537" t="inlineStr">
        <is>
          <t>TORSÅS</t>
        </is>
      </c>
      <c r="I6537" t="n">
        <v>35.5</v>
      </c>
      <c r="J6537" t="n">
        <v>0</v>
      </c>
      <c r="K6537" t="n">
        <v>0</v>
      </c>
      <c r="L6537" t="n">
        <v>0</v>
      </c>
      <c r="M6537" t="n">
        <v>0</v>
      </c>
      <c r="N6537" t="n">
        <v>0</v>
      </c>
      <c r="O6537" t="n">
        <v>0</v>
      </c>
      <c r="P6537" t="n">
        <v>0</v>
      </c>
      <c r="Q6537" t="n">
        <v>0</v>
      </c>
      <c r="R6537" t="n">
        <v>0</v>
      </c>
      <c r="S6537" t="n">
        <v>0</v>
      </c>
      <c r="T6537" t="n">
        <v>0</v>
      </c>
      <c r="U6537" t="n">
        <v>0</v>
      </c>
      <c r="V6537" s="2" t="inlineStr"/>
    </row>
    <row r="6538" ht="15" customHeight="1">
      <c r="A6538" t="inlineStr">
        <is>
          <t>S 806-2024</t>
        </is>
      </c>
      <c r="B6538" t="inlineStr">
        <is>
          <t>samrådsanmälan</t>
        </is>
      </c>
      <c r="C6538" t="inlineStr">
        <is>
          <t>Annan skogsbruksåtgärd</t>
        </is>
      </c>
      <c r="D6538" s="1" t="n">
        <v>45371</v>
      </c>
      <c r="E6538" s="1" t="n">
        <v>46323</v>
      </c>
      <c r="F6538" t="inlineStr">
        <is>
          <t>KALMAR LÄN</t>
        </is>
      </c>
      <c r="G6538" t="inlineStr">
        <is>
          <t>VÄSTERVIK</t>
        </is>
      </c>
      <c r="H6538" t="inlineStr">
        <is>
          <t>Kommuner</t>
        </is>
      </c>
      <c r="I6538" t="n">
        <v>0</v>
      </c>
      <c r="J6538" t="n">
        <v>0</v>
      </c>
      <c r="K6538" t="n">
        <v>0</v>
      </c>
      <c r="L6538" t="n">
        <v>0</v>
      </c>
      <c r="M6538" t="n">
        <v>0</v>
      </c>
      <c r="N6538" t="n">
        <v>0</v>
      </c>
      <c r="O6538" t="n">
        <v>0</v>
      </c>
      <c r="P6538" t="n">
        <v>0</v>
      </c>
      <c r="Q6538" t="n">
        <v>0</v>
      </c>
      <c r="R6538" t="n">
        <v>0</v>
      </c>
      <c r="S6538" t="n">
        <v>0</v>
      </c>
      <c r="T6538" t="n">
        <v>0</v>
      </c>
      <c r="U6538" t="n">
        <v>0</v>
      </c>
      <c r="V6538" s="2" t="inlineStr"/>
    </row>
    <row r="6539" ht="15" customHeight="1">
      <c r="A6539" t="inlineStr">
        <is>
          <t>S 4704-2022</t>
        </is>
      </c>
      <c r="B6539" t="inlineStr">
        <is>
          <t>samrådsanmälan</t>
        </is>
      </c>
      <c r="C6539" t="inlineStr">
        <is>
          <t>Askåterföring</t>
        </is>
      </c>
      <c r="D6539" s="1" t="n">
        <v>44797</v>
      </c>
      <c r="E6539" s="1" t="n">
        <v>46323</v>
      </c>
      <c r="F6539" t="inlineStr">
        <is>
          <t>KALMAR LÄN</t>
        </is>
      </c>
      <c r="G6539" t="inlineStr">
        <is>
          <t>HULTSFRED</t>
        </is>
      </c>
      <c r="I6539" t="n">
        <v>16.1</v>
      </c>
      <c r="J6539" t="n">
        <v>0</v>
      </c>
      <c r="K6539" t="n">
        <v>0</v>
      </c>
      <c r="L6539" t="n">
        <v>0</v>
      </c>
      <c r="M6539" t="n">
        <v>0</v>
      </c>
      <c r="N6539" t="n">
        <v>0</v>
      </c>
      <c r="O6539" t="n">
        <v>0</v>
      </c>
      <c r="P6539" t="n">
        <v>0</v>
      </c>
      <c r="Q6539" t="n">
        <v>0</v>
      </c>
      <c r="R6539" t="n">
        <v>0</v>
      </c>
      <c r="S6539" t="n">
        <v>0</v>
      </c>
      <c r="T6539" t="n">
        <v>0</v>
      </c>
      <c r="U6539" t="n">
        <v>0</v>
      </c>
      <c r="V6539" s="2" t="inlineStr"/>
    </row>
    <row r="6540" ht="15" customHeight="1">
      <c r="A6540" t="inlineStr">
        <is>
          <t>S 339-2023</t>
        </is>
      </c>
      <c r="B6540" t="inlineStr">
        <is>
          <t>samrådsanmälan</t>
        </is>
      </c>
      <c r="C6540" t="inlineStr">
        <is>
          <t>Askåterföring</t>
        </is>
      </c>
      <c r="D6540" s="1" t="n">
        <v>44957</v>
      </c>
      <c r="E6540" s="1" t="n">
        <v>46323</v>
      </c>
      <c r="F6540" t="inlineStr">
        <is>
          <t>KALMAR LÄN</t>
        </is>
      </c>
      <c r="G6540" t="inlineStr">
        <is>
          <t>KALMAR</t>
        </is>
      </c>
      <c r="I6540" t="n">
        <v>10.8</v>
      </c>
      <c r="J6540" t="n">
        <v>0</v>
      </c>
      <c r="K6540" t="n">
        <v>0</v>
      </c>
      <c r="L6540" t="n">
        <v>0</v>
      </c>
      <c r="M6540" t="n">
        <v>0</v>
      </c>
      <c r="N6540" t="n">
        <v>0</v>
      </c>
      <c r="O6540" t="n">
        <v>0</v>
      </c>
      <c r="P6540" t="n">
        <v>0</v>
      </c>
      <c r="Q6540" t="n">
        <v>0</v>
      </c>
      <c r="R6540" t="n">
        <v>0</v>
      </c>
      <c r="S6540" t="n">
        <v>0</v>
      </c>
      <c r="T6540" t="n">
        <v>0</v>
      </c>
      <c r="U6540" t="n">
        <v>0</v>
      </c>
      <c r="V6540" s="2" t="inlineStr"/>
    </row>
    <row r="6541" ht="15" customHeight="1">
      <c r="A6541" t="inlineStr">
        <is>
          <t>S 2564-2023</t>
        </is>
      </c>
      <c r="B6541" t="inlineStr">
        <is>
          <t>samrådsanmälan</t>
        </is>
      </c>
      <c r="C6541" t="inlineStr">
        <is>
          <t>Askåterföring</t>
        </is>
      </c>
      <c r="D6541" s="1" t="n">
        <v>45140</v>
      </c>
      <c r="E6541" s="1" t="n">
        <v>46323</v>
      </c>
      <c r="F6541" t="inlineStr">
        <is>
          <t>KALMAR LÄN</t>
        </is>
      </c>
      <c r="G6541" t="inlineStr">
        <is>
          <t>HÖGSBY</t>
        </is>
      </c>
      <c r="I6541" t="n">
        <v>3.2</v>
      </c>
      <c r="J6541" t="n">
        <v>0</v>
      </c>
      <c r="K6541" t="n">
        <v>0</v>
      </c>
      <c r="L6541" t="n">
        <v>0</v>
      </c>
      <c r="M6541" t="n">
        <v>0</v>
      </c>
      <c r="N6541" t="n">
        <v>0</v>
      </c>
      <c r="O6541" t="n">
        <v>0</v>
      </c>
      <c r="P6541" t="n">
        <v>0</v>
      </c>
      <c r="Q6541" t="n">
        <v>0</v>
      </c>
      <c r="R6541" t="n">
        <v>0</v>
      </c>
      <c r="S6541" t="n">
        <v>0</v>
      </c>
      <c r="T6541" t="n">
        <v>0</v>
      </c>
      <c r="U6541" t="n">
        <v>0</v>
      </c>
      <c r="V6541" s="2" t="inlineStr"/>
    </row>
    <row r="6542" ht="15" customHeight="1">
      <c r="A6542" t="inlineStr">
        <is>
          <t>S 5057-2024</t>
        </is>
      </c>
      <c r="B6542" t="inlineStr">
        <is>
          <t>samrådsanmälan</t>
        </is>
      </c>
      <c r="C6542" t="inlineStr">
        <is>
          <t>Annan skogsbruksåtgärd</t>
        </is>
      </c>
      <c r="D6542" s="1" t="n">
        <v>45637</v>
      </c>
      <c r="E6542" s="1" t="n">
        <v>46323</v>
      </c>
      <c r="F6542" t="inlineStr">
        <is>
          <t>KALMAR LÄN</t>
        </is>
      </c>
      <c r="G6542" t="inlineStr">
        <is>
          <t>VÄSTERVIK</t>
        </is>
      </c>
      <c r="I6542" t="n">
        <v>1.3</v>
      </c>
      <c r="J6542" t="n">
        <v>0</v>
      </c>
      <c r="K6542" t="n">
        <v>0</v>
      </c>
      <c r="L6542" t="n">
        <v>0</v>
      </c>
      <c r="M6542" t="n">
        <v>0</v>
      </c>
      <c r="N6542" t="n">
        <v>0</v>
      </c>
      <c r="O6542" t="n">
        <v>0</v>
      </c>
      <c r="P6542" t="n">
        <v>0</v>
      </c>
      <c r="Q6542" t="n">
        <v>0</v>
      </c>
      <c r="R6542" t="n">
        <v>0</v>
      </c>
      <c r="S6542" t="n">
        <v>0</v>
      </c>
      <c r="T6542" t="n">
        <v>0</v>
      </c>
      <c r="U6542" t="n">
        <v>0</v>
      </c>
      <c r="V6542" s="2" t="inlineStr"/>
    </row>
    <row r="6543" ht="15" customHeight="1">
      <c r="A6543" t="inlineStr">
        <is>
          <t>S 2745-2024</t>
        </is>
      </c>
      <c r="B6543" t="inlineStr">
        <is>
          <t>samrådsanmälan</t>
        </is>
      </c>
      <c r="C6543" t="inlineStr">
        <is>
          <t>Askåterföring</t>
        </is>
      </c>
      <c r="D6543" s="1" t="n">
        <v>45484</v>
      </c>
      <c r="E6543" s="1" t="n">
        <v>46323</v>
      </c>
      <c r="F6543" t="inlineStr">
        <is>
          <t>KALMAR LÄN</t>
        </is>
      </c>
      <c r="G6543" t="inlineStr">
        <is>
          <t>VIMMERBY</t>
        </is>
      </c>
      <c r="I6543" t="n">
        <v>26.4</v>
      </c>
      <c r="J6543" t="n">
        <v>0</v>
      </c>
      <c r="K6543" t="n">
        <v>0</v>
      </c>
      <c r="L6543" t="n">
        <v>0</v>
      </c>
      <c r="M6543" t="n">
        <v>0</v>
      </c>
      <c r="N6543" t="n">
        <v>0</v>
      </c>
      <c r="O6543" t="n">
        <v>0</v>
      </c>
      <c r="P6543" t="n">
        <v>0</v>
      </c>
      <c r="Q6543" t="n">
        <v>0</v>
      </c>
      <c r="R6543" t="n">
        <v>0</v>
      </c>
      <c r="S6543" t="n">
        <v>0</v>
      </c>
      <c r="T6543" t="n">
        <v>0</v>
      </c>
      <c r="U6543" t="n">
        <v>0</v>
      </c>
      <c r="V6543" s="2" t="inlineStr"/>
    </row>
    <row r="6544" ht="15" customHeight="1">
      <c r="A6544" t="inlineStr">
        <is>
          <t>S 2563-2023</t>
        </is>
      </c>
      <c r="B6544" t="inlineStr">
        <is>
          <t>samrådsanmälan</t>
        </is>
      </c>
      <c r="C6544" t="inlineStr">
        <is>
          <t>Askåterföring</t>
        </is>
      </c>
      <c r="D6544" s="1" t="n">
        <v>45140</v>
      </c>
      <c r="E6544" s="1" t="n">
        <v>46323</v>
      </c>
      <c r="F6544" t="inlineStr">
        <is>
          <t>KALMAR LÄN</t>
        </is>
      </c>
      <c r="G6544" t="inlineStr">
        <is>
          <t>HÖGSBY</t>
        </is>
      </c>
      <c r="I6544" t="n">
        <v>28.7</v>
      </c>
      <c r="J6544" t="n">
        <v>0</v>
      </c>
      <c r="K6544" t="n">
        <v>0</v>
      </c>
      <c r="L6544" t="n">
        <v>0</v>
      </c>
      <c r="M6544" t="n">
        <v>0</v>
      </c>
      <c r="N6544" t="n">
        <v>0</v>
      </c>
      <c r="O6544" t="n">
        <v>0</v>
      </c>
      <c r="P6544" t="n">
        <v>0</v>
      </c>
      <c r="Q6544" t="n">
        <v>0</v>
      </c>
      <c r="R6544" t="n">
        <v>0</v>
      </c>
      <c r="S6544" t="n">
        <v>0</v>
      </c>
      <c r="T6544" t="n">
        <v>0</v>
      </c>
      <c r="U6544" t="n">
        <v>0</v>
      </c>
      <c r="V6544" s="2" t="inlineStr"/>
    </row>
    <row r="6545" ht="15" customHeight="1">
      <c r="A6545" t="inlineStr">
        <is>
          <t>S 5162-2024</t>
        </is>
      </c>
      <c r="B6545" t="inlineStr">
        <is>
          <t>samrådsanmälan</t>
        </is>
      </c>
      <c r="C6545" t="inlineStr">
        <is>
          <t>Askåterföring</t>
        </is>
      </c>
      <c r="D6545" s="1" t="n">
        <v>45649</v>
      </c>
      <c r="E6545" s="1" t="n">
        <v>46323</v>
      </c>
      <c r="F6545" t="inlineStr">
        <is>
          <t>KALMAR LÄN</t>
        </is>
      </c>
      <c r="G6545" t="inlineStr">
        <is>
          <t>NYBRO</t>
        </is>
      </c>
      <c r="I6545" t="n">
        <v>3.2</v>
      </c>
      <c r="J6545" t="n">
        <v>0</v>
      </c>
      <c r="K6545" t="n">
        <v>0</v>
      </c>
      <c r="L6545" t="n">
        <v>0</v>
      </c>
      <c r="M6545" t="n">
        <v>0</v>
      </c>
      <c r="N6545" t="n">
        <v>0</v>
      </c>
      <c r="O6545" t="n">
        <v>0</v>
      </c>
      <c r="P6545" t="n">
        <v>0</v>
      </c>
      <c r="Q6545" t="n">
        <v>0</v>
      </c>
      <c r="R6545" t="n">
        <v>0</v>
      </c>
      <c r="S6545" t="n">
        <v>0</v>
      </c>
      <c r="T6545" t="n">
        <v>0</v>
      </c>
      <c r="U6545" t="n">
        <v>0</v>
      </c>
      <c r="V6545" s="2" t="inlineStr"/>
    </row>
    <row r="6546" ht="15" customHeight="1">
      <c r="A6546" t="inlineStr">
        <is>
          <t>S 2744-2024</t>
        </is>
      </c>
      <c r="B6546" t="inlineStr">
        <is>
          <t>samrådsanmälan</t>
        </is>
      </c>
      <c r="C6546" t="inlineStr">
        <is>
          <t>Askåterföring</t>
        </is>
      </c>
      <c r="D6546" s="1" t="n">
        <v>45484</v>
      </c>
      <c r="E6546" s="1" t="n">
        <v>46323</v>
      </c>
      <c r="F6546" t="inlineStr">
        <is>
          <t>KALMAR LÄN</t>
        </is>
      </c>
      <c r="G6546" t="inlineStr">
        <is>
          <t>VIMMERBY</t>
        </is>
      </c>
      <c r="I6546" t="n">
        <v>14</v>
      </c>
      <c r="J6546" t="n">
        <v>0</v>
      </c>
      <c r="K6546" t="n">
        <v>0</v>
      </c>
      <c r="L6546" t="n">
        <v>0</v>
      </c>
      <c r="M6546" t="n">
        <v>0</v>
      </c>
      <c r="N6546" t="n">
        <v>0</v>
      </c>
      <c r="O6546" t="n">
        <v>0</v>
      </c>
      <c r="P6546" t="n">
        <v>0</v>
      </c>
      <c r="Q6546" t="n">
        <v>0</v>
      </c>
      <c r="R6546" t="n">
        <v>0</v>
      </c>
      <c r="S6546" t="n">
        <v>0</v>
      </c>
      <c r="T6546" t="n">
        <v>0</v>
      </c>
      <c r="U6546" t="n">
        <v>0</v>
      </c>
      <c r="V6546" s="2" t="inlineStr"/>
    </row>
    <row r="6547" ht="15" customHeight="1">
      <c r="A6547" t="inlineStr">
        <is>
          <t>S 515-2024</t>
        </is>
      </c>
      <c r="B6547" t="inlineStr">
        <is>
          <t>samrådsanmälan</t>
        </is>
      </c>
      <c r="C6547" t="inlineStr">
        <is>
          <t>Askåterföring</t>
        </is>
      </c>
      <c r="D6547" s="1" t="n">
        <v>45345</v>
      </c>
      <c r="E6547" s="1" t="n">
        <v>46323</v>
      </c>
      <c r="F6547" t="inlineStr">
        <is>
          <t>KALMAR LÄN</t>
        </is>
      </c>
      <c r="G6547" t="inlineStr">
        <is>
          <t>KALMAR</t>
        </is>
      </c>
      <c r="I6547" t="n">
        <v>8.9</v>
      </c>
      <c r="J6547" t="n">
        <v>0</v>
      </c>
      <c r="K6547" t="n">
        <v>0</v>
      </c>
      <c r="L6547" t="n">
        <v>0</v>
      </c>
      <c r="M6547" t="n">
        <v>0</v>
      </c>
      <c r="N6547" t="n">
        <v>0</v>
      </c>
      <c r="O6547" t="n">
        <v>0</v>
      </c>
      <c r="P6547" t="n">
        <v>0</v>
      </c>
      <c r="Q6547" t="n">
        <v>0</v>
      </c>
      <c r="R6547" t="n">
        <v>0</v>
      </c>
      <c r="S6547" t="n">
        <v>0</v>
      </c>
      <c r="T6547" t="n">
        <v>0</v>
      </c>
      <c r="U6547" t="n">
        <v>0</v>
      </c>
      <c r="V6547" s="2" t="inlineStr"/>
    </row>
    <row r="6548" ht="15" customHeight="1">
      <c r="A6548" t="inlineStr">
        <is>
          <t>S 297-2025</t>
        </is>
      </c>
      <c r="B6548" t="inlineStr">
        <is>
          <t>samrådsanmälan</t>
        </is>
      </c>
      <c r="C6548" t="inlineStr">
        <is>
          <t>Askåterföring</t>
        </is>
      </c>
      <c r="D6548" s="1" t="n">
        <v>45687</v>
      </c>
      <c r="E6548" s="1" t="n">
        <v>46323</v>
      </c>
      <c r="F6548" t="inlineStr">
        <is>
          <t>KALMAR LÄN</t>
        </is>
      </c>
      <c r="G6548" t="inlineStr">
        <is>
          <t>TORSÅS</t>
        </is>
      </c>
      <c r="I6548" t="n">
        <v>31.5</v>
      </c>
      <c r="J6548" t="n">
        <v>0</v>
      </c>
      <c r="K6548" t="n">
        <v>0</v>
      </c>
      <c r="L6548" t="n">
        <v>0</v>
      </c>
      <c r="M6548" t="n">
        <v>0</v>
      </c>
      <c r="N6548" t="n">
        <v>0</v>
      </c>
      <c r="O6548" t="n">
        <v>0</v>
      </c>
      <c r="P6548" t="n">
        <v>0</v>
      </c>
      <c r="Q6548" t="n">
        <v>0</v>
      </c>
      <c r="R6548" t="n">
        <v>0</v>
      </c>
      <c r="S6548" t="n">
        <v>0</v>
      </c>
      <c r="T6548" t="n">
        <v>0</v>
      </c>
      <c r="U6548" t="n">
        <v>0</v>
      </c>
      <c r="V6548" s="2" t="inlineStr"/>
    </row>
    <row r="6549" ht="15" customHeight="1">
      <c r="A6549" t="inlineStr">
        <is>
          <t>S 517-2024</t>
        </is>
      </c>
      <c r="B6549" t="inlineStr">
        <is>
          <t>samrådsanmälan</t>
        </is>
      </c>
      <c r="C6549" t="inlineStr">
        <is>
          <t>Askåterföring</t>
        </is>
      </c>
      <c r="D6549" s="1" t="n">
        <v>45345</v>
      </c>
      <c r="E6549" s="1" t="n">
        <v>46323</v>
      </c>
      <c r="F6549" t="inlineStr">
        <is>
          <t>KALMAR LÄN</t>
        </is>
      </c>
      <c r="G6549" t="inlineStr">
        <is>
          <t>KALMAR</t>
        </is>
      </c>
      <c r="I6549" t="n">
        <v>8</v>
      </c>
      <c r="J6549" t="n">
        <v>0</v>
      </c>
      <c r="K6549" t="n">
        <v>0</v>
      </c>
      <c r="L6549" t="n">
        <v>0</v>
      </c>
      <c r="M6549" t="n">
        <v>0</v>
      </c>
      <c r="N6549" t="n">
        <v>0</v>
      </c>
      <c r="O6549" t="n">
        <v>0</v>
      </c>
      <c r="P6549" t="n">
        <v>0</v>
      </c>
      <c r="Q6549" t="n">
        <v>0</v>
      </c>
      <c r="R6549" t="n">
        <v>0</v>
      </c>
      <c r="S6549" t="n">
        <v>0</v>
      </c>
      <c r="T6549" t="n">
        <v>0</v>
      </c>
      <c r="U6549" t="n">
        <v>0</v>
      </c>
      <c r="V6549" s="2" t="inlineStr"/>
    </row>
    <row r="6550" ht="15" customHeight="1">
      <c r="A6550" t="inlineStr">
        <is>
          <t>S 1848-2024</t>
        </is>
      </c>
      <c r="B6550" t="inlineStr">
        <is>
          <t>samrådsanmälan</t>
        </is>
      </c>
      <c r="C6550" t="inlineStr">
        <is>
          <t>Askåterföring</t>
        </is>
      </c>
      <c r="D6550" s="1" t="n">
        <v>45440</v>
      </c>
      <c r="E6550" s="1" t="n">
        <v>46323</v>
      </c>
      <c r="F6550" t="inlineStr">
        <is>
          <t>KALMAR LÄN</t>
        </is>
      </c>
      <c r="G6550" t="inlineStr">
        <is>
          <t>TORSÅS</t>
        </is>
      </c>
      <c r="I6550" t="n">
        <v>12.8</v>
      </c>
      <c r="J6550" t="n">
        <v>0</v>
      </c>
      <c r="K6550" t="n">
        <v>0</v>
      </c>
      <c r="L6550" t="n">
        <v>0</v>
      </c>
      <c r="M6550" t="n">
        <v>0</v>
      </c>
      <c r="N6550" t="n">
        <v>0</v>
      </c>
      <c r="O6550" t="n">
        <v>0</v>
      </c>
      <c r="P6550" t="n">
        <v>0</v>
      </c>
      <c r="Q6550" t="n">
        <v>0</v>
      </c>
      <c r="R6550" t="n">
        <v>0</v>
      </c>
      <c r="S6550" t="n">
        <v>0</v>
      </c>
      <c r="T6550" t="n">
        <v>0</v>
      </c>
      <c r="U6550" t="n">
        <v>0</v>
      </c>
      <c r="V6550" s="2" t="inlineStr"/>
    </row>
    <row r="6551" ht="15" customHeight="1">
      <c r="A6551" t="inlineStr">
        <is>
          <t>S 672-2024</t>
        </is>
      </c>
      <c r="B6551" t="inlineStr">
        <is>
          <t>samrådsanmälan</t>
        </is>
      </c>
      <c r="C6551" t="inlineStr">
        <is>
          <t>Askåterföring</t>
        </is>
      </c>
      <c r="D6551" s="1" t="n">
        <v>45357</v>
      </c>
      <c r="E6551" s="1" t="n">
        <v>46323</v>
      </c>
      <c r="F6551" t="inlineStr">
        <is>
          <t>KALMAR LÄN</t>
        </is>
      </c>
      <c r="G6551" t="inlineStr">
        <is>
          <t>NYBRO</t>
        </is>
      </c>
      <c r="I6551" t="n">
        <v>41.1</v>
      </c>
      <c r="J6551" t="n">
        <v>0</v>
      </c>
      <c r="K6551" t="n">
        <v>0</v>
      </c>
      <c r="L6551" t="n">
        <v>0</v>
      </c>
      <c r="M6551" t="n">
        <v>0</v>
      </c>
      <c r="N6551" t="n">
        <v>0</v>
      </c>
      <c r="O6551" t="n">
        <v>0</v>
      </c>
      <c r="P6551" t="n">
        <v>0</v>
      </c>
      <c r="Q6551" t="n">
        <v>0</v>
      </c>
      <c r="R6551" t="n">
        <v>0</v>
      </c>
      <c r="S6551" t="n">
        <v>0</v>
      </c>
      <c r="T6551" t="n">
        <v>0</v>
      </c>
      <c r="U6551" t="n">
        <v>0</v>
      </c>
      <c r="V6551" s="2" t="inlineStr"/>
    </row>
    <row r="6552" ht="15" customHeight="1">
      <c r="A6552" t="inlineStr">
        <is>
          <t>S 56-2023</t>
        </is>
      </c>
      <c r="B6552" t="inlineStr">
        <is>
          <t>samrådsanmälan</t>
        </is>
      </c>
      <c r="C6552" t="inlineStr">
        <is>
          <t>Askåterföring</t>
        </is>
      </c>
      <c r="D6552" s="1" t="n">
        <v>44928</v>
      </c>
      <c r="E6552" s="1" t="n">
        <v>46323</v>
      </c>
      <c r="F6552" t="inlineStr">
        <is>
          <t>KALMAR LÄN</t>
        </is>
      </c>
      <c r="G6552" t="inlineStr">
        <is>
          <t>TORSÅS</t>
        </is>
      </c>
      <c r="I6552" t="n">
        <v>7.2</v>
      </c>
      <c r="J6552" t="n">
        <v>0</v>
      </c>
      <c r="K6552" t="n">
        <v>0</v>
      </c>
      <c r="L6552" t="n">
        <v>0</v>
      </c>
      <c r="M6552" t="n">
        <v>0</v>
      </c>
      <c r="N6552" t="n">
        <v>0</v>
      </c>
      <c r="O6552" t="n">
        <v>0</v>
      </c>
      <c r="P6552" t="n">
        <v>0</v>
      </c>
      <c r="Q6552" t="n">
        <v>0</v>
      </c>
      <c r="R6552" t="n">
        <v>0</v>
      </c>
      <c r="S6552" t="n">
        <v>0</v>
      </c>
      <c r="T6552" t="n">
        <v>0</v>
      </c>
      <c r="U6552" t="n">
        <v>0</v>
      </c>
      <c r="V6552" s="2" t="inlineStr"/>
    </row>
    <row r="6553" ht="15" customHeight="1">
      <c r="A6553" t="inlineStr">
        <is>
          <t>S 1028-2024</t>
        </is>
      </c>
      <c r="B6553" t="inlineStr">
        <is>
          <t>samrådsanmälan</t>
        </is>
      </c>
      <c r="C6553" t="inlineStr">
        <is>
          <t>Askåterföring</t>
        </is>
      </c>
      <c r="D6553" s="1" t="n">
        <v>45387</v>
      </c>
      <c r="E6553" s="1" t="n">
        <v>46323</v>
      </c>
      <c r="F6553" t="inlineStr">
        <is>
          <t>KALMAR LÄN</t>
        </is>
      </c>
      <c r="G6553" t="inlineStr">
        <is>
          <t>EMMABODA</t>
        </is>
      </c>
      <c r="I6553" t="n">
        <v>7</v>
      </c>
      <c r="J6553" t="n">
        <v>0</v>
      </c>
      <c r="K6553" t="n">
        <v>0</v>
      </c>
      <c r="L6553" t="n">
        <v>0</v>
      </c>
      <c r="M6553" t="n">
        <v>0</v>
      </c>
      <c r="N6553" t="n">
        <v>0</v>
      </c>
      <c r="O6553" t="n">
        <v>0</v>
      </c>
      <c r="P6553" t="n">
        <v>0</v>
      </c>
      <c r="Q6553" t="n">
        <v>0</v>
      </c>
      <c r="R6553" t="n">
        <v>0</v>
      </c>
      <c r="S6553" t="n">
        <v>0</v>
      </c>
      <c r="T6553" t="n">
        <v>0</v>
      </c>
      <c r="U6553" t="n">
        <v>0</v>
      </c>
      <c r="V6553" s="2" t="inlineStr"/>
    </row>
    <row r="6554" ht="15" customHeight="1">
      <c r="A6554" t="inlineStr">
        <is>
          <t>S 821-2023</t>
        </is>
      </c>
      <c r="B6554" t="inlineStr">
        <is>
          <t>samrådsanmälan</t>
        </is>
      </c>
      <c r="C6554" t="inlineStr">
        <is>
          <t>Annan skogsbruksåtgärd</t>
        </is>
      </c>
      <c r="D6554" s="1" t="n">
        <v>44988</v>
      </c>
      <c r="E6554" s="1" t="n">
        <v>46323</v>
      </c>
      <c r="F6554" t="inlineStr">
        <is>
          <t>KALMAR LÄN</t>
        </is>
      </c>
      <c r="G6554" t="inlineStr">
        <is>
          <t>OSKARSHAMN</t>
        </is>
      </c>
      <c r="I6554" t="n">
        <v>2.8</v>
      </c>
      <c r="J6554" t="n">
        <v>0</v>
      </c>
      <c r="K6554" t="n">
        <v>0</v>
      </c>
      <c r="L6554" t="n">
        <v>0</v>
      </c>
      <c r="M6554" t="n">
        <v>0</v>
      </c>
      <c r="N6554" t="n">
        <v>0</v>
      </c>
      <c r="O6554" t="n">
        <v>0</v>
      </c>
      <c r="P6554" t="n">
        <v>0</v>
      </c>
      <c r="Q6554" t="n">
        <v>0</v>
      </c>
      <c r="R6554" t="n">
        <v>0</v>
      </c>
      <c r="S6554" t="n">
        <v>0</v>
      </c>
      <c r="T6554" t="n">
        <v>0</v>
      </c>
      <c r="U6554" t="n">
        <v>0</v>
      </c>
      <c r="V6554" s="2" t="inlineStr"/>
    </row>
    <row r="6555" ht="15" customHeight="1">
      <c r="A6555" t="inlineStr">
        <is>
          <t>S 2566-2024</t>
        </is>
      </c>
      <c r="B6555" t="inlineStr">
        <is>
          <t>samrådsanmälan</t>
        </is>
      </c>
      <c r="C6555" t="inlineStr">
        <is>
          <t>Annan skogsbruksåtgärd</t>
        </is>
      </c>
      <c r="D6555" s="1" t="n">
        <v>45476</v>
      </c>
      <c r="E6555" s="1" t="n">
        <v>46323</v>
      </c>
      <c r="F6555" t="inlineStr">
        <is>
          <t>KALMAR LÄN</t>
        </is>
      </c>
      <c r="G6555" t="inlineStr">
        <is>
          <t>OSKARSHAMN</t>
        </is>
      </c>
      <c r="I6555" t="n">
        <v>3</v>
      </c>
      <c r="J6555" t="n">
        <v>0</v>
      </c>
      <c r="K6555" t="n">
        <v>0</v>
      </c>
      <c r="L6555" t="n">
        <v>0</v>
      </c>
      <c r="M6555" t="n">
        <v>0</v>
      </c>
      <c r="N6555" t="n">
        <v>0</v>
      </c>
      <c r="O6555" t="n">
        <v>0</v>
      </c>
      <c r="P6555" t="n">
        <v>0</v>
      </c>
      <c r="Q6555" t="n">
        <v>0</v>
      </c>
      <c r="R6555" t="n">
        <v>0</v>
      </c>
      <c r="S6555" t="n">
        <v>0</v>
      </c>
      <c r="T6555" t="n">
        <v>0</v>
      </c>
      <c r="U6555" t="n">
        <v>0</v>
      </c>
      <c r="V6555" s="2" t="inlineStr"/>
    </row>
    <row r="6556" ht="15" customHeight="1">
      <c r="A6556" t="inlineStr">
        <is>
          <t>S 9363-2021</t>
        </is>
      </c>
      <c r="B6556" t="inlineStr">
        <is>
          <t>samrådsanmälan</t>
        </is>
      </c>
      <c r="C6556" t="inlineStr">
        <is>
          <t>Askåterföring</t>
        </is>
      </c>
      <c r="D6556" s="1" t="n">
        <v>44519</v>
      </c>
      <c r="E6556" s="1" t="n">
        <v>46323</v>
      </c>
      <c r="F6556" t="inlineStr">
        <is>
          <t>KALMAR LÄN</t>
        </is>
      </c>
      <c r="G6556" t="inlineStr">
        <is>
          <t>EMMABODA</t>
        </is>
      </c>
      <c r="I6556" t="n">
        <v>9.199999999999999</v>
      </c>
      <c r="J6556" t="n">
        <v>0</v>
      </c>
      <c r="K6556" t="n">
        <v>0</v>
      </c>
      <c r="L6556" t="n">
        <v>0</v>
      </c>
      <c r="M6556" t="n">
        <v>0</v>
      </c>
      <c r="N6556" t="n">
        <v>0</v>
      </c>
      <c r="O6556" t="n">
        <v>0</v>
      </c>
      <c r="P6556" t="n">
        <v>0</v>
      </c>
      <c r="Q6556" t="n">
        <v>0</v>
      </c>
      <c r="R6556" t="n">
        <v>0</v>
      </c>
      <c r="S6556" t="n">
        <v>0</v>
      </c>
      <c r="T6556" t="n">
        <v>0</v>
      </c>
      <c r="U6556" t="n">
        <v>0</v>
      </c>
      <c r="V6556" s="2" t="inlineStr"/>
    </row>
    <row r="6557" ht="15" customHeight="1">
      <c r="A6557" t="inlineStr">
        <is>
          <t>S 3216-2024</t>
        </is>
      </c>
      <c r="B6557" t="inlineStr">
        <is>
          <t>samrådsanmälan</t>
        </is>
      </c>
      <c r="C6557" t="inlineStr">
        <is>
          <t>Annan skogsbruksåtgärd</t>
        </is>
      </c>
      <c r="D6557" s="1" t="n">
        <v>45525</v>
      </c>
      <c r="E6557" s="1" t="n">
        <v>46323</v>
      </c>
      <c r="F6557" t="inlineStr">
        <is>
          <t>KALMAR LÄN</t>
        </is>
      </c>
      <c r="G6557" t="inlineStr">
        <is>
          <t>VÄSTERVIK</t>
        </is>
      </c>
      <c r="H6557" t="inlineStr">
        <is>
          <t>Kommuner</t>
        </is>
      </c>
      <c r="I6557" t="n">
        <v>5.9</v>
      </c>
      <c r="J6557" t="n">
        <v>0</v>
      </c>
      <c r="K6557" t="n">
        <v>0</v>
      </c>
      <c r="L6557" t="n">
        <v>0</v>
      </c>
      <c r="M6557" t="n">
        <v>0</v>
      </c>
      <c r="N6557" t="n">
        <v>0</v>
      </c>
      <c r="O6557" t="n">
        <v>0</v>
      </c>
      <c r="P6557" t="n">
        <v>0</v>
      </c>
      <c r="Q6557" t="n">
        <v>0</v>
      </c>
      <c r="R6557" t="n">
        <v>0</v>
      </c>
      <c r="S6557" t="n">
        <v>0</v>
      </c>
      <c r="T6557" t="n">
        <v>0</v>
      </c>
      <c r="U6557" t="n">
        <v>0</v>
      </c>
      <c r="V6557" s="2" t="inlineStr"/>
    </row>
    <row r="6558" ht="15" customHeight="1">
      <c r="A6558" t="inlineStr">
        <is>
          <t>S 4709-2024</t>
        </is>
      </c>
      <c r="B6558" t="inlineStr">
        <is>
          <t>samrådsanmälan</t>
        </is>
      </c>
      <c r="C6558" t="inlineStr">
        <is>
          <t>Annan skogsbruksåtgärd</t>
        </is>
      </c>
      <c r="D6558" s="1" t="n">
        <v>45604</v>
      </c>
      <c r="E6558" s="1" t="n">
        <v>46323</v>
      </c>
      <c r="F6558" t="inlineStr">
        <is>
          <t>KALMAR LÄN</t>
        </is>
      </c>
      <c r="G6558" t="inlineStr">
        <is>
          <t>VÄSTERVIK</t>
        </is>
      </c>
      <c r="I6558" t="n">
        <v>0.2</v>
      </c>
      <c r="J6558" t="n">
        <v>0</v>
      </c>
      <c r="K6558" t="n">
        <v>0</v>
      </c>
      <c r="L6558" t="n">
        <v>0</v>
      </c>
      <c r="M6558" t="n">
        <v>0</v>
      </c>
      <c r="N6558" t="n">
        <v>0</v>
      </c>
      <c r="O6558" t="n">
        <v>0</v>
      </c>
      <c r="P6558" t="n">
        <v>0</v>
      </c>
      <c r="Q6558" t="n">
        <v>0</v>
      </c>
      <c r="R6558" t="n">
        <v>0</v>
      </c>
      <c r="S6558" t="n">
        <v>0</v>
      </c>
      <c r="T6558" t="n">
        <v>0</v>
      </c>
      <c r="U6558" t="n">
        <v>0</v>
      </c>
      <c r="V6558" s="2" t="inlineStr"/>
    </row>
    <row r="6559" ht="15" customHeight="1">
      <c r="A6559" t="inlineStr">
        <is>
          <t>S 5866-2022</t>
        </is>
      </c>
      <c r="B6559" t="inlineStr">
        <is>
          <t>samrådsanmälan</t>
        </is>
      </c>
      <c r="C6559" t="inlineStr">
        <is>
          <t>Askåterföring</t>
        </is>
      </c>
      <c r="D6559" s="1" t="n">
        <v>44853</v>
      </c>
      <c r="E6559" s="1" t="n">
        <v>46323</v>
      </c>
      <c r="F6559" t="inlineStr">
        <is>
          <t>KALMAR LÄN</t>
        </is>
      </c>
      <c r="G6559" t="inlineStr">
        <is>
          <t>VIMMERBY</t>
        </is>
      </c>
      <c r="I6559" t="n">
        <v>40.8</v>
      </c>
      <c r="J6559" t="n">
        <v>0</v>
      </c>
      <c r="K6559" t="n">
        <v>0</v>
      </c>
      <c r="L6559" t="n">
        <v>0</v>
      </c>
      <c r="M6559" t="n">
        <v>0</v>
      </c>
      <c r="N6559" t="n">
        <v>0</v>
      </c>
      <c r="O6559" t="n">
        <v>0</v>
      </c>
      <c r="P6559" t="n">
        <v>0</v>
      </c>
      <c r="Q6559" t="n">
        <v>0</v>
      </c>
      <c r="R6559" t="n">
        <v>0</v>
      </c>
      <c r="S6559" t="n">
        <v>0</v>
      </c>
      <c r="T6559" t="n">
        <v>0</v>
      </c>
      <c r="U6559" t="n">
        <v>0</v>
      </c>
      <c r="V6559" s="2" t="inlineStr"/>
    </row>
    <row r="6560" ht="15" customHeight="1">
      <c r="A6560" t="inlineStr">
        <is>
          <t>S 1803-2023</t>
        </is>
      </c>
      <c r="B6560" t="inlineStr">
        <is>
          <t>samrådsanmälan</t>
        </is>
      </c>
      <c r="C6560" t="inlineStr">
        <is>
          <t>Askåterföring</t>
        </is>
      </c>
      <c r="D6560" s="1" t="n">
        <v>45071</v>
      </c>
      <c r="E6560" s="1" t="n">
        <v>46323</v>
      </c>
      <c r="F6560" t="inlineStr">
        <is>
          <t>KALMAR LÄN</t>
        </is>
      </c>
      <c r="G6560" t="inlineStr">
        <is>
          <t>HULTSFRED</t>
        </is>
      </c>
      <c r="I6560" t="n">
        <v>20.8</v>
      </c>
      <c r="J6560" t="n">
        <v>0</v>
      </c>
      <c r="K6560" t="n">
        <v>0</v>
      </c>
      <c r="L6560" t="n">
        <v>0</v>
      </c>
      <c r="M6560" t="n">
        <v>0</v>
      </c>
      <c r="N6560" t="n">
        <v>0</v>
      </c>
      <c r="O6560" t="n">
        <v>0</v>
      </c>
      <c r="P6560" t="n">
        <v>0</v>
      </c>
      <c r="Q6560" t="n">
        <v>0</v>
      </c>
      <c r="R6560" t="n">
        <v>0</v>
      </c>
      <c r="S6560" t="n">
        <v>0</v>
      </c>
      <c r="T6560" t="n">
        <v>0</v>
      </c>
      <c r="U6560" t="n">
        <v>0</v>
      </c>
      <c r="V6560" s="2" t="inlineStr"/>
    </row>
    <row r="6561" ht="15" customHeight="1">
      <c r="A6561" t="inlineStr">
        <is>
          <t>S 1947-2023</t>
        </is>
      </c>
      <c r="B6561" t="inlineStr">
        <is>
          <t>samrådsanmälan</t>
        </is>
      </c>
      <c r="C6561" t="inlineStr">
        <is>
          <t>Annan skogsbruksåtgärd</t>
        </is>
      </c>
      <c r="D6561" s="1" t="n">
        <v>45088</v>
      </c>
      <c r="E6561" s="1" t="n">
        <v>46323</v>
      </c>
      <c r="F6561" t="inlineStr">
        <is>
          <t>KALMAR LÄN</t>
        </is>
      </c>
      <c r="G6561" t="inlineStr">
        <is>
          <t>NYBRO</t>
        </is>
      </c>
      <c r="I6561" t="n">
        <v>1.2</v>
      </c>
      <c r="J6561" t="n">
        <v>0</v>
      </c>
      <c r="K6561" t="n">
        <v>0</v>
      </c>
      <c r="L6561" t="n">
        <v>0</v>
      </c>
      <c r="M6561" t="n">
        <v>0</v>
      </c>
      <c r="N6561" t="n">
        <v>0</v>
      </c>
      <c r="O6561" t="n">
        <v>0</v>
      </c>
      <c r="P6561" t="n">
        <v>0</v>
      </c>
      <c r="Q6561" t="n">
        <v>0</v>
      </c>
      <c r="R6561" t="n">
        <v>0</v>
      </c>
      <c r="S6561" t="n">
        <v>0</v>
      </c>
      <c r="T6561" t="n">
        <v>0</v>
      </c>
      <c r="U6561" t="n">
        <v>0</v>
      </c>
      <c r="V6561" s="2" t="inlineStr"/>
    </row>
    <row r="6562" ht="15" customHeight="1">
      <c r="A6562" t="inlineStr">
        <is>
          <t>S 457-2024</t>
        </is>
      </c>
      <c r="B6562" t="inlineStr">
        <is>
          <t>samrådsanmälan</t>
        </is>
      </c>
      <c r="C6562" t="inlineStr">
        <is>
          <t>Annan skogsbruksåtgärd</t>
        </is>
      </c>
      <c r="D6562" s="1" t="n">
        <v>45341</v>
      </c>
      <c r="E6562" s="1" t="n">
        <v>46323</v>
      </c>
      <c r="F6562" t="inlineStr">
        <is>
          <t>KALMAR LÄN</t>
        </is>
      </c>
      <c r="G6562" t="inlineStr">
        <is>
          <t>VÄSTERVIK</t>
        </is>
      </c>
      <c r="I6562" t="n">
        <v>0.1</v>
      </c>
      <c r="J6562" t="n">
        <v>0</v>
      </c>
      <c r="K6562" t="n">
        <v>0</v>
      </c>
      <c r="L6562" t="n">
        <v>0</v>
      </c>
      <c r="M6562" t="n">
        <v>0</v>
      </c>
      <c r="N6562" t="n">
        <v>0</v>
      </c>
      <c r="O6562" t="n">
        <v>0</v>
      </c>
      <c r="P6562" t="n">
        <v>0</v>
      </c>
      <c r="Q6562" t="n">
        <v>0</v>
      </c>
      <c r="R6562" t="n">
        <v>0</v>
      </c>
      <c r="S6562" t="n">
        <v>0</v>
      </c>
      <c r="T6562" t="n">
        <v>0</v>
      </c>
      <c r="U6562" t="n">
        <v>0</v>
      </c>
      <c r="V6562" s="2" t="inlineStr"/>
    </row>
    <row r="6563" ht="15" customHeight="1">
      <c r="A6563" t="inlineStr">
        <is>
          <t>S 3393-2024</t>
        </is>
      </c>
      <c r="B6563" t="inlineStr">
        <is>
          <t>samrådsanmälan</t>
        </is>
      </c>
      <c r="C6563" t="inlineStr">
        <is>
          <t>Askåterföring</t>
        </is>
      </c>
      <c r="D6563" s="1" t="n">
        <v>45534</v>
      </c>
      <c r="E6563" s="1" t="n">
        <v>46323</v>
      </c>
      <c r="F6563" t="inlineStr">
        <is>
          <t>KALMAR LÄN</t>
        </is>
      </c>
      <c r="G6563" t="inlineStr">
        <is>
          <t>EMMABODA</t>
        </is>
      </c>
      <c r="I6563" t="n">
        <v>48.6</v>
      </c>
      <c r="J6563" t="n">
        <v>0</v>
      </c>
      <c r="K6563" t="n">
        <v>0</v>
      </c>
      <c r="L6563" t="n">
        <v>0</v>
      </c>
      <c r="M6563" t="n">
        <v>0</v>
      </c>
      <c r="N6563" t="n">
        <v>0</v>
      </c>
      <c r="O6563" t="n">
        <v>0</v>
      </c>
      <c r="P6563" t="n">
        <v>0</v>
      </c>
      <c r="Q6563" t="n">
        <v>0</v>
      </c>
      <c r="R6563" t="n">
        <v>0</v>
      </c>
      <c r="S6563" t="n">
        <v>0</v>
      </c>
      <c r="T6563" t="n">
        <v>0</v>
      </c>
      <c r="U6563" t="n">
        <v>0</v>
      </c>
      <c r="V6563" s="2" t="inlineStr"/>
    </row>
    <row r="6564" ht="15" customHeight="1">
      <c r="A6564" t="inlineStr">
        <is>
          <t>S 677-2024</t>
        </is>
      </c>
      <c r="B6564" t="inlineStr">
        <is>
          <t>samrådsanmälan</t>
        </is>
      </c>
      <c r="C6564" t="inlineStr">
        <is>
          <t>Askåterföring</t>
        </is>
      </c>
      <c r="D6564" s="1" t="n">
        <v>45357</v>
      </c>
      <c r="E6564" s="1" t="n">
        <v>46323</v>
      </c>
      <c r="F6564" t="inlineStr">
        <is>
          <t>KALMAR LÄN</t>
        </is>
      </c>
      <c r="G6564" t="inlineStr">
        <is>
          <t>OSKARSHAMN</t>
        </is>
      </c>
      <c r="I6564" t="n">
        <v>37.5</v>
      </c>
      <c r="J6564" t="n">
        <v>0</v>
      </c>
      <c r="K6564" t="n">
        <v>0</v>
      </c>
      <c r="L6564" t="n">
        <v>0</v>
      </c>
      <c r="M6564" t="n">
        <v>0</v>
      </c>
      <c r="N6564" t="n">
        <v>0</v>
      </c>
      <c r="O6564" t="n">
        <v>0</v>
      </c>
      <c r="P6564" t="n">
        <v>0</v>
      </c>
      <c r="Q6564" t="n">
        <v>0</v>
      </c>
      <c r="R6564" t="n">
        <v>0</v>
      </c>
      <c r="S6564" t="n">
        <v>0</v>
      </c>
      <c r="T6564" t="n">
        <v>0</v>
      </c>
      <c r="U6564" t="n">
        <v>0</v>
      </c>
      <c r="V6564" s="2" t="inlineStr"/>
    </row>
    <row r="6565" ht="15" customHeight="1">
      <c r="A6565" t="inlineStr">
        <is>
          <t>S 918-2024</t>
        </is>
      </c>
      <c r="B6565" t="inlineStr">
        <is>
          <t>samrådsanmälan</t>
        </is>
      </c>
      <c r="C6565" t="inlineStr">
        <is>
          <t>Askåterföring</t>
        </is>
      </c>
      <c r="D6565" s="1" t="n">
        <v>45377</v>
      </c>
      <c r="E6565" s="1" t="n">
        <v>46323</v>
      </c>
      <c r="F6565" t="inlineStr">
        <is>
          <t>KALMAR LÄN</t>
        </is>
      </c>
      <c r="G6565" t="inlineStr">
        <is>
          <t>EMMABODA</t>
        </is>
      </c>
      <c r="I6565" t="n">
        <v>30.6</v>
      </c>
      <c r="J6565" t="n">
        <v>0</v>
      </c>
      <c r="K6565" t="n">
        <v>0</v>
      </c>
      <c r="L6565" t="n">
        <v>0</v>
      </c>
      <c r="M6565" t="n">
        <v>0</v>
      </c>
      <c r="N6565" t="n">
        <v>0</v>
      </c>
      <c r="O6565" t="n">
        <v>0</v>
      </c>
      <c r="P6565" t="n">
        <v>0</v>
      </c>
      <c r="Q6565" t="n">
        <v>0</v>
      </c>
      <c r="R6565" t="n">
        <v>0</v>
      </c>
      <c r="S6565" t="n">
        <v>0</v>
      </c>
      <c r="T6565" t="n">
        <v>0</v>
      </c>
      <c r="U6565" t="n">
        <v>0</v>
      </c>
      <c r="V6565" s="2" t="inlineStr"/>
    </row>
    <row r="6566" ht="15" customHeight="1">
      <c r="A6566" t="inlineStr">
        <is>
          <t>S 419-2024</t>
        </is>
      </c>
      <c r="B6566" t="inlineStr">
        <is>
          <t>samrådsanmälan</t>
        </is>
      </c>
      <c r="C6566" t="inlineStr">
        <is>
          <t>Annan skogsbruksåtgärd</t>
        </is>
      </c>
      <c r="D6566" s="1" t="n">
        <v>45335</v>
      </c>
      <c r="E6566" s="1" t="n">
        <v>46323</v>
      </c>
      <c r="F6566" t="inlineStr">
        <is>
          <t>KALMAR LÄN</t>
        </is>
      </c>
      <c r="G6566" t="inlineStr">
        <is>
          <t>NYBRO</t>
        </is>
      </c>
      <c r="I6566" t="n">
        <v>3.4</v>
      </c>
      <c r="J6566" t="n">
        <v>0</v>
      </c>
      <c r="K6566" t="n">
        <v>0</v>
      </c>
      <c r="L6566" t="n">
        <v>0</v>
      </c>
      <c r="M6566" t="n">
        <v>0</v>
      </c>
      <c r="N6566" t="n">
        <v>0</v>
      </c>
      <c r="O6566" t="n">
        <v>0</v>
      </c>
      <c r="P6566" t="n">
        <v>0</v>
      </c>
      <c r="Q6566" t="n">
        <v>0</v>
      </c>
      <c r="R6566" t="n">
        <v>0</v>
      </c>
      <c r="S6566" t="n">
        <v>0</v>
      </c>
      <c r="T6566" t="n">
        <v>0</v>
      </c>
      <c r="U6566" t="n">
        <v>0</v>
      </c>
      <c r="V6566" s="2" t="inlineStr"/>
    </row>
    <row r="6567" ht="15" customHeight="1">
      <c r="A6567" t="inlineStr">
        <is>
          <t>S 680-2024</t>
        </is>
      </c>
      <c r="B6567" t="inlineStr">
        <is>
          <t>samrådsanmälan</t>
        </is>
      </c>
      <c r="C6567" t="inlineStr">
        <is>
          <t>Askåterföring</t>
        </is>
      </c>
      <c r="D6567" s="1" t="n">
        <v>45357</v>
      </c>
      <c r="E6567" s="1" t="n">
        <v>46323</v>
      </c>
      <c r="F6567" t="inlineStr">
        <is>
          <t>KALMAR LÄN</t>
        </is>
      </c>
      <c r="G6567" t="inlineStr">
        <is>
          <t>OSKARSHAMN</t>
        </is>
      </c>
      <c r="I6567" t="n">
        <v>47.2</v>
      </c>
      <c r="J6567" t="n">
        <v>0</v>
      </c>
      <c r="K6567" t="n">
        <v>0</v>
      </c>
      <c r="L6567" t="n">
        <v>0</v>
      </c>
      <c r="M6567" t="n">
        <v>0</v>
      </c>
      <c r="N6567" t="n">
        <v>0</v>
      </c>
      <c r="O6567" t="n">
        <v>0</v>
      </c>
      <c r="P6567" t="n">
        <v>0</v>
      </c>
      <c r="Q6567" t="n">
        <v>0</v>
      </c>
      <c r="R6567" t="n">
        <v>0</v>
      </c>
      <c r="S6567" t="n">
        <v>0</v>
      </c>
      <c r="T6567" t="n">
        <v>0</v>
      </c>
      <c r="U6567" t="n">
        <v>0</v>
      </c>
      <c r="V6567" s="2" t="inlineStr"/>
    </row>
    <row r="6568" ht="15" customHeight="1">
      <c r="A6568" t="inlineStr">
        <is>
          <t>S 66-2023</t>
        </is>
      </c>
      <c r="B6568" t="inlineStr">
        <is>
          <t>samrådsanmälan</t>
        </is>
      </c>
      <c r="C6568" t="inlineStr">
        <is>
          <t>Askåterföring</t>
        </is>
      </c>
      <c r="D6568" s="1" t="n">
        <v>44928</v>
      </c>
      <c r="E6568" s="1" t="n">
        <v>46323</v>
      </c>
      <c r="F6568" t="inlineStr">
        <is>
          <t>KALMAR LÄN</t>
        </is>
      </c>
      <c r="G6568" t="inlineStr">
        <is>
          <t>EMMABODA</t>
        </is>
      </c>
      <c r="I6568" t="n">
        <v>29</v>
      </c>
      <c r="J6568" t="n">
        <v>0</v>
      </c>
      <c r="K6568" t="n">
        <v>0</v>
      </c>
      <c r="L6568" t="n">
        <v>0</v>
      </c>
      <c r="M6568" t="n">
        <v>0</v>
      </c>
      <c r="N6568" t="n">
        <v>0</v>
      </c>
      <c r="O6568" t="n">
        <v>0</v>
      </c>
      <c r="P6568" t="n">
        <v>0</v>
      </c>
      <c r="Q6568" t="n">
        <v>0</v>
      </c>
      <c r="R6568" t="n">
        <v>0</v>
      </c>
      <c r="S6568" t="n">
        <v>0</v>
      </c>
      <c r="T6568" t="n">
        <v>0</v>
      </c>
      <c r="U6568" t="n">
        <v>0</v>
      </c>
      <c r="V6568" s="2" t="inlineStr"/>
    </row>
    <row r="6569" ht="15" customHeight="1">
      <c r="A6569" t="inlineStr">
        <is>
          <t>S 3896-2023</t>
        </is>
      </c>
      <c r="B6569" t="inlineStr">
        <is>
          <t>samrådsanmälan</t>
        </is>
      </c>
      <c r="C6569" t="inlineStr">
        <is>
          <t>Askåterföring</t>
        </is>
      </c>
      <c r="D6569" s="1" t="n">
        <v>45231</v>
      </c>
      <c r="E6569" s="1" t="n">
        <v>46323</v>
      </c>
      <c r="F6569" t="inlineStr">
        <is>
          <t>KALMAR LÄN</t>
        </is>
      </c>
      <c r="G6569" t="inlineStr">
        <is>
          <t>NYBRO</t>
        </is>
      </c>
      <c r="I6569" t="n">
        <v>5.1</v>
      </c>
      <c r="J6569" t="n">
        <v>0</v>
      </c>
      <c r="K6569" t="n">
        <v>0</v>
      </c>
      <c r="L6569" t="n">
        <v>0</v>
      </c>
      <c r="M6569" t="n">
        <v>0</v>
      </c>
      <c r="N6569" t="n">
        <v>0</v>
      </c>
      <c r="O6569" t="n">
        <v>0</v>
      </c>
      <c r="P6569" t="n">
        <v>0</v>
      </c>
      <c r="Q6569" t="n">
        <v>0</v>
      </c>
      <c r="R6569" t="n">
        <v>0</v>
      </c>
      <c r="S6569" t="n">
        <v>0</v>
      </c>
      <c r="T6569" t="n">
        <v>0</v>
      </c>
      <c r="U6569" t="n">
        <v>0</v>
      </c>
      <c r="V6569" s="2" t="inlineStr"/>
    </row>
    <row r="6570" ht="15" customHeight="1">
      <c r="A6570" t="inlineStr">
        <is>
          <t>S 598-2023</t>
        </is>
      </c>
      <c r="B6570" t="inlineStr">
        <is>
          <t>samrådsanmälan</t>
        </is>
      </c>
      <c r="C6570" t="inlineStr">
        <is>
          <t>Askåterföring</t>
        </is>
      </c>
      <c r="D6570" s="1" t="n">
        <v>44971</v>
      </c>
      <c r="E6570" s="1" t="n">
        <v>46323</v>
      </c>
      <c r="F6570" t="inlineStr">
        <is>
          <t>KALMAR LÄN</t>
        </is>
      </c>
      <c r="G6570" t="inlineStr">
        <is>
          <t>TORSÅS</t>
        </is>
      </c>
      <c r="I6570" t="n">
        <v>7.3</v>
      </c>
      <c r="J6570" t="n">
        <v>0</v>
      </c>
      <c r="K6570" t="n">
        <v>0</v>
      </c>
      <c r="L6570" t="n">
        <v>0</v>
      </c>
      <c r="M6570" t="n">
        <v>0</v>
      </c>
      <c r="N6570" t="n">
        <v>0</v>
      </c>
      <c r="O6570" t="n">
        <v>0</v>
      </c>
      <c r="P6570" t="n">
        <v>0</v>
      </c>
      <c r="Q6570" t="n">
        <v>0</v>
      </c>
      <c r="R6570" t="n">
        <v>0</v>
      </c>
      <c r="S6570" t="n">
        <v>0</v>
      </c>
      <c r="T6570" t="n">
        <v>0</v>
      </c>
      <c r="U6570" t="n">
        <v>0</v>
      </c>
      <c r="V6570" s="2" t="inlineStr"/>
    </row>
    <row r="6571" ht="15" customHeight="1">
      <c r="A6571" t="inlineStr">
        <is>
          <t>S 1847-2024</t>
        </is>
      </c>
      <c r="B6571" t="inlineStr">
        <is>
          <t>samrådsanmälan</t>
        </is>
      </c>
      <c r="C6571" t="inlineStr">
        <is>
          <t>Askåterföring</t>
        </is>
      </c>
      <c r="D6571" s="1" t="n">
        <v>45440</v>
      </c>
      <c r="E6571" s="1" t="n">
        <v>46323</v>
      </c>
      <c r="F6571" t="inlineStr">
        <is>
          <t>KALMAR LÄN</t>
        </is>
      </c>
      <c r="G6571" t="inlineStr">
        <is>
          <t>TORSÅS</t>
        </is>
      </c>
      <c r="I6571" t="n">
        <v>10.5</v>
      </c>
      <c r="J6571" t="n">
        <v>0</v>
      </c>
      <c r="K6571" t="n">
        <v>0</v>
      </c>
      <c r="L6571" t="n">
        <v>0</v>
      </c>
      <c r="M6571" t="n">
        <v>0</v>
      </c>
      <c r="N6571" t="n">
        <v>0</v>
      </c>
      <c r="O6571" t="n">
        <v>0</v>
      </c>
      <c r="P6571" t="n">
        <v>0</v>
      </c>
      <c r="Q6571" t="n">
        <v>0</v>
      </c>
      <c r="R6571" t="n">
        <v>0</v>
      </c>
      <c r="S6571" t="n">
        <v>0</v>
      </c>
      <c r="T6571" t="n">
        <v>0</v>
      </c>
      <c r="U6571" t="n">
        <v>0</v>
      </c>
      <c r="V6571" s="2" t="inlineStr"/>
    </row>
    <row r="6572" ht="15" customHeight="1">
      <c r="A6572" t="inlineStr">
        <is>
          <t>S 5035-2024</t>
        </is>
      </c>
      <c r="B6572" t="inlineStr">
        <is>
          <t>samrådsanmälan</t>
        </is>
      </c>
      <c r="C6572" t="inlineStr">
        <is>
          <t>Stubbskörd</t>
        </is>
      </c>
      <c r="D6572" s="1" t="n">
        <v>45636</v>
      </c>
      <c r="E6572" s="1" t="n">
        <v>46323</v>
      </c>
      <c r="F6572" t="inlineStr">
        <is>
          <t>KALMAR LÄN</t>
        </is>
      </c>
      <c r="G6572" t="inlineStr">
        <is>
          <t>HÖGSBY</t>
        </is>
      </c>
      <c r="I6572" t="n">
        <v>14.2</v>
      </c>
      <c r="J6572" t="n">
        <v>0</v>
      </c>
      <c r="K6572" t="n">
        <v>0</v>
      </c>
      <c r="L6572" t="n">
        <v>0</v>
      </c>
      <c r="M6572" t="n">
        <v>0</v>
      </c>
      <c r="N6572" t="n">
        <v>0</v>
      </c>
      <c r="O6572" t="n">
        <v>0</v>
      </c>
      <c r="P6572" t="n">
        <v>0</v>
      </c>
      <c r="Q6572" t="n">
        <v>0</v>
      </c>
      <c r="R6572" t="n">
        <v>0</v>
      </c>
      <c r="S6572" t="n">
        <v>0</v>
      </c>
      <c r="T6572" t="n">
        <v>0</v>
      </c>
      <c r="U6572" t="n">
        <v>0</v>
      </c>
      <c r="V6572" s="2" t="inlineStr"/>
    </row>
    <row r="6573" ht="15" customHeight="1">
      <c r="A6573" t="inlineStr">
        <is>
          <t>S 1498-2024</t>
        </is>
      </c>
      <c r="B6573" t="inlineStr">
        <is>
          <t>samrådsanmälan</t>
        </is>
      </c>
      <c r="C6573" t="inlineStr">
        <is>
          <t>Annan skogsbruksåtgärd</t>
        </is>
      </c>
      <c r="D6573" s="1" t="n">
        <v>45422</v>
      </c>
      <c r="E6573" s="1" t="n">
        <v>46323</v>
      </c>
      <c r="F6573" t="inlineStr">
        <is>
          <t>KALMAR LÄN</t>
        </is>
      </c>
      <c r="G6573" t="inlineStr">
        <is>
          <t>VÄSTERVIK</t>
        </is>
      </c>
      <c r="H6573" t="inlineStr">
        <is>
          <t>Kommuner</t>
        </is>
      </c>
      <c r="I6573" t="n">
        <v>1.1</v>
      </c>
      <c r="J6573" t="n">
        <v>0</v>
      </c>
      <c r="K6573" t="n">
        <v>0</v>
      </c>
      <c r="L6573" t="n">
        <v>0</v>
      </c>
      <c r="M6573" t="n">
        <v>0</v>
      </c>
      <c r="N6573" t="n">
        <v>0</v>
      </c>
      <c r="O6573" t="n">
        <v>0</v>
      </c>
      <c r="P6573" t="n">
        <v>0</v>
      </c>
      <c r="Q6573" t="n">
        <v>0</v>
      </c>
      <c r="R6573" t="n">
        <v>0</v>
      </c>
      <c r="S6573" t="n">
        <v>0</v>
      </c>
      <c r="T6573" t="n">
        <v>0</v>
      </c>
      <c r="U6573" t="n">
        <v>0</v>
      </c>
      <c r="V6573" s="2" t="inlineStr"/>
    </row>
    <row r="6574" ht="15" customHeight="1">
      <c r="A6574" t="inlineStr">
        <is>
          <t>S 275-2025</t>
        </is>
      </c>
      <c r="B6574" t="inlineStr">
        <is>
          <t>samrådsanmälan</t>
        </is>
      </c>
      <c r="C6574" t="inlineStr">
        <is>
          <t>Askåterföring</t>
        </is>
      </c>
      <c r="D6574" s="1" t="n">
        <v>45685</v>
      </c>
      <c r="E6574" s="1" t="n">
        <v>46323</v>
      </c>
      <c r="F6574" t="inlineStr">
        <is>
          <t>KALMAR LÄN</t>
        </is>
      </c>
      <c r="G6574" t="inlineStr">
        <is>
          <t>KALMAR</t>
        </is>
      </c>
      <c r="I6574" t="n">
        <v>31.2</v>
      </c>
      <c r="J6574" t="n">
        <v>0</v>
      </c>
      <c r="K6574" t="n">
        <v>0</v>
      </c>
      <c r="L6574" t="n">
        <v>0</v>
      </c>
      <c r="M6574" t="n">
        <v>0</v>
      </c>
      <c r="N6574" t="n">
        <v>0</v>
      </c>
      <c r="O6574" t="n">
        <v>0</v>
      </c>
      <c r="P6574" t="n">
        <v>0</v>
      </c>
      <c r="Q6574" t="n">
        <v>0</v>
      </c>
      <c r="R6574" t="n">
        <v>0</v>
      </c>
      <c r="S6574" t="n">
        <v>0</v>
      </c>
      <c r="T6574" t="n">
        <v>0</v>
      </c>
      <c r="U6574" t="n">
        <v>0</v>
      </c>
      <c r="V6574" s="2" t="inlineStr"/>
    </row>
    <row r="6575" ht="15" customHeight="1">
      <c r="A6575" t="inlineStr">
        <is>
          <t>S 921-2024</t>
        </is>
      </c>
      <c r="B6575" t="inlineStr">
        <is>
          <t>samrådsanmälan</t>
        </is>
      </c>
      <c r="C6575" t="inlineStr">
        <is>
          <t>Askåterföring</t>
        </is>
      </c>
      <c r="D6575" s="1" t="n">
        <v>45377</v>
      </c>
      <c r="E6575" s="1" t="n">
        <v>46323</v>
      </c>
      <c r="F6575" t="inlineStr">
        <is>
          <t>KALMAR LÄN</t>
        </is>
      </c>
      <c r="G6575" t="inlineStr">
        <is>
          <t>EMMABODA</t>
        </is>
      </c>
      <c r="I6575" t="n">
        <v>15.6</v>
      </c>
      <c r="J6575" t="n">
        <v>0</v>
      </c>
      <c r="K6575" t="n">
        <v>0</v>
      </c>
      <c r="L6575" t="n">
        <v>0</v>
      </c>
      <c r="M6575" t="n">
        <v>0</v>
      </c>
      <c r="N6575" t="n">
        <v>0</v>
      </c>
      <c r="O6575" t="n">
        <v>0</v>
      </c>
      <c r="P6575" t="n">
        <v>0</v>
      </c>
      <c r="Q6575" t="n">
        <v>0</v>
      </c>
      <c r="R6575" t="n">
        <v>0</v>
      </c>
      <c r="S6575" t="n">
        <v>0</v>
      </c>
      <c r="T6575" t="n">
        <v>0</v>
      </c>
      <c r="U6575" t="n">
        <v>0</v>
      </c>
      <c r="V6575" s="2" t="inlineStr"/>
    </row>
    <row r="6576" ht="15" customHeight="1">
      <c r="A6576" t="inlineStr">
        <is>
          <t>S 2471-2024</t>
        </is>
      </c>
      <c r="B6576" t="inlineStr">
        <is>
          <t>samrådsanmälan</t>
        </is>
      </c>
      <c r="C6576" t="inlineStr">
        <is>
          <t>Askåterföring</t>
        </is>
      </c>
      <c r="D6576" s="1" t="n">
        <v>45470</v>
      </c>
      <c r="E6576" s="1" t="n">
        <v>46323</v>
      </c>
      <c r="F6576" t="inlineStr">
        <is>
          <t>KALMAR LÄN</t>
        </is>
      </c>
      <c r="G6576" t="inlineStr">
        <is>
          <t>OSKARSHAMN</t>
        </is>
      </c>
      <c r="I6576" t="n">
        <v>34.4</v>
      </c>
      <c r="J6576" t="n">
        <v>0</v>
      </c>
      <c r="K6576" t="n">
        <v>0</v>
      </c>
      <c r="L6576" t="n">
        <v>0</v>
      </c>
      <c r="M6576" t="n">
        <v>0</v>
      </c>
      <c r="N6576" t="n">
        <v>0</v>
      </c>
      <c r="O6576" t="n">
        <v>0</v>
      </c>
      <c r="P6576" t="n">
        <v>0</v>
      </c>
      <c r="Q6576" t="n">
        <v>0</v>
      </c>
      <c r="R6576" t="n">
        <v>0</v>
      </c>
      <c r="S6576" t="n">
        <v>0</v>
      </c>
      <c r="T6576" t="n">
        <v>0</v>
      </c>
      <c r="U6576" t="n">
        <v>0</v>
      </c>
      <c r="V6576" s="2" t="inlineStr"/>
    </row>
    <row r="6577" ht="15" customHeight="1">
      <c r="A6577" t="inlineStr">
        <is>
          <t>S 9386-2021</t>
        </is>
      </c>
      <c r="B6577" t="inlineStr">
        <is>
          <t>samrådsanmälan</t>
        </is>
      </c>
      <c r="C6577" t="inlineStr">
        <is>
          <t>Askåterföring</t>
        </is>
      </c>
      <c r="D6577" s="1" t="n">
        <v>44519</v>
      </c>
      <c r="E6577" s="1" t="n">
        <v>46323</v>
      </c>
      <c r="F6577" t="inlineStr">
        <is>
          <t>KALMAR LÄN</t>
        </is>
      </c>
      <c r="G6577" t="inlineStr">
        <is>
          <t>EMMABODA</t>
        </is>
      </c>
      <c r="I6577" t="n">
        <v>18.7</v>
      </c>
      <c r="J6577" t="n">
        <v>0</v>
      </c>
      <c r="K6577" t="n">
        <v>0</v>
      </c>
      <c r="L6577" t="n">
        <v>0</v>
      </c>
      <c r="M6577" t="n">
        <v>0</v>
      </c>
      <c r="N6577" t="n">
        <v>0</v>
      </c>
      <c r="O6577" t="n">
        <v>0</v>
      </c>
      <c r="P6577" t="n">
        <v>0</v>
      </c>
      <c r="Q6577" t="n">
        <v>0</v>
      </c>
      <c r="R6577" t="n">
        <v>0</v>
      </c>
      <c r="S6577" t="n">
        <v>0</v>
      </c>
      <c r="T6577" t="n">
        <v>0</v>
      </c>
      <c r="U6577" t="n">
        <v>0</v>
      </c>
      <c r="V6577" s="2" t="inlineStr"/>
    </row>
    <row r="6578" ht="15" customHeight="1">
      <c r="A6578" t="inlineStr">
        <is>
          <t>S 3325-2023</t>
        </is>
      </c>
      <c r="B6578" t="inlineStr">
        <is>
          <t>samrådsanmälan</t>
        </is>
      </c>
      <c r="C6578" t="inlineStr">
        <is>
          <t>Annan skogsbruksåtgärd</t>
        </is>
      </c>
      <c r="D6578" s="1" t="n">
        <v>45200</v>
      </c>
      <c r="E6578" s="1" t="n">
        <v>46323</v>
      </c>
      <c r="F6578" t="inlineStr">
        <is>
          <t>KALMAR LÄN</t>
        </is>
      </c>
      <c r="G6578" t="inlineStr">
        <is>
          <t>EMMABODA</t>
        </is>
      </c>
      <c r="I6578" t="n">
        <v>0.4</v>
      </c>
      <c r="J6578" t="n">
        <v>0</v>
      </c>
      <c r="K6578" t="n">
        <v>0</v>
      </c>
      <c r="L6578" t="n">
        <v>0</v>
      </c>
      <c r="M6578" t="n">
        <v>0</v>
      </c>
      <c r="N6578" t="n">
        <v>0</v>
      </c>
      <c r="O6578" t="n">
        <v>0</v>
      </c>
      <c r="P6578" t="n">
        <v>0</v>
      </c>
      <c r="Q6578" t="n">
        <v>0</v>
      </c>
      <c r="R6578" t="n">
        <v>0</v>
      </c>
      <c r="S6578" t="n">
        <v>0</v>
      </c>
      <c r="T6578" t="n">
        <v>0</v>
      </c>
      <c r="U6578" t="n">
        <v>0</v>
      </c>
      <c r="V6578" s="2" t="inlineStr"/>
    </row>
    <row r="6579" ht="15" customHeight="1">
      <c r="A6579" t="inlineStr">
        <is>
          <t>S 6949-2022</t>
        </is>
      </c>
      <c r="B6579" t="inlineStr">
        <is>
          <t>samrådsanmälan</t>
        </is>
      </c>
      <c r="C6579" t="inlineStr">
        <is>
          <t>Askåterföring</t>
        </is>
      </c>
      <c r="D6579" s="1" t="n">
        <v>44900</v>
      </c>
      <c r="E6579" s="1" t="n">
        <v>46323</v>
      </c>
      <c r="F6579" t="inlineStr">
        <is>
          <t>KALMAR LÄN</t>
        </is>
      </c>
      <c r="G6579" t="inlineStr">
        <is>
          <t>EMMABODA</t>
        </is>
      </c>
      <c r="I6579" t="n">
        <v>11.9</v>
      </c>
      <c r="J6579" t="n">
        <v>0</v>
      </c>
      <c r="K6579" t="n">
        <v>0</v>
      </c>
      <c r="L6579" t="n">
        <v>0</v>
      </c>
      <c r="M6579" t="n">
        <v>0</v>
      </c>
      <c r="N6579" t="n">
        <v>0</v>
      </c>
      <c r="O6579" t="n">
        <v>0</v>
      </c>
      <c r="P6579" t="n">
        <v>0</v>
      </c>
      <c r="Q6579" t="n">
        <v>0</v>
      </c>
      <c r="R6579" t="n">
        <v>0</v>
      </c>
      <c r="S6579" t="n">
        <v>0</v>
      </c>
      <c r="T6579" t="n">
        <v>0</v>
      </c>
      <c r="U6579" t="n">
        <v>0</v>
      </c>
      <c r="V6579" s="2" t="inlineStr"/>
    </row>
    <row r="6580" ht="15" customHeight="1">
      <c r="A6580" t="inlineStr">
        <is>
          <t>S 4363-2024</t>
        </is>
      </c>
      <c r="B6580" t="inlineStr">
        <is>
          <t>samrådsanmälan</t>
        </is>
      </c>
      <c r="C6580" t="inlineStr">
        <is>
          <t>Annan skogsbruksåtgärd</t>
        </is>
      </c>
      <c r="D6580" s="1" t="n">
        <v>45587</v>
      </c>
      <c r="E6580" s="1" t="n">
        <v>46323</v>
      </c>
      <c r="F6580" t="inlineStr">
        <is>
          <t>KALMAR LÄN</t>
        </is>
      </c>
      <c r="G6580" t="inlineStr">
        <is>
          <t>VÄSTERVIK</t>
        </is>
      </c>
      <c r="I6580" t="n">
        <v>0.6</v>
      </c>
      <c r="J6580" t="n">
        <v>0</v>
      </c>
      <c r="K6580" t="n">
        <v>0</v>
      </c>
      <c r="L6580" t="n">
        <v>0</v>
      </c>
      <c r="M6580" t="n">
        <v>0</v>
      </c>
      <c r="N6580" t="n">
        <v>0</v>
      </c>
      <c r="O6580" t="n">
        <v>0</v>
      </c>
      <c r="P6580" t="n">
        <v>0</v>
      </c>
      <c r="Q6580" t="n">
        <v>0</v>
      </c>
      <c r="R6580" t="n">
        <v>0</v>
      </c>
      <c r="S6580" t="n">
        <v>0</v>
      </c>
      <c r="T6580" t="n">
        <v>0</v>
      </c>
      <c r="U6580" t="n">
        <v>0</v>
      </c>
      <c r="V6580" s="2" t="inlineStr"/>
    </row>
    <row r="6581" ht="15" customHeight="1">
      <c r="A6581" t="inlineStr">
        <is>
          <t>S 361-2024</t>
        </is>
      </c>
      <c r="B6581" t="inlineStr">
        <is>
          <t>samrådsanmälan</t>
        </is>
      </c>
      <c r="C6581" t="inlineStr">
        <is>
          <t>Askåterföring</t>
        </is>
      </c>
      <c r="D6581" s="1" t="n">
        <v>45330</v>
      </c>
      <c r="E6581" s="1" t="n">
        <v>46323</v>
      </c>
      <c r="F6581" t="inlineStr">
        <is>
          <t>KALMAR LÄN</t>
        </is>
      </c>
      <c r="G6581" t="inlineStr">
        <is>
          <t>EMMABODA</t>
        </is>
      </c>
      <c r="I6581" t="n">
        <v>8.4</v>
      </c>
      <c r="J6581" t="n">
        <v>0</v>
      </c>
      <c r="K6581" t="n">
        <v>0</v>
      </c>
      <c r="L6581" t="n">
        <v>0</v>
      </c>
      <c r="M6581" t="n">
        <v>0</v>
      </c>
      <c r="N6581" t="n">
        <v>0</v>
      </c>
      <c r="O6581" t="n">
        <v>0</v>
      </c>
      <c r="P6581" t="n">
        <v>0</v>
      </c>
      <c r="Q6581" t="n">
        <v>0</v>
      </c>
      <c r="R6581" t="n">
        <v>0</v>
      </c>
      <c r="S6581" t="n">
        <v>0</v>
      </c>
      <c r="T6581" t="n">
        <v>0</v>
      </c>
      <c r="U6581" t="n">
        <v>0</v>
      </c>
      <c r="V6581" s="2" t="inlineStr"/>
    </row>
    <row r="6582" ht="15" customHeight="1">
      <c r="A6582" t="inlineStr">
        <is>
          <t>S 443-2023</t>
        </is>
      </c>
      <c r="B6582" t="inlineStr">
        <is>
          <t>samrådsanmälan</t>
        </is>
      </c>
      <c r="C6582" t="inlineStr">
        <is>
          <t>Askåterföring</t>
        </is>
      </c>
      <c r="D6582" s="1" t="n">
        <v>44963</v>
      </c>
      <c r="E6582" s="1" t="n">
        <v>46323</v>
      </c>
      <c r="F6582" t="inlineStr">
        <is>
          <t>KALMAR LÄN</t>
        </is>
      </c>
      <c r="G6582" t="inlineStr">
        <is>
          <t>MÖNSTERÅS</t>
        </is>
      </c>
      <c r="I6582" t="n">
        <v>18.3</v>
      </c>
      <c r="J6582" t="n">
        <v>0</v>
      </c>
      <c r="K6582" t="n">
        <v>0</v>
      </c>
      <c r="L6582" t="n">
        <v>0</v>
      </c>
      <c r="M6582" t="n">
        <v>0</v>
      </c>
      <c r="N6582" t="n">
        <v>0</v>
      </c>
      <c r="O6582" t="n">
        <v>0</v>
      </c>
      <c r="P6582" t="n">
        <v>0</v>
      </c>
      <c r="Q6582" t="n">
        <v>0</v>
      </c>
      <c r="R6582" t="n">
        <v>0</v>
      </c>
      <c r="S6582" t="n">
        <v>0</v>
      </c>
      <c r="T6582" t="n">
        <v>0</v>
      </c>
      <c r="U6582" t="n">
        <v>0</v>
      </c>
      <c r="V6582" s="2" t="inlineStr"/>
    </row>
    <row r="6583" ht="15" customHeight="1">
      <c r="A6583" t="inlineStr">
        <is>
          <t>S 712-2023</t>
        </is>
      </c>
      <c r="B6583" t="inlineStr">
        <is>
          <t>samrådsanmälan</t>
        </is>
      </c>
      <c r="C6583" t="inlineStr">
        <is>
          <t>Askåterföring</t>
        </is>
      </c>
      <c r="D6583" s="1" t="n">
        <v>44979</v>
      </c>
      <c r="E6583" s="1" t="n">
        <v>46323</v>
      </c>
      <c r="F6583" t="inlineStr">
        <is>
          <t>KALMAR LÄN</t>
        </is>
      </c>
      <c r="G6583" t="inlineStr">
        <is>
          <t>OSKARSHAMN</t>
        </is>
      </c>
      <c r="I6583" t="n">
        <v>24.6</v>
      </c>
      <c r="J6583" t="n">
        <v>0</v>
      </c>
      <c r="K6583" t="n">
        <v>0</v>
      </c>
      <c r="L6583" t="n">
        <v>0</v>
      </c>
      <c r="M6583" t="n">
        <v>0</v>
      </c>
      <c r="N6583" t="n">
        <v>0</v>
      </c>
      <c r="O6583" t="n">
        <v>0</v>
      </c>
      <c r="P6583" t="n">
        <v>0</v>
      </c>
      <c r="Q6583" t="n">
        <v>0</v>
      </c>
      <c r="R6583" t="n">
        <v>0</v>
      </c>
      <c r="S6583" t="n">
        <v>0</v>
      </c>
      <c r="T6583" t="n">
        <v>0</v>
      </c>
      <c r="U6583" t="n">
        <v>0</v>
      </c>
      <c r="V6583" s="2" t="inlineStr"/>
    </row>
    <row r="6584" ht="15" customHeight="1">
      <c r="A6584" t="inlineStr">
        <is>
          <t>S 673-2024</t>
        </is>
      </c>
      <c r="B6584" t="inlineStr">
        <is>
          <t>samrådsanmälan</t>
        </is>
      </c>
      <c r="C6584" t="inlineStr">
        <is>
          <t>Askåterföring</t>
        </is>
      </c>
      <c r="D6584" s="1" t="n">
        <v>45358</v>
      </c>
      <c r="E6584" s="1" t="n">
        <v>46323</v>
      </c>
      <c r="F6584" t="inlineStr">
        <is>
          <t>KALMAR LÄN</t>
        </is>
      </c>
      <c r="G6584" t="inlineStr">
        <is>
          <t>KALMAR</t>
        </is>
      </c>
      <c r="I6584" t="n">
        <v>36.7</v>
      </c>
      <c r="J6584" t="n">
        <v>0</v>
      </c>
      <c r="K6584" t="n">
        <v>0</v>
      </c>
      <c r="L6584" t="n">
        <v>0</v>
      </c>
      <c r="M6584" t="n">
        <v>0</v>
      </c>
      <c r="N6584" t="n">
        <v>0</v>
      </c>
      <c r="O6584" t="n">
        <v>0</v>
      </c>
      <c r="P6584" t="n">
        <v>0</v>
      </c>
      <c r="Q6584" t="n">
        <v>0</v>
      </c>
      <c r="R6584" t="n">
        <v>0</v>
      </c>
      <c r="S6584" t="n">
        <v>0</v>
      </c>
      <c r="T6584" t="n">
        <v>0</v>
      </c>
      <c r="U6584" t="n">
        <v>0</v>
      </c>
      <c r="V6584" s="2" t="inlineStr"/>
    </row>
    <row r="6585" ht="15" customHeight="1">
      <c r="A6585" t="inlineStr">
        <is>
          <t>S 388-2023</t>
        </is>
      </c>
      <c r="B6585" t="inlineStr">
        <is>
          <t>samrådsanmälan</t>
        </is>
      </c>
      <c r="C6585" t="inlineStr">
        <is>
          <t>Askåterföring</t>
        </is>
      </c>
      <c r="D6585" s="1" t="n">
        <v>44959</v>
      </c>
      <c r="E6585" s="1" t="n">
        <v>46323</v>
      </c>
      <c r="F6585" t="inlineStr">
        <is>
          <t>KALMAR LÄN</t>
        </is>
      </c>
      <c r="G6585" t="inlineStr">
        <is>
          <t>EMMABODA</t>
        </is>
      </c>
      <c r="I6585" t="n">
        <v>13.7</v>
      </c>
      <c r="J6585" t="n">
        <v>0</v>
      </c>
      <c r="K6585" t="n">
        <v>0</v>
      </c>
      <c r="L6585" t="n">
        <v>0</v>
      </c>
      <c r="M6585" t="n">
        <v>0</v>
      </c>
      <c r="N6585" t="n">
        <v>0</v>
      </c>
      <c r="O6585" t="n">
        <v>0</v>
      </c>
      <c r="P6585" t="n">
        <v>0</v>
      </c>
      <c r="Q6585" t="n">
        <v>0</v>
      </c>
      <c r="R6585" t="n">
        <v>0</v>
      </c>
      <c r="S6585" t="n">
        <v>0</v>
      </c>
      <c r="T6585" t="n">
        <v>0</v>
      </c>
      <c r="U6585" t="n">
        <v>0</v>
      </c>
      <c r="V6585" s="2" t="inlineStr"/>
    </row>
    <row r="6586" ht="15" customHeight="1">
      <c r="A6586" t="inlineStr">
        <is>
          <t>S 4041-2024</t>
        </is>
      </c>
      <c r="B6586" t="inlineStr">
        <is>
          <t>samrådsanmälan</t>
        </is>
      </c>
      <c r="C6586" t="inlineStr">
        <is>
          <t>Askåterföring</t>
        </is>
      </c>
      <c r="D6586" s="1" t="n">
        <v>45572</v>
      </c>
      <c r="E6586" s="1" t="n">
        <v>46323</v>
      </c>
      <c r="F6586" t="inlineStr">
        <is>
          <t>KALMAR LÄN</t>
        </is>
      </c>
      <c r="G6586" t="inlineStr">
        <is>
          <t>NYBRO</t>
        </is>
      </c>
      <c r="I6586" t="n">
        <v>1.4</v>
      </c>
      <c r="J6586" t="n">
        <v>0</v>
      </c>
      <c r="K6586" t="n">
        <v>0</v>
      </c>
      <c r="L6586" t="n">
        <v>0</v>
      </c>
      <c r="M6586" t="n">
        <v>0</v>
      </c>
      <c r="N6586" t="n">
        <v>0</v>
      </c>
      <c r="O6586" t="n">
        <v>0</v>
      </c>
      <c r="P6586" t="n">
        <v>0</v>
      </c>
      <c r="Q6586" t="n">
        <v>0</v>
      </c>
      <c r="R6586" t="n">
        <v>0</v>
      </c>
      <c r="S6586" t="n">
        <v>0</v>
      </c>
      <c r="T6586" t="n">
        <v>0</v>
      </c>
      <c r="U6586" t="n">
        <v>0</v>
      </c>
      <c r="V6586" s="2" t="inlineStr"/>
    </row>
    <row r="6587" ht="15" customHeight="1">
      <c r="A6587" t="inlineStr">
        <is>
          <t>S 387-2024</t>
        </is>
      </c>
      <c r="B6587" t="inlineStr">
        <is>
          <t>samrådsanmälan</t>
        </is>
      </c>
      <c r="C6587" t="inlineStr">
        <is>
          <t>Annan skogsbruksåtgärd</t>
        </is>
      </c>
      <c r="D6587" s="1" t="n">
        <v>45332</v>
      </c>
      <c r="E6587" s="1" t="n">
        <v>46323</v>
      </c>
      <c r="F6587" t="inlineStr">
        <is>
          <t>KALMAR LÄN</t>
        </is>
      </c>
      <c r="G6587" t="inlineStr">
        <is>
          <t>VÄSTERVIK</t>
        </is>
      </c>
      <c r="I6587" t="n">
        <v>0</v>
      </c>
      <c r="J6587" t="n">
        <v>0</v>
      </c>
      <c r="K6587" t="n">
        <v>0</v>
      </c>
      <c r="L6587" t="n">
        <v>0</v>
      </c>
      <c r="M6587" t="n">
        <v>0</v>
      </c>
      <c r="N6587" t="n">
        <v>0</v>
      </c>
      <c r="O6587" t="n">
        <v>0</v>
      </c>
      <c r="P6587" t="n">
        <v>0</v>
      </c>
      <c r="Q6587" t="n">
        <v>0</v>
      </c>
      <c r="R6587" t="n">
        <v>0</v>
      </c>
      <c r="S6587" t="n">
        <v>0</v>
      </c>
      <c r="T6587" t="n">
        <v>0</v>
      </c>
      <c r="U6587" t="n">
        <v>0</v>
      </c>
      <c r="V6587" s="2" t="inlineStr"/>
    </row>
    <row r="6588" ht="15" customHeight="1">
      <c r="A6588" t="inlineStr">
        <is>
          <t>S 315-2023</t>
        </is>
      </c>
      <c r="B6588" t="inlineStr">
        <is>
          <t>samrådsanmälan</t>
        </is>
      </c>
      <c r="C6588" t="inlineStr">
        <is>
          <t>Askåterföring</t>
        </is>
      </c>
      <c r="D6588" s="1" t="n">
        <v>44957</v>
      </c>
      <c r="E6588" s="1" t="n">
        <v>46323</v>
      </c>
      <c r="F6588" t="inlineStr">
        <is>
          <t>KALMAR LÄN</t>
        </is>
      </c>
      <c r="G6588" t="inlineStr">
        <is>
          <t>KALMAR</t>
        </is>
      </c>
      <c r="I6588" t="n">
        <v>11.7</v>
      </c>
      <c r="J6588" t="n">
        <v>0</v>
      </c>
      <c r="K6588" t="n">
        <v>0</v>
      </c>
      <c r="L6588" t="n">
        <v>0</v>
      </c>
      <c r="M6588" t="n">
        <v>0</v>
      </c>
      <c r="N6588" t="n">
        <v>0</v>
      </c>
      <c r="O6588" t="n">
        <v>0</v>
      </c>
      <c r="P6588" t="n">
        <v>0</v>
      </c>
      <c r="Q6588" t="n">
        <v>0</v>
      </c>
      <c r="R6588" t="n">
        <v>0</v>
      </c>
      <c r="S6588" t="n">
        <v>0</v>
      </c>
      <c r="T6588" t="n">
        <v>0</v>
      </c>
      <c r="U6588" t="n">
        <v>0</v>
      </c>
      <c r="V6588" s="2" t="inlineStr"/>
    </row>
    <row r="6589" ht="15" customHeight="1">
      <c r="A6589" t="inlineStr">
        <is>
          <t>S 3731-2023</t>
        </is>
      </c>
      <c r="B6589" t="inlineStr">
        <is>
          <t>samrådsanmälan</t>
        </is>
      </c>
      <c r="C6589" t="inlineStr">
        <is>
          <t>Annan skogsbruksåtgärd</t>
        </is>
      </c>
      <c r="D6589" s="1" t="n">
        <v>45222</v>
      </c>
      <c r="E6589" s="1" t="n">
        <v>46323</v>
      </c>
      <c r="F6589" t="inlineStr">
        <is>
          <t>KALMAR LÄN</t>
        </is>
      </c>
      <c r="G6589" t="inlineStr">
        <is>
          <t>VÄSTERVIK</t>
        </is>
      </c>
      <c r="I6589" t="n">
        <v>0.2</v>
      </c>
      <c r="J6589" t="n">
        <v>0</v>
      </c>
      <c r="K6589" t="n">
        <v>0</v>
      </c>
      <c r="L6589" t="n">
        <v>0</v>
      </c>
      <c r="M6589" t="n">
        <v>0</v>
      </c>
      <c r="N6589" t="n">
        <v>0</v>
      </c>
      <c r="O6589" t="n">
        <v>0</v>
      </c>
      <c r="P6589" t="n">
        <v>0</v>
      </c>
      <c r="Q6589" t="n">
        <v>0</v>
      </c>
      <c r="R6589" t="n">
        <v>0</v>
      </c>
      <c r="S6589" t="n">
        <v>0</v>
      </c>
      <c r="T6589" t="n">
        <v>0</v>
      </c>
      <c r="U6589" t="n">
        <v>0</v>
      </c>
      <c r="V6589" s="2" t="inlineStr"/>
    </row>
    <row r="6590" ht="15" customHeight="1">
      <c r="A6590" t="inlineStr">
        <is>
          <t>S 4860-2024</t>
        </is>
      </c>
      <c r="B6590" t="inlineStr">
        <is>
          <t>samrådsanmälan</t>
        </is>
      </c>
      <c r="C6590" t="inlineStr">
        <is>
          <t>Askåterföring</t>
        </is>
      </c>
      <c r="D6590" s="1" t="n">
        <v>45617</v>
      </c>
      <c r="E6590" s="1" t="n">
        <v>46323</v>
      </c>
      <c r="F6590" t="inlineStr">
        <is>
          <t>KALMAR LÄN</t>
        </is>
      </c>
      <c r="G6590" t="inlineStr">
        <is>
          <t>MÖNSTERÅS</t>
        </is>
      </c>
      <c r="I6590" t="n">
        <v>13.6</v>
      </c>
      <c r="J6590" t="n">
        <v>0</v>
      </c>
      <c r="K6590" t="n">
        <v>0</v>
      </c>
      <c r="L6590" t="n">
        <v>0</v>
      </c>
      <c r="M6590" t="n">
        <v>0</v>
      </c>
      <c r="N6590" t="n">
        <v>0</v>
      </c>
      <c r="O6590" t="n">
        <v>0</v>
      </c>
      <c r="P6590" t="n">
        <v>0</v>
      </c>
      <c r="Q6590" t="n">
        <v>0</v>
      </c>
      <c r="R6590" t="n">
        <v>0</v>
      </c>
      <c r="S6590" t="n">
        <v>0</v>
      </c>
      <c r="T6590" t="n">
        <v>0</v>
      </c>
      <c r="U6590" t="n">
        <v>0</v>
      </c>
      <c r="V6590" s="2" t="inlineStr"/>
    </row>
    <row r="6591" ht="15" customHeight="1">
      <c r="A6591" t="inlineStr">
        <is>
          <t>S 1610-2023</t>
        </is>
      </c>
      <c r="B6591" t="inlineStr">
        <is>
          <t>samrådsanmälan</t>
        </is>
      </c>
      <c r="C6591" t="inlineStr">
        <is>
          <t>Annan skogsbruksåtgärd</t>
        </is>
      </c>
      <c r="D6591" s="1" t="n">
        <v>45056</v>
      </c>
      <c r="E6591" s="1" t="n">
        <v>46323</v>
      </c>
      <c r="F6591" t="inlineStr">
        <is>
          <t>KALMAR LÄN</t>
        </is>
      </c>
      <c r="G6591" t="inlineStr">
        <is>
          <t>NYBRO</t>
        </is>
      </c>
      <c r="I6591" t="n">
        <v>2</v>
      </c>
      <c r="J6591" t="n">
        <v>0</v>
      </c>
      <c r="K6591" t="n">
        <v>0</v>
      </c>
      <c r="L6591" t="n">
        <v>0</v>
      </c>
      <c r="M6591" t="n">
        <v>0</v>
      </c>
      <c r="N6591" t="n">
        <v>0</v>
      </c>
      <c r="O6591" t="n">
        <v>0</v>
      </c>
      <c r="P6591" t="n">
        <v>0</v>
      </c>
      <c r="Q6591" t="n">
        <v>0</v>
      </c>
      <c r="R6591" t="n">
        <v>0</v>
      </c>
      <c r="S6591" t="n">
        <v>0</v>
      </c>
      <c r="T6591" t="n">
        <v>0</v>
      </c>
      <c r="U6591" t="n">
        <v>0</v>
      </c>
      <c r="V6591" s="2" t="inlineStr"/>
    </row>
    <row r="6592" ht="15" customHeight="1">
      <c r="A6592" t="inlineStr">
        <is>
          <t>S 2571-2024</t>
        </is>
      </c>
      <c r="B6592" t="inlineStr">
        <is>
          <t>samrådsanmälan</t>
        </is>
      </c>
      <c r="C6592" t="inlineStr">
        <is>
          <t>Askåterföring</t>
        </is>
      </c>
      <c r="D6592" s="1" t="n">
        <v>45476</v>
      </c>
      <c r="E6592" s="1" t="n">
        <v>46323</v>
      </c>
      <c r="F6592" t="inlineStr">
        <is>
          <t>KALMAR LÄN</t>
        </is>
      </c>
      <c r="G6592" t="inlineStr">
        <is>
          <t>HULTSFRED</t>
        </is>
      </c>
      <c r="I6592" t="n">
        <v>10.3</v>
      </c>
      <c r="J6592" t="n">
        <v>0</v>
      </c>
      <c r="K6592" t="n">
        <v>0</v>
      </c>
      <c r="L6592" t="n">
        <v>0</v>
      </c>
      <c r="M6592" t="n">
        <v>0</v>
      </c>
      <c r="N6592" t="n">
        <v>0</v>
      </c>
      <c r="O6592" t="n">
        <v>0</v>
      </c>
      <c r="P6592" t="n">
        <v>0</v>
      </c>
      <c r="Q6592" t="n">
        <v>0</v>
      </c>
      <c r="R6592" t="n">
        <v>0</v>
      </c>
      <c r="S6592" t="n">
        <v>0</v>
      </c>
      <c r="T6592" t="n">
        <v>0</v>
      </c>
      <c r="U6592" t="n">
        <v>0</v>
      </c>
      <c r="V6592" s="2" t="inlineStr"/>
    </row>
    <row r="6593" ht="15" customHeight="1">
      <c r="A6593" t="inlineStr">
        <is>
          <t>S 919-2024</t>
        </is>
      </c>
      <c r="B6593" t="inlineStr">
        <is>
          <t>samrådsanmälan</t>
        </is>
      </c>
      <c r="C6593" t="inlineStr">
        <is>
          <t>Askåterföring</t>
        </is>
      </c>
      <c r="D6593" s="1" t="n">
        <v>45348</v>
      </c>
      <c r="E6593" s="1" t="n">
        <v>46323</v>
      </c>
      <c r="F6593" t="inlineStr">
        <is>
          <t>KALMAR LÄN</t>
        </is>
      </c>
      <c r="G6593" t="inlineStr">
        <is>
          <t>EMMABODA</t>
        </is>
      </c>
      <c r="I6593" t="n">
        <v>12.3</v>
      </c>
      <c r="J6593" t="n">
        <v>0</v>
      </c>
      <c r="K6593" t="n">
        <v>0</v>
      </c>
      <c r="L6593" t="n">
        <v>0</v>
      </c>
      <c r="M6593" t="n">
        <v>0</v>
      </c>
      <c r="N6593" t="n">
        <v>0</v>
      </c>
      <c r="O6593" t="n">
        <v>0</v>
      </c>
      <c r="P6593" t="n">
        <v>0</v>
      </c>
      <c r="Q6593" t="n">
        <v>0</v>
      </c>
      <c r="R6593" t="n">
        <v>0</v>
      </c>
      <c r="S6593" t="n">
        <v>0</v>
      </c>
      <c r="T6593" t="n">
        <v>0</v>
      </c>
      <c r="U6593" t="n">
        <v>0</v>
      </c>
      <c r="V6593" s="2" t="inlineStr"/>
    </row>
    <row r="6594" ht="15" customHeight="1">
      <c r="A6594" t="inlineStr">
        <is>
          <t>S 1076-2025</t>
        </is>
      </c>
      <c r="B6594" t="inlineStr">
        <is>
          <t>samrådsanmälan</t>
        </is>
      </c>
      <c r="C6594" t="inlineStr">
        <is>
          <t>Askåterföring</t>
        </is>
      </c>
      <c r="D6594" s="1" t="n">
        <v>45750</v>
      </c>
      <c r="E6594" s="1" t="n">
        <v>46323</v>
      </c>
      <c r="F6594" t="inlineStr">
        <is>
          <t>KALMAR LÄN</t>
        </is>
      </c>
      <c r="G6594" t="inlineStr">
        <is>
          <t>NYBRO</t>
        </is>
      </c>
      <c r="I6594" t="n">
        <v>5.1</v>
      </c>
      <c r="J6594" t="n">
        <v>0</v>
      </c>
      <c r="K6594" t="n">
        <v>0</v>
      </c>
      <c r="L6594" t="n">
        <v>0</v>
      </c>
      <c r="M6594" t="n">
        <v>0</v>
      </c>
      <c r="N6594" t="n">
        <v>0</v>
      </c>
      <c r="O6594" t="n">
        <v>0</v>
      </c>
      <c r="P6594" t="n">
        <v>0</v>
      </c>
      <c r="Q6594" t="n">
        <v>0</v>
      </c>
      <c r="R6594" t="n">
        <v>0</v>
      </c>
      <c r="S6594" t="n">
        <v>0</v>
      </c>
      <c r="T6594" t="n">
        <v>0</v>
      </c>
      <c r="U6594" t="n">
        <v>0</v>
      </c>
      <c r="V6594" s="2" t="inlineStr"/>
    </row>
    <row r="6595" ht="15" customHeight="1">
      <c r="A6595" t="inlineStr">
        <is>
          <t>S 952-2025</t>
        </is>
      </c>
      <c r="B6595" t="inlineStr">
        <is>
          <t>samrådsanmälan</t>
        </is>
      </c>
      <c r="C6595" t="inlineStr">
        <is>
          <t>Askåterföring</t>
        </is>
      </c>
      <c r="D6595" s="1" t="n">
        <v>45741</v>
      </c>
      <c r="E6595" s="1" t="n">
        <v>46323</v>
      </c>
      <c r="F6595" t="inlineStr">
        <is>
          <t>KALMAR LÄN</t>
        </is>
      </c>
      <c r="G6595" t="inlineStr">
        <is>
          <t>HULTSFRED</t>
        </is>
      </c>
      <c r="I6595" t="n">
        <v>74.5</v>
      </c>
      <c r="J6595" t="n">
        <v>0</v>
      </c>
      <c r="K6595" t="n">
        <v>0</v>
      </c>
      <c r="L6595" t="n">
        <v>0</v>
      </c>
      <c r="M6595" t="n">
        <v>0</v>
      </c>
      <c r="N6595" t="n">
        <v>0</v>
      </c>
      <c r="O6595" t="n">
        <v>0</v>
      </c>
      <c r="P6595" t="n">
        <v>0</v>
      </c>
      <c r="Q6595" t="n">
        <v>0</v>
      </c>
      <c r="R6595" t="n">
        <v>0</v>
      </c>
      <c r="S6595" t="n">
        <v>0</v>
      </c>
      <c r="T6595" t="n">
        <v>0</v>
      </c>
      <c r="U6595" t="n">
        <v>0</v>
      </c>
      <c r="V6595" s="2" t="inlineStr"/>
    </row>
    <row r="6596" ht="15" customHeight="1">
      <c r="A6596" t="inlineStr">
        <is>
          <t>S 970-2025</t>
        </is>
      </c>
      <c r="B6596" t="inlineStr">
        <is>
          <t>samrådsanmälan</t>
        </is>
      </c>
      <c r="C6596" t="inlineStr">
        <is>
          <t>Annan skogsbruksåtgärd</t>
        </is>
      </c>
      <c r="D6596" s="1" t="n">
        <v>45743</v>
      </c>
      <c r="E6596" s="1" t="n">
        <v>46323</v>
      </c>
      <c r="F6596" t="inlineStr">
        <is>
          <t>KALMAR LÄN</t>
        </is>
      </c>
      <c r="G6596" t="inlineStr">
        <is>
          <t>HULTSFRED</t>
        </is>
      </c>
      <c r="H6596" t="inlineStr">
        <is>
          <t>Sveaskog</t>
        </is>
      </c>
      <c r="I6596" t="n">
        <v>1.5</v>
      </c>
      <c r="J6596" t="n">
        <v>0</v>
      </c>
      <c r="K6596" t="n">
        <v>0</v>
      </c>
      <c r="L6596" t="n">
        <v>0</v>
      </c>
      <c r="M6596" t="n">
        <v>0</v>
      </c>
      <c r="N6596" t="n">
        <v>0</v>
      </c>
      <c r="O6596" t="n">
        <v>0</v>
      </c>
      <c r="P6596" t="n">
        <v>0</v>
      </c>
      <c r="Q6596" t="n">
        <v>0</v>
      </c>
      <c r="R6596" t="n">
        <v>0</v>
      </c>
      <c r="S6596" t="n">
        <v>0</v>
      </c>
      <c r="T6596" t="n">
        <v>0</v>
      </c>
      <c r="U6596" t="n">
        <v>0</v>
      </c>
      <c r="V6596" s="2" t="inlineStr"/>
    </row>
    <row r="6597" ht="15" customHeight="1">
      <c r="A6597" t="inlineStr">
        <is>
          <t>S 736-2025</t>
        </is>
      </c>
      <c r="B6597" t="inlineStr">
        <is>
          <t>samrådsanmälan</t>
        </is>
      </c>
      <c r="C6597" t="inlineStr">
        <is>
          <t>Annan skogsbruksåtgärd</t>
        </is>
      </c>
      <c r="D6597" s="1" t="n">
        <v>45723</v>
      </c>
      <c r="E6597" s="1" t="n">
        <v>46323</v>
      </c>
      <c r="F6597" t="inlineStr">
        <is>
          <t>KALMAR LÄN</t>
        </is>
      </c>
      <c r="G6597" t="inlineStr">
        <is>
          <t>HULTSFRED</t>
        </is>
      </c>
      <c r="H6597" t="inlineStr">
        <is>
          <t>Sveaskog</t>
        </is>
      </c>
      <c r="I6597" t="n">
        <v>2</v>
      </c>
      <c r="J6597" t="n">
        <v>0</v>
      </c>
      <c r="K6597" t="n">
        <v>0</v>
      </c>
      <c r="L6597" t="n">
        <v>0</v>
      </c>
      <c r="M6597" t="n">
        <v>0</v>
      </c>
      <c r="N6597" t="n">
        <v>0</v>
      </c>
      <c r="O6597" t="n">
        <v>0</v>
      </c>
      <c r="P6597" t="n">
        <v>0</v>
      </c>
      <c r="Q6597" t="n">
        <v>0</v>
      </c>
      <c r="R6597" t="n">
        <v>0</v>
      </c>
      <c r="S6597" t="n">
        <v>0</v>
      </c>
      <c r="T6597" t="n">
        <v>0</v>
      </c>
      <c r="U6597" t="n">
        <v>0</v>
      </c>
      <c r="V6597" s="2" t="inlineStr"/>
    </row>
    <row r="6598" ht="15" customHeight="1">
      <c r="A6598" t="inlineStr">
        <is>
          <t>S 953-2025</t>
        </is>
      </c>
      <c r="B6598" t="inlineStr">
        <is>
          <t>samrådsanmälan</t>
        </is>
      </c>
      <c r="C6598" t="inlineStr">
        <is>
          <t>Askåterföring</t>
        </is>
      </c>
      <c r="D6598" s="1" t="n">
        <v>45741</v>
      </c>
      <c r="E6598" s="1" t="n">
        <v>46323</v>
      </c>
      <c r="F6598" t="inlineStr">
        <is>
          <t>KALMAR LÄN</t>
        </is>
      </c>
      <c r="G6598" t="inlineStr">
        <is>
          <t>HULTSFRED</t>
        </is>
      </c>
      <c r="I6598" t="n">
        <v>26.6</v>
      </c>
      <c r="J6598" t="n">
        <v>0</v>
      </c>
      <c r="K6598" t="n">
        <v>0</v>
      </c>
      <c r="L6598" t="n">
        <v>0</v>
      </c>
      <c r="M6598" t="n">
        <v>0</v>
      </c>
      <c r="N6598" t="n">
        <v>0</v>
      </c>
      <c r="O6598" t="n">
        <v>0</v>
      </c>
      <c r="P6598" t="n">
        <v>0</v>
      </c>
      <c r="Q6598" t="n">
        <v>0</v>
      </c>
      <c r="R6598" t="n">
        <v>0</v>
      </c>
      <c r="S6598" t="n">
        <v>0</v>
      </c>
      <c r="T6598" t="n">
        <v>0</v>
      </c>
      <c r="U6598" t="n">
        <v>0</v>
      </c>
      <c r="V6598" s="2" t="inlineStr"/>
    </row>
    <row r="6599" ht="15" customHeight="1">
      <c r="A6599" t="inlineStr">
        <is>
          <t>S 954-2025</t>
        </is>
      </c>
      <c r="B6599" t="inlineStr">
        <is>
          <t>samrådsanmälan</t>
        </is>
      </c>
      <c r="C6599" t="inlineStr">
        <is>
          <t>Askåterföring</t>
        </is>
      </c>
      <c r="D6599" s="1" t="n">
        <v>45741</v>
      </c>
      <c r="E6599" s="1" t="n">
        <v>46323</v>
      </c>
      <c r="F6599" t="inlineStr">
        <is>
          <t>KALMAR LÄN</t>
        </is>
      </c>
      <c r="G6599" t="inlineStr">
        <is>
          <t>HULTSFRED</t>
        </is>
      </c>
      <c r="I6599" t="n">
        <v>20.9</v>
      </c>
      <c r="J6599" t="n">
        <v>0</v>
      </c>
      <c r="K6599" t="n">
        <v>0</v>
      </c>
      <c r="L6599" t="n">
        <v>0</v>
      </c>
      <c r="M6599" t="n">
        <v>0</v>
      </c>
      <c r="N6599" t="n">
        <v>0</v>
      </c>
      <c r="O6599" t="n">
        <v>0</v>
      </c>
      <c r="P6599" t="n">
        <v>0</v>
      </c>
      <c r="Q6599" t="n">
        <v>0</v>
      </c>
      <c r="R6599" t="n">
        <v>0</v>
      </c>
      <c r="S6599" t="n">
        <v>0</v>
      </c>
      <c r="T6599" t="n">
        <v>0</v>
      </c>
      <c r="U6599" t="n">
        <v>0</v>
      </c>
      <c r="V6599" s="2" t="inlineStr"/>
    </row>
    <row r="6600" ht="15" customHeight="1">
      <c r="A6600" t="inlineStr">
        <is>
          <t>S 605-2025</t>
        </is>
      </c>
      <c r="B6600" t="inlineStr">
        <is>
          <t>samrådsanmälan</t>
        </is>
      </c>
      <c r="C6600" t="inlineStr">
        <is>
          <t>Annan skogsbruksåtgärd</t>
        </is>
      </c>
      <c r="D6600" s="1" t="n">
        <v>45713</v>
      </c>
      <c r="E6600" s="1" t="n">
        <v>46323</v>
      </c>
      <c r="F6600" t="inlineStr">
        <is>
          <t>KALMAR LÄN</t>
        </is>
      </c>
      <c r="G6600" t="inlineStr">
        <is>
          <t>BORGHOLM</t>
        </is>
      </c>
      <c r="H6600" t="inlineStr">
        <is>
          <t>Sveaskog</t>
        </is>
      </c>
      <c r="I6600" t="n">
        <v>2.5</v>
      </c>
      <c r="J6600" t="n">
        <v>0</v>
      </c>
      <c r="K6600" t="n">
        <v>0</v>
      </c>
      <c r="L6600" t="n">
        <v>0</v>
      </c>
      <c r="M6600" t="n">
        <v>0</v>
      </c>
      <c r="N6600" t="n">
        <v>0</v>
      </c>
      <c r="O6600" t="n">
        <v>0</v>
      </c>
      <c r="P6600" t="n">
        <v>0</v>
      </c>
      <c r="Q6600" t="n">
        <v>0</v>
      </c>
      <c r="R6600" t="n">
        <v>0</v>
      </c>
      <c r="S6600" t="n">
        <v>0</v>
      </c>
      <c r="T6600" t="n">
        <v>0</v>
      </c>
      <c r="U6600" t="n">
        <v>0</v>
      </c>
      <c r="V6600" s="2" t="inlineStr"/>
    </row>
    <row r="6601" ht="15" customHeight="1">
      <c r="A6601" t="inlineStr">
        <is>
          <t>S 1453-2025</t>
        </is>
      </c>
      <c r="B6601" t="inlineStr">
        <is>
          <t>samrådsanmälan</t>
        </is>
      </c>
      <c r="C6601" t="inlineStr">
        <is>
          <t>Annan skogsbruksåtgärd</t>
        </is>
      </c>
      <c r="D6601" s="1" t="n">
        <v>45785</v>
      </c>
      <c r="E6601" s="1" t="n">
        <v>46323</v>
      </c>
      <c r="F6601" t="inlineStr">
        <is>
          <t>KALMAR LÄN</t>
        </is>
      </c>
      <c r="G6601" t="inlineStr">
        <is>
          <t>VÄSTERVIK</t>
        </is>
      </c>
      <c r="I6601" t="n">
        <v>2.8</v>
      </c>
      <c r="J6601" t="n">
        <v>0</v>
      </c>
      <c r="K6601" t="n">
        <v>0</v>
      </c>
      <c r="L6601" t="n">
        <v>0</v>
      </c>
      <c r="M6601" t="n">
        <v>0</v>
      </c>
      <c r="N6601" t="n">
        <v>0</v>
      </c>
      <c r="O6601" t="n">
        <v>0</v>
      </c>
      <c r="P6601" t="n">
        <v>0</v>
      </c>
      <c r="Q6601" t="n">
        <v>0</v>
      </c>
      <c r="R6601" t="n">
        <v>0</v>
      </c>
      <c r="S6601" t="n">
        <v>0</v>
      </c>
      <c r="T6601" t="n">
        <v>0</v>
      </c>
      <c r="U6601" t="n">
        <v>0</v>
      </c>
      <c r="V6601" s="2" t="inlineStr"/>
    </row>
    <row r="6602" ht="15" customHeight="1">
      <c r="A6602" t="inlineStr">
        <is>
          <t>S 1229-2025</t>
        </is>
      </c>
      <c r="B6602" t="inlineStr">
        <is>
          <t>samrådsanmälan</t>
        </is>
      </c>
      <c r="C6602" t="inlineStr">
        <is>
          <t>Annan skogsbruksåtgärd</t>
        </is>
      </c>
      <c r="D6602" s="1" t="n">
        <v>45761</v>
      </c>
      <c r="E6602" s="1" t="n">
        <v>46323</v>
      </c>
      <c r="F6602" t="inlineStr">
        <is>
          <t>KALMAR LÄN</t>
        </is>
      </c>
      <c r="G6602" t="inlineStr">
        <is>
          <t>VIMMERBY</t>
        </is>
      </c>
      <c r="H6602" t="inlineStr">
        <is>
          <t>Sveaskog</t>
        </is>
      </c>
      <c r="I6602" t="n">
        <v>6.9</v>
      </c>
      <c r="J6602" t="n">
        <v>0</v>
      </c>
      <c r="K6602" t="n">
        <v>0</v>
      </c>
      <c r="L6602" t="n">
        <v>0</v>
      </c>
      <c r="M6602" t="n">
        <v>0</v>
      </c>
      <c r="N6602" t="n">
        <v>0</v>
      </c>
      <c r="O6602" t="n">
        <v>0</v>
      </c>
      <c r="P6602" t="n">
        <v>0</v>
      </c>
      <c r="Q6602" t="n">
        <v>0</v>
      </c>
      <c r="R6602" t="n">
        <v>0</v>
      </c>
      <c r="S6602" t="n">
        <v>0</v>
      </c>
      <c r="T6602" t="n">
        <v>0</v>
      </c>
      <c r="U6602" t="n">
        <v>0</v>
      </c>
      <c r="V6602" s="2" t="inlineStr"/>
    </row>
    <row r="6603" ht="15" customHeight="1">
      <c r="A6603" t="inlineStr">
        <is>
          <t>S 1526-2025</t>
        </is>
      </c>
      <c r="B6603" t="inlineStr">
        <is>
          <t>samrådsanmälan</t>
        </is>
      </c>
      <c r="C6603" t="inlineStr">
        <is>
          <t>Askåterföring</t>
        </is>
      </c>
      <c r="D6603" s="1" t="n">
        <v>45791</v>
      </c>
      <c r="E6603" s="1" t="n">
        <v>46323</v>
      </c>
      <c r="F6603" t="inlineStr">
        <is>
          <t>KALMAR LÄN</t>
        </is>
      </c>
      <c r="G6603" t="inlineStr">
        <is>
          <t>TORSÅS</t>
        </is>
      </c>
      <c r="I6603" t="n">
        <v>1.6</v>
      </c>
      <c r="J6603" t="n">
        <v>0</v>
      </c>
      <c r="K6603" t="n">
        <v>0</v>
      </c>
      <c r="L6603" t="n">
        <v>0</v>
      </c>
      <c r="M6603" t="n">
        <v>0</v>
      </c>
      <c r="N6603" t="n">
        <v>0</v>
      </c>
      <c r="O6603" t="n">
        <v>0</v>
      </c>
      <c r="P6603" t="n">
        <v>0</v>
      </c>
      <c r="Q6603" t="n">
        <v>0</v>
      </c>
      <c r="R6603" t="n">
        <v>0</v>
      </c>
      <c r="S6603" t="n">
        <v>0</v>
      </c>
      <c r="T6603" t="n">
        <v>0</v>
      </c>
      <c r="U6603" t="n">
        <v>0</v>
      </c>
      <c r="V6603" s="2" t="inlineStr"/>
    </row>
    <row r="6604" ht="15" customHeight="1">
      <c r="A6604" t="inlineStr">
        <is>
          <t>S 1524-2025</t>
        </is>
      </c>
      <c r="B6604" t="inlineStr">
        <is>
          <t>samrådsanmälan</t>
        </is>
      </c>
      <c r="C6604" t="inlineStr">
        <is>
          <t>Askåterföring</t>
        </is>
      </c>
      <c r="D6604" s="1" t="n">
        <v>45791</v>
      </c>
      <c r="E6604" s="1" t="n">
        <v>46323</v>
      </c>
      <c r="F6604" t="inlineStr">
        <is>
          <t>KALMAR LÄN</t>
        </is>
      </c>
      <c r="G6604" t="inlineStr">
        <is>
          <t>TORSÅS</t>
        </is>
      </c>
      <c r="I6604" t="n">
        <v>7.7</v>
      </c>
      <c r="J6604" t="n">
        <v>0</v>
      </c>
      <c r="K6604" t="n">
        <v>0</v>
      </c>
      <c r="L6604" t="n">
        <v>0</v>
      </c>
      <c r="M6604" t="n">
        <v>0</v>
      </c>
      <c r="N6604" t="n">
        <v>0</v>
      </c>
      <c r="O6604" t="n">
        <v>0</v>
      </c>
      <c r="P6604" t="n">
        <v>0</v>
      </c>
      <c r="Q6604" t="n">
        <v>0</v>
      </c>
      <c r="R6604" t="n">
        <v>0</v>
      </c>
      <c r="S6604" t="n">
        <v>0</v>
      </c>
      <c r="T6604" t="n">
        <v>0</v>
      </c>
      <c r="U6604" t="n">
        <v>0</v>
      </c>
      <c r="V6604" s="2" t="inlineStr"/>
    </row>
    <row r="6605" ht="15" customHeight="1">
      <c r="A6605" t="inlineStr">
        <is>
          <t>S 1525-2025</t>
        </is>
      </c>
      <c r="B6605" t="inlineStr">
        <is>
          <t>samrådsanmälan</t>
        </is>
      </c>
      <c r="C6605" t="inlineStr">
        <is>
          <t>Askåterföring</t>
        </is>
      </c>
      <c r="D6605" s="1" t="n">
        <v>45791</v>
      </c>
      <c r="E6605" s="1" t="n">
        <v>46323</v>
      </c>
      <c r="F6605" t="inlineStr">
        <is>
          <t>KALMAR LÄN</t>
        </is>
      </c>
      <c r="G6605" t="inlineStr">
        <is>
          <t>TORSÅS</t>
        </is>
      </c>
      <c r="I6605" t="n">
        <v>3.3</v>
      </c>
      <c r="J6605" t="n">
        <v>0</v>
      </c>
      <c r="K6605" t="n">
        <v>0</v>
      </c>
      <c r="L6605" t="n">
        <v>0</v>
      </c>
      <c r="M6605" t="n">
        <v>0</v>
      </c>
      <c r="N6605" t="n">
        <v>0</v>
      </c>
      <c r="O6605" t="n">
        <v>0</v>
      </c>
      <c r="P6605" t="n">
        <v>0</v>
      </c>
      <c r="Q6605" t="n">
        <v>0</v>
      </c>
      <c r="R6605" t="n">
        <v>0</v>
      </c>
      <c r="S6605" t="n">
        <v>0</v>
      </c>
      <c r="T6605" t="n">
        <v>0</v>
      </c>
      <c r="U6605" t="n">
        <v>0</v>
      </c>
      <c r="V6605" s="2" t="inlineStr"/>
    </row>
    <row r="6606" ht="15" customHeight="1">
      <c r="A6606" t="inlineStr">
        <is>
          <t>S 1598-2025</t>
        </is>
      </c>
      <c r="B6606" t="inlineStr">
        <is>
          <t>samrådsanmälan</t>
        </is>
      </c>
      <c r="C6606" t="inlineStr">
        <is>
          <t>Annan skogsbruksåtgärd</t>
        </is>
      </c>
      <c r="D6606" s="1" t="n">
        <v>45797</v>
      </c>
      <c r="E6606" s="1" t="n">
        <v>46323</v>
      </c>
      <c r="F6606" t="inlineStr">
        <is>
          <t>KALMAR LÄN</t>
        </is>
      </c>
      <c r="G6606" t="inlineStr">
        <is>
          <t>VÄSTERVIK</t>
        </is>
      </c>
      <c r="I6606" t="n">
        <v>1</v>
      </c>
      <c r="J6606" t="n">
        <v>0</v>
      </c>
      <c r="K6606" t="n">
        <v>0</v>
      </c>
      <c r="L6606" t="n">
        <v>0</v>
      </c>
      <c r="M6606" t="n">
        <v>0</v>
      </c>
      <c r="N6606" t="n">
        <v>0</v>
      </c>
      <c r="O6606" t="n">
        <v>0</v>
      </c>
      <c r="P6606" t="n">
        <v>0</v>
      </c>
      <c r="Q6606" t="n">
        <v>0</v>
      </c>
      <c r="R6606" t="n">
        <v>0</v>
      </c>
      <c r="S6606" t="n">
        <v>0</v>
      </c>
      <c r="T6606" t="n">
        <v>0</v>
      </c>
      <c r="U6606" t="n">
        <v>0</v>
      </c>
      <c r="V6606" s="2" t="inlineStr"/>
    </row>
    <row r="6607" ht="15" customHeight="1">
      <c r="A6607" t="inlineStr">
        <is>
          <t>S 1762-2025</t>
        </is>
      </c>
      <c r="B6607" t="inlineStr">
        <is>
          <t>samrådsanmälan</t>
        </is>
      </c>
      <c r="C6607" t="inlineStr">
        <is>
          <t>Annan skogsbruksåtgärd</t>
        </is>
      </c>
      <c r="D6607" s="1" t="n">
        <v>45812</v>
      </c>
      <c r="E6607" s="1" t="n">
        <v>46323</v>
      </c>
      <c r="F6607" t="inlineStr">
        <is>
          <t>KALMAR LÄN</t>
        </is>
      </c>
      <c r="G6607" t="inlineStr">
        <is>
          <t>BORGHOLM</t>
        </is>
      </c>
      <c r="H6607" t="inlineStr">
        <is>
          <t>Sveaskog</t>
        </is>
      </c>
      <c r="I6607" t="n">
        <v>2.5</v>
      </c>
      <c r="J6607" t="n">
        <v>0</v>
      </c>
      <c r="K6607" t="n">
        <v>0</v>
      </c>
      <c r="L6607" t="n">
        <v>0</v>
      </c>
      <c r="M6607" t="n">
        <v>0</v>
      </c>
      <c r="N6607" t="n">
        <v>0</v>
      </c>
      <c r="O6607" t="n">
        <v>0</v>
      </c>
      <c r="P6607" t="n">
        <v>0</v>
      </c>
      <c r="Q6607" t="n">
        <v>0</v>
      </c>
      <c r="R6607" t="n">
        <v>0</v>
      </c>
      <c r="S6607" t="n">
        <v>0</v>
      </c>
      <c r="T6607" t="n">
        <v>0</v>
      </c>
      <c r="U6607" t="n">
        <v>0</v>
      </c>
      <c r="V6607" s="2" t="inlineStr"/>
    </row>
    <row r="6608" ht="15" customHeight="1">
      <c r="A6608" t="inlineStr">
        <is>
          <t>S 1760-2025</t>
        </is>
      </c>
      <c r="B6608" t="inlineStr">
        <is>
          <t>samrådsanmälan</t>
        </is>
      </c>
      <c r="C6608" t="inlineStr">
        <is>
          <t>Annan skogsbruksåtgärd</t>
        </is>
      </c>
      <c r="D6608" s="1" t="n">
        <v>45812</v>
      </c>
      <c r="E6608" s="1" t="n">
        <v>46323</v>
      </c>
      <c r="F6608" t="inlineStr">
        <is>
          <t>KALMAR LÄN</t>
        </is>
      </c>
      <c r="G6608" t="inlineStr">
        <is>
          <t>BORGHOLM</t>
        </is>
      </c>
      <c r="H6608" t="inlineStr">
        <is>
          <t>Sveaskog</t>
        </is>
      </c>
      <c r="I6608" t="n">
        <v>4.5</v>
      </c>
      <c r="J6608" t="n">
        <v>0</v>
      </c>
      <c r="K6608" t="n">
        <v>0</v>
      </c>
      <c r="L6608" t="n">
        <v>0</v>
      </c>
      <c r="M6608" t="n">
        <v>0</v>
      </c>
      <c r="N6608" t="n">
        <v>0</v>
      </c>
      <c r="O6608" t="n">
        <v>0</v>
      </c>
      <c r="P6608" t="n">
        <v>0</v>
      </c>
      <c r="Q6608" t="n">
        <v>0</v>
      </c>
      <c r="R6608" t="n">
        <v>0</v>
      </c>
      <c r="S6608" t="n">
        <v>0</v>
      </c>
      <c r="T6608" t="n">
        <v>0</v>
      </c>
      <c r="U6608" t="n">
        <v>0</v>
      </c>
      <c r="V6608" s="2" t="inlineStr"/>
    </row>
    <row r="6609" ht="15" customHeight="1">
      <c r="A6609" t="inlineStr">
        <is>
          <t>S 1775-2025</t>
        </is>
      </c>
      <c r="B6609" t="inlineStr">
        <is>
          <t>samrådsanmälan</t>
        </is>
      </c>
      <c r="C6609" t="inlineStr">
        <is>
          <t>Askåterföring</t>
        </is>
      </c>
      <c r="D6609" s="1" t="n">
        <v>45813</v>
      </c>
      <c r="E6609" s="1" t="n">
        <v>46323</v>
      </c>
      <c r="F6609" t="inlineStr">
        <is>
          <t>KALMAR LÄN</t>
        </is>
      </c>
      <c r="G6609" t="inlineStr">
        <is>
          <t>EMMABODA</t>
        </is>
      </c>
      <c r="I6609" t="n">
        <v>8.300000000000001</v>
      </c>
      <c r="J6609" t="n">
        <v>0</v>
      </c>
      <c r="K6609" t="n">
        <v>0</v>
      </c>
      <c r="L6609" t="n">
        <v>0</v>
      </c>
      <c r="M6609" t="n">
        <v>0</v>
      </c>
      <c r="N6609" t="n">
        <v>0</v>
      </c>
      <c r="O6609" t="n">
        <v>0</v>
      </c>
      <c r="P6609" t="n">
        <v>0</v>
      </c>
      <c r="Q6609" t="n">
        <v>0</v>
      </c>
      <c r="R6609" t="n">
        <v>0</v>
      </c>
      <c r="S6609" t="n">
        <v>0</v>
      </c>
      <c r="T6609" t="n">
        <v>0</v>
      </c>
      <c r="U6609" t="n">
        <v>0</v>
      </c>
      <c r="V6609" s="2" t="inlineStr"/>
    </row>
    <row r="6610" ht="15" customHeight="1">
      <c r="A6610" t="inlineStr">
        <is>
          <t>S 1774-2025</t>
        </is>
      </c>
      <c r="B6610" t="inlineStr">
        <is>
          <t>samrådsanmälan</t>
        </is>
      </c>
      <c r="C6610" t="inlineStr">
        <is>
          <t>Askåterföring</t>
        </is>
      </c>
      <c r="D6610" s="1" t="n">
        <v>45813</v>
      </c>
      <c r="E6610" s="1" t="n">
        <v>46323</v>
      </c>
      <c r="F6610" t="inlineStr">
        <is>
          <t>KALMAR LÄN</t>
        </is>
      </c>
      <c r="G6610" t="inlineStr">
        <is>
          <t>EMMABODA</t>
        </is>
      </c>
      <c r="I6610" t="n">
        <v>21.5</v>
      </c>
      <c r="J6610" t="n">
        <v>0</v>
      </c>
      <c r="K6610" t="n">
        <v>0</v>
      </c>
      <c r="L6610" t="n">
        <v>0</v>
      </c>
      <c r="M6610" t="n">
        <v>0</v>
      </c>
      <c r="N6610" t="n">
        <v>0</v>
      </c>
      <c r="O6610" t="n">
        <v>0</v>
      </c>
      <c r="P6610" t="n">
        <v>0</v>
      </c>
      <c r="Q6610" t="n">
        <v>0</v>
      </c>
      <c r="R6610" t="n">
        <v>0</v>
      </c>
      <c r="S6610" t="n">
        <v>0</v>
      </c>
      <c r="T6610" t="n">
        <v>0</v>
      </c>
      <c r="U6610" t="n">
        <v>0</v>
      </c>
      <c r="V6610" s="2" t="inlineStr"/>
    </row>
    <row r="6611" ht="15" customHeight="1">
      <c r="A6611" t="inlineStr">
        <is>
          <t>S 1857-2025</t>
        </is>
      </c>
      <c r="B6611" t="inlineStr">
        <is>
          <t>samrådsanmälan</t>
        </is>
      </c>
      <c r="C6611" t="inlineStr">
        <is>
          <t>Annan skogsbruksåtgärd</t>
        </is>
      </c>
      <c r="D6611" s="1" t="n">
        <v>45821</v>
      </c>
      <c r="E6611" s="1" t="n">
        <v>46323</v>
      </c>
      <c r="F6611" t="inlineStr">
        <is>
          <t>KALMAR LÄN</t>
        </is>
      </c>
      <c r="G6611" t="inlineStr">
        <is>
          <t>VÄSTERVIK</t>
        </is>
      </c>
      <c r="I6611" t="n">
        <v>0.3</v>
      </c>
      <c r="J6611" t="n">
        <v>0</v>
      </c>
      <c r="K6611" t="n">
        <v>0</v>
      </c>
      <c r="L6611" t="n">
        <v>0</v>
      </c>
      <c r="M6611" t="n">
        <v>0</v>
      </c>
      <c r="N6611" t="n">
        <v>0</v>
      </c>
      <c r="O6611" t="n">
        <v>0</v>
      </c>
      <c r="P6611" t="n">
        <v>0</v>
      </c>
      <c r="Q6611" t="n">
        <v>0</v>
      </c>
      <c r="R6611" t="n">
        <v>0</v>
      </c>
      <c r="S6611" t="n">
        <v>0</v>
      </c>
      <c r="T6611" t="n">
        <v>0</v>
      </c>
      <c r="U6611" t="n">
        <v>0</v>
      </c>
      <c r="V6611" s="2" t="inlineStr"/>
    </row>
    <row r="6612" ht="15" customHeight="1">
      <c r="A6612" t="inlineStr">
        <is>
          <t>S 1862-2025</t>
        </is>
      </c>
      <c r="B6612" t="inlineStr">
        <is>
          <t>samrådsanmälan</t>
        </is>
      </c>
      <c r="C6612" t="inlineStr">
        <is>
          <t>Annan skogsbruksåtgärd</t>
        </is>
      </c>
      <c r="D6612" s="1" t="n">
        <v>45821</v>
      </c>
      <c r="E6612" s="1" t="n">
        <v>46323</v>
      </c>
      <c r="F6612" t="inlineStr">
        <is>
          <t>KALMAR LÄN</t>
        </is>
      </c>
      <c r="G6612" t="inlineStr">
        <is>
          <t>HULTSFRED</t>
        </is>
      </c>
      <c r="I6612" t="n">
        <v>0</v>
      </c>
      <c r="J6612" t="n">
        <v>0</v>
      </c>
      <c r="K6612" t="n">
        <v>0</v>
      </c>
      <c r="L6612" t="n">
        <v>0</v>
      </c>
      <c r="M6612" t="n">
        <v>0</v>
      </c>
      <c r="N6612" t="n">
        <v>0</v>
      </c>
      <c r="O6612" t="n">
        <v>0</v>
      </c>
      <c r="P6612" t="n">
        <v>0</v>
      </c>
      <c r="Q6612" t="n">
        <v>0</v>
      </c>
      <c r="R6612" t="n">
        <v>0</v>
      </c>
      <c r="S6612" t="n">
        <v>0</v>
      </c>
      <c r="T6612" t="n">
        <v>0</v>
      </c>
      <c r="U6612" t="n">
        <v>0</v>
      </c>
      <c r="V6612" s="2" t="inlineStr"/>
    </row>
    <row r="6613" ht="15" customHeight="1">
      <c r="A6613" t="inlineStr">
        <is>
          <t>S 1880-2025</t>
        </is>
      </c>
      <c r="B6613" t="inlineStr">
        <is>
          <t>samrådsanmälan</t>
        </is>
      </c>
      <c r="C6613" t="inlineStr">
        <is>
          <t>Annan skogsbruksåtgärd</t>
        </is>
      </c>
      <c r="D6613" s="1" t="n">
        <v>45824</v>
      </c>
      <c r="E6613" s="1" t="n">
        <v>46323</v>
      </c>
      <c r="F6613" t="inlineStr">
        <is>
          <t>KALMAR LÄN</t>
        </is>
      </c>
      <c r="G6613" t="inlineStr">
        <is>
          <t>KALMAR</t>
        </is>
      </c>
      <c r="I6613" t="n">
        <v>1.2</v>
      </c>
      <c r="J6613" t="n">
        <v>0</v>
      </c>
      <c r="K6613" t="n">
        <v>0</v>
      </c>
      <c r="L6613" t="n">
        <v>0</v>
      </c>
      <c r="M6613" t="n">
        <v>0</v>
      </c>
      <c r="N6613" t="n">
        <v>0</v>
      </c>
      <c r="O6613" t="n">
        <v>0</v>
      </c>
      <c r="P6613" t="n">
        <v>0</v>
      </c>
      <c r="Q6613" t="n">
        <v>0</v>
      </c>
      <c r="R6613" t="n">
        <v>0</v>
      </c>
      <c r="S6613" t="n">
        <v>0</v>
      </c>
      <c r="T6613" t="n">
        <v>0</v>
      </c>
      <c r="U6613" t="n">
        <v>0</v>
      </c>
      <c r="V6613" s="2" t="inlineStr"/>
    </row>
    <row r="6614" ht="15" customHeight="1">
      <c r="A6614" t="inlineStr">
        <is>
          <t>S 1986-2025</t>
        </is>
      </c>
      <c r="B6614" t="inlineStr">
        <is>
          <t>samrådsanmälan</t>
        </is>
      </c>
      <c r="C6614" t="inlineStr">
        <is>
          <t>Askåterföring</t>
        </is>
      </c>
      <c r="D6614" s="1" t="n">
        <v>45832</v>
      </c>
      <c r="E6614" s="1" t="n">
        <v>46323</v>
      </c>
      <c r="F6614" t="inlineStr">
        <is>
          <t>KALMAR LÄN</t>
        </is>
      </c>
      <c r="G6614" t="inlineStr">
        <is>
          <t>VIMMERBY</t>
        </is>
      </c>
      <c r="I6614" t="n">
        <v>13.7</v>
      </c>
      <c r="J6614" t="n">
        <v>0</v>
      </c>
      <c r="K6614" t="n">
        <v>0</v>
      </c>
      <c r="L6614" t="n">
        <v>0</v>
      </c>
      <c r="M6614" t="n">
        <v>0</v>
      </c>
      <c r="N6614" t="n">
        <v>0</v>
      </c>
      <c r="O6614" t="n">
        <v>0</v>
      </c>
      <c r="P6614" t="n">
        <v>0</v>
      </c>
      <c r="Q6614" t="n">
        <v>0</v>
      </c>
      <c r="R6614" t="n">
        <v>0</v>
      </c>
      <c r="S6614" t="n">
        <v>0</v>
      </c>
      <c r="T6614" t="n">
        <v>0</v>
      </c>
      <c r="U6614" t="n">
        <v>0</v>
      </c>
      <c r="V6614" s="2" t="inlineStr"/>
    </row>
    <row r="6615" ht="15" customHeight="1">
      <c r="A6615" t="inlineStr">
        <is>
          <t>S 2013-2025</t>
        </is>
      </c>
      <c r="B6615" t="inlineStr">
        <is>
          <t>samrådsanmälan</t>
        </is>
      </c>
      <c r="C6615" t="inlineStr">
        <is>
          <t>Annan skogsbruksåtgärd</t>
        </is>
      </c>
      <c r="D6615" s="1" t="n">
        <v>45834</v>
      </c>
      <c r="E6615" s="1" t="n">
        <v>46323</v>
      </c>
      <c r="F6615" t="inlineStr">
        <is>
          <t>KALMAR LÄN</t>
        </is>
      </c>
      <c r="G6615" t="inlineStr">
        <is>
          <t>VÄSTERVIK</t>
        </is>
      </c>
      <c r="H6615" t="inlineStr">
        <is>
          <t>Kommuner</t>
        </is>
      </c>
      <c r="I6615" t="n">
        <v>0.6</v>
      </c>
      <c r="J6615" t="n">
        <v>0</v>
      </c>
      <c r="K6615" t="n">
        <v>0</v>
      </c>
      <c r="L6615" t="n">
        <v>0</v>
      </c>
      <c r="M6615" t="n">
        <v>0</v>
      </c>
      <c r="N6615" t="n">
        <v>0</v>
      </c>
      <c r="O6615" t="n">
        <v>0</v>
      </c>
      <c r="P6615" t="n">
        <v>0</v>
      </c>
      <c r="Q6615" t="n">
        <v>0</v>
      </c>
      <c r="R6615" t="n">
        <v>0</v>
      </c>
      <c r="S6615" t="n">
        <v>0</v>
      </c>
      <c r="T6615" t="n">
        <v>0</v>
      </c>
      <c r="U6615" t="n">
        <v>0</v>
      </c>
      <c r="V6615" s="2" t="inlineStr"/>
    </row>
    <row r="6616" ht="15" customHeight="1">
      <c r="A6616" t="inlineStr">
        <is>
          <t>S 2068-2025</t>
        </is>
      </c>
      <c r="B6616" t="inlineStr">
        <is>
          <t>samrådsanmälan</t>
        </is>
      </c>
      <c r="C6616" t="inlineStr">
        <is>
          <t>Askåterföring</t>
        </is>
      </c>
      <c r="D6616" s="1" t="n">
        <v>45840</v>
      </c>
      <c r="E6616" s="1" t="n">
        <v>46323</v>
      </c>
      <c r="F6616" t="inlineStr">
        <is>
          <t>KALMAR LÄN</t>
        </is>
      </c>
      <c r="G6616" t="inlineStr">
        <is>
          <t>VIMMERBY</t>
        </is>
      </c>
      <c r="I6616" t="n">
        <v>24.8</v>
      </c>
      <c r="J6616" t="n">
        <v>0</v>
      </c>
      <c r="K6616" t="n">
        <v>0</v>
      </c>
      <c r="L6616" t="n">
        <v>0</v>
      </c>
      <c r="M6616" t="n">
        <v>0</v>
      </c>
      <c r="N6616" t="n">
        <v>0</v>
      </c>
      <c r="O6616" t="n">
        <v>0</v>
      </c>
      <c r="P6616" t="n">
        <v>0</v>
      </c>
      <c r="Q6616" t="n">
        <v>0</v>
      </c>
      <c r="R6616" t="n">
        <v>0</v>
      </c>
      <c r="S6616" t="n">
        <v>0</v>
      </c>
      <c r="T6616" t="n">
        <v>0</v>
      </c>
      <c r="U6616" t="n">
        <v>0</v>
      </c>
      <c r="V6616" s="2" t="inlineStr"/>
    </row>
    <row r="6617" ht="15" customHeight="1">
      <c r="A6617" t="inlineStr">
        <is>
          <t>S 2051-2025</t>
        </is>
      </c>
      <c r="B6617" t="inlineStr">
        <is>
          <t>samrådsanmälan</t>
        </is>
      </c>
      <c r="C6617" t="inlineStr">
        <is>
          <t>Askåterföring</t>
        </is>
      </c>
      <c r="D6617" s="1" t="n">
        <v>45839</v>
      </c>
      <c r="E6617" s="1" t="n">
        <v>46323</v>
      </c>
      <c r="F6617" t="inlineStr">
        <is>
          <t>KALMAR LÄN</t>
        </is>
      </c>
      <c r="G6617" t="inlineStr">
        <is>
          <t>HULTSFRED</t>
        </is>
      </c>
      <c r="I6617" t="n">
        <v>19.2</v>
      </c>
      <c r="J6617" t="n">
        <v>0</v>
      </c>
      <c r="K6617" t="n">
        <v>0</v>
      </c>
      <c r="L6617" t="n">
        <v>0</v>
      </c>
      <c r="M6617" t="n">
        <v>0</v>
      </c>
      <c r="N6617" t="n">
        <v>0</v>
      </c>
      <c r="O6617" t="n">
        <v>0</v>
      </c>
      <c r="P6617" t="n">
        <v>0</v>
      </c>
      <c r="Q6617" t="n">
        <v>0</v>
      </c>
      <c r="R6617" t="n">
        <v>0</v>
      </c>
      <c r="S6617" t="n">
        <v>0</v>
      </c>
      <c r="T6617" t="n">
        <v>0</v>
      </c>
      <c r="U6617" t="n">
        <v>0</v>
      </c>
      <c r="V6617" s="2" t="inlineStr"/>
    </row>
    <row r="6618" ht="15" customHeight="1">
      <c r="A6618" t="inlineStr">
        <is>
          <t>S 2070-2025</t>
        </is>
      </c>
      <c r="B6618" t="inlineStr">
        <is>
          <t>samrådsanmälan</t>
        </is>
      </c>
      <c r="C6618" t="inlineStr">
        <is>
          <t>Askåterföring</t>
        </is>
      </c>
      <c r="D6618" s="1" t="n">
        <v>45840</v>
      </c>
      <c r="E6618" s="1" t="n">
        <v>46323</v>
      </c>
      <c r="F6618" t="inlineStr">
        <is>
          <t>KALMAR LÄN</t>
        </is>
      </c>
      <c r="G6618" t="inlineStr">
        <is>
          <t>VIMMERBY</t>
        </is>
      </c>
      <c r="I6618" t="n">
        <v>13.6</v>
      </c>
      <c r="J6618" t="n">
        <v>0</v>
      </c>
      <c r="K6618" t="n">
        <v>0</v>
      </c>
      <c r="L6618" t="n">
        <v>0</v>
      </c>
      <c r="M6618" t="n">
        <v>0</v>
      </c>
      <c r="N6618" t="n">
        <v>0</v>
      </c>
      <c r="O6618" t="n">
        <v>0</v>
      </c>
      <c r="P6618" t="n">
        <v>0</v>
      </c>
      <c r="Q6618" t="n">
        <v>0</v>
      </c>
      <c r="R6618" t="n">
        <v>0</v>
      </c>
      <c r="S6618" t="n">
        <v>0</v>
      </c>
      <c r="T6618" t="n">
        <v>0</v>
      </c>
      <c r="U6618" t="n">
        <v>0</v>
      </c>
      <c r="V6618" s="2" t="inlineStr"/>
    </row>
    <row r="6619" ht="15" customHeight="1">
      <c r="A6619" t="inlineStr">
        <is>
          <t>S 2067-2025</t>
        </is>
      </c>
      <c r="B6619" t="inlineStr">
        <is>
          <t>samrådsanmälan</t>
        </is>
      </c>
      <c r="C6619" t="inlineStr">
        <is>
          <t>Askåterföring</t>
        </is>
      </c>
      <c r="D6619" s="1" t="n">
        <v>45840</v>
      </c>
      <c r="E6619" s="1" t="n">
        <v>46323</v>
      </c>
      <c r="F6619" t="inlineStr">
        <is>
          <t>KALMAR LÄN</t>
        </is>
      </c>
      <c r="G6619" t="inlineStr">
        <is>
          <t>VIMMERBY</t>
        </is>
      </c>
      <c r="I6619" t="n">
        <v>10.3</v>
      </c>
      <c r="J6619" t="n">
        <v>0</v>
      </c>
      <c r="K6619" t="n">
        <v>0</v>
      </c>
      <c r="L6619" t="n">
        <v>0</v>
      </c>
      <c r="M6619" t="n">
        <v>0</v>
      </c>
      <c r="N6619" t="n">
        <v>0</v>
      </c>
      <c r="O6619" t="n">
        <v>0</v>
      </c>
      <c r="P6619" t="n">
        <v>0</v>
      </c>
      <c r="Q6619" t="n">
        <v>0</v>
      </c>
      <c r="R6619" t="n">
        <v>0</v>
      </c>
      <c r="S6619" t="n">
        <v>0</v>
      </c>
      <c r="T6619" t="n">
        <v>0</v>
      </c>
      <c r="U6619" t="n">
        <v>0</v>
      </c>
      <c r="V6619" s="2" t="inlineStr"/>
    </row>
    <row r="6620" ht="15" customHeight="1">
      <c r="A6620" t="inlineStr">
        <is>
          <t>S 2102-2025</t>
        </is>
      </c>
      <c r="B6620" t="inlineStr">
        <is>
          <t>samrådsanmälan</t>
        </is>
      </c>
      <c r="C6620" t="inlineStr">
        <is>
          <t>Askåterföring</t>
        </is>
      </c>
      <c r="D6620" s="1" t="n">
        <v>45845</v>
      </c>
      <c r="E6620" s="1" t="n">
        <v>46323</v>
      </c>
      <c r="F6620" t="inlineStr">
        <is>
          <t>KALMAR LÄN</t>
        </is>
      </c>
      <c r="G6620" t="inlineStr">
        <is>
          <t>VIMMERBY</t>
        </is>
      </c>
      <c r="I6620" t="n">
        <v>21.2</v>
      </c>
      <c r="J6620" t="n">
        <v>0</v>
      </c>
      <c r="K6620" t="n">
        <v>0</v>
      </c>
      <c r="L6620" t="n">
        <v>0</v>
      </c>
      <c r="M6620" t="n">
        <v>0</v>
      </c>
      <c r="N6620" t="n">
        <v>0</v>
      </c>
      <c r="O6620" t="n">
        <v>0</v>
      </c>
      <c r="P6620" t="n">
        <v>0</v>
      </c>
      <c r="Q6620" t="n">
        <v>0</v>
      </c>
      <c r="R6620" t="n">
        <v>0</v>
      </c>
      <c r="S6620" t="n">
        <v>0</v>
      </c>
      <c r="T6620" t="n">
        <v>0</v>
      </c>
      <c r="U6620" t="n">
        <v>0</v>
      </c>
      <c r="V6620" s="2" t="inlineStr"/>
    </row>
    <row r="6621" ht="15" customHeight="1">
      <c r="A6621" t="inlineStr">
        <is>
          <t>S 2109-2025</t>
        </is>
      </c>
      <c r="B6621" t="inlineStr">
        <is>
          <t>samrådsanmälan</t>
        </is>
      </c>
      <c r="C6621" t="inlineStr">
        <is>
          <t>Askåterföring</t>
        </is>
      </c>
      <c r="D6621" s="1" t="n">
        <v>45845</v>
      </c>
      <c r="E6621" s="1" t="n">
        <v>46323</v>
      </c>
      <c r="F6621" t="inlineStr">
        <is>
          <t>KALMAR LÄN</t>
        </is>
      </c>
      <c r="G6621" t="inlineStr">
        <is>
          <t>HULTSFRED</t>
        </is>
      </c>
      <c r="I6621" t="n">
        <v>19.6</v>
      </c>
      <c r="J6621" t="n">
        <v>0</v>
      </c>
      <c r="K6621" t="n">
        <v>0</v>
      </c>
      <c r="L6621" t="n">
        <v>0</v>
      </c>
      <c r="M6621" t="n">
        <v>0</v>
      </c>
      <c r="N6621" t="n">
        <v>0</v>
      </c>
      <c r="O6621" t="n">
        <v>0</v>
      </c>
      <c r="P6621" t="n">
        <v>0</v>
      </c>
      <c r="Q6621" t="n">
        <v>0</v>
      </c>
      <c r="R6621" t="n">
        <v>0</v>
      </c>
      <c r="S6621" t="n">
        <v>0</v>
      </c>
      <c r="T6621" t="n">
        <v>0</v>
      </c>
      <c r="U6621" t="n">
        <v>0</v>
      </c>
      <c r="V6621" s="2" t="inlineStr"/>
    </row>
    <row r="6622" ht="15" customHeight="1">
      <c r="A6622" t="inlineStr">
        <is>
          <t>S 2155-2025</t>
        </is>
      </c>
      <c r="B6622" t="inlineStr">
        <is>
          <t>samrådsanmälan</t>
        </is>
      </c>
      <c r="C6622" t="inlineStr">
        <is>
          <t>Askåterföring</t>
        </is>
      </c>
      <c r="D6622" s="1" t="n">
        <v>45848</v>
      </c>
      <c r="E6622" s="1" t="n">
        <v>46323</v>
      </c>
      <c r="F6622" t="inlineStr">
        <is>
          <t>KALMAR LÄN</t>
        </is>
      </c>
      <c r="G6622" t="inlineStr">
        <is>
          <t>HULTSFRED</t>
        </is>
      </c>
      <c r="I6622" t="n">
        <v>12.7</v>
      </c>
      <c r="J6622" t="n">
        <v>0</v>
      </c>
      <c r="K6622" t="n">
        <v>0</v>
      </c>
      <c r="L6622" t="n">
        <v>0</v>
      </c>
      <c r="M6622" t="n">
        <v>0</v>
      </c>
      <c r="N6622" t="n">
        <v>0</v>
      </c>
      <c r="O6622" t="n">
        <v>0</v>
      </c>
      <c r="P6622" t="n">
        <v>0</v>
      </c>
      <c r="Q6622" t="n">
        <v>0</v>
      </c>
      <c r="R6622" t="n">
        <v>0</v>
      </c>
      <c r="S6622" t="n">
        <v>0</v>
      </c>
      <c r="T6622" t="n">
        <v>0</v>
      </c>
      <c r="U6622" t="n">
        <v>0</v>
      </c>
      <c r="V6622" s="2" t="inlineStr"/>
    </row>
    <row r="6623" ht="15" customHeight="1">
      <c r="A6623" t="inlineStr">
        <is>
          <t>S 2149-2025</t>
        </is>
      </c>
      <c r="B6623" t="inlineStr">
        <is>
          <t>samrådsanmälan</t>
        </is>
      </c>
      <c r="C6623" t="inlineStr">
        <is>
          <t>Askåterföring</t>
        </is>
      </c>
      <c r="D6623" s="1" t="n">
        <v>45848</v>
      </c>
      <c r="E6623" s="1" t="n">
        <v>46323</v>
      </c>
      <c r="F6623" t="inlineStr">
        <is>
          <t>KALMAR LÄN</t>
        </is>
      </c>
      <c r="G6623" t="inlineStr">
        <is>
          <t>HULTSFRED</t>
        </is>
      </c>
      <c r="I6623" t="n">
        <v>10.8</v>
      </c>
      <c r="J6623" t="n">
        <v>0</v>
      </c>
      <c r="K6623" t="n">
        <v>0</v>
      </c>
      <c r="L6623" t="n">
        <v>0</v>
      </c>
      <c r="M6623" t="n">
        <v>0</v>
      </c>
      <c r="N6623" t="n">
        <v>0</v>
      </c>
      <c r="O6623" t="n">
        <v>0</v>
      </c>
      <c r="P6623" t="n">
        <v>0</v>
      </c>
      <c r="Q6623" t="n">
        <v>0</v>
      </c>
      <c r="R6623" t="n">
        <v>0</v>
      </c>
      <c r="S6623" t="n">
        <v>0</v>
      </c>
      <c r="T6623" t="n">
        <v>0</v>
      </c>
      <c r="U6623" t="n">
        <v>0</v>
      </c>
      <c r="V6623" s="2" t="inlineStr"/>
    </row>
    <row r="6624" ht="15" customHeight="1">
      <c r="A6624" t="inlineStr">
        <is>
          <t>S 2151-2025</t>
        </is>
      </c>
      <c r="B6624" t="inlineStr">
        <is>
          <t>samrådsanmälan</t>
        </is>
      </c>
      <c r="C6624" t="inlineStr">
        <is>
          <t>Askåterföring</t>
        </is>
      </c>
      <c r="D6624" s="1" t="n">
        <v>45848</v>
      </c>
      <c r="E6624" s="1" t="n">
        <v>46323</v>
      </c>
      <c r="F6624" t="inlineStr">
        <is>
          <t>KALMAR LÄN</t>
        </is>
      </c>
      <c r="G6624" t="inlineStr">
        <is>
          <t>VÄSTERVIK</t>
        </is>
      </c>
      <c r="I6624" t="n">
        <v>11</v>
      </c>
      <c r="J6624" t="n">
        <v>0</v>
      </c>
      <c r="K6624" t="n">
        <v>0</v>
      </c>
      <c r="L6624" t="n">
        <v>0</v>
      </c>
      <c r="M6624" t="n">
        <v>0</v>
      </c>
      <c r="N6624" t="n">
        <v>0</v>
      </c>
      <c r="O6624" t="n">
        <v>0</v>
      </c>
      <c r="P6624" t="n">
        <v>0</v>
      </c>
      <c r="Q6624" t="n">
        <v>0</v>
      </c>
      <c r="R6624" t="n">
        <v>0</v>
      </c>
      <c r="S6624" t="n">
        <v>0</v>
      </c>
      <c r="T6624" t="n">
        <v>0</v>
      </c>
      <c r="U6624" t="n">
        <v>0</v>
      </c>
      <c r="V6624" s="2" t="inlineStr"/>
    </row>
    <row r="6625" ht="15" customHeight="1">
      <c r="A6625" t="inlineStr">
        <is>
          <t>S 2147-2025</t>
        </is>
      </c>
      <c r="B6625" t="inlineStr">
        <is>
          <t>samrådsanmälan</t>
        </is>
      </c>
      <c r="C6625" t="inlineStr">
        <is>
          <t>Askåterföring</t>
        </is>
      </c>
      <c r="D6625" s="1" t="n">
        <v>45848</v>
      </c>
      <c r="E6625" s="1" t="n">
        <v>46323</v>
      </c>
      <c r="F6625" t="inlineStr">
        <is>
          <t>KALMAR LÄN</t>
        </is>
      </c>
      <c r="G6625" t="inlineStr">
        <is>
          <t>HULTSFRED</t>
        </is>
      </c>
      <c r="I6625" t="n">
        <v>23.7</v>
      </c>
      <c r="J6625" t="n">
        <v>0</v>
      </c>
      <c r="K6625" t="n">
        <v>0</v>
      </c>
      <c r="L6625" t="n">
        <v>0</v>
      </c>
      <c r="M6625" t="n">
        <v>0</v>
      </c>
      <c r="N6625" t="n">
        <v>0</v>
      </c>
      <c r="O6625" t="n">
        <v>0</v>
      </c>
      <c r="P6625" t="n">
        <v>0</v>
      </c>
      <c r="Q6625" t="n">
        <v>0</v>
      </c>
      <c r="R6625" t="n">
        <v>0</v>
      </c>
      <c r="S6625" t="n">
        <v>0</v>
      </c>
      <c r="T6625" t="n">
        <v>0</v>
      </c>
      <c r="U6625" t="n">
        <v>0</v>
      </c>
      <c r="V6625" s="2" t="inlineStr"/>
    </row>
    <row r="6626" ht="15" customHeight="1">
      <c r="A6626" t="inlineStr">
        <is>
          <t>S 2153-2025</t>
        </is>
      </c>
      <c r="B6626" t="inlineStr">
        <is>
          <t>samrådsanmälan</t>
        </is>
      </c>
      <c r="C6626" t="inlineStr">
        <is>
          <t>Askåterföring</t>
        </is>
      </c>
      <c r="D6626" s="1" t="n">
        <v>45848</v>
      </c>
      <c r="E6626" s="1" t="n">
        <v>46323</v>
      </c>
      <c r="F6626" t="inlineStr">
        <is>
          <t>KALMAR LÄN</t>
        </is>
      </c>
      <c r="G6626" t="inlineStr">
        <is>
          <t>VIMMERBY</t>
        </is>
      </c>
      <c r="I6626" t="n">
        <v>15.5</v>
      </c>
      <c r="J6626" t="n">
        <v>0</v>
      </c>
      <c r="K6626" t="n">
        <v>0</v>
      </c>
      <c r="L6626" t="n">
        <v>0</v>
      </c>
      <c r="M6626" t="n">
        <v>0</v>
      </c>
      <c r="N6626" t="n">
        <v>0</v>
      </c>
      <c r="O6626" t="n">
        <v>0</v>
      </c>
      <c r="P6626" t="n">
        <v>0</v>
      </c>
      <c r="Q6626" t="n">
        <v>0</v>
      </c>
      <c r="R6626" t="n">
        <v>0</v>
      </c>
      <c r="S6626" t="n">
        <v>0</v>
      </c>
      <c r="T6626" t="n">
        <v>0</v>
      </c>
      <c r="U6626" t="n">
        <v>0</v>
      </c>
      <c r="V6626" s="2" t="inlineStr"/>
    </row>
    <row r="6627" ht="15" customHeight="1">
      <c r="A6627" t="inlineStr">
        <is>
          <t>S 2164-2025</t>
        </is>
      </c>
      <c r="B6627" t="inlineStr">
        <is>
          <t>samrådsanmälan</t>
        </is>
      </c>
      <c r="C6627" t="inlineStr">
        <is>
          <t>Annan skogsbruksåtgärd</t>
        </is>
      </c>
      <c r="D6627" s="1" t="n">
        <v>45849</v>
      </c>
      <c r="E6627" s="1" t="n">
        <v>46323</v>
      </c>
      <c r="F6627" t="inlineStr">
        <is>
          <t>KALMAR LÄN</t>
        </is>
      </c>
      <c r="G6627" t="inlineStr">
        <is>
          <t>EMMABODA</t>
        </is>
      </c>
      <c r="I6627" t="n">
        <v>2.7</v>
      </c>
      <c r="J6627" t="n">
        <v>0</v>
      </c>
      <c r="K6627" t="n">
        <v>0</v>
      </c>
      <c r="L6627" t="n">
        <v>0</v>
      </c>
      <c r="M6627" t="n">
        <v>0</v>
      </c>
      <c r="N6627" t="n">
        <v>0</v>
      </c>
      <c r="O6627" t="n">
        <v>0</v>
      </c>
      <c r="P6627" t="n">
        <v>0</v>
      </c>
      <c r="Q6627" t="n">
        <v>0</v>
      </c>
      <c r="R6627" t="n">
        <v>0</v>
      </c>
      <c r="S6627" t="n">
        <v>0</v>
      </c>
      <c r="T6627" t="n">
        <v>0</v>
      </c>
      <c r="U6627" t="n">
        <v>0</v>
      </c>
      <c r="V6627" s="2" t="inlineStr"/>
    </row>
    <row r="6628" ht="15" customHeight="1">
      <c r="A6628" t="inlineStr">
        <is>
          <t>S 2021-2025</t>
        </is>
      </c>
      <c r="B6628" t="inlineStr">
        <is>
          <t>samrådsanmälan</t>
        </is>
      </c>
      <c r="C6628" t="inlineStr">
        <is>
          <t>Askåterföring</t>
        </is>
      </c>
      <c r="D6628" s="1" t="n">
        <v>45835</v>
      </c>
      <c r="E6628" s="1" t="n">
        <v>46323</v>
      </c>
      <c r="F6628" t="inlineStr">
        <is>
          <t>KALMAR LÄN</t>
        </is>
      </c>
      <c r="G6628" t="inlineStr">
        <is>
          <t>HÖGSBY</t>
        </is>
      </c>
      <c r="I6628" t="n">
        <v>8.5</v>
      </c>
      <c r="J6628" t="n">
        <v>0</v>
      </c>
      <c r="K6628" t="n">
        <v>0</v>
      </c>
      <c r="L6628" t="n">
        <v>0</v>
      </c>
      <c r="M6628" t="n">
        <v>0</v>
      </c>
      <c r="N6628" t="n">
        <v>0</v>
      </c>
      <c r="O6628" t="n">
        <v>0</v>
      </c>
      <c r="P6628" t="n">
        <v>0</v>
      </c>
      <c r="Q6628" t="n">
        <v>0</v>
      </c>
      <c r="R6628" t="n">
        <v>0</v>
      </c>
      <c r="S6628" t="n">
        <v>0</v>
      </c>
      <c r="T6628" t="n">
        <v>0</v>
      </c>
      <c r="U6628" t="n">
        <v>0</v>
      </c>
      <c r="V6628" s="2" t="inlineStr"/>
    </row>
    <row r="6629" ht="15" customHeight="1">
      <c r="A6629" t="inlineStr">
        <is>
          <t>S 2324-2025</t>
        </is>
      </c>
      <c r="B6629" t="inlineStr">
        <is>
          <t>samrådsanmälan</t>
        </is>
      </c>
      <c r="C6629" t="inlineStr">
        <is>
          <t>Annan skogsbruksåtgärd</t>
        </is>
      </c>
      <c r="D6629" s="1" t="n">
        <v>45884</v>
      </c>
      <c r="E6629" s="1" t="n">
        <v>46323</v>
      </c>
      <c r="F6629" t="inlineStr">
        <is>
          <t>KALMAR LÄN</t>
        </is>
      </c>
      <c r="G6629" t="inlineStr">
        <is>
          <t>VIMMERBY</t>
        </is>
      </c>
      <c r="H6629" t="inlineStr">
        <is>
          <t>Sveaskog</t>
        </is>
      </c>
      <c r="I6629" t="n">
        <v>1.1</v>
      </c>
      <c r="J6629" t="n">
        <v>0</v>
      </c>
      <c r="K6629" t="n">
        <v>0</v>
      </c>
      <c r="L6629" t="n">
        <v>0</v>
      </c>
      <c r="M6629" t="n">
        <v>0</v>
      </c>
      <c r="N6629" t="n">
        <v>0</v>
      </c>
      <c r="O6629" t="n">
        <v>0</v>
      </c>
      <c r="P6629" t="n">
        <v>0</v>
      </c>
      <c r="Q6629" t="n">
        <v>0</v>
      </c>
      <c r="R6629" t="n">
        <v>0</v>
      </c>
      <c r="S6629" t="n">
        <v>0</v>
      </c>
      <c r="T6629" t="n">
        <v>0</v>
      </c>
      <c r="U6629" t="n">
        <v>0</v>
      </c>
      <c r="V6629" s="2" t="inlineStr"/>
    </row>
    <row r="6630" ht="15" customHeight="1">
      <c r="A6630" t="inlineStr">
        <is>
          <t>S 1854-2020</t>
        </is>
      </c>
      <c r="B6630" t="inlineStr">
        <is>
          <t>samrådsanmälan</t>
        </is>
      </c>
      <c r="C6630" t="inlineStr">
        <is>
          <t>Åtgärd i nyckelbiotop</t>
        </is>
      </c>
      <c r="D6630" s="1" t="n">
        <v>44071</v>
      </c>
      <c r="E6630" s="1" t="n">
        <v>46323</v>
      </c>
      <c r="F6630" t="inlineStr">
        <is>
          <t>KALMAR LÄN</t>
        </is>
      </c>
      <c r="G6630" t="inlineStr">
        <is>
          <t>KALMAR</t>
        </is>
      </c>
      <c r="I6630" t="n">
        <v>0.1</v>
      </c>
      <c r="J6630" t="n">
        <v>0</v>
      </c>
      <c r="K6630" t="n">
        <v>0</v>
      </c>
      <c r="L6630" t="n">
        <v>0</v>
      </c>
      <c r="M6630" t="n">
        <v>0</v>
      </c>
      <c r="N6630" t="n">
        <v>0</v>
      </c>
      <c r="O6630" t="n">
        <v>0</v>
      </c>
      <c r="P6630" t="n">
        <v>0</v>
      </c>
      <c r="Q6630" t="n">
        <v>0</v>
      </c>
      <c r="R6630" t="n">
        <v>0</v>
      </c>
      <c r="S6630" t="n">
        <v>0</v>
      </c>
      <c r="T6630" t="n">
        <v>0</v>
      </c>
      <c r="U6630" t="n">
        <v>0</v>
      </c>
      <c r="V6630" s="2" t="inlineStr"/>
    </row>
    <row r="6631" ht="15" customHeight="1">
      <c r="A6631" t="inlineStr">
        <is>
          <t>S 2367-2025</t>
        </is>
      </c>
      <c r="B6631" t="inlineStr">
        <is>
          <t>samrådsanmälan</t>
        </is>
      </c>
      <c r="C6631" t="inlineStr">
        <is>
          <t>Annan skogsbruksåtgärd</t>
        </is>
      </c>
      <c r="D6631" s="1" t="n">
        <v>45889</v>
      </c>
      <c r="E6631" s="1" t="n">
        <v>46323</v>
      </c>
      <c r="F6631" t="inlineStr">
        <is>
          <t>KALMAR LÄN</t>
        </is>
      </c>
      <c r="G6631" t="inlineStr">
        <is>
          <t>OSKARSHAMN</t>
        </is>
      </c>
      <c r="I6631" t="n">
        <v>1.3</v>
      </c>
      <c r="J6631" t="n">
        <v>0</v>
      </c>
      <c r="K6631" t="n">
        <v>0</v>
      </c>
      <c r="L6631" t="n">
        <v>0</v>
      </c>
      <c r="M6631" t="n">
        <v>0</v>
      </c>
      <c r="N6631" t="n">
        <v>0</v>
      </c>
      <c r="O6631" t="n">
        <v>0</v>
      </c>
      <c r="P6631" t="n">
        <v>0</v>
      </c>
      <c r="Q6631" t="n">
        <v>0</v>
      </c>
      <c r="R6631" t="n">
        <v>0</v>
      </c>
      <c r="S6631" t="n">
        <v>0</v>
      </c>
      <c r="T6631" t="n">
        <v>0</v>
      </c>
      <c r="U6631" t="n">
        <v>0</v>
      </c>
      <c r="V6631" s="2" t="inlineStr"/>
    </row>
    <row r="6632" ht="15" customHeight="1">
      <c r="A6632" t="inlineStr">
        <is>
          <t>S 2370-2025</t>
        </is>
      </c>
      <c r="B6632" t="inlineStr">
        <is>
          <t>samrådsanmälan</t>
        </is>
      </c>
      <c r="C6632" t="inlineStr">
        <is>
          <t>Askåterföring</t>
        </is>
      </c>
      <c r="D6632" s="1" t="n">
        <v>45890</v>
      </c>
      <c r="E6632" s="1" t="n">
        <v>46323</v>
      </c>
      <c r="F6632" t="inlineStr">
        <is>
          <t>KALMAR LÄN</t>
        </is>
      </c>
      <c r="G6632" t="inlineStr">
        <is>
          <t>KALMAR</t>
        </is>
      </c>
      <c r="I6632" t="n">
        <v>11.1</v>
      </c>
      <c r="J6632" t="n">
        <v>0</v>
      </c>
      <c r="K6632" t="n">
        <v>0</v>
      </c>
      <c r="L6632" t="n">
        <v>0</v>
      </c>
      <c r="M6632" t="n">
        <v>0</v>
      </c>
      <c r="N6632" t="n">
        <v>0</v>
      </c>
      <c r="O6632" t="n">
        <v>0</v>
      </c>
      <c r="P6632" t="n">
        <v>0</v>
      </c>
      <c r="Q6632" t="n">
        <v>0</v>
      </c>
      <c r="R6632" t="n">
        <v>0</v>
      </c>
      <c r="S6632" t="n">
        <v>0</v>
      </c>
      <c r="T6632" t="n">
        <v>0</v>
      </c>
      <c r="U6632" t="n">
        <v>0</v>
      </c>
      <c r="V6632" s="2" t="inlineStr"/>
    </row>
    <row r="6633" ht="15" customHeight="1">
      <c r="A6633" t="inlineStr">
        <is>
          <t>S 2139-2025</t>
        </is>
      </c>
      <c r="B6633" t="inlineStr">
        <is>
          <t>samrådsanmälan</t>
        </is>
      </c>
      <c r="C6633" t="inlineStr">
        <is>
          <t>Annan skogsbruksåtgärd</t>
        </is>
      </c>
      <c r="D6633" s="1" t="n">
        <v>45847</v>
      </c>
      <c r="E6633" s="1" t="n">
        <v>46323</v>
      </c>
      <c r="F6633" t="inlineStr">
        <is>
          <t>KALMAR LÄN</t>
        </is>
      </c>
      <c r="G6633" t="inlineStr">
        <is>
          <t>NYBRO</t>
        </is>
      </c>
      <c r="I6633" t="n">
        <v>4.4</v>
      </c>
      <c r="J6633" t="n">
        <v>0</v>
      </c>
      <c r="K6633" t="n">
        <v>0</v>
      </c>
      <c r="L6633" t="n">
        <v>0</v>
      </c>
      <c r="M6633" t="n">
        <v>0</v>
      </c>
      <c r="N6633" t="n">
        <v>0</v>
      </c>
      <c r="O6633" t="n">
        <v>0</v>
      </c>
      <c r="P6633" t="n">
        <v>0</v>
      </c>
      <c r="Q6633" t="n">
        <v>0</v>
      </c>
      <c r="R6633" t="n">
        <v>0</v>
      </c>
      <c r="S6633" t="n">
        <v>0</v>
      </c>
      <c r="T6633" t="n">
        <v>0</v>
      </c>
      <c r="U6633" t="n">
        <v>0</v>
      </c>
      <c r="V6633" s="2" t="inlineStr"/>
    </row>
    <row r="6634" ht="15" customHeight="1">
      <c r="A6634" t="inlineStr">
        <is>
          <t>S 2433-2025</t>
        </is>
      </c>
      <c r="B6634" t="inlineStr">
        <is>
          <t>samrådsanmälan</t>
        </is>
      </c>
      <c r="C6634" t="inlineStr">
        <is>
          <t>Askåterföring</t>
        </is>
      </c>
      <c r="D6634" s="1" t="n">
        <v>45898</v>
      </c>
      <c r="E6634" s="1" t="n">
        <v>46323</v>
      </c>
      <c r="F6634" t="inlineStr">
        <is>
          <t>KALMAR LÄN</t>
        </is>
      </c>
      <c r="G6634" t="inlineStr">
        <is>
          <t>EMMABODA</t>
        </is>
      </c>
      <c r="I6634" t="n">
        <v>16.5</v>
      </c>
      <c r="J6634" t="n">
        <v>0</v>
      </c>
      <c r="K6634" t="n">
        <v>0</v>
      </c>
      <c r="L6634" t="n">
        <v>0</v>
      </c>
      <c r="M6634" t="n">
        <v>0</v>
      </c>
      <c r="N6634" t="n">
        <v>0</v>
      </c>
      <c r="O6634" t="n">
        <v>0</v>
      </c>
      <c r="P6634" t="n">
        <v>0</v>
      </c>
      <c r="Q6634" t="n">
        <v>0</v>
      </c>
      <c r="R6634" t="n">
        <v>0</v>
      </c>
      <c r="S6634" t="n">
        <v>0</v>
      </c>
      <c r="T6634" t="n">
        <v>0</v>
      </c>
      <c r="U6634" t="n">
        <v>0</v>
      </c>
      <c r="V6634" s="2" t="inlineStr"/>
    </row>
    <row r="6635" ht="15" customHeight="1">
      <c r="A6635" t="inlineStr">
        <is>
          <t>S 2494-2025</t>
        </is>
      </c>
      <c r="B6635" t="inlineStr">
        <is>
          <t>samrådsanmälan</t>
        </is>
      </c>
      <c r="C6635" t="inlineStr">
        <is>
          <t>Askåterföring</t>
        </is>
      </c>
      <c r="D6635" s="1" t="n">
        <v>45902</v>
      </c>
      <c r="E6635" s="1" t="n">
        <v>46323</v>
      </c>
      <c r="F6635" t="inlineStr">
        <is>
          <t>KALMAR LÄN</t>
        </is>
      </c>
      <c r="G6635" t="inlineStr">
        <is>
          <t>KALMAR</t>
        </is>
      </c>
      <c r="I6635" t="n">
        <v>30.8</v>
      </c>
      <c r="J6635" t="n">
        <v>0</v>
      </c>
      <c r="K6635" t="n">
        <v>0</v>
      </c>
      <c r="L6635" t="n">
        <v>0</v>
      </c>
      <c r="M6635" t="n">
        <v>0</v>
      </c>
      <c r="N6635" t="n">
        <v>0</v>
      </c>
      <c r="O6635" t="n">
        <v>0</v>
      </c>
      <c r="P6635" t="n">
        <v>0</v>
      </c>
      <c r="Q6635" t="n">
        <v>0</v>
      </c>
      <c r="R6635" t="n">
        <v>0</v>
      </c>
      <c r="S6635" t="n">
        <v>0</v>
      </c>
      <c r="T6635" t="n">
        <v>0</v>
      </c>
      <c r="U6635" t="n">
        <v>0</v>
      </c>
      <c r="V6635" s="2" t="inlineStr"/>
    </row>
    <row r="6636" ht="15" customHeight="1">
      <c r="A6636" t="inlineStr">
        <is>
          <t>S 2659-2025</t>
        </is>
      </c>
      <c r="B6636" t="inlineStr">
        <is>
          <t>samrådsanmälan</t>
        </is>
      </c>
      <c r="C6636" t="inlineStr">
        <is>
          <t>Askåterföring</t>
        </is>
      </c>
      <c r="D6636" s="1" t="n">
        <v>45923</v>
      </c>
      <c r="E6636" s="1" t="n">
        <v>46323</v>
      </c>
      <c r="F6636" t="inlineStr">
        <is>
          <t>KALMAR LÄN</t>
        </is>
      </c>
      <c r="G6636" t="inlineStr">
        <is>
          <t>NYBRO</t>
        </is>
      </c>
      <c r="I6636" t="n">
        <v>22.2</v>
      </c>
      <c r="J6636" t="n">
        <v>0</v>
      </c>
      <c r="K6636" t="n">
        <v>0</v>
      </c>
      <c r="L6636" t="n">
        <v>0</v>
      </c>
      <c r="M6636" t="n">
        <v>0</v>
      </c>
      <c r="N6636" t="n">
        <v>0</v>
      </c>
      <c r="O6636" t="n">
        <v>0</v>
      </c>
      <c r="P6636" t="n">
        <v>0</v>
      </c>
      <c r="Q6636" t="n">
        <v>0</v>
      </c>
      <c r="R6636" t="n">
        <v>0</v>
      </c>
      <c r="S6636" t="n">
        <v>0</v>
      </c>
      <c r="T6636" t="n">
        <v>0</v>
      </c>
      <c r="U6636" t="n">
        <v>0</v>
      </c>
      <c r="V6636" s="2" t="inlineStr"/>
    </row>
    <row r="6637" ht="15" customHeight="1">
      <c r="A6637" t="inlineStr">
        <is>
          <t>S 2635-2025</t>
        </is>
      </c>
      <c r="B6637" t="inlineStr">
        <is>
          <t>samrådsanmälan</t>
        </is>
      </c>
      <c r="C6637" t="inlineStr">
        <is>
          <t>Annan skogsbruksåtgärd</t>
        </is>
      </c>
      <c r="D6637" s="1" t="n">
        <v>45919</v>
      </c>
      <c r="E6637" s="1" t="n">
        <v>46323</v>
      </c>
      <c r="F6637" t="inlineStr">
        <is>
          <t>KALMAR LÄN</t>
        </is>
      </c>
      <c r="G6637" t="inlineStr">
        <is>
          <t>NYBRO</t>
        </is>
      </c>
      <c r="I6637" t="n">
        <v>0.9</v>
      </c>
      <c r="J6637" t="n">
        <v>0</v>
      </c>
      <c r="K6637" t="n">
        <v>0</v>
      </c>
      <c r="L6637" t="n">
        <v>0</v>
      </c>
      <c r="M6637" t="n">
        <v>0</v>
      </c>
      <c r="N6637" t="n">
        <v>0</v>
      </c>
      <c r="O6637" t="n">
        <v>0</v>
      </c>
      <c r="P6637" t="n">
        <v>0</v>
      </c>
      <c r="Q6637" t="n">
        <v>0</v>
      </c>
      <c r="R6637" t="n">
        <v>0</v>
      </c>
      <c r="S6637" t="n">
        <v>0</v>
      </c>
      <c r="T6637" t="n">
        <v>0</v>
      </c>
      <c r="U6637" t="n">
        <v>0</v>
      </c>
      <c r="V6637" s="2" t="inlineStr"/>
    </row>
    <row r="6638" ht="15" customHeight="1">
      <c r="A6638" t="inlineStr">
        <is>
          <t>S 2693-2025</t>
        </is>
      </c>
      <c r="B6638" t="inlineStr">
        <is>
          <t>samrådsanmälan</t>
        </is>
      </c>
      <c r="C6638" t="inlineStr">
        <is>
          <t>Askåterföring</t>
        </is>
      </c>
      <c r="D6638" s="1" t="n">
        <v>45926</v>
      </c>
      <c r="E6638" s="1" t="n">
        <v>46323</v>
      </c>
      <c r="F6638" t="inlineStr">
        <is>
          <t>KALMAR LÄN</t>
        </is>
      </c>
      <c r="G6638" t="inlineStr">
        <is>
          <t>NYBRO</t>
        </is>
      </c>
      <c r="I6638" t="n">
        <v>77.8</v>
      </c>
      <c r="J6638" t="n">
        <v>0</v>
      </c>
      <c r="K6638" t="n">
        <v>0</v>
      </c>
      <c r="L6638" t="n">
        <v>0</v>
      </c>
      <c r="M6638" t="n">
        <v>0</v>
      </c>
      <c r="N6638" t="n">
        <v>0</v>
      </c>
      <c r="O6638" t="n">
        <v>0</v>
      </c>
      <c r="P6638" t="n">
        <v>0</v>
      </c>
      <c r="Q6638" t="n">
        <v>0</v>
      </c>
      <c r="R6638" t="n">
        <v>0</v>
      </c>
      <c r="S6638" t="n">
        <v>0</v>
      </c>
      <c r="T6638" t="n">
        <v>0</v>
      </c>
      <c r="U6638" t="n">
        <v>0</v>
      </c>
      <c r="V6638" s="2" t="inlineStr"/>
    </row>
    <row r="6639" ht="15" customHeight="1">
      <c r="A6639" t="inlineStr">
        <is>
          <t>S 379-2023</t>
        </is>
      </c>
      <c r="B6639" t="inlineStr">
        <is>
          <t>samrådsanmälan</t>
        </is>
      </c>
      <c r="C6639" t="inlineStr">
        <is>
          <t>Askåterföring</t>
        </is>
      </c>
      <c r="D6639" s="1" t="n">
        <v>44958</v>
      </c>
      <c r="E6639" s="1" t="n">
        <v>46323</v>
      </c>
      <c r="F6639" t="inlineStr">
        <is>
          <t>KALMAR LÄN</t>
        </is>
      </c>
      <c r="G6639" t="inlineStr">
        <is>
          <t>HÖGSBY</t>
        </is>
      </c>
      <c r="I6639" t="n">
        <v>2.3</v>
      </c>
      <c r="J6639" t="n">
        <v>0</v>
      </c>
      <c r="K6639" t="n">
        <v>0</v>
      </c>
      <c r="L6639" t="n">
        <v>0</v>
      </c>
      <c r="M6639" t="n">
        <v>0</v>
      </c>
      <c r="N6639" t="n">
        <v>0</v>
      </c>
      <c r="O6639" t="n">
        <v>0</v>
      </c>
      <c r="P6639" t="n">
        <v>0</v>
      </c>
      <c r="Q6639" t="n">
        <v>0</v>
      </c>
      <c r="R6639" t="n">
        <v>0</v>
      </c>
      <c r="S6639" t="n">
        <v>0</v>
      </c>
      <c r="T6639" t="n">
        <v>0</v>
      </c>
      <c r="U6639" t="n">
        <v>0</v>
      </c>
      <c r="V6639" s="2" t="inlineStr"/>
    </row>
    <row r="6640" ht="15" customHeight="1">
      <c r="A6640" t="inlineStr">
        <is>
          <t>S 2757-2025</t>
        </is>
      </c>
      <c r="B6640" t="inlineStr">
        <is>
          <t>samrådsanmälan</t>
        </is>
      </c>
      <c r="C6640" t="inlineStr">
        <is>
          <t>Askåterföring</t>
        </is>
      </c>
      <c r="D6640" s="1" t="n">
        <v>45935</v>
      </c>
      <c r="E6640" s="1" t="n">
        <v>46323</v>
      </c>
      <c r="F6640" t="inlineStr">
        <is>
          <t>KALMAR LÄN</t>
        </is>
      </c>
      <c r="G6640" t="inlineStr">
        <is>
          <t>EMMABODA</t>
        </is>
      </c>
      <c r="I6640" t="n">
        <v>17.8</v>
      </c>
      <c r="J6640" t="n">
        <v>0</v>
      </c>
      <c r="K6640" t="n">
        <v>0</v>
      </c>
      <c r="L6640" t="n">
        <v>0</v>
      </c>
      <c r="M6640" t="n">
        <v>0</v>
      </c>
      <c r="N6640" t="n">
        <v>0</v>
      </c>
      <c r="O6640" t="n">
        <v>0</v>
      </c>
      <c r="P6640" t="n">
        <v>0</v>
      </c>
      <c r="Q6640" t="n">
        <v>0</v>
      </c>
      <c r="R6640" t="n">
        <v>0</v>
      </c>
      <c r="S6640" t="n">
        <v>0</v>
      </c>
      <c r="T6640" t="n">
        <v>0</v>
      </c>
      <c r="U6640" t="n">
        <v>0</v>
      </c>
      <c r="V6640" s="2" t="inlineStr"/>
    </row>
    <row r="6641" ht="15" customHeight="1">
      <c r="A6641" t="inlineStr">
        <is>
          <t>S 351-2023</t>
        </is>
      </c>
      <c r="B6641" t="inlineStr">
        <is>
          <t>samrådsanmälan</t>
        </is>
      </c>
      <c r="C6641" t="inlineStr">
        <is>
          <t>Askåterföring</t>
        </is>
      </c>
      <c r="D6641" s="1" t="n">
        <v>44958</v>
      </c>
      <c r="E6641" s="1" t="n">
        <v>46323</v>
      </c>
      <c r="F6641" t="inlineStr">
        <is>
          <t>KALMAR LÄN</t>
        </is>
      </c>
      <c r="G6641" t="inlineStr">
        <is>
          <t>HÖGSBY</t>
        </is>
      </c>
      <c r="I6641" t="n">
        <v>21.3</v>
      </c>
      <c r="J6641" t="n">
        <v>0</v>
      </c>
      <c r="K6641" t="n">
        <v>0</v>
      </c>
      <c r="L6641" t="n">
        <v>0</v>
      </c>
      <c r="M6641" t="n">
        <v>0</v>
      </c>
      <c r="N6641" t="n">
        <v>0</v>
      </c>
      <c r="O6641" t="n">
        <v>0</v>
      </c>
      <c r="P6641" t="n">
        <v>0</v>
      </c>
      <c r="Q6641" t="n">
        <v>0</v>
      </c>
      <c r="R6641" t="n">
        <v>0</v>
      </c>
      <c r="S6641" t="n">
        <v>0</v>
      </c>
      <c r="T6641" t="n">
        <v>0</v>
      </c>
      <c r="U6641" t="n">
        <v>0</v>
      </c>
      <c r="V6641" s="2" t="inlineStr"/>
    </row>
    <row r="6642" ht="15" customHeight="1">
      <c r="A6642" t="inlineStr">
        <is>
          <t>S 2771-2025</t>
        </is>
      </c>
      <c r="B6642" t="inlineStr">
        <is>
          <t>samrådsanmälan</t>
        </is>
      </c>
      <c r="C6642" t="inlineStr">
        <is>
          <t>Annan skogsbruksåtgärd</t>
        </is>
      </c>
      <c r="D6642" s="1" t="n">
        <v>45937</v>
      </c>
      <c r="E6642" s="1" t="n">
        <v>46323</v>
      </c>
      <c r="F6642" t="inlineStr">
        <is>
          <t>KALMAR LÄN</t>
        </is>
      </c>
      <c r="G6642" t="inlineStr">
        <is>
          <t>VÄSTERVIK</t>
        </is>
      </c>
      <c r="H6642" t="inlineStr">
        <is>
          <t>Sveaskog</t>
        </is>
      </c>
      <c r="I6642" t="n">
        <v>2.7</v>
      </c>
      <c r="J6642" t="n">
        <v>0</v>
      </c>
      <c r="K6642" t="n">
        <v>0</v>
      </c>
      <c r="L6642" t="n">
        <v>0</v>
      </c>
      <c r="M6642" t="n">
        <v>0</v>
      </c>
      <c r="N6642" t="n">
        <v>0</v>
      </c>
      <c r="O6642" t="n">
        <v>0</v>
      </c>
      <c r="P6642" t="n">
        <v>0</v>
      </c>
      <c r="Q6642" t="n">
        <v>0</v>
      </c>
      <c r="R6642" t="n">
        <v>0</v>
      </c>
      <c r="S6642" t="n">
        <v>0</v>
      </c>
      <c r="T6642" t="n">
        <v>0</v>
      </c>
      <c r="U6642" t="n">
        <v>0</v>
      </c>
      <c r="V6642" s="2" t="inlineStr"/>
    </row>
    <row r="6643" ht="15" customHeight="1">
      <c r="A6643" t="inlineStr">
        <is>
          <t>S 2774-2025</t>
        </is>
      </c>
      <c r="B6643" t="inlineStr">
        <is>
          <t>samrådsanmälan</t>
        </is>
      </c>
      <c r="C6643" t="inlineStr">
        <is>
          <t>Annan skogsbruksåtgärd</t>
        </is>
      </c>
      <c r="D6643" s="1" t="n">
        <v>45937</v>
      </c>
      <c r="E6643" s="1" t="n">
        <v>46323</v>
      </c>
      <c r="F6643" t="inlineStr">
        <is>
          <t>KALMAR LÄN</t>
        </is>
      </c>
      <c r="G6643" t="inlineStr">
        <is>
          <t>VÄSTERVIK</t>
        </is>
      </c>
      <c r="H6643" t="inlineStr">
        <is>
          <t>Sveaskog</t>
        </is>
      </c>
      <c r="I6643" t="n">
        <v>4.9</v>
      </c>
      <c r="J6643" t="n">
        <v>0</v>
      </c>
      <c r="K6643" t="n">
        <v>0</v>
      </c>
      <c r="L6643" t="n">
        <v>0</v>
      </c>
      <c r="M6643" t="n">
        <v>0</v>
      </c>
      <c r="N6643" t="n">
        <v>0</v>
      </c>
      <c r="O6643" t="n">
        <v>0</v>
      </c>
      <c r="P6643" t="n">
        <v>0</v>
      </c>
      <c r="Q6643" t="n">
        <v>0</v>
      </c>
      <c r="R6643" t="n">
        <v>0</v>
      </c>
      <c r="S6643" t="n">
        <v>0</v>
      </c>
      <c r="T6643" t="n">
        <v>0</v>
      </c>
      <c r="U6643" t="n">
        <v>0</v>
      </c>
      <c r="V6643" s="2" t="inlineStr"/>
    </row>
    <row r="6644" ht="15" customHeight="1">
      <c r="A6644" t="inlineStr">
        <is>
          <t>S 2838-2025</t>
        </is>
      </c>
      <c r="B6644" t="inlineStr">
        <is>
          <t>samrådsanmälan</t>
        </is>
      </c>
      <c r="C6644" t="inlineStr">
        <is>
          <t>Annan skogsbruksåtgärd</t>
        </is>
      </c>
      <c r="D6644" s="1" t="n">
        <v>45940</v>
      </c>
      <c r="E6644" s="1" t="n">
        <v>46323</v>
      </c>
      <c r="F6644" t="inlineStr">
        <is>
          <t>KALMAR LÄN</t>
        </is>
      </c>
      <c r="G6644" t="inlineStr">
        <is>
          <t>MÖNSTERÅS</t>
        </is>
      </c>
      <c r="I6644" t="n">
        <v>2</v>
      </c>
      <c r="J6644" t="n">
        <v>0</v>
      </c>
      <c r="K6644" t="n">
        <v>0</v>
      </c>
      <c r="L6644" t="n">
        <v>0</v>
      </c>
      <c r="M6644" t="n">
        <v>0</v>
      </c>
      <c r="N6644" t="n">
        <v>0</v>
      </c>
      <c r="O6644" t="n">
        <v>0</v>
      </c>
      <c r="P6644" t="n">
        <v>0</v>
      </c>
      <c r="Q6644" t="n">
        <v>0</v>
      </c>
      <c r="R6644" t="n">
        <v>0</v>
      </c>
      <c r="S6644" t="n">
        <v>0</v>
      </c>
      <c r="T6644" t="n">
        <v>0</v>
      </c>
      <c r="U6644" t="n">
        <v>0</v>
      </c>
      <c r="V6644" s="2" t="inlineStr"/>
    </row>
    <row r="6645" ht="15" customHeight="1">
      <c r="A6645" t="inlineStr">
        <is>
          <t>S 2809-2025</t>
        </is>
      </c>
      <c r="B6645" t="inlineStr">
        <is>
          <t>samrådsanmälan</t>
        </is>
      </c>
      <c r="C6645" t="inlineStr">
        <is>
          <t>Annan skogsbruksåtgärd</t>
        </is>
      </c>
      <c r="D6645" s="1" t="n">
        <v>45938</v>
      </c>
      <c r="E6645" s="1" t="n">
        <v>46323</v>
      </c>
      <c r="F6645" t="inlineStr">
        <is>
          <t>KALMAR LÄN</t>
        </is>
      </c>
      <c r="G6645" t="inlineStr">
        <is>
          <t>HÖGSBY</t>
        </is>
      </c>
      <c r="I6645" t="n">
        <v>0.7</v>
      </c>
      <c r="J6645" t="n">
        <v>0</v>
      </c>
      <c r="K6645" t="n">
        <v>0</v>
      </c>
      <c r="L6645" t="n">
        <v>0</v>
      </c>
      <c r="M6645" t="n">
        <v>0</v>
      </c>
      <c r="N6645" t="n">
        <v>0</v>
      </c>
      <c r="O6645" t="n">
        <v>0</v>
      </c>
      <c r="P6645" t="n">
        <v>0</v>
      </c>
      <c r="Q6645" t="n">
        <v>0</v>
      </c>
      <c r="R6645" t="n">
        <v>0</v>
      </c>
      <c r="S6645" t="n">
        <v>0</v>
      </c>
      <c r="T6645" t="n">
        <v>0</v>
      </c>
      <c r="U6645" t="n">
        <v>0</v>
      </c>
      <c r="V6645" s="2" t="inlineStr"/>
    </row>
    <row r="6646" ht="15" customHeight="1">
      <c r="A6646" t="inlineStr">
        <is>
          <t>S 2970-2025</t>
        </is>
      </c>
      <c r="B6646" t="inlineStr">
        <is>
          <t>samrådsanmälan</t>
        </is>
      </c>
      <c r="C6646" t="inlineStr">
        <is>
          <t>Annan skogsbruksåtgärd</t>
        </is>
      </c>
      <c r="D6646" s="1" t="n">
        <v>45954</v>
      </c>
      <c r="E6646" s="1" t="n">
        <v>46323</v>
      </c>
      <c r="F6646" t="inlineStr">
        <is>
          <t>KALMAR LÄN</t>
        </is>
      </c>
      <c r="G6646" t="inlineStr">
        <is>
          <t>OSKARSHAMN</t>
        </is>
      </c>
      <c r="I6646" t="n">
        <v>1.3</v>
      </c>
      <c r="J6646" t="n">
        <v>0</v>
      </c>
      <c r="K6646" t="n">
        <v>0</v>
      </c>
      <c r="L6646" t="n">
        <v>0</v>
      </c>
      <c r="M6646" t="n">
        <v>0</v>
      </c>
      <c r="N6646" t="n">
        <v>0</v>
      </c>
      <c r="O6646" t="n">
        <v>0</v>
      </c>
      <c r="P6646" t="n">
        <v>0</v>
      </c>
      <c r="Q6646" t="n">
        <v>0</v>
      </c>
      <c r="R6646" t="n">
        <v>0</v>
      </c>
      <c r="S6646" t="n">
        <v>0</v>
      </c>
      <c r="T6646" t="n">
        <v>0</v>
      </c>
      <c r="U6646" t="n">
        <v>0</v>
      </c>
      <c r="V6646" s="2" t="inlineStr"/>
    </row>
    <row r="6647" ht="15" customHeight="1">
      <c r="A6647" t="inlineStr">
        <is>
          <t>S 3042-2025</t>
        </is>
      </c>
      <c r="B6647" t="inlineStr">
        <is>
          <t>samrådsanmälan</t>
        </is>
      </c>
      <c r="C6647" t="inlineStr">
        <is>
          <t>Annan skogsbruksåtgärd</t>
        </is>
      </c>
      <c r="D6647" s="1" t="n">
        <v>45961</v>
      </c>
      <c r="E6647" s="1" t="n">
        <v>46323</v>
      </c>
      <c r="F6647" t="inlineStr">
        <is>
          <t>KALMAR LÄN</t>
        </is>
      </c>
      <c r="G6647" t="inlineStr">
        <is>
          <t>VÄSTERVIK</t>
        </is>
      </c>
      <c r="H6647" t="inlineStr">
        <is>
          <t>Sveaskog</t>
        </is>
      </c>
      <c r="I6647" t="n">
        <v>1.4</v>
      </c>
      <c r="J6647" t="n">
        <v>0</v>
      </c>
      <c r="K6647" t="n">
        <v>0</v>
      </c>
      <c r="L6647" t="n">
        <v>0</v>
      </c>
      <c r="M6647" t="n">
        <v>0</v>
      </c>
      <c r="N6647" t="n">
        <v>0</v>
      </c>
      <c r="O6647" t="n">
        <v>0</v>
      </c>
      <c r="P6647" t="n">
        <v>0</v>
      </c>
      <c r="Q6647" t="n">
        <v>0</v>
      </c>
      <c r="R6647" t="n">
        <v>0</v>
      </c>
      <c r="S6647" t="n">
        <v>0</v>
      </c>
      <c r="T6647" t="n">
        <v>0</v>
      </c>
      <c r="U6647" t="n">
        <v>0</v>
      </c>
      <c r="V6647" s="2" t="inlineStr"/>
    </row>
    <row r="6648" ht="15" customHeight="1">
      <c r="A6648" t="inlineStr">
        <is>
          <t>S 3036-2025</t>
        </is>
      </c>
      <c r="B6648" t="inlineStr">
        <is>
          <t>samrådsanmälan</t>
        </is>
      </c>
      <c r="C6648" t="inlineStr">
        <is>
          <t>Annan skogsbruksåtgärd</t>
        </is>
      </c>
      <c r="D6648" s="1" t="n">
        <v>45961</v>
      </c>
      <c r="E6648" s="1" t="n">
        <v>46323</v>
      </c>
      <c r="F6648" t="inlineStr">
        <is>
          <t>KALMAR LÄN</t>
        </is>
      </c>
      <c r="G6648" t="inlineStr">
        <is>
          <t>VÄSTERVIK</t>
        </is>
      </c>
      <c r="H6648" t="inlineStr">
        <is>
          <t>Sveaskog</t>
        </is>
      </c>
      <c r="I6648" t="n">
        <v>3.9</v>
      </c>
      <c r="J6648" t="n">
        <v>0</v>
      </c>
      <c r="K6648" t="n">
        <v>0</v>
      </c>
      <c r="L6648" t="n">
        <v>0</v>
      </c>
      <c r="M6648" t="n">
        <v>0</v>
      </c>
      <c r="N6648" t="n">
        <v>0</v>
      </c>
      <c r="O6648" t="n">
        <v>0</v>
      </c>
      <c r="P6648" t="n">
        <v>0</v>
      </c>
      <c r="Q6648" t="n">
        <v>0</v>
      </c>
      <c r="R6648" t="n">
        <v>0</v>
      </c>
      <c r="S6648" t="n">
        <v>0</v>
      </c>
      <c r="T6648" t="n">
        <v>0</v>
      </c>
      <c r="U6648" t="n">
        <v>0</v>
      </c>
      <c r="V6648" s="2" t="inlineStr"/>
    </row>
    <row r="6649" ht="15" customHeight="1">
      <c r="A6649" t="inlineStr">
        <is>
          <t>S 3039-2025</t>
        </is>
      </c>
      <c r="B6649" t="inlineStr">
        <is>
          <t>samrådsanmälan</t>
        </is>
      </c>
      <c r="C6649" t="inlineStr">
        <is>
          <t>Annan skogsbruksåtgärd</t>
        </is>
      </c>
      <c r="D6649" s="1" t="n">
        <v>45961</v>
      </c>
      <c r="E6649" s="1" t="n">
        <v>46323</v>
      </c>
      <c r="F6649" t="inlineStr">
        <is>
          <t>KALMAR LÄN</t>
        </is>
      </c>
      <c r="G6649" t="inlineStr">
        <is>
          <t>VÄSTERVIK</t>
        </is>
      </c>
      <c r="H6649" t="inlineStr">
        <is>
          <t>Sveaskog</t>
        </is>
      </c>
      <c r="I6649" t="n">
        <v>1.6</v>
      </c>
      <c r="J6649" t="n">
        <v>0</v>
      </c>
      <c r="K6649" t="n">
        <v>0</v>
      </c>
      <c r="L6649" t="n">
        <v>0</v>
      </c>
      <c r="M6649" t="n">
        <v>0</v>
      </c>
      <c r="N6649" t="n">
        <v>0</v>
      </c>
      <c r="O6649" t="n">
        <v>0</v>
      </c>
      <c r="P6649" t="n">
        <v>0</v>
      </c>
      <c r="Q6649" t="n">
        <v>0</v>
      </c>
      <c r="R6649" t="n">
        <v>0</v>
      </c>
      <c r="S6649" t="n">
        <v>0</v>
      </c>
      <c r="T6649" t="n">
        <v>0</v>
      </c>
      <c r="U6649" t="n">
        <v>0</v>
      </c>
      <c r="V6649" s="2" t="inlineStr"/>
    </row>
    <row r="6650" ht="15" customHeight="1">
      <c r="A6650" t="inlineStr">
        <is>
          <t>S 3075-2025</t>
        </is>
      </c>
      <c r="B6650" t="inlineStr">
        <is>
          <t>samrådsanmälan</t>
        </is>
      </c>
      <c r="C6650" t="inlineStr">
        <is>
          <t>Annan skogsbruksåtgärd</t>
        </is>
      </c>
      <c r="D6650" s="1" t="n">
        <v>45965</v>
      </c>
      <c r="E6650" s="1" t="n">
        <v>46323</v>
      </c>
      <c r="F6650" t="inlineStr">
        <is>
          <t>KALMAR LÄN</t>
        </is>
      </c>
      <c r="G6650" t="inlineStr">
        <is>
          <t>HULTSFRED</t>
        </is>
      </c>
      <c r="H6650" t="inlineStr">
        <is>
          <t>Sveaskog</t>
        </is>
      </c>
      <c r="I6650" t="n">
        <v>1.1</v>
      </c>
      <c r="J6650" t="n">
        <v>0</v>
      </c>
      <c r="K6650" t="n">
        <v>0</v>
      </c>
      <c r="L6650" t="n">
        <v>0</v>
      </c>
      <c r="M6650" t="n">
        <v>0</v>
      </c>
      <c r="N6650" t="n">
        <v>0</v>
      </c>
      <c r="O6650" t="n">
        <v>0</v>
      </c>
      <c r="P6650" t="n">
        <v>0</v>
      </c>
      <c r="Q6650" t="n">
        <v>0</v>
      </c>
      <c r="R6650" t="n">
        <v>0</v>
      </c>
      <c r="S6650" t="n">
        <v>0</v>
      </c>
      <c r="T6650" t="n">
        <v>0</v>
      </c>
      <c r="U6650" t="n">
        <v>0</v>
      </c>
      <c r="V6650" s="2" t="inlineStr"/>
    </row>
    <row r="6651" ht="15" customHeight="1">
      <c r="A6651" t="inlineStr">
        <is>
          <t>S 3189-2025</t>
        </is>
      </c>
      <c r="B6651" t="inlineStr">
        <is>
          <t>samrådsanmälan</t>
        </is>
      </c>
      <c r="C6651" t="inlineStr">
        <is>
          <t>Askåterföring</t>
        </is>
      </c>
      <c r="D6651" s="1" t="n">
        <v>45978</v>
      </c>
      <c r="E6651" s="1" t="n">
        <v>46323</v>
      </c>
      <c r="F6651" t="inlineStr">
        <is>
          <t>KALMAR LÄN</t>
        </is>
      </c>
      <c r="G6651" t="inlineStr">
        <is>
          <t>EMMABODA</t>
        </is>
      </c>
      <c r="I6651" t="n">
        <v>7.8</v>
      </c>
      <c r="J6651" t="n">
        <v>0</v>
      </c>
      <c r="K6651" t="n">
        <v>0</v>
      </c>
      <c r="L6651" t="n">
        <v>0</v>
      </c>
      <c r="M6651" t="n">
        <v>0</v>
      </c>
      <c r="N6651" t="n">
        <v>0</v>
      </c>
      <c r="O6651" t="n">
        <v>0</v>
      </c>
      <c r="P6651" t="n">
        <v>0</v>
      </c>
      <c r="Q6651" t="n">
        <v>0</v>
      </c>
      <c r="R6651" t="n">
        <v>0</v>
      </c>
      <c r="S6651" t="n">
        <v>0</v>
      </c>
      <c r="T6651" t="n">
        <v>0</v>
      </c>
      <c r="U6651" t="n">
        <v>0</v>
      </c>
      <c r="V6651" s="2" t="inlineStr"/>
    </row>
    <row r="6652" ht="15" customHeight="1">
      <c r="A6652" t="inlineStr">
        <is>
          <t>S 3252-2025</t>
        </is>
      </c>
      <c r="B6652" t="inlineStr">
        <is>
          <t>samrådsanmälan</t>
        </is>
      </c>
      <c r="C6652" t="inlineStr">
        <is>
          <t>Askåterföring</t>
        </is>
      </c>
      <c r="D6652" s="1" t="n">
        <v>45982</v>
      </c>
      <c r="E6652" s="1" t="n">
        <v>46323</v>
      </c>
      <c r="F6652" t="inlineStr">
        <is>
          <t>KALMAR LÄN</t>
        </is>
      </c>
      <c r="G6652" t="inlineStr">
        <is>
          <t>NYBRO</t>
        </is>
      </c>
      <c r="I6652" t="n">
        <v>7</v>
      </c>
      <c r="J6652" t="n">
        <v>0</v>
      </c>
      <c r="K6652" t="n">
        <v>0</v>
      </c>
      <c r="L6652" t="n">
        <v>0</v>
      </c>
      <c r="M6652" t="n">
        <v>0</v>
      </c>
      <c r="N6652" t="n">
        <v>0</v>
      </c>
      <c r="O6652" t="n">
        <v>0</v>
      </c>
      <c r="P6652" t="n">
        <v>0</v>
      </c>
      <c r="Q6652" t="n">
        <v>0</v>
      </c>
      <c r="R6652" t="n">
        <v>0</v>
      </c>
      <c r="S6652" t="n">
        <v>0</v>
      </c>
      <c r="T6652" t="n">
        <v>0</v>
      </c>
      <c r="U6652" t="n">
        <v>0</v>
      </c>
      <c r="V6652" s="2" t="inlineStr"/>
    </row>
    <row r="6653" ht="15" customHeight="1">
      <c r="A6653" t="inlineStr">
        <is>
          <t>S 3253-2025</t>
        </is>
      </c>
      <c r="B6653" t="inlineStr">
        <is>
          <t>samrådsanmälan</t>
        </is>
      </c>
      <c r="C6653" t="inlineStr">
        <is>
          <t>Askåterföring</t>
        </is>
      </c>
      <c r="D6653" s="1" t="n">
        <v>45982</v>
      </c>
      <c r="E6653" s="1" t="n">
        <v>46323</v>
      </c>
      <c r="F6653" t="inlineStr">
        <is>
          <t>KALMAR LÄN</t>
        </is>
      </c>
      <c r="G6653" t="inlineStr">
        <is>
          <t>NYBRO</t>
        </is>
      </c>
      <c r="I6653" t="n">
        <v>5.8</v>
      </c>
      <c r="J6653" t="n">
        <v>0</v>
      </c>
      <c r="K6653" t="n">
        <v>0</v>
      </c>
      <c r="L6653" t="n">
        <v>0</v>
      </c>
      <c r="M6653" t="n">
        <v>0</v>
      </c>
      <c r="N6653" t="n">
        <v>0</v>
      </c>
      <c r="O6653" t="n">
        <v>0</v>
      </c>
      <c r="P6653" t="n">
        <v>0</v>
      </c>
      <c r="Q6653" t="n">
        <v>0</v>
      </c>
      <c r="R6653" t="n">
        <v>0</v>
      </c>
      <c r="S6653" t="n">
        <v>0</v>
      </c>
      <c r="T6653" t="n">
        <v>0</v>
      </c>
      <c r="U6653" t="n">
        <v>0</v>
      </c>
      <c r="V6653" s="2" t="inlineStr"/>
    </row>
    <row r="6654" ht="15" customHeight="1">
      <c r="A6654" t="inlineStr">
        <is>
          <t>S 3182-2025</t>
        </is>
      </c>
      <c r="B6654" t="inlineStr">
        <is>
          <t>samrådsanmälan</t>
        </is>
      </c>
      <c r="C6654" t="inlineStr">
        <is>
          <t>Annan skogsbruksåtgärd</t>
        </is>
      </c>
      <c r="D6654" s="1" t="n">
        <v>45978</v>
      </c>
      <c r="E6654" s="1" t="n">
        <v>46323</v>
      </c>
      <c r="F6654" t="inlineStr">
        <is>
          <t>KALMAR LÄN</t>
        </is>
      </c>
      <c r="G6654" t="inlineStr">
        <is>
          <t>VIMMERBY</t>
        </is>
      </c>
      <c r="I6654" t="n">
        <v>1.7</v>
      </c>
      <c r="J6654" t="n">
        <v>0</v>
      </c>
      <c r="K6654" t="n">
        <v>0</v>
      </c>
      <c r="L6654" t="n">
        <v>0</v>
      </c>
      <c r="M6654" t="n">
        <v>0</v>
      </c>
      <c r="N6654" t="n">
        <v>0</v>
      </c>
      <c r="O6654" t="n">
        <v>0</v>
      </c>
      <c r="P6654" t="n">
        <v>0</v>
      </c>
      <c r="Q6654" t="n">
        <v>0</v>
      </c>
      <c r="R6654" t="n">
        <v>0</v>
      </c>
      <c r="S6654" t="n">
        <v>0</v>
      </c>
      <c r="T6654" t="n">
        <v>0</v>
      </c>
      <c r="U6654" t="n">
        <v>0</v>
      </c>
      <c r="V6654" s="2" t="inlineStr"/>
    </row>
    <row r="6655" ht="15" customHeight="1">
      <c r="A6655" t="inlineStr">
        <is>
          <t>S 3482-2025</t>
        </is>
      </c>
      <c r="B6655" t="inlineStr">
        <is>
          <t>samrådsanmälan</t>
        </is>
      </c>
      <c r="C6655" t="inlineStr">
        <is>
          <t>Annan skogsbruksåtgärd</t>
        </is>
      </c>
      <c r="D6655" s="1" t="n">
        <v>46001</v>
      </c>
      <c r="E6655" s="1" t="n">
        <v>46323</v>
      </c>
      <c r="F6655" t="inlineStr">
        <is>
          <t>KALMAR LÄN</t>
        </is>
      </c>
      <c r="G6655" t="inlineStr">
        <is>
          <t>HULTSFRED</t>
        </is>
      </c>
      <c r="I6655" t="n">
        <v>0.7</v>
      </c>
      <c r="J6655" t="n">
        <v>0</v>
      </c>
      <c r="K6655" t="n">
        <v>0</v>
      </c>
      <c r="L6655" t="n">
        <v>0</v>
      </c>
      <c r="M6655" t="n">
        <v>0</v>
      </c>
      <c r="N6655" t="n">
        <v>0</v>
      </c>
      <c r="O6655" t="n">
        <v>0</v>
      </c>
      <c r="P6655" t="n">
        <v>0</v>
      </c>
      <c r="Q6655" t="n">
        <v>0</v>
      </c>
      <c r="R6655" t="n">
        <v>0</v>
      </c>
      <c r="S6655" t="n">
        <v>0</v>
      </c>
      <c r="T6655" t="n">
        <v>0</v>
      </c>
      <c r="U6655" t="n">
        <v>0</v>
      </c>
      <c r="V6655" s="2" t="inlineStr"/>
    </row>
    <row r="6656" ht="15" customHeight="1">
      <c r="A6656" t="inlineStr">
        <is>
          <t>S 3502-2025</t>
        </is>
      </c>
      <c r="B6656" t="inlineStr">
        <is>
          <t>samrådsanmälan</t>
        </is>
      </c>
      <c r="C6656" t="inlineStr">
        <is>
          <t>Annan skogsbruksåtgärd</t>
        </is>
      </c>
      <c r="D6656" s="1" t="n">
        <v>46003</v>
      </c>
      <c r="E6656" s="1" t="n">
        <v>46323</v>
      </c>
      <c r="F6656" t="inlineStr">
        <is>
          <t>KALMAR LÄN</t>
        </is>
      </c>
      <c r="G6656" t="inlineStr">
        <is>
          <t>MÖNSTERÅS</t>
        </is>
      </c>
      <c r="I6656" t="n">
        <v>1</v>
      </c>
      <c r="J6656" t="n">
        <v>0</v>
      </c>
      <c r="K6656" t="n">
        <v>0</v>
      </c>
      <c r="L6656" t="n">
        <v>0</v>
      </c>
      <c r="M6656" t="n">
        <v>0</v>
      </c>
      <c r="N6656" t="n">
        <v>0</v>
      </c>
      <c r="O6656" t="n">
        <v>0</v>
      </c>
      <c r="P6656" t="n">
        <v>0</v>
      </c>
      <c r="Q6656" t="n">
        <v>0</v>
      </c>
      <c r="R6656" t="n">
        <v>0</v>
      </c>
      <c r="S6656" t="n">
        <v>0</v>
      </c>
      <c r="T6656" t="n">
        <v>0</v>
      </c>
      <c r="U6656" t="n">
        <v>0</v>
      </c>
      <c r="V6656" s="2" t="inlineStr"/>
    </row>
    <row r="6657" ht="15" customHeight="1">
      <c r="A6657" t="inlineStr">
        <is>
          <t>S 3540-2025</t>
        </is>
      </c>
      <c r="B6657" t="inlineStr">
        <is>
          <t>samrådsanmälan</t>
        </is>
      </c>
      <c r="C6657" t="inlineStr">
        <is>
          <t>Annan skogsbruksåtgärd</t>
        </is>
      </c>
      <c r="D6657" s="1" t="n">
        <v>46009</v>
      </c>
      <c r="E6657" s="1" t="n">
        <v>46323</v>
      </c>
      <c r="F6657" t="inlineStr">
        <is>
          <t>KALMAR LÄN</t>
        </is>
      </c>
      <c r="G6657" t="inlineStr">
        <is>
          <t>OSKARSHAMN</t>
        </is>
      </c>
      <c r="I6657" t="n">
        <v>1.1</v>
      </c>
      <c r="J6657" t="n">
        <v>0</v>
      </c>
      <c r="K6657" t="n">
        <v>0</v>
      </c>
      <c r="L6657" t="n">
        <v>0</v>
      </c>
      <c r="M6657" t="n">
        <v>0</v>
      </c>
      <c r="N6657" t="n">
        <v>0</v>
      </c>
      <c r="O6657" t="n">
        <v>0</v>
      </c>
      <c r="P6657" t="n">
        <v>0</v>
      </c>
      <c r="Q6657" t="n">
        <v>0</v>
      </c>
      <c r="R6657" t="n">
        <v>0</v>
      </c>
      <c r="S6657" t="n">
        <v>0</v>
      </c>
      <c r="T6657" t="n">
        <v>0</v>
      </c>
      <c r="U6657" t="n">
        <v>0</v>
      </c>
      <c r="V6657" s="2" t="inlineStr"/>
    </row>
    <row r="6658" ht="15" customHeight="1">
      <c r="A6658" t="inlineStr">
        <is>
          <t>S 2796-2022</t>
        </is>
      </c>
      <c r="B6658" t="inlineStr">
        <is>
          <t>samrådsanmälan</t>
        </is>
      </c>
      <c r="C6658" t="inlineStr">
        <is>
          <t>Åtgärd i nyckelbiotop</t>
        </is>
      </c>
      <c r="D6658" s="1" t="n">
        <v>44706</v>
      </c>
      <c r="E6658" s="1" t="n">
        <v>46323</v>
      </c>
      <c r="F6658" t="inlineStr">
        <is>
          <t>KALMAR LÄN</t>
        </is>
      </c>
      <c r="G6658" t="inlineStr">
        <is>
          <t>VÄSTERVIK</t>
        </is>
      </c>
      <c r="I6658" t="n">
        <v>0.2</v>
      </c>
      <c r="J6658" t="n">
        <v>0</v>
      </c>
      <c r="K6658" t="n">
        <v>0</v>
      </c>
      <c r="L6658" t="n">
        <v>0</v>
      </c>
      <c r="M6658" t="n">
        <v>0</v>
      </c>
      <c r="N6658" t="n">
        <v>0</v>
      </c>
      <c r="O6658" t="n">
        <v>0</v>
      </c>
      <c r="P6658" t="n">
        <v>0</v>
      </c>
      <c r="Q6658" t="n">
        <v>0</v>
      </c>
      <c r="R6658" t="n">
        <v>0</v>
      </c>
      <c r="S6658" t="n">
        <v>0</v>
      </c>
      <c r="T6658" t="n">
        <v>0</v>
      </c>
      <c r="U6658" t="n">
        <v>0</v>
      </c>
      <c r="V6658" s="2" t="inlineStr"/>
    </row>
    <row r="6659" ht="15" customHeight="1">
      <c r="A6659" t="inlineStr">
        <is>
          <t>S 34-2026</t>
        </is>
      </c>
      <c r="B6659" t="inlineStr">
        <is>
          <t>samrådsanmälan</t>
        </is>
      </c>
      <c r="C6659" t="inlineStr">
        <is>
          <t>Askåterföring</t>
        </is>
      </c>
      <c r="D6659" s="1" t="n">
        <v>46030</v>
      </c>
      <c r="E6659" s="1" t="n">
        <v>46323</v>
      </c>
      <c r="F6659" t="inlineStr">
        <is>
          <t>KALMAR LÄN</t>
        </is>
      </c>
      <c r="G6659" t="inlineStr">
        <is>
          <t>NYBRO</t>
        </is>
      </c>
      <c r="I6659" t="n">
        <v>5.9</v>
      </c>
      <c r="J6659" t="n">
        <v>0</v>
      </c>
      <c r="K6659" t="n">
        <v>0</v>
      </c>
      <c r="L6659" t="n">
        <v>0</v>
      </c>
      <c r="M6659" t="n">
        <v>0</v>
      </c>
      <c r="N6659" t="n">
        <v>0</v>
      </c>
      <c r="O6659" t="n">
        <v>0</v>
      </c>
      <c r="P6659" t="n">
        <v>0</v>
      </c>
      <c r="Q6659" t="n">
        <v>0</v>
      </c>
      <c r="R6659" t="n">
        <v>0</v>
      </c>
      <c r="S6659" t="n">
        <v>0</v>
      </c>
      <c r="T6659" t="n">
        <v>0</v>
      </c>
      <c r="U6659" t="n">
        <v>0</v>
      </c>
      <c r="V6659" s="2" t="inlineStr"/>
    </row>
    <row r="6660" ht="15" customHeight="1">
      <c r="A6660" t="inlineStr">
        <is>
          <t>S 82-2026</t>
        </is>
      </c>
      <c r="B6660" t="inlineStr">
        <is>
          <t>samrådsanmälan</t>
        </is>
      </c>
      <c r="C6660" t="inlineStr">
        <is>
          <t>Askåterföring</t>
        </is>
      </c>
      <c r="D6660" s="1" t="n">
        <v>46034</v>
      </c>
      <c r="E6660" s="1" t="n">
        <v>46323</v>
      </c>
      <c r="F6660" t="inlineStr">
        <is>
          <t>KALMAR LÄN</t>
        </is>
      </c>
      <c r="G6660" t="inlineStr">
        <is>
          <t>EMMABODA</t>
        </is>
      </c>
      <c r="I6660" t="n">
        <v>47.8</v>
      </c>
      <c r="J6660" t="n">
        <v>0</v>
      </c>
      <c r="K6660" t="n">
        <v>0</v>
      </c>
      <c r="L6660" t="n">
        <v>0</v>
      </c>
      <c r="M6660" t="n">
        <v>0</v>
      </c>
      <c r="N6660" t="n">
        <v>0</v>
      </c>
      <c r="O6660" t="n">
        <v>0</v>
      </c>
      <c r="P6660" t="n">
        <v>0</v>
      </c>
      <c r="Q6660" t="n">
        <v>0</v>
      </c>
      <c r="R6660" t="n">
        <v>0</v>
      </c>
      <c r="S6660" t="n">
        <v>0</v>
      </c>
      <c r="T6660" t="n">
        <v>0</v>
      </c>
      <c r="U6660" t="n">
        <v>0</v>
      </c>
      <c r="V6660" s="2" t="inlineStr"/>
    </row>
    <row r="6661" ht="15" customHeight="1">
      <c r="A6661" t="inlineStr">
        <is>
          <t>S 193-2026</t>
        </is>
      </c>
      <c r="B6661" t="inlineStr">
        <is>
          <t>samrådsanmälan</t>
        </is>
      </c>
      <c r="C6661" t="inlineStr">
        <is>
          <t>Askåterföring</t>
        </is>
      </c>
      <c r="D6661" s="1" t="n">
        <v>46049</v>
      </c>
      <c r="E6661" s="1" t="n">
        <v>46323</v>
      </c>
      <c r="F6661" t="inlineStr">
        <is>
          <t>KALMAR LÄN</t>
        </is>
      </c>
      <c r="G6661" t="inlineStr">
        <is>
          <t>EMMABODA</t>
        </is>
      </c>
      <c r="I6661" t="n">
        <v>12.9</v>
      </c>
      <c r="J6661" t="n">
        <v>0</v>
      </c>
      <c r="K6661" t="n">
        <v>0</v>
      </c>
      <c r="L6661" t="n">
        <v>0</v>
      </c>
      <c r="M6661" t="n">
        <v>0</v>
      </c>
      <c r="N6661" t="n">
        <v>0</v>
      </c>
      <c r="O6661" t="n">
        <v>0</v>
      </c>
      <c r="P6661" t="n">
        <v>0</v>
      </c>
      <c r="Q6661" t="n">
        <v>0</v>
      </c>
      <c r="R6661" t="n">
        <v>0</v>
      </c>
      <c r="S6661" t="n">
        <v>0</v>
      </c>
      <c r="T6661" t="n">
        <v>0</v>
      </c>
      <c r="U6661" t="n">
        <v>0</v>
      </c>
      <c r="V6661" s="2" t="inlineStr"/>
    </row>
    <row r="6662" ht="15" customHeight="1">
      <c r="A6662" t="inlineStr">
        <is>
          <t>S 194-2026</t>
        </is>
      </c>
      <c r="B6662" t="inlineStr">
        <is>
          <t>samrådsanmälan</t>
        </is>
      </c>
      <c r="C6662" t="inlineStr">
        <is>
          <t>Askåterföring</t>
        </is>
      </c>
      <c r="D6662" s="1" t="n">
        <v>46049</v>
      </c>
      <c r="E6662" s="1" t="n">
        <v>46323</v>
      </c>
      <c r="F6662" t="inlineStr">
        <is>
          <t>KALMAR LÄN</t>
        </is>
      </c>
      <c r="G6662" t="inlineStr">
        <is>
          <t>EMMABODA</t>
        </is>
      </c>
      <c r="I6662" t="n">
        <v>4.3</v>
      </c>
      <c r="J6662" t="n">
        <v>0</v>
      </c>
      <c r="K6662" t="n">
        <v>0</v>
      </c>
      <c r="L6662" t="n">
        <v>0</v>
      </c>
      <c r="M6662" t="n">
        <v>0</v>
      </c>
      <c r="N6662" t="n">
        <v>0</v>
      </c>
      <c r="O6662" t="n">
        <v>0</v>
      </c>
      <c r="P6662" t="n">
        <v>0</v>
      </c>
      <c r="Q6662" t="n">
        <v>0</v>
      </c>
      <c r="R6662" t="n">
        <v>0</v>
      </c>
      <c r="S6662" t="n">
        <v>0</v>
      </c>
      <c r="T6662" t="n">
        <v>0</v>
      </c>
      <c r="U6662" t="n">
        <v>0</v>
      </c>
      <c r="V6662" s="2" t="inlineStr"/>
    </row>
    <row r="6663" ht="15" customHeight="1">
      <c r="A6663" t="inlineStr">
        <is>
          <t>S 300-2026</t>
        </is>
      </c>
      <c r="B6663" t="inlineStr">
        <is>
          <t>samrådsanmälan</t>
        </is>
      </c>
      <c r="C6663" t="inlineStr">
        <is>
          <t>Askåterföring</t>
        </is>
      </c>
      <c r="D6663" s="1" t="n">
        <v>46058</v>
      </c>
      <c r="E6663" s="1" t="n">
        <v>46323</v>
      </c>
      <c r="F6663" t="inlineStr">
        <is>
          <t>KALMAR LÄN</t>
        </is>
      </c>
      <c r="G6663" t="inlineStr">
        <is>
          <t>KALMAR</t>
        </is>
      </c>
      <c r="I6663" t="n">
        <v>11.7</v>
      </c>
      <c r="J6663" t="n">
        <v>0</v>
      </c>
      <c r="K6663" t="n">
        <v>0</v>
      </c>
      <c r="L6663" t="n">
        <v>0</v>
      </c>
      <c r="M6663" t="n">
        <v>0</v>
      </c>
      <c r="N6663" t="n">
        <v>0</v>
      </c>
      <c r="O6663" t="n">
        <v>0</v>
      </c>
      <c r="P6663" t="n">
        <v>0</v>
      </c>
      <c r="Q6663" t="n">
        <v>0</v>
      </c>
      <c r="R6663" t="n">
        <v>0</v>
      </c>
      <c r="S6663" t="n">
        <v>0</v>
      </c>
      <c r="T6663" t="n">
        <v>0</v>
      </c>
      <c r="U6663" t="n">
        <v>0</v>
      </c>
      <c r="V6663" s="2" t="inlineStr"/>
    </row>
    <row r="6664" ht="15" customHeight="1">
      <c r="A6664" t="inlineStr">
        <is>
          <t>S 292-2026</t>
        </is>
      </c>
      <c r="B6664" t="inlineStr">
        <is>
          <t>samrådsanmälan</t>
        </is>
      </c>
      <c r="C6664" t="inlineStr">
        <is>
          <t>Annan skogsbruksåtgärd</t>
        </is>
      </c>
      <c r="D6664" s="1" t="n">
        <v>46057</v>
      </c>
      <c r="E6664" s="1" t="n">
        <v>46323</v>
      </c>
      <c r="F6664" t="inlineStr">
        <is>
          <t>KALMAR LÄN</t>
        </is>
      </c>
      <c r="G6664" t="inlineStr">
        <is>
          <t>VÄSTERVIK</t>
        </is>
      </c>
      <c r="H6664" t="inlineStr">
        <is>
          <t>Holmen skog AB</t>
        </is>
      </c>
      <c r="I6664" t="n">
        <v>12</v>
      </c>
      <c r="J6664" t="n">
        <v>0</v>
      </c>
      <c r="K6664" t="n">
        <v>0</v>
      </c>
      <c r="L6664" t="n">
        <v>0</v>
      </c>
      <c r="M6664" t="n">
        <v>0</v>
      </c>
      <c r="N6664" t="n">
        <v>0</v>
      </c>
      <c r="O6664" t="n">
        <v>0</v>
      </c>
      <c r="P6664" t="n">
        <v>0</v>
      </c>
      <c r="Q6664" t="n">
        <v>0</v>
      </c>
      <c r="R6664" t="n">
        <v>0</v>
      </c>
      <c r="S6664" t="n">
        <v>0</v>
      </c>
      <c r="T6664" t="n">
        <v>0</v>
      </c>
      <c r="U6664" t="n">
        <v>0</v>
      </c>
      <c r="V6664" s="2" t="inlineStr"/>
    </row>
    <row r="6665" ht="15" customHeight="1">
      <c r="A6665" t="inlineStr">
        <is>
          <t>S 334-2026</t>
        </is>
      </c>
      <c r="B6665" t="inlineStr">
        <is>
          <t>samrådsanmälan</t>
        </is>
      </c>
      <c r="C6665" t="inlineStr">
        <is>
          <t>Askåterföring</t>
        </is>
      </c>
      <c r="D6665" s="1" t="n">
        <v>46062</v>
      </c>
      <c r="E6665" s="1" t="n">
        <v>46323</v>
      </c>
      <c r="F6665" t="inlineStr">
        <is>
          <t>KALMAR LÄN</t>
        </is>
      </c>
      <c r="G6665" t="inlineStr">
        <is>
          <t>KALMAR</t>
        </is>
      </c>
      <c r="I6665" t="n">
        <v>2.5</v>
      </c>
      <c r="J6665" t="n">
        <v>0</v>
      </c>
      <c r="K6665" t="n">
        <v>0</v>
      </c>
      <c r="L6665" t="n">
        <v>0</v>
      </c>
      <c r="M6665" t="n">
        <v>0</v>
      </c>
      <c r="N6665" t="n">
        <v>0</v>
      </c>
      <c r="O6665" t="n">
        <v>0</v>
      </c>
      <c r="P6665" t="n">
        <v>0</v>
      </c>
      <c r="Q6665" t="n">
        <v>0</v>
      </c>
      <c r="R6665" t="n">
        <v>0</v>
      </c>
      <c r="S6665" t="n">
        <v>0</v>
      </c>
      <c r="T6665" t="n">
        <v>0</v>
      </c>
      <c r="U6665" t="n">
        <v>0</v>
      </c>
      <c r="V6665" s="2" t="inlineStr"/>
    </row>
    <row r="6666" ht="15" customHeight="1">
      <c r="A6666" t="inlineStr">
        <is>
          <t>S 335-2026</t>
        </is>
      </c>
      <c r="B6666" t="inlineStr">
        <is>
          <t>samrådsanmälan</t>
        </is>
      </c>
      <c r="C6666" t="inlineStr">
        <is>
          <t>Askåterföring</t>
        </is>
      </c>
      <c r="D6666" s="1" t="n">
        <v>46062</v>
      </c>
      <c r="E6666" s="1" t="n">
        <v>46323</v>
      </c>
      <c r="F6666" t="inlineStr">
        <is>
          <t>KALMAR LÄN</t>
        </is>
      </c>
      <c r="G6666" t="inlineStr">
        <is>
          <t>KALMAR</t>
        </is>
      </c>
      <c r="I6666" t="n">
        <v>4.7</v>
      </c>
      <c r="J6666" t="n">
        <v>0</v>
      </c>
      <c r="K6666" t="n">
        <v>0</v>
      </c>
      <c r="L6666" t="n">
        <v>0</v>
      </c>
      <c r="M6666" t="n">
        <v>0</v>
      </c>
      <c r="N6666" t="n">
        <v>0</v>
      </c>
      <c r="O6666" t="n">
        <v>0</v>
      </c>
      <c r="P6666" t="n">
        <v>0</v>
      </c>
      <c r="Q6666" t="n">
        <v>0</v>
      </c>
      <c r="R6666" t="n">
        <v>0</v>
      </c>
      <c r="S6666" t="n">
        <v>0</v>
      </c>
      <c r="T6666" t="n">
        <v>0</v>
      </c>
      <c r="U6666" t="n">
        <v>0</v>
      </c>
      <c r="V6666" s="2" t="inlineStr"/>
    </row>
    <row r="6667" ht="15" customHeight="1">
      <c r="A6667" t="inlineStr">
        <is>
          <t>S 341-2026</t>
        </is>
      </c>
      <c r="B6667" t="inlineStr">
        <is>
          <t>samrådsanmälan</t>
        </is>
      </c>
      <c r="C6667" t="inlineStr">
        <is>
          <t>Askåterföring</t>
        </is>
      </c>
      <c r="D6667" s="1" t="n">
        <v>46063</v>
      </c>
      <c r="E6667" s="1" t="n">
        <v>46323</v>
      </c>
      <c r="F6667" t="inlineStr">
        <is>
          <t>KALMAR LÄN</t>
        </is>
      </c>
      <c r="G6667" t="inlineStr">
        <is>
          <t>KALMAR</t>
        </is>
      </c>
      <c r="I6667" t="n">
        <v>3.2</v>
      </c>
      <c r="J6667" t="n">
        <v>0</v>
      </c>
      <c r="K6667" t="n">
        <v>0</v>
      </c>
      <c r="L6667" t="n">
        <v>0</v>
      </c>
      <c r="M6667" t="n">
        <v>0</v>
      </c>
      <c r="N6667" t="n">
        <v>0</v>
      </c>
      <c r="O6667" t="n">
        <v>0</v>
      </c>
      <c r="P6667" t="n">
        <v>0</v>
      </c>
      <c r="Q6667" t="n">
        <v>0</v>
      </c>
      <c r="R6667" t="n">
        <v>0</v>
      </c>
      <c r="S6667" t="n">
        <v>0</v>
      </c>
      <c r="T6667" t="n">
        <v>0</v>
      </c>
      <c r="U6667" t="n">
        <v>0</v>
      </c>
      <c r="V6667" s="2" t="inlineStr"/>
    </row>
    <row r="6668" ht="15" customHeight="1">
      <c r="A6668" t="inlineStr">
        <is>
          <t>S 336-2026</t>
        </is>
      </c>
      <c r="B6668" t="inlineStr">
        <is>
          <t>samrådsanmälan</t>
        </is>
      </c>
      <c r="C6668" t="inlineStr">
        <is>
          <t>Askåterföring</t>
        </is>
      </c>
      <c r="D6668" s="1" t="n">
        <v>46062</v>
      </c>
      <c r="E6668" s="1" t="n">
        <v>46323</v>
      </c>
      <c r="F6668" t="inlineStr">
        <is>
          <t>KALMAR LÄN</t>
        </is>
      </c>
      <c r="G6668" t="inlineStr">
        <is>
          <t>KALMAR</t>
        </is>
      </c>
      <c r="I6668" t="n">
        <v>4.2</v>
      </c>
      <c r="J6668" t="n">
        <v>0</v>
      </c>
      <c r="K6668" t="n">
        <v>0</v>
      </c>
      <c r="L6668" t="n">
        <v>0</v>
      </c>
      <c r="M6668" t="n">
        <v>0</v>
      </c>
      <c r="N6668" t="n">
        <v>0</v>
      </c>
      <c r="O6668" t="n">
        <v>0</v>
      </c>
      <c r="P6668" t="n">
        <v>0</v>
      </c>
      <c r="Q6668" t="n">
        <v>0</v>
      </c>
      <c r="R6668" t="n">
        <v>0</v>
      </c>
      <c r="S6668" t="n">
        <v>0</v>
      </c>
      <c r="T6668" t="n">
        <v>0</v>
      </c>
      <c r="U6668" t="n">
        <v>0</v>
      </c>
      <c r="V6668" s="2" t="inlineStr"/>
    </row>
    <row r="6669" ht="15" customHeight="1">
      <c r="A6669" t="inlineStr">
        <is>
          <t>S 333-2026</t>
        </is>
      </c>
      <c r="B6669" t="inlineStr">
        <is>
          <t>samrådsanmälan</t>
        </is>
      </c>
      <c r="C6669" t="inlineStr">
        <is>
          <t>Askåterföring</t>
        </is>
      </c>
      <c r="D6669" s="1" t="n">
        <v>46062</v>
      </c>
      <c r="E6669" s="1" t="n">
        <v>46323</v>
      </c>
      <c r="F6669" t="inlineStr">
        <is>
          <t>KALMAR LÄN</t>
        </is>
      </c>
      <c r="G6669" t="inlineStr">
        <is>
          <t>KALMAR</t>
        </is>
      </c>
      <c r="I6669" t="n">
        <v>3.9</v>
      </c>
      <c r="J6669" t="n">
        <v>0</v>
      </c>
      <c r="K6669" t="n">
        <v>0</v>
      </c>
      <c r="L6669" t="n">
        <v>0</v>
      </c>
      <c r="M6669" t="n">
        <v>0</v>
      </c>
      <c r="N6669" t="n">
        <v>0</v>
      </c>
      <c r="O6669" t="n">
        <v>0</v>
      </c>
      <c r="P6669" t="n">
        <v>0</v>
      </c>
      <c r="Q6669" t="n">
        <v>0</v>
      </c>
      <c r="R6669" t="n">
        <v>0</v>
      </c>
      <c r="S6669" t="n">
        <v>0</v>
      </c>
      <c r="T6669" t="n">
        <v>0</v>
      </c>
      <c r="U6669" t="n">
        <v>0</v>
      </c>
      <c r="V6669" s="2" t="inlineStr"/>
    </row>
    <row r="6670" ht="15" customHeight="1">
      <c r="A6670" t="inlineStr">
        <is>
          <t>S 342-2026</t>
        </is>
      </c>
      <c r="B6670" t="inlineStr">
        <is>
          <t>samrådsanmälan</t>
        </is>
      </c>
      <c r="C6670" t="inlineStr">
        <is>
          <t>Askåterföring</t>
        </is>
      </c>
      <c r="D6670" s="1" t="n">
        <v>46063</v>
      </c>
      <c r="E6670" s="1" t="n">
        <v>46323</v>
      </c>
      <c r="F6670" t="inlineStr">
        <is>
          <t>KALMAR LÄN</t>
        </is>
      </c>
      <c r="G6670" t="inlineStr">
        <is>
          <t>MÖNSTERÅS</t>
        </is>
      </c>
      <c r="I6670" t="n">
        <v>6.4</v>
      </c>
      <c r="J6670" t="n">
        <v>0</v>
      </c>
      <c r="K6670" t="n">
        <v>0</v>
      </c>
      <c r="L6670" t="n">
        <v>0</v>
      </c>
      <c r="M6670" t="n">
        <v>0</v>
      </c>
      <c r="N6670" t="n">
        <v>0</v>
      </c>
      <c r="O6670" t="n">
        <v>0</v>
      </c>
      <c r="P6670" t="n">
        <v>0</v>
      </c>
      <c r="Q6670" t="n">
        <v>0</v>
      </c>
      <c r="R6670" t="n">
        <v>0</v>
      </c>
      <c r="S6670" t="n">
        <v>0</v>
      </c>
      <c r="T6670" t="n">
        <v>0</v>
      </c>
      <c r="U6670" t="n">
        <v>0</v>
      </c>
      <c r="V6670" s="2" t="inlineStr"/>
    </row>
    <row r="6671" ht="15" customHeight="1">
      <c r="A6671" t="inlineStr">
        <is>
          <t>S 376-2026</t>
        </is>
      </c>
      <c r="B6671" t="inlineStr">
        <is>
          <t>samrådsanmälan</t>
        </is>
      </c>
      <c r="C6671" t="inlineStr">
        <is>
          <t>Askåterföring</t>
        </is>
      </c>
      <c r="D6671" s="1" t="n">
        <v>46065</v>
      </c>
      <c r="E6671" s="1" t="n">
        <v>46323</v>
      </c>
      <c r="F6671" t="inlineStr">
        <is>
          <t>KALMAR LÄN</t>
        </is>
      </c>
      <c r="G6671" t="inlineStr">
        <is>
          <t>KALMAR</t>
        </is>
      </c>
      <c r="I6671" t="n">
        <v>16.8</v>
      </c>
      <c r="J6671" t="n">
        <v>0</v>
      </c>
      <c r="K6671" t="n">
        <v>0</v>
      </c>
      <c r="L6671" t="n">
        <v>0</v>
      </c>
      <c r="M6671" t="n">
        <v>0</v>
      </c>
      <c r="N6671" t="n">
        <v>0</v>
      </c>
      <c r="O6671" t="n">
        <v>0</v>
      </c>
      <c r="P6671" t="n">
        <v>0</v>
      </c>
      <c r="Q6671" t="n">
        <v>0</v>
      </c>
      <c r="R6671" t="n">
        <v>0</v>
      </c>
      <c r="S6671" t="n">
        <v>0</v>
      </c>
      <c r="T6671" t="n">
        <v>0</v>
      </c>
      <c r="U6671" t="n">
        <v>0</v>
      </c>
      <c r="V6671" s="2" t="inlineStr"/>
    </row>
    <row r="6672" ht="15" customHeight="1">
      <c r="A6672" t="inlineStr">
        <is>
          <t>S 372-2026</t>
        </is>
      </c>
      <c r="B6672" t="inlineStr">
        <is>
          <t>samrådsanmälan</t>
        </is>
      </c>
      <c r="C6672" t="inlineStr">
        <is>
          <t>Annan skogsbruksåtgärd</t>
        </is>
      </c>
      <c r="D6672" s="1" t="n">
        <v>46065</v>
      </c>
      <c r="E6672" s="1" t="n">
        <v>46323</v>
      </c>
      <c r="F6672" t="inlineStr">
        <is>
          <t>KALMAR LÄN</t>
        </is>
      </c>
      <c r="G6672" t="inlineStr">
        <is>
          <t>VIMMERBY</t>
        </is>
      </c>
      <c r="I6672" t="n">
        <v>1</v>
      </c>
      <c r="J6672" t="n">
        <v>0</v>
      </c>
      <c r="K6672" t="n">
        <v>0</v>
      </c>
      <c r="L6672" t="n">
        <v>0</v>
      </c>
      <c r="M6672" t="n">
        <v>0</v>
      </c>
      <c r="N6672" t="n">
        <v>0</v>
      </c>
      <c r="O6672" t="n">
        <v>0</v>
      </c>
      <c r="P6672" t="n">
        <v>0</v>
      </c>
      <c r="Q6672" t="n">
        <v>0</v>
      </c>
      <c r="R6672" t="n">
        <v>0</v>
      </c>
      <c r="S6672" t="n">
        <v>0</v>
      </c>
      <c r="T6672" t="n">
        <v>0</v>
      </c>
      <c r="U6672" t="n">
        <v>0</v>
      </c>
      <c r="V6672" s="2" t="inlineStr"/>
    </row>
    <row r="6673" ht="15" customHeight="1">
      <c r="A6673" t="inlineStr">
        <is>
          <t>S 374-2026</t>
        </is>
      </c>
      <c r="B6673" t="inlineStr">
        <is>
          <t>samrådsanmälan</t>
        </is>
      </c>
      <c r="C6673" t="inlineStr">
        <is>
          <t>Askåterföring</t>
        </is>
      </c>
      <c r="D6673" s="1" t="n">
        <v>46065</v>
      </c>
      <c r="E6673" s="1" t="n">
        <v>46323</v>
      </c>
      <c r="F6673" t="inlineStr">
        <is>
          <t>KALMAR LÄN</t>
        </is>
      </c>
      <c r="G6673" t="inlineStr">
        <is>
          <t>EMMABODA</t>
        </is>
      </c>
      <c r="I6673" t="n">
        <v>22.4</v>
      </c>
      <c r="J6673" t="n">
        <v>0</v>
      </c>
      <c r="K6673" t="n">
        <v>0</v>
      </c>
      <c r="L6673" t="n">
        <v>0</v>
      </c>
      <c r="M6673" t="n">
        <v>0</v>
      </c>
      <c r="N6673" t="n">
        <v>0</v>
      </c>
      <c r="O6673" t="n">
        <v>0</v>
      </c>
      <c r="P6673" t="n">
        <v>0</v>
      </c>
      <c r="Q6673" t="n">
        <v>0</v>
      </c>
      <c r="R6673" t="n">
        <v>0</v>
      </c>
      <c r="S6673" t="n">
        <v>0</v>
      </c>
      <c r="T6673" t="n">
        <v>0</v>
      </c>
      <c r="U6673" t="n">
        <v>0</v>
      </c>
      <c r="V6673" s="2" t="inlineStr"/>
    </row>
    <row r="6674" ht="15" customHeight="1">
      <c r="A6674" t="inlineStr">
        <is>
          <t>S 1123-2025</t>
        </is>
      </c>
      <c r="B6674" t="inlineStr">
        <is>
          <t>samrådsanmälan</t>
        </is>
      </c>
      <c r="C6674" t="inlineStr">
        <is>
          <t>Annan skogsbruksåtgärd</t>
        </is>
      </c>
      <c r="D6674" s="1" t="n">
        <v>45754</v>
      </c>
      <c r="E6674" s="1" t="n">
        <v>46323</v>
      </c>
      <c r="F6674" t="inlineStr">
        <is>
          <t>KALMAR LÄN</t>
        </is>
      </c>
      <c r="G6674" t="inlineStr">
        <is>
          <t>BORGHOLM</t>
        </is>
      </c>
      <c r="I6674" t="n">
        <v>7.1</v>
      </c>
      <c r="J6674" t="n">
        <v>0</v>
      </c>
      <c r="K6674" t="n">
        <v>0</v>
      </c>
      <c r="L6674" t="n">
        <v>0</v>
      </c>
      <c r="M6674" t="n">
        <v>0</v>
      </c>
      <c r="N6674" t="n">
        <v>0</v>
      </c>
      <c r="O6674" t="n">
        <v>0</v>
      </c>
      <c r="P6674" t="n">
        <v>0</v>
      </c>
      <c r="Q6674" t="n">
        <v>0</v>
      </c>
      <c r="R6674" t="n">
        <v>0</v>
      </c>
      <c r="S6674" t="n">
        <v>0</v>
      </c>
      <c r="T6674" t="n">
        <v>0</v>
      </c>
      <c r="U6674" t="n">
        <v>0</v>
      </c>
      <c r="V6674" s="2" t="inlineStr"/>
    </row>
    <row r="6675" ht="15" customHeight="1">
      <c r="A6675" t="inlineStr">
        <is>
          <t>S 590-2026</t>
        </is>
      </c>
      <c r="B6675" t="inlineStr">
        <is>
          <t>samrådsanmälan</t>
        </is>
      </c>
      <c r="C6675" t="inlineStr">
        <is>
          <t>Annan skogsbruksåtgärd</t>
        </is>
      </c>
      <c r="D6675" s="1" t="n">
        <v>46085</v>
      </c>
      <c r="E6675" s="1" t="n">
        <v>46323</v>
      </c>
      <c r="F6675" t="inlineStr">
        <is>
          <t>KALMAR LÄN</t>
        </is>
      </c>
      <c r="G6675" t="inlineStr">
        <is>
          <t>VÄSTERVIK</t>
        </is>
      </c>
      <c r="H6675" t="inlineStr">
        <is>
          <t>Kommuner</t>
        </is>
      </c>
      <c r="I6675" t="n">
        <v>0.1</v>
      </c>
      <c r="J6675" t="n">
        <v>0</v>
      </c>
      <c r="K6675" t="n">
        <v>0</v>
      </c>
      <c r="L6675" t="n">
        <v>0</v>
      </c>
      <c r="M6675" t="n">
        <v>0</v>
      </c>
      <c r="N6675" t="n">
        <v>0</v>
      </c>
      <c r="O6675" t="n">
        <v>0</v>
      </c>
      <c r="P6675" t="n">
        <v>0</v>
      </c>
      <c r="Q6675" t="n">
        <v>0</v>
      </c>
      <c r="R6675" t="n">
        <v>0</v>
      </c>
      <c r="S6675" t="n">
        <v>0</v>
      </c>
      <c r="T6675" t="n">
        <v>0</v>
      </c>
      <c r="U6675" t="n">
        <v>0</v>
      </c>
      <c r="V6675" s="2" t="inlineStr"/>
    </row>
    <row r="6676" ht="15" customHeight="1">
      <c r="A6676" t="inlineStr">
        <is>
          <t>S 700-2026</t>
        </is>
      </c>
      <c r="B6676" t="inlineStr">
        <is>
          <t>samrådsanmälan</t>
        </is>
      </c>
      <c r="C6676" t="inlineStr">
        <is>
          <t>Askåterföring</t>
        </is>
      </c>
      <c r="D6676" s="1" t="n">
        <v>46092</v>
      </c>
      <c r="E6676" s="1" t="n">
        <v>46323</v>
      </c>
      <c r="F6676" t="inlineStr">
        <is>
          <t>KALMAR LÄN</t>
        </is>
      </c>
      <c r="G6676" t="inlineStr">
        <is>
          <t>EMMABODA</t>
        </is>
      </c>
      <c r="I6676" t="n">
        <v>22.1</v>
      </c>
      <c r="J6676" t="n">
        <v>0</v>
      </c>
      <c r="K6676" t="n">
        <v>0</v>
      </c>
      <c r="L6676" t="n">
        <v>0</v>
      </c>
      <c r="M6676" t="n">
        <v>0</v>
      </c>
      <c r="N6676" t="n">
        <v>0</v>
      </c>
      <c r="O6676" t="n">
        <v>0</v>
      </c>
      <c r="P6676" t="n">
        <v>0</v>
      </c>
      <c r="Q6676" t="n">
        <v>0</v>
      </c>
      <c r="R6676" t="n">
        <v>0</v>
      </c>
      <c r="S6676" t="n">
        <v>0</v>
      </c>
      <c r="T6676" t="n">
        <v>0</v>
      </c>
      <c r="U6676" t="n">
        <v>0</v>
      </c>
      <c r="V6676" s="2" t="inlineStr"/>
    </row>
    <row r="6677" ht="15" customHeight="1">
      <c r="A6677" t="inlineStr">
        <is>
          <t>S 728-2026</t>
        </is>
      </c>
      <c r="B6677" t="inlineStr">
        <is>
          <t>samrådsanmälan</t>
        </is>
      </c>
      <c r="C6677" t="inlineStr">
        <is>
          <t>Annan skogsbruksåtgärd</t>
        </is>
      </c>
      <c r="D6677" s="1" t="n">
        <v>46094</v>
      </c>
      <c r="E6677" s="1" t="n">
        <v>46323</v>
      </c>
      <c r="F6677" t="inlineStr">
        <is>
          <t>KALMAR LÄN</t>
        </is>
      </c>
      <c r="G6677" t="inlineStr">
        <is>
          <t>VÄSTERVIK</t>
        </is>
      </c>
      <c r="H6677" t="inlineStr">
        <is>
          <t>Kommuner</t>
        </is>
      </c>
      <c r="I6677" t="n">
        <v>2.2</v>
      </c>
      <c r="J6677" t="n">
        <v>0</v>
      </c>
      <c r="K6677" t="n">
        <v>0</v>
      </c>
      <c r="L6677" t="n">
        <v>0</v>
      </c>
      <c r="M6677" t="n">
        <v>0</v>
      </c>
      <c r="N6677" t="n">
        <v>0</v>
      </c>
      <c r="O6677" t="n">
        <v>0</v>
      </c>
      <c r="P6677" t="n">
        <v>0</v>
      </c>
      <c r="Q6677" t="n">
        <v>0</v>
      </c>
      <c r="R6677" t="n">
        <v>0</v>
      </c>
      <c r="S6677" t="n">
        <v>0</v>
      </c>
      <c r="T6677" t="n">
        <v>0</v>
      </c>
      <c r="U6677" t="n">
        <v>0</v>
      </c>
      <c r="V6677" s="2" t="inlineStr"/>
    </row>
    <row r="6678" ht="15" customHeight="1">
      <c r="A6678" t="inlineStr">
        <is>
          <t>S 759-2026</t>
        </is>
      </c>
      <c r="B6678" t="inlineStr">
        <is>
          <t>samrådsanmälan</t>
        </is>
      </c>
      <c r="C6678" t="inlineStr">
        <is>
          <t>Annan skogsbruksåtgärd</t>
        </is>
      </c>
      <c r="D6678" s="1" t="n">
        <v>46097</v>
      </c>
      <c r="E6678" s="1" t="n">
        <v>46323</v>
      </c>
      <c r="F6678" t="inlineStr">
        <is>
          <t>KALMAR LÄN</t>
        </is>
      </c>
      <c r="G6678" t="inlineStr">
        <is>
          <t>MÖNSTERÅS</t>
        </is>
      </c>
      <c r="I6678" t="n">
        <v>2.2</v>
      </c>
      <c r="J6678" t="n">
        <v>0</v>
      </c>
      <c r="K6678" t="n">
        <v>0</v>
      </c>
      <c r="L6678" t="n">
        <v>0</v>
      </c>
      <c r="M6678" t="n">
        <v>0</v>
      </c>
      <c r="N6678" t="n">
        <v>0</v>
      </c>
      <c r="O6678" t="n">
        <v>0</v>
      </c>
      <c r="P6678" t="n">
        <v>0</v>
      </c>
      <c r="Q6678" t="n">
        <v>0</v>
      </c>
      <c r="R6678" t="n">
        <v>0</v>
      </c>
      <c r="S6678" t="n">
        <v>0</v>
      </c>
      <c r="T6678" t="n">
        <v>0</v>
      </c>
      <c r="U6678" t="n">
        <v>0</v>
      </c>
      <c r="V6678" s="2" t="inlineStr"/>
    </row>
    <row r="6679" ht="15" customHeight="1">
      <c r="A6679" t="inlineStr">
        <is>
          <t>S 337-2026</t>
        </is>
      </c>
      <c r="B6679" t="inlineStr">
        <is>
          <t>samrådsanmälan</t>
        </is>
      </c>
      <c r="C6679" t="inlineStr">
        <is>
          <t>Askåterföring</t>
        </is>
      </c>
      <c r="D6679" s="1" t="n">
        <v>46062</v>
      </c>
      <c r="E6679" s="1" t="n">
        <v>46323</v>
      </c>
      <c r="F6679" t="inlineStr">
        <is>
          <t>KALMAR LÄN</t>
        </is>
      </c>
      <c r="G6679" t="inlineStr">
        <is>
          <t>EMMABODA</t>
        </is>
      </c>
      <c r="I6679" t="n">
        <v>38.4</v>
      </c>
      <c r="J6679" t="n">
        <v>0</v>
      </c>
      <c r="K6679" t="n">
        <v>0</v>
      </c>
      <c r="L6679" t="n">
        <v>0</v>
      </c>
      <c r="M6679" t="n">
        <v>0</v>
      </c>
      <c r="N6679" t="n">
        <v>0</v>
      </c>
      <c r="O6679" t="n">
        <v>0</v>
      </c>
      <c r="P6679" t="n">
        <v>0</v>
      </c>
      <c r="Q6679" t="n">
        <v>0</v>
      </c>
      <c r="R6679" t="n">
        <v>0</v>
      </c>
      <c r="S6679" t="n">
        <v>0</v>
      </c>
      <c r="T6679" t="n">
        <v>0</v>
      </c>
      <c r="U6679" t="n">
        <v>0</v>
      </c>
      <c r="V6679" s="2" t="inlineStr"/>
    </row>
    <row r="6680" ht="15" customHeight="1">
      <c r="A6680" t="inlineStr">
        <is>
          <t>S 842-2026</t>
        </is>
      </c>
      <c r="B6680" t="inlineStr">
        <is>
          <t>samrådsanmälan</t>
        </is>
      </c>
      <c r="C6680" t="inlineStr">
        <is>
          <t>Annan skogsbruksåtgärd</t>
        </is>
      </c>
      <c r="D6680" s="1" t="n">
        <v>46105</v>
      </c>
      <c r="E6680" s="1" t="n">
        <v>46323</v>
      </c>
      <c r="F6680" t="inlineStr">
        <is>
          <t>KALMAR LÄN</t>
        </is>
      </c>
      <c r="G6680" t="inlineStr">
        <is>
          <t>BORGHOLM</t>
        </is>
      </c>
      <c r="H6680" t="inlineStr">
        <is>
          <t>Sveaskog</t>
        </is>
      </c>
      <c r="I6680" t="n">
        <v>1.7</v>
      </c>
      <c r="J6680" t="n">
        <v>0</v>
      </c>
      <c r="K6680" t="n">
        <v>0</v>
      </c>
      <c r="L6680" t="n">
        <v>0</v>
      </c>
      <c r="M6680" t="n">
        <v>0</v>
      </c>
      <c r="N6680" t="n">
        <v>0</v>
      </c>
      <c r="O6680" t="n">
        <v>0</v>
      </c>
      <c r="P6680" t="n">
        <v>0</v>
      </c>
      <c r="Q6680" t="n">
        <v>0</v>
      </c>
      <c r="R6680" t="n">
        <v>0</v>
      </c>
      <c r="S6680" t="n">
        <v>0</v>
      </c>
      <c r="T6680" t="n">
        <v>0</v>
      </c>
      <c r="U6680" t="n">
        <v>0</v>
      </c>
      <c r="V6680" s="2" t="inlineStr"/>
    </row>
    <row r="6681" ht="15" customHeight="1">
      <c r="A6681" t="inlineStr">
        <is>
          <t>S 2386-2024</t>
        </is>
      </c>
      <c r="B6681" t="inlineStr">
        <is>
          <t>samrådsanmälan</t>
        </is>
      </c>
      <c r="C6681" t="inlineStr">
        <is>
          <t>Annan skogsbruksåtgärd</t>
        </is>
      </c>
      <c r="D6681" s="1" t="n">
        <v>45468</v>
      </c>
      <c r="E6681" s="1" t="n">
        <v>46323</v>
      </c>
      <c r="F6681" t="inlineStr">
        <is>
          <t>KALMAR LÄN</t>
        </is>
      </c>
      <c r="G6681" t="inlineStr">
        <is>
          <t>OSKARSHAMN</t>
        </is>
      </c>
      <c r="H6681" t="inlineStr">
        <is>
          <t>Kommuner</t>
        </is>
      </c>
      <c r="I6681" t="n">
        <v>0.7</v>
      </c>
      <c r="J6681" t="n">
        <v>0</v>
      </c>
      <c r="K6681" t="n">
        <v>0</v>
      </c>
      <c r="L6681" t="n">
        <v>0</v>
      </c>
      <c r="M6681" t="n">
        <v>0</v>
      </c>
      <c r="N6681" t="n">
        <v>0</v>
      </c>
      <c r="O6681" t="n">
        <v>0</v>
      </c>
      <c r="P6681" t="n">
        <v>0</v>
      </c>
      <c r="Q6681" t="n">
        <v>0</v>
      </c>
      <c r="R6681" t="n">
        <v>0</v>
      </c>
      <c r="S6681" t="n">
        <v>0</v>
      </c>
      <c r="T6681" t="n">
        <v>0</v>
      </c>
      <c r="U6681" t="n">
        <v>0</v>
      </c>
      <c r="V6681" s="2" t="inlineStr"/>
    </row>
    <row r="6682" ht="15" customHeight="1">
      <c r="A6682" t="inlineStr">
        <is>
          <t>S 843-2026</t>
        </is>
      </c>
      <c r="B6682" t="inlineStr">
        <is>
          <t>samrådsanmälan</t>
        </is>
      </c>
      <c r="C6682" t="inlineStr">
        <is>
          <t>Annan skogsbruksåtgärd</t>
        </is>
      </c>
      <c r="D6682" s="1" t="n">
        <v>46105</v>
      </c>
      <c r="E6682" s="1" t="n">
        <v>46323</v>
      </c>
      <c r="F6682" t="inlineStr">
        <is>
          <t>KALMAR LÄN</t>
        </is>
      </c>
      <c r="G6682" t="inlineStr">
        <is>
          <t>BORGHOLM</t>
        </is>
      </c>
      <c r="H6682" t="inlineStr">
        <is>
          <t>Sveaskog</t>
        </is>
      </c>
      <c r="I6682" t="n">
        <v>2.9</v>
      </c>
      <c r="J6682" t="n">
        <v>0</v>
      </c>
      <c r="K6682" t="n">
        <v>0</v>
      </c>
      <c r="L6682" t="n">
        <v>0</v>
      </c>
      <c r="M6682" t="n">
        <v>0</v>
      </c>
      <c r="N6682" t="n">
        <v>0</v>
      </c>
      <c r="O6682" t="n">
        <v>0</v>
      </c>
      <c r="P6682" t="n">
        <v>0</v>
      </c>
      <c r="Q6682" t="n">
        <v>0</v>
      </c>
      <c r="R6682" t="n">
        <v>0</v>
      </c>
      <c r="S6682" t="n">
        <v>0</v>
      </c>
      <c r="T6682" t="n">
        <v>0</v>
      </c>
      <c r="U6682" t="n">
        <v>0</v>
      </c>
      <c r="V6682" s="2" t="inlineStr"/>
    </row>
    <row r="6683" ht="15" customHeight="1">
      <c r="A6683" t="inlineStr">
        <is>
          <t>S 917-2026</t>
        </is>
      </c>
      <c r="B6683" t="inlineStr">
        <is>
          <t>samrådsanmälan</t>
        </is>
      </c>
      <c r="C6683" t="inlineStr">
        <is>
          <t>Annan skogsbruksåtgärd</t>
        </is>
      </c>
      <c r="D6683" s="1" t="n">
        <v>46111</v>
      </c>
      <c r="E6683" s="1" t="n">
        <v>46323</v>
      </c>
      <c r="F6683" t="inlineStr">
        <is>
          <t>KALMAR LÄN</t>
        </is>
      </c>
      <c r="G6683" t="inlineStr">
        <is>
          <t>HULTSFRED</t>
        </is>
      </c>
      <c r="I6683" t="n">
        <v>0.9</v>
      </c>
      <c r="J6683" t="n">
        <v>0</v>
      </c>
      <c r="K6683" t="n">
        <v>0</v>
      </c>
      <c r="L6683" t="n">
        <v>0</v>
      </c>
      <c r="M6683" t="n">
        <v>0</v>
      </c>
      <c r="N6683" t="n">
        <v>0</v>
      </c>
      <c r="O6683" t="n">
        <v>0</v>
      </c>
      <c r="P6683" t="n">
        <v>0</v>
      </c>
      <c r="Q6683" t="n">
        <v>0</v>
      </c>
      <c r="R6683" t="n">
        <v>0</v>
      </c>
      <c r="S6683" t="n">
        <v>0</v>
      </c>
      <c r="T6683" t="n">
        <v>0</v>
      </c>
      <c r="U6683" t="n">
        <v>0</v>
      </c>
      <c r="V6683" s="2" t="inlineStr"/>
    </row>
    <row r="6684" ht="15" customHeight="1">
      <c r="A6684" t="inlineStr">
        <is>
          <t>S 909-2026</t>
        </is>
      </c>
      <c r="B6684" t="inlineStr">
        <is>
          <t>samrådsanmälan</t>
        </is>
      </c>
      <c r="C6684" t="inlineStr">
        <is>
          <t>Annan skogsbruksåtgärd</t>
        </is>
      </c>
      <c r="D6684" s="1" t="n">
        <v>46110</v>
      </c>
      <c r="E6684" s="1" t="n">
        <v>46323</v>
      </c>
      <c r="F6684" t="inlineStr">
        <is>
          <t>KALMAR LÄN</t>
        </is>
      </c>
      <c r="G6684" t="inlineStr">
        <is>
          <t>KALMAR</t>
        </is>
      </c>
      <c r="I6684" t="n">
        <v>0</v>
      </c>
      <c r="J6684" t="n">
        <v>0</v>
      </c>
      <c r="K6684" t="n">
        <v>0</v>
      </c>
      <c r="L6684" t="n">
        <v>0</v>
      </c>
      <c r="M6684" t="n">
        <v>0</v>
      </c>
      <c r="N6684" t="n">
        <v>0</v>
      </c>
      <c r="O6684" t="n">
        <v>0</v>
      </c>
      <c r="P6684" t="n">
        <v>0</v>
      </c>
      <c r="Q6684" t="n">
        <v>0</v>
      </c>
      <c r="R6684" t="n">
        <v>0</v>
      </c>
      <c r="S6684" t="n">
        <v>0</v>
      </c>
      <c r="T6684" t="n">
        <v>0</v>
      </c>
      <c r="U6684" t="n">
        <v>0</v>
      </c>
      <c r="V6684" s="2" t="inlineStr"/>
    </row>
    <row r="6685" ht="15" customHeight="1">
      <c r="A6685" t="inlineStr">
        <is>
          <t>S 978-2026</t>
        </is>
      </c>
      <c r="B6685" t="inlineStr">
        <is>
          <t>samrådsanmälan</t>
        </is>
      </c>
      <c r="C6685" t="inlineStr">
        <is>
          <t>Askåterföring</t>
        </is>
      </c>
      <c r="D6685" s="1" t="n">
        <v>46119</v>
      </c>
      <c r="E6685" s="1" t="n">
        <v>46323</v>
      </c>
      <c r="F6685" t="inlineStr">
        <is>
          <t>KALMAR LÄN</t>
        </is>
      </c>
      <c r="G6685" t="inlineStr">
        <is>
          <t>EMMABODA</t>
        </is>
      </c>
      <c r="I6685" t="n">
        <v>14.1</v>
      </c>
      <c r="J6685" t="n">
        <v>0</v>
      </c>
      <c r="K6685" t="n">
        <v>0</v>
      </c>
      <c r="L6685" t="n">
        <v>0</v>
      </c>
      <c r="M6685" t="n">
        <v>0</v>
      </c>
      <c r="N6685" t="n">
        <v>0</v>
      </c>
      <c r="O6685" t="n">
        <v>0</v>
      </c>
      <c r="P6685" t="n">
        <v>0</v>
      </c>
      <c r="Q6685" t="n">
        <v>0</v>
      </c>
      <c r="R6685" t="n">
        <v>0</v>
      </c>
      <c r="S6685" t="n">
        <v>0</v>
      </c>
      <c r="T6685" t="n">
        <v>0</v>
      </c>
      <c r="U6685" t="n">
        <v>0</v>
      </c>
      <c r="V6685" s="2" t="inlineStr"/>
    </row>
    <row r="6686" ht="15" customHeight="1">
      <c r="A6686" t="inlineStr">
        <is>
          <t>S 988-2026</t>
        </is>
      </c>
      <c r="B6686" t="inlineStr">
        <is>
          <t>samrådsanmälan</t>
        </is>
      </c>
      <c r="C6686" t="inlineStr">
        <is>
          <t>Askåterföring</t>
        </is>
      </c>
      <c r="D6686" s="1" t="n">
        <v>46119</v>
      </c>
      <c r="E6686" s="1" t="n">
        <v>46323</v>
      </c>
      <c r="F6686" t="inlineStr">
        <is>
          <t>KALMAR LÄN</t>
        </is>
      </c>
      <c r="G6686" t="inlineStr">
        <is>
          <t>EMMABODA</t>
        </is>
      </c>
      <c r="I6686" t="n">
        <v>11.2</v>
      </c>
      <c r="J6686" t="n">
        <v>0</v>
      </c>
      <c r="K6686" t="n">
        <v>0</v>
      </c>
      <c r="L6686" t="n">
        <v>0</v>
      </c>
      <c r="M6686" t="n">
        <v>0</v>
      </c>
      <c r="N6686" t="n">
        <v>0</v>
      </c>
      <c r="O6686" t="n">
        <v>0</v>
      </c>
      <c r="P6686" t="n">
        <v>0</v>
      </c>
      <c r="Q6686" t="n">
        <v>0</v>
      </c>
      <c r="R6686" t="n">
        <v>0</v>
      </c>
      <c r="S6686" t="n">
        <v>0</v>
      </c>
      <c r="T6686" t="n">
        <v>0</v>
      </c>
      <c r="U6686" t="n">
        <v>0</v>
      </c>
      <c r="V6686" s="2" t="inlineStr"/>
    </row>
    <row r="6687" ht="15" customHeight="1">
      <c r="A6687" t="inlineStr">
        <is>
          <t>S 1031-2026</t>
        </is>
      </c>
      <c r="B6687" t="inlineStr">
        <is>
          <t>samrådsanmälan</t>
        </is>
      </c>
      <c r="C6687" t="inlineStr">
        <is>
          <t>Askåterföring</t>
        </is>
      </c>
      <c r="D6687" s="1" t="n">
        <v>46125</v>
      </c>
      <c r="E6687" s="1" t="n">
        <v>46323</v>
      </c>
      <c r="F6687" t="inlineStr">
        <is>
          <t>KALMAR LÄN</t>
        </is>
      </c>
      <c r="G6687" t="inlineStr">
        <is>
          <t>HÖGSBY</t>
        </is>
      </c>
      <c r="I6687" t="n">
        <v>10</v>
      </c>
      <c r="J6687" t="n">
        <v>0</v>
      </c>
      <c r="K6687" t="n">
        <v>0</v>
      </c>
      <c r="L6687" t="n">
        <v>0</v>
      </c>
      <c r="M6687" t="n">
        <v>0</v>
      </c>
      <c r="N6687" t="n">
        <v>0</v>
      </c>
      <c r="O6687" t="n">
        <v>0</v>
      </c>
      <c r="P6687" t="n">
        <v>0</v>
      </c>
      <c r="Q6687" t="n">
        <v>0</v>
      </c>
      <c r="R6687" t="n">
        <v>0</v>
      </c>
      <c r="S6687" t="n">
        <v>0</v>
      </c>
      <c r="T6687" t="n">
        <v>0</v>
      </c>
      <c r="U6687" t="n">
        <v>0</v>
      </c>
      <c r="V6687" s="2" t="inlineStr"/>
    </row>
    <row r="6688" ht="15" customHeight="1">
      <c r="A6688" t="inlineStr">
        <is>
          <t>S 1058-2026</t>
        </is>
      </c>
      <c r="B6688" t="inlineStr">
        <is>
          <t>samrådsanmälan</t>
        </is>
      </c>
      <c r="C6688" t="inlineStr">
        <is>
          <t>Annan skogsbruksåtgärd</t>
        </is>
      </c>
      <c r="D6688" s="1" t="n">
        <v>46127</v>
      </c>
      <c r="E6688" s="1" t="n">
        <v>46323</v>
      </c>
      <c r="F6688" t="inlineStr">
        <is>
          <t>KALMAR LÄN</t>
        </is>
      </c>
      <c r="G6688" t="inlineStr">
        <is>
          <t>EMMABODA</t>
        </is>
      </c>
      <c r="I6688" t="n">
        <v>1</v>
      </c>
      <c r="J6688" t="n">
        <v>0</v>
      </c>
      <c r="K6688" t="n">
        <v>0</v>
      </c>
      <c r="L6688" t="n">
        <v>0</v>
      </c>
      <c r="M6688" t="n">
        <v>0</v>
      </c>
      <c r="N6688" t="n">
        <v>0</v>
      </c>
      <c r="O6688" t="n">
        <v>0</v>
      </c>
      <c r="P6688" t="n">
        <v>0</v>
      </c>
      <c r="Q6688" t="n">
        <v>0</v>
      </c>
      <c r="R6688" t="n">
        <v>0</v>
      </c>
      <c r="S6688" t="n">
        <v>0</v>
      </c>
      <c r="T6688" t="n">
        <v>0</v>
      </c>
      <c r="U6688" t="n">
        <v>0</v>
      </c>
      <c r="V6688" s="2" t="inlineStr"/>
    </row>
    <row r="6689" ht="15" customHeight="1">
      <c r="A6689" t="inlineStr">
        <is>
          <t>S 1389-2026</t>
        </is>
      </c>
      <c r="B6689" t="inlineStr">
        <is>
          <t>samrådsanmälan</t>
        </is>
      </c>
      <c r="C6689" t="inlineStr">
        <is>
          <t>Askåterföring</t>
        </is>
      </c>
      <c r="D6689" s="1" t="n">
        <v>46154</v>
      </c>
      <c r="E6689" s="1" t="n">
        <v>46323</v>
      </c>
      <c r="F6689" t="inlineStr">
        <is>
          <t>KALMAR LÄN</t>
        </is>
      </c>
      <c r="G6689" t="inlineStr">
        <is>
          <t>VIMMERBY</t>
        </is>
      </c>
      <c r="I6689" t="n">
        <v>11.8</v>
      </c>
      <c r="J6689" t="n">
        <v>0</v>
      </c>
      <c r="K6689" t="n">
        <v>0</v>
      </c>
      <c r="L6689" t="n">
        <v>0</v>
      </c>
      <c r="M6689" t="n">
        <v>0</v>
      </c>
      <c r="N6689" t="n">
        <v>0</v>
      </c>
      <c r="O6689" t="n">
        <v>0</v>
      </c>
      <c r="P6689" t="n">
        <v>0</v>
      </c>
      <c r="Q6689" t="n">
        <v>0</v>
      </c>
      <c r="R6689" t="n">
        <v>0</v>
      </c>
      <c r="S6689" t="n">
        <v>0</v>
      </c>
      <c r="T6689" t="n">
        <v>0</v>
      </c>
      <c r="U6689" t="n">
        <v>0</v>
      </c>
      <c r="V6689" s="2" t="inlineStr"/>
    </row>
    <row r="6690" ht="15" customHeight="1">
      <c r="A6690" t="inlineStr">
        <is>
          <t>S 1391-2026</t>
        </is>
      </c>
      <c r="B6690" t="inlineStr">
        <is>
          <t>samrådsanmälan</t>
        </is>
      </c>
      <c r="C6690" t="inlineStr">
        <is>
          <t>Askåterföring</t>
        </is>
      </c>
      <c r="D6690" s="1" t="n">
        <v>46154</v>
      </c>
      <c r="E6690" s="1" t="n">
        <v>46323</v>
      </c>
      <c r="F6690" t="inlineStr">
        <is>
          <t>KALMAR LÄN</t>
        </is>
      </c>
      <c r="G6690" t="inlineStr">
        <is>
          <t>VIMMERBY</t>
        </is>
      </c>
      <c r="I6690" t="n">
        <v>8.699999999999999</v>
      </c>
      <c r="J6690" t="n">
        <v>0</v>
      </c>
      <c r="K6690" t="n">
        <v>0</v>
      </c>
      <c r="L6690" t="n">
        <v>0</v>
      </c>
      <c r="M6690" t="n">
        <v>0</v>
      </c>
      <c r="N6690" t="n">
        <v>0</v>
      </c>
      <c r="O6690" t="n">
        <v>0</v>
      </c>
      <c r="P6690" t="n">
        <v>0</v>
      </c>
      <c r="Q6690" t="n">
        <v>0</v>
      </c>
      <c r="R6690" t="n">
        <v>0</v>
      </c>
      <c r="S6690" t="n">
        <v>0</v>
      </c>
      <c r="T6690" t="n">
        <v>0</v>
      </c>
      <c r="U6690" t="n">
        <v>0</v>
      </c>
      <c r="V6690" s="2" t="inlineStr"/>
    </row>
    <row r="6691" ht="15" customHeight="1">
      <c r="A6691" t="inlineStr">
        <is>
          <t>S 1417-2026</t>
        </is>
      </c>
      <c r="B6691" t="inlineStr">
        <is>
          <t>samrådsanmälan</t>
        </is>
      </c>
      <c r="C6691" t="inlineStr">
        <is>
          <t>Annan skogsbruksåtgärd</t>
        </is>
      </c>
      <c r="D6691" s="1" t="n">
        <v>46155</v>
      </c>
      <c r="E6691" s="1" t="n">
        <v>46323</v>
      </c>
      <c r="F6691" t="inlineStr">
        <is>
          <t>KALMAR LÄN</t>
        </is>
      </c>
      <c r="G6691" t="inlineStr">
        <is>
          <t>HÖGSBY</t>
        </is>
      </c>
      <c r="H6691" t="inlineStr">
        <is>
          <t>Sveaskog</t>
        </is>
      </c>
      <c r="I6691" t="n">
        <v>2.5</v>
      </c>
      <c r="J6691" t="n">
        <v>0</v>
      </c>
      <c r="K6691" t="n">
        <v>0</v>
      </c>
      <c r="L6691" t="n">
        <v>0</v>
      </c>
      <c r="M6691" t="n">
        <v>0</v>
      </c>
      <c r="N6691" t="n">
        <v>0</v>
      </c>
      <c r="O6691" t="n">
        <v>0</v>
      </c>
      <c r="P6691" t="n">
        <v>0</v>
      </c>
      <c r="Q6691" t="n">
        <v>0</v>
      </c>
      <c r="R6691" t="n">
        <v>0</v>
      </c>
      <c r="S6691" t="n">
        <v>0</v>
      </c>
      <c r="T6691" t="n">
        <v>0</v>
      </c>
      <c r="U6691" t="n">
        <v>0</v>
      </c>
      <c r="V6691" s="2" t="inlineStr"/>
    </row>
    <row r="6692" ht="15" customHeight="1">
      <c r="A6692" t="inlineStr">
        <is>
          <t>S 1418-2026</t>
        </is>
      </c>
      <c r="B6692" t="inlineStr">
        <is>
          <t>samrådsanmälan</t>
        </is>
      </c>
      <c r="C6692" t="inlineStr">
        <is>
          <t>Annan skogsbruksåtgärd</t>
        </is>
      </c>
      <c r="D6692" s="1" t="n">
        <v>46155</v>
      </c>
      <c r="E6692" s="1" t="n">
        <v>46323</v>
      </c>
      <c r="F6692" t="inlineStr">
        <is>
          <t>KALMAR LÄN</t>
        </is>
      </c>
      <c r="G6692" t="inlineStr">
        <is>
          <t>HÖGSBY</t>
        </is>
      </c>
      <c r="H6692" t="inlineStr">
        <is>
          <t>Sveaskog</t>
        </is>
      </c>
      <c r="I6692" t="n">
        <v>0.7</v>
      </c>
      <c r="J6692" t="n">
        <v>0</v>
      </c>
      <c r="K6692" t="n">
        <v>0</v>
      </c>
      <c r="L6692" t="n">
        <v>0</v>
      </c>
      <c r="M6692" t="n">
        <v>0</v>
      </c>
      <c r="N6692" t="n">
        <v>0</v>
      </c>
      <c r="O6692" t="n">
        <v>0</v>
      </c>
      <c r="P6692" t="n">
        <v>0</v>
      </c>
      <c r="Q6692" t="n">
        <v>0</v>
      </c>
      <c r="R6692" t="n">
        <v>0</v>
      </c>
      <c r="S6692" t="n">
        <v>0</v>
      </c>
      <c r="T6692" t="n">
        <v>0</v>
      </c>
      <c r="U6692" t="n">
        <v>0</v>
      </c>
      <c r="V6692" s="2" t="inlineStr"/>
    </row>
    <row r="6693" ht="15" customHeight="1">
      <c r="A6693" t="inlineStr">
        <is>
          <t>S 1527-2026</t>
        </is>
      </c>
      <c r="B6693" t="inlineStr">
        <is>
          <t>samrådsanmälan</t>
        </is>
      </c>
      <c r="C6693" t="inlineStr">
        <is>
          <t>Askåterföring</t>
        </is>
      </c>
      <c r="D6693" s="1" t="n">
        <v>46167</v>
      </c>
      <c r="E6693" s="1" t="n">
        <v>46323</v>
      </c>
      <c r="F6693" t="inlineStr">
        <is>
          <t>KALMAR LÄN</t>
        </is>
      </c>
      <c r="G6693" t="inlineStr">
        <is>
          <t>EMMABODA</t>
        </is>
      </c>
      <c r="I6693" t="n">
        <v>12.7</v>
      </c>
      <c r="J6693" t="n">
        <v>0</v>
      </c>
      <c r="K6693" t="n">
        <v>0</v>
      </c>
      <c r="L6693" t="n">
        <v>0</v>
      </c>
      <c r="M6693" t="n">
        <v>0</v>
      </c>
      <c r="N6693" t="n">
        <v>0</v>
      </c>
      <c r="O6693" t="n">
        <v>0</v>
      </c>
      <c r="P6693" t="n">
        <v>0</v>
      </c>
      <c r="Q6693" t="n">
        <v>0</v>
      </c>
      <c r="R6693" t="n">
        <v>0</v>
      </c>
      <c r="S6693" t="n">
        <v>0</v>
      </c>
      <c r="T6693" t="n">
        <v>0</v>
      </c>
      <c r="U6693" t="n">
        <v>0</v>
      </c>
      <c r="V6693" s="2" t="inlineStr"/>
    </row>
    <row r="6694" ht="15" customHeight="1">
      <c r="A6694" t="inlineStr">
        <is>
          <t>S 1430-2026</t>
        </is>
      </c>
      <c r="B6694" t="inlineStr">
        <is>
          <t>samrådsanmälan</t>
        </is>
      </c>
      <c r="C6694" t="inlineStr">
        <is>
          <t>Skogsgödsling</t>
        </is>
      </c>
      <c r="D6694" s="1" t="n">
        <v>46156</v>
      </c>
      <c r="E6694" s="1" t="n">
        <v>46323</v>
      </c>
      <c r="F6694" t="inlineStr">
        <is>
          <t>KALMAR LÄN</t>
        </is>
      </c>
      <c r="G6694" t="inlineStr">
        <is>
          <t>EMMABODA</t>
        </is>
      </c>
      <c r="I6694" t="n">
        <v>17.1</v>
      </c>
      <c r="J6694" t="n">
        <v>0</v>
      </c>
      <c r="K6694" t="n">
        <v>0</v>
      </c>
      <c r="L6694" t="n">
        <v>0</v>
      </c>
      <c r="M6694" t="n">
        <v>0</v>
      </c>
      <c r="N6694" t="n">
        <v>0</v>
      </c>
      <c r="O6694" t="n">
        <v>0</v>
      </c>
      <c r="P6694" t="n">
        <v>0</v>
      </c>
      <c r="Q6694" t="n">
        <v>0</v>
      </c>
      <c r="R6694" t="n">
        <v>0</v>
      </c>
      <c r="S6694" t="n">
        <v>0</v>
      </c>
      <c r="T6694" t="n">
        <v>0</v>
      </c>
      <c r="U6694" t="n">
        <v>0</v>
      </c>
      <c r="V6694" s="2" t="inlineStr"/>
    </row>
    <row r="6695" ht="15" customHeight="1">
      <c r="A6695" t="inlineStr">
        <is>
          <t>S 1556-2026</t>
        </is>
      </c>
      <c r="B6695" t="inlineStr">
        <is>
          <t>samrådsanmälan</t>
        </is>
      </c>
      <c r="C6695" t="inlineStr">
        <is>
          <t>Annan skogsbruksåtgärd</t>
        </is>
      </c>
      <c r="D6695" s="1" t="n">
        <v>46169</v>
      </c>
      <c r="E6695" s="1" t="n">
        <v>46323</v>
      </c>
      <c r="F6695" t="inlineStr">
        <is>
          <t>KALMAR LÄN</t>
        </is>
      </c>
      <c r="G6695" t="inlineStr">
        <is>
          <t>BORGHOLM</t>
        </is>
      </c>
      <c r="H6695" t="inlineStr">
        <is>
          <t>Sveaskog</t>
        </is>
      </c>
      <c r="I6695" t="n">
        <v>1.1</v>
      </c>
      <c r="J6695" t="n">
        <v>0</v>
      </c>
      <c r="K6695" t="n">
        <v>0</v>
      </c>
      <c r="L6695" t="n">
        <v>0</v>
      </c>
      <c r="M6695" t="n">
        <v>0</v>
      </c>
      <c r="N6695" t="n">
        <v>0</v>
      </c>
      <c r="O6695" t="n">
        <v>0</v>
      </c>
      <c r="P6695" t="n">
        <v>0</v>
      </c>
      <c r="Q6695" t="n">
        <v>0</v>
      </c>
      <c r="R6695" t="n">
        <v>0</v>
      </c>
      <c r="S6695" t="n">
        <v>0</v>
      </c>
      <c r="T6695" t="n">
        <v>0</v>
      </c>
      <c r="U6695" t="n">
        <v>0</v>
      </c>
      <c r="V6695" s="2" t="inlineStr"/>
    </row>
    <row r="6696" ht="15" customHeight="1">
      <c r="A6696" t="inlineStr">
        <is>
          <t>S 1561-2026</t>
        </is>
      </c>
      <c r="B6696" t="inlineStr">
        <is>
          <t>samrådsanmälan</t>
        </is>
      </c>
      <c r="C6696" t="inlineStr">
        <is>
          <t>Annan skogsbruksåtgärd</t>
        </is>
      </c>
      <c r="D6696" s="1" t="n">
        <v>46169</v>
      </c>
      <c r="E6696" s="1" t="n">
        <v>46323</v>
      </c>
      <c r="F6696" t="inlineStr">
        <is>
          <t>KALMAR LÄN</t>
        </is>
      </c>
      <c r="G6696" t="inlineStr">
        <is>
          <t>VIMMERBY</t>
        </is>
      </c>
      <c r="I6696" t="n">
        <v>4.7</v>
      </c>
      <c r="J6696" t="n">
        <v>0</v>
      </c>
      <c r="K6696" t="n">
        <v>0</v>
      </c>
      <c r="L6696" t="n">
        <v>0</v>
      </c>
      <c r="M6696" t="n">
        <v>0</v>
      </c>
      <c r="N6696" t="n">
        <v>0</v>
      </c>
      <c r="O6696" t="n">
        <v>0</v>
      </c>
      <c r="P6696" t="n">
        <v>0</v>
      </c>
      <c r="Q6696" t="n">
        <v>0</v>
      </c>
      <c r="R6696" t="n">
        <v>0</v>
      </c>
      <c r="S6696" t="n">
        <v>0</v>
      </c>
      <c r="T6696" t="n">
        <v>0</v>
      </c>
      <c r="U6696" t="n">
        <v>0</v>
      </c>
      <c r="V6696" s="2" t="inlineStr"/>
    </row>
    <row r="6697" ht="15" customHeight="1">
      <c r="A6697" t="inlineStr">
        <is>
          <t>S 1602-2026</t>
        </is>
      </c>
      <c r="B6697" t="inlineStr">
        <is>
          <t>samrådsanmälan</t>
        </is>
      </c>
      <c r="C6697" t="inlineStr">
        <is>
          <t>Annan skogsbruksåtgärd</t>
        </is>
      </c>
      <c r="D6697" s="1" t="n">
        <v>46171</v>
      </c>
      <c r="E6697" s="1" t="n">
        <v>46323</v>
      </c>
      <c r="F6697" t="inlineStr">
        <is>
          <t>KALMAR LÄN</t>
        </is>
      </c>
      <c r="G6697" t="inlineStr">
        <is>
          <t>MÖRBYLÅNGA</t>
        </is>
      </c>
      <c r="I6697" t="n">
        <v>2.1</v>
      </c>
      <c r="J6697" t="n">
        <v>0</v>
      </c>
      <c r="K6697" t="n">
        <v>0</v>
      </c>
      <c r="L6697" t="n">
        <v>0</v>
      </c>
      <c r="M6697" t="n">
        <v>0</v>
      </c>
      <c r="N6697" t="n">
        <v>0</v>
      </c>
      <c r="O6697" t="n">
        <v>0</v>
      </c>
      <c r="P6697" t="n">
        <v>0</v>
      </c>
      <c r="Q6697" t="n">
        <v>0</v>
      </c>
      <c r="R6697" t="n">
        <v>0</v>
      </c>
      <c r="S6697" t="n">
        <v>0</v>
      </c>
      <c r="T6697" t="n">
        <v>0</v>
      </c>
      <c r="U6697" t="n">
        <v>0</v>
      </c>
      <c r="V6697" s="2" t="inlineStr"/>
    </row>
    <row r="6698" ht="15" customHeight="1">
      <c r="A6698" t="inlineStr">
        <is>
          <t>S 1688-2026</t>
        </is>
      </c>
      <c r="B6698" t="inlineStr">
        <is>
          <t>samrådsanmälan</t>
        </is>
      </c>
      <c r="C6698" t="inlineStr">
        <is>
          <t>Askåterföring</t>
        </is>
      </c>
      <c r="D6698" s="1" t="n">
        <v>46183</v>
      </c>
      <c r="E6698" s="1" t="n">
        <v>46323</v>
      </c>
      <c r="F6698" t="inlineStr">
        <is>
          <t>KALMAR LÄN</t>
        </is>
      </c>
      <c r="G6698" t="inlineStr">
        <is>
          <t>EMMABODA</t>
        </is>
      </c>
      <c r="I6698" t="n">
        <v>40.2</v>
      </c>
      <c r="J6698" t="n">
        <v>0</v>
      </c>
      <c r="K6698" t="n">
        <v>0</v>
      </c>
      <c r="L6698" t="n">
        <v>0</v>
      </c>
      <c r="M6698" t="n">
        <v>0</v>
      </c>
      <c r="N6698" t="n">
        <v>0</v>
      </c>
      <c r="O6698" t="n">
        <v>0</v>
      </c>
      <c r="P6698" t="n">
        <v>0</v>
      </c>
      <c r="Q6698" t="n">
        <v>0</v>
      </c>
      <c r="R6698" t="n">
        <v>0</v>
      </c>
      <c r="S6698" t="n">
        <v>0</v>
      </c>
      <c r="T6698" t="n">
        <v>0</v>
      </c>
      <c r="U6698" t="n">
        <v>0</v>
      </c>
      <c r="V6698" s="2" t="inlineStr"/>
    </row>
    <row r="6699" ht="15" customHeight="1">
      <c r="A6699" t="inlineStr">
        <is>
          <t>S 1770-2026</t>
        </is>
      </c>
      <c r="B6699" t="inlineStr">
        <is>
          <t>samrådsanmälan</t>
        </is>
      </c>
      <c r="C6699" t="inlineStr">
        <is>
          <t>Annan skogsbruksåtgärd</t>
        </is>
      </c>
      <c r="D6699" s="1" t="n">
        <v>46191</v>
      </c>
      <c r="E6699" s="1" t="n">
        <v>46323</v>
      </c>
      <c r="F6699" t="inlineStr">
        <is>
          <t>KALMAR LÄN</t>
        </is>
      </c>
      <c r="G6699" t="inlineStr">
        <is>
          <t>VÄSTERVIK</t>
        </is>
      </c>
      <c r="H6699" t="inlineStr">
        <is>
          <t>Kommuner</t>
        </is>
      </c>
      <c r="I6699" t="n">
        <v>2.3</v>
      </c>
      <c r="J6699" t="n">
        <v>0</v>
      </c>
      <c r="K6699" t="n">
        <v>0</v>
      </c>
      <c r="L6699" t="n">
        <v>0</v>
      </c>
      <c r="M6699" t="n">
        <v>0</v>
      </c>
      <c r="N6699" t="n">
        <v>0</v>
      </c>
      <c r="O6699" t="n">
        <v>0</v>
      </c>
      <c r="P6699" t="n">
        <v>0</v>
      </c>
      <c r="Q6699" t="n">
        <v>0</v>
      </c>
      <c r="R6699" t="n">
        <v>0</v>
      </c>
      <c r="S6699" t="n">
        <v>0</v>
      </c>
      <c r="T6699" t="n">
        <v>0</v>
      </c>
      <c r="U6699" t="n">
        <v>0</v>
      </c>
      <c r="V6699" s="2" t="inlineStr"/>
    </row>
    <row r="6700" ht="15" customHeight="1">
      <c r="A6700" t="inlineStr">
        <is>
          <t>S 1820-2026</t>
        </is>
      </c>
      <c r="B6700" t="inlineStr">
        <is>
          <t>samrådsanmälan</t>
        </is>
      </c>
      <c r="C6700" t="inlineStr">
        <is>
          <t>Annan skogsbruksåtgärd</t>
        </is>
      </c>
      <c r="D6700" s="1" t="n">
        <v>46197</v>
      </c>
      <c r="E6700" s="1" t="n">
        <v>46323</v>
      </c>
      <c r="F6700" t="inlineStr">
        <is>
          <t>KALMAR LÄN</t>
        </is>
      </c>
      <c r="G6700" t="inlineStr">
        <is>
          <t>OSKARSHAMN</t>
        </is>
      </c>
      <c r="I6700" t="n">
        <v>1.3</v>
      </c>
      <c r="J6700" t="n">
        <v>0</v>
      </c>
      <c r="K6700" t="n">
        <v>0</v>
      </c>
      <c r="L6700" t="n">
        <v>0</v>
      </c>
      <c r="M6700" t="n">
        <v>0</v>
      </c>
      <c r="N6700" t="n">
        <v>0</v>
      </c>
      <c r="O6700" t="n">
        <v>0</v>
      </c>
      <c r="P6700" t="n">
        <v>0</v>
      </c>
      <c r="Q6700" t="n">
        <v>0</v>
      </c>
      <c r="R6700" t="n">
        <v>0</v>
      </c>
      <c r="S6700" t="n">
        <v>0</v>
      </c>
      <c r="T6700" t="n">
        <v>0</v>
      </c>
      <c r="U6700" t="n">
        <v>0</v>
      </c>
      <c r="V6700" s="2" t="inlineStr"/>
    </row>
    <row r="6701" ht="15" customHeight="1">
      <c r="A6701" t="inlineStr">
        <is>
          <t>S 1812-2026</t>
        </is>
      </c>
      <c r="B6701" t="inlineStr">
        <is>
          <t>samrådsanmälan</t>
        </is>
      </c>
      <c r="C6701" t="inlineStr">
        <is>
          <t>Annan skogsbruksåtgärd</t>
        </is>
      </c>
      <c r="D6701" s="1" t="n">
        <v>46197</v>
      </c>
      <c r="E6701" s="1" t="n">
        <v>46323</v>
      </c>
      <c r="F6701" t="inlineStr">
        <is>
          <t>KALMAR LÄN</t>
        </is>
      </c>
      <c r="G6701" t="inlineStr">
        <is>
          <t>BORGHOLM</t>
        </is>
      </c>
      <c r="H6701" t="inlineStr">
        <is>
          <t>Sveaskog</t>
        </is>
      </c>
      <c r="I6701" t="n">
        <v>0.5</v>
      </c>
      <c r="J6701" t="n">
        <v>0</v>
      </c>
      <c r="K6701" t="n">
        <v>0</v>
      </c>
      <c r="L6701" t="n">
        <v>0</v>
      </c>
      <c r="M6701" t="n">
        <v>0</v>
      </c>
      <c r="N6701" t="n">
        <v>0</v>
      </c>
      <c r="O6701" t="n">
        <v>0</v>
      </c>
      <c r="P6701" t="n">
        <v>0</v>
      </c>
      <c r="Q6701" t="n">
        <v>0</v>
      </c>
      <c r="R6701" t="n">
        <v>0</v>
      </c>
      <c r="S6701" t="n">
        <v>0</v>
      </c>
      <c r="T6701" t="n">
        <v>0</v>
      </c>
      <c r="U6701" t="n">
        <v>0</v>
      </c>
      <c r="V6701" s="2" t="inlineStr"/>
    </row>
    <row r="6702" ht="15" customHeight="1">
      <c r="A6702" t="inlineStr">
        <is>
          <t>S 1806-2026</t>
        </is>
      </c>
      <c r="B6702" t="inlineStr">
        <is>
          <t>samrådsanmälan</t>
        </is>
      </c>
      <c r="C6702" t="inlineStr">
        <is>
          <t>Annan skogsbruksåtgärd</t>
        </is>
      </c>
      <c r="D6702" s="1" t="n">
        <v>46196</v>
      </c>
      <c r="E6702" s="1" t="n">
        <v>46323</v>
      </c>
      <c r="F6702" t="inlineStr">
        <is>
          <t>KALMAR LÄN</t>
        </is>
      </c>
      <c r="G6702" t="inlineStr">
        <is>
          <t>BORGHOLM</t>
        </is>
      </c>
      <c r="H6702" t="inlineStr">
        <is>
          <t>Sveaskog</t>
        </is>
      </c>
      <c r="I6702" t="n">
        <v>1.4</v>
      </c>
      <c r="J6702" t="n">
        <v>0</v>
      </c>
      <c r="K6702" t="n">
        <v>0</v>
      </c>
      <c r="L6702" t="n">
        <v>0</v>
      </c>
      <c r="M6702" t="n">
        <v>0</v>
      </c>
      <c r="N6702" t="n">
        <v>0</v>
      </c>
      <c r="O6702" t="n">
        <v>0</v>
      </c>
      <c r="P6702" t="n">
        <v>0</v>
      </c>
      <c r="Q6702" t="n">
        <v>0</v>
      </c>
      <c r="R6702" t="n">
        <v>0</v>
      </c>
      <c r="S6702" t="n">
        <v>0</v>
      </c>
      <c r="T6702" t="n">
        <v>0</v>
      </c>
      <c r="U6702" t="n">
        <v>0</v>
      </c>
      <c r="V6702" s="2" t="inlineStr"/>
    </row>
    <row r="6703" ht="15" customHeight="1">
      <c r="A6703" t="inlineStr">
        <is>
          <t>S 1807-2026</t>
        </is>
      </c>
      <c r="B6703" t="inlineStr">
        <is>
          <t>samrådsanmälan</t>
        </is>
      </c>
      <c r="C6703" t="inlineStr">
        <is>
          <t>Annan skogsbruksåtgärd</t>
        </is>
      </c>
      <c r="D6703" s="1" t="n">
        <v>46196</v>
      </c>
      <c r="E6703" s="1" t="n">
        <v>46323</v>
      </c>
      <c r="F6703" t="inlineStr">
        <is>
          <t>KALMAR LÄN</t>
        </is>
      </c>
      <c r="G6703" t="inlineStr">
        <is>
          <t>BORGHOLM</t>
        </is>
      </c>
      <c r="H6703" t="inlineStr">
        <is>
          <t>Sveaskog</t>
        </is>
      </c>
      <c r="I6703" t="n">
        <v>0.5</v>
      </c>
      <c r="J6703" t="n">
        <v>0</v>
      </c>
      <c r="K6703" t="n">
        <v>0</v>
      </c>
      <c r="L6703" t="n">
        <v>0</v>
      </c>
      <c r="M6703" t="n">
        <v>0</v>
      </c>
      <c r="N6703" t="n">
        <v>0</v>
      </c>
      <c r="O6703" t="n">
        <v>0</v>
      </c>
      <c r="P6703" t="n">
        <v>0</v>
      </c>
      <c r="Q6703" t="n">
        <v>0</v>
      </c>
      <c r="R6703" t="n">
        <v>0</v>
      </c>
      <c r="S6703" t="n">
        <v>0</v>
      </c>
      <c r="T6703" t="n">
        <v>0</v>
      </c>
      <c r="U6703" t="n">
        <v>0</v>
      </c>
      <c r="V6703" s="2" t="inlineStr"/>
    </row>
    <row r="6704" ht="15" customHeight="1">
      <c r="A6704" t="inlineStr">
        <is>
          <t>S 1846-2026</t>
        </is>
      </c>
      <c r="B6704" t="inlineStr">
        <is>
          <t>samrådsanmälan</t>
        </is>
      </c>
      <c r="C6704" t="inlineStr">
        <is>
          <t>Annan skogsbruksåtgärd</t>
        </is>
      </c>
      <c r="D6704" s="1" t="n">
        <v>46198</v>
      </c>
      <c r="E6704" s="1" t="n">
        <v>46323</v>
      </c>
      <c r="F6704" t="inlineStr">
        <is>
          <t>KALMAR LÄN</t>
        </is>
      </c>
      <c r="G6704" t="inlineStr">
        <is>
          <t>HÖGSBY</t>
        </is>
      </c>
      <c r="H6704" t="inlineStr">
        <is>
          <t>Sveaskog</t>
        </is>
      </c>
      <c r="I6704" t="n">
        <v>2.8</v>
      </c>
      <c r="J6704" t="n">
        <v>0</v>
      </c>
      <c r="K6704" t="n">
        <v>0</v>
      </c>
      <c r="L6704" t="n">
        <v>0</v>
      </c>
      <c r="M6704" t="n">
        <v>0</v>
      </c>
      <c r="N6704" t="n">
        <v>0</v>
      </c>
      <c r="O6704" t="n">
        <v>0</v>
      </c>
      <c r="P6704" t="n">
        <v>0</v>
      </c>
      <c r="Q6704" t="n">
        <v>0</v>
      </c>
      <c r="R6704" t="n">
        <v>0</v>
      </c>
      <c r="S6704" t="n">
        <v>0</v>
      </c>
      <c r="T6704" t="n">
        <v>0</v>
      </c>
      <c r="U6704" t="n">
        <v>0</v>
      </c>
      <c r="V6704" s="2" t="inlineStr"/>
    </row>
    <row r="6705" ht="15" customHeight="1">
      <c r="A6705" t="inlineStr">
        <is>
          <t>S 1866-2026</t>
        </is>
      </c>
      <c r="B6705" t="inlineStr">
        <is>
          <t>samrådsanmälan</t>
        </is>
      </c>
      <c r="C6705" t="inlineStr">
        <is>
          <t>Annan skogsbruksåtgärd</t>
        </is>
      </c>
      <c r="D6705" s="1" t="n">
        <v>46199</v>
      </c>
      <c r="E6705" s="1" t="n">
        <v>46323</v>
      </c>
      <c r="F6705" t="inlineStr">
        <is>
          <t>KALMAR LÄN</t>
        </is>
      </c>
      <c r="G6705" t="inlineStr">
        <is>
          <t>HÖGSBY</t>
        </is>
      </c>
      <c r="I6705" t="n">
        <v>1.7</v>
      </c>
      <c r="J6705" t="n">
        <v>0</v>
      </c>
      <c r="K6705" t="n">
        <v>0</v>
      </c>
      <c r="L6705" t="n">
        <v>0</v>
      </c>
      <c r="M6705" t="n">
        <v>0</v>
      </c>
      <c r="N6705" t="n">
        <v>0</v>
      </c>
      <c r="O6705" t="n">
        <v>0</v>
      </c>
      <c r="P6705" t="n">
        <v>0</v>
      </c>
      <c r="Q6705" t="n">
        <v>0</v>
      </c>
      <c r="R6705" t="n">
        <v>0</v>
      </c>
      <c r="S6705" t="n">
        <v>0</v>
      </c>
      <c r="T6705" t="n">
        <v>0</v>
      </c>
      <c r="U6705" t="n">
        <v>0</v>
      </c>
      <c r="V6705" s="2" t="inlineStr"/>
    </row>
    <row r="6706" ht="15" customHeight="1">
      <c r="A6706" t="inlineStr">
        <is>
          <t>S 1852-2026</t>
        </is>
      </c>
      <c r="B6706" t="inlineStr">
        <is>
          <t>samrådsanmälan</t>
        </is>
      </c>
      <c r="C6706" t="inlineStr">
        <is>
          <t>Annan skogsbruksåtgärd</t>
        </is>
      </c>
      <c r="D6706" s="1" t="n">
        <v>46198</v>
      </c>
      <c r="E6706" s="1" t="n">
        <v>46323</v>
      </c>
      <c r="F6706" t="inlineStr">
        <is>
          <t>KALMAR LÄN</t>
        </is>
      </c>
      <c r="G6706" t="inlineStr">
        <is>
          <t>VIMMERBY</t>
        </is>
      </c>
      <c r="H6706" t="inlineStr">
        <is>
          <t>Sveaskog</t>
        </is>
      </c>
      <c r="I6706" t="n">
        <v>0.8</v>
      </c>
      <c r="J6706" t="n">
        <v>0</v>
      </c>
      <c r="K6706" t="n">
        <v>0</v>
      </c>
      <c r="L6706" t="n">
        <v>0</v>
      </c>
      <c r="M6706" t="n">
        <v>0</v>
      </c>
      <c r="N6706" t="n">
        <v>0</v>
      </c>
      <c r="O6706" t="n">
        <v>0</v>
      </c>
      <c r="P6706" t="n">
        <v>0</v>
      </c>
      <c r="Q6706" t="n">
        <v>0</v>
      </c>
      <c r="R6706" t="n">
        <v>0</v>
      </c>
      <c r="S6706" t="n">
        <v>0</v>
      </c>
      <c r="T6706" t="n">
        <v>0</v>
      </c>
      <c r="U6706" t="n">
        <v>0</v>
      </c>
      <c r="V6706" s="2" t="inlineStr"/>
    </row>
    <row r="6707" ht="15" customHeight="1">
      <c r="A6707" t="inlineStr">
        <is>
          <t>S 1848-2026</t>
        </is>
      </c>
      <c r="B6707" t="inlineStr">
        <is>
          <t>samrådsanmälan</t>
        </is>
      </c>
      <c r="C6707" t="inlineStr">
        <is>
          <t>Annan skogsbruksåtgärd</t>
        </is>
      </c>
      <c r="D6707" s="1" t="n">
        <v>46198</v>
      </c>
      <c r="E6707" s="1" t="n">
        <v>46323</v>
      </c>
      <c r="F6707" t="inlineStr">
        <is>
          <t>KALMAR LÄN</t>
        </is>
      </c>
      <c r="G6707" t="inlineStr">
        <is>
          <t>HÖGSBY</t>
        </is>
      </c>
      <c r="H6707" t="inlineStr">
        <is>
          <t>Sveaskog</t>
        </is>
      </c>
      <c r="I6707" t="n">
        <v>3.1</v>
      </c>
      <c r="J6707" t="n">
        <v>0</v>
      </c>
      <c r="K6707" t="n">
        <v>0</v>
      </c>
      <c r="L6707" t="n">
        <v>0</v>
      </c>
      <c r="M6707" t="n">
        <v>0</v>
      </c>
      <c r="N6707" t="n">
        <v>0</v>
      </c>
      <c r="O6707" t="n">
        <v>0</v>
      </c>
      <c r="P6707" t="n">
        <v>0</v>
      </c>
      <c r="Q6707" t="n">
        <v>0</v>
      </c>
      <c r="R6707" t="n">
        <v>0</v>
      </c>
      <c r="S6707" t="n">
        <v>0</v>
      </c>
      <c r="T6707" t="n">
        <v>0</v>
      </c>
      <c r="U6707" t="n">
        <v>0</v>
      </c>
      <c r="V6707" s="2" t="inlineStr"/>
    </row>
    <row r="6708" ht="15" customHeight="1">
      <c r="A6708" t="inlineStr">
        <is>
          <t>S 1367-2026</t>
        </is>
      </c>
      <c r="B6708" t="inlineStr">
        <is>
          <t>samrådsanmälan</t>
        </is>
      </c>
      <c r="C6708" t="inlineStr">
        <is>
          <t>Annan skogsbruksåtgärd</t>
        </is>
      </c>
      <c r="D6708" s="1" t="n">
        <v>46153</v>
      </c>
      <c r="E6708" s="1" t="n">
        <v>46323</v>
      </c>
      <c r="F6708" t="inlineStr">
        <is>
          <t>KALMAR LÄN</t>
        </is>
      </c>
      <c r="G6708" t="inlineStr">
        <is>
          <t>VIMMERBY</t>
        </is>
      </c>
      <c r="I6708" t="n">
        <v>0.1</v>
      </c>
      <c r="J6708" t="n">
        <v>0</v>
      </c>
      <c r="K6708" t="n">
        <v>0</v>
      </c>
      <c r="L6708" t="n">
        <v>0</v>
      </c>
      <c r="M6708" t="n">
        <v>0</v>
      </c>
      <c r="N6708" t="n">
        <v>0</v>
      </c>
      <c r="O6708" t="n">
        <v>0</v>
      </c>
      <c r="P6708" t="n">
        <v>0</v>
      </c>
      <c r="Q6708" t="n">
        <v>0</v>
      </c>
      <c r="R6708" t="n">
        <v>0</v>
      </c>
      <c r="S6708" t="n">
        <v>0</v>
      </c>
      <c r="T6708" t="n">
        <v>0</v>
      </c>
      <c r="U6708" t="n">
        <v>0</v>
      </c>
      <c r="V6708" s="2" t="inlineStr"/>
      <c r="Z6708">
        <f>HYPERLINK("https://klasma.github.io/Logging_0884/knärot/S 1367-2026 karta knärot.png", "S 1367-2026")</f>
        <v/>
      </c>
      <c r="AA6708">
        <f>HYPERLINK("https://klasma.github.io/Logging_0884/klagomål/S 1367-2026 FSC-klagomål.docx", "S 1367-2026")</f>
        <v/>
      </c>
      <c r="AB6708">
        <f>HYPERLINK("https://klasma.github.io/Logging_0884/klagomålsmail/S 1367-2026 FSC-klagomål mail.docx", "S 1367-2026")</f>
        <v/>
      </c>
      <c r="AC6708">
        <f>HYPERLINK("https://klasma.github.io/Logging_0884/tillsyn/S 1367-2026 tillsynsbegäran.docx", "S 1367-2026")</f>
        <v/>
      </c>
      <c r="AD6708">
        <f>HYPERLINK("https://klasma.github.io/Logging_0884/tillsynsmail/S 1367-2026 tillsynsbegäran mail.docx", "S 1367-2026")</f>
        <v/>
      </c>
    </row>
    <row r="6709" ht="15" customHeight="1">
      <c r="A6709" t="inlineStr">
        <is>
          <t>S 1847-2026</t>
        </is>
      </c>
      <c r="B6709" t="inlineStr">
        <is>
          <t>samrådsanmälan</t>
        </is>
      </c>
      <c r="C6709" t="inlineStr">
        <is>
          <t>Annan skogsbruksåtgärd</t>
        </is>
      </c>
      <c r="D6709" s="1" t="n">
        <v>46198</v>
      </c>
      <c r="E6709" s="1" t="n">
        <v>46323</v>
      </c>
      <c r="F6709" t="inlineStr">
        <is>
          <t>KALMAR LÄN</t>
        </is>
      </c>
      <c r="G6709" t="inlineStr">
        <is>
          <t>HÖGSBY</t>
        </is>
      </c>
      <c r="H6709" t="inlineStr">
        <is>
          <t>Sveaskog</t>
        </is>
      </c>
      <c r="I6709" t="n">
        <v>3.1</v>
      </c>
      <c r="J6709" t="n">
        <v>0</v>
      </c>
      <c r="K6709" t="n">
        <v>0</v>
      </c>
      <c r="L6709" t="n">
        <v>0</v>
      </c>
      <c r="M6709" t="n">
        <v>0</v>
      </c>
      <c r="N6709" t="n">
        <v>0</v>
      </c>
      <c r="O6709" t="n">
        <v>0</v>
      </c>
      <c r="P6709" t="n">
        <v>0</v>
      </c>
      <c r="Q6709" t="n">
        <v>0</v>
      </c>
      <c r="R6709" t="n">
        <v>0</v>
      </c>
      <c r="S6709" t="n">
        <v>0</v>
      </c>
      <c r="T6709" t="n">
        <v>0</v>
      </c>
      <c r="U6709" t="n">
        <v>0</v>
      </c>
      <c r="V6709" s="2" t="inlineStr"/>
    </row>
    <row r="6710" ht="15" customHeight="1">
      <c r="A6710" t="inlineStr">
        <is>
          <t>S 1891-2026</t>
        </is>
      </c>
      <c r="B6710" t="inlineStr">
        <is>
          <t>samrådsanmälan</t>
        </is>
      </c>
      <c r="C6710" t="inlineStr">
        <is>
          <t>Annan skogsbruksåtgärd</t>
        </is>
      </c>
      <c r="D6710" s="1" t="n">
        <v>46203</v>
      </c>
      <c r="E6710" s="1" t="n">
        <v>46323</v>
      </c>
      <c r="F6710" t="inlineStr">
        <is>
          <t>KALMAR LÄN</t>
        </is>
      </c>
      <c r="G6710" t="inlineStr">
        <is>
          <t>BORGHOLM</t>
        </is>
      </c>
      <c r="H6710" t="inlineStr">
        <is>
          <t>Sveaskog</t>
        </is>
      </c>
      <c r="I6710" t="n">
        <v>2.9</v>
      </c>
      <c r="J6710" t="n">
        <v>0</v>
      </c>
      <c r="K6710" t="n">
        <v>0</v>
      </c>
      <c r="L6710" t="n">
        <v>0</v>
      </c>
      <c r="M6710" t="n">
        <v>0</v>
      </c>
      <c r="N6710" t="n">
        <v>0</v>
      </c>
      <c r="O6710" t="n">
        <v>0</v>
      </c>
      <c r="P6710" t="n">
        <v>0</v>
      </c>
      <c r="Q6710" t="n">
        <v>0</v>
      </c>
      <c r="R6710" t="n">
        <v>0</v>
      </c>
      <c r="S6710" t="n">
        <v>0</v>
      </c>
      <c r="T6710" t="n">
        <v>0</v>
      </c>
      <c r="U6710" t="n">
        <v>0</v>
      </c>
      <c r="V6710" s="2" t="inlineStr"/>
    </row>
    <row r="6711" ht="15" customHeight="1">
      <c r="A6711" t="inlineStr">
        <is>
          <t>S 1938-2026</t>
        </is>
      </c>
      <c r="B6711" t="inlineStr">
        <is>
          <t>samrådsanmälan</t>
        </is>
      </c>
      <c r="C6711" t="inlineStr">
        <is>
          <t>Annan skogsbruksåtgärd</t>
        </is>
      </c>
      <c r="D6711" s="1" t="n">
        <v>46203</v>
      </c>
      <c r="E6711" s="1" t="n">
        <v>46323</v>
      </c>
      <c r="F6711" t="inlineStr">
        <is>
          <t>KALMAR LÄN</t>
        </is>
      </c>
      <c r="G6711" t="inlineStr">
        <is>
          <t>HÖGSBY</t>
        </is>
      </c>
      <c r="I6711" t="n">
        <v>2.2</v>
      </c>
      <c r="J6711" t="n">
        <v>0</v>
      </c>
      <c r="K6711" t="n">
        <v>0</v>
      </c>
      <c r="L6711" t="n">
        <v>0</v>
      </c>
      <c r="M6711" t="n">
        <v>0</v>
      </c>
      <c r="N6711" t="n">
        <v>0</v>
      </c>
      <c r="O6711" t="n">
        <v>0</v>
      </c>
      <c r="P6711" t="n">
        <v>0</v>
      </c>
      <c r="Q6711" t="n">
        <v>0</v>
      </c>
      <c r="R6711" t="n">
        <v>0</v>
      </c>
      <c r="S6711" t="n">
        <v>0</v>
      </c>
      <c r="T6711" t="n">
        <v>0</v>
      </c>
      <c r="U6711" t="n">
        <v>0</v>
      </c>
      <c r="V6711" s="2" t="inlineStr"/>
    </row>
    <row r="6712" ht="15" customHeight="1">
      <c r="A6712" t="inlineStr">
        <is>
          <t>S 1885-2026</t>
        </is>
      </c>
      <c r="B6712" t="inlineStr">
        <is>
          <t>samrådsanmälan</t>
        </is>
      </c>
      <c r="C6712" t="inlineStr">
        <is>
          <t>Annan skogsbruksåtgärd</t>
        </is>
      </c>
      <c r="D6712" s="1" t="n">
        <v>46203</v>
      </c>
      <c r="E6712" s="1" t="n">
        <v>46323</v>
      </c>
      <c r="F6712" t="inlineStr">
        <is>
          <t>KALMAR LÄN</t>
        </is>
      </c>
      <c r="G6712" t="inlineStr">
        <is>
          <t>BORGHOLM</t>
        </is>
      </c>
      <c r="H6712" t="inlineStr">
        <is>
          <t>Sveaskog</t>
        </is>
      </c>
      <c r="I6712" t="n">
        <v>1.5</v>
      </c>
      <c r="J6712" t="n">
        <v>0</v>
      </c>
      <c r="K6712" t="n">
        <v>0</v>
      </c>
      <c r="L6712" t="n">
        <v>0</v>
      </c>
      <c r="M6712" t="n">
        <v>0</v>
      </c>
      <c r="N6712" t="n">
        <v>0</v>
      </c>
      <c r="O6712" t="n">
        <v>0</v>
      </c>
      <c r="P6712" t="n">
        <v>0</v>
      </c>
      <c r="Q6712" t="n">
        <v>0</v>
      </c>
      <c r="R6712" t="n">
        <v>0</v>
      </c>
      <c r="S6712" t="n">
        <v>0</v>
      </c>
      <c r="T6712" t="n">
        <v>0</v>
      </c>
      <c r="U6712" t="n">
        <v>0</v>
      </c>
      <c r="V6712" s="2" t="inlineStr"/>
    </row>
    <row r="6713" ht="15" customHeight="1">
      <c r="A6713" t="inlineStr">
        <is>
          <t>S 1887-2026</t>
        </is>
      </c>
      <c r="B6713" t="inlineStr">
        <is>
          <t>samrådsanmälan</t>
        </is>
      </c>
      <c r="C6713" t="inlineStr">
        <is>
          <t>Annan skogsbruksåtgärd</t>
        </is>
      </c>
      <c r="D6713" s="1" t="n">
        <v>46203</v>
      </c>
      <c r="E6713" s="1" t="n">
        <v>46323</v>
      </c>
      <c r="F6713" t="inlineStr">
        <is>
          <t>KALMAR LÄN</t>
        </is>
      </c>
      <c r="G6713" t="inlineStr">
        <is>
          <t>BORGHOLM</t>
        </is>
      </c>
      <c r="H6713" t="inlineStr">
        <is>
          <t>Sveaskog</t>
        </is>
      </c>
      <c r="I6713" t="n">
        <v>1.3</v>
      </c>
      <c r="J6713" t="n">
        <v>0</v>
      </c>
      <c r="K6713" t="n">
        <v>0</v>
      </c>
      <c r="L6713" t="n">
        <v>0</v>
      </c>
      <c r="M6713" t="n">
        <v>0</v>
      </c>
      <c r="N6713" t="n">
        <v>0</v>
      </c>
      <c r="O6713" t="n">
        <v>0</v>
      </c>
      <c r="P6713" t="n">
        <v>0</v>
      </c>
      <c r="Q6713" t="n">
        <v>0</v>
      </c>
      <c r="R6713" t="n">
        <v>0</v>
      </c>
      <c r="S6713" t="n">
        <v>0</v>
      </c>
      <c r="T6713" t="n">
        <v>0</v>
      </c>
      <c r="U6713" t="n">
        <v>0</v>
      </c>
      <c r="V6713" s="2" t="inlineStr"/>
    </row>
    <row r="6714" ht="15" customHeight="1">
      <c r="A6714" t="inlineStr">
        <is>
          <t>S 1888-2026</t>
        </is>
      </c>
      <c r="B6714" t="inlineStr">
        <is>
          <t>samrådsanmälan</t>
        </is>
      </c>
      <c r="C6714" t="inlineStr">
        <is>
          <t>Annan skogsbruksåtgärd</t>
        </is>
      </c>
      <c r="D6714" s="1" t="n">
        <v>46203</v>
      </c>
      <c r="E6714" s="1" t="n">
        <v>46323</v>
      </c>
      <c r="F6714" t="inlineStr">
        <is>
          <t>KALMAR LÄN</t>
        </is>
      </c>
      <c r="G6714" t="inlineStr">
        <is>
          <t>BORGHOLM</t>
        </is>
      </c>
      <c r="H6714" t="inlineStr">
        <is>
          <t>Sveaskog</t>
        </is>
      </c>
      <c r="I6714" t="n">
        <v>0.6</v>
      </c>
      <c r="J6714" t="n">
        <v>0</v>
      </c>
      <c r="K6714" t="n">
        <v>0</v>
      </c>
      <c r="L6714" t="n">
        <v>0</v>
      </c>
      <c r="M6714" t="n">
        <v>0</v>
      </c>
      <c r="N6714" t="n">
        <v>0</v>
      </c>
      <c r="O6714" t="n">
        <v>0</v>
      </c>
      <c r="P6714" t="n">
        <v>0</v>
      </c>
      <c r="Q6714" t="n">
        <v>0</v>
      </c>
      <c r="R6714" t="n">
        <v>0</v>
      </c>
      <c r="S6714" t="n">
        <v>0</v>
      </c>
      <c r="T6714" t="n">
        <v>0</v>
      </c>
      <c r="U6714" t="n">
        <v>0</v>
      </c>
      <c r="V6714" s="2" t="inlineStr"/>
    </row>
    <row r="6715" ht="15" customHeight="1">
      <c r="A6715" t="inlineStr">
        <is>
          <t>S 2117-2026</t>
        </is>
      </c>
      <c r="B6715" t="inlineStr">
        <is>
          <t>samrådsanmälan</t>
        </is>
      </c>
      <c r="C6715" t="inlineStr">
        <is>
          <t>Askåterföring</t>
        </is>
      </c>
      <c r="D6715" s="1" t="n">
        <v>46244</v>
      </c>
      <c r="E6715" s="1" t="n">
        <v>46323</v>
      </c>
      <c r="F6715" t="inlineStr">
        <is>
          <t>KALMAR LÄN</t>
        </is>
      </c>
      <c r="G6715" t="inlineStr">
        <is>
          <t>NYBRO</t>
        </is>
      </c>
      <c r="I6715" t="n">
        <v>29.6</v>
      </c>
      <c r="J6715" t="n">
        <v>0</v>
      </c>
      <c r="K6715" t="n">
        <v>0</v>
      </c>
      <c r="L6715" t="n">
        <v>0</v>
      </c>
      <c r="M6715" t="n">
        <v>0</v>
      </c>
      <c r="N6715" t="n">
        <v>0</v>
      </c>
      <c r="O6715" t="n">
        <v>0</v>
      </c>
      <c r="P6715" t="n">
        <v>0</v>
      </c>
      <c r="Q6715" t="n">
        <v>0</v>
      </c>
      <c r="R6715" t="n">
        <v>0</v>
      </c>
      <c r="S6715" t="n">
        <v>0</v>
      </c>
      <c r="T6715" t="n">
        <v>0</v>
      </c>
      <c r="U6715" t="n">
        <v>0</v>
      </c>
      <c r="V6715" s="2" t="inlineStr"/>
    </row>
    <row r="6716" ht="15" customHeight="1">
      <c r="A6716" t="inlineStr">
        <is>
          <t>S 2145-2026</t>
        </is>
      </c>
      <c r="B6716" t="inlineStr">
        <is>
          <t>samrådsanmälan</t>
        </is>
      </c>
      <c r="C6716" t="inlineStr">
        <is>
          <t>Annan skogsbruksåtgärd</t>
        </is>
      </c>
      <c r="D6716" s="1" t="n">
        <v>46246</v>
      </c>
      <c r="E6716" s="1" t="n">
        <v>46323</v>
      </c>
      <c r="F6716" t="inlineStr">
        <is>
          <t>KALMAR LÄN</t>
        </is>
      </c>
      <c r="G6716" t="inlineStr">
        <is>
          <t>VÄSTERVIK</t>
        </is>
      </c>
      <c r="H6716" t="inlineStr">
        <is>
          <t>Kommuner</t>
        </is>
      </c>
      <c r="I6716" t="n">
        <v>1.1</v>
      </c>
      <c r="J6716" t="n">
        <v>0</v>
      </c>
      <c r="K6716" t="n">
        <v>0</v>
      </c>
      <c r="L6716" t="n">
        <v>0</v>
      </c>
      <c r="M6716" t="n">
        <v>0</v>
      </c>
      <c r="N6716" t="n">
        <v>0</v>
      </c>
      <c r="O6716" t="n">
        <v>0</v>
      </c>
      <c r="P6716" t="n">
        <v>0</v>
      </c>
      <c r="Q6716" t="n">
        <v>0</v>
      </c>
      <c r="R6716" t="n">
        <v>0</v>
      </c>
      <c r="S6716" t="n">
        <v>0</v>
      </c>
      <c r="T6716" t="n">
        <v>0</v>
      </c>
      <c r="U6716" t="n">
        <v>0</v>
      </c>
      <c r="V6716" s="2" t="inlineStr"/>
    </row>
    <row r="6717" ht="15" customHeight="1">
      <c r="A6717" t="inlineStr">
        <is>
          <t>S 1771-2026</t>
        </is>
      </c>
      <c r="B6717" t="inlineStr">
        <is>
          <t>samrådsanmälan</t>
        </is>
      </c>
      <c r="C6717" t="inlineStr">
        <is>
          <t>Annan skogsbruksåtgärd</t>
        </is>
      </c>
      <c r="D6717" s="1" t="n">
        <v>46191</v>
      </c>
      <c r="E6717" s="1" t="n">
        <v>46323</v>
      </c>
      <c r="F6717" t="inlineStr">
        <is>
          <t>KALMAR LÄN</t>
        </is>
      </c>
      <c r="G6717" t="inlineStr">
        <is>
          <t>EMMABODA</t>
        </is>
      </c>
      <c r="I6717" t="n">
        <v>3.2</v>
      </c>
      <c r="J6717" t="n">
        <v>0</v>
      </c>
      <c r="K6717" t="n">
        <v>0</v>
      </c>
      <c r="L6717" t="n">
        <v>0</v>
      </c>
      <c r="M6717" t="n">
        <v>0</v>
      </c>
      <c r="N6717" t="n">
        <v>0</v>
      </c>
      <c r="O6717" t="n">
        <v>0</v>
      </c>
      <c r="P6717" t="n">
        <v>0</v>
      </c>
      <c r="Q6717" t="n">
        <v>0</v>
      </c>
      <c r="R6717" t="n">
        <v>0</v>
      </c>
      <c r="S6717" t="n">
        <v>0</v>
      </c>
      <c r="T6717" t="n">
        <v>0</v>
      </c>
      <c r="U6717" t="n">
        <v>0</v>
      </c>
      <c r="V6717" s="2" t="inlineStr"/>
    </row>
    <row r="6718" ht="15" customHeight="1">
      <c r="A6718" t="inlineStr">
        <is>
          <t>S 2541-2026</t>
        </is>
      </c>
      <c r="B6718" t="inlineStr">
        <is>
          <t>samrådsanmälan</t>
        </is>
      </c>
      <c r="C6718" t="inlineStr">
        <is>
          <t>Askåterföring</t>
        </is>
      </c>
      <c r="D6718" s="1" t="n">
        <v>46293</v>
      </c>
      <c r="E6718" s="1" t="n">
        <v>46323</v>
      </c>
      <c r="F6718" t="inlineStr">
        <is>
          <t>KALMAR LÄN</t>
        </is>
      </c>
      <c r="G6718" t="inlineStr">
        <is>
          <t>VIMMERBY</t>
        </is>
      </c>
      <c r="I6718" t="n">
        <v>18.6</v>
      </c>
      <c r="J6718" t="n">
        <v>0</v>
      </c>
      <c r="K6718" t="n">
        <v>0</v>
      </c>
      <c r="L6718" t="n">
        <v>0</v>
      </c>
      <c r="M6718" t="n">
        <v>0</v>
      </c>
      <c r="N6718" t="n">
        <v>0</v>
      </c>
      <c r="O6718" t="n">
        <v>0</v>
      </c>
      <c r="P6718" t="n">
        <v>0</v>
      </c>
      <c r="Q6718" t="n">
        <v>0</v>
      </c>
      <c r="R6718" t="n">
        <v>0</v>
      </c>
      <c r="S6718" t="n">
        <v>0</v>
      </c>
      <c r="T6718" t="n">
        <v>0</v>
      </c>
      <c r="U6718" t="n">
        <v>0</v>
      </c>
      <c r="V6718" s="2" t="inlineStr"/>
    </row>
    <row r="6719" ht="15" customHeight="1">
      <c r="A6719" t="inlineStr">
        <is>
          <t>S 2542-2026</t>
        </is>
      </c>
      <c r="B6719" t="inlineStr">
        <is>
          <t>samrådsanmälan</t>
        </is>
      </c>
      <c r="C6719" t="inlineStr">
        <is>
          <t>Askåterföring</t>
        </is>
      </c>
      <c r="D6719" s="1" t="n">
        <v>46293</v>
      </c>
      <c r="E6719" s="1" t="n">
        <v>46323</v>
      </c>
      <c r="F6719" t="inlineStr">
        <is>
          <t>KALMAR LÄN</t>
        </is>
      </c>
      <c r="G6719" t="inlineStr">
        <is>
          <t>VIMMERBY</t>
        </is>
      </c>
      <c r="I6719" t="n">
        <v>19.8</v>
      </c>
      <c r="J6719" t="n">
        <v>0</v>
      </c>
      <c r="K6719" t="n">
        <v>0</v>
      </c>
      <c r="L6719" t="n">
        <v>0</v>
      </c>
      <c r="M6719" t="n">
        <v>0</v>
      </c>
      <c r="N6719" t="n">
        <v>0</v>
      </c>
      <c r="O6719" t="n">
        <v>0</v>
      </c>
      <c r="P6719" t="n">
        <v>0</v>
      </c>
      <c r="Q6719" t="n">
        <v>0</v>
      </c>
      <c r="R6719" t="n">
        <v>0</v>
      </c>
      <c r="S6719" t="n">
        <v>0</v>
      </c>
      <c r="T6719" t="n">
        <v>0</v>
      </c>
      <c r="U6719" t="n">
        <v>0</v>
      </c>
      <c r="V6719" s="2" t="inlineStr"/>
    </row>
    <row r="6720" ht="15" customHeight="1">
      <c r="A6720" t="inlineStr">
        <is>
          <t>S 2165-2026</t>
        </is>
      </c>
      <c r="B6720" t="inlineStr">
        <is>
          <t>samrådsanmälan</t>
        </is>
      </c>
      <c r="C6720" t="inlineStr">
        <is>
          <t>Annan skogsbruksåtgärd</t>
        </is>
      </c>
      <c r="D6720" s="1" t="n">
        <v>46251</v>
      </c>
      <c r="E6720" s="1" t="n">
        <v>46323</v>
      </c>
      <c r="F6720" t="inlineStr">
        <is>
          <t>KALMAR LÄN</t>
        </is>
      </c>
      <c r="G6720" t="inlineStr">
        <is>
          <t>HÖGSBY</t>
        </is>
      </c>
      <c r="H6720" t="inlineStr">
        <is>
          <t>Sveaskog</t>
        </is>
      </c>
      <c r="I6720" t="n">
        <v>0.9</v>
      </c>
      <c r="J6720" t="n">
        <v>0</v>
      </c>
      <c r="K6720" t="n">
        <v>0</v>
      </c>
      <c r="L6720" t="n">
        <v>0</v>
      </c>
      <c r="M6720" t="n">
        <v>0</v>
      </c>
      <c r="N6720" t="n">
        <v>0</v>
      </c>
      <c r="O6720" t="n">
        <v>0</v>
      </c>
      <c r="P6720" t="n">
        <v>0</v>
      </c>
      <c r="Q6720" t="n">
        <v>0</v>
      </c>
      <c r="R6720" t="n">
        <v>0</v>
      </c>
      <c r="S6720" t="n">
        <v>0</v>
      </c>
      <c r="T6720" t="n">
        <v>0</v>
      </c>
      <c r="U6720" t="n">
        <v>0</v>
      </c>
      <c r="V6720" s="2" t="inlineStr"/>
    </row>
    <row r="6721" ht="15" customHeight="1">
      <c r="A6721" t="inlineStr">
        <is>
          <t>S 2395-2026</t>
        </is>
      </c>
      <c r="B6721" t="inlineStr">
        <is>
          <t>samrådsanmälan</t>
        </is>
      </c>
      <c r="C6721" t="inlineStr">
        <is>
          <t>Askåterföring</t>
        </is>
      </c>
      <c r="D6721" s="1" t="n">
        <v>46276</v>
      </c>
      <c r="E6721" s="1" t="n">
        <v>46323</v>
      </c>
      <c r="F6721" t="inlineStr">
        <is>
          <t>KALMAR LÄN</t>
        </is>
      </c>
      <c r="G6721" t="inlineStr">
        <is>
          <t>EMMABODA</t>
        </is>
      </c>
      <c r="H6721" t="inlineStr">
        <is>
          <t>Kyrkan</t>
        </is>
      </c>
      <c r="I6721" t="n">
        <v>113.3</v>
      </c>
      <c r="J6721" t="n">
        <v>0</v>
      </c>
      <c r="K6721" t="n">
        <v>0</v>
      </c>
      <c r="L6721" t="n">
        <v>0</v>
      </c>
      <c r="M6721" t="n">
        <v>0</v>
      </c>
      <c r="N6721" t="n">
        <v>0</v>
      </c>
      <c r="O6721" t="n">
        <v>0</v>
      </c>
      <c r="P6721" t="n">
        <v>0</v>
      </c>
      <c r="Q6721" t="n">
        <v>0</v>
      </c>
      <c r="R6721" t="n">
        <v>0</v>
      </c>
      <c r="S6721" t="n">
        <v>0</v>
      </c>
      <c r="T6721" t="n">
        <v>0</v>
      </c>
      <c r="U6721" t="n">
        <v>0</v>
      </c>
      <c r="V6721" s="2" t="inlineStr"/>
    </row>
    <row r="6722" ht="15" customHeight="1">
      <c r="A6722" t="inlineStr">
        <is>
          <t>S 2566-2026</t>
        </is>
      </c>
      <c r="B6722" t="inlineStr">
        <is>
          <t>samrådsanmälan</t>
        </is>
      </c>
      <c r="C6722" t="inlineStr">
        <is>
          <t>Annan skogsbruksåtgärd</t>
        </is>
      </c>
      <c r="D6722" s="1" t="n">
        <v>46295</v>
      </c>
      <c r="E6722" s="1" t="n">
        <v>46323</v>
      </c>
      <c r="F6722" t="inlineStr">
        <is>
          <t>KALMAR LÄN</t>
        </is>
      </c>
      <c r="G6722" t="inlineStr">
        <is>
          <t>NYBRO</t>
        </is>
      </c>
      <c r="I6722" t="n">
        <v>1.2</v>
      </c>
      <c r="J6722" t="n">
        <v>0</v>
      </c>
      <c r="K6722" t="n">
        <v>0</v>
      </c>
      <c r="L6722" t="n">
        <v>0</v>
      </c>
      <c r="M6722" t="n">
        <v>0</v>
      </c>
      <c r="N6722" t="n">
        <v>0</v>
      </c>
      <c r="O6722" t="n">
        <v>0</v>
      </c>
      <c r="P6722" t="n">
        <v>0</v>
      </c>
      <c r="Q6722" t="n">
        <v>0</v>
      </c>
      <c r="R6722" t="n">
        <v>0</v>
      </c>
      <c r="S6722" t="n">
        <v>0</v>
      </c>
      <c r="T6722" t="n">
        <v>0</v>
      </c>
      <c r="U6722" t="n">
        <v>0</v>
      </c>
      <c r="V6722" s="2" t="inlineStr"/>
    </row>
    <row r="6723" ht="15" customHeight="1">
      <c r="A6723" t="inlineStr">
        <is>
          <t>S 2589-2026</t>
        </is>
      </c>
      <c r="B6723" t="inlineStr">
        <is>
          <t>samrådsanmälan</t>
        </is>
      </c>
      <c r="C6723" t="inlineStr">
        <is>
          <t>Annan skogsbruksåtgärd</t>
        </is>
      </c>
      <c r="D6723" s="1" t="n">
        <v>46297</v>
      </c>
      <c r="E6723" s="1" t="n">
        <v>46323</v>
      </c>
      <c r="F6723" t="inlineStr">
        <is>
          <t>KALMAR LÄN</t>
        </is>
      </c>
      <c r="G6723" t="inlineStr">
        <is>
          <t>HÖGSBY</t>
        </is>
      </c>
      <c r="H6723" t="inlineStr">
        <is>
          <t>Sveaskog</t>
        </is>
      </c>
      <c r="I6723" t="n">
        <v>3.4</v>
      </c>
      <c r="J6723" t="n">
        <v>0</v>
      </c>
      <c r="K6723" t="n">
        <v>0</v>
      </c>
      <c r="L6723" t="n">
        <v>0</v>
      </c>
      <c r="M6723" t="n">
        <v>0</v>
      </c>
      <c r="N6723" t="n">
        <v>0</v>
      </c>
      <c r="O6723" t="n">
        <v>0</v>
      </c>
      <c r="P6723" t="n">
        <v>0</v>
      </c>
      <c r="Q6723" t="n">
        <v>0</v>
      </c>
      <c r="R6723" t="n">
        <v>0</v>
      </c>
      <c r="S6723" t="n">
        <v>0</v>
      </c>
      <c r="T6723" t="n">
        <v>0</v>
      </c>
      <c r="U6723" t="n">
        <v>0</v>
      </c>
      <c r="V6723" s="2" t="inlineStr"/>
    </row>
    <row r="6724" ht="15" customHeight="1">
      <c r="A6724" t="inlineStr">
        <is>
          <t>S 2609-2026</t>
        </is>
      </c>
      <c r="B6724" t="inlineStr">
        <is>
          <t>samrådsanmälan</t>
        </is>
      </c>
      <c r="C6724" t="inlineStr">
        <is>
          <t>Askåterföring</t>
        </is>
      </c>
      <c r="D6724" s="1" t="n">
        <v>46300</v>
      </c>
      <c r="E6724" s="1" t="n">
        <v>46323</v>
      </c>
      <c r="F6724" t="inlineStr">
        <is>
          <t>KALMAR LÄN</t>
        </is>
      </c>
      <c r="G6724" t="inlineStr">
        <is>
          <t>KALMAR</t>
        </is>
      </c>
      <c r="I6724" t="n">
        <v>20.1</v>
      </c>
      <c r="J6724" t="n">
        <v>0</v>
      </c>
      <c r="K6724" t="n">
        <v>0</v>
      </c>
      <c r="L6724" t="n">
        <v>0</v>
      </c>
      <c r="M6724" t="n">
        <v>0</v>
      </c>
      <c r="N6724" t="n">
        <v>0</v>
      </c>
      <c r="O6724" t="n">
        <v>0</v>
      </c>
      <c r="P6724" t="n">
        <v>0</v>
      </c>
      <c r="Q6724" t="n">
        <v>0</v>
      </c>
      <c r="R6724" t="n">
        <v>0</v>
      </c>
      <c r="S6724" t="n">
        <v>0</v>
      </c>
      <c r="T6724" t="n">
        <v>0</v>
      </c>
      <c r="U6724" t="n">
        <v>0</v>
      </c>
      <c r="V6724" s="2" t="inlineStr"/>
    </row>
    <row r="6725" ht="15" customHeight="1">
      <c r="A6725" t="inlineStr">
        <is>
          <t>S 2258-2026</t>
        </is>
      </c>
      <c r="B6725" t="inlineStr">
        <is>
          <t>samrådsanmälan</t>
        </is>
      </c>
      <c r="C6725" t="inlineStr">
        <is>
          <t>Annan skogsbruksåtgärd</t>
        </is>
      </c>
      <c r="D6725" s="1" t="n">
        <v>46262</v>
      </c>
      <c r="E6725" s="1" t="n">
        <v>46323</v>
      </c>
      <c r="F6725" t="inlineStr">
        <is>
          <t>KALMAR LÄN</t>
        </is>
      </c>
      <c r="G6725" t="inlineStr">
        <is>
          <t>VÄSTERVIK</t>
        </is>
      </c>
      <c r="H6725" t="inlineStr">
        <is>
          <t>Kommuner</t>
        </is>
      </c>
      <c r="I6725" t="n">
        <v>2.5</v>
      </c>
      <c r="J6725" t="n">
        <v>0</v>
      </c>
      <c r="K6725" t="n">
        <v>0</v>
      </c>
      <c r="L6725" t="n">
        <v>0</v>
      </c>
      <c r="M6725" t="n">
        <v>0</v>
      </c>
      <c r="N6725" t="n">
        <v>0</v>
      </c>
      <c r="O6725" t="n">
        <v>0</v>
      </c>
      <c r="P6725" t="n">
        <v>0</v>
      </c>
      <c r="Q6725" t="n">
        <v>0</v>
      </c>
      <c r="R6725" t="n">
        <v>0</v>
      </c>
      <c r="S6725" t="n">
        <v>0</v>
      </c>
      <c r="T6725" t="n">
        <v>0</v>
      </c>
      <c r="U6725" t="n">
        <v>0</v>
      </c>
      <c r="V6725" s="2" t="inlineStr"/>
    </row>
    <row r="6726" ht="15" customHeight="1">
      <c r="A6726" t="inlineStr">
        <is>
          <t>S 2264-2026</t>
        </is>
      </c>
      <c r="B6726" t="inlineStr">
        <is>
          <t>samrådsanmälan</t>
        </is>
      </c>
      <c r="C6726" t="inlineStr">
        <is>
          <t>Annan skogsbruksåtgärd</t>
        </is>
      </c>
      <c r="D6726" s="1" t="n">
        <v>46262</v>
      </c>
      <c r="E6726" s="1" t="n">
        <v>46323</v>
      </c>
      <c r="F6726" t="inlineStr">
        <is>
          <t>KALMAR LÄN</t>
        </is>
      </c>
      <c r="G6726" t="inlineStr">
        <is>
          <t>VÄSTERVIK</t>
        </is>
      </c>
      <c r="H6726" t="inlineStr">
        <is>
          <t>Kommuner</t>
        </is>
      </c>
      <c r="I6726" t="n">
        <v>0.2</v>
      </c>
      <c r="J6726" t="n">
        <v>0</v>
      </c>
      <c r="K6726" t="n">
        <v>0</v>
      </c>
      <c r="L6726" t="n">
        <v>0</v>
      </c>
      <c r="M6726" t="n">
        <v>0</v>
      </c>
      <c r="N6726" t="n">
        <v>0</v>
      </c>
      <c r="O6726" t="n">
        <v>0</v>
      </c>
      <c r="P6726" t="n">
        <v>0</v>
      </c>
      <c r="Q6726" t="n">
        <v>0</v>
      </c>
      <c r="R6726" t="n">
        <v>0</v>
      </c>
      <c r="S6726" t="n">
        <v>0</v>
      </c>
      <c r="T6726" t="n">
        <v>0</v>
      </c>
      <c r="U6726" t="n">
        <v>0</v>
      </c>
      <c r="V6726" s="2" t="inlineStr"/>
    </row>
    <row r="6727" ht="15" customHeight="1">
      <c r="A6727" t="inlineStr">
        <is>
          <t>S 2637-2026</t>
        </is>
      </c>
      <c r="B6727" t="inlineStr">
        <is>
          <t>samrådsanmälan</t>
        </is>
      </c>
      <c r="C6727" t="inlineStr">
        <is>
          <t>Annan skogsbruksåtgärd</t>
        </is>
      </c>
      <c r="D6727" s="1" t="n">
        <v>46303</v>
      </c>
      <c r="E6727" s="1" t="n">
        <v>46323</v>
      </c>
      <c r="F6727" t="inlineStr">
        <is>
          <t>KALMAR LÄN</t>
        </is>
      </c>
      <c r="G6727" t="inlineStr">
        <is>
          <t>VÄSTERVIK</t>
        </is>
      </c>
      <c r="I6727" t="n">
        <v>1.2</v>
      </c>
      <c r="J6727" t="n">
        <v>0</v>
      </c>
      <c r="K6727" t="n">
        <v>0</v>
      </c>
      <c r="L6727" t="n">
        <v>0</v>
      </c>
      <c r="M6727" t="n">
        <v>0</v>
      </c>
      <c r="N6727" t="n">
        <v>0</v>
      </c>
      <c r="O6727" t="n">
        <v>0</v>
      </c>
      <c r="P6727" t="n">
        <v>0</v>
      </c>
      <c r="Q6727" t="n">
        <v>0</v>
      </c>
      <c r="R6727" t="n">
        <v>0</v>
      </c>
      <c r="S6727" t="n">
        <v>0</v>
      </c>
      <c r="T6727" t="n">
        <v>0</v>
      </c>
      <c r="U6727" t="n">
        <v>0</v>
      </c>
      <c r="V6727" s="2" t="inlineStr"/>
    </row>
    <row r="6728" ht="15" customHeight="1">
      <c r="A6728" t="inlineStr">
        <is>
          <t>S 2661-2026</t>
        </is>
      </c>
      <c r="B6728" t="inlineStr">
        <is>
          <t>samrådsanmälan</t>
        </is>
      </c>
      <c r="C6728" t="inlineStr">
        <is>
          <t>Askåterföring</t>
        </is>
      </c>
      <c r="D6728" s="1" t="n">
        <v>46308</v>
      </c>
      <c r="E6728" s="1" t="n">
        <v>46323</v>
      </c>
      <c r="F6728" t="inlineStr">
        <is>
          <t>KALMAR LÄN</t>
        </is>
      </c>
      <c r="G6728" t="inlineStr">
        <is>
          <t>NYBRO</t>
        </is>
      </c>
      <c r="I6728" t="n">
        <v>5</v>
      </c>
      <c r="J6728" t="n">
        <v>0</v>
      </c>
      <c r="K6728" t="n">
        <v>0</v>
      </c>
      <c r="L6728" t="n">
        <v>0</v>
      </c>
      <c r="M6728" t="n">
        <v>0</v>
      </c>
      <c r="N6728" t="n">
        <v>0</v>
      </c>
      <c r="O6728" t="n">
        <v>0</v>
      </c>
      <c r="P6728" t="n">
        <v>0</v>
      </c>
      <c r="Q6728" t="n">
        <v>0</v>
      </c>
      <c r="R6728" t="n">
        <v>0</v>
      </c>
      <c r="S6728" t="n">
        <v>0</v>
      </c>
      <c r="T6728" t="n">
        <v>0</v>
      </c>
      <c r="U6728" t="n">
        <v>0</v>
      </c>
      <c r="V6728" s="2" t="inlineStr"/>
    </row>
    <row r="6729" ht="15" customHeight="1">
      <c r="A6729" t="inlineStr">
        <is>
          <t>S 2471-2026</t>
        </is>
      </c>
      <c r="B6729" t="inlineStr">
        <is>
          <t>samrådsanmälan</t>
        </is>
      </c>
      <c r="C6729" t="inlineStr">
        <is>
          <t>Askåterföring</t>
        </is>
      </c>
      <c r="D6729" s="1" t="n">
        <v>46283</v>
      </c>
      <c r="E6729" s="1" t="n">
        <v>46323</v>
      </c>
      <c r="F6729" t="inlineStr">
        <is>
          <t>KALMAR LÄN</t>
        </is>
      </c>
      <c r="G6729" t="inlineStr">
        <is>
          <t>EMMABODA</t>
        </is>
      </c>
      <c r="I6729" t="n">
        <v>70.90000000000001</v>
      </c>
      <c r="J6729" t="n">
        <v>0</v>
      </c>
      <c r="K6729" t="n">
        <v>0</v>
      </c>
      <c r="L6729" t="n">
        <v>0</v>
      </c>
      <c r="M6729" t="n">
        <v>0</v>
      </c>
      <c r="N6729" t="n">
        <v>0</v>
      </c>
      <c r="O6729" t="n">
        <v>0</v>
      </c>
      <c r="P6729" t="n">
        <v>0</v>
      </c>
      <c r="Q6729" t="n">
        <v>0</v>
      </c>
      <c r="R6729" t="n">
        <v>0</v>
      </c>
      <c r="S6729" t="n">
        <v>0</v>
      </c>
      <c r="T6729" t="n">
        <v>0</v>
      </c>
      <c r="U6729" t="n">
        <v>0</v>
      </c>
      <c r="V6729" s="2" t="inlineStr"/>
    </row>
    <row r="6730" ht="15" customHeight="1">
      <c r="A6730" t="inlineStr">
        <is>
          <t>S 2480-2026</t>
        </is>
      </c>
      <c r="B6730" t="inlineStr">
        <is>
          <t>samrådsanmälan</t>
        </is>
      </c>
      <c r="C6730" t="inlineStr">
        <is>
          <t>Askåterföring</t>
        </is>
      </c>
      <c r="D6730" s="1" t="n">
        <v>46286</v>
      </c>
      <c r="E6730" s="1" t="n">
        <v>46323</v>
      </c>
      <c r="F6730" t="inlineStr">
        <is>
          <t>KALMAR LÄN</t>
        </is>
      </c>
      <c r="G6730" t="inlineStr">
        <is>
          <t>EMMABODA</t>
        </is>
      </c>
      <c r="I6730" t="n">
        <v>23.1</v>
      </c>
      <c r="J6730" t="n">
        <v>0</v>
      </c>
      <c r="K6730" t="n">
        <v>0</v>
      </c>
      <c r="L6730" t="n">
        <v>0</v>
      </c>
      <c r="M6730" t="n">
        <v>0</v>
      </c>
      <c r="N6730" t="n">
        <v>0</v>
      </c>
      <c r="O6730" t="n">
        <v>0</v>
      </c>
      <c r="P6730" t="n">
        <v>0</v>
      </c>
      <c r="Q6730" t="n">
        <v>0</v>
      </c>
      <c r="R6730" t="n">
        <v>0</v>
      </c>
      <c r="S6730" t="n">
        <v>0</v>
      </c>
      <c r="T6730" t="n">
        <v>0</v>
      </c>
      <c r="U6730" t="n">
        <v>0</v>
      </c>
      <c r="V6730" s="2" t="inlineStr"/>
    </row>
    <row r="6731" ht="15" customHeight="1">
      <c r="A6731" t="inlineStr">
        <is>
          <t>S 2720-2026</t>
        </is>
      </c>
      <c r="B6731" t="inlineStr">
        <is>
          <t>samrådsanmälan</t>
        </is>
      </c>
      <c r="C6731" t="inlineStr">
        <is>
          <t>Askåterföring</t>
        </is>
      </c>
      <c r="D6731" s="1" t="n">
        <v>46314</v>
      </c>
      <c r="E6731" s="1" t="n">
        <v>46323</v>
      </c>
      <c r="F6731" t="inlineStr">
        <is>
          <t>KALMAR LÄN</t>
        </is>
      </c>
      <c r="G6731" t="inlineStr">
        <is>
          <t>EMMABODA</t>
        </is>
      </c>
      <c r="I6731" t="n">
        <v>25.8</v>
      </c>
      <c r="J6731" t="n">
        <v>0</v>
      </c>
      <c r="K6731" t="n">
        <v>0</v>
      </c>
      <c r="L6731" t="n">
        <v>0</v>
      </c>
      <c r="M6731" t="n">
        <v>0</v>
      </c>
      <c r="N6731" t="n">
        <v>0</v>
      </c>
      <c r="O6731" t="n">
        <v>0</v>
      </c>
      <c r="P6731" t="n">
        <v>0</v>
      </c>
      <c r="Q6731" t="n">
        <v>0</v>
      </c>
      <c r="R6731" t="n">
        <v>0</v>
      </c>
      <c r="S6731" t="n">
        <v>0</v>
      </c>
      <c r="T6731" t="n">
        <v>0</v>
      </c>
      <c r="U6731" t="n">
        <v>0</v>
      </c>
      <c r="V6731" s="2" t="inlineStr"/>
    </row>
    <row r="6732" ht="15" customHeight="1">
      <c r="A6732" t="inlineStr">
        <is>
          <t>S 2722-2026</t>
        </is>
      </c>
      <c r="B6732" t="inlineStr">
        <is>
          <t>samrådsanmälan</t>
        </is>
      </c>
      <c r="C6732" t="inlineStr">
        <is>
          <t>Askåterföring</t>
        </is>
      </c>
      <c r="D6732" s="1" t="n">
        <v>46314</v>
      </c>
      <c r="E6732" s="1" t="n">
        <v>46323</v>
      </c>
      <c r="F6732" t="inlineStr">
        <is>
          <t>KALMAR LÄN</t>
        </is>
      </c>
      <c r="G6732" t="inlineStr">
        <is>
          <t>EMMABODA</t>
        </is>
      </c>
      <c r="I6732" t="n">
        <v>10</v>
      </c>
      <c r="J6732" t="n">
        <v>0</v>
      </c>
      <c r="K6732" t="n">
        <v>0</v>
      </c>
      <c r="L6732" t="n">
        <v>0</v>
      </c>
      <c r="M6732" t="n">
        <v>0</v>
      </c>
      <c r="N6732" t="n">
        <v>0</v>
      </c>
      <c r="O6732" t="n">
        <v>0</v>
      </c>
      <c r="P6732" t="n">
        <v>0</v>
      </c>
      <c r="Q6732" t="n">
        <v>0</v>
      </c>
      <c r="R6732" t="n">
        <v>0</v>
      </c>
      <c r="S6732" t="n">
        <v>0</v>
      </c>
      <c r="T6732" t="n">
        <v>0</v>
      </c>
      <c r="U6732" t="n">
        <v>0</v>
      </c>
      <c r="V6732" s="2" t="inlineStr"/>
    </row>
    <row r="6733" ht="15" customHeight="1">
      <c r="A6733" t="inlineStr">
        <is>
          <t>S 2318-2026</t>
        </is>
      </c>
      <c r="B6733" t="inlineStr">
        <is>
          <t>samrådsanmälan</t>
        </is>
      </c>
      <c r="C6733" t="inlineStr">
        <is>
          <t>Annan skogsbruksåtgärd</t>
        </is>
      </c>
      <c r="D6733" s="1" t="n">
        <v>46270</v>
      </c>
      <c r="E6733" s="1" t="n">
        <v>46323</v>
      </c>
      <c r="F6733" t="inlineStr">
        <is>
          <t>KALMAR LÄN</t>
        </is>
      </c>
      <c r="G6733" t="inlineStr">
        <is>
          <t>VÄSTERVIK</t>
        </is>
      </c>
      <c r="I6733" t="n">
        <v>1</v>
      </c>
      <c r="J6733" t="n">
        <v>0</v>
      </c>
      <c r="K6733" t="n">
        <v>0</v>
      </c>
      <c r="L6733" t="n">
        <v>0</v>
      </c>
      <c r="M6733" t="n">
        <v>0</v>
      </c>
      <c r="N6733" t="n">
        <v>0</v>
      </c>
      <c r="O6733" t="n">
        <v>0</v>
      </c>
      <c r="P6733" t="n">
        <v>0</v>
      </c>
      <c r="Q6733" t="n">
        <v>0</v>
      </c>
      <c r="R6733" t="n">
        <v>0</v>
      </c>
      <c r="S6733" t="n">
        <v>0</v>
      </c>
      <c r="T6733" t="n">
        <v>0</v>
      </c>
      <c r="U6733" t="n">
        <v>0</v>
      </c>
      <c r="V6733" s="2" t="inlineStr"/>
    </row>
    <row r="6734" ht="15" customHeight="1">
      <c r="A6734" t="inlineStr">
        <is>
          <t>S 2719-2026</t>
        </is>
      </c>
      <c r="B6734" t="inlineStr">
        <is>
          <t>samrådsanmälan</t>
        </is>
      </c>
      <c r="C6734" t="inlineStr">
        <is>
          <t>Askåterföring</t>
        </is>
      </c>
      <c r="D6734" s="1" t="n">
        <v>46314</v>
      </c>
      <c r="E6734" s="1" t="n">
        <v>46323</v>
      </c>
      <c r="F6734" t="inlineStr">
        <is>
          <t>KALMAR LÄN</t>
        </is>
      </c>
      <c r="G6734" t="inlineStr">
        <is>
          <t>EMMABODA</t>
        </is>
      </c>
      <c r="I6734" t="n">
        <v>9.1</v>
      </c>
      <c r="J6734" t="n">
        <v>0</v>
      </c>
      <c r="K6734" t="n">
        <v>0</v>
      </c>
      <c r="L6734" t="n">
        <v>0</v>
      </c>
      <c r="M6734" t="n">
        <v>0</v>
      </c>
      <c r="N6734" t="n">
        <v>0</v>
      </c>
      <c r="O6734" t="n">
        <v>0</v>
      </c>
      <c r="P6734" t="n">
        <v>0</v>
      </c>
      <c r="Q6734" t="n">
        <v>0</v>
      </c>
      <c r="R6734" t="n">
        <v>0</v>
      </c>
      <c r="S6734" t="n">
        <v>0</v>
      </c>
      <c r="T6734" t="n">
        <v>0</v>
      </c>
      <c r="U6734" t="n">
        <v>0</v>
      </c>
      <c r="V6734" s="2" t="inlineStr"/>
    </row>
    <row r="6735" ht="15" customHeight="1">
      <c r="A6735" t="inlineStr">
        <is>
          <t>S 2721-2026</t>
        </is>
      </c>
      <c r="B6735" t="inlineStr">
        <is>
          <t>samrådsanmälan</t>
        </is>
      </c>
      <c r="C6735" t="inlineStr">
        <is>
          <t>Askåterföring</t>
        </is>
      </c>
      <c r="D6735" s="1" t="n">
        <v>46314</v>
      </c>
      <c r="E6735" s="1" t="n">
        <v>46323</v>
      </c>
      <c r="F6735" t="inlineStr">
        <is>
          <t>KALMAR LÄN</t>
        </is>
      </c>
      <c r="G6735" t="inlineStr">
        <is>
          <t>EMMABODA</t>
        </is>
      </c>
      <c r="I6735" t="n">
        <v>21.1</v>
      </c>
      <c r="J6735" t="n">
        <v>0</v>
      </c>
      <c r="K6735" t="n">
        <v>0</v>
      </c>
      <c r="L6735" t="n">
        <v>0</v>
      </c>
      <c r="M6735" t="n">
        <v>0</v>
      </c>
      <c r="N6735" t="n">
        <v>0</v>
      </c>
      <c r="O6735" t="n">
        <v>0</v>
      </c>
      <c r="P6735" t="n">
        <v>0</v>
      </c>
      <c r="Q6735" t="n">
        <v>0</v>
      </c>
      <c r="R6735" t="n">
        <v>0</v>
      </c>
      <c r="S6735" t="n">
        <v>0</v>
      </c>
      <c r="T6735" t="n">
        <v>0</v>
      </c>
      <c r="U6735" t="n">
        <v>0</v>
      </c>
      <c r="V6735" s="2" t="inlineStr"/>
    </row>
    <row r="6736" ht="15" customHeight="1">
      <c r="A6736" t="inlineStr">
        <is>
          <t>S 2338-2026</t>
        </is>
      </c>
      <c r="B6736" t="inlineStr">
        <is>
          <t>samrådsanmälan</t>
        </is>
      </c>
      <c r="C6736" t="inlineStr">
        <is>
          <t>Askåterföring</t>
        </is>
      </c>
      <c r="D6736" s="1" t="n">
        <v>46273</v>
      </c>
      <c r="E6736" s="1" t="n">
        <v>46323</v>
      </c>
      <c r="F6736" t="inlineStr">
        <is>
          <t>KALMAR LÄN</t>
        </is>
      </c>
      <c r="G6736" t="inlineStr">
        <is>
          <t>HULTSFRED</t>
        </is>
      </c>
      <c r="I6736" t="n">
        <v>14.9</v>
      </c>
      <c r="J6736" t="n">
        <v>0</v>
      </c>
      <c r="K6736" t="n">
        <v>0</v>
      </c>
      <c r="L6736" t="n">
        <v>0</v>
      </c>
      <c r="M6736" t="n">
        <v>0</v>
      </c>
      <c r="N6736" t="n">
        <v>0</v>
      </c>
      <c r="O6736" t="n">
        <v>0</v>
      </c>
      <c r="P6736" t="n">
        <v>0</v>
      </c>
      <c r="Q6736" t="n">
        <v>0</v>
      </c>
      <c r="R6736" t="n">
        <v>0</v>
      </c>
      <c r="S6736" t="n">
        <v>0</v>
      </c>
      <c r="T6736" t="n">
        <v>0</v>
      </c>
      <c r="U6736" t="n">
        <v>0</v>
      </c>
      <c r="V6736" s="2" t="inlineStr"/>
    </row>
    <row r="6737" ht="15" customHeight="1">
      <c r="A6737" t="inlineStr">
        <is>
          <t>S 2355-2026</t>
        </is>
      </c>
      <c r="B6737" t="inlineStr">
        <is>
          <t>samrådsanmälan</t>
        </is>
      </c>
      <c r="C6737" t="inlineStr">
        <is>
          <t>Askåterföring</t>
        </is>
      </c>
      <c r="D6737" s="1" t="n">
        <v>46274</v>
      </c>
      <c r="E6737" s="1" t="n">
        <v>46323</v>
      </c>
      <c r="F6737" t="inlineStr">
        <is>
          <t>KALMAR LÄN</t>
        </is>
      </c>
      <c r="G6737" t="inlineStr">
        <is>
          <t>HULTSFRED</t>
        </is>
      </c>
      <c r="I6737" t="n">
        <v>39</v>
      </c>
      <c r="J6737" t="n">
        <v>0</v>
      </c>
      <c r="K6737" t="n">
        <v>0</v>
      </c>
      <c r="L6737" t="n">
        <v>0</v>
      </c>
      <c r="M6737" t="n">
        <v>0</v>
      </c>
      <c r="N6737" t="n">
        <v>0</v>
      </c>
      <c r="O6737" t="n">
        <v>0</v>
      </c>
      <c r="P6737" t="n">
        <v>0</v>
      </c>
      <c r="Q6737" t="n">
        <v>0</v>
      </c>
      <c r="R6737" t="n">
        <v>0</v>
      </c>
      <c r="S6737" t="n">
        <v>0</v>
      </c>
      <c r="T6737" t="n">
        <v>0</v>
      </c>
      <c r="U6737" t="n">
        <v>0</v>
      </c>
      <c r="V6737" s="2" t="inlineStr"/>
    </row>
    <row r="6738">
      <c r="A6738" t="inlineStr">
        <is>
          <t>S 2342-2026</t>
        </is>
      </c>
      <c r="B6738" t="inlineStr">
        <is>
          <t>samrådsanmälan</t>
        </is>
      </c>
      <c r="C6738" t="inlineStr">
        <is>
          <t>Askåterföring</t>
        </is>
      </c>
      <c r="D6738" s="1" t="n">
        <v>46274</v>
      </c>
      <c r="E6738" s="1" t="n">
        <v>46323</v>
      </c>
      <c r="F6738" t="inlineStr">
        <is>
          <t>KALMAR LÄN</t>
        </is>
      </c>
      <c r="G6738" t="inlineStr">
        <is>
          <t>HULTSFRED</t>
        </is>
      </c>
      <c r="I6738" t="n">
        <v>21.6</v>
      </c>
      <c r="J6738" t="n">
        <v>0</v>
      </c>
      <c r="K6738" t="n">
        <v>0</v>
      </c>
      <c r="L6738" t="n">
        <v>0</v>
      </c>
      <c r="M6738" t="n">
        <v>0</v>
      </c>
      <c r="N6738" t="n">
        <v>0</v>
      </c>
      <c r="O6738" t="n">
        <v>0</v>
      </c>
      <c r="P6738" t="n">
        <v>0</v>
      </c>
      <c r="Q6738" t="n">
        <v>0</v>
      </c>
      <c r="R6738" t="n">
        <v>0</v>
      </c>
      <c r="S6738" t="n">
        <v>0</v>
      </c>
      <c r="T6738" t="n">
        <v>0</v>
      </c>
      <c r="U6738" t="n">
        <v>0</v>
      </c>
      <c r="V67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2026-10-28T03:11:38Z</dcterms:created>
  <dcterms:modified xmlns:dcterms="http://purl.org/dc/terms/" xmlns:xsi="http://www.w3.org/2001/XMLSchema-instance" xsi:type="dcterms:W3CDTF">2026-10-28T03:11:58Z</dcterms:modified>
</cp:coreProperties>
</file>